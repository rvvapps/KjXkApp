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defaultThemeVersion="166925"/>
  <mc:AlternateContent xmlns:mc="http://schemas.openxmlformats.org/markup-compatibility/2006">
    <mc:Choice Requires="x15">
      <x15ac:absPath xmlns:x15ac="http://schemas.microsoft.com/office/spreadsheetml/2010/11/ac" url="Z:\Gestión Corporativo\Modelo de Gestión\Nuevo Modelo 2025\Nuevos Formularios\"/>
    </mc:Choice>
  </mc:AlternateContent>
  <xr:revisionPtr revIDLastSave="0" documentId="13_ncr:1_{452B6C3A-2ADF-45F6-A554-13FB9979A333}" xr6:coauthVersionLast="47" xr6:coauthVersionMax="47" xr10:uidLastSave="{00000000-0000-0000-0000-000000000000}"/>
  <workbookProtection workbookAlgorithmName="SHA-512" workbookHashValue="5+wHdrGQ4upuya0lh9PYGV4hd5CwnbeswaTUfaBk1ivxrQms0lTk0onzZ/gBuIb5bH4iG+/791pUP+Hz2wqYDw==" workbookSaltValue="WC4lpvm+/oU/L6Mj9TkaHg==" workbookSpinCount="100000" lockStructure="1"/>
  <bookViews>
    <workbookView xWindow="20370" yWindow="-120" windowWidth="29040" windowHeight="15720" tabRatio="641" xr2:uid="{44E1520A-7DE3-42B8-990A-ADE48F8F06B3}"/>
  </bookViews>
  <sheets>
    <sheet name="Formulario" sheetId="2" r:id="rId1"/>
    <sheet name="3. Bancos" sheetId="25" state="hidden" r:id="rId2"/>
    <sheet name="1. Empresas" sheetId="3" state="hidden" r:id="rId3"/>
    <sheet name="3. Cuentas" sheetId="24" state="hidden" r:id="rId4"/>
    <sheet name="2. Centros" sheetId="22" state="hidden" r:id="rId5"/>
    <sheet name="6. Empresas-centros" sheetId="4" state="hidden" r:id="rId6"/>
    <sheet name="7.  Centros-Cuentas" sheetId="18" state="hidden" r:id="rId7"/>
    <sheet name="8. Tipo - Partidas" sheetId="16" state="hidden" r:id="rId8"/>
    <sheet name="9. Cuentas-Conceptos de imputac" sheetId="21" state="hidden" r:id="rId9"/>
    <sheet name="Listas" sheetId="5" state="hidden" r:id="rId10"/>
  </sheets>
  <definedNames>
    <definedName name="_xlnm._FilterDatabase" localSheetId="4" hidden="1">'2. Centros'!$A$1:$K$2313</definedName>
    <definedName name="_xlnm._FilterDatabase" localSheetId="3" hidden="1">'3. Cuentas'!$A$1:$F$698</definedName>
    <definedName name="_xlnm._FilterDatabase" localSheetId="0" hidden="1">Formulario!$H$101:$M$103</definedName>
    <definedName name="A1_Empresa">Empresas_[Nombre Empresa]</definedName>
    <definedName name="A2_Bancos">Listas!$A$2:$A$23</definedName>
    <definedName name="A3_Documento">Listas!$B$2:$B$6</definedName>
    <definedName name="_xlnm.Print_Area" localSheetId="0">Formulario!$A$1:$M$101</definedName>
    <definedName name="DatosExternos_1" localSheetId="2" hidden="1">'1. Empresas'!$A$1:$C$51</definedName>
    <definedName name="DatosExternos_1" localSheetId="5" hidden="1">'6. Empresas-centros'!$A$1:$C$1656</definedName>
    <definedName name="DatosExternos_1" localSheetId="6" hidden="1">'7.  Centros-Cuentas'!$A$1:$C$1</definedName>
    <definedName name="DatosExternos_1" localSheetId="7" hidden="1">'8. Tipo - Partidas'!#REF!</definedName>
    <definedName name="DatosExternos_2" localSheetId="5" hidden="1">'6. Empresas-centros'!#REF!</definedName>
    <definedName name="DatosExternos_2" localSheetId="8" hidden="1">'9. Cuentas-Conceptos de imputac'!$A$1:$B$2341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996" i="18" l="1"/>
  <c r="G2996" i="18"/>
  <c r="H2996" i="18"/>
  <c r="F2997" i="18"/>
  <c r="G2997" i="18"/>
  <c r="H2997" i="18"/>
  <c r="F2998" i="18"/>
  <c r="G2998" i="18"/>
  <c r="H2998" i="18"/>
  <c r="F2999" i="18"/>
  <c r="G2999" i="18"/>
  <c r="H2999" i="18"/>
  <c r="F3112" i="18"/>
  <c r="G3112" i="18"/>
  <c r="H3112" i="18"/>
  <c r="F3113" i="18"/>
  <c r="G3113" i="18"/>
  <c r="H3113" i="18"/>
  <c r="F3114" i="18"/>
  <c r="G3114" i="18"/>
  <c r="H3114" i="18"/>
  <c r="F3115" i="18"/>
  <c r="G3115" i="18"/>
  <c r="H3115" i="18"/>
  <c r="F1056" i="4" l="1"/>
  <c r="F817" i="4"/>
  <c r="K200" i="22"/>
  <c r="J200" i="22"/>
  <c r="F3024" i="18"/>
  <c r="G3024" i="18"/>
  <c r="H3024" i="18"/>
  <c r="F3025" i="18"/>
  <c r="G3025" i="18"/>
  <c r="H3025" i="18"/>
  <c r="F3026" i="18"/>
  <c r="G3026" i="18"/>
  <c r="H3026" i="18"/>
  <c r="F3027" i="18"/>
  <c r="G3027" i="18"/>
  <c r="H3027" i="18"/>
  <c r="F2988" i="18"/>
  <c r="G2988" i="18"/>
  <c r="H2988" i="18"/>
  <c r="F2989" i="18"/>
  <c r="G2989" i="18"/>
  <c r="H2989" i="18"/>
  <c r="F2990" i="18"/>
  <c r="G2990" i="18"/>
  <c r="H2990" i="18"/>
  <c r="F2991" i="18"/>
  <c r="G2991" i="18"/>
  <c r="H2991" i="18"/>
  <c r="F1063" i="4"/>
  <c r="F1054" i="4"/>
  <c r="F2920" i="18"/>
  <c r="G2920" i="18"/>
  <c r="H2920" i="18"/>
  <c r="F2921" i="18"/>
  <c r="G2921" i="18"/>
  <c r="H2921" i="18"/>
  <c r="F2922" i="18"/>
  <c r="G2922" i="18"/>
  <c r="H2922" i="18"/>
  <c r="F2923" i="18"/>
  <c r="G2923" i="18"/>
  <c r="H2923" i="18"/>
  <c r="F2924" i="18"/>
  <c r="G2924" i="18"/>
  <c r="H2924" i="18"/>
  <c r="F2925" i="18"/>
  <c r="G2925" i="18"/>
  <c r="H2925" i="18"/>
  <c r="F2926" i="18"/>
  <c r="G2926" i="18"/>
  <c r="H2926" i="18"/>
  <c r="F2927" i="18"/>
  <c r="G2927" i="18"/>
  <c r="H2927" i="18"/>
  <c r="F1415" i="4"/>
  <c r="K2313" i="22"/>
  <c r="J2313" i="22"/>
  <c r="F1079" i="4"/>
  <c r="F2016" i="18"/>
  <c r="G2016" i="18"/>
  <c r="H2016" i="18"/>
  <c r="F2015" i="18"/>
  <c r="G2015" i="18"/>
  <c r="H2015" i="18"/>
  <c r="H3111" i="18"/>
  <c r="G3111" i="18"/>
  <c r="F3111" i="18"/>
  <c r="F3108" i="18"/>
  <c r="G3108" i="18"/>
  <c r="H3108" i="18"/>
  <c r="F3109" i="18"/>
  <c r="G3109" i="18"/>
  <c r="H3109" i="18"/>
  <c r="F3110" i="18"/>
  <c r="G3110" i="18"/>
  <c r="H3110" i="18"/>
  <c r="F816" i="4"/>
  <c r="K1162" i="22"/>
  <c r="J1162" i="22"/>
  <c r="N29" i="2"/>
  <c r="N30" i="2"/>
  <c r="N31" i="2"/>
  <c r="N32" i="2"/>
  <c r="N33" i="2"/>
  <c r="N34" i="2"/>
  <c r="N35" i="2"/>
  <c r="N36" i="2"/>
  <c r="N37" i="2"/>
  <c r="N38" i="2"/>
  <c r="N39" i="2"/>
  <c r="N40" i="2"/>
  <c r="N41" i="2"/>
  <c r="N42" i="2"/>
  <c r="N58" i="2"/>
  <c r="N59" i="2"/>
  <c r="N60" i="2"/>
  <c r="N61" i="2"/>
  <c r="N62" i="2"/>
  <c r="N63" i="2"/>
  <c r="N64" i="2"/>
  <c r="N65" i="2"/>
  <c r="N66" i="2"/>
  <c r="N67" i="2"/>
  <c r="N68" i="2"/>
  <c r="N69" i="2"/>
  <c r="N70" i="2"/>
  <c r="N71" i="2"/>
  <c r="N72" i="2"/>
  <c r="N73" i="2"/>
  <c r="N74" i="2"/>
  <c r="N75" i="2"/>
  <c r="N76" i="2"/>
  <c r="N77" i="2"/>
  <c r="N78" i="2"/>
  <c r="N79" i="2"/>
  <c r="N80" i="2"/>
  <c r="N81" i="2"/>
  <c r="N82" i="2"/>
  <c r="N83" i="2"/>
  <c r="N84" i="2"/>
  <c r="N85" i="2"/>
  <c r="N28" i="2"/>
  <c r="O89" i="2" s="1" a="1"/>
  <c r="O89" i="2" s="1"/>
  <c r="L89" i="2" s="1"/>
  <c r="M43" i="2"/>
  <c r="M45" i="2" s="1"/>
  <c r="F3208" i="18"/>
  <c r="F3209" i="18"/>
  <c r="F3210" i="18"/>
  <c r="F3211" i="18"/>
  <c r="F3212" i="18"/>
  <c r="F3213" i="18"/>
  <c r="F3214" i="18"/>
  <c r="F3215" i="18"/>
  <c r="F3216" i="18"/>
  <c r="F3217" i="18"/>
  <c r="F3218" i="18"/>
  <c r="F3219" i="18"/>
  <c r="F3220" i="18"/>
  <c r="F3221" i="18"/>
  <c r="F3222" i="18"/>
  <c r="F3223" i="18"/>
  <c r="F3224" i="18"/>
  <c r="F3225" i="18"/>
  <c r="F3226" i="18"/>
  <c r="F3227" i="18"/>
  <c r="F3228" i="18"/>
  <c r="F3229" i="18"/>
  <c r="F3230" i="18"/>
  <c r="F3231" i="18"/>
  <c r="F3232" i="18"/>
  <c r="F3233" i="18"/>
  <c r="F3234" i="18"/>
  <c r="F3235" i="18"/>
  <c r="F3236" i="18"/>
  <c r="F3237" i="18"/>
  <c r="F3238" i="18"/>
  <c r="F3239" i="18"/>
  <c r="F3240" i="18"/>
  <c r="F3241" i="18"/>
  <c r="F3242" i="18"/>
  <c r="F3243" i="18"/>
  <c r="F3244" i="18"/>
  <c r="F3245" i="18"/>
  <c r="F3246" i="18"/>
  <c r="F3247" i="18"/>
  <c r="F3248" i="18"/>
  <c r="F3249" i="18"/>
  <c r="F3250" i="18"/>
  <c r="F3251" i="18"/>
  <c r="F3252" i="18"/>
  <c r="F3253" i="18"/>
  <c r="F3254" i="18"/>
  <c r="F3255" i="18"/>
  <c r="F3256" i="18"/>
  <c r="F3257" i="18"/>
  <c r="F3258" i="18"/>
  <c r="F3259" i="18"/>
  <c r="F3260" i="18"/>
  <c r="F3261" i="18"/>
  <c r="F3262" i="18"/>
  <c r="F3263" i="18"/>
  <c r="F3264" i="18"/>
  <c r="F3265" i="18"/>
  <c r="F3266" i="18"/>
  <c r="F3267" i="18"/>
  <c r="F3268" i="18"/>
  <c r="F3269" i="18"/>
  <c r="F3270" i="18"/>
  <c r="F3271" i="18"/>
  <c r="F3272" i="18"/>
  <c r="F3273" i="18"/>
  <c r="F3274" i="18"/>
  <c r="F3275" i="18"/>
  <c r="F3276" i="18"/>
  <c r="F3277" i="18"/>
  <c r="F3278" i="18"/>
  <c r="F3279" i="18"/>
  <c r="F3280" i="18"/>
  <c r="F3281" i="18"/>
  <c r="F3282" i="18"/>
  <c r="F3283" i="18"/>
  <c r="F3284" i="18"/>
  <c r="F3285" i="18"/>
  <c r="F3286" i="18"/>
  <c r="F3287" i="18"/>
  <c r="F3288" i="18"/>
  <c r="F3289" i="18"/>
  <c r="F3290" i="18"/>
  <c r="F3291" i="18"/>
  <c r="F3292" i="18"/>
  <c r="F3293" i="18"/>
  <c r="F3294" i="18"/>
  <c r="F3295" i="18"/>
  <c r="F3296" i="18"/>
  <c r="F3297" i="18"/>
  <c r="F3298" i="18"/>
  <c r="F3299" i="18"/>
  <c r="F3300" i="18"/>
  <c r="F3301" i="18"/>
  <c r="F3302" i="18"/>
  <c r="F3303" i="18"/>
  <c r="F3304" i="18"/>
  <c r="F3305" i="18"/>
  <c r="F3306" i="18"/>
  <c r="F3307" i="18"/>
  <c r="F3308" i="18"/>
  <c r="F3309" i="18"/>
  <c r="F3310" i="18"/>
  <c r="F3311" i="18"/>
  <c r="F3312" i="18"/>
  <c r="F3313" i="18"/>
  <c r="F3314" i="18"/>
  <c r="F3315" i="18"/>
  <c r="F3316" i="18"/>
  <c r="F3317" i="18"/>
  <c r="F3318" i="18"/>
  <c r="F3319" i="18"/>
  <c r="F3320" i="18"/>
  <c r="F3321" i="18"/>
  <c r="F3322" i="18"/>
  <c r="F3323" i="18"/>
  <c r="F3324" i="18"/>
  <c r="F3325" i="18"/>
  <c r="F3326" i="18"/>
  <c r="F3327" i="18"/>
  <c r="F3328" i="18"/>
  <c r="F3329" i="18"/>
  <c r="F3330" i="18"/>
  <c r="F3331" i="18"/>
  <c r="F3332" i="18"/>
  <c r="F3333" i="18"/>
  <c r="F3334" i="18"/>
  <c r="F3335" i="18"/>
  <c r="F3336" i="18"/>
  <c r="F3337" i="18"/>
  <c r="F3338" i="18"/>
  <c r="F3339" i="18"/>
  <c r="F3340" i="18"/>
  <c r="F3341" i="18"/>
  <c r="F3342" i="18"/>
  <c r="F3343" i="18"/>
  <c r="F3344" i="18"/>
  <c r="F3345" i="18"/>
  <c r="F3346" i="18"/>
  <c r="F3347" i="18"/>
  <c r="F3348" i="18"/>
  <c r="F3349" i="18"/>
  <c r="F3350" i="18"/>
  <c r="F3351" i="18"/>
  <c r="F3352" i="18"/>
  <c r="F3353" i="18"/>
  <c r="F3354" i="18"/>
  <c r="F3355" i="18"/>
  <c r="F3356" i="18"/>
  <c r="F3357" i="18"/>
  <c r="F3358" i="18"/>
  <c r="F3359" i="18"/>
  <c r="F3360" i="18"/>
  <c r="F3361" i="18"/>
  <c r="F3362" i="18"/>
  <c r="F3363" i="18"/>
  <c r="F3364" i="18"/>
  <c r="F3365" i="18"/>
  <c r="F3366" i="18"/>
  <c r="F3367" i="18"/>
  <c r="F3368" i="18"/>
  <c r="F3369" i="18"/>
  <c r="F3370" i="18"/>
  <c r="F3371" i="18"/>
  <c r="F3372" i="18"/>
  <c r="F3373" i="18"/>
  <c r="F3374" i="18"/>
  <c r="F3375" i="18"/>
  <c r="F3376" i="18"/>
  <c r="F3377" i="18"/>
  <c r="F3378" i="18"/>
  <c r="F3379" i="18"/>
  <c r="F3380" i="18"/>
  <c r="F3381" i="18"/>
  <c r="F3382" i="18"/>
  <c r="F3383" i="18"/>
  <c r="F3384" i="18"/>
  <c r="F3385" i="18"/>
  <c r="F3386" i="18"/>
  <c r="F3387" i="18"/>
  <c r="F3388" i="18"/>
  <c r="F3389" i="18"/>
  <c r="F3390" i="18"/>
  <c r="F3391" i="18"/>
  <c r="F3392" i="18"/>
  <c r="F3393" i="18"/>
  <c r="F3394" i="18"/>
  <c r="F3395" i="18"/>
  <c r="F3396" i="18"/>
  <c r="F3397" i="18"/>
  <c r="F3398" i="18"/>
  <c r="F3399" i="18"/>
  <c r="F3400" i="18"/>
  <c r="F3401" i="18"/>
  <c r="F3402" i="18"/>
  <c r="F3403" i="18"/>
  <c r="F3404" i="18"/>
  <c r="F3405" i="18"/>
  <c r="F3406" i="18"/>
  <c r="F2338" i="18"/>
  <c r="F2339" i="18"/>
  <c r="F2340" i="18"/>
  <c r="F2341" i="18"/>
  <c r="F2528" i="18"/>
  <c r="F2529" i="18"/>
  <c r="F2530" i="18"/>
  <c r="F2531" i="18"/>
  <c r="F2689" i="18"/>
  <c r="F2690" i="18"/>
  <c r="F2691" i="18"/>
  <c r="F2692" i="18"/>
  <c r="F2693" i="18"/>
  <c r="F2694" i="18"/>
  <c r="F2695" i="18"/>
  <c r="F2696" i="18"/>
  <c r="F2697" i="18"/>
  <c r="F2698" i="18"/>
  <c r="F2699" i="18"/>
  <c r="F2700" i="18"/>
  <c r="F2701" i="18"/>
  <c r="F2702" i="18"/>
  <c r="F2703" i="18"/>
  <c r="F2704" i="18"/>
  <c r="F2705" i="18"/>
  <c r="F2706" i="18"/>
  <c r="F2707" i="18"/>
  <c r="F2708" i="18"/>
  <c r="F2709" i="18"/>
  <c r="F2710" i="18"/>
  <c r="F2711" i="18"/>
  <c r="F2712" i="18"/>
  <c r="F2713" i="18"/>
  <c r="F2714" i="18"/>
  <c r="F2715" i="18"/>
  <c r="F2716" i="18"/>
  <c r="F2717" i="18"/>
  <c r="F2718" i="18"/>
  <c r="F2719" i="18"/>
  <c r="F2720" i="18"/>
  <c r="F2721" i="18"/>
  <c r="F2722" i="18"/>
  <c r="F2723" i="18"/>
  <c r="F2724" i="18"/>
  <c r="F2725" i="18"/>
  <c r="F2726" i="18"/>
  <c r="F2727" i="18"/>
  <c r="F2728" i="18"/>
  <c r="F2729" i="18"/>
  <c r="F2730" i="18"/>
  <c r="F2731" i="18"/>
  <c r="F2732" i="18"/>
  <c r="F2733" i="18"/>
  <c r="F2734" i="18"/>
  <c r="F2735" i="18"/>
  <c r="F2736" i="18"/>
  <c r="F2737" i="18"/>
  <c r="F2738" i="18"/>
  <c r="F2739" i="18"/>
  <c r="F2740" i="18"/>
  <c r="F2744" i="18"/>
  <c r="F2745" i="18"/>
  <c r="F2746" i="18"/>
  <c r="F2747" i="18"/>
  <c r="F2748" i="18"/>
  <c r="F2749" i="18"/>
  <c r="F2750" i="18"/>
  <c r="F2751" i="18"/>
  <c r="F2752" i="18"/>
  <c r="F2753" i="18"/>
  <c r="F2754" i="18"/>
  <c r="F2755" i="18"/>
  <c r="F2756" i="18"/>
  <c r="F2757" i="18"/>
  <c r="F2758" i="18"/>
  <c r="F2759" i="18"/>
  <c r="F2760" i="18"/>
  <c r="F2761" i="18"/>
  <c r="F2762" i="18"/>
  <c r="F2763" i="18"/>
  <c r="F2764" i="18"/>
  <c r="F2765" i="18"/>
  <c r="F2766" i="18"/>
  <c r="F2767" i="18"/>
  <c r="F2768" i="18"/>
  <c r="F2769" i="18"/>
  <c r="F2770" i="18"/>
  <c r="F2771" i="18"/>
  <c r="F2772" i="18"/>
  <c r="F2773" i="18"/>
  <c r="F2774" i="18"/>
  <c r="F2775" i="18"/>
  <c r="F2776" i="18"/>
  <c r="F2777" i="18"/>
  <c r="F2778" i="18"/>
  <c r="F2779" i="18"/>
  <c r="F2780" i="18"/>
  <c r="F2781" i="18"/>
  <c r="F2782" i="18"/>
  <c r="F2783" i="18"/>
  <c r="F2784" i="18"/>
  <c r="F2785" i="18"/>
  <c r="F2786" i="18"/>
  <c r="F2787" i="18"/>
  <c r="F2788" i="18"/>
  <c r="F2789" i="18"/>
  <c r="F2790" i="18"/>
  <c r="F2791" i="18"/>
  <c r="F2792" i="18"/>
  <c r="F2793" i="18"/>
  <c r="F2794" i="18"/>
  <c r="F2795" i="18"/>
  <c r="F2796" i="18"/>
  <c r="F2797" i="18"/>
  <c r="F2798" i="18"/>
  <c r="F2799" i="18"/>
  <c r="F2800" i="18"/>
  <c r="F2801" i="18"/>
  <c r="F2802" i="18"/>
  <c r="F2803" i="18"/>
  <c r="F2804" i="18"/>
  <c r="F2805" i="18"/>
  <c r="F2806" i="18"/>
  <c r="F2807" i="18"/>
  <c r="F2808" i="18"/>
  <c r="F2809" i="18"/>
  <c r="F2810" i="18"/>
  <c r="F2811" i="18"/>
  <c r="F2812" i="18"/>
  <c r="F2813" i="18"/>
  <c r="F2814" i="18"/>
  <c r="F2815" i="18"/>
  <c r="F2816" i="18"/>
  <c r="F2817" i="18"/>
  <c r="F2818" i="18"/>
  <c r="F2819" i="18"/>
  <c r="F2820" i="18"/>
  <c r="F2821" i="18"/>
  <c r="F2822" i="18"/>
  <c r="F2823" i="18"/>
  <c r="F2824" i="18"/>
  <c r="F2825" i="18"/>
  <c r="F2826" i="18"/>
  <c r="F2827" i="18"/>
  <c r="F2828" i="18"/>
  <c r="F2829" i="18"/>
  <c r="F2830" i="18"/>
  <c r="F2831" i="18"/>
  <c r="F2832" i="18"/>
  <c r="F2833" i="18"/>
  <c r="F2834" i="18"/>
  <c r="F2835" i="18"/>
  <c r="F2836" i="18"/>
  <c r="F2837" i="18"/>
  <c r="F2838" i="18"/>
  <c r="F2839" i="18"/>
  <c r="F2840" i="18"/>
  <c r="F2841" i="18"/>
  <c r="F2842" i="18"/>
  <c r="F2843" i="18"/>
  <c r="F2844" i="18"/>
  <c r="F2845" i="18"/>
  <c r="F2846" i="18"/>
  <c r="F2847" i="18"/>
  <c r="F2848" i="18"/>
  <c r="F2849" i="18"/>
  <c r="F2850" i="18"/>
  <c r="F2851" i="18"/>
  <c r="F2852" i="18"/>
  <c r="F2853" i="18"/>
  <c r="F2854" i="18"/>
  <c r="F2855" i="18"/>
  <c r="F2856" i="18"/>
  <c r="F2857" i="18"/>
  <c r="F2858" i="18"/>
  <c r="F2859" i="18"/>
  <c r="F2860" i="18"/>
  <c r="F2861" i="18"/>
  <c r="F2862" i="18"/>
  <c r="F2863" i="18"/>
  <c r="F2864" i="18"/>
  <c r="F2865" i="18"/>
  <c r="F2866" i="18"/>
  <c r="F2867" i="18"/>
  <c r="F2868" i="18"/>
  <c r="F2869" i="18"/>
  <c r="F2870" i="18"/>
  <c r="F2871" i="18"/>
  <c r="F2872" i="18"/>
  <c r="F2873" i="18"/>
  <c r="F2874" i="18"/>
  <c r="F2875" i="18"/>
  <c r="F2876" i="18"/>
  <c r="F2877" i="18"/>
  <c r="F2878" i="18"/>
  <c r="F2879" i="18"/>
  <c r="F2880" i="18"/>
  <c r="F2881" i="18"/>
  <c r="F2882" i="18"/>
  <c r="F2883" i="18"/>
  <c r="F2884" i="18"/>
  <c r="F2885" i="18"/>
  <c r="F2886" i="18"/>
  <c r="F2887" i="18"/>
  <c r="F2888" i="18"/>
  <c r="F2889" i="18"/>
  <c r="F2890" i="18"/>
  <c r="F2891" i="18"/>
  <c r="F2892" i="18"/>
  <c r="F2893" i="18"/>
  <c r="F2894" i="18"/>
  <c r="F2895" i="18"/>
  <c r="F2896" i="18"/>
  <c r="F2897" i="18"/>
  <c r="F2898" i="18"/>
  <c r="F2899" i="18"/>
  <c r="F2900" i="18"/>
  <c r="F2901" i="18"/>
  <c r="F2902" i="18"/>
  <c r="F2903" i="18"/>
  <c r="F2904" i="18"/>
  <c r="F2905" i="18"/>
  <c r="F2906" i="18"/>
  <c r="F2907" i="18"/>
  <c r="F2908" i="18"/>
  <c r="F2909" i="18"/>
  <c r="F2910" i="18"/>
  <c r="F2911" i="18"/>
  <c r="F2912" i="18"/>
  <c r="F2913" i="18"/>
  <c r="F2914" i="18"/>
  <c r="F2915" i="18"/>
  <c r="F2916" i="18"/>
  <c r="F2917" i="18"/>
  <c r="F2918" i="18"/>
  <c r="F2919" i="18"/>
  <c r="F2" i="18"/>
  <c r="F3" i="18"/>
  <c r="F4" i="18"/>
  <c r="F5" i="18"/>
  <c r="F6" i="18"/>
  <c r="F7" i="18"/>
  <c r="F8" i="18"/>
  <c r="F9" i="18"/>
  <c r="F10" i="18"/>
  <c r="F11" i="18"/>
  <c r="F12" i="18"/>
  <c r="F13" i="18"/>
  <c r="F14" i="18"/>
  <c r="F15" i="18"/>
  <c r="F16" i="18"/>
  <c r="F17" i="18"/>
  <c r="F18" i="18"/>
  <c r="F19" i="18"/>
  <c r="F20" i="18"/>
  <c r="F21" i="18"/>
  <c r="F22" i="18"/>
  <c r="F23" i="18"/>
  <c r="F24" i="18"/>
  <c r="F25" i="18"/>
  <c r="F26" i="18"/>
  <c r="F27" i="18"/>
  <c r="F28" i="18"/>
  <c r="F29" i="18"/>
  <c r="F30" i="18"/>
  <c r="F31" i="18"/>
  <c r="F32" i="18"/>
  <c r="F38" i="18"/>
  <c r="F39" i="18"/>
  <c r="F40" i="18"/>
  <c r="F41" i="18"/>
  <c r="F42" i="18"/>
  <c r="F43" i="18"/>
  <c r="F44" i="18"/>
  <c r="F45" i="18"/>
  <c r="F46" i="18"/>
  <c r="F47" i="18"/>
  <c r="F48" i="18"/>
  <c r="F49" i="18"/>
  <c r="F50" i="18"/>
  <c r="F51" i="18"/>
  <c r="F52" i="18"/>
  <c r="F53" i="18"/>
  <c r="F54" i="18"/>
  <c r="F55" i="18"/>
  <c r="F56" i="18"/>
  <c r="F57" i="18"/>
  <c r="F58" i="18"/>
  <c r="F59" i="18"/>
  <c r="F60" i="18"/>
  <c r="F61" i="18"/>
  <c r="F62" i="18"/>
  <c r="F63" i="18"/>
  <c r="F64" i="18"/>
  <c r="F65" i="18"/>
  <c r="F66" i="18"/>
  <c r="F67" i="18"/>
  <c r="F68" i="18"/>
  <c r="F121" i="18"/>
  <c r="F122" i="18"/>
  <c r="F123" i="18"/>
  <c r="F124" i="18"/>
  <c r="F125" i="18"/>
  <c r="F126" i="18"/>
  <c r="F127" i="18"/>
  <c r="F128" i="18"/>
  <c r="F129" i="18"/>
  <c r="F130" i="18"/>
  <c r="F131" i="18"/>
  <c r="F132" i="18"/>
  <c r="F133" i="18"/>
  <c r="F134" i="18"/>
  <c r="F135" i="18"/>
  <c r="F136" i="18"/>
  <c r="F137" i="18"/>
  <c r="F138" i="18"/>
  <c r="F139" i="18"/>
  <c r="F140" i="18"/>
  <c r="F141" i="18"/>
  <c r="F142" i="18"/>
  <c r="F143" i="18"/>
  <c r="F144" i="18"/>
  <c r="F145" i="18"/>
  <c r="F146" i="18"/>
  <c r="F147" i="18"/>
  <c r="F148" i="18"/>
  <c r="F149" i="18"/>
  <c r="F150" i="18"/>
  <c r="F151" i="18"/>
  <c r="F176" i="18"/>
  <c r="F177" i="18"/>
  <c r="F178" i="18"/>
  <c r="F179" i="18"/>
  <c r="F180" i="18"/>
  <c r="F181" i="18"/>
  <c r="F182" i="18"/>
  <c r="F183" i="18"/>
  <c r="F184" i="18"/>
  <c r="F185" i="18"/>
  <c r="F186" i="18"/>
  <c r="F187" i="18"/>
  <c r="F188" i="18"/>
  <c r="F189" i="18"/>
  <c r="F190" i="18"/>
  <c r="F191" i="18"/>
  <c r="F192" i="18"/>
  <c r="F193" i="18"/>
  <c r="F194" i="18"/>
  <c r="F195" i="18"/>
  <c r="F196" i="18"/>
  <c r="F197" i="18"/>
  <c r="F198" i="18"/>
  <c r="F199" i="18"/>
  <c r="F200" i="18"/>
  <c r="F201" i="18"/>
  <c r="F202" i="18"/>
  <c r="F203" i="18"/>
  <c r="F204" i="18"/>
  <c r="F205" i="18"/>
  <c r="F206" i="18"/>
  <c r="F207" i="18"/>
  <c r="F208" i="18"/>
  <c r="F209" i="18"/>
  <c r="F210" i="18"/>
  <c r="F211" i="18"/>
  <c r="F212" i="18"/>
  <c r="F213" i="18"/>
  <c r="F214" i="18"/>
  <c r="F215" i="18"/>
  <c r="F216" i="18"/>
  <c r="F217" i="18"/>
  <c r="F218" i="18"/>
  <c r="F219" i="18"/>
  <c r="F220" i="18"/>
  <c r="F221" i="18"/>
  <c r="F222" i="18"/>
  <c r="F223" i="18"/>
  <c r="F224" i="18"/>
  <c r="F225" i="18"/>
  <c r="F226" i="18"/>
  <c r="F227" i="18"/>
  <c r="F228" i="18"/>
  <c r="F229" i="18"/>
  <c r="F230" i="18"/>
  <c r="F231" i="18"/>
  <c r="F232" i="18"/>
  <c r="F233" i="18"/>
  <c r="F234" i="18"/>
  <c r="F235" i="18"/>
  <c r="F236" i="18"/>
  <c r="F237" i="18"/>
  <c r="F238" i="18"/>
  <c r="F239" i="18"/>
  <c r="F240" i="18"/>
  <c r="F241" i="18"/>
  <c r="F242" i="18"/>
  <c r="F243" i="18"/>
  <c r="F244" i="18"/>
  <c r="F245" i="18"/>
  <c r="F246" i="18"/>
  <c r="F247" i="18"/>
  <c r="F248" i="18"/>
  <c r="F249" i="18"/>
  <c r="F250" i="18"/>
  <c r="F251" i="18"/>
  <c r="F252" i="18"/>
  <c r="F253" i="18"/>
  <c r="F254" i="18"/>
  <c r="F255" i="18"/>
  <c r="F256" i="18"/>
  <c r="F257" i="18"/>
  <c r="F258" i="18"/>
  <c r="F259" i="18"/>
  <c r="F260" i="18"/>
  <c r="F261" i="18"/>
  <c r="F262" i="18"/>
  <c r="F263" i="18"/>
  <c r="F264" i="18"/>
  <c r="F265" i="18"/>
  <c r="F266" i="18"/>
  <c r="F267" i="18"/>
  <c r="F268" i="18"/>
  <c r="F269" i="18"/>
  <c r="F270" i="18"/>
  <c r="F271" i="18"/>
  <c r="F272" i="18"/>
  <c r="F273" i="18"/>
  <c r="F274" i="18"/>
  <c r="F275" i="18"/>
  <c r="F276" i="18"/>
  <c r="F277" i="18"/>
  <c r="F278" i="18"/>
  <c r="F279" i="18"/>
  <c r="F280" i="18"/>
  <c r="F281" i="18"/>
  <c r="F282" i="18"/>
  <c r="F283" i="18"/>
  <c r="F284" i="18"/>
  <c r="F285" i="18"/>
  <c r="F286" i="18"/>
  <c r="F287" i="18"/>
  <c r="F288" i="18"/>
  <c r="F289" i="18"/>
  <c r="F290" i="18"/>
  <c r="F291" i="18"/>
  <c r="F292" i="18"/>
  <c r="F293" i="18"/>
  <c r="F294" i="18"/>
  <c r="F295" i="18"/>
  <c r="F296" i="18"/>
  <c r="F297" i="18"/>
  <c r="F298" i="18"/>
  <c r="F299" i="18"/>
  <c r="F300" i="18"/>
  <c r="F301" i="18"/>
  <c r="F302" i="18"/>
  <c r="F303" i="18"/>
  <c r="F304" i="18"/>
  <c r="F305" i="18"/>
  <c r="F306" i="18"/>
  <c r="F307" i="18"/>
  <c r="F308" i="18"/>
  <c r="F309" i="18"/>
  <c r="F310" i="18"/>
  <c r="F311" i="18"/>
  <c r="F312" i="18"/>
  <c r="F313" i="18"/>
  <c r="F314" i="18"/>
  <c r="F315" i="18"/>
  <c r="F316" i="18"/>
  <c r="F317" i="18"/>
  <c r="F318" i="18"/>
  <c r="F319" i="18"/>
  <c r="F320" i="18"/>
  <c r="F321" i="18"/>
  <c r="F322" i="18"/>
  <c r="F323" i="18"/>
  <c r="F324" i="18"/>
  <c r="F325" i="18"/>
  <c r="F326" i="18"/>
  <c r="F327" i="18"/>
  <c r="F328" i="18"/>
  <c r="F329" i="18"/>
  <c r="F330" i="18"/>
  <c r="F331" i="18"/>
  <c r="F332" i="18"/>
  <c r="F333" i="18"/>
  <c r="F334" i="18"/>
  <c r="F335" i="18"/>
  <c r="F336" i="18"/>
  <c r="F337" i="18"/>
  <c r="F338" i="18"/>
  <c r="F339" i="18"/>
  <c r="F340" i="18"/>
  <c r="F341" i="18"/>
  <c r="F342" i="18"/>
  <c r="F343" i="18"/>
  <c r="F344" i="18"/>
  <c r="F345" i="18"/>
  <c r="F346" i="18"/>
  <c r="F347" i="18"/>
  <c r="F348" i="18"/>
  <c r="F349" i="18"/>
  <c r="F350" i="18"/>
  <c r="F351" i="18"/>
  <c r="F352" i="18"/>
  <c r="F353" i="18"/>
  <c r="F354" i="18"/>
  <c r="F355" i="18"/>
  <c r="F356" i="18"/>
  <c r="F357" i="18"/>
  <c r="F358" i="18"/>
  <c r="F359" i="18"/>
  <c r="F360" i="18"/>
  <c r="F361" i="18"/>
  <c r="F362" i="18"/>
  <c r="F363" i="18"/>
  <c r="F364" i="18"/>
  <c r="F365" i="18"/>
  <c r="F366" i="18"/>
  <c r="F367" i="18"/>
  <c r="F368" i="18"/>
  <c r="F369" i="18"/>
  <c r="F370" i="18"/>
  <c r="F371" i="18"/>
  <c r="F372" i="18"/>
  <c r="F373" i="18"/>
  <c r="F374" i="18"/>
  <c r="F375" i="18"/>
  <c r="F376" i="18"/>
  <c r="F377" i="18"/>
  <c r="F378" i="18"/>
  <c r="F379" i="18"/>
  <c r="F380" i="18"/>
  <c r="F381" i="18"/>
  <c r="F382" i="18"/>
  <c r="F383" i="18"/>
  <c r="F384" i="18"/>
  <c r="F385" i="18"/>
  <c r="F386" i="18"/>
  <c r="F387" i="18"/>
  <c r="F388" i="18"/>
  <c r="F389" i="18"/>
  <c r="F390" i="18"/>
  <c r="F391" i="18"/>
  <c r="F392" i="18"/>
  <c r="F393" i="18"/>
  <c r="F394" i="18"/>
  <c r="F395" i="18"/>
  <c r="F396" i="18"/>
  <c r="F397" i="18"/>
  <c r="F398" i="18"/>
  <c r="F399" i="18"/>
  <c r="F400" i="18"/>
  <c r="F401" i="18"/>
  <c r="F402" i="18"/>
  <c r="F403" i="18"/>
  <c r="F404" i="18"/>
  <c r="F405" i="18"/>
  <c r="F406" i="18"/>
  <c r="F407" i="18"/>
  <c r="F408" i="18"/>
  <c r="F409" i="18"/>
  <c r="F410" i="18"/>
  <c r="F411" i="18"/>
  <c r="F412" i="18"/>
  <c r="F413" i="18"/>
  <c r="F414" i="18"/>
  <c r="F415" i="18"/>
  <c r="F416" i="18"/>
  <c r="F417" i="18"/>
  <c r="F418" i="18"/>
  <c r="F419" i="18"/>
  <c r="F420" i="18"/>
  <c r="F421" i="18"/>
  <c r="F422" i="18"/>
  <c r="F423" i="18"/>
  <c r="F424" i="18"/>
  <c r="F425" i="18"/>
  <c r="F426" i="18"/>
  <c r="F427" i="18"/>
  <c r="F428" i="18"/>
  <c r="F429" i="18"/>
  <c r="F430" i="18"/>
  <c r="F431" i="18"/>
  <c r="F432" i="18"/>
  <c r="F433" i="18"/>
  <c r="F434" i="18"/>
  <c r="F435" i="18"/>
  <c r="F436" i="18"/>
  <c r="F437" i="18"/>
  <c r="F438" i="18"/>
  <c r="F439" i="18"/>
  <c r="F440" i="18"/>
  <c r="F441" i="18"/>
  <c r="F442" i="18"/>
  <c r="F443" i="18"/>
  <c r="F444" i="18"/>
  <c r="F445" i="18"/>
  <c r="F446" i="18"/>
  <c r="F447" i="18"/>
  <c r="F448" i="18"/>
  <c r="F449" i="18"/>
  <c r="F450" i="18"/>
  <c r="F451" i="18"/>
  <c r="F452" i="18"/>
  <c r="F453" i="18"/>
  <c r="F454" i="18"/>
  <c r="F455" i="18"/>
  <c r="F456" i="18"/>
  <c r="F457" i="18"/>
  <c r="F458" i="18"/>
  <c r="F459" i="18"/>
  <c r="F460" i="18"/>
  <c r="F461" i="18"/>
  <c r="F462" i="18"/>
  <c r="F463" i="18"/>
  <c r="F464" i="18"/>
  <c r="F465" i="18"/>
  <c r="F466" i="18"/>
  <c r="F467" i="18"/>
  <c r="F468" i="18"/>
  <c r="F469" i="18"/>
  <c r="F470" i="18"/>
  <c r="F471" i="18"/>
  <c r="F472" i="18"/>
  <c r="F473" i="18"/>
  <c r="F474" i="18"/>
  <c r="F475" i="18"/>
  <c r="F476" i="18"/>
  <c r="F477" i="18"/>
  <c r="F478" i="18"/>
  <c r="F479" i="18"/>
  <c r="F480" i="18"/>
  <c r="F481" i="18"/>
  <c r="F482" i="18"/>
  <c r="F483" i="18"/>
  <c r="F484" i="18"/>
  <c r="F485" i="18"/>
  <c r="F486" i="18"/>
  <c r="F487" i="18"/>
  <c r="F488" i="18"/>
  <c r="F489" i="18"/>
  <c r="F490" i="18"/>
  <c r="F491" i="18"/>
  <c r="F492" i="18"/>
  <c r="F493" i="18"/>
  <c r="F494" i="18"/>
  <c r="F495" i="18"/>
  <c r="F496" i="18"/>
  <c r="F497" i="18"/>
  <c r="F498" i="18"/>
  <c r="F499" i="18"/>
  <c r="F500" i="18"/>
  <c r="F501" i="18"/>
  <c r="F502" i="18"/>
  <c r="F503" i="18"/>
  <c r="F504" i="18"/>
  <c r="F505" i="18"/>
  <c r="F506" i="18"/>
  <c r="F507" i="18"/>
  <c r="F508" i="18"/>
  <c r="F509" i="18"/>
  <c r="F510" i="18"/>
  <c r="F511" i="18"/>
  <c r="F512" i="18"/>
  <c r="F513" i="18"/>
  <c r="F514" i="18"/>
  <c r="F515" i="18"/>
  <c r="F516" i="18"/>
  <c r="F519" i="18"/>
  <c r="F520" i="18"/>
  <c r="F521" i="18"/>
  <c r="F522" i="18"/>
  <c r="F523" i="18"/>
  <c r="F524" i="18"/>
  <c r="F525" i="18"/>
  <c r="F526" i="18"/>
  <c r="F527" i="18"/>
  <c r="F528" i="18"/>
  <c r="F529" i="18"/>
  <c r="F530" i="18"/>
  <c r="F531" i="18"/>
  <c r="F532" i="18"/>
  <c r="F533" i="18"/>
  <c r="F534" i="18"/>
  <c r="F535" i="18"/>
  <c r="F536" i="18"/>
  <c r="F537" i="18"/>
  <c r="F538" i="18"/>
  <c r="F539" i="18"/>
  <c r="F540" i="18"/>
  <c r="F541" i="18"/>
  <c r="F542" i="18"/>
  <c r="F543" i="18"/>
  <c r="F544" i="18"/>
  <c r="F545" i="18"/>
  <c r="F546" i="18"/>
  <c r="F547" i="18"/>
  <c r="F548" i="18"/>
  <c r="F549" i="18"/>
  <c r="F552" i="18"/>
  <c r="F553" i="18"/>
  <c r="F554" i="18"/>
  <c r="F555" i="18"/>
  <c r="F556" i="18"/>
  <c r="F557" i="18"/>
  <c r="F558" i="18"/>
  <c r="F559" i="18"/>
  <c r="F560" i="18"/>
  <c r="F561" i="18"/>
  <c r="F562" i="18"/>
  <c r="F563" i="18"/>
  <c r="F564" i="18"/>
  <c r="F565" i="18"/>
  <c r="F566" i="18"/>
  <c r="F567" i="18"/>
  <c r="F568" i="18"/>
  <c r="F569" i="18"/>
  <c r="F570" i="18"/>
  <c r="F571" i="18"/>
  <c r="F572" i="18"/>
  <c r="F573" i="18"/>
  <c r="F574" i="18"/>
  <c r="F575" i="18"/>
  <c r="F576" i="18"/>
  <c r="F577" i="18"/>
  <c r="F578" i="18"/>
  <c r="F579" i="18"/>
  <c r="F580" i="18"/>
  <c r="F581" i="18"/>
  <c r="F582" i="18"/>
  <c r="F585" i="18"/>
  <c r="F586" i="18"/>
  <c r="F587" i="18"/>
  <c r="F588" i="18"/>
  <c r="F589" i="18"/>
  <c r="F590" i="18"/>
  <c r="F591" i="18"/>
  <c r="F592" i="18"/>
  <c r="F593" i="18"/>
  <c r="F594" i="18"/>
  <c r="F595" i="18"/>
  <c r="F596" i="18"/>
  <c r="F597" i="18"/>
  <c r="F598" i="18"/>
  <c r="F599" i="18"/>
  <c r="F600" i="18"/>
  <c r="F601" i="18"/>
  <c r="F602" i="18"/>
  <c r="F603" i="18"/>
  <c r="F604" i="18"/>
  <c r="F605" i="18"/>
  <c r="F606" i="18"/>
  <c r="F607" i="18"/>
  <c r="F608" i="18"/>
  <c r="F609" i="18"/>
  <c r="F610" i="18"/>
  <c r="F611" i="18"/>
  <c r="F612" i="18"/>
  <c r="F613" i="18"/>
  <c r="F614" i="18"/>
  <c r="F615" i="18"/>
  <c r="F618" i="18"/>
  <c r="F619" i="18"/>
  <c r="F620" i="18"/>
  <c r="F621" i="18"/>
  <c r="F622" i="18"/>
  <c r="F623" i="18"/>
  <c r="F624" i="18"/>
  <c r="F625" i="18"/>
  <c r="F626" i="18"/>
  <c r="F627" i="18"/>
  <c r="F628" i="18"/>
  <c r="F629" i="18"/>
  <c r="F630" i="18"/>
  <c r="F631" i="18"/>
  <c r="F632" i="18"/>
  <c r="F633" i="18"/>
  <c r="F634" i="18"/>
  <c r="F635" i="18"/>
  <c r="F636" i="18"/>
  <c r="F637" i="18"/>
  <c r="F638" i="18"/>
  <c r="F639" i="18"/>
  <c r="F640" i="18"/>
  <c r="F641" i="18"/>
  <c r="F642" i="18"/>
  <c r="F643" i="18"/>
  <c r="F644" i="18"/>
  <c r="F645" i="18"/>
  <c r="F646" i="18"/>
  <c r="F647" i="18"/>
  <c r="F648" i="18"/>
  <c r="F649" i="18"/>
  <c r="F650" i="18"/>
  <c r="F651" i="18"/>
  <c r="F652" i="18"/>
  <c r="F653" i="18"/>
  <c r="F654" i="18"/>
  <c r="F655" i="18"/>
  <c r="F656" i="18"/>
  <c r="F657" i="18"/>
  <c r="F658" i="18"/>
  <c r="F659" i="18"/>
  <c r="F660" i="18"/>
  <c r="F661" i="18"/>
  <c r="F662" i="18"/>
  <c r="F663" i="18"/>
  <c r="F664" i="18"/>
  <c r="F665" i="18"/>
  <c r="F666" i="18"/>
  <c r="F667" i="18"/>
  <c r="F668" i="18"/>
  <c r="F669" i="18"/>
  <c r="F670" i="18"/>
  <c r="F671" i="18"/>
  <c r="F672" i="18"/>
  <c r="F673" i="18"/>
  <c r="F674" i="18"/>
  <c r="F675" i="18"/>
  <c r="F676" i="18"/>
  <c r="F677" i="18"/>
  <c r="F678" i="18"/>
  <c r="F679" i="18"/>
  <c r="F682" i="18"/>
  <c r="F683" i="18"/>
  <c r="F684" i="18"/>
  <c r="F685" i="18"/>
  <c r="F686" i="18"/>
  <c r="F687" i="18"/>
  <c r="F688" i="18"/>
  <c r="F689" i="18"/>
  <c r="F690" i="18"/>
  <c r="F691" i="18"/>
  <c r="F692" i="18"/>
  <c r="F693" i="18"/>
  <c r="F694" i="18"/>
  <c r="F695" i="18"/>
  <c r="F696" i="18"/>
  <c r="F697" i="18"/>
  <c r="F698" i="18"/>
  <c r="F699" i="18"/>
  <c r="F700" i="18"/>
  <c r="F701" i="18"/>
  <c r="F702" i="18"/>
  <c r="F703" i="18"/>
  <c r="F704" i="18"/>
  <c r="F705" i="18"/>
  <c r="F706" i="18"/>
  <c r="F707" i="18"/>
  <c r="F708" i="18"/>
  <c r="F709" i="18"/>
  <c r="F710" i="18"/>
  <c r="F711" i="18"/>
  <c r="F712" i="18"/>
  <c r="F713" i="18"/>
  <c r="F714" i="18"/>
  <c r="F715" i="18"/>
  <c r="F716" i="18"/>
  <c r="F717" i="18"/>
  <c r="F718" i="18"/>
  <c r="F719" i="18"/>
  <c r="F720" i="18"/>
  <c r="F721" i="18"/>
  <c r="F722" i="18"/>
  <c r="F723" i="18"/>
  <c r="F724" i="18"/>
  <c r="F725" i="18"/>
  <c r="F726" i="18"/>
  <c r="F727" i="18"/>
  <c r="F728" i="18"/>
  <c r="F729" i="18"/>
  <c r="F730" i="18"/>
  <c r="F731" i="18"/>
  <c r="F732" i="18"/>
  <c r="F733" i="18"/>
  <c r="F734" i="18"/>
  <c r="F735" i="18"/>
  <c r="F736" i="18"/>
  <c r="F737" i="18"/>
  <c r="F738" i="18"/>
  <c r="F739" i="18"/>
  <c r="F740" i="18"/>
  <c r="F741" i="18"/>
  <c r="F742" i="18"/>
  <c r="F743" i="18"/>
  <c r="F744" i="18"/>
  <c r="F745" i="18"/>
  <c r="F746" i="18"/>
  <c r="F747" i="18"/>
  <c r="F748" i="18"/>
  <c r="F749" i="18"/>
  <c r="F750" i="18"/>
  <c r="F751" i="18"/>
  <c r="F752" i="18"/>
  <c r="F753" i="18"/>
  <c r="F754" i="18"/>
  <c r="F755" i="18"/>
  <c r="F756" i="18"/>
  <c r="F757" i="18"/>
  <c r="F758" i="18"/>
  <c r="F759" i="18"/>
  <c r="F760" i="18"/>
  <c r="F761" i="18"/>
  <c r="F762" i="18"/>
  <c r="F763" i="18"/>
  <c r="F764" i="18"/>
  <c r="F765" i="18"/>
  <c r="F766" i="18"/>
  <c r="F767" i="18"/>
  <c r="F768" i="18"/>
  <c r="F769" i="18"/>
  <c r="F770" i="18"/>
  <c r="F771" i="18"/>
  <c r="F772" i="18"/>
  <c r="F773" i="18"/>
  <c r="F774" i="18"/>
  <c r="F775" i="18"/>
  <c r="F776" i="18"/>
  <c r="F777" i="18"/>
  <c r="F778" i="18"/>
  <c r="F779" i="18"/>
  <c r="F780" i="18"/>
  <c r="F781" i="18"/>
  <c r="F782" i="18"/>
  <c r="F783" i="18"/>
  <c r="F784" i="18"/>
  <c r="F785" i="18"/>
  <c r="F786" i="18"/>
  <c r="F787" i="18"/>
  <c r="F788" i="18"/>
  <c r="F789" i="18"/>
  <c r="F790" i="18"/>
  <c r="F791" i="18"/>
  <c r="F792" i="18"/>
  <c r="F793" i="18"/>
  <c r="F794" i="18"/>
  <c r="F795" i="18"/>
  <c r="F796" i="18"/>
  <c r="F797" i="18"/>
  <c r="F798" i="18"/>
  <c r="F799" i="18"/>
  <c r="F800" i="18"/>
  <c r="F801" i="18"/>
  <c r="F802" i="18"/>
  <c r="F803" i="18"/>
  <c r="F804" i="18"/>
  <c r="F805" i="18"/>
  <c r="F806" i="18"/>
  <c r="F807" i="18"/>
  <c r="F808" i="18"/>
  <c r="F809" i="18"/>
  <c r="F810" i="18"/>
  <c r="F811" i="18"/>
  <c r="F812" i="18"/>
  <c r="F813" i="18"/>
  <c r="F814" i="18"/>
  <c r="F815" i="18"/>
  <c r="F816" i="18"/>
  <c r="F817" i="18"/>
  <c r="F818" i="18"/>
  <c r="F819" i="18"/>
  <c r="F820" i="18"/>
  <c r="F821" i="18"/>
  <c r="F822" i="18"/>
  <c r="F823" i="18"/>
  <c r="F824" i="18"/>
  <c r="F825" i="18"/>
  <c r="F826" i="18"/>
  <c r="F827" i="18"/>
  <c r="F828" i="18"/>
  <c r="F829" i="18"/>
  <c r="F830" i="18"/>
  <c r="F831" i="18"/>
  <c r="F832" i="18"/>
  <c r="F833" i="18"/>
  <c r="F834" i="18"/>
  <c r="F835" i="18"/>
  <c r="F836" i="18"/>
  <c r="F837" i="18"/>
  <c r="F838" i="18"/>
  <c r="F839" i="18"/>
  <c r="F840" i="18"/>
  <c r="F841" i="18"/>
  <c r="F842" i="18"/>
  <c r="F843" i="18"/>
  <c r="F844" i="18"/>
  <c r="F845" i="18"/>
  <c r="F846" i="18"/>
  <c r="F847" i="18"/>
  <c r="F848" i="18"/>
  <c r="F849" i="18"/>
  <c r="F850" i="18"/>
  <c r="F851" i="18"/>
  <c r="F852" i="18"/>
  <c r="F853" i="18"/>
  <c r="F854" i="18"/>
  <c r="F855" i="18"/>
  <c r="F856" i="18"/>
  <c r="F857" i="18"/>
  <c r="F858" i="18"/>
  <c r="F859" i="18"/>
  <c r="F860" i="18"/>
  <c r="F861" i="18"/>
  <c r="F862" i="18"/>
  <c r="F863" i="18"/>
  <c r="F864" i="18"/>
  <c r="F865" i="18"/>
  <c r="F866" i="18"/>
  <c r="F867" i="18"/>
  <c r="F868" i="18"/>
  <c r="F869" i="18"/>
  <c r="F870" i="18"/>
  <c r="F871" i="18"/>
  <c r="F872" i="18"/>
  <c r="F873" i="18"/>
  <c r="F874" i="18"/>
  <c r="F875" i="18"/>
  <c r="F876" i="18"/>
  <c r="F877" i="18"/>
  <c r="F878" i="18"/>
  <c r="F879" i="18"/>
  <c r="F880" i="18"/>
  <c r="F881" i="18"/>
  <c r="F882" i="18"/>
  <c r="F883" i="18"/>
  <c r="F884" i="18"/>
  <c r="F885" i="18"/>
  <c r="F886" i="18"/>
  <c r="F887" i="18"/>
  <c r="F888" i="18"/>
  <c r="F889" i="18"/>
  <c r="F890" i="18"/>
  <c r="F891" i="18"/>
  <c r="F892" i="18"/>
  <c r="F893" i="18"/>
  <c r="F894" i="18"/>
  <c r="F895" i="18"/>
  <c r="F896" i="18"/>
  <c r="F897" i="18"/>
  <c r="F898" i="18"/>
  <c r="F899" i="18"/>
  <c r="F900" i="18"/>
  <c r="F901" i="18"/>
  <c r="F902" i="18"/>
  <c r="F903" i="18"/>
  <c r="F904" i="18"/>
  <c r="F905" i="18"/>
  <c r="F906" i="18"/>
  <c r="F907" i="18"/>
  <c r="F908" i="18"/>
  <c r="F909" i="18"/>
  <c r="F910" i="18"/>
  <c r="F911" i="18"/>
  <c r="F912" i="18"/>
  <c r="F913" i="18"/>
  <c r="F914" i="18"/>
  <c r="F915" i="18"/>
  <c r="F916" i="18"/>
  <c r="F917" i="18"/>
  <c r="F918" i="18"/>
  <c r="F919" i="18"/>
  <c r="F920" i="18"/>
  <c r="F921" i="18"/>
  <c r="F922" i="18"/>
  <c r="F923" i="18"/>
  <c r="F924" i="18"/>
  <c r="F925" i="18"/>
  <c r="F926" i="18"/>
  <c r="F927" i="18"/>
  <c r="F928" i="18"/>
  <c r="F929" i="18"/>
  <c r="F930" i="18"/>
  <c r="F931" i="18"/>
  <c r="F932" i="18"/>
  <c r="F933" i="18"/>
  <c r="F934" i="18"/>
  <c r="F935" i="18"/>
  <c r="F936" i="18"/>
  <c r="F937" i="18"/>
  <c r="F938" i="18"/>
  <c r="F939" i="18"/>
  <c r="F940" i="18"/>
  <c r="F941" i="18"/>
  <c r="F942" i="18"/>
  <c r="F943" i="18"/>
  <c r="F944" i="18"/>
  <c r="F945" i="18"/>
  <c r="F946" i="18"/>
  <c r="F947" i="18"/>
  <c r="F948" i="18"/>
  <c r="F949" i="18"/>
  <c r="F950" i="18"/>
  <c r="F951" i="18"/>
  <c r="F952" i="18"/>
  <c r="F953" i="18"/>
  <c r="F954" i="18"/>
  <c r="F955" i="18"/>
  <c r="F956" i="18"/>
  <c r="F957" i="18"/>
  <c r="F958" i="18"/>
  <c r="F959" i="18"/>
  <c r="F960" i="18"/>
  <c r="F961" i="18"/>
  <c r="F962" i="18"/>
  <c r="F963" i="18"/>
  <c r="F964" i="18"/>
  <c r="F965" i="18"/>
  <c r="F966" i="18"/>
  <c r="F967" i="18"/>
  <c r="F968" i="18"/>
  <c r="F969" i="18"/>
  <c r="F970" i="18"/>
  <c r="F971" i="18"/>
  <c r="F972" i="18"/>
  <c r="F973" i="18"/>
  <c r="F974" i="18"/>
  <c r="F975" i="18"/>
  <c r="F976" i="18"/>
  <c r="F977" i="18"/>
  <c r="F978" i="18"/>
  <c r="F979" i="18"/>
  <c r="F980" i="18"/>
  <c r="F981" i="18"/>
  <c r="F982" i="18"/>
  <c r="F983" i="18"/>
  <c r="F984" i="18"/>
  <c r="F985" i="18"/>
  <c r="F986" i="18"/>
  <c r="F987" i="18"/>
  <c r="F988" i="18"/>
  <c r="F989" i="18"/>
  <c r="F990" i="18"/>
  <c r="F991" i="18"/>
  <c r="F992" i="18"/>
  <c r="F993" i="18"/>
  <c r="F994" i="18"/>
  <c r="F995" i="18"/>
  <c r="F996" i="18"/>
  <c r="F997" i="18"/>
  <c r="F998" i="18"/>
  <c r="F999" i="18"/>
  <c r="F1000" i="18"/>
  <c r="F1001" i="18"/>
  <c r="F1002" i="18"/>
  <c r="F1003" i="18"/>
  <c r="F1004" i="18"/>
  <c r="F1005" i="18"/>
  <c r="F1006" i="18"/>
  <c r="F1007" i="18"/>
  <c r="F1008" i="18"/>
  <c r="F1009" i="18"/>
  <c r="F1010" i="18"/>
  <c r="F1011" i="18"/>
  <c r="F1012" i="18"/>
  <c r="F1013" i="18"/>
  <c r="F1014" i="18"/>
  <c r="F1015" i="18"/>
  <c r="F1016" i="18"/>
  <c r="F1017" i="18"/>
  <c r="F1018" i="18"/>
  <c r="F1019" i="18"/>
  <c r="F1020" i="18"/>
  <c r="F1021" i="18"/>
  <c r="F1022" i="18"/>
  <c r="F1023" i="18"/>
  <c r="F1024" i="18"/>
  <c r="F1025" i="18"/>
  <c r="F1026" i="18"/>
  <c r="F1027" i="18"/>
  <c r="F1028" i="18"/>
  <c r="F1029" i="18"/>
  <c r="F1030" i="18"/>
  <c r="F1031" i="18"/>
  <c r="F1032" i="18"/>
  <c r="F1033" i="18"/>
  <c r="F1034" i="18"/>
  <c r="F1035" i="18"/>
  <c r="F1036" i="18"/>
  <c r="F1037" i="18"/>
  <c r="F1038" i="18"/>
  <c r="F1039" i="18"/>
  <c r="F1040" i="18"/>
  <c r="F1041" i="18"/>
  <c r="F1042" i="18"/>
  <c r="F1043" i="18"/>
  <c r="F1044" i="18"/>
  <c r="F1045" i="18"/>
  <c r="F1046" i="18"/>
  <c r="F1047" i="18"/>
  <c r="F1048" i="18"/>
  <c r="F1049" i="18"/>
  <c r="F1050" i="18"/>
  <c r="F1051" i="18"/>
  <c r="F1052" i="18"/>
  <c r="F1053" i="18"/>
  <c r="F1054" i="18"/>
  <c r="F1055" i="18"/>
  <c r="F1056" i="18"/>
  <c r="F1057" i="18"/>
  <c r="F1058" i="18"/>
  <c r="F1059" i="18"/>
  <c r="F1060" i="18"/>
  <c r="F1061" i="18"/>
  <c r="F1062" i="18"/>
  <c r="F1063" i="18"/>
  <c r="F1064" i="18"/>
  <c r="F1065" i="18"/>
  <c r="F1066" i="18"/>
  <c r="F1067" i="18"/>
  <c r="F1068" i="18"/>
  <c r="F1069" i="18"/>
  <c r="F1070" i="18"/>
  <c r="F1071" i="18"/>
  <c r="F1072" i="18"/>
  <c r="F1073" i="18"/>
  <c r="F1074" i="18"/>
  <c r="F1075" i="18"/>
  <c r="F1076" i="18"/>
  <c r="F1077" i="18"/>
  <c r="F1078" i="18"/>
  <c r="F1079" i="18"/>
  <c r="F1080" i="18"/>
  <c r="F1081" i="18"/>
  <c r="F1082" i="18"/>
  <c r="F1083" i="18"/>
  <c r="F1084" i="18"/>
  <c r="F1085" i="18"/>
  <c r="F1086" i="18"/>
  <c r="F1087" i="18"/>
  <c r="F1088" i="18"/>
  <c r="F1089" i="18"/>
  <c r="F1090" i="18"/>
  <c r="F1091" i="18"/>
  <c r="F1092" i="18"/>
  <c r="F1093" i="18"/>
  <c r="F1094" i="18"/>
  <c r="F1095" i="18"/>
  <c r="F1096" i="18"/>
  <c r="F1097" i="18"/>
  <c r="F1098" i="18"/>
  <c r="F1099" i="18"/>
  <c r="F1100" i="18"/>
  <c r="F1101" i="18"/>
  <c r="F1102" i="18"/>
  <c r="F1103" i="18"/>
  <c r="F1104" i="18"/>
  <c r="F1105" i="18"/>
  <c r="F1106" i="18"/>
  <c r="F1107" i="18"/>
  <c r="F1108" i="18"/>
  <c r="F1109" i="18"/>
  <c r="F1110" i="18"/>
  <c r="F1111" i="18"/>
  <c r="F1112" i="18"/>
  <c r="F1113" i="18"/>
  <c r="F1114" i="18"/>
  <c r="F1115" i="18"/>
  <c r="F1116" i="18"/>
  <c r="F1117" i="18"/>
  <c r="F1118" i="18"/>
  <c r="F1119" i="18"/>
  <c r="F1120" i="18"/>
  <c r="F1121" i="18"/>
  <c r="F1122" i="18"/>
  <c r="F1123" i="18"/>
  <c r="F1124" i="18"/>
  <c r="F1125" i="18"/>
  <c r="F1126" i="18"/>
  <c r="F1127" i="18"/>
  <c r="F1128" i="18"/>
  <c r="F1129" i="18"/>
  <c r="F1130" i="18"/>
  <c r="F1131" i="18"/>
  <c r="F1132" i="18"/>
  <c r="F1133" i="18"/>
  <c r="F1134" i="18"/>
  <c r="F1135" i="18"/>
  <c r="F1136" i="18"/>
  <c r="F1137" i="18"/>
  <c r="F1138" i="18"/>
  <c r="F1139" i="18"/>
  <c r="F1140" i="18"/>
  <c r="F1141" i="18"/>
  <c r="F1142" i="18"/>
  <c r="F1143" i="18"/>
  <c r="F1144" i="18"/>
  <c r="F1145" i="18"/>
  <c r="F1146" i="18"/>
  <c r="F1147" i="18"/>
  <c r="F1148" i="18"/>
  <c r="F1149" i="18"/>
  <c r="F1150" i="18"/>
  <c r="F1151" i="18"/>
  <c r="F1152" i="18"/>
  <c r="F1153" i="18"/>
  <c r="F1154" i="18"/>
  <c r="F1155" i="18"/>
  <c r="F1156" i="18"/>
  <c r="F1157" i="18"/>
  <c r="F1158" i="18"/>
  <c r="F1159" i="18"/>
  <c r="F1160" i="18"/>
  <c r="F1161" i="18"/>
  <c r="F1162" i="18"/>
  <c r="F1163" i="18"/>
  <c r="F1164" i="18"/>
  <c r="F1165" i="18"/>
  <c r="F1166" i="18"/>
  <c r="F1167" i="18"/>
  <c r="F1168" i="18"/>
  <c r="F1169" i="18"/>
  <c r="F1170" i="18"/>
  <c r="F1171" i="18"/>
  <c r="F1172" i="18"/>
  <c r="F1173" i="18"/>
  <c r="F1174" i="18"/>
  <c r="F1175" i="18"/>
  <c r="F1176" i="18"/>
  <c r="F1177" i="18"/>
  <c r="F1178" i="18"/>
  <c r="F1179" i="18"/>
  <c r="F1180" i="18"/>
  <c r="F1181" i="18"/>
  <c r="F1182" i="18"/>
  <c r="F1183" i="18"/>
  <c r="F1184" i="18"/>
  <c r="F1185" i="18"/>
  <c r="F1186" i="18"/>
  <c r="F1187" i="18"/>
  <c r="F1188" i="18"/>
  <c r="F1189" i="18"/>
  <c r="F1190" i="18"/>
  <c r="F1191" i="18"/>
  <c r="F1192" i="18"/>
  <c r="F1193" i="18"/>
  <c r="F1194" i="18"/>
  <c r="F1195" i="18"/>
  <c r="F1196" i="18"/>
  <c r="F1197" i="18"/>
  <c r="F1198" i="18"/>
  <c r="F1199" i="18"/>
  <c r="F1200" i="18"/>
  <c r="F1201" i="18"/>
  <c r="F1202" i="18"/>
  <c r="F1203" i="18"/>
  <c r="F1204" i="18"/>
  <c r="F1205" i="18"/>
  <c r="F1206" i="18"/>
  <c r="F1207" i="18"/>
  <c r="F1208" i="18"/>
  <c r="F1209" i="18"/>
  <c r="F1210" i="18"/>
  <c r="F1211" i="18"/>
  <c r="F1212" i="18"/>
  <c r="F1213" i="18"/>
  <c r="F1214" i="18"/>
  <c r="F1215" i="18"/>
  <c r="F1216" i="18"/>
  <c r="F1217" i="18"/>
  <c r="F1218" i="18"/>
  <c r="F1219" i="18"/>
  <c r="F1220" i="18"/>
  <c r="F1221" i="18"/>
  <c r="F1222" i="18"/>
  <c r="F1223" i="18"/>
  <c r="F1224" i="18"/>
  <c r="F1225" i="18"/>
  <c r="F1226" i="18"/>
  <c r="F1227" i="18"/>
  <c r="F1228" i="18"/>
  <c r="F1229" i="18"/>
  <c r="F1230" i="18"/>
  <c r="F1231" i="18"/>
  <c r="F1232" i="18"/>
  <c r="F1233" i="18"/>
  <c r="F1234" i="18"/>
  <c r="F1235" i="18"/>
  <c r="F1236" i="18"/>
  <c r="F1237" i="18"/>
  <c r="F1238" i="18"/>
  <c r="F1239" i="18"/>
  <c r="F1240" i="18"/>
  <c r="F1241" i="18"/>
  <c r="F1242" i="18"/>
  <c r="F1243" i="18"/>
  <c r="F1244" i="18"/>
  <c r="F1245" i="18"/>
  <c r="F1246" i="18"/>
  <c r="F1247" i="18"/>
  <c r="F1248" i="18"/>
  <c r="F1249" i="18"/>
  <c r="F1250" i="18"/>
  <c r="F1251" i="18"/>
  <c r="F1252" i="18"/>
  <c r="F1253" i="18"/>
  <c r="F1254" i="18"/>
  <c r="F1255" i="18"/>
  <c r="F1256" i="18"/>
  <c r="F1257" i="18"/>
  <c r="F1258" i="18"/>
  <c r="F1259" i="18"/>
  <c r="F1260" i="18"/>
  <c r="F1261" i="18"/>
  <c r="F1262" i="18"/>
  <c r="F1263" i="18"/>
  <c r="F1264" i="18"/>
  <c r="F1265" i="18"/>
  <c r="F1266" i="18"/>
  <c r="F1267" i="18"/>
  <c r="F1268" i="18"/>
  <c r="F1269" i="18"/>
  <c r="F1270" i="18"/>
  <c r="F1271" i="18"/>
  <c r="F1272" i="18"/>
  <c r="F1273" i="18"/>
  <c r="F1274" i="18"/>
  <c r="F1275" i="18"/>
  <c r="F1276" i="18"/>
  <c r="F1277" i="18"/>
  <c r="F1278" i="18"/>
  <c r="F1279" i="18"/>
  <c r="F1280" i="18"/>
  <c r="F1281" i="18"/>
  <c r="F1282" i="18"/>
  <c r="F1283" i="18"/>
  <c r="F1284" i="18"/>
  <c r="F1285" i="18"/>
  <c r="F1286" i="18"/>
  <c r="F1287" i="18"/>
  <c r="F1288" i="18"/>
  <c r="F1289" i="18"/>
  <c r="F1290" i="18"/>
  <c r="F1291" i="18"/>
  <c r="F1292" i="18"/>
  <c r="F1293" i="18"/>
  <c r="F1294" i="18"/>
  <c r="F1295" i="18"/>
  <c r="F1296" i="18"/>
  <c r="F1297" i="18"/>
  <c r="F1298" i="18"/>
  <c r="F1299" i="18"/>
  <c r="F1300" i="18"/>
  <c r="F1301" i="18"/>
  <c r="F1302" i="18"/>
  <c r="F1303" i="18"/>
  <c r="F1304" i="18"/>
  <c r="F1305" i="18"/>
  <c r="F1306" i="18"/>
  <c r="F1307" i="18"/>
  <c r="F1308" i="18"/>
  <c r="F1309" i="18"/>
  <c r="F1310" i="18"/>
  <c r="F1311" i="18"/>
  <c r="F1312" i="18"/>
  <c r="F1313" i="18"/>
  <c r="F1314" i="18"/>
  <c r="F1315" i="18"/>
  <c r="F1316" i="18"/>
  <c r="F1317" i="18"/>
  <c r="F1318" i="18"/>
  <c r="F1319" i="18"/>
  <c r="F1320" i="18"/>
  <c r="F1321" i="18"/>
  <c r="F1322" i="18"/>
  <c r="F1323" i="18"/>
  <c r="F1324" i="18"/>
  <c r="F1325" i="18"/>
  <c r="F1326" i="18"/>
  <c r="F1327" i="18"/>
  <c r="F1328" i="18"/>
  <c r="F1329" i="18"/>
  <c r="F1330" i="18"/>
  <c r="F1331" i="18"/>
  <c r="F1332" i="18"/>
  <c r="F1333" i="18"/>
  <c r="F1334" i="18"/>
  <c r="F1335" i="18"/>
  <c r="F1336" i="18"/>
  <c r="F1337" i="18"/>
  <c r="F1338" i="18"/>
  <c r="F1339" i="18"/>
  <c r="F1340" i="18"/>
  <c r="F1341" i="18"/>
  <c r="F1342" i="18"/>
  <c r="F1343" i="18"/>
  <c r="F1344" i="18"/>
  <c r="F1345" i="18"/>
  <c r="F1346" i="18"/>
  <c r="F1347" i="18"/>
  <c r="F1348" i="18"/>
  <c r="F1349" i="18"/>
  <c r="F1350" i="18"/>
  <c r="F1351" i="18"/>
  <c r="F1352" i="18"/>
  <c r="F1353" i="18"/>
  <c r="F1354" i="18"/>
  <c r="F1355" i="18"/>
  <c r="F1356" i="18"/>
  <c r="F1357" i="18"/>
  <c r="F1358" i="18"/>
  <c r="F1359" i="18"/>
  <c r="F1360" i="18"/>
  <c r="F1361" i="18"/>
  <c r="F1362" i="18"/>
  <c r="F1363" i="18"/>
  <c r="F1364" i="18"/>
  <c r="F1365" i="18"/>
  <c r="F1366" i="18"/>
  <c r="F1367" i="18"/>
  <c r="F1368" i="18"/>
  <c r="F1369" i="18"/>
  <c r="F1370" i="18"/>
  <c r="F1371" i="18"/>
  <c r="F1372" i="18"/>
  <c r="F1373" i="18"/>
  <c r="F1374" i="18"/>
  <c r="F1375" i="18"/>
  <c r="F1376" i="18"/>
  <c r="F1377" i="18"/>
  <c r="F1378" i="18"/>
  <c r="F1379" i="18"/>
  <c r="F1380" i="18"/>
  <c r="F1381" i="18"/>
  <c r="F1382" i="18"/>
  <c r="F1383" i="18"/>
  <c r="F1384" i="18"/>
  <c r="F1385" i="18"/>
  <c r="F1386" i="18"/>
  <c r="F1387" i="18"/>
  <c r="F1388" i="18"/>
  <c r="F1389" i="18"/>
  <c r="F1390" i="18"/>
  <c r="F1391" i="18"/>
  <c r="F1392" i="18"/>
  <c r="F1393" i="18"/>
  <c r="F1394" i="18"/>
  <c r="F1395" i="18"/>
  <c r="F1396" i="18"/>
  <c r="F1397" i="18"/>
  <c r="F1398" i="18"/>
  <c r="F1399" i="18"/>
  <c r="F1400" i="18"/>
  <c r="F1401" i="18"/>
  <c r="F1402" i="18"/>
  <c r="F1403" i="18"/>
  <c r="F1404" i="18"/>
  <c r="F1405" i="18"/>
  <c r="F1406" i="18"/>
  <c r="F1407" i="18"/>
  <c r="F1408" i="18"/>
  <c r="F1409" i="18"/>
  <c r="F1410" i="18"/>
  <c r="F1411" i="18"/>
  <c r="F1412" i="18"/>
  <c r="F1413" i="18"/>
  <c r="F1414" i="18"/>
  <c r="F1415" i="18"/>
  <c r="F1416" i="18"/>
  <c r="F1417" i="18"/>
  <c r="F1418" i="18"/>
  <c r="F1419" i="18"/>
  <c r="F1420" i="18"/>
  <c r="F1421" i="18"/>
  <c r="F1422" i="18"/>
  <c r="F1423" i="18"/>
  <c r="F1424" i="18"/>
  <c r="F1425" i="18"/>
  <c r="F1426" i="18"/>
  <c r="F1427" i="18"/>
  <c r="F1428" i="18"/>
  <c r="F1429" i="18"/>
  <c r="F1430" i="18"/>
  <c r="F1431" i="18"/>
  <c r="F1432" i="18"/>
  <c r="F1433" i="18"/>
  <c r="F1434" i="18"/>
  <c r="F1435" i="18"/>
  <c r="F1436" i="18"/>
  <c r="F1437" i="18"/>
  <c r="F1438" i="18"/>
  <c r="F1439" i="18"/>
  <c r="F1440" i="18"/>
  <c r="F1441" i="18"/>
  <c r="F1442" i="18"/>
  <c r="F1443" i="18"/>
  <c r="F1444" i="18"/>
  <c r="F1445" i="18"/>
  <c r="F1446" i="18"/>
  <c r="F1447" i="18"/>
  <c r="F1448" i="18"/>
  <c r="F1449" i="18"/>
  <c r="F1450" i="18"/>
  <c r="F1451" i="18"/>
  <c r="F1452" i="18"/>
  <c r="F1453" i="18"/>
  <c r="F1454" i="18"/>
  <c r="F1455" i="18"/>
  <c r="F1456" i="18"/>
  <c r="F1457" i="18"/>
  <c r="F1458" i="18"/>
  <c r="F1459" i="18"/>
  <c r="F1460" i="18"/>
  <c r="F1461" i="18"/>
  <c r="F1462" i="18"/>
  <c r="F1463" i="18"/>
  <c r="F1464" i="18"/>
  <c r="F1465" i="18"/>
  <c r="F1466" i="18"/>
  <c r="F1467" i="18"/>
  <c r="F1468" i="18"/>
  <c r="F1469" i="18"/>
  <c r="F1470" i="18"/>
  <c r="F1471" i="18"/>
  <c r="F1472" i="18"/>
  <c r="F1473" i="18"/>
  <c r="F1474" i="18"/>
  <c r="F1475" i="18"/>
  <c r="F1476" i="18"/>
  <c r="F1477" i="18"/>
  <c r="F1478" i="18"/>
  <c r="F1479" i="18"/>
  <c r="F1480" i="18"/>
  <c r="F1481" i="18"/>
  <c r="F1482" i="18"/>
  <c r="F1483" i="18"/>
  <c r="F1484" i="18"/>
  <c r="F1485" i="18"/>
  <c r="F1486" i="18"/>
  <c r="F1487" i="18"/>
  <c r="F1488" i="18"/>
  <c r="F1489" i="18"/>
  <c r="F1490" i="18"/>
  <c r="F1491" i="18"/>
  <c r="F1492" i="18"/>
  <c r="F1493" i="18"/>
  <c r="F1494" i="18"/>
  <c r="F1495" i="18"/>
  <c r="F1496" i="18"/>
  <c r="F1497" i="18"/>
  <c r="F1498" i="18"/>
  <c r="F1499" i="18"/>
  <c r="F1500" i="18"/>
  <c r="F1501" i="18"/>
  <c r="F1502" i="18"/>
  <c r="F1503" i="18"/>
  <c r="F1504" i="18"/>
  <c r="F1505" i="18"/>
  <c r="F1506" i="18"/>
  <c r="F1507" i="18"/>
  <c r="F1508" i="18"/>
  <c r="F1509" i="18"/>
  <c r="F1510" i="18"/>
  <c r="F1511" i="18"/>
  <c r="F1512" i="18"/>
  <c r="F1513" i="18"/>
  <c r="F1514" i="18"/>
  <c r="F1515" i="18"/>
  <c r="F1516" i="18"/>
  <c r="F1517" i="18"/>
  <c r="F1518" i="18"/>
  <c r="F1519" i="18"/>
  <c r="F1520" i="18"/>
  <c r="F1521" i="18"/>
  <c r="F1522" i="18"/>
  <c r="F1523" i="18"/>
  <c r="F1524" i="18"/>
  <c r="F1525" i="18"/>
  <c r="F1526" i="18"/>
  <c r="F1527" i="18"/>
  <c r="F1528" i="18"/>
  <c r="F1529" i="18"/>
  <c r="F1530" i="18"/>
  <c r="F1531" i="18"/>
  <c r="F1532" i="18"/>
  <c r="F1533" i="18"/>
  <c r="F1534" i="18"/>
  <c r="F1535" i="18"/>
  <c r="F1536" i="18"/>
  <c r="F1537" i="18"/>
  <c r="F1538" i="18"/>
  <c r="F1539" i="18"/>
  <c r="F1540" i="18"/>
  <c r="F1541" i="18"/>
  <c r="F1542" i="18"/>
  <c r="F1543" i="18"/>
  <c r="F1544" i="18"/>
  <c r="F1545" i="18"/>
  <c r="F1546" i="18"/>
  <c r="F1547" i="18"/>
  <c r="F1548" i="18"/>
  <c r="F1549" i="18"/>
  <c r="F1550" i="18"/>
  <c r="F1551" i="18"/>
  <c r="F1552" i="18"/>
  <c r="F1553" i="18"/>
  <c r="F1554" i="18"/>
  <c r="F1555" i="18"/>
  <c r="F1556" i="18"/>
  <c r="F1557" i="18"/>
  <c r="F1558" i="18"/>
  <c r="F1559" i="18"/>
  <c r="F1560" i="18"/>
  <c r="F1561" i="18"/>
  <c r="F1562" i="18"/>
  <c r="F1563" i="18"/>
  <c r="F1564" i="18"/>
  <c r="F1565" i="18"/>
  <c r="F1566" i="18"/>
  <c r="F1567" i="18"/>
  <c r="F1568" i="18"/>
  <c r="F1569" i="18"/>
  <c r="F1570" i="18"/>
  <c r="F1571" i="18"/>
  <c r="F1572" i="18"/>
  <c r="F1573" i="18"/>
  <c r="F1574" i="18"/>
  <c r="F1575" i="18"/>
  <c r="F1576" i="18"/>
  <c r="F1577" i="18"/>
  <c r="F1578" i="18"/>
  <c r="F1579" i="18"/>
  <c r="F1580" i="18"/>
  <c r="F1581" i="18"/>
  <c r="F1582" i="18"/>
  <c r="F1583" i="18"/>
  <c r="F1584" i="18"/>
  <c r="F1585" i="18"/>
  <c r="F1586" i="18"/>
  <c r="F1587" i="18"/>
  <c r="F1588" i="18"/>
  <c r="F1589" i="18"/>
  <c r="F1590" i="18"/>
  <c r="F1591" i="18"/>
  <c r="F1592" i="18"/>
  <c r="F1593" i="18"/>
  <c r="F1594" i="18"/>
  <c r="F1595" i="18"/>
  <c r="F1596" i="18"/>
  <c r="F1597" i="18"/>
  <c r="F1598" i="18"/>
  <c r="F1599" i="18"/>
  <c r="F1600" i="18"/>
  <c r="F1601" i="18"/>
  <c r="F1602" i="18"/>
  <c r="F1603" i="18"/>
  <c r="F1604" i="18"/>
  <c r="F1605" i="18"/>
  <c r="F1606" i="18"/>
  <c r="F1607" i="18"/>
  <c r="F1608" i="18"/>
  <c r="F1609" i="18"/>
  <c r="F1610" i="18"/>
  <c r="F1611" i="18"/>
  <c r="F1612" i="18"/>
  <c r="F1613" i="18"/>
  <c r="F1614" i="18"/>
  <c r="F1615" i="18"/>
  <c r="F1616" i="18"/>
  <c r="F1617" i="18"/>
  <c r="F1618" i="18"/>
  <c r="F1619" i="18"/>
  <c r="F1620" i="18"/>
  <c r="F1621" i="18"/>
  <c r="F1622" i="18"/>
  <c r="F1623" i="18"/>
  <c r="F1624" i="18"/>
  <c r="F1625" i="18"/>
  <c r="F1626" i="18"/>
  <c r="F1627" i="18"/>
  <c r="F1628" i="18"/>
  <c r="F1629" i="18"/>
  <c r="F1630" i="18"/>
  <c r="F1631" i="18"/>
  <c r="F1632" i="18"/>
  <c r="F1633" i="18"/>
  <c r="F1634" i="18"/>
  <c r="F1635" i="18"/>
  <c r="F1636" i="18"/>
  <c r="F1637" i="18"/>
  <c r="F1638" i="18"/>
  <c r="F1639" i="18"/>
  <c r="F1640" i="18"/>
  <c r="F1641" i="18"/>
  <c r="F1642" i="18"/>
  <c r="F1643" i="18"/>
  <c r="F1644" i="18"/>
  <c r="F1645" i="18"/>
  <c r="F1646" i="18"/>
  <c r="F1647" i="18"/>
  <c r="F1648" i="18"/>
  <c r="F1649" i="18"/>
  <c r="F1650" i="18"/>
  <c r="F1651" i="18"/>
  <c r="F1652" i="18"/>
  <c r="F1653" i="18"/>
  <c r="F1654" i="18"/>
  <c r="F1655" i="18"/>
  <c r="F1656" i="18"/>
  <c r="F1657" i="18"/>
  <c r="F1658" i="18"/>
  <c r="F1659" i="18"/>
  <c r="F1660" i="18"/>
  <c r="F1661" i="18"/>
  <c r="F1662" i="18"/>
  <c r="F1663" i="18"/>
  <c r="F1664" i="18"/>
  <c r="F1665" i="18"/>
  <c r="F1666" i="18"/>
  <c r="F1667" i="18"/>
  <c r="F1668" i="18"/>
  <c r="F1669" i="18"/>
  <c r="F1670" i="18"/>
  <c r="F1671" i="18"/>
  <c r="F1672" i="18"/>
  <c r="F1673" i="18"/>
  <c r="F1674" i="18"/>
  <c r="F1675" i="18"/>
  <c r="F1676" i="18"/>
  <c r="F1677" i="18"/>
  <c r="F1678" i="18"/>
  <c r="F1679" i="18"/>
  <c r="F1680" i="18"/>
  <c r="F1681" i="18"/>
  <c r="F1682" i="18"/>
  <c r="F1683" i="18"/>
  <c r="F1684" i="18"/>
  <c r="F1685" i="18"/>
  <c r="F1686" i="18"/>
  <c r="F1687" i="18"/>
  <c r="F1688" i="18"/>
  <c r="F1689" i="18"/>
  <c r="F1690" i="18"/>
  <c r="F1691" i="18"/>
  <c r="F1692" i="18"/>
  <c r="F1693" i="18"/>
  <c r="F1694" i="18"/>
  <c r="F1695" i="18"/>
  <c r="F1696" i="18"/>
  <c r="F1697" i="18"/>
  <c r="F1698" i="18"/>
  <c r="F1699" i="18"/>
  <c r="F1700" i="18"/>
  <c r="F1701" i="18"/>
  <c r="F1702" i="18"/>
  <c r="F1703" i="18"/>
  <c r="F1704" i="18"/>
  <c r="F1705" i="18"/>
  <c r="F1706" i="18"/>
  <c r="F1707" i="18"/>
  <c r="F1708" i="18"/>
  <c r="F1709" i="18"/>
  <c r="F1710" i="18"/>
  <c r="F1711" i="18"/>
  <c r="F1712" i="18"/>
  <c r="F1713" i="18"/>
  <c r="F1714" i="18"/>
  <c r="F1715" i="18"/>
  <c r="F1716" i="18"/>
  <c r="F1717" i="18"/>
  <c r="F1718" i="18"/>
  <c r="F1719" i="18"/>
  <c r="F1720" i="18"/>
  <c r="F1721" i="18"/>
  <c r="F1722" i="18"/>
  <c r="F1723" i="18"/>
  <c r="F1724" i="18"/>
  <c r="F1725" i="18"/>
  <c r="F1726" i="18"/>
  <c r="F1727" i="18"/>
  <c r="F1728" i="18"/>
  <c r="F1729" i="18"/>
  <c r="F1730" i="18"/>
  <c r="F1731" i="18"/>
  <c r="F1732" i="18"/>
  <c r="F1733" i="18"/>
  <c r="F1734" i="18"/>
  <c r="F1735" i="18"/>
  <c r="F1736" i="18"/>
  <c r="F1737" i="18"/>
  <c r="F1738" i="18"/>
  <c r="F1739" i="18"/>
  <c r="F1740" i="18"/>
  <c r="F1741" i="18"/>
  <c r="F1742" i="18"/>
  <c r="F1743" i="18"/>
  <c r="F1744" i="18"/>
  <c r="F1745" i="18"/>
  <c r="F1746" i="18"/>
  <c r="F1747" i="18"/>
  <c r="F1748" i="18"/>
  <c r="F1749" i="18"/>
  <c r="F1750" i="18"/>
  <c r="F1751" i="18"/>
  <c r="F1752" i="18"/>
  <c r="F1753" i="18"/>
  <c r="F1754" i="18"/>
  <c r="F1755" i="18"/>
  <c r="F1756" i="18"/>
  <c r="F1757" i="18"/>
  <c r="F1758" i="18"/>
  <c r="F1759" i="18"/>
  <c r="F1760" i="18"/>
  <c r="F1761" i="18"/>
  <c r="F1762" i="18"/>
  <c r="F1763" i="18"/>
  <c r="F1764" i="18"/>
  <c r="F1765" i="18"/>
  <c r="F1766" i="18"/>
  <c r="F1767" i="18"/>
  <c r="F1768" i="18"/>
  <c r="F1769" i="18"/>
  <c r="F1770" i="18"/>
  <c r="F1771" i="18"/>
  <c r="F1772" i="18"/>
  <c r="F1773" i="18"/>
  <c r="F1774" i="18"/>
  <c r="F1775" i="18"/>
  <c r="F1776" i="18"/>
  <c r="F1777" i="18"/>
  <c r="F1778" i="18"/>
  <c r="F1779" i="18"/>
  <c r="F1780" i="18"/>
  <c r="F1781" i="18"/>
  <c r="F1782" i="18"/>
  <c r="F1783" i="18"/>
  <c r="F1784" i="18"/>
  <c r="F1785" i="18"/>
  <c r="F1786" i="18"/>
  <c r="F1787" i="18"/>
  <c r="F1788" i="18"/>
  <c r="F1789" i="18"/>
  <c r="F1790" i="18"/>
  <c r="F1791" i="18"/>
  <c r="F1792" i="18"/>
  <c r="F1793" i="18"/>
  <c r="F1794" i="18"/>
  <c r="F1795" i="18"/>
  <c r="F1796" i="18"/>
  <c r="F1797" i="18"/>
  <c r="F1798" i="18"/>
  <c r="F1799" i="18"/>
  <c r="F1800" i="18"/>
  <c r="F1801" i="18"/>
  <c r="F1802" i="18"/>
  <c r="F1803" i="18"/>
  <c r="F1804" i="18"/>
  <c r="F1805" i="18"/>
  <c r="F1806" i="18"/>
  <c r="F1807" i="18"/>
  <c r="F1808" i="18"/>
  <c r="F1809" i="18"/>
  <c r="F1810" i="18"/>
  <c r="F1811" i="18"/>
  <c r="F1812" i="18"/>
  <c r="F1813" i="18"/>
  <c r="F1814" i="18"/>
  <c r="F1815" i="18"/>
  <c r="F1816" i="18"/>
  <c r="F1817" i="18"/>
  <c r="F1818" i="18"/>
  <c r="F1819" i="18"/>
  <c r="F1820" i="18"/>
  <c r="F1821" i="18"/>
  <c r="F1822" i="18"/>
  <c r="F1823" i="18"/>
  <c r="F1824" i="18"/>
  <c r="F1825" i="18"/>
  <c r="F1826" i="18"/>
  <c r="F1827" i="18"/>
  <c r="F1828" i="18"/>
  <c r="F1829" i="18"/>
  <c r="F1830" i="18"/>
  <c r="F1831" i="18"/>
  <c r="F1832" i="18"/>
  <c r="F1833" i="18"/>
  <c r="F1834" i="18"/>
  <c r="F1835" i="18"/>
  <c r="F1836" i="18"/>
  <c r="F1837" i="18"/>
  <c r="F1838" i="18"/>
  <c r="F1839" i="18"/>
  <c r="F1840" i="18"/>
  <c r="F1841" i="18"/>
  <c r="F1842" i="18"/>
  <c r="F1843" i="18"/>
  <c r="F1844" i="18"/>
  <c r="F1845" i="18"/>
  <c r="F1846" i="18"/>
  <c r="F1847" i="18"/>
  <c r="F1848" i="18"/>
  <c r="F1849" i="18"/>
  <c r="F1850" i="18"/>
  <c r="F1851" i="18"/>
  <c r="F1852" i="18"/>
  <c r="F1853" i="18"/>
  <c r="F1854" i="18"/>
  <c r="F1855" i="18"/>
  <c r="F1856" i="18"/>
  <c r="F1857" i="18"/>
  <c r="F1858" i="18"/>
  <c r="F1859" i="18"/>
  <c r="F1860" i="18"/>
  <c r="F1861" i="18"/>
  <c r="F1862" i="18"/>
  <c r="F1863" i="18"/>
  <c r="F1864" i="18"/>
  <c r="F1865" i="18"/>
  <c r="F1866" i="18"/>
  <c r="F1867" i="18"/>
  <c r="F1868" i="18"/>
  <c r="F1869" i="18"/>
  <c r="F1870" i="18"/>
  <c r="F1871" i="18"/>
  <c r="F1872" i="18"/>
  <c r="F1873" i="18"/>
  <c r="F1874" i="18"/>
  <c r="F1875" i="18"/>
  <c r="F1876" i="18"/>
  <c r="F1877" i="18"/>
  <c r="F1878" i="18"/>
  <c r="F1879" i="18"/>
  <c r="F1880" i="18"/>
  <c r="F1881" i="18"/>
  <c r="F1882" i="18"/>
  <c r="F1883" i="18"/>
  <c r="F1884" i="18"/>
  <c r="F1885" i="18"/>
  <c r="F1886" i="18"/>
  <c r="F1887" i="18"/>
  <c r="F1888" i="18"/>
  <c r="F1889" i="18"/>
  <c r="F1890" i="18"/>
  <c r="F1891" i="18"/>
  <c r="F1892" i="18"/>
  <c r="F1893" i="18"/>
  <c r="F1894" i="18"/>
  <c r="F1895" i="18"/>
  <c r="F1896" i="18"/>
  <c r="F1897" i="18"/>
  <c r="F1898" i="18"/>
  <c r="F1899" i="18"/>
  <c r="F1900" i="18"/>
  <c r="F1901" i="18"/>
  <c r="F1902" i="18"/>
  <c r="F1903" i="18"/>
  <c r="F1904" i="18"/>
  <c r="F1905" i="18"/>
  <c r="F1906" i="18"/>
  <c r="F1907" i="18"/>
  <c r="F1908" i="18"/>
  <c r="F1909" i="18"/>
  <c r="F1910" i="18"/>
  <c r="F1911" i="18"/>
  <c r="F1912" i="18"/>
  <c r="F1913" i="18"/>
  <c r="F1914" i="18"/>
  <c r="F1915" i="18"/>
  <c r="F1916" i="18"/>
  <c r="F1917" i="18"/>
  <c r="F1918" i="18"/>
  <c r="F1919" i="18"/>
  <c r="F1920" i="18"/>
  <c r="F1921" i="18"/>
  <c r="F1922" i="18"/>
  <c r="F1923" i="18"/>
  <c r="F1924" i="18"/>
  <c r="F1925" i="18"/>
  <c r="F1926" i="18"/>
  <c r="F1927" i="18"/>
  <c r="F1928" i="18"/>
  <c r="F1929" i="18"/>
  <c r="F1930" i="18"/>
  <c r="F1931" i="18"/>
  <c r="F1932" i="18"/>
  <c r="F1933" i="18"/>
  <c r="F1934" i="18"/>
  <c r="F1935" i="18"/>
  <c r="F1936" i="18"/>
  <c r="F1937" i="18"/>
  <c r="F1938" i="18"/>
  <c r="F1939" i="18"/>
  <c r="F1940" i="18"/>
  <c r="F1941" i="18"/>
  <c r="F1942" i="18"/>
  <c r="F1943" i="18"/>
  <c r="F1944" i="18"/>
  <c r="F1945" i="18"/>
  <c r="F1946" i="18"/>
  <c r="F1947" i="18"/>
  <c r="F1948" i="18"/>
  <c r="F1949" i="18"/>
  <c r="F1950" i="18"/>
  <c r="F1951" i="18"/>
  <c r="F1952" i="18"/>
  <c r="F1953" i="18"/>
  <c r="F1954" i="18"/>
  <c r="F1955" i="18"/>
  <c r="F1956" i="18"/>
  <c r="F1957" i="18"/>
  <c r="F1958" i="18"/>
  <c r="F1959" i="18"/>
  <c r="F1960" i="18"/>
  <c r="F1961" i="18"/>
  <c r="F1962" i="18"/>
  <c r="F1963" i="18"/>
  <c r="F1964" i="18"/>
  <c r="F1965" i="18"/>
  <c r="F1966" i="18"/>
  <c r="F1967" i="18"/>
  <c r="F1968" i="18"/>
  <c r="F1969" i="18"/>
  <c r="F1970" i="18"/>
  <c r="F1971" i="18"/>
  <c r="F1972" i="18"/>
  <c r="F1973" i="18"/>
  <c r="F1974" i="18"/>
  <c r="F1975" i="18"/>
  <c r="F1976" i="18"/>
  <c r="F1977" i="18"/>
  <c r="F1978" i="18"/>
  <c r="F1979" i="18"/>
  <c r="F1980" i="18"/>
  <c r="F1981" i="18"/>
  <c r="F1982" i="18"/>
  <c r="F1983" i="18"/>
  <c r="F1984" i="18"/>
  <c r="F1985" i="18"/>
  <c r="F1986" i="18"/>
  <c r="F1987" i="18"/>
  <c r="F1988" i="18"/>
  <c r="F1989" i="18"/>
  <c r="F1990" i="18"/>
  <c r="F1991" i="18"/>
  <c r="F1992" i="18"/>
  <c r="F1993" i="18"/>
  <c r="F1994" i="18"/>
  <c r="F1995" i="18"/>
  <c r="F1996" i="18"/>
  <c r="F1997" i="18"/>
  <c r="F1998" i="18"/>
  <c r="F1999" i="18"/>
  <c r="F2000" i="18"/>
  <c r="F2001" i="18"/>
  <c r="F2002" i="18"/>
  <c r="F2003" i="18"/>
  <c r="F2004" i="18"/>
  <c r="F2005" i="18"/>
  <c r="F2006" i="18"/>
  <c r="F2007" i="18"/>
  <c r="F2008" i="18"/>
  <c r="F2009" i="18"/>
  <c r="F2010" i="18"/>
  <c r="F2011" i="18"/>
  <c r="F2012" i="18"/>
  <c r="F2013" i="18"/>
  <c r="F2014" i="18"/>
  <c r="F2017" i="18"/>
  <c r="F2018" i="18"/>
  <c r="F2019" i="18"/>
  <c r="F2020" i="18"/>
  <c r="F2021" i="18"/>
  <c r="F2022" i="18"/>
  <c r="F2023" i="18"/>
  <c r="F2024" i="18"/>
  <c r="F2025" i="18"/>
  <c r="F2026" i="18"/>
  <c r="F2027" i="18"/>
  <c r="F2028" i="18"/>
  <c r="F2029" i="18"/>
  <c r="F2030" i="18"/>
  <c r="F2031" i="18"/>
  <c r="F2032" i="18"/>
  <c r="F2033" i="18"/>
  <c r="F2034" i="18"/>
  <c r="F2035" i="18"/>
  <c r="F2036" i="18"/>
  <c r="F2037" i="18"/>
  <c r="F2038" i="18"/>
  <c r="F2039" i="18"/>
  <c r="F2040" i="18"/>
  <c r="F2041" i="18"/>
  <c r="F2042" i="18"/>
  <c r="F2043" i="18"/>
  <c r="F2044" i="18"/>
  <c r="F2045" i="18"/>
  <c r="F2046" i="18"/>
  <c r="F2047" i="18"/>
  <c r="F2048" i="18"/>
  <c r="F2049" i="18"/>
  <c r="F2050" i="18"/>
  <c r="F2051" i="18"/>
  <c r="F2052" i="18"/>
  <c r="F2053" i="18"/>
  <c r="F2054" i="18"/>
  <c r="F2055" i="18"/>
  <c r="F2056" i="18"/>
  <c r="F2057" i="18"/>
  <c r="F2058" i="18"/>
  <c r="F2059" i="18"/>
  <c r="F2060" i="18"/>
  <c r="F2061" i="18"/>
  <c r="F2062" i="18"/>
  <c r="F2063" i="18"/>
  <c r="F2064" i="18"/>
  <c r="F2065" i="18"/>
  <c r="F2066" i="18"/>
  <c r="F2067" i="18"/>
  <c r="F2068" i="18"/>
  <c r="F2069" i="18"/>
  <c r="F2070" i="18"/>
  <c r="F2071" i="18"/>
  <c r="F2072" i="18"/>
  <c r="F2073" i="18"/>
  <c r="F2074" i="18"/>
  <c r="F2075" i="18"/>
  <c r="F2076" i="18"/>
  <c r="F2077" i="18"/>
  <c r="F2078" i="18"/>
  <c r="F2079" i="18"/>
  <c r="F2080" i="18"/>
  <c r="F2081" i="18"/>
  <c r="F2082" i="18"/>
  <c r="F2083" i="18"/>
  <c r="F2084" i="18"/>
  <c r="F2085" i="18"/>
  <c r="F2086" i="18"/>
  <c r="F2087" i="18"/>
  <c r="F2088" i="18"/>
  <c r="F2089" i="18"/>
  <c r="F2090" i="18"/>
  <c r="F2091" i="18"/>
  <c r="F2092" i="18"/>
  <c r="F2093" i="18"/>
  <c r="F2094" i="18"/>
  <c r="F2095" i="18"/>
  <c r="F2096" i="18"/>
  <c r="F2097" i="18"/>
  <c r="F2098" i="18"/>
  <c r="F2099" i="18"/>
  <c r="F2100" i="18"/>
  <c r="F2101" i="18"/>
  <c r="F2102" i="18"/>
  <c r="F2103" i="18"/>
  <c r="F2104" i="18"/>
  <c r="F2105" i="18"/>
  <c r="F2106" i="18"/>
  <c r="F2107" i="18"/>
  <c r="F2108" i="18"/>
  <c r="F2109" i="18"/>
  <c r="F2110" i="18"/>
  <c r="F2111" i="18"/>
  <c r="F2112" i="18"/>
  <c r="F2113" i="18"/>
  <c r="F2114" i="18"/>
  <c r="F2115" i="18"/>
  <c r="F2116" i="18"/>
  <c r="F2117" i="18"/>
  <c r="F2118" i="18"/>
  <c r="F2119" i="18"/>
  <c r="F2120" i="18"/>
  <c r="F2121" i="18"/>
  <c r="F2122" i="18"/>
  <c r="F2123" i="18"/>
  <c r="F2124" i="18"/>
  <c r="F2125" i="18"/>
  <c r="F2126" i="18"/>
  <c r="F2127" i="18"/>
  <c r="F2128" i="18"/>
  <c r="F2129" i="18"/>
  <c r="F2130" i="18"/>
  <c r="F2131" i="18"/>
  <c r="F2132" i="18"/>
  <c r="F2133" i="18"/>
  <c r="F2134" i="18"/>
  <c r="F2135" i="18"/>
  <c r="F2136" i="18"/>
  <c r="F2137" i="18"/>
  <c r="F2138" i="18"/>
  <c r="F2139" i="18"/>
  <c r="F2140" i="18"/>
  <c r="F2141" i="18"/>
  <c r="F2142" i="18"/>
  <c r="F2143" i="18"/>
  <c r="F2144" i="18"/>
  <c r="F2145" i="18"/>
  <c r="F2146" i="18"/>
  <c r="F2147" i="18"/>
  <c r="F2148" i="18"/>
  <c r="F2149" i="18"/>
  <c r="F2150" i="18"/>
  <c r="F2151" i="18"/>
  <c r="F2152" i="18"/>
  <c r="F2153" i="18"/>
  <c r="F2154" i="18"/>
  <c r="F2155" i="18"/>
  <c r="F2156" i="18"/>
  <c r="F2157" i="18"/>
  <c r="F2158" i="18"/>
  <c r="F2159" i="18"/>
  <c r="F2160" i="18"/>
  <c r="F2161" i="18"/>
  <c r="F2162" i="18"/>
  <c r="F2163" i="18"/>
  <c r="F2164" i="18"/>
  <c r="F2165" i="18"/>
  <c r="F2166" i="18"/>
  <c r="F2167" i="18"/>
  <c r="F2168" i="18"/>
  <c r="F2169" i="18"/>
  <c r="F2170" i="18"/>
  <c r="F2171" i="18"/>
  <c r="F2172" i="18"/>
  <c r="F2173" i="18"/>
  <c r="F2174" i="18"/>
  <c r="F2175" i="18"/>
  <c r="F2176" i="18"/>
  <c r="F2177" i="18"/>
  <c r="F2178" i="18"/>
  <c r="F2179" i="18"/>
  <c r="F2180" i="18"/>
  <c r="F2181" i="18"/>
  <c r="F2182" i="18"/>
  <c r="F2183" i="18"/>
  <c r="F2184" i="18"/>
  <c r="F2185" i="18"/>
  <c r="F2186" i="18"/>
  <c r="F2187" i="18"/>
  <c r="F2188" i="18"/>
  <c r="F2189" i="18"/>
  <c r="F2190" i="18"/>
  <c r="F2191" i="18"/>
  <c r="F2192" i="18"/>
  <c r="F2193" i="18"/>
  <c r="F2194" i="18"/>
  <c r="F2195" i="18"/>
  <c r="F2196" i="18"/>
  <c r="F2197" i="18"/>
  <c r="F2198" i="18"/>
  <c r="F2199" i="18"/>
  <c r="F2200" i="18"/>
  <c r="F2201" i="18"/>
  <c r="F2202" i="18"/>
  <c r="F2203" i="18"/>
  <c r="F2204" i="18"/>
  <c r="F2205" i="18"/>
  <c r="F2206" i="18"/>
  <c r="F2207" i="18"/>
  <c r="F2208" i="18"/>
  <c r="F2209" i="18"/>
  <c r="F2210" i="18"/>
  <c r="F2211" i="18"/>
  <c r="F2212" i="18"/>
  <c r="F2213" i="18"/>
  <c r="F2214" i="18"/>
  <c r="F2215" i="18"/>
  <c r="F2216" i="18"/>
  <c r="F2217" i="18"/>
  <c r="F2218" i="18"/>
  <c r="F2219" i="18"/>
  <c r="F2220" i="18"/>
  <c r="F2221" i="18"/>
  <c r="F2222" i="18"/>
  <c r="F2223" i="18"/>
  <c r="F2224" i="18"/>
  <c r="F2225" i="18"/>
  <c r="F2226" i="18"/>
  <c r="F2227" i="18"/>
  <c r="F2228" i="18"/>
  <c r="F2229" i="18"/>
  <c r="F2230" i="18"/>
  <c r="F2231" i="18"/>
  <c r="F2232" i="18"/>
  <c r="F2233" i="18"/>
  <c r="F2234" i="18"/>
  <c r="F2235" i="18"/>
  <c r="F2236" i="18"/>
  <c r="F2237" i="18"/>
  <c r="F2238" i="18"/>
  <c r="F2239" i="18"/>
  <c r="F2240" i="18"/>
  <c r="F2241" i="18"/>
  <c r="F2242" i="18"/>
  <c r="F2243" i="18"/>
  <c r="F2244" i="18"/>
  <c r="F2245" i="18"/>
  <c r="F2246" i="18"/>
  <c r="F2247" i="18"/>
  <c r="F2248" i="18"/>
  <c r="F2249" i="18"/>
  <c r="F2250" i="18"/>
  <c r="F2251" i="18"/>
  <c r="F2252" i="18"/>
  <c r="F2253" i="18"/>
  <c r="F2254" i="18"/>
  <c r="F2255" i="18"/>
  <c r="F2256" i="18"/>
  <c r="F2257" i="18"/>
  <c r="F2258" i="18"/>
  <c r="F2259" i="18"/>
  <c r="F2260" i="18"/>
  <c r="F2261" i="18"/>
  <c r="F2262" i="18"/>
  <c r="F2263" i="18"/>
  <c r="F2264" i="18"/>
  <c r="F2265" i="18"/>
  <c r="F2266" i="18"/>
  <c r="F2267" i="18"/>
  <c r="F2268" i="18"/>
  <c r="F2269" i="18"/>
  <c r="F2270" i="18"/>
  <c r="F2271" i="18"/>
  <c r="F2272" i="18"/>
  <c r="F2273" i="18"/>
  <c r="F2274" i="18"/>
  <c r="F2275" i="18"/>
  <c r="F2276" i="18"/>
  <c r="F2277" i="18"/>
  <c r="F2278" i="18"/>
  <c r="F2279" i="18"/>
  <c r="F2280" i="18"/>
  <c r="F2281" i="18"/>
  <c r="F2282" i="18"/>
  <c r="F2283" i="18"/>
  <c r="F2284" i="18"/>
  <c r="F2285" i="18"/>
  <c r="F2286" i="18"/>
  <c r="F2287" i="18"/>
  <c r="F2288" i="18"/>
  <c r="F2289" i="18"/>
  <c r="F2290" i="18"/>
  <c r="F2291" i="18"/>
  <c r="F2292" i="18"/>
  <c r="F2293" i="18"/>
  <c r="F2294" i="18"/>
  <c r="F2295" i="18"/>
  <c r="F2296" i="18"/>
  <c r="F2297" i="18"/>
  <c r="F2298" i="18"/>
  <c r="F2299" i="18"/>
  <c r="F2300" i="18"/>
  <c r="F2301" i="18"/>
  <c r="F2302" i="18"/>
  <c r="F2303" i="18"/>
  <c r="F2304" i="18"/>
  <c r="F2305" i="18"/>
  <c r="F2306" i="18"/>
  <c r="F2307" i="18"/>
  <c r="F2308" i="18"/>
  <c r="F2309" i="18"/>
  <c r="F2310" i="18"/>
  <c r="F2311" i="18"/>
  <c r="F2312" i="18"/>
  <c r="F2313" i="18"/>
  <c r="F2314" i="18"/>
  <c r="F2315" i="18"/>
  <c r="F2316" i="18"/>
  <c r="F2317" i="18"/>
  <c r="F2318" i="18"/>
  <c r="F2319" i="18"/>
  <c r="F2320" i="18"/>
  <c r="F2321" i="18"/>
  <c r="F2322" i="18"/>
  <c r="F2323" i="18"/>
  <c r="F2324" i="18"/>
  <c r="F2325" i="18"/>
  <c r="F2326" i="18"/>
  <c r="F2342" i="18"/>
  <c r="F2343" i="18"/>
  <c r="F2344" i="18"/>
  <c r="F2345" i="18"/>
  <c r="F2346" i="18"/>
  <c r="F2347" i="18"/>
  <c r="F2348" i="18"/>
  <c r="F2349" i="18"/>
  <c r="F2350" i="18"/>
  <c r="F2351" i="18"/>
  <c r="F2352" i="18"/>
  <c r="F2353" i="18"/>
  <c r="F2354" i="18"/>
  <c r="F2355" i="18"/>
  <c r="F2356" i="18"/>
  <c r="F2357" i="18"/>
  <c r="F2358" i="18"/>
  <c r="F2359" i="18"/>
  <c r="F2360" i="18"/>
  <c r="F2361" i="18"/>
  <c r="F2362" i="18"/>
  <c r="F2363" i="18"/>
  <c r="F2364" i="18"/>
  <c r="F2365" i="18"/>
  <c r="F2366" i="18"/>
  <c r="F2367" i="18"/>
  <c r="F2368" i="18"/>
  <c r="F2369" i="18"/>
  <c r="F2370" i="18"/>
  <c r="F2371" i="18"/>
  <c r="F2372" i="18"/>
  <c r="F2373" i="18"/>
  <c r="F2374" i="18"/>
  <c r="F2375" i="18"/>
  <c r="F2376" i="18"/>
  <c r="F2377" i="18"/>
  <c r="F2378" i="18"/>
  <c r="F2379" i="18"/>
  <c r="F2380" i="18"/>
  <c r="F2381" i="18"/>
  <c r="F2382" i="18"/>
  <c r="F2383" i="18"/>
  <c r="F2384" i="18"/>
  <c r="F2385" i="18"/>
  <c r="F2386" i="18"/>
  <c r="F2387" i="18"/>
  <c r="F2388" i="18"/>
  <c r="F2389" i="18"/>
  <c r="F2390" i="18"/>
  <c r="F2391" i="18"/>
  <c r="F2392" i="18"/>
  <c r="F2393" i="18"/>
  <c r="F2394" i="18"/>
  <c r="F2395" i="18"/>
  <c r="F2396" i="18"/>
  <c r="F2397" i="18"/>
  <c r="F2398" i="18"/>
  <c r="F2399" i="18"/>
  <c r="F2400" i="18"/>
  <c r="F2401" i="18"/>
  <c r="F2402" i="18"/>
  <c r="F2403" i="18"/>
  <c r="F2404" i="18"/>
  <c r="F2405" i="18"/>
  <c r="F2406" i="18"/>
  <c r="F2407" i="18"/>
  <c r="F2408" i="18"/>
  <c r="F2409" i="18"/>
  <c r="F2410" i="18"/>
  <c r="F2411" i="18"/>
  <c r="F2412" i="18"/>
  <c r="F2413" i="18"/>
  <c r="F2414" i="18"/>
  <c r="F2415" i="18"/>
  <c r="F2416" i="18"/>
  <c r="F2417" i="18"/>
  <c r="F2418" i="18"/>
  <c r="F2419" i="18"/>
  <c r="F2420" i="18"/>
  <c r="F2421" i="18"/>
  <c r="F2422" i="18"/>
  <c r="F2423" i="18"/>
  <c r="F2424" i="18"/>
  <c r="F2425" i="18"/>
  <c r="F2426" i="18"/>
  <c r="F2427" i="18"/>
  <c r="F2428" i="18"/>
  <c r="F2429" i="18"/>
  <c r="F2430" i="18"/>
  <c r="F2431" i="18"/>
  <c r="F2432" i="18"/>
  <c r="F2433" i="18"/>
  <c r="F2434" i="18"/>
  <c r="F2435" i="18"/>
  <c r="F2436" i="18"/>
  <c r="F2437" i="18"/>
  <c r="F2438" i="18"/>
  <c r="F2439" i="18"/>
  <c r="F2440" i="18"/>
  <c r="F2441" i="18"/>
  <c r="F2442" i="18"/>
  <c r="F2443" i="18"/>
  <c r="F2444" i="18"/>
  <c r="F2445" i="18"/>
  <c r="F2446" i="18"/>
  <c r="F2447" i="18"/>
  <c r="F2448" i="18"/>
  <c r="F2449" i="18"/>
  <c r="F2450" i="18"/>
  <c r="F2451" i="18"/>
  <c r="F2452" i="18"/>
  <c r="F2453" i="18"/>
  <c r="F2454" i="18"/>
  <c r="F2455" i="18"/>
  <c r="F2456" i="18"/>
  <c r="F2457" i="18"/>
  <c r="F2458" i="18"/>
  <c r="F2459" i="18"/>
  <c r="F2460" i="18"/>
  <c r="F2461" i="18"/>
  <c r="F2462" i="18"/>
  <c r="F2463" i="18"/>
  <c r="F2464" i="18"/>
  <c r="F2465" i="18"/>
  <c r="F2466" i="18"/>
  <c r="F2467" i="18"/>
  <c r="F2468" i="18"/>
  <c r="F2469" i="18"/>
  <c r="F2470" i="18"/>
  <c r="F2471" i="18"/>
  <c r="F2472" i="18"/>
  <c r="F2473" i="18"/>
  <c r="F2474" i="18"/>
  <c r="F2475" i="18"/>
  <c r="F2476" i="18"/>
  <c r="F2477" i="18"/>
  <c r="F2478" i="18"/>
  <c r="F2479" i="18"/>
  <c r="F2480" i="18"/>
  <c r="F2481" i="18"/>
  <c r="F2482" i="18"/>
  <c r="F2483" i="18"/>
  <c r="F2484" i="18"/>
  <c r="F2485" i="18"/>
  <c r="F2486" i="18"/>
  <c r="F2487" i="18"/>
  <c r="F2488" i="18"/>
  <c r="F2489" i="18"/>
  <c r="F2490" i="18"/>
  <c r="F2491" i="18"/>
  <c r="F2492" i="18"/>
  <c r="F2493" i="18"/>
  <c r="F2494" i="18"/>
  <c r="F2495" i="18"/>
  <c r="F2496" i="18"/>
  <c r="F2497" i="18"/>
  <c r="F2498" i="18"/>
  <c r="F2499" i="18"/>
  <c r="F2500" i="18"/>
  <c r="F2501" i="18"/>
  <c r="F2502" i="18"/>
  <c r="F2503" i="18"/>
  <c r="F2504" i="18"/>
  <c r="F2505" i="18"/>
  <c r="F2506" i="18"/>
  <c r="F2507" i="18"/>
  <c r="F2508" i="18"/>
  <c r="F2509" i="18"/>
  <c r="F2510" i="18"/>
  <c r="F2511" i="18"/>
  <c r="F2512" i="18"/>
  <c r="F2513" i="18"/>
  <c r="F2514" i="18"/>
  <c r="F2515" i="18"/>
  <c r="F2516" i="18"/>
  <c r="F2517" i="18"/>
  <c r="F2518" i="18"/>
  <c r="F2519" i="18"/>
  <c r="F2520" i="18"/>
  <c r="F2521" i="18"/>
  <c r="F2522" i="18"/>
  <c r="F2523" i="18"/>
  <c r="F2524" i="18"/>
  <c r="F2525" i="18"/>
  <c r="F2526" i="18"/>
  <c r="F2527" i="18"/>
  <c r="F2532" i="18"/>
  <c r="F2533" i="18"/>
  <c r="F2534" i="18"/>
  <c r="F2535" i="18"/>
  <c r="F2536" i="18"/>
  <c r="F2537" i="18"/>
  <c r="F2538" i="18"/>
  <c r="F2539" i="18"/>
  <c r="F2540" i="18"/>
  <c r="F2541" i="18"/>
  <c r="F2542" i="18"/>
  <c r="F2543" i="18"/>
  <c r="F2544" i="18"/>
  <c r="F2545" i="18"/>
  <c r="F2546" i="18"/>
  <c r="F2547" i="18"/>
  <c r="F2548" i="18"/>
  <c r="F2549" i="18"/>
  <c r="F2550" i="18"/>
  <c r="F2551" i="18"/>
  <c r="F2552" i="18"/>
  <c r="F2553" i="18"/>
  <c r="F2554" i="18"/>
  <c r="F2555" i="18"/>
  <c r="F2556" i="18"/>
  <c r="F2557" i="18"/>
  <c r="F2558" i="18"/>
  <c r="F2559" i="18"/>
  <c r="F2560" i="18"/>
  <c r="F2561" i="18"/>
  <c r="F2562" i="18"/>
  <c r="F2563" i="18"/>
  <c r="F2564" i="18"/>
  <c r="F2565" i="18"/>
  <c r="F2566" i="18"/>
  <c r="F2567" i="18"/>
  <c r="F2568" i="18"/>
  <c r="F2569" i="18"/>
  <c r="F2570" i="18"/>
  <c r="F2571" i="18"/>
  <c r="F2572" i="18"/>
  <c r="F2573" i="18"/>
  <c r="F2574" i="18"/>
  <c r="F2575" i="18"/>
  <c r="F2576" i="18"/>
  <c r="F2577" i="18"/>
  <c r="F2578" i="18"/>
  <c r="F2579" i="18"/>
  <c r="F2580" i="18"/>
  <c r="F2581" i="18"/>
  <c r="F2582" i="18"/>
  <c r="F2583" i="18"/>
  <c r="F2584" i="18"/>
  <c r="F2585" i="18"/>
  <c r="F2586" i="18"/>
  <c r="F2587" i="18"/>
  <c r="F2588" i="18"/>
  <c r="F2589" i="18"/>
  <c r="F2590" i="18"/>
  <c r="F2591" i="18"/>
  <c r="F2592" i="18"/>
  <c r="F2593" i="18"/>
  <c r="F2594" i="18"/>
  <c r="F2595" i="18"/>
  <c r="F2596" i="18"/>
  <c r="F2597" i="18"/>
  <c r="F2598" i="18"/>
  <c r="F2599" i="18"/>
  <c r="F2600" i="18"/>
  <c r="F2601" i="18"/>
  <c r="F2602" i="18"/>
  <c r="F2603" i="18"/>
  <c r="F2604" i="18"/>
  <c r="F2605" i="18"/>
  <c r="F2606" i="18"/>
  <c r="F2607" i="18"/>
  <c r="F2608" i="18"/>
  <c r="F2609" i="18"/>
  <c r="F2610" i="18"/>
  <c r="F2611" i="18"/>
  <c r="F2612" i="18"/>
  <c r="F2613" i="18"/>
  <c r="F2614" i="18"/>
  <c r="F2615" i="18"/>
  <c r="F2616" i="18"/>
  <c r="F2617" i="18"/>
  <c r="F2618" i="18"/>
  <c r="F2619" i="18"/>
  <c r="F2620" i="18"/>
  <c r="F2621" i="18"/>
  <c r="F2622" i="18"/>
  <c r="F2623" i="18"/>
  <c r="F2624" i="18"/>
  <c r="F2625" i="18"/>
  <c r="F2626" i="18"/>
  <c r="F2627" i="18"/>
  <c r="F2628" i="18"/>
  <c r="F2629" i="18"/>
  <c r="F2630" i="18"/>
  <c r="F2631" i="18"/>
  <c r="F2632" i="18"/>
  <c r="F2633" i="18"/>
  <c r="F2634" i="18"/>
  <c r="F2635" i="18"/>
  <c r="F2636" i="18"/>
  <c r="F2637" i="18"/>
  <c r="F2638" i="18"/>
  <c r="F2639" i="18"/>
  <c r="F2640" i="18"/>
  <c r="F2641" i="18"/>
  <c r="F2642" i="18"/>
  <c r="F2643" i="18"/>
  <c r="F2644" i="18"/>
  <c r="F2645" i="18"/>
  <c r="F2646" i="18"/>
  <c r="F2647" i="18"/>
  <c r="F2648" i="18"/>
  <c r="F2649" i="18"/>
  <c r="F2650" i="18"/>
  <c r="F2651" i="18"/>
  <c r="F2652" i="18"/>
  <c r="F2653" i="18"/>
  <c r="F2654" i="18"/>
  <c r="F2655" i="18"/>
  <c r="F2658" i="18"/>
  <c r="F2659" i="18"/>
  <c r="F2660" i="18"/>
  <c r="F2661" i="18"/>
  <c r="F2662" i="18"/>
  <c r="F2663" i="18"/>
  <c r="F2664" i="18"/>
  <c r="F2665" i="18"/>
  <c r="F2666" i="18"/>
  <c r="F2667" i="18"/>
  <c r="F2668" i="18"/>
  <c r="F2669" i="18"/>
  <c r="F2670" i="18"/>
  <c r="F2671" i="18"/>
  <c r="F2672" i="18"/>
  <c r="F2673" i="18"/>
  <c r="F2674" i="18"/>
  <c r="F2675" i="18"/>
  <c r="F2676" i="18"/>
  <c r="F2677" i="18"/>
  <c r="F2678" i="18"/>
  <c r="F2679" i="18"/>
  <c r="F2680" i="18"/>
  <c r="F2681" i="18"/>
  <c r="F2682" i="18"/>
  <c r="F2683" i="18"/>
  <c r="F2684" i="18"/>
  <c r="F2685" i="18"/>
  <c r="F2686" i="18"/>
  <c r="F2687" i="18"/>
  <c r="F2688" i="18"/>
  <c r="G3208" i="18"/>
  <c r="G3209" i="18"/>
  <c r="G3210" i="18"/>
  <c r="G3211" i="18"/>
  <c r="G3212" i="18"/>
  <c r="G3213" i="18"/>
  <c r="G3214" i="18"/>
  <c r="G3215" i="18"/>
  <c r="G3216" i="18"/>
  <c r="G3217" i="18"/>
  <c r="G3218" i="18"/>
  <c r="G3219" i="18"/>
  <c r="G3220" i="18"/>
  <c r="G3221" i="18"/>
  <c r="G3222" i="18"/>
  <c r="G3223" i="18"/>
  <c r="G3224" i="18"/>
  <c r="G3225" i="18"/>
  <c r="G3226" i="18"/>
  <c r="G3227" i="18"/>
  <c r="G3228" i="18"/>
  <c r="G3229" i="18"/>
  <c r="G3230" i="18"/>
  <c r="G3231" i="18"/>
  <c r="G3232" i="18"/>
  <c r="G3233" i="18"/>
  <c r="G3234" i="18"/>
  <c r="G3235" i="18"/>
  <c r="G3236" i="18"/>
  <c r="G3237" i="18"/>
  <c r="G3238" i="18"/>
  <c r="G3239" i="18"/>
  <c r="G3240" i="18"/>
  <c r="G3241" i="18"/>
  <c r="G3242" i="18"/>
  <c r="G3243" i="18"/>
  <c r="G3244" i="18"/>
  <c r="G3245" i="18"/>
  <c r="G3246" i="18"/>
  <c r="G3247" i="18"/>
  <c r="G3248" i="18"/>
  <c r="G3249" i="18"/>
  <c r="G3250" i="18"/>
  <c r="G3251" i="18"/>
  <c r="G3252" i="18"/>
  <c r="G3253" i="18"/>
  <c r="G3254" i="18"/>
  <c r="G3255" i="18"/>
  <c r="G3256" i="18"/>
  <c r="G3257" i="18"/>
  <c r="G3258" i="18"/>
  <c r="G3259" i="18"/>
  <c r="G3260" i="18"/>
  <c r="G3261" i="18"/>
  <c r="G3262" i="18"/>
  <c r="G3263" i="18"/>
  <c r="G3264" i="18"/>
  <c r="G3265" i="18"/>
  <c r="G3266" i="18"/>
  <c r="G3267" i="18"/>
  <c r="G3268" i="18"/>
  <c r="G3269" i="18"/>
  <c r="G3270" i="18"/>
  <c r="G3271" i="18"/>
  <c r="G3272" i="18"/>
  <c r="G3273" i="18"/>
  <c r="G3274" i="18"/>
  <c r="G3275" i="18"/>
  <c r="G3276" i="18"/>
  <c r="G3277" i="18"/>
  <c r="G3278" i="18"/>
  <c r="G3279" i="18"/>
  <c r="G3280" i="18"/>
  <c r="G3281" i="18"/>
  <c r="G3282" i="18"/>
  <c r="G3283" i="18"/>
  <c r="G3284" i="18"/>
  <c r="G3285" i="18"/>
  <c r="G3286" i="18"/>
  <c r="G3287" i="18"/>
  <c r="G3288" i="18"/>
  <c r="G3289" i="18"/>
  <c r="G3290" i="18"/>
  <c r="G3291" i="18"/>
  <c r="G3292" i="18"/>
  <c r="G3293" i="18"/>
  <c r="G3294" i="18"/>
  <c r="G3295" i="18"/>
  <c r="G3296" i="18"/>
  <c r="G3297" i="18"/>
  <c r="G3298" i="18"/>
  <c r="G3299" i="18"/>
  <c r="G3300" i="18"/>
  <c r="G3301" i="18"/>
  <c r="G3302" i="18"/>
  <c r="G3303" i="18"/>
  <c r="G3304" i="18"/>
  <c r="G3305" i="18"/>
  <c r="G3306" i="18"/>
  <c r="G3307" i="18"/>
  <c r="G3308" i="18"/>
  <c r="G3309" i="18"/>
  <c r="G3310" i="18"/>
  <c r="G3311" i="18"/>
  <c r="G3312" i="18"/>
  <c r="G3313" i="18"/>
  <c r="G3314" i="18"/>
  <c r="G3315" i="18"/>
  <c r="G3316" i="18"/>
  <c r="G3317" i="18"/>
  <c r="G3318" i="18"/>
  <c r="G3319" i="18"/>
  <c r="G3320" i="18"/>
  <c r="G3321" i="18"/>
  <c r="G3322" i="18"/>
  <c r="G3323" i="18"/>
  <c r="G3324" i="18"/>
  <c r="G3325" i="18"/>
  <c r="G3326" i="18"/>
  <c r="G3327" i="18"/>
  <c r="G3328" i="18"/>
  <c r="G3329" i="18"/>
  <c r="G3330" i="18"/>
  <c r="G3331" i="18"/>
  <c r="G3332" i="18"/>
  <c r="G3333" i="18"/>
  <c r="G3334" i="18"/>
  <c r="G3335" i="18"/>
  <c r="G3336" i="18"/>
  <c r="G3337" i="18"/>
  <c r="G3338" i="18"/>
  <c r="G3339" i="18"/>
  <c r="G3340" i="18"/>
  <c r="G3341" i="18"/>
  <c r="G3342" i="18"/>
  <c r="G3343" i="18"/>
  <c r="G3344" i="18"/>
  <c r="G3345" i="18"/>
  <c r="G3346" i="18"/>
  <c r="G3347" i="18"/>
  <c r="G3348" i="18"/>
  <c r="G3349" i="18"/>
  <c r="G3350" i="18"/>
  <c r="G3351" i="18"/>
  <c r="G3352" i="18"/>
  <c r="G3353" i="18"/>
  <c r="G3354" i="18"/>
  <c r="G3355" i="18"/>
  <c r="G3356" i="18"/>
  <c r="G3357" i="18"/>
  <c r="G3358" i="18"/>
  <c r="G3359" i="18"/>
  <c r="G3360" i="18"/>
  <c r="G3361" i="18"/>
  <c r="G3362" i="18"/>
  <c r="G3363" i="18"/>
  <c r="G3364" i="18"/>
  <c r="G3365" i="18"/>
  <c r="G3366" i="18"/>
  <c r="G3367" i="18"/>
  <c r="G3368" i="18"/>
  <c r="G3369" i="18"/>
  <c r="G3370" i="18"/>
  <c r="G3371" i="18"/>
  <c r="G3372" i="18"/>
  <c r="G3373" i="18"/>
  <c r="G3374" i="18"/>
  <c r="G3375" i="18"/>
  <c r="G3376" i="18"/>
  <c r="G3377" i="18"/>
  <c r="G3378" i="18"/>
  <c r="G3379" i="18"/>
  <c r="G3380" i="18"/>
  <c r="G3381" i="18"/>
  <c r="G3382" i="18"/>
  <c r="G3383" i="18"/>
  <c r="G3384" i="18"/>
  <c r="G3385" i="18"/>
  <c r="G3386" i="18"/>
  <c r="G3387" i="18"/>
  <c r="G3388" i="18"/>
  <c r="G3389" i="18"/>
  <c r="G3390" i="18"/>
  <c r="G3391" i="18"/>
  <c r="G3392" i="18"/>
  <c r="G3393" i="18"/>
  <c r="G3394" i="18"/>
  <c r="G3395" i="18"/>
  <c r="G3396" i="18"/>
  <c r="G3397" i="18"/>
  <c r="G3398" i="18"/>
  <c r="G3399" i="18"/>
  <c r="G3400" i="18"/>
  <c r="G3401" i="18"/>
  <c r="G3402" i="18"/>
  <c r="G3403" i="18"/>
  <c r="G3404" i="18"/>
  <c r="G3405" i="18"/>
  <c r="G3406" i="18"/>
  <c r="G2338" i="18"/>
  <c r="G2339" i="18"/>
  <c r="G2340" i="18"/>
  <c r="G2341" i="18"/>
  <c r="G2528" i="18"/>
  <c r="G2529" i="18"/>
  <c r="G2530" i="18"/>
  <c r="G2531" i="18"/>
  <c r="G2689" i="18"/>
  <c r="G2690" i="18"/>
  <c r="G2691" i="18"/>
  <c r="G2692" i="18"/>
  <c r="G2693" i="18"/>
  <c r="G2694" i="18"/>
  <c r="G2695" i="18"/>
  <c r="G2696" i="18"/>
  <c r="G2697" i="18"/>
  <c r="G2698" i="18"/>
  <c r="G2699" i="18"/>
  <c r="G2700" i="18"/>
  <c r="G2701" i="18"/>
  <c r="G2702" i="18"/>
  <c r="G2703" i="18"/>
  <c r="G2704" i="18"/>
  <c r="G2705" i="18"/>
  <c r="G2706" i="18"/>
  <c r="G2707" i="18"/>
  <c r="G2708" i="18"/>
  <c r="G2709" i="18"/>
  <c r="G2710" i="18"/>
  <c r="G2711" i="18"/>
  <c r="G2712" i="18"/>
  <c r="G2713" i="18"/>
  <c r="G2714" i="18"/>
  <c r="G2715" i="18"/>
  <c r="G2716" i="18"/>
  <c r="G2717" i="18"/>
  <c r="G2718" i="18"/>
  <c r="G2719" i="18"/>
  <c r="G2720" i="18"/>
  <c r="G2721" i="18"/>
  <c r="G2722" i="18"/>
  <c r="G2723" i="18"/>
  <c r="G2724" i="18"/>
  <c r="G2725" i="18"/>
  <c r="G2726" i="18"/>
  <c r="G2727" i="18"/>
  <c r="G2728" i="18"/>
  <c r="G2729" i="18"/>
  <c r="G2730" i="18"/>
  <c r="G2731" i="18"/>
  <c r="G2732" i="18"/>
  <c r="G2733" i="18"/>
  <c r="G2734" i="18"/>
  <c r="G2735" i="18"/>
  <c r="G2736" i="18"/>
  <c r="G2737" i="18"/>
  <c r="G2738" i="18"/>
  <c r="G2739" i="18"/>
  <c r="G2740" i="18"/>
  <c r="G2744" i="18"/>
  <c r="G2745" i="18"/>
  <c r="G2746" i="18"/>
  <c r="G2747" i="18"/>
  <c r="G2748" i="18"/>
  <c r="G2749" i="18"/>
  <c r="G2750" i="18"/>
  <c r="G2751" i="18"/>
  <c r="G2752" i="18"/>
  <c r="G2753" i="18"/>
  <c r="G2754" i="18"/>
  <c r="G2755" i="18"/>
  <c r="G2756" i="18"/>
  <c r="G2757" i="18"/>
  <c r="G2758" i="18"/>
  <c r="G2759" i="18"/>
  <c r="G2760" i="18"/>
  <c r="G2761" i="18"/>
  <c r="G2762" i="18"/>
  <c r="G2763" i="18"/>
  <c r="G2764" i="18"/>
  <c r="G2765" i="18"/>
  <c r="G2766" i="18"/>
  <c r="G2767" i="18"/>
  <c r="G2768" i="18"/>
  <c r="G2769" i="18"/>
  <c r="G2770" i="18"/>
  <c r="G2771" i="18"/>
  <c r="G2772" i="18"/>
  <c r="G2773" i="18"/>
  <c r="G2774" i="18"/>
  <c r="G2775" i="18"/>
  <c r="G2776" i="18"/>
  <c r="G2777" i="18"/>
  <c r="G2778" i="18"/>
  <c r="G2779" i="18"/>
  <c r="G2780" i="18"/>
  <c r="G2781" i="18"/>
  <c r="G2782" i="18"/>
  <c r="G2783" i="18"/>
  <c r="G2784" i="18"/>
  <c r="G2785" i="18"/>
  <c r="G2786" i="18"/>
  <c r="G2787" i="18"/>
  <c r="G2788" i="18"/>
  <c r="G2789" i="18"/>
  <c r="G2790" i="18"/>
  <c r="G2791" i="18"/>
  <c r="G2792" i="18"/>
  <c r="G2793" i="18"/>
  <c r="G2794" i="18"/>
  <c r="G2795" i="18"/>
  <c r="G2796" i="18"/>
  <c r="G2797" i="18"/>
  <c r="G2798" i="18"/>
  <c r="G2799" i="18"/>
  <c r="G2800" i="18"/>
  <c r="G2801" i="18"/>
  <c r="G2802" i="18"/>
  <c r="G2803" i="18"/>
  <c r="G2804" i="18"/>
  <c r="G2805" i="18"/>
  <c r="G2806" i="18"/>
  <c r="G2807" i="18"/>
  <c r="G2808" i="18"/>
  <c r="G2809" i="18"/>
  <c r="G2810" i="18"/>
  <c r="G2811" i="18"/>
  <c r="G2812" i="18"/>
  <c r="G2813" i="18"/>
  <c r="G2814" i="18"/>
  <c r="G2815" i="18"/>
  <c r="G2816" i="18"/>
  <c r="G2817" i="18"/>
  <c r="G2818" i="18"/>
  <c r="G2819" i="18"/>
  <c r="G2820" i="18"/>
  <c r="G2821" i="18"/>
  <c r="G2822" i="18"/>
  <c r="G2823" i="18"/>
  <c r="G2824" i="18"/>
  <c r="G2825" i="18"/>
  <c r="G2826" i="18"/>
  <c r="G2827" i="18"/>
  <c r="G2828" i="18"/>
  <c r="G2829" i="18"/>
  <c r="G2830" i="18"/>
  <c r="G2831" i="18"/>
  <c r="G2832" i="18"/>
  <c r="G2833" i="18"/>
  <c r="G2834" i="18"/>
  <c r="G2835" i="18"/>
  <c r="G2836" i="18"/>
  <c r="G2837" i="18"/>
  <c r="G2838" i="18"/>
  <c r="G2839" i="18"/>
  <c r="G2840" i="18"/>
  <c r="G2841" i="18"/>
  <c r="G2842" i="18"/>
  <c r="G2843" i="18"/>
  <c r="G2844" i="18"/>
  <c r="G2845" i="18"/>
  <c r="G2846" i="18"/>
  <c r="G2847" i="18"/>
  <c r="G2848" i="18"/>
  <c r="G2849" i="18"/>
  <c r="G2850" i="18"/>
  <c r="G2851" i="18"/>
  <c r="G2852" i="18"/>
  <c r="G2853" i="18"/>
  <c r="G2854" i="18"/>
  <c r="G2855" i="18"/>
  <c r="G2856" i="18"/>
  <c r="G2857" i="18"/>
  <c r="G2858" i="18"/>
  <c r="G2859" i="18"/>
  <c r="G2860" i="18"/>
  <c r="G2861" i="18"/>
  <c r="G2862" i="18"/>
  <c r="G2863" i="18"/>
  <c r="G2864" i="18"/>
  <c r="G2865" i="18"/>
  <c r="G2866" i="18"/>
  <c r="G2867" i="18"/>
  <c r="G2868" i="18"/>
  <c r="G2869" i="18"/>
  <c r="G2870" i="18"/>
  <c r="G2871" i="18"/>
  <c r="G2872" i="18"/>
  <c r="G2873" i="18"/>
  <c r="G2874" i="18"/>
  <c r="G2875" i="18"/>
  <c r="G2876" i="18"/>
  <c r="G2877" i="18"/>
  <c r="G2878" i="18"/>
  <c r="G2879" i="18"/>
  <c r="G2880" i="18"/>
  <c r="G2881" i="18"/>
  <c r="G2882" i="18"/>
  <c r="G2883" i="18"/>
  <c r="G2884" i="18"/>
  <c r="G2885" i="18"/>
  <c r="G2886" i="18"/>
  <c r="G2887" i="18"/>
  <c r="G2888" i="18"/>
  <c r="G2889" i="18"/>
  <c r="G2890" i="18"/>
  <c r="G2891" i="18"/>
  <c r="G2892" i="18"/>
  <c r="G2893" i="18"/>
  <c r="G2894" i="18"/>
  <c r="G2895" i="18"/>
  <c r="G2896" i="18"/>
  <c r="G2897" i="18"/>
  <c r="G2898" i="18"/>
  <c r="G2899" i="18"/>
  <c r="G2900" i="18"/>
  <c r="G2901" i="18"/>
  <c r="G2902" i="18"/>
  <c r="G2903" i="18"/>
  <c r="G2904" i="18"/>
  <c r="G2905" i="18"/>
  <c r="G2906" i="18"/>
  <c r="G2907" i="18"/>
  <c r="G2908" i="18"/>
  <c r="G2909" i="18"/>
  <c r="G2910" i="18"/>
  <c r="G2911" i="18"/>
  <c r="G2912" i="18"/>
  <c r="G2913" i="18"/>
  <c r="G2914" i="18"/>
  <c r="G2915" i="18"/>
  <c r="G2916" i="18"/>
  <c r="G2917" i="18"/>
  <c r="G2918" i="18"/>
  <c r="G2919" i="18"/>
  <c r="G2" i="18"/>
  <c r="G3" i="18"/>
  <c r="G4" i="18"/>
  <c r="G5" i="18"/>
  <c r="G6" i="18"/>
  <c r="G7" i="18"/>
  <c r="G8" i="18"/>
  <c r="G9" i="18"/>
  <c r="G10" i="18"/>
  <c r="G11" i="18"/>
  <c r="G12" i="18"/>
  <c r="G13" i="18"/>
  <c r="G14" i="18"/>
  <c r="G15" i="18"/>
  <c r="G16" i="18"/>
  <c r="G17" i="18"/>
  <c r="G18" i="18"/>
  <c r="G19" i="18"/>
  <c r="G20" i="18"/>
  <c r="G21" i="18"/>
  <c r="G22" i="18"/>
  <c r="G23" i="18"/>
  <c r="G24" i="18"/>
  <c r="G25" i="18"/>
  <c r="G26" i="18"/>
  <c r="G27" i="18"/>
  <c r="G28" i="18"/>
  <c r="G29" i="18"/>
  <c r="G30" i="18"/>
  <c r="G31" i="18"/>
  <c r="G32" i="18"/>
  <c r="G38" i="18"/>
  <c r="G39" i="18"/>
  <c r="G40" i="18"/>
  <c r="G41" i="18"/>
  <c r="G42" i="18"/>
  <c r="G43" i="18"/>
  <c r="G44" i="18"/>
  <c r="G45" i="18"/>
  <c r="G46" i="18"/>
  <c r="G47" i="18"/>
  <c r="G48" i="18"/>
  <c r="G49" i="18"/>
  <c r="G50" i="18"/>
  <c r="G51" i="18"/>
  <c r="G52" i="18"/>
  <c r="G53" i="18"/>
  <c r="G54" i="18"/>
  <c r="G55" i="18"/>
  <c r="G56" i="18"/>
  <c r="G57" i="18"/>
  <c r="G58" i="18"/>
  <c r="G59" i="18"/>
  <c r="G60" i="18"/>
  <c r="G61" i="18"/>
  <c r="G62" i="18"/>
  <c r="G63" i="18"/>
  <c r="G64" i="18"/>
  <c r="G65" i="18"/>
  <c r="G66" i="18"/>
  <c r="G67" i="18"/>
  <c r="G68" i="18"/>
  <c r="G121" i="18"/>
  <c r="G122" i="18"/>
  <c r="G123" i="18"/>
  <c r="G124" i="18"/>
  <c r="G125" i="18"/>
  <c r="G126" i="18"/>
  <c r="G127" i="18"/>
  <c r="G128" i="18"/>
  <c r="G129" i="18"/>
  <c r="G130" i="18"/>
  <c r="G131" i="18"/>
  <c r="G132" i="18"/>
  <c r="G133" i="18"/>
  <c r="G134" i="18"/>
  <c r="G135" i="18"/>
  <c r="G136" i="18"/>
  <c r="G137" i="18"/>
  <c r="G138" i="18"/>
  <c r="G139" i="18"/>
  <c r="G140" i="18"/>
  <c r="G141" i="18"/>
  <c r="G142" i="18"/>
  <c r="G143" i="18"/>
  <c r="G144" i="18"/>
  <c r="G145" i="18"/>
  <c r="G146" i="18"/>
  <c r="G147" i="18"/>
  <c r="G148" i="18"/>
  <c r="G149" i="18"/>
  <c r="G150" i="18"/>
  <c r="G151" i="18"/>
  <c r="G176" i="18"/>
  <c r="G177" i="18"/>
  <c r="G178" i="18"/>
  <c r="G179" i="18"/>
  <c r="G180" i="18"/>
  <c r="G181" i="18"/>
  <c r="G182" i="18"/>
  <c r="G183" i="18"/>
  <c r="G184" i="18"/>
  <c r="G185" i="18"/>
  <c r="G186" i="18"/>
  <c r="G187" i="18"/>
  <c r="G188" i="18"/>
  <c r="G189" i="18"/>
  <c r="G190" i="18"/>
  <c r="G191" i="18"/>
  <c r="G192" i="18"/>
  <c r="G193" i="18"/>
  <c r="G194" i="18"/>
  <c r="G195" i="18"/>
  <c r="G196" i="18"/>
  <c r="G197" i="18"/>
  <c r="G198" i="18"/>
  <c r="G199" i="18"/>
  <c r="G200" i="18"/>
  <c r="G201" i="18"/>
  <c r="G202" i="18"/>
  <c r="G203" i="18"/>
  <c r="G204" i="18"/>
  <c r="G205" i="18"/>
  <c r="G206" i="18"/>
  <c r="G207" i="18"/>
  <c r="G208" i="18"/>
  <c r="G209" i="18"/>
  <c r="G210" i="18"/>
  <c r="G211" i="18"/>
  <c r="G212" i="18"/>
  <c r="G213" i="18"/>
  <c r="G214" i="18"/>
  <c r="G215" i="18"/>
  <c r="G216" i="18"/>
  <c r="G217" i="18"/>
  <c r="G218" i="18"/>
  <c r="G219" i="18"/>
  <c r="G220" i="18"/>
  <c r="G221" i="18"/>
  <c r="G222" i="18"/>
  <c r="G223" i="18"/>
  <c r="G224" i="18"/>
  <c r="G225" i="18"/>
  <c r="G226" i="18"/>
  <c r="G227" i="18"/>
  <c r="G228" i="18"/>
  <c r="G229" i="18"/>
  <c r="G230" i="18"/>
  <c r="G231" i="18"/>
  <c r="G232" i="18"/>
  <c r="G233" i="18"/>
  <c r="G234" i="18"/>
  <c r="G235" i="18"/>
  <c r="G236" i="18"/>
  <c r="G237" i="18"/>
  <c r="G238" i="18"/>
  <c r="G239" i="18"/>
  <c r="G240" i="18"/>
  <c r="G241" i="18"/>
  <c r="G242" i="18"/>
  <c r="G243" i="18"/>
  <c r="G244" i="18"/>
  <c r="G245" i="18"/>
  <c r="G246" i="18"/>
  <c r="G247" i="18"/>
  <c r="G248" i="18"/>
  <c r="G249" i="18"/>
  <c r="G250" i="18"/>
  <c r="G251" i="18"/>
  <c r="G252" i="18"/>
  <c r="G253" i="18"/>
  <c r="G254" i="18"/>
  <c r="G255" i="18"/>
  <c r="G256" i="18"/>
  <c r="G257" i="18"/>
  <c r="G258" i="18"/>
  <c r="G259" i="18"/>
  <c r="G260" i="18"/>
  <c r="G261" i="18"/>
  <c r="G262" i="18"/>
  <c r="G263" i="18"/>
  <c r="G264" i="18"/>
  <c r="G265" i="18"/>
  <c r="G266" i="18"/>
  <c r="G267" i="18"/>
  <c r="G268" i="18"/>
  <c r="G269" i="18"/>
  <c r="G270" i="18"/>
  <c r="G271" i="18"/>
  <c r="G272" i="18"/>
  <c r="G273" i="18"/>
  <c r="G274" i="18"/>
  <c r="G275" i="18"/>
  <c r="G276" i="18"/>
  <c r="G277" i="18"/>
  <c r="G278" i="18"/>
  <c r="G279" i="18"/>
  <c r="G280" i="18"/>
  <c r="G281" i="18"/>
  <c r="G282" i="18"/>
  <c r="G283" i="18"/>
  <c r="G284" i="18"/>
  <c r="G285" i="18"/>
  <c r="G286" i="18"/>
  <c r="G287" i="18"/>
  <c r="G288" i="18"/>
  <c r="G289" i="18"/>
  <c r="G290" i="18"/>
  <c r="G291" i="18"/>
  <c r="G292" i="18"/>
  <c r="G293" i="18"/>
  <c r="G294" i="18"/>
  <c r="G295" i="18"/>
  <c r="G296" i="18"/>
  <c r="G297" i="18"/>
  <c r="G298" i="18"/>
  <c r="G299" i="18"/>
  <c r="G300" i="18"/>
  <c r="G301" i="18"/>
  <c r="G302" i="18"/>
  <c r="G303" i="18"/>
  <c r="G304" i="18"/>
  <c r="G305" i="18"/>
  <c r="G306" i="18"/>
  <c r="G307" i="18"/>
  <c r="G308" i="18"/>
  <c r="G309" i="18"/>
  <c r="G310" i="18"/>
  <c r="G311" i="18"/>
  <c r="G312" i="18"/>
  <c r="G313" i="18"/>
  <c r="G314" i="18"/>
  <c r="G315" i="18"/>
  <c r="G316" i="18"/>
  <c r="G317" i="18"/>
  <c r="G318" i="18"/>
  <c r="G319" i="18"/>
  <c r="G320" i="18"/>
  <c r="G321" i="18"/>
  <c r="G322" i="18"/>
  <c r="G323" i="18"/>
  <c r="G324" i="18"/>
  <c r="G325" i="18"/>
  <c r="G326" i="18"/>
  <c r="G327" i="18"/>
  <c r="G328" i="18"/>
  <c r="G329" i="18"/>
  <c r="G330" i="18"/>
  <c r="G331" i="18"/>
  <c r="G332" i="18"/>
  <c r="G333" i="18"/>
  <c r="G334" i="18"/>
  <c r="G335" i="18"/>
  <c r="G336" i="18"/>
  <c r="G337" i="18"/>
  <c r="G338" i="18"/>
  <c r="G339" i="18"/>
  <c r="G340" i="18"/>
  <c r="G341" i="18"/>
  <c r="G342" i="18"/>
  <c r="G343" i="18"/>
  <c r="G344" i="18"/>
  <c r="G345" i="18"/>
  <c r="G346" i="18"/>
  <c r="G347" i="18"/>
  <c r="G348" i="18"/>
  <c r="G349" i="18"/>
  <c r="G350" i="18"/>
  <c r="G351" i="18"/>
  <c r="G352" i="18"/>
  <c r="G353" i="18"/>
  <c r="G354" i="18"/>
  <c r="G355" i="18"/>
  <c r="G356" i="18"/>
  <c r="G357" i="18"/>
  <c r="G358" i="18"/>
  <c r="G359" i="18"/>
  <c r="G360" i="18"/>
  <c r="G361" i="18"/>
  <c r="G362" i="18"/>
  <c r="G363" i="18"/>
  <c r="G364" i="18"/>
  <c r="G365" i="18"/>
  <c r="G366" i="18"/>
  <c r="G367" i="18"/>
  <c r="G368" i="18"/>
  <c r="G369" i="18"/>
  <c r="G370" i="18"/>
  <c r="G371" i="18"/>
  <c r="G372" i="18"/>
  <c r="G373" i="18"/>
  <c r="G374" i="18"/>
  <c r="G375" i="18"/>
  <c r="G376" i="18"/>
  <c r="G377" i="18"/>
  <c r="G378" i="18"/>
  <c r="G379" i="18"/>
  <c r="G380" i="18"/>
  <c r="G381" i="18"/>
  <c r="G382" i="18"/>
  <c r="G383" i="18"/>
  <c r="G384" i="18"/>
  <c r="G385" i="18"/>
  <c r="G386" i="18"/>
  <c r="G387" i="18"/>
  <c r="G388" i="18"/>
  <c r="G389" i="18"/>
  <c r="G390" i="18"/>
  <c r="G391" i="18"/>
  <c r="G392" i="18"/>
  <c r="G393" i="18"/>
  <c r="G394" i="18"/>
  <c r="G395" i="18"/>
  <c r="G396" i="18"/>
  <c r="G397" i="18"/>
  <c r="G398" i="18"/>
  <c r="G399" i="18"/>
  <c r="G400" i="18"/>
  <c r="G401" i="18"/>
  <c r="G402" i="18"/>
  <c r="G403" i="18"/>
  <c r="G404" i="18"/>
  <c r="G405" i="18"/>
  <c r="G406" i="18"/>
  <c r="G407" i="18"/>
  <c r="G408" i="18"/>
  <c r="G409" i="18"/>
  <c r="G410" i="18"/>
  <c r="G411" i="18"/>
  <c r="G412" i="18"/>
  <c r="G413" i="18"/>
  <c r="G414" i="18"/>
  <c r="G415" i="18"/>
  <c r="G416" i="18"/>
  <c r="G417" i="18"/>
  <c r="G418" i="18"/>
  <c r="G419" i="18"/>
  <c r="G420" i="18"/>
  <c r="G421" i="18"/>
  <c r="G422" i="18"/>
  <c r="G423" i="18"/>
  <c r="G424" i="18"/>
  <c r="G425" i="18"/>
  <c r="G426" i="18"/>
  <c r="G427" i="18"/>
  <c r="G428" i="18"/>
  <c r="G429" i="18"/>
  <c r="G430" i="18"/>
  <c r="G431" i="18"/>
  <c r="G432" i="18"/>
  <c r="G433" i="18"/>
  <c r="G434" i="18"/>
  <c r="G435" i="18"/>
  <c r="G436" i="18"/>
  <c r="G437" i="18"/>
  <c r="G438" i="18"/>
  <c r="G439" i="18"/>
  <c r="G440" i="18"/>
  <c r="G441" i="18"/>
  <c r="G442" i="18"/>
  <c r="G443" i="18"/>
  <c r="G444" i="18"/>
  <c r="G445" i="18"/>
  <c r="G446" i="18"/>
  <c r="G447" i="18"/>
  <c r="G448" i="18"/>
  <c r="G449" i="18"/>
  <c r="G450" i="18"/>
  <c r="G451" i="18"/>
  <c r="G452" i="18"/>
  <c r="G453" i="18"/>
  <c r="G454" i="18"/>
  <c r="G455" i="18"/>
  <c r="G456" i="18"/>
  <c r="G457" i="18"/>
  <c r="G458" i="18"/>
  <c r="G459" i="18"/>
  <c r="G460" i="18"/>
  <c r="G461" i="18"/>
  <c r="G462" i="18"/>
  <c r="G463" i="18"/>
  <c r="G464" i="18"/>
  <c r="G465" i="18"/>
  <c r="G466" i="18"/>
  <c r="G467" i="18"/>
  <c r="G468" i="18"/>
  <c r="G469" i="18"/>
  <c r="G470" i="18"/>
  <c r="G471" i="18"/>
  <c r="G472" i="18"/>
  <c r="G473" i="18"/>
  <c r="G474" i="18"/>
  <c r="G475" i="18"/>
  <c r="G476" i="18"/>
  <c r="G477" i="18"/>
  <c r="G478" i="18"/>
  <c r="G479" i="18"/>
  <c r="G480" i="18"/>
  <c r="G481" i="18"/>
  <c r="G482" i="18"/>
  <c r="G483" i="18"/>
  <c r="G484" i="18"/>
  <c r="G485" i="18"/>
  <c r="G486" i="18"/>
  <c r="G487" i="18"/>
  <c r="G488" i="18"/>
  <c r="G489" i="18"/>
  <c r="G490" i="18"/>
  <c r="G491" i="18"/>
  <c r="G492" i="18"/>
  <c r="G493" i="18"/>
  <c r="G494" i="18"/>
  <c r="G495" i="18"/>
  <c r="G496" i="18"/>
  <c r="G497" i="18"/>
  <c r="G498" i="18"/>
  <c r="G499" i="18"/>
  <c r="G500" i="18"/>
  <c r="G501" i="18"/>
  <c r="G502" i="18"/>
  <c r="G503" i="18"/>
  <c r="G504" i="18"/>
  <c r="G505" i="18"/>
  <c r="G506" i="18"/>
  <c r="G507" i="18"/>
  <c r="G508" i="18"/>
  <c r="G509" i="18"/>
  <c r="G510" i="18"/>
  <c r="G511" i="18"/>
  <c r="G512" i="18"/>
  <c r="G513" i="18"/>
  <c r="G514" i="18"/>
  <c r="G515" i="18"/>
  <c r="G516" i="18"/>
  <c r="G519" i="18"/>
  <c r="G520" i="18"/>
  <c r="G521" i="18"/>
  <c r="G522" i="18"/>
  <c r="G523" i="18"/>
  <c r="G524" i="18"/>
  <c r="G525" i="18"/>
  <c r="G526" i="18"/>
  <c r="G527" i="18"/>
  <c r="G528" i="18"/>
  <c r="G529" i="18"/>
  <c r="G530" i="18"/>
  <c r="G531" i="18"/>
  <c r="G532" i="18"/>
  <c r="G533" i="18"/>
  <c r="G534" i="18"/>
  <c r="G535" i="18"/>
  <c r="G536" i="18"/>
  <c r="G537" i="18"/>
  <c r="G538" i="18"/>
  <c r="G539" i="18"/>
  <c r="G540" i="18"/>
  <c r="G541" i="18"/>
  <c r="G542" i="18"/>
  <c r="G543" i="18"/>
  <c r="G544" i="18"/>
  <c r="G545" i="18"/>
  <c r="G546" i="18"/>
  <c r="G547" i="18"/>
  <c r="G548" i="18"/>
  <c r="G549" i="18"/>
  <c r="G552" i="18"/>
  <c r="G553" i="18"/>
  <c r="G554" i="18"/>
  <c r="G555" i="18"/>
  <c r="G556" i="18"/>
  <c r="G557" i="18"/>
  <c r="G558" i="18"/>
  <c r="G559" i="18"/>
  <c r="G560" i="18"/>
  <c r="G561" i="18"/>
  <c r="G562" i="18"/>
  <c r="G563" i="18"/>
  <c r="G564" i="18"/>
  <c r="G565" i="18"/>
  <c r="G566" i="18"/>
  <c r="G567" i="18"/>
  <c r="G568" i="18"/>
  <c r="G569" i="18"/>
  <c r="G570" i="18"/>
  <c r="G571" i="18"/>
  <c r="G572" i="18"/>
  <c r="G573" i="18"/>
  <c r="G574" i="18"/>
  <c r="G575" i="18"/>
  <c r="G576" i="18"/>
  <c r="G577" i="18"/>
  <c r="G578" i="18"/>
  <c r="G579" i="18"/>
  <c r="G580" i="18"/>
  <c r="G581" i="18"/>
  <c r="G582" i="18"/>
  <c r="G585" i="18"/>
  <c r="G586" i="18"/>
  <c r="G587" i="18"/>
  <c r="G588" i="18"/>
  <c r="G589" i="18"/>
  <c r="G590" i="18"/>
  <c r="G591" i="18"/>
  <c r="G592" i="18"/>
  <c r="G593" i="18"/>
  <c r="G594" i="18"/>
  <c r="G595" i="18"/>
  <c r="G596" i="18"/>
  <c r="G597" i="18"/>
  <c r="G598" i="18"/>
  <c r="G599" i="18"/>
  <c r="G600" i="18"/>
  <c r="G601" i="18"/>
  <c r="G602" i="18"/>
  <c r="G603" i="18"/>
  <c r="G604" i="18"/>
  <c r="G605" i="18"/>
  <c r="G606" i="18"/>
  <c r="G607" i="18"/>
  <c r="G608" i="18"/>
  <c r="G609" i="18"/>
  <c r="G610" i="18"/>
  <c r="G611" i="18"/>
  <c r="G612" i="18"/>
  <c r="G613" i="18"/>
  <c r="G614" i="18"/>
  <c r="G615" i="18"/>
  <c r="G618" i="18"/>
  <c r="G619" i="18"/>
  <c r="G620" i="18"/>
  <c r="G621" i="18"/>
  <c r="G622" i="18"/>
  <c r="G623" i="18"/>
  <c r="G624" i="18"/>
  <c r="G625" i="18"/>
  <c r="G626" i="18"/>
  <c r="G627" i="18"/>
  <c r="G628" i="18"/>
  <c r="G629" i="18"/>
  <c r="G630" i="18"/>
  <c r="G631" i="18"/>
  <c r="G632" i="18"/>
  <c r="G633" i="18"/>
  <c r="G634" i="18"/>
  <c r="G635" i="18"/>
  <c r="G636" i="18"/>
  <c r="G637" i="18"/>
  <c r="G638" i="18"/>
  <c r="G639" i="18"/>
  <c r="G640" i="18"/>
  <c r="G641" i="18"/>
  <c r="G642" i="18"/>
  <c r="G643" i="18"/>
  <c r="G644" i="18"/>
  <c r="G645" i="18"/>
  <c r="G646" i="18"/>
  <c r="G647" i="18"/>
  <c r="G648" i="18"/>
  <c r="G649" i="18"/>
  <c r="G650" i="18"/>
  <c r="G651" i="18"/>
  <c r="G652" i="18"/>
  <c r="G653" i="18"/>
  <c r="G654" i="18"/>
  <c r="G655" i="18"/>
  <c r="G656" i="18"/>
  <c r="G657" i="18"/>
  <c r="G658" i="18"/>
  <c r="G659" i="18"/>
  <c r="G660" i="18"/>
  <c r="G661" i="18"/>
  <c r="G662" i="18"/>
  <c r="G663" i="18"/>
  <c r="G664" i="18"/>
  <c r="G665" i="18"/>
  <c r="G666" i="18"/>
  <c r="G667" i="18"/>
  <c r="G668" i="18"/>
  <c r="G669" i="18"/>
  <c r="G670" i="18"/>
  <c r="G671" i="18"/>
  <c r="G672" i="18"/>
  <c r="G673" i="18"/>
  <c r="G674" i="18"/>
  <c r="G675" i="18"/>
  <c r="G676" i="18"/>
  <c r="G677" i="18"/>
  <c r="G678" i="18"/>
  <c r="G679" i="18"/>
  <c r="G682" i="18"/>
  <c r="G683" i="18"/>
  <c r="G684" i="18"/>
  <c r="G685" i="18"/>
  <c r="G686" i="18"/>
  <c r="G687" i="18"/>
  <c r="G688" i="18"/>
  <c r="G689" i="18"/>
  <c r="G690" i="18"/>
  <c r="G691" i="18"/>
  <c r="G692" i="18"/>
  <c r="G693" i="18"/>
  <c r="G694" i="18"/>
  <c r="G695" i="18"/>
  <c r="G696" i="18"/>
  <c r="G697" i="18"/>
  <c r="G698" i="18"/>
  <c r="G699" i="18"/>
  <c r="G700" i="18"/>
  <c r="G701" i="18"/>
  <c r="G702" i="18"/>
  <c r="G703" i="18"/>
  <c r="G704" i="18"/>
  <c r="G705" i="18"/>
  <c r="G706" i="18"/>
  <c r="G707" i="18"/>
  <c r="G708" i="18"/>
  <c r="G709" i="18"/>
  <c r="G710" i="18"/>
  <c r="G711" i="18"/>
  <c r="G712" i="18"/>
  <c r="G713" i="18"/>
  <c r="G714" i="18"/>
  <c r="G715" i="18"/>
  <c r="G716" i="18"/>
  <c r="G717" i="18"/>
  <c r="G718" i="18"/>
  <c r="G719" i="18"/>
  <c r="G720" i="18"/>
  <c r="G721" i="18"/>
  <c r="G722" i="18"/>
  <c r="G723" i="18"/>
  <c r="G724" i="18"/>
  <c r="G725" i="18"/>
  <c r="G726" i="18"/>
  <c r="G727" i="18"/>
  <c r="G728" i="18"/>
  <c r="G729" i="18"/>
  <c r="G730" i="18"/>
  <c r="G731" i="18"/>
  <c r="G732" i="18"/>
  <c r="G733" i="18"/>
  <c r="G734" i="18"/>
  <c r="G735" i="18"/>
  <c r="G736" i="18"/>
  <c r="G737" i="18"/>
  <c r="G738" i="18"/>
  <c r="G739" i="18"/>
  <c r="G740" i="18"/>
  <c r="G741" i="18"/>
  <c r="G742" i="18"/>
  <c r="G743" i="18"/>
  <c r="G744" i="18"/>
  <c r="G745" i="18"/>
  <c r="G746" i="18"/>
  <c r="G747" i="18"/>
  <c r="G748" i="18"/>
  <c r="G749" i="18"/>
  <c r="G750" i="18"/>
  <c r="G751" i="18"/>
  <c r="G752" i="18"/>
  <c r="G753" i="18"/>
  <c r="G754" i="18"/>
  <c r="G755" i="18"/>
  <c r="G756" i="18"/>
  <c r="G757" i="18"/>
  <c r="G758" i="18"/>
  <c r="G759" i="18"/>
  <c r="G760" i="18"/>
  <c r="G761" i="18"/>
  <c r="G762" i="18"/>
  <c r="G763" i="18"/>
  <c r="G764" i="18"/>
  <c r="G765" i="18"/>
  <c r="G766" i="18"/>
  <c r="G767" i="18"/>
  <c r="G768" i="18"/>
  <c r="G769" i="18"/>
  <c r="G770" i="18"/>
  <c r="G771" i="18"/>
  <c r="G772" i="18"/>
  <c r="G773" i="18"/>
  <c r="G774" i="18"/>
  <c r="G775" i="18"/>
  <c r="G776" i="18"/>
  <c r="G777" i="18"/>
  <c r="G778" i="18"/>
  <c r="G779" i="18"/>
  <c r="G780" i="18"/>
  <c r="G781" i="18"/>
  <c r="G782" i="18"/>
  <c r="G783" i="18"/>
  <c r="G784" i="18"/>
  <c r="G785" i="18"/>
  <c r="G786" i="18"/>
  <c r="G787" i="18"/>
  <c r="G788" i="18"/>
  <c r="G789" i="18"/>
  <c r="G790" i="18"/>
  <c r="G791" i="18"/>
  <c r="G792" i="18"/>
  <c r="G793" i="18"/>
  <c r="G794" i="18"/>
  <c r="G795" i="18"/>
  <c r="G796" i="18"/>
  <c r="G797" i="18"/>
  <c r="G798" i="18"/>
  <c r="G799" i="18"/>
  <c r="G800" i="18"/>
  <c r="G801" i="18"/>
  <c r="G802" i="18"/>
  <c r="G803" i="18"/>
  <c r="G804" i="18"/>
  <c r="G805" i="18"/>
  <c r="G806" i="18"/>
  <c r="G807" i="18"/>
  <c r="G808" i="18"/>
  <c r="G809" i="18"/>
  <c r="G810" i="18"/>
  <c r="G811" i="18"/>
  <c r="G812" i="18"/>
  <c r="G813" i="18"/>
  <c r="G814" i="18"/>
  <c r="G815" i="18"/>
  <c r="G816" i="18"/>
  <c r="G817" i="18"/>
  <c r="G818" i="18"/>
  <c r="G819" i="18"/>
  <c r="G820" i="18"/>
  <c r="G821" i="18"/>
  <c r="G822" i="18"/>
  <c r="G823" i="18"/>
  <c r="G824" i="18"/>
  <c r="G825" i="18"/>
  <c r="G826" i="18"/>
  <c r="G827" i="18"/>
  <c r="G828" i="18"/>
  <c r="G829" i="18"/>
  <c r="G830" i="18"/>
  <c r="G831" i="18"/>
  <c r="G832" i="18"/>
  <c r="G833" i="18"/>
  <c r="G834" i="18"/>
  <c r="G835" i="18"/>
  <c r="G836" i="18"/>
  <c r="G837" i="18"/>
  <c r="G838" i="18"/>
  <c r="G839" i="18"/>
  <c r="G840" i="18"/>
  <c r="G841" i="18"/>
  <c r="G842" i="18"/>
  <c r="G843" i="18"/>
  <c r="G844" i="18"/>
  <c r="G845" i="18"/>
  <c r="G846" i="18"/>
  <c r="G847" i="18"/>
  <c r="G848" i="18"/>
  <c r="G849" i="18"/>
  <c r="G850" i="18"/>
  <c r="G851" i="18"/>
  <c r="G852" i="18"/>
  <c r="G853" i="18"/>
  <c r="G854" i="18"/>
  <c r="G855" i="18"/>
  <c r="G856" i="18"/>
  <c r="G857" i="18"/>
  <c r="G858" i="18"/>
  <c r="G859" i="18"/>
  <c r="G860" i="18"/>
  <c r="G861" i="18"/>
  <c r="G862" i="18"/>
  <c r="G863" i="18"/>
  <c r="G864" i="18"/>
  <c r="G865" i="18"/>
  <c r="G866" i="18"/>
  <c r="G867" i="18"/>
  <c r="G868" i="18"/>
  <c r="G869" i="18"/>
  <c r="G870" i="18"/>
  <c r="G871" i="18"/>
  <c r="G872" i="18"/>
  <c r="G873" i="18"/>
  <c r="G874" i="18"/>
  <c r="G875" i="18"/>
  <c r="G876" i="18"/>
  <c r="G877" i="18"/>
  <c r="G878" i="18"/>
  <c r="G879" i="18"/>
  <c r="G880" i="18"/>
  <c r="G881" i="18"/>
  <c r="G882" i="18"/>
  <c r="G883" i="18"/>
  <c r="G884" i="18"/>
  <c r="G885" i="18"/>
  <c r="G886" i="18"/>
  <c r="G887" i="18"/>
  <c r="G888" i="18"/>
  <c r="G889" i="18"/>
  <c r="G890" i="18"/>
  <c r="G891" i="18"/>
  <c r="G892" i="18"/>
  <c r="G893" i="18"/>
  <c r="G894" i="18"/>
  <c r="G895" i="18"/>
  <c r="G896" i="18"/>
  <c r="G897" i="18"/>
  <c r="G898" i="18"/>
  <c r="G899" i="18"/>
  <c r="G900" i="18"/>
  <c r="G901" i="18"/>
  <c r="G902" i="18"/>
  <c r="G903" i="18"/>
  <c r="G904" i="18"/>
  <c r="G905" i="18"/>
  <c r="G906" i="18"/>
  <c r="G907" i="18"/>
  <c r="G908" i="18"/>
  <c r="G909" i="18"/>
  <c r="G910" i="18"/>
  <c r="G911" i="18"/>
  <c r="G912" i="18"/>
  <c r="G913" i="18"/>
  <c r="G914" i="18"/>
  <c r="G915" i="18"/>
  <c r="G916" i="18"/>
  <c r="G917" i="18"/>
  <c r="G918" i="18"/>
  <c r="G919" i="18"/>
  <c r="G920" i="18"/>
  <c r="G921" i="18"/>
  <c r="G922" i="18"/>
  <c r="G923" i="18"/>
  <c r="G924" i="18"/>
  <c r="G925" i="18"/>
  <c r="G926" i="18"/>
  <c r="G927" i="18"/>
  <c r="G928" i="18"/>
  <c r="G929" i="18"/>
  <c r="G930" i="18"/>
  <c r="G931" i="18"/>
  <c r="G932" i="18"/>
  <c r="G933" i="18"/>
  <c r="G934" i="18"/>
  <c r="G935" i="18"/>
  <c r="G936" i="18"/>
  <c r="G937" i="18"/>
  <c r="G938" i="18"/>
  <c r="G939" i="18"/>
  <c r="G940" i="18"/>
  <c r="G941" i="18"/>
  <c r="G942" i="18"/>
  <c r="G943" i="18"/>
  <c r="G944" i="18"/>
  <c r="G945" i="18"/>
  <c r="G946" i="18"/>
  <c r="G947" i="18"/>
  <c r="G948" i="18"/>
  <c r="G949" i="18"/>
  <c r="G950" i="18"/>
  <c r="G951" i="18"/>
  <c r="G952" i="18"/>
  <c r="G953" i="18"/>
  <c r="G954" i="18"/>
  <c r="G955" i="18"/>
  <c r="G956" i="18"/>
  <c r="G957" i="18"/>
  <c r="G958" i="18"/>
  <c r="G959" i="18"/>
  <c r="G960" i="18"/>
  <c r="G961" i="18"/>
  <c r="G962" i="18"/>
  <c r="G963" i="18"/>
  <c r="G964" i="18"/>
  <c r="G965" i="18"/>
  <c r="G966" i="18"/>
  <c r="G967" i="18"/>
  <c r="G968" i="18"/>
  <c r="G969" i="18"/>
  <c r="G970" i="18"/>
  <c r="G971" i="18"/>
  <c r="G972" i="18"/>
  <c r="G973" i="18"/>
  <c r="G974" i="18"/>
  <c r="G975" i="18"/>
  <c r="G976" i="18"/>
  <c r="G977" i="18"/>
  <c r="G978" i="18"/>
  <c r="G979" i="18"/>
  <c r="G980" i="18"/>
  <c r="G981" i="18"/>
  <c r="G982" i="18"/>
  <c r="G983" i="18"/>
  <c r="G984" i="18"/>
  <c r="G985" i="18"/>
  <c r="G986" i="18"/>
  <c r="G987" i="18"/>
  <c r="G988" i="18"/>
  <c r="G989" i="18"/>
  <c r="G990" i="18"/>
  <c r="G991" i="18"/>
  <c r="G992" i="18"/>
  <c r="G993" i="18"/>
  <c r="G994" i="18"/>
  <c r="G995" i="18"/>
  <c r="G996" i="18"/>
  <c r="G997" i="18"/>
  <c r="G998" i="18"/>
  <c r="G999" i="18"/>
  <c r="G1000" i="18"/>
  <c r="G1001" i="18"/>
  <c r="G1002" i="18"/>
  <c r="G1003" i="18"/>
  <c r="G1004" i="18"/>
  <c r="G1005" i="18"/>
  <c r="G1006" i="18"/>
  <c r="G1007" i="18"/>
  <c r="G1008" i="18"/>
  <c r="G1009" i="18"/>
  <c r="G1010" i="18"/>
  <c r="G1011" i="18"/>
  <c r="G1012" i="18"/>
  <c r="G1013" i="18"/>
  <c r="G1014" i="18"/>
  <c r="G1015" i="18"/>
  <c r="G1016" i="18"/>
  <c r="G1017" i="18"/>
  <c r="G1018" i="18"/>
  <c r="G1019" i="18"/>
  <c r="G1020" i="18"/>
  <c r="G1021" i="18"/>
  <c r="G1022" i="18"/>
  <c r="G1023" i="18"/>
  <c r="G1024" i="18"/>
  <c r="G1025" i="18"/>
  <c r="G1026" i="18"/>
  <c r="G1027" i="18"/>
  <c r="G1028" i="18"/>
  <c r="G1029" i="18"/>
  <c r="G1030" i="18"/>
  <c r="G1031" i="18"/>
  <c r="G1032" i="18"/>
  <c r="G1033" i="18"/>
  <c r="G1034" i="18"/>
  <c r="G1035" i="18"/>
  <c r="G1036" i="18"/>
  <c r="G1037" i="18"/>
  <c r="G1038" i="18"/>
  <c r="G1039" i="18"/>
  <c r="G1040" i="18"/>
  <c r="G1041" i="18"/>
  <c r="G1042" i="18"/>
  <c r="G1043" i="18"/>
  <c r="G1044" i="18"/>
  <c r="G1045" i="18"/>
  <c r="G1046" i="18"/>
  <c r="G1047" i="18"/>
  <c r="G1048" i="18"/>
  <c r="G1049" i="18"/>
  <c r="G1050" i="18"/>
  <c r="G1051" i="18"/>
  <c r="G1052" i="18"/>
  <c r="G1053" i="18"/>
  <c r="G1054" i="18"/>
  <c r="G1055" i="18"/>
  <c r="G1056" i="18"/>
  <c r="G1057" i="18"/>
  <c r="G1058" i="18"/>
  <c r="G1059" i="18"/>
  <c r="G1060" i="18"/>
  <c r="G1061" i="18"/>
  <c r="G1062" i="18"/>
  <c r="G1063" i="18"/>
  <c r="G1064" i="18"/>
  <c r="G1065" i="18"/>
  <c r="G1066" i="18"/>
  <c r="G1067" i="18"/>
  <c r="G1068" i="18"/>
  <c r="G1069" i="18"/>
  <c r="G1070" i="18"/>
  <c r="G1071" i="18"/>
  <c r="G1072" i="18"/>
  <c r="G1073" i="18"/>
  <c r="G1074" i="18"/>
  <c r="G1075" i="18"/>
  <c r="G1076" i="18"/>
  <c r="G1077" i="18"/>
  <c r="G1078" i="18"/>
  <c r="G1079" i="18"/>
  <c r="G1080" i="18"/>
  <c r="G1081" i="18"/>
  <c r="G1082" i="18"/>
  <c r="G1083" i="18"/>
  <c r="G1084" i="18"/>
  <c r="G1085" i="18"/>
  <c r="G1086" i="18"/>
  <c r="G1087" i="18"/>
  <c r="G1088" i="18"/>
  <c r="G1089" i="18"/>
  <c r="G1090" i="18"/>
  <c r="G1091" i="18"/>
  <c r="G1092" i="18"/>
  <c r="G1093" i="18"/>
  <c r="G1094" i="18"/>
  <c r="G1095" i="18"/>
  <c r="G1096" i="18"/>
  <c r="G1097" i="18"/>
  <c r="G1098" i="18"/>
  <c r="G1099" i="18"/>
  <c r="G1100" i="18"/>
  <c r="G1101" i="18"/>
  <c r="G1102" i="18"/>
  <c r="G1103" i="18"/>
  <c r="G1104" i="18"/>
  <c r="G1105" i="18"/>
  <c r="G1106" i="18"/>
  <c r="G1107" i="18"/>
  <c r="G1108" i="18"/>
  <c r="G1109" i="18"/>
  <c r="G1110" i="18"/>
  <c r="G1111" i="18"/>
  <c r="G1112" i="18"/>
  <c r="G1113" i="18"/>
  <c r="G1114" i="18"/>
  <c r="G1115" i="18"/>
  <c r="G1116" i="18"/>
  <c r="G1117" i="18"/>
  <c r="G1118" i="18"/>
  <c r="G1119" i="18"/>
  <c r="G1120" i="18"/>
  <c r="G1121" i="18"/>
  <c r="G1122" i="18"/>
  <c r="G1123" i="18"/>
  <c r="G1124" i="18"/>
  <c r="G1125" i="18"/>
  <c r="G1126" i="18"/>
  <c r="G1127" i="18"/>
  <c r="G1128" i="18"/>
  <c r="G1129" i="18"/>
  <c r="G1130" i="18"/>
  <c r="G1131" i="18"/>
  <c r="G1132" i="18"/>
  <c r="G1133" i="18"/>
  <c r="G1134" i="18"/>
  <c r="G1135" i="18"/>
  <c r="G1136" i="18"/>
  <c r="G1137" i="18"/>
  <c r="G1138" i="18"/>
  <c r="G1139" i="18"/>
  <c r="G1140" i="18"/>
  <c r="G1141" i="18"/>
  <c r="G1142" i="18"/>
  <c r="G1143" i="18"/>
  <c r="G1144" i="18"/>
  <c r="G1145" i="18"/>
  <c r="G1146" i="18"/>
  <c r="G1147" i="18"/>
  <c r="G1148" i="18"/>
  <c r="G1149" i="18"/>
  <c r="G1150" i="18"/>
  <c r="G1151" i="18"/>
  <c r="G1152" i="18"/>
  <c r="G1153" i="18"/>
  <c r="G1154" i="18"/>
  <c r="G1155" i="18"/>
  <c r="G1156" i="18"/>
  <c r="G1157" i="18"/>
  <c r="G1158" i="18"/>
  <c r="G1159" i="18"/>
  <c r="G1160" i="18"/>
  <c r="G1161" i="18"/>
  <c r="G1162" i="18"/>
  <c r="G1163" i="18"/>
  <c r="G1164" i="18"/>
  <c r="G1165" i="18"/>
  <c r="G1166" i="18"/>
  <c r="G1167" i="18"/>
  <c r="G1168" i="18"/>
  <c r="G1169" i="18"/>
  <c r="G1170" i="18"/>
  <c r="G1171" i="18"/>
  <c r="G1172" i="18"/>
  <c r="G1173" i="18"/>
  <c r="G1174" i="18"/>
  <c r="G1175" i="18"/>
  <c r="G1176" i="18"/>
  <c r="G1177" i="18"/>
  <c r="G1178" i="18"/>
  <c r="G1179" i="18"/>
  <c r="G1180" i="18"/>
  <c r="G1181" i="18"/>
  <c r="G1182" i="18"/>
  <c r="G1183" i="18"/>
  <c r="G1184" i="18"/>
  <c r="G1185" i="18"/>
  <c r="G1186" i="18"/>
  <c r="G1187" i="18"/>
  <c r="G1188" i="18"/>
  <c r="G1189" i="18"/>
  <c r="G1190" i="18"/>
  <c r="G1191" i="18"/>
  <c r="G1192" i="18"/>
  <c r="G1193" i="18"/>
  <c r="G1194" i="18"/>
  <c r="G1195" i="18"/>
  <c r="G1196" i="18"/>
  <c r="G1197" i="18"/>
  <c r="G1198" i="18"/>
  <c r="G1199" i="18"/>
  <c r="G1200" i="18"/>
  <c r="G1201" i="18"/>
  <c r="G1202" i="18"/>
  <c r="G1203" i="18"/>
  <c r="G1204" i="18"/>
  <c r="G1205" i="18"/>
  <c r="G1206" i="18"/>
  <c r="G1207" i="18"/>
  <c r="G1208" i="18"/>
  <c r="G1209" i="18"/>
  <c r="G1210" i="18"/>
  <c r="G1211" i="18"/>
  <c r="G1212" i="18"/>
  <c r="G1213" i="18"/>
  <c r="G1214" i="18"/>
  <c r="G1215" i="18"/>
  <c r="G1216" i="18"/>
  <c r="G1217" i="18"/>
  <c r="G1218" i="18"/>
  <c r="G1219" i="18"/>
  <c r="G1220" i="18"/>
  <c r="G1221" i="18"/>
  <c r="G1222" i="18"/>
  <c r="G1223" i="18"/>
  <c r="G1224" i="18"/>
  <c r="G1225" i="18"/>
  <c r="G1226" i="18"/>
  <c r="G1227" i="18"/>
  <c r="G1228" i="18"/>
  <c r="G1229" i="18"/>
  <c r="G1230" i="18"/>
  <c r="G1231" i="18"/>
  <c r="G1232" i="18"/>
  <c r="G1233" i="18"/>
  <c r="G1234" i="18"/>
  <c r="G1235" i="18"/>
  <c r="G1236" i="18"/>
  <c r="G1237" i="18"/>
  <c r="G1238" i="18"/>
  <c r="G1239" i="18"/>
  <c r="G1240" i="18"/>
  <c r="G1241" i="18"/>
  <c r="G1242" i="18"/>
  <c r="G1243" i="18"/>
  <c r="G1244" i="18"/>
  <c r="G1245" i="18"/>
  <c r="G1246" i="18"/>
  <c r="G1247" i="18"/>
  <c r="G1248" i="18"/>
  <c r="G1249" i="18"/>
  <c r="G1250" i="18"/>
  <c r="G1251" i="18"/>
  <c r="G1252" i="18"/>
  <c r="G1253" i="18"/>
  <c r="G1254" i="18"/>
  <c r="G1255" i="18"/>
  <c r="G1256" i="18"/>
  <c r="G1257" i="18"/>
  <c r="G1258" i="18"/>
  <c r="G1259" i="18"/>
  <c r="G1260" i="18"/>
  <c r="G1261" i="18"/>
  <c r="G1262" i="18"/>
  <c r="G1263" i="18"/>
  <c r="G1264" i="18"/>
  <c r="G1265" i="18"/>
  <c r="G1266" i="18"/>
  <c r="G1267" i="18"/>
  <c r="G1268" i="18"/>
  <c r="G1269" i="18"/>
  <c r="G1270" i="18"/>
  <c r="G1271" i="18"/>
  <c r="G1272" i="18"/>
  <c r="G1273" i="18"/>
  <c r="G1274" i="18"/>
  <c r="G1275" i="18"/>
  <c r="G1276" i="18"/>
  <c r="G1277" i="18"/>
  <c r="G1278" i="18"/>
  <c r="G1279" i="18"/>
  <c r="G1280" i="18"/>
  <c r="G1281" i="18"/>
  <c r="G1282" i="18"/>
  <c r="G1283" i="18"/>
  <c r="G1284" i="18"/>
  <c r="G1285" i="18"/>
  <c r="G1286" i="18"/>
  <c r="G1287" i="18"/>
  <c r="G1288" i="18"/>
  <c r="G1289" i="18"/>
  <c r="G1290" i="18"/>
  <c r="G1291" i="18"/>
  <c r="G1292" i="18"/>
  <c r="G1293" i="18"/>
  <c r="G1294" i="18"/>
  <c r="G1295" i="18"/>
  <c r="G1296" i="18"/>
  <c r="G1297" i="18"/>
  <c r="G1298" i="18"/>
  <c r="G1299" i="18"/>
  <c r="G1300" i="18"/>
  <c r="G1301" i="18"/>
  <c r="G1302" i="18"/>
  <c r="G1303" i="18"/>
  <c r="G1304" i="18"/>
  <c r="G1305" i="18"/>
  <c r="G1306" i="18"/>
  <c r="G1307" i="18"/>
  <c r="G1308" i="18"/>
  <c r="G1309" i="18"/>
  <c r="G1310" i="18"/>
  <c r="G1311" i="18"/>
  <c r="G1312" i="18"/>
  <c r="G1313" i="18"/>
  <c r="G1314" i="18"/>
  <c r="G1315" i="18"/>
  <c r="G1316" i="18"/>
  <c r="G1317" i="18"/>
  <c r="G1318" i="18"/>
  <c r="G1319" i="18"/>
  <c r="G1320" i="18"/>
  <c r="G1321" i="18"/>
  <c r="G1322" i="18"/>
  <c r="G1323" i="18"/>
  <c r="G1324" i="18"/>
  <c r="G1325" i="18"/>
  <c r="G1326" i="18"/>
  <c r="G1327" i="18"/>
  <c r="G1328" i="18"/>
  <c r="G1329" i="18"/>
  <c r="G1330" i="18"/>
  <c r="G1331" i="18"/>
  <c r="G1332" i="18"/>
  <c r="G1333" i="18"/>
  <c r="G1334" i="18"/>
  <c r="G1335" i="18"/>
  <c r="G1336" i="18"/>
  <c r="G1337" i="18"/>
  <c r="G1338" i="18"/>
  <c r="G1339" i="18"/>
  <c r="G1340" i="18"/>
  <c r="G1341" i="18"/>
  <c r="G1342" i="18"/>
  <c r="G1343" i="18"/>
  <c r="G1344" i="18"/>
  <c r="G1345" i="18"/>
  <c r="G1346" i="18"/>
  <c r="G1347" i="18"/>
  <c r="G1348" i="18"/>
  <c r="G1349" i="18"/>
  <c r="G1350" i="18"/>
  <c r="G1351" i="18"/>
  <c r="G1352" i="18"/>
  <c r="G1353" i="18"/>
  <c r="G1354" i="18"/>
  <c r="G1355" i="18"/>
  <c r="G1356" i="18"/>
  <c r="G1357" i="18"/>
  <c r="G1358" i="18"/>
  <c r="G1359" i="18"/>
  <c r="G1360" i="18"/>
  <c r="G1361" i="18"/>
  <c r="G1362" i="18"/>
  <c r="G1363" i="18"/>
  <c r="G1364" i="18"/>
  <c r="G1365" i="18"/>
  <c r="G1366" i="18"/>
  <c r="G1367" i="18"/>
  <c r="G1368" i="18"/>
  <c r="G1369" i="18"/>
  <c r="G1370" i="18"/>
  <c r="G1371" i="18"/>
  <c r="G1372" i="18"/>
  <c r="G1373" i="18"/>
  <c r="G1374" i="18"/>
  <c r="G1375" i="18"/>
  <c r="G1376" i="18"/>
  <c r="G1377" i="18"/>
  <c r="G1378" i="18"/>
  <c r="G1379" i="18"/>
  <c r="G1380" i="18"/>
  <c r="G1381" i="18"/>
  <c r="G1382" i="18"/>
  <c r="G1383" i="18"/>
  <c r="G1384" i="18"/>
  <c r="G1385" i="18"/>
  <c r="G1386" i="18"/>
  <c r="G1387" i="18"/>
  <c r="G1388" i="18"/>
  <c r="G1389" i="18"/>
  <c r="G1390" i="18"/>
  <c r="G1391" i="18"/>
  <c r="G1392" i="18"/>
  <c r="G1393" i="18"/>
  <c r="G1394" i="18"/>
  <c r="G1395" i="18"/>
  <c r="G1396" i="18"/>
  <c r="G1397" i="18"/>
  <c r="G1398" i="18"/>
  <c r="G1399" i="18"/>
  <c r="G1400" i="18"/>
  <c r="G1401" i="18"/>
  <c r="G1402" i="18"/>
  <c r="G1403" i="18"/>
  <c r="G1404" i="18"/>
  <c r="G1405" i="18"/>
  <c r="G1406" i="18"/>
  <c r="G1407" i="18"/>
  <c r="G1408" i="18"/>
  <c r="G1409" i="18"/>
  <c r="G1410" i="18"/>
  <c r="G1411" i="18"/>
  <c r="G1412" i="18"/>
  <c r="G1413" i="18"/>
  <c r="G1414" i="18"/>
  <c r="G1415" i="18"/>
  <c r="G1416" i="18"/>
  <c r="G1417" i="18"/>
  <c r="G1418" i="18"/>
  <c r="G1419" i="18"/>
  <c r="G1420" i="18"/>
  <c r="G1421" i="18"/>
  <c r="G1422" i="18"/>
  <c r="G1423" i="18"/>
  <c r="G1424" i="18"/>
  <c r="G1425" i="18"/>
  <c r="G1426" i="18"/>
  <c r="G1427" i="18"/>
  <c r="G1428" i="18"/>
  <c r="G1429" i="18"/>
  <c r="G1430" i="18"/>
  <c r="G1431" i="18"/>
  <c r="G1432" i="18"/>
  <c r="G1433" i="18"/>
  <c r="G1434" i="18"/>
  <c r="G1435" i="18"/>
  <c r="G1436" i="18"/>
  <c r="G1437" i="18"/>
  <c r="G1438" i="18"/>
  <c r="G1439" i="18"/>
  <c r="G1440" i="18"/>
  <c r="G1441" i="18"/>
  <c r="G1442" i="18"/>
  <c r="G1443" i="18"/>
  <c r="G1444" i="18"/>
  <c r="G1445" i="18"/>
  <c r="G1446" i="18"/>
  <c r="G1447" i="18"/>
  <c r="G1448" i="18"/>
  <c r="G1449" i="18"/>
  <c r="G1450" i="18"/>
  <c r="G1451" i="18"/>
  <c r="G1452" i="18"/>
  <c r="G1453" i="18"/>
  <c r="G1454" i="18"/>
  <c r="G1455" i="18"/>
  <c r="G1456" i="18"/>
  <c r="G1457" i="18"/>
  <c r="G1458" i="18"/>
  <c r="G1459" i="18"/>
  <c r="G1460" i="18"/>
  <c r="G1461" i="18"/>
  <c r="G1462" i="18"/>
  <c r="G1463" i="18"/>
  <c r="G1464" i="18"/>
  <c r="G1465" i="18"/>
  <c r="G1466" i="18"/>
  <c r="G1467" i="18"/>
  <c r="G1468" i="18"/>
  <c r="G1469" i="18"/>
  <c r="G1470" i="18"/>
  <c r="G1471" i="18"/>
  <c r="G1472" i="18"/>
  <c r="G1473" i="18"/>
  <c r="G1474" i="18"/>
  <c r="G1475" i="18"/>
  <c r="G1476" i="18"/>
  <c r="G1477" i="18"/>
  <c r="G1478" i="18"/>
  <c r="G1479" i="18"/>
  <c r="G1480" i="18"/>
  <c r="G1481" i="18"/>
  <c r="G1482" i="18"/>
  <c r="G1483" i="18"/>
  <c r="G1484" i="18"/>
  <c r="G1485" i="18"/>
  <c r="G1486" i="18"/>
  <c r="G1487" i="18"/>
  <c r="G1488" i="18"/>
  <c r="G1489" i="18"/>
  <c r="G1490" i="18"/>
  <c r="G1491" i="18"/>
  <c r="G1492" i="18"/>
  <c r="G1493" i="18"/>
  <c r="G1494" i="18"/>
  <c r="G1495" i="18"/>
  <c r="G1496" i="18"/>
  <c r="G1497" i="18"/>
  <c r="G1498" i="18"/>
  <c r="G1499" i="18"/>
  <c r="G1500" i="18"/>
  <c r="G1501" i="18"/>
  <c r="G1502" i="18"/>
  <c r="G1503" i="18"/>
  <c r="G1504" i="18"/>
  <c r="G1505" i="18"/>
  <c r="G1506" i="18"/>
  <c r="G1507" i="18"/>
  <c r="G1508" i="18"/>
  <c r="G1509" i="18"/>
  <c r="G1510" i="18"/>
  <c r="G1511" i="18"/>
  <c r="G1512" i="18"/>
  <c r="G1513" i="18"/>
  <c r="G1514" i="18"/>
  <c r="G1515" i="18"/>
  <c r="G1516" i="18"/>
  <c r="G1517" i="18"/>
  <c r="G1518" i="18"/>
  <c r="G1519" i="18"/>
  <c r="G1520" i="18"/>
  <c r="G1521" i="18"/>
  <c r="G1522" i="18"/>
  <c r="G1523" i="18"/>
  <c r="G1524" i="18"/>
  <c r="G1525" i="18"/>
  <c r="G1526" i="18"/>
  <c r="G1527" i="18"/>
  <c r="G1528" i="18"/>
  <c r="G1529" i="18"/>
  <c r="G1530" i="18"/>
  <c r="G1531" i="18"/>
  <c r="G1532" i="18"/>
  <c r="G1533" i="18"/>
  <c r="G1534" i="18"/>
  <c r="G1535" i="18"/>
  <c r="G1536" i="18"/>
  <c r="G1537" i="18"/>
  <c r="G1538" i="18"/>
  <c r="G1539" i="18"/>
  <c r="G1540" i="18"/>
  <c r="G1541" i="18"/>
  <c r="G1542" i="18"/>
  <c r="G1543" i="18"/>
  <c r="G1544" i="18"/>
  <c r="G1545" i="18"/>
  <c r="G1546" i="18"/>
  <c r="G1547" i="18"/>
  <c r="G1548" i="18"/>
  <c r="G1549" i="18"/>
  <c r="G1550" i="18"/>
  <c r="G1551" i="18"/>
  <c r="G1552" i="18"/>
  <c r="G1553" i="18"/>
  <c r="G1554" i="18"/>
  <c r="G1555" i="18"/>
  <c r="G1556" i="18"/>
  <c r="G1557" i="18"/>
  <c r="G1558" i="18"/>
  <c r="G1559" i="18"/>
  <c r="G1560" i="18"/>
  <c r="G1561" i="18"/>
  <c r="G1562" i="18"/>
  <c r="G1563" i="18"/>
  <c r="G1564" i="18"/>
  <c r="G1565" i="18"/>
  <c r="G1566" i="18"/>
  <c r="G1567" i="18"/>
  <c r="G1568" i="18"/>
  <c r="G1569" i="18"/>
  <c r="G1570" i="18"/>
  <c r="G1571" i="18"/>
  <c r="G1572" i="18"/>
  <c r="G1573" i="18"/>
  <c r="G1574" i="18"/>
  <c r="G1575" i="18"/>
  <c r="G1576" i="18"/>
  <c r="G1577" i="18"/>
  <c r="G1578" i="18"/>
  <c r="G1579" i="18"/>
  <c r="G1580" i="18"/>
  <c r="G1581" i="18"/>
  <c r="G1582" i="18"/>
  <c r="G1583" i="18"/>
  <c r="G1584" i="18"/>
  <c r="G1585" i="18"/>
  <c r="G1586" i="18"/>
  <c r="G1587" i="18"/>
  <c r="G1588" i="18"/>
  <c r="G1589" i="18"/>
  <c r="G1590" i="18"/>
  <c r="G1591" i="18"/>
  <c r="G1592" i="18"/>
  <c r="G1593" i="18"/>
  <c r="G1594" i="18"/>
  <c r="G1595" i="18"/>
  <c r="G1596" i="18"/>
  <c r="G1597" i="18"/>
  <c r="G1598" i="18"/>
  <c r="G1599" i="18"/>
  <c r="G1600" i="18"/>
  <c r="G1601" i="18"/>
  <c r="G1602" i="18"/>
  <c r="G1603" i="18"/>
  <c r="G1604" i="18"/>
  <c r="G1605" i="18"/>
  <c r="G1606" i="18"/>
  <c r="G1607" i="18"/>
  <c r="G1608" i="18"/>
  <c r="G1609" i="18"/>
  <c r="G1610" i="18"/>
  <c r="G1611" i="18"/>
  <c r="G1612" i="18"/>
  <c r="G1613" i="18"/>
  <c r="G1614" i="18"/>
  <c r="G1615" i="18"/>
  <c r="G1616" i="18"/>
  <c r="G1617" i="18"/>
  <c r="G1618" i="18"/>
  <c r="G1619" i="18"/>
  <c r="G1620" i="18"/>
  <c r="G1621" i="18"/>
  <c r="G1622" i="18"/>
  <c r="G1623" i="18"/>
  <c r="G1624" i="18"/>
  <c r="G1625" i="18"/>
  <c r="G1626" i="18"/>
  <c r="G1627" i="18"/>
  <c r="G1628" i="18"/>
  <c r="G1629" i="18"/>
  <c r="G1630" i="18"/>
  <c r="G1631" i="18"/>
  <c r="G1632" i="18"/>
  <c r="G1633" i="18"/>
  <c r="G1634" i="18"/>
  <c r="G1635" i="18"/>
  <c r="G1636" i="18"/>
  <c r="G1637" i="18"/>
  <c r="G1638" i="18"/>
  <c r="G1639" i="18"/>
  <c r="G1640" i="18"/>
  <c r="G1641" i="18"/>
  <c r="G1642" i="18"/>
  <c r="G1643" i="18"/>
  <c r="G1644" i="18"/>
  <c r="G1645" i="18"/>
  <c r="G1646" i="18"/>
  <c r="G1647" i="18"/>
  <c r="G1648" i="18"/>
  <c r="G1649" i="18"/>
  <c r="G1650" i="18"/>
  <c r="G1651" i="18"/>
  <c r="G1652" i="18"/>
  <c r="G1653" i="18"/>
  <c r="G1654" i="18"/>
  <c r="G1655" i="18"/>
  <c r="G1656" i="18"/>
  <c r="G1657" i="18"/>
  <c r="G1658" i="18"/>
  <c r="G1659" i="18"/>
  <c r="G1660" i="18"/>
  <c r="G1661" i="18"/>
  <c r="G1662" i="18"/>
  <c r="G1663" i="18"/>
  <c r="G1664" i="18"/>
  <c r="G1665" i="18"/>
  <c r="G1666" i="18"/>
  <c r="G1667" i="18"/>
  <c r="G1668" i="18"/>
  <c r="G1669" i="18"/>
  <c r="G1670" i="18"/>
  <c r="G1671" i="18"/>
  <c r="G1672" i="18"/>
  <c r="G1673" i="18"/>
  <c r="G1674" i="18"/>
  <c r="G1675" i="18"/>
  <c r="G1676" i="18"/>
  <c r="G1677" i="18"/>
  <c r="G1678" i="18"/>
  <c r="G1679" i="18"/>
  <c r="G1680" i="18"/>
  <c r="G1681" i="18"/>
  <c r="G1682" i="18"/>
  <c r="G1683" i="18"/>
  <c r="G1684" i="18"/>
  <c r="G1685" i="18"/>
  <c r="G1686" i="18"/>
  <c r="G1687" i="18"/>
  <c r="G1688" i="18"/>
  <c r="G1689" i="18"/>
  <c r="G1690" i="18"/>
  <c r="G1691" i="18"/>
  <c r="G1692" i="18"/>
  <c r="G1693" i="18"/>
  <c r="G1694" i="18"/>
  <c r="G1695" i="18"/>
  <c r="G1696" i="18"/>
  <c r="G1697" i="18"/>
  <c r="G1698" i="18"/>
  <c r="G1699" i="18"/>
  <c r="G1700" i="18"/>
  <c r="G1701" i="18"/>
  <c r="G1702" i="18"/>
  <c r="G1703" i="18"/>
  <c r="G1704" i="18"/>
  <c r="G1705" i="18"/>
  <c r="G1706" i="18"/>
  <c r="G1707" i="18"/>
  <c r="G1708" i="18"/>
  <c r="G1709" i="18"/>
  <c r="G1710" i="18"/>
  <c r="G1711" i="18"/>
  <c r="G1712" i="18"/>
  <c r="G1713" i="18"/>
  <c r="G1714" i="18"/>
  <c r="G1715" i="18"/>
  <c r="G1716" i="18"/>
  <c r="G1717" i="18"/>
  <c r="G1718" i="18"/>
  <c r="G1719" i="18"/>
  <c r="G1720" i="18"/>
  <c r="G1721" i="18"/>
  <c r="G1722" i="18"/>
  <c r="G1723" i="18"/>
  <c r="G1724" i="18"/>
  <c r="G1725" i="18"/>
  <c r="G1726" i="18"/>
  <c r="G1727" i="18"/>
  <c r="G1728" i="18"/>
  <c r="G1729" i="18"/>
  <c r="G1730" i="18"/>
  <c r="G1731" i="18"/>
  <c r="G1732" i="18"/>
  <c r="G1733" i="18"/>
  <c r="G1734" i="18"/>
  <c r="G1735" i="18"/>
  <c r="G1736" i="18"/>
  <c r="G1737" i="18"/>
  <c r="G1738" i="18"/>
  <c r="G1739" i="18"/>
  <c r="G1740" i="18"/>
  <c r="G1741" i="18"/>
  <c r="G1742" i="18"/>
  <c r="G1743" i="18"/>
  <c r="G1744" i="18"/>
  <c r="G1745" i="18"/>
  <c r="G1746" i="18"/>
  <c r="G1747" i="18"/>
  <c r="G1748" i="18"/>
  <c r="G1749" i="18"/>
  <c r="G1750" i="18"/>
  <c r="G1751" i="18"/>
  <c r="G1752" i="18"/>
  <c r="G1753" i="18"/>
  <c r="G1754" i="18"/>
  <c r="G1755" i="18"/>
  <c r="G1756" i="18"/>
  <c r="G1757" i="18"/>
  <c r="G1758" i="18"/>
  <c r="G1759" i="18"/>
  <c r="G1760" i="18"/>
  <c r="G1761" i="18"/>
  <c r="G1762" i="18"/>
  <c r="G1763" i="18"/>
  <c r="G1764" i="18"/>
  <c r="G1765" i="18"/>
  <c r="G1766" i="18"/>
  <c r="G1767" i="18"/>
  <c r="G1768" i="18"/>
  <c r="G1769" i="18"/>
  <c r="G1770" i="18"/>
  <c r="G1771" i="18"/>
  <c r="G1772" i="18"/>
  <c r="G1773" i="18"/>
  <c r="G1774" i="18"/>
  <c r="G1775" i="18"/>
  <c r="G1776" i="18"/>
  <c r="G1777" i="18"/>
  <c r="G1778" i="18"/>
  <c r="G1779" i="18"/>
  <c r="G1780" i="18"/>
  <c r="G1781" i="18"/>
  <c r="G1782" i="18"/>
  <c r="G1783" i="18"/>
  <c r="G1784" i="18"/>
  <c r="G1785" i="18"/>
  <c r="G1786" i="18"/>
  <c r="G1787" i="18"/>
  <c r="G1788" i="18"/>
  <c r="G1789" i="18"/>
  <c r="G1790" i="18"/>
  <c r="G1791" i="18"/>
  <c r="G1792" i="18"/>
  <c r="G1793" i="18"/>
  <c r="G1794" i="18"/>
  <c r="G1795" i="18"/>
  <c r="G1796" i="18"/>
  <c r="G1797" i="18"/>
  <c r="G1798" i="18"/>
  <c r="G1799" i="18"/>
  <c r="G1800" i="18"/>
  <c r="G1801" i="18"/>
  <c r="G1802" i="18"/>
  <c r="G1803" i="18"/>
  <c r="G1804" i="18"/>
  <c r="G1805" i="18"/>
  <c r="G1806" i="18"/>
  <c r="G1807" i="18"/>
  <c r="G1808" i="18"/>
  <c r="G1809" i="18"/>
  <c r="G1810" i="18"/>
  <c r="G1811" i="18"/>
  <c r="G1812" i="18"/>
  <c r="G1813" i="18"/>
  <c r="G1814" i="18"/>
  <c r="G1815" i="18"/>
  <c r="G1816" i="18"/>
  <c r="G1817" i="18"/>
  <c r="G1818" i="18"/>
  <c r="G1819" i="18"/>
  <c r="G1820" i="18"/>
  <c r="G1821" i="18"/>
  <c r="G1822" i="18"/>
  <c r="G1823" i="18"/>
  <c r="G1824" i="18"/>
  <c r="G1825" i="18"/>
  <c r="G1826" i="18"/>
  <c r="G1827" i="18"/>
  <c r="G1828" i="18"/>
  <c r="G1829" i="18"/>
  <c r="G1830" i="18"/>
  <c r="G1831" i="18"/>
  <c r="G1832" i="18"/>
  <c r="G1833" i="18"/>
  <c r="G1834" i="18"/>
  <c r="G1835" i="18"/>
  <c r="G1836" i="18"/>
  <c r="G1837" i="18"/>
  <c r="G1838" i="18"/>
  <c r="G1839" i="18"/>
  <c r="G1840" i="18"/>
  <c r="G1841" i="18"/>
  <c r="G1842" i="18"/>
  <c r="G1843" i="18"/>
  <c r="G1844" i="18"/>
  <c r="G1845" i="18"/>
  <c r="G1846" i="18"/>
  <c r="G1847" i="18"/>
  <c r="G1848" i="18"/>
  <c r="G1849" i="18"/>
  <c r="G1850" i="18"/>
  <c r="G1851" i="18"/>
  <c r="G1852" i="18"/>
  <c r="G1853" i="18"/>
  <c r="G1854" i="18"/>
  <c r="G1855" i="18"/>
  <c r="G1856" i="18"/>
  <c r="G1857" i="18"/>
  <c r="G1858" i="18"/>
  <c r="G1859" i="18"/>
  <c r="G1860" i="18"/>
  <c r="G1861" i="18"/>
  <c r="G1862" i="18"/>
  <c r="G1863" i="18"/>
  <c r="G1864" i="18"/>
  <c r="G1865" i="18"/>
  <c r="G1866" i="18"/>
  <c r="G1867" i="18"/>
  <c r="G1868" i="18"/>
  <c r="G1869" i="18"/>
  <c r="G1870" i="18"/>
  <c r="G1871" i="18"/>
  <c r="G1872" i="18"/>
  <c r="G1873" i="18"/>
  <c r="G1874" i="18"/>
  <c r="G1875" i="18"/>
  <c r="G1876" i="18"/>
  <c r="G1877" i="18"/>
  <c r="G1878" i="18"/>
  <c r="G1879" i="18"/>
  <c r="G1880" i="18"/>
  <c r="G1881" i="18"/>
  <c r="G1882" i="18"/>
  <c r="G1883" i="18"/>
  <c r="G1884" i="18"/>
  <c r="G1885" i="18"/>
  <c r="G1886" i="18"/>
  <c r="G1887" i="18"/>
  <c r="G1888" i="18"/>
  <c r="G1889" i="18"/>
  <c r="G1890" i="18"/>
  <c r="G1891" i="18"/>
  <c r="G1892" i="18"/>
  <c r="G1893" i="18"/>
  <c r="G1894" i="18"/>
  <c r="G1895" i="18"/>
  <c r="G1896" i="18"/>
  <c r="G1897" i="18"/>
  <c r="G1898" i="18"/>
  <c r="G1899" i="18"/>
  <c r="G1900" i="18"/>
  <c r="G1901" i="18"/>
  <c r="G1902" i="18"/>
  <c r="G1903" i="18"/>
  <c r="G1904" i="18"/>
  <c r="G1905" i="18"/>
  <c r="G1906" i="18"/>
  <c r="G1907" i="18"/>
  <c r="G1908" i="18"/>
  <c r="G1909" i="18"/>
  <c r="G1910" i="18"/>
  <c r="G1911" i="18"/>
  <c r="G1912" i="18"/>
  <c r="G1913" i="18"/>
  <c r="G1914" i="18"/>
  <c r="G1915" i="18"/>
  <c r="G1916" i="18"/>
  <c r="G1917" i="18"/>
  <c r="G1918" i="18"/>
  <c r="G1919" i="18"/>
  <c r="G1920" i="18"/>
  <c r="G1921" i="18"/>
  <c r="G1922" i="18"/>
  <c r="G1923" i="18"/>
  <c r="G1924" i="18"/>
  <c r="G1925" i="18"/>
  <c r="G1926" i="18"/>
  <c r="G1927" i="18"/>
  <c r="G1928" i="18"/>
  <c r="G1929" i="18"/>
  <c r="G1930" i="18"/>
  <c r="G1931" i="18"/>
  <c r="G1932" i="18"/>
  <c r="G1933" i="18"/>
  <c r="G1934" i="18"/>
  <c r="G1935" i="18"/>
  <c r="G1936" i="18"/>
  <c r="G1937" i="18"/>
  <c r="G1938" i="18"/>
  <c r="G1939" i="18"/>
  <c r="G1940" i="18"/>
  <c r="G1941" i="18"/>
  <c r="G1942" i="18"/>
  <c r="G1943" i="18"/>
  <c r="G1944" i="18"/>
  <c r="G1945" i="18"/>
  <c r="G1946" i="18"/>
  <c r="G1947" i="18"/>
  <c r="G1948" i="18"/>
  <c r="G1949" i="18"/>
  <c r="G1950" i="18"/>
  <c r="G1951" i="18"/>
  <c r="G1952" i="18"/>
  <c r="G1953" i="18"/>
  <c r="G1954" i="18"/>
  <c r="G1955" i="18"/>
  <c r="G1956" i="18"/>
  <c r="G1957" i="18"/>
  <c r="G1958" i="18"/>
  <c r="G1959" i="18"/>
  <c r="G1960" i="18"/>
  <c r="G1961" i="18"/>
  <c r="G1962" i="18"/>
  <c r="G1963" i="18"/>
  <c r="G1964" i="18"/>
  <c r="G1965" i="18"/>
  <c r="G1966" i="18"/>
  <c r="G1967" i="18"/>
  <c r="G1968" i="18"/>
  <c r="G1969" i="18"/>
  <c r="G1970" i="18"/>
  <c r="G1971" i="18"/>
  <c r="G1972" i="18"/>
  <c r="G1973" i="18"/>
  <c r="G1974" i="18"/>
  <c r="G1975" i="18"/>
  <c r="G1976" i="18"/>
  <c r="G1977" i="18"/>
  <c r="G1978" i="18"/>
  <c r="G1979" i="18"/>
  <c r="G1980" i="18"/>
  <c r="G1981" i="18"/>
  <c r="G1982" i="18"/>
  <c r="G1983" i="18"/>
  <c r="G1984" i="18"/>
  <c r="G1985" i="18"/>
  <c r="G1986" i="18"/>
  <c r="G1987" i="18"/>
  <c r="G1988" i="18"/>
  <c r="G1989" i="18"/>
  <c r="G1990" i="18"/>
  <c r="G1991" i="18"/>
  <c r="G1992" i="18"/>
  <c r="G1993" i="18"/>
  <c r="G1994" i="18"/>
  <c r="G1995" i="18"/>
  <c r="G1996" i="18"/>
  <c r="G1997" i="18"/>
  <c r="G1998" i="18"/>
  <c r="G1999" i="18"/>
  <c r="G2000" i="18"/>
  <c r="G2001" i="18"/>
  <c r="G2002" i="18"/>
  <c r="G2003" i="18"/>
  <c r="G2004" i="18"/>
  <c r="G2005" i="18"/>
  <c r="G2006" i="18"/>
  <c r="G2007" i="18"/>
  <c r="G2008" i="18"/>
  <c r="G2009" i="18"/>
  <c r="G2010" i="18"/>
  <c r="G2011" i="18"/>
  <c r="G2012" i="18"/>
  <c r="G2013" i="18"/>
  <c r="G2014" i="18"/>
  <c r="G2017" i="18"/>
  <c r="G2018" i="18"/>
  <c r="G2019" i="18"/>
  <c r="G2020" i="18"/>
  <c r="G2021" i="18"/>
  <c r="G2022" i="18"/>
  <c r="G2023" i="18"/>
  <c r="G2024" i="18"/>
  <c r="G2025" i="18"/>
  <c r="G2026" i="18"/>
  <c r="G2027" i="18"/>
  <c r="G2028" i="18"/>
  <c r="G2029" i="18"/>
  <c r="G2030" i="18"/>
  <c r="G2031" i="18"/>
  <c r="G2032" i="18"/>
  <c r="G2033" i="18"/>
  <c r="G2034" i="18"/>
  <c r="G2035" i="18"/>
  <c r="G2036" i="18"/>
  <c r="G2037" i="18"/>
  <c r="G2038" i="18"/>
  <c r="G2039" i="18"/>
  <c r="G2040" i="18"/>
  <c r="G2041" i="18"/>
  <c r="G2042" i="18"/>
  <c r="G2043" i="18"/>
  <c r="G2044" i="18"/>
  <c r="G2045" i="18"/>
  <c r="G2046" i="18"/>
  <c r="G2047" i="18"/>
  <c r="G2048" i="18"/>
  <c r="G2049" i="18"/>
  <c r="G2050" i="18"/>
  <c r="G2051" i="18"/>
  <c r="G2052" i="18"/>
  <c r="G2053" i="18"/>
  <c r="G2054" i="18"/>
  <c r="G2055" i="18"/>
  <c r="G2056" i="18"/>
  <c r="G2057" i="18"/>
  <c r="G2058" i="18"/>
  <c r="G2059" i="18"/>
  <c r="G2060" i="18"/>
  <c r="G2061" i="18"/>
  <c r="G2062" i="18"/>
  <c r="G2063" i="18"/>
  <c r="G2064" i="18"/>
  <c r="G2065" i="18"/>
  <c r="G2066" i="18"/>
  <c r="G2067" i="18"/>
  <c r="G2068" i="18"/>
  <c r="G2069" i="18"/>
  <c r="G2070" i="18"/>
  <c r="G2071" i="18"/>
  <c r="G2072" i="18"/>
  <c r="G2073" i="18"/>
  <c r="G2074" i="18"/>
  <c r="G2075" i="18"/>
  <c r="G2076" i="18"/>
  <c r="G2077" i="18"/>
  <c r="G2078" i="18"/>
  <c r="G2079" i="18"/>
  <c r="G2080" i="18"/>
  <c r="G2081" i="18"/>
  <c r="G2082" i="18"/>
  <c r="G2083" i="18"/>
  <c r="G2084" i="18"/>
  <c r="G2085" i="18"/>
  <c r="G2086" i="18"/>
  <c r="G2087" i="18"/>
  <c r="G2088" i="18"/>
  <c r="G2089" i="18"/>
  <c r="G2090" i="18"/>
  <c r="G2091" i="18"/>
  <c r="G2092" i="18"/>
  <c r="G2093" i="18"/>
  <c r="G2094" i="18"/>
  <c r="G2095" i="18"/>
  <c r="G2096" i="18"/>
  <c r="G2097" i="18"/>
  <c r="G2098" i="18"/>
  <c r="G2099" i="18"/>
  <c r="G2100" i="18"/>
  <c r="G2101" i="18"/>
  <c r="G2102" i="18"/>
  <c r="G2103" i="18"/>
  <c r="G2104" i="18"/>
  <c r="G2105" i="18"/>
  <c r="G2106" i="18"/>
  <c r="G2107" i="18"/>
  <c r="G2108" i="18"/>
  <c r="G2109" i="18"/>
  <c r="G2110" i="18"/>
  <c r="G2111" i="18"/>
  <c r="G2112" i="18"/>
  <c r="G2113" i="18"/>
  <c r="G2114" i="18"/>
  <c r="G2115" i="18"/>
  <c r="G2116" i="18"/>
  <c r="G2117" i="18"/>
  <c r="G2118" i="18"/>
  <c r="G2119" i="18"/>
  <c r="G2120" i="18"/>
  <c r="G2121" i="18"/>
  <c r="G2122" i="18"/>
  <c r="G2123" i="18"/>
  <c r="G2124" i="18"/>
  <c r="G2125" i="18"/>
  <c r="G2126" i="18"/>
  <c r="G2127" i="18"/>
  <c r="G2128" i="18"/>
  <c r="G2129" i="18"/>
  <c r="G2130" i="18"/>
  <c r="G2131" i="18"/>
  <c r="G2132" i="18"/>
  <c r="G2133" i="18"/>
  <c r="G2134" i="18"/>
  <c r="G2135" i="18"/>
  <c r="G2136" i="18"/>
  <c r="G2137" i="18"/>
  <c r="G2138" i="18"/>
  <c r="G2139" i="18"/>
  <c r="G2140" i="18"/>
  <c r="G2141" i="18"/>
  <c r="G2142" i="18"/>
  <c r="G2143" i="18"/>
  <c r="G2144" i="18"/>
  <c r="G2145" i="18"/>
  <c r="G2146" i="18"/>
  <c r="G2147" i="18"/>
  <c r="G2148" i="18"/>
  <c r="G2149" i="18"/>
  <c r="G2150" i="18"/>
  <c r="G2151" i="18"/>
  <c r="G2152" i="18"/>
  <c r="G2153" i="18"/>
  <c r="G2154" i="18"/>
  <c r="G2155" i="18"/>
  <c r="G2156" i="18"/>
  <c r="G2157" i="18"/>
  <c r="G2158" i="18"/>
  <c r="G2159" i="18"/>
  <c r="G2160" i="18"/>
  <c r="G2161" i="18"/>
  <c r="G2162" i="18"/>
  <c r="G2163" i="18"/>
  <c r="G2164" i="18"/>
  <c r="G2165" i="18"/>
  <c r="G2166" i="18"/>
  <c r="G2167" i="18"/>
  <c r="G2168" i="18"/>
  <c r="G2169" i="18"/>
  <c r="G2170" i="18"/>
  <c r="G2171" i="18"/>
  <c r="G2172" i="18"/>
  <c r="G2173" i="18"/>
  <c r="G2174" i="18"/>
  <c r="G2175" i="18"/>
  <c r="G2176" i="18"/>
  <c r="G2177" i="18"/>
  <c r="G2178" i="18"/>
  <c r="G2179" i="18"/>
  <c r="G2180" i="18"/>
  <c r="G2181" i="18"/>
  <c r="G2182" i="18"/>
  <c r="G2183" i="18"/>
  <c r="G2184" i="18"/>
  <c r="G2185" i="18"/>
  <c r="G2186" i="18"/>
  <c r="G2187" i="18"/>
  <c r="G2188" i="18"/>
  <c r="G2189" i="18"/>
  <c r="G2190" i="18"/>
  <c r="G2191" i="18"/>
  <c r="G2192" i="18"/>
  <c r="G2193" i="18"/>
  <c r="G2194" i="18"/>
  <c r="G2195" i="18"/>
  <c r="G2196" i="18"/>
  <c r="G2197" i="18"/>
  <c r="G2198" i="18"/>
  <c r="G2199" i="18"/>
  <c r="G2200" i="18"/>
  <c r="G2201" i="18"/>
  <c r="G2202" i="18"/>
  <c r="G2203" i="18"/>
  <c r="G2204" i="18"/>
  <c r="G2205" i="18"/>
  <c r="G2206" i="18"/>
  <c r="G2207" i="18"/>
  <c r="G2208" i="18"/>
  <c r="G2209" i="18"/>
  <c r="G2210" i="18"/>
  <c r="G2211" i="18"/>
  <c r="G2212" i="18"/>
  <c r="G2213" i="18"/>
  <c r="G2214" i="18"/>
  <c r="G2215" i="18"/>
  <c r="G2216" i="18"/>
  <c r="G2217" i="18"/>
  <c r="G2218" i="18"/>
  <c r="G2219" i="18"/>
  <c r="G2220" i="18"/>
  <c r="G2221" i="18"/>
  <c r="G2222" i="18"/>
  <c r="G2223" i="18"/>
  <c r="G2224" i="18"/>
  <c r="G2225" i="18"/>
  <c r="G2226" i="18"/>
  <c r="G2227" i="18"/>
  <c r="G2228" i="18"/>
  <c r="G2229" i="18"/>
  <c r="G2230" i="18"/>
  <c r="G2231" i="18"/>
  <c r="G2232" i="18"/>
  <c r="G2233" i="18"/>
  <c r="G2234" i="18"/>
  <c r="G2235" i="18"/>
  <c r="G2236" i="18"/>
  <c r="G2237" i="18"/>
  <c r="G2238" i="18"/>
  <c r="G2239" i="18"/>
  <c r="G2240" i="18"/>
  <c r="G2241" i="18"/>
  <c r="G2242" i="18"/>
  <c r="G2243" i="18"/>
  <c r="G2244" i="18"/>
  <c r="G2245" i="18"/>
  <c r="G2246" i="18"/>
  <c r="G2247" i="18"/>
  <c r="G2248" i="18"/>
  <c r="G2249" i="18"/>
  <c r="G2250" i="18"/>
  <c r="G2251" i="18"/>
  <c r="G2252" i="18"/>
  <c r="G2253" i="18"/>
  <c r="G2254" i="18"/>
  <c r="G2255" i="18"/>
  <c r="G2256" i="18"/>
  <c r="G2257" i="18"/>
  <c r="G2258" i="18"/>
  <c r="G2259" i="18"/>
  <c r="G2260" i="18"/>
  <c r="G2261" i="18"/>
  <c r="G2262" i="18"/>
  <c r="G2263" i="18"/>
  <c r="G2264" i="18"/>
  <c r="G2265" i="18"/>
  <c r="G2266" i="18"/>
  <c r="G2267" i="18"/>
  <c r="G2268" i="18"/>
  <c r="G2269" i="18"/>
  <c r="G2270" i="18"/>
  <c r="G2271" i="18"/>
  <c r="G2272" i="18"/>
  <c r="G2273" i="18"/>
  <c r="G2274" i="18"/>
  <c r="G2275" i="18"/>
  <c r="G2276" i="18"/>
  <c r="G2277" i="18"/>
  <c r="G2278" i="18"/>
  <c r="G2279" i="18"/>
  <c r="G2280" i="18"/>
  <c r="G2281" i="18"/>
  <c r="G2282" i="18"/>
  <c r="G2283" i="18"/>
  <c r="G2284" i="18"/>
  <c r="G2285" i="18"/>
  <c r="G2286" i="18"/>
  <c r="G2287" i="18"/>
  <c r="G2288" i="18"/>
  <c r="G2289" i="18"/>
  <c r="G2290" i="18"/>
  <c r="G2291" i="18"/>
  <c r="G2292" i="18"/>
  <c r="G2293" i="18"/>
  <c r="G2294" i="18"/>
  <c r="G2295" i="18"/>
  <c r="G2296" i="18"/>
  <c r="G2297" i="18"/>
  <c r="G2298" i="18"/>
  <c r="G2299" i="18"/>
  <c r="G2300" i="18"/>
  <c r="G2301" i="18"/>
  <c r="G2302" i="18"/>
  <c r="G2303" i="18"/>
  <c r="G2304" i="18"/>
  <c r="G2305" i="18"/>
  <c r="G2306" i="18"/>
  <c r="G2307" i="18"/>
  <c r="G2308" i="18"/>
  <c r="G2309" i="18"/>
  <c r="G2310" i="18"/>
  <c r="G2311" i="18"/>
  <c r="G2312" i="18"/>
  <c r="G2313" i="18"/>
  <c r="G2314" i="18"/>
  <c r="G2315" i="18"/>
  <c r="G2316" i="18"/>
  <c r="G2317" i="18"/>
  <c r="G2318" i="18"/>
  <c r="G2319" i="18"/>
  <c r="G2320" i="18"/>
  <c r="G2321" i="18"/>
  <c r="G2322" i="18"/>
  <c r="G2323" i="18"/>
  <c r="G2324" i="18"/>
  <c r="G2325" i="18"/>
  <c r="G2326" i="18"/>
  <c r="G2342" i="18"/>
  <c r="G2343" i="18"/>
  <c r="G2344" i="18"/>
  <c r="G2345" i="18"/>
  <c r="G2346" i="18"/>
  <c r="G2347" i="18"/>
  <c r="G2348" i="18"/>
  <c r="G2349" i="18"/>
  <c r="G2350" i="18"/>
  <c r="G2351" i="18"/>
  <c r="G2352" i="18"/>
  <c r="G2353" i="18"/>
  <c r="G2354" i="18"/>
  <c r="G2355" i="18"/>
  <c r="G2356" i="18"/>
  <c r="G2357" i="18"/>
  <c r="G2358" i="18"/>
  <c r="G2359" i="18"/>
  <c r="G2360" i="18"/>
  <c r="G2361" i="18"/>
  <c r="G2362" i="18"/>
  <c r="G2363" i="18"/>
  <c r="G2364" i="18"/>
  <c r="G2365" i="18"/>
  <c r="G2366" i="18"/>
  <c r="G2367" i="18"/>
  <c r="G2368" i="18"/>
  <c r="G2369" i="18"/>
  <c r="G2370" i="18"/>
  <c r="G2371" i="18"/>
  <c r="G2372" i="18"/>
  <c r="G2373" i="18"/>
  <c r="G2374" i="18"/>
  <c r="G2375" i="18"/>
  <c r="G2376" i="18"/>
  <c r="G2377" i="18"/>
  <c r="G2378" i="18"/>
  <c r="G2379" i="18"/>
  <c r="G2380" i="18"/>
  <c r="G2381" i="18"/>
  <c r="G2382" i="18"/>
  <c r="G2383" i="18"/>
  <c r="G2384" i="18"/>
  <c r="G2385" i="18"/>
  <c r="G2386" i="18"/>
  <c r="G2387" i="18"/>
  <c r="G2388" i="18"/>
  <c r="G2389" i="18"/>
  <c r="G2390" i="18"/>
  <c r="G2391" i="18"/>
  <c r="G2392" i="18"/>
  <c r="G2393" i="18"/>
  <c r="G2394" i="18"/>
  <c r="G2395" i="18"/>
  <c r="G2396" i="18"/>
  <c r="G2397" i="18"/>
  <c r="G2398" i="18"/>
  <c r="G2399" i="18"/>
  <c r="G2400" i="18"/>
  <c r="G2401" i="18"/>
  <c r="G2402" i="18"/>
  <c r="G2403" i="18"/>
  <c r="G2404" i="18"/>
  <c r="G2405" i="18"/>
  <c r="G2406" i="18"/>
  <c r="G2407" i="18"/>
  <c r="G2408" i="18"/>
  <c r="G2409" i="18"/>
  <c r="G2410" i="18"/>
  <c r="G2411" i="18"/>
  <c r="G2412" i="18"/>
  <c r="G2413" i="18"/>
  <c r="G2414" i="18"/>
  <c r="G2415" i="18"/>
  <c r="G2416" i="18"/>
  <c r="G2417" i="18"/>
  <c r="G2418" i="18"/>
  <c r="G2419" i="18"/>
  <c r="G2420" i="18"/>
  <c r="G2421" i="18"/>
  <c r="G2422" i="18"/>
  <c r="G2423" i="18"/>
  <c r="G2424" i="18"/>
  <c r="G2425" i="18"/>
  <c r="G2426" i="18"/>
  <c r="G2427" i="18"/>
  <c r="G2428" i="18"/>
  <c r="G2429" i="18"/>
  <c r="G2430" i="18"/>
  <c r="G2431" i="18"/>
  <c r="G2432" i="18"/>
  <c r="G2433" i="18"/>
  <c r="G2434" i="18"/>
  <c r="G2435" i="18"/>
  <c r="G2436" i="18"/>
  <c r="G2437" i="18"/>
  <c r="G2438" i="18"/>
  <c r="G2439" i="18"/>
  <c r="G2440" i="18"/>
  <c r="G2441" i="18"/>
  <c r="G2442" i="18"/>
  <c r="G2443" i="18"/>
  <c r="G2444" i="18"/>
  <c r="G2445" i="18"/>
  <c r="G2446" i="18"/>
  <c r="G2447" i="18"/>
  <c r="G2448" i="18"/>
  <c r="G2449" i="18"/>
  <c r="G2450" i="18"/>
  <c r="G2451" i="18"/>
  <c r="G2452" i="18"/>
  <c r="G2453" i="18"/>
  <c r="G2454" i="18"/>
  <c r="G2455" i="18"/>
  <c r="G2456" i="18"/>
  <c r="G2457" i="18"/>
  <c r="G2458" i="18"/>
  <c r="G2459" i="18"/>
  <c r="G2460" i="18"/>
  <c r="G2461" i="18"/>
  <c r="G2462" i="18"/>
  <c r="G2463" i="18"/>
  <c r="G2464" i="18"/>
  <c r="G2465" i="18"/>
  <c r="G2466" i="18"/>
  <c r="G2467" i="18"/>
  <c r="G2468" i="18"/>
  <c r="G2469" i="18"/>
  <c r="G2470" i="18"/>
  <c r="G2471" i="18"/>
  <c r="G2472" i="18"/>
  <c r="G2473" i="18"/>
  <c r="G2474" i="18"/>
  <c r="G2475" i="18"/>
  <c r="G2476" i="18"/>
  <c r="G2477" i="18"/>
  <c r="G2478" i="18"/>
  <c r="G2479" i="18"/>
  <c r="G2480" i="18"/>
  <c r="G2481" i="18"/>
  <c r="G2482" i="18"/>
  <c r="G2483" i="18"/>
  <c r="G2484" i="18"/>
  <c r="G2485" i="18"/>
  <c r="G2486" i="18"/>
  <c r="G2487" i="18"/>
  <c r="G2488" i="18"/>
  <c r="G2489" i="18"/>
  <c r="G2490" i="18"/>
  <c r="G2491" i="18"/>
  <c r="G2492" i="18"/>
  <c r="G2493" i="18"/>
  <c r="G2494" i="18"/>
  <c r="G2495" i="18"/>
  <c r="G2496" i="18"/>
  <c r="G2497" i="18"/>
  <c r="G2498" i="18"/>
  <c r="G2499" i="18"/>
  <c r="G2500" i="18"/>
  <c r="G2501" i="18"/>
  <c r="G2502" i="18"/>
  <c r="G2503" i="18"/>
  <c r="G2504" i="18"/>
  <c r="G2505" i="18"/>
  <c r="G2506" i="18"/>
  <c r="G2507" i="18"/>
  <c r="G2508" i="18"/>
  <c r="G2509" i="18"/>
  <c r="G2510" i="18"/>
  <c r="G2511" i="18"/>
  <c r="G2512" i="18"/>
  <c r="G2513" i="18"/>
  <c r="G2514" i="18"/>
  <c r="G2515" i="18"/>
  <c r="G2516" i="18"/>
  <c r="G2517" i="18"/>
  <c r="G2518" i="18"/>
  <c r="G2519" i="18"/>
  <c r="G2520" i="18"/>
  <c r="G2521" i="18"/>
  <c r="G2522" i="18"/>
  <c r="G2523" i="18"/>
  <c r="G2524" i="18"/>
  <c r="G2525" i="18"/>
  <c r="G2526" i="18"/>
  <c r="G2527" i="18"/>
  <c r="G2532" i="18"/>
  <c r="G2533" i="18"/>
  <c r="G2534" i="18"/>
  <c r="G2535" i="18"/>
  <c r="G2536" i="18"/>
  <c r="G2537" i="18"/>
  <c r="G2538" i="18"/>
  <c r="G2539" i="18"/>
  <c r="G2540" i="18"/>
  <c r="G2541" i="18"/>
  <c r="G2542" i="18"/>
  <c r="G2543" i="18"/>
  <c r="G2544" i="18"/>
  <c r="G2545" i="18"/>
  <c r="G2546" i="18"/>
  <c r="G2547" i="18"/>
  <c r="G2548" i="18"/>
  <c r="G2549" i="18"/>
  <c r="G2550" i="18"/>
  <c r="G2551" i="18"/>
  <c r="G2552" i="18"/>
  <c r="G2553" i="18"/>
  <c r="G2554" i="18"/>
  <c r="G2555" i="18"/>
  <c r="G2556" i="18"/>
  <c r="G2557" i="18"/>
  <c r="G2558" i="18"/>
  <c r="G2559" i="18"/>
  <c r="G2560" i="18"/>
  <c r="G2561" i="18"/>
  <c r="G2562" i="18"/>
  <c r="G2563" i="18"/>
  <c r="G2564" i="18"/>
  <c r="G2565" i="18"/>
  <c r="G2566" i="18"/>
  <c r="G2567" i="18"/>
  <c r="G2568" i="18"/>
  <c r="G2569" i="18"/>
  <c r="G2570" i="18"/>
  <c r="G2571" i="18"/>
  <c r="G2572" i="18"/>
  <c r="G2573" i="18"/>
  <c r="G2574" i="18"/>
  <c r="G2575" i="18"/>
  <c r="G2576" i="18"/>
  <c r="G2577" i="18"/>
  <c r="G2578" i="18"/>
  <c r="G2579" i="18"/>
  <c r="G2580" i="18"/>
  <c r="G2581" i="18"/>
  <c r="G2582" i="18"/>
  <c r="G2583" i="18"/>
  <c r="G2584" i="18"/>
  <c r="G2585" i="18"/>
  <c r="G2586" i="18"/>
  <c r="G2587" i="18"/>
  <c r="G2588" i="18"/>
  <c r="G2589" i="18"/>
  <c r="G2590" i="18"/>
  <c r="G2591" i="18"/>
  <c r="G2592" i="18"/>
  <c r="G2593" i="18"/>
  <c r="G2594" i="18"/>
  <c r="G2595" i="18"/>
  <c r="G2596" i="18"/>
  <c r="G2597" i="18"/>
  <c r="G2598" i="18"/>
  <c r="G2599" i="18"/>
  <c r="G2600" i="18"/>
  <c r="G2601" i="18"/>
  <c r="G2602" i="18"/>
  <c r="G2603" i="18"/>
  <c r="G2604" i="18"/>
  <c r="G2605" i="18"/>
  <c r="G2606" i="18"/>
  <c r="G2607" i="18"/>
  <c r="G2608" i="18"/>
  <c r="G2609" i="18"/>
  <c r="G2610" i="18"/>
  <c r="G2611" i="18"/>
  <c r="G2612" i="18"/>
  <c r="G2613" i="18"/>
  <c r="G2614" i="18"/>
  <c r="G2615" i="18"/>
  <c r="G2616" i="18"/>
  <c r="G2617" i="18"/>
  <c r="G2618" i="18"/>
  <c r="G2619" i="18"/>
  <c r="G2620" i="18"/>
  <c r="G2621" i="18"/>
  <c r="G2622" i="18"/>
  <c r="G2623" i="18"/>
  <c r="G2624" i="18"/>
  <c r="G2625" i="18"/>
  <c r="G2626" i="18"/>
  <c r="G2627" i="18"/>
  <c r="G2628" i="18"/>
  <c r="G2629" i="18"/>
  <c r="G2630" i="18"/>
  <c r="G2631" i="18"/>
  <c r="G2632" i="18"/>
  <c r="G2633" i="18"/>
  <c r="G2634" i="18"/>
  <c r="G2635" i="18"/>
  <c r="G2636" i="18"/>
  <c r="G2637" i="18"/>
  <c r="G2638" i="18"/>
  <c r="G2639" i="18"/>
  <c r="G2640" i="18"/>
  <c r="G2641" i="18"/>
  <c r="G2642" i="18"/>
  <c r="G2643" i="18"/>
  <c r="G2644" i="18"/>
  <c r="G2645" i="18"/>
  <c r="G2646" i="18"/>
  <c r="G2647" i="18"/>
  <c r="G2648" i="18"/>
  <c r="G2649" i="18"/>
  <c r="G2650" i="18"/>
  <c r="G2651" i="18"/>
  <c r="G2652" i="18"/>
  <c r="G2653" i="18"/>
  <c r="G2654" i="18"/>
  <c r="G2655" i="18"/>
  <c r="G2658" i="18"/>
  <c r="G2659" i="18"/>
  <c r="G2660" i="18"/>
  <c r="G2661" i="18"/>
  <c r="G2662" i="18"/>
  <c r="G2663" i="18"/>
  <c r="G2664" i="18"/>
  <c r="G2665" i="18"/>
  <c r="G2666" i="18"/>
  <c r="G2667" i="18"/>
  <c r="G2668" i="18"/>
  <c r="G2669" i="18"/>
  <c r="G2670" i="18"/>
  <c r="G2671" i="18"/>
  <c r="G2672" i="18"/>
  <c r="G2673" i="18"/>
  <c r="G2674" i="18"/>
  <c r="G2675" i="18"/>
  <c r="G2676" i="18"/>
  <c r="G2677" i="18"/>
  <c r="G2678" i="18"/>
  <c r="G2679" i="18"/>
  <c r="G2680" i="18"/>
  <c r="G2681" i="18"/>
  <c r="G2682" i="18"/>
  <c r="G2683" i="18"/>
  <c r="G2684" i="18"/>
  <c r="G2685" i="18"/>
  <c r="G2686" i="18"/>
  <c r="G2687" i="18"/>
  <c r="G2688" i="18"/>
  <c r="H3208" i="18"/>
  <c r="H3209" i="18"/>
  <c r="H3210" i="18"/>
  <c r="H3211" i="18"/>
  <c r="H3212" i="18"/>
  <c r="H3213" i="18"/>
  <c r="H3214" i="18"/>
  <c r="H3215" i="18"/>
  <c r="H3216" i="18"/>
  <c r="H3217" i="18"/>
  <c r="H3218" i="18"/>
  <c r="H3219" i="18"/>
  <c r="H3220" i="18"/>
  <c r="H3221" i="18"/>
  <c r="H3222" i="18"/>
  <c r="H3223" i="18"/>
  <c r="H3224" i="18"/>
  <c r="H3225" i="18"/>
  <c r="H3226" i="18"/>
  <c r="H3227" i="18"/>
  <c r="H3228" i="18"/>
  <c r="H3229" i="18"/>
  <c r="H3230" i="18"/>
  <c r="H3231" i="18"/>
  <c r="H3232" i="18"/>
  <c r="H3233" i="18"/>
  <c r="H3234" i="18"/>
  <c r="H3235" i="18"/>
  <c r="H3236" i="18"/>
  <c r="H3237" i="18"/>
  <c r="H3238" i="18"/>
  <c r="H3239" i="18"/>
  <c r="H3240" i="18"/>
  <c r="H3241" i="18"/>
  <c r="H3242" i="18"/>
  <c r="H3243" i="18"/>
  <c r="H3244" i="18"/>
  <c r="H3245" i="18"/>
  <c r="H3246" i="18"/>
  <c r="H3247" i="18"/>
  <c r="H3248" i="18"/>
  <c r="H3249" i="18"/>
  <c r="H3250" i="18"/>
  <c r="H3251" i="18"/>
  <c r="H3252" i="18"/>
  <c r="H3253" i="18"/>
  <c r="H3254" i="18"/>
  <c r="H3255" i="18"/>
  <c r="H3256" i="18"/>
  <c r="H3257" i="18"/>
  <c r="H3258" i="18"/>
  <c r="H3259" i="18"/>
  <c r="H3260" i="18"/>
  <c r="H3261" i="18"/>
  <c r="H3262" i="18"/>
  <c r="H3263" i="18"/>
  <c r="H3264" i="18"/>
  <c r="H3265" i="18"/>
  <c r="H3266" i="18"/>
  <c r="H3267" i="18"/>
  <c r="H3268" i="18"/>
  <c r="H3269" i="18"/>
  <c r="H3270" i="18"/>
  <c r="H3271" i="18"/>
  <c r="H3272" i="18"/>
  <c r="H3273" i="18"/>
  <c r="H3274" i="18"/>
  <c r="H3275" i="18"/>
  <c r="H3276" i="18"/>
  <c r="H3277" i="18"/>
  <c r="H3278" i="18"/>
  <c r="H3279" i="18"/>
  <c r="H3280" i="18"/>
  <c r="H3281" i="18"/>
  <c r="H3282" i="18"/>
  <c r="H3283" i="18"/>
  <c r="H3284" i="18"/>
  <c r="H3285" i="18"/>
  <c r="H3286" i="18"/>
  <c r="H3287" i="18"/>
  <c r="H3288" i="18"/>
  <c r="H3289" i="18"/>
  <c r="H3290" i="18"/>
  <c r="H3291" i="18"/>
  <c r="H3292" i="18"/>
  <c r="H3293" i="18"/>
  <c r="H3294" i="18"/>
  <c r="H3295" i="18"/>
  <c r="H3296" i="18"/>
  <c r="H3297" i="18"/>
  <c r="H3298" i="18"/>
  <c r="H3299" i="18"/>
  <c r="H3300" i="18"/>
  <c r="H3301" i="18"/>
  <c r="H3302" i="18"/>
  <c r="H3303" i="18"/>
  <c r="H3304" i="18"/>
  <c r="H3305" i="18"/>
  <c r="H3306" i="18"/>
  <c r="H3307" i="18"/>
  <c r="H3308" i="18"/>
  <c r="H3309" i="18"/>
  <c r="H3310" i="18"/>
  <c r="H3311" i="18"/>
  <c r="H3312" i="18"/>
  <c r="H3313" i="18"/>
  <c r="H3314" i="18"/>
  <c r="H3315" i="18"/>
  <c r="H3316" i="18"/>
  <c r="H3317" i="18"/>
  <c r="H3318" i="18"/>
  <c r="H3319" i="18"/>
  <c r="H3320" i="18"/>
  <c r="H3321" i="18"/>
  <c r="H3322" i="18"/>
  <c r="H3323" i="18"/>
  <c r="H3324" i="18"/>
  <c r="H3325" i="18"/>
  <c r="H3326" i="18"/>
  <c r="H3327" i="18"/>
  <c r="H3328" i="18"/>
  <c r="H3329" i="18"/>
  <c r="H3330" i="18"/>
  <c r="H3331" i="18"/>
  <c r="H3332" i="18"/>
  <c r="H3333" i="18"/>
  <c r="H3334" i="18"/>
  <c r="H3335" i="18"/>
  <c r="H3336" i="18"/>
  <c r="H3337" i="18"/>
  <c r="H3338" i="18"/>
  <c r="H3339" i="18"/>
  <c r="H3340" i="18"/>
  <c r="H3341" i="18"/>
  <c r="H3342" i="18"/>
  <c r="H3343" i="18"/>
  <c r="H3344" i="18"/>
  <c r="H3345" i="18"/>
  <c r="H3346" i="18"/>
  <c r="H3347" i="18"/>
  <c r="H3348" i="18"/>
  <c r="H3349" i="18"/>
  <c r="H3350" i="18"/>
  <c r="H3351" i="18"/>
  <c r="H3352" i="18"/>
  <c r="H3353" i="18"/>
  <c r="H3354" i="18"/>
  <c r="H3355" i="18"/>
  <c r="H3356" i="18"/>
  <c r="H3357" i="18"/>
  <c r="H3358" i="18"/>
  <c r="H3359" i="18"/>
  <c r="H3360" i="18"/>
  <c r="H3361" i="18"/>
  <c r="H3362" i="18"/>
  <c r="H3363" i="18"/>
  <c r="H3364" i="18"/>
  <c r="H3365" i="18"/>
  <c r="H3366" i="18"/>
  <c r="H3367" i="18"/>
  <c r="H3368" i="18"/>
  <c r="H3369" i="18"/>
  <c r="H3370" i="18"/>
  <c r="H3371" i="18"/>
  <c r="H3372" i="18"/>
  <c r="H3373" i="18"/>
  <c r="H3374" i="18"/>
  <c r="H3375" i="18"/>
  <c r="H3376" i="18"/>
  <c r="H3377" i="18"/>
  <c r="H3378" i="18"/>
  <c r="H3379" i="18"/>
  <c r="H3380" i="18"/>
  <c r="H3381" i="18"/>
  <c r="H3382" i="18"/>
  <c r="H3383" i="18"/>
  <c r="H3384" i="18"/>
  <c r="H3385" i="18"/>
  <c r="H3386" i="18"/>
  <c r="H3387" i="18"/>
  <c r="H3388" i="18"/>
  <c r="H3389" i="18"/>
  <c r="H3390" i="18"/>
  <c r="H3391" i="18"/>
  <c r="H3392" i="18"/>
  <c r="H3393" i="18"/>
  <c r="H3394" i="18"/>
  <c r="H3395" i="18"/>
  <c r="H3396" i="18"/>
  <c r="H3397" i="18"/>
  <c r="H3398" i="18"/>
  <c r="H3399" i="18"/>
  <c r="H3400" i="18"/>
  <c r="H3401" i="18"/>
  <c r="H3402" i="18"/>
  <c r="H3403" i="18"/>
  <c r="H3404" i="18"/>
  <c r="H3405" i="18"/>
  <c r="H3406" i="18"/>
  <c r="H2338" i="18"/>
  <c r="H2339" i="18"/>
  <c r="H2340" i="18"/>
  <c r="H2341" i="18"/>
  <c r="H2528" i="18"/>
  <c r="H2529" i="18"/>
  <c r="H2530" i="18"/>
  <c r="H2531" i="18"/>
  <c r="H2689" i="18"/>
  <c r="H2690" i="18"/>
  <c r="H2691" i="18"/>
  <c r="H2692" i="18"/>
  <c r="H2693" i="18"/>
  <c r="H2694" i="18"/>
  <c r="H2695" i="18"/>
  <c r="H2696" i="18"/>
  <c r="H2697" i="18"/>
  <c r="H2698" i="18"/>
  <c r="H2699" i="18"/>
  <c r="H2700" i="18"/>
  <c r="H2701" i="18"/>
  <c r="H2702" i="18"/>
  <c r="H2703" i="18"/>
  <c r="H2704" i="18"/>
  <c r="H2705" i="18"/>
  <c r="H2706" i="18"/>
  <c r="H2707" i="18"/>
  <c r="H2708" i="18"/>
  <c r="H2709" i="18"/>
  <c r="H2710" i="18"/>
  <c r="H2711" i="18"/>
  <c r="H2712" i="18"/>
  <c r="H2713" i="18"/>
  <c r="H2714" i="18"/>
  <c r="H2715" i="18"/>
  <c r="H2716" i="18"/>
  <c r="H2717" i="18"/>
  <c r="H2718" i="18"/>
  <c r="H2719" i="18"/>
  <c r="H2720" i="18"/>
  <c r="H2721" i="18"/>
  <c r="H2722" i="18"/>
  <c r="H2723" i="18"/>
  <c r="H2724" i="18"/>
  <c r="H2725" i="18"/>
  <c r="H2726" i="18"/>
  <c r="H2727" i="18"/>
  <c r="H2728" i="18"/>
  <c r="H2729" i="18"/>
  <c r="H2730" i="18"/>
  <c r="H2731" i="18"/>
  <c r="H2732" i="18"/>
  <c r="H2733" i="18"/>
  <c r="H2734" i="18"/>
  <c r="H2735" i="18"/>
  <c r="H2736" i="18"/>
  <c r="H2737" i="18"/>
  <c r="H2738" i="18"/>
  <c r="H2739" i="18"/>
  <c r="H2740" i="18"/>
  <c r="H2744" i="18"/>
  <c r="H2745" i="18"/>
  <c r="H2746" i="18"/>
  <c r="H2747" i="18"/>
  <c r="H2748" i="18"/>
  <c r="H2749" i="18"/>
  <c r="H2750" i="18"/>
  <c r="H2751" i="18"/>
  <c r="H2752" i="18"/>
  <c r="H2753" i="18"/>
  <c r="H2754" i="18"/>
  <c r="H2755" i="18"/>
  <c r="H2756" i="18"/>
  <c r="H2757" i="18"/>
  <c r="H2758" i="18"/>
  <c r="H2759" i="18"/>
  <c r="H2760" i="18"/>
  <c r="H2761" i="18"/>
  <c r="H2762" i="18"/>
  <c r="H2763" i="18"/>
  <c r="H2764" i="18"/>
  <c r="H2765" i="18"/>
  <c r="H2766" i="18"/>
  <c r="H2767" i="18"/>
  <c r="H2768" i="18"/>
  <c r="H2769" i="18"/>
  <c r="H2770" i="18"/>
  <c r="H2771" i="18"/>
  <c r="H2772" i="18"/>
  <c r="H2773" i="18"/>
  <c r="H2774" i="18"/>
  <c r="H2775" i="18"/>
  <c r="H2776" i="18"/>
  <c r="H2777" i="18"/>
  <c r="H2778" i="18"/>
  <c r="H2779" i="18"/>
  <c r="H2780" i="18"/>
  <c r="H2781" i="18"/>
  <c r="H2782" i="18"/>
  <c r="H2783" i="18"/>
  <c r="H2784" i="18"/>
  <c r="H2785" i="18"/>
  <c r="H2786" i="18"/>
  <c r="H2787" i="18"/>
  <c r="H2788" i="18"/>
  <c r="H2789" i="18"/>
  <c r="H2790" i="18"/>
  <c r="H2791" i="18"/>
  <c r="H2792" i="18"/>
  <c r="H2793" i="18"/>
  <c r="H2794" i="18"/>
  <c r="H2795" i="18"/>
  <c r="H2796" i="18"/>
  <c r="H2797" i="18"/>
  <c r="H2798" i="18"/>
  <c r="H2799" i="18"/>
  <c r="H2800" i="18"/>
  <c r="H2801" i="18"/>
  <c r="H2802" i="18"/>
  <c r="H2803" i="18"/>
  <c r="H2804" i="18"/>
  <c r="H2805" i="18"/>
  <c r="H2806" i="18"/>
  <c r="H2807" i="18"/>
  <c r="H2808" i="18"/>
  <c r="H2809" i="18"/>
  <c r="H2810" i="18"/>
  <c r="H2811" i="18"/>
  <c r="H2812" i="18"/>
  <c r="H2813" i="18"/>
  <c r="H2814" i="18"/>
  <c r="H2815" i="18"/>
  <c r="H2816" i="18"/>
  <c r="H2817" i="18"/>
  <c r="H2818" i="18"/>
  <c r="H2819" i="18"/>
  <c r="H2820" i="18"/>
  <c r="H2821" i="18"/>
  <c r="H2822" i="18"/>
  <c r="H2823" i="18"/>
  <c r="H2824" i="18"/>
  <c r="H2825" i="18"/>
  <c r="H2826" i="18"/>
  <c r="H2827" i="18"/>
  <c r="H2828" i="18"/>
  <c r="H2829" i="18"/>
  <c r="H2830" i="18"/>
  <c r="H2831" i="18"/>
  <c r="H2832" i="18"/>
  <c r="H2833" i="18"/>
  <c r="H2834" i="18"/>
  <c r="H2835" i="18"/>
  <c r="H2836" i="18"/>
  <c r="H2837" i="18"/>
  <c r="H2838" i="18"/>
  <c r="H2839" i="18"/>
  <c r="H2840" i="18"/>
  <c r="H2841" i="18"/>
  <c r="H2842" i="18"/>
  <c r="H2843" i="18"/>
  <c r="H2844" i="18"/>
  <c r="H2845" i="18"/>
  <c r="H2846" i="18"/>
  <c r="H2847" i="18"/>
  <c r="H2848" i="18"/>
  <c r="H2849" i="18"/>
  <c r="H2850" i="18"/>
  <c r="H2851" i="18"/>
  <c r="H2852" i="18"/>
  <c r="H2853" i="18"/>
  <c r="H2854" i="18"/>
  <c r="H2855" i="18"/>
  <c r="H2856" i="18"/>
  <c r="H2857" i="18"/>
  <c r="H2858" i="18"/>
  <c r="H2859" i="18"/>
  <c r="H2860" i="18"/>
  <c r="H2861" i="18"/>
  <c r="H2862" i="18"/>
  <c r="H2863" i="18"/>
  <c r="H2864" i="18"/>
  <c r="H2865" i="18"/>
  <c r="H2866" i="18"/>
  <c r="H2867" i="18"/>
  <c r="H2868" i="18"/>
  <c r="H2869" i="18"/>
  <c r="H2870" i="18"/>
  <c r="H2871" i="18"/>
  <c r="H2872" i="18"/>
  <c r="H2873" i="18"/>
  <c r="H2874" i="18"/>
  <c r="H2875" i="18"/>
  <c r="H2876" i="18"/>
  <c r="H2877" i="18"/>
  <c r="H2878" i="18"/>
  <c r="H2879" i="18"/>
  <c r="H2880" i="18"/>
  <c r="H2881" i="18"/>
  <c r="H2882" i="18"/>
  <c r="H2883" i="18"/>
  <c r="H2884" i="18"/>
  <c r="H2885" i="18"/>
  <c r="H2886" i="18"/>
  <c r="H2887" i="18"/>
  <c r="H2888" i="18"/>
  <c r="H2889" i="18"/>
  <c r="H2890" i="18"/>
  <c r="H2891" i="18"/>
  <c r="H2892" i="18"/>
  <c r="H2893" i="18"/>
  <c r="H2894" i="18"/>
  <c r="H2895" i="18"/>
  <c r="H2896" i="18"/>
  <c r="H2897" i="18"/>
  <c r="H2898" i="18"/>
  <c r="H2899" i="18"/>
  <c r="H2900" i="18"/>
  <c r="H2901" i="18"/>
  <c r="H2902" i="18"/>
  <c r="H2903" i="18"/>
  <c r="H2904" i="18"/>
  <c r="H2905" i="18"/>
  <c r="H2906" i="18"/>
  <c r="H2907" i="18"/>
  <c r="H2908" i="18"/>
  <c r="H2909" i="18"/>
  <c r="H2910" i="18"/>
  <c r="H2911" i="18"/>
  <c r="H2912" i="18"/>
  <c r="H2913" i="18"/>
  <c r="H2914" i="18"/>
  <c r="H2915" i="18"/>
  <c r="H2916" i="18"/>
  <c r="H2917" i="18"/>
  <c r="H2918" i="18"/>
  <c r="H2919" i="18"/>
  <c r="H2" i="18"/>
  <c r="H3" i="18"/>
  <c r="H4" i="18"/>
  <c r="H5" i="18"/>
  <c r="H6" i="18"/>
  <c r="H7" i="18"/>
  <c r="H8" i="18"/>
  <c r="H9" i="18"/>
  <c r="H10" i="18"/>
  <c r="H11" i="18"/>
  <c r="H12" i="18"/>
  <c r="H13" i="18"/>
  <c r="H14" i="18"/>
  <c r="H15" i="18"/>
  <c r="H16" i="18"/>
  <c r="H17" i="18"/>
  <c r="H18" i="18"/>
  <c r="H19" i="18"/>
  <c r="H20" i="18"/>
  <c r="H21" i="18"/>
  <c r="H22" i="18"/>
  <c r="H23" i="18"/>
  <c r="H24" i="18"/>
  <c r="H25" i="18"/>
  <c r="H26" i="18"/>
  <c r="H27" i="18"/>
  <c r="H28" i="18"/>
  <c r="H29" i="18"/>
  <c r="H30" i="18"/>
  <c r="H31" i="18"/>
  <c r="H32" i="18"/>
  <c r="H38" i="18"/>
  <c r="H39" i="18"/>
  <c r="H40" i="18"/>
  <c r="H41" i="18"/>
  <c r="H42" i="18"/>
  <c r="H43" i="18"/>
  <c r="H44" i="18"/>
  <c r="H45" i="18"/>
  <c r="H46" i="18"/>
  <c r="H47" i="18"/>
  <c r="H48" i="18"/>
  <c r="H49" i="18"/>
  <c r="H50" i="18"/>
  <c r="H51" i="18"/>
  <c r="H52" i="18"/>
  <c r="H53" i="18"/>
  <c r="H54" i="18"/>
  <c r="H55" i="18"/>
  <c r="H56" i="18"/>
  <c r="H57" i="18"/>
  <c r="H58" i="18"/>
  <c r="H59" i="18"/>
  <c r="H60" i="18"/>
  <c r="H61" i="18"/>
  <c r="H62" i="18"/>
  <c r="H63" i="18"/>
  <c r="H64" i="18"/>
  <c r="H65" i="18"/>
  <c r="H66" i="18"/>
  <c r="H67" i="18"/>
  <c r="H68" i="18"/>
  <c r="H121" i="18"/>
  <c r="H122" i="18"/>
  <c r="H123" i="18"/>
  <c r="H124" i="18"/>
  <c r="H125" i="18"/>
  <c r="H126" i="18"/>
  <c r="H127" i="18"/>
  <c r="H128" i="18"/>
  <c r="H129" i="18"/>
  <c r="H130" i="18"/>
  <c r="H131" i="18"/>
  <c r="H132" i="18"/>
  <c r="H133" i="18"/>
  <c r="H134" i="18"/>
  <c r="H135" i="18"/>
  <c r="H136" i="18"/>
  <c r="H137" i="18"/>
  <c r="H138" i="18"/>
  <c r="H139" i="18"/>
  <c r="H140" i="18"/>
  <c r="H141" i="18"/>
  <c r="H142" i="18"/>
  <c r="H143" i="18"/>
  <c r="H144" i="18"/>
  <c r="H145" i="18"/>
  <c r="H146" i="18"/>
  <c r="H147" i="18"/>
  <c r="H148" i="18"/>
  <c r="H149" i="18"/>
  <c r="H150" i="18"/>
  <c r="H151" i="18"/>
  <c r="H176" i="18"/>
  <c r="H177" i="18"/>
  <c r="H178" i="18"/>
  <c r="H179" i="18"/>
  <c r="H180" i="18"/>
  <c r="H181" i="18"/>
  <c r="H182" i="18"/>
  <c r="H183" i="18"/>
  <c r="H184" i="18"/>
  <c r="H185" i="18"/>
  <c r="H186" i="18"/>
  <c r="H187" i="18"/>
  <c r="H188" i="18"/>
  <c r="H189" i="18"/>
  <c r="H190" i="18"/>
  <c r="H191" i="18"/>
  <c r="H192" i="18"/>
  <c r="H193" i="18"/>
  <c r="H194" i="18"/>
  <c r="H195" i="18"/>
  <c r="H196" i="18"/>
  <c r="H197" i="18"/>
  <c r="H198" i="18"/>
  <c r="H199" i="18"/>
  <c r="H200" i="18"/>
  <c r="H201" i="18"/>
  <c r="H202" i="18"/>
  <c r="H203" i="18"/>
  <c r="H204" i="18"/>
  <c r="H205" i="18"/>
  <c r="H206" i="18"/>
  <c r="H207" i="18"/>
  <c r="H208" i="18"/>
  <c r="H209" i="18"/>
  <c r="H210" i="18"/>
  <c r="H211" i="18"/>
  <c r="H212" i="18"/>
  <c r="H213" i="18"/>
  <c r="H214" i="18"/>
  <c r="H215" i="18"/>
  <c r="H216" i="18"/>
  <c r="H217" i="18"/>
  <c r="H218" i="18"/>
  <c r="H219" i="18"/>
  <c r="H220" i="18"/>
  <c r="H221" i="18"/>
  <c r="H222" i="18"/>
  <c r="H223" i="18"/>
  <c r="H224" i="18"/>
  <c r="H225" i="18"/>
  <c r="H226" i="18"/>
  <c r="H227" i="18"/>
  <c r="H228" i="18"/>
  <c r="H229" i="18"/>
  <c r="H230" i="18"/>
  <c r="H231" i="18"/>
  <c r="H232" i="18"/>
  <c r="H233" i="18"/>
  <c r="H234" i="18"/>
  <c r="H235" i="18"/>
  <c r="H236" i="18"/>
  <c r="H237" i="18"/>
  <c r="H238" i="18"/>
  <c r="H239" i="18"/>
  <c r="H240" i="18"/>
  <c r="H241" i="18"/>
  <c r="H242" i="18"/>
  <c r="H243" i="18"/>
  <c r="H244" i="18"/>
  <c r="H245" i="18"/>
  <c r="H246" i="18"/>
  <c r="H247" i="18"/>
  <c r="H248" i="18"/>
  <c r="H249" i="18"/>
  <c r="H250" i="18"/>
  <c r="H251" i="18"/>
  <c r="H252" i="18"/>
  <c r="H253" i="18"/>
  <c r="H254" i="18"/>
  <c r="H255" i="18"/>
  <c r="H256" i="18"/>
  <c r="H257" i="18"/>
  <c r="H258" i="18"/>
  <c r="H259" i="18"/>
  <c r="H260" i="18"/>
  <c r="H261" i="18"/>
  <c r="H262" i="18"/>
  <c r="H263" i="18"/>
  <c r="H264" i="18"/>
  <c r="H265" i="18"/>
  <c r="H266" i="18"/>
  <c r="H267" i="18"/>
  <c r="H268" i="18"/>
  <c r="H269" i="18"/>
  <c r="H270" i="18"/>
  <c r="H271" i="18"/>
  <c r="H272" i="18"/>
  <c r="H273" i="18"/>
  <c r="H274" i="18"/>
  <c r="H275" i="18"/>
  <c r="H276" i="18"/>
  <c r="H277" i="18"/>
  <c r="H278" i="18"/>
  <c r="H279" i="18"/>
  <c r="H280" i="18"/>
  <c r="H281" i="18"/>
  <c r="H282" i="18"/>
  <c r="H283" i="18"/>
  <c r="H284" i="18"/>
  <c r="H285" i="18"/>
  <c r="H286" i="18"/>
  <c r="H287" i="18"/>
  <c r="H288" i="18"/>
  <c r="H289" i="18"/>
  <c r="H290" i="18"/>
  <c r="H291" i="18"/>
  <c r="H292" i="18"/>
  <c r="H293" i="18"/>
  <c r="H294" i="18"/>
  <c r="H295" i="18"/>
  <c r="H296" i="18"/>
  <c r="H297" i="18"/>
  <c r="H298" i="18"/>
  <c r="H299" i="18"/>
  <c r="H300" i="18"/>
  <c r="H301" i="18"/>
  <c r="H302" i="18"/>
  <c r="H303" i="18"/>
  <c r="H304" i="18"/>
  <c r="H305" i="18"/>
  <c r="H306" i="18"/>
  <c r="H307" i="18"/>
  <c r="H308" i="18"/>
  <c r="H309" i="18"/>
  <c r="H310" i="18"/>
  <c r="H311" i="18"/>
  <c r="H312" i="18"/>
  <c r="H313" i="18"/>
  <c r="H314" i="18"/>
  <c r="H315" i="18"/>
  <c r="H316" i="18"/>
  <c r="H317" i="18"/>
  <c r="H318" i="18"/>
  <c r="H319" i="18"/>
  <c r="H320" i="18"/>
  <c r="H321" i="18"/>
  <c r="H322" i="18"/>
  <c r="H323" i="18"/>
  <c r="H324" i="18"/>
  <c r="H325" i="18"/>
  <c r="H326" i="18"/>
  <c r="H327" i="18"/>
  <c r="H328" i="18"/>
  <c r="H329" i="18"/>
  <c r="H330" i="18"/>
  <c r="H331" i="18"/>
  <c r="H332" i="18"/>
  <c r="H333" i="18"/>
  <c r="H334" i="18"/>
  <c r="H335" i="18"/>
  <c r="H336" i="18"/>
  <c r="H337" i="18"/>
  <c r="H338" i="18"/>
  <c r="H339" i="18"/>
  <c r="H340" i="18"/>
  <c r="H341" i="18"/>
  <c r="H342" i="18"/>
  <c r="H343" i="18"/>
  <c r="H344" i="18"/>
  <c r="H345" i="18"/>
  <c r="H346" i="18"/>
  <c r="H347" i="18"/>
  <c r="H348" i="18"/>
  <c r="H349" i="18"/>
  <c r="H350" i="18"/>
  <c r="H351" i="18"/>
  <c r="H352" i="18"/>
  <c r="H353" i="18"/>
  <c r="H354" i="18"/>
  <c r="H355" i="18"/>
  <c r="H356" i="18"/>
  <c r="H357" i="18"/>
  <c r="H358" i="18"/>
  <c r="H359" i="18"/>
  <c r="H360" i="18"/>
  <c r="H361" i="18"/>
  <c r="H362" i="18"/>
  <c r="H363" i="18"/>
  <c r="H364" i="18"/>
  <c r="H365" i="18"/>
  <c r="H366" i="18"/>
  <c r="H367" i="18"/>
  <c r="H368" i="18"/>
  <c r="H369" i="18"/>
  <c r="H370" i="18"/>
  <c r="H371" i="18"/>
  <c r="H372" i="18"/>
  <c r="H373" i="18"/>
  <c r="H374" i="18"/>
  <c r="H375" i="18"/>
  <c r="H376" i="18"/>
  <c r="H377" i="18"/>
  <c r="H378" i="18"/>
  <c r="H379" i="18"/>
  <c r="H380" i="18"/>
  <c r="H381" i="18"/>
  <c r="H382" i="18"/>
  <c r="H383" i="18"/>
  <c r="H384" i="18"/>
  <c r="H385" i="18"/>
  <c r="H386" i="18"/>
  <c r="H387" i="18"/>
  <c r="H388" i="18"/>
  <c r="H389" i="18"/>
  <c r="H390" i="18"/>
  <c r="H391" i="18"/>
  <c r="H392" i="18"/>
  <c r="H393" i="18"/>
  <c r="H394" i="18"/>
  <c r="H395" i="18"/>
  <c r="H396" i="18"/>
  <c r="H397" i="18"/>
  <c r="H398" i="18"/>
  <c r="H399" i="18"/>
  <c r="H400" i="18"/>
  <c r="H401" i="18"/>
  <c r="H402" i="18"/>
  <c r="H403" i="18"/>
  <c r="H404" i="18"/>
  <c r="H405" i="18"/>
  <c r="H406" i="18"/>
  <c r="H407" i="18"/>
  <c r="H408" i="18"/>
  <c r="H409" i="18"/>
  <c r="H410" i="18"/>
  <c r="H411" i="18"/>
  <c r="H412" i="18"/>
  <c r="H413" i="18"/>
  <c r="H414" i="18"/>
  <c r="H415" i="18"/>
  <c r="H416" i="18"/>
  <c r="H417" i="18"/>
  <c r="H418" i="18"/>
  <c r="H419" i="18"/>
  <c r="H420" i="18"/>
  <c r="H421" i="18"/>
  <c r="H422" i="18"/>
  <c r="H423" i="18"/>
  <c r="H424" i="18"/>
  <c r="H425" i="18"/>
  <c r="H426" i="18"/>
  <c r="H427" i="18"/>
  <c r="H428" i="18"/>
  <c r="H429" i="18"/>
  <c r="H430" i="18"/>
  <c r="H431" i="18"/>
  <c r="H432" i="18"/>
  <c r="H433" i="18"/>
  <c r="H434" i="18"/>
  <c r="H435" i="18"/>
  <c r="H436" i="18"/>
  <c r="H437" i="18"/>
  <c r="H438" i="18"/>
  <c r="H439" i="18"/>
  <c r="H440" i="18"/>
  <c r="H441" i="18"/>
  <c r="H442" i="18"/>
  <c r="H443" i="18"/>
  <c r="H444" i="18"/>
  <c r="H445" i="18"/>
  <c r="H446" i="18"/>
  <c r="H447" i="18"/>
  <c r="H448" i="18"/>
  <c r="H449" i="18"/>
  <c r="H450" i="18"/>
  <c r="H451" i="18"/>
  <c r="H452" i="18"/>
  <c r="H453" i="18"/>
  <c r="H454" i="18"/>
  <c r="H455" i="18"/>
  <c r="H456" i="18"/>
  <c r="H457" i="18"/>
  <c r="H458" i="18"/>
  <c r="H459" i="18"/>
  <c r="H460" i="18"/>
  <c r="H461" i="18"/>
  <c r="H462" i="18"/>
  <c r="H463" i="18"/>
  <c r="H464" i="18"/>
  <c r="H465" i="18"/>
  <c r="H466" i="18"/>
  <c r="H467" i="18"/>
  <c r="H468" i="18"/>
  <c r="H469" i="18"/>
  <c r="H470" i="18"/>
  <c r="H471" i="18"/>
  <c r="H472" i="18"/>
  <c r="H473" i="18"/>
  <c r="H474" i="18"/>
  <c r="H475" i="18"/>
  <c r="H476" i="18"/>
  <c r="H477" i="18"/>
  <c r="H478" i="18"/>
  <c r="H479" i="18"/>
  <c r="H480" i="18"/>
  <c r="H481" i="18"/>
  <c r="H482" i="18"/>
  <c r="H483" i="18"/>
  <c r="H484" i="18"/>
  <c r="H485" i="18"/>
  <c r="H486" i="18"/>
  <c r="H487" i="18"/>
  <c r="H488" i="18"/>
  <c r="H489" i="18"/>
  <c r="H490" i="18"/>
  <c r="H491" i="18"/>
  <c r="H492" i="18"/>
  <c r="H493" i="18"/>
  <c r="H494" i="18"/>
  <c r="H495" i="18"/>
  <c r="H496" i="18"/>
  <c r="H497" i="18"/>
  <c r="H498" i="18"/>
  <c r="H499" i="18"/>
  <c r="H500" i="18"/>
  <c r="H501" i="18"/>
  <c r="H502" i="18"/>
  <c r="H503" i="18"/>
  <c r="H504" i="18"/>
  <c r="H505" i="18"/>
  <c r="H506" i="18"/>
  <c r="H507" i="18"/>
  <c r="H508" i="18"/>
  <c r="H509" i="18"/>
  <c r="H510" i="18"/>
  <c r="H511" i="18"/>
  <c r="H512" i="18"/>
  <c r="H513" i="18"/>
  <c r="H514" i="18"/>
  <c r="H515" i="18"/>
  <c r="H516" i="18"/>
  <c r="H519" i="18"/>
  <c r="H520" i="18"/>
  <c r="H521" i="18"/>
  <c r="H522" i="18"/>
  <c r="H523" i="18"/>
  <c r="H524" i="18"/>
  <c r="H525" i="18"/>
  <c r="H526" i="18"/>
  <c r="H527" i="18"/>
  <c r="H528" i="18"/>
  <c r="H529" i="18"/>
  <c r="H530" i="18"/>
  <c r="H531" i="18"/>
  <c r="H532" i="18"/>
  <c r="H533" i="18"/>
  <c r="H534" i="18"/>
  <c r="H535" i="18"/>
  <c r="H536" i="18"/>
  <c r="H537" i="18"/>
  <c r="H538" i="18"/>
  <c r="H539" i="18"/>
  <c r="H540" i="18"/>
  <c r="H541" i="18"/>
  <c r="H542" i="18"/>
  <c r="H543" i="18"/>
  <c r="H544" i="18"/>
  <c r="H545" i="18"/>
  <c r="H546" i="18"/>
  <c r="H547" i="18"/>
  <c r="H548" i="18"/>
  <c r="H549" i="18"/>
  <c r="H552" i="18"/>
  <c r="H553" i="18"/>
  <c r="H554" i="18"/>
  <c r="H555" i="18"/>
  <c r="H556" i="18"/>
  <c r="H557" i="18"/>
  <c r="H558" i="18"/>
  <c r="H559" i="18"/>
  <c r="H560" i="18"/>
  <c r="H561" i="18"/>
  <c r="H562" i="18"/>
  <c r="H563" i="18"/>
  <c r="H564" i="18"/>
  <c r="H565" i="18"/>
  <c r="H566" i="18"/>
  <c r="H567" i="18"/>
  <c r="H568" i="18"/>
  <c r="H569" i="18"/>
  <c r="H570" i="18"/>
  <c r="H571" i="18"/>
  <c r="H572" i="18"/>
  <c r="H573" i="18"/>
  <c r="H574" i="18"/>
  <c r="H575" i="18"/>
  <c r="H576" i="18"/>
  <c r="H577" i="18"/>
  <c r="H578" i="18"/>
  <c r="H579" i="18"/>
  <c r="H580" i="18"/>
  <c r="H581" i="18"/>
  <c r="H582" i="18"/>
  <c r="H585" i="18"/>
  <c r="H586" i="18"/>
  <c r="H587" i="18"/>
  <c r="H588" i="18"/>
  <c r="H589" i="18"/>
  <c r="H590" i="18"/>
  <c r="H591" i="18"/>
  <c r="H592" i="18"/>
  <c r="H593" i="18"/>
  <c r="H594" i="18"/>
  <c r="H595" i="18"/>
  <c r="H596" i="18"/>
  <c r="H597" i="18"/>
  <c r="H598" i="18"/>
  <c r="H599" i="18"/>
  <c r="H600" i="18"/>
  <c r="H601" i="18"/>
  <c r="H602" i="18"/>
  <c r="H603" i="18"/>
  <c r="H604" i="18"/>
  <c r="H605" i="18"/>
  <c r="H606" i="18"/>
  <c r="H607" i="18"/>
  <c r="H608" i="18"/>
  <c r="H609" i="18"/>
  <c r="H610" i="18"/>
  <c r="H611" i="18"/>
  <c r="H612" i="18"/>
  <c r="H613" i="18"/>
  <c r="H614" i="18"/>
  <c r="H615" i="18"/>
  <c r="H618" i="18"/>
  <c r="H619" i="18"/>
  <c r="H620" i="18"/>
  <c r="H621" i="18"/>
  <c r="H622" i="18"/>
  <c r="H623" i="18"/>
  <c r="H624" i="18"/>
  <c r="H625" i="18"/>
  <c r="H626" i="18"/>
  <c r="H627" i="18"/>
  <c r="H628" i="18"/>
  <c r="H629" i="18"/>
  <c r="H630" i="18"/>
  <c r="H631" i="18"/>
  <c r="H632" i="18"/>
  <c r="H633" i="18"/>
  <c r="H634" i="18"/>
  <c r="H635" i="18"/>
  <c r="H636" i="18"/>
  <c r="H637" i="18"/>
  <c r="H638" i="18"/>
  <c r="H639" i="18"/>
  <c r="H640" i="18"/>
  <c r="H641" i="18"/>
  <c r="H642" i="18"/>
  <c r="H643" i="18"/>
  <c r="H644" i="18"/>
  <c r="H645" i="18"/>
  <c r="H646" i="18"/>
  <c r="H647" i="18"/>
  <c r="H648" i="18"/>
  <c r="H649" i="18"/>
  <c r="H650" i="18"/>
  <c r="H651" i="18"/>
  <c r="H652" i="18"/>
  <c r="H653" i="18"/>
  <c r="H654" i="18"/>
  <c r="H655" i="18"/>
  <c r="H656" i="18"/>
  <c r="H657" i="18"/>
  <c r="H658" i="18"/>
  <c r="H659" i="18"/>
  <c r="H660" i="18"/>
  <c r="H661" i="18"/>
  <c r="H662" i="18"/>
  <c r="H663" i="18"/>
  <c r="H664" i="18"/>
  <c r="H665" i="18"/>
  <c r="H666" i="18"/>
  <c r="H667" i="18"/>
  <c r="H668" i="18"/>
  <c r="H669" i="18"/>
  <c r="H670" i="18"/>
  <c r="H671" i="18"/>
  <c r="H672" i="18"/>
  <c r="H673" i="18"/>
  <c r="H674" i="18"/>
  <c r="H675" i="18"/>
  <c r="H676" i="18"/>
  <c r="H677" i="18"/>
  <c r="H678" i="18"/>
  <c r="H679" i="18"/>
  <c r="H682" i="18"/>
  <c r="H683" i="18"/>
  <c r="H684" i="18"/>
  <c r="H685" i="18"/>
  <c r="H686" i="18"/>
  <c r="H687" i="18"/>
  <c r="H688" i="18"/>
  <c r="H689" i="18"/>
  <c r="H690" i="18"/>
  <c r="H691" i="18"/>
  <c r="H692" i="18"/>
  <c r="H693" i="18"/>
  <c r="H694" i="18"/>
  <c r="H695" i="18"/>
  <c r="H696" i="18"/>
  <c r="H697" i="18"/>
  <c r="H698" i="18"/>
  <c r="H699" i="18"/>
  <c r="H700" i="18"/>
  <c r="H701" i="18"/>
  <c r="H702" i="18"/>
  <c r="H703" i="18"/>
  <c r="H704" i="18"/>
  <c r="H705" i="18"/>
  <c r="H706" i="18"/>
  <c r="H707" i="18"/>
  <c r="H708" i="18"/>
  <c r="H709" i="18"/>
  <c r="H710" i="18"/>
  <c r="H711" i="18"/>
  <c r="H712" i="18"/>
  <c r="H713" i="18"/>
  <c r="H714" i="18"/>
  <c r="H715" i="18"/>
  <c r="H716" i="18"/>
  <c r="H717" i="18"/>
  <c r="H718" i="18"/>
  <c r="H719" i="18"/>
  <c r="H720" i="18"/>
  <c r="H721" i="18"/>
  <c r="H722" i="18"/>
  <c r="H723" i="18"/>
  <c r="H724" i="18"/>
  <c r="H725" i="18"/>
  <c r="H726" i="18"/>
  <c r="H727" i="18"/>
  <c r="H728" i="18"/>
  <c r="H729" i="18"/>
  <c r="H730" i="18"/>
  <c r="H731" i="18"/>
  <c r="H732" i="18"/>
  <c r="H733" i="18"/>
  <c r="H734" i="18"/>
  <c r="H735" i="18"/>
  <c r="H736" i="18"/>
  <c r="H737" i="18"/>
  <c r="H738" i="18"/>
  <c r="H739" i="18"/>
  <c r="H740" i="18"/>
  <c r="H741" i="18"/>
  <c r="H742" i="18"/>
  <c r="H743" i="18"/>
  <c r="H744" i="18"/>
  <c r="H745" i="18"/>
  <c r="H746" i="18"/>
  <c r="H747" i="18"/>
  <c r="H748" i="18"/>
  <c r="H749" i="18"/>
  <c r="H750" i="18"/>
  <c r="H751" i="18"/>
  <c r="H752" i="18"/>
  <c r="H753" i="18"/>
  <c r="H754" i="18"/>
  <c r="H755" i="18"/>
  <c r="H756" i="18"/>
  <c r="H757" i="18"/>
  <c r="H758" i="18"/>
  <c r="H759" i="18"/>
  <c r="H760" i="18"/>
  <c r="H761" i="18"/>
  <c r="H762" i="18"/>
  <c r="H763" i="18"/>
  <c r="H764" i="18"/>
  <c r="H765" i="18"/>
  <c r="H766" i="18"/>
  <c r="H767" i="18"/>
  <c r="H768" i="18"/>
  <c r="H769" i="18"/>
  <c r="H770" i="18"/>
  <c r="H771" i="18"/>
  <c r="H772" i="18"/>
  <c r="H773" i="18"/>
  <c r="H774" i="18"/>
  <c r="H775" i="18"/>
  <c r="H776" i="18"/>
  <c r="H777" i="18"/>
  <c r="H778" i="18"/>
  <c r="H779" i="18"/>
  <c r="H780" i="18"/>
  <c r="H781" i="18"/>
  <c r="H782" i="18"/>
  <c r="H783" i="18"/>
  <c r="H784" i="18"/>
  <c r="H785" i="18"/>
  <c r="H786" i="18"/>
  <c r="H787" i="18"/>
  <c r="H788" i="18"/>
  <c r="H789" i="18"/>
  <c r="H790" i="18"/>
  <c r="H791" i="18"/>
  <c r="H792" i="18"/>
  <c r="H793" i="18"/>
  <c r="H794" i="18"/>
  <c r="H795" i="18"/>
  <c r="H796" i="18"/>
  <c r="H797" i="18"/>
  <c r="H798" i="18"/>
  <c r="H799" i="18"/>
  <c r="H800" i="18"/>
  <c r="H801" i="18"/>
  <c r="H802" i="18"/>
  <c r="H803" i="18"/>
  <c r="H804" i="18"/>
  <c r="H805" i="18"/>
  <c r="H806" i="18"/>
  <c r="H807" i="18"/>
  <c r="H808" i="18"/>
  <c r="H809" i="18"/>
  <c r="H810" i="18"/>
  <c r="H811" i="18"/>
  <c r="H812" i="18"/>
  <c r="H813" i="18"/>
  <c r="H814" i="18"/>
  <c r="H815" i="18"/>
  <c r="H816" i="18"/>
  <c r="H817" i="18"/>
  <c r="H818" i="18"/>
  <c r="H819" i="18"/>
  <c r="H820" i="18"/>
  <c r="H821" i="18"/>
  <c r="H822" i="18"/>
  <c r="H823" i="18"/>
  <c r="H824" i="18"/>
  <c r="H825" i="18"/>
  <c r="H826" i="18"/>
  <c r="H827" i="18"/>
  <c r="H828" i="18"/>
  <c r="H829" i="18"/>
  <c r="H830" i="18"/>
  <c r="H831" i="18"/>
  <c r="H832" i="18"/>
  <c r="H833" i="18"/>
  <c r="H834" i="18"/>
  <c r="H835" i="18"/>
  <c r="H836" i="18"/>
  <c r="H837" i="18"/>
  <c r="H838" i="18"/>
  <c r="H839" i="18"/>
  <c r="H840" i="18"/>
  <c r="H841" i="18"/>
  <c r="H842" i="18"/>
  <c r="H843" i="18"/>
  <c r="H844" i="18"/>
  <c r="H845" i="18"/>
  <c r="H846" i="18"/>
  <c r="H847" i="18"/>
  <c r="H848" i="18"/>
  <c r="H849" i="18"/>
  <c r="H850" i="18"/>
  <c r="H851" i="18"/>
  <c r="H852" i="18"/>
  <c r="H853" i="18"/>
  <c r="H854" i="18"/>
  <c r="H855" i="18"/>
  <c r="H856" i="18"/>
  <c r="H857" i="18"/>
  <c r="H858" i="18"/>
  <c r="H859" i="18"/>
  <c r="H860" i="18"/>
  <c r="H861" i="18"/>
  <c r="H862" i="18"/>
  <c r="H863" i="18"/>
  <c r="H864" i="18"/>
  <c r="H865" i="18"/>
  <c r="H866" i="18"/>
  <c r="H867" i="18"/>
  <c r="H868" i="18"/>
  <c r="H869" i="18"/>
  <c r="H870" i="18"/>
  <c r="H871" i="18"/>
  <c r="H872" i="18"/>
  <c r="H873" i="18"/>
  <c r="H874" i="18"/>
  <c r="H875" i="18"/>
  <c r="H876" i="18"/>
  <c r="H877" i="18"/>
  <c r="H878" i="18"/>
  <c r="H879" i="18"/>
  <c r="H880" i="18"/>
  <c r="H881" i="18"/>
  <c r="H882" i="18"/>
  <c r="H883" i="18"/>
  <c r="H884" i="18"/>
  <c r="H885" i="18"/>
  <c r="H886" i="18"/>
  <c r="H887" i="18"/>
  <c r="H888" i="18"/>
  <c r="H889" i="18"/>
  <c r="H890" i="18"/>
  <c r="H891" i="18"/>
  <c r="H892" i="18"/>
  <c r="H893" i="18"/>
  <c r="H894" i="18"/>
  <c r="H895" i="18"/>
  <c r="H896" i="18"/>
  <c r="H897" i="18"/>
  <c r="H898" i="18"/>
  <c r="H899" i="18"/>
  <c r="H900" i="18"/>
  <c r="H901" i="18"/>
  <c r="H902" i="18"/>
  <c r="H903" i="18"/>
  <c r="H904" i="18"/>
  <c r="H905" i="18"/>
  <c r="H906" i="18"/>
  <c r="H907" i="18"/>
  <c r="H908" i="18"/>
  <c r="H909" i="18"/>
  <c r="H910" i="18"/>
  <c r="H911" i="18"/>
  <c r="H912" i="18"/>
  <c r="H913" i="18"/>
  <c r="H914" i="18"/>
  <c r="H915" i="18"/>
  <c r="H916" i="18"/>
  <c r="H917" i="18"/>
  <c r="H918" i="18"/>
  <c r="H919" i="18"/>
  <c r="H920" i="18"/>
  <c r="H921" i="18"/>
  <c r="H922" i="18"/>
  <c r="H923" i="18"/>
  <c r="H924" i="18"/>
  <c r="H925" i="18"/>
  <c r="H926" i="18"/>
  <c r="H927" i="18"/>
  <c r="H928" i="18"/>
  <c r="H929" i="18"/>
  <c r="H930" i="18"/>
  <c r="H931" i="18"/>
  <c r="H932" i="18"/>
  <c r="H933" i="18"/>
  <c r="H934" i="18"/>
  <c r="H935" i="18"/>
  <c r="H936" i="18"/>
  <c r="H937" i="18"/>
  <c r="H938" i="18"/>
  <c r="H939" i="18"/>
  <c r="H940" i="18"/>
  <c r="H941" i="18"/>
  <c r="H942" i="18"/>
  <c r="H943" i="18"/>
  <c r="H944" i="18"/>
  <c r="H945" i="18"/>
  <c r="H946" i="18"/>
  <c r="H947" i="18"/>
  <c r="H948" i="18"/>
  <c r="H949" i="18"/>
  <c r="H950" i="18"/>
  <c r="H951" i="18"/>
  <c r="H952" i="18"/>
  <c r="H953" i="18"/>
  <c r="H954" i="18"/>
  <c r="H955" i="18"/>
  <c r="H956" i="18"/>
  <c r="H957" i="18"/>
  <c r="H958" i="18"/>
  <c r="H959" i="18"/>
  <c r="H960" i="18"/>
  <c r="H961" i="18"/>
  <c r="H962" i="18"/>
  <c r="H963" i="18"/>
  <c r="H964" i="18"/>
  <c r="H965" i="18"/>
  <c r="H966" i="18"/>
  <c r="H967" i="18"/>
  <c r="H968" i="18"/>
  <c r="H969" i="18"/>
  <c r="H970" i="18"/>
  <c r="H971" i="18"/>
  <c r="H972" i="18"/>
  <c r="H973" i="18"/>
  <c r="H974" i="18"/>
  <c r="H975" i="18"/>
  <c r="H976" i="18"/>
  <c r="H977" i="18"/>
  <c r="H978" i="18"/>
  <c r="H979" i="18"/>
  <c r="H980" i="18"/>
  <c r="H981" i="18"/>
  <c r="H982" i="18"/>
  <c r="H983" i="18"/>
  <c r="H984" i="18"/>
  <c r="H985" i="18"/>
  <c r="H986" i="18"/>
  <c r="H987" i="18"/>
  <c r="H988" i="18"/>
  <c r="H989" i="18"/>
  <c r="H990" i="18"/>
  <c r="H991" i="18"/>
  <c r="H992" i="18"/>
  <c r="H993" i="18"/>
  <c r="H994" i="18"/>
  <c r="H995" i="18"/>
  <c r="H996" i="18"/>
  <c r="H997" i="18"/>
  <c r="H998" i="18"/>
  <c r="H999" i="18"/>
  <c r="H1000" i="18"/>
  <c r="H1001" i="18"/>
  <c r="H1002" i="18"/>
  <c r="H1003" i="18"/>
  <c r="H1004" i="18"/>
  <c r="H1005" i="18"/>
  <c r="H1006" i="18"/>
  <c r="H1007" i="18"/>
  <c r="H1008" i="18"/>
  <c r="H1009" i="18"/>
  <c r="H1010" i="18"/>
  <c r="H1011" i="18"/>
  <c r="H1012" i="18"/>
  <c r="H1013" i="18"/>
  <c r="H1014" i="18"/>
  <c r="H1015" i="18"/>
  <c r="H1016" i="18"/>
  <c r="H1017" i="18"/>
  <c r="H1018" i="18"/>
  <c r="H1019" i="18"/>
  <c r="H1020" i="18"/>
  <c r="H1021" i="18"/>
  <c r="H1022" i="18"/>
  <c r="H1023" i="18"/>
  <c r="H1024" i="18"/>
  <c r="H1025" i="18"/>
  <c r="H1026" i="18"/>
  <c r="H1027" i="18"/>
  <c r="H1028" i="18"/>
  <c r="H1029" i="18"/>
  <c r="H1030" i="18"/>
  <c r="H1031" i="18"/>
  <c r="H1032" i="18"/>
  <c r="H1033" i="18"/>
  <c r="H1034" i="18"/>
  <c r="H1035" i="18"/>
  <c r="H1036" i="18"/>
  <c r="H1037" i="18"/>
  <c r="H1038" i="18"/>
  <c r="H1039" i="18"/>
  <c r="H1040" i="18"/>
  <c r="H1041" i="18"/>
  <c r="H1042" i="18"/>
  <c r="H1043" i="18"/>
  <c r="H1044" i="18"/>
  <c r="H1045" i="18"/>
  <c r="H1046" i="18"/>
  <c r="H1047" i="18"/>
  <c r="H1048" i="18"/>
  <c r="H1049" i="18"/>
  <c r="H1050" i="18"/>
  <c r="H1051" i="18"/>
  <c r="H1052" i="18"/>
  <c r="H1053" i="18"/>
  <c r="H1054" i="18"/>
  <c r="H1055" i="18"/>
  <c r="H1056" i="18"/>
  <c r="H1057" i="18"/>
  <c r="H1058" i="18"/>
  <c r="H1059" i="18"/>
  <c r="H1060" i="18"/>
  <c r="H1061" i="18"/>
  <c r="H1062" i="18"/>
  <c r="H1063" i="18"/>
  <c r="H1064" i="18"/>
  <c r="H1065" i="18"/>
  <c r="H1066" i="18"/>
  <c r="H1067" i="18"/>
  <c r="H1068" i="18"/>
  <c r="H1069" i="18"/>
  <c r="H1070" i="18"/>
  <c r="H1071" i="18"/>
  <c r="H1072" i="18"/>
  <c r="H1073" i="18"/>
  <c r="H1074" i="18"/>
  <c r="H1075" i="18"/>
  <c r="H1076" i="18"/>
  <c r="H1077" i="18"/>
  <c r="H1078" i="18"/>
  <c r="H1079" i="18"/>
  <c r="H1080" i="18"/>
  <c r="H1081" i="18"/>
  <c r="H1082" i="18"/>
  <c r="H1083" i="18"/>
  <c r="H1084" i="18"/>
  <c r="H1085" i="18"/>
  <c r="H1086" i="18"/>
  <c r="H1087" i="18"/>
  <c r="H1088" i="18"/>
  <c r="H1089" i="18"/>
  <c r="H1090" i="18"/>
  <c r="H1091" i="18"/>
  <c r="H1092" i="18"/>
  <c r="H1093" i="18"/>
  <c r="H1094" i="18"/>
  <c r="H1095" i="18"/>
  <c r="H1096" i="18"/>
  <c r="H1097" i="18"/>
  <c r="H1098" i="18"/>
  <c r="H1099" i="18"/>
  <c r="H1100" i="18"/>
  <c r="H1101" i="18"/>
  <c r="H1102" i="18"/>
  <c r="H1103" i="18"/>
  <c r="H1104" i="18"/>
  <c r="H1105" i="18"/>
  <c r="H1106" i="18"/>
  <c r="H1107" i="18"/>
  <c r="H1108" i="18"/>
  <c r="H1109" i="18"/>
  <c r="H1110" i="18"/>
  <c r="H1111" i="18"/>
  <c r="H1112" i="18"/>
  <c r="H1113" i="18"/>
  <c r="H1114" i="18"/>
  <c r="H1115" i="18"/>
  <c r="H1116" i="18"/>
  <c r="H1117" i="18"/>
  <c r="H1118" i="18"/>
  <c r="H1119" i="18"/>
  <c r="H1120" i="18"/>
  <c r="H1121" i="18"/>
  <c r="H1122" i="18"/>
  <c r="H1123" i="18"/>
  <c r="H1124" i="18"/>
  <c r="H1125" i="18"/>
  <c r="H1126" i="18"/>
  <c r="H1127" i="18"/>
  <c r="H1128" i="18"/>
  <c r="H1129" i="18"/>
  <c r="H1130" i="18"/>
  <c r="H1131" i="18"/>
  <c r="H1132" i="18"/>
  <c r="H1133" i="18"/>
  <c r="H1134" i="18"/>
  <c r="H1135" i="18"/>
  <c r="H1136" i="18"/>
  <c r="H1137" i="18"/>
  <c r="H1138" i="18"/>
  <c r="H1139" i="18"/>
  <c r="H1140" i="18"/>
  <c r="H1141" i="18"/>
  <c r="H1142" i="18"/>
  <c r="H1143" i="18"/>
  <c r="H1144" i="18"/>
  <c r="H1145" i="18"/>
  <c r="H1146" i="18"/>
  <c r="H1147" i="18"/>
  <c r="H1148" i="18"/>
  <c r="H1149" i="18"/>
  <c r="H1150" i="18"/>
  <c r="H1151" i="18"/>
  <c r="H1152" i="18"/>
  <c r="H1153" i="18"/>
  <c r="H1154" i="18"/>
  <c r="H1155" i="18"/>
  <c r="H1156" i="18"/>
  <c r="H1157" i="18"/>
  <c r="H1158" i="18"/>
  <c r="H1159" i="18"/>
  <c r="H1160" i="18"/>
  <c r="H1161" i="18"/>
  <c r="H1162" i="18"/>
  <c r="H1163" i="18"/>
  <c r="H1164" i="18"/>
  <c r="H1165" i="18"/>
  <c r="H1166" i="18"/>
  <c r="H1167" i="18"/>
  <c r="H1168" i="18"/>
  <c r="H1169" i="18"/>
  <c r="H1170" i="18"/>
  <c r="H1171" i="18"/>
  <c r="H1172" i="18"/>
  <c r="H1173" i="18"/>
  <c r="H1174" i="18"/>
  <c r="H1175" i="18"/>
  <c r="H1176" i="18"/>
  <c r="H1177" i="18"/>
  <c r="H1178" i="18"/>
  <c r="H1179" i="18"/>
  <c r="H1180" i="18"/>
  <c r="H1181" i="18"/>
  <c r="H1182" i="18"/>
  <c r="H1183" i="18"/>
  <c r="H1184" i="18"/>
  <c r="H1185" i="18"/>
  <c r="H1186" i="18"/>
  <c r="H1187" i="18"/>
  <c r="H1188" i="18"/>
  <c r="H1189" i="18"/>
  <c r="H1190" i="18"/>
  <c r="H1191" i="18"/>
  <c r="H1192" i="18"/>
  <c r="H1193" i="18"/>
  <c r="H1194" i="18"/>
  <c r="H1195" i="18"/>
  <c r="H1196" i="18"/>
  <c r="H1197" i="18"/>
  <c r="H1198" i="18"/>
  <c r="H1199" i="18"/>
  <c r="H1200" i="18"/>
  <c r="H1201" i="18"/>
  <c r="H1202" i="18"/>
  <c r="H1203" i="18"/>
  <c r="H1204" i="18"/>
  <c r="H1205" i="18"/>
  <c r="H1206" i="18"/>
  <c r="H1207" i="18"/>
  <c r="H1208" i="18"/>
  <c r="H1209" i="18"/>
  <c r="H1210" i="18"/>
  <c r="H1211" i="18"/>
  <c r="H1212" i="18"/>
  <c r="H1213" i="18"/>
  <c r="H1214" i="18"/>
  <c r="H1215" i="18"/>
  <c r="H1216" i="18"/>
  <c r="H1217" i="18"/>
  <c r="H1218" i="18"/>
  <c r="H1219" i="18"/>
  <c r="H1220" i="18"/>
  <c r="H1221" i="18"/>
  <c r="H1222" i="18"/>
  <c r="H1223" i="18"/>
  <c r="H1224" i="18"/>
  <c r="H1225" i="18"/>
  <c r="H1226" i="18"/>
  <c r="H1227" i="18"/>
  <c r="H1228" i="18"/>
  <c r="H1229" i="18"/>
  <c r="H1230" i="18"/>
  <c r="H1231" i="18"/>
  <c r="H1232" i="18"/>
  <c r="H1233" i="18"/>
  <c r="H1234" i="18"/>
  <c r="H1235" i="18"/>
  <c r="H1236" i="18"/>
  <c r="H1237" i="18"/>
  <c r="H1238" i="18"/>
  <c r="H1239" i="18"/>
  <c r="H1240" i="18"/>
  <c r="H1241" i="18"/>
  <c r="H1242" i="18"/>
  <c r="H1243" i="18"/>
  <c r="H1244" i="18"/>
  <c r="H1245" i="18"/>
  <c r="H1246" i="18"/>
  <c r="H1247" i="18"/>
  <c r="H1248" i="18"/>
  <c r="H1249" i="18"/>
  <c r="H1250" i="18"/>
  <c r="H1251" i="18"/>
  <c r="H1252" i="18"/>
  <c r="H1253" i="18"/>
  <c r="H1254" i="18"/>
  <c r="H1255" i="18"/>
  <c r="H1256" i="18"/>
  <c r="H1257" i="18"/>
  <c r="H1258" i="18"/>
  <c r="H1259" i="18"/>
  <c r="H1260" i="18"/>
  <c r="H1261" i="18"/>
  <c r="H1262" i="18"/>
  <c r="H1263" i="18"/>
  <c r="H1264" i="18"/>
  <c r="H1265" i="18"/>
  <c r="H1266" i="18"/>
  <c r="H1267" i="18"/>
  <c r="H1268" i="18"/>
  <c r="H1269" i="18"/>
  <c r="H1270" i="18"/>
  <c r="H1271" i="18"/>
  <c r="H1272" i="18"/>
  <c r="H1273" i="18"/>
  <c r="H1274" i="18"/>
  <c r="H1275" i="18"/>
  <c r="H1276" i="18"/>
  <c r="H1277" i="18"/>
  <c r="H1278" i="18"/>
  <c r="H1279" i="18"/>
  <c r="H1280" i="18"/>
  <c r="H1281" i="18"/>
  <c r="H1282" i="18"/>
  <c r="H1283" i="18"/>
  <c r="H1284" i="18"/>
  <c r="H1285" i="18"/>
  <c r="H1286" i="18"/>
  <c r="H1287" i="18"/>
  <c r="H1288" i="18"/>
  <c r="H1289" i="18"/>
  <c r="H1290" i="18"/>
  <c r="H1291" i="18"/>
  <c r="H1292" i="18"/>
  <c r="H1293" i="18"/>
  <c r="H1294" i="18"/>
  <c r="H1295" i="18"/>
  <c r="H1296" i="18"/>
  <c r="H1297" i="18"/>
  <c r="H1298" i="18"/>
  <c r="H1299" i="18"/>
  <c r="H1300" i="18"/>
  <c r="H1301" i="18"/>
  <c r="H1302" i="18"/>
  <c r="H1303" i="18"/>
  <c r="H1304" i="18"/>
  <c r="H1305" i="18"/>
  <c r="H1306" i="18"/>
  <c r="H1307" i="18"/>
  <c r="H1308" i="18"/>
  <c r="H1309" i="18"/>
  <c r="H1310" i="18"/>
  <c r="H1311" i="18"/>
  <c r="H1312" i="18"/>
  <c r="H1313" i="18"/>
  <c r="H1314" i="18"/>
  <c r="H1315" i="18"/>
  <c r="H1316" i="18"/>
  <c r="H1317" i="18"/>
  <c r="H1318" i="18"/>
  <c r="H1319" i="18"/>
  <c r="H1320" i="18"/>
  <c r="H1321" i="18"/>
  <c r="H1322" i="18"/>
  <c r="H1323" i="18"/>
  <c r="H1324" i="18"/>
  <c r="H1325" i="18"/>
  <c r="H1326" i="18"/>
  <c r="H1327" i="18"/>
  <c r="H1328" i="18"/>
  <c r="H1329" i="18"/>
  <c r="H1330" i="18"/>
  <c r="H1331" i="18"/>
  <c r="H1332" i="18"/>
  <c r="H1333" i="18"/>
  <c r="H1334" i="18"/>
  <c r="H1335" i="18"/>
  <c r="H1336" i="18"/>
  <c r="H1337" i="18"/>
  <c r="H1338" i="18"/>
  <c r="H1339" i="18"/>
  <c r="H1340" i="18"/>
  <c r="H1341" i="18"/>
  <c r="H1342" i="18"/>
  <c r="H1343" i="18"/>
  <c r="H1344" i="18"/>
  <c r="H1345" i="18"/>
  <c r="H1346" i="18"/>
  <c r="H1347" i="18"/>
  <c r="H1348" i="18"/>
  <c r="H1349" i="18"/>
  <c r="H1350" i="18"/>
  <c r="H1351" i="18"/>
  <c r="H1352" i="18"/>
  <c r="H1353" i="18"/>
  <c r="H1354" i="18"/>
  <c r="H1355" i="18"/>
  <c r="H1356" i="18"/>
  <c r="H1357" i="18"/>
  <c r="H1358" i="18"/>
  <c r="H1359" i="18"/>
  <c r="H1360" i="18"/>
  <c r="H1361" i="18"/>
  <c r="H1362" i="18"/>
  <c r="H1363" i="18"/>
  <c r="H1364" i="18"/>
  <c r="H1365" i="18"/>
  <c r="H1366" i="18"/>
  <c r="H1367" i="18"/>
  <c r="H1368" i="18"/>
  <c r="H1369" i="18"/>
  <c r="H1370" i="18"/>
  <c r="H1371" i="18"/>
  <c r="H1372" i="18"/>
  <c r="H1373" i="18"/>
  <c r="H1374" i="18"/>
  <c r="H1375" i="18"/>
  <c r="H1376" i="18"/>
  <c r="H1377" i="18"/>
  <c r="H1378" i="18"/>
  <c r="H1379" i="18"/>
  <c r="H1380" i="18"/>
  <c r="H1381" i="18"/>
  <c r="H1382" i="18"/>
  <c r="H1383" i="18"/>
  <c r="H1384" i="18"/>
  <c r="H1385" i="18"/>
  <c r="H1386" i="18"/>
  <c r="H1387" i="18"/>
  <c r="H1388" i="18"/>
  <c r="H1389" i="18"/>
  <c r="H1390" i="18"/>
  <c r="H1391" i="18"/>
  <c r="H1392" i="18"/>
  <c r="H1393" i="18"/>
  <c r="H1394" i="18"/>
  <c r="H1395" i="18"/>
  <c r="H1396" i="18"/>
  <c r="H1397" i="18"/>
  <c r="H1398" i="18"/>
  <c r="H1399" i="18"/>
  <c r="H1400" i="18"/>
  <c r="H1401" i="18"/>
  <c r="H1402" i="18"/>
  <c r="H1403" i="18"/>
  <c r="H1404" i="18"/>
  <c r="H1405" i="18"/>
  <c r="H1406" i="18"/>
  <c r="H1407" i="18"/>
  <c r="H1408" i="18"/>
  <c r="H1409" i="18"/>
  <c r="H1410" i="18"/>
  <c r="H1411" i="18"/>
  <c r="H1412" i="18"/>
  <c r="H1413" i="18"/>
  <c r="H1414" i="18"/>
  <c r="H1415" i="18"/>
  <c r="H1416" i="18"/>
  <c r="H1417" i="18"/>
  <c r="H1418" i="18"/>
  <c r="H1419" i="18"/>
  <c r="H1420" i="18"/>
  <c r="H1421" i="18"/>
  <c r="H1422" i="18"/>
  <c r="H1423" i="18"/>
  <c r="H1424" i="18"/>
  <c r="H1425" i="18"/>
  <c r="H1426" i="18"/>
  <c r="H1427" i="18"/>
  <c r="H1428" i="18"/>
  <c r="H1429" i="18"/>
  <c r="H1430" i="18"/>
  <c r="H1431" i="18"/>
  <c r="H1432" i="18"/>
  <c r="H1433" i="18"/>
  <c r="H1434" i="18"/>
  <c r="H1435" i="18"/>
  <c r="H1436" i="18"/>
  <c r="H1437" i="18"/>
  <c r="H1438" i="18"/>
  <c r="H1439" i="18"/>
  <c r="H1440" i="18"/>
  <c r="H1441" i="18"/>
  <c r="H1442" i="18"/>
  <c r="H1443" i="18"/>
  <c r="H1444" i="18"/>
  <c r="H1445" i="18"/>
  <c r="H1446" i="18"/>
  <c r="H1447" i="18"/>
  <c r="H1448" i="18"/>
  <c r="H1449" i="18"/>
  <c r="H1450" i="18"/>
  <c r="H1451" i="18"/>
  <c r="H1452" i="18"/>
  <c r="H1453" i="18"/>
  <c r="H1454" i="18"/>
  <c r="H1455" i="18"/>
  <c r="H1456" i="18"/>
  <c r="H1457" i="18"/>
  <c r="H1458" i="18"/>
  <c r="H1459" i="18"/>
  <c r="H1460" i="18"/>
  <c r="H1461" i="18"/>
  <c r="H1462" i="18"/>
  <c r="H1463" i="18"/>
  <c r="H1464" i="18"/>
  <c r="H1465" i="18"/>
  <c r="H1466" i="18"/>
  <c r="H1467" i="18"/>
  <c r="H1468" i="18"/>
  <c r="H1469" i="18"/>
  <c r="H1470" i="18"/>
  <c r="H1471" i="18"/>
  <c r="H1472" i="18"/>
  <c r="H1473" i="18"/>
  <c r="H1474" i="18"/>
  <c r="H1475" i="18"/>
  <c r="H1476" i="18"/>
  <c r="H1477" i="18"/>
  <c r="H1478" i="18"/>
  <c r="H1479" i="18"/>
  <c r="H1480" i="18"/>
  <c r="H1481" i="18"/>
  <c r="H1482" i="18"/>
  <c r="H1483" i="18"/>
  <c r="H1484" i="18"/>
  <c r="H1485" i="18"/>
  <c r="H1486" i="18"/>
  <c r="H1487" i="18"/>
  <c r="H1488" i="18"/>
  <c r="H1489" i="18"/>
  <c r="H1490" i="18"/>
  <c r="H1491" i="18"/>
  <c r="H1492" i="18"/>
  <c r="H1493" i="18"/>
  <c r="H1494" i="18"/>
  <c r="H1495" i="18"/>
  <c r="H1496" i="18"/>
  <c r="H1497" i="18"/>
  <c r="H1498" i="18"/>
  <c r="H1499" i="18"/>
  <c r="H1500" i="18"/>
  <c r="H1501" i="18"/>
  <c r="H1502" i="18"/>
  <c r="H1503" i="18"/>
  <c r="H1504" i="18"/>
  <c r="H1505" i="18"/>
  <c r="H1506" i="18"/>
  <c r="H1507" i="18"/>
  <c r="H1508" i="18"/>
  <c r="H1509" i="18"/>
  <c r="H1510" i="18"/>
  <c r="H1511" i="18"/>
  <c r="H1512" i="18"/>
  <c r="H1513" i="18"/>
  <c r="H1514" i="18"/>
  <c r="H1515" i="18"/>
  <c r="H1516" i="18"/>
  <c r="H1517" i="18"/>
  <c r="H1518" i="18"/>
  <c r="H1519" i="18"/>
  <c r="H1520" i="18"/>
  <c r="H1521" i="18"/>
  <c r="H1522" i="18"/>
  <c r="H1523" i="18"/>
  <c r="H1524" i="18"/>
  <c r="H1525" i="18"/>
  <c r="H1526" i="18"/>
  <c r="H1527" i="18"/>
  <c r="H1528" i="18"/>
  <c r="H1529" i="18"/>
  <c r="H1530" i="18"/>
  <c r="H1531" i="18"/>
  <c r="H1532" i="18"/>
  <c r="H1533" i="18"/>
  <c r="H1534" i="18"/>
  <c r="H1535" i="18"/>
  <c r="H1536" i="18"/>
  <c r="H1537" i="18"/>
  <c r="H1538" i="18"/>
  <c r="H1539" i="18"/>
  <c r="H1540" i="18"/>
  <c r="H1541" i="18"/>
  <c r="H1542" i="18"/>
  <c r="H1543" i="18"/>
  <c r="H1544" i="18"/>
  <c r="H1545" i="18"/>
  <c r="H1546" i="18"/>
  <c r="H1547" i="18"/>
  <c r="H1548" i="18"/>
  <c r="H1549" i="18"/>
  <c r="H1550" i="18"/>
  <c r="H1551" i="18"/>
  <c r="H1552" i="18"/>
  <c r="H1553" i="18"/>
  <c r="H1554" i="18"/>
  <c r="H1555" i="18"/>
  <c r="H1556" i="18"/>
  <c r="H1557" i="18"/>
  <c r="H1558" i="18"/>
  <c r="H1559" i="18"/>
  <c r="H1560" i="18"/>
  <c r="H1561" i="18"/>
  <c r="H1562" i="18"/>
  <c r="H1563" i="18"/>
  <c r="H1564" i="18"/>
  <c r="H1565" i="18"/>
  <c r="H1566" i="18"/>
  <c r="H1567" i="18"/>
  <c r="H1568" i="18"/>
  <c r="H1569" i="18"/>
  <c r="H1570" i="18"/>
  <c r="H1571" i="18"/>
  <c r="H1572" i="18"/>
  <c r="H1573" i="18"/>
  <c r="H1574" i="18"/>
  <c r="H1575" i="18"/>
  <c r="H1576" i="18"/>
  <c r="H1577" i="18"/>
  <c r="H1578" i="18"/>
  <c r="H1579" i="18"/>
  <c r="H1580" i="18"/>
  <c r="H1581" i="18"/>
  <c r="H1582" i="18"/>
  <c r="H1583" i="18"/>
  <c r="H1584" i="18"/>
  <c r="H1585" i="18"/>
  <c r="H1586" i="18"/>
  <c r="H1587" i="18"/>
  <c r="H1588" i="18"/>
  <c r="H1589" i="18"/>
  <c r="H1590" i="18"/>
  <c r="H1591" i="18"/>
  <c r="H1592" i="18"/>
  <c r="H1593" i="18"/>
  <c r="H1594" i="18"/>
  <c r="H1595" i="18"/>
  <c r="H1596" i="18"/>
  <c r="H1597" i="18"/>
  <c r="H1598" i="18"/>
  <c r="H1599" i="18"/>
  <c r="H1600" i="18"/>
  <c r="H1601" i="18"/>
  <c r="H1602" i="18"/>
  <c r="H1603" i="18"/>
  <c r="H1604" i="18"/>
  <c r="H1605" i="18"/>
  <c r="H1606" i="18"/>
  <c r="H1607" i="18"/>
  <c r="H1608" i="18"/>
  <c r="H1609" i="18"/>
  <c r="H1610" i="18"/>
  <c r="H1611" i="18"/>
  <c r="H1612" i="18"/>
  <c r="H1613" i="18"/>
  <c r="H1614" i="18"/>
  <c r="H1615" i="18"/>
  <c r="H1616" i="18"/>
  <c r="H1617" i="18"/>
  <c r="H1618" i="18"/>
  <c r="H1619" i="18"/>
  <c r="H1620" i="18"/>
  <c r="H1621" i="18"/>
  <c r="H1622" i="18"/>
  <c r="H1623" i="18"/>
  <c r="H1624" i="18"/>
  <c r="H1625" i="18"/>
  <c r="H1626" i="18"/>
  <c r="H1627" i="18"/>
  <c r="H1628" i="18"/>
  <c r="H1629" i="18"/>
  <c r="H1630" i="18"/>
  <c r="H1631" i="18"/>
  <c r="H1632" i="18"/>
  <c r="H1633" i="18"/>
  <c r="H1634" i="18"/>
  <c r="H1635" i="18"/>
  <c r="H1636" i="18"/>
  <c r="H1637" i="18"/>
  <c r="H1638" i="18"/>
  <c r="H1639" i="18"/>
  <c r="H1640" i="18"/>
  <c r="H1641" i="18"/>
  <c r="H1642" i="18"/>
  <c r="H1643" i="18"/>
  <c r="H1644" i="18"/>
  <c r="H1645" i="18"/>
  <c r="H1646" i="18"/>
  <c r="H1647" i="18"/>
  <c r="H1648" i="18"/>
  <c r="H1649" i="18"/>
  <c r="H1650" i="18"/>
  <c r="H1651" i="18"/>
  <c r="H1652" i="18"/>
  <c r="H1653" i="18"/>
  <c r="H1654" i="18"/>
  <c r="H1655" i="18"/>
  <c r="H1656" i="18"/>
  <c r="H1657" i="18"/>
  <c r="H1658" i="18"/>
  <c r="H1659" i="18"/>
  <c r="H1660" i="18"/>
  <c r="H1661" i="18"/>
  <c r="H1662" i="18"/>
  <c r="H1663" i="18"/>
  <c r="H1664" i="18"/>
  <c r="H1665" i="18"/>
  <c r="H1666" i="18"/>
  <c r="H1667" i="18"/>
  <c r="H1668" i="18"/>
  <c r="H1669" i="18"/>
  <c r="H1670" i="18"/>
  <c r="H1671" i="18"/>
  <c r="H1672" i="18"/>
  <c r="H1673" i="18"/>
  <c r="H1674" i="18"/>
  <c r="H1675" i="18"/>
  <c r="H1676" i="18"/>
  <c r="H1677" i="18"/>
  <c r="H1678" i="18"/>
  <c r="H1679" i="18"/>
  <c r="H1680" i="18"/>
  <c r="H1681" i="18"/>
  <c r="H1682" i="18"/>
  <c r="H1683" i="18"/>
  <c r="H1684" i="18"/>
  <c r="H1685" i="18"/>
  <c r="H1686" i="18"/>
  <c r="H1687" i="18"/>
  <c r="H1688" i="18"/>
  <c r="H1689" i="18"/>
  <c r="H1690" i="18"/>
  <c r="H1691" i="18"/>
  <c r="H1692" i="18"/>
  <c r="H1693" i="18"/>
  <c r="H1694" i="18"/>
  <c r="H1695" i="18"/>
  <c r="H1696" i="18"/>
  <c r="H1697" i="18"/>
  <c r="H1698" i="18"/>
  <c r="H1699" i="18"/>
  <c r="H1700" i="18"/>
  <c r="H1701" i="18"/>
  <c r="H1702" i="18"/>
  <c r="H1703" i="18"/>
  <c r="H1704" i="18"/>
  <c r="H1705" i="18"/>
  <c r="H1706" i="18"/>
  <c r="H1707" i="18"/>
  <c r="H1708" i="18"/>
  <c r="H1709" i="18"/>
  <c r="H1710" i="18"/>
  <c r="H1711" i="18"/>
  <c r="H1712" i="18"/>
  <c r="H1713" i="18"/>
  <c r="H1714" i="18"/>
  <c r="H1715" i="18"/>
  <c r="H1716" i="18"/>
  <c r="H1717" i="18"/>
  <c r="H1718" i="18"/>
  <c r="H1719" i="18"/>
  <c r="H1720" i="18"/>
  <c r="H1721" i="18"/>
  <c r="H1722" i="18"/>
  <c r="H1723" i="18"/>
  <c r="H1724" i="18"/>
  <c r="H1725" i="18"/>
  <c r="H1726" i="18"/>
  <c r="H1727" i="18"/>
  <c r="H1728" i="18"/>
  <c r="H1729" i="18"/>
  <c r="H1730" i="18"/>
  <c r="H1731" i="18"/>
  <c r="H1732" i="18"/>
  <c r="H1733" i="18"/>
  <c r="H1734" i="18"/>
  <c r="H1735" i="18"/>
  <c r="H1736" i="18"/>
  <c r="H1737" i="18"/>
  <c r="H1738" i="18"/>
  <c r="H1739" i="18"/>
  <c r="H1740" i="18"/>
  <c r="H1741" i="18"/>
  <c r="H1742" i="18"/>
  <c r="H1743" i="18"/>
  <c r="H1744" i="18"/>
  <c r="H1745" i="18"/>
  <c r="H1746" i="18"/>
  <c r="H1747" i="18"/>
  <c r="H1748" i="18"/>
  <c r="H1749" i="18"/>
  <c r="H1750" i="18"/>
  <c r="H1751" i="18"/>
  <c r="H1752" i="18"/>
  <c r="H1753" i="18"/>
  <c r="H1754" i="18"/>
  <c r="H1755" i="18"/>
  <c r="H1756" i="18"/>
  <c r="H1757" i="18"/>
  <c r="H1758" i="18"/>
  <c r="H1759" i="18"/>
  <c r="H1760" i="18"/>
  <c r="H1761" i="18"/>
  <c r="H1762" i="18"/>
  <c r="H1763" i="18"/>
  <c r="H1764" i="18"/>
  <c r="H1765" i="18"/>
  <c r="H1766" i="18"/>
  <c r="H1767" i="18"/>
  <c r="H1768" i="18"/>
  <c r="H1769" i="18"/>
  <c r="H1770" i="18"/>
  <c r="H1771" i="18"/>
  <c r="H1772" i="18"/>
  <c r="H1773" i="18"/>
  <c r="H1774" i="18"/>
  <c r="H1775" i="18"/>
  <c r="H1776" i="18"/>
  <c r="H1777" i="18"/>
  <c r="H1778" i="18"/>
  <c r="H1779" i="18"/>
  <c r="H1780" i="18"/>
  <c r="H1781" i="18"/>
  <c r="H1782" i="18"/>
  <c r="H1783" i="18"/>
  <c r="H1784" i="18"/>
  <c r="H1785" i="18"/>
  <c r="H1786" i="18"/>
  <c r="H1787" i="18"/>
  <c r="H1788" i="18"/>
  <c r="H1789" i="18"/>
  <c r="H1790" i="18"/>
  <c r="H1791" i="18"/>
  <c r="H1792" i="18"/>
  <c r="H1793" i="18"/>
  <c r="H1794" i="18"/>
  <c r="H1795" i="18"/>
  <c r="H1796" i="18"/>
  <c r="H1797" i="18"/>
  <c r="H1798" i="18"/>
  <c r="H1799" i="18"/>
  <c r="H1800" i="18"/>
  <c r="H1801" i="18"/>
  <c r="H1802" i="18"/>
  <c r="H1803" i="18"/>
  <c r="H1804" i="18"/>
  <c r="H1805" i="18"/>
  <c r="H1806" i="18"/>
  <c r="H1807" i="18"/>
  <c r="H1808" i="18"/>
  <c r="H1809" i="18"/>
  <c r="H1810" i="18"/>
  <c r="H1811" i="18"/>
  <c r="H1812" i="18"/>
  <c r="H1813" i="18"/>
  <c r="H1814" i="18"/>
  <c r="H1815" i="18"/>
  <c r="H1816" i="18"/>
  <c r="H1817" i="18"/>
  <c r="H1818" i="18"/>
  <c r="H1819" i="18"/>
  <c r="H1820" i="18"/>
  <c r="H1821" i="18"/>
  <c r="H1822" i="18"/>
  <c r="H1823" i="18"/>
  <c r="H1824" i="18"/>
  <c r="H1825" i="18"/>
  <c r="H1826" i="18"/>
  <c r="H1827" i="18"/>
  <c r="H1828" i="18"/>
  <c r="H1829" i="18"/>
  <c r="H1830" i="18"/>
  <c r="H1831" i="18"/>
  <c r="H1832" i="18"/>
  <c r="H1833" i="18"/>
  <c r="H1834" i="18"/>
  <c r="H1835" i="18"/>
  <c r="H1836" i="18"/>
  <c r="H1837" i="18"/>
  <c r="H1838" i="18"/>
  <c r="H1839" i="18"/>
  <c r="H1840" i="18"/>
  <c r="H1841" i="18"/>
  <c r="H1842" i="18"/>
  <c r="H1843" i="18"/>
  <c r="H1844" i="18"/>
  <c r="H1845" i="18"/>
  <c r="H1846" i="18"/>
  <c r="H1847" i="18"/>
  <c r="H1848" i="18"/>
  <c r="H1849" i="18"/>
  <c r="H1850" i="18"/>
  <c r="H1851" i="18"/>
  <c r="H1852" i="18"/>
  <c r="H1853" i="18"/>
  <c r="H1854" i="18"/>
  <c r="H1855" i="18"/>
  <c r="H1856" i="18"/>
  <c r="H1857" i="18"/>
  <c r="H1858" i="18"/>
  <c r="H1859" i="18"/>
  <c r="H1860" i="18"/>
  <c r="H1861" i="18"/>
  <c r="H1862" i="18"/>
  <c r="H1863" i="18"/>
  <c r="H1864" i="18"/>
  <c r="H1865" i="18"/>
  <c r="H1866" i="18"/>
  <c r="H1867" i="18"/>
  <c r="H1868" i="18"/>
  <c r="H1869" i="18"/>
  <c r="H1870" i="18"/>
  <c r="H1871" i="18"/>
  <c r="H1872" i="18"/>
  <c r="H1873" i="18"/>
  <c r="H1874" i="18"/>
  <c r="H1875" i="18"/>
  <c r="H1876" i="18"/>
  <c r="H1877" i="18"/>
  <c r="H1878" i="18"/>
  <c r="H1879" i="18"/>
  <c r="H1880" i="18"/>
  <c r="H1881" i="18"/>
  <c r="H1882" i="18"/>
  <c r="H1883" i="18"/>
  <c r="H1884" i="18"/>
  <c r="H1885" i="18"/>
  <c r="H1886" i="18"/>
  <c r="H1887" i="18"/>
  <c r="H1888" i="18"/>
  <c r="H1889" i="18"/>
  <c r="H1890" i="18"/>
  <c r="H1891" i="18"/>
  <c r="H1892" i="18"/>
  <c r="H1893" i="18"/>
  <c r="H1894" i="18"/>
  <c r="H1895" i="18"/>
  <c r="H1896" i="18"/>
  <c r="H1897" i="18"/>
  <c r="H1898" i="18"/>
  <c r="H1899" i="18"/>
  <c r="H1900" i="18"/>
  <c r="H1901" i="18"/>
  <c r="H1902" i="18"/>
  <c r="H1903" i="18"/>
  <c r="H1904" i="18"/>
  <c r="H1905" i="18"/>
  <c r="H1906" i="18"/>
  <c r="H1907" i="18"/>
  <c r="H1908" i="18"/>
  <c r="H1909" i="18"/>
  <c r="H1910" i="18"/>
  <c r="H1911" i="18"/>
  <c r="H1912" i="18"/>
  <c r="H1913" i="18"/>
  <c r="H1914" i="18"/>
  <c r="H1915" i="18"/>
  <c r="H1916" i="18"/>
  <c r="H1917" i="18"/>
  <c r="H1918" i="18"/>
  <c r="H1919" i="18"/>
  <c r="H1920" i="18"/>
  <c r="H1921" i="18"/>
  <c r="H1922" i="18"/>
  <c r="H1923" i="18"/>
  <c r="H1924" i="18"/>
  <c r="H1925" i="18"/>
  <c r="H1926" i="18"/>
  <c r="H1927" i="18"/>
  <c r="H1928" i="18"/>
  <c r="H1929" i="18"/>
  <c r="H1930" i="18"/>
  <c r="H1931" i="18"/>
  <c r="H1932" i="18"/>
  <c r="H1933" i="18"/>
  <c r="H1934" i="18"/>
  <c r="H1935" i="18"/>
  <c r="H1936" i="18"/>
  <c r="H1937" i="18"/>
  <c r="H1938" i="18"/>
  <c r="H1939" i="18"/>
  <c r="H1940" i="18"/>
  <c r="H1941" i="18"/>
  <c r="H1942" i="18"/>
  <c r="H1943" i="18"/>
  <c r="H1944" i="18"/>
  <c r="H1945" i="18"/>
  <c r="H1946" i="18"/>
  <c r="H1947" i="18"/>
  <c r="H1948" i="18"/>
  <c r="H1949" i="18"/>
  <c r="H1950" i="18"/>
  <c r="H1951" i="18"/>
  <c r="H1952" i="18"/>
  <c r="H1953" i="18"/>
  <c r="H1954" i="18"/>
  <c r="H1955" i="18"/>
  <c r="H1956" i="18"/>
  <c r="H1957" i="18"/>
  <c r="H1958" i="18"/>
  <c r="H1959" i="18"/>
  <c r="H1960" i="18"/>
  <c r="H1961" i="18"/>
  <c r="H1962" i="18"/>
  <c r="H1963" i="18"/>
  <c r="H1964" i="18"/>
  <c r="H1965" i="18"/>
  <c r="H1966" i="18"/>
  <c r="H1967" i="18"/>
  <c r="H1968" i="18"/>
  <c r="H1969" i="18"/>
  <c r="H1970" i="18"/>
  <c r="H1971" i="18"/>
  <c r="H1972" i="18"/>
  <c r="H1973" i="18"/>
  <c r="H1974" i="18"/>
  <c r="H1975" i="18"/>
  <c r="H1976" i="18"/>
  <c r="H1977" i="18"/>
  <c r="H1978" i="18"/>
  <c r="H1979" i="18"/>
  <c r="H1980" i="18"/>
  <c r="H1981" i="18"/>
  <c r="H1982" i="18"/>
  <c r="H1983" i="18"/>
  <c r="H1984" i="18"/>
  <c r="H1985" i="18"/>
  <c r="H1986" i="18"/>
  <c r="H1987" i="18"/>
  <c r="H1988" i="18"/>
  <c r="H1989" i="18"/>
  <c r="H1990" i="18"/>
  <c r="H1991" i="18"/>
  <c r="H1992" i="18"/>
  <c r="H1993" i="18"/>
  <c r="H1994" i="18"/>
  <c r="H1995" i="18"/>
  <c r="H1996" i="18"/>
  <c r="H1997" i="18"/>
  <c r="H1998" i="18"/>
  <c r="H1999" i="18"/>
  <c r="H2000" i="18"/>
  <c r="H2001" i="18"/>
  <c r="H2002" i="18"/>
  <c r="H2003" i="18"/>
  <c r="H2004" i="18"/>
  <c r="H2005" i="18"/>
  <c r="H2006" i="18"/>
  <c r="H2007" i="18"/>
  <c r="H2008" i="18"/>
  <c r="H2009" i="18"/>
  <c r="H2010" i="18"/>
  <c r="H2011" i="18"/>
  <c r="H2012" i="18"/>
  <c r="H2013" i="18"/>
  <c r="H2014" i="18"/>
  <c r="H2017" i="18"/>
  <c r="H2018" i="18"/>
  <c r="H2019" i="18"/>
  <c r="H2020" i="18"/>
  <c r="H2021" i="18"/>
  <c r="H2022" i="18"/>
  <c r="H2023" i="18"/>
  <c r="H2024" i="18"/>
  <c r="H2025" i="18"/>
  <c r="H2026" i="18"/>
  <c r="H2027" i="18"/>
  <c r="H2028" i="18"/>
  <c r="H2029" i="18"/>
  <c r="H2030" i="18"/>
  <c r="H2031" i="18"/>
  <c r="H2032" i="18"/>
  <c r="H2033" i="18"/>
  <c r="H2034" i="18"/>
  <c r="H2035" i="18"/>
  <c r="H2036" i="18"/>
  <c r="H2037" i="18"/>
  <c r="H2038" i="18"/>
  <c r="H2039" i="18"/>
  <c r="H2040" i="18"/>
  <c r="H2041" i="18"/>
  <c r="H2042" i="18"/>
  <c r="H2043" i="18"/>
  <c r="H2044" i="18"/>
  <c r="H2045" i="18"/>
  <c r="H2046" i="18"/>
  <c r="H2047" i="18"/>
  <c r="H2048" i="18"/>
  <c r="H2049" i="18"/>
  <c r="H2050" i="18"/>
  <c r="H2051" i="18"/>
  <c r="H2052" i="18"/>
  <c r="H2053" i="18"/>
  <c r="H2054" i="18"/>
  <c r="H2055" i="18"/>
  <c r="H2056" i="18"/>
  <c r="H2057" i="18"/>
  <c r="H2058" i="18"/>
  <c r="H2059" i="18"/>
  <c r="H2060" i="18"/>
  <c r="H2061" i="18"/>
  <c r="H2062" i="18"/>
  <c r="H2063" i="18"/>
  <c r="H2064" i="18"/>
  <c r="H2065" i="18"/>
  <c r="H2066" i="18"/>
  <c r="H2067" i="18"/>
  <c r="H2068" i="18"/>
  <c r="H2069" i="18"/>
  <c r="H2070" i="18"/>
  <c r="H2071" i="18"/>
  <c r="H2072" i="18"/>
  <c r="H2073" i="18"/>
  <c r="H2074" i="18"/>
  <c r="H2075" i="18"/>
  <c r="H2076" i="18"/>
  <c r="H2077" i="18"/>
  <c r="H2078" i="18"/>
  <c r="H2079" i="18"/>
  <c r="H2080" i="18"/>
  <c r="H2081" i="18"/>
  <c r="H2082" i="18"/>
  <c r="H2083" i="18"/>
  <c r="H2084" i="18"/>
  <c r="H2085" i="18"/>
  <c r="H2086" i="18"/>
  <c r="H2087" i="18"/>
  <c r="H2088" i="18"/>
  <c r="H2089" i="18"/>
  <c r="H2090" i="18"/>
  <c r="H2091" i="18"/>
  <c r="H2092" i="18"/>
  <c r="H2093" i="18"/>
  <c r="H2094" i="18"/>
  <c r="H2095" i="18"/>
  <c r="H2096" i="18"/>
  <c r="H2097" i="18"/>
  <c r="H2098" i="18"/>
  <c r="H2099" i="18"/>
  <c r="H2100" i="18"/>
  <c r="H2101" i="18"/>
  <c r="H2102" i="18"/>
  <c r="H2103" i="18"/>
  <c r="H2104" i="18"/>
  <c r="H2105" i="18"/>
  <c r="H2106" i="18"/>
  <c r="H2107" i="18"/>
  <c r="H2108" i="18"/>
  <c r="H2109" i="18"/>
  <c r="H2110" i="18"/>
  <c r="H2111" i="18"/>
  <c r="H2112" i="18"/>
  <c r="H2113" i="18"/>
  <c r="H2114" i="18"/>
  <c r="H2115" i="18"/>
  <c r="H2116" i="18"/>
  <c r="H2117" i="18"/>
  <c r="H2118" i="18"/>
  <c r="H2119" i="18"/>
  <c r="H2120" i="18"/>
  <c r="H2121" i="18"/>
  <c r="H2122" i="18"/>
  <c r="H2123" i="18"/>
  <c r="H2124" i="18"/>
  <c r="H2125" i="18"/>
  <c r="H2126" i="18"/>
  <c r="H2127" i="18"/>
  <c r="H2128" i="18"/>
  <c r="H2129" i="18"/>
  <c r="H2130" i="18"/>
  <c r="H2131" i="18"/>
  <c r="H2132" i="18"/>
  <c r="H2133" i="18"/>
  <c r="H2134" i="18"/>
  <c r="H2135" i="18"/>
  <c r="H2136" i="18"/>
  <c r="H2137" i="18"/>
  <c r="H2138" i="18"/>
  <c r="H2139" i="18"/>
  <c r="H2140" i="18"/>
  <c r="H2141" i="18"/>
  <c r="H2142" i="18"/>
  <c r="H2143" i="18"/>
  <c r="H2144" i="18"/>
  <c r="H2145" i="18"/>
  <c r="H2146" i="18"/>
  <c r="H2147" i="18"/>
  <c r="H2148" i="18"/>
  <c r="H2149" i="18"/>
  <c r="H2150" i="18"/>
  <c r="H2151" i="18"/>
  <c r="H2152" i="18"/>
  <c r="H2153" i="18"/>
  <c r="H2154" i="18"/>
  <c r="H2155" i="18"/>
  <c r="H2156" i="18"/>
  <c r="H2157" i="18"/>
  <c r="H2158" i="18"/>
  <c r="H2159" i="18"/>
  <c r="H2160" i="18"/>
  <c r="H2161" i="18"/>
  <c r="H2162" i="18"/>
  <c r="H2163" i="18"/>
  <c r="H2164" i="18"/>
  <c r="H2165" i="18"/>
  <c r="H2166" i="18"/>
  <c r="H2167" i="18"/>
  <c r="H2168" i="18"/>
  <c r="H2169" i="18"/>
  <c r="H2170" i="18"/>
  <c r="H2171" i="18"/>
  <c r="H2172" i="18"/>
  <c r="H2173" i="18"/>
  <c r="H2174" i="18"/>
  <c r="H2175" i="18"/>
  <c r="H2176" i="18"/>
  <c r="H2177" i="18"/>
  <c r="H2178" i="18"/>
  <c r="H2179" i="18"/>
  <c r="H2180" i="18"/>
  <c r="H2181" i="18"/>
  <c r="H2182" i="18"/>
  <c r="H2183" i="18"/>
  <c r="H2184" i="18"/>
  <c r="H2185" i="18"/>
  <c r="H2186" i="18"/>
  <c r="H2187" i="18"/>
  <c r="H2188" i="18"/>
  <c r="H2189" i="18"/>
  <c r="H2190" i="18"/>
  <c r="H2191" i="18"/>
  <c r="H2192" i="18"/>
  <c r="H2193" i="18"/>
  <c r="H2194" i="18"/>
  <c r="H2195" i="18"/>
  <c r="H2196" i="18"/>
  <c r="H2197" i="18"/>
  <c r="H2198" i="18"/>
  <c r="H2199" i="18"/>
  <c r="H2200" i="18"/>
  <c r="H2201" i="18"/>
  <c r="H2202" i="18"/>
  <c r="H2203" i="18"/>
  <c r="H2204" i="18"/>
  <c r="H2205" i="18"/>
  <c r="H2206" i="18"/>
  <c r="H2207" i="18"/>
  <c r="H2208" i="18"/>
  <c r="H2209" i="18"/>
  <c r="H2210" i="18"/>
  <c r="H2211" i="18"/>
  <c r="H2212" i="18"/>
  <c r="H2213" i="18"/>
  <c r="H2214" i="18"/>
  <c r="H2215" i="18"/>
  <c r="H2216" i="18"/>
  <c r="H2217" i="18"/>
  <c r="H2218" i="18"/>
  <c r="H2219" i="18"/>
  <c r="H2220" i="18"/>
  <c r="H2221" i="18"/>
  <c r="H2222" i="18"/>
  <c r="H2223" i="18"/>
  <c r="H2224" i="18"/>
  <c r="H2225" i="18"/>
  <c r="H2226" i="18"/>
  <c r="H2227" i="18"/>
  <c r="H2228" i="18"/>
  <c r="H2229" i="18"/>
  <c r="H2230" i="18"/>
  <c r="H2231" i="18"/>
  <c r="H2232" i="18"/>
  <c r="H2233" i="18"/>
  <c r="H2234" i="18"/>
  <c r="H2235" i="18"/>
  <c r="H2236" i="18"/>
  <c r="H2237" i="18"/>
  <c r="H2238" i="18"/>
  <c r="H2239" i="18"/>
  <c r="H2240" i="18"/>
  <c r="H2241" i="18"/>
  <c r="H2242" i="18"/>
  <c r="H2243" i="18"/>
  <c r="H2244" i="18"/>
  <c r="H2245" i="18"/>
  <c r="H2246" i="18"/>
  <c r="H2247" i="18"/>
  <c r="H2248" i="18"/>
  <c r="H2249" i="18"/>
  <c r="H2250" i="18"/>
  <c r="H2251" i="18"/>
  <c r="H2252" i="18"/>
  <c r="H2253" i="18"/>
  <c r="H2254" i="18"/>
  <c r="H2255" i="18"/>
  <c r="H2256" i="18"/>
  <c r="H2257" i="18"/>
  <c r="H2258" i="18"/>
  <c r="H2259" i="18"/>
  <c r="H2260" i="18"/>
  <c r="H2261" i="18"/>
  <c r="H2262" i="18"/>
  <c r="H2263" i="18"/>
  <c r="H2264" i="18"/>
  <c r="H2265" i="18"/>
  <c r="H2266" i="18"/>
  <c r="H2267" i="18"/>
  <c r="H2268" i="18"/>
  <c r="H2269" i="18"/>
  <c r="H2270" i="18"/>
  <c r="H2271" i="18"/>
  <c r="H2272" i="18"/>
  <c r="H2273" i="18"/>
  <c r="H2274" i="18"/>
  <c r="H2275" i="18"/>
  <c r="H2276" i="18"/>
  <c r="H2277" i="18"/>
  <c r="H2278" i="18"/>
  <c r="H2279" i="18"/>
  <c r="H2280" i="18"/>
  <c r="H2281" i="18"/>
  <c r="H2282" i="18"/>
  <c r="H2283" i="18"/>
  <c r="H2284" i="18"/>
  <c r="H2285" i="18"/>
  <c r="H2286" i="18"/>
  <c r="H2287" i="18"/>
  <c r="H2288" i="18"/>
  <c r="H2289" i="18"/>
  <c r="H2290" i="18"/>
  <c r="H2291" i="18"/>
  <c r="H2292" i="18"/>
  <c r="H2293" i="18"/>
  <c r="H2294" i="18"/>
  <c r="H2295" i="18"/>
  <c r="H2296" i="18"/>
  <c r="H2297" i="18"/>
  <c r="H2298" i="18"/>
  <c r="H2299" i="18"/>
  <c r="H2300" i="18"/>
  <c r="H2301" i="18"/>
  <c r="H2302" i="18"/>
  <c r="H2303" i="18"/>
  <c r="H2304" i="18"/>
  <c r="H2305" i="18"/>
  <c r="H2306" i="18"/>
  <c r="H2307" i="18"/>
  <c r="H2308" i="18"/>
  <c r="H2309" i="18"/>
  <c r="H2310" i="18"/>
  <c r="H2311" i="18"/>
  <c r="H2312" i="18"/>
  <c r="H2313" i="18"/>
  <c r="H2314" i="18"/>
  <c r="H2315" i="18"/>
  <c r="H2316" i="18"/>
  <c r="H2317" i="18"/>
  <c r="H2318" i="18"/>
  <c r="H2319" i="18"/>
  <c r="H2320" i="18"/>
  <c r="H2321" i="18"/>
  <c r="H2322" i="18"/>
  <c r="H2323" i="18"/>
  <c r="H2324" i="18"/>
  <c r="H2325" i="18"/>
  <c r="H2326" i="18"/>
  <c r="H2342" i="18"/>
  <c r="H2343" i="18"/>
  <c r="H2344" i="18"/>
  <c r="H2345" i="18"/>
  <c r="H2346" i="18"/>
  <c r="H2347" i="18"/>
  <c r="H2348" i="18"/>
  <c r="H2349" i="18"/>
  <c r="H2350" i="18"/>
  <c r="H2351" i="18"/>
  <c r="H2352" i="18"/>
  <c r="H2353" i="18"/>
  <c r="H2354" i="18"/>
  <c r="H2355" i="18"/>
  <c r="H2356" i="18"/>
  <c r="H2357" i="18"/>
  <c r="H2358" i="18"/>
  <c r="H2359" i="18"/>
  <c r="H2360" i="18"/>
  <c r="H2361" i="18"/>
  <c r="H2362" i="18"/>
  <c r="H2363" i="18"/>
  <c r="H2364" i="18"/>
  <c r="H2365" i="18"/>
  <c r="H2366" i="18"/>
  <c r="H2367" i="18"/>
  <c r="H2368" i="18"/>
  <c r="H2369" i="18"/>
  <c r="H2370" i="18"/>
  <c r="H2371" i="18"/>
  <c r="H2372" i="18"/>
  <c r="H2373" i="18"/>
  <c r="H2374" i="18"/>
  <c r="H2375" i="18"/>
  <c r="H2376" i="18"/>
  <c r="H2377" i="18"/>
  <c r="H2378" i="18"/>
  <c r="H2379" i="18"/>
  <c r="H2380" i="18"/>
  <c r="H2381" i="18"/>
  <c r="H2382" i="18"/>
  <c r="H2383" i="18"/>
  <c r="H2384" i="18"/>
  <c r="H2385" i="18"/>
  <c r="H2386" i="18"/>
  <c r="H2387" i="18"/>
  <c r="H2388" i="18"/>
  <c r="H2389" i="18"/>
  <c r="H2390" i="18"/>
  <c r="H2391" i="18"/>
  <c r="H2392" i="18"/>
  <c r="H2393" i="18"/>
  <c r="H2394" i="18"/>
  <c r="H2395" i="18"/>
  <c r="H2396" i="18"/>
  <c r="H2397" i="18"/>
  <c r="H2398" i="18"/>
  <c r="H2399" i="18"/>
  <c r="H2400" i="18"/>
  <c r="H2401" i="18"/>
  <c r="H2402" i="18"/>
  <c r="H2403" i="18"/>
  <c r="H2404" i="18"/>
  <c r="H2405" i="18"/>
  <c r="H2406" i="18"/>
  <c r="H2407" i="18"/>
  <c r="H2408" i="18"/>
  <c r="H2409" i="18"/>
  <c r="H2410" i="18"/>
  <c r="H2411" i="18"/>
  <c r="H2412" i="18"/>
  <c r="H2413" i="18"/>
  <c r="H2414" i="18"/>
  <c r="H2415" i="18"/>
  <c r="H2416" i="18"/>
  <c r="H2417" i="18"/>
  <c r="H2418" i="18"/>
  <c r="H2419" i="18"/>
  <c r="H2420" i="18"/>
  <c r="H2421" i="18"/>
  <c r="H2422" i="18"/>
  <c r="H2423" i="18"/>
  <c r="H2424" i="18"/>
  <c r="H2425" i="18"/>
  <c r="H2426" i="18"/>
  <c r="H2427" i="18"/>
  <c r="H2428" i="18"/>
  <c r="H2429" i="18"/>
  <c r="H2430" i="18"/>
  <c r="H2431" i="18"/>
  <c r="H2432" i="18"/>
  <c r="H2433" i="18"/>
  <c r="H2434" i="18"/>
  <c r="H2435" i="18"/>
  <c r="H2436" i="18"/>
  <c r="H2437" i="18"/>
  <c r="H2438" i="18"/>
  <c r="H2439" i="18"/>
  <c r="H2440" i="18"/>
  <c r="H2441" i="18"/>
  <c r="H2442" i="18"/>
  <c r="H2443" i="18"/>
  <c r="H2444" i="18"/>
  <c r="H2445" i="18"/>
  <c r="H2446" i="18"/>
  <c r="H2447" i="18"/>
  <c r="H2448" i="18"/>
  <c r="H2449" i="18"/>
  <c r="H2450" i="18"/>
  <c r="H2451" i="18"/>
  <c r="H2452" i="18"/>
  <c r="H2453" i="18"/>
  <c r="H2454" i="18"/>
  <c r="H2455" i="18"/>
  <c r="H2456" i="18"/>
  <c r="H2457" i="18"/>
  <c r="H2458" i="18"/>
  <c r="H2459" i="18"/>
  <c r="H2460" i="18"/>
  <c r="H2461" i="18"/>
  <c r="H2462" i="18"/>
  <c r="H2463" i="18"/>
  <c r="H2464" i="18"/>
  <c r="H2465" i="18"/>
  <c r="H2466" i="18"/>
  <c r="H2467" i="18"/>
  <c r="H2468" i="18"/>
  <c r="H2469" i="18"/>
  <c r="H2470" i="18"/>
  <c r="H2471" i="18"/>
  <c r="H2472" i="18"/>
  <c r="H2473" i="18"/>
  <c r="H2474" i="18"/>
  <c r="H2475" i="18"/>
  <c r="H2476" i="18"/>
  <c r="H2477" i="18"/>
  <c r="H2478" i="18"/>
  <c r="H2479" i="18"/>
  <c r="H2480" i="18"/>
  <c r="H2481" i="18"/>
  <c r="H2482" i="18"/>
  <c r="H2483" i="18"/>
  <c r="H2484" i="18"/>
  <c r="H2485" i="18"/>
  <c r="H2486" i="18"/>
  <c r="H2487" i="18"/>
  <c r="H2488" i="18"/>
  <c r="H2489" i="18"/>
  <c r="H2490" i="18"/>
  <c r="H2491" i="18"/>
  <c r="H2492" i="18"/>
  <c r="H2493" i="18"/>
  <c r="H2494" i="18"/>
  <c r="H2495" i="18"/>
  <c r="H2496" i="18"/>
  <c r="H2497" i="18"/>
  <c r="H2498" i="18"/>
  <c r="H2499" i="18"/>
  <c r="H2500" i="18"/>
  <c r="H2501" i="18"/>
  <c r="H2502" i="18"/>
  <c r="H2503" i="18"/>
  <c r="H2504" i="18"/>
  <c r="H2505" i="18"/>
  <c r="H2506" i="18"/>
  <c r="H2507" i="18"/>
  <c r="H2508" i="18"/>
  <c r="H2509" i="18"/>
  <c r="H2510" i="18"/>
  <c r="H2511" i="18"/>
  <c r="H2512" i="18"/>
  <c r="H2513" i="18"/>
  <c r="H2514" i="18"/>
  <c r="H2515" i="18"/>
  <c r="H2516" i="18"/>
  <c r="H2517" i="18"/>
  <c r="H2518" i="18"/>
  <c r="H2519" i="18"/>
  <c r="H2520" i="18"/>
  <c r="H2521" i="18"/>
  <c r="H2522" i="18"/>
  <c r="H2523" i="18"/>
  <c r="H2524" i="18"/>
  <c r="H2525" i="18"/>
  <c r="H2526" i="18"/>
  <c r="H2527" i="18"/>
  <c r="H2532" i="18"/>
  <c r="H2533" i="18"/>
  <c r="H2534" i="18"/>
  <c r="H2535" i="18"/>
  <c r="H2536" i="18"/>
  <c r="H2537" i="18"/>
  <c r="H2538" i="18"/>
  <c r="H2539" i="18"/>
  <c r="H2540" i="18"/>
  <c r="H2541" i="18"/>
  <c r="H2542" i="18"/>
  <c r="H2543" i="18"/>
  <c r="H2544" i="18"/>
  <c r="H2545" i="18"/>
  <c r="H2546" i="18"/>
  <c r="H2547" i="18"/>
  <c r="H2548" i="18"/>
  <c r="H2549" i="18"/>
  <c r="H2550" i="18"/>
  <c r="H2551" i="18"/>
  <c r="H2552" i="18"/>
  <c r="H2553" i="18"/>
  <c r="H2554" i="18"/>
  <c r="H2555" i="18"/>
  <c r="H2556" i="18"/>
  <c r="H2557" i="18"/>
  <c r="H2558" i="18"/>
  <c r="H2559" i="18"/>
  <c r="H2560" i="18"/>
  <c r="H2561" i="18"/>
  <c r="H2562" i="18"/>
  <c r="H2563" i="18"/>
  <c r="H2564" i="18"/>
  <c r="H2565" i="18"/>
  <c r="H2566" i="18"/>
  <c r="H2567" i="18"/>
  <c r="H2568" i="18"/>
  <c r="H2569" i="18"/>
  <c r="H2570" i="18"/>
  <c r="H2571" i="18"/>
  <c r="H2572" i="18"/>
  <c r="H2573" i="18"/>
  <c r="H2574" i="18"/>
  <c r="H2575" i="18"/>
  <c r="H2576" i="18"/>
  <c r="H2577" i="18"/>
  <c r="H2578" i="18"/>
  <c r="H2579" i="18"/>
  <c r="H2580" i="18"/>
  <c r="H2581" i="18"/>
  <c r="H2582" i="18"/>
  <c r="H2583" i="18"/>
  <c r="H2584" i="18"/>
  <c r="H2585" i="18"/>
  <c r="H2586" i="18"/>
  <c r="H2587" i="18"/>
  <c r="H2588" i="18"/>
  <c r="H2589" i="18"/>
  <c r="H2590" i="18"/>
  <c r="H2591" i="18"/>
  <c r="H2592" i="18"/>
  <c r="H2593" i="18"/>
  <c r="H2594" i="18"/>
  <c r="H2595" i="18"/>
  <c r="H2596" i="18"/>
  <c r="H2597" i="18"/>
  <c r="H2598" i="18"/>
  <c r="H2599" i="18"/>
  <c r="H2600" i="18"/>
  <c r="H2601" i="18"/>
  <c r="H2602" i="18"/>
  <c r="H2603" i="18"/>
  <c r="H2604" i="18"/>
  <c r="H2605" i="18"/>
  <c r="H2606" i="18"/>
  <c r="H2607" i="18"/>
  <c r="H2608" i="18"/>
  <c r="H2609" i="18"/>
  <c r="H2610" i="18"/>
  <c r="H2611" i="18"/>
  <c r="H2612" i="18"/>
  <c r="H2613" i="18"/>
  <c r="H2614" i="18"/>
  <c r="H2615" i="18"/>
  <c r="H2616" i="18"/>
  <c r="H2617" i="18"/>
  <c r="H2618" i="18"/>
  <c r="H2619" i="18"/>
  <c r="H2620" i="18"/>
  <c r="H2621" i="18"/>
  <c r="H2622" i="18"/>
  <c r="H2623" i="18"/>
  <c r="H2624" i="18"/>
  <c r="H2625" i="18"/>
  <c r="H2626" i="18"/>
  <c r="H2627" i="18"/>
  <c r="H2628" i="18"/>
  <c r="H2629" i="18"/>
  <c r="H2630" i="18"/>
  <c r="H2631" i="18"/>
  <c r="H2632" i="18"/>
  <c r="H2633" i="18"/>
  <c r="H2634" i="18"/>
  <c r="H2635" i="18"/>
  <c r="H2636" i="18"/>
  <c r="H2637" i="18"/>
  <c r="H2638" i="18"/>
  <c r="H2639" i="18"/>
  <c r="H2640" i="18"/>
  <c r="H2641" i="18"/>
  <c r="H2642" i="18"/>
  <c r="H2643" i="18"/>
  <c r="H2644" i="18"/>
  <c r="H2645" i="18"/>
  <c r="H2646" i="18"/>
  <c r="H2647" i="18"/>
  <c r="H2648" i="18"/>
  <c r="H2649" i="18"/>
  <c r="H2650" i="18"/>
  <c r="H2651" i="18"/>
  <c r="H2652" i="18"/>
  <c r="H2653" i="18"/>
  <c r="H2654" i="18"/>
  <c r="H2655" i="18"/>
  <c r="H2658" i="18"/>
  <c r="H2659" i="18"/>
  <c r="H2660" i="18"/>
  <c r="H2661" i="18"/>
  <c r="H2662" i="18"/>
  <c r="H2663" i="18"/>
  <c r="H2664" i="18"/>
  <c r="H2665" i="18"/>
  <c r="H2666" i="18"/>
  <c r="H2667" i="18"/>
  <c r="H2668" i="18"/>
  <c r="H2669" i="18"/>
  <c r="H2670" i="18"/>
  <c r="H2671" i="18"/>
  <c r="H2672" i="18"/>
  <c r="H2673" i="18"/>
  <c r="H2674" i="18"/>
  <c r="H2675" i="18"/>
  <c r="H2676" i="18"/>
  <c r="H2677" i="18"/>
  <c r="H2678" i="18"/>
  <c r="H2679" i="18"/>
  <c r="H2680" i="18"/>
  <c r="H2681" i="18"/>
  <c r="H2682" i="18"/>
  <c r="H2683" i="18"/>
  <c r="H2684" i="18"/>
  <c r="H2685" i="18"/>
  <c r="H2686" i="18"/>
  <c r="H2687" i="18"/>
  <c r="H2688" i="18"/>
  <c r="H2954" i="18"/>
  <c r="H3707" i="18"/>
  <c r="H3719" i="18"/>
  <c r="H3662" i="18"/>
  <c r="H3663" i="18"/>
  <c r="H3664" i="18"/>
  <c r="H3665" i="18"/>
  <c r="H3666" i="18"/>
  <c r="H3667" i="18"/>
  <c r="H3670" i="18"/>
  <c r="H3671" i="18"/>
  <c r="H3672" i="18"/>
  <c r="H3673" i="18"/>
  <c r="H3674" i="18"/>
  <c r="H3675" i="18"/>
  <c r="H3676" i="18"/>
  <c r="H3677" i="18"/>
  <c r="H3678" i="18"/>
  <c r="H3679" i="18"/>
  <c r="H3722" i="18"/>
  <c r="H3723" i="18"/>
  <c r="H3724" i="18"/>
  <c r="H3725" i="18"/>
  <c r="H3726" i="18"/>
  <c r="H3727" i="18"/>
  <c r="H3728" i="18"/>
  <c r="H3729" i="18"/>
  <c r="H3730" i="18"/>
  <c r="H3731" i="18"/>
  <c r="H3732" i="18"/>
  <c r="H3733" i="18"/>
  <c r="H3734" i="18"/>
  <c r="H3735" i="18"/>
  <c r="H3736" i="18"/>
  <c r="H3737" i="18"/>
  <c r="H3738" i="18"/>
  <c r="H3739" i="18"/>
  <c r="H3740" i="18"/>
  <c r="H3741" i="18"/>
  <c r="H3742" i="18"/>
  <c r="H3743" i="18"/>
  <c r="H3744" i="18"/>
  <c r="H3745" i="18"/>
  <c r="H3746" i="18"/>
  <c r="H3747" i="18"/>
  <c r="H3748" i="18"/>
  <c r="H3749" i="18"/>
  <c r="H33" i="18"/>
  <c r="H34" i="18"/>
  <c r="H35" i="18"/>
  <c r="H36" i="18"/>
  <c r="H37" i="18"/>
  <c r="H69" i="18"/>
  <c r="H70" i="18"/>
  <c r="H71" i="18"/>
  <c r="H72" i="18"/>
  <c r="H73" i="18"/>
  <c r="H75" i="18"/>
  <c r="H76" i="18"/>
  <c r="H77" i="18"/>
  <c r="H78" i="18"/>
  <c r="H79" i="18"/>
  <c r="H80" i="18"/>
  <c r="H81" i="18"/>
  <c r="H82" i="18"/>
  <c r="H83" i="18"/>
  <c r="H84" i="18"/>
  <c r="H85" i="18"/>
  <c r="H86" i="18"/>
  <c r="H87" i="18"/>
  <c r="H88" i="18"/>
  <c r="H89" i="18"/>
  <c r="H90" i="18"/>
  <c r="H91" i="18"/>
  <c r="H92" i="18"/>
  <c r="H93" i="18"/>
  <c r="H94" i="18"/>
  <c r="H95" i="18"/>
  <c r="H96" i="18"/>
  <c r="H97" i="18"/>
  <c r="H98" i="18"/>
  <c r="H99" i="18"/>
  <c r="H100" i="18"/>
  <c r="H101" i="18"/>
  <c r="H102" i="18"/>
  <c r="H103" i="18"/>
  <c r="H104" i="18"/>
  <c r="H105" i="18"/>
  <c r="H106" i="18"/>
  <c r="H107" i="18"/>
  <c r="H108" i="18"/>
  <c r="H109" i="18"/>
  <c r="H110" i="18"/>
  <c r="H111" i="18"/>
  <c r="H112" i="18"/>
  <c r="H113" i="18"/>
  <c r="H115" i="18"/>
  <c r="H116" i="18"/>
  <c r="H117" i="18"/>
  <c r="H118" i="18"/>
  <c r="H119" i="18"/>
  <c r="H120" i="18"/>
  <c r="H152" i="18"/>
  <c r="H153" i="18"/>
  <c r="H154" i="18"/>
  <c r="H155" i="18"/>
  <c r="H157" i="18"/>
  <c r="H158" i="18"/>
  <c r="H159" i="18"/>
  <c r="H160" i="18"/>
  <c r="H161" i="18"/>
  <c r="H162" i="18"/>
  <c r="H163" i="18"/>
  <c r="H164" i="18"/>
  <c r="H165" i="18"/>
  <c r="H166" i="18"/>
  <c r="H167" i="18"/>
  <c r="H168" i="18"/>
  <c r="H169" i="18"/>
  <c r="H170" i="18"/>
  <c r="H171" i="18"/>
  <c r="H172" i="18"/>
  <c r="H173" i="18"/>
  <c r="H174" i="18"/>
  <c r="H175" i="18"/>
  <c r="H517" i="18"/>
  <c r="H518" i="18"/>
  <c r="H550" i="18"/>
  <c r="H551" i="18"/>
  <c r="H583" i="18"/>
  <c r="H584" i="18"/>
  <c r="H616" i="18"/>
  <c r="H617" i="18"/>
  <c r="H680" i="18"/>
  <c r="H681" i="18"/>
  <c r="H2327" i="18"/>
  <c r="H2328" i="18"/>
  <c r="H2329" i="18"/>
  <c r="H2330" i="18"/>
  <c r="H2331" i="18"/>
  <c r="H2332" i="18"/>
  <c r="H2333" i="18"/>
  <c r="H2334" i="18"/>
  <c r="H2335" i="18"/>
  <c r="H2336" i="18"/>
  <c r="H2337" i="18"/>
  <c r="H2656" i="18"/>
  <c r="H2657" i="18"/>
  <c r="H2741" i="18"/>
  <c r="H2742" i="18"/>
  <c r="H2743" i="18"/>
  <c r="H3116" i="18"/>
  <c r="H3117" i="18"/>
  <c r="H3118" i="18"/>
  <c r="H3119" i="18"/>
  <c r="H3120" i="18"/>
  <c r="H3125" i="18"/>
  <c r="H3126" i="18"/>
  <c r="H3127" i="18"/>
  <c r="H3128" i="18"/>
  <c r="H3129" i="18"/>
  <c r="H3130" i="18"/>
  <c r="H3131" i="18"/>
  <c r="H3132" i="18"/>
  <c r="H3133" i="18"/>
  <c r="H3134" i="18"/>
  <c r="H3135" i="18"/>
  <c r="H3136" i="18"/>
  <c r="H3138" i="18"/>
  <c r="H3139" i="18"/>
  <c r="H3140" i="18"/>
  <c r="H3141" i="18"/>
  <c r="H3142" i="18"/>
  <c r="H3143" i="18"/>
  <c r="H3144" i="18"/>
  <c r="H3145" i="18"/>
  <c r="H3146" i="18"/>
  <c r="H3147" i="18"/>
  <c r="H3148" i="18"/>
  <c r="H3149" i="18"/>
  <c r="H3150" i="18"/>
  <c r="H3151" i="18"/>
  <c r="H3152" i="18"/>
  <c r="H3154" i="18"/>
  <c r="H3155" i="18"/>
  <c r="H3156" i="18"/>
  <c r="H3157" i="18"/>
  <c r="H3158" i="18"/>
  <c r="H3159" i="18"/>
  <c r="H3160" i="18"/>
  <c r="H3161" i="18"/>
  <c r="H3162" i="18"/>
  <c r="H3163" i="18"/>
  <c r="H3164" i="18"/>
  <c r="H3165" i="18"/>
  <c r="H3166" i="18"/>
  <c r="H3167" i="18"/>
  <c r="H3168" i="18"/>
  <c r="H3170" i="18"/>
  <c r="H3171" i="18"/>
  <c r="H3172" i="18"/>
  <c r="H3173" i="18"/>
  <c r="H3174" i="18"/>
  <c r="H3175" i="18"/>
  <c r="H3176" i="18"/>
  <c r="H3177" i="18"/>
  <c r="H3178" i="18"/>
  <c r="H3179" i="18"/>
  <c r="H3180" i="18"/>
  <c r="H3181" i="18"/>
  <c r="H3182" i="18"/>
  <c r="H3183" i="18"/>
  <c r="H3184" i="18"/>
  <c r="H3185" i="18"/>
  <c r="H3186" i="18"/>
  <c r="H3187" i="18"/>
  <c r="H3188" i="18"/>
  <c r="H3189" i="18"/>
  <c r="H3190" i="18"/>
  <c r="H3191" i="18"/>
  <c r="H3192" i="18"/>
  <c r="H3193" i="18"/>
  <c r="H3194" i="18"/>
  <c r="H3195" i="18"/>
  <c r="H3196" i="18"/>
  <c r="H3197" i="18"/>
  <c r="H3198" i="18"/>
  <c r="H3199" i="18"/>
  <c r="H3201" i="18"/>
  <c r="H3202" i="18"/>
  <c r="H3203" i="18"/>
  <c r="H3204" i="18"/>
  <c r="H3205" i="18"/>
  <c r="H3206" i="18"/>
  <c r="H3207" i="18"/>
  <c r="H2937" i="18"/>
  <c r="H2938" i="18"/>
  <c r="H2939" i="18"/>
  <c r="H2940" i="18"/>
  <c r="H2941" i="18"/>
  <c r="H2943" i="18"/>
  <c r="H2944" i="18"/>
  <c r="H2945" i="18"/>
  <c r="H2946" i="18"/>
  <c r="H2951" i="18"/>
  <c r="H2952" i="18"/>
  <c r="H2953" i="18"/>
  <c r="H3577" i="18"/>
  <c r="H3680" i="18"/>
  <c r="H3681" i="18"/>
  <c r="H3682" i="18"/>
  <c r="H3683" i="18"/>
  <c r="H3684" i="18"/>
  <c r="H3685" i="18"/>
  <c r="H3686" i="18"/>
  <c r="H3687" i="18"/>
  <c r="H3688" i="18"/>
  <c r="H3689" i="18"/>
  <c r="H3690" i="18"/>
  <c r="H3691" i="18"/>
  <c r="H3692" i="18"/>
  <c r="H3693" i="18"/>
  <c r="H3694" i="18"/>
  <c r="H3696" i="18"/>
  <c r="H3697" i="18"/>
  <c r="H3698" i="18"/>
  <c r="H3699" i="18"/>
  <c r="H3700" i="18"/>
  <c r="H3701" i="18"/>
  <c r="H3702" i="18"/>
  <c r="H3703" i="18"/>
  <c r="H3704" i="18"/>
  <c r="H3705" i="18"/>
  <c r="H3706" i="18"/>
  <c r="H3708" i="18"/>
  <c r="H3709" i="18"/>
  <c r="H3710" i="18"/>
  <c r="H3711" i="18"/>
  <c r="H3712" i="18"/>
  <c r="H3714" i="18"/>
  <c r="H3715" i="18"/>
  <c r="H3716" i="18"/>
  <c r="H3717" i="18"/>
  <c r="H3718" i="18"/>
  <c r="H3720" i="18"/>
  <c r="H3721" i="18"/>
  <c r="H3579" i="18"/>
  <c r="H3637" i="18"/>
  <c r="H3638" i="18"/>
  <c r="H3639" i="18"/>
  <c r="H3640" i="18"/>
  <c r="H3641" i="18"/>
  <c r="H3642" i="18"/>
  <c r="H3643" i="18"/>
  <c r="H3644" i="18"/>
  <c r="H3645" i="18"/>
  <c r="H3646" i="18"/>
  <c r="H3647" i="18"/>
  <c r="H3648" i="18"/>
  <c r="H3649" i="18"/>
  <c r="H3650" i="18"/>
  <c r="H3651" i="18"/>
  <c r="H3652" i="18"/>
  <c r="H3653" i="18"/>
  <c r="H3654" i="18"/>
  <c r="H3655" i="18"/>
  <c r="H3656" i="18"/>
  <c r="H3657" i="18"/>
  <c r="H3658" i="18"/>
  <c r="H3659" i="18"/>
  <c r="H3660" i="18"/>
  <c r="H3661" i="18"/>
  <c r="H2928" i="18"/>
  <c r="H2929" i="18"/>
  <c r="H2930" i="18"/>
  <c r="H2931" i="18"/>
  <c r="H2933" i="18"/>
  <c r="H2934" i="18"/>
  <c r="H2935" i="18"/>
  <c r="H2936" i="18"/>
  <c r="H2947" i="18"/>
  <c r="H2948" i="18"/>
  <c r="H2949" i="18"/>
  <c r="H2950" i="18"/>
  <c r="H2955" i="18"/>
  <c r="H2956" i="18"/>
  <c r="H2957" i="18"/>
  <c r="H2958" i="18"/>
  <c r="H2960" i="18"/>
  <c r="H2961" i="18"/>
  <c r="H2962" i="18"/>
  <c r="H2963" i="18"/>
  <c r="H2964" i="18"/>
  <c r="H2965" i="18"/>
  <c r="H2966" i="18"/>
  <c r="H2968" i="18"/>
  <c r="H2969" i="18"/>
  <c r="H2970" i="18"/>
  <c r="H2971" i="18"/>
  <c r="H2972" i="18"/>
  <c r="H2973" i="18"/>
  <c r="H2974" i="18"/>
  <c r="H2975" i="18"/>
  <c r="H2976" i="18"/>
  <c r="H2977" i="18"/>
  <c r="H2978" i="18"/>
  <c r="H2979" i="18"/>
  <c r="H2980" i="18"/>
  <c r="H2981" i="18"/>
  <c r="H2982" i="18"/>
  <c r="H2983" i="18"/>
  <c r="H2984" i="18"/>
  <c r="H2985" i="18"/>
  <c r="H2987" i="18"/>
  <c r="H2992" i="18"/>
  <c r="H2994" i="18"/>
  <c r="H2995" i="18"/>
  <c r="H3000" i="18"/>
  <c r="H3001" i="18"/>
  <c r="H3002" i="18"/>
  <c r="H3003" i="18"/>
  <c r="H3004" i="18"/>
  <c r="H3006" i="18"/>
  <c r="H3007" i="18"/>
  <c r="H3008" i="18"/>
  <c r="H3009" i="18"/>
  <c r="H3010" i="18"/>
  <c r="H3011" i="18"/>
  <c r="H3012" i="18"/>
  <c r="H3013" i="18"/>
  <c r="H3014" i="18"/>
  <c r="H3015" i="18"/>
  <c r="H3017" i="18"/>
  <c r="H3018" i="18"/>
  <c r="H3019" i="18"/>
  <c r="H3020" i="18"/>
  <c r="H3021" i="18"/>
  <c r="H3023" i="18"/>
  <c r="H3028" i="18"/>
  <c r="H3029" i="18"/>
  <c r="H3031" i="18"/>
  <c r="H3033" i="18"/>
  <c r="H3034" i="18"/>
  <c r="H3035" i="18"/>
  <c r="H3036" i="18"/>
  <c r="H3037" i="18"/>
  <c r="H3038" i="18"/>
  <c r="H3039" i="18"/>
  <c r="H3040" i="18"/>
  <c r="H3041" i="18"/>
  <c r="H3042" i="18"/>
  <c r="H3043" i="18"/>
  <c r="H3044" i="18"/>
  <c r="H3045" i="18"/>
  <c r="H3046" i="18"/>
  <c r="H3047" i="18"/>
  <c r="H3048" i="18"/>
  <c r="H3049" i="18"/>
  <c r="H3050" i="18"/>
  <c r="H3051" i="18"/>
  <c r="H3052" i="18"/>
  <c r="H3053" i="18"/>
  <c r="H3054" i="18"/>
  <c r="H3055" i="18"/>
  <c r="H3056" i="18"/>
  <c r="H3057" i="18"/>
  <c r="H3059" i="18"/>
  <c r="H3060" i="18"/>
  <c r="H3061" i="18"/>
  <c r="H3064" i="18"/>
  <c r="H3065" i="18"/>
  <c r="H3066" i="18"/>
  <c r="H3067" i="18"/>
  <c r="H3068" i="18"/>
  <c r="H3069" i="18"/>
  <c r="H3070" i="18"/>
  <c r="H3071" i="18"/>
  <c r="H3072" i="18"/>
  <c r="H3073" i="18"/>
  <c r="H3074" i="18"/>
  <c r="H3075" i="18"/>
  <c r="H3076" i="18"/>
  <c r="H3077" i="18"/>
  <c r="H3078" i="18"/>
  <c r="H3079" i="18"/>
  <c r="H3080" i="18"/>
  <c r="H3081" i="18"/>
  <c r="H3082" i="18"/>
  <c r="H3083" i="18"/>
  <c r="H3084" i="18"/>
  <c r="H3085" i="18"/>
  <c r="H3086" i="18"/>
  <c r="H3087" i="18"/>
  <c r="H3088" i="18"/>
  <c r="H3089" i="18"/>
  <c r="H3090" i="18"/>
  <c r="H3091" i="18"/>
  <c r="H3092" i="18"/>
  <c r="H3093" i="18"/>
  <c r="H3094" i="18"/>
  <c r="H3095" i="18"/>
  <c r="H3096" i="18"/>
  <c r="H3097" i="18"/>
  <c r="H3099" i="18"/>
  <c r="H3100" i="18"/>
  <c r="H3101" i="18"/>
  <c r="H3102" i="18"/>
  <c r="H3103" i="18"/>
  <c r="H3105" i="18"/>
  <c r="H3106" i="18"/>
  <c r="H3107" i="18"/>
  <c r="H3121" i="18"/>
  <c r="H3122" i="18"/>
  <c r="H3123" i="18"/>
  <c r="H3124" i="18"/>
  <c r="H3407" i="18"/>
  <c r="H3408" i="18"/>
  <c r="H3409" i="18"/>
  <c r="H3411" i="18"/>
  <c r="H3412" i="18"/>
  <c r="H3413" i="18"/>
  <c r="H3414" i="18"/>
  <c r="H3415" i="18"/>
  <c r="H3416" i="18"/>
  <c r="H3417" i="18"/>
  <c r="H3418" i="18"/>
  <c r="H3419" i="18"/>
  <c r="H3420" i="18"/>
  <c r="H3421" i="18"/>
  <c r="H3422" i="18"/>
  <c r="H3423" i="18"/>
  <c r="H3424" i="18"/>
  <c r="H3426" i="18"/>
  <c r="H3427" i="18"/>
  <c r="H3428" i="18"/>
  <c r="H3429" i="18"/>
  <c r="H3430" i="18"/>
  <c r="H3431" i="18"/>
  <c r="H3432" i="18"/>
  <c r="H3433" i="18"/>
  <c r="H3434" i="18"/>
  <c r="H3435" i="18"/>
  <c r="H3436" i="18"/>
  <c r="H3437" i="18"/>
  <c r="H3438" i="18"/>
  <c r="H3439" i="18"/>
  <c r="H3440" i="18"/>
  <c r="H3441" i="18"/>
  <c r="H3442" i="18"/>
  <c r="H3443" i="18"/>
  <c r="H3444" i="18"/>
  <c r="H3445" i="18"/>
  <c r="H3447" i="18"/>
  <c r="H3448" i="18"/>
  <c r="H3449" i="18"/>
  <c r="H3450" i="18"/>
  <c r="H3451" i="18"/>
  <c r="H3452" i="18"/>
  <c r="H3453" i="18"/>
  <c r="H3454" i="18"/>
  <c r="H3455" i="18"/>
  <c r="H3456" i="18"/>
  <c r="H3457" i="18"/>
  <c r="H3458" i="18"/>
  <c r="H3459" i="18"/>
  <c r="H3460" i="18"/>
  <c r="H3461" i="18"/>
  <c r="H3462" i="18"/>
  <c r="H3463" i="18"/>
  <c r="H3464" i="18"/>
  <c r="H3465" i="18"/>
  <c r="H3466" i="18"/>
  <c r="H3467" i="18"/>
  <c r="H3468" i="18"/>
  <c r="H3469" i="18"/>
  <c r="H3470" i="18"/>
  <c r="H3471" i="18"/>
  <c r="H3472" i="18"/>
  <c r="H3473" i="18"/>
  <c r="H3474" i="18"/>
  <c r="H3475" i="18"/>
  <c r="H3476" i="18"/>
  <c r="H3477" i="18"/>
  <c r="H3478" i="18"/>
  <c r="H3479" i="18"/>
  <c r="H3480" i="18"/>
  <c r="H3481" i="18"/>
  <c r="H3482" i="18"/>
  <c r="H3483" i="18"/>
  <c r="H3484" i="18"/>
  <c r="H3485" i="18"/>
  <c r="H3486" i="18"/>
  <c r="H3487" i="18"/>
  <c r="H3488" i="18"/>
  <c r="H3489" i="18"/>
  <c r="H3490" i="18"/>
  <c r="H3491" i="18"/>
  <c r="H3492" i="18"/>
  <c r="H3493" i="18"/>
  <c r="H3494" i="18"/>
  <c r="H3495" i="18"/>
  <c r="H3496" i="18"/>
  <c r="H3497" i="18"/>
  <c r="H3498" i="18"/>
  <c r="H3499" i="18"/>
  <c r="H3500" i="18"/>
  <c r="H3501" i="18"/>
  <c r="H3502" i="18"/>
  <c r="H3503" i="18"/>
  <c r="H3504" i="18"/>
  <c r="H3505" i="18"/>
  <c r="H3506" i="18"/>
  <c r="H3507" i="18"/>
  <c r="H3508" i="18"/>
  <c r="H3509" i="18"/>
  <c r="H3510" i="18"/>
  <c r="H3511" i="18"/>
  <c r="H3512" i="18"/>
  <c r="H3513" i="18"/>
  <c r="H3514" i="18"/>
  <c r="H3515" i="18"/>
  <c r="H3516" i="18"/>
  <c r="H3517" i="18"/>
  <c r="H3518" i="18"/>
  <c r="H3519" i="18"/>
  <c r="H3520" i="18"/>
  <c r="H3521" i="18"/>
  <c r="H3522" i="18"/>
  <c r="H3523" i="18"/>
  <c r="H3524" i="18"/>
  <c r="H3525" i="18"/>
  <c r="H3526" i="18"/>
  <c r="H3527" i="18"/>
  <c r="H3528" i="18"/>
  <c r="H3529" i="18"/>
  <c r="H3530" i="18"/>
  <c r="H3531" i="18"/>
  <c r="H3532" i="18"/>
  <c r="H3533" i="18"/>
  <c r="H3534" i="18"/>
  <c r="H3535" i="18"/>
  <c r="H3536" i="18"/>
  <c r="H3537" i="18"/>
  <c r="H3538" i="18"/>
  <c r="H3539" i="18"/>
  <c r="H3540" i="18"/>
  <c r="H3541" i="18"/>
  <c r="H3542" i="18"/>
  <c r="H3543" i="18"/>
  <c r="H3544" i="18"/>
  <c r="H3545" i="18"/>
  <c r="H3546" i="18"/>
  <c r="H3547" i="18"/>
  <c r="H3548" i="18"/>
  <c r="H3549" i="18"/>
  <c r="H3550" i="18"/>
  <c r="H3551" i="18"/>
  <c r="H3552" i="18"/>
  <c r="H3553" i="18"/>
  <c r="H3554" i="18"/>
  <c r="H3555" i="18"/>
  <c r="H3556" i="18"/>
  <c r="H3557" i="18"/>
  <c r="H3558" i="18"/>
  <c r="H3559" i="18"/>
  <c r="H3560" i="18"/>
  <c r="H3561" i="18"/>
  <c r="H3562" i="18"/>
  <c r="H3563" i="18"/>
  <c r="H3564" i="18"/>
  <c r="H3565" i="18"/>
  <c r="H3566" i="18"/>
  <c r="H3567" i="18"/>
  <c r="H3568" i="18"/>
  <c r="H3569" i="18"/>
  <c r="H3570" i="18"/>
  <c r="H3571" i="18"/>
  <c r="H3572" i="18"/>
  <c r="H3573" i="18"/>
  <c r="H3574" i="18"/>
  <c r="H3575" i="18"/>
  <c r="H3576" i="18"/>
  <c r="H3580" i="18"/>
  <c r="H3581" i="18"/>
  <c r="H3582" i="18"/>
  <c r="H3583" i="18"/>
  <c r="H3584" i="18"/>
  <c r="H3585" i="18"/>
  <c r="H3586" i="18"/>
  <c r="H3587" i="18"/>
  <c r="H3588" i="18"/>
  <c r="H3589" i="18"/>
  <c r="H3590" i="18"/>
  <c r="H3591" i="18"/>
  <c r="H3592" i="18"/>
  <c r="H3593" i="18"/>
  <c r="H3594" i="18"/>
  <c r="H3595" i="18"/>
  <c r="H3596" i="18"/>
  <c r="H3597" i="18"/>
  <c r="H3598" i="18"/>
  <c r="H3599" i="18"/>
  <c r="H3600" i="18"/>
  <c r="H3601" i="18"/>
  <c r="H3602" i="18"/>
  <c r="H3603" i="18"/>
  <c r="H3604" i="18"/>
  <c r="H3605" i="18"/>
  <c r="H3606" i="18"/>
  <c r="H3607" i="18"/>
  <c r="H3608" i="18"/>
  <c r="H3609" i="18"/>
  <c r="H3610" i="18"/>
  <c r="H3612" i="18"/>
  <c r="H3613" i="18"/>
  <c r="H3614" i="18"/>
  <c r="H3615" i="18"/>
  <c r="H3616" i="18"/>
  <c r="H3618" i="18"/>
  <c r="H3619" i="18"/>
  <c r="H3620" i="18"/>
  <c r="H3621" i="18"/>
  <c r="H3622" i="18"/>
  <c r="H3623" i="18"/>
  <c r="H3624" i="18"/>
  <c r="H3625" i="18"/>
  <c r="H3627" i="18"/>
  <c r="H3628" i="18"/>
  <c r="H3629" i="18"/>
  <c r="H3630" i="18"/>
  <c r="H3631" i="18"/>
  <c r="H3632" i="18"/>
  <c r="H3633" i="18"/>
  <c r="H3634" i="18"/>
  <c r="H3635" i="18"/>
  <c r="H3636" i="18"/>
  <c r="H89" i="2" l="1"/>
  <c r="O90" i="2" a="1"/>
  <c r="O90" i="2" s="1"/>
  <c r="I89" i="2"/>
  <c r="J89" i="2"/>
  <c r="H3617" i="18"/>
  <c r="H3611" i="18"/>
  <c r="H3410" i="18"/>
  <c r="H3104" i="18"/>
  <c r="H3063" i="18"/>
  <c r="H3016" i="18"/>
  <c r="H2942" i="18"/>
  <c r="H2959" i="18"/>
  <c r="H3446" i="18"/>
  <c r="H3425" i="18"/>
  <c r="H3005" i="18"/>
  <c r="H2932" i="18"/>
  <c r="H3668" i="18"/>
  <c r="H3062" i="18"/>
  <c r="H3098" i="18"/>
  <c r="H3626" i="18"/>
  <c r="H3669" i="18"/>
  <c r="H3578" i="18"/>
  <c r="H2993" i="18"/>
  <c r="H2967" i="18"/>
  <c r="H3022" i="18"/>
  <c r="H3058" i="18"/>
  <c r="H3695" i="18"/>
  <c r="H3713" i="18"/>
  <c r="H74" i="18"/>
  <c r="H114" i="18"/>
  <c r="H156" i="18"/>
  <c r="H3137" i="18"/>
  <c r="H3153" i="18"/>
  <c r="H3169" i="18"/>
  <c r="H3200" i="18"/>
  <c r="H3030" i="18"/>
  <c r="H3032" i="18"/>
  <c r="H2986" i="18"/>
  <c r="M89" i="2" l="1"/>
  <c r="J90" i="2"/>
  <c r="L90" i="2"/>
  <c r="I90" i="2"/>
  <c r="H90" i="2"/>
  <c r="O91" i="2" a="1"/>
  <c r="O91" i="2" s="1"/>
  <c r="H91" i="2" s="1"/>
  <c r="D3" i="16"/>
  <c r="D4" i="16"/>
  <c r="D5" i="16"/>
  <c r="D6" i="16"/>
  <c r="D7" i="16"/>
  <c r="D8" i="16"/>
  <c r="D9" i="16"/>
  <c r="D10" i="16"/>
  <c r="D11" i="16"/>
  <c r="D12" i="16"/>
  <c r="D13" i="16"/>
  <c r="D14" i="16"/>
  <c r="D15" i="16"/>
  <c r="D16" i="16"/>
  <c r="D17" i="16"/>
  <c r="D18" i="16"/>
  <c r="D19" i="16"/>
  <c r="D20" i="16"/>
  <c r="D21" i="16"/>
  <c r="D22" i="16"/>
  <c r="D23" i="16"/>
  <c r="D24" i="16"/>
  <c r="D25" i="16"/>
  <c r="D26" i="16"/>
  <c r="D27" i="16"/>
  <c r="D28" i="16"/>
  <c r="D29" i="16"/>
  <c r="D30" i="16"/>
  <c r="D31" i="16"/>
  <c r="D32" i="16"/>
  <c r="D33" i="16"/>
  <c r="D34" i="16"/>
  <c r="D35" i="16"/>
  <c r="D36" i="16"/>
  <c r="D37" i="16"/>
  <c r="D38" i="16"/>
  <c r="D39" i="16"/>
  <c r="D40" i="16"/>
  <c r="D41" i="16"/>
  <c r="D42" i="16"/>
  <c r="D43" i="16"/>
  <c r="D44" i="16"/>
  <c r="D45" i="16"/>
  <c r="D46" i="16"/>
  <c r="D47" i="16"/>
  <c r="D48" i="16"/>
  <c r="D49" i="16"/>
  <c r="D50" i="16"/>
  <c r="D51" i="16"/>
  <c r="D52" i="16"/>
  <c r="D53" i="16"/>
  <c r="D54" i="16"/>
  <c r="D55" i="16"/>
  <c r="D56" i="16"/>
  <c r="D57" i="16"/>
  <c r="D58" i="16"/>
  <c r="D59" i="16"/>
  <c r="D60" i="16"/>
  <c r="D61" i="16"/>
  <c r="D62" i="16"/>
  <c r="D63" i="16"/>
  <c r="D64" i="16"/>
  <c r="D65" i="16"/>
  <c r="D66" i="16"/>
  <c r="D67" i="16"/>
  <c r="D68" i="16"/>
  <c r="D69" i="16"/>
  <c r="D70" i="16"/>
  <c r="D71" i="16"/>
  <c r="D72" i="16"/>
  <c r="D73" i="16"/>
  <c r="D74" i="16"/>
  <c r="D75" i="16"/>
  <c r="D76" i="16"/>
  <c r="D77" i="16"/>
  <c r="D78" i="16"/>
  <c r="D79" i="16"/>
  <c r="D80" i="16"/>
  <c r="D81" i="16"/>
  <c r="D82" i="16"/>
  <c r="D83" i="16"/>
  <c r="D84" i="16"/>
  <c r="D85" i="16"/>
  <c r="D86" i="16"/>
  <c r="D87" i="16"/>
  <c r="D88" i="16"/>
  <c r="D89" i="16"/>
  <c r="D90" i="16"/>
  <c r="D91" i="16"/>
  <c r="D92" i="16"/>
  <c r="D93" i="16"/>
  <c r="D94" i="16"/>
  <c r="D95" i="16"/>
  <c r="D96" i="16"/>
  <c r="D97" i="16"/>
  <c r="D98" i="16"/>
  <c r="D99" i="16"/>
  <c r="D100" i="16"/>
  <c r="D101" i="16"/>
  <c r="D102" i="16"/>
  <c r="D103" i="16"/>
  <c r="D104" i="16"/>
  <c r="D105" i="16"/>
  <c r="D106" i="16"/>
  <c r="D107" i="16"/>
  <c r="D108" i="16"/>
  <c r="D109" i="16"/>
  <c r="D110" i="16"/>
  <c r="D111" i="16"/>
  <c r="D112" i="16"/>
  <c r="D113" i="16"/>
  <c r="D114" i="16"/>
  <c r="D115" i="16"/>
  <c r="D116" i="16"/>
  <c r="D117" i="16"/>
  <c r="D118" i="16"/>
  <c r="D119" i="16"/>
  <c r="D120" i="16"/>
  <c r="D121" i="16"/>
  <c r="D122" i="16"/>
  <c r="D123" i="16"/>
  <c r="D124" i="16"/>
  <c r="D125" i="16"/>
  <c r="D126" i="16"/>
  <c r="D127" i="16"/>
  <c r="D128" i="16"/>
  <c r="D129" i="16"/>
  <c r="D130" i="16"/>
  <c r="D131" i="16"/>
  <c r="D132" i="16"/>
  <c r="D133" i="16"/>
  <c r="D134" i="16"/>
  <c r="D135" i="16"/>
  <c r="D136" i="16"/>
  <c r="D137" i="16"/>
  <c r="D138" i="16"/>
  <c r="D139" i="16"/>
  <c r="D140" i="16"/>
  <c r="D141" i="16"/>
  <c r="D142" i="16"/>
  <c r="D143" i="16"/>
  <c r="D144" i="16"/>
  <c r="D145" i="16"/>
  <c r="D146" i="16"/>
  <c r="D147" i="16"/>
  <c r="D148" i="16"/>
  <c r="D149" i="16"/>
  <c r="D150" i="16"/>
  <c r="D151" i="16"/>
  <c r="D152" i="16"/>
  <c r="D153" i="16"/>
  <c r="D154" i="16"/>
  <c r="D155" i="16"/>
  <c r="D156" i="16"/>
  <c r="D157" i="16"/>
  <c r="D158" i="16"/>
  <c r="D159" i="16"/>
  <c r="D160" i="16"/>
  <c r="D161" i="16"/>
  <c r="D162" i="16"/>
  <c r="D163" i="16"/>
  <c r="D164" i="16"/>
  <c r="D165" i="16"/>
  <c r="D166" i="16"/>
  <c r="D167" i="16"/>
  <c r="D168" i="16"/>
  <c r="D169" i="16"/>
  <c r="D170" i="16"/>
  <c r="D171" i="16"/>
  <c r="D172" i="16"/>
  <c r="D173" i="16"/>
  <c r="D174" i="16"/>
  <c r="D175" i="16"/>
  <c r="D176" i="16"/>
  <c r="D177" i="16"/>
  <c r="D178" i="16"/>
  <c r="D179" i="16"/>
  <c r="D180" i="16"/>
  <c r="D181" i="16"/>
  <c r="D182" i="16"/>
  <c r="D183" i="16"/>
  <c r="D184" i="16"/>
  <c r="D185" i="16"/>
  <c r="D186" i="16"/>
  <c r="D187" i="16"/>
  <c r="D188" i="16"/>
  <c r="D189" i="16"/>
  <c r="D190" i="16"/>
  <c r="D191" i="16"/>
  <c r="D192" i="16"/>
  <c r="D193" i="16"/>
  <c r="D194" i="16"/>
  <c r="D195" i="16"/>
  <c r="D196" i="16"/>
  <c r="D197" i="16"/>
  <c r="D198" i="16"/>
  <c r="D199" i="16"/>
  <c r="D200" i="16"/>
  <c r="D201" i="16"/>
  <c r="D202" i="16"/>
  <c r="D203" i="16"/>
  <c r="D204" i="16"/>
  <c r="D205" i="16"/>
  <c r="D206" i="16"/>
  <c r="D207" i="16"/>
  <c r="D208" i="16"/>
  <c r="D209" i="16"/>
  <c r="D210" i="16"/>
  <c r="D211" i="16"/>
  <c r="D212" i="16"/>
  <c r="D213" i="16"/>
  <c r="D214" i="16"/>
  <c r="D215" i="16"/>
  <c r="D216" i="16"/>
  <c r="D217" i="16"/>
  <c r="D218" i="16"/>
  <c r="D219" i="16"/>
  <c r="D220" i="16"/>
  <c r="D221" i="16"/>
  <c r="D222" i="16"/>
  <c r="D223" i="16"/>
  <c r="D224" i="16"/>
  <c r="D225" i="16"/>
  <c r="D226" i="16"/>
  <c r="D227" i="16"/>
  <c r="D228" i="16"/>
  <c r="D229" i="16"/>
  <c r="D230" i="16"/>
  <c r="D231" i="16"/>
  <c r="D232" i="16"/>
  <c r="D233" i="16"/>
  <c r="D234" i="16"/>
  <c r="D235" i="16"/>
  <c r="D236" i="16"/>
  <c r="D237" i="16"/>
  <c r="D238" i="16"/>
  <c r="D239" i="16"/>
  <c r="D240" i="16"/>
  <c r="D241" i="16"/>
  <c r="D242" i="16"/>
  <c r="D243" i="16"/>
  <c r="D244" i="16"/>
  <c r="D245" i="16"/>
  <c r="D246" i="16"/>
  <c r="D247" i="16"/>
  <c r="D248" i="16"/>
  <c r="D249" i="16"/>
  <c r="D250" i="16"/>
  <c r="D251" i="16"/>
  <c r="D252" i="16"/>
  <c r="D253" i="16"/>
  <c r="D254" i="16"/>
  <c r="D255" i="16"/>
  <c r="D256" i="16"/>
  <c r="D257" i="16"/>
  <c r="D258" i="16"/>
  <c r="D259" i="16"/>
  <c r="D260" i="16"/>
  <c r="D261" i="16"/>
  <c r="D262" i="16"/>
  <c r="D263" i="16"/>
  <c r="D264" i="16"/>
  <c r="D265" i="16"/>
  <c r="D266" i="16"/>
  <c r="D267" i="16"/>
  <c r="D268" i="16"/>
  <c r="D269" i="16"/>
  <c r="D270" i="16"/>
  <c r="D271" i="16"/>
  <c r="D272" i="16"/>
  <c r="D273" i="16"/>
  <c r="D274" i="16"/>
  <c r="D275" i="16"/>
  <c r="D276" i="16"/>
  <c r="D277" i="16"/>
  <c r="D278" i="16"/>
  <c r="D279" i="16"/>
  <c r="D280" i="16"/>
  <c r="D281" i="16"/>
  <c r="D282" i="16"/>
  <c r="D283" i="16"/>
  <c r="D284" i="16"/>
  <c r="D285" i="16"/>
  <c r="D286" i="16"/>
  <c r="D287" i="16"/>
  <c r="D288" i="16"/>
  <c r="D289" i="16"/>
  <c r="D290" i="16"/>
  <c r="D291" i="16"/>
  <c r="D292" i="16"/>
  <c r="D293" i="16"/>
  <c r="D294" i="16"/>
  <c r="D295" i="16"/>
  <c r="D296" i="16"/>
  <c r="D297" i="16"/>
  <c r="D298" i="16"/>
  <c r="D299" i="16"/>
  <c r="D300" i="16"/>
  <c r="D301" i="16"/>
  <c r="D302" i="16"/>
  <c r="D303" i="16"/>
  <c r="D304" i="16"/>
  <c r="D305" i="16"/>
  <c r="D306" i="16"/>
  <c r="D307" i="16"/>
  <c r="D308" i="16"/>
  <c r="D309" i="16"/>
  <c r="D310" i="16"/>
  <c r="D311" i="16"/>
  <c r="D312" i="16"/>
  <c r="D313" i="16"/>
  <c r="D314" i="16"/>
  <c r="D315" i="16"/>
  <c r="D316" i="16"/>
  <c r="D317" i="16"/>
  <c r="D318" i="16"/>
  <c r="D319" i="16"/>
  <c r="D320" i="16"/>
  <c r="D321" i="16"/>
  <c r="D322" i="16"/>
  <c r="D323" i="16"/>
  <c r="D324" i="16"/>
  <c r="D325" i="16"/>
  <c r="D326" i="16"/>
  <c r="D327" i="16"/>
  <c r="D328" i="16"/>
  <c r="D329" i="16"/>
  <c r="D330" i="16"/>
  <c r="D331" i="16"/>
  <c r="D332" i="16"/>
  <c r="D333" i="16"/>
  <c r="D334" i="16"/>
  <c r="D335" i="16"/>
  <c r="D336" i="16"/>
  <c r="D337" i="16"/>
  <c r="D338" i="16"/>
  <c r="D339" i="16"/>
  <c r="D340" i="16"/>
  <c r="D341" i="16"/>
  <c r="D342" i="16"/>
  <c r="D343" i="16"/>
  <c r="D344" i="16"/>
  <c r="D345" i="16"/>
  <c r="D346" i="16"/>
  <c r="D347" i="16"/>
  <c r="D348" i="16"/>
  <c r="D349" i="16"/>
  <c r="D350" i="16"/>
  <c r="D351" i="16"/>
  <c r="D352" i="16"/>
  <c r="D353" i="16"/>
  <c r="D354" i="16"/>
  <c r="D355" i="16"/>
  <c r="D356" i="16"/>
  <c r="D357" i="16"/>
  <c r="D358" i="16"/>
  <c r="D359" i="16"/>
  <c r="D360" i="16"/>
  <c r="D361" i="16"/>
  <c r="D362" i="16"/>
  <c r="D363" i="16"/>
  <c r="D364" i="16"/>
  <c r="D365" i="16"/>
  <c r="D366" i="16"/>
  <c r="D367" i="16"/>
  <c r="D368" i="16"/>
  <c r="D369" i="16"/>
  <c r="D370" i="16"/>
  <c r="D371" i="16"/>
  <c r="D372" i="16"/>
  <c r="D373" i="16"/>
  <c r="D374" i="16"/>
  <c r="D375" i="16"/>
  <c r="D376" i="16"/>
  <c r="D377" i="16"/>
  <c r="D378" i="16"/>
  <c r="D379" i="16"/>
  <c r="D380" i="16"/>
  <c r="D381" i="16"/>
  <c r="D382" i="16"/>
  <c r="D383" i="16"/>
  <c r="D384" i="16"/>
  <c r="D385" i="16"/>
  <c r="D386" i="16"/>
  <c r="D387" i="16"/>
  <c r="D388" i="16"/>
  <c r="D389" i="16"/>
  <c r="D390" i="16"/>
  <c r="D391" i="16"/>
  <c r="D392" i="16"/>
  <c r="D393" i="16"/>
  <c r="D394" i="16"/>
  <c r="D395" i="16"/>
  <c r="D396" i="16"/>
  <c r="D397" i="16"/>
  <c r="D398" i="16"/>
  <c r="D399" i="16"/>
  <c r="D400" i="16"/>
  <c r="D401" i="16"/>
  <c r="D402" i="16"/>
  <c r="D403" i="16"/>
  <c r="D404" i="16"/>
  <c r="D405" i="16"/>
  <c r="D406" i="16"/>
  <c r="D407" i="16"/>
  <c r="D408" i="16"/>
  <c r="D409" i="16"/>
  <c r="D410" i="16"/>
  <c r="D411" i="16"/>
  <c r="D412" i="16"/>
  <c r="D413" i="16"/>
  <c r="D414" i="16"/>
  <c r="D415" i="16"/>
  <c r="D416" i="16"/>
  <c r="D417" i="16"/>
  <c r="D418" i="16"/>
  <c r="D419" i="16"/>
  <c r="D420" i="16"/>
  <c r="D421" i="16"/>
  <c r="D422" i="16"/>
  <c r="D423" i="16"/>
  <c r="D424" i="16"/>
  <c r="D425" i="16"/>
  <c r="D426" i="16"/>
  <c r="D427" i="16"/>
  <c r="D428" i="16"/>
  <c r="D429" i="16"/>
  <c r="D430" i="16"/>
  <c r="D431" i="16"/>
  <c r="D432" i="16"/>
  <c r="D433" i="16"/>
  <c r="D434" i="16"/>
  <c r="D435" i="16"/>
  <c r="D436" i="16"/>
  <c r="D437" i="16"/>
  <c r="D438" i="16"/>
  <c r="D439" i="16"/>
  <c r="D440" i="16"/>
  <c r="D441" i="16"/>
  <c r="D442" i="16"/>
  <c r="D443" i="16"/>
  <c r="D444" i="16"/>
  <c r="D445" i="16"/>
  <c r="D446" i="16"/>
  <c r="D447" i="16"/>
  <c r="D448" i="16"/>
  <c r="D449" i="16"/>
  <c r="D450" i="16"/>
  <c r="D451" i="16"/>
  <c r="D452" i="16"/>
  <c r="D453" i="16"/>
  <c r="D454" i="16"/>
  <c r="D455" i="16"/>
  <c r="D456" i="16"/>
  <c r="D457" i="16"/>
  <c r="D458" i="16"/>
  <c r="D459" i="16"/>
  <c r="D460" i="16"/>
  <c r="D461" i="16"/>
  <c r="D462" i="16"/>
  <c r="D463" i="16"/>
  <c r="D464" i="16"/>
  <c r="D465" i="16"/>
  <c r="D466" i="16"/>
  <c r="D467" i="16"/>
  <c r="D468" i="16"/>
  <c r="D469" i="16"/>
  <c r="D470" i="16"/>
  <c r="D471" i="16"/>
  <c r="D472" i="16"/>
  <c r="D473" i="16"/>
  <c r="D474" i="16"/>
  <c r="D475" i="16"/>
  <c r="D476" i="16"/>
  <c r="D477" i="16"/>
  <c r="D478" i="16"/>
  <c r="D479" i="16"/>
  <c r="D480" i="16"/>
  <c r="D481" i="16"/>
  <c r="D482" i="16"/>
  <c r="D483" i="16"/>
  <c r="D484" i="16"/>
  <c r="D485" i="16"/>
  <c r="D486" i="16"/>
  <c r="D487" i="16"/>
  <c r="D488" i="16"/>
  <c r="D489" i="16"/>
  <c r="D490" i="16"/>
  <c r="D491" i="16"/>
  <c r="D492" i="16"/>
  <c r="D493" i="16"/>
  <c r="D494" i="16"/>
  <c r="D495" i="16"/>
  <c r="D496" i="16"/>
  <c r="D497" i="16"/>
  <c r="D498" i="16"/>
  <c r="D499" i="16"/>
  <c r="D500" i="16"/>
  <c r="D501" i="16"/>
  <c r="D502" i="16"/>
  <c r="D503" i="16"/>
  <c r="D504" i="16"/>
  <c r="D505" i="16"/>
  <c r="D506" i="16"/>
  <c r="D507" i="16"/>
  <c r="D508" i="16"/>
  <c r="D509" i="16"/>
  <c r="D510" i="16"/>
  <c r="D511" i="16"/>
  <c r="D512" i="16"/>
  <c r="D513" i="16"/>
  <c r="D514" i="16"/>
  <c r="D515" i="16"/>
  <c r="D516" i="16"/>
  <c r="D517" i="16"/>
  <c r="D518" i="16"/>
  <c r="D519" i="16"/>
  <c r="D520" i="16"/>
  <c r="D521" i="16"/>
  <c r="D522" i="16"/>
  <c r="D523" i="16"/>
  <c r="D524" i="16"/>
  <c r="D525" i="16"/>
  <c r="D526" i="16"/>
  <c r="D527" i="16"/>
  <c r="D528" i="16"/>
  <c r="D529" i="16"/>
  <c r="D530" i="16"/>
  <c r="D531" i="16"/>
  <c r="D532" i="16"/>
  <c r="D533" i="16"/>
  <c r="D534" i="16"/>
  <c r="D535" i="16"/>
  <c r="D536" i="16"/>
  <c r="D2" i="16"/>
  <c r="J3" i="22"/>
  <c r="J4" i="22"/>
  <c r="J5" i="22"/>
  <c r="J6" i="22"/>
  <c r="J7" i="22"/>
  <c r="J8" i="22"/>
  <c r="J9" i="22"/>
  <c r="J10" i="22"/>
  <c r="J11" i="22"/>
  <c r="J12" i="22"/>
  <c r="J13" i="22"/>
  <c r="J14" i="22"/>
  <c r="J15" i="22"/>
  <c r="J16" i="22"/>
  <c r="J17" i="22"/>
  <c r="J18" i="22"/>
  <c r="J19" i="22"/>
  <c r="J20" i="22"/>
  <c r="J21" i="22"/>
  <c r="J22" i="22"/>
  <c r="J23" i="22"/>
  <c r="J24" i="22"/>
  <c r="J25" i="22"/>
  <c r="J26" i="22"/>
  <c r="J27" i="22"/>
  <c r="J28" i="22"/>
  <c r="J29" i="22"/>
  <c r="J30" i="22"/>
  <c r="J31" i="22"/>
  <c r="J32" i="22"/>
  <c r="J33" i="22"/>
  <c r="J34" i="22"/>
  <c r="J35" i="22"/>
  <c r="J36" i="22"/>
  <c r="J37" i="22"/>
  <c r="J38" i="22"/>
  <c r="J39" i="22"/>
  <c r="J40" i="22"/>
  <c r="J41" i="22"/>
  <c r="J42" i="22"/>
  <c r="J43" i="22"/>
  <c r="J44" i="22"/>
  <c r="J45" i="22"/>
  <c r="J46" i="22"/>
  <c r="J47" i="22"/>
  <c r="J48" i="22"/>
  <c r="J49" i="22"/>
  <c r="J50" i="22"/>
  <c r="J51" i="22"/>
  <c r="J52" i="22"/>
  <c r="J53" i="22"/>
  <c r="J54" i="22"/>
  <c r="J55" i="22"/>
  <c r="J56" i="22"/>
  <c r="J57" i="22"/>
  <c r="J58" i="22"/>
  <c r="J59" i="22"/>
  <c r="J60" i="22"/>
  <c r="J61" i="22"/>
  <c r="J62" i="22"/>
  <c r="J63" i="22"/>
  <c r="J64" i="22"/>
  <c r="J65" i="22"/>
  <c r="J66" i="22"/>
  <c r="J67" i="22"/>
  <c r="J68" i="22"/>
  <c r="J69" i="22"/>
  <c r="J70" i="22"/>
  <c r="J71" i="22"/>
  <c r="J72" i="22"/>
  <c r="J73" i="22"/>
  <c r="J74" i="22"/>
  <c r="J75" i="22"/>
  <c r="J76" i="22"/>
  <c r="J77" i="22"/>
  <c r="J78" i="22"/>
  <c r="J79" i="22"/>
  <c r="J80" i="22"/>
  <c r="J81" i="22"/>
  <c r="J82" i="22"/>
  <c r="J83" i="22"/>
  <c r="J84" i="22"/>
  <c r="J85" i="22"/>
  <c r="J86" i="22"/>
  <c r="J87" i="22"/>
  <c r="J88" i="22"/>
  <c r="J89" i="22"/>
  <c r="J90" i="22"/>
  <c r="J91" i="22"/>
  <c r="J92" i="22"/>
  <c r="J93" i="22"/>
  <c r="J94" i="22"/>
  <c r="J95" i="22"/>
  <c r="J96" i="22"/>
  <c r="J97" i="22"/>
  <c r="J98" i="22"/>
  <c r="J99" i="22"/>
  <c r="J100" i="22"/>
  <c r="J101" i="22"/>
  <c r="J102" i="22"/>
  <c r="J103" i="22"/>
  <c r="J104" i="22"/>
  <c r="J105" i="22"/>
  <c r="J106" i="22"/>
  <c r="J107" i="22"/>
  <c r="J108" i="22"/>
  <c r="J109" i="22"/>
  <c r="J110" i="22"/>
  <c r="J111" i="22"/>
  <c r="J112" i="22"/>
  <c r="J113" i="22"/>
  <c r="J114" i="22"/>
  <c r="J115" i="22"/>
  <c r="J116" i="22"/>
  <c r="J117" i="22"/>
  <c r="J118" i="22"/>
  <c r="J119" i="22"/>
  <c r="J120" i="22"/>
  <c r="J121" i="22"/>
  <c r="J122" i="22"/>
  <c r="J123" i="22"/>
  <c r="J124" i="22"/>
  <c r="J125" i="22"/>
  <c r="J126" i="22"/>
  <c r="J127" i="22"/>
  <c r="J128" i="22"/>
  <c r="J129" i="22"/>
  <c r="J130" i="22"/>
  <c r="J131" i="22"/>
  <c r="J132" i="22"/>
  <c r="J133" i="22"/>
  <c r="J134" i="22"/>
  <c r="J135" i="22"/>
  <c r="J136" i="22"/>
  <c r="J137" i="22"/>
  <c r="J138" i="22"/>
  <c r="J139" i="22"/>
  <c r="J140" i="22"/>
  <c r="J141" i="22"/>
  <c r="J142" i="22"/>
  <c r="J143" i="22"/>
  <c r="J144" i="22"/>
  <c r="J145" i="22"/>
  <c r="J146" i="22"/>
  <c r="J147" i="22"/>
  <c r="J148" i="22"/>
  <c r="J149" i="22"/>
  <c r="J150" i="22"/>
  <c r="J151" i="22"/>
  <c r="J152" i="22"/>
  <c r="J153" i="22"/>
  <c r="J154" i="22"/>
  <c r="J155" i="22"/>
  <c r="J156" i="22"/>
  <c r="J157" i="22"/>
  <c r="J158" i="22"/>
  <c r="J159" i="22"/>
  <c r="J160" i="22"/>
  <c r="J161" i="22"/>
  <c r="J162" i="22"/>
  <c r="J163" i="22"/>
  <c r="J164" i="22"/>
  <c r="J165" i="22"/>
  <c r="J166" i="22"/>
  <c r="J167" i="22"/>
  <c r="J168" i="22"/>
  <c r="J169" i="22"/>
  <c r="J170" i="22"/>
  <c r="J171" i="22"/>
  <c r="J172" i="22"/>
  <c r="J173" i="22"/>
  <c r="J174" i="22"/>
  <c r="J175" i="22"/>
  <c r="J176" i="22"/>
  <c r="J177" i="22"/>
  <c r="J178" i="22"/>
  <c r="J179" i="22"/>
  <c r="J180" i="22"/>
  <c r="J181" i="22"/>
  <c r="J182" i="22"/>
  <c r="J183" i="22"/>
  <c r="J184" i="22"/>
  <c r="J185" i="22"/>
  <c r="J186" i="22"/>
  <c r="J187" i="22"/>
  <c r="J188" i="22"/>
  <c r="J189" i="22"/>
  <c r="J190" i="22"/>
  <c r="J191" i="22"/>
  <c r="J192" i="22"/>
  <c r="J193" i="22"/>
  <c r="J194" i="22"/>
  <c r="J195" i="22"/>
  <c r="J196" i="22"/>
  <c r="J197" i="22"/>
  <c r="J198" i="22"/>
  <c r="J199" i="22"/>
  <c r="J201" i="22"/>
  <c r="J202" i="22"/>
  <c r="J203" i="22"/>
  <c r="J204" i="22"/>
  <c r="J205" i="22"/>
  <c r="J206" i="22"/>
  <c r="J207" i="22"/>
  <c r="J208" i="22"/>
  <c r="J209" i="22"/>
  <c r="J210" i="22"/>
  <c r="J211" i="22"/>
  <c r="J212" i="22"/>
  <c r="J213" i="22"/>
  <c r="J214" i="22"/>
  <c r="J215" i="22"/>
  <c r="J216" i="22"/>
  <c r="J217" i="22"/>
  <c r="J218" i="22"/>
  <c r="J219" i="22"/>
  <c r="J220" i="22"/>
  <c r="J221" i="22"/>
  <c r="J222" i="22"/>
  <c r="J223" i="22"/>
  <c r="J224" i="22"/>
  <c r="J225" i="22"/>
  <c r="J226" i="22"/>
  <c r="J227" i="22"/>
  <c r="J228" i="22"/>
  <c r="J229" i="22"/>
  <c r="J230" i="22"/>
  <c r="J231" i="22"/>
  <c r="J232" i="22"/>
  <c r="J233" i="22"/>
  <c r="J234" i="22"/>
  <c r="J235" i="22"/>
  <c r="J236" i="22"/>
  <c r="J237" i="22"/>
  <c r="J238" i="22"/>
  <c r="J239" i="22"/>
  <c r="J240" i="22"/>
  <c r="J241" i="22"/>
  <c r="J242" i="22"/>
  <c r="J243" i="22"/>
  <c r="J244" i="22"/>
  <c r="J245" i="22"/>
  <c r="J246" i="22"/>
  <c r="J247" i="22"/>
  <c r="J248" i="22"/>
  <c r="J249" i="22"/>
  <c r="J250" i="22"/>
  <c r="J251" i="22"/>
  <c r="J252" i="22"/>
  <c r="J253" i="22"/>
  <c r="J254" i="22"/>
  <c r="J255" i="22"/>
  <c r="J256" i="22"/>
  <c r="J257" i="22"/>
  <c r="J258" i="22"/>
  <c r="J259" i="22"/>
  <c r="J260" i="22"/>
  <c r="J261" i="22"/>
  <c r="J262" i="22"/>
  <c r="J263" i="22"/>
  <c r="J264" i="22"/>
  <c r="J265" i="22"/>
  <c r="J266" i="22"/>
  <c r="J267" i="22"/>
  <c r="J268" i="22"/>
  <c r="J269" i="22"/>
  <c r="J270" i="22"/>
  <c r="J271" i="22"/>
  <c r="J272" i="22"/>
  <c r="J273" i="22"/>
  <c r="J274" i="22"/>
  <c r="J275" i="22"/>
  <c r="J276" i="22"/>
  <c r="J277" i="22"/>
  <c r="J278" i="22"/>
  <c r="J279" i="22"/>
  <c r="J280" i="22"/>
  <c r="J281" i="22"/>
  <c r="J282" i="22"/>
  <c r="J283" i="22"/>
  <c r="J284" i="22"/>
  <c r="J285" i="22"/>
  <c r="J286" i="22"/>
  <c r="J287" i="22"/>
  <c r="J288" i="22"/>
  <c r="J289" i="22"/>
  <c r="J290" i="22"/>
  <c r="J291" i="22"/>
  <c r="J292" i="22"/>
  <c r="J293" i="22"/>
  <c r="J294" i="22"/>
  <c r="J295" i="22"/>
  <c r="J296" i="22"/>
  <c r="J297" i="22"/>
  <c r="J298" i="22"/>
  <c r="J299" i="22"/>
  <c r="J300" i="22"/>
  <c r="J301" i="22"/>
  <c r="J302" i="22"/>
  <c r="J303" i="22"/>
  <c r="J304" i="22"/>
  <c r="J305" i="22"/>
  <c r="J306" i="22"/>
  <c r="J307" i="22"/>
  <c r="J308" i="22"/>
  <c r="J309" i="22"/>
  <c r="J310" i="22"/>
  <c r="J311" i="22"/>
  <c r="J312" i="22"/>
  <c r="J313" i="22"/>
  <c r="J314" i="22"/>
  <c r="J315" i="22"/>
  <c r="J316" i="22"/>
  <c r="J317" i="22"/>
  <c r="J318" i="22"/>
  <c r="J319" i="22"/>
  <c r="J320" i="22"/>
  <c r="J321" i="22"/>
  <c r="J322" i="22"/>
  <c r="J323" i="22"/>
  <c r="J324" i="22"/>
  <c r="J325" i="22"/>
  <c r="J326" i="22"/>
  <c r="J327" i="22"/>
  <c r="J328" i="22"/>
  <c r="J329" i="22"/>
  <c r="J330" i="22"/>
  <c r="J331" i="22"/>
  <c r="J332" i="22"/>
  <c r="J333" i="22"/>
  <c r="J334" i="22"/>
  <c r="J335" i="22"/>
  <c r="J336" i="22"/>
  <c r="J337" i="22"/>
  <c r="J338" i="22"/>
  <c r="J339" i="22"/>
  <c r="J340" i="22"/>
  <c r="J341" i="22"/>
  <c r="J342" i="22"/>
  <c r="J343" i="22"/>
  <c r="J344" i="22"/>
  <c r="J345" i="22"/>
  <c r="J346" i="22"/>
  <c r="J347" i="22"/>
  <c r="J348" i="22"/>
  <c r="J349" i="22"/>
  <c r="J350" i="22"/>
  <c r="J351" i="22"/>
  <c r="J352" i="22"/>
  <c r="J353" i="22"/>
  <c r="J354" i="22"/>
  <c r="J355" i="22"/>
  <c r="J356" i="22"/>
  <c r="J357" i="22"/>
  <c r="J358" i="22"/>
  <c r="J359" i="22"/>
  <c r="J360" i="22"/>
  <c r="J361" i="22"/>
  <c r="J362" i="22"/>
  <c r="J363" i="22"/>
  <c r="J364" i="22"/>
  <c r="J365" i="22"/>
  <c r="J366" i="22"/>
  <c r="J367" i="22"/>
  <c r="J368" i="22"/>
  <c r="J369" i="22"/>
  <c r="J370" i="22"/>
  <c r="J371" i="22"/>
  <c r="J372" i="22"/>
  <c r="J373" i="22"/>
  <c r="J374" i="22"/>
  <c r="J375" i="22"/>
  <c r="J376" i="22"/>
  <c r="J377" i="22"/>
  <c r="J378" i="22"/>
  <c r="J379" i="22"/>
  <c r="J380" i="22"/>
  <c r="J381" i="22"/>
  <c r="J382" i="22"/>
  <c r="J383" i="22"/>
  <c r="J384" i="22"/>
  <c r="J385" i="22"/>
  <c r="J386" i="22"/>
  <c r="J387" i="22"/>
  <c r="J388" i="22"/>
  <c r="J389" i="22"/>
  <c r="J390" i="22"/>
  <c r="J391" i="22"/>
  <c r="J392" i="22"/>
  <c r="J393" i="22"/>
  <c r="J394" i="22"/>
  <c r="J395" i="22"/>
  <c r="J396" i="22"/>
  <c r="J397" i="22"/>
  <c r="J398" i="22"/>
  <c r="J399" i="22"/>
  <c r="J400" i="22"/>
  <c r="J401" i="22"/>
  <c r="J402" i="22"/>
  <c r="J403" i="22"/>
  <c r="J404" i="22"/>
  <c r="J405" i="22"/>
  <c r="J406" i="22"/>
  <c r="J407" i="22"/>
  <c r="J408" i="22"/>
  <c r="J409" i="22"/>
  <c r="J410" i="22"/>
  <c r="J411" i="22"/>
  <c r="J412" i="22"/>
  <c r="J413" i="22"/>
  <c r="J414" i="22"/>
  <c r="J415" i="22"/>
  <c r="J416" i="22"/>
  <c r="J417" i="22"/>
  <c r="J418" i="22"/>
  <c r="J419" i="22"/>
  <c r="J420" i="22"/>
  <c r="J421" i="22"/>
  <c r="J422" i="22"/>
  <c r="J423" i="22"/>
  <c r="J424" i="22"/>
  <c r="J425" i="22"/>
  <c r="J426" i="22"/>
  <c r="J427" i="22"/>
  <c r="J428" i="22"/>
  <c r="J429" i="22"/>
  <c r="J430" i="22"/>
  <c r="J431" i="22"/>
  <c r="J432" i="22"/>
  <c r="J433" i="22"/>
  <c r="J434" i="22"/>
  <c r="J435" i="22"/>
  <c r="J436" i="22"/>
  <c r="J437" i="22"/>
  <c r="J438" i="22"/>
  <c r="J439" i="22"/>
  <c r="J440" i="22"/>
  <c r="J441" i="22"/>
  <c r="J442" i="22"/>
  <c r="J443" i="22"/>
  <c r="J444" i="22"/>
  <c r="J445" i="22"/>
  <c r="J446" i="22"/>
  <c r="J447" i="22"/>
  <c r="J448" i="22"/>
  <c r="J449" i="22"/>
  <c r="J450" i="22"/>
  <c r="J451" i="22"/>
  <c r="J452" i="22"/>
  <c r="J453" i="22"/>
  <c r="J454" i="22"/>
  <c r="J455" i="22"/>
  <c r="J456" i="22"/>
  <c r="J457" i="22"/>
  <c r="J458" i="22"/>
  <c r="J459" i="22"/>
  <c r="J460" i="22"/>
  <c r="J461" i="22"/>
  <c r="J462" i="22"/>
  <c r="J463" i="22"/>
  <c r="J464" i="22"/>
  <c r="J465" i="22"/>
  <c r="J466" i="22"/>
  <c r="J467" i="22"/>
  <c r="J468" i="22"/>
  <c r="J469" i="22"/>
  <c r="J470" i="22"/>
  <c r="J471" i="22"/>
  <c r="J472" i="22"/>
  <c r="J473" i="22"/>
  <c r="J474" i="22"/>
  <c r="J475" i="22"/>
  <c r="J476" i="22"/>
  <c r="J477" i="22"/>
  <c r="J478" i="22"/>
  <c r="J479" i="22"/>
  <c r="J480" i="22"/>
  <c r="J481" i="22"/>
  <c r="J482" i="22"/>
  <c r="J483" i="22"/>
  <c r="J484" i="22"/>
  <c r="J485" i="22"/>
  <c r="J486" i="22"/>
  <c r="J487" i="22"/>
  <c r="J488" i="22"/>
  <c r="J489" i="22"/>
  <c r="J490" i="22"/>
  <c r="J491" i="22"/>
  <c r="J492" i="22"/>
  <c r="J493" i="22"/>
  <c r="J494" i="22"/>
  <c r="J495" i="22"/>
  <c r="J496" i="22"/>
  <c r="J497" i="22"/>
  <c r="J498" i="22"/>
  <c r="J499" i="22"/>
  <c r="J500" i="22"/>
  <c r="J501" i="22"/>
  <c r="J502" i="22"/>
  <c r="J503" i="22"/>
  <c r="J504" i="22"/>
  <c r="J505" i="22"/>
  <c r="J506" i="22"/>
  <c r="J507" i="22"/>
  <c r="J508" i="22"/>
  <c r="J509" i="22"/>
  <c r="J510" i="22"/>
  <c r="J511" i="22"/>
  <c r="J512" i="22"/>
  <c r="J513" i="22"/>
  <c r="J514" i="22"/>
  <c r="J515" i="22"/>
  <c r="J516" i="22"/>
  <c r="J517" i="22"/>
  <c r="J518" i="22"/>
  <c r="J519" i="22"/>
  <c r="J520" i="22"/>
  <c r="J521" i="22"/>
  <c r="J522" i="22"/>
  <c r="J523" i="22"/>
  <c r="J524" i="22"/>
  <c r="J525" i="22"/>
  <c r="J526" i="22"/>
  <c r="J527" i="22"/>
  <c r="J528" i="22"/>
  <c r="J529" i="22"/>
  <c r="J530" i="22"/>
  <c r="J531" i="22"/>
  <c r="J532" i="22"/>
  <c r="J533" i="22"/>
  <c r="J534" i="22"/>
  <c r="J535" i="22"/>
  <c r="J536" i="22"/>
  <c r="J537" i="22"/>
  <c r="J538" i="22"/>
  <c r="J539" i="22"/>
  <c r="J540" i="22"/>
  <c r="J541" i="22"/>
  <c r="J542" i="22"/>
  <c r="J543" i="22"/>
  <c r="J544" i="22"/>
  <c r="J545" i="22"/>
  <c r="J546" i="22"/>
  <c r="J547" i="22"/>
  <c r="J548" i="22"/>
  <c r="J549" i="22"/>
  <c r="J550" i="22"/>
  <c r="J551" i="22"/>
  <c r="J552" i="22"/>
  <c r="J553" i="22"/>
  <c r="J554" i="22"/>
  <c r="J555" i="22"/>
  <c r="J556" i="22"/>
  <c r="J557" i="22"/>
  <c r="J558" i="22"/>
  <c r="J559" i="22"/>
  <c r="J560" i="22"/>
  <c r="J561" i="22"/>
  <c r="J562" i="22"/>
  <c r="J563" i="22"/>
  <c r="J564" i="22"/>
  <c r="J565" i="22"/>
  <c r="J566" i="22"/>
  <c r="J567" i="22"/>
  <c r="J568" i="22"/>
  <c r="J569" i="22"/>
  <c r="J570" i="22"/>
  <c r="J571" i="22"/>
  <c r="J572" i="22"/>
  <c r="J573" i="22"/>
  <c r="J574" i="22"/>
  <c r="J575" i="22"/>
  <c r="J576" i="22"/>
  <c r="J577" i="22"/>
  <c r="J578" i="22"/>
  <c r="J579" i="22"/>
  <c r="J580" i="22"/>
  <c r="J581" i="22"/>
  <c r="J582" i="22"/>
  <c r="J583" i="22"/>
  <c r="J584" i="22"/>
  <c r="J585" i="22"/>
  <c r="J586" i="22"/>
  <c r="J587" i="22"/>
  <c r="J588" i="22"/>
  <c r="J589" i="22"/>
  <c r="J590" i="22"/>
  <c r="J591" i="22"/>
  <c r="J592" i="22"/>
  <c r="J593" i="22"/>
  <c r="J594" i="22"/>
  <c r="J595" i="22"/>
  <c r="J596" i="22"/>
  <c r="J597" i="22"/>
  <c r="J598" i="22"/>
  <c r="J599" i="22"/>
  <c r="J600" i="22"/>
  <c r="J601" i="22"/>
  <c r="J602" i="22"/>
  <c r="J603" i="22"/>
  <c r="J604" i="22"/>
  <c r="J605" i="22"/>
  <c r="J606" i="22"/>
  <c r="J607" i="22"/>
  <c r="J608" i="22"/>
  <c r="J609" i="22"/>
  <c r="J610" i="22"/>
  <c r="J611" i="22"/>
  <c r="J612" i="22"/>
  <c r="J613" i="22"/>
  <c r="J614" i="22"/>
  <c r="J615" i="22"/>
  <c r="J616" i="22"/>
  <c r="J617" i="22"/>
  <c r="J618" i="22"/>
  <c r="J619" i="22"/>
  <c r="J620" i="22"/>
  <c r="J621" i="22"/>
  <c r="J622" i="22"/>
  <c r="J623" i="22"/>
  <c r="J624" i="22"/>
  <c r="J625" i="22"/>
  <c r="J626" i="22"/>
  <c r="J627" i="22"/>
  <c r="J628" i="22"/>
  <c r="J629" i="22"/>
  <c r="J630" i="22"/>
  <c r="J631" i="22"/>
  <c r="J632" i="22"/>
  <c r="J633" i="22"/>
  <c r="J634" i="22"/>
  <c r="J635" i="22"/>
  <c r="J636" i="22"/>
  <c r="J637" i="22"/>
  <c r="J638" i="22"/>
  <c r="J639" i="22"/>
  <c r="J640" i="22"/>
  <c r="J641" i="22"/>
  <c r="J642" i="22"/>
  <c r="J643" i="22"/>
  <c r="J644" i="22"/>
  <c r="J645" i="22"/>
  <c r="J646" i="22"/>
  <c r="J647" i="22"/>
  <c r="J648" i="22"/>
  <c r="J649" i="22"/>
  <c r="J650" i="22"/>
  <c r="J651" i="22"/>
  <c r="J652" i="22"/>
  <c r="J653" i="22"/>
  <c r="J654" i="22"/>
  <c r="J655" i="22"/>
  <c r="J656" i="22"/>
  <c r="J657" i="22"/>
  <c r="J658" i="22"/>
  <c r="J659" i="22"/>
  <c r="J660" i="22"/>
  <c r="J661" i="22"/>
  <c r="J662" i="22"/>
  <c r="J663" i="22"/>
  <c r="J664" i="22"/>
  <c r="J665" i="22"/>
  <c r="J666" i="22"/>
  <c r="J667" i="22"/>
  <c r="J668" i="22"/>
  <c r="J669" i="22"/>
  <c r="J670" i="22"/>
  <c r="J671" i="22"/>
  <c r="J672" i="22"/>
  <c r="J673" i="22"/>
  <c r="J674" i="22"/>
  <c r="J675" i="22"/>
  <c r="J676" i="22"/>
  <c r="J677" i="22"/>
  <c r="J678" i="22"/>
  <c r="J679" i="22"/>
  <c r="J680" i="22"/>
  <c r="J681" i="22"/>
  <c r="J682" i="22"/>
  <c r="J683" i="22"/>
  <c r="J684" i="22"/>
  <c r="J685" i="22"/>
  <c r="J686" i="22"/>
  <c r="J687" i="22"/>
  <c r="J688" i="22"/>
  <c r="J689" i="22"/>
  <c r="J690" i="22"/>
  <c r="J691" i="22"/>
  <c r="J692" i="22"/>
  <c r="J693" i="22"/>
  <c r="J694" i="22"/>
  <c r="J695" i="22"/>
  <c r="J696" i="22"/>
  <c r="J697" i="22"/>
  <c r="J698" i="22"/>
  <c r="J699" i="22"/>
  <c r="J700" i="22"/>
  <c r="J701" i="22"/>
  <c r="J702" i="22"/>
  <c r="J703" i="22"/>
  <c r="J704" i="22"/>
  <c r="J705" i="22"/>
  <c r="J706" i="22"/>
  <c r="J707" i="22"/>
  <c r="J708" i="22"/>
  <c r="J709" i="22"/>
  <c r="J710" i="22"/>
  <c r="J711" i="22"/>
  <c r="J712" i="22"/>
  <c r="J713" i="22"/>
  <c r="J714" i="22"/>
  <c r="J715" i="22"/>
  <c r="J716" i="22"/>
  <c r="J717" i="22"/>
  <c r="J718" i="22"/>
  <c r="J719" i="22"/>
  <c r="J720" i="22"/>
  <c r="J721" i="22"/>
  <c r="J722" i="22"/>
  <c r="J723" i="22"/>
  <c r="J724" i="22"/>
  <c r="J725" i="22"/>
  <c r="J726" i="22"/>
  <c r="J727" i="22"/>
  <c r="J728" i="22"/>
  <c r="J729" i="22"/>
  <c r="J730" i="22"/>
  <c r="J731" i="22"/>
  <c r="J732" i="22"/>
  <c r="J733" i="22"/>
  <c r="J734" i="22"/>
  <c r="J735" i="22"/>
  <c r="J736" i="22"/>
  <c r="J737" i="22"/>
  <c r="J738" i="22"/>
  <c r="J739" i="22"/>
  <c r="J740" i="22"/>
  <c r="J741" i="22"/>
  <c r="J742" i="22"/>
  <c r="J743" i="22"/>
  <c r="J744" i="22"/>
  <c r="J745" i="22"/>
  <c r="J746" i="22"/>
  <c r="J747" i="22"/>
  <c r="J748" i="22"/>
  <c r="J749" i="22"/>
  <c r="J750" i="22"/>
  <c r="J751" i="22"/>
  <c r="J752" i="22"/>
  <c r="J753" i="22"/>
  <c r="J754" i="22"/>
  <c r="J755" i="22"/>
  <c r="J756" i="22"/>
  <c r="J757" i="22"/>
  <c r="J758" i="22"/>
  <c r="J759" i="22"/>
  <c r="J760" i="22"/>
  <c r="J761" i="22"/>
  <c r="J762" i="22"/>
  <c r="J763" i="22"/>
  <c r="J764" i="22"/>
  <c r="J765" i="22"/>
  <c r="J766" i="22"/>
  <c r="J767" i="22"/>
  <c r="J768" i="22"/>
  <c r="J769" i="22"/>
  <c r="J770" i="22"/>
  <c r="J771" i="22"/>
  <c r="J772" i="22"/>
  <c r="J773" i="22"/>
  <c r="J774" i="22"/>
  <c r="J775" i="22"/>
  <c r="J776" i="22"/>
  <c r="J777" i="22"/>
  <c r="J778" i="22"/>
  <c r="J779" i="22"/>
  <c r="J780" i="22"/>
  <c r="J781" i="22"/>
  <c r="J782" i="22"/>
  <c r="J783" i="22"/>
  <c r="J784" i="22"/>
  <c r="J785" i="22"/>
  <c r="J786" i="22"/>
  <c r="J787" i="22"/>
  <c r="J788" i="22"/>
  <c r="J789" i="22"/>
  <c r="J790" i="22"/>
  <c r="J791" i="22"/>
  <c r="J792" i="22"/>
  <c r="J793" i="22"/>
  <c r="J794" i="22"/>
  <c r="J795" i="22"/>
  <c r="J796" i="22"/>
  <c r="J797" i="22"/>
  <c r="J798" i="22"/>
  <c r="J799" i="22"/>
  <c r="J800" i="22"/>
  <c r="J801" i="22"/>
  <c r="J802" i="22"/>
  <c r="J803" i="22"/>
  <c r="J804" i="22"/>
  <c r="J805" i="22"/>
  <c r="J806" i="22"/>
  <c r="J807" i="22"/>
  <c r="J808" i="22"/>
  <c r="J809" i="22"/>
  <c r="J810" i="22"/>
  <c r="J811" i="22"/>
  <c r="J812" i="22"/>
  <c r="J813" i="22"/>
  <c r="J814" i="22"/>
  <c r="J815" i="22"/>
  <c r="J816" i="22"/>
  <c r="J817" i="22"/>
  <c r="J818" i="22"/>
  <c r="J819" i="22"/>
  <c r="J820" i="22"/>
  <c r="J821" i="22"/>
  <c r="J822" i="22"/>
  <c r="J823" i="22"/>
  <c r="J824" i="22"/>
  <c r="J825" i="22"/>
  <c r="J826" i="22"/>
  <c r="J827" i="22"/>
  <c r="J828" i="22"/>
  <c r="J829" i="22"/>
  <c r="J830" i="22"/>
  <c r="J831" i="22"/>
  <c r="J832" i="22"/>
  <c r="J833" i="22"/>
  <c r="J834" i="22"/>
  <c r="J835" i="22"/>
  <c r="J836" i="22"/>
  <c r="J837" i="22"/>
  <c r="J838" i="22"/>
  <c r="J839" i="22"/>
  <c r="J840" i="22"/>
  <c r="J841" i="22"/>
  <c r="J842" i="22"/>
  <c r="J843" i="22"/>
  <c r="J844" i="22"/>
  <c r="J845" i="22"/>
  <c r="J846" i="22"/>
  <c r="J847" i="22"/>
  <c r="J848" i="22"/>
  <c r="J849" i="22"/>
  <c r="J850" i="22"/>
  <c r="J851" i="22"/>
  <c r="J852" i="22"/>
  <c r="J853" i="22"/>
  <c r="J854" i="22"/>
  <c r="J855" i="22"/>
  <c r="J856" i="22"/>
  <c r="J857" i="22"/>
  <c r="J858" i="22"/>
  <c r="J859" i="22"/>
  <c r="J860" i="22"/>
  <c r="J861" i="22"/>
  <c r="J862" i="22"/>
  <c r="J863" i="22"/>
  <c r="J864" i="22"/>
  <c r="J865" i="22"/>
  <c r="J866" i="22"/>
  <c r="J867" i="22"/>
  <c r="J868" i="22"/>
  <c r="J869" i="22"/>
  <c r="J870" i="22"/>
  <c r="J871" i="22"/>
  <c r="J872" i="22"/>
  <c r="J873" i="22"/>
  <c r="J874" i="22"/>
  <c r="J875" i="22"/>
  <c r="J876" i="22"/>
  <c r="J877" i="22"/>
  <c r="J878" i="22"/>
  <c r="J879" i="22"/>
  <c r="J880" i="22"/>
  <c r="J881" i="22"/>
  <c r="J882" i="22"/>
  <c r="J883" i="22"/>
  <c r="J884" i="22"/>
  <c r="J885" i="22"/>
  <c r="J886" i="22"/>
  <c r="J887" i="22"/>
  <c r="J888" i="22"/>
  <c r="J889" i="22"/>
  <c r="J890" i="22"/>
  <c r="J891" i="22"/>
  <c r="J892" i="22"/>
  <c r="J893" i="22"/>
  <c r="J894" i="22"/>
  <c r="J895" i="22"/>
  <c r="J896" i="22"/>
  <c r="J897" i="22"/>
  <c r="J898" i="22"/>
  <c r="J899" i="22"/>
  <c r="J900" i="22"/>
  <c r="J901" i="22"/>
  <c r="J902" i="22"/>
  <c r="J903" i="22"/>
  <c r="J904" i="22"/>
  <c r="J905" i="22"/>
  <c r="J906" i="22"/>
  <c r="J907" i="22"/>
  <c r="J908" i="22"/>
  <c r="J909" i="22"/>
  <c r="J910" i="22"/>
  <c r="J911" i="22"/>
  <c r="J912" i="22"/>
  <c r="J913" i="22"/>
  <c r="J914" i="22"/>
  <c r="J915" i="22"/>
  <c r="J916" i="22"/>
  <c r="J917" i="22"/>
  <c r="J918" i="22"/>
  <c r="J919" i="22"/>
  <c r="J920" i="22"/>
  <c r="J921" i="22"/>
  <c r="J922" i="22"/>
  <c r="J923" i="22"/>
  <c r="J924" i="22"/>
  <c r="J925" i="22"/>
  <c r="J926" i="22"/>
  <c r="J927" i="22"/>
  <c r="J928" i="22"/>
  <c r="J929" i="22"/>
  <c r="J930" i="22"/>
  <c r="J931" i="22"/>
  <c r="J932" i="22"/>
  <c r="J933" i="22"/>
  <c r="J934" i="22"/>
  <c r="J935" i="22"/>
  <c r="J936" i="22"/>
  <c r="J937" i="22"/>
  <c r="J938" i="22"/>
  <c r="J939" i="22"/>
  <c r="J940" i="22"/>
  <c r="J941" i="22"/>
  <c r="J942" i="22"/>
  <c r="J943" i="22"/>
  <c r="J944" i="22"/>
  <c r="J945" i="22"/>
  <c r="J946" i="22"/>
  <c r="J947" i="22"/>
  <c r="J948" i="22"/>
  <c r="J949" i="22"/>
  <c r="J950" i="22"/>
  <c r="J951" i="22"/>
  <c r="J952" i="22"/>
  <c r="J953" i="22"/>
  <c r="J954" i="22"/>
  <c r="J955" i="22"/>
  <c r="J956" i="22"/>
  <c r="J957" i="22"/>
  <c r="J958" i="22"/>
  <c r="J959" i="22"/>
  <c r="J960" i="22"/>
  <c r="J961" i="22"/>
  <c r="J962" i="22"/>
  <c r="J963" i="22"/>
  <c r="J964" i="22"/>
  <c r="J965" i="22"/>
  <c r="J966" i="22"/>
  <c r="J967" i="22"/>
  <c r="J968" i="22"/>
  <c r="J969" i="22"/>
  <c r="J970" i="22"/>
  <c r="J971" i="22"/>
  <c r="J972" i="22"/>
  <c r="J973" i="22"/>
  <c r="J974" i="22"/>
  <c r="J975" i="22"/>
  <c r="J976" i="22"/>
  <c r="J977" i="22"/>
  <c r="J978" i="22"/>
  <c r="J979" i="22"/>
  <c r="J980" i="22"/>
  <c r="J981" i="22"/>
  <c r="J982" i="22"/>
  <c r="J983" i="22"/>
  <c r="J984" i="22"/>
  <c r="J985" i="22"/>
  <c r="J986" i="22"/>
  <c r="J987" i="22"/>
  <c r="J988" i="22"/>
  <c r="J989" i="22"/>
  <c r="J990" i="22"/>
  <c r="J991" i="22"/>
  <c r="J992" i="22"/>
  <c r="J993" i="22"/>
  <c r="J994" i="22"/>
  <c r="J995" i="22"/>
  <c r="J996" i="22"/>
  <c r="J997" i="22"/>
  <c r="J998" i="22"/>
  <c r="J999" i="22"/>
  <c r="J1000" i="22"/>
  <c r="J1001" i="22"/>
  <c r="J1002" i="22"/>
  <c r="J1003" i="22"/>
  <c r="J1004" i="22"/>
  <c r="J1005" i="22"/>
  <c r="J1006" i="22"/>
  <c r="J1007" i="22"/>
  <c r="J1008" i="22"/>
  <c r="J1009" i="22"/>
  <c r="J1010" i="22"/>
  <c r="J1011" i="22"/>
  <c r="J1012" i="22"/>
  <c r="J1013" i="22"/>
  <c r="J1014" i="22"/>
  <c r="J1015" i="22"/>
  <c r="J1016" i="22"/>
  <c r="J1017" i="22"/>
  <c r="J1018" i="22"/>
  <c r="J1019" i="22"/>
  <c r="J1020" i="22"/>
  <c r="J1021" i="22"/>
  <c r="J1022" i="22"/>
  <c r="J1023" i="22"/>
  <c r="J1024" i="22"/>
  <c r="J1025" i="22"/>
  <c r="J1026" i="22"/>
  <c r="J1027" i="22"/>
  <c r="J1028" i="22"/>
  <c r="J1029" i="22"/>
  <c r="J1030" i="22"/>
  <c r="J1031" i="22"/>
  <c r="J1032" i="22"/>
  <c r="J1033" i="22"/>
  <c r="J1034" i="22"/>
  <c r="J1035" i="22"/>
  <c r="J1036" i="22"/>
  <c r="J1037" i="22"/>
  <c r="J1038" i="22"/>
  <c r="J1039" i="22"/>
  <c r="J1040" i="22"/>
  <c r="J1041" i="22"/>
  <c r="J1042" i="22"/>
  <c r="J1043" i="22"/>
  <c r="J1044" i="22"/>
  <c r="J1045" i="22"/>
  <c r="J1046" i="22"/>
  <c r="J1047" i="22"/>
  <c r="J1048" i="22"/>
  <c r="J1049" i="22"/>
  <c r="J1050" i="22"/>
  <c r="J1051" i="22"/>
  <c r="J1052" i="22"/>
  <c r="J1053" i="22"/>
  <c r="J1054" i="22"/>
  <c r="J1055" i="22"/>
  <c r="J1056" i="22"/>
  <c r="J1057" i="22"/>
  <c r="J1058" i="22"/>
  <c r="J1059" i="22"/>
  <c r="J1060" i="22"/>
  <c r="J1061" i="22"/>
  <c r="J1062" i="22"/>
  <c r="J1063" i="22"/>
  <c r="J1064" i="22"/>
  <c r="J1065" i="22"/>
  <c r="J1066" i="22"/>
  <c r="J1067" i="22"/>
  <c r="J1068" i="22"/>
  <c r="J1069" i="22"/>
  <c r="J1070" i="22"/>
  <c r="J1071" i="22"/>
  <c r="J1072" i="22"/>
  <c r="J1073" i="22"/>
  <c r="J1074" i="22"/>
  <c r="J1075" i="22"/>
  <c r="J1076" i="22"/>
  <c r="J1077" i="22"/>
  <c r="J1078" i="22"/>
  <c r="J1079" i="22"/>
  <c r="J1080" i="22"/>
  <c r="J1081" i="22"/>
  <c r="J1082" i="22"/>
  <c r="J1083" i="22"/>
  <c r="J1084" i="22"/>
  <c r="J1085" i="22"/>
  <c r="J1086" i="22"/>
  <c r="J1087" i="22"/>
  <c r="J1088" i="22"/>
  <c r="J1089" i="22"/>
  <c r="J1090" i="22"/>
  <c r="J1091" i="22"/>
  <c r="J1092" i="22"/>
  <c r="J1093" i="22"/>
  <c r="J1094" i="22"/>
  <c r="J1095" i="22"/>
  <c r="J1096" i="22"/>
  <c r="J1097" i="22"/>
  <c r="J1098" i="22"/>
  <c r="J1099" i="22"/>
  <c r="J1100" i="22"/>
  <c r="J1101" i="22"/>
  <c r="J1102" i="22"/>
  <c r="J1103" i="22"/>
  <c r="J1104" i="22"/>
  <c r="J1105" i="22"/>
  <c r="J1106" i="22"/>
  <c r="J1107" i="22"/>
  <c r="J1108" i="22"/>
  <c r="J1109" i="22"/>
  <c r="J1110" i="22"/>
  <c r="J1111" i="22"/>
  <c r="J1112" i="22"/>
  <c r="J1113" i="22"/>
  <c r="J1114" i="22"/>
  <c r="J1115" i="22"/>
  <c r="J1116" i="22"/>
  <c r="J1117" i="22"/>
  <c r="J1118" i="22"/>
  <c r="J1119" i="22"/>
  <c r="J1120" i="22"/>
  <c r="J1121" i="22"/>
  <c r="J1122" i="22"/>
  <c r="J1123" i="22"/>
  <c r="J1124" i="22"/>
  <c r="J1125" i="22"/>
  <c r="J1126" i="22"/>
  <c r="J1127" i="22"/>
  <c r="J1128" i="22"/>
  <c r="J1129" i="22"/>
  <c r="J1130" i="22"/>
  <c r="J1131" i="22"/>
  <c r="J1132" i="22"/>
  <c r="J1133" i="22"/>
  <c r="J1134" i="22"/>
  <c r="J1135" i="22"/>
  <c r="J1136" i="22"/>
  <c r="J1137" i="22"/>
  <c r="J1138" i="22"/>
  <c r="J1139" i="22"/>
  <c r="J1140" i="22"/>
  <c r="J1141" i="22"/>
  <c r="J1142" i="22"/>
  <c r="J1143" i="22"/>
  <c r="J1144" i="22"/>
  <c r="J1145" i="22"/>
  <c r="J1146" i="22"/>
  <c r="J1147" i="22"/>
  <c r="J1148" i="22"/>
  <c r="J1149" i="22"/>
  <c r="J1150" i="22"/>
  <c r="J1151" i="22"/>
  <c r="J1152" i="22"/>
  <c r="J1153" i="22"/>
  <c r="J1154" i="22"/>
  <c r="J1155" i="22"/>
  <c r="J1156" i="22"/>
  <c r="J1157" i="22"/>
  <c r="J1158" i="22"/>
  <c r="J1159" i="22"/>
  <c r="J1160" i="22"/>
  <c r="J1161" i="22"/>
  <c r="J1163" i="22"/>
  <c r="J1164" i="22"/>
  <c r="J1165" i="22"/>
  <c r="J1166" i="22"/>
  <c r="J1167" i="22"/>
  <c r="J1168" i="22"/>
  <c r="J1169" i="22"/>
  <c r="J1170" i="22"/>
  <c r="J1171" i="22"/>
  <c r="J1172" i="22"/>
  <c r="J1173" i="22"/>
  <c r="J1174" i="22"/>
  <c r="J1175" i="22"/>
  <c r="J1176" i="22"/>
  <c r="J1177" i="22"/>
  <c r="J1178" i="22"/>
  <c r="J1179" i="22"/>
  <c r="J1180" i="22"/>
  <c r="J1181" i="22"/>
  <c r="J1182" i="22"/>
  <c r="J1183" i="22"/>
  <c r="J1184" i="22"/>
  <c r="J1185" i="22"/>
  <c r="J1186" i="22"/>
  <c r="J1187" i="22"/>
  <c r="J1188" i="22"/>
  <c r="J1189" i="22"/>
  <c r="J1190" i="22"/>
  <c r="J1191" i="22"/>
  <c r="J1192" i="22"/>
  <c r="J1193" i="22"/>
  <c r="J1194" i="22"/>
  <c r="J1195" i="22"/>
  <c r="J1196" i="22"/>
  <c r="J1197" i="22"/>
  <c r="J1198" i="22"/>
  <c r="J1199" i="22"/>
  <c r="J1200" i="22"/>
  <c r="J1201" i="22"/>
  <c r="J1202" i="22"/>
  <c r="J1203" i="22"/>
  <c r="J1204" i="22"/>
  <c r="J1205" i="22"/>
  <c r="J1206" i="22"/>
  <c r="J1207" i="22"/>
  <c r="J1208" i="22"/>
  <c r="J1209" i="22"/>
  <c r="J1210" i="22"/>
  <c r="J1211" i="22"/>
  <c r="J1212" i="22"/>
  <c r="J1213" i="22"/>
  <c r="J1214" i="22"/>
  <c r="J1215" i="22"/>
  <c r="J1216" i="22"/>
  <c r="J1217" i="22"/>
  <c r="J1218" i="22"/>
  <c r="J1219" i="22"/>
  <c r="J1220" i="22"/>
  <c r="J1221" i="22"/>
  <c r="J1222" i="22"/>
  <c r="J1223" i="22"/>
  <c r="J1224" i="22"/>
  <c r="J1225" i="22"/>
  <c r="J1226" i="22"/>
  <c r="J1227" i="22"/>
  <c r="J1228" i="22"/>
  <c r="J1229" i="22"/>
  <c r="J1230" i="22"/>
  <c r="J1231" i="22"/>
  <c r="J1232" i="22"/>
  <c r="J1233" i="22"/>
  <c r="J1234" i="22"/>
  <c r="J1235" i="22"/>
  <c r="J1236" i="22"/>
  <c r="J1237" i="22"/>
  <c r="J1238" i="22"/>
  <c r="J1239" i="22"/>
  <c r="J1240" i="22"/>
  <c r="J1241" i="22"/>
  <c r="J1242" i="22"/>
  <c r="J1243" i="22"/>
  <c r="J1244" i="22"/>
  <c r="J1245" i="22"/>
  <c r="J1246" i="22"/>
  <c r="J1247" i="22"/>
  <c r="J1248" i="22"/>
  <c r="J1249" i="22"/>
  <c r="J1250" i="22"/>
  <c r="J1251" i="22"/>
  <c r="J1252" i="22"/>
  <c r="J1253" i="22"/>
  <c r="J1254" i="22"/>
  <c r="J1255" i="22"/>
  <c r="J1256" i="22"/>
  <c r="J1257" i="22"/>
  <c r="J1258" i="22"/>
  <c r="J1259" i="22"/>
  <c r="J1260" i="22"/>
  <c r="J1261" i="22"/>
  <c r="J1262" i="22"/>
  <c r="J1263" i="22"/>
  <c r="J1264" i="22"/>
  <c r="J1265" i="22"/>
  <c r="J1266" i="22"/>
  <c r="J1267" i="22"/>
  <c r="J1268" i="22"/>
  <c r="J1269" i="22"/>
  <c r="J1270" i="22"/>
  <c r="J1271" i="22"/>
  <c r="J1272" i="22"/>
  <c r="J1273" i="22"/>
  <c r="J1274" i="22"/>
  <c r="J1275" i="22"/>
  <c r="J1276" i="22"/>
  <c r="J1277" i="22"/>
  <c r="J1278" i="22"/>
  <c r="J1279" i="22"/>
  <c r="J1280" i="22"/>
  <c r="J1281" i="22"/>
  <c r="J1282" i="22"/>
  <c r="J1283" i="22"/>
  <c r="J1284" i="22"/>
  <c r="J1285" i="22"/>
  <c r="J1286" i="22"/>
  <c r="J1287" i="22"/>
  <c r="J1288" i="22"/>
  <c r="J1289" i="22"/>
  <c r="J1290" i="22"/>
  <c r="J1291" i="22"/>
  <c r="J1292" i="22"/>
  <c r="J1293" i="22"/>
  <c r="J1294" i="22"/>
  <c r="J1295" i="22"/>
  <c r="J1296" i="22"/>
  <c r="J1297" i="22"/>
  <c r="J1298" i="22"/>
  <c r="J1299" i="22"/>
  <c r="J1300" i="22"/>
  <c r="J1301" i="22"/>
  <c r="J1302" i="22"/>
  <c r="J1303" i="22"/>
  <c r="J1304" i="22"/>
  <c r="J1305" i="22"/>
  <c r="J1306" i="22"/>
  <c r="J1307" i="22"/>
  <c r="J1308" i="22"/>
  <c r="J1309" i="22"/>
  <c r="J1310" i="22"/>
  <c r="J1311" i="22"/>
  <c r="J1312" i="22"/>
  <c r="J1313" i="22"/>
  <c r="J1314" i="22"/>
  <c r="J1315" i="22"/>
  <c r="J1316" i="22"/>
  <c r="J1317" i="22"/>
  <c r="J1318" i="22"/>
  <c r="J1319" i="22"/>
  <c r="J1320" i="22"/>
  <c r="J1321" i="22"/>
  <c r="J1322" i="22"/>
  <c r="J1323" i="22"/>
  <c r="J1324" i="22"/>
  <c r="J1325" i="22"/>
  <c r="J1326" i="22"/>
  <c r="J1327" i="22"/>
  <c r="J1328" i="22"/>
  <c r="J1329" i="22"/>
  <c r="J1330" i="22"/>
  <c r="J1331" i="22"/>
  <c r="J1332" i="22"/>
  <c r="J1333" i="22"/>
  <c r="J1334" i="22"/>
  <c r="J1335" i="22"/>
  <c r="J1336" i="22"/>
  <c r="J1337" i="22"/>
  <c r="J1338" i="22"/>
  <c r="J1339" i="22"/>
  <c r="J1340" i="22"/>
  <c r="J1341" i="22"/>
  <c r="J1342" i="22"/>
  <c r="J1343" i="22"/>
  <c r="J1344" i="22"/>
  <c r="J1345" i="22"/>
  <c r="J1346" i="22"/>
  <c r="J1347" i="22"/>
  <c r="J1348" i="22"/>
  <c r="J1349" i="22"/>
  <c r="J1350" i="22"/>
  <c r="J1351" i="22"/>
  <c r="J1352" i="22"/>
  <c r="J1353" i="22"/>
  <c r="J1354" i="22"/>
  <c r="J1355" i="22"/>
  <c r="J1356" i="22"/>
  <c r="J1357" i="22"/>
  <c r="J1358" i="22"/>
  <c r="J1359" i="22"/>
  <c r="J1360" i="22"/>
  <c r="J1361" i="22"/>
  <c r="J1362" i="22"/>
  <c r="J1363" i="22"/>
  <c r="J1364" i="22"/>
  <c r="J1365" i="22"/>
  <c r="J1366" i="22"/>
  <c r="J1367" i="22"/>
  <c r="J1368" i="22"/>
  <c r="J1369" i="22"/>
  <c r="J1370" i="22"/>
  <c r="J1371" i="22"/>
  <c r="J1372" i="22"/>
  <c r="J1373" i="22"/>
  <c r="J1374" i="22"/>
  <c r="J1375" i="22"/>
  <c r="J1376" i="22"/>
  <c r="J1377" i="22"/>
  <c r="J1378" i="22"/>
  <c r="J1379" i="22"/>
  <c r="J1380" i="22"/>
  <c r="J1381" i="22"/>
  <c r="J1382" i="22"/>
  <c r="J1383" i="22"/>
  <c r="J1384" i="22"/>
  <c r="J1385" i="22"/>
  <c r="J1386" i="22"/>
  <c r="J1387" i="22"/>
  <c r="J1388" i="22"/>
  <c r="J1389" i="22"/>
  <c r="J1390" i="22"/>
  <c r="J1391" i="22"/>
  <c r="J1392" i="22"/>
  <c r="J1393" i="22"/>
  <c r="J1394" i="22"/>
  <c r="J1395" i="22"/>
  <c r="J1396" i="22"/>
  <c r="J1397" i="22"/>
  <c r="J1398" i="22"/>
  <c r="J1399" i="22"/>
  <c r="J1400" i="22"/>
  <c r="J1401" i="22"/>
  <c r="J1402" i="22"/>
  <c r="J1403" i="22"/>
  <c r="J1404" i="22"/>
  <c r="J1405" i="22"/>
  <c r="J1406" i="22"/>
  <c r="J1407" i="22"/>
  <c r="J1408" i="22"/>
  <c r="J1409" i="22"/>
  <c r="J1410" i="22"/>
  <c r="J1411" i="22"/>
  <c r="J1412" i="22"/>
  <c r="J1413" i="22"/>
  <c r="J1414" i="22"/>
  <c r="J1415" i="22"/>
  <c r="J1416" i="22"/>
  <c r="J1417" i="22"/>
  <c r="J1418" i="22"/>
  <c r="J1419" i="22"/>
  <c r="J1420" i="22"/>
  <c r="J1421" i="22"/>
  <c r="J1422" i="22"/>
  <c r="J1423" i="22"/>
  <c r="J1424" i="22"/>
  <c r="J1425" i="22"/>
  <c r="J1426" i="22"/>
  <c r="J1427" i="22"/>
  <c r="J1428" i="22"/>
  <c r="J1429" i="22"/>
  <c r="J1430" i="22"/>
  <c r="J1431" i="22"/>
  <c r="J1432" i="22"/>
  <c r="J1433" i="22"/>
  <c r="J1434" i="22"/>
  <c r="J1435" i="22"/>
  <c r="J1436" i="22"/>
  <c r="J1437" i="22"/>
  <c r="J1438" i="22"/>
  <c r="J1439" i="22"/>
  <c r="J1440" i="22"/>
  <c r="J1441" i="22"/>
  <c r="J1442" i="22"/>
  <c r="J1443" i="22"/>
  <c r="J1444" i="22"/>
  <c r="J1445" i="22"/>
  <c r="J1446" i="22"/>
  <c r="J1447" i="22"/>
  <c r="J1448" i="22"/>
  <c r="J1449" i="22"/>
  <c r="J1450" i="22"/>
  <c r="J1451" i="22"/>
  <c r="J1452" i="22"/>
  <c r="J1453" i="22"/>
  <c r="J1454" i="22"/>
  <c r="J1455" i="22"/>
  <c r="J1456" i="22"/>
  <c r="J1457" i="22"/>
  <c r="J1458" i="22"/>
  <c r="J1459" i="22"/>
  <c r="J1460" i="22"/>
  <c r="J1461" i="22"/>
  <c r="J1462" i="22"/>
  <c r="J1463" i="22"/>
  <c r="J1464" i="22"/>
  <c r="J1465" i="22"/>
  <c r="J1466" i="22"/>
  <c r="J1467" i="22"/>
  <c r="J1468" i="22"/>
  <c r="J1469" i="22"/>
  <c r="J1470" i="22"/>
  <c r="J1471" i="22"/>
  <c r="J1472" i="22"/>
  <c r="J1473" i="22"/>
  <c r="J1474" i="22"/>
  <c r="J1475" i="22"/>
  <c r="J1476" i="22"/>
  <c r="J1477" i="22"/>
  <c r="J1478" i="22"/>
  <c r="J1479" i="22"/>
  <c r="J1480" i="22"/>
  <c r="J1481" i="22"/>
  <c r="J1482" i="22"/>
  <c r="J1483" i="22"/>
  <c r="J1484" i="22"/>
  <c r="J1485" i="22"/>
  <c r="J1486" i="22"/>
  <c r="J1487" i="22"/>
  <c r="J1488" i="22"/>
  <c r="J1489" i="22"/>
  <c r="J1490" i="22"/>
  <c r="J1491" i="22"/>
  <c r="J1492" i="22"/>
  <c r="J1493" i="22"/>
  <c r="J1494" i="22"/>
  <c r="J1495" i="22"/>
  <c r="J1496" i="22"/>
  <c r="J1497" i="22"/>
  <c r="J1498" i="22"/>
  <c r="J1499" i="22"/>
  <c r="J1500" i="22"/>
  <c r="J1501" i="22"/>
  <c r="J1502" i="22"/>
  <c r="J1503" i="22"/>
  <c r="J1504" i="22"/>
  <c r="J1505" i="22"/>
  <c r="J1506" i="22"/>
  <c r="J1507" i="22"/>
  <c r="J1508" i="22"/>
  <c r="J1509" i="22"/>
  <c r="J1510" i="22"/>
  <c r="J1511" i="22"/>
  <c r="J1512" i="22"/>
  <c r="J1513" i="22"/>
  <c r="J1514" i="22"/>
  <c r="J1515" i="22"/>
  <c r="J1516" i="22"/>
  <c r="J1517" i="22"/>
  <c r="J1518" i="22"/>
  <c r="J1519" i="22"/>
  <c r="J1520" i="22"/>
  <c r="J1521" i="22"/>
  <c r="J1522" i="22"/>
  <c r="J1523" i="22"/>
  <c r="J1524" i="22"/>
  <c r="J1525" i="22"/>
  <c r="J1526" i="22"/>
  <c r="J1527" i="22"/>
  <c r="J1528" i="22"/>
  <c r="J1529" i="22"/>
  <c r="J1530" i="22"/>
  <c r="J1531" i="22"/>
  <c r="J1532" i="22"/>
  <c r="J1533" i="22"/>
  <c r="J1534" i="22"/>
  <c r="J1535" i="22"/>
  <c r="J1536" i="22"/>
  <c r="J1537" i="22"/>
  <c r="J1538" i="22"/>
  <c r="J1539" i="22"/>
  <c r="J1540" i="22"/>
  <c r="J1541" i="22"/>
  <c r="J1542" i="22"/>
  <c r="J1543" i="22"/>
  <c r="J1544" i="22"/>
  <c r="J1545" i="22"/>
  <c r="J1546" i="22"/>
  <c r="J1547" i="22"/>
  <c r="J1548" i="22"/>
  <c r="J1549" i="22"/>
  <c r="J1550" i="22"/>
  <c r="J1551" i="22"/>
  <c r="J1552" i="22"/>
  <c r="J1553" i="22"/>
  <c r="J1554" i="22"/>
  <c r="J1555" i="22"/>
  <c r="J1556" i="22"/>
  <c r="J1557" i="22"/>
  <c r="J1558" i="22"/>
  <c r="J1559" i="22"/>
  <c r="J1560" i="22"/>
  <c r="J1561" i="22"/>
  <c r="J1562" i="22"/>
  <c r="J1563" i="22"/>
  <c r="J1564" i="22"/>
  <c r="J1565" i="22"/>
  <c r="J1566" i="22"/>
  <c r="J1567" i="22"/>
  <c r="J1568" i="22"/>
  <c r="J1569" i="22"/>
  <c r="J1570" i="22"/>
  <c r="J1571" i="22"/>
  <c r="J1572" i="22"/>
  <c r="J1573" i="22"/>
  <c r="J1574" i="22"/>
  <c r="J1575" i="22"/>
  <c r="J1576" i="22"/>
  <c r="J1577" i="22"/>
  <c r="J1578" i="22"/>
  <c r="J1579" i="22"/>
  <c r="J1580" i="22"/>
  <c r="J1581" i="22"/>
  <c r="J1582" i="22"/>
  <c r="J1583" i="22"/>
  <c r="J1584" i="22"/>
  <c r="J1585" i="22"/>
  <c r="J1586" i="22"/>
  <c r="J1587" i="22"/>
  <c r="J1588" i="22"/>
  <c r="J1589" i="22"/>
  <c r="J1590" i="22"/>
  <c r="J1591" i="22"/>
  <c r="J1592" i="22"/>
  <c r="J1593" i="22"/>
  <c r="J1594" i="22"/>
  <c r="J1595" i="22"/>
  <c r="J1596" i="22"/>
  <c r="J1597" i="22"/>
  <c r="J1598" i="22"/>
  <c r="J1599" i="22"/>
  <c r="J1600" i="22"/>
  <c r="J1601" i="22"/>
  <c r="J1602" i="22"/>
  <c r="J1603" i="22"/>
  <c r="J1604" i="22"/>
  <c r="J1605" i="22"/>
  <c r="J1606" i="22"/>
  <c r="J1607" i="22"/>
  <c r="J1608" i="22"/>
  <c r="J1609" i="22"/>
  <c r="J1610" i="22"/>
  <c r="J1611" i="22"/>
  <c r="J1612" i="22"/>
  <c r="J1613" i="22"/>
  <c r="J1614" i="22"/>
  <c r="J1615" i="22"/>
  <c r="J1616" i="22"/>
  <c r="J1617" i="22"/>
  <c r="J1618" i="22"/>
  <c r="J1619" i="22"/>
  <c r="J1620" i="22"/>
  <c r="J1621" i="22"/>
  <c r="J1622" i="22"/>
  <c r="J1623" i="22"/>
  <c r="J1624" i="22"/>
  <c r="J1625" i="22"/>
  <c r="J1626" i="22"/>
  <c r="J1627" i="22"/>
  <c r="J1628" i="22"/>
  <c r="J1629" i="22"/>
  <c r="J1630" i="22"/>
  <c r="J1631" i="22"/>
  <c r="J1632" i="22"/>
  <c r="J1633" i="22"/>
  <c r="J1634" i="22"/>
  <c r="J1635" i="22"/>
  <c r="J1636" i="22"/>
  <c r="J1637" i="22"/>
  <c r="J1638" i="22"/>
  <c r="J1639" i="22"/>
  <c r="J1640" i="22"/>
  <c r="J1641" i="22"/>
  <c r="J1642" i="22"/>
  <c r="J1643" i="22"/>
  <c r="J1644" i="22"/>
  <c r="J1645" i="22"/>
  <c r="J1646" i="22"/>
  <c r="J1647" i="22"/>
  <c r="J1648" i="22"/>
  <c r="J1649" i="22"/>
  <c r="J1650" i="22"/>
  <c r="J1651" i="22"/>
  <c r="J1652" i="22"/>
  <c r="J1653" i="22"/>
  <c r="J1654" i="22"/>
  <c r="J1655" i="22"/>
  <c r="J1656" i="22"/>
  <c r="J1657" i="22"/>
  <c r="J1658" i="22"/>
  <c r="J1659" i="22"/>
  <c r="J1660" i="22"/>
  <c r="J1661" i="22"/>
  <c r="J1662" i="22"/>
  <c r="J1663" i="22"/>
  <c r="J1664" i="22"/>
  <c r="J1665" i="22"/>
  <c r="J1666" i="22"/>
  <c r="J1667" i="22"/>
  <c r="J1668" i="22"/>
  <c r="J1669" i="22"/>
  <c r="J1670" i="22"/>
  <c r="J1671" i="22"/>
  <c r="J1672" i="22"/>
  <c r="J1673" i="22"/>
  <c r="J1674" i="22"/>
  <c r="J1675" i="22"/>
  <c r="J1676" i="22"/>
  <c r="J1677" i="22"/>
  <c r="J1678" i="22"/>
  <c r="J1679" i="22"/>
  <c r="J1680" i="22"/>
  <c r="J1681" i="22"/>
  <c r="J1682" i="22"/>
  <c r="J1683" i="22"/>
  <c r="J1684" i="22"/>
  <c r="J1685" i="22"/>
  <c r="J1686" i="22"/>
  <c r="J1687" i="22"/>
  <c r="J1688" i="22"/>
  <c r="J1689" i="22"/>
  <c r="J1690" i="22"/>
  <c r="J1691" i="22"/>
  <c r="J1692" i="22"/>
  <c r="J1693" i="22"/>
  <c r="J1694" i="22"/>
  <c r="J1695" i="22"/>
  <c r="J1696" i="22"/>
  <c r="J1697" i="22"/>
  <c r="J1698" i="22"/>
  <c r="J1699" i="22"/>
  <c r="J1700" i="22"/>
  <c r="J1701" i="22"/>
  <c r="J1702" i="22"/>
  <c r="J1703" i="22"/>
  <c r="J1704" i="22"/>
  <c r="J1705" i="22"/>
  <c r="J1706" i="22"/>
  <c r="J1707" i="22"/>
  <c r="J1708" i="22"/>
  <c r="J1709" i="22"/>
  <c r="J1710" i="22"/>
  <c r="J1711" i="22"/>
  <c r="J1712" i="22"/>
  <c r="J1713" i="22"/>
  <c r="J1714" i="22"/>
  <c r="J1715" i="22"/>
  <c r="J1716" i="22"/>
  <c r="J1717" i="22"/>
  <c r="J1718" i="22"/>
  <c r="J1719" i="22"/>
  <c r="J1720" i="22"/>
  <c r="J1721" i="22"/>
  <c r="J1722" i="22"/>
  <c r="J1723" i="22"/>
  <c r="J1724" i="22"/>
  <c r="J1725" i="22"/>
  <c r="J1726" i="22"/>
  <c r="J1727" i="22"/>
  <c r="J1728" i="22"/>
  <c r="J1729" i="22"/>
  <c r="J1730" i="22"/>
  <c r="J1731" i="22"/>
  <c r="J1732" i="22"/>
  <c r="J1733" i="22"/>
  <c r="J1734" i="22"/>
  <c r="J1735" i="22"/>
  <c r="J1736" i="22"/>
  <c r="J1737" i="22"/>
  <c r="J1738" i="22"/>
  <c r="J1739" i="22"/>
  <c r="J1740" i="22"/>
  <c r="J1741" i="22"/>
  <c r="J1742" i="22"/>
  <c r="J1743" i="22"/>
  <c r="J1744" i="22"/>
  <c r="J1745" i="22"/>
  <c r="J1746" i="22"/>
  <c r="J1747" i="22"/>
  <c r="J1748" i="22"/>
  <c r="J1749" i="22"/>
  <c r="J1750" i="22"/>
  <c r="J1751" i="22"/>
  <c r="J1752" i="22"/>
  <c r="J1753" i="22"/>
  <c r="J1754" i="22"/>
  <c r="J1755" i="22"/>
  <c r="J1756" i="22"/>
  <c r="J1757" i="22"/>
  <c r="J1758" i="22"/>
  <c r="J1759" i="22"/>
  <c r="J1760" i="22"/>
  <c r="J1761" i="22"/>
  <c r="J1762" i="22"/>
  <c r="J1763" i="22"/>
  <c r="J1764" i="22"/>
  <c r="J1765" i="22"/>
  <c r="J1766" i="22"/>
  <c r="J1767" i="22"/>
  <c r="J1768" i="22"/>
  <c r="J1769" i="22"/>
  <c r="J1770" i="22"/>
  <c r="J1771" i="22"/>
  <c r="J1772" i="22"/>
  <c r="J1773" i="22"/>
  <c r="J1774" i="22"/>
  <c r="J1775" i="22"/>
  <c r="J1776" i="22"/>
  <c r="J1777" i="22"/>
  <c r="J1778" i="22"/>
  <c r="J1779" i="22"/>
  <c r="J1780" i="22"/>
  <c r="J1781" i="22"/>
  <c r="J1782" i="22"/>
  <c r="J1783" i="22"/>
  <c r="J1784" i="22"/>
  <c r="J1785" i="22"/>
  <c r="J1786" i="22"/>
  <c r="J1787" i="22"/>
  <c r="J1788" i="22"/>
  <c r="J1789" i="22"/>
  <c r="J1790" i="22"/>
  <c r="J1791" i="22"/>
  <c r="J1792" i="22"/>
  <c r="J1793" i="22"/>
  <c r="J1794" i="22"/>
  <c r="J1795" i="22"/>
  <c r="J1796" i="22"/>
  <c r="J1797" i="22"/>
  <c r="J1798" i="22"/>
  <c r="J1799" i="22"/>
  <c r="J1800" i="22"/>
  <c r="J1801" i="22"/>
  <c r="J1802" i="22"/>
  <c r="J1803" i="22"/>
  <c r="J1804" i="22"/>
  <c r="J1805" i="22"/>
  <c r="J1806" i="22"/>
  <c r="J1807" i="22"/>
  <c r="J1808" i="22"/>
  <c r="J1809" i="22"/>
  <c r="J1810" i="22"/>
  <c r="J1811" i="22"/>
  <c r="J1812" i="22"/>
  <c r="J1813" i="22"/>
  <c r="J1814" i="22"/>
  <c r="J1815" i="22"/>
  <c r="J1816" i="22"/>
  <c r="J1817" i="22"/>
  <c r="J1818" i="22"/>
  <c r="J1819" i="22"/>
  <c r="J1820" i="22"/>
  <c r="J1821" i="22"/>
  <c r="J1822" i="22"/>
  <c r="J1823" i="22"/>
  <c r="J1824" i="22"/>
  <c r="J1825" i="22"/>
  <c r="J1826" i="22"/>
  <c r="J1827" i="22"/>
  <c r="J1828" i="22"/>
  <c r="J1829" i="22"/>
  <c r="J1830" i="22"/>
  <c r="J1831" i="22"/>
  <c r="J1832" i="22"/>
  <c r="J1833" i="22"/>
  <c r="J1834" i="22"/>
  <c r="J1835" i="22"/>
  <c r="J1836" i="22"/>
  <c r="J1837" i="22"/>
  <c r="J1838" i="22"/>
  <c r="J1839" i="22"/>
  <c r="J1840" i="22"/>
  <c r="J1841" i="22"/>
  <c r="J1842" i="22"/>
  <c r="J1843" i="22"/>
  <c r="J1844" i="22"/>
  <c r="J1845" i="22"/>
  <c r="J1846" i="22"/>
  <c r="J1847" i="22"/>
  <c r="J1848" i="22"/>
  <c r="J1849" i="22"/>
  <c r="J1850" i="22"/>
  <c r="J1851" i="22"/>
  <c r="J1852" i="22"/>
  <c r="J1853" i="22"/>
  <c r="J1854" i="22"/>
  <c r="J1855" i="22"/>
  <c r="J1856" i="22"/>
  <c r="J1857" i="22"/>
  <c r="J1858" i="22"/>
  <c r="J1859" i="22"/>
  <c r="J1860" i="22"/>
  <c r="J1861" i="22"/>
  <c r="J1862" i="22"/>
  <c r="J1863" i="22"/>
  <c r="J1864" i="22"/>
  <c r="J1865" i="22"/>
  <c r="J1866" i="22"/>
  <c r="J1867" i="22"/>
  <c r="J1868" i="22"/>
  <c r="J1869" i="22"/>
  <c r="J1870" i="22"/>
  <c r="J1871" i="22"/>
  <c r="J1872" i="22"/>
  <c r="J1873" i="22"/>
  <c r="J1874" i="22"/>
  <c r="J1875" i="22"/>
  <c r="J1876" i="22"/>
  <c r="J1877" i="22"/>
  <c r="J1878" i="22"/>
  <c r="J1879" i="22"/>
  <c r="J1880" i="22"/>
  <c r="J1881" i="22"/>
  <c r="J1882" i="22"/>
  <c r="J1883" i="22"/>
  <c r="J1884" i="22"/>
  <c r="J1885" i="22"/>
  <c r="J1886" i="22"/>
  <c r="J1887" i="22"/>
  <c r="J1888" i="22"/>
  <c r="J1889" i="22"/>
  <c r="J1890" i="22"/>
  <c r="J1891" i="22"/>
  <c r="J1892" i="22"/>
  <c r="J1893" i="22"/>
  <c r="J1894" i="22"/>
  <c r="J1895" i="22"/>
  <c r="J1896" i="22"/>
  <c r="J1897" i="22"/>
  <c r="J1898" i="22"/>
  <c r="J1899" i="22"/>
  <c r="J1900" i="22"/>
  <c r="J1901" i="22"/>
  <c r="J1902" i="22"/>
  <c r="J1903" i="22"/>
  <c r="J1904" i="22"/>
  <c r="J1905" i="22"/>
  <c r="J1906" i="22"/>
  <c r="J1907" i="22"/>
  <c r="J1908" i="22"/>
  <c r="J1909" i="22"/>
  <c r="J1910" i="22"/>
  <c r="J1911" i="22"/>
  <c r="J1912" i="22"/>
  <c r="J1913" i="22"/>
  <c r="J1914" i="22"/>
  <c r="J1915" i="22"/>
  <c r="J1916" i="22"/>
  <c r="J1917" i="22"/>
  <c r="J1918" i="22"/>
  <c r="J1919" i="22"/>
  <c r="J1920" i="22"/>
  <c r="J1921" i="22"/>
  <c r="J1922" i="22"/>
  <c r="J1923" i="22"/>
  <c r="J1924" i="22"/>
  <c r="J1925" i="22"/>
  <c r="J1926" i="22"/>
  <c r="J1927" i="22"/>
  <c r="J1928" i="22"/>
  <c r="J1929" i="22"/>
  <c r="J1930" i="22"/>
  <c r="J1931" i="22"/>
  <c r="J1932" i="22"/>
  <c r="J1933" i="22"/>
  <c r="J1934" i="22"/>
  <c r="J1935" i="22"/>
  <c r="J1936" i="22"/>
  <c r="J1937" i="22"/>
  <c r="J1938" i="22"/>
  <c r="J1939" i="22"/>
  <c r="J1940" i="22"/>
  <c r="J1941" i="22"/>
  <c r="J1942" i="22"/>
  <c r="J1943" i="22"/>
  <c r="J1944" i="22"/>
  <c r="J1945" i="22"/>
  <c r="J1946" i="22"/>
  <c r="J1947" i="22"/>
  <c r="J1948" i="22"/>
  <c r="J1949" i="22"/>
  <c r="J1950" i="22"/>
  <c r="J1951" i="22"/>
  <c r="J1952" i="22"/>
  <c r="J1953" i="22"/>
  <c r="J1954" i="22"/>
  <c r="J1955" i="22"/>
  <c r="J1956" i="22"/>
  <c r="J1957" i="22"/>
  <c r="J1958" i="22"/>
  <c r="J1959" i="22"/>
  <c r="J1960" i="22"/>
  <c r="J1961" i="22"/>
  <c r="J1962" i="22"/>
  <c r="J1963" i="22"/>
  <c r="J1964" i="22"/>
  <c r="J1965" i="22"/>
  <c r="J1966" i="22"/>
  <c r="J1967" i="22"/>
  <c r="J1968" i="22"/>
  <c r="J1969" i="22"/>
  <c r="J1970" i="22"/>
  <c r="J1971" i="22"/>
  <c r="J1972" i="22"/>
  <c r="J1973" i="22"/>
  <c r="J1974" i="22"/>
  <c r="J1975" i="22"/>
  <c r="J1976" i="22"/>
  <c r="J1977" i="22"/>
  <c r="J1978" i="22"/>
  <c r="J1979" i="22"/>
  <c r="J1980" i="22"/>
  <c r="J1981" i="22"/>
  <c r="J1982" i="22"/>
  <c r="J1983" i="22"/>
  <c r="J1984" i="22"/>
  <c r="J1985" i="22"/>
  <c r="J1986" i="22"/>
  <c r="J1987" i="22"/>
  <c r="J1988" i="22"/>
  <c r="J1989" i="22"/>
  <c r="J1990" i="22"/>
  <c r="J1991" i="22"/>
  <c r="J1992" i="22"/>
  <c r="J1993" i="22"/>
  <c r="J1994" i="22"/>
  <c r="J1995" i="22"/>
  <c r="J1996" i="22"/>
  <c r="J1997" i="22"/>
  <c r="J1998" i="22"/>
  <c r="J1999" i="22"/>
  <c r="J2000" i="22"/>
  <c r="J2001" i="22"/>
  <c r="J2002" i="22"/>
  <c r="J2003" i="22"/>
  <c r="J2004" i="22"/>
  <c r="J2005" i="22"/>
  <c r="J2006" i="22"/>
  <c r="J2007" i="22"/>
  <c r="J2008" i="22"/>
  <c r="J2009" i="22"/>
  <c r="J2010" i="22"/>
  <c r="J2011" i="22"/>
  <c r="J2012" i="22"/>
  <c r="J2013" i="22"/>
  <c r="J2014" i="22"/>
  <c r="J2015" i="22"/>
  <c r="J2016" i="22"/>
  <c r="J2017" i="22"/>
  <c r="J2018" i="22"/>
  <c r="J2019" i="22"/>
  <c r="J2020" i="22"/>
  <c r="J2021" i="22"/>
  <c r="J2022" i="22"/>
  <c r="J2023" i="22"/>
  <c r="J2024" i="22"/>
  <c r="J2025" i="22"/>
  <c r="J2026" i="22"/>
  <c r="J2027" i="22"/>
  <c r="J2028" i="22"/>
  <c r="J2029" i="22"/>
  <c r="J2030" i="22"/>
  <c r="J2031" i="22"/>
  <c r="J2032" i="22"/>
  <c r="J2033" i="22"/>
  <c r="J2034" i="22"/>
  <c r="J2035" i="22"/>
  <c r="J2036" i="22"/>
  <c r="J2037" i="22"/>
  <c r="J2038" i="22"/>
  <c r="J2039" i="22"/>
  <c r="J2040" i="22"/>
  <c r="J2041" i="22"/>
  <c r="J2042" i="22"/>
  <c r="J2043" i="22"/>
  <c r="J2044" i="22"/>
  <c r="J2045" i="22"/>
  <c r="J2046" i="22"/>
  <c r="J2047" i="22"/>
  <c r="J2048" i="22"/>
  <c r="J2049" i="22"/>
  <c r="J2050" i="22"/>
  <c r="J2051" i="22"/>
  <c r="J2052" i="22"/>
  <c r="J2053" i="22"/>
  <c r="J2054" i="22"/>
  <c r="J2055" i="22"/>
  <c r="J2056" i="22"/>
  <c r="J2057" i="22"/>
  <c r="J2058" i="22"/>
  <c r="J2059" i="22"/>
  <c r="J2060" i="22"/>
  <c r="J2061" i="22"/>
  <c r="J2062" i="22"/>
  <c r="J2063" i="22"/>
  <c r="J2064" i="22"/>
  <c r="J2065" i="22"/>
  <c r="J2066" i="22"/>
  <c r="J2067" i="22"/>
  <c r="J2068" i="22"/>
  <c r="J2069" i="22"/>
  <c r="J2070" i="22"/>
  <c r="J2071" i="22"/>
  <c r="J2072" i="22"/>
  <c r="J2073" i="22"/>
  <c r="J2074" i="22"/>
  <c r="J2075" i="22"/>
  <c r="J2076" i="22"/>
  <c r="J2077" i="22"/>
  <c r="J2078" i="22"/>
  <c r="J2079" i="22"/>
  <c r="J2080" i="22"/>
  <c r="J2081" i="22"/>
  <c r="J2082" i="22"/>
  <c r="J2083" i="22"/>
  <c r="J2084" i="22"/>
  <c r="J2085" i="22"/>
  <c r="J2086" i="22"/>
  <c r="J2087" i="22"/>
  <c r="J2088" i="22"/>
  <c r="J2089" i="22"/>
  <c r="J2090" i="22"/>
  <c r="J2091" i="22"/>
  <c r="J2092" i="22"/>
  <c r="J2093" i="22"/>
  <c r="J2094" i="22"/>
  <c r="J2095" i="22"/>
  <c r="J2096" i="22"/>
  <c r="J2097" i="22"/>
  <c r="J2098" i="22"/>
  <c r="J2099" i="22"/>
  <c r="J2100" i="22"/>
  <c r="J2101" i="22"/>
  <c r="J2102" i="22"/>
  <c r="J2103" i="22"/>
  <c r="J2104" i="22"/>
  <c r="J2105" i="22"/>
  <c r="J2106" i="22"/>
  <c r="J2107" i="22"/>
  <c r="J2108" i="22"/>
  <c r="J2109" i="22"/>
  <c r="J2110" i="22"/>
  <c r="J2111" i="22"/>
  <c r="J2112" i="22"/>
  <c r="J2113" i="22"/>
  <c r="J2114" i="22"/>
  <c r="J2115" i="22"/>
  <c r="J2116" i="22"/>
  <c r="J2117" i="22"/>
  <c r="J2118" i="22"/>
  <c r="J2119" i="22"/>
  <c r="J2120" i="22"/>
  <c r="J2121" i="22"/>
  <c r="J2122" i="22"/>
  <c r="J2123" i="22"/>
  <c r="J2124" i="22"/>
  <c r="J2125" i="22"/>
  <c r="J2126" i="22"/>
  <c r="J2127" i="22"/>
  <c r="J2128" i="22"/>
  <c r="J2129" i="22"/>
  <c r="J2130" i="22"/>
  <c r="J2131" i="22"/>
  <c r="J2132" i="22"/>
  <c r="J2133" i="22"/>
  <c r="J2134" i="22"/>
  <c r="J2135" i="22"/>
  <c r="J2136" i="22"/>
  <c r="J2137" i="22"/>
  <c r="J2138" i="22"/>
  <c r="J2139" i="22"/>
  <c r="J2140" i="22"/>
  <c r="J2141" i="22"/>
  <c r="J2142" i="22"/>
  <c r="J2143" i="22"/>
  <c r="J2144" i="22"/>
  <c r="J2145" i="22"/>
  <c r="J2146" i="22"/>
  <c r="J2147" i="22"/>
  <c r="J2148" i="22"/>
  <c r="J2149" i="22"/>
  <c r="J2150" i="22"/>
  <c r="J2151" i="22"/>
  <c r="J2152" i="22"/>
  <c r="J2153" i="22"/>
  <c r="J2154" i="22"/>
  <c r="J2155" i="22"/>
  <c r="J2156" i="22"/>
  <c r="J2157" i="22"/>
  <c r="J2158" i="22"/>
  <c r="J2159" i="22"/>
  <c r="J2160" i="22"/>
  <c r="J2161" i="22"/>
  <c r="J2162" i="22"/>
  <c r="J2163" i="22"/>
  <c r="J2164" i="22"/>
  <c r="J2165" i="22"/>
  <c r="J2166" i="22"/>
  <c r="J2167" i="22"/>
  <c r="J2168" i="22"/>
  <c r="J2169" i="22"/>
  <c r="J2170" i="22"/>
  <c r="J2171" i="22"/>
  <c r="J2172" i="22"/>
  <c r="J2173" i="22"/>
  <c r="J2174" i="22"/>
  <c r="J2175" i="22"/>
  <c r="J2176" i="22"/>
  <c r="J2177" i="22"/>
  <c r="J2178" i="22"/>
  <c r="J2179" i="22"/>
  <c r="J2180" i="22"/>
  <c r="J2181" i="22"/>
  <c r="J2182" i="22"/>
  <c r="J2183" i="22"/>
  <c r="J2184" i="22"/>
  <c r="J2185" i="22"/>
  <c r="J2186" i="22"/>
  <c r="J2187" i="22"/>
  <c r="J2188" i="22"/>
  <c r="J2189" i="22"/>
  <c r="J2190" i="22"/>
  <c r="J2191" i="22"/>
  <c r="J2192" i="22"/>
  <c r="J2193" i="22"/>
  <c r="J2194" i="22"/>
  <c r="J2195" i="22"/>
  <c r="J2196" i="22"/>
  <c r="J2197" i="22"/>
  <c r="J2198" i="22"/>
  <c r="J2199" i="22"/>
  <c r="J2200" i="22"/>
  <c r="J2201" i="22"/>
  <c r="J2202" i="22"/>
  <c r="J2203" i="22"/>
  <c r="J2204" i="22"/>
  <c r="J2205" i="22"/>
  <c r="J2206" i="22"/>
  <c r="J2207" i="22"/>
  <c r="J2208" i="22"/>
  <c r="J2209" i="22"/>
  <c r="J2210" i="22"/>
  <c r="J2211" i="22"/>
  <c r="J2212" i="22"/>
  <c r="J2213" i="22"/>
  <c r="J2214" i="22"/>
  <c r="J2215" i="22"/>
  <c r="J2216" i="22"/>
  <c r="J2217" i="22"/>
  <c r="J2218" i="22"/>
  <c r="J2219" i="22"/>
  <c r="J2220" i="22"/>
  <c r="J2221" i="22"/>
  <c r="J2222" i="22"/>
  <c r="J2223" i="22"/>
  <c r="J2224" i="22"/>
  <c r="J2225" i="22"/>
  <c r="J2226" i="22"/>
  <c r="J2227" i="22"/>
  <c r="J2228" i="22"/>
  <c r="J2229" i="22"/>
  <c r="J2230" i="22"/>
  <c r="J2231" i="22"/>
  <c r="J2232" i="22"/>
  <c r="J2233" i="22"/>
  <c r="J2234" i="22"/>
  <c r="J2235" i="22"/>
  <c r="J2236" i="22"/>
  <c r="J2237" i="22"/>
  <c r="J2238" i="22"/>
  <c r="J2239" i="22"/>
  <c r="J2240" i="22"/>
  <c r="J2241" i="22"/>
  <c r="J2242" i="22"/>
  <c r="J2243" i="22"/>
  <c r="J2244" i="22"/>
  <c r="J2245" i="22"/>
  <c r="J2246" i="22"/>
  <c r="J2247" i="22"/>
  <c r="J2248" i="22"/>
  <c r="J2249" i="22"/>
  <c r="J2250" i="22"/>
  <c r="J2251" i="22"/>
  <c r="J2252" i="22"/>
  <c r="J2253" i="22"/>
  <c r="J2254" i="22"/>
  <c r="J2255" i="22"/>
  <c r="J2256" i="22"/>
  <c r="J2257" i="22"/>
  <c r="J2258" i="22"/>
  <c r="J2259" i="22"/>
  <c r="J2260" i="22"/>
  <c r="J2261" i="22"/>
  <c r="J2262" i="22"/>
  <c r="J2263" i="22"/>
  <c r="J2264" i="22"/>
  <c r="J2265" i="22"/>
  <c r="J2266" i="22"/>
  <c r="J2267" i="22"/>
  <c r="J2268" i="22"/>
  <c r="J2269" i="22"/>
  <c r="J2270" i="22"/>
  <c r="J2271" i="22"/>
  <c r="J2272" i="22"/>
  <c r="J2273" i="22"/>
  <c r="J2274" i="22"/>
  <c r="J2275" i="22"/>
  <c r="J2276" i="22"/>
  <c r="J2277" i="22"/>
  <c r="J2278" i="22"/>
  <c r="J2279" i="22"/>
  <c r="J2280" i="22"/>
  <c r="J2281" i="22"/>
  <c r="J2282" i="22"/>
  <c r="J2283" i="22"/>
  <c r="J2284" i="22"/>
  <c r="J2285" i="22"/>
  <c r="J2286" i="22"/>
  <c r="J2287" i="22"/>
  <c r="J2288" i="22"/>
  <c r="J2289" i="22"/>
  <c r="J2290" i="22"/>
  <c r="J2291" i="22"/>
  <c r="J2292" i="22"/>
  <c r="J2293" i="22"/>
  <c r="J2294" i="22"/>
  <c r="J2295" i="22"/>
  <c r="J2296" i="22"/>
  <c r="J2297" i="22"/>
  <c r="J2298" i="22"/>
  <c r="J2299" i="22"/>
  <c r="J2300" i="22"/>
  <c r="J2301" i="22"/>
  <c r="J2302" i="22"/>
  <c r="J2303" i="22"/>
  <c r="J2304" i="22"/>
  <c r="J2305" i="22"/>
  <c r="J2306" i="22"/>
  <c r="J2307" i="22"/>
  <c r="J2308" i="22"/>
  <c r="J2309" i="22"/>
  <c r="J2310" i="22"/>
  <c r="J2311" i="22"/>
  <c r="J2312" i="22"/>
  <c r="K3" i="22"/>
  <c r="K4" i="22"/>
  <c r="K5" i="22"/>
  <c r="K6" i="22"/>
  <c r="K7" i="22"/>
  <c r="K8" i="22"/>
  <c r="K9" i="22"/>
  <c r="K10" i="22"/>
  <c r="K11" i="22"/>
  <c r="K12" i="22"/>
  <c r="K13" i="22"/>
  <c r="K14" i="22"/>
  <c r="K15" i="22"/>
  <c r="K16" i="22"/>
  <c r="K17" i="22"/>
  <c r="K18" i="22"/>
  <c r="K19" i="22"/>
  <c r="K20" i="22"/>
  <c r="K21" i="22"/>
  <c r="K22" i="22"/>
  <c r="K23" i="22"/>
  <c r="K24" i="22"/>
  <c r="K25" i="22"/>
  <c r="K26" i="22"/>
  <c r="K27" i="22"/>
  <c r="K28" i="22"/>
  <c r="K29" i="22"/>
  <c r="K30" i="22"/>
  <c r="K31" i="22"/>
  <c r="K32" i="22"/>
  <c r="K33" i="22"/>
  <c r="K34" i="22"/>
  <c r="K35" i="22"/>
  <c r="K36" i="22"/>
  <c r="K37" i="22"/>
  <c r="K38" i="22"/>
  <c r="K39" i="22"/>
  <c r="K40" i="22"/>
  <c r="K41" i="22"/>
  <c r="K42" i="22"/>
  <c r="K43" i="22"/>
  <c r="K44" i="22"/>
  <c r="K45" i="22"/>
  <c r="K46" i="22"/>
  <c r="K47" i="22"/>
  <c r="K48" i="22"/>
  <c r="K49" i="22"/>
  <c r="K50" i="22"/>
  <c r="K51" i="22"/>
  <c r="K52" i="22"/>
  <c r="K53" i="22"/>
  <c r="K54" i="22"/>
  <c r="K55" i="22"/>
  <c r="K56" i="22"/>
  <c r="K57" i="22"/>
  <c r="K58" i="22"/>
  <c r="K59" i="22"/>
  <c r="K60" i="22"/>
  <c r="K61" i="22"/>
  <c r="K62" i="22"/>
  <c r="K63" i="22"/>
  <c r="K64" i="22"/>
  <c r="K65" i="22"/>
  <c r="K66" i="22"/>
  <c r="K67" i="22"/>
  <c r="K68" i="22"/>
  <c r="K69" i="22"/>
  <c r="K70" i="22"/>
  <c r="K71" i="22"/>
  <c r="K72" i="22"/>
  <c r="K73" i="22"/>
  <c r="K74" i="22"/>
  <c r="K75" i="22"/>
  <c r="K76" i="22"/>
  <c r="K77" i="22"/>
  <c r="K78" i="22"/>
  <c r="K79" i="22"/>
  <c r="K80" i="22"/>
  <c r="K81" i="22"/>
  <c r="K82" i="22"/>
  <c r="K83" i="22"/>
  <c r="K84" i="22"/>
  <c r="K85" i="22"/>
  <c r="K86" i="22"/>
  <c r="K87" i="22"/>
  <c r="K88" i="22"/>
  <c r="K89" i="22"/>
  <c r="K90" i="22"/>
  <c r="K91" i="22"/>
  <c r="K92" i="22"/>
  <c r="K93" i="22"/>
  <c r="K94" i="22"/>
  <c r="K95" i="22"/>
  <c r="K96" i="22"/>
  <c r="K97" i="22"/>
  <c r="K98" i="22"/>
  <c r="K99" i="22"/>
  <c r="K100" i="22"/>
  <c r="K101" i="22"/>
  <c r="K102" i="22"/>
  <c r="K103" i="22"/>
  <c r="K104" i="22"/>
  <c r="K105" i="22"/>
  <c r="K106" i="22"/>
  <c r="K107" i="22"/>
  <c r="K108" i="22"/>
  <c r="K109" i="22"/>
  <c r="K110" i="22"/>
  <c r="K111" i="22"/>
  <c r="K112" i="22"/>
  <c r="K113" i="22"/>
  <c r="K114" i="22"/>
  <c r="K115" i="22"/>
  <c r="K116" i="22"/>
  <c r="K117" i="22"/>
  <c r="K118" i="22"/>
  <c r="K119" i="22"/>
  <c r="K120" i="22"/>
  <c r="K121" i="22"/>
  <c r="K122" i="22"/>
  <c r="K123" i="22"/>
  <c r="K124" i="22"/>
  <c r="K125" i="22"/>
  <c r="K126" i="22"/>
  <c r="K127" i="22"/>
  <c r="K128" i="22"/>
  <c r="K129" i="22"/>
  <c r="K130" i="22"/>
  <c r="K131" i="22"/>
  <c r="K132" i="22"/>
  <c r="K133" i="22"/>
  <c r="K134" i="22"/>
  <c r="K135" i="22"/>
  <c r="K136" i="22"/>
  <c r="K137" i="22"/>
  <c r="K138" i="22"/>
  <c r="K139" i="22"/>
  <c r="K140" i="22"/>
  <c r="K141" i="22"/>
  <c r="K142" i="22"/>
  <c r="K143" i="22"/>
  <c r="K144" i="22"/>
  <c r="K145" i="22"/>
  <c r="K146" i="22"/>
  <c r="K147" i="22"/>
  <c r="K148" i="22"/>
  <c r="K149" i="22"/>
  <c r="K150" i="22"/>
  <c r="K151" i="22"/>
  <c r="K152" i="22"/>
  <c r="K153" i="22"/>
  <c r="K154" i="22"/>
  <c r="K155" i="22"/>
  <c r="K156" i="22"/>
  <c r="K157" i="22"/>
  <c r="K158" i="22"/>
  <c r="K159" i="22"/>
  <c r="K160" i="22"/>
  <c r="K161" i="22"/>
  <c r="K162" i="22"/>
  <c r="K163" i="22"/>
  <c r="K164" i="22"/>
  <c r="K165" i="22"/>
  <c r="K166" i="22"/>
  <c r="K167" i="22"/>
  <c r="K168" i="22"/>
  <c r="K169" i="22"/>
  <c r="K170" i="22"/>
  <c r="K171" i="22"/>
  <c r="K172" i="22"/>
  <c r="K173" i="22"/>
  <c r="K174" i="22"/>
  <c r="K175" i="22"/>
  <c r="K176" i="22"/>
  <c r="K177" i="22"/>
  <c r="K178" i="22"/>
  <c r="K179" i="22"/>
  <c r="K180" i="22"/>
  <c r="K181" i="22"/>
  <c r="K182" i="22"/>
  <c r="K183" i="22"/>
  <c r="K184" i="22"/>
  <c r="K185" i="22"/>
  <c r="K186" i="22"/>
  <c r="K187" i="22"/>
  <c r="K188" i="22"/>
  <c r="K189" i="22"/>
  <c r="K190" i="22"/>
  <c r="K191" i="22"/>
  <c r="K192" i="22"/>
  <c r="K193" i="22"/>
  <c r="K194" i="22"/>
  <c r="K195" i="22"/>
  <c r="K196" i="22"/>
  <c r="K197" i="22"/>
  <c r="K198" i="22"/>
  <c r="K199" i="22"/>
  <c r="K201" i="22"/>
  <c r="K202" i="22"/>
  <c r="K203" i="22"/>
  <c r="K204" i="22"/>
  <c r="K205" i="22"/>
  <c r="K206" i="22"/>
  <c r="K207" i="22"/>
  <c r="K208" i="22"/>
  <c r="K209" i="22"/>
  <c r="K210" i="22"/>
  <c r="K211" i="22"/>
  <c r="K212" i="22"/>
  <c r="K213" i="22"/>
  <c r="K214" i="22"/>
  <c r="K215" i="22"/>
  <c r="K216" i="22"/>
  <c r="K217" i="22"/>
  <c r="K218" i="22"/>
  <c r="K219" i="22"/>
  <c r="K220" i="22"/>
  <c r="K221" i="22"/>
  <c r="K222" i="22"/>
  <c r="K223" i="22"/>
  <c r="K224" i="22"/>
  <c r="K225" i="22"/>
  <c r="K226" i="22"/>
  <c r="K227" i="22"/>
  <c r="K228" i="22"/>
  <c r="K229" i="22"/>
  <c r="K230" i="22"/>
  <c r="K231" i="22"/>
  <c r="K232" i="22"/>
  <c r="K233" i="22"/>
  <c r="K234" i="22"/>
  <c r="K235" i="22"/>
  <c r="K236" i="22"/>
  <c r="K237" i="22"/>
  <c r="K238" i="22"/>
  <c r="K239" i="22"/>
  <c r="K240" i="22"/>
  <c r="K241" i="22"/>
  <c r="K242" i="22"/>
  <c r="K243" i="22"/>
  <c r="K244" i="22"/>
  <c r="K245" i="22"/>
  <c r="K246" i="22"/>
  <c r="K247" i="22"/>
  <c r="K248" i="22"/>
  <c r="K249" i="22"/>
  <c r="K250" i="22"/>
  <c r="K251" i="22"/>
  <c r="K252" i="22"/>
  <c r="K253" i="22"/>
  <c r="K254" i="22"/>
  <c r="K255" i="22"/>
  <c r="K256" i="22"/>
  <c r="K257" i="22"/>
  <c r="K258" i="22"/>
  <c r="K259" i="22"/>
  <c r="K260" i="22"/>
  <c r="K261" i="22"/>
  <c r="K262" i="22"/>
  <c r="K263" i="22"/>
  <c r="K264" i="22"/>
  <c r="K265" i="22"/>
  <c r="K266" i="22"/>
  <c r="K267" i="22"/>
  <c r="K268" i="22"/>
  <c r="K269" i="22"/>
  <c r="K270" i="22"/>
  <c r="K271" i="22"/>
  <c r="K272" i="22"/>
  <c r="K273" i="22"/>
  <c r="K274" i="22"/>
  <c r="K275" i="22"/>
  <c r="K276" i="22"/>
  <c r="K277" i="22"/>
  <c r="K278" i="22"/>
  <c r="K279" i="22"/>
  <c r="K280" i="22"/>
  <c r="K281" i="22"/>
  <c r="K282" i="22"/>
  <c r="K283" i="22"/>
  <c r="K284" i="22"/>
  <c r="K285" i="22"/>
  <c r="K286" i="22"/>
  <c r="K287" i="22"/>
  <c r="K288" i="22"/>
  <c r="K289" i="22"/>
  <c r="K290" i="22"/>
  <c r="K291" i="22"/>
  <c r="K292" i="22"/>
  <c r="K293" i="22"/>
  <c r="K294" i="22"/>
  <c r="K295" i="22"/>
  <c r="K296" i="22"/>
  <c r="K297" i="22"/>
  <c r="K298" i="22"/>
  <c r="K299" i="22"/>
  <c r="K300" i="22"/>
  <c r="K301" i="22"/>
  <c r="K302" i="22"/>
  <c r="K303" i="22"/>
  <c r="K304" i="22"/>
  <c r="K305" i="22"/>
  <c r="K306" i="22"/>
  <c r="K307" i="22"/>
  <c r="K308" i="22"/>
  <c r="K309" i="22"/>
  <c r="K310" i="22"/>
  <c r="K311" i="22"/>
  <c r="K312" i="22"/>
  <c r="K313" i="22"/>
  <c r="K314" i="22"/>
  <c r="K315" i="22"/>
  <c r="K316" i="22"/>
  <c r="K317" i="22"/>
  <c r="K318" i="22"/>
  <c r="K319" i="22"/>
  <c r="K320" i="22"/>
  <c r="K321" i="22"/>
  <c r="K322" i="22"/>
  <c r="K323" i="22"/>
  <c r="K324" i="22"/>
  <c r="K325" i="22"/>
  <c r="K326" i="22"/>
  <c r="K327" i="22"/>
  <c r="K328" i="22"/>
  <c r="K329" i="22"/>
  <c r="K330" i="22"/>
  <c r="K331" i="22"/>
  <c r="K332" i="22"/>
  <c r="K333" i="22"/>
  <c r="K334" i="22"/>
  <c r="K335" i="22"/>
  <c r="K336" i="22"/>
  <c r="K337" i="22"/>
  <c r="K338" i="22"/>
  <c r="K339" i="22"/>
  <c r="K340" i="22"/>
  <c r="K341" i="22"/>
  <c r="K342" i="22"/>
  <c r="K343" i="22"/>
  <c r="K344" i="22"/>
  <c r="K345" i="22"/>
  <c r="K346" i="22"/>
  <c r="K347" i="22"/>
  <c r="K348" i="22"/>
  <c r="K349" i="22"/>
  <c r="K350" i="22"/>
  <c r="K351" i="22"/>
  <c r="K352" i="22"/>
  <c r="K353" i="22"/>
  <c r="K354" i="22"/>
  <c r="K355" i="22"/>
  <c r="K356" i="22"/>
  <c r="K357" i="22"/>
  <c r="K358" i="22"/>
  <c r="K359" i="22"/>
  <c r="K360" i="22"/>
  <c r="K361" i="22"/>
  <c r="K362" i="22"/>
  <c r="K363" i="22"/>
  <c r="K364" i="22"/>
  <c r="K365" i="22"/>
  <c r="K366" i="22"/>
  <c r="K367" i="22"/>
  <c r="K368" i="22"/>
  <c r="K369" i="22"/>
  <c r="K370" i="22"/>
  <c r="K371" i="22"/>
  <c r="K372" i="22"/>
  <c r="K373" i="22"/>
  <c r="K374" i="22"/>
  <c r="K375" i="22"/>
  <c r="K376" i="22"/>
  <c r="K377" i="22"/>
  <c r="K378" i="22"/>
  <c r="K379" i="22"/>
  <c r="K380" i="22"/>
  <c r="K381" i="22"/>
  <c r="K382" i="22"/>
  <c r="K383" i="22"/>
  <c r="K384" i="22"/>
  <c r="K385" i="22"/>
  <c r="K386" i="22"/>
  <c r="K387" i="22"/>
  <c r="K388" i="22"/>
  <c r="K389" i="22"/>
  <c r="K390" i="22"/>
  <c r="K391" i="22"/>
  <c r="K392" i="22"/>
  <c r="K393" i="22"/>
  <c r="K394" i="22"/>
  <c r="K395" i="22"/>
  <c r="K396" i="22"/>
  <c r="K397" i="22"/>
  <c r="K398" i="22"/>
  <c r="K399" i="22"/>
  <c r="K400" i="22"/>
  <c r="K401" i="22"/>
  <c r="K402" i="22"/>
  <c r="K403" i="22"/>
  <c r="K404" i="22"/>
  <c r="K405" i="22"/>
  <c r="K406" i="22"/>
  <c r="K407" i="22"/>
  <c r="K408" i="22"/>
  <c r="K409" i="22"/>
  <c r="K410" i="22"/>
  <c r="K411" i="22"/>
  <c r="K412" i="22"/>
  <c r="K413" i="22"/>
  <c r="K414" i="22"/>
  <c r="K415" i="22"/>
  <c r="K416" i="22"/>
  <c r="K417" i="22"/>
  <c r="K418" i="22"/>
  <c r="K419" i="22"/>
  <c r="K420" i="22"/>
  <c r="K421" i="22"/>
  <c r="K422" i="22"/>
  <c r="K423" i="22"/>
  <c r="K424" i="22"/>
  <c r="K425" i="22"/>
  <c r="K426" i="22"/>
  <c r="K427" i="22"/>
  <c r="K428" i="22"/>
  <c r="K429" i="22"/>
  <c r="K430" i="22"/>
  <c r="K431" i="22"/>
  <c r="K432" i="22"/>
  <c r="K433" i="22"/>
  <c r="K434" i="22"/>
  <c r="K435" i="22"/>
  <c r="K436" i="22"/>
  <c r="K437" i="22"/>
  <c r="K438" i="22"/>
  <c r="K439" i="22"/>
  <c r="K440" i="22"/>
  <c r="K441" i="22"/>
  <c r="K442" i="22"/>
  <c r="K443" i="22"/>
  <c r="K444" i="22"/>
  <c r="K445" i="22"/>
  <c r="K446" i="22"/>
  <c r="K447" i="22"/>
  <c r="K448" i="22"/>
  <c r="K449" i="22"/>
  <c r="K450" i="22"/>
  <c r="K451" i="22"/>
  <c r="K452" i="22"/>
  <c r="K453" i="22"/>
  <c r="K454" i="22"/>
  <c r="K455" i="22"/>
  <c r="K456" i="22"/>
  <c r="K457" i="22"/>
  <c r="K458" i="22"/>
  <c r="K459" i="22"/>
  <c r="K460" i="22"/>
  <c r="K461" i="22"/>
  <c r="K462" i="22"/>
  <c r="K463" i="22"/>
  <c r="K464" i="22"/>
  <c r="K465" i="22"/>
  <c r="K466" i="22"/>
  <c r="K467" i="22"/>
  <c r="K468" i="22"/>
  <c r="K469" i="22"/>
  <c r="K470" i="22"/>
  <c r="K471" i="22"/>
  <c r="K472" i="22"/>
  <c r="K473" i="22"/>
  <c r="K474" i="22"/>
  <c r="K475" i="22"/>
  <c r="K476" i="22"/>
  <c r="K477" i="22"/>
  <c r="K478" i="22"/>
  <c r="K479" i="22"/>
  <c r="K480" i="22"/>
  <c r="K481" i="22"/>
  <c r="K482" i="22"/>
  <c r="K483" i="22"/>
  <c r="K484" i="22"/>
  <c r="K485" i="22"/>
  <c r="K486" i="22"/>
  <c r="K487" i="22"/>
  <c r="K488" i="22"/>
  <c r="K489" i="22"/>
  <c r="K490" i="22"/>
  <c r="K491" i="22"/>
  <c r="K492" i="22"/>
  <c r="K493" i="22"/>
  <c r="K494" i="22"/>
  <c r="K495" i="22"/>
  <c r="K496" i="22"/>
  <c r="K497" i="22"/>
  <c r="K498" i="22"/>
  <c r="K499" i="22"/>
  <c r="K500" i="22"/>
  <c r="K501" i="22"/>
  <c r="K502" i="22"/>
  <c r="K503" i="22"/>
  <c r="K504" i="22"/>
  <c r="K505" i="22"/>
  <c r="K506" i="22"/>
  <c r="K507" i="22"/>
  <c r="K508" i="22"/>
  <c r="K509" i="22"/>
  <c r="K510" i="22"/>
  <c r="K511" i="22"/>
  <c r="K512" i="22"/>
  <c r="K513" i="22"/>
  <c r="K514" i="22"/>
  <c r="K515" i="22"/>
  <c r="K516" i="22"/>
  <c r="K517" i="22"/>
  <c r="K518" i="22"/>
  <c r="K519" i="22"/>
  <c r="K520" i="22"/>
  <c r="K521" i="22"/>
  <c r="K522" i="22"/>
  <c r="K523" i="22"/>
  <c r="K524" i="22"/>
  <c r="K525" i="22"/>
  <c r="K526" i="22"/>
  <c r="K527" i="22"/>
  <c r="K528" i="22"/>
  <c r="K529" i="22"/>
  <c r="K530" i="22"/>
  <c r="K531" i="22"/>
  <c r="K532" i="22"/>
  <c r="K533" i="22"/>
  <c r="K534" i="22"/>
  <c r="K535" i="22"/>
  <c r="K536" i="22"/>
  <c r="K537" i="22"/>
  <c r="K538" i="22"/>
  <c r="K539" i="22"/>
  <c r="K540" i="22"/>
  <c r="K541" i="22"/>
  <c r="K542" i="22"/>
  <c r="K543" i="22"/>
  <c r="K544" i="22"/>
  <c r="K545" i="22"/>
  <c r="K546" i="22"/>
  <c r="K547" i="22"/>
  <c r="K548" i="22"/>
  <c r="K549" i="22"/>
  <c r="K550" i="22"/>
  <c r="K551" i="22"/>
  <c r="K552" i="22"/>
  <c r="K553" i="22"/>
  <c r="K554" i="22"/>
  <c r="K555" i="22"/>
  <c r="K556" i="22"/>
  <c r="K557" i="22"/>
  <c r="K558" i="22"/>
  <c r="K559" i="22"/>
  <c r="K560" i="22"/>
  <c r="K561" i="22"/>
  <c r="K562" i="22"/>
  <c r="K563" i="22"/>
  <c r="K564" i="22"/>
  <c r="K565" i="22"/>
  <c r="K566" i="22"/>
  <c r="K567" i="22"/>
  <c r="K568" i="22"/>
  <c r="K569" i="22"/>
  <c r="K570" i="22"/>
  <c r="K571" i="22"/>
  <c r="K572" i="22"/>
  <c r="K573" i="22"/>
  <c r="K574" i="22"/>
  <c r="K575" i="22"/>
  <c r="K576" i="22"/>
  <c r="K577" i="22"/>
  <c r="K578" i="22"/>
  <c r="K579" i="22"/>
  <c r="K580" i="22"/>
  <c r="K581" i="22"/>
  <c r="K582" i="22"/>
  <c r="K583" i="22"/>
  <c r="K584" i="22"/>
  <c r="K585" i="22"/>
  <c r="K586" i="22"/>
  <c r="K587" i="22"/>
  <c r="K588" i="22"/>
  <c r="K589" i="22"/>
  <c r="K590" i="22"/>
  <c r="K591" i="22"/>
  <c r="K592" i="22"/>
  <c r="K593" i="22"/>
  <c r="K594" i="22"/>
  <c r="K595" i="22"/>
  <c r="K596" i="22"/>
  <c r="K597" i="22"/>
  <c r="K598" i="22"/>
  <c r="K599" i="22"/>
  <c r="K600" i="22"/>
  <c r="K601" i="22"/>
  <c r="K602" i="22"/>
  <c r="K603" i="22"/>
  <c r="K604" i="22"/>
  <c r="K605" i="22"/>
  <c r="K606" i="22"/>
  <c r="K607" i="22"/>
  <c r="K608" i="22"/>
  <c r="K609" i="22"/>
  <c r="K610" i="22"/>
  <c r="K611" i="22"/>
  <c r="K612" i="22"/>
  <c r="K613" i="22"/>
  <c r="K614" i="22"/>
  <c r="K615" i="22"/>
  <c r="K616" i="22"/>
  <c r="K617" i="22"/>
  <c r="K618" i="22"/>
  <c r="K619" i="22"/>
  <c r="K620" i="22"/>
  <c r="K621" i="22"/>
  <c r="K622" i="22"/>
  <c r="K623" i="22"/>
  <c r="K624" i="22"/>
  <c r="K625" i="22"/>
  <c r="K626" i="22"/>
  <c r="K627" i="22"/>
  <c r="K628" i="22"/>
  <c r="K629" i="22"/>
  <c r="K630" i="22"/>
  <c r="K631" i="22"/>
  <c r="K632" i="22"/>
  <c r="K633" i="22"/>
  <c r="K634" i="22"/>
  <c r="K635" i="22"/>
  <c r="K636" i="22"/>
  <c r="K637" i="22"/>
  <c r="K638" i="22"/>
  <c r="K639" i="22"/>
  <c r="K640" i="22"/>
  <c r="K641" i="22"/>
  <c r="K642" i="22"/>
  <c r="K643" i="22"/>
  <c r="K644" i="22"/>
  <c r="K645" i="22"/>
  <c r="K646" i="22"/>
  <c r="K647" i="22"/>
  <c r="K648" i="22"/>
  <c r="K649" i="22"/>
  <c r="K650" i="22"/>
  <c r="K651" i="22"/>
  <c r="K652" i="22"/>
  <c r="K653" i="22"/>
  <c r="K654" i="22"/>
  <c r="K655" i="22"/>
  <c r="K656" i="22"/>
  <c r="K657" i="22"/>
  <c r="K658" i="22"/>
  <c r="K659" i="22"/>
  <c r="K660" i="22"/>
  <c r="K661" i="22"/>
  <c r="K662" i="22"/>
  <c r="K663" i="22"/>
  <c r="K664" i="22"/>
  <c r="K665" i="22"/>
  <c r="K666" i="22"/>
  <c r="K667" i="22"/>
  <c r="K668" i="22"/>
  <c r="K669" i="22"/>
  <c r="K670" i="22"/>
  <c r="K671" i="22"/>
  <c r="K672" i="22"/>
  <c r="K673" i="22"/>
  <c r="K674" i="22"/>
  <c r="K675" i="22"/>
  <c r="K676" i="22"/>
  <c r="K677" i="22"/>
  <c r="K678" i="22"/>
  <c r="K679" i="22"/>
  <c r="K680" i="22"/>
  <c r="K681" i="22"/>
  <c r="K682" i="22"/>
  <c r="K683" i="22"/>
  <c r="K684" i="22"/>
  <c r="K685" i="22"/>
  <c r="K686" i="22"/>
  <c r="K687" i="22"/>
  <c r="K688" i="22"/>
  <c r="K689" i="22"/>
  <c r="K690" i="22"/>
  <c r="K691" i="22"/>
  <c r="K692" i="22"/>
  <c r="K693" i="22"/>
  <c r="K694" i="22"/>
  <c r="K695" i="22"/>
  <c r="K696" i="22"/>
  <c r="K697" i="22"/>
  <c r="K698" i="22"/>
  <c r="K699" i="22"/>
  <c r="K700" i="22"/>
  <c r="K701" i="22"/>
  <c r="K702" i="22"/>
  <c r="K703" i="22"/>
  <c r="K704" i="22"/>
  <c r="K705" i="22"/>
  <c r="K706" i="22"/>
  <c r="K707" i="22"/>
  <c r="K708" i="22"/>
  <c r="K709" i="22"/>
  <c r="K710" i="22"/>
  <c r="K711" i="22"/>
  <c r="K712" i="22"/>
  <c r="K713" i="22"/>
  <c r="K714" i="22"/>
  <c r="K715" i="22"/>
  <c r="K716" i="22"/>
  <c r="K717" i="22"/>
  <c r="K718" i="22"/>
  <c r="K719" i="22"/>
  <c r="K720" i="22"/>
  <c r="K721" i="22"/>
  <c r="K722" i="22"/>
  <c r="K723" i="22"/>
  <c r="K724" i="22"/>
  <c r="K725" i="22"/>
  <c r="K726" i="22"/>
  <c r="K727" i="22"/>
  <c r="K728" i="22"/>
  <c r="K729" i="22"/>
  <c r="K730" i="22"/>
  <c r="K731" i="22"/>
  <c r="K732" i="22"/>
  <c r="K733" i="22"/>
  <c r="K734" i="22"/>
  <c r="K735" i="22"/>
  <c r="K736" i="22"/>
  <c r="K737" i="22"/>
  <c r="K738" i="22"/>
  <c r="K739" i="22"/>
  <c r="K740" i="22"/>
  <c r="K741" i="22"/>
  <c r="K742" i="22"/>
  <c r="K743" i="22"/>
  <c r="K744" i="22"/>
  <c r="K745" i="22"/>
  <c r="K746" i="22"/>
  <c r="K747" i="22"/>
  <c r="K748" i="22"/>
  <c r="K749" i="22"/>
  <c r="K750" i="22"/>
  <c r="K751" i="22"/>
  <c r="K752" i="22"/>
  <c r="K753" i="22"/>
  <c r="K754" i="22"/>
  <c r="K755" i="22"/>
  <c r="K756" i="22"/>
  <c r="K757" i="22"/>
  <c r="K758" i="22"/>
  <c r="K759" i="22"/>
  <c r="K760" i="22"/>
  <c r="K761" i="22"/>
  <c r="K762" i="22"/>
  <c r="K763" i="22"/>
  <c r="K764" i="22"/>
  <c r="K765" i="22"/>
  <c r="K766" i="22"/>
  <c r="K767" i="22"/>
  <c r="K768" i="22"/>
  <c r="K769" i="22"/>
  <c r="K770" i="22"/>
  <c r="K771" i="22"/>
  <c r="K772" i="22"/>
  <c r="K773" i="22"/>
  <c r="K774" i="22"/>
  <c r="K775" i="22"/>
  <c r="K776" i="22"/>
  <c r="K777" i="22"/>
  <c r="K778" i="22"/>
  <c r="K779" i="22"/>
  <c r="K780" i="22"/>
  <c r="K781" i="22"/>
  <c r="K782" i="22"/>
  <c r="K783" i="22"/>
  <c r="K784" i="22"/>
  <c r="K785" i="22"/>
  <c r="K786" i="22"/>
  <c r="K787" i="22"/>
  <c r="K788" i="22"/>
  <c r="K789" i="22"/>
  <c r="K790" i="22"/>
  <c r="K791" i="22"/>
  <c r="K792" i="22"/>
  <c r="K793" i="22"/>
  <c r="K794" i="22"/>
  <c r="K795" i="22"/>
  <c r="K796" i="22"/>
  <c r="K797" i="22"/>
  <c r="K798" i="22"/>
  <c r="K799" i="22"/>
  <c r="K800" i="22"/>
  <c r="K801" i="22"/>
  <c r="K802" i="22"/>
  <c r="K803" i="22"/>
  <c r="K804" i="22"/>
  <c r="K805" i="22"/>
  <c r="K806" i="22"/>
  <c r="K807" i="22"/>
  <c r="K808" i="22"/>
  <c r="K809" i="22"/>
  <c r="K810" i="22"/>
  <c r="K811" i="22"/>
  <c r="K812" i="22"/>
  <c r="K813" i="22"/>
  <c r="K814" i="22"/>
  <c r="K815" i="22"/>
  <c r="K816" i="22"/>
  <c r="K817" i="22"/>
  <c r="K818" i="22"/>
  <c r="K819" i="22"/>
  <c r="K820" i="22"/>
  <c r="K821" i="22"/>
  <c r="K822" i="22"/>
  <c r="K823" i="22"/>
  <c r="K824" i="22"/>
  <c r="K825" i="22"/>
  <c r="K826" i="22"/>
  <c r="K827" i="22"/>
  <c r="K828" i="22"/>
  <c r="K829" i="22"/>
  <c r="K830" i="22"/>
  <c r="K831" i="22"/>
  <c r="K832" i="22"/>
  <c r="K833" i="22"/>
  <c r="K834" i="22"/>
  <c r="K835" i="22"/>
  <c r="K836" i="22"/>
  <c r="K837" i="22"/>
  <c r="K838" i="22"/>
  <c r="K839" i="22"/>
  <c r="K840" i="22"/>
  <c r="K841" i="22"/>
  <c r="K842" i="22"/>
  <c r="K843" i="22"/>
  <c r="K844" i="22"/>
  <c r="K845" i="22"/>
  <c r="K846" i="22"/>
  <c r="K847" i="22"/>
  <c r="K848" i="22"/>
  <c r="K849" i="22"/>
  <c r="K850" i="22"/>
  <c r="K851" i="22"/>
  <c r="K852" i="22"/>
  <c r="K853" i="22"/>
  <c r="K854" i="22"/>
  <c r="K855" i="22"/>
  <c r="K856" i="22"/>
  <c r="K857" i="22"/>
  <c r="K858" i="22"/>
  <c r="K859" i="22"/>
  <c r="K860" i="22"/>
  <c r="K861" i="22"/>
  <c r="K862" i="22"/>
  <c r="K863" i="22"/>
  <c r="K864" i="22"/>
  <c r="K865" i="22"/>
  <c r="K866" i="22"/>
  <c r="K867" i="22"/>
  <c r="K868" i="22"/>
  <c r="K869" i="22"/>
  <c r="K870" i="22"/>
  <c r="K871" i="22"/>
  <c r="K872" i="22"/>
  <c r="K873" i="22"/>
  <c r="K874" i="22"/>
  <c r="K875" i="22"/>
  <c r="K876" i="22"/>
  <c r="K877" i="22"/>
  <c r="K878" i="22"/>
  <c r="K879" i="22"/>
  <c r="K880" i="22"/>
  <c r="K881" i="22"/>
  <c r="K882" i="22"/>
  <c r="K883" i="22"/>
  <c r="K884" i="22"/>
  <c r="K885" i="22"/>
  <c r="K886" i="22"/>
  <c r="K887" i="22"/>
  <c r="K888" i="22"/>
  <c r="K889" i="22"/>
  <c r="K890" i="22"/>
  <c r="K891" i="22"/>
  <c r="K892" i="22"/>
  <c r="K893" i="22"/>
  <c r="K894" i="22"/>
  <c r="K895" i="22"/>
  <c r="K896" i="22"/>
  <c r="K897" i="22"/>
  <c r="K898" i="22"/>
  <c r="K899" i="22"/>
  <c r="K900" i="22"/>
  <c r="K901" i="22"/>
  <c r="K902" i="22"/>
  <c r="K903" i="22"/>
  <c r="K904" i="22"/>
  <c r="K905" i="22"/>
  <c r="K906" i="22"/>
  <c r="K907" i="22"/>
  <c r="K908" i="22"/>
  <c r="K909" i="22"/>
  <c r="K910" i="22"/>
  <c r="K911" i="22"/>
  <c r="K912" i="22"/>
  <c r="K913" i="22"/>
  <c r="K914" i="22"/>
  <c r="K915" i="22"/>
  <c r="K916" i="22"/>
  <c r="K917" i="22"/>
  <c r="K918" i="22"/>
  <c r="K919" i="22"/>
  <c r="K920" i="22"/>
  <c r="K921" i="22"/>
  <c r="K922" i="22"/>
  <c r="K923" i="22"/>
  <c r="K924" i="22"/>
  <c r="K925" i="22"/>
  <c r="K926" i="22"/>
  <c r="K927" i="22"/>
  <c r="K928" i="22"/>
  <c r="K929" i="22"/>
  <c r="K930" i="22"/>
  <c r="K931" i="22"/>
  <c r="K932" i="22"/>
  <c r="K933" i="22"/>
  <c r="K934" i="22"/>
  <c r="K935" i="22"/>
  <c r="K936" i="22"/>
  <c r="K937" i="22"/>
  <c r="K938" i="22"/>
  <c r="K939" i="22"/>
  <c r="K940" i="22"/>
  <c r="K941" i="22"/>
  <c r="K942" i="22"/>
  <c r="K943" i="22"/>
  <c r="K944" i="22"/>
  <c r="K945" i="22"/>
  <c r="K946" i="22"/>
  <c r="K947" i="22"/>
  <c r="K948" i="22"/>
  <c r="K949" i="22"/>
  <c r="K950" i="22"/>
  <c r="K951" i="22"/>
  <c r="K952" i="22"/>
  <c r="K953" i="22"/>
  <c r="K954" i="22"/>
  <c r="K955" i="22"/>
  <c r="K956" i="22"/>
  <c r="K957" i="22"/>
  <c r="K958" i="22"/>
  <c r="K959" i="22"/>
  <c r="K960" i="22"/>
  <c r="K961" i="22"/>
  <c r="K962" i="22"/>
  <c r="K963" i="22"/>
  <c r="K964" i="22"/>
  <c r="K965" i="22"/>
  <c r="K966" i="22"/>
  <c r="K967" i="22"/>
  <c r="K968" i="22"/>
  <c r="K969" i="22"/>
  <c r="K970" i="22"/>
  <c r="K971" i="22"/>
  <c r="K972" i="22"/>
  <c r="K973" i="22"/>
  <c r="K974" i="22"/>
  <c r="K975" i="22"/>
  <c r="K976" i="22"/>
  <c r="K977" i="22"/>
  <c r="K978" i="22"/>
  <c r="K979" i="22"/>
  <c r="K980" i="22"/>
  <c r="K981" i="22"/>
  <c r="K982" i="22"/>
  <c r="K983" i="22"/>
  <c r="K984" i="22"/>
  <c r="K985" i="22"/>
  <c r="K986" i="22"/>
  <c r="K987" i="22"/>
  <c r="K988" i="22"/>
  <c r="K989" i="22"/>
  <c r="K990" i="22"/>
  <c r="K991" i="22"/>
  <c r="K992" i="22"/>
  <c r="K993" i="22"/>
  <c r="K994" i="22"/>
  <c r="K995" i="22"/>
  <c r="K996" i="22"/>
  <c r="K997" i="22"/>
  <c r="K998" i="22"/>
  <c r="K999" i="22"/>
  <c r="K1000" i="22"/>
  <c r="K1001" i="22"/>
  <c r="K1002" i="22"/>
  <c r="K1003" i="22"/>
  <c r="K1004" i="22"/>
  <c r="K1005" i="22"/>
  <c r="K1006" i="22"/>
  <c r="K1007" i="22"/>
  <c r="K1008" i="22"/>
  <c r="K1009" i="22"/>
  <c r="K1010" i="22"/>
  <c r="K1011" i="22"/>
  <c r="K1012" i="22"/>
  <c r="K1013" i="22"/>
  <c r="K1014" i="22"/>
  <c r="K1015" i="22"/>
  <c r="K1016" i="22"/>
  <c r="K1017" i="22"/>
  <c r="K1018" i="22"/>
  <c r="K1019" i="22"/>
  <c r="K1020" i="22"/>
  <c r="K1021" i="22"/>
  <c r="K1022" i="22"/>
  <c r="K1023" i="22"/>
  <c r="K1024" i="22"/>
  <c r="K1025" i="22"/>
  <c r="K1026" i="22"/>
  <c r="K1027" i="22"/>
  <c r="K1028" i="22"/>
  <c r="K1029" i="22"/>
  <c r="K1030" i="22"/>
  <c r="K1031" i="22"/>
  <c r="K1032" i="22"/>
  <c r="K1033" i="22"/>
  <c r="K1034" i="22"/>
  <c r="K1035" i="22"/>
  <c r="K1036" i="22"/>
  <c r="K1037" i="22"/>
  <c r="K1038" i="22"/>
  <c r="K1039" i="22"/>
  <c r="K1040" i="22"/>
  <c r="K1041" i="22"/>
  <c r="K1042" i="22"/>
  <c r="K1043" i="22"/>
  <c r="K1044" i="22"/>
  <c r="K1045" i="22"/>
  <c r="K1046" i="22"/>
  <c r="K1047" i="22"/>
  <c r="K1048" i="22"/>
  <c r="K1049" i="22"/>
  <c r="K1050" i="22"/>
  <c r="K1051" i="22"/>
  <c r="K1052" i="22"/>
  <c r="K1053" i="22"/>
  <c r="K1054" i="22"/>
  <c r="K1055" i="22"/>
  <c r="K1056" i="22"/>
  <c r="K1057" i="22"/>
  <c r="K1058" i="22"/>
  <c r="K1059" i="22"/>
  <c r="K1060" i="22"/>
  <c r="K1061" i="22"/>
  <c r="K1062" i="22"/>
  <c r="K1063" i="22"/>
  <c r="K1064" i="22"/>
  <c r="K1065" i="22"/>
  <c r="K1066" i="22"/>
  <c r="K1067" i="22"/>
  <c r="K1068" i="22"/>
  <c r="K1069" i="22"/>
  <c r="K1070" i="22"/>
  <c r="K1071" i="22"/>
  <c r="K1072" i="22"/>
  <c r="K1073" i="22"/>
  <c r="K1074" i="22"/>
  <c r="K1075" i="22"/>
  <c r="K1076" i="22"/>
  <c r="K1077" i="22"/>
  <c r="K1078" i="22"/>
  <c r="K1079" i="22"/>
  <c r="K1080" i="22"/>
  <c r="K1081" i="22"/>
  <c r="K1082" i="22"/>
  <c r="K1083" i="22"/>
  <c r="K1084" i="22"/>
  <c r="K1085" i="22"/>
  <c r="K1086" i="22"/>
  <c r="K1087" i="22"/>
  <c r="K1088" i="22"/>
  <c r="K1089" i="22"/>
  <c r="K1090" i="22"/>
  <c r="K1091" i="22"/>
  <c r="K1092" i="22"/>
  <c r="K1093" i="22"/>
  <c r="K1094" i="22"/>
  <c r="K1095" i="22"/>
  <c r="K1096" i="22"/>
  <c r="K1097" i="22"/>
  <c r="K1098" i="22"/>
  <c r="K1099" i="22"/>
  <c r="K1100" i="22"/>
  <c r="K1101" i="22"/>
  <c r="K1102" i="22"/>
  <c r="K1103" i="22"/>
  <c r="K1104" i="22"/>
  <c r="K1105" i="22"/>
  <c r="K1106" i="22"/>
  <c r="K1107" i="22"/>
  <c r="K1108" i="22"/>
  <c r="K1109" i="22"/>
  <c r="K1110" i="22"/>
  <c r="K1111" i="22"/>
  <c r="K1112" i="22"/>
  <c r="K1113" i="22"/>
  <c r="K1114" i="22"/>
  <c r="K1115" i="22"/>
  <c r="K1116" i="22"/>
  <c r="K1117" i="22"/>
  <c r="K1118" i="22"/>
  <c r="K1119" i="22"/>
  <c r="K1120" i="22"/>
  <c r="K1121" i="22"/>
  <c r="K1122" i="22"/>
  <c r="K1123" i="22"/>
  <c r="K1124" i="22"/>
  <c r="K1125" i="22"/>
  <c r="K1126" i="22"/>
  <c r="K1127" i="22"/>
  <c r="K1128" i="22"/>
  <c r="K1129" i="22"/>
  <c r="K1130" i="22"/>
  <c r="K1131" i="22"/>
  <c r="K1132" i="22"/>
  <c r="K1133" i="22"/>
  <c r="K1134" i="22"/>
  <c r="K1135" i="22"/>
  <c r="K1136" i="22"/>
  <c r="K1137" i="22"/>
  <c r="K1138" i="22"/>
  <c r="K1139" i="22"/>
  <c r="K1140" i="22"/>
  <c r="K1141" i="22"/>
  <c r="K1142" i="22"/>
  <c r="K1143" i="22"/>
  <c r="K1144" i="22"/>
  <c r="K1145" i="22"/>
  <c r="K1146" i="22"/>
  <c r="K1147" i="22"/>
  <c r="K1148" i="22"/>
  <c r="K1149" i="22"/>
  <c r="K1150" i="22"/>
  <c r="K1151" i="22"/>
  <c r="K1152" i="22"/>
  <c r="K1153" i="22"/>
  <c r="K1154" i="22"/>
  <c r="K1155" i="22"/>
  <c r="K1156" i="22"/>
  <c r="K1157" i="22"/>
  <c r="K1158" i="22"/>
  <c r="K1159" i="22"/>
  <c r="K1160" i="22"/>
  <c r="K1161" i="22"/>
  <c r="K1163" i="22"/>
  <c r="K1164" i="22"/>
  <c r="K1165" i="22"/>
  <c r="K1166" i="22"/>
  <c r="K1167" i="22"/>
  <c r="K1168" i="22"/>
  <c r="K1169" i="22"/>
  <c r="K1170" i="22"/>
  <c r="K1171" i="22"/>
  <c r="K1172" i="22"/>
  <c r="K1173" i="22"/>
  <c r="K1174" i="22"/>
  <c r="K1175" i="22"/>
  <c r="K1176" i="22"/>
  <c r="K1177" i="22"/>
  <c r="K1178" i="22"/>
  <c r="K1179" i="22"/>
  <c r="K1180" i="22"/>
  <c r="K1181" i="22"/>
  <c r="K1182" i="22"/>
  <c r="K1183" i="22"/>
  <c r="K1184" i="22"/>
  <c r="K1185" i="22"/>
  <c r="K1186" i="22"/>
  <c r="K1187" i="22"/>
  <c r="K1188" i="22"/>
  <c r="K1189" i="22"/>
  <c r="K1190" i="22"/>
  <c r="K1191" i="22"/>
  <c r="K1192" i="22"/>
  <c r="K1193" i="22"/>
  <c r="K1194" i="22"/>
  <c r="K1195" i="22"/>
  <c r="K1196" i="22"/>
  <c r="K1197" i="22"/>
  <c r="K1198" i="22"/>
  <c r="K1199" i="22"/>
  <c r="K1200" i="22"/>
  <c r="K1201" i="22"/>
  <c r="K1202" i="22"/>
  <c r="K1203" i="22"/>
  <c r="K1204" i="22"/>
  <c r="K1205" i="22"/>
  <c r="K1206" i="22"/>
  <c r="K1207" i="22"/>
  <c r="K1208" i="22"/>
  <c r="K1209" i="22"/>
  <c r="K1210" i="22"/>
  <c r="K1211" i="22"/>
  <c r="K1212" i="22"/>
  <c r="K1213" i="22"/>
  <c r="K1214" i="22"/>
  <c r="K1215" i="22"/>
  <c r="K1216" i="22"/>
  <c r="K1217" i="22"/>
  <c r="K1218" i="22"/>
  <c r="K1219" i="22"/>
  <c r="K1220" i="22"/>
  <c r="K1221" i="22"/>
  <c r="K1222" i="22"/>
  <c r="K1223" i="22"/>
  <c r="K1224" i="22"/>
  <c r="K1225" i="22"/>
  <c r="K1226" i="22"/>
  <c r="K1227" i="22"/>
  <c r="K1228" i="22"/>
  <c r="K1229" i="22"/>
  <c r="K1230" i="22"/>
  <c r="K1231" i="22"/>
  <c r="K1232" i="22"/>
  <c r="K1233" i="22"/>
  <c r="K1234" i="22"/>
  <c r="K1235" i="22"/>
  <c r="K1236" i="22"/>
  <c r="K1237" i="22"/>
  <c r="K1238" i="22"/>
  <c r="K1239" i="22"/>
  <c r="K1240" i="22"/>
  <c r="K1241" i="22"/>
  <c r="K1242" i="22"/>
  <c r="K1243" i="22"/>
  <c r="K1244" i="22"/>
  <c r="K1245" i="22"/>
  <c r="K1246" i="22"/>
  <c r="K1247" i="22"/>
  <c r="K1248" i="22"/>
  <c r="K1249" i="22"/>
  <c r="K1250" i="22"/>
  <c r="K1251" i="22"/>
  <c r="K1252" i="22"/>
  <c r="K1253" i="22"/>
  <c r="K1254" i="22"/>
  <c r="K1255" i="22"/>
  <c r="K1256" i="22"/>
  <c r="K1257" i="22"/>
  <c r="K1258" i="22"/>
  <c r="K1259" i="22"/>
  <c r="K1260" i="22"/>
  <c r="K1261" i="22"/>
  <c r="K1262" i="22"/>
  <c r="K1263" i="22"/>
  <c r="K1264" i="22"/>
  <c r="K1265" i="22"/>
  <c r="K1266" i="22"/>
  <c r="K1267" i="22"/>
  <c r="K1268" i="22"/>
  <c r="K1269" i="22"/>
  <c r="K1270" i="22"/>
  <c r="K1271" i="22"/>
  <c r="K1272" i="22"/>
  <c r="K1273" i="22"/>
  <c r="K1274" i="22"/>
  <c r="K1275" i="22"/>
  <c r="K1276" i="22"/>
  <c r="K1277" i="22"/>
  <c r="K1278" i="22"/>
  <c r="K1279" i="22"/>
  <c r="K1280" i="22"/>
  <c r="K1281" i="22"/>
  <c r="K1282" i="22"/>
  <c r="K1283" i="22"/>
  <c r="K1284" i="22"/>
  <c r="K1285" i="22"/>
  <c r="K1286" i="22"/>
  <c r="K1287" i="22"/>
  <c r="K1288" i="22"/>
  <c r="K1289" i="22"/>
  <c r="K1290" i="22"/>
  <c r="K1291" i="22"/>
  <c r="K1292" i="22"/>
  <c r="K1293" i="22"/>
  <c r="K1294" i="22"/>
  <c r="K1295" i="22"/>
  <c r="K1296" i="22"/>
  <c r="K1297" i="22"/>
  <c r="K1298" i="22"/>
  <c r="K1299" i="22"/>
  <c r="K1300" i="22"/>
  <c r="K1301" i="22"/>
  <c r="K1302" i="22"/>
  <c r="K1303" i="22"/>
  <c r="K1304" i="22"/>
  <c r="K1305" i="22"/>
  <c r="K1306" i="22"/>
  <c r="K1307" i="22"/>
  <c r="K1308" i="22"/>
  <c r="K1309" i="22"/>
  <c r="K1310" i="22"/>
  <c r="K1311" i="22"/>
  <c r="K1312" i="22"/>
  <c r="K1313" i="22"/>
  <c r="K1314" i="22"/>
  <c r="K1315" i="22"/>
  <c r="K1316" i="22"/>
  <c r="K1317" i="22"/>
  <c r="K1318" i="22"/>
  <c r="K1319" i="22"/>
  <c r="K1320" i="22"/>
  <c r="K1321" i="22"/>
  <c r="K1322" i="22"/>
  <c r="K1323" i="22"/>
  <c r="K1324" i="22"/>
  <c r="K1325" i="22"/>
  <c r="K1326" i="22"/>
  <c r="K1327" i="22"/>
  <c r="K1328" i="22"/>
  <c r="K1329" i="22"/>
  <c r="K1330" i="22"/>
  <c r="K1331" i="22"/>
  <c r="K1332" i="22"/>
  <c r="K1333" i="22"/>
  <c r="K1334" i="22"/>
  <c r="K1335" i="22"/>
  <c r="K1336" i="22"/>
  <c r="K1337" i="22"/>
  <c r="K1338" i="22"/>
  <c r="K1339" i="22"/>
  <c r="K1340" i="22"/>
  <c r="K1341" i="22"/>
  <c r="K1342" i="22"/>
  <c r="K1343" i="22"/>
  <c r="K1344" i="22"/>
  <c r="K1345" i="22"/>
  <c r="K1346" i="22"/>
  <c r="K1347" i="22"/>
  <c r="K1348" i="22"/>
  <c r="K1349" i="22"/>
  <c r="K1350" i="22"/>
  <c r="K1351" i="22"/>
  <c r="K1352" i="22"/>
  <c r="K1353" i="22"/>
  <c r="K1354" i="22"/>
  <c r="K1355" i="22"/>
  <c r="K1356" i="22"/>
  <c r="K1357" i="22"/>
  <c r="K1358" i="22"/>
  <c r="K1359" i="22"/>
  <c r="K1360" i="22"/>
  <c r="K1361" i="22"/>
  <c r="K1362" i="22"/>
  <c r="K1363" i="22"/>
  <c r="K1364" i="22"/>
  <c r="K1365" i="22"/>
  <c r="K1366" i="22"/>
  <c r="K1367" i="22"/>
  <c r="K1368" i="22"/>
  <c r="K1369" i="22"/>
  <c r="K1370" i="22"/>
  <c r="K1371" i="22"/>
  <c r="K1372" i="22"/>
  <c r="K1373" i="22"/>
  <c r="K1374" i="22"/>
  <c r="K1375" i="22"/>
  <c r="K1376" i="22"/>
  <c r="K1377" i="22"/>
  <c r="K1378" i="22"/>
  <c r="K1379" i="22"/>
  <c r="K1380" i="22"/>
  <c r="K1381" i="22"/>
  <c r="K1382" i="22"/>
  <c r="K1383" i="22"/>
  <c r="K1384" i="22"/>
  <c r="K1385" i="22"/>
  <c r="K1386" i="22"/>
  <c r="K1387" i="22"/>
  <c r="K1388" i="22"/>
  <c r="K1389" i="22"/>
  <c r="K1390" i="22"/>
  <c r="K1391" i="22"/>
  <c r="K1392" i="22"/>
  <c r="K1393" i="22"/>
  <c r="K1394" i="22"/>
  <c r="K1395" i="22"/>
  <c r="K1396" i="22"/>
  <c r="K1397" i="22"/>
  <c r="K1398" i="22"/>
  <c r="K1399" i="22"/>
  <c r="K1400" i="22"/>
  <c r="K1401" i="22"/>
  <c r="K1402" i="22"/>
  <c r="K1403" i="22"/>
  <c r="K1404" i="22"/>
  <c r="K1405" i="22"/>
  <c r="K1406" i="22"/>
  <c r="K1407" i="22"/>
  <c r="K1408" i="22"/>
  <c r="K1409" i="22"/>
  <c r="K1410" i="22"/>
  <c r="K1411" i="22"/>
  <c r="K1412" i="22"/>
  <c r="K1413" i="22"/>
  <c r="K1414" i="22"/>
  <c r="K1415" i="22"/>
  <c r="K1416" i="22"/>
  <c r="K1417" i="22"/>
  <c r="K1418" i="22"/>
  <c r="K1419" i="22"/>
  <c r="K1420" i="22"/>
  <c r="K1421" i="22"/>
  <c r="K1422" i="22"/>
  <c r="K1423" i="22"/>
  <c r="K1424" i="22"/>
  <c r="K1425" i="22"/>
  <c r="K1426" i="22"/>
  <c r="K1427" i="22"/>
  <c r="K1428" i="22"/>
  <c r="K1429" i="22"/>
  <c r="K1430" i="22"/>
  <c r="K1431" i="22"/>
  <c r="K1432" i="22"/>
  <c r="K1433" i="22"/>
  <c r="K1434" i="22"/>
  <c r="K1435" i="22"/>
  <c r="K1436" i="22"/>
  <c r="K1437" i="22"/>
  <c r="K1438" i="22"/>
  <c r="K1439" i="22"/>
  <c r="K1440" i="22"/>
  <c r="K1441" i="22"/>
  <c r="K1442" i="22"/>
  <c r="K1443" i="22"/>
  <c r="K1444" i="22"/>
  <c r="K1445" i="22"/>
  <c r="K1446" i="22"/>
  <c r="K1447" i="22"/>
  <c r="K1448" i="22"/>
  <c r="K1449" i="22"/>
  <c r="K1450" i="22"/>
  <c r="K1451" i="22"/>
  <c r="K1452" i="22"/>
  <c r="K1453" i="22"/>
  <c r="K1454" i="22"/>
  <c r="K1455" i="22"/>
  <c r="K1456" i="22"/>
  <c r="K1457" i="22"/>
  <c r="K1458" i="22"/>
  <c r="K1459" i="22"/>
  <c r="K1460" i="22"/>
  <c r="K1461" i="22"/>
  <c r="K1462" i="22"/>
  <c r="K1463" i="22"/>
  <c r="K1464" i="22"/>
  <c r="K1465" i="22"/>
  <c r="K1466" i="22"/>
  <c r="K1467" i="22"/>
  <c r="K1468" i="22"/>
  <c r="K1469" i="22"/>
  <c r="K1470" i="22"/>
  <c r="K1471" i="22"/>
  <c r="K1472" i="22"/>
  <c r="K1473" i="22"/>
  <c r="K1474" i="22"/>
  <c r="K1475" i="22"/>
  <c r="K1476" i="22"/>
  <c r="K1477" i="22"/>
  <c r="K1478" i="22"/>
  <c r="K1479" i="22"/>
  <c r="K1480" i="22"/>
  <c r="K1481" i="22"/>
  <c r="K1482" i="22"/>
  <c r="K1483" i="22"/>
  <c r="K1484" i="22"/>
  <c r="K1485" i="22"/>
  <c r="K1486" i="22"/>
  <c r="K1487" i="22"/>
  <c r="K1488" i="22"/>
  <c r="K1489" i="22"/>
  <c r="K1490" i="22"/>
  <c r="K1491" i="22"/>
  <c r="K1492" i="22"/>
  <c r="K1493" i="22"/>
  <c r="K1494" i="22"/>
  <c r="K1495" i="22"/>
  <c r="K1496" i="22"/>
  <c r="K1497" i="22"/>
  <c r="K1498" i="22"/>
  <c r="K1499" i="22"/>
  <c r="K1500" i="22"/>
  <c r="K1501" i="22"/>
  <c r="K1502" i="22"/>
  <c r="K1503" i="22"/>
  <c r="K1504" i="22"/>
  <c r="K1505" i="22"/>
  <c r="K1506" i="22"/>
  <c r="K1507" i="22"/>
  <c r="K1508" i="22"/>
  <c r="K1509" i="22"/>
  <c r="K1510" i="22"/>
  <c r="K1511" i="22"/>
  <c r="K1512" i="22"/>
  <c r="K1513" i="22"/>
  <c r="K1514" i="22"/>
  <c r="K1515" i="22"/>
  <c r="K1516" i="22"/>
  <c r="K1517" i="22"/>
  <c r="K1518" i="22"/>
  <c r="K1519" i="22"/>
  <c r="K1520" i="22"/>
  <c r="K1521" i="22"/>
  <c r="K1522" i="22"/>
  <c r="K1523" i="22"/>
  <c r="K1524" i="22"/>
  <c r="K1525" i="22"/>
  <c r="K1526" i="22"/>
  <c r="K1527" i="22"/>
  <c r="K1528" i="22"/>
  <c r="K1529" i="22"/>
  <c r="K1530" i="22"/>
  <c r="K1531" i="22"/>
  <c r="K1532" i="22"/>
  <c r="K1533" i="22"/>
  <c r="K1534" i="22"/>
  <c r="K1535" i="22"/>
  <c r="K1536" i="22"/>
  <c r="K1537" i="22"/>
  <c r="K1538" i="22"/>
  <c r="K1539" i="22"/>
  <c r="K1540" i="22"/>
  <c r="K1541" i="22"/>
  <c r="K1542" i="22"/>
  <c r="K1543" i="22"/>
  <c r="K1544" i="22"/>
  <c r="K1545" i="22"/>
  <c r="K1546" i="22"/>
  <c r="K1547" i="22"/>
  <c r="K1548" i="22"/>
  <c r="K1549" i="22"/>
  <c r="K1550" i="22"/>
  <c r="K1551" i="22"/>
  <c r="K1552" i="22"/>
  <c r="K1553" i="22"/>
  <c r="K1554" i="22"/>
  <c r="K1555" i="22"/>
  <c r="K1556" i="22"/>
  <c r="K1557" i="22"/>
  <c r="K1558" i="22"/>
  <c r="K1559" i="22"/>
  <c r="K1560" i="22"/>
  <c r="K1561" i="22"/>
  <c r="K1562" i="22"/>
  <c r="K1563" i="22"/>
  <c r="K1564" i="22"/>
  <c r="K1565" i="22"/>
  <c r="K1566" i="22"/>
  <c r="K1567" i="22"/>
  <c r="K1568" i="22"/>
  <c r="K1569" i="22"/>
  <c r="K1570" i="22"/>
  <c r="K1571" i="22"/>
  <c r="K1572" i="22"/>
  <c r="K1573" i="22"/>
  <c r="K1574" i="22"/>
  <c r="K1575" i="22"/>
  <c r="K1576" i="22"/>
  <c r="K1577" i="22"/>
  <c r="K1578" i="22"/>
  <c r="K1579" i="22"/>
  <c r="K1580" i="22"/>
  <c r="K1581" i="22"/>
  <c r="K1582" i="22"/>
  <c r="K1583" i="22"/>
  <c r="K1584" i="22"/>
  <c r="K1585" i="22"/>
  <c r="K1586" i="22"/>
  <c r="K1587" i="22"/>
  <c r="K1588" i="22"/>
  <c r="K1589" i="22"/>
  <c r="K1590" i="22"/>
  <c r="K1591" i="22"/>
  <c r="K1592" i="22"/>
  <c r="K1593" i="22"/>
  <c r="K1594" i="22"/>
  <c r="K1595" i="22"/>
  <c r="K1596" i="22"/>
  <c r="K1597" i="22"/>
  <c r="K1598" i="22"/>
  <c r="K1599" i="22"/>
  <c r="K1600" i="22"/>
  <c r="K1601" i="22"/>
  <c r="K1602" i="22"/>
  <c r="K1603" i="22"/>
  <c r="K1604" i="22"/>
  <c r="K1605" i="22"/>
  <c r="K1606" i="22"/>
  <c r="K1607" i="22"/>
  <c r="K1608" i="22"/>
  <c r="K1609" i="22"/>
  <c r="K1610" i="22"/>
  <c r="K1611" i="22"/>
  <c r="K1612" i="22"/>
  <c r="K1613" i="22"/>
  <c r="K1614" i="22"/>
  <c r="K1615" i="22"/>
  <c r="K1616" i="22"/>
  <c r="K1617" i="22"/>
  <c r="K1618" i="22"/>
  <c r="K1619" i="22"/>
  <c r="K1620" i="22"/>
  <c r="K1621" i="22"/>
  <c r="K1622" i="22"/>
  <c r="K1623" i="22"/>
  <c r="K1624" i="22"/>
  <c r="K1625" i="22"/>
  <c r="K1626" i="22"/>
  <c r="K1627" i="22"/>
  <c r="K1628" i="22"/>
  <c r="K1629" i="22"/>
  <c r="K1630" i="22"/>
  <c r="K1631" i="22"/>
  <c r="K1632" i="22"/>
  <c r="K1633" i="22"/>
  <c r="K1634" i="22"/>
  <c r="K1635" i="22"/>
  <c r="K1636" i="22"/>
  <c r="K1637" i="22"/>
  <c r="K1638" i="22"/>
  <c r="K1639" i="22"/>
  <c r="K1640" i="22"/>
  <c r="K1641" i="22"/>
  <c r="K1642" i="22"/>
  <c r="K1643" i="22"/>
  <c r="K1644" i="22"/>
  <c r="K1645" i="22"/>
  <c r="K1646" i="22"/>
  <c r="K1647" i="22"/>
  <c r="K1648" i="22"/>
  <c r="K1649" i="22"/>
  <c r="K1650" i="22"/>
  <c r="K1651" i="22"/>
  <c r="K1652" i="22"/>
  <c r="K1653" i="22"/>
  <c r="K1654" i="22"/>
  <c r="K1655" i="22"/>
  <c r="K1656" i="22"/>
  <c r="K1657" i="22"/>
  <c r="K1658" i="22"/>
  <c r="K1659" i="22"/>
  <c r="K1660" i="22"/>
  <c r="K1661" i="22"/>
  <c r="K1662" i="22"/>
  <c r="K1663" i="22"/>
  <c r="K1664" i="22"/>
  <c r="K1665" i="22"/>
  <c r="K1666" i="22"/>
  <c r="K1667" i="22"/>
  <c r="K1668" i="22"/>
  <c r="K1669" i="22"/>
  <c r="K1670" i="22"/>
  <c r="K1671" i="22"/>
  <c r="K1672" i="22"/>
  <c r="K1673" i="22"/>
  <c r="K1674" i="22"/>
  <c r="K1675" i="22"/>
  <c r="K1676" i="22"/>
  <c r="K1677" i="22"/>
  <c r="K1678" i="22"/>
  <c r="K1679" i="22"/>
  <c r="K1680" i="22"/>
  <c r="K1681" i="22"/>
  <c r="K1682" i="22"/>
  <c r="K1683" i="22"/>
  <c r="K1684" i="22"/>
  <c r="K1685" i="22"/>
  <c r="K1686" i="22"/>
  <c r="K1687" i="22"/>
  <c r="K1688" i="22"/>
  <c r="K1689" i="22"/>
  <c r="K1690" i="22"/>
  <c r="K1691" i="22"/>
  <c r="K1692" i="22"/>
  <c r="K1693" i="22"/>
  <c r="K1694" i="22"/>
  <c r="K1695" i="22"/>
  <c r="K1696" i="22"/>
  <c r="K1697" i="22"/>
  <c r="K1698" i="22"/>
  <c r="K1699" i="22"/>
  <c r="K1700" i="22"/>
  <c r="K1701" i="22"/>
  <c r="K1702" i="22"/>
  <c r="K1703" i="22"/>
  <c r="K1704" i="22"/>
  <c r="K1705" i="22"/>
  <c r="K1706" i="22"/>
  <c r="K1707" i="22"/>
  <c r="K1708" i="22"/>
  <c r="K1709" i="22"/>
  <c r="K1710" i="22"/>
  <c r="K1711" i="22"/>
  <c r="K1712" i="22"/>
  <c r="K1713" i="22"/>
  <c r="K1714" i="22"/>
  <c r="K1715" i="22"/>
  <c r="K1716" i="22"/>
  <c r="K1717" i="22"/>
  <c r="K1718" i="22"/>
  <c r="K1719" i="22"/>
  <c r="K1720" i="22"/>
  <c r="K1721" i="22"/>
  <c r="K1722" i="22"/>
  <c r="K1723" i="22"/>
  <c r="K1724" i="22"/>
  <c r="K1725" i="22"/>
  <c r="K1726" i="22"/>
  <c r="K1727" i="22"/>
  <c r="K1728" i="22"/>
  <c r="K1729" i="22"/>
  <c r="K1730" i="22"/>
  <c r="K1731" i="22"/>
  <c r="K1732" i="22"/>
  <c r="K1733" i="22"/>
  <c r="K1734" i="22"/>
  <c r="K1735" i="22"/>
  <c r="K1736" i="22"/>
  <c r="K1737" i="22"/>
  <c r="K1738" i="22"/>
  <c r="K1739" i="22"/>
  <c r="K1740" i="22"/>
  <c r="K1741" i="22"/>
  <c r="K1742" i="22"/>
  <c r="K1743" i="22"/>
  <c r="K1744" i="22"/>
  <c r="K1745" i="22"/>
  <c r="K1746" i="22"/>
  <c r="K1747" i="22"/>
  <c r="K1748" i="22"/>
  <c r="K1749" i="22"/>
  <c r="K1750" i="22"/>
  <c r="K1751" i="22"/>
  <c r="K1752" i="22"/>
  <c r="K1753" i="22"/>
  <c r="K1754" i="22"/>
  <c r="K1755" i="22"/>
  <c r="K1756" i="22"/>
  <c r="K1757" i="22"/>
  <c r="K1758" i="22"/>
  <c r="K1759" i="22"/>
  <c r="K1760" i="22"/>
  <c r="K1761" i="22"/>
  <c r="K1762" i="22"/>
  <c r="K1763" i="22"/>
  <c r="K1764" i="22"/>
  <c r="K1765" i="22"/>
  <c r="K1766" i="22"/>
  <c r="K1767" i="22"/>
  <c r="K1768" i="22"/>
  <c r="K1769" i="22"/>
  <c r="K1770" i="22"/>
  <c r="K1771" i="22"/>
  <c r="K1772" i="22"/>
  <c r="K1773" i="22"/>
  <c r="K1774" i="22"/>
  <c r="K1775" i="22"/>
  <c r="K1776" i="22"/>
  <c r="K1777" i="22"/>
  <c r="K1778" i="22"/>
  <c r="K1779" i="22"/>
  <c r="K1780" i="22"/>
  <c r="K1781" i="22"/>
  <c r="K1782" i="22"/>
  <c r="K1783" i="22"/>
  <c r="K1784" i="22"/>
  <c r="K1785" i="22"/>
  <c r="K1786" i="22"/>
  <c r="K1787" i="22"/>
  <c r="K1788" i="22"/>
  <c r="K1789" i="22"/>
  <c r="K1790" i="22"/>
  <c r="K1791" i="22"/>
  <c r="K1792" i="22"/>
  <c r="K1793" i="22"/>
  <c r="K1794" i="22"/>
  <c r="K1795" i="22"/>
  <c r="K1796" i="22"/>
  <c r="K1797" i="22"/>
  <c r="K1798" i="22"/>
  <c r="K1799" i="22"/>
  <c r="K1800" i="22"/>
  <c r="K1801" i="22"/>
  <c r="K1802" i="22"/>
  <c r="K1803" i="22"/>
  <c r="K1804" i="22"/>
  <c r="K1805" i="22"/>
  <c r="K1806" i="22"/>
  <c r="K1807" i="22"/>
  <c r="K1808" i="22"/>
  <c r="K1809" i="22"/>
  <c r="K1810" i="22"/>
  <c r="K1811" i="22"/>
  <c r="K1812" i="22"/>
  <c r="K1813" i="22"/>
  <c r="K1814" i="22"/>
  <c r="K1815" i="22"/>
  <c r="K1816" i="22"/>
  <c r="K1817" i="22"/>
  <c r="K1818" i="22"/>
  <c r="K1819" i="22"/>
  <c r="K1820" i="22"/>
  <c r="K1821" i="22"/>
  <c r="K1822" i="22"/>
  <c r="K1823" i="22"/>
  <c r="K1824" i="22"/>
  <c r="K1825" i="22"/>
  <c r="K1826" i="22"/>
  <c r="K1827" i="22"/>
  <c r="K1828" i="22"/>
  <c r="K1829" i="22"/>
  <c r="K1830" i="22"/>
  <c r="K1831" i="22"/>
  <c r="K1832" i="22"/>
  <c r="K1833" i="22"/>
  <c r="K1834" i="22"/>
  <c r="K1835" i="22"/>
  <c r="K1836" i="22"/>
  <c r="K1837" i="22"/>
  <c r="K1838" i="22"/>
  <c r="K1839" i="22"/>
  <c r="K1840" i="22"/>
  <c r="K1841" i="22"/>
  <c r="K1842" i="22"/>
  <c r="K1843" i="22"/>
  <c r="K1844" i="22"/>
  <c r="K1845" i="22"/>
  <c r="K1846" i="22"/>
  <c r="K1847" i="22"/>
  <c r="K1848" i="22"/>
  <c r="K1849" i="22"/>
  <c r="K1850" i="22"/>
  <c r="K1851" i="22"/>
  <c r="K1852" i="22"/>
  <c r="K1853" i="22"/>
  <c r="K1854" i="22"/>
  <c r="K1855" i="22"/>
  <c r="K1856" i="22"/>
  <c r="K1857" i="22"/>
  <c r="K1858" i="22"/>
  <c r="K1859" i="22"/>
  <c r="K1860" i="22"/>
  <c r="K1861" i="22"/>
  <c r="K1862" i="22"/>
  <c r="K1863" i="22"/>
  <c r="K1864" i="22"/>
  <c r="K1865" i="22"/>
  <c r="K1866" i="22"/>
  <c r="K1867" i="22"/>
  <c r="K1868" i="22"/>
  <c r="K1869" i="22"/>
  <c r="K1870" i="22"/>
  <c r="K1871" i="22"/>
  <c r="K1872" i="22"/>
  <c r="K1873" i="22"/>
  <c r="K1874" i="22"/>
  <c r="K1875" i="22"/>
  <c r="K1876" i="22"/>
  <c r="K1877" i="22"/>
  <c r="K1878" i="22"/>
  <c r="K1879" i="22"/>
  <c r="K1880" i="22"/>
  <c r="K1881" i="22"/>
  <c r="K1882" i="22"/>
  <c r="K1883" i="22"/>
  <c r="K1884" i="22"/>
  <c r="K1885" i="22"/>
  <c r="K1886" i="22"/>
  <c r="K1887" i="22"/>
  <c r="K1888" i="22"/>
  <c r="K1889" i="22"/>
  <c r="K1890" i="22"/>
  <c r="K1891" i="22"/>
  <c r="K1892" i="22"/>
  <c r="K1893" i="22"/>
  <c r="K1894" i="22"/>
  <c r="K1895" i="22"/>
  <c r="K1896" i="22"/>
  <c r="K1897" i="22"/>
  <c r="K1898" i="22"/>
  <c r="K1899" i="22"/>
  <c r="K1900" i="22"/>
  <c r="K1901" i="22"/>
  <c r="K1902" i="22"/>
  <c r="K1903" i="22"/>
  <c r="K1904" i="22"/>
  <c r="K1905" i="22"/>
  <c r="K1906" i="22"/>
  <c r="K1907" i="22"/>
  <c r="K1908" i="22"/>
  <c r="K1909" i="22"/>
  <c r="K1910" i="22"/>
  <c r="K1911" i="22"/>
  <c r="K1912" i="22"/>
  <c r="K1913" i="22"/>
  <c r="K1914" i="22"/>
  <c r="K1915" i="22"/>
  <c r="K1916" i="22"/>
  <c r="K1917" i="22"/>
  <c r="K1918" i="22"/>
  <c r="K1919" i="22"/>
  <c r="K1920" i="22"/>
  <c r="K1921" i="22"/>
  <c r="K1922" i="22"/>
  <c r="K1923" i="22"/>
  <c r="K1924" i="22"/>
  <c r="K1925" i="22"/>
  <c r="K1926" i="22"/>
  <c r="K1927" i="22"/>
  <c r="K1928" i="22"/>
  <c r="K1929" i="22"/>
  <c r="K1930" i="22"/>
  <c r="K1931" i="22"/>
  <c r="K1932" i="22"/>
  <c r="K1933" i="22"/>
  <c r="K1934" i="22"/>
  <c r="K1935" i="22"/>
  <c r="K1936" i="22"/>
  <c r="K1937" i="22"/>
  <c r="K1938" i="22"/>
  <c r="K1939" i="22"/>
  <c r="K1940" i="22"/>
  <c r="K1941" i="22"/>
  <c r="K1942" i="22"/>
  <c r="K1943" i="22"/>
  <c r="K1944" i="22"/>
  <c r="K1945" i="22"/>
  <c r="K1946" i="22"/>
  <c r="K1947" i="22"/>
  <c r="K1948" i="22"/>
  <c r="K1949" i="22"/>
  <c r="K1950" i="22"/>
  <c r="K1951" i="22"/>
  <c r="K1952" i="22"/>
  <c r="K1953" i="22"/>
  <c r="K1954" i="22"/>
  <c r="K1955" i="22"/>
  <c r="K1956" i="22"/>
  <c r="K1957" i="22"/>
  <c r="K1958" i="22"/>
  <c r="K1959" i="22"/>
  <c r="K1960" i="22"/>
  <c r="K1961" i="22"/>
  <c r="K1962" i="22"/>
  <c r="K1963" i="22"/>
  <c r="K1964" i="22"/>
  <c r="K1965" i="22"/>
  <c r="K1966" i="22"/>
  <c r="K1967" i="22"/>
  <c r="K1968" i="22"/>
  <c r="K1969" i="22"/>
  <c r="K1970" i="22"/>
  <c r="K1971" i="22"/>
  <c r="K1972" i="22"/>
  <c r="K1973" i="22"/>
  <c r="K1974" i="22"/>
  <c r="K1975" i="22"/>
  <c r="K1976" i="22"/>
  <c r="K1977" i="22"/>
  <c r="K1978" i="22"/>
  <c r="K1979" i="22"/>
  <c r="K1980" i="22"/>
  <c r="K1981" i="22"/>
  <c r="K1982" i="22"/>
  <c r="K1983" i="22"/>
  <c r="K1984" i="22"/>
  <c r="K1985" i="22"/>
  <c r="K1986" i="22"/>
  <c r="K1987" i="22"/>
  <c r="K1988" i="22"/>
  <c r="K1989" i="22"/>
  <c r="K1990" i="22"/>
  <c r="K1991" i="22"/>
  <c r="K1992" i="22"/>
  <c r="K1993" i="22"/>
  <c r="K1994" i="22"/>
  <c r="K1995" i="22"/>
  <c r="K1996" i="22"/>
  <c r="K1997" i="22"/>
  <c r="K1998" i="22"/>
  <c r="K1999" i="22"/>
  <c r="K2000" i="22"/>
  <c r="K2001" i="22"/>
  <c r="K2002" i="22"/>
  <c r="K2003" i="22"/>
  <c r="K2004" i="22"/>
  <c r="K2005" i="22"/>
  <c r="K2006" i="22"/>
  <c r="K2007" i="22"/>
  <c r="K2008" i="22"/>
  <c r="K2009" i="22"/>
  <c r="K2010" i="22"/>
  <c r="K2011" i="22"/>
  <c r="K2012" i="22"/>
  <c r="K2013" i="22"/>
  <c r="K2014" i="22"/>
  <c r="K2015" i="22"/>
  <c r="K2016" i="22"/>
  <c r="K2017" i="22"/>
  <c r="K2018" i="22"/>
  <c r="K2019" i="22"/>
  <c r="K2020" i="22"/>
  <c r="K2021" i="22"/>
  <c r="K2022" i="22"/>
  <c r="K2023" i="22"/>
  <c r="K2024" i="22"/>
  <c r="K2025" i="22"/>
  <c r="K2026" i="22"/>
  <c r="K2027" i="22"/>
  <c r="K2028" i="22"/>
  <c r="K2029" i="22"/>
  <c r="K2030" i="22"/>
  <c r="K2031" i="22"/>
  <c r="K2032" i="22"/>
  <c r="K2033" i="22"/>
  <c r="K2034" i="22"/>
  <c r="K2035" i="22"/>
  <c r="K2036" i="22"/>
  <c r="K2037" i="22"/>
  <c r="K2038" i="22"/>
  <c r="K2039" i="22"/>
  <c r="K2040" i="22"/>
  <c r="K2041" i="22"/>
  <c r="K2042" i="22"/>
  <c r="K2043" i="22"/>
  <c r="K2044" i="22"/>
  <c r="K2045" i="22"/>
  <c r="K2046" i="22"/>
  <c r="K2047" i="22"/>
  <c r="K2048" i="22"/>
  <c r="K2049" i="22"/>
  <c r="K2050" i="22"/>
  <c r="K2051" i="22"/>
  <c r="K2052" i="22"/>
  <c r="K2053" i="22"/>
  <c r="K2054" i="22"/>
  <c r="K2055" i="22"/>
  <c r="K2056" i="22"/>
  <c r="K2057" i="22"/>
  <c r="K2058" i="22"/>
  <c r="K2059" i="22"/>
  <c r="K2060" i="22"/>
  <c r="K2061" i="22"/>
  <c r="K2062" i="22"/>
  <c r="K2063" i="22"/>
  <c r="K2064" i="22"/>
  <c r="K2065" i="22"/>
  <c r="K2066" i="22"/>
  <c r="K2067" i="22"/>
  <c r="K2068" i="22"/>
  <c r="K2069" i="22"/>
  <c r="K2070" i="22"/>
  <c r="K2071" i="22"/>
  <c r="K2072" i="22"/>
  <c r="K2073" i="22"/>
  <c r="K2074" i="22"/>
  <c r="K2075" i="22"/>
  <c r="K2076" i="22"/>
  <c r="K2077" i="22"/>
  <c r="K2078" i="22"/>
  <c r="K2079" i="22"/>
  <c r="K2080" i="22"/>
  <c r="K2081" i="22"/>
  <c r="K2082" i="22"/>
  <c r="K2083" i="22"/>
  <c r="K2084" i="22"/>
  <c r="K2085" i="22"/>
  <c r="K2086" i="22"/>
  <c r="K2087" i="22"/>
  <c r="K2088" i="22"/>
  <c r="K2089" i="22"/>
  <c r="K2090" i="22"/>
  <c r="K2091" i="22"/>
  <c r="K2092" i="22"/>
  <c r="K2093" i="22"/>
  <c r="K2094" i="22"/>
  <c r="K2095" i="22"/>
  <c r="K2096" i="22"/>
  <c r="K2097" i="22"/>
  <c r="K2098" i="22"/>
  <c r="K2099" i="22"/>
  <c r="K2100" i="22"/>
  <c r="K2101" i="22"/>
  <c r="K2102" i="22"/>
  <c r="K2103" i="22"/>
  <c r="K2104" i="22"/>
  <c r="K2105" i="22"/>
  <c r="K2106" i="22"/>
  <c r="K2107" i="22"/>
  <c r="K2108" i="22"/>
  <c r="K2109" i="22"/>
  <c r="K2110" i="22"/>
  <c r="K2111" i="22"/>
  <c r="K2112" i="22"/>
  <c r="K2113" i="22"/>
  <c r="K2114" i="22"/>
  <c r="K2115" i="22"/>
  <c r="K2116" i="22"/>
  <c r="K2117" i="22"/>
  <c r="K2118" i="22"/>
  <c r="K2119" i="22"/>
  <c r="K2120" i="22"/>
  <c r="K2121" i="22"/>
  <c r="K2122" i="22"/>
  <c r="K2123" i="22"/>
  <c r="K2124" i="22"/>
  <c r="K2125" i="22"/>
  <c r="K2126" i="22"/>
  <c r="K2127" i="22"/>
  <c r="K2128" i="22"/>
  <c r="K2129" i="22"/>
  <c r="K2130" i="22"/>
  <c r="K2131" i="22"/>
  <c r="K2132" i="22"/>
  <c r="K2133" i="22"/>
  <c r="K2134" i="22"/>
  <c r="K2135" i="22"/>
  <c r="K2136" i="22"/>
  <c r="K2137" i="22"/>
  <c r="K2138" i="22"/>
  <c r="K2139" i="22"/>
  <c r="K2140" i="22"/>
  <c r="K2141" i="22"/>
  <c r="K2142" i="22"/>
  <c r="K2143" i="22"/>
  <c r="K2144" i="22"/>
  <c r="K2145" i="22"/>
  <c r="K2146" i="22"/>
  <c r="K2147" i="22"/>
  <c r="K2148" i="22"/>
  <c r="K2149" i="22"/>
  <c r="K2150" i="22"/>
  <c r="K2151" i="22"/>
  <c r="K2152" i="22"/>
  <c r="K2153" i="22"/>
  <c r="K2154" i="22"/>
  <c r="K2155" i="22"/>
  <c r="K2156" i="22"/>
  <c r="K2157" i="22"/>
  <c r="K2158" i="22"/>
  <c r="K2159" i="22"/>
  <c r="K2160" i="22"/>
  <c r="K2161" i="22"/>
  <c r="K2162" i="22"/>
  <c r="K2163" i="22"/>
  <c r="K2164" i="22"/>
  <c r="K2165" i="22"/>
  <c r="K2166" i="22"/>
  <c r="K2167" i="22"/>
  <c r="K2168" i="22"/>
  <c r="K2169" i="22"/>
  <c r="K2170" i="22"/>
  <c r="K2171" i="22"/>
  <c r="K2172" i="22"/>
  <c r="K2173" i="22"/>
  <c r="K2174" i="22"/>
  <c r="K2175" i="22"/>
  <c r="K2176" i="22"/>
  <c r="K2177" i="22"/>
  <c r="K2178" i="22"/>
  <c r="K2179" i="22"/>
  <c r="K2180" i="22"/>
  <c r="K2181" i="22"/>
  <c r="K2182" i="22"/>
  <c r="K2183" i="22"/>
  <c r="K2184" i="22"/>
  <c r="K2185" i="22"/>
  <c r="K2186" i="22"/>
  <c r="K2187" i="22"/>
  <c r="K2188" i="22"/>
  <c r="K2189" i="22"/>
  <c r="K2190" i="22"/>
  <c r="K2191" i="22"/>
  <c r="K2192" i="22"/>
  <c r="K2193" i="22"/>
  <c r="K2194" i="22"/>
  <c r="K2195" i="22"/>
  <c r="K2196" i="22"/>
  <c r="K2197" i="22"/>
  <c r="K2198" i="22"/>
  <c r="K2199" i="22"/>
  <c r="K2200" i="22"/>
  <c r="K2201" i="22"/>
  <c r="K2202" i="22"/>
  <c r="K2203" i="22"/>
  <c r="K2204" i="22"/>
  <c r="K2205" i="22"/>
  <c r="K2206" i="22"/>
  <c r="K2207" i="22"/>
  <c r="K2208" i="22"/>
  <c r="K2209" i="22"/>
  <c r="K2210" i="22"/>
  <c r="K2211" i="22"/>
  <c r="K2212" i="22"/>
  <c r="K2213" i="22"/>
  <c r="K2214" i="22"/>
  <c r="K2215" i="22"/>
  <c r="K2216" i="22"/>
  <c r="K2217" i="22"/>
  <c r="K2218" i="22"/>
  <c r="K2219" i="22"/>
  <c r="K2220" i="22"/>
  <c r="K2221" i="22"/>
  <c r="K2222" i="22"/>
  <c r="K2223" i="22"/>
  <c r="K2224" i="22"/>
  <c r="K2225" i="22"/>
  <c r="K2226" i="22"/>
  <c r="K2227" i="22"/>
  <c r="K2228" i="22"/>
  <c r="K2229" i="22"/>
  <c r="K2230" i="22"/>
  <c r="K2231" i="22"/>
  <c r="K2232" i="22"/>
  <c r="K2233" i="22"/>
  <c r="K2234" i="22"/>
  <c r="K2235" i="22"/>
  <c r="K2236" i="22"/>
  <c r="K2237" i="22"/>
  <c r="K2238" i="22"/>
  <c r="K2239" i="22"/>
  <c r="K2240" i="22"/>
  <c r="K2241" i="22"/>
  <c r="K2242" i="22"/>
  <c r="K2243" i="22"/>
  <c r="K2244" i="22"/>
  <c r="K2245" i="22"/>
  <c r="K2246" i="22"/>
  <c r="K2247" i="22"/>
  <c r="K2248" i="22"/>
  <c r="K2249" i="22"/>
  <c r="K2250" i="22"/>
  <c r="K2251" i="22"/>
  <c r="K2252" i="22"/>
  <c r="K2253" i="22"/>
  <c r="K2254" i="22"/>
  <c r="K2255" i="22"/>
  <c r="K2256" i="22"/>
  <c r="K2257" i="22"/>
  <c r="K2258" i="22"/>
  <c r="K2259" i="22"/>
  <c r="K2260" i="22"/>
  <c r="K2261" i="22"/>
  <c r="K2262" i="22"/>
  <c r="K2263" i="22"/>
  <c r="K2264" i="22"/>
  <c r="K2265" i="22"/>
  <c r="K2266" i="22"/>
  <c r="K2267" i="22"/>
  <c r="K2268" i="22"/>
  <c r="K2269" i="22"/>
  <c r="K2270" i="22"/>
  <c r="K2271" i="22"/>
  <c r="K2272" i="22"/>
  <c r="K2273" i="22"/>
  <c r="K2274" i="22"/>
  <c r="K2275" i="22"/>
  <c r="K2276" i="22"/>
  <c r="K2277" i="22"/>
  <c r="K2278" i="22"/>
  <c r="K2279" i="22"/>
  <c r="K2280" i="22"/>
  <c r="K2281" i="22"/>
  <c r="K2282" i="22"/>
  <c r="K2283" i="22"/>
  <c r="K2284" i="22"/>
  <c r="K2285" i="22"/>
  <c r="K2286" i="22"/>
  <c r="K2287" i="22"/>
  <c r="K2288" i="22"/>
  <c r="K2289" i="22"/>
  <c r="K2290" i="22"/>
  <c r="K2291" i="22"/>
  <c r="K2292" i="22"/>
  <c r="K2293" i="22"/>
  <c r="K2294" i="22"/>
  <c r="K2295" i="22"/>
  <c r="K2296" i="22"/>
  <c r="K2297" i="22"/>
  <c r="K2298" i="22"/>
  <c r="K2299" i="22"/>
  <c r="K2300" i="22"/>
  <c r="K2301" i="22"/>
  <c r="K2302" i="22"/>
  <c r="K2303" i="22"/>
  <c r="K2304" i="22"/>
  <c r="K2305" i="22"/>
  <c r="K2306" i="22"/>
  <c r="K2307" i="22"/>
  <c r="K2308" i="22"/>
  <c r="K2309" i="22"/>
  <c r="K2310" i="22"/>
  <c r="K2311" i="22"/>
  <c r="K2312" i="22"/>
  <c r="K2" i="22"/>
  <c r="J2" i="22"/>
  <c r="F2" i="21"/>
  <c r="F3" i="21"/>
  <c r="F4" i="21"/>
  <c r="F5" i="21"/>
  <c r="F6" i="21"/>
  <c r="F7" i="21"/>
  <c r="F8" i="21"/>
  <c r="F9" i="21"/>
  <c r="F10" i="21"/>
  <c r="F11" i="21"/>
  <c r="F12" i="21"/>
  <c r="F13" i="21"/>
  <c r="F14" i="21"/>
  <c r="F15" i="21"/>
  <c r="F16" i="21"/>
  <c r="F17" i="21"/>
  <c r="F18" i="21"/>
  <c r="F19" i="21"/>
  <c r="F20" i="21"/>
  <c r="F21" i="21"/>
  <c r="F22" i="21"/>
  <c r="F23" i="21"/>
  <c r="F24" i="21"/>
  <c r="F25" i="21"/>
  <c r="F26" i="21"/>
  <c r="F27" i="21"/>
  <c r="F28" i="21"/>
  <c r="F29" i="21"/>
  <c r="F30" i="21"/>
  <c r="F31" i="21"/>
  <c r="F32" i="21"/>
  <c r="F33" i="21"/>
  <c r="F34" i="21"/>
  <c r="F35" i="21"/>
  <c r="F36" i="21"/>
  <c r="F37" i="21"/>
  <c r="F38" i="21"/>
  <c r="F39" i="21"/>
  <c r="F40" i="21"/>
  <c r="F41" i="21"/>
  <c r="F42" i="21"/>
  <c r="F43" i="21"/>
  <c r="F44" i="21"/>
  <c r="F45" i="21"/>
  <c r="F46" i="21"/>
  <c r="F47" i="21"/>
  <c r="F48" i="21"/>
  <c r="F49" i="21"/>
  <c r="F50" i="21"/>
  <c r="F51" i="21"/>
  <c r="F52" i="21"/>
  <c r="F53" i="21"/>
  <c r="F54" i="21"/>
  <c r="F55" i="21"/>
  <c r="F56" i="21"/>
  <c r="F57" i="21"/>
  <c r="F58" i="21"/>
  <c r="F59" i="21"/>
  <c r="F60" i="21"/>
  <c r="F61" i="21"/>
  <c r="F62" i="21"/>
  <c r="F63" i="21"/>
  <c r="F64" i="21"/>
  <c r="F65" i="21"/>
  <c r="F66" i="21"/>
  <c r="F67" i="21"/>
  <c r="F68" i="21"/>
  <c r="F69" i="21"/>
  <c r="F70" i="21"/>
  <c r="F71" i="21"/>
  <c r="F72" i="21"/>
  <c r="F73" i="21"/>
  <c r="F74" i="21"/>
  <c r="F75" i="21"/>
  <c r="F76" i="21"/>
  <c r="F77" i="21"/>
  <c r="F78" i="21"/>
  <c r="F79" i="21"/>
  <c r="F80" i="21"/>
  <c r="F81" i="21"/>
  <c r="F82" i="21"/>
  <c r="F83" i="21"/>
  <c r="F84" i="21"/>
  <c r="F85" i="21"/>
  <c r="F86" i="21"/>
  <c r="F87" i="21"/>
  <c r="F88" i="21"/>
  <c r="F89" i="21"/>
  <c r="F90" i="21"/>
  <c r="F91" i="21"/>
  <c r="F92" i="21"/>
  <c r="F93" i="21"/>
  <c r="F94" i="21"/>
  <c r="F95" i="21"/>
  <c r="F96" i="21"/>
  <c r="F97" i="21"/>
  <c r="F98" i="21"/>
  <c r="F99" i="21"/>
  <c r="F100" i="21"/>
  <c r="F101" i="21"/>
  <c r="F102" i="21"/>
  <c r="F103" i="21"/>
  <c r="F104" i="21"/>
  <c r="F105" i="21"/>
  <c r="F106" i="21"/>
  <c r="F107" i="21"/>
  <c r="F108" i="21"/>
  <c r="F109" i="21"/>
  <c r="F110" i="21"/>
  <c r="F111" i="21"/>
  <c r="F112" i="21"/>
  <c r="F113" i="21"/>
  <c r="F114" i="21"/>
  <c r="F115" i="21"/>
  <c r="F116" i="21"/>
  <c r="F117" i="21"/>
  <c r="F118" i="21"/>
  <c r="F119" i="21"/>
  <c r="F120" i="21"/>
  <c r="F121" i="21"/>
  <c r="F122" i="21"/>
  <c r="F123" i="21"/>
  <c r="F124" i="21"/>
  <c r="F125" i="21"/>
  <c r="F126" i="21"/>
  <c r="F127" i="21"/>
  <c r="F128" i="21"/>
  <c r="F129" i="21"/>
  <c r="F130" i="21"/>
  <c r="F131" i="21"/>
  <c r="F132" i="21"/>
  <c r="F133" i="21"/>
  <c r="F134" i="21"/>
  <c r="F135" i="21"/>
  <c r="F136" i="21"/>
  <c r="F137" i="21"/>
  <c r="F138" i="21"/>
  <c r="F139" i="21"/>
  <c r="F140" i="21"/>
  <c r="F141" i="21"/>
  <c r="F142" i="21"/>
  <c r="F143" i="21"/>
  <c r="F144" i="21"/>
  <c r="F145" i="21"/>
  <c r="F146" i="21"/>
  <c r="F147" i="21"/>
  <c r="F148" i="21"/>
  <c r="F149" i="21"/>
  <c r="F150" i="21"/>
  <c r="F151" i="21"/>
  <c r="F152" i="21"/>
  <c r="F153" i="21"/>
  <c r="F154" i="21"/>
  <c r="F155" i="21"/>
  <c r="F156" i="21"/>
  <c r="F157" i="21"/>
  <c r="F158" i="21"/>
  <c r="F159" i="21"/>
  <c r="F160" i="21"/>
  <c r="F161" i="21"/>
  <c r="F162" i="21"/>
  <c r="F163" i="21"/>
  <c r="F164" i="21"/>
  <c r="F165" i="21"/>
  <c r="F166" i="21"/>
  <c r="F167" i="21"/>
  <c r="F168" i="21"/>
  <c r="F169" i="21"/>
  <c r="F170" i="21"/>
  <c r="F171" i="21"/>
  <c r="F172" i="21"/>
  <c r="F173" i="21"/>
  <c r="F174" i="21"/>
  <c r="F175" i="21"/>
  <c r="F176" i="21"/>
  <c r="F177" i="21"/>
  <c r="F178" i="21"/>
  <c r="F179" i="21"/>
  <c r="F180" i="21"/>
  <c r="F181" i="21"/>
  <c r="F182" i="21"/>
  <c r="F183" i="21"/>
  <c r="F184" i="21"/>
  <c r="F185" i="21"/>
  <c r="F186" i="21"/>
  <c r="F187" i="21"/>
  <c r="F188" i="21"/>
  <c r="F189" i="21"/>
  <c r="F190" i="21"/>
  <c r="F191" i="21"/>
  <c r="F192" i="21"/>
  <c r="F193" i="21"/>
  <c r="F194" i="21"/>
  <c r="F195" i="21"/>
  <c r="F196" i="21"/>
  <c r="F197" i="21"/>
  <c r="F198" i="21"/>
  <c r="F199" i="21"/>
  <c r="F200" i="21"/>
  <c r="F201" i="21"/>
  <c r="F202" i="21"/>
  <c r="F203" i="21"/>
  <c r="F204" i="21"/>
  <c r="F205" i="21"/>
  <c r="F206" i="21"/>
  <c r="F207" i="21"/>
  <c r="F208" i="21"/>
  <c r="F209" i="21"/>
  <c r="F210" i="21"/>
  <c r="F211" i="21"/>
  <c r="F212" i="21"/>
  <c r="F213" i="21"/>
  <c r="F214" i="21"/>
  <c r="F215" i="21"/>
  <c r="F216" i="21"/>
  <c r="F217" i="21"/>
  <c r="F218" i="21"/>
  <c r="F219" i="21"/>
  <c r="F220" i="21"/>
  <c r="F221" i="21"/>
  <c r="F222" i="21"/>
  <c r="F223" i="21"/>
  <c r="F224" i="21"/>
  <c r="F225" i="21"/>
  <c r="F226" i="21"/>
  <c r="F227" i="21"/>
  <c r="F228" i="21"/>
  <c r="F229" i="21"/>
  <c r="F230" i="21"/>
  <c r="F231" i="21"/>
  <c r="F232" i="21"/>
  <c r="F233" i="21"/>
  <c r="F234" i="21"/>
  <c r="F235" i="21"/>
  <c r="F236" i="21"/>
  <c r="F237" i="21"/>
  <c r="F238" i="21"/>
  <c r="F239" i="21"/>
  <c r="F240" i="21"/>
  <c r="F241" i="21"/>
  <c r="F242" i="21"/>
  <c r="F243" i="21"/>
  <c r="F244" i="21"/>
  <c r="F245" i="21"/>
  <c r="F246" i="21"/>
  <c r="F247" i="21"/>
  <c r="F248" i="21"/>
  <c r="F249" i="21"/>
  <c r="F250" i="21"/>
  <c r="F251" i="21"/>
  <c r="F252" i="21"/>
  <c r="F253" i="21"/>
  <c r="F254" i="21"/>
  <c r="F255" i="21"/>
  <c r="F256" i="21"/>
  <c r="F257" i="21"/>
  <c r="F258" i="21"/>
  <c r="F259" i="21"/>
  <c r="F260" i="21"/>
  <c r="F261" i="21"/>
  <c r="F262" i="21"/>
  <c r="F263" i="21"/>
  <c r="F264" i="21"/>
  <c r="F265" i="21"/>
  <c r="F266" i="21"/>
  <c r="F267" i="21"/>
  <c r="F268" i="21"/>
  <c r="F269" i="21"/>
  <c r="F270" i="21"/>
  <c r="F271" i="21"/>
  <c r="F272" i="21"/>
  <c r="F273" i="21"/>
  <c r="F274" i="21"/>
  <c r="F275" i="21"/>
  <c r="F276" i="21"/>
  <c r="F277" i="21"/>
  <c r="F278" i="21"/>
  <c r="F279" i="21"/>
  <c r="F280" i="21"/>
  <c r="F281" i="21"/>
  <c r="F282" i="21"/>
  <c r="F283" i="21"/>
  <c r="F284" i="21"/>
  <c r="F285" i="21"/>
  <c r="F286" i="21"/>
  <c r="F287" i="21"/>
  <c r="F288" i="21"/>
  <c r="F289" i="21"/>
  <c r="F290" i="21"/>
  <c r="F291" i="21"/>
  <c r="F292" i="21"/>
  <c r="F293" i="21"/>
  <c r="F294" i="21"/>
  <c r="F295" i="21"/>
  <c r="F296" i="21"/>
  <c r="F297" i="21"/>
  <c r="F298" i="21"/>
  <c r="F299" i="21"/>
  <c r="F300" i="21"/>
  <c r="F301" i="21"/>
  <c r="F302" i="21"/>
  <c r="F303" i="21"/>
  <c r="F304" i="21"/>
  <c r="F305" i="21"/>
  <c r="F306" i="21"/>
  <c r="F307" i="21"/>
  <c r="F308" i="21"/>
  <c r="F309" i="21"/>
  <c r="F310" i="21"/>
  <c r="F311" i="21"/>
  <c r="F312" i="21"/>
  <c r="F313" i="21"/>
  <c r="F314" i="21"/>
  <c r="F315" i="21"/>
  <c r="F316" i="21"/>
  <c r="F317" i="21"/>
  <c r="F318" i="21"/>
  <c r="F319" i="21"/>
  <c r="F320" i="21"/>
  <c r="F321" i="21"/>
  <c r="F322" i="21"/>
  <c r="F323" i="21"/>
  <c r="F324" i="21"/>
  <c r="F325" i="21"/>
  <c r="F326" i="21"/>
  <c r="F327" i="21"/>
  <c r="F328" i="21"/>
  <c r="F329" i="21"/>
  <c r="F330" i="21"/>
  <c r="F331" i="21"/>
  <c r="F332" i="21"/>
  <c r="F333" i="21"/>
  <c r="F334" i="21"/>
  <c r="F335" i="21"/>
  <c r="F336" i="21"/>
  <c r="F337" i="21"/>
  <c r="F338" i="21"/>
  <c r="F339" i="21"/>
  <c r="F340" i="21"/>
  <c r="F341" i="21"/>
  <c r="F342" i="21"/>
  <c r="F343" i="21"/>
  <c r="F344" i="21"/>
  <c r="F345" i="21"/>
  <c r="F346" i="21"/>
  <c r="F347" i="21"/>
  <c r="F348" i="21"/>
  <c r="F349" i="21"/>
  <c r="F350" i="21"/>
  <c r="F351" i="21"/>
  <c r="F352" i="21"/>
  <c r="F353" i="21"/>
  <c r="F354" i="21"/>
  <c r="F355" i="21"/>
  <c r="F356" i="21"/>
  <c r="F357" i="21"/>
  <c r="F358" i="21"/>
  <c r="F359" i="21"/>
  <c r="F360" i="21"/>
  <c r="F361" i="21"/>
  <c r="F362" i="21"/>
  <c r="F363" i="21"/>
  <c r="F364" i="21"/>
  <c r="F365" i="21"/>
  <c r="F366" i="21"/>
  <c r="F367" i="21"/>
  <c r="F368" i="21"/>
  <c r="F369" i="21"/>
  <c r="F370" i="21"/>
  <c r="F371" i="21"/>
  <c r="F372" i="21"/>
  <c r="F373" i="21"/>
  <c r="F374" i="21"/>
  <c r="F375" i="21"/>
  <c r="F376" i="21"/>
  <c r="F377" i="21"/>
  <c r="F378" i="21"/>
  <c r="F379" i="21"/>
  <c r="F380" i="21"/>
  <c r="F381" i="21"/>
  <c r="F382" i="21"/>
  <c r="F383" i="21"/>
  <c r="F384" i="21"/>
  <c r="F385" i="21"/>
  <c r="F386" i="21"/>
  <c r="F387" i="21"/>
  <c r="F388" i="21"/>
  <c r="F389" i="21"/>
  <c r="F390" i="21"/>
  <c r="F391" i="21"/>
  <c r="F392" i="21"/>
  <c r="F393" i="21"/>
  <c r="F394" i="21"/>
  <c r="F395" i="21"/>
  <c r="F396" i="21"/>
  <c r="F397" i="21"/>
  <c r="F398" i="21"/>
  <c r="F399" i="21"/>
  <c r="F400" i="21"/>
  <c r="F401" i="21"/>
  <c r="F402" i="21"/>
  <c r="F403" i="21"/>
  <c r="F404" i="21"/>
  <c r="F405" i="21"/>
  <c r="F406" i="21"/>
  <c r="F407" i="21"/>
  <c r="F408" i="21"/>
  <c r="F409" i="21"/>
  <c r="F410" i="21"/>
  <c r="F411" i="21"/>
  <c r="F412" i="21"/>
  <c r="F413" i="21"/>
  <c r="F414" i="21"/>
  <c r="F415" i="21"/>
  <c r="F416" i="21"/>
  <c r="F417" i="21"/>
  <c r="F418" i="21"/>
  <c r="F419" i="21"/>
  <c r="F420" i="21"/>
  <c r="F421" i="21"/>
  <c r="F422" i="21"/>
  <c r="F423" i="21"/>
  <c r="F424" i="21"/>
  <c r="F425" i="21"/>
  <c r="F426" i="21"/>
  <c r="F427" i="21"/>
  <c r="F428" i="21"/>
  <c r="F429" i="21"/>
  <c r="F430" i="21"/>
  <c r="F431" i="21"/>
  <c r="F432" i="21"/>
  <c r="F433" i="21"/>
  <c r="F434" i="21"/>
  <c r="F435" i="21"/>
  <c r="F436" i="21"/>
  <c r="F437" i="21"/>
  <c r="F438" i="21"/>
  <c r="F439" i="21"/>
  <c r="F440" i="21"/>
  <c r="F441" i="21"/>
  <c r="F442" i="21"/>
  <c r="F443" i="21"/>
  <c r="F444" i="21"/>
  <c r="F445" i="21"/>
  <c r="F446" i="21"/>
  <c r="F447" i="21"/>
  <c r="F448" i="21"/>
  <c r="F449" i="21"/>
  <c r="F450" i="21"/>
  <c r="F451" i="21"/>
  <c r="F452" i="21"/>
  <c r="F453" i="21"/>
  <c r="F454" i="21"/>
  <c r="F455" i="21"/>
  <c r="F456" i="21"/>
  <c r="F457" i="21"/>
  <c r="F458" i="21"/>
  <c r="F459" i="21"/>
  <c r="F460" i="21"/>
  <c r="F461" i="21"/>
  <c r="F462" i="21"/>
  <c r="F463" i="21"/>
  <c r="F464" i="21"/>
  <c r="F465" i="21"/>
  <c r="F466" i="21"/>
  <c r="F467" i="21"/>
  <c r="F468" i="21"/>
  <c r="F469" i="21"/>
  <c r="F470" i="21"/>
  <c r="F471" i="21"/>
  <c r="F472" i="21"/>
  <c r="F473" i="21"/>
  <c r="F474" i="21"/>
  <c r="F475" i="21"/>
  <c r="F476" i="21"/>
  <c r="F477" i="21"/>
  <c r="F478" i="21"/>
  <c r="F479" i="21"/>
  <c r="F480" i="21"/>
  <c r="F481" i="21"/>
  <c r="F482" i="21"/>
  <c r="F483" i="21"/>
  <c r="F484" i="21"/>
  <c r="F485" i="21"/>
  <c r="F486" i="21"/>
  <c r="F487" i="21"/>
  <c r="F488" i="21"/>
  <c r="F489" i="21"/>
  <c r="F490" i="21"/>
  <c r="F491" i="21"/>
  <c r="F492" i="21"/>
  <c r="F493" i="21"/>
  <c r="F494" i="21"/>
  <c r="F495" i="21"/>
  <c r="F496" i="21"/>
  <c r="F497" i="21"/>
  <c r="F498" i="21"/>
  <c r="F499" i="21"/>
  <c r="F500" i="21"/>
  <c r="F501" i="21"/>
  <c r="F502" i="21"/>
  <c r="F503" i="21"/>
  <c r="F504" i="21"/>
  <c r="F505" i="21"/>
  <c r="F506" i="21"/>
  <c r="F507" i="21"/>
  <c r="F508" i="21"/>
  <c r="F509" i="21"/>
  <c r="F510" i="21"/>
  <c r="F511" i="21"/>
  <c r="F512" i="21"/>
  <c r="F513" i="21"/>
  <c r="F514" i="21"/>
  <c r="F515" i="21"/>
  <c r="F516" i="21"/>
  <c r="F517" i="21"/>
  <c r="F518" i="21"/>
  <c r="F519" i="21"/>
  <c r="F520" i="21"/>
  <c r="F521" i="21"/>
  <c r="F522" i="21"/>
  <c r="F523" i="21"/>
  <c r="F524" i="21"/>
  <c r="F525" i="21"/>
  <c r="F526" i="21"/>
  <c r="F527" i="21"/>
  <c r="F528" i="21"/>
  <c r="F529" i="21"/>
  <c r="F530" i="21"/>
  <c r="F531" i="21"/>
  <c r="F532" i="21"/>
  <c r="F533" i="21"/>
  <c r="F534" i="21"/>
  <c r="F535" i="21"/>
  <c r="F536" i="21"/>
  <c r="F537" i="21"/>
  <c r="F538" i="21"/>
  <c r="F539" i="21"/>
  <c r="F540" i="21"/>
  <c r="F541" i="21"/>
  <c r="F542" i="21"/>
  <c r="F543" i="21"/>
  <c r="F544" i="21"/>
  <c r="F545" i="21"/>
  <c r="F546" i="21"/>
  <c r="F547" i="21"/>
  <c r="F548" i="21"/>
  <c r="F549" i="21"/>
  <c r="F550" i="21"/>
  <c r="F551" i="21"/>
  <c r="F552" i="21"/>
  <c r="F553" i="21"/>
  <c r="F554" i="21"/>
  <c r="F555" i="21"/>
  <c r="F556" i="21"/>
  <c r="F557" i="21"/>
  <c r="F558" i="21"/>
  <c r="F559" i="21"/>
  <c r="F560" i="21"/>
  <c r="F561" i="21"/>
  <c r="F562" i="21"/>
  <c r="F563" i="21"/>
  <c r="F564" i="21"/>
  <c r="F565" i="21"/>
  <c r="F566" i="21"/>
  <c r="F567" i="21"/>
  <c r="F568" i="21"/>
  <c r="F569" i="21"/>
  <c r="F570" i="21"/>
  <c r="F571" i="21"/>
  <c r="F572" i="21"/>
  <c r="F573" i="21"/>
  <c r="F574" i="21"/>
  <c r="F575" i="21"/>
  <c r="F576" i="21"/>
  <c r="F577" i="21"/>
  <c r="F578" i="21"/>
  <c r="F579" i="21"/>
  <c r="F580" i="21"/>
  <c r="F581" i="21"/>
  <c r="F582" i="21"/>
  <c r="F583" i="21"/>
  <c r="F584" i="21"/>
  <c r="F585" i="21"/>
  <c r="F586" i="21"/>
  <c r="F587" i="21"/>
  <c r="F588" i="21"/>
  <c r="F589" i="21"/>
  <c r="F590" i="21"/>
  <c r="F591" i="21"/>
  <c r="F592" i="21"/>
  <c r="F593" i="21"/>
  <c r="F594" i="21"/>
  <c r="F595" i="21"/>
  <c r="F596" i="21"/>
  <c r="F597" i="21"/>
  <c r="F598" i="21"/>
  <c r="F599" i="21"/>
  <c r="F600" i="21"/>
  <c r="F601" i="21"/>
  <c r="F602" i="21"/>
  <c r="F603" i="21"/>
  <c r="F604" i="21"/>
  <c r="F605" i="21"/>
  <c r="F606" i="21"/>
  <c r="F607" i="21"/>
  <c r="F608" i="21"/>
  <c r="F609" i="21"/>
  <c r="F610" i="21"/>
  <c r="F611" i="21"/>
  <c r="F612" i="21"/>
  <c r="F613" i="21"/>
  <c r="F614" i="21"/>
  <c r="F615" i="21"/>
  <c r="F616" i="21"/>
  <c r="F617" i="21"/>
  <c r="F618" i="21"/>
  <c r="F619" i="21"/>
  <c r="F620" i="21"/>
  <c r="F621" i="21"/>
  <c r="F622" i="21"/>
  <c r="F623" i="21"/>
  <c r="F624" i="21"/>
  <c r="F625" i="21"/>
  <c r="F626" i="21"/>
  <c r="F627" i="21"/>
  <c r="F628" i="21"/>
  <c r="F629" i="21"/>
  <c r="F630" i="21"/>
  <c r="F631" i="21"/>
  <c r="F632" i="21"/>
  <c r="F633" i="21"/>
  <c r="F634" i="21"/>
  <c r="F635" i="21"/>
  <c r="F636" i="21"/>
  <c r="F637" i="21"/>
  <c r="F638" i="21"/>
  <c r="F639" i="21"/>
  <c r="F640" i="21"/>
  <c r="F641" i="21"/>
  <c r="F642" i="21"/>
  <c r="F643" i="21"/>
  <c r="F644" i="21"/>
  <c r="F645" i="21"/>
  <c r="F646" i="21"/>
  <c r="F647" i="21"/>
  <c r="F648" i="21"/>
  <c r="F649" i="21"/>
  <c r="F650" i="21"/>
  <c r="F651" i="21"/>
  <c r="F652" i="21"/>
  <c r="F653" i="21"/>
  <c r="F654" i="21"/>
  <c r="F655" i="21"/>
  <c r="F656" i="21"/>
  <c r="F657" i="21"/>
  <c r="F658" i="21"/>
  <c r="F659" i="21"/>
  <c r="F660" i="21"/>
  <c r="F661" i="21"/>
  <c r="F662" i="21"/>
  <c r="F663" i="21"/>
  <c r="F664" i="21"/>
  <c r="F665" i="21"/>
  <c r="F666" i="21"/>
  <c r="F667" i="21"/>
  <c r="F668" i="21"/>
  <c r="F669" i="21"/>
  <c r="F670" i="21"/>
  <c r="F671" i="21"/>
  <c r="F672" i="21"/>
  <c r="F673" i="21"/>
  <c r="F674" i="21"/>
  <c r="F675" i="21"/>
  <c r="F676" i="21"/>
  <c r="F677" i="21"/>
  <c r="F678" i="21"/>
  <c r="F679" i="21"/>
  <c r="F680" i="21"/>
  <c r="F681" i="21"/>
  <c r="F682" i="21"/>
  <c r="F683" i="21"/>
  <c r="F684" i="21"/>
  <c r="F685" i="21"/>
  <c r="F686" i="21"/>
  <c r="F687" i="21"/>
  <c r="F688" i="21"/>
  <c r="F689" i="21"/>
  <c r="F690" i="21"/>
  <c r="F691" i="21"/>
  <c r="F692" i="21"/>
  <c r="F693" i="21"/>
  <c r="F694" i="21"/>
  <c r="F695" i="21"/>
  <c r="F696" i="21"/>
  <c r="F697" i="21"/>
  <c r="F698" i="21"/>
  <c r="F699" i="21"/>
  <c r="F700" i="21"/>
  <c r="F701" i="21"/>
  <c r="F702" i="21"/>
  <c r="F703" i="21"/>
  <c r="F704" i="21"/>
  <c r="F705" i="21"/>
  <c r="F706" i="21"/>
  <c r="F707" i="21"/>
  <c r="F708" i="21"/>
  <c r="F709" i="21"/>
  <c r="F710" i="21"/>
  <c r="F711" i="21"/>
  <c r="F712" i="21"/>
  <c r="F713" i="21"/>
  <c r="F714" i="21"/>
  <c r="F715" i="21"/>
  <c r="F716" i="21"/>
  <c r="F717" i="21"/>
  <c r="F718" i="21"/>
  <c r="F719" i="21"/>
  <c r="F720" i="21"/>
  <c r="F721" i="21"/>
  <c r="F722" i="21"/>
  <c r="F723" i="21"/>
  <c r="F724" i="21"/>
  <c r="F725" i="21"/>
  <c r="F726" i="21"/>
  <c r="F727" i="21"/>
  <c r="F728" i="21"/>
  <c r="F729" i="21"/>
  <c r="F730" i="21"/>
  <c r="F731" i="21"/>
  <c r="F732" i="21"/>
  <c r="F733" i="21"/>
  <c r="F734" i="21"/>
  <c r="F735" i="21"/>
  <c r="F736" i="21"/>
  <c r="F737" i="21"/>
  <c r="F738" i="21"/>
  <c r="F739" i="21"/>
  <c r="F740" i="21"/>
  <c r="F741" i="21"/>
  <c r="F742" i="21"/>
  <c r="F743" i="21"/>
  <c r="F744" i="21"/>
  <c r="F745" i="21"/>
  <c r="F746" i="21"/>
  <c r="F747" i="21"/>
  <c r="F748" i="21"/>
  <c r="F749" i="21"/>
  <c r="F750" i="21"/>
  <c r="F751" i="21"/>
  <c r="F752" i="21"/>
  <c r="F753" i="21"/>
  <c r="F754" i="21"/>
  <c r="F755" i="21"/>
  <c r="F756" i="21"/>
  <c r="F757" i="21"/>
  <c r="F758" i="21"/>
  <c r="F759" i="21"/>
  <c r="F760" i="21"/>
  <c r="F761" i="21"/>
  <c r="F762" i="21"/>
  <c r="F763" i="21"/>
  <c r="F764" i="21"/>
  <c r="F765" i="21"/>
  <c r="F766" i="21"/>
  <c r="F767" i="21"/>
  <c r="F768" i="21"/>
  <c r="F769" i="21"/>
  <c r="F770" i="21"/>
  <c r="F771" i="21"/>
  <c r="F772" i="21"/>
  <c r="F773" i="21"/>
  <c r="F774" i="21"/>
  <c r="F775" i="21"/>
  <c r="F776" i="21"/>
  <c r="F777" i="21"/>
  <c r="F778" i="21"/>
  <c r="F779" i="21"/>
  <c r="F780" i="21"/>
  <c r="F781" i="21"/>
  <c r="F782" i="21"/>
  <c r="F783" i="21"/>
  <c r="F784" i="21"/>
  <c r="F785" i="21"/>
  <c r="F786" i="21"/>
  <c r="F787" i="21"/>
  <c r="F788" i="21"/>
  <c r="F789" i="21"/>
  <c r="F790" i="21"/>
  <c r="F791" i="21"/>
  <c r="F792" i="21"/>
  <c r="F793" i="21"/>
  <c r="F794" i="21"/>
  <c r="F795" i="21"/>
  <c r="F796" i="21"/>
  <c r="F797" i="21"/>
  <c r="F798" i="21"/>
  <c r="F799" i="21"/>
  <c r="F800" i="21"/>
  <c r="F801" i="21"/>
  <c r="F802" i="21"/>
  <c r="F803" i="21"/>
  <c r="F804" i="21"/>
  <c r="F805" i="21"/>
  <c r="F806" i="21"/>
  <c r="F807" i="21"/>
  <c r="F808" i="21"/>
  <c r="F809" i="21"/>
  <c r="F810" i="21"/>
  <c r="F811" i="21"/>
  <c r="F812" i="21"/>
  <c r="F813" i="21"/>
  <c r="F814" i="21"/>
  <c r="F815" i="21"/>
  <c r="F816" i="21"/>
  <c r="F817" i="21"/>
  <c r="F818" i="21"/>
  <c r="F819" i="21"/>
  <c r="F820" i="21"/>
  <c r="F821" i="21"/>
  <c r="F822" i="21"/>
  <c r="F823" i="21"/>
  <c r="F824" i="21"/>
  <c r="F825" i="21"/>
  <c r="F826" i="21"/>
  <c r="F827" i="21"/>
  <c r="F828" i="21"/>
  <c r="F829" i="21"/>
  <c r="F830" i="21"/>
  <c r="F831" i="21"/>
  <c r="F832" i="21"/>
  <c r="F833" i="21"/>
  <c r="F834" i="21"/>
  <c r="F835" i="21"/>
  <c r="F836" i="21"/>
  <c r="F837" i="21"/>
  <c r="F838" i="21"/>
  <c r="F839" i="21"/>
  <c r="F840" i="21"/>
  <c r="F841" i="21"/>
  <c r="F842" i="21"/>
  <c r="F843" i="21"/>
  <c r="F844" i="21"/>
  <c r="F845" i="21"/>
  <c r="F846" i="21"/>
  <c r="F847" i="21"/>
  <c r="F848" i="21"/>
  <c r="F849" i="21"/>
  <c r="F850" i="21"/>
  <c r="F851" i="21"/>
  <c r="F852" i="21"/>
  <c r="F853" i="21"/>
  <c r="F854" i="21"/>
  <c r="F855" i="21"/>
  <c r="F856" i="21"/>
  <c r="F857" i="21"/>
  <c r="F858" i="21"/>
  <c r="F859" i="21"/>
  <c r="F860" i="21"/>
  <c r="F861" i="21"/>
  <c r="F862" i="21"/>
  <c r="F863" i="21"/>
  <c r="F864" i="21"/>
  <c r="F865" i="21"/>
  <c r="F866" i="21"/>
  <c r="F867" i="21"/>
  <c r="F868" i="21"/>
  <c r="F869" i="21"/>
  <c r="F870" i="21"/>
  <c r="F871" i="21"/>
  <c r="F872" i="21"/>
  <c r="F873" i="21"/>
  <c r="F874" i="21"/>
  <c r="F875" i="21"/>
  <c r="F876" i="21"/>
  <c r="F877" i="21"/>
  <c r="F878" i="21"/>
  <c r="F879" i="21"/>
  <c r="F880" i="21"/>
  <c r="F881" i="21"/>
  <c r="F882" i="21"/>
  <c r="F883" i="21"/>
  <c r="F884" i="21"/>
  <c r="F885" i="21"/>
  <c r="F886" i="21"/>
  <c r="F887" i="21"/>
  <c r="F888" i="21"/>
  <c r="F889" i="21"/>
  <c r="F890" i="21"/>
  <c r="F891" i="21"/>
  <c r="F892" i="21"/>
  <c r="F893" i="21"/>
  <c r="F894" i="21"/>
  <c r="F895" i="21"/>
  <c r="F896" i="21"/>
  <c r="F897" i="21"/>
  <c r="F898" i="21"/>
  <c r="F899" i="21"/>
  <c r="F900" i="21"/>
  <c r="F901" i="21"/>
  <c r="F902" i="21"/>
  <c r="F903" i="21"/>
  <c r="F904" i="21"/>
  <c r="F905" i="21"/>
  <c r="F906" i="21"/>
  <c r="F907" i="21"/>
  <c r="F908" i="21"/>
  <c r="F909" i="21"/>
  <c r="F910" i="21"/>
  <c r="F911" i="21"/>
  <c r="F912" i="21"/>
  <c r="F913" i="21"/>
  <c r="F914" i="21"/>
  <c r="F915" i="21"/>
  <c r="F916" i="21"/>
  <c r="F917" i="21"/>
  <c r="F918" i="21"/>
  <c r="F919" i="21"/>
  <c r="F920" i="21"/>
  <c r="F921" i="21"/>
  <c r="F922" i="21"/>
  <c r="F923" i="21"/>
  <c r="F924" i="21"/>
  <c r="F925" i="21"/>
  <c r="F926" i="21"/>
  <c r="F927" i="21"/>
  <c r="F928" i="21"/>
  <c r="F929" i="21"/>
  <c r="F930" i="21"/>
  <c r="F931" i="21"/>
  <c r="F932" i="21"/>
  <c r="F933" i="21"/>
  <c r="F934" i="21"/>
  <c r="F935" i="21"/>
  <c r="F936" i="21"/>
  <c r="F937" i="21"/>
  <c r="F938" i="21"/>
  <c r="F939" i="21"/>
  <c r="F940" i="21"/>
  <c r="F941" i="21"/>
  <c r="F942" i="21"/>
  <c r="F943" i="21"/>
  <c r="F944" i="21"/>
  <c r="F945" i="21"/>
  <c r="F946" i="21"/>
  <c r="F947" i="21"/>
  <c r="F948" i="21"/>
  <c r="F949" i="21"/>
  <c r="F950" i="21"/>
  <c r="F951" i="21"/>
  <c r="F952" i="21"/>
  <c r="F953" i="21"/>
  <c r="F954" i="21"/>
  <c r="F955" i="21"/>
  <c r="F956" i="21"/>
  <c r="F957" i="21"/>
  <c r="F958" i="21"/>
  <c r="F959" i="21"/>
  <c r="F960" i="21"/>
  <c r="F961" i="21"/>
  <c r="F962" i="21"/>
  <c r="F963" i="21"/>
  <c r="F964" i="21"/>
  <c r="F965" i="21"/>
  <c r="F966" i="21"/>
  <c r="F967" i="21"/>
  <c r="F968" i="21"/>
  <c r="F969" i="21"/>
  <c r="F970" i="21"/>
  <c r="F971" i="21"/>
  <c r="F972" i="21"/>
  <c r="F973" i="21"/>
  <c r="F974" i="21"/>
  <c r="F975" i="21"/>
  <c r="F976" i="21"/>
  <c r="F977" i="21"/>
  <c r="F978" i="21"/>
  <c r="F979" i="21"/>
  <c r="F980" i="21"/>
  <c r="F981" i="21"/>
  <c r="F982" i="21"/>
  <c r="F983" i="21"/>
  <c r="F984" i="21"/>
  <c r="F985" i="21"/>
  <c r="F986" i="21"/>
  <c r="F987" i="21"/>
  <c r="F988" i="21"/>
  <c r="F989" i="21"/>
  <c r="F990" i="21"/>
  <c r="F991" i="21"/>
  <c r="F992" i="21"/>
  <c r="F993" i="21"/>
  <c r="F994" i="21"/>
  <c r="F995" i="21"/>
  <c r="F996" i="21"/>
  <c r="F997" i="21"/>
  <c r="F998" i="21"/>
  <c r="F999" i="21"/>
  <c r="F1000" i="21"/>
  <c r="F1001" i="21"/>
  <c r="F1002" i="21"/>
  <c r="F1003" i="21"/>
  <c r="F1004" i="21"/>
  <c r="F1005" i="21"/>
  <c r="F1006" i="21"/>
  <c r="F1007" i="21"/>
  <c r="F1008" i="21"/>
  <c r="F1009" i="21"/>
  <c r="F1010" i="21"/>
  <c r="F1011" i="21"/>
  <c r="F1012" i="21"/>
  <c r="F1013" i="21"/>
  <c r="F1014" i="21"/>
  <c r="F1015" i="21"/>
  <c r="F1016" i="21"/>
  <c r="F1017" i="21"/>
  <c r="F1018" i="21"/>
  <c r="F1019" i="21"/>
  <c r="F1020" i="21"/>
  <c r="F1021" i="21"/>
  <c r="F1022" i="21"/>
  <c r="F1023" i="21"/>
  <c r="F1024" i="21"/>
  <c r="F1025" i="21"/>
  <c r="F1026" i="21"/>
  <c r="F1027" i="21"/>
  <c r="F1028" i="21"/>
  <c r="F1029" i="21"/>
  <c r="F1030" i="21"/>
  <c r="F1031" i="21"/>
  <c r="F1032" i="21"/>
  <c r="F1033" i="21"/>
  <c r="F1034" i="21"/>
  <c r="F1035" i="21"/>
  <c r="F1036" i="21"/>
  <c r="F1037" i="21"/>
  <c r="F1038" i="21"/>
  <c r="F1039" i="21"/>
  <c r="F1040" i="21"/>
  <c r="F1041" i="21"/>
  <c r="F1042" i="21"/>
  <c r="F1043" i="21"/>
  <c r="F1044" i="21"/>
  <c r="F1045" i="21"/>
  <c r="F1046" i="21"/>
  <c r="F1047" i="21"/>
  <c r="F1048" i="21"/>
  <c r="F1049" i="21"/>
  <c r="F1050" i="21"/>
  <c r="F1051" i="21"/>
  <c r="F1052" i="21"/>
  <c r="F1053" i="21"/>
  <c r="F1054" i="21"/>
  <c r="F1055" i="21"/>
  <c r="F1056" i="21"/>
  <c r="F1057" i="21"/>
  <c r="F1058" i="21"/>
  <c r="F1059" i="21"/>
  <c r="F1060" i="21"/>
  <c r="F1061" i="21"/>
  <c r="F1062" i="21"/>
  <c r="F1063" i="21"/>
  <c r="F1064" i="21"/>
  <c r="F1065" i="21"/>
  <c r="F1066" i="21"/>
  <c r="F1067" i="21"/>
  <c r="F1068" i="21"/>
  <c r="F1069" i="21"/>
  <c r="F1070" i="21"/>
  <c r="F1071" i="21"/>
  <c r="F1072" i="21"/>
  <c r="F1073" i="21"/>
  <c r="F1074" i="21"/>
  <c r="F1075" i="21"/>
  <c r="F1076" i="21"/>
  <c r="F1077" i="21"/>
  <c r="F1078" i="21"/>
  <c r="F1079" i="21"/>
  <c r="F1080" i="21"/>
  <c r="F1081" i="21"/>
  <c r="F1082" i="21"/>
  <c r="F1083" i="21"/>
  <c r="F1084" i="21"/>
  <c r="F1085" i="21"/>
  <c r="F1086" i="21"/>
  <c r="F1087" i="21"/>
  <c r="F1088" i="21"/>
  <c r="F1089" i="21"/>
  <c r="F1090" i="21"/>
  <c r="F1091" i="21"/>
  <c r="F1092" i="21"/>
  <c r="F1093" i="21"/>
  <c r="F1094" i="21"/>
  <c r="F1095" i="21"/>
  <c r="F1096" i="21"/>
  <c r="F1097" i="21"/>
  <c r="F1098" i="21"/>
  <c r="F1099" i="21"/>
  <c r="F1100" i="21"/>
  <c r="F1101" i="21"/>
  <c r="F1102" i="21"/>
  <c r="F1103" i="21"/>
  <c r="F1104" i="21"/>
  <c r="F1105" i="21"/>
  <c r="F1106" i="21"/>
  <c r="F1107" i="21"/>
  <c r="F1108" i="21"/>
  <c r="F1109" i="21"/>
  <c r="F1110" i="21"/>
  <c r="F1111" i="21"/>
  <c r="F1112" i="21"/>
  <c r="F1113" i="21"/>
  <c r="F1114" i="21"/>
  <c r="F1115" i="21"/>
  <c r="F1116" i="21"/>
  <c r="F1117" i="21"/>
  <c r="F1118" i="21"/>
  <c r="F1119" i="21"/>
  <c r="F1120" i="21"/>
  <c r="F1121" i="21"/>
  <c r="F1122" i="21"/>
  <c r="F1123" i="21"/>
  <c r="F1124" i="21"/>
  <c r="F1125" i="21"/>
  <c r="F1126" i="21"/>
  <c r="F1127" i="21"/>
  <c r="F1128" i="21"/>
  <c r="F1129" i="21"/>
  <c r="F1130" i="21"/>
  <c r="F1131" i="21"/>
  <c r="F1132" i="21"/>
  <c r="F1133" i="21"/>
  <c r="F1134" i="21"/>
  <c r="F1135" i="21"/>
  <c r="F1136" i="21"/>
  <c r="F1137" i="21"/>
  <c r="F1138" i="21"/>
  <c r="F1139" i="21"/>
  <c r="F1140" i="21"/>
  <c r="F1141" i="21"/>
  <c r="F1142" i="21"/>
  <c r="F1143" i="21"/>
  <c r="F1144" i="21"/>
  <c r="F1145" i="21"/>
  <c r="F1146" i="21"/>
  <c r="F1147" i="21"/>
  <c r="F1148" i="21"/>
  <c r="F1149" i="21"/>
  <c r="F1150" i="21"/>
  <c r="F1151" i="21"/>
  <c r="F1152" i="21"/>
  <c r="F1153" i="21"/>
  <c r="F1154" i="21"/>
  <c r="F1155" i="21"/>
  <c r="F1156" i="21"/>
  <c r="F1157" i="21"/>
  <c r="F1158" i="21"/>
  <c r="F1159" i="21"/>
  <c r="F1160" i="21"/>
  <c r="F1161" i="21"/>
  <c r="F1162" i="21"/>
  <c r="F1163" i="21"/>
  <c r="F1164" i="21"/>
  <c r="F1165" i="21"/>
  <c r="F1166" i="21"/>
  <c r="F1167" i="21"/>
  <c r="F1168" i="21"/>
  <c r="F1169" i="21"/>
  <c r="F1170" i="21"/>
  <c r="F1171" i="21"/>
  <c r="F1172" i="21"/>
  <c r="F1173" i="21"/>
  <c r="F1174" i="21"/>
  <c r="F1175" i="21"/>
  <c r="F1176" i="21"/>
  <c r="F1177" i="21"/>
  <c r="F1178" i="21"/>
  <c r="F1179" i="21"/>
  <c r="F1180" i="21"/>
  <c r="F1181" i="21"/>
  <c r="F1182" i="21"/>
  <c r="F1183" i="21"/>
  <c r="F1184" i="21"/>
  <c r="F1185" i="21"/>
  <c r="F1186" i="21"/>
  <c r="F1187" i="21"/>
  <c r="F1188" i="21"/>
  <c r="F1189" i="21"/>
  <c r="F1190" i="21"/>
  <c r="F1191" i="21"/>
  <c r="F1192" i="21"/>
  <c r="F1193" i="21"/>
  <c r="F1194" i="21"/>
  <c r="F1195" i="21"/>
  <c r="F1196" i="21"/>
  <c r="F1197" i="21"/>
  <c r="F1198" i="21"/>
  <c r="F1199" i="21"/>
  <c r="F1200" i="21"/>
  <c r="F1201" i="21"/>
  <c r="F1202" i="21"/>
  <c r="F1203" i="21"/>
  <c r="F1204" i="21"/>
  <c r="F1205" i="21"/>
  <c r="F1206" i="21"/>
  <c r="F1207" i="21"/>
  <c r="F1208" i="21"/>
  <c r="F1209" i="21"/>
  <c r="F1210" i="21"/>
  <c r="F1211" i="21"/>
  <c r="F1212" i="21"/>
  <c r="F1213" i="21"/>
  <c r="F1214" i="21"/>
  <c r="F1215" i="21"/>
  <c r="F1216" i="21"/>
  <c r="F1217" i="21"/>
  <c r="F1218" i="21"/>
  <c r="F1219" i="21"/>
  <c r="F1220" i="21"/>
  <c r="F1221" i="21"/>
  <c r="F1222" i="21"/>
  <c r="F1223" i="21"/>
  <c r="F1224" i="21"/>
  <c r="F1225" i="21"/>
  <c r="F1226" i="21"/>
  <c r="F1227" i="21"/>
  <c r="F1228" i="21"/>
  <c r="F1229" i="21"/>
  <c r="F1230" i="21"/>
  <c r="F1231" i="21"/>
  <c r="F1232" i="21"/>
  <c r="F1233" i="21"/>
  <c r="F1234" i="21"/>
  <c r="F1235" i="21"/>
  <c r="F1236" i="21"/>
  <c r="F1237" i="21"/>
  <c r="F1238" i="21"/>
  <c r="F1239" i="21"/>
  <c r="F1240" i="21"/>
  <c r="F1241" i="21"/>
  <c r="F1242" i="21"/>
  <c r="F1243" i="21"/>
  <c r="F1244" i="21"/>
  <c r="F1245" i="21"/>
  <c r="F1246" i="21"/>
  <c r="F1247" i="21"/>
  <c r="F1248" i="21"/>
  <c r="F1249" i="21"/>
  <c r="F1250" i="21"/>
  <c r="F1251" i="21"/>
  <c r="F1252" i="21"/>
  <c r="F1253" i="21"/>
  <c r="F1254" i="21"/>
  <c r="F1255" i="21"/>
  <c r="F1256" i="21"/>
  <c r="F1257" i="21"/>
  <c r="F1258" i="21"/>
  <c r="F1259" i="21"/>
  <c r="F1260" i="21"/>
  <c r="F1261" i="21"/>
  <c r="F1262" i="21"/>
  <c r="F1263" i="21"/>
  <c r="F1264" i="21"/>
  <c r="F1265" i="21"/>
  <c r="F1266" i="21"/>
  <c r="F1267" i="21"/>
  <c r="F1268" i="21"/>
  <c r="F1269" i="21"/>
  <c r="F1270" i="21"/>
  <c r="F1271" i="21"/>
  <c r="F1272" i="21"/>
  <c r="F1273" i="21"/>
  <c r="F1274" i="21"/>
  <c r="F1275" i="21"/>
  <c r="F1276" i="21"/>
  <c r="F1277" i="21"/>
  <c r="F1278" i="21"/>
  <c r="F1279" i="21"/>
  <c r="F1280" i="21"/>
  <c r="F1281" i="21"/>
  <c r="F1282" i="21"/>
  <c r="F1283" i="21"/>
  <c r="F1284" i="21"/>
  <c r="F1285" i="21"/>
  <c r="F1286" i="21"/>
  <c r="F1287" i="21"/>
  <c r="F1288" i="21"/>
  <c r="F1289" i="21"/>
  <c r="F1290" i="21"/>
  <c r="F1291" i="21"/>
  <c r="F1292" i="21"/>
  <c r="F1293" i="21"/>
  <c r="F1294" i="21"/>
  <c r="F1295" i="21"/>
  <c r="F1296" i="21"/>
  <c r="F1297" i="21"/>
  <c r="F1298" i="21"/>
  <c r="F1299" i="21"/>
  <c r="F1300" i="21"/>
  <c r="F1301" i="21"/>
  <c r="F1302" i="21"/>
  <c r="F1303" i="21"/>
  <c r="F1304" i="21"/>
  <c r="F1305" i="21"/>
  <c r="F1306" i="21"/>
  <c r="F1307" i="21"/>
  <c r="F1308" i="21"/>
  <c r="F1309" i="21"/>
  <c r="F1310" i="21"/>
  <c r="F1311" i="21"/>
  <c r="F1312" i="21"/>
  <c r="F1313" i="21"/>
  <c r="F1314" i="21"/>
  <c r="F1315" i="21"/>
  <c r="F1316" i="21"/>
  <c r="F1317" i="21"/>
  <c r="F1318" i="21"/>
  <c r="F1319" i="21"/>
  <c r="F1320" i="21"/>
  <c r="F1321" i="21"/>
  <c r="F1322" i="21"/>
  <c r="F1323" i="21"/>
  <c r="F1324" i="21"/>
  <c r="F1325" i="21"/>
  <c r="F1326" i="21"/>
  <c r="F1327" i="21"/>
  <c r="F1328" i="21"/>
  <c r="F1329" i="21"/>
  <c r="F1330" i="21"/>
  <c r="F1331" i="21"/>
  <c r="F1332" i="21"/>
  <c r="F1333" i="21"/>
  <c r="F1334" i="21"/>
  <c r="F1335" i="21"/>
  <c r="F1336" i="21"/>
  <c r="F1337" i="21"/>
  <c r="F1338" i="21"/>
  <c r="F1339" i="21"/>
  <c r="F1340" i="21"/>
  <c r="F1341" i="21"/>
  <c r="F1342" i="21"/>
  <c r="F1343" i="21"/>
  <c r="F1344" i="21"/>
  <c r="F1345" i="21"/>
  <c r="F1346" i="21"/>
  <c r="F1347" i="21"/>
  <c r="F1348" i="21"/>
  <c r="F1349" i="21"/>
  <c r="F1350" i="21"/>
  <c r="F1351" i="21"/>
  <c r="F1352" i="21"/>
  <c r="F1353" i="21"/>
  <c r="F1354" i="21"/>
  <c r="F1355" i="21"/>
  <c r="F1356" i="21"/>
  <c r="F1357" i="21"/>
  <c r="F1358" i="21"/>
  <c r="F1359" i="21"/>
  <c r="F1360" i="21"/>
  <c r="F1361" i="21"/>
  <c r="F1362" i="21"/>
  <c r="F1363" i="21"/>
  <c r="F1364" i="21"/>
  <c r="F1365" i="21"/>
  <c r="F1366" i="21"/>
  <c r="F1367" i="21"/>
  <c r="F1368" i="21"/>
  <c r="F1369" i="21"/>
  <c r="F1370" i="21"/>
  <c r="F1371" i="21"/>
  <c r="F1372" i="21"/>
  <c r="F1373" i="21"/>
  <c r="F1374" i="21"/>
  <c r="F1375" i="21"/>
  <c r="F1376" i="21"/>
  <c r="F1377" i="21"/>
  <c r="F1378" i="21"/>
  <c r="F1379" i="21"/>
  <c r="F1380" i="21"/>
  <c r="F1381" i="21"/>
  <c r="F1382" i="21"/>
  <c r="F1383" i="21"/>
  <c r="F1384" i="21"/>
  <c r="F1385" i="21"/>
  <c r="F1386" i="21"/>
  <c r="F1387" i="21"/>
  <c r="F1388" i="21"/>
  <c r="F1389" i="21"/>
  <c r="F1390" i="21"/>
  <c r="F1391" i="21"/>
  <c r="F1392" i="21"/>
  <c r="F1393" i="21"/>
  <c r="F1394" i="21"/>
  <c r="F1395" i="21"/>
  <c r="F1396" i="21"/>
  <c r="F1397" i="21"/>
  <c r="F1398" i="21"/>
  <c r="F1399" i="21"/>
  <c r="F1400" i="21"/>
  <c r="F1401" i="21"/>
  <c r="F1402" i="21"/>
  <c r="F1403" i="21"/>
  <c r="F1404" i="21"/>
  <c r="F1405" i="21"/>
  <c r="F1406" i="21"/>
  <c r="F1407" i="21"/>
  <c r="F1408" i="21"/>
  <c r="F1409" i="21"/>
  <c r="F1410" i="21"/>
  <c r="F1411" i="21"/>
  <c r="F1412" i="21"/>
  <c r="F1413" i="21"/>
  <c r="F1414" i="21"/>
  <c r="F1415" i="21"/>
  <c r="F1416" i="21"/>
  <c r="F1417" i="21"/>
  <c r="F1418" i="21"/>
  <c r="F1419" i="21"/>
  <c r="F1420" i="21"/>
  <c r="F1421" i="21"/>
  <c r="F1422" i="21"/>
  <c r="F1423" i="21"/>
  <c r="F1424" i="21"/>
  <c r="F1425" i="21"/>
  <c r="F1426" i="21"/>
  <c r="F1427" i="21"/>
  <c r="F1428" i="21"/>
  <c r="F1429" i="21"/>
  <c r="F1430" i="21"/>
  <c r="F1431" i="21"/>
  <c r="F1432" i="21"/>
  <c r="F1433" i="21"/>
  <c r="F1434" i="21"/>
  <c r="F1435" i="21"/>
  <c r="F1436" i="21"/>
  <c r="F1437" i="21"/>
  <c r="F1438" i="21"/>
  <c r="F1439" i="21"/>
  <c r="F1440" i="21"/>
  <c r="F1441" i="21"/>
  <c r="F1442" i="21"/>
  <c r="F1443" i="21"/>
  <c r="F1444" i="21"/>
  <c r="F1445" i="21"/>
  <c r="F1446" i="21"/>
  <c r="F1447" i="21"/>
  <c r="F1448" i="21"/>
  <c r="F1449" i="21"/>
  <c r="F1450" i="21"/>
  <c r="F1451" i="21"/>
  <c r="F1452" i="21"/>
  <c r="F1453" i="21"/>
  <c r="F1454" i="21"/>
  <c r="F1455" i="21"/>
  <c r="F1456" i="21"/>
  <c r="F1457" i="21"/>
  <c r="F1458" i="21"/>
  <c r="F1459" i="21"/>
  <c r="F1460" i="21"/>
  <c r="F1461" i="21"/>
  <c r="F1462" i="21"/>
  <c r="F1463" i="21"/>
  <c r="F1464" i="21"/>
  <c r="F1465" i="21"/>
  <c r="F1466" i="21"/>
  <c r="F1467" i="21"/>
  <c r="F1468" i="21"/>
  <c r="F1469" i="21"/>
  <c r="F1470" i="21"/>
  <c r="F1471" i="21"/>
  <c r="F1472" i="21"/>
  <c r="F1473" i="21"/>
  <c r="F1474" i="21"/>
  <c r="F1475" i="21"/>
  <c r="F1476" i="21"/>
  <c r="F1477" i="21"/>
  <c r="F1478" i="21"/>
  <c r="F1479" i="21"/>
  <c r="F1480" i="21"/>
  <c r="F1481" i="21"/>
  <c r="F1482" i="21"/>
  <c r="F1483" i="21"/>
  <c r="F1484" i="21"/>
  <c r="F1485" i="21"/>
  <c r="F1486" i="21"/>
  <c r="F1487" i="21"/>
  <c r="F1488" i="21"/>
  <c r="F1489" i="21"/>
  <c r="F1490" i="21"/>
  <c r="F1491" i="21"/>
  <c r="F1492" i="21"/>
  <c r="F1493" i="21"/>
  <c r="F1494" i="21"/>
  <c r="F1495" i="21"/>
  <c r="F1496" i="21"/>
  <c r="F1497" i="21"/>
  <c r="F1498" i="21"/>
  <c r="F1499" i="21"/>
  <c r="F1500" i="21"/>
  <c r="F1501" i="21"/>
  <c r="F1502" i="21"/>
  <c r="F1503" i="21"/>
  <c r="F1504" i="21"/>
  <c r="F1505" i="21"/>
  <c r="F1506" i="21"/>
  <c r="F1507" i="21"/>
  <c r="F1508" i="21"/>
  <c r="F1509" i="21"/>
  <c r="F1510" i="21"/>
  <c r="F1511" i="21"/>
  <c r="F1512" i="21"/>
  <c r="F1513" i="21"/>
  <c r="F1514" i="21"/>
  <c r="F1515" i="21"/>
  <c r="F1516" i="21"/>
  <c r="F1517" i="21"/>
  <c r="F1518" i="21"/>
  <c r="F1519" i="21"/>
  <c r="F1520" i="21"/>
  <c r="F1521" i="21"/>
  <c r="F1522" i="21"/>
  <c r="F1523" i="21"/>
  <c r="F1524" i="21"/>
  <c r="F1525" i="21"/>
  <c r="F1526" i="21"/>
  <c r="F1527" i="21"/>
  <c r="F1528" i="21"/>
  <c r="F1529" i="21"/>
  <c r="F1530" i="21"/>
  <c r="F1531" i="21"/>
  <c r="F1532" i="21"/>
  <c r="F1533" i="21"/>
  <c r="F1534" i="21"/>
  <c r="F1535" i="21"/>
  <c r="F1536" i="21"/>
  <c r="F1537" i="21"/>
  <c r="F1538" i="21"/>
  <c r="F1539" i="21"/>
  <c r="F1540" i="21"/>
  <c r="F1541" i="21"/>
  <c r="F1542" i="21"/>
  <c r="F1543" i="21"/>
  <c r="F1544" i="21"/>
  <c r="F1545" i="21"/>
  <c r="F1546" i="21"/>
  <c r="F1547" i="21"/>
  <c r="F1548" i="21"/>
  <c r="F1549" i="21"/>
  <c r="F1550" i="21"/>
  <c r="F1551" i="21"/>
  <c r="F1552" i="21"/>
  <c r="F1553" i="21"/>
  <c r="F1554" i="21"/>
  <c r="F1555" i="21"/>
  <c r="F1556" i="21"/>
  <c r="F1557" i="21"/>
  <c r="F1558" i="21"/>
  <c r="F1559" i="21"/>
  <c r="F1560" i="21"/>
  <c r="F1561" i="21"/>
  <c r="F1562" i="21"/>
  <c r="F1563" i="21"/>
  <c r="F1564" i="21"/>
  <c r="F1565" i="21"/>
  <c r="F1566" i="21"/>
  <c r="F1567" i="21"/>
  <c r="F1568" i="21"/>
  <c r="F1569" i="21"/>
  <c r="F1570" i="21"/>
  <c r="F1571" i="21"/>
  <c r="F1572" i="21"/>
  <c r="F1573" i="21"/>
  <c r="F1574" i="21"/>
  <c r="F1575" i="21"/>
  <c r="F1576" i="21"/>
  <c r="F1577" i="21"/>
  <c r="F1578" i="21"/>
  <c r="F1579" i="21"/>
  <c r="F1580" i="21"/>
  <c r="F1581" i="21"/>
  <c r="F1582" i="21"/>
  <c r="F1583" i="21"/>
  <c r="F1584" i="21"/>
  <c r="F1585" i="21"/>
  <c r="F1586" i="21"/>
  <c r="F1587" i="21"/>
  <c r="F1588" i="21"/>
  <c r="F1589" i="21"/>
  <c r="F1590" i="21"/>
  <c r="F1591" i="21"/>
  <c r="F1592" i="21"/>
  <c r="F1593" i="21"/>
  <c r="F1594" i="21"/>
  <c r="F1595" i="21"/>
  <c r="F1596" i="21"/>
  <c r="F1597" i="21"/>
  <c r="F1598" i="21"/>
  <c r="F1599" i="21"/>
  <c r="F1600" i="21"/>
  <c r="F1601" i="21"/>
  <c r="F1602" i="21"/>
  <c r="F1603" i="21"/>
  <c r="F1604" i="21"/>
  <c r="F1605" i="21"/>
  <c r="F1606" i="21"/>
  <c r="F1607" i="21"/>
  <c r="F1608" i="21"/>
  <c r="F1609" i="21"/>
  <c r="F1610" i="21"/>
  <c r="F1611" i="21"/>
  <c r="F1612" i="21"/>
  <c r="F1613" i="21"/>
  <c r="F1614" i="21"/>
  <c r="F1615" i="21"/>
  <c r="F1616" i="21"/>
  <c r="F1617" i="21"/>
  <c r="F1618" i="21"/>
  <c r="F1619" i="21"/>
  <c r="F1620" i="21"/>
  <c r="F1621" i="21"/>
  <c r="F1622" i="21"/>
  <c r="F1623" i="21"/>
  <c r="F1624" i="21"/>
  <c r="F1625" i="21"/>
  <c r="F1626" i="21"/>
  <c r="F1627" i="21"/>
  <c r="F1628" i="21"/>
  <c r="F1629" i="21"/>
  <c r="F1630" i="21"/>
  <c r="F1631" i="21"/>
  <c r="F1632" i="21"/>
  <c r="F1633" i="21"/>
  <c r="F1634" i="21"/>
  <c r="F1635" i="21"/>
  <c r="F1636" i="21"/>
  <c r="F1637" i="21"/>
  <c r="F1638" i="21"/>
  <c r="F1639" i="21"/>
  <c r="F1640" i="21"/>
  <c r="F1641" i="21"/>
  <c r="F1642" i="21"/>
  <c r="F1643" i="21"/>
  <c r="F1644" i="21"/>
  <c r="F1645" i="21"/>
  <c r="F1646" i="21"/>
  <c r="F1647" i="21"/>
  <c r="F1648" i="21"/>
  <c r="F1649" i="21"/>
  <c r="F1650" i="21"/>
  <c r="F1651" i="21"/>
  <c r="F1652" i="21"/>
  <c r="F1653" i="21"/>
  <c r="F1654" i="21"/>
  <c r="F1655" i="21"/>
  <c r="F1656" i="21"/>
  <c r="F1657" i="21"/>
  <c r="F1658" i="21"/>
  <c r="F1659" i="21"/>
  <c r="F1660" i="21"/>
  <c r="F1661" i="21"/>
  <c r="F1662" i="21"/>
  <c r="F1663" i="21"/>
  <c r="F1664" i="21"/>
  <c r="F1665" i="21"/>
  <c r="F1666" i="21"/>
  <c r="F1667" i="21"/>
  <c r="F1668" i="21"/>
  <c r="F1669" i="21"/>
  <c r="F1670" i="21"/>
  <c r="F1671" i="21"/>
  <c r="F1672" i="21"/>
  <c r="F1673" i="21"/>
  <c r="F1674" i="21"/>
  <c r="F1675" i="21"/>
  <c r="F1676" i="21"/>
  <c r="F1677" i="21"/>
  <c r="F1678" i="21"/>
  <c r="F1679" i="21"/>
  <c r="F1680" i="21"/>
  <c r="F1681" i="21"/>
  <c r="F1682" i="21"/>
  <c r="F1683" i="21"/>
  <c r="F1684" i="21"/>
  <c r="F1685" i="21"/>
  <c r="F1686" i="21"/>
  <c r="F1687" i="21"/>
  <c r="F1688" i="21"/>
  <c r="F1689" i="21"/>
  <c r="F1690" i="21"/>
  <c r="F1691" i="21"/>
  <c r="F1692" i="21"/>
  <c r="F1693" i="21"/>
  <c r="F1694" i="21"/>
  <c r="F1695" i="21"/>
  <c r="F1696" i="21"/>
  <c r="F1697" i="21"/>
  <c r="F1698" i="21"/>
  <c r="F1699" i="21"/>
  <c r="F1700" i="21"/>
  <c r="F1701" i="21"/>
  <c r="F1702" i="21"/>
  <c r="F1703" i="21"/>
  <c r="F1704" i="21"/>
  <c r="F1705" i="21"/>
  <c r="F1706" i="21"/>
  <c r="F1707" i="21"/>
  <c r="F1708" i="21"/>
  <c r="F1709" i="21"/>
  <c r="F1710" i="21"/>
  <c r="F1711" i="21"/>
  <c r="F1712" i="21"/>
  <c r="F1713" i="21"/>
  <c r="F1714" i="21"/>
  <c r="F1715" i="21"/>
  <c r="F1716" i="21"/>
  <c r="F1717" i="21"/>
  <c r="F1718" i="21"/>
  <c r="F1719" i="21"/>
  <c r="F1720" i="21"/>
  <c r="F1721" i="21"/>
  <c r="F1722" i="21"/>
  <c r="F1723" i="21"/>
  <c r="F1724" i="21"/>
  <c r="F1725" i="21"/>
  <c r="F1726" i="21"/>
  <c r="F1727" i="21"/>
  <c r="F1728" i="21"/>
  <c r="F1729" i="21"/>
  <c r="F1730" i="21"/>
  <c r="F1731" i="21"/>
  <c r="F1732" i="21"/>
  <c r="F1733" i="21"/>
  <c r="F1734" i="21"/>
  <c r="F1735" i="21"/>
  <c r="F1736" i="21"/>
  <c r="F1737" i="21"/>
  <c r="F1738" i="21"/>
  <c r="F1739" i="21"/>
  <c r="F1740" i="21"/>
  <c r="F1741" i="21"/>
  <c r="F1742" i="21"/>
  <c r="F1743" i="21"/>
  <c r="F1744" i="21"/>
  <c r="F1745" i="21"/>
  <c r="F1746" i="21"/>
  <c r="F1747" i="21"/>
  <c r="F1748" i="21"/>
  <c r="F1749" i="21"/>
  <c r="F1750" i="21"/>
  <c r="F1751" i="21"/>
  <c r="F1752" i="21"/>
  <c r="F1753" i="21"/>
  <c r="F1754" i="21"/>
  <c r="F1755" i="21"/>
  <c r="F1756" i="21"/>
  <c r="F1757" i="21"/>
  <c r="F1758" i="21"/>
  <c r="F1759" i="21"/>
  <c r="F1760" i="21"/>
  <c r="F1761" i="21"/>
  <c r="F1762" i="21"/>
  <c r="F1763" i="21"/>
  <c r="F1764" i="21"/>
  <c r="F1765" i="21"/>
  <c r="F1766" i="21"/>
  <c r="F1767" i="21"/>
  <c r="F1768" i="21"/>
  <c r="F1769" i="21"/>
  <c r="F1770" i="21"/>
  <c r="F1771" i="21"/>
  <c r="F1772" i="21"/>
  <c r="F1773" i="21"/>
  <c r="F1774" i="21"/>
  <c r="F1775" i="21"/>
  <c r="F1776" i="21"/>
  <c r="F1777" i="21"/>
  <c r="F1778" i="21"/>
  <c r="F1779" i="21"/>
  <c r="F1780" i="21"/>
  <c r="F1781" i="21"/>
  <c r="F1782" i="21"/>
  <c r="F1783" i="21"/>
  <c r="F1784" i="21"/>
  <c r="F1785" i="21"/>
  <c r="F1786" i="21"/>
  <c r="F1787" i="21"/>
  <c r="F1788" i="21"/>
  <c r="F1789" i="21"/>
  <c r="F1790" i="21"/>
  <c r="F1791" i="21"/>
  <c r="F1792" i="21"/>
  <c r="F1793" i="21"/>
  <c r="F1794" i="21"/>
  <c r="F1795" i="21"/>
  <c r="F1796" i="21"/>
  <c r="F1797" i="21"/>
  <c r="F1798" i="21"/>
  <c r="F1799" i="21"/>
  <c r="F1800" i="21"/>
  <c r="F1801" i="21"/>
  <c r="F1802" i="21"/>
  <c r="F1803" i="21"/>
  <c r="F1804" i="21"/>
  <c r="F1805" i="21"/>
  <c r="F1806" i="21"/>
  <c r="F1807" i="21"/>
  <c r="F1808" i="21"/>
  <c r="F1809" i="21"/>
  <c r="F1810" i="21"/>
  <c r="F1811" i="21"/>
  <c r="F1812" i="21"/>
  <c r="F1813" i="21"/>
  <c r="F1814" i="21"/>
  <c r="F1815" i="21"/>
  <c r="F1816" i="21"/>
  <c r="F1817" i="21"/>
  <c r="F1818" i="21"/>
  <c r="F1819" i="21"/>
  <c r="F1820" i="21"/>
  <c r="F1821" i="21"/>
  <c r="F1822" i="21"/>
  <c r="F1823" i="21"/>
  <c r="F1824" i="21"/>
  <c r="F1825" i="21"/>
  <c r="F1826" i="21"/>
  <c r="F1827" i="21"/>
  <c r="F1828" i="21"/>
  <c r="F1829" i="21"/>
  <c r="F1830" i="21"/>
  <c r="F1831" i="21"/>
  <c r="F1832" i="21"/>
  <c r="F1833" i="21"/>
  <c r="F1834" i="21"/>
  <c r="F1835" i="21"/>
  <c r="F1836" i="21"/>
  <c r="F1837" i="21"/>
  <c r="F1838" i="21"/>
  <c r="F1839" i="21"/>
  <c r="F1840" i="21"/>
  <c r="F1841" i="21"/>
  <c r="F1842" i="21"/>
  <c r="F1843" i="21"/>
  <c r="F1844" i="21"/>
  <c r="F1845" i="21"/>
  <c r="F1846" i="21"/>
  <c r="F1847" i="21"/>
  <c r="F1848" i="21"/>
  <c r="F1849" i="21"/>
  <c r="F1850" i="21"/>
  <c r="F1851" i="21"/>
  <c r="F1852" i="21"/>
  <c r="F1853" i="21"/>
  <c r="F1854" i="21"/>
  <c r="F1855" i="21"/>
  <c r="F1856" i="21"/>
  <c r="F1857" i="21"/>
  <c r="F1858" i="21"/>
  <c r="F1859" i="21"/>
  <c r="F1860" i="21"/>
  <c r="F1861" i="21"/>
  <c r="F1862" i="21"/>
  <c r="F1863" i="21"/>
  <c r="F1864" i="21"/>
  <c r="F1865" i="21"/>
  <c r="F1866" i="21"/>
  <c r="F1867" i="21"/>
  <c r="F1868" i="21"/>
  <c r="F1869" i="21"/>
  <c r="F1870" i="21"/>
  <c r="F1871" i="21"/>
  <c r="F1872" i="21"/>
  <c r="F1873" i="21"/>
  <c r="F1874" i="21"/>
  <c r="F1875" i="21"/>
  <c r="F1876" i="21"/>
  <c r="F1877" i="21"/>
  <c r="F1878" i="21"/>
  <c r="F1879" i="21"/>
  <c r="F1880" i="21"/>
  <c r="F1881" i="21"/>
  <c r="F1882" i="21"/>
  <c r="F1883" i="21"/>
  <c r="F1884" i="21"/>
  <c r="F1885" i="21"/>
  <c r="F1886" i="21"/>
  <c r="F1887" i="21"/>
  <c r="F1888" i="21"/>
  <c r="F1889" i="21"/>
  <c r="F1890" i="21"/>
  <c r="F1891" i="21"/>
  <c r="F1892" i="21"/>
  <c r="F1893" i="21"/>
  <c r="F1894" i="21"/>
  <c r="F1895" i="21"/>
  <c r="F1896" i="21"/>
  <c r="F1897" i="21"/>
  <c r="F1898" i="21"/>
  <c r="F1899" i="21"/>
  <c r="F1900" i="21"/>
  <c r="F1901" i="21"/>
  <c r="F1902" i="21"/>
  <c r="F1903" i="21"/>
  <c r="F1904" i="21"/>
  <c r="F1905" i="21"/>
  <c r="F1906" i="21"/>
  <c r="F1907" i="21"/>
  <c r="F1908" i="21"/>
  <c r="F1909" i="21"/>
  <c r="F1910" i="21"/>
  <c r="F1911" i="21"/>
  <c r="F1912" i="21"/>
  <c r="F1913" i="21"/>
  <c r="F1914" i="21"/>
  <c r="F1915" i="21"/>
  <c r="F1916" i="21"/>
  <c r="F1917" i="21"/>
  <c r="F1918" i="21"/>
  <c r="F1919" i="21"/>
  <c r="F1920" i="21"/>
  <c r="F1921" i="21"/>
  <c r="F1922" i="21"/>
  <c r="F1923" i="21"/>
  <c r="F1924" i="21"/>
  <c r="F1925" i="21"/>
  <c r="F1926" i="21"/>
  <c r="F1927" i="21"/>
  <c r="F1928" i="21"/>
  <c r="F1929" i="21"/>
  <c r="F1930" i="21"/>
  <c r="F1931" i="21"/>
  <c r="F1932" i="21"/>
  <c r="F1933" i="21"/>
  <c r="F1934" i="21"/>
  <c r="F1935" i="21"/>
  <c r="F1936" i="21"/>
  <c r="F1937" i="21"/>
  <c r="F1938" i="21"/>
  <c r="F1939" i="21"/>
  <c r="F1940" i="21"/>
  <c r="F1941" i="21"/>
  <c r="F1942" i="21"/>
  <c r="F1943" i="21"/>
  <c r="F1944" i="21"/>
  <c r="F1945" i="21"/>
  <c r="F1946" i="21"/>
  <c r="F1947" i="21"/>
  <c r="F1948" i="21"/>
  <c r="F1949" i="21"/>
  <c r="F1950" i="21"/>
  <c r="F1951" i="21"/>
  <c r="F1952" i="21"/>
  <c r="F1953" i="21"/>
  <c r="F1954" i="21"/>
  <c r="F1955" i="21"/>
  <c r="F1956" i="21"/>
  <c r="F1957" i="21"/>
  <c r="F1958" i="21"/>
  <c r="F1959" i="21"/>
  <c r="F1960" i="21"/>
  <c r="F1961" i="21"/>
  <c r="F1962" i="21"/>
  <c r="F1963" i="21"/>
  <c r="F1964" i="21"/>
  <c r="F1965" i="21"/>
  <c r="F1966" i="21"/>
  <c r="F1967" i="21"/>
  <c r="F1968" i="21"/>
  <c r="F1969" i="21"/>
  <c r="F1970" i="21"/>
  <c r="F1971" i="21"/>
  <c r="F1972" i="21"/>
  <c r="F1973" i="21"/>
  <c r="F1974" i="21"/>
  <c r="F1975" i="21"/>
  <c r="F1976" i="21"/>
  <c r="F1977" i="21"/>
  <c r="F1978" i="21"/>
  <c r="F1979" i="21"/>
  <c r="F1980" i="21"/>
  <c r="F1981" i="21"/>
  <c r="F1982" i="21"/>
  <c r="F1983" i="21"/>
  <c r="F1984" i="21"/>
  <c r="F1985" i="21"/>
  <c r="F1986" i="21"/>
  <c r="F1987" i="21"/>
  <c r="F1988" i="21"/>
  <c r="F1989" i="21"/>
  <c r="F1990" i="21"/>
  <c r="F1991" i="21"/>
  <c r="F1992" i="21"/>
  <c r="F1993" i="21"/>
  <c r="F1994" i="21"/>
  <c r="F1995" i="21"/>
  <c r="F1996" i="21"/>
  <c r="F1997" i="21"/>
  <c r="F1998" i="21"/>
  <c r="F1999" i="21"/>
  <c r="F2000" i="21"/>
  <c r="F2001" i="21"/>
  <c r="F2002" i="21"/>
  <c r="F2003" i="21"/>
  <c r="F2004" i="21"/>
  <c r="F2005" i="21"/>
  <c r="F2006" i="21"/>
  <c r="F2007" i="21"/>
  <c r="F2008" i="21"/>
  <c r="F2009" i="21"/>
  <c r="F2010" i="21"/>
  <c r="F2011" i="21"/>
  <c r="F2012" i="21"/>
  <c r="F2013" i="21"/>
  <c r="F2014" i="21"/>
  <c r="F2015" i="21"/>
  <c r="F2016" i="21"/>
  <c r="F2017" i="21"/>
  <c r="F2018" i="21"/>
  <c r="F2019" i="21"/>
  <c r="F2020" i="21"/>
  <c r="F2021" i="21"/>
  <c r="F2022" i="21"/>
  <c r="F2023" i="21"/>
  <c r="F2024" i="21"/>
  <c r="F2025" i="21"/>
  <c r="F2026" i="21"/>
  <c r="F2027" i="21"/>
  <c r="F2028" i="21"/>
  <c r="F2029" i="21"/>
  <c r="F2030" i="21"/>
  <c r="F2031" i="21"/>
  <c r="F2032" i="21"/>
  <c r="F2033" i="21"/>
  <c r="F2034" i="21"/>
  <c r="F2035" i="21"/>
  <c r="F2036" i="21"/>
  <c r="F2037" i="21"/>
  <c r="F2038" i="21"/>
  <c r="F2039" i="21"/>
  <c r="F2040" i="21"/>
  <c r="F2041" i="21"/>
  <c r="F2042" i="21"/>
  <c r="F2043" i="21"/>
  <c r="F2044" i="21"/>
  <c r="F2045" i="21"/>
  <c r="F2046" i="21"/>
  <c r="F2047" i="21"/>
  <c r="F2048" i="21"/>
  <c r="F2049" i="21"/>
  <c r="F2050" i="21"/>
  <c r="F2051" i="21"/>
  <c r="F2052" i="21"/>
  <c r="F2053" i="21"/>
  <c r="F2054" i="21"/>
  <c r="F2055" i="21"/>
  <c r="F2056" i="21"/>
  <c r="F2057" i="21"/>
  <c r="F2058" i="21"/>
  <c r="F2059" i="21"/>
  <c r="F2060" i="21"/>
  <c r="F2061" i="21"/>
  <c r="F2062" i="21"/>
  <c r="F2063" i="21"/>
  <c r="F2064" i="21"/>
  <c r="F2065" i="21"/>
  <c r="F2066" i="21"/>
  <c r="F2067" i="21"/>
  <c r="F2068" i="21"/>
  <c r="F2069" i="21"/>
  <c r="F2070" i="21"/>
  <c r="F2071" i="21"/>
  <c r="F2072" i="21"/>
  <c r="F2073" i="21"/>
  <c r="F2074" i="21"/>
  <c r="F2075" i="21"/>
  <c r="F2076" i="21"/>
  <c r="F2077" i="21"/>
  <c r="F2078" i="21"/>
  <c r="F2079" i="21"/>
  <c r="F2080" i="21"/>
  <c r="F2081" i="21"/>
  <c r="F2082" i="21"/>
  <c r="F2083" i="21"/>
  <c r="F2084" i="21"/>
  <c r="F2085" i="21"/>
  <c r="F2086" i="21"/>
  <c r="F2087" i="21"/>
  <c r="F2088" i="21"/>
  <c r="F2089" i="21"/>
  <c r="F2090" i="21"/>
  <c r="F2091" i="21"/>
  <c r="F2092" i="21"/>
  <c r="F2093" i="21"/>
  <c r="F2094" i="21"/>
  <c r="F2095" i="21"/>
  <c r="F2096" i="21"/>
  <c r="F2097" i="21"/>
  <c r="F2098" i="21"/>
  <c r="F2099" i="21"/>
  <c r="F2100" i="21"/>
  <c r="F2101" i="21"/>
  <c r="F2102" i="21"/>
  <c r="F2103" i="21"/>
  <c r="F2104" i="21"/>
  <c r="F2105" i="21"/>
  <c r="F2106" i="21"/>
  <c r="F2107" i="21"/>
  <c r="F2108" i="21"/>
  <c r="F2109" i="21"/>
  <c r="F2110" i="21"/>
  <c r="F2111" i="21"/>
  <c r="F2112" i="21"/>
  <c r="F2113" i="21"/>
  <c r="F2114" i="21"/>
  <c r="F2115" i="21"/>
  <c r="F2116" i="21"/>
  <c r="F2117" i="21"/>
  <c r="F2118" i="21"/>
  <c r="F2119" i="21"/>
  <c r="F2120" i="21"/>
  <c r="F2121" i="21"/>
  <c r="F2122" i="21"/>
  <c r="F2123" i="21"/>
  <c r="F2124" i="21"/>
  <c r="F2125" i="21"/>
  <c r="F2126" i="21"/>
  <c r="F2127" i="21"/>
  <c r="F2128" i="21"/>
  <c r="F2129" i="21"/>
  <c r="F2130" i="21"/>
  <c r="F2131" i="21"/>
  <c r="F2132" i="21"/>
  <c r="F2133" i="21"/>
  <c r="F2134" i="21"/>
  <c r="F2135" i="21"/>
  <c r="F2136" i="21"/>
  <c r="F2137" i="21"/>
  <c r="F2138" i="21"/>
  <c r="F2139" i="21"/>
  <c r="F2140" i="21"/>
  <c r="F2141" i="21"/>
  <c r="F2142" i="21"/>
  <c r="F2143" i="21"/>
  <c r="F2144" i="21"/>
  <c r="F2145" i="21"/>
  <c r="F2146" i="21"/>
  <c r="F2147" i="21"/>
  <c r="F2148" i="21"/>
  <c r="F2149" i="21"/>
  <c r="F2150" i="21"/>
  <c r="F2151" i="21"/>
  <c r="F2152" i="21"/>
  <c r="F2153" i="21"/>
  <c r="F2154" i="21"/>
  <c r="F2155" i="21"/>
  <c r="F2156" i="21"/>
  <c r="F2157" i="21"/>
  <c r="F2158" i="21"/>
  <c r="F2159" i="21"/>
  <c r="F2160" i="21"/>
  <c r="F2161" i="21"/>
  <c r="F2162" i="21"/>
  <c r="F2163" i="21"/>
  <c r="F2164" i="21"/>
  <c r="F2165" i="21"/>
  <c r="F2166" i="21"/>
  <c r="F2167" i="21"/>
  <c r="F2168" i="21"/>
  <c r="F2169" i="21"/>
  <c r="F2170" i="21"/>
  <c r="F2171" i="21"/>
  <c r="F2172" i="21"/>
  <c r="F2173" i="21"/>
  <c r="F2174" i="21"/>
  <c r="F2175" i="21"/>
  <c r="F2176" i="21"/>
  <c r="F2177" i="21"/>
  <c r="F2178" i="21"/>
  <c r="F2179" i="21"/>
  <c r="F2180" i="21"/>
  <c r="F2181" i="21"/>
  <c r="F2182" i="21"/>
  <c r="F2183" i="21"/>
  <c r="F2184" i="21"/>
  <c r="F2185" i="21"/>
  <c r="F2186" i="21"/>
  <c r="F2187" i="21"/>
  <c r="F2188" i="21"/>
  <c r="F2189" i="21"/>
  <c r="F2190" i="21"/>
  <c r="F2191" i="21"/>
  <c r="F2192" i="21"/>
  <c r="F2193" i="21"/>
  <c r="F2194" i="21"/>
  <c r="F2195" i="21"/>
  <c r="F2196" i="21"/>
  <c r="F2197" i="21"/>
  <c r="F2198" i="21"/>
  <c r="F2199" i="21"/>
  <c r="F2200" i="21"/>
  <c r="F2201" i="21"/>
  <c r="F2202" i="21"/>
  <c r="F2203" i="21"/>
  <c r="F2204" i="21"/>
  <c r="F2205" i="21"/>
  <c r="F2206" i="21"/>
  <c r="F2207" i="21"/>
  <c r="F2208" i="21"/>
  <c r="F2209" i="21"/>
  <c r="F2210" i="21"/>
  <c r="F2211" i="21"/>
  <c r="F2212" i="21"/>
  <c r="F2213" i="21"/>
  <c r="F2214" i="21"/>
  <c r="F2215" i="21"/>
  <c r="F2216" i="21"/>
  <c r="F2217" i="21"/>
  <c r="F2218" i="21"/>
  <c r="F2219" i="21"/>
  <c r="F2220" i="21"/>
  <c r="F2221" i="21"/>
  <c r="F2222" i="21"/>
  <c r="F2223" i="21"/>
  <c r="F2224" i="21"/>
  <c r="F2225" i="21"/>
  <c r="F2226" i="21"/>
  <c r="F2227" i="21"/>
  <c r="F2228" i="21"/>
  <c r="F2229" i="21"/>
  <c r="F2230" i="21"/>
  <c r="F2231" i="21"/>
  <c r="F2232" i="21"/>
  <c r="F2233" i="21"/>
  <c r="F2234" i="21"/>
  <c r="F2235" i="21"/>
  <c r="F2236" i="21"/>
  <c r="F2237" i="21"/>
  <c r="F2238" i="21"/>
  <c r="F2239" i="21"/>
  <c r="F2240" i="21"/>
  <c r="F2241" i="21"/>
  <c r="F2242" i="21"/>
  <c r="F2243" i="21"/>
  <c r="F2244" i="21"/>
  <c r="F2245" i="21"/>
  <c r="F2246" i="21"/>
  <c r="F2247" i="21"/>
  <c r="F2248" i="21"/>
  <c r="F2249" i="21"/>
  <c r="F2250" i="21"/>
  <c r="F2251" i="21"/>
  <c r="F2252" i="21"/>
  <c r="F2253" i="21"/>
  <c r="F2254" i="21"/>
  <c r="F2255" i="21"/>
  <c r="F2256" i="21"/>
  <c r="F2257" i="21"/>
  <c r="F2258" i="21"/>
  <c r="F2259" i="21"/>
  <c r="F2260" i="21"/>
  <c r="F2261" i="21"/>
  <c r="F2262" i="21"/>
  <c r="F2263" i="21"/>
  <c r="F2264" i="21"/>
  <c r="F2265" i="21"/>
  <c r="F2266" i="21"/>
  <c r="F2267" i="21"/>
  <c r="F2268" i="21"/>
  <c r="F2269" i="21"/>
  <c r="F2270" i="21"/>
  <c r="F2271" i="21"/>
  <c r="F2272" i="21"/>
  <c r="F2273" i="21"/>
  <c r="F2274" i="21"/>
  <c r="F2275" i="21"/>
  <c r="F2276" i="21"/>
  <c r="F2277" i="21"/>
  <c r="F2278" i="21"/>
  <c r="F2279" i="21"/>
  <c r="F2280" i="21"/>
  <c r="F2281" i="21"/>
  <c r="F2282" i="21"/>
  <c r="F2283" i="21"/>
  <c r="F2284" i="21"/>
  <c r="F2285" i="21"/>
  <c r="F2286" i="21"/>
  <c r="F2287" i="21"/>
  <c r="F2288" i="21"/>
  <c r="F2289" i="21"/>
  <c r="F2290" i="21"/>
  <c r="F2291" i="21"/>
  <c r="F2292" i="21"/>
  <c r="F2293" i="21"/>
  <c r="F2294" i="21"/>
  <c r="F2295" i="21"/>
  <c r="F2296" i="21"/>
  <c r="F2297" i="21"/>
  <c r="F2298" i="21"/>
  <c r="F2299" i="21"/>
  <c r="F2300" i="21"/>
  <c r="F2301" i="21"/>
  <c r="F2302" i="21"/>
  <c r="F2303" i="21"/>
  <c r="F2304" i="21"/>
  <c r="F2305" i="21"/>
  <c r="F2306" i="21"/>
  <c r="F2307" i="21"/>
  <c r="F2308" i="21"/>
  <c r="F2309" i="21"/>
  <c r="F2310" i="21"/>
  <c r="F2311" i="21"/>
  <c r="F2312" i="21"/>
  <c r="F2313" i="21"/>
  <c r="F2314" i="21"/>
  <c r="F2315" i="21"/>
  <c r="F2316" i="21"/>
  <c r="F2317" i="21"/>
  <c r="F2318" i="21"/>
  <c r="F2319" i="21"/>
  <c r="F2320" i="21"/>
  <c r="F2321" i="21"/>
  <c r="F2322" i="21"/>
  <c r="F2323" i="21"/>
  <c r="F2324" i="21"/>
  <c r="F2325" i="21"/>
  <c r="F2326" i="21"/>
  <c r="F2327" i="21"/>
  <c r="F2328" i="21"/>
  <c r="F2329" i="21"/>
  <c r="F2330" i="21"/>
  <c r="F2331" i="21"/>
  <c r="F2332" i="21"/>
  <c r="F2333" i="21"/>
  <c r="F2334" i="21"/>
  <c r="F2335" i="21"/>
  <c r="F2336" i="21"/>
  <c r="F2337" i="21"/>
  <c r="F2338" i="21"/>
  <c r="F2339" i="21"/>
  <c r="F2340" i="21"/>
  <c r="F2341" i="21"/>
  <c r="E2" i="21"/>
  <c r="E3" i="21"/>
  <c r="E4" i="21"/>
  <c r="E5" i="21"/>
  <c r="E6" i="21"/>
  <c r="E7" i="21"/>
  <c r="E8" i="21"/>
  <c r="E9" i="21"/>
  <c r="E10" i="21"/>
  <c r="E11" i="21"/>
  <c r="E12" i="21"/>
  <c r="E13" i="21"/>
  <c r="E14" i="21"/>
  <c r="E15" i="21"/>
  <c r="E16" i="21"/>
  <c r="E17" i="21"/>
  <c r="E18" i="21"/>
  <c r="E19" i="21"/>
  <c r="E20" i="21"/>
  <c r="E21" i="21"/>
  <c r="E22" i="21"/>
  <c r="E23" i="21"/>
  <c r="E24" i="21"/>
  <c r="E25" i="21"/>
  <c r="E26" i="21"/>
  <c r="E27" i="21"/>
  <c r="E28" i="21"/>
  <c r="E29" i="21"/>
  <c r="E30" i="21"/>
  <c r="E31" i="21"/>
  <c r="E32" i="21"/>
  <c r="E33" i="21"/>
  <c r="E34" i="21"/>
  <c r="E35" i="21"/>
  <c r="E36" i="21"/>
  <c r="E37" i="21"/>
  <c r="E38" i="21"/>
  <c r="E39" i="21"/>
  <c r="E40" i="21"/>
  <c r="E41" i="21"/>
  <c r="E42" i="21"/>
  <c r="E43" i="21"/>
  <c r="E44" i="21"/>
  <c r="E45" i="21"/>
  <c r="E46" i="21"/>
  <c r="E47" i="21"/>
  <c r="E48" i="21"/>
  <c r="E49" i="21"/>
  <c r="E50" i="21"/>
  <c r="E51" i="21"/>
  <c r="E52" i="21"/>
  <c r="E53" i="21"/>
  <c r="E54" i="21"/>
  <c r="E55" i="21"/>
  <c r="E56" i="21"/>
  <c r="E57" i="21"/>
  <c r="E58" i="21"/>
  <c r="E59" i="21"/>
  <c r="E60" i="21"/>
  <c r="E61" i="21"/>
  <c r="E62" i="21"/>
  <c r="E63" i="21"/>
  <c r="E64" i="21"/>
  <c r="E65" i="21"/>
  <c r="E66" i="21"/>
  <c r="E67" i="21"/>
  <c r="E68" i="21"/>
  <c r="E69" i="21"/>
  <c r="E70" i="21"/>
  <c r="E71" i="21"/>
  <c r="E72" i="21"/>
  <c r="E73" i="21"/>
  <c r="E74" i="21"/>
  <c r="E75" i="21"/>
  <c r="E76" i="21"/>
  <c r="E77" i="21"/>
  <c r="E78" i="21"/>
  <c r="E79" i="21"/>
  <c r="E80" i="21"/>
  <c r="E81" i="21"/>
  <c r="E82" i="21"/>
  <c r="E83" i="21"/>
  <c r="E84" i="21"/>
  <c r="E85" i="21"/>
  <c r="E86" i="21"/>
  <c r="E87" i="21"/>
  <c r="E88" i="21"/>
  <c r="E89" i="21"/>
  <c r="E90" i="21"/>
  <c r="E91" i="21"/>
  <c r="E92" i="21"/>
  <c r="E93" i="21"/>
  <c r="E94" i="21"/>
  <c r="E95" i="21"/>
  <c r="E96" i="21"/>
  <c r="E97" i="21"/>
  <c r="E98" i="21"/>
  <c r="E99" i="21"/>
  <c r="E100" i="21"/>
  <c r="E101" i="21"/>
  <c r="E102" i="21"/>
  <c r="E103" i="21"/>
  <c r="E104" i="21"/>
  <c r="E105" i="21"/>
  <c r="E106" i="21"/>
  <c r="E107" i="21"/>
  <c r="E108" i="21"/>
  <c r="E109" i="21"/>
  <c r="E110" i="21"/>
  <c r="E111" i="21"/>
  <c r="E112" i="21"/>
  <c r="E113" i="21"/>
  <c r="E114" i="21"/>
  <c r="E115" i="21"/>
  <c r="E116" i="21"/>
  <c r="E117" i="21"/>
  <c r="E118" i="21"/>
  <c r="E119" i="21"/>
  <c r="E120" i="21"/>
  <c r="E121" i="21"/>
  <c r="E122" i="21"/>
  <c r="E123" i="21"/>
  <c r="E124" i="21"/>
  <c r="E125" i="21"/>
  <c r="E126" i="21"/>
  <c r="E127" i="21"/>
  <c r="E128" i="21"/>
  <c r="E129" i="21"/>
  <c r="E130" i="21"/>
  <c r="E131" i="21"/>
  <c r="E132" i="21"/>
  <c r="E133" i="21"/>
  <c r="E134" i="21"/>
  <c r="E135" i="21"/>
  <c r="E136" i="21"/>
  <c r="E137" i="21"/>
  <c r="E138" i="21"/>
  <c r="E139" i="21"/>
  <c r="E140" i="21"/>
  <c r="E141" i="21"/>
  <c r="E142" i="21"/>
  <c r="E143" i="21"/>
  <c r="E144" i="21"/>
  <c r="E145" i="21"/>
  <c r="E146" i="21"/>
  <c r="E147" i="21"/>
  <c r="E148" i="21"/>
  <c r="E149" i="21"/>
  <c r="E150" i="21"/>
  <c r="E151" i="21"/>
  <c r="E152" i="21"/>
  <c r="E153" i="21"/>
  <c r="E154" i="21"/>
  <c r="E155" i="21"/>
  <c r="E156" i="21"/>
  <c r="E157" i="21"/>
  <c r="E158" i="21"/>
  <c r="E159" i="21"/>
  <c r="E160" i="21"/>
  <c r="E161" i="21"/>
  <c r="E162" i="21"/>
  <c r="E163" i="21"/>
  <c r="E164" i="21"/>
  <c r="E165" i="21"/>
  <c r="E166" i="21"/>
  <c r="E167" i="21"/>
  <c r="E168" i="21"/>
  <c r="E169" i="21"/>
  <c r="E170" i="21"/>
  <c r="E171" i="21"/>
  <c r="E172" i="21"/>
  <c r="E173" i="21"/>
  <c r="E174" i="21"/>
  <c r="E175" i="21"/>
  <c r="E176" i="21"/>
  <c r="E177" i="21"/>
  <c r="E178" i="21"/>
  <c r="E179" i="21"/>
  <c r="E180" i="21"/>
  <c r="E181" i="21"/>
  <c r="E182" i="21"/>
  <c r="E183" i="21"/>
  <c r="E184" i="21"/>
  <c r="E185" i="21"/>
  <c r="E186" i="21"/>
  <c r="E187" i="21"/>
  <c r="E188" i="21"/>
  <c r="E189" i="21"/>
  <c r="E190" i="21"/>
  <c r="E191" i="21"/>
  <c r="E192" i="21"/>
  <c r="E193" i="21"/>
  <c r="E194" i="21"/>
  <c r="E195" i="21"/>
  <c r="E196" i="21"/>
  <c r="E197" i="21"/>
  <c r="E198" i="21"/>
  <c r="E199" i="21"/>
  <c r="E200" i="21"/>
  <c r="E201" i="21"/>
  <c r="E202" i="21"/>
  <c r="E203" i="21"/>
  <c r="E204" i="21"/>
  <c r="E205" i="21"/>
  <c r="E206" i="21"/>
  <c r="E207" i="21"/>
  <c r="E208" i="21"/>
  <c r="E209" i="21"/>
  <c r="E210" i="21"/>
  <c r="E211" i="21"/>
  <c r="E212" i="21"/>
  <c r="E213" i="21"/>
  <c r="E214" i="21"/>
  <c r="E215" i="21"/>
  <c r="E216" i="21"/>
  <c r="E217" i="21"/>
  <c r="E218" i="21"/>
  <c r="E219" i="21"/>
  <c r="E220" i="21"/>
  <c r="E221" i="21"/>
  <c r="E222" i="21"/>
  <c r="E223" i="21"/>
  <c r="E224" i="21"/>
  <c r="E225" i="21"/>
  <c r="E226" i="21"/>
  <c r="E227" i="21"/>
  <c r="E228" i="21"/>
  <c r="E229" i="21"/>
  <c r="E230" i="21"/>
  <c r="E231" i="21"/>
  <c r="E232" i="21"/>
  <c r="E233" i="21"/>
  <c r="E234" i="21"/>
  <c r="E235" i="21"/>
  <c r="E236" i="21"/>
  <c r="E237" i="21"/>
  <c r="E238" i="21"/>
  <c r="E239" i="21"/>
  <c r="E240" i="21"/>
  <c r="E241" i="21"/>
  <c r="E242" i="21"/>
  <c r="E243" i="21"/>
  <c r="E244" i="21"/>
  <c r="E245" i="21"/>
  <c r="E246" i="21"/>
  <c r="E247" i="21"/>
  <c r="E248" i="21"/>
  <c r="E249" i="21"/>
  <c r="E250" i="21"/>
  <c r="E251" i="21"/>
  <c r="E252" i="21"/>
  <c r="E253" i="21"/>
  <c r="E254" i="21"/>
  <c r="E255" i="21"/>
  <c r="E256" i="21"/>
  <c r="E257" i="21"/>
  <c r="E258" i="21"/>
  <c r="E259" i="21"/>
  <c r="E260" i="21"/>
  <c r="E261" i="21"/>
  <c r="E262" i="21"/>
  <c r="E263" i="21"/>
  <c r="E264" i="21"/>
  <c r="E265" i="21"/>
  <c r="E266" i="21"/>
  <c r="E267" i="21"/>
  <c r="E268" i="21"/>
  <c r="E269" i="21"/>
  <c r="E270" i="21"/>
  <c r="E271" i="21"/>
  <c r="E272" i="21"/>
  <c r="E273" i="21"/>
  <c r="E274" i="21"/>
  <c r="E275" i="21"/>
  <c r="E276" i="21"/>
  <c r="E277" i="21"/>
  <c r="E278" i="21"/>
  <c r="E279" i="21"/>
  <c r="E280" i="21"/>
  <c r="E281" i="21"/>
  <c r="E282" i="21"/>
  <c r="E283" i="21"/>
  <c r="E284" i="21"/>
  <c r="E285" i="21"/>
  <c r="E286" i="21"/>
  <c r="E287" i="21"/>
  <c r="E288" i="21"/>
  <c r="E289" i="21"/>
  <c r="E290" i="21"/>
  <c r="E291" i="21"/>
  <c r="E292" i="21"/>
  <c r="E293" i="21"/>
  <c r="E294" i="21"/>
  <c r="E295" i="21"/>
  <c r="E296" i="21"/>
  <c r="E297" i="21"/>
  <c r="E298" i="21"/>
  <c r="E299" i="21"/>
  <c r="E300" i="21"/>
  <c r="E301" i="21"/>
  <c r="E302" i="21"/>
  <c r="E303" i="21"/>
  <c r="E304" i="21"/>
  <c r="E305" i="21"/>
  <c r="E306" i="21"/>
  <c r="E307" i="21"/>
  <c r="E308" i="21"/>
  <c r="E309" i="21"/>
  <c r="E310" i="21"/>
  <c r="E311" i="21"/>
  <c r="E312" i="21"/>
  <c r="E313" i="21"/>
  <c r="E314" i="21"/>
  <c r="E315" i="21"/>
  <c r="E316" i="21"/>
  <c r="E317" i="21"/>
  <c r="E318" i="21"/>
  <c r="E319" i="21"/>
  <c r="E320" i="21"/>
  <c r="E321" i="21"/>
  <c r="E322" i="21"/>
  <c r="E323" i="21"/>
  <c r="E324" i="21"/>
  <c r="E325" i="21"/>
  <c r="E326" i="21"/>
  <c r="E327" i="21"/>
  <c r="E328" i="21"/>
  <c r="E329" i="21"/>
  <c r="E330" i="21"/>
  <c r="E331" i="21"/>
  <c r="E332" i="21"/>
  <c r="E333" i="21"/>
  <c r="E334" i="21"/>
  <c r="E335" i="21"/>
  <c r="E336" i="21"/>
  <c r="E337" i="21"/>
  <c r="E338" i="21"/>
  <c r="E339" i="21"/>
  <c r="E340" i="21"/>
  <c r="E341" i="21"/>
  <c r="E342" i="21"/>
  <c r="E343" i="21"/>
  <c r="E344" i="21"/>
  <c r="E345" i="21"/>
  <c r="E346" i="21"/>
  <c r="E347" i="21"/>
  <c r="E348" i="21"/>
  <c r="E349" i="21"/>
  <c r="E350" i="21"/>
  <c r="E351" i="21"/>
  <c r="E352" i="21"/>
  <c r="E353" i="21"/>
  <c r="E354" i="21"/>
  <c r="E355" i="21"/>
  <c r="E356" i="21"/>
  <c r="E357" i="21"/>
  <c r="E358" i="21"/>
  <c r="E359" i="21"/>
  <c r="E360" i="21"/>
  <c r="E361" i="21"/>
  <c r="E362" i="21"/>
  <c r="E363" i="21"/>
  <c r="E364" i="21"/>
  <c r="E365" i="21"/>
  <c r="E366" i="21"/>
  <c r="E367" i="21"/>
  <c r="E368" i="21"/>
  <c r="E369" i="21"/>
  <c r="E370" i="21"/>
  <c r="E371" i="21"/>
  <c r="E372" i="21"/>
  <c r="E373" i="21"/>
  <c r="E374" i="21"/>
  <c r="E375" i="21"/>
  <c r="E376" i="21"/>
  <c r="E377" i="21"/>
  <c r="E378" i="21"/>
  <c r="E379" i="21"/>
  <c r="E380" i="21"/>
  <c r="E381" i="21"/>
  <c r="E382" i="21"/>
  <c r="E383" i="21"/>
  <c r="E384" i="21"/>
  <c r="E385" i="21"/>
  <c r="E386" i="21"/>
  <c r="E387" i="21"/>
  <c r="E388" i="21"/>
  <c r="E389" i="21"/>
  <c r="E390" i="21"/>
  <c r="E391" i="21"/>
  <c r="E392" i="21"/>
  <c r="E393" i="21"/>
  <c r="E394" i="21"/>
  <c r="E395" i="21"/>
  <c r="E396" i="21"/>
  <c r="E397" i="21"/>
  <c r="E398" i="21"/>
  <c r="E399" i="21"/>
  <c r="E400" i="21"/>
  <c r="E401" i="21"/>
  <c r="E402" i="21"/>
  <c r="E403" i="21"/>
  <c r="E404" i="21"/>
  <c r="E405" i="21"/>
  <c r="E406" i="21"/>
  <c r="E407" i="21"/>
  <c r="E408" i="21"/>
  <c r="E409" i="21"/>
  <c r="E410" i="21"/>
  <c r="E411" i="21"/>
  <c r="E412" i="21"/>
  <c r="E413" i="21"/>
  <c r="E414" i="21"/>
  <c r="E415" i="21"/>
  <c r="E416" i="21"/>
  <c r="E417" i="21"/>
  <c r="E418" i="21"/>
  <c r="E419" i="21"/>
  <c r="E420" i="21"/>
  <c r="E421" i="21"/>
  <c r="E422" i="21"/>
  <c r="E423" i="21"/>
  <c r="E424" i="21"/>
  <c r="E425" i="21"/>
  <c r="E426" i="21"/>
  <c r="E427" i="21"/>
  <c r="E428" i="21"/>
  <c r="E429" i="21"/>
  <c r="E430" i="21"/>
  <c r="E431" i="21"/>
  <c r="E432" i="21"/>
  <c r="E433" i="21"/>
  <c r="E434" i="21"/>
  <c r="E435" i="21"/>
  <c r="E436" i="21"/>
  <c r="E437" i="21"/>
  <c r="E438" i="21"/>
  <c r="E439" i="21"/>
  <c r="E440" i="21"/>
  <c r="E441" i="21"/>
  <c r="E442" i="21"/>
  <c r="E443" i="21"/>
  <c r="E444" i="21"/>
  <c r="E445" i="21"/>
  <c r="E446" i="21"/>
  <c r="E447" i="21"/>
  <c r="E448" i="21"/>
  <c r="E449" i="21"/>
  <c r="E450" i="21"/>
  <c r="E451" i="21"/>
  <c r="E452" i="21"/>
  <c r="E453" i="21"/>
  <c r="E454" i="21"/>
  <c r="E455" i="21"/>
  <c r="E456" i="21"/>
  <c r="E457" i="21"/>
  <c r="E458" i="21"/>
  <c r="E459" i="21"/>
  <c r="E460" i="21"/>
  <c r="E461" i="21"/>
  <c r="E462" i="21"/>
  <c r="E463" i="21"/>
  <c r="E464" i="21"/>
  <c r="E465" i="21"/>
  <c r="E466" i="21"/>
  <c r="E467" i="21"/>
  <c r="E468" i="21"/>
  <c r="E469" i="21"/>
  <c r="E470" i="21"/>
  <c r="E471" i="21"/>
  <c r="E472" i="21"/>
  <c r="E473" i="21"/>
  <c r="E474" i="21"/>
  <c r="E475" i="21"/>
  <c r="E476" i="21"/>
  <c r="E477" i="21"/>
  <c r="E478" i="21"/>
  <c r="E479" i="21"/>
  <c r="E480" i="21"/>
  <c r="E481" i="21"/>
  <c r="E482" i="21"/>
  <c r="E483" i="21"/>
  <c r="E484" i="21"/>
  <c r="E485" i="21"/>
  <c r="E486" i="21"/>
  <c r="E487" i="21"/>
  <c r="E488" i="21"/>
  <c r="E489" i="21"/>
  <c r="E490" i="21"/>
  <c r="E491" i="21"/>
  <c r="E492" i="21"/>
  <c r="E493" i="21"/>
  <c r="E494" i="21"/>
  <c r="E495" i="21"/>
  <c r="E496" i="21"/>
  <c r="E497" i="21"/>
  <c r="E498" i="21"/>
  <c r="E499" i="21"/>
  <c r="E500" i="21"/>
  <c r="E501" i="21"/>
  <c r="E502" i="21"/>
  <c r="E503" i="21"/>
  <c r="E504" i="21"/>
  <c r="E505" i="21"/>
  <c r="E506" i="21"/>
  <c r="E507" i="21"/>
  <c r="E508" i="21"/>
  <c r="E509" i="21"/>
  <c r="E510" i="21"/>
  <c r="E511" i="21"/>
  <c r="E512" i="21"/>
  <c r="E513" i="21"/>
  <c r="E514" i="21"/>
  <c r="E515" i="21"/>
  <c r="E516" i="21"/>
  <c r="E517" i="21"/>
  <c r="E518" i="21"/>
  <c r="E519" i="21"/>
  <c r="E520" i="21"/>
  <c r="E521" i="21"/>
  <c r="E522" i="21"/>
  <c r="E523" i="21"/>
  <c r="E524" i="21"/>
  <c r="E525" i="21"/>
  <c r="E526" i="21"/>
  <c r="E527" i="21"/>
  <c r="E528" i="21"/>
  <c r="E529" i="21"/>
  <c r="E530" i="21"/>
  <c r="E531" i="21"/>
  <c r="E532" i="21"/>
  <c r="E533" i="21"/>
  <c r="E534" i="21"/>
  <c r="E535" i="21"/>
  <c r="E536" i="21"/>
  <c r="E537" i="21"/>
  <c r="E538" i="21"/>
  <c r="E539" i="21"/>
  <c r="E540" i="21"/>
  <c r="E541" i="21"/>
  <c r="E542" i="21"/>
  <c r="E543" i="21"/>
  <c r="E544" i="21"/>
  <c r="E545" i="21"/>
  <c r="E546" i="21"/>
  <c r="E547" i="21"/>
  <c r="E548" i="21"/>
  <c r="E549" i="21"/>
  <c r="E550" i="21"/>
  <c r="E551" i="21"/>
  <c r="E552" i="21"/>
  <c r="E553" i="21"/>
  <c r="E554" i="21"/>
  <c r="E555" i="21"/>
  <c r="E556" i="21"/>
  <c r="E557" i="21"/>
  <c r="E558" i="21"/>
  <c r="E559" i="21"/>
  <c r="E560" i="21"/>
  <c r="E561" i="21"/>
  <c r="E562" i="21"/>
  <c r="E563" i="21"/>
  <c r="E564" i="21"/>
  <c r="E565" i="21"/>
  <c r="E566" i="21"/>
  <c r="E567" i="21"/>
  <c r="E568" i="21"/>
  <c r="E569" i="21"/>
  <c r="E570" i="21"/>
  <c r="E571" i="21"/>
  <c r="E572" i="21"/>
  <c r="E573" i="21"/>
  <c r="E574" i="21"/>
  <c r="E575" i="21"/>
  <c r="E576" i="21"/>
  <c r="E577" i="21"/>
  <c r="E578" i="21"/>
  <c r="E579" i="21"/>
  <c r="E580" i="21"/>
  <c r="E581" i="21"/>
  <c r="E582" i="21"/>
  <c r="E583" i="21"/>
  <c r="E584" i="21"/>
  <c r="E585" i="21"/>
  <c r="E586" i="21"/>
  <c r="E587" i="21"/>
  <c r="E588" i="21"/>
  <c r="E589" i="21"/>
  <c r="E590" i="21"/>
  <c r="E591" i="21"/>
  <c r="E592" i="21"/>
  <c r="E593" i="21"/>
  <c r="E594" i="21"/>
  <c r="E595" i="21"/>
  <c r="E596" i="21"/>
  <c r="E597" i="21"/>
  <c r="E598" i="21"/>
  <c r="E599" i="21"/>
  <c r="E600" i="21"/>
  <c r="E601" i="21"/>
  <c r="E602" i="21"/>
  <c r="E603" i="21"/>
  <c r="E604" i="21"/>
  <c r="E605" i="21"/>
  <c r="E606" i="21"/>
  <c r="E607" i="21"/>
  <c r="E608" i="21"/>
  <c r="E609" i="21"/>
  <c r="E610" i="21"/>
  <c r="E611" i="21"/>
  <c r="E612" i="21"/>
  <c r="E613" i="21"/>
  <c r="E614" i="21"/>
  <c r="E615" i="21"/>
  <c r="E616" i="21"/>
  <c r="E617" i="21"/>
  <c r="E618" i="21"/>
  <c r="E619" i="21"/>
  <c r="E620" i="21"/>
  <c r="E621" i="21"/>
  <c r="E622" i="21"/>
  <c r="E623" i="21"/>
  <c r="E624" i="21"/>
  <c r="E625" i="21"/>
  <c r="E626" i="21"/>
  <c r="E627" i="21"/>
  <c r="E628" i="21"/>
  <c r="E629" i="21"/>
  <c r="E630" i="21"/>
  <c r="E631" i="21"/>
  <c r="E632" i="21"/>
  <c r="E633" i="21"/>
  <c r="E634" i="21"/>
  <c r="E635" i="21"/>
  <c r="E636" i="21"/>
  <c r="E637" i="21"/>
  <c r="E638" i="21"/>
  <c r="E639" i="21"/>
  <c r="E640" i="21"/>
  <c r="E641" i="21"/>
  <c r="E642" i="21"/>
  <c r="E643" i="21"/>
  <c r="E644" i="21"/>
  <c r="E645" i="21"/>
  <c r="E646" i="21"/>
  <c r="E647" i="21"/>
  <c r="E648" i="21"/>
  <c r="E649" i="21"/>
  <c r="E650" i="21"/>
  <c r="E651" i="21"/>
  <c r="E652" i="21"/>
  <c r="E653" i="21"/>
  <c r="E654" i="21"/>
  <c r="E655" i="21"/>
  <c r="E656" i="21"/>
  <c r="E657" i="21"/>
  <c r="E658" i="21"/>
  <c r="E659" i="21"/>
  <c r="E660" i="21"/>
  <c r="E661" i="21"/>
  <c r="E662" i="21"/>
  <c r="E663" i="21"/>
  <c r="E664" i="21"/>
  <c r="E665" i="21"/>
  <c r="E666" i="21"/>
  <c r="E667" i="21"/>
  <c r="E668" i="21"/>
  <c r="E669" i="21"/>
  <c r="E670" i="21"/>
  <c r="E671" i="21"/>
  <c r="E672" i="21"/>
  <c r="E673" i="21"/>
  <c r="E674" i="21"/>
  <c r="E675" i="21"/>
  <c r="E676" i="21"/>
  <c r="E677" i="21"/>
  <c r="E678" i="21"/>
  <c r="E679" i="21"/>
  <c r="E680" i="21"/>
  <c r="E681" i="21"/>
  <c r="E682" i="21"/>
  <c r="E683" i="21"/>
  <c r="E684" i="21"/>
  <c r="E685" i="21"/>
  <c r="E686" i="21"/>
  <c r="E687" i="21"/>
  <c r="E688" i="21"/>
  <c r="E689" i="21"/>
  <c r="E690" i="21"/>
  <c r="E691" i="21"/>
  <c r="E692" i="21"/>
  <c r="E693" i="21"/>
  <c r="E694" i="21"/>
  <c r="E695" i="21"/>
  <c r="E696" i="21"/>
  <c r="E697" i="21"/>
  <c r="E698" i="21"/>
  <c r="E699" i="21"/>
  <c r="E700" i="21"/>
  <c r="E701" i="21"/>
  <c r="E702" i="21"/>
  <c r="E703" i="21"/>
  <c r="E704" i="21"/>
  <c r="E705" i="21"/>
  <c r="E706" i="21"/>
  <c r="E707" i="21"/>
  <c r="E708" i="21"/>
  <c r="E709" i="21"/>
  <c r="E710" i="21"/>
  <c r="E711" i="21"/>
  <c r="E712" i="21"/>
  <c r="E713" i="21"/>
  <c r="E714" i="21"/>
  <c r="E715" i="21"/>
  <c r="E716" i="21"/>
  <c r="E717" i="21"/>
  <c r="E718" i="21"/>
  <c r="E719" i="21"/>
  <c r="E720" i="21"/>
  <c r="E721" i="21"/>
  <c r="E722" i="21"/>
  <c r="E723" i="21"/>
  <c r="E724" i="21"/>
  <c r="E725" i="21"/>
  <c r="E726" i="21"/>
  <c r="E727" i="21"/>
  <c r="E728" i="21"/>
  <c r="E729" i="21"/>
  <c r="E730" i="21"/>
  <c r="E731" i="21"/>
  <c r="E732" i="21"/>
  <c r="E733" i="21"/>
  <c r="E734" i="21"/>
  <c r="E735" i="21"/>
  <c r="E736" i="21"/>
  <c r="E737" i="21"/>
  <c r="E738" i="21"/>
  <c r="E739" i="21"/>
  <c r="E740" i="21"/>
  <c r="E741" i="21"/>
  <c r="E742" i="21"/>
  <c r="E743" i="21"/>
  <c r="E744" i="21"/>
  <c r="E745" i="21"/>
  <c r="E746" i="21"/>
  <c r="E747" i="21"/>
  <c r="E748" i="21"/>
  <c r="E749" i="21"/>
  <c r="E750" i="21"/>
  <c r="E751" i="21"/>
  <c r="E752" i="21"/>
  <c r="E753" i="21"/>
  <c r="E754" i="21"/>
  <c r="E755" i="21"/>
  <c r="E756" i="21"/>
  <c r="E757" i="21"/>
  <c r="E758" i="21"/>
  <c r="E759" i="21"/>
  <c r="E760" i="21"/>
  <c r="E761" i="21"/>
  <c r="E762" i="21"/>
  <c r="E763" i="21"/>
  <c r="E764" i="21"/>
  <c r="E765" i="21"/>
  <c r="E766" i="21"/>
  <c r="E767" i="21"/>
  <c r="E768" i="21"/>
  <c r="E769" i="21"/>
  <c r="E770" i="21"/>
  <c r="E771" i="21"/>
  <c r="E772" i="21"/>
  <c r="E773" i="21"/>
  <c r="E774" i="21"/>
  <c r="E775" i="21"/>
  <c r="E776" i="21"/>
  <c r="E777" i="21"/>
  <c r="E778" i="21"/>
  <c r="E779" i="21"/>
  <c r="E780" i="21"/>
  <c r="E781" i="21"/>
  <c r="E782" i="21"/>
  <c r="E783" i="21"/>
  <c r="E784" i="21"/>
  <c r="E785" i="21"/>
  <c r="E786" i="21"/>
  <c r="E787" i="21"/>
  <c r="E788" i="21"/>
  <c r="E789" i="21"/>
  <c r="E790" i="21"/>
  <c r="E791" i="21"/>
  <c r="E792" i="21"/>
  <c r="E793" i="21"/>
  <c r="E794" i="21"/>
  <c r="E795" i="21"/>
  <c r="E796" i="21"/>
  <c r="E797" i="21"/>
  <c r="E798" i="21"/>
  <c r="E799" i="21"/>
  <c r="E800" i="21"/>
  <c r="E801" i="21"/>
  <c r="E802" i="21"/>
  <c r="E803" i="21"/>
  <c r="E804" i="21"/>
  <c r="E805" i="21"/>
  <c r="E806" i="21"/>
  <c r="E807" i="21"/>
  <c r="E808" i="21"/>
  <c r="E809" i="21"/>
  <c r="E810" i="21"/>
  <c r="E811" i="21"/>
  <c r="E812" i="21"/>
  <c r="E813" i="21"/>
  <c r="E814" i="21"/>
  <c r="E815" i="21"/>
  <c r="E816" i="21"/>
  <c r="E817" i="21"/>
  <c r="E818" i="21"/>
  <c r="E819" i="21"/>
  <c r="E820" i="21"/>
  <c r="E821" i="21"/>
  <c r="E822" i="21"/>
  <c r="E823" i="21"/>
  <c r="E824" i="21"/>
  <c r="E825" i="21"/>
  <c r="E826" i="21"/>
  <c r="E827" i="21"/>
  <c r="E828" i="21"/>
  <c r="E829" i="21"/>
  <c r="E830" i="21"/>
  <c r="E831" i="21"/>
  <c r="E832" i="21"/>
  <c r="E833" i="21"/>
  <c r="E834" i="21"/>
  <c r="E835" i="21"/>
  <c r="E836" i="21"/>
  <c r="E837" i="21"/>
  <c r="E838" i="21"/>
  <c r="E839" i="21"/>
  <c r="E840" i="21"/>
  <c r="E841" i="21"/>
  <c r="E842" i="21"/>
  <c r="E843" i="21"/>
  <c r="E844" i="21"/>
  <c r="E845" i="21"/>
  <c r="E846" i="21"/>
  <c r="E847" i="21"/>
  <c r="E848" i="21"/>
  <c r="E849" i="21"/>
  <c r="E850" i="21"/>
  <c r="E851" i="21"/>
  <c r="E852" i="21"/>
  <c r="E853" i="21"/>
  <c r="E854" i="21"/>
  <c r="E855" i="21"/>
  <c r="E856" i="21"/>
  <c r="E857" i="21"/>
  <c r="E858" i="21"/>
  <c r="E859" i="21"/>
  <c r="E860" i="21"/>
  <c r="E861" i="21"/>
  <c r="E862" i="21"/>
  <c r="E863" i="21"/>
  <c r="E864" i="21"/>
  <c r="E865" i="21"/>
  <c r="E866" i="21"/>
  <c r="E867" i="21"/>
  <c r="E868" i="21"/>
  <c r="E869" i="21"/>
  <c r="E870" i="21"/>
  <c r="E871" i="21"/>
  <c r="E872" i="21"/>
  <c r="E873" i="21"/>
  <c r="E874" i="21"/>
  <c r="E875" i="21"/>
  <c r="E876" i="21"/>
  <c r="E877" i="21"/>
  <c r="E878" i="21"/>
  <c r="E879" i="21"/>
  <c r="E880" i="21"/>
  <c r="E881" i="21"/>
  <c r="E882" i="21"/>
  <c r="E883" i="21"/>
  <c r="E884" i="21"/>
  <c r="E885" i="21"/>
  <c r="E886" i="21"/>
  <c r="E887" i="21"/>
  <c r="E888" i="21"/>
  <c r="E889" i="21"/>
  <c r="E890" i="21"/>
  <c r="E891" i="21"/>
  <c r="E892" i="21"/>
  <c r="E893" i="21"/>
  <c r="E894" i="21"/>
  <c r="E895" i="21"/>
  <c r="E896" i="21"/>
  <c r="E897" i="21"/>
  <c r="E898" i="21"/>
  <c r="E899" i="21"/>
  <c r="E900" i="21"/>
  <c r="E901" i="21"/>
  <c r="E902" i="21"/>
  <c r="E903" i="21"/>
  <c r="E904" i="21"/>
  <c r="E905" i="21"/>
  <c r="E906" i="21"/>
  <c r="E907" i="21"/>
  <c r="E908" i="21"/>
  <c r="E909" i="21"/>
  <c r="E910" i="21"/>
  <c r="E911" i="21"/>
  <c r="E912" i="21"/>
  <c r="E913" i="21"/>
  <c r="E914" i="21"/>
  <c r="E915" i="21"/>
  <c r="E916" i="21"/>
  <c r="E917" i="21"/>
  <c r="E918" i="21"/>
  <c r="E919" i="21"/>
  <c r="E920" i="21"/>
  <c r="E921" i="21"/>
  <c r="E922" i="21"/>
  <c r="E923" i="21"/>
  <c r="E924" i="21"/>
  <c r="E925" i="21"/>
  <c r="E926" i="21"/>
  <c r="E927" i="21"/>
  <c r="E928" i="21"/>
  <c r="E929" i="21"/>
  <c r="E930" i="21"/>
  <c r="E931" i="21"/>
  <c r="E932" i="21"/>
  <c r="E933" i="21"/>
  <c r="E934" i="21"/>
  <c r="E935" i="21"/>
  <c r="E936" i="21"/>
  <c r="E937" i="21"/>
  <c r="E938" i="21"/>
  <c r="E939" i="21"/>
  <c r="E940" i="21"/>
  <c r="E941" i="21"/>
  <c r="E942" i="21"/>
  <c r="E943" i="21"/>
  <c r="E944" i="21"/>
  <c r="E945" i="21"/>
  <c r="E946" i="21"/>
  <c r="E947" i="21"/>
  <c r="E948" i="21"/>
  <c r="E949" i="21"/>
  <c r="E950" i="21"/>
  <c r="E951" i="21"/>
  <c r="E952" i="21"/>
  <c r="E953" i="21"/>
  <c r="E954" i="21"/>
  <c r="E955" i="21"/>
  <c r="E956" i="21"/>
  <c r="E957" i="21"/>
  <c r="E958" i="21"/>
  <c r="E959" i="21"/>
  <c r="E960" i="21"/>
  <c r="E961" i="21"/>
  <c r="E962" i="21"/>
  <c r="E963" i="21"/>
  <c r="E964" i="21"/>
  <c r="E965" i="21"/>
  <c r="E966" i="21"/>
  <c r="E967" i="21"/>
  <c r="E968" i="21"/>
  <c r="E969" i="21"/>
  <c r="E970" i="21"/>
  <c r="E971" i="21"/>
  <c r="E972" i="21"/>
  <c r="E973" i="21"/>
  <c r="E974" i="21"/>
  <c r="E975" i="21"/>
  <c r="E976" i="21"/>
  <c r="E977" i="21"/>
  <c r="E978" i="21"/>
  <c r="E979" i="21"/>
  <c r="E980" i="21"/>
  <c r="E981" i="21"/>
  <c r="E982" i="21"/>
  <c r="E983" i="21"/>
  <c r="E984" i="21"/>
  <c r="E985" i="21"/>
  <c r="E986" i="21"/>
  <c r="E987" i="21"/>
  <c r="E988" i="21"/>
  <c r="E989" i="21"/>
  <c r="E990" i="21"/>
  <c r="E991" i="21"/>
  <c r="E992" i="21"/>
  <c r="E993" i="21"/>
  <c r="E994" i="21"/>
  <c r="E995" i="21"/>
  <c r="E996" i="21"/>
  <c r="E997" i="21"/>
  <c r="E998" i="21"/>
  <c r="E999" i="21"/>
  <c r="E1000" i="21"/>
  <c r="E1001" i="21"/>
  <c r="E1002" i="21"/>
  <c r="E1003" i="21"/>
  <c r="E1004" i="21"/>
  <c r="E1005" i="21"/>
  <c r="E1006" i="21"/>
  <c r="E1007" i="21"/>
  <c r="E1008" i="21"/>
  <c r="E1009" i="21"/>
  <c r="E1010" i="21"/>
  <c r="E1011" i="21"/>
  <c r="E1012" i="21"/>
  <c r="E1013" i="21"/>
  <c r="E1014" i="21"/>
  <c r="E1015" i="21"/>
  <c r="E1016" i="21"/>
  <c r="E1017" i="21"/>
  <c r="E1018" i="21"/>
  <c r="E1019" i="21"/>
  <c r="E1020" i="21"/>
  <c r="E1021" i="21"/>
  <c r="E1022" i="21"/>
  <c r="E1023" i="21"/>
  <c r="E1024" i="21"/>
  <c r="E1025" i="21"/>
  <c r="E1026" i="21"/>
  <c r="E1027" i="21"/>
  <c r="E1028" i="21"/>
  <c r="E1029" i="21"/>
  <c r="E1030" i="21"/>
  <c r="E1031" i="21"/>
  <c r="E1032" i="21"/>
  <c r="E1033" i="21"/>
  <c r="E1034" i="21"/>
  <c r="E1035" i="21"/>
  <c r="E1036" i="21"/>
  <c r="E1037" i="21"/>
  <c r="E1038" i="21"/>
  <c r="E1039" i="21"/>
  <c r="E1040" i="21"/>
  <c r="E1041" i="21"/>
  <c r="E1042" i="21"/>
  <c r="E1043" i="21"/>
  <c r="E1044" i="21"/>
  <c r="E1045" i="21"/>
  <c r="E1046" i="21"/>
  <c r="E1047" i="21"/>
  <c r="E1048" i="21"/>
  <c r="E1049" i="21"/>
  <c r="E1050" i="21"/>
  <c r="E1051" i="21"/>
  <c r="E1052" i="21"/>
  <c r="E1053" i="21"/>
  <c r="E1054" i="21"/>
  <c r="E1055" i="21"/>
  <c r="E1056" i="21"/>
  <c r="E1057" i="21"/>
  <c r="E1058" i="21"/>
  <c r="E1059" i="21"/>
  <c r="E1060" i="21"/>
  <c r="E1061" i="21"/>
  <c r="E1062" i="21"/>
  <c r="E1063" i="21"/>
  <c r="E1064" i="21"/>
  <c r="E1065" i="21"/>
  <c r="E1066" i="21"/>
  <c r="E1067" i="21"/>
  <c r="E1068" i="21"/>
  <c r="E1069" i="21"/>
  <c r="E1070" i="21"/>
  <c r="E1071" i="21"/>
  <c r="E1072" i="21"/>
  <c r="E1073" i="21"/>
  <c r="E1074" i="21"/>
  <c r="E1075" i="21"/>
  <c r="E1076" i="21"/>
  <c r="E1077" i="21"/>
  <c r="E1078" i="21"/>
  <c r="E1079" i="21"/>
  <c r="E1080" i="21"/>
  <c r="E1081" i="21"/>
  <c r="E1082" i="21"/>
  <c r="E1083" i="21"/>
  <c r="E1084" i="21"/>
  <c r="E1085" i="21"/>
  <c r="E1086" i="21"/>
  <c r="E1087" i="21"/>
  <c r="E1088" i="21"/>
  <c r="E1089" i="21"/>
  <c r="E1090" i="21"/>
  <c r="E1091" i="21"/>
  <c r="E1092" i="21"/>
  <c r="E1093" i="21"/>
  <c r="E1094" i="21"/>
  <c r="E1095" i="21"/>
  <c r="E1096" i="21"/>
  <c r="E1097" i="21"/>
  <c r="E1098" i="21"/>
  <c r="E1099" i="21"/>
  <c r="E1100" i="21"/>
  <c r="E1101" i="21"/>
  <c r="E1102" i="21"/>
  <c r="E1103" i="21"/>
  <c r="E1104" i="21"/>
  <c r="E1105" i="21"/>
  <c r="E1106" i="21"/>
  <c r="E1107" i="21"/>
  <c r="E1108" i="21"/>
  <c r="E1109" i="21"/>
  <c r="E1110" i="21"/>
  <c r="E1111" i="21"/>
  <c r="E1112" i="21"/>
  <c r="E1113" i="21"/>
  <c r="E1114" i="21"/>
  <c r="E1115" i="21"/>
  <c r="E1116" i="21"/>
  <c r="E1117" i="21"/>
  <c r="E1118" i="21"/>
  <c r="E1119" i="21"/>
  <c r="E1120" i="21"/>
  <c r="E1121" i="21"/>
  <c r="E1122" i="21"/>
  <c r="E1123" i="21"/>
  <c r="E1124" i="21"/>
  <c r="E1125" i="21"/>
  <c r="E1126" i="21"/>
  <c r="E1127" i="21"/>
  <c r="E1128" i="21"/>
  <c r="E1129" i="21"/>
  <c r="E1130" i="21"/>
  <c r="E1131" i="21"/>
  <c r="E1132" i="21"/>
  <c r="E1133" i="21"/>
  <c r="E1134" i="21"/>
  <c r="E1135" i="21"/>
  <c r="E1136" i="21"/>
  <c r="E1137" i="21"/>
  <c r="E1138" i="21"/>
  <c r="E1139" i="21"/>
  <c r="E1140" i="21"/>
  <c r="E1141" i="21"/>
  <c r="E1142" i="21"/>
  <c r="E1143" i="21"/>
  <c r="E1144" i="21"/>
  <c r="E1145" i="21"/>
  <c r="E1146" i="21"/>
  <c r="E1147" i="21"/>
  <c r="E1148" i="21"/>
  <c r="E1149" i="21"/>
  <c r="E1150" i="21"/>
  <c r="E1151" i="21"/>
  <c r="E1152" i="21"/>
  <c r="E1153" i="21"/>
  <c r="E1154" i="21"/>
  <c r="E1155" i="21"/>
  <c r="E1156" i="21"/>
  <c r="E1157" i="21"/>
  <c r="E1158" i="21"/>
  <c r="E1159" i="21"/>
  <c r="E1160" i="21"/>
  <c r="E1161" i="21"/>
  <c r="E1162" i="21"/>
  <c r="E1163" i="21"/>
  <c r="E1164" i="21"/>
  <c r="E1165" i="21"/>
  <c r="E1166" i="21"/>
  <c r="E1167" i="21"/>
  <c r="E1168" i="21"/>
  <c r="E1169" i="21"/>
  <c r="E1170" i="21"/>
  <c r="E1171" i="21"/>
  <c r="E1172" i="21"/>
  <c r="E1173" i="21"/>
  <c r="E1174" i="21"/>
  <c r="E1175" i="21"/>
  <c r="E1176" i="21"/>
  <c r="E1177" i="21"/>
  <c r="E1178" i="21"/>
  <c r="E1179" i="21"/>
  <c r="E1180" i="21"/>
  <c r="E1181" i="21"/>
  <c r="E1182" i="21"/>
  <c r="E1183" i="21"/>
  <c r="E1184" i="21"/>
  <c r="E1185" i="21"/>
  <c r="E1186" i="21"/>
  <c r="E1187" i="21"/>
  <c r="E1188" i="21"/>
  <c r="E1189" i="21"/>
  <c r="E1190" i="21"/>
  <c r="E1191" i="21"/>
  <c r="E1192" i="21"/>
  <c r="E1193" i="21"/>
  <c r="E1194" i="21"/>
  <c r="E1195" i="21"/>
  <c r="E1196" i="21"/>
  <c r="E1197" i="21"/>
  <c r="E1198" i="21"/>
  <c r="E1199" i="21"/>
  <c r="E1200" i="21"/>
  <c r="E1201" i="21"/>
  <c r="E1202" i="21"/>
  <c r="E1203" i="21"/>
  <c r="E1204" i="21"/>
  <c r="E1205" i="21"/>
  <c r="E1206" i="21"/>
  <c r="E1207" i="21"/>
  <c r="E1208" i="21"/>
  <c r="E1209" i="21"/>
  <c r="E1210" i="21"/>
  <c r="E1211" i="21"/>
  <c r="E1212" i="21"/>
  <c r="E1213" i="21"/>
  <c r="E1214" i="21"/>
  <c r="E1215" i="21"/>
  <c r="E1216" i="21"/>
  <c r="E1217" i="21"/>
  <c r="E1218" i="21"/>
  <c r="E1219" i="21"/>
  <c r="E1220" i="21"/>
  <c r="E1221" i="21"/>
  <c r="E1222" i="21"/>
  <c r="E1223" i="21"/>
  <c r="E1224" i="21"/>
  <c r="E1225" i="21"/>
  <c r="E1226" i="21"/>
  <c r="E1227" i="21"/>
  <c r="E1228" i="21"/>
  <c r="E1229" i="21"/>
  <c r="E1230" i="21"/>
  <c r="E1231" i="21"/>
  <c r="E1232" i="21"/>
  <c r="E1233" i="21"/>
  <c r="E1234" i="21"/>
  <c r="E1235" i="21"/>
  <c r="E1236" i="21"/>
  <c r="E1237" i="21"/>
  <c r="E1238" i="21"/>
  <c r="E1239" i="21"/>
  <c r="E1240" i="21"/>
  <c r="E1241" i="21"/>
  <c r="E1242" i="21"/>
  <c r="E1243" i="21"/>
  <c r="E1244" i="21"/>
  <c r="E1245" i="21"/>
  <c r="E1246" i="21"/>
  <c r="E1247" i="21"/>
  <c r="E1248" i="21"/>
  <c r="E1249" i="21"/>
  <c r="E1250" i="21"/>
  <c r="E1251" i="21"/>
  <c r="E1252" i="21"/>
  <c r="E1253" i="21"/>
  <c r="E1254" i="21"/>
  <c r="E1255" i="21"/>
  <c r="E1256" i="21"/>
  <c r="E1257" i="21"/>
  <c r="E1258" i="21"/>
  <c r="E1259" i="21"/>
  <c r="E1260" i="21"/>
  <c r="E1261" i="21"/>
  <c r="E1262" i="21"/>
  <c r="E1263" i="21"/>
  <c r="E1264" i="21"/>
  <c r="E1265" i="21"/>
  <c r="E1266" i="21"/>
  <c r="E1267" i="21"/>
  <c r="E1268" i="21"/>
  <c r="E1269" i="21"/>
  <c r="E1270" i="21"/>
  <c r="E1271" i="21"/>
  <c r="E1272" i="21"/>
  <c r="E1273" i="21"/>
  <c r="E1274" i="21"/>
  <c r="E1275" i="21"/>
  <c r="E1276" i="21"/>
  <c r="E1277" i="21"/>
  <c r="E1278" i="21"/>
  <c r="E1279" i="21"/>
  <c r="E1280" i="21"/>
  <c r="E1281" i="21"/>
  <c r="E1282" i="21"/>
  <c r="E1283" i="21"/>
  <c r="E1284" i="21"/>
  <c r="E1285" i="21"/>
  <c r="E1286" i="21"/>
  <c r="E1287" i="21"/>
  <c r="E1288" i="21"/>
  <c r="E1289" i="21"/>
  <c r="E1290" i="21"/>
  <c r="E1291" i="21"/>
  <c r="E1292" i="21"/>
  <c r="E1293" i="21"/>
  <c r="E1294" i="21"/>
  <c r="E1295" i="21"/>
  <c r="E1296" i="21"/>
  <c r="E1297" i="21"/>
  <c r="E1298" i="21"/>
  <c r="E1299" i="21"/>
  <c r="E1300" i="21"/>
  <c r="E1301" i="21"/>
  <c r="E1302" i="21"/>
  <c r="E1303" i="21"/>
  <c r="E1304" i="21"/>
  <c r="E1305" i="21"/>
  <c r="E1306" i="21"/>
  <c r="E1307" i="21"/>
  <c r="E1308" i="21"/>
  <c r="E1309" i="21"/>
  <c r="E1310" i="21"/>
  <c r="E1311" i="21"/>
  <c r="E1312" i="21"/>
  <c r="E1313" i="21"/>
  <c r="E1314" i="21"/>
  <c r="E1315" i="21"/>
  <c r="E1316" i="21"/>
  <c r="E1317" i="21"/>
  <c r="E1318" i="21"/>
  <c r="E1319" i="21"/>
  <c r="E1320" i="21"/>
  <c r="E1321" i="21"/>
  <c r="E1322" i="21"/>
  <c r="E1323" i="21"/>
  <c r="E1324" i="21"/>
  <c r="E1325" i="21"/>
  <c r="E1326" i="21"/>
  <c r="E1327" i="21"/>
  <c r="E1328" i="21"/>
  <c r="E1329" i="21"/>
  <c r="E1330" i="21"/>
  <c r="E1331" i="21"/>
  <c r="E1332" i="21"/>
  <c r="E1333" i="21"/>
  <c r="E1334" i="21"/>
  <c r="E1335" i="21"/>
  <c r="E1336" i="21"/>
  <c r="E1337" i="21"/>
  <c r="E1338" i="21"/>
  <c r="E1339" i="21"/>
  <c r="E1340" i="21"/>
  <c r="E1341" i="21"/>
  <c r="E1342" i="21"/>
  <c r="E1343" i="21"/>
  <c r="E1344" i="21"/>
  <c r="E1345" i="21"/>
  <c r="E1346" i="21"/>
  <c r="E1347" i="21"/>
  <c r="E1348" i="21"/>
  <c r="E1349" i="21"/>
  <c r="E1350" i="21"/>
  <c r="E1351" i="21"/>
  <c r="E1352" i="21"/>
  <c r="E1353" i="21"/>
  <c r="E1354" i="21"/>
  <c r="E1355" i="21"/>
  <c r="E1356" i="21"/>
  <c r="E1357" i="21"/>
  <c r="E1358" i="21"/>
  <c r="E1359" i="21"/>
  <c r="E1360" i="21"/>
  <c r="E1361" i="21"/>
  <c r="E1362" i="21"/>
  <c r="E1363" i="21"/>
  <c r="E1364" i="21"/>
  <c r="E1365" i="21"/>
  <c r="E1366" i="21"/>
  <c r="E1367" i="21"/>
  <c r="E1368" i="21"/>
  <c r="E1369" i="21"/>
  <c r="E1370" i="21"/>
  <c r="E1371" i="21"/>
  <c r="E1372" i="21"/>
  <c r="E1373" i="21"/>
  <c r="E1374" i="21"/>
  <c r="E1375" i="21"/>
  <c r="E1376" i="21"/>
  <c r="E1377" i="21"/>
  <c r="E1378" i="21"/>
  <c r="E1379" i="21"/>
  <c r="E1380" i="21"/>
  <c r="E1381" i="21"/>
  <c r="E1382" i="21"/>
  <c r="E1383" i="21"/>
  <c r="E1384" i="21"/>
  <c r="E1385" i="21"/>
  <c r="E1386" i="21"/>
  <c r="E1387" i="21"/>
  <c r="E1388" i="21"/>
  <c r="E1389" i="21"/>
  <c r="E1390" i="21"/>
  <c r="E1391" i="21"/>
  <c r="E1392" i="21"/>
  <c r="E1393" i="21"/>
  <c r="E1394" i="21"/>
  <c r="E1395" i="21"/>
  <c r="E1396" i="21"/>
  <c r="E1397" i="21"/>
  <c r="E1398" i="21"/>
  <c r="E1399" i="21"/>
  <c r="E1400" i="21"/>
  <c r="E1401" i="21"/>
  <c r="E1402" i="21"/>
  <c r="E1403" i="21"/>
  <c r="E1404" i="21"/>
  <c r="E1405" i="21"/>
  <c r="E1406" i="21"/>
  <c r="E1407" i="21"/>
  <c r="E1408" i="21"/>
  <c r="E1409" i="21"/>
  <c r="E1410" i="21"/>
  <c r="E1411" i="21"/>
  <c r="E1412" i="21"/>
  <c r="E1413" i="21"/>
  <c r="E1414" i="21"/>
  <c r="E1415" i="21"/>
  <c r="E1416" i="21"/>
  <c r="E1417" i="21"/>
  <c r="E1418" i="21"/>
  <c r="E1419" i="21"/>
  <c r="E1420" i="21"/>
  <c r="E1421" i="21"/>
  <c r="E1422" i="21"/>
  <c r="E1423" i="21"/>
  <c r="E1424" i="21"/>
  <c r="E1425" i="21"/>
  <c r="E1426" i="21"/>
  <c r="E1427" i="21"/>
  <c r="E1428" i="21"/>
  <c r="E1429" i="21"/>
  <c r="E1430" i="21"/>
  <c r="E1431" i="21"/>
  <c r="E1432" i="21"/>
  <c r="E1433" i="21"/>
  <c r="E1434" i="21"/>
  <c r="E1435" i="21"/>
  <c r="E1436" i="21"/>
  <c r="E1437" i="21"/>
  <c r="E1438" i="21"/>
  <c r="E1439" i="21"/>
  <c r="E1440" i="21"/>
  <c r="E1441" i="21"/>
  <c r="E1442" i="21"/>
  <c r="E1443" i="21"/>
  <c r="E1444" i="21"/>
  <c r="E1445" i="21"/>
  <c r="E1446" i="21"/>
  <c r="E1447" i="21"/>
  <c r="E1448" i="21"/>
  <c r="E1449" i="21"/>
  <c r="E1450" i="21"/>
  <c r="E1451" i="21"/>
  <c r="E1452" i="21"/>
  <c r="E1453" i="21"/>
  <c r="E1454" i="21"/>
  <c r="E1455" i="21"/>
  <c r="E1456" i="21"/>
  <c r="E1457" i="21"/>
  <c r="E1458" i="21"/>
  <c r="E1459" i="21"/>
  <c r="E1460" i="21"/>
  <c r="E1461" i="21"/>
  <c r="E1462" i="21"/>
  <c r="E1463" i="21"/>
  <c r="E1464" i="21"/>
  <c r="E1465" i="21"/>
  <c r="E1466" i="21"/>
  <c r="E1467" i="21"/>
  <c r="E1468" i="21"/>
  <c r="E1469" i="21"/>
  <c r="E1470" i="21"/>
  <c r="E1471" i="21"/>
  <c r="E1472" i="21"/>
  <c r="E1473" i="21"/>
  <c r="E1474" i="21"/>
  <c r="E1475" i="21"/>
  <c r="E1476" i="21"/>
  <c r="E1477" i="21"/>
  <c r="E1478" i="21"/>
  <c r="E1479" i="21"/>
  <c r="E1480" i="21"/>
  <c r="E1481" i="21"/>
  <c r="E1482" i="21"/>
  <c r="E1483" i="21"/>
  <c r="E1484" i="21"/>
  <c r="E1485" i="21"/>
  <c r="E1486" i="21"/>
  <c r="E1487" i="21"/>
  <c r="E1488" i="21"/>
  <c r="E1489" i="21"/>
  <c r="E1490" i="21"/>
  <c r="E1491" i="21"/>
  <c r="E1492" i="21"/>
  <c r="E1493" i="21"/>
  <c r="E1494" i="21"/>
  <c r="E1495" i="21"/>
  <c r="E1496" i="21"/>
  <c r="E1497" i="21"/>
  <c r="E1498" i="21"/>
  <c r="E1499" i="21"/>
  <c r="E1500" i="21"/>
  <c r="E1501" i="21"/>
  <c r="E1502" i="21"/>
  <c r="E1503" i="21"/>
  <c r="E1504" i="21"/>
  <c r="E1505" i="21"/>
  <c r="E1506" i="21"/>
  <c r="E1507" i="21"/>
  <c r="E1508" i="21"/>
  <c r="E1509" i="21"/>
  <c r="E1510" i="21"/>
  <c r="E1511" i="21"/>
  <c r="E1512" i="21"/>
  <c r="E1513" i="21"/>
  <c r="E1514" i="21"/>
  <c r="E1515" i="21"/>
  <c r="E1516" i="21"/>
  <c r="E1517" i="21"/>
  <c r="E1518" i="21"/>
  <c r="E1519" i="21"/>
  <c r="E1520" i="21"/>
  <c r="E1521" i="21"/>
  <c r="E1522" i="21"/>
  <c r="E1523" i="21"/>
  <c r="E1524" i="21"/>
  <c r="E1525" i="21"/>
  <c r="E1526" i="21"/>
  <c r="E1527" i="21"/>
  <c r="E1528" i="21"/>
  <c r="E1529" i="21"/>
  <c r="E1530" i="21"/>
  <c r="E1531" i="21"/>
  <c r="E1532" i="21"/>
  <c r="E1533" i="21"/>
  <c r="E1534" i="21"/>
  <c r="E1535" i="21"/>
  <c r="E1536" i="21"/>
  <c r="E1537" i="21"/>
  <c r="E1538" i="21"/>
  <c r="E1539" i="21"/>
  <c r="E1540" i="21"/>
  <c r="E1541" i="21"/>
  <c r="E1542" i="21"/>
  <c r="E1543" i="21"/>
  <c r="E1544" i="21"/>
  <c r="E1545" i="21"/>
  <c r="E1546" i="21"/>
  <c r="E1547" i="21"/>
  <c r="E1548" i="21"/>
  <c r="E1549" i="21"/>
  <c r="E1550" i="21"/>
  <c r="E1551" i="21"/>
  <c r="E1552" i="21"/>
  <c r="E1553" i="21"/>
  <c r="E1554" i="21"/>
  <c r="E1555" i="21"/>
  <c r="E1556" i="21"/>
  <c r="E1557" i="21"/>
  <c r="E1558" i="21"/>
  <c r="E1559" i="21"/>
  <c r="E1560" i="21"/>
  <c r="E1561" i="21"/>
  <c r="E1562" i="21"/>
  <c r="E1563" i="21"/>
  <c r="E1564" i="21"/>
  <c r="E1565" i="21"/>
  <c r="E1566" i="21"/>
  <c r="E1567" i="21"/>
  <c r="E1568" i="21"/>
  <c r="E1569" i="21"/>
  <c r="E1570" i="21"/>
  <c r="E1571" i="21"/>
  <c r="E1572" i="21"/>
  <c r="E1573" i="21"/>
  <c r="E1574" i="21"/>
  <c r="E1575" i="21"/>
  <c r="E1576" i="21"/>
  <c r="E1577" i="21"/>
  <c r="E1578" i="21"/>
  <c r="E1579" i="21"/>
  <c r="E1580" i="21"/>
  <c r="E1581" i="21"/>
  <c r="E1582" i="21"/>
  <c r="E1583" i="21"/>
  <c r="E1584" i="21"/>
  <c r="E1585" i="21"/>
  <c r="E1586" i="21"/>
  <c r="E1587" i="21"/>
  <c r="E1588" i="21"/>
  <c r="E1589" i="21"/>
  <c r="E1590" i="21"/>
  <c r="E1591" i="21"/>
  <c r="E1592" i="21"/>
  <c r="E1593" i="21"/>
  <c r="E1594" i="21"/>
  <c r="E1595" i="21"/>
  <c r="E1596" i="21"/>
  <c r="E1597" i="21"/>
  <c r="E1598" i="21"/>
  <c r="E1599" i="21"/>
  <c r="E1600" i="21"/>
  <c r="E1601" i="21"/>
  <c r="E1602" i="21"/>
  <c r="E1603" i="21"/>
  <c r="E1604" i="21"/>
  <c r="E1605" i="21"/>
  <c r="E1606" i="21"/>
  <c r="E1607" i="21"/>
  <c r="E1608" i="21"/>
  <c r="E1609" i="21"/>
  <c r="E1610" i="21"/>
  <c r="E1611" i="21"/>
  <c r="E1612" i="21"/>
  <c r="E1613" i="21"/>
  <c r="E1614" i="21"/>
  <c r="E1615" i="21"/>
  <c r="E1616" i="21"/>
  <c r="E1617" i="21"/>
  <c r="E1618" i="21"/>
  <c r="E1619" i="21"/>
  <c r="E1620" i="21"/>
  <c r="E1621" i="21"/>
  <c r="E1622" i="21"/>
  <c r="E1623" i="21"/>
  <c r="E1624" i="21"/>
  <c r="E1625" i="21"/>
  <c r="E1626" i="21"/>
  <c r="E1627" i="21"/>
  <c r="E1628" i="21"/>
  <c r="E1629" i="21"/>
  <c r="E1630" i="21"/>
  <c r="E1631" i="21"/>
  <c r="E1632" i="21"/>
  <c r="E1633" i="21"/>
  <c r="E1634" i="21"/>
  <c r="E1635" i="21"/>
  <c r="E1636" i="21"/>
  <c r="E1637" i="21"/>
  <c r="E1638" i="21"/>
  <c r="E1639" i="21"/>
  <c r="E1640" i="21"/>
  <c r="E1641" i="21"/>
  <c r="E1642" i="21"/>
  <c r="E1643" i="21"/>
  <c r="E1644" i="21"/>
  <c r="E1645" i="21"/>
  <c r="E1646" i="21"/>
  <c r="E1647" i="21"/>
  <c r="E1648" i="21"/>
  <c r="E1649" i="21"/>
  <c r="E1650" i="21"/>
  <c r="E1651" i="21"/>
  <c r="E1652" i="21"/>
  <c r="E1653" i="21"/>
  <c r="E1654" i="21"/>
  <c r="E1655" i="21"/>
  <c r="E1656" i="21"/>
  <c r="E1657" i="21"/>
  <c r="E1658" i="21"/>
  <c r="E1659" i="21"/>
  <c r="E1660" i="21"/>
  <c r="E1661" i="21"/>
  <c r="E1662" i="21"/>
  <c r="E1663" i="21"/>
  <c r="E1664" i="21"/>
  <c r="E1665" i="21"/>
  <c r="E1666" i="21"/>
  <c r="E1667" i="21"/>
  <c r="E1668" i="21"/>
  <c r="E1669" i="21"/>
  <c r="E1670" i="21"/>
  <c r="E1671" i="21"/>
  <c r="E1672" i="21"/>
  <c r="E1673" i="21"/>
  <c r="E1674" i="21"/>
  <c r="E1675" i="21"/>
  <c r="E1676" i="21"/>
  <c r="E1677" i="21"/>
  <c r="E1678" i="21"/>
  <c r="E1679" i="21"/>
  <c r="E1680" i="21"/>
  <c r="E1681" i="21"/>
  <c r="E1682" i="21"/>
  <c r="E1683" i="21"/>
  <c r="E1684" i="21"/>
  <c r="E1685" i="21"/>
  <c r="E1686" i="21"/>
  <c r="E1687" i="21"/>
  <c r="E1688" i="21"/>
  <c r="E1689" i="21"/>
  <c r="E1690" i="21"/>
  <c r="E1691" i="21"/>
  <c r="E1692" i="21"/>
  <c r="E1693" i="21"/>
  <c r="E1694" i="21"/>
  <c r="E1695" i="21"/>
  <c r="E1696" i="21"/>
  <c r="E1697" i="21"/>
  <c r="E1698" i="21"/>
  <c r="E1699" i="21"/>
  <c r="E1700" i="21"/>
  <c r="E1701" i="21"/>
  <c r="E1702" i="21"/>
  <c r="E1703" i="21"/>
  <c r="E1704" i="21"/>
  <c r="E1705" i="21"/>
  <c r="E1706" i="21"/>
  <c r="E1707" i="21"/>
  <c r="E1708" i="21"/>
  <c r="E1709" i="21"/>
  <c r="E1710" i="21"/>
  <c r="E1711" i="21"/>
  <c r="E1712" i="21"/>
  <c r="E1713" i="21"/>
  <c r="E1714" i="21"/>
  <c r="E1715" i="21"/>
  <c r="E1716" i="21"/>
  <c r="E1717" i="21"/>
  <c r="E1718" i="21"/>
  <c r="E1719" i="21"/>
  <c r="E1720" i="21"/>
  <c r="E1721" i="21"/>
  <c r="E1722" i="21"/>
  <c r="E1723" i="21"/>
  <c r="E1724" i="21"/>
  <c r="E1725" i="21"/>
  <c r="E1726" i="21"/>
  <c r="E1727" i="21"/>
  <c r="E1728" i="21"/>
  <c r="E1729" i="21"/>
  <c r="E1730" i="21"/>
  <c r="E1731" i="21"/>
  <c r="E1732" i="21"/>
  <c r="E1733" i="21"/>
  <c r="E1734" i="21"/>
  <c r="E1735" i="21"/>
  <c r="E1736" i="21"/>
  <c r="E1737" i="21"/>
  <c r="E1738" i="21"/>
  <c r="E1739" i="21"/>
  <c r="E1740" i="21"/>
  <c r="E1741" i="21"/>
  <c r="E1742" i="21"/>
  <c r="E1743" i="21"/>
  <c r="E1744" i="21"/>
  <c r="E1745" i="21"/>
  <c r="E1746" i="21"/>
  <c r="E1747" i="21"/>
  <c r="E1748" i="21"/>
  <c r="E1749" i="21"/>
  <c r="E1750" i="21"/>
  <c r="E1751" i="21"/>
  <c r="E1752" i="21"/>
  <c r="E1753" i="21"/>
  <c r="E1754" i="21"/>
  <c r="E1755" i="21"/>
  <c r="E1756" i="21"/>
  <c r="E1757" i="21"/>
  <c r="E1758" i="21"/>
  <c r="E1759" i="21"/>
  <c r="E1760" i="21"/>
  <c r="E1761" i="21"/>
  <c r="E1762" i="21"/>
  <c r="E1763" i="21"/>
  <c r="E1764" i="21"/>
  <c r="E1765" i="21"/>
  <c r="E1766" i="21"/>
  <c r="E1767" i="21"/>
  <c r="E1768" i="21"/>
  <c r="E1769" i="21"/>
  <c r="E1770" i="21"/>
  <c r="E1771" i="21"/>
  <c r="E1772" i="21"/>
  <c r="E1773" i="21"/>
  <c r="E1774" i="21"/>
  <c r="E1775" i="21"/>
  <c r="E1776" i="21"/>
  <c r="E1777" i="21"/>
  <c r="E1778" i="21"/>
  <c r="E1779" i="21"/>
  <c r="E1780" i="21"/>
  <c r="E1781" i="21"/>
  <c r="E1782" i="21"/>
  <c r="E1783" i="21"/>
  <c r="E1784" i="21"/>
  <c r="E1785" i="21"/>
  <c r="E1786" i="21"/>
  <c r="E1787" i="21"/>
  <c r="E1788" i="21"/>
  <c r="E1789" i="21"/>
  <c r="E1790" i="21"/>
  <c r="E1791" i="21"/>
  <c r="E1792" i="21"/>
  <c r="E1793" i="21"/>
  <c r="E1794" i="21"/>
  <c r="E1795" i="21"/>
  <c r="E1796" i="21"/>
  <c r="E1797" i="21"/>
  <c r="E1798" i="21"/>
  <c r="E1799" i="21"/>
  <c r="E1800" i="21"/>
  <c r="E1801" i="21"/>
  <c r="E1802" i="21"/>
  <c r="E1803" i="21"/>
  <c r="E1804" i="21"/>
  <c r="E1805" i="21"/>
  <c r="E1806" i="21"/>
  <c r="E1807" i="21"/>
  <c r="E1808" i="21"/>
  <c r="E1809" i="21"/>
  <c r="E1810" i="21"/>
  <c r="E1811" i="21"/>
  <c r="E1812" i="21"/>
  <c r="E1813" i="21"/>
  <c r="E1814" i="21"/>
  <c r="E1815" i="21"/>
  <c r="E1816" i="21"/>
  <c r="E1817" i="21"/>
  <c r="E1818" i="21"/>
  <c r="E1819" i="21"/>
  <c r="E1820" i="21"/>
  <c r="E1821" i="21"/>
  <c r="E1822" i="21"/>
  <c r="E1823" i="21"/>
  <c r="E1824" i="21"/>
  <c r="E1825" i="21"/>
  <c r="E1826" i="21"/>
  <c r="E1827" i="21"/>
  <c r="E1828" i="21"/>
  <c r="E1829" i="21"/>
  <c r="E1830" i="21"/>
  <c r="E1831" i="21"/>
  <c r="E1832" i="21"/>
  <c r="E1833" i="21"/>
  <c r="E1834" i="21"/>
  <c r="E1835" i="21"/>
  <c r="E1836" i="21"/>
  <c r="E1837" i="21"/>
  <c r="E1838" i="21"/>
  <c r="E1839" i="21"/>
  <c r="E1840" i="21"/>
  <c r="E1841" i="21"/>
  <c r="E1842" i="21"/>
  <c r="E1843" i="21"/>
  <c r="E1844" i="21"/>
  <c r="E1845" i="21"/>
  <c r="E1846" i="21"/>
  <c r="E1847" i="21"/>
  <c r="E1848" i="21"/>
  <c r="E1849" i="21"/>
  <c r="E1850" i="21"/>
  <c r="E1851" i="21"/>
  <c r="E1852" i="21"/>
  <c r="E1853" i="21"/>
  <c r="E1854" i="21"/>
  <c r="E1855" i="21"/>
  <c r="E1856" i="21"/>
  <c r="E1857" i="21"/>
  <c r="E1858" i="21"/>
  <c r="E1859" i="21"/>
  <c r="E1860" i="21"/>
  <c r="E1861" i="21"/>
  <c r="E1862" i="21"/>
  <c r="E1863" i="21"/>
  <c r="E1864" i="21"/>
  <c r="E1865" i="21"/>
  <c r="E1866" i="21"/>
  <c r="E1867" i="21"/>
  <c r="E1868" i="21"/>
  <c r="E1869" i="21"/>
  <c r="E1870" i="21"/>
  <c r="E1871" i="21"/>
  <c r="E1872" i="21"/>
  <c r="E1873" i="21"/>
  <c r="E1874" i="21"/>
  <c r="E1875" i="21"/>
  <c r="E1876" i="21"/>
  <c r="E1877" i="21"/>
  <c r="E1878" i="21"/>
  <c r="E1879" i="21"/>
  <c r="E1880" i="21"/>
  <c r="E1881" i="21"/>
  <c r="E1882" i="21"/>
  <c r="E1883" i="21"/>
  <c r="E1884" i="21"/>
  <c r="E1885" i="21"/>
  <c r="E1886" i="21"/>
  <c r="E1887" i="21"/>
  <c r="E1888" i="21"/>
  <c r="E1889" i="21"/>
  <c r="E1890" i="21"/>
  <c r="E1891" i="21"/>
  <c r="E1892" i="21"/>
  <c r="E1893" i="21"/>
  <c r="E1894" i="21"/>
  <c r="E1895" i="21"/>
  <c r="E1896" i="21"/>
  <c r="E1897" i="21"/>
  <c r="E1898" i="21"/>
  <c r="E1899" i="21"/>
  <c r="E1900" i="21"/>
  <c r="E1901" i="21"/>
  <c r="E1902" i="21"/>
  <c r="E1903" i="21"/>
  <c r="E1904" i="21"/>
  <c r="E1905" i="21"/>
  <c r="E1906" i="21"/>
  <c r="E1907" i="21"/>
  <c r="E1908" i="21"/>
  <c r="E1909" i="21"/>
  <c r="E1910" i="21"/>
  <c r="E1911" i="21"/>
  <c r="E1912" i="21"/>
  <c r="E1913" i="21"/>
  <c r="E1914" i="21"/>
  <c r="E1915" i="21"/>
  <c r="E1916" i="21"/>
  <c r="E1917" i="21"/>
  <c r="E1918" i="21"/>
  <c r="E1919" i="21"/>
  <c r="E1920" i="21"/>
  <c r="E1921" i="21"/>
  <c r="E1922" i="21"/>
  <c r="E1923" i="21"/>
  <c r="E1924" i="21"/>
  <c r="E1925" i="21"/>
  <c r="E1926" i="21"/>
  <c r="E1927" i="21"/>
  <c r="E1928" i="21"/>
  <c r="E1929" i="21"/>
  <c r="E1930" i="21"/>
  <c r="E1931" i="21"/>
  <c r="E1932" i="21"/>
  <c r="E1933" i="21"/>
  <c r="E1934" i="21"/>
  <c r="E1935" i="21"/>
  <c r="E1936" i="21"/>
  <c r="E1937" i="21"/>
  <c r="E1938" i="21"/>
  <c r="E1939" i="21"/>
  <c r="E1940" i="21"/>
  <c r="E1941" i="21"/>
  <c r="E1942" i="21"/>
  <c r="E1943" i="21"/>
  <c r="E1944" i="21"/>
  <c r="E1945" i="21"/>
  <c r="E1946" i="21"/>
  <c r="E1947" i="21"/>
  <c r="E1948" i="21"/>
  <c r="E1949" i="21"/>
  <c r="E1950" i="21"/>
  <c r="E1951" i="21"/>
  <c r="E1952" i="21"/>
  <c r="E1953" i="21"/>
  <c r="E1954" i="21"/>
  <c r="E1955" i="21"/>
  <c r="E1956" i="21"/>
  <c r="E1957" i="21"/>
  <c r="E1958" i="21"/>
  <c r="E1959" i="21"/>
  <c r="E1960" i="21"/>
  <c r="E1961" i="21"/>
  <c r="E1962" i="21"/>
  <c r="E1963" i="21"/>
  <c r="E1964" i="21"/>
  <c r="E1965" i="21"/>
  <c r="E1966" i="21"/>
  <c r="E1967" i="21"/>
  <c r="E1968" i="21"/>
  <c r="E1969" i="21"/>
  <c r="E1970" i="21"/>
  <c r="E1971" i="21"/>
  <c r="E1972" i="21"/>
  <c r="E1973" i="21"/>
  <c r="E1974" i="21"/>
  <c r="E1975" i="21"/>
  <c r="E1976" i="21"/>
  <c r="E1977" i="21"/>
  <c r="E1978" i="21"/>
  <c r="E1979" i="21"/>
  <c r="E1980" i="21"/>
  <c r="E1981" i="21"/>
  <c r="E1982" i="21"/>
  <c r="E1983" i="21"/>
  <c r="E1984" i="21"/>
  <c r="E1985" i="21"/>
  <c r="E1986" i="21"/>
  <c r="E1987" i="21"/>
  <c r="E1988" i="21"/>
  <c r="E1989" i="21"/>
  <c r="E1990" i="21"/>
  <c r="E1991" i="21"/>
  <c r="E1992" i="21"/>
  <c r="E1993" i="21"/>
  <c r="E1994" i="21"/>
  <c r="E1995" i="21"/>
  <c r="E1996" i="21"/>
  <c r="E1997" i="21"/>
  <c r="E1998" i="21"/>
  <c r="E1999" i="21"/>
  <c r="E2000" i="21"/>
  <c r="E2001" i="21"/>
  <c r="E2002" i="21"/>
  <c r="E2003" i="21"/>
  <c r="E2004" i="21"/>
  <c r="E2005" i="21"/>
  <c r="E2006" i="21"/>
  <c r="E2007" i="21"/>
  <c r="E2008" i="21"/>
  <c r="E2009" i="21"/>
  <c r="E2010" i="21"/>
  <c r="E2011" i="21"/>
  <c r="E2012" i="21"/>
  <c r="E2013" i="21"/>
  <c r="E2014" i="21"/>
  <c r="E2015" i="21"/>
  <c r="E2016" i="21"/>
  <c r="E2017" i="21"/>
  <c r="E2018" i="21"/>
  <c r="E2019" i="21"/>
  <c r="E2020" i="21"/>
  <c r="E2021" i="21"/>
  <c r="E2022" i="21"/>
  <c r="E2023" i="21"/>
  <c r="E2024" i="21"/>
  <c r="E2025" i="21"/>
  <c r="E2026" i="21"/>
  <c r="E2027" i="21"/>
  <c r="E2028" i="21"/>
  <c r="E2029" i="21"/>
  <c r="E2030" i="21"/>
  <c r="E2031" i="21"/>
  <c r="E2032" i="21"/>
  <c r="E2033" i="21"/>
  <c r="E2034" i="21"/>
  <c r="E2035" i="21"/>
  <c r="E2036" i="21"/>
  <c r="E2037" i="21"/>
  <c r="E2038" i="21"/>
  <c r="E2039" i="21"/>
  <c r="E2040" i="21"/>
  <c r="E2041" i="21"/>
  <c r="E2042" i="21"/>
  <c r="E2043" i="21"/>
  <c r="E2044" i="21"/>
  <c r="E2045" i="21"/>
  <c r="E2046" i="21"/>
  <c r="E2047" i="21"/>
  <c r="E2048" i="21"/>
  <c r="E2049" i="21"/>
  <c r="E2050" i="21"/>
  <c r="E2051" i="21"/>
  <c r="E2052" i="21"/>
  <c r="E2053" i="21"/>
  <c r="E2054" i="21"/>
  <c r="E2055" i="21"/>
  <c r="E2056" i="21"/>
  <c r="E2057" i="21"/>
  <c r="E2058" i="21"/>
  <c r="E2059" i="21"/>
  <c r="E2060" i="21"/>
  <c r="E2061" i="21"/>
  <c r="E2062" i="21"/>
  <c r="E2063" i="21"/>
  <c r="E2064" i="21"/>
  <c r="E2065" i="21"/>
  <c r="E2066" i="21"/>
  <c r="E2067" i="21"/>
  <c r="E2068" i="21"/>
  <c r="E2069" i="21"/>
  <c r="E2070" i="21"/>
  <c r="E2071" i="21"/>
  <c r="E2072" i="21"/>
  <c r="E2073" i="21"/>
  <c r="E2074" i="21"/>
  <c r="E2075" i="21"/>
  <c r="E2076" i="21"/>
  <c r="E2077" i="21"/>
  <c r="E2078" i="21"/>
  <c r="E2079" i="21"/>
  <c r="E2080" i="21"/>
  <c r="E2081" i="21"/>
  <c r="E2082" i="21"/>
  <c r="E2083" i="21"/>
  <c r="E2084" i="21"/>
  <c r="E2085" i="21"/>
  <c r="E2086" i="21"/>
  <c r="E2087" i="21"/>
  <c r="E2088" i="21"/>
  <c r="E2089" i="21"/>
  <c r="E2090" i="21"/>
  <c r="E2091" i="21"/>
  <c r="E2092" i="21"/>
  <c r="E2093" i="21"/>
  <c r="E2094" i="21"/>
  <c r="E2095" i="21"/>
  <c r="E2096" i="21"/>
  <c r="E2097" i="21"/>
  <c r="E2098" i="21"/>
  <c r="E2099" i="21"/>
  <c r="E2100" i="21"/>
  <c r="E2101" i="21"/>
  <c r="E2102" i="21"/>
  <c r="E2103" i="21"/>
  <c r="E2104" i="21"/>
  <c r="E2105" i="21"/>
  <c r="E2106" i="21"/>
  <c r="E2107" i="21"/>
  <c r="E2108" i="21"/>
  <c r="E2109" i="21"/>
  <c r="E2110" i="21"/>
  <c r="E2111" i="21"/>
  <c r="E2112" i="21"/>
  <c r="E2113" i="21"/>
  <c r="E2114" i="21"/>
  <c r="E2115" i="21"/>
  <c r="E2116" i="21"/>
  <c r="E2117" i="21"/>
  <c r="E2118" i="21"/>
  <c r="E2119" i="21"/>
  <c r="E2120" i="21"/>
  <c r="E2121" i="21"/>
  <c r="E2122" i="21"/>
  <c r="E2123" i="21"/>
  <c r="E2124" i="21"/>
  <c r="E2125" i="21"/>
  <c r="E2126" i="21"/>
  <c r="E2127" i="21"/>
  <c r="E2128" i="21"/>
  <c r="E2129" i="21"/>
  <c r="E2130" i="21"/>
  <c r="E2131" i="21"/>
  <c r="E2132" i="21"/>
  <c r="E2133" i="21"/>
  <c r="E2134" i="21"/>
  <c r="E2135" i="21"/>
  <c r="E2136" i="21"/>
  <c r="E2137" i="21"/>
  <c r="E2138" i="21"/>
  <c r="E2139" i="21"/>
  <c r="E2140" i="21"/>
  <c r="E2141" i="21"/>
  <c r="E2142" i="21"/>
  <c r="E2143" i="21"/>
  <c r="E2144" i="21"/>
  <c r="E2145" i="21"/>
  <c r="E2146" i="21"/>
  <c r="E2147" i="21"/>
  <c r="E2148" i="21"/>
  <c r="E2149" i="21"/>
  <c r="E2150" i="21"/>
  <c r="E2151" i="21"/>
  <c r="E2152" i="21"/>
  <c r="E2153" i="21"/>
  <c r="E2154" i="21"/>
  <c r="E2155" i="21"/>
  <c r="E2156" i="21"/>
  <c r="E2157" i="21"/>
  <c r="E2158" i="21"/>
  <c r="E2159" i="21"/>
  <c r="E2160" i="21"/>
  <c r="E2161" i="21"/>
  <c r="E2162" i="21"/>
  <c r="E2163" i="21"/>
  <c r="E2164" i="21"/>
  <c r="E2165" i="21"/>
  <c r="E2166" i="21"/>
  <c r="E2167" i="21"/>
  <c r="E2168" i="21"/>
  <c r="E2169" i="21"/>
  <c r="E2170" i="21"/>
  <c r="E2171" i="21"/>
  <c r="E2172" i="21"/>
  <c r="E2173" i="21"/>
  <c r="E2174" i="21"/>
  <c r="E2175" i="21"/>
  <c r="E2176" i="21"/>
  <c r="E2177" i="21"/>
  <c r="E2178" i="21"/>
  <c r="E2179" i="21"/>
  <c r="E2180" i="21"/>
  <c r="E2181" i="21"/>
  <c r="E2182" i="21"/>
  <c r="E2183" i="21"/>
  <c r="E2184" i="21"/>
  <c r="E2185" i="21"/>
  <c r="E2186" i="21"/>
  <c r="E2187" i="21"/>
  <c r="E2188" i="21"/>
  <c r="E2189" i="21"/>
  <c r="E2190" i="21"/>
  <c r="E2191" i="21"/>
  <c r="E2192" i="21"/>
  <c r="E2193" i="21"/>
  <c r="E2194" i="21"/>
  <c r="E2195" i="21"/>
  <c r="E2196" i="21"/>
  <c r="E2197" i="21"/>
  <c r="E2198" i="21"/>
  <c r="E2199" i="21"/>
  <c r="E2200" i="21"/>
  <c r="E2201" i="21"/>
  <c r="E2202" i="21"/>
  <c r="E2203" i="21"/>
  <c r="E2204" i="21"/>
  <c r="E2205" i="21"/>
  <c r="E2206" i="21"/>
  <c r="E2207" i="21"/>
  <c r="E2208" i="21"/>
  <c r="E2209" i="21"/>
  <c r="E2210" i="21"/>
  <c r="E2211" i="21"/>
  <c r="E2212" i="21"/>
  <c r="E2213" i="21"/>
  <c r="E2214" i="21"/>
  <c r="E2215" i="21"/>
  <c r="E2216" i="21"/>
  <c r="E2217" i="21"/>
  <c r="E2218" i="21"/>
  <c r="E2219" i="21"/>
  <c r="E2220" i="21"/>
  <c r="E2221" i="21"/>
  <c r="E2222" i="21"/>
  <c r="E2223" i="21"/>
  <c r="E2224" i="21"/>
  <c r="E2225" i="21"/>
  <c r="E2226" i="21"/>
  <c r="E2227" i="21"/>
  <c r="E2228" i="21"/>
  <c r="E2229" i="21"/>
  <c r="E2230" i="21"/>
  <c r="E2231" i="21"/>
  <c r="E2232" i="21"/>
  <c r="E2233" i="21"/>
  <c r="E2234" i="21"/>
  <c r="E2235" i="21"/>
  <c r="E2236" i="21"/>
  <c r="E2237" i="21"/>
  <c r="E2238" i="21"/>
  <c r="E2239" i="21"/>
  <c r="E2240" i="21"/>
  <c r="E2241" i="21"/>
  <c r="E2242" i="21"/>
  <c r="E2243" i="21"/>
  <c r="E2244" i="21"/>
  <c r="E2245" i="21"/>
  <c r="E2246" i="21"/>
  <c r="E2247" i="21"/>
  <c r="E2248" i="21"/>
  <c r="E2249" i="21"/>
  <c r="E2250" i="21"/>
  <c r="E2251" i="21"/>
  <c r="E2252" i="21"/>
  <c r="E2253" i="21"/>
  <c r="E2254" i="21"/>
  <c r="E2255" i="21"/>
  <c r="E2256" i="21"/>
  <c r="E2257" i="21"/>
  <c r="E2258" i="21"/>
  <c r="E2259" i="21"/>
  <c r="E2260" i="21"/>
  <c r="E2261" i="21"/>
  <c r="E2262" i="21"/>
  <c r="E2263" i="21"/>
  <c r="E2264" i="21"/>
  <c r="E2265" i="21"/>
  <c r="E2266" i="21"/>
  <c r="E2267" i="21"/>
  <c r="E2268" i="21"/>
  <c r="E2269" i="21"/>
  <c r="E2270" i="21"/>
  <c r="E2271" i="21"/>
  <c r="E2272" i="21"/>
  <c r="E2273" i="21"/>
  <c r="E2274" i="21"/>
  <c r="E2275" i="21"/>
  <c r="E2276" i="21"/>
  <c r="E2277" i="21"/>
  <c r="E2278" i="21"/>
  <c r="E2279" i="21"/>
  <c r="E2280" i="21"/>
  <c r="E2281" i="21"/>
  <c r="E2282" i="21"/>
  <c r="E2283" i="21"/>
  <c r="E2284" i="21"/>
  <c r="E2285" i="21"/>
  <c r="E2286" i="21"/>
  <c r="E2287" i="21"/>
  <c r="E2288" i="21"/>
  <c r="E2289" i="21"/>
  <c r="E2290" i="21"/>
  <c r="E2291" i="21"/>
  <c r="E2292" i="21"/>
  <c r="E2293" i="21"/>
  <c r="E2294" i="21"/>
  <c r="E2295" i="21"/>
  <c r="E2296" i="21"/>
  <c r="E2297" i="21"/>
  <c r="E2298" i="21"/>
  <c r="E2299" i="21"/>
  <c r="E2300" i="21"/>
  <c r="E2301" i="21"/>
  <c r="E2302" i="21"/>
  <c r="E2303" i="21"/>
  <c r="E2304" i="21"/>
  <c r="E2305" i="21"/>
  <c r="E2306" i="21"/>
  <c r="E2307" i="21"/>
  <c r="E2308" i="21"/>
  <c r="E2309" i="21"/>
  <c r="E2310" i="21"/>
  <c r="E2311" i="21"/>
  <c r="E2312" i="21"/>
  <c r="E2313" i="21"/>
  <c r="E2314" i="21"/>
  <c r="E2315" i="21"/>
  <c r="E2316" i="21"/>
  <c r="E2317" i="21"/>
  <c r="E2318" i="21"/>
  <c r="E2319" i="21"/>
  <c r="E2320" i="21"/>
  <c r="E2321" i="21"/>
  <c r="E2322" i="21"/>
  <c r="E2323" i="21"/>
  <c r="E2324" i="21"/>
  <c r="E2325" i="21"/>
  <c r="E2326" i="21"/>
  <c r="E2327" i="21"/>
  <c r="E2328" i="21"/>
  <c r="E2329" i="21"/>
  <c r="E2330" i="21"/>
  <c r="E2331" i="21"/>
  <c r="E2332" i="21"/>
  <c r="E2333" i="21"/>
  <c r="E2334" i="21"/>
  <c r="E2335" i="21"/>
  <c r="E2336" i="21"/>
  <c r="E2337" i="21"/>
  <c r="E2338" i="21"/>
  <c r="E2339" i="21"/>
  <c r="E2340" i="21"/>
  <c r="E2341" i="21"/>
  <c r="G3662" i="18"/>
  <c r="G3663" i="18"/>
  <c r="G3664" i="18"/>
  <c r="G3665" i="18"/>
  <c r="G3666" i="18"/>
  <c r="G3667" i="18"/>
  <c r="G3668" i="18"/>
  <c r="G3669" i="18"/>
  <c r="G3670" i="18"/>
  <c r="G3671" i="18"/>
  <c r="G3672" i="18"/>
  <c r="G3673" i="18"/>
  <c r="G3674" i="18"/>
  <c r="G3675" i="18"/>
  <c r="G3676" i="18"/>
  <c r="G3677" i="18"/>
  <c r="G3678" i="18"/>
  <c r="G3679" i="18"/>
  <c r="G3722" i="18"/>
  <c r="G3723" i="18"/>
  <c r="G3724" i="18"/>
  <c r="G3725" i="18"/>
  <c r="G3726" i="18"/>
  <c r="G3727" i="18"/>
  <c r="G3728" i="18"/>
  <c r="G3729" i="18"/>
  <c r="G3730" i="18"/>
  <c r="G3731" i="18"/>
  <c r="G3732" i="18"/>
  <c r="G3733" i="18"/>
  <c r="G3734" i="18"/>
  <c r="G3735" i="18"/>
  <c r="G3736" i="18"/>
  <c r="G3737" i="18"/>
  <c r="G3738" i="18"/>
  <c r="G3739" i="18"/>
  <c r="G3740" i="18"/>
  <c r="G3741" i="18"/>
  <c r="G3742" i="18"/>
  <c r="G3743" i="18"/>
  <c r="G3744" i="18"/>
  <c r="G3745" i="18"/>
  <c r="G3746" i="18"/>
  <c r="G3747" i="18"/>
  <c r="G3748" i="18"/>
  <c r="G3749" i="18"/>
  <c r="G33" i="18"/>
  <c r="G34" i="18"/>
  <c r="G35" i="18"/>
  <c r="G36" i="18"/>
  <c r="G37" i="18"/>
  <c r="G69" i="18"/>
  <c r="G70" i="18"/>
  <c r="G71" i="18"/>
  <c r="G72" i="18"/>
  <c r="G73" i="18"/>
  <c r="G74" i="18"/>
  <c r="G75" i="18"/>
  <c r="G76" i="18"/>
  <c r="G77" i="18"/>
  <c r="G78" i="18"/>
  <c r="G79" i="18"/>
  <c r="G80" i="18"/>
  <c r="G81" i="18"/>
  <c r="G82" i="18"/>
  <c r="G83" i="18"/>
  <c r="G84" i="18"/>
  <c r="G85" i="18"/>
  <c r="G86" i="18"/>
  <c r="G87" i="18"/>
  <c r="G88" i="18"/>
  <c r="G89" i="18"/>
  <c r="G90" i="18"/>
  <c r="G91" i="18"/>
  <c r="G92" i="18"/>
  <c r="G93" i="18"/>
  <c r="G94" i="18"/>
  <c r="G95" i="18"/>
  <c r="G96" i="18"/>
  <c r="G97" i="18"/>
  <c r="G98" i="18"/>
  <c r="G99" i="18"/>
  <c r="G100" i="18"/>
  <c r="G101" i="18"/>
  <c r="G102" i="18"/>
  <c r="G103" i="18"/>
  <c r="G104" i="18"/>
  <c r="G105" i="18"/>
  <c r="G106" i="18"/>
  <c r="G107" i="18"/>
  <c r="G108" i="18"/>
  <c r="G109" i="18"/>
  <c r="G110" i="18"/>
  <c r="G111" i="18"/>
  <c r="G112" i="18"/>
  <c r="G113" i="18"/>
  <c r="G114" i="18"/>
  <c r="G115" i="18"/>
  <c r="G116" i="18"/>
  <c r="G117" i="18"/>
  <c r="G118" i="18"/>
  <c r="G119" i="18"/>
  <c r="G120" i="18"/>
  <c r="G152" i="18"/>
  <c r="G153" i="18"/>
  <c r="G154" i="18"/>
  <c r="G155" i="18"/>
  <c r="G156" i="18"/>
  <c r="G157" i="18"/>
  <c r="G158" i="18"/>
  <c r="G159" i="18"/>
  <c r="G160" i="18"/>
  <c r="G161" i="18"/>
  <c r="G162" i="18"/>
  <c r="G163" i="18"/>
  <c r="G164" i="18"/>
  <c r="G165" i="18"/>
  <c r="G166" i="18"/>
  <c r="G167" i="18"/>
  <c r="G168" i="18"/>
  <c r="G169" i="18"/>
  <c r="G170" i="18"/>
  <c r="G171" i="18"/>
  <c r="G172" i="18"/>
  <c r="G173" i="18"/>
  <c r="G174" i="18"/>
  <c r="G175" i="18"/>
  <c r="G517" i="18"/>
  <c r="G518" i="18"/>
  <c r="G550" i="18"/>
  <c r="G551" i="18"/>
  <c r="G583" i="18"/>
  <c r="G584" i="18"/>
  <c r="G616" i="18"/>
  <c r="G617" i="18"/>
  <c r="G680" i="18"/>
  <c r="G681" i="18"/>
  <c r="G2327" i="18"/>
  <c r="G2328" i="18"/>
  <c r="G2329" i="18"/>
  <c r="G2330" i="18"/>
  <c r="G2331" i="18"/>
  <c r="G2332" i="18"/>
  <c r="G2333" i="18"/>
  <c r="G2334" i="18"/>
  <c r="G2335" i="18"/>
  <c r="G2336" i="18"/>
  <c r="G2337" i="18"/>
  <c r="G2656" i="18"/>
  <c r="G2657" i="18"/>
  <c r="G2741" i="18"/>
  <c r="G2742" i="18"/>
  <c r="G2743" i="18"/>
  <c r="G3116" i="18"/>
  <c r="G3117" i="18"/>
  <c r="G3118" i="18"/>
  <c r="G3119" i="18"/>
  <c r="G3120" i="18"/>
  <c r="G3125" i="18"/>
  <c r="G3126" i="18"/>
  <c r="G3127" i="18"/>
  <c r="G3128" i="18"/>
  <c r="G3129" i="18"/>
  <c r="G3130" i="18"/>
  <c r="G3131" i="18"/>
  <c r="G3132" i="18"/>
  <c r="G3133" i="18"/>
  <c r="G3134" i="18"/>
  <c r="G3135" i="18"/>
  <c r="G3136" i="18"/>
  <c r="G3137" i="18"/>
  <c r="G3138" i="18"/>
  <c r="G3139" i="18"/>
  <c r="G3140" i="18"/>
  <c r="G3141" i="18"/>
  <c r="G3142" i="18"/>
  <c r="G3143" i="18"/>
  <c r="G3144" i="18"/>
  <c r="G3145" i="18"/>
  <c r="G3146" i="18"/>
  <c r="G3147" i="18"/>
  <c r="G3148" i="18"/>
  <c r="G3149" i="18"/>
  <c r="G3150" i="18"/>
  <c r="G3151" i="18"/>
  <c r="G3152" i="18"/>
  <c r="G3153" i="18"/>
  <c r="G3154" i="18"/>
  <c r="G3155" i="18"/>
  <c r="G3156" i="18"/>
  <c r="G3157" i="18"/>
  <c r="G3158" i="18"/>
  <c r="G3159" i="18"/>
  <c r="G3160" i="18"/>
  <c r="G3161" i="18"/>
  <c r="G3162" i="18"/>
  <c r="G3163" i="18"/>
  <c r="G3164" i="18"/>
  <c r="G3165" i="18"/>
  <c r="G3166" i="18"/>
  <c r="G3167" i="18"/>
  <c r="G3168" i="18"/>
  <c r="G3169" i="18"/>
  <c r="G3170" i="18"/>
  <c r="G3171" i="18"/>
  <c r="G3172" i="18"/>
  <c r="G3173" i="18"/>
  <c r="G3174" i="18"/>
  <c r="G3175" i="18"/>
  <c r="G3176" i="18"/>
  <c r="G3177" i="18"/>
  <c r="G3178" i="18"/>
  <c r="G3179" i="18"/>
  <c r="G3180" i="18"/>
  <c r="G3181" i="18"/>
  <c r="G3182" i="18"/>
  <c r="G3183" i="18"/>
  <c r="G3184" i="18"/>
  <c r="G3185" i="18"/>
  <c r="G3186" i="18"/>
  <c r="G3187" i="18"/>
  <c r="G3188" i="18"/>
  <c r="G3189" i="18"/>
  <c r="G3190" i="18"/>
  <c r="G3191" i="18"/>
  <c r="G3192" i="18"/>
  <c r="G3193" i="18"/>
  <c r="G3194" i="18"/>
  <c r="G3195" i="18"/>
  <c r="G3196" i="18"/>
  <c r="G3197" i="18"/>
  <c r="G3198" i="18"/>
  <c r="G3199" i="18"/>
  <c r="G3200" i="18"/>
  <c r="G3201" i="18"/>
  <c r="G3202" i="18"/>
  <c r="G3203" i="18"/>
  <c r="G3204" i="18"/>
  <c r="G3205" i="18"/>
  <c r="G3206" i="18"/>
  <c r="G3207" i="18"/>
  <c r="G2937" i="18"/>
  <c r="G2938" i="18"/>
  <c r="G2939" i="18"/>
  <c r="G2940" i="18"/>
  <c r="G2941" i="18"/>
  <c r="G2942" i="18"/>
  <c r="G2943" i="18"/>
  <c r="G2944" i="18"/>
  <c r="G2945" i="18"/>
  <c r="G2946" i="18"/>
  <c r="G2951" i="18"/>
  <c r="G2952" i="18"/>
  <c r="G2953" i="18"/>
  <c r="G2954" i="18"/>
  <c r="G3577" i="18"/>
  <c r="G3578" i="18"/>
  <c r="G3680" i="18"/>
  <c r="G3681" i="18"/>
  <c r="G3682" i="18"/>
  <c r="G3683" i="18"/>
  <c r="G3684" i="18"/>
  <c r="G3685" i="18"/>
  <c r="G3686" i="18"/>
  <c r="G3687" i="18"/>
  <c r="G3688" i="18"/>
  <c r="G3689" i="18"/>
  <c r="G3690" i="18"/>
  <c r="G3691" i="18"/>
  <c r="G3692" i="18"/>
  <c r="G3693" i="18"/>
  <c r="G3694" i="18"/>
  <c r="G3695" i="18"/>
  <c r="G3696" i="18"/>
  <c r="G3697" i="18"/>
  <c r="G3698" i="18"/>
  <c r="G3699" i="18"/>
  <c r="G3700" i="18"/>
  <c r="G3701" i="18"/>
  <c r="G3702" i="18"/>
  <c r="G3703" i="18"/>
  <c r="G3704" i="18"/>
  <c r="G3705" i="18"/>
  <c r="G3706" i="18"/>
  <c r="G3707" i="18"/>
  <c r="G3708" i="18"/>
  <c r="G3709" i="18"/>
  <c r="G3710" i="18"/>
  <c r="G3711" i="18"/>
  <c r="G3712" i="18"/>
  <c r="G3713" i="18"/>
  <c r="G3714" i="18"/>
  <c r="G3715" i="18"/>
  <c r="G3716" i="18"/>
  <c r="G3717" i="18"/>
  <c r="G3718" i="18"/>
  <c r="G3719" i="18"/>
  <c r="G3720" i="18"/>
  <c r="G3721" i="18"/>
  <c r="G3579" i="18"/>
  <c r="G3637" i="18"/>
  <c r="G3638" i="18"/>
  <c r="G3639" i="18"/>
  <c r="G3640" i="18"/>
  <c r="G3641" i="18"/>
  <c r="G3642" i="18"/>
  <c r="G3643" i="18"/>
  <c r="G3644" i="18"/>
  <c r="G3645" i="18"/>
  <c r="G3646" i="18"/>
  <c r="G3647" i="18"/>
  <c r="G3648" i="18"/>
  <c r="G3649" i="18"/>
  <c r="G3650" i="18"/>
  <c r="G3651" i="18"/>
  <c r="G3652" i="18"/>
  <c r="G3653" i="18"/>
  <c r="G3654" i="18"/>
  <c r="G3655" i="18"/>
  <c r="G3656" i="18"/>
  <c r="G3657" i="18"/>
  <c r="G3658" i="18"/>
  <c r="G3659" i="18"/>
  <c r="G3660" i="18"/>
  <c r="G3661" i="18"/>
  <c r="G2928" i="18"/>
  <c r="G2929" i="18"/>
  <c r="G2930" i="18"/>
  <c r="G2931" i="18"/>
  <c r="G2932" i="18"/>
  <c r="G2933" i="18"/>
  <c r="G2934" i="18"/>
  <c r="G2935" i="18"/>
  <c r="G2936" i="18"/>
  <c r="G2947" i="18"/>
  <c r="G2948" i="18"/>
  <c r="G2949" i="18"/>
  <c r="G2950" i="18"/>
  <c r="G2955" i="18"/>
  <c r="G2956" i="18"/>
  <c r="G2957" i="18"/>
  <c r="G2958" i="18"/>
  <c r="G2959" i="18"/>
  <c r="G2960" i="18"/>
  <c r="G2961" i="18"/>
  <c r="G2962" i="18"/>
  <c r="G2963" i="18"/>
  <c r="G2964" i="18"/>
  <c r="G2965" i="18"/>
  <c r="G2966" i="18"/>
  <c r="G2967" i="18"/>
  <c r="G2968" i="18"/>
  <c r="G2969" i="18"/>
  <c r="G2970" i="18"/>
  <c r="G2971" i="18"/>
  <c r="G2972" i="18"/>
  <c r="G2973" i="18"/>
  <c r="G2974" i="18"/>
  <c r="G2975" i="18"/>
  <c r="G2976" i="18"/>
  <c r="G2977" i="18"/>
  <c r="G2978" i="18"/>
  <c r="G2979" i="18"/>
  <c r="G2980" i="18"/>
  <c r="G2981" i="18"/>
  <c r="G2982" i="18"/>
  <c r="G2983" i="18"/>
  <c r="G2984" i="18"/>
  <c r="G2985" i="18"/>
  <c r="G2986" i="18"/>
  <c r="G2987" i="18"/>
  <c r="G2992" i="18"/>
  <c r="G2993" i="18"/>
  <c r="G2994" i="18"/>
  <c r="G2995" i="18"/>
  <c r="G3000" i="18"/>
  <c r="G3001" i="18"/>
  <c r="G3002" i="18"/>
  <c r="G3003" i="18"/>
  <c r="G3004" i="18"/>
  <c r="G3005" i="18"/>
  <c r="G3006" i="18"/>
  <c r="G3007" i="18"/>
  <c r="G3008" i="18"/>
  <c r="G3009" i="18"/>
  <c r="G3010" i="18"/>
  <c r="G3011" i="18"/>
  <c r="G3012" i="18"/>
  <c r="G3013" i="18"/>
  <c r="G3014" i="18"/>
  <c r="G3015" i="18"/>
  <c r="G3016" i="18"/>
  <c r="G3017" i="18"/>
  <c r="G3018" i="18"/>
  <c r="G3019" i="18"/>
  <c r="G3020" i="18"/>
  <c r="G3021" i="18"/>
  <c r="G3022" i="18"/>
  <c r="G3023" i="18"/>
  <c r="G3028" i="18"/>
  <c r="G3029" i="18"/>
  <c r="G3030" i="18"/>
  <c r="G3031" i="18"/>
  <c r="G3032" i="18"/>
  <c r="G3033" i="18"/>
  <c r="G3034" i="18"/>
  <c r="G3035" i="18"/>
  <c r="G3036" i="18"/>
  <c r="G3037" i="18"/>
  <c r="G3038" i="18"/>
  <c r="G3039" i="18"/>
  <c r="G3040" i="18"/>
  <c r="G3041" i="18"/>
  <c r="G3042" i="18"/>
  <c r="G3043" i="18"/>
  <c r="G3044" i="18"/>
  <c r="G3045" i="18"/>
  <c r="G3046" i="18"/>
  <c r="G3047" i="18"/>
  <c r="G3048" i="18"/>
  <c r="G3049" i="18"/>
  <c r="G3050" i="18"/>
  <c r="G3051" i="18"/>
  <c r="G3052" i="18"/>
  <c r="G3053" i="18"/>
  <c r="G3054" i="18"/>
  <c r="G3055" i="18"/>
  <c r="G3056" i="18"/>
  <c r="G3057" i="18"/>
  <c r="G3058" i="18"/>
  <c r="G3059" i="18"/>
  <c r="G3060" i="18"/>
  <c r="G3061" i="18"/>
  <c r="G3062" i="18"/>
  <c r="G3063" i="18"/>
  <c r="G3064" i="18"/>
  <c r="G3065" i="18"/>
  <c r="G3066" i="18"/>
  <c r="G3067" i="18"/>
  <c r="G3068" i="18"/>
  <c r="G3069" i="18"/>
  <c r="G3070" i="18"/>
  <c r="G3071" i="18"/>
  <c r="G3072" i="18"/>
  <c r="G3073" i="18"/>
  <c r="G3074" i="18"/>
  <c r="G3075" i="18"/>
  <c r="G3076" i="18"/>
  <c r="G3077" i="18"/>
  <c r="G3078" i="18"/>
  <c r="G3079" i="18"/>
  <c r="G3080" i="18"/>
  <c r="G3081" i="18"/>
  <c r="G3082" i="18"/>
  <c r="G3083" i="18"/>
  <c r="G3084" i="18"/>
  <c r="G3085" i="18"/>
  <c r="G3086" i="18"/>
  <c r="G3087" i="18"/>
  <c r="G3088" i="18"/>
  <c r="G3089" i="18"/>
  <c r="G3090" i="18"/>
  <c r="G3091" i="18"/>
  <c r="G3092" i="18"/>
  <c r="G3093" i="18"/>
  <c r="G3094" i="18"/>
  <c r="G3095" i="18"/>
  <c r="G3096" i="18"/>
  <c r="G3097" i="18"/>
  <c r="G3098" i="18"/>
  <c r="G3099" i="18"/>
  <c r="G3100" i="18"/>
  <c r="G3101" i="18"/>
  <c r="G3102" i="18"/>
  <c r="G3103" i="18"/>
  <c r="G3104" i="18"/>
  <c r="G3105" i="18"/>
  <c r="G3106" i="18"/>
  <c r="G3107" i="18"/>
  <c r="G3121" i="18"/>
  <c r="G3122" i="18"/>
  <c r="G3123" i="18"/>
  <c r="G3124" i="18"/>
  <c r="G3407" i="18"/>
  <c r="G3408" i="18"/>
  <c r="G3409" i="18"/>
  <c r="G3410" i="18"/>
  <c r="G3411" i="18"/>
  <c r="G3412" i="18"/>
  <c r="G3413" i="18"/>
  <c r="G3414" i="18"/>
  <c r="G3415" i="18"/>
  <c r="G3416" i="18"/>
  <c r="G3417" i="18"/>
  <c r="G3418" i="18"/>
  <c r="G3419" i="18"/>
  <c r="G3420" i="18"/>
  <c r="G3421" i="18"/>
  <c r="G3422" i="18"/>
  <c r="G3423" i="18"/>
  <c r="G3424" i="18"/>
  <c r="G3425" i="18"/>
  <c r="G3426" i="18"/>
  <c r="G3427" i="18"/>
  <c r="G3428" i="18"/>
  <c r="G3429" i="18"/>
  <c r="G3430" i="18"/>
  <c r="G3431" i="18"/>
  <c r="G3432" i="18"/>
  <c r="G3433" i="18"/>
  <c r="G3434" i="18"/>
  <c r="G3435" i="18"/>
  <c r="G3436" i="18"/>
  <c r="G3437" i="18"/>
  <c r="G3438" i="18"/>
  <c r="G3439" i="18"/>
  <c r="G3440" i="18"/>
  <c r="G3441" i="18"/>
  <c r="G3442" i="18"/>
  <c r="G3443" i="18"/>
  <c r="G3444" i="18"/>
  <c r="G3445" i="18"/>
  <c r="G3446" i="18"/>
  <c r="G3447" i="18"/>
  <c r="G3448" i="18"/>
  <c r="G3449" i="18"/>
  <c r="G3450" i="18"/>
  <c r="G3451" i="18"/>
  <c r="G3452" i="18"/>
  <c r="G3453" i="18"/>
  <c r="G3454" i="18"/>
  <c r="G3455" i="18"/>
  <c r="G3456" i="18"/>
  <c r="G3457" i="18"/>
  <c r="G3458" i="18"/>
  <c r="G3459" i="18"/>
  <c r="G3460" i="18"/>
  <c r="G3461" i="18"/>
  <c r="G3462" i="18"/>
  <c r="G3463" i="18"/>
  <c r="G3464" i="18"/>
  <c r="G3465" i="18"/>
  <c r="G3466" i="18"/>
  <c r="G3467" i="18"/>
  <c r="G3468" i="18"/>
  <c r="G3469" i="18"/>
  <c r="G3470" i="18"/>
  <c r="G3471" i="18"/>
  <c r="G3472" i="18"/>
  <c r="G3473" i="18"/>
  <c r="G3474" i="18"/>
  <c r="G3475" i="18"/>
  <c r="G3476" i="18"/>
  <c r="G3477" i="18"/>
  <c r="G3478" i="18"/>
  <c r="G3479" i="18"/>
  <c r="G3480" i="18"/>
  <c r="G3481" i="18"/>
  <c r="G3482" i="18"/>
  <c r="G3483" i="18"/>
  <c r="G3484" i="18"/>
  <c r="G3485" i="18"/>
  <c r="G3486" i="18"/>
  <c r="G3487" i="18"/>
  <c r="G3488" i="18"/>
  <c r="G3489" i="18"/>
  <c r="G3490" i="18"/>
  <c r="G3491" i="18"/>
  <c r="G3492" i="18"/>
  <c r="G3493" i="18"/>
  <c r="G3494" i="18"/>
  <c r="G3495" i="18"/>
  <c r="G3496" i="18"/>
  <c r="G3497" i="18"/>
  <c r="G3498" i="18"/>
  <c r="G3499" i="18"/>
  <c r="G3500" i="18"/>
  <c r="G3501" i="18"/>
  <c r="G3502" i="18"/>
  <c r="G3503" i="18"/>
  <c r="G3504" i="18"/>
  <c r="G3505" i="18"/>
  <c r="G3506" i="18"/>
  <c r="G3507" i="18"/>
  <c r="G3508" i="18"/>
  <c r="G3509" i="18"/>
  <c r="G3510" i="18"/>
  <c r="G3511" i="18"/>
  <c r="G3512" i="18"/>
  <c r="G3513" i="18"/>
  <c r="G3514" i="18"/>
  <c r="G3515" i="18"/>
  <c r="G3516" i="18"/>
  <c r="G3517" i="18"/>
  <c r="G3518" i="18"/>
  <c r="G3519" i="18"/>
  <c r="G3520" i="18"/>
  <c r="G3521" i="18"/>
  <c r="G3522" i="18"/>
  <c r="G3523" i="18"/>
  <c r="G3524" i="18"/>
  <c r="G3525" i="18"/>
  <c r="G3526" i="18"/>
  <c r="G3527" i="18"/>
  <c r="G3528" i="18"/>
  <c r="G3529" i="18"/>
  <c r="G3530" i="18"/>
  <c r="G3531" i="18"/>
  <c r="G3532" i="18"/>
  <c r="G3533" i="18"/>
  <c r="G3534" i="18"/>
  <c r="G3535" i="18"/>
  <c r="G3536" i="18"/>
  <c r="G3537" i="18"/>
  <c r="G3538" i="18"/>
  <c r="G3539" i="18"/>
  <c r="G3540" i="18"/>
  <c r="G3541" i="18"/>
  <c r="G3542" i="18"/>
  <c r="G3543" i="18"/>
  <c r="G3544" i="18"/>
  <c r="G3545" i="18"/>
  <c r="G3546" i="18"/>
  <c r="G3547" i="18"/>
  <c r="G3548" i="18"/>
  <c r="G3549" i="18"/>
  <c r="G3550" i="18"/>
  <c r="G3551" i="18"/>
  <c r="G3552" i="18"/>
  <c r="G3553" i="18"/>
  <c r="G3554" i="18"/>
  <c r="G3555" i="18"/>
  <c r="G3556" i="18"/>
  <c r="G3557" i="18"/>
  <c r="G3558" i="18"/>
  <c r="G3559" i="18"/>
  <c r="G3560" i="18"/>
  <c r="G3561" i="18"/>
  <c r="G3562" i="18"/>
  <c r="G3563" i="18"/>
  <c r="G3564" i="18"/>
  <c r="G3565" i="18"/>
  <c r="G3566" i="18"/>
  <c r="G3567" i="18"/>
  <c r="G3568" i="18"/>
  <c r="G3569" i="18"/>
  <c r="G3570" i="18"/>
  <c r="G3571" i="18"/>
  <c r="G3572" i="18"/>
  <c r="G3573" i="18"/>
  <c r="G3574" i="18"/>
  <c r="G3575" i="18"/>
  <c r="G3576" i="18"/>
  <c r="G3580" i="18"/>
  <c r="G3581" i="18"/>
  <c r="G3582" i="18"/>
  <c r="G3583" i="18"/>
  <c r="G3584" i="18"/>
  <c r="G3585" i="18"/>
  <c r="G3586" i="18"/>
  <c r="G3587" i="18"/>
  <c r="G3588" i="18"/>
  <c r="G3589" i="18"/>
  <c r="G3590" i="18"/>
  <c r="G3591" i="18"/>
  <c r="G3592" i="18"/>
  <c r="G3593" i="18"/>
  <c r="G3594" i="18"/>
  <c r="G3595" i="18"/>
  <c r="G3596" i="18"/>
  <c r="G3597" i="18"/>
  <c r="G3598" i="18"/>
  <c r="G3599" i="18"/>
  <c r="G3600" i="18"/>
  <c r="G3601" i="18"/>
  <c r="G3602" i="18"/>
  <c r="G3603" i="18"/>
  <c r="G3604" i="18"/>
  <c r="G3605" i="18"/>
  <c r="G3606" i="18"/>
  <c r="G3607" i="18"/>
  <c r="G3608" i="18"/>
  <c r="G3609" i="18"/>
  <c r="G3610" i="18"/>
  <c r="G3611" i="18"/>
  <c r="G3612" i="18"/>
  <c r="G3613" i="18"/>
  <c r="G3614" i="18"/>
  <c r="G3615" i="18"/>
  <c r="G3616" i="18"/>
  <c r="G3617" i="18"/>
  <c r="G3618" i="18"/>
  <c r="G3619" i="18"/>
  <c r="G3620" i="18"/>
  <c r="G3621" i="18"/>
  <c r="G3622" i="18"/>
  <c r="G3623" i="18"/>
  <c r="G3624" i="18"/>
  <c r="G3625" i="18"/>
  <c r="G3626" i="18"/>
  <c r="G3627" i="18"/>
  <c r="G3628" i="18"/>
  <c r="G3629" i="18"/>
  <c r="G3630" i="18"/>
  <c r="G3631" i="18"/>
  <c r="G3632" i="18"/>
  <c r="G3633" i="18"/>
  <c r="G3634" i="18"/>
  <c r="G3635" i="18"/>
  <c r="G3636" i="18"/>
  <c r="F3662" i="18"/>
  <c r="F3663" i="18"/>
  <c r="F3664" i="18"/>
  <c r="F3665" i="18"/>
  <c r="F3666" i="18"/>
  <c r="F3667" i="18"/>
  <c r="F3668" i="18"/>
  <c r="F3669" i="18"/>
  <c r="F3670" i="18"/>
  <c r="F3671" i="18"/>
  <c r="F3672" i="18"/>
  <c r="F3673" i="18"/>
  <c r="F3674" i="18"/>
  <c r="F3675" i="18"/>
  <c r="F3676" i="18"/>
  <c r="F3677" i="18"/>
  <c r="F3678" i="18"/>
  <c r="F3679" i="18"/>
  <c r="F3722" i="18"/>
  <c r="F3723" i="18"/>
  <c r="F3724" i="18"/>
  <c r="F3725" i="18"/>
  <c r="F3726" i="18"/>
  <c r="F3727" i="18"/>
  <c r="F3728" i="18"/>
  <c r="F3729" i="18"/>
  <c r="F3730" i="18"/>
  <c r="F3731" i="18"/>
  <c r="F3732" i="18"/>
  <c r="F3733" i="18"/>
  <c r="F3734" i="18"/>
  <c r="F3735" i="18"/>
  <c r="F3736" i="18"/>
  <c r="F3737" i="18"/>
  <c r="F3738" i="18"/>
  <c r="F3739" i="18"/>
  <c r="F3740" i="18"/>
  <c r="F3741" i="18"/>
  <c r="F3742" i="18"/>
  <c r="F3743" i="18"/>
  <c r="F3744" i="18"/>
  <c r="F3745" i="18"/>
  <c r="F3746" i="18"/>
  <c r="F3747" i="18"/>
  <c r="F3748" i="18"/>
  <c r="F3749" i="18"/>
  <c r="F33" i="18"/>
  <c r="F34" i="18"/>
  <c r="F35" i="18"/>
  <c r="F36" i="18"/>
  <c r="F37" i="18"/>
  <c r="F69" i="18"/>
  <c r="F70" i="18"/>
  <c r="F71" i="18"/>
  <c r="F72" i="18"/>
  <c r="F73" i="18"/>
  <c r="F74" i="18"/>
  <c r="F75" i="18"/>
  <c r="F76" i="18"/>
  <c r="F77" i="18"/>
  <c r="F78" i="18"/>
  <c r="F79" i="18"/>
  <c r="F80" i="18"/>
  <c r="F81" i="18"/>
  <c r="F82" i="18"/>
  <c r="F83" i="18"/>
  <c r="F84" i="18"/>
  <c r="F85" i="18"/>
  <c r="F86" i="18"/>
  <c r="F87" i="18"/>
  <c r="F88" i="18"/>
  <c r="F89" i="18"/>
  <c r="F90" i="18"/>
  <c r="F91" i="18"/>
  <c r="F92" i="18"/>
  <c r="F93" i="18"/>
  <c r="F94" i="18"/>
  <c r="F95" i="18"/>
  <c r="F96" i="18"/>
  <c r="F97" i="18"/>
  <c r="F98" i="18"/>
  <c r="F99" i="18"/>
  <c r="F100" i="18"/>
  <c r="F101" i="18"/>
  <c r="F102" i="18"/>
  <c r="F103" i="18"/>
  <c r="F104" i="18"/>
  <c r="F105" i="18"/>
  <c r="F106" i="18"/>
  <c r="F107" i="18"/>
  <c r="F108" i="18"/>
  <c r="F109" i="18"/>
  <c r="F110" i="18"/>
  <c r="F111" i="18"/>
  <c r="F112" i="18"/>
  <c r="F113" i="18"/>
  <c r="F114" i="18"/>
  <c r="F115" i="18"/>
  <c r="F116" i="18"/>
  <c r="F117" i="18"/>
  <c r="F118" i="18"/>
  <c r="F119" i="18"/>
  <c r="F120" i="18"/>
  <c r="F152" i="18"/>
  <c r="F153" i="18"/>
  <c r="F154" i="18"/>
  <c r="F155" i="18"/>
  <c r="F156" i="18"/>
  <c r="F157" i="18"/>
  <c r="F158" i="18"/>
  <c r="F159" i="18"/>
  <c r="F160" i="18"/>
  <c r="F161" i="18"/>
  <c r="F162" i="18"/>
  <c r="F163" i="18"/>
  <c r="F164" i="18"/>
  <c r="F165" i="18"/>
  <c r="F166" i="18"/>
  <c r="F167" i="18"/>
  <c r="F168" i="18"/>
  <c r="F169" i="18"/>
  <c r="F170" i="18"/>
  <c r="F171" i="18"/>
  <c r="F172" i="18"/>
  <c r="F173" i="18"/>
  <c r="F174" i="18"/>
  <c r="F175" i="18"/>
  <c r="F517" i="18"/>
  <c r="F518" i="18"/>
  <c r="F550" i="18"/>
  <c r="F551" i="18"/>
  <c r="F583" i="18"/>
  <c r="F584" i="18"/>
  <c r="F616" i="18"/>
  <c r="F617" i="18"/>
  <c r="F680" i="18"/>
  <c r="F681" i="18"/>
  <c r="F2327" i="18"/>
  <c r="F2328" i="18"/>
  <c r="F2329" i="18"/>
  <c r="F2330" i="18"/>
  <c r="F2331" i="18"/>
  <c r="F2332" i="18"/>
  <c r="F2333" i="18"/>
  <c r="F2334" i="18"/>
  <c r="F2335" i="18"/>
  <c r="F2336" i="18"/>
  <c r="F2337" i="18"/>
  <c r="F2656" i="18"/>
  <c r="F2657" i="18"/>
  <c r="F2741" i="18"/>
  <c r="F2742" i="18"/>
  <c r="F2743" i="18"/>
  <c r="F3116" i="18"/>
  <c r="F3117" i="18"/>
  <c r="F3118" i="18"/>
  <c r="F3119" i="18"/>
  <c r="F3120" i="18"/>
  <c r="F3125" i="18"/>
  <c r="F3126" i="18"/>
  <c r="F3127" i="18"/>
  <c r="F3128" i="18"/>
  <c r="F3129" i="18"/>
  <c r="F3130" i="18"/>
  <c r="F3131" i="18"/>
  <c r="F3132" i="18"/>
  <c r="F3133" i="18"/>
  <c r="F3134" i="18"/>
  <c r="F3135" i="18"/>
  <c r="F3136" i="18"/>
  <c r="F3137" i="18"/>
  <c r="F3138" i="18"/>
  <c r="F3139" i="18"/>
  <c r="F3140" i="18"/>
  <c r="F3141" i="18"/>
  <c r="F3142" i="18"/>
  <c r="F3143" i="18"/>
  <c r="F3144" i="18"/>
  <c r="F3145" i="18"/>
  <c r="F3146" i="18"/>
  <c r="F3147" i="18"/>
  <c r="F3148" i="18"/>
  <c r="F3149" i="18"/>
  <c r="F3150" i="18"/>
  <c r="F3151" i="18"/>
  <c r="F3152" i="18"/>
  <c r="F3153" i="18"/>
  <c r="F3154" i="18"/>
  <c r="F3155" i="18"/>
  <c r="F3156" i="18"/>
  <c r="F3157" i="18"/>
  <c r="F3158" i="18"/>
  <c r="F3159" i="18"/>
  <c r="F3160" i="18"/>
  <c r="F3161" i="18"/>
  <c r="F3162" i="18"/>
  <c r="F3163" i="18"/>
  <c r="F3164" i="18"/>
  <c r="F3165" i="18"/>
  <c r="F3166" i="18"/>
  <c r="F3167" i="18"/>
  <c r="F3168" i="18"/>
  <c r="F3169" i="18"/>
  <c r="F3170" i="18"/>
  <c r="F3171" i="18"/>
  <c r="F3172" i="18"/>
  <c r="F3173" i="18"/>
  <c r="F3174" i="18"/>
  <c r="F3175" i="18"/>
  <c r="F3176" i="18"/>
  <c r="F3177" i="18"/>
  <c r="F3178" i="18"/>
  <c r="F3179" i="18"/>
  <c r="F3180" i="18"/>
  <c r="F3181" i="18"/>
  <c r="F3182" i="18"/>
  <c r="F3183" i="18"/>
  <c r="F3184" i="18"/>
  <c r="F3185" i="18"/>
  <c r="F3186" i="18"/>
  <c r="F3187" i="18"/>
  <c r="F3188" i="18"/>
  <c r="F3189" i="18"/>
  <c r="F3190" i="18"/>
  <c r="F3191" i="18"/>
  <c r="F3192" i="18"/>
  <c r="F3193" i="18"/>
  <c r="F3194" i="18"/>
  <c r="F3195" i="18"/>
  <c r="F3196" i="18"/>
  <c r="F3197" i="18"/>
  <c r="F3198" i="18"/>
  <c r="F3199" i="18"/>
  <c r="F3200" i="18"/>
  <c r="F3201" i="18"/>
  <c r="F3202" i="18"/>
  <c r="F3203" i="18"/>
  <c r="F3204" i="18"/>
  <c r="F3205" i="18"/>
  <c r="F3206" i="18"/>
  <c r="F3207" i="18"/>
  <c r="F2937" i="18"/>
  <c r="F2938" i="18"/>
  <c r="F2939" i="18"/>
  <c r="F2940" i="18"/>
  <c r="F2941" i="18"/>
  <c r="F2942" i="18"/>
  <c r="F2943" i="18"/>
  <c r="F2944" i="18"/>
  <c r="F2945" i="18"/>
  <c r="F2946" i="18"/>
  <c r="F2951" i="18"/>
  <c r="F2952" i="18"/>
  <c r="F2953" i="18"/>
  <c r="F2954" i="18"/>
  <c r="F3577" i="18"/>
  <c r="F3578" i="18"/>
  <c r="F3680" i="18"/>
  <c r="F3681" i="18"/>
  <c r="F3682" i="18"/>
  <c r="F3683" i="18"/>
  <c r="F3684" i="18"/>
  <c r="F3685" i="18"/>
  <c r="F3686" i="18"/>
  <c r="F3687" i="18"/>
  <c r="F3688" i="18"/>
  <c r="F3689" i="18"/>
  <c r="F3690" i="18"/>
  <c r="F3691" i="18"/>
  <c r="F3692" i="18"/>
  <c r="F3693" i="18"/>
  <c r="F3694" i="18"/>
  <c r="F3695" i="18"/>
  <c r="F3696" i="18"/>
  <c r="F3697" i="18"/>
  <c r="F3698" i="18"/>
  <c r="F3699" i="18"/>
  <c r="F3700" i="18"/>
  <c r="F3701" i="18"/>
  <c r="F3702" i="18"/>
  <c r="F3703" i="18"/>
  <c r="F3704" i="18"/>
  <c r="F3705" i="18"/>
  <c r="F3706" i="18"/>
  <c r="F3707" i="18"/>
  <c r="F3708" i="18"/>
  <c r="F3709" i="18"/>
  <c r="F3710" i="18"/>
  <c r="F3711" i="18"/>
  <c r="F3712" i="18"/>
  <c r="F3713" i="18"/>
  <c r="F3714" i="18"/>
  <c r="F3715" i="18"/>
  <c r="F3716" i="18"/>
  <c r="F3717" i="18"/>
  <c r="F3718" i="18"/>
  <c r="F3719" i="18"/>
  <c r="F3720" i="18"/>
  <c r="F3721" i="18"/>
  <c r="F3579" i="18"/>
  <c r="F3637" i="18"/>
  <c r="F3638" i="18"/>
  <c r="F3639" i="18"/>
  <c r="F3640" i="18"/>
  <c r="F3641" i="18"/>
  <c r="F3642" i="18"/>
  <c r="F3643" i="18"/>
  <c r="F3644" i="18"/>
  <c r="F3645" i="18"/>
  <c r="F3646" i="18"/>
  <c r="F3647" i="18"/>
  <c r="F3648" i="18"/>
  <c r="F3649" i="18"/>
  <c r="F3650" i="18"/>
  <c r="F3651" i="18"/>
  <c r="F3652" i="18"/>
  <c r="F3653" i="18"/>
  <c r="F3654" i="18"/>
  <c r="F3655" i="18"/>
  <c r="F3656" i="18"/>
  <c r="F3657" i="18"/>
  <c r="F3658" i="18"/>
  <c r="F3659" i="18"/>
  <c r="F3660" i="18"/>
  <c r="F3661" i="18"/>
  <c r="F2928" i="18"/>
  <c r="F2929" i="18"/>
  <c r="F2930" i="18"/>
  <c r="F2931" i="18"/>
  <c r="F2932" i="18"/>
  <c r="F2933" i="18"/>
  <c r="F2934" i="18"/>
  <c r="F2935" i="18"/>
  <c r="F2936" i="18"/>
  <c r="F2947" i="18"/>
  <c r="F2948" i="18"/>
  <c r="F2949" i="18"/>
  <c r="F2950" i="18"/>
  <c r="F2955" i="18"/>
  <c r="F2956" i="18"/>
  <c r="F2957" i="18"/>
  <c r="F2958" i="18"/>
  <c r="F2959" i="18"/>
  <c r="F2960" i="18"/>
  <c r="F2961" i="18"/>
  <c r="F2962" i="18"/>
  <c r="F2963" i="18"/>
  <c r="F2964" i="18"/>
  <c r="F2965" i="18"/>
  <c r="F2966" i="18"/>
  <c r="F2967" i="18"/>
  <c r="F2968" i="18"/>
  <c r="F2969" i="18"/>
  <c r="F2970" i="18"/>
  <c r="F2971" i="18"/>
  <c r="F2972" i="18"/>
  <c r="F2973" i="18"/>
  <c r="F2974" i="18"/>
  <c r="F2975" i="18"/>
  <c r="F2976" i="18"/>
  <c r="F2977" i="18"/>
  <c r="F2978" i="18"/>
  <c r="F2979" i="18"/>
  <c r="F2980" i="18"/>
  <c r="F2981" i="18"/>
  <c r="F2982" i="18"/>
  <c r="F2983" i="18"/>
  <c r="F2984" i="18"/>
  <c r="F2985" i="18"/>
  <c r="F2986" i="18"/>
  <c r="F2987" i="18"/>
  <c r="F2992" i="18"/>
  <c r="F2993" i="18"/>
  <c r="F2994" i="18"/>
  <c r="F2995" i="18"/>
  <c r="F3000" i="18"/>
  <c r="F3001" i="18"/>
  <c r="F3002" i="18"/>
  <c r="F3003" i="18"/>
  <c r="F3004" i="18"/>
  <c r="F3005" i="18"/>
  <c r="F3006" i="18"/>
  <c r="F3007" i="18"/>
  <c r="F3008" i="18"/>
  <c r="F3009" i="18"/>
  <c r="F3010" i="18"/>
  <c r="F3011" i="18"/>
  <c r="F3012" i="18"/>
  <c r="F3013" i="18"/>
  <c r="F3014" i="18"/>
  <c r="F3015" i="18"/>
  <c r="F3016" i="18"/>
  <c r="F3017" i="18"/>
  <c r="F3018" i="18"/>
  <c r="F3019" i="18"/>
  <c r="F3020" i="18"/>
  <c r="F3021" i="18"/>
  <c r="F3022" i="18"/>
  <c r="F3023" i="18"/>
  <c r="F3028" i="18"/>
  <c r="F3029" i="18"/>
  <c r="F3030" i="18"/>
  <c r="F3031" i="18"/>
  <c r="F3032" i="18"/>
  <c r="F3033" i="18"/>
  <c r="F3034" i="18"/>
  <c r="F3035" i="18"/>
  <c r="F3036" i="18"/>
  <c r="F3037" i="18"/>
  <c r="F3038" i="18"/>
  <c r="F3039" i="18"/>
  <c r="F3040" i="18"/>
  <c r="F3041" i="18"/>
  <c r="F3042" i="18"/>
  <c r="F3043" i="18"/>
  <c r="F3044" i="18"/>
  <c r="F3045" i="18"/>
  <c r="F3046" i="18"/>
  <c r="F3047" i="18"/>
  <c r="F3048" i="18"/>
  <c r="F3049" i="18"/>
  <c r="F3050" i="18"/>
  <c r="F3051" i="18"/>
  <c r="F3052" i="18"/>
  <c r="F3053" i="18"/>
  <c r="F3054" i="18"/>
  <c r="F3055" i="18"/>
  <c r="F3056" i="18"/>
  <c r="F3057" i="18"/>
  <c r="F3058" i="18"/>
  <c r="F3059" i="18"/>
  <c r="F3060" i="18"/>
  <c r="F3061" i="18"/>
  <c r="F3062" i="18"/>
  <c r="F3063" i="18"/>
  <c r="F3064" i="18"/>
  <c r="F3065" i="18"/>
  <c r="F3066" i="18"/>
  <c r="F3067" i="18"/>
  <c r="F3068" i="18"/>
  <c r="F3069" i="18"/>
  <c r="F3070" i="18"/>
  <c r="F3071" i="18"/>
  <c r="F3072" i="18"/>
  <c r="F3073" i="18"/>
  <c r="F3074" i="18"/>
  <c r="F3075" i="18"/>
  <c r="F3076" i="18"/>
  <c r="F3077" i="18"/>
  <c r="F3078" i="18"/>
  <c r="F3079" i="18"/>
  <c r="F3080" i="18"/>
  <c r="F3081" i="18"/>
  <c r="F3082" i="18"/>
  <c r="F3083" i="18"/>
  <c r="F3084" i="18"/>
  <c r="F3085" i="18"/>
  <c r="F3086" i="18"/>
  <c r="F3087" i="18"/>
  <c r="F3088" i="18"/>
  <c r="F3089" i="18"/>
  <c r="F3090" i="18"/>
  <c r="F3091" i="18"/>
  <c r="F3092" i="18"/>
  <c r="F3093" i="18"/>
  <c r="F3094" i="18"/>
  <c r="F3095" i="18"/>
  <c r="F3096" i="18"/>
  <c r="F3097" i="18"/>
  <c r="F3098" i="18"/>
  <c r="F3099" i="18"/>
  <c r="F3100" i="18"/>
  <c r="F3101" i="18"/>
  <c r="F3102" i="18"/>
  <c r="F3103" i="18"/>
  <c r="F3104" i="18"/>
  <c r="F3105" i="18"/>
  <c r="F3106" i="18"/>
  <c r="F3107" i="18"/>
  <c r="F3121" i="18"/>
  <c r="F3122" i="18"/>
  <c r="F3123" i="18"/>
  <c r="F3124" i="18"/>
  <c r="F3407" i="18"/>
  <c r="F3408" i="18"/>
  <c r="F3409" i="18"/>
  <c r="F3410" i="18"/>
  <c r="F3411" i="18"/>
  <c r="F3412" i="18"/>
  <c r="F3413" i="18"/>
  <c r="F3414" i="18"/>
  <c r="F3415" i="18"/>
  <c r="F3416" i="18"/>
  <c r="F3417" i="18"/>
  <c r="F3418" i="18"/>
  <c r="F3419" i="18"/>
  <c r="F3420" i="18"/>
  <c r="F3421" i="18"/>
  <c r="F3422" i="18"/>
  <c r="F3423" i="18"/>
  <c r="F3424" i="18"/>
  <c r="F3425" i="18"/>
  <c r="F3426" i="18"/>
  <c r="F3427" i="18"/>
  <c r="F3428" i="18"/>
  <c r="F3429" i="18"/>
  <c r="F3430" i="18"/>
  <c r="F3431" i="18"/>
  <c r="F3432" i="18"/>
  <c r="F3433" i="18"/>
  <c r="F3434" i="18"/>
  <c r="F3435" i="18"/>
  <c r="F3436" i="18"/>
  <c r="F3437" i="18"/>
  <c r="F3438" i="18"/>
  <c r="F3439" i="18"/>
  <c r="F3440" i="18"/>
  <c r="F3441" i="18"/>
  <c r="F3442" i="18"/>
  <c r="F3443" i="18"/>
  <c r="F3444" i="18"/>
  <c r="F3445" i="18"/>
  <c r="F3446" i="18"/>
  <c r="F3447" i="18"/>
  <c r="F3448" i="18"/>
  <c r="F3449" i="18"/>
  <c r="F3450" i="18"/>
  <c r="F3451" i="18"/>
  <c r="F3452" i="18"/>
  <c r="F3453" i="18"/>
  <c r="F3454" i="18"/>
  <c r="F3455" i="18"/>
  <c r="F3456" i="18"/>
  <c r="F3457" i="18"/>
  <c r="F3458" i="18"/>
  <c r="F3459" i="18"/>
  <c r="F3460" i="18"/>
  <c r="F3461" i="18"/>
  <c r="F3462" i="18"/>
  <c r="F3463" i="18"/>
  <c r="F3464" i="18"/>
  <c r="F3465" i="18"/>
  <c r="F3466" i="18"/>
  <c r="F3467" i="18"/>
  <c r="F3468" i="18"/>
  <c r="F3469" i="18"/>
  <c r="F3470" i="18"/>
  <c r="F3471" i="18"/>
  <c r="F3472" i="18"/>
  <c r="F3473" i="18"/>
  <c r="F3474" i="18"/>
  <c r="F3475" i="18"/>
  <c r="F3476" i="18"/>
  <c r="F3477" i="18"/>
  <c r="F3478" i="18"/>
  <c r="F3479" i="18"/>
  <c r="F3480" i="18"/>
  <c r="F3481" i="18"/>
  <c r="F3482" i="18"/>
  <c r="F3483" i="18"/>
  <c r="F3484" i="18"/>
  <c r="F3485" i="18"/>
  <c r="F3486" i="18"/>
  <c r="F3487" i="18"/>
  <c r="F3488" i="18"/>
  <c r="F3489" i="18"/>
  <c r="F3490" i="18"/>
  <c r="F3491" i="18"/>
  <c r="F3492" i="18"/>
  <c r="F3493" i="18"/>
  <c r="F3494" i="18"/>
  <c r="F3495" i="18"/>
  <c r="F3496" i="18"/>
  <c r="F3497" i="18"/>
  <c r="F3498" i="18"/>
  <c r="F3499" i="18"/>
  <c r="F3500" i="18"/>
  <c r="F3501" i="18"/>
  <c r="F3502" i="18"/>
  <c r="F3503" i="18"/>
  <c r="F3504" i="18"/>
  <c r="F3505" i="18"/>
  <c r="F3506" i="18"/>
  <c r="F3507" i="18"/>
  <c r="F3508" i="18"/>
  <c r="F3509" i="18"/>
  <c r="F3510" i="18"/>
  <c r="F3511" i="18"/>
  <c r="F3512" i="18"/>
  <c r="F3513" i="18"/>
  <c r="F3514" i="18"/>
  <c r="F3515" i="18"/>
  <c r="F3516" i="18"/>
  <c r="F3517" i="18"/>
  <c r="F3518" i="18"/>
  <c r="F3519" i="18"/>
  <c r="F3520" i="18"/>
  <c r="F3521" i="18"/>
  <c r="F3522" i="18"/>
  <c r="F3523" i="18"/>
  <c r="F3524" i="18"/>
  <c r="F3525" i="18"/>
  <c r="F3526" i="18"/>
  <c r="F3527" i="18"/>
  <c r="F3528" i="18"/>
  <c r="F3529" i="18"/>
  <c r="F3530" i="18"/>
  <c r="F3531" i="18"/>
  <c r="F3532" i="18"/>
  <c r="F3533" i="18"/>
  <c r="F3534" i="18"/>
  <c r="F3535" i="18"/>
  <c r="F3536" i="18"/>
  <c r="F3537" i="18"/>
  <c r="F3538" i="18"/>
  <c r="F3539" i="18"/>
  <c r="F3540" i="18"/>
  <c r="F3541" i="18"/>
  <c r="F3542" i="18"/>
  <c r="F3543" i="18"/>
  <c r="F3544" i="18"/>
  <c r="F3545" i="18"/>
  <c r="F3546" i="18"/>
  <c r="F3547" i="18"/>
  <c r="F3548" i="18"/>
  <c r="F3549" i="18"/>
  <c r="F3550" i="18"/>
  <c r="F3551" i="18"/>
  <c r="F3552" i="18"/>
  <c r="F3553" i="18"/>
  <c r="F3554" i="18"/>
  <c r="F3555" i="18"/>
  <c r="F3556" i="18"/>
  <c r="F3557" i="18"/>
  <c r="F3558" i="18"/>
  <c r="F3559" i="18"/>
  <c r="F3560" i="18"/>
  <c r="F3561" i="18"/>
  <c r="F3562" i="18"/>
  <c r="F3563" i="18"/>
  <c r="F3564" i="18"/>
  <c r="F3565" i="18"/>
  <c r="F3566" i="18"/>
  <c r="F3567" i="18"/>
  <c r="F3568" i="18"/>
  <c r="F3569" i="18"/>
  <c r="F3570" i="18"/>
  <c r="F3571" i="18"/>
  <c r="F3572" i="18"/>
  <c r="F3573" i="18"/>
  <c r="F3574" i="18"/>
  <c r="F3575" i="18"/>
  <c r="F3576" i="18"/>
  <c r="F3580" i="18"/>
  <c r="F3581" i="18"/>
  <c r="F3582" i="18"/>
  <c r="F3583" i="18"/>
  <c r="F3584" i="18"/>
  <c r="F3585" i="18"/>
  <c r="F3586" i="18"/>
  <c r="F3587" i="18"/>
  <c r="F3588" i="18"/>
  <c r="F3589" i="18"/>
  <c r="F3590" i="18"/>
  <c r="F3591" i="18"/>
  <c r="F3592" i="18"/>
  <c r="F3593" i="18"/>
  <c r="F3594" i="18"/>
  <c r="F3595" i="18"/>
  <c r="F3596" i="18"/>
  <c r="F3597" i="18"/>
  <c r="F3598" i="18"/>
  <c r="F3599" i="18"/>
  <c r="F3600" i="18"/>
  <c r="F3601" i="18"/>
  <c r="F3602" i="18"/>
  <c r="F3603" i="18"/>
  <c r="F3604" i="18"/>
  <c r="F3605" i="18"/>
  <c r="F3606" i="18"/>
  <c r="F3607" i="18"/>
  <c r="F3608" i="18"/>
  <c r="F3609" i="18"/>
  <c r="F3610" i="18"/>
  <c r="F3611" i="18"/>
  <c r="F3612" i="18"/>
  <c r="F3613" i="18"/>
  <c r="F3614" i="18"/>
  <c r="F3615" i="18"/>
  <c r="F3616" i="18"/>
  <c r="F3617" i="18"/>
  <c r="F3618" i="18"/>
  <c r="F3619" i="18"/>
  <c r="F3620" i="18"/>
  <c r="F3621" i="18"/>
  <c r="F3622" i="18"/>
  <c r="F3623" i="18"/>
  <c r="F3624" i="18"/>
  <c r="F3625" i="18"/>
  <c r="F3626" i="18"/>
  <c r="F3627" i="18"/>
  <c r="F3628" i="18"/>
  <c r="F3629" i="18"/>
  <c r="F3630" i="18"/>
  <c r="F3631" i="18"/>
  <c r="F3632" i="18"/>
  <c r="F3633" i="18"/>
  <c r="F3634" i="18"/>
  <c r="F3635" i="18"/>
  <c r="F3636" i="18"/>
  <c r="F1039" i="4"/>
  <c r="F1040" i="4"/>
  <c r="F1041" i="4"/>
  <c r="F1042" i="4"/>
  <c r="F1043" i="4"/>
  <c r="F1044" i="4"/>
  <c r="F1045" i="4"/>
  <c r="F1046" i="4"/>
  <c r="F1047" i="4"/>
  <c r="F1048" i="4"/>
  <c r="F1049" i="4"/>
  <c r="F1050" i="4"/>
  <c r="F1051" i="4"/>
  <c r="F1052" i="4"/>
  <c r="F1053" i="4"/>
  <c r="F1055" i="4"/>
  <c r="F1057" i="4"/>
  <c r="F1058" i="4"/>
  <c r="F1059" i="4"/>
  <c r="F1060" i="4"/>
  <c r="F1061" i="4"/>
  <c r="F810" i="4"/>
  <c r="F1062" i="4"/>
  <c r="F1064" i="4"/>
  <c r="F1065" i="4"/>
  <c r="F1066" i="4"/>
  <c r="F1067" i="4"/>
  <c r="F1068" i="4"/>
  <c r="F1069" i="4"/>
  <c r="F1070" i="4"/>
  <c r="F1071" i="4"/>
  <c r="F1072" i="4"/>
  <c r="F1073" i="4"/>
  <c r="F1074" i="4"/>
  <c r="F1075" i="4"/>
  <c r="F1076" i="4"/>
  <c r="F1077" i="4"/>
  <c r="F811" i="4"/>
  <c r="F812" i="4"/>
  <c r="F813" i="4"/>
  <c r="F1078" i="4"/>
  <c r="F814" i="4"/>
  <c r="F815" i="4"/>
  <c r="F1080" i="4"/>
  <c r="F1081" i="4"/>
  <c r="F818" i="4"/>
  <c r="F1082" i="4"/>
  <c r="F819" i="4"/>
  <c r="F1083" i="4"/>
  <c r="F820" i="4"/>
  <c r="F1084" i="4"/>
  <c r="F821" i="4"/>
  <c r="F1085" i="4"/>
  <c r="F822" i="4"/>
  <c r="F1086" i="4"/>
  <c r="F823" i="4"/>
  <c r="F1087" i="4"/>
  <c r="F824" i="4"/>
  <c r="F1088" i="4"/>
  <c r="F825" i="4"/>
  <c r="F1089" i="4"/>
  <c r="F826" i="4"/>
  <c r="F1090" i="4"/>
  <c r="F827" i="4"/>
  <c r="F1091" i="4"/>
  <c r="F828" i="4"/>
  <c r="F1092" i="4"/>
  <c r="F829" i="4"/>
  <c r="F1093" i="4"/>
  <c r="F830" i="4"/>
  <c r="F1094" i="4"/>
  <c r="F831" i="4"/>
  <c r="F1095" i="4"/>
  <c r="F832" i="4"/>
  <c r="F1096" i="4"/>
  <c r="F833" i="4"/>
  <c r="F1097" i="4"/>
  <c r="F834" i="4"/>
  <c r="F1098" i="4"/>
  <c r="F835" i="4"/>
  <c r="F1099" i="4"/>
  <c r="F836" i="4"/>
  <c r="F1100" i="4"/>
  <c r="F837" i="4"/>
  <c r="F1101" i="4"/>
  <c r="F838" i="4"/>
  <c r="F1102" i="4"/>
  <c r="F839" i="4"/>
  <c r="F1103" i="4"/>
  <c r="F840" i="4"/>
  <c r="F1104" i="4"/>
  <c r="F841" i="4"/>
  <c r="F1105" i="4"/>
  <c r="F842" i="4"/>
  <c r="F1106" i="4"/>
  <c r="F843" i="4"/>
  <c r="F1107" i="4"/>
  <c r="F844" i="4"/>
  <c r="F1108" i="4"/>
  <c r="F845" i="4"/>
  <c r="F1109" i="4"/>
  <c r="F846" i="4"/>
  <c r="F1110" i="4"/>
  <c r="F847" i="4"/>
  <c r="F1111" i="4"/>
  <c r="F848" i="4"/>
  <c r="F1112" i="4"/>
  <c r="F849" i="4"/>
  <c r="F1113" i="4"/>
  <c r="F850" i="4"/>
  <c r="F1114" i="4"/>
  <c r="F851" i="4"/>
  <c r="F1115" i="4"/>
  <c r="F852" i="4"/>
  <c r="F1116" i="4"/>
  <c r="F853" i="4"/>
  <c r="F1117" i="4"/>
  <c r="F854" i="4"/>
  <c r="F1118" i="4"/>
  <c r="F855" i="4"/>
  <c r="F1119" i="4"/>
  <c r="F856" i="4"/>
  <c r="F1120" i="4"/>
  <c r="F857" i="4"/>
  <c r="F1121" i="4"/>
  <c r="F858" i="4"/>
  <c r="F1122" i="4"/>
  <c r="F859" i="4"/>
  <c r="F1123" i="4"/>
  <c r="F860" i="4"/>
  <c r="F1125" i="4"/>
  <c r="F862" i="4"/>
  <c r="F1126" i="4"/>
  <c r="F863" i="4"/>
  <c r="F1124" i="4"/>
  <c r="F861" i="4"/>
  <c r="F1127" i="4"/>
  <c r="F864" i="4"/>
  <c r="F1128" i="4"/>
  <c r="F865" i="4"/>
  <c r="F1129" i="4"/>
  <c r="F866" i="4"/>
  <c r="F1130" i="4"/>
  <c r="F867" i="4"/>
  <c r="F1131" i="4"/>
  <c r="F868" i="4"/>
  <c r="F1132" i="4"/>
  <c r="F869" i="4"/>
  <c r="F1133" i="4"/>
  <c r="F870" i="4"/>
  <c r="F1134" i="4"/>
  <c r="F871" i="4"/>
  <c r="F1135" i="4"/>
  <c r="F872" i="4"/>
  <c r="F1136" i="4"/>
  <c r="F873" i="4"/>
  <c r="F1137" i="4"/>
  <c r="F874" i="4"/>
  <c r="F1138" i="4"/>
  <c r="F875" i="4"/>
  <c r="F1139" i="4"/>
  <c r="F876" i="4"/>
  <c r="F1140" i="4"/>
  <c r="F877" i="4"/>
  <c r="F1141" i="4"/>
  <c r="F878" i="4"/>
  <c r="F1142" i="4"/>
  <c r="F879" i="4"/>
  <c r="F1143" i="4"/>
  <c r="F880" i="4"/>
  <c r="F1144" i="4"/>
  <c r="F881" i="4"/>
  <c r="F1145" i="4"/>
  <c r="F882" i="4"/>
  <c r="F1146" i="4"/>
  <c r="F883" i="4"/>
  <c r="F1147" i="4"/>
  <c r="F884" i="4"/>
  <c r="F1148" i="4"/>
  <c r="F885" i="4"/>
  <c r="F1149" i="4"/>
  <c r="F886" i="4"/>
  <c r="F1150" i="4"/>
  <c r="F887" i="4"/>
  <c r="F1151" i="4"/>
  <c r="F888" i="4"/>
  <c r="F1152" i="4"/>
  <c r="F889" i="4"/>
  <c r="F1153" i="4"/>
  <c r="F890" i="4"/>
  <c r="F1154" i="4"/>
  <c r="F891" i="4"/>
  <c r="F1155" i="4"/>
  <c r="F892" i="4"/>
  <c r="F1156" i="4"/>
  <c r="F893" i="4"/>
  <c r="F1157" i="4"/>
  <c r="F894" i="4"/>
  <c r="F1158" i="4"/>
  <c r="F895" i="4"/>
  <c r="F1159" i="4"/>
  <c r="F896" i="4"/>
  <c r="F1160" i="4"/>
  <c r="F897" i="4"/>
  <c r="F1161" i="4"/>
  <c r="F898" i="4"/>
  <c r="F1162" i="4"/>
  <c r="F899" i="4"/>
  <c r="F1163" i="4"/>
  <c r="F900" i="4"/>
  <c r="F1164" i="4"/>
  <c r="F901" i="4"/>
  <c r="F1165" i="4"/>
  <c r="F902" i="4"/>
  <c r="F1166" i="4"/>
  <c r="F903" i="4"/>
  <c r="F1167" i="4"/>
  <c r="F904" i="4"/>
  <c r="F1168" i="4"/>
  <c r="F905" i="4"/>
  <c r="F1169" i="4"/>
  <c r="F906" i="4"/>
  <c r="F1170" i="4"/>
  <c r="F907" i="4"/>
  <c r="F1171" i="4"/>
  <c r="F908" i="4"/>
  <c r="F1172" i="4"/>
  <c r="F909" i="4"/>
  <c r="F1173" i="4"/>
  <c r="F910" i="4"/>
  <c r="F1174" i="4"/>
  <c r="F911" i="4"/>
  <c r="F1175" i="4"/>
  <c r="F912" i="4"/>
  <c r="F1176" i="4"/>
  <c r="F913" i="4"/>
  <c r="F1177" i="4"/>
  <c r="F914" i="4"/>
  <c r="F1178" i="4"/>
  <c r="F915" i="4"/>
  <c r="F1179" i="4"/>
  <c r="F916" i="4"/>
  <c r="F1180" i="4"/>
  <c r="F917" i="4"/>
  <c r="F1181" i="4"/>
  <c r="F918" i="4"/>
  <c r="F1182" i="4"/>
  <c r="F919" i="4"/>
  <c r="F1183" i="4"/>
  <c r="F920" i="4"/>
  <c r="F1184" i="4"/>
  <c r="F921" i="4"/>
  <c r="F1185" i="4"/>
  <c r="F922" i="4"/>
  <c r="F1186" i="4"/>
  <c r="F923" i="4"/>
  <c r="F1187" i="4"/>
  <c r="F924" i="4"/>
  <c r="F1188" i="4"/>
  <c r="F925" i="4"/>
  <c r="F1189" i="4"/>
  <c r="F926" i="4"/>
  <c r="F1190" i="4"/>
  <c r="F927" i="4"/>
  <c r="F1191" i="4"/>
  <c r="F928" i="4"/>
  <c r="F1192" i="4"/>
  <c r="F929" i="4"/>
  <c r="F1193" i="4"/>
  <c r="F930" i="4"/>
  <c r="F1194" i="4"/>
  <c r="F931" i="4"/>
  <c r="F1195" i="4"/>
  <c r="F932" i="4"/>
  <c r="F1196" i="4"/>
  <c r="F933" i="4"/>
  <c r="F1197" i="4"/>
  <c r="F934" i="4"/>
  <c r="F1198" i="4"/>
  <c r="F935" i="4"/>
  <c r="F1199" i="4"/>
  <c r="F936" i="4"/>
  <c r="F1200" i="4"/>
  <c r="F937" i="4"/>
  <c r="F1201" i="4"/>
  <c r="F938" i="4"/>
  <c r="F1202" i="4"/>
  <c r="F939" i="4"/>
  <c r="F1203" i="4"/>
  <c r="F940" i="4"/>
  <c r="F1204" i="4"/>
  <c r="F941" i="4"/>
  <c r="F1205" i="4"/>
  <c r="F942" i="4"/>
  <c r="F1206" i="4"/>
  <c r="F943" i="4"/>
  <c r="F1207" i="4"/>
  <c r="F944" i="4"/>
  <c r="F1208" i="4"/>
  <c r="F945" i="4"/>
  <c r="F1209" i="4"/>
  <c r="F946" i="4"/>
  <c r="F1210" i="4"/>
  <c r="F947" i="4"/>
  <c r="F1211" i="4"/>
  <c r="F948" i="4"/>
  <c r="F1212" i="4"/>
  <c r="F949" i="4"/>
  <c r="F1213" i="4"/>
  <c r="F950" i="4"/>
  <c r="F1214" i="4"/>
  <c r="F951" i="4"/>
  <c r="F1215" i="4"/>
  <c r="F952" i="4"/>
  <c r="F1216" i="4"/>
  <c r="F953" i="4"/>
  <c r="F1217" i="4"/>
  <c r="F954" i="4"/>
  <c r="F1218" i="4"/>
  <c r="F955" i="4"/>
  <c r="F1219" i="4"/>
  <c r="F956" i="4"/>
  <c r="F1220" i="4"/>
  <c r="F957" i="4"/>
  <c r="F1221" i="4"/>
  <c r="F958" i="4"/>
  <c r="F1222" i="4"/>
  <c r="F959" i="4"/>
  <c r="F1223" i="4"/>
  <c r="F960" i="4"/>
  <c r="F1224" i="4"/>
  <c r="F961" i="4"/>
  <c r="F1225" i="4"/>
  <c r="F962" i="4"/>
  <c r="F1226" i="4"/>
  <c r="F963" i="4"/>
  <c r="F1227" i="4"/>
  <c r="F964" i="4"/>
  <c r="F1228" i="4"/>
  <c r="F965" i="4"/>
  <c r="F1229" i="4"/>
  <c r="F966" i="4"/>
  <c r="F1230" i="4"/>
  <c r="F967" i="4"/>
  <c r="F1231" i="4"/>
  <c r="F968" i="4"/>
  <c r="F1232" i="4"/>
  <c r="F969" i="4"/>
  <c r="F1233" i="4"/>
  <c r="F970" i="4"/>
  <c r="F1234" i="4"/>
  <c r="F971" i="4"/>
  <c r="F1235" i="4"/>
  <c r="F972" i="4"/>
  <c r="F1236" i="4"/>
  <c r="F973" i="4"/>
  <c r="F1237" i="4"/>
  <c r="F974" i="4"/>
  <c r="F1238" i="4"/>
  <c r="F975" i="4"/>
  <c r="F1239" i="4"/>
  <c r="F976" i="4"/>
  <c r="F1240" i="4"/>
  <c r="F977" i="4"/>
  <c r="F1241" i="4"/>
  <c r="F978" i="4"/>
  <c r="F1242" i="4"/>
  <c r="F979" i="4"/>
  <c r="F1243" i="4"/>
  <c r="F980" i="4"/>
  <c r="F1244" i="4"/>
  <c r="F981" i="4"/>
  <c r="F1245" i="4"/>
  <c r="F982" i="4"/>
  <c r="F1246" i="4"/>
  <c r="F983" i="4"/>
  <c r="F1247" i="4"/>
  <c r="F984" i="4"/>
  <c r="F1248" i="4"/>
  <c r="F985" i="4"/>
  <c r="F1249" i="4"/>
  <c r="F986" i="4"/>
  <c r="F1250" i="4"/>
  <c r="F987" i="4"/>
  <c r="F1252" i="4"/>
  <c r="F989" i="4"/>
  <c r="F1253" i="4"/>
  <c r="F990" i="4"/>
  <c r="F1254" i="4"/>
  <c r="F991" i="4"/>
  <c r="F1255" i="4"/>
  <c r="F992" i="4"/>
  <c r="F1256" i="4"/>
  <c r="F993" i="4"/>
  <c r="F1257" i="4"/>
  <c r="F994" i="4"/>
  <c r="F1258" i="4"/>
  <c r="F995" i="4"/>
  <c r="F1259" i="4"/>
  <c r="F996" i="4"/>
  <c r="F1260" i="4"/>
  <c r="F997" i="4"/>
  <c r="F1261" i="4"/>
  <c r="F998" i="4"/>
  <c r="F1262" i="4"/>
  <c r="F999" i="4"/>
  <c r="F1263" i="4"/>
  <c r="F1000" i="4"/>
  <c r="F1264" i="4"/>
  <c r="F1001" i="4"/>
  <c r="F1265" i="4"/>
  <c r="F1002" i="4"/>
  <c r="F1266" i="4"/>
  <c r="F1003" i="4"/>
  <c r="F1267" i="4"/>
  <c r="F1004" i="4"/>
  <c r="F1268" i="4"/>
  <c r="F1005" i="4"/>
  <c r="F1269" i="4"/>
  <c r="F1006" i="4"/>
  <c r="F1270" i="4"/>
  <c r="F1007" i="4"/>
  <c r="F1271" i="4"/>
  <c r="F1008" i="4"/>
  <c r="F1272" i="4"/>
  <c r="F1009" i="4"/>
  <c r="F1273" i="4"/>
  <c r="F1010" i="4"/>
  <c r="F1274" i="4"/>
  <c r="F1011" i="4"/>
  <c r="F1275" i="4"/>
  <c r="F1012" i="4"/>
  <c r="F1251" i="4"/>
  <c r="F988" i="4"/>
  <c r="F1276" i="4"/>
  <c r="F1013" i="4"/>
  <c r="F1277" i="4"/>
  <c r="F1014" i="4"/>
  <c r="F1278" i="4"/>
  <c r="F1015" i="4"/>
  <c r="F1279" i="4"/>
  <c r="F1016" i="4"/>
  <c r="F1280" i="4"/>
  <c r="F1017" i="4"/>
  <c r="F1281" i="4"/>
  <c r="F1018" i="4"/>
  <c r="F1282" i="4"/>
  <c r="F1019" i="4"/>
  <c r="F1283" i="4"/>
  <c r="F1020" i="4"/>
  <c r="F1284" i="4"/>
  <c r="F1021" i="4"/>
  <c r="F1285" i="4"/>
  <c r="F1022" i="4"/>
  <c r="F1286" i="4"/>
  <c r="F1023" i="4"/>
  <c r="F1287" i="4"/>
  <c r="F1024" i="4"/>
  <c r="F1288" i="4"/>
  <c r="F1025" i="4"/>
  <c r="F1289" i="4"/>
  <c r="F1026" i="4"/>
  <c r="F1290" i="4"/>
  <c r="F1027" i="4"/>
  <c r="F1291" i="4"/>
  <c r="F1028" i="4"/>
  <c r="F1292" i="4"/>
  <c r="F1029" i="4"/>
  <c r="F1293" i="4"/>
  <c r="F1030" i="4"/>
  <c r="F1031" i="4"/>
  <c r="F1294" i="4"/>
  <c r="F181" i="4"/>
  <c r="F264" i="4"/>
  <c r="F247" i="4"/>
  <c r="F334" i="4"/>
  <c r="F312" i="4"/>
  <c r="F566" i="4"/>
  <c r="F261" i="4"/>
  <c r="F568" i="4"/>
  <c r="F1315" i="4"/>
  <c r="F298" i="4"/>
  <c r="F582" i="4"/>
  <c r="F275" i="4"/>
  <c r="F1322" i="4"/>
  <c r="F586" i="4"/>
  <c r="F553" i="4"/>
  <c r="F6" i="4"/>
  <c r="F1385" i="4"/>
  <c r="F570" i="4"/>
  <c r="F154" i="4"/>
  <c r="F182" i="4"/>
  <c r="F1323" i="4"/>
  <c r="F1295" i="4"/>
  <c r="F587" i="4"/>
  <c r="F588" i="4"/>
  <c r="F589" i="4"/>
  <c r="F590" i="4"/>
  <c r="F591" i="4"/>
  <c r="F1386" i="4"/>
  <c r="F1296" i="4"/>
  <c r="F1387" i="4"/>
  <c r="F1297" i="4"/>
  <c r="F592" i="4"/>
  <c r="F1298" i="4"/>
  <c r="F1388" i="4"/>
  <c r="F1299" i="4"/>
  <c r="F1389" i="4"/>
  <c r="F1300" i="4"/>
  <c r="F1390" i="4"/>
  <c r="F1301" i="4"/>
  <c r="F593" i="4"/>
  <c r="F594" i="4"/>
  <c r="F595" i="4"/>
  <c r="F596" i="4"/>
  <c r="F597" i="4"/>
  <c r="F598" i="4"/>
  <c r="F599" i="4"/>
  <c r="F600" i="4"/>
  <c r="F601" i="4"/>
  <c r="F602" i="4"/>
  <c r="F603" i="4"/>
  <c r="F604" i="4"/>
  <c r="F605" i="4"/>
  <c r="F335" i="4"/>
  <c r="F606" i="4"/>
  <c r="F1391" i="4"/>
  <c r="F1302" i="4"/>
  <c r="F607" i="4"/>
  <c r="F1303" i="4"/>
  <c r="F183" i="4"/>
  <c r="F265" i="4"/>
  <c r="F3" i="4"/>
  <c r="F248" i="4"/>
  <c r="F263" i="4"/>
  <c r="F249" i="4"/>
  <c r="F336" i="4"/>
  <c r="F552" i="4"/>
  <c r="F556" i="4"/>
  <c r="F551" i="4"/>
  <c r="F2" i="4"/>
  <c r="F809" i="4"/>
  <c r="F313" i="4"/>
  <c r="F585" i="4"/>
  <c r="F567" i="4"/>
  <c r="F274" i="4"/>
  <c r="F180" i="4"/>
  <c r="F246" i="4"/>
  <c r="F262" i="4"/>
  <c r="F569" i="4"/>
  <c r="F1650" i="4"/>
  <c r="F1654" i="4"/>
  <c r="F244" i="4"/>
  <c r="F5" i="4"/>
  <c r="F550" i="4"/>
  <c r="F310" i="4"/>
  <c r="F311" i="4"/>
  <c r="F1316" i="4"/>
  <c r="F1655" i="4"/>
  <c r="F1037" i="4"/>
  <c r="F299" i="4"/>
  <c r="F583" i="4"/>
  <c r="F276" i="4"/>
  <c r="F250" i="4"/>
  <c r="F273" i="4"/>
  <c r="F555" i="4"/>
  <c r="F1324" i="4"/>
  <c r="F608" i="4"/>
  <c r="F1649" i="4"/>
  <c r="F554" i="4"/>
  <c r="F4" i="4"/>
  <c r="F7" i="4"/>
  <c r="F1365" i="4"/>
  <c r="F1392" i="4"/>
  <c r="F1379" i="4"/>
  <c r="F571" i="4"/>
  <c r="F1376" i="4"/>
  <c r="F155" i="4"/>
  <c r="F1032" i="4"/>
  <c r="F1304" i="4"/>
  <c r="F609" i="4"/>
  <c r="F1305" i="4"/>
  <c r="F337" i="4"/>
  <c r="F1325" i="4"/>
  <c r="F610" i="4"/>
  <c r="F184" i="4"/>
  <c r="F266" i="4"/>
  <c r="F338" i="4"/>
  <c r="F314" i="4"/>
  <c r="F1038" i="4"/>
  <c r="F300" i="4"/>
  <c r="F277" i="4"/>
  <c r="F611" i="4"/>
  <c r="F8" i="4"/>
  <c r="F1393" i="4"/>
  <c r="F156" i="4"/>
  <c r="F1033" i="4"/>
  <c r="F1306" i="4"/>
  <c r="F612" i="4"/>
  <c r="F1307" i="4"/>
  <c r="F185" i="4"/>
  <c r="F245" i="4"/>
  <c r="F613" i="4"/>
  <c r="F1394" i="4"/>
  <c r="F1034" i="4"/>
  <c r="F1308" i="4"/>
  <c r="F614" i="4"/>
  <c r="F1395" i="4"/>
  <c r="F1035" i="4"/>
  <c r="F1309" i="4"/>
  <c r="F267" i="4"/>
  <c r="F615" i="4"/>
  <c r="F1396" i="4"/>
  <c r="F616" i="4"/>
  <c r="F617" i="4"/>
  <c r="F618" i="4"/>
  <c r="F1310" i="4"/>
  <c r="F619" i="4"/>
  <c r="F620" i="4"/>
  <c r="F621" i="4"/>
  <c r="F622" i="4"/>
  <c r="F623" i="4"/>
  <c r="F1311" i="4"/>
  <c r="F624" i="4"/>
  <c r="F625" i="4"/>
  <c r="F626" i="4"/>
  <c r="F1312" i="4"/>
  <c r="F627" i="4"/>
  <c r="F628" i="4"/>
  <c r="F629" i="4"/>
  <c r="F1397" i="4"/>
  <c r="F1313" i="4"/>
  <c r="F630" i="4"/>
  <c r="F631" i="4"/>
  <c r="F632" i="4"/>
  <c r="F633" i="4"/>
  <c r="F186" i="4"/>
  <c r="F1326" i="4"/>
  <c r="F634" i="4"/>
  <c r="F1398" i="4"/>
  <c r="F1036" i="4"/>
  <c r="F1314" i="4"/>
  <c r="F635" i="4"/>
  <c r="F636" i="4"/>
  <c r="F637" i="4"/>
  <c r="F339" i="4"/>
  <c r="F340" i="4"/>
  <c r="F557" i="4"/>
  <c r="F638" i="4"/>
  <c r="F639" i="4"/>
  <c r="F341" i="4"/>
  <c r="F1399" i="4"/>
  <c r="F1400" i="4"/>
  <c r="F1401" i="4"/>
  <c r="F9" i="4"/>
  <c r="F640" i="4"/>
  <c r="F342" i="4"/>
  <c r="F1651" i="4"/>
  <c r="F1402" i="4"/>
  <c r="F641" i="4"/>
  <c r="F10" i="4"/>
  <c r="F1403" i="4"/>
  <c r="F11" i="4"/>
  <c r="F343" i="4"/>
  <c r="F344" i="4"/>
  <c r="F268" i="4"/>
  <c r="F12" i="4"/>
  <c r="F269" i="4"/>
  <c r="F13" i="4"/>
  <c r="F1404" i="4"/>
  <c r="F1405" i="4"/>
  <c r="F1406" i="4"/>
  <c r="F345" i="4"/>
  <c r="F346" i="4"/>
  <c r="F1327" i="4"/>
  <c r="F642" i="4"/>
  <c r="F347" i="4"/>
  <c r="F348" i="4"/>
  <c r="F270" i="4"/>
  <c r="F349" i="4"/>
  <c r="F1407" i="4"/>
  <c r="F1408" i="4"/>
  <c r="F1409" i="4"/>
  <c r="F350" i="4"/>
  <c r="F643" i="4"/>
  <c r="F351" i="4"/>
  <c r="F352" i="4"/>
  <c r="F644" i="4"/>
  <c r="F14" i="4"/>
  <c r="F1328" i="4"/>
  <c r="F1410" i="4"/>
  <c r="F1411" i="4"/>
  <c r="F645" i="4"/>
  <c r="F1412" i="4"/>
  <c r="F15" i="4"/>
  <c r="F315" i="4"/>
  <c r="F278" i="4"/>
  <c r="F279" i="4"/>
  <c r="F353" i="4"/>
  <c r="F646" i="4"/>
  <c r="F647" i="4"/>
  <c r="F1413" i="4"/>
  <c r="F648" i="4"/>
  <c r="F649" i="4"/>
  <c r="F16" i="4"/>
  <c r="F1414" i="4"/>
  <c r="F650" i="4"/>
  <c r="F354" i="4"/>
  <c r="F651" i="4"/>
  <c r="F355" i="4"/>
  <c r="F356" i="4"/>
  <c r="F558" i="4"/>
  <c r="F1656" i="4"/>
  <c r="F301" i="4"/>
  <c r="F652" i="4"/>
  <c r="F653" i="4"/>
  <c r="F654" i="4"/>
  <c r="F187" i="4"/>
  <c r="F1329" i="4"/>
  <c r="F655" i="4"/>
  <c r="F559" i="4"/>
  <c r="F656" i="4"/>
  <c r="F560" i="4"/>
  <c r="F1652" i="4"/>
  <c r="F1317" i="4"/>
  <c r="F657" i="4"/>
  <c r="F561" i="4"/>
  <c r="F658" i="4"/>
  <c r="F659" i="4"/>
  <c r="F660" i="4"/>
  <c r="F302" i="4"/>
  <c r="F661" i="4"/>
  <c r="F662" i="4"/>
  <c r="F663" i="4"/>
  <c r="F188" i="4"/>
  <c r="F1330" i="4"/>
  <c r="F664" i="4"/>
  <c r="F665" i="4"/>
  <c r="F666" i="4"/>
  <c r="F667" i="4"/>
  <c r="F668" i="4"/>
  <c r="F669" i="4"/>
  <c r="F157" i="4"/>
  <c r="F158" i="4"/>
  <c r="F159" i="4"/>
  <c r="F189" i="4"/>
  <c r="F1331" i="4"/>
  <c r="F160" i="4"/>
  <c r="F161" i="4"/>
  <c r="F162" i="4"/>
  <c r="F163" i="4"/>
  <c r="F164" i="4"/>
  <c r="F165" i="4"/>
  <c r="F670" i="4"/>
  <c r="F671" i="4"/>
  <c r="F672" i="4"/>
  <c r="F190" i="4"/>
  <c r="F1332" i="4"/>
  <c r="F673" i="4"/>
  <c r="F1416" i="4"/>
  <c r="F674" i="4"/>
  <c r="F675" i="4"/>
  <c r="F676" i="4"/>
  <c r="F677" i="4"/>
  <c r="F678" i="4"/>
  <c r="F303" i="4"/>
  <c r="F251" i="4"/>
  <c r="F252" i="4"/>
  <c r="F253" i="4"/>
  <c r="F191" i="4"/>
  <c r="F254" i="4"/>
  <c r="F1333" i="4"/>
  <c r="F255" i="4"/>
  <c r="F1318" i="4"/>
  <c r="F256" i="4"/>
  <c r="F257" i="4"/>
  <c r="F258" i="4"/>
  <c r="F259" i="4"/>
  <c r="F1366" i="4"/>
  <c r="F1380" i="4"/>
  <c r="F572" i="4"/>
  <c r="F1367" i="4"/>
  <c r="F1368" i="4"/>
  <c r="F192" i="4"/>
  <c r="F1334" i="4"/>
  <c r="F1369" i="4"/>
  <c r="F1370" i="4"/>
  <c r="F1371" i="4"/>
  <c r="F1372" i="4"/>
  <c r="F1373" i="4"/>
  <c r="F1417" i="4"/>
  <c r="F1418" i="4"/>
  <c r="F1419" i="4"/>
  <c r="F193" i="4"/>
  <c r="F1335" i="4"/>
  <c r="F1420" i="4"/>
  <c r="F1421" i="4"/>
  <c r="F1422" i="4"/>
  <c r="F1423" i="4"/>
  <c r="F1424" i="4"/>
  <c r="F1425" i="4"/>
  <c r="F304" i="4"/>
  <c r="F260" i="4"/>
  <c r="F679" i="4"/>
  <c r="F573" i="4"/>
  <c r="F574" i="4"/>
  <c r="F575" i="4"/>
  <c r="F194" i="4"/>
  <c r="F1336" i="4"/>
  <c r="F576" i="4"/>
  <c r="F577" i="4"/>
  <c r="F578" i="4"/>
  <c r="F579" i="4"/>
  <c r="F580" i="4"/>
  <c r="F581" i="4"/>
  <c r="F1426" i="4"/>
  <c r="F1427" i="4"/>
  <c r="F1428" i="4"/>
  <c r="F195" i="4"/>
  <c r="F1337" i="4"/>
  <c r="F1429" i="4"/>
  <c r="F1430" i="4"/>
  <c r="F1431" i="4"/>
  <c r="F1432" i="4"/>
  <c r="F1433" i="4"/>
  <c r="F1434" i="4"/>
  <c r="F357" i="4"/>
  <c r="F1374" i="4"/>
  <c r="F1381" i="4"/>
  <c r="F358" i="4"/>
  <c r="F359" i="4"/>
  <c r="F196" i="4"/>
  <c r="F1338" i="4"/>
  <c r="F360" i="4"/>
  <c r="F361" i="4"/>
  <c r="F362" i="4"/>
  <c r="F562" i="4"/>
  <c r="F363" i="4"/>
  <c r="F364" i="4"/>
  <c r="F1319" i="4"/>
  <c r="F305" i="4"/>
  <c r="F680" i="4"/>
  <c r="F681" i="4"/>
  <c r="F682" i="4"/>
  <c r="F197" i="4"/>
  <c r="F1339" i="4"/>
  <c r="F683" i="4"/>
  <c r="F684" i="4"/>
  <c r="F685" i="4"/>
  <c r="F563" i="4"/>
  <c r="F686" i="4"/>
  <c r="F687" i="4"/>
  <c r="F564" i="4"/>
  <c r="F688" i="4"/>
  <c r="F365" i="4"/>
  <c r="F1382" i="4"/>
  <c r="F1377" i="4"/>
  <c r="F366" i="4"/>
  <c r="F367" i="4"/>
  <c r="F198" i="4"/>
  <c r="F368" i="4"/>
  <c r="F1340" i="4"/>
  <c r="F369" i="4"/>
  <c r="F370" i="4"/>
  <c r="F371" i="4"/>
  <c r="F565" i="4"/>
  <c r="F1384" i="4"/>
  <c r="F372" i="4"/>
  <c r="F373" i="4"/>
  <c r="F374" i="4"/>
  <c r="F1375" i="4"/>
  <c r="F1435" i="4"/>
  <c r="F1383" i="4"/>
  <c r="F375" i="4"/>
  <c r="F376" i="4"/>
  <c r="F199" i="4"/>
  <c r="F377" i="4"/>
  <c r="F1341" i="4"/>
  <c r="F378" i="4"/>
  <c r="F379" i="4"/>
  <c r="F380" i="4"/>
  <c r="F381" i="4"/>
  <c r="F382" i="4"/>
  <c r="F383" i="4"/>
  <c r="F584" i="4"/>
  <c r="F17" i="4"/>
  <c r="F18" i="4"/>
  <c r="F19" i="4"/>
  <c r="F200" i="4"/>
  <c r="F1342" i="4"/>
  <c r="F20" i="4"/>
  <c r="F21" i="4"/>
  <c r="F22" i="4"/>
  <c r="F23" i="4"/>
  <c r="F24" i="4"/>
  <c r="F25" i="4"/>
  <c r="F384" i="4"/>
  <c r="F689" i="4"/>
  <c r="F385" i="4"/>
  <c r="F386" i="4"/>
  <c r="F201" i="4"/>
  <c r="F387" i="4"/>
  <c r="F1343" i="4"/>
  <c r="F388" i="4"/>
  <c r="F389" i="4"/>
  <c r="F390" i="4"/>
  <c r="F391" i="4"/>
  <c r="F392" i="4"/>
  <c r="F1436" i="4"/>
  <c r="F1378" i="4"/>
  <c r="F1437" i="4"/>
  <c r="F1438" i="4"/>
  <c r="F202" i="4"/>
  <c r="F1344" i="4"/>
  <c r="F1439" i="4"/>
  <c r="F1440" i="4"/>
  <c r="F1441" i="4"/>
  <c r="F1442" i="4"/>
  <c r="F1443" i="4"/>
  <c r="F1444" i="4"/>
  <c r="F1445" i="4"/>
  <c r="F1446" i="4"/>
  <c r="F1447" i="4"/>
  <c r="F203" i="4"/>
  <c r="F1345" i="4"/>
  <c r="F1448" i="4"/>
  <c r="F1449" i="4"/>
  <c r="F1320" i="4"/>
  <c r="F1450" i="4"/>
  <c r="F1451" i="4"/>
  <c r="F1452" i="4"/>
  <c r="F1453" i="4"/>
  <c r="F690" i="4"/>
  <c r="F691" i="4"/>
  <c r="F692" i="4"/>
  <c r="F204" i="4"/>
  <c r="F1346" i="4"/>
  <c r="F693" i="4"/>
  <c r="F694" i="4"/>
  <c r="F695" i="4"/>
  <c r="F696" i="4"/>
  <c r="F697" i="4"/>
  <c r="F698" i="4"/>
  <c r="F699" i="4"/>
  <c r="F1454" i="4"/>
  <c r="F1455" i="4"/>
  <c r="F1456" i="4"/>
  <c r="F205" i="4"/>
  <c r="F1347" i="4"/>
  <c r="F1457" i="4"/>
  <c r="F1458" i="4"/>
  <c r="F1321" i="4"/>
  <c r="F1459" i="4"/>
  <c r="F1460" i="4"/>
  <c r="F1461" i="4"/>
  <c r="F1462" i="4"/>
  <c r="F26" i="4"/>
  <c r="F166" i="4"/>
  <c r="F167" i="4"/>
  <c r="F168" i="4"/>
  <c r="F206" i="4"/>
  <c r="F1348" i="4"/>
  <c r="F27" i="4"/>
  <c r="F169" i="4"/>
  <c r="F170" i="4"/>
  <c r="F171" i="4"/>
  <c r="F172" i="4"/>
  <c r="F173" i="4"/>
  <c r="F174" i="4"/>
  <c r="F393" i="4"/>
  <c r="F1653" i="4"/>
  <c r="F700" i="4"/>
  <c r="F394" i="4"/>
  <c r="F395" i="4"/>
  <c r="F207" i="4"/>
  <c r="F396" i="4"/>
  <c r="F1349" i="4"/>
  <c r="F397" i="4"/>
  <c r="F398" i="4"/>
  <c r="F399" i="4"/>
  <c r="F400" i="4"/>
  <c r="F401" i="4"/>
  <c r="F306" i="4"/>
  <c r="F701" i="4"/>
  <c r="F702" i="4"/>
  <c r="F703" i="4"/>
  <c r="F208" i="4"/>
  <c r="F1350" i="4"/>
  <c r="F704" i="4"/>
  <c r="F705" i="4"/>
  <c r="F706" i="4"/>
  <c r="F707" i="4"/>
  <c r="F708" i="4"/>
  <c r="F709" i="4"/>
  <c r="F402" i="4"/>
  <c r="F1463" i="4"/>
  <c r="F403" i="4"/>
  <c r="F404" i="4"/>
  <c r="F209" i="4"/>
  <c r="F405" i="4"/>
  <c r="F1351" i="4"/>
  <c r="F406" i="4"/>
  <c r="F271" i="4"/>
  <c r="F407" i="4"/>
  <c r="F408" i="4"/>
  <c r="F409" i="4"/>
  <c r="F410" i="4"/>
  <c r="F411" i="4"/>
  <c r="F28" i="4"/>
  <c r="F1464" i="4"/>
  <c r="F175" i="4"/>
  <c r="F29" i="4"/>
  <c r="F30" i="4"/>
  <c r="F210" i="4"/>
  <c r="F1352" i="4"/>
  <c r="F31" i="4"/>
  <c r="F32" i="4"/>
  <c r="F33" i="4"/>
  <c r="F34" i="4"/>
  <c r="F176" i="4"/>
  <c r="F35" i="4"/>
  <c r="F36" i="4"/>
  <c r="F37" i="4"/>
  <c r="F38" i="4"/>
  <c r="F39" i="4"/>
  <c r="F211" i="4"/>
  <c r="F40" i="4"/>
  <c r="F1465" i="4"/>
  <c r="F41" i="4"/>
  <c r="F42" i="4"/>
  <c r="F43" i="4"/>
  <c r="F44" i="4"/>
  <c r="F45" i="4"/>
  <c r="F307" i="4"/>
  <c r="F1466" i="4"/>
  <c r="F1467" i="4"/>
  <c r="F1468" i="4"/>
  <c r="F212" i="4"/>
  <c r="F1353" i="4"/>
  <c r="F1469" i="4"/>
  <c r="F1470" i="4"/>
  <c r="F1471" i="4"/>
  <c r="F1472" i="4"/>
  <c r="F1473" i="4"/>
  <c r="F1474" i="4"/>
  <c r="F412" i="4"/>
  <c r="F308" i="4"/>
  <c r="F1475" i="4"/>
  <c r="F1476" i="4"/>
  <c r="F1477" i="4"/>
  <c r="F213" i="4"/>
  <c r="F1354" i="4"/>
  <c r="F1478" i="4"/>
  <c r="F1479" i="4"/>
  <c r="F1480" i="4"/>
  <c r="F1481" i="4"/>
  <c r="F1482" i="4"/>
  <c r="F1483" i="4"/>
  <c r="F1484" i="4"/>
  <c r="F1485" i="4"/>
  <c r="F1486" i="4"/>
  <c r="F1487" i="4"/>
  <c r="F1488" i="4"/>
  <c r="F1489" i="4"/>
  <c r="F1490" i="4"/>
  <c r="F1491" i="4"/>
  <c r="F1492" i="4"/>
  <c r="F46" i="4"/>
  <c r="F47" i="4"/>
  <c r="F48" i="4"/>
  <c r="F214" i="4"/>
  <c r="F1355" i="4"/>
  <c r="F49" i="4"/>
  <c r="F1493" i="4"/>
  <c r="F50" i="4"/>
  <c r="F51" i="4"/>
  <c r="F52" i="4"/>
  <c r="F53" i="4"/>
  <c r="F54" i="4"/>
  <c r="F413" i="4"/>
  <c r="F55" i="4"/>
  <c r="F177" i="4"/>
  <c r="F56" i="4"/>
  <c r="F57" i="4"/>
  <c r="F215" i="4"/>
  <c r="F1356" i="4"/>
  <c r="F58" i="4"/>
  <c r="F59" i="4"/>
  <c r="F60" i="4"/>
  <c r="F61" i="4"/>
  <c r="F62" i="4"/>
  <c r="F63" i="4"/>
  <c r="F414" i="4"/>
  <c r="F415" i="4"/>
  <c r="F416" i="4"/>
  <c r="F216" i="4"/>
  <c r="F417" i="4"/>
  <c r="F1357" i="4"/>
  <c r="F418" i="4"/>
  <c r="F272" i="4"/>
  <c r="F419" i="4"/>
  <c r="F420" i="4"/>
  <c r="F421" i="4"/>
  <c r="F422" i="4"/>
  <c r="F64" i="4"/>
  <c r="F178" i="4"/>
  <c r="F65" i="4"/>
  <c r="F66" i="4"/>
  <c r="F217" i="4"/>
  <c r="F1358" i="4"/>
  <c r="F67" i="4"/>
  <c r="F68" i="4"/>
  <c r="F69" i="4"/>
  <c r="F70" i="4"/>
  <c r="F71" i="4"/>
  <c r="F72" i="4"/>
  <c r="F1494" i="4"/>
  <c r="F1495" i="4"/>
  <c r="F1496" i="4"/>
  <c r="F218" i="4"/>
  <c r="F1359" i="4"/>
  <c r="F1497" i="4"/>
  <c r="F1498" i="4"/>
  <c r="F1499" i="4"/>
  <c r="F1500" i="4"/>
  <c r="F1501" i="4"/>
  <c r="F1502" i="4"/>
  <c r="F423" i="4"/>
  <c r="F1503" i="4"/>
  <c r="F1504" i="4"/>
  <c r="F1505" i="4"/>
  <c r="F219" i="4"/>
  <c r="F1360" i="4"/>
  <c r="F1506" i="4"/>
  <c r="F1507" i="4"/>
  <c r="F1508" i="4"/>
  <c r="F1509" i="4"/>
  <c r="F1510" i="4"/>
  <c r="F1511" i="4"/>
  <c r="F424" i="4"/>
  <c r="F425" i="4"/>
  <c r="F426" i="4"/>
  <c r="F220" i="4"/>
  <c r="F427" i="4"/>
  <c r="F1361" i="4"/>
  <c r="F1512" i="4"/>
  <c r="F428" i="4"/>
  <c r="F429" i="4"/>
  <c r="F430" i="4"/>
  <c r="F431" i="4"/>
  <c r="F432" i="4"/>
  <c r="F433" i="4"/>
  <c r="F434" i="4"/>
  <c r="F435" i="4"/>
  <c r="F221" i="4"/>
  <c r="F436" i="4"/>
  <c r="F1362" i="4"/>
  <c r="F1513" i="4"/>
  <c r="F437" i="4"/>
  <c r="F438" i="4"/>
  <c r="F439" i="4"/>
  <c r="F440" i="4"/>
  <c r="F441" i="4"/>
  <c r="F442" i="4"/>
  <c r="F443" i="4"/>
  <c r="F444" i="4"/>
  <c r="F222" i="4"/>
  <c r="F445" i="4"/>
  <c r="F1514" i="4"/>
  <c r="F446" i="4"/>
  <c r="F447" i="4"/>
  <c r="F448" i="4"/>
  <c r="F449" i="4"/>
  <c r="F450" i="4"/>
  <c r="F1515" i="4"/>
  <c r="F1516" i="4"/>
  <c r="F1517" i="4"/>
  <c r="F223" i="4"/>
  <c r="F1518" i="4"/>
  <c r="F1519" i="4"/>
  <c r="F1520" i="4"/>
  <c r="F1521" i="4"/>
  <c r="F1522" i="4"/>
  <c r="F1523" i="4"/>
  <c r="F451" i="4"/>
  <c r="F452" i="4"/>
  <c r="F453" i="4"/>
  <c r="F224" i="4"/>
  <c r="F454" i="4"/>
  <c r="F1363" i="4"/>
  <c r="F455" i="4"/>
  <c r="F456" i="4"/>
  <c r="F457" i="4"/>
  <c r="F458" i="4"/>
  <c r="F459" i="4"/>
  <c r="F460" i="4"/>
  <c r="F73" i="4"/>
  <c r="F179" i="4"/>
  <c r="F74" i="4"/>
  <c r="F75" i="4"/>
  <c r="F225" i="4"/>
  <c r="F76" i="4"/>
  <c r="F77" i="4"/>
  <c r="F78" i="4"/>
  <c r="F79" i="4"/>
  <c r="F80" i="4"/>
  <c r="F81" i="4"/>
  <c r="F710" i="4"/>
  <c r="F711" i="4"/>
  <c r="F712" i="4"/>
  <c r="F226" i="4"/>
  <c r="F1364" i="4"/>
  <c r="F713" i="4"/>
  <c r="F714" i="4"/>
  <c r="F715" i="4"/>
  <c r="F716" i="4"/>
  <c r="F717" i="4"/>
  <c r="F718" i="4"/>
  <c r="F82" i="4"/>
  <c r="F83" i="4"/>
  <c r="F84" i="4"/>
  <c r="F1524" i="4"/>
  <c r="F85" i="4"/>
  <c r="F86" i="4"/>
  <c r="F87" i="4"/>
  <c r="F88" i="4"/>
  <c r="F89" i="4"/>
  <c r="F90" i="4"/>
  <c r="F1525" i="4"/>
  <c r="F1526" i="4"/>
  <c r="F1527" i="4"/>
  <c r="F1528" i="4"/>
  <c r="F1529" i="4"/>
  <c r="F1530" i="4"/>
  <c r="F1531" i="4"/>
  <c r="F1532" i="4"/>
  <c r="F1533" i="4"/>
  <c r="F91" i="4"/>
  <c r="F92" i="4"/>
  <c r="F93" i="4"/>
  <c r="F227" i="4"/>
  <c r="F94" i="4"/>
  <c r="F1534" i="4"/>
  <c r="F95" i="4"/>
  <c r="F96" i="4"/>
  <c r="F97" i="4"/>
  <c r="F98" i="4"/>
  <c r="F99" i="4"/>
  <c r="F1535" i="4"/>
  <c r="F1536" i="4"/>
  <c r="F1537" i="4"/>
  <c r="F228" i="4"/>
  <c r="F1538" i="4"/>
  <c r="F1539" i="4"/>
  <c r="F1540" i="4"/>
  <c r="F1541" i="4"/>
  <c r="F1542" i="4"/>
  <c r="F1543" i="4"/>
  <c r="F1544" i="4"/>
  <c r="F461" i="4"/>
  <c r="F462" i="4"/>
  <c r="F463" i="4"/>
  <c r="F229" i="4"/>
  <c r="F464" i="4"/>
  <c r="F1545" i="4"/>
  <c r="F465" i="4"/>
  <c r="F466" i="4"/>
  <c r="F467" i="4"/>
  <c r="F468" i="4"/>
  <c r="F469" i="4"/>
  <c r="F470" i="4"/>
  <c r="F471" i="4"/>
  <c r="F472" i="4"/>
  <c r="F1546" i="4"/>
  <c r="F473" i="4"/>
  <c r="F474" i="4"/>
  <c r="F475" i="4"/>
  <c r="F476" i="4"/>
  <c r="F477" i="4"/>
  <c r="F478" i="4"/>
  <c r="F1547" i="4"/>
  <c r="F1548" i="4"/>
  <c r="F1549" i="4"/>
  <c r="F1550" i="4"/>
  <c r="F1551" i="4"/>
  <c r="F1552" i="4"/>
  <c r="F1553" i="4"/>
  <c r="F1554" i="4"/>
  <c r="F1555" i="4"/>
  <c r="F100" i="4"/>
  <c r="F101" i="4"/>
  <c r="F102" i="4"/>
  <c r="F230" i="4"/>
  <c r="F103" i="4"/>
  <c r="F1556" i="4"/>
  <c r="F104" i="4"/>
  <c r="F105" i="4"/>
  <c r="F106" i="4"/>
  <c r="F107" i="4"/>
  <c r="F108" i="4"/>
  <c r="F719" i="4"/>
  <c r="F720" i="4"/>
  <c r="F721" i="4"/>
  <c r="F231" i="4"/>
  <c r="F722" i="4"/>
  <c r="F1557" i="4"/>
  <c r="F723" i="4"/>
  <c r="F724" i="4"/>
  <c r="F725" i="4"/>
  <c r="F726" i="4"/>
  <c r="F727" i="4"/>
  <c r="F309" i="4"/>
  <c r="F1558" i="4"/>
  <c r="F1559" i="4"/>
  <c r="F1560" i="4"/>
  <c r="F232" i="4"/>
  <c r="F1561" i="4"/>
  <c r="F1562" i="4"/>
  <c r="F1563" i="4"/>
  <c r="F1564" i="4"/>
  <c r="F1565" i="4"/>
  <c r="F1566" i="4"/>
  <c r="F1567" i="4"/>
  <c r="F1568" i="4"/>
  <c r="F1569" i="4"/>
  <c r="F233" i="4"/>
  <c r="F1570" i="4"/>
  <c r="F1571" i="4"/>
  <c r="F1572" i="4"/>
  <c r="F1573" i="4"/>
  <c r="F1574" i="4"/>
  <c r="F1575" i="4"/>
  <c r="F1576" i="4"/>
  <c r="F1577" i="4"/>
  <c r="F1578" i="4"/>
  <c r="F234" i="4"/>
  <c r="F1579" i="4"/>
  <c r="F1580" i="4"/>
  <c r="F1581" i="4"/>
  <c r="F1582" i="4"/>
  <c r="F1583" i="4"/>
  <c r="F1584" i="4"/>
  <c r="F479" i="4"/>
  <c r="F480" i="4"/>
  <c r="F481" i="4"/>
  <c r="F235" i="4"/>
  <c r="F482" i="4"/>
  <c r="F1585" i="4"/>
  <c r="F483" i="4"/>
  <c r="F484" i="4"/>
  <c r="F485" i="4"/>
  <c r="F486" i="4"/>
  <c r="F487" i="4"/>
  <c r="F728" i="4"/>
  <c r="F729" i="4"/>
  <c r="F730" i="4"/>
  <c r="F236" i="4"/>
  <c r="F731" i="4"/>
  <c r="F1586" i="4"/>
  <c r="F732" i="4"/>
  <c r="F733" i="4"/>
  <c r="F734" i="4"/>
  <c r="F735" i="4"/>
  <c r="F736" i="4"/>
  <c r="F488" i="4"/>
  <c r="F489" i="4"/>
  <c r="F490" i="4"/>
  <c r="F237" i="4"/>
  <c r="F491" i="4"/>
  <c r="F1587" i="4"/>
  <c r="F492" i="4"/>
  <c r="F493" i="4"/>
  <c r="F494" i="4"/>
  <c r="F495" i="4"/>
  <c r="F496" i="4"/>
  <c r="F497" i="4"/>
  <c r="F498" i="4"/>
  <c r="F499" i="4"/>
  <c r="F1588" i="4"/>
  <c r="F500" i="4"/>
  <c r="F501" i="4"/>
  <c r="F502" i="4"/>
  <c r="F503" i="4"/>
  <c r="F504" i="4"/>
  <c r="F505" i="4"/>
  <c r="F109" i="4"/>
  <c r="F110" i="4"/>
  <c r="F111" i="4"/>
  <c r="F1589" i="4"/>
  <c r="F112" i="4"/>
  <c r="F1590" i="4"/>
  <c r="F113" i="4"/>
  <c r="F114" i="4"/>
  <c r="F115" i="4"/>
  <c r="F116" i="4"/>
  <c r="F117" i="4"/>
  <c r="F118" i="4"/>
  <c r="F119" i="4"/>
  <c r="F120" i="4"/>
  <c r="F1591" i="4"/>
  <c r="F121" i="4"/>
  <c r="F122" i="4"/>
  <c r="F123" i="4"/>
  <c r="F124" i="4"/>
  <c r="F125" i="4"/>
  <c r="F126" i="4"/>
  <c r="F280" i="4"/>
  <c r="F281" i="4"/>
  <c r="F282" i="4"/>
  <c r="F1592" i="4"/>
  <c r="F283" i="4"/>
  <c r="F284" i="4"/>
  <c r="F285" i="4"/>
  <c r="F286" i="4"/>
  <c r="F287" i="4"/>
  <c r="F288" i="4"/>
  <c r="F127" i="4"/>
  <c r="F128" i="4"/>
  <c r="F129" i="4"/>
  <c r="F1593" i="4"/>
  <c r="F238" i="4"/>
  <c r="F130" i="4"/>
  <c r="F1594" i="4"/>
  <c r="F131" i="4"/>
  <c r="F132" i="4"/>
  <c r="F133" i="4"/>
  <c r="F134" i="4"/>
  <c r="F135" i="4"/>
  <c r="F506" i="4"/>
  <c r="F507" i="4"/>
  <c r="F508" i="4"/>
  <c r="F1595" i="4"/>
  <c r="F509" i="4"/>
  <c r="F510" i="4"/>
  <c r="F511" i="4"/>
  <c r="F512" i="4"/>
  <c r="F513" i="4"/>
  <c r="F514" i="4"/>
  <c r="F737" i="4"/>
  <c r="F738" i="4"/>
  <c r="F739" i="4"/>
  <c r="F239" i="4"/>
  <c r="F740" i="4"/>
  <c r="F1596" i="4"/>
  <c r="F741" i="4"/>
  <c r="F742" i="4"/>
  <c r="F743" i="4"/>
  <c r="F744" i="4"/>
  <c r="F745" i="4"/>
  <c r="F746" i="4"/>
  <c r="F747" i="4"/>
  <c r="F748" i="4"/>
  <c r="F1597" i="4"/>
  <c r="F749" i="4"/>
  <c r="F750" i="4"/>
  <c r="F751" i="4"/>
  <c r="F752" i="4"/>
  <c r="F753" i="4"/>
  <c r="F754" i="4"/>
  <c r="F755" i="4"/>
  <c r="F756" i="4"/>
  <c r="F757" i="4"/>
  <c r="F1598" i="4"/>
  <c r="F758" i="4"/>
  <c r="F759" i="4"/>
  <c r="F760" i="4"/>
  <c r="F761" i="4"/>
  <c r="F762" i="4"/>
  <c r="F763" i="4"/>
  <c r="F764" i="4"/>
  <c r="F765" i="4"/>
  <c r="F766" i="4"/>
  <c r="F1599" i="4"/>
  <c r="F767" i="4"/>
  <c r="F768" i="4"/>
  <c r="F769" i="4"/>
  <c r="F770" i="4"/>
  <c r="F771" i="4"/>
  <c r="F772" i="4"/>
  <c r="F773" i="4"/>
  <c r="F774" i="4"/>
  <c r="F775" i="4"/>
  <c r="F1600" i="4"/>
  <c r="F776" i="4"/>
  <c r="F777" i="4"/>
  <c r="F778" i="4"/>
  <c r="F779" i="4"/>
  <c r="F780" i="4"/>
  <c r="F781" i="4"/>
  <c r="F289" i="4"/>
  <c r="F290" i="4"/>
  <c r="F291" i="4"/>
  <c r="F240" i="4"/>
  <c r="F292" i="4"/>
  <c r="F1601" i="4"/>
  <c r="F293" i="4"/>
  <c r="F294" i="4"/>
  <c r="F295" i="4"/>
  <c r="F296" i="4"/>
  <c r="F297" i="4"/>
  <c r="F1602" i="4"/>
  <c r="F1603" i="4"/>
  <c r="F1604" i="4"/>
  <c r="F241" i="4"/>
  <c r="F1605" i="4"/>
  <c r="F1606" i="4"/>
  <c r="F1607" i="4"/>
  <c r="F1608" i="4"/>
  <c r="F1609" i="4"/>
  <c r="F1610" i="4"/>
  <c r="F136" i="4"/>
  <c r="F137" i="4"/>
  <c r="F138" i="4"/>
  <c r="F242" i="4"/>
  <c r="F1611" i="4"/>
  <c r="F139" i="4"/>
  <c r="F140" i="4"/>
  <c r="F141" i="4"/>
  <c r="F142" i="4"/>
  <c r="F143" i="4"/>
  <c r="F144" i="4"/>
  <c r="F1612" i="4"/>
  <c r="F1613" i="4"/>
  <c r="F1614" i="4"/>
  <c r="F243" i="4"/>
  <c r="F1615" i="4"/>
  <c r="F1616" i="4"/>
  <c r="F1617" i="4"/>
  <c r="F1618" i="4"/>
  <c r="F1619" i="4"/>
  <c r="F1620" i="4"/>
  <c r="F782" i="4"/>
  <c r="F783" i="4"/>
  <c r="F784" i="4"/>
  <c r="F1621" i="4"/>
  <c r="F785" i="4"/>
  <c r="F786" i="4"/>
  <c r="F787" i="4"/>
  <c r="F788" i="4"/>
  <c r="F789" i="4"/>
  <c r="F790" i="4"/>
  <c r="F316" i="4"/>
  <c r="F317" i="4"/>
  <c r="F318" i="4"/>
  <c r="F1622" i="4"/>
  <c r="F319" i="4"/>
  <c r="F320" i="4"/>
  <c r="F321" i="4"/>
  <c r="F322" i="4"/>
  <c r="F323" i="4"/>
  <c r="F324" i="4"/>
  <c r="F145" i="4"/>
  <c r="F146" i="4"/>
  <c r="F147" i="4"/>
  <c r="F1623" i="4"/>
  <c r="F148" i="4"/>
  <c r="F149" i="4"/>
  <c r="F150" i="4"/>
  <c r="F151" i="4"/>
  <c r="F152" i="4"/>
  <c r="F153" i="4"/>
  <c r="F325" i="4"/>
  <c r="F326" i="4"/>
  <c r="F327" i="4"/>
  <c r="F1624" i="4"/>
  <c r="F328" i="4"/>
  <c r="F329" i="4"/>
  <c r="F330" i="4"/>
  <c r="F331" i="4"/>
  <c r="F332" i="4"/>
  <c r="F333" i="4"/>
  <c r="F791" i="4"/>
  <c r="F792" i="4"/>
  <c r="F793" i="4"/>
  <c r="F1625" i="4"/>
  <c r="F794" i="4"/>
  <c r="F795" i="4"/>
  <c r="F796" i="4"/>
  <c r="F797" i="4"/>
  <c r="F798" i="4"/>
  <c r="F799" i="4"/>
  <c r="F515" i="4"/>
  <c r="F516" i="4"/>
  <c r="F517" i="4"/>
  <c r="F1626" i="4"/>
  <c r="F518" i="4"/>
  <c r="F519" i="4"/>
  <c r="F520" i="4"/>
  <c r="F521" i="4"/>
  <c r="F522" i="4"/>
  <c r="F523" i="4"/>
  <c r="F524" i="4"/>
  <c r="F525" i="4"/>
  <c r="F526" i="4"/>
  <c r="F1627" i="4"/>
  <c r="F527" i="4"/>
  <c r="F528" i="4"/>
  <c r="F529" i="4"/>
  <c r="F530" i="4"/>
  <c r="F531" i="4"/>
  <c r="F532" i="4"/>
  <c r="F533" i="4"/>
  <c r="F534" i="4"/>
  <c r="F535" i="4"/>
  <c r="F1628" i="4"/>
  <c r="F536" i="4"/>
  <c r="F537" i="4"/>
  <c r="F538" i="4"/>
  <c r="F539" i="4"/>
  <c r="F540" i="4"/>
  <c r="F541" i="4"/>
  <c r="F542" i="4"/>
  <c r="F543" i="4"/>
  <c r="F544" i="4"/>
  <c r="F1647" i="4"/>
  <c r="F545" i="4"/>
  <c r="F546" i="4"/>
  <c r="F547" i="4"/>
  <c r="F548" i="4"/>
  <c r="F549" i="4"/>
  <c r="F800" i="4"/>
  <c r="F801" i="4"/>
  <c r="F802" i="4"/>
  <c r="F1648" i="4"/>
  <c r="F803" i="4"/>
  <c r="F804" i="4"/>
  <c r="F805" i="4"/>
  <c r="F806" i="4"/>
  <c r="F807" i="4"/>
  <c r="F808" i="4"/>
  <c r="F1629" i="4"/>
  <c r="F1630" i="4"/>
  <c r="F1631" i="4"/>
  <c r="F1632" i="4"/>
  <c r="F1633" i="4"/>
  <c r="F1634" i="4"/>
  <c r="F1635" i="4"/>
  <c r="F1636" i="4"/>
  <c r="F1637" i="4"/>
  <c r="F1638" i="4"/>
  <c r="F1639" i="4"/>
  <c r="F1640" i="4"/>
  <c r="F1641" i="4"/>
  <c r="F1642" i="4"/>
  <c r="F1643" i="4"/>
  <c r="F1644" i="4"/>
  <c r="F1645" i="4"/>
  <c r="F1646" i="4"/>
  <c r="Z32" i="2" l="1"/>
  <c r="Z54" i="2"/>
  <c r="Z30" i="2"/>
  <c r="Z79" i="2"/>
  <c r="Z71" i="2"/>
  <c r="Z63" i="2"/>
  <c r="Z55" i="2"/>
  <c r="Z47" i="2"/>
  <c r="Z39" i="2"/>
  <c r="Z31" i="2"/>
  <c r="Z78" i="2"/>
  <c r="Z70" i="2"/>
  <c r="Z46" i="2"/>
  <c r="Z28" i="2"/>
  <c r="Z85" i="2"/>
  <c r="Z77" i="2"/>
  <c r="Z69" i="2"/>
  <c r="Z61" i="2"/>
  <c r="Z53" i="2"/>
  <c r="Z45" i="2"/>
  <c r="Z37" i="2"/>
  <c r="Z29" i="2"/>
  <c r="Z38" i="2"/>
  <c r="Z84" i="2"/>
  <c r="Z76" i="2"/>
  <c r="Z68" i="2"/>
  <c r="Z60" i="2"/>
  <c r="Z52" i="2"/>
  <c r="Z44" i="2"/>
  <c r="Z36" i="2"/>
  <c r="Z62" i="2"/>
  <c r="Z83" i="2"/>
  <c r="Z75" i="2"/>
  <c r="Z67" i="2"/>
  <c r="Z59" i="2"/>
  <c r="Z51" i="2"/>
  <c r="Z43" i="2"/>
  <c r="Z35" i="2"/>
  <c r="Z82" i="2"/>
  <c r="Z74" i="2"/>
  <c r="Z66" i="2"/>
  <c r="Z58" i="2"/>
  <c r="Z50" i="2"/>
  <c r="Z42" i="2"/>
  <c r="Z34" i="2"/>
  <c r="Z81" i="2"/>
  <c r="Z73" i="2"/>
  <c r="Z65" i="2"/>
  <c r="Z57" i="2"/>
  <c r="Z49" i="2"/>
  <c r="Z41" i="2"/>
  <c r="Z33" i="2"/>
  <c r="Z80" i="2"/>
  <c r="Z72" i="2"/>
  <c r="Z64" i="2"/>
  <c r="Z56" i="2"/>
  <c r="Z48" i="2"/>
  <c r="Z40" i="2"/>
  <c r="M90" i="2"/>
  <c r="O92" i="2" a="1"/>
  <c r="O92" i="2" s="1"/>
  <c r="L91" i="2"/>
  <c r="I91" i="2"/>
  <c r="J91" i="2"/>
  <c r="L103" i="2"/>
  <c r="L102" i="2"/>
  <c r="M91" i="2" l="1"/>
  <c r="L92" i="2"/>
  <c r="J92" i="2"/>
  <c r="I92" i="2"/>
  <c r="H92" i="2"/>
  <c r="O93" i="2" a="1"/>
  <c r="O93" i="2" s="1"/>
  <c r="M92" i="2" l="1"/>
  <c r="L93" i="2"/>
  <c r="J93" i="2"/>
  <c r="I93" i="2"/>
  <c r="H93" i="2"/>
  <c r="O94" i="2" a="1"/>
  <c r="O94" i="2" s="1"/>
  <c r="M93" i="2" l="1"/>
  <c r="J94" i="2"/>
  <c r="H94" i="2"/>
  <c r="L94" i="2"/>
  <c r="I94" i="2"/>
  <c r="O95" i="2" a="1"/>
  <c r="O95" i="2" s="1"/>
  <c r="M94" i="2" l="1"/>
  <c r="O96" i="2" a="1"/>
  <c r="O96" i="2" s="1"/>
  <c r="O97" i="2" s="1" a="1"/>
  <c r="O97" i="2" s="1"/>
  <c r="L95" i="2"/>
  <c r="J95" i="2"/>
  <c r="I95" i="2"/>
  <c r="H95" i="2"/>
  <c r="M95" i="2" l="1"/>
  <c r="I97" i="2"/>
  <c r="H97" i="2"/>
  <c r="L97" i="2"/>
  <c r="J97" i="2"/>
  <c r="I96" i="2"/>
  <c r="H96" i="2"/>
  <c r="L96" i="2"/>
  <c r="J96" i="2"/>
  <c r="O98" i="2" a="1"/>
  <c r="O98" i="2" s="1"/>
  <c r="M96" i="2" l="1"/>
  <c r="M97" i="2"/>
  <c r="L98" i="2"/>
  <c r="J98" i="2"/>
  <c r="I98" i="2"/>
  <c r="H98" i="2"/>
  <c r="O99" i="2" a="1"/>
  <c r="O99" i="2" s="1"/>
  <c r="M98" i="2" l="1"/>
  <c r="L99" i="2"/>
  <c r="J99" i="2"/>
  <c r="I99" i="2"/>
  <c r="H99" i="2"/>
  <c r="M99" i="2" l="1"/>
  <c r="M101"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aclaveria</author>
  </authors>
  <commentList>
    <comment ref="D15" authorId="0" shapeId="0" xr:uid="{3FD5D109-AE1C-4AC4-AAFB-EB1262C5C198}">
      <text>
        <r>
          <rPr>
            <sz val="7.5"/>
            <color indexed="81"/>
            <rFont val="Tahoma"/>
            <family val="2"/>
          </rPr>
          <t>Nombre de la persona que está rindiendo el fondo, la caja o está solicitando el reembolso de gastos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<sst xmlns="http://schemas.openxmlformats.org/spreadsheetml/2006/main" count="43964" uniqueCount="4311">
  <si>
    <t>N° Operación</t>
  </si>
  <si>
    <t>N° Req.</t>
  </si>
  <si>
    <t>* Uso exclusivo Control Pagos</t>
  </si>
  <si>
    <t>Tipo de rendición</t>
  </si>
  <si>
    <t>Información del responsable</t>
  </si>
  <si>
    <t>Nombre Responsable</t>
  </si>
  <si>
    <t>Rut</t>
  </si>
  <si>
    <t>Cargo</t>
  </si>
  <si>
    <t>Teléfono / Cel</t>
  </si>
  <si>
    <t>Empresa</t>
  </si>
  <si>
    <t>Fecha</t>
  </si>
  <si>
    <t>Tipo de Cuenta</t>
  </si>
  <si>
    <t>N° Cuenta</t>
  </si>
  <si>
    <t>Banco</t>
  </si>
  <si>
    <t>Información de la rendición</t>
  </si>
  <si>
    <t>Tipo de Doc.</t>
  </si>
  <si>
    <t>N° Doc</t>
  </si>
  <si>
    <t>Descripción</t>
  </si>
  <si>
    <t>Centro de Responsabilidad</t>
  </si>
  <si>
    <t>Cuenta Contable</t>
  </si>
  <si>
    <t xml:space="preserve">Partida </t>
  </si>
  <si>
    <t>Clasificación</t>
  </si>
  <si>
    <t>Monto ($)</t>
  </si>
  <si>
    <t>Total</t>
  </si>
  <si>
    <t>(-) Anticipos</t>
  </si>
  <si>
    <t>Total Boletas y Facturas</t>
  </si>
  <si>
    <t>Firma Responsable del Fondo o Caja</t>
  </si>
  <si>
    <t>Firma Aprobador</t>
  </si>
  <si>
    <t>Firma Control Pagos</t>
  </si>
  <si>
    <t>Detalle</t>
  </si>
  <si>
    <t>Resumen</t>
  </si>
  <si>
    <t>Tipo</t>
  </si>
  <si>
    <t>Cuenta</t>
  </si>
  <si>
    <t>Partida</t>
  </si>
  <si>
    <t>Monto</t>
  </si>
  <si>
    <t>Facturas</t>
  </si>
  <si>
    <t>Boletas</t>
  </si>
  <si>
    <t>Alto Oriente S.p.A.</t>
  </si>
  <si>
    <t>Barrio Bosque Inglés 3 S.p.A.</t>
  </si>
  <si>
    <t>Barrio Bosque Inglés S.p.A.</t>
  </si>
  <si>
    <t>Constructora Rahue S.p.A.</t>
  </si>
  <si>
    <t>Costa Sur S.p.A.</t>
  </si>
  <si>
    <t>Cumbres de Colón S.p.A.</t>
  </si>
  <si>
    <t>Inmobiliaria Alto Cavancha S.p.A.</t>
  </si>
  <si>
    <t>Inmobiliaria Carmen S.p.A.</t>
  </si>
  <si>
    <t>Inmobiliaria Coipue S.p.A.</t>
  </si>
  <si>
    <t>Inmobiliaria El Polo S.p.A.</t>
  </si>
  <si>
    <t>Inmobiliaria Eyzaguirre S.p.A.</t>
  </si>
  <si>
    <t>Inmobiliaria Lord Cochrane S.p.A.</t>
  </si>
  <si>
    <t>Inmobiliaria Los Leones S.p.A.</t>
  </si>
  <si>
    <t>Inmobiliaria Los Milagros S.p.A.</t>
  </si>
  <si>
    <t>Inmobiliaria Mesa de Aragón S.p.A.</t>
  </si>
  <si>
    <t>Inmobiliaria Novo S.p.A.</t>
  </si>
  <si>
    <t>Inmobiliaria San Francisco S.p.A.</t>
  </si>
  <si>
    <t>Inmobiliaria Vista Andina S.p.A.</t>
  </si>
  <si>
    <t>Inmobiliaria e Inversiones RVC S.p.A.</t>
  </si>
  <si>
    <t>Inversiones Lirima S.p.A.</t>
  </si>
  <si>
    <t>Irene Morales S.p.A.</t>
  </si>
  <si>
    <t>Monte Azul S.A</t>
  </si>
  <si>
    <t>Palmas del Sur S.p.A.</t>
  </si>
  <si>
    <t>RVC Constructora Limitada.</t>
  </si>
  <si>
    <t>RVC Inmobiliaria S.p.A.</t>
  </si>
  <si>
    <t>RVC Servicios S.p.A.</t>
  </si>
  <si>
    <t>Vista Urbana S.p.A.</t>
  </si>
  <si>
    <t>Centro no usa partida</t>
  </si>
  <si>
    <t>Obra</t>
  </si>
  <si>
    <t>Postventa</t>
  </si>
  <si>
    <t>Bodega</t>
  </si>
  <si>
    <t>Hospital de Tocopilla</t>
  </si>
  <si>
    <t>Costos Materiales de Obra</t>
  </si>
  <si>
    <t>Costos Generales de Obra</t>
  </si>
  <si>
    <t>Caja Chica</t>
  </si>
  <si>
    <t>Equipo Computacional</t>
  </si>
  <si>
    <t>Depreciación Acumulada</t>
  </si>
  <si>
    <t>Cuenta Puente Activo Fijo</t>
  </si>
  <si>
    <t>Amortización (Menos)</t>
  </si>
  <si>
    <t>Eventos Del Personal</t>
  </si>
  <si>
    <t>Distribución Remuneraciones GAV</t>
  </si>
  <si>
    <t>Tickets Restaurant y Otros Alimentación</t>
  </si>
  <si>
    <t>Otros Gastos Legales</t>
  </si>
  <si>
    <t>Gastos Viajes Y Traslados</t>
  </si>
  <si>
    <t>Gasto General Oficina</t>
  </si>
  <si>
    <t>Honorarios Por Asesorías</t>
  </si>
  <si>
    <t>Insumos Y Gastos Informáticos</t>
  </si>
  <si>
    <t>Amortización Intangibles</t>
  </si>
  <si>
    <t>Depreciación De Activos Fijos</t>
  </si>
  <si>
    <t>Gastos Legales Y Notariales OF Central</t>
  </si>
  <si>
    <t>Artic. Ofic. Fotocop.Papelería</t>
  </si>
  <si>
    <t>Gastos de Representración</t>
  </si>
  <si>
    <t>Operaciones Inmobiliarias</t>
  </si>
  <si>
    <t>Ventas</t>
  </si>
  <si>
    <t>Sueldos Base</t>
  </si>
  <si>
    <t>Gratificaciones</t>
  </si>
  <si>
    <t>Movilización</t>
  </si>
  <si>
    <t>Colación</t>
  </si>
  <si>
    <t>Otros No Imponibles</t>
  </si>
  <si>
    <t>Indemnizaciones Varias</t>
  </si>
  <si>
    <t>Leyes Sociales</t>
  </si>
  <si>
    <t>Vacaciones</t>
  </si>
  <si>
    <t>Gastos por Capacitación</t>
  </si>
  <si>
    <t>Selección De Personal</t>
  </si>
  <si>
    <t>Otros Imponibles</t>
  </si>
  <si>
    <t>Beneficios</t>
  </si>
  <si>
    <t>Bienestar</t>
  </si>
  <si>
    <t>Desarrollo</t>
  </si>
  <si>
    <t>Mant. Instal.Y Equipos Oficina</t>
  </si>
  <si>
    <t>Serv.Basic.Luz.Agua.Tel Of.C</t>
  </si>
  <si>
    <t>Gastos Serv. De Aseo</t>
  </si>
  <si>
    <t>Gastos Comunes</t>
  </si>
  <si>
    <t>Contribuciones</t>
  </si>
  <si>
    <t>SAC NORTE 1</t>
  </si>
  <si>
    <t>SAC NORTE 2</t>
  </si>
  <si>
    <t>SAC ZC1</t>
  </si>
  <si>
    <t>SAC ZC2</t>
  </si>
  <si>
    <t>ELEMENTOS DE SEGURIDAD Y HERRAMIENTAS</t>
  </si>
  <si>
    <t>SAC V REGIÓN</t>
  </si>
  <si>
    <t>VENTAS ZC1 (NO VIGENTE)</t>
  </si>
  <si>
    <t>Patentes Comerciales Y Otros</t>
  </si>
  <si>
    <t>SAC NORTE 3</t>
  </si>
  <si>
    <t>OOCC NORTE 3</t>
  </si>
  <si>
    <t>VENTAS NORTE 3</t>
  </si>
  <si>
    <t>CLIENTES ZONAL NORTE 1</t>
  </si>
  <si>
    <t>Cuenta Puente Activo Fijo Constructora</t>
  </si>
  <si>
    <t>CLIENTES ZONAL NORTE 2</t>
  </si>
  <si>
    <t>CLIENTES ZONAL NORTE 3</t>
  </si>
  <si>
    <t>CLIENTES ZONAL V REGIÓN</t>
  </si>
  <si>
    <t>CLIENTES ZONAL ZC1</t>
  </si>
  <si>
    <t>CLIENTES ZONAL ZC2</t>
  </si>
  <si>
    <t>ENTREGA NORTE 1</t>
  </si>
  <si>
    <t>Maq Y Equip Entrega y PV</t>
  </si>
  <si>
    <t>Gtos Grales Entrega y PV</t>
  </si>
  <si>
    <t>ENTREGA NORTE 2</t>
  </si>
  <si>
    <t>ENTREGA NORTE 3</t>
  </si>
  <si>
    <t>ENTREGA V REGIÓN</t>
  </si>
  <si>
    <t>ENTREGA ZC1</t>
  </si>
  <si>
    <t>ENTREGA ZC2</t>
  </si>
  <si>
    <t>POSTVENTA NORTE 1</t>
  </si>
  <si>
    <t>POSTVENTA NORTE 2</t>
  </si>
  <si>
    <t>POSTVENTA NORTE 3</t>
  </si>
  <si>
    <t>POSTVENTA V REGIÓN</t>
  </si>
  <si>
    <t>POSTVENTA ZC1</t>
  </si>
  <si>
    <t>POSTVENTA ZC2</t>
  </si>
  <si>
    <t>Inversiones</t>
  </si>
  <si>
    <t>IVA Crédito Fiscal (CR)</t>
  </si>
  <si>
    <t>Departamento Proyectos Norte</t>
  </si>
  <si>
    <t>Fondo Por Rendir</t>
  </si>
  <si>
    <t>Departamento Proyectos RM y VI Región</t>
  </si>
  <si>
    <t>Multas E Intereses</t>
  </si>
  <si>
    <t>Asesoría Informática</t>
  </si>
  <si>
    <t>Gastos comisiones bancarias</t>
  </si>
  <si>
    <t>Comisiones Bancarias</t>
  </si>
  <si>
    <t>Otros Ingresos No Operacionales</t>
  </si>
  <si>
    <t>Costos Subcontratos</t>
  </si>
  <si>
    <t>Depreciación Del Ejercicio</t>
  </si>
  <si>
    <t>Distribución Gastos Of.Central</t>
  </si>
  <si>
    <t>Aplicación Gastos Bienestar</t>
  </si>
  <si>
    <t>Gastos CBR</t>
  </si>
  <si>
    <t>Intereses Financieros</t>
  </si>
  <si>
    <t>Otros Gastos Financieros</t>
  </si>
  <si>
    <t>Impuesto Timbres Y Estampillas</t>
  </si>
  <si>
    <t>Gastos Financieros Boletas Garantía</t>
  </si>
  <si>
    <t>Otros Egresos F/Explotación</t>
  </si>
  <si>
    <t>Impto A la Renta Años Anteriores</t>
  </si>
  <si>
    <t>Facturas C/CR Por Pagar EERR</t>
  </si>
  <si>
    <t>Otros Ingresos Operacionales</t>
  </si>
  <si>
    <t>Ingreso Operacional EERR</t>
  </si>
  <si>
    <t>Utilidad Venta Activo Fijo</t>
  </si>
  <si>
    <t>Dividendos Recibidos</t>
  </si>
  <si>
    <t>Sueldo Base (Mod)</t>
  </si>
  <si>
    <t>Gratificaciones (Mod)</t>
  </si>
  <si>
    <t>Horas Extras (Mod)</t>
  </si>
  <si>
    <t>Otros Imponibles (Mod)</t>
  </si>
  <si>
    <t>Movilizacion (Mod)</t>
  </si>
  <si>
    <t>Colacion(Mod)</t>
  </si>
  <si>
    <t>Otros No Imponibles(Mod)</t>
  </si>
  <si>
    <t>Premios</t>
  </si>
  <si>
    <t>Bono educación (mod)</t>
  </si>
  <si>
    <t>Distribución Remuneraciones (MOD)</t>
  </si>
  <si>
    <t>Otros Costos Operacionales</t>
  </si>
  <si>
    <t>Costo Operacional EERR</t>
  </si>
  <si>
    <t>Horas Extras</t>
  </si>
  <si>
    <t>Publicidad Vía Publica</t>
  </si>
  <si>
    <t>Honor. Eerr Ases. Ventas</t>
  </si>
  <si>
    <t>Honor. EERR Ases. Gestión</t>
  </si>
  <si>
    <t>Menor Gav Por Asesoría</t>
  </si>
  <si>
    <t>Perdidas Vtas. Activos</t>
  </si>
  <si>
    <t>RUnid Reaj CXC Relacionadas En UF</t>
  </si>
  <si>
    <t>RUnid Reaj Deudas Bancarias UF</t>
  </si>
  <si>
    <t>RUnid Reaj Clientes Inmobiliarios UF</t>
  </si>
  <si>
    <t>Impuesto A La Renta 1A.Cat.</t>
  </si>
  <si>
    <t>Impuesto Diferido Renta</t>
  </si>
  <si>
    <t>Centro General zonal</t>
  </si>
  <si>
    <t>Gastos Legales Y Notariales Proyecto</t>
  </si>
  <si>
    <t>Otras Remuneraciones</t>
  </si>
  <si>
    <t>Donaciones</t>
  </si>
  <si>
    <t>Provisión Bonos</t>
  </si>
  <si>
    <t>Gerencia Ingeniería</t>
  </si>
  <si>
    <t>Calidad</t>
  </si>
  <si>
    <t>Depto.Estudios Terceros</t>
  </si>
  <si>
    <t>Vehículos</t>
  </si>
  <si>
    <t>Depto. Técnico</t>
  </si>
  <si>
    <t>Depto. Estudios</t>
  </si>
  <si>
    <t>Mejoramiento Técnico</t>
  </si>
  <si>
    <t>DEPTO.TÉCNICO NORTE 3</t>
  </si>
  <si>
    <t>Caso San Roque</t>
  </si>
  <si>
    <t>Super Hall</t>
  </si>
  <si>
    <t>Multifamily</t>
  </si>
  <si>
    <t>Retenciones Subcontratos</t>
  </si>
  <si>
    <t>Bienestar Obra</t>
  </si>
  <si>
    <t>Provisión Bienestar</t>
  </si>
  <si>
    <t>Proyectos No Ejecutados</t>
  </si>
  <si>
    <t>Coordinación Externa Proyecto (BIM)</t>
  </si>
  <si>
    <t>Nuevo Modelo de Comunicaciones Interna</t>
  </si>
  <si>
    <t>Programa Incentivo Margen Inmobiliaria</t>
  </si>
  <si>
    <t>Pricing</t>
  </si>
  <si>
    <t>Provisión vacaciones</t>
  </si>
  <si>
    <t>Patentes</t>
  </si>
  <si>
    <t>Bodega Central y Maquinaria</t>
  </si>
  <si>
    <t>Clientes Ventas Terceros</t>
  </si>
  <si>
    <t>Importaciones En Transito</t>
  </si>
  <si>
    <t>Maquinarias</t>
  </si>
  <si>
    <t>Equipos Livianos-Herramientas</t>
  </si>
  <si>
    <t>Arriendos Percibidos</t>
  </si>
  <si>
    <t>Costos Maquinarias y Equipos</t>
  </si>
  <si>
    <t>Arriendos Internos</t>
  </si>
  <si>
    <t>Gastos Comercio Exterior</t>
  </si>
  <si>
    <t>Bodega Central Importaciones</t>
  </si>
  <si>
    <t>GERENCIA DE CLIENTES</t>
  </si>
  <si>
    <t>Facturas por Pagar (APROBADAS)</t>
  </si>
  <si>
    <t>MARKETING</t>
  </si>
  <si>
    <t>SERVICIO AL CLIENTE</t>
  </si>
  <si>
    <t>VENTAS NORTE 1</t>
  </si>
  <si>
    <t>Honorarios Legales</t>
  </si>
  <si>
    <t>VENTAS NORTE 2</t>
  </si>
  <si>
    <t>VENTAS ZC1</t>
  </si>
  <si>
    <t>VENTAS ZC2</t>
  </si>
  <si>
    <t>VENTAS V REGIÓN</t>
  </si>
  <si>
    <t>GERENCIA INVERSIONES Y DESARROLLO</t>
  </si>
  <si>
    <t>DEPTO PROYECTOS ZONAL V REGIÓN</t>
  </si>
  <si>
    <t>DEPTO PROYECTOS ZONAL NORTE 1</t>
  </si>
  <si>
    <t>DEPTO PROYECTOS ZONAL NORTE 2</t>
  </si>
  <si>
    <t>DEPTO PROYECTOS ZONAL ZC 1</t>
  </si>
  <si>
    <t>DEPTO PROYECTOS ZONAL ZC 2</t>
  </si>
  <si>
    <t>GERENCIA OPERACIONES INMOBILIARIAS</t>
  </si>
  <si>
    <t>GERENCIA ADMINISTRACION Y FINANZAS</t>
  </si>
  <si>
    <t>CONTABILIDAD</t>
  </si>
  <si>
    <t>CONTROL GESTIÓN</t>
  </si>
  <si>
    <t>MEJORAMIENTO DE PROCESOS</t>
  </si>
  <si>
    <t>TECNOLOGÍAS DE INFORMACIÓN</t>
  </si>
  <si>
    <t>CAPITAL HUMANO</t>
  </si>
  <si>
    <t>FINANZAS</t>
  </si>
  <si>
    <t>ADMINISTRACIÓN</t>
  </si>
  <si>
    <t>OFICINA CENTRAL</t>
  </si>
  <si>
    <t>Facturas Por Cobrar</t>
  </si>
  <si>
    <t>NOTAS DE CREDITO IC</t>
  </si>
  <si>
    <t>Arriendos Oficinas</t>
  </si>
  <si>
    <t>OFICINA CENTRAL TI</t>
  </si>
  <si>
    <t>OFICINA CENTRAL CONTABILIDAD</t>
  </si>
  <si>
    <t>CONTABILIDAD GENERAL</t>
  </si>
  <si>
    <t>Asignación teletrabajo</t>
  </si>
  <si>
    <t>Facturas C/CR Por Cobrar EERR</t>
  </si>
  <si>
    <t>OFICINA CENTRAL PROCESOS</t>
  </si>
  <si>
    <t>OFICINA CENTRAL CAPITAL HUMANO</t>
  </si>
  <si>
    <t>GERENCIA GENERAL CORP</t>
  </si>
  <si>
    <t>Provision Premio</t>
  </si>
  <si>
    <t>DIRECTORIO</t>
  </si>
  <si>
    <t>GERENCIA LEGAL</t>
  </si>
  <si>
    <t>ADQUISICIONES</t>
  </si>
  <si>
    <t>SEGURIDAD</t>
  </si>
  <si>
    <t>COORDINACIÓN DE PROYECTOS</t>
  </si>
  <si>
    <t>DEPTO TÉCNICO NORTE 1</t>
  </si>
  <si>
    <t>DEPTO TÉCNICO NORTE 2</t>
  </si>
  <si>
    <t>DEPTO TÉCNICO ZC 1</t>
  </si>
  <si>
    <t>DEPTO TÉCNICO ZC 2</t>
  </si>
  <si>
    <t>DEPTO TÉCNICO V REGIÓN</t>
  </si>
  <si>
    <t>DESARROLLO</t>
  </si>
  <si>
    <t>GERENCIA CONSTRUCCIÓN</t>
  </si>
  <si>
    <t>REMODELACIÓN OFICINA CENTRAL</t>
  </si>
  <si>
    <t>REMODELACIÓN OFICINA</t>
  </si>
  <si>
    <t>COMERCIAL</t>
  </si>
  <si>
    <t>REMODELACIÓN OFICINA PISO 5</t>
  </si>
  <si>
    <t>PRODUCTIVIDAD CONSTRUCTORA</t>
  </si>
  <si>
    <t>SUB GERENCIA TÉCNICA</t>
  </si>
  <si>
    <t>CALIDAD CONSTRUCTORA</t>
  </si>
  <si>
    <t>OTROS OFICINA CENTRAL</t>
  </si>
  <si>
    <t>PLANIFICACIÓN Y CONTROL DE OBRAS</t>
  </si>
  <si>
    <t>PROYECTOS DE MEJORA</t>
  </si>
  <si>
    <t>Vista Placeres-Proyecto</t>
  </si>
  <si>
    <t>Costo Terreno</t>
  </si>
  <si>
    <t>Interés Terreno</t>
  </si>
  <si>
    <t>Comisión Corredor</t>
  </si>
  <si>
    <t>Saneamiento De Terreno</t>
  </si>
  <si>
    <t>Proyectos Y Especialidades</t>
  </si>
  <si>
    <t>Permisos Y Otros Gastos Municipales</t>
  </si>
  <si>
    <t>Estudios Y Asesorias Técnicas</t>
  </si>
  <si>
    <t>Mant. y Consum. Viv Stock</t>
  </si>
  <si>
    <t>Intereses Crédito Proyecto Otros Créditos</t>
  </si>
  <si>
    <t>Deudores por Venta Hipotecario Mutuo UF</t>
  </si>
  <si>
    <t>Deudores por Venta Subsidios Habitacional UF</t>
  </si>
  <si>
    <t>Deudores por Venta Créditos Complementarios UF</t>
  </si>
  <si>
    <t>Deudores por Venta Libreta De Ahorro UF</t>
  </si>
  <si>
    <t>Deudores por Venta Anticipo Venta UF</t>
  </si>
  <si>
    <t>Mobiliario</t>
  </si>
  <si>
    <t>Stock Oficinas</t>
  </si>
  <si>
    <t>Anticipo Ventas Clientes UF</t>
  </si>
  <si>
    <t>Reserva GOP CLP</t>
  </si>
  <si>
    <t>Devolución Clientes Inmobiliarios UF</t>
  </si>
  <si>
    <t>Devolución Clientes Inmobiliarios CLP</t>
  </si>
  <si>
    <t>Ventas Departamentos</t>
  </si>
  <si>
    <t>Arriendo Departamento</t>
  </si>
  <si>
    <t>Ingresos Desistimiento Cliente</t>
  </si>
  <si>
    <t>Costo Venta Departamentos</t>
  </si>
  <si>
    <t>Estimación Incobrables</t>
  </si>
  <si>
    <t>Publicidad Punto Venta</t>
  </si>
  <si>
    <t>Publicidad Medios Gráficos</t>
  </si>
  <si>
    <t>Publicidad Internet</t>
  </si>
  <si>
    <t>Promociones</t>
  </si>
  <si>
    <t>Publicidad Producción</t>
  </si>
  <si>
    <t>Publicidad Medios Masivos</t>
  </si>
  <si>
    <t>Publicidad De Agencia</t>
  </si>
  <si>
    <t>Estudios de Mercado</t>
  </si>
  <si>
    <t>Gastos Operacionales De Clientes</t>
  </si>
  <si>
    <t>Seguros Venta En Verde</t>
  </si>
  <si>
    <t>Aportes reembolsables (electricidad y agua)</t>
  </si>
  <si>
    <t>Coordinación e Ingeniería</t>
  </si>
  <si>
    <t>IVA CEEC Inmobiliarias</t>
  </si>
  <si>
    <t>IVA CEEC Anticipado</t>
  </si>
  <si>
    <t>Compensaciones Extraord</t>
  </si>
  <si>
    <t>Postventa Inmobiliaria</t>
  </si>
  <si>
    <t>Publicidad Ferias Y Eventos</t>
  </si>
  <si>
    <t>Provisión Gtos Post Venta</t>
  </si>
  <si>
    <t>Distribución Remuneraciones Entrega y PV</t>
  </si>
  <si>
    <t>Sub Contratos Entrega y PV</t>
  </si>
  <si>
    <t>Aplicación Provisión Post Venta</t>
  </si>
  <si>
    <t>Retenciones De Obra</t>
  </si>
  <si>
    <t>Clientes Venta Activo Fijo</t>
  </si>
  <si>
    <t>Anticipos Subcontratistas</t>
  </si>
  <si>
    <t>Créd.Contrib.Bs Raíces</t>
  </si>
  <si>
    <t>Recup.Contrib.Rol Matriz</t>
  </si>
  <si>
    <t>Ventas Estado de Pago Propios</t>
  </si>
  <si>
    <t>Otros Ingreso Zona Extrema</t>
  </si>
  <si>
    <t>Subsidio</t>
  </si>
  <si>
    <t>Aporte Bienestar</t>
  </si>
  <si>
    <t>Provisión Egresos Obras</t>
  </si>
  <si>
    <t>Intereses Boletas de Garantía Const</t>
  </si>
  <si>
    <t>Cobros Internos Oficina</t>
  </si>
  <si>
    <t>Cobros internos Bienestar</t>
  </si>
  <si>
    <t>Provisión PostVenta</t>
  </si>
  <si>
    <t>Código Cuenta Contable</t>
  </si>
  <si>
    <t>Ventas Estado de Pago Terceros</t>
  </si>
  <si>
    <t>Comisiones Bancarias (Obra)</t>
  </si>
  <si>
    <t>Gastos Comercio Exterior (Obra)</t>
  </si>
  <si>
    <t>Gastos Financieros Boletas Garantía (Obra)</t>
  </si>
  <si>
    <t>Bancos</t>
  </si>
  <si>
    <t>Documento</t>
  </si>
  <si>
    <t>BANCO DE CHILE</t>
  </si>
  <si>
    <t>Factura</t>
  </si>
  <si>
    <t>BANCO DE LA NAC. ARGENTINA</t>
  </si>
  <si>
    <t>Boleta</t>
  </si>
  <si>
    <t>BANCO SANTANDER</t>
  </si>
  <si>
    <t>Boleta de Honorarios</t>
  </si>
  <si>
    <t>BBVA</t>
  </si>
  <si>
    <t>Nota de Crédito</t>
  </si>
  <si>
    <t>BCI</t>
  </si>
  <si>
    <t>Otro</t>
  </si>
  <si>
    <t>BICE</t>
  </si>
  <si>
    <t>CORPBANCA</t>
  </si>
  <si>
    <t>COOPEUCH</t>
  </si>
  <si>
    <t>CREDICHILE</t>
  </si>
  <si>
    <t>DEL DESARROLLO</t>
  </si>
  <si>
    <t>DO BRASIL</t>
  </si>
  <si>
    <t>ESTADO</t>
  </si>
  <si>
    <t>FALABELLA</t>
  </si>
  <si>
    <t>HSBC BANK CHILE</t>
  </si>
  <si>
    <t>INTERNACIONAL</t>
  </si>
  <si>
    <t>ITAU</t>
  </si>
  <si>
    <t>PARIS</t>
  </si>
  <si>
    <t>PENTA</t>
  </si>
  <si>
    <t>RIPLEY</t>
  </si>
  <si>
    <t>SCOTIABANK</t>
  </si>
  <si>
    <t>SECURITY</t>
  </si>
  <si>
    <t>CONSORCIO</t>
  </si>
  <si>
    <t>Escrituración</t>
  </si>
  <si>
    <t>Codigo Empresa</t>
  </si>
  <si>
    <t>Nombre Empresa</t>
  </si>
  <si>
    <t>Estado</t>
  </si>
  <si>
    <t>Activo</t>
  </si>
  <si>
    <t>Concasa S.A.</t>
  </si>
  <si>
    <t>96.996.170-9</t>
  </si>
  <si>
    <t>76.954.720-7</t>
  </si>
  <si>
    <t>Argomedo Oriente S.A.</t>
  </si>
  <si>
    <t>76.139.533-5</t>
  </si>
  <si>
    <t>76.146.756-5</t>
  </si>
  <si>
    <t>76.216.628-3</t>
  </si>
  <si>
    <t>Gestión Inmobiliaria Proyección S.A.</t>
  </si>
  <si>
    <t>99.563.800-2</t>
  </si>
  <si>
    <t>Inmobiliaria Los Sacramentinos S.A.</t>
  </si>
  <si>
    <t>96.841.740-1</t>
  </si>
  <si>
    <t>Inmobiliaria Parque Sacramentinos S.A.</t>
  </si>
  <si>
    <t>76.397.870-2</t>
  </si>
  <si>
    <t>Inmobiliaria Santa Rosa S.A.</t>
  </si>
  <si>
    <t>99.592.380-7</t>
  </si>
  <si>
    <t>76.143.658-9</t>
  </si>
  <si>
    <t>76.143.664-3</t>
  </si>
  <si>
    <t>Pie Andino S.A.</t>
  </si>
  <si>
    <t>76.140.535-7</t>
  </si>
  <si>
    <t>76.152.106-3</t>
  </si>
  <si>
    <t>76.152.111-k</t>
  </si>
  <si>
    <t>76.155.134-5</t>
  </si>
  <si>
    <t>Inmobiliaria El Águila S.A.</t>
  </si>
  <si>
    <t>76.155.123-k</t>
  </si>
  <si>
    <t>76.146.748-4</t>
  </si>
  <si>
    <t>76.146.738-7</t>
  </si>
  <si>
    <t>76.165.251-6</t>
  </si>
  <si>
    <t>76.171.696-4</t>
  </si>
  <si>
    <t>Vical Gestión Inmobiliaria S.A.</t>
  </si>
  <si>
    <t>99.568.630-9</t>
  </si>
  <si>
    <t>Vicuña S.A.</t>
  </si>
  <si>
    <t>76.082.696-0</t>
  </si>
  <si>
    <t>76.106.799-0</t>
  </si>
  <si>
    <t>76.181.022-7</t>
  </si>
  <si>
    <t>76.181.047-2</t>
  </si>
  <si>
    <t>76.176.522-1</t>
  </si>
  <si>
    <t>76.181.028-6</t>
  </si>
  <si>
    <t>76.183.639-0</t>
  </si>
  <si>
    <t>76.200.762-2</t>
  </si>
  <si>
    <t>RVC Constructora S.p.A</t>
  </si>
  <si>
    <t>76.207.258-0</t>
  </si>
  <si>
    <t>76.213.104-8</t>
  </si>
  <si>
    <t>76.216.636-4</t>
  </si>
  <si>
    <t>76.238.743-3</t>
  </si>
  <si>
    <t>76.243.686-8</t>
  </si>
  <si>
    <t>76.014.318-9</t>
  </si>
  <si>
    <t>Inmobiliaria Ecuador S.A.</t>
  </si>
  <si>
    <t>76.152.118-7</t>
  </si>
  <si>
    <t>76.180.043-4</t>
  </si>
  <si>
    <t>76.183.638-2</t>
  </si>
  <si>
    <t>76.214.196-5</t>
  </si>
  <si>
    <t>RVC Ingeniería y Construcción S.A.</t>
  </si>
  <si>
    <t>78.223.950-3</t>
  </si>
  <si>
    <t>Seis y Medio Oriente S.p.A.</t>
  </si>
  <si>
    <t>76.254.804-6</t>
  </si>
  <si>
    <t>Inmobiliaria Pedro Lautaro Ferrer S.p.A.</t>
  </si>
  <si>
    <t>76.255.403-8</t>
  </si>
  <si>
    <t>Arzobispo Fuenzalida S.p.A.</t>
  </si>
  <si>
    <t>76.282.179-6</t>
  </si>
  <si>
    <t>Barrio Bosque Ingles 5 S.p.A.</t>
  </si>
  <si>
    <t>76.282.185-0</t>
  </si>
  <si>
    <t>Santiago Centro 1 S.p.A.</t>
  </si>
  <si>
    <t>76.307.761-6</t>
  </si>
  <si>
    <t>Santiago Sur 1 S.p.A.</t>
  </si>
  <si>
    <t>76.319.987-8</t>
  </si>
  <si>
    <t>Santiago Poniente 1 S.p.A.</t>
  </si>
  <si>
    <t>76.320.002-7</t>
  </si>
  <si>
    <t>Iquique 1 S.p.A</t>
  </si>
  <si>
    <t>76.335.504-7</t>
  </si>
  <si>
    <t>Santiago Centro 5 S.p.A.</t>
  </si>
  <si>
    <t>76.365.314-5</t>
  </si>
  <si>
    <t>Barrio Bosque Ingles 7 S.p.A.</t>
  </si>
  <si>
    <t>76.376.971-2</t>
  </si>
  <si>
    <t>Codigo Centro Gestion</t>
  </si>
  <si>
    <t>Nombre Centro Gestion</t>
  </si>
  <si>
    <t>Edificio Teresa Vial</t>
  </si>
  <si>
    <t>Edificio Briones Luco</t>
  </si>
  <si>
    <t>Edificio Guillermo Mann</t>
  </si>
  <si>
    <t>Edificio Coronel Souper</t>
  </si>
  <si>
    <t>Alto Mirador</t>
  </si>
  <si>
    <t>Tranquila</t>
  </si>
  <si>
    <t>Edificio Leon Prado</t>
  </si>
  <si>
    <t>Edificio Garcia Reyes</t>
  </si>
  <si>
    <t>Francisco Zelada Torre B</t>
  </si>
  <si>
    <t>Edificio La Coruña</t>
  </si>
  <si>
    <t>Santa Corina</t>
  </si>
  <si>
    <t>DS19 Gran Avenida Etapa 1 (Torre C-D)</t>
  </si>
  <si>
    <t>Edificio Vista Horizonte</t>
  </si>
  <si>
    <t>Edificio Castillo Urizar</t>
  </si>
  <si>
    <t>Edificio Lynch</t>
  </si>
  <si>
    <t>Edificio Lia Aguirre</t>
  </si>
  <si>
    <t>Alto Marañon 3</t>
  </si>
  <si>
    <t>Vicente Reyes</t>
  </si>
  <si>
    <t>Edificio Libertad</t>
  </si>
  <si>
    <t>18 de Septiembre</t>
  </si>
  <si>
    <t>Equipo en Mantención</t>
  </si>
  <si>
    <t>ADELANTO DE OBRA</t>
  </si>
  <si>
    <t>Condominio Palmas del Sur II</t>
  </si>
  <si>
    <t>Blanca Estela I Torre A y B</t>
  </si>
  <si>
    <t>Condominio Parque Del Sur Torre A</t>
  </si>
  <si>
    <t>Edificio Latorre</t>
  </si>
  <si>
    <t>El Yodo</t>
  </si>
  <si>
    <t>Blanca Estela II Torre A y B</t>
  </si>
  <si>
    <t>Estacionamientos Proyecto Mirador</t>
  </si>
  <si>
    <t>Miraflores Lote 1 Edificio 1</t>
  </si>
  <si>
    <t>Edificio Alvarez Oriente</t>
  </si>
  <si>
    <t>Miraflores Lote 2</t>
  </si>
  <si>
    <t>Edificio Liparita</t>
  </si>
  <si>
    <t>Francisco Zelada Torre A</t>
  </si>
  <si>
    <t>Carmen 1879</t>
  </si>
  <si>
    <t>Parque Marañon Torre A</t>
  </si>
  <si>
    <t>Edificio Pedro de la Barra Ltda</t>
  </si>
  <si>
    <t>Condominio Manuel Jesus Rivera 2 Ltda</t>
  </si>
  <si>
    <t>Carmen Ltda</t>
  </si>
  <si>
    <t>DS19 Gran Avenida Etapa 2 (Torre A-B)</t>
  </si>
  <si>
    <t>Manuel Jesus Rivera Lote 1 Ltda</t>
  </si>
  <si>
    <t>El Yodo Ltda</t>
  </si>
  <si>
    <t>Labbé 1172</t>
  </si>
  <si>
    <t>REMODELACIÓN OFICINA CENTRAL (NO VIGENTE)</t>
  </si>
  <si>
    <t>Entrega Cumbres del Mar</t>
  </si>
  <si>
    <t>Entrega Palmas del Sur 1</t>
  </si>
  <si>
    <t>Entrega Altos de Castilla</t>
  </si>
  <si>
    <t>Entrega Edificio Terrazas del Sol</t>
  </si>
  <si>
    <t>Entrega Edificio Bulnes Labbe</t>
  </si>
  <si>
    <t>Entrega Vista del Valle II Edificio B</t>
  </si>
  <si>
    <t>Entrega Edificio Constantino 54</t>
  </si>
  <si>
    <t>Entrega Edificio Maipu</t>
  </si>
  <si>
    <t>Entrega Edificio Recreo 250</t>
  </si>
  <si>
    <t>Entrega Alto Marañon Torre A</t>
  </si>
  <si>
    <t>Entrega Edificio Duble Almeyda 2621</t>
  </si>
  <si>
    <t>Entrega Edificio Jose Domingo Cañas 2640</t>
  </si>
  <si>
    <t>Entrega Edificio Uno Norte</t>
  </si>
  <si>
    <t>Entrega Edificio Fernandez Albano 192</t>
  </si>
  <si>
    <t>Entrega Parque Ingles</t>
  </si>
  <si>
    <t>Entrega Conde del Maule 4676</t>
  </si>
  <si>
    <t>Entrega Edificio Briones Luco</t>
  </si>
  <si>
    <t>Entrega Vista Las Palmas</t>
  </si>
  <si>
    <t>Entrega Condominio Manuel Jesus Rivera</t>
  </si>
  <si>
    <t>Entrega Edificio Guillermo Mann</t>
  </si>
  <si>
    <t>Entrega Edificio Coronel Souper</t>
  </si>
  <si>
    <t>Entrega Vista del Valle III</t>
  </si>
  <si>
    <t>Entrega Edificio Pedro Prado</t>
  </si>
  <si>
    <t>Entrega CUMBRE PLACERES</t>
  </si>
  <si>
    <t>Entrega Alto Mirador</t>
  </si>
  <si>
    <t>Entrega Parque Marañon Torre B</t>
  </si>
  <si>
    <t>Entrega Edificio Leon Prado</t>
  </si>
  <si>
    <t>Entrega Edificio Garcia Reyes</t>
  </si>
  <si>
    <t>Entrega Edificio La Coruña</t>
  </si>
  <si>
    <t>Entrega Alto Marañon Torre B</t>
  </si>
  <si>
    <t>Entrega Vista Horizonte</t>
  </si>
  <si>
    <t>Entrega Edificio Castillo Urizar</t>
  </si>
  <si>
    <t>Entrega Trinidad Ramirez</t>
  </si>
  <si>
    <t>Entrega Condominio Lago Ranco</t>
  </si>
  <si>
    <t>Entrega Edificio Lynch</t>
  </si>
  <si>
    <t>Entrega Condominio Jorge Cáceres Etapa 1</t>
  </si>
  <si>
    <t>Entrega Edificio Parque Urbano</t>
  </si>
  <si>
    <t>Entrega Edificio Lia Aguirre</t>
  </si>
  <si>
    <t>Entrega Alto Marañon 3</t>
  </si>
  <si>
    <t>Entrega Edificio Libertad</t>
  </si>
  <si>
    <t>Entrega Condominio Jorge Cáceres Etapa 2</t>
  </si>
  <si>
    <t>Entrega Condominio Palmas del Sur II</t>
  </si>
  <si>
    <t>Entrega Blanca Estela I Torre A y B</t>
  </si>
  <si>
    <t>Entrega Edificio Latorre</t>
  </si>
  <si>
    <t>Entrega Edificio Liparita</t>
  </si>
  <si>
    <t>Entrega Condominio Parque del Sur Torre A</t>
  </si>
  <si>
    <t>Postventa Oficina Central</t>
  </si>
  <si>
    <t>PV Vistamar II</t>
  </si>
  <si>
    <t>PV Placeres I</t>
  </si>
  <si>
    <t>PV Placeres II</t>
  </si>
  <si>
    <t>PV Meseta Atlántico</t>
  </si>
  <si>
    <t>PV Parque Sacramentinos I</t>
  </si>
  <si>
    <t>PV Atlanta</t>
  </si>
  <si>
    <t>PV Consul. Andes</t>
  </si>
  <si>
    <t>PV Consul. San Rafael</t>
  </si>
  <si>
    <t>PV Miramar</t>
  </si>
  <si>
    <t>PV Parque Sacramentinos II</t>
  </si>
  <si>
    <t>PV Altovistamar</t>
  </si>
  <si>
    <t>PV Edificio Colon</t>
  </si>
  <si>
    <t>PV Estac. U del P</t>
  </si>
  <si>
    <t>PV Parque Sacramentinos III</t>
  </si>
  <si>
    <t>PV Mirador Sacramentinos</t>
  </si>
  <si>
    <t>PV Sacramentinos Oriente</t>
  </si>
  <si>
    <t>PV Terra Placeres</t>
  </si>
  <si>
    <t>PV Barrio Verde Edif 1</t>
  </si>
  <si>
    <t>PV Los Castaños</t>
  </si>
  <si>
    <t>PV Hospital de Los Andes</t>
  </si>
  <si>
    <t>PV Los Olmos</t>
  </si>
  <si>
    <t>PV SSCC</t>
  </si>
  <si>
    <t>PV La Tirana</t>
  </si>
  <si>
    <t>PV Liceo Eulogio Gordo</t>
  </si>
  <si>
    <t>PV Centro Sacramentinos</t>
  </si>
  <si>
    <t>PV Hospital de Tocopilla</t>
  </si>
  <si>
    <t>PV Consistorial Ma Elena</t>
  </si>
  <si>
    <t>PV Edif Alto Placeres</t>
  </si>
  <si>
    <t>PV Consultorio Sta Anselma</t>
  </si>
  <si>
    <t>PV Consultorio Laurita Vic</t>
  </si>
  <si>
    <t>PV Edificio San Francisco</t>
  </si>
  <si>
    <t>PV Edificio Novo</t>
  </si>
  <si>
    <t>PV Proyecto Rahue</t>
  </si>
  <si>
    <t>PV Monte Azul</t>
  </si>
  <si>
    <t>PV BBI Etapa II</t>
  </si>
  <si>
    <t>PV Argomedo Oriente</t>
  </si>
  <si>
    <t>PV Edificio Andrónico Luksic UC</t>
  </si>
  <si>
    <t>PV Ecuador</t>
  </si>
  <si>
    <t>PV Alto Oriente</t>
  </si>
  <si>
    <t>PV Clínica Odontológica</t>
  </si>
  <si>
    <t>PV Hospital Traumatologico</t>
  </si>
  <si>
    <t>PV Pie Andino              </t>
  </si>
  <si>
    <t>PV Boulevard BBI</t>
  </si>
  <si>
    <t>PV Carmen 233</t>
  </si>
  <si>
    <t>PV Costa El Aguila              </t>
  </si>
  <si>
    <t>PV Vista del Valle          </t>
  </si>
  <si>
    <t>PV Club La Foresta              </t>
  </si>
  <si>
    <t>PV Liceo Bicentenario Santa Maria</t>
  </si>
  <si>
    <t>PV Cumbres del Mar</t>
  </si>
  <si>
    <t>PV Vista del Parque</t>
  </si>
  <si>
    <t>PV Los Leones</t>
  </si>
  <si>
    <t>PV Pie Andino Etapa 2</t>
  </si>
  <si>
    <t>PV Pie Andino Etapa 3</t>
  </si>
  <si>
    <t>PV Pie Andino Etapa 4</t>
  </si>
  <si>
    <t>PV Vista Oriente</t>
  </si>
  <si>
    <t>PV Vista del Valle II Edificio A</t>
  </si>
  <si>
    <t>PV Condominio Castilla Et1</t>
  </si>
  <si>
    <t>PV Mirador del Bosque II</t>
  </si>
  <si>
    <t>PV Edificio Mirador</t>
  </si>
  <si>
    <t>PV Palmas del Sur 1</t>
  </si>
  <si>
    <t>PV Pedro Lautaro Ferrer</t>
  </si>
  <si>
    <t>PV Arzobispo Fuenzalida-SA</t>
  </si>
  <si>
    <t>PV Mirador del Bosque</t>
  </si>
  <si>
    <t>PV Edificio Nuevo Centro</t>
  </si>
  <si>
    <t>PV San Francisco II</t>
  </si>
  <si>
    <t>PV Vista Andina II</t>
  </si>
  <si>
    <t>PV Edificio Parque Quinta</t>
  </si>
  <si>
    <t>PV Vista Macul</t>
  </si>
  <si>
    <t>PV Vista Azul</t>
  </si>
  <si>
    <t>PV Altos de Castilla</t>
  </si>
  <si>
    <t>PV NOVENA AVENIDA</t>
  </si>
  <si>
    <t>PV Vista Macul 2</t>
  </si>
  <si>
    <t>PV Vista Independencia</t>
  </si>
  <si>
    <t>PV Edificio Terrazas del Sol</t>
  </si>
  <si>
    <t>PV Parque Central</t>
  </si>
  <si>
    <t>PV Nuevo Ecuador</t>
  </si>
  <si>
    <t>PV Edificio Santa Elena 1282</t>
  </si>
  <si>
    <t>PV Novena Avenida 2</t>
  </si>
  <si>
    <t>PV Edificio Fuenzalida Urrejola 125</t>
  </si>
  <si>
    <t>PV Edificio Bulnes Labbe</t>
  </si>
  <si>
    <t>PV Alto Foresta</t>
  </si>
  <si>
    <t>PV Vista del Valle II Edificio B</t>
  </si>
  <si>
    <t>PV Edificio Constantino 54</t>
  </si>
  <si>
    <t>PV Edificio Maipu</t>
  </si>
  <si>
    <t>PV Edificio Recreo 250</t>
  </si>
  <si>
    <t>PV Alto Marañon Torre A</t>
  </si>
  <si>
    <t>PV Edificio Duble Almeyda 2621</t>
  </si>
  <si>
    <t>PV Edificio Jose Domingo Cañas 2640</t>
  </si>
  <si>
    <t>PV Edificio Uno Norte</t>
  </si>
  <si>
    <t>PV Edificio Fernandez Albano 192</t>
  </si>
  <si>
    <t>PV Condominio Activo</t>
  </si>
  <si>
    <t>PV Alto Cavancha</t>
  </si>
  <si>
    <t>PV Parque Ingles</t>
  </si>
  <si>
    <t>PV Conde del Maule 4676</t>
  </si>
  <si>
    <t>PV Edificio Alto Foresta 2</t>
  </si>
  <si>
    <t>PV Edificio Briones Luco</t>
  </si>
  <si>
    <t>PV Vista Las Palmas</t>
  </si>
  <si>
    <t>PV Condominio Manuel Jesus Rivera</t>
  </si>
  <si>
    <t>PV Edificio Guillermo Mann</t>
  </si>
  <si>
    <t>PV Edificio Coronel Souper</t>
  </si>
  <si>
    <t>PV Vista del Valle III</t>
  </si>
  <si>
    <t>PV Edificio Pedro Prado</t>
  </si>
  <si>
    <t>PV CUMBRE PLACERES</t>
  </si>
  <si>
    <t>PV Alto Mirador</t>
  </si>
  <si>
    <t>PV Parque Marañon Torre B</t>
  </si>
  <si>
    <t>PV Edificio Leon Prado</t>
  </si>
  <si>
    <t>PV Edificio Garcia Reyes</t>
  </si>
  <si>
    <t>PV Edificio La Coruña</t>
  </si>
  <si>
    <t>PV Alto Marañon Torre B</t>
  </si>
  <si>
    <t>PV Edificio Vista Horizonte</t>
  </si>
  <si>
    <t>PV Edificio Castillo Urizar</t>
  </si>
  <si>
    <t>PV Trinidad Ramirez</t>
  </si>
  <si>
    <t>PV Condominio Lago Ranco</t>
  </si>
  <si>
    <t>PV Edificio Lynch</t>
  </si>
  <si>
    <t>PV Condominio Jorge Cáceres Etapa 1</t>
  </si>
  <si>
    <t>PV Edificio Parque Urbano</t>
  </si>
  <si>
    <t>PV Edificio Lia Aguirre</t>
  </si>
  <si>
    <t>PV Alto Marañon 3</t>
  </si>
  <si>
    <t>PV Edificio Libertad</t>
  </si>
  <si>
    <t>PV JARDINES DEL POLO 2</t>
  </si>
  <si>
    <t>PV Condominio Jorge Cáceres Etapa 2</t>
  </si>
  <si>
    <t>PV Condominio Palmas del Sur II</t>
  </si>
  <si>
    <t>PV Blanca Estela I Torre A y B</t>
  </si>
  <si>
    <t>PV Edificio Latorre</t>
  </si>
  <si>
    <t>PV Edificio Liparita</t>
  </si>
  <si>
    <t>PV Remodelación don RVC</t>
  </si>
  <si>
    <t>PV Vistamar I</t>
  </si>
  <si>
    <t>PV Rey del Mar</t>
  </si>
  <si>
    <t>PV Edifcio Campanario I</t>
  </si>
  <si>
    <t>PV Edifcio Campanario II</t>
  </si>
  <si>
    <t>PV Edifcio Campanario III</t>
  </si>
  <si>
    <t>PV Edificio Meseta I</t>
  </si>
  <si>
    <t>PV Colegio Saint Margaret</t>
  </si>
  <si>
    <t>PV Colegio Saint Paul</t>
  </si>
  <si>
    <t>PV Tribunales Valparaiso</t>
  </si>
  <si>
    <t>PV Casa Zapallar</t>
  </si>
  <si>
    <t>PV Edificio Doña Teresa</t>
  </si>
  <si>
    <t>PV Edificio Sacramentinos I</t>
  </si>
  <si>
    <t>PV Edificio Sacramentinos II</t>
  </si>
  <si>
    <t>PV Edificio Sacramentinos III</t>
  </si>
  <si>
    <t>PV Edificio Galvarino Gallardo</t>
  </si>
  <si>
    <t>PV Templo Mormon</t>
  </si>
  <si>
    <t>PV Consultorio Pudahuel</t>
  </si>
  <si>
    <t>PV Consultorio Santa Amalia</t>
  </si>
  <si>
    <t>PV Clinica Los Tiempos</t>
  </si>
  <si>
    <t>PV Casa Los Dominicos</t>
  </si>
  <si>
    <t>PV - Depto. IVM</t>
  </si>
  <si>
    <t>PV Condominio Parque del Sur Torre A</t>
  </si>
  <si>
    <t>GERENCIA DE CLIENTES (NO VIGENTE)</t>
  </si>
  <si>
    <t>MARKETING (NO VIGENTE)</t>
  </si>
  <si>
    <t>Escrituración (NO VIGENTE)</t>
  </si>
  <si>
    <t>VENTAS NORTE 1 (NO VIGENTE)</t>
  </si>
  <si>
    <t>VENTAS ZC2 (NO VIGENTE)</t>
  </si>
  <si>
    <t>VENTAS V REGIÓN (NO VIGENTE)</t>
  </si>
  <si>
    <t>DEPTO PROYECTOS ZONAL V REGIÓN (NO VIGENTE)</t>
  </si>
  <si>
    <t>DEPTO PROYECTOS ZONAL NORTE 1 (NO VIGENTE)</t>
  </si>
  <si>
    <t>DEPTO PROYECTOS ZONAL NORTE 2 (NO VIGENTE)</t>
  </si>
  <si>
    <t>DEPTO PROYECTOS ZONAL ZC 2 (NO VIGENTE)</t>
  </si>
  <si>
    <t>DEPTO PROYECTOS ZONAL NORTE 3 (NO VIGENTE)</t>
  </si>
  <si>
    <t>OFICINA CENTRAL (NO VIGENTE)</t>
  </si>
  <si>
    <t>OFICINA CENTRAL TI (NO VIGENTE)</t>
  </si>
  <si>
    <t>OFICINA CENTRAL CAPITAL HUMANO (NO VIGENTE)</t>
  </si>
  <si>
    <t>GERENCIA GENERAL CORP (NO VIGENTE)</t>
  </si>
  <si>
    <t>DIRECTORIO (NO VIGENTE)</t>
  </si>
  <si>
    <t>PRODUCTIVIDAD CONSTRUCTORA (NO VIGENTE)</t>
  </si>
  <si>
    <t>Recuperacion</t>
  </si>
  <si>
    <t>DEPTO PROYECTOS ZONAL NORTE 3</t>
  </si>
  <si>
    <t>Terreno Palmas del Sur-Desarrollo</t>
  </si>
  <si>
    <t>Terreno Santa Elena-Desarrollo</t>
  </si>
  <si>
    <t>Terreno Santo Domingo-Desarrollo</t>
  </si>
  <si>
    <t>Terreno El Yodo-Desarrollo</t>
  </si>
  <si>
    <t>Terreno Edificio Terrazas del Sol – Desarrollo</t>
  </si>
  <si>
    <t>Terreno Santa Elena 2015-Desarrollo</t>
  </si>
  <si>
    <t>Terreno Fuenzalida Urrejola - Desarrollo</t>
  </si>
  <si>
    <t>Terreno Fernández Albano - Desarrollo</t>
  </si>
  <si>
    <t>Terreno Novena Avenida II – Desarrollo</t>
  </si>
  <si>
    <t>Terreno Edificio Uno Norte - Desarrollo</t>
  </si>
  <si>
    <t>Terreno Bulnes Labbe - Desarrollo</t>
  </si>
  <si>
    <t>Terreno Sanz/Constantino - Desarrollo</t>
  </si>
  <si>
    <t>Terreno Vista Las Palmas – Desarrollo</t>
  </si>
  <si>
    <t>Terreno Maipú- Antofagasta– Desarrollo</t>
  </si>
  <si>
    <t xml:space="preserve">Terreno Edificio Parque Urbano – Inversiones </t>
  </si>
  <si>
    <t>Terreno Briones Luco - Inversiones</t>
  </si>
  <si>
    <t>Terreno Alto Viña I – Inversiones</t>
  </si>
  <si>
    <t>Terreno Recreo – Inversiones</t>
  </si>
  <si>
    <t>Terreno Conde Maule – Inversiones</t>
  </si>
  <si>
    <t>Terreno Alto Viña II – Inversiones</t>
  </si>
  <si>
    <t>Terreno Alto Viña III – Inversiones</t>
  </si>
  <si>
    <t>Terreno Teresa Vial – Inversiones</t>
  </si>
  <si>
    <t>Terreno Dublé Almeyda – Inversiones</t>
  </si>
  <si>
    <t>Terreno Condominio Jorge Cáceres – Inversiones</t>
  </si>
  <si>
    <t>Terreno Coronel Souper – Estación Central – Inversiones</t>
  </si>
  <si>
    <t xml:space="preserve">Terreno La Coruña – Inversiones </t>
  </si>
  <si>
    <t>Terreno Pedro Prado– Inversiones</t>
  </si>
  <si>
    <t>Terreno Guillermo Mann – Inversiones</t>
  </si>
  <si>
    <t>Terreno Fco. Zelada 126 – Inversiones</t>
  </si>
  <si>
    <t xml:space="preserve">Terreno Condominio Manuel Jesús Rivera  – Inversiones </t>
  </si>
  <si>
    <t xml:space="preserve">Terreno Tranquila – Inversiones </t>
  </si>
  <si>
    <t xml:space="preserve">Terreno Santa Corina – Inversiones </t>
  </si>
  <si>
    <t xml:space="preserve">Terreno Lia Aguirre - Inversiones </t>
  </si>
  <si>
    <t>Terreno García Reyes 68 – Inversiones</t>
  </si>
  <si>
    <t>Terreno 18 de Septiembre– Inversiones</t>
  </si>
  <si>
    <t>Terreno Lago Ranco 1890 – Inversiones</t>
  </si>
  <si>
    <t>Terreno Recoleta 5377– Inversiones</t>
  </si>
  <si>
    <t>Terreno Edificio Vista Horizonte – Inversiones</t>
  </si>
  <si>
    <t>Terreno Edificio Parque Urbano 1589 – Inversiones</t>
  </si>
  <si>
    <t>Terreno Castillo Urízar 1845 – Inversiones</t>
  </si>
  <si>
    <t xml:space="preserve">Terreno Departamental 960 – Inversiones </t>
  </si>
  <si>
    <t xml:space="preserve">Terreno Patricio Lynch 160 – Inversiones </t>
  </si>
  <si>
    <t xml:space="preserve">Terreno Trinidad Ramirez 24 – Inversiones </t>
  </si>
  <si>
    <t>Terreno Blanca Estela 2333 – Inversiones</t>
  </si>
  <si>
    <t>Terreno Las Rejas 904 - Inversiones</t>
  </si>
  <si>
    <t>Terreno Pedro de la Barra - Inversiones</t>
  </si>
  <si>
    <t>Terreno DS49 Valle Alto Placilla - Inversiones</t>
  </si>
  <si>
    <t>Terreno Vicente Reyes 90 - Inversiones</t>
  </si>
  <si>
    <t>Terreno Libertad 1330 - Inversiones</t>
  </si>
  <si>
    <t>Terreno Latorre 1590 - Inversiones</t>
  </si>
  <si>
    <t>Terreno Jorge Cáceres Etapa 2 - Inversiones</t>
  </si>
  <si>
    <t>Terreno Labbé 1172 - Inversiones</t>
  </si>
  <si>
    <t>Terreno Liparita 260 - Inversiones</t>
  </si>
  <si>
    <t>Terreno Achupallas 499 - Inversiones</t>
  </si>
  <si>
    <t>Terreno Condominio Parque Del Sur Torre A 145 - Inversiones</t>
  </si>
  <si>
    <t>El Yodo 8195 - Inversiones</t>
  </si>
  <si>
    <t>Terreno Carmen 1879  - Inversiones</t>
  </si>
  <si>
    <t>Terreno Palmas del Sur 2 - Inversiones</t>
  </si>
  <si>
    <t>Terreno DS19 Gran Avenida Etapa 2 (Torre A-B) – Inversiones</t>
  </si>
  <si>
    <t>Terreno DS19 Gran Avenida Etapa 1 (Torre C-D) – Inversiones</t>
  </si>
  <si>
    <t>Cumbres del Mar</t>
  </si>
  <si>
    <t>Cumbres del Mar-Marketing</t>
  </si>
  <si>
    <t>Cumbres del Mar-Operaciones</t>
  </si>
  <si>
    <t>Cumbres del Mar-Ventas</t>
  </si>
  <si>
    <t>Cumbres del Mar-Clientes</t>
  </si>
  <si>
    <t>Cumbres del Mar-Proyecto</t>
  </si>
  <si>
    <t>Cumbres del Mar-GAF</t>
  </si>
  <si>
    <t>Cumbres del Mar-PV Inmob.</t>
  </si>
  <si>
    <t>Cumbres del Mar-Depto.Técnico</t>
  </si>
  <si>
    <t>Palmas del Sur 1</t>
  </si>
  <si>
    <t>Palmas del Sur 1-Marketing</t>
  </si>
  <si>
    <t>Palmas del Sur 1-Operaciones</t>
  </si>
  <si>
    <t>Palmas del Sur 1-Ventas</t>
  </si>
  <si>
    <t>Palmas del Sur 1-Clientes</t>
  </si>
  <si>
    <t>Palmas del Sur 1-Proyecto</t>
  </si>
  <si>
    <t>Palmas del Sur 1-GAF</t>
  </si>
  <si>
    <t>Palmas del Sur 1-PV Inmob.</t>
  </si>
  <si>
    <t>Palmas del Sur 1-Depto.Técnico</t>
  </si>
  <si>
    <t>Vista del Valle II Edificio A</t>
  </si>
  <si>
    <t>Vista del Valle II Edificio A-Marketing</t>
  </si>
  <si>
    <t>Vista del Valle II Edificio A-Operaciones</t>
  </si>
  <si>
    <t>Vista del Valle II Edificio A-Ventas</t>
  </si>
  <si>
    <t>Vista del Valle II Edificio A-Clientes</t>
  </si>
  <si>
    <t>Vista del Valle II Edificio A-Proyecto</t>
  </si>
  <si>
    <t>Vista del Valle II Edificio A-GAF</t>
  </si>
  <si>
    <t>Vista del Valle II Edificio A-PV Inmob.</t>
  </si>
  <si>
    <t>Vista del Valle II Edificio A-Depto.Técnico</t>
  </si>
  <si>
    <t>Condominio Palmas del Sur II-Marketing</t>
  </si>
  <si>
    <t>Condominio Palmas del Sur II-Operaciones</t>
  </si>
  <si>
    <t>Condominio Palmas del Sur II-Ventas</t>
  </si>
  <si>
    <t>Condominio Palmas del Sur II-Clientes</t>
  </si>
  <si>
    <t>Condominio Palmas del Sur II-Proyecto</t>
  </si>
  <si>
    <t>Condominio Palmas del Sur II-GAF</t>
  </si>
  <si>
    <t>Condominio Palmas del Sur II-PV Inmob.</t>
  </si>
  <si>
    <t>Condominio Palmas del Sur II-Depto.Técnico</t>
  </si>
  <si>
    <t>Alto Cavancha</t>
  </si>
  <si>
    <t>Alto Cavancha-Marketing</t>
  </si>
  <si>
    <t>Alto Cavancha-Operaciones</t>
  </si>
  <si>
    <t>Alto Cavancha-Ventas</t>
  </si>
  <si>
    <t>Alto Cavancha-Clientes</t>
  </si>
  <si>
    <t>Alto Cavancha-Proyecto</t>
  </si>
  <si>
    <t>Alto Cavancha-GAF</t>
  </si>
  <si>
    <t>Alto Cavancha-PV Inmob.</t>
  </si>
  <si>
    <t>Alto Cavancha-Depto.Técnico</t>
  </si>
  <si>
    <t>Edificio Parque Quinta</t>
  </si>
  <si>
    <t>Edificio Parque Quinta-Marketing</t>
  </si>
  <si>
    <t>Edificio Parque Quinta-Operaciones</t>
  </si>
  <si>
    <t>Edificio Parque Quinta-Ventas</t>
  </si>
  <si>
    <t>Edificio Parque Quinta-Clientes</t>
  </si>
  <si>
    <t>Edificio Parque Quinta-Proyecto</t>
  </si>
  <si>
    <t>Edificio Parque Quinta-GAF</t>
  </si>
  <si>
    <t>Edificio Parque Quinta-PV Inmob.</t>
  </si>
  <si>
    <t>Edificio Parque Quinta-Depto.Técnico</t>
  </si>
  <si>
    <t>Vista Macul</t>
  </si>
  <si>
    <t>Vista Macul-Marketing</t>
  </si>
  <si>
    <t>Vista Macul-Operaciones</t>
  </si>
  <si>
    <t>Vista Macul-Ventas</t>
  </si>
  <si>
    <t>Vista Macul-Clientes</t>
  </si>
  <si>
    <t>Vista Macul-Proyecto</t>
  </si>
  <si>
    <t>Vista Macul-GAF</t>
  </si>
  <si>
    <t>Vista Macul-PV Inmob.</t>
  </si>
  <si>
    <t>Vista Macul-Depto.Técnico</t>
  </si>
  <si>
    <t>Vista Azul</t>
  </si>
  <si>
    <t>Vista Azul-Marketing</t>
  </si>
  <si>
    <t>Vista Azul-Operaciones</t>
  </si>
  <si>
    <t>Vista Azul-Ventas</t>
  </si>
  <si>
    <t>Vista Azul-Clientes</t>
  </si>
  <si>
    <t>Vista Azul-Proyecto</t>
  </si>
  <si>
    <t>Vista Azul-GAF</t>
  </si>
  <si>
    <t>Vista Azul-PV Inmob.</t>
  </si>
  <si>
    <t>Vista Azul-Depto.Técnico</t>
  </si>
  <si>
    <t>Vista Macul 2</t>
  </si>
  <si>
    <t>Vista Macul 2-Marketing</t>
  </si>
  <si>
    <t>Vista Macul 2-Operaciones</t>
  </si>
  <si>
    <t>Vista Macul 2-Ventas</t>
  </si>
  <si>
    <t>Vista Macul 2-Clientes</t>
  </si>
  <si>
    <t>Vista Macul 2-Proyecto</t>
  </si>
  <si>
    <t>Vista Macul 2-GAF</t>
  </si>
  <si>
    <t>Vista Macul 2-PV Inmob.</t>
  </si>
  <si>
    <t>Vista Macul 2-Depto.Técnico</t>
  </si>
  <si>
    <t>Vista Independencia</t>
  </si>
  <si>
    <t>Vista Independencia-Marketing</t>
  </si>
  <si>
    <t>Vista Independencia-Operaciones</t>
  </si>
  <si>
    <t>Vista Independencia-Ventas</t>
  </si>
  <si>
    <t>Vista Independencia-Clientes</t>
  </si>
  <si>
    <t>Vista Independencia-Proyecto</t>
  </si>
  <si>
    <t>Vista Independencia-GAF</t>
  </si>
  <si>
    <t>Vista Independencia-PV Inmob.</t>
  </si>
  <si>
    <t>Vista Independencia-Depto.Técnico</t>
  </si>
  <si>
    <t>Edificio Terrazas del Sol</t>
  </si>
  <si>
    <t>Edificio Terrazas del Sol-Marketing</t>
  </si>
  <si>
    <t>Edificio Terrazas del Sol-Operaciones</t>
  </si>
  <si>
    <t>Edificio Terrazas del Sol-Ventas</t>
  </si>
  <si>
    <t>Edificio Terrazas del Sol-Clientes</t>
  </si>
  <si>
    <t>Edificio Terrazas del Sol-Proyecto</t>
  </si>
  <si>
    <t>Edificio Terrazas del Sol-GAF</t>
  </si>
  <si>
    <t>Edificio Terrazas del Sol-PV Inmob.</t>
  </si>
  <si>
    <t>Edificio Terrazas del Sol-Depto.Técnico</t>
  </si>
  <si>
    <t>Nuevo Ecuador</t>
  </si>
  <si>
    <t>Nuevo Ecuador-Marketing</t>
  </si>
  <si>
    <t>Nuevo Ecuador-Operaciones</t>
  </si>
  <si>
    <t>Nuevo Ecuador-Ventas</t>
  </si>
  <si>
    <t>Nuevo Ecuador-Clientes</t>
  </si>
  <si>
    <t>Nuevo Ecuador-Proyecto</t>
  </si>
  <si>
    <t>Nuevo Ecuador-GAF</t>
  </si>
  <si>
    <t>Santiago Poniente 3 SPA</t>
  </si>
  <si>
    <t>76.365.324-2</t>
  </si>
  <si>
    <t>Nuevo Ecuador-PV Inmob.</t>
  </si>
  <si>
    <t>Nuevo Ecuador-Depto. Técnico</t>
  </si>
  <si>
    <t>Parque Central</t>
  </si>
  <si>
    <t>Parque Central-Marketing</t>
  </si>
  <si>
    <t>Parque Central-Operaciones</t>
  </si>
  <si>
    <t>Parque Central-Ventas</t>
  </si>
  <si>
    <t>Parque Central-Clientes</t>
  </si>
  <si>
    <t>Parque Central-Proyecto</t>
  </si>
  <si>
    <t>Parque Central-GAF</t>
  </si>
  <si>
    <t>Parque Central-PV Inmob.</t>
  </si>
  <si>
    <t>Parque Central-Depto.Técnico</t>
  </si>
  <si>
    <t>Alto Foresta</t>
  </si>
  <si>
    <t>Alto Foresta-Marketing</t>
  </si>
  <si>
    <t>Alto Foresta-Operaciones</t>
  </si>
  <si>
    <t>Alto Foresta-Ventas</t>
  </si>
  <si>
    <t>Alto Foresta-Clientes</t>
  </si>
  <si>
    <t>Alto Foresta-Proyecto</t>
  </si>
  <si>
    <t>Alto Foresta-GAF</t>
  </si>
  <si>
    <t>Alto Foresta-PV Inmob.</t>
  </si>
  <si>
    <t>Alto Foresta-Depto.Técnico</t>
  </si>
  <si>
    <t>Edificio Santa Elena 1282</t>
  </si>
  <si>
    <t>Edificio Santa Elena 1282-Marketing</t>
  </si>
  <si>
    <t>Edificio Santa Elena 1282-Operaciones</t>
  </si>
  <si>
    <t>Edificio Santa Elena 1282-Ventas</t>
  </si>
  <si>
    <t>Edificio Santa Elena 1282-Clientes</t>
  </si>
  <si>
    <t>Edificio Santa Elena 1282-Proyecto</t>
  </si>
  <si>
    <t>Edificio Santa Elena 1282-GAF</t>
  </si>
  <si>
    <t>Edificio Santa Elena 1282-PV Inmob.</t>
  </si>
  <si>
    <t>Edificio Santa Elena 1282-Depto.Técnico</t>
  </si>
  <si>
    <t>Novena Avenida 2</t>
  </si>
  <si>
    <t>Novena Avenida 2-Marketing</t>
  </si>
  <si>
    <t>Novena Avenida 2-Operaciones</t>
  </si>
  <si>
    <t>Novena Avenida 2-Ventas</t>
  </si>
  <si>
    <t>Novena Avenida 2-Clientes</t>
  </si>
  <si>
    <t>Novena Avenida 2-Proyecto</t>
  </si>
  <si>
    <t>Novena Avenida 2-GAF</t>
  </si>
  <si>
    <t>Novena Avenida 2-PV Inmob.</t>
  </si>
  <si>
    <t>Novena Avenida 2-Depto.Técnico</t>
  </si>
  <si>
    <t>Edificio Fuenzalida Urrejola 125</t>
  </si>
  <si>
    <t>Edificio Fuenzalida Urrejola 125-Marketing</t>
  </si>
  <si>
    <t>Edificio Fuenzalida Urrejola 125-Operaciones</t>
  </si>
  <si>
    <t>Edificio Fuenzalida Urrejola 125-Ventas</t>
  </si>
  <si>
    <t>Edificio Fuenzalida Urrejola 125-Clientes</t>
  </si>
  <si>
    <t>Edificio Fuenzalida Urrejola 125-Proyecto</t>
  </si>
  <si>
    <t>Edificio Fuenzalida Urrejola 125-GAF</t>
  </si>
  <si>
    <t>Edificio Fuenzalida Urrejola 125-PV Inmob.</t>
  </si>
  <si>
    <t>Edificio Fuenzalida Urrejola 125-Depto.Técnico</t>
  </si>
  <si>
    <t>Edificio Edificio Bulnes Labbe</t>
  </si>
  <si>
    <t>Edificio Edificio Bulnes Labbe-Marketing</t>
  </si>
  <si>
    <t>Edificio Edificio Bulnes Labbe-Operaciones</t>
  </si>
  <si>
    <t>Edificio Edificio Bulnes Labbe-Ventas</t>
  </si>
  <si>
    <t>Edificio Edificio Bulnes Labbe-Clientes</t>
  </si>
  <si>
    <t>Edificio Edificio Bulnes Labbe-Proyecto</t>
  </si>
  <si>
    <t>Edificio Edificio Bulnes Labbe-GAF</t>
  </si>
  <si>
    <t>Edificio Edificio Bulnes Labbe-PV Inmob.</t>
  </si>
  <si>
    <t>Edificio Edificio Bulnes Labbe-Depto.Técnico</t>
  </si>
  <si>
    <t>Edificio Fernandez Albano 192</t>
  </si>
  <si>
    <t>Edificio Fernandez Albano 192-Marketing</t>
  </si>
  <si>
    <t>Edificio Fernandez Albano 192-Operaciones</t>
  </si>
  <si>
    <t>Edificio Fernandez Albano 192-Ventas</t>
  </si>
  <si>
    <t>Edificio Fernandez Albano 192-Clientes</t>
  </si>
  <si>
    <t>Edificio Fernandez Albano 192-Proyecto</t>
  </si>
  <si>
    <t>Edificio Fernandez Albano 192-GAF</t>
  </si>
  <si>
    <t>Edificio Fernandez Albano 192-PV Inmob.</t>
  </si>
  <si>
    <t>Edificio Fernandez Albano 192-Depto.Técnico</t>
  </si>
  <si>
    <t>Vista del Valle II Edificio B</t>
  </si>
  <si>
    <t>Vista del Valle II Edificio B-Marketing</t>
  </si>
  <si>
    <t>Vista del Valle II Edificio B-Operaciones</t>
  </si>
  <si>
    <t>Vista del Valle II Edificio B-Ventas</t>
  </si>
  <si>
    <t>Vista del Valle II Edificio B-Clientes</t>
  </si>
  <si>
    <t>Vista del Valle II Edificio B-Proyecto</t>
  </si>
  <si>
    <t>Vista del Valle II Edificio B-GAF</t>
  </si>
  <si>
    <t>Vista del Valle II Edificio B-PV Inmob.</t>
  </si>
  <si>
    <t>Vista del Valle II Edificio B-Depto.Técnico</t>
  </si>
  <si>
    <t>Edificio Constantino 54</t>
  </si>
  <si>
    <t>Edificio Constantino 54-Marketing</t>
  </si>
  <si>
    <t>Edificio Constantino 54-Operaciones</t>
  </si>
  <si>
    <t>Edificio Constantino 54-Ventas</t>
  </si>
  <si>
    <t>Edificio Constantino 54-Clientes</t>
  </si>
  <si>
    <t>Edificio Constantino 54-Proyecto</t>
  </si>
  <si>
    <t>Edificio Constantino 54-GAF</t>
  </si>
  <si>
    <t>Edificio Constantino 54-PV Inmob.</t>
  </si>
  <si>
    <t>Edificio Constantino 54-Depto.Técnico</t>
  </si>
  <si>
    <t>Edificio Maipu</t>
  </si>
  <si>
    <t>Edificio Maipu-Marketing</t>
  </si>
  <si>
    <t>Edificio Maipu-Operaciones</t>
  </si>
  <si>
    <t>Edificio Maipu-Ventas</t>
  </si>
  <si>
    <t>Edificio Maipu-Clientes</t>
  </si>
  <si>
    <t>Edificio Maipu-Proyecto</t>
  </si>
  <si>
    <t>Edificio Maipu-GAF</t>
  </si>
  <si>
    <t>Edificio Maipu-PV Inmob.</t>
  </si>
  <si>
    <t>Edificio Maipu-Depto.Técnico</t>
  </si>
  <si>
    <t>Edificio Recreo 250</t>
  </si>
  <si>
    <t>Edificio Recreo 250-Marketing</t>
  </si>
  <si>
    <t>Edificio Recreo 250-Operaciones</t>
  </si>
  <si>
    <t>Edificio Recreo 250-Ventas</t>
  </si>
  <si>
    <t>Edificio Recreo 250-Clientes</t>
  </si>
  <si>
    <t>Edificio Recreo 250-Proyecto</t>
  </si>
  <si>
    <t>Edificio Recreo 250-GAF</t>
  </si>
  <si>
    <t>Edificio Recreo 250-PV Inmob.</t>
  </si>
  <si>
    <t>Edificio Recreo 250-Depto.Técnico</t>
  </si>
  <si>
    <t>Alto Marañon Torre A</t>
  </si>
  <si>
    <t>Alto Marañon Torre A-Marketing</t>
  </si>
  <si>
    <t>Alto Marañon Torre A-Operaciones</t>
  </si>
  <si>
    <t>Alto Marañon Torre A-Ventas</t>
  </si>
  <si>
    <t>Alto Marañon Torre A-Clientes</t>
  </si>
  <si>
    <t>Alto Marañon Torre A-Proyecto</t>
  </si>
  <si>
    <t>Alto Marañon Torre A-GAF</t>
  </si>
  <si>
    <t>Alto Marañon Torre A-PV Inmob.</t>
  </si>
  <si>
    <t>Alto Marañon Torre A-Depto.Técnico</t>
  </si>
  <si>
    <t>Edificio Parque Urbano</t>
  </si>
  <si>
    <t>Edificio Parque Urbano-Marketing</t>
  </si>
  <si>
    <t>Edificio Parque Urbano-Operaciones</t>
  </si>
  <si>
    <t>Edificio Parque Urbano-Ventas</t>
  </si>
  <si>
    <t>Edificio Parque Urbano-Clientes</t>
  </si>
  <si>
    <t>Edificio Parque Urbano-Proyecto</t>
  </si>
  <si>
    <t>Edificio Parque Urbano-GAF</t>
  </si>
  <si>
    <t>Edificio Parque Urbano-PV Inmob.</t>
  </si>
  <si>
    <t>Edificio Parque Urbano-Depto.Técnico</t>
  </si>
  <si>
    <t>Edificio Duble Almeyda 2621</t>
  </si>
  <si>
    <t>Edificio Duble Almeyda 2621-Marketing</t>
  </si>
  <si>
    <t>Edificio Duble Almeyda 2621-Operaciones</t>
  </si>
  <si>
    <t>Edificio Duble Almeyda 2621-Ventas</t>
  </si>
  <si>
    <t>Edificio Duble Almeyda 2621-Clientes</t>
  </si>
  <si>
    <t>Edificio Duble Almeyda 2621-Proyecto</t>
  </si>
  <si>
    <t>Edificio Duble Almeyda 2621-GAF</t>
  </si>
  <si>
    <t>Edificio Duble Almeyda 2621-PV Inmob.</t>
  </si>
  <si>
    <t>Edificio Duble Almeyda 2621-Depto.Técnico</t>
  </si>
  <si>
    <t>Edificio Jose Domingo Cañas 2640</t>
  </si>
  <si>
    <t>Edificio Jose Domingo Cañas 2640-Marketing</t>
  </si>
  <si>
    <t>Edificio Jose Domingo Cañas 2640-Operaciones</t>
  </si>
  <si>
    <t>Edificio Jose Domingo Cañas 2640-Ventas</t>
  </si>
  <si>
    <t>Edificio Jose Domingo Cañas 2640-Clientes</t>
  </si>
  <si>
    <t>Edificio Jose Domingo Cañas 2640-Proyecto</t>
  </si>
  <si>
    <t>Edificio Jose Domingo Cañas 2640-GAF</t>
  </si>
  <si>
    <t>Edificio Jose Domingo Cañas 2640-PV Inmob.</t>
  </si>
  <si>
    <t>Edificio Jose Domingo Cañas 2640-Depto.Técnico</t>
  </si>
  <si>
    <t>Edificio Teresa Vial-Marketing</t>
  </si>
  <si>
    <t>Edificio Teresa Vial-Operaciones</t>
  </si>
  <si>
    <t>Edificio Teresa Vial-Ventas</t>
  </si>
  <si>
    <t>Edificio Teresa Vial-Clientes</t>
  </si>
  <si>
    <t>Edificio Teresa Vial-Proyecto</t>
  </si>
  <si>
    <t>Edificio Teresa Vial-GAF</t>
  </si>
  <si>
    <t>Edificio Teresa Vial-PV Inmob.</t>
  </si>
  <si>
    <t>Edificio Teresa Vial-Depto.Técnico</t>
  </si>
  <si>
    <t>Edificio Uno Norte</t>
  </si>
  <si>
    <t>Edificio Uno Norte-Marketing</t>
  </si>
  <si>
    <t>Edificio Uno Norte-Operaciones</t>
  </si>
  <si>
    <t>Edificio Uno Norte-Ventas</t>
  </si>
  <si>
    <t>Edificio Uno Norte-Clientes</t>
  </si>
  <si>
    <t>Edificio Uno Norte-Proyecto</t>
  </si>
  <si>
    <t>Edificio Uno Norte-GAF</t>
  </si>
  <si>
    <t>Edificio Uno Norte-PV Inmob.</t>
  </si>
  <si>
    <t>Edificio Uno Norte-Depto.Técnico</t>
  </si>
  <si>
    <t>Parque Ingles</t>
  </si>
  <si>
    <t>Parque Ingles-Marketing</t>
  </si>
  <si>
    <t>Parque Ingles-Operaciones</t>
  </si>
  <si>
    <t>Parque Ingles-Ventas</t>
  </si>
  <si>
    <t>Parque Ingles-Clientes</t>
  </si>
  <si>
    <t>Parque Ingles-Proyecto</t>
  </si>
  <si>
    <t>Parque Ingles-GAF</t>
  </si>
  <si>
    <t>Parque Ingles-PV Inmob.</t>
  </si>
  <si>
    <t>Parque Ingles-Depto.Técnico</t>
  </si>
  <si>
    <t>Conde del Maule 4676</t>
  </si>
  <si>
    <t>Conde del Maule 4676-Marketing</t>
  </si>
  <si>
    <t>Conde del Maule 4676-Operaciones</t>
  </si>
  <si>
    <t>Conde del Maule 4676-Ventas</t>
  </si>
  <si>
    <t>Conde del Maule 4676-Clientes</t>
  </si>
  <si>
    <t>Conde del Maule 4676-Proyecto</t>
  </si>
  <si>
    <t>Conde del Maule 4676-GAF</t>
  </si>
  <si>
    <t>Conde del Maule 4676-PV Inmob.</t>
  </si>
  <si>
    <t>Conde del Maule 4676-Depto.Técnico</t>
  </si>
  <si>
    <t>Edificio Alto Foresta 2</t>
  </si>
  <si>
    <t>Edificio Alto Foresta 2-Marketing</t>
  </si>
  <si>
    <t>Edificio Alto Foresta 2-Operaciones</t>
  </si>
  <si>
    <t>Edificio Alto Foresta 2-Ventas</t>
  </si>
  <si>
    <t>Edificio Alto Foresta 2-Clientes</t>
  </si>
  <si>
    <t>Edificio Alto Foresta 2-Proyecto</t>
  </si>
  <si>
    <t>Edificio Alto Foresta 2-GAF</t>
  </si>
  <si>
    <t>Edificio Alto Foresta 2-PV Inmob.</t>
  </si>
  <si>
    <t>Edificio Alto Foresta 2-Depto.Técnico</t>
  </si>
  <si>
    <t>Edificio Briones Luco-Marketing</t>
  </si>
  <si>
    <t>Edificio Briones Luco-Operaciones</t>
  </si>
  <si>
    <t>Edificio Briones Luco-Ventas</t>
  </si>
  <si>
    <t>Edificio Briones Luco-Clientes</t>
  </si>
  <si>
    <t>Edificio Briones Luco-Proyecto</t>
  </si>
  <si>
    <t>Edificio Briones Luco-GAF</t>
  </si>
  <si>
    <t>Edificio Briones Luco-PV Inmob.</t>
  </si>
  <si>
    <t>Edificio Briones Luco-Depto.Técnico</t>
  </si>
  <si>
    <t>Vista Las Palmas</t>
  </si>
  <si>
    <t>Vista Las Palmas-Marketing</t>
  </si>
  <si>
    <t>Vista Las Palmas-Operaciones</t>
  </si>
  <si>
    <t>Vista Las Palmas-Ventas</t>
  </si>
  <si>
    <t>Vista Las Palmas-Clientes</t>
  </si>
  <si>
    <t>Vista Las Palmas-Proyecto</t>
  </si>
  <si>
    <t>Vista Las Palmas-GAF</t>
  </si>
  <si>
    <t>Vista Las Palmas-PV Inmob.</t>
  </si>
  <si>
    <t>Vista Las Palmas-Depto.Técnico</t>
  </si>
  <si>
    <t>Condominio Manuel Jesus Rivera</t>
  </si>
  <si>
    <t>Condominio Manuel Jesus Rivera-Marketing</t>
  </si>
  <si>
    <t>Condominio Manuel Jesus Rivera-Operaciones</t>
  </si>
  <si>
    <t>Condominio Manuel Jesus Rivera-Ventas</t>
  </si>
  <si>
    <t>Condominio Manuel Jesus Rivera-Clientes</t>
  </si>
  <si>
    <t>Condominio Manuel Jesus Rivera-Proyecto</t>
  </si>
  <si>
    <t>Condominio Manuel Jesus Rivera-GAF</t>
  </si>
  <si>
    <t>Condominio Manuel Jesus Rivera-PV Inmob.</t>
  </si>
  <si>
    <t>Condominio Manuel Jesus Rivera-Depto.Técnico</t>
  </si>
  <si>
    <t>Edificio Guillermo Mann-Marketing</t>
  </si>
  <si>
    <t>Edificio Guillermo Mann-Operaciones</t>
  </si>
  <si>
    <t>Edificio Guillermo Mann-Ventas</t>
  </si>
  <si>
    <t>Edificio Guillermo Mann-Clientes</t>
  </si>
  <si>
    <t>Edificio Guillermo Mann-Proyecto</t>
  </si>
  <si>
    <t>Edificio Guillermo Mann-GAF</t>
  </si>
  <si>
    <t>Edificio Guillermo Mann-PV Inmob.</t>
  </si>
  <si>
    <t>Edificio Guillermo Mann-Depto.Técnico</t>
  </si>
  <si>
    <t>Edificio Coronel Souper-Marketing</t>
  </si>
  <si>
    <t>Edificio Coronel Souper-Operaciones</t>
  </si>
  <si>
    <t>Edificio Coronel Souper-Ventas</t>
  </si>
  <si>
    <t>Edificio Coronel Souper-Clientes</t>
  </si>
  <si>
    <t>Edificio Coronel Souper-Proyecto</t>
  </si>
  <si>
    <t>Edificio Coronel Souper-GAF</t>
  </si>
  <si>
    <t>Edificio Coronel Souper-Depto.Técnico</t>
  </si>
  <si>
    <t>Condominio Jorge Cáceres Etapa 1</t>
  </si>
  <si>
    <t>Condominio Jorge Cáceres Etapa 1-Marketing</t>
  </si>
  <si>
    <t>Condominio Jorge Cáceres Etapa 1-Operaciones</t>
  </si>
  <si>
    <t>Condominio Jorge Cáceres Etapa 1-Ventas</t>
  </si>
  <si>
    <t>Condominio Jorge Cáceres Etapa 1-Clientes</t>
  </si>
  <si>
    <t>Condominio Jorge Cáceres Etapa 1-Proyecto</t>
  </si>
  <si>
    <t>Condominio Jorge Cáceres Etapa 1-GAF</t>
  </si>
  <si>
    <t>Condominio Jorge Cáceres Etapa 1-PV Inmob.</t>
  </si>
  <si>
    <t>Condominio Jorge Cáceres Etapa 1-Depto.Técnico</t>
  </si>
  <si>
    <t>Edificio La Coruña-Marketing</t>
  </si>
  <si>
    <t>Edificio La Coruña-Operaciones</t>
  </si>
  <si>
    <t>Edificio La Coruña-Ventas</t>
  </si>
  <si>
    <t>Edificio La Coruña-Clientes</t>
  </si>
  <si>
    <t>Edificio La Coruña-Proyecto</t>
  </si>
  <si>
    <t>Edificio La Coruña-GAF</t>
  </si>
  <si>
    <t>Edificio La Coruña-PV Inmob.</t>
  </si>
  <si>
    <t>Edificio La Coruña-Depto.Técnico</t>
  </si>
  <si>
    <t>Vista del Valle III</t>
  </si>
  <si>
    <t>Vista del Valle III-Marketing</t>
  </si>
  <si>
    <t>Vista del Valle III-Operaciones</t>
  </si>
  <si>
    <t>Vista del Valle III-Ventas</t>
  </si>
  <si>
    <t>Vista del Valle III-Clientes</t>
  </si>
  <si>
    <t>Vista del Valle III-Proyecto</t>
  </si>
  <si>
    <t>Vista del Valle III-GAF</t>
  </si>
  <si>
    <t>Vista del Valle III-PV Inmob.</t>
  </si>
  <si>
    <t>Vista del Valle III-Depto.Técnico</t>
  </si>
  <si>
    <t>Edificio Pedro Prado</t>
  </si>
  <si>
    <t>Edificio Pedro Prado-MARKETING</t>
  </si>
  <si>
    <t>Edificio Pedro Prado-OPERACIONES</t>
  </si>
  <si>
    <t>Edificio Pedro Prado-VENTAS</t>
  </si>
  <si>
    <t>Edificio Pedro Prado-CLIENTES</t>
  </si>
  <si>
    <t>Edificio Pedro Prado-Proyecto</t>
  </si>
  <si>
    <t>Edificio Pedro Prado-GAF</t>
  </si>
  <si>
    <t>Edificio Pedro Prado-PV INMOB.</t>
  </si>
  <si>
    <t>Edificio Pedro Prado-DEPTO.TÉCNICO</t>
  </si>
  <si>
    <t>Alto Mirador-Marketing</t>
  </si>
  <si>
    <t>Alto Mirador-Operaciones</t>
  </si>
  <si>
    <t>Alto Mirador-Ventas</t>
  </si>
  <si>
    <t>Alto Mirador-Clientes</t>
  </si>
  <si>
    <t>Alto Mirador-Proyecto</t>
  </si>
  <si>
    <t>Alto Mirador-GAF</t>
  </si>
  <si>
    <t>Alto Mirador-PV Inmob.</t>
  </si>
  <si>
    <t>Alto Mirador-Depto.Técnico</t>
  </si>
  <si>
    <t>Tranquila-Marketing</t>
  </si>
  <si>
    <t>Tranquila-Operaciones</t>
  </si>
  <si>
    <t>Tranquila-Ventas</t>
  </si>
  <si>
    <t>Tranquila-Clientes</t>
  </si>
  <si>
    <t>Tranquila-Proyecto</t>
  </si>
  <si>
    <t>Tranquila-GAF</t>
  </si>
  <si>
    <t>Tranquila-PV Inmob.</t>
  </si>
  <si>
    <t>Tranquila-Depto.Técnico</t>
  </si>
  <si>
    <t>Parque Marañon Torre B</t>
  </si>
  <si>
    <t>Parque Marañon Torre B-MARKETING</t>
  </si>
  <si>
    <t>Parque Marañon Torre B-OPERACIONES</t>
  </si>
  <si>
    <t>Parque Marañon Torre B-VENTAS</t>
  </si>
  <si>
    <t>Parque Marañon Torre B-CLIENTES</t>
  </si>
  <si>
    <t>Parque Marañon Torre B-PROYECTO</t>
  </si>
  <si>
    <t>Parque Marañon Torre B-GAF</t>
  </si>
  <si>
    <t>Parque Marañon Torre B-PV INMOB.</t>
  </si>
  <si>
    <t>Parque Marañon Torre B-DEPTO.TÉCNICO</t>
  </si>
  <si>
    <t>Edificio Leon Prado-Marketing</t>
  </si>
  <si>
    <t>Edificio Leon Prado-Operaciones</t>
  </si>
  <si>
    <t>Edificio Leon Prado-Ventas</t>
  </si>
  <si>
    <t>Edificio Leon Prado-Clientes</t>
  </si>
  <si>
    <t>Edificio Leon Prado-Proyecto</t>
  </si>
  <si>
    <t>Edificio Leon Prado-GAF</t>
  </si>
  <si>
    <t>Edificio Leon Prado-PV Inmob.</t>
  </si>
  <si>
    <t>Edificio Leon Prado-Depto.Técnico</t>
  </si>
  <si>
    <t>Edificio Garcia Reyes-Marketing</t>
  </si>
  <si>
    <t>Edificio Garcia Reyes-Operaciones</t>
  </si>
  <si>
    <t>Edificio Garcia Reyes-Ventas</t>
  </si>
  <si>
    <t>Edificio Garcia Reyes-Clientes</t>
  </si>
  <si>
    <t>Edificio Garcia Reyes-Proyecto</t>
  </si>
  <si>
    <t>Edificio Garcia Reyes-GAF</t>
  </si>
  <si>
    <t>Edificio Garcia Reyes-PV Inmob.</t>
  </si>
  <si>
    <t>Edificio Garcia Reyes-Depto.Técnico</t>
  </si>
  <si>
    <t>Francisco Zelada Torre B-Marketing</t>
  </si>
  <si>
    <t>Francisco Zelada Torre B-Operaciones</t>
  </si>
  <si>
    <t>Francisco Zelada Torre B-Ventas</t>
  </si>
  <si>
    <t>Francisco Zelada Torre B-Clientes</t>
  </si>
  <si>
    <t>Francisco Zelada Torre B-Proyecto</t>
  </si>
  <si>
    <t>Francisco Zelada Torre B-GAF</t>
  </si>
  <si>
    <t>Francisco Zelada Torre B-PV Inmob.</t>
  </si>
  <si>
    <t>Francisco Zelada Torre B-Depto.Técnico</t>
  </si>
  <si>
    <t>Santa Corina-Marketing</t>
  </si>
  <si>
    <t>Santa Corina-Operaciones</t>
  </si>
  <si>
    <t>Santa Corina-Ventas</t>
  </si>
  <si>
    <t>Santa Corina-Clientes</t>
  </si>
  <si>
    <t>Santa Corina-Proyecto</t>
  </si>
  <si>
    <t>Santa Corina-GAF</t>
  </si>
  <si>
    <t>Santa Corina-PV Inmob.</t>
  </si>
  <si>
    <t>Santa Corina-Depto.Técnico</t>
  </si>
  <si>
    <t>Alto Marañon Torre B</t>
  </si>
  <si>
    <t>Alto Marañon Torre B-Marketing</t>
  </si>
  <si>
    <t>Alto Marañon Torre B-Operaciones</t>
  </si>
  <si>
    <t>Alto Marañon Torre B-Ventas</t>
  </si>
  <si>
    <t>Alto Marañon Torre B-Clientes</t>
  </si>
  <si>
    <t>Alto Marañon Torre B-Proyecto</t>
  </si>
  <si>
    <t>Alto Marañon Torre B-GAF</t>
  </si>
  <si>
    <t>Alto Marañon Torre B-PV Inmob.</t>
  </si>
  <si>
    <t>Alto Marañon Torre B-Depto.Técnico</t>
  </si>
  <si>
    <t>Edificio Vista Horizonte-Marketing</t>
  </si>
  <si>
    <t>Edificio Vista Horizonte-Operaciones</t>
  </si>
  <si>
    <t>Edificio Vista Horizonte-Ventas</t>
  </si>
  <si>
    <t>Edificio Vista Horizonte-Clientes</t>
  </si>
  <si>
    <t>Edificio Vista Horizonte-Proyecto</t>
  </si>
  <si>
    <t>Edificio Vista Horizonte-GAF</t>
  </si>
  <si>
    <t>Edificio Vista Horizonte-PV Inmob.</t>
  </si>
  <si>
    <t>Edificio Vista Horizonte-Depto.Técnico</t>
  </si>
  <si>
    <t>Edificio Castillo Urizar-Marketing</t>
  </si>
  <si>
    <t>Edificio Castillo Urizar-Operaciones</t>
  </si>
  <si>
    <t>Edificio Castillo Urizar-Ventas</t>
  </si>
  <si>
    <t>Edificio Castillo Urizar-Clientes</t>
  </si>
  <si>
    <t>Edificio Castillo Urizar-Proyecto</t>
  </si>
  <si>
    <t>Edificio Castillo Urizar-GAF</t>
  </si>
  <si>
    <t>Edificio Castillo Urizar-PV Inmob.</t>
  </si>
  <si>
    <t>Edificio Castillo Urizar-Depto.Técnico</t>
  </si>
  <si>
    <t>Edificio Lia Aguirre-Marketing</t>
  </si>
  <si>
    <t>Edificio Lia Aguirre-Operaciones</t>
  </si>
  <si>
    <t>Edificio Lia Aguirre-Ventas</t>
  </si>
  <si>
    <t>Edificio Lia Aguirre-Clientes</t>
  </si>
  <si>
    <t>Edificio Lia Aguirre-Proyecto</t>
  </si>
  <si>
    <t>Edificio Lia Aguirre-GAF</t>
  </si>
  <si>
    <t>Edificio Lia Aguirre-PV Inmob.</t>
  </si>
  <si>
    <t>Edificio Lia Aguirre-Depto.Técnico</t>
  </si>
  <si>
    <t>Trinidad Ramirez</t>
  </si>
  <si>
    <t>Trinidad Ramirez-Marketing</t>
  </si>
  <si>
    <t>Trinidad Ramirez-Operaciones</t>
  </si>
  <si>
    <t>Trinidad Ramirez-Ventas</t>
  </si>
  <si>
    <t>Trinidad Ramirez-Clientes</t>
  </si>
  <si>
    <t>Trinidad Ramirez-Proyecto</t>
  </si>
  <si>
    <t>Trinidad Ramirez-GAF</t>
  </si>
  <si>
    <t>Trinidad Ramirez-PV Inmob.</t>
  </si>
  <si>
    <t>Trinidad Ramirez-Depto.Técnico</t>
  </si>
  <si>
    <t>Condominio Lago Ranco</t>
  </si>
  <si>
    <t>Condominio Lago Ranco-Marketing</t>
  </si>
  <si>
    <t>Condominio Lago Ranco-Operaciones</t>
  </si>
  <si>
    <t>Condominio Lago Ranco-Ventas</t>
  </si>
  <si>
    <t>Condominio Lago Ranco-Clientes</t>
  </si>
  <si>
    <t>Condominio Lago Ranco-Proyecto</t>
  </si>
  <si>
    <t>Condominio Lago Ranco-GAF</t>
  </si>
  <si>
    <t>Condominio Lago Ranco-PV Inmob.</t>
  </si>
  <si>
    <t>Condominio Lago Ranco-Depto.Técnico</t>
  </si>
  <si>
    <t>Edificio Lynch-Marketing</t>
  </si>
  <si>
    <t>Edificio Lynch-Operaciones</t>
  </si>
  <si>
    <t>Edificio Lynch-Ventas</t>
  </si>
  <si>
    <t>Edificio Lynch-Clientes</t>
  </si>
  <si>
    <t>Edificio Lynch-Proyecto</t>
  </si>
  <si>
    <t>Edificio Lynch-GAF</t>
  </si>
  <si>
    <t>Edificio Lynch-PV Inmob.</t>
  </si>
  <si>
    <t>Edificio Lynch-Depto.Técnico</t>
  </si>
  <si>
    <t>Condominio Manuel Jesus Rivera 2</t>
  </si>
  <si>
    <t>Condominio Manuel Jesus Rivera 2-Marketing</t>
  </si>
  <si>
    <t>Condominio Manuel Jesus Rivera 2-Operaciones</t>
  </si>
  <si>
    <t>Condominio Manuel Jesus Rivera 2-Ventas</t>
  </si>
  <si>
    <t>Condominio Manuel Jesus Rivera 2-Clientes</t>
  </si>
  <si>
    <t>Condominio Manuel Jesus Rivera 2-Proyecto</t>
  </si>
  <si>
    <t>Condominio Manuel Jesus Rivera 2-GAF</t>
  </si>
  <si>
    <t>Condominio Manuel Jesus Rivera 2-PV Inmob.</t>
  </si>
  <si>
    <t>Condominio Manuel Jesus Rivera 2-Depto.Técnico</t>
  </si>
  <si>
    <t>Manuel Jesus Rivera Lote 1</t>
  </si>
  <si>
    <t>Manuel Jesus Rivera Lote 1-Marketing</t>
  </si>
  <si>
    <t>Manuel Jesus Rivera Lote 1-Operaciones</t>
  </si>
  <si>
    <t>Manuel Jesus Rivera Lote 1-Ventas</t>
  </si>
  <si>
    <t>Manuel Jesus Rivera Lote 1-Clientes</t>
  </si>
  <si>
    <t>Manuel Jesus Rivera Lote 1-Proyecto</t>
  </si>
  <si>
    <t>Manuel Jesus Rivera Lote 1-GAF</t>
  </si>
  <si>
    <t>Manuel Jesus Rivera Lote 1-PV Inmob.</t>
  </si>
  <si>
    <t>Manuel Jesus Rivera Lote 1-Depto.Técnico</t>
  </si>
  <si>
    <t>Blanca Estela I Torre A y B-Marketing</t>
  </si>
  <si>
    <t>Blanca Estela I Torre A y B-Operaciones</t>
  </si>
  <si>
    <t>Blanca Estela I Torre A y B-Ventas</t>
  </si>
  <si>
    <t>Blanca Estela I Torre A y B-Clientes</t>
  </si>
  <si>
    <t>Blanca Estela I Torre A y B-Proyecto</t>
  </si>
  <si>
    <t>Blanca Estela I Torre A y B-GAF</t>
  </si>
  <si>
    <t>Blanca Estela I Torre A y B-PV Inmob.</t>
  </si>
  <si>
    <t>Blanca Estela I Torre A y B-Depto.Técnico</t>
  </si>
  <si>
    <t>Blanca Estela II Torre A y B-Marketing</t>
  </si>
  <si>
    <t>Blanca Estela II Torre A y B-Operaciones</t>
  </si>
  <si>
    <t>Blanca Estela II Torre A y B-Ventas</t>
  </si>
  <si>
    <t>Blanca Estela II Torre A y B-Clientes</t>
  </si>
  <si>
    <t>Blanca Estela II Torre A y B-Proyecto</t>
  </si>
  <si>
    <t>Blanca Estela II Torre A y B-GAF</t>
  </si>
  <si>
    <t>Blanca Estela II Torre A y B-PV Inmob.</t>
  </si>
  <si>
    <t>Blanca Estela II Torre A y B-Depto.Técnico</t>
  </si>
  <si>
    <t>DS49 Valle Alto Placilla</t>
  </si>
  <si>
    <t>DS49 Valle Alto Placilla-Marketing</t>
  </si>
  <si>
    <t>DS49 Valle Alto Placilla-Operaciones</t>
  </si>
  <si>
    <t>DS49 Valle Alto Placilla-Ventas</t>
  </si>
  <si>
    <t>DS49 Valle Alto Placilla-Clientes</t>
  </si>
  <si>
    <t>DS49 Valle Alto Placilla-Proyecto</t>
  </si>
  <si>
    <t>DS49 Valle Alto Placilla-GAF</t>
  </si>
  <si>
    <t>DS49 Valle Alto Placilla-PV Inmob.</t>
  </si>
  <si>
    <t>DS49 Valle Alto Placilla-Depto.Técnico</t>
  </si>
  <si>
    <t>Alto Marañon 3-Marketing</t>
  </si>
  <si>
    <t>Alto Marañon 3-Operaciones</t>
  </si>
  <si>
    <t>Alto Marañon 3-Ventas</t>
  </si>
  <si>
    <t>Alto Marañon 3-Clientes</t>
  </si>
  <si>
    <t>Alto Marañon 3-Proyecto</t>
  </si>
  <si>
    <t>Alto Marañon 3-GAF</t>
  </si>
  <si>
    <t>Alto Marañon 3-PV Inmob.</t>
  </si>
  <si>
    <t>Alto Marañon 3-Depto.Técnico</t>
  </si>
  <si>
    <t>Vicente Reyes-Marketing</t>
  </si>
  <si>
    <t>Vicente Reyes-Operaciones</t>
  </si>
  <si>
    <t>Vicente Reyes-Ventas</t>
  </si>
  <si>
    <t>Vicente Reyes-Clientes</t>
  </si>
  <si>
    <t>Vicente Reyes-Proyecto</t>
  </si>
  <si>
    <t>Vicente Reyes-GAF</t>
  </si>
  <si>
    <t>Vicente Reyes-PV Inmob.</t>
  </si>
  <si>
    <t>Vicente Reyes-Depto.Técnico</t>
  </si>
  <si>
    <t>Edificio Libertad-Marketing</t>
  </si>
  <si>
    <t>Edificio Libertad-Operaciones</t>
  </si>
  <si>
    <t>Edificio Libertad-Ventas</t>
  </si>
  <si>
    <t>Edificio Libertad-Clientes</t>
  </si>
  <si>
    <t>Edificio Libertad-Proyecto</t>
  </si>
  <si>
    <t>Edificio Libertad-GAF</t>
  </si>
  <si>
    <t>Edificio Libertad-PV Inmob.</t>
  </si>
  <si>
    <t>Edificio Libertad-Depto.Técnico</t>
  </si>
  <si>
    <t>Edificio Latorre-Marketing</t>
  </si>
  <si>
    <t>Edificio Latorre-Operaciones</t>
  </si>
  <si>
    <t>Edificio Latorre-Ventas</t>
  </si>
  <si>
    <t>Edificio Latorre-Clientes</t>
  </si>
  <si>
    <t>Edificio Latorre-Proyecto</t>
  </si>
  <si>
    <t>Edificio Latorre-GAF</t>
  </si>
  <si>
    <t>Edificio Latorre-PV Inmob.</t>
  </si>
  <si>
    <t>Edificio Latorre-Depto.Técnico</t>
  </si>
  <si>
    <t>18 de Septiembre-Marketing</t>
  </si>
  <si>
    <t>18 de Septiembre-Operaciones</t>
  </si>
  <si>
    <t>18 de Septiembre-Ventas</t>
  </si>
  <si>
    <t>18 de Septiembre-Clientes</t>
  </si>
  <si>
    <t>18 de Septiembre-Proyecto</t>
  </si>
  <si>
    <t>18 de Septiembre-GAF</t>
  </si>
  <si>
    <t>18 de Septiembre-PV Inmob.</t>
  </si>
  <si>
    <t>18 de Septiembre-Depto.Técnico</t>
  </si>
  <si>
    <t>Condominio Jardines del Sur Etapa 1</t>
  </si>
  <si>
    <t>Condominio Jardines del Sur Etapa 1-Marketing</t>
  </si>
  <si>
    <t>Condominio Jardines del Sur Etapa 1-Operaciones</t>
  </si>
  <si>
    <t>Condominio Jardines del Sur Etapa 1-Ventas</t>
  </si>
  <si>
    <t>Condominio Jardines del Sur Etapa 1-Clientes</t>
  </si>
  <si>
    <t>Condominio Jardines del Sur Etapa 1-Proyecto</t>
  </si>
  <si>
    <t>Condominio Jardines del Sur Etapa 1-GAF</t>
  </si>
  <si>
    <t>Condominio Jardines del Sur Etapa 1-PV Inmob.</t>
  </si>
  <si>
    <t>Condominio Jardines del Sur Etapa 1-Depto.Técnico</t>
  </si>
  <si>
    <t>Condominio Jardines del Sur Etapa 2</t>
  </si>
  <si>
    <t>Condominio Jardines del Sur Etapa 2-Marketing</t>
  </si>
  <si>
    <t>Condominio Jardines del Sur Etapa 2-Operaciones</t>
  </si>
  <si>
    <t>Condominio Jardines del Sur Etapa 2-Ventas</t>
  </si>
  <si>
    <t>Condominio Jardines del Sur Etapa 2-Clientes</t>
  </si>
  <si>
    <t>Condominio Jardines del Sur Etapa 2-Proyecto</t>
  </si>
  <si>
    <t>Condominio Jardines del Sur Etapa 2-GAF</t>
  </si>
  <si>
    <t>Condominio Jardines del Sur Etapa 2-PV Inmob.</t>
  </si>
  <si>
    <t>Condominio Jardines del Sur Etapa 2-Depto.Técnico</t>
  </si>
  <si>
    <t>Edificio Pedro de la Barra</t>
  </si>
  <si>
    <t>Edificio Pedro de la Barra-Marketing</t>
  </si>
  <si>
    <t>Edificio Pedro de la Barra-Operaciones</t>
  </si>
  <si>
    <t>Edificio Pedro de la Barra-Ventas</t>
  </si>
  <si>
    <t>Edificio Pedro de la Barra-Clientes</t>
  </si>
  <si>
    <t>Edificio Pedro de la Barra-Proyecto</t>
  </si>
  <si>
    <t>Edificio Pedro de la Barra-GAF</t>
  </si>
  <si>
    <t>Edificio Pedro de la Barra-PV Inmob.</t>
  </si>
  <si>
    <t>Edificio Pedro de la Barra-Depto.Técnico</t>
  </si>
  <si>
    <t>Condominio Jorge Cáceres Etapa 2</t>
  </si>
  <si>
    <t>Condominio Jorge Cáceres Etapa 2-Marketing</t>
  </si>
  <si>
    <t>Condominio Jorge Cáceres Etapa 2-Operaciones</t>
  </si>
  <si>
    <t>Condominio Jorge Cáceres Etapa 2-Ventas</t>
  </si>
  <si>
    <t>Condominio Jorge Cáceres Etapa 2-Clientes</t>
  </si>
  <si>
    <t>Condominio Jorge Cáceres Etapa 2-Proyecto</t>
  </si>
  <si>
    <t>Condominio Jorge Cáceres Etapa 2-GAF</t>
  </si>
  <si>
    <t>Condominio Jorge Cáceres Etapa 2-PV Inmob.</t>
  </si>
  <si>
    <t>Condominio Jorge Cáceres Etapa 2-Depto.Técnico</t>
  </si>
  <si>
    <t>Parque Marañon Torre A-Marketing</t>
  </si>
  <si>
    <t>Parque Marañon Torre A-Operaciones</t>
  </si>
  <si>
    <t>Parque Marañon Torre A-Ventas</t>
  </si>
  <si>
    <t>Parque Marañon Torre A-Clientes</t>
  </si>
  <si>
    <t>Parque Marañon Torre A-Proyecto</t>
  </si>
  <si>
    <t>Parque Marañon Torre A-GAF</t>
  </si>
  <si>
    <t>Parque Marañon Torre A-PV Inmob.</t>
  </si>
  <si>
    <t>Parque Marañon Torre A-Depto.Técnico</t>
  </si>
  <si>
    <t>Condominio Parque Del Sur Torre A-Marketing</t>
  </si>
  <si>
    <t>Condominio Parque Del Sur Torre A-Operaciones</t>
  </si>
  <si>
    <t>Condominio Parque Del Sur Torre A-Ventas</t>
  </si>
  <si>
    <t>Condominio Parque Del Sur Torre A-Clientes</t>
  </si>
  <si>
    <t>Condominio Parque Del Sur Torre A-Proyecto</t>
  </si>
  <si>
    <t>Condominio Parque Del Sur Torre A-GAF</t>
  </si>
  <si>
    <t>Condominio Parque Del Sur Torre A-PV Inmob.</t>
  </si>
  <si>
    <t>Condominio Parque Del Sur Torre A-Depto.Técnico</t>
  </si>
  <si>
    <t>El Yodo-Marketing</t>
  </si>
  <si>
    <t>El Yodo-Operaciones</t>
  </si>
  <si>
    <t>El Yodo-Ventas</t>
  </si>
  <si>
    <t>El Yodo-Clientes</t>
  </si>
  <si>
    <t>El Yodo-Proyecto</t>
  </si>
  <si>
    <t>El Yodo-GAF</t>
  </si>
  <si>
    <t>El Yodo-PV Inmob.</t>
  </si>
  <si>
    <t>El Yodo-Depto.Técnico</t>
  </si>
  <si>
    <t>Miraflores Lote 1 Edificio 1-Marketing</t>
  </si>
  <si>
    <t>Miraflores Lote 1 Edificio 1-Operaciones</t>
  </si>
  <si>
    <t>Miraflores Lote 1 Edificio 1-Ventas</t>
  </si>
  <si>
    <t>Miraflores Lote 1 Edificio 1-Clientes</t>
  </si>
  <si>
    <t>Miraflores Lote 1 Edificio 1-Proyecto</t>
  </si>
  <si>
    <t>Miraflores Lote 1 Edificio 1-GAF</t>
  </si>
  <si>
    <t>Miraflores Lote 1 Edificio 1-PV Inmob.</t>
  </si>
  <si>
    <t>Miraflores Lote 1 Edificio 1-Depto.Técnico</t>
  </si>
  <si>
    <t>Edificio Alvarez Oriente-Marketing</t>
  </si>
  <si>
    <t>Edificio Alvarez Oriente-Operaciones</t>
  </si>
  <si>
    <t>Edificio Alvarez Oriente-Ventas</t>
  </si>
  <si>
    <t>Edificio Alvarez Oriente-Clientes</t>
  </si>
  <si>
    <t>Edificio Alvarez Oriente-Proyecto</t>
  </si>
  <si>
    <t>Edificio Alvarez Oriente-GAF</t>
  </si>
  <si>
    <t>Edificio Alvarez Oriente-PV Inmob.</t>
  </si>
  <si>
    <t>Edificio Alvarez Oriente-Depto.Técnico</t>
  </si>
  <si>
    <t>Miraflores Lote 2-Marketing</t>
  </si>
  <si>
    <t>Miraflores Lote 2-Operaciones</t>
  </si>
  <si>
    <t>Miraflores Lote 2-Ventas</t>
  </si>
  <si>
    <t>Miraflores Lote 2-Clientes</t>
  </si>
  <si>
    <t>Miraflores Lote 2-Proyecto</t>
  </si>
  <si>
    <t>Miraflores Lote 2-GAF</t>
  </si>
  <si>
    <t>Miraflores Lote 2-PV Inmob.</t>
  </si>
  <si>
    <t>Miraflores Lote 2-Depto.Técnico</t>
  </si>
  <si>
    <t>Edificio Liparita-Marketing</t>
  </si>
  <si>
    <t>Edificio Liparita-Operaciones</t>
  </si>
  <si>
    <t>Edificio Liparita-Ventas</t>
  </si>
  <si>
    <t>Edificio Liparita-Clientes</t>
  </si>
  <si>
    <t>Edificio Liparita-Proyecto</t>
  </si>
  <si>
    <t>Edificio Liparita-GAF</t>
  </si>
  <si>
    <t>Edificio Liparita-PV Inmob.</t>
  </si>
  <si>
    <t>Edificio Liparita-Depto.Técnico</t>
  </si>
  <si>
    <t>Francisco Zelada Torre A-Marketing</t>
  </si>
  <si>
    <t>Francisco Zelada Torre A-Operaciones</t>
  </si>
  <si>
    <t>Francisco Zelada Torre A-Ventas</t>
  </si>
  <si>
    <t>Francisco Zelada Torre A-Clientes</t>
  </si>
  <si>
    <t>Francisco Zelada Torre A-Proyecto</t>
  </si>
  <si>
    <t>Francisco Zelada Torre A-GAF</t>
  </si>
  <si>
    <t>Francisco Zelada Torre A-PV Inmob.</t>
  </si>
  <si>
    <t>Francisco Zelada Torre A-Depto.Técnico</t>
  </si>
  <si>
    <t>Carmen 1879-Marketing</t>
  </si>
  <si>
    <t>Carmen 1879-Operaciones</t>
  </si>
  <si>
    <t>Carmen 1879-Ventas</t>
  </si>
  <si>
    <t>Carmen 1879-Clientes</t>
  </si>
  <si>
    <t>Carmen 1879-Proyecto</t>
  </si>
  <si>
    <t>Carmen 1879-GAF</t>
  </si>
  <si>
    <t>Carmen 1879-PV Inmob.</t>
  </si>
  <si>
    <t>Carmen 1879-Depto.Técnico</t>
  </si>
  <si>
    <t>DS19 Gran Avenida Etapa 1 (Torre C-D)</t>
  </si>
  <si>
    <t>DS19 Gran Avenida Etapa 1 (Torre C-D)-Marketing</t>
  </si>
  <si>
    <t>DS19 Gran Avenida Etapa 1 (Torre C-D)-Operaciones</t>
  </si>
  <si>
    <t>DS19 Gran Avenida Etapa 1 (Torre C-D)-Ventas</t>
  </si>
  <si>
    <t>DS19 Gran Avenida Etapa 1 (Torre C-D)-Clientes</t>
  </si>
  <si>
    <t>DS19 Gran Avenida Etapa 1 (Torre C-D)-Proyecto</t>
  </si>
  <si>
    <t>DS19 Gran Avenida Etapa 1 (Torre C-D)-GAF</t>
  </si>
  <si>
    <t>DS19 Gran Avenida Etapa 1 (Torre C-D)-PV Inmob.</t>
  </si>
  <si>
    <t>DS19 Gran Avenida Etapa 1 (Torre C-D)-Depto.Técnico</t>
  </si>
  <si>
    <t>DS19 Gran Avenida Etapa 2 (Torre A-B)</t>
  </si>
  <si>
    <t>DS19 Gran Avenida Etapa 2 (Torre A-B)-Marketing</t>
  </si>
  <si>
    <t>DS19 Gran Avenida Etapa 2 (Torre A-B)-Operaciones</t>
  </si>
  <si>
    <t>DS19 Gran Avenida Etapa 2 (Torre A-B)-Ventas</t>
  </si>
  <si>
    <t>DS19 Gran Avenida Etapa 2 (Torre A-B)-Clientes</t>
  </si>
  <si>
    <t>DS19 Gran Avenida Etapa 2 (Torre A-B)-Proyecto</t>
  </si>
  <si>
    <t>DS19 Gran Avenida Etapa 2 (Torre A-B)-GAF</t>
  </si>
  <si>
    <t>DS19 Gran Avenida Etapa 2 (Torre A-B)-Depto.Técnico</t>
  </si>
  <si>
    <t>Labbé 1172-Marketing</t>
  </si>
  <si>
    <t>Labbé 1172-Operaciones</t>
  </si>
  <si>
    <t>Labbé 1172-Ventas</t>
  </si>
  <si>
    <t>Labbé 1172-Clientes</t>
  </si>
  <si>
    <t>Labbé 1172-Proyecto</t>
  </si>
  <si>
    <t>Labbé 1172-GAF</t>
  </si>
  <si>
    <t>Labbé 1172-PV Inmob.</t>
  </si>
  <si>
    <t>Labbé 1172-Depto.Técnico</t>
  </si>
  <si>
    <t>Condominio Parque Del Sur Torre B</t>
  </si>
  <si>
    <t>Condominio Parque Del Sur Torre B-Marketing</t>
  </si>
  <si>
    <t>Condominio Parque Del Sur Torre B-Operaciones</t>
  </si>
  <si>
    <t>Condominio Parque Del Sur Torre B-Ventas</t>
  </si>
  <si>
    <t>Condominio Parque Del Sur Torre B-Clientes</t>
  </si>
  <si>
    <t>Condominio Parque Del Sur Torre B-Proyecto</t>
  </si>
  <si>
    <t>Condominio Parque Del Sur Torre B-GAF</t>
  </si>
  <si>
    <t>Condominio Parque Del Sur Torre B-PV Inmob.</t>
  </si>
  <si>
    <t>Condominio Parque Del Sur Torre B-Depto.Técnico</t>
  </si>
  <si>
    <t>Condominio Parque Del Sur Torre C</t>
  </si>
  <si>
    <t>Condominio Parque Del Sur Torre C-Marketing</t>
  </si>
  <si>
    <t>Condominio Parque Del Sur Torre C-Operaciones</t>
  </si>
  <si>
    <t>Condominio Parque Del Sur Torre C-Ventas</t>
  </si>
  <si>
    <t>Condominio Parque Del Sur Torre C-Clientes</t>
  </si>
  <si>
    <t>Condominio Parque Del Sur Torre C-Proyecto</t>
  </si>
  <si>
    <t>Condominio Parque Del Sur Torre C-GAF</t>
  </si>
  <si>
    <t>Condominio Parque Del Sur Torre C-PV Inmob.</t>
  </si>
  <si>
    <t>Condominio Parque Del Sur Torre C-Depto.Técnico</t>
  </si>
  <si>
    <t>Subtipo</t>
  </si>
  <si>
    <t>Nombre de Cuenta Contable</t>
  </si>
  <si>
    <t>Provisión Costos Termino de Obra</t>
  </si>
  <si>
    <t>Provisión Costos Terminos de Obra</t>
  </si>
  <si>
    <t>IVA Proveedores DS-19</t>
  </si>
  <si>
    <t>IVA Subcontratos DS-19</t>
  </si>
  <si>
    <t>Oficina Central</t>
  </si>
  <si>
    <t>Entrega Inmobiliaria</t>
  </si>
  <si>
    <t>Facturas por Recibir IC</t>
  </si>
  <si>
    <t>Facturas por Pagar (INGRESADAS)</t>
  </si>
  <si>
    <t>Materiales De Entrega y PV</t>
  </si>
  <si>
    <t>Garantía Pagadas</t>
  </si>
  <si>
    <t>Efecto Curva Post Venta</t>
  </si>
  <si>
    <t>Gerencia de Clientes (No Vigente)</t>
  </si>
  <si>
    <t>Marketing (No Vigente)</t>
  </si>
  <si>
    <t>Escrituración (No Vigente)</t>
  </si>
  <si>
    <t>Equipo Ventas Norte 1 (Iquique) (No Vigente)</t>
  </si>
  <si>
    <t>Equipo Ventas ZC (No Vigente)</t>
  </si>
  <si>
    <t>Equipo Ventas V Región (No Vigente)</t>
  </si>
  <si>
    <t>Clientes Norte</t>
  </si>
  <si>
    <t>Clientes V Región</t>
  </si>
  <si>
    <t>Clientes ZC</t>
  </si>
  <si>
    <t>Depto Proyectos Zonal V Región (No Vigente)</t>
  </si>
  <si>
    <t>Depto Proyectos Zonal Norte 1 (Iquique) (No Vigente)</t>
  </si>
  <si>
    <t>Depto Proyectos Zonal Norte 2 (Antofagasta) (No Vigente)</t>
  </si>
  <si>
    <t>Depto Proyectos Zonal ZC (No Vigente)</t>
  </si>
  <si>
    <t>Depto Proyectos Zonal Norte 3 (Coquimbo) (No Vigente)</t>
  </si>
  <si>
    <t>Oficina Central (No Vigente)</t>
  </si>
  <si>
    <t>Oficina Central TI (No Vigente)</t>
  </si>
  <si>
    <t>Reajuste Reman. Impuestos</t>
  </si>
  <si>
    <t>Utilidades Por Inversiones Financieras</t>
  </si>
  <si>
    <t>Oficina Central Capital Humano (No Vigente)</t>
  </si>
  <si>
    <t>Gerencia General Corp (No Vigente)</t>
  </si>
  <si>
    <t>Directorio (No Vigente)</t>
  </si>
  <si>
    <t>PRODUCTIVIDAD CONSTRUCTORA (NO VIGENTE) (No Vigente)</t>
  </si>
  <si>
    <t>Bodega Central</t>
  </si>
  <si>
    <t>Gerencia de Clientes</t>
  </si>
  <si>
    <t>Marketing</t>
  </si>
  <si>
    <t>Servicio al Cliente</t>
  </si>
  <si>
    <t>Equipo Ventas Norte 1 (Iquique)</t>
  </si>
  <si>
    <t>Equipo Ventas Norte 2 (Antofagasta)</t>
  </si>
  <si>
    <t>Equipo Ventas ZC</t>
  </si>
  <si>
    <t>Equipo Ventas V Región</t>
  </si>
  <si>
    <t>Equipo Ventas Norte 3 (Coquimbo)</t>
  </si>
  <si>
    <t>Gerencia Inversiones, Técnico y Desarrollo</t>
  </si>
  <si>
    <t>Depto Proyectos Zonal V Región</t>
  </si>
  <si>
    <t>Depto Proyectos Zonal Norte 1 (Iquique)</t>
  </si>
  <si>
    <t>Depto Proyectos Zonal Norte 2 (Antofagasta)</t>
  </si>
  <si>
    <t>Depto Proyectos Zonal ZC</t>
  </si>
  <si>
    <t>Gerencia Operaciones Inmobiliarias</t>
  </si>
  <si>
    <t>Depto Proyectos Zonal Norte 3 (Coquimbo)</t>
  </si>
  <si>
    <t>Gerencia Administración y Finanzas</t>
  </si>
  <si>
    <t>Contabilidad</t>
  </si>
  <si>
    <t>Control de Gestión</t>
  </si>
  <si>
    <t>Tecnologías de Información</t>
  </si>
  <si>
    <t>Capital Humano</t>
  </si>
  <si>
    <t>Finanzas</t>
  </si>
  <si>
    <t>Capital Preferente UF</t>
  </si>
  <si>
    <t>RUnid Reaj Deudas Otros Créditos UF</t>
  </si>
  <si>
    <t>Administración</t>
  </si>
  <si>
    <t>Oficina Central TI</t>
  </si>
  <si>
    <t>Oficina Central Contabilidad</t>
  </si>
  <si>
    <t>Contabilidad General</t>
  </si>
  <si>
    <t>Oficina Central Procesos</t>
  </si>
  <si>
    <t>Oficina Central Capital Humano</t>
  </si>
  <si>
    <t>Gerencia General Corp</t>
  </si>
  <si>
    <t>Directorio</t>
  </si>
  <si>
    <t>Gerencia Legal</t>
  </si>
  <si>
    <t>Adquisiciones</t>
  </si>
  <si>
    <t>Seguridad</t>
  </si>
  <si>
    <t>Coordinación de Proyectos</t>
  </si>
  <si>
    <t>Depto. Técnico Norte 1 (Iquique)</t>
  </si>
  <si>
    <t>Depto. Técnico Norte 2 (Antofagasta)</t>
  </si>
  <si>
    <t>Depto. Técnico ZC</t>
  </si>
  <si>
    <t>Depto. Técnico V Región</t>
  </si>
  <si>
    <t>Depto. Técnico Norte 3 (Coquimbo)</t>
  </si>
  <si>
    <t>Gerencia Construcción</t>
  </si>
  <si>
    <t>Comercial</t>
  </si>
  <si>
    <t>Productividad Constructora</t>
  </si>
  <si>
    <t>Sub Gerencia Técnica</t>
  </si>
  <si>
    <t>Calidad Constructora</t>
  </si>
  <si>
    <t>Otros Oficina Central</t>
  </si>
  <si>
    <t>Provision Vacaciones</t>
  </si>
  <si>
    <t>Planificación y Control de Obras</t>
  </si>
  <si>
    <t>Terreno</t>
  </si>
  <si>
    <t>Contribuciones Terrenos</t>
  </si>
  <si>
    <t>Terreno Para Proyecto</t>
  </si>
  <si>
    <t>Reajuste UF creditos bancarios</t>
  </si>
  <si>
    <t>Préstamos Bancarios CLP</t>
  </si>
  <si>
    <t>Préstamos Bancarios en UF</t>
  </si>
  <si>
    <t>Puente Pasivos Financieros UF C/CR</t>
  </si>
  <si>
    <t>Sin Centro de Gestión</t>
  </si>
  <si>
    <t>Pagare UF</t>
  </si>
  <si>
    <t>Pagarés UF 2</t>
  </si>
  <si>
    <t>Pagarés UF Arriendo</t>
  </si>
  <si>
    <t>Deudores por Venta Cta Puente DTE</t>
  </si>
  <si>
    <t>Deudores por Venta Contra Escritura UF</t>
  </si>
  <si>
    <t>Deudores por Venta Pagare UF</t>
  </si>
  <si>
    <t>Estimación Deudores Por Venta Incobrables</t>
  </si>
  <si>
    <t>Valores por Recuperar Clientes Hipotecario Mutuo CLP</t>
  </si>
  <si>
    <t>Valores por Recuperar Clientes Subsidios Habitacional CLP</t>
  </si>
  <si>
    <t>Valores por Recuperar Clientes Créditos Complementarios CLP</t>
  </si>
  <si>
    <t>Valores por Recuperar Clientes Contra Escritura CLP</t>
  </si>
  <si>
    <t>Valores por Recuperar Clientes Libreta De Ahorro CLP</t>
  </si>
  <si>
    <t>Otros Documentos Por Cobrar</t>
  </si>
  <si>
    <t>Cheques Por Cobrar</t>
  </si>
  <si>
    <t>Stock Departamentos</t>
  </si>
  <si>
    <t>Stock Estacionamientos</t>
  </si>
  <si>
    <t>Stock Bodegas</t>
  </si>
  <si>
    <t>Traspaso A Existencias</t>
  </si>
  <si>
    <t>Traspaso Provisión Costo Inmobiliario</t>
  </si>
  <si>
    <t>Pagaré en UF L/P</t>
  </si>
  <si>
    <t>Deudas por Operaciones de Factoring</t>
  </si>
  <si>
    <t>Intereses Diferidos Pagaré CP UF</t>
  </si>
  <si>
    <t>Intereses Diferidos Pagaré CP UF Arriendo</t>
  </si>
  <si>
    <t>Provisión Costos Inmobiliarios</t>
  </si>
  <si>
    <t>Intereses Diferidos Pagaré LP UF</t>
  </si>
  <si>
    <t>Ventas Bodegas</t>
  </si>
  <si>
    <t>Ventas Estacionamientos</t>
  </si>
  <si>
    <t>Intereses Ganados</t>
  </si>
  <si>
    <t>Costo Venta Estacionamientos</t>
  </si>
  <si>
    <t>Costo Venta Bodegas</t>
  </si>
  <si>
    <t>RUnid Reaj Deudas Bancarias UF Otros Créditos</t>
  </si>
  <si>
    <t>Marketing Proyectos</t>
  </si>
  <si>
    <t>Proyecto Operaciones Comerciales</t>
  </si>
  <si>
    <t>Construcción Sala De Ventas</t>
  </si>
  <si>
    <t>Provisión Promociones</t>
  </si>
  <si>
    <t>Comisión Venta Externos</t>
  </si>
  <si>
    <t>Proyecto Servicio al Cliente</t>
  </si>
  <si>
    <t>Fondos de Operación por Cobrar</t>
  </si>
  <si>
    <t>Proyecto Depto Proyectos</t>
  </si>
  <si>
    <t>Boletas de Garantias Varias</t>
  </si>
  <si>
    <t>Boletas de Garantias Varias UF</t>
  </si>
  <si>
    <t>Anticipos De Obra x Cobrar A EERR C/P EN UF</t>
  </si>
  <si>
    <t>Demolición</t>
  </si>
  <si>
    <t>Contrato de Construcción</t>
  </si>
  <si>
    <t>Obras Extras</t>
  </si>
  <si>
    <t>Arquitectura</t>
  </si>
  <si>
    <t>Ito</t>
  </si>
  <si>
    <t>Instalación Empalmes</t>
  </si>
  <si>
    <t>Obras De Urbanización</t>
  </si>
  <si>
    <t>Traspaso Mobiliario Piloto</t>
  </si>
  <si>
    <t>Decoración Espac. Comunes</t>
  </si>
  <si>
    <t>Facturas Por Recibir</t>
  </si>
  <si>
    <t>Gastos Municipales</t>
  </si>
  <si>
    <t>PAPELERIA Y FOTOCOPIADO</t>
  </si>
  <si>
    <t>Otros Gastos y Aseso Proy</t>
  </si>
  <si>
    <t>Honor. EERR Ases. Legal</t>
  </si>
  <si>
    <t>Dif. Provisión de Costos</t>
  </si>
  <si>
    <t>Proyecto GAF</t>
  </si>
  <si>
    <t>Seguros Pagados Por Anticipado</t>
  </si>
  <si>
    <t>Int.Crédito Construcción</t>
  </si>
  <si>
    <t>Préstamos Bancarios CLP Otros Créditos</t>
  </si>
  <si>
    <t>Préstamos Bancarios en UF Otros Créditos</t>
  </si>
  <si>
    <t>Seguros Proyecto</t>
  </si>
  <si>
    <t>Impuesto Timbres Y Estampillas Otros Créditos</t>
  </si>
  <si>
    <t>Intereses Crédito Proyecto</t>
  </si>
  <si>
    <t>Ingeniería</t>
  </si>
  <si>
    <t>Edificio Coronel Souper-PV Inmob.</t>
  </si>
  <si>
    <t>Concatenar Centro</t>
  </si>
  <si>
    <t>Concatenar Cuenta</t>
  </si>
  <si>
    <t>Zona</t>
  </si>
  <si>
    <t>Nombre Proyecto</t>
  </si>
  <si>
    <t>Gerencia</t>
  </si>
  <si>
    <t xml:space="preserve">Estado </t>
  </si>
  <si>
    <t>Parentesco</t>
  </si>
  <si>
    <t>Norte 1 (Iquique)</t>
  </si>
  <si>
    <t>Inmobiliaria</t>
  </si>
  <si>
    <t>1. Abuelo</t>
  </si>
  <si>
    <t>Constructora</t>
  </si>
  <si>
    <t>2. Padre</t>
  </si>
  <si>
    <t>Proyectos Inmobiliarios</t>
  </si>
  <si>
    <t>3. Hijo</t>
  </si>
  <si>
    <t>GAF</t>
  </si>
  <si>
    <t>4. Otro</t>
  </si>
  <si>
    <t>Terreno Alejandro Guzmán – Inversiones</t>
  </si>
  <si>
    <t>Zona Central</t>
  </si>
  <si>
    <t>Alejandro Guzmán</t>
  </si>
  <si>
    <t>No Activo</t>
  </si>
  <si>
    <t>ALEJANDRO GUZMÁN</t>
  </si>
  <si>
    <t>ALEJANDRO GUZMÁN-MARKETING</t>
  </si>
  <si>
    <t>ALEJANDRO GUZMÁN-OPERACIONES</t>
  </si>
  <si>
    <t>Alejandro Guzmán-Ventas</t>
  </si>
  <si>
    <t>Alejandro Guzmán-Clientes</t>
  </si>
  <si>
    <t>Alejandro Guzmán-Proyecto</t>
  </si>
  <si>
    <t>ALEJANDRO GUZMÁN-GAF</t>
  </si>
  <si>
    <t>ALEJANDRO GUZMÁN-PV INMOB.</t>
  </si>
  <si>
    <t>ALEJANDRO GUZMÁN-DEPTO.TÉCNICO</t>
  </si>
  <si>
    <t>Terreno Península Alto Cavancha-Desarrollo</t>
  </si>
  <si>
    <t>Alto Cavancha-SA</t>
  </si>
  <si>
    <t>Terreno Abuelo Proyectos sin Terreno</t>
  </si>
  <si>
    <t>V Región</t>
  </si>
  <si>
    <t>Entrega</t>
  </si>
  <si>
    <t>Alto Marañon Torre A y B</t>
  </si>
  <si>
    <t>Calle Proyecto Mirador</t>
  </si>
  <si>
    <t>Calle Proyecto Mirador - Marketing</t>
  </si>
  <si>
    <t>Calle Proyecto Mirador - Operaciones</t>
  </si>
  <si>
    <t>Calle Proyecto Mirador - Ventas</t>
  </si>
  <si>
    <t>Calle Proyecto Mirador - Clientes</t>
  </si>
  <si>
    <t>Calle Proyecto Mirador - Proyecto</t>
  </si>
  <si>
    <t>Calle Proyecto Mirador - GAF</t>
  </si>
  <si>
    <t>Calle Proyecto Mirador - PV Inmob</t>
  </si>
  <si>
    <t>Calle Proyecto Mirador - Depto.Técnico</t>
  </si>
  <si>
    <t>Alto Mirador 1</t>
  </si>
  <si>
    <t>Alto Mirador 1-Marketing</t>
  </si>
  <si>
    <t>Alto Mirador 1-Operaciones</t>
  </si>
  <si>
    <t>Alto Mirador 1-Ventas</t>
  </si>
  <si>
    <t>Alto Mirador 1-Clientes</t>
  </si>
  <si>
    <t>Alto Mirador 1-Proyecto</t>
  </si>
  <si>
    <t>Alto Mirador 1-GAF</t>
  </si>
  <si>
    <t>Alto Mirador 1-PV Inmob.</t>
  </si>
  <si>
    <t>Alto Mirador 1-Depto.Técnico</t>
  </si>
  <si>
    <t>Alto Oriente</t>
  </si>
  <si>
    <t>Alto Oriente-Marketing</t>
  </si>
  <si>
    <t>Alto Oriente-Operaciones</t>
  </si>
  <si>
    <t>Alto Oriente-Ventas</t>
  </si>
  <si>
    <t>Alto Oriente-Clientes</t>
  </si>
  <si>
    <t>Alto Oriente-Proyecto</t>
  </si>
  <si>
    <t>Alto Oriente-GAF</t>
  </si>
  <si>
    <t>Alto Oriente-PV Inmob.</t>
  </si>
  <si>
    <t>Alto Oriente-Depto.Técnico</t>
  </si>
  <si>
    <t>Alto Placeres</t>
  </si>
  <si>
    <t>Edificio Alto Placeres</t>
  </si>
  <si>
    <t>Alto Placeres-Marketing</t>
  </si>
  <si>
    <t>Alto Placeres-Operaciones</t>
  </si>
  <si>
    <t>Alto Placeres-Ventas</t>
  </si>
  <si>
    <t>Alto Placeres-Clientes</t>
  </si>
  <si>
    <t>Alto Placeres-Proyecto</t>
  </si>
  <si>
    <t>Alto Placeres-GAF</t>
  </si>
  <si>
    <t>Alto Placeres-PV Inmob.</t>
  </si>
  <si>
    <t>Alto Placeres-Depto.Técnico</t>
  </si>
  <si>
    <t>Terreno Castilla 2-Desarrollo</t>
  </si>
  <si>
    <t>Altos de Castilla</t>
  </si>
  <si>
    <t>Altos de Castilla-Torre 1</t>
  </si>
  <si>
    <t>Altos de Castilla-Torre 1-Marketing</t>
  </si>
  <si>
    <t>Altos de Castilla-Torre 1-Operaciones</t>
  </si>
  <si>
    <t>Altos de Castilla-Torre 1-Ventas</t>
  </si>
  <si>
    <t>Altos de Castilla-Torre 1-Clientes</t>
  </si>
  <si>
    <t>Altos de Castilla-Torre 1-Proyecto</t>
  </si>
  <si>
    <t>Altos de Castilla-Torre 1-GAF</t>
  </si>
  <si>
    <t>Altos de Castilla-Torre 1-PV Inmob.</t>
  </si>
  <si>
    <t>Altos de Castilla-Torre 1-Depto.Técnico</t>
  </si>
  <si>
    <t>Altos de Castilla-Torre 2</t>
  </si>
  <si>
    <t>Altos de Castilla-Torre 2-Marketing</t>
  </si>
  <si>
    <t>Altos de Castilla-Torre 2-Operaciones</t>
  </si>
  <si>
    <t>Altos de Castilla-Torre 2-Ventas</t>
  </si>
  <si>
    <t>Altos de Castilla-Torre 2-Clientes</t>
  </si>
  <si>
    <t>Altos de Castilla-Torre 2-Proyecto</t>
  </si>
  <si>
    <t>Altos de Castilla-Torre 2-GAF</t>
  </si>
  <si>
    <t>Altos de Castilla-Torre 2-PV Inmob.</t>
  </si>
  <si>
    <t>Altos de Castilla-Torre 2-Depto.Técnico</t>
  </si>
  <si>
    <t>Altovistamar</t>
  </si>
  <si>
    <t>Edificio Alto Vistamar</t>
  </si>
  <si>
    <t>Argomedo Oriente</t>
  </si>
  <si>
    <t>Argomedo Oriente-Marketing</t>
  </si>
  <si>
    <t>Argomedo Oriente-Operaciones</t>
  </si>
  <si>
    <t>Argomedo Oriente-Ventas</t>
  </si>
  <si>
    <t>Argomedo Oriente-Clientes</t>
  </si>
  <si>
    <t>Argomedo Oriente-Proyecto</t>
  </si>
  <si>
    <t>Argomedo Oriente-GAF</t>
  </si>
  <si>
    <t>Argomedo Oriente-PV Inmob.</t>
  </si>
  <si>
    <t>Argomedo Oriente-Depto.Técnico</t>
  </si>
  <si>
    <t>Terreno Arzobispo Fuenzalida-Desarrollo</t>
  </si>
  <si>
    <t>Arzobispo Fuenzalida</t>
  </si>
  <si>
    <t>Arzobispo Fuenzalida-SA</t>
  </si>
  <si>
    <t>Arzobispo Fuenzalida-Marketing</t>
  </si>
  <si>
    <t>Arzobispo Fuenzalida-Operaciones</t>
  </si>
  <si>
    <t>Arzobispo Fuenzalida-Ventas</t>
  </si>
  <si>
    <t>Arzobispo Fuenzalida-Clientes</t>
  </si>
  <si>
    <t>Arzobispo Fuenzalida-Proyecto</t>
  </si>
  <si>
    <t>Arzobispo Fuenzalida-GAF</t>
  </si>
  <si>
    <t>Arzobispo Fuenzalida-PV Inmob.</t>
  </si>
  <si>
    <t>Arzobispo Fuenzalida-Depto.Técnico</t>
  </si>
  <si>
    <t>Atlanta</t>
  </si>
  <si>
    <t>Edificio Atlanta</t>
  </si>
  <si>
    <t>Avenida Central</t>
  </si>
  <si>
    <t>Entrega DS49 Valle Alto Placilla</t>
  </si>
  <si>
    <t>PV DS49 Valle Alto Placilla</t>
  </si>
  <si>
    <t>Barrio Bosque Inglés I</t>
  </si>
  <si>
    <t>Barrio Verde Edificio 1</t>
  </si>
  <si>
    <t>Barrio Bosque Inglés I-Marketing</t>
  </si>
  <si>
    <t>Barrio Bosque Inglés I-Operaciones</t>
  </si>
  <si>
    <t>Barrio Bosque Inglés I-Ventas</t>
  </si>
  <si>
    <t>Barrio Bosque Inglés I-Clientes</t>
  </si>
  <si>
    <t>Barrio Bosque Inglés I-Proyecto</t>
  </si>
  <si>
    <t>Barrio Bosque Inglés I-GAF</t>
  </si>
  <si>
    <t>Barrio Bosque Inglés I-PV Inmob.</t>
  </si>
  <si>
    <t>Barrio Bosque Inglés I-Depto.Técnico</t>
  </si>
  <si>
    <t>Barrio Bosque Inglés II</t>
  </si>
  <si>
    <t>BBI II</t>
  </si>
  <si>
    <t>Barrio Bosque Inglés II-Marketing</t>
  </si>
  <si>
    <t>Barrio Bosque Inglés II-Operaciones</t>
  </si>
  <si>
    <t>Barrio Bosque Inglés II-Ventas</t>
  </si>
  <si>
    <t>Barrio Bosque Inglés II-Clientes</t>
  </si>
  <si>
    <t>Barrio Bosque Inglés II-Proyecto</t>
  </si>
  <si>
    <t>Barrio Bosque Inglés II-GAF</t>
  </si>
  <si>
    <t>Barrio Bosque Inglés II-PV Inmob.</t>
  </si>
  <si>
    <t>Barrio Bosque Inglés II-Depto.Técnico</t>
  </si>
  <si>
    <t>Blanca Estela I Torre A y B y Blanca Estela II Torre A y B</t>
  </si>
  <si>
    <t>Entrega Blanca Estela II Torre A y B</t>
  </si>
  <si>
    <t>PV Blanca Estela II Torre A y B</t>
  </si>
  <si>
    <t>Bodegajes Terrenos BCI-GAF</t>
  </si>
  <si>
    <t>Bodegajes Terrenos BCI</t>
  </si>
  <si>
    <t>Boulevard Barrio Bosque Inglés</t>
  </si>
  <si>
    <t>Boulevard Barrio Bosque Ingles</t>
  </si>
  <si>
    <t>Boulevard Barrio Bosque Inglés-Rentas</t>
  </si>
  <si>
    <t>Boulevard Barrio Bosque Inglés-Marketing</t>
  </si>
  <si>
    <t>Boulevard Barrio Bosque Inglés-Operaciones</t>
  </si>
  <si>
    <t>Boulevard Barrio Bosque Inglés-Ventas</t>
  </si>
  <si>
    <t>Boulevard Barrio Bosque Inglés-Clientes</t>
  </si>
  <si>
    <t>Boulevard Barrio Bosque Inglés-Proyecto</t>
  </si>
  <si>
    <t>Boulevard Barrio Bosque Inglés-GAF</t>
  </si>
  <si>
    <t>Boulevard Barrio Bosque Inglés-Depto.Técnico</t>
  </si>
  <si>
    <t>Boulevard Carmen 233</t>
  </si>
  <si>
    <t>Obra Padre Proyectos sin Obra</t>
  </si>
  <si>
    <t>Boulevard Carmen 233-Marketing</t>
  </si>
  <si>
    <t>Boulevard Carmen 233-Operaciones</t>
  </si>
  <si>
    <t>Boulevard Carmen 233-Ventas</t>
  </si>
  <si>
    <t>Boulevard Carmen 233-Clientes</t>
  </si>
  <si>
    <t>Boulevard Carmen 233-Proyecto</t>
  </si>
  <si>
    <t>Boulevard Carmen 233-GAF</t>
  </si>
  <si>
    <t>Boulevard Carmen 233-Depto.Técnico</t>
  </si>
  <si>
    <t>Boulevard Colón</t>
  </si>
  <si>
    <t>Boulevard Colón-Rentas</t>
  </si>
  <si>
    <t>Boulevard Colón-Marketing</t>
  </si>
  <si>
    <t>Boulevard Colón-Operaciones</t>
  </si>
  <si>
    <t>Boulevard Colón-Ventas</t>
  </si>
  <si>
    <t>Boulevard Colón-Clientes</t>
  </si>
  <si>
    <t>Boulevard Colón-Proyecto</t>
  </si>
  <si>
    <t>Boulevard Colón-GAF</t>
  </si>
  <si>
    <t>Boulevard Colón-Depto.Técnico</t>
  </si>
  <si>
    <t>Boulevard Costa Sur</t>
  </si>
  <si>
    <t>Boulevard Costa Sur-Rentas</t>
  </si>
  <si>
    <t>Boulevard Costa Sur-Marketing</t>
  </si>
  <si>
    <t>Boulevard Costa Sur-Operaciones</t>
  </si>
  <si>
    <t>Boulevard Costa Sur-Ventas</t>
  </si>
  <si>
    <t>Boulevard Costa Sur-Clientes</t>
  </si>
  <si>
    <t>Boulevard Costa Sur-Proyecto</t>
  </si>
  <si>
    <t>Boulevard Costa Sur-GAF</t>
  </si>
  <si>
    <t>Boulevard Costa Sur-Depto.Técnico</t>
  </si>
  <si>
    <t>Boulevard Novo</t>
  </si>
  <si>
    <t>Boulevard Novo-Rentas</t>
  </si>
  <si>
    <t>Norte 2 (Antofagasta)</t>
  </si>
  <si>
    <t>Boulevard Novo-Marketing</t>
  </si>
  <si>
    <t>Boulevard Novo-Operaciones</t>
  </si>
  <si>
    <t>Boulevard Novo-Ventas</t>
  </si>
  <si>
    <t>Boulevard Novo-Clientes</t>
  </si>
  <si>
    <t>Boulevard Novo-Proyecto</t>
  </si>
  <si>
    <t>Boulevard Novo-GAF</t>
  </si>
  <si>
    <t>Boulevard Novo-Depto. Técnico</t>
  </si>
  <si>
    <t>Campanario III</t>
  </si>
  <si>
    <t>Campanario III-GAF</t>
  </si>
  <si>
    <t>CARIE INMOBILIARIA</t>
  </si>
  <si>
    <t>Carmen</t>
  </si>
  <si>
    <t>Entrega Carmen 1879</t>
  </si>
  <si>
    <t xml:space="preserve"> PV Carmen 1879</t>
  </si>
  <si>
    <t>Terreno Carmen 219-Desarrollo</t>
  </si>
  <si>
    <t>Carmen 233</t>
  </si>
  <si>
    <t>Carmen 233-Marketing</t>
  </si>
  <si>
    <t>Carmen 233-Operaciones</t>
  </si>
  <si>
    <t>Carmen 233-Ventas</t>
  </si>
  <si>
    <t>Carmen 233-Clientes</t>
  </si>
  <si>
    <t>Carmen 233-Proyecto</t>
  </si>
  <si>
    <t>Carmen 233-GAF</t>
  </si>
  <si>
    <t>Carmen 233-PV Inmob.</t>
  </si>
  <si>
    <t>Carmen 233-Depto.Técnico</t>
  </si>
  <si>
    <t>Boulevard Carmen 233-Rentas</t>
  </si>
  <si>
    <t>Casas Los Dominicos</t>
  </si>
  <si>
    <t>Casa Zapallar</t>
  </si>
  <si>
    <t>Centro Sacramentinos</t>
  </si>
  <si>
    <t>Centro Sacramentinos-Marketing</t>
  </si>
  <si>
    <t>Centro Sacramentinos-Operaciones</t>
  </si>
  <si>
    <t>Centro Sacramentinos-Ventas</t>
  </si>
  <si>
    <t>Centro Sacramentinos-Clientes</t>
  </si>
  <si>
    <t>Centro Sacramentinos-Proyecto</t>
  </si>
  <si>
    <t>Centro Sacramentinos-GAF</t>
  </si>
  <si>
    <t>Centro Sacramentinos-PV Inmob.</t>
  </si>
  <si>
    <t>Centro Sacramentinos-Depto.Técnico</t>
  </si>
  <si>
    <t>Clinica Los Tiempos</t>
  </si>
  <si>
    <t>Clínica Odontológica</t>
  </si>
  <si>
    <t>Clínicas Odontología UC</t>
  </si>
  <si>
    <t>Club La Foresta</t>
  </si>
  <si>
    <t>Club La Foresta-Marketing</t>
  </si>
  <si>
    <t>Club La Foresta-Operaciones</t>
  </si>
  <si>
    <t>Club La Foresta-Ventas</t>
  </si>
  <si>
    <t>Club La Foresta-Clientes</t>
  </si>
  <si>
    <t>Club La Foresta-Proyecto</t>
  </si>
  <si>
    <t>Club La Foresta-GAF</t>
  </si>
  <si>
    <t>Club La Foresta-PV Inmob.</t>
  </si>
  <si>
    <t>Club La Foresta-Depto. Técnico</t>
  </si>
  <si>
    <t>CLUB LA FORESTA</t>
  </si>
  <si>
    <t>Entrega Club La Foresta              </t>
  </si>
  <si>
    <t>Colegio Saint Margaret</t>
  </si>
  <si>
    <t>Colegio Saint Paul</t>
  </si>
  <si>
    <t>Condom. Castilla Macro</t>
  </si>
  <si>
    <t>Condom. Castilla Macro-Proyecto</t>
  </si>
  <si>
    <t>Condom. Castilla-Depto.Técnico</t>
  </si>
  <si>
    <t>Condominio Activo</t>
  </si>
  <si>
    <t>Condominio Activo Etapa 2</t>
  </si>
  <si>
    <t>Condominio Activo-Marketing</t>
  </si>
  <si>
    <t>Condominio Activo-Operaciones</t>
  </si>
  <si>
    <t>Condominio Activo-Ventas</t>
  </si>
  <si>
    <t>Condominio Activo-Clientes</t>
  </si>
  <si>
    <t>Condominio Activo-Proyecto Norte</t>
  </si>
  <si>
    <t>Condominio Activo-GAF</t>
  </si>
  <si>
    <t>Condominio Activo-PV Inmob.</t>
  </si>
  <si>
    <t>Condominio Activo-Depto.Técnico</t>
  </si>
  <si>
    <t>CONDOMINIO ACTIVO-SA</t>
  </si>
  <si>
    <t>Condominio Castilla</t>
  </si>
  <si>
    <t>Condominio Castilla Et1</t>
  </si>
  <si>
    <t>Condom. Castilla Etapa 1</t>
  </si>
  <si>
    <t>Condom. Castilla Etapa 1-Marketing</t>
  </si>
  <si>
    <t>Condom. Castilla Etapa 1-Operaciones</t>
  </si>
  <si>
    <t>Condom. Castilla Etapa 1-Ventas</t>
  </si>
  <si>
    <t>Condom. Castilla Etapa 1-Clientes</t>
  </si>
  <si>
    <t>Condom. Castilla Etapa 1-Proyecto</t>
  </si>
  <si>
    <t>Condom. Castilla Etapa 1-GAF</t>
  </si>
  <si>
    <t>Condom. Castilla Etapa 1-PV Inmob.</t>
  </si>
  <si>
    <t>Condom. Castilla Etapa 1-Depto.Técnico</t>
  </si>
  <si>
    <t>Condominio Castilla II</t>
  </si>
  <si>
    <t>Condom. Castilla Etapa 2</t>
  </si>
  <si>
    <t>Condom. Castilla Etapa 2-Marketing</t>
  </si>
  <si>
    <t>Condom. Castilla Etapa 2-Operaciones</t>
  </si>
  <si>
    <t>Condom. Castilla Etapa 2-Ventas</t>
  </si>
  <si>
    <t>Condom. Castilla Etapa 2-Clientes</t>
  </si>
  <si>
    <t>Condom. Castilla Etapa 2-Proyecto</t>
  </si>
  <si>
    <t>Condom. Castilla Etapa 2-GAF</t>
  </si>
  <si>
    <t>Condom. Castilla Etapa 2-PV Inmob.</t>
  </si>
  <si>
    <t>Condom. Castilla Etapa 2-Depto.Técnico</t>
  </si>
  <si>
    <t>Condominio Castilla III</t>
  </si>
  <si>
    <t>Condom. Castilla Etapa 3</t>
  </si>
  <si>
    <t>Condom. Castilla Etapa 3-Marketing</t>
  </si>
  <si>
    <t>Condom. Castilla Etapa 3-Operaciones</t>
  </si>
  <si>
    <t>Condom. Castilla Etapa 3-Ventas</t>
  </si>
  <si>
    <t>Condom. Castilla Etapa 3-Clientes</t>
  </si>
  <si>
    <t>Condom. Castilla Etapa 3-Proyecto</t>
  </si>
  <si>
    <t>Condom. Castilla Etapa 3-GAF</t>
  </si>
  <si>
    <t>Condom. Castilla Etapa 3-PV Inmob.</t>
  </si>
  <si>
    <t>Condom. Castilla Etapa 3-Depto.Técnico</t>
  </si>
  <si>
    <t>Condominio Costa Sur Edif. A</t>
  </si>
  <si>
    <t>Costa Sur Torre A</t>
  </si>
  <si>
    <t>Costa Sur Torre A-Marketing</t>
  </si>
  <si>
    <t>Costa Sur Torre A-Operaciones</t>
  </si>
  <si>
    <t>Costa Sur Torre A-Ventas</t>
  </si>
  <si>
    <t>Costa Sur Torre A-Clientes</t>
  </si>
  <si>
    <t>Costa Sur Torre A-Proyecto</t>
  </si>
  <si>
    <t>Costa Sur Torre A-GAF</t>
  </si>
  <si>
    <t>Costa Sur Torre A-PV Inmob.</t>
  </si>
  <si>
    <t>Costa Sur Torre A-Depto.Técnico</t>
  </si>
  <si>
    <t>Condominio Costa Sur Edif. B</t>
  </si>
  <si>
    <t>Costa Sur Torre B</t>
  </si>
  <si>
    <t>Costa Sur Torre B-Marketing</t>
  </si>
  <si>
    <t>Costa Sur Torre B-Operaciones</t>
  </si>
  <si>
    <t>Costa Sur Torre B-Ventas</t>
  </si>
  <si>
    <t>Costa Sur Torre B-Clientes</t>
  </si>
  <si>
    <t>Costa Sur Torre B-Proyecto</t>
  </si>
  <si>
    <t>Costa Sur Torre B-GAF</t>
  </si>
  <si>
    <t>Costa Sur Torre B-PV Inmob.</t>
  </si>
  <si>
    <t>Costa Sur Torre B-Depto.Técnico</t>
  </si>
  <si>
    <t>Terreno DS 19 - Gran Avenida - Inversiones</t>
  </si>
  <si>
    <t>Condominio Gran Avenida Etapa 1</t>
  </si>
  <si>
    <t>Entrega DS19 Gran Avenida Etapa 1 (Torre C-D)</t>
  </si>
  <si>
    <t>PV DS19 Gran Avenida Etapa 1 (Torre C-D)</t>
  </si>
  <si>
    <t>Condominio Gran Avenida Etapa 2</t>
  </si>
  <si>
    <t>Entrega DS19 Gran Avenida Etapa 2 (Torre A-B)</t>
  </si>
  <si>
    <t>PV DS19 Gran Avenida Etapa 2 (Torre A-B)</t>
  </si>
  <si>
    <t>Entrega Condominio Jardines del Sur Etapa 1</t>
  </si>
  <si>
    <t>PV Condominio Jardines del Sur Etapa 1</t>
  </si>
  <si>
    <t>Entrega Condominio Jardines del Sur Etapa 2</t>
  </si>
  <si>
    <t>PV Condominio Jardines del Sur Etapa 2</t>
  </si>
  <si>
    <t>Norte 3 (Coquimbo)</t>
  </si>
  <si>
    <t>Condominio Manuel Jesus Rivera y Condominio Manuel Jesus Rivera 2 y Manuel Jesus Rivera Lote 1</t>
  </si>
  <si>
    <t>Entrega Manuel Jesus Rivera Lote 1</t>
  </si>
  <si>
    <t>PV Manuel Jesus Rivera Lote 1</t>
  </si>
  <si>
    <t>Entrega Condominio Manuel Jesus Rivera 2</t>
  </si>
  <si>
    <t>PV Condominio Manuel Jesus Rivera 2</t>
  </si>
  <si>
    <t>Condominio Parque del Sur Torre A</t>
  </si>
  <si>
    <t>Consistorial Ma Elena</t>
  </si>
  <si>
    <t>Consultorio Andes</t>
  </si>
  <si>
    <t>Consul. San Rafael</t>
  </si>
  <si>
    <t>Consultorio Laurita Vic</t>
  </si>
  <si>
    <t>Consultorio Pudahuel</t>
  </si>
  <si>
    <t>Consultorio San Rafael</t>
  </si>
  <si>
    <t>Consultorio Santa Amalia</t>
  </si>
  <si>
    <t>Consultorio Sta Anselma</t>
  </si>
  <si>
    <t>Costa el Aguila</t>
  </si>
  <si>
    <t>Costa El Águila</t>
  </si>
  <si>
    <t>Costa El Águila-Marketing</t>
  </si>
  <si>
    <t>Costa El Águila-Operaciones</t>
  </si>
  <si>
    <t>Costa El Águila-Ventas</t>
  </si>
  <si>
    <t>Costa El Águila-Clientes</t>
  </si>
  <si>
    <t>Costa El Águila-Proyecto</t>
  </si>
  <si>
    <t>Costa El Águila-GAF</t>
  </si>
  <si>
    <t>Costa El Águila-PV Inmob.</t>
  </si>
  <si>
    <t>Costa El Águila-Depto.Técnico</t>
  </si>
  <si>
    <t>Terreno Irene Morales-Desarrollo</t>
  </si>
  <si>
    <t>Cumbre Placeres</t>
  </si>
  <si>
    <t>Terreno Cumbre Placeres 2-Desarrollo</t>
  </si>
  <si>
    <t>Cumbre Placeres-SA</t>
  </si>
  <si>
    <t>Cumbre Placeres-Marketing</t>
  </si>
  <si>
    <t>Cumbre Placeres-Operaciones</t>
  </si>
  <si>
    <t>Cumbre Placeres-Ventas</t>
  </si>
  <si>
    <t>Cumbre Placeres-Clientes</t>
  </si>
  <si>
    <t>Cumbre Placeres-Proyecto</t>
  </si>
  <si>
    <t>Cumbre Placeres-GAF</t>
  </si>
  <si>
    <t>Cumbre Placeres-PV Inmob.</t>
  </si>
  <si>
    <t>Cumbre Placeres-Depto.Técnico</t>
  </si>
  <si>
    <t>Cumbres de Colón</t>
  </si>
  <si>
    <t>Edificio Colón</t>
  </si>
  <si>
    <t>Cumbres de Colón-Marketing</t>
  </si>
  <si>
    <t>Cumbres de Colón-Operaciones</t>
  </si>
  <si>
    <t>Cumbres de Colón-Ventas</t>
  </si>
  <si>
    <t>Cumbres de Colón-Clientes</t>
  </si>
  <si>
    <t>Cumbres de Colón-Proyecto</t>
  </si>
  <si>
    <t>Cumbres de Colón-GAF</t>
  </si>
  <si>
    <t>Cumbres de Colón-PV Inmob.</t>
  </si>
  <si>
    <t>Cumbres de Colón-Depto.Técnico</t>
  </si>
  <si>
    <t>Cumbres de Colón Torre B</t>
  </si>
  <si>
    <t>Depto. IVM</t>
  </si>
  <si>
    <t>Terreno Ecuador 4698-4702 – Desarrollo</t>
  </si>
  <si>
    <t>Ecuador</t>
  </si>
  <si>
    <t>Ecuador-Marketing</t>
  </si>
  <si>
    <t>Ecuador-Operaciones</t>
  </si>
  <si>
    <t>Ecuador-Ventas</t>
  </si>
  <si>
    <t>Ecuador-Clientes</t>
  </si>
  <si>
    <t>Ecuador-Proyecto</t>
  </si>
  <si>
    <t>Ecuador-GAF</t>
  </si>
  <si>
    <t>Ecuador-PV Inmob.</t>
  </si>
  <si>
    <t>Ecuador-Depto.Técnico</t>
  </si>
  <si>
    <t>Ecuador Macro-Proyecto</t>
  </si>
  <si>
    <t>Edifcio Campanario I</t>
  </si>
  <si>
    <t>Edifcio Campanario II</t>
  </si>
  <si>
    <t>Entrega Edificio Alvarez Oriente</t>
  </si>
  <si>
    <t>PV Edificio Alvarez Oriente</t>
  </si>
  <si>
    <t>Edificio Andrónico Luksic UC</t>
  </si>
  <si>
    <t>Edificio Bicentenario</t>
  </si>
  <si>
    <t>Edificio Bulnes Labbe</t>
  </si>
  <si>
    <t>Edificio Doña Teresa</t>
  </si>
  <si>
    <t>Edificio Duble Almeyda 2621 Exterior</t>
  </si>
  <si>
    <t>Edificio Festival-Desarrollo</t>
  </si>
  <si>
    <t>Edificio Festival</t>
  </si>
  <si>
    <t>Edificio Galvarino Gallardo</t>
  </si>
  <si>
    <t>Edificio Jose Domingo Cañas 2640 Exterior</t>
  </si>
  <si>
    <t>Edificio Llacolen I</t>
  </si>
  <si>
    <t>Edificio Meseta I</t>
  </si>
  <si>
    <t>Edificio Meseta II</t>
  </si>
  <si>
    <t>Edificio Mirador</t>
  </si>
  <si>
    <t>Mirador del Bosque 3</t>
  </si>
  <si>
    <t>Edificio Mirador-Marketing</t>
  </si>
  <si>
    <t>Edificio Mirador-Operaciones</t>
  </si>
  <si>
    <t>Edificio Mirador-Ventas</t>
  </si>
  <si>
    <t>Edificio Mirador-Clientes</t>
  </si>
  <si>
    <t>Edificio Mirador-Proyecto</t>
  </si>
  <si>
    <t>Edificio Mirador-GAF</t>
  </si>
  <si>
    <t>Edificio Mirador-PV Inmob.</t>
  </si>
  <si>
    <t>Edificio Mirador-Depto.Técnico</t>
  </si>
  <si>
    <t>Edificio Novo</t>
  </si>
  <si>
    <t>Novo</t>
  </si>
  <si>
    <t>Novo-Marketing</t>
  </si>
  <si>
    <t>Novo-Operaciones</t>
  </si>
  <si>
    <t>Novo-Ventas</t>
  </si>
  <si>
    <t>Novo-Clientes</t>
  </si>
  <si>
    <t>Novo-Proyecto</t>
  </si>
  <si>
    <t>Novo-GAF</t>
  </si>
  <si>
    <t>Novo-PV Inmob.</t>
  </si>
  <si>
    <t>Novo-Depto.Técnico</t>
  </si>
  <si>
    <t xml:space="preserve">Terreno Francisco Zelada-Desarrollo </t>
  </si>
  <si>
    <t>Edificio Nuevo Centro</t>
  </si>
  <si>
    <t>EDIFICIO NUEVO CENTRO</t>
  </si>
  <si>
    <t>Edificio Nuevo Centro-Marketing</t>
  </si>
  <si>
    <t>Edificio Nuevo Centro-Operaciones</t>
  </si>
  <si>
    <t>Edificio Nuevo Centro-Ventas</t>
  </si>
  <si>
    <t>Edificio Nuevo Centro-Clientes</t>
  </si>
  <si>
    <t>Edificio Nuevo Centro-Proyecto</t>
  </si>
  <si>
    <t>Edificio Nuevo Centro-GAF</t>
  </si>
  <si>
    <t>Edificio Nuevo Centro-PV Inmob.</t>
  </si>
  <si>
    <t>Edificio Nuevo Centro-Depto.Técnico</t>
  </si>
  <si>
    <t>Terreno San Pablo-Desarrollo</t>
  </si>
  <si>
    <t>Entrega Edificio Pedro de la Barra</t>
  </si>
  <si>
    <t>PV Edificio Pedro de la Barra</t>
  </si>
  <si>
    <t>Edificio Placeres I</t>
  </si>
  <si>
    <t>Edificio Placeres II</t>
  </si>
  <si>
    <t>Terreno Eyzaguirre-Desarrollo</t>
  </si>
  <si>
    <t>Edificio San Francisco</t>
  </si>
  <si>
    <t>San Francisco</t>
  </si>
  <si>
    <t>San Francisco-Marketing</t>
  </si>
  <si>
    <t>San Francisco-Operaciones</t>
  </si>
  <si>
    <t>San Francisco-Ventas</t>
  </si>
  <si>
    <t>San Francisco-Clientes</t>
  </si>
  <si>
    <t>San Francisco-Proyecto</t>
  </si>
  <si>
    <t>San Francisco-GAF</t>
  </si>
  <si>
    <t>San Francisco-PV Inmob.</t>
  </si>
  <si>
    <t>San Francisco-Depto.Técnico</t>
  </si>
  <si>
    <t>Entrega Edificio Teresa Vial</t>
  </si>
  <si>
    <t>PV Edificio Teresa Vial</t>
  </si>
  <si>
    <t>Edificio Trinidad Ramirez</t>
  </si>
  <si>
    <t>Terreno Edificio Vista Horizonte-Desarrollo</t>
  </si>
  <si>
    <t>Vistamar II</t>
  </si>
  <si>
    <t>Edificio Vistamar II</t>
  </si>
  <si>
    <t>Entrega El Yodo</t>
  </si>
  <si>
    <t>PV El Yodo</t>
  </si>
  <si>
    <t>Estacionam. U. del Pacífico</t>
  </si>
  <si>
    <t>Francisco Zelada Torre A y B</t>
  </si>
  <si>
    <t>Entrega Francisco Zelada Torre A</t>
  </si>
  <si>
    <t>PV Francisco Zelada Torre A</t>
  </si>
  <si>
    <t>Entrega Francisco Zelada Torre B</t>
  </si>
  <si>
    <t>PV Francisco Zelada Torre B</t>
  </si>
  <si>
    <t>Terreno Gran Avenida – Inversiones</t>
  </si>
  <si>
    <t>Gran Avenida</t>
  </si>
  <si>
    <t>Terreno Gran Avenida 9682 – Inversiones</t>
  </si>
  <si>
    <t>Gran Avenida 9682</t>
  </si>
  <si>
    <t>Gran Avenida 9682-Marketing</t>
  </si>
  <si>
    <t>Gran Avenida 9682-Operaciones</t>
  </si>
  <si>
    <t>Gran Avenida 9682-Ventas</t>
  </si>
  <si>
    <t>Gran Avenida 9682-Clientes</t>
  </si>
  <si>
    <t>Gran Avenida 9682-Proyecto</t>
  </si>
  <si>
    <t>Gran Avenida 9682-GAF</t>
  </si>
  <si>
    <t>Gran Avenida 9682-PV Inmob.</t>
  </si>
  <si>
    <t>Gran Avenida 9682-Depto.Técnico</t>
  </si>
  <si>
    <t>Hospital de Los Andes</t>
  </si>
  <si>
    <t>Hospital de los Andes</t>
  </si>
  <si>
    <t>Hospital Traumatologico</t>
  </si>
  <si>
    <t>Jardines del Polo</t>
  </si>
  <si>
    <t>Jardines del Polo-Marketing</t>
  </si>
  <si>
    <t>Jardines del Polo-Operaciones</t>
  </si>
  <si>
    <t>Jardines del Polo-Ventas</t>
  </si>
  <si>
    <t>Jardines del Polo-Clientes</t>
  </si>
  <si>
    <t>Jardines del Polo-Proyecto</t>
  </si>
  <si>
    <t>Jardines del Polo-GAF</t>
  </si>
  <si>
    <t>Jardines del Polo-Depto.Técnico</t>
  </si>
  <si>
    <t>Jardines del Polo 1</t>
  </si>
  <si>
    <t>PV JARDINES DEL POLO 1</t>
  </si>
  <si>
    <t>Jardines del Polo 1-Marketing</t>
  </si>
  <si>
    <t>Jardines del Polo 1-Operaciones</t>
  </si>
  <si>
    <t>Jardines del Polo 1-Ventas</t>
  </si>
  <si>
    <t>Jardines del Polo 1-Clientes</t>
  </si>
  <si>
    <t>Jardines del Polo 1-Proyecto</t>
  </si>
  <si>
    <t>Jardines del Polo 1-GAF</t>
  </si>
  <si>
    <t>Jardines del Polo 1-PV Inmob.</t>
  </si>
  <si>
    <t>Jardines del Polo 1-Depto.Técnico</t>
  </si>
  <si>
    <t>Jardines del Polo 2</t>
  </si>
  <si>
    <t>Jardines del Polo 2-Marketing</t>
  </si>
  <si>
    <t>Jardines del Polo 2-Operaciones</t>
  </si>
  <si>
    <t>Jardines del Polo 2-Ventas</t>
  </si>
  <si>
    <t>Jardines del Polo 2-Clientes</t>
  </si>
  <si>
    <t>Jardines del Polo 2-Proyecto</t>
  </si>
  <si>
    <t>Jardines del Polo 2-GAF</t>
  </si>
  <si>
    <t>Jardines del Polo 2-PV Inmob.</t>
  </si>
  <si>
    <t>Jardines del Polo 2-Depto.Técnico</t>
  </si>
  <si>
    <t>Jardines del Polo 3</t>
  </si>
  <si>
    <t>Jardines del Polo 3-Marketing</t>
  </si>
  <si>
    <t>Jardines del Polo 3-Operaciones</t>
  </si>
  <si>
    <t>Jardines del Polo 3-Ventas</t>
  </si>
  <si>
    <t>Jardines del Polo 3-Clientes</t>
  </si>
  <si>
    <t>Jardines del Polo 3-Proyecto</t>
  </si>
  <si>
    <t>Jardines del Polo 3-GAF</t>
  </si>
  <si>
    <t>Jardines del Polo 3-PV Inmob.</t>
  </si>
  <si>
    <t>Jardines del Polo 3-Depto.Técnico</t>
  </si>
  <si>
    <t>Jardines del Polo 4</t>
  </si>
  <si>
    <t>Jardines del Polo 4-Marketing</t>
  </si>
  <si>
    <t>Jardines del Polo 4-Operaciones</t>
  </si>
  <si>
    <t>Jardines del Polo 4-Ventas</t>
  </si>
  <si>
    <t>Jardines del Polo 4-Clientes</t>
  </si>
  <si>
    <t>Jardines del Polo 4-Proyecto</t>
  </si>
  <si>
    <t>Jardines del Polo 4-GAF</t>
  </si>
  <si>
    <t>Jardines del Polo 4-PV Inmob.</t>
  </si>
  <si>
    <t>Jardines del Polo 4-Depto.Técnico</t>
  </si>
  <si>
    <t>Jardines del Polo 5</t>
  </si>
  <si>
    <t>Jardines del Polo 5-Marketing</t>
  </si>
  <si>
    <t>Jardines del Polo 5-Operaciones</t>
  </si>
  <si>
    <t>Jardines del Polo 5-Ventas</t>
  </si>
  <si>
    <t>Jardines del Polo 5-Clientes</t>
  </si>
  <si>
    <t>Jardines del Polo 5-Proyecto</t>
  </si>
  <si>
    <t>Jardines del Polo 5-GAF</t>
  </si>
  <si>
    <t>Jardines del Polo 5-PV Inmob.</t>
  </si>
  <si>
    <t>Jardines del Polo 5-Depto.Técnico</t>
  </si>
  <si>
    <t>Jardines del Polo 6</t>
  </si>
  <si>
    <t>Jardines del Polo 6-Marketing</t>
  </si>
  <si>
    <t>Jardines del Polo 6-Operaciones</t>
  </si>
  <si>
    <t>Jardines del Polo 6-Ventas</t>
  </si>
  <si>
    <t>Jardines del Polo 6-Clientes</t>
  </si>
  <si>
    <t>Jardines del Polo 6-Proyecto</t>
  </si>
  <si>
    <t>Jardines del Polo 6-GAF</t>
  </si>
  <si>
    <t>Jardines del Polo 6-PV Inmob.</t>
  </si>
  <si>
    <t>Jardines del Polo 6-Depto.Técnico</t>
  </si>
  <si>
    <t>Jardines del Polo Etapas Futuras</t>
  </si>
  <si>
    <t>Jardines del Polo Etapas Futuras-Marketing</t>
  </si>
  <si>
    <t>Jardines del Polo Etapas Futuras-Operaciones</t>
  </si>
  <si>
    <t>Jardines del Polo Etapas Futuras-Clientes</t>
  </si>
  <si>
    <t>Jardines del Polo Etapas Futuras-Proyecto</t>
  </si>
  <si>
    <t>Jardines del Polo Etapas Futuras-GAF</t>
  </si>
  <si>
    <t>Jardines del Polo Etapas Futuras-PV Inmob.</t>
  </si>
  <si>
    <t>Jardines del Polo Etapas Futuras-Depto.Técnico</t>
  </si>
  <si>
    <t>Jardines del Polo-SA</t>
  </si>
  <si>
    <t>Terreno Jardines del Sur - Desarrollo</t>
  </si>
  <si>
    <t>Jardines del Sur</t>
  </si>
  <si>
    <t>Jardines del Sur-Marketing</t>
  </si>
  <si>
    <t>Jardines del Sur-Operaciones</t>
  </si>
  <si>
    <t>Jardines del Sur-Ventas</t>
  </si>
  <si>
    <t>Jardines del Sur-Clientes</t>
  </si>
  <si>
    <t>Jardines del Sur-Proyecto</t>
  </si>
  <si>
    <t>Jardines del Sur-GAF</t>
  </si>
  <si>
    <t>Jardines del Sur-PV Inmob.</t>
  </si>
  <si>
    <t>Jardines del Sur-Depto.Técnico</t>
  </si>
  <si>
    <t>La Tirana</t>
  </si>
  <si>
    <t>Entrega Labbé 1172</t>
  </si>
  <si>
    <t>PV Labbé 1172</t>
  </si>
  <si>
    <t>Liceo Bicentenario Santa Maria</t>
  </si>
  <si>
    <t>Liceo Eulogio Gordo</t>
  </si>
  <si>
    <t>Terreno Los Leones-Desarrollo</t>
  </si>
  <si>
    <t>Los Leones</t>
  </si>
  <si>
    <t>Edificio Los Leones</t>
  </si>
  <si>
    <t>PV Edificio Los Leones</t>
  </si>
  <si>
    <t>Los Leones-Marketing</t>
  </si>
  <si>
    <t>Los Leones-Operaciones</t>
  </si>
  <si>
    <t>Los Leones-Ventas</t>
  </si>
  <si>
    <t>Los Leones-Clientes</t>
  </si>
  <si>
    <t>Los Leones-Proyecto</t>
  </si>
  <si>
    <t>Los Leones-GAF</t>
  </si>
  <si>
    <t>Los Leones-PV Inmob.</t>
  </si>
  <si>
    <t>Los Leones-Depto.Técnico</t>
  </si>
  <si>
    <t>Los Mirlos</t>
  </si>
  <si>
    <t>Machalí 2</t>
  </si>
  <si>
    <t>Machalí 2-Ventas</t>
  </si>
  <si>
    <t>Machalí 2-GAF</t>
  </si>
  <si>
    <t>Machalí 3</t>
  </si>
  <si>
    <t>Machali 3-Ventas</t>
  </si>
  <si>
    <t>Machalí 3-GAF</t>
  </si>
  <si>
    <t>Meseta Atlantico</t>
  </si>
  <si>
    <t>Meseta Atlántico</t>
  </si>
  <si>
    <t>Meseta Atlántico-Operaciones</t>
  </si>
  <si>
    <t>Meseta Atlántico-Ventas</t>
  </si>
  <si>
    <t>Meseta Atlántico-Clientes</t>
  </si>
  <si>
    <t>Meseta Atlántico-Proyecto V Región</t>
  </si>
  <si>
    <t>Meseta Atlántico-GAF</t>
  </si>
  <si>
    <t>Meseta Atlántico-PV Inmob.</t>
  </si>
  <si>
    <t>Meseta Pacífico</t>
  </si>
  <si>
    <t>Mirador del Bosque 1</t>
  </si>
  <si>
    <t>Mirador del Bosque-SA</t>
  </si>
  <si>
    <t>Mirador del Bosque 1-Marketing</t>
  </si>
  <si>
    <t>Mirador del Bosque 1-Operaciones</t>
  </si>
  <si>
    <t>Mirador del Bosque 1-Ventas</t>
  </si>
  <si>
    <t>Mirador del Bosque 1-Clientes</t>
  </si>
  <si>
    <t>Mirador del Bosque 1-Proyecto</t>
  </si>
  <si>
    <t>Mirador del Bosque 1-GAF</t>
  </si>
  <si>
    <t>Mirador del Bosque 1-PV Inmob.</t>
  </si>
  <si>
    <t>Mirador del Bosque 1-Depto.Técnico</t>
  </si>
  <si>
    <t>Mirador del Bosque 2</t>
  </si>
  <si>
    <t>Mirador del Bosque II</t>
  </si>
  <si>
    <t>Mirador del Bosque 2-Marketing</t>
  </si>
  <si>
    <t>Mirador del Bosque 2-Operaciones</t>
  </si>
  <si>
    <t>Mirador del Bosque 2-Ventas</t>
  </si>
  <si>
    <t>Mirador del Bosque 2-Clientes</t>
  </si>
  <si>
    <t>Mirador del Bosque 2-Proyecto</t>
  </si>
  <si>
    <t>Mirador del Bosque 2-GAF</t>
  </si>
  <si>
    <t>Mirador del Bosque 2-PV Inmob.</t>
  </si>
  <si>
    <t>Mirador del Bosque 2-Depto.Técnico</t>
  </si>
  <si>
    <t>Mirador Sacramentinos</t>
  </si>
  <si>
    <t>Mirador Sacramentinos-Marketing</t>
  </si>
  <si>
    <t>Mirador Sacramentinos-Operaciones</t>
  </si>
  <si>
    <t>Mirador Sacramentinos-Ventas</t>
  </si>
  <si>
    <t>Mirador Sacramentinos-Clientes</t>
  </si>
  <si>
    <t>Mirador Sacramentinos-Proyecto</t>
  </si>
  <si>
    <t>Mirador Sacramentinos-GAF</t>
  </si>
  <si>
    <t>Mirador Sacramentinos-Depto.Técnico</t>
  </si>
  <si>
    <t>Entrega Miraflores Lote 1 Edificio 1</t>
  </si>
  <si>
    <t>PV Miraflores Lote 1 Edificio 1</t>
  </si>
  <si>
    <t>Entrega 18 de Septiembre</t>
  </si>
  <si>
    <t>PV 18 de Septiembre</t>
  </si>
  <si>
    <t>Entrega Miraflores Lote 2</t>
  </si>
  <si>
    <t>PV Miraflores Lote 2</t>
  </si>
  <si>
    <t>Miramar</t>
  </si>
  <si>
    <t>Edificio Miramar</t>
  </si>
  <si>
    <t>Monte Azul</t>
  </si>
  <si>
    <t>La Foresta</t>
  </si>
  <si>
    <t>Monte Azul-Marketing</t>
  </si>
  <si>
    <t>Monte Azul-Operaciones</t>
  </si>
  <si>
    <t>Monte Azul-Ventas</t>
  </si>
  <si>
    <t>Monte Azul-Clientes</t>
  </si>
  <si>
    <t>Monte Azul-Proyecto</t>
  </si>
  <si>
    <t>Monte Azul-GAF</t>
  </si>
  <si>
    <t>Monte Azul-PV Inmob.</t>
  </si>
  <si>
    <t>Monte Azul-Depto.Técnico</t>
  </si>
  <si>
    <t>Monte Azul II</t>
  </si>
  <si>
    <t>Monte Azul II-Marketing</t>
  </si>
  <si>
    <t>Monte Azul II-Operaciones</t>
  </si>
  <si>
    <t>Monte Azul II-Ventas</t>
  </si>
  <si>
    <t>Monte Azul II-Clientes</t>
  </si>
  <si>
    <t>Monte Azul II-Proyecto</t>
  </si>
  <si>
    <t>Monte Azul II-GAF</t>
  </si>
  <si>
    <t>Monte Azul II-PV Inmob.</t>
  </si>
  <si>
    <t>Monte Azul II-Depto.Técnico</t>
  </si>
  <si>
    <t>Terreno Novena Avenida - Desarrollo</t>
  </si>
  <si>
    <t>Novena Avenida</t>
  </si>
  <si>
    <t>Novena Avenida-Marketing</t>
  </si>
  <si>
    <t>Novena Avenida-Operaciones</t>
  </si>
  <si>
    <t>Novena Avenida-Ventas</t>
  </si>
  <si>
    <t>Novena Avenida-Clientes</t>
  </si>
  <si>
    <t>Novena Avenida-Proyecto</t>
  </si>
  <si>
    <t>Novena Avenida-GAF</t>
  </si>
  <si>
    <t>Novena Avenida-PV Inmob.</t>
  </si>
  <si>
    <t>Novena Avenida-Depto.Técnico</t>
  </si>
  <si>
    <t>Nueva La Serena Etapa I</t>
  </si>
  <si>
    <t>Nueva La Serena Etapa 1</t>
  </si>
  <si>
    <t>Nueva La Serena Etapa 1-Marketing</t>
  </si>
  <si>
    <t>Nueva La Serena Etapa 1-Operaciones</t>
  </si>
  <si>
    <t>Nueva La Serena Etapa 1-Ventas</t>
  </si>
  <si>
    <t>Nueva La Serena Etapa 1-Clientes</t>
  </si>
  <si>
    <t>Nueva La Serena Etapa 1-Proyecto</t>
  </si>
  <si>
    <t>Nueva La Serena Etapa 1-GAF</t>
  </si>
  <si>
    <t>Nueva La Serena Etapa 1-Depto.Técnico</t>
  </si>
  <si>
    <t>Nueva La Serena Etapa II</t>
  </si>
  <si>
    <t>Nueva La Serena Etapa 2-GAF</t>
  </si>
  <si>
    <t>Nueva La Serena Etapa III</t>
  </si>
  <si>
    <t>Nueva La Serena Etapa 3-GAF</t>
  </si>
  <si>
    <t>Nueva La Serena Etapa IV</t>
  </si>
  <si>
    <t>Nueva La Serena Etapa 4-GAF</t>
  </si>
  <si>
    <t>Nueva La Serena Etapa V</t>
  </si>
  <si>
    <t>Nueva La Serena Etapa 5-GAF</t>
  </si>
  <si>
    <t>Nueva La Serena Etapa VI</t>
  </si>
  <si>
    <t>Nueva La Serena Etapa 6-GAF</t>
  </si>
  <si>
    <t>Nueva La Serena Macro</t>
  </si>
  <si>
    <t>Nueva La Serena Macro-Marketing</t>
  </si>
  <si>
    <t>Nueva La Serena Macro-Operaciones</t>
  </si>
  <si>
    <t>Nueva La Serena Macro-Ventas</t>
  </si>
  <si>
    <t>Nueva La Serena Macro-Clientes</t>
  </si>
  <si>
    <t>Nueva La Serena Macro-Proyecto</t>
  </si>
  <si>
    <t>Nueva La Serena Macro-GAF</t>
  </si>
  <si>
    <t>Nueva La Serena Macro-Depto.Técnico</t>
  </si>
  <si>
    <t>Terreno Ecuador 2-Desarrollo</t>
  </si>
  <si>
    <t>Edificio Nuevo Ecuador-SA</t>
  </si>
  <si>
    <t>Obras Terminadas</t>
  </si>
  <si>
    <t>PV Obras Terminadas</t>
  </si>
  <si>
    <t>GITD</t>
  </si>
  <si>
    <t>Proyectos de Mejora</t>
  </si>
  <si>
    <t>Gerencia General</t>
  </si>
  <si>
    <t>Mejoramiento de Procesos</t>
  </si>
  <si>
    <t>HOTELES MACRO-RENTAS</t>
  </si>
  <si>
    <t>OOCC NORTE 1</t>
  </si>
  <si>
    <t>OOCC NORTE 2</t>
  </si>
  <si>
    <t>OOCC V REGIÓN</t>
  </si>
  <si>
    <t>Gerencia Obras Civiles</t>
  </si>
  <si>
    <t>RENTAS</t>
  </si>
  <si>
    <t>Depto Proyectos Of.Central Norte</t>
  </si>
  <si>
    <t>Depto Proyectos Of.Central RM y VI Región</t>
  </si>
  <si>
    <t>Proyectos Transitorios</t>
  </si>
  <si>
    <t>Oficina Central TI 2</t>
  </si>
  <si>
    <t>Administración Directorio</t>
  </si>
  <si>
    <t>Actualización Salas de Venta</t>
  </si>
  <si>
    <t>Centro por Distribuir</t>
  </si>
  <si>
    <t>Administración de Condominios</t>
  </si>
  <si>
    <t>Palmas del Sur Macro-Marketing</t>
  </si>
  <si>
    <t>Palmas del Sur Macro-Operaciones</t>
  </si>
  <si>
    <t>Palmas del Sur Macro-Ventas</t>
  </si>
  <si>
    <t>Palmas del Sur Macro-Clientes</t>
  </si>
  <si>
    <t>Palmas del Sur Macro-Proyecto</t>
  </si>
  <si>
    <t>Palmas del Sur Macro-GAF</t>
  </si>
  <si>
    <t>Palmas del Sur Macro-PV Inmob.</t>
  </si>
  <si>
    <t>Palmas del Sur Macro-Depto.Técnico</t>
  </si>
  <si>
    <t>Terr.La Serena Parc.351-Desarrollo</t>
  </si>
  <si>
    <t>Terr.La Serena Parc.351</t>
  </si>
  <si>
    <t>Parc351 Sala Vtas-Piloto</t>
  </si>
  <si>
    <t>Parque Los Castaños</t>
  </si>
  <si>
    <t>Edificio Los Castaños</t>
  </si>
  <si>
    <t>Parque Los Castaños-Marketing</t>
  </si>
  <si>
    <t>Parque Los Castaños-Operaciones</t>
  </si>
  <si>
    <t>Parque Los Castaños-Ventas</t>
  </si>
  <si>
    <t>Parque Los Castaños-Clientes</t>
  </si>
  <si>
    <t>Parque Los Castaños-Proyecto</t>
  </si>
  <si>
    <t>Parque Los Castaños-GAF</t>
  </si>
  <si>
    <t>Parque Los Castaños-Depto.Técnico</t>
  </si>
  <si>
    <t>Parque Marañon Torre A y Parque Marañon Torre B</t>
  </si>
  <si>
    <t>Entrega Parque Marañon Torre A</t>
  </si>
  <si>
    <t>PV Parque Marañon Torre A</t>
  </si>
  <si>
    <t>Parque Sacramentinos I</t>
  </si>
  <si>
    <t>Parque Sacramentinos I-Operaciones</t>
  </si>
  <si>
    <t>Parque Sacramentinos I-Clientes</t>
  </si>
  <si>
    <t>Parque Sacramentinos I-GAF</t>
  </si>
  <si>
    <t>Parque Sacramentinos II</t>
  </si>
  <si>
    <t>Parque Sacramentinos II-Marketing</t>
  </si>
  <si>
    <t>Parque Sacramentinos II-Operaciones</t>
  </si>
  <si>
    <t>Parque Sacramentinos II-Ventas</t>
  </si>
  <si>
    <t>Parque Sacramentinos II-Clientes</t>
  </si>
  <si>
    <t>Parque Sacramentinos II-Proyecto</t>
  </si>
  <si>
    <t>Parque Sacramentinos II-GAF</t>
  </si>
  <si>
    <t>Parque Sacramentinos II-Depto Técnico</t>
  </si>
  <si>
    <t>Sacramentinos II-GAF</t>
  </si>
  <si>
    <t>Parque Sacramentinos III</t>
  </si>
  <si>
    <t>Parque Sacramentinos III-Marketing</t>
  </si>
  <si>
    <t>Parque Sacramentinos III-Operaciones</t>
  </si>
  <si>
    <t>Parque Sacramentinos III-Ventas</t>
  </si>
  <si>
    <t>Parque Sacramentinos III-Clientes</t>
  </si>
  <si>
    <t>Parque Sacramentinos III-Proyecto</t>
  </si>
  <si>
    <t>Parque Sacramentinos III-GAF</t>
  </si>
  <si>
    <t>Parque Sacramentinos III-Depto Técnico</t>
  </si>
  <si>
    <t>Terreno Pedro Lautaro Ferrer-Desarrollo</t>
  </si>
  <si>
    <t>Pedro Lautaro Ferrer</t>
  </si>
  <si>
    <t>Pedro Lautaro Ferrer-SA</t>
  </si>
  <si>
    <t>Pedro Lautaro Ferrer-Marketing</t>
  </si>
  <si>
    <t>Pedro Lautaro Ferrer-Operaciones</t>
  </si>
  <si>
    <t>Pedro Lautaro Ferrer-Ventas</t>
  </si>
  <si>
    <t>Pedro Lautaro Ferrer-Clientes</t>
  </si>
  <si>
    <t>Pedro Lautaro Ferrer-Proyecto</t>
  </si>
  <si>
    <t>Pedro Lautaro Ferrer-GAF</t>
  </si>
  <si>
    <t>Pedro Lautaro Ferrer-PV Inmob.</t>
  </si>
  <si>
    <t>Pedro Lautaro Ferrer-Depto.Técnico</t>
  </si>
  <si>
    <t>Pie Andino 1</t>
  </si>
  <si>
    <t>Pie Andino</t>
  </si>
  <si>
    <t>Pie Andino Etapa 1</t>
  </si>
  <si>
    <t>Pie Andino Etapa 1-Marketing</t>
  </si>
  <si>
    <t>Pie Andino Etapa 1-Operaciones</t>
  </si>
  <si>
    <t>Pie Andino Etapa 1-Ventas</t>
  </si>
  <si>
    <t>Pie Andino Etapa 1-Clientes</t>
  </si>
  <si>
    <t>Pie Andino Etapa 1-Proyecto</t>
  </si>
  <si>
    <t>Pie Andino Etapa 1-GAF</t>
  </si>
  <si>
    <t>Pie Andino Etapa 1-PV Inmob.</t>
  </si>
  <si>
    <t>Pie Andino Etapa 1-Depto.Técnico</t>
  </si>
  <si>
    <t>Pie Andino Etapa 2</t>
  </si>
  <si>
    <t>Pie Andino Etapa 2-Marketing</t>
  </si>
  <si>
    <t>Pie Andino Etapa 2-Operaciones</t>
  </si>
  <si>
    <t>Pie Andino Etapa 2-Ventas</t>
  </si>
  <si>
    <t>Pie Andino Etapa 2-Clientes</t>
  </si>
  <si>
    <t>Pie Andino Etapa 2-Proyecto</t>
  </si>
  <si>
    <t>Pie Andino Etapa 2-GAF</t>
  </si>
  <si>
    <t>Pie Andino Etapa 2-PV Inmob.</t>
  </si>
  <si>
    <t>Pie Andino Etapa 2-Depto.Técnico</t>
  </si>
  <si>
    <t>Pie Andino Etapa 3</t>
  </si>
  <si>
    <t>Pie Andino Etapa 3-Marketing</t>
  </si>
  <si>
    <t>Pie Andino Etapa 3-Operaciones</t>
  </si>
  <si>
    <t>Pie Andino Etapa 3-Ventas</t>
  </si>
  <si>
    <t>Pie Andino Etapa 3-Clientes</t>
  </si>
  <si>
    <t>Pie Andino Etapa 3-Proyecto</t>
  </si>
  <si>
    <t>Pie Andino Etapa 3-GAF</t>
  </si>
  <si>
    <t>Pie Andino Etapa 3-PV Inmob.</t>
  </si>
  <si>
    <t>Pie Andino Etapa 3-Depto.Técnico</t>
  </si>
  <si>
    <t>Pie Andino Etapa 4</t>
  </si>
  <si>
    <t>Pie Andino Etapa 4-Marketing</t>
  </si>
  <si>
    <t>Pie Andino Etapa 4-Operaciones</t>
  </si>
  <si>
    <t>Pie Andino Etapa 4-Ventas</t>
  </si>
  <si>
    <t>Pie Andino Etapa 4-Clientes</t>
  </si>
  <si>
    <t>Pie Andino Etapa 4-Proyecto</t>
  </si>
  <si>
    <t>Pie Andino Etapa 4-GAF</t>
  </si>
  <si>
    <t>Pie Andino Etapa 4-PV Inmob.</t>
  </si>
  <si>
    <t>Pie Andino Etapa 4-Depto.Técnico</t>
  </si>
  <si>
    <t>Pie Andino Macro</t>
  </si>
  <si>
    <t>Pie Andino Macro-Proyecto</t>
  </si>
  <si>
    <t>Pie Andino Macro-GAF</t>
  </si>
  <si>
    <t>Pie Andino Macro-Depto.Técnico</t>
  </si>
  <si>
    <t>Pie Andino Macro-Terreno Dpto Proy</t>
  </si>
  <si>
    <t>Pie Andino Macro-Infraestructura Dpto Proy</t>
  </si>
  <si>
    <t>Infraestructura Dpto Proy</t>
  </si>
  <si>
    <t>Plan Maestro Barrio Bosque Ing</t>
  </si>
  <si>
    <t>Plan maestro BBI-Desarrollo</t>
  </si>
  <si>
    <t>Plan maestro BBI-Depto.Proy.V</t>
  </si>
  <si>
    <t>Rahue</t>
  </si>
  <si>
    <t>Casas Rahue I</t>
  </si>
  <si>
    <t>Proyecto Rahue</t>
  </si>
  <si>
    <t>Proyecto Rahue-Gcia.Comercial</t>
  </si>
  <si>
    <t>Gerencia Comercial</t>
  </si>
  <si>
    <t>Proyecto Rahue-Marketing</t>
  </si>
  <si>
    <t>Proyecto Rahue-Operaciones</t>
  </si>
  <si>
    <t>Proyecto Rahue-Ventas</t>
  </si>
  <si>
    <t>Proyecto Rahue-Clientes</t>
  </si>
  <si>
    <t>Proyecto Rahue-Proyecto</t>
  </si>
  <si>
    <t>Proyecto Rahue-GAF</t>
  </si>
  <si>
    <t>Proyecto Rahue-Depto-Técnico</t>
  </si>
  <si>
    <t>Casas Rahue II</t>
  </si>
  <si>
    <t>Remodelación don RVC</t>
  </si>
  <si>
    <t>Rey del Mar</t>
  </si>
  <si>
    <t>Sacramentinos Oriente</t>
  </si>
  <si>
    <t>Sacramentinos Oriente-Marketing</t>
  </si>
  <si>
    <t>Sacramentinos Oriente-Operaciones</t>
  </si>
  <si>
    <t>Sacramentinos Oriente-Ventas</t>
  </si>
  <si>
    <t>Sacramentinos Oriente-Clientes</t>
  </si>
  <si>
    <t>Sacramentinos Oriente-Proyecto</t>
  </si>
  <si>
    <t>Sacramentinos Oriente-GAF</t>
  </si>
  <si>
    <t>Sacramentinos Oriente-Depto.Técnico</t>
  </si>
  <si>
    <t>Terreno San Francisco 2-Desarrollo</t>
  </si>
  <si>
    <t>San Francisco II</t>
  </si>
  <si>
    <t>San Francisco 2</t>
  </si>
  <si>
    <t>San Francisco 2-Marketing</t>
  </si>
  <si>
    <t>San Francisco 2-Operaciones</t>
  </si>
  <si>
    <t>San Francisco 2-Ventas</t>
  </si>
  <si>
    <t>San Francisco 2-Clientes</t>
  </si>
  <si>
    <t>San Francisco 2-Proyecto</t>
  </si>
  <si>
    <t>San Francisco 2-GAF</t>
  </si>
  <si>
    <t>San Francisco 2-PV Inmob.</t>
  </si>
  <si>
    <t>San Francisco 2-Depto.Técnico</t>
  </si>
  <si>
    <t>Entrega Santa Corina</t>
  </si>
  <si>
    <t>PV Santa Corina</t>
  </si>
  <si>
    <t>Segunda Comisaría Coquimbo</t>
  </si>
  <si>
    <t>SSCC</t>
  </si>
  <si>
    <t>Templo Mormon</t>
  </si>
  <si>
    <t>Terra Norte</t>
  </si>
  <si>
    <t>TerraNorte</t>
  </si>
  <si>
    <t>TerraNorte-Marketing</t>
  </si>
  <si>
    <t>TerraNorte-Operaciones</t>
  </si>
  <si>
    <t>TerraNorte-Ventas</t>
  </si>
  <si>
    <t>TerraNorte-Clientes</t>
  </si>
  <si>
    <t>TerraNorte-Proyecto</t>
  </si>
  <si>
    <t>TerraNorte-GAF</t>
  </si>
  <si>
    <t>TerraNorte-PV Inmob.</t>
  </si>
  <si>
    <t>TerraNorte-Depto.Técnico</t>
  </si>
  <si>
    <t>Terra Placeres</t>
  </si>
  <si>
    <t>Edificio Terra Placeres</t>
  </si>
  <si>
    <t>Terra Placeres-Marketing</t>
  </si>
  <si>
    <t>Terra Placeres-Operaciones</t>
  </si>
  <si>
    <t>Terra Placeres-Ventas</t>
  </si>
  <si>
    <t>Terra Placeres-Clientes</t>
  </si>
  <si>
    <t>Terra Placeres-Proyecto</t>
  </si>
  <si>
    <t>Terra Placeres-GAF</t>
  </si>
  <si>
    <t>Terra Placeres-Depto.Técnico</t>
  </si>
  <si>
    <t>Terreno 12 de Febrero – Inversiones</t>
  </si>
  <si>
    <t>Terreno 2 Norte-Desarrollo</t>
  </si>
  <si>
    <t>Terreno 2 Norte</t>
  </si>
  <si>
    <t>Terreno 4 Oriente-Desarrollo</t>
  </si>
  <si>
    <t>Terreno 4 Oriente</t>
  </si>
  <si>
    <t>Terreno 5 Norte-Desarrollo</t>
  </si>
  <si>
    <t>Terreno 5 Norte</t>
  </si>
  <si>
    <t>Terreno Abtao-Ecuador-Desarrollo</t>
  </si>
  <si>
    <t>Terreno Abtao-Euador</t>
  </si>
  <si>
    <t>Terreno Alcalde Pedro Alarcón-Desarrollo</t>
  </si>
  <si>
    <t>Terreno Alcalde Pedro Alarcón</t>
  </si>
  <si>
    <t>Terreno Alonso de Ercilla  7539 - Inversiones</t>
  </si>
  <si>
    <t>Terreno Altamirano 2180 - Inversiones</t>
  </si>
  <si>
    <t>Terreno Alvarez de Toledo 675  - Inversiones</t>
  </si>
  <si>
    <t>Terreno Alvarez de Toledo - Desarrollo</t>
  </si>
  <si>
    <t>Terreno Alvarez Toledo</t>
  </si>
  <si>
    <t>Terreno Atacama-Desarrollo</t>
  </si>
  <si>
    <t>Terreno Atacama</t>
  </si>
  <si>
    <t>Terreno Av. Domingo Santa María 2601 - Inversiones</t>
  </si>
  <si>
    <t>Terreno Av. El Salto 1677</t>
  </si>
  <si>
    <t>Terreno Av. El Salto 1677 - Inversiones</t>
  </si>
  <si>
    <t>Terreno La Florida 11585 - Inversiones</t>
  </si>
  <si>
    <t>Terreno Avenida La Florida 11585 - Inversiones</t>
  </si>
  <si>
    <t>Terreno Azufre 151 - Inversiones</t>
  </si>
  <si>
    <t>Terreno Baquedano - Quilpué – Desarrollo</t>
  </si>
  <si>
    <t>Terreno Baquedano - Quilpué</t>
  </si>
  <si>
    <t>Terreno Barrio Verde Lote B4-Desarrollo</t>
  </si>
  <si>
    <t>Terreno Barrio Verde Lote B4</t>
  </si>
  <si>
    <t xml:space="preserve">Terreno Concón – Inversiones </t>
  </si>
  <si>
    <t>Terreno Cuarta Avenida-Desarrollo</t>
  </si>
  <si>
    <t>Terreno Cuarta Avenida</t>
  </si>
  <si>
    <t xml:space="preserve">Terreno Diag. Vicuña Mackenna – Inversiones </t>
  </si>
  <si>
    <t>Terreno Diego Portales-Desarrollo</t>
  </si>
  <si>
    <t>Terreno Diego Portales</t>
  </si>
  <si>
    <t>Terreno Edelnor-Desarrollo</t>
  </si>
  <si>
    <t>Terreno Edelnor</t>
  </si>
  <si>
    <t>Terreno Fresia 7035 - Inversiones</t>
  </si>
  <si>
    <t>Terreno General Korner - Inversiones</t>
  </si>
  <si>
    <t>Terreno General Urriola - Desarrollo</t>
  </si>
  <si>
    <t>Terreno General Urriola</t>
  </si>
  <si>
    <t>Terreno Gral.Saavedra - Desarrollo</t>
  </si>
  <si>
    <t>Terreno Gral.Saavedra</t>
  </si>
  <si>
    <t>Terreno Granada - Desarrollo</t>
  </si>
  <si>
    <t>Terreno Granada</t>
  </si>
  <si>
    <t>Terreno Hermanos Cabot-Desarrollo</t>
  </si>
  <si>
    <t>Terreno Hermanos Cabot</t>
  </si>
  <si>
    <t>Terreno Huaquique-Desarrollo</t>
  </si>
  <si>
    <t>Terreno Huaquique</t>
  </si>
  <si>
    <t xml:space="preserve">Terreno Indumotora-Desarrollo </t>
  </si>
  <si>
    <t>Terreno Indumotora</t>
  </si>
  <si>
    <t>Terreno Jardín del Mar-Desarrollo</t>
  </si>
  <si>
    <t>Terreno Jardín del Mar</t>
  </si>
  <si>
    <t>Terreno José Bisquert 2355 - Inversiones</t>
  </si>
  <si>
    <t>Terreno Korlaet-Desarrollo</t>
  </si>
  <si>
    <t>Terreno Korlaet</t>
  </si>
  <si>
    <t>Terreno La Foresta Lote 5,6,7-Desarrollo</t>
  </si>
  <si>
    <t>Terreno La Foresta Lote 5,6,7</t>
  </si>
  <si>
    <t xml:space="preserve">Terreno Lira 2488 – Inversiones </t>
  </si>
  <si>
    <t>Terreno Lira/Urriola - Santiago – Desarrollo</t>
  </si>
  <si>
    <t>Terreno Lira/Urriola - Santiago</t>
  </si>
  <si>
    <t>Terreno Lirima-Desarrollo</t>
  </si>
  <si>
    <t>Terreno Lirima</t>
  </si>
  <si>
    <t xml:space="preserve">Terreno Lo Errazuriz 773 – Inversiones </t>
  </si>
  <si>
    <t>Terreno Lo Ovalle 523  - Inversiones</t>
  </si>
  <si>
    <t>Terreno Lord Cochrane-Desarrollo</t>
  </si>
  <si>
    <t>Terreno Lord Cochrane</t>
  </si>
  <si>
    <t>Terreno Los Pajaritos 433 - Inversiones</t>
  </si>
  <si>
    <t>Terreno Los Pajaritos 433 – Inversiones - Inversiones</t>
  </si>
  <si>
    <t>Terreno Los Pensamientos-Desarrollo</t>
  </si>
  <si>
    <t>Terreno Los Pensamientos</t>
  </si>
  <si>
    <t>Terreno Lote 21 - Reñaca-Desarrollo</t>
  </si>
  <si>
    <t>Terreno Lote 21 - Reñaca</t>
  </si>
  <si>
    <t>Terreno Lote 4 Reñaca-Desarrollo</t>
  </si>
  <si>
    <t>Terreno Lote 4 Reñaca</t>
  </si>
  <si>
    <t>Terreno Machali-Desarrollo</t>
  </si>
  <si>
    <t>Terreno Machali</t>
  </si>
  <si>
    <t>Terreno Madreselvas-Desarrollo</t>
  </si>
  <si>
    <t>Terreno Madreselvas</t>
  </si>
  <si>
    <t>Terreno Manuel Rodriguez 1012 – Inversiones</t>
  </si>
  <si>
    <t>Terreno Mesa de Aragón-Desarrollo</t>
  </si>
  <si>
    <t>Terreno Mesa de Aragón</t>
  </si>
  <si>
    <t>Terreno Miraflores Alto - Inversiones</t>
  </si>
  <si>
    <t>Terreno Navío San Martín B3-B11-Desarrollo</t>
  </si>
  <si>
    <t>Terreno Navío San Martín B3-B11</t>
  </si>
  <si>
    <t>Terreno Orella Vivar – Inversiones</t>
  </si>
  <si>
    <t>Terreno Paula Jaraquemada-Desarrollo</t>
  </si>
  <si>
    <t>Terreno Paula Jaraquemada</t>
  </si>
  <si>
    <t>Terreno Peñablanca - Desarrollo</t>
  </si>
  <si>
    <t>Terreno Peñablanca</t>
  </si>
  <si>
    <t>Terreno Portugal-Desarrollo</t>
  </si>
  <si>
    <t>Terreno Portugal</t>
  </si>
  <si>
    <t>Terreno San Martín - Inversiones</t>
  </si>
  <si>
    <t xml:space="preserve">Terreno San Pablo 2-Desarrollo </t>
  </si>
  <si>
    <t>Terreno San Pablo 2</t>
  </si>
  <si>
    <t xml:space="preserve">Terreno Santo Domingo 2 -Desarrollo </t>
  </si>
  <si>
    <t>Terreno Santo Domingo 2</t>
  </si>
  <si>
    <t>Terreno Tenerife-Desarrollo</t>
  </si>
  <si>
    <t>Terreno Tenerife</t>
  </si>
  <si>
    <t>Terreno Tokio 1216 - Inversiones</t>
  </si>
  <si>
    <t>Terreno Uribe-Rentas</t>
  </si>
  <si>
    <t>Terreno Uribe</t>
  </si>
  <si>
    <t>Terreno Uribe 556 – Inversiones</t>
  </si>
  <si>
    <t>Terreno W. Rebolledo – Inversiones</t>
  </si>
  <si>
    <t>Terreno Zañartu 2054 - Inversiones</t>
  </si>
  <si>
    <t xml:space="preserve">Terreno Zañartu II – Inversiones </t>
  </si>
  <si>
    <t>Entrega Tranquila</t>
  </si>
  <si>
    <t>PV Tranquila</t>
  </si>
  <si>
    <t>Tribunales Valparaiso</t>
  </si>
  <si>
    <t>Uno Poniente</t>
  </si>
  <si>
    <t>Uno Poniente-Marketing</t>
  </si>
  <si>
    <t>Uno Poniente-Operaciones</t>
  </si>
  <si>
    <t>Uno Poniente-Ventas</t>
  </si>
  <si>
    <t>Uno Poniente-Clientes</t>
  </si>
  <si>
    <t>Uno Poniente-Proyecto</t>
  </si>
  <si>
    <t>Uno Poniente-GAF</t>
  </si>
  <si>
    <t>Uno Poniente-PV Inmob.</t>
  </si>
  <si>
    <t>Uno Poniente-Depto.Técnico</t>
  </si>
  <si>
    <t>Terreno Uruguay 15  - Inversiones</t>
  </si>
  <si>
    <t>Uruguay</t>
  </si>
  <si>
    <t>Uruguay-Marketing</t>
  </si>
  <si>
    <t>Uruguay-Operaciones</t>
  </si>
  <si>
    <t>Uruguay-Ventas</t>
  </si>
  <si>
    <t>Uruguay-Clientes</t>
  </si>
  <si>
    <t>Uruguay-Proyecto</t>
  </si>
  <si>
    <t>Uruguay-GAF</t>
  </si>
  <si>
    <t>Uruguay-PV Inmob.</t>
  </si>
  <si>
    <t>Uruguay-Depto.Técnico</t>
  </si>
  <si>
    <t>Entrega Vicente Reyes</t>
  </si>
  <si>
    <t>PV Vicente Reyes</t>
  </si>
  <si>
    <t>Vista Andina</t>
  </si>
  <si>
    <t>Los Olmos</t>
  </si>
  <si>
    <t>Vista Andina-Marketing</t>
  </si>
  <si>
    <t>Vista Andina-Operaciones</t>
  </si>
  <si>
    <t>Vista Andina-Ventas</t>
  </si>
  <si>
    <t>Vista Andina-Clientes</t>
  </si>
  <si>
    <t>Vista Andina-Proyecto</t>
  </si>
  <si>
    <t>Vista Andina-GAF</t>
  </si>
  <si>
    <t>Vista Andina-PV Inmob.</t>
  </si>
  <si>
    <t>Vista Andina-Depto.Técnico</t>
  </si>
  <si>
    <t>Terreno Coipue-Desarrollo</t>
  </si>
  <si>
    <t>Vista Andina II</t>
  </si>
  <si>
    <t>Vista Andina 2-SA</t>
  </si>
  <si>
    <t>Vista Andina II-Marketing</t>
  </si>
  <si>
    <t>Vista Andina II-Operaciones</t>
  </si>
  <si>
    <t>Vista Andina II-Ventas</t>
  </si>
  <si>
    <t>Vista Andina II-Clientes</t>
  </si>
  <si>
    <t>Vista Andina II-Proyecto</t>
  </si>
  <si>
    <t>Vista Andina II-GAF</t>
  </si>
  <si>
    <t>Vista Andina II-PV Inmob.</t>
  </si>
  <si>
    <t>Vista Andina II-Depto.Técnico</t>
  </si>
  <si>
    <t xml:space="preserve">Terreno Hertz-Desarrollo </t>
  </si>
  <si>
    <t>Vista del Parque</t>
  </si>
  <si>
    <t>Vista del Parque-Marketing</t>
  </si>
  <si>
    <t>Vista del Parque-Operaciones</t>
  </si>
  <si>
    <t>Vista del Parque-Ventas</t>
  </si>
  <si>
    <t>Vista del Parque-Clientes</t>
  </si>
  <si>
    <t>Vista del Parque-Proyecto</t>
  </si>
  <si>
    <t>Vista del Parque-GAF</t>
  </si>
  <si>
    <t>Vista del Parque-PV Inmob.</t>
  </si>
  <si>
    <t>Vista del Parque-Depto.Técnico</t>
  </si>
  <si>
    <t>Vista del Valle</t>
  </si>
  <si>
    <t>Vista del Valle-Marketing</t>
  </si>
  <si>
    <t>Vista del Valle-Operaciones</t>
  </si>
  <si>
    <t>Vista del Valle-Ventas</t>
  </si>
  <si>
    <t>Vista del Valle-Clientes</t>
  </si>
  <si>
    <t>Vista del Valle-Proyecto</t>
  </si>
  <si>
    <t>Vista del Valle-GAF</t>
  </si>
  <si>
    <t>Vista del Valle-PV Inmob.</t>
  </si>
  <si>
    <t>Vista del Valle-Depto.Técnico</t>
  </si>
  <si>
    <t>Terreno Bezanilla-Desarrollo</t>
  </si>
  <si>
    <t>Terreno Armando Moock-Desarrollo</t>
  </si>
  <si>
    <t>Terreno 6 1/2 Oriente-Desarrollo</t>
  </si>
  <si>
    <t>Vista Oriente</t>
  </si>
  <si>
    <t>Vista Oriente-SA</t>
  </si>
  <si>
    <t>Vista Oriente-Marketing</t>
  </si>
  <si>
    <t>Vista Oriente-Operaciones</t>
  </si>
  <si>
    <t>Vista Oriente-Ventas</t>
  </si>
  <si>
    <t>Vista Oriente-Clientes</t>
  </si>
  <si>
    <t>Vista Oriente-Proyecto</t>
  </si>
  <si>
    <t>Vista Oriente-GAF</t>
  </si>
  <si>
    <t>Vista Oriente-PV Inmob.</t>
  </si>
  <si>
    <t>Vista Oriente-Depto.Técnico</t>
  </si>
  <si>
    <t>Vista Placeres</t>
  </si>
  <si>
    <t>Vista Placeres-Operaciones</t>
  </si>
  <si>
    <t>Vista Placeres-Ventas</t>
  </si>
  <si>
    <t>Vista Placeres-Clientes</t>
  </si>
  <si>
    <t>Vista Placeres-GAF</t>
  </si>
  <si>
    <t>Vistamar I</t>
  </si>
  <si>
    <t>Codigo Concepto de imputación</t>
  </si>
  <si>
    <t>Nombre Concepto de imputación</t>
  </si>
  <si>
    <t>Equipamiento</t>
  </si>
  <si>
    <t>Fletes (por orden de compra)</t>
  </si>
  <si>
    <t>Hormigones</t>
  </si>
  <si>
    <t>Ajuste de Precio</t>
  </si>
  <si>
    <t>Elevadores y Grúas</t>
  </si>
  <si>
    <t>Motores y Bombas</t>
  </si>
  <si>
    <t>Reparac/Mant Eq</t>
  </si>
  <si>
    <t>REGULARIZACIONES</t>
  </si>
  <si>
    <t>Eq Varios</t>
  </si>
  <si>
    <t>Normal</t>
  </si>
  <si>
    <t>Adicional</t>
  </si>
  <si>
    <t>Extras</t>
  </si>
  <si>
    <t>Accesorios Sanitarios</t>
  </si>
  <si>
    <t>Adhesivos</t>
  </si>
  <si>
    <t>Aditivos</t>
  </si>
  <si>
    <t>Aislación</t>
  </si>
  <si>
    <t>Alambre</t>
  </si>
  <si>
    <t>Alcantarillado</t>
  </si>
  <si>
    <t>Alfombras</t>
  </si>
  <si>
    <t>Aluminios</t>
  </si>
  <si>
    <t>Áridos</t>
  </si>
  <si>
    <t>Artículos Eléctricos</t>
  </si>
  <si>
    <t>Artículos Gas</t>
  </si>
  <si>
    <t>Artículos Sanitarios</t>
  </si>
  <si>
    <t>Cables</t>
  </si>
  <si>
    <t>Cadenas</t>
  </si>
  <si>
    <t>Cañerías Acero</t>
  </si>
  <si>
    <t>Cañerías Cobre</t>
  </si>
  <si>
    <t>Cañerías PVC</t>
  </si>
  <si>
    <t>Cementos</t>
  </si>
  <si>
    <t>Cerámicos y Baldosas</t>
  </si>
  <si>
    <t>Cielo Modular</t>
  </si>
  <si>
    <t>Cierros</t>
  </si>
  <si>
    <t>Combustibles</t>
  </si>
  <si>
    <t>Cubrejuntas y Dilataciones</t>
  </si>
  <si>
    <t>Dren</t>
  </si>
  <si>
    <t>Elementos Seguridad</t>
  </si>
  <si>
    <t>Ensayos</t>
  </si>
  <si>
    <t>Eq Comp/Eléct Oficina</t>
  </si>
  <si>
    <t>Estructura Volcometal</t>
  </si>
  <si>
    <t>Eventos y Recreac. Obra</t>
  </si>
  <si>
    <t>Extracción Basura y Escombros</t>
  </si>
  <si>
    <t>Fieltros y Barreras</t>
  </si>
  <si>
    <t>Fierro</t>
  </si>
  <si>
    <t>Fierro Redondo Liso</t>
  </si>
  <si>
    <t>Fijaciones</t>
  </si>
  <si>
    <t>Fitting</t>
  </si>
  <si>
    <t>Flete Perfiles</t>
  </si>
  <si>
    <t>Grifería</t>
  </si>
  <si>
    <t>Herramientas</t>
  </si>
  <si>
    <t>Hojalatería y Techumbres</t>
  </si>
  <si>
    <t>Hta Menor</t>
  </si>
  <si>
    <t>Incendio y Alarmas</t>
  </si>
  <si>
    <t>Insumos</t>
  </si>
  <si>
    <t>Izaje</t>
  </si>
  <si>
    <t>Jardinería</t>
  </si>
  <si>
    <t>Ladrillos</t>
  </si>
  <si>
    <t>Licencias Softwares</t>
  </si>
  <si>
    <t>Lubricantes</t>
  </si>
  <si>
    <t>Luminarias</t>
  </si>
  <si>
    <t>Maderas</t>
  </si>
  <si>
    <t>Malla Acma</t>
  </si>
  <si>
    <t>Malla Raschel</t>
  </si>
  <si>
    <t>Mallas Varias</t>
  </si>
  <si>
    <t>Mangueras</t>
  </si>
  <si>
    <t>Molduras</t>
  </si>
  <si>
    <t>Morteros e Impermeabilizantes</t>
  </si>
  <si>
    <t>Muebles</t>
  </si>
  <si>
    <t>Muebles e Inst Faena</t>
  </si>
  <si>
    <t>Papel Mural</t>
  </si>
  <si>
    <t>Pavimentos</t>
  </si>
  <si>
    <t>Pendones</t>
  </si>
  <si>
    <t>Perfiles y Tubos</t>
  </si>
  <si>
    <t>Persianas</t>
  </si>
  <si>
    <t>Pinturas</t>
  </si>
  <si>
    <t>Piscinas</t>
  </si>
  <si>
    <t>Placas Aglomeradas</t>
  </si>
  <si>
    <t>Planchas</t>
  </si>
  <si>
    <t>Prefabricados Hormigón</t>
  </si>
  <si>
    <t>Puertas y Ventanas</t>
  </si>
  <si>
    <t>Quincallería</t>
  </si>
  <si>
    <t>Revestimientos</t>
  </si>
  <si>
    <t>Rollizos y Postes Madera</t>
  </si>
  <si>
    <t>Señalética</t>
  </si>
  <si>
    <t>Soldadura</t>
  </si>
  <si>
    <t>Sum. e Inst. Anclajes Postens.</t>
  </si>
  <si>
    <t>Tabiques</t>
  </si>
  <si>
    <t>Yeso y Cal</t>
  </si>
  <si>
    <t>Prefabricados Madera</t>
  </si>
  <si>
    <t>Sbctto Agua Potable Domic.</t>
  </si>
  <si>
    <t>Sbctto Agua Potable Provisorio</t>
  </si>
  <si>
    <t>Sbctto Aire Acondicionado</t>
  </si>
  <si>
    <t>Sbctto Alarmas Contra Incendio</t>
  </si>
  <si>
    <t>Sbctto Alarmas Contra Robos</t>
  </si>
  <si>
    <t>Sbctto Alcantarillado Domic.</t>
  </si>
  <si>
    <t>Sbctto Alcantarillado Publico</t>
  </si>
  <si>
    <t>Sbctto Alfombra</t>
  </si>
  <si>
    <t>Sbctto Aluminios</t>
  </si>
  <si>
    <t>Sbctto Ascensores</t>
  </si>
  <si>
    <t>Sbctto Baldosas</t>
  </si>
  <si>
    <t>Sbctto Carpintería en Madera</t>
  </si>
  <si>
    <t>Sbctto Cerámica</t>
  </si>
  <si>
    <t>Sbctto Cielos</t>
  </si>
  <si>
    <t>Sbctto Circuito Cerrado de TV</t>
  </si>
  <si>
    <t>Sbctto Control Centralizado</t>
  </si>
  <si>
    <t>Sbctto Control de Accesos</t>
  </si>
  <si>
    <t>Sbctto Corte de Pavimento</t>
  </si>
  <si>
    <t>Sbctto Demolición</t>
  </si>
  <si>
    <t>Sbctto Divisiones Exteriores</t>
  </si>
  <si>
    <t>Sbctto Divisiones Interiores</t>
  </si>
  <si>
    <t>Sbctto Elect. Domiciliario</t>
  </si>
  <si>
    <t>Sbctto Electricidad Industrial</t>
  </si>
  <si>
    <t>Sbctto Electricidad Provisoria</t>
  </si>
  <si>
    <t>Sbctto Enfierradura</t>
  </si>
  <si>
    <t>Sbctto Espejos</t>
  </si>
  <si>
    <t>Sbctto Estructuras Metálicas</t>
  </si>
  <si>
    <t>Sbctto Estuco</t>
  </si>
  <si>
    <t>Sbctto Excavaciones</t>
  </si>
  <si>
    <t>Sbctto Extracción de Escombros</t>
  </si>
  <si>
    <t>Sbctto Gas</t>
  </si>
  <si>
    <t>Sbctto Hojalatería</t>
  </si>
  <si>
    <t>Sbctto Hormigón Celular</t>
  </si>
  <si>
    <t>Sbctto Hormigón Premezclado</t>
  </si>
  <si>
    <t>Sbctto Impermeabilizaciones</t>
  </si>
  <si>
    <t>Sbctto Incendio Red Húmeda</t>
  </si>
  <si>
    <t>Sbctto Incendio Red Seca</t>
  </si>
  <si>
    <t>Sbctto Inst. Cornisas</t>
  </si>
  <si>
    <t>Sbctto Inst. Papel Mural</t>
  </si>
  <si>
    <t>Sbctto Inst. Piso Deck</t>
  </si>
  <si>
    <t>Sbctto Jardines</t>
  </si>
  <si>
    <t>Sbctto Junturas de Tabiques</t>
  </si>
  <si>
    <t>Sbctto Lab. de Hormigones</t>
  </si>
  <si>
    <t>Sbctto Mármol</t>
  </si>
  <si>
    <t>Sbctto Molduras</t>
  </si>
  <si>
    <t>Sbctto Montaje de Equipos</t>
  </si>
  <si>
    <t>Sbctto Muebles de Baño</t>
  </si>
  <si>
    <t>Sbctto Muebles de Closet</t>
  </si>
  <si>
    <t>Sbctto Muebles de Cocina</t>
  </si>
  <si>
    <t>Sbctto Muebles de Oficina</t>
  </si>
  <si>
    <t>Sbctto Otros Ensayos</t>
  </si>
  <si>
    <t>Sbctto Otros Muebles</t>
  </si>
  <si>
    <t>Sbctto Otros Pisos</t>
  </si>
  <si>
    <t>Sbctto Papel Mural</t>
  </si>
  <si>
    <t>Sbctto Pavimentos</t>
  </si>
  <si>
    <t>Sbctto Perforación de Hormigón</t>
  </si>
  <si>
    <t>Sbctto Pilas</t>
  </si>
  <si>
    <t>Sbctto Pinturas</t>
  </si>
  <si>
    <t>Sbctto Piso Flotante</t>
  </si>
  <si>
    <t>Sbctto Plásticos</t>
  </si>
  <si>
    <t>Sbctto Preparación de Muros</t>
  </si>
  <si>
    <t>Sbctto Presurización</t>
  </si>
  <si>
    <t>Sbctto Puertas</t>
  </si>
  <si>
    <t>Sbctto Pulido de Pisos</t>
  </si>
  <si>
    <t>Sbctto Quincallería</t>
  </si>
  <si>
    <t>Sbctto Red de Calefacción</t>
  </si>
  <si>
    <t>Sbctto Retiro Escombros</t>
  </si>
  <si>
    <t>Sbctto Señalética</t>
  </si>
  <si>
    <t>Sbctto Servicio de Aseo</t>
  </si>
  <si>
    <t>Sbctto Suelos</t>
  </si>
  <si>
    <t>Sbctto Tabiques</t>
  </si>
  <si>
    <t>Sbctto Techumbres y Cubiertas</t>
  </si>
  <si>
    <t>Sbctto Topografía</t>
  </si>
  <si>
    <t>Sbctto Trámites</t>
  </si>
  <si>
    <t>Sbctto Transporte</t>
  </si>
  <si>
    <t>Sbctto Ventanas</t>
  </si>
  <si>
    <t>Sbctto Vitrificado</t>
  </si>
  <si>
    <t>Sbctto Zincado, Galvanizado</t>
  </si>
  <si>
    <t>Servicio Vigilancia</t>
  </si>
  <si>
    <t>Sbctto Instalación Especial</t>
  </si>
  <si>
    <t>Instalación Sist Computacional</t>
  </si>
  <si>
    <t>Operador Sbctto Arriendo</t>
  </si>
  <si>
    <t>Descuento Subcontrato</t>
  </si>
  <si>
    <t>Sbctto Otros Subcttos</t>
  </si>
  <si>
    <t>Andamios</t>
  </si>
  <si>
    <t>Camioneta</t>
  </si>
  <si>
    <t>Compactadores</t>
  </si>
  <si>
    <t>Compresores</t>
  </si>
  <si>
    <t>Eq Topográfico</t>
  </si>
  <si>
    <t>Grupo Electrógeno</t>
  </si>
  <si>
    <t>Moldajes</t>
  </si>
  <si>
    <t>Retroexcavadora y Bulldozer</t>
  </si>
  <si>
    <t>Rotomartillos</t>
  </si>
  <si>
    <t>Trompos/Betoneras</t>
  </si>
  <si>
    <t>Vibradores</t>
  </si>
  <si>
    <t>Sbctto Arr Andamios</t>
  </si>
  <si>
    <t>Sbctto Arr Baños y Duchas</t>
  </si>
  <si>
    <t>Sbctto Arr Camiones</t>
  </si>
  <si>
    <t>Sbctto Arr Compactadores</t>
  </si>
  <si>
    <t>Sbctto Arr Compresores</t>
  </si>
  <si>
    <t>Sbctto Arr Contenedor</t>
  </si>
  <si>
    <t>Sbctto Arr Elevadores y Grúas</t>
  </si>
  <si>
    <t>Sbctto Arr Eq Topográfico</t>
  </si>
  <si>
    <t>Sbctto Arr Eq Varios</t>
  </si>
  <si>
    <t>Sbctto Arr Grupo Electrógeno</t>
  </si>
  <si>
    <t>Sbctto Arr Moldajes</t>
  </si>
  <si>
    <t>Sbctto Arr Motobombas</t>
  </si>
  <si>
    <t>Sbctto Arr Retro. y Bulldozer</t>
  </si>
  <si>
    <t>Sbctto Arr Rotomartillos</t>
  </si>
  <si>
    <t>Sbctto Arr Trompos/Betoneras</t>
  </si>
  <si>
    <t>Sbctto Arr Vibradores</t>
  </si>
  <si>
    <t>Sbctto Generador Eléctrico</t>
  </si>
  <si>
    <t>Alimentos</t>
  </si>
  <si>
    <t>Aseo y Cocina</t>
  </si>
  <si>
    <t>Buses y Radiotaxi</t>
  </si>
  <si>
    <t>Capacitación</t>
  </si>
  <si>
    <t>Honorarios y Asesorías</t>
  </si>
  <si>
    <t>Seguros</t>
  </si>
  <si>
    <t>Tramitaciones</t>
  </si>
  <si>
    <t>Transporte</t>
  </si>
  <si>
    <t>Útiles Oficina</t>
  </si>
  <si>
    <t>Consumos Básicos</t>
  </si>
  <si>
    <t>Consumos de Obra</t>
  </si>
  <si>
    <t>Pasajes, Hotel y Otros GG</t>
  </si>
  <si>
    <t>Boletas de Garantía</t>
  </si>
  <si>
    <t>COVID</t>
  </si>
  <si>
    <t>Sbctto Trabajos Misceláneos</t>
  </si>
  <si>
    <t>Sbctto Agotamiento Napas</t>
  </si>
  <si>
    <t>Pago Sueldos/Finiq Trab Sbctto</t>
  </si>
  <si>
    <t>Pago Imposiciones Trab Sbctto</t>
  </si>
  <si>
    <t>Bodega - Grupo Motor</t>
  </si>
  <si>
    <t>Bodega - Armario Eléctrico</t>
  </si>
  <si>
    <t>Bodega - Grúa Torre</t>
  </si>
  <si>
    <t>Bodega - Grúa Automontable</t>
  </si>
  <si>
    <t>Bodega - Capachos</t>
  </si>
  <si>
    <t>Bodega - Cuna Metálica</t>
  </si>
  <si>
    <t>Bodega - Ascensores</t>
  </si>
  <si>
    <t>Bodega - Brazo Dist. Hormigón</t>
  </si>
  <si>
    <t>Bodega - Contenedores</t>
  </si>
  <si>
    <t>Bodega - Herramientas</t>
  </si>
  <si>
    <t>Bodega - Herramienta Eléctrica</t>
  </si>
  <si>
    <t>Bodega - Herramientas Manuales</t>
  </si>
  <si>
    <t>Bodega - Maquinaria</t>
  </si>
  <si>
    <t>Bodega - Camiones y Camionetas</t>
  </si>
  <si>
    <t>Bodega - Viga de Madera</t>
  </si>
  <si>
    <t>Bodega - Plachas</t>
  </si>
  <si>
    <t>Bodega - Moldajes</t>
  </si>
  <si>
    <t>Bodega - Andamios</t>
  </si>
  <si>
    <t>Bodega - Topográficos</t>
  </si>
  <si>
    <t>Bodega - Eq. Oficina</t>
  </si>
  <si>
    <t>Bodega - Eq. Radio</t>
  </si>
  <si>
    <t>Bodega - Insumos Bodega</t>
  </si>
  <si>
    <t>Bodega - Fletes</t>
  </si>
  <si>
    <t>Bodega - EPP</t>
  </si>
  <si>
    <t>Bodega - Mobiliario</t>
  </si>
  <si>
    <t>Bodega - Visicooler</t>
  </si>
  <si>
    <t>Bodega - Consumo Básico</t>
  </si>
  <si>
    <t>Ingresos Zona Extrema</t>
  </si>
  <si>
    <t>Distribución</t>
  </si>
  <si>
    <t>Administrador de Obra</t>
  </si>
  <si>
    <t>Administrador General</t>
  </si>
  <si>
    <t>Administrativo de Obra</t>
  </si>
  <si>
    <t>Albañil</t>
  </si>
  <si>
    <t>Andamiero</t>
  </si>
  <si>
    <t>Arquitecto</t>
  </si>
  <si>
    <t>Asistente Supervisor Zonal</t>
  </si>
  <si>
    <t>Auditor Int. Prev. de Riesgos</t>
  </si>
  <si>
    <t>Ayudante Administrativo</t>
  </si>
  <si>
    <t>Ayudante Albañil</t>
  </si>
  <si>
    <t>Ayudante Bodega</t>
  </si>
  <si>
    <t>Ayudante Capataz</t>
  </si>
  <si>
    <t>Ayudante Carpintero</t>
  </si>
  <si>
    <t>Bodega – Personal</t>
  </si>
  <si>
    <t>Ayudante Jefe Patio</t>
  </si>
  <si>
    <t>Ayudante Maestro Albañil</t>
  </si>
  <si>
    <t>Ayudante Mantención</t>
  </si>
  <si>
    <t>Ayudante Montaje Grúas Torre</t>
  </si>
  <si>
    <t>Ayudante Obra</t>
  </si>
  <si>
    <t>Ayudante Of. Técnica</t>
  </si>
  <si>
    <t>Ayudante Pañol</t>
  </si>
  <si>
    <t>Ayudante Prev. de Riesgos</t>
  </si>
  <si>
    <t>Ayudante Soldador</t>
  </si>
  <si>
    <t>Ayudante Trazador</t>
  </si>
  <si>
    <t>Bodeguero</t>
  </si>
  <si>
    <t>Capataz</t>
  </si>
  <si>
    <t>Capataz de Exteriores</t>
  </si>
  <si>
    <t>Capataz de Hormigón</t>
  </si>
  <si>
    <t>Capataz de Instalaciones</t>
  </si>
  <si>
    <t>Capataz de Moldaje</t>
  </si>
  <si>
    <t>Capataz de Patio</t>
  </si>
  <si>
    <t>Capataz de Post Venta</t>
  </si>
  <si>
    <t>Capataz de Terminaciones</t>
  </si>
  <si>
    <t>Carpintero</t>
  </si>
  <si>
    <t>Carpintero de Obra Gruesa</t>
  </si>
  <si>
    <t>Carpintero de Terminaciones</t>
  </si>
  <si>
    <t>Chofer</t>
  </si>
  <si>
    <t>Concretero</t>
  </si>
  <si>
    <t>Constructor</t>
  </si>
  <si>
    <t>Control de Obras</t>
  </si>
  <si>
    <t>Control de Gest. y Avance de O</t>
  </si>
  <si>
    <t>Coordinador de ITOs</t>
  </si>
  <si>
    <t>Coordinador de Proyectos</t>
  </si>
  <si>
    <t>Coord. Gral. de Instalacione</t>
  </si>
  <si>
    <t>Diseñador</t>
  </si>
  <si>
    <t>Eléctrico</t>
  </si>
  <si>
    <t>Electromecánico</t>
  </si>
  <si>
    <t>Elect. de Mant. y Montaje</t>
  </si>
  <si>
    <t>Encargado de Arriendos</t>
  </si>
  <si>
    <t>Encargado de Bodega</t>
  </si>
  <si>
    <t>Encargado Control Avance Obra</t>
  </si>
  <si>
    <t>Encargado de Inspección</t>
  </si>
  <si>
    <t>Encargado de Mantención</t>
  </si>
  <si>
    <t>Encargado de Oficina Técnica</t>
  </si>
  <si>
    <t>Enfierrador</t>
  </si>
  <si>
    <t>Especialista Eléctrico</t>
  </si>
  <si>
    <t>Estafeta</t>
  </si>
  <si>
    <t>Estucador</t>
  </si>
  <si>
    <t>Experto en  Prev. de Riesgos</t>
  </si>
  <si>
    <t>Gasfiter</t>
  </si>
  <si>
    <t>Gerente de Obra</t>
  </si>
  <si>
    <t>Ingeniero</t>
  </si>
  <si>
    <t>Insp. Técnico de Obra Interno</t>
  </si>
  <si>
    <t>Inspector Técnico de Obra</t>
  </si>
  <si>
    <t>Jefe de Adquisiciones</t>
  </si>
  <si>
    <t>Jefe de Bodega</t>
  </si>
  <si>
    <t>Jefe de Maq. y Bodega Central</t>
  </si>
  <si>
    <t>Jefe de Obra</t>
  </si>
  <si>
    <t>Jefe de Patio</t>
  </si>
  <si>
    <t>Jefe de Post Venta</t>
  </si>
  <si>
    <t>Jefe de Procesos</t>
  </si>
  <si>
    <t>Jefe de Terreno</t>
  </si>
  <si>
    <t>Jornal</t>
  </si>
  <si>
    <t>Jornal Andamiero</t>
  </si>
  <si>
    <t>Jornal Canguero</t>
  </si>
  <si>
    <t>Jornal Concretero</t>
  </si>
  <si>
    <t>Jornal de Aseo</t>
  </si>
  <si>
    <t>Jornal Llavero</t>
  </si>
  <si>
    <t>Junior</t>
  </si>
  <si>
    <t>Maestro</t>
  </si>
  <si>
    <t>Maestro Albañil</t>
  </si>
  <si>
    <t>Maestro Carpintero</t>
  </si>
  <si>
    <t>Maestro Ceramista</t>
  </si>
  <si>
    <t>Maestro Fragüero</t>
  </si>
  <si>
    <t>Maestro Trazador</t>
  </si>
  <si>
    <t>Mantención</t>
  </si>
  <si>
    <t>Mayordomo</t>
  </si>
  <si>
    <t>Oficina Técnica</t>
  </si>
  <si>
    <t>Operador</t>
  </si>
  <si>
    <t>Operador de Grúa</t>
  </si>
  <si>
    <t>Operador de Minicargador</t>
  </si>
  <si>
    <t>Pañolero</t>
  </si>
  <si>
    <t>Pintor</t>
  </si>
  <si>
    <t>Portero</t>
  </si>
  <si>
    <t>Post Venta Obra</t>
  </si>
  <si>
    <t>Prevencionista</t>
  </si>
  <si>
    <t>Profesional de Calidad y Seg.</t>
  </si>
  <si>
    <t>Profesional de Terreno Trainee</t>
  </si>
  <si>
    <t>Señalero</t>
  </si>
  <si>
    <t>Soldador</t>
  </si>
  <si>
    <t>Sup. de Bodega, Maq. y Equipos</t>
  </si>
  <si>
    <t>Supervisor</t>
  </si>
  <si>
    <t>Sup. Administrativo de Obras</t>
  </si>
  <si>
    <t>Supervisor de Instalaciones</t>
  </si>
  <si>
    <t>Sup. de Instalaciones Eléct.</t>
  </si>
  <si>
    <t>Sup. de Mantención y Montaje</t>
  </si>
  <si>
    <t>Supervisor Regional Post Vta</t>
  </si>
  <si>
    <t>Supervisor Zonal</t>
  </si>
  <si>
    <t>Técnico</t>
  </si>
  <si>
    <t>Técnico Geomensor</t>
  </si>
  <si>
    <t>Trazador</t>
  </si>
  <si>
    <t>Vibradorista</t>
  </si>
  <si>
    <t>Yesero</t>
  </si>
  <si>
    <t>Bodega - Personal</t>
  </si>
  <si>
    <t>Rol Privado</t>
  </si>
  <si>
    <t>Aux. de Aseo y Mantención</t>
  </si>
  <si>
    <t>Topografo</t>
  </si>
  <si>
    <t>Coordinador Post Venta</t>
  </si>
  <si>
    <t>Asistente Post Venta</t>
  </si>
  <si>
    <t>Rigger</t>
  </si>
  <si>
    <t>Carpintero Tabiquero</t>
  </si>
  <si>
    <t>Carpintero Bodega Central</t>
  </si>
  <si>
    <t>Operador de Montacarga</t>
  </si>
  <si>
    <t>Encargado de Patio</t>
  </si>
  <si>
    <t>Canguero</t>
  </si>
  <si>
    <t>Pulidor</t>
  </si>
  <si>
    <t>Chofer - Operador Maq. Doblado</t>
  </si>
  <si>
    <t>Supervisor de Pagos a Subcontratos</t>
  </si>
  <si>
    <t>Supervisor de Administración en Terreno</t>
  </si>
  <si>
    <t>Ejecutivo de Caja Chica y Fondos al Personal</t>
  </si>
  <si>
    <t>Auxiliar de Aseo y Mantención Inmobiliaria</t>
  </si>
  <si>
    <t>Pilotera y mantención</t>
  </si>
  <si>
    <t>Administrativo Zonal de clientes</t>
  </si>
  <si>
    <t xml:space="preserve">Maestro Enfierrador         </t>
  </si>
  <si>
    <t>Jornal Llavero y Entrega</t>
  </si>
  <si>
    <t>Encargado de Mantención línea de Izaje</t>
  </si>
  <si>
    <t>Encargado de Montajes</t>
  </si>
  <si>
    <t xml:space="preserve">Operador de Planta de Hormigón </t>
  </si>
  <si>
    <t>Bodega - Materiales Oficina</t>
  </si>
  <si>
    <t>Bodega - Seguros y Garantías</t>
  </si>
  <si>
    <t>Bodega - Gastos Menores</t>
  </si>
  <si>
    <t>Bodega - Otros Gastos</t>
  </si>
  <si>
    <t>Bodega - Imprenta</t>
  </si>
  <si>
    <t>Bodega - Diseño y Publicidad</t>
  </si>
  <si>
    <t>Consumos Telefónicos</t>
  </si>
  <si>
    <t>Gastos Notariales</t>
  </si>
  <si>
    <t>Gastos Viajes y Traslados</t>
  </si>
  <si>
    <t>Prov. GGoc/PV</t>
  </si>
  <si>
    <t>Desemp. Prev. Riesgos</t>
  </si>
  <si>
    <t>Gastos Financieros</t>
  </si>
  <si>
    <t>Provision Costos Termino de Obra</t>
  </si>
  <si>
    <t>Concatenar Concepto</t>
  </si>
  <si>
    <t>Cuenta no usa concepto</t>
  </si>
  <si>
    <t>Tipo de Proyecto</t>
  </si>
  <si>
    <t>Codigo Partida</t>
  </si>
  <si>
    <t>Nombre Partida</t>
  </si>
  <si>
    <t>[OBRA] INGRESOS</t>
  </si>
  <si>
    <t>[OBRA] DEMOLICIONES Y DESRATIZACIONES</t>
  </si>
  <si>
    <t>[OBRA] SOCALZADOS Y ENTIBACIONES</t>
  </si>
  <si>
    <t>[OBRA] CONSTRUCCIONES PROVISORIAS</t>
  </si>
  <si>
    <t>[OBRA] INSTALACIONES</t>
  </si>
  <si>
    <t>[OBRA] REPLANTEO, TRAZADOS Y NIVELES</t>
  </si>
  <si>
    <t>[OBRA] SALA DE VENTAS Y PILOTO</t>
  </si>
  <si>
    <t>[OBRA] OTRAS OBRAS PREVIAS</t>
  </si>
  <si>
    <t>[OBRA] EXCAVACIONES MASIVAS</t>
  </si>
  <si>
    <t>[OBRA] EXCAVACIONES DE FUNCACIONES</t>
  </si>
  <si>
    <t>[OBRA] RELLENOS, COMPACTACIONES Y DRENES</t>
  </si>
  <si>
    <t>[OBRA] MOLDAJE</t>
  </si>
  <si>
    <t>[OBRA] ENFIERRADURA</t>
  </si>
  <si>
    <t>[OBRA] HORMIGONES</t>
  </si>
  <si>
    <t>[OBRA] ESTRUCTURAS METÁLICAS</t>
  </si>
  <si>
    <t>[OBRA] ESTRUCTURA DE TECHUMBRE</t>
  </si>
  <si>
    <t>[OBRA] ANCLAJES Y REFUERZO ESTRUCTURAL</t>
  </si>
  <si>
    <t>[OBRA] OTRAS PARTIDAS DE OBRA GRUESA</t>
  </si>
  <si>
    <t>[OBRA] GRÚAS</t>
  </si>
  <si>
    <t>[OBRA] ANDAMIOS GENERALES Y CARRERAS</t>
  </si>
  <si>
    <t>[OBRA] ANDAMIOS DE FACHADA</t>
  </si>
  <si>
    <t>[OBRA] TABIQUERÍAS Y CIELOS FALSOS</t>
  </si>
  <si>
    <t>[OBRA] IMPERMEABILIZACIÓN Y AISLACIÓN</t>
  </si>
  <si>
    <t>[OBRA] ESTUCOS, YESOS Y MAQUILLAJES</t>
  </si>
  <si>
    <t>[OBRA] PAVIMENTOS INTERIORES</t>
  </si>
  <si>
    <t>[OBRA] PAVIMENTOS SECTORES COMUNES</t>
  </si>
  <si>
    <t>[OBRA] REVESTIMIENTO INTERIOR Y PAPEL</t>
  </si>
  <si>
    <t>[OBRA] REVESTIMIENTOS DE FACHADAS</t>
  </si>
  <si>
    <t>[OBRA] PINTURAS</t>
  </si>
  <si>
    <t>[OBRA] MARCOS, PUERTAS Y QUINCALLERÍA</t>
  </si>
  <si>
    <t>[OBRA] VENTANAS Y ESPEJOS</t>
  </si>
  <si>
    <t>[OBRA] MUEBLES</t>
  </si>
  <si>
    <t>[OBRA] ARTEFACTOS SANITARIOS Y DE COCINA</t>
  </si>
  <si>
    <t>[OBRA] SEÑALÉTICA</t>
  </si>
  <si>
    <t>[OBRA] CARPINTERÍA METÁLICA</t>
  </si>
  <si>
    <t>[OBRA] TERMINACIONES FINALES DEPARTAMENTOS Y ÁREAS COMUNES</t>
  </si>
  <si>
    <t>[OBRA] INSTALACIONES SANITARIAS</t>
  </si>
  <si>
    <t>[OBRA] INST. ELÉCT. Y CORRIENTES DÉBILES</t>
  </si>
  <si>
    <t>[OBRA] EXTRACCIÓN DE BASURAS</t>
  </si>
  <si>
    <t>[OBRA] ASCENSORES</t>
  </si>
  <si>
    <t>[OBRA] EXTRACCIÓN FORZADA CLIMATIZACIÓN</t>
  </si>
  <si>
    <t>[OBRA] INSTALACIONES ESPECIALES</t>
  </si>
  <si>
    <t>[OBRA] OTRAS INSTALACIONES</t>
  </si>
  <si>
    <t>[OBRA] EQUIPAMIENTOS</t>
  </si>
  <si>
    <t>[OBRA] PAVIMENTOS</t>
  </si>
  <si>
    <t>[OBRA] PISCINA</t>
  </si>
  <si>
    <t>[OBRA] JARDINES Y RELLENOS</t>
  </si>
  <si>
    <t>[OBRA] PÉRGOLAS Y QUINCHOS</t>
  </si>
  <si>
    <t>[OBRA] REPARACIÓN DE VEREDAS Y CALZADAS</t>
  </si>
  <si>
    <t>[OBRA] OBRAS DE IMPACTO VIAL</t>
  </si>
  <si>
    <t>[OBRA] OTRAS OBRAS EXTERIORES</t>
  </si>
  <si>
    <t>[OBRA] PERSONAL DIRECTIVO</t>
  </si>
  <si>
    <t>[OBRA] PERSONAL DE APOYO</t>
  </si>
  <si>
    <t>[OBRA] HERRAMIENTAS</t>
  </si>
  <si>
    <t>[OBRA] MAQUINARIAS</t>
  </si>
  <si>
    <t>[OBRA] ELEMENTOS DE SEGURIDAD</t>
  </si>
  <si>
    <t>[OBRA] FLETES</t>
  </si>
  <si>
    <t>[OBRA] COMUNICACIÓN Y DATOS</t>
  </si>
  <si>
    <t>[OBRA] CONSUMOS PROVISORIOS DE OBRA</t>
  </si>
  <si>
    <t>[OBRA] GASTOS MENORES Y CAJAS CHICAS</t>
  </si>
  <si>
    <t>[OBRA] ENSAYOS</t>
  </si>
  <si>
    <t>[OBRA] SEGUROS Y GARANTÍAS</t>
  </si>
  <si>
    <t>[OBRA] HONORARIOS VARIOS</t>
  </si>
  <si>
    <t>[OBRA] OTROS GASTOS GENERALES</t>
  </si>
  <si>
    <t>[OBRA] INVESTIGACIÓN Y DESARROLLO</t>
  </si>
  <si>
    <t>[OBRA] PROVISIÓN PARA POSTVENTA</t>
  </si>
  <si>
    <t>[OBRA] GASTO GENERAL DE OFICINA CENTRAL</t>
  </si>
  <si>
    <t>[OBRA] ASEO PERMANENTE DE OBRA</t>
  </si>
  <si>
    <t>[OBRA] JORNALES</t>
  </si>
  <si>
    <t>[OBRA] PERMISOS</t>
  </si>
  <si>
    <t>[OBRA] GASTOS FINANCIEROS</t>
  </si>
  <si>
    <t>[OBRA] DIFERENCIA DISTRIBUCIONES</t>
  </si>
  <si>
    <t>[OBRA] PROVISION FINIQUITOS</t>
  </si>
  <si>
    <t>[OBRA] BENEFICIOS EXTERNOS</t>
  </si>
  <si>
    <t>NO UTILIZAR [OBRA] OBRA GRUESA</t>
  </si>
  <si>
    <t>NO UTILIZAR [OBRA] TERMINACIONES</t>
  </si>
  <si>
    <t>NO UTILIZAR [OBRA] INSTALACIONES</t>
  </si>
  <si>
    <t>NO UTILIZAR [OBRA] OBRAS EXTERIORES</t>
  </si>
  <si>
    <t>NO UTILIZAR [OBRA] OOEE GASTOS GENERALES</t>
  </si>
  <si>
    <t>[OBRA] URBANIZACIÓN</t>
  </si>
  <si>
    <t>[OBRA] PAVIMENTACIÓN PÚBLICA</t>
  </si>
  <si>
    <t>[OBRA] AGUAS LLUVIAS PÚBLICA</t>
  </si>
  <si>
    <t>[OBRA] AGUA POTABLE PÚBLICA</t>
  </si>
  <si>
    <t>[OBRA] ALCANTARILLADO PÚBLICO</t>
  </si>
  <si>
    <t>[OBRA] GAS PÚBLICO</t>
  </si>
  <si>
    <t>[OBRA] ELECTRICIDAD PÚBLICA</t>
  </si>
  <si>
    <t>[OBRA] SEÑALETICA PÚBLICA</t>
  </si>
  <si>
    <t>[OBRA] DEMARCACIONES PÚBLICA</t>
  </si>
  <si>
    <t>[OBRA] ÁREAS VERDES PÚBLICAS</t>
  </si>
  <si>
    <t>[OBRA] PAVIMENTACIÓN PRIVADA</t>
  </si>
  <si>
    <t>[OBRA] AGUAS LLUVIAS PRIVADA</t>
  </si>
  <si>
    <t>[OBRA] AGUA POTABLE PRIVADA</t>
  </si>
  <si>
    <t>[OBRA] ALCANTARILLADO PRIVADO</t>
  </si>
  <si>
    <t>[OBRA] GAS PRIVADO</t>
  </si>
  <si>
    <t>[OBRA] ELECTRICIDAD PRIVADA</t>
  </si>
  <si>
    <t>[OBRA] SEÑALÉTICA PRIVADA</t>
  </si>
  <si>
    <t>[OBRA] DEMARCACIONES PRIVADAS</t>
  </si>
  <si>
    <t>[OBRA] ÁREAS VERDES PRIVADAS</t>
  </si>
  <si>
    <t>[OBRA] DESCUENTO SUBCONTRATO</t>
  </si>
  <si>
    <t>[OBRA] SALDO POR DISTRIBUIR</t>
  </si>
  <si>
    <t>1  </t>
  </si>
  <si>
    <t> [INTEGRACION] PARTIDA SIN ASIGNAR  </t>
  </si>
  <si>
    <t> [INTEGRACION] AJUSTE DE PRECIO  </t>
  </si>
  <si>
    <t> [INTEGRACION] DESCUENTO SUBCONTRATOS</t>
  </si>
  <si>
    <t> [POSTVENTA] INGRESOS  </t>
  </si>
  <si>
    <t> [POSTVENTA] OBRA GRUESA  </t>
  </si>
  <si>
    <t> [POSTVENTA] TABIQUERÍAS Y CIELOS FALSOS  </t>
  </si>
  <si>
    <t> [POSTVENTA] IMPERMEABILIZACIONES Y AISLA </t>
  </si>
  <si>
    <t> [POSTVENTA] ESTUCOS, YESOS Y MAQUILLAJES </t>
  </si>
  <si>
    <t> [POSTVENTA] ALFOMBRA  </t>
  </si>
  <si>
    <t> [POSTVENTA] CERÁMICOS  </t>
  </si>
  <si>
    <t> [POSTVENTA] PISOS FOTOLAMINADOS  </t>
  </si>
  <si>
    <t> [POSTVENTA] REVESTIMIENTOS CERÁMICOS  </t>
  </si>
  <si>
    <t> [POSTVENTA] PAPELES  </t>
  </si>
  <si>
    <t> [POSTVENTA] PAVIMENTOS CERÁMICOS SECTORE </t>
  </si>
  <si>
    <t> [POSTVENTA] OTROS PAVIMENTOS SECTORES CO </t>
  </si>
  <si>
    <t> [POSTVENTA] REVESTIMIENTOS DE FACHADAS  </t>
  </si>
  <si>
    <t> [POSTVENTA] PINTURAS  </t>
  </si>
  <si>
    <t> [POSTVENTA] MARCOS Y PUERTAS  </t>
  </si>
  <si>
    <t> [POSTVENTA] QUINCALLERÍA  </t>
  </si>
  <si>
    <t> [POSTVENTA] VENTANAS  </t>
  </si>
  <si>
    <t> [POSTVENTA] MUEBLES  </t>
  </si>
  <si>
    <t> [POSTVENTA] ARTEFACTOS SANITARIOS Y DE C </t>
  </si>
  <si>
    <t> [POSTVENTA] GRIFERÍA</t>
  </si>
  <si>
    <t> [POSTVENTA] SEÑALÉTICA  </t>
  </si>
  <si>
    <t> [POSTVENTA] CARPINTERÍA METÁLICA  </t>
  </si>
  <si>
    <t> [POSTVENTA] OTRAS PARTIDAS DE TERMINACIO </t>
  </si>
  <si>
    <t> [POSTVENTA] INSTALACIONES SANITARIAS  </t>
  </si>
  <si>
    <t> [POSTVENTA] INSTALACIONES ELÉCTRICAS  </t>
  </si>
  <si>
    <t> [POSTVENTA] CORRIENTES DÉBILES  </t>
  </si>
  <si>
    <t> [POSTVENTA] EXTRACCIÓN DE BASURAS  </t>
  </si>
  <si>
    <t> [POSTVENTA] ASCENSORES  </t>
  </si>
  <si>
    <t> [POSTVENTA] EXTRACCIÓN FORZADA Y CLIMATI </t>
  </si>
  <si>
    <t> [POSTVENTA] INSTALACIONES ESPECIALES  </t>
  </si>
  <si>
    <t> [POSTVENTA] OTRAS INSTALACIONES  </t>
  </si>
  <si>
    <t> [POSTVENTA] OBRAS EXTERIORES  </t>
  </si>
  <si>
    <t> [POSTVENTA] PERSONAL DIRECTIVO  </t>
  </si>
  <si>
    <t> [POSTVENTA] PERSONAL DE APOYO  </t>
  </si>
  <si>
    <t> [POSTVENTA] HERRAMIENTAS  </t>
  </si>
  <si>
    <t> [POSTVENTA] ELEMENTOS DE SEGURIDAD  </t>
  </si>
  <si>
    <t> [POSTVENTA] FLETES  </t>
  </si>
  <si>
    <t> [POSTVENTA] ANDAMIOS Y CARRERAS  </t>
  </si>
  <si>
    <t> [POSTVENTA] COMUNICACIÓN Y DATOS  </t>
  </si>
  <si>
    <t> [POSTVENTA] GASTOS MENORES Y CAJAS CHICA </t>
  </si>
  <si>
    <t> [POSTVENTA] ASEO  </t>
  </si>
  <si>
    <t> [POSTVENTA] ALFEIZAR / ANTEPECHOS  </t>
  </si>
  <si>
    <t> [POSTVENTA] GUARDAPOLVOS / JUNQUILLOS  </t>
  </si>
  <si>
    <t> [POSTVENTA] CORNISAS  </t>
  </si>
  <si>
    <t> [POSTVENTA] DAÑOS TERREMOTO  </t>
  </si>
  <si>
    <t> [POSTVENTA] REP. DEPTOS.  </t>
  </si>
  <si>
    <t> [POSTVENTA] PREPARACIÓN DEPTOS PARA ENTR </t>
  </si>
  <si>
    <t> [POSTVENTA] COMERCIAL  </t>
  </si>
  <si>
    <t> [POSTVENTA] INMOBILIARIA  </t>
  </si>
  <si>
    <t> [POSTVENTA] CONSTRUCTORA</t>
  </si>
  <si>
    <t> [POSTVENTA] GASTOS CLIENTES EXTRAS  </t>
  </si>
  <si>
    <t> [POSTVENTA] SALDO POR DISTRIBUIR</t>
  </si>
  <si>
    <t> [BODEGA] INGRESOS  </t>
  </si>
  <si>
    <t> [BODEGA] GRUPO MOTOR 10  </t>
  </si>
  <si>
    <t> [BODEGA] GRUPO MOTOR 01  </t>
  </si>
  <si>
    <t> [BODEGA] GRUPO MOTOR 02  </t>
  </si>
  <si>
    <t> [BODEGA] GRUPO MOTOR 03  </t>
  </si>
  <si>
    <t> [BODEGA] GRUPO MOTOR 04  </t>
  </si>
  <si>
    <t> [BODEGA] GRUPO MOTOR 05  </t>
  </si>
  <si>
    <t> [BODEGA] GRUPO MOTOR 06  </t>
  </si>
  <si>
    <t> [BODEGA] GRUPO MOTOR 07  </t>
  </si>
  <si>
    <t> [BODEGA] GRUPO MOTOR 08  </t>
  </si>
  <si>
    <t> [BODEGA] GRUPO MOTOR 09  </t>
  </si>
  <si>
    <t> [BODEGA] GRUPO MOTOR 11  </t>
  </si>
  <si>
    <t> [BODEGA] GRUPO MOTOR 12  </t>
  </si>
  <si>
    <t> [BODEGA] GRUPO MOTOR 13  </t>
  </si>
  <si>
    <t> [BODEGA] GRUPO MOTOR 14  </t>
  </si>
  <si>
    <t> [BODEGA] GRUPO MOTOR 15  </t>
  </si>
  <si>
    <t> [BODEGA] GRUPO MOTOR 16  </t>
  </si>
  <si>
    <t> [BODEGA] GRUPO MOTOR 17  </t>
  </si>
  <si>
    <t> [BODEGA] GRUPO MOTOR 18  </t>
  </si>
  <si>
    <t> [BODEGA] GRUPO MOTOR 19</t>
  </si>
  <si>
    <t> [BODEGA] GRUPO MOTOR 20  </t>
  </si>
  <si>
    <t> [BODEGA] REPUESTOS MANT. GRUPOS MOTOR  </t>
  </si>
  <si>
    <t> [BODEGA] ARMARIO ELÉCTRICO 01  </t>
  </si>
  <si>
    <t> [BODEGA] ARMARIO ELÉCTRICO 02  </t>
  </si>
  <si>
    <t> [BODEGA] ARMARIO ELÉCTRICO 03  </t>
  </si>
  <si>
    <t> [BODEGA] ARMARIO ELÉCTRICO 04  </t>
  </si>
  <si>
    <t> [BODEGA] ARMARIO ELÉCTRICO 05  </t>
  </si>
  <si>
    <t> [BODEGA] ARMARIO ELÉCTRICO 06  </t>
  </si>
  <si>
    <t> [BODEGA] ARMARIO ELÉCTRICO 07  </t>
  </si>
  <si>
    <t> [BODEGA] ARMARIO ELÉCTRICO 08  </t>
  </si>
  <si>
    <t> [BODEGA] ARMARIO ELÉCTRICO 09  </t>
  </si>
  <si>
    <t> [BODEGA] ARMARIO ELÉCTRICO 10  </t>
  </si>
  <si>
    <t> [BODEGA] ARMARIO ELÉCTRICO 11  </t>
  </si>
  <si>
    <t> [BODEGA] ARMARIO ELÉCTRICO 12  </t>
  </si>
  <si>
    <t> [BODEGA] ARMARIO ELÉCTRICO 13  </t>
  </si>
  <si>
    <t> [BODEGA] ARMARIO ELÉCTRICO 14  </t>
  </si>
  <si>
    <t> [BODEGA] ARMARIO ELÉCTRICO 15  </t>
  </si>
  <si>
    <t> [BODEGA] ARMARIO ELÉCTRICO 16  </t>
  </si>
  <si>
    <t> [BODEGA] REPUESTOS MANT. ARMARIOS ELÉCT. </t>
  </si>
  <si>
    <t> [BODEGA] GRÚA TORRE 1  </t>
  </si>
  <si>
    <t> [BODEGA] GRÚA TORRE 2  </t>
  </si>
  <si>
    <t> [BODEGA] GRÚA TORRE 3  </t>
  </si>
  <si>
    <t> [BODEGA] GRÚA TORRE 4  </t>
  </si>
  <si>
    <t> [BODEGA] GRÚA TORRE 5  </t>
  </si>
  <si>
    <t> [BODEGA] GRÚA TORRE 6  </t>
  </si>
  <si>
    <t> [BODEGA] GRÚA TORRE 7  </t>
  </si>
  <si>
    <t> [BODEGA] GRÚA TORRE 8  </t>
  </si>
  <si>
    <t> [BODEGA] GRÚA TORRE 9  </t>
  </si>
  <si>
    <t> [BODEGA] GRÚA TORRE 10  </t>
  </si>
  <si>
    <t> [BODEGA] GRÚA TORRE 11</t>
  </si>
  <si>
    <t> [BODEGA] GRÚA TORRE 12  </t>
  </si>
  <si>
    <t> [BODEGA] GRÚA TORRE 13  </t>
  </si>
  <si>
    <t> [BODEGA] GRÚA TORRE 14  </t>
  </si>
  <si>
    <t> [BODEGA] REPUESTOS PARA MANT. DE GRÚAS  </t>
  </si>
  <si>
    <t> [BODEGA] GRÚA AUTOMONTABLE 01  </t>
  </si>
  <si>
    <t> [BODEGA] GRÚA AUTOMONTABLE 02  </t>
  </si>
  <si>
    <t> [BODEGA] REPUESTOS GRÚAS AUTOMONTABLES  </t>
  </si>
  <si>
    <t> [BODEGA] CAPACHOS DESCARGA LATERAL  </t>
  </si>
  <si>
    <t> [BODEGA] CAPACHOS DESCARGA LATERAL</t>
  </si>
  <si>
    <t> [BODEGA] CAPACHOS DESCARGA VERTICAL  </t>
  </si>
  <si>
    <t> [BODEGA] CAPACHOS DESCARGA VERTICAL</t>
  </si>
  <si>
    <t> [BODEGA] REPUESTOS MANTENCIÓN CAPACHOS  </t>
  </si>
  <si>
    <t> [BODEGA] CUNA METÁLICA  </t>
  </si>
  <si>
    <t> [BODEGA] ASCENSOR 01  </t>
  </si>
  <si>
    <t> [BODEGA] ASCENSOR 02  </t>
  </si>
  <si>
    <t> [BODEGA] ASCENSOR 03  </t>
  </si>
  <si>
    <t> [BODEGA] ASCENSOR 04  </t>
  </si>
  <si>
    <t> [BODEGA] ASCENSOR 05  </t>
  </si>
  <si>
    <t> [BODEGA] ASCENSOR 06  </t>
  </si>
  <si>
    <t> [BODEGA] ASCENSOR 07  </t>
  </si>
  <si>
    <t> [BODEGA] ASCENSOR 08  </t>
  </si>
  <si>
    <t> [BODEGA] ASCENSOR 09  </t>
  </si>
  <si>
    <t> [BODEGA] ASCENSOR 10  </t>
  </si>
  <si>
    <t> [BODEGA] REPUESTOS MANTE. ASCENSORES</t>
  </si>
  <si>
    <t> [BODEGA] BRAZO DIST. HORM. Nº1  </t>
  </si>
  <si>
    <t> [BODEGA] BRAZO DIST. HORM. Nº2  </t>
  </si>
  <si>
    <t> [BODEGA] REPUESTOS BRAZOS DISTRIBUIDORES </t>
  </si>
  <si>
    <t> [BODEGA] BOMBA ESTACIONARIA PARA HORMIGI </t>
  </si>
  <si>
    <t> [BODEGA] BOMBA ESTACIONARIA PARA HORMIGO </t>
  </si>
  <si>
    <t> [BODEGA] BOMBA ESTACIONARIA PARA HORMIGÓ </t>
  </si>
  <si>
    <t> [BODEGA] REPUESTOS E INSUMOS PARA MANTEN </t>
  </si>
  <si>
    <t> [BODEGA] BRAZO DIST. HORM. MANUAL N°1  </t>
  </si>
  <si>
    <t> [BODEGA] BRAZO DIST. HORM. MANUAL N°2  </t>
  </si>
  <si>
    <t> [BODEGA] BRAZO DIST. HORM. MANUAL N°3  </t>
  </si>
  <si>
    <t> [BODEGA] BRAZO DIST. HORM. MANUAL N°4  </t>
  </si>
  <si>
    <t> [BODEGA] REPUESTOS E INSUMOS PARA MANT.  </t>
  </si>
  <si>
    <t> [BODEGA] CONTENEDORES 10  </t>
  </si>
  <si>
    <t> [BODEGA] CONTENEDORES 20  </t>
  </si>
  <si>
    <t> [BODEGA] CONTENEDORES 20</t>
  </si>
  <si>
    <t> [BODEGA] CONTENEDORES 40  </t>
  </si>
  <si>
    <t> [BODEGA] CONTENEDORES ABIERTOS  </t>
  </si>
  <si>
    <t> [BODEGA] CONTENEDORES ABIERTOS</t>
  </si>
  <si>
    <t> [BODEGA] CONTENEDOR OFICINA  </t>
  </si>
  <si>
    <t> [BODEGA] CONTENEDOR OFICINA CON BAÑO  </t>
  </si>
  <si>
    <t> [BODEGA] CONTENEDOR BAÑO  </t>
  </si>
  <si>
    <t> [BODEGA] CONTENEDOR DUCHA  </t>
  </si>
  <si>
    <t> [BODEGA] CONTENEDOR DUCHA C/ VESTIDOR  </t>
  </si>
  <si>
    <t> [BODEGA] CONTENEDOR VESTIDOR  </t>
  </si>
  <si>
    <t> [BODEGA] CONSUMO ELECTRICIDAD  </t>
  </si>
  <si>
    <t> [BODEGA] CONSUMO AGUA  </t>
  </si>
  <si>
    <t> [BODEGA] CONSUMO TELÉFONO E INTERNET  </t>
  </si>
  <si>
    <t> [BODEGA] CONSUMO DE GAS  </t>
  </si>
  <si>
    <t> [BODEGA] ASEO Y MANTENCIÓN DE BODEGA  </t>
  </si>
  <si>
    <t> [BODEGA] HERRAMIENTAS  </t>
  </si>
  <si>
    <t> [BODEGA] HERRAMIENTAS ELÉCTRICAS  </t>
  </si>
  <si>
    <t> [BODEGA] ASPIRADORAS ELÉCTRICAS</t>
  </si>
  <si>
    <t> [BODEGA] BANCO SIERRA  </t>
  </si>
  <si>
    <t> [BODEGA] BOMBA PARA ELEVACIÓN DE AGUAS  </t>
  </si>
  <si>
    <t> [BODEGA] CALADORAS  </t>
  </si>
  <si>
    <t> [BODEGA] CEPILLOS  </t>
  </si>
  <si>
    <t> [BODEGA] CORTADORA DE LADRILLOS  </t>
  </si>
  <si>
    <t> [BODEGA] CORTADORA DE MADERA  </t>
  </si>
  <si>
    <t> [BODEGA] ESMERILES ANGULARES 4,5"  </t>
  </si>
  <si>
    <t> [BODEGA] ESMERILES ANGULARES 5"  </t>
  </si>
  <si>
    <t> [BODEGA] ESMERILES ANGULARES 7"  </t>
  </si>
  <si>
    <t> [BODEGA] ESMERILES ANGULARES 9"  </t>
  </si>
  <si>
    <t> [BODEGA] FRESADORAS  </t>
  </si>
  <si>
    <t> [BODEGA] HIDROLAVADORAS  </t>
  </si>
  <si>
    <t> [BODEGA] LIJADORAS DE BANDAS  </t>
  </si>
  <si>
    <t> [BODEGA] SIERRAS CIRCULARES  </t>
  </si>
  <si>
    <t> [BODEGA] SOPLADORES AIRE FRÍO  </t>
  </si>
  <si>
    <t> [BODEGA] TALADROS DE PEDESTAL  </t>
  </si>
  <si>
    <t> [BODEGA] TALADROS MANDRIL  </t>
  </si>
  <si>
    <t> [BODEGA] TALADROS MENORES  </t>
  </si>
  <si>
    <t> [BODEGA] TALADROS PERCUTORES  </t>
  </si>
  <si>
    <t> [BODEGA] TALADROS PERCUTORES SPIT</t>
  </si>
  <si>
    <t> [BODEGA] TRONZADORA  </t>
  </si>
  <si>
    <t> [BODEGA] HERRAMIENTAS MANUALES  </t>
  </si>
  <si>
    <t> [BODEGA] CORTADORA DE PASTO  </t>
  </si>
  <si>
    <t> [BODEGA] DESATORNILLADORES  </t>
  </si>
  <si>
    <t> [BODEGA] CORTADORA DE CERÁMICA  </t>
  </si>
  <si>
    <t> [BODEGA] PISTOLAS DE IMPACTO  </t>
  </si>
  <si>
    <t> [BODEGA] TECLES MECÁNICOS  </t>
  </si>
  <si>
    <t> [BODEGA] TECLES PALANCAS  </t>
  </si>
  <si>
    <t> [BODEGA] TRASPALETA  </t>
  </si>
  <si>
    <t> [BODEGA] MAQUINARIA  </t>
  </si>
  <si>
    <t> [BODEGA] ALISADORAS DE PAVIMENTO  </t>
  </si>
  <si>
    <t> [BODEGA] BETONERA CONCRETERA  </t>
  </si>
  <si>
    <t> [BODEGA] CERCHA VIBRADORA  </t>
  </si>
  <si>
    <t> [BODEGA] COMPRESOR DE AIRE  </t>
  </si>
  <si>
    <t> [BODEGA] CONVERTIDOR ALTA FRECUENCIA  </t>
  </si>
  <si>
    <t> [BODEGA] DEMOLEDOR NEUMÁTICO  </t>
  </si>
  <si>
    <t> [BODEGA] DEMOLEDOR NEUMÁTICO MAC 15  </t>
  </si>
  <si>
    <t> [BODEGA] DEMOLEDOR NEUMÁTICO MAC 40  </t>
  </si>
  <si>
    <t> [BODEGA] EQUIPO DE OXICORTE  </t>
  </si>
  <si>
    <t> [BODEGA] ELEVADORES O HUINCHES</t>
  </si>
  <si>
    <t> [BODEGA] ESTIRADORA DE FIERRO  </t>
  </si>
  <si>
    <t> [BODEGA] ESTUCADORA  </t>
  </si>
  <si>
    <t> [BODEGA] GENERADOR AIRE OKLINA N° 1  </t>
  </si>
  <si>
    <t> [BODEGA] GENERADOR AIRE OKLINA N° 2  </t>
  </si>
  <si>
    <t> [BODEGA] GENERADORES DE AIRE  </t>
  </si>
  <si>
    <t> [BODEGA] GRUPO ELECT 150 KVA EMARESA N°1 </t>
  </si>
  <si>
    <t> [BODEGA] GRUPO ELECT 150 KVA CUMMIN N°2  </t>
  </si>
  <si>
    <t> [BODEGA] GRUPO ELECT 150 KVA CUMMIN N°3  </t>
  </si>
  <si>
    <t> [BODEGA] GRUPO ELECT 150 KVA CUMMIN N°4  </t>
  </si>
  <si>
    <t> [BODEGA] GRUPO ELECTRÓGENO 7,5 KVA HONDA </t>
  </si>
  <si>
    <t> [BODEGA] TELESCÓPICO CATERPILAR TH330  </t>
  </si>
  <si>
    <t> [BODEGA] MINICARGADOR CASE 1845-C N° 1  </t>
  </si>
  <si>
    <t> [BODEGA] MINICARGADOR CASE 1845-C N° 2  </t>
  </si>
  <si>
    <t> [BODEGA] PLACA COMPACTADORA BECINERA  </t>
  </si>
  <si>
    <t> [BODEGA] PLACA COMPACTADORA PETROLERA  </t>
  </si>
  <si>
    <t> [BODEGA] PLATAFORMA MOV. DE MATERIALES  </t>
  </si>
  <si>
    <t> [BODEGA] RETROEXCAVADORA NEW HOLLAND B95 </t>
  </si>
  <si>
    <t> [BODEGA] RODILLO VIBRADOR DYNAPAC C 122  </t>
  </si>
  <si>
    <t> [BODEGA] SONDA CONVENCIONALES  </t>
  </si>
  <si>
    <t> [BODEGA] SONDA DE ALTA FRENCUENCIA  </t>
  </si>
  <si>
    <t> [BODEGA] SOPLADORES AIRE CALIENTE  </t>
  </si>
  <si>
    <t> [BODEGA] SOLDADORAS  </t>
  </si>
  <si>
    <t> [BODEGA] TORRE CONCRETERA  </t>
  </si>
  <si>
    <t> [BODEGA] TROMPO CONCRETERO  </t>
  </si>
  <si>
    <t> [BODEGA] UNIDAD MOTRIZ A GASOLINA  </t>
  </si>
  <si>
    <t> [BODEGA] UNIDAD MOTRIZ ELÉCTRICA  </t>
  </si>
  <si>
    <t> [BODEGA] VIBRO PISÓN  </t>
  </si>
  <si>
    <t> [BODEGA] VIBRO PISÓN WACKER  </t>
  </si>
  <si>
    <t> [BODEGA] VIBRO PISÓN WEIWA N° 1  </t>
  </si>
  <si>
    <t> [BODEGA] VIBRO PISÓN WEIWA N° 2</t>
  </si>
  <si>
    <t> [BODEGA] REPUESTOS MANT. DE MAQUINARIA  </t>
  </si>
  <si>
    <t> [BODEGA] CAMIONES Y CAMIONETAS  </t>
  </si>
  <si>
    <t> [BODEGA] CAMIÓN INTERNATIONAL SV 1691  </t>
  </si>
  <si>
    <t> [BODEGA] CAMIONETA KIA FRONTIER DYGR 18  </t>
  </si>
  <si>
    <t> [BODEGA] CAMIONETA KIA FRONTIER DYGR 19  </t>
  </si>
  <si>
    <t> [BODEGA] CAMIONETA GREAT WALL CZXH 37  </t>
  </si>
  <si>
    <t> [BODEGA] VIGA DE MADERA H 20  </t>
  </si>
  <si>
    <t> [BODEGA] INSUMOS PARA VIGA DE MADERA H 2 </t>
  </si>
  <si>
    <t> [BODEGA] PLACHAS  </t>
  </si>
  <si>
    <t> [BODEGA] ESTRUCTURAS Y MECANISMOS  </t>
  </si>
  <si>
    <t> [BODEGA] MOLDAJES Y ACCESORIOS  </t>
  </si>
  <si>
    <t> [BODEGA] REPUESTOS MANT. DE MOLDAJE  </t>
  </si>
  <si>
    <t> [BODEGA] CUERPOS DE ANDAMIOS Y TABLONES  </t>
  </si>
  <si>
    <t> [BODEGA] ANDAMIOS LAYHER  </t>
  </si>
  <si>
    <t> [BODEGA] TORRES ESCALA  </t>
  </si>
  <si>
    <t> [BODEGA] ANDAMIO ESTÁNDAR  </t>
  </si>
  <si>
    <t> [BODEGA] ANDAMIO COLGANTE MANUAL  </t>
  </si>
  <si>
    <t> [BODEGA] REPUESTOS MANT. DE ANDAMIOS  </t>
  </si>
  <si>
    <t> [BODEGA] ANDAMIO COLGANTE ELÉCTRICO N°1  </t>
  </si>
  <si>
    <t> [BODEGA] ANDAMIO COLGANTE ELÉCTRICO N°2</t>
  </si>
  <si>
    <t> [BODEGA] ANDAMIO COLGANTE ELÉCTRICO N°3  </t>
  </si>
  <si>
    <t> [BODEGA] ANDAMIO COLGANTE ELÉCTRICO N°4  </t>
  </si>
  <si>
    <t> [BODEGA] ANDAMIO COLGANTE ELÉCTRICO N°5  </t>
  </si>
  <si>
    <t> [BODEGA] ANDAMIO COLGANTE ELÉCTRICO N°6  </t>
  </si>
  <si>
    <t> [BODEGA] NIVELES LASER  </t>
  </si>
  <si>
    <t> [BODEGA] TAQUIMETROS  </t>
  </si>
  <si>
    <t> [BODEGA] ESTACIÓN TOTAL LEYCA  </t>
  </si>
  <si>
    <t> [BODEGA] NIVELES TOPOGRÁFICOS  </t>
  </si>
  <si>
    <t> [BODEGA] COMPUTADORES  </t>
  </si>
  <si>
    <t> [BODEGA] IMPRESORAS  </t>
  </si>
  <si>
    <t> [BODEGA] TELEFONOS  </t>
  </si>
  <si>
    <t> [BODEGA] FAX  </t>
  </si>
  <si>
    <t> [BODEGA] MATERIALES E INSUMOS DE OFICINA </t>
  </si>
  <si>
    <t> [BODEGA] EQUIPOS DE RADIO  </t>
  </si>
  <si>
    <t> [BODEGA] INSUMOS PARA OXICORTE  </t>
  </si>
  <si>
    <t> [BODEGA] INSUMOS PARA SOLDADURA  </t>
  </si>
  <si>
    <t> [BODEGA] FLETES EXTERNOS  </t>
  </si>
  <si>
    <t> [BODEGA] ELEMENTOS PARA PROTECCIÓN PERSO </t>
  </si>
  <si>
    <t> [BODEGA] SEGUROS Y GARANTÍAS</t>
  </si>
  <si>
    <t> [BODEGA] MOBILIARIO  </t>
  </si>
  <si>
    <t> [BODEGA] PERSONAL  </t>
  </si>
  <si>
    <t> [BODEGA] GASTOS MENORES Y CAJAS CHICAS  </t>
  </si>
  <si>
    <t> [BODEGA] OTROS GASTOS  </t>
  </si>
  <si>
    <t> [BODEGA] VISICOOLER (CONSERVADORA VERTIC </t>
  </si>
  <si>
    <t> [BODEGA] IMPRENTA  </t>
  </si>
  <si>
    <t> [BODEGA] DISEÑO Y PUBLICIDAD CORPORATIVA </t>
  </si>
  <si>
    <t> [BODEGA] ALAMBRE PARA PISTOLAS</t>
  </si>
  <si>
    <t xml:space="preserve"> [BODEGA] SILO DE CEMENTO DE 60 T</t>
  </si>
  <si>
    <t>Concatenar Partida</t>
  </si>
  <si>
    <t>Vigencia</t>
  </si>
  <si>
    <t>Interempresa</t>
  </si>
  <si>
    <t>Activos</t>
  </si>
  <si>
    <t>SI</t>
  </si>
  <si>
    <t>Banco Chile</t>
  </si>
  <si>
    <t>cargos y abonos ctacte banco chile</t>
  </si>
  <si>
    <t>Banco Santander</t>
  </si>
  <si>
    <t>Cargos y Abonos cta cte Santander</t>
  </si>
  <si>
    <t>Banco BCI</t>
  </si>
  <si>
    <t>Proyecto</t>
  </si>
  <si>
    <t>Banco BCI Cuenta 2</t>
  </si>
  <si>
    <t>Cuenta solo debe reflejar el saldo en cuenta 2, utilizada para abonar clientes y pago de créditos bancarios</t>
  </si>
  <si>
    <t>Banco BCI Cuenta 3</t>
  </si>
  <si>
    <t>Banco BBVA</t>
  </si>
  <si>
    <t>CTA CTE</t>
  </si>
  <si>
    <t>Banco BBVA Cuenta 2</t>
  </si>
  <si>
    <t>Banco Itau</t>
  </si>
  <si>
    <t>Banco Bice</t>
  </si>
  <si>
    <t>Banco Consorcio Cuenta 2</t>
  </si>
  <si>
    <t>registrar los movimientos de recuperación y pago de deuda del proyecto San Francisco II</t>
  </si>
  <si>
    <t>Banco Internacional</t>
  </si>
  <si>
    <t>Banco Penta</t>
  </si>
  <si>
    <t>Banco Penta cuenta 2</t>
  </si>
  <si>
    <t>Banco Security</t>
  </si>
  <si>
    <t>Banco Corpbanca</t>
  </si>
  <si>
    <t>Banco Corpbanca Cuenta 2</t>
  </si>
  <si>
    <t>Banco Scotiabank Sud Americano</t>
  </si>
  <si>
    <t>Banco Estado</t>
  </si>
  <si>
    <t>Caja Puente</t>
  </si>
  <si>
    <t>Solo cuenta de apertura debe quedar en cero al 31/05/2013</t>
  </si>
  <si>
    <t>Mov Bancarios en Tránsito</t>
  </si>
  <si>
    <t>Cuenta transitoria para efectuar transferencias entre cuentas bancarias, esta cuenta debe quedar en cero en cada cierre de mes. Responsable Tesorería</t>
  </si>
  <si>
    <t>Depósitos A Plazo CLP</t>
  </si>
  <si>
    <t>Deposito a Plazo en $</t>
  </si>
  <si>
    <t>Depósitos A Plazo UF</t>
  </si>
  <si>
    <t>Dep a plazo en moneda UF</t>
  </si>
  <si>
    <t>Depósitos A Plazo USD</t>
  </si>
  <si>
    <t>Deposito a plazo en dólares</t>
  </si>
  <si>
    <t>Fondos Mutuos CLP</t>
  </si>
  <si>
    <t>inv en fondos mutuos en pesos</t>
  </si>
  <si>
    <t>Fondo Mutuos UF</t>
  </si>
  <si>
    <t>Inversion fondos mutuos en UF</t>
  </si>
  <si>
    <t>Fondo Mutuos USD</t>
  </si>
  <si>
    <t>Inversion en fondos mutuos en dolares</t>
  </si>
  <si>
    <t>Acciones</t>
  </si>
  <si>
    <t>inversion en acciones</t>
  </si>
  <si>
    <t>Pactos CLP</t>
  </si>
  <si>
    <t>Inversion en Pactos en Pesos</t>
  </si>
  <si>
    <t>pagaren en moneda UF</t>
  </si>
  <si>
    <t>No</t>
  </si>
  <si>
    <t>Estimación Incobrables Pagarés</t>
  </si>
  <si>
    <t>Esta cuenta es para el exclusivo registro de los clientes incobrables por Pagarés de crédito directo, solo imputa Contabilidad.</t>
  </si>
  <si>
    <t>Pagare USD</t>
  </si>
  <si>
    <t>Cuenta Nueva pagares</t>
  </si>
  <si>
    <t>Bonos</t>
  </si>
  <si>
    <t>Pactos En USD</t>
  </si>
  <si>
    <t>Pactos En Us$</t>
  </si>
  <si>
    <t>Facturas por cobrar emitidas a terceros</t>
  </si>
  <si>
    <t>Deudores por Venta Hipotecario Letras UF</t>
  </si>
  <si>
    <t>pago escrituras con letras hipotecarias</t>
  </si>
  <si>
    <t>Contabilizacion de Forma de pago Escrituras</t>
  </si>
  <si>
    <t>Deudores por Venta Hipotecario Leasing</t>
  </si>
  <si>
    <t>pago clientes con leasing</t>
  </si>
  <si>
    <t>Contabilizacion deForma de pago Escrituras</t>
  </si>
  <si>
    <t>Contiene los registros contables transitorios de DTE solo para abrir ítem de pagos en Fin 700</t>
  </si>
  <si>
    <t>clientes inmobilairioas pagan con creditos</t>
  </si>
  <si>
    <t>clientes inmobilairios con instructivo notarial</t>
  </si>
  <si>
    <t>clientes inmobiliarios pagan con librteta de ahorro</t>
  </si>
  <si>
    <t>Deudores por Venta Aporte Empresa UF</t>
  </si>
  <si>
    <t>Aporte empresa</t>
  </si>
  <si>
    <t>Provisión Ventas</t>
  </si>
  <si>
    <t>Provision Ventas</t>
  </si>
  <si>
    <t>Estimacion Deudores Incobrables</t>
  </si>
  <si>
    <t>Pie, reserva de clientes inmobiliarios</t>
  </si>
  <si>
    <t>Valores por Recuperar Clientes Hipotecario Letras UF</t>
  </si>
  <si>
    <t>Pago Clientes inmobiliarios</t>
  </si>
  <si>
    <t>Valores por Recuperar Clientes Hipotecario Mutuo UF</t>
  </si>
  <si>
    <t>Pago de clientes inmobiliarios con mutuo hoptecario</t>
  </si>
  <si>
    <t>Valores por Recuperar Clientes Hipotecario Leasing UF</t>
  </si>
  <si>
    <t>Pago de clientes inmobiliaria con Leasing</t>
  </si>
  <si>
    <t>Valores por Recuperar Clientes Subsidios Habitacional UF</t>
  </si>
  <si>
    <t>Pago clientes inmobiliarios con subsidios</t>
  </si>
  <si>
    <t>Valores por Recuperar Clientes Subsidio Empresa UF</t>
  </si>
  <si>
    <t>Pago de clientes inmobiliarios con otros subsidios</t>
  </si>
  <si>
    <t>Valores por Recuperar Clientes Créditos Complementarios UF</t>
  </si>
  <si>
    <t>Pago de clientes inmobiliarios con otros créditos ej consumos</t>
  </si>
  <si>
    <t>Valores por Recuperar Clientes Contra Escritura UF</t>
  </si>
  <si>
    <t>Pago Cliente inmobiliario contra escritura</t>
  </si>
  <si>
    <t>Valores por Recuperar Clientes Libreta De Ahorro UF</t>
  </si>
  <si>
    <t>Pago de clientes inmobiliarios con libretas de ahorros</t>
  </si>
  <si>
    <t>Deudores Transbank</t>
  </si>
  <si>
    <t>esta cta refleja el monto por cobrar a transbank por operaciones inmobiliarias, que serán pagadas por el bco con posterioridad a lo acordado con el cliente.</t>
  </si>
  <si>
    <t>Anticipo Comisión Transbank</t>
  </si>
  <si>
    <t>Se utilizara para registras las comisiones cobradas por transbank en cada operación que realicen los clientes inmobiliarias. (IVA Incluido) y el cobro mensual del pos</t>
  </si>
  <si>
    <t>Pago de clientes inmobiliarios con mutuo hipotecario, cuenta en peso</t>
  </si>
  <si>
    <t>Pago clientes inmobiliarios con subsidios, cuenta en peso</t>
  </si>
  <si>
    <t>Pago de clientes inmobiliarios con otros créditos ej consumo, cuenta en pesos</t>
  </si>
  <si>
    <t>Pago Cliente inmobiliario contra escritura, cuenta en peso</t>
  </si>
  <si>
    <t>Pago de clientes inmobiliarios con libretas de ahorros, cuenta en peso</t>
  </si>
  <si>
    <t>Letras Por Cobrar</t>
  </si>
  <si>
    <t>Letras En Garantía Bancos</t>
  </si>
  <si>
    <t>Cheques En Garantía Bancos</t>
  </si>
  <si>
    <t>Doctos. En Cobranza Judicial</t>
  </si>
  <si>
    <t>Documentos Protestados</t>
  </si>
  <si>
    <t>Pagare Por Cobrar</t>
  </si>
  <si>
    <t>Estimación Documentos por Cobrar Incobrables</t>
  </si>
  <si>
    <t>Toda caja chica</t>
  </si>
  <si>
    <t>Fondos por rendir antiguos</t>
  </si>
  <si>
    <t>Fondos por rendir anteriores al año 2013</t>
  </si>
  <si>
    <t>Fondos x rendir Terrenos</t>
  </si>
  <si>
    <t>Se registran los fondos entregados a las comunidades (fondo de reserva) para poner en marcha el edificio habitado, que luego será cobrado a la comunidad</t>
  </si>
  <si>
    <t>Nota de cobro por cobrar a 3°</t>
  </si>
  <si>
    <t>Notas de cobro x cobrar a terceros ajenos a RVC</t>
  </si>
  <si>
    <t>Anticipos De Remuneraciones</t>
  </si>
  <si>
    <t>Sobregiros Personal</t>
  </si>
  <si>
    <t>Detalle sobregiros por remuneraciones del personal</t>
  </si>
  <si>
    <t>Sobregiros Personal 2</t>
  </si>
  <si>
    <t>Anticipos A Proveedores</t>
  </si>
  <si>
    <t>anticipos porveedores</t>
  </si>
  <si>
    <t>ANTICIPOS SUBCONTRATISTAS</t>
  </si>
  <si>
    <t>Anticipos Importaciones</t>
  </si>
  <si>
    <t>Estimación Deudores varios Incobrables</t>
  </si>
  <si>
    <t>Deudores Varios</t>
  </si>
  <si>
    <t>Préstamos al Personal</t>
  </si>
  <si>
    <t>Préstamos al Personal 2</t>
  </si>
  <si>
    <t>Anticipo Terrenos CLP</t>
  </si>
  <si>
    <t>anticipos por compra de terrenos en pesos</t>
  </si>
  <si>
    <t>Gastos Operacionales por Rendir</t>
  </si>
  <si>
    <t>Fondos otorgadosa por gtos operacionales a pagar</t>
  </si>
  <si>
    <t>Anticipo Terrenos UF</t>
  </si>
  <si>
    <t>anticipos por compra de terreno en UF</t>
  </si>
  <si>
    <t>Documentos Por Cobrar a EERR C/P</t>
  </si>
  <si>
    <t>para cuentas por cobrar a eerr a corto plazo pagares,</t>
  </si>
  <si>
    <t>Cuentas Por Cobrar A EERR C/P</t>
  </si>
  <si>
    <t>prestamos entre empresas relacionadas en pesos</t>
  </si>
  <si>
    <t>Provisión Ventas EERR</t>
  </si>
  <si>
    <t>Dividendos Devengados EERR por Cobrar C/P</t>
  </si>
  <si>
    <t>Dividendos Devengados</t>
  </si>
  <si>
    <t>Cuenta para uso exclusivo de reducción de malla societaria</t>
  </si>
  <si>
    <t>Cuenta para constructoras</t>
  </si>
  <si>
    <t>Nota de Cobro por Cobrar EERR CLP</t>
  </si>
  <si>
    <t>Ant Obra CR EERR C/P EN UF</t>
  </si>
  <si>
    <t>IVA Crédito Fiscal</t>
  </si>
  <si>
    <t>Pagos Provisionales Mensuales</t>
  </si>
  <si>
    <t>Crédito Impuesto DL 910</t>
  </si>
  <si>
    <t>Cursos De Capacitación</t>
  </si>
  <si>
    <t>Créditos Por Donaciones</t>
  </si>
  <si>
    <t>Crédito Act. Fijo Nuevo</t>
  </si>
  <si>
    <t>Impto por Recuperar o Remanente</t>
  </si>
  <si>
    <t>Crédito Especial IVA Constructoras</t>
  </si>
  <si>
    <t>Crédito SST</t>
  </si>
  <si>
    <t>el beneficio tributario que obtiene la empresa constructora por construir con sistema de paneles solares esta considerado como un ahorro en los costos de la Inmobiliaria</t>
  </si>
  <si>
    <t>IVA (Puente)</t>
  </si>
  <si>
    <t>Remante Crédito Fiscal</t>
  </si>
  <si>
    <t>Se registra el remante por concepto IVA CF</t>
  </si>
  <si>
    <t>Remante Crédito Fiscal (CR)</t>
  </si>
  <si>
    <t>Se registra el remante por concepto IVA CF con centro de responsabilidad</t>
  </si>
  <si>
    <t>Credito Impuesto al petróleo diesel</t>
  </si>
  <si>
    <t>Para registrar exclusivamente el impuesto específico al petróleo diesel indicado en las facturas de empresas de combustible, destinadas al uso de maquinarias para los procesos productivos</t>
  </si>
  <si>
    <t>Cuenta se utilizara para identificar el crédito que se utilizara contra el  impuesto de primera categoría por el pago de contribuciones.</t>
  </si>
  <si>
    <t>Cuenta se utilizara para identificar los pagos dobles por los roles matrices de los terrenos.</t>
  </si>
  <si>
    <t>Existencias (Materiales en Bodega)</t>
  </si>
  <si>
    <t>nombre anterior Existencias No Inventariables</t>
  </si>
  <si>
    <t>Mobiliario Departamentos Pilotos</t>
  </si>
  <si>
    <t>Departamentos</t>
  </si>
  <si>
    <t>Oficinas</t>
  </si>
  <si>
    <t>Locales Comerciales</t>
  </si>
  <si>
    <t>venta locales comerciales</t>
  </si>
  <si>
    <t>Casas</t>
  </si>
  <si>
    <t>venta casas</t>
  </si>
  <si>
    <t>Se registra al momento de conocer el costeo completo del proyecto- etapa y con RM . Corresponde al costo unitario distribuido por peso relativo de precio base x tipo de bien ( depto.) y luego por mt2, es el costo unitario x cada departamento, según id SCI</t>
  </si>
  <si>
    <t>Se registra al momento de conocer el costeo completo del proyecto- etapa y con RM . Corresponde al costo unitario distribuido por peso relativo de precio base x tipo de bien ( estac.) y luego por mt2, es el costo unit. x cada estacionamiento, según id SCI</t>
  </si>
  <si>
    <t>Se registra al momento de conocer el costeo completo del proyecto- etapa y con RM . Corresponde al costo unitario distribuido por peso relativo de precio base x tipo de bien ( bodega) y luego por mt2, es el costo unit. x cada bodega, según id SCI</t>
  </si>
  <si>
    <t>Stock Loc. Comerciales</t>
  </si>
  <si>
    <t>Se registra al momento de conocer el costeo completo del proyecto- etapa y con RM . Corresponde al costo unitario distribuido por peso relativo de precio base x tipo de bien ( loc. comerc.) y luego por mt2, es el costo unit. x cada local com, según id SCI</t>
  </si>
  <si>
    <t>Stock Casas</t>
  </si>
  <si>
    <t>Stock Estudio</t>
  </si>
  <si>
    <t>Arriendos Anticipados</t>
  </si>
  <si>
    <t>Otros Gastos Anticipados</t>
  </si>
  <si>
    <t>IVA CF ANTICIPADO</t>
  </si>
  <si>
    <t>Se registras los IVA CF de los estados de pago a inmobiliarias zonales.</t>
  </si>
  <si>
    <t>Pago de garantía</t>
  </si>
  <si>
    <t>Impuesto Diferido</t>
  </si>
  <si>
    <t>Compra de Terreno</t>
  </si>
  <si>
    <t>CONTRATO DE LA CONSTRUCTORA</t>
  </si>
  <si>
    <t>Ingenieria</t>
  </si>
  <si>
    <t>Instalacion Empalmes</t>
  </si>
  <si>
    <t>Aportes</t>
  </si>
  <si>
    <t>Impto.Crédito Construcción</t>
  </si>
  <si>
    <t>Int.Cred.Capital De Trabajo</t>
  </si>
  <si>
    <t>Int.Crédito Construcción Otros Créditos</t>
  </si>
  <si>
    <t>Permisos Y Otros Gastos Munic.</t>
  </si>
  <si>
    <t>Cración de cuenta solo para saldos de apertura debe quedar en cero al 31/05/2013</t>
  </si>
  <si>
    <t>Corrección Monetaria</t>
  </si>
  <si>
    <t>Correccion Monetaria</t>
  </si>
  <si>
    <t>Paisajismo</t>
  </si>
  <si>
    <t>Estudios Y Asesorias Tecnicas</t>
  </si>
  <si>
    <t>Obras De Urbanizacion</t>
  </si>
  <si>
    <t>Construccion Sala De Ventas /</t>
  </si>
  <si>
    <t>registra todas aquellas obras en ejecución contempladas en la provisión de costo, cuyos costos son posteriores a la recepción municipal</t>
  </si>
  <si>
    <t>Terrenos para proyectos a desarrollar</t>
  </si>
  <si>
    <t>Reajuste UF creditos bancarios Otros Créditos</t>
  </si>
  <si>
    <t>Costo decoracion pilotos</t>
  </si>
  <si>
    <t>Para registrar los costos del alajamiento de los deptos. o casas pilotos, inversión que se activa hasta la Recepción municipal del proyecto, Esto permite correlacionar ingreso y costo mas adecuadamente, activado y costeando al escriturar</t>
  </si>
  <si>
    <t>Costo Indirecto Gcia Inmobiliaria</t>
  </si>
  <si>
    <t>Corresponde exclusivamente al costo empresa por concepto de Remuneraciones de los Jefes de Proyecto y Gerentes de Proyectos dedicados exclusivamente a los proyectos, se activa en base al peso de las promesas de cada periodo</t>
  </si>
  <si>
    <t>Estudios de Mercado para terrenos en desarrollo, que sean específicos para un proyecto determinado. Las facturas o contratos deben explicitar claramente el proyecto a desarrollar para activar</t>
  </si>
  <si>
    <t>Hnrarios Compra Terreno</t>
  </si>
  <si>
    <t>Honorarios legales por gestión en compra de terrenos, saneamiento y normalización de títulos, etc.</t>
  </si>
  <si>
    <t>Se utiliza para entrega de espacios comunes de edificios</t>
  </si>
  <si>
    <t>IVA Inmobiliarias CC</t>
  </si>
  <si>
    <t>para registrar iva 19% de los Estados de pago de las constructoras a usar a partir de la facturación del año 2016</t>
  </si>
  <si>
    <t>IVA Inmobiliarias</t>
  </si>
  <si>
    <t>para registrar IVA 19% de las facturas del resto de conceptos comprados con IVA a usar a partir de la facturación del año 2016</t>
  </si>
  <si>
    <t>registra el créditos especial de construcción que factura la constructora a la inmobiliaria</t>
  </si>
  <si>
    <t>Obras Locales Comerciales</t>
  </si>
  <si>
    <t>Obras De Locales Comerciales</t>
  </si>
  <si>
    <t>Terrenos</t>
  </si>
  <si>
    <t>Instalaciones</t>
  </si>
  <si>
    <t>Edificios</t>
  </si>
  <si>
    <t>Bodegas</t>
  </si>
  <si>
    <t>Construcciones</t>
  </si>
  <si>
    <t>Obras en Curso</t>
  </si>
  <si>
    <t>Remodelación oficina rvc</t>
  </si>
  <si>
    <t>Vehiculos</t>
  </si>
  <si>
    <t>Activo fijo en lesing</t>
  </si>
  <si>
    <t>Activos en leasing</t>
  </si>
  <si>
    <t>Muebles Y Utiles</t>
  </si>
  <si>
    <t>Depreciacion Acumulada</t>
  </si>
  <si>
    <t>Inversiones En EERR</t>
  </si>
  <si>
    <t>Inversiones En Ee.Rr.</t>
  </si>
  <si>
    <t>Resultado No Realizado</t>
  </si>
  <si>
    <t>Provisión Patrimonio Negativo</t>
  </si>
  <si>
    <t>Provision Patrimonio Negativo</t>
  </si>
  <si>
    <t>Inversiones En Otras Sociedades</t>
  </si>
  <si>
    <t>Inversiones En Otras Sociedade</t>
  </si>
  <si>
    <t>Plusvalia</t>
  </si>
  <si>
    <t>cuenta donde se registra la diferencia entre el precio de compra/venta y el valor financiero (antes VP, hoy método de participación)registrado , este concepto en las reestructuraciones de holding se amortiza en el mismo momento que se origina</t>
  </si>
  <si>
    <t>Préstamos al Personal L/P</t>
  </si>
  <si>
    <t>prestamos al personal descuento futuros bono</t>
  </si>
  <si>
    <t>Deudores A Largo Plazo</t>
  </si>
  <si>
    <t>Documento y Ctas por Cobrar EERR L/P CLP</t>
  </si>
  <si>
    <t>Docto.T Ctas.X Cobrar Eerr L/P</t>
  </si>
  <si>
    <t>Documentos y Ctas por Cobrar EERR L/P UF</t>
  </si>
  <si>
    <t>Doc.Y Ctas. X Cob. A Eerr L/P</t>
  </si>
  <si>
    <t>Anticipo de Obra x Cobrar a EERR L/P UF</t>
  </si>
  <si>
    <t>Anticipo Obra CR EERR L/P UF</t>
  </si>
  <si>
    <t>pagare en moneda UF</t>
  </si>
  <si>
    <t>Impuestos Diferidos L/P</t>
  </si>
  <si>
    <t>Licencias Software</t>
  </si>
  <si>
    <t>Amortizacion (Menos)</t>
  </si>
  <si>
    <t>Propiedades De Inversión</t>
  </si>
  <si>
    <t>Propiedades De Inversion</t>
  </si>
  <si>
    <t>Resp Boleta Garantía Recibidas</t>
  </si>
  <si>
    <t>Boletas de Garantía recibidas</t>
  </si>
  <si>
    <t>Boleta en Garantia Recibida</t>
  </si>
  <si>
    <t>Boleta en Garantía Recibida</t>
  </si>
  <si>
    <t>Prestamos Bancarios en pesos</t>
  </si>
  <si>
    <t>Pasivos</t>
  </si>
  <si>
    <t>Intereses bancarios x pagar CLP</t>
  </si>
  <si>
    <t>Para registrar devengo y pago de intereses separados del capital, para mejor control de intereses exclusivamente de deudas bancarias en CLP</t>
  </si>
  <si>
    <t>Intereses bancarios x pagar UF</t>
  </si>
  <si>
    <t>Para registrar devengo y pago de intereses separados del capital, para mejor control de intereses exclusivamente de deudas bancarias en UF</t>
  </si>
  <si>
    <t>Cta Puente Cargo Bancarios Constructora</t>
  </si>
  <si>
    <t>Cargo Bancarios de Constructora</t>
  </si>
  <si>
    <t>Puente Pasivos Financieros</t>
  </si>
  <si>
    <t>Cuenta Puente entre módulo Pasivo Financiero y contabilidad debe ser estar en $0 a fin de mes, responsable Jefe de Tesorería.</t>
  </si>
  <si>
    <t>Cta para pasivoc bcrios en UF</t>
  </si>
  <si>
    <t>Obligaciones Con Leasing C/P CLP</t>
  </si>
  <si>
    <t>Intereses Diferidos En Leasing CLP</t>
  </si>
  <si>
    <t>Intereses Diferidos En LeasingCLP</t>
  </si>
  <si>
    <t>Obligaciones Con Leasing C/P UF</t>
  </si>
  <si>
    <t>Obligaciones Con Leasing C/PUF</t>
  </si>
  <si>
    <t>Intereses Diferidos En Leasing UF</t>
  </si>
  <si>
    <t>Registro de intereses por Financiamiento Directo a Cliente a corto plazo</t>
  </si>
  <si>
    <t>Letras Por Pagar</t>
  </si>
  <si>
    <t>Otros Doctos. Por Pagar</t>
  </si>
  <si>
    <t>Cheque Por Pagar</t>
  </si>
  <si>
    <t>Documentos Por Pagar CLP</t>
  </si>
  <si>
    <t>Documentos Por Pagar Peso</t>
  </si>
  <si>
    <t>Documentos Por Pagar UF</t>
  </si>
  <si>
    <t>Documentos Por Pagar USD</t>
  </si>
  <si>
    <t>Cheques Caducados</t>
  </si>
  <si>
    <t>Facturas Por Pagar</t>
  </si>
  <si>
    <t>facturas por pagar a terceros</t>
  </si>
  <si>
    <t>Facturas C/CR Por Pagar</t>
  </si>
  <si>
    <t>Cajas Chicas Por Pagar</t>
  </si>
  <si>
    <t>costo correspondiente a monto por el cual se solicita notas de crédito integradas de iconstruye para inmobiliarias</t>
  </si>
  <si>
    <t>Fondos Por Rendir Por Pagar</t>
  </si>
  <si>
    <t>se usa cuando se asigna un fondo, y cuando este fondo se rinde y efectua la devolucion</t>
  </si>
  <si>
    <t>Reembolso de Gtos por Pagar</t>
  </si>
  <si>
    <t>Genera el compromiso de pago para los reembolsos de gastos</t>
  </si>
  <si>
    <t>Anticipo De Obras</t>
  </si>
  <si>
    <t>RETENCIONES SUBCONTRATOS</t>
  </si>
  <si>
    <t>Tarjeta de Crédito por Pagar</t>
  </si>
  <si>
    <t>Para pagar tarjetade credito de empresas</t>
  </si>
  <si>
    <t>Proveedores Extranjeros</t>
  </si>
  <si>
    <t>VV Devuelto RRHH</t>
  </si>
  <si>
    <t>Cuenta puente para la devolución de vales vista de recursos humanos, cuando los recibe tesorería</t>
  </si>
  <si>
    <t>VV Devueltos Subcontratos</t>
  </si>
  <si>
    <t>Cuenta puente para la devolución de vales vista de subcontratos, cuando los recibe tesoreria, contabilidad lo debe dejar en 0 ajustando como menor costo ( casos de subcontratos que no se pagaran nunca)</t>
  </si>
  <si>
    <t>FACTURAS POR RECIBIR</t>
  </si>
  <si>
    <t>Honorarios Por Pagar</t>
  </si>
  <si>
    <t>Confirming Bancarios</t>
  </si>
  <si>
    <t>Cuentas Por Pagar RR.HH</t>
  </si>
  <si>
    <t>Solo para solicitudes de pago de rrhh, con analisis mensual y responsable</t>
  </si>
  <si>
    <t>RECEPCION DE FACTURA Y SIN INGRESO DE GUIA</t>
  </si>
  <si>
    <t>facturas recibida y guia ingresa</t>
  </si>
  <si>
    <t>Facturas Por Recibir Ic</t>
  </si>
  <si>
    <t>Facturas por Pagar Subcontratos</t>
  </si>
  <si>
    <t>Cuenta Puente SubContratos</t>
  </si>
  <si>
    <t>Cuenta Puente para ingreso de subcontratos a terceros desde IConstruye, debe quedar en 0 todos los meses, responsable Supervisor de Subcontratos.</t>
  </si>
  <si>
    <t>EERR POR PAGAR (TESORERIA)</t>
  </si>
  <si>
    <t>Cuenta pte tesoreria para generar pago de eerr</t>
  </si>
  <si>
    <t>Cuentas Por Pagar Tesorería</t>
  </si>
  <si>
    <t>Uso exclusivo de Tesoereria, cuenta transitoria para requerimiento de pago.</t>
  </si>
  <si>
    <t>Provisión Facturas sin recepción</t>
  </si>
  <si>
    <t>Cta complementaria de Facturas s/recepción IC(2106032),con antigüedad mayor a 3 meses,x costos registrados por consumos de materiales por los cuales no se ha recepcionado fact.CR 10309. se descagra la cuenta 2106032 x obra</t>
  </si>
  <si>
    <t>Provision Intereses Boletas de Garantía</t>
  </si>
  <si>
    <t>Garantías de Arriendo Recibidas</t>
  </si>
  <si>
    <t>Garantías de arriendos recibidas por arriendo o subarriendo de bienes inmuebles ( especial para promoción arriendos garantizados)</t>
  </si>
  <si>
    <t>Reserva y Pie de clientes</t>
  </si>
  <si>
    <t>Depósito efectuado por los clientes para gastos operacionales, en caso de devolución esta será en $</t>
  </si>
  <si>
    <t>Generar pasivo para devoluciones autorizadas por Operaciones</t>
  </si>
  <si>
    <t>Devolucion a clientes en $, devolución de gastos basicos solicitados por servicio al clientes</t>
  </si>
  <si>
    <t>Cuentas Por Pagar A EERR C/P</t>
  </si>
  <si>
    <t>Dividendos Devengados EERR por Pagar C/P</t>
  </si>
  <si>
    <t>Dividendos Por Pagar EERR C/P</t>
  </si>
  <si>
    <t>Dividendos Por Pagar</t>
  </si>
  <si>
    <t>Acreedores Varios</t>
  </si>
  <si>
    <t>Honorarios x Pagar EERR C/P</t>
  </si>
  <si>
    <t>honorarios entre empresas relacionadas al corto plazo</t>
  </si>
  <si>
    <t>Doc. X Pagar EERR C/P CLP</t>
  </si>
  <si>
    <t>Doctos por pagar entre empresas relacionadas</t>
  </si>
  <si>
    <t>Doc. X Pagar EERR C/P UF</t>
  </si>
  <si>
    <t>cuentas por pagar a empresas relacionadas EN UF</t>
  </si>
  <si>
    <t>Doc. X Pagar EERR C/P USD</t>
  </si>
  <si>
    <t>Doc. X Pagar Eerr Us C/P</t>
  </si>
  <si>
    <t>Provisión De Gastos EERR</t>
  </si>
  <si>
    <t>Provisión De Gastos Eerr</t>
  </si>
  <si>
    <t>Anticipo de Obra x Pagar EERR C/P UF</t>
  </si>
  <si>
    <t>ex Retenciones de Obra a EERR</t>
  </si>
  <si>
    <t>Ant Obra CR por Pagar EERR C/P UF</t>
  </si>
  <si>
    <t>Carta Crédito Importaciones</t>
  </si>
  <si>
    <t>Cartas de Creditos bancarias por importaciones</t>
  </si>
  <si>
    <t>Nota de Cobro por Pagar EERR CLP</t>
  </si>
  <si>
    <t>Provisión De Vacaciones</t>
  </si>
  <si>
    <t>Provision De Vacaciones</t>
  </si>
  <si>
    <t>Provisiones Varias</t>
  </si>
  <si>
    <t>Provisión De Egresos</t>
  </si>
  <si>
    <t>Provision De Egresos</t>
  </si>
  <si>
    <t>Provision Gtos Post Venta</t>
  </si>
  <si>
    <t>Provisión Litigios</t>
  </si>
  <si>
    <t>Provisiones basadas en informes de abogados respecto de la probabilidad de perdida para la empresa por litigios pendientes al cierre del período. Se reversa al final del año y se hace nueva estimación vigente..</t>
  </si>
  <si>
    <t>por concepto de bono asociado a los resultados de la empresa, cumplimiento de objetivos del año y desempeño del personal</t>
  </si>
  <si>
    <t>Provisión Gasto Comisiones</t>
  </si>
  <si>
    <t>Provision Gasto Comisiones</t>
  </si>
  <si>
    <t>Provisiones de costos inmobiliariso por recibir en ito de Recepción Municipal.</t>
  </si>
  <si>
    <t>Provision de costos al termino de la ejecucion de una obra al completar el 100% de su avance. Se requiere este monto por administrador de la constructora que conoce que costos podran llegar a futuro.</t>
  </si>
  <si>
    <t>Sueldos Por Pagar</t>
  </si>
  <si>
    <t>Retenciones Al Personal</t>
  </si>
  <si>
    <t>Retenciones Judiciales</t>
  </si>
  <si>
    <t>Impuesto Unico Trabajador</t>
  </si>
  <si>
    <t>IMPUESTO UNICO TRABAJADOR</t>
  </si>
  <si>
    <t>Prestamo Solidario SII</t>
  </si>
  <si>
    <t>Impuesto Retención 10%</t>
  </si>
  <si>
    <t>Instituciones Previsionales</t>
  </si>
  <si>
    <t>INSTITUCIONES PREVISIONALES: AFP, ISAPRES, OTROS</t>
  </si>
  <si>
    <t>IVA Débito Fiscal</t>
  </si>
  <si>
    <t>Impuesto ventas</t>
  </si>
  <si>
    <t>Impuestos Por Pagar</t>
  </si>
  <si>
    <t>Se netean los impuestos para pago form 29</t>
  </si>
  <si>
    <t>Impuesto Timbre Y Estampilla</t>
  </si>
  <si>
    <t>Subcontrato por Pagar (sueldos)</t>
  </si>
  <si>
    <t>Cuenta de pasivo para pagar a personal de subcontratos por sueldos que no fueron cancelados por el subcontratista y que por ley estamos obligados a pagar</t>
  </si>
  <si>
    <t>IVA Débito Retenido</t>
  </si>
  <si>
    <t>Retencion por emisión de facturas de compra</t>
  </si>
  <si>
    <t>IVA Débito Fiscal (CR)</t>
  </si>
  <si>
    <t>Descuento Por Convenio Empresa</t>
  </si>
  <si>
    <t>Dcto Por Convenio Empresa</t>
  </si>
  <si>
    <t>Descuento Seguro Complementario</t>
  </si>
  <si>
    <t>Seguro Complementario salud y dental</t>
  </si>
  <si>
    <t>Descuento Conv.Gimnasio</t>
  </si>
  <si>
    <t>Dcto Conv. Gimnasio</t>
  </si>
  <si>
    <t>Descuento Seguro Mutual Familia</t>
  </si>
  <si>
    <t>Descuento de trabajadores de obra. Se descuenta al trabajador que está inscrito por planilla y luego se cancela a la Mutual.</t>
  </si>
  <si>
    <t>Descuento Convenio Habitacional</t>
  </si>
  <si>
    <t>Descuento convenio trabajadores</t>
  </si>
  <si>
    <t>Descuento Cuota Sindicato</t>
  </si>
  <si>
    <t>Se abonará por centralización de remuneraciones y cargará por pagos de las cuotas a la persona del sindicato encargada de cada empresa</t>
  </si>
  <si>
    <t>Descuento Becas Estudio</t>
  </si>
  <si>
    <t>Se abonará por centralización de remuneraciones y cargara por pagos de las cuotas a la persona que tengan becas de estudio</t>
  </si>
  <si>
    <t>Descuento Tarjetas</t>
  </si>
  <si>
    <t>Descuento de TI por perdida de tarjeta de acceso</t>
  </si>
  <si>
    <t>Descuento Teléfono</t>
  </si>
  <si>
    <t>Descuento compra o perdida de teléfonos celulares</t>
  </si>
  <si>
    <t>Descuento Ticket Almuerzo</t>
  </si>
  <si>
    <t>descuento de vales de colación entregados y descontados en finiquito</t>
  </si>
  <si>
    <t>Descuento Convenio Dental CCHC</t>
  </si>
  <si>
    <t>Dscto por convenio dental, este tipo de beneficio es mixto ya que un monto X lo paga RVC ) y el otro se descontara a través de liquidación al trabajador.</t>
  </si>
  <si>
    <t>Descuento Convenio Oncológico</t>
  </si>
  <si>
    <t>Dscto convenio oncológico de cargo del trabajador</t>
  </si>
  <si>
    <t>Descuento Otras CCAF</t>
  </si>
  <si>
    <t>Dscto de cargo del trabajador intercajas, desde otras CCAF por anteriores empleadores</t>
  </si>
  <si>
    <t>Descuento Serv.Médico CCHC</t>
  </si>
  <si>
    <t>Descto especial convenio medico cámara chilena de la construcción</t>
  </si>
  <si>
    <t>Descuento Ptmo. Fonasa</t>
  </si>
  <si>
    <t>Ptmos médicos fonasa</t>
  </si>
  <si>
    <t>Descuento Convenio Recreativo</t>
  </si>
  <si>
    <t>Descontar al trabajador un valor o porcentaje preferencial, para ingresos a actividades recreativas en diferentes lugares, en donde la empresa aporta un monto y el trabajador otro.</t>
  </si>
  <si>
    <t>Prov.Impuesto Renta Art.21</t>
  </si>
  <si>
    <t>Impuesto Renta A Pagar 1° Categoria</t>
  </si>
  <si>
    <t>cuenta para pago en tesorería impto renta form 22</t>
  </si>
  <si>
    <t>Devolución Gastos Operacionales CLP</t>
  </si>
  <si>
    <t>Gastos Operacionales</t>
  </si>
  <si>
    <t>Multas a Clientes UF</t>
  </si>
  <si>
    <t>Multas</t>
  </si>
  <si>
    <t>Intereses Por Cuota UF</t>
  </si>
  <si>
    <t>Intereses Por Cuota</t>
  </si>
  <si>
    <t>Ingresos Percibidos Por Adelantado</t>
  </si>
  <si>
    <t>Ing.Percibidos Por Adelantado</t>
  </si>
  <si>
    <t>Se registras los IVA CEEC de los estados de pago a inmobiliarias zonales.</t>
  </si>
  <si>
    <t>Impuestos Diferidos</t>
  </si>
  <si>
    <t>Otros Pasivos Circulantes</t>
  </si>
  <si>
    <t>Bonos L/P</t>
  </si>
  <si>
    <t>Doctos. Por Pagar A L/P</t>
  </si>
  <si>
    <t>Obligaciones En Leasing L/P CLP</t>
  </si>
  <si>
    <t>Obligaciones En Leasing L/P UF</t>
  </si>
  <si>
    <t>Intereses Diferidos En LeasingUF</t>
  </si>
  <si>
    <t>Documentos Por Pagar EERR CLP</t>
  </si>
  <si>
    <t>Doc Por Pagar Relacionadas Pes</t>
  </si>
  <si>
    <t>Documentos Por Pagar EERR UF</t>
  </si>
  <si>
    <t>Doc Por Pagar Relacionadas UF</t>
  </si>
  <si>
    <t>Documento Por Pagar EERR USD</t>
  </si>
  <si>
    <t>Doc Por Pagar Relacionadas USD</t>
  </si>
  <si>
    <t>Anticipo de Obra x Pagar EERR L/P UF</t>
  </si>
  <si>
    <t>Anticipo Obra CR x Pagar EERR L/P UF</t>
  </si>
  <si>
    <t>Provisión Ind Años Serv</t>
  </si>
  <si>
    <t>Provision Indem.Años De Serv.</t>
  </si>
  <si>
    <t>Impuesto Diferidos A L/P</t>
  </si>
  <si>
    <t>Otros Pasivos L/P</t>
  </si>
  <si>
    <t>Acreedores Varios A L/P</t>
  </si>
  <si>
    <t>Interés Minoritario</t>
  </si>
  <si>
    <t>Interes Minoritario</t>
  </si>
  <si>
    <t>Capital Pagado</t>
  </si>
  <si>
    <t>Patrimonio</t>
  </si>
  <si>
    <t>Acciones Suscritas No Pagadas</t>
  </si>
  <si>
    <t>Acciones Propias</t>
  </si>
  <si>
    <t>Cuenta que solo usa Contabilidad para reflejar las disminuciones de capital por compra venta de acciones propias , para no alterar el Capital estatutario.</t>
  </si>
  <si>
    <t>Revalorización Capital Propio</t>
  </si>
  <si>
    <t>Revalor. Capital Propio</t>
  </si>
  <si>
    <t>Sobrreprecio en vta acciones propias</t>
  </si>
  <si>
    <t>Para recompra de acciones propias a accionistas que salen del grupo como tales en IIRVC SPA</t>
  </si>
  <si>
    <t>Otras Reservas</t>
  </si>
  <si>
    <t>Dl. 889 Mano Obra Zona Extrema</t>
  </si>
  <si>
    <t>Reservas Futuros Dividendos</t>
  </si>
  <si>
    <t>Resultados Acumulado</t>
  </si>
  <si>
    <t>Resultado Acumulado IFRS</t>
  </si>
  <si>
    <t>Cuenta patrimonial para reconocer efectos IFRS de los años 2011 y 2012</t>
  </si>
  <si>
    <t>Dividendos Provisorios</t>
  </si>
  <si>
    <t>Resp Boleta Garantía Emitidas</t>
  </si>
  <si>
    <t>Boleta en Garantia Emitida</t>
  </si>
  <si>
    <t>Solo se registrará la venta de departamentos, esta cuenta se usara a contar del 01/01/2017</t>
  </si>
  <si>
    <t>Ingresos de Explotación</t>
  </si>
  <si>
    <t>Solo se registrará la ventas de bodegas, esta cuenta se usará a contar del 01/01/2017</t>
  </si>
  <si>
    <t>Solo se registrará la venta de estacionamientos, esta cuenta se usara a contar del 01/01/2017</t>
  </si>
  <si>
    <t>Ventas Locales Comerciales</t>
  </si>
  <si>
    <t>Ventas Estudios</t>
  </si>
  <si>
    <t>Solo se registrará la ventas de estudios, esta cuenta se usará a contar del 01/07/2019</t>
  </si>
  <si>
    <t>Arriendo Locales Comerciales</t>
  </si>
  <si>
    <t>Venta Casas</t>
  </si>
  <si>
    <t>ventas casas</t>
  </si>
  <si>
    <t>Venta Terrenos</t>
  </si>
  <si>
    <t>Otros Arriendos</t>
  </si>
  <si>
    <t>Otros Arriendos (Cuenta Nueva)</t>
  </si>
  <si>
    <t>Ingresos Fuera de Explotación</t>
  </si>
  <si>
    <t>Ingresos De Postventa EERR</t>
  </si>
  <si>
    <t>Ingresos De Postventa facturado desde Constructora a Inmobiliarias operativas</t>
  </si>
  <si>
    <t>Ingreso Operacional Eerr</t>
  </si>
  <si>
    <t>Ingresos EERR Ases. Ito</t>
  </si>
  <si>
    <t>Ingresos Eerr Ases. Ito</t>
  </si>
  <si>
    <t>Ingresos EERR Ases. Ventas</t>
  </si>
  <si>
    <t>Ingresos Eerr Ases. Ventas</t>
  </si>
  <si>
    <t>Ingresos EERR Ases. Gestión</t>
  </si>
  <si>
    <t>Ingresos Eerr Ases. Gestión</t>
  </si>
  <si>
    <t>Ingresos EERR Ases. Publicidad</t>
  </si>
  <si>
    <t>Ingresos EERR Ases. Know How</t>
  </si>
  <si>
    <t>Ingresos Eerr Ases. Know How</t>
  </si>
  <si>
    <t>Ingresos EERR Ases. Postventa</t>
  </si>
  <si>
    <t>Ingresos Eerr Ases. Postventa</t>
  </si>
  <si>
    <t>Ingresos EERR Tarifa legal Ases.Proy.</t>
  </si>
  <si>
    <t>Tarifa Legal â€“ Asesoría Proyectos</t>
  </si>
  <si>
    <t>Ingresos EERR Tarifa legal Terreno</t>
  </si>
  <si>
    <t>Tarifa Legal â€“ Terreno</t>
  </si>
  <si>
    <t>Ingresos EERR Tarifa Coord. e Ingeniería</t>
  </si>
  <si>
    <t>Ingresos por Administración de Condominios</t>
  </si>
  <si>
    <t>Ingresos por administración de concasa de edificios inmobiliarias</t>
  </si>
  <si>
    <t>Ingresos EERR Ases. Back Office</t>
  </si>
  <si>
    <t>Intereses Ganados por Depósitos</t>
  </si>
  <si>
    <t>Intereses Ganados X Depositos</t>
  </si>
  <si>
    <t>Utilidades Por Fondos Mutuos</t>
  </si>
  <si>
    <t>Intereses Por Ventas A Cliente</t>
  </si>
  <si>
    <t>Ingresos Por Comisiones</t>
  </si>
  <si>
    <t>Ingresos Por Intereses EERR</t>
  </si>
  <si>
    <t>Ingresos Por Intereses Ee.Rr.</t>
  </si>
  <si>
    <t>Otros Ingresos Financieros</t>
  </si>
  <si>
    <t>Utilidades Inversion EERR</t>
  </si>
  <si>
    <t>Utilidades Inversion Ee.Rr</t>
  </si>
  <si>
    <t>Amortización Plusvalia ( mayor y menor valor inv)</t>
  </si>
  <si>
    <t>Cuenta donde se amortiza el mayor o menor valor de inversiones (plusvalía en IFRS), por deterioro de la plusvalía o por corresponder a reestructuración</t>
  </si>
  <si>
    <t>Venta Activo Fijo EERR</t>
  </si>
  <si>
    <t>Retiros desde Soc.Resp.Ltda.</t>
  </si>
  <si>
    <t>Retiros Desde Soc.Resp.Ltda.</t>
  </si>
  <si>
    <t>COSTOS MATERIALES DE OBRAS</t>
  </si>
  <si>
    <t>Egresos de Explotación</t>
  </si>
  <si>
    <t>IVA COSTOS DS-19/Registra el Iva CF por facturas de proveedores y otros para el proyecto DS-19</t>
  </si>
  <si>
    <t>Iva Subcontratos DS-19/Registra el Iva CF por facturas de subcontratos para el proyecto DS-19</t>
  </si>
  <si>
    <t>Costos directos asociados a subcontratos como istalaciones obra gruesa exteriores etc</t>
  </si>
  <si>
    <t>arriendos dos maquinarias obra</t>
  </si>
  <si>
    <t>ARRIENDOS INTERNOS</t>
  </si>
  <si>
    <t>Gratificaciones(Mod)</t>
  </si>
  <si>
    <t>Honorarios Obras</t>
  </si>
  <si>
    <t>Dctos Herr, Seg, Otros</t>
  </si>
  <si>
    <t>Otros Dctos De Remuneraciones</t>
  </si>
  <si>
    <t>Suspensión Covid 19 (mod)</t>
  </si>
  <si>
    <t>Items que payroll creo para reflejar el monto que la empresa debe adicionar para cubrir las LLSS que legalmente se deben pagar.</t>
  </si>
  <si>
    <t>Items el cual desde mayo en adelante se comenzara a pagar, debido a un plan de beneficios de RVC para las obras.</t>
  </si>
  <si>
    <t>Otras Remuneraciones (mod)</t>
  </si>
  <si>
    <t>Registro de Mano de obra cruzada facturada entre constructoras , y otros conceptos de remuneracion que no proviene de la centralización de Remuneraciones.</t>
  </si>
  <si>
    <t>Para exclusivo registro de Provisión vacaciones de personal de costo</t>
  </si>
  <si>
    <t>Premio anual que se paga en marzo a todos los trabajadores según diversos criterios según la política y que no corresponde a Remuneración contractual</t>
  </si>
  <si>
    <t>Costo Pias MOD</t>
  </si>
  <si>
    <t>Estas cuentas se cargan y abonan en la misma oportunidad por los mismos montos, por tanto, nunca debieran tener saldos.</t>
  </si>
  <si>
    <t>Costo Prov Vac MOD</t>
  </si>
  <si>
    <t>cuenta para las constructoras para que se pueda contabilizar los montos por concepto de subsidio</t>
  </si>
  <si>
    <t>Distribucion RemuneracionesMo</t>
  </si>
  <si>
    <t>serv basicos, serv vigilancia, extraccion de escombres</t>
  </si>
  <si>
    <t>Provision Egresos Obras</t>
  </si>
  <si>
    <t>Depreciacion Del Ejercicio</t>
  </si>
  <si>
    <t>Para Constructora: Usada para reclasificar costos de proyectos antiguos no ejecutados y diferenciarlos a nivel de centro de costo y no ensuciar el nuevo proyecto, cuando tuvo una partida fallida o definitivamente no se ejecuto</t>
  </si>
  <si>
    <t>Provision de csotos al termino de la ejecucion de una obra al completar el 100% de su avance. Se requiere este monto por administrador de la constructora que nococe que costos podrian llegar en el futuro.</t>
  </si>
  <si>
    <t>Costo Venta Departamentos ( antiguo)</t>
  </si>
  <si>
    <t>Costos ventas de depto, bodega, y estacionamiento</t>
  </si>
  <si>
    <t>Costo Venta Oficinas</t>
  </si>
  <si>
    <t>Costo Venta Loc. Comerciales (antiguo)</t>
  </si>
  <si>
    <t>Costo Venta Loc. Comerciales</t>
  </si>
  <si>
    <t>Costo Venta Casas</t>
  </si>
  <si>
    <t>Costo Venta Terrenos</t>
  </si>
  <si>
    <t>Refleja el costo unitario del bien , determinado considerando todos los costos incurridos hasta la recepción municipal del proyecto más la provisión de costos reales x recibir dividido por mt2, por tipo de bien.</t>
  </si>
  <si>
    <t>Costo Vta Casas</t>
  </si>
  <si>
    <t>Costo Venta Estudios</t>
  </si>
  <si>
    <t>Costo EERR Ases. Ito</t>
  </si>
  <si>
    <t>Costo EERR Ases. Ventas</t>
  </si>
  <si>
    <t>Costo EERR Ases. Gestión</t>
  </si>
  <si>
    <t>Costo Eerr Ases. Gestión</t>
  </si>
  <si>
    <t>Costo EERR Ases. Publicidad</t>
  </si>
  <si>
    <t>Costo Eerr Ases. Publicidad</t>
  </si>
  <si>
    <t>Costo EERR Ases. Know How</t>
  </si>
  <si>
    <t>Costo Eerr Ases. Know How</t>
  </si>
  <si>
    <t>Costo EERR Ases. Postventa</t>
  </si>
  <si>
    <t>Costo Eerr Ases. Postventa</t>
  </si>
  <si>
    <t>Costo EERR Tarifa legal Ases.Proy.</t>
  </si>
  <si>
    <t>Costo EERR Tarifa legal Terreno</t>
  </si>
  <si>
    <t>Costo EERR Tarifa Coord, e Ingeniería</t>
  </si>
  <si>
    <t>Costos De Postventa EERR</t>
  </si>
  <si>
    <t>Costos De Postventa facturado desde Constructora a Inmobiliarias operativas</t>
  </si>
  <si>
    <t>Costo EERR Ases. Back Office</t>
  </si>
  <si>
    <t>Costos por Administración de Condominios</t>
  </si>
  <si>
    <t>Costos por administración de concasa de edificios inmobiliarias</t>
  </si>
  <si>
    <t>Gastos de Administración y Ventas</t>
  </si>
  <si>
    <t>Movilizacion</t>
  </si>
  <si>
    <t>Colacion</t>
  </si>
  <si>
    <t>Honorarios Adm Y Asesorías</t>
  </si>
  <si>
    <t>Honorarios Adm Y Asesorias</t>
  </si>
  <si>
    <t>Premios Aguinaldos Y Otros</t>
  </si>
  <si>
    <t>Gto.Por Capacitación</t>
  </si>
  <si>
    <t>Seleccion De Personal</t>
  </si>
  <si>
    <t>Dcto Herr, Cel, Seg Otros</t>
  </si>
  <si>
    <t>Bono Cumplimiento Asistente</t>
  </si>
  <si>
    <t>Comisión Jefe Ventas</t>
  </si>
  <si>
    <t>Bono Jefe Ventas</t>
  </si>
  <si>
    <t>Comisión Canal Inversionista</t>
  </si>
  <si>
    <t>Bono Cumplimiento Canal Inversionista</t>
  </si>
  <si>
    <t>Otros conceptos de remuneracion que no proviene de la centralización de Remuneraciones.</t>
  </si>
  <si>
    <t>Suspensión Covid 19</t>
  </si>
  <si>
    <t>SUELDO BASE ROL PRIVADO</t>
  </si>
  <si>
    <t>REMUNERACIONES ROL PRIVADO</t>
  </si>
  <si>
    <t>Gratificación Rol Privado</t>
  </si>
  <si>
    <t>Gratificacion Rol Privado</t>
  </si>
  <si>
    <t>Otros Imponibles Rol Privado</t>
  </si>
  <si>
    <t>Otros No Imponibles Rol Privado</t>
  </si>
  <si>
    <t>OTROS IMPONIBLE ROL PRIVADO</t>
  </si>
  <si>
    <t>Leyes Sociales Rol Privado</t>
  </si>
  <si>
    <t>Indenmización Rol Privado</t>
  </si>
  <si>
    <t>Indenmizacion Rol Privado</t>
  </si>
  <si>
    <t>Distribucion RemuneracionesGav</t>
  </si>
  <si>
    <t>Distribución de Remuneraciones Rol Privado</t>
  </si>
  <si>
    <t>Cuenta donde se registraran todos los gastos de colación que no tengan origen en la centralización de remuneraciones</t>
  </si>
  <si>
    <t>Cuenta para presupuestar Salas Cuna por centro.</t>
  </si>
  <si>
    <t>Bases Propuestas</t>
  </si>
  <si>
    <t>Seguros Oficina</t>
  </si>
  <si>
    <t>Artic. Ofic. Fotocop.Papeleria</t>
  </si>
  <si>
    <t>Para Inmobiliaria: Usada para reclasificar gastos financieros de proyectos antiguos no ejecutados y diferenciarlos a nivel de centro de costo y no ensuciar el nuevo proyecto, cuando tuvo una partida fallida o definitivamente no se ejecuto</t>
  </si>
  <si>
    <t>Gastos De Representracion</t>
  </si>
  <si>
    <t>Comunicaciones</t>
  </si>
  <si>
    <t>Honorarios Por Asesorias</t>
  </si>
  <si>
    <t>Asesoria Informatica</t>
  </si>
  <si>
    <t>Gastos Tributarios</t>
  </si>
  <si>
    <t>Auditoría Externa</t>
  </si>
  <si>
    <t>Auditoria Externa</t>
  </si>
  <si>
    <t>Insumos Y Gastos Informaticos</t>
  </si>
  <si>
    <t>Comisiones bancarias y conceptos similares</t>
  </si>
  <si>
    <t>Comisión Transbank</t>
  </si>
  <si>
    <t>gasto asociado a la comisión por operar con transbank, se aplica a cada operación de recaudación de clientes inmobiliarios que se reporta en archivo enviado por transbank de forma periódica.</t>
  </si>
  <si>
    <t>Para exclusivo registro de Provision de vacaciones de personal GAV</t>
  </si>
  <si>
    <t>Distribución Gastos Bienestar</t>
  </si>
  <si>
    <t>Antes contrapartida del cobro por Bienestar en Obras en cuenta 42110065, para efecto 0 a nivel empresa. 10.08.23 se modifica nombre. Distribución Gastos Bienestar. Ahora la cuenta rebaja 4201039 Bienestar. Centro 10905</t>
  </si>
  <si>
    <t>Provisión Gastos EERR</t>
  </si>
  <si>
    <t>Provisión Gastos Eerr</t>
  </si>
  <si>
    <t>Salas De Ventas</t>
  </si>
  <si>
    <t>Cta Ex Servicio Al Cliente</t>
  </si>
  <si>
    <t>Gastos Promoción AE</t>
  </si>
  <si>
    <t>Asesoría Comercial</t>
  </si>
  <si>
    <t>Asesoria Comercial</t>
  </si>
  <si>
    <t>Gtos Operacionales De Clientes</t>
  </si>
  <si>
    <t>Decoración Pilotos</t>
  </si>
  <si>
    <t>Gastos Pilotos</t>
  </si>
  <si>
    <t>Cobro Arriendo EERR</t>
  </si>
  <si>
    <t>Cobro Arriendo Eerr</t>
  </si>
  <si>
    <t>Se utiliza para gastos legales por proyectos</t>
  </si>
  <si>
    <t>Arriendos Oficinas Proyectos</t>
  </si>
  <si>
    <t>Gastos Cbr</t>
  </si>
  <si>
    <t>Ex Cta Gastos Compensación de Clientes</t>
  </si>
  <si>
    <t>Se utilizara para gastos de asesorías externas y otros gastos</t>
  </si>
  <si>
    <t>Planos y Otros Técnicos</t>
  </si>
  <si>
    <t>Se utilizara para gastos por planos, ploteos, etc</t>
  </si>
  <si>
    <t>Publicidad Produccion</t>
  </si>
  <si>
    <t>Estudios De Mercado</t>
  </si>
  <si>
    <t>Mano De Obra Post Venta</t>
  </si>
  <si>
    <t>Maq Y Eqip Post Venta</t>
  </si>
  <si>
    <t>Gtos Grales Post Venta</t>
  </si>
  <si>
    <t>Distribucion Remuneraciones Post Venta</t>
  </si>
  <si>
    <t>Cuenta para aplicar la provisión post venta a los gastos reales sin alterar en registro original de gastos y no perder esa historia</t>
  </si>
  <si>
    <t>Traspaso de Gasto de Post Venta Inmobiliaria</t>
  </si>
  <si>
    <t>Para rebajar en GAV correspondientes a Post venta, el costeo de la porción que se facturará a las Inmobiliarias operativas.</t>
  </si>
  <si>
    <t>Distribución materiales E y PV</t>
  </si>
  <si>
    <t>Cuenta puente para distribuir gastos de materiales comprados centralizadamente asociados a la Entrega y Postventa.</t>
  </si>
  <si>
    <t>Redistribución remuneraciones E y PV</t>
  </si>
  <si>
    <t>Cuenta puente para distribuir remuneraciones asociados a la Entrega y Postventa.</t>
  </si>
  <si>
    <t>Distribución maq y equp E y PV</t>
  </si>
  <si>
    <t>Cuenta puente para distribuir gastos de maquinaria y herramientas comprados centralizadamente asociados a la Entrega y Postventa.</t>
  </si>
  <si>
    <t>Distribución gtos grales E y PV</t>
  </si>
  <si>
    <t>Cuenta puente para distribuir gastos de subcontratos asociados a la Entrega y Postventa</t>
  </si>
  <si>
    <t>Distribución sub contratos E y PV</t>
  </si>
  <si>
    <t>Cuenta puente para distribuir gastos de materiales comprados centralizadamente asociados a la Entrega y Postventa</t>
  </si>
  <si>
    <t>Egreso Fuera de Explotación</t>
  </si>
  <si>
    <t>Honor. EERR Ases. Publicidad</t>
  </si>
  <si>
    <t>Honor. Eerr Ases. Publicidad</t>
  </si>
  <si>
    <t>Honor. EERR Ases. Know How</t>
  </si>
  <si>
    <t>Honor. Eerr Ases. Know How</t>
  </si>
  <si>
    <t>Honor. EERR Ases. Postventa</t>
  </si>
  <si>
    <t>Honor. Eerr Ases. Postventa</t>
  </si>
  <si>
    <t>Honor. Eerr Ases. Gestión</t>
  </si>
  <si>
    <t>Solo para registrar las facturas por honorarios legales que cobra RVC Servicios a las Inmobiliarias operativas</t>
  </si>
  <si>
    <t>Honor. EERR Ases. Back Office</t>
  </si>
  <si>
    <t>Deudores Incobrables</t>
  </si>
  <si>
    <t>Patentes Comerciales y Otros</t>
  </si>
  <si>
    <t>Gastos Rechazados</t>
  </si>
  <si>
    <t>Castigo de Deudores</t>
  </si>
  <si>
    <t>castigo financiero directo, ante una cuenta incobrable, sin pasar por EDI.</t>
  </si>
  <si>
    <t>Provisión Egresos Oficina</t>
  </si>
  <si>
    <t>Provision Egresos Oficina</t>
  </si>
  <si>
    <t>Indemnización Clientes</t>
  </si>
  <si>
    <t>Amortizacion Intangibles</t>
  </si>
  <si>
    <t>Gastos Comunes Locales</t>
  </si>
  <si>
    <t>Gastos de Area Renta</t>
  </si>
  <si>
    <t>IVA No Recuperable IC</t>
  </si>
  <si>
    <t>Cuenta para facturas fuera de plazo de IVA que se cargan en IConstruye. esta Cuenta debe quedar en cero al cierre de cada mes y antes de ladeclaracion de impuesto. Responsable Cta Erika Pavez</t>
  </si>
  <si>
    <t>Gastos de Colocación Locales</t>
  </si>
  <si>
    <t>Para asignar gastos del corredor, publicaciones en diarios, etc.</t>
  </si>
  <si>
    <t>Mejoramiento de Locales</t>
  </si>
  <si>
    <t>Se utilizara para reconocer como gastos costos que no se consideraron al momento de la recepción municipal</t>
  </si>
  <si>
    <t>Se utilizara para los gastos que se realizaran por PV de la inmobiliaria</t>
  </si>
  <si>
    <t>Depreciación De Activos Fijos (Cuenta Nueva)</t>
  </si>
  <si>
    <t>Menor Gav Por Asesoria</t>
  </si>
  <si>
    <t>Cuenta donde se registrara el ppto de bienestar de cada obra, por partida, tiene contrapartida en GAV para efecto 0 a nivel empresa</t>
  </si>
  <si>
    <t>Provisión de Cobros PostVentas</t>
  </si>
  <si>
    <t>Depreciacion De Activos Fijos</t>
  </si>
  <si>
    <t>Resultado no Realizado (Cuenta Nueva)</t>
  </si>
  <si>
    <t>Impto Crédito Capital De Trabajo</t>
  </si>
  <si>
    <t>Impto.Cred.Capital De Trabajo</t>
  </si>
  <si>
    <t>Interes Crédito Capital Trabajo</t>
  </si>
  <si>
    <t>Impuesto Talonario</t>
  </si>
  <si>
    <t>Intereses y Multas Fiscales</t>
  </si>
  <si>
    <t>Gastos por comisiones cargados en ctas ctes</t>
  </si>
  <si>
    <t>Cuenta creada solo para las obras</t>
  </si>
  <si>
    <t>Amortización Intereses Diferidos</t>
  </si>
  <si>
    <t>Amortizacion Intereses Diferid</t>
  </si>
  <si>
    <t>Gastos FinanBol. Garantia</t>
  </si>
  <si>
    <t>Cobro Intereses Financieros EERR</t>
  </si>
  <si>
    <t>Cobro Intereses Financieros Ee</t>
  </si>
  <si>
    <t>Impto Crédito Proyecto</t>
  </si>
  <si>
    <t>Castigo Activo Fijo</t>
  </si>
  <si>
    <t>Cuenta donde se registra la Estimación Deudores incobrables, antiguedad mayor a 360 días sin cobrar, usa CG genérico del Proyecto, para ppto fuera de explotacion , para IFRS clasificacion manual</t>
  </si>
  <si>
    <t>Otros Egresos F/Explotacion</t>
  </si>
  <si>
    <t>RUnid Reaj Anticipo Terrenos</t>
  </si>
  <si>
    <t>Cm Anticipos de Terrenos</t>
  </si>
  <si>
    <t>Cm  Cxc Relacionadas En UF</t>
  </si>
  <si>
    <t>Cm Deudas Bancarias</t>
  </si>
  <si>
    <t>RUnid Reaj CxP Relacionadas En UF</t>
  </si>
  <si>
    <t>Cm Cxp Relacionadas En UF</t>
  </si>
  <si>
    <t>Cm Clientes Inmobiliarios</t>
  </si>
  <si>
    <t>RUnid Reaj Propiedades de Inversión</t>
  </si>
  <si>
    <t>RUnid Reaj SubContratos</t>
  </si>
  <si>
    <t>RUnid Reaj Ptmos al Personal</t>
  </si>
  <si>
    <t>Reajustes prestamso al personal en uF</t>
  </si>
  <si>
    <t>RUnid Reaj Deudas Bancarias USD</t>
  </si>
  <si>
    <t>Reajuste Deduas Bcarias en dolar3es</t>
  </si>
  <si>
    <t>Diferencia De Cambio</t>
  </si>
  <si>
    <t>Perdida Inversión En EERR</t>
  </si>
  <si>
    <t>Perdida Inversion En Ee.Rr.</t>
  </si>
  <si>
    <t>Impto. A La Rta Años Ante</t>
  </si>
  <si>
    <t>Impuesto Renta Art.21</t>
  </si>
  <si>
    <t>Impuesto a la renta por gastos rechazados, articulo 21.</t>
  </si>
  <si>
    <t>DIFERENCIA DE CAMBIO FUNCIONAL</t>
  </si>
  <si>
    <t>APERTURA</t>
  </si>
  <si>
    <t>Rebaja el mobiliario de las salas pilotos por venta a un cliente, venta interna y/o castigo.</t>
  </si>
  <si>
    <t>Se registra al momento de conocer el costeo completo del proyecto- etapa y con RM . Corresponde al costo unitario distribuido por peso relativo de precio base x tipo de bien (oficina) y luego por mt2, es el costo unit. x cada bodega, según id SCI</t>
  </si>
  <si>
    <t>Descuento Construye Tranquilo</t>
  </si>
  <si>
    <t>Ventas Oficinas</t>
  </si>
  <si>
    <t>Solo se registrará la ventas de Oficinas,</t>
  </si>
  <si>
    <t>Costo Venta Oficina</t>
  </si>
  <si>
    <t>Solo se registrará la ventas de Oficinas.</t>
  </si>
  <si>
    <t>Comisiones por las ventas de Capitalizarme</t>
  </si>
  <si>
    <t>Comisiones Transbank</t>
  </si>
  <si>
    <t>Aportes reembolsables (electricidad y agua) Pagares - AFR</t>
  </si>
  <si>
    <t>su registro inicial es por aportes de Bienestar para una obra. Se va rebajando mes a mes contra la cuenta 4202045 Aplicación Gastos Bienestar. Su rebaja se realiza sobre los gastos imputados en 4201039 Bienestar.</t>
  </si>
  <si>
    <t>Registro de promociones de dividendos y gop</t>
  </si>
  <si>
    <t>Registra los aportes de Bienestar para una obra. El hito para dicho registro es (2 meses posterior al inicio de Obras Definitivas (siempre y cuando el proyecto no se haya detenido)</t>
  </si>
  <si>
    <t>Convenio Programa C.CH.C</t>
  </si>
  <si>
    <t>Descuento Convenio Programa C.CH.C</t>
  </si>
  <si>
    <t>Cuenta Nueva pagares Knockit</t>
  </si>
  <si>
    <t>Registro de intereses por Financiamiento Directo a Cliente a corto plazo Knockit</t>
  </si>
  <si>
    <t>Carta Crédito Importaciones USD</t>
  </si>
  <si>
    <t>Se contabilizarán los pagarés de las fundaciones</t>
  </si>
  <si>
    <t>Cuentas por Cobrar por Gastos EERR</t>
  </si>
  <si>
    <t>PARA GASTOS DE EERR POR PATENTES, GASTOS BASICOS Y CONTRIBUCIONES</t>
  </si>
  <si>
    <t>Derecho de Uso</t>
  </si>
  <si>
    <t>Prestamos por Factoring</t>
  </si>
  <si>
    <t>Arrendamiento Corriente</t>
  </si>
  <si>
    <t>Arrendamiento No Corriente</t>
  </si>
  <si>
    <t>Capitales Preferente UF</t>
  </si>
  <si>
    <t>Cuentas por Pagar por Gastos EERR</t>
  </si>
  <si>
    <t>Registra Promociones de Dividendos 6 y 24, GOP</t>
  </si>
  <si>
    <t>Impuesto Específico Negativo</t>
  </si>
  <si>
    <t>cuenta para registrar el Impuesto Especifico cuando este quede negativo</t>
  </si>
  <si>
    <t>Cuenta que genera efecto en resultado para alinear gasto real a consumo de provisión Post Venta de acuerdo a proyección de curva de gasto del proyecto</t>
  </si>
  <si>
    <t>Valores a Depositar Clientes</t>
  </si>
  <si>
    <t>BCI USD</t>
  </si>
  <si>
    <t>Cuenta corriente en dolares</t>
  </si>
  <si>
    <t>Facturas Por Cobrar EERR</t>
  </si>
  <si>
    <t>Gastos Diferidos</t>
  </si>
  <si>
    <t>Cta solo para apertura</t>
  </si>
  <si>
    <t>Solo para traspasar apertura</t>
  </si>
  <si>
    <t>Papeleria y Fotocopiado</t>
  </si>
  <si>
    <t>Puente Pasivos Financieros UF</t>
  </si>
  <si>
    <t>Cuenta 2 Banco</t>
  </si>
  <si>
    <t>Se utiliza para los abonos que efectuan los banco dismuyendo la obligaciones contra los pago de clientes inmobiliarios</t>
  </si>
  <si>
    <t>Cuenta Puente Proveedores</t>
  </si>
  <si>
    <t>Traspaso de Movimientos 2012</t>
  </si>
  <si>
    <t>Pago Electrónico</t>
  </si>
  <si>
    <t>Puente FxR y CCH</t>
  </si>
  <si>
    <t>Pago Electrónico FxR y CCH</t>
  </si>
  <si>
    <t>Proveedores Notas de Créditos</t>
  </si>
  <si>
    <t>Facturas Por Pagar EERR</t>
  </si>
  <si>
    <t>factruras emp relacionadas</t>
  </si>
  <si>
    <t>Impuesto Renta A Pagar</t>
  </si>
  <si>
    <t>ingresos por ventas de deptos, estacionamientos y bodegas</t>
  </si>
  <si>
    <t>Resultado Apertura</t>
  </si>
  <si>
    <t>Carga Resultado 2012</t>
  </si>
  <si>
    <t>Combustibles Y Lubricantes</t>
  </si>
  <si>
    <t>Arriendo De Equipos</t>
  </si>
  <si>
    <t>CM Activos</t>
  </si>
  <si>
    <t>Cm Activos</t>
  </si>
  <si>
    <t>CM Existencias</t>
  </si>
  <si>
    <t>CM Activo Fijo</t>
  </si>
  <si>
    <t>Cm Activo Fijo</t>
  </si>
  <si>
    <t>CM Deudas Leasing UF</t>
  </si>
  <si>
    <t>Cm Deudas Leasing</t>
  </si>
  <si>
    <t>CM Pasivos</t>
  </si>
  <si>
    <t>Cm Pasivos</t>
  </si>
  <si>
    <t>CM Patrimonio</t>
  </si>
  <si>
    <t>Cm Patrimonio</t>
  </si>
  <si>
    <t>CM Inversión EERR</t>
  </si>
  <si>
    <t>Cm Inversion Empresas Relacion</t>
  </si>
  <si>
    <t>Aplica FxR</t>
  </si>
  <si>
    <t>NO</t>
  </si>
  <si>
    <t>Aplica FXR</t>
  </si>
  <si>
    <t>Formulario de Rendición de Caja chica, Fondos por rendir, Reembolso de gastos 2026</t>
  </si>
  <si>
    <t>Formulario de Rendición de Caja chica, Fondos por rendir, Reembolso de gastos 2026
(Hoja 2)</t>
  </si>
  <si>
    <t>Número de Fondo por rendir</t>
  </si>
  <si>
    <t>Nombre Banco</t>
  </si>
  <si>
    <t>ABN AMRO BANK (CHILE)</t>
  </si>
  <si>
    <t>BANCO BBVA</t>
  </si>
  <si>
    <t>BANCO BICE</t>
  </si>
  <si>
    <t>BANCO CONSORCIO</t>
  </si>
  <si>
    <t>BANCO DE CREDITO E INVERSIONES</t>
  </si>
  <si>
    <t>BANCO DE LA NACION ARGENTINA</t>
  </si>
  <si>
    <t>BANCO DEL DESARROLLO</t>
  </si>
  <si>
    <t>BANCO DEL ESTADO DE CHILE</t>
  </si>
  <si>
    <t>BANCO FALABELLA</t>
  </si>
  <si>
    <t>BANCO INTERNACIONAL</t>
  </si>
  <si>
    <t>BANCO ITAÚ (CHILE)</t>
  </si>
  <si>
    <t>BANCO ITAU CORPBANCA</t>
  </si>
  <si>
    <t>BANCO PARIS</t>
  </si>
  <si>
    <t>BANCO PENTA</t>
  </si>
  <si>
    <t>BANCO RIPLEY</t>
  </si>
  <si>
    <t>BANCO SANTANDER-CHILE</t>
  </si>
  <si>
    <t>BANCO SECURITY</t>
  </si>
  <si>
    <t>HSBC BANK (CHILE)</t>
  </si>
  <si>
    <t>INSTITUCIÓN FINANCIERA COOPERATIVA COOPEUCH</t>
  </si>
  <si>
    <t>SCOTIABANK CHILE</t>
  </si>
  <si>
    <t>TENPO PAYMENTS S.A.</t>
  </si>
  <si>
    <t>Edificio Teresa Vial Ltda</t>
  </si>
  <si>
    <t>Anticipo Crédito Directo</t>
  </si>
  <si>
    <t>Para reflejar el anticipo de Eyzaguirre a la inmobiliaria operativa antes de oficializar el crédito directo. Si no fructifica la compra se reversa anticipo - flujo entre EERR.</t>
  </si>
  <si>
    <t>Terreno Del Valle Sur 628 - Inversiones</t>
  </si>
  <si>
    <t>Del Valle Sur 628</t>
  </si>
  <si>
    <t>Terrreno Del Valle Sur 628 - Inversiones</t>
  </si>
  <si>
    <t>DS49 Valle Alto Placilla Ltda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</si>
</sst>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_ ;[Red]\-#,##0.00\ "/>
    <numFmt numFmtId="165" formatCode="&quot;$&quot;\ #,##0"/>
    <numFmt numFmtId="166" formatCode="&quot;$&quot;\ #,##0.00;\-&quot;$&quot;\ #,##0.00"/>
    <numFmt numFmtId="167" formatCode="&quot;$&quot;\ #,##0.00"/>
  </numFmts>
  <fonts count="27" x14ac:knownFonts="1">
    <font>
      <sz val="11"/>
      <color theme="1"/>
      <name val="Calibri"/>
      <family val="2"/>
      <scheme val="minor"/>
    </font>
    <font>
      <b/>
      <sz val="11"/>
      <color theme="1"/>
      <name val="Calibri"/>
      <family val="2"/>
      <scheme val="minor"/>
    </font>
    <font>
      <sz val="11"/>
      <color theme="0"/>
      <name val="Calibri"/>
      <family val="2"/>
      <scheme val="minor"/>
    </font>
    <font>
      <sz val="9"/>
      <color indexed="8"/>
      <name val="Calibri"/>
      <family val="2"/>
    </font>
    <font>
      <sz val="11"/>
      <color indexed="9"/>
      <name val="Calibri"/>
      <family val="2"/>
    </font>
    <font>
      <sz val="11"/>
      <color theme="0"/>
      <name val="Calibri"/>
      <family val="2"/>
    </font>
    <font>
      <sz val="11"/>
      <color indexed="63"/>
      <name val="Calibri"/>
      <family val="2"/>
    </font>
    <font>
      <sz val="13"/>
      <color indexed="8"/>
      <name val="Calibri"/>
      <family val="2"/>
    </font>
    <font>
      <b/>
      <sz val="13"/>
      <color indexed="8"/>
      <name val="Calibri"/>
      <family val="2"/>
    </font>
    <font>
      <sz val="11"/>
      <color indexed="8"/>
      <name val="Calibri"/>
      <family val="2"/>
    </font>
    <font>
      <b/>
      <sz val="14"/>
      <color indexed="63"/>
      <name val="Calibri"/>
      <family val="2"/>
    </font>
    <font>
      <sz val="7.5"/>
      <color indexed="81"/>
      <name val="Tahoma"/>
      <family val="2"/>
    </font>
    <font>
      <b/>
      <sz val="11"/>
      <color indexed="8"/>
      <name val="Calibri"/>
      <family val="2"/>
    </font>
    <font>
      <sz val="8"/>
      <name val="Calibri"/>
      <family val="2"/>
      <scheme val="minor"/>
    </font>
    <font>
      <b/>
      <sz val="11"/>
      <color theme="0"/>
      <name val="Calibri"/>
      <family val="2"/>
      <scheme val="minor"/>
    </font>
    <font>
      <sz val="11"/>
      <color theme="4"/>
      <name val="Calibri"/>
      <family val="2"/>
      <scheme val="minor"/>
    </font>
    <font>
      <sz val="10"/>
      <color theme="1"/>
      <name val="Calibri"/>
      <family val="2"/>
      <scheme val="minor"/>
    </font>
    <font>
      <b/>
      <sz val="20"/>
      <color theme="0"/>
      <name val="Calibri"/>
      <family val="2"/>
    </font>
    <font>
      <sz val="9"/>
      <color theme="1"/>
      <name val="Calibri"/>
      <family val="2"/>
      <scheme val="minor"/>
    </font>
    <font>
      <b/>
      <sz val="16"/>
      <color theme="0"/>
      <name val="Calibri"/>
      <family val="2"/>
    </font>
    <font>
      <b/>
      <sz val="12"/>
      <color indexed="63"/>
      <name val="Calibri"/>
      <family val="2"/>
    </font>
    <font>
      <sz val="12"/>
      <color indexed="8"/>
      <name val="Calibri"/>
      <family val="2"/>
    </font>
    <font>
      <sz val="12"/>
      <color theme="1"/>
      <name val="Calibri"/>
      <family val="2"/>
      <scheme val="minor"/>
    </font>
    <font>
      <b/>
      <sz val="11"/>
      <color indexed="63"/>
      <name val="Calibri"/>
      <family val="2"/>
    </font>
    <font>
      <b/>
      <sz val="12"/>
      <color indexed="8"/>
      <name val="Calibri"/>
      <family val="2"/>
    </font>
    <font>
      <b/>
      <i/>
      <sz val="12"/>
      <color indexed="8"/>
      <name val="Calibri"/>
      <family val="2"/>
    </font>
    <font>
      <b/>
      <i/>
      <sz val="12"/>
      <color theme="0"/>
      <name val="Calibri"/>
      <family val="2"/>
    </font>
  </fonts>
  <fills count="35">
    <fill>
      <patternFill patternType="none"/>
    </fill>
    <fill>
      <patternFill patternType="gray125"/>
    </fill>
    <fill>
      <patternFill patternType="solid">
        <fgColor indexed="9"/>
        <bgColor indexed="64"/>
      </patternFill>
    </fill>
    <fill>
      <patternFill patternType="solid">
        <fgColor theme="4"/>
        <bgColor indexed="64"/>
      </patternFill>
    </fill>
    <fill>
      <patternFill patternType="solid">
        <fgColor theme="4"/>
        <bgColor theme="4"/>
      </patternFill>
    </fill>
    <fill>
      <patternFill patternType="solid">
        <fgColor theme="5"/>
        <bgColor theme="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7" tint="0.39997558519241921"/>
        <bgColor indexed="64"/>
      </patternFill>
    </fill>
    <fill>
      <patternFill patternType="solid">
        <fgColor theme="6" tint="0.39997558519241921"/>
        <bgColor indexed="64"/>
      </patternFill>
    </fill>
    <fill>
      <patternFill patternType="solid">
        <fgColor theme="3" tint="0.59999389629810485"/>
        <bgColor indexed="64"/>
      </patternFill>
    </fill>
    <fill>
      <patternFill patternType="solid">
        <fgColor theme="0" tint="-0.34998626667073579"/>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theme="3" tint="0.3999755851924192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2" tint="-9.9978637043366805E-2"/>
        <bgColor indexed="64"/>
      </patternFill>
    </fill>
    <fill>
      <patternFill patternType="solid">
        <fgColor theme="7"/>
        <bgColor indexed="64"/>
      </patternFill>
    </fill>
    <fill>
      <patternFill patternType="solid">
        <fgColor theme="9" tint="0.59999389629810485"/>
        <bgColor indexed="64"/>
      </patternFill>
    </fill>
    <fill>
      <patternFill patternType="solid">
        <fgColor theme="5" tint="-0.249977111117893"/>
        <bgColor indexed="64"/>
      </patternFill>
    </fill>
    <fill>
      <patternFill patternType="solid">
        <fgColor rgb="FFFFFF00"/>
        <bgColor indexed="64"/>
      </patternFill>
    </fill>
    <fill>
      <patternFill patternType="solid">
        <fgColor theme="7" tint="-0.249977111117893"/>
        <bgColor indexed="64"/>
      </patternFill>
    </fill>
    <fill>
      <patternFill patternType="solid">
        <fgColor theme="4" tint="0.59999389629810485"/>
        <bgColor indexed="64"/>
      </patternFill>
    </fill>
    <fill>
      <patternFill patternType="solid">
        <fgColor theme="6" tint="-0.249977111117893"/>
        <bgColor indexed="64"/>
      </patternFill>
    </fill>
    <fill>
      <patternFill patternType="solid">
        <fgColor rgb="FF00B050"/>
        <bgColor indexed="64"/>
      </patternFill>
    </fill>
  </fills>
  <borders count="71">
    <border>
      <left/>
      <right/>
      <top/>
      <bottom/>
      <diagonal/>
    </border>
    <border>
      <left style="thin">
        <color indexed="64"/>
      </left>
      <right/>
      <top style="thin">
        <color indexed="64"/>
      </top>
      <bottom/>
      <diagonal/>
    </border>
    <border>
      <left style="thin">
        <color indexed="23"/>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23"/>
      </left>
      <right style="thin">
        <color indexed="64"/>
      </right>
      <top/>
      <bottom style="thin">
        <color indexed="23"/>
      </bottom>
      <diagonal/>
    </border>
    <border>
      <left/>
      <right style="thin">
        <color indexed="64"/>
      </right>
      <top/>
      <bottom/>
      <diagonal/>
    </border>
    <border>
      <left style="thin">
        <color indexed="23"/>
      </left>
      <right style="thin">
        <color indexed="64"/>
      </right>
      <top style="thin">
        <color indexed="23"/>
      </top>
      <bottom/>
      <diagonal/>
    </border>
    <border>
      <left style="thin">
        <color indexed="23"/>
      </left>
      <right style="thin">
        <color indexed="64"/>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23"/>
      </left>
      <right/>
      <top style="thin">
        <color indexed="23"/>
      </top>
      <bottom style="thin">
        <color indexed="23"/>
      </bottom>
      <diagonal/>
    </border>
    <border>
      <left style="thin">
        <color indexed="23"/>
      </left>
      <right style="thin">
        <color indexed="64"/>
      </right>
      <top/>
      <bottom/>
      <diagonal/>
    </border>
    <border>
      <left style="thin">
        <color indexed="64"/>
      </left>
      <right/>
      <top style="thin">
        <color indexed="64"/>
      </top>
      <bottom style="thin">
        <color indexed="64"/>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right style="thin">
        <color indexed="64"/>
      </right>
      <top style="thin">
        <color indexed="23"/>
      </top>
      <bottom style="thin">
        <color indexed="23"/>
      </bottom>
      <diagonal/>
    </border>
    <border>
      <left style="thin">
        <color indexed="23"/>
      </left>
      <right style="thin">
        <color indexed="23"/>
      </right>
      <top style="thin">
        <color indexed="23"/>
      </top>
      <bottom style="thin">
        <color indexed="23"/>
      </bottom>
      <diagonal/>
    </border>
    <border>
      <left style="thin">
        <color indexed="23"/>
      </left>
      <right/>
      <top/>
      <bottom/>
      <diagonal/>
    </border>
    <border>
      <left style="thin">
        <color indexed="64"/>
      </left>
      <right style="thin">
        <color indexed="23"/>
      </right>
      <top/>
      <bottom style="thin">
        <color indexed="23"/>
      </bottom>
      <diagonal/>
    </border>
    <border>
      <left/>
      <right style="thin">
        <color indexed="23"/>
      </right>
      <top/>
      <bottom style="thin">
        <color indexed="23"/>
      </bottom>
      <diagonal/>
    </border>
    <border>
      <left style="thin">
        <color indexed="23"/>
      </left>
      <right/>
      <top/>
      <bottom style="thin">
        <color indexed="23"/>
      </bottom>
      <diagonal/>
    </border>
    <border>
      <left/>
      <right/>
      <top/>
      <bottom style="thin">
        <color indexed="23"/>
      </bottom>
      <diagonal/>
    </border>
    <border>
      <left style="thin">
        <color indexed="23"/>
      </left>
      <right style="thin">
        <color indexed="23"/>
      </right>
      <top/>
      <bottom style="thin">
        <color indexed="23"/>
      </bottom>
      <diagonal/>
    </border>
    <border>
      <left style="thin">
        <color indexed="64"/>
      </left>
      <right style="thin">
        <color indexed="23"/>
      </right>
      <top style="thin">
        <color indexed="23"/>
      </top>
      <bottom style="thin">
        <color indexed="23"/>
      </bottom>
      <diagonal/>
    </border>
    <border>
      <left/>
      <right/>
      <top style="thin">
        <color indexed="23"/>
      </top>
      <bottom style="thin">
        <color indexed="23"/>
      </bottom>
      <diagonal/>
    </border>
    <border>
      <left/>
      <right style="thin">
        <color indexed="23"/>
      </right>
      <top style="thin">
        <color indexed="23"/>
      </top>
      <bottom style="thin">
        <color indexed="23"/>
      </bottom>
      <diagonal/>
    </border>
    <border>
      <left style="thin">
        <color indexed="64"/>
      </left>
      <right style="thin">
        <color indexed="23"/>
      </right>
      <top style="thin">
        <color indexed="23"/>
      </top>
      <bottom style="thin">
        <color indexed="64"/>
      </bottom>
      <diagonal/>
    </border>
    <border>
      <left style="thin">
        <color indexed="23"/>
      </left>
      <right style="thin">
        <color indexed="23"/>
      </right>
      <top style="thin">
        <color indexed="23"/>
      </top>
      <bottom style="thin">
        <color indexed="64"/>
      </bottom>
      <diagonal/>
    </border>
    <border>
      <left style="thin">
        <color indexed="23"/>
      </left>
      <right/>
      <top style="thin">
        <color indexed="23"/>
      </top>
      <bottom style="thin">
        <color indexed="64"/>
      </bottom>
      <diagonal/>
    </border>
    <border>
      <left/>
      <right/>
      <top style="thin">
        <color indexed="23"/>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theme="1" tint="0.499984740745262"/>
      </left>
      <right style="medium">
        <color theme="1" tint="0.499984740745262"/>
      </right>
      <top style="medium">
        <color indexed="64"/>
      </top>
      <bottom style="medium">
        <color theme="1" tint="0.499984740745262"/>
      </bottom>
      <diagonal/>
    </border>
    <border>
      <left style="medium">
        <color theme="1" tint="0.499984740745262"/>
      </left>
      <right style="thin">
        <color theme="1" tint="0.499984740745262"/>
      </right>
      <top style="medium">
        <color indexed="64"/>
      </top>
      <bottom style="medium">
        <color theme="1" tint="0.499984740745262"/>
      </bottom>
      <diagonal/>
    </border>
    <border>
      <left style="thin">
        <color theme="1" tint="0.499984740745262"/>
      </left>
      <right style="medium">
        <color theme="1" tint="0.499984740745262"/>
      </right>
      <top style="medium">
        <color indexed="64"/>
      </top>
      <bottom style="medium">
        <color theme="1" tint="0.499984740745262"/>
      </bottom>
      <diagonal/>
    </border>
    <border>
      <left style="medium">
        <color theme="1" tint="0.499984740745262"/>
      </left>
      <right/>
      <top style="medium">
        <color indexed="64"/>
      </top>
      <bottom style="medium">
        <color theme="1" tint="0.499984740745262"/>
      </bottom>
      <diagonal/>
    </border>
    <border>
      <left style="medium">
        <color theme="1" tint="0.499984740745262"/>
      </left>
      <right style="medium">
        <color theme="1" tint="0.499984740745262"/>
      </right>
      <top style="thin">
        <color theme="1" tint="0.499984740745262"/>
      </top>
      <bottom style="thin">
        <color theme="1" tint="0.499984740745262"/>
      </bottom>
      <diagonal/>
    </border>
    <border>
      <left style="medium">
        <color theme="1" tint="0.499984740745262"/>
      </left>
      <right style="medium">
        <color theme="1" tint="0.499984740745262"/>
      </right>
      <top/>
      <bottom style="thin">
        <color theme="1" tint="0.499984740745262"/>
      </bottom>
      <diagonal/>
    </border>
    <border>
      <left style="medium">
        <color theme="1" tint="0.499984740745262"/>
      </left>
      <right style="thin">
        <color theme="1" tint="0.499984740745262"/>
      </right>
      <top/>
      <bottom style="thin">
        <color theme="1" tint="0.499984740745262"/>
      </bottom>
      <diagonal/>
    </border>
    <border>
      <left style="thin">
        <color theme="1" tint="0.499984740745262"/>
      </left>
      <right style="medium">
        <color theme="1" tint="0.499984740745262"/>
      </right>
      <top/>
      <bottom style="thin">
        <color theme="1" tint="0.499984740745262"/>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23"/>
      </left>
      <right style="thin">
        <color indexed="23"/>
      </right>
      <top/>
      <bottom/>
      <diagonal/>
    </border>
    <border>
      <left/>
      <right/>
      <top style="medium">
        <color theme="1"/>
      </top>
      <bottom style="medium">
        <color theme="1"/>
      </bottom>
      <diagonal/>
    </border>
    <border>
      <left/>
      <right/>
      <top/>
      <bottom style="medium">
        <color theme="1"/>
      </bottom>
      <diagonal/>
    </border>
    <border>
      <left/>
      <right style="thin">
        <color indexed="23"/>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231">
    <xf numFmtId="0" fontId="0" fillId="0" borderId="0" xfId="0"/>
    <xf numFmtId="0" fontId="12" fillId="0" borderId="0" xfId="0" applyFont="1" applyProtection="1">
      <protection locked="0"/>
    </xf>
    <xf numFmtId="0" fontId="1" fillId="0" borderId="0" xfId="0" applyFont="1" applyProtection="1">
      <protection locked="0"/>
    </xf>
    <xf numFmtId="0" fontId="0" fillId="0" borderId="0" xfId="0" applyProtection="1">
      <protection locked="0"/>
    </xf>
    <xf numFmtId="0" fontId="0" fillId="2" borderId="1" xfId="0" applyFill="1" applyBorder="1"/>
    <xf numFmtId="0" fontId="0" fillId="2" borderId="0" xfId="0" applyFill="1"/>
    <xf numFmtId="0" fontId="0" fillId="2" borderId="6" xfId="0" applyFill="1" applyBorder="1"/>
    <xf numFmtId="0" fontId="0" fillId="2" borderId="4" xfId="0" applyFill="1" applyBorder="1"/>
    <xf numFmtId="0" fontId="0" fillId="2" borderId="8" xfId="0" applyFill="1" applyBorder="1"/>
    <xf numFmtId="0" fontId="0" fillId="2" borderId="0" xfId="0" applyFill="1" applyProtection="1">
      <protection hidden="1"/>
    </xf>
    <xf numFmtId="0" fontId="0" fillId="2" borderId="17" xfId="0" applyFill="1" applyBorder="1"/>
    <xf numFmtId="0" fontId="0" fillId="2" borderId="5" xfId="0" applyFill="1" applyBorder="1"/>
    <xf numFmtId="0" fontId="0" fillId="2" borderId="0" xfId="0" applyFill="1" applyAlignment="1">
      <alignment horizontal="center"/>
    </xf>
    <xf numFmtId="0" fontId="6" fillId="2" borderId="0" xfId="0" applyFont="1" applyFill="1"/>
    <xf numFmtId="0" fontId="7" fillId="2" borderId="13" xfId="0" applyFont="1" applyFill="1" applyBorder="1"/>
    <xf numFmtId="0" fontId="0" fillId="2" borderId="11" xfId="0" applyFill="1" applyBorder="1"/>
    <xf numFmtId="0" fontId="0" fillId="2" borderId="12" xfId="0" applyFill="1" applyBorder="1"/>
    <xf numFmtId="0" fontId="0" fillId="2" borderId="0" xfId="0" applyFill="1" applyAlignment="1">
      <alignment horizontal="center" wrapText="1"/>
    </xf>
    <xf numFmtId="0" fontId="0" fillId="2" borderId="24" xfId="0" applyFill="1" applyBorder="1"/>
    <xf numFmtId="0" fontId="7" fillId="2" borderId="1" xfId="0" applyFont="1" applyFill="1" applyBorder="1"/>
    <xf numFmtId="0" fontId="7" fillId="2" borderId="4" xfId="0" applyFont="1" applyFill="1" applyBorder="1"/>
    <xf numFmtId="0" fontId="7" fillId="2" borderId="5" xfId="0" applyFont="1" applyFill="1" applyBorder="1"/>
    <xf numFmtId="0" fontId="8" fillId="2" borderId="0" xfId="0" applyFont="1" applyFill="1" applyAlignment="1">
      <alignment vertical="center"/>
    </xf>
    <xf numFmtId="0" fontId="0" fillId="2" borderId="0" xfId="0" applyFill="1" applyAlignment="1">
      <alignment wrapText="1"/>
    </xf>
    <xf numFmtId="0" fontId="7" fillId="2" borderId="24" xfId="0" applyFont="1" applyFill="1" applyBorder="1" applyAlignment="1">
      <alignment vertical="center" wrapText="1"/>
    </xf>
    <xf numFmtId="0" fontId="7" fillId="2" borderId="0" xfId="0" applyFont="1" applyFill="1" applyAlignment="1">
      <alignment vertical="center" wrapText="1"/>
    </xf>
    <xf numFmtId="0" fontId="7" fillId="2" borderId="0" xfId="0" applyFont="1" applyFill="1" applyAlignment="1">
      <alignment horizontal="center" vertical="center" wrapText="1"/>
    </xf>
    <xf numFmtId="164" fontId="0" fillId="2" borderId="0" xfId="0" applyNumberFormat="1" applyFill="1" applyAlignment="1">
      <alignment horizontal="center" vertical="center" wrapText="1"/>
    </xf>
    <xf numFmtId="0" fontId="7" fillId="2" borderId="24" xfId="0" applyFont="1" applyFill="1" applyBorder="1"/>
    <xf numFmtId="0" fontId="7" fillId="2" borderId="0" xfId="0" applyFont="1" applyFill="1"/>
    <xf numFmtId="0" fontId="10" fillId="2" borderId="0" xfId="0" applyFont="1" applyFill="1" applyAlignment="1">
      <alignment vertical="top" wrapText="1"/>
    </xf>
    <xf numFmtId="0" fontId="7" fillId="2" borderId="0" xfId="0" applyFont="1" applyFill="1" applyAlignment="1">
      <alignment horizontal="centerContinuous"/>
    </xf>
    <xf numFmtId="0" fontId="10" fillId="2" borderId="0" xfId="0" applyFont="1" applyFill="1" applyAlignment="1">
      <alignment horizontal="centerContinuous" vertical="top" wrapText="1"/>
    </xf>
    <xf numFmtId="0" fontId="10" fillId="2" borderId="0" xfId="0" applyFont="1" applyFill="1" applyAlignment="1">
      <alignment horizontal="center" vertical="top" wrapText="1"/>
    </xf>
    <xf numFmtId="0" fontId="0" fillId="2" borderId="0" xfId="0" applyFill="1" applyAlignment="1">
      <alignment vertical="center" wrapText="1"/>
    </xf>
    <xf numFmtId="0" fontId="8" fillId="2" borderId="0" xfId="0" applyFont="1" applyFill="1" applyAlignment="1">
      <alignment vertical="center" wrapText="1"/>
    </xf>
    <xf numFmtId="0" fontId="2" fillId="2" borderId="0" xfId="0" applyFont="1" applyFill="1"/>
    <xf numFmtId="166" fontId="0" fillId="2" borderId="0" xfId="0" applyNumberFormat="1" applyFill="1"/>
    <xf numFmtId="0" fontId="4" fillId="2" borderId="6" xfId="0" applyFont="1" applyFill="1" applyBorder="1" applyProtection="1">
      <protection locked="0" hidden="1"/>
    </xf>
    <xf numFmtId="0" fontId="4" fillId="2" borderId="0" xfId="0" applyFont="1" applyFill="1" applyProtection="1">
      <protection locked="0" hidden="1"/>
    </xf>
    <xf numFmtId="0" fontId="5" fillId="2" borderId="0" xfId="0" applyFont="1" applyFill="1" applyProtection="1">
      <protection locked="0" hidden="1"/>
    </xf>
    <xf numFmtId="0" fontId="0" fillId="2" borderId="13" xfId="0" applyFill="1" applyBorder="1"/>
    <xf numFmtId="0" fontId="14" fillId="4" borderId="0" xfId="0" applyFont="1" applyFill="1" applyAlignment="1">
      <alignment horizontal="center" vertical="center" wrapText="1"/>
    </xf>
    <xf numFmtId="0" fontId="0" fillId="0" borderId="0" xfId="0" applyAlignment="1">
      <alignment horizontal="center"/>
    </xf>
    <xf numFmtId="0" fontId="14" fillId="4" borderId="67" xfId="0" applyFont="1" applyFill="1" applyBorder="1" applyAlignment="1">
      <alignment horizontal="center" vertical="center" wrapText="1"/>
    </xf>
    <xf numFmtId="0" fontId="0" fillId="0" borderId="0" xfId="0" applyAlignment="1">
      <alignment horizontal="left"/>
    </xf>
    <xf numFmtId="0" fontId="14" fillId="5" borderId="0" xfId="0" applyFont="1" applyFill="1" applyAlignment="1">
      <alignment horizontal="center" vertical="center" wrapText="1"/>
    </xf>
    <xf numFmtId="0" fontId="15" fillId="0" borderId="0" xfId="0" applyFont="1"/>
    <xf numFmtId="0" fontId="0" fillId="6" borderId="0" xfId="0" applyFill="1" applyAlignment="1">
      <alignment horizontal="center"/>
    </xf>
    <xf numFmtId="0" fontId="0" fillId="6" borderId="0" xfId="0" applyFill="1"/>
    <xf numFmtId="0" fontId="0" fillId="7" borderId="0" xfId="0" applyFill="1" applyAlignment="1">
      <alignment horizontal="center"/>
    </xf>
    <xf numFmtId="0" fontId="0" fillId="7" borderId="0" xfId="0" applyFill="1"/>
    <xf numFmtId="0" fontId="0" fillId="8" borderId="0" xfId="0" applyFill="1" applyAlignment="1">
      <alignment horizontal="center"/>
    </xf>
    <xf numFmtId="0" fontId="0" fillId="8" borderId="0" xfId="0" applyFill="1"/>
    <xf numFmtId="0" fontId="0" fillId="9" borderId="0" xfId="0" applyFill="1" applyAlignment="1">
      <alignment horizontal="center"/>
    </xf>
    <xf numFmtId="0" fontId="0" fillId="9" borderId="0" xfId="0" applyFill="1"/>
    <xf numFmtId="0" fontId="0" fillId="10" borderId="0" xfId="0" applyFill="1" applyAlignment="1">
      <alignment horizontal="center"/>
    </xf>
    <xf numFmtId="0" fontId="0" fillId="10" borderId="0" xfId="0" applyFill="1"/>
    <xf numFmtId="0" fontId="0" fillId="11" borderId="0" xfId="0" applyFill="1" applyAlignment="1">
      <alignment horizontal="center"/>
    </xf>
    <xf numFmtId="0" fontId="0" fillId="11" borderId="0" xfId="0" applyFill="1"/>
    <xf numFmtId="0" fontId="0" fillId="12" borderId="0" xfId="0" applyFill="1" applyAlignment="1">
      <alignment horizontal="center"/>
    </xf>
    <xf numFmtId="0" fontId="0" fillId="12" borderId="0" xfId="0" applyFill="1"/>
    <xf numFmtId="0" fontId="0" fillId="13" borderId="0" xfId="0" applyFill="1" applyAlignment="1">
      <alignment horizontal="center"/>
    </xf>
    <xf numFmtId="0" fontId="0" fillId="13" borderId="0" xfId="0" applyFill="1"/>
    <xf numFmtId="0" fontId="0" fillId="14" borderId="0" xfId="0" applyFill="1" applyAlignment="1">
      <alignment horizontal="center"/>
    </xf>
    <xf numFmtId="0" fontId="0" fillId="14" borderId="0" xfId="0" applyFill="1"/>
    <xf numFmtId="0" fontId="0" fillId="15" borderId="0" xfId="0" applyFill="1" applyAlignment="1">
      <alignment horizontal="center"/>
    </xf>
    <xf numFmtId="0" fontId="0" fillId="15" borderId="0" xfId="0" applyFill="1"/>
    <xf numFmtId="0" fontId="0" fillId="16" borderId="0" xfId="0" applyFill="1" applyAlignment="1">
      <alignment horizontal="center"/>
    </xf>
    <xf numFmtId="0" fontId="0" fillId="16" borderId="0" xfId="0" applyFill="1"/>
    <xf numFmtId="0" fontId="0" fillId="17" borderId="0" xfId="0" applyFill="1" applyAlignment="1">
      <alignment horizontal="center"/>
    </xf>
    <xf numFmtId="0" fontId="0" fillId="17" borderId="0" xfId="0" applyFill="1"/>
    <xf numFmtId="0" fontId="0" fillId="18" borderId="0" xfId="0" applyFill="1" applyAlignment="1">
      <alignment horizontal="center"/>
    </xf>
    <xf numFmtId="0" fontId="0" fillId="18" borderId="0" xfId="0" applyFill="1"/>
    <xf numFmtId="0" fontId="0" fillId="19" borderId="0" xfId="0" applyFill="1" applyAlignment="1">
      <alignment horizontal="center"/>
    </xf>
    <xf numFmtId="0" fontId="0" fillId="19" borderId="0" xfId="0" applyFill="1"/>
    <xf numFmtId="0" fontId="0" fillId="20" borderId="0" xfId="0" applyFill="1" applyAlignment="1">
      <alignment horizontal="center"/>
    </xf>
    <xf numFmtId="0" fontId="0" fillId="20" borderId="0" xfId="0" applyFill="1"/>
    <xf numFmtId="0" fontId="0" fillId="21" borderId="0" xfId="0" applyFill="1" applyAlignment="1">
      <alignment horizontal="center"/>
    </xf>
    <xf numFmtId="0" fontId="0" fillId="21" borderId="0" xfId="0" applyFill="1"/>
    <xf numFmtId="0" fontId="0" fillId="22" borderId="0" xfId="0" applyFill="1" applyAlignment="1">
      <alignment horizontal="center"/>
    </xf>
    <xf numFmtId="0" fontId="0" fillId="22" borderId="0" xfId="0" applyFill="1"/>
    <xf numFmtId="0" fontId="0" fillId="23" borderId="0" xfId="0" applyFill="1" applyAlignment="1">
      <alignment horizontal="center"/>
    </xf>
    <xf numFmtId="0" fontId="0" fillId="23" borderId="0" xfId="0" applyFill="1"/>
    <xf numFmtId="0" fontId="0" fillId="24" borderId="0" xfId="0" applyFill="1" applyAlignment="1">
      <alignment horizontal="center"/>
    </xf>
    <xf numFmtId="0" fontId="0" fillId="24" borderId="0" xfId="0" applyFill="1"/>
    <xf numFmtId="0" fontId="0" fillId="25" borderId="0" xfId="0" applyFill="1" applyAlignment="1">
      <alignment horizontal="center"/>
    </xf>
    <xf numFmtId="0" fontId="0" fillId="25" borderId="0" xfId="0" applyFill="1"/>
    <xf numFmtId="0" fontId="0" fillId="26" borderId="0" xfId="0" applyFill="1" applyAlignment="1">
      <alignment horizontal="center"/>
    </xf>
    <xf numFmtId="0" fontId="0" fillId="26" borderId="0" xfId="0" applyFill="1"/>
    <xf numFmtId="0" fontId="0" fillId="3" borderId="0" xfId="0" applyFill="1" applyAlignment="1">
      <alignment horizontal="center"/>
    </xf>
    <xf numFmtId="0" fontId="0" fillId="3" borderId="0" xfId="0" applyFill="1"/>
    <xf numFmtId="0" fontId="0" fillId="27" borderId="0" xfId="0" applyFill="1" applyAlignment="1">
      <alignment horizontal="center"/>
    </xf>
    <xf numFmtId="0" fontId="0" fillId="27" borderId="0" xfId="0" applyFill="1"/>
    <xf numFmtId="0" fontId="0" fillId="28" borderId="0" xfId="0" applyFill="1" applyAlignment="1">
      <alignment horizontal="center"/>
    </xf>
    <xf numFmtId="0" fontId="0" fillId="28" borderId="0" xfId="0" applyFill="1"/>
    <xf numFmtId="0" fontId="0" fillId="29" borderId="0" xfId="0" applyFill="1" applyAlignment="1">
      <alignment horizontal="center"/>
    </xf>
    <xf numFmtId="0" fontId="0" fillId="29" borderId="0" xfId="0" applyFill="1"/>
    <xf numFmtId="0" fontId="0" fillId="30" borderId="0" xfId="0" applyFill="1"/>
    <xf numFmtId="0" fontId="0" fillId="31" borderId="0" xfId="0" applyFill="1" applyAlignment="1">
      <alignment horizontal="center"/>
    </xf>
    <xf numFmtId="0" fontId="0" fillId="31" borderId="0" xfId="0" applyFill="1"/>
    <xf numFmtId="0" fontId="0" fillId="32" borderId="0" xfId="0" applyFill="1" applyAlignment="1">
      <alignment horizontal="center"/>
    </xf>
    <xf numFmtId="0" fontId="0" fillId="32" borderId="0" xfId="0" applyFill="1"/>
    <xf numFmtId="0" fontId="0" fillId="30" borderId="0" xfId="0" applyFill="1" applyAlignment="1">
      <alignment horizontal="center"/>
    </xf>
    <xf numFmtId="0" fontId="0" fillId="33" borderId="0" xfId="0" applyFill="1" applyAlignment="1">
      <alignment horizontal="center"/>
    </xf>
    <xf numFmtId="0" fontId="0" fillId="33" borderId="0" xfId="0" applyFill="1"/>
    <xf numFmtId="0" fontId="0" fillId="34" borderId="0" xfId="0" applyFill="1" applyAlignment="1">
      <alignment horizontal="center"/>
    </xf>
    <xf numFmtId="0" fontId="0" fillId="34" borderId="0" xfId="0" applyFill="1"/>
    <xf numFmtId="0" fontId="14" fillId="4" borderId="68" xfId="0" applyFont="1" applyFill="1" applyBorder="1" applyAlignment="1">
      <alignment horizontal="center" vertical="center" wrapText="1"/>
    </xf>
    <xf numFmtId="0" fontId="14" fillId="5" borderId="68" xfId="0" applyFont="1" applyFill="1" applyBorder="1" applyAlignment="1">
      <alignment horizontal="center" vertical="center" wrapText="1"/>
    </xf>
    <xf numFmtId="0" fontId="16" fillId="2" borderId="0" xfId="0" applyFont="1" applyFill="1"/>
    <xf numFmtId="0" fontId="16" fillId="2" borderId="8" xfId="0" applyFont="1" applyFill="1" applyBorder="1"/>
    <xf numFmtId="0" fontId="16" fillId="2" borderId="16" xfId="0" applyFont="1" applyFill="1" applyBorder="1" applyProtection="1">
      <protection locked="0"/>
    </xf>
    <xf numFmtId="0" fontId="16" fillId="2" borderId="11" xfId="0" applyFont="1" applyFill="1" applyBorder="1"/>
    <xf numFmtId="0" fontId="16" fillId="2" borderId="12" xfId="0" applyFont="1" applyFill="1" applyBorder="1"/>
    <xf numFmtId="0" fontId="16" fillId="2" borderId="0" xfId="0" applyFont="1" applyFill="1" applyAlignment="1">
      <alignment horizontal="center" wrapText="1"/>
    </xf>
    <xf numFmtId="0" fontId="16" fillId="2" borderId="8" xfId="0" applyFont="1" applyFill="1" applyBorder="1" applyAlignment="1">
      <alignment horizontal="center" wrapText="1"/>
    </xf>
    <xf numFmtId="49" fontId="16" fillId="2" borderId="23" xfId="0" applyNumberFormat="1" applyFont="1" applyFill="1" applyBorder="1" applyProtection="1">
      <protection locked="0"/>
    </xf>
    <xf numFmtId="0" fontId="23" fillId="2" borderId="6" xfId="0" applyFont="1" applyFill="1" applyBorder="1" applyAlignment="1">
      <alignment horizontal="left" indent="1"/>
    </xf>
    <xf numFmtId="0" fontId="6" fillId="2" borderId="6" xfId="0" applyFont="1" applyFill="1" applyBorder="1" applyAlignment="1">
      <alignment horizontal="left" indent="1"/>
    </xf>
    <xf numFmtId="0" fontId="9" fillId="2" borderId="13" xfId="0" applyFont="1" applyFill="1" applyBorder="1"/>
    <xf numFmtId="0" fontId="23" fillId="2" borderId="0" xfId="0" applyFont="1" applyFill="1"/>
    <xf numFmtId="0" fontId="23" fillId="2" borderId="0" xfId="0" applyFont="1" applyFill="1" applyAlignment="1">
      <alignment horizontal="left" indent="1"/>
    </xf>
    <xf numFmtId="0" fontId="12" fillId="2" borderId="25" xfId="0" applyFont="1" applyFill="1" applyBorder="1" applyAlignment="1">
      <alignment horizontal="center" vertical="center" wrapText="1"/>
    </xf>
    <xf numFmtId="0" fontId="12" fillId="2" borderId="26" xfId="0" applyFont="1" applyFill="1" applyBorder="1" applyAlignment="1">
      <alignment horizontal="center" vertical="center" wrapText="1"/>
    </xf>
    <xf numFmtId="0" fontId="12" fillId="2" borderId="27" xfId="0" applyFont="1" applyFill="1" applyBorder="1" applyAlignment="1">
      <alignment horizontal="center" vertical="center" wrapText="1"/>
    </xf>
    <xf numFmtId="0" fontId="12" fillId="2" borderId="66" xfId="0" applyFont="1" applyFill="1" applyBorder="1" applyAlignment="1">
      <alignment horizontal="center" vertical="center" wrapText="1"/>
    </xf>
    <xf numFmtId="0" fontId="12" fillId="2" borderId="29" xfId="0" applyFont="1" applyFill="1" applyBorder="1" applyAlignment="1">
      <alignment horizontal="center" vertical="center" wrapText="1"/>
    </xf>
    <xf numFmtId="0" fontId="12" fillId="2" borderId="7" xfId="0" applyFont="1" applyFill="1" applyBorder="1" applyAlignment="1">
      <alignment horizontal="center" vertical="center" wrapText="1"/>
    </xf>
    <xf numFmtId="164" fontId="22" fillId="2" borderId="40" xfId="0" applyNumberFormat="1" applyFont="1" applyFill="1" applyBorder="1" applyAlignment="1">
      <alignment horizontal="center" vertical="center" wrapText="1"/>
    </xf>
    <xf numFmtId="164" fontId="22" fillId="2" borderId="44" xfId="0" applyNumberFormat="1" applyFont="1" applyFill="1" applyBorder="1" applyAlignment="1" applyProtection="1">
      <alignment horizontal="center" vertical="center" wrapText="1"/>
      <protection locked="0"/>
    </xf>
    <xf numFmtId="164" fontId="22" fillId="2" borderId="48" xfId="0" applyNumberFormat="1" applyFont="1" applyFill="1" applyBorder="1" applyAlignment="1">
      <alignment horizontal="center" vertical="center" wrapText="1" shrinkToFit="1"/>
    </xf>
    <xf numFmtId="0" fontId="20" fillId="2" borderId="0" xfId="0" applyFont="1" applyFill="1" applyAlignment="1">
      <alignment horizontal="center" vertical="top" wrapText="1"/>
    </xf>
    <xf numFmtId="0" fontId="20" fillId="2" borderId="0" xfId="0" applyFont="1" applyFill="1" applyAlignment="1">
      <alignment horizontal="centerContinuous" vertical="top" wrapText="1"/>
    </xf>
    <xf numFmtId="0" fontId="21" fillId="2" borderId="55" xfId="0" applyFont="1" applyFill="1" applyBorder="1" applyAlignment="1">
      <alignment horizontal="center" vertical="center" wrapText="1"/>
    </xf>
    <xf numFmtId="165" fontId="22" fillId="2" borderId="58" xfId="0" applyNumberFormat="1" applyFont="1" applyFill="1" applyBorder="1" applyAlignment="1">
      <alignment horizontal="center" vertical="center" wrapText="1"/>
    </xf>
    <xf numFmtId="165" fontId="22" fillId="2" borderId="55" xfId="0" applyNumberFormat="1" applyFont="1" applyFill="1" applyBorder="1" applyAlignment="1">
      <alignment horizontal="center" vertical="center" wrapText="1"/>
    </xf>
    <xf numFmtId="167" fontId="22" fillId="2" borderId="65" xfId="0" applyNumberFormat="1" applyFont="1" applyFill="1" applyBorder="1" applyAlignment="1">
      <alignment vertical="center" wrapText="1"/>
    </xf>
    <xf numFmtId="0" fontId="18" fillId="2" borderId="30" xfId="0" applyFont="1" applyFill="1" applyBorder="1" applyAlignment="1" applyProtection="1">
      <alignment vertical="center" wrapText="1"/>
      <protection locked="0"/>
    </xf>
    <xf numFmtId="14" fontId="18" fillId="2" borderId="23" xfId="0" applyNumberFormat="1" applyFont="1" applyFill="1" applyBorder="1" applyAlignment="1" applyProtection="1">
      <alignment vertical="center" wrapText="1"/>
      <protection locked="0"/>
    </xf>
    <xf numFmtId="1" fontId="18" fillId="2" borderId="23" xfId="0" applyNumberFormat="1" applyFont="1" applyFill="1" applyBorder="1" applyAlignment="1" applyProtection="1">
      <alignment vertical="center" wrapText="1"/>
      <protection locked="0"/>
    </xf>
    <xf numFmtId="4" fontId="18" fillId="2" borderId="23" xfId="0" applyNumberFormat="1" applyFont="1" applyFill="1" applyBorder="1" applyAlignment="1" applyProtection="1">
      <alignment horizontal="center" vertical="center" wrapText="1" shrinkToFit="1"/>
      <protection locked="0"/>
    </xf>
    <xf numFmtId="1" fontId="3" fillId="2" borderId="16" xfId="0" applyNumberFormat="1" applyFont="1" applyFill="1" applyBorder="1" applyAlignment="1" applyProtection="1">
      <alignment vertical="center" wrapText="1"/>
      <protection locked="0"/>
    </xf>
    <xf numFmtId="0" fontId="18" fillId="2" borderId="33" xfId="0" applyFont="1" applyFill="1" applyBorder="1" applyAlignment="1" applyProtection="1">
      <alignment vertical="center" wrapText="1"/>
      <protection locked="0"/>
    </xf>
    <xf numFmtId="14" fontId="18" fillId="2" borderId="34" xfId="0" applyNumberFormat="1" applyFont="1" applyFill="1" applyBorder="1" applyAlignment="1" applyProtection="1">
      <alignment vertical="center" wrapText="1"/>
      <protection locked="0"/>
    </xf>
    <xf numFmtId="1" fontId="3" fillId="2" borderId="35" xfId="0" applyNumberFormat="1" applyFont="1" applyFill="1" applyBorder="1" applyAlignment="1" applyProtection="1">
      <alignment vertical="center" wrapText="1"/>
      <protection locked="0"/>
    </xf>
    <xf numFmtId="0" fontId="15" fillId="0" borderId="0" xfId="0" applyFont="1" applyAlignment="1">
      <alignment horizontal="center"/>
    </xf>
    <xf numFmtId="0" fontId="0" fillId="0" borderId="6" xfId="0" applyBorder="1"/>
    <xf numFmtId="0" fontId="3" fillId="0" borderId="14" xfId="0" applyFont="1" applyBorder="1" applyAlignment="1">
      <alignment horizontal="center"/>
    </xf>
    <xf numFmtId="0" fontId="17" fillId="0" borderId="11" xfId="0" applyFont="1" applyBorder="1" applyAlignment="1">
      <alignment horizontal="center" vertical="center" wrapText="1"/>
    </xf>
    <xf numFmtId="0" fontId="17" fillId="0" borderId="12" xfId="0" applyFont="1" applyBorder="1" applyAlignment="1">
      <alignment horizontal="center" vertical="center" wrapText="1"/>
    </xf>
    <xf numFmtId="0" fontId="0" fillId="0" borderId="70" xfId="0" applyBorder="1" applyAlignment="1">
      <alignment wrapText="1"/>
    </xf>
    <xf numFmtId="0" fontId="3" fillId="2" borderId="59" xfId="0" applyFont="1" applyFill="1" applyBorder="1" applyAlignment="1">
      <alignment vertical="center" wrapText="1"/>
    </xf>
    <xf numFmtId="0" fontId="3" fillId="2" borderId="60" xfId="0" applyFont="1" applyFill="1" applyBorder="1" applyAlignment="1">
      <alignment vertical="center"/>
    </xf>
    <xf numFmtId="166" fontId="3" fillId="2" borderId="60" xfId="0" applyNumberFormat="1" applyFont="1" applyFill="1" applyBorder="1" applyAlignment="1">
      <alignment vertical="center" wrapText="1"/>
    </xf>
    <xf numFmtId="0" fontId="19" fillId="3" borderId="13" xfId="0" applyFont="1" applyFill="1" applyBorder="1" applyAlignment="1">
      <alignment horizontal="center" vertical="center"/>
    </xf>
    <xf numFmtId="0" fontId="19" fillId="3" borderId="14" xfId="0" applyFont="1" applyFill="1" applyBorder="1" applyAlignment="1">
      <alignment horizontal="center" vertical="center"/>
    </xf>
    <xf numFmtId="0" fontId="19" fillId="3" borderId="15" xfId="0" applyFont="1" applyFill="1" applyBorder="1" applyAlignment="1">
      <alignment horizontal="center" vertical="center"/>
    </xf>
    <xf numFmtId="0" fontId="19" fillId="3" borderId="18" xfId="0" applyFont="1" applyFill="1" applyBorder="1" applyAlignment="1">
      <alignment horizontal="center" vertical="center"/>
    </xf>
    <xf numFmtId="49" fontId="16" fillId="2" borderId="16" xfId="0" applyNumberFormat="1" applyFont="1" applyFill="1" applyBorder="1" applyAlignment="1" applyProtection="1">
      <alignment horizontal="center"/>
      <protection locked="0"/>
    </xf>
    <xf numFmtId="49" fontId="16" fillId="2" borderId="22" xfId="0" applyNumberFormat="1" applyFont="1" applyFill="1" applyBorder="1" applyAlignment="1" applyProtection="1">
      <alignment horizontal="center"/>
      <protection locked="0"/>
    </xf>
    <xf numFmtId="0" fontId="18" fillId="2" borderId="2" xfId="0" applyFont="1" applyFill="1" applyBorder="1" applyAlignment="1">
      <alignment horizontal="center" vertical="center" wrapText="1"/>
    </xf>
    <xf numFmtId="0" fontId="18" fillId="2" borderId="7" xfId="0" applyFont="1" applyFill="1" applyBorder="1" applyAlignment="1">
      <alignment horizontal="center" vertical="center" wrapText="1"/>
    </xf>
    <xf numFmtId="0" fontId="18" fillId="2" borderId="3" xfId="0" applyFont="1" applyFill="1" applyBorder="1" applyAlignment="1">
      <alignment horizontal="center"/>
    </xf>
    <xf numFmtId="0" fontId="17" fillId="3" borderId="4" xfId="0" applyFont="1" applyFill="1" applyBorder="1" applyAlignment="1">
      <alignment horizontal="center" vertical="center" wrapText="1"/>
    </xf>
    <xf numFmtId="0" fontId="17" fillId="3" borderId="5" xfId="0" applyFont="1" applyFill="1" applyBorder="1" applyAlignment="1">
      <alignment horizontal="center" vertical="center" wrapText="1"/>
    </xf>
    <xf numFmtId="0" fontId="17" fillId="3" borderId="0" xfId="0" applyFont="1" applyFill="1" applyAlignment="1">
      <alignment horizontal="center" vertical="center" wrapText="1"/>
    </xf>
    <xf numFmtId="0" fontId="17" fillId="3" borderId="8" xfId="0" applyFont="1" applyFill="1" applyBorder="1" applyAlignment="1">
      <alignment horizontal="center" vertical="center" wrapText="1"/>
    </xf>
    <xf numFmtId="0" fontId="17" fillId="3" borderId="11" xfId="0" applyFont="1" applyFill="1" applyBorder="1" applyAlignment="1">
      <alignment horizontal="center" vertical="center" wrapText="1"/>
    </xf>
    <xf numFmtId="0" fontId="17" fillId="3" borderId="12" xfId="0" applyFont="1" applyFill="1" applyBorder="1" applyAlignment="1">
      <alignment horizontal="center" vertical="center" wrapText="1"/>
    </xf>
    <xf numFmtId="0" fontId="18" fillId="2" borderId="9" xfId="0" applyFont="1" applyFill="1" applyBorder="1" applyAlignment="1">
      <alignment horizontal="center" vertical="center" wrapText="1"/>
    </xf>
    <xf numFmtId="0" fontId="18" fillId="2" borderId="10" xfId="0" applyFont="1" applyFill="1" applyBorder="1" applyAlignment="1">
      <alignment horizontal="center" vertical="center" wrapText="1"/>
    </xf>
    <xf numFmtId="0" fontId="18" fillId="2" borderId="6" xfId="0" applyFont="1" applyFill="1" applyBorder="1" applyAlignment="1">
      <alignment horizontal="center"/>
    </xf>
    <xf numFmtId="0" fontId="18" fillId="2" borderId="8" xfId="0" applyFont="1" applyFill="1" applyBorder="1" applyAlignment="1">
      <alignment horizontal="center"/>
    </xf>
    <xf numFmtId="0" fontId="3" fillId="2" borderId="3" xfId="0" applyFont="1" applyFill="1" applyBorder="1" applyAlignment="1">
      <alignment horizontal="center"/>
    </xf>
    <xf numFmtId="0" fontId="16" fillId="2" borderId="19" xfId="0" applyFont="1" applyFill="1" applyBorder="1" applyAlignment="1" applyProtection="1">
      <alignment horizontal="center"/>
      <protection locked="0"/>
    </xf>
    <xf numFmtId="0" fontId="16" fillId="2" borderId="20" xfId="0" applyFont="1" applyFill="1" applyBorder="1" applyAlignment="1" applyProtection="1">
      <alignment horizontal="center"/>
      <protection locked="0"/>
    </xf>
    <xf numFmtId="0" fontId="16" fillId="2" borderId="21" xfId="0" applyFont="1" applyFill="1" applyBorder="1" applyAlignment="1" applyProtection="1">
      <alignment horizontal="center"/>
      <protection locked="0"/>
    </xf>
    <xf numFmtId="0" fontId="16" fillId="2" borderId="16" xfId="0" applyFont="1" applyFill="1" applyBorder="1" applyAlignment="1" applyProtection="1">
      <alignment horizontal="center"/>
      <protection locked="0"/>
    </xf>
    <xf numFmtId="0" fontId="16" fillId="2" borderId="22" xfId="0" applyFont="1" applyFill="1" applyBorder="1" applyAlignment="1" applyProtection="1">
      <alignment horizontal="center"/>
      <protection locked="0"/>
    </xf>
    <xf numFmtId="0" fontId="23" fillId="2" borderId="0" xfId="0" applyFont="1" applyFill="1" applyAlignment="1">
      <alignment horizontal="left"/>
    </xf>
    <xf numFmtId="0" fontId="23" fillId="2" borderId="69" xfId="0" applyFont="1" applyFill="1" applyBorder="1" applyAlignment="1">
      <alignment horizontal="left"/>
    </xf>
    <xf numFmtId="0" fontId="12" fillId="2" borderId="27" xfId="0" applyFont="1" applyFill="1" applyBorder="1" applyAlignment="1">
      <alignment horizontal="center" vertical="center" wrapText="1"/>
    </xf>
    <xf numFmtId="0" fontId="12" fillId="2" borderId="28" xfId="0" applyFont="1" applyFill="1" applyBorder="1" applyAlignment="1">
      <alignment horizontal="center" vertical="center" wrapText="1"/>
    </xf>
    <xf numFmtId="0" fontId="12" fillId="2" borderId="26" xfId="0" applyFont="1" applyFill="1" applyBorder="1" applyAlignment="1">
      <alignment horizontal="center" vertical="center" wrapText="1"/>
    </xf>
    <xf numFmtId="0" fontId="12" fillId="2" borderId="29" xfId="0" applyFont="1" applyFill="1" applyBorder="1" applyAlignment="1">
      <alignment horizontal="center" vertical="center" wrapText="1"/>
    </xf>
    <xf numFmtId="0" fontId="3" fillId="2" borderId="16" xfId="0" applyFont="1" applyFill="1" applyBorder="1" applyAlignment="1" applyProtection="1">
      <alignment horizontal="center" vertical="center" wrapText="1"/>
      <protection locked="0"/>
    </xf>
    <xf numFmtId="0" fontId="3" fillId="2" borderId="32" xfId="0" applyFont="1" applyFill="1" applyBorder="1" applyAlignment="1" applyProtection="1">
      <alignment horizontal="center" vertical="center" wrapText="1"/>
      <protection locked="0"/>
    </xf>
    <xf numFmtId="14" fontId="16" fillId="2" borderId="16" xfId="0" applyNumberFormat="1" applyFont="1" applyFill="1" applyBorder="1" applyAlignment="1" applyProtection="1">
      <alignment horizontal="center"/>
      <protection locked="0"/>
    </xf>
    <xf numFmtId="0" fontId="8" fillId="2" borderId="18" xfId="0" applyFont="1" applyFill="1" applyBorder="1" applyAlignment="1">
      <alignment horizontal="center"/>
    </xf>
    <xf numFmtId="0" fontId="8" fillId="2" borderId="14" xfId="0" applyFont="1" applyFill="1" applyBorder="1" applyAlignment="1">
      <alignment horizontal="center"/>
    </xf>
    <xf numFmtId="0" fontId="8" fillId="2" borderId="15" xfId="0" applyFont="1" applyFill="1" applyBorder="1" applyAlignment="1">
      <alignment horizontal="center"/>
    </xf>
    <xf numFmtId="49" fontId="3" fillId="2" borderId="16" xfId="0" applyNumberFormat="1" applyFont="1" applyFill="1" applyBorder="1" applyAlignment="1" applyProtection="1">
      <alignment horizontal="center" vertical="center" wrapText="1"/>
      <protection locked="0"/>
    </xf>
    <xf numFmtId="49" fontId="3" fillId="2" borderId="31" xfId="0" applyNumberFormat="1" applyFont="1" applyFill="1" applyBorder="1" applyAlignment="1" applyProtection="1">
      <alignment horizontal="center" vertical="center" wrapText="1"/>
      <protection locked="0"/>
    </xf>
    <xf numFmtId="49" fontId="3" fillId="2" borderId="22" xfId="0" applyNumberFormat="1" applyFont="1" applyFill="1" applyBorder="1" applyAlignment="1" applyProtection="1">
      <alignment horizontal="center" vertical="center" wrapText="1"/>
      <protection locked="0"/>
    </xf>
    <xf numFmtId="0" fontId="3" fillId="2" borderId="31" xfId="0" applyFont="1" applyFill="1" applyBorder="1" applyAlignment="1" applyProtection="1">
      <alignment horizontal="center" vertical="center" wrapText="1"/>
      <protection locked="0"/>
    </xf>
    <xf numFmtId="0" fontId="3" fillId="2" borderId="22" xfId="0" applyFont="1" applyFill="1" applyBorder="1" applyAlignment="1" applyProtection="1">
      <alignment horizontal="center" vertical="center" wrapText="1"/>
      <protection locked="0"/>
    </xf>
    <xf numFmtId="0" fontId="3" fillId="2" borderId="35" xfId="0" applyFont="1" applyFill="1" applyBorder="1" applyAlignment="1" applyProtection="1">
      <alignment horizontal="center" vertical="center" wrapText="1"/>
      <protection locked="0"/>
    </xf>
    <xf numFmtId="0" fontId="3" fillId="2" borderId="36" xfId="0" applyFont="1" applyFill="1" applyBorder="1" applyAlignment="1" applyProtection="1">
      <alignment horizontal="center" vertical="center" wrapText="1"/>
      <protection locked="0"/>
    </xf>
    <xf numFmtId="0" fontId="7" fillId="2" borderId="0" xfId="0" applyFont="1" applyFill="1" applyAlignment="1">
      <alignment horizontal="center" vertical="center" wrapText="1"/>
    </xf>
    <xf numFmtId="0" fontId="21" fillId="2" borderId="37" xfId="0" applyFont="1" applyFill="1" applyBorder="1" applyAlignment="1">
      <alignment horizontal="center" vertical="center" wrapText="1"/>
    </xf>
    <xf numFmtId="0" fontId="21" fillId="2" borderId="38" xfId="0" applyFont="1" applyFill="1" applyBorder="1" applyAlignment="1">
      <alignment horizontal="center" vertical="center" wrapText="1"/>
    </xf>
    <xf numFmtId="0" fontId="21" fillId="2" borderId="39" xfId="0" applyFont="1" applyFill="1" applyBorder="1" applyAlignment="1">
      <alignment horizontal="center" vertical="center" wrapText="1"/>
    </xf>
    <xf numFmtId="0" fontId="21" fillId="2" borderId="41" xfId="0" applyFont="1" applyFill="1" applyBorder="1" applyAlignment="1">
      <alignment horizontal="center" vertical="center" wrapText="1"/>
    </xf>
    <xf numFmtId="0" fontId="21" fillId="2" borderId="42" xfId="0" applyFont="1" applyFill="1" applyBorder="1" applyAlignment="1">
      <alignment horizontal="center" vertical="center" wrapText="1"/>
    </xf>
    <xf numFmtId="0" fontId="21" fillId="2" borderId="43" xfId="0" applyFont="1" applyFill="1" applyBorder="1" applyAlignment="1">
      <alignment horizontal="center" vertical="center" wrapText="1"/>
    </xf>
    <xf numFmtId="0" fontId="24" fillId="2" borderId="45" xfId="0" applyFont="1" applyFill="1" applyBorder="1" applyAlignment="1">
      <alignment horizontal="center" vertical="center" wrapText="1"/>
    </xf>
    <xf numFmtId="0" fontId="24" fillId="2" borderId="46" xfId="0" applyFont="1" applyFill="1" applyBorder="1" applyAlignment="1">
      <alignment horizontal="center" vertical="center" wrapText="1"/>
    </xf>
    <xf numFmtId="0" fontId="24" fillId="2" borderId="47" xfId="0" applyFont="1" applyFill="1" applyBorder="1" applyAlignment="1">
      <alignment horizontal="center" vertical="center" wrapText="1"/>
    </xf>
    <xf numFmtId="0" fontId="20" fillId="2" borderId="0" xfId="0" applyFont="1" applyFill="1" applyAlignment="1">
      <alignment horizontal="center" vertical="top" wrapText="1"/>
    </xf>
    <xf numFmtId="0" fontId="2" fillId="3" borderId="15" xfId="0" applyFont="1" applyFill="1" applyBorder="1" applyAlignment="1">
      <alignment horizontal="center" vertical="center"/>
    </xf>
    <xf numFmtId="0" fontId="2" fillId="3" borderId="3" xfId="0" applyFont="1" applyFill="1" applyBorder="1" applyAlignment="1">
      <alignment horizontal="center" vertical="center"/>
    </xf>
    <xf numFmtId="0" fontId="2" fillId="3" borderId="18" xfId="0" applyFont="1" applyFill="1" applyBorder="1" applyAlignment="1">
      <alignment horizontal="center" vertical="center"/>
    </xf>
    <xf numFmtId="0" fontId="17" fillId="3" borderId="15" xfId="0" applyFont="1" applyFill="1" applyBorder="1" applyAlignment="1">
      <alignment horizontal="center" vertical="center" wrapText="1"/>
    </xf>
    <xf numFmtId="0" fontId="17" fillId="3" borderId="3" xfId="0" applyFont="1" applyFill="1" applyBorder="1" applyAlignment="1">
      <alignment horizontal="center" vertical="center" wrapText="1"/>
    </xf>
    <xf numFmtId="0" fontId="8" fillId="2" borderId="0" xfId="0" applyFont="1" applyFill="1" applyAlignment="1">
      <alignment horizontal="center" vertical="center" wrapText="1"/>
    </xf>
    <xf numFmtId="0" fontId="22" fillId="2" borderId="56" xfId="0" applyFont="1" applyFill="1" applyBorder="1" applyAlignment="1">
      <alignment horizontal="center" vertical="center" wrapText="1"/>
    </xf>
    <xf numFmtId="0" fontId="22" fillId="2" borderId="57" xfId="0" applyFont="1" applyFill="1" applyBorder="1" applyAlignment="1">
      <alignment horizontal="center" vertical="center" wrapText="1"/>
    </xf>
    <xf numFmtId="0" fontId="18" fillId="2" borderId="61" xfId="0" applyFont="1" applyFill="1" applyBorder="1" applyAlignment="1">
      <alignment horizontal="left" vertical="center"/>
    </xf>
    <xf numFmtId="0" fontId="18" fillId="2" borderId="62" xfId="0" applyFont="1" applyFill="1" applyBorder="1" applyAlignment="1">
      <alignment horizontal="left" vertical="center"/>
    </xf>
    <xf numFmtId="0" fontId="26" fillId="3" borderId="49" xfId="0" applyFont="1" applyFill="1" applyBorder="1" applyAlignment="1">
      <alignment horizontal="center" vertical="center" wrapText="1"/>
    </xf>
    <xf numFmtId="0" fontId="26" fillId="3" borderId="50" xfId="0" applyFont="1" applyFill="1" applyBorder="1" applyAlignment="1">
      <alignment horizontal="center" vertical="center" wrapText="1"/>
    </xf>
    <xf numFmtId="0" fontId="26" fillId="3" borderId="51" xfId="0" applyFont="1" applyFill="1" applyBorder="1" applyAlignment="1">
      <alignment horizontal="center" vertical="center" wrapText="1"/>
    </xf>
    <xf numFmtId="0" fontId="26" fillId="3" borderId="52" xfId="0" applyFont="1" applyFill="1" applyBorder="1" applyAlignment="1">
      <alignment horizontal="center" vertical="center" wrapText="1"/>
    </xf>
    <xf numFmtId="0" fontId="26" fillId="3" borderId="53" xfId="0" applyFont="1" applyFill="1" applyBorder="1" applyAlignment="1">
      <alignment horizontal="center" vertical="center" wrapText="1"/>
    </xf>
    <xf numFmtId="0" fontId="26" fillId="3" borderId="54" xfId="0" applyFont="1" applyFill="1" applyBorder="1" applyAlignment="1">
      <alignment horizontal="center" vertical="center" wrapText="1"/>
    </xf>
    <xf numFmtId="0" fontId="18" fillId="2" borderId="61" xfId="0" applyFont="1" applyFill="1" applyBorder="1" applyAlignment="1">
      <alignment horizontal="center" vertical="center"/>
    </xf>
    <xf numFmtId="0" fontId="18" fillId="2" borderId="62" xfId="0" applyFont="1" applyFill="1" applyBorder="1" applyAlignment="1">
      <alignment horizontal="center" vertical="center"/>
    </xf>
    <xf numFmtId="0" fontId="25" fillId="2" borderId="63" xfId="0" applyFont="1" applyFill="1" applyBorder="1" applyAlignment="1">
      <alignment horizontal="center" vertical="center" wrapText="1"/>
    </xf>
    <xf numFmtId="0" fontId="25" fillId="2" borderId="64" xfId="0" applyFont="1" applyFill="1" applyBorder="1" applyAlignment="1">
      <alignment horizontal="center" vertical="center" wrapText="1"/>
    </xf>
    <xf numFmtId="0" fontId="25" fillId="2" borderId="65" xfId="0" applyFont="1" applyFill="1" applyBorder="1" applyAlignment="1">
      <alignment horizontal="center" vertical="center" wrapText="1"/>
    </xf>
  </cellXfs>
  <cellStyles count="1">
    <cellStyle name="Normal" xfId="0" builtinId="0"/>
  </cellStyles>
  <dxfs count="2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outline val="0"/>
        <shadow val="0"/>
        <u val="none"/>
        <vertAlign val="baseline"/>
        <sz val="11"/>
        <color theme="4"/>
        <name val="Calibri"/>
        <family val="2"/>
        <scheme val="minor"/>
      </font>
      <numFmt numFmtId="0" formatCode="General"/>
    </dxf>
    <dxf>
      <font>
        <strike val="0"/>
        <outline val="0"/>
        <shadow val="0"/>
        <u val="none"/>
        <vertAlign val="baseline"/>
        <sz val="11"/>
        <color theme="4"/>
        <name val="Calibri"/>
        <family val="2"/>
        <scheme val="minor"/>
      </font>
      <numFmt numFmtId="0" formatCode="General"/>
    </dxf>
    <dxf>
      <alignment horizontal="center" vertical="bottom" textRotation="0" wrapText="0" indent="0" justifyLastLine="0" shrinkToFit="0" readingOrder="0"/>
    </dxf>
    <dxf>
      <numFmt numFmtId="0" formatCode="General"/>
    </dxf>
    <dxf>
      <numFmt numFmtId="0" formatCode="General"/>
      <alignment horizontal="center" vertical="bottom" textRotation="0" wrapText="0" indent="0" justifyLastLine="0" shrinkToFit="0" readingOrder="0"/>
    </dxf>
    <dxf>
      <border outline="0">
        <top style="medium">
          <color theme="1"/>
        </top>
      </border>
    </dxf>
    <dxf>
      <border outline="0">
        <bottom style="medium">
          <color theme="1"/>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center" vertical="center" textRotation="0" wrapText="1" indent="0" justifyLastLine="0" shrinkToFit="0" readingOrder="0"/>
    </dxf>
    <dxf>
      <font>
        <strike val="0"/>
        <outline val="0"/>
        <shadow val="0"/>
        <u val="none"/>
        <vertAlign val="baseline"/>
        <sz val="11"/>
        <color theme="4"/>
        <name val="Calibri"/>
        <family val="2"/>
        <scheme val="minor"/>
      </font>
      <numFmt numFmtId="0" formatCode="General"/>
      <alignment horizontal="center" vertical="bottom" textRotation="0" wrapText="0" indent="0" justifyLastLine="0" shrinkToFit="0" readingOrder="0"/>
    </dxf>
    <dxf>
      <font>
        <strike val="0"/>
        <outline val="0"/>
        <shadow val="0"/>
        <u val="none"/>
        <vertAlign val="baseline"/>
        <sz val="11"/>
        <color theme="4"/>
        <name val="Calibri"/>
        <family val="2"/>
        <scheme val="minor"/>
      </font>
      <numFmt numFmtId="0" formatCode="General"/>
    </dxf>
    <dxf>
      <font>
        <strike val="0"/>
        <outline val="0"/>
        <shadow val="0"/>
        <u val="none"/>
        <vertAlign val="baseline"/>
        <sz val="11"/>
        <color theme="4"/>
        <name val="Calibri"/>
        <family val="2"/>
        <scheme val="minor"/>
      </font>
      <numFmt numFmtId="0" formatCode="General"/>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dxf>
    <dxf>
      <numFmt numFmtId="0" formatCode="General"/>
      <alignment horizontal="center" vertical="bottom"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center" vertical="center" textRotation="0" wrapText="1" indent="0" justifyLastLine="0" shrinkToFit="0" readingOrder="0"/>
    </dxf>
    <dxf>
      <font>
        <strike val="0"/>
        <outline val="0"/>
        <shadow val="0"/>
        <u val="none"/>
        <vertAlign val="baseline"/>
        <sz val="11"/>
        <color theme="4"/>
        <name val="Calibri"/>
        <family val="2"/>
        <scheme val="minor"/>
      </font>
      <numFmt numFmtId="0" formatCode="General"/>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dxf>
    <dxf>
      <numFmt numFmtId="0" formatCode="General"/>
      <alignment horizontal="center" vertical="bottom"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center" vertical="center" textRotation="0" wrapText="1" indent="0" justifyLastLine="0" shrinkToFit="0" readingOrder="0"/>
    </dxf>
    <dxf>
      <numFmt numFmtId="0" formatCode="General"/>
    </dxf>
    <dxf>
      <numFmt numFmtId="0" formatCode="General"/>
      <alignment horizontal="center" vertical="bottom"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18" Type="http://schemas.openxmlformats.org/officeDocument/2006/relationships/customXml" Target="../customXml/item3.xml"/><Relationship Id="rId26" Type="http://schemas.openxmlformats.org/officeDocument/2006/relationships/customXml" Target="../customXml/item11.xml"/><Relationship Id="rId3" Type="http://schemas.openxmlformats.org/officeDocument/2006/relationships/worksheet" Target="worksheets/sheet3.xml"/><Relationship Id="rId21" Type="http://schemas.openxmlformats.org/officeDocument/2006/relationships/customXml" Target="../customXml/item6.xml"/><Relationship Id="rId34" Type="http://schemas.openxmlformats.org/officeDocument/2006/relationships/customXml" Target="../customXml/item19.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5" Type="http://schemas.openxmlformats.org/officeDocument/2006/relationships/customXml" Target="../customXml/item10.xml"/><Relationship Id="rId33" Type="http://schemas.openxmlformats.org/officeDocument/2006/relationships/customXml" Target="../customXml/item18.xml"/><Relationship Id="rId2" Type="http://schemas.openxmlformats.org/officeDocument/2006/relationships/worksheet" Target="worksheets/sheet2.xml"/><Relationship Id="rId16" Type="http://schemas.openxmlformats.org/officeDocument/2006/relationships/customXml" Target="../customXml/item1.xml"/><Relationship Id="rId20" Type="http://schemas.openxmlformats.org/officeDocument/2006/relationships/customXml" Target="../customXml/item5.xml"/><Relationship Id="rId29" Type="http://schemas.openxmlformats.org/officeDocument/2006/relationships/customXml" Target="../customXml/item1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24" Type="http://schemas.openxmlformats.org/officeDocument/2006/relationships/customXml" Target="../customXml/item9.xml"/><Relationship Id="rId32" Type="http://schemas.openxmlformats.org/officeDocument/2006/relationships/customXml" Target="../customXml/item17.xml"/><Relationship Id="rId5" Type="http://schemas.openxmlformats.org/officeDocument/2006/relationships/worksheet" Target="worksheets/sheet5.xml"/><Relationship Id="rId15" Type="http://schemas.openxmlformats.org/officeDocument/2006/relationships/calcChain" Target="calcChain.xml"/><Relationship Id="rId23" Type="http://schemas.openxmlformats.org/officeDocument/2006/relationships/customXml" Target="../customXml/item8.xml"/><Relationship Id="rId28" Type="http://schemas.openxmlformats.org/officeDocument/2006/relationships/customXml" Target="../customXml/item13.xml"/><Relationship Id="rId10" Type="http://schemas.openxmlformats.org/officeDocument/2006/relationships/worksheet" Target="worksheets/sheet10.xml"/><Relationship Id="rId19" Type="http://schemas.openxmlformats.org/officeDocument/2006/relationships/customXml" Target="../customXml/item4.xml"/><Relationship Id="rId31" Type="http://schemas.openxmlformats.org/officeDocument/2006/relationships/customXml" Target="../customXml/item1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 Id="rId22" Type="http://schemas.openxmlformats.org/officeDocument/2006/relationships/customXml" Target="../customXml/item7.xml"/><Relationship Id="rId27" Type="http://schemas.openxmlformats.org/officeDocument/2006/relationships/customXml" Target="../customXml/item12.xml"/><Relationship Id="rId30" Type="http://schemas.openxmlformats.org/officeDocument/2006/relationships/customXml" Target="../customXml/item15.xml"/><Relationship Id="rId35" Type="http://schemas.openxmlformats.org/officeDocument/2006/relationships/customXml" Target="../customXml/item20.xml"/><Relationship Id="rId8" Type="http://schemas.openxmlformats.org/officeDocument/2006/relationships/worksheet" Target="worksheets/sheet8.xml"/></Relationships>
</file>

<file path=xl/ctrlProps/ctrlProp1.xml><?xml version="1.0" encoding="utf-8"?>
<formControlPr xmlns="http://schemas.microsoft.com/office/spreadsheetml/2009/9/main" objectType="CheckBox" fmlaLink="$D$11" lockText="1" noThreeD="1"/>
</file>

<file path=xl/ctrlProps/ctrlProp2.xml><?xml version="1.0" encoding="utf-8"?>
<formControlPr xmlns="http://schemas.microsoft.com/office/spreadsheetml/2009/9/main" objectType="CheckBox" fmlaLink="$H$11" lockText="1" noThreeD="1"/>
</file>

<file path=xl/ctrlProps/ctrlProp3.xml><?xml version="1.0" encoding="utf-8"?>
<formControlPr xmlns="http://schemas.microsoft.com/office/spreadsheetml/2009/9/main" objectType="CheckBox" fmlaLink="$A$11" lockText="1" noThreeD="1"/>
</file>

<file path=xl/ctrlProps/ctrlProp4.xml><?xml version="1.0" encoding="utf-8"?>
<formControlPr xmlns="http://schemas.microsoft.com/office/spreadsheetml/2009/9/main" objectType="CheckBox" fmlaLink="$K$11"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xdr:col>
          <xdr:colOff>638175</xdr:colOff>
          <xdr:row>7</xdr:row>
          <xdr:rowOff>57150</xdr:rowOff>
        </xdr:from>
        <xdr:to>
          <xdr:col>2</xdr:col>
          <xdr:colOff>952500</xdr:colOff>
          <xdr:row>9</xdr:row>
          <xdr:rowOff>171450</xdr:rowOff>
        </xdr:to>
        <xdr:sp macro="" textlink="">
          <xdr:nvSpPr>
            <xdr:cNvPr id="2049" name="Check Box 1" hidden="1">
              <a:extLst>
                <a:ext uri="{63B3BB69-23CF-44E3-9099-C40C66FF867C}">
                  <a14:compatExt spid="_x0000_s2049"/>
                </a:ext>
                <a:ext uri="{FF2B5EF4-FFF2-40B4-BE49-F238E27FC236}">
                  <a16:creationId xmlns:a16="http://schemas.microsoft.com/office/drawing/2014/main" id="{00000000-0008-0000-0000-0000010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6</xdr:col>
          <xdr:colOff>66675</xdr:colOff>
          <xdr:row>8</xdr:row>
          <xdr:rowOff>0</xdr:rowOff>
        </xdr:from>
        <xdr:to>
          <xdr:col>6</xdr:col>
          <xdr:colOff>333375</xdr:colOff>
          <xdr:row>9</xdr:row>
          <xdr:rowOff>200025</xdr:rowOff>
        </xdr:to>
        <xdr:sp macro="" textlink="">
          <xdr:nvSpPr>
            <xdr:cNvPr id="2050" name="Check Box 2" hidden="1">
              <a:extLst>
                <a:ext uri="{63B3BB69-23CF-44E3-9099-C40C66FF867C}">
                  <a14:compatExt spid="_x0000_s2050"/>
                </a:ext>
                <a:ext uri="{FF2B5EF4-FFF2-40B4-BE49-F238E27FC236}">
                  <a16:creationId xmlns:a16="http://schemas.microsoft.com/office/drawing/2014/main" id="{00000000-0008-0000-0000-0000020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xdr:twoCellAnchor>
    <xdr:from>
      <xdr:col>2</xdr:col>
      <xdr:colOff>890042</xdr:colOff>
      <xdr:row>8</xdr:row>
      <xdr:rowOff>43737</xdr:rowOff>
    </xdr:from>
    <xdr:to>
      <xdr:col>5</xdr:col>
      <xdr:colOff>120597</xdr:colOff>
      <xdr:row>9</xdr:row>
      <xdr:rowOff>152667</xdr:rowOff>
    </xdr:to>
    <xdr:sp macro="" textlink="">
      <xdr:nvSpPr>
        <xdr:cNvPr id="4" name="3 CuadroTexto">
          <a:extLst>
            <a:ext uri="{FF2B5EF4-FFF2-40B4-BE49-F238E27FC236}">
              <a16:creationId xmlns:a16="http://schemas.microsoft.com/office/drawing/2014/main" id="{00000000-0008-0000-0000-000004000000}"/>
            </a:ext>
          </a:extLst>
        </xdr:cNvPr>
        <xdr:cNvSpPr txBox="1"/>
      </xdr:nvSpPr>
      <xdr:spPr>
        <a:xfrm>
          <a:off x="2886482" y="1613457"/>
          <a:ext cx="1851835" cy="29181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MX" sz="1200" b="1"/>
            <a:t>Reembolso de gastos</a:t>
          </a:r>
        </a:p>
      </xdr:txBody>
    </xdr:sp>
    <xdr:clientData/>
  </xdr:twoCellAnchor>
  <xdr:twoCellAnchor>
    <xdr:from>
      <xdr:col>6</xdr:col>
      <xdr:colOff>303402</xdr:colOff>
      <xdr:row>8</xdr:row>
      <xdr:rowOff>61187</xdr:rowOff>
    </xdr:from>
    <xdr:to>
      <xdr:col>7</xdr:col>
      <xdr:colOff>1143282</xdr:colOff>
      <xdr:row>9</xdr:row>
      <xdr:rowOff>174881</xdr:rowOff>
    </xdr:to>
    <xdr:sp macro="" textlink="">
      <xdr:nvSpPr>
        <xdr:cNvPr id="5" name="6 CuadroTexto">
          <a:extLst>
            <a:ext uri="{FF2B5EF4-FFF2-40B4-BE49-F238E27FC236}">
              <a16:creationId xmlns:a16="http://schemas.microsoft.com/office/drawing/2014/main" id="{00000000-0008-0000-0000-000005000000}"/>
            </a:ext>
          </a:extLst>
        </xdr:cNvPr>
        <xdr:cNvSpPr txBox="1"/>
      </xdr:nvSpPr>
      <xdr:spPr>
        <a:xfrm>
          <a:off x="5081142" y="1630907"/>
          <a:ext cx="1800000" cy="29657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MX" sz="1200" b="1"/>
            <a:t>Rendición</a:t>
          </a:r>
          <a:r>
            <a:rPr lang="es-MX" sz="1200" b="1" baseline="0"/>
            <a:t> de Fondos</a:t>
          </a:r>
          <a:endParaRPr lang="es-MX" sz="1200" b="1"/>
        </a:p>
      </xdr:txBody>
    </xdr:sp>
    <xdr:clientData/>
  </xdr:twoCellAnchor>
  <xdr:twoCellAnchor>
    <xdr:from>
      <xdr:col>0</xdr:col>
      <xdr:colOff>617047</xdr:colOff>
      <xdr:row>46</xdr:row>
      <xdr:rowOff>209609</xdr:rowOff>
    </xdr:from>
    <xdr:to>
      <xdr:col>4</xdr:col>
      <xdr:colOff>300990</xdr:colOff>
      <xdr:row>46</xdr:row>
      <xdr:rowOff>209609</xdr:rowOff>
    </xdr:to>
    <xdr:cxnSp macro="">
      <xdr:nvCxnSpPr>
        <xdr:cNvPr id="6" name="5 Conector recto">
          <a:extLst>
            <a:ext uri="{FF2B5EF4-FFF2-40B4-BE49-F238E27FC236}">
              <a16:creationId xmlns:a16="http://schemas.microsoft.com/office/drawing/2014/main" id="{00000000-0008-0000-0000-000006000000}"/>
            </a:ext>
          </a:extLst>
        </xdr:cNvPr>
        <xdr:cNvCxnSpPr/>
      </xdr:nvCxnSpPr>
      <xdr:spPr>
        <a:xfrm>
          <a:off x="617047" y="10626149"/>
          <a:ext cx="3021503"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mc:AlternateContent xmlns:mc="http://schemas.openxmlformats.org/markup-compatibility/2006">
    <mc:Choice xmlns:a14="http://schemas.microsoft.com/office/drawing/2010/main" Requires="a14">
      <xdr:twoCellAnchor editAs="oneCell">
        <xdr:from>
          <xdr:col>0</xdr:col>
          <xdr:colOff>561975</xdr:colOff>
          <xdr:row>7</xdr:row>
          <xdr:rowOff>47625</xdr:rowOff>
        </xdr:from>
        <xdr:to>
          <xdr:col>0</xdr:col>
          <xdr:colOff>866775</xdr:colOff>
          <xdr:row>9</xdr:row>
          <xdr:rowOff>171450</xdr:rowOff>
        </xdr:to>
        <xdr:sp macro="" textlink="">
          <xdr:nvSpPr>
            <xdr:cNvPr id="2051" name="Check Box 3" hidden="1">
              <a:extLst>
                <a:ext uri="{63B3BB69-23CF-44E3-9099-C40C66FF867C}">
                  <a14:compatExt spid="_x0000_s2051"/>
                </a:ext>
                <a:ext uri="{FF2B5EF4-FFF2-40B4-BE49-F238E27FC236}">
                  <a16:creationId xmlns:a16="http://schemas.microsoft.com/office/drawing/2014/main" id="{00000000-0008-0000-0000-0000030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xdr:twoCellAnchor>
    <xdr:from>
      <xdr:col>0</xdr:col>
      <xdr:colOff>801574</xdr:colOff>
      <xdr:row>8</xdr:row>
      <xdr:rowOff>45631</xdr:rowOff>
    </xdr:from>
    <xdr:to>
      <xdr:col>2</xdr:col>
      <xdr:colOff>533135</xdr:colOff>
      <xdr:row>9</xdr:row>
      <xdr:rowOff>151704</xdr:rowOff>
    </xdr:to>
    <xdr:sp macro="" textlink="">
      <xdr:nvSpPr>
        <xdr:cNvPr id="8" name="12 CuadroTexto">
          <a:extLst>
            <a:ext uri="{FF2B5EF4-FFF2-40B4-BE49-F238E27FC236}">
              <a16:creationId xmlns:a16="http://schemas.microsoft.com/office/drawing/2014/main" id="{00000000-0008-0000-0000-000008000000}"/>
            </a:ext>
          </a:extLst>
        </xdr:cNvPr>
        <xdr:cNvSpPr txBox="1"/>
      </xdr:nvSpPr>
      <xdr:spPr>
        <a:xfrm>
          <a:off x="801574" y="1615351"/>
          <a:ext cx="1728001" cy="2889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MX" sz="1200" b="1"/>
            <a:t>Caja</a:t>
          </a:r>
          <a:r>
            <a:rPr lang="es-MX" sz="1200" b="1" baseline="0"/>
            <a:t> Chica</a:t>
          </a:r>
          <a:endParaRPr lang="es-MX" sz="1200" b="1"/>
        </a:p>
      </xdr:txBody>
    </xdr:sp>
    <xdr:clientData/>
  </xdr:twoCellAnchor>
  <xdr:twoCellAnchor>
    <xdr:from>
      <xdr:col>7</xdr:col>
      <xdr:colOff>490364</xdr:colOff>
      <xdr:row>46</xdr:row>
      <xdr:rowOff>201324</xdr:rowOff>
    </xdr:from>
    <xdr:to>
      <xdr:col>8</xdr:col>
      <xdr:colOff>1324049</xdr:colOff>
      <xdr:row>46</xdr:row>
      <xdr:rowOff>201324</xdr:rowOff>
    </xdr:to>
    <xdr:cxnSp macro="">
      <xdr:nvCxnSpPr>
        <xdr:cNvPr id="10" name="15 Conector recto">
          <a:extLst>
            <a:ext uri="{FF2B5EF4-FFF2-40B4-BE49-F238E27FC236}">
              <a16:creationId xmlns:a16="http://schemas.microsoft.com/office/drawing/2014/main" id="{00000000-0008-0000-0000-00000A000000}"/>
            </a:ext>
          </a:extLst>
        </xdr:cNvPr>
        <xdr:cNvCxnSpPr/>
      </xdr:nvCxnSpPr>
      <xdr:spPr>
        <a:xfrm>
          <a:off x="6068204" y="10617864"/>
          <a:ext cx="2868225"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10</xdr:col>
      <xdr:colOff>1173307</xdr:colOff>
      <xdr:row>46</xdr:row>
      <xdr:rowOff>187036</xdr:rowOff>
    </xdr:from>
    <xdr:to>
      <xdr:col>12</xdr:col>
      <xdr:colOff>350558</xdr:colOff>
      <xdr:row>46</xdr:row>
      <xdr:rowOff>187036</xdr:rowOff>
    </xdr:to>
    <xdr:cxnSp macro="">
      <xdr:nvCxnSpPr>
        <xdr:cNvPr id="11" name="16 Conector recto">
          <a:extLst>
            <a:ext uri="{FF2B5EF4-FFF2-40B4-BE49-F238E27FC236}">
              <a16:creationId xmlns:a16="http://schemas.microsoft.com/office/drawing/2014/main" id="{00000000-0008-0000-0000-00000B000000}"/>
            </a:ext>
          </a:extLst>
        </xdr:cNvPr>
        <xdr:cNvCxnSpPr/>
      </xdr:nvCxnSpPr>
      <xdr:spPr>
        <a:xfrm>
          <a:off x="10934527" y="10603576"/>
          <a:ext cx="2850091" cy="0"/>
        </a:xfrm>
        <a:prstGeom prst="line">
          <a:avLst/>
        </a:prstGeom>
      </xdr:spPr>
      <xdr:style>
        <a:lnRef idx="1">
          <a:schemeClr val="dk1"/>
        </a:lnRef>
        <a:fillRef idx="0">
          <a:schemeClr val="dk1"/>
        </a:fillRef>
        <a:effectRef idx="0">
          <a:schemeClr val="dk1"/>
        </a:effectRef>
        <a:fontRef idx="minor">
          <a:schemeClr val="tx1"/>
        </a:fontRef>
      </xdr:style>
    </xdr:cxnSp>
    <xdr:clientData/>
  </xdr:twoCellAnchor>
  <mc:AlternateContent xmlns:mc="http://schemas.openxmlformats.org/markup-compatibility/2006">
    <mc:Choice xmlns:a14="http://schemas.microsoft.com/office/drawing/2010/main" Requires="a14">
      <xdr:twoCellAnchor editAs="oneCell">
        <xdr:from>
          <xdr:col>7</xdr:col>
          <xdr:colOff>1466850</xdr:colOff>
          <xdr:row>7</xdr:row>
          <xdr:rowOff>57150</xdr:rowOff>
        </xdr:from>
        <xdr:to>
          <xdr:col>7</xdr:col>
          <xdr:colOff>1733550</xdr:colOff>
          <xdr:row>9</xdr:row>
          <xdr:rowOff>180975</xdr:rowOff>
        </xdr:to>
        <xdr:sp macro="" textlink="">
          <xdr:nvSpPr>
            <xdr:cNvPr id="2053" name="Check Box 5" hidden="1">
              <a:extLst>
                <a:ext uri="{63B3BB69-23CF-44E3-9099-C40C66FF867C}">
                  <a14:compatExt spid="_x0000_s2053"/>
                </a:ext>
                <a:ext uri="{FF2B5EF4-FFF2-40B4-BE49-F238E27FC236}">
                  <a16:creationId xmlns:a16="http://schemas.microsoft.com/office/drawing/2014/main" id="{00000000-0008-0000-0000-0000050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xdr:twoCellAnchor>
    <xdr:from>
      <xdr:col>7</xdr:col>
      <xdr:colOff>1782050</xdr:colOff>
      <xdr:row>8</xdr:row>
      <xdr:rowOff>58908</xdr:rowOff>
    </xdr:from>
    <xdr:to>
      <xdr:col>8</xdr:col>
      <xdr:colOff>1311197</xdr:colOff>
      <xdr:row>9</xdr:row>
      <xdr:rowOff>159266</xdr:rowOff>
    </xdr:to>
    <xdr:sp macro="" textlink="">
      <xdr:nvSpPr>
        <xdr:cNvPr id="13" name="14 CuadroTexto">
          <a:extLst>
            <a:ext uri="{FF2B5EF4-FFF2-40B4-BE49-F238E27FC236}">
              <a16:creationId xmlns:a16="http://schemas.microsoft.com/office/drawing/2014/main" id="{00000000-0008-0000-0000-00000D000000}"/>
            </a:ext>
          </a:extLst>
        </xdr:cNvPr>
        <xdr:cNvSpPr txBox="1"/>
      </xdr:nvSpPr>
      <xdr:spPr>
        <a:xfrm>
          <a:off x="7519910" y="1628628"/>
          <a:ext cx="2523807" cy="283238"/>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MX" sz="1200" b="1"/>
            <a:t>Rendición</a:t>
          </a:r>
          <a:r>
            <a:rPr lang="es-MX" sz="1200" b="1" baseline="0"/>
            <a:t> de Gastos Operacionales</a:t>
          </a:r>
          <a:endParaRPr lang="es-MX" sz="1200" b="1"/>
        </a:p>
      </xdr:txBody>
    </xdr:sp>
    <xdr:clientData/>
  </xdr:twoCellAnchor>
  <xdr:twoCellAnchor editAs="oneCell">
    <xdr:from>
      <xdr:col>0</xdr:col>
      <xdr:colOff>198121</xdr:colOff>
      <xdr:row>0</xdr:row>
      <xdr:rowOff>85722</xdr:rowOff>
    </xdr:from>
    <xdr:to>
      <xdr:col>0</xdr:col>
      <xdr:colOff>998396</xdr:colOff>
      <xdr:row>4</xdr:row>
      <xdr:rowOff>115244</xdr:rowOff>
    </xdr:to>
    <xdr:pic>
      <xdr:nvPicPr>
        <xdr:cNvPr id="14" name="Imagen 1">
          <a:extLst>
            <a:ext uri="{FF2B5EF4-FFF2-40B4-BE49-F238E27FC236}">
              <a16:creationId xmlns:a16="http://schemas.microsoft.com/office/drawing/2014/main" id="{00000000-0008-0000-0000-00000E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98121" y="85722"/>
          <a:ext cx="798412" cy="60864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205740</xdr:colOff>
      <xdr:row>48</xdr:row>
      <xdr:rowOff>151447</xdr:rowOff>
    </xdr:from>
    <xdr:to>
      <xdr:col>0</xdr:col>
      <xdr:colOff>1013592</xdr:colOff>
      <xdr:row>52</xdr:row>
      <xdr:rowOff>29480</xdr:rowOff>
    </xdr:to>
    <xdr:pic>
      <xdr:nvPicPr>
        <xdr:cNvPr id="2" name="Imagen 1">
          <a:extLst>
            <a:ext uri="{FF2B5EF4-FFF2-40B4-BE49-F238E27FC236}">
              <a16:creationId xmlns:a16="http://schemas.microsoft.com/office/drawing/2014/main" id="{882FBE23-E81B-4C68-A150-AFFF04E57B47}"/>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5740" y="10087927"/>
          <a:ext cx="806983" cy="61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D480A92-4698-410A-BDA8-E7F6473E935C}" name="Empresas_" displayName="Empresas_" ref="A1:D51" totalsRowShown="0" headerRowDxfId="28">
  <autoFilter ref="A1:D51" xr:uid="{55F26851-990C-4694-BD40-62DCEA6F74B8}"/>
  <sortState xmlns:xlrd2="http://schemas.microsoft.com/office/spreadsheetml/2017/richdata2" ref="A2:D51">
    <sortCondition ref="B1:B51"/>
  </sortState>
  <tableColumns count="4">
    <tableColumn id="2" xr3:uid="{D4E64547-526A-431A-A805-8525910EA8DF}" name="Codigo Empresa" dataDxfId="27"/>
    <tableColumn id="1" xr3:uid="{932438E5-F313-4867-A2AA-3C823662C088}" name="Nombre Empresa"/>
    <tableColumn id="6" xr3:uid="{8C2163F5-B8F5-43D2-98E6-92B9A0B7A18B}" name="Rut" dataDxfId="26"/>
    <tableColumn id="3" xr3:uid="{0D577B5F-9295-48A5-AE32-ADAFE9191324}" name="Estado"/>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A298DB0-C431-4E84-8FD8-52D34BE2408E}" name="Empresa_Centro" displayName="Empresa_Centro" ref="A1:F1656" totalsRowShown="0" headerRowDxfId="25">
  <autoFilter ref="A1:F1656" xr:uid="{EA298DB0-C431-4E84-8FD8-52D34BE2408E}"/>
  <sortState xmlns:xlrd2="http://schemas.microsoft.com/office/spreadsheetml/2017/richdata2" ref="A2:F1656">
    <sortCondition ref="B1:B1656"/>
  </sortState>
  <tableColumns count="6">
    <tableColumn id="1" xr3:uid="{82EB2EBD-5F7E-41F9-A1DC-9F03EFCE552F}" name="Codigo Empresa" dataDxfId="24"/>
    <tableColumn id="11" xr3:uid="{09571C61-7241-4499-A526-D130C20F2FC2}" name="Nombre Empresa" dataDxfId="23"/>
    <tableColumn id="3" xr3:uid="{BE88FC3A-492C-4FBD-87D5-53606575A94F}" name="Rut" dataDxfId="22"/>
    <tableColumn id="2" xr3:uid="{9B7AFAF9-3371-4EBA-A2A0-88C7C6436432}" name="Codigo Centro Gestion" dataDxfId="21"/>
    <tableColumn id="4" xr3:uid="{3549C2E2-ECB7-4408-8E67-B778B450791C}" name="Nombre Centro Gestion"/>
    <tableColumn id="5" xr3:uid="{8B055764-4091-4B80-8E65-3EB5C0EDBDAE}" name="Concatenar Centro" dataDxfId="20">
      <calculatedColumnFormula>+Empresa_Centro[[#This Row],[Codigo Centro Gestion]]&amp;" - "&amp;Empresa_Centro[[#This Row],[Nombre Centro Gestion]]</calculatedColumnFormula>
    </tableColum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43EAE0C-0B30-4179-A9F5-3071F305931B}" name="Centro_Cuenta8" displayName="Centro_Cuenta8" ref="A1:H3749" totalsRowShown="0" headerRowDxfId="19">
  <autoFilter ref="A1:H3749" xr:uid="{443EAE0C-0B30-4179-A9F5-3071F305931B}"/>
  <sortState xmlns:xlrd2="http://schemas.microsoft.com/office/spreadsheetml/2017/richdata2" ref="A2:H3749">
    <sortCondition ref="F1:F3749"/>
  </sortState>
  <tableColumns count="8">
    <tableColumn id="2" xr3:uid="{E19E6F9A-B565-49AF-ACBB-D8D6F0FC36AD}" name="Codigo Centro Gestion" dataDxfId="18"/>
    <tableColumn id="10" xr3:uid="{89BC3A21-8CCA-4487-890D-1A0AF12F4811}" name="Nombre Centro Gestion" dataDxfId="17"/>
    <tableColumn id="11" xr3:uid="{6ED19C63-5132-4376-9692-E42BA1D19D72}" name="Subtipo" dataDxfId="16"/>
    <tableColumn id="1" xr3:uid="{FDBC6947-B805-4B07-A109-9B53DD115094}" name="Código Cuenta Contable" dataDxfId="15"/>
    <tableColumn id="3" xr3:uid="{6B575610-8BED-4A65-A688-305C6118C641}" name="Nombre de Cuenta Contable"/>
    <tableColumn id="4" xr3:uid="{E9F4846A-2A7A-4EFF-A4F6-E1A20FCBE131}" name="Concatenar Centro" dataDxfId="14">
      <calculatedColumnFormula>+Centro_Cuenta8[[#This Row],[Codigo Centro Gestion]]&amp;" - "&amp;Centro_Cuenta8[[#This Row],[Nombre Centro Gestion]]</calculatedColumnFormula>
    </tableColumn>
    <tableColumn id="5" xr3:uid="{D417D935-700E-4C88-929B-72515C590796}" name="Concatenar Cuenta" dataDxfId="13">
      <calculatedColumnFormula>+Centro_Cuenta8[[#This Row],[Código Cuenta Contable]]&amp;" - "&amp;Centro_Cuenta8[[#This Row],[Nombre de Cuenta Contable]]</calculatedColumnFormula>
    </tableColumn>
    <tableColumn id="6" xr3:uid="{1DC35592-523C-4EBA-B303-6D57D6CD48B2}" name="Aplica FXR" dataDxfId="12">
      <calculatedColumnFormula>+VLOOKUP(D2,'3. Cuentas'!A:F,6,0)</calculatedColumnFormula>
    </tableColumn>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F820291-9CF4-436F-A697-CDCD923B97AF}" name="Cuenta_Clasificacion" displayName="Cuenta_Clasificacion" ref="A1:F2341" totalsRowShown="0" headerRowDxfId="11" headerRowBorderDxfId="10" tableBorderDxfId="9">
  <autoFilter ref="A1:F2341" xr:uid="{9C8B4ACC-A58D-4F31-91E2-5A527459CE1E}"/>
  <tableColumns count="6">
    <tableColumn id="1" xr3:uid="{FA66C1BC-D469-49B2-B263-18E796227315}" name="Código Cuenta Contable" dataDxfId="8"/>
    <tableColumn id="3" xr3:uid="{DA76F27D-42D7-412E-A4D7-B56E4C9FB40C}" name="Nombre de Cuenta Contable" dataDxfId="7"/>
    <tableColumn id="2" xr3:uid="{013D1701-2EE5-459B-9E19-1694645F96E8}" name="Codigo Concepto de imputación" dataDxfId="6"/>
    <tableColumn id="4" xr3:uid="{6726248C-A704-4807-A932-2D4B211D1B6E}" name="Nombre Concepto de imputación"/>
    <tableColumn id="5" xr3:uid="{86ACB759-ACEB-40DC-BC27-51C483C976F3}" name="Concatenar Cuenta" dataDxfId="5">
      <calculatedColumnFormula>+Cuenta_Clasificacion[[#This Row],[Código Cuenta Contable]]&amp;" - "&amp;Cuenta_Clasificacion[[#This Row],[Nombre de Cuenta Contable]]</calculatedColumnFormula>
    </tableColumn>
    <tableColumn id="6" xr3:uid="{A53FE414-53FB-42F2-903E-6B3B73F1841A}" name="Concatenar Concepto" dataDxfId="4">
      <calculatedColumnFormula>+Cuenta_Clasificacion[[#This Row],[Codigo Concepto de imputación]]&amp;" - "&amp;Cuenta_Clasificacion[[#This Row],[Nombre Concepto de imputación]]</calculatedColumnFormula>
    </tableColumn>
  </tableColumns>
  <tableStyleInfo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vmlDrawing" Target="../drawings/vmlDrawing1.vml"/><Relationship Id="rId7" Type="http://schemas.openxmlformats.org/officeDocument/2006/relationships/ctrlProp" Target="../ctrlProps/ctrlProp4.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56FF3D-48B3-4E42-9DDE-62E157D7A905}">
  <sheetPr codeName="Hoja1"/>
  <dimension ref="A1:AA114"/>
  <sheetViews>
    <sheetView showGridLines="0" tabSelected="1" showRuler="0" zoomScale="90" zoomScaleNormal="90" zoomScaleSheetLayoutView="100" workbookViewId="0">
      <selection activeCell="I37" sqref="I37"/>
    </sheetView>
  </sheetViews>
  <sheetFormatPr baseColWidth="10" defaultColWidth="11.42578125" defaultRowHeight="15" x14ac:dyDescent="0.25"/>
  <cols>
    <col min="1" max="1" width="17" style="5" customWidth="1"/>
    <col min="2" max="2" width="12.5703125" style="5" customWidth="1"/>
    <col min="3" max="3" width="14.7109375" style="5" customWidth="1"/>
    <col min="4" max="4" width="5.140625" style="5" customWidth="1"/>
    <col min="5" max="5" width="16.85546875" style="5" customWidth="1"/>
    <col min="6" max="6" width="2.28515625" style="5" customWidth="1"/>
    <col min="7" max="7" width="13.42578125" style="5" customWidth="1"/>
    <col min="8" max="8" width="35.28515625" style="5" customWidth="1"/>
    <col min="9" max="9" width="35" style="5" customWidth="1"/>
    <col min="10" max="10" width="6" style="5" customWidth="1"/>
    <col min="11" max="11" width="30" style="5" customWidth="1"/>
    <col min="12" max="12" width="32.7109375" style="5" customWidth="1"/>
    <col min="13" max="13" width="22.42578125" style="5" customWidth="1"/>
    <col min="14" max="14" width="2.28515625" style="5" hidden="1" customWidth="1"/>
    <col min="15" max="26" width="11.42578125" style="5" hidden="1" customWidth="1"/>
    <col min="27" max="27" width="11.42578125" style="5" collapsed="1"/>
    <col min="28" max="256" width="11.42578125" style="5"/>
    <col min="257" max="257" width="16.28515625" style="5" customWidth="1"/>
    <col min="258" max="258" width="12.5703125" style="5" customWidth="1"/>
    <col min="259" max="259" width="14.7109375" style="5" customWidth="1"/>
    <col min="260" max="260" width="5.140625" style="5" customWidth="1"/>
    <col min="261" max="261" width="16.85546875" style="5" customWidth="1"/>
    <col min="262" max="262" width="2.28515625" style="5" customWidth="1"/>
    <col min="263" max="263" width="13.42578125" style="5" customWidth="1"/>
    <col min="264" max="264" width="29.7109375" style="5" customWidth="1"/>
    <col min="265" max="265" width="25.28515625" style="5" customWidth="1"/>
    <col min="266" max="266" width="6" style="5" customWidth="1"/>
    <col min="267" max="267" width="24" style="5" customWidth="1"/>
    <col min="268" max="268" width="29.5703125" style="5" customWidth="1"/>
    <col min="269" max="269" width="22.42578125" style="5" customWidth="1"/>
    <col min="270" max="270" width="2.28515625" style="5" customWidth="1"/>
    <col min="271" max="512" width="11.42578125" style="5"/>
    <col min="513" max="513" width="16.28515625" style="5" customWidth="1"/>
    <col min="514" max="514" width="12.5703125" style="5" customWidth="1"/>
    <col min="515" max="515" width="14.7109375" style="5" customWidth="1"/>
    <col min="516" max="516" width="5.140625" style="5" customWidth="1"/>
    <col min="517" max="517" width="16.85546875" style="5" customWidth="1"/>
    <col min="518" max="518" width="2.28515625" style="5" customWidth="1"/>
    <col min="519" max="519" width="13.42578125" style="5" customWidth="1"/>
    <col min="520" max="520" width="29.7109375" style="5" customWidth="1"/>
    <col min="521" max="521" width="25.28515625" style="5" customWidth="1"/>
    <col min="522" max="522" width="6" style="5" customWidth="1"/>
    <col min="523" max="523" width="24" style="5" customWidth="1"/>
    <col min="524" max="524" width="29.5703125" style="5" customWidth="1"/>
    <col min="525" max="525" width="22.42578125" style="5" customWidth="1"/>
    <col min="526" max="526" width="2.28515625" style="5" customWidth="1"/>
    <col min="527" max="768" width="11.42578125" style="5"/>
    <col min="769" max="769" width="16.28515625" style="5" customWidth="1"/>
    <col min="770" max="770" width="12.5703125" style="5" customWidth="1"/>
    <col min="771" max="771" width="14.7109375" style="5" customWidth="1"/>
    <col min="772" max="772" width="5.140625" style="5" customWidth="1"/>
    <col min="773" max="773" width="16.85546875" style="5" customWidth="1"/>
    <col min="774" max="774" width="2.28515625" style="5" customWidth="1"/>
    <col min="775" max="775" width="13.42578125" style="5" customWidth="1"/>
    <col min="776" max="776" width="29.7109375" style="5" customWidth="1"/>
    <col min="777" max="777" width="25.28515625" style="5" customWidth="1"/>
    <col min="778" max="778" width="6" style="5" customWidth="1"/>
    <col min="779" max="779" width="24" style="5" customWidth="1"/>
    <col min="780" max="780" width="29.5703125" style="5" customWidth="1"/>
    <col min="781" max="781" width="22.42578125" style="5" customWidth="1"/>
    <col min="782" max="782" width="2.28515625" style="5" customWidth="1"/>
    <col min="783" max="1024" width="11.42578125" style="5"/>
    <col min="1025" max="1025" width="16.28515625" style="5" customWidth="1"/>
    <col min="1026" max="1026" width="12.5703125" style="5" customWidth="1"/>
    <col min="1027" max="1027" width="14.7109375" style="5" customWidth="1"/>
    <col min="1028" max="1028" width="5.140625" style="5" customWidth="1"/>
    <col min="1029" max="1029" width="16.85546875" style="5" customWidth="1"/>
    <col min="1030" max="1030" width="2.28515625" style="5" customWidth="1"/>
    <col min="1031" max="1031" width="13.42578125" style="5" customWidth="1"/>
    <col min="1032" max="1032" width="29.7109375" style="5" customWidth="1"/>
    <col min="1033" max="1033" width="25.28515625" style="5" customWidth="1"/>
    <col min="1034" max="1034" width="6" style="5" customWidth="1"/>
    <col min="1035" max="1035" width="24" style="5" customWidth="1"/>
    <col min="1036" max="1036" width="29.5703125" style="5" customWidth="1"/>
    <col min="1037" max="1037" width="22.42578125" style="5" customWidth="1"/>
    <col min="1038" max="1038" width="2.28515625" style="5" customWidth="1"/>
    <col min="1039" max="1280" width="11.42578125" style="5"/>
    <col min="1281" max="1281" width="16.28515625" style="5" customWidth="1"/>
    <col min="1282" max="1282" width="12.5703125" style="5" customWidth="1"/>
    <col min="1283" max="1283" width="14.7109375" style="5" customWidth="1"/>
    <col min="1284" max="1284" width="5.140625" style="5" customWidth="1"/>
    <col min="1285" max="1285" width="16.85546875" style="5" customWidth="1"/>
    <col min="1286" max="1286" width="2.28515625" style="5" customWidth="1"/>
    <col min="1287" max="1287" width="13.42578125" style="5" customWidth="1"/>
    <col min="1288" max="1288" width="29.7109375" style="5" customWidth="1"/>
    <col min="1289" max="1289" width="25.28515625" style="5" customWidth="1"/>
    <col min="1290" max="1290" width="6" style="5" customWidth="1"/>
    <col min="1291" max="1291" width="24" style="5" customWidth="1"/>
    <col min="1292" max="1292" width="29.5703125" style="5" customWidth="1"/>
    <col min="1293" max="1293" width="22.42578125" style="5" customWidth="1"/>
    <col min="1294" max="1294" width="2.28515625" style="5" customWidth="1"/>
    <col min="1295" max="1536" width="11.42578125" style="5"/>
    <col min="1537" max="1537" width="16.28515625" style="5" customWidth="1"/>
    <col min="1538" max="1538" width="12.5703125" style="5" customWidth="1"/>
    <col min="1539" max="1539" width="14.7109375" style="5" customWidth="1"/>
    <col min="1540" max="1540" width="5.140625" style="5" customWidth="1"/>
    <col min="1541" max="1541" width="16.85546875" style="5" customWidth="1"/>
    <col min="1542" max="1542" width="2.28515625" style="5" customWidth="1"/>
    <col min="1543" max="1543" width="13.42578125" style="5" customWidth="1"/>
    <col min="1544" max="1544" width="29.7109375" style="5" customWidth="1"/>
    <col min="1545" max="1545" width="25.28515625" style="5" customWidth="1"/>
    <col min="1546" max="1546" width="6" style="5" customWidth="1"/>
    <col min="1547" max="1547" width="24" style="5" customWidth="1"/>
    <col min="1548" max="1548" width="29.5703125" style="5" customWidth="1"/>
    <col min="1549" max="1549" width="22.42578125" style="5" customWidth="1"/>
    <col min="1550" max="1550" width="2.28515625" style="5" customWidth="1"/>
    <col min="1551" max="1792" width="11.42578125" style="5"/>
    <col min="1793" max="1793" width="16.28515625" style="5" customWidth="1"/>
    <col min="1794" max="1794" width="12.5703125" style="5" customWidth="1"/>
    <col min="1795" max="1795" width="14.7109375" style="5" customWidth="1"/>
    <col min="1796" max="1796" width="5.140625" style="5" customWidth="1"/>
    <col min="1797" max="1797" width="16.85546875" style="5" customWidth="1"/>
    <col min="1798" max="1798" width="2.28515625" style="5" customWidth="1"/>
    <col min="1799" max="1799" width="13.42578125" style="5" customWidth="1"/>
    <col min="1800" max="1800" width="29.7109375" style="5" customWidth="1"/>
    <col min="1801" max="1801" width="25.28515625" style="5" customWidth="1"/>
    <col min="1802" max="1802" width="6" style="5" customWidth="1"/>
    <col min="1803" max="1803" width="24" style="5" customWidth="1"/>
    <col min="1804" max="1804" width="29.5703125" style="5" customWidth="1"/>
    <col min="1805" max="1805" width="22.42578125" style="5" customWidth="1"/>
    <col min="1806" max="1806" width="2.28515625" style="5" customWidth="1"/>
    <col min="1807" max="2048" width="11.42578125" style="5"/>
    <col min="2049" max="2049" width="16.28515625" style="5" customWidth="1"/>
    <col min="2050" max="2050" width="12.5703125" style="5" customWidth="1"/>
    <col min="2051" max="2051" width="14.7109375" style="5" customWidth="1"/>
    <col min="2052" max="2052" width="5.140625" style="5" customWidth="1"/>
    <col min="2053" max="2053" width="16.85546875" style="5" customWidth="1"/>
    <col min="2054" max="2054" width="2.28515625" style="5" customWidth="1"/>
    <col min="2055" max="2055" width="13.42578125" style="5" customWidth="1"/>
    <col min="2056" max="2056" width="29.7109375" style="5" customWidth="1"/>
    <col min="2057" max="2057" width="25.28515625" style="5" customWidth="1"/>
    <col min="2058" max="2058" width="6" style="5" customWidth="1"/>
    <col min="2059" max="2059" width="24" style="5" customWidth="1"/>
    <col min="2060" max="2060" width="29.5703125" style="5" customWidth="1"/>
    <col min="2061" max="2061" width="22.42578125" style="5" customWidth="1"/>
    <col min="2062" max="2062" width="2.28515625" style="5" customWidth="1"/>
    <col min="2063" max="2304" width="11.42578125" style="5"/>
    <col min="2305" max="2305" width="16.28515625" style="5" customWidth="1"/>
    <col min="2306" max="2306" width="12.5703125" style="5" customWidth="1"/>
    <col min="2307" max="2307" width="14.7109375" style="5" customWidth="1"/>
    <col min="2308" max="2308" width="5.140625" style="5" customWidth="1"/>
    <col min="2309" max="2309" width="16.85546875" style="5" customWidth="1"/>
    <col min="2310" max="2310" width="2.28515625" style="5" customWidth="1"/>
    <col min="2311" max="2311" width="13.42578125" style="5" customWidth="1"/>
    <col min="2312" max="2312" width="29.7109375" style="5" customWidth="1"/>
    <col min="2313" max="2313" width="25.28515625" style="5" customWidth="1"/>
    <col min="2314" max="2314" width="6" style="5" customWidth="1"/>
    <col min="2315" max="2315" width="24" style="5" customWidth="1"/>
    <col min="2316" max="2316" width="29.5703125" style="5" customWidth="1"/>
    <col min="2317" max="2317" width="22.42578125" style="5" customWidth="1"/>
    <col min="2318" max="2318" width="2.28515625" style="5" customWidth="1"/>
    <col min="2319" max="2560" width="11.42578125" style="5"/>
    <col min="2561" max="2561" width="16.28515625" style="5" customWidth="1"/>
    <col min="2562" max="2562" width="12.5703125" style="5" customWidth="1"/>
    <col min="2563" max="2563" width="14.7109375" style="5" customWidth="1"/>
    <col min="2564" max="2564" width="5.140625" style="5" customWidth="1"/>
    <col min="2565" max="2565" width="16.85546875" style="5" customWidth="1"/>
    <col min="2566" max="2566" width="2.28515625" style="5" customWidth="1"/>
    <col min="2567" max="2567" width="13.42578125" style="5" customWidth="1"/>
    <col min="2568" max="2568" width="29.7109375" style="5" customWidth="1"/>
    <col min="2569" max="2569" width="25.28515625" style="5" customWidth="1"/>
    <col min="2570" max="2570" width="6" style="5" customWidth="1"/>
    <col min="2571" max="2571" width="24" style="5" customWidth="1"/>
    <col min="2572" max="2572" width="29.5703125" style="5" customWidth="1"/>
    <col min="2573" max="2573" width="22.42578125" style="5" customWidth="1"/>
    <col min="2574" max="2574" width="2.28515625" style="5" customWidth="1"/>
    <col min="2575" max="2816" width="11.42578125" style="5"/>
    <col min="2817" max="2817" width="16.28515625" style="5" customWidth="1"/>
    <col min="2818" max="2818" width="12.5703125" style="5" customWidth="1"/>
    <col min="2819" max="2819" width="14.7109375" style="5" customWidth="1"/>
    <col min="2820" max="2820" width="5.140625" style="5" customWidth="1"/>
    <col min="2821" max="2821" width="16.85546875" style="5" customWidth="1"/>
    <col min="2822" max="2822" width="2.28515625" style="5" customWidth="1"/>
    <col min="2823" max="2823" width="13.42578125" style="5" customWidth="1"/>
    <col min="2824" max="2824" width="29.7109375" style="5" customWidth="1"/>
    <col min="2825" max="2825" width="25.28515625" style="5" customWidth="1"/>
    <col min="2826" max="2826" width="6" style="5" customWidth="1"/>
    <col min="2827" max="2827" width="24" style="5" customWidth="1"/>
    <col min="2828" max="2828" width="29.5703125" style="5" customWidth="1"/>
    <col min="2829" max="2829" width="22.42578125" style="5" customWidth="1"/>
    <col min="2830" max="2830" width="2.28515625" style="5" customWidth="1"/>
    <col min="2831" max="3072" width="11.42578125" style="5"/>
    <col min="3073" max="3073" width="16.28515625" style="5" customWidth="1"/>
    <col min="3074" max="3074" width="12.5703125" style="5" customWidth="1"/>
    <col min="3075" max="3075" width="14.7109375" style="5" customWidth="1"/>
    <col min="3076" max="3076" width="5.140625" style="5" customWidth="1"/>
    <col min="3077" max="3077" width="16.85546875" style="5" customWidth="1"/>
    <col min="3078" max="3078" width="2.28515625" style="5" customWidth="1"/>
    <col min="3079" max="3079" width="13.42578125" style="5" customWidth="1"/>
    <col min="3080" max="3080" width="29.7109375" style="5" customWidth="1"/>
    <col min="3081" max="3081" width="25.28515625" style="5" customWidth="1"/>
    <col min="3082" max="3082" width="6" style="5" customWidth="1"/>
    <col min="3083" max="3083" width="24" style="5" customWidth="1"/>
    <col min="3084" max="3084" width="29.5703125" style="5" customWidth="1"/>
    <col min="3085" max="3085" width="22.42578125" style="5" customWidth="1"/>
    <col min="3086" max="3086" width="2.28515625" style="5" customWidth="1"/>
    <col min="3087" max="3328" width="11.42578125" style="5"/>
    <col min="3329" max="3329" width="16.28515625" style="5" customWidth="1"/>
    <col min="3330" max="3330" width="12.5703125" style="5" customWidth="1"/>
    <col min="3331" max="3331" width="14.7109375" style="5" customWidth="1"/>
    <col min="3332" max="3332" width="5.140625" style="5" customWidth="1"/>
    <col min="3333" max="3333" width="16.85546875" style="5" customWidth="1"/>
    <col min="3334" max="3334" width="2.28515625" style="5" customWidth="1"/>
    <col min="3335" max="3335" width="13.42578125" style="5" customWidth="1"/>
    <col min="3336" max="3336" width="29.7109375" style="5" customWidth="1"/>
    <col min="3337" max="3337" width="25.28515625" style="5" customWidth="1"/>
    <col min="3338" max="3338" width="6" style="5" customWidth="1"/>
    <col min="3339" max="3339" width="24" style="5" customWidth="1"/>
    <col min="3340" max="3340" width="29.5703125" style="5" customWidth="1"/>
    <col min="3341" max="3341" width="22.42578125" style="5" customWidth="1"/>
    <col min="3342" max="3342" width="2.28515625" style="5" customWidth="1"/>
    <col min="3343" max="3584" width="11.42578125" style="5"/>
    <col min="3585" max="3585" width="16.28515625" style="5" customWidth="1"/>
    <col min="3586" max="3586" width="12.5703125" style="5" customWidth="1"/>
    <col min="3587" max="3587" width="14.7109375" style="5" customWidth="1"/>
    <col min="3588" max="3588" width="5.140625" style="5" customWidth="1"/>
    <col min="3589" max="3589" width="16.85546875" style="5" customWidth="1"/>
    <col min="3590" max="3590" width="2.28515625" style="5" customWidth="1"/>
    <col min="3591" max="3591" width="13.42578125" style="5" customWidth="1"/>
    <col min="3592" max="3592" width="29.7109375" style="5" customWidth="1"/>
    <col min="3593" max="3593" width="25.28515625" style="5" customWidth="1"/>
    <col min="3594" max="3594" width="6" style="5" customWidth="1"/>
    <col min="3595" max="3595" width="24" style="5" customWidth="1"/>
    <col min="3596" max="3596" width="29.5703125" style="5" customWidth="1"/>
    <col min="3597" max="3597" width="22.42578125" style="5" customWidth="1"/>
    <col min="3598" max="3598" width="2.28515625" style="5" customWidth="1"/>
    <col min="3599" max="3840" width="11.42578125" style="5"/>
    <col min="3841" max="3841" width="16.28515625" style="5" customWidth="1"/>
    <col min="3842" max="3842" width="12.5703125" style="5" customWidth="1"/>
    <col min="3843" max="3843" width="14.7109375" style="5" customWidth="1"/>
    <col min="3844" max="3844" width="5.140625" style="5" customWidth="1"/>
    <col min="3845" max="3845" width="16.85546875" style="5" customWidth="1"/>
    <col min="3846" max="3846" width="2.28515625" style="5" customWidth="1"/>
    <col min="3847" max="3847" width="13.42578125" style="5" customWidth="1"/>
    <col min="3848" max="3848" width="29.7109375" style="5" customWidth="1"/>
    <col min="3849" max="3849" width="25.28515625" style="5" customWidth="1"/>
    <col min="3850" max="3850" width="6" style="5" customWidth="1"/>
    <col min="3851" max="3851" width="24" style="5" customWidth="1"/>
    <col min="3852" max="3852" width="29.5703125" style="5" customWidth="1"/>
    <col min="3853" max="3853" width="22.42578125" style="5" customWidth="1"/>
    <col min="3854" max="3854" width="2.28515625" style="5" customWidth="1"/>
    <col min="3855" max="4096" width="11.42578125" style="5"/>
    <col min="4097" max="4097" width="16.28515625" style="5" customWidth="1"/>
    <col min="4098" max="4098" width="12.5703125" style="5" customWidth="1"/>
    <col min="4099" max="4099" width="14.7109375" style="5" customWidth="1"/>
    <col min="4100" max="4100" width="5.140625" style="5" customWidth="1"/>
    <col min="4101" max="4101" width="16.85546875" style="5" customWidth="1"/>
    <col min="4102" max="4102" width="2.28515625" style="5" customWidth="1"/>
    <col min="4103" max="4103" width="13.42578125" style="5" customWidth="1"/>
    <col min="4104" max="4104" width="29.7109375" style="5" customWidth="1"/>
    <col min="4105" max="4105" width="25.28515625" style="5" customWidth="1"/>
    <col min="4106" max="4106" width="6" style="5" customWidth="1"/>
    <col min="4107" max="4107" width="24" style="5" customWidth="1"/>
    <col min="4108" max="4108" width="29.5703125" style="5" customWidth="1"/>
    <col min="4109" max="4109" width="22.42578125" style="5" customWidth="1"/>
    <col min="4110" max="4110" width="2.28515625" style="5" customWidth="1"/>
    <col min="4111" max="4352" width="11.42578125" style="5"/>
    <col min="4353" max="4353" width="16.28515625" style="5" customWidth="1"/>
    <col min="4354" max="4354" width="12.5703125" style="5" customWidth="1"/>
    <col min="4355" max="4355" width="14.7109375" style="5" customWidth="1"/>
    <col min="4356" max="4356" width="5.140625" style="5" customWidth="1"/>
    <col min="4357" max="4357" width="16.85546875" style="5" customWidth="1"/>
    <col min="4358" max="4358" width="2.28515625" style="5" customWidth="1"/>
    <col min="4359" max="4359" width="13.42578125" style="5" customWidth="1"/>
    <col min="4360" max="4360" width="29.7109375" style="5" customWidth="1"/>
    <col min="4361" max="4361" width="25.28515625" style="5" customWidth="1"/>
    <col min="4362" max="4362" width="6" style="5" customWidth="1"/>
    <col min="4363" max="4363" width="24" style="5" customWidth="1"/>
    <col min="4364" max="4364" width="29.5703125" style="5" customWidth="1"/>
    <col min="4365" max="4365" width="22.42578125" style="5" customWidth="1"/>
    <col min="4366" max="4366" width="2.28515625" style="5" customWidth="1"/>
    <col min="4367" max="4608" width="11.42578125" style="5"/>
    <col min="4609" max="4609" width="16.28515625" style="5" customWidth="1"/>
    <col min="4610" max="4610" width="12.5703125" style="5" customWidth="1"/>
    <col min="4611" max="4611" width="14.7109375" style="5" customWidth="1"/>
    <col min="4612" max="4612" width="5.140625" style="5" customWidth="1"/>
    <col min="4613" max="4613" width="16.85546875" style="5" customWidth="1"/>
    <col min="4614" max="4614" width="2.28515625" style="5" customWidth="1"/>
    <col min="4615" max="4615" width="13.42578125" style="5" customWidth="1"/>
    <col min="4616" max="4616" width="29.7109375" style="5" customWidth="1"/>
    <col min="4617" max="4617" width="25.28515625" style="5" customWidth="1"/>
    <col min="4618" max="4618" width="6" style="5" customWidth="1"/>
    <col min="4619" max="4619" width="24" style="5" customWidth="1"/>
    <col min="4620" max="4620" width="29.5703125" style="5" customWidth="1"/>
    <col min="4621" max="4621" width="22.42578125" style="5" customWidth="1"/>
    <col min="4622" max="4622" width="2.28515625" style="5" customWidth="1"/>
    <col min="4623" max="4864" width="11.42578125" style="5"/>
    <col min="4865" max="4865" width="16.28515625" style="5" customWidth="1"/>
    <col min="4866" max="4866" width="12.5703125" style="5" customWidth="1"/>
    <col min="4867" max="4867" width="14.7109375" style="5" customWidth="1"/>
    <col min="4868" max="4868" width="5.140625" style="5" customWidth="1"/>
    <col min="4869" max="4869" width="16.85546875" style="5" customWidth="1"/>
    <col min="4870" max="4870" width="2.28515625" style="5" customWidth="1"/>
    <col min="4871" max="4871" width="13.42578125" style="5" customWidth="1"/>
    <col min="4872" max="4872" width="29.7109375" style="5" customWidth="1"/>
    <col min="4873" max="4873" width="25.28515625" style="5" customWidth="1"/>
    <col min="4874" max="4874" width="6" style="5" customWidth="1"/>
    <col min="4875" max="4875" width="24" style="5" customWidth="1"/>
    <col min="4876" max="4876" width="29.5703125" style="5" customWidth="1"/>
    <col min="4877" max="4877" width="22.42578125" style="5" customWidth="1"/>
    <col min="4878" max="4878" width="2.28515625" style="5" customWidth="1"/>
    <col min="4879" max="5120" width="11.42578125" style="5"/>
    <col min="5121" max="5121" width="16.28515625" style="5" customWidth="1"/>
    <col min="5122" max="5122" width="12.5703125" style="5" customWidth="1"/>
    <col min="5123" max="5123" width="14.7109375" style="5" customWidth="1"/>
    <col min="5124" max="5124" width="5.140625" style="5" customWidth="1"/>
    <col min="5125" max="5125" width="16.85546875" style="5" customWidth="1"/>
    <col min="5126" max="5126" width="2.28515625" style="5" customWidth="1"/>
    <col min="5127" max="5127" width="13.42578125" style="5" customWidth="1"/>
    <col min="5128" max="5128" width="29.7109375" style="5" customWidth="1"/>
    <col min="5129" max="5129" width="25.28515625" style="5" customWidth="1"/>
    <col min="5130" max="5130" width="6" style="5" customWidth="1"/>
    <col min="5131" max="5131" width="24" style="5" customWidth="1"/>
    <col min="5132" max="5132" width="29.5703125" style="5" customWidth="1"/>
    <col min="5133" max="5133" width="22.42578125" style="5" customWidth="1"/>
    <col min="5134" max="5134" width="2.28515625" style="5" customWidth="1"/>
    <col min="5135" max="5376" width="11.42578125" style="5"/>
    <col min="5377" max="5377" width="16.28515625" style="5" customWidth="1"/>
    <col min="5378" max="5378" width="12.5703125" style="5" customWidth="1"/>
    <col min="5379" max="5379" width="14.7109375" style="5" customWidth="1"/>
    <col min="5380" max="5380" width="5.140625" style="5" customWidth="1"/>
    <col min="5381" max="5381" width="16.85546875" style="5" customWidth="1"/>
    <col min="5382" max="5382" width="2.28515625" style="5" customWidth="1"/>
    <col min="5383" max="5383" width="13.42578125" style="5" customWidth="1"/>
    <col min="5384" max="5384" width="29.7109375" style="5" customWidth="1"/>
    <col min="5385" max="5385" width="25.28515625" style="5" customWidth="1"/>
    <col min="5386" max="5386" width="6" style="5" customWidth="1"/>
    <col min="5387" max="5387" width="24" style="5" customWidth="1"/>
    <col min="5388" max="5388" width="29.5703125" style="5" customWidth="1"/>
    <col min="5389" max="5389" width="22.42578125" style="5" customWidth="1"/>
    <col min="5390" max="5390" width="2.28515625" style="5" customWidth="1"/>
    <col min="5391" max="5632" width="11.42578125" style="5"/>
    <col min="5633" max="5633" width="16.28515625" style="5" customWidth="1"/>
    <col min="5634" max="5634" width="12.5703125" style="5" customWidth="1"/>
    <col min="5635" max="5635" width="14.7109375" style="5" customWidth="1"/>
    <col min="5636" max="5636" width="5.140625" style="5" customWidth="1"/>
    <col min="5637" max="5637" width="16.85546875" style="5" customWidth="1"/>
    <col min="5638" max="5638" width="2.28515625" style="5" customWidth="1"/>
    <col min="5639" max="5639" width="13.42578125" style="5" customWidth="1"/>
    <col min="5640" max="5640" width="29.7109375" style="5" customWidth="1"/>
    <col min="5641" max="5641" width="25.28515625" style="5" customWidth="1"/>
    <col min="5642" max="5642" width="6" style="5" customWidth="1"/>
    <col min="5643" max="5643" width="24" style="5" customWidth="1"/>
    <col min="5644" max="5644" width="29.5703125" style="5" customWidth="1"/>
    <col min="5645" max="5645" width="22.42578125" style="5" customWidth="1"/>
    <col min="5646" max="5646" width="2.28515625" style="5" customWidth="1"/>
    <col min="5647" max="5888" width="11.42578125" style="5"/>
    <col min="5889" max="5889" width="16.28515625" style="5" customWidth="1"/>
    <col min="5890" max="5890" width="12.5703125" style="5" customWidth="1"/>
    <col min="5891" max="5891" width="14.7109375" style="5" customWidth="1"/>
    <col min="5892" max="5892" width="5.140625" style="5" customWidth="1"/>
    <col min="5893" max="5893" width="16.85546875" style="5" customWidth="1"/>
    <col min="5894" max="5894" width="2.28515625" style="5" customWidth="1"/>
    <col min="5895" max="5895" width="13.42578125" style="5" customWidth="1"/>
    <col min="5896" max="5896" width="29.7109375" style="5" customWidth="1"/>
    <col min="5897" max="5897" width="25.28515625" style="5" customWidth="1"/>
    <col min="5898" max="5898" width="6" style="5" customWidth="1"/>
    <col min="5899" max="5899" width="24" style="5" customWidth="1"/>
    <col min="5900" max="5900" width="29.5703125" style="5" customWidth="1"/>
    <col min="5901" max="5901" width="22.42578125" style="5" customWidth="1"/>
    <col min="5902" max="5902" width="2.28515625" style="5" customWidth="1"/>
    <col min="5903" max="6144" width="11.42578125" style="5"/>
    <col min="6145" max="6145" width="16.28515625" style="5" customWidth="1"/>
    <col min="6146" max="6146" width="12.5703125" style="5" customWidth="1"/>
    <col min="6147" max="6147" width="14.7109375" style="5" customWidth="1"/>
    <col min="6148" max="6148" width="5.140625" style="5" customWidth="1"/>
    <col min="6149" max="6149" width="16.85546875" style="5" customWidth="1"/>
    <col min="6150" max="6150" width="2.28515625" style="5" customWidth="1"/>
    <col min="6151" max="6151" width="13.42578125" style="5" customWidth="1"/>
    <col min="6152" max="6152" width="29.7109375" style="5" customWidth="1"/>
    <col min="6153" max="6153" width="25.28515625" style="5" customWidth="1"/>
    <col min="6154" max="6154" width="6" style="5" customWidth="1"/>
    <col min="6155" max="6155" width="24" style="5" customWidth="1"/>
    <col min="6156" max="6156" width="29.5703125" style="5" customWidth="1"/>
    <col min="6157" max="6157" width="22.42578125" style="5" customWidth="1"/>
    <col min="6158" max="6158" width="2.28515625" style="5" customWidth="1"/>
    <col min="6159" max="6400" width="11.42578125" style="5"/>
    <col min="6401" max="6401" width="16.28515625" style="5" customWidth="1"/>
    <col min="6402" max="6402" width="12.5703125" style="5" customWidth="1"/>
    <col min="6403" max="6403" width="14.7109375" style="5" customWidth="1"/>
    <col min="6404" max="6404" width="5.140625" style="5" customWidth="1"/>
    <col min="6405" max="6405" width="16.85546875" style="5" customWidth="1"/>
    <col min="6406" max="6406" width="2.28515625" style="5" customWidth="1"/>
    <col min="6407" max="6407" width="13.42578125" style="5" customWidth="1"/>
    <col min="6408" max="6408" width="29.7109375" style="5" customWidth="1"/>
    <col min="6409" max="6409" width="25.28515625" style="5" customWidth="1"/>
    <col min="6410" max="6410" width="6" style="5" customWidth="1"/>
    <col min="6411" max="6411" width="24" style="5" customWidth="1"/>
    <col min="6412" max="6412" width="29.5703125" style="5" customWidth="1"/>
    <col min="6413" max="6413" width="22.42578125" style="5" customWidth="1"/>
    <col min="6414" max="6414" width="2.28515625" style="5" customWidth="1"/>
    <col min="6415" max="6656" width="11.42578125" style="5"/>
    <col min="6657" max="6657" width="16.28515625" style="5" customWidth="1"/>
    <col min="6658" max="6658" width="12.5703125" style="5" customWidth="1"/>
    <col min="6659" max="6659" width="14.7109375" style="5" customWidth="1"/>
    <col min="6660" max="6660" width="5.140625" style="5" customWidth="1"/>
    <col min="6661" max="6661" width="16.85546875" style="5" customWidth="1"/>
    <col min="6662" max="6662" width="2.28515625" style="5" customWidth="1"/>
    <col min="6663" max="6663" width="13.42578125" style="5" customWidth="1"/>
    <col min="6664" max="6664" width="29.7109375" style="5" customWidth="1"/>
    <col min="6665" max="6665" width="25.28515625" style="5" customWidth="1"/>
    <col min="6666" max="6666" width="6" style="5" customWidth="1"/>
    <col min="6667" max="6667" width="24" style="5" customWidth="1"/>
    <col min="6668" max="6668" width="29.5703125" style="5" customWidth="1"/>
    <col min="6669" max="6669" width="22.42578125" style="5" customWidth="1"/>
    <col min="6670" max="6670" width="2.28515625" style="5" customWidth="1"/>
    <col min="6671" max="6912" width="11.42578125" style="5"/>
    <col min="6913" max="6913" width="16.28515625" style="5" customWidth="1"/>
    <col min="6914" max="6914" width="12.5703125" style="5" customWidth="1"/>
    <col min="6915" max="6915" width="14.7109375" style="5" customWidth="1"/>
    <col min="6916" max="6916" width="5.140625" style="5" customWidth="1"/>
    <col min="6917" max="6917" width="16.85546875" style="5" customWidth="1"/>
    <col min="6918" max="6918" width="2.28515625" style="5" customWidth="1"/>
    <col min="6919" max="6919" width="13.42578125" style="5" customWidth="1"/>
    <col min="6920" max="6920" width="29.7109375" style="5" customWidth="1"/>
    <col min="6921" max="6921" width="25.28515625" style="5" customWidth="1"/>
    <col min="6922" max="6922" width="6" style="5" customWidth="1"/>
    <col min="6923" max="6923" width="24" style="5" customWidth="1"/>
    <col min="6924" max="6924" width="29.5703125" style="5" customWidth="1"/>
    <col min="6925" max="6925" width="22.42578125" style="5" customWidth="1"/>
    <col min="6926" max="6926" width="2.28515625" style="5" customWidth="1"/>
    <col min="6927" max="7168" width="11.42578125" style="5"/>
    <col min="7169" max="7169" width="16.28515625" style="5" customWidth="1"/>
    <col min="7170" max="7170" width="12.5703125" style="5" customWidth="1"/>
    <col min="7171" max="7171" width="14.7109375" style="5" customWidth="1"/>
    <col min="7172" max="7172" width="5.140625" style="5" customWidth="1"/>
    <col min="7173" max="7173" width="16.85546875" style="5" customWidth="1"/>
    <col min="7174" max="7174" width="2.28515625" style="5" customWidth="1"/>
    <col min="7175" max="7175" width="13.42578125" style="5" customWidth="1"/>
    <col min="7176" max="7176" width="29.7109375" style="5" customWidth="1"/>
    <col min="7177" max="7177" width="25.28515625" style="5" customWidth="1"/>
    <col min="7178" max="7178" width="6" style="5" customWidth="1"/>
    <col min="7179" max="7179" width="24" style="5" customWidth="1"/>
    <col min="7180" max="7180" width="29.5703125" style="5" customWidth="1"/>
    <col min="7181" max="7181" width="22.42578125" style="5" customWidth="1"/>
    <col min="7182" max="7182" width="2.28515625" style="5" customWidth="1"/>
    <col min="7183" max="7424" width="11.42578125" style="5"/>
    <col min="7425" max="7425" width="16.28515625" style="5" customWidth="1"/>
    <col min="7426" max="7426" width="12.5703125" style="5" customWidth="1"/>
    <col min="7427" max="7427" width="14.7109375" style="5" customWidth="1"/>
    <col min="7428" max="7428" width="5.140625" style="5" customWidth="1"/>
    <col min="7429" max="7429" width="16.85546875" style="5" customWidth="1"/>
    <col min="7430" max="7430" width="2.28515625" style="5" customWidth="1"/>
    <col min="7431" max="7431" width="13.42578125" style="5" customWidth="1"/>
    <col min="7432" max="7432" width="29.7109375" style="5" customWidth="1"/>
    <col min="7433" max="7433" width="25.28515625" style="5" customWidth="1"/>
    <col min="7434" max="7434" width="6" style="5" customWidth="1"/>
    <col min="7435" max="7435" width="24" style="5" customWidth="1"/>
    <col min="7436" max="7436" width="29.5703125" style="5" customWidth="1"/>
    <col min="7437" max="7437" width="22.42578125" style="5" customWidth="1"/>
    <col min="7438" max="7438" width="2.28515625" style="5" customWidth="1"/>
    <col min="7439" max="7680" width="11.42578125" style="5"/>
    <col min="7681" max="7681" width="16.28515625" style="5" customWidth="1"/>
    <col min="7682" max="7682" width="12.5703125" style="5" customWidth="1"/>
    <col min="7683" max="7683" width="14.7109375" style="5" customWidth="1"/>
    <col min="7684" max="7684" width="5.140625" style="5" customWidth="1"/>
    <col min="7685" max="7685" width="16.85546875" style="5" customWidth="1"/>
    <col min="7686" max="7686" width="2.28515625" style="5" customWidth="1"/>
    <col min="7687" max="7687" width="13.42578125" style="5" customWidth="1"/>
    <col min="7688" max="7688" width="29.7109375" style="5" customWidth="1"/>
    <col min="7689" max="7689" width="25.28515625" style="5" customWidth="1"/>
    <col min="7690" max="7690" width="6" style="5" customWidth="1"/>
    <col min="7691" max="7691" width="24" style="5" customWidth="1"/>
    <col min="7692" max="7692" width="29.5703125" style="5" customWidth="1"/>
    <col min="7693" max="7693" width="22.42578125" style="5" customWidth="1"/>
    <col min="7694" max="7694" width="2.28515625" style="5" customWidth="1"/>
    <col min="7695" max="7936" width="11.42578125" style="5"/>
    <col min="7937" max="7937" width="16.28515625" style="5" customWidth="1"/>
    <col min="7938" max="7938" width="12.5703125" style="5" customWidth="1"/>
    <col min="7939" max="7939" width="14.7109375" style="5" customWidth="1"/>
    <col min="7940" max="7940" width="5.140625" style="5" customWidth="1"/>
    <col min="7941" max="7941" width="16.85546875" style="5" customWidth="1"/>
    <col min="7942" max="7942" width="2.28515625" style="5" customWidth="1"/>
    <col min="7943" max="7943" width="13.42578125" style="5" customWidth="1"/>
    <col min="7944" max="7944" width="29.7109375" style="5" customWidth="1"/>
    <col min="7945" max="7945" width="25.28515625" style="5" customWidth="1"/>
    <col min="7946" max="7946" width="6" style="5" customWidth="1"/>
    <col min="7947" max="7947" width="24" style="5" customWidth="1"/>
    <col min="7948" max="7948" width="29.5703125" style="5" customWidth="1"/>
    <col min="7949" max="7949" width="22.42578125" style="5" customWidth="1"/>
    <col min="7950" max="7950" width="2.28515625" style="5" customWidth="1"/>
    <col min="7951" max="8192" width="11.42578125" style="5"/>
    <col min="8193" max="8193" width="16.28515625" style="5" customWidth="1"/>
    <col min="8194" max="8194" width="12.5703125" style="5" customWidth="1"/>
    <col min="8195" max="8195" width="14.7109375" style="5" customWidth="1"/>
    <col min="8196" max="8196" width="5.140625" style="5" customWidth="1"/>
    <col min="8197" max="8197" width="16.85546875" style="5" customWidth="1"/>
    <col min="8198" max="8198" width="2.28515625" style="5" customWidth="1"/>
    <col min="8199" max="8199" width="13.42578125" style="5" customWidth="1"/>
    <col min="8200" max="8200" width="29.7109375" style="5" customWidth="1"/>
    <col min="8201" max="8201" width="25.28515625" style="5" customWidth="1"/>
    <col min="8202" max="8202" width="6" style="5" customWidth="1"/>
    <col min="8203" max="8203" width="24" style="5" customWidth="1"/>
    <col min="8204" max="8204" width="29.5703125" style="5" customWidth="1"/>
    <col min="8205" max="8205" width="22.42578125" style="5" customWidth="1"/>
    <col min="8206" max="8206" width="2.28515625" style="5" customWidth="1"/>
    <col min="8207" max="8448" width="11.42578125" style="5"/>
    <col min="8449" max="8449" width="16.28515625" style="5" customWidth="1"/>
    <col min="8450" max="8450" width="12.5703125" style="5" customWidth="1"/>
    <col min="8451" max="8451" width="14.7109375" style="5" customWidth="1"/>
    <col min="8452" max="8452" width="5.140625" style="5" customWidth="1"/>
    <col min="8453" max="8453" width="16.85546875" style="5" customWidth="1"/>
    <col min="8454" max="8454" width="2.28515625" style="5" customWidth="1"/>
    <col min="8455" max="8455" width="13.42578125" style="5" customWidth="1"/>
    <col min="8456" max="8456" width="29.7109375" style="5" customWidth="1"/>
    <col min="8457" max="8457" width="25.28515625" style="5" customWidth="1"/>
    <col min="8458" max="8458" width="6" style="5" customWidth="1"/>
    <col min="8459" max="8459" width="24" style="5" customWidth="1"/>
    <col min="8460" max="8460" width="29.5703125" style="5" customWidth="1"/>
    <col min="8461" max="8461" width="22.42578125" style="5" customWidth="1"/>
    <col min="8462" max="8462" width="2.28515625" style="5" customWidth="1"/>
    <col min="8463" max="8704" width="11.42578125" style="5"/>
    <col min="8705" max="8705" width="16.28515625" style="5" customWidth="1"/>
    <col min="8706" max="8706" width="12.5703125" style="5" customWidth="1"/>
    <col min="8707" max="8707" width="14.7109375" style="5" customWidth="1"/>
    <col min="8708" max="8708" width="5.140625" style="5" customWidth="1"/>
    <col min="8709" max="8709" width="16.85546875" style="5" customWidth="1"/>
    <col min="8710" max="8710" width="2.28515625" style="5" customWidth="1"/>
    <col min="8711" max="8711" width="13.42578125" style="5" customWidth="1"/>
    <col min="8712" max="8712" width="29.7109375" style="5" customWidth="1"/>
    <col min="8713" max="8713" width="25.28515625" style="5" customWidth="1"/>
    <col min="8714" max="8714" width="6" style="5" customWidth="1"/>
    <col min="8715" max="8715" width="24" style="5" customWidth="1"/>
    <col min="8716" max="8716" width="29.5703125" style="5" customWidth="1"/>
    <col min="8717" max="8717" width="22.42578125" style="5" customWidth="1"/>
    <col min="8718" max="8718" width="2.28515625" style="5" customWidth="1"/>
    <col min="8719" max="8960" width="11.42578125" style="5"/>
    <col min="8961" max="8961" width="16.28515625" style="5" customWidth="1"/>
    <col min="8962" max="8962" width="12.5703125" style="5" customWidth="1"/>
    <col min="8963" max="8963" width="14.7109375" style="5" customWidth="1"/>
    <col min="8964" max="8964" width="5.140625" style="5" customWidth="1"/>
    <col min="8965" max="8965" width="16.85546875" style="5" customWidth="1"/>
    <col min="8966" max="8966" width="2.28515625" style="5" customWidth="1"/>
    <col min="8967" max="8967" width="13.42578125" style="5" customWidth="1"/>
    <col min="8968" max="8968" width="29.7109375" style="5" customWidth="1"/>
    <col min="8969" max="8969" width="25.28515625" style="5" customWidth="1"/>
    <col min="8970" max="8970" width="6" style="5" customWidth="1"/>
    <col min="8971" max="8971" width="24" style="5" customWidth="1"/>
    <col min="8972" max="8972" width="29.5703125" style="5" customWidth="1"/>
    <col min="8973" max="8973" width="22.42578125" style="5" customWidth="1"/>
    <col min="8974" max="8974" width="2.28515625" style="5" customWidth="1"/>
    <col min="8975" max="9216" width="11.42578125" style="5"/>
    <col min="9217" max="9217" width="16.28515625" style="5" customWidth="1"/>
    <col min="9218" max="9218" width="12.5703125" style="5" customWidth="1"/>
    <col min="9219" max="9219" width="14.7109375" style="5" customWidth="1"/>
    <col min="9220" max="9220" width="5.140625" style="5" customWidth="1"/>
    <col min="9221" max="9221" width="16.85546875" style="5" customWidth="1"/>
    <col min="9222" max="9222" width="2.28515625" style="5" customWidth="1"/>
    <col min="9223" max="9223" width="13.42578125" style="5" customWidth="1"/>
    <col min="9224" max="9224" width="29.7109375" style="5" customWidth="1"/>
    <col min="9225" max="9225" width="25.28515625" style="5" customWidth="1"/>
    <col min="9226" max="9226" width="6" style="5" customWidth="1"/>
    <col min="9227" max="9227" width="24" style="5" customWidth="1"/>
    <col min="9228" max="9228" width="29.5703125" style="5" customWidth="1"/>
    <col min="9229" max="9229" width="22.42578125" style="5" customWidth="1"/>
    <col min="9230" max="9230" width="2.28515625" style="5" customWidth="1"/>
    <col min="9231" max="9472" width="11.42578125" style="5"/>
    <col min="9473" max="9473" width="16.28515625" style="5" customWidth="1"/>
    <col min="9474" max="9474" width="12.5703125" style="5" customWidth="1"/>
    <col min="9475" max="9475" width="14.7109375" style="5" customWidth="1"/>
    <col min="9476" max="9476" width="5.140625" style="5" customWidth="1"/>
    <col min="9477" max="9477" width="16.85546875" style="5" customWidth="1"/>
    <col min="9478" max="9478" width="2.28515625" style="5" customWidth="1"/>
    <col min="9479" max="9479" width="13.42578125" style="5" customWidth="1"/>
    <col min="9480" max="9480" width="29.7109375" style="5" customWidth="1"/>
    <col min="9481" max="9481" width="25.28515625" style="5" customWidth="1"/>
    <col min="9482" max="9482" width="6" style="5" customWidth="1"/>
    <col min="9483" max="9483" width="24" style="5" customWidth="1"/>
    <col min="9484" max="9484" width="29.5703125" style="5" customWidth="1"/>
    <col min="9485" max="9485" width="22.42578125" style="5" customWidth="1"/>
    <col min="9486" max="9486" width="2.28515625" style="5" customWidth="1"/>
    <col min="9487" max="9728" width="11.42578125" style="5"/>
    <col min="9729" max="9729" width="16.28515625" style="5" customWidth="1"/>
    <col min="9730" max="9730" width="12.5703125" style="5" customWidth="1"/>
    <col min="9731" max="9731" width="14.7109375" style="5" customWidth="1"/>
    <col min="9732" max="9732" width="5.140625" style="5" customWidth="1"/>
    <col min="9733" max="9733" width="16.85546875" style="5" customWidth="1"/>
    <col min="9734" max="9734" width="2.28515625" style="5" customWidth="1"/>
    <col min="9735" max="9735" width="13.42578125" style="5" customWidth="1"/>
    <col min="9736" max="9736" width="29.7109375" style="5" customWidth="1"/>
    <col min="9737" max="9737" width="25.28515625" style="5" customWidth="1"/>
    <col min="9738" max="9738" width="6" style="5" customWidth="1"/>
    <col min="9739" max="9739" width="24" style="5" customWidth="1"/>
    <col min="9740" max="9740" width="29.5703125" style="5" customWidth="1"/>
    <col min="9741" max="9741" width="22.42578125" style="5" customWidth="1"/>
    <col min="9742" max="9742" width="2.28515625" style="5" customWidth="1"/>
    <col min="9743" max="9984" width="11.42578125" style="5"/>
    <col min="9985" max="9985" width="16.28515625" style="5" customWidth="1"/>
    <col min="9986" max="9986" width="12.5703125" style="5" customWidth="1"/>
    <col min="9987" max="9987" width="14.7109375" style="5" customWidth="1"/>
    <col min="9988" max="9988" width="5.140625" style="5" customWidth="1"/>
    <col min="9989" max="9989" width="16.85546875" style="5" customWidth="1"/>
    <col min="9990" max="9990" width="2.28515625" style="5" customWidth="1"/>
    <col min="9991" max="9991" width="13.42578125" style="5" customWidth="1"/>
    <col min="9992" max="9992" width="29.7109375" style="5" customWidth="1"/>
    <col min="9993" max="9993" width="25.28515625" style="5" customWidth="1"/>
    <col min="9994" max="9994" width="6" style="5" customWidth="1"/>
    <col min="9995" max="9995" width="24" style="5" customWidth="1"/>
    <col min="9996" max="9996" width="29.5703125" style="5" customWidth="1"/>
    <col min="9997" max="9997" width="22.42578125" style="5" customWidth="1"/>
    <col min="9998" max="9998" width="2.28515625" style="5" customWidth="1"/>
    <col min="9999" max="10240" width="11.42578125" style="5"/>
    <col min="10241" max="10241" width="16.28515625" style="5" customWidth="1"/>
    <col min="10242" max="10242" width="12.5703125" style="5" customWidth="1"/>
    <col min="10243" max="10243" width="14.7109375" style="5" customWidth="1"/>
    <col min="10244" max="10244" width="5.140625" style="5" customWidth="1"/>
    <col min="10245" max="10245" width="16.85546875" style="5" customWidth="1"/>
    <col min="10246" max="10246" width="2.28515625" style="5" customWidth="1"/>
    <col min="10247" max="10247" width="13.42578125" style="5" customWidth="1"/>
    <col min="10248" max="10248" width="29.7109375" style="5" customWidth="1"/>
    <col min="10249" max="10249" width="25.28515625" style="5" customWidth="1"/>
    <col min="10250" max="10250" width="6" style="5" customWidth="1"/>
    <col min="10251" max="10251" width="24" style="5" customWidth="1"/>
    <col min="10252" max="10252" width="29.5703125" style="5" customWidth="1"/>
    <col min="10253" max="10253" width="22.42578125" style="5" customWidth="1"/>
    <col min="10254" max="10254" width="2.28515625" style="5" customWidth="1"/>
    <col min="10255" max="10496" width="11.42578125" style="5"/>
    <col min="10497" max="10497" width="16.28515625" style="5" customWidth="1"/>
    <col min="10498" max="10498" width="12.5703125" style="5" customWidth="1"/>
    <col min="10499" max="10499" width="14.7109375" style="5" customWidth="1"/>
    <col min="10500" max="10500" width="5.140625" style="5" customWidth="1"/>
    <col min="10501" max="10501" width="16.85546875" style="5" customWidth="1"/>
    <col min="10502" max="10502" width="2.28515625" style="5" customWidth="1"/>
    <col min="10503" max="10503" width="13.42578125" style="5" customWidth="1"/>
    <col min="10504" max="10504" width="29.7109375" style="5" customWidth="1"/>
    <col min="10505" max="10505" width="25.28515625" style="5" customWidth="1"/>
    <col min="10506" max="10506" width="6" style="5" customWidth="1"/>
    <col min="10507" max="10507" width="24" style="5" customWidth="1"/>
    <col min="10508" max="10508" width="29.5703125" style="5" customWidth="1"/>
    <col min="10509" max="10509" width="22.42578125" style="5" customWidth="1"/>
    <col min="10510" max="10510" width="2.28515625" style="5" customWidth="1"/>
    <col min="10511" max="10752" width="11.42578125" style="5"/>
    <col min="10753" max="10753" width="16.28515625" style="5" customWidth="1"/>
    <col min="10754" max="10754" width="12.5703125" style="5" customWidth="1"/>
    <col min="10755" max="10755" width="14.7109375" style="5" customWidth="1"/>
    <col min="10756" max="10756" width="5.140625" style="5" customWidth="1"/>
    <col min="10757" max="10757" width="16.85546875" style="5" customWidth="1"/>
    <col min="10758" max="10758" width="2.28515625" style="5" customWidth="1"/>
    <col min="10759" max="10759" width="13.42578125" style="5" customWidth="1"/>
    <col min="10760" max="10760" width="29.7109375" style="5" customWidth="1"/>
    <col min="10761" max="10761" width="25.28515625" style="5" customWidth="1"/>
    <col min="10762" max="10762" width="6" style="5" customWidth="1"/>
    <col min="10763" max="10763" width="24" style="5" customWidth="1"/>
    <col min="10764" max="10764" width="29.5703125" style="5" customWidth="1"/>
    <col min="10765" max="10765" width="22.42578125" style="5" customWidth="1"/>
    <col min="10766" max="10766" width="2.28515625" style="5" customWidth="1"/>
    <col min="10767" max="11008" width="11.42578125" style="5"/>
    <col min="11009" max="11009" width="16.28515625" style="5" customWidth="1"/>
    <col min="11010" max="11010" width="12.5703125" style="5" customWidth="1"/>
    <col min="11011" max="11011" width="14.7109375" style="5" customWidth="1"/>
    <col min="11012" max="11012" width="5.140625" style="5" customWidth="1"/>
    <col min="11013" max="11013" width="16.85546875" style="5" customWidth="1"/>
    <col min="11014" max="11014" width="2.28515625" style="5" customWidth="1"/>
    <col min="11015" max="11015" width="13.42578125" style="5" customWidth="1"/>
    <col min="11016" max="11016" width="29.7109375" style="5" customWidth="1"/>
    <col min="11017" max="11017" width="25.28515625" style="5" customWidth="1"/>
    <col min="11018" max="11018" width="6" style="5" customWidth="1"/>
    <col min="11019" max="11019" width="24" style="5" customWidth="1"/>
    <col min="11020" max="11020" width="29.5703125" style="5" customWidth="1"/>
    <col min="11021" max="11021" width="22.42578125" style="5" customWidth="1"/>
    <col min="11022" max="11022" width="2.28515625" style="5" customWidth="1"/>
    <col min="11023" max="11264" width="11.42578125" style="5"/>
    <col min="11265" max="11265" width="16.28515625" style="5" customWidth="1"/>
    <col min="11266" max="11266" width="12.5703125" style="5" customWidth="1"/>
    <col min="11267" max="11267" width="14.7109375" style="5" customWidth="1"/>
    <col min="11268" max="11268" width="5.140625" style="5" customWidth="1"/>
    <col min="11269" max="11269" width="16.85546875" style="5" customWidth="1"/>
    <col min="11270" max="11270" width="2.28515625" style="5" customWidth="1"/>
    <col min="11271" max="11271" width="13.42578125" style="5" customWidth="1"/>
    <col min="11272" max="11272" width="29.7109375" style="5" customWidth="1"/>
    <col min="11273" max="11273" width="25.28515625" style="5" customWidth="1"/>
    <col min="11274" max="11274" width="6" style="5" customWidth="1"/>
    <col min="11275" max="11275" width="24" style="5" customWidth="1"/>
    <col min="11276" max="11276" width="29.5703125" style="5" customWidth="1"/>
    <col min="11277" max="11277" width="22.42578125" style="5" customWidth="1"/>
    <col min="11278" max="11278" width="2.28515625" style="5" customWidth="1"/>
    <col min="11279" max="11520" width="11.42578125" style="5"/>
    <col min="11521" max="11521" width="16.28515625" style="5" customWidth="1"/>
    <col min="11522" max="11522" width="12.5703125" style="5" customWidth="1"/>
    <col min="11523" max="11523" width="14.7109375" style="5" customWidth="1"/>
    <col min="11524" max="11524" width="5.140625" style="5" customWidth="1"/>
    <col min="11525" max="11525" width="16.85546875" style="5" customWidth="1"/>
    <col min="11526" max="11526" width="2.28515625" style="5" customWidth="1"/>
    <col min="11527" max="11527" width="13.42578125" style="5" customWidth="1"/>
    <col min="11528" max="11528" width="29.7109375" style="5" customWidth="1"/>
    <col min="11529" max="11529" width="25.28515625" style="5" customWidth="1"/>
    <col min="11530" max="11530" width="6" style="5" customWidth="1"/>
    <col min="11531" max="11531" width="24" style="5" customWidth="1"/>
    <col min="11532" max="11532" width="29.5703125" style="5" customWidth="1"/>
    <col min="11533" max="11533" width="22.42578125" style="5" customWidth="1"/>
    <col min="11534" max="11534" width="2.28515625" style="5" customWidth="1"/>
    <col min="11535" max="11776" width="11.42578125" style="5"/>
    <col min="11777" max="11777" width="16.28515625" style="5" customWidth="1"/>
    <col min="11778" max="11778" width="12.5703125" style="5" customWidth="1"/>
    <col min="11779" max="11779" width="14.7109375" style="5" customWidth="1"/>
    <col min="11780" max="11780" width="5.140625" style="5" customWidth="1"/>
    <col min="11781" max="11781" width="16.85546875" style="5" customWidth="1"/>
    <col min="11782" max="11782" width="2.28515625" style="5" customWidth="1"/>
    <col min="11783" max="11783" width="13.42578125" style="5" customWidth="1"/>
    <col min="11784" max="11784" width="29.7109375" style="5" customWidth="1"/>
    <col min="11785" max="11785" width="25.28515625" style="5" customWidth="1"/>
    <col min="11786" max="11786" width="6" style="5" customWidth="1"/>
    <col min="11787" max="11787" width="24" style="5" customWidth="1"/>
    <col min="11788" max="11788" width="29.5703125" style="5" customWidth="1"/>
    <col min="11789" max="11789" width="22.42578125" style="5" customWidth="1"/>
    <col min="11790" max="11790" width="2.28515625" style="5" customWidth="1"/>
    <col min="11791" max="12032" width="11.42578125" style="5"/>
    <col min="12033" max="12033" width="16.28515625" style="5" customWidth="1"/>
    <col min="12034" max="12034" width="12.5703125" style="5" customWidth="1"/>
    <col min="12035" max="12035" width="14.7109375" style="5" customWidth="1"/>
    <col min="12036" max="12036" width="5.140625" style="5" customWidth="1"/>
    <col min="12037" max="12037" width="16.85546875" style="5" customWidth="1"/>
    <col min="12038" max="12038" width="2.28515625" style="5" customWidth="1"/>
    <col min="12039" max="12039" width="13.42578125" style="5" customWidth="1"/>
    <col min="12040" max="12040" width="29.7109375" style="5" customWidth="1"/>
    <col min="12041" max="12041" width="25.28515625" style="5" customWidth="1"/>
    <col min="12042" max="12042" width="6" style="5" customWidth="1"/>
    <col min="12043" max="12043" width="24" style="5" customWidth="1"/>
    <col min="12044" max="12044" width="29.5703125" style="5" customWidth="1"/>
    <col min="12045" max="12045" width="22.42578125" style="5" customWidth="1"/>
    <col min="12046" max="12046" width="2.28515625" style="5" customWidth="1"/>
    <col min="12047" max="12288" width="11.42578125" style="5"/>
    <col min="12289" max="12289" width="16.28515625" style="5" customWidth="1"/>
    <col min="12290" max="12290" width="12.5703125" style="5" customWidth="1"/>
    <col min="12291" max="12291" width="14.7109375" style="5" customWidth="1"/>
    <col min="12292" max="12292" width="5.140625" style="5" customWidth="1"/>
    <col min="12293" max="12293" width="16.85546875" style="5" customWidth="1"/>
    <col min="12294" max="12294" width="2.28515625" style="5" customWidth="1"/>
    <col min="12295" max="12295" width="13.42578125" style="5" customWidth="1"/>
    <col min="12296" max="12296" width="29.7109375" style="5" customWidth="1"/>
    <col min="12297" max="12297" width="25.28515625" style="5" customWidth="1"/>
    <col min="12298" max="12298" width="6" style="5" customWidth="1"/>
    <col min="12299" max="12299" width="24" style="5" customWidth="1"/>
    <col min="12300" max="12300" width="29.5703125" style="5" customWidth="1"/>
    <col min="12301" max="12301" width="22.42578125" style="5" customWidth="1"/>
    <col min="12302" max="12302" width="2.28515625" style="5" customWidth="1"/>
    <col min="12303" max="12544" width="11.42578125" style="5"/>
    <col min="12545" max="12545" width="16.28515625" style="5" customWidth="1"/>
    <col min="12546" max="12546" width="12.5703125" style="5" customWidth="1"/>
    <col min="12547" max="12547" width="14.7109375" style="5" customWidth="1"/>
    <col min="12548" max="12548" width="5.140625" style="5" customWidth="1"/>
    <col min="12549" max="12549" width="16.85546875" style="5" customWidth="1"/>
    <col min="12550" max="12550" width="2.28515625" style="5" customWidth="1"/>
    <col min="12551" max="12551" width="13.42578125" style="5" customWidth="1"/>
    <col min="12552" max="12552" width="29.7109375" style="5" customWidth="1"/>
    <col min="12553" max="12553" width="25.28515625" style="5" customWidth="1"/>
    <col min="12554" max="12554" width="6" style="5" customWidth="1"/>
    <col min="12555" max="12555" width="24" style="5" customWidth="1"/>
    <col min="12556" max="12556" width="29.5703125" style="5" customWidth="1"/>
    <col min="12557" max="12557" width="22.42578125" style="5" customWidth="1"/>
    <col min="12558" max="12558" width="2.28515625" style="5" customWidth="1"/>
    <col min="12559" max="12800" width="11.42578125" style="5"/>
    <col min="12801" max="12801" width="16.28515625" style="5" customWidth="1"/>
    <col min="12802" max="12802" width="12.5703125" style="5" customWidth="1"/>
    <col min="12803" max="12803" width="14.7109375" style="5" customWidth="1"/>
    <col min="12804" max="12804" width="5.140625" style="5" customWidth="1"/>
    <col min="12805" max="12805" width="16.85546875" style="5" customWidth="1"/>
    <col min="12806" max="12806" width="2.28515625" style="5" customWidth="1"/>
    <col min="12807" max="12807" width="13.42578125" style="5" customWidth="1"/>
    <col min="12808" max="12808" width="29.7109375" style="5" customWidth="1"/>
    <col min="12809" max="12809" width="25.28515625" style="5" customWidth="1"/>
    <col min="12810" max="12810" width="6" style="5" customWidth="1"/>
    <col min="12811" max="12811" width="24" style="5" customWidth="1"/>
    <col min="12812" max="12812" width="29.5703125" style="5" customWidth="1"/>
    <col min="12813" max="12813" width="22.42578125" style="5" customWidth="1"/>
    <col min="12814" max="12814" width="2.28515625" style="5" customWidth="1"/>
    <col min="12815" max="13056" width="11.42578125" style="5"/>
    <col min="13057" max="13057" width="16.28515625" style="5" customWidth="1"/>
    <col min="13058" max="13058" width="12.5703125" style="5" customWidth="1"/>
    <col min="13059" max="13059" width="14.7109375" style="5" customWidth="1"/>
    <col min="13060" max="13060" width="5.140625" style="5" customWidth="1"/>
    <col min="13061" max="13061" width="16.85546875" style="5" customWidth="1"/>
    <col min="13062" max="13062" width="2.28515625" style="5" customWidth="1"/>
    <col min="13063" max="13063" width="13.42578125" style="5" customWidth="1"/>
    <col min="13064" max="13064" width="29.7109375" style="5" customWidth="1"/>
    <col min="13065" max="13065" width="25.28515625" style="5" customWidth="1"/>
    <col min="13066" max="13066" width="6" style="5" customWidth="1"/>
    <col min="13067" max="13067" width="24" style="5" customWidth="1"/>
    <col min="13068" max="13068" width="29.5703125" style="5" customWidth="1"/>
    <col min="13069" max="13069" width="22.42578125" style="5" customWidth="1"/>
    <col min="13070" max="13070" width="2.28515625" style="5" customWidth="1"/>
    <col min="13071" max="13312" width="11.42578125" style="5"/>
    <col min="13313" max="13313" width="16.28515625" style="5" customWidth="1"/>
    <col min="13314" max="13314" width="12.5703125" style="5" customWidth="1"/>
    <col min="13315" max="13315" width="14.7109375" style="5" customWidth="1"/>
    <col min="13316" max="13316" width="5.140625" style="5" customWidth="1"/>
    <col min="13317" max="13317" width="16.85546875" style="5" customWidth="1"/>
    <col min="13318" max="13318" width="2.28515625" style="5" customWidth="1"/>
    <col min="13319" max="13319" width="13.42578125" style="5" customWidth="1"/>
    <col min="13320" max="13320" width="29.7109375" style="5" customWidth="1"/>
    <col min="13321" max="13321" width="25.28515625" style="5" customWidth="1"/>
    <col min="13322" max="13322" width="6" style="5" customWidth="1"/>
    <col min="13323" max="13323" width="24" style="5" customWidth="1"/>
    <col min="13324" max="13324" width="29.5703125" style="5" customWidth="1"/>
    <col min="13325" max="13325" width="22.42578125" style="5" customWidth="1"/>
    <col min="13326" max="13326" width="2.28515625" style="5" customWidth="1"/>
    <col min="13327" max="13568" width="11.42578125" style="5"/>
    <col min="13569" max="13569" width="16.28515625" style="5" customWidth="1"/>
    <col min="13570" max="13570" width="12.5703125" style="5" customWidth="1"/>
    <col min="13571" max="13571" width="14.7109375" style="5" customWidth="1"/>
    <col min="13572" max="13572" width="5.140625" style="5" customWidth="1"/>
    <col min="13573" max="13573" width="16.85546875" style="5" customWidth="1"/>
    <col min="13574" max="13574" width="2.28515625" style="5" customWidth="1"/>
    <col min="13575" max="13575" width="13.42578125" style="5" customWidth="1"/>
    <col min="13576" max="13576" width="29.7109375" style="5" customWidth="1"/>
    <col min="13577" max="13577" width="25.28515625" style="5" customWidth="1"/>
    <col min="13578" max="13578" width="6" style="5" customWidth="1"/>
    <col min="13579" max="13579" width="24" style="5" customWidth="1"/>
    <col min="13580" max="13580" width="29.5703125" style="5" customWidth="1"/>
    <col min="13581" max="13581" width="22.42578125" style="5" customWidth="1"/>
    <col min="13582" max="13582" width="2.28515625" style="5" customWidth="1"/>
    <col min="13583" max="13824" width="11.42578125" style="5"/>
    <col min="13825" max="13825" width="16.28515625" style="5" customWidth="1"/>
    <col min="13826" max="13826" width="12.5703125" style="5" customWidth="1"/>
    <col min="13827" max="13827" width="14.7109375" style="5" customWidth="1"/>
    <col min="13828" max="13828" width="5.140625" style="5" customWidth="1"/>
    <col min="13829" max="13829" width="16.85546875" style="5" customWidth="1"/>
    <col min="13830" max="13830" width="2.28515625" style="5" customWidth="1"/>
    <col min="13831" max="13831" width="13.42578125" style="5" customWidth="1"/>
    <col min="13832" max="13832" width="29.7109375" style="5" customWidth="1"/>
    <col min="13833" max="13833" width="25.28515625" style="5" customWidth="1"/>
    <col min="13834" max="13834" width="6" style="5" customWidth="1"/>
    <col min="13835" max="13835" width="24" style="5" customWidth="1"/>
    <col min="13836" max="13836" width="29.5703125" style="5" customWidth="1"/>
    <col min="13837" max="13837" width="22.42578125" style="5" customWidth="1"/>
    <col min="13838" max="13838" width="2.28515625" style="5" customWidth="1"/>
    <col min="13839" max="14080" width="11.42578125" style="5"/>
    <col min="14081" max="14081" width="16.28515625" style="5" customWidth="1"/>
    <col min="14082" max="14082" width="12.5703125" style="5" customWidth="1"/>
    <col min="14083" max="14083" width="14.7109375" style="5" customWidth="1"/>
    <col min="14084" max="14084" width="5.140625" style="5" customWidth="1"/>
    <col min="14085" max="14085" width="16.85546875" style="5" customWidth="1"/>
    <col min="14086" max="14086" width="2.28515625" style="5" customWidth="1"/>
    <col min="14087" max="14087" width="13.42578125" style="5" customWidth="1"/>
    <col min="14088" max="14088" width="29.7109375" style="5" customWidth="1"/>
    <col min="14089" max="14089" width="25.28515625" style="5" customWidth="1"/>
    <col min="14090" max="14090" width="6" style="5" customWidth="1"/>
    <col min="14091" max="14091" width="24" style="5" customWidth="1"/>
    <col min="14092" max="14092" width="29.5703125" style="5" customWidth="1"/>
    <col min="14093" max="14093" width="22.42578125" style="5" customWidth="1"/>
    <col min="14094" max="14094" width="2.28515625" style="5" customWidth="1"/>
    <col min="14095" max="14336" width="11.42578125" style="5"/>
    <col min="14337" max="14337" width="16.28515625" style="5" customWidth="1"/>
    <col min="14338" max="14338" width="12.5703125" style="5" customWidth="1"/>
    <col min="14339" max="14339" width="14.7109375" style="5" customWidth="1"/>
    <col min="14340" max="14340" width="5.140625" style="5" customWidth="1"/>
    <col min="14341" max="14341" width="16.85546875" style="5" customWidth="1"/>
    <col min="14342" max="14342" width="2.28515625" style="5" customWidth="1"/>
    <col min="14343" max="14343" width="13.42578125" style="5" customWidth="1"/>
    <col min="14344" max="14344" width="29.7109375" style="5" customWidth="1"/>
    <col min="14345" max="14345" width="25.28515625" style="5" customWidth="1"/>
    <col min="14346" max="14346" width="6" style="5" customWidth="1"/>
    <col min="14347" max="14347" width="24" style="5" customWidth="1"/>
    <col min="14348" max="14348" width="29.5703125" style="5" customWidth="1"/>
    <col min="14349" max="14349" width="22.42578125" style="5" customWidth="1"/>
    <col min="14350" max="14350" width="2.28515625" style="5" customWidth="1"/>
    <col min="14351" max="14592" width="11.42578125" style="5"/>
    <col min="14593" max="14593" width="16.28515625" style="5" customWidth="1"/>
    <col min="14594" max="14594" width="12.5703125" style="5" customWidth="1"/>
    <col min="14595" max="14595" width="14.7109375" style="5" customWidth="1"/>
    <col min="14596" max="14596" width="5.140625" style="5" customWidth="1"/>
    <col min="14597" max="14597" width="16.85546875" style="5" customWidth="1"/>
    <col min="14598" max="14598" width="2.28515625" style="5" customWidth="1"/>
    <col min="14599" max="14599" width="13.42578125" style="5" customWidth="1"/>
    <col min="14600" max="14600" width="29.7109375" style="5" customWidth="1"/>
    <col min="14601" max="14601" width="25.28515625" style="5" customWidth="1"/>
    <col min="14602" max="14602" width="6" style="5" customWidth="1"/>
    <col min="14603" max="14603" width="24" style="5" customWidth="1"/>
    <col min="14604" max="14604" width="29.5703125" style="5" customWidth="1"/>
    <col min="14605" max="14605" width="22.42578125" style="5" customWidth="1"/>
    <col min="14606" max="14606" width="2.28515625" style="5" customWidth="1"/>
    <col min="14607" max="14848" width="11.42578125" style="5"/>
    <col min="14849" max="14849" width="16.28515625" style="5" customWidth="1"/>
    <col min="14850" max="14850" width="12.5703125" style="5" customWidth="1"/>
    <col min="14851" max="14851" width="14.7109375" style="5" customWidth="1"/>
    <col min="14852" max="14852" width="5.140625" style="5" customWidth="1"/>
    <col min="14853" max="14853" width="16.85546875" style="5" customWidth="1"/>
    <col min="14854" max="14854" width="2.28515625" style="5" customWidth="1"/>
    <col min="14855" max="14855" width="13.42578125" style="5" customWidth="1"/>
    <col min="14856" max="14856" width="29.7109375" style="5" customWidth="1"/>
    <col min="14857" max="14857" width="25.28515625" style="5" customWidth="1"/>
    <col min="14858" max="14858" width="6" style="5" customWidth="1"/>
    <col min="14859" max="14859" width="24" style="5" customWidth="1"/>
    <col min="14860" max="14860" width="29.5703125" style="5" customWidth="1"/>
    <col min="14861" max="14861" width="22.42578125" style="5" customWidth="1"/>
    <col min="14862" max="14862" width="2.28515625" style="5" customWidth="1"/>
    <col min="14863" max="15104" width="11.42578125" style="5"/>
    <col min="15105" max="15105" width="16.28515625" style="5" customWidth="1"/>
    <col min="15106" max="15106" width="12.5703125" style="5" customWidth="1"/>
    <col min="15107" max="15107" width="14.7109375" style="5" customWidth="1"/>
    <col min="15108" max="15108" width="5.140625" style="5" customWidth="1"/>
    <col min="15109" max="15109" width="16.85546875" style="5" customWidth="1"/>
    <col min="15110" max="15110" width="2.28515625" style="5" customWidth="1"/>
    <col min="15111" max="15111" width="13.42578125" style="5" customWidth="1"/>
    <col min="15112" max="15112" width="29.7109375" style="5" customWidth="1"/>
    <col min="15113" max="15113" width="25.28515625" style="5" customWidth="1"/>
    <col min="15114" max="15114" width="6" style="5" customWidth="1"/>
    <col min="15115" max="15115" width="24" style="5" customWidth="1"/>
    <col min="15116" max="15116" width="29.5703125" style="5" customWidth="1"/>
    <col min="15117" max="15117" width="22.42578125" style="5" customWidth="1"/>
    <col min="15118" max="15118" width="2.28515625" style="5" customWidth="1"/>
    <col min="15119" max="15360" width="11.42578125" style="5"/>
    <col min="15361" max="15361" width="16.28515625" style="5" customWidth="1"/>
    <col min="15362" max="15362" width="12.5703125" style="5" customWidth="1"/>
    <col min="15363" max="15363" width="14.7109375" style="5" customWidth="1"/>
    <col min="15364" max="15364" width="5.140625" style="5" customWidth="1"/>
    <col min="15365" max="15365" width="16.85546875" style="5" customWidth="1"/>
    <col min="15366" max="15366" width="2.28515625" style="5" customWidth="1"/>
    <col min="15367" max="15367" width="13.42578125" style="5" customWidth="1"/>
    <col min="15368" max="15368" width="29.7109375" style="5" customWidth="1"/>
    <col min="15369" max="15369" width="25.28515625" style="5" customWidth="1"/>
    <col min="15370" max="15370" width="6" style="5" customWidth="1"/>
    <col min="15371" max="15371" width="24" style="5" customWidth="1"/>
    <col min="15372" max="15372" width="29.5703125" style="5" customWidth="1"/>
    <col min="15373" max="15373" width="22.42578125" style="5" customWidth="1"/>
    <col min="15374" max="15374" width="2.28515625" style="5" customWidth="1"/>
    <col min="15375" max="15616" width="11.42578125" style="5"/>
    <col min="15617" max="15617" width="16.28515625" style="5" customWidth="1"/>
    <col min="15618" max="15618" width="12.5703125" style="5" customWidth="1"/>
    <col min="15619" max="15619" width="14.7109375" style="5" customWidth="1"/>
    <col min="15620" max="15620" width="5.140625" style="5" customWidth="1"/>
    <col min="15621" max="15621" width="16.85546875" style="5" customWidth="1"/>
    <col min="15622" max="15622" width="2.28515625" style="5" customWidth="1"/>
    <col min="15623" max="15623" width="13.42578125" style="5" customWidth="1"/>
    <col min="15624" max="15624" width="29.7109375" style="5" customWidth="1"/>
    <col min="15625" max="15625" width="25.28515625" style="5" customWidth="1"/>
    <col min="15626" max="15626" width="6" style="5" customWidth="1"/>
    <col min="15627" max="15627" width="24" style="5" customWidth="1"/>
    <col min="15628" max="15628" width="29.5703125" style="5" customWidth="1"/>
    <col min="15629" max="15629" width="22.42578125" style="5" customWidth="1"/>
    <col min="15630" max="15630" width="2.28515625" style="5" customWidth="1"/>
    <col min="15631" max="15872" width="11.42578125" style="5"/>
    <col min="15873" max="15873" width="16.28515625" style="5" customWidth="1"/>
    <col min="15874" max="15874" width="12.5703125" style="5" customWidth="1"/>
    <col min="15875" max="15875" width="14.7109375" style="5" customWidth="1"/>
    <col min="15876" max="15876" width="5.140625" style="5" customWidth="1"/>
    <col min="15877" max="15877" width="16.85546875" style="5" customWidth="1"/>
    <col min="15878" max="15878" width="2.28515625" style="5" customWidth="1"/>
    <col min="15879" max="15879" width="13.42578125" style="5" customWidth="1"/>
    <col min="15880" max="15880" width="29.7109375" style="5" customWidth="1"/>
    <col min="15881" max="15881" width="25.28515625" style="5" customWidth="1"/>
    <col min="15882" max="15882" width="6" style="5" customWidth="1"/>
    <col min="15883" max="15883" width="24" style="5" customWidth="1"/>
    <col min="15884" max="15884" width="29.5703125" style="5" customWidth="1"/>
    <col min="15885" max="15885" width="22.42578125" style="5" customWidth="1"/>
    <col min="15886" max="15886" width="2.28515625" style="5" customWidth="1"/>
    <col min="15887" max="16128" width="11.42578125" style="5"/>
    <col min="16129" max="16129" width="16.28515625" style="5" customWidth="1"/>
    <col min="16130" max="16130" width="12.5703125" style="5" customWidth="1"/>
    <col min="16131" max="16131" width="14.7109375" style="5" customWidth="1"/>
    <col min="16132" max="16132" width="5.140625" style="5" customWidth="1"/>
    <col min="16133" max="16133" width="16.85546875" style="5" customWidth="1"/>
    <col min="16134" max="16134" width="2.28515625" style="5" customWidth="1"/>
    <col min="16135" max="16135" width="13.42578125" style="5" customWidth="1"/>
    <col min="16136" max="16136" width="29.7109375" style="5" customWidth="1"/>
    <col min="16137" max="16137" width="25.28515625" style="5" customWidth="1"/>
    <col min="16138" max="16138" width="6" style="5" customWidth="1"/>
    <col min="16139" max="16139" width="24" style="5" customWidth="1"/>
    <col min="16140" max="16140" width="29.5703125" style="5" customWidth="1"/>
    <col min="16141" max="16141" width="22.42578125" style="5" customWidth="1"/>
    <col min="16142" max="16142" width="2.28515625" style="5" customWidth="1"/>
    <col min="16143" max="16384" width="11.42578125" style="5"/>
  </cols>
  <sheetData>
    <row r="1" spans="1:26" ht="15" customHeight="1" x14ac:dyDescent="0.25">
      <c r="A1" s="4"/>
      <c r="B1" s="161" t="s">
        <v>0</v>
      </c>
      <c r="C1" s="163"/>
      <c r="D1" s="163"/>
      <c r="E1" s="164" t="s">
        <v>4279</v>
      </c>
      <c r="F1" s="164"/>
      <c r="G1" s="164"/>
      <c r="H1" s="164"/>
      <c r="I1" s="164"/>
      <c r="J1" s="164"/>
      <c r="K1" s="164"/>
      <c r="L1" s="164"/>
      <c r="M1" s="165"/>
      <c r="Z1" s="5" t="s">
        <v>3096</v>
      </c>
    </row>
    <row r="2" spans="1:26" ht="6.75" customHeight="1" x14ac:dyDescent="0.25">
      <c r="A2" s="6"/>
      <c r="B2" s="162"/>
      <c r="C2" s="163"/>
      <c r="D2" s="163"/>
      <c r="E2" s="166"/>
      <c r="F2" s="166"/>
      <c r="G2" s="166"/>
      <c r="H2" s="166"/>
      <c r="I2" s="166"/>
      <c r="J2" s="166"/>
      <c r="K2" s="166"/>
      <c r="L2" s="166"/>
      <c r="M2" s="167"/>
      <c r="Z2" s="5" t="s">
        <v>64</v>
      </c>
    </row>
    <row r="3" spans="1:26" ht="15" customHeight="1" x14ac:dyDescent="0.25">
      <c r="A3" s="6"/>
      <c r="B3" s="170" t="s">
        <v>1</v>
      </c>
      <c r="C3" s="172"/>
      <c r="D3" s="173"/>
      <c r="E3" s="166"/>
      <c r="F3" s="166"/>
      <c r="G3" s="166"/>
      <c r="H3" s="166"/>
      <c r="I3" s="166"/>
      <c r="J3" s="166"/>
      <c r="K3" s="166"/>
      <c r="L3" s="166"/>
      <c r="M3" s="167"/>
    </row>
    <row r="4" spans="1:26" ht="9" customHeight="1" x14ac:dyDescent="0.25">
      <c r="A4" s="6"/>
      <c r="B4" s="171"/>
      <c r="C4" s="172"/>
      <c r="D4" s="173"/>
      <c r="E4" s="166"/>
      <c r="F4" s="166"/>
      <c r="G4" s="166"/>
      <c r="H4" s="166"/>
      <c r="I4" s="166"/>
      <c r="J4" s="166"/>
      <c r="K4" s="166"/>
      <c r="L4" s="166"/>
      <c r="M4" s="167"/>
    </row>
    <row r="5" spans="1:26" ht="15" customHeight="1" x14ac:dyDescent="0.25">
      <c r="A5" s="6"/>
      <c r="B5" s="174" t="s">
        <v>2</v>
      </c>
      <c r="C5" s="174"/>
      <c r="D5" s="174"/>
      <c r="E5" s="168"/>
      <c r="F5" s="168"/>
      <c r="G5" s="168"/>
      <c r="H5" s="168"/>
      <c r="I5" s="168"/>
      <c r="J5" s="168"/>
      <c r="K5" s="168"/>
      <c r="L5" s="168"/>
      <c r="M5" s="169"/>
    </row>
    <row r="6" spans="1:26" customFormat="1" ht="3.75" customHeight="1" x14ac:dyDescent="0.25">
      <c r="A6" s="147"/>
      <c r="B6" s="148"/>
      <c r="C6" s="148"/>
      <c r="D6" s="148"/>
      <c r="E6" s="149"/>
      <c r="F6" s="149"/>
      <c r="G6" s="149"/>
      <c r="H6" s="149"/>
      <c r="I6" s="149"/>
      <c r="J6" s="149"/>
      <c r="K6" s="149"/>
      <c r="L6" s="149"/>
      <c r="M6" s="150"/>
    </row>
    <row r="7" spans="1:26" ht="21" x14ac:dyDescent="0.25">
      <c r="A7" s="155" t="s">
        <v>3</v>
      </c>
      <c r="B7" s="156"/>
      <c r="C7" s="156"/>
      <c r="D7" s="156"/>
      <c r="E7" s="156"/>
      <c r="F7" s="156"/>
      <c r="G7" s="156"/>
      <c r="H7" s="156"/>
      <c r="I7" s="156"/>
      <c r="J7" s="156"/>
      <c r="K7" s="156"/>
      <c r="L7" s="156"/>
      <c r="M7" s="157"/>
    </row>
    <row r="8" spans="1:26" ht="4.5" customHeight="1" x14ac:dyDescent="0.25">
      <c r="A8" s="6"/>
      <c r="M8" s="8"/>
    </row>
    <row r="9" spans="1:26" x14ac:dyDescent="0.25">
      <c r="A9" s="6"/>
      <c r="M9" s="8"/>
    </row>
    <row r="10" spans="1:26" ht="18.75" customHeight="1" x14ac:dyDescent="0.25">
      <c r="A10" s="6"/>
      <c r="M10" s="8"/>
    </row>
    <row r="11" spans="1:26" x14ac:dyDescent="0.25">
      <c r="A11" s="38" t="b">
        <v>0</v>
      </c>
      <c r="D11" s="39" t="b">
        <v>0</v>
      </c>
      <c r="G11" s="9"/>
      <c r="H11" s="40" t="b">
        <v>0</v>
      </c>
      <c r="J11" s="180" t="s">
        <v>4281</v>
      </c>
      <c r="K11" s="181" t="b">
        <v>0</v>
      </c>
      <c r="L11" s="112"/>
      <c r="M11" s="10"/>
    </row>
    <row r="12" spans="1:26" ht="6" customHeight="1" x14ac:dyDescent="0.25">
      <c r="A12" s="6"/>
      <c r="M12" s="8"/>
    </row>
    <row r="13" spans="1:26" ht="21" x14ac:dyDescent="0.25">
      <c r="A13" s="158" t="s">
        <v>4</v>
      </c>
      <c r="B13" s="156"/>
      <c r="C13" s="156"/>
      <c r="D13" s="156"/>
      <c r="E13" s="156"/>
      <c r="F13" s="156"/>
      <c r="G13" s="156"/>
      <c r="H13" s="156"/>
      <c r="I13" s="156"/>
      <c r="J13" s="156"/>
      <c r="K13" s="156"/>
      <c r="L13" s="156"/>
      <c r="M13" s="157"/>
    </row>
    <row r="14" spans="1:26" ht="7.5" customHeight="1" x14ac:dyDescent="0.25">
      <c r="A14" s="4"/>
      <c r="B14" s="7"/>
      <c r="C14" s="7"/>
      <c r="D14" s="7"/>
      <c r="E14" s="7"/>
      <c r="F14" s="7"/>
      <c r="G14" s="7"/>
      <c r="H14" s="7"/>
      <c r="I14" s="7"/>
      <c r="J14" s="7"/>
      <c r="K14" s="7"/>
      <c r="L14" s="7"/>
      <c r="M14" s="11"/>
    </row>
    <row r="15" spans="1:26" x14ac:dyDescent="0.25">
      <c r="A15" s="118" t="s">
        <v>5</v>
      </c>
      <c r="D15" s="175"/>
      <c r="E15" s="176"/>
      <c r="F15" s="176"/>
      <c r="G15" s="176"/>
      <c r="H15" s="177"/>
      <c r="I15" s="12"/>
      <c r="J15" s="121" t="s">
        <v>6</v>
      </c>
      <c r="L15" s="178"/>
      <c r="M15" s="179"/>
    </row>
    <row r="16" spans="1:26" ht="6" customHeight="1" x14ac:dyDescent="0.25">
      <c r="A16" s="119"/>
      <c r="D16" s="110"/>
      <c r="E16" s="110"/>
      <c r="F16" s="110"/>
      <c r="G16" s="110"/>
      <c r="H16" s="110"/>
      <c r="J16" s="13"/>
      <c r="L16" s="110"/>
      <c r="M16" s="111"/>
    </row>
    <row r="17" spans="1:26" x14ac:dyDescent="0.25">
      <c r="A17" s="118" t="s">
        <v>7</v>
      </c>
      <c r="D17" s="175"/>
      <c r="E17" s="176"/>
      <c r="F17" s="176"/>
      <c r="G17" s="176"/>
      <c r="H17" s="177"/>
      <c r="I17" s="12"/>
      <c r="J17" s="121" t="s">
        <v>8</v>
      </c>
      <c r="L17" s="159"/>
      <c r="M17" s="160"/>
    </row>
    <row r="18" spans="1:26" ht="5.25" customHeight="1" x14ac:dyDescent="0.25">
      <c r="A18" s="119"/>
      <c r="D18" s="110"/>
      <c r="E18" s="110"/>
      <c r="F18" s="110"/>
      <c r="G18" s="110"/>
      <c r="H18" s="110"/>
      <c r="J18" s="13"/>
      <c r="L18" s="110"/>
      <c r="M18" s="111"/>
    </row>
    <row r="19" spans="1:26" x14ac:dyDescent="0.25">
      <c r="A19" s="118" t="s">
        <v>9</v>
      </c>
      <c r="D19" s="175"/>
      <c r="E19" s="176"/>
      <c r="F19" s="176"/>
      <c r="G19" s="176"/>
      <c r="H19" s="177"/>
      <c r="I19" s="12"/>
      <c r="J19" s="121" t="s">
        <v>10</v>
      </c>
      <c r="L19" s="188"/>
      <c r="M19" s="179"/>
    </row>
    <row r="20" spans="1:26" ht="6.75" customHeight="1" x14ac:dyDescent="0.25">
      <c r="A20" s="120"/>
      <c r="B20" s="15"/>
      <c r="C20" s="15"/>
      <c r="D20" s="113"/>
      <c r="E20" s="113"/>
      <c r="F20" s="113"/>
      <c r="G20" s="113"/>
      <c r="H20" s="113"/>
      <c r="I20" s="15"/>
      <c r="J20" s="15"/>
      <c r="K20" s="15"/>
      <c r="L20" s="113"/>
      <c r="M20" s="114"/>
    </row>
    <row r="21" spans="1:26" ht="6" customHeight="1" x14ac:dyDescent="0.25">
      <c r="A21" s="119"/>
      <c r="D21" s="17"/>
      <c r="E21" s="17"/>
      <c r="F21" s="17"/>
      <c r="G21" s="17"/>
      <c r="H21" s="17"/>
      <c r="I21" s="17"/>
      <c r="J21" s="17"/>
      <c r="K21" s="17"/>
      <c r="L21" s="115"/>
      <c r="M21" s="116"/>
    </row>
    <row r="22" spans="1:26" x14ac:dyDescent="0.25">
      <c r="A22" s="118" t="s">
        <v>11</v>
      </c>
      <c r="C22" s="175"/>
      <c r="D22" s="176"/>
      <c r="E22" s="177"/>
      <c r="G22" s="122" t="s">
        <v>12</v>
      </c>
      <c r="H22" s="117"/>
      <c r="I22" s="18"/>
      <c r="J22" s="121" t="s">
        <v>13</v>
      </c>
      <c r="L22" s="178"/>
      <c r="M22" s="179"/>
    </row>
    <row r="23" spans="1:26" ht="17.25" x14ac:dyDescent="0.3">
      <c r="A23" s="14"/>
      <c r="B23" s="15"/>
      <c r="C23" s="15"/>
      <c r="D23" s="15"/>
      <c r="E23" s="15"/>
      <c r="F23" s="15"/>
      <c r="G23" s="15"/>
      <c r="H23" s="15"/>
      <c r="I23" s="15"/>
      <c r="J23" s="15"/>
      <c r="K23" s="15"/>
      <c r="L23" s="15"/>
      <c r="M23" s="16"/>
    </row>
    <row r="24" spans="1:26" ht="21" x14ac:dyDescent="0.25">
      <c r="A24" s="158" t="s">
        <v>14</v>
      </c>
      <c r="B24" s="156"/>
      <c r="C24" s="156"/>
      <c r="D24" s="156"/>
      <c r="E24" s="156"/>
      <c r="F24" s="156"/>
      <c r="G24" s="156"/>
      <c r="H24" s="156"/>
      <c r="I24" s="156"/>
      <c r="J24" s="156"/>
      <c r="K24" s="156"/>
      <c r="L24" s="156"/>
      <c r="M24" s="157"/>
    </row>
    <row r="25" spans="1:26" ht="15" customHeight="1" x14ac:dyDescent="0.3">
      <c r="A25" s="19"/>
      <c r="B25" s="20"/>
      <c r="C25" s="20"/>
      <c r="D25" s="20"/>
      <c r="E25" s="20"/>
      <c r="F25" s="20"/>
      <c r="G25" s="20"/>
      <c r="H25" s="20"/>
      <c r="I25" s="20"/>
      <c r="J25" s="20"/>
      <c r="K25" s="20"/>
      <c r="L25" s="20"/>
      <c r="M25" s="21"/>
    </row>
    <row r="26" spans="1:26" ht="21.75" customHeight="1" x14ac:dyDescent="0.3">
      <c r="A26" s="189"/>
      <c r="B26" s="190"/>
      <c r="C26" s="190"/>
      <c r="D26" s="190"/>
      <c r="E26" s="190"/>
      <c r="F26" s="190"/>
      <c r="G26" s="190"/>
      <c r="H26" s="190"/>
      <c r="I26" s="190"/>
      <c r="J26" s="190"/>
      <c r="K26" s="190"/>
      <c r="L26" s="190"/>
      <c r="M26" s="191"/>
    </row>
    <row r="27" spans="1:26" s="23" customFormat="1" ht="32.25" customHeight="1" x14ac:dyDescent="0.25">
      <c r="A27" s="123" t="s">
        <v>15</v>
      </c>
      <c r="B27" s="124" t="s">
        <v>10</v>
      </c>
      <c r="C27" s="125" t="s">
        <v>16</v>
      </c>
      <c r="D27" s="182" t="s">
        <v>17</v>
      </c>
      <c r="E27" s="183"/>
      <c r="F27" s="183"/>
      <c r="G27" s="184"/>
      <c r="H27" s="126" t="s">
        <v>18</v>
      </c>
      <c r="I27" s="127" t="s">
        <v>19</v>
      </c>
      <c r="J27" s="185" t="s">
        <v>20</v>
      </c>
      <c r="K27" s="185"/>
      <c r="L27" s="125" t="s">
        <v>21</v>
      </c>
      <c r="M27" s="128" t="s">
        <v>22</v>
      </c>
      <c r="N27" s="22"/>
    </row>
    <row r="28" spans="1:26" x14ac:dyDescent="0.25">
      <c r="A28" s="138"/>
      <c r="B28" s="139"/>
      <c r="C28" s="140"/>
      <c r="D28" s="192"/>
      <c r="E28" s="193"/>
      <c r="F28" s="193"/>
      <c r="G28" s="194"/>
      <c r="H28" s="139"/>
      <c r="I28" s="139"/>
      <c r="J28" s="186"/>
      <c r="K28" s="187"/>
      <c r="L28" s="139"/>
      <c r="M28" s="141"/>
      <c r="N28" s="5" t="str">
        <f>A28&amp;"|"&amp;I28&amp;"|"&amp;J28&amp;"|"&amp;L28</f>
        <v>|||</v>
      </c>
      <c r="Z28" s="12" t="e">
        <f>+VLOOKUP(H28,'2. Centros'!J:K,2,0)</f>
        <v>#N/A</v>
      </c>
    </row>
    <row r="29" spans="1:26" x14ac:dyDescent="0.25">
      <c r="A29" s="138"/>
      <c r="B29" s="139"/>
      <c r="C29" s="142"/>
      <c r="D29" s="186"/>
      <c r="E29" s="195"/>
      <c r="F29" s="195"/>
      <c r="G29" s="196"/>
      <c r="H29" s="139"/>
      <c r="I29" s="139"/>
      <c r="J29" s="186"/>
      <c r="K29" s="187"/>
      <c r="L29" s="139"/>
      <c r="M29" s="141"/>
      <c r="N29" s="5" t="str">
        <f t="shared" ref="N29:N85" si="0">A29&amp;"|"&amp;I29&amp;"|"&amp;J29&amp;"|"&amp;L29</f>
        <v>|||</v>
      </c>
      <c r="Z29" s="12" t="e">
        <f>+VLOOKUP(H29,'2. Centros'!J:K,2,0)</f>
        <v>#N/A</v>
      </c>
    </row>
    <row r="30" spans="1:26" x14ac:dyDescent="0.25">
      <c r="A30" s="138"/>
      <c r="B30" s="139"/>
      <c r="C30" s="140"/>
      <c r="D30" s="192"/>
      <c r="E30" s="193"/>
      <c r="F30" s="193"/>
      <c r="G30" s="194"/>
      <c r="H30" s="139"/>
      <c r="I30" s="139"/>
      <c r="J30" s="186"/>
      <c r="K30" s="187"/>
      <c r="L30" s="139"/>
      <c r="M30" s="141"/>
      <c r="N30" s="5" t="str">
        <f t="shared" si="0"/>
        <v>|||</v>
      </c>
      <c r="Z30" s="12" t="e">
        <f>+VLOOKUP(H30,'2. Centros'!J:K,2,0)</f>
        <v>#N/A</v>
      </c>
    </row>
    <row r="31" spans="1:26" x14ac:dyDescent="0.25">
      <c r="A31" s="138"/>
      <c r="B31" s="139"/>
      <c r="C31" s="142"/>
      <c r="D31" s="186"/>
      <c r="E31" s="195"/>
      <c r="F31" s="195"/>
      <c r="G31" s="195"/>
      <c r="H31" s="139"/>
      <c r="I31" s="139"/>
      <c r="J31" s="186"/>
      <c r="K31" s="187"/>
      <c r="L31" s="139"/>
      <c r="M31" s="141"/>
      <c r="N31" s="5" t="str">
        <f t="shared" si="0"/>
        <v>|||</v>
      </c>
      <c r="Z31" s="12" t="e">
        <f>+VLOOKUP(H31,'2. Centros'!J:K,2,0)</f>
        <v>#N/A</v>
      </c>
    </row>
    <row r="32" spans="1:26" x14ac:dyDescent="0.25">
      <c r="A32" s="138"/>
      <c r="B32" s="139"/>
      <c r="C32" s="142"/>
      <c r="D32" s="186"/>
      <c r="E32" s="195"/>
      <c r="F32" s="195"/>
      <c r="G32" s="195"/>
      <c r="H32" s="139"/>
      <c r="I32" s="139"/>
      <c r="J32" s="186"/>
      <c r="K32" s="187"/>
      <c r="L32" s="139"/>
      <c r="M32" s="141"/>
      <c r="N32" s="5" t="str">
        <f t="shared" si="0"/>
        <v>|||</v>
      </c>
      <c r="Z32" s="12" t="e">
        <f>+VLOOKUP(H32,'2. Centros'!J:K,2,0)</f>
        <v>#N/A</v>
      </c>
    </row>
    <row r="33" spans="1:26" x14ac:dyDescent="0.25">
      <c r="A33" s="138"/>
      <c r="B33" s="139"/>
      <c r="C33" s="142"/>
      <c r="D33" s="186"/>
      <c r="E33" s="195"/>
      <c r="F33" s="195"/>
      <c r="G33" s="195"/>
      <c r="H33" s="139"/>
      <c r="I33" s="139"/>
      <c r="J33" s="186"/>
      <c r="K33" s="187"/>
      <c r="L33" s="139"/>
      <c r="M33" s="141"/>
      <c r="N33" s="5" t="str">
        <f t="shared" si="0"/>
        <v>|||</v>
      </c>
      <c r="Z33" s="12" t="e">
        <f>+VLOOKUP(H33,'2. Centros'!J:K,2,0)</f>
        <v>#N/A</v>
      </c>
    </row>
    <row r="34" spans="1:26" x14ac:dyDescent="0.25">
      <c r="A34" s="138"/>
      <c r="B34" s="139"/>
      <c r="C34" s="142"/>
      <c r="D34" s="186"/>
      <c r="E34" s="195"/>
      <c r="F34" s="195"/>
      <c r="G34" s="195"/>
      <c r="H34" s="139"/>
      <c r="I34" s="139"/>
      <c r="J34" s="186"/>
      <c r="K34" s="187"/>
      <c r="L34" s="139"/>
      <c r="M34" s="141"/>
      <c r="N34" s="5" t="str">
        <f t="shared" si="0"/>
        <v>|||</v>
      </c>
      <c r="Z34" s="12" t="e">
        <f>+VLOOKUP(H34,'2. Centros'!J:K,2,0)</f>
        <v>#N/A</v>
      </c>
    </row>
    <row r="35" spans="1:26" x14ac:dyDescent="0.25">
      <c r="A35" s="138"/>
      <c r="B35" s="139"/>
      <c r="C35" s="142"/>
      <c r="D35" s="186"/>
      <c r="E35" s="195"/>
      <c r="F35" s="195"/>
      <c r="G35" s="195"/>
      <c r="H35" s="139"/>
      <c r="I35" s="139"/>
      <c r="J35" s="186"/>
      <c r="K35" s="187"/>
      <c r="L35" s="139"/>
      <c r="M35" s="141"/>
      <c r="N35" s="5" t="str">
        <f t="shared" si="0"/>
        <v>|||</v>
      </c>
      <c r="Z35" s="12" t="e">
        <f>+VLOOKUP(H35,'2. Centros'!J:K,2,0)</f>
        <v>#N/A</v>
      </c>
    </row>
    <row r="36" spans="1:26" x14ac:dyDescent="0.25">
      <c r="A36" s="138"/>
      <c r="B36" s="139"/>
      <c r="C36" s="142"/>
      <c r="D36" s="186"/>
      <c r="E36" s="195"/>
      <c r="F36" s="195"/>
      <c r="G36" s="195"/>
      <c r="H36" s="139"/>
      <c r="I36" s="139"/>
      <c r="J36" s="186"/>
      <c r="K36" s="187"/>
      <c r="L36" s="139"/>
      <c r="M36" s="141"/>
      <c r="N36" s="5" t="str">
        <f t="shared" si="0"/>
        <v>|||</v>
      </c>
      <c r="Z36" s="12" t="e">
        <f>+VLOOKUP(H36,'2. Centros'!J:K,2,0)</f>
        <v>#N/A</v>
      </c>
    </row>
    <row r="37" spans="1:26" x14ac:dyDescent="0.25">
      <c r="A37" s="138"/>
      <c r="B37" s="139"/>
      <c r="C37" s="142"/>
      <c r="D37" s="186"/>
      <c r="E37" s="195"/>
      <c r="F37" s="195"/>
      <c r="G37" s="195"/>
      <c r="H37" s="139"/>
      <c r="I37" s="139"/>
      <c r="J37" s="186"/>
      <c r="K37" s="187"/>
      <c r="L37" s="139"/>
      <c r="M37" s="141"/>
      <c r="N37" s="5" t="str">
        <f t="shared" si="0"/>
        <v>|||</v>
      </c>
      <c r="Z37" s="12" t="e">
        <f>+VLOOKUP(H37,'2. Centros'!J:K,2,0)</f>
        <v>#N/A</v>
      </c>
    </row>
    <row r="38" spans="1:26" x14ac:dyDescent="0.25">
      <c r="A38" s="138"/>
      <c r="B38" s="139"/>
      <c r="C38" s="142"/>
      <c r="D38" s="186"/>
      <c r="E38" s="195"/>
      <c r="F38" s="195"/>
      <c r="G38" s="195"/>
      <c r="H38" s="139"/>
      <c r="I38" s="139"/>
      <c r="J38" s="186"/>
      <c r="K38" s="187"/>
      <c r="L38" s="139"/>
      <c r="M38" s="141"/>
      <c r="N38" s="5" t="str">
        <f t="shared" si="0"/>
        <v>|||</v>
      </c>
      <c r="Z38" s="12" t="e">
        <f>+VLOOKUP(H38,'2. Centros'!J:K,2,0)</f>
        <v>#N/A</v>
      </c>
    </row>
    <row r="39" spans="1:26" x14ac:dyDescent="0.25">
      <c r="A39" s="138"/>
      <c r="B39" s="139"/>
      <c r="C39" s="142"/>
      <c r="D39" s="186"/>
      <c r="E39" s="195"/>
      <c r="F39" s="195"/>
      <c r="G39" s="195"/>
      <c r="H39" s="139"/>
      <c r="I39" s="139"/>
      <c r="J39" s="186"/>
      <c r="K39" s="187"/>
      <c r="L39" s="139"/>
      <c r="M39" s="141"/>
      <c r="N39" s="5" t="str">
        <f t="shared" si="0"/>
        <v>|||</v>
      </c>
      <c r="Z39" s="12" t="e">
        <f>+VLOOKUP(H39,'2. Centros'!J:K,2,0)</f>
        <v>#N/A</v>
      </c>
    </row>
    <row r="40" spans="1:26" x14ac:dyDescent="0.25">
      <c r="A40" s="138"/>
      <c r="B40" s="139"/>
      <c r="C40" s="142"/>
      <c r="D40" s="186"/>
      <c r="E40" s="195"/>
      <c r="F40" s="195"/>
      <c r="G40" s="195"/>
      <c r="H40" s="139"/>
      <c r="I40" s="139"/>
      <c r="J40" s="186"/>
      <c r="K40" s="187"/>
      <c r="L40" s="139"/>
      <c r="M40" s="141"/>
      <c r="N40" s="5" t="str">
        <f t="shared" si="0"/>
        <v>|||</v>
      </c>
      <c r="Z40" s="12" t="e">
        <f>+VLOOKUP(H40,'2. Centros'!J:K,2,0)</f>
        <v>#N/A</v>
      </c>
    </row>
    <row r="41" spans="1:26" x14ac:dyDescent="0.25">
      <c r="A41" s="143"/>
      <c r="B41" s="144"/>
      <c r="C41" s="145"/>
      <c r="D41" s="197"/>
      <c r="E41" s="198"/>
      <c r="F41" s="198"/>
      <c r="G41" s="198"/>
      <c r="H41" s="139"/>
      <c r="I41" s="139"/>
      <c r="J41" s="186"/>
      <c r="K41" s="187"/>
      <c r="L41" s="139"/>
      <c r="M41" s="141"/>
      <c r="N41" s="5" t="str">
        <f t="shared" si="0"/>
        <v>|||</v>
      </c>
      <c r="Z41" s="12" t="e">
        <f>+VLOOKUP(H41,'2. Centros'!J:K,2,0)</f>
        <v>#N/A</v>
      </c>
    </row>
    <row r="42" spans="1:26" ht="18" customHeight="1" thickBot="1" x14ac:dyDescent="0.3">
      <c r="A42" s="24"/>
      <c r="B42" s="25"/>
      <c r="C42" s="26"/>
      <c r="D42" s="26"/>
      <c r="E42" s="26"/>
      <c r="F42" s="26"/>
      <c r="G42" s="26"/>
      <c r="H42" s="199"/>
      <c r="I42" s="199"/>
      <c r="J42" s="199"/>
      <c r="K42" s="199"/>
      <c r="L42" s="199"/>
      <c r="M42" s="27"/>
      <c r="N42" s="5" t="str">
        <f t="shared" si="0"/>
        <v>|||</v>
      </c>
      <c r="Z42" s="12" t="e">
        <f>+VLOOKUP(H42,'2. Centros'!J:K,2,0)</f>
        <v>#N/A</v>
      </c>
    </row>
    <row r="43" spans="1:26" ht="17.25" customHeight="1" x14ac:dyDescent="0.25">
      <c r="A43" s="24"/>
      <c r="B43" s="25"/>
      <c r="C43" s="26"/>
      <c r="D43" s="26"/>
      <c r="E43" s="26"/>
      <c r="F43" s="26"/>
      <c r="G43" s="26"/>
      <c r="H43" s="200" t="s">
        <v>23</v>
      </c>
      <c r="I43" s="201"/>
      <c r="J43" s="201"/>
      <c r="K43" s="201"/>
      <c r="L43" s="202"/>
      <c r="M43" s="129">
        <f>SUM(M28:M41,M58:M85)</f>
        <v>0</v>
      </c>
      <c r="Z43" s="12" t="e">
        <f>+VLOOKUP(H43,'2. Centros'!J:K,2,0)</f>
        <v>#N/A</v>
      </c>
    </row>
    <row r="44" spans="1:26" ht="18" thickBot="1" x14ac:dyDescent="0.3">
      <c r="A44" s="24"/>
      <c r="B44" s="25"/>
      <c r="C44" s="26"/>
      <c r="D44" s="26"/>
      <c r="E44" s="26"/>
      <c r="F44" s="26"/>
      <c r="G44" s="26"/>
      <c r="H44" s="203" t="s">
        <v>24</v>
      </c>
      <c r="I44" s="204"/>
      <c r="J44" s="204"/>
      <c r="K44" s="204"/>
      <c r="L44" s="205"/>
      <c r="M44" s="130"/>
      <c r="Z44" s="12" t="e">
        <f>+VLOOKUP(H44,'2. Centros'!J:K,2,0)</f>
        <v>#N/A</v>
      </c>
    </row>
    <row r="45" spans="1:26" ht="28.5" customHeight="1" thickBot="1" x14ac:dyDescent="0.3">
      <c r="A45" s="24"/>
      <c r="B45" s="25"/>
      <c r="C45" s="26"/>
      <c r="D45" s="26"/>
      <c r="E45" s="26"/>
      <c r="F45" s="26"/>
      <c r="G45" s="26"/>
      <c r="H45" s="206" t="s">
        <v>25</v>
      </c>
      <c r="I45" s="207"/>
      <c r="J45" s="207"/>
      <c r="K45" s="207"/>
      <c r="L45" s="208"/>
      <c r="M45" s="131">
        <f>+M43+M44</f>
        <v>0</v>
      </c>
      <c r="Z45" s="12" t="e">
        <f>+VLOOKUP(H45,'2. Centros'!J:K,2,0)</f>
        <v>#N/A</v>
      </c>
    </row>
    <row r="46" spans="1:26" ht="48" customHeight="1" x14ac:dyDescent="0.25">
      <c r="A46" s="24"/>
      <c r="B46" s="25"/>
      <c r="C46" s="26"/>
      <c r="D46" s="26"/>
      <c r="E46" s="26"/>
      <c r="F46" s="26"/>
      <c r="G46" s="26"/>
      <c r="H46" s="26"/>
      <c r="I46" s="25"/>
      <c r="J46" s="26"/>
      <c r="K46" s="26"/>
      <c r="Z46" s="12" t="e">
        <f>+VLOOKUP(H46,'2. Centros'!J:K,2,0)</f>
        <v>#N/A</v>
      </c>
    </row>
    <row r="47" spans="1:26" ht="43.5" customHeight="1" x14ac:dyDescent="0.3">
      <c r="A47" s="28"/>
      <c r="B47" s="29"/>
      <c r="C47" s="29"/>
      <c r="D47" s="29"/>
      <c r="E47" s="29"/>
      <c r="F47" s="29"/>
      <c r="G47" s="29"/>
      <c r="H47" s="29"/>
      <c r="I47" s="29"/>
      <c r="J47" s="29"/>
      <c r="K47" s="29"/>
      <c r="L47" s="29"/>
      <c r="M47" s="29"/>
      <c r="Z47" s="12" t="e">
        <f>+VLOOKUP(H47,'2. Centros'!J:K,2,0)</f>
        <v>#N/A</v>
      </c>
    </row>
    <row r="48" spans="1:26" ht="50.85" customHeight="1" x14ac:dyDescent="0.3">
      <c r="A48" s="30"/>
      <c r="B48" s="209" t="s">
        <v>26</v>
      </c>
      <c r="C48" s="209"/>
      <c r="D48" s="31"/>
      <c r="E48" s="32"/>
      <c r="F48" s="32"/>
      <c r="G48" s="32"/>
      <c r="H48" s="133" t="s">
        <v>27</v>
      </c>
      <c r="I48" s="31"/>
      <c r="J48" s="30"/>
      <c r="K48" s="30"/>
      <c r="L48" s="132" t="s">
        <v>28</v>
      </c>
      <c r="M48" s="33"/>
      <c r="Z48" s="12" t="e">
        <f>+VLOOKUP(H48,'2. Centros'!J:K,2,0)</f>
        <v>#N/A</v>
      </c>
    </row>
    <row r="49" spans="1:26" x14ac:dyDescent="0.25">
      <c r="A49" s="4"/>
      <c r="B49" s="210"/>
      <c r="C49" s="211"/>
      <c r="D49" s="212"/>
      <c r="E49" s="213" t="s">
        <v>4280</v>
      </c>
      <c r="F49" s="214"/>
      <c r="G49" s="214"/>
      <c r="H49" s="214"/>
      <c r="I49" s="214"/>
      <c r="J49" s="214"/>
      <c r="K49" s="214"/>
      <c r="L49" s="214"/>
      <c r="M49" s="214"/>
      <c r="Z49" s="12" t="e">
        <f>+VLOOKUP(H49,'2. Centros'!J:K,2,0)</f>
        <v>#N/A</v>
      </c>
    </row>
    <row r="50" spans="1:26" x14ac:dyDescent="0.25">
      <c r="A50" s="6"/>
      <c r="B50" s="210"/>
      <c r="C50" s="211"/>
      <c r="D50" s="212"/>
      <c r="E50" s="213"/>
      <c r="F50" s="214"/>
      <c r="G50" s="214"/>
      <c r="H50" s="214"/>
      <c r="I50" s="214"/>
      <c r="J50" s="214"/>
      <c r="K50" s="214"/>
      <c r="L50" s="214"/>
      <c r="M50" s="214"/>
      <c r="Z50" s="12" t="e">
        <f>+VLOOKUP(H50,'2. Centros'!J:K,2,0)</f>
        <v>#N/A</v>
      </c>
    </row>
    <row r="51" spans="1:26" x14ac:dyDescent="0.25">
      <c r="A51" s="6"/>
      <c r="B51" s="210"/>
      <c r="C51" s="211"/>
      <c r="D51" s="212"/>
      <c r="E51" s="213"/>
      <c r="F51" s="214"/>
      <c r="G51" s="214"/>
      <c r="H51" s="214"/>
      <c r="I51" s="214"/>
      <c r="J51" s="214"/>
      <c r="K51" s="214"/>
      <c r="L51" s="214"/>
      <c r="M51" s="214"/>
      <c r="Z51" s="12" t="e">
        <f>+VLOOKUP(H51,'2. Centros'!J:K,2,0)</f>
        <v>#N/A</v>
      </c>
    </row>
    <row r="52" spans="1:26" x14ac:dyDescent="0.25">
      <c r="A52" s="6"/>
      <c r="B52" s="210"/>
      <c r="C52" s="211"/>
      <c r="D52" s="212"/>
      <c r="E52" s="213"/>
      <c r="F52" s="214"/>
      <c r="G52" s="214"/>
      <c r="H52" s="214"/>
      <c r="I52" s="214"/>
      <c r="J52" s="214"/>
      <c r="K52" s="214"/>
      <c r="L52" s="214"/>
      <c r="M52" s="214"/>
      <c r="Z52" s="12" t="e">
        <f>+VLOOKUP(H52,'2. Centros'!J:K,2,0)</f>
        <v>#N/A</v>
      </c>
    </row>
    <row r="53" spans="1:26" x14ac:dyDescent="0.25">
      <c r="A53" s="41"/>
      <c r="B53" s="210"/>
      <c r="C53" s="211"/>
      <c r="D53" s="212"/>
      <c r="E53" s="213"/>
      <c r="F53" s="214"/>
      <c r="G53" s="214"/>
      <c r="H53" s="214"/>
      <c r="I53" s="214"/>
      <c r="J53" s="214"/>
      <c r="K53" s="214"/>
      <c r="L53" s="214"/>
      <c r="M53" s="214"/>
      <c r="Z53" s="12" t="e">
        <f>+VLOOKUP(H53,'2. Centros'!J:K,2,0)</f>
        <v>#N/A</v>
      </c>
    </row>
    <row r="54" spans="1:26" x14ac:dyDescent="0.25">
      <c r="Z54" s="12" t="e">
        <f>+VLOOKUP(H54,'2. Centros'!J:K,2,0)</f>
        <v>#N/A</v>
      </c>
    </row>
    <row r="55" spans="1:26" x14ac:dyDescent="0.25">
      <c r="Z55" s="12" t="e">
        <f>+VLOOKUP(H55,'2. Centros'!J:K,2,0)</f>
        <v>#N/A</v>
      </c>
    </row>
    <row r="56" spans="1:26" ht="17.25" x14ac:dyDescent="0.3">
      <c r="A56" s="189"/>
      <c r="B56" s="190"/>
      <c r="C56" s="190"/>
      <c r="D56" s="190"/>
      <c r="E56" s="190"/>
      <c r="F56" s="190"/>
      <c r="G56" s="190"/>
      <c r="H56" s="190"/>
      <c r="I56" s="190"/>
      <c r="J56" s="190"/>
      <c r="K56" s="190"/>
      <c r="L56" s="190"/>
      <c r="M56" s="191"/>
      <c r="Z56" s="12" t="e">
        <f>+VLOOKUP(H56,'2. Centros'!J:K,2,0)</f>
        <v>#N/A</v>
      </c>
    </row>
    <row r="57" spans="1:26" ht="34.5" customHeight="1" x14ac:dyDescent="0.25">
      <c r="A57" s="124" t="s">
        <v>15</v>
      </c>
      <c r="B57" s="124" t="s">
        <v>10</v>
      </c>
      <c r="C57" s="125" t="s">
        <v>16</v>
      </c>
      <c r="D57" s="182" t="s">
        <v>29</v>
      </c>
      <c r="E57" s="183"/>
      <c r="F57" s="183"/>
      <c r="G57" s="184"/>
      <c r="H57" s="127" t="s">
        <v>18</v>
      </c>
      <c r="I57" s="127" t="s">
        <v>19</v>
      </c>
      <c r="J57" s="182" t="s">
        <v>20</v>
      </c>
      <c r="K57" s="184"/>
      <c r="L57" s="127" t="s">
        <v>21</v>
      </c>
      <c r="M57" s="127" t="s">
        <v>22</v>
      </c>
      <c r="Z57" s="12" t="e">
        <f>+VLOOKUP(H57,'2. Centros'!J:K,2,0)</f>
        <v>#N/A</v>
      </c>
    </row>
    <row r="58" spans="1:26" x14ac:dyDescent="0.25">
      <c r="A58" s="138"/>
      <c r="B58" s="139"/>
      <c r="C58" s="140"/>
      <c r="D58" s="192"/>
      <c r="E58" s="193"/>
      <c r="F58" s="193"/>
      <c r="G58" s="194"/>
      <c r="H58" s="139"/>
      <c r="I58" s="139"/>
      <c r="J58" s="186"/>
      <c r="K58" s="187"/>
      <c r="L58" s="139"/>
      <c r="M58" s="141"/>
      <c r="N58" s="5" t="str">
        <f t="shared" si="0"/>
        <v>|||</v>
      </c>
      <c r="Z58" s="12" t="e">
        <f>+VLOOKUP(H58,'2. Centros'!J:K,2,0)</f>
        <v>#N/A</v>
      </c>
    </row>
    <row r="59" spans="1:26" x14ac:dyDescent="0.25">
      <c r="A59" s="138"/>
      <c r="B59" s="139"/>
      <c r="C59" s="140"/>
      <c r="D59" s="192"/>
      <c r="E59" s="193"/>
      <c r="F59" s="193"/>
      <c r="G59" s="194"/>
      <c r="H59" s="139"/>
      <c r="I59" s="139"/>
      <c r="J59" s="186"/>
      <c r="K59" s="187"/>
      <c r="L59" s="139"/>
      <c r="M59" s="141"/>
      <c r="N59" s="5" t="str">
        <f t="shared" si="0"/>
        <v>|||</v>
      </c>
      <c r="Z59" s="12" t="e">
        <f>+VLOOKUP(H59,'2. Centros'!J:K,2,0)</f>
        <v>#N/A</v>
      </c>
    </row>
    <row r="60" spans="1:26" x14ac:dyDescent="0.25">
      <c r="A60" s="138"/>
      <c r="B60" s="139"/>
      <c r="C60" s="140"/>
      <c r="D60" s="192"/>
      <c r="E60" s="193"/>
      <c r="F60" s="193"/>
      <c r="G60" s="194"/>
      <c r="H60" s="139"/>
      <c r="I60" s="139"/>
      <c r="J60" s="186"/>
      <c r="K60" s="187"/>
      <c r="L60" s="139"/>
      <c r="M60" s="141"/>
      <c r="N60" s="5" t="str">
        <f t="shared" si="0"/>
        <v>|||</v>
      </c>
      <c r="Z60" s="12" t="e">
        <f>+VLOOKUP(H60,'2. Centros'!J:K,2,0)</f>
        <v>#N/A</v>
      </c>
    </row>
    <row r="61" spans="1:26" x14ac:dyDescent="0.25">
      <c r="A61" s="138"/>
      <c r="B61" s="139"/>
      <c r="C61" s="140"/>
      <c r="D61" s="192"/>
      <c r="E61" s="193"/>
      <c r="F61" s="193"/>
      <c r="G61" s="194"/>
      <c r="H61" s="139"/>
      <c r="I61" s="139"/>
      <c r="J61" s="186"/>
      <c r="K61" s="187"/>
      <c r="L61" s="139"/>
      <c r="M61" s="141"/>
      <c r="N61" s="5" t="str">
        <f t="shared" si="0"/>
        <v>|||</v>
      </c>
      <c r="Z61" s="12" t="e">
        <f>+VLOOKUP(H61,'2. Centros'!J:K,2,0)</f>
        <v>#N/A</v>
      </c>
    </row>
    <row r="62" spans="1:26" x14ac:dyDescent="0.25">
      <c r="A62" s="138"/>
      <c r="B62" s="139"/>
      <c r="C62" s="140"/>
      <c r="D62" s="192"/>
      <c r="E62" s="193"/>
      <c r="F62" s="193"/>
      <c r="G62" s="194"/>
      <c r="H62" s="139"/>
      <c r="I62" s="139"/>
      <c r="J62" s="186"/>
      <c r="K62" s="187"/>
      <c r="L62" s="139"/>
      <c r="M62" s="141"/>
      <c r="N62" s="5" t="str">
        <f t="shared" si="0"/>
        <v>|||</v>
      </c>
      <c r="Z62" s="12" t="e">
        <f>+VLOOKUP(H62,'2. Centros'!J:K,2,0)</f>
        <v>#N/A</v>
      </c>
    </row>
    <row r="63" spans="1:26" x14ac:dyDescent="0.25">
      <c r="A63" s="138"/>
      <c r="B63" s="139"/>
      <c r="C63" s="140"/>
      <c r="D63" s="192"/>
      <c r="E63" s="193"/>
      <c r="F63" s="193"/>
      <c r="G63" s="194"/>
      <c r="H63" s="139"/>
      <c r="I63" s="139"/>
      <c r="J63" s="186"/>
      <c r="K63" s="187"/>
      <c r="L63" s="139"/>
      <c r="M63" s="141"/>
      <c r="N63" s="5" t="str">
        <f t="shared" si="0"/>
        <v>|||</v>
      </c>
      <c r="Z63" s="12" t="e">
        <f>+VLOOKUP(H63,'2. Centros'!J:K,2,0)</f>
        <v>#N/A</v>
      </c>
    </row>
    <row r="64" spans="1:26" x14ac:dyDescent="0.25">
      <c r="A64" s="138"/>
      <c r="B64" s="139"/>
      <c r="C64" s="140"/>
      <c r="D64" s="192"/>
      <c r="E64" s="193"/>
      <c r="F64" s="193"/>
      <c r="G64" s="194"/>
      <c r="H64" s="139"/>
      <c r="I64" s="139"/>
      <c r="J64" s="186"/>
      <c r="K64" s="187"/>
      <c r="L64" s="139"/>
      <c r="M64" s="141"/>
      <c r="N64" s="5" t="str">
        <f t="shared" si="0"/>
        <v>|||</v>
      </c>
      <c r="Z64" s="12" t="e">
        <f>+VLOOKUP(H64,'2. Centros'!J:K,2,0)</f>
        <v>#N/A</v>
      </c>
    </row>
    <row r="65" spans="1:26" x14ac:dyDescent="0.25">
      <c r="A65" s="138"/>
      <c r="B65" s="139"/>
      <c r="C65" s="140"/>
      <c r="D65" s="192"/>
      <c r="E65" s="193"/>
      <c r="F65" s="193"/>
      <c r="G65" s="194"/>
      <c r="H65" s="139"/>
      <c r="I65" s="139"/>
      <c r="J65" s="186"/>
      <c r="K65" s="187"/>
      <c r="L65" s="139"/>
      <c r="M65" s="141"/>
      <c r="N65" s="5" t="str">
        <f t="shared" si="0"/>
        <v>|||</v>
      </c>
      <c r="Z65" s="12" t="e">
        <f>+VLOOKUP(H65,'2. Centros'!J:K,2,0)</f>
        <v>#N/A</v>
      </c>
    </row>
    <row r="66" spans="1:26" x14ac:dyDescent="0.25">
      <c r="A66" s="138"/>
      <c r="B66" s="139"/>
      <c r="C66" s="140"/>
      <c r="D66" s="192"/>
      <c r="E66" s="193"/>
      <c r="F66" s="193"/>
      <c r="G66" s="194"/>
      <c r="H66" s="139"/>
      <c r="I66" s="139"/>
      <c r="J66" s="186"/>
      <c r="K66" s="187"/>
      <c r="L66" s="139"/>
      <c r="M66" s="141"/>
      <c r="N66" s="5" t="str">
        <f t="shared" si="0"/>
        <v>|||</v>
      </c>
      <c r="Z66" s="12" t="e">
        <f>+VLOOKUP(H66,'2. Centros'!J:K,2,0)</f>
        <v>#N/A</v>
      </c>
    </row>
    <row r="67" spans="1:26" x14ac:dyDescent="0.25">
      <c r="A67" s="138"/>
      <c r="B67" s="139"/>
      <c r="C67" s="140"/>
      <c r="D67" s="192"/>
      <c r="E67" s="193"/>
      <c r="F67" s="193"/>
      <c r="G67" s="194"/>
      <c r="H67" s="139"/>
      <c r="I67" s="139"/>
      <c r="J67" s="186"/>
      <c r="K67" s="187"/>
      <c r="L67" s="139"/>
      <c r="M67" s="141"/>
      <c r="N67" s="5" t="str">
        <f t="shared" si="0"/>
        <v>|||</v>
      </c>
      <c r="Z67" s="12" t="e">
        <f>+VLOOKUP(H67,'2. Centros'!J:K,2,0)</f>
        <v>#N/A</v>
      </c>
    </row>
    <row r="68" spans="1:26" x14ac:dyDescent="0.25">
      <c r="A68" s="138"/>
      <c r="B68" s="139"/>
      <c r="C68" s="140"/>
      <c r="D68" s="192"/>
      <c r="E68" s="193"/>
      <c r="F68" s="193"/>
      <c r="G68" s="194"/>
      <c r="H68" s="139"/>
      <c r="I68" s="139"/>
      <c r="J68" s="186"/>
      <c r="K68" s="187"/>
      <c r="L68" s="139"/>
      <c r="M68" s="141"/>
      <c r="N68" s="5" t="str">
        <f t="shared" si="0"/>
        <v>|||</v>
      </c>
      <c r="Z68" s="12" t="e">
        <f>+VLOOKUP(H68,'2. Centros'!J:K,2,0)</f>
        <v>#N/A</v>
      </c>
    </row>
    <row r="69" spans="1:26" x14ac:dyDescent="0.25">
      <c r="A69" s="138"/>
      <c r="B69" s="139"/>
      <c r="C69" s="140"/>
      <c r="D69" s="192"/>
      <c r="E69" s="193"/>
      <c r="F69" s="193"/>
      <c r="G69" s="194"/>
      <c r="H69" s="139"/>
      <c r="I69" s="139"/>
      <c r="J69" s="186"/>
      <c r="K69" s="187"/>
      <c r="L69" s="139"/>
      <c r="M69" s="141"/>
      <c r="N69" s="5" t="str">
        <f t="shared" si="0"/>
        <v>|||</v>
      </c>
      <c r="Z69" s="12" t="e">
        <f>+VLOOKUP(H69,'2. Centros'!J:K,2,0)</f>
        <v>#N/A</v>
      </c>
    </row>
    <row r="70" spans="1:26" x14ac:dyDescent="0.25">
      <c r="A70" s="138"/>
      <c r="B70" s="139"/>
      <c r="C70" s="140"/>
      <c r="D70" s="192"/>
      <c r="E70" s="193"/>
      <c r="F70" s="193"/>
      <c r="G70" s="194"/>
      <c r="H70" s="139"/>
      <c r="I70" s="139"/>
      <c r="J70" s="186"/>
      <c r="K70" s="187"/>
      <c r="L70" s="139"/>
      <c r="M70" s="141"/>
      <c r="N70" s="5" t="str">
        <f t="shared" si="0"/>
        <v>|||</v>
      </c>
      <c r="Z70" s="12" t="e">
        <f>+VLOOKUP(H70,'2. Centros'!J:K,2,0)</f>
        <v>#N/A</v>
      </c>
    </row>
    <row r="71" spans="1:26" x14ac:dyDescent="0.25">
      <c r="A71" s="138"/>
      <c r="B71" s="139"/>
      <c r="C71" s="140"/>
      <c r="D71" s="192"/>
      <c r="E71" s="193"/>
      <c r="F71" s="193"/>
      <c r="G71" s="194"/>
      <c r="H71" s="139"/>
      <c r="I71" s="139"/>
      <c r="J71" s="186"/>
      <c r="K71" s="187"/>
      <c r="L71" s="139"/>
      <c r="M71" s="141"/>
      <c r="N71" s="5" t="str">
        <f t="shared" si="0"/>
        <v>|||</v>
      </c>
      <c r="Z71" s="12" t="e">
        <f>+VLOOKUP(H71,'2. Centros'!J:K,2,0)</f>
        <v>#N/A</v>
      </c>
    </row>
    <row r="72" spans="1:26" x14ac:dyDescent="0.25">
      <c r="A72" s="138"/>
      <c r="B72" s="139"/>
      <c r="C72" s="140"/>
      <c r="D72" s="192"/>
      <c r="E72" s="193"/>
      <c r="F72" s="193"/>
      <c r="G72" s="194"/>
      <c r="H72" s="139"/>
      <c r="I72" s="139"/>
      <c r="J72" s="186"/>
      <c r="K72" s="187"/>
      <c r="L72" s="139"/>
      <c r="M72" s="141"/>
      <c r="N72" s="5" t="str">
        <f t="shared" si="0"/>
        <v>|||</v>
      </c>
      <c r="Z72" s="12" t="e">
        <f>+VLOOKUP(H72,'2. Centros'!J:K,2,0)</f>
        <v>#N/A</v>
      </c>
    </row>
    <row r="73" spans="1:26" x14ac:dyDescent="0.25">
      <c r="A73" s="138"/>
      <c r="B73" s="139"/>
      <c r="C73" s="140"/>
      <c r="D73" s="192"/>
      <c r="E73" s="193"/>
      <c r="F73" s="193"/>
      <c r="G73" s="194"/>
      <c r="H73" s="139"/>
      <c r="I73" s="139"/>
      <c r="J73" s="186"/>
      <c r="K73" s="187"/>
      <c r="L73" s="139"/>
      <c r="M73" s="141"/>
      <c r="N73" s="5" t="str">
        <f t="shared" si="0"/>
        <v>|||</v>
      </c>
      <c r="Z73" s="12" t="e">
        <f>+VLOOKUP(H73,'2. Centros'!J:K,2,0)</f>
        <v>#N/A</v>
      </c>
    </row>
    <row r="74" spans="1:26" x14ac:dyDescent="0.25">
      <c r="A74" s="138"/>
      <c r="B74" s="139"/>
      <c r="C74" s="140"/>
      <c r="D74" s="192"/>
      <c r="E74" s="193"/>
      <c r="F74" s="193"/>
      <c r="G74" s="194"/>
      <c r="H74" s="139"/>
      <c r="I74" s="139"/>
      <c r="J74" s="186"/>
      <c r="K74" s="187"/>
      <c r="L74" s="139"/>
      <c r="M74" s="141"/>
      <c r="N74" s="5" t="str">
        <f t="shared" si="0"/>
        <v>|||</v>
      </c>
      <c r="Z74" s="12" t="e">
        <f>+VLOOKUP(H74,'2. Centros'!J:K,2,0)</f>
        <v>#N/A</v>
      </c>
    </row>
    <row r="75" spans="1:26" x14ac:dyDescent="0.25">
      <c r="A75" s="138"/>
      <c r="B75" s="139"/>
      <c r="C75" s="140"/>
      <c r="D75" s="192"/>
      <c r="E75" s="193"/>
      <c r="F75" s="193"/>
      <c r="G75" s="194"/>
      <c r="H75" s="139"/>
      <c r="I75" s="139"/>
      <c r="J75" s="186"/>
      <c r="K75" s="187"/>
      <c r="L75" s="139"/>
      <c r="M75" s="141"/>
      <c r="N75" s="5" t="str">
        <f t="shared" si="0"/>
        <v>|||</v>
      </c>
      <c r="Z75" s="12" t="e">
        <f>+VLOOKUP(H75,'2. Centros'!J:K,2,0)</f>
        <v>#N/A</v>
      </c>
    </row>
    <row r="76" spans="1:26" x14ac:dyDescent="0.25">
      <c r="A76" s="138"/>
      <c r="B76" s="139"/>
      <c r="C76" s="140"/>
      <c r="D76" s="192"/>
      <c r="E76" s="193"/>
      <c r="F76" s="193"/>
      <c r="G76" s="194"/>
      <c r="H76" s="139"/>
      <c r="I76" s="139"/>
      <c r="J76" s="186"/>
      <c r="K76" s="187"/>
      <c r="L76" s="139"/>
      <c r="M76" s="141"/>
      <c r="N76" s="5" t="str">
        <f t="shared" si="0"/>
        <v>|||</v>
      </c>
      <c r="Z76" s="12" t="e">
        <f>+VLOOKUP(H76,'2. Centros'!J:K,2,0)</f>
        <v>#N/A</v>
      </c>
    </row>
    <row r="77" spans="1:26" x14ac:dyDescent="0.25">
      <c r="A77" s="138"/>
      <c r="B77" s="139"/>
      <c r="C77" s="140"/>
      <c r="D77" s="192"/>
      <c r="E77" s="193"/>
      <c r="F77" s="193"/>
      <c r="G77" s="194"/>
      <c r="H77" s="139"/>
      <c r="I77" s="139"/>
      <c r="J77" s="186"/>
      <c r="K77" s="187"/>
      <c r="L77" s="139"/>
      <c r="M77" s="141"/>
      <c r="N77" s="5" t="str">
        <f t="shared" si="0"/>
        <v>|||</v>
      </c>
      <c r="Z77" s="12" t="e">
        <f>+VLOOKUP(H77,'2. Centros'!J:K,2,0)</f>
        <v>#N/A</v>
      </c>
    </row>
    <row r="78" spans="1:26" x14ac:dyDescent="0.25">
      <c r="A78" s="138"/>
      <c r="B78" s="139"/>
      <c r="C78" s="140"/>
      <c r="D78" s="192"/>
      <c r="E78" s="193"/>
      <c r="F78" s="193"/>
      <c r="G78" s="194"/>
      <c r="H78" s="139"/>
      <c r="I78" s="139"/>
      <c r="J78" s="186"/>
      <c r="K78" s="187"/>
      <c r="L78" s="139"/>
      <c r="M78" s="141"/>
      <c r="N78" s="5" t="str">
        <f t="shared" si="0"/>
        <v>|||</v>
      </c>
      <c r="Z78" s="12" t="e">
        <f>+VLOOKUP(H78,'2. Centros'!J:K,2,0)</f>
        <v>#N/A</v>
      </c>
    </row>
    <row r="79" spans="1:26" x14ac:dyDescent="0.25">
      <c r="A79" s="138"/>
      <c r="B79" s="139"/>
      <c r="C79" s="140"/>
      <c r="D79" s="192"/>
      <c r="E79" s="193"/>
      <c r="F79" s="193"/>
      <c r="G79" s="194"/>
      <c r="H79" s="139"/>
      <c r="I79" s="139"/>
      <c r="J79" s="186"/>
      <c r="K79" s="187"/>
      <c r="L79" s="139"/>
      <c r="M79" s="141"/>
      <c r="N79" s="5" t="str">
        <f t="shared" si="0"/>
        <v>|||</v>
      </c>
      <c r="Z79" s="12" t="e">
        <f>+VLOOKUP(H79,'2. Centros'!J:K,2,0)</f>
        <v>#N/A</v>
      </c>
    </row>
    <row r="80" spans="1:26" x14ac:dyDescent="0.25">
      <c r="A80" s="138"/>
      <c r="B80" s="139"/>
      <c r="C80" s="140"/>
      <c r="D80" s="192"/>
      <c r="E80" s="193"/>
      <c r="F80" s="193"/>
      <c r="G80" s="194"/>
      <c r="H80" s="139"/>
      <c r="I80" s="139"/>
      <c r="J80" s="186"/>
      <c r="K80" s="187"/>
      <c r="L80" s="139"/>
      <c r="M80" s="141"/>
      <c r="N80" s="5" t="str">
        <f t="shared" si="0"/>
        <v>|||</v>
      </c>
      <c r="Z80" s="12" t="e">
        <f>+VLOOKUP(H80,'2. Centros'!J:K,2,0)</f>
        <v>#N/A</v>
      </c>
    </row>
    <row r="81" spans="1:26" x14ac:dyDescent="0.25">
      <c r="A81" s="138"/>
      <c r="B81" s="139"/>
      <c r="C81" s="140"/>
      <c r="D81" s="192"/>
      <c r="E81" s="193"/>
      <c r="F81" s="193"/>
      <c r="G81" s="194"/>
      <c r="H81" s="139"/>
      <c r="I81" s="139"/>
      <c r="J81" s="186"/>
      <c r="K81" s="187"/>
      <c r="L81" s="139"/>
      <c r="M81" s="141"/>
      <c r="N81" s="5" t="str">
        <f t="shared" si="0"/>
        <v>|||</v>
      </c>
      <c r="Z81" s="12" t="e">
        <f>+VLOOKUP(H81,'2. Centros'!J:K,2,0)</f>
        <v>#N/A</v>
      </c>
    </row>
    <row r="82" spans="1:26" x14ac:dyDescent="0.25">
      <c r="A82" s="138"/>
      <c r="B82" s="139"/>
      <c r="C82" s="140"/>
      <c r="D82" s="192"/>
      <c r="E82" s="193"/>
      <c r="F82" s="193"/>
      <c r="G82" s="194"/>
      <c r="H82" s="139"/>
      <c r="I82" s="139"/>
      <c r="J82" s="186"/>
      <c r="K82" s="187"/>
      <c r="L82" s="139"/>
      <c r="M82" s="141"/>
      <c r="N82" s="5" t="str">
        <f t="shared" si="0"/>
        <v>|||</v>
      </c>
      <c r="Z82" s="12" t="e">
        <f>+VLOOKUP(H82,'2. Centros'!J:K,2,0)</f>
        <v>#N/A</v>
      </c>
    </row>
    <row r="83" spans="1:26" x14ac:dyDescent="0.25">
      <c r="A83" s="138"/>
      <c r="B83" s="139"/>
      <c r="C83" s="140"/>
      <c r="D83" s="192"/>
      <c r="E83" s="193"/>
      <c r="F83" s="193"/>
      <c r="G83" s="194"/>
      <c r="H83" s="139"/>
      <c r="I83" s="139"/>
      <c r="J83" s="186"/>
      <c r="K83" s="187"/>
      <c r="L83" s="139"/>
      <c r="M83" s="141"/>
      <c r="N83" s="5" t="str">
        <f t="shared" si="0"/>
        <v>|||</v>
      </c>
      <c r="Z83" s="12" t="e">
        <f>+VLOOKUP(H83,'2. Centros'!J:K,2,0)</f>
        <v>#N/A</v>
      </c>
    </row>
    <row r="84" spans="1:26" x14ac:dyDescent="0.25">
      <c r="A84" s="138"/>
      <c r="B84" s="139"/>
      <c r="C84" s="140"/>
      <c r="D84" s="192"/>
      <c r="E84" s="193"/>
      <c r="F84" s="193"/>
      <c r="G84" s="194"/>
      <c r="H84" s="139"/>
      <c r="I84" s="139"/>
      <c r="J84" s="186"/>
      <c r="K84" s="187"/>
      <c r="L84" s="139"/>
      <c r="M84" s="141"/>
      <c r="N84" s="5" t="str">
        <f t="shared" si="0"/>
        <v>|||</v>
      </c>
      <c r="Z84" s="12" t="e">
        <f>+VLOOKUP(H84,'2. Centros'!J:K,2,0)</f>
        <v>#N/A</v>
      </c>
    </row>
    <row r="85" spans="1:26" ht="15.75" thickBot="1" x14ac:dyDescent="0.3">
      <c r="A85" s="138"/>
      <c r="B85" s="139"/>
      <c r="C85" s="140"/>
      <c r="D85" s="192"/>
      <c r="E85" s="193"/>
      <c r="F85" s="193"/>
      <c r="G85" s="194"/>
      <c r="H85" s="139"/>
      <c r="I85" s="139"/>
      <c r="J85" s="186"/>
      <c r="K85" s="187"/>
      <c r="L85" s="139"/>
      <c r="M85" s="141"/>
      <c r="N85" s="5" t="str">
        <f t="shared" si="0"/>
        <v>|||</v>
      </c>
      <c r="Z85" s="12" t="e">
        <f>+VLOOKUP(H85,'2. Centros'!J:K,2,0)</f>
        <v>#N/A</v>
      </c>
    </row>
    <row r="86" spans="1:26" ht="17.25" customHeight="1" x14ac:dyDescent="0.25">
      <c r="A86" s="34"/>
      <c r="B86" s="34"/>
      <c r="C86" s="35"/>
      <c r="D86" s="215"/>
      <c r="E86" s="215"/>
      <c r="F86" s="215"/>
      <c r="G86" s="215"/>
      <c r="H86" s="220" t="s">
        <v>30</v>
      </c>
      <c r="I86" s="221"/>
      <c r="J86" s="221"/>
      <c r="K86" s="221"/>
      <c r="L86" s="221"/>
      <c r="M86" s="222"/>
    </row>
    <row r="87" spans="1:26" ht="18" customHeight="1" thickBot="1" x14ac:dyDescent="0.3">
      <c r="A87" s="34"/>
      <c r="B87" s="34"/>
      <c r="C87" s="35"/>
      <c r="D87" s="215"/>
      <c r="E87" s="215"/>
      <c r="F87" s="215"/>
      <c r="G87" s="215"/>
      <c r="H87" s="223"/>
      <c r="I87" s="224"/>
      <c r="J87" s="224"/>
      <c r="K87" s="224"/>
      <c r="L87" s="224"/>
      <c r="M87" s="225"/>
    </row>
    <row r="88" spans="1:26" ht="18" thickBot="1" x14ac:dyDescent="0.3">
      <c r="A88" s="34"/>
      <c r="B88" s="34"/>
      <c r="C88" s="35"/>
      <c r="D88" s="215"/>
      <c r="E88" s="215"/>
      <c r="F88" s="215"/>
      <c r="G88" s="215"/>
      <c r="H88" s="134" t="s">
        <v>31</v>
      </c>
      <c r="I88" s="134" t="s">
        <v>32</v>
      </c>
      <c r="J88" s="216" t="s">
        <v>33</v>
      </c>
      <c r="K88" s="217"/>
      <c r="L88" s="135" t="s">
        <v>21</v>
      </c>
      <c r="M88" s="136" t="s">
        <v>34</v>
      </c>
    </row>
    <row r="89" spans="1:26" ht="17.25" x14ac:dyDescent="0.25">
      <c r="A89" s="34"/>
      <c r="B89" s="34"/>
      <c r="C89" s="35"/>
      <c r="D89" s="215"/>
      <c r="E89" s="215"/>
      <c r="F89" s="215"/>
      <c r="G89" s="215"/>
      <c r="H89" s="152" t="str">
        <f>IFERROR(LEFT($O89,SEARCH("|",$O89)-1),"")</f>
        <v/>
      </c>
      <c r="I89" s="153" t="str">
        <f>IFERROR(MID($O89,SEARCH("|",$O89)+1,SEARCH("|",$O89,SEARCH("|",$O89)+1)-SEARCH("|",$O89)-1),"")</f>
        <v/>
      </c>
      <c r="J89" s="218" t="str">
        <f>IFERROR(MID($O89,SEARCH("|",$O89,SEARCH("|",$O89)+1)+1,SEARCH("|",$O89,SEARCH("|",$O89,SEARCH("|",$O89)+1)+1)-SEARCH("|",$O89,SEARCH("|",$O89)+1)-1),"")</f>
        <v/>
      </c>
      <c r="K89" s="219"/>
      <c r="L89" s="153" t="str">
        <f>IFERROR(RIGHT($O89,LEN($O89)-SEARCH("|",$O89,SEARCH("|",$O89,SEARCH("|",$O89)+1)+1)),"")</f>
        <v/>
      </c>
      <c r="M89" s="154" t="str">
        <f>+IF(SUMIFS(Formulario!$M$28:$M$41,Formulario!$A$28:$A$41,$H89,Formulario!$I$28:$I$41,$I89,Formulario!$J$28:$J$41,$J89,Formulario!$L$28:$L$41,$L89)+SUMIFS(Formulario!$M$58:$M$85,Formulario!$A$58:$A$85,$H89,Formulario!$I$58:$I$85,$I89,Formulario!$J$58:$J$85,$J89,Formulario!$L$58:$L$85,$L89)=0,"",SUMIFS(Formulario!$M$28:$M$41,Formulario!$A$28:$A$41,$H89,Formulario!$I$28:$I$41,$I89,Formulario!$J$28:$J$41,$J89,Formulario!$L$28:$L$41,$L89)+SUMIFS(Formulario!$M$58:$M$85,Formulario!$A$58:$A$85,$H89,Formulario!$I$58:$I$85,$I89,Formulario!$J$58:$J$85,$J89,Formulario!$L$58:$L$85,$L89))</f>
        <v/>
      </c>
      <c r="O89" s="5" t="str" cm="1">
        <f t="array" ref="O89">IFERROR(INDEX(Formulario!$N$28:$N$85,MATCH(0,COUNTIF($O$88:O88,Formulario!$N$28:$N$85),0)),"")</f>
        <v>|||</v>
      </c>
    </row>
    <row r="90" spans="1:26" ht="17.25" x14ac:dyDescent="0.25">
      <c r="A90" s="34"/>
      <c r="B90" s="34"/>
      <c r="C90" s="35"/>
      <c r="D90" s="215"/>
      <c r="E90" s="215"/>
      <c r="F90" s="215"/>
      <c r="G90" s="215"/>
      <c r="H90" s="152" t="str">
        <f t="shared" ref="H90:H99" si="1">IFERROR(LEFT($O90,SEARCH("|",$O90)-1),"")</f>
        <v/>
      </c>
      <c r="I90" s="153" t="str">
        <f t="shared" ref="I90:I99" si="2">IFERROR(MID($O90,SEARCH("|",$O90)+1,SEARCH("|",$O90,SEARCH("|",$O90)+1)-SEARCH("|",$O90)-1),"")</f>
        <v/>
      </c>
      <c r="J90" s="218" t="str">
        <f t="shared" ref="J90:J99" si="3">IFERROR(MID($O90,SEARCH("|",$O90,SEARCH("|",$O90)+1)+1,SEARCH("|",$O90,SEARCH("|",$O90,SEARCH("|",$O90)+1)+1)-SEARCH("|",$O90,SEARCH("|",$O90)+1)-1),"")</f>
        <v/>
      </c>
      <c r="K90" s="219"/>
      <c r="L90" s="153" t="str">
        <f t="shared" ref="L90:L99" si="4">IFERROR(RIGHT($O90,LEN($O90)-SEARCH("|",$O90,SEARCH("|",$O90,SEARCH("|",$O90)+1)+1)),"")</f>
        <v/>
      </c>
      <c r="M90" s="154" t="str">
        <f>+IF(SUMIFS(Formulario!$M$28:$M$41,Formulario!$A$28:$A$41,$H90,Formulario!$I$28:$I$41,$I90,Formulario!$J$28:$J$41,$J90,Formulario!$L$28:$L$41,$L90)+SUMIFS(Formulario!$M$58:$M$85,Formulario!$A$58:$A$85,$H90,Formulario!$I$58:$I$85,$I90,Formulario!$J$58:$J$85,$J90,Formulario!$L$58:$L$85,$L90)=0,"",SUMIFS(Formulario!$M$28:$M$41,Formulario!$A$28:$A$41,$H90,Formulario!$I$28:$I$41,$I90,Formulario!$J$28:$J$41,$J90,Formulario!$L$28:$L$41,$L90)+SUMIFS(Formulario!$M$58:$M$85,Formulario!$A$58:$A$85,$H90,Formulario!$I$58:$I$85,$I90,Formulario!$J$58:$J$85,$J90,Formulario!$L$58:$L$85,$L90))</f>
        <v/>
      </c>
      <c r="O90" s="5">
        <f t="array" ref="O90">IFERROR(INDEX(Formulario!$N$28:$N$85,MATCH(0,COUNTIF($O$88:O89,Formulario!$N$28:$N$85),0)),"")</f>
        <v>0</v>
      </c>
    </row>
    <row r="91" spans="1:26" ht="17.25" x14ac:dyDescent="0.25">
      <c r="A91" s="34"/>
      <c r="B91" s="34"/>
      <c r="C91" s="35"/>
      <c r="D91" s="215"/>
      <c r="E91" s="215"/>
      <c r="F91" s="215"/>
      <c r="G91" s="215"/>
      <c r="H91" s="152" t="str">
        <f>IFERROR(LEFT($O91,SEARCH("|",$O91)-1),"")</f>
        <v/>
      </c>
      <c r="I91" s="153" t="str">
        <f t="shared" si="2"/>
        <v/>
      </c>
      <c r="J91" s="218" t="str">
        <f t="shared" si="3"/>
        <v/>
      </c>
      <c r="K91" s="219"/>
      <c r="L91" s="153" t="str">
        <f t="shared" si="4"/>
        <v/>
      </c>
      <c r="M91" s="154" t="str">
        <f>+IF(SUMIFS(Formulario!$M$28:$M$41,Formulario!$A$28:$A$41,$H91,Formulario!$I$28:$I$41,$I91,Formulario!$J$28:$J$41,$J91,Formulario!$L$28:$L$41,$L91)+SUMIFS(Formulario!$M$58:$M$85,Formulario!$A$58:$A$85,$H91,Formulario!$I$58:$I$85,$I91,Formulario!$J$58:$J$85,$J91,Formulario!$L$58:$L$85,$L91)=0,"",SUMIFS(Formulario!$M$28:$M$41,Formulario!$A$28:$A$41,$H91,Formulario!$I$28:$I$41,$I91,Formulario!$J$28:$J$41,$J91,Formulario!$L$28:$L$41,$L91)+SUMIFS(Formulario!$M$58:$M$85,Formulario!$A$58:$A$85,$H91,Formulario!$I$58:$I$85,$I91,Formulario!$J$58:$J$85,$J91,Formulario!$L$58:$L$85,$L91))</f>
        <v/>
      </c>
      <c r="O91" s="5" t="str">
        <f t="array" ref="O91">IFERROR(INDEX(Formulario!$N$28:$N$85,MATCH(0,COUNTIF($O$88:O90,Formulario!$N$28:$N$85),0)),"")</f>
        <v/>
      </c>
    </row>
    <row r="92" spans="1:26" ht="17.25" x14ac:dyDescent="0.25">
      <c r="A92" s="34"/>
      <c r="B92" s="34"/>
      <c r="C92" s="35"/>
      <c r="D92" s="215"/>
      <c r="E92" s="215"/>
      <c r="F92" s="215"/>
      <c r="G92" s="215"/>
      <c r="H92" s="152" t="str">
        <f t="shared" si="1"/>
        <v/>
      </c>
      <c r="I92" s="153" t="str">
        <f t="shared" si="2"/>
        <v/>
      </c>
      <c r="J92" s="226" t="str">
        <f t="shared" si="3"/>
        <v/>
      </c>
      <c r="K92" s="227"/>
      <c r="L92" s="153" t="str">
        <f t="shared" si="4"/>
        <v/>
      </c>
      <c r="M92" s="154" t="str">
        <f>+IF(SUMIFS(Formulario!$M$28:$M$41,Formulario!$A$28:$A$41,$H92,Formulario!$I$28:$I$41,$I92,Formulario!$J$28:$J$41,$J92,Formulario!$L$28:$L$41,$L92)+SUMIFS(Formulario!$M$58:$M$85,Formulario!$A$58:$A$85,$H92,Formulario!$I$58:$I$85,$I92,Formulario!$J$58:$J$85,$J92,Formulario!$L$58:$L$85,$L92)=0,"",SUMIFS(Formulario!$M$28:$M$41,Formulario!$A$28:$A$41,$H92,Formulario!$I$28:$I$41,$I92,Formulario!$J$28:$J$41,$J92,Formulario!$L$28:$L$41,$L92)+SUMIFS(Formulario!$M$58:$M$85,Formulario!$A$58:$A$85,$H92,Formulario!$I$58:$I$85,$I92,Formulario!$J$58:$J$85,$J92,Formulario!$L$58:$L$85,$L92))</f>
        <v/>
      </c>
      <c r="O92" s="5" t="str" cm="1">
        <f t="array" ref="O92">IFERROR(INDEX(Formulario!$N$28:$N$85,MATCH(0,COUNTIF($O$88:O91,Formulario!$N$28:$N$85),0)),"")</f>
        <v/>
      </c>
    </row>
    <row r="93" spans="1:26" ht="17.25" x14ac:dyDescent="0.25">
      <c r="A93" s="34"/>
      <c r="B93" s="34"/>
      <c r="C93" s="35"/>
      <c r="D93" s="215"/>
      <c r="E93" s="215"/>
      <c r="F93" s="215"/>
      <c r="G93" s="215"/>
      <c r="H93" s="152" t="str">
        <f t="shared" si="1"/>
        <v/>
      </c>
      <c r="I93" s="153" t="str">
        <f t="shared" si="2"/>
        <v/>
      </c>
      <c r="J93" s="226" t="str">
        <f t="shared" si="3"/>
        <v/>
      </c>
      <c r="K93" s="227"/>
      <c r="L93" s="153" t="str">
        <f t="shared" si="4"/>
        <v/>
      </c>
      <c r="M93" s="154" t="str">
        <f>+IF(SUMIFS(Formulario!$M$28:$M$41,Formulario!$A$28:$A$41,$H93,Formulario!$I$28:$I$41,$I93,Formulario!$J$28:$J$41,$J93,Formulario!$L$28:$L$41,$L93)+SUMIFS(Formulario!$M$58:$M$85,Formulario!$A$58:$A$85,$H93,Formulario!$I$58:$I$85,$I93,Formulario!$J$58:$J$85,$J93,Formulario!$L$58:$L$85,$L93)=0,"",SUMIFS(Formulario!$M$28:$M$41,Formulario!$A$28:$A$41,$H93,Formulario!$I$28:$I$41,$I93,Formulario!$J$28:$J$41,$J93,Formulario!$L$28:$L$41,$L93)+SUMIFS(Formulario!$M$58:$M$85,Formulario!$A$58:$A$85,$H93,Formulario!$I$58:$I$85,$I93,Formulario!$J$58:$J$85,$J93,Formulario!$L$58:$L$85,$L93))</f>
        <v/>
      </c>
      <c r="O93" s="5" t="str">
        <f t="array" ref="O93">IFERROR(INDEX(Formulario!$N$28:$N$85,MATCH(0,COUNTIF($O$88:O92,Formulario!$N$28:$N$85),0)),"")</f>
        <v/>
      </c>
    </row>
    <row r="94" spans="1:26" ht="17.25" x14ac:dyDescent="0.25">
      <c r="A94" s="34"/>
      <c r="B94" s="34"/>
      <c r="C94" s="35"/>
      <c r="D94" s="215"/>
      <c r="E94" s="215"/>
      <c r="F94" s="215"/>
      <c r="G94" s="215"/>
      <c r="H94" s="152" t="str">
        <f t="shared" si="1"/>
        <v/>
      </c>
      <c r="I94" s="153" t="str">
        <f t="shared" si="2"/>
        <v/>
      </c>
      <c r="J94" s="226" t="str">
        <f t="shared" si="3"/>
        <v/>
      </c>
      <c r="K94" s="227"/>
      <c r="L94" s="153" t="str">
        <f t="shared" si="4"/>
        <v/>
      </c>
      <c r="M94" s="154" t="str">
        <f>+IF(SUMIFS(Formulario!$M$28:$M$41,Formulario!$A$28:$A$41,$H94,Formulario!$I$28:$I$41,$I94,Formulario!$J$28:$J$41,$J94,Formulario!$L$28:$L$41,$L94)+SUMIFS(Formulario!$M$58:$M$85,Formulario!$A$58:$A$85,$H94,Formulario!$I$58:$I$85,$I94,Formulario!$J$58:$J$85,$J94,Formulario!$L$58:$L$85,$L94)=0,"",SUMIFS(Formulario!$M$28:$M$41,Formulario!$A$28:$A$41,$H94,Formulario!$I$28:$I$41,$I94,Formulario!$J$28:$J$41,$J94,Formulario!$L$28:$L$41,$L94)+SUMIFS(Formulario!$M$58:$M$85,Formulario!$A$58:$A$85,$H94,Formulario!$I$58:$I$85,$I94,Formulario!$J$58:$J$85,$J94,Formulario!$L$58:$L$85,$L94))</f>
        <v/>
      </c>
      <c r="O94" s="5" t="str">
        <f t="array" ref="O94">IFERROR(INDEX(Formulario!$N$28:$N$85,MATCH(0,COUNTIF($O$88:O93,Formulario!$N$28:$N$85),0)),"")</f>
        <v/>
      </c>
    </row>
    <row r="95" spans="1:26" ht="17.25" x14ac:dyDescent="0.25">
      <c r="A95" s="34"/>
      <c r="B95" s="34"/>
      <c r="C95" s="35"/>
      <c r="D95" s="215"/>
      <c r="E95" s="215"/>
      <c r="F95" s="215"/>
      <c r="G95" s="215"/>
      <c r="H95" s="152" t="str">
        <f t="shared" si="1"/>
        <v/>
      </c>
      <c r="I95" s="153" t="str">
        <f t="shared" si="2"/>
        <v/>
      </c>
      <c r="J95" s="226" t="str">
        <f t="shared" si="3"/>
        <v/>
      </c>
      <c r="K95" s="227"/>
      <c r="L95" s="153" t="str">
        <f t="shared" si="4"/>
        <v/>
      </c>
      <c r="M95" s="154" t="str">
        <f>+IF(SUMIFS(Formulario!$M$28:$M$41,Formulario!$A$28:$A$41,$H95,Formulario!$I$28:$I$41,$I95,Formulario!$J$28:$J$41,$J95,Formulario!$L$28:$L$41,$L95)+SUMIFS(Formulario!$M$58:$M$85,Formulario!$A$58:$A$85,$H95,Formulario!$I$58:$I$85,$I95,Formulario!$J$58:$J$85,$J95,Formulario!$L$58:$L$85,$L95)=0,"",SUMIFS(Formulario!$M$28:$M$41,Formulario!$A$28:$A$41,$H95,Formulario!$I$28:$I$41,$I95,Formulario!$J$28:$J$41,$J95,Formulario!$L$28:$L$41,$L95)+SUMIFS(Formulario!$M$58:$M$85,Formulario!$A$58:$A$85,$H95,Formulario!$I$58:$I$85,$I95,Formulario!$J$58:$J$85,$J95,Formulario!$L$58:$L$85,$L95))</f>
        <v/>
      </c>
      <c r="O95" s="5" t="str">
        <f t="array" ref="O95">IFERROR(INDEX(Formulario!$N$28:$N$85,MATCH(0,COUNTIF($O$88:O94,Formulario!$N$28:$N$85),0)),"")</f>
        <v/>
      </c>
    </row>
    <row r="96" spans="1:26" ht="17.25" x14ac:dyDescent="0.25">
      <c r="A96" s="34"/>
      <c r="B96" s="34"/>
      <c r="C96" s="35"/>
      <c r="D96" s="215"/>
      <c r="E96" s="215"/>
      <c r="F96" s="215"/>
      <c r="G96" s="215"/>
      <c r="H96" s="152" t="str">
        <f t="shared" si="1"/>
        <v/>
      </c>
      <c r="I96" s="153" t="str">
        <f t="shared" si="2"/>
        <v/>
      </c>
      <c r="J96" s="226" t="str">
        <f t="shared" si="3"/>
        <v/>
      </c>
      <c r="K96" s="227"/>
      <c r="L96" s="153" t="str">
        <f t="shared" si="4"/>
        <v/>
      </c>
      <c r="M96" s="154" t="str">
        <f>+IF(SUMIFS(Formulario!$M$28:$M$41,Formulario!$A$28:$A$41,$H96,Formulario!$I$28:$I$41,$I96,Formulario!$J$28:$J$41,$J96,Formulario!$L$28:$L$41,$L96)+SUMIFS(Formulario!$M$58:$M$85,Formulario!$A$58:$A$85,$H96,Formulario!$I$58:$I$85,$I96,Formulario!$J$58:$J$85,$J96,Formulario!$L$58:$L$85,$L96)=0,"",SUMIFS(Formulario!$M$28:$M$41,Formulario!$A$28:$A$41,$H96,Formulario!$I$28:$I$41,$I96,Formulario!$J$28:$J$41,$J96,Formulario!$L$28:$L$41,$L96)+SUMIFS(Formulario!$M$58:$M$85,Formulario!$A$58:$A$85,$H96,Formulario!$I$58:$I$85,$I96,Formulario!$J$58:$J$85,$J96,Formulario!$L$58:$L$85,$L96))</f>
        <v/>
      </c>
      <c r="O96" s="5" t="str">
        <f t="array" ref="O96">IFERROR(INDEX(Formulario!$N$28:$N$85,MATCH(0,COUNTIF($O$88:O95,Formulario!$N$28:$N$85),0)),"")</f>
        <v/>
      </c>
    </row>
    <row r="97" spans="1:15" ht="17.25" x14ac:dyDescent="0.25">
      <c r="A97" s="34"/>
      <c r="B97" s="34"/>
      <c r="C97" s="35"/>
      <c r="D97" s="215"/>
      <c r="E97" s="215"/>
      <c r="F97" s="215"/>
      <c r="G97" s="215"/>
      <c r="H97" s="152" t="str">
        <f t="shared" si="1"/>
        <v/>
      </c>
      <c r="I97" s="153" t="str">
        <f t="shared" si="2"/>
        <v/>
      </c>
      <c r="J97" s="226" t="str">
        <f t="shared" si="3"/>
        <v/>
      </c>
      <c r="K97" s="227"/>
      <c r="L97" s="153" t="str">
        <f t="shared" si="4"/>
        <v/>
      </c>
      <c r="M97" s="154" t="str">
        <f>+IF(SUMIFS(Formulario!$M$28:$M$41,Formulario!$A$28:$A$41,$H97,Formulario!$I$28:$I$41,$I97,Formulario!$J$28:$J$41,$J97,Formulario!$L$28:$L$41,$L97)+SUMIFS(Formulario!$M$58:$M$85,Formulario!$A$58:$A$85,$H97,Formulario!$I$58:$I$85,$I97,Formulario!$J$58:$J$85,$J97,Formulario!$L$58:$L$85,$L97)=0,"",SUMIFS(Formulario!$M$28:$M$41,Formulario!$A$28:$A$41,$H97,Formulario!$I$28:$I$41,$I97,Formulario!$J$28:$J$41,$J97,Formulario!$L$28:$L$41,$L97)+SUMIFS(Formulario!$M$58:$M$85,Formulario!$A$58:$A$85,$H97,Formulario!$I$58:$I$85,$I97,Formulario!$J$58:$J$85,$J97,Formulario!$L$58:$L$85,$L97))</f>
        <v/>
      </c>
      <c r="O97" s="5" t="str">
        <f t="array" ref="O97">IFERROR(INDEX(Formulario!$N$28:$N$85,MATCH(0,COUNTIF($O$88:O96,Formulario!$N$28:$N$85),0)),"")</f>
        <v/>
      </c>
    </row>
    <row r="98" spans="1:15" ht="17.25" x14ac:dyDescent="0.25">
      <c r="A98" s="34"/>
      <c r="B98" s="34"/>
      <c r="C98" s="35"/>
      <c r="D98" s="215"/>
      <c r="E98" s="215"/>
      <c r="F98" s="215"/>
      <c r="G98" s="215"/>
      <c r="H98" s="152" t="str">
        <f t="shared" si="1"/>
        <v/>
      </c>
      <c r="I98" s="153" t="str">
        <f t="shared" si="2"/>
        <v/>
      </c>
      <c r="J98" s="226" t="str">
        <f t="shared" si="3"/>
        <v/>
      </c>
      <c r="K98" s="227"/>
      <c r="L98" s="153" t="str">
        <f t="shared" si="4"/>
        <v/>
      </c>
      <c r="M98" s="154" t="str">
        <f>+IF(SUMIFS(Formulario!$M$28:$M$41,Formulario!$A$28:$A$41,$H98,Formulario!$I$28:$I$41,$I98,Formulario!$J$28:$J$41,$J98,Formulario!$L$28:$L$41,$L98)+SUMIFS(Formulario!$M$58:$M$85,Formulario!$A$58:$A$85,$H98,Formulario!$I$58:$I$85,$I98,Formulario!$J$58:$J$85,$J98,Formulario!$L$58:$L$85,$L98)=0,"",SUMIFS(Formulario!$M$28:$M$41,Formulario!$A$28:$A$41,$H98,Formulario!$I$28:$I$41,$I98,Formulario!$J$28:$J$41,$J98,Formulario!$L$28:$L$41,$L98)+SUMIFS(Formulario!$M$58:$M$85,Formulario!$A$58:$A$85,$H98,Formulario!$I$58:$I$85,$I98,Formulario!$J$58:$J$85,$J98,Formulario!$L$58:$L$85,$L98))</f>
        <v/>
      </c>
      <c r="O98" s="5" t="str">
        <f t="array" ref="O98">IFERROR(INDEX(Formulario!$N$28:$N$85,MATCH(0,COUNTIF($O$88:O97,Formulario!$N$28:$N$85),0)),"")</f>
        <v/>
      </c>
    </row>
    <row r="99" spans="1:15" ht="18" thickBot="1" x14ac:dyDescent="0.3">
      <c r="A99" s="34"/>
      <c r="B99" s="34"/>
      <c r="C99" s="35"/>
      <c r="D99" s="215"/>
      <c r="E99" s="215"/>
      <c r="F99" s="215"/>
      <c r="G99" s="215"/>
      <c r="H99" s="152" t="str">
        <f t="shared" si="1"/>
        <v/>
      </c>
      <c r="I99" s="153" t="str">
        <f t="shared" si="2"/>
        <v/>
      </c>
      <c r="J99" s="226" t="str">
        <f t="shared" si="3"/>
        <v/>
      </c>
      <c r="K99" s="227"/>
      <c r="L99" s="153" t="str">
        <f t="shared" si="4"/>
        <v/>
      </c>
      <c r="M99" s="154" t="str">
        <f>+IF(SUMIFS(Formulario!$M$28:$M$41,Formulario!$A$28:$A$41,$H99,Formulario!$I$28:$I$41,$I99,Formulario!$J$28:$J$41,$J99,Formulario!$L$28:$L$41,$L99)+SUMIFS(Formulario!$M$58:$M$85,Formulario!$A$58:$A$85,$H99,Formulario!$I$58:$I$85,$I99,Formulario!$J$58:$J$85,$J99,Formulario!$L$58:$L$85,$L99)=0,"",SUMIFS(Formulario!$M$28:$M$41,Formulario!$A$28:$A$41,$H99,Formulario!$I$28:$I$41,$I99,Formulario!$J$28:$J$41,$J99,Formulario!$L$28:$L$41,$L99)+SUMIFS(Formulario!$M$58:$M$85,Formulario!$A$58:$A$85,$H99,Formulario!$I$58:$I$85,$I99,Formulario!$J$58:$J$85,$J99,Formulario!$L$58:$L$85,$L99))</f>
        <v/>
      </c>
      <c r="O99" s="5" t="str">
        <f t="array" ref="O99">IFERROR(INDEX(Formulario!$N$28:$N$85,MATCH(0,COUNTIF($O$88:O98,Formulario!$N$28:$N$85),0)),"")</f>
        <v/>
      </c>
    </row>
    <row r="100" spans="1:15" ht="18" thickBot="1" x14ac:dyDescent="0.3">
      <c r="A100" s="34"/>
      <c r="B100" s="34"/>
      <c r="C100" s="35"/>
      <c r="D100" s="215"/>
      <c r="E100" s="215"/>
      <c r="F100" s="215"/>
      <c r="G100" s="215"/>
      <c r="H100" s="228"/>
      <c r="I100" s="229"/>
      <c r="J100" s="229"/>
      <c r="K100" s="229"/>
      <c r="L100" s="230"/>
      <c r="M100" s="137"/>
    </row>
    <row r="101" spans="1:15" ht="18" customHeight="1" thickBot="1" x14ac:dyDescent="0.3">
      <c r="A101" s="34"/>
      <c r="B101" s="34"/>
      <c r="C101" s="35"/>
      <c r="D101" s="215"/>
      <c r="E101" s="215"/>
      <c r="F101" s="215"/>
      <c r="G101" s="215"/>
      <c r="H101" s="228" t="s">
        <v>23</v>
      </c>
      <c r="I101" s="229"/>
      <c r="J101" s="229"/>
      <c r="K101" s="229"/>
      <c r="L101" s="230"/>
      <c r="M101" s="137">
        <f>SUM(M89:M100)</f>
        <v>0</v>
      </c>
    </row>
    <row r="102" spans="1:15" x14ac:dyDescent="0.25">
      <c r="J102" s="36" t="s">
        <v>35</v>
      </c>
      <c r="K102" s="36"/>
      <c r="L102" s="36">
        <f>SUMIF($A$58:$A$101,"Factura",$L$58:$M$101)</f>
        <v>0</v>
      </c>
    </row>
    <row r="103" spans="1:15" x14ac:dyDescent="0.25">
      <c r="J103" s="36" t="s">
        <v>36</v>
      </c>
      <c r="K103" s="36"/>
      <c r="L103" s="36">
        <f>SUMIF($A$58:$A$101,"Boleta",$L$58:$M$101)</f>
        <v>0</v>
      </c>
    </row>
    <row r="114" spans="12:12" x14ac:dyDescent="0.25">
      <c r="L114" s="37"/>
    </row>
  </sheetData>
  <sheetProtection algorithmName="SHA-512" hashValue="8rLkbrtDs93RdVt+3n3nOffXY8hojPDdCfPpi+4pgoi23usVT8gBhUWTKhnRSO3/YDbEIU0WzqXNPdv9jhE5hA==" saltValue="uSbOrfbuEuukra5UzWfMWw==" spinCount="100000" sheet="1" objects="1" scenarios="1"/>
  <dataConsolidate/>
  <mergeCells count="146">
    <mergeCell ref="D100:G100"/>
    <mergeCell ref="H100:L100"/>
    <mergeCell ref="D101:G101"/>
    <mergeCell ref="H101:L101"/>
    <mergeCell ref="D97:G97"/>
    <mergeCell ref="J97:K97"/>
    <mergeCell ref="D98:G98"/>
    <mergeCell ref="J98:K98"/>
    <mergeCell ref="D99:G99"/>
    <mergeCell ref="J99:K99"/>
    <mergeCell ref="D94:G94"/>
    <mergeCell ref="J94:K94"/>
    <mergeCell ref="D95:G95"/>
    <mergeCell ref="J95:K95"/>
    <mergeCell ref="D96:G96"/>
    <mergeCell ref="J96:K96"/>
    <mergeCell ref="D91:G91"/>
    <mergeCell ref="J91:K91"/>
    <mergeCell ref="D92:G92"/>
    <mergeCell ref="J92:K92"/>
    <mergeCell ref="D93:G93"/>
    <mergeCell ref="J93:K93"/>
    <mergeCell ref="D88:G88"/>
    <mergeCell ref="J88:K88"/>
    <mergeCell ref="D89:G89"/>
    <mergeCell ref="J89:K89"/>
    <mergeCell ref="D90:G90"/>
    <mergeCell ref="J90:K90"/>
    <mergeCell ref="D84:G84"/>
    <mergeCell ref="J84:K84"/>
    <mergeCell ref="D85:G85"/>
    <mergeCell ref="J85:K85"/>
    <mergeCell ref="D86:G86"/>
    <mergeCell ref="H86:M87"/>
    <mergeCell ref="D87:G87"/>
    <mergeCell ref="D81:G81"/>
    <mergeCell ref="J81:K81"/>
    <mergeCell ref="D82:G82"/>
    <mergeCell ref="J82:K82"/>
    <mergeCell ref="D83:G83"/>
    <mergeCell ref="J83:K83"/>
    <mergeCell ref="D78:G78"/>
    <mergeCell ref="J78:K78"/>
    <mergeCell ref="D79:G79"/>
    <mergeCell ref="J79:K79"/>
    <mergeCell ref="D80:G80"/>
    <mergeCell ref="J80:K80"/>
    <mergeCell ref="D75:G75"/>
    <mergeCell ref="J75:K75"/>
    <mergeCell ref="D76:G76"/>
    <mergeCell ref="J76:K76"/>
    <mergeCell ref="D77:G77"/>
    <mergeCell ref="J77:K77"/>
    <mergeCell ref="D72:G72"/>
    <mergeCell ref="J72:K72"/>
    <mergeCell ref="D73:G73"/>
    <mergeCell ref="J73:K73"/>
    <mergeCell ref="D74:G74"/>
    <mergeCell ref="J74:K74"/>
    <mergeCell ref="D69:G69"/>
    <mergeCell ref="J69:K69"/>
    <mergeCell ref="D70:G70"/>
    <mergeCell ref="J70:K70"/>
    <mergeCell ref="D71:G71"/>
    <mergeCell ref="J71:K71"/>
    <mergeCell ref="D66:G66"/>
    <mergeCell ref="J66:K66"/>
    <mergeCell ref="D67:G67"/>
    <mergeCell ref="J67:K67"/>
    <mergeCell ref="D68:G68"/>
    <mergeCell ref="J68:K68"/>
    <mergeCell ref="D63:G63"/>
    <mergeCell ref="J63:K63"/>
    <mergeCell ref="D64:G64"/>
    <mergeCell ref="J64:K64"/>
    <mergeCell ref="D65:G65"/>
    <mergeCell ref="J65:K65"/>
    <mergeCell ref="D60:G60"/>
    <mergeCell ref="J60:K60"/>
    <mergeCell ref="D61:G61"/>
    <mergeCell ref="J61:K61"/>
    <mergeCell ref="D62:G62"/>
    <mergeCell ref="J62:K62"/>
    <mergeCell ref="A56:M56"/>
    <mergeCell ref="D57:G57"/>
    <mergeCell ref="J57:K57"/>
    <mergeCell ref="D58:G58"/>
    <mergeCell ref="J58:K58"/>
    <mergeCell ref="D59:G59"/>
    <mergeCell ref="J59:K59"/>
    <mergeCell ref="H42:L42"/>
    <mergeCell ref="H43:L43"/>
    <mergeCell ref="H44:L44"/>
    <mergeCell ref="H45:L45"/>
    <mergeCell ref="B48:C48"/>
    <mergeCell ref="B49:D53"/>
    <mergeCell ref="E49:M53"/>
    <mergeCell ref="D39:G39"/>
    <mergeCell ref="J39:K39"/>
    <mergeCell ref="D40:G40"/>
    <mergeCell ref="J40:K40"/>
    <mergeCell ref="D41:G41"/>
    <mergeCell ref="J41:K41"/>
    <mergeCell ref="D36:G36"/>
    <mergeCell ref="J36:K36"/>
    <mergeCell ref="D37:G37"/>
    <mergeCell ref="J37:K37"/>
    <mergeCell ref="D38:G38"/>
    <mergeCell ref="J38:K38"/>
    <mergeCell ref="D33:G33"/>
    <mergeCell ref="J33:K33"/>
    <mergeCell ref="D34:G34"/>
    <mergeCell ref="J34:K34"/>
    <mergeCell ref="D35:G35"/>
    <mergeCell ref="J35:K35"/>
    <mergeCell ref="J30:K30"/>
    <mergeCell ref="D31:G31"/>
    <mergeCell ref="J31:K31"/>
    <mergeCell ref="D32:G32"/>
    <mergeCell ref="J32:K32"/>
    <mergeCell ref="D30:G30"/>
    <mergeCell ref="D27:G27"/>
    <mergeCell ref="J27:K27"/>
    <mergeCell ref="J28:K28"/>
    <mergeCell ref="J29:K29"/>
    <mergeCell ref="D19:H19"/>
    <mergeCell ref="L19:M19"/>
    <mergeCell ref="C22:E22"/>
    <mergeCell ref="L22:M22"/>
    <mergeCell ref="A24:M24"/>
    <mergeCell ref="A26:M26"/>
    <mergeCell ref="D28:G28"/>
    <mergeCell ref="D29:G29"/>
    <mergeCell ref="A7:M7"/>
    <mergeCell ref="A13:M13"/>
    <mergeCell ref="L17:M17"/>
    <mergeCell ref="B1:B2"/>
    <mergeCell ref="C1:D2"/>
    <mergeCell ref="E1:M5"/>
    <mergeCell ref="B3:B4"/>
    <mergeCell ref="C3:D4"/>
    <mergeCell ref="B5:D5"/>
    <mergeCell ref="D15:H15"/>
    <mergeCell ref="D17:H17"/>
    <mergeCell ref="L15:M15"/>
    <mergeCell ref="J11:K11"/>
  </mergeCells>
  <phoneticPr fontId="13" type="noConversion"/>
  <conditionalFormatting sqref="M45">
    <cfRule type="cellIs" dxfId="3" priority="1" stopIfTrue="1" operator="equal">
      <formula>"&lt;-- Marque Recuadro"</formula>
    </cfRule>
  </conditionalFormatting>
  <dataValidations count="13">
    <dataValidation type="list" allowBlank="1" showInputMessage="1" showErrorMessage="1" sqref="D19:H19 IZ19:JD19 SV19:SZ19 ACR19:ACV19 AMN19:AMR19 AWJ19:AWN19 BGF19:BGJ19 BQB19:BQF19 BZX19:CAB19 CJT19:CJX19 CTP19:CTT19 DDL19:DDP19 DNH19:DNL19 DXD19:DXH19 EGZ19:EHD19 EQV19:EQZ19 FAR19:FAV19 FKN19:FKR19 FUJ19:FUN19 GEF19:GEJ19 GOB19:GOF19 GXX19:GYB19 HHT19:HHX19 HRP19:HRT19 IBL19:IBP19 ILH19:ILL19 IVD19:IVH19 JEZ19:JFD19 JOV19:JOZ19 JYR19:JYV19 KIN19:KIR19 KSJ19:KSN19 LCF19:LCJ19 LMB19:LMF19 LVX19:LWB19 MFT19:MFX19 MPP19:MPT19 MZL19:MZP19 NJH19:NJL19 NTD19:NTH19 OCZ19:ODD19 OMV19:OMZ19 OWR19:OWV19 PGN19:PGR19 PQJ19:PQN19 QAF19:QAJ19 QKB19:QKF19 QTX19:QUB19 RDT19:RDX19 RNP19:RNT19 RXL19:RXP19 SHH19:SHL19 SRD19:SRH19 TAZ19:TBD19 TKV19:TKZ19 TUR19:TUV19 UEN19:UER19 UOJ19:UON19 UYF19:UYJ19 VIB19:VIF19 VRX19:VSB19 WBT19:WBX19 WLP19:WLT19 WVL19:WVP19 D65555:H65555 IZ65555:JD65555 SV65555:SZ65555 ACR65555:ACV65555 AMN65555:AMR65555 AWJ65555:AWN65555 BGF65555:BGJ65555 BQB65555:BQF65555 BZX65555:CAB65555 CJT65555:CJX65555 CTP65555:CTT65555 DDL65555:DDP65555 DNH65555:DNL65555 DXD65555:DXH65555 EGZ65555:EHD65555 EQV65555:EQZ65555 FAR65555:FAV65555 FKN65555:FKR65555 FUJ65555:FUN65555 GEF65555:GEJ65555 GOB65555:GOF65555 GXX65555:GYB65555 HHT65555:HHX65555 HRP65555:HRT65555 IBL65555:IBP65555 ILH65555:ILL65555 IVD65555:IVH65555 JEZ65555:JFD65555 JOV65555:JOZ65555 JYR65555:JYV65555 KIN65555:KIR65555 KSJ65555:KSN65555 LCF65555:LCJ65555 LMB65555:LMF65555 LVX65555:LWB65555 MFT65555:MFX65555 MPP65555:MPT65555 MZL65555:MZP65555 NJH65555:NJL65555 NTD65555:NTH65555 OCZ65555:ODD65555 OMV65555:OMZ65555 OWR65555:OWV65555 PGN65555:PGR65555 PQJ65555:PQN65555 QAF65555:QAJ65555 QKB65555:QKF65555 QTX65555:QUB65555 RDT65555:RDX65555 RNP65555:RNT65555 RXL65555:RXP65555 SHH65555:SHL65555 SRD65555:SRH65555 TAZ65555:TBD65555 TKV65555:TKZ65555 TUR65555:TUV65555 UEN65555:UER65555 UOJ65555:UON65555 UYF65555:UYJ65555 VIB65555:VIF65555 VRX65555:VSB65555 WBT65555:WBX65555 WLP65555:WLT65555 WVL65555:WVP65555 D131091:H131091 IZ131091:JD131091 SV131091:SZ131091 ACR131091:ACV131091 AMN131091:AMR131091 AWJ131091:AWN131091 BGF131091:BGJ131091 BQB131091:BQF131091 BZX131091:CAB131091 CJT131091:CJX131091 CTP131091:CTT131091 DDL131091:DDP131091 DNH131091:DNL131091 DXD131091:DXH131091 EGZ131091:EHD131091 EQV131091:EQZ131091 FAR131091:FAV131091 FKN131091:FKR131091 FUJ131091:FUN131091 GEF131091:GEJ131091 GOB131091:GOF131091 GXX131091:GYB131091 HHT131091:HHX131091 HRP131091:HRT131091 IBL131091:IBP131091 ILH131091:ILL131091 IVD131091:IVH131091 JEZ131091:JFD131091 JOV131091:JOZ131091 JYR131091:JYV131091 KIN131091:KIR131091 KSJ131091:KSN131091 LCF131091:LCJ131091 LMB131091:LMF131091 LVX131091:LWB131091 MFT131091:MFX131091 MPP131091:MPT131091 MZL131091:MZP131091 NJH131091:NJL131091 NTD131091:NTH131091 OCZ131091:ODD131091 OMV131091:OMZ131091 OWR131091:OWV131091 PGN131091:PGR131091 PQJ131091:PQN131091 QAF131091:QAJ131091 QKB131091:QKF131091 QTX131091:QUB131091 RDT131091:RDX131091 RNP131091:RNT131091 RXL131091:RXP131091 SHH131091:SHL131091 SRD131091:SRH131091 TAZ131091:TBD131091 TKV131091:TKZ131091 TUR131091:TUV131091 UEN131091:UER131091 UOJ131091:UON131091 UYF131091:UYJ131091 VIB131091:VIF131091 VRX131091:VSB131091 WBT131091:WBX131091 WLP131091:WLT131091 WVL131091:WVP131091 D196627:H196627 IZ196627:JD196627 SV196627:SZ196627 ACR196627:ACV196627 AMN196627:AMR196627 AWJ196627:AWN196627 BGF196627:BGJ196627 BQB196627:BQF196627 BZX196627:CAB196627 CJT196627:CJX196627 CTP196627:CTT196627 DDL196627:DDP196627 DNH196627:DNL196627 DXD196627:DXH196627 EGZ196627:EHD196627 EQV196627:EQZ196627 FAR196627:FAV196627 FKN196627:FKR196627 FUJ196627:FUN196627 GEF196627:GEJ196627 GOB196627:GOF196627 GXX196627:GYB196627 HHT196627:HHX196627 HRP196627:HRT196627 IBL196627:IBP196627 ILH196627:ILL196627 IVD196627:IVH196627 JEZ196627:JFD196627 JOV196627:JOZ196627 JYR196627:JYV196627 KIN196627:KIR196627 KSJ196627:KSN196627 LCF196627:LCJ196627 LMB196627:LMF196627 LVX196627:LWB196627 MFT196627:MFX196627 MPP196627:MPT196627 MZL196627:MZP196627 NJH196627:NJL196627 NTD196627:NTH196627 OCZ196627:ODD196627 OMV196627:OMZ196627 OWR196627:OWV196627 PGN196627:PGR196627 PQJ196627:PQN196627 QAF196627:QAJ196627 QKB196627:QKF196627 QTX196627:QUB196627 RDT196627:RDX196627 RNP196627:RNT196627 RXL196627:RXP196627 SHH196627:SHL196627 SRD196627:SRH196627 TAZ196627:TBD196627 TKV196627:TKZ196627 TUR196627:TUV196627 UEN196627:UER196627 UOJ196627:UON196627 UYF196627:UYJ196627 VIB196627:VIF196627 VRX196627:VSB196627 WBT196627:WBX196627 WLP196627:WLT196627 WVL196627:WVP196627 D262163:H262163 IZ262163:JD262163 SV262163:SZ262163 ACR262163:ACV262163 AMN262163:AMR262163 AWJ262163:AWN262163 BGF262163:BGJ262163 BQB262163:BQF262163 BZX262163:CAB262163 CJT262163:CJX262163 CTP262163:CTT262163 DDL262163:DDP262163 DNH262163:DNL262163 DXD262163:DXH262163 EGZ262163:EHD262163 EQV262163:EQZ262163 FAR262163:FAV262163 FKN262163:FKR262163 FUJ262163:FUN262163 GEF262163:GEJ262163 GOB262163:GOF262163 GXX262163:GYB262163 HHT262163:HHX262163 HRP262163:HRT262163 IBL262163:IBP262163 ILH262163:ILL262163 IVD262163:IVH262163 JEZ262163:JFD262163 JOV262163:JOZ262163 JYR262163:JYV262163 KIN262163:KIR262163 KSJ262163:KSN262163 LCF262163:LCJ262163 LMB262163:LMF262163 LVX262163:LWB262163 MFT262163:MFX262163 MPP262163:MPT262163 MZL262163:MZP262163 NJH262163:NJL262163 NTD262163:NTH262163 OCZ262163:ODD262163 OMV262163:OMZ262163 OWR262163:OWV262163 PGN262163:PGR262163 PQJ262163:PQN262163 QAF262163:QAJ262163 QKB262163:QKF262163 QTX262163:QUB262163 RDT262163:RDX262163 RNP262163:RNT262163 RXL262163:RXP262163 SHH262163:SHL262163 SRD262163:SRH262163 TAZ262163:TBD262163 TKV262163:TKZ262163 TUR262163:TUV262163 UEN262163:UER262163 UOJ262163:UON262163 UYF262163:UYJ262163 VIB262163:VIF262163 VRX262163:VSB262163 WBT262163:WBX262163 WLP262163:WLT262163 WVL262163:WVP262163 D327699:H327699 IZ327699:JD327699 SV327699:SZ327699 ACR327699:ACV327699 AMN327699:AMR327699 AWJ327699:AWN327699 BGF327699:BGJ327699 BQB327699:BQF327699 BZX327699:CAB327699 CJT327699:CJX327699 CTP327699:CTT327699 DDL327699:DDP327699 DNH327699:DNL327699 DXD327699:DXH327699 EGZ327699:EHD327699 EQV327699:EQZ327699 FAR327699:FAV327699 FKN327699:FKR327699 FUJ327699:FUN327699 GEF327699:GEJ327699 GOB327699:GOF327699 GXX327699:GYB327699 HHT327699:HHX327699 HRP327699:HRT327699 IBL327699:IBP327699 ILH327699:ILL327699 IVD327699:IVH327699 JEZ327699:JFD327699 JOV327699:JOZ327699 JYR327699:JYV327699 KIN327699:KIR327699 KSJ327699:KSN327699 LCF327699:LCJ327699 LMB327699:LMF327699 LVX327699:LWB327699 MFT327699:MFX327699 MPP327699:MPT327699 MZL327699:MZP327699 NJH327699:NJL327699 NTD327699:NTH327699 OCZ327699:ODD327699 OMV327699:OMZ327699 OWR327699:OWV327699 PGN327699:PGR327699 PQJ327699:PQN327699 QAF327699:QAJ327699 QKB327699:QKF327699 QTX327699:QUB327699 RDT327699:RDX327699 RNP327699:RNT327699 RXL327699:RXP327699 SHH327699:SHL327699 SRD327699:SRH327699 TAZ327699:TBD327699 TKV327699:TKZ327699 TUR327699:TUV327699 UEN327699:UER327699 UOJ327699:UON327699 UYF327699:UYJ327699 VIB327699:VIF327699 VRX327699:VSB327699 WBT327699:WBX327699 WLP327699:WLT327699 WVL327699:WVP327699 D393235:H393235 IZ393235:JD393235 SV393235:SZ393235 ACR393235:ACV393235 AMN393235:AMR393235 AWJ393235:AWN393235 BGF393235:BGJ393235 BQB393235:BQF393235 BZX393235:CAB393235 CJT393235:CJX393235 CTP393235:CTT393235 DDL393235:DDP393235 DNH393235:DNL393235 DXD393235:DXH393235 EGZ393235:EHD393235 EQV393235:EQZ393235 FAR393235:FAV393235 FKN393235:FKR393235 FUJ393235:FUN393235 GEF393235:GEJ393235 GOB393235:GOF393235 GXX393235:GYB393235 HHT393235:HHX393235 HRP393235:HRT393235 IBL393235:IBP393235 ILH393235:ILL393235 IVD393235:IVH393235 JEZ393235:JFD393235 JOV393235:JOZ393235 JYR393235:JYV393235 KIN393235:KIR393235 KSJ393235:KSN393235 LCF393235:LCJ393235 LMB393235:LMF393235 LVX393235:LWB393235 MFT393235:MFX393235 MPP393235:MPT393235 MZL393235:MZP393235 NJH393235:NJL393235 NTD393235:NTH393235 OCZ393235:ODD393235 OMV393235:OMZ393235 OWR393235:OWV393235 PGN393235:PGR393235 PQJ393235:PQN393235 QAF393235:QAJ393235 QKB393235:QKF393235 QTX393235:QUB393235 RDT393235:RDX393235 RNP393235:RNT393235 RXL393235:RXP393235 SHH393235:SHL393235 SRD393235:SRH393235 TAZ393235:TBD393235 TKV393235:TKZ393235 TUR393235:TUV393235 UEN393235:UER393235 UOJ393235:UON393235 UYF393235:UYJ393235 VIB393235:VIF393235 VRX393235:VSB393235 WBT393235:WBX393235 WLP393235:WLT393235 WVL393235:WVP393235 D458771:H458771 IZ458771:JD458771 SV458771:SZ458771 ACR458771:ACV458771 AMN458771:AMR458771 AWJ458771:AWN458771 BGF458771:BGJ458771 BQB458771:BQF458771 BZX458771:CAB458771 CJT458771:CJX458771 CTP458771:CTT458771 DDL458771:DDP458771 DNH458771:DNL458771 DXD458771:DXH458771 EGZ458771:EHD458771 EQV458771:EQZ458771 FAR458771:FAV458771 FKN458771:FKR458771 FUJ458771:FUN458771 GEF458771:GEJ458771 GOB458771:GOF458771 GXX458771:GYB458771 HHT458771:HHX458771 HRP458771:HRT458771 IBL458771:IBP458771 ILH458771:ILL458771 IVD458771:IVH458771 JEZ458771:JFD458771 JOV458771:JOZ458771 JYR458771:JYV458771 KIN458771:KIR458771 KSJ458771:KSN458771 LCF458771:LCJ458771 LMB458771:LMF458771 LVX458771:LWB458771 MFT458771:MFX458771 MPP458771:MPT458771 MZL458771:MZP458771 NJH458771:NJL458771 NTD458771:NTH458771 OCZ458771:ODD458771 OMV458771:OMZ458771 OWR458771:OWV458771 PGN458771:PGR458771 PQJ458771:PQN458771 QAF458771:QAJ458771 QKB458771:QKF458771 QTX458771:QUB458771 RDT458771:RDX458771 RNP458771:RNT458771 RXL458771:RXP458771 SHH458771:SHL458771 SRD458771:SRH458771 TAZ458771:TBD458771 TKV458771:TKZ458771 TUR458771:TUV458771 UEN458771:UER458771 UOJ458771:UON458771 UYF458771:UYJ458771 VIB458771:VIF458771 VRX458771:VSB458771 WBT458771:WBX458771 WLP458771:WLT458771 WVL458771:WVP458771 D524307:H524307 IZ524307:JD524307 SV524307:SZ524307 ACR524307:ACV524307 AMN524307:AMR524307 AWJ524307:AWN524307 BGF524307:BGJ524307 BQB524307:BQF524307 BZX524307:CAB524307 CJT524307:CJX524307 CTP524307:CTT524307 DDL524307:DDP524307 DNH524307:DNL524307 DXD524307:DXH524307 EGZ524307:EHD524307 EQV524307:EQZ524307 FAR524307:FAV524307 FKN524307:FKR524307 FUJ524307:FUN524307 GEF524307:GEJ524307 GOB524307:GOF524307 GXX524307:GYB524307 HHT524307:HHX524307 HRP524307:HRT524307 IBL524307:IBP524307 ILH524307:ILL524307 IVD524307:IVH524307 JEZ524307:JFD524307 JOV524307:JOZ524307 JYR524307:JYV524307 KIN524307:KIR524307 KSJ524307:KSN524307 LCF524307:LCJ524307 LMB524307:LMF524307 LVX524307:LWB524307 MFT524307:MFX524307 MPP524307:MPT524307 MZL524307:MZP524307 NJH524307:NJL524307 NTD524307:NTH524307 OCZ524307:ODD524307 OMV524307:OMZ524307 OWR524307:OWV524307 PGN524307:PGR524307 PQJ524307:PQN524307 QAF524307:QAJ524307 QKB524307:QKF524307 QTX524307:QUB524307 RDT524307:RDX524307 RNP524307:RNT524307 RXL524307:RXP524307 SHH524307:SHL524307 SRD524307:SRH524307 TAZ524307:TBD524307 TKV524307:TKZ524307 TUR524307:TUV524307 UEN524307:UER524307 UOJ524307:UON524307 UYF524307:UYJ524307 VIB524307:VIF524307 VRX524307:VSB524307 WBT524307:WBX524307 WLP524307:WLT524307 WVL524307:WVP524307 D589843:H589843 IZ589843:JD589843 SV589843:SZ589843 ACR589843:ACV589843 AMN589843:AMR589843 AWJ589843:AWN589843 BGF589843:BGJ589843 BQB589843:BQF589843 BZX589843:CAB589843 CJT589843:CJX589843 CTP589843:CTT589843 DDL589843:DDP589843 DNH589843:DNL589843 DXD589843:DXH589843 EGZ589843:EHD589843 EQV589843:EQZ589843 FAR589843:FAV589843 FKN589843:FKR589843 FUJ589843:FUN589843 GEF589843:GEJ589843 GOB589843:GOF589843 GXX589843:GYB589843 HHT589843:HHX589843 HRP589843:HRT589843 IBL589843:IBP589843 ILH589843:ILL589843 IVD589843:IVH589843 JEZ589843:JFD589843 JOV589843:JOZ589843 JYR589843:JYV589843 KIN589843:KIR589843 KSJ589843:KSN589843 LCF589843:LCJ589843 LMB589843:LMF589843 LVX589843:LWB589843 MFT589843:MFX589843 MPP589843:MPT589843 MZL589843:MZP589843 NJH589843:NJL589843 NTD589843:NTH589843 OCZ589843:ODD589843 OMV589843:OMZ589843 OWR589843:OWV589843 PGN589843:PGR589843 PQJ589843:PQN589843 QAF589843:QAJ589843 QKB589843:QKF589843 QTX589843:QUB589843 RDT589843:RDX589843 RNP589843:RNT589843 RXL589843:RXP589843 SHH589843:SHL589843 SRD589843:SRH589843 TAZ589843:TBD589843 TKV589843:TKZ589843 TUR589843:TUV589843 UEN589843:UER589843 UOJ589843:UON589843 UYF589843:UYJ589843 VIB589843:VIF589843 VRX589843:VSB589843 WBT589843:WBX589843 WLP589843:WLT589843 WVL589843:WVP589843 D655379:H655379 IZ655379:JD655379 SV655379:SZ655379 ACR655379:ACV655379 AMN655379:AMR655379 AWJ655379:AWN655379 BGF655379:BGJ655379 BQB655379:BQF655379 BZX655379:CAB655379 CJT655379:CJX655379 CTP655379:CTT655379 DDL655379:DDP655379 DNH655379:DNL655379 DXD655379:DXH655379 EGZ655379:EHD655379 EQV655379:EQZ655379 FAR655379:FAV655379 FKN655379:FKR655379 FUJ655379:FUN655379 GEF655379:GEJ655379 GOB655379:GOF655379 GXX655379:GYB655379 HHT655379:HHX655379 HRP655379:HRT655379 IBL655379:IBP655379 ILH655379:ILL655379 IVD655379:IVH655379 JEZ655379:JFD655379 JOV655379:JOZ655379 JYR655379:JYV655379 KIN655379:KIR655379 KSJ655379:KSN655379 LCF655379:LCJ655379 LMB655379:LMF655379 LVX655379:LWB655379 MFT655379:MFX655379 MPP655379:MPT655379 MZL655379:MZP655379 NJH655379:NJL655379 NTD655379:NTH655379 OCZ655379:ODD655379 OMV655379:OMZ655379 OWR655379:OWV655379 PGN655379:PGR655379 PQJ655379:PQN655379 QAF655379:QAJ655379 QKB655379:QKF655379 QTX655379:QUB655379 RDT655379:RDX655379 RNP655379:RNT655379 RXL655379:RXP655379 SHH655379:SHL655379 SRD655379:SRH655379 TAZ655379:TBD655379 TKV655379:TKZ655379 TUR655379:TUV655379 UEN655379:UER655379 UOJ655379:UON655379 UYF655379:UYJ655379 VIB655379:VIF655379 VRX655379:VSB655379 WBT655379:WBX655379 WLP655379:WLT655379 WVL655379:WVP655379 D720915:H720915 IZ720915:JD720915 SV720915:SZ720915 ACR720915:ACV720915 AMN720915:AMR720915 AWJ720915:AWN720915 BGF720915:BGJ720915 BQB720915:BQF720915 BZX720915:CAB720915 CJT720915:CJX720915 CTP720915:CTT720915 DDL720915:DDP720915 DNH720915:DNL720915 DXD720915:DXH720915 EGZ720915:EHD720915 EQV720915:EQZ720915 FAR720915:FAV720915 FKN720915:FKR720915 FUJ720915:FUN720915 GEF720915:GEJ720915 GOB720915:GOF720915 GXX720915:GYB720915 HHT720915:HHX720915 HRP720915:HRT720915 IBL720915:IBP720915 ILH720915:ILL720915 IVD720915:IVH720915 JEZ720915:JFD720915 JOV720915:JOZ720915 JYR720915:JYV720915 KIN720915:KIR720915 KSJ720915:KSN720915 LCF720915:LCJ720915 LMB720915:LMF720915 LVX720915:LWB720915 MFT720915:MFX720915 MPP720915:MPT720915 MZL720915:MZP720915 NJH720915:NJL720915 NTD720915:NTH720915 OCZ720915:ODD720915 OMV720915:OMZ720915 OWR720915:OWV720915 PGN720915:PGR720915 PQJ720915:PQN720915 QAF720915:QAJ720915 QKB720915:QKF720915 QTX720915:QUB720915 RDT720915:RDX720915 RNP720915:RNT720915 RXL720915:RXP720915 SHH720915:SHL720915 SRD720915:SRH720915 TAZ720915:TBD720915 TKV720915:TKZ720915 TUR720915:TUV720915 UEN720915:UER720915 UOJ720915:UON720915 UYF720915:UYJ720915 VIB720915:VIF720915 VRX720915:VSB720915 WBT720915:WBX720915 WLP720915:WLT720915 WVL720915:WVP720915 D786451:H786451 IZ786451:JD786451 SV786451:SZ786451 ACR786451:ACV786451 AMN786451:AMR786451 AWJ786451:AWN786451 BGF786451:BGJ786451 BQB786451:BQF786451 BZX786451:CAB786451 CJT786451:CJX786451 CTP786451:CTT786451 DDL786451:DDP786451 DNH786451:DNL786451 DXD786451:DXH786451 EGZ786451:EHD786451 EQV786451:EQZ786451 FAR786451:FAV786451 FKN786451:FKR786451 FUJ786451:FUN786451 GEF786451:GEJ786451 GOB786451:GOF786451 GXX786451:GYB786451 HHT786451:HHX786451 HRP786451:HRT786451 IBL786451:IBP786451 ILH786451:ILL786451 IVD786451:IVH786451 JEZ786451:JFD786451 JOV786451:JOZ786451 JYR786451:JYV786451 KIN786451:KIR786451 KSJ786451:KSN786451 LCF786451:LCJ786451 LMB786451:LMF786451 LVX786451:LWB786451 MFT786451:MFX786451 MPP786451:MPT786451 MZL786451:MZP786451 NJH786451:NJL786451 NTD786451:NTH786451 OCZ786451:ODD786451 OMV786451:OMZ786451 OWR786451:OWV786451 PGN786451:PGR786451 PQJ786451:PQN786451 QAF786451:QAJ786451 QKB786451:QKF786451 QTX786451:QUB786451 RDT786451:RDX786451 RNP786451:RNT786451 RXL786451:RXP786451 SHH786451:SHL786451 SRD786451:SRH786451 TAZ786451:TBD786451 TKV786451:TKZ786451 TUR786451:TUV786451 UEN786451:UER786451 UOJ786451:UON786451 UYF786451:UYJ786451 VIB786451:VIF786451 VRX786451:VSB786451 WBT786451:WBX786451 WLP786451:WLT786451 WVL786451:WVP786451 D851987:H851987 IZ851987:JD851987 SV851987:SZ851987 ACR851987:ACV851987 AMN851987:AMR851987 AWJ851987:AWN851987 BGF851987:BGJ851987 BQB851987:BQF851987 BZX851987:CAB851987 CJT851987:CJX851987 CTP851987:CTT851987 DDL851987:DDP851987 DNH851987:DNL851987 DXD851987:DXH851987 EGZ851987:EHD851987 EQV851987:EQZ851987 FAR851987:FAV851987 FKN851987:FKR851987 FUJ851987:FUN851987 GEF851987:GEJ851987 GOB851987:GOF851987 GXX851987:GYB851987 HHT851987:HHX851987 HRP851987:HRT851987 IBL851987:IBP851987 ILH851987:ILL851987 IVD851987:IVH851987 JEZ851987:JFD851987 JOV851987:JOZ851987 JYR851987:JYV851987 KIN851987:KIR851987 KSJ851987:KSN851987 LCF851987:LCJ851987 LMB851987:LMF851987 LVX851987:LWB851987 MFT851987:MFX851987 MPP851987:MPT851987 MZL851987:MZP851987 NJH851987:NJL851987 NTD851987:NTH851987 OCZ851987:ODD851987 OMV851987:OMZ851987 OWR851987:OWV851987 PGN851987:PGR851987 PQJ851987:PQN851987 QAF851987:QAJ851987 QKB851987:QKF851987 QTX851987:QUB851987 RDT851987:RDX851987 RNP851987:RNT851987 RXL851987:RXP851987 SHH851987:SHL851987 SRD851987:SRH851987 TAZ851987:TBD851987 TKV851987:TKZ851987 TUR851987:TUV851987 UEN851987:UER851987 UOJ851987:UON851987 UYF851987:UYJ851987 VIB851987:VIF851987 VRX851987:VSB851987 WBT851987:WBX851987 WLP851987:WLT851987 WVL851987:WVP851987 D917523:H917523 IZ917523:JD917523 SV917523:SZ917523 ACR917523:ACV917523 AMN917523:AMR917523 AWJ917523:AWN917523 BGF917523:BGJ917523 BQB917523:BQF917523 BZX917523:CAB917523 CJT917523:CJX917523 CTP917523:CTT917523 DDL917523:DDP917523 DNH917523:DNL917523 DXD917523:DXH917523 EGZ917523:EHD917523 EQV917523:EQZ917523 FAR917523:FAV917523 FKN917523:FKR917523 FUJ917523:FUN917523 GEF917523:GEJ917523 GOB917523:GOF917523 GXX917523:GYB917523 HHT917523:HHX917523 HRP917523:HRT917523 IBL917523:IBP917523 ILH917523:ILL917523 IVD917523:IVH917523 JEZ917523:JFD917523 JOV917523:JOZ917523 JYR917523:JYV917523 KIN917523:KIR917523 KSJ917523:KSN917523 LCF917523:LCJ917523 LMB917523:LMF917523 LVX917523:LWB917523 MFT917523:MFX917523 MPP917523:MPT917523 MZL917523:MZP917523 NJH917523:NJL917523 NTD917523:NTH917523 OCZ917523:ODD917523 OMV917523:OMZ917523 OWR917523:OWV917523 PGN917523:PGR917523 PQJ917523:PQN917523 QAF917523:QAJ917523 QKB917523:QKF917523 QTX917523:QUB917523 RDT917523:RDX917523 RNP917523:RNT917523 RXL917523:RXP917523 SHH917523:SHL917523 SRD917523:SRH917523 TAZ917523:TBD917523 TKV917523:TKZ917523 TUR917523:TUV917523 UEN917523:UER917523 UOJ917523:UON917523 UYF917523:UYJ917523 VIB917523:VIF917523 VRX917523:VSB917523 WBT917523:WBX917523 WLP917523:WLT917523 WVL917523:WVP917523 D983059:H983059 IZ983059:JD983059 SV983059:SZ983059 ACR983059:ACV983059 AMN983059:AMR983059 AWJ983059:AWN983059 BGF983059:BGJ983059 BQB983059:BQF983059 BZX983059:CAB983059 CJT983059:CJX983059 CTP983059:CTT983059 DDL983059:DDP983059 DNH983059:DNL983059 DXD983059:DXH983059 EGZ983059:EHD983059 EQV983059:EQZ983059 FAR983059:FAV983059 FKN983059:FKR983059 FUJ983059:FUN983059 GEF983059:GEJ983059 GOB983059:GOF983059 GXX983059:GYB983059 HHT983059:HHX983059 HRP983059:HRT983059 IBL983059:IBP983059 ILH983059:ILL983059 IVD983059:IVH983059 JEZ983059:JFD983059 JOV983059:JOZ983059 JYR983059:JYV983059 KIN983059:KIR983059 KSJ983059:KSN983059 LCF983059:LCJ983059 LMB983059:LMF983059 LVX983059:LWB983059 MFT983059:MFX983059 MPP983059:MPT983059 MZL983059:MZP983059 NJH983059:NJL983059 NTD983059:NTH983059 OCZ983059:ODD983059 OMV983059:OMZ983059 OWR983059:OWV983059 PGN983059:PGR983059 PQJ983059:PQN983059 QAF983059:QAJ983059 QKB983059:QKF983059 QTX983059:QUB983059 RDT983059:RDX983059 RNP983059:RNT983059 RXL983059:RXP983059 SHH983059:SHL983059 SRD983059:SRH983059 TAZ983059:TBD983059 TKV983059:TKZ983059 TUR983059:TUV983059 UEN983059:UER983059 UOJ983059:UON983059 UYF983059:UYJ983059 VIB983059:VIF983059 VRX983059:VSB983059 WBT983059:WBX983059 WLP983059:WLT983059 WVL983059:WVP983059" xr:uid="{AF47780F-7DE1-4475-B938-51D2B2D7EDCD}">
      <formula1>A1_Empresa</formula1>
    </dataValidation>
    <dataValidation type="list" allowBlank="1" showInputMessage="1" showErrorMessage="1" sqref="WLV983068:WLV983069 JF32:JF33 TB32:TB33 ACX32:ACX33 AMT32:AMT33 AWP32:AWP33 BGL32:BGL33 BQH32:BQH33 CAD32:CAD33 CJZ32:CJZ33 CTV32:CTV33 DDR32:DDR33 DNN32:DNN33 DXJ32:DXJ33 EHF32:EHF33 ERB32:ERB33 FAX32:FAX33 FKT32:FKT33 FUP32:FUP33 GEL32:GEL33 GOH32:GOH33 GYD32:GYD33 HHZ32:HHZ33 HRV32:HRV33 IBR32:IBR33 ILN32:ILN33 IVJ32:IVJ33 JFF32:JFF33 JPB32:JPB33 JYX32:JYX33 KIT32:KIT33 KSP32:KSP33 LCL32:LCL33 LMH32:LMH33 LWD32:LWD33 MFZ32:MFZ33 MPV32:MPV33 MZR32:MZR33 NJN32:NJN33 NTJ32:NTJ33 ODF32:ODF33 ONB32:ONB33 OWX32:OWX33 PGT32:PGT33 PQP32:PQP33 QAL32:QAL33 QKH32:QKH33 QUD32:QUD33 RDZ32:RDZ33 RNV32:RNV33 RXR32:RXR33 SHN32:SHN33 SRJ32:SRJ33 TBF32:TBF33 TLB32:TLB33 TUX32:TUX33 UET32:UET33 UOP32:UOP33 UYL32:UYL33 VIH32:VIH33 VSD32:VSD33 WBZ32:WBZ33 WLV32:WLV33 WVR32:WVR33 J65568:J65569 JF65568:JF65569 TB65568:TB65569 ACX65568:ACX65569 AMT65568:AMT65569 AWP65568:AWP65569 BGL65568:BGL65569 BQH65568:BQH65569 CAD65568:CAD65569 CJZ65568:CJZ65569 CTV65568:CTV65569 DDR65568:DDR65569 DNN65568:DNN65569 DXJ65568:DXJ65569 EHF65568:EHF65569 ERB65568:ERB65569 FAX65568:FAX65569 FKT65568:FKT65569 FUP65568:FUP65569 GEL65568:GEL65569 GOH65568:GOH65569 GYD65568:GYD65569 HHZ65568:HHZ65569 HRV65568:HRV65569 IBR65568:IBR65569 ILN65568:ILN65569 IVJ65568:IVJ65569 JFF65568:JFF65569 JPB65568:JPB65569 JYX65568:JYX65569 KIT65568:KIT65569 KSP65568:KSP65569 LCL65568:LCL65569 LMH65568:LMH65569 LWD65568:LWD65569 MFZ65568:MFZ65569 MPV65568:MPV65569 MZR65568:MZR65569 NJN65568:NJN65569 NTJ65568:NTJ65569 ODF65568:ODF65569 ONB65568:ONB65569 OWX65568:OWX65569 PGT65568:PGT65569 PQP65568:PQP65569 QAL65568:QAL65569 QKH65568:QKH65569 QUD65568:QUD65569 RDZ65568:RDZ65569 RNV65568:RNV65569 RXR65568:RXR65569 SHN65568:SHN65569 SRJ65568:SRJ65569 TBF65568:TBF65569 TLB65568:TLB65569 TUX65568:TUX65569 UET65568:UET65569 UOP65568:UOP65569 UYL65568:UYL65569 VIH65568:VIH65569 VSD65568:VSD65569 WBZ65568:WBZ65569 WLV65568:WLV65569 WVR65568:WVR65569 J131104:J131105 JF131104:JF131105 TB131104:TB131105 ACX131104:ACX131105 AMT131104:AMT131105 AWP131104:AWP131105 BGL131104:BGL131105 BQH131104:BQH131105 CAD131104:CAD131105 CJZ131104:CJZ131105 CTV131104:CTV131105 DDR131104:DDR131105 DNN131104:DNN131105 DXJ131104:DXJ131105 EHF131104:EHF131105 ERB131104:ERB131105 FAX131104:FAX131105 FKT131104:FKT131105 FUP131104:FUP131105 GEL131104:GEL131105 GOH131104:GOH131105 GYD131104:GYD131105 HHZ131104:HHZ131105 HRV131104:HRV131105 IBR131104:IBR131105 ILN131104:ILN131105 IVJ131104:IVJ131105 JFF131104:JFF131105 JPB131104:JPB131105 JYX131104:JYX131105 KIT131104:KIT131105 KSP131104:KSP131105 LCL131104:LCL131105 LMH131104:LMH131105 LWD131104:LWD131105 MFZ131104:MFZ131105 MPV131104:MPV131105 MZR131104:MZR131105 NJN131104:NJN131105 NTJ131104:NTJ131105 ODF131104:ODF131105 ONB131104:ONB131105 OWX131104:OWX131105 PGT131104:PGT131105 PQP131104:PQP131105 QAL131104:QAL131105 QKH131104:QKH131105 QUD131104:QUD131105 RDZ131104:RDZ131105 RNV131104:RNV131105 RXR131104:RXR131105 SHN131104:SHN131105 SRJ131104:SRJ131105 TBF131104:TBF131105 TLB131104:TLB131105 TUX131104:TUX131105 UET131104:UET131105 UOP131104:UOP131105 UYL131104:UYL131105 VIH131104:VIH131105 VSD131104:VSD131105 WBZ131104:WBZ131105 WLV131104:WLV131105 WVR131104:WVR131105 J196640:J196641 JF196640:JF196641 TB196640:TB196641 ACX196640:ACX196641 AMT196640:AMT196641 AWP196640:AWP196641 BGL196640:BGL196641 BQH196640:BQH196641 CAD196640:CAD196641 CJZ196640:CJZ196641 CTV196640:CTV196641 DDR196640:DDR196641 DNN196640:DNN196641 DXJ196640:DXJ196641 EHF196640:EHF196641 ERB196640:ERB196641 FAX196640:FAX196641 FKT196640:FKT196641 FUP196640:FUP196641 GEL196640:GEL196641 GOH196640:GOH196641 GYD196640:GYD196641 HHZ196640:HHZ196641 HRV196640:HRV196641 IBR196640:IBR196641 ILN196640:ILN196641 IVJ196640:IVJ196641 JFF196640:JFF196641 JPB196640:JPB196641 JYX196640:JYX196641 KIT196640:KIT196641 KSP196640:KSP196641 LCL196640:LCL196641 LMH196640:LMH196641 LWD196640:LWD196641 MFZ196640:MFZ196641 MPV196640:MPV196641 MZR196640:MZR196641 NJN196640:NJN196641 NTJ196640:NTJ196641 ODF196640:ODF196641 ONB196640:ONB196641 OWX196640:OWX196641 PGT196640:PGT196641 PQP196640:PQP196641 QAL196640:QAL196641 QKH196640:QKH196641 QUD196640:QUD196641 RDZ196640:RDZ196641 RNV196640:RNV196641 RXR196640:RXR196641 SHN196640:SHN196641 SRJ196640:SRJ196641 TBF196640:TBF196641 TLB196640:TLB196641 TUX196640:TUX196641 UET196640:UET196641 UOP196640:UOP196641 UYL196640:UYL196641 VIH196640:VIH196641 VSD196640:VSD196641 WBZ196640:WBZ196641 WLV196640:WLV196641 WVR196640:WVR196641 J262176:J262177 JF262176:JF262177 TB262176:TB262177 ACX262176:ACX262177 AMT262176:AMT262177 AWP262176:AWP262177 BGL262176:BGL262177 BQH262176:BQH262177 CAD262176:CAD262177 CJZ262176:CJZ262177 CTV262176:CTV262177 DDR262176:DDR262177 DNN262176:DNN262177 DXJ262176:DXJ262177 EHF262176:EHF262177 ERB262176:ERB262177 FAX262176:FAX262177 FKT262176:FKT262177 FUP262176:FUP262177 GEL262176:GEL262177 GOH262176:GOH262177 GYD262176:GYD262177 HHZ262176:HHZ262177 HRV262176:HRV262177 IBR262176:IBR262177 ILN262176:ILN262177 IVJ262176:IVJ262177 JFF262176:JFF262177 JPB262176:JPB262177 JYX262176:JYX262177 KIT262176:KIT262177 KSP262176:KSP262177 LCL262176:LCL262177 LMH262176:LMH262177 LWD262176:LWD262177 MFZ262176:MFZ262177 MPV262176:MPV262177 MZR262176:MZR262177 NJN262176:NJN262177 NTJ262176:NTJ262177 ODF262176:ODF262177 ONB262176:ONB262177 OWX262176:OWX262177 PGT262176:PGT262177 PQP262176:PQP262177 QAL262176:QAL262177 QKH262176:QKH262177 QUD262176:QUD262177 RDZ262176:RDZ262177 RNV262176:RNV262177 RXR262176:RXR262177 SHN262176:SHN262177 SRJ262176:SRJ262177 TBF262176:TBF262177 TLB262176:TLB262177 TUX262176:TUX262177 UET262176:UET262177 UOP262176:UOP262177 UYL262176:UYL262177 VIH262176:VIH262177 VSD262176:VSD262177 WBZ262176:WBZ262177 WLV262176:WLV262177 WVR262176:WVR262177 J327712:J327713 JF327712:JF327713 TB327712:TB327713 ACX327712:ACX327713 AMT327712:AMT327713 AWP327712:AWP327713 BGL327712:BGL327713 BQH327712:BQH327713 CAD327712:CAD327713 CJZ327712:CJZ327713 CTV327712:CTV327713 DDR327712:DDR327713 DNN327712:DNN327713 DXJ327712:DXJ327713 EHF327712:EHF327713 ERB327712:ERB327713 FAX327712:FAX327713 FKT327712:FKT327713 FUP327712:FUP327713 GEL327712:GEL327713 GOH327712:GOH327713 GYD327712:GYD327713 HHZ327712:HHZ327713 HRV327712:HRV327713 IBR327712:IBR327713 ILN327712:ILN327713 IVJ327712:IVJ327713 JFF327712:JFF327713 JPB327712:JPB327713 JYX327712:JYX327713 KIT327712:KIT327713 KSP327712:KSP327713 LCL327712:LCL327713 LMH327712:LMH327713 LWD327712:LWD327713 MFZ327712:MFZ327713 MPV327712:MPV327713 MZR327712:MZR327713 NJN327712:NJN327713 NTJ327712:NTJ327713 ODF327712:ODF327713 ONB327712:ONB327713 OWX327712:OWX327713 PGT327712:PGT327713 PQP327712:PQP327713 QAL327712:QAL327713 QKH327712:QKH327713 QUD327712:QUD327713 RDZ327712:RDZ327713 RNV327712:RNV327713 RXR327712:RXR327713 SHN327712:SHN327713 SRJ327712:SRJ327713 TBF327712:TBF327713 TLB327712:TLB327713 TUX327712:TUX327713 UET327712:UET327713 UOP327712:UOP327713 UYL327712:UYL327713 VIH327712:VIH327713 VSD327712:VSD327713 WBZ327712:WBZ327713 WLV327712:WLV327713 WVR327712:WVR327713 J393248:J393249 JF393248:JF393249 TB393248:TB393249 ACX393248:ACX393249 AMT393248:AMT393249 AWP393248:AWP393249 BGL393248:BGL393249 BQH393248:BQH393249 CAD393248:CAD393249 CJZ393248:CJZ393249 CTV393248:CTV393249 DDR393248:DDR393249 DNN393248:DNN393249 DXJ393248:DXJ393249 EHF393248:EHF393249 ERB393248:ERB393249 FAX393248:FAX393249 FKT393248:FKT393249 FUP393248:FUP393249 GEL393248:GEL393249 GOH393248:GOH393249 GYD393248:GYD393249 HHZ393248:HHZ393249 HRV393248:HRV393249 IBR393248:IBR393249 ILN393248:ILN393249 IVJ393248:IVJ393249 JFF393248:JFF393249 JPB393248:JPB393249 JYX393248:JYX393249 KIT393248:KIT393249 KSP393248:KSP393249 LCL393248:LCL393249 LMH393248:LMH393249 LWD393248:LWD393249 MFZ393248:MFZ393249 MPV393248:MPV393249 MZR393248:MZR393249 NJN393248:NJN393249 NTJ393248:NTJ393249 ODF393248:ODF393249 ONB393248:ONB393249 OWX393248:OWX393249 PGT393248:PGT393249 PQP393248:PQP393249 QAL393248:QAL393249 QKH393248:QKH393249 QUD393248:QUD393249 RDZ393248:RDZ393249 RNV393248:RNV393249 RXR393248:RXR393249 SHN393248:SHN393249 SRJ393248:SRJ393249 TBF393248:TBF393249 TLB393248:TLB393249 TUX393248:TUX393249 UET393248:UET393249 UOP393248:UOP393249 UYL393248:UYL393249 VIH393248:VIH393249 VSD393248:VSD393249 WBZ393248:WBZ393249 WLV393248:WLV393249 WVR393248:WVR393249 J458784:J458785 JF458784:JF458785 TB458784:TB458785 ACX458784:ACX458785 AMT458784:AMT458785 AWP458784:AWP458785 BGL458784:BGL458785 BQH458784:BQH458785 CAD458784:CAD458785 CJZ458784:CJZ458785 CTV458784:CTV458785 DDR458784:DDR458785 DNN458784:DNN458785 DXJ458784:DXJ458785 EHF458784:EHF458785 ERB458784:ERB458785 FAX458784:FAX458785 FKT458784:FKT458785 FUP458784:FUP458785 GEL458784:GEL458785 GOH458784:GOH458785 GYD458784:GYD458785 HHZ458784:HHZ458785 HRV458784:HRV458785 IBR458784:IBR458785 ILN458784:ILN458785 IVJ458784:IVJ458785 JFF458784:JFF458785 JPB458784:JPB458785 JYX458784:JYX458785 KIT458784:KIT458785 KSP458784:KSP458785 LCL458784:LCL458785 LMH458784:LMH458785 LWD458784:LWD458785 MFZ458784:MFZ458785 MPV458784:MPV458785 MZR458784:MZR458785 NJN458784:NJN458785 NTJ458784:NTJ458785 ODF458784:ODF458785 ONB458784:ONB458785 OWX458784:OWX458785 PGT458784:PGT458785 PQP458784:PQP458785 QAL458784:QAL458785 QKH458784:QKH458785 QUD458784:QUD458785 RDZ458784:RDZ458785 RNV458784:RNV458785 RXR458784:RXR458785 SHN458784:SHN458785 SRJ458784:SRJ458785 TBF458784:TBF458785 TLB458784:TLB458785 TUX458784:TUX458785 UET458784:UET458785 UOP458784:UOP458785 UYL458784:UYL458785 VIH458784:VIH458785 VSD458784:VSD458785 WBZ458784:WBZ458785 WLV458784:WLV458785 WVR458784:WVR458785 J524320:J524321 JF524320:JF524321 TB524320:TB524321 ACX524320:ACX524321 AMT524320:AMT524321 AWP524320:AWP524321 BGL524320:BGL524321 BQH524320:BQH524321 CAD524320:CAD524321 CJZ524320:CJZ524321 CTV524320:CTV524321 DDR524320:DDR524321 DNN524320:DNN524321 DXJ524320:DXJ524321 EHF524320:EHF524321 ERB524320:ERB524321 FAX524320:FAX524321 FKT524320:FKT524321 FUP524320:FUP524321 GEL524320:GEL524321 GOH524320:GOH524321 GYD524320:GYD524321 HHZ524320:HHZ524321 HRV524320:HRV524321 IBR524320:IBR524321 ILN524320:ILN524321 IVJ524320:IVJ524321 JFF524320:JFF524321 JPB524320:JPB524321 JYX524320:JYX524321 KIT524320:KIT524321 KSP524320:KSP524321 LCL524320:LCL524321 LMH524320:LMH524321 LWD524320:LWD524321 MFZ524320:MFZ524321 MPV524320:MPV524321 MZR524320:MZR524321 NJN524320:NJN524321 NTJ524320:NTJ524321 ODF524320:ODF524321 ONB524320:ONB524321 OWX524320:OWX524321 PGT524320:PGT524321 PQP524320:PQP524321 QAL524320:QAL524321 QKH524320:QKH524321 QUD524320:QUD524321 RDZ524320:RDZ524321 RNV524320:RNV524321 RXR524320:RXR524321 SHN524320:SHN524321 SRJ524320:SRJ524321 TBF524320:TBF524321 TLB524320:TLB524321 TUX524320:TUX524321 UET524320:UET524321 UOP524320:UOP524321 UYL524320:UYL524321 VIH524320:VIH524321 VSD524320:VSD524321 WBZ524320:WBZ524321 WLV524320:WLV524321 WVR524320:WVR524321 J589856:J589857 JF589856:JF589857 TB589856:TB589857 ACX589856:ACX589857 AMT589856:AMT589857 AWP589856:AWP589857 BGL589856:BGL589857 BQH589856:BQH589857 CAD589856:CAD589857 CJZ589856:CJZ589857 CTV589856:CTV589857 DDR589856:DDR589857 DNN589856:DNN589857 DXJ589856:DXJ589857 EHF589856:EHF589857 ERB589856:ERB589857 FAX589856:FAX589857 FKT589856:FKT589857 FUP589856:FUP589857 GEL589856:GEL589857 GOH589856:GOH589857 GYD589856:GYD589857 HHZ589856:HHZ589857 HRV589856:HRV589857 IBR589856:IBR589857 ILN589856:ILN589857 IVJ589856:IVJ589857 JFF589856:JFF589857 JPB589856:JPB589857 JYX589856:JYX589857 KIT589856:KIT589857 KSP589856:KSP589857 LCL589856:LCL589857 LMH589856:LMH589857 LWD589856:LWD589857 MFZ589856:MFZ589857 MPV589856:MPV589857 MZR589856:MZR589857 NJN589856:NJN589857 NTJ589856:NTJ589857 ODF589856:ODF589857 ONB589856:ONB589857 OWX589856:OWX589857 PGT589856:PGT589857 PQP589856:PQP589857 QAL589856:QAL589857 QKH589856:QKH589857 QUD589856:QUD589857 RDZ589856:RDZ589857 RNV589856:RNV589857 RXR589856:RXR589857 SHN589856:SHN589857 SRJ589856:SRJ589857 TBF589856:TBF589857 TLB589856:TLB589857 TUX589856:TUX589857 UET589856:UET589857 UOP589856:UOP589857 UYL589856:UYL589857 VIH589856:VIH589857 VSD589856:VSD589857 WBZ589856:WBZ589857 WLV589856:WLV589857 WVR589856:WVR589857 J655392:J655393 JF655392:JF655393 TB655392:TB655393 ACX655392:ACX655393 AMT655392:AMT655393 AWP655392:AWP655393 BGL655392:BGL655393 BQH655392:BQH655393 CAD655392:CAD655393 CJZ655392:CJZ655393 CTV655392:CTV655393 DDR655392:DDR655393 DNN655392:DNN655393 DXJ655392:DXJ655393 EHF655392:EHF655393 ERB655392:ERB655393 FAX655392:FAX655393 FKT655392:FKT655393 FUP655392:FUP655393 GEL655392:GEL655393 GOH655392:GOH655393 GYD655392:GYD655393 HHZ655392:HHZ655393 HRV655392:HRV655393 IBR655392:IBR655393 ILN655392:ILN655393 IVJ655392:IVJ655393 JFF655392:JFF655393 JPB655392:JPB655393 JYX655392:JYX655393 KIT655392:KIT655393 KSP655392:KSP655393 LCL655392:LCL655393 LMH655392:LMH655393 LWD655392:LWD655393 MFZ655392:MFZ655393 MPV655392:MPV655393 MZR655392:MZR655393 NJN655392:NJN655393 NTJ655392:NTJ655393 ODF655392:ODF655393 ONB655392:ONB655393 OWX655392:OWX655393 PGT655392:PGT655393 PQP655392:PQP655393 QAL655392:QAL655393 QKH655392:QKH655393 QUD655392:QUD655393 RDZ655392:RDZ655393 RNV655392:RNV655393 RXR655392:RXR655393 SHN655392:SHN655393 SRJ655392:SRJ655393 TBF655392:TBF655393 TLB655392:TLB655393 TUX655392:TUX655393 UET655392:UET655393 UOP655392:UOP655393 UYL655392:UYL655393 VIH655392:VIH655393 VSD655392:VSD655393 WBZ655392:WBZ655393 WLV655392:WLV655393 WVR655392:WVR655393 J720928:J720929 JF720928:JF720929 TB720928:TB720929 ACX720928:ACX720929 AMT720928:AMT720929 AWP720928:AWP720929 BGL720928:BGL720929 BQH720928:BQH720929 CAD720928:CAD720929 CJZ720928:CJZ720929 CTV720928:CTV720929 DDR720928:DDR720929 DNN720928:DNN720929 DXJ720928:DXJ720929 EHF720928:EHF720929 ERB720928:ERB720929 FAX720928:FAX720929 FKT720928:FKT720929 FUP720928:FUP720929 GEL720928:GEL720929 GOH720928:GOH720929 GYD720928:GYD720929 HHZ720928:HHZ720929 HRV720928:HRV720929 IBR720928:IBR720929 ILN720928:ILN720929 IVJ720928:IVJ720929 JFF720928:JFF720929 JPB720928:JPB720929 JYX720928:JYX720929 KIT720928:KIT720929 KSP720928:KSP720929 LCL720928:LCL720929 LMH720928:LMH720929 LWD720928:LWD720929 MFZ720928:MFZ720929 MPV720928:MPV720929 MZR720928:MZR720929 NJN720928:NJN720929 NTJ720928:NTJ720929 ODF720928:ODF720929 ONB720928:ONB720929 OWX720928:OWX720929 PGT720928:PGT720929 PQP720928:PQP720929 QAL720928:QAL720929 QKH720928:QKH720929 QUD720928:QUD720929 RDZ720928:RDZ720929 RNV720928:RNV720929 RXR720928:RXR720929 SHN720928:SHN720929 SRJ720928:SRJ720929 TBF720928:TBF720929 TLB720928:TLB720929 TUX720928:TUX720929 UET720928:UET720929 UOP720928:UOP720929 UYL720928:UYL720929 VIH720928:VIH720929 VSD720928:VSD720929 WBZ720928:WBZ720929 WLV720928:WLV720929 WVR720928:WVR720929 J786464:J786465 JF786464:JF786465 TB786464:TB786465 ACX786464:ACX786465 AMT786464:AMT786465 AWP786464:AWP786465 BGL786464:BGL786465 BQH786464:BQH786465 CAD786464:CAD786465 CJZ786464:CJZ786465 CTV786464:CTV786465 DDR786464:DDR786465 DNN786464:DNN786465 DXJ786464:DXJ786465 EHF786464:EHF786465 ERB786464:ERB786465 FAX786464:FAX786465 FKT786464:FKT786465 FUP786464:FUP786465 GEL786464:GEL786465 GOH786464:GOH786465 GYD786464:GYD786465 HHZ786464:HHZ786465 HRV786464:HRV786465 IBR786464:IBR786465 ILN786464:ILN786465 IVJ786464:IVJ786465 JFF786464:JFF786465 JPB786464:JPB786465 JYX786464:JYX786465 KIT786464:KIT786465 KSP786464:KSP786465 LCL786464:LCL786465 LMH786464:LMH786465 LWD786464:LWD786465 MFZ786464:MFZ786465 MPV786464:MPV786465 MZR786464:MZR786465 NJN786464:NJN786465 NTJ786464:NTJ786465 ODF786464:ODF786465 ONB786464:ONB786465 OWX786464:OWX786465 PGT786464:PGT786465 PQP786464:PQP786465 QAL786464:QAL786465 QKH786464:QKH786465 QUD786464:QUD786465 RDZ786464:RDZ786465 RNV786464:RNV786465 RXR786464:RXR786465 SHN786464:SHN786465 SRJ786464:SRJ786465 TBF786464:TBF786465 TLB786464:TLB786465 TUX786464:TUX786465 UET786464:UET786465 UOP786464:UOP786465 UYL786464:UYL786465 VIH786464:VIH786465 VSD786464:VSD786465 WBZ786464:WBZ786465 WLV786464:WLV786465 WVR786464:WVR786465 J852000:J852001 JF852000:JF852001 TB852000:TB852001 ACX852000:ACX852001 AMT852000:AMT852001 AWP852000:AWP852001 BGL852000:BGL852001 BQH852000:BQH852001 CAD852000:CAD852001 CJZ852000:CJZ852001 CTV852000:CTV852001 DDR852000:DDR852001 DNN852000:DNN852001 DXJ852000:DXJ852001 EHF852000:EHF852001 ERB852000:ERB852001 FAX852000:FAX852001 FKT852000:FKT852001 FUP852000:FUP852001 GEL852000:GEL852001 GOH852000:GOH852001 GYD852000:GYD852001 HHZ852000:HHZ852001 HRV852000:HRV852001 IBR852000:IBR852001 ILN852000:ILN852001 IVJ852000:IVJ852001 JFF852000:JFF852001 JPB852000:JPB852001 JYX852000:JYX852001 KIT852000:KIT852001 KSP852000:KSP852001 LCL852000:LCL852001 LMH852000:LMH852001 LWD852000:LWD852001 MFZ852000:MFZ852001 MPV852000:MPV852001 MZR852000:MZR852001 NJN852000:NJN852001 NTJ852000:NTJ852001 ODF852000:ODF852001 ONB852000:ONB852001 OWX852000:OWX852001 PGT852000:PGT852001 PQP852000:PQP852001 QAL852000:QAL852001 QKH852000:QKH852001 QUD852000:QUD852001 RDZ852000:RDZ852001 RNV852000:RNV852001 RXR852000:RXR852001 SHN852000:SHN852001 SRJ852000:SRJ852001 TBF852000:TBF852001 TLB852000:TLB852001 TUX852000:TUX852001 UET852000:UET852001 UOP852000:UOP852001 UYL852000:UYL852001 VIH852000:VIH852001 VSD852000:VSD852001 WBZ852000:WBZ852001 WLV852000:WLV852001 WVR852000:WVR852001 J917536:J917537 JF917536:JF917537 TB917536:TB917537 ACX917536:ACX917537 AMT917536:AMT917537 AWP917536:AWP917537 BGL917536:BGL917537 BQH917536:BQH917537 CAD917536:CAD917537 CJZ917536:CJZ917537 CTV917536:CTV917537 DDR917536:DDR917537 DNN917536:DNN917537 DXJ917536:DXJ917537 EHF917536:EHF917537 ERB917536:ERB917537 FAX917536:FAX917537 FKT917536:FKT917537 FUP917536:FUP917537 GEL917536:GEL917537 GOH917536:GOH917537 GYD917536:GYD917537 HHZ917536:HHZ917537 HRV917536:HRV917537 IBR917536:IBR917537 ILN917536:ILN917537 IVJ917536:IVJ917537 JFF917536:JFF917537 JPB917536:JPB917537 JYX917536:JYX917537 KIT917536:KIT917537 KSP917536:KSP917537 LCL917536:LCL917537 LMH917536:LMH917537 LWD917536:LWD917537 MFZ917536:MFZ917537 MPV917536:MPV917537 MZR917536:MZR917537 NJN917536:NJN917537 NTJ917536:NTJ917537 ODF917536:ODF917537 ONB917536:ONB917537 OWX917536:OWX917537 PGT917536:PGT917537 PQP917536:PQP917537 QAL917536:QAL917537 QKH917536:QKH917537 QUD917536:QUD917537 RDZ917536:RDZ917537 RNV917536:RNV917537 RXR917536:RXR917537 SHN917536:SHN917537 SRJ917536:SRJ917537 TBF917536:TBF917537 TLB917536:TLB917537 TUX917536:TUX917537 UET917536:UET917537 UOP917536:UOP917537 UYL917536:UYL917537 VIH917536:VIH917537 VSD917536:VSD917537 WBZ917536:WBZ917537 WLV917536:WLV917537 WVR917536:WVR917537 J983072:J983073 JF983072:JF983073 TB983072:TB983073 ACX983072:ACX983073 AMT983072:AMT983073 AWP983072:AWP983073 BGL983072:BGL983073 BQH983072:BQH983073 CAD983072:CAD983073 CJZ983072:CJZ983073 CTV983072:CTV983073 DDR983072:DDR983073 DNN983072:DNN983073 DXJ983072:DXJ983073 EHF983072:EHF983073 ERB983072:ERB983073 FAX983072:FAX983073 FKT983072:FKT983073 FUP983072:FUP983073 GEL983072:GEL983073 GOH983072:GOH983073 GYD983072:GYD983073 HHZ983072:HHZ983073 HRV983072:HRV983073 IBR983072:IBR983073 ILN983072:ILN983073 IVJ983072:IVJ983073 JFF983072:JFF983073 JPB983072:JPB983073 JYX983072:JYX983073 KIT983072:KIT983073 KSP983072:KSP983073 LCL983072:LCL983073 LMH983072:LMH983073 LWD983072:LWD983073 MFZ983072:MFZ983073 MPV983072:MPV983073 MZR983072:MZR983073 NJN983072:NJN983073 NTJ983072:NTJ983073 ODF983072:ODF983073 ONB983072:ONB983073 OWX983072:OWX983073 PGT983072:PGT983073 PQP983072:PQP983073 QAL983072:QAL983073 QKH983072:QKH983073 QUD983072:QUD983073 RDZ983072:RDZ983073 RNV983072:RNV983073 RXR983072:RXR983073 SHN983072:SHN983073 SRJ983072:SRJ983073 TBF983072:TBF983073 TLB983072:TLB983073 TUX983072:TUX983073 UET983072:UET983073 UOP983072:UOP983073 UYL983072:UYL983073 VIH983072:VIH983073 VSD983072:VSD983073 WBZ983072:WBZ983073 WLV983072:WLV983073 WVR983072:WVR983073 WVR983068:WVR983069 JF28:JF29 TB28:TB29 ACX28:ACX29 AMT28:AMT29 AWP28:AWP29 BGL28:BGL29 BQH28:BQH29 CAD28:CAD29 CJZ28:CJZ29 CTV28:CTV29 DDR28:DDR29 DNN28:DNN29 DXJ28:DXJ29 EHF28:EHF29 ERB28:ERB29 FAX28:FAX29 FKT28:FKT29 FUP28:FUP29 GEL28:GEL29 GOH28:GOH29 GYD28:GYD29 HHZ28:HHZ29 HRV28:HRV29 IBR28:IBR29 ILN28:ILN29 IVJ28:IVJ29 JFF28:JFF29 JPB28:JPB29 JYX28:JYX29 KIT28:KIT29 KSP28:KSP29 LCL28:LCL29 LMH28:LMH29 LWD28:LWD29 MFZ28:MFZ29 MPV28:MPV29 MZR28:MZR29 NJN28:NJN29 NTJ28:NTJ29 ODF28:ODF29 ONB28:ONB29 OWX28:OWX29 PGT28:PGT29 PQP28:PQP29 QAL28:QAL29 QKH28:QKH29 QUD28:QUD29 RDZ28:RDZ29 RNV28:RNV29 RXR28:RXR29 SHN28:SHN29 SRJ28:SRJ29 TBF28:TBF29 TLB28:TLB29 TUX28:TUX29 UET28:UET29 UOP28:UOP29 UYL28:UYL29 VIH28:VIH29 VSD28:VSD29 WBZ28:WBZ29 WLV28:WLV29 WVR28:WVR29 J65564:J65565 JF65564:JF65565 TB65564:TB65565 ACX65564:ACX65565 AMT65564:AMT65565 AWP65564:AWP65565 BGL65564:BGL65565 BQH65564:BQH65565 CAD65564:CAD65565 CJZ65564:CJZ65565 CTV65564:CTV65565 DDR65564:DDR65565 DNN65564:DNN65565 DXJ65564:DXJ65565 EHF65564:EHF65565 ERB65564:ERB65565 FAX65564:FAX65565 FKT65564:FKT65565 FUP65564:FUP65565 GEL65564:GEL65565 GOH65564:GOH65565 GYD65564:GYD65565 HHZ65564:HHZ65565 HRV65564:HRV65565 IBR65564:IBR65565 ILN65564:ILN65565 IVJ65564:IVJ65565 JFF65564:JFF65565 JPB65564:JPB65565 JYX65564:JYX65565 KIT65564:KIT65565 KSP65564:KSP65565 LCL65564:LCL65565 LMH65564:LMH65565 LWD65564:LWD65565 MFZ65564:MFZ65565 MPV65564:MPV65565 MZR65564:MZR65565 NJN65564:NJN65565 NTJ65564:NTJ65565 ODF65564:ODF65565 ONB65564:ONB65565 OWX65564:OWX65565 PGT65564:PGT65565 PQP65564:PQP65565 QAL65564:QAL65565 QKH65564:QKH65565 QUD65564:QUD65565 RDZ65564:RDZ65565 RNV65564:RNV65565 RXR65564:RXR65565 SHN65564:SHN65565 SRJ65564:SRJ65565 TBF65564:TBF65565 TLB65564:TLB65565 TUX65564:TUX65565 UET65564:UET65565 UOP65564:UOP65565 UYL65564:UYL65565 VIH65564:VIH65565 VSD65564:VSD65565 WBZ65564:WBZ65565 WLV65564:WLV65565 WVR65564:WVR65565 J131100:J131101 JF131100:JF131101 TB131100:TB131101 ACX131100:ACX131101 AMT131100:AMT131101 AWP131100:AWP131101 BGL131100:BGL131101 BQH131100:BQH131101 CAD131100:CAD131101 CJZ131100:CJZ131101 CTV131100:CTV131101 DDR131100:DDR131101 DNN131100:DNN131101 DXJ131100:DXJ131101 EHF131100:EHF131101 ERB131100:ERB131101 FAX131100:FAX131101 FKT131100:FKT131101 FUP131100:FUP131101 GEL131100:GEL131101 GOH131100:GOH131101 GYD131100:GYD131101 HHZ131100:HHZ131101 HRV131100:HRV131101 IBR131100:IBR131101 ILN131100:ILN131101 IVJ131100:IVJ131101 JFF131100:JFF131101 JPB131100:JPB131101 JYX131100:JYX131101 KIT131100:KIT131101 KSP131100:KSP131101 LCL131100:LCL131101 LMH131100:LMH131101 LWD131100:LWD131101 MFZ131100:MFZ131101 MPV131100:MPV131101 MZR131100:MZR131101 NJN131100:NJN131101 NTJ131100:NTJ131101 ODF131100:ODF131101 ONB131100:ONB131101 OWX131100:OWX131101 PGT131100:PGT131101 PQP131100:PQP131101 QAL131100:QAL131101 QKH131100:QKH131101 QUD131100:QUD131101 RDZ131100:RDZ131101 RNV131100:RNV131101 RXR131100:RXR131101 SHN131100:SHN131101 SRJ131100:SRJ131101 TBF131100:TBF131101 TLB131100:TLB131101 TUX131100:TUX131101 UET131100:UET131101 UOP131100:UOP131101 UYL131100:UYL131101 VIH131100:VIH131101 VSD131100:VSD131101 WBZ131100:WBZ131101 WLV131100:WLV131101 WVR131100:WVR131101 J196636:J196637 JF196636:JF196637 TB196636:TB196637 ACX196636:ACX196637 AMT196636:AMT196637 AWP196636:AWP196637 BGL196636:BGL196637 BQH196636:BQH196637 CAD196636:CAD196637 CJZ196636:CJZ196637 CTV196636:CTV196637 DDR196636:DDR196637 DNN196636:DNN196637 DXJ196636:DXJ196637 EHF196636:EHF196637 ERB196636:ERB196637 FAX196636:FAX196637 FKT196636:FKT196637 FUP196636:FUP196637 GEL196636:GEL196637 GOH196636:GOH196637 GYD196636:GYD196637 HHZ196636:HHZ196637 HRV196636:HRV196637 IBR196636:IBR196637 ILN196636:ILN196637 IVJ196636:IVJ196637 JFF196636:JFF196637 JPB196636:JPB196637 JYX196636:JYX196637 KIT196636:KIT196637 KSP196636:KSP196637 LCL196636:LCL196637 LMH196636:LMH196637 LWD196636:LWD196637 MFZ196636:MFZ196637 MPV196636:MPV196637 MZR196636:MZR196637 NJN196636:NJN196637 NTJ196636:NTJ196637 ODF196636:ODF196637 ONB196636:ONB196637 OWX196636:OWX196637 PGT196636:PGT196637 PQP196636:PQP196637 QAL196636:QAL196637 QKH196636:QKH196637 QUD196636:QUD196637 RDZ196636:RDZ196637 RNV196636:RNV196637 RXR196636:RXR196637 SHN196636:SHN196637 SRJ196636:SRJ196637 TBF196636:TBF196637 TLB196636:TLB196637 TUX196636:TUX196637 UET196636:UET196637 UOP196636:UOP196637 UYL196636:UYL196637 VIH196636:VIH196637 VSD196636:VSD196637 WBZ196636:WBZ196637 WLV196636:WLV196637 WVR196636:WVR196637 J262172:J262173 JF262172:JF262173 TB262172:TB262173 ACX262172:ACX262173 AMT262172:AMT262173 AWP262172:AWP262173 BGL262172:BGL262173 BQH262172:BQH262173 CAD262172:CAD262173 CJZ262172:CJZ262173 CTV262172:CTV262173 DDR262172:DDR262173 DNN262172:DNN262173 DXJ262172:DXJ262173 EHF262172:EHF262173 ERB262172:ERB262173 FAX262172:FAX262173 FKT262172:FKT262173 FUP262172:FUP262173 GEL262172:GEL262173 GOH262172:GOH262173 GYD262172:GYD262173 HHZ262172:HHZ262173 HRV262172:HRV262173 IBR262172:IBR262173 ILN262172:ILN262173 IVJ262172:IVJ262173 JFF262172:JFF262173 JPB262172:JPB262173 JYX262172:JYX262173 KIT262172:KIT262173 KSP262172:KSP262173 LCL262172:LCL262173 LMH262172:LMH262173 LWD262172:LWD262173 MFZ262172:MFZ262173 MPV262172:MPV262173 MZR262172:MZR262173 NJN262172:NJN262173 NTJ262172:NTJ262173 ODF262172:ODF262173 ONB262172:ONB262173 OWX262172:OWX262173 PGT262172:PGT262173 PQP262172:PQP262173 QAL262172:QAL262173 QKH262172:QKH262173 QUD262172:QUD262173 RDZ262172:RDZ262173 RNV262172:RNV262173 RXR262172:RXR262173 SHN262172:SHN262173 SRJ262172:SRJ262173 TBF262172:TBF262173 TLB262172:TLB262173 TUX262172:TUX262173 UET262172:UET262173 UOP262172:UOP262173 UYL262172:UYL262173 VIH262172:VIH262173 VSD262172:VSD262173 WBZ262172:WBZ262173 WLV262172:WLV262173 WVR262172:WVR262173 J327708:J327709 JF327708:JF327709 TB327708:TB327709 ACX327708:ACX327709 AMT327708:AMT327709 AWP327708:AWP327709 BGL327708:BGL327709 BQH327708:BQH327709 CAD327708:CAD327709 CJZ327708:CJZ327709 CTV327708:CTV327709 DDR327708:DDR327709 DNN327708:DNN327709 DXJ327708:DXJ327709 EHF327708:EHF327709 ERB327708:ERB327709 FAX327708:FAX327709 FKT327708:FKT327709 FUP327708:FUP327709 GEL327708:GEL327709 GOH327708:GOH327709 GYD327708:GYD327709 HHZ327708:HHZ327709 HRV327708:HRV327709 IBR327708:IBR327709 ILN327708:ILN327709 IVJ327708:IVJ327709 JFF327708:JFF327709 JPB327708:JPB327709 JYX327708:JYX327709 KIT327708:KIT327709 KSP327708:KSP327709 LCL327708:LCL327709 LMH327708:LMH327709 LWD327708:LWD327709 MFZ327708:MFZ327709 MPV327708:MPV327709 MZR327708:MZR327709 NJN327708:NJN327709 NTJ327708:NTJ327709 ODF327708:ODF327709 ONB327708:ONB327709 OWX327708:OWX327709 PGT327708:PGT327709 PQP327708:PQP327709 QAL327708:QAL327709 QKH327708:QKH327709 QUD327708:QUD327709 RDZ327708:RDZ327709 RNV327708:RNV327709 RXR327708:RXR327709 SHN327708:SHN327709 SRJ327708:SRJ327709 TBF327708:TBF327709 TLB327708:TLB327709 TUX327708:TUX327709 UET327708:UET327709 UOP327708:UOP327709 UYL327708:UYL327709 VIH327708:VIH327709 VSD327708:VSD327709 WBZ327708:WBZ327709 WLV327708:WLV327709 WVR327708:WVR327709 J393244:J393245 JF393244:JF393245 TB393244:TB393245 ACX393244:ACX393245 AMT393244:AMT393245 AWP393244:AWP393245 BGL393244:BGL393245 BQH393244:BQH393245 CAD393244:CAD393245 CJZ393244:CJZ393245 CTV393244:CTV393245 DDR393244:DDR393245 DNN393244:DNN393245 DXJ393244:DXJ393245 EHF393244:EHF393245 ERB393244:ERB393245 FAX393244:FAX393245 FKT393244:FKT393245 FUP393244:FUP393245 GEL393244:GEL393245 GOH393244:GOH393245 GYD393244:GYD393245 HHZ393244:HHZ393245 HRV393244:HRV393245 IBR393244:IBR393245 ILN393244:ILN393245 IVJ393244:IVJ393245 JFF393244:JFF393245 JPB393244:JPB393245 JYX393244:JYX393245 KIT393244:KIT393245 KSP393244:KSP393245 LCL393244:LCL393245 LMH393244:LMH393245 LWD393244:LWD393245 MFZ393244:MFZ393245 MPV393244:MPV393245 MZR393244:MZR393245 NJN393244:NJN393245 NTJ393244:NTJ393245 ODF393244:ODF393245 ONB393244:ONB393245 OWX393244:OWX393245 PGT393244:PGT393245 PQP393244:PQP393245 QAL393244:QAL393245 QKH393244:QKH393245 QUD393244:QUD393245 RDZ393244:RDZ393245 RNV393244:RNV393245 RXR393244:RXR393245 SHN393244:SHN393245 SRJ393244:SRJ393245 TBF393244:TBF393245 TLB393244:TLB393245 TUX393244:TUX393245 UET393244:UET393245 UOP393244:UOP393245 UYL393244:UYL393245 VIH393244:VIH393245 VSD393244:VSD393245 WBZ393244:WBZ393245 WLV393244:WLV393245 WVR393244:WVR393245 J458780:J458781 JF458780:JF458781 TB458780:TB458781 ACX458780:ACX458781 AMT458780:AMT458781 AWP458780:AWP458781 BGL458780:BGL458781 BQH458780:BQH458781 CAD458780:CAD458781 CJZ458780:CJZ458781 CTV458780:CTV458781 DDR458780:DDR458781 DNN458780:DNN458781 DXJ458780:DXJ458781 EHF458780:EHF458781 ERB458780:ERB458781 FAX458780:FAX458781 FKT458780:FKT458781 FUP458780:FUP458781 GEL458780:GEL458781 GOH458780:GOH458781 GYD458780:GYD458781 HHZ458780:HHZ458781 HRV458780:HRV458781 IBR458780:IBR458781 ILN458780:ILN458781 IVJ458780:IVJ458781 JFF458780:JFF458781 JPB458780:JPB458781 JYX458780:JYX458781 KIT458780:KIT458781 KSP458780:KSP458781 LCL458780:LCL458781 LMH458780:LMH458781 LWD458780:LWD458781 MFZ458780:MFZ458781 MPV458780:MPV458781 MZR458780:MZR458781 NJN458780:NJN458781 NTJ458780:NTJ458781 ODF458780:ODF458781 ONB458780:ONB458781 OWX458780:OWX458781 PGT458780:PGT458781 PQP458780:PQP458781 QAL458780:QAL458781 QKH458780:QKH458781 QUD458780:QUD458781 RDZ458780:RDZ458781 RNV458780:RNV458781 RXR458780:RXR458781 SHN458780:SHN458781 SRJ458780:SRJ458781 TBF458780:TBF458781 TLB458780:TLB458781 TUX458780:TUX458781 UET458780:UET458781 UOP458780:UOP458781 UYL458780:UYL458781 VIH458780:VIH458781 VSD458780:VSD458781 WBZ458780:WBZ458781 WLV458780:WLV458781 WVR458780:WVR458781 J524316:J524317 JF524316:JF524317 TB524316:TB524317 ACX524316:ACX524317 AMT524316:AMT524317 AWP524316:AWP524317 BGL524316:BGL524317 BQH524316:BQH524317 CAD524316:CAD524317 CJZ524316:CJZ524317 CTV524316:CTV524317 DDR524316:DDR524317 DNN524316:DNN524317 DXJ524316:DXJ524317 EHF524316:EHF524317 ERB524316:ERB524317 FAX524316:FAX524317 FKT524316:FKT524317 FUP524316:FUP524317 GEL524316:GEL524317 GOH524316:GOH524317 GYD524316:GYD524317 HHZ524316:HHZ524317 HRV524316:HRV524317 IBR524316:IBR524317 ILN524316:ILN524317 IVJ524316:IVJ524317 JFF524316:JFF524317 JPB524316:JPB524317 JYX524316:JYX524317 KIT524316:KIT524317 KSP524316:KSP524317 LCL524316:LCL524317 LMH524316:LMH524317 LWD524316:LWD524317 MFZ524316:MFZ524317 MPV524316:MPV524317 MZR524316:MZR524317 NJN524316:NJN524317 NTJ524316:NTJ524317 ODF524316:ODF524317 ONB524316:ONB524317 OWX524316:OWX524317 PGT524316:PGT524317 PQP524316:PQP524317 QAL524316:QAL524317 QKH524316:QKH524317 QUD524316:QUD524317 RDZ524316:RDZ524317 RNV524316:RNV524317 RXR524316:RXR524317 SHN524316:SHN524317 SRJ524316:SRJ524317 TBF524316:TBF524317 TLB524316:TLB524317 TUX524316:TUX524317 UET524316:UET524317 UOP524316:UOP524317 UYL524316:UYL524317 VIH524316:VIH524317 VSD524316:VSD524317 WBZ524316:WBZ524317 WLV524316:WLV524317 WVR524316:WVR524317 J589852:J589853 JF589852:JF589853 TB589852:TB589853 ACX589852:ACX589853 AMT589852:AMT589853 AWP589852:AWP589853 BGL589852:BGL589853 BQH589852:BQH589853 CAD589852:CAD589853 CJZ589852:CJZ589853 CTV589852:CTV589853 DDR589852:DDR589853 DNN589852:DNN589853 DXJ589852:DXJ589853 EHF589852:EHF589853 ERB589852:ERB589853 FAX589852:FAX589853 FKT589852:FKT589853 FUP589852:FUP589853 GEL589852:GEL589853 GOH589852:GOH589853 GYD589852:GYD589853 HHZ589852:HHZ589853 HRV589852:HRV589853 IBR589852:IBR589853 ILN589852:ILN589853 IVJ589852:IVJ589853 JFF589852:JFF589853 JPB589852:JPB589853 JYX589852:JYX589853 KIT589852:KIT589853 KSP589852:KSP589853 LCL589852:LCL589853 LMH589852:LMH589853 LWD589852:LWD589853 MFZ589852:MFZ589853 MPV589852:MPV589853 MZR589852:MZR589853 NJN589852:NJN589853 NTJ589852:NTJ589853 ODF589852:ODF589853 ONB589852:ONB589853 OWX589852:OWX589853 PGT589852:PGT589853 PQP589852:PQP589853 QAL589852:QAL589853 QKH589852:QKH589853 QUD589852:QUD589853 RDZ589852:RDZ589853 RNV589852:RNV589853 RXR589852:RXR589853 SHN589852:SHN589853 SRJ589852:SRJ589853 TBF589852:TBF589853 TLB589852:TLB589853 TUX589852:TUX589853 UET589852:UET589853 UOP589852:UOP589853 UYL589852:UYL589853 VIH589852:VIH589853 VSD589852:VSD589853 WBZ589852:WBZ589853 WLV589852:WLV589853 WVR589852:WVR589853 J655388:J655389 JF655388:JF655389 TB655388:TB655389 ACX655388:ACX655389 AMT655388:AMT655389 AWP655388:AWP655389 BGL655388:BGL655389 BQH655388:BQH655389 CAD655388:CAD655389 CJZ655388:CJZ655389 CTV655388:CTV655389 DDR655388:DDR655389 DNN655388:DNN655389 DXJ655388:DXJ655389 EHF655388:EHF655389 ERB655388:ERB655389 FAX655388:FAX655389 FKT655388:FKT655389 FUP655388:FUP655389 GEL655388:GEL655389 GOH655388:GOH655389 GYD655388:GYD655389 HHZ655388:HHZ655389 HRV655388:HRV655389 IBR655388:IBR655389 ILN655388:ILN655389 IVJ655388:IVJ655389 JFF655388:JFF655389 JPB655388:JPB655389 JYX655388:JYX655389 KIT655388:KIT655389 KSP655388:KSP655389 LCL655388:LCL655389 LMH655388:LMH655389 LWD655388:LWD655389 MFZ655388:MFZ655389 MPV655388:MPV655389 MZR655388:MZR655389 NJN655388:NJN655389 NTJ655388:NTJ655389 ODF655388:ODF655389 ONB655388:ONB655389 OWX655388:OWX655389 PGT655388:PGT655389 PQP655388:PQP655389 QAL655388:QAL655389 QKH655388:QKH655389 QUD655388:QUD655389 RDZ655388:RDZ655389 RNV655388:RNV655389 RXR655388:RXR655389 SHN655388:SHN655389 SRJ655388:SRJ655389 TBF655388:TBF655389 TLB655388:TLB655389 TUX655388:TUX655389 UET655388:UET655389 UOP655388:UOP655389 UYL655388:UYL655389 VIH655388:VIH655389 VSD655388:VSD655389 WBZ655388:WBZ655389 WLV655388:WLV655389 WVR655388:WVR655389 J720924:J720925 JF720924:JF720925 TB720924:TB720925 ACX720924:ACX720925 AMT720924:AMT720925 AWP720924:AWP720925 BGL720924:BGL720925 BQH720924:BQH720925 CAD720924:CAD720925 CJZ720924:CJZ720925 CTV720924:CTV720925 DDR720924:DDR720925 DNN720924:DNN720925 DXJ720924:DXJ720925 EHF720924:EHF720925 ERB720924:ERB720925 FAX720924:FAX720925 FKT720924:FKT720925 FUP720924:FUP720925 GEL720924:GEL720925 GOH720924:GOH720925 GYD720924:GYD720925 HHZ720924:HHZ720925 HRV720924:HRV720925 IBR720924:IBR720925 ILN720924:ILN720925 IVJ720924:IVJ720925 JFF720924:JFF720925 JPB720924:JPB720925 JYX720924:JYX720925 KIT720924:KIT720925 KSP720924:KSP720925 LCL720924:LCL720925 LMH720924:LMH720925 LWD720924:LWD720925 MFZ720924:MFZ720925 MPV720924:MPV720925 MZR720924:MZR720925 NJN720924:NJN720925 NTJ720924:NTJ720925 ODF720924:ODF720925 ONB720924:ONB720925 OWX720924:OWX720925 PGT720924:PGT720925 PQP720924:PQP720925 QAL720924:QAL720925 QKH720924:QKH720925 QUD720924:QUD720925 RDZ720924:RDZ720925 RNV720924:RNV720925 RXR720924:RXR720925 SHN720924:SHN720925 SRJ720924:SRJ720925 TBF720924:TBF720925 TLB720924:TLB720925 TUX720924:TUX720925 UET720924:UET720925 UOP720924:UOP720925 UYL720924:UYL720925 VIH720924:VIH720925 VSD720924:VSD720925 WBZ720924:WBZ720925 WLV720924:WLV720925 WVR720924:WVR720925 J786460:J786461 JF786460:JF786461 TB786460:TB786461 ACX786460:ACX786461 AMT786460:AMT786461 AWP786460:AWP786461 BGL786460:BGL786461 BQH786460:BQH786461 CAD786460:CAD786461 CJZ786460:CJZ786461 CTV786460:CTV786461 DDR786460:DDR786461 DNN786460:DNN786461 DXJ786460:DXJ786461 EHF786460:EHF786461 ERB786460:ERB786461 FAX786460:FAX786461 FKT786460:FKT786461 FUP786460:FUP786461 GEL786460:GEL786461 GOH786460:GOH786461 GYD786460:GYD786461 HHZ786460:HHZ786461 HRV786460:HRV786461 IBR786460:IBR786461 ILN786460:ILN786461 IVJ786460:IVJ786461 JFF786460:JFF786461 JPB786460:JPB786461 JYX786460:JYX786461 KIT786460:KIT786461 KSP786460:KSP786461 LCL786460:LCL786461 LMH786460:LMH786461 LWD786460:LWD786461 MFZ786460:MFZ786461 MPV786460:MPV786461 MZR786460:MZR786461 NJN786460:NJN786461 NTJ786460:NTJ786461 ODF786460:ODF786461 ONB786460:ONB786461 OWX786460:OWX786461 PGT786460:PGT786461 PQP786460:PQP786461 QAL786460:QAL786461 QKH786460:QKH786461 QUD786460:QUD786461 RDZ786460:RDZ786461 RNV786460:RNV786461 RXR786460:RXR786461 SHN786460:SHN786461 SRJ786460:SRJ786461 TBF786460:TBF786461 TLB786460:TLB786461 TUX786460:TUX786461 UET786460:UET786461 UOP786460:UOP786461 UYL786460:UYL786461 VIH786460:VIH786461 VSD786460:VSD786461 WBZ786460:WBZ786461 WLV786460:WLV786461 WVR786460:WVR786461 J851996:J851997 JF851996:JF851997 TB851996:TB851997 ACX851996:ACX851997 AMT851996:AMT851997 AWP851996:AWP851997 BGL851996:BGL851997 BQH851996:BQH851997 CAD851996:CAD851997 CJZ851996:CJZ851997 CTV851996:CTV851997 DDR851996:DDR851997 DNN851996:DNN851997 DXJ851996:DXJ851997 EHF851996:EHF851997 ERB851996:ERB851997 FAX851996:FAX851997 FKT851996:FKT851997 FUP851996:FUP851997 GEL851996:GEL851997 GOH851996:GOH851997 GYD851996:GYD851997 HHZ851996:HHZ851997 HRV851996:HRV851997 IBR851996:IBR851997 ILN851996:ILN851997 IVJ851996:IVJ851997 JFF851996:JFF851997 JPB851996:JPB851997 JYX851996:JYX851997 KIT851996:KIT851997 KSP851996:KSP851997 LCL851996:LCL851997 LMH851996:LMH851997 LWD851996:LWD851997 MFZ851996:MFZ851997 MPV851996:MPV851997 MZR851996:MZR851997 NJN851996:NJN851997 NTJ851996:NTJ851997 ODF851996:ODF851997 ONB851996:ONB851997 OWX851996:OWX851997 PGT851996:PGT851997 PQP851996:PQP851997 QAL851996:QAL851997 QKH851996:QKH851997 QUD851996:QUD851997 RDZ851996:RDZ851997 RNV851996:RNV851997 RXR851996:RXR851997 SHN851996:SHN851997 SRJ851996:SRJ851997 TBF851996:TBF851997 TLB851996:TLB851997 TUX851996:TUX851997 UET851996:UET851997 UOP851996:UOP851997 UYL851996:UYL851997 VIH851996:VIH851997 VSD851996:VSD851997 WBZ851996:WBZ851997 WLV851996:WLV851997 WVR851996:WVR851997 J917532:J917533 JF917532:JF917533 TB917532:TB917533 ACX917532:ACX917533 AMT917532:AMT917533 AWP917532:AWP917533 BGL917532:BGL917533 BQH917532:BQH917533 CAD917532:CAD917533 CJZ917532:CJZ917533 CTV917532:CTV917533 DDR917532:DDR917533 DNN917532:DNN917533 DXJ917532:DXJ917533 EHF917532:EHF917533 ERB917532:ERB917533 FAX917532:FAX917533 FKT917532:FKT917533 FUP917532:FUP917533 GEL917532:GEL917533 GOH917532:GOH917533 GYD917532:GYD917533 HHZ917532:HHZ917533 HRV917532:HRV917533 IBR917532:IBR917533 ILN917532:ILN917533 IVJ917532:IVJ917533 JFF917532:JFF917533 JPB917532:JPB917533 JYX917532:JYX917533 KIT917532:KIT917533 KSP917532:KSP917533 LCL917532:LCL917533 LMH917532:LMH917533 LWD917532:LWD917533 MFZ917532:MFZ917533 MPV917532:MPV917533 MZR917532:MZR917533 NJN917532:NJN917533 NTJ917532:NTJ917533 ODF917532:ODF917533 ONB917532:ONB917533 OWX917532:OWX917533 PGT917532:PGT917533 PQP917532:PQP917533 QAL917532:QAL917533 QKH917532:QKH917533 QUD917532:QUD917533 RDZ917532:RDZ917533 RNV917532:RNV917533 RXR917532:RXR917533 SHN917532:SHN917533 SRJ917532:SRJ917533 TBF917532:TBF917533 TLB917532:TLB917533 TUX917532:TUX917533 UET917532:UET917533 UOP917532:UOP917533 UYL917532:UYL917533 VIH917532:VIH917533 VSD917532:VSD917533 WBZ917532:WBZ917533 WLV917532:WLV917533 WVR917532:WVR917533 J983068:J983069 JF983068:JF983069 TB983068:TB983069 ACX983068:ACX983069 AMT983068:AMT983069 AWP983068:AWP983069 BGL983068:BGL983069 BQH983068:BQH983069 CAD983068:CAD983069 CJZ983068:CJZ983069 CTV983068:CTV983069 DDR983068:DDR983069 DNN983068:DNN983069 DXJ983068:DXJ983069 EHF983068:EHF983069 ERB983068:ERB983069 FAX983068:FAX983069 FKT983068:FKT983069 FUP983068:FUP983069 GEL983068:GEL983069 GOH983068:GOH983069 GYD983068:GYD983069 HHZ983068:HHZ983069 HRV983068:HRV983069 IBR983068:IBR983069 ILN983068:ILN983069 IVJ983068:IVJ983069 JFF983068:JFF983069 JPB983068:JPB983069 JYX983068:JYX983069 KIT983068:KIT983069 KSP983068:KSP983069 LCL983068:LCL983069 LMH983068:LMH983069 LWD983068:LWD983069 MFZ983068:MFZ983069 MPV983068:MPV983069 MZR983068:MZR983069 NJN983068:NJN983069 NTJ983068:NTJ983069 ODF983068:ODF983069 ONB983068:ONB983069 OWX983068:OWX983069 PGT983068:PGT983069 PQP983068:PQP983069 QAL983068:QAL983069 QKH983068:QKH983069 QUD983068:QUD983069 RDZ983068:RDZ983069 RNV983068:RNV983069 RXR983068:RXR983069 SHN983068:SHN983069 SRJ983068:SRJ983069 TBF983068:TBF983069 TLB983068:TLB983069 TUX983068:TUX983069 UET983068:UET983069 UOP983068:UOP983069 UYL983068:UYL983069 VIH983068:VIH983069 VSD983068:VSD983069 WBZ983068:WBZ983069" xr:uid="{0899A0D0-6EF0-42D3-AB9B-FE98A73A9B56}">
      <formula1>Spartida</formula1>
    </dataValidation>
    <dataValidation type="list" allowBlank="1" showInputMessage="1" showErrorMessage="1" sqref="WLX983069 JH32:JH33 TD32:TD33 ACZ32:ACZ33 AMV32:AMV33 AWR32:AWR33 BGN32:BGN33 BQJ32:BQJ33 CAF32:CAF33 CKB32:CKB33 CTX32:CTX33 DDT32:DDT33 DNP32:DNP33 DXL32:DXL33 EHH32:EHH33 ERD32:ERD33 FAZ32:FAZ33 FKV32:FKV33 FUR32:FUR33 GEN32:GEN33 GOJ32:GOJ33 GYF32:GYF33 HIB32:HIB33 HRX32:HRX33 IBT32:IBT33 ILP32:ILP33 IVL32:IVL33 JFH32:JFH33 JPD32:JPD33 JYZ32:JYZ33 KIV32:KIV33 KSR32:KSR33 LCN32:LCN33 LMJ32:LMJ33 LWF32:LWF33 MGB32:MGB33 MPX32:MPX33 MZT32:MZT33 NJP32:NJP33 NTL32:NTL33 ODH32:ODH33 OND32:OND33 OWZ32:OWZ33 PGV32:PGV33 PQR32:PQR33 QAN32:QAN33 QKJ32:QKJ33 QUF32:QUF33 REB32:REB33 RNX32:RNX33 RXT32:RXT33 SHP32:SHP33 SRL32:SRL33 TBH32:TBH33 TLD32:TLD33 TUZ32:TUZ33 UEV32:UEV33 UOR32:UOR33 UYN32:UYN33 VIJ32:VIJ33 VSF32:VSF33 WCB32:WCB33 WLX32:WLX33 WVT32:WVT33 L65568:L65569 JH65568:JH65569 TD65568:TD65569 ACZ65568:ACZ65569 AMV65568:AMV65569 AWR65568:AWR65569 BGN65568:BGN65569 BQJ65568:BQJ65569 CAF65568:CAF65569 CKB65568:CKB65569 CTX65568:CTX65569 DDT65568:DDT65569 DNP65568:DNP65569 DXL65568:DXL65569 EHH65568:EHH65569 ERD65568:ERD65569 FAZ65568:FAZ65569 FKV65568:FKV65569 FUR65568:FUR65569 GEN65568:GEN65569 GOJ65568:GOJ65569 GYF65568:GYF65569 HIB65568:HIB65569 HRX65568:HRX65569 IBT65568:IBT65569 ILP65568:ILP65569 IVL65568:IVL65569 JFH65568:JFH65569 JPD65568:JPD65569 JYZ65568:JYZ65569 KIV65568:KIV65569 KSR65568:KSR65569 LCN65568:LCN65569 LMJ65568:LMJ65569 LWF65568:LWF65569 MGB65568:MGB65569 MPX65568:MPX65569 MZT65568:MZT65569 NJP65568:NJP65569 NTL65568:NTL65569 ODH65568:ODH65569 OND65568:OND65569 OWZ65568:OWZ65569 PGV65568:PGV65569 PQR65568:PQR65569 QAN65568:QAN65569 QKJ65568:QKJ65569 QUF65568:QUF65569 REB65568:REB65569 RNX65568:RNX65569 RXT65568:RXT65569 SHP65568:SHP65569 SRL65568:SRL65569 TBH65568:TBH65569 TLD65568:TLD65569 TUZ65568:TUZ65569 UEV65568:UEV65569 UOR65568:UOR65569 UYN65568:UYN65569 VIJ65568:VIJ65569 VSF65568:VSF65569 WCB65568:WCB65569 WLX65568:WLX65569 WVT65568:WVT65569 L131104:L131105 JH131104:JH131105 TD131104:TD131105 ACZ131104:ACZ131105 AMV131104:AMV131105 AWR131104:AWR131105 BGN131104:BGN131105 BQJ131104:BQJ131105 CAF131104:CAF131105 CKB131104:CKB131105 CTX131104:CTX131105 DDT131104:DDT131105 DNP131104:DNP131105 DXL131104:DXL131105 EHH131104:EHH131105 ERD131104:ERD131105 FAZ131104:FAZ131105 FKV131104:FKV131105 FUR131104:FUR131105 GEN131104:GEN131105 GOJ131104:GOJ131105 GYF131104:GYF131105 HIB131104:HIB131105 HRX131104:HRX131105 IBT131104:IBT131105 ILP131104:ILP131105 IVL131104:IVL131105 JFH131104:JFH131105 JPD131104:JPD131105 JYZ131104:JYZ131105 KIV131104:KIV131105 KSR131104:KSR131105 LCN131104:LCN131105 LMJ131104:LMJ131105 LWF131104:LWF131105 MGB131104:MGB131105 MPX131104:MPX131105 MZT131104:MZT131105 NJP131104:NJP131105 NTL131104:NTL131105 ODH131104:ODH131105 OND131104:OND131105 OWZ131104:OWZ131105 PGV131104:PGV131105 PQR131104:PQR131105 QAN131104:QAN131105 QKJ131104:QKJ131105 QUF131104:QUF131105 REB131104:REB131105 RNX131104:RNX131105 RXT131104:RXT131105 SHP131104:SHP131105 SRL131104:SRL131105 TBH131104:TBH131105 TLD131104:TLD131105 TUZ131104:TUZ131105 UEV131104:UEV131105 UOR131104:UOR131105 UYN131104:UYN131105 VIJ131104:VIJ131105 VSF131104:VSF131105 WCB131104:WCB131105 WLX131104:WLX131105 WVT131104:WVT131105 L196640:L196641 JH196640:JH196641 TD196640:TD196641 ACZ196640:ACZ196641 AMV196640:AMV196641 AWR196640:AWR196641 BGN196640:BGN196641 BQJ196640:BQJ196641 CAF196640:CAF196641 CKB196640:CKB196641 CTX196640:CTX196641 DDT196640:DDT196641 DNP196640:DNP196641 DXL196640:DXL196641 EHH196640:EHH196641 ERD196640:ERD196641 FAZ196640:FAZ196641 FKV196640:FKV196641 FUR196640:FUR196641 GEN196640:GEN196641 GOJ196640:GOJ196641 GYF196640:GYF196641 HIB196640:HIB196641 HRX196640:HRX196641 IBT196640:IBT196641 ILP196640:ILP196641 IVL196640:IVL196641 JFH196640:JFH196641 JPD196640:JPD196641 JYZ196640:JYZ196641 KIV196640:KIV196641 KSR196640:KSR196641 LCN196640:LCN196641 LMJ196640:LMJ196641 LWF196640:LWF196641 MGB196640:MGB196641 MPX196640:MPX196641 MZT196640:MZT196641 NJP196640:NJP196641 NTL196640:NTL196641 ODH196640:ODH196641 OND196640:OND196641 OWZ196640:OWZ196641 PGV196640:PGV196641 PQR196640:PQR196641 QAN196640:QAN196641 QKJ196640:QKJ196641 QUF196640:QUF196641 REB196640:REB196641 RNX196640:RNX196641 RXT196640:RXT196641 SHP196640:SHP196641 SRL196640:SRL196641 TBH196640:TBH196641 TLD196640:TLD196641 TUZ196640:TUZ196641 UEV196640:UEV196641 UOR196640:UOR196641 UYN196640:UYN196641 VIJ196640:VIJ196641 VSF196640:VSF196641 WCB196640:WCB196641 WLX196640:WLX196641 WVT196640:WVT196641 L262176:L262177 JH262176:JH262177 TD262176:TD262177 ACZ262176:ACZ262177 AMV262176:AMV262177 AWR262176:AWR262177 BGN262176:BGN262177 BQJ262176:BQJ262177 CAF262176:CAF262177 CKB262176:CKB262177 CTX262176:CTX262177 DDT262176:DDT262177 DNP262176:DNP262177 DXL262176:DXL262177 EHH262176:EHH262177 ERD262176:ERD262177 FAZ262176:FAZ262177 FKV262176:FKV262177 FUR262176:FUR262177 GEN262176:GEN262177 GOJ262176:GOJ262177 GYF262176:GYF262177 HIB262176:HIB262177 HRX262176:HRX262177 IBT262176:IBT262177 ILP262176:ILP262177 IVL262176:IVL262177 JFH262176:JFH262177 JPD262176:JPD262177 JYZ262176:JYZ262177 KIV262176:KIV262177 KSR262176:KSR262177 LCN262176:LCN262177 LMJ262176:LMJ262177 LWF262176:LWF262177 MGB262176:MGB262177 MPX262176:MPX262177 MZT262176:MZT262177 NJP262176:NJP262177 NTL262176:NTL262177 ODH262176:ODH262177 OND262176:OND262177 OWZ262176:OWZ262177 PGV262176:PGV262177 PQR262176:PQR262177 QAN262176:QAN262177 QKJ262176:QKJ262177 QUF262176:QUF262177 REB262176:REB262177 RNX262176:RNX262177 RXT262176:RXT262177 SHP262176:SHP262177 SRL262176:SRL262177 TBH262176:TBH262177 TLD262176:TLD262177 TUZ262176:TUZ262177 UEV262176:UEV262177 UOR262176:UOR262177 UYN262176:UYN262177 VIJ262176:VIJ262177 VSF262176:VSF262177 WCB262176:WCB262177 WLX262176:WLX262177 WVT262176:WVT262177 L327712:L327713 JH327712:JH327713 TD327712:TD327713 ACZ327712:ACZ327713 AMV327712:AMV327713 AWR327712:AWR327713 BGN327712:BGN327713 BQJ327712:BQJ327713 CAF327712:CAF327713 CKB327712:CKB327713 CTX327712:CTX327713 DDT327712:DDT327713 DNP327712:DNP327713 DXL327712:DXL327713 EHH327712:EHH327713 ERD327712:ERD327713 FAZ327712:FAZ327713 FKV327712:FKV327713 FUR327712:FUR327713 GEN327712:GEN327713 GOJ327712:GOJ327713 GYF327712:GYF327713 HIB327712:HIB327713 HRX327712:HRX327713 IBT327712:IBT327713 ILP327712:ILP327713 IVL327712:IVL327713 JFH327712:JFH327713 JPD327712:JPD327713 JYZ327712:JYZ327713 KIV327712:KIV327713 KSR327712:KSR327713 LCN327712:LCN327713 LMJ327712:LMJ327713 LWF327712:LWF327713 MGB327712:MGB327713 MPX327712:MPX327713 MZT327712:MZT327713 NJP327712:NJP327713 NTL327712:NTL327713 ODH327712:ODH327713 OND327712:OND327713 OWZ327712:OWZ327713 PGV327712:PGV327713 PQR327712:PQR327713 QAN327712:QAN327713 QKJ327712:QKJ327713 QUF327712:QUF327713 REB327712:REB327713 RNX327712:RNX327713 RXT327712:RXT327713 SHP327712:SHP327713 SRL327712:SRL327713 TBH327712:TBH327713 TLD327712:TLD327713 TUZ327712:TUZ327713 UEV327712:UEV327713 UOR327712:UOR327713 UYN327712:UYN327713 VIJ327712:VIJ327713 VSF327712:VSF327713 WCB327712:WCB327713 WLX327712:WLX327713 WVT327712:WVT327713 L393248:L393249 JH393248:JH393249 TD393248:TD393249 ACZ393248:ACZ393249 AMV393248:AMV393249 AWR393248:AWR393249 BGN393248:BGN393249 BQJ393248:BQJ393249 CAF393248:CAF393249 CKB393248:CKB393249 CTX393248:CTX393249 DDT393248:DDT393249 DNP393248:DNP393249 DXL393248:DXL393249 EHH393248:EHH393249 ERD393248:ERD393249 FAZ393248:FAZ393249 FKV393248:FKV393249 FUR393248:FUR393249 GEN393248:GEN393249 GOJ393248:GOJ393249 GYF393248:GYF393249 HIB393248:HIB393249 HRX393248:HRX393249 IBT393248:IBT393249 ILP393248:ILP393249 IVL393248:IVL393249 JFH393248:JFH393249 JPD393248:JPD393249 JYZ393248:JYZ393249 KIV393248:KIV393249 KSR393248:KSR393249 LCN393248:LCN393249 LMJ393248:LMJ393249 LWF393248:LWF393249 MGB393248:MGB393249 MPX393248:MPX393249 MZT393248:MZT393249 NJP393248:NJP393249 NTL393248:NTL393249 ODH393248:ODH393249 OND393248:OND393249 OWZ393248:OWZ393249 PGV393248:PGV393249 PQR393248:PQR393249 QAN393248:QAN393249 QKJ393248:QKJ393249 QUF393248:QUF393249 REB393248:REB393249 RNX393248:RNX393249 RXT393248:RXT393249 SHP393248:SHP393249 SRL393248:SRL393249 TBH393248:TBH393249 TLD393248:TLD393249 TUZ393248:TUZ393249 UEV393248:UEV393249 UOR393248:UOR393249 UYN393248:UYN393249 VIJ393248:VIJ393249 VSF393248:VSF393249 WCB393248:WCB393249 WLX393248:WLX393249 WVT393248:WVT393249 L458784:L458785 JH458784:JH458785 TD458784:TD458785 ACZ458784:ACZ458785 AMV458784:AMV458785 AWR458784:AWR458785 BGN458784:BGN458785 BQJ458784:BQJ458785 CAF458784:CAF458785 CKB458784:CKB458785 CTX458784:CTX458785 DDT458784:DDT458785 DNP458784:DNP458785 DXL458784:DXL458785 EHH458784:EHH458785 ERD458784:ERD458785 FAZ458784:FAZ458785 FKV458784:FKV458785 FUR458784:FUR458785 GEN458784:GEN458785 GOJ458784:GOJ458785 GYF458784:GYF458785 HIB458784:HIB458785 HRX458784:HRX458785 IBT458784:IBT458785 ILP458784:ILP458785 IVL458784:IVL458785 JFH458784:JFH458785 JPD458784:JPD458785 JYZ458784:JYZ458785 KIV458784:KIV458785 KSR458784:KSR458785 LCN458784:LCN458785 LMJ458784:LMJ458785 LWF458784:LWF458785 MGB458784:MGB458785 MPX458784:MPX458785 MZT458784:MZT458785 NJP458784:NJP458785 NTL458784:NTL458785 ODH458784:ODH458785 OND458784:OND458785 OWZ458784:OWZ458785 PGV458784:PGV458785 PQR458784:PQR458785 QAN458784:QAN458785 QKJ458784:QKJ458785 QUF458784:QUF458785 REB458784:REB458785 RNX458784:RNX458785 RXT458784:RXT458785 SHP458784:SHP458785 SRL458784:SRL458785 TBH458784:TBH458785 TLD458784:TLD458785 TUZ458784:TUZ458785 UEV458784:UEV458785 UOR458784:UOR458785 UYN458784:UYN458785 VIJ458784:VIJ458785 VSF458784:VSF458785 WCB458784:WCB458785 WLX458784:WLX458785 WVT458784:WVT458785 L524320:L524321 JH524320:JH524321 TD524320:TD524321 ACZ524320:ACZ524321 AMV524320:AMV524321 AWR524320:AWR524321 BGN524320:BGN524321 BQJ524320:BQJ524321 CAF524320:CAF524321 CKB524320:CKB524321 CTX524320:CTX524321 DDT524320:DDT524321 DNP524320:DNP524321 DXL524320:DXL524321 EHH524320:EHH524321 ERD524320:ERD524321 FAZ524320:FAZ524321 FKV524320:FKV524321 FUR524320:FUR524321 GEN524320:GEN524321 GOJ524320:GOJ524321 GYF524320:GYF524321 HIB524320:HIB524321 HRX524320:HRX524321 IBT524320:IBT524321 ILP524320:ILP524321 IVL524320:IVL524321 JFH524320:JFH524321 JPD524320:JPD524321 JYZ524320:JYZ524321 KIV524320:KIV524321 KSR524320:KSR524321 LCN524320:LCN524321 LMJ524320:LMJ524321 LWF524320:LWF524321 MGB524320:MGB524321 MPX524320:MPX524321 MZT524320:MZT524321 NJP524320:NJP524321 NTL524320:NTL524321 ODH524320:ODH524321 OND524320:OND524321 OWZ524320:OWZ524321 PGV524320:PGV524321 PQR524320:PQR524321 QAN524320:QAN524321 QKJ524320:QKJ524321 QUF524320:QUF524321 REB524320:REB524321 RNX524320:RNX524321 RXT524320:RXT524321 SHP524320:SHP524321 SRL524320:SRL524321 TBH524320:TBH524321 TLD524320:TLD524321 TUZ524320:TUZ524321 UEV524320:UEV524321 UOR524320:UOR524321 UYN524320:UYN524321 VIJ524320:VIJ524321 VSF524320:VSF524321 WCB524320:WCB524321 WLX524320:WLX524321 WVT524320:WVT524321 L589856:L589857 JH589856:JH589857 TD589856:TD589857 ACZ589856:ACZ589857 AMV589856:AMV589857 AWR589856:AWR589857 BGN589856:BGN589857 BQJ589856:BQJ589857 CAF589856:CAF589857 CKB589856:CKB589857 CTX589856:CTX589857 DDT589856:DDT589857 DNP589856:DNP589857 DXL589856:DXL589857 EHH589856:EHH589857 ERD589856:ERD589857 FAZ589856:FAZ589857 FKV589856:FKV589857 FUR589856:FUR589857 GEN589856:GEN589857 GOJ589856:GOJ589857 GYF589856:GYF589857 HIB589856:HIB589857 HRX589856:HRX589857 IBT589856:IBT589857 ILP589856:ILP589857 IVL589856:IVL589857 JFH589856:JFH589857 JPD589856:JPD589857 JYZ589856:JYZ589857 KIV589856:KIV589857 KSR589856:KSR589857 LCN589856:LCN589857 LMJ589856:LMJ589857 LWF589856:LWF589857 MGB589856:MGB589857 MPX589856:MPX589857 MZT589856:MZT589857 NJP589856:NJP589857 NTL589856:NTL589857 ODH589856:ODH589857 OND589856:OND589857 OWZ589856:OWZ589857 PGV589856:PGV589857 PQR589856:PQR589857 QAN589856:QAN589857 QKJ589856:QKJ589857 QUF589856:QUF589857 REB589856:REB589857 RNX589856:RNX589857 RXT589856:RXT589857 SHP589856:SHP589857 SRL589856:SRL589857 TBH589856:TBH589857 TLD589856:TLD589857 TUZ589856:TUZ589857 UEV589856:UEV589857 UOR589856:UOR589857 UYN589856:UYN589857 VIJ589856:VIJ589857 VSF589856:VSF589857 WCB589856:WCB589857 WLX589856:WLX589857 WVT589856:WVT589857 L655392:L655393 JH655392:JH655393 TD655392:TD655393 ACZ655392:ACZ655393 AMV655392:AMV655393 AWR655392:AWR655393 BGN655392:BGN655393 BQJ655392:BQJ655393 CAF655392:CAF655393 CKB655392:CKB655393 CTX655392:CTX655393 DDT655392:DDT655393 DNP655392:DNP655393 DXL655392:DXL655393 EHH655392:EHH655393 ERD655392:ERD655393 FAZ655392:FAZ655393 FKV655392:FKV655393 FUR655392:FUR655393 GEN655392:GEN655393 GOJ655392:GOJ655393 GYF655392:GYF655393 HIB655392:HIB655393 HRX655392:HRX655393 IBT655392:IBT655393 ILP655392:ILP655393 IVL655392:IVL655393 JFH655392:JFH655393 JPD655392:JPD655393 JYZ655392:JYZ655393 KIV655392:KIV655393 KSR655392:KSR655393 LCN655392:LCN655393 LMJ655392:LMJ655393 LWF655392:LWF655393 MGB655392:MGB655393 MPX655392:MPX655393 MZT655392:MZT655393 NJP655392:NJP655393 NTL655392:NTL655393 ODH655392:ODH655393 OND655392:OND655393 OWZ655392:OWZ655393 PGV655392:PGV655393 PQR655392:PQR655393 QAN655392:QAN655393 QKJ655392:QKJ655393 QUF655392:QUF655393 REB655392:REB655393 RNX655392:RNX655393 RXT655392:RXT655393 SHP655392:SHP655393 SRL655392:SRL655393 TBH655392:TBH655393 TLD655392:TLD655393 TUZ655392:TUZ655393 UEV655392:UEV655393 UOR655392:UOR655393 UYN655392:UYN655393 VIJ655392:VIJ655393 VSF655392:VSF655393 WCB655392:WCB655393 WLX655392:WLX655393 WVT655392:WVT655393 L720928:L720929 JH720928:JH720929 TD720928:TD720929 ACZ720928:ACZ720929 AMV720928:AMV720929 AWR720928:AWR720929 BGN720928:BGN720929 BQJ720928:BQJ720929 CAF720928:CAF720929 CKB720928:CKB720929 CTX720928:CTX720929 DDT720928:DDT720929 DNP720928:DNP720929 DXL720928:DXL720929 EHH720928:EHH720929 ERD720928:ERD720929 FAZ720928:FAZ720929 FKV720928:FKV720929 FUR720928:FUR720929 GEN720928:GEN720929 GOJ720928:GOJ720929 GYF720928:GYF720929 HIB720928:HIB720929 HRX720928:HRX720929 IBT720928:IBT720929 ILP720928:ILP720929 IVL720928:IVL720929 JFH720928:JFH720929 JPD720928:JPD720929 JYZ720928:JYZ720929 KIV720928:KIV720929 KSR720928:KSR720929 LCN720928:LCN720929 LMJ720928:LMJ720929 LWF720928:LWF720929 MGB720928:MGB720929 MPX720928:MPX720929 MZT720928:MZT720929 NJP720928:NJP720929 NTL720928:NTL720929 ODH720928:ODH720929 OND720928:OND720929 OWZ720928:OWZ720929 PGV720928:PGV720929 PQR720928:PQR720929 QAN720928:QAN720929 QKJ720928:QKJ720929 QUF720928:QUF720929 REB720928:REB720929 RNX720928:RNX720929 RXT720928:RXT720929 SHP720928:SHP720929 SRL720928:SRL720929 TBH720928:TBH720929 TLD720928:TLD720929 TUZ720928:TUZ720929 UEV720928:UEV720929 UOR720928:UOR720929 UYN720928:UYN720929 VIJ720928:VIJ720929 VSF720928:VSF720929 WCB720928:WCB720929 WLX720928:WLX720929 WVT720928:WVT720929 L786464:L786465 JH786464:JH786465 TD786464:TD786465 ACZ786464:ACZ786465 AMV786464:AMV786465 AWR786464:AWR786465 BGN786464:BGN786465 BQJ786464:BQJ786465 CAF786464:CAF786465 CKB786464:CKB786465 CTX786464:CTX786465 DDT786464:DDT786465 DNP786464:DNP786465 DXL786464:DXL786465 EHH786464:EHH786465 ERD786464:ERD786465 FAZ786464:FAZ786465 FKV786464:FKV786465 FUR786464:FUR786465 GEN786464:GEN786465 GOJ786464:GOJ786465 GYF786464:GYF786465 HIB786464:HIB786465 HRX786464:HRX786465 IBT786464:IBT786465 ILP786464:ILP786465 IVL786464:IVL786465 JFH786464:JFH786465 JPD786464:JPD786465 JYZ786464:JYZ786465 KIV786464:KIV786465 KSR786464:KSR786465 LCN786464:LCN786465 LMJ786464:LMJ786465 LWF786464:LWF786465 MGB786464:MGB786465 MPX786464:MPX786465 MZT786464:MZT786465 NJP786464:NJP786465 NTL786464:NTL786465 ODH786464:ODH786465 OND786464:OND786465 OWZ786464:OWZ786465 PGV786464:PGV786465 PQR786464:PQR786465 QAN786464:QAN786465 QKJ786464:QKJ786465 QUF786464:QUF786465 REB786464:REB786465 RNX786464:RNX786465 RXT786464:RXT786465 SHP786464:SHP786465 SRL786464:SRL786465 TBH786464:TBH786465 TLD786464:TLD786465 TUZ786464:TUZ786465 UEV786464:UEV786465 UOR786464:UOR786465 UYN786464:UYN786465 VIJ786464:VIJ786465 VSF786464:VSF786465 WCB786464:WCB786465 WLX786464:WLX786465 WVT786464:WVT786465 L852000:L852001 JH852000:JH852001 TD852000:TD852001 ACZ852000:ACZ852001 AMV852000:AMV852001 AWR852000:AWR852001 BGN852000:BGN852001 BQJ852000:BQJ852001 CAF852000:CAF852001 CKB852000:CKB852001 CTX852000:CTX852001 DDT852000:DDT852001 DNP852000:DNP852001 DXL852000:DXL852001 EHH852000:EHH852001 ERD852000:ERD852001 FAZ852000:FAZ852001 FKV852000:FKV852001 FUR852000:FUR852001 GEN852000:GEN852001 GOJ852000:GOJ852001 GYF852000:GYF852001 HIB852000:HIB852001 HRX852000:HRX852001 IBT852000:IBT852001 ILP852000:ILP852001 IVL852000:IVL852001 JFH852000:JFH852001 JPD852000:JPD852001 JYZ852000:JYZ852001 KIV852000:KIV852001 KSR852000:KSR852001 LCN852000:LCN852001 LMJ852000:LMJ852001 LWF852000:LWF852001 MGB852000:MGB852001 MPX852000:MPX852001 MZT852000:MZT852001 NJP852000:NJP852001 NTL852000:NTL852001 ODH852000:ODH852001 OND852000:OND852001 OWZ852000:OWZ852001 PGV852000:PGV852001 PQR852000:PQR852001 QAN852000:QAN852001 QKJ852000:QKJ852001 QUF852000:QUF852001 REB852000:REB852001 RNX852000:RNX852001 RXT852000:RXT852001 SHP852000:SHP852001 SRL852000:SRL852001 TBH852000:TBH852001 TLD852000:TLD852001 TUZ852000:TUZ852001 UEV852000:UEV852001 UOR852000:UOR852001 UYN852000:UYN852001 VIJ852000:VIJ852001 VSF852000:VSF852001 WCB852000:WCB852001 WLX852000:WLX852001 WVT852000:WVT852001 L917536:L917537 JH917536:JH917537 TD917536:TD917537 ACZ917536:ACZ917537 AMV917536:AMV917537 AWR917536:AWR917537 BGN917536:BGN917537 BQJ917536:BQJ917537 CAF917536:CAF917537 CKB917536:CKB917537 CTX917536:CTX917537 DDT917536:DDT917537 DNP917536:DNP917537 DXL917536:DXL917537 EHH917536:EHH917537 ERD917536:ERD917537 FAZ917536:FAZ917537 FKV917536:FKV917537 FUR917536:FUR917537 GEN917536:GEN917537 GOJ917536:GOJ917537 GYF917536:GYF917537 HIB917536:HIB917537 HRX917536:HRX917537 IBT917536:IBT917537 ILP917536:ILP917537 IVL917536:IVL917537 JFH917536:JFH917537 JPD917536:JPD917537 JYZ917536:JYZ917537 KIV917536:KIV917537 KSR917536:KSR917537 LCN917536:LCN917537 LMJ917536:LMJ917537 LWF917536:LWF917537 MGB917536:MGB917537 MPX917536:MPX917537 MZT917536:MZT917537 NJP917536:NJP917537 NTL917536:NTL917537 ODH917536:ODH917537 OND917536:OND917537 OWZ917536:OWZ917537 PGV917536:PGV917537 PQR917536:PQR917537 QAN917536:QAN917537 QKJ917536:QKJ917537 QUF917536:QUF917537 REB917536:REB917537 RNX917536:RNX917537 RXT917536:RXT917537 SHP917536:SHP917537 SRL917536:SRL917537 TBH917536:TBH917537 TLD917536:TLD917537 TUZ917536:TUZ917537 UEV917536:UEV917537 UOR917536:UOR917537 UYN917536:UYN917537 VIJ917536:VIJ917537 VSF917536:VSF917537 WCB917536:WCB917537 WLX917536:WLX917537 WVT917536:WVT917537 L983072:L983073 JH983072:JH983073 TD983072:TD983073 ACZ983072:ACZ983073 AMV983072:AMV983073 AWR983072:AWR983073 BGN983072:BGN983073 BQJ983072:BQJ983073 CAF983072:CAF983073 CKB983072:CKB983073 CTX983072:CTX983073 DDT983072:DDT983073 DNP983072:DNP983073 DXL983072:DXL983073 EHH983072:EHH983073 ERD983072:ERD983073 FAZ983072:FAZ983073 FKV983072:FKV983073 FUR983072:FUR983073 GEN983072:GEN983073 GOJ983072:GOJ983073 GYF983072:GYF983073 HIB983072:HIB983073 HRX983072:HRX983073 IBT983072:IBT983073 ILP983072:ILP983073 IVL983072:IVL983073 JFH983072:JFH983073 JPD983072:JPD983073 JYZ983072:JYZ983073 KIV983072:KIV983073 KSR983072:KSR983073 LCN983072:LCN983073 LMJ983072:LMJ983073 LWF983072:LWF983073 MGB983072:MGB983073 MPX983072:MPX983073 MZT983072:MZT983073 NJP983072:NJP983073 NTL983072:NTL983073 ODH983072:ODH983073 OND983072:OND983073 OWZ983072:OWZ983073 PGV983072:PGV983073 PQR983072:PQR983073 QAN983072:QAN983073 QKJ983072:QKJ983073 QUF983072:QUF983073 REB983072:REB983073 RNX983072:RNX983073 RXT983072:RXT983073 SHP983072:SHP983073 SRL983072:SRL983073 TBH983072:TBH983073 TLD983072:TLD983073 TUZ983072:TUZ983073 UEV983072:UEV983073 UOR983072:UOR983073 UYN983072:UYN983073 VIJ983072:VIJ983073 VSF983072:VSF983073 WCB983072:WCB983073 WLX983072:WLX983073 WVT983072:WVT983073 WVT983069 JH29 TD29 ACZ29 AMV29 AWR29 BGN29 BQJ29 CAF29 CKB29 CTX29 DDT29 DNP29 DXL29 EHH29 ERD29 FAZ29 FKV29 FUR29 GEN29 GOJ29 GYF29 HIB29 HRX29 IBT29 ILP29 IVL29 JFH29 JPD29 JYZ29 KIV29 KSR29 LCN29 LMJ29 LWF29 MGB29 MPX29 MZT29 NJP29 NTL29 ODH29 OND29 OWZ29 PGV29 PQR29 QAN29 QKJ29 QUF29 REB29 RNX29 RXT29 SHP29 SRL29 TBH29 TLD29 TUZ29 UEV29 UOR29 UYN29 VIJ29 VSF29 WCB29 WLX29 WVT29 L65565 JH65565 TD65565 ACZ65565 AMV65565 AWR65565 BGN65565 BQJ65565 CAF65565 CKB65565 CTX65565 DDT65565 DNP65565 DXL65565 EHH65565 ERD65565 FAZ65565 FKV65565 FUR65565 GEN65565 GOJ65565 GYF65565 HIB65565 HRX65565 IBT65565 ILP65565 IVL65565 JFH65565 JPD65565 JYZ65565 KIV65565 KSR65565 LCN65565 LMJ65565 LWF65565 MGB65565 MPX65565 MZT65565 NJP65565 NTL65565 ODH65565 OND65565 OWZ65565 PGV65565 PQR65565 QAN65565 QKJ65565 QUF65565 REB65565 RNX65565 RXT65565 SHP65565 SRL65565 TBH65565 TLD65565 TUZ65565 UEV65565 UOR65565 UYN65565 VIJ65565 VSF65565 WCB65565 WLX65565 WVT65565 L131101 JH131101 TD131101 ACZ131101 AMV131101 AWR131101 BGN131101 BQJ131101 CAF131101 CKB131101 CTX131101 DDT131101 DNP131101 DXL131101 EHH131101 ERD131101 FAZ131101 FKV131101 FUR131101 GEN131101 GOJ131101 GYF131101 HIB131101 HRX131101 IBT131101 ILP131101 IVL131101 JFH131101 JPD131101 JYZ131101 KIV131101 KSR131101 LCN131101 LMJ131101 LWF131101 MGB131101 MPX131101 MZT131101 NJP131101 NTL131101 ODH131101 OND131101 OWZ131101 PGV131101 PQR131101 QAN131101 QKJ131101 QUF131101 REB131101 RNX131101 RXT131101 SHP131101 SRL131101 TBH131101 TLD131101 TUZ131101 UEV131101 UOR131101 UYN131101 VIJ131101 VSF131101 WCB131101 WLX131101 WVT131101 L196637 JH196637 TD196637 ACZ196637 AMV196637 AWR196637 BGN196637 BQJ196637 CAF196637 CKB196637 CTX196637 DDT196637 DNP196637 DXL196637 EHH196637 ERD196637 FAZ196637 FKV196637 FUR196637 GEN196637 GOJ196637 GYF196637 HIB196637 HRX196637 IBT196637 ILP196637 IVL196637 JFH196637 JPD196637 JYZ196637 KIV196637 KSR196637 LCN196637 LMJ196637 LWF196637 MGB196637 MPX196637 MZT196637 NJP196637 NTL196637 ODH196637 OND196637 OWZ196637 PGV196637 PQR196637 QAN196637 QKJ196637 QUF196637 REB196637 RNX196637 RXT196637 SHP196637 SRL196637 TBH196637 TLD196637 TUZ196637 UEV196637 UOR196637 UYN196637 VIJ196637 VSF196637 WCB196637 WLX196637 WVT196637 L262173 JH262173 TD262173 ACZ262173 AMV262173 AWR262173 BGN262173 BQJ262173 CAF262173 CKB262173 CTX262173 DDT262173 DNP262173 DXL262173 EHH262173 ERD262173 FAZ262173 FKV262173 FUR262173 GEN262173 GOJ262173 GYF262173 HIB262173 HRX262173 IBT262173 ILP262173 IVL262173 JFH262173 JPD262173 JYZ262173 KIV262173 KSR262173 LCN262173 LMJ262173 LWF262173 MGB262173 MPX262173 MZT262173 NJP262173 NTL262173 ODH262173 OND262173 OWZ262173 PGV262173 PQR262173 QAN262173 QKJ262173 QUF262173 REB262173 RNX262173 RXT262173 SHP262173 SRL262173 TBH262173 TLD262173 TUZ262173 UEV262173 UOR262173 UYN262173 VIJ262173 VSF262173 WCB262173 WLX262173 WVT262173 L327709 JH327709 TD327709 ACZ327709 AMV327709 AWR327709 BGN327709 BQJ327709 CAF327709 CKB327709 CTX327709 DDT327709 DNP327709 DXL327709 EHH327709 ERD327709 FAZ327709 FKV327709 FUR327709 GEN327709 GOJ327709 GYF327709 HIB327709 HRX327709 IBT327709 ILP327709 IVL327709 JFH327709 JPD327709 JYZ327709 KIV327709 KSR327709 LCN327709 LMJ327709 LWF327709 MGB327709 MPX327709 MZT327709 NJP327709 NTL327709 ODH327709 OND327709 OWZ327709 PGV327709 PQR327709 QAN327709 QKJ327709 QUF327709 REB327709 RNX327709 RXT327709 SHP327709 SRL327709 TBH327709 TLD327709 TUZ327709 UEV327709 UOR327709 UYN327709 VIJ327709 VSF327709 WCB327709 WLX327709 WVT327709 L393245 JH393245 TD393245 ACZ393245 AMV393245 AWR393245 BGN393245 BQJ393245 CAF393245 CKB393245 CTX393245 DDT393245 DNP393245 DXL393245 EHH393245 ERD393245 FAZ393245 FKV393245 FUR393245 GEN393245 GOJ393245 GYF393245 HIB393245 HRX393245 IBT393245 ILP393245 IVL393245 JFH393245 JPD393245 JYZ393245 KIV393245 KSR393245 LCN393245 LMJ393245 LWF393245 MGB393245 MPX393245 MZT393245 NJP393245 NTL393245 ODH393245 OND393245 OWZ393245 PGV393245 PQR393245 QAN393245 QKJ393245 QUF393245 REB393245 RNX393245 RXT393245 SHP393245 SRL393245 TBH393245 TLD393245 TUZ393245 UEV393245 UOR393245 UYN393245 VIJ393245 VSF393245 WCB393245 WLX393245 WVT393245 L458781 JH458781 TD458781 ACZ458781 AMV458781 AWR458781 BGN458781 BQJ458781 CAF458781 CKB458781 CTX458781 DDT458781 DNP458781 DXL458781 EHH458781 ERD458781 FAZ458781 FKV458781 FUR458781 GEN458781 GOJ458781 GYF458781 HIB458781 HRX458781 IBT458781 ILP458781 IVL458781 JFH458781 JPD458781 JYZ458781 KIV458781 KSR458781 LCN458781 LMJ458781 LWF458781 MGB458781 MPX458781 MZT458781 NJP458781 NTL458781 ODH458781 OND458781 OWZ458781 PGV458781 PQR458781 QAN458781 QKJ458781 QUF458781 REB458781 RNX458781 RXT458781 SHP458781 SRL458781 TBH458781 TLD458781 TUZ458781 UEV458781 UOR458781 UYN458781 VIJ458781 VSF458781 WCB458781 WLX458781 WVT458781 L524317 JH524317 TD524317 ACZ524317 AMV524317 AWR524317 BGN524317 BQJ524317 CAF524317 CKB524317 CTX524317 DDT524317 DNP524317 DXL524317 EHH524317 ERD524317 FAZ524317 FKV524317 FUR524317 GEN524317 GOJ524317 GYF524317 HIB524317 HRX524317 IBT524317 ILP524317 IVL524317 JFH524317 JPD524317 JYZ524317 KIV524317 KSR524317 LCN524317 LMJ524317 LWF524317 MGB524317 MPX524317 MZT524317 NJP524317 NTL524317 ODH524317 OND524317 OWZ524317 PGV524317 PQR524317 QAN524317 QKJ524317 QUF524317 REB524317 RNX524317 RXT524317 SHP524317 SRL524317 TBH524317 TLD524317 TUZ524317 UEV524317 UOR524317 UYN524317 VIJ524317 VSF524317 WCB524317 WLX524317 WVT524317 L589853 JH589853 TD589853 ACZ589853 AMV589853 AWR589853 BGN589853 BQJ589853 CAF589853 CKB589853 CTX589853 DDT589853 DNP589853 DXL589853 EHH589853 ERD589853 FAZ589853 FKV589853 FUR589853 GEN589853 GOJ589853 GYF589853 HIB589853 HRX589853 IBT589853 ILP589853 IVL589853 JFH589853 JPD589853 JYZ589853 KIV589853 KSR589853 LCN589853 LMJ589853 LWF589853 MGB589853 MPX589853 MZT589853 NJP589853 NTL589853 ODH589853 OND589853 OWZ589853 PGV589853 PQR589853 QAN589853 QKJ589853 QUF589853 REB589853 RNX589853 RXT589853 SHP589853 SRL589853 TBH589853 TLD589853 TUZ589853 UEV589853 UOR589853 UYN589853 VIJ589853 VSF589853 WCB589853 WLX589853 WVT589853 L655389 JH655389 TD655389 ACZ655389 AMV655389 AWR655389 BGN655389 BQJ655389 CAF655389 CKB655389 CTX655389 DDT655389 DNP655389 DXL655389 EHH655389 ERD655389 FAZ655389 FKV655389 FUR655389 GEN655389 GOJ655389 GYF655389 HIB655389 HRX655389 IBT655389 ILP655389 IVL655389 JFH655389 JPD655389 JYZ655389 KIV655389 KSR655389 LCN655389 LMJ655389 LWF655389 MGB655389 MPX655389 MZT655389 NJP655389 NTL655389 ODH655389 OND655389 OWZ655389 PGV655389 PQR655389 QAN655389 QKJ655389 QUF655389 REB655389 RNX655389 RXT655389 SHP655389 SRL655389 TBH655389 TLD655389 TUZ655389 UEV655389 UOR655389 UYN655389 VIJ655389 VSF655389 WCB655389 WLX655389 WVT655389 L720925 JH720925 TD720925 ACZ720925 AMV720925 AWR720925 BGN720925 BQJ720925 CAF720925 CKB720925 CTX720925 DDT720925 DNP720925 DXL720925 EHH720925 ERD720925 FAZ720925 FKV720925 FUR720925 GEN720925 GOJ720925 GYF720925 HIB720925 HRX720925 IBT720925 ILP720925 IVL720925 JFH720925 JPD720925 JYZ720925 KIV720925 KSR720925 LCN720925 LMJ720925 LWF720925 MGB720925 MPX720925 MZT720925 NJP720925 NTL720925 ODH720925 OND720925 OWZ720925 PGV720925 PQR720925 QAN720925 QKJ720925 QUF720925 REB720925 RNX720925 RXT720925 SHP720925 SRL720925 TBH720925 TLD720925 TUZ720925 UEV720925 UOR720925 UYN720925 VIJ720925 VSF720925 WCB720925 WLX720925 WVT720925 L786461 JH786461 TD786461 ACZ786461 AMV786461 AWR786461 BGN786461 BQJ786461 CAF786461 CKB786461 CTX786461 DDT786461 DNP786461 DXL786461 EHH786461 ERD786461 FAZ786461 FKV786461 FUR786461 GEN786461 GOJ786461 GYF786461 HIB786461 HRX786461 IBT786461 ILP786461 IVL786461 JFH786461 JPD786461 JYZ786461 KIV786461 KSR786461 LCN786461 LMJ786461 LWF786461 MGB786461 MPX786461 MZT786461 NJP786461 NTL786461 ODH786461 OND786461 OWZ786461 PGV786461 PQR786461 QAN786461 QKJ786461 QUF786461 REB786461 RNX786461 RXT786461 SHP786461 SRL786461 TBH786461 TLD786461 TUZ786461 UEV786461 UOR786461 UYN786461 VIJ786461 VSF786461 WCB786461 WLX786461 WVT786461 L851997 JH851997 TD851997 ACZ851997 AMV851997 AWR851997 BGN851997 BQJ851997 CAF851997 CKB851997 CTX851997 DDT851997 DNP851997 DXL851997 EHH851997 ERD851997 FAZ851997 FKV851997 FUR851997 GEN851997 GOJ851997 GYF851997 HIB851997 HRX851997 IBT851997 ILP851997 IVL851997 JFH851997 JPD851997 JYZ851997 KIV851997 KSR851997 LCN851997 LMJ851997 LWF851997 MGB851997 MPX851997 MZT851997 NJP851997 NTL851997 ODH851997 OND851997 OWZ851997 PGV851997 PQR851997 QAN851997 QKJ851997 QUF851997 REB851997 RNX851997 RXT851997 SHP851997 SRL851997 TBH851997 TLD851997 TUZ851997 UEV851997 UOR851997 UYN851997 VIJ851997 VSF851997 WCB851997 WLX851997 WVT851997 L917533 JH917533 TD917533 ACZ917533 AMV917533 AWR917533 BGN917533 BQJ917533 CAF917533 CKB917533 CTX917533 DDT917533 DNP917533 DXL917533 EHH917533 ERD917533 FAZ917533 FKV917533 FUR917533 GEN917533 GOJ917533 GYF917533 HIB917533 HRX917533 IBT917533 ILP917533 IVL917533 JFH917533 JPD917533 JYZ917533 KIV917533 KSR917533 LCN917533 LMJ917533 LWF917533 MGB917533 MPX917533 MZT917533 NJP917533 NTL917533 ODH917533 OND917533 OWZ917533 PGV917533 PQR917533 QAN917533 QKJ917533 QUF917533 REB917533 RNX917533 RXT917533 SHP917533 SRL917533 TBH917533 TLD917533 TUZ917533 UEV917533 UOR917533 UYN917533 VIJ917533 VSF917533 WCB917533 WLX917533 WVT917533 L983069 JH983069 TD983069 ACZ983069 AMV983069 AWR983069 BGN983069 BQJ983069 CAF983069 CKB983069 CTX983069 DDT983069 DNP983069 DXL983069 EHH983069 ERD983069 FAZ983069 FKV983069 FUR983069 GEN983069 GOJ983069 GYF983069 HIB983069 HRX983069 IBT983069 ILP983069 IVL983069 JFH983069 JPD983069 JYZ983069 KIV983069 KSR983069 LCN983069 LMJ983069 LWF983069 MGB983069 MPX983069 MZT983069 NJP983069 NTL983069 ODH983069 OND983069 OWZ983069 PGV983069 PQR983069 QAN983069 QKJ983069 QUF983069 REB983069 RNX983069 RXT983069 SHP983069 SRL983069 TBH983069 TLD983069 TUZ983069 UEV983069 UOR983069 UYN983069 VIJ983069 VSF983069 WCB983069" xr:uid="{C779367C-CA98-4892-9639-6F5AB5AB65B4}">
      <formula1>sclas</formula1>
    </dataValidation>
    <dataValidation type="list" allowBlank="1" showInputMessage="1" showErrorMessage="1" sqref="WVS983072:WVS983073 JG28:JG29 TC28:TC29 ACY28:ACY29 AMU28:AMU29 AWQ28:AWQ29 BGM28:BGM29 BQI28:BQI29 CAE28:CAE29 CKA28:CKA29 CTW28:CTW29 DDS28:DDS29 DNO28:DNO29 DXK28:DXK29 EHG28:EHG29 ERC28:ERC29 FAY28:FAY29 FKU28:FKU29 FUQ28:FUQ29 GEM28:GEM29 GOI28:GOI29 GYE28:GYE29 HIA28:HIA29 HRW28:HRW29 IBS28:IBS29 ILO28:ILO29 IVK28:IVK29 JFG28:JFG29 JPC28:JPC29 JYY28:JYY29 KIU28:KIU29 KSQ28:KSQ29 LCM28:LCM29 LMI28:LMI29 LWE28:LWE29 MGA28:MGA29 MPW28:MPW29 MZS28:MZS29 NJO28:NJO29 NTK28:NTK29 ODG28:ODG29 ONC28:ONC29 OWY28:OWY29 PGU28:PGU29 PQQ28:PQQ29 QAM28:QAM29 QKI28:QKI29 QUE28:QUE29 REA28:REA29 RNW28:RNW29 RXS28:RXS29 SHO28:SHO29 SRK28:SRK29 TBG28:TBG29 TLC28:TLC29 TUY28:TUY29 UEU28:UEU29 UOQ28:UOQ29 UYM28:UYM29 VII28:VII29 VSE28:VSE29 WCA28:WCA29 WLW28:WLW29 WVS28:WVS29 K65564:K65565 JG65564:JG65565 TC65564:TC65565 ACY65564:ACY65565 AMU65564:AMU65565 AWQ65564:AWQ65565 BGM65564:BGM65565 BQI65564:BQI65565 CAE65564:CAE65565 CKA65564:CKA65565 CTW65564:CTW65565 DDS65564:DDS65565 DNO65564:DNO65565 DXK65564:DXK65565 EHG65564:EHG65565 ERC65564:ERC65565 FAY65564:FAY65565 FKU65564:FKU65565 FUQ65564:FUQ65565 GEM65564:GEM65565 GOI65564:GOI65565 GYE65564:GYE65565 HIA65564:HIA65565 HRW65564:HRW65565 IBS65564:IBS65565 ILO65564:ILO65565 IVK65564:IVK65565 JFG65564:JFG65565 JPC65564:JPC65565 JYY65564:JYY65565 KIU65564:KIU65565 KSQ65564:KSQ65565 LCM65564:LCM65565 LMI65564:LMI65565 LWE65564:LWE65565 MGA65564:MGA65565 MPW65564:MPW65565 MZS65564:MZS65565 NJO65564:NJO65565 NTK65564:NTK65565 ODG65564:ODG65565 ONC65564:ONC65565 OWY65564:OWY65565 PGU65564:PGU65565 PQQ65564:PQQ65565 QAM65564:QAM65565 QKI65564:QKI65565 QUE65564:QUE65565 REA65564:REA65565 RNW65564:RNW65565 RXS65564:RXS65565 SHO65564:SHO65565 SRK65564:SRK65565 TBG65564:TBG65565 TLC65564:TLC65565 TUY65564:TUY65565 UEU65564:UEU65565 UOQ65564:UOQ65565 UYM65564:UYM65565 VII65564:VII65565 VSE65564:VSE65565 WCA65564:WCA65565 WLW65564:WLW65565 WVS65564:WVS65565 K131100:K131101 JG131100:JG131101 TC131100:TC131101 ACY131100:ACY131101 AMU131100:AMU131101 AWQ131100:AWQ131101 BGM131100:BGM131101 BQI131100:BQI131101 CAE131100:CAE131101 CKA131100:CKA131101 CTW131100:CTW131101 DDS131100:DDS131101 DNO131100:DNO131101 DXK131100:DXK131101 EHG131100:EHG131101 ERC131100:ERC131101 FAY131100:FAY131101 FKU131100:FKU131101 FUQ131100:FUQ131101 GEM131100:GEM131101 GOI131100:GOI131101 GYE131100:GYE131101 HIA131100:HIA131101 HRW131100:HRW131101 IBS131100:IBS131101 ILO131100:ILO131101 IVK131100:IVK131101 JFG131100:JFG131101 JPC131100:JPC131101 JYY131100:JYY131101 KIU131100:KIU131101 KSQ131100:KSQ131101 LCM131100:LCM131101 LMI131100:LMI131101 LWE131100:LWE131101 MGA131100:MGA131101 MPW131100:MPW131101 MZS131100:MZS131101 NJO131100:NJO131101 NTK131100:NTK131101 ODG131100:ODG131101 ONC131100:ONC131101 OWY131100:OWY131101 PGU131100:PGU131101 PQQ131100:PQQ131101 QAM131100:QAM131101 QKI131100:QKI131101 QUE131100:QUE131101 REA131100:REA131101 RNW131100:RNW131101 RXS131100:RXS131101 SHO131100:SHO131101 SRK131100:SRK131101 TBG131100:TBG131101 TLC131100:TLC131101 TUY131100:TUY131101 UEU131100:UEU131101 UOQ131100:UOQ131101 UYM131100:UYM131101 VII131100:VII131101 VSE131100:VSE131101 WCA131100:WCA131101 WLW131100:WLW131101 WVS131100:WVS131101 K196636:K196637 JG196636:JG196637 TC196636:TC196637 ACY196636:ACY196637 AMU196636:AMU196637 AWQ196636:AWQ196637 BGM196636:BGM196637 BQI196636:BQI196637 CAE196636:CAE196637 CKA196636:CKA196637 CTW196636:CTW196637 DDS196636:DDS196637 DNO196636:DNO196637 DXK196636:DXK196637 EHG196636:EHG196637 ERC196636:ERC196637 FAY196636:FAY196637 FKU196636:FKU196637 FUQ196636:FUQ196637 GEM196636:GEM196637 GOI196636:GOI196637 GYE196636:GYE196637 HIA196636:HIA196637 HRW196636:HRW196637 IBS196636:IBS196637 ILO196636:ILO196637 IVK196636:IVK196637 JFG196636:JFG196637 JPC196636:JPC196637 JYY196636:JYY196637 KIU196636:KIU196637 KSQ196636:KSQ196637 LCM196636:LCM196637 LMI196636:LMI196637 LWE196636:LWE196637 MGA196636:MGA196637 MPW196636:MPW196637 MZS196636:MZS196637 NJO196636:NJO196637 NTK196636:NTK196637 ODG196636:ODG196637 ONC196636:ONC196637 OWY196636:OWY196637 PGU196636:PGU196637 PQQ196636:PQQ196637 QAM196636:QAM196637 QKI196636:QKI196637 QUE196636:QUE196637 REA196636:REA196637 RNW196636:RNW196637 RXS196636:RXS196637 SHO196636:SHO196637 SRK196636:SRK196637 TBG196636:TBG196637 TLC196636:TLC196637 TUY196636:TUY196637 UEU196636:UEU196637 UOQ196636:UOQ196637 UYM196636:UYM196637 VII196636:VII196637 VSE196636:VSE196637 WCA196636:WCA196637 WLW196636:WLW196637 WVS196636:WVS196637 K262172:K262173 JG262172:JG262173 TC262172:TC262173 ACY262172:ACY262173 AMU262172:AMU262173 AWQ262172:AWQ262173 BGM262172:BGM262173 BQI262172:BQI262173 CAE262172:CAE262173 CKA262172:CKA262173 CTW262172:CTW262173 DDS262172:DDS262173 DNO262172:DNO262173 DXK262172:DXK262173 EHG262172:EHG262173 ERC262172:ERC262173 FAY262172:FAY262173 FKU262172:FKU262173 FUQ262172:FUQ262173 GEM262172:GEM262173 GOI262172:GOI262173 GYE262172:GYE262173 HIA262172:HIA262173 HRW262172:HRW262173 IBS262172:IBS262173 ILO262172:ILO262173 IVK262172:IVK262173 JFG262172:JFG262173 JPC262172:JPC262173 JYY262172:JYY262173 KIU262172:KIU262173 KSQ262172:KSQ262173 LCM262172:LCM262173 LMI262172:LMI262173 LWE262172:LWE262173 MGA262172:MGA262173 MPW262172:MPW262173 MZS262172:MZS262173 NJO262172:NJO262173 NTK262172:NTK262173 ODG262172:ODG262173 ONC262172:ONC262173 OWY262172:OWY262173 PGU262172:PGU262173 PQQ262172:PQQ262173 QAM262172:QAM262173 QKI262172:QKI262173 QUE262172:QUE262173 REA262172:REA262173 RNW262172:RNW262173 RXS262172:RXS262173 SHO262172:SHO262173 SRK262172:SRK262173 TBG262172:TBG262173 TLC262172:TLC262173 TUY262172:TUY262173 UEU262172:UEU262173 UOQ262172:UOQ262173 UYM262172:UYM262173 VII262172:VII262173 VSE262172:VSE262173 WCA262172:WCA262173 WLW262172:WLW262173 WVS262172:WVS262173 K327708:K327709 JG327708:JG327709 TC327708:TC327709 ACY327708:ACY327709 AMU327708:AMU327709 AWQ327708:AWQ327709 BGM327708:BGM327709 BQI327708:BQI327709 CAE327708:CAE327709 CKA327708:CKA327709 CTW327708:CTW327709 DDS327708:DDS327709 DNO327708:DNO327709 DXK327708:DXK327709 EHG327708:EHG327709 ERC327708:ERC327709 FAY327708:FAY327709 FKU327708:FKU327709 FUQ327708:FUQ327709 GEM327708:GEM327709 GOI327708:GOI327709 GYE327708:GYE327709 HIA327708:HIA327709 HRW327708:HRW327709 IBS327708:IBS327709 ILO327708:ILO327709 IVK327708:IVK327709 JFG327708:JFG327709 JPC327708:JPC327709 JYY327708:JYY327709 KIU327708:KIU327709 KSQ327708:KSQ327709 LCM327708:LCM327709 LMI327708:LMI327709 LWE327708:LWE327709 MGA327708:MGA327709 MPW327708:MPW327709 MZS327708:MZS327709 NJO327708:NJO327709 NTK327708:NTK327709 ODG327708:ODG327709 ONC327708:ONC327709 OWY327708:OWY327709 PGU327708:PGU327709 PQQ327708:PQQ327709 QAM327708:QAM327709 QKI327708:QKI327709 QUE327708:QUE327709 REA327708:REA327709 RNW327708:RNW327709 RXS327708:RXS327709 SHO327708:SHO327709 SRK327708:SRK327709 TBG327708:TBG327709 TLC327708:TLC327709 TUY327708:TUY327709 UEU327708:UEU327709 UOQ327708:UOQ327709 UYM327708:UYM327709 VII327708:VII327709 VSE327708:VSE327709 WCA327708:WCA327709 WLW327708:WLW327709 WVS327708:WVS327709 K393244:K393245 JG393244:JG393245 TC393244:TC393245 ACY393244:ACY393245 AMU393244:AMU393245 AWQ393244:AWQ393245 BGM393244:BGM393245 BQI393244:BQI393245 CAE393244:CAE393245 CKA393244:CKA393245 CTW393244:CTW393245 DDS393244:DDS393245 DNO393244:DNO393245 DXK393244:DXK393245 EHG393244:EHG393245 ERC393244:ERC393245 FAY393244:FAY393245 FKU393244:FKU393245 FUQ393244:FUQ393245 GEM393244:GEM393245 GOI393244:GOI393245 GYE393244:GYE393245 HIA393244:HIA393245 HRW393244:HRW393245 IBS393244:IBS393245 ILO393244:ILO393245 IVK393244:IVK393245 JFG393244:JFG393245 JPC393244:JPC393245 JYY393244:JYY393245 KIU393244:KIU393245 KSQ393244:KSQ393245 LCM393244:LCM393245 LMI393244:LMI393245 LWE393244:LWE393245 MGA393244:MGA393245 MPW393244:MPW393245 MZS393244:MZS393245 NJO393244:NJO393245 NTK393244:NTK393245 ODG393244:ODG393245 ONC393244:ONC393245 OWY393244:OWY393245 PGU393244:PGU393245 PQQ393244:PQQ393245 QAM393244:QAM393245 QKI393244:QKI393245 QUE393244:QUE393245 REA393244:REA393245 RNW393244:RNW393245 RXS393244:RXS393245 SHO393244:SHO393245 SRK393244:SRK393245 TBG393244:TBG393245 TLC393244:TLC393245 TUY393244:TUY393245 UEU393244:UEU393245 UOQ393244:UOQ393245 UYM393244:UYM393245 VII393244:VII393245 VSE393244:VSE393245 WCA393244:WCA393245 WLW393244:WLW393245 WVS393244:WVS393245 K458780:K458781 JG458780:JG458781 TC458780:TC458781 ACY458780:ACY458781 AMU458780:AMU458781 AWQ458780:AWQ458781 BGM458780:BGM458781 BQI458780:BQI458781 CAE458780:CAE458781 CKA458780:CKA458781 CTW458780:CTW458781 DDS458780:DDS458781 DNO458780:DNO458781 DXK458780:DXK458781 EHG458780:EHG458781 ERC458780:ERC458781 FAY458780:FAY458781 FKU458780:FKU458781 FUQ458780:FUQ458781 GEM458780:GEM458781 GOI458780:GOI458781 GYE458780:GYE458781 HIA458780:HIA458781 HRW458780:HRW458781 IBS458780:IBS458781 ILO458780:ILO458781 IVK458780:IVK458781 JFG458780:JFG458781 JPC458780:JPC458781 JYY458780:JYY458781 KIU458780:KIU458781 KSQ458780:KSQ458781 LCM458780:LCM458781 LMI458780:LMI458781 LWE458780:LWE458781 MGA458780:MGA458781 MPW458780:MPW458781 MZS458780:MZS458781 NJO458780:NJO458781 NTK458780:NTK458781 ODG458780:ODG458781 ONC458780:ONC458781 OWY458780:OWY458781 PGU458780:PGU458781 PQQ458780:PQQ458781 QAM458780:QAM458781 QKI458780:QKI458781 QUE458780:QUE458781 REA458780:REA458781 RNW458780:RNW458781 RXS458780:RXS458781 SHO458780:SHO458781 SRK458780:SRK458781 TBG458780:TBG458781 TLC458780:TLC458781 TUY458780:TUY458781 UEU458780:UEU458781 UOQ458780:UOQ458781 UYM458780:UYM458781 VII458780:VII458781 VSE458780:VSE458781 WCA458780:WCA458781 WLW458780:WLW458781 WVS458780:WVS458781 K524316:K524317 JG524316:JG524317 TC524316:TC524317 ACY524316:ACY524317 AMU524316:AMU524317 AWQ524316:AWQ524317 BGM524316:BGM524317 BQI524316:BQI524317 CAE524316:CAE524317 CKA524316:CKA524317 CTW524316:CTW524317 DDS524316:DDS524317 DNO524316:DNO524317 DXK524316:DXK524317 EHG524316:EHG524317 ERC524316:ERC524317 FAY524316:FAY524317 FKU524316:FKU524317 FUQ524316:FUQ524317 GEM524316:GEM524317 GOI524316:GOI524317 GYE524316:GYE524317 HIA524316:HIA524317 HRW524316:HRW524317 IBS524316:IBS524317 ILO524316:ILO524317 IVK524316:IVK524317 JFG524316:JFG524317 JPC524316:JPC524317 JYY524316:JYY524317 KIU524316:KIU524317 KSQ524316:KSQ524317 LCM524316:LCM524317 LMI524316:LMI524317 LWE524316:LWE524317 MGA524316:MGA524317 MPW524316:MPW524317 MZS524316:MZS524317 NJO524316:NJO524317 NTK524316:NTK524317 ODG524316:ODG524317 ONC524316:ONC524317 OWY524316:OWY524317 PGU524316:PGU524317 PQQ524316:PQQ524317 QAM524316:QAM524317 QKI524316:QKI524317 QUE524316:QUE524317 REA524316:REA524317 RNW524316:RNW524317 RXS524316:RXS524317 SHO524316:SHO524317 SRK524316:SRK524317 TBG524316:TBG524317 TLC524316:TLC524317 TUY524316:TUY524317 UEU524316:UEU524317 UOQ524316:UOQ524317 UYM524316:UYM524317 VII524316:VII524317 VSE524316:VSE524317 WCA524316:WCA524317 WLW524316:WLW524317 WVS524316:WVS524317 K589852:K589853 JG589852:JG589853 TC589852:TC589853 ACY589852:ACY589853 AMU589852:AMU589853 AWQ589852:AWQ589853 BGM589852:BGM589853 BQI589852:BQI589853 CAE589852:CAE589853 CKA589852:CKA589853 CTW589852:CTW589853 DDS589852:DDS589853 DNO589852:DNO589853 DXK589852:DXK589853 EHG589852:EHG589853 ERC589852:ERC589853 FAY589852:FAY589853 FKU589852:FKU589853 FUQ589852:FUQ589853 GEM589852:GEM589853 GOI589852:GOI589853 GYE589852:GYE589853 HIA589852:HIA589853 HRW589852:HRW589853 IBS589852:IBS589853 ILO589852:ILO589853 IVK589852:IVK589853 JFG589852:JFG589853 JPC589852:JPC589853 JYY589852:JYY589853 KIU589852:KIU589853 KSQ589852:KSQ589853 LCM589852:LCM589853 LMI589852:LMI589853 LWE589852:LWE589853 MGA589852:MGA589853 MPW589852:MPW589853 MZS589852:MZS589853 NJO589852:NJO589853 NTK589852:NTK589853 ODG589852:ODG589853 ONC589852:ONC589853 OWY589852:OWY589853 PGU589852:PGU589853 PQQ589852:PQQ589853 QAM589852:QAM589853 QKI589852:QKI589853 QUE589852:QUE589853 REA589852:REA589853 RNW589852:RNW589853 RXS589852:RXS589853 SHO589852:SHO589853 SRK589852:SRK589853 TBG589852:TBG589853 TLC589852:TLC589853 TUY589852:TUY589853 UEU589852:UEU589853 UOQ589852:UOQ589853 UYM589852:UYM589853 VII589852:VII589853 VSE589852:VSE589853 WCA589852:WCA589853 WLW589852:WLW589853 WVS589852:WVS589853 K655388:K655389 JG655388:JG655389 TC655388:TC655389 ACY655388:ACY655389 AMU655388:AMU655389 AWQ655388:AWQ655389 BGM655388:BGM655389 BQI655388:BQI655389 CAE655388:CAE655389 CKA655388:CKA655389 CTW655388:CTW655389 DDS655388:DDS655389 DNO655388:DNO655389 DXK655388:DXK655389 EHG655388:EHG655389 ERC655388:ERC655389 FAY655388:FAY655389 FKU655388:FKU655389 FUQ655388:FUQ655389 GEM655388:GEM655389 GOI655388:GOI655389 GYE655388:GYE655389 HIA655388:HIA655389 HRW655388:HRW655389 IBS655388:IBS655389 ILO655388:ILO655389 IVK655388:IVK655389 JFG655388:JFG655389 JPC655388:JPC655389 JYY655388:JYY655389 KIU655388:KIU655389 KSQ655388:KSQ655389 LCM655388:LCM655389 LMI655388:LMI655389 LWE655388:LWE655389 MGA655388:MGA655389 MPW655388:MPW655389 MZS655388:MZS655389 NJO655388:NJO655389 NTK655388:NTK655389 ODG655388:ODG655389 ONC655388:ONC655389 OWY655388:OWY655389 PGU655388:PGU655389 PQQ655388:PQQ655389 QAM655388:QAM655389 QKI655388:QKI655389 QUE655388:QUE655389 REA655388:REA655389 RNW655388:RNW655389 RXS655388:RXS655389 SHO655388:SHO655389 SRK655388:SRK655389 TBG655388:TBG655389 TLC655388:TLC655389 TUY655388:TUY655389 UEU655388:UEU655389 UOQ655388:UOQ655389 UYM655388:UYM655389 VII655388:VII655389 VSE655388:VSE655389 WCA655388:WCA655389 WLW655388:WLW655389 WVS655388:WVS655389 K720924:K720925 JG720924:JG720925 TC720924:TC720925 ACY720924:ACY720925 AMU720924:AMU720925 AWQ720924:AWQ720925 BGM720924:BGM720925 BQI720924:BQI720925 CAE720924:CAE720925 CKA720924:CKA720925 CTW720924:CTW720925 DDS720924:DDS720925 DNO720924:DNO720925 DXK720924:DXK720925 EHG720924:EHG720925 ERC720924:ERC720925 FAY720924:FAY720925 FKU720924:FKU720925 FUQ720924:FUQ720925 GEM720924:GEM720925 GOI720924:GOI720925 GYE720924:GYE720925 HIA720924:HIA720925 HRW720924:HRW720925 IBS720924:IBS720925 ILO720924:ILO720925 IVK720924:IVK720925 JFG720924:JFG720925 JPC720924:JPC720925 JYY720924:JYY720925 KIU720924:KIU720925 KSQ720924:KSQ720925 LCM720924:LCM720925 LMI720924:LMI720925 LWE720924:LWE720925 MGA720924:MGA720925 MPW720924:MPW720925 MZS720924:MZS720925 NJO720924:NJO720925 NTK720924:NTK720925 ODG720924:ODG720925 ONC720924:ONC720925 OWY720924:OWY720925 PGU720924:PGU720925 PQQ720924:PQQ720925 QAM720924:QAM720925 QKI720924:QKI720925 QUE720924:QUE720925 REA720924:REA720925 RNW720924:RNW720925 RXS720924:RXS720925 SHO720924:SHO720925 SRK720924:SRK720925 TBG720924:TBG720925 TLC720924:TLC720925 TUY720924:TUY720925 UEU720924:UEU720925 UOQ720924:UOQ720925 UYM720924:UYM720925 VII720924:VII720925 VSE720924:VSE720925 WCA720924:WCA720925 WLW720924:WLW720925 WVS720924:WVS720925 K786460:K786461 JG786460:JG786461 TC786460:TC786461 ACY786460:ACY786461 AMU786460:AMU786461 AWQ786460:AWQ786461 BGM786460:BGM786461 BQI786460:BQI786461 CAE786460:CAE786461 CKA786460:CKA786461 CTW786460:CTW786461 DDS786460:DDS786461 DNO786460:DNO786461 DXK786460:DXK786461 EHG786460:EHG786461 ERC786460:ERC786461 FAY786460:FAY786461 FKU786460:FKU786461 FUQ786460:FUQ786461 GEM786460:GEM786461 GOI786460:GOI786461 GYE786460:GYE786461 HIA786460:HIA786461 HRW786460:HRW786461 IBS786460:IBS786461 ILO786460:ILO786461 IVK786460:IVK786461 JFG786460:JFG786461 JPC786460:JPC786461 JYY786460:JYY786461 KIU786460:KIU786461 KSQ786460:KSQ786461 LCM786460:LCM786461 LMI786460:LMI786461 LWE786460:LWE786461 MGA786460:MGA786461 MPW786460:MPW786461 MZS786460:MZS786461 NJO786460:NJO786461 NTK786460:NTK786461 ODG786460:ODG786461 ONC786460:ONC786461 OWY786460:OWY786461 PGU786460:PGU786461 PQQ786460:PQQ786461 QAM786460:QAM786461 QKI786460:QKI786461 QUE786460:QUE786461 REA786460:REA786461 RNW786460:RNW786461 RXS786460:RXS786461 SHO786460:SHO786461 SRK786460:SRK786461 TBG786460:TBG786461 TLC786460:TLC786461 TUY786460:TUY786461 UEU786460:UEU786461 UOQ786460:UOQ786461 UYM786460:UYM786461 VII786460:VII786461 VSE786460:VSE786461 WCA786460:WCA786461 WLW786460:WLW786461 WVS786460:WVS786461 K851996:K851997 JG851996:JG851997 TC851996:TC851997 ACY851996:ACY851997 AMU851996:AMU851997 AWQ851996:AWQ851997 BGM851996:BGM851997 BQI851996:BQI851997 CAE851996:CAE851997 CKA851996:CKA851997 CTW851996:CTW851997 DDS851996:DDS851997 DNO851996:DNO851997 DXK851996:DXK851997 EHG851996:EHG851997 ERC851996:ERC851997 FAY851996:FAY851997 FKU851996:FKU851997 FUQ851996:FUQ851997 GEM851996:GEM851997 GOI851996:GOI851997 GYE851996:GYE851997 HIA851996:HIA851997 HRW851996:HRW851997 IBS851996:IBS851997 ILO851996:ILO851997 IVK851996:IVK851997 JFG851996:JFG851997 JPC851996:JPC851997 JYY851996:JYY851997 KIU851996:KIU851997 KSQ851996:KSQ851997 LCM851996:LCM851997 LMI851996:LMI851997 LWE851996:LWE851997 MGA851996:MGA851997 MPW851996:MPW851997 MZS851996:MZS851997 NJO851996:NJO851997 NTK851996:NTK851997 ODG851996:ODG851997 ONC851996:ONC851997 OWY851996:OWY851997 PGU851996:PGU851997 PQQ851996:PQQ851997 QAM851996:QAM851997 QKI851996:QKI851997 QUE851996:QUE851997 REA851996:REA851997 RNW851996:RNW851997 RXS851996:RXS851997 SHO851996:SHO851997 SRK851996:SRK851997 TBG851996:TBG851997 TLC851996:TLC851997 TUY851996:TUY851997 UEU851996:UEU851997 UOQ851996:UOQ851997 UYM851996:UYM851997 VII851996:VII851997 VSE851996:VSE851997 WCA851996:WCA851997 WLW851996:WLW851997 WVS851996:WVS851997 K917532:K917533 JG917532:JG917533 TC917532:TC917533 ACY917532:ACY917533 AMU917532:AMU917533 AWQ917532:AWQ917533 BGM917532:BGM917533 BQI917532:BQI917533 CAE917532:CAE917533 CKA917532:CKA917533 CTW917532:CTW917533 DDS917532:DDS917533 DNO917532:DNO917533 DXK917532:DXK917533 EHG917532:EHG917533 ERC917532:ERC917533 FAY917532:FAY917533 FKU917532:FKU917533 FUQ917532:FUQ917533 GEM917532:GEM917533 GOI917532:GOI917533 GYE917532:GYE917533 HIA917532:HIA917533 HRW917532:HRW917533 IBS917532:IBS917533 ILO917532:ILO917533 IVK917532:IVK917533 JFG917532:JFG917533 JPC917532:JPC917533 JYY917532:JYY917533 KIU917532:KIU917533 KSQ917532:KSQ917533 LCM917532:LCM917533 LMI917532:LMI917533 LWE917532:LWE917533 MGA917532:MGA917533 MPW917532:MPW917533 MZS917532:MZS917533 NJO917532:NJO917533 NTK917532:NTK917533 ODG917532:ODG917533 ONC917532:ONC917533 OWY917532:OWY917533 PGU917532:PGU917533 PQQ917532:PQQ917533 QAM917532:QAM917533 QKI917532:QKI917533 QUE917532:QUE917533 REA917532:REA917533 RNW917532:RNW917533 RXS917532:RXS917533 SHO917532:SHO917533 SRK917532:SRK917533 TBG917532:TBG917533 TLC917532:TLC917533 TUY917532:TUY917533 UEU917532:UEU917533 UOQ917532:UOQ917533 UYM917532:UYM917533 VII917532:VII917533 VSE917532:VSE917533 WCA917532:WCA917533 WLW917532:WLW917533 WVS917532:WVS917533 K983068:K983069 JG983068:JG983069 TC983068:TC983069 ACY983068:ACY983069 AMU983068:AMU983069 AWQ983068:AWQ983069 BGM983068:BGM983069 BQI983068:BQI983069 CAE983068:CAE983069 CKA983068:CKA983069 CTW983068:CTW983069 DDS983068:DDS983069 DNO983068:DNO983069 DXK983068:DXK983069 EHG983068:EHG983069 ERC983068:ERC983069 FAY983068:FAY983069 FKU983068:FKU983069 FUQ983068:FUQ983069 GEM983068:GEM983069 GOI983068:GOI983069 GYE983068:GYE983069 HIA983068:HIA983069 HRW983068:HRW983069 IBS983068:IBS983069 ILO983068:ILO983069 IVK983068:IVK983069 JFG983068:JFG983069 JPC983068:JPC983069 JYY983068:JYY983069 KIU983068:KIU983069 KSQ983068:KSQ983069 LCM983068:LCM983069 LMI983068:LMI983069 LWE983068:LWE983069 MGA983068:MGA983069 MPW983068:MPW983069 MZS983068:MZS983069 NJO983068:NJO983069 NTK983068:NTK983069 ODG983068:ODG983069 ONC983068:ONC983069 OWY983068:OWY983069 PGU983068:PGU983069 PQQ983068:PQQ983069 QAM983068:QAM983069 QKI983068:QKI983069 QUE983068:QUE983069 REA983068:REA983069 RNW983068:RNW983069 RXS983068:RXS983069 SHO983068:SHO983069 SRK983068:SRK983069 TBG983068:TBG983069 TLC983068:TLC983069 TUY983068:TUY983069 UEU983068:UEU983069 UOQ983068:UOQ983069 UYM983068:UYM983069 VII983068:VII983069 VSE983068:VSE983069 WCA983068:WCA983069 WLW983068:WLW983069 WVS983068:WVS983069 WLW983072:WLW983073 JG32:JG33 TC32:TC33 ACY32:ACY33 AMU32:AMU33 AWQ32:AWQ33 BGM32:BGM33 BQI32:BQI33 CAE32:CAE33 CKA32:CKA33 CTW32:CTW33 DDS32:DDS33 DNO32:DNO33 DXK32:DXK33 EHG32:EHG33 ERC32:ERC33 FAY32:FAY33 FKU32:FKU33 FUQ32:FUQ33 GEM32:GEM33 GOI32:GOI33 GYE32:GYE33 HIA32:HIA33 HRW32:HRW33 IBS32:IBS33 ILO32:ILO33 IVK32:IVK33 JFG32:JFG33 JPC32:JPC33 JYY32:JYY33 KIU32:KIU33 KSQ32:KSQ33 LCM32:LCM33 LMI32:LMI33 LWE32:LWE33 MGA32:MGA33 MPW32:MPW33 MZS32:MZS33 NJO32:NJO33 NTK32:NTK33 ODG32:ODG33 ONC32:ONC33 OWY32:OWY33 PGU32:PGU33 PQQ32:PQQ33 QAM32:QAM33 QKI32:QKI33 QUE32:QUE33 REA32:REA33 RNW32:RNW33 RXS32:RXS33 SHO32:SHO33 SRK32:SRK33 TBG32:TBG33 TLC32:TLC33 TUY32:TUY33 UEU32:UEU33 UOQ32:UOQ33 UYM32:UYM33 VII32:VII33 VSE32:VSE33 WCA32:WCA33 WLW32:WLW33 WVS32:WVS33 K65568:K65569 JG65568:JG65569 TC65568:TC65569 ACY65568:ACY65569 AMU65568:AMU65569 AWQ65568:AWQ65569 BGM65568:BGM65569 BQI65568:BQI65569 CAE65568:CAE65569 CKA65568:CKA65569 CTW65568:CTW65569 DDS65568:DDS65569 DNO65568:DNO65569 DXK65568:DXK65569 EHG65568:EHG65569 ERC65568:ERC65569 FAY65568:FAY65569 FKU65568:FKU65569 FUQ65568:FUQ65569 GEM65568:GEM65569 GOI65568:GOI65569 GYE65568:GYE65569 HIA65568:HIA65569 HRW65568:HRW65569 IBS65568:IBS65569 ILO65568:ILO65569 IVK65568:IVK65569 JFG65568:JFG65569 JPC65568:JPC65569 JYY65568:JYY65569 KIU65568:KIU65569 KSQ65568:KSQ65569 LCM65568:LCM65569 LMI65568:LMI65569 LWE65568:LWE65569 MGA65568:MGA65569 MPW65568:MPW65569 MZS65568:MZS65569 NJO65568:NJO65569 NTK65568:NTK65569 ODG65568:ODG65569 ONC65568:ONC65569 OWY65568:OWY65569 PGU65568:PGU65569 PQQ65568:PQQ65569 QAM65568:QAM65569 QKI65568:QKI65569 QUE65568:QUE65569 REA65568:REA65569 RNW65568:RNW65569 RXS65568:RXS65569 SHO65568:SHO65569 SRK65568:SRK65569 TBG65568:TBG65569 TLC65568:TLC65569 TUY65568:TUY65569 UEU65568:UEU65569 UOQ65568:UOQ65569 UYM65568:UYM65569 VII65568:VII65569 VSE65568:VSE65569 WCA65568:WCA65569 WLW65568:WLW65569 WVS65568:WVS65569 K131104:K131105 JG131104:JG131105 TC131104:TC131105 ACY131104:ACY131105 AMU131104:AMU131105 AWQ131104:AWQ131105 BGM131104:BGM131105 BQI131104:BQI131105 CAE131104:CAE131105 CKA131104:CKA131105 CTW131104:CTW131105 DDS131104:DDS131105 DNO131104:DNO131105 DXK131104:DXK131105 EHG131104:EHG131105 ERC131104:ERC131105 FAY131104:FAY131105 FKU131104:FKU131105 FUQ131104:FUQ131105 GEM131104:GEM131105 GOI131104:GOI131105 GYE131104:GYE131105 HIA131104:HIA131105 HRW131104:HRW131105 IBS131104:IBS131105 ILO131104:ILO131105 IVK131104:IVK131105 JFG131104:JFG131105 JPC131104:JPC131105 JYY131104:JYY131105 KIU131104:KIU131105 KSQ131104:KSQ131105 LCM131104:LCM131105 LMI131104:LMI131105 LWE131104:LWE131105 MGA131104:MGA131105 MPW131104:MPW131105 MZS131104:MZS131105 NJO131104:NJO131105 NTK131104:NTK131105 ODG131104:ODG131105 ONC131104:ONC131105 OWY131104:OWY131105 PGU131104:PGU131105 PQQ131104:PQQ131105 QAM131104:QAM131105 QKI131104:QKI131105 QUE131104:QUE131105 REA131104:REA131105 RNW131104:RNW131105 RXS131104:RXS131105 SHO131104:SHO131105 SRK131104:SRK131105 TBG131104:TBG131105 TLC131104:TLC131105 TUY131104:TUY131105 UEU131104:UEU131105 UOQ131104:UOQ131105 UYM131104:UYM131105 VII131104:VII131105 VSE131104:VSE131105 WCA131104:WCA131105 WLW131104:WLW131105 WVS131104:WVS131105 K196640:K196641 JG196640:JG196641 TC196640:TC196641 ACY196640:ACY196641 AMU196640:AMU196641 AWQ196640:AWQ196641 BGM196640:BGM196641 BQI196640:BQI196641 CAE196640:CAE196641 CKA196640:CKA196641 CTW196640:CTW196641 DDS196640:DDS196641 DNO196640:DNO196641 DXK196640:DXK196641 EHG196640:EHG196641 ERC196640:ERC196641 FAY196640:FAY196641 FKU196640:FKU196641 FUQ196640:FUQ196641 GEM196640:GEM196641 GOI196640:GOI196641 GYE196640:GYE196641 HIA196640:HIA196641 HRW196640:HRW196641 IBS196640:IBS196641 ILO196640:ILO196641 IVK196640:IVK196641 JFG196640:JFG196641 JPC196640:JPC196641 JYY196640:JYY196641 KIU196640:KIU196641 KSQ196640:KSQ196641 LCM196640:LCM196641 LMI196640:LMI196641 LWE196640:LWE196641 MGA196640:MGA196641 MPW196640:MPW196641 MZS196640:MZS196641 NJO196640:NJO196641 NTK196640:NTK196641 ODG196640:ODG196641 ONC196640:ONC196641 OWY196640:OWY196641 PGU196640:PGU196641 PQQ196640:PQQ196641 QAM196640:QAM196641 QKI196640:QKI196641 QUE196640:QUE196641 REA196640:REA196641 RNW196640:RNW196641 RXS196640:RXS196641 SHO196640:SHO196641 SRK196640:SRK196641 TBG196640:TBG196641 TLC196640:TLC196641 TUY196640:TUY196641 UEU196640:UEU196641 UOQ196640:UOQ196641 UYM196640:UYM196641 VII196640:VII196641 VSE196640:VSE196641 WCA196640:WCA196641 WLW196640:WLW196641 WVS196640:WVS196641 K262176:K262177 JG262176:JG262177 TC262176:TC262177 ACY262176:ACY262177 AMU262176:AMU262177 AWQ262176:AWQ262177 BGM262176:BGM262177 BQI262176:BQI262177 CAE262176:CAE262177 CKA262176:CKA262177 CTW262176:CTW262177 DDS262176:DDS262177 DNO262176:DNO262177 DXK262176:DXK262177 EHG262176:EHG262177 ERC262176:ERC262177 FAY262176:FAY262177 FKU262176:FKU262177 FUQ262176:FUQ262177 GEM262176:GEM262177 GOI262176:GOI262177 GYE262176:GYE262177 HIA262176:HIA262177 HRW262176:HRW262177 IBS262176:IBS262177 ILO262176:ILO262177 IVK262176:IVK262177 JFG262176:JFG262177 JPC262176:JPC262177 JYY262176:JYY262177 KIU262176:KIU262177 KSQ262176:KSQ262177 LCM262176:LCM262177 LMI262176:LMI262177 LWE262176:LWE262177 MGA262176:MGA262177 MPW262176:MPW262177 MZS262176:MZS262177 NJO262176:NJO262177 NTK262176:NTK262177 ODG262176:ODG262177 ONC262176:ONC262177 OWY262176:OWY262177 PGU262176:PGU262177 PQQ262176:PQQ262177 QAM262176:QAM262177 QKI262176:QKI262177 QUE262176:QUE262177 REA262176:REA262177 RNW262176:RNW262177 RXS262176:RXS262177 SHO262176:SHO262177 SRK262176:SRK262177 TBG262176:TBG262177 TLC262176:TLC262177 TUY262176:TUY262177 UEU262176:UEU262177 UOQ262176:UOQ262177 UYM262176:UYM262177 VII262176:VII262177 VSE262176:VSE262177 WCA262176:WCA262177 WLW262176:WLW262177 WVS262176:WVS262177 K327712:K327713 JG327712:JG327713 TC327712:TC327713 ACY327712:ACY327713 AMU327712:AMU327713 AWQ327712:AWQ327713 BGM327712:BGM327713 BQI327712:BQI327713 CAE327712:CAE327713 CKA327712:CKA327713 CTW327712:CTW327713 DDS327712:DDS327713 DNO327712:DNO327713 DXK327712:DXK327713 EHG327712:EHG327713 ERC327712:ERC327713 FAY327712:FAY327713 FKU327712:FKU327713 FUQ327712:FUQ327713 GEM327712:GEM327713 GOI327712:GOI327713 GYE327712:GYE327713 HIA327712:HIA327713 HRW327712:HRW327713 IBS327712:IBS327713 ILO327712:ILO327713 IVK327712:IVK327713 JFG327712:JFG327713 JPC327712:JPC327713 JYY327712:JYY327713 KIU327712:KIU327713 KSQ327712:KSQ327713 LCM327712:LCM327713 LMI327712:LMI327713 LWE327712:LWE327713 MGA327712:MGA327713 MPW327712:MPW327713 MZS327712:MZS327713 NJO327712:NJO327713 NTK327712:NTK327713 ODG327712:ODG327713 ONC327712:ONC327713 OWY327712:OWY327713 PGU327712:PGU327713 PQQ327712:PQQ327713 QAM327712:QAM327713 QKI327712:QKI327713 QUE327712:QUE327713 REA327712:REA327713 RNW327712:RNW327713 RXS327712:RXS327713 SHO327712:SHO327713 SRK327712:SRK327713 TBG327712:TBG327713 TLC327712:TLC327713 TUY327712:TUY327713 UEU327712:UEU327713 UOQ327712:UOQ327713 UYM327712:UYM327713 VII327712:VII327713 VSE327712:VSE327713 WCA327712:WCA327713 WLW327712:WLW327713 WVS327712:WVS327713 K393248:K393249 JG393248:JG393249 TC393248:TC393249 ACY393248:ACY393249 AMU393248:AMU393249 AWQ393248:AWQ393249 BGM393248:BGM393249 BQI393248:BQI393249 CAE393248:CAE393249 CKA393248:CKA393249 CTW393248:CTW393249 DDS393248:DDS393249 DNO393248:DNO393249 DXK393248:DXK393249 EHG393248:EHG393249 ERC393248:ERC393249 FAY393248:FAY393249 FKU393248:FKU393249 FUQ393248:FUQ393249 GEM393248:GEM393249 GOI393248:GOI393249 GYE393248:GYE393249 HIA393248:HIA393249 HRW393248:HRW393249 IBS393248:IBS393249 ILO393248:ILO393249 IVK393248:IVK393249 JFG393248:JFG393249 JPC393248:JPC393249 JYY393248:JYY393249 KIU393248:KIU393249 KSQ393248:KSQ393249 LCM393248:LCM393249 LMI393248:LMI393249 LWE393248:LWE393249 MGA393248:MGA393249 MPW393248:MPW393249 MZS393248:MZS393249 NJO393248:NJO393249 NTK393248:NTK393249 ODG393248:ODG393249 ONC393248:ONC393249 OWY393248:OWY393249 PGU393248:PGU393249 PQQ393248:PQQ393249 QAM393248:QAM393249 QKI393248:QKI393249 QUE393248:QUE393249 REA393248:REA393249 RNW393248:RNW393249 RXS393248:RXS393249 SHO393248:SHO393249 SRK393248:SRK393249 TBG393248:TBG393249 TLC393248:TLC393249 TUY393248:TUY393249 UEU393248:UEU393249 UOQ393248:UOQ393249 UYM393248:UYM393249 VII393248:VII393249 VSE393248:VSE393249 WCA393248:WCA393249 WLW393248:WLW393249 WVS393248:WVS393249 K458784:K458785 JG458784:JG458785 TC458784:TC458785 ACY458784:ACY458785 AMU458784:AMU458785 AWQ458784:AWQ458785 BGM458784:BGM458785 BQI458784:BQI458785 CAE458784:CAE458785 CKA458784:CKA458785 CTW458784:CTW458785 DDS458784:DDS458785 DNO458784:DNO458785 DXK458784:DXK458785 EHG458784:EHG458785 ERC458784:ERC458785 FAY458784:FAY458785 FKU458784:FKU458785 FUQ458784:FUQ458785 GEM458784:GEM458785 GOI458784:GOI458785 GYE458784:GYE458785 HIA458784:HIA458785 HRW458784:HRW458785 IBS458784:IBS458785 ILO458784:ILO458785 IVK458784:IVK458785 JFG458784:JFG458785 JPC458784:JPC458785 JYY458784:JYY458785 KIU458784:KIU458785 KSQ458784:KSQ458785 LCM458784:LCM458785 LMI458784:LMI458785 LWE458784:LWE458785 MGA458784:MGA458785 MPW458784:MPW458785 MZS458784:MZS458785 NJO458784:NJO458785 NTK458784:NTK458785 ODG458784:ODG458785 ONC458784:ONC458785 OWY458784:OWY458785 PGU458784:PGU458785 PQQ458784:PQQ458785 QAM458784:QAM458785 QKI458784:QKI458785 QUE458784:QUE458785 REA458784:REA458785 RNW458784:RNW458785 RXS458784:RXS458785 SHO458784:SHO458785 SRK458784:SRK458785 TBG458784:TBG458785 TLC458784:TLC458785 TUY458784:TUY458785 UEU458784:UEU458785 UOQ458784:UOQ458785 UYM458784:UYM458785 VII458784:VII458785 VSE458784:VSE458785 WCA458784:WCA458785 WLW458784:WLW458785 WVS458784:WVS458785 K524320:K524321 JG524320:JG524321 TC524320:TC524321 ACY524320:ACY524321 AMU524320:AMU524321 AWQ524320:AWQ524321 BGM524320:BGM524321 BQI524320:BQI524321 CAE524320:CAE524321 CKA524320:CKA524321 CTW524320:CTW524321 DDS524320:DDS524321 DNO524320:DNO524321 DXK524320:DXK524321 EHG524320:EHG524321 ERC524320:ERC524321 FAY524320:FAY524321 FKU524320:FKU524321 FUQ524320:FUQ524321 GEM524320:GEM524321 GOI524320:GOI524321 GYE524320:GYE524321 HIA524320:HIA524321 HRW524320:HRW524321 IBS524320:IBS524321 ILO524320:ILO524321 IVK524320:IVK524321 JFG524320:JFG524321 JPC524320:JPC524321 JYY524320:JYY524321 KIU524320:KIU524321 KSQ524320:KSQ524321 LCM524320:LCM524321 LMI524320:LMI524321 LWE524320:LWE524321 MGA524320:MGA524321 MPW524320:MPW524321 MZS524320:MZS524321 NJO524320:NJO524321 NTK524320:NTK524321 ODG524320:ODG524321 ONC524320:ONC524321 OWY524320:OWY524321 PGU524320:PGU524321 PQQ524320:PQQ524321 QAM524320:QAM524321 QKI524320:QKI524321 QUE524320:QUE524321 REA524320:REA524321 RNW524320:RNW524321 RXS524320:RXS524321 SHO524320:SHO524321 SRK524320:SRK524321 TBG524320:TBG524321 TLC524320:TLC524321 TUY524320:TUY524321 UEU524320:UEU524321 UOQ524320:UOQ524321 UYM524320:UYM524321 VII524320:VII524321 VSE524320:VSE524321 WCA524320:WCA524321 WLW524320:WLW524321 WVS524320:WVS524321 K589856:K589857 JG589856:JG589857 TC589856:TC589857 ACY589856:ACY589857 AMU589856:AMU589857 AWQ589856:AWQ589857 BGM589856:BGM589857 BQI589856:BQI589857 CAE589856:CAE589857 CKA589856:CKA589857 CTW589856:CTW589857 DDS589856:DDS589857 DNO589856:DNO589857 DXK589856:DXK589857 EHG589856:EHG589857 ERC589856:ERC589857 FAY589856:FAY589857 FKU589856:FKU589857 FUQ589856:FUQ589857 GEM589856:GEM589857 GOI589856:GOI589857 GYE589856:GYE589857 HIA589856:HIA589857 HRW589856:HRW589857 IBS589856:IBS589857 ILO589856:ILO589857 IVK589856:IVK589857 JFG589856:JFG589857 JPC589856:JPC589857 JYY589856:JYY589857 KIU589856:KIU589857 KSQ589856:KSQ589857 LCM589856:LCM589857 LMI589856:LMI589857 LWE589856:LWE589857 MGA589856:MGA589857 MPW589856:MPW589857 MZS589856:MZS589857 NJO589856:NJO589857 NTK589856:NTK589857 ODG589856:ODG589857 ONC589856:ONC589857 OWY589856:OWY589857 PGU589856:PGU589857 PQQ589856:PQQ589857 QAM589856:QAM589857 QKI589856:QKI589857 QUE589856:QUE589857 REA589856:REA589857 RNW589856:RNW589857 RXS589856:RXS589857 SHO589856:SHO589857 SRK589856:SRK589857 TBG589856:TBG589857 TLC589856:TLC589857 TUY589856:TUY589857 UEU589856:UEU589857 UOQ589856:UOQ589857 UYM589856:UYM589857 VII589856:VII589857 VSE589856:VSE589857 WCA589856:WCA589857 WLW589856:WLW589857 WVS589856:WVS589857 K655392:K655393 JG655392:JG655393 TC655392:TC655393 ACY655392:ACY655393 AMU655392:AMU655393 AWQ655392:AWQ655393 BGM655392:BGM655393 BQI655392:BQI655393 CAE655392:CAE655393 CKA655392:CKA655393 CTW655392:CTW655393 DDS655392:DDS655393 DNO655392:DNO655393 DXK655392:DXK655393 EHG655392:EHG655393 ERC655392:ERC655393 FAY655392:FAY655393 FKU655392:FKU655393 FUQ655392:FUQ655393 GEM655392:GEM655393 GOI655392:GOI655393 GYE655392:GYE655393 HIA655392:HIA655393 HRW655392:HRW655393 IBS655392:IBS655393 ILO655392:ILO655393 IVK655392:IVK655393 JFG655392:JFG655393 JPC655392:JPC655393 JYY655392:JYY655393 KIU655392:KIU655393 KSQ655392:KSQ655393 LCM655392:LCM655393 LMI655392:LMI655393 LWE655392:LWE655393 MGA655392:MGA655393 MPW655392:MPW655393 MZS655392:MZS655393 NJO655392:NJO655393 NTK655392:NTK655393 ODG655392:ODG655393 ONC655392:ONC655393 OWY655392:OWY655393 PGU655392:PGU655393 PQQ655392:PQQ655393 QAM655392:QAM655393 QKI655392:QKI655393 QUE655392:QUE655393 REA655392:REA655393 RNW655392:RNW655393 RXS655392:RXS655393 SHO655392:SHO655393 SRK655392:SRK655393 TBG655392:TBG655393 TLC655392:TLC655393 TUY655392:TUY655393 UEU655392:UEU655393 UOQ655392:UOQ655393 UYM655392:UYM655393 VII655392:VII655393 VSE655392:VSE655393 WCA655392:WCA655393 WLW655392:WLW655393 WVS655392:WVS655393 K720928:K720929 JG720928:JG720929 TC720928:TC720929 ACY720928:ACY720929 AMU720928:AMU720929 AWQ720928:AWQ720929 BGM720928:BGM720929 BQI720928:BQI720929 CAE720928:CAE720929 CKA720928:CKA720929 CTW720928:CTW720929 DDS720928:DDS720929 DNO720928:DNO720929 DXK720928:DXK720929 EHG720928:EHG720929 ERC720928:ERC720929 FAY720928:FAY720929 FKU720928:FKU720929 FUQ720928:FUQ720929 GEM720928:GEM720929 GOI720928:GOI720929 GYE720928:GYE720929 HIA720928:HIA720929 HRW720928:HRW720929 IBS720928:IBS720929 ILO720928:ILO720929 IVK720928:IVK720929 JFG720928:JFG720929 JPC720928:JPC720929 JYY720928:JYY720929 KIU720928:KIU720929 KSQ720928:KSQ720929 LCM720928:LCM720929 LMI720928:LMI720929 LWE720928:LWE720929 MGA720928:MGA720929 MPW720928:MPW720929 MZS720928:MZS720929 NJO720928:NJO720929 NTK720928:NTK720929 ODG720928:ODG720929 ONC720928:ONC720929 OWY720928:OWY720929 PGU720928:PGU720929 PQQ720928:PQQ720929 QAM720928:QAM720929 QKI720928:QKI720929 QUE720928:QUE720929 REA720928:REA720929 RNW720928:RNW720929 RXS720928:RXS720929 SHO720928:SHO720929 SRK720928:SRK720929 TBG720928:TBG720929 TLC720928:TLC720929 TUY720928:TUY720929 UEU720928:UEU720929 UOQ720928:UOQ720929 UYM720928:UYM720929 VII720928:VII720929 VSE720928:VSE720929 WCA720928:WCA720929 WLW720928:WLW720929 WVS720928:WVS720929 K786464:K786465 JG786464:JG786465 TC786464:TC786465 ACY786464:ACY786465 AMU786464:AMU786465 AWQ786464:AWQ786465 BGM786464:BGM786465 BQI786464:BQI786465 CAE786464:CAE786465 CKA786464:CKA786465 CTW786464:CTW786465 DDS786464:DDS786465 DNO786464:DNO786465 DXK786464:DXK786465 EHG786464:EHG786465 ERC786464:ERC786465 FAY786464:FAY786465 FKU786464:FKU786465 FUQ786464:FUQ786465 GEM786464:GEM786465 GOI786464:GOI786465 GYE786464:GYE786465 HIA786464:HIA786465 HRW786464:HRW786465 IBS786464:IBS786465 ILO786464:ILO786465 IVK786464:IVK786465 JFG786464:JFG786465 JPC786464:JPC786465 JYY786464:JYY786465 KIU786464:KIU786465 KSQ786464:KSQ786465 LCM786464:LCM786465 LMI786464:LMI786465 LWE786464:LWE786465 MGA786464:MGA786465 MPW786464:MPW786465 MZS786464:MZS786465 NJO786464:NJO786465 NTK786464:NTK786465 ODG786464:ODG786465 ONC786464:ONC786465 OWY786464:OWY786465 PGU786464:PGU786465 PQQ786464:PQQ786465 QAM786464:QAM786465 QKI786464:QKI786465 QUE786464:QUE786465 REA786464:REA786465 RNW786464:RNW786465 RXS786464:RXS786465 SHO786464:SHO786465 SRK786464:SRK786465 TBG786464:TBG786465 TLC786464:TLC786465 TUY786464:TUY786465 UEU786464:UEU786465 UOQ786464:UOQ786465 UYM786464:UYM786465 VII786464:VII786465 VSE786464:VSE786465 WCA786464:WCA786465 WLW786464:WLW786465 WVS786464:WVS786465 K852000:K852001 JG852000:JG852001 TC852000:TC852001 ACY852000:ACY852001 AMU852000:AMU852001 AWQ852000:AWQ852001 BGM852000:BGM852001 BQI852000:BQI852001 CAE852000:CAE852001 CKA852000:CKA852001 CTW852000:CTW852001 DDS852000:DDS852001 DNO852000:DNO852001 DXK852000:DXK852001 EHG852000:EHG852001 ERC852000:ERC852001 FAY852000:FAY852001 FKU852000:FKU852001 FUQ852000:FUQ852001 GEM852000:GEM852001 GOI852000:GOI852001 GYE852000:GYE852001 HIA852000:HIA852001 HRW852000:HRW852001 IBS852000:IBS852001 ILO852000:ILO852001 IVK852000:IVK852001 JFG852000:JFG852001 JPC852000:JPC852001 JYY852000:JYY852001 KIU852000:KIU852001 KSQ852000:KSQ852001 LCM852000:LCM852001 LMI852000:LMI852001 LWE852000:LWE852001 MGA852000:MGA852001 MPW852000:MPW852001 MZS852000:MZS852001 NJO852000:NJO852001 NTK852000:NTK852001 ODG852000:ODG852001 ONC852000:ONC852001 OWY852000:OWY852001 PGU852000:PGU852001 PQQ852000:PQQ852001 QAM852000:QAM852001 QKI852000:QKI852001 QUE852000:QUE852001 REA852000:REA852001 RNW852000:RNW852001 RXS852000:RXS852001 SHO852000:SHO852001 SRK852000:SRK852001 TBG852000:TBG852001 TLC852000:TLC852001 TUY852000:TUY852001 UEU852000:UEU852001 UOQ852000:UOQ852001 UYM852000:UYM852001 VII852000:VII852001 VSE852000:VSE852001 WCA852000:WCA852001 WLW852000:WLW852001 WVS852000:WVS852001 K917536:K917537 JG917536:JG917537 TC917536:TC917537 ACY917536:ACY917537 AMU917536:AMU917537 AWQ917536:AWQ917537 BGM917536:BGM917537 BQI917536:BQI917537 CAE917536:CAE917537 CKA917536:CKA917537 CTW917536:CTW917537 DDS917536:DDS917537 DNO917536:DNO917537 DXK917536:DXK917537 EHG917536:EHG917537 ERC917536:ERC917537 FAY917536:FAY917537 FKU917536:FKU917537 FUQ917536:FUQ917537 GEM917536:GEM917537 GOI917536:GOI917537 GYE917536:GYE917537 HIA917536:HIA917537 HRW917536:HRW917537 IBS917536:IBS917537 ILO917536:ILO917537 IVK917536:IVK917537 JFG917536:JFG917537 JPC917536:JPC917537 JYY917536:JYY917537 KIU917536:KIU917537 KSQ917536:KSQ917537 LCM917536:LCM917537 LMI917536:LMI917537 LWE917536:LWE917537 MGA917536:MGA917537 MPW917536:MPW917537 MZS917536:MZS917537 NJO917536:NJO917537 NTK917536:NTK917537 ODG917536:ODG917537 ONC917536:ONC917537 OWY917536:OWY917537 PGU917536:PGU917537 PQQ917536:PQQ917537 QAM917536:QAM917537 QKI917536:QKI917537 QUE917536:QUE917537 REA917536:REA917537 RNW917536:RNW917537 RXS917536:RXS917537 SHO917536:SHO917537 SRK917536:SRK917537 TBG917536:TBG917537 TLC917536:TLC917537 TUY917536:TUY917537 UEU917536:UEU917537 UOQ917536:UOQ917537 UYM917536:UYM917537 VII917536:VII917537 VSE917536:VSE917537 WCA917536:WCA917537 WLW917536:WLW917537 WVS917536:WVS917537 K983072:K983073 JG983072:JG983073 TC983072:TC983073 ACY983072:ACY983073 AMU983072:AMU983073 AWQ983072:AWQ983073 BGM983072:BGM983073 BQI983072:BQI983073 CAE983072:CAE983073 CKA983072:CKA983073 CTW983072:CTW983073 DDS983072:DDS983073 DNO983072:DNO983073 DXK983072:DXK983073 EHG983072:EHG983073 ERC983072:ERC983073 FAY983072:FAY983073 FKU983072:FKU983073 FUQ983072:FUQ983073 GEM983072:GEM983073 GOI983072:GOI983073 GYE983072:GYE983073 HIA983072:HIA983073 HRW983072:HRW983073 IBS983072:IBS983073 ILO983072:ILO983073 IVK983072:IVK983073 JFG983072:JFG983073 JPC983072:JPC983073 JYY983072:JYY983073 KIU983072:KIU983073 KSQ983072:KSQ983073 LCM983072:LCM983073 LMI983072:LMI983073 LWE983072:LWE983073 MGA983072:MGA983073 MPW983072:MPW983073 MZS983072:MZS983073 NJO983072:NJO983073 NTK983072:NTK983073 ODG983072:ODG983073 ONC983072:ONC983073 OWY983072:OWY983073 PGU983072:PGU983073 PQQ983072:PQQ983073 QAM983072:QAM983073 QKI983072:QKI983073 QUE983072:QUE983073 REA983072:REA983073 RNW983072:RNW983073 RXS983072:RXS983073 SHO983072:SHO983073 SRK983072:SRK983073 TBG983072:TBG983073 TLC983072:TLC983073 TUY983072:TUY983073 UEU983072:UEU983073 UOQ983072:UOQ983073 UYM983072:UYM983073 VII983072:VII983073 VSE983072:VSE983073 WCA983072:WCA983073" xr:uid="{EB79A821-DA66-44D9-82F0-78A2C9291F04}">
      <formula1>Partida</formula1>
    </dataValidation>
    <dataValidation type="list" allowBlank="1" showInputMessage="1" showErrorMessage="1" sqref="WVT983098:WVT983109 JH58:JH69 TD58:TD69 ACZ58:ACZ69 AMV58:AMV69 AWR58:AWR69 BGN58:BGN69 BQJ58:BQJ69 CAF58:CAF69 CKB58:CKB69 CTX58:CTX69 DDT58:DDT69 DNP58:DNP69 DXL58:DXL69 EHH58:EHH69 ERD58:ERD69 FAZ58:FAZ69 FKV58:FKV69 FUR58:FUR69 GEN58:GEN69 GOJ58:GOJ69 GYF58:GYF69 HIB58:HIB69 HRX58:HRX69 IBT58:IBT69 ILP58:ILP69 IVL58:IVL69 JFH58:JFH69 JPD58:JPD69 JYZ58:JYZ69 KIV58:KIV69 KSR58:KSR69 LCN58:LCN69 LMJ58:LMJ69 LWF58:LWF69 MGB58:MGB69 MPX58:MPX69 MZT58:MZT69 NJP58:NJP69 NTL58:NTL69 ODH58:ODH69 OND58:OND69 OWZ58:OWZ69 PGV58:PGV69 PQR58:PQR69 QAN58:QAN69 QKJ58:QKJ69 QUF58:QUF69 REB58:REB69 RNX58:RNX69 RXT58:RXT69 SHP58:SHP69 SRL58:SRL69 TBH58:TBH69 TLD58:TLD69 TUZ58:TUZ69 UEV58:UEV69 UOR58:UOR69 UYN58:UYN69 VIJ58:VIJ69 VSF58:VSF69 WCB58:WCB69 WLX58:WLX69 WVT58:WVT69 L65594:L65605 JH65594:JH65605 TD65594:TD65605 ACZ65594:ACZ65605 AMV65594:AMV65605 AWR65594:AWR65605 BGN65594:BGN65605 BQJ65594:BQJ65605 CAF65594:CAF65605 CKB65594:CKB65605 CTX65594:CTX65605 DDT65594:DDT65605 DNP65594:DNP65605 DXL65594:DXL65605 EHH65594:EHH65605 ERD65594:ERD65605 FAZ65594:FAZ65605 FKV65594:FKV65605 FUR65594:FUR65605 GEN65594:GEN65605 GOJ65594:GOJ65605 GYF65594:GYF65605 HIB65594:HIB65605 HRX65594:HRX65605 IBT65594:IBT65605 ILP65594:ILP65605 IVL65594:IVL65605 JFH65594:JFH65605 JPD65594:JPD65605 JYZ65594:JYZ65605 KIV65594:KIV65605 KSR65594:KSR65605 LCN65594:LCN65605 LMJ65594:LMJ65605 LWF65594:LWF65605 MGB65594:MGB65605 MPX65594:MPX65605 MZT65594:MZT65605 NJP65594:NJP65605 NTL65594:NTL65605 ODH65594:ODH65605 OND65594:OND65605 OWZ65594:OWZ65605 PGV65594:PGV65605 PQR65594:PQR65605 QAN65594:QAN65605 QKJ65594:QKJ65605 QUF65594:QUF65605 REB65594:REB65605 RNX65594:RNX65605 RXT65594:RXT65605 SHP65594:SHP65605 SRL65594:SRL65605 TBH65594:TBH65605 TLD65594:TLD65605 TUZ65594:TUZ65605 UEV65594:UEV65605 UOR65594:UOR65605 UYN65594:UYN65605 VIJ65594:VIJ65605 VSF65594:VSF65605 WCB65594:WCB65605 WLX65594:WLX65605 WVT65594:WVT65605 L131130:L131141 JH131130:JH131141 TD131130:TD131141 ACZ131130:ACZ131141 AMV131130:AMV131141 AWR131130:AWR131141 BGN131130:BGN131141 BQJ131130:BQJ131141 CAF131130:CAF131141 CKB131130:CKB131141 CTX131130:CTX131141 DDT131130:DDT131141 DNP131130:DNP131141 DXL131130:DXL131141 EHH131130:EHH131141 ERD131130:ERD131141 FAZ131130:FAZ131141 FKV131130:FKV131141 FUR131130:FUR131141 GEN131130:GEN131141 GOJ131130:GOJ131141 GYF131130:GYF131141 HIB131130:HIB131141 HRX131130:HRX131141 IBT131130:IBT131141 ILP131130:ILP131141 IVL131130:IVL131141 JFH131130:JFH131141 JPD131130:JPD131141 JYZ131130:JYZ131141 KIV131130:KIV131141 KSR131130:KSR131141 LCN131130:LCN131141 LMJ131130:LMJ131141 LWF131130:LWF131141 MGB131130:MGB131141 MPX131130:MPX131141 MZT131130:MZT131141 NJP131130:NJP131141 NTL131130:NTL131141 ODH131130:ODH131141 OND131130:OND131141 OWZ131130:OWZ131141 PGV131130:PGV131141 PQR131130:PQR131141 QAN131130:QAN131141 QKJ131130:QKJ131141 QUF131130:QUF131141 REB131130:REB131141 RNX131130:RNX131141 RXT131130:RXT131141 SHP131130:SHP131141 SRL131130:SRL131141 TBH131130:TBH131141 TLD131130:TLD131141 TUZ131130:TUZ131141 UEV131130:UEV131141 UOR131130:UOR131141 UYN131130:UYN131141 VIJ131130:VIJ131141 VSF131130:VSF131141 WCB131130:WCB131141 WLX131130:WLX131141 WVT131130:WVT131141 L196666:L196677 JH196666:JH196677 TD196666:TD196677 ACZ196666:ACZ196677 AMV196666:AMV196677 AWR196666:AWR196677 BGN196666:BGN196677 BQJ196666:BQJ196677 CAF196666:CAF196677 CKB196666:CKB196677 CTX196666:CTX196677 DDT196666:DDT196677 DNP196666:DNP196677 DXL196666:DXL196677 EHH196666:EHH196677 ERD196666:ERD196677 FAZ196666:FAZ196677 FKV196666:FKV196677 FUR196666:FUR196677 GEN196666:GEN196677 GOJ196666:GOJ196677 GYF196666:GYF196677 HIB196666:HIB196677 HRX196666:HRX196677 IBT196666:IBT196677 ILP196666:ILP196677 IVL196666:IVL196677 JFH196666:JFH196677 JPD196666:JPD196677 JYZ196666:JYZ196677 KIV196666:KIV196677 KSR196666:KSR196677 LCN196666:LCN196677 LMJ196666:LMJ196677 LWF196666:LWF196677 MGB196666:MGB196677 MPX196666:MPX196677 MZT196666:MZT196677 NJP196666:NJP196677 NTL196666:NTL196677 ODH196666:ODH196677 OND196666:OND196677 OWZ196666:OWZ196677 PGV196666:PGV196677 PQR196666:PQR196677 QAN196666:QAN196677 QKJ196666:QKJ196677 QUF196666:QUF196677 REB196666:REB196677 RNX196666:RNX196677 RXT196666:RXT196677 SHP196666:SHP196677 SRL196666:SRL196677 TBH196666:TBH196677 TLD196666:TLD196677 TUZ196666:TUZ196677 UEV196666:UEV196677 UOR196666:UOR196677 UYN196666:UYN196677 VIJ196666:VIJ196677 VSF196666:VSF196677 WCB196666:WCB196677 WLX196666:WLX196677 WVT196666:WVT196677 L262202:L262213 JH262202:JH262213 TD262202:TD262213 ACZ262202:ACZ262213 AMV262202:AMV262213 AWR262202:AWR262213 BGN262202:BGN262213 BQJ262202:BQJ262213 CAF262202:CAF262213 CKB262202:CKB262213 CTX262202:CTX262213 DDT262202:DDT262213 DNP262202:DNP262213 DXL262202:DXL262213 EHH262202:EHH262213 ERD262202:ERD262213 FAZ262202:FAZ262213 FKV262202:FKV262213 FUR262202:FUR262213 GEN262202:GEN262213 GOJ262202:GOJ262213 GYF262202:GYF262213 HIB262202:HIB262213 HRX262202:HRX262213 IBT262202:IBT262213 ILP262202:ILP262213 IVL262202:IVL262213 JFH262202:JFH262213 JPD262202:JPD262213 JYZ262202:JYZ262213 KIV262202:KIV262213 KSR262202:KSR262213 LCN262202:LCN262213 LMJ262202:LMJ262213 LWF262202:LWF262213 MGB262202:MGB262213 MPX262202:MPX262213 MZT262202:MZT262213 NJP262202:NJP262213 NTL262202:NTL262213 ODH262202:ODH262213 OND262202:OND262213 OWZ262202:OWZ262213 PGV262202:PGV262213 PQR262202:PQR262213 QAN262202:QAN262213 QKJ262202:QKJ262213 QUF262202:QUF262213 REB262202:REB262213 RNX262202:RNX262213 RXT262202:RXT262213 SHP262202:SHP262213 SRL262202:SRL262213 TBH262202:TBH262213 TLD262202:TLD262213 TUZ262202:TUZ262213 UEV262202:UEV262213 UOR262202:UOR262213 UYN262202:UYN262213 VIJ262202:VIJ262213 VSF262202:VSF262213 WCB262202:WCB262213 WLX262202:WLX262213 WVT262202:WVT262213 L327738:L327749 JH327738:JH327749 TD327738:TD327749 ACZ327738:ACZ327749 AMV327738:AMV327749 AWR327738:AWR327749 BGN327738:BGN327749 BQJ327738:BQJ327749 CAF327738:CAF327749 CKB327738:CKB327749 CTX327738:CTX327749 DDT327738:DDT327749 DNP327738:DNP327749 DXL327738:DXL327749 EHH327738:EHH327749 ERD327738:ERD327749 FAZ327738:FAZ327749 FKV327738:FKV327749 FUR327738:FUR327749 GEN327738:GEN327749 GOJ327738:GOJ327749 GYF327738:GYF327749 HIB327738:HIB327749 HRX327738:HRX327749 IBT327738:IBT327749 ILP327738:ILP327749 IVL327738:IVL327749 JFH327738:JFH327749 JPD327738:JPD327749 JYZ327738:JYZ327749 KIV327738:KIV327749 KSR327738:KSR327749 LCN327738:LCN327749 LMJ327738:LMJ327749 LWF327738:LWF327749 MGB327738:MGB327749 MPX327738:MPX327749 MZT327738:MZT327749 NJP327738:NJP327749 NTL327738:NTL327749 ODH327738:ODH327749 OND327738:OND327749 OWZ327738:OWZ327749 PGV327738:PGV327749 PQR327738:PQR327749 QAN327738:QAN327749 QKJ327738:QKJ327749 QUF327738:QUF327749 REB327738:REB327749 RNX327738:RNX327749 RXT327738:RXT327749 SHP327738:SHP327749 SRL327738:SRL327749 TBH327738:TBH327749 TLD327738:TLD327749 TUZ327738:TUZ327749 UEV327738:UEV327749 UOR327738:UOR327749 UYN327738:UYN327749 VIJ327738:VIJ327749 VSF327738:VSF327749 WCB327738:WCB327749 WLX327738:WLX327749 WVT327738:WVT327749 L393274:L393285 JH393274:JH393285 TD393274:TD393285 ACZ393274:ACZ393285 AMV393274:AMV393285 AWR393274:AWR393285 BGN393274:BGN393285 BQJ393274:BQJ393285 CAF393274:CAF393285 CKB393274:CKB393285 CTX393274:CTX393285 DDT393274:DDT393285 DNP393274:DNP393285 DXL393274:DXL393285 EHH393274:EHH393285 ERD393274:ERD393285 FAZ393274:FAZ393285 FKV393274:FKV393285 FUR393274:FUR393285 GEN393274:GEN393285 GOJ393274:GOJ393285 GYF393274:GYF393285 HIB393274:HIB393285 HRX393274:HRX393285 IBT393274:IBT393285 ILP393274:ILP393285 IVL393274:IVL393285 JFH393274:JFH393285 JPD393274:JPD393285 JYZ393274:JYZ393285 KIV393274:KIV393285 KSR393274:KSR393285 LCN393274:LCN393285 LMJ393274:LMJ393285 LWF393274:LWF393285 MGB393274:MGB393285 MPX393274:MPX393285 MZT393274:MZT393285 NJP393274:NJP393285 NTL393274:NTL393285 ODH393274:ODH393285 OND393274:OND393285 OWZ393274:OWZ393285 PGV393274:PGV393285 PQR393274:PQR393285 QAN393274:QAN393285 QKJ393274:QKJ393285 QUF393274:QUF393285 REB393274:REB393285 RNX393274:RNX393285 RXT393274:RXT393285 SHP393274:SHP393285 SRL393274:SRL393285 TBH393274:TBH393285 TLD393274:TLD393285 TUZ393274:TUZ393285 UEV393274:UEV393285 UOR393274:UOR393285 UYN393274:UYN393285 VIJ393274:VIJ393285 VSF393274:VSF393285 WCB393274:WCB393285 WLX393274:WLX393285 WVT393274:WVT393285 L458810:L458821 JH458810:JH458821 TD458810:TD458821 ACZ458810:ACZ458821 AMV458810:AMV458821 AWR458810:AWR458821 BGN458810:BGN458821 BQJ458810:BQJ458821 CAF458810:CAF458821 CKB458810:CKB458821 CTX458810:CTX458821 DDT458810:DDT458821 DNP458810:DNP458821 DXL458810:DXL458821 EHH458810:EHH458821 ERD458810:ERD458821 FAZ458810:FAZ458821 FKV458810:FKV458821 FUR458810:FUR458821 GEN458810:GEN458821 GOJ458810:GOJ458821 GYF458810:GYF458821 HIB458810:HIB458821 HRX458810:HRX458821 IBT458810:IBT458821 ILP458810:ILP458821 IVL458810:IVL458821 JFH458810:JFH458821 JPD458810:JPD458821 JYZ458810:JYZ458821 KIV458810:KIV458821 KSR458810:KSR458821 LCN458810:LCN458821 LMJ458810:LMJ458821 LWF458810:LWF458821 MGB458810:MGB458821 MPX458810:MPX458821 MZT458810:MZT458821 NJP458810:NJP458821 NTL458810:NTL458821 ODH458810:ODH458821 OND458810:OND458821 OWZ458810:OWZ458821 PGV458810:PGV458821 PQR458810:PQR458821 QAN458810:QAN458821 QKJ458810:QKJ458821 QUF458810:QUF458821 REB458810:REB458821 RNX458810:RNX458821 RXT458810:RXT458821 SHP458810:SHP458821 SRL458810:SRL458821 TBH458810:TBH458821 TLD458810:TLD458821 TUZ458810:TUZ458821 UEV458810:UEV458821 UOR458810:UOR458821 UYN458810:UYN458821 VIJ458810:VIJ458821 VSF458810:VSF458821 WCB458810:WCB458821 WLX458810:WLX458821 WVT458810:WVT458821 L524346:L524357 JH524346:JH524357 TD524346:TD524357 ACZ524346:ACZ524357 AMV524346:AMV524357 AWR524346:AWR524357 BGN524346:BGN524357 BQJ524346:BQJ524357 CAF524346:CAF524357 CKB524346:CKB524357 CTX524346:CTX524357 DDT524346:DDT524357 DNP524346:DNP524357 DXL524346:DXL524357 EHH524346:EHH524357 ERD524346:ERD524357 FAZ524346:FAZ524357 FKV524346:FKV524357 FUR524346:FUR524357 GEN524346:GEN524357 GOJ524346:GOJ524357 GYF524346:GYF524357 HIB524346:HIB524357 HRX524346:HRX524357 IBT524346:IBT524357 ILP524346:ILP524357 IVL524346:IVL524357 JFH524346:JFH524357 JPD524346:JPD524357 JYZ524346:JYZ524357 KIV524346:KIV524357 KSR524346:KSR524357 LCN524346:LCN524357 LMJ524346:LMJ524357 LWF524346:LWF524357 MGB524346:MGB524357 MPX524346:MPX524357 MZT524346:MZT524357 NJP524346:NJP524357 NTL524346:NTL524357 ODH524346:ODH524357 OND524346:OND524357 OWZ524346:OWZ524357 PGV524346:PGV524357 PQR524346:PQR524357 QAN524346:QAN524357 QKJ524346:QKJ524357 QUF524346:QUF524357 REB524346:REB524357 RNX524346:RNX524357 RXT524346:RXT524357 SHP524346:SHP524357 SRL524346:SRL524357 TBH524346:TBH524357 TLD524346:TLD524357 TUZ524346:TUZ524357 UEV524346:UEV524357 UOR524346:UOR524357 UYN524346:UYN524357 VIJ524346:VIJ524357 VSF524346:VSF524357 WCB524346:WCB524357 WLX524346:WLX524357 WVT524346:WVT524357 L589882:L589893 JH589882:JH589893 TD589882:TD589893 ACZ589882:ACZ589893 AMV589882:AMV589893 AWR589882:AWR589893 BGN589882:BGN589893 BQJ589882:BQJ589893 CAF589882:CAF589893 CKB589882:CKB589893 CTX589882:CTX589893 DDT589882:DDT589893 DNP589882:DNP589893 DXL589882:DXL589893 EHH589882:EHH589893 ERD589882:ERD589893 FAZ589882:FAZ589893 FKV589882:FKV589893 FUR589882:FUR589893 GEN589882:GEN589893 GOJ589882:GOJ589893 GYF589882:GYF589893 HIB589882:HIB589893 HRX589882:HRX589893 IBT589882:IBT589893 ILP589882:ILP589893 IVL589882:IVL589893 JFH589882:JFH589893 JPD589882:JPD589893 JYZ589882:JYZ589893 KIV589882:KIV589893 KSR589882:KSR589893 LCN589882:LCN589893 LMJ589882:LMJ589893 LWF589882:LWF589893 MGB589882:MGB589893 MPX589882:MPX589893 MZT589882:MZT589893 NJP589882:NJP589893 NTL589882:NTL589893 ODH589882:ODH589893 OND589882:OND589893 OWZ589882:OWZ589893 PGV589882:PGV589893 PQR589882:PQR589893 QAN589882:QAN589893 QKJ589882:QKJ589893 QUF589882:QUF589893 REB589882:REB589893 RNX589882:RNX589893 RXT589882:RXT589893 SHP589882:SHP589893 SRL589882:SRL589893 TBH589882:TBH589893 TLD589882:TLD589893 TUZ589882:TUZ589893 UEV589882:UEV589893 UOR589882:UOR589893 UYN589882:UYN589893 VIJ589882:VIJ589893 VSF589882:VSF589893 WCB589882:WCB589893 WLX589882:WLX589893 WVT589882:WVT589893 L655418:L655429 JH655418:JH655429 TD655418:TD655429 ACZ655418:ACZ655429 AMV655418:AMV655429 AWR655418:AWR655429 BGN655418:BGN655429 BQJ655418:BQJ655429 CAF655418:CAF655429 CKB655418:CKB655429 CTX655418:CTX655429 DDT655418:DDT655429 DNP655418:DNP655429 DXL655418:DXL655429 EHH655418:EHH655429 ERD655418:ERD655429 FAZ655418:FAZ655429 FKV655418:FKV655429 FUR655418:FUR655429 GEN655418:GEN655429 GOJ655418:GOJ655429 GYF655418:GYF655429 HIB655418:HIB655429 HRX655418:HRX655429 IBT655418:IBT655429 ILP655418:ILP655429 IVL655418:IVL655429 JFH655418:JFH655429 JPD655418:JPD655429 JYZ655418:JYZ655429 KIV655418:KIV655429 KSR655418:KSR655429 LCN655418:LCN655429 LMJ655418:LMJ655429 LWF655418:LWF655429 MGB655418:MGB655429 MPX655418:MPX655429 MZT655418:MZT655429 NJP655418:NJP655429 NTL655418:NTL655429 ODH655418:ODH655429 OND655418:OND655429 OWZ655418:OWZ655429 PGV655418:PGV655429 PQR655418:PQR655429 QAN655418:QAN655429 QKJ655418:QKJ655429 QUF655418:QUF655429 REB655418:REB655429 RNX655418:RNX655429 RXT655418:RXT655429 SHP655418:SHP655429 SRL655418:SRL655429 TBH655418:TBH655429 TLD655418:TLD655429 TUZ655418:TUZ655429 UEV655418:UEV655429 UOR655418:UOR655429 UYN655418:UYN655429 VIJ655418:VIJ655429 VSF655418:VSF655429 WCB655418:WCB655429 WLX655418:WLX655429 WVT655418:WVT655429 L720954:L720965 JH720954:JH720965 TD720954:TD720965 ACZ720954:ACZ720965 AMV720954:AMV720965 AWR720954:AWR720965 BGN720954:BGN720965 BQJ720954:BQJ720965 CAF720954:CAF720965 CKB720954:CKB720965 CTX720954:CTX720965 DDT720954:DDT720965 DNP720954:DNP720965 DXL720954:DXL720965 EHH720954:EHH720965 ERD720954:ERD720965 FAZ720954:FAZ720965 FKV720954:FKV720965 FUR720954:FUR720965 GEN720954:GEN720965 GOJ720954:GOJ720965 GYF720954:GYF720965 HIB720954:HIB720965 HRX720954:HRX720965 IBT720954:IBT720965 ILP720954:ILP720965 IVL720954:IVL720965 JFH720954:JFH720965 JPD720954:JPD720965 JYZ720954:JYZ720965 KIV720954:KIV720965 KSR720954:KSR720965 LCN720954:LCN720965 LMJ720954:LMJ720965 LWF720954:LWF720965 MGB720954:MGB720965 MPX720954:MPX720965 MZT720954:MZT720965 NJP720954:NJP720965 NTL720954:NTL720965 ODH720954:ODH720965 OND720954:OND720965 OWZ720954:OWZ720965 PGV720954:PGV720965 PQR720954:PQR720965 QAN720954:QAN720965 QKJ720954:QKJ720965 QUF720954:QUF720965 REB720954:REB720965 RNX720954:RNX720965 RXT720954:RXT720965 SHP720954:SHP720965 SRL720954:SRL720965 TBH720954:TBH720965 TLD720954:TLD720965 TUZ720954:TUZ720965 UEV720954:UEV720965 UOR720954:UOR720965 UYN720954:UYN720965 VIJ720954:VIJ720965 VSF720954:VSF720965 WCB720954:WCB720965 WLX720954:WLX720965 WVT720954:WVT720965 L786490:L786501 JH786490:JH786501 TD786490:TD786501 ACZ786490:ACZ786501 AMV786490:AMV786501 AWR786490:AWR786501 BGN786490:BGN786501 BQJ786490:BQJ786501 CAF786490:CAF786501 CKB786490:CKB786501 CTX786490:CTX786501 DDT786490:DDT786501 DNP786490:DNP786501 DXL786490:DXL786501 EHH786490:EHH786501 ERD786490:ERD786501 FAZ786490:FAZ786501 FKV786490:FKV786501 FUR786490:FUR786501 GEN786490:GEN786501 GOJ786490:GOJ786501 GYF786490:GYF786501 HIB786490:HIB786501 HRX786490:HRX786501 IBT786490:IBT786501 ILP786490:ILP786501 IVL786490:IVL786501 JFH786490:JFH786501 JPD786490:JPD786501 JYZ786490:JYZ786501 KIV786490:KIV786501 KSR786490:KSR786501 LCN786490:LCN786501 LMJ786490:LMJ786501 LWF786490:LWF786501 MGB786490:MGB786501 MPX786490:MPX786501 MZT786490:MZT786501 NJP786490:NJP786501 NTL786490:NTL786501 ODH786490:ODH786501 OND786490:OND786501 OWZ786490:OWZ786501 PGV786490:PGV786501 PQR786490:PQR786501 QAN786490:QAN786501 QKJ786490:QKJ786501 QUF786490:QUF786501 REB786490:REB786501 RNX786490:RNX786501 RXT786490:RXT786501 SHP786490:SHP786501 SRL786490:SRL786501 TBH786490:TBH786501 TLD786490:TLD786501 TUZ786490:TUZ786501 UEV786490:UEV786501 UOR786490:UOR786501 UYN786490:UYN786501 VIJ786490:VIJ786501 VSF786490:VSF786501 WCB786490:WCB786501 WLX786490:WLX786501 WVT786490:WVT786501 L852026:L852037 JH852026:JH852037 TD852026:TD852037 ACZ852026:ACZ852037 AMV852026:AMV852037 AWR852026:AWR852037 BGN852026:BGN852037 BQJ852026:BQJ852037 CAF852026:CAF852037 CKB852026:CKB852037 CTX852026:CTX852037 DDT852026:DDT852037 DNP852026:DNP852037 DXL852026:DXL852037 EHH852026:EHH852037 ERD852026:ERD852037 FAZ852026:FAZ852037 FKV852026:FKV852037 FUR852026:FUR852037 GEN852026:GEN852037 GOJ852026:GOJ852037 GYF852026:GYF852037 HIB852026:HIB852037 HRX852026:HRX852037 IBT852026:IBT852037 ILP852026:ILP852037 IVL852026:IVL852037 JFH852026:JFH852037 JPD852026:JPD852037 JYZ852026:JYZ852037 KIV852026:KIV852037 KSR852026:KSR852037 LCN852026:LCN852037 LMJ852026:LMJ852037 LWF852026:LWF852037 MGB852026:MGB852037 MPX852026:MPX852037 MZT852026:MZT852037 NJP852026:NJP852037 NTL852026:NTL852037 ODH852026:ODH852037 OND852026:OND852037 OWZ852026:OWZ852037 PGV852026:PGV852037 PQR852026:PQR852037 QAN852026:QAN852037 QKJ852026:QKJ852037 QUF852026:QUF852037 REB852026:REB852037 RNX852026:RNX852037 RXT852026:RXT852037 SHP852026:SHP852037 SRL852026:SRL852037 TBH852026:TBH852037 TLD852026:TLD852037 TUZ852026:TUZ852037 UEV852026:UEV852037 UOR852026:UOR852037 UYN852026:UYN852037 VIJ852026:VIJ852037 VSF852026:VSF852037 WCB852026:WCB852037 WLX852026:WLX852037 WVT852026:WVT852037 L917562:L917573 JH917562:JH917573 TD917562:TD917573 ACZ917562:ACZ917573 AMV917562:AMV917573 AWR917562:AWR917573 BGN917562:BGN917573 BQJ917562:BQJ917573 CAF917562:CAF917573 CKB917562:CKB917573 CTX917562:CTX917573 DDT917562:DDT917573 DNP917562:DNP917573 DXL917562:DXL917573 EHH917562:EHH917573 ERD917562:ERD917573 FAZ917562:FAZ917573 FKV917562:FKV917573 FUR917562:FUR917573 GEN917562:GEN917573 GOJ917562:GOJ917573 GYF917562:GYF917573 HIB917562:HIB917573 HRX917562:HRX917573 IBT917562:IBT917573 ILP917562:ILP917573 IVL917562:IVL917573 JFH917562:JFH917573 JPD917562:JPD917573 JYZ917562:JYZ917573 KIV917562:KIV917573 KSR917562:KSR917573 LCN917562:LCN917573 LMJ917562:LMJ917573 LWF917562:LWF917573 MGB917562:MGB917573 MPX917562:MPX917573 MZT917562:MZT917573 NJP917562:NJP917573 NTL917562:NTL917573 ODH917562:ODH917573 OND917562:OND917573 OWZ917562:OWZ917573 PGV917562:PGV917573 PQR917562:PQR917573 QAN917562:QAN917573 QKJ917562:QKJ917573 QUF917562:QUF917573 REB917562:REB917573 RNX917562:RNX917573 RXT917562:RXT917573 SHP917562:SHP917573 SRL917562:SRL917573 TBH917562:TBH917573 TLD917562:TLD917573 TUZ917562:TUZ917573 UEV917562:UEV917573 UOR917562:UOR917573 UYN917562:UYN917573 VIJ917562:VIJ917573 VSF917562:VSF917573 WCB917562:WCB917573 WLX917562:WLX917573 WVT917562:WVT917573 L983098:L983109 JH983098:JH983109 TD983098:TD983109 ACZ983098:ACZ983109 AMV983098:AMV983109 AWR983098:AWR983109 BGN983098:BGN983109 BQJ983098:BQJ983109 CAF983098:CAF983109 CKB983098:CKB983109 CTX983098:CTX983109 DDT983098:DDT983109 DNP983098:DNP983109 DXL983098:DXL983109 EHH983098:EHH983109 ERD983098:ERD983109 FAZ983098:FAZ983109 FKV983098:FKV983109 FUR983098:FUR983109 GEN983098:GEN983109 GOJ983098:GOJ983109 GYF983098:GYF983109 HIB983098:HIB983109 HRX983098:HRX983109 IBT983098:IBT983109 ILP983098:ILP983109 IVL983098:IVL983109 JFH983098:JFH983109 JPD983098:JPD983109 JYZ983098:JYZ983109 KIV983098:KIV983109 KSR983098:KSR983109 LCN983098:LCN983109 LMJ983098:LMJ983109 LWF983098:LWF983109 MGB983098:MGB983109 MPX983098:MPX983109 MZT983098:MZT983109 NJP983098:NJP983109 NTL983098:NTL983109 ODH983098:ODH983109 OND983098:OND983109 OWZ983098:OWZ983109 PGV983098:PGV983109 PQR983098:PQR983109 QAN983098:QAN983109 QKJ983098:QKJ983109 QUF983098:QUF983109 REB983098:REB983109 RNX983098:RNX983109 RXT983098:RXT983109 SHP983098:SHP983109 SRL983098:SRL983109 TBH983098:TBH983109 TLD983098:TLD983109 TUZ983098:TUZ983109 UEV983098:UEV983109 UOR983098:UOR983109 UYN983098:UYN983109 VIJ983098:VIJ983109 VSF983098:VSF983109 WCB983098:WCB983109 WLX983098:WLX983109" xr:uid="{1175CBB6-4671-4272-9FCA-4F8955BA84C0}">
      <formula1>clasificacion</formula1>
    </dataValidation>
    <dataValidation type="list" allowBlank="1" showInputMessage="1" showErrorMessage="1" sqref="WBZ983108 JF58:JG67 TB58:TC67 ACX58:ACY67 AMT58:AMU67 AWP58:AWQ67 BGL58:BGM67 BQH58:BQI67 CAD58:CAE67 CJZ58:CKA67 CTV58:CTW67 DDR58:DDS67 DNN58:DNO67 DXJ58:DXK67 EHF58:EHG67 ERB58:ERC67 FAX58:FAY67 FKT58:FKU67 FUP58:FUQ67 GEL58:GEM67 GOH58:GOI67 GYD58:GYE67 HHZ58:HIA67 HRV58:HRW67 IBR58:IBS67 ILN58:ILO67 IVJ58:IVK67 JFF58:JFG67 JPB58:JPC67 JYX58:JYY67 KIT58:KIU67 KSP58:KSQ67 LCL58:LCM67 LMH58:LMI67 LWD58:LWE67 MFZ58:MGA67 MPV58:MPW67 MZR58:MZS67 NJN58:NJO67 NTJ58:NTK67 ODF58:ODG67 ONB58:ONC67 OWX58:OWY67 PGT58:PGU67 PQP58:PQQ67 QAL58:QAM67 QKH58:QKI67 QUD58:QUE67 RDZ58:REA67 RNV58:RNW67 RXR58:RXS67 SHN58:SHO67 SRJ58:SRK67 TBF58:TBG67 TLB58:TLC67 TUX58:TUY67 UET58:UEU67 UOP58:UOQ67 UYL58:UYM67 VIH58:VII67 VSD58:VSE67 WBZ58:WCA67 WLV58:WLW67 WVR58:WVS67 J65594:K65603 JF65594:JG65603 TB65594:TC65603 ACX65594:ACY65603 AMT65594:AMU65603 AWP65594:AWQ65603 BGL65594:BGM65603 BQH65594:BQI65603 CAD65594:CAE65603 CJZ65594:CKA65603 CTV65594:CTW65603 DDR65594:DDS65603 DNN65594:DNO65603 DXJ65594:DXK65603 EHF65594:EHG65603 ERB65594:ERC65603 FAX65594:FAY65603 FKT65594:FKU65603 FUP65594:FUQ65603 GEL65594:GEM65603 GOH65594:GOI65603 GYD65594:GYE65603 HHZ65594:HIA65603 HRV65594:HRW65603 IBR65594:IBS65603 ILN65594:ILO65603 IVJ65594:IVK65603 JFF65594:JFG65603 JPB65594:JPC65603 JYX65594:JYY65603 KIT65594:KIU65603 KSP65594:KSQ65603 LCL65594:LCM65603 LMH65594:LMI65603 LWD65594:LWE65603 MFZ65594:MGA65603 MPV65594:MPW65603 MZR65594:MZS65603 NJN65594:NJO65603 NTJ65594:NTK65603 ODF65594:ODG65603 ONB65594:ONC65603 OWX65594:OWY65603 PGT65594:PGU65603 PQP65594:PQQ65603 QAL65594:QAM65603 QKH65594:QKI65603 QUD65594:QUE65603 RDZ65594:REA65603 RNV65594:RNW65603 RXR65594:RXS65603 SHN65594:SHO65603 SRJ65594:SRK65603 TBF65594:TBG65603 TLB65594:TLC65603 TUX65594:TUY65603 UET65594:UEU65603 UOP65594:UOQ65603 UYL65594:UYM65603 VIH65594:VII65603 VSD65594:VSE65603 WBZ65594:WCA65603 WLV65594:WLW65603 WVR65594:WVS65603 J131130:K131139 JF131130:JG131139 TB131130:TC131139 ACX131130:ACY131139 AMT131130:AMU131139 AWP131130:AWQ131139 BGL131130:BGM131139 BQH131130:BQI131139 CAD131130:CAE131139 CJZ131130:CKA131139 CTV131130:CTW131139 DDR131130:DDS131139 DNN131130:DNO131139 DXJ131130:DXK131139 EHF131130:EHG131139 ERB131130:ERC131139 FAX131130:FAY131139 FKT131130:FKU131139 FUP131130:FUQ131139 GEL131130:GEM131139 GOH131130:GOI131139 GYD131130:GYE131139 HHZ131130:HIA131139 HRV131130:HRW131139 IBR131130:IBS131139 ILN131130:ILO131139 IVJ131130:IVK131139 JFF131130:JFG131139 JPB131130:JPC131139 JYX131130:JYY131139 KIT131130:KIU131139 KSP131130:KSQ131139 LCL131130:LCM131139 LMH131130:LMI131139 LWD131130:LWE131139 MFZ131130:MGA131139 MPV131130:MPW131139 MZR131130:MZS131139 NJN131130:NJO131139 NTJ131130:NTK131139 ODF131130:ODG131139 ONB131130:ONC131139 OWX131130:OWY131139 PGT131130:PGU131139 PQP131130:PQQ131139 QAL131130:QAM131139 QKH131130:QKI131139 QUD131130:QUE131139 RDZ131130:REA131139 RNV131130:RNW131139 RXR131130:RXS131139 SHN131130:SHO131139 SRJ131130:SRK131139 TBF131130:TBG131139 TLB131130:TLC131139 TUX131130:TUY131139 UET131130:UEU131139 UOP131130:UOQ131139 UYL131130:UYM131139 VIH131130:VII131139 VSD131130:VSE131139 WBZ131130:WCA131139 WLV131130:WLW131139 WVR131130:WVS131139 J196666:K196675 JF196666:JG196675 TB196666:TC196675 ACX196666:ACY196675 AMT196666:AMU196675 AWP196666:AWQ196675 BGL196666:BGM196675 BQH196666:BQI196675 CAD196666:CAE196675 CJZ196666:CKA196675 CTV196666:CTW196675 DDR196666:DDS196675 DNN196666:DNO196675 DXJ196666:DXK196675 EHF196666:EHG196675 ERB196666:ERC196675 FAX196666:FAY196675 FKT196666:FKU196675 FUP196666:FUQ196675 GEL196666:GEM196675 GOH196666:GOI196675 GYD196666:GYE196675 HHZ196666:HIA196675 HRV196666:HRW196675 IBR196666:IBS196675 ILN196666:ILO196675 IVJ196666:IVK196675 JFF196666:JFG196675 JPB196666:JPC196675 JYX196666:JYY196675 KIT196666:KIU196675 KSP196666:KSQ196675 LCL196666:LCM196675 LMH196666:LMI196675 LWD196666:LWE196675 MFZ196666:MGA196675 MPV196666:MPW196675 MZR196666:MZS196675 NJN196666:NJO196675 NTJ196666:NTK196675 ODF196666:ODG196675 ONB196666:ONC196675 OWX196666:OWY196675 PGT196666:PGU196675 PQP196666:PQQ196675 QAL196666:QAM196675 QKH196666:QKI196675 QUD196666:QUE196675 RDZ196666:REA196675 RNV196666:RNW196675 RXR196666:RXS196675 SHN196666:SHO196675 SRJ196666:SRK196675 TBF196666:TBG196675 TLB196666:TLC196675 TUX196666:TUY196675 UET196666:UEU196675 UOP196666:UOQ196675 UYL196666:UYM196675 VIH196666:VII196675 VSD196666:VSE196675 WBZ196666:WCA196675 WLV196666:WLW196675 WVR196666:WVS196675 J262202:K262211 JF262202:JG262211 TB262202:TC262211 ACX262202:ACY262211 AMT262202:AMU262211 AWP262202:AWQ262211 BGL262202:BGM262211 BQH262202:BQI262211 CAD262202:CAE262211 CJZ262202:CKA262211 CTV262202:CTW262211 DDR262202:DDS262211 DNN262202:DNO262211 DXJ262202:DXK262211 EHF262202:EHG262211 ERB262202:ERC262211 FAX262202:FAY262211 FKT262202:FKU262211 FUP262202:FUQ262211 GEL262202:GEM262211 GOH262202:GOI262211 GYD262202:GYE262211 HHZ262202:HIA262211 HRV262202:HRW262211 IBR262202:IBS262211 ILN262202:ILO262211 IVJ262202:IVK262211 JFF262202:JFG262211 JPB262202:JPC262211 JYX262202:JYY262211 KIT262202:KIU262211 KSP262202:KSQ262211 LCL262202:LCM262211 LMH262202:LMI262211 LWD262202:LWE262211 MFZ262202:MGA262211 MPV262202:MPW262211 MZR262202:MZS262211 NJN262202:NJO262211 NTJ262202:NTK262211 ODF262202:ODG262211 ONB262202:ONC262211 OWX262202:OWY262211 PGT262202:PGU262211 PQP262202:PQQ262211 QAL262202:QAM262211 QKH262202:QKI262211 QUD262202:QUE262211 RDZ262202:REA262211 RNV262202:RNW262211 RXR262202:RXS262211 SHN262202:SHO262211 SRJ262202:SRK262211 TBF262202:TBG262211 TLB262202:TLC262211 TUX262202:TUY262211 UET262202:UEU262211 UOP262202:UOQ262211 UYL262202:UYM262211 VIH262202:VII262211 VSD262202:VSE262211 WBZ262202:WCA262211 WLV262202:WLW262211 WVR262202:WVS262211 J327738:K327747 JF327738:JG327747 TB327738:TC327747 ACX327738:ACY327747 AMT327738:AMU327747 AWP327738:AWQ327747 BGL327738:BGM327747 BQH327738:BQI327747 CAD327738:CAE327747 CJZ327738:CKA327747 CTV327738:CTW327747 DDR327738:DDS327747 DNN327738:DNO327747 DXJ327738:DXK327747 EHF327738:EHG327747 ERB327738:ERC327747 FAX327738:FAY327747 FKT327738:FKU327747 FUP327738:FUQ327747 GEL327738:GEM327747 GOH327738:GOI327747 GYD327738:GYE327747 HHZ327738:HIA327747 HRV327738:HRW327747 IBR327738:IBS327747 ILN327738:ILO327747 IVJ327738:IVK327747 JFF327738:JFG327747 JPB327738:JPC327747 JYX327738:JYY327747 KIT327738:KIU327747 KSP327738:KSQ327747 LCL327738:LCM327747 LMH327738:LMI327747 LWD327738:LWE327747 MFZ327738:MGA327747 MPV327738:MPW327747 MZR327738:MZS327747 NJN327738:NJO327747 NTJ327738:NTK327747 ODF327738:ODG327747 ONB327738:ONC327747 OWX327738:OWY327747 PGT327738:PGU327747 PQP327738:PQQ327747 QAL327738:QAM327747 QKH327738:QKI327747 QUD327738:QUE327747 RDZ327738:REA327747 RNV327738:RNW327747 RXR327738:RXS327747 SHN327738:SHO327747 SRJ327738:SRK327747 TBF327738:TBG327747 TLB327738:TLC327747 TUX327738:TUY327747 UET327738:UEU327747 UOP327738:UOQ327747 UYL327738:UYM327747 VIH327738:VII327747 VSD327738:VSE327747 WBZ327738:WCA327747 WLV327738:WLW327747 WVR327738:WVS327747 J393274:K393283 JF393274:JG393283 TB393274:TC393283 ACX393274:ACY393283 AMT393274:AMU393283 AWP393274:AWQ393283 BGL393274:BGM393283 BQH393274:BQI393283 CAD393274:CAE393283 CJZ393274:CKA393283 CTV393274:CTW393283 DDR393274:DDS393283 DNN393274:DNO393283 DXJ393274:DXK393283 EHF393274:EHG393283 ERB393274:ERC393283 FAX393274:FAY393283 FKT393274:FKU393283 FUP393274:FUQ393283 GEL393274:GEM393283 GOH393274:GOI393283 GYD393274:GYE393283 HHZ393274:HIA393283 HRV393274:HRW393283 IBR393274:IBS393283 ILN393274:ILO393283 IVJ393274:IVK393283 JFF393274:JFG393283 JPB393274:JPC393283 JYX393274:JYY393283 KIT393274:KIU393283 KSP393274:KSQ393283 LCL393274:LCM393283 LMH393274:LMI393283 LWD393274:LWE393283 MFZ393274:MGA393283 MPV393274:MPW393283 MZR393274:MZS393283 NJN393274:NJO393283 NTJ393274:NTK393283 ODF393274:ODG393283 ONB393274:ONC393283 OWX393274:OWY393283 PGT393274:PGU393283 PQP393274:PQQ393283 QAL393274:QAM393283 QKH393274:QKI393283 QUD393274:QUE393283 RDZ393274:REA393283 RNV393274:RNW393283 RXR393274:RXS393283 SHN393274:SHO393283 SRJ393274:SRK393283 TBF393274:TBG393283 TLB393274:TLC393283 TUX393274:TUY393283 UET393274:UEU393283 UOP393274:UOQ393283 UYL393274:UYM393283 VIH393274:VII393283 VSD393274:VSE393283 WBZ393274:WCA393283 WLV393274:WLW393283 WVR393274:WVS393283 J458810:K458819 JF458810:JG458819 TB458810:TC458819 ACX458810:ACY458819 AMT458810:AMU458819 AWP458810:AWQ458819 BGL458810:BGM458819 BQH458810:BQI458819 CAD458810:CAE458819 CJZ458810:CKA458819 CTV458810:CTW458819 DDR458810:DDS458819 DNN458810:DNO458819 DXJ458810:DXK458819 EHF458810:EHG458819 ERB458810:ERC458819 FAX458810:FAY458819 FKT458810:FKU458819 FUP458810:FUQ458819 GEL458810:GEM458819 GOH458810:GOI458819 GYD458810:GYE458819 HHZ458810:HIA458819 HRV458810:HRW458819 IBR458810:IBS458819 ILN458810:ILO458819 IVJ458810:IVK458819 JFF458810:JFG458819 JPB458810:JPC458819 JYX458810:JYY458819 KIT458810:KIU458819 KSP458810:KSQ458819 LCL458810:LCM458819 LMH458810:LMI458819 LWD458810:LWE458819 MFZ458810:MGA458819 MPV458810:MPW458819 MZR458810:MZS458819 NJN458810:NJO458819 NTJ458810:NTK458819 ODF458810:ODG458819 ONB458810:ONC458819 OWX458810:OWY458819 PGT458810:PGU458819 PQP458810:PQQ458819 QAL458810:QAM458819 QKH458810:QKI458819 QUD458810:QUE458819 RDZ458810:REA458819 RNV458810:RNW458819 RXR458810:RXS458819 SHN458810:SHO458819 SRJ458810:SRK458819 TBF458810:TBG458819 TLB458810:TLC458819 TUX458810:TUY458819 UET458810:UEU458819 UOP458810:UOQ458819 UYL458810:UYM458819 VIH458810:VII458819 VSD458810:VSE458819 WBZ458810:WCA458819 WLV458810:WLW458819 WVR458810:WVS458819 J524346:K524355 JF524346:JG524355 TB524346:TC524355 ACX524346:ACY524355 AMT524346:AMU524355 AWP524346:AWQ524355 BGL524346:BGM524355 BQH524346:BQI524355 CAD524346:CAE524355 CJZ524346:CKA524355 CTV524346:CTW524355 DDR524346:DDS524355 DNN524346:DNO524355 DXJ524346:DXK524355 EHF524346:EHG524355 ERB524346:ERC524355 FAX524346:FAY524355 FKT524346:FKU524355 FUP524346:FUQ524355 GEL524346:GEM524355 GOH524346:GOI524355 GYD524346:GYE524355 HHZ524346:HIA524355 HRV524346:HRW524355 IBR524346:IBS524355 ILN524346:ILO524355 IVJ524346:IVK524355 JFF524346:JFG524355 JPB524346:JPC524355 JYX524346:JYY524355 KIT524346:KIU524355 KSP524346:KSQ524355 LCL524346:LCM524355 LMH524346:LMI524355 LWD524346:LWE524355 MFZ524346:MGA524355 MPV524346:MPW524355 MZR524346:MZS524355 NJN524346:NJO524355 NTJ524346:NTK524355 ODF524346:ODG524355 ONB524346:ONC524355 OWX524346:OWY524355 PGT524346:PGU524355 PQP524346:PQQ524355 QAL524346:QAM524355 QKH524346:QKI524355 QUD524346:QUE524355 RDZ524346:REA524355 RNV524346:RNW524355 RXR524346:RXS524355 SHN524346:SHO524355 SRJ524346:SRK524355 TBF524346:TBG524355 TLB524346:TLC524355 TUX524346:TUY524355 UET524346:UEU524355 UOP524346:UOQ524355 UYL524346:UYM524355 VIH524346:VII524355 VSD524346:VSE524355 WBZ524346:WCA524355 WLV524346:WLW524355 WVR524346:WVS524355 J589882:K589891 JF589882:JG589891 TB589882:TC589891 ACX589882:ACY589891 AMT589882:AMU589891 AWP589882:AWQ589891 BGL589882:BGM589891 BQH589882:BQI589891 CAD589882:CAE589891 CJZ589882:CKA589891 CTV589882:CTW589891 DDR589882:DDS589891 DNN589882:DNO589891 DXJ589882:DXK589891 EHF589882:EHG589891 ERB589882:ERC589891 FAX589882:FAY589891 FKT589882:FKU589891 FUP589882:FUQ589891 GEL589882:GEM589891 GOH589882:GOI589891 GYD589882:GYE589891 HHZ589882:HIA589891 HRV589882:HRW589891 IBR589882:IBS589891 ILN589882:ILO589891 IVJ589882:IVK589891 JFF589882:JFG589891 JPB589882:JPC589891 JYX589882:JYY589891 KIT589882:KIU589891 KSP589882:KSQ589891 LCL589882:LCM589891 LMH589882:LMI589891 LWD589882:LWE589891 MFZ589882:MGA589891 MPV589882:MPW589891 MZR589882:MZS589891 NJN589882:NJO589891 NTJ589882:NTK589891 ODF589882:ODG589891 ONB589882:ONC589891 OWX589882:OWY589891 PGT589882:PGU589891 PQP589882:PQQ589891 QAL589882:QAM589891 QKH589882:QKI589891 QUD589882:QUE589891 RDZ589882:REA589891 RNV589882:RNW589891 RXR589882:RXS589891 SHN589882:SHO589891 SRJ589882:SRK589891 TBF589882:TBG589891 TLB589882:TLC589891 TUX589882:TUY589891 UET589882:UEU589891 UOP589882:UOQ589891 UYL589882:UYM589891 VIH589882:VII589891 VSD589882:VSE589891 WBZ589882:WCA589891 WLV589882:WLW589891 WVR589882:WVS589891 J655418:K655427 JF655418:JG655427 TB655418:TC655427 ACX655418:ACY655427 AMT655418:AMU655427 AWP655418:AWQ655427 BGL655418:BGM655427 BQH655418:BQI655427 CAD655418:CAE655427 CJZ655418:CKA655427 CTV655418:CTW655427 DDR655418:DDS655427 DNN655418:DNO655427 DXJ655418:DXK655427 EHF655418:EHG655427 ERB655418:ERC655427 FAX655418:FAY655427 FKT655418:FKU655427 FUP655418:FUQ655427 GEL655418:GEM655427 GOH655418:GOI655427 GYD655418:GYE655427 HHZ655418:HIA655427 HRV655418:HRW655427 IBR655418:IBS655427 ILN655418:ILO655427 IVJ655418:IVK655427 JFF655418:JFG655427 JPB655418:JPC655427 JYX655418:JYY655427 KIT655418:KIU655427 KSP655418:KSQ655427 LCL655418:LCM655427 LMH655418:LMI655427 LWD655418:LWE655427 MFZ655418:MGA655427 MPV655418:MPW655427 MZR655418:MZS655427 NJN655418:NJO655427 NTJ655418:NTK655427 ODF655418:ODG655427 ONB655418:ONC655427 OWX655418:OWY655427 PGT655418:PGU655427 PQP655418:PQQ655427 QAL655418:QAM655427 QKH655418:QKI655427 QUD655418:QUE655427 RDZ655418:REA655427 RNV655418:RNW655427 RXR655418:RXS655427 SHN655418:SHO655427 SRJ655418:SRK655427 TBF655418:TBG655427 TLB655418:TLC655427 TUX655418:TUY655427 UET655418:UEU655427 UOP655418:UOQ655427 UYL655418:UYM655427 VIH655418:VII655427 VSD655418:VSE655427 WBZ655418:WCA655427 WLV655418:WLW655427 WVR655418:WVS655427 J720954:K720963 JF720954:JG720963 TB720954:TC720963 ACX720954:ACY720963 AMT720954:AMU720963 AWP720954:AWQ720963 BGL720954:BGM720963 BQH720954:BQI720963 CAD720954:CAE720963 CJZ720954:CKA720963 CTV720954:CTW720963 DDR720954:DDS720963 DNN720954:DNO720963 DXJ720954:DXK720963 EHF720954:EHG720963 ERB720954:ERC720963 FAX720954:FAY720963 FKT720954:FKU720963 FUP720954:FUQ720963 GEL720954:GEM720963 GOH720954:GOI720963 GYD720954:GYE720963 HHZ720954:HIA720963 HRV720954:HRW720963 IBR720954:IBS720963 ILN720954:ILO720963 IVJ720954:IVK720963 JFF720954:JFG720963 JPB720954:JPC720963 JYX720954:JYY720963 KIT720954:KIU720963 KSP720954:KSQ720963 LCL720954:LCM720963 LMH720954:LMI720963 LWD720954:LWE720963 MFZ720954:MGA720963 MPV720954:MPW720963 MZR720954:MZS720963 NJN720954:NJO720963 NTJ720954:NTK720963 ODF720954:ODG720963 ONB720954:ONC720963 OWX720954:OWY720963 PGT720954:PGU720963 PQP720954:PQQ720963 QAL720954:QAM720963 QKH720954:QKI720963 QUD720954:QUE720963 RDZ720954:REA720963 RNV720954:RNW720963 RXR720954:RXS720963 SHN720954:SHO720963 SRJ720954:SRK720963 TBF720954:TBG720963 TLB720954:TLC720963 TUX720954:TUY720963 UET720954:UEU720963 UOP720954:UOQ720963 UYL720954:UYM720963 VIH720954:VII720963 VSD720954:VSE720963 WBZ720954:WCA720963 WLV720954:WLW720963 WVR720954:WVS720963 J786490:K786499 JF786490:JG786499 TB786490:TC786499 ACX786490:ACY786499 AMT786490:AMU786499 AWP786490:AWQ786499 BGL786490:BGM786499 BQH786490:BQI786499 CAD786490:CAE786499 CJZ786490:CKA786499 CTV786490:CTW786499 DDR786490:DDS786499 DNN786490:DNO786499 DXJ786490:DXK786499 EHF786490:EHG786499 ERB786490:ERC786499 FAX786490:FAY786499 FKT786490:FKU786499 FUP786490:FUQ786499 GEL786490:GEM786499 GOH786490:GOI786499 GYD786490:GYE786499 HHZ786490:HIA786499 HRV786490:HRW786499 IBR786490:IBS786499 ILN786490:ILO786499 IVJ786490:IVK786499 JFF786490:JFG786499 JPB786490:JPC786499 JYX786490:JYY786499 KIT786490:KIU786499 KSP786490:KSQ786499 LCL786490:LCM786499 LMH786490:LMI786499 LWD786490:LWE786499 MFZ786490:MGA786499 MPV786490:MPW786499 MZR786490:MZS786499 NJN786490:NJO786499 NTJ786490:NTK786499 ODF786490:ODG786499 ONB786490:ONC786499 OWX786490:OWY786499 PGT786490:PGU786499 PQP786490:PQQ786499 QAL786490:QAM786499 QKH786490:QKI786499 QUD786490:QUE786499 RDZ786490:REA786499 RNV786490:RNW786499 RXR786490:RXS786499 SHN786490:SHO786499 SRJ786490:SRK786499 TBF786490:TBG786499 TLB786490:TLC786499 TUX786490:TUY786499 UET786490:UEU786499 UOP786490:UOQ786499 UYL786490:UYM786499 VIH786490:VII786499 VSD786490:VSE786499 WBZ786490:WCA786499 WLV786490:WLW786499 WVR786490:WVS786499 J852026:K852035 JF852026:JG852035 TB852026:TC852035 ACX852026:ACY852035 AMT852026:AMU852035 AWP852026:AWQ852035 BGL852026:BGM852035 BQH852026:BQI852035 CAD852026:CAE852035 CJZ852026:CKA852035 CTV852026:CTW852035 DDR852026:DDS852035 DNN852026:DNO852035 DXJ852026:DXK852035 EHF852026:EHG852035 ERB852026:ERC852035 FAX852026:FAY852035 FKT852026:FKU852035 FUP852026:FUQ852035 GEL852026:GEM852035 GOH852026:GOI852035 GYD852026:GYE852035 HHZ852026:HIA852035 HRV852026:HRW852035 IBR852026:IBS852035 ILN852026:ILO852035 IVJ852026:IVK852035 JFF852026:JFG852035 JPB852026:JPC852035 JYX852026:JYY852035 KIT852026:KIU852035 KSP852026:KSQ852035 LCL852026:LCM852035 LMH852026:LMI852035 LWD852026:LWE852035 MFZ852026:MGA852035 MPV852026:MPW852035 MZR852026:MZS852035 NJN852026:NJO852035 NTJ852026:NTK852035 ODF852026:ODG852035 ONB852026:ONC852035 OWX852026:OWY852035 PGT852026:PGU852035 PQP852026:PQQ852035 QAL852026:QAM852035 QKH852026:QKI852035 QUD852026:QUE852035 RDZ852026:REA852035 RNV852026:RNW852035 RXR852026:RXS852035 SHN852026:SHO852035 SRJ852026:SRK852035 TBF852026:TBG852035 TLB852026:TLC852035 TUX852026:TUY852035 UET852026:UEU852035 UOP852026:UOQ852035 UYL852026:UYM852035 VIH852026:VII852035 VSD852026:VSE852035 WBZ852026:WCA852035 WLV852026:WLW852035 WVR852026:WVS852035 J917562:K917571 JF917562:JG917571 TB917562:TC917571 ACX917562:ACY917571 AMT917562:AMU917571 AWP917562:AWQ917571 BGL917562:BGM917571 BQH917562:BQI917571 CAD917562:CAE917571 CJZ917562:CKA917571 CTV917562:CTW917571 DDR917562:DDS917571 DNN917562:DNO917571 DXJ917562:DXK917571 EHF917562:EHG917571 ERB917562:ERC917571 FAX917562:FAY917571 FKT917562:FKU917571 FUP917562:FUQ917571 GEL917562:GEM917571 GOH917562:GOI917571 GYD917562:GYE917571 HHZ917562:HIA917571 HRV917562:HRW917571 IBR917562:IBS917571 ILN917562:ILO917571 IVJ917562:IVK917571 JFF917562:JFG917571 JPB917562:JPC917571 JYX917562:JYY917571 KIT917562:KIU917571 KSP917562:KSQ917571 LCL917562:LCM917571 LMH917562:LMI917571 LWD917562:LWE917571 MFZ917562:MGA917571 MPV917562:MPW917571 MZR917562:MZS917571 NJN917562:NJO917571 NTJ917562:NTK917571 ODF917562:ODG917571 ONB917562:ONC917571 OWX917562:OWY917571 PGT917562:PGU917571 PQP917562:PQQ917571 QAL917562:QAM917571 QKH917562:QKI917571 QUD917562:QUE917571 RDZ917562:REA917571 RNV917562:RNW917571 RXR917562:RXS917571 SHN917562:SHO917571 SRJ917562:SRK917571 TBF917562:TBG917571 TLB917562:TLC917571 TUX917562:TUY917571 UET917562:UEU917571 UOP917562:UOQ917571 UYL917562:UYM917571 VIH917562:VII917571 VSD917562:VSE917571 WBZ917562:WCA917571 WLV917562:WLW917571 WVR917562:WVS917571 J983098:K983107 JF983098:JG983107 TB983098:TC983107 ACX983098:ACY983107 AMT983098:AMU983107 AWP983098:AWQ983107 BGL983098:BGM983107 BQH983098:BQI983107 CAD983098:CAE983107 CJZ983098:CKA983107 CTV983098:CTW983107 DDR983098:DDS983107 DNN983098:DNO983107 DXJ983098:DXK983107 EHF983098:EHG983107 ERB983098:ERC983107 FAX983098:FAY983107 FKT983098:FKU983107 FUP983098:FUQ983107 GEL983098:GEM983107 GOH983098:GOI983107 GYD983098:GYE983107 HHZ983098:HIA983107 HRV983098:HRW983107 IBR983098:IBS983107 ILN983098:ILO983107 IVJ983098:IVK983107 JFF983098:JFG983107 JPB983098:JPC983107 JYX983098:JYY983107 KIT983098:KIU983107 KSP983098:KSQ983107 LCL983098:LCM983107 LMH983098:LMI983107 LWD983098:LWE983107 MFZ983098:MGA983107 MPV983098:MPW983107 MZR983098:MZS983107 NJN983098:NJO983107 NTJ983098:NTK983107 ODF983098:ODG983107 ONB983098:ONC983107 OWX983098:OWY983107 PGT983098:PGU983107 PQP983098:PQQ983107 QAL983098:QAM983107 QKH983098:QKI983107 QUD983098:QUE983107 RDZ983098:REA983107 RNV983098:RNW983107 RXR983098:RXS983107 SHN983098:SHO983107 SRJ983098:SRK983107 TBF983098:TBG983107 TLB983098:TLC983107 TUX983098:TUY983107 UET983098:UEU983107 UOP983098:UOQ983107 UYL983098:UYM983107 VIH983098:VII983107 VSD983098:VSE983107 WBZ983098:WCA983107 WLV983098:WLW983107 WVR983098:WVS983107 WVR983108 JF69:JG85 TB69:TC85 ACX69:ACY85 AMT69:AMU85 AWP69:AWQ85 BGL69:BGM85 BQH69:BQI85 CAD69:CAE85 CJZ69:CKA85 CTV69:CTW85 DDR69:DDS85 DNN69:DNO85 DXJ69:DXK85 EHF69:EHG85 ERB69:ERC85 FAX69:FAY85 FKT69:FKU85 FUP69:FUQ85 GEL69:GEM85 GOH69:GOI85 GYD69:GYE85 HHZ69:HIA85 HRV69:HRW85 IBR69:IBS85 ILN69:ILO85 IVJ69:IVK85 JFF69:JFG85 JPB69:JPC85 JYX69:JYY85 KIT69:KIU85 KSP69:KSQ85 LCL69:LCM85 LMH69:LMI85 LWD69:LWE85 MFZ69:MGA85 MPV69:MPW85 MZR69:MZS85 NJN69:NJO85 NTJ69:NTK85 ODF69:ODG85 ONB69:ONC85 OWX69:OWY85 PGT69:PGU85 PQP69:PQQ85 QAL69:QAM85 QKH69:QKI85 QUD69:QUE85 RDZ69:REA85 RNV69:RNW85 RXR69:RXS85 SHN69:SHO85 SRJ69:SRK85 TBF69:TBG85 TLB69:TLC85 TUX69:TUY85 UET69:UEU85 UOP69:UOQ85 UYL69:UYM85 VIH69:VII85 VSD69:VSE85 WBZ69:WCA85 WLV69:WLW85 WVR69:WVS85 J65605:K65621 JF65605:JG65621 TB65605:TC65621 ACX65605:ACY65621 AMT65605:AMU65621 AWP65605:AWQ65621 BGL65605:BGM65621 BQH65605:BQI65621 CAD65605:CAE65621 CJZ65605:CKA65621 CTV65605:CTW65621 DDR65605:DDS65621 DNN65605:DNO65621 DXJ65605:DXK65621 EHF65605:EHG65621 ERB65605:ERC65621 FAX65605:FAY65621 FKT65605:FKU65621 FUP65605:FUQ65621 GEL65605:GEM65621 GOH65605:GOI65621 GYD65605:GYE65621 HHZ65605:HIA65621 HRV65605:HRW65621 IBR65605:IBS65621 ILN65605:ILO65621 IVJ65605:IVK65621 JFF65605:JFG65621 JPB65605:JPC65621 JYX65605:JYY65621 KIT65605:KIU65621 KSP65605:KSQ65621 LCL65605:LCM65621 LMH65605:LMI65621 LWD65605:LWE65621 MFZ65605:MGA65621 MPV65605:MPW65621 MZR65605:MZS65621 NJN65605:NJO65621 NTJ65605:NTK65621 ODF65605:ODG65621 ONB65605:ONC65621 OWX65605:OWY65621 PGT65605:PGU65621 PQP65605:PQQ65621 QAL65605:QAM65621 QKH65605:QKI65621 QUD65605:QUE65621 RDZ65605:REA65621 RNV65605:RNW65621 RXR65605:RXS65621 SHN65605:SHO65621 SRJ65605:SRK65621 TBF65605:TBG65621 TLB65605:TLC65621 TUX65605:TUY65621 UET65605:UEU65621 UOP65605:UOQ65621 UYL65605:UYM65621 VIH65605:VII65621 VSD65605:VSE65621 WBZ65605:WCA65621 WLV65605:WLW65621 WVR65605:WVS65621 J131141:K131157 JF131141:JG131157 TB131141:TC131157 ACX131141:ACY131157 AMT131141:AMU131157 AWP131141:AWQ131157 BGL131141:BGM131157 BQH131141:BQI131157 CAD131141:CAE131157 CJZ131141:CKA131157 CTV131141:CTW131157 DDR131141:DDS131157 DNN131141:DNO131157 DXJ131141:DXK131157 EHF131141:EHG131157 ERB131141:ERC131157 FAX131141:FAY131157 FKT131141:FKU131157 FUP131141:FUQ131157 GEL131141:GEM131157 GOH131141:GOI131157 GYD131141:GYE131157 HHZ131141:HIA131157 HRV131141:HRW131157 IBR131141:IBS131157 ILN131141:ILO131157 IVJ131141:IVK131157 JFF131141:JFG131157 JPB131141:JPC131157 JYX131141:JYY131157 KIT131141:KIU131157 KSP131141:KSQ131157 LCL131141:LCM131157 LMH131141:LMI131157 LWD131141:LWE131157 MFZ131141:MGA131157 MPV131141:MPW131157 MZR131141:MZS131157 NJN131141:NJO131157 NTJ131141:NTK131157 ODF131141:ODG131157 ONB131141:ONC131157 OWX131141:OWY131157 PGT131141:PGU131157 PQP131141:PQQ131157 QAL131141:QAM131157 QKH131141:QKI131157 QUD131141:QUE131157 RDZ131141:REA131157 RNV131141:RNW131157 RXR131141:RXS131157 SHN131141:SHO131157 SRJ131141:SRK131157 TBF131141:TBG131157 TLB131141:TLC131157 TUX131141:TUY131157 UET131141:UEU131157 UOP131141:UOQ131157 UYL131141:UYM131157 VIH131141:VII131157 VSD131141:VSE131157 WBZ131141:WCA131157 WLV131141:WLW131157 WVR131141:WVS131157 J196677:K196693 JF196677:JG196693 TB196677:TC196693 ACX196677:ACY196693 AMT196677:AMU196693 AWP196677:AWQ196693 BGL196677:BGM196693 BQH196677:BQI196693 CAD196677:CAE196693 CJZ196677:CKA196693 CTV196677:CTW196693 DDR196677:DDS196693 DNN196677:DNO196693 DXJ196677:DXK196693 EHF196677:EHG196693 ERB196677:ERC196693 FAX196677:FAY196693 FKT196677:FKU196693 FUP196677:FUQ196693 GEL196677:GEM196693 GOH196677:GOI196693 GYD196677:GYE196693 HHZ196677:HIA196693 HRV196677:HRW196693 IBR196677:IBS196693 ILN196677:ILO196693 IVJ196677:IVK196693 JFF196677:JFG196693 JPB196677:JPC196693 JYX196677:JYY196693 KIT196677:KIU196693 KSP196677:KSQ196693 LCL196677:LCM196693 LMH196677:LMI196693 LWD196677:LWE196693 MFZ196677:MGA196693 MPV196677:MPW196693 MZR196677:MZS196693 NJN196677:NJO196693 NTJ196677:NTK196693 ODF196677:ODG196693 ONB196677:ONC196693 OWX196677:OWY196693 PGT196677:PGU196693 PQP196677:PQQ196693 QAL196677:QAM196693 QKH196677:QKI196693 QUD196677:QUE196693 RDZ196677:REA196693 RNV196677:RNW196693 RXR196677:RXS196693 SHN196677:SHO196693 SRJ196677:SRK196693 TBF196677:TBG196693 TLB196677:TLC196693 TUX196677:TUY196693 UET196677:UEU196693 UOP196677:UOQ196693 UYL196677:UYM196693 VIH196677:VII196693 VSD196677:VSE196693 WBZ196677:WCA196693 WLV196677:WLW196693 WVR196677:WVS196693 J262213:K262229 JF262213:JG262229 TB262213:TC262229 ACX262213:ACY262229 AMT262213:AMU262229 AWP262213:AWQ262229 BGL262213:BGM262229 BQH262213:BQI262229 CAD262213:CAE262229 CJZ262213:CKA262229 CTV262213:CTW262229 DDR262213:DDS262229 DNN262213:DNO262229 DXJ262213:DXK262229 EHF262213:EHG262229 ERB262213:ERC262229 FAX262213:FAY262229 FKT262213:FKU262229 FUP262213:FUQ262229 GEL262213:GEM262229 GOH262213:GOI262229 GYD262213:GYE262229 HHZ262213:HIA262229 HRV262213:HRW262229 IBR262213:IBS262229 ILN262213:ILO262229 IVJ262213:IVK262229 JFF262213:JFG262229 JPB262213:JPC262229 JYX262213:JYY262229 KIT262213:KIU262229 KSP262213:KSQ262229 LCL262213:LCM262229 LMH262213:LMI262229 LWD262213:LWE262229 MFZ262213:MGA262229 MPV262213:MPW262229 MZR262213:MZS262229 NJN262213:NJO262229 NTJ262213:NTK262229 ODF262213:ODG262229 ONB262213:ONC262229 OWX262213:OWY262229 PGT262213:PGU262229 PQP262213:PQQ262229 QAL262213:QAM262229 QKH262213:QKI262229 QUD262213:QUE262229 RDZ262213:REA262229 RNV262213:RNW262229 RXR262213:RXS262229 SHN262213:SHO262229 SRJ262213:SRK262229 TBF262213:TBG262229 TLB262213:TLC262229 TUX262213:TUY262229 UET262213:UEU262229 UOP262213:UOQ262229 UYL262213:UYM262229 VIH262213:VII262229 VSD262213:VSE262229 WBZ262213:WCA262229 WLV262213:WLW262229 WVR262213:WVS262229 J327749:K327765 JF327749:JG327765 TB327749:TC327765 ACX327749:ACY327765 AMT327749:AMU327765 AWP327749:AWQ327765 BGL327749:BGM327765 BQH327749:BQI327765 CAD327749:CAE327765 CJZ327749:CKA327765 CTV327749:CTW327765 DDR327749:DDS327765 DNN327749:DNO327765 DXJ327749:DXK327765 EHF327749:EHG327765 ERB327749:ERC327765 FAX327749:FAY327765 FKT327749:FKU327765 FUP327749:FUQ327765 GEL327749:GEM327765 GOH327749:GOI327765 GYD327749:GYE327765 HHZ327749:HIA327765 HRV327749:HRW327765 IBR327749:IBS327765 ILN327749:ILO327765 IVJ327749:IVK327765 JFF327749:JFG327765 JPB327749:JPC327765 JYX327749:JYY327765 KIT327749:KIU327765 KSP327749:KSQ327765 LCL327749:LCM327765 LMH327749:LMI327765 LWD327749:LWE327765 MFZ327749:MGA327765 MPV327749:MPW327765 MZR327749:MZS327765 NJN327749:NJO327765 NTJ327749:NTK327765 ODF327749:ODG327765 ONB327749:ONC327765 OWX327749:OWY327765 PGT327749:PGU327765 PQP327749:PQQ327765 QAL327749:QAM327765 QKH327749:QKI327765 QUD327749:QUE327765 RDZ327749:REA327765 RNV327749:RNW327765 RXR327749:RXS327765 SHN327749:SHO327765 SRJ327749:SRK327765 TBF327749:TBG327765 TLB327749:TLC327765 TUX327749:TUY327765 UET327749:UEU327765 UOP327749:UOQ327765 UYL327749:UYM327765 VIH327749:VII327765 VSD327749:VSE327765 WBZ327749:WCA327765 WLV327749:WLW327765 WVR327749:WVS327765 J393285:K393301 JF393285:JG393301 TB393285:TC393301 ACX393285:ACY393301 AMT393285:AMU393301 AWP393285:AWQ393301 BGL393285:BGM393301 BQH393285:BQI393301 CAD393285:CAE393301 CJZ393285:CKA393301 CTV393285:CTW393301 DDR393285:DDS393301 DNN393285:DNO393301 DXJ393285:DXK393301 EHF393285:EHG393301 ERB393285:ERC393301 FAX393285:FAY393301 FKT393285:FKU393301 FUP393285:FUQ393301 GEL393285:GEM393301 GOH393285:GOI393301 GYD393285:GYE393301 HHZ393285:HIA393301 HRV393285:HRW393301 IBR393285:IBS393301 ILN393285:ILO393301 IVJ393285:IVK393301 JFF393285:JFG393301 JPB393285:JPC393301 JYX393285:JYY393301 KIT393285:KIU393301 KSP393285:KSQ393301 LCL393285:LCM393301 LMH393285:LMI393301 LWD393285:LWE393301 MFZ393285:MGA393301 MPV393285:MPW393301 MZR393285:MZS393301 NJN393285:NJO393301 NTJ393285:NTK393301 ODF393285:ODG393301 ONB393285:ONC393301 OWX393285:OWY393301 PGT393285:PGU393301 PQP393285:PQQ393301 QAL393285:QAM393301 QKH393285:QKI393301 QUD393285:QUE393301 RDZ393285:REA393301 RNV393285:RNW393301 RXR393285:RXS393301 SHN393285:SHO393301 SRJ393285:SRK393301 TBF393285:TBG393301 TLB393285:TLC393301 TUX393285:TUY393301 UET393285:UEU393301 UOP393285:UOQ393301 UYL393285:UYM393301 VIH393285:VII393301 VSD393285:VSE393301 WBZ393285:WCA393301 WLV393285:WLW393301 WVR393285:WVS393301 J458821:K458837 JF458821:JG458837 TB458821:TC458837 ACX458821:ACY458837 AMT458821:AMU458837 AWP458821:AWQ458837 BGL458821:BGM458837 BQH458821:BQI458837 CAD458821:CAE458837 CJZ458821:CKA458837 CTV458821:CTW458837 DDR458821:DDS458837 DNN458821:DNO458837 DXJ458821:DXK458837 EHF458821:EHG458837 ERB458821:ERC458837 FAX458821:FAY458837 FKT458821:FKU458837 FUP458821:FUQ458837 GEL458821:GEM458837 GOH458821:GOI458837 GYD458821:GYE458837 HHZ458821:HIA458837 HRV458821:HRW458837 IBR458821:IBS458837 ILN458821:ILO458837 IVJ458821:IVK458837 JFF458821:JFG458837 JPB458821:JPC458837 JYX458821:JYY458837 KIT458821:KIU458837 KSP458821:KSQ458837 LCL458821:LCM458837 LMH458821:LMI458837 LWD458821:LWE458837 MFZ458821:MGA458837 MPV458821:MPW458837 MZR458821:MZS458837 NJN458821:NJO458837 NTJ458821:NTK458837 ODF458821:ODG458837 ONB458821:ONC458837 OWX458821:OWY458837 PGT458821:PGU458837 PQP458821:PQQ458837 QAL458821:QAM458837 QKH458821:QKI458837 QUD458821:QUE458837 RDZ458821:REA458837 RNV458821:RNW458837 RXR458821:RXS458837 SHN458821:SHO458837 SRJ458821:SRK458837 TBF458821:TBG458837 TLB458821:TLC458837 TUX458821:TUY458837 UET458821:UEU458837 UOP458821:UOQ458837 UYL458821:UYM458837 VIH458821:VII458837 VSD458821:VSE458837 WBZ458821:WCA458837 WLV458821:WLW458837 WVR458821:WVS458837 J524357:K524373 JF524357:JG524373 TB524357:TC524373 ACX524357:ACY524373 AMT524357:AMU524373 AWP524357:AWQ524373 BGL524357:BGM524373 BQH524357:BQI524373 CAD524357:CAE524373 CJZ524357:CKA524373 CTV524357:CTW524373 DDR524357:DDS524373 DNN524357:DNO524373 DXJ524357:DXK524373 EHF524357:EHG524373 ERB524357:ERC524373 FAX524357:FAY524373 FKT524357:FKU524373 FUP524357:FUQ524373 GEL524357:GEM524373 GOH524357:GOI524373 GYD524357:GYE524373 HHZ524357:HIA524373 HRV524357:HRW524373 IBR524357:IBS524373 ILN524357:ILO524373 IVJ524357:IVK524373 JFF524357:JFG524373 JPB524357:JPC524373 JYX524357:JYY524373 KIT524357:KIU524373 KSP524357:KSQ524373 LCL524357:LCM524373 LMH524357:LMI524373 LWD524357:LWE524373 MFZ524357:MGA524373 MPV524357:MPW524373 MZR524357:MZS524373 NJN524357:NJO524373 NTJ524357:NTK524373 ODF524357:ODG524373 ONB524357:ONC524373 OWX524357:OWY524373 PGT524357:PGU524373 PQP524357:PQQ524373 QAL524357:QAM524373 QKH524357:QKI524373 QUD524357:QUE524373 RDZ524357:REA524373 RNV524357:RNW524373 RXR524357:RXS524373 SHN524357:SHO524373 SRJ524357:SRK524373 TBF524357:TBG524373 TLB524357:TLC524373 TUX524357:TUY524373 UET524357:UEU524373 UOP524357:UOQ524373 UYL524357:UYM524373 VIH524357:VII524373 VSD524357:VSE524373 WBZ524357:WCA524373 WLV524357:WLW524373 WVR524357:WVS524373 J589893:K589909 JF589893:JG589909 TB589893:TC589909 ACX589893:ACY589909 AMT589893:AMU589909 AWP589893:AWQ589909 BGL589893:BGM589909 BQH589893:BQI589909 CAD589893:CAE589909 CJZ589893:CKA589909 CTV589893:CTW589909 DDR589893:DDS589909 DNN589893:DNO589909 DXJ589893:DXK589909 EHF589893:EHG589909 ERB589893:ERC589909 FAX589893:FAY589909 FKT589893:FKU589909 FUP589893:FUQ589909 GEL589893:GEM589909 GOH589893:GOI589909 GYD589893:GYE589909 HHZ589893:HIA589909 HRV589893:HRW589909 IBR589893:IBS589909 ILN589893:ILO589909 IVJ589893:IVK589909 JFF589893:JFG589909 JPB589893:JPC589909 JYX589893:JYY589909 KIT589893:KIU589909 KSP589893:KSQ589909 LCL589893:LCM589909 LMH589893:LMI589909 LWD589893:LWE589909 MFZ589893:MGA589909 MPV589893:MPW589909 MZR589893:MZS589909 NJN589893:NJO589909 NTJ589893:NTK589909 ODF589893:ODG589909 ONB589893:ONC589909 OWX589893:OWY589909 PGT589893:PGU589909 PQP589893:PQQ589909 QAL589893:QAM589909 QKH589893:QKI589909 QUD589893:QUE589909 RDZ589893:REA589909 RNV589893:RNW589909 RXR589893:RXS589909 SHN589893:SHO589909 SRJ589893:SRK589909 TBF589893:TBG589909 TLB589893:TLC589909 TUX589893:TUY589909 UET589893:UEU589909 UOP589893:UOQ589909 UYL589893:UYM589909 VIH589893:VII589909 VSD589893:VSE589909 WBZ589893:WCA589909 WLV589893:WLW589909 WVR589893:WVS589909 J655429:K655445 JF655429:JG655445 TB655429:TC655445 ACX655429:ACY655445 AMT655429:AMU655445 AWP655429:AWQ655445 BGL655429:BGM655445 BQH655429:BQI655445 CAD655429:CAE655445 CJZ655429:CKA655445 CTV655429:CTW655445 DDR655429:DDS655445 DNN655429:DNO655445 DXJ655429:DXK655445 EHF655429:EHG655445 ERB655429:ERC655445 FAX655429:FAY655445 FKT655429:FKU655445 FUP655429:FUQ655445 GEL655429:GEM655445 GOH655429:GOI655445 GYD655429:GYE655445 HHZ655429:HIA655445 HRV655429:HRW655445 IBR655429:IBS655445 ILN655429:ILO655445 IVJ655429:IVK655445 JFF655429:JFG655445 JPB655429:JPC655445 JYX655429:JYY655445 KIT655429:KIU655445 KSP655429:KSQ655445 LCL655429:LCM655445 LMH655429:LMI655445 LWD655429:LWE655445 MFZ655429:MGA655445 MPV655429:MPW655445 MZR655429:MZS655445 NJN655429:NJO655445 NTJ655429:NTK655445 ODF655429:ODG655445 ONB655429:ONC655445 OWX655429:OWY655445 PGT655429:PGU655445 PQP655429:PQQ655445 QAL655429:QAM655445 QKH655429:QKI655445 QUD655429:QUE655445 RDZ655429:REA655445 RNV655429:RNW655445 RXR655429:RXS655445 SHN655429:SHO655445 SRJ655429:SRK655445 TBF655429:TBG655445 TLB655429:TLC655445 TUX655429:TUY655445 UET655429:UEU655445 UOP655429:UOQ655445 UYL655429:UYM655445 VIH655429:VII655445 VSD655429:VSE655445 WBZ655429:WCA655445 WLV655429:WLW655445 WVR655429:WVS655445 J720965:K720981 JF720965:JG720981 TB720965:TC720981 ACX720965:ACY720981 AMT720965:AMU720981 AWP720965:AWQ720981 BGL720965:BGM720981 BQH720965:BQI720981 CAD720965:CAE720981 CJZ720965:CKA720981 CTV720965:CTW720981 DDR720965:DDS720981 DNN720965:DNO720981 DXJ720965:DXK720981 EHF720965:EHG720981 ERB720965:ERC720981 FAX720965:FAY720981 FKT720965:FKU720981 FUP720965:FUQ720981 GEL720965:GEM720981 GOH720965:GOI720981 GYD720965:GYE720981 HHZ720965:HIA720981 HRV720965:HRW720981 IBR720965:IBS720981 ILN720965:ILO720981 IVJ720965:IVK720981 JFF720965:JFG720981 JPB720965:JPC720981 JYX720965:JYY720981 KIT720965:KIU720981 KSP720965:KSQ720981 LCL720965:LCM720981 LMH720965:LMI720981 LWD720965:LWE720981 MFZ720965:MGA720981 MPV720965:MPW720981 MZR720965:MZS720981 NJN720965:NJO720981 NTJ720965:NTK720981 ODF720965:ODG720981 ONB720965:ONC720981 OWX720965:OWY720981 PGT720965:PGU720981 PQP720965:PQQ720981 QAL720965:QAM720981 QKH720965:QKI720981 QUD720965:QUE720981 RDZ720965:REA720981 RNV720965:RNW720981 RXR720965:RXS720981 SHN720965:SHO720981 SRJ720965:SRK720981 TBF720965:TBG720981 TLB720965:TLC720981 TUX720965:TUY720981 UET720965:UEU720981 UOP720965:UOQ720981 UYL720965:UYM720981 VIH720965:VII720981 VSD720965:VSE720981 WBZ720965:WCA720981 WLV720965:WLW720981 WVR720965:WVS720981 J786501:K786517 JF786501:JG786517 TB786501:TC786517 ACX786501:ACY786517 AMT786501:AMU786517 AWP786501:AWQ786517 BGL786501:BGM786517 BQH786501:BQI786517 CAD786501:CAE786517 CJZ786501:CKA786517 CTV786501:CTW786517 DDR786501:DDS786517 DNN786501:DNO786517 DXJ786501:DXK786517 EHF786501:EHG786517 ERB786501:ERC786517 FAX786501:FAY786517 FKT786501:FKU786517 FUP786501:FUQ786517 GEL786501:GEM786517 GOH786501:GOI786517 GYD786501:GYE786517 HHZ786501:HIA786517 HRV786501:HRW786517 IBR786501:IBS786517 ILN786501:ILO786517 IVJ786501:IVK786517 JFF786501:JFG786517 JPB786501:JPC786517 JYX786501:JYY786517 KIT786501:KIU786517 KSP786501:KSQ786517 LCL786501:LCM786517 LMH786501:LMI786517 LWD786501:LWE786517 MFZ786501:MGA786517 MPV786501:MPW786517 MZR786501:MZS786517 NJN786501:NJO786517 NTJ786501:NTK786517 ODF786501:ODG786517 ONB786501:ONC786517 OWX786501:OWY786517 PGT786501:PGU786517 PQP786501:PQQ786517 QAL786501:QAM786517 QKH786501:QKI786517 QUD786501:QUE786517 RDZ786501:REA786517 RNV786501:RNW786517 RXR786501:RXS786517 SHN786501:SHO786517 SRJ786501:SRK786517 TBF786501:TBG786517 TLB786501:TLC786517 TUX786501:TUY786517 UET786501:UEU786517 UOP786501:UOQ786517 UYL786501:UYM786517 VIH786501:VII786517 VSD786501:VSE786517 WBZ786501:WCA786517 WLV786501:WLW786517 WVR786501:WVS786517 J852037:K852053 JF852037:JG852053 TB852037:TC852053 ACX852037:ACY852053 AMT852037:AMU852053 AWP852037:AWQ852053 BGL852037:BGM852053 BQH852037:BQI852053 CAD852037:CAE852053 CJZ852037:CKA852053 CTV852037:CTW852053 DDR852037:DDS852053 DNN852037:DNO852053 DXJ852037:DXK852053 EHF852037:EHG852053 ERB852037:ERC852053 FAX852037:FAY852053 FKT852037:FKU852053 FUP852037:FUQ852053 GEL852037:GEM852053 GOH852037:GOI852053 GYD852037:GYE852053 HHZ852037:HIA852053 HRV852037:HRW852053 IBR852037:IBS852053 ILN852037:ILO852053 IVJ852037:IVK852053 JFF852037:JFG852053 JPB852037:JPC852053 JYX852037:JYY852053 KIT852037:KIU852053 KSP852037:KSQ852053 LCL852037:LCM852053 LMH852037:LMI852053 LWD852037:LWE852053 MFZ852037:MGA852053 MPV852037:MPW852053 MZR852037:MZS852053 NJN852037:NJO852053 NTJ852037:NTK852053 ODF852037:ODG852053 ONB852037:ONC852053 OWX852037:OWY852053 PGT852037:PGU852053 PQP852037:PQQ852053 QAL852037:QAM852053 QKH852037:QKI852053 QUD852037:QUE852053 RDZ852037:REA852053 RNV852037:RNW852053 RXR852037:RXS852053 SHN852037:SHO852053 SRJ852037:SRK852053 TBF852037:TBG852053 TLB852037:TLC852053 TUX852037:TUY852053 UET852037:UEU852053 UOP852037:UOQ852053 UYL852037:UYM852053 VIH852037:VII852053 VSD852037:VSE852053 WBZ852037:WCA852053 WLV852037:WLW852053 WVR852037:WVS852053 J917573:K917589 JF917573:JG917589 TB917573:TC917589 ACX917573:ACY917589 AMT917573:AMU917589 AWP917573:AWQ917589 BGL917573:BGM917589 BQH917573:BQI917589 CAD917573:CAE917589 CJZ917573:CKA917589 CTV917573:CTW917589 DDR917573:DDS917589 DNN917573:DNO917589 DXJ917573:DXK917589 EHF917573:EHG917589 ERB917573:ERC917589 FAX917573:FAY917589 FKT917573:FKU917589 FUP917573:FUQ917589 GEL917573:GEM917589 GOH917573:GOI917589 GYD917573:GYE917589 HHZ917573:HIA917589 HRV917573:HRW917589 IBR917573:IBS917589 ILN917573:ILO917589 IVJ917573:IVK917589 JFF917573:JFG917589 JPB917573:JPC917589 JYX917573:JYY917589 KIT917573:KIU917589 KSP917573:KSQ917589 LCL917573:LCM917589 LMH917573:LMI917589 LWD917573:LWE917589 MFZ917573:MGA917589 MPV917573:MPW917589 MZR917573:MZS917589 NJN917573:NJO917589 NTJ917573:NTK917589 ODF917573:ODG917589 ONB917573:ONC917589 OWX917573:OWY917589 PGT917573:PGU917589 PQP917573:PQQ917589 QAL917573:QAM917589 QKH917573:QKI917589 QUD917573:QUE917589 RDZ917573:REA917589 RNV917573:RNW917589 RXR917573:RXS917589 SHN917573:SHO917589 SRJ917573:SRK917589 TBF917573:TBG917589 TLB917573:TLC917589 TUX917573:TUY917589 UET917573:UEU917589 UOP917573:UOQ917589 UYL917573:UYM917589 VIH917573:VII917589 VSD917573:VSE917589 WBZ917573:WCA917589 WLV917573:WLW917589 WVR917573:WVS917589 J983109:K983125 JF983109:JG983125 TB983109:TC983125 ACX983109:ACY983125 AMT983109:AMU983125 AWP983109:AWQ983125 BGL983109:BGM983125 BQH983109:BQI983125 CAD983109:CAE983125 CJZ983109:CKA983125 CTV983109:CTW983125 DDR983109:DDS983125 DNN983109:DNO983125 DXJ983109:DXK983125 EHF983109:EHG983125 ERB983109:ERC983125 FAX983109:FAY983125 FKT983109:FKU983125 FUP983109:FUQ983125 GEL983109:GEM983125 GOH983109:GOI983125 GYD983109:GYE983125 HHZ983109:HIA983125 HRV983109:HRW983125 IBR983109:IBS983125 ILN983109:ILO983125 IVJ983109:IVK983125 JFF983109:JFG983125 JPB983109:JPC983125 JYX983109:JYY983125 KIT983109:KIU983125 KSP983109:KSQ983125 LCL983109:LCM983125 LMH983109:LMI983125 LWD983109:LWE983125 MFZ983109:MGA983125 MPV983109:MPW983125 MZR983109:MZS983125 NJN983109:NJO983125 NTJ983109:NTK983125 ODF983109:ODG983125 ONB983109:ONC983125 OWX983109:OWY983125 PGT983109:PGU983125 PQP983109:PQQ983125 QAL983109:QAM983125 QKH983109:QKI983125 QUD983109:QUE983125 RDZ983109:REA983125 RNV983109:RNW983125 RXR983109:RXS983125 SHN983109:SHO983125 SRJ983109:SRK983125 TBF983109:TBG983125 TLB983109:TLC983125 TUX983109:TUY983125 UET983109:UEU983125 UOP983109:UOQ983125 UYL983109:UYM983125 VIH983109:VII983125 VSD983109:VSE983125 WBZ983109:WCA983125 WLV983109:WLW983125 WVR983109:WVS983125 WLV983108 JF68 TB68 ACX68 AMT68 AWP68 BGL68 BQH68 CAD68 CJZ68 CTV68 DDR68 DNN68 DXJ68 EHF68 ERB68 FAX68 FKT68 FUP68 GEL68 GOH68 GYD68 HHZ68 HRV68 IBR68 ILN68 IVJ68 JFF68 JPB68 JYX68 KIT68 KSP68 LCL68 LMH68 LWD68 MFZ68 MPV68 MZR68 NJN68 NTJ68 ODF68 ONB68 OWX68 PGT68 PQP68 QAL68 QKH68 QUD68 RDZ68 RNV68 RXR68 SHN68 SRJ68 TBF68 TLB68 TUX68 UET68 UOP68 UYL68 VIH68 VSD68 WBZ68 WLV68 WVR68 J65604 JF65604 TB65604 ACX65604 AMT65604 AWP65604 BGL65604 BQH65604 CAD65604 CJZ65604 CTV65604 DDR65604 DNN65604 DXJ65604 EHF65604 ERB65604 FAX65604 FKT65604 FUP65604 GEL65604 GOH65604 GYD65604 HHZ65604 HRV65604 IBR65604 ILN65604 IVJ65604 JFF65604 JPB65604 JYX65604 KIT65604 KSP65604 LCL65604 LMH65604 LWD65604 MFZ65604 MPV65604 MZR65604 NJN65604 NTJ65604 ODF65604 ONB65604 OWX65604 PGT65604 PQP65604 QAL65604 QKH65604 QUD65604 RDZ65604 RNV65604 RXR65604 SHN65604 SRJ65604 TBF65604 TLB65604 TUX65604 UET65604 UOP65604 UYL65604 VIH65604 VSD65604 WBZ65604 WLV65604 WVR65604 J131140 JF131140 TB131140 ACX131140 AMT131140 AWP131140 BGL131140 BQH131140 CAD131140 CJZ131140 CTV131140 DDR131140 DNN131140 DXJ131140 EHF131140 ERB131140 FAX131140 FKT131140 FUP131140 GEL131140 GOH131140 GYD131140 HHZ131140 HRV131140 IBR131140 ILN131140 IVJ131140 JFF131140 JPB131140 JYX131140 KIT131140 KSP131140 LCL131140 LMH131140 LWD131140 MFZ131140 MPV131140 MZR131140 NJN131140 NTJ131140 ODF131140 ONB131140 OWX131140 PGT131140 PQP131140 QAL131140 QKH131140 QUD131140 RDZ131140 RNV131140 RXR131140 SHN131140 SRJ131140 TBF131140 TLB131140 TUX131140 UET131140 UOP131140 UYL131140 VIH131140 VSD131140 WBZ131140 WLV131140 WVR131140 J196676 JF196676 TB196676 ACX196676 AMT196676 AWP196676 BGL196676 BQH196676 CAD196676 CJZ196676 CTV196676 DDR196676 DNN196676 DXJ196676 EHF196676 ERB196676 FAX196676 FKT196676 FUP196676 GEL196676 GOH196676 GYD196676 HHZ196676 HRV196676 IBR196676 ILN196676 IVJ196676 JFF196676 JPB196676 JYX196676 KIT196676 KSP196676 LCL196676 LMH196676 LWD196676 MFZ196676 MPV196676 MZR196676 NJN196676 NTJ196676 ODF196676 ONB196676 OWX196676 PGT196676 PQP196676 QAL196676 QKH196676 QUD196676 RDZ196676 RNV196676 RXR196676 SHN196676 SRJ196676 TBF196676 TLB196676 TUX196676 UET196676 UOP196676 UYL196676 VIH196676 VSD196676 WBZ196676 WLV196676 WVR196676 J262212 JF262212 TB262212 ACX262212 AMT262212 AWP262212 BGL262212 BQH262212 CAD262212 CJZ262212 CTV262212 DDR262212 DNN262212 DXJ262212 EHF262212 ERB262212 FAX262212 FKT262212 FUP262212 GEL262212 GOH262212 GYD262212 HHZ262212 HRV262212 IBR262212 ILN262212 IVJ262212 JFF262212 JPB262212 JYX262212 KIT262212 KSP262212 LCL262212 LMH262212 LWD262212 MFZ262212 MPV262212 MZR262212 NJN262212 NTJ262212 ODF262212 ONB262212 OWX262212 PGT262212 PQP262212 QAL262212 QKH262212 QUD262212 RDZ262212 RNV262212 RXR262212 SHN262212 SRJ262212 TBF262212 TLB262212 TUX262212 UET262212 UOP262212 UYL262212 VIH262212 VSD262212 WBZ262212 WLV262212 WVR262212 J327748 JF327748 TB327748 ACX327748 AMT327748 AWP327748 BGL327748 BQH327748 CAD327748 CJZ327748 CTV327748 DDR327748 DNN327748 DXJ327748 EHF327748 ERB327748 FAX327748 FKT327748 FUP327748 GEL327748 GOH327748 GYD327748 HHZ327748 HRV327748 IBR327748 ILN327748 IVJ327748 JFF327748 JPB327748 JYX327748 KIT327748 KSP327748 LCL327748 LMH327748 LWD327748 MFZ327748 MPV327748 MZR327748 NJN327748 NTJ327748 ODF327748 ONB327748 OWX327748 PGT327748 PQP327748 QAL327748 QKH327748 QUD327748 RDZ327748 RNV327748 RXR327748 SHN327748 SRJ327748 TBF327748 TLB327748 TUX327748 UET327748 UOP327748 UYL327748 VIH327748 VSD327748 WBZ327748 WLV327748 WVR327748 J393284 JF393284 TB393284 ACX393284 AMT393284 AWP393284 BGL393284 BQH393284 CAD393284 CJZ393284 CTV393284 DDR393284 DNN393284 DXJ393284 EHF393284 ERB393284 FAX393284 FKT393284 FUP393284 GEL393284 GOH393284 GYD393284 HHZ393284 HRV393284 IBR393284 ILN393284 IVJ393284 JFF393284 JPB393284 JYX393284 KIT393284 KSP393284 LCL393284 LMH393284 LWD393284 MFZ393284 MPV393284 MZR393284 NJN393284 NTJ393284 ODF393284 ONB393284 OWX393284 PGT393284 PQP393284 QAL393284 QKH393284 QUD393284 RDZ393284 RNV393284 RXR393284 SHN393284 SRJ393284 TBF393284 TLB393284 TUX393284 UET393284 UOP393284 UYL393284 VIH393284 VSD393284 WBZ393284 WLV393284 WVR393284 J458820 JF458820 TB458820 ACX458820 AMT458820 AWP458820 BGL458820 BQH458820 CAD458820 CJZ458820 CTV458820 DDR458820 DNN458820 DXJ458820 EHF458820 ERB458820 FAX458820 FKT458820 FUP458820 GEL458820 GOH458820 GYD458820 HHZ458820 HRV458820 IBR458820 ILN458820 IVJ458820 JFF458820 JPB458820 JYX458820 KIT458820 KSP458820 LCL458820 LMH458820 LWD458820 MFZ458820 MPV458820 MZR458820 NJN458820 NTJ458820 ODF458820 ONB458820 OWX458820 PGT458820 PQP458820 QAL458820 QKH458820 QUD458820 RDZ458820 RNV458820 RXR458820 SHN458820 SRJ458820 TBF458820 TLB458820 TUX458820 UET458820 UOP458820 UYL458820 VIH458820 VSD458820 WBZ458820 WLV458820 WVR458820 J524356 JF524356 TB524356 ACX524356 AMT524356 AWP524356 BGL524356 BQH524356 CAD524356 CJZ524356 CTV524356 DDR524356 DNN524356 DXJ524356 EHF524356 ERB524356 FAX524356 FKT524356 FUP524356 GEL524356 GOH524356 GYD524356 HHZ524356 HRV524356 IBR524356 ILN524356 IVJ524356 JFF524356 JPB524356 JYX524356 KIT524356 KSP524356 LCL524356 LMH524356 LWD524356 MFZ524356 MPV524356 MZR524356 NJN524356 NTJ524356 ODF524356 ONB524356 OWX524356 PGT524356 PQP524356 QAL524356 QKH524356 QUD524356 RDZ524356 RNV524356 RXR524356 SHN524356 SRJ524356 TBF524356 TLB524356 TUX524356 UET524356 UOP524356 UYL524356 VIH524356 VSD524356 WBZ524356 WLV524356 WVR524356 J589892 JF589892 TB589892 ACX589892 AMT589892 AWP589892 BGL589892 BQH589892 CAD589892 CJZ589892 CTV589892 DDR589892 DNN589892 DXJ589892 EHF589892 ERB589892 FAX589892 FKT589892 FUP589892 GEL589892 GOH589892 GYD589892 HHZ589892 HRV589892 IBR589892 ILN589892 IVJ589892 JFF589892 JPB589892 JYX589892 KIT589892 KSP589892 LCL589892 LMH589892 LWD589892 MFZ589892 MPV589892 MZR589892 NJN589892 NTJ589892 ODF589892 ONB589892 OWX589892 PGT589892 PQP589892 QAL589892 QKH589892 QUD589892 RDZ589892 RNV589892 RXR589892 SHN589892 SRJ589892 TBF589892 TLB589892 TUX589892 UET589892 UOP589892 UYL589892 VIH589892 VSD589892 WBZ589892 WLV589892 WVR589892 J655428 JF655428 TB655428 ACX655428 AMT655428 AWP655428 BGL655428 BQH655428 CAD655428 CJZ655428 CTV655428 DDR655428 DNN655428 DXJ655428 EHF655428 ERB655428 FAX655428 FKT655428 FUP655428 GEL655428 GOH655428 GYD655428 HHZ655428 HRV655428 IBR655428 ILN655428 IVJ655428 JFF655428 JPB655428 JYX655428 KIT655428 KSP655428 LCL655428 LMH655428 LWD655428 MFZ655428 MPV655428 MZR655428 NJN655428 NTJ655428 ODF655428 ONB655428 OWX655428 PGT655428 PQP655428 QAL655428 QKH655428 QUD655428 RDZ655428 RNV655428 RXR655428 SHN655428 SRJ655428 TBF655428 TLB655428 TUX655428 UET655428 UOP655428 UYL655428 VIH655428 VSD655428 WBZ655428 WLV655428 WVR655428 J720964 JF720964 TB720964 ACX720964 AMT720964 AWP720964 BGL720964 BQH720964 CAD720964 CJZ720964 CTV720964 DDR720964 DNN720964 DXJ720964 EHF720964 ERB720964 FAX720964 FKT720964 FUP720964 GEL720964 GOH720964 GYD720964 HHZ720964 HRV720964 IBR720964 ILN720964 IVJ720964 JFF720964 JPB720964 JYX720964 KIT720964 KSP720964 LCL720964 LMH720964 LWD720964 MFZ720964 MPV720964 MZR720964 NJN720964 NTJ720964 ODF720964 ONB720964 OWX720964 PGT720964 PQP720964 QAL720964 QKH720964 QUD720964 RDZ720964 RNV720964 RXR720964 SHN720964 SRJ720964 TBF720964 TLB720964 TUX720964 UET720964 UOP720964 UYL720964 VIH720964 VSD720964 WBZ720964 WLV720964 WVR720964 J786500 JF786500 TB786500 ACX786500 AMT786500 AWP786500 BGL786500 BQH786500 CAD786500 CJZ786500 CTV786500 DDR786500 DNN786500 DXJ786500 EHF786500 ERB786500 FAX786500 FKT786500 FUP786500 GEL786500 GOH786500 GYD786500 HHZ786500 HRV786500 IBR786500 ILN786500 IVJ786500 JFF786500 JPB786500 JYX786500 KIT786500 KSP786500 LCL786500 LMH786500 LWD786500 MFZ786500 MPV786500 MZR786500 NJN786500 NTJ786500 ODF786500 ONB786500 OWX786500 PGT786500 PQP786500 QAL786500 QKH786500 QUD786500 RDZ786500 RNV786500 RXR786500 SHN786500 SRJ786500 TBF786500 TLB786500 TUX786500 UET786500 UOP786500 UYL786500 VIH786500 VSD786500 WBZ786500 WLV786500 WVR786500 J852036 JF852036 TB852036 ACX852036 AMT852036 AWP852036 BGL852036 BQH852036 CAD852036 CJZ852036 CTV852036 DDR852036 DNN852036 DXJ852036 EHF852036 ERB852036 FAX852036 FKT852036 FUP852036 GEL852036 GOH852036 GYD852036 HHZ852036 HRV852036 IBR852036 ILN852036 IVJ852036 JFF852036 JPB852036 JYX852036 KIT852036 KSP852036 LCL852036 LMH852036 LWD852036 MFZ852036 MPV852036 MZR852036 NJN852036 NTJ852036 ODF852036 ONB852036 OWX852036 PGT852036 PQP852036 QAL852036 QKH852036 QUD852036 RDZ852036 RNV852036 RXR852036 SHN852036 SRJ852036 TBF852036 TLB852036 TUX852036 UET852036 UOP852036 UYL852036 VIH852036 VSD852036 WBZ852036 WLV852036 WVR852036 J917572 JF917572 TB917572 ACX917572 AMT917572 AWP917572 BGL917572 BQH917572 CAD917572 CJZ917572 CTV917572 DDR917572 DNN917572 DXJ917572 EHF917572 ERB917572 FAX917572 FKT917572 FUP917572 GEL917572 GOH917572 GYD917572 HHZ917572 HRV917572 IBR917572 ILN917572 IVJ917572 JFF917572 JPB917572 JYX917572 KIT917572 KSP917572 LCL917572 LMH917572 LWD917572 MFZ917572 MPV917572 MZR917572 NJN917572 NTJ917572 ODF917572 ONB917572 OWX917572 PGT917572 PQP917572 QAL917572 QKH917572 QUD917572 RDZ917572 RNV917572 RXR917572 SHN917572 SRJ917572 TBF917572 TLB917572 TUX917572 UET917572 UOP917572 UYL917572 VIH917572 VSD917572 WBZ917572 WLV917572 WVR917572 J983108 JF983108 TB983108 ACX983108 AMT983108 AWP983108 BGL983108 BQH983108 CAD983108 CJZ983108 CTV983108 DDR983108 DNN983108 DXJ983108 EHF983108 ERB983108 FAX983108 FKT983108 FUP983108 GEL983108 GOH983108 GYD983108 HHZ983108 HRV983108 IBR983108 ILN983108 IVJ983108 JFF983108 JPB983108 JYX983108 KIT983108 KSP983108 LCL983108 LMH983108 LWD983108 MFZ983108 MPV983108 MZR983108 NJN983108 NTJ983108 ODF983108 ONB983108 OWX983108 PGT983108 PQP983108 QAL983108 QKH983108 QUD983108 RDZ983108 RNV983108 RXR983108 SHN983108 SRJ983108 TBF983108 TLB983108 TUX983108 UET983108 UOP983108 UYL983108 VIH983108 VSD983108" xr:uid="{EF34767C-A4FB-4E4E-9263-5819B88D28A6}">
      <formula1>ABCD</formula1>
    </dataValidation>
    <dataValidation type="list" allowBlank="1" showInputMessage="1" showErrorMessage="1" sqref="WLT983069:WLT983081 JD58:JD85 SZ58:SZ85 ACV58:ACV85 AMR58:AMR85 AWN58:AWN85 BGJ58:BGJ85 BQF58:BQF85 CAB58:CAB85 CJX58:CJX85 CTT58:CTT85 DDP58:DDP85 DNL58:DNL85 DXH58:DXH85 EHD58:EHD85 EQZ58:EQZ85 FAV58:FAV85 FKR58:FKR85 FUN58:FUN85 GEJ58:GEJ85 GOF58:GOF85 GYB58:GYB85 HHX58:HHX85 HRT58:HRT85 IBP58:IBP85 ILL58:ILL85 IVH58:IVH85 JFD58:JFD85 JOZ58:JOZ85 JYV58:JYV85 KIR58:KIR85 KSN58:KSN85 LCJ58:LCJ85 LMF58:LMF85 LWB58:LWB85 MFX58:MFX85 MPT58:MPT85 MZP58:MZP85 NJL58:NJL85 NTH58:NTH85 ODD58:ODD85 OMZ58:OMZ85 OWV58:OWV85 PGR58:PGR85 PQN58:PQN85 QAJ58:QAJ85 QKF58:QKF85 QUB58:QUB85 RDX58:RDX85 RNT58:RNT85 RXP58:RXP85 SHL58:SHL85 SRH58:SRH85 TBD58:TBD85 TKZ58:TKZ85 TUV58:TUV85 UER58:UER85 UON58:UON85 UYJ58:UYJ85 VIF58:VIF85 VSB58:VSB85 WBX58:WBX85 WLT58:WLT85 WVP58:WVP85 H65594:H65621 JD65594:JD65621 SZ65594:SZ65621 ACV65594:ACV65621 AMR65594:AMR65621 AWN65594:AWN65621 BGJ65594:BGJ65621 BQF65594:BQF65621 CAB65594:CAB65621 CJX65594:CJX65621 CTT65594:CTT65621 DDP65594:DDP65621 DNL65594:DNL65621 DXH65594:DXH65621 EHD65594:EHD65621 EQZ65594:EQZ65621 FAV65594:FAV65621 FKR65594:FKR65621 FUN65594:FUN65621 GEJ65594:GEJ65621 GOF65594:GOF65621 GYB65594:GYB65621 HHX65594:HHX65621 HRT65594:HRT65621 IBP65594:IBP65621 ILL65594:ILL65621 IVH65594:IVH65621 JFD65594:JFD65621 JOZ65594:JOZ65621 JYV65594:JYV65621 KIR65594:KIR65621 KSN65594:KSN65621 LCJ65594:LCJ65621 LMF65594:LMF65621 LWB65594:LWB65621 MFX65594:MFX65621 MPT65594:MPT65621 MZP65594:MZP65621 NJL65594:NJL65621 NTH65594:NTH65621 ODD65594:ODD65621 OMZ65594:OMZ65621 OWV65594:OWV65621 PGR65594:PGR65621 PQN65594:PQN65621 QAJ65594:QAJ65621 QKF65594:QKF65621 QUB65594:QUB65621 RDX65594:RDX65621 RNT65594:RNT65621 RXP65594:RXP65621 SHL65594:SHL65621 SRH65594:SRH65621 TBD65594:TBD65621 TKZ65594:TKZ65621 TUV65594:TUV65621 UER65594:UER65621 UON65594:UON65621 UYJ65594:UYJ65621 VIF65594:VIF65621 VSB65594:VSB65621 WBX65594:WBX65621 WLT65594:WLT65621 WVP65594:WVP65621 H131130:H131157 JD131130:JD131157 SZ131130:SZ131157 ACV131130:ACV131157 AMR131130:AMR131157 AWN131130:AWN131157 BGJ131130:BGJ131157 BQF131130:BQF131157 CAB131130:CAB131157 CJX131130:CJX131157 CTT131130:CTT131157 DDP131130:DDP131157 DNL131130:DNL131157 DXH131130:DXH131157 EHD131130:EHD131157 EQZ131130:EQZ131157 FAV131130:FAV131157 FKR131130:FKR131157 FUN131130:FUN131157 GEJ131130:GEJ131157 GOF131130:GOF131157 GYB131130:GYB131157 HHX131130:HHX131157 HRT131130:HRT131157 IBP131130:IBP131157 ILL131130:ILL131157 IVH131130:IVH131157 JFD131130:JFD131157 JOZ131130:JOZ131157 JYV131130:JYV131157 KIR131130:KIR131157 KSN131130:KSN131157 LCJ131130:LCJ131157 LMF131130:LMF131157 LWB131130:LWB131157 MFX131130:MFX131157 MPT131130:MPT131157 MZP131130:MZP131157 NJL131130:NJL131157 NTH131130:NTH131157 ODD131130:ODD131157 OMZ131130:OMZ131157 OWV131130:OWV131157 PGR131130:PGR131157 PQN131130:PQN131157 QAJ131130:QAJ131157 QKF131130:QKF131157 QUB131130:QUB131157 RDX131130:RDX131157 RNT131130:RNT131157 RXP131130:RXP131157 SHL131130:SHL131157 SRH131130:SRH131157 TBD131130:TBD131157 TKZ131130:TKZ131157 TUV131130:TUV131157 UER131130:UER131157 UON131130:UON131157 UYJ131130:UYJ131157 VIF131130:VIF131157 VSB131130:VSB131157 WBX131130:WBX131157 WLT131130:WLT131157 WVP131130:WVP131157 H196666:H196693 JD196666:JD196693 SZ196666:SZ196693 ACV196666:ACV196693 AMR196666:AMR196693 AWN196666:AWN196693 BGJ196666:BGJ196693 BQF196666:BQF196693 CAB196666:CAB196693 CJX196666:CJX196693 CTT196666:CTT196693 DDP196666:DDP196693 DNL196666:DNL196693 DXH196666:DXH196693 EHD196666:EHD196693 EQZ196666:EQZ196693 FAV196666:FAV196693 FKR196666:FKR196693 FUN196666:FUN196693 GEJ196666:GEJ196693 GOF196666:GOF196693 GYB196666:GYB196693 HHX196666:HHX196693 HRT196666:HRT196693 IBP196666:IBP196693 ILL196666:ILL196693 IVH196666:IVH196693 JFD196666:JFD196693 JOZ196666:JOZ196693 JYV196666:JYV196693 KIR196666:KIR196693 KSN196666:KSN196693 LCJ196666:LCJ196693 LMF196666:LMF196693 LWB196666:LWB196693 MFX196666:MFX196693 MPT196666:MPT196693 MZP196666:MZP196693 NJL196666:NJL196693 NTH196666:NTH196693 ODD196666:ODD196693 OMZ196666:OMZ196693 OWV196666:OWV196693 PGR196666:PGR196693 PQN196666:PQN196693 QAJ196666:QAJ196693 QKF196666:QKF196693 QUB196666:QUB196693 RDX196666:RDX196693 RNT196666:RNT196693 RXP196666:RXP196693 SHL196666:SHL196693 SRH196666:SRH196693 TBD196666:TBD196693 TKZ196666:TKZ196693 TUV196666:TUV196693 UER196666:UER196693 UON196666:UON196693 UYJ196666:UYJ196693 VIF196666:VIF196693 VSB196666:VSB196693 WBX196666:WBX196693 WLT196666:WLT196693 WVP196666:WVP196693 H262202:H262229 JD262202:JD262229 SZ262202:SZ262229 ACV262202:ACV262229 AMR262202:AMR262229 AWN262202:AWN262229 BGJ262202:BGJ262229 BQF262202:BQF262229 CAB262202:CAB262229 CJX262202:CJX262229 CTT262202:CTT262229 DDP262202:DDP262229 DNL262202:DNL262229 DXH262202:DXH262229 EHD262202:EHD262229 EQZ262202:EQZ262229 FAV262202:FAV262229 FKR262202:FKR262229 FUN262202:FUN262229 GEJ262202:GEJ262229 GOF262202:GOF262229 GYB262202:GYB262229 HHX262202:HHX262229 HRT262202:HRT262229 IBP262202:IBP262229 ILL262202:ILL262229 IVH262202:IVH262229 JFD262202:JFD262229 JOZ262202:JOZ262229 JYV262202:JYV262229 KIR262202:KIR262229 KSN262202:KSN262229 LCJ262202:LCJ262229 LMF262202:LMF262229 LWB262202:LWB262229 MFX262202:MFX262229 MPT262202:MPT262229 MZP262202:MZP262229 NJL262202:NJL262229 NTH262202:NTH262229 ODD262202:ODD262229 OMZ262202:OMZ262229 OWV262202:OWV262229 PGR262202:PGR262229 PQN262202:PQN262229 QAJ262202:QAJ262229 QKF262202:QKF262229 QUB262202:QUB262229 RDX262202:RDX262229 RNT262202:RNT262229 RXP262202:RXP262229 SHL262202:SHL262229 SRH262202:SRH262229 TBD262202:TBD262229 TKZ262202:TKZ262229 TUV262202:TUV262229 UER262202:UER262229 UON262202:UON262229 UYJ262202:UYJ262229 VIF262202:VIF262229 VSB262202:VSB262229 WBX262202:WBX262229 WLT262202:WLT262229 WVP262202:WVP262229 H327738:H327765 JD327738:JD327765 SZ327738:SZ327765 ACV327738:ACV327765 AMR327738:AMR327765 AWN327738:AWN327765 BGJ327738:BGJ327765 BQF327738:BQF327765 CAB327738:CAB327765 CJX327738:CJX327765 CTT327738:CTT327765 DDP327738:DDP327765 DNL327738:DNL327765 DXH327738:DXH327765 EHD327738:EHD327765 EQZ327738:EQZ327765 FAV327738:FAV327765 FKR327738:FKR327765 FUN327738:FUN327765 GEJ327738:GEJ327765 GOF327738:GOF327765 GYB327738:GYB327765 HHX327738:HHX327765 HRT327738:HRT327765 IBP327738:IBP327765 ILL327738:ILL327765 IVH327738:IVH327765 JFD327738:JFD327765 JOZ327738:JOZ327765 JYV327738:JYV327765 KIR327738:KIR327765 KSN327738:KSN327765 LCJ327738:LCJ327765 LMF327738:LMF327765 LWB327738:LWB327765 MFX327738:MFX327765 MPT327738:MPT327765 MZP327738:MZP327765 NJL327738:NJL327765 NTH327738:NTH327765 ODD327738:ODD327765 OMZ327738:OMZ327765 OWV327738:OWV327765 PGR327738:PGR327765 PQN327738:PQN327765 QAJ327738:QAJ327765 QKF327738:QKF327765 QUB327738:QUB327765 RDX327738:RDX327765 RNT327738:RNT327765 RXP327738:RXP327765 SHL327738:SHL327765 SRH327738:SRH327765 TBD327738:TBD327765 TKZ327738:TKZ327765 TUV327738:TUV327765 UER327738:UER327765 UON327738:UON327765 UYJ327738:UYJ327765 VIF327738:VIF327765 VSB327738:VSB327765 WBX327738:WBX327765 WLT327738:WLT327765 WVP327738:WVP327765 H393274:H393301 JD393274:JD393301 SZ393274:SZ393301 ACV393274:ACV393301 AMR393274:AMR393301 AWN393274:AWN393301 BGJ393274:BGJ393301 BQF393274:BQF393301 CAB393274:CAB393301 CJX393274:CJX393301 CTT393274:CTT393301 DDP393274:DDP393301 DNL393274:DNL393301 DXH393274:DXH393301 EHD393274:EHD393301 EQZ393274:EQZ393301 FAV393274:FAV393301 FKR393274:FKR393301 FUN393274:FUN393301 GEJ393274:GEJ393301 GOF393274:GOF393301 GYB393274:GYB393301 HHX393274:HHX393301 HRT393274:HRT393301 IBP393274:IBP393301 ILL393274:ILL393301 IVH393274:IVH393301 JFD393274:JFD393301 JOZ393274:JOZ393301 JYV393274:JYV393301 KIR393274:KIR393301 KSN393274:KSN393301 LCJ393274:LCJ393301 LMF393274:LMF393301 LWB393274:LWB393301 MFX393274:MFX393301 MPT393274:MPT393301 MZP393274:MZP393301 NJL393274:NJL393301 NTH393274:NTH393301 ODD393274:ODD393301 OMZ393274:OMZ393301 OWV393274:OWV393301 PGR393274:PGR393301 PQN393274:PQN393301 QAJ393274:QAJ393301 QKF393274:QKF393301 QUB393274:QUB393301 RDX393274:RDX393301 RNT393274:RNT393301 RXP393274:RXP393301 SHL393274:SHL393301 SRH393274:SRH393301 TBD393274:TBD393301 TKZ393274:TKZ393301 TUV393274:TUV393301 UER393274:UER393301 UON393274:UON393301 UYJ393274:UYJ393301 VIF393274:VIF393301 VSB393274:VSB393301 WBX393274:WBX393301 WLT393274:WLT393301 WVP393274:WVP393301 H458810:H458837 JD458810:JD458837 SZ458810:SZ458837 ACV458810:ACV458837 AMR458810:AMR458837 AWN458810:AWN458837 BGJ458810:BGJ458837 BQF458810:BQF458837 CAB458810:CAB458837 CJX458810:CJX458837 CTT458810:CTT458837 DDP458810:DDP458837 DNL458810:DNL458837 DXH458810:DXH458837 EHD458810:EHD458837 EQZ458810:EQZ458837 FAV458810:FAV458837 FKR458810:FKR458837 FUN458810:FUN458837 GEJ458810:GEJ458837 GOF458810:GOF458837 GYB458810:GYB458837 HHX458810:HHX458837 HRT458810:HRT458837 IBP458810:IBP458837 ILL458810:ILL458837 IVH458810:IVH458837 JFD458810:JFD458837 JOZ458810:JOZ458837 JYV458810:JYV458837 KIR458810:KIR458837 KSN458810:KSN458837 LCJ458810:LCJ458837 LMF458810:LMF458837 LWB458810:LWB458837 MFX458810:MFX458837 MPT458810:MPT458837 MZP458810:MZP458837 NJL458810:NJL458837 NTH458810:NTH458837 ODD458810:ODD458837 OMZ458810:OMZ458837 OWV458810:OWV458837 PGR458810:PGR458837 PQN458810:PQN458837 QAJ458810:QAJ458837 QKF458810:QKF458837 QUB458810:QUB458837 RDX458810:RDX458837 RNT458810:RNT458837 RXP458810:RXP458837 SHL458810:SHL458837 SRH458810:SRH458837 TBD458810:TBD458837 TKZ458810:TKZ458837 TUV458810:TUV458837 UER458810:UER458837 UON458810:UON458837 UYJ458810:UYJ458837 VIF458810:VIF458837 VSB458810:VSB458837 WBX458810:WBX458837 WLT458810:WLT458837 WVP458810:WVP458837 H524346:H524373 JD524346:JD524373 SZ524346:SZ524373 ACV524346:ACV524373 AMR524346:AMR524373 AWN524346:AWN524373 BGJ524346:BGJ524373 BQF524346:BQF524373 CAB524346:CAB524373 CJX524346:CJX524373 CTT524346:CTT524373 DDP524346:DDP524373 DNL524346:DNL524373 DXH524346:DXH524373 EHD524346:EHD524373 EQZ524346:EQZ524373 FAV524346:FAV524373 FKR524346:FKR524373 FUN524346:FUN524373 GEJ524346:GEJ524373 GOF524346:GOF524373 GYB524346:GYB524373 HHX524346:HHX524373 HRT524346:HRT524373 IBP524346:IBP524373 ILL524346:ILL524373 IVH524346:IVH524373 JFD524346:JFD524373 JOZ524346:JOZ524373 JYV524346:JYV524373 KIR524346:KIR524373 KSN524346:KSN524373 LCJ524346:LCJ524373 LMF524346:LMF524373 LWB524346:LWB524373 MFX524346:MFX524373 MPT524346:MPT524373 MZP524346:MZP524373 NJL524346:NJL524373 NTH524346:NTH524373 ODD524346:ODD524373 OMZ524346:OMZ524373 OWV524346:OWV524373 PGR524346:PGR524373 PQN524346:PQN524373 QAJ524346:QAJ524373 QKF524346:QKF524373 QUB524346:QUB524373 RDX524346:RDX524373 RNT524346:RNT524373 RXP524346:RXP524373 SHL524346:SHL524373 SRH524346:SRH524373 TBD524346:TBD524373 TKZ524346:TKZ524373 TUV524346:TUV524373 UER524346:UER524373 UON524346:UON524373 UYJ524346:UYJ524373 VIF524346:VIF524373 VSB524346:VSB524373 WBX524346:WBX524373 WLT524346:WLT524373 WVP524346:WVP524373 H589882:H589909 JD589882:JD589909 SZ589882:SZ589909 ACV589882:ACV589909 AMR589882:AMR589909 AWN589882:AWN589909 BGJ589882:BGJ589909 BQF589882:BQF589909 CAB589882:CAB589909 CJX589882:CJX589909 CTT589882:CTT589909 DDP589882:DDP589909 DNL589882:DNL589909 DXH589882:DXH589909 EHD589882:EHD589909 EQZ589882:EQZ589909 FAV589882:FAV589909 FKR589882:FKR589909 FUN589882:FUN589909 GEJ589882:GEJ589909 GOF589882:GOF589909 GYB589882:GYB589909 HHX589882:HHX589909 HRT589882:HRT589909 IBP589882:IBP589909 ILL589882:ILL589909 IVH589882:IVH589909 JFD589882:JFD589909 JOZ589882:JOZ589909 JYV589882:JYV589909 KIR589882:KIR589909 KSN589882:KSN589909 LCJ589882:LCJ589909 LMF589882:LMF589909 LWB589882:LWB589909 MFX589882:MFX589909 MPT589882:MPT589909 MZP589882:MZP589909 NJL589882:NJL589909 NTH589882:NTH589909 ODD589882:ODD589909 OMZ589882:OMZ589909 OWV589882:OWV589909 PGR589882:PGR589909 PQN589882:PQN589909 QAJ589882:QAJ589909 QKF589882:QKF589909 QUB589882:QUB589909 RDX589882:RDX589909 RNT589882:RNT589909 RXP589882:RXP589909 SHL589882:SHL589909 SRH589882:SRH589909 TBD589882:TBD589909 TKZ589882:TKZ589909 TUV589882:TUV589909 UER589882:UER589909 UON589882:UON589909 UYJ589882:UYJ589909 VIF589882:VIF589909 VSB589882:VSB589909 WBX589882:WBX589909 WLT589882:WLT589909 WVP589882:WVP589909 H655418:H655445 JD655418:JD655445 SZ655418:SZ655445 ACV655418:ACV655445 AMR655418:AMR655445 AWN655418:AWN655445 BGJ655418:BGJ655445 BQF655418:BQF655445 CAB655418:CAB655445 CJX655418:CJX655445 CTT655418:CTT655445 DDP655418:DDP655445 DNL655418:DNL655445 DXH655418:DXH655445 EHD655418:EHD655445 EQZ655418:EQZ655445 FAV655418:FAV655445 FKR655418:FKR655445 FUN655418:FUN655445 GEJ655418:GEJ655445 GOF655418:GOF655445 GYB655418:GYB655445 HHX655418:HHX655445 HRT655418:HRT655445 IBP655418:IBP655445 ILL655418:ILL655445 IVH655418:IVH655445 JFD655418:JFD655445 JOZ655418:JOZ655445 JYV655418:JYV655445 KIR655418:KIR655445 KSN655418:KSN655445 LCJ655418:LCJ655445 LMF655418:LMF655445 LWB655418:LWB655445 MFX655418:MFX655445 MPT655418:MPT655445 MZP655418:MZP655445 NJL655418:NJL655445 NTH655418:NTH655445 ODD655418:ODD655445 OMZ655418:OMZ655445 OWV655418:OWV655445 PGR655418:PGR655445 PQN655418:PQN655445 QAJ655418:QAJ655445 QKF655418:QKF655445 QUB655418:QUB655445 RDX655418:RDX655445 RNT655418:RNT655445 RXP655418:RXP655445 SHL655418:SHL655445 SRH655418:SRH655445 TBD655418:TBD655445 TKZ655418:TKZ655445 TUV655418:TUV655445 UER655418:UER655445 UON655418:UON655445 UYJ655418:UYJ655445 VIF655418:VIF655445 VSB655418:VSB655445 WBX655418:WBX655445 WLT655418:WLT655445 WVP655418:WVP655445 H720954:H720981 JD720954:JD720981 SZ720954:SZ720981 ACV720954:ACV720981 AMR720954:AMR720981 AWN720954:AWN720981 BGJ720954:BGJ720981 BQF720954:BQF720981 CAB720954:CAB720981 CJX720954:CJX720981 CTT720954:CTT720981 DDP720954:DDP720981 DNL720954:DNL720981 DXH720954:DXH720981 EHD720954:EHD720981 EQZ720954:EQZ720981 FAV720954:FAV720981 FKR720954:FKR720981 FUN720954:FUN720981 GEJ720954:GEJ720981 GOF720954:GOF720981 GYB720954:GYB720981 HHX720954:HHX720981 HRT720954:HRT720981 IBP720954:IBP720981 ILL720954:ILL720981 IVH720954:IVH720981 JFD720954:JFD720981 JOZ720954:JOZ720981 JYV720954:JYV720981 KIR720954:KIR720981 KSN720954:KSN720981 LCJ720954:LCJ720981 LMF720954:LMF720981 LWB720954:LWB720981 MFX720954:MFX720981 MPT720954:MPT720981 MZP720954:MZP720981 NJL720954:NJL720981 NTH720954:NTH720981 ODD720954:ODD720981 OMZ720954:OMZ720981 OWV720954:OWV720981 PGR720954:PGR720981 PQN720954:PQN720981 QAJ720954:QAJ720981 QKF720954:QKF720981 QUB720954:QUB720981 RDX720954:RDX720981 RNT720954:RNT720981 RXP720954:RXP720981 SHL720954:SHL720981 SRH720954:SRH720981 TBD720954:TBD720981 TKZ720954:TKZ720981 TUV720954:TUV720981 UER720954:UER720981 UON720954:UON720981 UYJ720954:UYJ720981 VIF720954:VIF720981 VSB720954:VSB720981 WBX720954:WBX720981 WLT720954:WLT720981 WVP720954:WVP720981 H786490:H786517 JD786490:JD786517 SZ786490:SZ786517 ACV786490:ACV786517 AMR786490:AMR786517 AWN786490:AWN786517 BGJ786490:BGJ786517 BQF786490:BQF786517 CAB786490:CAB786517 CJX786490:CJX786517 CTT786490:CTT786517 DDP786490:DDP786517 DNL786490:DNL786517 DXH786490:DXH786517 EHD786490:EHD786517 EQZ786490:EQZ786517 FAV786490:FAV786517 FKR786490:FKR786517 FUN786490:FUN786517 GEJ786490:GEJ786517 GOF786490:GOF786517 GYB786490:GYB786517 HHX786490:HHX786517 HRT786490:HRT786517 IBP786490:IBP786517 ILL786490:ILL786517 IVH786490:IVH786517 JFD786490:JFD786517 JOZ786490:JOZ786517 JYV786490:JYV786517 KIR786490:KIR786517 KSN786490:KSN786517 LCJ786490:LCJ786517 LMF786490:LMF786517 LWB786490:LWB786517 MFX786490:MFX786517 MPT786490:MPT786517 MZP786490:MZP786517 NJL786490:NJL786517 NTH786490:NTH786517 ODD786490:ODD786517 OMZ786490:OMZ786517 OWV786490:OWV786517 PGR786490:PGR786517 PQN786490:PQN786517 QAJ786490:QAJ786517 QKF786490:QKF786517 QUB786490:QUB786517 RDX786490:RDX786517 RNT786490:RNT786517 RXP786490:RXP786517 SHL786490:SHL786517 SRH786490:SRH786517 TBD786490:TBD786517 TKZ786490:TKZ786517 TUV786490:TUV786517 UER786490:UER786517 UON786490:UON786517 UYJ786490:UYJ786517 VIF786490:VIF786517 VSB786490:VSB786517 WBX786490:WBX786517 WLT786490:WLT786517 WVP786490:WVP786517 H852026:H852053 JD852026:JD852053 SZ852026:SZ852053 ACV852026:ACV852053 AMR852026:AMR852053 AWN852026:AWN852053 BGJ852026:BGJ852053 BQF852026:BQF852053 CAB852026:CAB852053 CJX852026:CJX852053 CTT852026:CTT852053 DDP852026:DDP852053 DNL852026:DNL852053 DXH852026:DXH852053 EHD852026:EHD852053 EQZ852026:EQZ852053 FAV852026:FAV852053 FKR852026:FKR852053 FUN852026:FUN852053 GEJ852026:GEJ852053 GOF852026:GOF852053 GYB852026:GYB852053 HHX852026:HHX852053 HRT852026:HRT852053 IBP852026:IBP852053 ILL852026:ILL852053 IVH852026:IVH852053 JFD852026:JFD852053 JOZ852026:JOZ852053 JYV852026:JYV852053 KIR852026:KIR852053 KSN852026:KSN852053 LCJ852026:LCJ852053 LMF852026:LMF852053 LWB852026:LWB852053 MFX852026:MFX852053 MPT852026:MPT852053 MZP852026:MZP852053 NJL852026:NJL852053 NTH852026:NTH852053 ODD852026:ODD852053 OMZ852026:OMZ852053 OWV852026:OWV852053 PGR852026:PGR852053 PQN852026:PQN852053 QAJ852026:QAJ852053 QKF852026:QKF852053 QUB852026:QUB852053 RDX852026:RDX852053 RNT852026:RNT852053 RXP852026:RXP852053 SHL852026:SHL852053 SRH852026:SRH852053 TBD852026:TBD852053 TKZ852026:TKZ852053 TUV852026:TUV852053 UER852026:UER852053 UON852026:UON852053 UYJ852026:UYJ852053 VIF852026:VIF852053 VSB852026:VSB852053 WBX852026:WBX852053 WLT852026:WLT852053 WVP852026:WVP852053 H917562:H917589 JD917562:JD917589 SZ917562:SZ917589 ACV917562:ACV917589 AMR917562:AMR917589 AWN917562:AWN917589 BGJ917562:BGJ917589 BQF917562:BQF917589 CAB917562:CAB917589 CJX917562:CJX917589 CTT917562:CTT917589 DDP917562:DDP917589 DNL917562:DNL917589 DXH917562:DXH917589 EHD917562:EHD917589 EQZ917562:EQZ917589 FAV917562:FAV917589 FKR917562:FKR917589 FUN917562:FUN917589 GEJ917562:GEJ917589 GOF917562:GOF917589 GYB917562:GYB917589 HHX917562:HHX917589 HRT917562:HRT917589 IBP917562:IBP917589 ILL917562:ILL917589 IVH917562:IVH917589 JFD917562:JFD917589 JOZ917562:JOZ917589 JYV917562:JYV917589 KIR917562:KIR917589 KSN917562:KSN917589 LCJ917562:LCJ917589 LMF917562:LMF917589 LWB917562:LWB917589 MFX917562:MFX917589 MPT917562:MPT917589 MZP917562:MZP917589 NJL917562:NJL917589 NTH917562:NTH917589 ODD917562:ODD917589 OMZ917562:OMZ917589 OWV917562:OWV917589 PGR917562:PGR917589 PQN917562:PQN917589 QAJ917562:QAJ917589 QKF917562:QKF917589 QUB917562:QUB917589 RDX917562:RDX917589 RNT917562:RNT917589 RXP917562:RXP917589 SHL917562:SHL917589 SRH917562:SRH917589 TBD917562:TBD917589 TKZ917562:TKZ917589 TUV917562:TUV917589 UER917562:UER917589 UON917562:UON917589 UYJ917562:UYJ917589 VIF917562:VIF917589 VSB917562:VSB917589 WBX917562:WBX917589 WLT917562:WLT917589 WVP917562:WVP917589 H983098:H983125 JD983098:JD983125 SZ983098:SZ983125 ACV983098:ACV983125 AMR983098:AMR983125 AWN983098:AWN983125 BGJ983098:BGJ983125 BQF983098:BQF983125 CAB983098:CAB983125 CJX983098:CJX983125 CTT983098:CTT983125 DDP983098:DDP983125 DNL983098:DNL983125 DXH983098:DXH983125 EHD983098:EHD983125 EQZ983098:EQZ983125 FAV983098:FAV983125 FKR983098:FKR983125 FUN983098:FUN983125 GEJ983098:GEJ983125 GOF983098:GOF983125 GYB983098:GYB983125 HHX983098:HHX983125 HRT983098:HRT983125 IBP983098:IBP983125 ILL983098:ILL983125 IVH983098:IVH983125 JFD983098:JFD983125 JOZ983098:JOZ983125 JYV983098:JYV983125 KIR983098:KIR983125 KSN983098:KSN983125 LCJ983098:LCJ983125 LMF983098:LMF983125 LWB983098:LWB983125 MFX983098:MFX983125 MPT983098:MPT983125 MZP983098:MZP983125 NJL983098:NJL983125 NTH983098:NTH983125 ODD983098:ODD983125 OMZ983098:OMZ983125 OWV983098:OWV983125 PGR983098:PGR983125 PQN983098:PQN983125 QAJ983098:QAJ983125 QKF983098:QKF983125 QUB983098:QUB983125 RDX983098:RDX983125 RNT983098:RNT983125 RXP983098:RXP983125 SHL983098:SHL983125 SRH983098:SRH983125 TBD983098:TBD983125 TKZ983098:TKZ983125 TUV983098:TUV983125 UER983098:UER983125 UON983098:UON983125 UYJ983098:UYJ983125 VIF983098:VIF983125 VSB983098:VSB983125 WBX983098:WBX983125 WLT983098:WLT983125 WVP983098:WVP983125 WVP983069:WVP983081 JD29:JD41 SZ29:SZ41 ACV29:ACV41 AMR29:AMR41 AWN29:AWN41 BGJ29:BGJ41 BQF29:BQF41 CAB29:CAB41 CJX29:CJX41 CTT29:CTT41 DDP29:DDP41 DNL29:DNL41 DXH29:DXH41 EHD29:EHD41 EQZ29:EQZ41 FAV29:FAV41 FKR29:FKR41 FUN29:FUN41 GEJ29:GEJ41 GOF29:GOF41 GYB29:GYB41 HHX29:HHX41 HRT29:HRT41 IBP29:IBP41 ILL29:ILL41 IVH29:IVH41 JFD29:JFD41 JOZ29:JOZ41 JYV29:JYV41 KIR29:KIR41 KSN29:KSN41 LCJ29:LCJ41 LMF29:LMF41 LWB29:LWB41 MFX29:MFX41 MPT29:MPT41 MZP29:MZP41 NJL29:NJL41 NTH29:NTH41 ODD29:ODD41 OMZ29:OMZ41 OWV29:OWV41 PGR29:PGR41 PQN29:PQN41 QAJ29:QAJ41 QKF29:QKF41 QUB29:QUB41 RDX29:RDX41 RNT29:RNT41 RXP29:RXP41 SHL29:SHL41 SRH29:SRH41 TBD29:TBD41 TKZ29:TKZ41 TUV29:TUV41 UER29:UER41 UON29:UON41 UYJ29:UYJ41 VIF29:VIF41 VSB29:VSB41 WBX29:WBX41 WLT29:WLT41 WVP29:WVP41 H65565:H65577 JD65565:JD65577 SZ65565:SZ65577 ACV65565:ACV65577 AMR65565:AMR65577 AWN65565:AWN65577 BGJ65565:BGJ65577 BQF65565:BQF65577 CAB65565:CAB65577 CJX65565:CJX65577 CTT65565:CTT65577 DDP65565:DDP65577 DNL65565:DNL65577 DXH65565:DXH65577 EHD65565:EHD65577 EQZ65565:EQZ65577 FAV65565:FAV65577 FKR65565:FKR65577 FUN65565:FUN65577 GEJ65565:GEJ65577 GOF65565:GOF65577 GYB65565:GYB65577 HHX65565:HHX65577 HRT65565:HRT65577 IBP65565:IBP65577 ILL65565:ILL65577 IVH65565:IVH65577 JFD65565:JFD65577 JOZ65565:JOZ65577 JYV65565:JYV65577 KIR65565:KIR65577 KSN65565:KSN65577 LCJ65565:LCJ65577 LMF65565:LMF65577 LWB65565:LWB65577 MFX65565:MFX65577 MPT65565:MPT65577 MZP65565:MZP65577 NJL65565:NJL65577 NTH65565:NTH65577 ODD65565:ODD65577 OMZ65565:OMZ65577 OWV65565:OWV65577 PGR65565:PGR65577 PQN65565:PQN65577 QAJ65565:QAJ65577 QKF65565:QKF65577 QUB65565:QUB65577 RDX65565:RDX65577 RNT65565:RNT65577 RXP65565:RXP65577 SHL65565:SHL65577 SRH65565:SRH65577 TBD65565:TBD65577 TKZ65565:TKZ65577 TUV65565:TUV65577 UER65565:UER65577 UON65565:UON65577 UYJ65565:UYJ65577 VIF65565:VIF65577 VSB65565:VSB65577 WBX65565:WBX65577 WLT65565:WLT65577 WVP65565:WVP65577 H131101:H131113 JD131101:JD131113 SZ131101:SZ131113 ACV131101:ACV131113 AMR131101:AMR131113 AWN131101:AWN131113 BGJ131101:BGJ131113 BQF131101:BQF131113 CAB131101:CAB131113 CJX131101:CJX131113 CTT131101:CTT131113 DDP131101:DDP131113 DNL131101:DNL131113 DXH131101:DXH131113 EHD131101:EHD131113 EQZ131101:EQZ131113 FAV131101:FAV131113 FKR131101:FKR131113 FUN131101:FUN131113 GEJ131101:GEJ131113 GOF131101:GOF131113 GYB131101:GYB131113 HHX131101:HHX131113 HRT131101:HRT131113 IBP131101:IBP131113 ILL131101:ILL131113 IVH131101:IVH131113 JFD131101:JFD131113 JOZ131101:JOZ131113 JYV131101:JYV131113 KIR131101:KIR131113 KSN131101:KSN131113 LCJ131101:LCJ131113 LMF131101:LMF131113 LWB131101:LWB131113 MFX131101:MFX131113 MPT131101:MPT131113 MZP131101:MZP131113 NJL131101:NJL131113 NTH131101:NTH131113 ODD131101:ODD131113 OMZ131101:OMZ131113 OWV131101:OWV131113 PGR131101:PGR131113 PQN131101:PQN131113 QAJ131101:QAJ131113 QKF131101:QKF131113 QUB131101:QUB131113 RDX131101:RDX131113 RNT131101:RNT131113 RXP131101:RXP131113 SHL131101:SHL131113 SRH131101:SRH131113 TBD131101:TBD131113 TKZ131101:TKZ131113 TUV131101:TUV131113 UER131101:UER131113 UON131101:UON131113 UYJ131101:UYJ131113 VIF131101:VIF131113 VSB131101:VSB131113 WBX131101:WBX131113 WLT131101:WLT131113 WVP131101:WVP131113 H196637:H196649 JD196637:JD196649 SZ196637:SZ196649 ACV196637:ACV196649 AMR196637:AMR196649 AWN196637:AWN196649 BGJ196637:BGJ196649 BQF196637:BQF196649 CAB196637:CAB196649 CJX196637:CJX196649 CTT196637:CTT196649 DDP196637:DDP196649 DNL196637:DNL196649 DXH196637:DXH196649 EHD196637:EHD196649 EQZ196637:EQZ196649 FAV196637:FAV196649 FKR196637:FKR196649 FUN196637:FUN196649 GEJ196637:GEJ196649 GOF196637:GOF196649 GYB196637:GYB196649 HHX196637:HHX196649 HRT196637:HRT196649 IBP196637:IBP196649 ILL196637:ILL196649 IVH196637:IVH196649 JFD196637:JFD196649 JOZ196637:JOZ196649 JYV196637:JYV196649 KIR196637:KIR196649 KSN196637:KSN196649 LCJ196637:LCJ196649 LMF196637:LMF196649 LWB196637:LWB196649 MFX196637:MFX196649 MPT196637:MPT196649 MZP196637:MZP196649 NJL196637:NJL196649 NTH196637:NTH196649 ODD196637:ODD196649 OMZ196637:OMZ196649 OWV196637:OWV196649 PGR196637:PGR196649 PQN196637:PQN196649 QAJ196637:QAJ196649 QKF196637:QKF196649 QUB196637:QUB196649 RDX196637:RDX196649 RNT196637:RNT196649 RXP196637:RXP196649 SHL196637:SHL196649 SRH196637:SRH196649 TBD196637:TBD196649 TKZ196637:TKZ196649 TUV196637:TUV196649 UER196637:UER196649 UON196637:UON196649 UYJ196637:UYJ196649 VIF196637:VIF196649 VSB196637:VSB196649 WBX196637:WBX196649 WLT196637:WLT196649 WVP196637:WVP196649 H262173:H262185 JD262173:JD262185 SZ262173:SZ262185 ACV262173:ACV262185 AMR262173:AMR262185 AWN262173:AWN262185 BGJ262173:BGJ262185 BQF262173:BQF262185 CAB262173:CAB262185 CJX262173:CJX262185 CTT262173:CTT262185 DDP262173:DDP262185 DNL262173:DNL262185 DXH262173:DXH262185 EHD262173:EHD262185 EQZ262173:EQZ262185 FAV262173:FAV262185 FKR262173:FKR262185 FUN262173:FUN262185 GEJ262173:GEJ262185 GOF262173:GOF262185 GYB262173:GYB262185 HHX262173:HHX262185 HRT262173:HRT262185 IBP262173:IBP262185 ILL262173:ILL262185 IVH262173:IVH262185 JFD262173:JFD262185 JOZ262173:JOZ262185 JYV262173:JYV262185 KIR262173:KIR262185 KSN262173:KSN262185 LCJ262173:LCJ262185 LMF262173:LMF262185 LWB262173:LWB262185 MFX262173:MFX262185 MPT262173:MPT262185 MZP262173:MZP262185 NJL262173:NJL262185 NTH262173:NTH262185 ODD262173:ODD262185 OMZ262173:OMZ262185 OWV262173:OWV262185 PGR262173:PGR262185 PQN262173:PQN262185 QAJ262173:QAJ262185 QKF262173:QKF262185 QUB262173:QUB262185 RDX262173:RDX262185 RNT262173:RNT262185 RXP262173:RXP262185 SHL262173:SHL262185 SRH262173:SRH262185 TBD262173:TBD262185 TKZ262173:TKZ262185 TUV262173:TUV262185 UER262173:UER262185 UON262173:UON262185 UYJ262173:UYJ262185 VIF262173:VIF262185 VSB262173:VSB262185 WBX262173:WBX262185 WLT262173:WLT262185 WVP262173:WVP262185 H327709:H327721 JD327709:JD327721 SZ327709:SZ327721 ACV327709:ACV327721 AMR327709:AMR327721 AWN327709:AWN327721 BGJ327709:BGJ327721 BQF327709:BQF327721 CAB327709:CAB327721 CJX327709:CJX327721 CTT327709:CTT327721 DDP327709:DDP327721 DNL327709:DNL327721 DXH327709:DXH327721 EHD327709:EHD327721 EQZ327709:EQZ327721 FAV327709:FAV327721 FKR327709:FKR327721 FUN327709:FUN327721 GEJ327709:GEJ327721 GOF327709:GOF327721 GYB327709:GYB327721 HHX327709:HHX327721 HRT327709:HRT327721 IBP327709:IBP327721 ILL327709:ILL327721 IVH327709:IVH327721 JFD327709:JFD327721 JOZ327709:JOZ327721 JYV327709:JYV327721 KIR327709:KIR327721 KSN327709:KSN327721 LCJ327709:LCJ327721 LMF327709:LMF327721 LWB327709:LWB327721 MFX327709:MFX327721 MPT327709:MPT327721 MZP327709:MZP327721 NJL327709:NJL327721 NTH327709:NTH327721 ODD327709:ODD327721 OMZ327709:OMZ327721 OWV327709:OWV327721 PGR327709:PGR327721 PQN327709:PQN327721 QAJ327709:QAJ327721 QKF327709:QKF327721 QUB327709:QUB327721 RDX327709:RDX327721 RNT327709:RNT327721 RXP327709:RXP327721 SHL327709:SHL327721 SRH327709:SRH327721 TBD327709:TBD327721 TKZ327709:TKZ327721 TUV327709:TUV327721 UER327709:UER327721 UON327709:UON327721 UYJ327709:UYJ327721 VIF327709:VIF327721 VSB327709:VSB327721 WBX327709:WBX327721 WLT327709:WLT327721 WVP327709:WVP327721 H393245:H393257 JD393245:JD393257 SZ393245:SZ393257 ACV393245:ACV393257 AMR393245:AMR393257 AWN393245:AWN393257 BGJ393245:BGJ393257 BQF393245:BQF393257 CAB393245:CAB393257 CJX393245:CJX393257 CTT393245:CTT393257 DDP393245:DDP393257 DNL393245:DNL393257 DXH393245:DXH393257 EHD393245:EHD393257 EQZ393245:EQZ393257 FAV393245:FAV393257 FKR393245:FKR393257 FUN393245:FUN393257 GEJ393245:GEJ393257 GOF393245:GOF393257 GYB393245:GYB393257 HHX393245:HHX393257 HRT393245:HRT393257 IBP393245:IBP393257 ILL393245:ILL393257 IVH393245:IVH393257 JFD393245:JFD393257 JOZ393245:JOZ393257 JYV393245:JYV393257 KIR393245:KIR393257 KSN393245:KSN393257 LCJ393245:LCJ393257 LMF393245:LMF393257 LWB393245:LWB393257 MFX393245:MFX393257 MPT393245:MPT393257 MZP393245:MZP393257 NJL393245:NJL393257 NTH393245:NTH393257 ODD393245:ODD393257 OMZ393245:OMZ393257 OWV393245:OWV393257 PGR393245:PGR393257 PQN393245:PQN393257 QAJ393245:QAJ393257 QKF393245:QKF393257 QUB393245:QUB393257 RDX393245:RDX393257 RNT393245:RNT393257 RXP393245:RXP393257 SHL393245:SHL393257 SRH393245:SRH393257 TBD393245:TBD393257 TKZ393245:TKZ393257 TUV393245:TUV393257 UER393245:UER393257 UON393245:UON393257 UYJ393245:UYJ393257 VIF393245:VIF393257 VSB393245:VSB393257 WBX393245:WBX393257 WLT393245:WLT393257 WVP393245:WVP393257 H458781:H458793 JD458781:JD458793 SZ458781:SZ458793 ACV458781:ACV458793 AMR458781:AMR458793 AWN458781:AWN458793 BGJ458781:BGJ458793 BQF458781:BQF458793 CAB458781:CAB458793 CJX458781:CJX458793 CTT458781:CTT458793 DDP458781:DDP458793 DNL458781:DNL458793 DXH458781:DXH458793 EHD458781:EHD458793 EQZ458781:EQZ458793 FAV458781:FAV458793 FKR458781:FKR458793 FUN458781:FUN458793 GEJ458781:GEJ458793 GOF458781:GOF458793 GYB458781:GYB458793 HHX458781:HHX458793 HRT458781:HRT458793 IBP458781:IBP458793 ILL458781:ILL458793 IVH458781:IVH458793 JFD458781:JFD458793 JOZ458781:JOZ458793 JYV458781:JYV458793 KIR458781:KIR458793 KSN458781:KSN458793 LCJ458781:LCJ458793 LMF458781:LMF458793 LWB458781:LWB458793 MFX458781:MFX458793 MPT458781:MPT458793 MZP458781:MZP458793 NJL458781:NJL458793 NTH458781:NTH458793 ODD458781:ODD458793 OMZ458781:OMZ458793 OWV458781:OWV458793 PGR458781:PGR458793 PQN458781:PQN458793 QAJ458781:QAJ458793 QKF458781:QKF458793 QUB458781:QUB458793 RDX458781:RDX458793 RNT458781:RNT458793 RXP458781:RXP458793 SHL458781:SHL458793 SRH458781:SRH458793 TBD458781:TBD458793 TKZ458781:TKZ458793 TUV458781:TUV458793 UER458781:UER458793 UON458781:UON458793 UYJ458781:UYJ458793 VIF458781:VIF458793 VSB458781:VSB458793 WBX458781:WBX458793 WLT458781:WLT458793 WVP458781:WVP458793 H524317:H524329 JD524317:JD524329 SZ524317:SZ524329 ACV524317:ACV524329 AMR524317:AMR524329 AWN524317:AWN524329 BGJ524317:BGJ524329 BQF524317:BQF524329 CAB524317:CAB524329 CJX524317:CJX524329 CTT524317:CTT524329 DDP524317:DDP524329 DNL524317:DNL524329 DXH524317:DXH524329 EHD524317:EHD524329 EQZ524317:EQZ524329 FAV524317:FAV524329 FKR524317:FKR524329 FUN524317:FUN524329 GEJ524317:GEJ524329 GOF524317:GOF524329 GYB524317:GYB524329 HHX524317:HHX524329 HRT524317:HRT524329 IBP524317:IBP524329 ILL524317:ILL524329 IVH524317:IVH524329 JFD524317:JFD524329 JOZ524317:JOZ524329 JYV524317:JYV524329 KIR524317:KIR524329 KSN524317:KSN524329 LCJ524317:LCJ524329 LMF524317:LMF524329 LWB524317:LWB524329 MFX524317:MFX524329 MPT524317:MPT524329 MZP524317:MZP524329 NJL524317:NJL524329 NTH524317:NTH524329 ODD524317:ODD524329 OMZ524317:OMZ524329 OWV524317:OWV524329 PGR524317:PGR524329 PQN524317:PQN524329 QAJ524317:QAJ524329 QKF524317:QKF524329 QUB524317:QUB524329 RDX524317:RDX524329 RNT524317:RNT524329 RXP524317:RXP524329 SHL524317:SHL524329 SRH524317:SRH524329 TBD524317:TBD524329 TKZ524317:TKZ524329 TUV524317:TUV524329 UER524317:UER524329 UON524317:UON524329 UYJ524317:UYJ524329 VIF524317:VIF524329 VSB524317:VSB524329 WBX524317:WBX524329 WLT524317:WLT524329 WVP524317:WVP524329 H589853:H589865 JD589853:JD589865 SZ589853:SZ589865 ACV589853:ACV589865 AMR589853:AMR589865 AWN589853:AWN589865 BGJ589853:BGJ589865 BQF589853:BQF589865 CAB589853:CAB589865 CJX589853:CJX589865 CTT589853:CTT589865 DDP589853:DDP589865 DNL589853:DNL589865 DXH589853:DXH589865 EHD589853:EHD589865 EQZ589853:EQZ589865 FAV589853:FAV589865 FKR589853:FKR589865 FUN589853:FUN589865 GEJ589853:GEJ589865 GOF589853:GOF589865 GYB589853:GYB589865 HHX589853:HHX589865 HRT589853:HRT589865 IBP589853:IBP589865 ILL589853:ILL589865 IVH589853:IVH589865 JFD589853:JFD589865 JOZ589853:JOZ589865 JYV589853:JYV589865 KIR589853:KIR589865 KSN589853:KSN589865 LCJ589853:LCJ589865 LMF589853:LMF589865 LWB589853:LWB589865 MFX589853:MFX589865 MPT589853:MPT589865 MZP589853:MZP589865 NJL589853:NJL589865 NTH589853:NTH589865 ODD589853:ODD589865 OMZ589853:OMZ589865 OWV589853:OWV589865 PGR589853:PGR589865 PQN589853:PQN589865 QAJ589853:QAJ589865 QKF589853:QKF589865 QUB589853:QUB589865 RDX589853:RDX589865 RNT589853:RNT589865 RXP589853:RXP589865 SHL589853:SHL589865 SRH589853:SRH589865 TBD589853:TBD589865 TKZ589853:TKZ589865 TUV589853:TUV589865 UER589853:UER589865 UON589853:UON589865 UYJ589853:UYJ589865 VIF589853:VIF589865 VSB589853:VSB589865 WBX589853:WBX589865 WLT589853:WLT589865 WVP589853:WVP589865 H655389:H655401 JD655389:JD655401 SZ655389:SZ655401 ACV655389:ACV655401 AMR655389:AMR655401 AWN655389:AWN655401 BGJ655389:BGJ655401 BQF655389:BQF655401 CAB655389:CAB655401 CJX655389:CJX655401 CTT655389:CTT655401 DDP655389:DDP655401 DNL655389:DNL655401 DXH655389:DXH655401 EHD655389:EHD655401 EQZ655389:EQZ655401 FAV655389:FAV655401 FKR655389:FKR655401 FUN655389:FUN655401 GEJ655389:GEJ655401 GOF655389:GOF655401 GYB655389:GYB655401 HHX655389:HHX655401 HRT655389:HRT655401 IBP655389:IBP655401 ILL655389:ILL655401 IVH655389:IVH655401 JFD655389:JFD655401 JOZ655389:JOZ655401 JYV655389:JYV655401 KIR655389:KIR655401 KSN655389:KSN655401 LCJ655389:LCJ655401 LMF655389:LMF655401 LWB655389:LWB655401 MFX655389:MFX655401 MPT655389:MPT655401 MZP655389:MZP655401 NJL655389:NJL655401 NTH655389:NTH655401 ODD655389:ODD655401 OMZ655389:OMZ655401 OWV655389:OWV655401 PGR655389:PGR655401 PQN655389:PQN655401 QAJ655389:QAJ655401 QKF655389:QKF655401 QUB655389:QUB655401 RDX655389:RDX655401 RNT655389:RNT655401 RXP655389:RXP655401 SHL655389:SHL655401 SRH655389:SRH655401 TBD655389:TBD655401 TKZ655389:TKZ655401 TUV655389:TUV655401 UER655389:UER655401 UON655389:UON655401 UYJ655389:UYJ655401 VIF655389:VIF655401 VSB655389:VSB655401 WBX655389:WBX655401 WLT655389:WLT655401 WVP655389:WVP655401 H720925:H720937 JD720925:JD720937 SZ720925:SZ720937 ACV720925:ACV720937 AMR720925:AMR720937 AWN720925:AWN720937 BGJ720925:BGJ720937 BQF720925:BQF720937 CAB720925:CAB720937 CJX720925:CJX720937 CTT720925:CTT720937 DDP720925:DDP720937 DNL720925:DNL720937 DXH720925:DXH720937 EHD720925:EHD720937 EQZ720925:EQZ720937 FAV720925:FAV720937 FKR720925:FKR720937 FUN720925:FUN720937 GEJ720925:GEJ720937 GOF720925:GOF720937 GYB720925:GYB720937 HHX720925:HHX720937 HRT720925:HRT720937 IBP720925:IBP720937 ILL720925:ILL720937 IVH720925:IVH720937 JFD720925:JFD720937 JOZ720925:JOZ720937 JYV720925:JYV720937 KIR720925:KIR720937 KSN720925:KSN720937 LCJ720925:LCJ720937 LMF720925:LMF720937 LWB720925:LWB720937 MFX720925:MFX720937 MPT720925:MPT720937 MZP720925:MZP720937 NJL720925:NJL720937 NTH720925:NTH720937 ODD720925:ODD720937 OMZ720925:OMZ720937 OWV720925:OWV720937 PGR720925:PGR720937 PQN720925:PQN720937 QAJ720925:QAJ720937 QKF720925:QKF720937 QUB720925:QUB720937 RDX720925:RDX720937 RNT720925:RNT720937 RXP720925:RXP720937 SHL720925:SHL720937 SRH720925:SRH720937 TBD720925:TBD720937 TKZ720925:TKZ720937 TUV720925:TUV720937 UER720925:UER720937 UON720925:UON720937 UYJ720925:UYJ720937 VIF720925:VIF720937 VSB720925:VSB720937 WBX720925:WBX720937 WLT720925:WLT720937 WVP720925:WVP720937 H786461:H786473 JD786461:JD786473 SZ786461:SZ786473 ACV786461:ACV786473 AMR786461:AMR786473 AWN786461:AWN786473 BGJ786461:BGJ786473 BQF786461:BQF786473 CAB786461:CAB786473 CJX786461:CJX786473 CTT786461:CTT786473 DDP786461:DDP786473 DNL786461:DNL786473 DXH786461:DXH786473 EHD786461:EHD786473 EQZ786461:EQZ786473 FAV786461:FAV786473 FKR786461:FKR786473 FUN786461:FUN786473 GEJ786461:GEJ786473 GOF786461:GOF786473 GYB786461:GYB786473 HHX786461:HHX786473 HRT786461:HRT786473 IBP786461:IBP786473 ILL786461:ILL786473 IVH786461:IVH786473 JFD786461:JFD786473 JOZ786461:JOZ786473 JYV786461:JYV786473 KIR786461:KIR786473 KSN786461:KSN786473 LCJ786461:LCJ786473 LMF786461:LMF786473 LWB786461:LWB786473 MFX786461:MFX786473 MPT786461:MPT786473 MZP786461:MZP786473 NJL786461:NJL786473 NTH786461:NTH786473 ODD786461:ODD786473 OMZ786461:OMZ786473 OWV786461:OWV786473 PGR786461:PGR786473 PQN786461:PQN786473 QAJ786461:QAJ786473 QKF786461:QKF786473 QUB786461:QUB786473 RDX786461:RDX786473 RNT786461:RNT786473 RXP786461:RXP786473 SHL786461:SHL786473 SRH786461:SRH786473 TBD786461:TBD786473 TKZ786461:TKZ786473 TUV786461:TUV786473 UER786461:UER786473 UON786461:UON786473 UYJ786461:UYJ786473 VIF786461:VIF786473 VSB786461:VSB786473 WBX786461:WBX786473 WLT786461:WLT786473 WVP786461:WVP786473 H851997:H852009 JD851997:JD852009 SZ851997:SZ852009 ACV851997:ACV852009 AMR851997:AMR852009 AWN851997:AWN852009 BGJ851997:BGJ852009 BQF851997:BQF852009 CAB851997:CAB852009 CJX851997:CJX852009 CTT851997:CTT852009 DDP851997:DDP852009 DNL851997:DNL852009 DXH851997:DXH852009 EHD851997:EHD852009 EQZ851997:EQZ852009 FAV851997:FAV852009 FKR851997:FKR852009 FUN851997:FUN852009 GEJ851997:GEJ852009 GOF851997:GOF852009 GYB851997:GYB852009 HHX851997:HHX852009 HRT851997:HRT852009 IBP851997:IBP852009 ILL851997:ILL852009 IVH851997:IVH852009 JFD851997:JFD852009 JOZ851997:JOZ852009 JYV851997:JYV852009 KIR851997:KIR852009 KSN851997:KSN852009 LCJ851997:LCJ852009 LMF851997:LMF852009 LWB851997:LWB852009 MFX851997:MFX852009 MPT851997:MPT852009 MZP851997:MZP852009 NJL851997:NJL852009 NTH851997:NTH852009 ODD851997:ODD852009 OMZ851997:OMZ852009 OWV851997:OWV852009 PGR851997:PGR852009 PQN851997:PQN852009 QAJ851997:QAJ852009 QKF851997:QKF852009 QUB851997:QUB852009 RDX851997:RDX852009 RNT851997:RNT852009 RXP851997:RXP852009 SHL851997:SHL852009 SRH851997:SRH852009 TBD851997:TBD852009 TKZ851997:TKZ852009 TUV851997:TUV852009 UER851997:UER852009 UON851997:UON852009 UYJ851997:UYJ852009 VIF851997:VIF852009 VSB851997:VSB852009 WBX851997:WBX852009 WLT851997:WLT852009 WVP851997:WVP852009 H917533:H917545 JD917533:JD917545 SZ917533:SZ917545 ACV917533:ACV917545 AMR917533:AMR917545 AWN917533:AWN917545 BGJ917533:BGJ917545 BQF917533:BQF917545 CAB917533:CAB917545 CJX917533:CJX917545 CTT917533:CTT917545 DDP917533:DDP917545 DNL917533:DNL917545 DXH917533:DXH917545 EHD917533:EHD917545 EQZ917533:EQZ917545 FAV917533:FAV917545 FKR917533:FKR917545 FUN917533:FUN917545 GEJ917533:GEJ917545 GOF917533:GOF917545 GYB917533:GYB917545 HHX917533:HHX917545 HRT917533:HRT917545 IBP917533:IBP917545 ILL917533:ILL917545 IVH917533:IVH917545 JFD917533:JFD917545 JOZ917533:JOZ917545 JYV917533:JYV917545 KIR917533:KIR917545 KSN917533:KSN917545 LCJ917533:LCJ917545 LMF917533:LMF917545 LWB917533:LWB917545 MFX917533:MFX917545 MPT917533:MPT917545 MZP917533:MZP917545 NJL917533:NJL917545 NTH917533:NTH917545 ODD917533:ODD917545 OMZ917533:OMZ917545 OWV917533:OWV917545 PGR917533:PGR917545 PQN917533:PQN917545 QAJ917533:QAJ917545 QKF917533:QKF917545 QUB917533:QUB917545 RDX917533:RDX917545 RNT917533:RNT917545 RXP917533:RXP917545 SHL917533:SHL917545 SRH917533:SRH917545 TBD917533:TBD917545 TKZ917533:TKZ917545 TUV917533:TUV917545 UER917533:UER917545 UON917533:UON917545 UYJ917533:UYJ917545 VIF917533:VIF917545 VSB917533:VSB917545 WBX917533:WBX917545 WLT917533:WLT917545 WVP917533:WVP917545 H983069:H983081 JD983069:JD983081 SZ983069:SZ983081 ACV983069:ACV983081 AMR983069:AMR983081 AWN983069:AWN983081 BGJ983069:BGJ983081 BQF983069:BQF983081 CAB983069:CAB983081 CJX983069:CJX983081 CTT983069:CTT983081 DDP983069:DDP983081 DNL983069:DNL983081 DXH983069:DXH983081 EHD983069:EHD983081 EQZ983069:EQZ983081 FAV983069:FAV983081 FKR983069:FKR983081 FUN983069:FUN983081 GEJ983069:GEJ983081 GOF983069:GOF983081 GYB983069:GYB983081 HHX983069:HHX983081 HRT983069:HRT983081 IBP983069:IBP983081 ILL983069:ILL983081 IVH983069:IVH983081 JFD983069:JFD983081 JOZ983069:JOZ983081 JYV983069:JYV983081 KIR983069:KIR983081 KSN983069:KSN983081 LCJ983069:LCJ983081 LMF983069:LMF983081 LWB983069:LWB983081 MFX983069:MFX983081 MPT983069:MPT983081 MZP983069:MZP983081 NJL983069:NJL983081 NTH983069:NTH983081 ODD983069:ODD983081 OMZ983069:OMZ983081 OWV983069:OWV983081 PGR983069:PGR983081 PQN983069:PQN983081 QAJ983069:QAJ983081 QKF983069:QKF983081 QUB983069:QUB983081 RDX983069:RDX983081 RNT983069:RNT983081 RXP983069:RXP983081 SHL983069:SHL983081 SRH983069:SRH983081 TBD983069:TBD983081 TKZ983069:TKZ983081 TUV983069:TUV983081 UER983069:UER983081 UON983069:UON983081 UYJ983069:UYJ983081 VIF983069:VIF983081 VSB983069:VSB983081 WBX983069:WBX983081" xr:uid="{E14890D8-8889-4E7B-AF57-103564BAD283}">
      <formula1>Entidades</formula1>
    </dataValidation>
    <dataValidation type="list" allowBlank="1" showInputMessage="1" showErrorMessage="1" sqref="C22:E22 IY22:JA22 SU22:SW22 ACQ22:ACS22 AMM22:AMO22 AWI22:AWK22 BGE22:BGG22 BQA22:BQC22 BZW22:BZY22 CJS22:CJU22 CTO22:CTQ22 DDK22:DDM22 DNG22:DNI22 DXC22:DXE22 EGY22:EHA22 EQU22:EQW22 FAQ22:FAS22 FKM22:FKO22 FUI22:FUK22 GEE22:GEG22 GOA22:GOC22 GXW22:GXY22 HHS22:HHU22 HRO22:HRQ22 IBK22:IBM22 ILG22:ILI22 IVC22:IVE22 JEY22:JFA22 JOU22:JOW22 JYQ22:JYS22 KIM22:KIO22 KSI22:KSK22 LCE22:LCG22 LMA22:LMC22 LVW22:LVY22 MFS22:MFU22 MPO22:MPQ22 MZK22:MZM22 NJG22:NJI22 NTC22:NTE22 OCY22:ODA22 OMU22:OMW22 OWQ22:OWS22 PGM22:PGO22 PQI22:PQK22 QAE22:QAG22 QKA22:QKC22 QTW22:QTY22 RDS22:RDU22 RNO22:RNQ22 RXK22:RXM22 SHG22:SHI22 SRC22:SRE22 TAY22:TBA22 TKU22:TKW22 TUQ22:TUS22 UEM22:UEO22 UOI22:UOK22 UYE22:UYG22 VIA22:VIC22 VRW22:VRY22 WBS22:WBU22 WLO22:WLQ22 WVK22:WVM22 C65558:E65558 IY65558:JA65558 SU65558:SW65558 ACQ65558:ACS65558 AMM65558:AMO65558 AWI65558:AWK65558 BGE65558:BGG65558 BQA65558:BQC65558 BZW65558:BZY65558 CJS65558:CJU65558 CTO65558:CTQ65558 DDK65558:DDM65558 DNG65558:DNI65558 DXC65558:DXE65558 EGY65558:EHA65558 EQU65558:EQW65558 FAQ65558:FAS65558 FKM65558:FKO65558 FUI65558:FUK65558 GEE65558:GEG65558 GOA65558:GOC65558 GXW65558:GXY65558 HHS65558:HHU65558 HRO65558:HRQ65558 IBK65558:IBM65558 ILG65558:ILI65558 IVC65558:IVE65558 JEY65558:JFA65558 JOU65558:JOW65558 JYQ65558:JYS65558 KIM65558:KIO65558 KSI65558:KSK65558 LCE65558:LCG65558 LMA65558:LMC65558 LVW65558:LVY65558 MFS65558:MFU65558 MPO65558:MPQ65558 MZK65558:MZM65558 NJG65558:NJI65558 NTC65558:NTE65558 OCY65558:ODA65558 OMU65558:OMW65558 OWQ65558:OWS65558 PGM65558:PGO65558 PQI65558:PQK65558 QAE65558:QAG65558 QKA65558:QKC65558 QTW65558:QTY65558 RDS65558:RDU65558 RNO65558:RNQ65558 RXK65558:RXM65558 SHG65558:SHI65558 SRC65558:SRE65558 TAY65558:TBA65558 TKU65558:TKW65558 TUQ65558:TUS65558 UEM65558:UEO65558 UOI65558:UOK65558 UYE65558:UYG65558 VIA65558:VIC65558 VRW65558:VRY65558 WBS65558:WBU65558 WLO65558:WLQ65558 WVK65558:WVM65558 C131094:E131094 IY131094:JA131094 SU131094:SW131094 ACQ131094:ACS131094 AMM131094:AMO131094 AWI131094:AWK131094 BGE131094:BGG131094 BQA131094:BQC131094 BZW131094:BZY131094 CJS131094:CJU131094 CTO131094:CTQ131094 DDK131094:DDM131094 DNG131094:DNI131094 DXC131094:DXE131094 EGY131094:EHA131094 EQU131094:EQW131094 FAQ131094:FAS131094 FKM131094:FKO131094 FUI131094:FUK131094 GEE131094:GEG131094 GOA131094:GOC131094 GXW131094:GXY131094 HHS131094:HHU131094 HRO131094:HRQ131094 IBK131094:IBM131094 ILG131094:ILI131094 IVC131094:IVE131094 JEY131094:JFA131094 JOU131094:JOW131094 JYQ131094:JYS131094 KIM131094:KIO131094 KSI131094:KSK131094 LCE131094:LCG131094 LMA131094:LMC131094 LVW131094:LVY131094 MFS131094:MFU131094 MPO131094:MPQ131094 MZK131094:MZM131094 NJG131094:NJI131094 NTC131094:NTE131094 OCY131094:ODA131094 OMU131094:OMW131094 OWQ131094:OWS131094 PGM131094:PGO131094 PQI131094:PQK131094 QAE131094:QAG131094 QKA131094:QKC131094 QTW131094:QTY131094 RDS131094:RDU131094 RNO131094:RNQ131094 RXK131094:RXM131094 SHG131094:SHI131094 SRC131094:SRE131094 TAY131094:TBA131094 TKU131094:TKW131094 TUQ131094:TUS131094 UEM131094:UEO131094 UOI131094:UOK131094 UYE131094:UYG131094 VIA131094:VIC131094 VRW131094:VRY131094 WBS131094:WBU131094 WLO131094:WLQ131094 WVK131094:WVM131094 C196630:E196630 IY196630:JA196630 SU196630:SW196630 ACQ196630:ACS196630 AMM196630:AMO196630 AWI196630:AWK196630 BGE196630:BGG196630 BQA196630:BQC196630 BZW196630:BZY196630 CJS196630:CJU196630 CTO196630:CTQ196630 DDK196630:DDM196630 DNG196630:DNI196630 DXC196630:DXE196630 EGY196630:EHA196630 EQU196630:EQW196630 FAQ196630:FAS196630 FKM196630:FKO196630 FUI196630:FUK196630 GEE196630:GEG196630 GOA196630:GOC196630 GXW196630:GXY196630 HHS196630:HHU196630 HRO196630:HRQ196630 IBK196630:IBM196630 ILG196630:ILI196630 IVC196630:IVE196630 JEY196630:JFA196630 JOU196630:JOW196630 JYQ196630:JYS196630 KIM196630:KIO196630 KSI196630:KSK196630 LCE196630:LCG196630 LMA196630:LMC196630 LVW196630:LVY196630 MFS196630:MFU196630 MPO196630:MPQ196630 MZK196630:MZM196630 NJG196630:NJI196630 NTC196630:NTE196630 OCY196630:ODA196630 OMU196630:OMW196630 OWQ196630:OWS196630 PGM196630:PGO196630 PQI196630:PQK196630 QAE196630:QAG196630 QKA196630:QKC196630 QTW196630:QTY196630 RDS196630:RDU196630 RNO196630:RNQ196630 RXK196630:RXM196630 SHG196630:SHI196630 SRC196630:SRE196630 TAY196630:TBA196630 TKU196630:TKW196630 TUQ196630:TUS196630 UEM196630:UEO196630 UOI196630:UOK196630 UYE196630:UYG196630 VIA196630:VIC196630 VRW196630:VRY196630 WBS196630:WBU196630 WLO196630:WLQ196630 WVK196630:WVM196630 C262166:E262166 IY262166:JA262166 SU262166:SW262166 ACQ262166:ACS262166 AMM262166:AMO262166 AWI262166:AWK262166 BGE262166:BGG262166 BQA262166:BQC262166 BZW262166:BZY262166 CJS262166:CJU262166 CTO262166:CTQ262166 DDK262166:DDM262166 DNG262166:DNI262166 DXC262166:DXE262166 EGY262166:EHA262166 EQU262166:EQW262166 FAQ262166:FAS262166 FKM262166:FKO262166 FUI262166:FUK262166 GEE262166:GEG262166 GOA262166:GOC262166 GXW262166:GXY262166 HHS262166:HHU262166 HRO262166:HRQ262166 IBK262166:IBM262166 ILG262166:ILI262166 IVC262166:IVE262166 JEY262166:JFA262166 JOU262166:JOW262166 JYQ262166:JYS262166 KIM262166:KIO262166 KSI262166:KSK262166 LCE262166:LCG262166 LMA262166:LMC262166 LVW262166:LVY262166 MFS262166:MFU262166 MPO262166:MPQ262166 MZK262166:MZM262166 NJG262166:NJI262166 NTC262166:NTE262166 OCY262166:ODA262166 OMU262166:OMW262166 OWQ262166:OWS262166 PGM262166:PGO262166 PQI262166:PQK262166 QAE262166:QAG262166 QKA262166:QKC262166 QTW262166:QTY262166 RDS262166:RDU262166 RNO262166:RNQ262166 RXK262166:RXM262166 SHG262166:SHI262166 SRC262166:SRE262166 TAY262166:TBA262166 TKU262166:TKW262166 TUQ262166:TUS262166 UEM262166:UEO262166 UOI262166:UOK262166 UYE262166:UYG262166 VIA262166:VIC262166 VRW262166:VRY262166 WBS262166:WBU262166 WLO262166:WLQ262166 WVK262166:WVM262166 C327702:E327702 IY327702:JA327702 SU327702:SW327702 ACQ327702:ACS327702 AMM327702:AMO327702 AWI327702:AWK327702 BGE327702:BGG327702 BQA327702:BQC327702 BZW327702:BZY327702 CJS327702:CJU327702 CTO327702:CTQ327702 DDK327702:DDM327702 DNG327702:DNI327702 DXC327702:DXE327702 EGY327702:EHA327702 EQU327702:EQW327702 FAQ327702:FAS327702 FKM327702:FKO327702 FUI327702:FUK327702 GEE327702:GEG327702 GOA327702:GOC327702 GXW327702:GXY327702 HHS327702:HHU327702 HRO327702:HRQ327702 IBK327702:IBM327702 ILG327702:ILI327702 IVC327702:IVE327702 JEY327702:JFA327702 JOU327702:JOW327702 JYQ327702:JYS327702 KIM327702:KIO327702 KSI327702:KSK327702 LCE327702:LCG327702 LMA327702:LMC327702 LVW327702:LVY327702 MFS327702:MFU327702 MPO327702:MPQ327702 MZK327702:MZM327702 NJG327702:NJI327702 NTC327702:NTE327702 OCY327702:ODA327702 OMU327702:OMW327702 OWQ327702:OWS327702 PGM327702:PGO327702 PQI327702:PQK327702 QAE327702:QAG327702 QKA327702:QKC327702 QTW327702:QTY327702 RDS327702:RDU327702 RNO327702:RNQ327702 RXK327702:RXM327702 SHG327702:SHI327702 SRC327702:SRE327702 TAY327702:TBA327702 TKU327702:TKW327702 TUQ327702:TUS327702 UEM327702:UEO327702 UOI327702:UOK327702 UYE327702:UYG327702 VIA327702:VIC327702 VRW327702:VRY327702 WBS327702:WBU327702 WLO327702:WLQ327702 WVK327702:WVM327702 C393238:E393238 IY393238:JA393238 SU393238:SW393238 ACQ393238:ACS393238 AMM393238:AMO393238 AWI393238:AWK393238 BGE393238:BGG393238 BQA393238:BQC393238 BZW393238:BZY393238 CJS393238:CJU393238 CTO393238:CTQ393238 DDK393238:DDM393238 DNG393238:DNI393238 DXC393238:DXE393238 EGY393238:EHA393238 EQU393238:EQW393238 FAQ393238:FAS393238 FKM393238:FKO393238 FUI393238:FUK393238 GEE393238:GEG393238 GOA393238:GOC393238 GXW393238:GXY393238 HHS393238:HHU393238 HRO393238:HRQ393238 IBK393238:IBM393238 ILG393238:ILI393238 IVC393238:IVE393238 JEY393238:JFA393238 JOU393238:JOW393238 JYQ393238:JYS393238 KIM393238:KIO393238 KSI393238:KSK393238 LCE393238:LCG393238 LMA393238:LMC393238 LVW393238:LVY393238 MFS393238:MFU393238 MPO393238:MPQ393238 MZK393238:MZM393238 NJG393238:NJI393238 NTC393238:NTE393238 OCY393238:ODA393238 OMU393238:OMW393238 OWQ393238:OWS393238 PGM393238:PGO393238 PQI393238:PQK393238 QAE393238:QAG393238 QKA393238:QKC393238 QTW393238:QTY393238 RDS393238:RDU393238 RNO393238:RNQ393238 RXK393238:RXM393238 SHG393238:SHI393238 SRC393238:SRE393238 TAY393238:TBA393238 TKU393238:TKW393238 TUQ393238:TUS393238 UEM393238:UEO393238 UOI393238:UOK393238 UYE393238:UYG393238 VIA393238:VIC393238 VRW393238:VRY393238 WBS393238:WBU393238 WLO393238:WLQ393238 WVK393238:WVM393238 C458774:E458774 IY458774:JA458774 SU458774:SW458774 ACQ458774:ACS458774 AMM458774:AMO458774 AWI458774:AWK458774 BGE458774:BGG458774 BQA458774:BQC458774 BZW458774:BZY458774 CJS458774:CJU458774 CTO458774:CTQ458774 DDK458774:DDM458774 DNG458774:DNI458774 DXC458774:DXE458774 EGY458774:EHA458774 EQU458774:EQW458774 FAQ458774:FAS458774 FKM458774:FKO458774 FUI458774:FUK458774 GEE458774:GEG458774 GOA458774:GOC458774 GXW458774:GXY458774 HHS458774:HHU458774 HRO458774:HRQ458774 IBK458774:IBM458774 ILG458774:ILI458774 IVC458774:IVE458774 JEY458774:JFA458774 JOU458774:JOW458774 JYQ458774:JYS458774 KIM458774:KIO458774 KSI458774:KSK458774 LCE458774:LCG458774 LMA458774:LMC458774 LVW458774:LVY458774 MFS458774:MFU458774 MPO458774:MPQ458774 MZK458774:MZM458774 NJG458774:NJI458774 NTC458774:NTE458774 OCY458774:ODA458774 OMU458774:OMW458774 OWQ458774:OWS458774 PGM458774:PGO458774 PQI458774:PQK458774 QAE458774:QAG458774 QKA458774:QKC458774 QTW458774:QTY458774 RDS458774:RDU458774 RNO458774:RNQ458774 RXK458774:RXM458774 SHG458774:SHI458774 SRC458774:SRE458774 TAY458774:TBA458774 TKU458774:TKW458774 TUQ458774:TUS458774 UEM458774:UEO458774 UOI458774:UOK458774 UYE458774:UYG458774 VIA458774:VIC458774 VRW458774:VRY458774 WBS458774:WBU458774 WLO458774:WLQ458774 WVK458774:WVM458774 C524310:E524310 IY524310:JA524310 SU524310:SW524310 ACQ524310:ACS524310 AMM524310:AMO524310 AWI524310:AWK524310 BGE524310:BGG524310 BQA524310:BQC524310 BZW524310:BZY524310 CJS524310:CJU524310 CTO524310:CTQ524310 DDK524310:DDM524310 DNG524310:DNI524310 DXC524310:DXE524310 EGY524310:EHA524310 EQU524310:EQW524310 FAQ524310:FAS524310 FKM524310:FKO524310 FUI524310:FUK524310 GEE524310:GEG524310 GOA524310:GOC524310 GXW524310:GXY524310 HHS524310:HHU524310 HRO524310:HRQ524310 IBK524310:IBM524310 ILG524310:ILI524310 IVC524310:IVE524310 JEY524310:JFA524310 JOU524310:JOW524310 JYQ524310:JYS524310 KIM524310:KIO524310 KSI524310:KSK524310 LCE524310:LCG524310 LMA524310:LMC524310 LVW524310:LVY524310 MFS524310:MFU524310 MPO524310:MPQ524310 MZK524310:MZM524310 NJG524310:NJI524310 NTC524310:NTE524310 OCY524310:ODA524310 OMU524310:OMW524310 OWQ524310:OWS524310 PGM524310:PGO524310 PQI524310:PQK524310 QAE524310:QAG524310 QKA524310:QKC524310 QTW524310:QTY524310 RDS524310:RDU524310 RNO524310:RNQ524310 RXK524310:RXM524310 SHG524310:SHI524310 SRC524310:SRE524310 TAY524310:TBA524310 TKU524310:TKW524310 TUQ524310:TUS524310 UEM524310:UEO524310 UOI524310:UOK524310 UYE524310:UYG524310 VIA524310:VIC524310 VRW524310:VRY524310 WBS524310:WBU524310 WLO524310:WLQ524310 WVK524310:WVM524310 C589846:E589846 IY589846:JA589846 SU589846:SW589846 ACQ589846:ACS589846 AMM589846:AMO589846 AWI589846:AWK589846 BGE589846:BGG589846 BQA589846:BQC589846 BZW589846:BZY589846 CJS589846:CJU589846 CTO589846:CTQ589846 DDK589846:DDM589846 DNG589846:DNI589846 DXC589846:DXE589846 EGY589846:EHA589846 EQU589846:EQW589846 FAQ589846:FAS589846 FKM589846:FKO589846 FUI589846:FUK589846 GEE589846:GEG589846 GOA589846:GOC589846 GXW589846:GXY589846 HHS589846:HHU589846 HRO589846:HRQ589846 IBK589846:IBM589846 ILG589846:ILI589846 IVC589846:IVE589846 JEY589846:JFA589846 JOU589846:JOW589846 JYQ589846:JYS589846 KIM589846:KIO589846 KSI589846:KSK589846 LCE589846:LCG589846 LMA589846:LMC589846 LVW589846:LVY589846 MFS589846:MFU589846 MPO589846:MPQ589846 MZK589846:MZM589846 NJG589846:NJI589846 NTC589846:NTE589846 OCY589846:ODA589846 OMU589846:OMW589846 OWQ589846:OWS589846 PGM589846:PGO589846 PQI589846:PQK589846 QAE589846:QAG589846 QKA589846:QKC589846 QTW589846:QTY589846 RDS589846:RDU589846 RNO589846:RNQ589846 RXK589846:RXM589846 SHG589846:SHI589846 SRC589846:SRE589846 TAY589846:TBA589846 TKU589846:TKW589846 TUQ589846:TUS589846 UEM589846:UEO589846 UOI589846:UOK589846 UYE589846:UYG589846 VIA589846:VIC589846 VRW589846:VRY589846 WBS589846:WBU589846 WLO589846:WLQ589846 WVK589846:WVM589846 C655382:E655382 IY655382:JA655382 SU655382:SW655382 ACQ655382:ACS655382 AMM655382:AMO655382 AWI655382:AWK655382 BGE655382:BGG655382 BQA655382:BQC655382 BZW655382:BZY655382 CJS655382:CJU655382 CTO655382:CTQ655382 DDK655382:DDM655382 DNG655382:DNI655382 DXC655382:DXE655382 EGY655382:EHA655382 EQU655382:EQW655382 FAQ655382:FAS655382 FKM655382:FKO655382 FUI655382:FUK655382 GEE655382:GEG655382 GOA655382:GOC655382 GXW655382:GXY655382 HHS655382:HHU655382 HRO655382:HRQ655382 IBK655382:IBM655382 ILG655382:ILI655382 IVC655382:IVE655382 JEY655382:JFA655382 JOU655382:JOW655382 JYQ655382:JYS655382 KIM655382:KIO655382 KSI655382:KSK655382 LCE655382:LCG655382 LMA655382:LMC655382 LVW655382:LVY655382 MFS655382:MFU655382 MPO655382:MPQ655382 MZK655382:MZM655382 NJG655382:NJI655382 NTC655382:NTE655382 OCY655382:ODA655382 OMU655382:OMW655382 OWQ655382:OWS655382 PGM655382:PGO655382 PQI655382:PQK655382 QAE655382:QAG655382 QKA655382:QKC655382 QTW655382:QTY655382 RDS655382:RDU655382 RNO655382:RNQ655382 RXK655382:RXM655382 SHG655382:SHI655382 SRC655382:SRE655382 TAY655382:TBA655382 TKU655382:TKW655382 TUQ655382:TUS655382 UEM655382:UEO655382 UOI655382:UOK655382 UYE655382:UYG655382 VIA655382:VIC655382 VRW655382:VRY655382 WBS655382:WBU655382 WLO655382:WLQ655382 WVK655382:WVM655382 C720918:E720918 IY720918:JA720918 SU720918:SW720918 ACQ720918:ACS720918 AMM720918:AMO720918 AWI720918:AWK720918 BGE720918:BGG720918 BQA720918:BQC720918 BZW720918:BZY720918 CJS720918:CJU720918 CTO720918:CTQ720918 DDK720918:DDM720918 DNG720918:DNI720918 DXC720918:DXE720918 EGY720918:EHA720918 EQU720918:EQW720918 FAQ720918:FAS720918 FKM720918:FKO720918 FUI720918:FUK720918 GEE720918:GEG720918 GOA720918:GOC720918 GXW720918:GXY720918 HHS720918:HHU720918 HRO720918:HRQ720918 IBK720918:IBM720918 ILG720918:ILI720918 IVC720918:IVE720918 JEY720918:JFA720918 JOU720918:JOW720918 JYQ720918:JYS720918 KIM720918:KIO720918 KSI720918:KSK720918 LCE720918:LCG720918 LMA720918:LMC720918 LVW720918:LVY720918 MFS720918:MFU720918 MPO720918:MPQ720918 MZK720918:MZM720918 NJG720918:NJI720918 NTC720918:NTE720918 OCY720918:ODA720918 OMU720918:OMW720918 OWQ720918:OWS720918 PGM720918:PGO720918 PQI720918:PQK720918 QAE720918:QAG720918 QKA720918:QKC720918 QTW720918:QTY720918 RDS720918:RDU720918 RNO720918:RNQ720918 RXK720918:RXM720918 SHG720918:SHI720918 SRC720918:SRE720918 TAY720918:TBA720918 TKU720918:TKW720918 TUQ720918:TUS720918 UEM720918:UEO720918 UOI720918:UOK720918 UYE720918:UYG720918 VIA720918:VIC720918 VRW720918:VRY720918 WBS720918:WBU720918 WLO720918:WLQ720918 WVK720918:WVM720918 C786454:E786454 IY786454:JA786454 SU786454:SW786454 ACQ786454:ACS786454 AMM786454:AMO786454 AWI786454:AWK786454 BGE786454:BGG786454 BQA786454:BQC786454 BZW786454:BZY786454 CJS786454:CJU786454 CTO786454:CTQ786454 DDK786454:DDM786454 DNG786454:DNI786454 DXC786454:DXE786454 EGY786454:EHA786454 EQU786454:EQW786454 FAQ786454:FAS786454 FKM786454:FKO786454 FUI786454:FUK786454 GEE786454:GEG786454 GOA786454:GOC786454 GXW786454:GXY786454 HHS786454:HHU786454 HRO786454:HRQ786454 IBK786454:IBM786454 ILG786454:ILI786454 IVC786454:IVE786454 JEY786454:JFA786454 JOU786454:JOW786454 JYQ786454:JYS786454 KIM786454:KIO786454 KSI786454:KSK786454 LCE786454:LCG786454 LMA786454:LMC786454 LVW786454:LVY786454 MFS786454:MFU786454 MPO786454:MPQ786454 MZK786454:MZM786454 NJG786454:NJI786454 NTC786454:NTE786454 OCY786454:ODA786454 OMU786454:OMW786454 OWQ786454:OWS786454 PGM786454:PGO786454 PQI786454:PQK786454 QAE786454:QAG786454 QKA786454:QKC786454 QTW786454:QTY786454 RDS786454:RDU786454 RNO786454:RNQ786454 RXK786454:RXM786454 SHG786454:SHI786454 SRC786454:SRE786454 TAY786454:TBA786454 TKU786454:TKW786454 TUQ786454:TUS786454 UEM786454:UEO786454 UOI786454:UOK786454 UYE786454:UYG786454 VIA786454:VIC786454 VRW786454:VRY786454 WBS786454:WBU786454 WLO786454:WLQ786454 WVK786454:WVM786454 C851990:E851990 IY851990:JA851990 SU851990:SW851990 ACQ851990:ACS851990 AMM851990:AMO851990 AWI851990:AWK851990 BGE851990:BGG851990 BQA851990:BQC851990 BZW851990:BZY851990 CJS851990:CJU851990 CTO851990:CTQ851990 DDK851990:DDM851990 DNG851990:DNI851990 DXC851990:DXE851990 EGY851990:EHA851990 EQU851990:EQW851990 FAQ851990:FAS851990 FKM851990:FKO851990 FUI851990:FUK851990 GEE851990:GEG851990 GOA851990:GOC851990 GXW851990:GXY851990 HHS851990:HHU851990 HRO851990:HRQ851990 IBK851990:IBM851990 ILG851990:ILI851990 IVC851990:IVE851990 JEY851990:JFA851990 JOU851990:JOW851990 JYQ851990:JYS851990 KIM851990:KIO851990 KSI851990:KSK851990 LCE851990:LCG851990 LMA851990:LMC851990 LVW851990:LVY851990 MFS851990:MFU851990 MPO851990:MPQ851990 MZK851990:MZM851990 NJG851990:NJI851990 NTC851990:NTE851990 OCY851990:ODA851990 OMU851990:OMW851990 OWQ851990:OWS851990 PGM851990:PGO851990 PQI851990:PQK851990 QAE851990:QAG851990 QKA851990:QKC851990 QTW851990:QTY851990 RDS851990:RDU851990 RNO851990:RNQ851990 RXK851990:RXM851990 SHG851990:SHI851990 SRC851990:SRE851990 TAY851990:TBA851990 TKU851990:TKW851990 TUQ851990:TUS851990 UEM851990:UEO851990 UOI851990:UOK851990 UYE851990:UYG851990 VIA851990:VIC851990 VRW851990:VRY851990 WBS851990:WBU851990 WLO851990:WLQ851990 WVK851990:WVM851990 C917526:E917526 IY917526:JA917526 SU917526:SW917526 ACQ917526:ACS917526 AMM917526:AMO917526 AWI917526:AWK917526 BGE917526:BGG917526 BQA917526:BQC917526 BZW917526:BZY917526 CJS917526:CJU917526 CTO917526:CTQ917526 DDK917526:DDM917526 DNG917526:DNI917526 DXC917526:DXE917526 EGY917526:EHA917526 EQU917526:EQW917526 FAQ917526:FAS917526 FKM917526:FKO917526 FUI917526:FUK917526 GEE917526:GEG917526 GOA917526:GOC917526 GXW917526:GXY917526 HHS917526:HHU917526 HRO917526:HRQ917526 IBK917526:IBM917526 ILG917526:ILI917526 IVC917526:IVE917526 JEY917526:JFA917526 JOU917526:JOW917526 JYQ917526:JYS917526 KIM917526:KIO917526 KSI917526:KSK917526 LCE917526:LCG917526 LMA917526:LMC917526 LVW917526:LVY917526 MFS917526:MFU917526 MPO917526:MPQ917526 MZK917526:MZM917526 NJG917526:NJI917526 NTC917526:NTE917526 OCY917526:ODA917526 OMU917526:OMW917526 OWQ917526:OWS917526 PGM917526:PGO917526 PQI917526:PQK917526 QAE917526:QAG917526 QKA917526:QKC917526 QTW917526:QTY917526 RDS917526:RDU917526 RNO917526:RNQ917526 RXK917526:RXM917526 SHG917526:SHI917526 SRC917526:SRE917526 TAY917526:TBA917526 TKU917526:TKW917526 TUQ917526:TUS917526 UEM917526:UEO917526 UOI917526:UOK917526 UYE917526:UYG917526 VIA917526:VIC917526 VRW917526:VRY917526 WBS917526:WBU917526 WLO917526:WLQ917526 WVK917526:WVM917526 C983062:E983062 IY983062:JA983062 SU983062:SW983062 ACQ983062:ACS983062 AMM983062:AMO983062 AWI983062:AWK983062 BGE983062:BGG983062 BQA983062:BQC983062 BZW983062:BZY983062 CJS983062:CJU983062 CTO983062:CTQ983062 DDK983062:DDM983062 DNG983062:DNI983062 DXC983062:DXE983062 EGY983062:EHA983062 EQU983062:EQW983062 FAQ983062:FAS983062 FKM983062:FKO983062 FUI983062:FUK983062 GEE983062:GEG983062 GOA983062:GOC983062 GXW983062:GXY983062 HHS983062:HHU983062 HRO983062:HRQ983062 IBK983062:IBM983062 ILG983062:ILI983062 IVC983062:IVE983062 JEY983062:JFA983062 JOU983062:JOW983062 JYQ983062:JYS983062 KIM983062:KIO983062 KSI983062:KSK983062 LCE983062:LCG983062 LMA983062:LMC983062 LVW983062:LVY983062 MFS983062:MFU983062 MPO983062:MPQ983062 MZK983062:MZM983062 NJG983062:NJI983062 NTC983062:NTE983062 OCY983062:ODA983062 OMU983062:OMW983062 OWQ983062:OWS983062 PGM983062:PGO983062 PQI983062:PQK983062 QAE983062:QAG983062 QKA983062:QKC983062 QTW983062:QTY983062 RDS983062:RDU983062 RNO983062:RNQ983062 RXK983062:RXM983062 SHG983062:SHI983062 SRC983062:SRE983062 TAY983062:TBA983062 TKU983062:TKW983062 TUQ983062:TUS983062 UEM983062:UEO983062 UOI983062:UOK983062 UYE983062:UYG983062 VIA983062:VIC983062 VRW983062:VRY983062 WBS983062:WBU983062 WLO983062:WLQ983062 WVK983062:WVM983062" xr:uid="{84F007E3-355F-476C-93C6-525F83F67273}">
      <formula1>"Cuenta Corriente, Cuenta Vista, Cuenta de Ahorro"</formula1>
    </dataValidation>
    <dataValidation type="list" allowBlank="1" showInputMessage="1" showErrorMessage="1" sqref="WVI983068:WVI983082 IW58:IW86 SS58:SS86 ACO58:ACO86 AMK58:AMK86 AWG58:AWG86 BGC58:BGC86 BPY58:BPY86 BZU58:BZU86 CJQ58:CJQ86 CTM58:CTM86 DDI58:DDI86 DNE58:DNE86 DXA58:DXA86 EGW58:EGW86 EQS58:EQS86 FAO58:FAO86 FKK58:FKK86 FUG58:FUG86 GEC58:GEC86 GNY58:GNY86 GXU58:GXU86 HHQ58:HHQ86 HRM58:HRM86 IBI58:IBI86 ILE58:ILE86 IVA58:IVA86 JEW58:JEW86 JOS58:JOS86 JYO58:JYO86 KIK58:KIK86 KSG58:KSG86 LCC58:LCC86 LLY58:LLY86 LVU58:LVU86 MFQ58:MFQ86 MPM58:MPM86 MZI58:MZI86 NJE58:NJE86 NTA58:NTA86 OCW58:OCW86 OMS58:OMS86 OWO58:OWO86 PGK58:PGK86 PQG58:PQG86 QAC58:QAC86 QJY58:QJY86 QTU58:QTU86 RDQ58:RDQ86 RNM58:RNM86 RXI58:RXI86 SHE58:SHE86 SRA58:SRA86 TAW58:TAW86 TKS58:TKS86 TUO58:TUO86 UEK58:UEK86 UOG58:UOG86 UYC58:UYC86 VHY58:VHY86 VRU58:VRU86 WBQ58:WBQ86 WLM58:WLM86 WVI58:WVI86 A65594:A65622 IW65594:IW65622 SS65594:SS65622 ACO65594:ACO65622 AMK65594:AMK65622 AWG65594:AWG65622 BGC65594:BGC65622 BPY65594:BPY65622 BZU65594:BZU65622 CJQ65594:CJQ65622 CTM65594:CTM65622 DDI65594:DDI65622 DNE65594:DNE65622 DXA65594:DXA65622 EGW65594:EGW65622 EQS65594:EQS65622 FAO65594:FAO65622 FKK65594:FKK65622 FUG65594:FUG65622 GEC65594:GEC65622 GNY65594:GNY65622 GXU65594:GXU65622 HHQ65594:HHQ65622 HRM65594:HRM65622 IBI65594:IBI65622 ILE65594:ILE65622 IVA65594:IVA65622 JEW65594:JEW65622 JOS65594:JOS65622 JYO65594:JYO65622 KIK65594:KIK65622 KSG65594:KSG65622 LCC65594:LCC65622 LLY65594:LLY65622 LVU65594:LVU65622 MFQ65594:MFQ65622 MPM65594:MPM65622 MZI65594:MZI65622 NJE65594:NJE65622 NTA65594:NTA65622 OCW65594:OCW65622 OMS65594:OMS65622 OWO65594:OWO65622 PGK65594:PGK65622 PQG65594:PQG65622 QAC65594:QAC65622 QJY65594:QJY65622 QTU65594:QTU65622 RDQ65594:RDQ65622 RNM65594:RNM65622 RXI65594:RXI65622 SHE65594:SHE65622 SRA65594:SRA65622 TAW65594:TAW65622 TKS65594:TKS65622 TUO65594:TUO65622 UEK65594:UEK65622 UOG65594:UOG65622 UYC65594:UYC65622 VHY65594:VHY65622 VRU65594:VRU65622 WBQ65594:WBQ65622 WLM65594:WLM65622 WVI65594:WVI65622 A131130:A131158 IW131130:IW131158 SS131130:SS131158 ACO131130:ACO131158 AMK131130:AMK131158 AWG131130:AWG131158 BGC131130:BGC131158 BPY131130:BPY131158 BZU131130:BZU131158 CJQ131130:CJQ131158 CTM131130:CTM131158 DDI131130:DDI131158 DNE131130:DNE131158 DXA131130:DXA131158 EGW131130:EGW131158 EQS131130:EQS131158 FAO131130:FAO131158 FKK131130:FKK131158 FUG131130:FUG131158 GEC131130:GEC131158 GNY131130:GNY131158 GXU131130:GXU131158 HHQ131130:HHQ131158 HRM131130:HRM131158 IBI131130:IBI131158 ILE131130:ILE131158 IVA131130:IVA131158 JEW131130:JEW131158 JOS131130:JOS131158 JYO131130:JYO131158 KIK131130:KIK131158 KSG131130:KSG131158 LCC131130:LCC131158 LLY131130:LLY131158 LVU131130:LVU131158 MFQ131130:MFQ131158 MPM131130:MPM131158 MZI131130:MZI131158 NJE131130:NJE131158 NTA131130:NTA131158 OCW131130:OCW131158 OMS131130:OMS131158 OWO131130:OWO131158 PGK131130:PGK131158 PQG131130:PQG131158 QAC131130:QAC131158 QJY131130:QJY131158 QTU131130:QTU131158 RDQ131130:RDQ131158 RNM131130:RNM131158 RXI131130:RXI131158 SHE131130:SHE131158 SRA131130:SRA131158 TAW131130:TAW131158 TKS131130:TKS131158 TUO131130:TUO131158 UEK131130:UEK131158 UOG131130:UOG131158 UYC131130:UYC131158 VHY131130:VHY131158 VRU131130:VRU131158 WBQ131130:WBQ131158 WLM131130:WLM131158 WVI131130:WVI131158 A196666:A196694 IW196666:IW196694 SS196666:SS196694 ACO196666:ACO196694 AMK196666:AMK196694 AWG196666:AWG196694 BGC196666:BGC196694 BPY196666:BPY196694 BZU196666:BZU196694 CJQ196666:CJQ196694 CTM196666:CTM196694 DDI196666:DDI196694 DNE196666:DNE196694 DXA196666:DXA196694 EGW196666:EGW196694 EQS196666:EQS196694 FAO196666:FAO196694 FKK196666:FKK196694 FUG196666:FUG196694 GEC196666:GEC196694 GNY196666:GNY196694 GXU196666:GXU196694 HHQ196666:HHQ196694 HRM196666:HRM196694 IBI196666:IBI196694 ILE196666:ILE196694 IVA196666:IVA196694 JEW196666:JEW196694 JOS196666:JOS196694 JYO196666:JYO196694 KIK196666:KIK196694 KSG196666:KSG196694 LCC196666:LCC196694 LLY196666:LLY196694 LVU196666:LVU196694 MFQ196666:MFQ196694 MPM196666:MPM196694 MZI196666:MZI196694 NJE196666:NJE196694 NTA196666:NTA196694 OCW196666:OCW196694 OMS196666:OMS196694 OWO196666:OWO196694 PGK196666:PGK196694 PQG196666:PQG196694 QAC196666:QAC196694 QJY196666:QJY196694 QTU196666:QTU196694 RDQ196666:RDQ196694 RNM196666:RNM196694 RXI196666:RXI196694 SHE196666:SHE196694 SRA196666:SRA196694 TAW196666:TAW196694 TKS196666:TKS196694 TUO196666:TUO196694 UEK196666:UEK196694 UOG196666:UOG196694 UYC196666:UYC196694 VHY196666:VHY196694 VRU196666:VRU196694 WBQ196666:WBQ196694 WLM196666:WLM196694 WVI196666:WVI196694 A262202:A262230 IW262202:IW262230 SS262202:SS262230 ACO262202:ACO262230 AMK262202:AMK262230 AWG262202:AWG262230 BGC262202:BGC262230 BPY262202:BPY262230 BZU262202:BZU262230 CJQ262202:CJQ262230 CTM262202:CTM262230 DDI262202:DDI262230 DNE262202:DNE262230 DXA262202:DXA262230 EGW262202:EGW262230 EQS262202:EQS262230 FAO262202:FAO262230 FKK262202:FKK262230 FUG262202:FUG262230 GEC262202:GEC262230 GNY262202:GNY262230 GXU262202:GXU262230 HHQ262202:HHQ262230 HRM262202:HRM262230 IBI262202:IBI262230 ILE262202:ILE262230 IVA262202:IVA262230 JEW262202:JEW262230 JOS262202:JOS262230 JYO262202:JYO262230 KIK262202:KIK262230 KSG262202:KSG262230 LCC262202:LCC262230 LLY262202:LLY262230 LVU262202:LVU262230 MFQ262202:MFQ262230 MPM262202:MPM262230 MZI262202:MZI262230 NJE262202:NJE262230 NTA262202:NTA262230 OCW262202:OCW262230 OMS262202:OMS262230 OWO262202:OWO262230 PGK262202:PGK262230 PQG262202:PQG262230 QAC262202:QAC262230 QJY262202:QJY262230 QTU262202:QTU262230 RDQ262202:RDQ262230 RNM262202:RNM262230 RXI262202:RXI262230 SHE262202:SHE262230 SRA262202:SRA262230 TAW262202:TAW262230 TKS262202:TKS262230 TUO262202:TUO262230 UEK262202:UEK262230 UOG262202:UOG262230 UYC262202:UYC262230 VHY262202:VHY262230 VRU262202:VRU262230 WBQ262202:WBQ262230 WLM262202:WLM262230 WVI262202:WVI262230 A327738:A327766 IW327738:IW327766 SS327738:SS327766 ACO327738:ACO327766 AMK327738:AMK327766 AWG327738:AWG327766 BGC327738:BGC327766 BPY327738:BPY327766 BZU327738:BZU327766 CJQ327738:CJQ327766 CTM327738:CTM327766 DDI327738:DDI327766 DNE327738:DNE327766 DXA327738:DXA327766 EGW327738:EGW327766 EQS327738:EQS327766 FAO327738:FAO327766 FKK327738:FKK327766 FUG327738:FUG327766 GEC327738:GEC327766 GNY327738:GNY327766 GXU327738:GXU327766 HHQ327738:HHQ327766 HRM327738:HRM327766 IBI327738:IBI327766 ILE327738:ILE327766 IVA327738:IVA327766 JEW327738:JEW327766 JOS327738:JOS327766 JYO327738:JYO327766 KIK327738:KIK327766 KSG327738:KSG327766 LCC327738:LCC327766 LLY327738:LLY327766 LVU327738:LVU327766 MFQ327738:MFQ327766 MPM327738:MPM327766 MZI327738:MZI327766 NJE327738:NJE327766 NTA327738:NTA327766 OCW327738:OCW327766 OMS327738:OMS327766 OWO327738:OWO327766 PGK327738:PGK327766 PQG327738:PQG327766 QAC327738:QAC327766 QJY327738:QJY327766 QTU327738:QTU327766 RDQ327738:RDQ327766 RNM327738:RNM327766 RXI327738:RXI327766 SHE327738:SHE327766 SRA327738:SRA327766 TAW327738:TAW327766 TKS327738:TKS327766 TUO327738:TUO327766 UEK327738:UEK327766 UOG327738:UOG327766 UYC327738:UYC327766 VHY327738:VHY327766 VRU327738:VRU327766 WBQ327738:WBQ327766 WLM327738:WLM327766 WVI327738:WVI327766 A393274:A393302 IW393274:IW393302 SS393274:SS393302 ACO393274:ACO393302 AMK393274:AMK393302 AWG393274:AWG393302 BGC393274:BGC393302 BPY393274:BPY393302 BZU393274:BZU393302 CJQ393274:CJQ393302 CTM393274:CTM393302 DDI393274:DDI393302 DNE393274:DNE393302 DXA393274:DXA393302 EGW393274:EGW393302 EQS393274:EQS393302 FAO393274:FAO393302 FKK393274:FKK393302 FUG393274:FUG393302 GEC393274:GEC393302 GNY393274:GNY393302 GXU393274:GXU393302 HHQ393274:HHQ393302 HRM393274:HRM393302 IBI393274:IBI393302 ILE393274:ILE393302 IVA393274:IVA393302 JEW393274:JEW393302 JOS393274:JOS393302 JYO393274:JYO393302 KIK393274:KIK393302 KSG393274:KSG393302 LCC393274:LCC393302 LLY393274:LLY393302 LVU393274:LVU393302 MFQ393274:MFQ393302 MPM393274:MPM393302 MZI393274:MZI393302 NJE393274:NJE393302 NTA393274:NTA393302 OCW393274:OCW393302 OMS393274:OMS393302 OWO393274:OWO393302 PGK393274:PGK393302 PQG393274:PQG393302 QAC393274:QAC393302 QJY393274:QJY393302 QTU393274:QTU393302 RDQ393274:RDQ393302 RNM393274:RNM393302 RXI393274:RXI393302 SHE393274:SHE393302 SRA393274:SRA393302 TAW393274:TAW393302 TKS393274:TKS393302 TUO393274:TUO393302 UEK393274:UEK393302 UOG393274:UOG393302 UYC393274:UYC393302 VHY393274:VHY393302 VRU393274:VRU393302 WBQ393274:WBQ393302 WLM393274:WLM393302 WVI393274:WVI393302 A458810:A458838 IW458810:IW458838 SS458810:SS458838 ACO458810:ACO458838 AMK458810:AMK458838 AWG458810:AWG458838 BGC458810:BGC458838 BPY458810:BPY458838 BZU458810:BZU458838 CJQ458810:CJQ458838 CTM458810:CTM458838 DDI458810:DDI458838 DNE458810:DNE458838 DXA458810:DXA458838 EGW458810:EGW458838 EQS458810:EQS458838 FAO458810:FAO458838 FKK458810:FKK458838 FUG458810:FUG458838 GEC458810:GEC458838 GNY458810:GNY458838 GXU458810:GXU458838 HHQ458810:HHQ458838 HRM458810:HRM458838 IBI458810:IBI458838 ILE458810:ILE458838 IVA458810:IVA458838 JEW458810:JEW458838 JOS458810:JOS458838 JYO458810:JYO458838 KIK458810:KIK458838 KSG458810:KSG458838 LCC458810:LCC458838 LLY458810:LLY458838 LVU458810:LVU458838 MFQ458810:MFQ458838 MPM458810:MPM458838 MZI458810:MZI458838 NJE458810:NJE458838 NTA458810:NTA458838 OCW458810:OCW458838 OMS458810:OMS458838 OWO458810:OWO458838 PGK458810:PGK458838 PQG458810:PQG458838 QAC458810:QAC458838 QJY458810:QJY458838 QTU458810:QTU458838 RDQ458810:RDQ458838 RNM458810:RNM458838 RXI458810:RXI458838 SHE458810:SHE458838 SRA458810:SRA458838 TAW458810:TAW458838 TKS458810:TKS458838 TUO458810:TUO458838 UEK458810:UEK458838 UOG458810:UOG458838 UYC458810:UYC458838 VHY458810:VHY458838 VRU458810:VRU458838 WBQ458810:WBQ458838 WLM458810:WLM458838 WVI458810:WVI458838 A524346:A524374 IW524346:IW524374 SS524346:SS524374 ACO524346:ACO524374 AMK524346:AMK524374 AWG524346:AWG524374 BGC524346:BGC524374 BPY524346:BPY524374 BZU524346:BZU524374 CJQ524346:CJQ524374 CTM524346:CTM524374 DDI524346:DDI524374 DNE524346:DNE524374 DXA524346:DXA524374 EGW524346:EGW524374 EQS524346:EQS524374 FAO524346:FAO524374 FKK524346:FKK524374 FUG524346:FUG524374 GEC524346:GEC524374 GNY524346:GNY524374 GXU524346:GXU524374 HHQ524346:HHQ524374 HRM524346:HRM524374 IBI524346:IBI524374 ILE524346:ILE524374 IVA524346:IVA524374 JEW524346:JEW524374 JOS524346:JOS524374 JYO524346:JYO524374 KIK524346:KIK524374 KSG524346:KSG524374 LCC524346:LCC524374 LLY524346:LLY524374 LVU524346:LVU524374 MFQ524346:MFQ524374 MPM524346:MPM524374 MZI524346:MZI524374 NJE524346:NJE524374 NTA524346:NTA524374 OCW524346:OCW524374 OMS524346:OMS524374 OWO524346:OWO524374 PGK524346:PGK524374 PQG524346:PQG524374 QAC524346:QAC524374 QJY524346:QJY524374 QTU524346:QTU524374 RDQ524346:RDQ524374 RNM524346:RNM524374 RXI524346:RXI524374 SHE524346:SHE524374 SRA524346:SRA524374 TAW524346:TAW524374 TKS524346:TKS524374 TUO524346:TUO524374 UEK524346:UEK524374 UOG524346:UOG524374 UYC524346:UYC524374 VHY524346:VHY524374 VRU524346:VRU524374 WBQ524346:WBQ524374 WLM524346:WLM524374 WVI524346:WVI524374 A589882:A589910 IW589882:IW589910 SS589882:SS589910 ACO589882:ACO589910 AMK589882:AMK589910 AWG589882:AWG589910 BGC589882:BGC589910 BPY589882:BPY589910 BZU589882:BZU589910 CJQ589882:CJQ589910 CTM589882:CTM589910 DDI589882:DDI589910 DNE589882:DNE589910 DXA589882:DXA589910 EGW589882:EGW589910 EQS589882:EQS589910 FAO589882:FAO589910 FKK589882:FKK589910 FUG589882:FUG589910 GEC589882:GEC589910 GNY589882:GNY589910 GXU589882:GXU589910 HHQ589882:HHQ589910 HRM589882:HRM589910 IBI589882:IBI589910 ILE589882:ILE589910 IVA589882:IVA589910 JEW589882:JEW589910 JOS589882:JOS589910 JYO589882:JYO589910 KIK589882:KIK589910 KSG589882:KSG589910 LCC589882:LCC589910 LLY589882:LLY589910 LVU589882:LVU589910 MFQ589882:MFQ589910 MPM589882:MPM589910 MZI589882:MZI589910 NJE589882:NJE589910 NTA589882:NTA589910 OCW589882:OCW589910 OMS589882:OMS589910 OWO589882:OWO589910 PGK589882:PGK589910 PQG589882:PQG589910 QAC589882:QAC589910 QJY589882:QJY589910 QTU589882:QTU589910 RDQ589882:RDQ589910 RNM589882:RNM589910 RXI589882:RXI589910 SHE589882:SHE589910 SRA589882:SRA589910 TAW589882:TAW589910 TKS589882:TKS589910 TUO589882:TUO589910 UEK589882:UEK589910 UOG589882:UOG589910 UYC589882:UYC589910 VHY589882:VHY589910 VRU589882:VRU589910 WBQ589882:WBQ589910 WLM589882:WLM589910 WVI589882:WVI589910 A655418:A655446 IW655418:IW655446 SS655418:SS655446 ACO655418:ACO655446 AMK655418:AMK655446 AWG655418:AWG655446 BGC655418:BGC655446 BPY655418:BPY655446 BZU655418:BZU655446 CJQ655418:CJQ655446 CTM655418:CTM655446 DDI655418:DDI655446 DNE655418:DNE655446 DXA655418:DXA655446 EGW655418:EGW655446 EQS655418:EQS655446 FAO655418:FAO655446 FKK655418:FKK655446 FUG655418:FUG655446 GEC655418:GEC655446 GNY655418:GNY655446 GXU655418:GXU655446 HHQ655418:HHQ655446 HRM655418:HRM655446 IBI655418:IBI655446 ILE655418:ILE655446 IVA655418:IVA655446 JEW655418:JEW655446 JOS655418:JOS655446 JYO655418:JYO655446 KIK655418:KIK655446 KSG655418:KSG655446 LCC655418:LCC655446 LLY655418:LLY655446 LVU655418:LVU655446 MFQ655418:MFQ655446 MPM655418:MPM655446 MZI655418:MZI655446 NJE655418:NJE655446 NTA655418:NTA655446 OCW655418:OCW655446 OMS655418:OMS655446 OWO655418:OWO655446 PGK655418:PGK655446 PQG655418:PQG655446 QAC655418:QAC655446 QJY655418:QJY655446 QTU655418:QTU655446 RDQ655418:RDQ655446 RNM655418:RNM655446 RXI655418:RXI655446 SHE655418:SHE655446 SRA655418:SRA655446 TAW655418:TAW655446 TKS655418:TKS655446 TUO655418:TUO655446 UEK655418:UEK655446 UOG655418:UOG655446 UYC655418:UYC655446 VHY655418:VHY655446 VRU655418:VRU655446 WBQ655418:WBQ655446 WLM655418:WLM655446 WVI655418:WVI655446 A720954:A720982 IW720954:IW720982 SS720954:SS720982 ACO720954:ACO720982 AMK720954:AMK720982 AWG720954:AWG720982 BGC720954:BGC720982 BPY720954:BPY720982 BZU720954:BZU720982 CJQ720954:CJQ720982 CTM720954:CTM720982 DDI720954:DDI720982 DNE720954:DNE720982 DXA720954:DXA720982 EGW720954:EGW720982 EQS720954:EQS720982 FAO720954:FAO720982 FKK720954:FKK720982 FUG720954:FUG720982 GEC720954:GEC720982 GNY720954:GNY720982 GXU720954:GXU720982 HHQ720954:HHQ720982 HRM720954:HRM720982 IBI720954:IBI720982 ILE720954:ILE720982 IVA720954:IVA720982 JEW720954:JEW720982 JOS720954:JOS720982 JYO720954:JYO720982 KIK720954:KIK720982 KSG720954:KSG720982 LCC720954:LCC720982 LLY720954:LLY720982 LVU720954:LVU720982 MFQ720954:MFQ720982 MPM720954:MPM720982 MZI720954:MZI720982 NJE720954:NJE720982 NTA720954:NTA720982 OCW720954:OCW720982 OMS720954:OMS720982 OWO720954:OWO720982 PGK720954:PGK720982 PQG720954:PQG720982 QAC720954:QAC720982 QJY720954:QJY720982 QTU720954:QTU720982 RDQ720954:RDQ720982 RNM720954:RNM720982 RXI720954:RXI720982 SHE720954:SHE720982 SRA720954:SRA720982 TAW720954:TAW720982 TKS720954:TKS720982 TUO720954:TUO720982 UEK720954:UEK720982 UOG720954:UOG720982 UYC720954:UYC720982 VHY720954:VHY720982 VRU720954:VRU720982 WBQ720954:WBQ720982 WLM720954:WLM720982 WVI720954:WVI720982 A786490:A786518 IW786490:IW786518 SS786490:SS786518 ACO786490:ACO786518 AMK786490:AMK786518 AWG786490:AWG786518 BGC786490:BGC786518 BPY786490:BPY786518 BZU786490:BZU786518 CJQ786490:CJQ786518 CTM786490:CTM786518 DDI786490:DDI786518 DNE786490:DNE786518 DXA786490:DXA786518 EGW786490:EGW786518 EQS786490:EQS786518 FAO786490:FAO786518 FKK786490:FKK786518 FUG786490:FUG786518 GEC786490:GEC786518 GNY786490:GNY786518 GXU786490:GXU786518 HHQ786490:HHQ786518 HRM786490:HRM786518 IBI786490:IBI786518 ILE786490:ILE786518 IVA786490:IVA786518 JEW786490:JEW786518 JOS786490:JOS786518 JYO786490:JYO786518 KIK786490:KIK786518 KSG786490:KSG786518 LCC786490:LCC786518 LLY786490:LLY786518 LVU786490:LVU786518 MFQ786490:MFQ786518 MPM786490:MPM786518 MZI786490:MZI786518 NJE786490:NJE786518 NTA786490:NTA786518 OCW786490:OCW786518 OMS786490:OMS786518 OWO786490:OWO786518 PGK786490:PGK786518 PQG786490:PQG786518 QAC786490:QAC786518 QJY786490:QJY786518 QTU786490:QTU786518 RDQ786490:RDQ786518 RNM786490:RNM786518 RXI786490:RXI786518 SHE786490:SHE786518 SRA786490:SRA786518 TAW786490:TAW786518 TKS786490:TKS786518 TUO786490:TUO786518 UEK786490:UEK786518 UOG786490:UOG786518 UYC786490:UYC786518 VHY786490:VHY786518 VRU786490:VRU786518 WBQ786490:WBQ786518 WLM786490:WLM786518 WVI786490:WVI786518 A852026:A852054 IW852026:IW852054 SS852026:SS852054 ACO852026:ACO852054 AMK852026:AMK852054 AWG852026:AWG852054 BGC852026:BGC852054 BPY852026:BPY852054 BZU852026:BZU852054 CJQ852026:CJQ852054 CTM852026:CTM852054 DDI852026:DDI852054 DNE852026:DNE852054 DXA852026:DXA852054 EGW852026:EGW852054 EQS852026:EQS852054 FAO852026:FAO852054 FKK852026:FKK852054 FUG852026:FUG852054 GEC852026:GEC852054 GNY852026:GNY852054 GXU852026:GXU852054 HHQ852026:HHQ852054 HRM852026:HRM852054 IBI852026:IBI852054 ILE852026:ILE852054 IVA852026:IVA852054 JEW852026:JEW852054 JOS852026:JOS852054 JYO852026:JYO852054 KIK852026:KIK852054 KSG852026:KSG852054 LCC852026:LCC852054 LLY852026:LLY852054 LVU852026:LVU852054 MFQ852026:MFQ852054 MPM852026:MPM852054 MZI852026:MZI852054 NJE852026:NJE852054 NTA852026:NTA852054 OCW852026:OCW852054 OMS852026:OMS852054 OWO852026:OWO852054 PGK852026:PGK852054 PQG852026:PQG852054 QAC852026:QAC852054 QJY852026:QJY852054 QTU852026:QTU852054 RDQ852026:RDQ852054 RNM852026:RNM852054 RXI852026:RXI852054 SHE852026:SHE852054 SRA852026:SRA852054 TAW852026:TAW852054 TKS852026:TKS852054 TUO852026:TUO852054 UEK852026:UEK852054 UOG852026:UOG852054 UYC852026:UYC852054 VHY852026:VHY852054 VRU852026:VRU852054 WBQ852026:WBQ852054 WLM852026:WLM852054 WVI852026:WVI852054 A917562:A917590 IW917562:IW917590 SS917562:SS917590 ACO917562:ACO917590 AMK917562:AMK917590 AWG917562:AWG917590 BGC917562:BGC917590 BPY917562:BPY917590 BZU917562:BZU917590 CJQ917562:CJQ917590 CTM917562:CTM917590 DDI917562:DDI917590 DNE917562:DNE917590 DXA917562:DXA917590 EGW917562:EGW917590 EQS917562:EQS917590 FAO917562:FAO917590 FKK917562:FKK917590 FUG917562:FUG917590 GEC917562:GEC917590 GNY917562:GNY917590 GXU917562:GXU917590 HHQ917562:HHQ917590 HRM917562:HRM917590 IBI917562:IBI917590 ILE917562:ILE917590 IVA917562:IVA917590 JEW917562:JEW917590 JOS917562:JOS917590 JYO917562:JYO917590 KIK917562:KIK917590 KSG917562:KSG917590 LCC917562:LCC917590 LLY917562:LLY917590 LVU917562:LVU917590 MFQ917562:MFQ917590 MPM917562:MPM917590 MZI917562:MZI917590 NJE917562:NJE917590 NTA917562:NTA917590 OCW917562:OCW917590 OMS917562:OMS917590 OWO917562:OWO917590 PGK917562:PGK917590 PQG917562:PQG917590 QAC917562:QAC917590 QJY917562:QJY917590 QTU917562:QTU917590 RDQ917562:RDQ917590 RNM917562:RNM917590 RXI917562:RXI917590 SHE917562:SHE917590 SRA917562:SRA917590 TAW917562:TAW917590 TKS917562:TKS917590 TUO917562:TUO917590 UEK917562:UEK917590 UOG917562:UOG917590 UYC917562:UYC917590 VHY917562:VHY917590 VRU917562:VRU917590 WBQ917562:WBQ917590 WLM917562:WLM917590 WVI917562:WVI917590 A983098:A983126 IW983098:IW983126 SS983098:SS983126 ACO983098:ACO983126 AMK983098:AMK983126 AWG983098:AWG983126 BGC983098:BGC983126 BPY983098:BPY983126 BZU983098:BZU983126 CJQ983098:CJQ983126 CTM983098:CTM983126 DDI983098:DDI983126 DNE983098:DNE983126 DXA983098:DXA983126 EGW983098:EGW983126 EQS983098:EQS983126 FAO983098:FAO983126 FKK983098:FKK983126 FUG983098:FUG983126 GEC983098:GEC983126 GNY983098:GNY983126 GXU983098:GXU983126 HHQ983098:HHQ983126 HRM983098:HRM983126 IBI983098:IBI983126 ILE983098:ILE983126 IVA983098:IVA983126 JEW983098:JEW983126 JOS983098:JOS983126 JYO983098:JYO983126 KIK983098:KIK983126 KSG983098:KSG983126 LCC983098:LCC983126 LLY983098:LLY983126 LVU983098:LVU983126 MFQ983098:MFQ983126 MPM983098:MPM983126 MZI983098:MZI983126 NJE983098:NJE983126 NTA983098:NTA983126 OCW983098:OCW983126 OMS983098:OMS983126 OWO983098:OWO983126 PGK983098:PGK983126 PQG983098:PQG983126 QAC983098:QAC983126 QJY983098:QJY983126 QTU983098:QTU983126 RDQ983098:RDQ983126 RNM983098:RNM983126 RXI983098:RXI983126 SHE983098:SHE983126 SRA983098:SRA983126 TAW983098:TAW983126 TKS983098:TKS983126 TUO983098:TUO983126 UEK983098:UEK983126 UOG983098:UOG983126 UYC983098:UYC983126 VHY983098:VHY983126 VRU983098:VRU983126 WBQ983098:WBQ983126 WLM983098:WLM983126 WVI983098:WVI983126 A58:A86 IW28:IW42 SS28:SS42 ACO28:ACO42 AMK28:AMK42 AWG28:AWG42 BGC28:BGC42 BPY28:BPY42 BZU28:BZU42 CJQ28:CJQ42 CTM28:CTM42 DDI28:DDI42 DNE28:DNE42 DXA28:DXA42 EGW28:EGW42 EQS28:EQS42 FAO28:FAO42 FKK28:FKK42 FUG28:FUG42 GEC28:GEC42 GNY28:GNY42 GXU28:GXU42 HHQ28:HHQ42 HRM28:HRM42 IBI28:IBI42 ILE28:ILE42 IVA28:IVA42 JEW28:JEW42 JOS28:JOS42 JYO28:JYO42 KIK28:KIK42 KSG28:KSG42 LCC28:LCC42 LLY28:LLY42 LVU28:LVU42 MFQ28:MFQ42 MPM28:MPM42 MZI28:MZI42 NJE28:NJE42 NTA28:NTA42 OCW28:OCW42 OMS28:OMS42 OWO28:OWO42 PGK28:PGK42 PQG28:PQG42 QAC28:QAC42 QJY28:QJY42 QTU28:QTU42 RDQ28:RDQ42 RNM28:RNM42 RXI28:RXI42 SHE28:SHE42 SRA28:SRA42 TAW28:TAW42 TKS28:TKS42 TUO28:TUO42 UEK28:UEK42 UOG28:UOG42 UYC28:UYC42 VHY28:VHY42 VRU28:VRU42 WBQ28:WBQ42 WLM28:WLM42 WVI28:WVI42 A65564:A65578 IW65564:IW65578 SS65564:SS65578 ACO65564:ACO65578 AMK65564:AMK65578 AWG65564:AWG65578 BGC65564:BGC65578 BPY65564:BPY65578 BZU65564:BZU65578 CJQ65564:CJQ65578 CTM65564:CTM65578 DDI65564:DDI65578 DNE65564:DNE65578 DXA65564:DXA65578 EGW65564:EGW65578 EQS65564:EQS65578 FAO65564:FAO65578 FKK65564:FKK65578 FUG65564:FUG65578 GEC65564:GEC65578 GNY65564:GNY65578 GXU65564:GXU65578 HHQ65564:HHQ65578 HRM65564:HRM65578 IBI65564:IBI65578 ILE65564:ILE65578 IVA65564:IVA65578 JEW65564:JEW65578 JOS65564:JOS65578 JYO65564:JYO65578 KIK65564:KIK65578 KSG65564:KSG65578 LCC65564:LCC65578 LLY65564:LLY65578 LVU65564:LVU65578 MFQ65564:MFQ65578 MPM65564:MPM65578 MZI65564:MZI65578 NJE65564:NJE65578 NTA65564:NTA65578 OCW65564:OCW65578 OMS65564:OMS65578 OWO65564:OWO65578 PGK65564:PGK65578 PQG65564:PQG65578 QAC65564:QAC65578 QJY65564:QJY65578 QTU65564:QTU65578 RDQ65564:RDQ65578 RNM65564:RNM65578 RXI65564:RXI65578 SHE65564:SHE65578 SRA65564:SRA65578 TAW65564:TAW65578 TKS65564:TKS65578 TUO65564:TUO65578 UEK65564:UEK65578 UOG65564:UOG65578 UYC65564:UYC65578 VHY65564:VHY65578 VRU65564:VRU65578 WBQ65564:WBQ65578 WLM65564:WLM65578 WVI65564:WVI65578 A131100:A131114 IW131100:IW131114 SS131100:SS131114 ACO131100:ACO131114 AMK131100:AMK131114 AWG131100:AWG131114 BGC131100:BGC131114 BPY131100:BPY131114 BZU131100:BZU131114 CJQ131100:CJQ131114 CTM131100:CTM131114 DDI131100:DDI131114 DNE131100:DNE131114 DXA131100:DXA131114 EGW131100:EGW131114 EQS131100:EQS131114 FAO131100:FAO131114 FKK131100:FKK131114 FUG131100:FUG131114 GEC131100:GEC131114 GNY131100:GNY131114 GXU131100:GXU131114 HHQ131100:HHQ131114 HRM131100:HRM131114 IBI131100:IBI131114 ILE131100:ILE131114 IVA131100:IVA131114 JEW131100:JEW131114 JOS131100:JOS131114 JYO131100:JYO131114 KIK131100:KIK131114 KSG131100:KSG131114 LCC131100:LCC131114 LLY131100:LLY131114 LVU131100:LVU131114 MFQ131100:MFQ131114 MPM131100:MPM131114 MZI131100:MZI131114 NJE131100:NJE131114 NTA131100:NTA131114 OCW131100:OCW131114 OMS131100:OMS131114 OWO131100:OWO131114 PGK131100:PGK131114 PQG131100:PQG131114 QAC131100:QAC131114 QJY131100:QJY131114 QTU131100:QTU131114 RDQ131100:RDQ131114 RNM131100:RNM131114 RXI131100:RXI131114 SHE131100:SHE131114 SRA131100:SRA131114 TAW131100:TAW131114 TKS131100:TKS131114 TUO131100:TUO131114 UEK131100:UEK131114 UOG131100:UOG131114 UYC131100:UYC131114 VHY131100:VHY131114 VRU131100:VRU131114 WBQ131100:WBQ131114 WLM131100:WLM131114 WVI131100:WVI131114 A196636:A196650 IW196636:IW196650 SS196636:SS196650 ACO196636:ACO196650 AMK196636:AMK196650 AWG196636:AWG196650 BGC196636:BGC196650 BPY196636:BPY196650 BZU196636:BZU196650 CJQ196636:CJQ196650 CTM196636:CTM196650 DDI196636:DDI196650 DNE196636:DNE196650 DXA196636:DXA196650 EGW196636:EGW196650 EQS196636:EQS196650 FAO196636:FAO196650 FKK196636:FKK196650 FUG196636:FUG196650 GEC196636:GEC196650 GNY196636:GNY196650 GXU196636:GXU196650 HHQ196636:HHQ196650 HRM196636:HRM196650 IBI196636:IBI196650 ILE196636:ILE196650 IVA196636:IVA196650 JEW196636:JEW196650 JOS196636:JOS196650 JYO196636:JYO196650 KIK196636:KIK196650 KSG196636:KSG196650 LCC196636:LCC196650 LLY196636:LLY196650 LVU196636:LVU196650 MFQ196636:MFQ196650 MPM196636:MPM196650 MZI196636:MZI196650 NJE196636:NJE196650 NTA196636:NTA196650 OCW196636:OCW196650 OMS196636:OMS196650 OWO196636:OWO196650 PGK196636:PGK196650 PQG196636:PQG196650 QAC196636:QAC196650 QJY196636:QJY196650 QTU196636:QTU196650 RDQ196636:RDQ196650 RNM196636:RNM196650 RXI196636:RXI196650 SHE196636:SHE196650 SRA196636:SRA196650 TAW196636:TAW196650 TKS196636:TKS196650 TUO196636:TUO196650 UEK196636:UEK196650 UOG196636:UOG196650 UYC196636:UYC196650 VHY196636:VHY196650 VRU196636:VRU196650 WBQ196636:WBQ196650 WLM196636:WLM196650 WVI196636:WVI196650 A262172:A262186 IW262172:IW262186 SS262172:SS262186 ACO262172:ACO262186 AMK262172:AMK262186 AWG262172:AWG262186 BGC262172:BGC262186 BPY262172:BPY262186 BZU262172:BZU262186 CJQ262172:CJQ262186 CTM262172:CTM262186 DDI262172:DDI262186 DNE262172:DNE262186 DXA262172:DXA262186 EGW262172:EGW262186 EQS262172:EQS262186 FAO262172:FAO262186 FKK262172:FKK262186 FUG262172:FUG262186 GEC262172:GEC262186 GNY262172:GNY262186 GXU262172:GXU262186 HHQ262172:HHQ262186 HRM262172:HRM262186 IBI262172:IBI262186 ILE262172:ILE262186 IVA262172:IVA262186 JEW262172:JEW262186 JOS262172:JOS262186 JYO262172:JYO262186 KIK262172:KIK262186 KSG262172:KSG262186 LCC262172:LCC262186 LLY262172:LLY262186 LVU262172:LVU262186 MFQ262172:MFQ262186 MPM262172:MPM262186 MZI262172:MZI262186 NJE262172:NJE262186 NTA262172:NTA262186 OCW262172:OCW262186 OMS262172:OMS262186 OWO262172:OWO262186 PGK262172:PGK262186 PQG262172:PQG262186 QAC262172:QAC262186 QJY262172:QJY262186 QTU262172:QTU262186 RDQ262172:RDQ262186 RNM262172:RNM262186 RXI262172:RXI262186 SHE262172:SHE262186 SRA262172:SRA262186 TAW262172:TAW262186 TKS262172:TKS262186 TUO262172:TUO262186 UEK262172:UEK262186 UOG262172:UOG262186 UYC262172:UYC262186 VHY262172:VHY262186 VRU262172:VRU262186 WBQ262172:WBQ262186 WLM262172:WLM262186 WVI262172:WVI262186 A327708:A327722 IW327708:IW327722 SS327708:SS327722 ACO327708:ACO327722 AMK327708:AMK327722 AWG327708:AWG327722 BGC327708:BGC327722 BPY327708:BPY327722 BZU327708:BZU327722 CJQ327708:CJQ327722 CTM327708:CTM327722 DDI327708:DDI327722 DNE327708:DNE327722 DXA327708:DXA327722 EGW327708:EGW327722 EQS327708:EQS327722 FAO327708:FAO327722 FKK327708:FKK327722 FUG327708:FUG327722 GEC327708:GEC327722 GNY327708:GNY327722 GXU327708:GXU327722 HHQ327708:HHQ327722 HRM327708:HRM327722 IBI327708:IBI327722 ILE327708:ILE327722 IVA327708:IVA327722 JEW327708:JEW327722 JOS327708:JOS327722 JYO327708:JYO327722 KIK327708:KIK327722 KSG327708:KSG327722 LCC327708:LCC327722 LLY327708:LLY327722 LVU327708:LVU327722 MFQ327708:MFQ327722 MPM327708:MPM327722 MZI327708:MZI327722 NJE327708:NJE327722 NTA327708:NTA327722 OCW327708:OCW327722 OMS327708:OMS327722 OWO327708:OWO327722 PGK327708:PGK327722 PQG327708:PQG327722 QAC327708:QAC327722 QJY327708:QJY327722 QTU327708:QTU327722 RDQ327708:RDQ327722 RNM327708:RNM327722 RXI327708:RXI327722 SHE327708:SHE327722 SRA327708:SRA327722 TAW327708:TAW327722 TKS327708:TKS327722 TUO327708:TUO327722 UEK327708:UEK327722 UOG327708:UOG327722 UYC327708:UYC327722 VHY327708:VHY327722 VRU327708:VRU327722 WBQ327708:WBQ327722 WLM327708:WLM327722 WVI327708:WVI327722 A393244:A393258 IW393244:IW393258 SS393244:SS393258 ACO393244:ACO393258 AMK393244:AMK393258 AWG393244:AWG393258 BGC393244:BGC393258 BPY393244:BPY393258 BZU393244:BZU393258 CJQ393244:CJQ393258 CTM393244:CTM393258 DDI393244:DDI393258 DNE393244:DNE393258 DXA393244:DXA393258 EGW393244:EGW393258 EQS393244:EQS393258 FAO393244:FAO393258 FKK393244:FKK393258 FUG393244:FUG393258 GEC393244:GEC393258 GNY393244:GNY393258 GXU393244:GXU393258 HHQ393244:HHQ393258 HRM393244:HRM393258 IBI393244:IBI393258 ILE393244:ILE393258 IVA393244:IVA393258 JEW393244:JEW393258 JOS393244:JOS393258 JYO393244:JYO393258 KIK393244:KIK393258 KSG393244:KSG393258 LCC393244:LCC393258 LLY393244:LLY393258 LVU393244:LVU393258 MFQ393244:MFQ393258 MPM393244:MPM393258 MZI393244:MZI393258 NJE393244:NJE393258 NTA393244:NTA393258 OCW393244:OCW393258 OMS393244:OMS393258 OWO393244:OWO393258 PGK393244:PGK393258 PQG393244:PQG393258 QAC393244:QAC393258 QJY393244:QJY393258 QTU393244:QTU393258 RDQ393244:RDQ393258 RNM393244:RNM393258 RXI393244:RXI393258 SHE393244:SHE393258 SRA393244:SRA393258 TAW393244:TAW393258 TKS393244:TKS393258 TUO393244:TUO393258 UEK393244:UEK393258 UOG393244:UOG393258 UYC393244:UYC393258 VHY393244:VHY393258 VRU393244:VRU393258 WBQ393244:WBQ393258 WLM393244:WLM393258 WVI393244:WVI393258 A458780:A458794 IW458780:IW458794 SS458780:SS458794 ACO458780:ACO458794 AMK458780:AMK458794 AWG458780:AWG458794 BGC458780:BGC458794 BPY458780:BPY458794 BZU458780:BZU458794 CJQ458780:CJQ458794 CTM458780:CTM458794 DDI458780:DDI458794 DNE458780:DNE458794 DXA458780:DXA458794 EGW458780:EGW458794 EQS458780:EQS458794 FAO458780:FAO458794 FKK458780:FKK458794 FUG458780:FUG458794 GEC458780:GEC458794 GNY458780:GNY458794 GXU458780:GXU458794 HHQ458780:HHQ458794 HRM458780:HRM458794 IBI458780:IBI458794 ILE458780:ILE458794 IVA458780:IVA458794 JEW458780:JEW458794 JOS458780:JOS458794 JYO458780:JYO458794 KIK458780:KIK458794 KSG458780:KSG458794 LCC458780:LCC458794 LLY458780:LLY458794 LVU458780:LVU458794 MFQ458780:MFQ458794 MPM458780:MPM458794 MZI458780:MZI458794 NJE458780:NJE458794 NTA458780:NTA458794 OCW458780:OCW458794 OMS458780:OMS458794 OWO458780:OWO458794 PGK458780:PGK458794 PQG458780:PQG458794 QAC458780:QAC458794 QJY458780:QJY458794 QTU458780:QTU458794 RDQ458780:RDQ458794 RNM458780:RNM458794 RXI458780:RXI458794 SHE458780:SHE458794 SRA458780:SRA458794 TAW458780:TAW458794 TKS458780:TKS458794 TUO458780:TUO458794 UEK458780:UEK458794 UOG458780:UOG458794 UYC458780:UYC458794 VHY458780:VHY458794 VRU458780:VRU458794 WBQ458780:WBQ458794 WLM458780:WLM458794 WVI458780:WVI458794 A524316:A524330 IW524316:IW524330 SS524316:SS524330 ACO524316:ACO524330 AMK524316:AMK524330 AWG524316:AWG524330 BGC524316:BGC524330 BPY524316:BPY524330 BZU524316:BZU524330 CJQ524316:CJQ524330 CTM524316:CTM524330 DDI524316:DDI524330 DNE524316:DNE524330 DXA524316:DXA524330 EGW524316:EGW524330 EQS524316:EQS524330 FAO524316:FAO524330 FKK524316:FKK524330 FUG524316:FUG524330 GEC524316:GEC524330 GNY524316:GNY524330 GXU524316:GXU524330 HHQ524316:HHQ524330 HRM524316:HRM524330 IBI524316:IBI524330 ILE524316:ILE524330 IVA524316:IVA524330 JEW524316:JEW524330 JOS524316:JOS524330 JYO524316:JYO524330 KIK524316:KIK524330 KSG524316:KSG524330 LCC524316:LCC524330 LLY524316:LLY524330 LVU524316:LVU524330 MFQ524316:MFQ524330 MPM524316:MPM524330 MZI524316:MZI524330 NJE524316:NJE524330 NTA524316:NTA524330 OCW524316:OCW524330 OMS524316:OMS524330 OWO524316:OWO524330 PGK524316:PGK524330 PQG524316:PQG524330 QAC524316:QAC524330 QJY524316:QJY524330 QTU524316:QTU524330 RDQ524316:RDQ524330 RNM524316:RNM524330 RXI524316:RXI524330 SHE524316:SHE524330 SRA524316:SRA524330 TAW524316:TAW524330 TKS524316:TKS524330 TUO524316:TUO524330 UEK524316:UEK524330 UOG524316:UOG524330 UYC524316:UYC524330 VHY524316:VHY524330 VRU524316:VRU524330 WBQ524316:WBQ524330 WLM524316:WLM524330 WVI524316:WVI524330 A589852:A589866 IW589852:IW589866 SS589852:SS589866 ACO589852:ACO589866 AMK589852:AMK589866 AWG589852:AWG589866 BGC589852:BGC589866 BPY589852:BPY589866 BZU589852:BZU589866 CJQ589852:CJQ589866 CTM589852:CTM589866 DDI589852:DDI589866 DNE589852:DNE589866 DXA589852:DXA589866 EGW589852:EGW589866 EQS589852:EQS589866 FAO589852:FAO589866 FKK589852:FKK589866 FUG589852:FUG589866 GEC589852:GEC589866 GNY589852:GNY589866 GXU589852:GXU589866 HHQ589852:HHQ589866 HRM589852:HRM589866 IBI589852:IBI589866 ILE589852:ILE589866 IVA589852:IVA589866 JEW589852:JEW589866 JOS589852:JOS589866 JYO589852:JYO589866 KIK589852:KIK589866 KSG589852:KSG589866 LCC589852:LCC589866 LLY589852:LLY589866 LVU589852:LVU589866 MFQ589852:MFQ589866 MPM589852:MPM589866 MZI589852:MZI589866 NJE589852:NJE589866 NTA589852:NTA589866 OCW589852:OCW589866 OMS589852:OMS589866 OWO589852:OWO589866 PGK589852:PGK589866 PQG589852:PQG589866 QAC589852:QAC589866 QJY589852:QJY589866 QTU589852:QTU589866 RDQ589852:RDQ589866 RNM589852:RNM589866 RXI589852:RXI589866 SHE589852:SHE589866 SRA589852:SRA589866 TAW589852:TAW589866 TKS589852:TKS589866 TUO589852:TUO589866 UEK589852:UEK589866 UOG589852:UOG589866 UYC589852:UYC589866 VHY589852:VHY589866 VRU589852:VRU589866 WBQ589852:WBQ589866 WLM589852:WLM589866 WVI589852:WVI589866 A655388:A655402 IW655388:IW655402 SS655388:SS655402 ACO655388:ACO655402 AMK655388:AMK655402 AWG655388:AWG655402 BGC655388:BGC655402 BPY655388:BPY655402 BZU655388:BZU655402 CJQ655388:CJQ655402 CTM655388:CTM655402 DDI655388:DDI655402 DNE655388:DNE655402 DXA655388:DXA655402 EGW655388:EGW655402 EQS655388:EQS655402 FAO655388:FAO655402 FKK655388:FKK655402 FUG655388:FUG655402 GEC655388:GEC655402 GNY655388:GNY655402 GXU655388:GXU655402 HHQ655388:HHQ655402 HRM655388:HRM655402 IBI655388:IBI655402 ILE655388:ILE655402 IVA655388:IVA655402 JEW655388:JEW655402 JOS655388:JOS655402 JYO655388:JYO655402 KIK655388:KIK655402 KSG655388:KSG655402 LCC655388:LCC655402 LLY655388:LLY655402 LVU655388:LVU655402 MFQ655388:MFQ655402 MPM655388:MPM655402 MZI655388:MZI655402 NJE655388:NJE655402 NTA655388:NTA655402 OCW655388:OCW655402 OMS655388:OMS655402 OWO655388:OWO655402 PGK655388:PGK655402 PQG655388:PQG655402 QAC655388:QAC655402 QJY655388:QJY655402 QTU655388:QTU655402 RDQ655388:RDQ655402 RNM655388:RNM655402 RXI655388:RXI655402 SHE655388:SHE655402 SRA655388:SRA655402 TAW655388:TAW655402 TKS655388:TKS655402 TUO655388:TUO655402 UEK655388:UEK655402 UOG655388:UOG655402 UYC655388:UYC655402 VHY655388:VHY655402 VRU655388:VRU655402 WBQ655388:WBQ655402 WLM655388:WLM655402 WVI655388:WVI655402 A720924:A720938 IW720924:IW720938 SS720924:SS720938 ACO720924:ACO720938 AMK720924:AMK720938 AWG720924:AWG720938 BGC720924:BGC720938 BPY720924:BPY720938 BZU720924:BZU720938 CJQ720924:CJQ720938 CTM720924:CTM720938 DDI720924:DDI720938 DNE720924:DNE720938 DXA720924:DXA720938 EGW720924:EGW720938 EQS720924:EQS720938 FAO720924:FAO720938 FKK720924:FKK720938 FUG720924:FUG720938 GEC720924:GEC720938 GNY720924:GNY720938 GXU720924:GXU720938 HHQ720924:HHQ720938 HRM720924:HRM720938 IBI720924:IBI720938 ILE720924:ILE720938 IVA720924:IVA720938 JEW720924:JEW720938 JOS720924:JOS720938 JYO720924:JYO720938 KIK720924:KIK720938 KSG720924:KSG720938 LCC720924:LCC720938 LLY720924:LLY720938 LVU720924:LVU720938 MFQ720924:MFQ720938 MPM720924:MPM720938 MZI720924:MZI720938 NJE720924:NJE720938 NTA720924:NTA720938 OCW720924:OCW720938 OMS720924:OMS720938 OWO720924:OWO720938 PGK720924:PGK720938 PQG720924:PQG720938 QAC720924:QAC720938 QJY720924:QJY720938 QTU720924:QTU720938 RDQ720924:RDQ720938 RNM720924:RNM720938 RXI720924:RXI720938 SHE720924:SHE720938 SRA720924:SRA720938 TAW720924:TAW720938 TKS720924:TKS720938 TUO720924:TUO720938 UEK720924:UEK720938 UOG720924:UOG720938 UYC720924:UYC720938 VHY720924:VHY720938 VRU720924:VRU720938 WBQ720924:WBQ720938 WLM720924:WLM720938 WVI720924:WVI720938 A786460:A786474 IW786460:IW786474 SS786460:SS786474 ACO786460:ACO786474 AMK786460:AMK786474 AWG786460:AWG786474 BGC786460:BGC786474 BPY786460:BPY786474 BZU786460:BZU786474 CJQ786460:CJQ786474 CTM786460:CTM786474 DDI786460:DDI786474 DNE786460:DNE786474 DXA786460:DXA786474 EGW786460:EGW786474 EQS786460:EQS786474 FAO786460:FAO786474 FKK786460:FKK786474 FUG786460:FUG786474 GEC786460:GEC786474 GNY786460:GNY786474 GXU786460:GXU786474 HHQ786460:HHQ786474 HRM786460:HRM786474 IBI786460:IBI786474 ILE786460:ILE786474 IVA786460:IVA786474 JEW786460:JEW786474 JOS786460:JOS786474 JYO786460:JYO786474 KIK786460:KIK786474 KSG786460:KSG786474 LCC786460:LCC786474 LLY786460:LLY786474 LVU786460:LVU786474 MFQ786460:MFQ786474 MPM786460:MPM786474 MZI786460:MZI786474 NJE786460:NJE786474 NTA786460:NTA786474 OCW786460:OCW786474 OMS786460:OMS786474 OWO786460:OWO786474 PGK786460:PGK786474 PQG786460:PQG786474 QAC786460:QAC786474 QJY786460:QJY786474 QTU786460:QTU786474 RDQ786460:RDQ786474 RNM786460:RNM786474 RXI786460:RXI786474 SHE786460:SHE786474 SRA786460:SRA786474 TAW786460:TAW786474 TKS786460:TKS786474 TUO786460:TUO786474 UEK786460:UEK786474 UOG786460:UOG786474 UYC786460:UYC786474 VHY786460:VHY786474 VRU786460:VRU786474 WBQ786460:WBQ786474 WLM786460:WLM786474 WVI786460:WVI786474 A851996:A852010 IW851996:IW852010 SS851996:SS852010 ACO851996:ACO852010 AMK851996:AMK852010 AWG851996:AWG852010 BGC851996:BGC852010 BPY851996:BPY852010 BZU851996:BZU852010 CJQ851996:CJQ852010 CTM851996:CTM852010 DDI851996:DDI852010 DNE851996:DNE852010 DXA851996:DXA852010 EGW851996:EGW852010 EQS851996:EQS852010 FAO851996:FAO852010 FKK851996:FKK852010 FUG851996:FUG852010 GEC851996:GEC852010 GNY851996:GNY852010 GXU851996:GXU852010 HHQ851996:HHQ852010 HRM851996:HRM852010 IBI851996:IBI852010 ILE851996:ILE852010 IVA851996:IVA852010 JEW851996:JEW852010 JOS851996:JOS852010 JYO851996:JYO852010 KIK851996:KIK852010 KSG851996:KSG852010 LCC851996:LCC852010 LLY851996:LLY852010 LVU851996:LVU852010 MFQ851996:MFQ852010 MPM851996:MPM852010 MZI851996:MZI852010 NJE851996:NJE852010 NTA851996:NTA852010 OCW851996:OCW852010 OMS851996:OMS852010 OWO851996:OWO852010 PGK851996:PGK852010 PQG851996:PQG852010 QAC851996:QAC852010 QJY851996:QJY852010 QTU851996:QTU852010 RDQ851996:RDQ852010 RNM851996:RNM852010 RXI851996:RXI852010 SHE851996:SHE852010 SRA851996:SRA852010 TAW851996:TAW852010 TKS851996:TKS852010 TUO851996:TUO852010 UEK851996:UEK852010 UOG851996:UOG852010 UYC851996:UYC852010 VHY851996:VHY852010 VRU851996:VRU852010 WBQ851996:WBQ852010 WLM851996:WLM852010 WVI851996:WVI852010 A917532:A917546 IW917532:IW917546 SS917532:SS917546 ACO917532:ACO917546 AMK917532:AMK917546 AWG917532:AWG917546 BGC917532:BGC917546 BPY917532:BPY917546 BZU917532:BZU917546 CJQ917532:CJQ917546 CTM917532:CTM917546 DDI917532:DDI917546 DNE917532:DNE917546 DXA917532:DXA917546 EGW917532:EGW917546 EQS917532:EQS917546 FAO917532:FAO917546 FKK917532:FKK917546 FUG917532:FUG917546 GEC917532:GEC917546 GNY917532:GNY917546 GXU917532:GXU917546 HHQ917532:HHQ917546 HRM917532:HRM917546 IBI917532:IBI917546 ILE917532:ILE917546 IVA917532:IVA917546 JEW917532:JEW917546 JOS917532:JOS917546 JYO917532:JYO917546 KIK917532:KIK917546 KSG917532:KSG917546 LCC917532:LCC917546 LLY917532:LLY917546 LVU917532:LVU917546 MFQ917532:MFQ917546 MPM917532:MPM917546 MZI917532:MZI917546 NJE917532:NJE917546 NTA917532:NTA917546 OCW917532:OCW917546 OMS917532:OMS917546 OWO917532:OWO917546 PGK917532:PGK917546 PQG917532:PQG917546 QAC917532:QAC917546 QJY917532:QJY917546 QTU917532:QTU917546 RDQ917532:RDQ917546 RNM917532:RNM917546 RXI917532:RXI917546 SHE917532:SHE917546 SRA917532:SRA917546 TAW917532:TAW917546 TKS917532:TKS917546 TUO917532:TUO917546 UEK917532:UEK917546 UOG917532:UOG917546 UYC917532:UYC917546 VHY917532:VHY917546 VRU917532:VRU917546 WBQ917532:WBQ917546 WLM917532:WLM917546 WVI917532:WVI917546 A983068:A983082 IW983068:IW983082 SS983068:SS983082 ACO983068:ACO983082 AMK983068:AMK983082 AWG983068:AWG983082 BGC983068:BGC983082 BPY983068:BPY983082 BZU983068:BZU983082 CJQ983068:CJQ983082 CTM983068:CTM983082 DDI983068:DDI983082 DNE983068:DNE983082 DXA983068:DXA983082 EGW983068:EGW983082 EQS983068:EQS983082 FAO983068:FAO983082 FKK983068:FKK983082 FUG983068:FUG983082 GEC983068:GEC983082 GNY983068:GNY983082 GXU983068:GXU983082 HHQ983068:HHQ983082 HRM983068:HRM983082 IBI983068:IBI983082 ILE983068:ILE983082 IVA983068:IVA983082 JEW983068:JEW983082 JOS983068:JOS983082 JYO983068:JYO983082 KIK983068:KIK983082 KSG983068:KSG983082 LCC983068:LCC983082 LLY983068:LLY983082 LVU983068:LVU983082 MFQ983068:MFQ983082 MPM983068:MPM983082 MZI983068:MZI983082 NJE983068:NJE983082 NTA983068:NTA983082 OCW983068:OCW983082 OMS983068:OMS983082 OWO983068:OWO983082 PGK983068:PGK983082 PQG983068:PQG983082 QAC983068:QAC983082 QJY983068:QJY983082 QTU983068:QTU983082 RDQ983068:RDQ983082 RNM983068:RNM983082 RXI983068:RXI983082 SHE983068:SHE983082 SRA983068:SRA983082 TAW983068:TAW983082 TKS983068:TKS983082 TUO983068:TUO983082 UEK983068:UEK983082 UOG983068:UOG983082 UYC983068:UYC983082 VHY983068:VHY983082 VRU983068:VRU983082 WBQ983068:WBQ983082 WLM983068:WLM983082 A28:A42" xr:uid="{B09FE29E-8A63-4E2A-B1B3-5C4EFCEF823B}">
      <formula1>A3_Documento</formula1>
    </dataValidation>
    <dataValidation type="list" allowBlank="1" showInputMessage="1" showErrorMessage="1" sqref="I19 JE19 TA19 ACW19 AMS19 AWO19 BGK19 BQG19 CAC19 CJY19 CTU19 DDQ19 DNM19 DXI19 EHE19 ERA19 FAW19 FKS19 FUO19 GEK19 GOG19 GYC19 HHY19 HRU19 IBQ19 ILM19 IVI19 JFE19 JPA19 JYW19 KIS19 KSO19 LCK19 LMG19 LWC19 MFY19 MPU19 MZQ19 NJM19 NTI19 ODE19 ONA19 OWW19 PGS19 PQO19 QAK19 QKG19 QUC19 RDY19 RNU19 RXQ19 SHM19 SRI19 TBE19 TLA19 TUW19 UES19 UOO19 UYK19 VIG19 VSC19 WBY19 WLU19 WVQ19 I65555 JE65555 TA65555 ACW65555 AMS65555 AWO65555 BGK65555 BQG65555 CAC65555 CJY65555 CTU65555 DDQ65555 DNM65555 DXI65555 EHE65555 ERA65555 FAW65555 FKS65555 FUO65555 GEK65555 GOG65555 GYC65555 HHY65555 HRU65555 IBQ65555 ILM65555 IVI65555 JFE65555 JPA65555 JYW65555 KIS65555 KSO65555 LCK65555 LMG65555 LWC65555 MFY65555 MPU65555 MZQ65555 NJM65555 NTI65555 ODE65555 ONA65555 OWW65555 PGS65555 PQO65555 QAK65555 QKG65555 QUC65555 RDY65555 RNU65555 RXQ65555 SHM65555 SRI65555 TBE65555 TLA65555 TUW65555 UES65555 UOO65555 UYK65555 VIG65555 VSC65555 WBY65555 WLU65555 WVQ65555 I131091 JE131091 TA131091 ACW131091 AMS131091 AWO131091 BGK131091 BQG131091 CAC131091 CJY131091 CTU131091 DDQ131091 DNM131091 DXI131091 EHE131091 ERA131091 FAW131091 FKS131091 FUO131091 GEK131091 GOG131091 GYC131091 HHY131091 HRU131091 IBQ131091 ILM131091 IVI131091 JFE131091 JPA131091 JYW131091 KIS131091 KSO131091 LCK131091 LMG131091 LWC131091 MFY131091 MPU131091 MZQ131091 NJM131091 NTI131091 ODE131091 ONA131091 OWW131091 PGS131091 PQO131091 QAK131091 QKG131091 QUC131091 RDY131091 RNU131091 RXQ131091 SHM131091 SRI131091 TBE131091 TLA131091 TUW131091 UES131091 UOO131091 UYK131091 VIG131091 VSC131091 WBY131091 WLU131091 WVQ131091 I196627 JE196627 TA196627 ACW196627 AMS196627 AWO196627 BGK196627 BQG196627 CAC196627 CJY196627 CTU196627 DDQ196627 DNM196627 DXI196627 EHE196627 ERA196627 FAW196627 FKS196627 FUO196627 GEK196627 GOG196627 GYC196627 HHY196627 HRU196627 IBQ196627 ILM196627 IVI196627 JFE196627 JPA196627 JYW196627 KIS196627 KSO196627 LCK196627 LMG196627 LWC196627 MFY196627 MPU196627 MZQ196627 NJM196627 NTI196627 ODE196627 ONA196627 OWW196627 PGS196627 PQO196627 QAK196627 QKG196627 QUC196627 RDY196627 RNU196627 RXQ196627 SHM196627 SRI196627 TBE196627 TLA196627 TUW196627 UES196627 UOO196627 UYK196627 VIG196627 VSC196627 WBY196627 WLU196627 WVQ196627 I262163 JE262163 TA262163 ACW262163 AMS262163 AWO262163 BGK262163 BQG262163 CAC262163 CJY262163 CTU262163 DDQ262163 DNM262163 DXI262163 EHE262163 ERA262163 FAW262163 FKS262163 FUO262163 GEK262163 GOG262163 GYC262163 HHY262163 HRU262163 IBQ262163 ILM262163 IVI262163 JFE262163 JPA262163 JYW262163 KIS262163 KSO262163 LCK262163 LMG262163 LWC262163 MFY262163 MPU262163 MZQ262163 NJM262163 NTI262163 ODE262163 ONA262163 OWW262163 PGS262163 PQO262163 QAK262163 QKG262163 QUC262163 RDY262163 RNU262163 RXQ262163 SHM262163 SRI262163 TBE262163 TLA262163 TUW262163 UES262163 UOO262163 UYK262163 VIG262163 VSC262163 WBY262163 WLU262163 WVQ262163 I327699 JE327699 TA327699 ACW327699 AMS327699 AWO327699 BGK327699 BQG327699 CAC327699 CJY327699 CTU327699 DDQ327699 DNM327699 DXI327699 EHE327699 ERA327699 FAW327699 FKS327699 FUO327699 GEK327699 GOG327699 GYC327699 HHY327699 HRU327699 IBQ327699 ILM327699 IVI327699 JFE327699 JPA327699 JYW327699 KIS327699 KSO327699 LCK327699 LMG327699 LWC327699 MFY327699 MPU327699 MZQ327699 NJM327699 NTI327699 ODE327699 ONA327699 OWW327699 PGS327699 PQO327699 QAK327699 QKG327699 QUC327699 RDY327699 RNU327699 RXQ327699 SHM327699 SRI327699 TBE327699 TLA327699 TUW327699 UES327699 UOO327699 UYK327699 VIG327699 VSC327699 WBY327699 WLU327699 WVQ327699 I393235 JE393235 TA393235 ACW393235 AMS393235 AWO393235 BGK393235 BQG393235 CAC393235 CJY393235 CTU393235 DDQ393235 DNM393235 DXI393235 EHE393235 ERA393235 FAW393235 FKS393235 FUO393235 GEK393235 GOG393235 GYC393235 HHY393235 HRU393235 IBQ393235 ILM393235 IVI393235 JFE393235 JPA393235 JYW393235 KIS393235 KSO393235 LCK393235 LMG393235 LWC393235 MFY393235 MPU393235 MZQ393235 NJM393235 NTI393235 ODE393235 ONA393235 OWW393235 PGS393235 PQO393235 QAK393235 QKG393235 QUC393235 RDY393235 RNU393235 RXQ393235 SHM393235 SRI393235 TBE393235 TLA393235 TUW393235 UES393235 UOO393235 UYK393235 VIG393235 VSC393235 WBY393235 WLU393235 WVQ393235 I458771 JE458771 TA458771 ACW458771 AMS458771 AWO458771 BGK458771 BQG458771 CAC458771 CJY458771 CTU458771 DDQ458771 DNM458771 DXI458771 EHE458771 ERA458771 FAW458771 FKS458771 FUO458771 GEK458771 GOG458771 GYC458771 HHY458771 HRU458771 IBQ458771 ILM458771 IVI458771 JFE458771 JPA458771 JYW458771 KIS458771 KSO458771 LCK458771 LMG458771 LWC458771 MFY458771 MPU458771 MZQ458771 NJM458771 NTI458771 ODE458771 ONA458771 OWW458771 PGS458771 PQO458771 QAK458771 QKG458771 QUC458771 RDY458771 RNU458771 RXQ458771 SHM458771 SRI458771 TBE458771 TLA458771 TUW458771 UES458771 UOO458771 UYK458771 VIG458771 VSC458771 WBY458771 WLU458771 WVQ458771 I524307 JE524307 TA524307 ACW524307 AMS524307 AWO524307 BGK524307 BQG524307 CAC524307 CJY524307 CTU524307 DDQ524307 DNM524307 DXI524307 EHE524307 ERA524307 FAW524307 FKS524307 FUO524307 GEK524307 GOG524307 GYC524307 HHY524307 HRU524307 IBQ524307 ILM524307 IVI524307 JFE524307 JPA524307 JYW524307 KIS524307 KSO524307 LCK524307 LMG524307 LWC524307 MFY524307 MPU524307 MZQ524307 NJM524307 NTI524307 ODE524307 ONA524307 OWW524307 PGS524307 PQO524307 QAK524307 QKG524307 QUC524307 RDY524307 RNU524307 RXQ524307 SHM524307 SRI524307 TBE524307 TLA524307 TUW524307 UES524307 UOO524307 UYK524307 VIG524307 VSC524307 WBY524307 WLU524307 WVQ524307 I589843 JE589843 TA589843 ACW589843 AMS589843 AWO589843 BGK589843 BQG589843 CAC589843 CJY589843 CTU589843 DDQ589843 DNM589843 DXI589843 EHE589843 ERA589843 FAW589843 FKS589843 FUO589843 GEK589843 GOG589843 GYC589843 HHY589843 HRU589843 IBQ589843 ILM589843 IVI589843 JFE589843 JPA589843 JYW589843 KIS589843 KSO589843 LCK589843 LMG589843 LWC589843 MFY589843 MPU589843 MZQ589843 NJM589843 NTI589843 ODE589843 ONA589843 OWW589843 PGS589843 PQO589843 QAK589843 QKG589843 QUC589843 RDY589843 RNU589843 RXQ589843 SHM589843 SRI589843 TBE589843 TLA589843 TUW589843 UES589843 UOO589843 UYK589843 VIG589843 VSC589843 WBY589843 WLU589843 WVQ589843 I655379 JE655379 TA655379 ACW655379 AMS655379 AWO655379 BGK655379 BQG655379 CAC655379 CJY655379 CTU655379 DDQ655379 DNM655379 DXI655379 EHE655379 ERA655379 FAW655379 FKS655379 FUO655379 GEK655379 GOG655379 GYC655379 HHY655379 HRU655379 IBQ655379 ILM655379 IVI655379 JFE655379 JPA655379 JYW655379 KIS655379 KSO655379 LCK655379 LMG655379 LWC655379 MFY655379 MPU655379 MZQ655379 NJM655379 NTI655379 ODE655379 ONA655379 OWW655379 PGS655379 PQO655379 QAK655379 QKG655379 QUC655379 RDY655379 RNU655379 RXQ655379 SHM655379 SRI655379 TBE655379 TLA655379 TUW655379 UES655379 UOO655379 UYK655379 VIG655379 VSC655379 WBY655379 WLU655379 WVQ655379 I720915 JE720915 TA720915 ACW720915 AMS720915 AWO720915 BGK720915 BQG720915 CAC720915 CJY720915 CTU720915 DDQ720915 DNM720915 DXI720915 EHE720915 ERA720915 FAW720915 FKS720915 FUO720915 GEK720915 GOG720915 GYC720915 HHY720915 HRU720915 IBQ720915 ILM720915 IVI720915 JFE720915 JPA720915 JYW720915 KIS720915 KSO720915 LCK720915 LMG720915 LWC720915 MFY720915 MPU720915 MZQ720915 NJM720915 NTI720915 ODE720915 ONA720915 OWW720915 PGS720915 PQO720915 QAK720915 QKG720915 QUC720915 RDY720915 RNU720915 RXQ720915 SHM720915 SRI720915 TBE720915 TLA720915 TUW720915 UES720915 UOO720915 UYK720915 VIG720915 VSC720915 WBY720915 WLU720915 WVQ720915 I786451 JE786451 TA786451 ACW786451 AMS786451 AWO786451 BGK786451 BQG786451 CAC786451 CJY786451 CTU786451 DDQ786451 DNM786451 DXI786451 EHE786451 ERA786451 FAW786451 FKS786451 FUO786451 GEK786451 GOG786451 GYC786451 HHY786451 HRU786451 IBQ786451 ILM786451 IVI786451 JFE786451 JPA786451 JYW786451 KIS786451 KSO786451 LCK786451 LMG786451 LWC786451 MFY786451 MPU786451 MZQ786451 NJM786451 NTI786451 ODE786451 ONA786451 OWW786451 PGS786451 PQO786451 QAK786451 QKG786451 QUC786451 RDY786451 RNU786451 RXQ786451 SHM786451 SRI786451 TBE786451 TLA786451 TUW786451 UES786451 UOO786451 UYK786451 VIG786451 VSC786451 WBY786451 WLU786451 WVQ786451 I851987 JE851987 TA851987 ACW851987 AMS851987 AWO851987 BGK851987 BQG851987 CAC851987 CJY851987 CTU851987 DDQ851987 DNM851987 DXI851987 EHE851987 ERA851987 FAW851987 FKS851987 FUO851987 GEK851987 GOG851987 GYC851987 HHY851987 HRU851987 IBQ851987 ILM851987 IVI851987 JFE851987 JPA851987 JYW851987 KIS851987 KSO851987 LCK851987 LMG851987 LWC851987 MFY851987 MPU851987 MZQ851987 NJM851987 NTI851987 ODE851987 ONA851987 OWW851987 PGS851987 PQO851987 QAK851987 QKG851987 QUC851987 RDY851987 RNU851987 RXQ851987 SHM851987 SRI851987 TBE851987 TLA851987 TUW851987 UES851987 UOO851987 UYK851987 VIG851987 VSC851987 WBY851987 WLU851987 WVQ851987 I917523 JE917523 TA917523 ACW917523 AMS917523 AWO917523 BGK917523 BQG917523 CAC917523 CJY917523 CTU917523 DDQ917523 DNM917523 DXI917523 EHE917523 ERA917523 FAW917523 FKS917523 FUO917523 GEK917523 GOG917523 GYC917523 HHY917523 HRU917523 IBQ917523 ILM917523 IVI917523 JFE917523 JPA917523 JYW917523 KIS917523 KSO917523 LCK917523 LMG917523 LWC917523 MFY917523 MPU917523 MZQ917523 NJM917523 NTI917523 ODE917523 ONA917523 OWW917523 PGS917523 PQO917523 QAK917523 QKG917523 QUC917523 RDY917523 RNU917523 RXQ917523 SHM917523 SRI917523 TBE917523 TLA917523 TUW917523 UES917523 UOO917523 UYK917523 VIG917523 VSC917523 WBY917523 WLU917523 WVQ917523 I983059 JE983059 TA983059 ACW983059 AMS983059 AWO983059 BGK983059 BQG983059 CAC983059 CJY983059 CTU983059 DDQ983059 DNM983059 DXI983059 EHE983059 ERA983059 FAW983059 FKS983059 FUO983059 GEK983059 GOG983059 GYC983059 HHY983059 HRU983059 IBQ983059 ILM983059 IVI983059 JFE983059 JPA983059 JYW983059 KIS983059 KSO983059 LCK983059 LMG983059 LWC983059 MFY983059 MPU983059 MZQ983059 NJM983059 NTI983059 ODE983059 ONA983059 OWW983059 PGS983059 PQO983059 QAK983059 QKG983059 QUC983059 RDY983059 RNU983059 RXQ983059 SHM983059 SRI983059 TBE983059 TLA983059 TUW983059 UES983059 UOO983059 UYK983059 VIG983059 VSC983059 WBY983059 WLU983059 WVQ983059" xr:uid="{C1C4CB6C-AB0D-4217-AA10-D097109A5233}">
      <formula1>Empresas</formula1>
    </dataValidation>
    <dataValidation type="list" allowBlank="1" showInputMessage="1" showErrorMessage="1" sqref="WVT983062:WVU983062 JH22:JI22 TD22:TE22 ACZ22:ADA22 AMV22:AMW22 AWR22:AWS22 BGN22:BGO22 BQJ22:BQK22 CAF22:CAG22 CKB22:CKC22 CTX22:CTY22 DDT22:DDU22 DNP22:DNQ22 DXL22:DXM22 EHH22:EHI22 ERD22:ERE22 FAZ22:FBA22 FKV22:FKW22 FUR22:FUS22 GEN22:GEO22 GOJ22:GOK22 GYF22:GYG22 HIB22:HIC22 HRX22:HRY22 IBT22:IBU22 ILP22:ILQ22 IVL22:IVM22 JFH22:JFI22 JPD22:JPE22 JYZ22:JZA22 KIV22:KIW22 KSR22:KSS22 LCN22:LCO22 LMJ22:LMK22 LWF22:LWG22 MGB22:MGC22 MPX22:MPY22 MZT22:MZU22 NJP22:NJQ22 NTL22:NTM22 ODH22:ODI22 OND22:ONE22 OWZ22:OXA22 PGV22:PGW22 PQR22:PQS22 QAN22:QAO22 QKJ22:QKK22 QUF22:QUG22 REB22:REC22 RNX22:RNY22 RXT22:RXU22 SHP22:SHQ22 SRL22:SRM22 TBH22:TBI22 TLD22:TLE22 TUZ22:TVA22 UEV22:UEW22 UOR22:UOS22 UYN22:UYO22 VIJ22:VIK22 VSF22:VSG22 WCB22:WCC22 WLX22:WLY22 WVT22:WVU22 L65558:M65558 JH65558:JI65558 TD65558:TE65558 ACZ65558:ADA65558 AMV65558:AMW65558 AWR65558:AWS65558 BGN65558:BGO65558 BQJ65558:BQK65558 CAF65558:CAG65558 CKB65558:CKC65558 CTX65558:CTY65558 DDT65558:DDU65558 DNP65558:DNQ65558 DXL65558:DXM65558 EHH65558:EHI65558 ERD65558:ERE65558 FAZ65558:FBA65558 FKV65558:FKW65558 FUR65558:FUS65558 GEN65558:GEO65558 GOJ65558:GOK65558 GYF65558:GYG65558 HIB65558:HIC65558 HRX65558:HRY65558 IBT65558:IBU65558 ILP65558:ILQ65558 IVL65558:IVM65558 JFH65558:JFI65558 JPD65558:JPE65558 JYZ65558:JZA65558 KIV65558:KIW65558 KSR65558:KSS65558 LCN65558:LCO65558 LMJ65558:LMK65558 LWF65558:LWG65558 MGB65558:MGC65558 MPX65558:MPY65558 MZT65558:MZU65558 NJP65558:NJQ65558 NTL65558:NTM65558 ODH65558:ODI65558 OND65558:ONE65558 OWZ65558:OXA65558 PGV65558:PGW65558 PQR65558:PQS65558 QAN65558:QAO65558 QKJ65558:QKK65558 QUF65558:QUG65558 REB65558:REC65558 RNX65558:RNY65558 RXT65558:RXU65558 SHP65558:SHQ65558 SRL65558:SRM65558 TBH65558:TBI65558 TLD65558:TLE65558 TUZ65558:TVA65558 UEV65558:UEW65558 UOR65558:UOS65558 UYN65558:UYO65558 VIJ65558:VIK65558 VSF65558:VSG65558 WCB65558:WCC65558 WLX65558:WLY65558 WVT65558:WVU65558 L131094:M131094 JH131094:JI131094 TD131094:TE131094 ACZ131094:ADA131094 AMV131094:AMW131094 AWR131094:AWS131094 BGN131094:BGO131094 BQJ131094:BQK131094 CAF131094:CAG131094 CKB131094:CKC131094 CTX131094:CTY131094 DDT131094:DDU131094 DNP131094:DNQ131094 DXL131094:DXM131094 EHH131094:EHI131094 ERD131094:ERE131094 FAZ131094:FBA131094 FKV131094:FKW131094 FUR131094:FUS131094 GEN131094:GEO131094 GOJ131094:GOK131094 GYF131094:GYG131094 HIB131094:HIC131094 HRX131094:HRY131094 IBT131094:IBU131094 ILP131094:ILQ131094 IVL131094:IVM131094 JFH131094:JFI131094 JPD131094:JPE131094 JYZ131094:JZA131094 KIV131094:KIW131094 KSR131094:KSS131094 LCN131094:LCO131094 LMJ131094:LMK131094 LWF131094:LWG131094 MGB131094:MGC131094 MPX131094:MPY131094 MZT131094:MZU131094 NJP131094:NJQ131094 NTL131094:NTM131094 ODH131094:ODI131094 OND131094:ONE131094 OWZ131094:OXA131094 PGV131094:PGW131094 PQR131094:PQS131094 QAN131094:QAO131094 QKJ131094:QKK131094 QUF131094:QUG131094 REB131094:REC131094 RNX131094:RNY131094 RXT131094:RXU131094 SHP131094:SHQ131094 SRL131094:SRM131094 TBH131094:TBI131094 TLD131094:TLE131094 TUZ131094:TVA131094 UEV131094:UEW131094 UOR131094:UOS131094 UYN131094:UYO131094 VIJ131094:VIK131094 VSF131094:VSG131094 WCB131094:WCC131094 WLX131094:WLY131094 WVT131094:WVU131094 L196630:M196630 JH196630:JI196630 TD196630:TE196630 ACZ196630:ADA196630 AMV196630:AMW196630 AWR196630:AWS196630 BGN196630:BGO196630 BQJ196630:BQK196630 CAF196630:CAG196630 CKB196630:CKC196630 CTX196630:CTY196630 DDT196630:DDU196630 DNP196630:DNQ196630 DXL196630:DXM196630 EHH196630:EHI196630 ERD196630:ERE196630 FAZ196630:FBA196630 FKV196630:FKW196630 FUR196630:FUS196630 GEN196630:GEO196630 GOJ196630:GOK196630 GYF196630:GYG196630 HIB196630:HIC196630 HRX196630:HRY196630 IBT196630:IBU196630 ILP196630:ILQ196630 IVL196630:IVM196630 JFH196630:JFI196630 JPD196630:JPE196630 JYZ196630:JZA196630 KIV196630:KIW196630 KSR196630:KSS196630 LCN196630:LCO196630 LMJ196630:LMK196630 LWF196630:LWG196630 MGB196630:MGC196630 MPX196630:MPY196630 MZT196630:MZU196630 NJP196630:NJQ196630 NTL196630:NTM196630 ODH196630:ODI196630 OND196630:ONE196630 OWZ196630:OXA196630 PGV196630:PGW196630 PQR196630:PQS196630 QAN196630:QAO196630 QKJ196630:QKK196630 QUF196630:QUG196630 REB196630:REC196630 RNX196630:RNY196630 RXT196630:RXU196630 SHP196630:SHQ196630 SRL196630:SRM196630 TBH196630:TBI196630 TLD196630:TLE196630 TUZ196630:TVA196630 UEV196630:UEW196630 UOR196630:UOS196630 UYN196630:UYO196630 VIJ196630:VIK196630 VSF196630:VSG196630 WCB196630:WCC196630 WLX196630:WLY196630 WVT196630:WVU196630 L262166:M262166 JH262166:JI262166 TD262166:TE262166 ACZ262166:ADA262166 AMV262166:AMW262166 AWR262166:AWS262166 BGN262166:BGO262166 BQJ262166:BQK262166 CAF262166:CAG262166 CKB262166:CKC262166 CTX262166:CTY262166 DDT262166:DDU262166 DNP262166:DNQ262166 DXL262166:DXM262166 EHH262166:EHI262166 ERD262166:ERE262166 FAZ262166:FBA262166 FKV262166:FKW262166 FUR262166:FUS262166 GEN262166:GEO262166 GOJ262166:GOK262166 GYF262166:GYG262166 HIB262166:HIC262166 HRX262166:HRY262166 IBT262166:IBU262166 ILP262166:ILQ262166 IVL262166:IVM262166 JFH262166:JFI262166 JPD262166:JPE262166 JYZ262166:JZA262166 KIV262166:KIW262166 KSR262166:KSS262166 LCN262166:LCO262166 LMJ262166:LMK262166 LWF262166:LWG262166 MGB262166:MGC262166 MPX262166:MPY262166 MZT262166:MZU262166 NJP262166:NJQ262166 NTL262166:NTM262166 ODH262166:ODI262166 OND262166:ONE262166 OWZ262166:OXA262166 PGV262166:PGW262166 PQR262166:PQS262166 QAN262166:QAO262166 QKJ262166:QKK262166 QUF262166:QUG262166 REB262166:REC262166 RNX262166:RNY262166 RXT262166:RXU262166 SHP262166:SHQ262166 SRL262166:SRM262166 TBH262166:TBI262166 TLD262166:TLE262166 TUZ262166:TVA262166 UEV262166:UEW262166 UOR262166:UOS262166 UYN262166:UYO262166 VIJ262166:VIK262166 VSF262166:VSG262166 WCB262166:WCC262166 WLX262166:WLY262166 WVT262166:WVU262166 L327702:M327702 JH327702:JI327702 TD327702:TE327702 ACZ327702:ADA327702 AMV327702:AMW327702 AWR327702:AWS327702 BGN327702:BGO327702 BQJ327702:BQK327702 CAF327702:CAG327702 CKB327702:CKC327702 CTX327702:CTY327702 DDT327702:DDU327702 DNP327702:DNQ327702 DXL327702:DXM327702 EHH327702:EHI327702 ERD327702:ERE327702 FAZ327702:FBA327702 FKV327702:FKW327702 FUR327702:FUS327702 GEN327702:GEO327702 GOJ327702:GOK327702 GYF327702:GYG327702 HIB327702:HIC327702 HRX327702:HRY327702 IBT327702:IBU327702 ILP327702:ILQ327702 IVL327702:IVM327702 JFH327702:JFI327702 JPD327702:JPE327702 JYZ327702:JZA327702 KIV327702:KIW327702 KSR327702:KSS327702 LCN327702:LCO327702 LMJ327702:LMK327702 LWF327702:LWG327702 MGB327702:MGC327702 MPX327702:MPY327702 MZT327702:MZU327702 NJP327702:NJQ327702 NTL327702:NTM327702 ODH327702:ODI327702 OND327702:ONE327702 OWZ327702:OXA327702 PGV327702:PGW327702 PQR327702:PQS327702 QAN327702:QAO327702 QKJ327702:QKK327702 QUF327702:QUG327702 REB327702:REC327702 RNX327702:RNY327702 RXT327702:RXU327702 SHP327702:SHQ327702 SRL327702:SRM327702 TBH327702:TBI327702 TLD327702:TLE327702 TUZ327702:TVA327702 UEV327702:UEW327702 UOR327702:UOS327702 UYN327702:UYO327702 VIJ327702:VIK327702 VSF327702:VSG327702 WCB327702:WCC327702 WLX327702:WLY327702 WVT327702:WVU327702 L393238:M393238 JH393238:JI393238 TD393238:TE393238 ACZ393238:ADA393238 AMV393238:AMW393238 AWR393238:AWS393238 BGN393238:BGO393238 BQJ393238:BQK393238 CAF393238:CAG393238 CKB393238:CKC393238 CTX393238:CTY393238 DDT393238:DDU393238 DNP393238:DNQ393238 DXL393238:DXM393238 EHH393238:EHI393238 ERD393238:ERE393238 FAZ393238:FBA393238 FKV393238:FKW393238 FUR393238:FUS393238 GEN393238:GEO393238 GOJ393238:GOK393238 GYF393238:GYG393238 HIB393238:HIC393238 HRX393238:HRY393238 IBT393238:IBU393238 ILP393238:ILQ393238 IVL393238:IVM393238 JFH393238:JFI393238 JPD393238:JPE393238 JYZ393238:JZA393238 KIV393238:KIW393238 KSR393238:KSS393238 LCN393238:LCO393238 LMJ393238:LMK393238 LWF393238:LWG393238 MGB393238:MGC393238 MPX393238:MPY393238 MZT393238:MZU393238 NJP393238:NJQ393238 NTL393238:NTM393238 ODH393238:ODI393238 OND393238:ONE393238 OWZ393238:OXA393238 PGV393238:PGW393238 PQR393238:PQS393238 QAN393238:QAO393238 QKJ393238:QKK393238 QUF393238:QUG393238 REB393238:REC393238 RNX393238:RNY393238 RXT393238:RXU393238 SHP393238:SHQ393238 SRL393238:SRM393238 TBH393238:TBI393238 TLD393238:TLE393238 TUZ393238:TVA393238 UEV393238:UEW393238 UOR393238:UOS393238 UYN393238:UYO393238 VIJ393238:VIK393238 VSF393238:VSG393238 WCB393238:WCC393238 WLX393238:WLY393238 WVT393238:WVU393238 L458774:M458774 JH458774:JI458774 TD458774:TE458774 ACZ458774:ADA458774 AMV458774:AMW458774 AWR458774:AWS458774 BGN458774:BGO458774 BQJ458774:BQK458774 CAF458774:CAG458774 CKB458774:CKC458774 CTX458774:CTY458774 DDT458774:DDU458774 DNP458774:DNQ458774 DXL458774:DXM458774 EHH458774:EHI458774 ERD458774:ERE458774 FAZ458774:FBA458774 FKV458774:FKW458774 FUR458774:FUS458774 GEN458774:GEO458774 GOJ458774:GOK458774 GYF458774:GYG458774 HIB458774:HIC458774 HRX458774:HRY458774 IBT458774:IBU458774 ILP458774:ILQ458774 IVL458774:IVM458774 JFH458774:JFI458774 JPD458774:JPE458774 JYZ458774:JZA458774 KIV458774:KIW458774 KSR458774:KSS458774 LCN458774:LCO458774 LMJ458774:LMK458774 LWF458774:LWG458774 MGB458774:MGC458774 MPX458774:MPY458774 MZT458774:MZU458774 NJP458774:NJQ458774 NTL458774:NTM458774 ODH458774:ODI458774 OND458774:ONE458774 OWZ458774:OXA458774 PGV458774:PGW458774 PQR458774:PQS458774 QAN458774:QAO458774 QKJ458774:QKK458774 QUF458774:QUG458774 REB458774:REC458774 RNX458774:RNY458774 RXT458774:RXU458774 SHP458774:SHQ458774 SRL458774:SRM458774 TBH458774:TBI458774 TLD458774:TLE458774 TUZ458774:TVA458774 UEV458774:UEW458774 UOR458774:UOS458774 UYN458774:UYO458774 VIJ458774:VIK458774 VSF458774:VSG458774 WCB458774:WCC458774 WLX458774:WLY458774 WVT458774:WVU458774 L524310:M524310 JH524310:JI524310 TD524310:TE524310 ACZ524310:ADA524310 AMV524310:AMW524310 AWR524310:AWS524310 BGN524310:BGO524310 BQJ524310:BQK524310 CAF524310:CAG524310 CKB524310:CKC524310 CTX524310:CTY524310 DDT524310:DDU524310 DNP524310:DNQ524310 DXL524310:DXM524310 EHH524310:EHI524310 ERD524310:ERE524310 FAZ524310:FBA524310 FKV524310:FKW524310 FUR524310:FUS524310 GEN524310:GEO524310 GOJ524310:GOK524310 GYF524310:GYG524310 HIB524310:HIC524310 HRX524310:HRY524310 IBT524310:IBU524310 ILP524310:ILQ524310 IVL524310:IVM524310 JFH524310:JFI524310 JPD524310:JPE524310 JYZ524310:JZA524310 KIV524310:KIW524310 KSR524310:KSS524310 LCN524310:LCO524310 LMJ524310:LMK524310 LWF524310:LWG524310 MGB524310:MGC524310 MPX524310:MPY524310 MZT524310:MZU524310 NJP524310:NJQ524310 NTL524310:NTM524310 ODH524310:ODI524310 OND524310:ONE524310 OWZ524310:OXA524310 PGV524310:PGW524310 PQR524310:PQS524310 QAN524310:QAO524310 QKJ524310:QKK524310 QUF524310:QUG524310 REB524310:REC524310 RNX524310:RNY524310 RXT524310:RXU524310 SHP524310:SHQ524310 SRL524310:SRM524310 TBH524310:TBI524310 TLD524310:TLE524310 TUZ524310:TVA524310 UEV524310:UEW524310 UOR524310:UOS524310 UYN524310:UYO524310 VIJ524310:VIK524310 VSF524310:VSG524310 WCB524310:WCC524310 WLX524310:WLY524310 WVT524310:WVU524310 L589846:M589846 JH589846:JI589846 TD589846:TE589846 ACZ589846:ADA589846 AMV589846:AMW589846 AWR589846:AWS589846 BGN589846:BGO589846 BQJ589846:BQK589846 CAF589846:CAG589846 CKB589846:CKC589846 CTX589846:CTY589846 DDT589846:DDU589846 DNP589846:DNQ589846 DXL589846:DXM589846 EHH589846:EHI589846 ERD589846:ERE589846 FAZ589846:FBA589846 FKV589846:FKW589846 FUR589846:FUS589846 GEN589846:GEO589846 GOJ589846:GOK589846 GYF589846:GYG589846 HIB589846:HIC589846 HRX589846:HRY589846 IBT589846:IBU589846 ILP589846:ILQ589846 IVL589846:IVM589846 JFH589846:JFI589846 JPD589846:JPE589846 JYZ589846:JZA589846 KIV589846:KIW589846 KSR589846:KSS589846 LCN589846:LCO589846 LMJ589846:LMK589846 LWF589846:LWG589846 MGB589846:MGC589846 MPX589846:MPY589846 MZT589846:MZU589846 NJP589846:NJQ589846 NTL589846:NTM589846 ODH589846:ODI589846 OND589846:ONE589846 OWZ589846:OXA589846 PGV589846:PGW589846 PQR589846:PQS589846 QAN589846:QAO589846 QKJ589846:QKK589846 QUF589846:QUG589846 REB589846:REC589846 RNX589846:RNY589846 RXT589846:RXU589846 SHP589846:SHQ589846 SRL589846:SRM589846 TBH589846:TBI589846 TLD589846:TLE589846 TUZ589846:TVA589846 UEV589846:UEW589846 UOR589846:UOS589846 UYN589846:UYO589846 VIJ589846:VIK589846 VSF589846:VSG589846 WCB589846:WCC589846 WLX589846:WLY589846 WVT589846:WVU589846 L655382:M655382 JH655382:JI655382 TD655382:TE655382 ACZ655382:ADA655382 AMV655382:AMW655382 AWR655382:AWS655382 BGN655382:BGO655382 BQJ655382:BQK655382 CAF655382:CAG655382 CKB655382:CKC655382 CTX655382:CTY655382 DDT655382:DDU655382 DNP655382:DNQ655382 DXL655382:DXM655382 EHH655382:EHI655382 ERD655382:ERE655382 FAZ655382:FBA655382 FKV655382:FKW655382 FUR655382:FUS655382 GEN655382:GEO655382 GOJ655382:GOK655382 GYF655382:GYG655382 HIB655382:HIC655382 HRX655382:HRY655382 IBT655382:IBU655382 ILP655382:ILQ655382 IVL655382:IVM655382 JFH655382:JFI655382 JPD655382:JPE655382 JYZ655382:JZA655382 KIV655382:KIW655382 KSR655382:KSS655382 LCN655382:LCO655382 LMJ655382:LMK655382 LWF655382:LWG655382 MGB655382:MGC655382 MPX655382:MPY655382 MZT655382:MZU655382 NJP655382:NJQ655382 NTL655382:NTM655382 ODH655382:ODI655382 OND655382:ONE655382 OWZ655382:OXA655382 PGV655382:PGW655382 PQR655382:PQS655382 QAN655382:QAO655382 QKJ655382:QKK655382 QUF655382:QUG655382 REB655382:REC655382 RNX655382:RNY655382 RXT655382:RXU655382 SHP655382:SHQ655382 SRL655382:SRM655382 TBH655382:TBI655382 TLD655382:TLE655382 TUZ655382:TVA655382 UEV655382:UEW655382 UOR655382:UOS655382 UYN655382:UYO655382 VIJ655382:VIK655382 VSF655382:VSG655382 WCB655382:WCC655382 WLX655382:WLY655382 WVT655382:WVU655382 L720918:M720918 JH720918:JI720918 TD720918:TE720918 ACZ720918:ADA720918 AMV720918:AMW720918 AWR720918:AWS720918 BGN720918:BGO720918 BQJ720918:BQK720918 CAF720918:CAG720918 CKB720918:CKC720918 CTX720918:CTY720918 DDT720918:DDU720918 DNP720918:DNQ720918 DXL720918:DXM720918 EHH720918:EHI720918 ERD720918:ERE720918 FAZ720918:FBA720918 FKV720918:FKW720918 FUR720918:FUS720918 GEN720918:GEO720918 GOJ720918:GOK720918 GYF720918:GYG720918 HIB720918:HIC720918 HRX720918:HRY720918 IBT720918:IBU720918 ILP720918:ILQ720918 IVL720918:IVM720918 JFH720918:JFI720918 JPD720918:JPE720918 JYZ720918:JZA720918 KIV720918:KIW720918 KSR720918:KSS720918 LCN720918:LCO720918 LMJ720918:LMK720918 LWF720918:LWG720918 MGB720918:MGC720918 MPX720918:MPY720918 MZT720918:MZU720918 NJP720918:NJQ720918 NTL720918:NTM720918 ODH720918:ODI720918 OND720918:ONE720918 OWZ720918:OXA720918 PGV720918:PGW720918 PQR720918:PQS720918 QAN720918:QAO720918 QKJ720918:QKK720918 QUF720918:QUG720918 REB720918:REC720918 RNX720918:RNY720918 RXT720918:RXU720918 SHP720918:SHQ720918 SRL720918:SRM720918 TBH720918:TBI720918 TLD720918:TLE720918 TUZ720918:TVA720918 UEV720918:UEW720918 UOR720918:UOS720918 UYN720918:UYO720918 VIJ720918:VIK720918 VSF720918:VSG720918 WCB720918:WCC720918 WLX720918:WLY720918 WVT720918:WVU720918 L786454:M786454 JH786454:JI786454 TD786454:TE786454 ACZ786454:ADA786454 AMV786454:AMW786454 AWR786454:AWS786454 BGN786454:BGO786454 BQJ786454:BQK786454 CAF786454:CAG786454 CKB786454:CKC786454 CTX786454:CTY786454 DDT786454:DDU786454 DNP786454:DNQ786454 DXL786454:DXM786454 EHH786454:EHI786454 ERD786454:ERE786454 FAZ786454:FBA786454 FKV786454:FKW786454 FUR786454:FUS786454 GEN786454:GEO786454 GOJ786454:GOK786454 GYF786454:GYG786454 HIB786454:HIC786454 HRX786454:HRY786454 IBT786454:IBU786454 ILP786454:ILQ786454 IVL786454:IVM786454 JFH786454:JFI786454 JPD786454:JPE786454 JYZ786454:JZA786454 KIV786454:KIW786454 KSR786454:KSS786454 LCN786454:LCO786454 LMJ786454:LMK786454 LWF786454:LWG786454 MGB786454:MGC786454 MPX786454:MPY786454 MZT786454:MZU786454 NJP786454:NJQ786454 NTL786454:NTM786454 ODH786454:ODI786454 OND786454:ONE786454 OWZ786454:OXA786454 PGV786454:PGW786454 PQR786454:PQS786454 QAN786454:QAO786454 QKJ786454:QKK786454 QUF786454:QUG786454 REB786454:REC786454 RNX786454:RNY786454 RXT786454:RXU786454 SHP786454:SHQ786454 SRL786454:SRM786454 TBH786454:TBI786454 TLD786454:TLE786454 TUZ786454:TVA786454 UEV786454:UEW786454 UOR786454:UOS786454 UYN786454:UYO786454 VIJ786454:VIK786454 VSF786454:VSG786454 WCB786454:WCC786454 WLX786454:WLY786454 WVT786454:WVU786454 L851990:M851990 JH851990:JI851990 TD851990:TE851990 ACZ851990:ADA851990 AMV851990:AMW851990 AWR851990:AWS851990 BGN851990:BGO851990 BQJ851990:BQK851990 CAF851990:CAG851990 CKB851990:CKC851990 CTX851990:CTY851990 DDT851990:DDU851990 DNP851990:DNQ851990 DXL851990:DXM851990 EHH851990:EHI851990 ERD851990:ERE851990 FAZ851990:FBA851990 FKV851990:FKW851990 FUR851990:FUS851990 GEN851990:GEO851990 GOJ851990:GOK851990 GYF851990:GYG851990 HIB851990:HIC851990 HRX851990:HRY851990 IBT851990:IBU851990 ILP851990:ILQ851990 IVL851990:IVM851990 JFH851990:JFI851990 JPD851990:JPE851990 JYZ851990:JZA851990 KIV851990:KIW851990 KSR851990:KSS851990 LCN851990:LCO851990 LMJ851990:LMK851990 LWF851990:LWG851990 MGB851990:MGC851990 MPX851990:MPY851990 MZT851990:MZU851990 NJP851990:NJQ851990 NTL851990:NTM851990 ODH851990:ODI851990 OND851990:ONE851990 OWZ851990:OXA851990 PGV851990:PGW851990 PQR851990:PQS851990 QAN851990:QAO851990 QKJ851990:QKK851990 QUF851990:QUG851990 REB851990:REC851990 RNX851990:RNY851990 RXT851990:RXU851990 SHP851990:SHQ851990 SRL851990:SRM851990 TBH851990:TBI851990 TLD851990:TLE851990 TUZ851990:TVA851990 UEV851990:UEW851990 UOR851990:UOS851990 UYN851990:UYO851990 VIJ851990:VIK851990 VSF851990:VSG851990 WCB851990:WCC851990 WLX851990:WLY851990 WVT851990:WVU851990 L917526:M917526 JH917526:JI917526 TD917526:TE917526 ACZ917526:ADA917526 AMV917526:AMW917526 AWR917526:AWS917526 BGN917526:BGO917526 BQJ917526:BQK917526 CAF917526:CAG917526 CKB917526:CKC917526 CTX917526:CTY917526 DDT917526:DDU917526 DNP917526:DNQ917526 DXL917526:DXM917526 EHH917526:EHI917526 ERD917526:ERE917526 FAZ917526:FBA917526 FKV917526:FKW917526 FUR917526:FUS917526 GEN917526:GEO917526 GOJ917526:GOK917526 GYF917526:GYG917526 HIB917526:HIC917526 HRX917526:HRY917526 IBT917526:IBU917526 ILP917526:ILQ917526 IVL917526:IVM917526 JFH917526:JFI917526 JPD917526:JPE917526 JYZ917526:JZA917526 KIV917526:KIW917526 KSR917526:KSS917526 LCN917526:LCO917526 LMJ917526:LMK917526 LWF917526:LWG917526 MGB917526:MGC917526 MPX917526:MPY917526 MZT917526:MZU917526 NJP917526:NJQ917526 NTL917526:NTM917526 ODH917526:ODI917526 OND917526:ONE917526 OWZ917526:OXA917526 PGV917526:PGW917526 PQR917526:PQS917526 QAN917526:QAO917526 QKJ917526:QKK917526 QUF917526:QUG917526 REB917526:REC917526 RNX917526:RNY917526 RXT917526:RXU917526 SHP917526:SHQ917526 SRL917526:SRM917526 TBH917526:TBI917526 TLD917526:TLE917526 TUZ917526:TVA917526 UEV917526:UEW917526 UOR917526:UOS917526 UYN917526:UYO917526 VIJ917526:VIK917526 VSF917526:VSG917526 WCB917526:WCC917526 WLX917526:WLY917526 WVT917526:WVU917526 L983062:M983062 JH983062:JI983062 TD983062:TE983062 ACZ983062:ADA983062 AMV983062:AMW983062 AWR983062:AWS983062 BGN983062:BGO983062 BQJ983062:BQK983062 CAF983062:CAG983062 CKB983062:CKC983062 CTX983062:CTY983062 DDT983062:DDU983062 DNP983062:DNQ983062 DXL983062:DXM983062 EHH983062:EHI983062 ERD983062:ERE983062 FAZ983062:FBA983062 FKV983062:FKW983062 FUR983062:FUS983062 GEN983062:GEO983062 GOJ983062:GOK983062 GYF983062:GYG983062 HIB983062:HIC983062 HRX983062:HRY983062 IBT983062:IBU983062 ILP983062:ILQ983062 IVL983062:IVM983062 JFH983062:JFI983062 JPD983062:JPE983062 JYZ983062:JZA983062 KIV983062:KIW983062 KSR983062:KSS983062 LCN983062:LCO983062 LMJ983062:LMK983062 LWF983062:LWG983062 MGB983062:MGC983062 MPX983062:MPY983062 MZT983062:MZU983062 NJP983062:NJQ983062 NTL983062:NTM983062 ODH983062:ODI983062 OND983062:ONE983062 OWZ983062:OXA983062 PGV983062:PGW983062 PQR983062:PQS983062 QAN983062:QAO983062 QKJ983062:QKK983062 QUF983062:QUG983062 REB983062:REC983062 RNX983062:RNY983062 RXT983062:RXU983062 SHP983062:SHQ983062 SRL983062:SRM983062 TBH983062:TBI983062 TLD983062:TLE983062 TUZ983062:TVA983062 UEV983062:UEW983062 UOR983062:UOS983062 UYN983062:UYO983062 VIJ983062:VIK983062 VSF983062:VSG983062 WCB983062:WCC983062 WLX983062:WLY983062" xr:uid="{F5C17A3D-E945-4031-A102-36C165E0EB97}">
      <formula1>A2_Bancos</formula1>
    </dataValidation>
    <dataValidation type="list" allowBlank="1" showInputMessage="1" showErrorMessage="1" sqref="I5:I6 JE5:JE6 TA5:TA6 ACW5:ACW6 AMS5:AMS6 AWO5:AWO6 BGK5:BGK6 BQG5:BQG6 CAC5:CAC6 CJY5:CJY6 CTU5:CTU6 DDQ5:DDQ6 DNM5:DNM6 DXI5:DXI6 EHE5:EHE6 ERA5:ERA6 FAW5:FAW6 FKS5:FKS6 FUO5:FUO6 GEK5:GEK6 GOG5:GOG6 GYC5:GYC6 HHY5:HHY6 HRU5:HRU6 IBQ5:IBQ6 ILM5:ILM6 IVI5:IVI6 JFE5:JFE6 JPA5:JPA6 JYW5:JYW6 KIS5:KIS6 KSO5:KSO6 LCK5:LCK6 LMG5:LMG6 LWC5:LWC6 MFY5:MFY6 MPU5:MPU6 MZQ5:MZQ6 NJM5:NJM6 NTI5:NTI6 ODE5:ODE6 ONA5:ONA6 OWW5:OWW6 PGS5:PGS6 PQO5:PQO6 QAK5:QAK6 QKG5:QKG6 QUC5:QUC6 RDY5:RDY6 RNU5:RNU6 RXQ5:RXQ6 SHM5:SHM6 SRI5:SRI6 TBE5:TBE6 TLA5:TLA6 TUW5:TUW6 UES5:UES6 UOO5:UOO6 UYK5:UYK6 VIG5:VIG6 VSC5:VSC6 WBY5:WBY6 WLU5:WLU6 WVQ5:WVQ6 I65541 JE65541 TA65541 ACW65541 AMS65541 AWO65541 BGK65541 BQG65541 CAC65541 CJY65541 CTU65541 DDQ65541 DNM65541 DXI65541 EHE65541 ERA65541 FAW65541 FKS65541 FUO65541 GEK65541 GOG65541 GYC65541 HHY65541 HRU65541 IBQ65541 ILM65541 IVI65541 JFE65541 JPA65541 JYW65541 KIS65541 KSO65541 LCK65541 LMG65541 LWC65541 MFY65541 MPU65541 MZQ65541 NJM65541 NTI65541 ODE65541 ONA65541 OWW65541 PGS65541 PQO65541 QAK65541 QKG65541 QUC65541 RDY65541 RNU65541 RXQ65541 SHM65541 SRI65541 TBE65541 TLA65541 TUW65541 UES65541 UOO65541 UYK65541 VIG65541 VSC65541 WBY65541 WLU65541 WVQ65541 I131077 JE131077 TA131077 ACW131077 AMS131077 AWO131077 BGK131077 BQG131077 CAC131077 CJY131077 CTU131077 DDQ131077 DNM131077 DXI131077 EHE131077 ERA131077 FAW131077 FKS131077 FUO131077 GEK131077 GOG131077 GYC131077 HHY131077 HRU131077 IBQ131077 ILM131077 IVI131077 JFE131077 JPA131077 JYW131077 KIS131077 KSO131077 LCK131077 LMG131077 LWC131077 MFY131077 MPU131077 MZQ131077 NJM131077 NTI131077 ODE131077 ONA131077 OWW131077 PGS131077 PQO131077 QAK131077 QKG131077 QUC131077 RDY131077 RNU131077 RXQ131077 SHM131077 SRI131077 TBE131077 TLA131077 TUW131077 UES131077 UOO131077 UYK131077 VIG131077 VSC131077 WBY131077 WLU131077 WVQ131077 I196613 JE196613 TA196613 ACW196613 AMS196613 AWO196613 BGK196613 BQG196613 CAC196613 CJY196613 CTU196613 DDQ196613 DNM196613 DXI196613 EHE196613 ERA196613 FAW196613 FKS196613 FUO196613 GEK196613 GOG196613 GYC196613 HHY196613 HRU196613 IBQ196613 ILM196613 IVI196613 JFE196613 JPA196613 JYW196613 KIS196613 KSO196613 LCK196613 LMG196613 LWC196613 MFY196613 MPU196613 MZQ196613 NJM196613 NTI196613 ODE196613 ONA196613 OWW196613 PGS196613 PQO196613 QAK196613 QKG196613 QUC196613 RDY196613 RNU196613 RXQ196613 SHM196613 SRI196613 TBE196613 TLA196613 TUW196613 UES196613 UOO196613 UYK196613 VIG196613 VSC196613 WBY196613 WLU196613 WVQ196613 I262149 JE262149 TA262149 ACW262149 AMS262149 AWO262149 BGK262149 BQG262149 CAC262149 CJY262149 CTU262149 DDQ262149 DNM262149 DXI262149 EHE262149 ERA262149 FAW262149 FKS262149 FUO262149 GEK262149 GOG262149 GYC262149 HHY262149 HRU262149 IBQ262149 ILM262149 IVI262149 JFE262149 JPA262149 JYW262149 KIS262149 KSO262149 LCK262149 LMG262149 LWC262149 MFY262149 MPU262149 MZQ262149 NJM262149 NTI262149 ODE262149 ONA262149 OWW262149 PGS262149 PQO262149 QAK262149 QKG262149 QUC262149 RDY262149 RNU262149 RXQ262149 SHM262149 SRI262149 TBE262149 TLA262149 TUW262149 UES262149 UOO262149 UYK262149 VIG262149 VSC262149 WBY262149 WLU262149 WVQ262149 I327685 JE327685 TA327685 ACW327685 AMS327685 AWO327685 BGK327685 BQG327685 CAC327685 CJY327685 CTU327685 DDQ327685 DNM327685 DXI327685 EHE327685 ERA327685 FAW327685 FKS327685 FUO327685 GEK327685 GOG327685 GYC327685 HHY327685 HRU327685 IBQ327685 ILM327685 IVI327685 JFE327685 JPA327685 JYW327685 KIS327685 KSO327685 LCK327685 LMG327685 LWC327685 MFY327685 MPU327685 MZQ327685 NJM327685 NTI327685 ODE327685 ONA327685 OWW327685 PGS327685 PQO327685 QAK327685 QKG327685 QUC327685 RDY327685 RNU327685 RXQ327685 SHM327685 SRI327685 TBE327685 TLA327685 TUW327685 UES327685 UOO327685 UYK327685 VIG327685 VSC327685 WBY327685 WLU327685 WVQ327685 I393221 JE393221 TA393221 ACW393221 AMS393221 AWO393221 BGK393221 BQG393221 CAC393221 CJY393221 CTU393221 DDQ393221 DNM393221 DXI393221 EHE393221 ERA393221 FAW393221 FKS393221 FUO393221 GEK393221 GOG393221 GYC393221 HHY393221 HRU393221 IBQ393221 ILM393221 IVI393221 JFE393221 JPA393221 JYW393221 KIS393221 KSO393221 LCK393221 LMG393221 LWC393221 MFY393221 MPU393221 MZQ393221 NJM393221 NTI393221 ODE393221 ONA393221 OWW393221 PGS393221 PQO393221 QAK393221 QKG393221 QUC393221 RDY393221 RNU393221 RXQ393221 SHM393221 SRI393221 TBE393221 TLA393221 TUW393221 UES393221 UOO393221 UYK393221 VIG393221 VSC393221 WBY393221 WLU393221 WVQ393221 I458757 JE458757 TA458757 ACW458757 AMS458757 AWO458757 BGK458757 BQG458757 CAC458757 CJY458757 CTU458757 DDQ458757 DNM458757 DXI458757 EHE458757 ERA458757 FAW458757 FKS458757 FUO458757 GEK458757 GOG458757 GYC458757 HHY458757 HRU458757 IBQ458757 ILM458757 IVI458757 JFE458757 JPA458757 JYW458757 KIS458757 KSO458757 LCK458757 LMG458757 LWC458757 MFY458757 MPU458757 MZQ458757 NJM458757 NTI458757 ODE458757 ONA458757 OWW458757 PGS458757 PQO458757 QAK458757 QKG458757 QUC458757 RDY458757 RNU458757 RXQ458757 SHM458757 SRI458757 TBE458757 TLA458757 TUW458757 UES458757 UOO458757 UYK458757 VIG458757 VSC458757 WBY458757 WLU458757 WVQ458757 I524293 JE524293 TA524293 ACW524293 AMS524293 AWO524293 BGK524293 BQG524293 CAC524293 CJY524293 CTU524293 DDQ524293 DNM524293 DXI524293 EHE524293 ERA524293 FAW524293 FKS524293 FUO524293 GEK524293 GOG524293 GYC524293 HHY524293 HRU524293 IBQ524293 ILM524293 IVI524293 JFE524293 JPA524293 JYW524293 KIS524293 KSO524293 LCK524293 LMG524293 LWC524293 MFY524293 MPU524293 MZQ524293 NJM524293 NTI524293 ODE524293 ONA524293 OWW524293 PGS524293 PQO524293 QAK524293 QKG524293 QUC524293 RDY524293 RNU524293 RXQ524293 SHM524293 SRI524293 TBE524293 TLA524293 TUW524293 UES524293 UOO524293 UYK524293 VIG524293 VSC524293 WBY524293 WLU524293 WVQ524293 I589829 JE589829 TA589829 ACW589829 AMS589829 AWO589829 BGK589829 BQG589829 CAC589829 CJY589829 CTU589829 DDQ589829 DNM589829 DXI589829 EHE589829 ERA589829 FAW589829 FKS589829 FUO589829 GEK589829 GOG589829 GYC589829 HHY589829 HRU589829 IBQ589829 ILM589829 IVI589829 JFE589829 JPA589829 JYW589829 KIS589829 KSO589829 LCK589829 LMG589829 LWC589829 MFY589829 MPU589829 MZQ589829 NJM589829 NTI589829 ODE589829 ONA589829 OWW589829 PGS589829 PQO589829 QAK589829 QKG589829 QUC589829 RDY589829 RNU589829 RXQ589829 SHM589829 SRI589829 TBE589829 TLA589829 TUW589829 UES589829 UOO589829 UYK589829 VIG589829 VSC589829 WBY589829 WLU589829 WVQ589829 I655365 JE655365 TA655365 ACW655365 AMS655365 AWO655365 BGK655365 BQG655365 CAC655365 CJY655365 CTU655365 DDQ655365 DNM655365 DXI655365 EHE655365 ERA655365 FAW655365 FKS655365 FUO655365 GEK655365 GOG655365 GYC655365 HHY655365 HRU655365 IBQ655365 ILM655365 IVI655365 JFE655365 JPA655365 JYW655365 KIS655365 KSO655365 LCK655365 LMG655365 LWC655365 MFY655365 MPU655365 MZQ655365 NJM655365 NTI655365 ODE655365 ONA655365 OWW655365 PGS655365 PQO655365 QAK655365 QKG655365 QUC655365 RDY655365 RNU655365 RXQ655365 SHM655365 SRI655365 TBE655365 TLA655365 TUW655365 UES655365 UOO655365 UYK655365 VIG655365 VSC655365 WBY655365 WLU655365 WVQ655365 I720901 JE720901 TA720901 ACW720901 AMS720901 AWO720901 BGK720901 BQG720901 CAC720901 CJY720901 CTU720901 DDQ720901 DNM720901 DXI720901 EHE720901 ERA720901 FAW720901 FKS720901 FUO720901 GEK720901 GOG720901 GYC720901 HHY720901 HRU720901 IBQ720901 ILM720901 IVI720901 JFE720901 JPA720901 JYW720901 KIS720901 KSO720901 LCK720901 LMG720901 LWC720901 MFY720901 MPU720901 MZQ720901 NJM720901 NTI720901 ODE720901 ONA720901 OWW720901 PGS720901 PQO720901 QAK720901 QKG720901 QUC720901 RDY720901 RNU720901 RXQ720901 SHM720901 SRI720901 TBE720901 TLA720901 TUW720901 UES720901 UOO720901 UYK720901 VIG720901 VSC720901 WBY720901 WLU720901 WVQ720901 I786437 JE786437 TA786437 ACW786437 AMS786437 AWO786437 BGK786437 BQG786437 CAC786437 CJY786437 CTU786437 DDQ786437 DNM786437 DXI786437 EHE786437 ERA786437 FAW786437 FKS786437 FUO786437 GEK786437 GOG786437 GYC786437 HHY786437 HRU786437 IBQ786437 ILM786437 IVI786437 JFE786437 JPA786437 JYW786437 KIS786437 KSO786437 LCK786437 LMG786437 LWC786437 MFY786437 MPU786437 MZQ786437 NJM786437 NTI786437 ODE786437 ONA786437 OWW786437 PGS786437 PQO786437 QAK786437 QKG786437 QUC786437 RDY786437 RNU786437 RXQ786437 SHM786437 SRI786437 TBE786437 TLA786437 TUW786437 UES786437 UOO786437 UYK786437 VIG786437 VSC786437 WBY786437 WLU786437 WVQ786437 I851973 JE851973 TA851973 ACW851973 AMS851973 AWO851973 BGK851973 BQG851973 CAC851973 CJY851973 CTU851973 DDQ851973 DNM851973 DXI851973 EHE851973 ERA851973 FAW851973 FKS851973 FUO851973 GEK851973 GOG851973 GYC851973 HHY851973 HRU851973 IBQ851973 ILM851973 IVI851973 JFE851973 JPA851973 JYW851973 KIS851973 KSO851973 LCK851973 LMG851973 LWC851973 MFY851973 MPU851973 MZQ851973 NJM851973 NTI851973 ODE851973 ONA851973 OWW851973 PGS851973 PQO851973 QAK851973 QKG851973 QUC851973 RDY851973 RNU851973 RXQ851973 SHM851973 SRI851973 TBE851973 TLA851973 TUW851973 UES851973 UOO851973 UYK851973 VIG851973 VSC851973 WBY851973 WLU851973 WVQ851973 I917509 JE917509 TA917509 ACW917509 AMS917509 AWO917509 BGK917509 BQG917509 CAC917509 CJY917509 CTU917509 DDQ917509 DNM917509 DXI917509 EHE917509 ERA917509 FAW917509 FKS917509 FUO917509 GEK917509 GOG917509 GYC917509 HHY917509 HRU917509 IBQ917509 ILM917509 IVI917509 JFE917509 JPA917509 JYW917509 KIS917509 KSO917509 LCK917509 LMG917509 LWC917509 MFY917509 MPU917509 MZQ917509 NJM917509 NTI917509 ODE917509 ONA917509 OWW917509 PGS917509 PQO917509 QAK917509 QKG917509 QUC917509 RDY917509 RNU917509 RXQ917509 SHM917509 SRI917509 TBE917509 TLA917509 TUW917509 UES917509 UOO917509 UYK917509 VIG917509 VSC917509 WBY917509 WLU917509 WVQ917509 I983045 JE983045 TA983045 ACW983045 AMS983045 AWO983045 BGK983045 BQG983045 CAC983045 CJY983045 CTU983045 DDQ983045 DNM983045 DXI983045 EHE983045 ERA983045 FAW983045 FKS983045 FUO983045 GEK983045 GOG983045 GYC983045 HHY983045 HRU983045 IBQ983045 ILM983045 IVI983045 JFE983045 JPA983045 JYW983045 KIS983045 KSO983045 LCK983045 LMG983045 LWC983045 MFY983045 MPU983045 MZQ983045 NJM983045 NTI983045 ODE983045 ONA983045 OWW983045 PGS983045 PQO983045 QAK983045 QKG983045 QUC983045 RDY983045 RNU983045 RXQ983045 SHM983045 SRI983045 TBE983045 TLA983045 TUW983045 UES983045 UOO983045 UYK983045 VIG983045 VSC983045 WBY983045 WLU983045 WVQ983045 VIG983069 JE62 TA62 ACW62 AMS62 AWO62 BGK62 BQG62 CAC62 CJY62 CTU62 DDQ62 DNM62 DXI62 EHE62 ERA62 FAW62 FKS62 FUO62 GEK62 GOG62 GYC62 HHY62 HRU62 IBQ62 ILM62 IVI62 JFE62 JPA62 JYW62 KIS62 KSO62 LCK62 LMG62 LWC62 MFY62 MPU62 MZQ62 NJM62 NTI62 ODE62 ONA62 OWW62 PGS62 PQO62 QAK62 QKG62 QUC62 RDY62 RNU62 RXQ62 SHM62 SRI62 TBE62 TLA62 TUW62 UES62 UOO62 UYK62 VIG62 VSC62 WBY62 WLU62 WVQ62 I65598 JE65598 TA65598 ACW65598 AMS65598 AWO65598 BGK65598 BQG65598 CAC65598 CJY65598 CTU65598 DDQ65598 DNM65598 DXI65598 EHE65598 ERA65598 FAW65598 FKS65598 FUO65598 GEK65598 GOG65598 GYC65598 HHY65598 HRU65598 IBQ65598 ILM65598 IVI65598 JFE65598 JPA65598 JYW65598 KIS65598 KSO65598 LCK65598 LMG65598 LWC65598 MFY65598 MPU65598 MZQ65598 NJM65598 NTI65598 ODE65598 ONA65598 OWW65598 PGS65598 PQO65598 QAK65598 QKG65598 QUC65598 RDY65598 RNU65598 RXQ65598 SHM65598 SRI65598 TBE65598 TLA65598 TUW65598 UES65598 UOO65598 UYK65598 VIG65598 VSC65598 WBY65598 WLU65598 WVQ65598 I131134 JE131134 TA131134 ACW131134 AMS131134 AWO131134 BGK131134 BQG131134 CAC131134 CJY131134 CTU131134 DDQ131134 DNM131134 DXI131134 EHE131134 ERA131134 FAW131134 FKS131134 FUO131134 GEK131134 GOG131134 GYC131134 HHY131134 HRU131134 IBQ131134 ILM131134 IVI131134 JFE131134 JPA131134 JYW131134 KIS131134 KSO131134 LCK131134 LMG131134 LWC131134 MFY131134 MPU131134 MZQ131134 NJM131134 NTI131134 ODE131134 ONA131134 OWW131134 PGS131134 PQO131134 QAK131134 QKG131134 QUC131134 RDY131134 RNU131134 RXQ131134 SHM131134 SRI131134 TBE131134 TLA131134 TUW131134 UES131134 UOO131134 UYK131134 VIG131134 VSC131134 WBY131134 WLU131134 WVQ131134 I196670 JE196670 TA196670 ACW196670 AMS196670 AWO196670 BGK196670 BQG196670 CAC196670 CJY196670 CTU196670 DDQ196670 DNM196670 DXI196670 EHE196670 ERA196670 FAW196670 FKS196670 FUO196670 GEK196670 GOG196670 GYC196670 HHY196670 HRU196670 IBQ196670 ILM196670 IVI196670 JFE196670 JPA196670 JYW196670 KIS196670 KSO196670 LCK196670 LMG196670 LWC196670 MFY196670 MPU196670 MZQ196670 NJM196670 NTI196670 ODE196670 ONA196670 OWW196670 PGS196670 PQO196670 QAK196670 QKG196670 QUC196670 RDY196670 RNU196670 RXQ196670 SHM196670 SRI196670 TBE196670 TLA196670 TUW196670 UES196670 UOO196670 UYK196670 VIG196670 VSC196670 WBY196670 WLU196670 WVQ196670 I262206 JE262206 TA262206 ACW262206 AMS262206 AWO262206 BGK262206 BQG262206 CAC262206 CJY262206 CTU262206 DDQ262206 DNM262206 DXI262206 EHE262206 ERA262206 FAW262206 FKS262206 FUO262206 GEK262206 GOG262206 GYC262206 HHY262206 HRU262206 IBQ262206 ILM262206 IVI262206 JFE262206 JPA262206 JYW262206 KIS262206 KSO262206 LCK262206 LMG262206 LWC262206 MFY262206 MPU262206 MZQ262206 NJM262206 NTI262206 ODE262206 ONA262206 OWW262206 PGS262206 PQO262206 QAK262206 QKG262206 QUC262206 RDY262206 RNU262206 RXQ262206 SHM262206 SRI262206 TBE262206 TLA262206 TUW262206 UES262206 UOO262206 UYK262206 VIG262206 VSC262206 WBY262206 WLU262206 WVQ262206 I327742 JE327742 TA327742 ACW327742 AMS327742 AWO327742 BGK327742 BQG327742 CAC327742 CJY327742 CTU327742 DDQ327742 DNM327742 DXI327742 EHE327742 ERA327742 FAW327742 FKS327742 FUO327742 GEK327742 GOG327742 GYC327742 HHY327742 HRU327742 IBQ327742 ILM327742 IVI327742 JFE327742 JPA327742 JYW327742 KIS327742 KSO327742 LCK327742 LMG327742 LWC327742 MFY327742 MPU327742 MZQ327742 NJM327742 NTI327742 ODE327742 ONA327742 OWW327742 PGS327742 PQO327742 QAK327742 QKG327742 QUC327742 RDY327742 RNU327742 RXQ327742 SHM327742 SRI327742 TBE327742 TLA327742 TUW327742 UES327742 UOO327742 UYK327742 VIG327742 VSC327742 WBY327742 WLU327742 WVQ327742 I393278 JE393278 TA393278 ACW393278 AMS393278 AWO393278 BGK393278 BQG393278 CAC393278 CJY393278 CTU393278 DDQ393278 DNM393278 DXI393278 EHE393278 ERA393278 FAW393278 FKS393278 FUO393278 GEK393278 GOG393278 GYC393278 HHY393278 HRU393278 IBQ393278 ILM393278 IVI393278 JFE393278 JPA393278 JYW393278 KIS393278 KSO393278 LCK393278 LMG393278 LWC393278 MFY393278 MPU393278 MZQ393278 NJM393278 NTI393278 ODE393278 ONA393278 OWW393278 PGS393278 PQO393278 QAK393278 QKG393278 QUC393278 RDY393278 RNU393278 RXQ393278 SHM393278 SRI393278 TBE393278 TLA393278 TUW393278 UES393278 UOO393278 UYK393278 VIG393278 VSC393278 WBY393278 WLU393278 WVQ393278 I458814 JE458814 TA458814 ACW458814 AMS458814 AWO458814 BGK458814 BQG458814 CAC458814 CJY458814 CTU458814 DDQ458814 DNM458814 DXI458814 EHE458814 ERA458814 FAW458814 FKS458814 FUO458814 GEK458814 GOG458814 GYC458814 HHY458814 HRU458814 IBQ458814 ILM458814 IVI458814 JFE458814 JPA458814 JYW458814 KIS458814 KSO458814 LCK458814 LMG458814 LWC458814 MFY458814 MPU458814 MZQ458814 NJM458814 NTI458814 ODE458814 ONA458814 OWW458814 PGS458814 PQO458814 QAK458814 QKG458814 QUC458814 RDY458814 RNU458814 RXQ458814 SHM458814 SRI458814 TBE458814 TLA458814 TUW458814 UES458814 UOO458814 UYK458814 VIG458814 VSC458814 WBY458814 WLU458814 WVQ458814 I524350 JE524350 TA524350 ACW524350 AMS524350 AWO524350 BGK524350 BQG524350 CAC524350 CJY524350 CTU524350 DDQ524350 DNM524350 DXI524350 EHE524350 ERA524350 FAW524350 FKS524350 FUO524350 GEK524350 GOG524350 GYC524350 HHY524350 HRU524350 IBQ524350 ILM524350 IVI524350 JFE524350 JPA524350 JYW524350 KIS524350 KSO524350 LCK524350 LMG524350 LWC524350 MFY524350 MPU524350 MZQ524350 NJM524350 NTI524350 ODE524350 ONA524350 OWW524350 PGS524350 PQO524350 QAK524350 QKG524350 QUC524350 RDY524350 RNU524350 RXQ524350 SHM524350 SRI524350 TBE524350 TLA524350 TUW524350 UES524350 UOO524350 UYK524350 VIG524350 VSC524350 WBY524350 WLU524350 WVQ524350 I589886 JE589886 TA589886 ACW589886 AMS589886 AWO589886 BGK589886 BQG589886 CAC589886 CJY589886 CTU589886 DDQ589886 DNM589886 DXI589886 EHE589886 ERA589886 FAW589886 FKS589886 FUO589886 GEK589886 GOG589886 GYC589886 HHY589886 HRU589886 IBQ589886 ILM589886 IVI589886 JFE589886 JPA589886 JYW589886 KIS589886 KSO589886 LCK589886 LMG589886 LWC589886 MFY589886 MPU589886 MZQ589886 NJM589886 NTI589886 ODE589886 ONA589886 OWW589886 PGS589886 PQO589886 QAK589886 QKG589886 QUC589886 RDY589886 RNU589886 RXQ589886 SHM589886 SRI589886 TBE589886 TLA589886 TUW589886 UES589886 UOO589886 UYK589886 VIG589886 VSC589886 WBY589886 WLU589886 WVQ589886 I655422 JE655422 TA655422 ACW655422 AMS655422 AWO655422 BGK655422 BQG655422 CAC655422 CJY655422 CTU655422 DDQ655422 DNM655422 DXI655422 EHE655422 ERA655422 FAW655422 FKS655422 FUO655422 GEK655422 GOG655422 GYC655422 HHY655422 HRU655422 IBQ655422 ILM655422 IVI655422 JFE655422 JPA655422 JYW655422 KIS655422 KSO655422 LCK655422 LMG655422 LWC655422 MFY655422 MPU655422 MZQ655422 NJM655422 NTI655422 ODE655422 ONA655422 OWW655422 PGS655422 PQO655422 QAK655422 QKG655422 QUC655422 RDY655422 RNU655422 RXQ655422 SHM655422 SRI655422 TBE655422 TLA655422 TUW655422 UES655422 UOO655422 UYK655422 VIG655422 VSC655422 WBY655422 WLU655422 WVQ655422 I720958 JE720958 TA720958 ACW720958 AMS720958 AWO720958 BGK720958 BQG720958 CAC720958 CJY720958 CTU720958 DDQ720958 DNM720958 DXI720958 EHE720958 ERA720958 FAW720958 FKS720958 FUO720958 GEK720958 GOG720958 GYC720958 HHY720958 HRU720958 IBQ720958 ILM720958 IVI720958 JFE720958 JPA720958 JYW720958 KIS720958 KSO720958 LCK720958 LMG720958 LWC720958 MFY720958 MPU720958 MZQ720958 NJM720958 NTI720958 ODE720958 ONA720958 OWW720958 PGS720958 PQO720958 QAK720958 QKG720958 QUC720958 RDY720958 RNU720958 RXQ720958 SHM720958 SRI720958 TBE720958 TLA720958 TUW720958 UES720958 UOO720958 UYK720958 VIG720958 VSC720958 WBY720958 WLU720958 WVQ720958 I786494 JE786494 TA786494 ACW786494 AMS786494 AWO786494 BGK786494 BQG786494 CAC786494 CJY786494 CTU786494 DDQ786494 DNM786494 DXI786494 EHE786494 ERA786494 FAW786494 FKS786494 FUO786494 GEK786494 GOG786494 GYC786494 HHY786494 HRU786494 IBQ786494 ILM786494 IVI786494 JFE786494 JPA786494 JYW786494 KIS786494 KSO786494 LCK786494 LMG786494 LWC786494 MFY786494 MPU786494 MZQ786494 NJM786494 NTI786494 ODE786494 ONA786494 OWW786494 PGS786494 PQO786494 QAK786494 QKG786494 QUC786494 RDY786494 RNU786494 RXQ786494 SHM786494 SRI786494 TBE786494 TLA786494 TUW786494 UES786494 UOO786494 UYK786494 VIG786494 VSC786494 WBY786494 WLU786494 WVQ786494 I852030 JE852030 TA852030 ACW852030 AMS852030 AWO852030 BGK852030 BQG852030 CAC852030 CJY852030 CTU852030 DDQ852030 DNM852030 DXI852030 EHE852030 ERA852030 FAW852030 FKS852030 FUO852030 GEK852030 GOG852030 GYC852030 HHY852030 HRU852030 IBQ852030 ILM852030 IVI852030 JFE852030 JPA852030 JYW852030 KIS852030 KSO852030 LCK852030 LMG852030 LWC852030 MFY852030 MPU852030 MZQ852030 NJM852030 NTI852030 ODE852030 ONA852030 OWW852030 PGS852030 PQO852030 QAK852030 QKG852030 QUC852030 RDY852030 RNU852030 RXQ852030 SHM852030 SRI852030 TBE852030 TLA852030 TUW852030 UES852030 UOO852030 UYK852030 VIG852030 VSC852030 WBY852030 WLU852030 WVQ852030 I917566 JE917566 TA917566 ACW917566 AMS917566 AWO917566 BGK917566 BQG917566 CAC917566 CJY917566 CTU917566 DDQ917566 DNM917566 DXI917566 EHE917566 ERA917566 FAW917566 FKS917566 FUO917566 GEK917566 GOG917566 GYC917566 HHY917566 HRU917566 IBQ917566 ILM917566 IVI917566 JFE917566 JPA917566 JYW917566 KIS917566 KSO917566 LCK917566 LMG917566 LWC917566 MFY917566 MPU917566 MZQ917566 NJM917566 NTI917566 ODE917566 ONA917566 OWW917566 PGS917566 PQO917566 QAK917566 QKG917566 QUC917566 RDY917566 RNU917566 RXQ917566 SHM917566 SRI917566 TBE917566 TLA917566 TUW917566 UES917566 UOO917566 UYK917566 VIG917566 VSC917566 WBY917566 WLU917566 WVQ917566 I983102 JE983102 TA983102 ACW983102 AMS983102 AWO983102 BGK983102 BQG983102 CAC983102 CJY983102 CTU983102 DDQ983102 DNM983102 DXI983102 EHE983102 ERA983102 FAW983102 FKS983102 FUO983102 GEK983102 GOG983102 GYC983102 HHY983102 HRU983102 IBQ983102 ILM983102 IVI983102 JFE983102 JPA983102 JYW983102 KIS983102 KSO983102 LCK983102 LMG983102 LWC983102 MFY983102 MPU983102 MZQ983102 NJM983102 NTI983102 ODE983102 ONA983102 OWW983102 PGS983102 PQO983102 QAK983102 QKG983102 QUC983102 RDY983102 RNU983102 RXQ983102 SHM983102 SRI983102 TBE983102 TLA983102 TUW983102 UES983102 UOO983102 UYK983102 VIG983102 VSC983102 WBY983102 WLU983102 WVQ983102 VSC983069 JE68:JE69 TA68:TA69 ACW68:ACW69 AMS68:AMS69 AWO68:AWO69 BGK68:BGK69 BQG68:BQG69 CAC68:CAC69 CJY68:CJY69 CTU68:CTU69 DDQ68:DDQ69 DNM68:DNM69 DXI68:DXI69 EHE68:EHE69 ERA68:ERA69 FAW68:FAW69 FKS68:FKS69 FUO68:FUO69 GEK68:GEK69 GOG68:GOG69 GYC68:GYC69 HHY68:HHY69 HRU68:HRU69 IBQ68:IBQ69 ILM68:ILM69 IVI68:IVI69 JFE68:JFE69 JPA68:JPA69 JYW68:JYW69 KIS68:KIS69 KSO68:KSO69 LCK68:LCK69 LMG68:LMG69 LWC68:LWC69 MFY68:MFY69 MPU68:MPU69 MZQ68:MZQ69 NJM68:NJM69 NTI68:NTI69 ODE68:ODE69 ONA68:ONA69 OWW68:OWW69 PGS68:PGS69 PQO68:PQO69 QAK68:QAK69 QKG68:QKG69 QUC68:QUC69 RDY68:RDY69 RNU68:RNU69 RXQ68:RXQ69 SHM68:SHM69 SRI68:SRI69 TBE68:TBE69 TLA68:TLA69 TUW68:TUW69 UES68:UES69 UOO68:UOO69 UYK68:UYK69 VIG68:VIG69 VSC68:VSC69 WBY68:WBY69 WLU68:WLU69 WVQ68:WVQ69 I65604:I65605 JE65604:JE65605 TA65604:TA65605 ACW65604:ACW65605 AMS65604:AMS65605 AWO65604:AWO65605 BGK65604:BGK65605 BQG65604:BQG65605 CAC65604:CAC65605 CJY65604:CJY65605 CTU65604:CTU65605 DDQ65604:DDQ65605 DNM65604:DNM65605 DXI65604:DXI65605 EHE65604:EHE65605 ERA65604:ERA65605 FAW65604:FAW65605 FKS65604:FKS65605 FUO65604:FUO65605 GEK65604:GEK65605 GOG65604:GOG65605 GYC65604:GYC65605 HHY65604:HHY65605 HRU65604:HRU65605 IBQ65604:IBQ65605 ILM65604:ILM65605 IVI65604:IVI65605 JFE65604:JFE65605 JPA65604:JPA65605 JYW65604:JYW65605 KIS65604:KIS65605 KSO65604:KSO65605 LCK65604:LCK65605 LMG65604:LMG65605 LWC65604:LWC65605 MFY65604:MFY65605 MPU65604:MPU65605 MZQ65604:MZQ65605 NJM65604:NJM65605 NTI65604:NTI65605 ODE65604:ODE65605 ONA65604:ONA65605 OWW65604:OWW65605 PGS65604:PGS65605 PQO65604:PQO65605 QAK65604:QAK65605 QKG65604:QKG65605 QUC65604:QUC65605 RDY65604:RDY65605 RNU65604:RNU65605 RXQ65604:RXQ65605 SHM65604:SHM65605 SRI65604:SRI65605 TBE65604:TBE65605 TLA65604:TLA65605 TUW65604:TUW65605 UES65604:UES65605 UOO65604:UOO65605 UYK65604:UYK65605 VIG65604:VIG65605 VSC65604:VSC65605 WBY65604:WBY65605 WLU65604:WLU65605 WVQ65604:WVQ65605 I131140:I131141 JE131140:JE131141 TA131140:TA131141 ACW131140:ACW131141 AMS131140:AMS131141 AWO131140:AWO131141 BGK131140:BGK131141 BQG131140:BQG131141 CAC131140:CAC131141 CJY131140:CJY131141 CTU131140:CTU131141 DDQ131140:DDQ131141 DNM131140:DNM131141 DXI131140:DXI131141 EHE131140:EHE131141 ERA131140:ERA131141 FAW131140:FAW131141 FKS131140:FKS131141 FUO131140:FUO131141 GEK131140:GEK131141 GOG131140:GOG131141 GYC131140:GYC131141 HHY131140:HHY131141 HRU131140:HRU131141 IBQ131140:IBQ131141 ILM131140:ILM131141 IVI131140:IVI131141 JFE131140:JFE131141 JPA131140:JPA131141 JYW131140:JYW131141 KIS131140:KIS131141 KSO131140:KSO131141 LCK131140:LCK131141 LMG131140:LMG131141 LWC131140:LWC131141 MFY131140:MFY131141 MPU131140:MPU131141 MZQ131140:MZQ131141 NJM131140:NJM131141 NTI131140:NTI131141 ODE131140:ODE131141 ONA131140:ONA131141 OWW131140:OWW131141 PGS131140:PGS131141 PQO131140:PQO131141 QAK131140:QAK131141 QKG131140:QKG131141 QUC131140:QUC131141 RDY131140:RDY131141 RNU131140:RNU131141 RXQ131140:RXQ131141 SHM131140:SHM131141 SRI131140:SRI131141 TBE131140:TBE131141 TLA131140:TLA131141 TUW131140:TUW131141 UES131140:UES131141 UOO131140:UOO131141 UYK131140:UYK131141 VIG131140:VIG131141 VSC131140:VSC131141 WBY131140:WBY131141 WLU131140:WLU131141 WVQ131140:WVQ131141 I196676:I196677 JE196676:JE196677 TA196676:TA196677 ACW196676:ACW196677 AMS196676:AMS196677 AWO196676:AWO196677 BGK196676:BGK196677 BQG196676:BQG196677 CAC196676:CAC196677 CJY196676:CJY196677 CTU196676:CTU196677 DDQ196676:DDQ196677 DNM196676:DNM196677 DXI196676:DXI196677 EHE196676:EHE196677 ERA196676:ERA196677 FAW196676:FAW196677 FKS196676:FKS196677 FUO196676:FUO196677 GEK196676:GEK196677 GOG196676:GOG196677 GYC196676:GYC196677 HHY196676:HHY196677 HRU196676:HRU196677 IBQ196676:IBQ196677 ILM196676:ILM196677 IVI196676:IVI196677 JFE196676:JFE196677 JPA196676:JPA196677 JYW196676:JYW196677 KIS196676:KIS196677 KSO196676:KSO196677 LCK196676:LCK196677 LMG196676:LMG196677 LWC196676:LWC196677 MFY196676:MFY196677 MPU196676:MPU196677 MZQ196676:MZQ196677 NJM196676:NJM196677 NTI196676:NTI196677 ODE196676:ODE196677 ONA196676:ONA196677 OWW196676:OWW196677 PGS196676:PGS196677 PQO196676:PQO196677 QAK196676:QAK196677 QKG196676:QKG196677 QUC196676:QUC196677 RDY196676:RDY196677 RNU196676:RNU196677 RXQ196676:RXQ196677 SHM196676:SHM196677 SRI196676:SRI196677 TBE196676:TBE196677 TLA196676:TLA196677 TUW196676:TUW196677 UES196676:UES196677 UOO196676:UOO196677 UYK196676:UYK196677 VIG196676:VIG196677 VSC196676:VSC196677 WBY196676:WBY196677 WLU196676:WLU196677 WVQ196676:WVQ196677 I262212:I262213 JE262212:JE262213 TA262212:TA262213 ACW262212:ACW262213 AMS262212:AMS262213 AWO262212:AWO262213 BGK262212:BGK262213 BQG262212:BQG262213 CAC262212:CAC262213 CJY262212:CJY262213 CTU262212:CTU262213 DDQ262212:DDQ262213 DNM262212:DNM262213 DXI262212:DXI262213 EHE262212:EHE262213 ERA262212:ERA262213 FAW262212:FAW262213 FKS262212:FKS262213 FUO262212:FUO262213 GEK262212:GEK262213 GOG262212:GOG262213 GYC262212:GYC262213 HHY262212:HHY262213 HRU262212:HRU262213 IBQ262212:IBQ262213 ILM262212:ILM262213 IVI262212:IVI262213 JFE262212:JFE262213 JPA262212:JPA262213 JYW262212:JYW262213 KIS262212:KIS262213 KSO262212:KSO262213 LCK262212:LCK262213 LMG262212:LMG262213 LWC262212:LWC262213 MFY262212:MFY262213 MPU262212:MPU262213 MZQ262212:MZQ262213 NJM262212:NJM262213 NTI262212:NTI262213 ODE262212:ODE262213 ONA262212:ONA262213 OWW262212:OWW262213 PGS262212:PGS262213 PQO262212:PQO262213 QAK262212:QAK262213 QKG262212:QKG262213 QUC262212:QUC262213 RDY262212:RDY262213 RNU262212:RNU262213 RXQ262212:RXQ262213 SHM262212:SHM262213 SRI262212:SRI262213 TBE262212:TBE262213 TLA262212:TLA262213 TUW262212:TUW262213 UES262212:UES262213 UOO262212:UOO262213 UYK262212:UYK262213 VIG262212:VIG262213 VSC262212:VSC262213 WBY262212:WBY262213 WLU262212:WLU262213 WVQ262212:WVQ262213 I327748:I327749 JE327748:JE327749 TA327748:TA327749 ACW327748:ACW327749 AMS327748:AMS327749 AWO327748:AWO327749 BGK327748:BGK327749 BQG327748:BQG327749 CAC327748:CAC327749 CJY327748:CJY327749 CTU327748:CTU327749 DDQ327748:DDQ327749 DNM327748:DNM327749 DXI327748:DXI327749 EHE327748:EHE327749 ERA327748:ERA327749 FAW327748:FAW327749 FKS327748:FKS327749 FUO327748:FUO327749 GEK327748:GEK327749 GOG327748:GOG327749 GYC327748:GYC327749 HHY327748:HHY327749 HRU327748:HRU327749 IBQ327748:IBQ327749 ILM327748:ILM327749 IVI327748:IVI327749 JFE327748:JFE327749 JPA327748:JPA327749 JYW327748:JYW327749 KIS327748:KIS327749 KSO327748:KSO327749 LCK327748:LCK327749 LMG327748:LMG327749 LWC327748:LWC327749 MFY327748:MFY327749 MPU327748:MPU327749 MZQ327748:MZQ327749 NJM327748:NJM327749 NTI327748:NTI327749 ODE327748:ODE327749 ONA327748:ONA327749 OWW327748:OWW327749 PGS327748:PGS327749 PQO327748:PQO327749 QAK327748:QAK327749 QKG327748:QKG327749 QUC327748:QUC327749 RDY327748:RDY327749 RNU327748:RNU327749 RXQ327748:RXQ327749 SHM327748:SHM327749 SRI327748:SRI327749 TBE327748:TBE327749 TLA327748:TLA327749 TUW327748:TUW327749 UES327748:UES327749 UOO327748:UOO327749 UYK327748:UYK327749 VIG327748:VIG327749 VSC327748:VSC327749 WBY327748:WBY327749 WLU327748:WLU327749 WVQ327748:WVQ327749 I393284:I393285 JE393284:JE393285 TA393284:TA393285 ACW393284:ACW393285 AMS393284:AMS393285 AWO393284:AWO393285 BGK393284:BGK393285 BQG393284:BQG393285 CAC393284:CAC393285 CJY393284:CJY393285 CTU393284:CTU393285 DDQ393284:DDQ393285 DNM393284:DNM393285 DXI393284:DXI393285 EHE393284:EHE393285 ERA393284:ERA393285 FAW393284:FAW393285 FKS393284:FKS393285 FUO393284:FUO393285 GEK393284:GEK393285 GOG393284:GOG393285 GYC393284:GYC393285 HHY393284:HHY393285 HRU393284:HRU393285 IBQ393284:IBQ393285 ILM393284:ILM393285 IVI393284:IVI393285 JFE393284:JFE393285 JPA393284:JPA393285 JYW393284:JYW393285 KIS393284:KIS393285 KSO393284:KSO393285 LCK393284:LCK393285 LMG393284:LMG393285 LWC393284:LWC393285 MFY393284:MFY393285 MPU393284:MPU393285 MZQ393284:MZQ393285 NJM393284:NJM393285 NTI393284:NTI393285 ODE393284:ODE393285 ONA393284:ONA393285 OWW393284:OWW393285 PGS393284:PGS393285 PQO393284:PQO393285 QAK393284:QAK393285 QKG393284:QKG393285 QUC393284:QUC393285 RDY393284:RDY393285 RNU393284:RNU393285 RXQ393284:RXQ393285 SHM393284:SHM393285 SRI393284:SRI393285 TBE393284:TBE393285 TLA393284:TLA393285 TUW393284:TUW393285 UES393284:UES393285 UOO393284:UOO393285 UYK393284:UYK393285 VIG393284:VIG393285 VSC393284:VSC393285 WBY393284:WBY393285 WLU393284:WLU393285 WVQ393284:WVQ393285 I458820:I458821 JE458820:JE458821 TA458820:TA458821 ACW458820:ACW458821 AMS458820:AMS458821 AWO458820:AWO458821 BGK458820:BGK458821 BQG458820:BQG458821 CAC458820:CAC458821 CJY458820:CJY458821 CTU458820:CTU458821 DDQ458820:DDQ458821 DNM458820:DNM458821 DXI458820:DXI458821 EHE458820:EHE458821 ERA458820:ERA458821 FAW458820:FAW458821 FKS458820:FKS458821 FUO458820:FUO458821 GEK458820:GEK458821 GOG458820:GOG458821 GYC458820:GYC458821 HHY458820:HHY458821 HRU458820:HRU458821 IBQ458820:IBQ458821 ILM458820:ILM458821 IVI458820:IVI458821 JFE458820:JFE458821 JPA458820:JPA458821 JYW458820:JYW458821 KIS458820:KIS458821 KSO458820:KSO458821 LCK458820:LCK458821 LMG458820:LMG458821 LWC458820:LWC458821 MFY458820:MFY458821 MPU458820:MPU458821 MZQ458820:MZQ458821 NJM458820:NJM458821 NTI458820:NTI458821 ODE458820:ODE458821 ONA458820:ONA458821 OWW458820:OWW458821 PGS458820:PGS458821 PQO458820:PQO458821 QAK458820:QAK458821 QKG458820:QKG458821 QUC458820:QUC458821 RDY458820:RDY458821 RNU458820:RNU458821 RXQ458820:RXQ458821 SHM458820:SHM458821 SRI458820:SRI458821 TBE458820:TBE458821 TLA458820:TLA458821 TUW458820:TUW458821 UES458820:UES458821 UOO458820:UOO458821 UYK458820:UYK458821 VIG458820:VIG458821 VSC458820:VSC458821 WBY458820:WBY458821 WLU458820:WLU458821 WVQ458820:WVQ458821 I524356:I524357 JE524356:JE524357 TA524356:TA524357 ACW524356:ACW524357 AMS524356:AMS524357 AWO524356:AWO524357 BGK524356:BGK524357 BQG524356:BQG524357 CAC524356:CAC524357 CJY524356:CJY524357 CTU524356:CTU524357 DDQ524356:DDQ524357 DNM524356:DNM524357 DXI524356:DXI524357 EHE524356:EHE524357 ERA524356:ERA524357 FAW524356:FAW524357 FKS524356:FKS524357 FUO524356:FUO524357 GEK524356:GEK524357 GOG524356:GOG524357 GYC524356:GYC524357 HHY524356:HHY524357 HRU524356:HRU524357 IBQ524356:IBQ524357 ILM524356:ILM524357 IVI524356:IVI524357 JFE524356:JFE524357 JPA524356:JPA524357 JYW524356:JYW524357 KIS524356:KIS524357 KSO524356:KSO524357 LCK524356:LCK524357 LMG524356:LMG524357 LWC524356:LWC524357 MFY524356:MFY524357 MPU524356:MPU524357 MZQ524356:MZQ524357 NJM524356:NJM524357 NTI524356:NTI524357 ODE524356:ODE524357 ONA524356:ONA524357 OWW524356:OWW524357 PGS524356:PGS524357 PQO524356:PQO524357 QAK524356:QAK524357 QKG524356:QKG524357 QUC524356:QUC524357 RDY524356:RDY524357 RNU524356:RNU524357 RXQ524356:RXQ524357 SHM524356:SHM524357 SRI524356:SRI524357 TBE524356:TBE524357 TLA524356:TLA524357 TUW524356:TUW524357 UES524356:UES524357 UOO524356:UOO524357 UYK524356:UYK524357 VIG524356:VIG524357 VSC524356:VSC524357 WBY524356:WBY524357 WLU524356:WLU524357 WVQ524356:WVQ524357 I589892:I589893 JE589892:JE589893 TA589892:TA589893 ACW589892:ACW589893 AMS589892:AMS589893 AWO589892:AWO589893 BGK589892:BGK589893 BQG589892:BQG589893 CAC589892:CAC589893 CJY589892:CJY589893 CTU589892:CTU589893 DDQ589892:DDQ589893 DNM589892:DNM589893 DXI589892:DXI589893 EHE589892:EHE589893 ERA589892:ERA589893 FAW589892:FAW589893 FKS589892:FKS589893 FUO589892:FUO589893 GEK589892:GEK589893 GOG589892:GOG589893 GYC589892:GYC589893 HHY589892:HHY589893 HRU589892:HRU589893 IBQ589892:IBQ589893 ILM589892:ILM589893 IVI589892:IVI589893 JFE589892:JFE589893 JPA589892:JPA589893 JYW589892:JYW589893 KIS589892:KIS589893 KSO589892:KSO589893 LCK589892:LCK589893 LMG589892:LMG589893 LWC589892:LWC589893 MFY589892:MFY589893 MPU589892:MPU589893 MZQ589892:MZQ589893 NJM589892:NJM589893 NTI589892:NTI589893 ODE589892:ODE589893 ONA589892:ONA589893 OWW589892:OWW589893 PGS589892:PGS589893 PQO589892:PQO589893 QAK589892:QAK589893 QKG589892:QKG589893 QUC589892:QUC589893 RDY589892:RDY589893 RNU589892:RNU589893 RXQ589892:RXQ589893 SHM589892:SHM589893 SRI589892:SRI589893 TBE589892:TBE589893 TLA589892:TLA589893 TUW589892:TUW589893 UES589892:UES589893 UOO589892:UOO589893 UYK589892:UYK589893 VIG589892:VIG589893 VSC589892:VSC589893 WBY589892:WBY589893 WLU589892:WLU589893 WVQ589892:WVQ589893 I655428:I655429 JE655428:JE655429 TA655428:TA655429 ACW655428:ACW655429 AMS655428:AMS655429 AWO655428:AWO655429 BGK655428:BGK655429 BQG655428:BQG655429 CAC655428:CAC655429 CJY655428:CJY655429 CTU655428:CTU655429 DDQ655428:DDQ655429 DNM655428:DNM655429 DXI655428:DXI655429 EHE655428:EHE655429 ERA655428:ERA655429 FAW655428:FAW655429 FKS655428:FKS655429 FUO655428:FUO655429 GEK655428:GEK655429 GOG655428:GOG655429 GYC655428:GYC655429 HHY655428:HHY655429 HRU655428:HRU655429 IBQ655428:IBQ655429 ILM655428:ILM655429 IVI655428:IVI655429 JFE655428:JFE655429 JPA655428:JPA655429 JYW655428:JYW655429 KIS655428:KIS655429 KSO655428:KSO655429 LCK655428:LCK655429 LMG655428:LMG655429 LWC655428:LWC655429 MFY655428:MFY655429 MPU655428:MPU655429 MZQ655428:MZQ655429 NJM655428:NJM655429 NTI655428:NTI655429 ODE655428:ODE655429 ONA655428:ONA655429 OWW655428:OWW655429 PGS655428:PGS655429 PQO655428:PQO655429 QAK655428:QAK655429 QKG655428:QKG655429 QUC655428:QUC655429 RDY655428:RDY655429 RNU655428:RNU655429 RXQ655428:RXQ655429 SHM655428:SHM655429 SRI655428:SRI655429 TBE655428:TBE655429 TLA655428:TLA655429 TUW655428:TUW655429 UES655428:UES655429 UOO655428:UOO655429 UYK655428:UYK655429 VIG655428:VIG655429 VSC655428:VSC655429 WBY655428:WBY655429 WLU655428:WLU655429 WVQ655428:WVQ655429 I720964:I720965 JE720964:JE720965 TA720964:TA720965 ACW720964:ACW720965 AMS720964:AMS720965 AWO720964:AWO720965 BGK720964:BGK720965 BQG720964:BQG720965 CAC720964:CAC720965 CJY720964:CJY720965 CTU720964:CTU720965 DDQ720964:DDQ720965 DNM720964:DNM720965 DXI720964:DXI720965 EHE720964:EHE720965 ERA720964:ERA720965 FAW720964:FAW720965 FKS720964:FKS720965 FUO720964:FUO720965 GEK720964:GEK720965 GOG720964:GOG720965 GYC720964:GYC720965 HHY720964:HHY720965 HRU720964:HRU720965 IBQ720964:IBQ720965 ILM720964:ILM720965 IVI720964:IVI720965 JFE720964:JFE720965 JPA720964:JPA720965 JYW720964:JYW720965 KIS720964:KIS720965 KSO720964:KSO720965 LCK720964:LCK720965 LMG720964:LMG720965 LWC720964:LWC720965 MFY720964:MFY720965 MPU720964:MPU720965 MZQ720964:MZQ720965 NJM720964:NJM720965 NTI720964:NTI720965 ODE720964:ODE720965 ONA720964:ONA720965 OWW720964:OWW720965 PGS720964:PGS720965 PQO720964:PQO720965 QAK720964:QAK720965 QKG720964:QKG720965 QUC720964:QUC720965 RDY720964:RDY720965 RNU720964:RNU720965 RXQ720964:RXQ720965 SHM720964:SHM720965 SRI720964:SRI720965 TBE720964:TBE720965 TLA720964:TLA720965 TUW720964:TUW720965 UES720964:UES720965 UOO720964:UOO720965 UYK720964:UYK720965 VIG720964:VIG720965 VSC720964:VSC720965 WBY720964:WBY720965 WLU720964:WLU720965 WVQ720964:WVQ720965 I786500:I786501 JE786500:JE786501 TA786500:TA786501 ACW786500:ACW786501 AMS786500:AMS786501 AWO786500:AWO786501 BGK786500:BGK786501 BQG786500:BQG786501 CAC786500:CAC786501 CJY786500:CJY786501 CTU786500:CTU786501 DDQ786500:DDQ786501 DNM786500:DNM786501 DXI786500:DXI786501 EHE786500:EHE786501 ERA786500:ERA786501 FAW786500:FAW786501 FKS786500:FKS786501 FUO786500:FUO786501 GEK786500:GEK786501 GOG786500:GOG786501 GYC786500:GYC786501 HHY786500:HHY786501 HRU786500:HRU786501 IBQ786500:IBQ786501 ILM786500:ILM786501 IVI786500:IVI786501 JFE786500:JFE786501 JPA786500:JPA786501 JYW786500:JYW786501 KIS786500:KIS786501 KSO786500:KSO786501 LCK786500:LCK786501 LMG786500:LMG786501 LWC786500:LWC786501 MFY786500:MFY786501 MPU786500:MPU786501 MZQ786500:MZQ786501 NJM786500:NJM786501 NTI786500:NTI786501 ODE786500:ODE786501 ONA786500:ONA786501 OWW786500:OWW786501 PGS786500:PGS786501 PQO786500:PQO786501 QAK786500:QAK786501 QKG786500:QKG786501 QUC786500:QUC786501 RDY786500:RDY786501 RNU786500:RNU786501 RXQ786500:RXQ786501 SHM786500:SHM786501 SRI786500:SRI786501 TBE786500:TBE786501 TLA786500:TLA786501 TUW786500:TUW786501 UES786500:UES786501 UOO786500:UOO786501 UYK786500:UYK786501 VIG786500:VIG786501 VSC786500:VSC786501 WBY786500:WBY786501 WLU786500:WLU786501 WVQ786500:WVQ786501 I852036:I852037 JE852036:JE852037 TA852036:TA852037 ACW852036:ACW852037 AMS852036:AMS852037 AWO852036:AWO852037 BGK852036:BGK852037 BQG852036:BQG852037 CAC852036:CAC852037 CJY852036:CJY852037 CTU852036:CTU852037 DDQ852036:DDQ852037 DNM852036:DNM852037 DXI852036:DXI852037 EHE852036:EHE852037 ERA852036:ERA852037 FAW852036:FAW852037 FKS852036:FKS852037 FUO852036:FUO852037 GEK852036:GEK852037 GOG852036:GOG852037 GYC852036:GYC852037 HHY852036:HHY852037 HRU852036:HRU852037 IBQ852036:IBQ852037 ILM852036:ILM852037 IVI852036:IVI852037 JFE852036:JFE852037 JPA852036:JPA852037 JYW852036:JYW852037 KIS852036:KIS852037 KSO852036:KSO852037 LCK852036:LCK852037 LMG852036:LMG852037 LWC852036:LWC852037 MFY852036:MFY852037 MPU852036:MPU852037 MZQ852036:MZQ852037 NJM852036:NJM852037 NTI852036:NTI852037 ODE852036:ODE852037 ONA852036:ONA852037 OWW852036:OWW852037 PGS852036:PGS852037 PQO852036:PQO852037 QAK852036:QAK852037 QKG852036:QKG852037 QUC852036:QUC852037 RDY852036:RDY852037 RNU852036:RNU852037 RXQ852036:RXQ852037 SHM852036:SHM852037 SRI852036:SRI852037 TBE852036:TBE852037 TLA852036:TLA852037 TUW852036:TUW852037 UES852036:UES852037 UOO852036:UOO852037 UYK852036:UYK852037 VIG852036:VIG852037 VSC852036:VSC852037 WBY852036:WBY852037 WLU852036:WLU852037 WVQ852036:WVQ852037 I917572:I917573 JE917572:JE917573 TA917572:TA917573 ACW917572:ACW917573 AMS917572:AMS917573 AWO917572:AWO917573 BGK917572:BGK917573 BQG917572:BQG917573 CAC917572:CAC917573 CJY917572:CJY917573 CTU917572:CTU917573 DDQ917572:DDQ917573 DNM917572:DNM917573 DXI917572:DXI917573 EHE917572:EHE917573 ERA917572:ERA917573 FAW917572:FAW917573 FKS917572:FKS917573 FUO917572:FUO917573 GEK917572:GEK917573 GOG917572:GOG917573 GYC917572:GYC917573 HHY917572:HHY917573 HRU917572:HRU917573 IBQ917572:IBQ917573 ILM917572:ILM917573 IVI917572:IVI917573 JFE917572:JFE917573 JPA917572:JPA917573 JYW917572:JYW917573 KIS917572:KIS917573 KSO917572:KSO917573 LCK917572:LCK917573 LMG917572:LMG917573 LWC917572:LWC917573 MFY917572:MFY917573 MPU917572:MPU917573 MZQ917572:MZQ917573 NJM917572:NJM917573 NTI917572:NTI917573 ODE917572:ODE917573 ONA917572:ONA917573 OWW917572:OWW917573 PGS917572:PGS917573 PQO917572:PQO917573 QAK917572:QAK917573 QKG917572:QKG917573 QUC917572:QUC917573 RDY917572:RDY917573 RNU917572:RNU917573 RXQ917572:RXQ917573 SHM917572:SHM917573 SRI917572:SRI917573 TBE917572:TBE917573 TLA917572:TLA917573 TUW917572:TUW917573 UES917572:UES917573 UOO917572:UOO917573 UYK917572:UYK917573 VIG917572:VIG917573 VSC917572:VSC917573 WBY917572:WBY917573 WLU917572:WLU917573 WVQ917572:WVQ917573 I983108:I983109 JE983108:JE983109 TA983108:TA983109 ACW983108:ACW983109 AMS983108:AMS983109 AWO983108:AWO983109 BGK983108:BGK983109 BQG983108:BQG983109 CAC983108:CAC983109 CJY983108:CJY983109 CTU983108:CTU983109 DDQ983108:DDQ983109 DNM983108:DNM983109 DXI983108:DXI983109 EHE983108:EHE983109 ERA983108:ERA983109 FAW983108:FAW983109 FKS983108:FKS983109 FUO983108:FUO983109 GEK983108:GEK983109 GOG983108:GOG983109 GYC983108:GYC983109 HHY983108:HHY983109 HRU983108:HRU983109 IBQ983108:IBQ983109 ILM983108:ILM983109 IVI983108:IVI983109 JFE983108:JFE983109 JPA983108:JPA983109 JYW983108:JYW983109 KIS983108:KIS983109 KSO983108:KSO983109 LCK983108:LCK983109 LMG983108:LMG983109 LWC983108:LWC983109 MFY983108:MFY983109 MPU983108:MPU983109 MZQ983108:MZQ983109 NJM983108:NJM983109 NTI983108:NTI983109 ODE983108:ODE983109 ONA983108:ONA983109 OWW983108:OWW983109 PGS983108:PGS983109 PQO983108:PQO983109 QAK983108:QAK983109 QKG983108:QKG983109 QUC983108:QUC983109 RDY983108:RDY983109 RNU983108:RNU983109 RXQ983108:RXQ983109 SHM983108:SHM983109 SRI983108:SRI983109 TBE983108:TBE983109 TLA983108:TLA983109 TUW983108:TUW983109 UES983108:UES983109 UOO983108:UOO983109 UYK983108:UYK983109 VIG983108:VIG983109 VSC983108:VSC983109 WBY983108:WBY983109 WLU983108:WLU983109 WVQ983108:WVQ983109 I173 JE173 TA173 ACW173 AMS173 AWO173 BGK173 BQG173 CAC173 CJY173 CTU173 DDQ173 DNM173 DXI173 EHE173 ERA173 FAW173 FKS173 FUO173 GEK173 GOG173 GYC173 HHY173 HRU173 IBQ173 ILM173 IVI173 JFE173 JPA173 JYW173 KIS173 KSO173 LCK173 LMG173 LWC173 MFY173 MPU173 MZQ173 NJM173 NTI173 ODE173 ONA173 OWW173 PGS173 PQO173 QAK173 QKG173 QUC173 RDY173 RNU173 RXQ173 SHM173 SRI173 TBE173 TLA173 TUW173 UES173 UOO173 UYK173 VIG173 VSC173 WBY173 WLU173 WVQ173 I65709 JE65709 TA65709 ACW65709 AMS65709 AWO65709 BGK65709 BQG65709 CAC65709 CJY65709 CTU65709 DDQ65709 DNM65709 DXI65709 EHE65709 ERA65709 FAW65709 FKS65709 FUO65709 GEK65709 GOG65709 GYC65709 HHY65709 HRU65709 IBQ65709 ILM65709 IVI65709 JFE65709 JPA65709 JYW65709 KIS65709 KSO65709 LCK65709 LMG65709 LWC65709 MFY65709 MPU65709 MZQ65709 NJM65709 NTI65709 ODE65709 ONA65709 OWW65709 PGS65709 PQO65709 QAK65709 QKG65709 QUC65709 RDY65709 RNU65709 RXQ65709 SHM65709 SRI65709 TBE65709 TLA65709 TUW65709 UES65709 UOO65709 UYK65709 VIG65709 VSC65709 WBY65709 WLU65709 WVQ65709 I131245 JE131245 TA131245 ACW131245 AMS131245 AWO131245 BGK131245 BQG131245 CAC131245 CJY131245 CTU131245 DDQ131245 DNM131245 DXI131245 EHE131245 ERA131245 FAW131245 FKS131245 FUO131245 GEK131245 GOG131245 GYC131245 HHY131245 HRU131245 IBQ131245 ILM131245 IVI131245 JFE131245 JPA131245 JYW131245 KIS131245 KSO131245 LCK131245 LMG131245 LWC131245 MFY131245 MPU131245 MZQ131245 NJM131245 NTI131245 ODE131245 ONA131245 OWW131245 PGS131245 PQO131245 QAK131245 QKG131245 QUC131245 RDY131245 RNU131245 RXQ131245 SHM131245 SRI131245 TBE131245 TLA131245 TUW131245 UES131245 UOO131245 UYK131245 VIG131245 VSC131245 WBY131245 WLU131245 WVQ131245 I196781 JE196781 TA196781 ACW196781 AMS196781 AWO196781 BGK196781 BQG196781 CAC196781 CJY196781 CTU196781 DDQ196781 DNM196781 DXI196781 EHE196781 ERA196781 FAW196781 FKS196781 FUO196781 GEK196781 GOG196781 GYC196781 HHY196781 HRU196781 IBQ196781 ILM196781 IVI196781 JFE196781 JPA196781 JYW196781 KIS196781 KSO196781 LCK196781 LMG196781 LWC196781 MFY196781 MPU196781 MZQ196781 NJM196781 NTI196781 ODE196781 ONA196781 OWW196781 PGS196781 PQO196781 QAK196781 QKG196781 QUC196781 RDY196781 RNU196781 RXQ196781 SHM196781 SRI196781 TBE196781 TLA196781 TUW196781 UES196781 UOO196781 UYK196781 VIG196781 VSC196781 WBY196781 WLU196781 WVQ196781 I262317 JE262317 TA262317 ACW262317 AMS262317 AWO262317 BGK262317 BQG262317 CAC262317 CJY262317 CTU262317 DDQ262317 DNM262317 DXI262317 EHE262317 ERA262317 FAW262317 FKS262317 FUO262317 GEK262317 GOG262317 GYC262317 HHY262317 HRU262317 IBQ262317 ILM262317 IVI262317 JFE262317 JPA262317 JYW262317 KIS262317 KSO262317 LCK262317 LMG262317 LWC262317 MFY262317 MPU262317 MZQ262317 NJM262317 NTI262317 ODE262317 ONA262317 OWW262317 PGS262317 PQO262317 QAK262317 QKG262317 QUC262317 RDY262317 RNU262317 RXQ262317 SHM262317 SRI262317 TBE262317 TLA262317 TUW262317 UES262317 UOO262317 UYK262317 VIG262317 VSC262317 WBY262317 WLU262317 WVQ262317 I327853 JE327853 TA327853 ACW327853 AMS327853 AWO327853 BGK327853 BQG327853 CAC327853 CJY327853 CTU327853 DDQ327853 DNM327853 DXI327853 EHE327853 ERA327853 FAW327853 FKS327853 FUO327853 GEK327853 GOG327853 GYC327853 HHY327853 HRU327853 IBQ327853 ILM327853 IVI327853 JFE327853 JPA327853 JYW327853 KIS327853 KSO327853 LCK327853 LMG327853 LWC327853 MFY327853 MPU327853 MZQ327853 NJM327853 NTI327853 ODE327853 ONA327853 OWW327853 PGS327853 PQO327853 QAK327853 QKG327853 QUC327853 RDY327853 RNU327853 RXQ327853 SHM327853 SRI327853 TBE327853 TLA327853 TUW327853 UES327853 UOO327853 UYK327853 VIG327853 VSC327853 WBY327853 WLU327853 WVQ327853 I393389 JE393389 TA393389 ACW393389 AMS393389 AWO393389 BGK393389 BQG393389 CAC393389 CJY393389 CTU393389 DDQ393389 DNM393389 DXI393389 EHE393389 ERA393389 FAW393389 FKS393389 FUO393389 GEK393389 GOG393389 GYC393389 HHY393389 HRU393389 IBQ393389 ILM393389 IVI393389 JFE393389 JPA393389 JYW393389 KIS393389 KSO393389 LCK393389 LMG393389 LWC393389 MFY393389 MPU393389 MZQ393389 NJM393389 NTI393389 ODE393389 ONA393389 OWW393389 PGS393389 PQO393389 QAK393389 QKG393389 QUC393389 RDY393389 RNU393389 RXQ393389 SHM393389 SRI393389 TBE393389 TLA393389 TUW393389 UES393389 UOO393389 UYK393389 VIG393389 VSC393389 WBY393389 WLU393389 WVQ393389 I458925 JE458925 TA458925 ACW458925 AMS458925 AWO458925 BGK458925 BQG458925 CAC458925 CJY458925 CTU458925 DDQ458925 DNM458925 DXI458925 EHE458925 ERA458925 FAW458925 FKS458925 FUO458925 GEK458925 GOG458925 GYC458925 HHY458925 HRU458925 IBQ458925 ILM458925 IVI458925 JFE458925 JPA458925 JYW458925 KIS458925 KSO458925 LCK458925 LMG458925 LWC458925 MFY458925 MPU458925 MZQ458925 NJM458925 NTI458925 ODE458925 ONA458925 OWW458925 PGS458925 PQO458925 QAK458925 QKG458925 QUC458925 RDY458925 RNU458925 RXQ458925 SHM458925 SRI458925 TBE458925 TLA458925 TUW458925 UES458925 UOO458925 UYK458925 VIG458925 VSC458925 WBY458925 WLU458925 WVQ458925 I524461 JE524461 TA524461 ACW524461 AMS524461 AWO524461 BGK524461 BQG524461 CAC524461 CJY524461 CTU524461 DDQ524461 DNM524461 DXI524461 EHE524461 ERA524461 FAW524461 FKS524461 FUO524461 GEK524461 GOG524461 GYC524461 HHY524461 HRU524461 IBQ524461 ILM524461 IVI524461 JFE524461 JPA524461 JYW524461 KIS524461 KSO524461 LCK524461 LMG524461 LWC524461 MFY524461 MPU524461 MZQ524461 NJM524461 NTI524461 ODE524461 ONA524461 OWW524461 PGS524461 PQO524461 QAK524461 QKG524461 QUC524461 RDY524461 RNU524461 RXQ524461 SHM524461 SRI524461 TBE524461 TLA524461 TUW524461 UES524461 UOO524461 UYK524461 VIG524461 VSC524461 WBY524461 WLU524461 WVQ524461 I589997 JE589997 TA589997 ACW589997 AMS589997 AWO589997 BGK589997 BQG589997 CAC589997 CJY589997 CTU589997 DDQ589997 DNM589997 DXI589997 EHE589997 ERA589997 FAW589997 FKS589997 FUO589997 GEK589997 GOG589997 GYC589997 HHY589997 HRU589997 IBQ589997 ILM589997 IVI589997 JFE589997 JPA589997 JYW589997 KIS589997 KSO589997 LCK589997 LMG589997 LWC589997 MFY589997 MPU589997 MZQ589997 NJM589997 NTI589997 ODE589997 ONA589997 OWW589997 PGS589997 PQO589997 QAK589997 QKG589997 QUC589997 RDY589997 RNU589997 RXQ589997 SHM589997 SRI589997 TBE589997 TLA589997 TUW589997 UES589997 UOO589997 UYK589997 VIG589997 VSC589997 WBY589997 WLU589997 WVQ589997 I655533 JE655533 TA655533 ACW655533 AMS655533 AWO655533 BGK655533 BQG655533 CAC655533 CJY655533 CTU655533 DDQ655533 DNM655533 DXI655533 EHE655533 ERA655533 FAW655533 FKS655533 FUO655533 GEK655533 GOG655533 GYC655533 HHY655533 HRU655533 IBQ655533 ILM655533 IVI655533 JFE655533 JPA655533 JYW655533 KIS655533 KSO655533 LCK655533 LMG655533 LWC655533 MFY655533 MPU655533 MZQ655533 NJM655533 NTI655533 ODE655533 ONA655533 OWW655533 PGS655533 PQO655533 QAK655533 QKG655533 QUC655533 RDY655533 RNU655533 RXQ655533 SHM655533 SRI655533 TBE655533 TLA655533 TUW655533 UES655533 UOO655533 UYK655533 VIG655533 VSC655533 WBY655533 WLU655533 WVQ655533 I721069 JE721069 TA721069 ACW721069 AMS721069 AWO721069 BGK721069 BQG721069 CAC721069 CJY721069 CTU721069 DDQ721069 DNM721069 DXI721069 EHE721069 ERA721069 FAW721069 FKS721069 FUO721069 GEK721069 GOG721069 GYC721069 HHY721069 HRU721069 IBQ721069 ILM721069 IVI721069 JFE721069 JPA721069 JYW721069 KIS721069 KSO721069 LCK721069 LMG721069 LWC721069 MFY721069 MPU721069 MZQ721069 NJM721069 NTI721069 ODE721069 ONA721069 OWW721069 PGS721069 PQO721069 QAK721069 QKG721069 QUC721069 RDY721069 RNU721069 RXQ721069 SHM721069 SRI721069 TBE721069 TLA721069 TUW721069 UES721069 UOO721069 UYK721069 VIG721069 VSC721069 WBY721069 WLU721069 WVQ721069 I786605 JE786605 TA786605 ACW786605 AMS786605 AWO786605 BGK786605 BQG786605 CAC786605 CJY786605 CTU786605 DDQ786605 DNM786605 DXI786605 EHE786605 ERA786605 FAW786605 FKS786605 FUO786605 GEK786605 GOG786605 GYC786605 HHY786605 HRU786605 IBQ786605 ILM786605 IVI786605 JFE786605 JPA786605 JYW786605 KIS786605 KSO786605 LCK786605 LMG786605 LWC786605 MFY786605 MPU786605 MZQ786605 NJM786605 NTI786605 ODE786605 ONA786605 OWW786605 PGS786605 PQO786605 QAK786605 QKG786605 QUC786605 RDY786605 RNU786605 RXQ786605 SHM786605 SRI786605 TBE786605 TLA786605 TUW786605 UES786605 UOO786605 UYK786605 VIG786605 VSC786605 WBY786605 WLU786605 WVQ786605 I852141 JE852141 TA852141 ACW852141 AMS852141 AWO852141 BGK852141 BQG852141 CAC852141 CJY852141 CTU852141 DDQ852141 DNM852141 DXI852141 EHE852141 ERA852141 FAW852141 FKS852141 FUO852141 GEK852141 GOG852141 GYC852141 HHY852141 HRU852141 IBQ852141 ILM852141 IVI852141 JFE852141 JPA852141 JYW852141 KIS852141 KSO852141 LCK852141 LMG852141 LWC852141 MFY852141 MPU852141 MZQ852141 NJM852141 NTI852141 ODE852141 ONA852141 OWW852141 PGS852141 PQO852141 QAK852141 QKG852141 QUC852141 RDY852141 RNU852141 RXQ852141 SHM852141 SRI852141 TBE852141 TLA852141 TUW852141 UES852141 UOO852141 UYK852141 VIG852141 VSC852141 WBY852141 WLU852141 WVQ852141 I917677 JE917677 TA917677 ACW917677 AMS917677 AWO917677 BGK917677 BQG917677 CAC917677 CJY917677 CTU917677 DDQ917677 DNM917677 DXI917677 EHE917677 ERA917677 FAW917677 FKS917677 FUO917677 GEK917677 GOG917677 GYC917677 HHY917677 HRU917677 IBQ917677 ILM917677 IVI917677 JFE917677 JPA917677 JYW917677 KIS917677 KSO917677 LCK917677 LMG917677 LWC917677 MFY917677 MPU917677 MZQ917677 NJM917677 NTI917677 ODE917677 ONA917677 OWW917677 PGS917677 PQO917677 QAK917677 QKG917677 QUC917677 RDY917677 RNU917677 RXQ917677 SHM917677 SRI917677 TBE917677 TLA917677 TUW917677 UES917677 UOO917677 UYK917677 VIG917677 VSC917677 WBY917677 WLU917677 WVQ917677 I983213 JE983213 TA983213 ACW983213 AMS983213 AWO983213 BGK983213 BQG983213 CAC983213 CJY983213 CTU983213 DDQ983213 DNM983213 DXI983213 EHE983213 ERA983213 FAW983213 FKS983213 FUO983213 GEK983213 GOG983213 GYC983213 HHY983213 HRU983213 IBQ983213 ILM983213 IVI983213 JFE983213 JPA983213 JYW983213 KIS983213 KSO983213 LCK983213 LMG983213 LWC983213 MFY983213 MPU983213 MZQ983213 NJM983213 NTI983213 ODE983213 ONA983213 OWW983213 PGS983213 PQO983213 QAK983213 QKG983213 QUC983213 RDY983213 RNU983213 RXQ983213 SHM983213 SRI983213 TBE983213 TLA983213 TUW983213 UES983213 UOO983213 UYK983213 VIG983213 VSC983213 WBY983213 WLU983213 WVQ983213 WBY983069 JE58 TA58 ACW58 AMS58 AWO58 BGK58 BQG58 CAC58 CJY58 CTU58 DDQ58 DNM58 DXI58 EHE58 ERA58 FAW58 FKS58 FUO58 GEK58 GOG58 GYC58 HHY58 HRU58 IBQ58 ILM58 IVI58 JFE58 JPA58 JYW58 KIS58 KSO58 LCK58 LMG58 LWC58 MFY58 MPU58 MZQ58 NJM58 NTI58 ODE58 ONA58 OWW58 PGS58 PQO58 QAK58 QKG58 QUC58 RDY58 RNU58 RXQ58 SHM58 SRI58 TBE58 TLA58 TUW58 UES58 UOO58 UYK58 VIG58 VSC58 WBY58 WLU58 WVQ58 I65594 JE65594 TA65594 ACW65594 AMS65594 AWO65594 BGK65594 BQG65594 CAC65594 CJY65594 CTU65594 DDQ65594 DNM65594 DXI65594 EHE65594 ERA65594 FAW65594 FKS65594 FUO65594 GEK65594 GOG65594 GYC65594 HHY65594 HRU65594 IBQ65594 ILM65594 IVI65594 JFE65594 JPA65594 JYW65594 KIS65594 KSO65594 LCK65594 LMG65594 LWC65594 MFY65594 MPU65594 MZQ65594 NJM65594 NTI65594 ODE65594 ONA65594 OWW65594 PGS65594 PQO65594 QAK65594 QKG65594 QUC65594 RDY65594 RNU65594 RXQ65594 SHM65594 SRI65594 TBE65594 TLA65594 TUW65594 UES65594 UOO65594 UYK65594 VIG65594 VSC65594 WBY65594 WLU65594 WVQ65594 I131130 JE131130 TA131130 ACW131130 AMS131130 AWO131130 BGK131130 BQG131130 CAC131130 CJY131130 CTU131130 DDQ131130 DNM131130 DXI131130 EHE131130 ERA131130 FAW131130 FKS131130 FUO131130 GEK131130 GOG131130 GYC131130 HHY131130 HRU131130 IBQ131130 ILM131130 IVI131130 JFE131130 JPA131130 JYW131130 KIS131130 KSO131130 LCK131130 LMG131130 LWC131130 MFY131130 MPU131130 MZQ131130 NJM131130 NTI131130 ODE131130 ONA131130 OWW131130 PGS131130 PQO131130 QAK131130 QKG131130 QUC131130 RDY131130 RNU131130 RXQ131130 SHM131130 SRI131130 TBE131130 TLA131130 TUW131130 UES131130 UOO131130 UYK131130 VIG131130 VSC131130 WBY131130 WLU131130 WVQ131130 I196666 JE196666 TA196666 ACW196666 AMS196666 AWO196666 BGK196666 BQG196666 CAC196666 CJY196666 CTU196666 DDQ196666 DNM196666 DXI196666 EHE196666 ERA196666 FAW196666 FKS196666 FUO196666 GEK196666 GOG196666 GYC196666 HHY196666 HRU196666 IBQ196666 ILM196666 IVI196666 JFE196666 JPA196666 JYW196666 KIS196666 KSO196666 LCK196666 LMG196666 LWC196666 MFY196666 MPU196666 MZQ196666 NJM196666 NTI196666 ODE196666 ONA196666 OWW196666 PGS196666 PQO196666 QAK196666 QKG196666 QUC196666 RDY196666 RNU196666 RXQ196666 SHM196666 SRI196666 TBE196666 TLA196666 TUW196666 UES196666 UOO196666 UYK196666 VIG196666 VSC196666 WBY196666 WLU196666 WVQ196666 I262202 JE262202 TA262202 ACW262202 AMS262202 AWO262202 BGK262202 BQG262202 CAC262202 CJY262202 CTU262202 DDQ262202 DNM262202 DXI262202 EHE262202 ERA262202 FAW262202 FKS262202 FUO262202 GEK262202 GOG262202 GYC262202 HHY262202 HRU262202 IBQ262202 ILM262202 IVI262202 JFE262202 JPA262202 JYW262202 KIS262202 KSO262202 LCK262202 LMG262202 LWC262202 MFY262202 MPU262202 MZQ262202 NJM262202 NTI262202 ODE262202 ONA262202 OWW262202 PGS262202 PQO262202 QAK262202 QKG262202 QUC262202 RDY262202 RNU262202 RXQ262202 SHM262202 SRI262202 TBE262202 TLA262202 TUW262202 UES262202 UOO262202 UYK262202 VIG262202 VSC262202 WBY262202 WLU262202 WVQ262202 I327738 JE327738 TA327738 ACW327738 AMS327738 AWO327738 BGK327738 BQG327738 CAC327738 CJY327738 CTU327738 DDQ327738 DNM327738 DXI327738 EHE327738 ERA327738 FAW327738 FKS327738 FUO327738 GEK327738 GOG327738 GYC327738 HHY327738 HRU327738 IBQ327738 ILM327738 IVI327738 JFE327738 JPA327738 JYW327738 KIS327738 KSO327738 LCK327738 LMG327738 LWC327738 MFY327738 MPU327738 MZQ327738 NJM327738 NTI327738 ODE327738 ONA327738 OWW327738 PGS327738 PQO327738 QAK327738 QKG327738 QUC327738 RDY327738 RNU327738 RXQ327738 SHM327738 SRI327738 TBE327738 TLA327738 TUW327738 UES327738 UOO327738 UYK327738 VIG327738 VSC327738 WBY327738 WLU327738 WVQ327738 I393274 JE393274 TA393274 ACW393274 AMS393274 AWO393274 BGK393274 BQG393274 CAC393274 CJY393274 CTU393274 DDQ393274 DNM393274 DXI393274 EHE393274 ERA393274 FAW393274 FKS393274 FUO393274 GEK393274 GOG393274 GYC393274 HHY393274 HRU393274 IBQ393274 ILM393274 IVI393274 JFE393274 JPA393274 JYW393274 KIS393274 KSO393274 LCK393274 LMG393274 LWC393274 MFY393274 MPU393274 MZQ393274 NJM393274 NTI393274 ODE393274 ONA393274 OWW393274 PGS393274 PQO393274 QAK393274 QKG393274 QUC393274 RDY393274 RNU393274 RXQ393274 SHM393274 SRI393274 TBE393274 TLA393274 TUW393274 UES393274 UOO393274 UYK393274 VIG393274 VSC393274 WBY393274 WLU393274 WVQ393274 I458810 JE458810 TA458810 ACW458810 AMS458810 AWO458810 BGK458810 BQG458810 CAC458810 CJY458810 CTU458810 DDQ458810 DNM458810 DXI458810 EHE458810 ERA458810 FAW458810 FKS458810 FUO458810 GEK458810 GOG458810 GYC458810 HHY458810 HRU458810 IBQ458810 ILM458810 IVI458810 JFE458810 JPA458810 JYW458810 KIS458810 KSO458810 LCK458810 LMG458810 LWC458810 MFY458810 MPU458810 MZQ458810 NJM458810 NTI458810 ODE458810 ONA458810 OWW458810 PGS458810 PQO458810 QAK458810 QKG458810 QUC458810 RDY458810 RNU458810 RXQ458810 SHM458810 SRI458810 TBE458810 TLA458810 TUW458810 UES458810 UOO458810 UYK458810 VIG458810 VSC458810 WBY458810 WLU458810 WVQ458810 I524346 JE524346 TA524346 ACW524346 AMS524346 AWO524346 BGK524346 BQG524346 CAC524346 CJY524346 CTU524346 DDQ524346 DNM524346 DXI524346 EHE524346 ERA524346 FAW524346 FKS524346 FUO524346 GEK524346 GOG524346 GYC524346 HHY524346 HRU524346 IBQ524346 ILM524346 IVI524346 JFE524346 JPA524346 JYW524346 KIS524346 KSO524346 LCK524346 LMG524346 LWC524346 MFY524346 MPU524346 MZQ524346 NJM524346 NTI524346 ODE524346 ONA524346 OWW524346 PGS524346 PQO524346 QAK524346 QKG524346 QUC524346 RDY524346 RNU524346 RXQ524346 SHM524346 SRI524346 TBE524346 TLA524346 TUW524346 UES524346 UOO524346 UYK524346 VIG524346 VSC524346 WBY524346 WLU524346 WVQ524346 I589882 JE589882 TA589882 ACW589882 AMS589882 AWO589882 BGK589882 BQG589882 CAC589882 CJY589882 CTU589882 DDQ589882 DNM589882 DXI589882 EHE589882 ERA589882 FAW589882 FKS589882 FUO589882 GEK589882 GOG589882 GYC589882 HHY589882 HRU589882 IBQ589882 ILM589882 IVI589882 JFE589882 JPA589882 JYW589882 KIS589882 KSO589882 LCK589882 LMG589882 LWC589882 MFY589882 MPU589882 MZQ589882 NJM589882 NTI589882 ODE589882 ONA589882 OWW589882 PGS589882 PQO589882 QAK589882 QKG589882 QUC589882 RDY589882 RNU589882 RXQ589882 SHM589882 SRI589882 TBE589882 TLA589882 TUW589882 UES589882 UOO589882 UYK589882 VIG589882 VSC589882 WBY589882 WLU589882 WVQ589882 I655418 JE655418 TA655418 ACW655418 AMS655418 AWO655418 BGK655418 BQG655418 CAC655418 CJY655418 CTU655418 DDQ655418 DNM655418 DXI655418 EHE655418 ERA655418 FAW655418 FKS655418 FUO655418 GEK655418 GOG655418 GYC655418 HHY655418 HRU655418 IBQ655418 ILM655418 IVI655418 JFE655418 JPA655418 JYW655418 KIS655418 KSO655418 LCK655418 LMG655418 LWC655418 MFY655418 MPU655418 MZQ655418 NJM655418 NTI655418 ODE655418 ONA655418 OWW655418 PGS655418 PQO655418 QAK655418 QKG655418 QUC655418 RDY655418 RNU655418 RXQ655418 SHM655418 SRI655418 TBE655418 TLA655418 TUW655418 UES655418 UOO655418 UYK655418 VIG655418 VSC655418 WBY655418 WLU655418 WVQ655418 I720954 JE720954 TA720954 ACW720954 AMS720954 AWO720954 BGK720954 BQG720954 CAC720954 CJY720954 CTU720954 DDQ720954 DNM720954 DXI720954 EHE720954 ERA720954 FAW720954 FKS720954 FUO720954 GEK720954 GOG720954 GYC720954 HHY720954 HRU720954 IBQ720954 ILM720954 IVI720954 JFE720954 JPA720954 JYW720954 KIS720954 KSO720954 LCK720954 LMG720954 LWC720954 MFY720954 MPU720954 MZQ720954 NJM720954 NTI720954 ODE720954 ONA720954 OWW720954 PGS720954 PQO720954 QAK720954 QKG720954 QUC720954 RDY720954 RNU720954 RXQ720954 SHM720954 SRI720954 TBE720954 TLA720954 TUW720954 UES720954 UOO720954 UYK720954 VIG720954 VSC720954 WBY720954 WLU720954 WVQ720954 I786490 JE786490 TA786490 ACW786490 AMS786490 AWO786490 BGK786490 BQG786490 CAC786490 CJY786490 CTU786490 DDQ786490 DNM786490 DXI786490 EHE786490 ERA786490 FAW786490 FKS786490 FUO786490 GEK786490 GOG786490 GYC786490 HHY786490 HRU786490 IBQ786490 ILM786490 IVI786490 JFE786490 JPA786490 JYW786490 KIS786490 KSO786490 LCK786490 LMG786490 LWC786490 MFY786490 MPU786490 MZQ786490 NJM786490 NTI786490 ODE786490 ONA786490 OWW786490 PGS786490 PQO786490 QAK786490 QKG786490 QUC786490 RDY786490 RNU786490 RXQ786490 SHM786490 SRI786490 TBE786490 TLA786490 TUW786490 UES786490 UOO786490 UYK786490 VIG786490 VSC786490 WBY786490 WLU786490 WVQ786490 I852026 JE852026 TA852026 ACW852026 AMS852026 AWO852026 BGK852026 BQG852026 CAC852026 CJY852026 CTU852026 DDQ852026 DNM852026 DXI852026 EHE852026 ERA852026 FAW852026 FKS852026 FUO852026 GEK852026 GOG852026 GYC852026 HHY852026 HRU852026 IBQ852026 ILM852026 IVI852026 JFE852026 JPA852026 JYW852026 KIS852026 KSO852026 LCK852026 LMG852026 LWC852026 MFY852026 MPU852026 MZQ852026 NJM852026 NTI852026 ODE852026 ONA852026 OWW852026 PGS852026 PQO852026 QAK852026 QKG852026 QUC852026 RDY852026 RNU852026 RXQ852026 SHM852026 SRI852026 TBE852026 TLA852026 TUW852026 UES852026 UOO852026 UYK852026 VIG852026 VSC852026 WBY852026 WLU852026 WVQ852026 I917562 JE917562 TA917562 ACW917562 AMS917562 AWO917562 BGK917562 BQG917562 CAC917562 CJY917562 CTU917562 DDQ917562 DNM917562 DXI917562 EHE917562 ERA917562 FAW917562 FKS917562 FUO917562 GEK917562 GOG917562 GYC917562 HHY917562 HRU917562 IBQ917562 ILM917562 IVI917562 JFE917562 JPA917562 JYW917562 KIS917562 KSO917562 LCK917562 LMG917562 LWC917562 MFY917562 MPU917562 MZQ917562 NJM917562 NTI917562 ODE917562 ONA917562 OWW917562 PGS917562 PQO917562 QAK917562 QKG917562 QUC917562 RDY917562 RNU917562 RXQ917562 SHM917562 SRI917562 TBE917562 TLA917562 TUW917562 UES917562 UOO917562 UYK917562 VIG917562 VSC917562 WBY917562 WLU917562 WVQ917562 I983098 JE983098 TA983098 ACW983098 AMS983098 AWO983098 BGK983098 BQG983098 CAC983098 CJY983098 CTU983098 DDQ983098 DNM983098 DXI983098 EHE983098 ERA983098 FAW983098 FKS983098 FUO983098 GEK983098 GOG983098 GYC983098 HHY983098 HRU983098 IBQ983098 ILM983098 IVI983098 JFE983098 JPA983098 JYW983098 KIS983098 KSO983098 LCK983098 LMG983098 LWC983098 MFY983098 MPU983098 MZQ983098 NJM983098 NTI983098 ODE983098 ONA983098 OWW983098 PGS983098 PQO983098 QAK983098 QKG983098 QUC983098 RDY983098 RNU983098 RXQ983098 SHM983098 SRI983098 TBE983098 TLA983098 TUW983098 UES983098 UOO983098 UYK983098 VIG983098 VSC983098 WBY983098 WLU983098 WVQ983098 I46 JE46 TA46 ACW46 AMS46 AWO46 BGK46 BQG46 CAC46 CJY46 CTU46 DDQ46 DNM46 DXI46 EHE46 ERA46 FAW46 FKS46 FUO46 GEK46 GOG46 GYC46 HHY46 HRU46 IBQ46 ILM46 IVI46 JFE46 JPA46 JYW46 KIS46 KSO46 LCK46 LMG46 LWC46 MFY46 MPU46 MZQ46 NJM46 NTI46 ODE46 ONA46 OWW46 PGS46 PQO46 QAK46 QKG46 QUC46 RDY46 RNU46 RXQ46 SHM46 SRI46 TBE46 TLA46 TUW46 UES46 UOO46 UYK46 VIG46 VSC46 WBY46 WLU46 WVQ46 I65582 JE65582 TA65582 ACW65582 AMS65582 AWO65582 BGK65582 BQG65582 CAC65582 CJY65582 CTU65582 DDQ65582 DNM65582 DXI65582 EHE65582 ERA65582 FAW65582 FKS65582 FUO65582 GEK65582 GOG65582 GYC65582 HHY65582 HRU65582 IBQ65582 ILM65582 IVI65582 JFE65582 JPA65582 JYW65582 KIS65582 KSO65582 LCK65582 LMG65582 LWC65582 MFY65582 MPU65582 MZQ65582 NJM65582 NTI65582 ODE65582 ONA65582 OWW65582 PGS65582 PQO65582 QAK65582 QKG65582 QUC65582 RDY65582 RNU65582 RXQ65582 SHM65582 SRI65582 TBE65582 TLA65582 TUW65582 UES65582 UOO65582 UYK65582 VIG65582 VSC65582 WBY65582 WLU65582 WVQ65582 I131118 JE131118 TA131118 ACW131118 AMS131118 AWO131118 BGK131118 BQG131118 CAC131118 CJY131118 CTU131118 DDQ131118 DNM131118 DXI131118 EHE131118 ERA131118 FAW131118 FKS131118 FUO131118 GEK131118 GOG131118 GYC131118 HHY131118 HRU131118 IBQ131118 ILM131118 IVI131118 JFE131118 JPA131118 JYW131118 KIS131118 KSO131118 LCK131118 LMG131118 LWC131118 MFY131118 MPU131118 MZQ131118 NJM131118 NTI131118 ODE131118 ONA131118 OWW131118 PGS131118 PQO131118 QAK131118 QKG131118 QUC131118 RDY131118 RNU131118 RXQ131118 SHM131118 SRI131118 TBE131118 TLA131118 TUW131118 UES131118 UOO131118 UYK131118 VIG131118 VSC131118 WBY131118 WLU131118 WVQ131118 I196654 JE196654 TA196654 ACW196654 AMS196654 AWO196654 BGK196654 BQG196654 CAC196654 CJY196654 CTU196654 DDQ196654 DNM196654 DXI196654 EHE196654 ERA196654 FAW196654 FKS196654 FUO196654 GEK196654 GOG196654 GYC196654 HHY196654 HRU196654 IBQ196654 ILM196654 IVI196654 JFE196654 JPA196654 JYW196654 KIS196654 KSO196654 LCK196654 LMG196654 LWC196654 MFY196654 MPU196654 MZQ196654 NJM196654 NTI196654 ODE196654 ONA196654 OWW196654 PGS196654 PQO196654 QAK196654 QKG196654 QUC196654 RDY196654 RNU196654 RXQ196654 SHM196654 SRI196654 TBE196654 TLA196654 TUW196654 UES196654 UOO196654 UYK196654 VIG196654 VSC196654 WBY196654 WLU196654 WVQ196654 I262190 JE262190 TA262190 ACW262190 AMS262190 AWO262190 BGK262190 BQG262190 CAC262190 CJY262190 CTU262190 DDQ262190 DNM262190 DXI262190 EHE262190 ERA262190 FAW262190 FKS262190 FUO262190 GEK262190 GOG262190 GYC262190 HHY262190 HRU262190 IBQ262190 ILM262190 IVI262190 JFE262190 JPA262190 JYW262190 KIS262190 KSO262190 LCK262190 LMG262190 LWC262190 MFY262190 MPU262190 MZQ262190 NJM262190 NTI262190 ODE262190 ONA262190 OWW262190 PGS262190 PQO262190 QAK262190 QKG262190 QUC262190 RDY262190 RNU262190 RXQ262190 SHM262190 SRI262190 TBE262190 TLA262190 TUW262190 UES262190 UOO262190 UYK262190 VIG262190 VSC262190 WBY262190 WLU262190 WVQ262190 I327726 JE327726 TA327726 ACW327726 AMS327726 AWO327726 BGK327726 BQG327726 CAC327726 CJY327726 CTU327726 DDQ327726 DNM327726 DXI327726 EHE327726 ERA327726 FAW327726 FKS327726 FUO327726 GEK327726 GOG327726 GYC327726 HHY327726 HRU327726 IBQ327726 ILM327726 IVI327726 JFE327726 JPA327726 JYW327726 KIS327726 KSO327726 LCK327726 LMG327726 LWC327726 MFY327726 MPU327726 MZQ327726 NJM327726 NTI327726 ODE327726 ONA327726 OWW327726 PGS327726 PQO327726 QAK327726 QKG327726 QUC327726 RDY327726 RNU327726 RXQ327726 SHM327726 SRI327726 TBE327726 TLA327726 TUW327726 UES327726 UOO327726 UYK327726 VIG327726 VSC327726 WBY327726 WLU327726 WVQ327726 I393262 JE393262 TA393262 ACW393262 AMS393262 AWO393262 BGK393262 BQG393262 CAC393262 CJY393262 CTU393262 DDQ393262 DNM393262 DXI393262 EHE393262 ERA393262 FAW393262 FKS393262 FUO393262 GEK393262 GOG393262 GYC393262 HHY393262 HRU393262 IBQ393262 ILM393262 IVI393262 JFE393262 JPA393262 JYW393262 KIS393262 KSO393262 LCK393262 LMG393262 LWC393262 MFY393262 MPU393262 MZQ393262 NJM393262 NTI393262 ODE393262 ONA393262 OWW393262 PGS393262 PQO393262 QAK393262 QKG393262 QUC393262 RDY393262 RNU393262 RXQ393262 SHM393262 SRI393262 TBE393262 TLA393262 TUW393262 UES393262 UOO393262 UYK393262 VIG393262 VSC393262 WBY393262 WLU393262 WVQ393262 I458798 JE458798 TA458798 ACW458798 AMS458798 AWO458798 BGK458798 BQG458798 CAC458798 CJY458798 CTU458798 DDQ458798 DNM458798 DXI458798 EHE458798 ERA458798 FAW458798 FKS458798 FUO458798 GEK458798 GOG458798 GYC458798 HHY458798 HRU458798 IBQ458798 ILM458798 IVI458798 JFE458798 JPA458798 JYW458798 KIS458798 KSO458798 LCK458798 LMG458798 LWC458798 MFY458798 MPU458798 MZQ458798 NJM458798 NTI458798 ODE458798 ONA458798 OWW458798 PGS458798 PQO458798 QAK458798 QKG458798 QUC458798 RDY458798 RNU458798 RXQ458798 SHM458798 SRI458798 TBE458798 TLA458798 TUW458798 UES458798 UOO458798 UYK458798 VIG458798 VSC458798 WBY458798 WLU458798 WVQ458798 I524334 JE524334 TA524334 ACW524334 AMS524334 AWO524334 BGK524334 BQG524334 CAC524334 CJY524334 CTU524334 DDQ524334 DNM524334 DXI524334 EHE524334 ERA524334 FAW524334 FKS524334 FUO524334 GEK524334 GOG524334 GYC524334 HHY524334 HRU524334 IBQ524334 ILM524334 IVI524334 JFE524334 JPA524334 JYW524334 KIS524334 KSO524334 LCK524334 LMG524334 LWC524334 MFY524334 MPU524334 MZQ524334 NJM524334 NTI524334 ODE524334 ONA524334 OWW524334 PGS524334 PQO524334 QAK524334 QKG524334 QUC524334 RDY524334 RNU524334 RXQ524334 SHM524334 SRI524334 TBE524334 TLA524334 TUW524334 UES524334 UOO524334 UYK524334 VIG524334 VSC524334 WBY524334 WLU524334 WVQ524334 I589870 JE589870 TA589870 ACW589870 AMS589870 AWO589870 BGK589870 BQG589870 CAC589870 CJY589870 CTU589870 DDQ589870 DNM589870 DXI589870 EHE589870 ERA589870 FAW589870 FKS589870 FUO589870 GEK589870 GOG589870 GYC589870 HHY589870 HRU589870 IBQ589870 ILM589870 IVI589870 JFE589870 JPA589870 JYW589870 KIS589870 KSO589870 LCK589870 LMG589870 LWC589870 MFY589870 MPU589870 MZQ589870 NJM589870 NTI589870 ODE589870 ONA589870 OWW589870 PGS589870 PQO589870 QAK589870 QKG589870 QUC589870 RDY589870 RNU589870 RXQ589870 SHM589870 SRI589870 TBE589870 TLA589870 TUW589870 UES589870 UOO589870 UYK589870 VIG589870 VSC589870 WBY589870 WLU589870 WVQ589870 I655406 JE655406 TA655406 ACW655406 AMS655406 AWO655406 BGK655406 BQG655406 CAC655406 CJY655406 CTU655406 DDQ655406 DNM655406 DXI655406 EHE655406 ERA655406 FAW655406 FKS655406 FUO655406 GEK655406 GOG655406 GYC655406 HHY655406 HRU655406 IBQ655406 ILM655406 IVI655406 JFE655406 JPA655406 JYW655406 KIS655406 KSO655406 LCK655406 LMG655406 LWC655406 MFY655406 MPU655406 MZQ655406 NJM655406 NTI655406 ODE655406 ONA655406 OWW655406 PGS655406 PQO655406 QAK655406 QKG655406 QUC655406 RDY655406 RNU655406 RXQ655406 SHM655406 SRI655406 TBE655406 TLA655406 TUW655406 UES655406 UOO655406 UYK655406 VIG655406 VSC655406 WBY655406 WLU655406 WVQ655406 I720942 JE720942 TA720942 ACW720942 AMS720942 AWO720942 BGK720942 BQG720942 CAC720942 CJY720942 CTU720942 DDQ720942 DNM720942 DXI720942 EHE720942 ERA720942 FAW720942 FKS720942 FUO720942 GEK720942 GOG720942 GYC720942 HHY720942 HRU720942 IBQ720942 ILM720942 IVI720942 JFE720942 JPA720942 JYW720942 KIS720942 KSO720942 LCK720942 LMG720942 LWC720942 MFY720942 MPU720942 MZQ720942 NJM720942 NTI720942 ODE720942 ONA720942 OWW720942 PGS720942 PQO720942 QAK720942 QKG720942 QUC720942 RDY720942 RNU720942 RXQ720942 SHM720942 SRI720942 TBE720942 TLA720942 TUW720942 UES720942 UOO720942 UYK720942 VIG720942 VSC720942 WBY720942 WLU720942 WVQ720942 I786478 JE786478 TA786478 ACW786478 AMS786478 AWO786478 BGK786478 BQG786478 CAC786478 CJY786478 CTU786478 DDQ786478 DNM786478 DXI786478 EHE786478 ERA786478 FAW786478 FKS786478 FUO786478 GEK786478 GOG786478 GYC786478 HHY786478 HRU786478 IBQ786478 ILM786478 IVI786478 JFE786478 JPA786478 JYW786478 KIS786478 KSO786478 LCK786478 LMG786478 LWC786478 MFY786478 MPU786478 MZQ786478 NJM786478 NTI786478 ODE786478 ONA786478 OWW786478 PGS786478 PQO786478 QAK786478 QKG786478 QUC786478 RDY786478 RNU786478 RXQ786478 SHM786478 SRI786478 TBE786478 TLA786478 TUW786478 UES786478 UOO786478 UYK786478 VIG786478 VSC786478 WBY786478 WLU786478 WVQ786478 I852014 JE852014 TA852014 ACW852014 AMS852014 AWO852014 BGK852014 BQG852014 CAC852014 CJY852014 CTU852014 DDQ852014 DNM852014 DXI852014 EHE852014 ERA852014 FAW852014 FKS852014 FUO852014 GEK852014 GOG852014 GYC852014 HHY852014 HRU852014 IBQ852014 ILM852014 IVI852014 JFE852014 JPA852014 JYW852014 KIS852014 KSO852014 LCK852014 LMG852014 LWC852014 MFY852014 MPU852014 MZQ852014 NJM852014 NTI852014 ODE852014 ONA852014 OWW852014 PGS852014 PQO852014 QAK852014 QKG852014 QUC852014 RDY852014 RNU852014 RXQ852014 SHM852014 SRI852014 TBE852014 TLA852014 TUW852014 UES852014 UOO852014 UYK852014 VIG852014 VSC852014 WBY852014 WLU852014 WVQ852014 I917550 JE917550 TA917550 ACW917550 AMS917550 AWO917550 BGK917550 BQG917550 CAC917550 CJY917550 CTU917550 DDQ917550 DNM917550 DXI917550 EHE917550 ERA917550 FAW917550 FKS917550 FUO917550 GEK917550 GOG917550 GYC917550 HHY917550 HRU917550 IBQ917550 ILM917550 IVI917550 JFE917550 JPA917550 JYW917550 KIS917550 KSO917550 LCK917550 LMG917550 LWC917550 MFY917550 MPU917550 MZQ917550 NJM917550 NTI917550 ODE917550 ONA917550 OWW917550 PGS917550 PQO917550 QAK917550 QKG917550 QUC917550 RDY917550 RNU917550 RXQ917550 SHM917550 SRI917550 TBE917550 TLA917550 TUW917550 UES917550 UOO917550 UYK917550 VIG917550 VSC917550 WBY917550 WLU917550 WVQ917550 I983086 JE983086 TA983086 ACW983086 AMS983086 AWO983086 BGK983086 BQG983086 CAC983086 CJY983086 CTU983086 DDQ983086 DNM983086 DXI983086 EHE983086 ERA983086 FAW983086 FKS983086 FUO983086 GEK983086 GOG983086 GYC983086 HHY983086 HRU983086 IBQ983086 ILM983086 IVI983086 JFE983086 JPA983086 JYW983086 KIS983086 KSO983086 LCK983086 LMG983086 LWC983086 MFY983086 MPU983086 MZQ983086 NJM983086 NTI983086 ODE983086 ONA983086 OWW983086 PGS983086 PQO983086 QAK983086 QKG983086 QUC983086 RDY983086 RNU983086 RXQ983086 SHM983086 SRI983086 TBE983086 TLA983086 TUW983086 UES983086 UOO983086 UYK983086 VIG983086 VSC983086 WBY983086 WLU983086 WVQ983086 WLU983069 JE32:JE33 TA32:TA33 ACW32:ACW33 AMS32:AMS33 AWO32:AWO33 BGK32:BGK33 BQG32:BQG33 CAC32:CAC33 CJY32:CJY33 CTU32:CTU33 DDQ32:DDQ33 DNM32:DNM33 DXI32:DXI33 EHE32:EHE33 ERA32:ERA33 FAW32:FAW33 FKS32:FKS33 FUO32:FUO33 GEK32:GEK33 GOG32:GOG33 GYC32:GYC33 HHY32:HHY33 HRU32:HRU33 IBQ32:IBQ33 ILM32:ILM33 IVI32:IVI33 JFE32:JFE33 JPA32:JPA33 JYW32:JYW33 KIS32:KIS33 KSO32:KSO33 LCK32:LCK33 LMG32:LMG33 LWC32:LWC33 MFY32:MFY33 MPU32:MPU33 MZQ32:MZQ33 NJM32:NJM33 NTI32:NTI33 ODE32:ODE33 ONA32:ONA33 OWW32:OWW33 PGS32:PGS33 PQO32:PQO33 QAK32:QAK33 QKG32:QKG33 QUC32:QUC33 RDY32:RDY33 RNU32:RNU33 RXQ32:RXQ33 SHM32:SHM33 SRI32:SRI33 TBE32:TBE33 TLA32:TLA33 TUW32:TUW33 UES32:UES33 UOO32:UOO33 UYK32:UYK33 VIG32:VIG33 VSC32:VSC33 WBY32:WBY33 WLU32:WLU33 WVQ32:WVQ33 I65568:I65569 JE65568:JE65569 TA65568:TA65569 ACW65568:ACW65569 AMS65568:AMS65569 AWO65568:AWO65569 BGK65568:BGK65569 BQG65568:BQG65569 CAC65568:CAC65569 CJY65568:CJY65569 CTU65568:CTU65569 DDQ65568:DDQ65569 DNM65568:DNM65569 DXI65568:DXI65569 EHE65568:EHE65569 ERA65568:ERA65569 FAW65568:FAW65569 FKS65568:FKS65569 FUO65568:FUO65569 GEK65568:GEK65569 GOG65568:GOG65569 GYC65568:GYC65569 HHY65568:HHY65569 HRU65568:HRU65569 IBQ65568:IBQ65569 ILM65568:ILM65569 IVI65568:IVI65569 JFE65568:JFE65569 JPA65568:JPA65569 JYW65568:JYW65569 KIS65568:KIS65569 KSO65568:KSO65569 LCK65568:LCK65569 LMG65568:LMG65569 LWC65568:LWC65569 MFY65568:MFY65569 MPU65568:MPU65569 MZQ65568:MZQ65569 NJM65568:NJM65569 NTI65568:NTI65569 ODE65568:ODE65569 ONA65568:ONA65569 OWW65568:OWW65569 PGS65568:PGS65569 PQO65568:PQO65569 QAK65568:QAK65569 QKG65568:QKG65569 QUC65568:QUC65569 RDY65568:RDY65569 RNU65568:RNU65569 RXQ65568:RXQ65569 SHM65568:SHM65569 SRI65568:SRI65569 TBE65568:TBE65569 TLA65568:TLA65569 TUW65568:TUW65569 UES65568:UES65569 UOO65568:UOO65569 UYK65568:UYK65569 VIG65568:VIG65569 VSC65568:VSC65569 WBY65568:WBY65569 WLU65568:WLU65569 WVQ65568:WVQ65569 I131104:I131105 JE131104:JE131105 TA131104:TA131105 ACW131104:ACW131105 AMS131104:AMS131105 AWO131104:AWO131105 BGK131104:BGK131105 BQG131104:BQG131105 CAC131104:CAC131105 CJY131104:CJY131105 CTU131104:CTU131105 DDQ131104:DDQ131105 DNM131104:DNM131105 DXI131104:DXI131105 EHE131104:EHE131105 ERA131104:ERA131105 FAW131104:FAW131105 FKS131104:FKS131105 FUO131104:FUO131105 GEK131104:GEK131105 GOG131104:GOG131105 GYC131104:GYC131105 HHY131104:HHY131105 HRU131104:HRU131105 IBQ131104:IBQ131105 ILM131104:ILM131105 IVI131104:IVI131105 JFE131104:JFE131105 JPA131104:JPA131105 JYW131104:JYW131105 KIS131104:KIS131105 KSO131104:KSO131105 LCK131104:LCK131105 LMG131104:LMG131105 LWC131104:LWC131105 MFY131104:MFY131105 MPU131104:MPU131105 MZQ131104:MZQ131105 NJM131104:NJM131105 NTI131104:NTI131105 ODE131104:ODE131105 ONA131104:ONA131105 OWW131104:OWW131105 PGS131104:PGS131105 PQO131104:PQO131105 QAK131104:QAK131105 QKG131104:QKG131105 QUC131104:QUC131105 RDY131104:RDY131105 RNU131104:RNU131105 RXQ131104:RXQ131105 SHM131104:SHM131105 SRI131104:SRI131105 TBE131104:TBE131105 TLA131104:TLA131105 TUW131104:TUW131105 UES131104:UES131105 UOO131104:UOO131105 UYK131104:UYK131105 VIG131104:VIG131105 VSC131104:VSC131105 WBY131104:WBY131105 WLU131104:WLU131105 WVQ131104:WVQ131105 I196640:I196641 JE196640:JE196641 TA196640:TA196641 ACW196640:ACW196641 AMS196640:AMS196641 AWO196640:AWO196641 BGK196640:BGK196641 BQG196640:BQG196641 CAC196640:CAC196641 CJY196640:CJY196641 CTU196640:CTU196641 DDQ196640:DDQ196641 DNM196640:DNM196641 DXI196640:DXI196641 EHE196640:EHE196641 ERA196640:ERA196641 FAW196640:FAW196641 FKS196640:FKS196641 FUO196640:FUO196641 GEK196640:GEK196641 GOG196640:GOG196641 GYC196640:GYC196641 HHY196640:HHY196641 HRU196640:HRU196641 IBQ196640:IBQ196641 ILM196640:ILM196641 IVI196640:IVI196641 JFE196640:JFE196641 JPA196640:JPA196641 JYW196640:JYW196641 KIS196640:KIS196641 KSO196640:KSO196641 LCK196640:LCK196641 LMG196640:LMG196641 LWC196640:LWC196641 MFY196640:MFY196641 MPU196640:MPU196641 MZQ196640:MZQ196641 NJM196640:NJM196641 NTI196640:NTI196641 ODE196640:ODE196641 ONA196640:ONA196641 OWW196640:OWW196641 PGS196640:PGS196641 PQO196640:PQO196641 QAK196640:QAK196641 QKG196640:QKG196641 QUC196640:QUC196641 RDY196640:RDY196641 RNU196640:RNU196641 RXQ196640:RXQ196641 SHM196640:SHM196641 SRI196640:SRI196641 TBE196640:TBE196641 TLA196640:TLA196641 TUW196640:TUW196641 UES196640:UES196641 UOO196640:UOO196641 UYK196640:UYK196641 VIG196640:VIG196641 VSC196640:VSC196641 WBY196640:WBY196641 WLU196640:WLU196641 WVQ196640:WVQ196641 I262176:I262177 JE262176:JE262177 TA262176:TA262177 ACW262176:ACW262177 AMS262176:AMS262177 AWO262176:AWO262177 BGK262176:BGK262177 BQG262176:BQG262177 CAC262176:CAC262177 CJY262176:CJY262177 CTU262176:CTU262177 DDQ262176:DDQ262177 DNM262176:DNM262177 DXI262176:DXI262177 EHE262176:EHE262177 ERA262176:ERA262177 FAW262176:FAW262177 FKS262176:FKS262177 FUO262176:FUO262177 GEK262176:GEK262177 GOG262176:GOG262177 GYC262176:GYC262177 HHY262176:HHY262177 HRU262176:HRU262177 IBQ262176:IBQ262177 ILM262176:ILM262177 IVI262176:IVI262177 JFE262176:JFE262177 JPA262176:JPA262177 JYW262176:JYW262177 KIS262176:KIS262177 KSO262176:KSO262177 LCK262176:LCK262177 LMG262176:LMG262177 LWC262176:LWC262177 MFY262176:MFY262177 MPU262176:MPU262177 MZQ262176:MZQ262177 NJM262176:NJM262177 NTI262176:NTI262177 ODE262176:ODE262177 ONA262176:ONA262177 OWW262176:OWW262177 PGS262176:PGS262177 PQO262176:PQO262177 QAK262176:QAK262177 QKG262176:QKG262177 QUC262176:QUC262177 RDY262176:RDY262177 RNU262176:RNU262177 RXQ262176:RXQ262177 SHM262176:SHM262177 SRI262176:SRI262177 TBE262176:TBE262177 TLA262176:TLA262177 TUW262176:TUW262177 UES262176:UES262177 UOO262176:UOO262177 UYK262176:UYK262177 VIG262176:VIG262177 VSC262176:VSC262177 WBY262176:WBY262177 WLU262176:WLU262177 WVQ262176:WVQ262177 I327712:I327713 JE327712:JE327713 TA327712:TA327713 ACW327712:ACW327713 AMS327712:AMS327713 AWO327712:AWO327713 BGK327712:BGK327713 BQG327712:BQG327713 CAC327712:CAC327713 CJY327712:CJY327713 CTU327712:CTU327713 DDQ327712:DDQ327713 DNM327712:DNM327713 DXI327712:DXI327713 EHE327712:EHE327713 ERA327712:ERA327713 FAW327712:FAW327713 FKS327712:FKS327713 FUO327712:FUO327713 GEK327712:GEK327713 GOG327712:GOG327713 GYC327712:GYC327713 HHY327712:HHY327713 HRU327712:HRU327713 IBQ327712:IBQ327713 ILM327712:ILM327713 IVI327712:IVI327713 JFE327712:JFE327713 JPA327712:JPA327713 JYW327712:JYW327713 KIS327712:KIS327713 KSO327712:KSO327713 LCK327712:LCK327713 LMG327712:LMG327713 LWC327712:LWC327713 MFY327712:MFY327713 MPU327712:MPU327713 MZQ327712:MZQ327713 NJM327712:NJM327713 NTI327712:NTI327713 ODE327712:ODE327713 ONA327712:ONA327713 OWW327712:OWW327713 PGS327712:PGS327713 PQO327712:PQO327713 QAK327712:QAK327713 QKG327712:QKG327713 QUC327712:QUC327713 RDY327712:RDY327713 RNU327712:RNU327713 RXQ327712:RXQ327713 SHM327712:SHM327713 SRI327712:SRI327713 TBE327712:TBE327713 TLA327712:TLA327713 TUW327712:TUW327713 UES327712:UES327713 UOO327712:UOO327713 UYK327712:UYK327713 VIG327712:VIG327713 VSC327712:VSC327713 WBY327712:WBY327713 WLU327712:WLU327713 WVQ327712:WVQ327713 I393248:I393249 JE393248:JE393249 TA393248:TA393249 ACW393248:ACW393249 AMS393248:AMS393249 AWO393248:AWO393249 BGK393248:BGK393249 BQG393248:BQG393249 CAC393248:CAC393249 CJY393248:CJY393249 CTU393248:CTU393249 DDQ393248:DDQ393249 DNM393248:DNM393249 DXI393248:DXI393249 EHE393248:EHE393249 ERA393248:ERA393249 FAW393248:FAW393249 FKS393248:FKS393249 FUO393248:FUO393249 GEK393248:GEK393249 GOG393248:GOG393249 GYC393248:GYC393249 HHY393248:HHY393249 HRU393248:HRU393249 IBQ393248:IBQ393249 ILM393248:ILM393249 IVI393248:IVI393249 JFE393248:JFE393249 JPA393248:JPA393249 JYW393248:JYW393249 KIS393248:KIS393249 KSO393248:KSO393249 LCK393248:LCK393249 LMG393248:LMG393249 LWC393248:LWC393249 MFY393248:MFY393249 MPU393248:MPU393249 MZQ393248:MZQ393249 NJM393248:NJM393249 NTI393248:NTI393249 ODE393248:ODE393249 ONA393248:ONA393249 OWW393248:OWW393249 PGS393248:PGS393249 PQO393248:PQO393249 QAK393248:QAK393249 QKG393248:QKG393249 QUC393248:QUC393249 RDY393248:RDY393249 RNU393248:RNU393249 RXQ393248:RXQ393249 SHM393248:SHM393249 SRI393248:SRI393249 TBE393248:TBE393249 TLA393248:TLA393249 TUW393248:TUW393249 UES393248:UES393249 UOO393248:UOO393249 UYK393248:UYK393249 VIG393248:VIG393249 VSC393248:VSC393249 WBY393248:WBY393249 WLU393248:WLU393249 WVQ393248:WVQ393249 I458784:I458785 JE458784:JE458785 TA458784:TA458785 ACW458784:ACW458785 AMS458784:AMS458785 AWO458784:AWO458785 BGK458784:BGK458785 BQG458784:BQG458785 CAC458784:CAC458785 CJY458784:CJY458785 CTU458784:CTU458785 DDQ458784:DDQ458785 DNM458784:DNM458785 DXI458784:DXI458785 EHE458784:EHE458785 ERA458784:ERA458785 FAW458784:FAW458785 FKS458784:FKS458785 FUO458784:FUO458785 GEK458784:GEK458785 GOG458784:GOG458785 GYC458784:GYC458785 HHY458784:HHY458785 HRU458784:HRU458785 IBQ458784:IBQ458785 ILM458784:ILM458785 IVI458784:IVI458785 JFE458784:JFE458785 JPA458784:JPA458785 JYW458784:JYW458785 KIS458784:KIS458785 KSO458784:KSO458785 LCK458784:LCK458785 LMG458784:LMG458785 LWC458784:LWC458785 MFY458784:MFY458785 MPU458784:MPU458785 MZQ458784:MZQ458785 NJM458784:NJM458785 NTI458784:NTI458785 ODE458784:ODE458785 ONA458784:ONA458785 OWW458784:OWW458785 PGS458784:PGS458785 PQO458784:PQO458785 QAK458784:QAK458785 QKG458784:QKG458785 QUC458784:QUC458785 RDY458784:RDY458785 RNU458784:RNU458785 RXQ458784:RXQ458785 SHM458784:SHM458785 SRI458784:SRI458785 TBE458784:TBE458785 TLA458784:TLA458785 TUW458784:TUW458785 UES458784:UES458785 UOO458784:UOO458785 UYK458784:UYK458785 VIG458784:VIG458785 VSC458784:VSC458785 WBY458784:WBY458785 WLU458784:WLU458785 WVQ458784:WVQ458785 I524320:I524321 JE524320:JE524321 TA524320:TA524321 ACW524320:ACW524321 AMS524320:AMS524321 AWO524320:AWO524321 BGK524320:BGK524321 BQG524320:BQG524321 CAC524320:CAC524321 CJY524320:CJY524321 CTU524320:CTU524321 DDQ524320:DDQ524321 DNM524320:DNM524321 DXI524320:DXI524321 EHE524320:EHE524321 ERA524320:ERA524321 FAW524320:FAW524321 FKS524320:FKS524321 FUO524320:FUO524321 GEK524320:GEK524321 GOG524320:GOG524321 GYC524320:GYC524321 HHY524320:HHY524321 HRU524320:HRU524321 IBQ524320:IBQ524321 ILM524320:ILM524321 IVI524320:IVI524321 JFE524320:JFE524321 JPA524320:JPA524321 JYW524320:JYW524321 KIS524320:KIS524321 KSO524320:KSO524321 LCK524320:LCK524321 LMG524320:LMG524321 LWC524320:LWC524321 MFY524320:MFY524321 MPU524320:MPU524321 MZQ524320:MZQ524321 NJM524320:NJM524321 NTI524320:NTI524321 ODE524320:ODE524321 ONA524320:ONA524321 OWW524320:OWW524321 PGS524320:PGS524321 PQO524320:PQO524321 QAK524320:QAK524321 QKG524320:QKG524321 QUC524320:QUC524321 RDY524320:RDY524321 RNU524320:RNU524321 RXQ524320:RXQ524321 SHM524320:SHM524321 SRI524320:SRI524321 TBE524320:TBE524321 TLA524320:TLA524321 TUW524320:TUW524321 UES524320:UES524321 UOO524320:UOO524321 UYK524320:UYK524321 VIG524320:VIG524321 VSC524320:VSC524321 WBY524320:WBY524321 WLU524320:WLU524321 WVQ524320:WVQ524321 I589856:I589857 JE589856:JE589857 TA589856:TA589857 ACW589856:ACW589857 AMS589856:AMS589857 AWO589856:AWO589857 BGK589856:BGK589857 BQG589856:BQG589857 CAC589856:CAC589857 CJY589856:CJY589857 CTU589856:CTU589857 DDQ589856:DDQ589857 DNM589856:DNM589857 DXI589856:DXI589857 EHE589856:EHE589857 ERA589856:ERA589857 FAW589856:FAW589857 FKS589856:FKS589857 FUO589856:FUO589857 GEK589856:GEK589857 GOG589856:GOG589857 GYC589856:GYC589857 HHY589856:HHY589857 HRU589856:HRU589857 IBQ589856:IBQ589857 ILM589856:ILM589857 IVI589856:IVI589857 JFE589856:JFE589857 JPA589856:JPA589857 JYW589856:JYW589857 KIS589856:KIS589857 KSO589856:KSO589857 LCK589856:LCK589857 LMG589856:LMG589857 LWC589856:LWC589857 MFY589856:MFY589857 MPU589856:MPU589857 MZQ589856:MZQ589857 NJM589856:NJM589857 NTI589856:NTI589857 ODE589856:ODE589857 ONA589856:ONA589857 OWW589856:OWW589857 PGS589856:PGS589857 PQO589856:PQO589857 QAK589856:QAK589857 QKG589856:QKG589857 QUC589856:QUC589857 RDY589856:RDY589857 RNU589856:RNU589857 RXQ589856:RXQ589857 SHM589856:SHM589857 SRI589856:SRI589857 TBE589856:TBE589857 TLA589856:TLA589857 TUW589856:TUW589857 UES589856:UES589857 UOO589856:UOO589857 UYK589856:UYK589857 VIG589856:VIG589857 VSC589856:VSC589857 WBY589856:WBY589857 WLU589856:WLU589857 WVQ589856:WVQ589857 I655392:I655393 JE655392:JE655393 TA655392:TA655393 ACW655392:ACW655393 AMS655392:AMS655393 AWO655392:AWO655393 BGK655392:BGK655393 BQG655392:BQG655393 CAC655392:CAC655393 CJY655392:CJY655393 CTU655392:CTU655393 DDQ655392:DDQ655393 DNM655392:DNM655393 DXI655392:DXI655393 EHE655392:EHE655393 ERA655392:ERA655393 FAW655392:FAW655393 FKS655392:FKS655393 FUO655392:FUO655393 GEK655392:GEK655393 GOG655392:GOG655393 GYC655392:GYC655393 HHY655392:HHY655393 HRU655392:HRU655393 IBQ655392:IBQ655393 ILM655392:ILM655393 IVI655392:IVI655393 JFE655392:JFE655393 JPA655392:JPA655393 JYW655392:JYW655393 KIS655392:KIS655393 KSO655392:KSO655393 LCK655392:LCK655393 LMG655392:LMG655393 LWC655392:LWC655393 MFY655392:MFY655393 MPU655392:MPU655393 MZQ655392:MZQ655393 NJM655392:NJM655393 NTI655392:NTI655393 ODE655392:ODE655393 ONA655392:ONA655393 OWW655392:OWW655393 PGS655392:PGS655393 PQO655392:PQO655393 QAK655392:QAK655393 QKG655392:QKG655393 QUC655392:QUC655393 RDY655392:RDY655393 RNU655392:RNU655393 RXQ655392:RXQ655393 SHM655392:SHM655393 SRI655392:SRI655393 TBE655392:TBE655393 TLA655392:TLA655393 TUW655392:TUW655393 UES655392:UES655393 UOO655392:UOO655393 UYK655392:UYK655393 VIG655392:VIG655393 VSC655392:VSC655393 WBY655392:WBY655393 WLU655392:WLU655393 WVQ655392:WVQ655393 I720928:I720929 JE720928:JE720929 TA720928:TA720929 ACW720928:ACW720929 AMS720928:AMS720929 AWO720928:AWO720929 BGK720928:BGK720929 BQG720928:BQG720929 CAC720928:CAC720929 CJY720928:CJY720929 CTU720928:CTU720929 DDQ720928:DDQ720929 DNM720928:DNM720929 DXI720928:DXI720929 EHE720928:EHE720929 ERA720928:ERA720929 FAW720928:FAW720929 FKS720928:FKS720929 FUO720928:FUO720929 GEK720928:GEK720929 GOG720928:GOG720929 GYC720928:GYC720929 HHY720928:HHY720929 HRU720928:HRU720929 IBQ720928:IBQ720929 ILM720928:ILM720929 IVI720928:IVI720929 JFE720928:JFE720929 JPA720928:JPA720929 JYW720928:JYW720929 KIS720928:KIS720929 KSO720928:KSO720929 LCK720928:LCK720929 LMG720928:LMG720929 LWC720928:LWC720929 MFY720928:MFY720929 MPU720928:MPU720929 MZQ720928:MZQ720929 NJM720928:NJM720929 NTI720928:NTI720929 ODE720928:ODE720929 ONA720928:ONA720929 OWW720928:OWW720929 PGS720928:PGS720929 PQO720928:PQO720929 QAK720928:QAK720929 QKG720928:QKG720929 QUC720928:QUC720929 RDY720928:RDY720929 RNU720928:RNU720929 RXQ720928:RXQ720929 SHM720928:SHM720929 SRI720928:SRI720929 TBE720928:TBE720929 TLA720928:TLA720929 TUW720928:TUW720929 UES720928:UES720929 UOO720928:UOO720929 UYK720928:UYK720929 VIG720928:VIG720929 VSC720928:VSC720929 WBY720928:WBY720929 WLU720928:WLU720929 WVQ720928:WVQ720929 I786464:I786465 JE786464:JE786465 TA786464:TA786465 ACW786464:ACW786465 AMS786464:AMS786465 AWO786464:AWO786465 BGK786464:BGK786465 BQG786464:BQG786465 CAC786464:CAC786465 CJY786464:CJY786465 CTU786464:CTU786465 DDQ786464:DDQ786465 DNM786464:DNM786465 DXI786464:DXI786465 EHE786464:EHE786465 ERA786464:ERA786465 FAW786464:FAW786465 FKS786464:FKS786465 FUO786464:FUO786465 GEK786464:GEK786465 GOG786464:GOG786465 GYC786464:GYC786465 HHY786464:HHY786465 HRU786464:HRU786465 IBQ786464:IBQ786465 ILM786464:ILM786465 IVI786464:IVI786465 JFE786464:JFE786465 JPA786464:JPA786465 JYW786464:JYW786465 KIS786464:KIS786465 KSO786464:KSO786465 LCK786464:LCK786465 LMG786464:LMG786465 LWC786464:LWC786465 MFY786464:MFY786465 MPU786464:MPU786465 MZQ786464:MZQ786465 NJM786464:NJM786465 NTI786464:NTI786465 ODE786464:ODE786465 ONA786464:ONA786465 OWW786464:OWW786465 PGS786464:PGS786465 PQO786464:PQO786465 QAK786464:QAK786465 QKG786464:QKG786465 QUC786464:QUC786465 RDY786464:RDY786465 RNU786464:RNU786465 RXQ786464:RXQ786465 SHM786464:SHM786465 SRI786464:SRI786465 TBE786464:TBE786465 TLA786464:TLA786465 TUW786464:TUW786465 UES786464:UES786465 UOO786464:UOO786465 UYK786464:UYK786465 VIG786464:VIG786465 VSC786464:VSC786465 WBY786464:WBY786465 WLU786464:WLU786465 WVQ786464:WVQ786465 I852000:I852001 JE852000:JE852001 TA852000:TA852001 ACW852000:ACW852001 AMS852000:AMS852001 AWO852000:AWO852001 BGK852000:BGK852001 BQG852000:BQG852001 CAC852000:CAC852001 CJY852000:CJY852001 CTU852000:CTU852001 DDQ852000:DDQ852001 DNM852000:DNM852001 DXI852000:DXI852001 EHE852000:EHE852001 ERA852000:ERA852001 FAW852000:FAW852001 FKS852000:FKS852001 FUO852000:FUO852001 GEK852000:GEK852001 GOG852000:GOG852001 GYC852000:GYC852001 HHY852000:HHY852001 HRU852000:HRU852001 IBQ852000:IBQ852001 ILM852000:ILM852001 IVI852000:IVI852001 JFE852000:JFE852001 JPA852000:JPA852001 JYW852000:JYW852001 KIS852000:KIS852001 KSO852000:KSO852001 LCK852000:LCK852001 LMG852000:LMG852001 LWC852000:LWC852001 MFY852000:MFY852001 MPU852000:MPU852001 MZQ852000:MZQ852001 NJM852000:NJM852001 NTI852000:NTI852001 ODE852000:ODE852001 ONA852000:ONA852001 OWW852000:OWW852001 PGS852000:PGS852001 PQO852000:PQO852001 QAK852000:QAK852001 QKG852000:QKG852001 QUC852000:QUC852001 RDY852000:RDY852001 RNU852000:RNU852001 RXQ852000:RXQ852001 SHM852000:SHM852001 SRI852000:SRI852001 TBE852000:TBE852001 TLA852000:TLA852001 TUW852000:TUW852001 UES852000:UES852001 UOO852000:UOO852001 UYK852000:UYK852001 VIG852000:VIG852001 VSC852000:VSC852001 WBY852000:WBY852001 WLU852000:WLU852001 WVQ852000:WVQ852001 I917536:I917537 JE917536:JE917537 TA917536:TA917537 ACW917536:ACW917537 AMS917536:AMS917537 AWO917536:AWO917537 BGK917536:BGK917537 BQG917536:BQG917537 CAC917536:CAC917537 CJY917536:CJY917537 CTU917536:CTU917537 DDQ917536:DDQ917537 DNM917536:DNM917537 DXI917536:DXI917537 EHE917536:EHE917537 ERA917536:ERA917537 FAW917536:FAW917537 FKS917536:FKS917537 FUO917536:FUO917537 GEK917536:GEK917537 GOG917536:GOG917537 GYC917536:GYC917537 HHY917536:HHY917537 HRU917536:HRU917537 IBQ917536:IBQ917537 ILM917536:ILM917537 IVI917536:IVI917537 JFE917536:JFE917537 JPA917536:JPA917537 JYW917536:JYW917537 KIS917536:KIS917537 KSO917536:KSO917537 LCK917536:LCK917537 LMG917536:LMG917537 LWC917536:LWC917537 MFY917536:MFY917537 MPU917536:MPU917537 MZQ917536:MZQ917537 NJM917536:NJM917537 NTI917536:NTI917537 ODE917536:ODE917537 ONA917536:ONA917537 OWW917536:OWW917537 PGS917536:PGS917537 PQO917536:PQO917537 QAK917536:QAK917537 QKG917536:QKG917537 QUC917536:QUC917537 RDY917536:RDY917537 RNU917536:RNU917537 RXQ917536:RXQ917537 SHM917536:SHM917537 SRI917536:SRI917537 TBE917536:TBE917537 TLA917536:TLA917537 TUW917536:TUW917537 UES917536:UES917537 UOO917536:UOO917537 UYK917536:UYK917537 VIG917536:VIG917537 VSC917536:VSC917537 WBY917536:WBY917537 WLU917536:WLU917537 WVQ917536:WVQ917537 I983072:I983073 JE983072:JE983073 TA983072:TA983073 ACW983072:ACW983073 AMS983072:AMS983073 AWO983072:AWO983073 BGK983072:BGK983073 BQG983072:BQG983073 CAC983072:CAC983073 CJY983072:CJY983073 CTU983072:CTU983073 DDQ983072:DDQ983073 DNM983072:DNM983073 DXI983072:DXI983073 EHE983072:EHE983073 ERA983072:ERA983073 FAW983072:FAW983073 FKS983072:FKS983073 FUO983072:FUO983073 GEK983072:GEK983073 GOG983072:GOG983073 GYC983072:GYC983073 HHY983072:HHY983073 HRU983072:HRU983073 IBQ983072:IBQ983073 ILM983072:ILM983073 IVI983072:IVI983073 JFE983072:JFE983073 JPA983072:JPA983073 JYW983072:JYW983073 KIS983072:KIS983073 KSO983072:KSO983073 LCK983072:LCK983073 LMG983072:LMG983073 LWC983072:LWC983073 MFY983072:MFY983073 MPU983072:MPU983073 MZQ983072:MZQ983073 NJM983072:NJM983073 NTI983072:NTI983073 ODE983072:ODE983073 ONA983072:ONA983073 OWW983072:OWW983073 PGS983072:PGS983073 PQO983072:PQO983073 QAK983072:QAK983073 QKG983072:QKG983073 QUC983072:QUC983073 RDY983072:RDY983073 RNU983072:RNU983073 RXQ983072:RXQ983073 SHM983072:SHM983073 SRI983072:SRI983073 TBE983072:TBE983073 TLA983072:TLA983073 TUW983072:TUW983073 UES983072:UES983073 UOO983072:UOO983073 UYK983072:UYK983073 VIG983072:VIG983073 VSC983072:VSC983073 WBY983072:WBY983073 WLU983072:WLU983073 WVQ983072:WVQ983073 WVQ983069 JE29 TA29 ACW29 AMS29 AWO29 BGK29 BQG29 CAC29 CJY29 CTU29 DDQ29 DNM29 DXI29 EHE29 ERA29 FAW29 FKS29 FUO29 GEK29 GOG29 GYC29 HHY29 HRU29 IBQ29 ILM29 IVI29 JFE29 JPA29 JYW29 KIS29 KSO29 LCK29 LMG29 LWC29 MFY29 MPU29 MZQ29 NJM29 NTI29 ODE29 ONA29 OWW29 PGS29 PQO29 QAK29 QKG29 QUC29 RDY29 RNU29 RXQ29 SHM29 SRI29 TBE29 TLA29 TUW29 UES29 UOO29 UYK29 VIG29 VSC29 WBY29 WLU29 WVQ29 I65565 JE65565 TA65565 ACW65565 AMS65565 AWO65565 BGK65565 BQG65565 CAC65565 CJY65565 CTU65565 DDQ65565 DNM65565 DXI65565 EHE65565 ERA65565 FAW65565 FKS65565 FUO65565 GEK65565 GOG65565 GYC65565 HHY65565 HRU65565 IBQ65565 ILM65565 IVI65565 JFE65565 JPA65565 JYW65565 KIS65565 KSO65565 LCK65565 LMG65565 LWC65565 MFY65565 MPU65565 MZQ65565 NJM65565 NTI65565 ODE65565 ONA65565 OWW65565 PGS65565 PQO65565 QAK65565 QKG65565 QUC65565 RDY65565 RNU65565 RXQ65565 SHM65565 SRI65565 TBE65565 TLA65565 TUW65565 UES65565 UOO65565 UYK65565 VIG65565 VSC65565 WBY65565 WLU65565 WVQ65565 I131101 JE131101 TA131101 ACW131101 AMS131101 AWO131101 BGK131101 BQG131101 CAC131101 CJY131101 CTU131101 DDQ131101 DNM131101 DXI131101 EHE131101 ERA131101 FAW131101 FKS131101 FUO131101 GEK131101 GOG131101 GYC131101 HHY131101 HRU131101 IBQ131101 ILM131101 IVI131101 JFE131101 JPA131101 JYW131101 KIS131101 KSO131101 LCK131101 LMG131101 LWC131101 MFY131101 MPU131101 MZQ131101 NJM131101 NTI131101 ODE131101 ONA131101 OWW131101 PGS131101 PQO131101 QAK131101 QKG131101 QUC131101 RDY131101 RNU131101 RXQ131101 SHM131101 SRI131101 TBE131101 TLA131101 TUW131101 UES131101 UOO131101 UYK131101 VIG131101 VSC131101 WBY131101 WLU131101 WVQ131101 I196637 JE196637 TA196637 ACW196637 AMS196637 AWO196637 BGK196637 BQG196637 CAC196637 CJY196637 CTU196637 DDQ196637 DNM196637 DXI196637 EHE196637 ERA196637 FAW196637 FKS196637 FUO196637 GEK196637 GOG196637 GYC196637 HHY196637 HRU196637 IBQ196637 ILM196637 IVI196637 JFE196637 JPA196637 JYW196637 KIS196637 KSO196637 LCK196637 LMG196637 LWC196637 MFY196637 MPU196637 MZQ196637 NJM196637 NTI196637 ODE196637 ONA196637 OWW196637 PGS196637 PQO196637 QAK196637 QKG196637 QUC196637 RDY196637 RNU196637 RXQ196637 SHM196637 SRI196637 TBE196637 TLA196637 TUW196637 UES196637 UOO196637 UYK196637 VIG196637 VSC196637 WBY196637 WLU196637 WVQ196637 I262173 JE262173 TA262173 ACW262173 AMS262173 AWO262173 BGK262173 BQG262173 CAC262173 CJY262173 CTU262173 DDQ262173 DNM262173 DXI262173 EHE262173 ERA262173 FAW262173 FKS262173 FUO262173 GEK262173 GOG262173 GYC262173 HHY262173 HRU262173 IBQ262173 ILM262173 IVI262173 JFE262173 JPA262173 JYW262173 KIS262173 KSO262173 LCK262173 LMG262173 LWC262173 MFY262173 MPU262173 MZQ262173 NJM262173 NTI262173 ODE262173 ONA262173 OWW262173 PGS262173 PQO262173 QAK262173 QKG262173 QUC262173 RDY262173 RNU262173 RXQ262173 SHM262173 SRI262173 TBE262173 TLA262173 TUW262173 UES262173 UOO262173 UYK262173 VIG262173 VSC262173 WBY262173 WLU262173 WVQ262173 I327709 JE327709 TA327709 ACW327709 AMS327709 AWO327709 BGK327709 BQG327709 CAC327709 CJY327709 CTU327709 DDQ327709 DNM327709 DXI327709 EHE327709 ERA327709 FAW327709 FKS327709 FUO327709 GEK327709 GOG327709 GYC327709 HHY327709 HRU327709 IBQ327709 ILM327709 IVI327709 JFE327709 JPA327709 JYW327709 KIS327709 KSO327709 LCK327709 LMG327709 LWC327709 MFY327709 MPU327709 MZQ327709 NJM327709 NTI327709 ODE327709 ONA327709 OWW327709 PGS327709 PQO327709 QAK327709 QKG327709 QUC327709 RDY327709 RNU327709 RXQ327709 SHM327709 SRI327709 TBE327709 TLA327709 TUW327709 UES327709 UOO327709 UYK327709 VIG327709 VSC327709 WBY327709 WLU327709 WVQ327709 I393245 JE393245 TA393245 ACW393245 AMS393245 AWO393245 BGK393245 BQG393245 CAC393245 CJY393245 CTU393245 DDQ393245 DNM393245 DXI393245 EHE393245 ERA393245 FAW393245 FKS393245 FUO393245 GEK393245 GOG393245 GYC393245 HHY393245 HRU393245 IBQ393245 ILM393245 IVI393245 JFE393245 JPA393245 JYW393245 KIS393245 KSO393245 LCK393245 LMG393245 LWC393245 MFY393245 MPU393245 MZQ393245 NJM393245 NTI393245 ODE393245 ONA393245 OWW393245 PGS393245 PQO393245 QAK393245 QKG393245 QUC393245 RDY393245 RNU393245 RXQ393245 SHM393245 SRI393245 TBE393245 TLA393245 TUW393245 UES393245 UOO393245 UYK393245 VIG393245 VSC393245 WBY393245 WLU393245 WVQ393245 I458781 JE458781 TA458781 ACW458781 AMS458781 AWO458781 BGK458781 BQG458781 CAC458781 CJY458781 CTU458781 DDQ458781 DNM458781 DXI458781 EHE458781 ERA458781 FAW458781 FKS458781 FUO458781 GEK458781 GOG458781 GYC458781 HHY458781 HRU458781 IBQ458781 ILM458781 IVI458781 JFE458781 JPA458781 JYW458781 KIS458781 KSO458781 LCK458781 LMG458781 LWC458781 MFY458781 MPU458781 MZQ458781 NJM458781 NTI458781 ODE458781 ONA458781 OWW458781 PGS458781 PQO458781 QAK458781 QKG458781 QUC458781 RDY458781 RNU458781 RXQ458781 SHM458781 SRI458781 TBE458781 TLA458781 TUW458781 UES458781 UOO458781 UYK458781 VIG458781 VSC458781 WBY458781 WLU458781 WVQ458781 I524317 JE524317 TA524317 ACW524317 AMS524317 AWO524317 BGK524317 BQG524317 CAC524317 CJY524317 CTU524317 DDQ524317 DNM524317 DXI524317 EHE524317 ERA524317 FAW524317 FKS524317 FUO524317 GEK524317 GOG524317 GYC524317 HHY524317 HRU524317 IBQ524317 ILM524317 IVI524317 JFE524317 JPA524317 JYW524317 KIS524317 KSO524317 LCK524317 LMG524317 LWC524317 MFY524317 MPU524317 MZQ524317 NJM524317 NTI524317 ODE524317 ONA524317 OWW524317 PGS524317 PQO524317 QAK524317 QKG524317 QUC524317 RDY524317 RNU524317 RXQ524317 SHM524317 SRI524317 TBE524317 TLA524317 TUW524317 UES524317 UOO524317 UYK524317 VIG524317 VSC524317 WBY524317 WLU524317 WVQ524317 I589853 JE589853 TA589853 ACW589853 AMS589853 AWO589853 BGK589853 BQG589853 CAC589853 CJY589853 CTU589853 DDQ589853 DNM589853 DXI589853 EHE589853 ERA589853 FAW589853 FKS589853 FUO589853 GEK589853 GOG589853 GYC589853 HHY589853 HRU589853 IBQ589853 ILM589853 IVI589853 JFE589853 JPA589853 JYW589853 KIS589853 KSO589853 LCK589853 LMG589853 LWC589853 MFY589853 MPU589853 MZQ589853 NJM589853 NTI589853 ODE589853 ONA589853 OWW589853 PGS589853 PQO589853 QAK589853 QKG589853 QUC589853 RDY589853 RNU589853 RXQ589853 SHM589853 SRI589853 TBE589853 TLA589853 TUW589853 UES589853 UOO589853 UYK589853 VIG589853 VSC589853 WBY589853 WLU589853 WVQ589853 I655389 JE655389 TA655389 ACW655389 AMS655389 AWO655389 BGK655389 BQG655389 CAC655389 CJY655389 CTU655389 DDQ655389 DNM655389 DXI655389 EHE655389 ERA655389 FAW655389 FKS655389 FUO655389 GEK655389 GOG655389 GYC655389 HHY655389 HRU655389 IBQ655389 ILM655389 IVI655389 JFE655389 JPA655389 JYW655389 KIS655389 KSO655389 LCK655389 LMG655389 LWC655389 MFY655389 MPU655389 MZQ655389 NJM655389 NTI655389 ODE655389 ONA655389 OWW655389 PGS655389 PQO655389 QAK655389 QKG655389 QUC655389 RDY655389 RNU655389 RXQ655389 SHM655389 SRI655389 TBE655389 TLA655389 TUW655389 UES655389 UOO655389 UYK655389 VIG655389 VSC655389 WBY655389 WLU655389 WVQ655389 I720925 JE720925 TA720925 ACW720925 AMS720925 AWO720925 BGK720925 BQG720925 CAC720925 CJY720925 CTU720925 DDQ720925 DNM720925 DXI720925 EHE720925 ERA720925 FAW720925 FKS720925 FUO720925 GEK720925 GOG720925 GYC720925 HHY720925 HRU720925 IBQ720925 ILM720925 IVI720925 JFE720925 JPA720925 JYW720925 KIS720925 KSO720925 LCK720925 LMG720925 LWC720925 MFY720925 MPU720925 MZQ720925 NJM720925 NTI720925 ODE720925 ONA720925 OWW720925 PGS720925 PQO720925 QAK720925 QKG720925 QUC720925 RDY720925 RNU720925 RXQ720925 SHM720925 SRI720925 TBE720925 TLA720925 TUW720925 UES720925 UOO720925 UYK720925 VIG720925 VSC720925 WBY720925 WLU720925 WVQ720925 I786461 JE786461 TA786461 ACW786461 AMS786461 AWO786461 BGK786461 BQG786461 CAC786461 CJY786461 CTU786461 DDQ786461 DNM786461 DXI786461 EHE786461 ERA786461 FAW786461 FKS786461 FUO786461 GEK786461 GOG786461 GYC786461 HHY786461 HRU786461 IBQ786461 ILM786461 IVI786461 JFE786461 JPA786461 JYW786461 KIS786461 KSO786461 LCK786461 LMG786461 LWC786461 MFY786461 MPU786461 MZQ786461 NJM786461 NTI786461 ODE786461 ONA786461 OWW786461 PGS786461 PQO786461 QAK786461 QKG786461 QUC786461 RDY786461 RNU786461 RXQ786461 SHM786461 SRI786461 TBE786461 TLA786461 TUW786461 UES786461 UOO786461 UYK786461 VIG786461 VSC786461 WBY786461 WLU786461 WVQ786461 I851997 JE851997 TA851997 ACW851997 AMS851997 AWO851997 BGK851997 BQG851997 CAC851997 CJY851997 CTU851997 DDQ851997 DNM851997 DXI851997 EHE851997 ERA851997 FAW851997 FKS851997 FUO851997 GEK851997 GOG851997 GYC851997 HHY851997 HRU851997 IBQ851997 ILM851997 IVI851997 JFE851997 JPA851997 JYW851997 KIS851997 KSO851997 LCK851997 LMG851997 LWC851997 MFY851997 MPU851997 MZQ851997 NJM851997 NTI851997 ODE851997 ONA851997 OWW851997 PGS851997 PQO851997 QAK851997 QKG851997 QUC851997 RDY851997 RNU851997 RXQ851997 SHM851997 SRI851997 TBE851997 TLA851997 TUW851997 UES851997 UOO851997 UYK851997 VIG851997 VSC851997 WBY851997 WLU851997 WVQ851997 I917533 JE917533 TA917533 ACW917533 AMS917533 AWO917533 BGK917533 BQG917533 CAC917533 CJY917533 CTU917533 DDQ917533 DNM917533 DXI917533 EHE917533 ERA917533 FAW917533 FKS917533 FUO917533 GEK917533 GOG917533 GYC917533 HHY917533 HRU917533 IBQ917533 ILM917533 IVI917533 JFE917533 JPA917533 JYW917533 KIS917533 KSO917533 LCK917533 LMG917533 LWC917533 MFY917533 MPU917533 MZQ917533 NJM917533 NTI917533 ODE917533 ONA917533 OWW917533 PGS917533 PQO917533 QAK917533 QKG917533 QUC917533 RDY917533 RNU917533 RXQ917533 SHM917533 SRI917533 TBE917533 TLA917533 TUW917533 UES917533 UOO917533 UYK917533 VIG917533 VSC917533 WBY917533 WLU917533 WVQ917533 I983069 JE983069 TA983069 ACW983069 AMS983069 AWO983069 BGK983069 BQG983069 CAC983069 CJY983069 CTU983069 DDQ983069 DNM983069 DXI983069 EHE983069 ERA983069 FAW983069 FKS983069 FUO983069 GEK983069 GOG983069 GYC983069 HHY983069 HRU983069 IBQ983069 ILM983069 IVI983069 JFE983069 JPA983069 JYW983069 KIS983069 KSO983069 LCK983069 LMG983069 LWC983069 MFY983069 MPU983069 MZQ983069 NJM983069 NTI983069 ODE983069 ONA983069 OWW983069 PGS983069 PQO983069 QAK983069 QKG983069 QUC983069 RDY983069 RNU983069 RXQ983069 SHM983069 SRI983069 TBE983069 TLA983069 TUW983069 UES983069 UOO983069 UYK983069" xr:uid="{F0352B01-3975-4D36-8F41-6161F518CAF8}">
      <formula1>Cuentas</formula1>
    </dataValidation>
    <dataValidation allowBlank="1" showInputMessage="1" showErrorMessage="1" sqref="H86:M110" xr:uid="{9958C24F-2B19-434A-834C-45BAF4E96FE0}"/>
  </dataValidations>
  <pageMargins left="0.70866141732283472" right="0.70866141732283472" top="0.74803149606299213" bottom="0.74803149606299213" header="0.31496062992125984" footer="0.31496062992125984"/>
  <pageSetup scale="50" fitToHeight="2" orientation="landscape" r:id="rId1"/>
  <rowBreaks count="1" manualBreakCount="1">
    <brk id="48" max="12" man="1"/>
  </rowBreaks>
  <ignoredErrors>
    <ignoredError sqref="H90:L90 H93:L99 H91:L91 H92:L92 M89:M99 H89:L89" unlockedFormula="1"/>
  </ignoredErrors>
  <drawing r:id="rId2"/>
  <legacyDrawing r:id="rId3"/>
  <mc:AlternateContent xmlns:mc="http://schemas.openxmlformats.org/markup-compatibility/2006">
    <mc:Choice Requires="x14">
      <controls>
        <mc:AlternateContent xmlns:mc="http://schemas.openxmlformats.org/markup-compatibility/2006">
          <mc:Choice Requires="x14">
            <control shapeId="2049" r:id="rId4" name="Check Box 1">
              <controlPr locked="0" defaultSize="0" autoFill="0" autoLine="0" autoPict="0">
                <anchor moveWithCells="1">
                  <from>
                    <xdr:col>2</xdr:col>
                    <xdr:colOff>638175</xdr:colOff>
                    <xdr:row>7</xdr:row>
                    <xdr:rowOff>57150</xdr:rowOff>
                  </from>
                  <to>
                    <xdr:col>2</xdr:col>
                    <xdr:colOff>952500</xdr:colOff>
                    <xdr:row>9</xdr:row>
                    <xdr:rowOff>171450</xdr:rowOff>
                  </to>
                </anchor>
              </controlPr>
            </control>
          </mc:Choice>
        </mc:AlternateContent>
        <mc:AlternateContent xmlns:mc="http://schemas.openxmlformats.org/markup-compatibility/2006">
          <mc:Choice Requires="x14">
            <control shapeId="2050" r:id="rId5" name="Check Box 2">
              <controlPr locked="0" defaultSize="0" autoFill="0" autoLine="0" autoPict="0">
                <anchor moveWithCells="1">
                  <from>
                    <xdr:col>6</xdr:col>
                    <xdr:colOff>66675</xdr:colOff>
                    <xdr:row>8</xdr:row>
                    <xdr:rowOff>0</xdr:rowOff>
                  </from>
                  <to>
                    <xdr:col>6</xdr:col>
                    <xdr:colOff>333375</xdr:colOff>
                    <xdr:row>9</xdr:row>
                    <xdr:rowOff>200025</xdr:rowOff>
                  </to>
                </anchor>
              </controlPr>
            </control>
          </mc:Choice>
        </mc:AlternateContent>
        <mc:AlternateContent xmlns:mc="http://schemas.openxmlformats.org/markup-compatibility/2006">
          <mc:Choice Requires="x14">
            <control shapeId="2051" r:id="rId6" name="Check Box 3">
              <controlPr locked="0" defaultSize="0" autoFill="0" autoLine="0" autoPict="0">
                <anchor moveWithCells="1">
                  <from>
                    <xdr:col>0</xdr:col>
                    <xdr:colOff>561975</xdr:colOff>
                    <xdr:row>7</xdr:row>
                    <xdr:rowOff>47625</xdr:rowOff>
                  </from>
                  <to>
                    <xdr:col>0</xdr:col>
                    <xdr:colOff>866775</xdr:colOff>
                    <xdr:row>9</xdr:row>
                    <xdr:rowOff>171450</xdr:rowOff>
                  </to>
                </anchor>
              </controlPr>
            </control>
          </mc:Choice>
        </mc:AlternateContent>
        <mc:AlternateContent xmlns:mc="http://schemas.openxmlformats.org/markup-compatibility/2006">
          <mc:Choice Requires="x14">
            <control shapeId="2053" r:id="rId7" name="Check Box 5">
              <controlPr locked="0" defaultSize="0" autoFill="0" autoLine="0" autoPict="0">
                <anchor moveWithCells="1">
                  <from>
                    <xdr:col>7</xdr:col>
                    <xdr:colOff>1466850</xdr:colOff>
                    <xdr:row>7</xdr:row>
                    <xdr:rowOff>57150</xdr:rowOff>
                  </from>
                  <to>
                    <xdr:col>7</xdr:col>
                    <xdr:colOff>1733550</xdr:colOff>
                    <xdr:row>9</xdr:row>
                    <xdr:rowOff>180975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6">
        <x14:dataValidation type="list" allowBlank="1" showInputMessage="1" showErrorMessage="1" xr:uid="{D8CEFF6A-7F58-4FA0-989F-42B305ED1195}">
          <x14:formula1>
            <xm:f>Partidas</xm:f>
          </x14:formula1>
          <xm:sqref>WBR983069:WBS983093 JD86:JD110 SZ86:SZ110 ACV86:ACV110 AMR86:AMR110 AWN86:AWN110 BGJ86:BGJ110 BQF86:BQF110 CAB86:CAB110 CJX86:CJX110 CTT86:CTT110 DDP86:DDP110 DNL86:DNL110 DXH86:DXH110 EHD86:EHD110 EQZ86:EQZ110 FAV86:FAV110 FKR86:FKR110 FUN86:FUN110 GEJ86:GEJ110 GOF86:GOF110 GYB86:GYB110 HHX86:HHX110 HRT86:HRT110 IBP86:IBP110 ILL86:ILL110 IVH86:IVH110 JFD86:JFD110 JOZ86:JOZ110 JYV86:JYV110 KIR86:KIR110 KSN86:KSN110 LCJ86:LCJ110 LMF86:LMF110 LWB86:LWB110 MFX86:MFX110 MPT86:MPT110 MZP86:MZP110 NJL86:NJL110 NTH86:NTH110 ODD86:ODD110 OMZ86:OMZ110 OWV86:OWV110 PGR86:PGR110 PQN86:PQN110 QAJ86:QAJ110 QKF86:QKF110 QUB86:QUB110 RDX86:RDX110 RNT86:RNT110 RXP86:RXP110 SHL86:SHL110 SRH86:SRH110 TBD86:TBD110 TKZ86:TKZ110 TUV86:TUV110 UER86:UER110 UON86:UON110 UYJ86:UYJ110 VIF86:VIF110 VSB86:VSB110 WBX86:WBX110 WLT86:WLT110 WVP86:WVP110 H65622:H65646 JD65622:JD65646 SZ65622:SZ65646 ACV65622:ACV65646 AMR65622:AMR65646 AWN65622:AWN65646 BGJ65622:BGJ65646 BQF65622:BQF65646 CAB65622:CAB65646 CJX65622:CJX65646 CTT65622:CTT65646 DDP65622:DDP65646 DNL65622:DNL65646 DXH65622:DXH65646 EHD65622:EHD65646 EQZ65622:EQZ65646 FAV65622:FAV65646 FKR65622:FKR65646 FUN65622:FUN65646 GEJ65622:GEJ65646 GOF65622:GOF65646 GYB65622:GYB65646 HHX65622:HHX65646 HRT65622:HRT65646 IBP65622:IBP65646 ILL65622:ILL65646 IVH65622:IVH65646 JFD65622:JFD65646 JOZ65622:JOZ65646 JYV65622:JYV65646 KIR65622:KIR65646 KSN65622:KSN65646 LCJ65622:LCJ65646 LMF65622:LMF65646 LWB65622:LWB65646 MFX65622:MFX65646 MPT65622:MPT65646 MZP65622:MZP65646 NJL65622:NJL65646 NTH65622:NTH65646 ODD65622:ODD65646 OMZ65622:OMZ65646 OWV65622:OWV65646 PGR65622:PGR65646 PQN65622:PQN65646 QAJ65622:QAJ65646 QKF65622:QKF65646 QUB65622:QUB65646 RDX65622:RDX65646 RNT65622:RNT65646 RXP65622:RXP65646 SHL65622:SHL65646 SRH65622:SRH65646 TBD65622:TBD65646 TKZ65622:TKZ65646 TUV65622:TUV65646 UER65622:UER65646 UON65622:UON65646 UYJ65622:UYJ65646 VIF65622:VIF65646 VSB65622:VSB65646 WBX65622:WBX65646 WLT65622:WLT65646 WVP65622:WVP65646 H131158:H131182 JD131158:JD131182 SZ131158:SZ131182 ACV131158:ACV131182 AMR131158:AMR131182 AWN131158:AWN131182 BGJ131158:BGJ131182 BQF131158:BQF131182 CAB131158:CAB131182 CJX131158:CJX131182 CTT131158:CTT131182 DDP131158:DDP131182 DNL131158:DNL131182 DXH131158:DXH131182 EHD131158:EHD131182 EQZ131158:EQZ131182 FAV131158:FAV131182 FKR131158:FKR131182 FUN131158:FUN131182 GEJ131158:GEJ131182 GOF131158:GOF131182 GYB131158:GYB131182 HHX131158:HHX131182 HRT131158:HRT131182 IBP131158:IBP131182 ILL131158:ILL131182 IVH131158:IVH131182 JFD131158:JFD131182 JOZ131158:JOZ131182 JYV131158:JYV131182 KIR131158:KIR131182 KSN131158:KSN131182 LCJ131158:LCJ131182 LMF131158:LMF131182 LWB131158:LWB131182 MFX131158:MFX131182 MPT131158:MPT131182 MZP131158:MZP131182 NJL131158:NJL131182 NTH131158:NTH131182 ODD131158:ODD131182 OMZ131158:OMZ131182 OWV131158:OWV131182 PGR131158:PGR131182 PQN131158:PQN131182 QAJ131158:QAJ131182 QKF131158:QKF131182 QUB131158:QUB131182 RDX131158:RDX131182 RNT131158:RNT131182 RXP131158:RXP131182 SHL131158:SHL131182 SRH131158:SRH131182 TBD131158:TBD131182 TKZ131158:TKZ131182 TUV131158:TUV131182 UER131158:UER131182 UON131158:UON131182 UYJ131158:UYJ131182 VIF131158:VIF131182 VSB131158:VSB131182 WBX131158:WBX131182 WLT131158:WLT131182 WVP131158:WVP131182 H196694:H196718 JD196694:JD196718 SZ196694:SZ196718 ACV196694:ACV196718 AMR196694:AMR196718 AWN196694:AWN196718 BGJ196694:BGJ196718 BQF196694:BQF196718 CAB196694:CAB196718 CJX196694:CJX196718 CTT196694:CTT196718 DDP196694:DDP196718 DNL196694:DNL196718 DXH196694:DXH196718 EHD196694:EHD196718 EQZ196694:EQZ196718 FAV196694:FAV196718 FKR196694:FKR196718 FUN196694:FUN196718 GEJ196694:GEJ196718 GOF196694:GOF196718 GYB196694:GYB196718 HHX196694:HHX196718 HRT196694:HRT196718 IBP196694:IBP196718 ILL196694:ILL196718 IVH196694:IVH196718 JFD196694:JFD196718 JOZ196694:JOZ196718 JYV196694:JYV196718 KIR196694:KIR196718 KSN196694:KSN196718 LCJ196694:LCJ196718 LMF196694:LMF196718 LWB196694:LWB196718 MFX196694:MFX196718 MPT196694:MPT196718 MZP196694:MZP196718 NJL196694:NJL196718 NTH196694:NTH196718 ODD196694:ODD196718 OMZ196694:OMZ196718 OWV196694:OWV196718 PGR196694:PGR196718 PQN196694:PQN196718 QAJ196694:QAJ196718 QKF196694:QKF196718 QUB196694:QUB196718 RDX196694:RDX196718 RNT196694:RNT196718 RXP196694:RXP196718 SHL196694:SHL196718 SRH196694:SRH196718 TBD196694:TBD196718 TKZ196694:TKZ196718 TUV196694:TUV196718 UER196694:UER196718 UON196694:UON196718 UYJ196694:UYJ196718 VIF196694:VIF196718 VSB196694:VSB196718 WBX196694:WBX196718 WLT196694:WLT196718 WVP196694:WVP196718 H262230:H262254 JD262230:JD262254 SZ262230:SZ262254 ACV262230:ACV262254 AMR262230:AMR262254 AWN262230:AWN262254 BGJ262230:BGJ262254 BQF262230:BQF262254 CAB262230:CAB262254 CJX262230:CJX262254 CTT262230:CTT262254 DDP262230:DDP262254 DNL262230:DNL262254 DXH262230:DXH262254 EHD262230:EHD262254 EQZ262230:EQZ262254 FAV262230:FAV262254 FKR262230:FKR262254 FUN262230:FUN262254 GEJ262230:GEJ262254 GOF262230:GOF262254 GYB262230:GYB262254 HHX262230:HHX262254 HRT262230:HRT262254 IBP262230:IBP262254 ILL262230:ILL262254 IVH262230:IVH262254 JFD262230:JFD262254 JOZ262230:JOZ262254 JYV262230:JYV262254 KIR262230:KIR262254 KSN262230:KSN262254 LCJ262230:LCJ262254 LMF262230:LMF262254 LWB262230:LWB262254 MFX262230:MFX262254 MPT262230:MPT262254 MZP262230:MZP262254 NJL262230:NJL262254 NTH262230:NTH262254 ODD262230:ODD262254 OMZ262230:OMZ262254 OWV262230:OWV262254 PGR262230:PGR262254 PQN262230:PQN262254 QAJ262230:QAJ262254 QKF262230:QKF262254 QUB262230:QUB262254 RDX262230:RDX262254 RNT262230:RNT262254 RXP262230:RXP262254 SHL262230:SHL262254 SRH262230:SRH262254 TBD262230:TBD262254 TKZ262230:TKZ262254 TUV262230:TUV262254 UER262230:UER262254 UON262230:UON262254 UYJ262230:UYJ262254 VIF262230:VIF262254 VSB262230:VSB262254 WBX262230:WBX262254 WLT262230:WLT262254 WVP262230:WVP262254 H327766:H327790 JD327766:JD327790 SZ327766:SZ327790 ACV327766:ACV327790 AMR327766:AMR327790 AWN327766:AWN327790 BGJ327766:BGJ327790 BQF327766:BQF327790 CAB327766:CAB327790 CJX327766:CJX327790 CTT327766:CTT327790 DDP327766:DDP327790 DNL327766:DNL327790 DXH327766:DXH327790 EHD327766:EHD327790 EQZ327766:EQZ327790 FAV327766:FAV327790 FKR327766:FKR327790 FUN327766:FUN327790 GEJ327766:GEJ327790 GOF327766:GOF327790 GYB327766:GYB327790 HHX327766:HHX327790 HRT327766:HRT327790 IBP327766:IBP327790 ILL327766:ILL327790 IVH327766:IVH327790 JFD327766:JFD327790 JOZ327766:JOZ327790 JYV327766:JYV327790 KIR327766:KIR327790 KSN327766:KSN327790 LCJ327766:LCJ327790 LMF327766:LMF327790 LWB327766:LWB327790 MFX327766:MFX327790 MPT327766:MPT327790 MZP327766:MZP327790 NJL327766:NJL327790 NTH327766:NTH327790 ODD327766:ODD327790 OMZ327766:OMZ327790 OWV327766:OWV327790 PGR327766:PGR327790 PQN327766:PQN327790 QAJ327766:QAJ327790 QKF327766:QKF327790 QUB327766:QUB327790 RDX327766:RDX327790 RNT327766:RNT327790 RXP327766:RXP327790 SHL327766:SHL327790 SRH327766:SRH327790 TBD327766:TBD327790 TKZ327766:TKZ327790 TUV327766:TUV327790 UER327766:UER327790 UON327766:UON327790 UYJ327766:UYJ327790 VIF327766:VIF327790 VSB327766:VSB327790 WBX327766:WBX327790 WLT327766:WLT327790 WVP327766:WVP327790 H393302:H393326 JD393302:JD393326 SZ393302:SZ393326 ACV393302:ACV393326 AMR393302:AMR393326 AWN393302:AWN393326 BGJ393302:BGJ393326 BQF393302:BQF393326 CAB393302:CAB393326 CJX393302:CJX393326 CTT393302:CTT393326 DDP393302:DDP393326 DNL393302:DNL393326 DXH393302:DXH393326 EHD393302:EHD393326 EQZ393302:EQZ393326 FAV393302:FAV393326 FKR393302:FKR393326 FUN393302:FUN393326 GEJ393302:GEJ393326 GOF393302:GOF393326 GYB393302:GYB393326 HHX393302:HHX393326 HRT393302:HRT393326 IBP393302:IBP393326 ILL393302:ILL393326 IVH393302:IVH393326 JFD393302:JFD393326 JOZ393302:JOZ393326 JYV393302:JYV393326 KIR393302:KIR393326 KSN393302:KSN393326 LCJ393302:LCJ393326 LMF393302:LMF393326 LWB393302:LWB393326 MFX393302:MFX393326 MPT393302:MPT393326 MZP393302:MZP393326 NJL393302:NJL393326 NTH393302:NTH393326 ODD393302:ODD393326 OMZ393302:OMZ393326 OWV393302:OWV393326 PGR393302:PGR393326 PQN393302:PQN393326 QAJ393302:QAJ393326 QKF393302:QKF393326 QUB393302:QUB393326 RDX393302:RDX393326 RNT393302:RNT393326 RXP393302:RXP393326 SHL393302:SHL393326 SRH393302:SRH393326 TBD393302:TBD393326 TKZ393302:TKZ393326 TUV393302:TUV393326 UER393302:UER393326 UON393302:UON393326 UYJ393302:UYJ393326 VIF393302:VIF393326 VSB393302:VSB393326 WBX393302:WBX393326 WLT393302:WLT393326 WVP393302:WVP393326 H458838:H458862 JD458838:JD458862 SZ458838:SZ458862 ACV458838:ACV458862 AMR458838:AMR458862 AWN458838:AWN458862 BGJ458838:BGJ458862 BQF458838:BQF458862 CAB458838:CAB458862 CJX458838:CJX458862 CTT458838:CTT458862 DDP458838:DDP458862 DNL458838:DNL458862 DXH458838:DXH458862 EHD458838:EHD458862 EQZ458838:EQZ458862 FAV458838:FAV458862 FKR458838:FKR458862 FUN458838:FUN458862 GEJ458838:GEJ458862 GOF458838:GOF458862 GYB458838:GYB458862 HHX458838:HHX458862 HRT458838:HRT458862 IBP458838:IBP458862 ILL458838:ILL458862 IVH458838:IVH458862 JFD458838:JFD458862 JOZ458838:JOZ458862 JYV458838:JYV458862 KIR458838:KIR458862 KSN458838:KSN458862 LCJ458838:LCJ458862 LMF458838:LMF458862 LWB458838:LWB458862 MFX458838:MFX458862 MPT458838:MPT458862 MZP458838:MZP458862 NJL458838:NJL458862 NTH458838:NTH458862 ODD458838:ODD458862 OMZ458838:OMZ458862 OWV458838:OWV458862 PGR458838:PGR458862 PQN458838:PQN458862 QAJ458838:QAJ458862 QKF458838:QKF458862 QUB458838:QUB458862 RDX458838:RDX458862 RNT458838:RNT458862 RXP458838:RXP458862 SHL458838:SHL458862 SRH458838:SRH458862 TBD458838:TBD458862 TKZ458838:TKZ458862 TUV458838:TUV458862 UER458838:UER458862 UON458838:UON458862 UYJ458838:UYJ458862 VIF458838:VIF458862 VSB458838:VSB458862 WBX458838:WBX458862 WLT458838:WLT458862 WVP458838:WVP458862 H524374:H524398 JD524374:JD524398 SZ524374:SZ524398 ACV524374:ACV524398 AMR524374:AMR524398 AWN524374:AWN524398 BGJ524374:BGJ524398 BQF524374:BQF524398 CAB524374:CAB524398 CJX524374:CJX524398 CTT524374:CTT524398 DDP524374:DDP524398 DNL524374:DNL524398 DXH524374:DXH524398 EHD524374:EHD524398 EQZ524374:EQZ524398 FAV524374:FAV524398 FKR524374:FKR524398 FUN524374:FUN524398 GEJ524374:GEJ524398 GOF524374:GOF524398 GYB524374:GYB524398 HHX524374:HHX524398 HRT524374:HRT524398 IBP524374:IBP524398 ILL524374:ILL524398 IVH524374:IVH524398 JFD524374:JFD524398 JOZ524374:JOZ524398 JYV524374:JYV524398 KIR524374:KIR524398 KSN524374:KSN524398 LCJ524374:LCJ524398 LMF524374:LMF524398 LWB524374:LWB524398 MFX524374:MFX524398 MPT524374:MPT524398 MZP524374:MZP524398 NJL524374:NJL524398 NTH524374:NTH524398 ODD524374:ODD524398 OMZ524374:OMZ524398 OWV524374:OWV524398 PGR524374:PGR524398 PQN524374:PQN524398 QAJ524374:QAJ524398 QKF524374:QKF524398 QUB524374:QUB524398 RDX524374:RDX524398 RNT524374:RNT524398 RXP524374:RXP524398 SHL524374:SHL524398 SRH524374:SRH524398 TBD524374:TBD524398 TKZ524374:TKZ524398 TUV524374:TUV524398 UER524374:UER524398 UON524374:UON524398 UYJ524374:UYJ524398 VIF524374:VIF524398 VSB524374:VSB524398 WBX524374:WBX524398 WLT524374:WLT524398 WVP524374:WVP524398 H589910:H589934 JD589910:JD589934 SZ589910:SZ589934 ACV589910:ACV589934 AMR589910:AMR589934 AWN589910:AWN589934 BGJ589910:BGJ589934 BQF589910:BQF589934 CAB589910:CAB589934 CJX589910:CJX589934 CTT589910:CTT589934 DDP589910:DDP589934 DNL589910:DNL589934 DXH589910:DXH589934 EHD589910:EHD589934 EQZ589910:EQZ589934 FAV589910:FAV589934 FKR589910:FKR589934 FUN589910:FUN589934 GEJ589910:GEJ589934 GOF589910:GOF589934 GYB589910:GYB589934 HHX589910:HHX589934 HRT589910:HRT589934 IBP589910:IBP589934 ILL589910:ILL589934 IVH589910:IVH589934 JFD589910:JFD589934 JOZ589910:JOZ589934 JYV589910:JYV589934 KIR589910:KIR589934 KSN589910:KSN589934 LCJ589910:LCJ589934 LMF589910:LMF589934 LWB589910:LWB589934 MFX589910:MFX589934 MPT589910:MPT589934 MZP589910:MZP589934 NJL589910:NJL589934 NTH589910:NTH589934 ODD589910:ODD589934 OMZ589910:OMZ589934 OWV589910:OWV589934 PGR589910:PGR589934 PQN589910:PQN589934 QAJ589910:QAJ589934 QKF589910:QKF589934 QUB589910:QUB589934 RDX589910:RDX589934 RNT589910:RNT589934 RXP589910:RXP589934 SHL589910:SHL589934 SRH589910:SRH589934 TBD589910:TBD589934 TKZ589910:TKZ589934 TUV589910:TUV589934 UER589910:UER589934 UON589910:UON589934 UYJ589910:UYJ589934 VIF589910:VIF589934 VSB589910:VSB589934 WBX589910:WBX589934 WLT589910:WLT589934 WVP589910:WVP589934 H655446:H655470 JD655446:JD655470 SZ655446:SZ655470 ACV655446:ACV655470 AMR655446:AMR655470 AWN655446:AWN655470 BGJ655446:BGJ655470 BQF655446:BQF655470 CAB655446:CAB655470 CJX655446:CJX655470 CTT655446:CTT655470 DDP655446:DDP655470 DNL655446:DNL655470 DXH655446:DXH655470 EHD655446:EHD655470 EQZ655446:EQZ655470 FAV655446:FAV655470 FKR655446:FKR655470 FUN655446:FUN655470 GEJ655446:GEJ655470 GOF655446:GOF655470 GYB655446:GYB655470 HHX655446:HHX655470 HRT655446:HRT655470 IBP655446:IBP655470 ILL655446:ILL655470 IVH655446:IVH655470 JFD655446:JFD655470 JOZ655446:JOZ655470 JYV655446:JYV655470 KIR655446:KIR655470 KSN655446:KSN655470 LCJ655446:LCJ655470 LMF655446:LMF655470 LWB655446:LWB655470 MFX655446:MFX655470 MPT655446:MPT655470 MZP655446:MZP655470 NJL655446:NJL655470 NTH655446:NTH655470 ODD655446:ODD655470 OMZ655446:OMZ655470 OWV655446:OWV655470 PGR655446:PGR655470 PQN655446:PQN655470 QAJ655446:QAJ655470 QKF655446:QKF655470 QUB655446:QUB655470 RDX655446:RDX655470 RNT655446:RNT655470 RXP655446:RXP655470 SHL655446:SHL655470 SRH655446:SRH655470 TBD655446:TBD655470 TKZ655446:TKZ655470 TUV655446:TUV655470 UER655446:UER655470 UON655446:UON655470 UYJ655446:UYJ655470 VIF655446:VIF655470 VSB655446:VSB655470 WBX655446:WBX655470 WLT655446:WLT655470 WVP655446:WVP655470 H720982:H721006 JD720982:JD721006 SZ720982:SZ721006 ACV720982:ACV721006 AMR720982:AMR721006 AWN720982:AWN721006 BGJ720982:BGJ721006 BQF720982:BQF721006 CAB720982:CAB721006 CJX720982:CJX721006 CTT720982:CTT721006 DDP720982:DDP721006 DNL720982:DNL721006 DXH720982:DXH721006 EHD720982:EHD721006 EQZ720982:EQZ721006 FAV720982:FAV721006 FKR720982:FKR721006 FUN720982:FUN721006 GEJ720982:GEJ721006 GOF720982:GOF721006 GYB720982:GYB721006 HHX720982:HHX721006 HRT720982:HRT721006 IBP720982:IBP721006 ILL720982:ILL721006 IVH720982:IVH721006 JFD720982:JFD721006 JOZ720982:JOZ721006 JYV720982:JYV721006 KIR720982:KIR721006 KSN720982:KSN721006 LCJ720982:LCJ721006 LMF720982:LMF721006 LWB720982:LWB721006 MFX720982:MFX721006 MPT720982:MPT721006 MZP720982:MZP721006 NJL720982:NJL721006 NTH720982:NTH721006 ODD720982:ODD721006 OMZ720982:OMZ721006 OWV720982:OWV721006 PGR720982:PGR721006 PQN720982:PQN721006 QAJ720982:QAJ721006 QKF720982:QKF721006 QUB720982:QUB721006 RDX720982:RDX721006 RNT720982:RNT721006 RXP720982:RXP721006 SHL720982:SHL721006 SRH720982:SRH721006 TBD720982:TBD721006 TKZ720982:TKZ721006 TUV720982:TUV721006 UER720982:UER721006 UON720982:UON721006 UYJ720982:UYJ721006 VIF720982:VIF721006 VSB720982:VSB721006 WBX720982:WBX721006 WLT720982:WLT721006 WVP720982:WVP721006 H786518:H786542 JD786518:JD786542 SZ786518:SZ786542 ACV786518:ACV786542 AMR786518:AMR786542 AWN786518:AWN786542 BGJ786518:BGJ786542 BQF786518:BQF786542 CAB786518:CAB786542 CJX786518:CJX786542 CTT786518:CTT786542 DDP786518:DDP786542 DNL786518:DNL786542 DXH786518:DXH786542 EHD786518:EHD786542 EQZ786518:EQZ786542 FAV786518:FAV786542 FKR786518:FKR786542 FUN786518:FUN786542 GEJ786518:GEJ786542 GOF786518:GOF786542 GYB786518:GYB786542 HHX786518:HHX786542 HRT786518:HRT786542 IBP786518:IBP786542 ILL786518:ILL786542 IVH786518:IVH786542 JFD786518:JFD786542 JOZ786518:JOZ786542 JYV786518:JYV786542 KIR786518:KIR786542 KSN786518:KSN786542 LCJ786518:LCJ786542 LMF786518:LMF786542 LWB786518:LWB786542 MFX786518:MFX786542 MPT786518:MPT786542 MZP786518:MZP786542 NJL786518:NJL786542 NTH786518:NTH786542 ODD786518:ODD786542 OMZ786518:OMZ786542 OWV786518:OWV786542 PGR786518:PGR786542 PQN786518:PQN786542 QAJ786518:QAJ786542 QKF786518:QKF786542 QUB786518:QUB786542 RDX786518:RDX786542 RNT786518:RNT786542 RXP786518:RXP786542 SHL786518:SHL786542 SRH786518:SRH786542 TBD786518:TBD786542 TKZ786518:TKZ786542 TUV786518:TUV786542 UER786518:UER786542 UON786518:UON786542 UYJ786518:UYJ786542 VIF786518:VIF786542 VSB786518:VSB786542 WBX786518:WBX786542 WLT786518:WLT786542 WVP786518:WVP786542 H852054:H852078 JD852054:JD852078 SZ852054:SZ852078 ACV852054:ACV852078 AMR852054:AMR852078 AWN852054:AWN852078 BGJ852054:BGJ852078 BQF852054:BQF852078 CAB852054:CAB852078 CJX852054:CJX852078 CTT852054:CTT852078 DDP852054:DDP852078 DNL852054:DNL852078 DXH852054:DXH852078 EHD852054:EHD852078 EQZ852054:EQZ852078 FAV852054:FAV852078 FKR852054:FKR852078 FUN852054:FUN852078 GEJ852054:GEJ852078 GOF852054:GOF852078 GYB852054:GYB852078 HHX852054:HHX852078 HRT852054:HRT852078 IBP852054:IBP852078 ILL852054:ILL852078 IVH852054:IVH852078 JFD852054:JFD852078 JOZ852054:JOZ852078 JYV852054:JYV852078 KIR852054:KIR852078 KSN852054:KSN852078 LCJ852054:LCJ852078 LMF852054:LMF852078 LWB852054:LWB852078 MFX852054:MFX852078 MPT852054:MPT852078 MZP852054:MZP852078 NJL852054:NJL852078 NTH852054:NTH852078 ODD852054:ODD852078 OMZ852054:OMZ852078 OWV852054:OWV852078 PGR852054:PGR852078 PQN852054:PQN852078 QAJ852054:QAJ852078 QKF852054:QKF852078 QUB852054:QUB852078 RDX852054:RDX852078 RNT852054:RNT852078 RXP852054:RXP852078 SHL852054:SHL852078 SRH852054:SRH852078 TBD852054:TBD852078 TKZ852054:TKZ852078 TUV852054:TUV852078 UER852054:UER852078 UON852054:UON852078 UYJ852054:UYJ852078 VIF852054:VIF852078 VSB852054:VSB852078 WBX852054:WBX852078 WLT852054:WLT852078 WVP852054:WVP852078 H917590:H917614 JD917590:JD917614 SZ917590:SZ917614 ACV917590:ACV917614 AMR917590:AMR917614 AWN917590:AWN917614 BGJ917590:BGJ917614 BQF917590:BQF917614 CAB917590:CAB917614 CJX917590:CJX917614 CTT917590:CTT917614 DDP917590:DDP917614 DNL917590:DNL917614 DXH917590:DXH917614 EHD917590:EHD917614 EQZ917590:EQZ917614 FAV917590:FAV917614 FKR917590:FKR917614 FUN917590:FUN917614 GEJ917590:GEJ917614 GOF917590:GOF917614 GYB917590:GYB917614 HHX917590:HHX917614 HRT917590:HRT917614 IBP917590:IBP917614 ILL917590:ILL917614 IVH917590:IVH917614 JFD917590:JFD917614 JOZ917590:JOZ917614 JYV917590:JYV917614 KIR917590:KIR917614 KSN917590:KSN917614 LCJ917590:LCJ917614 LMF917590:LMF917614 LWB917590:LWB917614 MFX917590:MFX917614 MPT917590:MPT917614 MZP917590:MZP917614 NJL917590:NJL917614 NTH917590:NTH917614 ODD917590:ODD917614 OMZ917590:OMZ917614 OWV917590:OWV917614 PGR917590:PGR917614 PQN917590:PQN917614 QAJ917590:QAJ917614 QKF917590:QKF917614 QUB917590:QUB917614 RDX917590:RDX917614 RNT917590:RNT917614 RXP917590:RXP917614 SHL917590:SHL917614 SRH917590:SRH917614 TBD917590:TBD917614 TKZ917590:TKZ917614 TUV917590:TUV917614 UER917590:UER917614 UON917590:UON917614 UYJ917590:UYJ917614 VIF917590:VIF917614 VSB917590:VSB917614 WBX917590:WBX917614 WLT917590:WLT917614 WVP917590:WVP917614 H983126:H983150 JD983126:JD983150 SZ983126:SZ983150 ACV983126:ACV983150 AMR983126:AMR983150 AWN983126:AWN983150 BGJ983126:BGJ983150 BQF983126:BQF983150 CAB983126:CAB983150 CJX983126:CJX983150 CTT983126:CTT983150 DDP983126:DDP983150 DNL983126:DNL983150 DXH983126:DXH983150 EHD983126:EHD983150 EQZ983126:EQZ983150 FAV983126:FAV983150 FKR983126:FKR983150 FUN983126:FUN983150 GEJ983126:GEJ983150 GOF983126:GOF983150 GYB983126:GYB983150 HHX983126:HHX983150 HRT983126:HRT983150 IBP983126:IBP983150 ILL983126:ILL983150 IVH983126:IVH983150 JFD983126:JFD983150 JOZ983126:JOZ983150 JYV983126:JYV983150 KIR983126:KIR983150 KSN983126:KSN983150 LCJ983126:LCJ983150 LMF983126:LMF983150 LWB983126:LWB983150 MFX983126:MFX983150 MPT983126:MPT983150 MZP983126:MZP983150 NJL983126:NJL983150 NTH983126:NTH983150 ODD983126:ODD983150 OMZ983126:OMZ983150 OWV983126:OWV983150 PGR983126:PGR983150 PQN983126:PQN983150 QAJ983126:QAJ983150 QKF983126:QKF983150 QUB983126:QUB983150 RDX983126:RDX983150 RNT983126:RNT983150 RXP983126:RXP983150 SHL983126:SHL983150 SRH983126:SRH983150 TBD983126:TBD983150 TKZ983126:TKZ983150 TUV983126:TUV983150 UER983126:UER983150 UON983126:UON983150 UYJ983126:UYJ983150 VIF983126:VIF983150 VSB983126:VSB983150 WBX983126:WBX983150 WLT983126:WLT983150 WVP983126:WVP983150 WLN983069:WLO983093 JE70:JE110 TA70:TA110 ACW70:ACW110 AMS70:AMS110 AWO70:AWO110 BGK70:BGK110 BQG70:BQG110 CAC70:CAC110 CJY70:CJY110 CTU70:CTU110 DDQ70:DDQ110 DNM70:DNM110 DXI70:DXI110 EHE70:EHE110 ERA70:ERA110 FAW70:FAW110 FKS70:FKS110 FUO70:FUO110 GEK70:GEK110 GOG70:GOG110 GYC70:GYC110 HHY70:HHY110 HRU70:HRU110 IBQ70:IBQ110 ILM70:ILM110 IVI70:IVI110 JFE70:JFE110 JPA70:JPA110 JYW70:JYW110 KIS70:KIS110 KSO70:KSO110 LCK70:LCK110 LMG70:LMG110 LWC70:LWC110 MFY70:MFY110 MPU70:MPU110 MZQ70:MZQ110 NJM70:NJM110 NTI70:NTI110 ODE70:ODE110 ONA70:ONA110 OWW70:OWW110 PGS70:PGS110 PQO70:PQO110 QAK70:QAK110 QKG70:QKG110 QUC70:QUC110 RDY70:RDY110 RNU70:RNU110 RXQ70:RXQ110 SHM70:SHM110 SRI70:SRI110 TBE70:TBE110 TLA70:TLA110 TUW70:TUW110 UES70:UES110 UOO70:UOO110 UYK70:UYK110 VIG70:VIG110 VSC70:VSC110 WBY70:WBY110 WLU70:WLU110 WVQ70:WVQ110 I65606:I65646 JE65606:JE65646 TA65606:TA65646 ACW65606:ACW65646 AMS65606:AMS65646 AWO65606:AWO65646 BGK65606:BGK65646 BQG65606:BQG65646 CAC65606:CAC65646 CJY65606:CJY65646 CTU65606:CTU65646 DDQ65606:DDQ65646 DNM65606:DNM65646 DXI65606:DXI65646 EHE65606:EHE65646 ERA65606:ERA65646 FAW65606:FAW65646 FKS65606:FKS65646 FUO65606:FUO65646 GEK65606:GEK65646 GOG65606:GOG65646 GYC65606:GYC65646 HHY65606:HHY65646 HRU65606:HRU65646 IBQ65606:IBQ65646 ILM65606:ILM65646 IVI65606:IVI65646 JFE65606:JFE65646 JPA65606:JPA65646 JYW65606:JYW65646 KIS65606:KIS65646 KSO65606:KSO65646 LCK65606:LCK65646 LMG65606:LMG65646 LWC65606:LWC65646 MFY65606:MFY65646 MPU65606:MPU65646 MZQ65606:MZQ65646 NJM65606:NJM65646 NTI65606:NTI65646 ODE65606:ODE65646 ONA65606:ONA65646 OWW65606:OWW65646 PGS65606:PGS65646 PQO65606:PQO65646 QAK65606:QAK65646 QKG65606:QKG65646 QUC65606:QUC65646 RDY65606:RDY65646 RNU65606:RNU65646 RXQ65606:RXQ65646 SHM65606:SHM65646 SRI65606:SRI65646 TBE65606:TBE65646 TLA65606:TLA65646 TUW65606:TUW65646 UES65606:UES65646 UOO65606:UOO65646 UYK65606:UYK65646 VIG65606:VIG65646 VSC65606:VSC65646 WBY65606:WBY65646 WLU65606:WLU65646 WVQ65606:WVQ65646 I131142:I131182 JE131142:JE131182 TA131142:TA131182 ACW131142:ACW131182 AMS131142:AMS131182 AWO131142:AWO131182 BGK131142:BGK131182 BQG131142:BQG131182 CAC131142:CAC131182 CJY131142:CJY131182 CTU131142:CTU131182 DDQ131142:DDQ131182 DNM131142:DNM131182 DXI131142:DXI131182 EHE131142:EHE131182 ERA131142:ERA131182 FAW131142:FAW131182 FKS131142:FKS131182 FUO131142:FUO131182 GEK131142:GEK131182 GOG131142:GOG131182 GYC131142:GYC131182 HHY131142:HHY131182 HRU131142:HRU131182 IBQ131142:IBQ131182 ILM131142:ILM131182 IVI131142:IVI131182 JFE131142:JFE131182 JPA131142:JPA131182 JYW131142:JYW131182 KIS131142:KIS131182 KSO131142:KSO131182 LCK131142:LCK131182 LMG131142:LMG131182 LWC131142:LWC131182 MFY131142:MFY131182 MPU131142:MPU131182 MZQ131142:MZQ131182 NJM131142:NJM131182 NTI131142:NTI131182 ODE131142:ODE131182 ONA131142:ONA131182 OWW131142:OWW131182 PGS131142:PGS131182 PQO131142:PQO131182 QAK131142:QAK131182 QKG131142:QKG131182 QUC131142:QUC131182 RDY131142:RDY131182 RNU131142:RNU131182 RXQ131142:RXQ131182 SHM131142:SHM131182 SRI131142:SRI131182 TBE131142:TBE131182 TLA131142:TLA131182 TUW131142:TUW131182 UES131142:UES131182 UOO131142:UOO131182 UYK131142:UYK131182 VIG131142:VIG131182 VSC131142:VSC131182 WBY131142:WBY131182 WLU131142:WLU131182 WVQ131142:WVQ131182 I196678:I196718 JE196678:JE196718 TA196678:TA196718 ACW196678:ACW196718 AMS196678:AMS196718 AWO196678:AWO196718 BGK196678:BGK196718 BQG196678:BQG196718 CAC196678:CAC196718 CJY196678:CJY196718 CTU196678:CTU196718 DDQ196678:DDQ196718 DNM196678:DNM196718 DXI196678:DXI196718 EHE196678:EHE196718 ERA196678:ERA196718 FAW196678:FAW196718 FKS196678:FKS196718 FUO196678:FUO196718 GEK196678:GEK196718 GOG196678:GOG196718 GYC196678:GYC196718 HHY196678:HHY196718 HRU196678:HRU196718 IBQ196678:IBQ196718 ILM196678:ILM196718 IVI196678:IVI196718 JFE196678:JFE196718 JPA196678:JPA196718 JYW196678:JYW196718 KIS196678:KIS196718 KSO196678:KSO196718 LCK196678:LCK196718 LMG196678:LMG196718 LWC196678:LWC196718 MFY196678:MFY196718 MPU196678:MPU196718 MZQ196678:MZQ196718 NJM196678:NJM196718 NTI196678:NTI196718 ODE196678:ODE196718 ONA196678:ONA196718 OWW196678:OWW196718 PGS196678:PGS196718 PQO196678:PQO196718 QAK196678:QAK196718 QKG196678:QKG196718 QUC196678:QUC196718 RDY196678:RDY196718 RNU196678:RNU196718 RXQ196678:RXQ196718 SHM196678:SHM196718 SRI196678:SRI196718 TBE196678:TBE196718 TLA196678:TLA196718 TUW196678:TUW196718 UES196678:UES196718 UOO196678:UOO196718 UYK196678:UYK196718 VIG196678:VIG196718 VSC196678:VSC196718 WBY196678:WBY196718 WLU196678:WLU196718 WVQ196678:WVQ196718 I262214:I262254 JE262214:JE262254 TA262214:TA262254 ACW262214:ACW262254 AMS262214:AMS262254 AWO262214:AWO262254 BGK262214:BGK262254 BQG262214:BQG262254 CAC262214:CAC262254 CJY262214:CJY262254 CTU262214:CTU262254 DDQ262214:DDQ262254 DNM262214:DNM262254 DXI262214:DXI262254 EHE262214:EHE262254 ERA262214:ERA262254 FAW262214:FAW262254 FKS262214:FKS262254 FUO262214:FUO262254 GEK262214:GEK262254 GOG262214:GOG262254 GYC262214:GYC262254 HHY262214:HHY262254 HRU262214:HRU262254 IBQ262214:IBQ262254 ILM262214:ILM262254 IVI262214:IVI262254 JFE262214:JFE262254 JPA262214:JPA262254 JYW262214:JYW262254 KIS262214:KIS262254 KSO262214:KSO262254 LCK262214:LCK262254 LMG262214:LMG262254 LWC262214:LWC262254 MFY262214:MFY262254 MPU262214:MPU262254 MZQ262214:MZQ262254 NJM262214:NJM262254 NTI262214:NTI262254 ODE262214:ODE262254 ONA262214:ONA262254 OWW262214:OWW262254 PGS262214:PGS262254 PQO262214:PQO262254 QAK262214:QAK262254 QKG262214:QKG262254 QUC262214:QUC262254 RDY262214:RDY262254 RNU262214:RNU262254 RXQ262214:RXQ262254 SHM262214:SHM262254 SRI262214:SRI262254 TBE262214:TBE262254 TLA262214:TLA262254 TUW262214:TUW262254 UES262214:UES262254 UOO262214:UOO262254 UYK262214:UYK262254 VIG262214:VIG262254 VSC262214:VSC262254 WBY262214:WBY262254 WLU262214:WLU262254 WVQ262214:WVQ262254 I327750:I327790 JE327750:JE327790 TA327750:TA327790 ACW327750:ACW327790 AMS327750:AMS327790 AWO327750:AWO327790 BGK327750:BGK327790 BQG327750:BQG327790 CAC327750:CAC327790 CJY327750:CJY327790 CTU327750:CTU327790 DDQ327750:DDQ327790 DNM327750:DNM327790 DXI327750:DXI327790 EHE327750:EHE327790 ERA327750:ERA327790 FAW327750:FAW327790 FKS327750:FKS327790 FUO327750:FUO327790 GEK327750:GEK327790 GOG327750:GOG327790 GYC327750:GYC327790 HHY327750:HHY327790 HRU327750:HRU327790 IBQ327750:IBQ327790 ILM327750:ILM327790 IVI327750:IVI327790 JFE327750:JFE327790 JPA327750:JPA327790 JYW327750:JYW327790 KIS327750:KIS327790 KSO327750:KSO327790 LCK327750:LCK327790 LMG327750:LMG327790 LWC327750:LWC327790 MFY327750:MFY327790 MPU327750:MPU327790 MZQ327750:MZQ327790 NJM327750:NJM327790 NTI327750:NTI327790 ODE327750:ODE327790 ONA327750:ONA327790 OWW327750:OWW327790 PGS327750:PGS327790 PQO327750:PQO327790 QAK327750:QAK327790 QKG327750:QKG327790 QUC327750:QUC327790 RDY327750:RDY327790 RNU327750:RNU327790 RXQ327750:RXQ327790 SHM327750:SHM327790 SRI327750:SRI327790 TBE327750:TBE327790 TLA327750:TLA327790 TUW327750:TUW327790 UES327750:UES327790 UOO327750:UOO327790 UYK327750:UYK327790 VIG327750:VIG327790 VSC327750:VSC327790 WBY327750:WBY327790 WLU327750:WLU327790 WVQ327750:WVQ327790 I393286:I393326 JE393286:JE393326 TA393286:TA393326 ACW393286:ACW393326 AMS393286:AMS393326 AWO393286:AWO393326 BGK393286:BGK393326 BQG393286:BQG393326 CAC393286:CAC393326 CJY393286:CJY393326 CTU393286:CTU393326 DDQ393286:DDQ393326 DNM393286:DNM393326 DXI393286:DXI393326 EHE393286:EHE393326 ERA393286:ERA393326 FAW393286:FAW393326 FKS393286:FKS393326 FUO393286:FUO393326 GEK393286:GEK393326 GOG393286:GOG393326 GYC393286:GYC393326 HHY393286:HHY393326 HRU393286:HRU393326 IBQ393286:IBQ393326 ILM393286:ILM393326 IVI393286:IVI393326 JFE393286:JFE393326 JPA393286:JPA393326 JYW393286:JYW393326 KIS393286:KIS393326 KSO393286:KSO393326 LCK393286:LCK393326 LMG393286:LMG393326 LWC393286:LWC393326 MFY393286:MFY393326 MPU393286:MPU393326 MZQ393286:MZQ393326 NJM393286:NJM393326 NTI393286:NTI393326 ODE393286:ODE393326 ONA393286:ONA393326 OWW393286:OWW393326 PGS393286:PGS393326 PQO393286:PQO393326 QAK393286:QAK393326 QKG393286:QKG393326 QUC393286:QUC393326 RDY393286:RDY393326 RNU393286:RNU393326 RXQ393286:RXQ393326 SHM393286:SHM393326 SRI393286:SRI393326 TBE393286:TBE393326 TLA393286:TLA393326 TUW393286:TUW393326 UES393286:UES393326 UOO393286:UOO393326 UYK393286:UYK393326 VIG393286:VIG393326 VSC393286:VSC393326 WBY393286:WBY393326 WLU393286:WLU393326 WVQ393286:WVQ393326 I458822:I458862 JE458822:JE458862 TA458822:TA458862 ACW458822:ACW458862 AMS458822:AMS458862 AWO458822:AWO458862 BGK458822:BGK458862 BQG458822:BQG458862 CAC458822:CAC458862 CJY458822:CJY458862 CTU458822:CTU458862 DDQ458822:DDQ458862 DNM458822:DNM458862 DXI458822:DXI458862 EHE458822:EHE458862 ERA458822:ERA458862 FAW458822:FAW458862 FKS458822:FKS458862 FUO458822:FUO458862 GEK458822:GEK458862 GOG458822:GOG458862 GYC458822:GYC458862 HHY458822:HHY458862 HRU458822:HRU458862 IBQ458822:IBQ458862 ILM458822:ILM458862 IVI458822:IVI458862 JFE458822:JFE458862 JPA458822:JPA458862 JYW458822:JYW458862 KIS458822:KIS458862 KSO458822:KSO458862 LCK458822:LCK458862 LMG458822:LMG458862 LWC458822:LWC458862 MFY458822:MFY458862 MPU458822:MPU458862 MZQ458822:MZQ458862 NJM458822:NJM458862 NTI458822:NTI458862 ODE458822:ODE458862 ONA458822:ONA458862 OWW458822:OWW458862 PGS458822:PGS458862 PQO458822:PQO458862 QAK458822:QAK458862 QKG458822:QKG458862 QUC458822:QUC458862 RDY458822:RDY458862 RNU458822:RNU458862 RXQ458822:RXQ458862 SHM458822:SHM458862 SRI458822:SRI458862 TBE458822:TBE458862 TLA458822:TLA458862 TUW458822:TUW458862 UES458822:UES458862 UOO458822:UOO458862 UYK458822:UYK458862 VIG458822:VIG458862 VSC458822:VSC458862 WBY458822:WBY458862 WLU458822:WLU458862 WVQ458822:WVQ458862 I524358:I524398 JE524358:JE524398 TA524358:TA524398 ACW524358:ACW524398 AMS524358:AMS524398 AWO524358:AWO524398 BGK524358:BGK524398 BQG524358:BQG524398 CAC524358:CAC524398 CJY524358:CJY524398 CTU524358:CTU524398 DDQ524358:DDQ524398 DNM524358:DNM524398 DXI524358:DXI524398 EHE524358:EHE524398 ERA524358:ERA524398 FAW524358:FAW524398 FKS524358:FKS524398 FUO524358:FUO524398 GEK524358:GEK524398 GOG524358:GOG524398 GYC524358:GYC524398 HHY524358:HHY524398 HRU524358:HRU524398 IBQ524358:IBQ524398 ILM524358:ILM524398 IVI524358:IVI524398 JFE524358:JFE524398 JPA524358:JPA524398 JYW524358:JYW524398 KIS524358:KIS524398 KSO524358:KSO524398 LCK524358:LCK524398 LMG524358:LMG524398 LWC524358:LWC524398 MFY524358:MFY524398 MPU524358:MPU524398 MZQ524358:MZQ524398 NJM524358:NJM524398 NTI524358:NTI524398 ODE524358:ODE524398 ONA524358:ONA524398 OWW524358:OWW524398 PGS524358:PGS524398 PQO524358:PQO524398 QAK524358:QAK524398 QKG524358:QKG524398 QUC524358:QUC524398 RDY524358:RDY524398 RNU524358:RNU524398 RXQ524358:RXQ524398 SHM524358:SHM524398 SRI524358:SRI524398 TBE524358:TBE524398 TLA524358:TLA524398 TUW524358:TUW524398 UES524358:UES524398 UOO524358:UOO524398 UYK524358:UYK524398 VIG524358:VIG524398 VSC524358:VSC524398 WBY524358:WBY524398 WLU524358:WLU524398 WVQ524358:WVQ524398 I589894:I589934 JE589894:JE589934 TA589894:TA589934 ACW589894:ACW589934 AMS589894:AMS589934 AWO589894:AWO589934 BGK589894:BGK589934 BQG589894:BQG589934 CAC589894:CAC589934 CJY589894:CJY589934 CTU589894:CTU589934 DDQ589894:DDQ589934 DNM589894:DNM589934 DXI589894:DXI589934 EHE589894:EHE589934 ERA589894:ERA589934 FAW589894:FAW589934 FKS589894:FKS589934 FUO589894:FUO589934 GEK589894:GEK589934 GOG589894:GOG589934 GYC589894:GYC589934 HHY589894:HHY589934 HRU589894:HRU589934 IBQ589894:IBQ589934 ILM589894:ILM589934 IVI589894:IVI589934 JFE589894:JFE589934 JPA589894:JPA589934 JYW589894:JYW589934 KIS589894:KIS589934 KSO589894:KSO589934 LCK589894:LCK589934 LMG589894:LMG589934 LWC589894:LWC589934 MFY589894:MFY589934 MPU589894:MPU589934 MZQ589894:MZQ589934 NJM589894:NJM589934 NTI589894:NTI589934 ODE589894:ODE589934 ONA589894:ONA589934 OWW589894:OWW589934 PGS589894:PGS589934 PQO589894:PQO589934 QAK589894:QAK589934 QKG589894:QKG589934 QUC589894:QUC589934 RDY589894:RDY589934 RNU589894:RNU589934 RXQ589894:RXQ589934 SHM589894:SHM589934 SRI589894:SRI589934 TBE589894:TBE589934 TLA589894:TLA589934 TUW589894:TUW589934 UES589894:UES589934 UOO589894:UOO589934 UYK589894:UYK589934 VIG589894:VIG589934 VSC589894:VSC589934 WBY589894:WBY589934 WLU589894:WLU589934 WVQ589894:WVQ589934 I655430:I655470 JE655430:JE655470 TA655430:TA655470 ACW655430:ACW655470 AMS655430:AMS655470 AWO655430:AWO655470 BGK655430:BGK655470 BQG655430:BQG655470 CAC655430:CAC655470 CJY655430:CJY655470 CTU655430:CTU655470 DDQ655430:DDQ655470 DNM655430:DNM655470 DXI655430:DXI655470 EHE655430:EHE655470 ERA655430:ERA655470 FAW655430:FAW655470 FKS655430:FKS655470 FUO655430:FUO655470 GEK655430:GEK655470 GOG655430:GOG655470 GYC655430:GYC655470 HHY655430:HHY655470 HRU655430:HRU655470 IBQ655430:IBQ655470 ILM655430:ILM655470 IVI655430:IVI655470 JFE655430:JFE655470 JPA655430:JPA655470 JYW655430:JYW655470 KIS655430:KIS655470 KSO655430:KSO655470 LCK655430:LCK655470 LMG655430:LMG655470 LWC655430:LWC655470 MFY655430:MFY655470 MPU655430:MPU655470 MZQ655430:MZQ655470 NJM655430:NJM655470 NTI655430:NTI655470 ODE655430:ODE655470 ONA655430:ONA655470 OWW655430:OWW655470 PGS655430:PGS655470 PQO655430:PQO655470 QAK655430:QAK655470 QKG655430:QKG655470 QUC655430:QUC655470 RDY655430:RDY655470 RNU655430:RNU655470 RXQ655430:RXQ655470 SHM655430:SHM655470 SRI655430:SRI655470 TBE655430:TBE655470 TLA655430:TLA655470 TUW655430:TUW655470 UES655430:UES655470 UOO655430:UOO655470 UYK655430:UYK655470 VIG655430:VIG655470 VSC655430:VSC655470 WBY655430:WBY655470 WLU655430:WLU655470 WVQ655430:WVQ655470 I720966:I721006 JE720966:JE721006 TA720966:TA721006 ACW720966:ACW721006 AMS720966:AMS721006 AWO720966:AWO721006 BGK720966:BGK721006 BQG720966:BQG721006 CAC720966:CAC721006 CJY720966:CJY721006 CTU720966:CTU721006 DDQ720966:DDQ721006 DNM720966:DNM721006 DXI720966:DXI721006 EHE720966:EHE721006 ERA720966:ERA721006 FAW720966:FAW721006 FKS720966:FKS721006 FUO720966:FUO721006 GEK720966:GEK721006 GOG720966:GOG721006 GYC720966:GYC721006 HHY720966:HHY721006 HRU720966:HRU721006 IBQ720966:IBQ721006 ILM720966:ILM721006 IVI720966:IVI721006 JFE720966:JFE721006 JPA720966:JPA721006 JYW720966:JYW721006 KIS720966:KIS721006 KSO720966:KSO721006 LCK720966:LCK721006 LMG720966:LMG721006 LWC720966:LWC721006 MFY720966:MFY721006 MPU720966:MPU721006 MZQ720966:MZQ721006 NJM720966:NJM721006 NTI720966:NTI721006 ODE720966:ODE721006 ONA720966:ONA721006 OWW720966:OWW721006 PGS720966:PGS721006 PQO720966:PQO721006 QAK720966:QAK721006 QKG720966:QKG721006 QUC720966:QUC721006 RDY720966:RDY721006 RNU720966:RNU721006 RXQ720966:RXQ721006 SHM720966:SHM721006 SRI720966:SRI721006 TBE720966:TBE721006 TLA720966:TLA721006 TUW720966:TUW721006 UES720966:UES721006 UOO720966:UOO721006 UYK720966:UYK721006 VIG720966:VIG721006 VSC720966:VSC721006 WBY720966:WBY721006 WLU720966:WLU721006 WVQ720966:WVQ721006 I786502:I786542 JE786502:JE786542 TA786502:TA786542 ACW786502:ACW786542 AMS786502:AMS786542 AWO786502:AWO786542 BGK786502:BGK786542 BQG786502:BQG786542 CAC786502:CAC786542 CJY786502:CJY786542 CTU786502:CTU786542 DDQ786502:DDQ786542 DNM786502:DNM786542 DXI786502:DXI786542 EHE786502:EHE786542 ERA786502:ERA786542 FAW786502:FAW786542 FKS786502:FKS786542 FUO786502:FUO786542 GEK786502:GEK786542 GOG786502:GOG786542 GYC786502:GYC786542 HHY786502:HHY786542 HRU786502:HRU786542 IBQ786502:IBQ786542 ILM786502:ILM786542 IVI786502:IVI786542 JFE786502:JFE786542 JPA786502:JPA786542 JYW786502:JYW786542 KIS786502:KIS786542 KSO786502:KSO786542 LCK786502:LCK786542 LMG786502:LMG786542 LWC786502:LWC786542 MFY786502:MFY786542 MPU786502:MPU786542 MZQ786502:MZQ786542 NJM786502:NJM786542 NTI786502:NTI786542 ODE786502:ODE786542 ONA786502:ONA786542 OWW786502:OWW786542 PGS786502:PGS786542 PQO786502:PQO786542 QAK786502:QAK786542 QKG786502:QKG786542 QUC786502:QUC786542 RDY786502:RDY786542 RNU786502:RNU786542 RXQ786502:RXQ786542 SHM786502:SHM786542 SRI786502:SRI786542 TBE786502:TBE786542 TLA786502:TLA786542 TUW786502:TUW786542 UES786502:UES786542 UOO786502:UOO786542 UYK786502:UYK786542 VIG786502:VIG786542 VSC786502:VSC786542 WBY786502:WBY786542 WLU786502:WLU786542 WVQ786502:WVQ786542 I852038:I852078 JE852038:JE852078 TA852038:TA852078 ACW852038:ACW852078 AMS852038:AMS852078 AWO852038:AWO852078 BGK852038:BGK852078 BQG852038:BQG852078 CAC852038:CAC852078 CJY852038:CJY852078 CTU852038:CTU852078 DDQ852038:DDQ852078 DNM852038:DNM852078 DXI852038:DXI852078 EHE852038:EHE852078 ERA852038:ERA852078 FAW852038:FAW852078 FKS852038:FKS852078 FUO852038:FUO852078 GEK852038:GEK852078 GOG852038:GOG852078 GYC852038:GYC852078 HHY852038:HHY852078 HRU852038:HRU852078 IBQ852038:IBQ852078 ILM852038:ILM852078 IVI852038:IVI852078 JFE852038:JFE852078 JPA852038:JPA852078 JYW852038:JYW852078 KIS852038:KIS852078 KSO852038:KSO852078 LCK852038:LCK852078 LMG852038:LMG852078 LWC852038:LWC852078 MFY852038:MFY852078 MPU852038:MPU852078 MZQ852038:MZQ852078 NJM852038:NJM852078 NTI852038:NTI852078 ODE852038:ODE852078 ONA852038:ONA852078 OWW852038:OWW852078 PGS852038:PGS852078 PQO852038:PQO852078 QAK852038:QAK852078 QKG852038:QKG852078 QUC852038:QUC852078 RDY852038:RDY852078 RNU852038:RNU852078 RXQ852038:RXQ852078 SHM852038:SHM852078 SRI852038:SRI852078 TBE852038:TBE852078 TLA852038:TLA852078 TUW852038:TUW852078 UES852038:UES852078 UOO852038:UOO852078 UYK852038:UYK852078 VIG852038:VIG852078 VSC852038:VSC852078 WBY852038:WBY852078 WLU852038:WLU852078 WVQ852038:WVQ852078 I917574:I917614 JE917574:JE917614 TA917574:TA917614 ACW917574:ACW917614 AMS917574:AMS917614 AWO917574:AWO917614 BGK917574:BGK917614 BQG917574:BQG917614 CAC917574:CAC917614 CJY917574:CJY917614 CTU917574:CTU917614 DDQ917574:DDQ917614 DNM917574:DNM917614 DXI917574:DXI917614 EHE917574:EHE917614 ERA917574:ERA917614 FAW917574:FAW917614 FKS917574:FKS917614 FUO917574:FUO917614 GEK917574:GEK917614 GOG917574:GOG917614 GYC917574:GYC917614 HHY917574:HHY917614 HRU917574:HRU917614 IBQ917574:IBQ917614 ILM917574:ILM917614 IVI917574:IVI917614 JFE917574:JFE917614 JPA917574:JPA917614 JYW917574:JYW917614 KIS917574:KIS917614 KSO917574:KSO917614 LCK917574:LCK917614 LMG917574:LMG917614 LWC917574:LWC917614 MFY917574:MFY917614 MPU917574:MPU917614 MZQ917574:MZQ917614 NJM917574:NJM917614 NTI917574:NTI917614 ODE917574:ODE917614 ONA917574:ONA917614 OWW917574:OWW917614 PGS917574:PGS917614 PQO917574:PQO917614 QAK917574:QAK917614 QKG917574:QKG917614 QUC917574:QUC917614 RDY917574:RDY917614 RNU917574:RNU917614 RXQ917574:RXQ917614 SHM917574:SHM917614 SRI917574:SRI917614 TBE917574:TBE917614 TLA917574:TLA917614 TUW917574:TUW917614 UES917574:UES917614 UOO917574:UOO917614 UYK917574:UYK917614 VIG917574:VIG917614 VSC917574:VSC917614 WBY917574:WBY917614 WLU917574:WLU917614 WVQ917574:WVQ917614 I983110:I983150 JE983110:JE983150 TA983110:TA983150 ACW983110:ACW983150 AMS983110:AMS983150 AWO983110:AWO983150 BGK983110:BGK983150 BQG983110:BQG983150 CAC983110:CAC983150 CJY983110:CJY983150 CTU983110:CTU983150 DDQ983110:DDQ983150 DNM983110:DNM983150 DXI983110:DXI983150 EHE983110:EHE983150 ERA983110:ERA983150 FAW983110:FAW983150 FKS983110:FKS983150 FUO983110:FUO983150 GEK983110:GEK983150 GOG983110:GOG983150 GYC983110:GYC983150 HHY983110:HHY983150 HRU983110:HRU983150 IBQ983110:IBQ983150 ILM983110:ILM983150 IVI983110:IVI983150 JFE983110:JFE983150 JPA983110:JPA983150 JYW983110:JYW983150 KIS983110:KIS983150 KSO983110:KSO983150 LCK983110:LCK983150 LMG983110:LMG983150 LWC983110:LWC983150 MFY983110:MFY983150 MPU983110:MPU983150 MZQ983110:MZQ983150 NJM983110:NJM983150 NTI983110:NTI983150 ODE983110:ODE983150 ONA983110:ONA983150 OWW983110:OWW983150 PGS983110:PGS983150 PQO983110:PQO983150 QAK983110:QAK983150 QKG983110:QKG983150 QUC983110:QUC983150 RDY983110:RDY983150 RNU983110:RNU983150 RXQ983110:RXQ983150 SHM983110:SHM983150 SRI983110:SRI983150 TBE983110:TBE983150 TLA983110:TLA983150 TUW983110:TUW983150 UES983110:UES983150 UOO983110:UOO983150 UYK983110:UYK983150 VIG983110:VIG983150 VSC983110:VSC983150 WBY983110:WBY983150 WLU983110:WLU983150 WVQ983110:WVQ983150 VRV983069:VRW983093 JH70:JI110 TD70:TE110 ACZ70:ADA110 AMV70:AMW110 AWR70:AWS110 BGN70:BGO110 BQJ70:BQK110 CAF70:CAG110 CKB70:CKC110 CTX70:CTY110 DDT70:DDU110 DNP70:DNQ110 DXL70:DXM110 EHH70:EHI110 ERD70:ERE110 FAZ70:FBA110 FKV70:FKW110 FUR70:FUS110 GEN70:GEO110 GOJ70:GOK110 GYF70:GYG110 HIB70:HIC110 HRX70:HRY110 IBT70:IBU110 ILP70:ILQ110 IVL70:IVM110 JFH70:JFI110 JPD70:JPE110 JYZ70:JZA110 KIV70:KIW110 KSR70:KSS110 LCN70:LCO110 LMJ70:LMK110 LWF70:LWG110 MGB70:MGC110 MPX70:MPY110 MZT70:MZU110 NJP70:NJQ110 NTL70:NTM110 ODH70:ODI110 OND70:ONE110 OWZ70:OXA110 PGV70:PGW110 PQR70:PQS110 QAN70:QAO110 QKJ70:QKK110 QUF70:QUG110 REB70:REC110 RNX70:RNY110 RXT70:RXU110 SHP70:SHQ110 SRL70:SRM110 TBH70:TBI110 TLD70:TLE110 TUZ70:TVA110 UEV70:UEW110 UOR70:UOS110 UYN70:UYO110 VIJ70:VIK110 VSF70:VSG110 WCB70:WCC110 WLX70:WLY110 WVT70:WVU110 L65606:M65646 JH65606:JI65646 TD65606:TE65646 ACZ65606:ADA65646 AMV65606:AMW65646 AWR65606:AWS65646 BGN65606:BGO65646 BQJ65606:BQK65646 CAF65606:CAG65646 CKB65606:CKC65646 CTX65606:CTY65646 DDT65606:DDU65646 DNP65606:DNQ65646 DXL65606:DXM65646 EHH65606:EHI65646 ERD65606:ERE65646 FAZ65606:FBA65646 FKV65606:FKW65646 FUR65606:FUS65646 GEN65606:GEO65646 GOJ65606:GOK65646 GYF65606:GYG65646 HIB65606:HIC65646 HRX65606:HRY65646 IBT65606:IBU65646 ILP65606:ILQ65646 IVL65606:IVM65646 JFH65606:JFI65646 JPD65606:JPE65646 JYZ65606:JZA65646 KIV65606:KIW65646 KSR65606:KSS65646 LCN65606:LCO65646 LMJ65606:LMK65646 LWF65606:LWG65646 MGB65606:MGC65646 MPX65606:MPY65646 MZT65606:MZU65646 NJP65606:NJQ65646 NTL65606:NTM65646 ODH65606:ODI65646 OND65606:ONE65646 OWZ65606:OXA65646 PGV65606:PGW65646 PQR65606:PQS65646 QAN65606:QAO65646 QKJ65606:QKK65646 QUF65606:QUG65646 REB65606:REC65646 RNX65606:RNY65646 RXT65606:RXU65646 SHP65606:SHQ65646 SRL65606:SRM65646 TBH65606:TBI65646 TLD65606:TLE65646 TUZ65606:TVA65646 UEV65606:UEW65646 UOR65606:UOS65646 UYN65606:UYO65646 VIJ65606:VIK65646 VSF65606:VSG65646 WCB65606:WCC65646 WLX65606:WLY65646 WVT65606:WVU65646 L131142:M131182 JH131142:JI131182 TD131142:TE131182 ACZ131142:ADA131182 AMV131142:AMW131182 AWR131142:AWS131182 BGN131142:BGO131182 BQJ131142:BQK131182 CAF131142:CAG131182 CKB131142:CKC131182 CTX131142:CTY131182 DDT131142:DDU131182 DNP131142:DNQ131182 DXL131142:DXM131182 EHH131142:EHI131182 ERD131142:ERE131182 FAZ131142:FBA131182 FKV131142:FKW131182 FUR131142:FUS131182 GEN131142:GEO131182 GOJ131142:GOK131182 GYF131142:GYG131182 HIB131142:HIC131182 HRX131142:HRY131182 IBT131142:IBU131182 ILP131142:ILQ131182 IVL131142:IVM131182 JFH131142:JFI131182 JPD131142:JPE131182 JYZ131142:JZA131182 KIV131142:KIW131182 KSR131142:KSS131182 LCN131142:LCO131182 LMJ131142:LMK131182 LWF131142:LWG131182 MGB131142:MGC131182 MPX131142:MPY131182 MZT131142:MZU131182 NJP131142:NJQ131182 NTL131142:NTM131182 ODH131142:ODI131182 OND131142:ONE131182 OWZ131142:OXA131182 PGV131142:PGW131182 PQR131142:PQS131182 QAN131142:QAO131182 QKJ131142:QKK131182 QUF131142:QUG131182 REB131142:REC131182 RNX131142:RNY131182 RXT131142:RXU131182 SHP131142:SHQ131182 SRL131142:SRM131182 TBH131142:TBI131182 TLD131142:TLE131182 TUZ131142:TVA131182 UEV131142:UEW131182 UOR131142:UOS131182 UYN131142:UYO131182 VIJ131142:VIK131182 VSF131142:VSG131182 WCB131142:WCC131182 WLX131142:WLY131182 WVT131142:WVU131182 L196678:M196718 JH196678:JI196718 TD196678:TE196718 ACZ196678:ADA196718 AMV196678:AMW196718 AWR196678:AWS196718 BGN196678:BGO196718 BQJ196678:BQK196718 CAF196678:CAG196718 CKB196678:CKC196718 CTX196678:CTY196718 DDT196678:DDU196718 DNP196678:DNQ196718 DXL196678:DXM196718 EHH196678:EHI196718 ERD196678:ERE196718 FAZ196678:FBA196718 FKV196678:FKW196718 FUR196678:FUS196718 GEN196678:GEO196718 GOJ196678:GOK196718 GYF196678:GYG196718 HIB196678:HIC196718 HRX196678:HRY196718 IBT196678:IBU196718 ILP196678:ILQ196718 IVL196678:IVM196718 JFH196678:JFI196718 JPD196678:JPE196718 JYZ196678:JZA196718 KIV196678:KIW196718 KSR196678:KSS196718 LCN196678:LCO196718 LMJ196678:LMK196718 LWF196678:LWG196718 MGB196678:MGC196718 MPX196678:MPY196718 MZT196678:MZU196718 NJP196678:NJQ196718 NTL196678:NTM196718 ODH196678:ODI196718 OND196678:ONE196718 OWZ196678:OXA196718 PGV196678:PGW196718 PQR196678:PQS196718 QAN196678:QAO196718 QKJ196678:QKK196718 QUF196678:QUG196718 REB196678:REC196718 RNX196678:RNY196718 RXT196678:RXU196718 SHP196678:SHQ196718 SRL196678:SRM196718 TBH196678:TBI196718 TLD196678:TLE196718 TUZ196678:TVA196718 UEV196678:UEW196718 UOR196678:UOS196718 UYN196678:UYO196718 VIJ196678:VIK196718 VSF196678:VSG196718 WCB196678:WCC196718 WLX196678:WLY196718 WVT196678:WVU196718 L262214:M262254 JH262214:JI262254 TD262214:TE262254 ACZ262214:ADA262254 AMV262214:AMW262254 AWR262214:AWS262254 BGN262214:BGO262254 BQJ262214:BQK262254 CAF262214:CAG262254 CKB262214:CKC262254 CTX262214:CTY262254 DDT262214:DDU262254 DNP262214:DNQ262254 DXL262214:DXM262254 EHH262214:EHI262254 ERD262214:ERE262254 FAZ262214:FBA262254 FKV262214:FKW262254 FUR262214:FUS262254 GEN262214:GEO262254 GOJ262214:GOK262254 GYF262214:GYG262254 HIB262214:HIC262254 HRX262214:HRY262254 IBT262214:IBU262254 ILP262214:ILQ262254 IVL262214:IVM262254 JFH262214:JFI262254 JPD262214:JPE262254 JYZ262214:JZA262254 KIV262214:KIW262254 KSR262214:KSS262254 LCN262214:LCO262254 LMJ262214:LMK262254 LWF262214:LWG262254 MGB262214:MGC262254 MPX262214:MPY262254 MZT262214:MZU262254 NJP262214:NJQ262254 NTL262214:NTM262254 ODH262214:ODI262254 OND262214:ONE262254 OWZ262214:OXA262254 PGV262214:PGW262254 PQR262214:PQS262254 QAN262214:QAO262254 QKJ262214:QKK262254 QUF262214:QUG262254 REB262214:REC262254 RNX262214:RNY262254 RXT262214:RXU262254 SHP262214:SHQ262254 SRL262214:SRM262254 TBH262214:TBI262254 TLD262214:TLE262254 TUZ262214:TVA262254 UEV262214:UEW262254 UOR262214:UOS262254 UYN262214:UYO262254 VIJ262214:VIK262254 VSF262214:VSG262254 WCB262214:WCC262254 WLX262214:WLY262254 WVT262214:WVU262254 L327750:M327790 JH327750:JI327790 TD327750:TE327790 ACZ327750:ADA327790 AMV327750:AMW327790 AWR327750:AWS327790 BGN327750:BGO327790 BQJ327750:BQK327790 CAF327750:CAG327790 CKB327750:CKC327790 CTX327750:CTY327790 DDT327750:DDU327790 DNP327750:DNQ327790 DXL327750:DXM327790 EHH327750:EHI327790 ERD327750:ERE327790 FAZ327750:FBA327790 FKV327750:FKW327790 FUR327750:FUS327790 GEN327750:GEO327790 GOJ327750:GOK327790 GYF327750:GYG327790 HIB327750:HIC327790 HRX327750:HRY327790 IBT327750:IBU327790 ILP327750:ILQ327790 IVL327750:IVM327790 JFH327750:JFI327790 JPD327750:JPE327790 JYZ327750:JZA327790 KIV327750:KIW327790 KSR327750:KSS327790 LCN327750:LCO327790 LMJ327750:LMK327790 LWF327750:LWG327790 MGB327750:MGC327790 MPX327750:MPY327790 MZT327750:MZU327790 NJP327750:NJQ327790 NTL327750:NTM327790 ODH327750:ODI327790 OND327750:ONE327790 OWZ327750:OXA327790 PGV327750:PGW327790 PQR327750:PQS327790 QAN327750:QAO327790 QKJ327750:QKK327790 QUF327750:QUG327790 REB327750:REC327790 RNX327750:RNY327790 RXT327750:RXU327790 SHP327750:SHQ327790 SRL327750:SRM327790 TBH327750:TBI327790 TLD327750:TLE327790 TUZ327750:TVA327790 UEV327750:UEW327790 UOR327750:UOS327790 UYN327750:UYO327790 VIJ327750:VIK327790 VSF327750:VSG327790 WCB327750:WCC327790 WLX327750:WLY327790 WVT327750:WVU327790 L393286:M393326 JH393286:JI393326 TD393286:TE393326 ACZ393286:ADA393326 AMV393286:AMW393326 AWR393286:AWS393326 BGN393286:BGO393326 BQJ393286:BQK393326 CAF393286:CAG393326 CKB393286:CKC393326 CTX393286:CTY393326 DDT393286:DDU393326 DNP393286:DNQ393326 DXL393286:DXM393326 EHH393286:EHI393326 ERD393286:ERE393326 FAZ393286:FBA393326 FKV393286:FKW393326 FUR393286:FUS393326 GEN393286:GEO393326 GOJ393286:GOK393326 GYF393286:GYG393326 HIB393286:HIC393326 HRX393286:HRY393326 IBT393286:IBU393326 ILP393286:ILQ393326 IVL393286:IVM393326 JFH393286:JFI393326 JPD393286:JPE393326 JYZ393286:JZA393326 KIV393286:KIW393326 KSR393286:KSS393326 LCN393286:LCO393326 LMJ393286:LMK393326 LWF393286:LWG393326 MGB393286:MGC393326 MPX393286:MPY393326 MZT393286:MZU393326 NJP393286:NJQ393326 NTL393286:NTM393326 ODH393286:ODI393326 OND393286:ONE393326 OWZ393286:OXA393326 PGV393286:PGW393326 PQR393286:PQS393326 QAN393286:QAO393326 QKJ393286:QKK393326 QUF393286:QUG393326 REB393286:REC393326 RNX393286:RNY393326 RXT393286:RXU393326 SHP393286:SHQ393326 SRL393286:SRM393326 TBH393286:TBI393326 TLD393286:TLE393326 TUZ393286:TVA393326 UEV393286:UEW393326 UOR393286:UOS393326 UYN393286:UYO393326 VIJ393286:VIK393326 VSF393286:VSG393326 WCB393286:WCC393326 WLX393286:WLY393326 WVT393286:WVU393326 L458822:M458862 JH458822:JI458862 TD458822:TE458862 ACZ458822:ADA458862 AMV458822:AMW458862 AWR458822:AWS458862 BGN458822:BGO458862 BQJ458822:BQK458862 CAF458822:CAG458862 CKB458822:CKC458862 CTX458822:CTY458862 DDT458822:DDU458862 DNP458822:DNQ458862 DXL458822:DXM458862 EHH458822:EHI458862 ERD458822:ERE458862 FAZ458822:FBA458862 FKV458822:FKW458862 FUR458822:FUS458862 GEN458822:GEO458862 GOJ458822:GOK458862 GYF458822:GYG458862 HIB458822:HIC458862 HRX458822:HRY458862 IBT458822:IBU458862 ILP458822:ILQ458862 IVL458822:IVM458862 JFH458822:JFI458862 JPD458822:JPE458862 JYZ458822:JZA458862 KIV458822:KIW458862 KSR458822:KSS458862 LCN458822:LCO458862 LMJ458822:LMK458862 LWF458822:LWG458862 MGB458822:MGC458862 MPX458822:MPY458862 MZT458822:MZU458862 NJP458822:NJQ458862 NTL458822:NTM458862 ODH458822:ODI458862 OND458822:ONE458862 OWZ458822:OXA458862 PGV458822:PGW458862 PQR458822:PQS458862 QAN458822:QAO458862 QKJ458822:QKK458862 QUF458822:QUG458862 REB458822:REC458862 RNX458822:RNY458862 RXT458822:RXU458862 SHP458822:SHQ458862 SRL458822:SRM458862 TBH458822:TBI458862 TLD458822:TLE458862 TUZ458822:TVA458862 UEV458822:UEW458862 UOR458822:UOS458862 UYN458822:UYO458862 VIJ458822:VIK458862 VSF458822:VSG458862 WCB458822:WCC458862 WLX458822:WLY458862 WVT458822:WVU458862 L524358:M524398 JH524358:JI524398 TD524358:TE524398 ACZ524358:ADA524398 AMV524358:AMW524398 AWR524358:AWS524398 BGN524358:BGO524398 BQJ524358:BQK524398 CAF524358:CAG524398 CKB524358:CKC524398 CTX524358:CTY524398 DDT524358:DDU524398 DNP524358:DNQ524398 DXL524358:DXM524398 EHH524358:EHI524398 ERD524358:ERE524398 FAZ524358:FBA524398 FKV524358:FKW524398 FUR524358:FUS524398 GEN524358:GEO524398 GOJ524358:GOK524398 GYF524358:GYG524398 HIB524358:HIC524398 HRX524358:HRY524398 IBT524358:IBU524398 ILP524358:ILQ524398 IVL524358:IVM524398 JFH524358:JFI524398 JPD524358:JPE524398 JYZ524358:JZA524398 KIV524358:KIW524398 KSR524358:KSS524398 LCN524358:LCO524398 LMJ524358:LMK524398 LWF524358:LWG524398 MGB524358:MGC524398 MPX524358:MPY524398 MZT524358:MZU524398 NJP524358:NJQ524398 NTL524358:NTM524398 ODH524358:ODI524398 OND524358:ONE524398 OWZ524358:OXA524398 PGV524358:PGW524398 PQR524358:PQS524398 QAN524358:QAO524398 QKJ524358:QKK524398 QUF524358:QUG524398 REB524358:REC524398 RNX524358:RNY524398 RXT524358:RXU524398 SHP524358:SHQ524398 SRL524358:SRM524398 TBH524358:TBI524398 TLD524358:TLE524398 TUZ524358:TVA524398 UEV524358:UEW524398 UOR524358:UOS524398 UYN524358:UYO524398 VIJ524358:VIK524398 VSF524358:VSG524398 WCB524358:WCC524398 WLX524358:WLY524398 WVT524358:WVU524398 L589894:M589934 JH589894:JI589934 TD589894:TE589934 ACZ589894:ADA589934 AMV589894:AMW589934 AWR589894:AWS589934 BGN589894:BGO589934 BQJ589894:BQK589934 CAF589894:CAG589934 CKB589894:CKC589934 CTX589894:CTY589934 DDT589894:DDU589934 DNP589894:DNQ589934 DXL589894:DXM589934 EHH589894:EHI589934 ERD589894:ERE589934 FAZ589894:FBA589934 FKV589894:FKW589934 FUR589894:FUS589934 GEN589894:GEO589934 GOJ589894:GOK589934 GYF589894:GYG589934 HIB589894:HIC589934 HRX589894:HRY589934 IBT589894:IBU589934 ILP589894:ILQ589934 IVL589894:IVM589934 JFH589894:JFI589934 JPD589894:JPE589934 JYZ589894:JZA589934 KIV589894:KIW589934 KSR589894:KSS589934 LCN589894:LCO589934 LMJ589894:LMK589934 LWF589894:LWG589934 MGB589894:MGC589934 MPX589894:MPY589934 MZT589894:MZU589934 NJP589894:NJQ589934 NTL589894:NTM589934 ODH589894:ODI589934 OND589894:ONE589934 OWZ589894:OXA589934 PGV589894:PGW589934 PQR589894:PQS589934 QAN589894:QAO589934 QKJ589894:QKK589934 QUF589894:QUG589934 REB589894:REC589934 RNX589894:RNY589934 RXT589894:RXU589934 SHP589894:SHQ589934 SRL589894:SRM589934 TBH589894:TBI589934 TLD589894:TLE589934 TUZ589894:TVA589934 UEV589894:UEW589934 UOR589894:UOS589934 UYN589894:UYO589934 VIJ589894:VIK589934 VSF589894:VSG589934 WCB589894:WCC589934 WLX589894:WLY589934 WVT589894:WVU589934 L655430:M655470 JH655430:JI655470 TD655430:TE655470 ACZ655430:ADA655470 AMV655430:AMW655470 AWR655430:AWS655470 BGN655430:BGO655470 BQJ655430:BQK655470 CAF655430:CAG655470 CKB655430:CKC655470 CTX655430:CTY655470 DDT655430:DDU655470 DNP655430:DNQ655470 DXL655430:DXM655470 EHH655430:EHI655470 ERD655430:ERE655470 FAZ655430:FBA655470 FKV655430:FKW655470 FUR655430:FUS655470 GEN655430:GEO655470 GOJ655430:GOK655470 GYF655430:GYG655470 HIB655430:HIC655470 HRX655430:HRY655470 IBT655430:IBU655470 ILP655430:ILQ655470 IVL655430:IVM655470 JFH655430:JFI655470 JPD655430:JPE655470 JYZ655430:JZA655470 KIV655430:KIW655470 KSR655430:KSS655470 LCN655430:LCO655470 LMJ655430:LMK655470 LWF655430:LWG655470 MGB655430:MGC655470 MPX655430:MPY655470 MZT655430:MZU655470 NJP655430:NJQ655470 NTL655430:NTM655470 ODH655430:ODI655470 OND655430:ONE655470 OWZ655430:OXA655470 PGV655430:PGW655470 PQR655430:PQS655470 QAN655430:QAO655470 QKJ655430:QKK655470 QUF655430:QUG655470 REB655430:REC655470 RNX655430:RNY655470 RXT655430:RXU655470 SHP655430:SHQ655470 SRL655430:SRM655470 TBH655430:TBI655470 TLD655430:TLE655470 TUZ655430:TVA655470 UEV655430:UEW655470 UOR655430:UOS655470 UYN655430:UYO655470 VIJ655430:VIK655470 VSF655430:VSG655470 WCB655430:WCC655470 WLX655430:WLY655470 WVT655430:WVU655470 L720966:M721006 JH720966:JI721006 TD720966:TE721006 ACZ720966:ADA721006 AMV720966:AMW721006 AWR720966:AWS721006 BGN720966:BGO721006 BQJ720966:BQK721006 CAF720966:CAG721006 CKB720966:CKC721006 CTX720966:CTY721006 DDT720966:DDU721006 DNP720966:DNQ721006 DXL720966:DXM721006 EHH720966:EHI721006 ERD720966:ERE721006 FAZ720966:FBA721006 FKV720966:FKW721006 FUR720966:FUS721006 GEN720966:GEO721006 GOJ720966:GOK721006 GYF720966:GYG721006 HIB720966:HIC721006 HRX720966:HRY721006 IBT720966:IBU721006 ILP720966:ILQ721006 IVL720966:IVM721006 JFH720966:JFI721006 JPD720966:JPE721006 JYZ720966:JZA721006 KIV720966:KIW721006 KSR720966:KSS721006 LCN720966:LCO721006 LMJ720966:LMK721006 LWF720966:LWG721006 MGB720966:MGC721006 MPX720966:MPY721006 MZT720966:MZU721006 NJP720966:NJQ721006 NTL720966:NTM721006 ODH720966:ODI721006 OND720966:ONE721006 OWZ720966:OXA721006 PGV720966:PGW721006 PQR720966:PQS721006 QAN720966:QAO721006 QKJ720966:QKK721006 QUF720966:QUG721006 REB720966:REC721006 RNX720966:RNY721006 RXT720966:RXU721006 SHP720966:SHQ721006 SRL720966:SRM721006 TBH720966:TBI721006 TLD720966:TLE721006 TUZ720966:TVA721006 UEV720966:UEW721006 UOR720966:UOS721006 UYN720966:UYO721006 VIJ720966:VIK721006 VSF720966:VSG721006 WCB720966:WCC721006 WLX720966:WLY721006 WVT720966:WVU721006 L786502:M786542 JH786502:JI786542 TD786502:TE786542 ACZ786502:ADA786542 AMV786502:AMW786542 AWR786502:AWS786542 BGN786502:BGO786542 BQJ786502:BQK786542 CAF786502:CAG786542 CKB786502:CKC786542 CTX786502:CTY786542 DDT786502:DDU786542 DNP786502:DNQ786542 DXL786502:DXM786542 EHH786502:EHI786542 ERD786502:ERE786542 FAZ786502:FBA786542 FKV786502:FKW786542 FUR786502:FUS786542 GEN786502:GEO786542 GOJ786502:GOK786542 GYF786502:GYG786542 HIB786502:HIC786542 HRX786502:HRY786542 IBT786502:IBU786542 ILP786502:ILQ786542 IVL786502:IVM786542 JFH786502:JFI786542 JPD786502:JPE786542 JYZ786502:JZA786542 KIV786502:KIW786542 KSR786502:KSS786542 LCN786502:LCO786542 LMJ786502:LMK786542 LWF786502:LWG786542 MGB786502:MGC786542 MPX786502:MPY786542 MZT786502:MZU786542 NJP786502:NJQ786542 NTL786502:NTM786542 ODH786502:ODI786542 OND786502:ONE786542 OWZ786502:OXA786542 PGV786502:PGW786542 PQR786502:PQS786542 QAN786502:QAO786542 QKJ786502:QKK786542 QUF786502:QUG786542 REB786502:REC786542 RNX786502:RNY786542 RXT786502:RXU786542 SHP786502:SHQ786542 SRL786502:SRM786542 TBH786502:TBI786542 TLD786502:TLE786542 TUZ786502:TVA786542 UEV786502:UEW786542 UOR786502:UOS786542 UYN786502:UYO786542 VIJ786502:VIK786542 VSF786502:VSG786542 WCB786502:WCC786542 WLX786502:WLY786542 WVT786502:WVU786542 L852038:M852078 JH852038:JI852078 TD852038:TE852078 ACZ852038:ADA852078 AMV852038:AMW852078 AWR852038:AWS852078 BGN852038:BGO852078 BQJ852038:BQK852078 CAF852038:CAG852078 CKB852038:CKC852078 CTX852038:CTY852078 DDT852038:DDU852078 DNP852038:DNQ852078 DXL852038:DXM852078 EHH852038:EHI852078 ERD852038:ERE852078 FAZ852038:FBA852078 FKV852038:FKW852078 FUR852038:FUS852078 GEN852038:GEO852078 GOJ852038:GOK852078 GYF852038:GYG852078 HIB852038:HIC852078 HRX852038:HRY852078 IBT852038:IBU852078 ILP852038:ILQ852078 IVL852038:IVM852078 JFH852038:JFI852078 JPD852038:JPE852078 JYZ852038:JZA852078 KIV852038:KIW852078 KSR852038:KSS852078 LCN852038:LCO852078 LMJ852038:LMK852078 LWF852038:LWG852078 MGB852038:MGC852078 MPX852038:MPY852078 MZT852038:MZU852078 NJP852038:NJQ852078 NTL852038:NTM852078 ODH852038:ODI852078 OND852038:ONE852078 OWZ852038:OXA852078 PGV852038:PGW852078 PQR852038:PQS852078 QAN852038:QAO852078 QKJ852038:QKK852078 QUF852038:QUG852078 REB852038:REC852078 RNX852038:RNY852078 RXT852038:RXU852078 SHP852038:SHQ852078 SRL852038:SRM852078 TBH852038:TBI852078 TLD852038:TLE852078 TUZ852038:TVA852078 UEV852038:UEW852078 UOR852038:UOS852078 UYN852038:UYO852078 VIJ852038:VIK852078 VSF852038:VSG852078 WCB852038:WCC852078 WLX852038:WLY852078 WVT852038:WVU852078 L917574:M917614 JH917574:JI917614 TD917574:TE917614 ACZ917574:ADA917614 AMV917574:AMW917614 AWR917574:AWS917614 BGN917574:BGO917614 BQJ917574:BQK917614 CAF917574:CAG917614 CKB917574:CKC917614 CTX917574:CTY917614 DDT917574:DDU917614 DNP917574:DNQ917614 DXL917574:DXM917614 EHH917574:EHI917614 ERD917574:ERE917614 FAZ917574:FBA917614 FKV917574:FKW917614 FUR917574:FUS917614 GEN917574:GEO917614 GOJ917574:GOK917614 GYF917574:GYG917614 HIB917574:HIC917614 HRX917574:HRY917614 IBT917574:IBU917614 ILP917574:ILQ917614 IVL917574:IVM917614 JFH917574:JFI917614 JPD917574:JPE917614 JYZ917574:JZA917614 KIV917574:KIW917614 KSR917574:KSS917614 LCN917574:LCO917614 LMJ917574:LMK917614 LWF917574:LWG917614 MGB917574:MGC917614 MPX917574:MPY917614 MZT917574:MZU917614 NJP917574:NJQ917614 NTL917574:NTM917614 ODH917574:ODI917614 OND917574:ONE917614 OWZ917574:OXA917614 PGV917574:PGW917614 PQR917574:PQS917614 QAN917574:QAO917614 QKJ917574:QKK917614 QUF917574:QUG917614 REB917574:REC917614 RNX917574:RNY917614 RXT917574:RXU917614 SHP917574:SHQ917614 SRL917574:SRM917614 TBH917574:TBI917614 TLD917574:TLE917614 TUZ917574:TVA917614 UEV917574:UEW917614 UOR917574:UOS917614 UYN917574:UYO917614 VIJ917574:VIK917614 VSF917574:VSG917614 WCB917574:WCC917614 WLX917574:WLY917614 WVT917574:WVU917614 L983110:M983150 JH983110:JI983150 TD983110:TE983150 ACZ983110:ADA983150 AMV983110:AMW983150 AWR983110:AWS983150 BGN983110:BGO983150 BQJ983110:BQK983150 CAF983110:CAG983150 CKB983110:CKC983150 CTX983110:CTY983150 DDT983110:DDU983150 DNP983110:DNQ983150 DXL983110:DXM983150 EHH983110:EHI983150 ERD983110:ERE983150 FAZ983110:FBA983150 FKV983110:FKW983150 FUR983110:FUS983150 GEN983110:GEO983150 GOJ983110:GOK983150 GYF983110:GYG983150 HIB983110:HIC983150 HRX983110:HRY983150 IBT983110:IBU983150 ILP983110:ILQ983150 IVL983110:IVM983150 JFH983110:JFI983150 JPD983110:JPE983150 JYZ983110:JZA983150 KIV983110:KIW983150 KSR983110:KSS983150 LCN983110:LCO983150 LMJ983110:LMK983150 LWF983110:LWG983150 MGB983110:MGC983150 MPX983110:MPY983150 MZT983110:MZU983150 NJP983110:NJQ983150 NTL983110:NTM983150 ODH983110:ODI983150 OND983110:ONE983150 OWZ983110:OXA983150 PGV983110:PGW983150 PQR983110:PQS983150 QAN983110:QAO983150 QKJ983110:QKK983150 QUF983110:QUG983150 REB983110:REC983150 RNX983110:RNY983150 RXT983110:RXU983150 SHP983110:SHQ983150 SRL983110:SRM983150 TBH983110:TBI983150 TLD983110:TLE983150 TUZ983110:TVA983150 UEV983110:UEW983150 UOR983110:UOS983150 UYN983110:UYO983150 VIJ983110:VIK983150 VSF983110:VSG983150 WCB983110:WCC983150 WLX983110:WLY983150 WVT983110:WVU983150 I42:I45 JF86:JG110 TB86:TC110 ACX86:ACY110 AMT86:AMU110 AWP86:AWQ110 BGL86:BGM110 BQH86:BQI110 CAD86:CAE110 CJZ86:CKA110 CTV86:CTW110 DDR86:DDS110 DNN86:DNO110 DXJ86:DXK110 EHF86:EHG110 ERB86:ERC110 FAX86:FAY110 FKT86:FKU110 FUP86:FUQ110 GEL86:GEM110 GOH86:GOI110 GYD86:GYE110 HHZ86:HIA110 HRV86:HRW110 IBR86:IBS110 ILN86:ILO110 IVJ86:IVK110 JFF86:JFG110 JPB86:JPC110 JYX86:JYY110 KIT86:KIU110 KSP86:KSQ110 LCL86:LCM110 LMH86:LMI110 LWD86:LWE110 MFZ86:MGA110 MPV86:MPW110 MZR86:MZS110 NJN86:NJO110 NTJ86:NTK110 ODF86:ODG110 ONB86:ONC110 OWX86:OWY110 PGT86:PGU110 PQP86:PQQ110 QAL86:QAM110 QKH86:QKI110 QUD86:QUE110 RDZ86:REA110 RNV86:RNW110 RXR86:RXS110 SHN86:SHO110 SRJ86:SRK110 TBF86:TBG110 TLB86:TLC110 TUX86:TUY110 UET86:UEU110 UOP86:UOQ110 UYL86:UYM110 VIH86:VII110 VSD86:VSE110 WBZ86:WCA110 WLV86:WLW110 WVR86:WVS110 J65622:K65646 JF65622:JG65646 TB65622:TC65646 ACX65622:ACY65646 AMT65622:AMU65646 AWP65622:AWQ65646 BGL65622:BGM65646 BQH65622:BQI65646 CAD65622:CAE65646 CJZ65622:CKA65646 CTV65622:CTW65646 DDR65622:DDS65646 DNN65622:DNO65646 DXJ65622:DXK65646 EHF65622:EHG65646 ERB65622:ERC65646 FAX65622:FAY65646 FKT65622:FKU65646 FUP65622:FUQ65646 GEL65622:GEM65646 GOH65622:GOI65646 GYD65622:GYE65646 HHZ65622:HIA65646 HRV65622:HRW65646 IBR65622:IBS65646 ILN65622:ILO65646 IVJ65622:IVK65646 JFF65622:JFG65646 JPB65622:JPC65646 JYX65622:JYY65646 KIT65622:KIU65646 KSP65622:KSQ65646 LCL65622:LCM65646 LMH65622:LMI65646 LWD65622:LWE65646 MFZ65622:MGA65646 MPV65622:MPW65646 MZR65622:MZS65646 NJN65622:NJO65646 NTJ65622:NTK65646 ODF65622:ODG65646 ONB65622:ONC65646 OWX65622:OWY65646 PGT65622:PGU65646 PQP65622:PQQ65646 QAL65622:QAM65646 QKH65622:QKI65646 QUD65622:QUE65646 RDZ65622:REA65646 RNV65622:RNW65646 RXR65622:RXS65646 SHN65622:SHO65646 SRJ65622:SRK65646 TBF65622:TBG65646 TLB65622:TLC65646 TUX65622:TUY65646 UET65622:UEU65646 UOP65622:UOQ65646 UYL65622:UYM65646 VIH65622:VII65646 VSD65622:VSE65646 WBZ65622:WCA65646 WLV65622:WLW65646 WVR65622:WVS65646 J131158:K131182 JF131158:JG131182 TB131158:TC131182 ACX131158:ACY131182 AMT131158:AMU131182 AWP131158:AWQ131182 BGL131158:BGM131182 BQH131158:BQI131182 CAD131158:CAE131182 CJZ131158:CKA131182 CTV131158:CTW131182 DDR131158:DDS131182 DNN131158:DNO131182 DXJ131158:DXK131182 EHF131158:EHG131182 ERB131158:ERC131182 FAX131158:FAY131182 FKT131158:FKU131182 FUP131158:FUQ131182 GEL131158:GEM131182 GOH131158:GOI131182 GYD131158:GYE131182 HHZ131158:HIA131182 HRV131158:HRW131182 IBR131158:IBS131182 ILN131158:ILO131182 IVJ131158:IVK131182 JFF131158:JFG131182 JPB131158:JPC131182 JYX131158:JYY131182 KIT131158:KIU131182 KSP131158:KSQ131182 LCL131158:LCM131182 LMH131158:LMI131182 LWD131158:LWE131182 MFZ131158:MGA131182 MPV131158:MPW131182 MZR131158:MZS131182 NJN131158:NJO131182 NTJ131158:NTK131182 ODF131158:ODG131182 ONB131158:ONC131182 OWX131158:OWY131182 PGT131158:PGU131182 PQP131158:PQQ131182 QAL131158:QAM131182 QKH131158:QKI131182 QUD131158:QUE131182 RDZ131158:REA131182 RNV131158:RNW131182 RXR131158:RXS131182 SHN131158:SHO131182 SRJ131158:SRK131182 TBF131158:TBG131182 TLB131158:TLC131182 TUX131158:TUY131182 UET131158:UEU131182 UOP131158:UOQ131182 UYL131158:UYM131182 VIH131158:VII131182 VSD131158:VSE131182 WBZ131158:WCA131182 WLV131158:WLW131182 WVR131158:WVS131182 J196694:K196718 JF196694:JG196718 TB196694:TC196718 ACX196694:ACY196718 AMT196694:AMU196718 AWP196694:AWQ196718 BGL196694:BGM196718 BQH196694:BQI196718 CAD196694:CAE196718 CJZ196694:CKA196718 CTV196694:CTW196718 DDR196694:DDS196718 DNN196694:DNO196718 DXJ196694:DXK196718 EHF196694:EHG196718 ERB196694:ERC196718 FAX196694:FAY196718 FKT196694:FKU196718 FUP196694:FUQ196718 GEL196694:GEM196718 GOH196694:GOI196718 GYD196694:GYE196718 HHZ196694:HIA196718 HRV196694:HRW196718 IBR196694:IBS196718 ILN196694:ILO196718 IVJ196694:IVK196718 JFF196694:JFG196718 JPB196694:JPC196718 JYX196694:JYY196718 KIT196694:KIU196718 KSP196694:KSQ196718 LCL196694:LCM196718 LMH196694:LMI196718 LWD196694:LWE196718 MFZ196694:MGA196718 MPV196694:MPW196718 MZR196694:MZS196718 NJN196694:NJO196718 NTJ196694:NTK196718 ODF196694:ODG196718 ONB196694:ONC196718 OWX196694:OWY196718 PGT196694:PGU196718 PQP196694:PQQ196718 QAL196694:QAM196718 QKH196694:QKI196718 QUD196694:QUE196718 RDZ196694:REA196718 RNV196694:RNW196718 RXR196694:RXS196718 SHN196694:SHO196718 SRJ196694:SRK196718 TBF196694:TBG196718 TLB196694:TLC196718 TUX196694:TUY196718 UET196694:UEU196718 UOP196694:UOQ196718 UYL196694:UYM196718 VIH196694:VII196718 VSD196694:VSE196718 WBZ196694:WCA196718 WLV196694:WLW196718 WVR196694:WVS196718 J262230:K262254 JF262230:JG262254 TB262230:TC262254 ACX262230:ACY262254 AMT262230:AMU262254 AWP262230:AWQ262254 BGL262230:BGM262254 BQH262230:BQI262254 CAD262230:CAE262254 CJZ262230:CKA262254 CTV262230:CTW262254 DDR262230:DDS262254 DNN262230:DNO262254 DXJ262230:DXK262254 EHF262230:EHG262254 ERB262230:ERC262254 FAX262230:FAY262254 FKT262230:FKU262254 FUP262230:FUQ262254 GEL262230:GEM262254 GOH262230:GOI262254 GYD262230:GYE262254 HHZ262230:HIA262254 HRV262230:HRW262254 IBR262230:IBS262254 ILN262230:ILO262254 IVJ262230:IVK262254 JFF262230:JFG262254 JPB262230:JPC262254 JYX262230:JYY262254 KIT262230:KIU262254 KSP262230:KSQ262254 LCL262230:LCM262254 LMH262230:LMI262254 LWD262230:LWE262254 MFZ262230:MGA262254 MPV262230:MPW262254 MZR262230:MZS262254 NJN262230:NJO262254 NTJ262230:NTK262254 ODF262230:ODG262254 ONB262230:ONC262254 OWX262230:OWY262254 PGT262230:PGU262254 PQP262230:PQQ262254 QAL262230:QAM262254 QKH262230:QKI262254 QUD262230:QUE262254 RDZ262230:REA262254 RNV262230:RNW262254 RXR262230:RXS262254 SHN262230:SHO262254 SRJ262230:SRK262254 TBF262230:TBG262254 TLB262230:TLC262254 TUX262230:TUY262254 UET262230:UEU262254 UOP262230:UOQ262254 UYL262230:UYM262254 VIH262230:VII262254 VSD262230:VSE262254 WBZ262230:WCA262254 WLV262230:WLW262254 WVR262230:WVS262254 J327766:K327790 JF327766:JG327790 TB327766:TC327790 ACX327766:ACY327790 AMT327766:AMU327790 AWP327766:AWQ327790 BGL327766:BGM327790 BQH327766:BQI327790 CAD327766:CAE327790 CJZ327766:CKA327790 CTV327766:CTW327790 DDR327766:DDS327790 DNN327766:DNO327790 DXJ327766:DXK327790 EHF327766:EHG327790 ERB327766:ERC327790 FAX327766:FAY327790 FKT327766:FKU327790 FUP327766:FUQ327790 GEL327766:GEM327790 GOH327766:GOI327790 GYD327766:GYE327790 HHZ327766:HIA327790 HRV327766:HRW327790 IBR327766:IBS327790 ILN327766:ILO327790 IVJ327766:IVK327790 JFF327766:JFG327790 JPB327766:JPC327790 JYX327766:JYY327790 KIT327766:KIU327790 KSP327766:KSQ327790 LCL327766:LCM327790 LMH327766:LMI327790 LWD327766:LWE327790 MFZ327766:MGA327790 MPV327766:MPW327790 MZR327766:MZS327790 NJN327766:NJO327790 NTJ327766:NTK327790 ODF327766:ODG327790 ONB327766:ONC327790 OWX327766:OWY327790 PGT327766:PGU327790 PQP327766:PQQ327790 QAL327766:QAM327790 QKH327766:QKI327790 QUD327766:QUE327790 RDZ327766:REA327790 RNV327766:RNW327790 RXR327766:RXS327790 SHN327766:SHO327790 SRJ327766:SRK327790 TBF327766:TBG327790 TLB327766:TLC327790 TUX327766:TUY327790 UET327766:UEU327790 UOP327766:UOQ327790 UYL327766:UYM327790 VIH327766:VII327790 VSD327766:VSE327790 WBZ327766:WCA327790 WLV327766:WLW327790 WVR327766:WVS327790 J393302:K393326 JF393302:JG393326 TB393302:TC393326 ACX393302:ACY393326 AMT393302:AMU393326 AWP393302:AWQ393326 BGL393302:BGM393326 BQH393302:BQI393326 CAD393302:CAE393326 CJZ393302:CKA393326 CTV393302:CTW393326 DDR393302:DDS393326 DNN393302:DNO393326 DXJ393302:DXK393326 EHF393302:EHG393326 ERB393302:ERC393326 FAX393302:FAY393326 FKT393302:FKU393326 FUP393302:FUQ393326 GEL393302:GEM393326 GOH393302:GOI393326 GYD393302:GYE393326 HHZ393302:HIA393326 HRV393302:HRW393326 IBR393302:IBS393326 ILN393302:ILO393326 IVJ393302:IVK393326 JFF393302:JFG393326 JPB393302:JPC393326 JYX393302:JYY393326 KIT393302:KIU393326 KSP393302:KSQ393326 LCL393302:LCM393326 LMH393302:LMI393326 LWD393302:LWE393326 MFZ393302:MGA393326 MPV393302:MPW393326 MZR393302:MZS393326 NJN393302:NJO393326 NTJ393302:NTK393326 ODF393302:ODG393326 ONB393302:ONC393326 OWX393302:OWY393326 PGT393302:PGU393326 PQP393302:PQQ393326 QAL393302:QAM393326 QKH393302:QKI393326 QUD393302:QUE393326 RDZ393302:REA393326 RNV393302:RNW393326 RXR393302:RXS393326 SHN393302:SHO393326 SRJ393302:SRK393326 TBF393302:TBG393326 TLB393302:TLC393326 TUX393302:TUY393326 UET393302:UEU393326 UOP393302:UOQ393326 UYL393302:UYM393326 VIH393302:VII393326 VSD393302:VSE393326 WBZ393302:WCA393326 WLV393302:WLW393326 WVR393302:WVS393326 J458838:K458862 JF458838:JG458862 TB458838:TC458862 ACX458838:ACY458862 AMT458838:AMU458862 AWP458838:AWQ458862 BGL458838:BGM458862 BQH458838:BQI458862 CAD458838:CAE458862 CJZ458838:CKA458862 CTV458838:CTW458862 DDR458838:DDS458862 DNN458838:DNO458862 DXJ458838:DXK458862 EHF458838:EHG458862 ERB458838:ERC458862 FAX458838:FAY458862 FKT458838:FKU458862 FUP458838:FUQ458862 GEL458838:GEM458862 GOH458838:GOI458862 GYD458838:GYE458862 HHZ458838:HIA458862 HRV458838:HRW458862 IBR458838:IBS458862 ILN458838:ILO458862 IVJ458838:IVK458862 JFF458838:JFG458862 JPB458838:JPC458862 JYX458838:JYY458862 KIT458838:KIU458862 KSP458838:KSQ458862 LCL458838:LCM458862 LMH458838:LMI458862 LWD458838:LWE458862 MFZ458838:MGA458862 MPV458838:MPW458862 MZR458838:MZS458862 NJN458838:NJO458862 NTJ458838:NTK458862 ODF458838:ODG458862 ONB458838:ONC458862 OWX458838:OWY458862 PGT458838:PGU458862 PQP458838:PQQ458862 QAL458838:QAM458862 QKH458838:QKI458862 QUD458838:QUE458862 RDZ458838:REA458862 RNV458838:RNW458862 RXR458838:RXS458862 SHN458838:SHO458862 SRJ458838:SRK458862 TBF458838:TBG458862 TLB458838:TLC458862 TUX458838:TUY458862 UET458838:UEU458862 UOP458838:UOQ458862 UYL458838:UYM458862 VIH458838:VII458862 VSD458838:VSE458862 WBZ458838:WCA458862 WLV458838:WLW458862 WVR458838:WVS458862 J524374:K524398 JF524374:JG524398 TB524374:TC524398 ACX524374:ACY524398 AMT524374:AMU524398 AWP524374:AWQ524398 BGL524374:BGM524398 BQH524374:BQI524398 CAD524374:CAE524398 CJZ524374:CKA524398 CTV524374:CTW524398 DDR524374:DDS524398 DNN524374:DNO524398 DXJ524374:DXK524398 EHF524374:EHG524398 ERB524374:ERC524398 FAX524374:FAY524398 FKT524374:FKU524398 FUP524374:FUQ524398 GEL524374:GEM524398 GOH524374:GOI524398 GYD524374:GYE524398 HHZ524374:HIA524398 HRV524374:HRW524398 IBR524374:IBS524398 ILN524374:ILO524398 IVJ524374:IVK524398 JFF524374:JFG524398 JPB524374:JPC524398 JYX524374:JYY524398 KIT524374:KIU524398 KSP524374:KSQ524398 LCL524374:LCM524398 LMH524374:LMI524398 LWD524374:LWE524398 MFZ524374:MGA524398 MPV524374:MPW524398 MZR524374:MZS524398 NJN524374:NJO524398 NTJ524374:NTK524398 ODF524374:ODG524398 ONB524374:ONC524398 OWX524374:OWY524398 PGT524374:PGU524398 PQP524374:PQQ524398 QAL524374:QAM524398 QKH524374:QKI524398 QUD524374:QUE524398 RDZ524374:REA524398 RNV524374:RNW524398 RXR524374:RXS524398 SHN524374:SHO524398 SRJ524374:SRK524398 TBF524374:TBG524398 TLB524374:TLC524398 TUX524374:TUY524398 UET524374:UEU524398 UOP524374:UOQ524398 UYL524374:UYM524398 VIH524374:VII524398 VSD524374:VSE524398 WBZ524374:WCA524398 WLV524374:WLW524398 WVR524374:WVS524398 J589910:K589934 JF589910:JG589934 TB589910:TC589934 ACX589910:ACY589934 AMT589910:AMU589934 AWP589910:AWQ589934 BGL589910:BGM589934 BQH589910:BQI589934 CAD589910:CAE589934 CJZ589910:CKA589934 CTV589910:CTW589934 DDR589910:DDS589934 DNN589910:DNO589934 DXJ589910:DXK589934 EHF589910:EHG589934 ERB589910:ERC589934 FAX589910:FAY589934 FKT589910:FKU589934 FUP589910:FUQ589934 GEL589910:GEM589934 GOH589910:GOI589934 GYD589910:GYE589934 HHZ589910:HIA589934 HRV589910:HRW589934 IBR589910:IBS589934 ILN589910:ILO589934 IVJ589910:IVK589934 JFF589910:JFG589934 JPB589910:JPC589934 JYX589910:JYY589934 KIT589910:KIU589934 KSP589910:KSQ589934 LCL589910:LCM589934 LMH589910:LMI589934 LWD589910:LWE589934 MFZ589910:MGA589934 MPV589910:MPW589934 MZR589910:MZS589934 NJN589910:NJO589934 NTJ589910:NTK589934 ODF589910:ODG589934 ONB589910:ONC589934 OWX589910:OWY589934 PGT589910:PGU589934 PQP589910:PQQ589934 QAL589910:QAM589934 QKH589910:QKI589934 QUD589910:QUE589934 RDZ589910:REA589934 RNV589910:RNW589934 RXR589910:RXS589934 SHN589910:SHO589934 SRJ589910:SRK589934 TBF589910:TBG589934 TLB589910:TLC589934 TUX589910:TUY589934 UET589910:UEU589934 UOP589910:UOQ589934 UYL589910:UYM589934 VIH589910:VII589934 VSD589910:VSE589934 WBZ589910:WCA589934 WLV589910:WLW589934 WVR589910:WVS589934 J655446:K655470 JF655446:JG655470 TB655446:TC655470 ACX655446:ACY655470 AMT655446:AMU655470 AWP655446:AWQ655470 BGL655446:BGM655470 BQH655446:BQI655470 CAD655446:CAE655470 CJZ655446:CKA655470 CTV655446:CTW655470 DDR655446:DDS655470 DNN655446:DNO655470 DXJ655446:DXK655470 EHF655446:EHG655470 ERB655446:ERC655470 FAX655446:FAY655470 FKT655446:FKU655470 FUP655446:FUQ655470 GEL655446:GEM655470 GOH655446:GOI655470 GYD655446:GYE655470 HHZ655446:HIA655470 HRV655446:HRW655470 IBR655446:IBS655470 ILN655446:ILO655470 IVJ655446:IVK655470 JFF655446:JFG655470 JPB655446:JPC655470 JYX655446:JYY655470 KIT655446:KIU655470 KSP655446:KSQ655470 LCL655446:LCM655470 LMH655446:LMI655470 LWD655446:LWE655470 MFZ655446:MGA655470 MPV655446:MPW655470 MZR655446:MZS655470 NJN655446:NJO655470 NTJ655446:NTK655470 ODF655446:ODG655470 ONB655446:ONC655470 OWX655446:OWY655470 PGT655446:PGU655470 PQP655446:PQQ655470 QAL655446:QAM655470 QKH655446:QKI655470 QUD655446:QUE655470 RDZ655446:REA655470 RNV655446:RNW655470 RXR655446:RXS655470 SHN655446:SHO655470 SRJ655446:SRK655470 TBF655446:TBG655470 TLB655446:TLC655470 TUX655446:TUY655470 UET655446:UEU655470 UOP655446:UOQ655470 UYL655446:UYM655470 VIH655446:VII655470 VSD655446:VSE655470 WBZ655446:WCA655470 WLV655446:WLW655470 WVR655446:WVS655470 J720982:K721006 JF720982:JG721006 TB720982:TC721006 ACX720982:ACY721006 AMT720982:AMU721006 AWP720982:AWQ721006 BGL720982:BGM721006 BQH720982:BQI721006 CAD720982:CAE721006 CJZ720982:CKA721006 CTV720982:CTW721006 DDR720982:DDS721006 DNN720982:DNO721006 DXJ720982:DXK721006 EHF720982:EHG721006 ERB720982:ERC721006 FAX720982:FAY721006 FKT720982:FKU721006 FUP720982:FUQ721006 GEL720982:GEM721006 GOH720982:GOI721006 GYD720982:GYE721006 HHZ720982:HIA721006 HRV720982:HRW721006 IBR720982:IBS721006 ILN720982:ILO721006 IVJ720982:IVK721006 JFF720982:JFG721006 JPB720982:JPC721006 JYX720982:JYY721006 KIT720982:KIU721006 KSP720982:KSQ721006 LCL720982:LCM721006 LMH720982:LMI721006 LWD720982:LWE721006 MFZ720982:MGA721006 MPV720982:MPW721006 MZR720982:MZS721006 NJN720982:NJO721006 NTJ720982:NTK721006 ODF720982:ODG721006 ONB720982:ONC721006 OWX720982:OWY721006 PGT720982:PGU721006 PQP720982:PQQ721006 QAL720982:QAM721006 QKH720982:QKI721006 QUD720982:QUE721006 RDZ720982:REA721006 RNV720982:RNW721006 RXR720982:RXS721006 SHN720982:SHO721006 SRJ720982:SRK721006 TBF720982:TBG721006 TLB720982:TLC721006 TUX720982:TUY721006 UET720982:UEU721006 UOP720982:UOQ721006 UYL720982:UYM721006 VIH720982:VII721006 VSD720982:VSE721006 WBZ720982:WCA721006 WLV720982:WLW721006 WVR720982:WVS721006 J786518:K786542 JF786518:JG786542 TB786518:TC786542 ACX786518:ACY786542 AMT786518:AMU786542 AWP786518:AWQ786542 BGL786518:BGM786542 BQH786518:BQI786542 CAD786518:CAE786542 CJZ786518:CKA786542 CTV786518:CTW786542 DDR786518:DDS786542 DNN786518:DNO786542 DXJ786518:DXK786542 EHF786518:EHG786542 ERB786518:ERC786542 FAX786518:FAY786542 FKT786518:FKU786542 FUP786518:FUQ786542 GEL786518:GEM786542 GOH786518:GOI786542 GYD786518:GYE786542 HHZ786518:HIA786542 HRV786518:HRW786542 IBR786518:IBS786542 ILN786518:ILO786542 IVJ786518:IVK786542 JFF786518:JFG786542 JPB786518:JPC786542 JYX786518:JYY786542 KIT786518:KIU786542 KSP786518:KSQ786542 LCL786518:LCM786542 LMH786518:LMI786542 LWD786518:LWE786542 MFZ786518:MGA786542 MPV786518:MPW786542 MZR786518:MZS786542 NJN786518:NJO786542 NTJ786518:NTK786542 ODF786518:ODG786542 ONB786518:ONC786542 OWX786518:OWY786542 PGT786518:PGU786542 PQP786518:PQQ786542 QAL786518:QAM786542 QKH786518:QKI786542 QUD786518:QUE786542 RDZ786518:REA786542 RNV786518:RNW786542 RXR786518:RXS786542 SHN786518:SHO786542 SRJ786518:SRK786542 TBF786518:TBG786542 TLB786518:TLC786542 TUX786518:TUY786542 UET786518:UEU786542 UOP786518:UOQ786542 UYL786518:UYM786542 VIH786518:VII786542 VSD786518:VSE786542 WBZ786518:WCA786542 WLV786518:WLW786542 WVR786518:WVS786542 J852054:K852078 JF852054:JG852078 TB852054:TC852078 ACX852054:ACY852078 AMT852054:AMU852078 AWP852054:AWQ852078 BGL852054:BGM852078 BQH852054:BQI852078 CAD852054:CAE852078 CJZ852054:CKA852078 CTV852054:CTW852078 DDR852054:DDS852078 DNN852054:DNO852078 DXJ852054:DXK852078 EHF852054:EHG852078 ERB852054:ERC852078 FAX852054:FAY852078 FKT852054:FKU852078 FUP852054:FUQ852078 GEL852054:GEM852078 GOH852054:GOI852078 GYD852054:GYE852078 HHZ852054:HIA852078 HRV852054:HRW852078 IBR852054:IBS852078 ILN852054:ILO852078 IVJ852054:IVK852078 JFF852054:JFG852078 JPB852054:JPC852078 JYX852054:JYY852078 KIT852054:KIU852078 KSP852054:KSQ852078 LCL852054:LCM852078 LMH852054:LMI852078 LWD852054:LWE852078 MFZ852054:MGA852078 MPV852054:MPW852078 MZR852054:MZS852078 NJN852054:NJO852078 NTJ852054:NTK852078 ODF852054:ODG852078 ONB852054:ONC852078 OWX852054:OWY852078 PGT852054:PGU852078 PQP852054:PQQ852078 QAL852054:QAM852078 QKH852054:QKI852078 QUD852054:QUE852078 RDZ852054:REA852078 RNV852054:RNW852078 RXR852054:RXS852078 SHN852054:SHO852078 SRJ852054:SRK852078 TBF852054:TBG852078 TLB852054:TLC852078 TUX852054:TUY852078 UET852054:UEU852078 UOP852054:UOQ852078 UYL852054:UYM852078 VIH852054:VII852078 VSD852054:VSE852078 WBZ852054:WCA852078 WLV852054:WLW852078 WVR852054:WVS852078 J917590:K917614 JF917590:JG917614 TB917590:TC917614 ACX917590:ACY917614 AMT917590:AMU917614 AWP917590:AWQ917614 BGL917590:BGM917614 BQH917590:BQI917614 CAD917590:CAE917614 CJZ917590:CKA917614 CTV917590:CTW917614 DDR917590:DDS917614 DNN917590:DNO917614 DXJ917590:DXK917614 EHF917590:EHG917614 ERB917590:ERC917614 FAX917590:FAY917614 FKT917590:FKU917614 FUP917590:FUQ917614 GEL917590:GEM917614 GOH917590:GOI917614 GYD917590:GYE917614 HHZ917590:HIA917614 HRV917590:HRW917614 IBR917590:IBS917614 ILN917590:ILO917614 IVJ917590:IVK917614 JFF917590:JFG917614 JPB917590:JPC917614 JYX917590:JYY917614 KIT917590:KIU917614 KSP917590:KSQ917614 LCL917590:LCM917614 LMH917590:LMI917614 LWD917590:LWE917614 MFZ917590:MGA917614 MPV917590:MPW917614 MZR917590:MZS917614 NJN917590:NJO917614 NTJ917590:NTK917614 ODF917590:ODG917614 ONB917590:ONC917614 OWX917590:OWY917614 PGT917590:PGU917614 PQP917590:PQQ917614 QAL917590:QAM917614 QKH917590:QKI917614 QUD917590:QUE917614 RDZ917590:REA917614 RNV917590:RNW917614 RXR917590:RXS917614 SHN917590:SHO917614 SRJ917590:SRK917614 TBF917590:TBG917614 TLB917590:TLC917614 TUX917590:TUY917614 UET917590:UEU917614 UOP917590:UOQ917614 UYL917590:UYM917614 VIH917590:VII917614 VSD917590:VSE917614 WBZ917590:WCA917614 WLV917590:WLW917614 WVR917590:WVS917614 J983126:K983150 JF983126:JG983150 TB983126:TC983150 ACX983126:ACY983150 AMT983126:AMU983150 AWP983126:AWQ983150 BGL983126:BGM983150 BQH983126:BQI983150 CAD983126:CAE983150 CJZ983126:CKA983150 CTV983126:CTW983150 DDR983126:DDS983150 DNN983126:DNO983150 DXJ983126:DXK983150 EHF983126:EHG983150 ERB983126:ERC983150 FAX983126:FAY983150 FKT983126:FKU983150 FUP983126:FUQ983150 GEL983126:GEM983150 GOH983126:GOI983150 GYD983126:GYE983150 HHZ983126:HIA983150 HRV983126:HRW983150 IBR983126:IBS983150 ILN983126:ILO983150 IVJ983126:IVK983150 JFF983126:JFG983150 JPB983126:JPC983150 JYX983126:JYY983150 KIT983126:KIU983150 KSP983126:KSQ983150 LCL983126:LCM983150 LMH983126:LMI983150 LWD983126:LWE983150 MFZ983126:MGA983150 MPV983126:MPW983150 MZR983126:MZS983150 NJN983126:NJO983150 NTJ983126:NTK983150 ODF983126:ODG983150 ONB983126:ONC983150 OWX983126:OWY983150 PGT983126:PGU983150 PQP983126:PQQ983150 QAL983126:QAM983150 QKH983126:QKI983150 QUD983126:QUE983150 RDZ983126:REA983150 RNV983126:RNW983150 RXR983126:RXS983150 SHN983126:SHO983150 SRJ983126:SRK983150 TBF983126:TBG983150 TLB983126:TLC983150 TUX983126:TUY983150 UET983126:UEU983150 UOP983126:UOQ983150 UYL983126:UYM983150 VIH983126:VII983150 VSD983126:VSE983150 WBZ983126:WCA983150 WLV983126:WLW983150 WVR983126:WVS983150 JI42:JI53 TE42:TE53 ADA42:ADA53 AMW42:AMW53 AWS42:AWS53 BGO42:BGO53 BQK42:BQK53 CAG42:CAG53 CKC42:CKC53 CTY42:CTY53 DDU42:DDU53 DNQ42:DNQ53 DXM42:DXM53 EHI42:EHI53 ERE42:ERE53 FBA42:FBA53 FKW42:FKW53 FUS42:FUS53 GEO42:GEO53 GOK42:GOK53 GYG42:GYG53 HIC42:HIC53 HRY42:HRY53 IBU42:IBU53 ILQ42:ILQ53 IVM42:IVM53 JFI42:JFI53 JPE42:JPE53 JZA42:JZA53 KIW42:KIW53 KSS42:KSS53 LCO42:LCO53 LMK42:LMK53 LWG42:LWG53 MGC42:MGC53 MPY42:MPY53 MZU42:MZU53 NJQ42:NJQ53 NTM42:NTM53 ODI42:ODI53 ONE42:ONE53 OXA42:OXA53 PGW42:PGW53 PQS42:PQS53 QAO42:QAO53 QKK42:QKK53 QUG42:QUG53 REC42:REC53 RNY42:RNY53 RXU42:RXU53 SHQ42:SHQ53 SRM42:SRM53 TBI42:TBI53 TLE42:TLE53 TVA42:TVA53 UEW42:UEW53 UOS42:UOS53 UYO42:UYO53 VIK42:VIK53 VSG42:VSG53 WCC42:WCC53 WLY42:WLY53 WVU42:WVU53 M65578:M65589 JI65578:JI65589 TE65578:TE65589 ADA65578:ADA65589 AMW65578:AMW65589 AWS65578:AWS65589 BGO65578:BGO65589 BQK65578:BQK65589 CAG65578:CAG65589 CKC65578:CKC65589 CTY65578:CTY65589 DDU65578:DDU65589 DNQ65578:DNQ65589 DXM65578:DXM65589 EHI65578:EHI65589 ERE65578:ERE65589 FBA65578:FBA65589 FKW65578:FKW65589 FUS65578:FUS65589 GEO65578:GEO65589 GOK65578:GOK65589 GYG65578:GYG65589 HIC65578:HIC65589 HRY65578:HRY65589 IBU65578:IBU65589 ILQ65578:ILQ65589 IVM65578:IVM65589 JFI65578:JFI65589 JPE65578:JPE65589 JZA65578:JZA65589 KIW65578:KIW65589 KSS65578:KSS65589 LCO65578:LCO65589 LMK65578:LMK65589 LWG65578:LWG65589 MGC65578:MGC65589 MPY65578:MPY65589 MZU65578:MZU65589 NJQ65578:NJQ65589 NTM65578:NTM65589 ODI65578:ODI65589 ONE65578:ONE65589 OXA65578:OXA65589 PGW65578:PGW65589 PQS65578:PQS65589 QAO65578:QAO65589 QKK65578:QKK65589 QUG65578:QUG65589 REC65578:REC65589 RNY65578:RNY65589 RXU65578:RXU65589 SHQ65578:SHQ65589 SRM65578:SRM65589 TBI65578:TBI65589 TLE65578:TLE65589 TVA65578:TVA65589 UEW65578:UEW65589 UOS65578:UOS65589 UYO65578:UYO65589 VIK65578:VIK65589 VSG65578:VSG65589 WCC65578:WCC65589 WLY65578:WLY65589 WVU65578:WVU65589 M131114:M131125 JI131114:JI131125 TE131114:TE131125 ADA131114:ADA131125 AMW131114:AMW131125 AWS131114:AWS131125 BGO131114:BGO131125 BQK131114:BQK131125 CAG131114:CAG131125 CKC131114:CKC131125 CTY131114:CTY131125 DDU131114:DDU131125 DNQ131114:DNQ131125 DXM131114:DXM131125 EHI131114:EHI131125 ERE131114:ERE131125 FBA131114:FBA131125 FKW131114:FKW131125 FUS131114:FUS131125 GEO131114:GEO131125 GOK131114:GOK131125 GYG131114:GYG131125 HIC131114:HIC131125 HRY131114:HRY131125 IBU131114:IBU131125 ILQ131114:ILQ131125 IVM131114:IVM131125 JFI131114:JFI131125 JPE131114:JPE131125 JZA131114:JZA131125 KIW131114:KIW131125 KSS131114:KSS131125 LCO131114:LCO131125 LMK131114:LMK131125 LWG131114:LWG131125 MGC131114:MGC131125 MPY131114:MPY131125 MZU131114:MZU131125 NJQ131114:NJQ131125 NTM131114:NTM131125 ODI131114:ODI131125 ONE131114:ONE131125 OXA131114:OXA131125 PGW131114:PGW131125 PQS131114:PQS131125 QAO131114:QAO131125 QKK131114:QKK131125 QUG131114:QUG131125 REC131114:REC131125 RNY131114:RNY131125 RXU131114:RXU131125 SHQ131114:SHQ131125 SRM131114:SRM131125 TBI131114:TBI131125 TLE131114:TLE131125 TVA131114:TVA131125 UEW131114:UEW131125 UOS131114:UOS131125 UYO131114:UYO131125 VIK131114:VIK131125 VSG131114:VSG131125 WCC131114:WCC131125 WLY131114:WLY131125 WVU131114:WVU131125 M196650:M196661 JI196650:JI196661 TE196650:TE196661 ADA196650:ADA196661 AMW196650:AMW196661 AWS196650:AWS196661 BGO196650:BGO196661 BQK196650:BQK196661 CAG196650:CAG196661 CKC196650:CKC196661 CTY196650:CTY196661 DDU196650:DDU196661 DNQ196650:DNQ196661 DXM196650:DXM196661 EHI196650:EHI196661 ERE196650:ERE196661 FBA196650:FBA196661 FKW196650:FKW196661 FUS196650:FUS196661 GEO196650:GEO196661 GOK196650:GOK196661 GYG196650:GYG196661 HIC196650:HIC196661 HRY196650:HRY196661 IBU196650:IBU196661 ILQ196650:ILQ196661 IVM196650:IVM196661 JFI196650:JFI196661 JPE196650:JPE196661 JZA196650:JZA196661 KIW196650:KIW196661 KSS196650:KSS196661 LCO196650:LCO196661 LMK196650:LMK196661 LWG196650:LWG196661 MGC196650:MGC196661 MPY196650:MPY196661 MZU196650:MZU196661 NJQ196650:NJQ196661 NTM196650:NTM196661 ODI196650:ODI196661 ONE196650:ONE196661 OXA196650:OXA196661 PGW196650:PGW196661 PQS196650:PQS196661 QAO196650:QAO196661 QKK196650:QKK196661 QUG196650:QUG196661 REC196650:REC196661 RNY196650:RNY196661 RXU196650:RXU196661 SHQ196650:SHQ196661 SRM196650:SRM196661 TBI196650:TBI196661 TLE196650:TLE196661 TVA196650:TVA196661 UEW196650:UEW196661 UOS196650:UOS196661 UYO196650:UYO196661 VIK196650:VIK196661 VSG196650:VSG196661 WCC196650:WCC196661 WLY196650:WLY196661 WVU196650:WVU196661 M262186:M262197 JI262186:JI262197 TE262186:TE262197 ADA262186:ADA262197 AMW262186:AMW262197 AWS262186:AWS262197 BGO262186:BGO262197 BQK262186:BQK262197 CAG262186:CAG262197 CKC262186:CKC262197 CTY262186:CTY262197 DDU262186:DDU262197 DNQ262186:DNQ262197 DXM262186:DXM262197 EHI262186:EHI262197 ERE262186:ERE262197 FBA262186:FBA262197 FKW262186:FKW262197 FUS262186:FUS262197 GEO262186:GEO262197 GOK262186:GOK262197 GYG262186:GYG262197 HIC262186:HIC262197 HRY262186:HRY262197 IBU262186:IBU262197 ILQ262186:ILQ262197 IVM262186:IVM262197 JFI262186:JFI262197 JPE262186:JPE262197 JZA262186:JZA262197 KIW262186:KIW262197 KSS262186:KSS262197 LCO262186:LCO262197 LMK262186:LMK262197 LWG262186:LWG262197 MGC262186:MGC262197 MPY262186:MPY262197 MZU262186:MZU262197 NJQ262186:NJQ262197 NTM262186:NTM262197 ODI262186:ODI262197 ONE262186:ONE262197 OXA262186:OXA262197 PGW262186:PGW262197 PQS262186:PQS262197 QAO262186:QAO262197 QKK262186:QKK262197 QUG262186:QUG262197 REC262186:REC262197 RNY262186:RNY262197 RXU262186:RXU262197 SHQ262186:SHQ262197 SRM262186:SRM262197 TBI262186:TBI262197 TLE262186:TLE262197 TVA262186:TVA262197 UEW262186:UEW262197 UOS262186:UOS262197 UYO262186:UYO262197 VIK262186:VIK262197 VSG262186:VSG262197 WCC262186:WCC262197 WLY262186:WLY262197 WVU262186:WVU262197 M327722:M327733 JI327722:JI327733 TE327722:TE327733 ADA327722:ADA327733 AMW327722:AMW327733 AWS327722:AWS327733 BGO327722:BGO327733 BQK327722:BQK327733 CAG327722:CAG327733 CKC327722:CKC327733 CTY327722:CTY327733 DDU327722:DDU327733 DNQ327722:DNQ327733 DXM327722:DXM327733 EHI327722:EHI327733 ERE327722:ERE327733 FBA327722:FBA327733 FKW327722:FKW327733 FUS327722:FUS327733 GEO327722:GEO327733 GOK327722:GOK327733 GYG327722:GYG327733 HIC327722:HIC327733 HRY327722:HRY327733 IBU327722:IBU327733 ILQ327722:ILQ327733 IVM327722:IVM327733 JFI327722:JFI327733 JPE327722:JPE327733 JZA327722:JZA327733 KIW327722:KIW327733 KSS327722:KSS327733 LCO327722:LCO327733 LMK327722:LMK327733 LWG327722:LWG327733 MGC327722:MGC327733 MPY327722:MPY327733 MZU327722:MZU327733 NJQ327722:NJQ327733 NTM327722:NTM327733 ODI327722:ODI327733 ONE327722:ONE327733 OXA327722:OXA327733 PGW327722:PGW327733 PQS327722:PQS327733 QAO327722:QAO327733 QKK327722:QKK327733 QUG327722:QUG327733 REC327722:REC327733 RNY327722:RNY327733 RXU327722:RXU327733 SHQ327722:SHQ327733 SRM327722:SRM327733 TBI327722:TBI327733 TLE327722:TLE327733 TVA327722:TVA327733 UEW327722:UEW327733 UOS327722:UOS327733 UYO327722:UYO327733 VIK327722:VIK327733 VSG327722:VSG327733 WCC327722:WCC327733 WLY327722:WLY327733 WVU327722:WVU327733 M393258:M393269 JI393258:JI393269 TE393258:TE393269 ADA393258:ADA393269 AMW393258:AMW393269 AWS393258:AWS393269 BGO393258:BGO393269 BQK393258:BQK393269 CAG393258:CAG393269 CKC393258:CKC393269 CTY393258:CTY393269 DDU393258:DDU393269 DNQ393258:DNQ393269 DXM393258:DXM393269 EHI393258:EHI393269 ERE393258:ERE393269 FBA393258:FBA393269 FKW393258:FKW393269 FUS393258:FUS393269 GEO393258:GEO393269 GOK393258:GOK393269 GYG393258:GYG393269 HIC393258:HIC393269 HRY393258:HRY393269 IBU393258:IBU393269 ILQ393258:ILQ393269 IVM393258:IVM393269 JFI393258:JFI393269 JPE393258:JPE393269 JZA393258:JZA393269 KIW393258:KIW393269 KSS393258:KSS393269 LCO393258:LCO393269 LMK393258:LMK393269 LWG393258:LWG393269 MGC393258:MGC393269 MPY393258:MPY393269 MZU393258:MZU393269 NJQ393258:NJQ393269 NTM393258:NTM393269 ODI393258:ODI393269 ONE393258:ONE393269 OXA393258:OXA393269 PGW393258:PGW393269 PQS393258:PQS393269 QAO393258:QAO393269 QKK393258:QKK393269 QUG393258:QUG393269 REC393258:REC393269 RNY393258:RNY393269 RXU393258:RXU393269 SHQ393258:SHQ393269 SRM393258:SRM393269 TBI393258:TBI393269 TLE393258:TLE393269 TVA393258:TVA393269 UEW393258:UEW393269 UOS393258:UOS393269 UYO393258:UYO393269 VIK393258:VIK393269 VSG393258:VSG393269 WCC393258:WCC393269 WLY393258:WLY393269 WVU393258:WVU393269 M458794:M458805 JI458794:JI458805 TE458794:TE458805 ADA458794:ADA458805 AMW458794:AMW458805 AWS458794:AWS458805 BGO458794:BGO458805 BQK458794:BQK458805 CAG458794:CAG458805 CKC458794:CKC458805 CTY458794:CTY458805 DDU458794:DDU458805 DNQ458794:DNQ458805 DXM458794:DXM458805 EHI458794:EHI458805 ERE458794:ERE458805 FBA458794:FBA458805 FKW458794:FKW458805 FUS458794:FUS458805 GEO458794:GEO458805 GOK458794:GOK458805 GYG458794:GYG458805 HIC458794:HIC458805 HRY458794:HRY458805 IBU458794:IBU458805 ILQ458794:ILQ458805 IVM458794:IVM458805 JFI458794:JFI458805 JPE458794:JPE458805 JZA458794:JZA458805 KIW458794:KIW458805 KSS458794:KSS458805 LCO458794:LCO458805 LMK458794:LMK458805 LWG458794:LWG458805 MGC458794:MGC458805 MPY458794:MPY458805 MZU458794:MZU458805 NJQ458794:NJQ458805 NTM458794:NTM458805 ODI458794:ODI458805 ONE458794:ONE458805 OXA458794:OXA458805 PGW458794:PGW458805 PQS458794:PQS458805 QAO458794:QAO458805 QKK458794:QKK458805 QUG458794:QUG458805 REC458794:REC458805 RNY458794:RNY458805 RXU458794:RXU458805 SHQ458794:SHQ458805 SRM458794:SRM458805 TBI458794:TBI458805 TLE458794:TLE458805 TVA458794:TVA458805 UEW458794:UEW458805 UOS458794:UOS458805 UYO458794:UYO458805 VIK458794:VIK458805 VSG458794:VSG458805 WCC458794:WCC458805 WLY458794:WLY458805 WVU458794:WVU458805 M524330:M524341 JI524330:JI524341 TE524330:TE524341 ADA524330:ADA524341 AMW524330:AMW524341 AWS524330:AWS524341 BGO524330:BGO524341 BQK524330:BQK524341 CAG524330:CAG524341 CKC524330:CKC524341 CTY524330:CTY524341 DDU524330:DDU524341 DNQ524330:DNQ524341 DXM524330:DXM524341 EHI524330:EHI524341 ERE524330:ERE524341 FBA524330:FBA524341 FKW524330:FKW524341 FUS524330:FUS524341 GEO524330:GEO524341 GOK524330:GOK524341 GYG524330:GYG524341 HIC524330:HIC524341 HRY524330:HRY524341 IBU524330:IBU524341 ILQ524330:ILQ524341 IVM524330:IVM524341 JFI524330:JFI524341 JPE524330:JPE524341 JZA524330:JZA524341 KIW524330:KIW524341 KSS524330:KSS524341 LCO524330:LCO524341 LMK524330:LMK524341 LWG524330:LWG524341 MGC524330:MGC524341 MPY524330:MPY524341 MZU524330:MZU524341 NJQ524330:NJQ524341 NTM524330:NTM524341 ODI524330:ODI524341 ONE524330:ONE524341 OXA524330:OXA524341 PGW524330:PGW524341 PQS524330:PQS524341 QAO524330:QAO524341 QKK524330:QKK524341 QUG524330:QUG524341 REC524330:REC524341 RNY524330:RNY524341 RXU524330:RXU524341 SHQ524330:SHQ524341 SRM524330:SRM524341 TBI524330:TBI524341 TLE524330:TLE524341 TVA524330:TVA524341 UEW524330:UEW524341 UOS524330:UOS524341 UYO524330:UYO524341 VIK524330:VIK524341 VSG524330:VSG524341 WCC524330:WCC524341 WLY524330:WLY524341 WVU524330:WVU524341 M589866:M589877 JI589866:JI589877 TE589866:TE589877 ADA589866:ADA589877 AMW589866:AMW589877 AWS589866:AWS589877 BGO589866:BGO589877 BQK589866:BQK589877 CAG589866:CAG589877 CKC589866:CKC589877 CTY589866:CTY589877 DDU589866:DDU589877 DNQ589866:DNQ589877 DXM589866:DXM589877 EHI589866:EHI589877 ERE589866:ERE589877 FBA589866:FBA589877 FKW589866:FKW589877 FUS589866:FUS589877 GEO589866:GEO589877 GOK589866:GOK589877 GYG589866:GYG589877 HIC589866:HIC589877 HRY589866:HRY589877 IBU589866:IBU589877 ILQ589866:ILQ589877 IVM589866:IVM589877 JFI589866:JFI589877 JPE589866:JPE589877 JZA589866:JZA589877 KIW589866:KIW589877 KSS589866:KSS589877 LCO589866:LCO589877 LMK589866:LMK589877 LWG589866:LWG589877 MGC589866:MGC589877 MPY589866:MPY589877 MZU589866:MZU589877 NJQ589866:NJQ589877 NTM589866:NTM589877 ODI589866:ODI589877 ONE589866:ONE589877 OXA589866:OXA589877 PGW589866:PGW589877 PQS589866:PQS589877 QAO589866:QAO589877 QKK589866:QKK589877 QUG589866:QUG589877 REC589866:REC589877 RNY589866:RNY589877 RXU589866:RXU589877 SHQ589866:SHQ589877 SRM589866:SRM589877 TBI589866:TBI589877 TLE589866:TLE589877 TVA589866:TVA589877 UEW589866:UEW589877 UOS589866:UOS589877 UYO589866:UYO589877 VIK589866:VIK589877 VSG589866:VSG589877 WCC589866:WCC589877 WLY589866:WLY589877 WVU589866:WVU589877 M655402:M655413 JI655402:JI655413 TE655402:TE655413 ADA655402:ADA655413 AMW655402:AMW655413 AWS655402:AWS655413 BGO655402:BGO655413 BQK655402:BQK655413 CAG655402:CAG655413 CKC655402:CKC655413 CTY655402:CTY655413 DDU655402:DDU655413 DNQ655402:DNQ655413 DXM655402:DXM655413 EHI655402:EHI655413 ERE655402:ERE655413 FBA655402:FBA655413 FKW655402:FKW655413 FUS655402:FUS655413 GEO655402:GEO655413 GOK655402:GOK655413 GYG655402:GYG655413 HIC655402:HIC655413 HRY655402:HRY655413 IBU655402:IBU655413 ILQ655402:ILQ655413 IVM655402:IVM655413 JFI655402:JFI655413 JPE655402:JPE655413 JZA655402:JZA655413 KIW655402:KIW655413 KSS655402:KSS655413 LCO655402:LCO655413 LMK655402:LMK655413 LWG655402:LWG655413 MGC655402:MGC655413 MPY655402:MPY655413 MZU655402:MZU655413 NJQ655402:NJQ655413 NTM655402:NTM655413 ODI655402:ODI655413 ONE655402:ONE655413 OXA655402:OXA655413 PGW655402:PGW655413 PQS655402:PQS655413 QAO655402:QAO655413 QKK655402:QKK655413 QUG655402:QUG655413 REC655402:REC655413 RNY655402:RNY655413 RXU655402:RXU655413 SHQ655402:SHQ655413 SRM655402:SRM655413 TBI655402:TBI655413 TLE655402:TLE655413 TVA655402:TVA655413 UEW655402:UEW655413 UOS655402:UOS655413 UYO655402:UYO655413 VIK655402:VIK655413 VSG655402:VSG655413 WCC655402:WCC655413 WLY655402:WLY655413 WVU655402:WVU655413 M720938:M720949 JI720938:JI720949 TE720938:TE720949 ADA720938:ADA720949 AMW720938:AMW720949 AWS720938:AWS720949 BGO720938:BGO720949 BQK720938:BQK720949 CAG720938:CAG720949 CKC720938:CKC720949 CTY720938:CTY720949 DDU720938:DDU720949 DNQ720938:DNQ720949 DXM720938:DXM720949 EHI720938:EHI720949 ERE720938:ERE720949 FBA720938:FBA720949 FKW720938:FKW720949 FUS720938:FUS720949 GEO720938:GEO720949 GOK720938:GOK720949 GYG720938:GYG720949 HIC720938:HIC720949 HRY720938:HRY720949 IBU720938:IBU720949 ILQ720938:ILQ720949 IVM720938:IVM720949 JFI720938:JFI720949 JPE720938:JPE720949 JZA720938:JZA720949 KIW720938:KIW720949 KSS720938:KSS720949 LCO720938:LCO720949 LMK720938:LMK720949 LWG720938:LWG720949 MGC720938:MGC720949 MPY720938:MPY720949 MZU720938:MZU720949 NJQ720938:NJQ720949 NTM720938:NTM720949 ODI720938:ODI720949 ONE720938:ONE720949 OXA720938:OXA720949 PGW720938:PGW720949 PQS720938:PQS720949 QAO720938:QAO720949 QKK720938:QKK720949 QUG720938:QUG720949 REC720938:REC720949 RNY720938:RNY720949 RXU720938:RXU720949 SHQ720938:SHQ720949 SRM720938:SRM720949 TBI720938:TBI720949 TLE720938:TLE720949 TVA720938:TVA720949 UEW720938:UEW720949 UOS720938:UOS720949 UYO720938:UYO720949 VIK720938:VIK720949 VSG720938:VSG720949 WCC720938:WCC720949 WLY720938:WLY720949 WVU720938:WVU720949 M786474:M786485 JI786474:JI786485 TE786474:TE786485 ADA786474:ADA786485 AMW786474:AMW786485 AWS786474:AWS786485 BGO786474:BGO786485 BQK786474:BQK786485 CAG786474:CAG786485 CKC786474:CKC786485 CTY786474:CTY786485 DDU786474:DDU786485 DNQ786474:DNQ786485 DXM786474:DXM786485 EHI786474:EHI786485 ERE786474:ERE786485 FBA786474:FBA786485 FKW786474:FKW786485 FUS786474:FUS786485 GEO786474:GEO786485 GOK786474:GOK786485 GYG786474:GYG786485 HIC786474:HIC786485 HRY786474:HRY786485 IBU786474:IBU786485 ILQ786474:ILQ786485 IVM786474:IVM786485 JFI786474:JFI786485 JPE786474:JPE786485 JZA786474:JZA786485 KIW786474:KIW786485 KSS786474:KSS786485 LCO786474:LCO786485 LMK786474:LMK786485 LWG786474:LWG786485 MGC786474:MGC786485 MPY786474:MPY786485 MZU786474:MZU786485 NJQ786474:NJQ786485 NTM786474:NTM786485 ODI786474:ODI786485 ONE786474:ONE786485 OXA786474:OXA786485 PGW786474:PGW786485 PQS786474:PQS786485 QAO786474:QAO786485 QKK786474:QKK786485 QUG786474:QUG786485 REC786474:REC786485 RNY786474:RNY786485 RXU786474:RXU786485 SHQ786474:SHQ786485 SRM786474:SRM786485 TBI786474:TBI786485 TLE786474:TLE786485 TVA786474:TVA786485 UEW786474:UEW786485 UOS786474:UOS786485 UYO786474:UYO786485 VIK786474:VIK786485 VSG786474:VSG786485 WCC786474:WCC786485 WLY786474:WLY786485 WVU786474:WVU786485 M852010:M852021 JI852010:JI852021 TE852010:TE852021 ADA852010:ADA852021 AMW852010:AMW852021 AWS852010:AWS852021 BGO852010:BGO852021 BQK852010:BQK852021 CAG852010:CAG852021 CKC852010:CKC852021 CTY852010:CTY852021 DDU852010:DDU852021 DNQ852010:DNQ852021 DXM852010:DXM852021 EHI852010:EHI852021 ERE852010:ERE852021 FBA852010:FBA852021 FKW852010:FKW852021 FUS852010:FUS852021 GEO852010:GEO852021 GOK852010:GOK852021 GYG852010:GYG852021 HIC852010:HIC852021 HRY852010:HRY852021 IBU852010:IBU852021 ILQ852010:ILQ852021 IVM852010:IVM852021 JFI852010:JFI852021 JPE852010:JPE852021 JZA852010:JZA852021 KIW852010:KIW852021 KSS852010:KSS852021 LCO852010:LCO852021 LMK852010:LMK852021 LWG852010:LWG852021 MGC852010:MGC852021 MPY852010:MPY852021 MZU852010:MZU852021 NJQ852010:NJQ852021 NTM852010:NTM852021 ODI852010:ODI852021 ONE852010:ONE852021 OXA852010:OXA852021 PGW852010:PGW852021 PQS852010:PQS852021 QAO852010:QAO852021 QKK852010:QKK852021 QUG852010:QUG852021 REC852010:REC852021 RNY852010:RNY852021 RXU852010:RXU852021 SHQ852010:SHQ852021 SRM852010:SRM852021 TBI852010:TBI852021 TLE852010:TLE852021 TVA852010:TVA852021 UEW852010:UEW852021 UOS852010:UOS852021 UYO852010:UYO852021 VIK852010:VIK852021 VSG852010:VSG852021 WCC852010:WCC852021 WLY852010:WLY852021 WVU852010:WVU852021 M917546:M917557 JI917546:JI917557 TE917546:TE917557 ADA917546:ADA917557 AMW917546:AMW917557 AWS917546:AWS917557 BGO917546:BGO917557 BQK917546:BQK917557 CAG917546:CAG917557 CKC917546:CKC917557 CTY917546:CTY917557 DDU917546:DDU917557 DNQ917546:DNQ917557 DXM917546:DXM917557 EHI917546:EHI917557 ERE917546:ERE917557 FBA917546:FBA917557 FKW917546:FKW917557 FUS917546:FUS917557 GEO917546:GEO917557 GOK917546:GOK917557 GYG917546:GYG917557 HIC917546:HIC917557 HRY917546:HRY917557 IBU917546:IBU917557 ILQ917546:ILQ917557 IVM917546:IVM917557 JFI917546:JFI917557 JPE917546:JPE917557 JZA917546:JZA917557 KIW917546:KIW917557 KSS917546:KSS917557 LCO917546:LCO917557 LMK917546:LMK917557 LWG917546:LWG917557 MGC917546:MGC917557 MPY917546:MPY917557 MZU917546:MZU917557 NJQ917546:NJQ917557 NTM917546:NTM917557 ODI917546:ODI917557 ONE917546:ONE917557 OXA917546:OXA917557 PGW917546:PGW917557 PQS917546:PQS917557 QAO917546:QAO917557 QKK917546:QKK917557 QUG917546:QUG917557 REC917546:REC917557 RNY917546:RNY917557 RXU917546:RXU917557 SHQ917546:SHQ917557 SRM917546:SRM917557 TBI917546:TBI917557 TLE917546:TLE917557 TVA917546:TVA917557 UEW917546:UEW917557 UOS917546:UOS917557 UYO917546:UYO917557 VIK917546:VIK917557 VSG917546:VSG917557 WCC917546:WCC917557 WLY917546:WLY917557 WVU917546:WVU917557 M983082:M983093 JI983082:JI983093 TE983082:TE983093 ADA983082:ADA983093 AMW983082:AMW983093 AWS983082:AWS983093 BGO983082:BGO983093 BQK983082:BQK983093 CAG983082:CAG983093 CKC983082:CKC983093 CTY983082:CTY983093 DDU983082:DDU983093 DNQ983082:DNQ983093 DXM983082:DXM983093 EHI983082:EHI983093 ERE983082:ERE983093 FBA983082:FBA983093 FKW983082:FKW983093 FUS983082:FUS983093 GEO983082:GEO983093 GOK983082:GOK983093 GYG983082:GYG983093 HIC983082:HIC983093 HRY983082:HRY983093 IBU983082:IBU983093 ILQ983082:ILQ983093 IVM983082:IVM983093 JFI983082:JFI983093 JPE983082:JPE983093 JZA983082:JZA983093 KIW983082:KIW983093 KSS983082:KSS983093 LCO983082:LCO983093 LMK983082:LMK983093 LWG983082:LWG983093 MGC983082:MGC983093 MPY983082:MPY983093 MZU983082:MZU983093 NJQ983082:NJQ983093 NTM983082:NTM983093 ODI983082:ODI983093 ONE983082:ONE983093 OXA983082:OXA983093 PGW983082:PGW983093 PQS983082:PQS983093 QAO983082:QAO983093 QKK983082:QKK983093 QUG983082:QUG983093 REC983082:REC983093 RNY983082:RNY983093 RXU983082:RXU983093 SHQ983082:SHQ983093 SRM983082:SRM983093 TBI983082:TBI983093 TLE983082:TLE983093 TVA983082:TVA983093 UEW983082:UEW983093 UOS983082:UOS983093 UYO983082:UYO983093 VIK983082:VIK983093 VSG983082:VSG983093 WCC983082:WCC983093 WLY983082:WLY983093 WVU983082:WVU983093 IZ42:JD53 SV42:SZ53 ACR42:ACV53 AMN42:AMR53 AWJ42:AWN53 BGF42:BGJ53 BQB42:BQF53 BZX42:CAB53 CJT42:CJX53 CTP42:CTT53 DDL42:DDP53 DNH42:DNL53 DXD42:DXH53 EGZ42:EHD53 EQV42:EQZ53 FAR42:FAV53 FKN42:FKR53 FUJ42:FUN53 GEF42:GEJ53 GOB42:GOF53 GXX42:GYB53 HHT42:HHX53 HRP42:HRT53 IBL42:IBP53 ILH42:ILL53 IVD42:IVH53 JEZ42:JFD53 JOV42:JOZ53 JYR42:JYV53 KIN42:KIR53 KSJ42:KSN53 LCF42:LCJ53 LMB42:LMF53 LVX42:LWB53 MFT42:MFX53 MPP42:MPT53 MZL42:MZP53 NJH42:NJL53 NTD42:NTH53 OCZ42:ODD53 OMV42:OMZ53 OWR42:OWV53 PGN42:PGR53 PQJ42:PQN53 QAF42:QAJ53 QKB42:QKF53 QTX42:QUB53 RDT42:RDX53 RNP42:RNT53 RXL42:RXP53 SHH42:SHL53 SRD42:SRH53 TAZ42:TBD53 TKV42:TKZ53 TUR42:TUV53 UEN42:UER53 UOJ42:UON53 UYF42:UYJ53 VIB42:VIF53 VRX42:VSB53 WBT42:WBX53 WLP42:WLT53 WVL42:WVP53 D65578:H65589 IZ65578:JD65589 SV65578:SZ65589 ACR65578:ACV65589 AMN65578:AMR65589 AWJ65578:AWN65589 BGF65578:BGJ65589 BQB65578:BQF65589 BZX65578:CAB65589 CJT65578:CJX65589 CTP65578:CTT65589 DDL65578:DDP65589 DNH65578:DNL65589 DXD65578:DXH65589 EGZ65578:EHD65589 EQV65578:EQZ65589 FAR65578:FAV65589 FKN65578:FKR65589 FUJ65578:FUN65589 GEF65578:GEJ65589 GOB65578:GOF65589 GXX65578:GYB65589 HHT65578:HHX65589 HRP65578:HRT65589 IBL65578:IBP65589 ILH65578:ILL65589 IVD65578:IVH65589 JEZ65578:JFD65589 JOV65578:JOZ65589 JYR65578:JYV65589 KIN65578:KIR65589 KSJ65578:KSN65589 LCF65578:LCJ65589 LMB65578:LMF65589 LVX65578:LWB65589 MFT65578:MFX65589 MPP65578:MPT65589 MZL65578:MZP65589 NJH65578:NJL65589 NTD65578:NTH65589 OCZ65578:ODD65589 OMV65578:OMZ65589 OWR65578:OWV65589 PGN65578:PGR65589 PQJ65578:PQN65589 QAF65578:QAJ65589 QKB65578:QKF65589 QTX65578:QUB65589 RDT65578:RDX65589 RNP65578:RNT65589 RXL65578:RXP65589 SHH65578:SHL65589 SRD65578:SRH65589 TAZ65578:TBD65589 TKV65578:TKZ65589 TUR65578:TUV65589 UEN65578:UER65589 UOJ65578:UON65589 UYF65578:UYJ65589 VIB65578:VIF65589 VRX65578:VSB65589 WBT65578:WBX65589 WLP65578:WLT65589 WVL65578:WVP65589 D131114:H131125 IZ131114:JD131125 SV131114:SZ131125 ACR131114:ACV131125 AMN131114:AMR131125 AWJ131114:AWN131125 BGF131114:BGJ131125 BQB131114:BQF131125 BZX131114:CAB131125 CJT131114:CJX131125 CTP131114:CTT131125 DDL131114:DDP131125 DNH131114:DNL131125 DXD131114:DXH131125 EGZ131114:EHD131125 EQV131114:EQZ131125 FAR131114:FAV131125 FKN131114:FKR131125 FUJ131114:FUN131125 GEF131114:GEJ131125 GOB131114:GOF131125 GXX131114:GYB131125 HHT131114:HHX131125 HRP131114:HRT131125 IBL131114:IBP131125 ILH131114:ILL131125 IVD131114:IVH131125 JEZ131114:JFD131125 JOV131114:JOZ131125 JYR131114:JYV131125 KIN131114:KIR131125 KSJ131114:KSN131125 LCF131114:LCJ131125 LMB131114:LMF131125 LVX131114:LWB131125 MFT131114:MFX131125 MPP131114:MPT131125 MZL131114:MZP131125 NJH131114:NJL131125 NTD131114:NTH131125 OCZ131114:ODD131125 OMV131114:OMZ131125 OWR131114:OWV131125 PGN131114:PGR131125 PQJ131114:PQN131125 QAF131114:QAJ131125 QKB131114:QKF131125 QTX131114:QUB131125 RDT131114:RDX131125 RNP131114:RNT131125 RXL131114:RXP131125 SHH131114:SHL131125 SRD131114:SRH131125 TAZ131114:TBD131125 TKV131114:TKZ131125 TUR131114:TUV131125 UEN131114:UER131125 UOJ131114:UON131125 UYF131114:UYJ131125 VIB131114:VIF131125 VRX131114:VSB131125 WBT131114:WBX131125 WLP131114:WLT131125 WVL131114:WVP131125 D196650:H196661 IZ196650:JD196661 SV196650:SZ196661 ACR196650:ACV196661 AMN196650:AMR196661 AWJ196650:AWN196661 BGF196650:BGJ196661 BQB196650:BQF196661 BZX196650:CAB196661 CJT196650:CJX196661 CTP196650:CTT196661 DDL196650:DDP196661 DNH196650:DNL196661 DXD196650:DXH196661 EGZ196650:EHD196661 EQV196650:EQZ196661 FAR196650:FAV196661 FKN196650:FKR196661 FUJ196650:FUN196661 GEF196650:GEJ196661 GOB196650:GOF196661 GXX196650:GYB196661 HHT196650:HHX196661 HRP196650:HRT196661 IBL196650:IBP196661 ILH196650:ILL196661 IVD196650:IVH196661 JEZ196650:JFD196661 JOV196650:JOZ196661 JYR196650:JYV196661 KIN196650:KIR196661 KSJ196650:KSN196661 LCF196650:LCJ196661 LMB196650:LMF196661 LVX196650:LWB196661 MFT196650:MFX196661 MPP196650:MPT196661 MZL196650:MZP196661 NJH196650:NJL196661 NTD196650:NTH196661 OCZ196650:ODD196661 OMV196650:OMZ196661 OWR196650:OWV196661 PGN196650:PGR196661 PQJ196650:PQN196661 QAF196650:QAJ196661 QKB196650:QKF196661 QTX196650:QUB196661 RDT196650:RDX196661 RNP196650:RNT196661 RXL196650:RXP196661 SHH196650:SHL196661 SRD196650:SRH196661 TAZ196650:TBD196661 TKV196650:TKZ196661 TUR196650:TUV196661 UEN196650:UER196661 UOJ196650:UON196661 UYF196650:UYJ196661 VIB196650:VIF196661 VRX196650:VSB196661 WBT196650:WBX196661 WLP196650:WLT196661 WVL196650:WVP196661 D262186:H262197 IZ262186:JD262197 SV262186:SZ262197 ACR262186:ACV262197 AMN262186:AMR262197 AWJ262186:AWN262197 BGF262186:BGJ262197 BQB262186:BQF262197 BZX262186:CAB262197 CJT262186:CJX262197 CTP262186:CTT262197 DDL262186:DDP262197 DNH262186:DNL262197 DXD262186:DXH262197 EGZ262186:EHD262197 EQV262186:EQZ262197 FAR262186:FAV262197 FKN262186:FKR262197 FUJ262186:FUN262197 GEF262186:GEJ262197 GOB262186:GOF262197 GXX262186:GYB262197 HHT262186:HHX262197 HRP262186:HRT262197 IBL262186:IBP262197 ILH262186:ILL262197 IVD262186:IVH262197 JEZ262186:JFD262197 JOV262186:JOZ262197 JYR262186:JYV262197 KIN262186:KIR262197 KSJ262186:KSN262197 LCF262186:LCJ262197 LMB262186:LMF262197 LVX262186:LWB262197 MFT262186:MFX262197 MPP262186:MPT262197 MZL262186:MZP262197 NJH262186:NJL262197 NTD262186:NTH262197 OCZ262186:ODD262197 OMV262186:OMZ262197 OWR262186:OWV262197 PGN262186:PGR262197 PQJ262186:PQN262197 QAF262186:QAJ262197 QKB262186:QKF262197 QTX262186:QUB262197 RDT262186:RDX262197 RNP262186:RNT262197 RXL262186:RXP262197 SHH262186:SHL262197 SRD262186:SRH262197 TAZ262186:TBD262197 TKV262186:TKZ262197 TUR262186:TUV262197 UEN262186:UER262197 UOJ262186:UON262197 UYF262186:UYJ262197 VIB262186:VIF262197 VRX262186:VSB262197 WBT262186:WBX262197 WLP262186:WLT262197 WVL262186:WVP262197 D327722:H327733 IZ327722:JD327733 SV327722:SZ327733 ACR327722:ACV327733 AMN327722:AMR327733 AWJ327722:AWN327733 BGF327722:BGJ327733 BQB327722:BQF327733 BZX327722:CAB327733 CJT327722:CJX327733 CTP327722:CTT327733 DDL327722:DDP327733 DNH327722:DNL327733 DXD327722:DXH327733 EGZ327722:EHD327733 EQV327722:EQZ327733 FAR327722:FAV327733 FKN327722:FKR327733 FUJ327722:FUN327733 GEF327722:GEJ327733 GOB327722:GOF327733 GXX327722:GYB327733 HHT327722:HHX327733 HRP327722:HRT327733 IBL327722:IBP327733 ILH327722:ILL327733 IVD327722:IVH327733 JEZ327722:JFD327733 JOV327722:JOZ327733 JYR327722:JYV327733 KIN327722:KIR327733 KSJ327722:KSN327733 LCF327722:LCJ327733 LMB327722:LMF327733 LVX327722:LWB327733 MFT327722:MFX327733 MPP327722:MPT327733 MZL327722:MZP327733 NJH327722:NJL327733 NTD327722:NTH327733 OCZ327722:ODD327733 OMV327722:OMZ327733 OWR327722:OWV327733 PGN327722:PGR327733 PQJ327722:PQN327733 QAF327722:QAJ327733 QKB327722:QKF327733 QTX327722:QUB327733 RDT327722:RDX327733 RNP327722:RNT327733 RXL327722:RXP327733 SHH327722:SHL327733 SRD327722:SRH327733 TAZ327722:TBD327733 TKV327722:TKZ327733 TUR327722:TUV327733 UEN327722:UER327733 UOJ327722:UON327733 UYF327722:UYJ327733 VIB327722:VIF327733 VRX327722:VSB327733 WBT327722:WBX327733 WLP327722:WLT327733 WVL327722:WVP327733 D393258:H393269 IZ393258:JD393269 SV393258:SZ393269 ACR393258:ACV393269 AMN393258:AMR393269 AWJ393258:AWN393269 BGF393258:BGJ393269 BQB393258:BQF393269 BZX393258:CAB393269 CJT393258:CJX393269 CTP393258:CTT393269 DDL393258:DDP393269 DNH393258:DNL393269 DXD393258:DXH393269 EGZ393258:EHD393269 EQV393258:EQZ393269 FAR393258:FAV393269 FKN393258:FKR393269 FUJ393258:FUN393269 GEF393258:GEJ393269 GOB393258:GOF393269 GXX393258:GYB393269 HHT393258:HHX393269 HRP393258:HRT393269 IBL393258:IBP393269 ILH393258:ILL393269 IVD393258:IVH393269 JEZ393258:JFD393269 JOV393258:JOZ393269 JYR393258:JYV393269 KIN393258:KIR393269 KSJ393258:KSN393269 LCF393258:LCJ393269 LMB393258:LMF393269 LVX393258:LWB393269 MFT393258:MFX393269 MPP393258:MPT393269 MZL393258:MZP393269 NJH393258:NJL393269 NTD393258:NTH393269 OCZ393258:ODD393269 OMV393258:OMZ393269 OWR393258:OWV393269 PGN393258:PGR393269 PQJ393258:PQN393269 QAF393258:QAJ393269 QKB393258:QKF393269 QTX393258:QUB393269 RDT393258:RDX393269 RNP393258:RNT393269 RXL393258:RXP393269 SHH393258:SHL393269 SRD393258:SRH393269 TAZ393258:TBD393269 TKV393258:TKZ393269 TUR393258:TUV393269 UEN393258:UER393269 UOJ393258:UON393269 UYF393258:UYJ393269 VIB393258:VIF393269 VRX393258:VSB393269 WBT393258:WBX393269 WLP393258:WLT393269 WVL393258:WVP393269 D458794:H458805 IZ458794:JD458805 SV458794:SZ458805 ACR458794:ACV458805 AMN458794:AMR458805 AWJ458794:AWN458805 BGF458794:BGJ458805 BQB458794:BQF458805 BZX458794:CAB458805 CJT458794:CJX458805 CTP458794:CTT458805 DDL458794:DDP458805 DNH458794:DNL458805 DXD458794:DXH458805 EGZ458794:EHD458805 EQV458794:EQZ458805 FAR458794:FAV458805 FKN458794:FKR458805 FUJ458794:FUN458805 GEF458794:GEJ458805 GOB458794:GOF458805 GXX458794:GYB458805 HHT458794:HHX458805 HRP458794:HRT458805 IBL458794:IBP458805 ILH458794:ILL458805 IVD458794:IVH458805 JEZ458794:JFD458805 JOV458794:JOZ458805 JYR458794:JYV458805 KIN458794:KIR458805 KSJ458794:KSN458805 LCF458794:LCJ458805 LMB458794:LMF458805 LVX458794:LWB458805 MFT458794:MFX458805 MPP458794:MPT458805 MZL458794:MZP458805 NJH458794:NJL458805 NTD458794:NTH458805 OCZ458794:ODD458805 OMV458794:OMZ458805 OWR458794:OWV458805 PGN458794:PGR458805 PQJ458794:PQN458805 QAF458794:QAJ458805 QKB458794:QKF458805 QTX458794:QUB458805 RDT458794:RDX458805 RNP458794:RNT458805 RXL458794:RXP458805 SHH458794:SHL458805 SRD458794:SRH458805 TAZ458794:TBD458805 TKV458794:TKZ458805 TUR458794:TUV458805 UEN458794:UER458805 UOJ458794:UON458805 UYF458794:UYJ458805 VIB458794:VIF458805 VRX458794:VSB458805 WBT458794:WBX458805 WLP458794:WLT458805 WVL458794:WVP458805 D524330:H524341 IZ524330:JD524341 SV524330:SZ524341 ACR524330:ACV524341 AMN524330:AMR524341 AWJ524330:AWN524341 BGF524330:BGJ524341 BQB524330:BQF524341 BZX524330:CAB524341 CJT524330:CJX524341 CTP524330:CTT524341 DDL524330:DDP524341 DNH524330:DNL524341 DXD524330:DXH524341 EGZ524330:EHD524341 EQV524330:EQZ524341 FAR524330:FAV524341 FKN524330:FKR524341 FUJ524330:FUN524341 GEF524330:GEJ524341 GOB524330:GOF524341 GXX524330:GYB524341 HHT524330:HHX524341 HRP524330:HRT524341 IBL524330:IBP524341 ILH524330:ILL524341 IVD524330:IVH524341 JEZ524330:JFD524341 JOV524330:JOZ524341 JYR524330:JYV524341 KIN524330:KIR524341 KSJ524330:KSN524341 LCF524330:LCJ524341 LMB524330:LMF524341 LVX524330:LWB524341 MFT524330:MFX524341 MPP524330:MPT524341 MZL524330:MZP524341 NJH524330:NJL524341 NTD524330:NTH524341 OCZ524330:ODD524341 OMV524330:OMZ524341 OWR524330:OWV524341 PGN524330:PGR524341 PQJ524330:PQN524341 QAF524330:QAJ524341 QKB524330:QKF524341 QTX524330:QUB524341 RDT524330:RDX524341 RNP524330:RNT524341 RXL524330:RXP524341 SHH524330:SHL524341 SRD524330:SRH524341 TAZ524330:TBD524341 TKV524330:TKZ524341 TUR524330:TUV524341 UEN524330:UER524341 UOJ524330:UON524341 UYF524330:UYJ524341 VIB524330:VIF524341 VRX524330:VSB524341 WBT524330:WBX524341 WLP524330:WLT524341 WVL524330:WVP524341 D589866:H589877 IZ589866:JD589877 SV589866:SZ589877 ACR589866:ACV589877 AMN589866:AMR589877 AWJ589866:AWN589877 BGF589866:BGJ589877 BQB589866:BQF589877 BZX589866:CAB589877 CJT589866:CJX589877 CTP589866:CTT589877 DDL589866:DDP589877 DNH589866:DNL589877 DXD589866:DXH589877 EGZ589866:EHD589877 EQV589866:EQZ589877 FAR589866:FAV589877 FKN589866:FKR589877 FUJ589866:FUN589877 GEF589866:GEJ589877 GOB589866:GOF589877 GXX589866:GYB589877 HHT589866:HHX589877 HRP589866:HRT589877 IBL589866:IBP589877 ILH589866:ILL589877 IVD589866:IVH589877 JEZ589866:JFD589877 JOV589866:JOZ589877 JYR589866:JYV589877 KIN589866:KIR589877 KSJ589866:KSN589877 LCF589866:LCJ589877 LMB589866:LMF589877 LVX589866:LWB589877 MFT589866:MFX589877 MPP589866:MPT589877 MZL589866:MZP589877 NJH589866:NJL589877 NTD589866:NTH589877 OCZ589866:ODD589877 OMV589866:OMZ589877 OWR589866:OWV589877 PGN589866:PGR589877 PQJ589866:PQN589877 QAF589866:QAJ589877 QKB589866:QKF589877 QTX589866:QUB589877 RDT589866:RDX589877 RNP589866:RNT589877 RXL589866:RXP589877 SHH589866:SHL589877 SRD589866:SRH589877 TAZ589866:TBD589877 TKV589866:TKZ589877 TUR589866:TUV589877 UEN589866:UER589877 UOJ589866:UON589877 UYF589866:UYJ589877 VIB589866:VIF589877 VRX589866:VSB589877 WBT589866:WBX589877 WLP589866:WLT589877 WVL589866:WVP589877 D655402:H655413 IZ655402:JD655413 SV655402:SZ655413 ACR655402:ACV655413 AMN655402:AMR655413 AWJ655402:AWN655413 BGF655402:BGJ655413 BQB655402:BQF655413 BZX655402:CAB655413 CJT655402:CJX655413 CTP655402:CTT655413 DDL655402:DDP655413 DNH655402:DNL655413 DXD655402:DXH655413 EGZ655402:EHD655413 EQV655402:EQZ655413 FAR655402:FAV655413 FKN655402:FKR655413 FUJ655402:FUN655413 GEF655402:GEJ655413 GOB655402:GOF655413 GXX655402:GYB655413 HHT655402:HHX655413 HRP655402:HRT655413 IBL655402:IBP655413 ILH655402:ILL655413 IVD655402:IVH655413 JEZ655402:JFD655413 JOV655402:JOZ655413 JYR655402:JYV655413 KIN655402:KIR655413 KSJ655402:KSN655413 LCF655402:LCJ655413 LMB655402:LMF655413 LVX655402:LWB655413 MFT655402:MFX655413 MPP655402:MPT655413 MZL655402:MZP655413 NJH655402:NJL655413 NTD655402:NTH655413 OCZ655402:ODD655413 OMV655402:OMZ655413 OWR655402:OWV655413 PGN655402:PGR655413 PQJ655402:PQN655413 QAF655402:QAJ655413 QKB655402:QKF655413 QTX655402:QUB655413 RDT655402:RDX655413 RNP655402:RNT655413 RXL655402:RXP655413 SHH655402:SHL655413 SRD655402:SRH655413 TAZ655402:TBD655413 TKV655402:TKZ655413 TUR655402:TUV655413 UEN655402:UER655413 UOJ655402:UON655413 UYF655402:UYJ655413 VIB655402:VIF655413 VRX655402:VSB655413 WBT655402:WBX655413 WLP655402:WLT655413 WVL655402:WVP655413 D720938:H720949 IZ720938:JD720949 SV720938:SZ720949 ACR720938:ACV720949 AMN720938:AMR720949 AWJ720938:AWN720949 BGF720938:BGJ720949 BQB720938:BQF720949 BZX720938:CAB720949 CJT720938:CJX720949 CTP720938:CTT720949 DDL720938:DDP720949 DNH720938:DNL720949 DXD720938:DXH720949 EGZ720938:EHD720949 EQV720938:EQZ720949 FAR720938:FAV720949 FKN720938:FKR720949 FUJ720938:FUN720949 GEF720938:GEJ720949 GOB720938:GOF720949 GXX720938:GYB720949 HHT720938:HHX720949 HRP720938:HRT720949 IBL720938:IBP720949 ILH720938:ILL720949 IVD720938:IVH720949 JEZ720938:JFD720949 JOV720938:JOZ720949 JYR720938:JYV720949 KIN720938:KIR720949 KSJ720938:KSN720949 LCF720938:LCJ720949 LMB720938:LMF720949 LVX720938:LWB720949 MFT720938:MFX720949 MPP720938:MPT720949 MZL720938:MZP720949 NJH720938:NJL720949 NTD720938:NTH720949 OCZ720938:ODD720949 OMV720938:OMZ720949 OWR720938:OWV720949 PGN720938:PGR720949 PQJ720938:PQN720949 QAF720938:QAJ720949 QKB720938:QKF720949 QTX720938:QUB720949 RDT720938:RDX720949 RNP720938:RNT720949 RXL720938:RXP720949 SHH720938:SHL720949 SRD720938:SRH720949 TAZ720938:TBD720949 TKV720938:TKZ720949 TUR720938:TUV720949 UEN720938:UER720949 UOJ720938:UON720949 UYF720938:UYJ720949 VIB720938:VIF720949 VRX720938:VSB720949 WBT720938:WBX720949 WLP720938:WLT720949 WVL720938:WVP720949 D786474:H786485 IZ786474:JD786485 SV786474:SZ786485 ACR786474:ACV786485 AMN786474:AMR786485 AWJ786474:AWN786485 BGF786474:BGJ786485 BQB786474:BQF786485 BZX786474:CAB786485 CJT786474:CJX786485 CTP786474:CTT786485 DDL786474:DDP786485 DNH786474:DNL786485 DXD786474:DXH786485 EGZ786474:EHD786485 EQV786474:EQZ786485 FAR786474:FAV786485 FKN786474:FKR786485 FUJ786474:FUN786485 GEF786474:GEJ786485 GOB786474:GOF786485 GXX786474:GYB786485 HHT786474:HHX786485 HRP786474:HRT786485 IBL786474:IBP786485 ILH786474:ILL786485 IVD786474:IVH786485 JEZ786474:JFD786485 JOV786474:JOZ786485 JYR786474:JYV786485 KIN786474:KIR786485 KSJ786474:KSN786485 LCF786474:LCJ786485 LMB786474:LMF786485 LVX786474:LWB786485 MFT786474:MFX786485 MPP786474:MPT786485 MZL786474:MZP786485 NJH786474:NJL786485 NTD786474:NTH786485 OCZ786474:ODD786485 OMV786474:OMZ786485 OWR786474:OWV786485 PGN786474:PGR786485 PQJ786474:PQN786485 QAF786474:QAJ786485 QKB786474:QKF786485 QTX786474:QUB786485 RDT786474:RDX786485 RNP786474:RNT786485 RXL786474:RXP786485 SHH786474:SHL786485 SRD786474:SRH786485 TAZ786474:TBD786485 TKV786474:TKZ786485 TUR786474:TUV786485 UEN786474:UER786485 UOJ786474:UON786485 UYF786474:UYJ786485 VIB786474:VIF786485 VRX786474:VSB786485 WBT786474:WBX786485 WLP786474:WLT786485 WVL786474:WVP786485 D852010:H852021 IZ852010:JD852021 SV852010:SZ852021 ACR852010:ACV852021 AMN852010:AMR852021 AWJ852010:AWN852021 BGF852010:BGJ852021 BQB852010:BQF852021 BZX852010:CAB852021 CJT852010:CJX852021 CTP852010:CTT852021 DDL852010:DDP852021 DNH852010:DNL852021 DXD852010:DXH852021 EGZ852010:EHD852021 EQV852010:EQZ852021 FAR852010:FAV852021 FKN852010:FKR852021 FUJ852010:FUN852021 GEF852010:GEJ852021 GOB852010:GOF852021 GXX852010:GYB852021 HHT852010:HHX852021 HRP852010:HRT852021 IBL852010:IBP852021 ILH852010:ILL852021 IVD852010:IVH852021 JEZ852010:JFD852021 JOV852010:JOZ852021 JYR852010:JYV852021 KIN852010:KIR852021 KSJ852010:KSN852021 LCF852010:LCJ852021 LMB852010:LMF852021 LVX852010:LWB852021 MFT852010:MFX852021 MPP852010:MPT852021 MZL852010:MZP852021 NJH852010:NJL852021 NTD852010:NTH852021 OCZ852010:ODD852021 OMV852010:OMZ852021 OWR852010:OWV852021 PGN852010:PGR852021 PQJ852010:PQN852021 QAF852010:QAJ852021 QKB852010:QKF852021 QTX852010:QUB852021 RDT852010:RDX852021 RNP852010:RNT852021 RXL852010:RXP852021 SHH852010:SHL852021 SRD852010:SRH852021 TAZ852010:TBD852021 TKV852010:TKZ852021 TUR852010:TUV852021 UEN852010:UER852021 UOJ852010:UON852021 UYF852010:UYJ852021 VIB852010:VIF852021 VRX852010:VSB852021 WBT852010:WBX852021 WLP852010:WLT852021 WVL852010:WVP852021 D917546:H917557 IZ917546:JD917557 SV917546:SZ917557 ACR917546:ACV917557 AMN917546:AMR917557 AWJ917546:AWN917557 BGF917546:BGJ917557 BQB917546:BQF917557 BZX917546:CAB917557 CJT917546:CJX917557 CTP917546:CTT917557 DDL917546:DDP917557 DNH917546:DNL917557 DXD917546:DXH917557 EGZ917546:EHD917557 EQV917546:EQZ917557 FAR917546:FAV917557 FKN917546:FKR917557 FUJ917546:FUN917557 GEF917546:GEJ917557 GOB917546:GOF917557 GXX917546:GYB917557 HHT917546:HHX917557 HRP917546:HRT917557 IBL917546:IBP917557 ILH917546:ILL917557 IVD917546:IVH917557 JEZ917546:JFD917557 JOV917546:JOZ917557 JYR917546:JYV917557 KIN917546:KIR917557 KSJ917546:KSN917557 LCF917546:LCJ917557 LMB917546:LMF917557 LVX917546:LWB917557 MFT917546:MFX917557 MPP917546:MPT917557 MZL917546:MZP917557 NJH917546:NJL917557 NTD917546:NTH917557 OCZ917546:ODD917557 OMV917546:OMZ917557 OWR917546:OWV917557 PGN917546:PGR917557 PQJ917546:PQN917557 QAF917546:QAJ917557 QKB917546:QKF917557 QTX917546:QUB917557 RDT917546:RDX917557 RNP917546:RNT917557 RXL917546:RXP917557 SHH917546:SHL917557 SRD917546:SRH917557 TAZ917546:TBD917557 TKV917546:TKZ917557 TUR917546:TUV917557 UEN917546:UER917557 UOJ917546:UON917557 UYF917546:UYJ917557 VIB917546:VIF917557 VRX917546:VSB917557 WBT917546:WBX917557 WLP917546:WLT917557 WVL917546:WVP917557 D983082:H983093 IZ983082:JD983093 SV983082:SZ983093 ACR983082:ACV983093 AMN983082:AMR983093 AWJ983082:AWN983093 BGF983082:BGJ983093 BQB983082:BQF983093 BZX983082:CAB983093 CJT983082:CJX983093 CTP983082:CTT983093 DDL983082:DDP983093 DNH983082:DNL983093 DXD983082:DXH983093 EGZ983082:EHD983093 EQV983082:EQZ983093 FAR983082:FAV983093 FKN983082:FKR983093 FUJ983082:FUN983093 GEF983082:GEJ983093 GOB983082:GOF983093 GXX983082:GYB983093 HHT983082:HHX983093 HRP983082:HRT983093 IBL983082:IBP983093 ILH983082:ILL983093 IVD983082:IVH983093 JEZ983082:JFD983093 JOV983082:JOZ983093 JYR983082:JYV983093 KIN983082:KIR983093 KSJ983082:KSN983093 LCF983082:LCJ983093 LMB983082:LMF983093 LVX983082:LWB983093 MFT983082:MFX983093 MPP983082:MPT983093 MZL983082:MZP983093 NJH983082:NJL983093 NTD983082:NTH983093 OCZ983082:ODD983093 OMV983082:OMZ983093 OWR983082:OWV983093 PGN983082:PGR983093 PQJ983082:PQN983093 QAF983082:QAJ983093 QKB983082:QKF983093 QTX983082:QUB983093 RDT983082:RDX983093 RNP983082:RNT983093 RXL983082:RXP983093 SHH983082:SHL983093 SRD983082:SRH983093 TAZ983082:TBD983093 TKV983082:TKZ983093 TUR983082:TUV983093 UEN983082:UER983093 UOJ983082:UON983093 UYF983082:UYJ983093 VIB983082:VIF983093 VRX983082:VSB983093 WBT983082:WBX983093 WLP983082:WLT983093 WVL983082:WVP983093 I47:I53 JE47:JE53 TA47:TA53 ACW47:ACW53 AMS47:AMS53 AWO47:AWO53 BGK47:BGK53 BQG47:BQG53 CAC47:CAC53 CJY47:CJY53 CTU47:CTU53 DDQ47:DDQ53 DNM47:DNM53 DXI47:DXI53 EHE47:EHE53 ERA47:ERA53 FAW47:FAW53 FKS47:FKS53 FUO47:FUO53 GEK47:GEK53 GOG47:GOG53 GYC47:GYC53 HHY47:HHY53 HRU47:HRU53 IBQ47:IBQ53 ILM47:ILM53 IVI47:IVI53 JFE47:JFE53 JPA47:JPA53 JYW47:JYW53 KIS47:KIS53 KSO47:KSO53 LCK47:LCK53 LMG47:LMG53 LWC47:LWC53 MFY47:MFY53 MPU47:MPU53 MZQ47:MZQ53 NJM47:NJM53 NTI47:NTI53 ODE47:ODE53 ONA47:ONA53 OWW47:OWW53 PGS47:PGS53 PQO47:PQO53 QAK47:QAK53 QKG47:QKG53 QUC47:QUC53 RDY47:RDY53 RNU47:RNU53 RXQ47:RXQ53 SHM47:SHM53 SRI47:SRI53 TBE47:TBE53 TLA47:TLA53 TUW47:TUW53 UES47:UES53 UOO47:UOO53 UYK47:UYK53 VIG47:VIG53 VSC47:VSC53 WBY47:WBY53 WLU47:WLU53 WVQ47:WVQ53 I65583:I65589 JE65583:JE65589 TA65583:TA65589 ACW65583:ACW65589 AMS65583:AMS65589 AWO65583:AWO65589 BGK65583:BGK65589 BQG65583:BQG65589 CAC65583:CAC65589 CJY65583:CJY65589 CTU65583:CTU65589 DDQ65583:DDQ65589 DNM65583:DNM65589 DXI65583:DXI65589 EHE65583:EHE65589 ERA65583:ERA65589 FAW65583:FAW65589 FKS65583:FKS65589 FUO65583:FUO65589 GEK65583:GEK65589 GOG65583:GOG65589 GYC65583:GYC65589 HHY65583:HHY65589 HRU65583:HRU65589 IBQ65583:IBQ65589 ILM65583:ILM65589 IVI65583:IVI65589 JFE65583:JFE65589 JPA65583:JPA65589 JYW65583:JYW65589 KIS65583:KIS65589 KSO65583:KSO65589 LCK65583:LCK65589 LMG65583:LMG65589 LWC65583:LWC65589 MFY65583:MFY65589 MPU65583:MPU65589 MZQ65583:MZQ65589 NJM65583:NJM65589 NTI65583:NTI65589 ODE65583:ODE65589 ONA65583:ONA65589 OWW65583:OWW65589 PGS65583:PGS65589 PQO65583:PQO65589 QAK65583:QAK65589 QKG65583:QKG65589 QUC65583:QUC65589 RDY65583:RDY65589 RNU65583:RNU65589 RXQ65583:RXQ65589 SHM65583:SHM65589 SRI65583:SRI65589 TBE65583:TBE65589 TLA65583:TLA65589 TUW65583:TUW65589 UES65583:UES65589 UOO65583:UOO65589 UYK65583:UYK65589 VIG65583:VIG65589 VSC65583:VSC65589 WBY65583:WBY65589 WLU65583:WLU65589 WVQ65583:WVQ65589 I131119:I131125 JE131119:JE131125 TA131119:TA131125 ACW131119:ACW131125 AMS131119:AMS131125 AWO131119:AWO131125 BGK131119:BGK131125 BQG131119:BQG131125 CAC131119:CAC131125 CJY131119:CJY131125 CTU131119:CTU131125 DDQ131119:DDQ131125 DNM131119:DNM131125 DXI131119:DXI131125 EHE131119:EHE131125 ERA131119:ERA131125 FAW131119:FAW131125 FKS131119:FKS131125 FUO131119:FUO131125 GEK131119:GEK131125 GOG131119:GOG131125 GYC131119:GYC131125 HHY131119:HHY131125 HRU131119:HRU131125 IBQ131119:IBQ131125 ILM131119:ILM131125 IVI131119:IVI131125 JFE131119:JFE131125 JPA131119:JPA131125 JYW131119:JYW131125 KIS131119:KIS131125 KSO131119:KSO131125 LCK131119:LCK131125 LMG131119:LMG131125 LWC131119:LWC131125 MFY131119:MFY131125 MPU131119:MPU131125 MZQ131119:MZQ131125 NJM131119:NJM131125 NTI131119:NTI131125 ODE131119:ODE131125 ONA131119:ONA131125 OWW131119:OWW131125 PGS131119:PGS131125 PQO131119:PQO131125 QAK131119:QAK131125 QKG131119:QKG131125 QUC131119:QUC131125 RDY131119:RDY131125 RNU131119:RNU131125 RXQ131119:RXQ131125 SHM131119:SHM131125 SRI131119:SRI131125 TBE131119:TBE131125 TLA131119:TLA131125 TUW131119:TUW131125 UES131119:UES131125 UOO131119:UOO131125 UYK131119:UYK131125 VIG131119:VIG131125 VSC131119:VSC131125 WBY131119:WBY131125 WLU131119:WLU131125 WVQ131119:WVQ131125 I196655:I196661 JE196655:JE196661 TA196655:TA196661 ACW196655:ACW196661 AMS196655:AMS196661 AWO196655:AWO196661 BGK196655:BGK196661 BQG196655:BQG196661 CAC196655:CAC196661 CJY196655:CJY196661 CTU196655:CTU196661 DDQ196655:DDQ196661 DNM196655:DNM196661 DXI196655:DXI196661 EHE196655:EHE196661 ERA196655:ERA196661 FAW196655:FAW196661 FKS196655:FKS196661 FUO196655:FUO196661 GEK196655:GEK196661 GOG196655:GOG196661 GYC196655:GYC196661 HHY196655:HHY196661 HRU196655:HRU196661 IBQ196655:IBQ196661 ILM196655:ILM196661 IVI196655:IVI196661 JFE196655:JFE196661 JPA196655:JPA196661 JYW196655:JYW196661 KIS196655:KIS196661 KSO196655:KSO196661 LCK196655:LCK196661 LMG196655:LMG196661 LWC196655:LWC196661 MFY196655:MFY196661 MPU196655:MPU196661 MZQ196655:MZQ196661 NJM196655:NJM196661 NTI196655:NTI196661 ODE196655:ODE196661 ONA196655:ONA196661 OWW196655:OWW196661 PGS196655:PGS196661 PQO196655:PQO196661 QAK196655:QAK196661 QKG196655:QKG196661 QUC196655:QUC196661 RDY196655:RDY196661 RNU196655:RNU196661 RXQ196655:RXQ196661 SHM196655:SHM196661 SRI196655:SRI196661 TBE196655:TBE196661 TLA196655:TLA196661 TUW196655:TUW196661 UES196655:UES196661 UOO196655:UOO196661 UYK196655:UYK196661 VIG196655:VIG196661 VSC196655:VSC196661 WBY196655:WBY196661 WLU196655:WLU196661 WVQ196655:WVQ196661 I262191:I262197 JE262191:JE262197 TA262191:TA262197 ACW262191:ACW262197 AMS262191:AMS262197 AWO262191:AWO262197 BGK262191:BGK262197 BQG262191:BQG262197 CAC262191:CAC262197 CJY262191:CJY262197 CTU262191:CTU262197 DDQ262191:DDQ262197 DNM262191:DNM262197 DXI262191:DXI262197 EHE262191:EHE262197 ERA262191:ERA262197 FAW262191:FAW262197 FKS262191:FKS262197 FUO262191:FUO262197 GEK262191:GEK262197 GOG262191:GOG262197 GYC262191:GYC262197 HHY262191:HHY262197 HRU262191:HRU262197 IBQ262191:IBQ262197 ILM262191:ILM262197 IVI262191:IVI262197 JFE262191:JFE262197 JPA262191:JPA262197 JYW262191:JYW262197 KIS262191:KIS262197 KSO262191:KSO262197 LCK262191:LCK262197 LMG262191:LMG262197 LWC262191:LWC262197 MFY262191:MFY262197 MPU262191:MPU262197 MZQ262191:MZQ262197 NJM262191:NJM262197 NTI262191:NTI262197 ODE262191:ODE262197 ONA262191:ONA262197 OWW262191:OWW262197 PGS262191:PGS262197 PQO262191:PQO262197 QAK262191:QAK262197 QKG262191:QKG262197 QUC262191:QUC262197 RDY262191:RDY262197 RNU262191:RNU262197 RXQ262191:RXQ262197 SHM262191:SHM262197 SRI262191:SRI262197 TBE262191:TBE262197 TLA262191:TLA262197 TUW262191:TUW262197 UES262191:UES262197 UOO262191:UOO262197 UYK262191:UYK262197 VIG262191:VIG262197 VSC262191:VSC262197 WBY262191:WBY262197 WLU262191:WLU262197 WVQ262191:WVQ262197 I327727:I327733 JE327727:JE327733 TA327727:TA327733 ACW327727:ACW327733 AMS327727:AMS327733 AWO327727:AWO327733 BGK327727:BGK327733 BQG327727:BQG327733 CAC327727:CAC327733 CJY327727:CJY327733 CTU327727:CTU327733 DDQ327727:DDQ327733 DNM327727:DNM327733 DXI327727:DXI327733 EHE327727:EHE327733 ERA327727:ERA327733 FAW327727:FAW327733 FKS327727:FKS327733 FUO327727:FUO327733 GEK327727:GEK327733 GOG327727:GOG327733 GYC327727:GYC327733 HHY327727:HHY327733 HRU327727:HRU327733 IBQ327727:IBQ327733 ILM327727:ILM327733 IVI327727:IVI327733 JFE327727:JFE327733 JPA327727:JPA327733 JYW327727:JYW327733 KIS327727:KIS327733 KSO327727:KSO327733 LCK327727:LCK327733 LMG327727:LMG327733 LWC327727:LWC327733 MFY327727:MFY327733 MPU327727:MPU327733 MZQ327727:MZQ327733 NJM327727:NJM327733 NTI327727:NTI327733 ODE327727:ODE327733 ONA327727:ONA327733 OWW327727:OWW327733 PGS327727:PGS327733 PQO327727:PQO327733 QAK327727:QAK327733 QKG327727:QKG327733 QUC327727:QUC327733 RDY327727:RDY327733 RNU327727:RNU327733 RXQ327727:RXQ327733 SHM327727:SHM327733 SRI327727:SRI327733 TBE327727:TBE327733 TLA327727:TLA327733 TUW327727:TUW327733 UES327727:UES327733 UOO327727:UOO327733 UYK327727:UYK327733 VIG327727:VIG327733 VSC327727:VSC327733 WBY327727:WBY327733 WLU327727:WLU327733 WVQ327727:WVQ327733 I393263:I393269 JE393263:JE393269 TA393263:TA393269 ACW393263:ACW393269 AMS393263:AMS393269 AWO393263:AWO393269 BGK393263:BGK393269 BQG393263:BQG393269 CAC393263:CAC393269 CJY393263:CJY393269 CTU393263:CTU393269 DDQ393263:DDQ393269 DNM393263:DNM393269 DXI393263:DXI393269 EHE393263:EHE393269 ERA393263:ERA393269 FAW393263:FAW393269 FKS393263:FKS393269 FUO393263:FUO393269 GEK393263:GEK393269 GOG393263:GOG393269 GYC393263:GYC393269 HHY393263:HHY393269 HRU393263:HRU393269 IBQ393263:IBQ393269 ILM393263:ILM393269 IVI393263:IVI393269 JFE393263:JFE393269 JPA393263:JPA393269 JYW393263:JYW393269 KIS393263:KIS393269 KSO393263:KSO393269 LCK393263:LCK393269 LMG393263:LMG393269 LWC393263:LWC393269 MFY393263:MFY393269 MPU393263:MPU393269 MZQ393263:MZQ393269 NJM393263:NJM393269 NTI393263:NTI393269 ODE393263:ODE393269 ONA393263:ONA393269 OWW393263:OWW393269 PGS393263:PGS393269 PQO393263:PQO393269 QAK393263:QAK393269 QKG393263:QKG393269 QUC393263:QUC393269 RDY393263:RDY393269 RNU393263:RNU393269 RXQ393263:RXQ393269 SHM393263:SHM393269 SRI393263:SRI393269 TBE393263:TBE393269 TLA393263:TLA393269 TUW393263:TUW393269 UES393263:UES393269 UOO393263:UOO393269 UYK393263:UYK393269 VIG393263:VIG393269 VSC393263:VSC393269 WBY393263:WBY393269 WLU393263:WLU393269 WVQ393263:WVQ393269 I458799:I458805 JE458799:JE458805 TA458799:TA458805 ACW458799:ACW458805 AMS458799:AMS458805 AWO458799:AWO458805 BGK458799:BGK458805 BQG458799:BQG458805 CAC458799:CAC458805 CJY458799:CJY458805 CTU458799:CTU458805 DDQ458799:DDQ458805 DNM458799:DNM458805 DXI458799:DXI458805 EHE458799:EHE458805 ERA458799:ERA458805 FAW458799:FAW458805 FKS458799:FKS458805 FUO458799:FUO458805 GEK458799:GEK458805 GOG458799:GOG458805 GYC458799:GYC458805 HHY458799:HHY458805 HRU458799:HRU458805 IBQ458799:IBQ458805 ILM458799:ILM458805 IVI458799:IVI458805 JFE458799:JFE458805 JPA458799:JPA458805 JYW458799:JYW458805 KIS458799:KIS458805 KSO458799:KSO458805 LCK458799:LCK458805 LMG458799:LMG458805 LWC458799:LWC458805 MFY458799:MFY458805 MPU458799:MPU458805 MZQ458799:MZQ458805 NJM458799:NJM458805 NTI458799:NTI458805 ODE458799:ODE458805 ONA458799:ONA458805 OWW458799:OWW458805 PGS458799:PGS458805 PQO458799:PQO458805 QAK458799:QAK458805 QKG458799:QKG458805 QUC458799:QUC458805 RDY458799:RDY458805 RNU458799:RNU458805 RXQ458799:RXQ458805 SHM458799:SHM458805 SRI458799:SRI458805 TBE458799:TBE458805 TLA458799:TLA458805 TUW458799:TUW458805 UES458799:UES458805 UOO458799:UOO458805 UYK458799:UYK458805 VIG458799:VIG458805 VSC458799:VSC458805 WBY458799:WBY458805 WLU458799:WLU458805 WVQ458799:WVQ458805 I524335:I524341 JE524335:JE524341 TA524335:TA524341 ACW524335:ACW524341 AMS524335:AMS524341 AWO524335:AWO524341 BGK524335:BGK524341 BQG524335:BQG524341 CAC524335:CAC524341 CJY524335:CJY524341 CTU524335:CTU524341 DDQ524335:DDQ524341 DNM524335:DNM524341 DXI524335:DXI524341 EHE524335:EHE524341 ERA524335:ERA524341 FAW524335:FAW524341 FKS524335:FKS524341 FUO524335:FUO524341 GEK524335:GEK524341 GOG524335:GOG524341 GYC524335:GYC524341 HHY524335:HHY524341 HRU524335:HRU524341 IBQ524335:IBQ524341 ILM524335:ILM524341 IVI524335:IVI524341 JFE524335:JFE524341 JPA524335:JPA524341 JYW524335:JYW524341 KIS524335:KIS524341 KSO524335:KSO524341 LCK524335:LCK524341 LMG524335:LMG524341 LWC524335:LWC524341 MFY524335:MFY524341 MPU524335:MPU524341 MZQ524335:MZQ524341 NJM524335:NJM524341 NTI524335:NTI524341 ODE524335:ODE524341 ONA524335:ONA524341 OWW524335:OWW524341 PGS524335:PGS524341 PQO524335:PQO524341 QAK524335:QAK524341 QKG524335:QKG524341 QUC524335:QUC524341 RDY524335:RDY524341 RNU524335:RNU524341 RXQ524335:RXQ524341 SHM524335:SHM524341 SRI524335:SRI524341 TBE524335:TBE524341 TLA524335:TLA524341 TUW524335:TUW524341 UES524335:UES524341 UOO524335:UOO524341 UYK524335:UYK524341 VIG524335:VIG524341 VSC524335:VSC524341 WBY524335:WBY524341 WLU524335:WLU524341 WVQ524335:WVQ524341 I589871:I589877 JE589871:JE589877 TA589871:TA589877 ACW589871:ACW589877 AMS589871:AMS589877 AWO589871:AWO589877 BGK589871:BGK589877 BQG589871:BQG589877 CAC589871:CAC589877 CJY589871:CJY589877 CTU589871:CTU589877 DDQ589871:DDQ589877 DNM589871:DNM589877 DXI589871:DXI589877 EHE589871:EHE589877 ERA589871:ERA589877 FAW589871:FAW589877 FKS589871:FKS589877 FUO589871:FUO589877 GEK589871:GEK589877 GOG589871:GOG589877 GYC589871:GYC589877 HHY589871:HHY589877 HRU589871:HRU589877 IBQ589871:IBQ589877 ILM589871:ILM589877 IVI589871:IVI589877 JFE589871:JFE589877 JPA589871:JPA589877 JYW589871:JYW589877 KIS589871:KIS589877 KSO589871:KSO589877 LCK589871:LCK589877 LMG589871:LMG589877 LWC589871:LWC589877 MFY589871:MFY589877 MPU589871:MPU589877 MZQ589871:MZQ589877 NJM589871:NJM589877 NTI589871:NTI589877 ODE589871:ODE589877 ONA589871:ONA589877 OWW589871:OWW589877 PGS589871:PGS589877 PQO589871:PQO589877 QAK589871:QAK589877 QKG589871:QKG589877 QUC589871:QUC589877 RDY589871:RDY589877 RNU589871:RNU589877 RXQ589871:RXQ589877 SHM589871:SHM589877 SRI589871:SRI589877 TBE589871:TBE589877 TLA589871:TLA589877 TUW589871:TUW589877 UES589871:UES589877 UOO589871:UOO589877 UYK589871:UYK589877 VIG589871:VIG589877 VSC589871:VSC589877 WBY589871:WBY589877 WLU589871:WLU589877 WVQ589871:WVQ589877 I655407:I655413 JE655407:JE655413 TA655407:TA655413 ACW655407:ACW655413 AMS655407:AMS655413 AWO655407:AWO655413 BGK655407:BGK655413 BQG655407:BQG655413 CAC655407:CAC655413 CJY655407:CJY655413 CTU655407:CTU655413 DDQ655407:DDQ655413 DNM655407:DNM655413 DXI655407:DXI655413 EHE655407:EHE655413 ERA655407:ERA655413 FAW655407:FAW655413 FKS655407:FKS655413 FUO655407:FUO655413 GEK655407:GEK655413 GOG655407:GOG655413 GYC655407:GYC655413 HHY655407:HHY655413 HRU655407:HRU655413 IBQ655407:IBQ655413 ILM655407:ILM655413 IVI655407:IVI655413 JFE655407:JFE655413 JPA655407:JPA655413 JYW655407:JYW655413 KIS655407:KIS655413 KSO655407:KSO655413 LCK655407:LCK655413 LMG655407:LMG655413 LWC655407:LWC655413 MFY655407:MFY655413 MPU655407:MPU655413 MZQ655407:MZQ655413 NJM655407:NJM655413 NTI655407:NTI655413 ODE655407:ODE655413 ONA655407:ONA655413 OWW655407:OWW655413 PGS655407:PGS655413 PQO655407:PQO655413 QAK655407:QAK655413 QKG655407:QKG655413 QUC655407:QUC655413 RDY655407:RDY655413 RNU655407:RNU655413 RXQ655407:RXQ655413 SHM655407:SHM655413 SRI655407:SRI655413 TBE655407:TBE655413 TLA655407:TLA655413 TUW655407:TUW655413 UES655407:UES655413 UOO655407:UOO655413 UYK655407:UYK655413 VIG655407:VIG655413 VSC655407:VSC655413 WBY655407:WBY655413 WLU655407:WLU655413 WVQ655407:WVQ655413 I720943:I720949 JE720943:JE720949 TA720943:TA720949 ACW720943:ACW720949 AMS720943:AMS720949 AWO720943:AWO720949 BGK720943:BGK720949 BQG720943:BQG720949 CAC720943:CAC720949 CJY720943:CJY720949 CTU720943:CTU720949 DDQ720943:DDQ720949 DNM720943:DNM720949 DXI720943:DXI720949 EHE720943:EHE720949 ERA720943:ERA720949 FAW720943:FAW720949 FKS720943:FKS720949 FUO720943:FUO720949 GEK720943:GEK720949 GOG720943:GOG720949 GYC720943:GYC720949 HHY720943:HHY720949 HRU720943:HRU720949 IBQ720943:IBQ720949 ILM720943:ILM720949 IVI720943:IVI720949 JFE720943:JFE720949 JPA720943:JPA720949 JYW720943:JYW720949 KIS720943:KIS720949 KSO720943:KSO720949 LCK720943:LCK720949 LMG720943:LMG720949 LWC720943:LWC720949 MFY720943:MFY720949 MPU720943:MPU720949 MZQ720943:MZQ720949 NJM720943:NJM720949 NTI720943:NTI720949 ODE720943:ODE720949 ONA720943:ONA720949 OWW720943:OWW720949 PGS720943:PGS720949 PQO720943:PQO720949 QAK720943:QAK720949 QKG720943:QKG720949 QUC720943:QUC720949 RDY720943:RDY720949 RNU720943:RNU720949 RXQ720943:RXQ720949 SHM720943:SHM720949 SRI720943:SRI720949 TBE720943:TBE720949 TLA720943:TLA720949 TUW720943:TUW720949 UES720943:UES720949 UOO720943:UOO720949 UYK720943:UYK720949 VIG720943:VIG720949 VSC720943:VSC720949 WBY720943:WBY720949 WLU720943:WLU720949 WVQ720943:WVQ720949 I786479:I786485 JE786479:JE786485 TA786479:TA786485 ACW786479:ACW786485 AMS786479:AMS786485 AWO786479:AWO786485 BGK786479:BGK786485 BQG786479:BQG786485 CAC786479:CAC786485 CJY786479:CJY786485 CTU786479:CTU786485 DDQ786479:DDQ786485 DNM786479:DNM786485 DXI786479:DXI786485 EHE786479:EHE786485 ERA786479:ERA786485 FAW786479:FAW786485 FKS786479:FKS786485 FUO786479:FUO786485 GEK786479:GEK786485 GOG786479:GOG786485 GYC786479:GYC786485 HHY786479:HHY786485 HRU786479:HRU786485 IBQ786479:IBQ786485 ILM786479:ILM786485 IVI786479:IVI786485 JFE786479:JFE786485 JPA786479:JPA786485 JYW786479:JYW786485 KIS786479:KIS786485 KSO786479:KSO786485 LCK786479:LCK786485 LMG786479:LMG786485 LWC786479:LWC786485 MFY786479:MFY786485 MPU786479:MPU786485 MZQ786479:MZQ786485 NJM786479:NJM786485 NTI786479:NTI786485 ODE786479:ODE786485 ONA786479:ONA786485 OWW786479:OWW786485 PGS786479:PGS786485 PQO786479:PQO786485 QAK786479:QAK786485 QKG786479:QKG786485 QUC786479:QUC786485 RDY786479:RDY786485 RNU786479:RNU786485 RXQ786479:RXQ786485 SHM786479:SHM786485 SRI786479:SRI786485 TBE786479:TBE786485 TLA786479:TLA786485 TUW786479:TUW786485 UES786479:UES786485 UOO786479:UOO786485 UYK786479:UYK786485 VIG786479:VIG786485 VSC786479:VSC786485 WBY786479:WBY786485 WLU786479:WLU786485 WVQ786479:WVQ786485 I852015:I852021 JE852015:JE852021 TA852015:TA852021 ACW852015:ACW852021 AMS852015:AMS852021 AWO852015:AWO852021 BGK852015:BGK852021 BQG852015:BQG852021 CAC852015:CAC852021 CJY852015:CJY852021 CTU852015:CTU852021 DDQ852015:DDQ852021 DNM852015:DNM852021 DXI852015:DXI852021 EHE852015:EHE852021 ERA852015:ERA852021 FAW852015:FAW852021 FKS852015:FKS852021 FUO852015:FUO852021 GEK852015:GEK852021 GOG852015:GOG852021 GYC852015:GYC852021 HHY852015:HHY852021 HRU852015:HRU852021 IBQ852015:IBQ852021 ILM852015:ILM852021 IVI852015:IVI852021 JFE852015:JFE852021 JPA852015:JPA852021 JYW852015:JYW852021 KIS852015:KIS852021 KSO852015:KSO852021 LCK852015:LCK852021 LMG852015:LMG852021 LWC852015:LWC852021 MFY852015:MFY852021 MPU852015:MPU852021 MZQ852015:MZQ852021 NJM852015:NJM852021 NTI852015:NTI852021 ODE852015:ODE852021 ONA852015:ONA852021 OWW852015:OWW852021 PGS852015:PGS852021 PQO852015:PQO852021 QAK852015:QAK852021 QKG852015:QKG852021 QUC852015:QUC852021 RDY852015:RDY852021 RNU852015:RNU852021 RXQ852015:RXQ852021 SHM852015:SHM852021 SRI852015:SRI852021 TBE852015:TBE852021 TLA852015:TLA852021 TUW852015:TUW852021 UES852015:UES852021 UOO852015:UOO852021 UYK852015:UYK852021 VIG852015:VIG852021 VSC852015:VSC852021 WBY852015:WBY852021 WLU852015:WLU852021 WVQ852015:WVQ852021 I917551:I917557 JE917551:JE917557 TA917551:TA917557 ACW917551:ACW917557 AMS917551:AMS917557 AWO917551:AWO917557 BGK917551:BGK917557 BQG917551:BQG917557 CAC917551:CAC917557 CJY917551:CJY917557 CTU917551:CTU917557 DDQ917551:DDQ917557 DNM917551:DNM917557 DXI917551:DXI917557 EHE917551:EHE917557 ERA917551:ERA917557 FAW917551:FAW917557 FKS917551:FKS917557 FUO917551:FUO917557 GEK917551:GEK917557 GOG917551:GOG917557 GYC917551:GYC917557 HHY917551:HHY917557 HRU917551:HRU917557 IBQ917551:IBQ917557 ILM917551:ILM917557 IVI917551:IVI917557 JFE917551:JFE917557 JPA917551:JPA917557 JYW917551:JYW917557 KIS917551:KIS917557 KSO917551:KSO917557 LCK917551:LCK917557 LMG917551:LMG917557 LWC917551:LWC917557 MFY917551:MFY917557 MPU917551:MPU917557 MZQ917551:MZQ917557 NJM917551:NJM917557 NTI917551:NTI917557 ODE917551:ODE917557 ONA917551:ONA917557 OWW917551:OWW917557 PGS917551:PGS917557 PQO917551:PQO917557 QAK917551:QAK917557 QKG917551:QKG917557 QUC917551:QUC917557 RDY917551:RDY917557 RNU917551:RNU917557 RXQ917551:RXQ917557 SHM917551:SHM917557 SRI917551:SRI917557 TBE917551:TBE917557 TLA917551:TLA917557 TUW917551:TUW917557 UES917551:UES917557 UOO917551:UOO917557 UYK917551:UYK917557 VIG917551:VIG917557 VSC917551:VSC917557 WBY917551:WBY917557 WLU917551:WLU917557 WVQ917551:WVQ917557 I983087:I983093 JE983087:JE983093 TA983087:TA983093 ACW983087:ACW983093 AMS983087:AMS983093 AWO983087:AWO983093 BGK983087:BGK983093 BQG983087:BQG983093 CAC983087:CAC983093 CJY983087:CJY983093 CTU983087:CTU983093 DDQ983087:DDQ983093 DNM983087:DNM983093 DXI983087:DXI983093 EHE983087:EHE983093 ERA983087:ERA983093 FAW983087:FAW983093 FKS983087:FKS983093 FUO983087:FUO983093 GEK983087:GEK983093 GOG983087:GOG983093 GYC983087:GYC983093 HHY983087:HHY983093 HRU983087:HRU983093 IBQ983087:IBQ983093 ILM983087:ILM983093 IVI983087:IVI983093 JFE983087:JFE983093 JPA983087:JPA983093 JYW983087:JYW983093 KIS983087:KIS983093 KSO983087:KSO983093 LCK983087:LCK983093 LMG983087:LMG983093 LWC983087:LWC983093 MFY983087:MFY983093 MPU983087:MPU983093 MZQ983087:MZQ983093 NJM983087:NJM983093 NTI983087:NTI983093 ODE983087:ODE983093 ONA983087:ONA983093 OWW983087:OWW983093 PGS983087:PGS983093 PQO983087:PQO983093 QAK983087:QAK983093 QKG983087:QKG983093 QUC983087:QUC983093 RDY983087:RDY983093 RNU983087:RNU983093 RXQ983087:RXQ983093 SHM983087:SHM983093 SRI983087:SRI983093 TBE983087:TBE983093 TLA983087:TLA983093 TUW983087:TUW983093 UES983087:UES983093 UOO983087:UOO983093 UYK983087:UYK983093 VIG983087:VIG983093 VSC983087:VSC983093 WBY983087:WBY983093 WLU983087:WLU983093 WVQ983087:WVQ983093 JE30:JH31 TA30:TD31 ACW30:ACZ31 AMS30:AMV31 AWO30:AWR31 BGK30:BGN31 BQG30:BQJ31 CAC30:CAF31 CJY30:CKB31 CTU30:CTX31 DDQ30:DDT31 DNM30:DNP31 DXI30:DXL31 EHE30:EHH31 ERA30:ERD31 FAW30:FAZ31 FKS30:FKV31 FUO30:FUR31 GEK30:GEN31 GOG30:GOJ31 GYC30:GYF31 HHY30:HIB31 HRU30:HRX31 IBQ30:IBT31 ILM30:ILP31 IVI30:IVL31 JFE30:JFH31 JPA30:JPD31 JYW30:JYZ31 KIS30:KIV31 KSO30:KSR31 LCK30:LCN31 LMG30:LMJ31 LWC30:LWF31 MFY30:MGB31 MPU30:MPX31 MZQ30:MZT31 NJM30:NJP31 NTI30:NTL31 ODE30:ODH31 ONA30:OND31 OWW30:OWZ31 PGS30:PGV31 PQO30:PQR31 QAK30:QAN31 QKG30:QKJ31 QUC30:QUF31 RDY30:REB31 RNU30:RNX31 RXQ30:RXT31 SHM30:SHP31 SRI30:SRL31 TBE30:TBH31 TLA30:TLD31 TUW30:TUZ31 UES30:UEV31 UOO30:UOR31 UYK30:UYN31 VIG30:VIJ31 VSC30:VSF31 WBY30:WCB31 WLU30:WLX31 WVQ30:WVT31 I65566:L65567 JE65566:JH65567 TA65566:TD65567 ACW65566:ACZ65567 AMS65566:AMV65567 AWO65566:AWR65567 BGK65566:BGN65567 BQG65566:BQJ65567 CAC65566:CAF65567 CJY65566:CKB65567 CTU65566:CTX65567 DDQ65566:DDT65567 DNM65566:DNP65567 DXI65566:DXL65567 EHE65566:EHH65567 ERA65566:ERD65567 FAW65566:FAZ65567 FKS65566:FKV65567 FUO65566:FUR65567 GEK65566:GEN65567 GOG65566:GOJ65567 GYC65566:GYF65567 HHY65566:HIB65567 HRU65566:HRX65567 IBQ65566:IBT65567 ILM65566:ILP65567 IVI65566:IVL65567 JFE65566:JFH65567 JPA65566:JPD65567 JYW65566:JYZ65567 KIS65566:KIV65567 KSO65566:KSR65567 LCK65566:LCN65567 LMG65566:LMJ65567 LWC65566:LWF65567 MFY65566:MGB65567 MPU65566:MPX65567 MZQ65566:MZT65567 NJM65566:NJP65567 NTI65566:NTL65567 ODE65566:ODH65567 ONA65566:OND65567 OWW65566:OWZ65567 PGS65566:PGV65567 PQO65566:PQR65567 QAK65566:QAN65567 QKG65566:QKJ65567 QUC65566:QUF65567 RDY65566:REB65567 RNU65566:RNX65567 RXQ65566:RXT65567 SHM65566:SHP65567 SRI65566:SRL65567 TBE65566:TBH65567 TLA65566:TLD65567 TUW65566:TUZ65567 UES65566:UEV65567 UOO65566:UOR65567 UYK65566:UYN65567 VIG65566:VIJ65567 VSC65566:VSF65567 WBY65566:WCB65567 WLU65566:WLX65567 WVQ65566:WVT65567 I131102:L131103 JE131102:JH131103 TA131102:TD131103 ACW131102:ACZ131103 AMS131102:AMV131103 AWO131102:AWR131103 BGK131102:BGN131103 BQG131102:BQJ131103 CAC131102:CAF131103 CJY131102:CKB131103 CTU131102:CTX131103 DDQ131102:DDT131103 DNM131102:DNP131103 DXI131102:DXL131103 EHE131102:EHH131103 ERA131102:ERD131103 FAW131102:FAZ131103 FKS131102:FKV131103 FUO131102:FUR131103 GEK131102:GEN131103 GOG131102:GOJ131103 GYC131102:GYF131103 HHY131102:HIB131103 HRU131102:HRX131103 IBQ131102:IBT131103 ILM131102:ILP131103 IVI131102:IVL131103 JFE131102:JFH131103 JPA131102:JPD131103 JYW131102:JYZ131103 KIS131102:KIV131103 KSO131102:KSR131103 LCK131102:LCN131103 LMG131102:LMJ131103 LWC131102:LWF131103 MFY131102:MGB131103 MPU131102:MPX131103 MZQ131102:MZT131103 NJM131102:NJP131103 NTI131102:NTL131103 ODE131102:ODH131103 ONA131102:OND131103 OWW131102:OWZ131103 PGS131102:PGV131103 PQO131102:PQR131103 QAK131102:QAN131103 QKG131102:QKJ131103 QUC131102:QUF131103 RDY131102:REB131103 RNU131102:RNX131103 RXQ131102:RXT131103 SHM131102:SHP131103 SRI131102:SRL131103 TBE131102:TBH131103 TLA131102:TLD131103 TUW131102:TUZ131103 UES131102:UEV131103 UOO131102:UOR131103 UYK131102:UYN131103 VIG131102:VIJ131103 VSC131102:VSF131103 WBY131102:WCB131103 WLU131102:WLX131103 WVQ131102:WVT131103 I196638:L196639 JE196638:JH196639 TA196638:TD196639 ACW196638:ACZ196639 AMS196638:AMV196639 AWO196638:AWR196639 BGK196638:BGN196639 BQG196638:BQJ196639 CAC196638:CAF196639 CJY196638:CKB196639 CTU196638:CTX196639 DDQ196638:DDT196639 DNM196638:DNP196639 DXI196638:DXL196639 EHE196638:EHH196639 ERA196638:ERD196639 FAW196638:FAZ196639 FKS196638:FKV196639 FUO196638:FUR196639 GEK196638:GEN196639 GOG196638:GOJ196639 GYC196638:GYF196639 HHY196638:HIB196639 HRU196638:HRX196639 IBQ196638:IBT196639 ILM196638:ILP196639 IVI196638:IVL196639 JFE196638:JFH196639 JPA196638:JPD196639 JYW196638:JYZ196639 KIS196638:KIV196639 KSO196638:KSR196639 LCK196638:LCN196639 LMG196638:LMJ196639 LWC196638:LWF196639 MFY196638:MGB196639 MPU196638:MPX196639 MZQ196638:MZT196639 NJM196638:NJP196639 NTI196638:NTL196639 ODE196638:ODH196639 ONA196638:OND196639 OWW196638:OWZ196639 PGS196638:PGV196639 PQO196638:PQR196639 QAK196638:QAN196639 QKG196638:QKJ196639 QUC196638:QUF196639 RDY196638:REB196639 RNU196638:RNX196639 RXQ196638:RXT196639 SHM196638:SHP196639 SRI196638:SRL196639 TBE196638:TBH196639 TLA196638:TLD196639 TUW196638:TUZ196639 UES196638:UEV196639 UOO196638:UOR196639 UYK196638:UYN196639 VIG196638:VIJ196639 VSC196638:VSF196639 WBY196638:WCB196639 WLU196638:WLX196639 WVQ196638:WVT196639 I262174:L262175 JE262174:JH262175 TA262174:TD262175 ACW262174:ACZ262175 AMS262174:AMV262175 AWO262174:AWR262175 BGK262174:BGN262175 BQG262174:BQJ262175 CAC262174:CAF262175 CJY262174:CKB262175 CTU262174:CTX262175 DDQ262174:DDT262175 DNM262174:DNP262175 DXI262174:DXL262175 EHE262174:EHH262175 ERA262174:ERD262175 FAW262174:FAZ262175 FKS262174:FKV262175 FUO262174:FUR262175 GEK262174:GEN262175 GOG262174:GOJ262175 GYC262174:GYF262175 HHY262174:HIB262175 HRU262174:HRX262175 IBQ262174:IBT262175 ILM262174:ILP262175 IVI262174:IVL262175 JFE262174:JFH262175 JPA262174:JPD262175 JYW262174:JYZ262175 KIS262174:KIV262175 KSO262174:KSR262175 LCK262174:LCN262175 LMG262174:LMJ262175 LWC262174:LWF262175 MFY262174:MGB262175 MPU262174:MPX262175 MZQ262174:MZT262175 NJM262174:NJP262175 NTI262174:NTL262175 ODE262174:ODH262175 ONA262174:OND262175 OWW262174:OWZ262175 PGS262174:PGV262175 PQO262174:PQR262175 QAK262174:QAN262175 QKG262174:QKJ262175 QUC262174:QUF262175 RDY262174:REB262175 RNU262174:RNX262175 RXQ262174:RXT262175 SHM262174:SHP262175 SRI262174:SRL262175 TBE262174:TBH262175 TLA262174:TLD262175 TUW262174:TUZ262175 UES262174:UEV262175 UOO262174:UOR262175 UYK262174:UYN262175 VIG262174:VIJ262175 VSC262174:VSF262175 WBY262174:WCB262175 WLU262174:WLX262175 WVQ262174:WVT262175 I327710:L327711 JE327710:JH327711 TA327710:TD327711 ACW327710:ACZ327711 AMS327710:AMV327711 AWO327710:AWR327711 BGK327710:BGN327711 BQG327710:BQJ327711 CAC327710:CAF327711 CJY327710:CKB327711 CTU327710:CTX327711 DDQ327710:DDT327711 DNM327710:DNP327711 DXI327710:DXL327711 EHE327710:EHH327711 ERA327710:ERD327711 FAW327710:FAZ327711 FKS327710:FKV327711 FUO327710:FUR327711 GEK327710:GEN327711 GOG327710:GOJ327711 GYC327710:GYF327711 HHY327710:HIB327711 HRU327710:HRX327711 IBQ327710:IBT327711 ILM327710:ILP327711 IVI327710:IVL327711 JFE327710:JFH327711 JPA327710:JPD327711 JYW327710:JYZ327711 KIS327710:KIV327711 KSO327710:KSR327711 LCK327710:LCN327711 LMG327710:LMJ327711 LWC327710:LWF327711 MFY327710:MGB327711 MPU327710:MPX327711 MZQ327710:MZT327711 NJM327710:NJP327711 NTI327710:NTL327711 ODE327710:ODH327711 ONA327710:OND327711 OWW327710:OWZ327711 PGS327710:PGV327711 PQO327710:PQR327711 QAK327710:QAN327711 QKG327710:QKJ327711 QUC327710:QUF327711 RDY327710:REB327711 RNU327710:RNX327711 RXQ327710:RXT327711 SHM327710:SHP327711 SRI327710:SRL327711 TBE327710:TBH327711 TLA327710:TLD327711 TUW327710:TUZ327711 UES327710:UEV327711 UOO327710:UOR327711 UYK327710:UYN327711 VIG327710:VIJ327711 VSC327710:VSF327711 WBY327710:WCB327711 WLU327710:WLX327711 WVQ327710:WVT327711 I393246:L393247 JE393246:JH393247 TA393246:TD393247 ACW393246:ACZ393247 AMS393246:AMV393247 AWO393246:AWR393247 BGK393246:BGN393247 BQG393246:BQJ393247 CAC393246:CAF393247 CJY393246:CKB393247 CTU393246:CTX393247 DDQ393246:DDT393247 DNM393246:DNP393247 DXI393246:DXL393247 EHE393246:EHH393247 ERA393246:ERD393247 FAW393246:FAZ393247 FKS393246:FKV393247 FUO393246:FUR393247 GEK393246:GEN393247 GOG393246:GOJ393247 GYC393246:GYF393247 HHY393246:HIB393247 HRU393246:HRX393247 IBQ393246:IBT393247 ILM393246:ILP393247 IVI393246:IVL393247 JFE393246:JFH393247 JPA393246:JPD393247 JYW393246:JYZ393247 KIS393246:KIV393247 KSO393246:KSR393247 LCK393246:LCN393247 LMG393246:LMJ393247 LWC393246:LWF393247 MFY393246:MGB393247 MPU393246:MPX393247 MZQ393246:MZT393247 NJM393246:NJP393247 NTI393246:NTL393247 ODE393246:ODH393247 ONA393246:OND393247 OWW393246:OWZ393247 PGS393246:PGV393247 PQO393246:PQR393247 QAK393246:QAN393247 QKG393246:QKJ393247 QUC393246:QUF393247 RDY393246:REB393247 RNU393246:RNX393247 RXQ393246:RXT393247 SHM393246:SHP393247 SRI393246:SRL393247 TBE393246:TBH393247 TLA393246:TLD393247 TUW393246:TUZ393247 UES393246:UEV393247 UOO393246:UOR393247 UYK393246:UYN393247 VIG393246:VIJ393247 VSC393246:VSF393247 WBY393246:WCB393247 WLU393246:WLX393247 WVQ393246:WVT393247 I458782:L458783 JE458782:JH458783 TA458782:TD458783 ACW458782:ACZ458783 AMS458782:AMV458783 AWO458782:AWR458783 BGK458782:BGN458783 BQG458782:BQJ458783 CAC458782:CAF458783 CJY458782:CKB458783 CTU458782:CTX458783 DDQ458782:DDT458783 DNM458782:DNP458783 DXI458782:DXL458783 EHE458782:EHH458783 ERA458782:ERD458783 FAW458782:FAZ458783 FKS458782:FKV458783 FUO458782:FUR458783 GEK458782:GEN458783 GOG458782:GOJ458783 GYC458782:GYF458783 HHY458782:HIB458783 HRU458782:HRX458783 IBQ458782:IBT458783 ILM458782:ILP458783 IVI458782:IVL458783 JFE458782:JFH458783 JPA458782:JPD458783 JYW458782:JYZ458783 KIS458782:KIV458783 KSO458782:KSR458783 LCK458782:LCN458783 LMG458782:LMJ458783 LWC458782:LWF458783 MFY458782:MGB458783 MPU458782:MPX458783 MZQ458782:MZT458783 NJM458782:NJP458783 NTI458782:NTL458783 ODE458782:ODH458783 ONA458782:OND458783 OWW458782:OWZ458783 PGS458782:PGV458783 PQO458782:PQR458783 QAK458782:QAN458783 QKG458782:QKJ458783 QUC458782:QUF458783 RDY458782:REB458783 RNU458782:RNX458783 RXQ458782:RXT458783 SHM458782:SHP458783 SRI458782:SRL458783 TBE458782:TBH458783 TLA458782:TLD458783 TUW458782:TUZ458783 UES458782:UEV458783 UOO458782:UOR458783 UYK458782:UYN458783 VIG458782:VIJ458783 VSC458782:VSF458783 WBY458782:WCB458783 WLU458782:WLX458783 WVQ458782:WVT458783 I524318:L524319 JE524318:JH524319 TA524318:TD524319 ACW524318:ACZ524319 AMS524318:AMV524319 AWO524318:AWR524319 BGK524318:BGN524319 BQG524318:BQJ524319 CAC524318:CAF524319 CJY524318:CKB524319 CTU524318:CTX524319 DDQ524318:DDT524319 DNM524318:DNP524319 DXI524318:DXL524319 EHE524318:EHH524319 ERA524318:ERD524319 FAW524318:FAZ524319 FKS524318:FKV524319 FUO524318:FUR524319 GEK524318:GEN524319 GOG524318:GOJ524319 GYC524318:GYF524319 HHY524318:HIB524319 HRU524318:HRX524319 IBQ524318:IBT524319 ILM524318:ILP524319 IVI524318:IVL524319 JFE524318:JFH524319 JPA524318:JPD524319 JYW524318:JYZ524319 KIS524318:KIV524319 KSO524318:KSR524319 LCK524318:LCN524319 LMG524318:LMJ524319 LWC524318:LWF524319 MFY524318:MGB524319 MPU524318:MPX524319 MZQ524318:MZT524319 NJM524318:NJP524319 NTI524318:NTL524319 ODE524318:ODH524319 ONA524318:OND524319 OWW524318:OWZ524319 PGS524318:PGV524319 PQO524318:PQR524319 QAK524318:QAN524319 QKG524318:QKJ524319 QUC524318:QUF524319 RDY524318:REB524319 RNU524318:RNX524319 RXQ524318:RXT524319 SHM524318:SHP524319 SRI524318:SRL524319 TBE524318:TBH524319 TLA524318:TLD524319 TUW524318:TUZ524319 UES524318:UEV524319 UOO524318:UOR524319 UYK524318:UYN524319 VIG524318:VIJ524319 VSC524318:VSF524319 WBY524318:WCB524319 WLU524318:WLX524319 WVQ524318:WVT524319 I589854:L589855 JE589854:JH589855 TA589854:TD589855 ACW589854:ACZ589855 AMS589854:AMV589855 AWO589854:AWR589855 BGK589854:BGN589855 BQG589854:BQJ589855 CAC589854:CAF589855 CJY589854:CKB589855 CTU589854:CTX589855 DDQ589854:DDT589855 DNM589854:DNP589855 DXI589854:DXL589855 EHE589854:EHH589855 ERA589854:ERD589855 FAW589854:FAZ589855 FKS589854:FKV589855 FUO589854:FUR589855 GEK589854:GEN589855 GOG589854:GOJ589855 GYC589854:GYF589855 HHY589854:HIB589855 HRU589854:HRX589855 IBQ589854:IBT589855 ILM589854:ILP589855 IVI589854:IVL589855 JFE589854:JFH589855 JPA589854:JPD589855 JYW589854:JYZ589855 KIS589854:KIV589855 KSO589854:KSR589855 LCK589854:LCN589855 LMG589854:LMJ589855 LWC589854:LWF589855 MFY589854:MGB589855 MPU589854:MPX589855 MZQ589854:MZT589855 NJM589854:NJP589855 NTI589854:NTL589855 ODE589854:ODH589855 ONA589854:OND589855 OWW589854:OWZ589855 PGS589854:PGV589855 PQO589854:PQR589855 QAK589854:QAN589855 QKG589854:QKJ589855 QUC589854:QUF589855 RDY589854:REB589855 RNU589854:RNX589855 RXQ589854:RXT589855 SHM589854:SHP589855 SRI589854:SRL589855 TBE589854:TBH589855 TLA589854:TLD589855 TUW589854:TUZ589855 UES589854:UEV589855 UOO589854:UOR589855 UYK589854:UYN589855 VIG589854:VIJ589855 VSC589854:VSF589855 WBY589854:WCB589855 WLU589854:WLX589855 WVQ589854:WVT589855 I655390:L655391 JE655390:JH655391 TA655390:TD655391 ACW655390:ACZ655391 AMS655390:AMV655391 AWO655390:AWR655391 BGK655390:BGN655391 BQG655390:BQJ655391 CAC655390:CAF655391 CJY655390:CKB655391 CTU655390:CTX655391 DDQ655390:DDT655391 DNM655390:DNP655391 DXI655390:DXL655391 EHE655390:EHH655391 ERA655390:ERD655391 FAW655390:FAZ655391 FKS655390:FKV655391 FUO655390:FUR655391 GEK655390:GEN655391 GOG655390:GOJ655391 GYC655390:GYF655391 HHY655390:HIB655391 HRU655390:HRX655391 IBQ655390:IBT655391 ILM655390:ILP655391 IVI655390:IVL655391 JFE655390:JFH655391 JPA655390:JPD655391 JYW655390:JYZ655391 KIS655390:KIV655391 KSO655390:KSR655391 LCK655390:LCN655391 LMG655390:LMJ655391 LWC655390:LWF655391 MFY655390:MGB655391 MPU655390:MPX655391 MZQ655390:MZT655391 NJM655390:NJP655391 NTI655390:NTL655391 ODE655390:ODH655391 ONA655390:OND655391 OWW655390:OWZ655391 PGS655390:PGV655391 PQO655390:PQR655391 QAK655390:QAN655391 QKG655390:QKJ655391 QUC655390:QUF655391 RDY655390:REB655391 RNU655390:RNX655391 RXQ655390:RXT655391 SHM655390:SHP655391 SRI655390:SRL655391 TBE655390:TBH655391 TLA655390:TLD655391 TUW655390:TUZ655391 UES655390:UEV655391 UOO655390:UOR655391 UYK655390:UYN655391 VIG655390:VIJ655391 VSC655390:VSF655391 WBY655390:WCB655391 WLU655390:WLX655391 WVQ655390:WVT655391 I720926:L720927 JE720926:JH720927 TA720926:TD720927 ACW720926:ACZ720927 AMS720926:AMV720927 AWO720926:AWR720927 BGK720926:BGN720927 BQG720926:BQJ720927 CAC720926:CAF720927 CJY720926:CKB720927 CTU720926:CTX720927 DDQ720926:DDT720927 DNM720926:DNP720927 DXI720926:DXL720927 EHE720926:EHH720927 ERA720926:ERD720927 FAW720926:FAZ720927 FKS720926:FKV720927 FUO720926:FUR720927 GEK720926:GEN720927 GOG720926:GOJ720927 GYC720926:GYF720927 HHY720926:HIB720927 HRU720926:HRX720927 IBQ720926:IBT720927 ILM720926:ILP720927 IVI720926:IVL720927 JFE720926:JFH720927 JPA720926:JPD720927 JYW720926:JYZ720927 KIS720926:KIV720927 KSO720926:KSR720927 LCK720926:LCN720927 LMG720926:LMJ720927 LWC720926:LWF720927 MFY720926:MGB720927 MPU720926:MPX720927 MZQ720926:MZT720927 NJM720926:NJP720927 NTI720926:NTL720927 ODE720926:ODH720927 ONA720926:OND720927 OWW720926:OWZ720927 PGS720926:PGV720927 PQO720926:PQR720927 QAK720926:QAN720927 QKG720926:QKJ720927 QUC720926:QUF720927 RDY720926:REB720927 RNU720926:RNX720927 RXQ720926:RXT720927 SHM720926:SHP720927 SRI720926:SRL720927 TBE720926:TBH720927 TLA720926:TLD720927 TUW720926:TUZ720927 UES720926:UEV720927 UOO720926:UOR720927 UYK720926:UYN720927 VIG720926:VIJ720927 VSC720926:VSF720927 WBY720926:WCB720927 WLU720926:WLX720927 WVQ720926:WVT720927 I786462:L786463 JE786462:JH786463 TA786462:TD786463 ACW786462:ACZ786463 AMS786462:AMV786463 AWO786462:AWR786463 BGK786462:BGN786463 BQG786462:BQJ786463 CAC786462:CAF786463 CJY786462:CKB786463 CTU786462:CTX786463 DDQ786462:DDT786463 DNM786462:DNP786463 DXI786462:DXL786463 EHE786462:EHH786463 ERA786462:ERD786463 FAW786462:FAZ786463 FKS786462:FKV786463 FUO786462:FUR786463 GEK786462:GEN786463 GOG786462:GOJ786463 GYC786462:GYF786463 HHY786462:HIB786463 HRU786462:HRX786463 IBQ786462:IBT786463 ILM786462:ILP786463 IVI786462:IVL786463 JFE786462:JFH786463 JPA786462:JPD786463 JYW786462:JYZ786463 KIS786462:KIV786463 KSO786462:KSR786463 LCK786462:LCN786463 LMG786462:LMJ786463 LWC786462:LWF786463 MFY786462:MGB786463 MPU786462:MPX786463 MZQ786462:MZT786463 NJM786462:NJP786463 NTI786462:NTL786463 ODE786462:ODH786463 ONA786462:OND786463 OWW786462:OWZ786463 PGS786462:PGV786463 PQO786462:PQR786463 QAK786462:QAN786463 QKG786462:QKJ786463 QUC786462:QUF786463 RDY786462:REB786463 RNU786462:RNX786463 RXQ786462:RXT786463 SHM786462:SHP786463 SRI786462:SRL786463 TBE786462:TBH786463 TLA786462:TLD786463 TUW786462:TUZ786463 UES786462:UEV786463 UOO786462:UOR786463 UYK786462:UYN786463 VIG786462:VIJ786463 VSC786462:VSF786463 WBY786462:WCB786463 WLU786462:WLX786463 WVQ786462:WVT786463 I851998:L851999 JE851998:JH851999 TA851998:TD851999 ACW851998:ACZ851999 AMS851998:AMV851999 AWO851998:AWR851999 BGK851998:BGN851999 BQG851998:BQJ851999 CAC851998:CAF851999 CJY851998:CKB851999 CTU851998:CTX851999 DDQ851998:DDT851999 DNM851998:DNP851999 DXI851998:DXL851999 EHE851998:EHH851999 ERA851998:ERD851999 FAW851998:FAZ851999 FKS851998:FKV851999 FUO851998:FUR851999 GEK851998:GEN851999 GOG851998:GOJ851999 GYC851998:GYF851999 HHY851998:HIB851999 HRU851998:HRX851999 IBQ851998:IBT851999 ILM851998:ILP851999 IVI851998:IVL851999 JFE851998:JFH851999 JPA851998:JPD851999 JYW851998:JYZ851999 KIS851998:KIV851999 KSO851998:KSR851999 LCK851998:LCN851999 LMG851998:LMJ851999 LWC851998:LWF851999 MFY851998:MGB851999 MPU851998:MPX851999 MZQ851998:MZT851999 NJM851998:NJP851999 NTI851998:NTL851999 ODE851998:ODH851999 ONA851998:OND851999 OWW851998:OWZ851999 PGS851998:PGV851999 PQO851998:PQR851999 QAK851998:QAN851999 QKG851998:QKJ851999 QUC851998:QUF851999 RDY851998:REB851999 RNU851998:RNX851999 RXQ851998:RXT851999 SHM851998:SHP851999 SRI851998:SRL851999 TBE851998:TBH851999 TLA851998:TLD851999 TUW851998:TUZ851999 UES851998:UEV851999 UOO851998:UOR851999 UYK851998:UYN851999 VIG851998:VIJ851999 VSC851998:VSF851999 WBY851998:WCB851999 WLU851998:WLX851999 WVQ851998:WVT851999 I917534:L917535 JE917534:JH917535 TA917534:TD917535 ACW917534:ACZ917535 AMS917534:AMV917535 AWO917534:AWR917535 BGK917534:BGN917535 BQG917534:BQJ917535 CAC917534:CAF917535 CJY917534:CKB917535 CTU917534:CTX917535 DDQ917534:DDT917535 DNM917534:DNP917535 DXI917534:DXL917535 EHE917534:EHH917535 ERA917534:ERD917535 FAW917534:FAZ917535 FKS917534:FKV917535 FUO917534:FUR917535 GEK917534:GEN917535 GOG917534:GOJ917535 GYC917534:GYF917535 HHY917534:HIB917535 HRU917534:HRX917535 IBQ917534:IBT917535 ILM917534:ILP917535 IVI917534:IVL917535 JFE917534:JFH917535 JPA917534:JPD917535 JYW917534:JYZ917535 KIS917534:KIV917535 KSO917534:KSR917535 LCK917534:LCN917535 LMG917534:LMJ917535 LWC917534:LWF917535 MFY917534:MGB917535 MPU917534:MPX917535 MZQ917534:MZT917535 NJM917534:NJP917535 NTI917534:NTL917535 ODE917534:ODH917535 ONA917534:OND917535 OWW917534:OWZ917535 PGS917534:PGV917535 PQO917534:PQR917535 QAK917534:QAN917535 QKG917534:QKJ917535 QUC917534:QUF917535 RDY917534:REB917535 RNU917534:RNX917535 RXQ917534:RXT917535 SHM917534:SHP917535 SRI917534:SRL917535 TBE917534:TBH917535 TLA917534:TLD917535 TUW917534:TUZ917535 UES917534:UEV917535 UOO917534:UOR917535 UYK917534:UYN917535 VIG917534:VIJ917535 VSC917534:VSF917535 WBY917534:WCB917535 WLU917534:WLX917535 WVQ917534:WVT917535 I983070:L983071 JE983070:JH983071 TA983070:TD983071 ACW983070:ACZ983071 AMS983070:AMV983071 AWO983070:AWR983071 BGK983070:BGN983071 BQG983070:BQJ983071 CAC983070:CAF983071 CJY983070:CKB983071 CTU983070:CTX983071 DDQ983070:DDT983071 DNM983070:DNP983071 DXI983070:DXL983071 EHE983070:EHH983071 ERA983070:ERD983071 FAW983070:FAZ983071 FKS983070:FKV983071 FUO983070:FUR983071 GEK983070:GEN983071 GOG983070:GOJ983071 GYC983070:GYF983071 HHY983070:HIB983071 HRU983070:HRX983071 IBQ983070:IBT983071 ILM983070:ILP983071 IVI983070:IVL983071 JFE983070:JFH983071 JPA983070:JPD983071 JYW983070:JYZ983071 KIS983070:KIV983071 KSO983070:KSR983071 LCK983070:LCN983071 LMG983070:LMJ983071 LWC983070:LWF983071 MFY983070:MGB983071 MPU983070:MPX983071 MZQ983070:MZT983071 NJM983070:NJP983071 NTI983070:NTL983071 ODE983070:ODH983071 ONA983070:OND983071 OWW983070:OWZ983071 PGS983070:PGV983071 PQO983070:PQR983071 QAK983070:QAN983071 QKG983070:QKJ983071 QUC983070:QUF983071 RDY983070:REB983071 RNU983070:RNX983071 RXQ983070:RXT983071 SHM983070:SHP983071 SRI983070:SRL983071 TBE983070:TBH983071 TLA983070:TLD983071 TUW983070:TUZ983071 UES983070:UEV983071 UOO983070:UOR983071 UYK983070:UYN983071 VIG983070:VIJ983071 VSC983070:VSF983071 WBY983070:WCB983071 WLU983070:WLX983071 WVQ983070:WVT983071 JE36:JE45 TA36:TA45 ACW36:ACW45 AMS36:AMS45 AWO36:AWO45 BGK36:BGK45 BQG36:BQG45 CAC36:CAC45 CJY36:CJY45 CTU36:CTU45 DDQ36:DDQ45 DNM36:DNM45 DXI36:DXI45 EHE36:EHE45 ERA36:ERA45 FAW36:FAW45 FKS36:FKS45 FUO36:FUO45 GEK36:GEK45 GOG36:GOG45 GYC36:GYC45 HHY36:HHY45 HRU36:HRU45 IBQ36:IBQ45 ILM36:ILM45 IVI36:IVI45 JFE36:JFE45 JPA36:JPA45 JYW36:JYW45 KIS36:KIS45 KSO36:KSO45 LCK36:LCK45 LMG36:LMG45 LWC36:LWC45 MFY36:MFY45 MPU36:MPU45 MZQ36:MZQ45 NJM36:NJM45 NTI36:NTI45 ODE36:ODE45 ONA36:ONA45 OWW36:OWW45 PGS36:PGS45 PQO36:PQO45 QAK36:QAK45 QKG36:QKG45 QUC36:QUC45 RDY36:RDY45 RNU36:RNU45 RXQ36:RXQ45 SHM36:SHM45 SRI36:SRI45 TBE36:TBE45 TLA36:TLA45 TUW36:TUW45 UES36:UES45 UOO36:UOO45 UYK36:UYK45 VIG36:VIG45 VSC36:VSC45 WBY36:WBY45 WLU36:WLU45 WVQ36:WVQ45 I65572:I65581 JE65572:JE65581 TA65572:TA65581 ACW65572:ACW65581 AMS65572:AMS65581 AWO65572:AWO65581 BGK65572:BGK65581 BQG65572:BQG65581 CAC65572:CAC65581 CJY65572:CJY65581 CTU65572:CTU65581 DDQ65572:DDQ65581 DNM65572:DNM65581 DXI65572:DXI65581 EHE65572:EHE65581 ERA65572:ERA65581 FAW65572:FAW65581 FKS65572:FKS65581 FUO65572:FUO65581 GEK65572:GEK65581 GOG65572:GOG65581 GYC65572:GYC65581 HHY65572:HHY65581 HRU65572:HRU65581 IBQ65572:IBQ65581 ILM65572:ILM65581 IVI65572:IVI65581 JFE65572:JFE65581 JPA65572:JPA65581 JYW65572:JYW65581 KIS65572:KIS65581 KSO65572:KSO65581 LCK65572:LCK65581 LMG65572:LMG65581 LWC65572:LWC65581 MFY65572:MFY65581 MPU65572:MPU65581 MZQ65572:MZQ65581 NJM65572:NJM65581 NTI65572:NTI65581 ODE65572:ODE65581 ONA65572:ONA65581 OWW65572:OWW65581 PGS65572:PGS65581 PQO65572:PQO65581 QAK65572:QAK65581 QKG65572:QKG65581 QUC65572:QUC65581 RDY65572:RDY65581 RNU65572:RNU65581 RXQ65572:RXQ65581 SHM65572:SHM65581 SRI65572:SRI65581 TBE65572:TBE65581 TLA65572:TLA65581 TUW65572:TUW65581 UES65572:UES65581 UOO65572:UOO65581 UYK65572:UYK65581 VIG65572:VIG65581 VSC65572:VSC65581 WBY65572:WBY65581 WLU65572:WLU65581 WVQ65572:WVQ65581 I131108:I131117 JE131108:JE131117 TA131108:TA131117 ACW131108:ACW131117 AMS131108:AMS131117 AWO131108:AWO131117 BGK131108:BGK131117 BQG131108:BQG131117 CAC131108:CAC131117 CJY131108:CJY131117 CTU131108:CTU131117 DDQ131108:DDQ131117 DNM131108:DNM131117 DXI131108:DXI131117 EHE131108:EHE131117 ERA131108:ERA131117 FAW131108:FAW131117 FKS131108:FKS131117 FUO131108:FUO131117 GEK131108:GEK131117 GOG131108:GOG131117 GYC131108:GYC131117 HHY131108:HHY131117 HRU131108:HRU131117 IBQ131108:IBQ131117 ILM131108:ILM131117 IVI131108:IVI131117 JFE131108:JFE131117 JPA131108:JPA131117 JYW131108:JYW131117 KIS131108:KIS131117 KSO131108:KSO131117 LCK131108:LCK131117 LMG131108:LMG131117 LWC131108:LWC131117 MFY131108:MFY131117 MPU131108:MPU131117 MZQ131108:MZQ131117 NJM131108:NJM131117 NTI131108:NTI131117 ODE131108:ODE131117 ONA131108:ONA131117 OWW131108:OWW131117 PGS131108:PGS131117 PQO131108:PQO131117 QAK131108:QAK131117 QKG131108:QKG131117 QUC131108:QUC131117 RDY131108:RDY131117 RNU131108:RNU131117 RXQ131108:RXQ131117 SHM131108:SHM131117 SRI131108:SRI131117 TBE131108:TBE131117 TLA131108:TLA131117 TUW131108:TUW131117 UES131108:UES131117 UOO131108:UOO131117 UYK131108:UYK131117 VIG131108:VIG131117 VSC131108:VSC131117 WBY131108:WBY131117 WLU131108:WLU131117 WVQ131108:WVQ131117 I196644:I196653 JE196644:JE196653 TA196644:TA196653 ACW196644:ACW196653 AMS196644:AMS196653 AWO196644:AWO196653 BGK196644:BGK196653 BQG196644:BQG196653 CAC196644:CAC196653 CJY196644:CJY196653 CTU196644:CTU196653 DDQ196644:DDQ196653 DNM196644:DNM196653 DXI196644:DXI196653 EHE196644:EHE196653 ERA196644:ERA196653 FAW196644:FAW196653 FKS196644:FKS196653 FUO196644:FUO196653 GEK196644:GEK196653 GOG196644:GOG196653 GYC196644:GYC196653 HHY196644:HHY196653 HRU196644:HRU196653 IBQ196644:IBQ196653 ILM196644:ILM196653 IVI196644:IVI196653 JFE196644:JFE196653 JPA196644:JPA196653 JYW196644:JYW196653 KIS196644:KIS196653 KSO196644:KSO196653 LCK196644:LCK196653 LMG196644:LMG196653 LWC196644:LWC196653 MFY196644:MFY196653 MPU196644:MPU196653 MZQ196644:MZQ196653 NJM196644:NJM196653 NTI196644:NTI196653 ODE196644:ODE196653 ONA196644:ONA196653 OWW196644:OWW196653 PGS196644:PGS196653 PQO196644:PQO196653 QAK196644:QAK196653 QKG196644:QKG196653 QUC196644:QUC196653 RDY196644:RDY196653 RNU196644:RNU196653 RXQ196644:RXQ196653 SHM196644:SHM196653 SRI196644:SRI196653 TBE196644:TBE196653 TLA196644:TLA196653 TUW196644:TUW196653 UES196644:UES196653 UOO196644:UOO196653 UYK196644:UYK196653 VIG196644:VIG196653 VSC196644:VSC196653 WBY196644:WBY196653 WLU196644:WLU196653 WVQ196644:WVQ196653 I262180:I262189 JE262180:JE262189 TA262180:TA262189 ACW262180:ACW262189 AMS262180:AMS262189 AWO262180:AWO262189 BGK262180:BGK262189 BQG262180:BQG262189 CAC262180:CAC262189 CJY262180:CJY262189 CTU262180:CTU262189 DDQ262180:DDQ262189 DNM262180:DNM262189 DXI262180:DXI262189 EHE262180:EHE262189 ERA262180:ERA262189 FAW262180:FAW262189 FKS262180:FKS262189 FUO262180:FUO262189 GEK262180:GEK262189 GOG262180:GOG262189 GYC262180:GYC262189 HHY262180:HHY262189 HRU262180:HRU262189 IBQ262180:IBQ262189 ILM262180:ILM262189 IVI262180:IVI262189 JFE262180:JFE262189 JPA262180:JPA262189 JYW262180:JYW262189 KIS262180:KIS262189 KSO262180:KSO262189 LCK262180:LCK262189 LMG262180:LMG262189 LWC262180:LWC262189 MFY262180:MFY262189 MPU262180:MPU262189 MZQ262180:MZQ262189 NJM262180:NJM262189 NTI262180:NTI262189 ODE262180:ODE262189 ONA262180:ONA262189 OWW262180:OWW262189 PGS262180:PGS262189 PQO262180:PQO262189 QAK262180:QAK262189 QKG262180:QKG262189 QUC262180:QUC262189 RDY262180:RDY262189 RNU262180:RNU262189 RXQ262180:RXQ262189 SHM262180:SHM262189 SRI262180:SRI262189 TBE262180:TBE262189 TLA262180:TLA262189 TUW262180:TUW262189 UES262180:UES262189 UOO262180:UOO262189 UYK262180:UYK262189 VIG262180:VIG262189 VSC262180:VSC262189 WBY262180:WBY262189 WLU262180:WLU262189 WVQ262180:WVQ262189 I327716:I327725 JE327716:JE327725 TA327716:TA327725 ACW327716:ACW327725 AMS327716:AMS327725 AWO327716:AWO327725 BGK327716:BGK327725 BQG327716:BQG327725 CAC327716:CAC327725 CJY327716:CJY327725 CTU327716:CTU327725 DDQ327716:DDQ327725 DNM327716:DNM327725 DXI327716:DXI327725 EHE327716:EHE327725 ERA327716:ERA327725 FAW327716:FAW327725 FKS327716:FKS327725 FUO327716:FUO327725 GEK327716:GEK327725 GOG327716:GOG327725 GYC327716:GYC327725 HHY327716:HHY327725 HRU327716:HRU327725 IBQ327716:IBQ327725 ILM327716:ILM327725 IVI327716:IVI327725 JFE327716:JFE327725 JPA327716:JPA327725 JYW327716:JYW327725 KIS327716:KIS327725 KSO327716:KSO327725 LCK327716:LCK327725 LMG327716:LMG327725 LWC327716:LWC327725 MFY327716:MFY327725 MPU327716:MPU327725 MZQ327716:MZQ327725 NJM327716:NJM327725 NTI327716:NTI327725 ODE327716:ODE327725 ONA327716:ONA327725 OWW327716:OWW327725 PGS327716:PGS327725 PQO327716:PQO327725 QAK327716:QAK327725 QKG327716:QKG327725 QUC327716:QUC327725 RDY327716:RDY327725 RNU327716:RNU327725 RXQ327716:RXQ327725 SHM327716:SHM327725 SRI327716:SRI327725 TBE327716:TBE327725 TLA327716:TLA327725 TUW327716:TUW327725 UES327716:UES327725 UOO327716:UOO327725 UYK327716:UYK327725 VIG327716:VIG327725 VSC327716:VSC327725 WBY327716:WBY327725 WLU327716:WLU327725 WVQ327716:WVQ327725 I393252:I393261 JE393252:JE393261 TA393252:TA393261 ACW393252:ACW393261 AMS393252:AMS393261 AWO393252:AWO393261 BGK393252:BGK393261 BQG393252:BQG393261 CAC393252:CAC393261 CJY393252:CJY393261 CTU393252:CTU393261 DDQ393252:DDQ393261 DNM393252:DNM393261 DXI393252:DXI393261 EHE393252:EHE393261 ERA393252:ERA393261 FAW393252:FAW393261 FKS393252:FKS393261 FUO393252:FUO393261 GEK393252:GEK393261 GOG393252:GOG393261 GYC393252:GYC393261 HHY393252:HHY393261 HRU393252:HRU393261 IBQ393252:IBQ393261 ILM393252:ILM393261 IVI393252:IVI393261 JFE393252:JFE393261 JPA393252:JPA393261 JYW393252:JYW393261 KIS393252:KIS393261 KSO393252:KSO393261 LCK393252:LCK393261 LMG393252:LMG393261 LWC393252:LWC393261 MFY393252:MFY393261 MPU393252:MPU393261 MZQ393252:MZQ393261 NJM393252:NJM393261 NTI393252:NTI393261 ODE393252:ODE393261 ONA393252:ONA393261 OWW393252:OWW393261 PGS393252:PGS393261 PQO393252:PQO393261 QAK393252:QAK393261 QKG393252:QKG393261 QUC393252:QUC393261 RDY393252:RDY393261 RNU393252:RNU393261 RXQ393252:RXQ393261 SHM393252:SHM393261 SRI393252:SRI393261 TBE393252:TBE393261 TLA393252:TLA393261 TUW393252:TUW393261 UES393252:UES393261 UOO393252:UOO393261 UYK393252:UYK393261 VIG393252:VIG393261 VSC393252:VSC393261 WBY393252:WBY393261 WLU393252:WLU393261 WVQ393252:WVQ393261 I458788:I458797 JE458788:JE458797 TA458788:TA458797 ACW458788:ACW458797 AMS458788:AMS458797 AWO458788:AWO458797 BGK458788:BGK458797 BQG458788:BQG458797 CAC458788:CAC458797 CJY458788:CJY458797 CTU458788:CTU458797 DDQ458788:DDQ458797 DNM458788:DNM458797 DXI458788:DXI458797 EHE458788:EHE458797 ERA458788:ERA458797 FAW458788:FAW458797 FKS458788:FKS458797 FUO458788:FUO458797 GEK458788:GEK458797 GOG458788:GOG458797 GYC458788:GYC458797 HHY458788:HHY458797 HRU458788:HRU458797 IBQ458788:IBQ458797 ILM458788:ILM458797 IVI458788:IVI458797 JFE458788:JFE458797 JPA458788:JPA458797 JYW458788:JYW458797 KIS458788:KIS458797 KSO458788:KSO458797 LCK458788:LCK458797 LMG458788:LMG458797 LWC458788:LWC458797 MFY458788:MFY458797 MPU458788:MPU458797 MZQ458788:MZQ458797 NJM458788:NJM458797 NTI458788:NTI458797 ODE458788:ODE458797 ONA458788:ONA458797 OWW458788:OWW458797 PGS458788:PGS458797 PQO458788:PQO458797 QAK458788:QAK458797 QKG458788:QKG458797 QUC458788:QUC458797 RDY458788:RDY458797 RNU458788:RNU458797 RXQ458788:RXQ458797 SHM458788:SHM458797 SRI458788:SRI458797 TBE458788:TBE458797 TLA458788:TLA458797 TUW458788:TUW458797 UES458788:UES458797 UOO458788:UOO458797 UYK458788:UYK458797 VIG458788:VIG458797 VSC458788:VSC458797 WBY458788:WBY458797 WLU458788:WLU458797 WVQ458788:WVQ458797 I524324:I524333 JE524324:JE524333 TA524324:TA524333 ACW524324:ACW524333 AMS524324:AMS524333 AWO524324:AWO524333 BGK524324:BGK524333 BQG524324:BQG524333 CAC524324:CAC524333 CJY524324:CJY524333 CTU524324:CTU524333 DDQ524324:DDQ524333 DNM524324:DNM524333 DXI524324:DXI524333 EHE524324:EHE524333 ERA524324:ERA524333 FAW524324:FAW524333 FKS524324:FKS524333 FUO524324:FUO524333 GEK524324:GEK524333 GOG524324:GOG524333 GYC524324:GYC524333 HHY524324:HHY524333 HRU524324:HRU524333 IBQ524324:IBQ524333 ILM524324:ILM524333 IVI524324:IVI524333 JFE524324:JFE524333 JPA524324:JPA524333 JYW524324:JYW524333 KIS524324:KIS524333 KSO524324:KSO524333 LCK524324:LCK524333 LMG524324:LMG524333 LWC524324:LWC524333 MFY524324:MFY524333 MPU524324:MPU524333 MZQ524324:MZQ524333 NJM524324:NJM524333 NTI524324:NTI524333 ODE524324:ODE524333 ONA524324:ONA524333 OWW524324:OWW524333 PGS524324:PGS524333 PQO524324:PQO524333 QAK524324:QAK524333 QKG524324:QKG524333 QUC524324:QUC524333 RDY524324:RDY524333 RNU524324:RNU524333 RXQ524324:RXQ524333 SHM524324:SHM524333 SRI524324:SRI524333 TBE524324:TBE524333 TLA524324:TLA524333 TUW524324:TUW524333 UES524324:UES524333 UOO524324:UOO524333 UYK524324:UYK524333 VIG524324:VIG524333 VSC524324:VSC524333 WBY524324:WBY524333 WLU524324:WLU524333 WVQ524324:WVQ524333 I589860:I589869 JE589860:JE589869 TA589860:TA589869 ACW589860:ACW589869 AMS589860:AMS589869 AWO589860:AWO589869 BGK589860:BGK589869 BQG589860:BQG589869 CAC589860:CAC589869 CJY589860:CJY589869 CTU589860:CTU589869 DDQ589860:DDQ589869 DNM589860:DNM589869 DXI589860:DXI589869 EHE589860:EHE589869 ERA589860:ERA589869 FAW589860:FAW589869 FKS589860:FKS589869 FUO589860:FUO589869 GEK589860:GEK589869 GOG589860:GOG589869 GYC589860:GYC589869 HHY589860:HHY589869 HRU589860:HRU589869 IBQ589860:IBQ589869 ILM589860:ILM589869 IVI589860:IVI589869 JFE589860:JFE589869 JPA589860:JPA589869 JYW589860:JYW589869 KIS589860:KIS589869 KSO589860:KSO589869 LCK589860:LCK589869 LMG589860:LMG589869 LWC589860:LWC589869 MFY589860:MFY589869 MPU589860:MPU589869 MZQ589860:MZQ589869 NJM589860:NJM589869 NTI589860:NTI589869 ODE589860:ODE589869 ONA589860:ONA589869 OWW589860:OWW589869 PGS589860:PGS589869 PQO589860:PQO589869 QAK589860:QAK589869 QKG589860:QKG589869 QUC589860:QUC589869 RDY589860:RDY589869 RNU589860:RNU589869 RXQ589860:RXQ589869 SHM589860:SHM589869 SRI589860:SRI589869 TBE589860:TBE589869 TLA589860:TLA589869 TUW589860:TUW589869 UES589860:UES589869 UOO589860:UOO589869 UYK589860:UYK589869 VIG589860:VIG589869 VSC589860:VSC589869 WBY589860:WBY589869 WLU589860:WLU589869 WVQ589860:WVQ589869 I655396:I655405 JE655396:JE655405 TA655396:TA655405 ACW655396:ACW655405 AMS655396:AMS655405 AWO655396:AWO655405 BGK655396:BGK655405 BQG655396:BQG655405 CAC655396:CAC655405 CJY655396:CJY655405 CTU655396:CTU655405 DDQ655396:DDQ655405 DNM655396:DNM655405 DXI655396:DXI655405 EHE655396:EHE655405 ERA655396:ERA655405 FAW655396:FAW655405 FKS655396:FKS655405 FUO655396:FUO655405 GEK655396:GEK655405 GOG655396:GOG655405 GYC655396:GYC655405 HHY655396:HHY655405 HRU655396:HRU655405 IBQ655396:IBQ655405 ILM655396:ILM655405 IVI655396:IVI655405 JFE655396:JFE655405 JPA655396:JPA655405 JYW655396:JYW655405 KIS655396:KIS655405 KSO655396:KSO655405 LCK655396:LCK655405 LMG655396:LMG655405 LWC655396:LWC655405 MFY655396:MFY655405 MPU655396:MPU655405 MZQ655396:MZQ655405 NJM655396:NJM655405 NTI655396:NTI655405 ODE655396:ODE655405 ONA655396:ONA655405 OWW655396:OWW655405 PGS655396:PGS655405 PQO655396:PQO655405 QAK655396:QAK655405 QKG655396:QKG655405 QUC655396:QUC655405 RDY655396:RDY655405 RNU655396:RNU655405 RXQ655396:RXQ655405 SHM655396:SHM655405 SRI655396:SRI655405 TBE655396:TBE655405 TLA655396:TLA655405 TUW655396:TUW655405 UES655396:UES655405 UOO655396:UOO655405 UYK655396:UYK655405 VIG655396:VIG655405 VSC655396:VSC655405 WBY655396:WBY655405 WLU655396:WLU655405 WVQ655396:WVQ655405 I720932:I720941 JE720932:JE720941 TA720932:TA720941 ACW720932:ACW720941 AMS720932:AMS720941 AWO720932:AWO720941 BGK720932:BGK720941 BQG720932:BQG720941 CAC720932:CAC720941 CJY720932:CJY720941 CTU720932:CTU720941 DDQ720932:DDQ720941 DNM720932:DNM720941 DXI720932:DXI720941 EHE720932:EHE720941 ERA720932:ERA720941 FAW720932:FAW720941 FKS720932:FKS720941 FUO720932:FUO720941 GEK720932:GEK720941 GOG720932:GOG720941 GYC720932:GYC720941 HHY720932:HHY720941 HRU720932:HRU720941 IBQ720932:IBQ720941 ILM720932:ILM720941 IVI720932:IVI720941 JFE720932:JFE720941 JPA720932:JPA720941 JYW720932:JYW720941 KIS720932:KIS720941 KSO720932:KSO720941 LCK720932:LCK720941 LMG720932:LMG720941 LWC720932:LWC720941 MFY720932:MFY720941 MPU720932:MPU720941 MZQ720932:MZQ720941 NJM720932:NJM720941 NTI720932:NTI720941 ODE720932:ODE720941 ONA720932:ONA720941 OWW720932:OWW720941 PGS720932:PGS720941 PQO720932:PQO720941 QAK720932:QAK720941 QKG720932:QKG720941 QUC720932:QUC720941 RDY720932:RDY720941 RNU720932:RNU720941 RXQ720932:RXQ720941 SHM720932:SHM720941 SRI720932:SRI720941 TBE720932:TBE720941 TLA720932:TLA720941 TUW720932:TUW720941 UES720932:UES720941 UOO720932:UOO720941 UYK720932:UYK720941 VIG720932:VIG720941 VSC720932:VSC720941 WBY720932:WBY720941 WLU720932:WLU720941 WVQ720932:WVQ720941 I786468:I786477 JE786468:JE786477 TA786468:TA786477 ACW786468:ACW786477 AMS786468:AMS786477 AWO786468:AWO786477 BGK786468:BGK786477 BQG786468:BQG786477 CAC786468:CAC786477 CJY786468:CJY786477 CTU786468:CTU786477 DDQ786468:DDQ786477 DNM786468:DNM786477 DXI786468:DXI786477 EHE786468:EHE786477 ERA786468:ERA786477 FAW786468:FAW786477 FKS786468:FKS786477 FUO786468:FUO786477 GEK786468:GEK786477 GOG786468:GOG786477 GYC786468:GYC786477 HHY786468:HHY786477 HRU786468:HRU786477 IBQ786468:IBQ786477 ILM786468:ILM786477 IVI786468:IVI786477 JFE786468:JFE786477 JPA786468:JPA786477 JYW786468:JYW786477 KIS786468:KIS786477 KSO786468:KSO786477 LCK786468:LCK786477 LMG786468:LMG786477 LWC786468:LWC786477 MFY786468:MFY786477 MPU786468:MPU786477 MZQ786468:MZQ786477 NJM786468:NJM786477 NTI786468:NTI786477 ODE786468:ODE786477 ONA786468:ONA786477 OWW786468:OWW786477 PGS786468:PGS786477 PQO786468:PQO786477 QAK786468:QAK786477 QKG786468:QKG786477 QUC786468:QUC786477 RDY786468:RDY786477 RNU786468:RNU786477 RXQ786468:RXQ786477 SHM786468:SHM786477 SRI786468:SRI786477 TBE786468:TBE786477 TLA786468:TLA786477 TUW786468:TUW786477 UES786468:UES786477 UOO786468:UOO786477 UYK786468:UYK786477 VIG786468:VIG786477 VSC786468:VSC786477 WBY786468:WBY786477 WLU786468:WLU786477 WVQ786468:WVQ786477 I852004:I852013 JE852004:JE852013 TA852004:TA852013 ACW852004:ACW852013 AMS852004:AMS852013 AWO852004:AWO852013 BGK852004:BGK852013 BQG852004:BQG852013 CAC852004:CAC852013 CJY852004:CJY852013 CTU852004:CTU852013 DDQ852004:DDQ852013 DNM852004:DNM852013 DXI852004:DXI852013 EHE852004:EHE852013 ERA852004:ERA852013 FAW852004:FAW852013 FKS852004:FKS852013 FUO852004:FUO852013 GEK852004:GEK852013 GOG852004:GOG852013 GYC852004:GYC852013 HHY852004:HHY852013 HRU852004:HRU852013 IBQ852004:IBQ852013 ILM852004:ILM852013 IVI852004:IVI852013 JFE852004:JFE852013 JPA852004:JPA852013 JYW852004:JYW852013 KIS852004:KIS852013 KSO852004:KSO852013 LCK852004:LCK852013 LMG852004:LMG852013 LWC852004:LWC852013 MFY852004:MFY852013 MPU852004:MPU852013 MZQ852004:MZQ852013 NJM852004:NJM852013 NTI852004:NTI852013 ODE852004:ODE852013 ONA852004:ONA852013 OWW852004:OWW852013 PGS852004:PGS852013 PQO852004:PQO852013 QAK852004:QAK852013 QKG852004:QKG852013 QUC852004:QUC852013 RDY852004:RDY852013 RNU852004:RNU852013 RXQ852004:RXQ852013 SHM852004:SHM852013 SRI852004:SRI852013 TBE852004:TBE852013 TLA852004:TLA852013 TUW852004:TUW852013 UES852004:UES852013 UOO852004:UOO852013 UYK852004:UYK852013 VIG852004:VIG852013 VSC852004:VSC852013 WBY852004:WBY852013 WLU852004:WLU852013 WVQ852004:WVQ852013 I917540:I917549 JE917540:JE917549 TA917540:TA917549 ACW917540:ACW917549 AMS917540:AMS917549 AWO917540:AWO917549 BGK917540:BGK917549 BQG917540:BQG917549 CAC917540:CAC917549 CJY917540:CJY917549 CTU917540:CTU917549 DDQ917540:DDQ917549 DNM917540:DNM917549 DXI917540:DXI917549 EHE917540:EHE917549 ERA917540:ERA917549 FAW917540:FAW917549 FKS917540:FKS917549 FUO917540:FUO917549 GEK917540:GEK917549 GOG917540:GOG917549 GYC917540:GYC917549 HHY917540:HHY917549 HRU917540:HRU917549 IBQ917540:IBQ917549 ILM917540:ILM917549 IVI917540:IVI917549 JFE917540:JFE917549 JPA917540:JPA917549 JYW917540:JYW917549 KIS917540:KIS917549 KSO917540:KSO917549 LCK917540:LCK917549 LMG917540:LMG917549 LWC917540:LWC917549 MFY917540:MFY917549 MPU917540:MPU917549 MZQ917540:MZQ917549 NJM917540:NJM917549 NTI917540:NTI917549 ODE917540:ODE917549 ONA917540:ONA917549 OWW917540:OWW917549 PGS917540:PGS917549 PQO917540:PQO917549 QAK917540:QAK917549 QKG917540:QKG917549 QUC917540:QUC917549 RDY917540:RDY917549 RNU917540:RNU917549 RXQ917540:RXQ917549 SHM917540:SHM917549 SRI917540:SRI917549 TBE917540:TBE917549 TLA917540:TLA917549 TUW917540:TUW917549 UES917540:UES917549 UOO917540:UOO917549 UYK917540:UYK917549 VIG917540:VIG917549 VSC917540:VSC917549 WBY917540:WBY917549 WLU917540:WLU917549 WVQ917540:WVQ917549 I983076:I983085 JE983076:JE983085 TA983076:TA983085 ACW983076:ACW983085 AMS983076:AMS983085 AWO983076:AWO983085 BGK983076:BGK983085 BQG983076:BQG983085 CAC983076:CAC983085 CJY983076:CJY983085 CTU983076:CTU983085 DDQ983076:DDQ983085 DNM983076:DNM983085 DXI983076:DXI983085 EHE983076:EHE983085 ERA983076:ERA983085 FAW983076:FAW983085 FKS983076:FKS983085 FUO983076:FUO983085 GEK983076:GEK983085 GOG983076:GOG983085 GYC983076:GYC983085 HHY983076:HHY983085 HRU983076:HRU983085 IBQ983076:IBQ983085 ILM983076:ILM983085 IVI983076:IVI983085 JFE983076:JFE983085 JPA983076:JPA983085 JYW983076:JYW983085 KIS983076:KIS983085 KSO983076:KSO983085 LCK983076:LCK983085 LMG983076:LMG983085 LWC983076:LWC983085 MFY983076:MFY983085 MPU983076:MPU983085 MZQ983076:MZQ983085 NJM983076:NJM983085 NTI983076:NTI983085 ODE983076:ODE983085 ONA983076:ONA983085 OWW983076:OWW983085 PGS983076:PGS983085 PQO983076:PQO983085 QAK983076:QAK983085 QKG983076:QKG983085 QUC983076:QUC983085 RDY983076:RDY983085 RNU983076:RNU983085 RXQ983076:RXQ983085 SHM983076:SHM983085 SRI983076:SRI983085 TBE983076:TBE983085 TLA983076:TLA983085 TUW983076:TUW983085 UES983076:UES983085 UOO983076:UOO983085 UYK983076:UYK983085 VIG983076:VIG983085 VSC983076:VSC983085 WBY983076:WBY983085 WLU983076:WLU983085 WVQ983076:WVQ983085 JF36:JH53 TB36:TD53 ACX36:ACZ53 AMT36:AMV53 AWP36:AWR53 BGL36:BGN53 BQH36:BQJ53 CAD36:CAF53 CJZ36:CKB53 CTV36:CTX53 DDR36:DDT53 DNN36:DNP53 DXJ36:DXL53 EHF36:EHH53 ERB36:ERD53 FAX36:FAZ53 FKT36:FKV53 FUP36:FUR53 GEL36:GEN53 GOH36:GOJ53 GYD36:GYF53 HHZ36:HIB53 HRV36:HRX53 IBR36:IBT53 ILN36:ILP53 IVJ36:IVL53 JFF36:JFH53 JPB36:JPD53 JYX36:JYZ53 KIT36:KIV53 KSP36:KSR53 LCL36:LCN53 LMH36:LMJ53 LWD36:LWF53 MFZ36:MGB53 MPV36:MPX53 MZR36:MZT53 NJN36:NJP53 NTJ36:NTL53 ODF36:ODH53 ONB36:OND53 OWX36:OWZ53 PGT36:PGV53 PQP36:PQR53 QAL36:QAN53 QKH36:QKJ53 QUD36:QUF53 RDZ36:REB53 RNV36:RNX53 RXR36:RXT53 SHN36:SHP53 SRJ36:SRL53 TBF36:TBH53 TLB36:TLD53 TUX36:TUZ53 UET36:UEV53 UOP36:UOR53 UYL36:UYN53 VIH36:VIJ53 VSD36:VSF53 WBZ36:WCB53 WLV36:WLX53 WVR36:WVT53 J65572:L65589 JF65572:JH65589 TB65572:TD65589 ACX65572:ACZ65589 AMT65572:AMV65589 AWP65572:AWR65589 BGL65572:BGN65589 BQH65572:BQJ65589 CAD65572:CAF65589 CJZ65572:CKB65589 CTV65572:CTX65589 DDR65572:DDT65589 DNN65572:DNP65589 DXJ65572:DXL65589 EHF65572:EHH65589 ERB65572:ERD65589 FAX65572:FAZ65589 FKT65572:FKV65589 FUP65572:FUR65589 GEL65572:GEN65589 GOH65572:GOJ65589 GYD65572:GYF65589 HHZ65572:HIB65589 HRV65572:HRX65589 IBR65572:IBT65589 ILN65572:ILP65589 IVJ65572:IVL65589 JFF65572:JFH65589 JPB65572:JPD65589 JYX65572:JYZ65589 KIT65572:KIV65589 KSP65572:KSR65589 LCL65572:LCN65589 LMH65572:LMJ65589 LWD65572:LWF65589 MFZ65572:MGB65589 MPV65572:MPX65589 MZR65572:MZT65589 NJN65572:NJP65589 NTJ65572:NTL65589 ODF65572:ODH65589 ONB65572:OND65589 OWX65572:OWZ65589 PGT65572:PGV65589 PQP65572:PQR65589 QAL65572:QAN65589 QKH65572:QKJ65589 QUD65572:QUF65589 RDZ65572:REB65589 RNV65572:RNX65589 RXR65572:RXT65589 SHN65572:SHP65589 SRJ65572:SRL65589 TBF65572:TBH65589 TLB65572:TLD65589 TUX65572:TUZ65589 UET65572:UEV65589 UOP65572:UOR65589 UYL65572:UYN65589 VIH65572:VIJ65589 VSD65572:VSF65589 WBZ65572:WCB65589 WLV65572:WLX65589 WVR65572:WVT65589 J131108:L131125 JF131108:JH131125 TB131108:TD131125 ACX131108:ACZ131125 AMT131108:AMV131125 AWP131108:AWR131125 BGL131108:BGN131125 BQH131108:BQJ131125 CAD131108:CAF131125 CJZ131108:CKB131125 CTV131108:CTX131125 DDR131108:DDT131125 DNN131108:DNP131125 DXJ131108:DXL131125 EHF131108:EHH131125 ERB131108:ERD131125 FAX131108:FAZ131125 FKT131108:FKV131125 FUP131108:FUR131125 GEL131108:GEN131125 GOH131108:GOJ131125 GYD131108:GYF131125 HHZ131108:HIB131125 HRV131108:HRX131125 IBR131108:IBT131125 ILN131108:ILP131125 IVJ131108:IVL131125 JFF131108:JFH131125 JPB131108:JPD131125 JYX131108:JYZ131125 KIT131108:KIV131125 KSP131108:KSR131125 LCL131108:LCN131125 LMH131108:LMJ131125 LWD131108:LWF131125 MFZ131108:MGB131125 MPV131108:MPX131125 MZR131108:MZT131125 NJN131108:NJP131125 NTJ131108:NTL131125 ODF131108:ODH131125 ONB131108:OND131125 OWX131108:OWZ131125 PGT131108:PGV131125 PQP131108:PQR131125 QAL131108:QAN131125 QKH131108:QKJ131125 QUD131108:QUF131125 RDZ131108:REB131125 RNV131108:RNX131125 RXR131108:RXT131125 SHN131108:SHP131125 SRJ131108:SRL131125 TBF131108:TBH131125 TLB131108:TLD131125 TUX131108:TUZ131125 UET131108:UEV131125 UOP131108:UOR131125 UYL131108:UYN131125 VIH131108:VIJ131125 VSD131108:VSF131125 WBZ131108:WCB131125 WLV131108:WLX131125 WVR131108:WVT131125 J196644:L196661 JF196644:JH196661 TB196644:TD196661 ACX196644:ACZ196661 AMT196644:AMV196661 AWP196644:AWR196661 BGL196644:BGN196661 BQH196644:BQJ196661 CAD196644:CAF196661 CJZ196644:CKB196661 CTV196644:CTX196661 DDR196644:DDT196661 DNN196644:DNP196661 DXJ196644:DXL196661 EHF196644:EHH196661 ERB196644:ERD196661 FAX196644:FAZ196661 FKT196644:FKV196661 FUP196644:FUR196661 GEL196644:GEN196661 GOH196644:GOJ196661 GYD196644:GYF196661 HHZ196644:HIB196661 HRV196644:HRX196661 IBR196644:IBT196661 ILN196644:ILP196661 IVJ196644:IVL196661 JFF196644:JFH196661 JPB196644:JPD196661 JYX196644:JYZ196661 KIT196644:KIV196661 KSP196644:KSR196661 LCL196644:LCN196661 LMH196644:LMJ196661 LWD196644:LWF196661 MFZ196644:MGB196661 MPV196644:MPX196661 MZR196644:MZT196661 NJN196644:NJP196661 NTJ196644:NTL196661 ODF196644:ODH196661 ONB196644:OND196661 OWX196644:OWZ196661 PGT196644:PGV196661 PQP196644:PQR196661 QAL196644:QAN196661 QKH196644:QKJ196661 QUD196644:QUF196661 RDZ196644:REB196661 RNV196644:RNX196661 RXR196644:RXT196661 SHN196644:SHP196661 SRJ196644:SRL196661 TBF196644:TBH196661 TLB196644:TLD196661 TUX196644:TUZ196661 UET196644:UEV196661 UOP196644:UOR196661 UYL196644:UYN196661 VIH196644:VIJ196661 VSD196644:VSF196661 WBZ196644:WCB196661 WLV196644:WLX196661 WVR196644:WVT196661 J262180:L262197 JF262180:JH262197 TB262180:TD262197 ACX262180:ACZ262197 AMT262180:AMV262197 AWP262180:AWR262197 BGL262180:BGN262197 BQH262180:BQJ262197 CAD262180:CAF262197 CJZ262180:CKB262197 CTV262180:CTX262197 DDR262180:DDT262197 DNN262180:DNP262197 DXJ262180:DXL262197 EHF262180:EHH262197 ERB262180:ERD262197 FAX262180:FAZ262197 FKT262180:FKV262197 FUP262180:FUR262197 GEL262180:GEN262197 GOH262180:GOJ262197 GYD262180:GYF262197 HHZ262180:HIB262197 HRV262180:HRX262197 IBR262180:IBT262197 ILN262180:ILP262197 IVJ262180:IVL262197 JFF262180:JFH262197 JPB262180:JPD262197 JYX262180:JYZ262197 KIT262180:KIV262197 KSP262180:KSR262197 LCL262180:LCN262197 LMH262180:LMJ262197 LWD262180:LWF262197 MFZ262180:MGB262197 MPV262180:MPX262197 MZR262180:MZT262197 NJN262180:NJP262197 NTJ262180:NTL262197 ODF262180:ODH262197 ONB262180:OND262197 OWX262180:OWZ262197 PGT262180:PGV262197 PQP262180:PQR262197 QAL262180:QAN262197 QKH262180:QKJ262197 QUD262180:QUF262197 RDZ262180:REB262197 RNV262180:RNX262197 RXR262180:RXT262197 SHN262180:SHP262197 SRJ262180:SRL262197 TBF262180:TBH262197 TLB262180:TLD262197 TUX262180:TUZ262197 UET262180:UEV262197 UOP262180:UOR262197 UYL262180:UYN262197 VIH262180:VIJ262197 VSD262180:VSF262197 WBZ262180:WCB262197 WLV262180:WLX262197 WVR262180:WVT262197 J327716:L327733 JF327716:JH327733 TB327716:TD327733 ACX327716:ACZ327733 AMT327716:AMV327733 AWP327716:AWR327733 BGL327716:BGN327733 BQH327716:BQJ327733 CAD327716:CAF327733 CJZ327716:CKB327733 CTV327716:CTX327733 DDR327716:DDT327733 DNN327716:DNP327733 DXJ327716:DXL327733 EHF327716:EHH327733 ERB327716:ERD327733 FAX327716:FAZ327733 FKT327716:FKV327733 FUP327716:FUR327733 GEL327716:GEN327733 GOH327716:GOJ327733 GYD327716:GYF327733 HHZ327716:HIB327733 HRV327716:HRX327733 IBR327716:IBT327733 ILN327716:ILP327733 IVJ327716:IVL327733 JFF327716:JFH327733 JPB327716:JPD327733 JYX327716:JYZ327733 KIT327716:KIV327733 KSP327716:KSR327733 LCL327716:LCN327733 LMH327716:LMJ327733 LWD327716:LWF327733 MFZ327716:MGB327733 MPV327716:MPX327733 MZR327716:MZT327733 NJN327716:NJP327733 NTJ327716:NTL327733 ODF327716:ODH327733 ONB327716:OND327733 OWX327716:OWZ327733 PGT327716:PGV327733 PQP327716:PQR327733 QAL327716:QAN327733 QKH327716:QKJ327733 QUD327716:QUF327733 RDZ327716:REB327733 RNV327716:RNX327733 RXR327716:RXT327733 SHN327716:SHP327733 SRJ327716:SRL327733 TBF327716:TBH327733 TLB327716:TLD327733 TUX327716:TUZ327733 UET327716:UEV327733 UOP327716:UOR327733 UYL327716:UYN327733 VIH327716:VIJ327733 VSD327716:VSF327733 WBZ327716:WCB327733 WLV327716:WLX327733 WVR327716:WVT327733 J393252:L393269 JF393252:JH393269 TB393252:TD393269 ACX393252:ACZ393269 AMT393252:AMV393269 AWP393252:AWR393269 BGL393252:BGN393269 BQH393252:BQJ393269 CAD393252:CAF393269 CJZ393252:CKB393269 CTV393252:CTX393269 DDR393252:DDT393269 DNN393252:DNP393269 DXJ393252:DXL393269 EHF393252:EHH393269 ERB393252:ERD393269 FAX393252:FAZ393269 FKT393252:FKV393269 FUP393252:FUR393269 GEL393252:GEN393269 GOH393252:GOJ393269 GYD393252:GYF393269 HHZ393252:HIB393269 HRV393252:HRX393269 IBR393252:IBT393269 ILN393252:ILP393269 IVJ393252:IVL393269 JFF393252:JFH393269 JPB393252:JPD393269 JYX393252:JYZ393269 KIT393252:KIV393269 KSP393252:KSR393269 LCL393252:LCN393269 LMH393252:LMJ393269 LWD393252:LWF393269 MFZ393252:MGB393269 MPV393252:MPX393269 MZR393252:MZT393269 NJN393252:NJP393269 NTJ393252:NTL393269 ODF393252:ODH393269 ONB393252:OND393269 OWX393252:OWZ393269 PGT393252:PGV393269 PQP393252:PQR393269 QAL393252:QAN393269 QKH393252:QKJ393269 QUD393252:QUF393269 RDZ393252:REB393269 RNV393252:RNX393269 RXR393252:RXT393269 SHN393252:SHP393269 SRJ393252:SRL393269 TBF393252:TBH393269 TLB393252:TLD393269 TUX393252:TUZ393269 UET393252:UEV393269 UOP393252:UOR393269 UYL393252:UYN393269 VIH393252:VIJ393269 VSD393252:VSF393269 WBZ393252:WCB393269 WLV393252:WLX393269 WVR393252:WVT393269 J458788:L458805 JF458788:JH458805 TB458788:TD458805 ACX458788:ACZ458805 AMT458788:AMV458805 AWP458788:AWR458805 BGL458788:BGN458805 BQH458788:BQJ458805 CAD458788:CAF458805 CJZ458788:CKB458805 CTV458788:CTX458805 DDR458788:DDT458805 DNN458788:DNP458805 DXJ458788:DXL458805 EHF458788:EHH458805 ERB458788:ERD458805 FAX458788:FAZ458805 FKT458788:FKV458805 FUP458788:FUR458805 GEL458788:GEN458805 GOH458788:GOJ458805 GYD458788:GYF458805 HHZ458788:HIB458805 HRV458788:HRX458805 IBR458788:IBT458805 ILN458788:ILP458805 IVJ458788:IVL458805 JFF458788:JFH458805 JPB458788:JPD458805 JYX458788:JYZ458805 KIT458788:KIV458805 KSP458788:KSR458805 LCL458788:LCN458805 LMH458788:LMJ458805 LWD458788:LWF458805 MFZ458788:MGB458805 MPV458788:MPX458805 MZR458788:MZT458805 NJN458788:NJP458805 NTJ458788:NTL458805 ODF458788:ODH458805 ONB458788:OND458805 OWX458788:OWZ458805 PGT458788:PGV458805 PQP458788:PQR458805 QAL458788:QAN458805 QKH458788:QKJ458805 QUD458788:QUF458805 RDZ458788:REB458805 RNV458788:RNX458805 RXR458788:RXT458805 SHN458788:SHP458805 SRJ458788:SRL458805 TBF458788:TBH458805 TLB458788:TLD458805 TUX458788:TUZ458805 UET458788:UEV458805 UOP458788:UOR458805 UYL458788:UYN458805 VIH458788:VIJ458805 VSD458788:VSF458805 WBZ458788:WCB458805 WLV458788:WLX458805 WVR458788:WVT458805 J524324:L524341 JF524324:JH524341 TB524324:TD524341 ACX524324:ACZ524341 AMT524324:AMV524341 AWP524324:AWR524341 BGL524324:BGN524341 BQH524324:BQJ524341 CAD524324:CAF524341 CJZ524324:CKB524341 CTV524324:CTX524341 DDR524324:DDT524341 DNN524324:DNP524341 DXJ524324:DXL524341 EHF524324:EHH524341 ERB524324:ERD524341 FAX524324:FAZ524341 FKT524324:FKV524341 FUP524324:FUR524341 GEL524324:GEN524341 GOH524324:GOJ524341 GYD524324:GYF524341 HHZ524324:HIB524341 HRV524324:HRX524341 IBR524324:IBT524341 ILN524324:ILP524341 IVJ524324:IVL524341 JFF524324:JFH524341 JPB524324:JPD524341 JYX524324:JYZ524341 KIT524324:KIV524341 KSP524324:KSR524341 LCL524324:LCN524341 LMH524324:LMJ524341 LWD524324:LWF524341 MFZ524324:MGB524341 MPV524324:MPX524341 MZR524324:MZT524341 NJN524324:NJP524341 NTJ524324:NTL524341 ODF524324:ODH524341 ONB524324:OND524341 OWX524324:OWZ524341 PGT524324:PGV524341 PQP524324:PQR524341 QAL524324:QAN524341 QKH524324:QKJ524341 QUD524324:QUF524341 RDZ524324:REB524341 RNV524324:RNX524341 RXR524324:RXT524341 SHN524324:SHP524341 SRJ524324:SRL524341 TBF524324:TBH524341 TLB524324:TLD524341 TUX524324:TUZ524341 UET524324:UEV524341 UOP524324:UOR524341 UYL524324:UYN524341 VIH524324:VIJ524341 VSD524324:VSF524341 WBZ524324:WCB524341 WLV524324:WLX524341 WVR524324:WVT524341 J589860:L589877 JF589860:JH589877 TB589860:TD589877 ACX589860:ACZ589877 AMT589860:AMV589877 AWP589860:AWR589877 BGL589860:BGN589877 BQH589860:BQJ589877 CAD589860:CAF589877 CJZ589860:CKB589877 CTV589860:CTX589877 DDR589860:DDT589877 DNN589860:DNP589877 DXJ589860:DXL589877 EHF589860:EHH589877 ERB589860:ERD589877 FAX589860:FAZ589877 FKT589860:FKV589877 FUP589860:FUR589877 GEL589860:GEN589877 GOH589860:GOJ589877 GYD589860:GYF589877 HHZ589860:HIB589877 HRV589860:HRX589877 IBR589860:IBT589877 ILN589860:ILP589877 IVJ589860:IVL589877 JFF589860:JFH589877 JPB589860:JPD589877 JYX589860:JYZ589877 KIT589860:KIV589877 KSP589860:KSR589877 LCL589860:LCN589877 LMH589860:LMJ589877 LWD589860:LWF589877 MFZ589860:MGB589877 MPV589860:MPX589877 MZR589860:MZT589877 NJN589860:NJP589877 NTJ589860:NTL589877 ODF589860:ODH589877 ONB589860:OND589877 OWX589860:OWZ589877 PGT589860:PGV589877 PQP589860:PQR589877 QAL589860:QAN589877 QKH589860:QKJ589877 QUD589860:QUF589877 RDZ589860:REB589877 RNV589860:RNX589877 RXR589860:RXT589877 SHN589860:SHP589877 SRJ589860:SRL589877 TBF589860:TBH589877 TLB589860:TLD589877 TUX589860:TUZ589877 UET589860:UEV589877 UOP589860:UOR589877 UYL589860:UYN589877 VIH589860:VIJ589877 VSD589860:VSF589877 WBZ589860:WCB589877 WLV589860:WLX589877 WVR589860:WVT589877 J655396:L655413 JF655396:JH655413 TB655396:TD655413 ACX655396:ACZ655413 AMT655396:AMV655413 AWP655396:AWR655413 BGL655396:BGN655413 BQH655396:BQJ655413 CAD655396:CAF655413 CJZ655396:CKB655413 CTV655396:CTX655413 DDR655396:DDT655413 DNN655396:DNP655413 DXJ655396:DXL655413 EHF655396:EHH655413 ERB655396:ERD655413 FAX655396:FAZ655413 FKT655396:FKV655413 FUP655396:FUR655413 GEL655396:GEN655413 GOH655396:GOJ655413 GYD655396:GYF655413 HHZ655396:HIB655413 HRV655396:HRX655413 IBR655396:IBT655413 ILN655396:ILP655413 IVJ655396:IVL655413 JFF655396:JFH655413 JPB655396:JPD655413 JYX655396:JYZ655413 KIT655396:KIV655413 KSP655396:KSR655413 LCL655396:LCN655413 LMH655396:LMJ655413 LWD655396:LWF655413 MFZ655396:MGB655413 MPV655396:MPX655413 MZR655396:MZT655413 NJN655396:NJP655413 NTJ655396:NTL655413 ODF655396:ODH655413 ONB655396:OND655413 OWX655396:OWZ655413 PGT655396:PGV655413 PQP655396:PQR655413 QAL655396:QAN655413 QKH655396:QKJ655413 QUD655396:QUF655413 RDZ655396:REB655413 RNV655396:RNX655413 RXR655396:RXT655413 SHN655396:SHP655413 SRJ655396:SRL655413 TBF655396:TBH655413 TLB655396:TLD655413 TUX655396:TUZ655413 UET655396:UEV655413 UOP655396:UOR655413 UYL655396:UYN655413 VIH655396:VIJ655413 VSD655396:VSF655413 WBZ655396:WCB655413 WLV655396:WLX655413 WVR655396:WVT655413 J720932:L720949 JF720932:JH720949 TB720932:TD720949 ACX720932:ACZ720949 AMT720932:AMV720949 AWP720932:AWR720949 BGL720932:BGN720949 BQH720932:BQJ720949 CAD720932:CAF720949 CJZ720932:CKB720949 CTV720932:CTX720949 DDR720932:DDT720949 DNN720932:DNP720949 DXJ720932:DXL720949 EHF720932:EHH720949 ERB720932:ERD720949 FAX720932:FAZ720949 FKT720932:FKV720949 FUP720932:FUR720949 GEL720932:GEN720949 GOH720932:GOJ720949 GYD720932:GYF720949 HHZ720932:HIB720949 HRV720932:HRX720949 IBR720932:IBT720949 ILN720932:ILP720949 IVJ720932:IVL720949 JFF720932:JFH720949 JPB720932:JPD720949 JYX720932:JYZ720949 KIT720932:KIV720949 KSP720932:KSR720949 LCL720932:LCN720949 LMH720932:LMJ720949 LWD720932:LWF720949 MFZ720932:MGB720949 MPV720932:MPX720949 MZR720932:MZT720949 NJN720932:NJP720949 NTJ720932:NTL720949 ODF720932:ODH720949 ONB720932:OND720949 OWX720932:OWZ720949 PGT720932:PGV720949 PQP720932:PQR720949 QAL720932:QAN720949 QKH720932:QKJ720949 QUD720932:QUF720949 RDZ720932:REB720949 RNV720932:RNX720949 RXR720932:RXT720949 SHN720932:SHP720949 SRJ720932:SRL720949 TBF720932:TBH720949 TLB720932:TLD720949 TUX720932:TUZ720949 UET720932:UEV720949 UOP720932:UOR720949 UYL720932:UYN720949 VIH720932:VIJ720949 VSD720932:VSF720949 WBZ720932:WCB720949 WLV720932:WLX720949 WVR720932:WVT720949 J786468:L786485 JF786468:JH786485 TB786468:TD786485 ACX786468:ACZ786485 AMT786468:AMV786485 AWP786468:AWR786485 BGL786468:BGN786485 BQH786468:BQJ786485 CAD786468:CAF786485 CJZ786468:CKB786485 CTV786468:CTX786485 DDR786468:DDT786485 DNN786468:DNP786485 DXJ786468:DXL786485 EHF786468:EHH786485 ERB786468:ERD786485 FAX786468:FAZ786485 FKT786468:FKV786485 FUP786468:FUR786485 GEL786468:GEN786485 GOH786468:GOJ786485 GYD786468:GYF786485 HHZ786468:HIB786485 HRV786468:HRX786485 IBR786468:IBT786485 ILN786468:ILP786485 IVJ786468:IVL786485 JFF786468:JFH786485 JPB786468:JPD786485 JYX786468:JYZ786485 KIT786468:KIV786485 KSP786468:KSR786485 LCL786468:LCN786485 LMH786468:LMJ786485 LWD786468:LWF786485 MFZ786468:MGB786485 MPV786468:MPX786485 MZR786468:MZT786485 NJN786468:NJP786485 NTJ786468:NTL786485 ODF786468:ODH786485 ONB786468:OND786485 OWX786468:OWZ786485 PGT786468:PGV786485 PQP786468:PQR786485 QAL786468:QAN786485 QKH786468:QKJ786485 QUD786468:QUF786485 RDZ786468:REB786485 RNV786468:RNX786485 RXR786468:RXT786485 SHN786468:SHP786485 SRJ786468:SRL786485 TBF786468:TBH786485 TLB786468:TLD786485 TUX786468:TUZ786485 UET786468:UEV786485 UOP786468:UOR786485 UYL786468:UYN786485 VIH786468:VIJ786485 VSD786468:VSF786485 WBZ786468:WCB786485 WLV786468:WLX786485 WVR786468:WVT786485 J852004:L852021 JF852004:JH852021 TB852004:TD852021 ACX852004:ACZ852021 AMT852004:AMV852021 AWP852004:AWR852021 BGL852004:BGN852021 BQH852004:BQJ852021 CAD852004:CAF852021 CJZ852004:CKB852021 CTV852004:CTX852021 DDR852004:DDT852021 DNN852004:DNP852021 DXJ852004:DXL852021 EHF852004:EHH852021 ERB852004:ERD852021 FAX852004:FAZ852021 FKT852004:FKV852021 FUP852004:FUR852021 GEL852004:GEN852021 GOH852004:GOJ852021 GYD852004:GYF852021 HHZ852004:HIB852021 HRV852004:HRX852021 IBR852004:IBT852021 ILN852004:ILP852021 IVJ852004:IVL852021 JFF852004:JFH852021 JPB852004:JPD852021 JYX852004:JYZ852021 KIT852004:KIV852021 KSP852004:KSR852021 LCL852004:LCN852021 LMH852004:LMJ852021 LWD852004:LWF852021 MFZ852004:MGB852021 MPV852004:MPX852021 MZR852004:MZT852021 NJN852004:NJP852021 NTJ852004:NTL852021 ODF852004:ODH852021 ONB852004:OND852021 OWX852004:OWZ852021 PGT852004:PGV852021 PQP852004:PQR852021 QAL852004:QAN852021 QKH852004:QKJ852021 QUD852004:QUF852021 RDZ852004:REB852021 RNV852004:RNX852021 RXR852004:RXT852021 SHN852004:SHP852021 SRJ852004:SRL852021 TBF852004:TBH852021 TLB852004:TLD852021 TUX852004:TUZ852021 UET852004:UEV852021 UOP852004:UOR852021 UYL852004:UYN852021 VIH852004:VIJ852021 VSD852004:VSF852021 WBZ852004:WCB852021 WLV852004:WLX852021 WVR852004:WVT852021 J917540:L917557 JF917540:JH917557 TB917540:TD917557 ACX917540:ACZ917557 AMT917540:AMV917557 AWP917540:AWR917557 BGL917540:BGN917557 BQH917540:BQJ917557 CAD917540:CAF917557 CJZ917540:CKB917557 CTV917540:CTX917557 DDR917540:DDT917557 DNN917540:DNP917557 DXJ917540:DXL917557 EHF917540:EHH917557 ERB917540:ERD917557 FAX917540:FAZ917557 FKT917540:FKV917557 FUP917540:FUR917557 GEL917540:GEN917557 GOH917540:GOJ917557 GYD917540:GYF917557 HHZ917540:HIB917557 HRV917540:HRX917557 IBR917540:IBT917557 ILN917540:ILP917557 IVJ917540:IVL917557 JFF917540:JFH917557 JPB917540:JPD917557 JYX917540:JYZ917557 KIT917540:KIV917557 KSP917540:KSR917557 LCL917540:LCN917557 LMH917540:LMJ917557 LWD917540:LWF917557 MFZ917540:MGB917557 MPV917540:MPX917557 MZR917540:MZT917557 NJN917540:NJP917557 NTJ917540:NTL917557 ODF917540:ODH917557 ONB917540:OND917557 OWX917540:OWZ917557 PGT917540:PGV917557 PQP917540:PQR917557 QAL917540:QAN917557 QKH917540:QKJ917557 QUD917540:QUF917557 RDZ917540:REB917557 RNV917540:RNX917557 RXR917540:RXT917557 SHN917540:SHP917557 SRJ917540:SRL917557 TBF917540:TBH917557 TLB917540:TLD917557 TUX917540:TUZ917557 UET917540:UEV917557 UOP917540:UOR917557 UYL917540:UYN917557 VIH917540:VIJ917557 VSD917540:VSF917557 WBZ917540:WCB917557 WLV917540:WLX917557 WVR917540:WVT917557 J983076:L983093 JF983076:JH983093 TB983076:TD983093 ACX983076:ACZ983093 AMT983076:AMV983093 AWP983076:AWR983093 BGL983076:BGN983093 BQH983076:BQJ983093 CAD983076:CAF983093 CJZ983076:CKB983093 CTV983076:CTX983093 DDR983076:DDT983093 DNN983076:DNP983093 DXJ983076:DXL983093 EHF983076:EHH983093 ERB983076:ERD983093 FAX983076:FAZ983093 FKT983076:FKV983093 FUP983076:FUR983093 GEL983076:GEN983093 GOH983076:GOJ983093 GYD983076:GYF983093 HHZ983076:HIB983093 HRV983076:HRX983093 IBR983076:IBT983093 ILN983076:ILP983093 IVJ983076:IVL983093 JFF983076:JFH983093 JPB983076:JPD983093 JYX983076:JYZ983093 KIT983076:KIV983093 KSP983076:KSR983093 LCL983076:LCN983093 LMH983076:LMJ983093 LWD983076:LWF983093 MFZ983076:MGB983093 MPV983076:MPX983093 MZR983076:MZT983093 NJN983076:NJP983093 NTJ983076:NTL983093 ODF983076:ODH983093 ONB983076:OND983093 OWX983076:OWZ983093 PGT983076:PGV983093 PQP983076:PQR983093 QAL983076:QAN983093 QKH983076:QKJ983093 QUD983076:QUF983093 RDZ983076:REB983093 RNV983076:RNX983093 RXR983076:RXT983093 SHN983076:SHP983093 SRJ983076:SRL983093 TBF983076:TBH983093 TLB983076:TLD983093 TUX983076:TUZ983093 UET983076:UEV983093 UOP983076:UOR983093 UYL983076:UYN983093 VIH983076:VIJ983093 VSD983076:VSF983093 WBZ983076:WCB983093 WLV983076:WLX983093 WVR983076:WVT983093 WVJ983069:WVK983093 JE34:JH35 TA34:TD35 ACW34:ACZ35 AMS34:AMV35 AWO34:AWR35 BGK34:BGN35 BQG34:BQJ35 CAC34:CAF35 CJY34:CKB35 CTU34:CTX35 DDQ34:DDT35 DNM34:DNP35 DXI34:DXL35 EHE34:EHH35 ERA34:ERD35 FAW34:FAZ35 FKS34:FKV35 FUO34:FUR35 GEK34:GEN35 GOG34:GOJ35 GYC34:GYF35 HHY34:HIB35 HRU34:HRX35 IBQ34:IBT35 ILM34:ILP35 IVI34:IVL35 JFE34:JFH35 JPA34:JPD35 JYW34:JYZ35 KIS34:KIV35 KSO34:KSR35 LCK34:LCN35 LMG34:LMJ35 LWC34:LWF35 MFY34:MGB35 MPU34:MPX35 MZQ34:MZT35 NJM34:NJP35 NTI34:NTL35 ODE34:ODH35 ONA34:OND35 OWW34:OWZ35 PGS34:PGV35 PQO34:PQR35 QAK34:QAN35 QKG34:QKJ35 QUC34:QUF35 RDY34:REB35 RNU34:RNX35 RXQ34:RXT35 SHM34:SHP35 SRI34:SRL35 TBE34:TBH35 TLA34:TLD35 TUW34:TUZ35 UES34:UEV35 UOO34:UOR35 UYK34:UYN35 VIG34:VIJ35 VSC34:VSF35 WBY34:WCB35 WLU34:WLX35 WVQ34:WVT35 I65570:L65571 JE65570:JH65571 TA65570:TD65571 ACW65570:ACZ65571 AMS65570:AMV65571 AWO65570:AWR65571 BGK65570:BGN65571 BQG65570:BQJ65571 CAC65570:CAF65571 CJY65570:CKB65571 CTU65570:CTX65571 DDQ65570:DDT65571 DNM65570:DNP65571 DXI65570:DXL65571 EHE65570:EHH65571 ERA65570:ERD65571 FAW65570:FAZ65571 FKS65570:FKV65571 FUO65570:FUR65571 GEK65570:GEN65571 GOG65570:GOJ65571 GYC65570:GYF65571 HHY65570:HIB65571 HRU65570:HRX65571 IBQ65570:IBT65571 ILM65570:ILP65571 IVI65570:IVL65571 JFE65570:JFH65571 JPA65570:JPD65571 JYW65570:JYZ65571 KIS65570:KIV65571 KSO65570:KSR65571 LCK65570:LCN65571 LMG65570:LMJ65571 LWC65570:LWF65571 MFY65570:MGB65571 MPU65570:MPX65571 MZQ65570:MZT65571 NJM65570:NJP65571 NTI65570:NTL65571 ODE65570:ODH65571 ONA65570:OND65571 OWW65570:OWZ65571 PGS65570:PGV65571 PQO65570:PQR65571 QAK65570:QAN65571 QKG65570:QKJ65571 QUC65570:QUF65571 RDY65570:REB65571 RNU65570:RNX65571 RXQ65570:RXT65571 SHM65570:SHP65571 SRI65570:SRL65571 TBE65570:TBH65571 TLA65570:TLD65571 TUW65570:TUZ65571 UES65570:UEV65571 UOO65570:UOR65571 UYK65570:UYN65571 VIG65570:VIJ65571 VSC65570:VSF65571 WBY65570:WCB65571 WLU65570:WLX65571 WVQ65570:WVT65571 I131106:L131107 JE131106:JH131107 TA131106:TD131107 ACW131106:ACZ131107 AMS131106:AMV131107 AWO131106:AWR131107 BGK131106:BGN131107 BQG131106:BQJ131107 CAC131106:CAF131107 CJY131106:CKB131107 CTU131106:CTX131107 DDQ131106:DDT131107 DNM131106:DNP131107 DXI131106:DXL131107 EHE131106:EHH131107 ERA131106:ERD131107 FAW131106:FAZ131107 FKS131106:FKV131107 FUO131106:FUR131107 GEK131106:GEN131107 GOG131106:GOJ131107 GYC131106:GYF131107 HHY131106:HIB131107 HRU131106:HRX131107 IBQ131106:IBT131107 ILM131106:ILP131107 IVI131106:IVL131107 JFE131106:JFH131107 JPA131106:JPD131107 JYW131106:JYZ131107 KIS131106:KIV131107 KSO131106:KSR131107 LCK131106:LCN131107 LMG131106:LMJ131107 LWC131106:LWF131107 MFY131106:MGB131107 MPU131106:MPX131107 MZQ131106:MZT131107 NJM131106:NJP131107 NTI131106:NTL131107 ODE131106:ODH131107 ONA131106:OND131107 OWW131106:OWZ131107 PGS131106:PGV131107 PQO131106:PQR131107 QAK131106:QAN131107 QKG131106:QKJ131107 QUC131106:QUF131107 RDY131106:REB131107 RNU131106:RNX131107 RXQ131106:RXT131107 SHM131106:SHP131107 SRI131106:SRL131107 TBE131106:TBH131107 TLA131106:TLD131107 TUW131106:TUZ131107 UES131106:UEV131107 UOO131106:UOR131107 UYK131106:UYN131107 VIG131106:VIJ131107 VSC131106:VSF131107 WBY131106:WCB131107 WLU131106:WLX131107 WVQ131106:WVT131107 I196642:L196643 JE196642:JH196643 TA196642:TD196643 ACW196642:ACZ196643 AMS196642:AMV196643 AWO196642:AWR196643 BGK196642:BGN196643 BQG196642:BQJ196643 CAC196642:CAF196643 CJY196642:CKB196643 CTU196642:CTX196643 DDQ196642:DDT196643 DNM196642:DNP196643 DXI196642:DXL196643 EHE196642:EHH196643 ERA196642:ERD196643 FAW196642:FAZ196643 FKS196642:FKV196643 FUO196642:FUR196643 GEK196642:GEN196643 GOG196642:GOJ196643 GYC196642:GYF196643 HHY196642:HIB196643 HRU196642:HRX196643 IBQ196642:IBT196643 ILM196642:ILP196643 IVI196642:IVL196643 JFE196642:JFH196643 JPA196642:JPD196643 JYW196642:JYZ196643 KIS196642:KIV196643 KSO196642:KSR196643 LCK196642:LCN196643 LMG196642:LMJ196643 LWC196642:LWF196643 MFY196642:MGB196643 MPU196642:MPX196643 MZQ196642:MZT196643 NJM196642:NJP196643 NTI196642:NTL196643 ODE196642:ODH196643 ONA196642:OND196643 OWW196642:OWZ196643 PGS196642:PGV196643 PQO196642:PQR196643 QAK196642:QAN196643 QKG196642:QKJ196643 QUC196642:QUF196643 RDY196642:REB196643 RNU196642:RNX196643 RXQ196642:RXT196643 SHM196642:SHP196643 SRI196642:SRL196643 TBE196642:TBH196643 TLA196642:TLD196643 TUW196642:TUZ196643 UES196642:UEV196643 UOO196642:UOR196643 UYK196642:UYN196643 VIG196642:VIJ196643 VSC196642:VSF196643 WBY196642:WCB196643 WLU196642:WLX196643 WVQ196642:WVT196643 I262178:L262179 JE262178:JH262179 TA262178:TD262179 ACW262178:ACZ262179 AMS262178:AMV262179 AWO262178:AWR262179 BGK262178:BGN262179 BQG262178:BQJ262179 CAC262178:CAF262179 CJY262178:CKB262179 CTU262178:CTX262179 DDQ262178:DDT262179 DNM262178:DNP262179 DXI262178:DXL262179 EHE262178:EHH262179 ERA262178:ERD262179 FAW262178:FAZ262179 FKS262178:FKV262179 FUO262178:FUR262179 GEK262178:GEN262179 GOG262178:GOJ262179 GYC262178:GYF262179 HHY262178:HIB262179 HRU262178:HRX262179 IBQ262178:IBT262179 ILM262178:ILP262179 IVI262178:IVL262179 JFE262178:JFH262179 JPA262178:JPD262179 JYW262178:JYZ262179 KIS262178:KIV262179 KSO262178:KSR262179 LCK262178:LCN262179 LMG262178:LMJ262179 LWC262178:LWF262179 MFY262178:MGB262179 MPU262178:MPX262179 MZQ262178:MZT262179 NJM262178:NJP262179 NTI262178:NTL262179 ODE262178:ODH262179 ONA262178:OND262179 OWW262178:OWZ262179 PGS262178:PGV262179 PQO262178:PQR262179 QAK262178:QAN262179 QKG262178:QKJ262179 QUC262178:QUF262179 RDY262178:REB262179 RNU262178:RNX262179 RXQ262178:RXT262179 SHM262178:SHP262179 SRI262178:SRL262179 TBE262178:TBH262179 TLA262178:TLD262179 TUW262178:TUZ262179 UES262178:UEV262179 UOO262178:UOR262179 UYK262178:UYN262179 VIG262178:VIJ262179 VSC262178:VSF262179 WBY262178:WCB262179 WLU262178:WLX262179 WVQ262178:WVT262179 I327714:L327715 JE327714:JH327715 TA327714:TD327715 ACW327714:ACZ327715 AMS327714:AMV327715 AWO327714:AWR327715 BGK327714:BGN327715 BQG327714:BQJ327715 CAC327714:CAF327715 CJY327714:CKB327715 CTU327714:CTX327715 DDQ327714:DDT327715 DNM327714:DNP327715 DXI327714:DXL327715 EHE327714:EHH327715 ERA327714:ERD327715 FAW327714:FAZ327715 FKS327714:FKV327715 FUO327714:FUR327715 GEK327714:GEN327715 GOG327714:GOJ327715 GYC327714:GYF327715 HHY327714:HIB327715 HRU327714:HRX327715 IBQ327714:IBT327715 ILM327714:ILP327715 IVI327714:IVL327715 JFE327714:JFH327715 JPA327714:JPD327715 JYW327714:JYZ327715 KIS327714:KIV327715 KSO327714:KSR327715 LCK327714:LCN327715 LMG327714:LMJ327715 LWC327714:LWF327715 MFY327714:MGB327715 MPU327714:MPX327715 MZQ327714:MZT327715 NJM327714:NJP327715 NTI327714:NTL327715 ODE327714:ODH327715 ONA327714:OND327715 OWW327714:OWZ327715 PGS327714:PGV327715 PQO327714:PQR327715 QAK327714:QAN327715 QKG327714:QKJ327715 QUC327714:QUF327715 RDY327714:REB327715 RNU327714:RNX327715 RXQ327714:RXT327715 SHM327714:SHP327715 SRI327714:SRL327715 TBE327714:TBH327715 TLA327714:TLD327715 TUW327714:TUZ327715 UES327714:UEV327715 UOO327714:UOR327715 UYK327714:UYN327715 VIG327714:VIJ327715 VSC327714:VSF327715 WBY327714:WCB327715 WLU327714:WLX327715 WVQ327714:WVT327715 I393250:L393251 JE393250:JH393251 TA393250:TD393251 ACW393250:ACZ393251 AMS393250:AMV393251 AWO393250:AWR393251 BGK393250:BGN393251 BQG393250:BQJ393251 CAC393250:CAF393251 CJY393250:CKB393251 CTU393250:CTX393251 DDQ393250:DDT393251 DNM393250:DNP393251 DXI393250:DXL393251 EHE393250:EHH393251 ERA393250:ERD393251 FAW393250:FAZ393251 FKS393250:FKV393251 FUO393250:FUR393251 GEK393250:GEN393251 GOG393250:GOJ393251 GYC393250:GYF393251 HHY393250:HIB393251 HRU393250:HRX393251 IBQ393250:IBT393251 ILM393250:ILP393251 IVI393250:IVL393251 JFE393250:JFH393251 JPA393250:JPD393251 JYW393250:JYZ393251 KIS393250:KIV393251 KSO393250:KSR393251 LCK393250:LCN393251 LMG393250:LMJ393251 LWC393250:LWF393251 MFY393250:MGB393251 MPU393250:MPX393251 MZQ393250:MZT393251 NJM393250:NJP393251 NTI393250:NTL393251 ODE393250:ODH393251 ONA393250:OND393251 OWW393250:OWZ393251 PGS393250:PGV393251 PQO393250:PQR393251 QAK393250:QAN393251 QKG393250:QKJ393251 QUC393250:QUF393251 RDY393250:REB393251 RNU393250:RNX393251 RXQ393250:RXT393251 SHM393250:SHP393251 SRI393250:SRL393251 TBE393250:TBH393251 TLA393250:TLD393251 TUW393250:TUZ393251 UES393250:UEV393251 UOO393250:UOR393251 UYK393250:UYN393251 VIG393250:VIJ393251 VSC393250:VSF393251 WBY393250:WCB393251 WLU393250:WLX393251 WVQ393250:WVT393251 I458786:L458787 JE458786:JH458787 TA458786:TD458787 ACW458786:ACZ458787 AMS458786:AMV458787 AWO458786:AWR458787 BGK458786:BGN458787 BQG458786:BQJ458787 CAC458786:CAF458787 CJY458786:CKB458787 CTU458786:CTX458787 DDQ458786:DDT458787 DNM458786:DNP458787 DXI458786:DXL458787 EHE458786:EHH458787 ERA458786:ERD458787 FAW458786:FAZ458787 FKS458786:FKV458787 FUO458786:FUR458787 GEK458786:GEN458787 GOG458786:GOJ458787 GYC458786:GYF458787 HHY458786:HIB458787 HRU458786:HRX458787 IBQ458786:IBT458787 ILM458786:ILP458787 IVI458786:IVL458787 JFE458786:JFH458787 JPA458786:JPD458787 JYW458786:JYZ458787 KIS458786:KIV458787 KSO458786:KSR458787 LCK458786:LCN458787 LMG458786:LMJ458787 LWC458786:LWF458787 MFY458786:MGB458787 MPU458786:MPX458787 MZQ458786:MZT458787 NJM458786:NJP458787 NTI458786:NTL458787 ODE458786:ODH458787 ONA458786:OND458787 OWW458786:OWZ458787 PGS458786:PGV458787 PQO458786:PQR458787 QAK458786:QAN458787 QKG458786:QKJ458787 QUC458786:QUF458787 RDY458786:REB458787 RNU458786:RNX458787 RXQ458786:RXT458787 SHM458786:SHP458787 SRI458786:SRL458787 TBE458786:TBH458787 TLA458786:TLD458787 TUW458786:TUZ458787 UES458786:UEV458787 UOO458786:UOR458787 UYK458786:UYN458787 VIG458786:VIJ458787 VSC458786:VSF458787 WBY458786:WCB458787 WLU458786:WLX458787 WVQ458786:WVT458787 I524322:L524323 JE524322:JH524323 TA524322:TD524323 ACW524322:ACZ524323 AMS524322:AMV524323 AWO524322:AWR524323 BGK524322:BGN524323 BQG524322:BQJ524323 CAC524322:CAF524323 CJY524322:CKB524323 CTU524322:CTX524323 DDQ524322:DDT524323 DNM524322:DNP524323 DXI524322:DXL524323 EHE524322:EHH524323 ERA524322:ERD524323 FAW524322:FAZ524323 FKS524322:FKV524323 FUO524322:FUR524323 GEK524322:GEN524323 GOG524322:GOJ524323 GYC524322:GYF524323 HHY524322:HIB524323 HRU524322:HRX524323 IBQ524322:IBT524323 ILM524322:ILP524323 IVI524322:IVL524323 JFE524322:JFH524323 JPA524322:JPD524323 JYW524322:JYZ524323 KIS524322:KIV524323 KSO524322:KSR524323 LCK524322:LCN524323 LMG524322:LMJ524323 LWC524322:LWF524323 MFY524322:MGB524323 MPU524322:MPX524323 MZQ524322:MZT524323 NJM524322:NJP524323 NTI524322:NTL524323 ODE524322:ODH524323 ONA524322:OND524323 OWW524322:OWZ524323 PGS524322:PGV524323 PQO524322:PQR524323 QAK524322:QAN524323 QKG524322:QKJ524323 QUC524322:QUF524323 RDY524322:REB524323 RNU524322:RNX524323 RXQ524322:RXT524323 SHM524322:SHP524323 SRI524322:SRL524323 TBE524322:TBH524323 TLA524322:TLD524323 TUW524322:TUZ524323 UES524322:UEV524323 UOO524322:UOR524323 UYK524322:UYN524323 VIG524322:VIJ524323 VSC524322:VSF524323 WBY524322:WCB524323 WLU524322:WLX524323 WVQ524322:WVT524323 I589858:L589859 JE589858:JH589859 TA589858:TD589859 ACW589858:ACZ589859 AMS589858:AMV589859 AWO589858:AWR589859 BGK589858:BGN589859 BQG589858:BQJ589859 CAC589858:CAF589859 CJY589858:CKB589859 CTU589858:CTX589859 DDQ589858:DDT589859 DNM589858:DNP589859 DXI589858:DXL589859 EHE589858:EHH589859 ERA589858:ERD589859 FAW589858:FAZ589859 FKS589858:FKV589859 FUO589858:FUR589859 GEK589858:GEN589859 GOG589858:GOJ589859 GYC589858:GYF589859 HHY589858:HIB589859 HRU589858:HRX589859 IBQ589858:IBT589859 ILM589858:ILP589859 IVI589858:IVL589859 JFE589858:JFH589859 JPA589858:JPD589859 JYW589858:JYZ589859 KIS589858:KIV589859 KSO589858:KSR589859 LCK589858:LCN589859 LMG589858:LMJ589859 LWC589858:LWF589859 MFY589858:MGB589859 MPU589858:MPX589859 MZQ589858:MZT589859 NJM589858:NJP589859 NTI589858:NTL589859 ODE589858:ODH589859 ONA589858:OND589859 OWW589858:OWZ589859 PGS589858:PGV589859 PQO589858:PQR589859 QAK589858:QAN589859 QKG589858:QKJ589859 QUC589858:QUF589859 RDY589858:REB589859 RNU589858:RNX589859 RXQ589858:RXT589859 SHM589858:SHP589859 SRI589858:SRL589859 TBE589858:TBH589859 TLA589858:TLD589859 TUW589858:TUZ589859 UES589858:UEV589859 UOO589858:UOR589859 UYK589858:UYN589859 VIG589858:VIJ589859 VSC589858:VSF589859 WBY589858:WCB589859 WLU589858:WLX589859 WVQ589858:WVT589859 I655394:L655395 JE655394:JH655395 TA655394:TD655395 ACW655394:ACZ655395 AMS655394:AMV655395 AWO655394:AWR655395 BGK655394:BGN655395 BQG655394:BQJ655395 CAC655394:CAF655395 CJY655394:CKB655395 CTU655394:CTX655395 DDQ655394:DDT655395 DNM655394:DNP655395 DXI655394:DXL655395 EHE655394:EHH655395 ERA655394:ERD655395 FAW655394:FAZ655395 FKS655394:FKV655395 FUO655394:FUR655395 GEK655394:GEN655395 GOG655394:GOJ655395 GYC655394:GYF655395 HHY655394:HIB655395 HRU655394:HRX655395 IBQ655394:IBT655395 ILM655394:ILP655395 IVI655394:IVL655395 JFE655394:JFH655395 JPA655394:JPD655395 JYW655394:JYZ655395 KIS655394:KIV655395 KSO655394:KSR655395 LCK655394:LCN655395 LMG655394:LMJ655395 LWC655394:LWF655395 MFY655394:MGB655395 MPU655394:MPX655395 MZQ655394:MZT655395 NJM655394:NJP655395 NTI655394:NTL655395 ODE655394:ODH655395 ONA655394:OND655395 OWW655394:OWZ655395 PGS655394:PGV655395 PQO655394:PQR655395 QAK655394:QAN655395 QKG655394:QKJ655395 QUC655394:QUF655395 RDY655394:REB655395 RNU655394:RNX655395 RXQ655394:RXT655395 SHM655394:SHP655395 SRI655394:SRL655395 TBE655394:TBH655395 TLA655394:TLD655395 TUW655394:TUZ655395 UES655394:UEV655395 UOO655394:UOR655395 UYK655394:UYN655395 VIG655394:VIJ655395 VSC655394:VSF655395 WBY655394:WCB655395 WLU655394:WLX655395 WVQ655394:WVT655395 I720930:L720931 JE720930:JH720931 TA720930:TD720931 ACW720930:ACZ720931 AMS720930:AMV720931 AWO720930:AWR720931 BGK720930:BGN720931 BQG720930:BQJ720931 CAC720930:CAF720931 CJY720930:CKB720931 CTU720930:CTX720931 DDQ720930:DDT720931 DNM720930:DNP720931 DXI720930:DXL720931 EHE720930:EHH720931 ERA720930:ERD720931 FAW720930:FAZ720931 FKS720930:FKV720931 FUO720930:FUR720931 GEK720930:GEN720931 GOG720930:GOJ720931 GYC720930:GYF720931 HHY720930:HIB720931 HRU720930:HRX720931 IBQ720930:IBT720931 ILM720930:ILP720931 IVI720930:IVL720931 JFE720930:JFH720931 JPA720930:JPD720931 JYW720930:JYZ720931 KIS720930:KIV720931 KSO720930:KSR720931 LCK720930:LCN720931 LMG720930:LMJ720931 LWC720930:LWF720931 MFY720930:MGB720931 MPU720930:MPX720931 MZQ720930:MZT720931 NJM720930:NJP720931 NTI720930:NTL720931 ODE720930:ODH720931 ONA720930:OND720931 OWW720930:OWZ720931 PGS720930:PGV720931 PQO720930:PQR720931 QAK720930:QAN720931 QKG720930:QKJ720931 QUC720930:QUF720931 RDY720930:REB720931 RNU720930:RNX720931 RXQ720930:RXT720931 SHM720930:SHP720931 SRI720930:SRL720931 TBE720930:TBH720931 TLA720930:TLD720931 TUW720930:TUZ720931 UES720930:UEV720931 UOO720930:UOR720931 UYK720930:UYN720931 VIG720930:VIJ720931 VSC720930:VSF720931 WBY720930:WCB720931 WLU720930:WLX720931 WVQ720930:WVT720931 I786466:L786467 JE786466:JH786467 TA786466:TD786467 ACW786466:ACZ786467 AMS786466:AMV786467 AWO786466:AWR786467 BGK786466:BGN786467 BQG786466:BQJ786467 CAC786466:CAF786467 CJY786466:CKB786467 CTU786466:CTX786467 DDQ786466:DDT786467 DNM786466:DNP786467 DXI786466:DXL786467 EHE786466:EHH786467 ERA786466:ERD786467 FAW786466:FAZ786467 FKS786466:FKV786467 FUO786466:FUR786467 GEK786466:GEN786467 GOG786466:GOJ786467 GYC786466:GYF786467 HHY786466:HIB786467 HRU786466:HRX786467 IBQ786466:IBT786467 ILM786466:ILP786467 IVI786466:IVL786467 JFE786466:JFH786467 JPA786466:JPD786467 JYW786466:JYZ786467 KIS786466:KIV786467 KSO786466:KSR786467 LCK786466:LCN786467 LMG786466:LMJ786467 LWC786466:LWF786467 MFY786466:MGB786467 MPU786466:MPX786467 MZQ786466:MZT786467 NJM786466:NJP786467 NTI786466:NTL786467 ODE786466:ODH786467 ONA786466:OND786467 OWW786466:OWZ786467 PGS786466:PGV786467 PQO786466:PQR786467 QAK786466:QAN786467 QKG786466:QKJ786467 QUC786466:QUF786467 RDY786466:REB786467 RNU786466:RNX786467 RXQ786466:RXT786467 SHM786466:SHP786467 SRI786466:SRL786467 TBE786466:TBH786467 TLA786466:TLD786467 TUW786466:TUZ786467 UES786466:UEV786467 UOO786466:UOR786467 UYK786466:UYN786467 VIG786466:VIJ786467 VSC786466:VSF786467 WBY786466:WCB786467 WLU786466:WLX786467 WVQ786466:WVT786467 I852002:L852003 JE852002:JH852003 TA852002:TD852003 ACW852002:ACZ852003 AMS852002:AMV852003 AWO852002:AWR852003 BGK852002:BGN852003 BQG852002:BQJ852003 CAC852002:CAF852003 CJY852002:CKB852003 CTU852002:CTX852003 DDQ852002:DDT852003 DNM852002:DNP852003 DXI852002:DXL852003 EHE852002:EHH852003 ERA852002:ERD852003 FAW852002:FAZ852003 FKS852002:FKV852003 FUO852002:FUR852003 GEK852002:GEN852003 GOG852002:GOJ852003 GYC852002:GYF852003 HHY852002:HIB852003 HRU852002:HRX852003 IBQ852002:IBT852003 ILM852002:ILP852003 IVI852002:IVL852003 JFE852002:JFH852003 JPA852002:JPD852003 JYW852002:JYZ852003 KIS852002:KIV852003 KSO852002:KSR852003 LCK852002:LCN852003 LMG852002:LMJ852003 LWC852002:LWF852003 MFY852002:MGB852003 MPU852002:MPX852003 MZQ852002:MZT852003 NJM852002:NJP852003 NTI852002:NTL852003 ODE852002:ODH852003 ONA852002:OND852003 OWW852002:OWZ852003 PGS852002:PGV852003 PQO852002:PQR852003 QAK852002:QAN852003 QKG852002:QKJ852003 QUC852002:QUF852003 RDY852002:REB852003 RNU852002:RNX852003 RXQ852002:RXT852003 SHM852002:SHP852003 SRI852002:SRL852003 TBE852002:TBH852003 TLA852002:TLD852003 TUW852002:TUZ852003 UES852002:UEV852003 UOO852002:UOR852003 UYK852002:UYN852003 VIG852002:VIJ852003 VSC852002:VSF852003 WBY852002:WCB852003 WLU852002:WLX852003 WVQ852002:WVT852003 I917538:L917539 JE917538:JH917539 TA917538:TD917539 ACW917538:ACZ917539 AMS917538:AMV917539 AWO917538:AWR917539 BGK917538:BGN917539 BQG917538:BQJ917539 CAC917538:CAF917539 CJY917538:CKB917539 CTU917538:CTX917539 DDQ917538:DDT917539 DNM917538:DNP917539 DXI917538:DXL917539 EHE917538:EHH917539 ERA917538:ERD917539 FAW917538:FAZ917539 FKS917538:FKV917539 FUO917538:FUR917539 GEK917538:GEN917539 GOG917538:GOJ917539 GYC917538:GYF917539 HHY917538:HIB917539 HRU917538:HRX917539 IBQ917538:IBT917539 ILM917538:ILP917539 IVI917538:IVL917539 JFE917538:JFH917539 JPA917538:JPD917539 JYW917538:JYZ917539 KIS917538:KIV917539 KSO917538:KSR917539 LCK917538:LCN917539 LMG917538:LMJ917539 LWC917538:LWF917539 MFY917538:MGB917539 MPU917538:MPX917539 MZQ917538:MZT917539 NJM917538:NJP917539 NTI917538:NTL917539 ODE917538:ODH917539 ONA917538:OND917539 OWW917538:OWZ917539 PGS917538:PGV917539 PQO917538:PQR917539 QAK917538:QAN917539 QKG917538:QKJ917539 QUC917538:QUF917539 RDY917538:REB917539 RNU917538:RNX917539 RXQ917538:RXT917539 SHM917538:SHP917539 SRI917538:SRL917539 TBE917538:TBH917539 TLA917538:TLD917539 TUW917538:TUZ917539 UES917538:UEV917539 UOO917538:UOR917539 UYK917538:UYN917539 VIG917538:VIJ917539 VSC917538:VSF917539 WBY917538:WCB917539 WLU917538:WLX917539 WVQ917538:WVT917539 I983074:L983075 JE983074:JH983075 TA983074:TD983075 ACW983074:ACZ983075 AMS983074:AMV983075 AWO983074:AWR983075 BGK983074:BGN983075 BQG983074:BQJ983075 CAC983074:CAF983075 CJY983074:CKB983075 CTU983074:CTX983075 DDQ983074:DDT983075 DNM983074:DNP983075 DXI983074:DXL983075 EHE983074:EHH983075 ERA983074:ERD983075 FAW983074:FAZ983075 FKS983074:FKV983075 FUO983074:FUR983075 GEK983074:GEN983075 GOG983074:GOJ983075 GYC983074:GYF983075 HHY983074:HIB983075 HRU983074:HRX983075 IBQ983074:IBT983075 ILM983074:ILP983075 IVI983074:IVL983075 JFE983074:JFH983075 JPA983074:JPD983075 JYW983074:JYZ983075 KIS983074:KIV983075 KSO983074:KSR983075 LCK983074:LCN983075 LMG983074:LMJ983075 LWC983074:LWF983075 MFY983074:MGB983075 MPU983074:MPX983075 MZQ983074:MZT983075 NJM983074:NJP983075 NTI983074:NTL983075 ODE983074:ODH983075 ONA983074:OND983075 OWW983074:OWZ983075 PGS983074:PGV983075 PQO983074:PQR983075 QAK983074:QAN983075 QKG983074:QKJ983075 QUC983074:QUF983075 RDY983074:REB983075 RNU983074:RNX983075 RXQ983074:RXT983075 SHM983074:SHP983075 SRI983074:SRL983075 TBE983074:TBH983075 TLA983074:TLD983075 TUW983074:TUZ983075 UES983074:UEV983075 UOO983074:UOR983075 UYK983074:UYN983075 VIG983074:VIJ983075 VSC983074:VSF983075 WBY983074:WCB983075 WLU983074:WLX983075 WVQ983074:WVT983075 M45:M53 IX29:IY53 ST29:SU53 ACP29:ACQ53 AML29:AMM53 AWH29:AWI53 BGD29:BGE53 BPZ29:BQA53 BZV29:BZW53 CJR29:CJS53 CTN29:CTO53 DDJ29:DDK53 DNF29:DNG53 DXB29:DXC53 EGX29:EGY53 EQT29:EQU53 FAP29:FAQ53 FKL29:FKM53 FUH29:FUI53 GED29:GEE53 GNZ29:GOA53 GXV29:GXW53 HHR29:HHS53 HRN29:HRO53 IBJ29:IBK53 ILF29:ILG53 IVB29:IVC53 JEX29:JEY53 JOT29:JOU53 JYP29:JYQ53 KIL29:KIM53 KSH29:KSI53 LCD29:LCE53 LLZ29:LMA53 LVV29:LVW53 MFR29:MFS53 MPN29:MPO53 MZJ29:MZK53 NJF29:NJG53 NTB29:NTC53 OCX29:OCY53 OMT29:OMU53 OWP29:OWQ53 PGL29:PGM53 PQH29:PQI53 QAD29:QAE53 QJZ29:QKA53 QTV29:QTW53 RDR29:RDS53 RNN29:RNO53 RXJ29:RXK53 SHF29:SHG53 SRB29:SRC53 TAX29:TAY53 TKT29:TKU53 TUP29:TUQ53 UEL29:UEM53 UOH29:UOI53 UYD29:UYE53 VHZ29:VIA53 VRV29:VRW53 WBR29:WBS53 WLN29:WLO53 WVJ29:WVK53 B65565:C65589 IX65565:IY65589 ST65565:SU65589 ACP65565:ACQ65589 AML65565:AMM65589 AWH65565:AWI65589 BGD65565:BGE65589 BPZ65565:BQA65589 BZV65565:BZW65589 CJR65565:CJS65589 CTN65565:CTO65589 DDJ65565:DDK65589 DNF65565:DNG65589 DXB65565:DXC65589 EGX65565:EGY65589 EQT65565:EQU65589 FAP65565:FAQ65589 FKL65565:FKM65589 FUH65565:FUI65589 GED65565:GEE65589 GNZ65565:GOA65589 GXV65565:GXW65589 HHR65565:HHS65589 HRN65565:HRO65589 IBJ65565:IBK65589 ILF65565:ILG65589 IVB65565:IVC65589 JEX65565:JEY65589 JOT65565:JOU65589 JYP65565:JYQ65589 KIL65565:KIM65589 KSH65565:KSI65589 LCD65565:LCE65589 LLZ65565:LMA65589 LVV65565:LVW65589 MFR65565:MFS65589 MPN65565:MPO65589 MZJ65565:MZK65589 NJF65565:NJG65589 NTB65565:NTC65589 OCX65565:OCY65589 OMT65565:OMU65589 OWP65565:OWQ65589 PGL65565:PGM65589 PQH65565:PQI65589 QAD65565:QAE65589 QJZ65565:QKA65589 QTV65565:QTW65589 RDR65565:RDS65589 RNN65565:RNO65589 RXJ65565:RXK65589 SHF65565:SHG65589 SRB65565:SRC65589 TAX65565:TAY65589 TKT65565:TKU65589 TUP65565:TUQ65589 UEL65565:UEM65589 UOH65565:UOI65589 UYD65565:UYE65589 VHZ65565:VIA65589 VRV65565:VRW65589 WBR65565:WBS65589 WLN65565:WLO65589 WVJ65565:WVK65589 B131101:C131125 IX131101:IY131125 ST131101:SU131125 ACP131101:ACQ131125 AML131101:AMM131125 AWH131101:AWI131125 BGD131101:BGE131125 BPZ131101:BQA131125 BZV131101:BZW131125 CJR131101:CJS131125 CTN131101:CTO131125 DDJ131101:DDK131125 DNF131101:DNG131125 DXB131101:DXC131125 EGX131101:EGY131125 EQT131101:EQU131125 FAP131101:FAQ131125 FKL131101:FKM131125 FUH131101:FUI131125 GED131101:GEE131125 GNZ131101:GOA131125 GXV131101:GXW131125 HHR131101:HHS131125 HRN131101:HRO131125 IBJ131101:IBK131125 ILF131101:ILG131125 IVB131101:IVC131125 JEX131101:JEY131125 JOT131101:JOU131125 JYP131101:JYQ131125 KIL131101:KIM131125 KSH131101:KSI131125 LCD131101:LCE131125 LLZ131101:LMA131125 LVV131101:LVW131125 MFR131101:MFS131125 MPN131101:MPO131125 MZJ131101:MZK131125 NJF131101:NJG131125 NTB131101:NTC131125 OCX131101:OCY131125 OMT131101:OMU131125 OWP131101:OWQ131125 PGL131101:PGM131125 PQH131101:PQI131125 QAD131101:QAE131125 QJZ131101:QKA131125 QTV131101:QTW131125 RDR131101:RDS131125 RNN131101:RNO131125 RXJ131101:RXK131125 SHF131101:SHG131125 SRB131101:SRC131125 TAX131101:TAY131125 TKT131101:TKU131125 TUP131101:TUQ131125 UEL131101:UEM131125 UOH131101:UOI131125 UYD131101:UYE131125 VHZ131101:VIA131125 VRV131101:VRW131125 WBR131101:WBS131125 WLN131101:WLO131125 WVJ131101:WVK131125 B196637:C196661 IX196637:IY196661 ST196637:SU196661 ACP196637:ACQ196661 AML196637:AMM196661 AWH196637:AWI196661 BGD196637:BGE196661 BPZ196637:BQA196661 BZV196637:BZW196661 CJR196637:CJS196661 CTN196637:CTO196661 DDJ196637:DDK196661 DNF196637:DNG196661 DXB196637:DXC196661 EGX196637:EGY196661 EQT196637:EQU196661 FAP196637:FAQ196661 FKL196637:FKM196661 FUH196637:FUI196661 GED196637:GEE196661 GNZ196637:GOA196661 GXV196637:GXW196661 HHR196637:HHS196661 HRN196637:HRO196661 IBJ196637:IBK196661 ILF196637:ILG196661 IVB196637:IVC196661 JEX196637:JEY196661 JOT196637:JOU196661 JYP196637:JYQ196661 KIL196637:KIM196661 KSH196637:KSI196661 LCD196637:LCE196661 LLZ196637:LMA196661 LVV196637:LVW196661 MFR196637:MFS196661 MPN196637:MPO196661 MZJ196637:MZK196661 NJF196637:NJG196661 NTB196637:NTC196661 OCX196637:OCY196661 OMT196637:OMU196661 OWP196637:OWQ196661 PGL196637:PGM196661 PQH196637:PQI196661 QAD196637:QAE196661 QJZ196637:QKA196661 QTV196637:QTW196661 RDR196637:RDS196661 RNN196637:RNO196661 RXJ196637:RXK196661 SHF196637:SHG196661 SRB196637:SRC196661 TAX196637:TAY196661 TKT196637:TKU196661 TUP196637:TUQ196661 UEL196637:UEM196661 UOH196637:UOI196661 UYD196637:UYE196661 VHZ196637:VIA196661 VRV196637:VRW196661 WBR196637:WBS196661 WLN196637:WLO196661 WVJ196637:WVK196661 B262173:C262197 IX262173:IY262197 ST262173:SU262197 ACP262173:ACQ262197 AML262173:AMM262197 AWH262173:AWI262197 BGD262173:BGE262197 BPZ262173:BQA262197 BZV262173:BZW262197 CJR262173:CJS262197 CTN262173:CTO262197 DDJ262173:DDK262197 DNF262173:DNG262197 DXB262173:DXC262197 EGX262173:EGY262197 EQT262173:EQU262197 FAP262173:FAQ262197 FKL262173:FKM262197 FUH262173:FUI262197 GED262173:GEE262197 GNZ262173:GOA262197 GXV262173:GXW262197 HHR262173:HHS262197 HRN262173:HRO262197 IBJ262173:IBK262197 ILF262173:ILG262197 IVB262173:IVC262197 JEX262173:JEY262197 JOT262173:JOU262197 JYP262173:JYQ262197 KIL262173:KIM262197 KSH262173:KSI262197 LCD262173:LCE262197 LLZ262173:LMA262197 LVV262173:LVW262197 MFR262173:MFS262197 MPN262173:MPO262197 MZJ262173:MZK262197 NJF262173:NJG262197 NTB262173:NTC262197 OCX262173:OCY262197 OMT262173:OMU262197 OWP262173:OWQ262197 PGL262173:PGM262197 PQH262173:PQI262197 QAD262173:QAE262197 QJZ262173:QKA262197 QTV262173:QTW262197 RDR262173:RDS262197 RNN262173:RNO262197 RXJ262173:RXK262197 SHF262173:SHG262197 SRB262173:SRC262197 TAX262173:TAY262197 TKT262173:TKU262197 TUP262173:TUQ262197 UEL262173:UEM262197 UOH262173:UOI262197 UYD262173:UYE262197 VHZ262173:VIA262197 VRV262173:VRW262197 WBR262173:WBS262197 WLN262173:WLO262197 WVJ262173:WVK262197 B327709:C327733 IX327709:IY327733 ST327709:SU327733 ACP327709:ACQ327733 AML327709:AMM327733 AWH327709:AWI327733 BGD327709:BGE327733 BPZ327709:BQA327733 BZV327709:BZW327733 CJR327709:CJS327733 CTN327709:CTO327733 DDJ327709:DDK327733 DNF327709:DNG327733 DXB327709:DXC327733 EGX327709:EGY327733 EQT327709:EQU327733 FAP327709:FAQ327733 FKL327709:FKM327733 FUH327709:FUI327733 GED327709:GEE327733 GNZ327709:GOA327733 GXV327709:GXW327733 HHR327709:HHS327733 HRN327709:HRO327733 IBJ327709:IBK327733 ILF327709:ILG327733 IVB327709:IVC327733 JEX327709:JEY327733 JOT327709:JOU327733 JYP327709:JYQ327733 KIL327709:KIM327733 KSH327709:KSI327733 LCD327709:LCE327733 LLZ327709:LMA327733 LVV327709:LVW327733 MFR327709:MFS327733 MPN327709:MPO327733 MZJ327709:MZK327733 NJF327709:NJG327733 NTB327709:NTC327733 OCX327709:OCY327733 OMT327709:OMU327733 OWP327709:OWQ327733 PGL327709:PGM327733 PQH327709:PQI327733 QAD327709:QAE327733 QJZ327709:QKA327733 QTV327709:QTW327733 RDR327709:RDS327733 RNN327709:RNO327733 RXJ327709:RXK327733 SHF327709:SHG327733 SRB327709:SRC327733 TAX327709:TAY327733 TKT327709:TKU327733 TUP327709:TUQ327733 UEL327709:UEM327733 UOH327709:UOI327733 UYD327709:UYE327733 VHZ327709:VIA327733 VRV327709:VRW327733 WBR327709:WBS327733 WLN327709:WLO327733 WVJ327709:WVK327733 B393245:C393269 IX393245:IY393269 ST393245:SU393269 ACP393245:ACQ393269 AML393245:AMM393269 AWH393245:AWI393269 BGD393245:BGE393269 BPZ393245:BQA393269 BZV393245:BZW393269 CJR393245:CJS393269 CTN393245:CTO393269 DDJ393245:DDK393269 DNF393245:DNG393269 DXB393245:DXC393269 EGX393245:EGY393269 EQT393245:EQU393269 FAP393245:FAQ393269 FKL393245:FKM393269 FUH393245:FUI393269 GED393245:GEE393269 GNZ393245:GOA393269 GXV393245:GXW393269 HHR393245:HHS393269 HRN393245:HRO393269 IBJ393245:IBK393269 ILF393245:ILG393269 IVB393245:IVC393269 JEX393245:JEY393269 JOT393245:JOU393269 JYP393245:JYQ393269 KIL393245:KIM393269 KSH393245:KSI393269 LCD393245:LCE393269 LLZ393245:LMA393269 LVV393245:LVW393269 MFR393245:MFS393269 MPN393245:MPO393269 MZJ393245:MZK393269 NJF393245:NJG393269 NTB393245:NTC393269 OCX393245:OCY393269 OMT393245:OMU393269 OWP393245:OWQ393269 PGL393245:PGM393269 PQH393245:PQI393269 QAD393245:QAE393269 QJZ393245:QKA393269 QTV393245:QTW393269 RDR393245:RDS393269 RNN393245:RNO393269 RXJ393245:RXK393269 SHF393245:SHG393269 SRB393245:SRC393269 TAX393245:TAY393269 TKT393245:TKU393269 TUP393245:TUQ393269 UEL393245:UEM393269 UOH393245:UOI393269 UYD393245:UYE393269 VHZ393245:VIA393269 VRV393245:VRW393269 WBR393245:WBS393269 WLN393245:WLO393269 WVJ393245:WVK393269 B458781:C458805 IX458781:IY458805 ST458781:SU458805 ACP458781:ACQ458805 AML458781:AMM458805 AWH458781:AWI458805 BGD458781:BGE458805 BPZ458781:BQA458805 BZV458781:BZW458805 CJR458781:CJS458805 CTN458781:CTO458805 DDJ458781:DDK458805 DNF458781:DNG458805 DXB458781:DXC458805 EGX458781:EGY458805 EQT458781:EQU458805 FAP458781:FAQ458805 FKL458781:FKM458805 FUH458781:FUI458805 GED458781:GEE458805 GNZ458781:GOA458805 GXV458781:GXW458805 HHR458781:HHS458805 HRN458781:HRO458805 IBJ458781:IBK458805 ILF458781:ILG458805 IVB458781:IVC458805 JEX458781:JEY458805 JOT458781:JOU458805 JYP458781:JYQ458805 KIL458781:KIM458805 KSH458781:KSI458805 LCD458781:LCE458805 LLZ458781:LMA458805 LVV458781:LVW458805 MFR458781:MFS458805 MPN458781:MPO458805 MZJ458781:MZK458805 NJF458781:NJG458805 NTB458781:NTC458805 OCX458781:OCY458805 OMT458781:OMU458805 OWP458781:OWQ458805 PGL458781:PGM458805 PQH458781:PQI458805 QAD458781:QAE458805 QJZ458781:QKA458805 QTV458781:QTW458805 RDR458781:RDS458805 RNN458781:RNO458805 RXJ458781:RXK458805 SHF458781:SHG458805 SRB458781:SRC458805 TAX458781:TAY458805 TKT458781:TKU458805 TUP458781:TUQ458805 UEL458781:UEM458805 UOH458781:UOI458805 UYD458781:UYE458805 VHZ458781:VIA458805 VRV458781:VRW458805 WBR458781:WBS458805 WLN458781:WLO458805 WVJ458781:WVK458805 B524317:C524341 IX524317:IY524341 ST524317:SU524341 ACP524317:ACQ524341 AML524317:AMM524341 AWH524317:AWI524341 BGD524317:BGE524341 BPZ524317:BQA524341 BZV524317:BZW524341 CJR524317:CJS524341 CTN524317:CTO524341 DDJ524317:DDK524341 DNF524317:DNG524341 DXB524317:DXC524341 EGX524317:EGY524341 EQT524317:EQU524341 FAP524317:FAQ524341 FKL524317:FKM524341 FUH524317:FUI524341 GED524317:GEE524341 GNZ524317:GOA524341 GXV524317:GXW524341 HHR524317:HHS524341 HRN524317:HRO524341 IBJ524317:IBK524341 ILF524317:ILG524341 IVB524317:IVC524341 JEX524317:JEY524341 JOT524317:JOU524341 JYP524317:JYQ524341 KIL524317:KIM524341 KSH524317:KSI524341 LCD524317:LCE524341 LLZ524317:LMA524341 LVV524317:LVW524341 MFR524317:MFS524341 MPN524317:MPO524341 MZJ524317:MZK524341 NJF524317:NJG524341 NTB524317:NTC524341 OCX524317:OCY524341 OMT524317:OMU524341 OWP524317:OWQ524341 PGL524317:PGM524341 PQH524317:PQI524341 QAD524317:QAE524341 QJZ524317:QKA524341 QTV524317:QTW524341 RDR524317:RDS524341 RNN524317:RNO524341 RXJ524317:RXK524341 SHF524317:SHG524341 SRB524317:SRC524341 TAX524317:TAY524341 TKT524317:TKU524341 TUP524317:TUQ524341 UEL524317:UEM524341 UOH524317:UOI524341 UYD524317:UYE524341 VHZ524317:VIA524341 VRV524317:VRW524341 WBR524317:WBS524341 WLN524317:WLO524341 WVJ524317:WVK524341 B589853:C589877 IX589853:IY589877 ST589853:SU589877 ACP589853:ACQ589877 AML589853:AMM589877 AWH589853:AWI589877 BGD589853:BGE589877 BPZ589853:BQA589877 BZV589853:BZW589877 CJR589853:CJS589877 CTN589853:CTO589877 DDJ589853:DDK589877 DNF589853:DNG589877 DXB589853:DXC589877 EGX589853:EGY589877 EQT589853:EQU589877 FAP589853:FAQ589877 FKL589853:FKM589877 FUH589853:FUI589877 GED589853:GEE589877 GNZ589853:GOA589877 GXV589853:GXW589877 HHR589853:HHS589877 HRN589853:HRO589877 IBJ589853:IBK589877 ILF589853:ILG589877 IVB589853:IVC589877 JEX589853:JEY589877 JOT589853:JOU589877 JYP589853:JYQ589877 KIL589853:KIM589877 KSH589853:KSI589877 LCD589853:LCE589877 LLZ589853:LMA589877 LVV589853:LVW589877 MFR589853:MFS589877 MPN589853:MPO589877 MZJ589853:MZK589877 NJF589853:NJG589877 NTB589853:NTC589877 OCX589853:OCY589877 OMT589853:OMU589877 OWP589853:OWQ589877 PGL589853:PGM589877 PQH589853:PQI589877 QAD589853:QAE589877 QJZ589853:QKA589877 QTV589853:QTW589877 RDR589853:RDS589877 RNN589853:RNO589877 RXJ589853:RXK589877 SHF589853:SHG589877 SRB589853:SRC589877 TAX589853:TAY589877 TKT589853:TKU589877 TUP589853:TUQ589877 UEL589853:UEM589877 UOH589853:UOI589877 UYD589853:UYE589877 VHZ589853:VIA589877 VRV589853:VRW589877 WBR589853:WBS589877 WLN589853:WLO589877 WVJ589853:WVK589877 B655389:C655413 IX655389:IY655413 ST655389:SU655413 ACP655389:ACQ655413 AML655389:AMM655413 AWH655389:AWI655413 BGD655389:BGE655413 BPZ655389:BQA655413 BZV655389:BZW655413 CJR655389:CJS655413 CTN655389:CTO655413 DDJ655389:DDK655413 DNF655389:DNG655413 DXB655389:DXC655413 EGX655389:EGY655413 EQT655389:EQU655413 FAP655389:FAQ655413 FKL655389:FKM655413 FUH655389:FUI655413 GED655389:GEE655413 GNZ655389:GOA655413 GXV655389:GXW655413 HHR655389:HHS655413 HRN655389:HRO655413 IBJ655389:IBK655413 ILF655389:ILG655413 IVB655389:IVC655413 JEX655389:JEY655413 JOT655389:JOU655413 JYP655389:JYQ655413 KIL655389:KIM655413 KSH655389:KSI655413 LCD655389:LCE655413 LLZ655389:LMA655413 LVV655389:LVW655413 MFR655389:MFS655413 MPN655389:MPO655413 MZJ655389:MZK655413 NJF655389:NJG655413 NTB655389:NTC655413 OCX655389:OCY655413 OMT655389:OMU655413 OWP655389:OWQ655413 PGL655389:PGM655413 PQH655389:PQI655413 QAD655389:QAE655413 QJZ655389:QKA655413 QTV655389:QTW655413 RDR655389:RDS655413 RNN655389:RNO655413 RXJ655389:RXK655413 SHF655389:SHG655413 SRB655389:SRC655413 TAX655389:TAY655413 TKT655389:TKU655413 TUP655389:TUQ655413 UEL655389:UEM655413 UOH655389:UOI655413 UYD655389:UYE655413 VHZ655389:VIA655413 VRV655389:VRW655413 WBR655389:WBS655413 WLN655389:WLO655413 WVJ655389:WVK655413 B720925:C720949 IX720925:IY720949 ST720925:SU720949 ACP720925:ACQ720949 AML720925:AMM720949 AWH720925:AWI720949 BGD720925:BGE720949 BPZ720925:BQA720949 BZV720925:BZW720949 CJR720925:CJS720949 CTN720925:CTO720949 DDJ720925:DDK720949 DNF720925:DNG720949 DXB720925:DXC720949 EGX720925:EGY720949 EQT720925:EQU720949 FAP720925:FAQ720949 FKL720925:FKM720949 FUH720925:FUI720949 GED720925:GEE720949 GNZ720925:GOA720949 GXV720925:GXW720949 HHR720925:HHS720949 HRN720925:HRO720949 IBJ720925:IBK720949 ILF720925:ILG720949 IVB720925:IVC720949 JEX720925:JEY720949 JOT720925:JOU720949 JYP720925:JYQ720949 KIL720925:KIM720949 KSH720925:KSI720949 LCD720925:LCE720949 LLZ720925:LMA720949 LVV720925:LVW720949 MFR720925:MFS720949 MPN720925:MPO720949 MZJ720925:MZK720949 NJF720925:NJG720949 NTB720925:NTC720949 OCX720925:OCY720949 OMT720925:OMU720949 OWP720925:OWQ720949 PGL720925:PGM720949 PQH720925:PQI720949 QAD720925:QAE720949 QJZ720925:QKA720949 QTV720925:QTW720949 RDR720925:RDS720949 RNN720925:RNO720949 RXJ720925:RXK720949 SHF720925:SHG720949 SRB720925:SRC720949 TAX720925:TAY720949 TKT720925:TKU720949 TUP720925:TUQ720949 UEL720925:UEM720949 UOH720925:UOI720949 UYD720925:UYE720949 VHZ720925:VIA720949 VRV720925:VRW720949 WBR720925:WBS720949 WLN720925:WLO720949 WVJ720925:WVK720949 B786461:C786485 IX786461:IY786485 ST786461:SU786485 ACP786461:ACQ786485 AML786461:AMM786485 AWH786461:AWI786485 BGD786461:BGE786485 BPZ786461:BQA786485 BZV786461:BZW786485 CJR786461:CJS786485 CTN786461:CTO786485 DDJ786461:DDK786485 DNF786461:DNG786485 DXB786461:DXC786485 EGX786461:EGY786485 EQT786461:EQU786485 FAP786461:FAQ786485 FKL786461:FKM786485 FUH786461:FUI786485 GED786461:GEE786485 GNZ786461:GOA786485 GXV786461:GXW786485 HHR786461:HHS786485 HRN786461:HRO786485 IBJ786461:IBK786485 ILF786461:ILG786485 IVB786461:IVC786485 JEX786461:JEY786485 JOT786461:JOU786485 JYP786461:JYQ786485 KIL786461:KIM786485 KSH786461:KSI786485 LCD786461:LCE786485 LLZ786461:LMA786485 LVV786461:LVW786485 MFR786461:MFS786485 MPN786461:MPO786485 MZJ786461:MZK786485 NJF786461:NJG786485 NTB786461:NTC786485 OCX786461:OCY786485 OMT786461:OMU786485 OWP786461:OWQ786485 PGL786461:PGM786485 PQH786461:PQI786485 QAD786461:QAE786485 QJZ786461:QKA786485 QTV786461:QTW786485 RDR786461:RDS786485 RNN786461:RNO786485 RXJ786461:RXK786485 SHF786461:SHG786485 SRB786461:SRC786485 TAX786461:TAY786485 TKT786461:TKU786485 TUP786461:TUQ786485 UEL786461:UEM786485 UOH786461:UOI786485 UYD786461:UYE786485 VHZ786461:VIA786485 VRV786461:VRW786485 WBR786461:WBS786485 WLN786461:WLO786485 WVJ786461:WVK786485 B851997:C852021 IX851997:IY852021 ST851997:SU852021 ACP851997:ACQ852021 AML851997:AMM852021 AWH851997:AWI852021 BGD851997:BGE852021 BPZ851997:BQA852021 BZV851997:BZW852021 CJR851997:CJS852021 CTN851997:CTO852021 DDJ851997:DDK852021 DNF851997:DNG852021 DXB851997:DXC852021 EGX851997:EGY852021 EQT851997:EQU852021 FAP851997:FAQ852021 FKL851997:FKM852021 FUH851997:FUI852021 GED851997:GEE852021 GNZ851997:GOA852021 GXV851997:GXW852021 HHR851997:HHS852021 HRN851997:HRO852021 IBJ851997:IBK852021 ILF851997:ILG852021 IVB851997:IVC852021 JEX851997:JEY852021 JOT851997:JOU852021 JYP851997:JYQ852021 KIL851997:KIM852021 KSH851997:KSI852021 LCD851997:LCE852021 LLZ851997:LMA852021 LVV851997:LVW852021 MFR851997:MFS852021 MPN851997:MPO852021 MZJ851997:MZK852021 NJF851997:NJG852021 NTB851997:NTC852021 OCX851997:OCY852021 OMT851997:OMU852021 OWP851997:OWQ852021 PGL851997:PGM852021 PQH851997:PQI852021 QAD851997:QAE852021 QJZ851997:QKA852021 QTV851997:QTW852021 RDR851997:RDS852021 RNN851997:RNO852021 RXJ851997:RXK852021 SHF851997:SHG852021 SRB851997:SRC852021 TAX851997:TAY852021 TKT851997:TKU852021 TUP851997:TUQ852021 UEL851997:UEM852021 UOH851997:UOI852021 UYD851997:UYE852021 VHZ851997:VIA852021 VRV851997:VRW852021 WBR851997:WBS852021 WLN851997:WLO852021 WVJ851997:WVK852021 B917533:C917557 IX917533:IY917557 ST917533:SU917557 ACP917533:ACQ917557 AML917533:AMM917557 AWH917533:AWI917557 BGD917533:BGE917557 BPZ917533:BQA917557 BZV917533:BZW917557 CJR917533:CJS917557 CTN917533:CTO917557 DDJ917533:DDK917557 DNF917533:DNG917557 DXB917533:DXC917557 EGX917533:EGY917557 EQT917533:EQU917557 FAP917533:FAQ917557 FKL917533:FKM917557 FUH917533:FUI917557 GED917533:GEE917557 GNZ917533:GOA917557 GXV917533:GXW917557 HHR917533:HHS917557 HRN917533:HRO917557 IBJ917533:IBK917557 ILF917533:ILG917557 IVB917533:IVC917557 JEX917533:JEY917557 JOT917533:JOU917557 JYP917533:JYQ917557 KIL917533:KIM917557 KSH917533:KSI917557 LCD917533:LCE917557 LLZ917533:LMA917557 LVV917533:LVW917557 MFR917533:MFS917557 MPN917533:MPO917557 MZJ917533:MZK917557 NJF917533:NJG917557 NTB917533:NTC917557 OCX917533:OCY917557 OMT917533:OMU917557 OWP917533:OWQ917557 PGL917533:PGM917557 PQH917533:PQI917557 QAD917533:QAE917557 QJZ917533:QKA917557 QTV917533:QTW917557 RDR917533:RDS917557 RNN917533:RNO917557 RXJ917533:RXK917557 SHF917533:SHG917557 SRB917533:SRC917557 TAX917533:TAY917557 TKT917533:TKU917557 TUP917533:TUQ917557 UEL917533:UEM917557 UOH917533:UOI917557 UYD917533:UYE917557 VHZ917533:VIA917557 VRV917533:VRW917557 WBR917533:WBS917557 WLN917533:WLO917557 WVJ917533:WVK917557 B983069:C983093 IX983069:IY983093 ST983069:SU983093 ACP983069:ACQ983093 AML983069:AMM983093 AWH983069:AWI983093 BGD983069:BGE983093 BPZ983069:BQA983093 BZV983069:BZW983093 CJR983069:CJS983093 CTN983069:CTO983093 DDJ983069:DDK983093 DNF983069:DNG983093 DXB983069:DXC983093 EGX983069:EGY983093 EQT983069:EQU983093 FAP983069:FAQ983093 FKL983069:FKM983093 FUH983069:FUI983093 GED983069:GEE983093 GNZ983069:GOA983093 GXV983069:GXW983093 HHR983069:HHS983093 HRN983069:HRO983093 IBJ983069:IBK983093 ILF983069:ILG983093 IVB983069:IVC983093 JEX983069:JEY983093 JOT983069:JOU983093 JYP983069:JYQ983093 KIL983069:KIM983093 KSH983069:KSI983093 LCD983069:LCE983093 LLZ983069:LMA983093 LVV983069:LVW983093 MFR983069:MFS983093 MPN983069:MPO983093 MZJ983069:MZK983093 NJF983069:NJG983093 NTB983069:NTC983093 OCX983069:OCY983093 OMT983069:OMU983093 OWP983069:OWQ983093 PGL983069:PGM983093 PQH983069:PQI983093 QAD983069:QAE983093 QJZ983069:QKA983093 QTV983069:QTW983093 RDR983069:RDS983093 RNN983069:RNO983093 RXJ983069:RXK983093 SHF983069:SHG983093 SRB983069:SRC983093 TAX983069:TAY983093 TKT983069:TKU983093 TUP983069:TUQ983093 UEL983069:UEM983093 UOH983069:UOI983093 UYD983069:UYE983093 VHZ983069:VIA983093 J42:L53 M42:M43 C42:H53 B29 B31:B53</xm:sqref>
        </x14:dataValidation>
        <x14:dataValidation type="list" allowBlank="1" showInputMessage="1" showErrorMessage="1" xr:uid="{5B8C4C42-4D3C-405C-950A-B3480D6FD185}">
          <x14:formula1>
            <xm:f>IF(COUNTIF('9. Cuentas-Conceptos de imputac'!$E:$E,I28)=0,OFFSET($Z$1,0,0,1,1),OFFSET('9. Cuentas-Conceptos de imputac'!$F$1,MATCH(I28,'9. Cuentas-Conceptos de imputac'!$E:$E,0)-1,0,COUNTIF('9. Cuentas-Conceptos de imputac'!$E:$E,I28),1))</xm:f>
          </x14:formula1>
          <xm:sqref>L58:L85 L28:L41</xm:sqref>
        </x14:dataValidation>
        <x14:dataValidation type="list" allowBlank="1" showInputMessage="1" showErrorMessage="1" xr:uid="{6CA014D2-A9C6-4815-87FD-ED3C2B94C4AB}">
          <x14:formula1>
            <xm:f>IF(COUNTIF('8. Tipo - Partidas'!$A:$A,Z28)=0,OFFSET($Z$2,0,0,1,1),OFFSET('8. Tipo - Partidas'!$D$1,MATCH(Z28,'8. Tipo - Partidas'!$A:$A,0)-1,0,COUNTIF('8. Tipo - Partidas'!$A:$A,Z28),1))</xm:f>
          </x14:formula1>
          <xm:sqref>J58:K85 J28:K41</xm:sqref>
        </x14:dataValidation>
        <x14:dataValidation type="list" allowBlank="1" showInputMessage="1" showErrorMessage="1" xr:uid="{9B40BD0A-F15F-4418-AE53-0B0C2D5AFCD4}">
          <x14:formula1>
            <xm:f>'3. Bancos'!$A$2:$A$23</xm:f>
          </x14:formula1>
          <xm:sqref>L22:M22</xm:sqref>
        </x14:dataValidation>
        <x14:dataValidation type="list" allowBlank="1" showInputMessage="1" showErrorMessage="1" xr:uid="{2F332B11-1AE2-4F0D-A89C-690050473A6A}">
          <x14:formula1>
            <xm:f>OFFSET('6. Empresas-centros'!$A$1,MATCH($D$19,'6. Empresas-centros'!$B:$B,0)-1,5,COUNTIF('6. Empresas-centros'!$B:$B,$D$19),1)</xm:f>
          </x14:formula1>
          <xm:sqref>H58:H85 H28:H41</xm:sqref>
        </x14:dataValidation>
        <x14:dataValidation type="list" allowBlank="1" showInputMessage="1" showErrorMessage="1" xr:uid="{C9D2BC09-FAEF-4E51-ADF3-393ACEF6324C}">
          <x14:formula1>
            <xm:f>OFFSET('7.  Centros-Cuentas'!$G$1,MATCH(H28,'7.  Centros-Cuentas'!$F:$F,0)-1,0,COUNTIF('7.  Centros-Cuentas'!$F:$F,H28),1)</xm:f>
          </x14:formula1>
          <xm:sqref>I58:I85 I28:I41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60B980-2A57-400F-B62B-6CCBFA709B8C}">
  <dimension ref="A1:A23"/>
  <sheetViews>
    <sheetView workbookViewId="0">
      <selection activeCell="F21" sqref="F21"/>
    </sheetView>
  </sheetViews>
  <sheetFormatPr baseColWidth="10" defaultRowHeight="15" x14ac:dyDescent="0.25"/>
  <cols>
    <col min="1" max="1" width="28.7109375" customWidth="1"/>
  </cols>
  <sheetData>
    <row r="1" spans="1:1" x14ac:dyDescent="0.25">
      <c r="A1" s="42" t="s">
        <v>4282</v>
      </c>
    </row>
    <row r="2" spans="1:1" x14ac:dyDescent="0.25">
      <c r="A2" s="151" t="s">
        <v>4283</v>
      </c>
    </row>
    <row r="3" spans="1:1" x14ac:dyDescent="0.25">
      <c r="A3" s="151" t="s">
        <v>4284</v>
      </c>
    </row>
    <row r="4" spans="1:1" x14ac:dyDescent="0.25">
      <c r="A4" s="151" t="s">
        <v>4285</v>
      </c>
    </row>
    <row r="5" spans="1:1" x14ac:dyDescent="0.25">
      <c r="A5" s="151" t="s">
        <v>4286</v>
      </c>
    </row>
    <row r="6" spans="1:1" x14ac:dyDescent="0.25">
      <c r="A6" s="151" t="s">
        <v>355</v>
      </c>
    </row>
    <row r="7" spans="1:1" ht="30" x14ac:dyDescent="0.25">
      <c r="A7" s="151" t="s">
        <v>4287</v>
      </c>
    </row>
    <row r="8" spans="1:1" ht="30" x14ac:dyDescent="0.25">
      <c r="A8" s="151" t="s">
        <v>4288</v>
      </c>
    </row>
    <row r="9" spans="1:1" x14ac:dyDescent="0.25">
      <c r="A9" s="151" t="s">
        <v>4289</v>
      </c>
    </row>
    <row r="10" spans="1:1" x14ac:dyDescent="0.25">
      <c r="A10" s="151" t="s">
        <v>4290</v>
      </c>
    </row>
    <row r="11" spans="1:1" x14ac:dyDescent="0.25">
      <c r="A11" s="151" t="s">
        <v>4291</v>
      </c>
    </row>
    <row r="12" spans="1:1" x14ac:dyDescent="0.25">
      <c r="A12" s="151" t="s">
        <v>4292</v>
      </c>
    </row>
    <row r="13" spans="1:1" x14ac:dyDescent="0.25">
      <c r="A13" s="151" t="s">
        <v>4293</v>
      </c>
    </row>
    <row r="14" spans="1:1" x14ac:dyDescent="0.25">
      <c r="A14" s="151" t="s">
        <v>4294</v>
      </c>
    </row>
    <row r="15" spans="1:1" x14ac:dyDescent="0.25">
      <c r="A15" s="151" t="s">
        <v>4295</v>
      </c>
    </row>
    <row r="16" spans="1:1" x14ac:dyDescent="0.25">
      <c r="A16" s="151" t="s">
        <v>4296</v>
      </c>
    </row>
    <row r="17" spans="1:1" x14ac:dyDescent="0.25">
      <c r="A17" s="151" t="s">
        <v>4297</v>
      </c>
    </row>
    <row r="18" spans="1:1" x14ac:dyDescent="0.25">
      <c r="A18" s="151" t="s">
        <v>4298</v>
      </c>
    </row>
    <row r="19" spans="1:1" x14ac:dyDescent="0.25">
      <c r="A19" s="151" t="s">
        <v>4299</v>
      </c>
    </row>
    <row r="20" spans="1:1" x14ac:dyDescent="0.25">
      <c r="A20" s="151" t="s">
        <v>4300</v>
      </c>
    </row>
    <row r="21" spans="1:1" ht="30" x14ac:dyDescent="0.25">
      <c r="A21" s="151" t="s">
        <v>4301</v>
      </c>
    </row>
    <row r="22" spans="1:1" x14ac:dyDescent="0.25">
      <c r="A22" s="151" t="s">
        <v>4302</v>
      </c>
    </row>
    <row r="23" spans="1:1" x14ac:dyDescent="0.25">
      <c r="A23" s="151" t="s">
        <v>4303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5A03B0-9759-43A7-8882-43B07BB3F25E}">
  <sheetPr codeName="Hoja2"/>
  <dimension ref="A1:D51"/>
  <sheetViews>
    <sheetView zoomScale="80" zoomScaleNormal="80" workbookViewId="0">
      <selection activeCell="A13" sqref="A13:XFD13"/>
    </sheetView>
  </sheetViews>
  <sheetFormatPr baseColWidth="10" defaultColWidth="11.42578125" defaultRowHeight="15" x14ac:dyDescent="0.25"/>
  <cols>
    <col min="1" max="1" width="19.5703125" bestFit="1" customWidth="1"/>
    <col min="2" max="2" width="34" bestFit="1" customWidth="1"/>
    <col min="3" max="3" width="13.85546875" customWidth="1"/>
    <col min="4" max="4" width="11.85546875" bestFit="1" customWidth="1"/>
    <col min="5" max="5" width="17.85546875" bestFit="1" customWidth="1"/>
    <col min="256" max="256" width="23.140625" bestFit="1" customWidth="1"/>
    <col min="257" max="257" width="31.85546875" bestFit="1" customWidth="1"/>
    <col min="258" max="258" width="17.85546875" bestFit="1" customWidth="1"/>
    <col min="259" max="259" width="80.85546875" bestFit="1" customWidth="1"/>
    <col min="260" max="260" width="10.28515625" bestFit="1" customWidth="1"/>
    <col min="261" max="261" width="17.85546875" bestFit="1" customWidth="1"/>
    <col min="512" max="512" width="23.140625" bestFit="1" customWidth="1"/>
    <col min="513" max="513" width="31.85546875" bestFit="1" customWidth="1"/>
    <col min="514" max="514" width="17.85546875" bestFit="1" customWidth="1"/>
    <col min="515" max="515" width="80.85546875" bestFit="1" customWidth="1"/>
    <col min="516" max="516" width="10.28515625" bestFit="1" customWidth="1"/>
    <col min="517" max="517" width="17.85546875" bestFit="1" customWidth="1"/>
    <col min="768" max="768" width="23.140625" bestFit="1" customWidth="1"/>
    <col min="769" max="769" width="31.85546875" bestFit="1" customWidth="1"/>
    <col min="770" max="770" width="17.85546875" bestFit="1" customWidth="1"/>
    <col min="771" max="771" width="80.85546875" bestFit="1" customWidth="1"/>
    <col min="772" max="772" width="10.28515625" bestFit="1" customWidth="1"/>
    <col min="773" max="773" width="17.85546875" bestFit="1" customWidth="1"/>
    <col min="1024" max="1024" width="23.140625" bestFit="1" customWidth="1"/>
    <col min="1025" max="1025" width="31.85546875" bestFit="1" customWidth="1"/>
    <col min="1026" max="1026" width="17.85546875" bestFit="1" customWidth="1"/>
    <col min="1027" max="1027" width="80.85546875" bestFit="1" customWidth="1"/>
    <col min="1028" max="1028" width="10.28515625" bestFit="1" customWidth="1"/>
    <col min="1029" max="1029" width="17.85546875" bestFit="1" customWidth="1"/>
    <col min="1280" max="1280" width="23.140625" bestFit="1" customWidth="1"/>
    <col min="1281" max="1281" width="31.85546875" bestFit="1" customWidth="1"/>
    <col min="1282" max="1282" width="17.85546875" bestFit="1" customWidth="1"/>
    <col min="1283" max="1283" width="80.85546875" bestFit="1" customWidth="1"/>
    <col min="1284" max="1284" width="10.28515625" bestFit="1" customWidth="1"/>
    <col min="1285" max="1285" width="17.85546875" bestFit="1" customWidth="1"/>
    <col min="1536" max="1536" width="23.140625" bestFit="1" customWidth="1"/>
    <col min="1537" max="1537" width="31.85546875" bestFit="1" customWidth="1"/>
    <col min="1538" max="1538" width="17.85546875" bestFit="1" customWidth="1"/>
    <col min="1539" max="1539" width="80.85546875" bestFit="1" customWidth="1"/>
    <col min="1540" max="1540" width="10.28515625" bestFit="1" customWidth="1"/>
    <col min="1541" max="1541" width="17.85546875" bestFit="1" customWidth="1"/>
    <col min="1792" max="1792" width="23.140625" bestFit="1" customWidth="1"/>
    <col min="1793" max="1793" width="31.85546875" bestFit="1" customWidth="1"/>
    <col min="1794" max="1794" width="17.85546875" bestFit="1" customWidth="1"/>
    <col min="1795" max="1795" width="80.85546875" bestFit="1" customWidth="1"/>
    <col min="1796" max="1796" width="10.28515625" bestFit="1" customWidth="1"/>
    <col min="1797" max="1797" width="17.85546875" bestFit="1" customWidth="1"/>
    <col min="2048" max="2048" width="23.140625" bestFit="1" customWidth="1"/>
    <col min="2049" max="2049" width="31.85546875" bestFit="1" customWidth="1"/>
    <col min="2050" max="2050" width="17.85546875" bestFit="1" customWidth="1"/>
    <col min="2051" max="2051" width="80.85546875" bestFit="1" customWidth="1"/>
    <col min="2052" max="2052" width="10.28515625" bestFit="1" customWidth="1"/>
    <col min="2053" max="2053" width="17.85546875" bestFit="1" customWidth="1"/>
    <col min="2304" max="2304" width="23.140625" bestFit="1" customWidth="1"/>
    <col min="2305" max="2305" width="31.85546875" bestFit="1" customWidth="1"/>
    <col min="2306" max="2306" width="17.85546875" bestFit="1" customWidth="1"/>
    <col min="2307" max="2307" width="80.85546875" bestFit="1" customWidth="1"/>
    <col min="2308" max="2308" width="10.28515625" bestFit="1" customWidth="1"/>
    <col min="2309" max="2309" width="17.85546875" bestFit="1" customWidth="1"/>
    <col min="2560" max="2560" width="23.140625" bestFit="1" customWidth="1"/>
    <col min="2561" max="2561" width="31.85546875" bestFit="1" customWidth="1"/>
    <col min="2562" max="2562" width="17.85546875" bestFit="1" customWidth="1"/>
    <col min="2563" max="2563" width="80.85546875" bestFit="1" customWidth="1"/>
    <col min="2564" max="2564" width="10.28515625" bestFit="1" customWidth="1"/>
    <col min="2565" max="2565" width="17.85546875" bestFit="1" customWidth="1"/>
    <col min="2816" max="2816" width="23.140625" bestFit="1" customWidth="1"/>
    <col min="2817" max="2817" width="31.85546875" bestFit="1" customWidth="1"/>
    <col min="2818" max="2818" width="17.85546875" bestFit="1" customWidth="1"/>
    <col min="2819" max="2819" width="80.85546875" bestFit="1" customWidth="1"/>
    <col min="2820" max="2820" width="10.28515625" bestFit="1" customWidth="1"/>
    <col min="2821" max="2821" width="17.85546875" bestFit="1" customWidth="1"/>
    <col min="3072" max="3072" width="23.140625" bestFit="1" customWidth="1"/>
    <col min="3073" max="3073" width="31.85546875" bestFit="1" customWidth="1"/>
    <col min="3074" max="3074" width="17.85546875" bestFit="1" customWidth="1"/>
    <col min="3075" max="3075" width="80.85546875" bestFit="1" customWidth="1"/>
    <col min="3076" max="3076" width="10.28515625" bestFit="1" customWidth="1"/>
    <col min="3077" max="3077" width="17.85546875" bestFit="1" customWidth="1"/>
    <col min="3328" max="3328" width="23.140625" bestFit="1" customWidth="1"/>
    <col min="3329" max="3329" width="31.85546875" bestFit="1" customWidth="1"/>
    <col min="3330" max="3330" width="17.85546875" bestFit="1" customWidth="1"/>
    <col min="3331" max="3331" width="80.85546875" bestFit="1" customWidth="1"/>
    <col min="3332" max="3332" width="10.28515625" bestFit="1" customWidth="1"/>
    <col min="3333" max="3333" width="17.85546875" bestFit="1" customWidth="1"/>
    <col min="3584" max="3584" width="23.140625" bestFit="1" customWidth="1"/>
    <col min="3585" max="3585" width="31.85546875" bestFit="1" customWidth="1"/>
    <col min="3586" max="3586" width="17.85546875" bestFit="1" customWidth="1"/>
    <col min="3587" max="3587" width="80.85546875" bestFit="1" customWidth="1"/>
    <col min="3588" max="3588" width="10.28515625" bestFit="1" customWidth="1"/>
    <col min="3589" max="3589" width="17.85546875" bestFit="1" customWidth="1"/>
    <col min="3840" max="3840" width="23.140625" bestFit="1" customWidth="1"/>
    <col min="3841" max="3841" width="31.85546875" bestFit="1" customWidth="1"/>
    <col min="3842" max="3842" width="17.85546875" bestFit="1" customWidth="1"/>
    <col min="3843" max="3843" width="80.85546875" bestFit="1" customWidth="1"/>
    <col min="3844" max="3844" width="10.28515625" bestFit="1" customWidth="1"/>
    <col min="3845" max="3845" width="17.85546875" bestFit="1" customWidth="1"/>
    <col min="4096" max="4096" width="23.140625" bestFit="1" customWidth="1"/>
    <col min="4097" max="4097" width="31.85546875" bestFit="1" customWidth="1"/>
    <col min="4098" max="4098" width="17.85546875" bestFit="1" customWidth="1"/>
    <col min="4099" max="4099" width="80.85546875" bestFit="1" customWidth="1"/>
    <col min="4100" max="4100" width="10.28515625" bestFit="1" customWidth="1"/>
    <col min="4101" max="4101" width="17.85546875" bestFit="1" customWidth="1"/>
    <col min="4352" max="4352" width="23.140625" bestFit="1" customWidth="1"/>
    <col min="4353" max="4353" width="31.85546875" bestFit="1" customWidth="1"/>
    <col min="4354" max="4354" width="17.85546875" bestFit="1" customWidth="1"/>
    <col min="4355" max="4355" width="80.85546875" bestFit="1" customWidth="1"/>
    <col min="4356" max="4356" width="10.28515625" bestFit="1" customWidth="1"/>
    <col min="4357" max="4357" width="17.85546875" bestFit="1" customWidth="1"/>
    <col min="4608" max="4608" width="23.140625" bestFit="1" customWidth="1"/>
    <col min="4609" max="4609" width="31.85546875" bestFit="1" customWidth="1"/>
    <col min="4610" max="4610" width="17.85546875" bestFit="1" customWidth="1"/>
    <col min="4611" max="4611" width="80.85546875" bestFit="1" customWidth="1"/>
    <col min="4612" max="4612" width="10.28515625" bestFit="1" customWidth="1"/>
    <col min="4613" max="4613" width="17.85546875" bestFit="1" customWidth="1"/>
    <col min="4864" max="4864" width="23.140625" bestFit="1" customWidth="1"/>
    <col min="4865" max="4865" width="31.85546875" bestFit="1" customWidth="1"/>
    <col min="4866" max="4866" width="17.85546875" bestFit="1" customWidth="1"/>
    <col min="4867" max="4867" width="80.85546875" bestFit="1" customWidth="1"/>
    <col min="4868" max="4868" width="10.28515625" bestFit="1" customWidth="1"/>
    <col min="4869" max="4869" width="17.85546875" bestFit="1" customWidth="1"/>
    <col min="5120" max="5120" width="23.140625" bestFit="1" customWidth="1"/>
    <col min="5121" max="5121" width="31.85546875" bestFit="1" customWidth="1"/>
    <col min="5122" max="5122" width="17.85546875" bestFit="1" customWidth="1"/>
    <col min="5123" max="5123" width="80.85546875" bestFit="1" customWidth="1"/>
    <col min="5124" max="5124" width="10.28515625" bestFit="1" customWidth="1"/>
    <col min="5125" max="5125" width="17.85546875" bestFit="1" customWidth="1"/>
    <col min="5376" max="5376" width="23.140625" bestFit="1" customWidth="1"/>
    <col min="5377" max="5377" width="31.85546875" bestFit="1" customWidth="1"/>
    <col min="5378" max="5378" width="17.85546875" bestFit="1" customWidth="1"/>
    <col min="5379" max="5379" width="80.85546875" bestFit="1" customWidth="1"/>
    <col min="5380" max="5380" width="10.28515625" bestFit="1" customWidth="1"/>
    <col min="5381" max="5381" width="17.85546875" bestFit="1" customWidth="1"/>
    <col min="5632" max="5632" width="23.140625" bestFit="1" customWidth="1"/>
    <col min="5633" max="5633" width="31.85546875" bestFit="1" customWidth="1"/>
    <col min="5634" max="5634" width="17.85546875" bestFit="1" customWidth="1"/>
    <col min="5635" max="5635" width="80.85546875" bestFit="1" customWidth="1"/>
    <col min="5636" max="5636" width="10.28515625" bestFit="1" customWidth="1"/>
    <col min="5637" max="5637" width="17.85546875" bestFit="1" customWidth="1"/>
    <col min="5888" max="5888" width="23.140625" bestFit="1" customWidth="1"/>
    <col min="5889" max="5889" width="31.85546875" bestFit="1" customWidth="1"/>
    <col min="5890" max="5890" width="17.85546875" bestFit="1" customWidth="1"/>
    <col min="5891" max="5891" width="80.85546875" bestFit="1" customWidth="1"/>
    <col min="5892" max="5892" width="10.28515625" bestFit="1" customWidth="1"/>
    <col min="5893" max="5893" width="17.85546875" bestFit="1" customWidth="1"/>
    <col min="6144" max="6144" width="23.140625" bestFit="1" customWidth="1"/>
    <col min="6145" max="6145" width="31.85546875" bestFit="1" customWidth="1"/>
    <col min="6146" max="6146" width="17.85546875" bestFit="1" customWidth="1"/>
    <col min="6147" max="6147" width="80.85546875" bestFit="1" customWidth="1"/>
    <col min="6148" max="6148" width="10.28515625" bestFit="1" customWidth="1"/>
    <col min="6149" max="6149" width="17.85546875" bestFit="1" customWidth="1"/>
    <col min="6400" max="6400" width="23.140625" bestFit="1" customWidth="1"/>
    <col min="6401" max="6401" width="31.85546875" bestFit="1" customWidth="1"/>
    <col min="6402" max="6402" width="17.85546875" bestFit="1" customWidth="1"/>
    <col min="6403" max="6403" width="80.85546875" bestFit="1" customWidth="1"/>
    <col min="6404" max="6404" width="10.28515625" bestFit="1" customWidth="1"/>
    <col min="6405" max="6405" width="17.85546875" bestFit="1" customWidth="1"/>
    <col min="6656" max="6656" width="23.140625" bestFit="1" customWidth="1"/>
    <col min="6657" max="6657" width="31.85546875" bestFit="1" customWidth="1"/>
    <col min="6658" max="6658" width="17.85546875" bestFit="1" customWidth="1"/>
    <col min="6659" max="6659" width="80.85546875" bestFit="1" customWidth="1"/>
    <col min="6660" max="6660" width="10.28515625" bestFit="1" customWidth="1"/>
    <col min="6661" max="6661" width="17.85546875" bestFit="1" customWidth="1"/>
    <col min="6912" max="6912" width="23.140625" bestFit="1" customWidth="1"/>
    <col min="6913" max="6913" width="31.85546875" bestFit="1" customWidth="1"/>
    <col min="6914" max="6914" width="17.85546875" bestFit="1" customWidth="1"/>
    <col min="6915" max="6915" width="80.85546875" bestFit="1" customWidth="1"/>
    <col min="6916" max="6916" width="10.28515625" bestFit="1" customWidth="1"/>
    <col min="6917" max="6917" width="17.85546875" bestFit="1" customWidth="1"/>
    <col min="7168" max="7168" width="23.140625" bestFit="1" customWidth="1"/>
    <col min="7169" max="7169" width="31.85546875" bestFit="1" customWidth="1"/>
    <col min="7170" max="7170" width="17.85546875" bestFit="1" customWidth="1"/>
    <col min="7171" max="7171" width="80.85546875" bestFit="1" customWidth="1"/>
    <col min="7172" max="7172" width="10.28515625" bestFit="1" customWidth="1"/>
    <col min="7173" max="7173" width="17.85546875" bestFit="1" customWidth="1"/>
    <col min="7424" max="7424" width="23.140625" bestFit="1" customWidth="1"/>
    <col min="7425" max="7425" width="31.85546875" bestFit="1" customWidth="1"/>
    <col min="7426" max="7426" width="17.85546875" bestFit="1" customWidth="1"/>
    <col min="7427" max="7427" width="80.85546875" bestFit="1" customWidth="1"/>
    <col min="7428" max="7428" width="10.28515625" bestFit="1" customWidth="1"/>
    <col min="7429" max="7429" width="17.85546875" bestFit="1" customWidth="1"/>
    <col min="7680" max="7680" width="23.140625" bestFit="1" customWidth="1"/>
    <col min="7681" max="7681" width="31.85546875" bestFit="1" customWidth="1"/>
    <col min="7682" max="7682" width="17.85546875" bestFit="1" customWidth="1"/>
    <col min="7683" max="7683" width="80.85546875" bestFit="1" customWidth="1"/>
    <col min="7684" max="7684" width="10.28515625" bestFit="1" customWidth="1"/>
    <col min="7685" max="7685" width="17.85546875" bestFit="1" customWidth="1"/>
    <col min="7936" max="7936" width="23.140625" bestFit="1" customWidth="1"/>
    <col min="7937" max="7937" width="31.85546875" bestFit="1" customWidth="1"/>
    <col min="7938" max="7938" width="17.85546875" bestFit="1" customWidth="1"/>
    <col min="7939" max="7939" width="80.85546875" bestFit="1" customWidth="1"/>
    <col min="7940" max="7940" width="10.28515625" bestFit="1" customWidth="1"/>
    <col min="7941" max="7941" width="17.85546875" bestFit="1" customWidth="1"/>
    <col min="8192" max="8192" width="23.140625" bestFit="1" customWidth="1"/>
    <col min="8193" max="8193" width="31.85546875" bestFit="1" customWidth="1"/>
    <col min="8194" max="8194" width="17.85546875" bestFit="1" customWidth="1"/>
    <col min="8195" max="8195" width="80.85546875" bestFit="1" customWidth="1"/>
    <col min="8196" max="8196" width="10.28515625" bestFit="1" customWidth="1"/>
    <col min="8197" max="8197" width="17.85546875" bestFit="1" customWidth="1"/>
    <col min="8448" max="8448" width="23.140625" bestFit="1" customWidth="1"/>
    <col min="8449" max="8449" width="31.85546875" bestFit="1" customWidth="1"/>
    <col min="8450" max="8450" width="17.85546875" bestFit="1" customWidth="1"/>
    <col min="8451" max="8451" width="80.85546875" bestFit="1" customWidth="1"/>
    <col min="8452" max="8452" width="10.28515625" bestFit="1" customWidth="1"/>
    <col min="8453" max="8453" width="17.85546875" bestFit="1" customWidth="1"/>
    <col min="8704" max="8704" width="23.140625" bestFit="1" customWidth="1"/>
    <col min="8705" max="8705" width="31.85546875" bestFit="1" customWidth="1"/>
    <col min="8706" max="8706" width="17.85546875" bestFit="1" customWidth="1"/>
    <col min="8707" max="8707" width="80.85546875" bestFit="1" customWidth="1"/>
    <col min="8708" max="8708" width="10.28515625" bestFit="1" customWidth="1"/>
    <col min="8709" max="8709" width="17.85546875" bestFit="1" customWidth="1"/>
    <col min="8960" max="8960" width="23.140625" bestFit="1" customWidth="1"/>
    <col min="8961" max="8961" width="31.85546875" bestFit="1" customWidth="1"/>
    <col min="8962" max="8962" width="17.85546875" bestFit="1" customWidth="1"/>
    <col min="8963" max="8963" width="80.85546875" bestFit="1" customWidth="1"/>
    <col min="8964" max="8964" width="10.28515625" bestFit="1" customWidth="1"/>
    <col min="8965" max="8965" width="17.85546875" bestFit="1" customWidth="1"/>
    <col min="9216" max="9216" width="23.140625" bestFit="1" customWidth="1"/>
    <col min="9217" max="9217" width="31.85546875" bestFit="1" customWidth="1"/>
    <col min="9218" max="9218" width="17.85546875" bestFit="1" customWidth="1"/>
    <col min="9219" max="9219" width="80.85546875" bestFit="1" customWidth="1"/>
    <col min="9220" max="9220" width="10.28515625" bestFit="1" customWidth="1"/>
    <col min="9221" max="9221" width="17.85546875" bestFit="1" customWidth="1"/>
    <col min="9472" max="9472" width="23.140625" bestFit="1" customWidth="1"/>
    <col min="9473" max="9473" width="31.85546875" bestFit="1" customWidth="1"/>
    <col min="9474" max="9474" width="17.85546875" bestFit="1" customWidth="1"/>
    <col min="9475" max="9475" width="80.85546875" bestFit="1" customWidth="1"/>
    <col min="9476" max="9476" width="10.28515625" bestFit="1" customWidth="1"/>
    <col min="9477" max="9477" width="17.85546875" bestFit="1" customWidth="1"/>
    <col min="9728" max="9728" width="23.140625" bestFit="1" customWidth="1"/>
    <col min="9729" max="9729" width="31.85546875" bestFit="1" customWidth="1"/>
    <col min="9730" max="9730" width="17.85546875" bestFit="1" customWidth="1"/>
    <col min="9731" max="9731" width="80.85546875" bestFit="1" customWidth="1"/>
    <col min="9732" max="9732" width="10.28515625" bestFit="1" customWidth="1"/>
    <col min="9733" max="9733" width="17.85546875" bestFit="1" customWidth="1"/>
    <col min="9984" max="9984" width="23.140625" bestFit="1" customWidth="1"/>
    <col min="9985" max="9985" width="31.85546875" bestFit="1" customWidth="1"/>
    <col min="9986" max="9986" width="17.85546875" bestFit="1" customWidth="1"/>
    <col min="9987" max="9987" width="80.85546875" bestFit="1" customWidth="1"/>
    <col min="9988" max="9988" width="10.28515625" bestFit="1" customWidth="1"/>
    <col min="9989" max="9989" width="17.85546875" bestFit="1" customWidth="1"/>
    <col min="10240" max="10240" width="23.140625" bestFit="1" customWidth="1"/>
    <col min="10241" max="10241" width="31.85546875" bestFit="1" customWidth="1"/>
    <col min="10242" max="10242" width="17.85546875" bestFit="1" customWidth="1"/>
    <col min="10243" max="10243" width="80.85546875" bestFit="1" customWidth="1"/>
    <col min="10244" max="10244" width="10.28515625" bestFit="1" customWidth="1"/>
    <col min="10245" max="10245" width="17.85546875" bestFit="1" customWidth="1"/>
    <col min="10496" max="10496" width="23.140625" bestFit="1" customWidth="1"/>
    <col min="10497" max="10497" width="31.85546875" bestFit="1" customWidth="1"/>
    <col min="10498" max="10498" width="17.85546875" bestFit="1" customWidth="1"/>
    <col min="10499" max="10499" width="80.85546875" bestFit="1" customWidth="1"/>
    <col min="10500" max="10500" width="10.28515625" bestFit="1" customWidth="1"/>
    <col min="10501" max="10501" width="17.85546875" bestFit="1" customWidth="1"/>
    <col min="10752" max="10752" width="23.140625" bestFit="1" customWidth="1"/>
    <col min="10753" max="10753" width="31.85546875" bestFit="1" customWidth="1"/>
    <col min="10754" max="10754" width="17.85546875" bestFit="1" customWidth="1"/>
    <col min="10755" max="10755" width="80.85546875" bestFit="1" customWidth="1"/>
    <col min="10756" max="10756" width="10.28515625" bestFit="1" customWidth="1"/>
    <col min="10757" max="10757" width="17.85546875" bestFit="1" customWidth="1"/>
    <col min="11008" max="11008" width="23.140625" bestFit="1" customWidth="1"/>
    <col min="11009" max="11009" width="31.85546875" bestFit="1" customWidth="1"/>
    <col min="11010" max="11010" width="17.85546875" bestFit="1" customWidth="1"/>
    <col min="11011" max="11011" width="80.85546875" bestFit="1" customWidth="1"/>
    <col min="11012" max="11012" width="10.28515625" bestFit="1" customWidth="1"/>
    <col min="11013" max="11013" width="17.85546875" bestFit="1" customWidth="1"/>
    <col min="11264" max="11264" width="23.140625" bestFit="1" customWidth="1"/>
    <col min="11265" max="11265" width="31.85546875" bestFit="1" customWidth="1"/>
    <col min="11266" max="11266" width="17.85546875" bestFit="1" customWidth="1"/>
    <col min="11267" max="11267" width="80.85546875" bestFit="1" customWidth="1"/>
    <col min="11268" max="11268" width="10.28515625" bestFit="1" customWidth="1"/>
    <col min="11269" max="11269" width="17.85546875" bestFit="1" customWidth="1"/>
    <col min="11520" max="11520" width="23.140625" bestFit="1" customWidth="1"/>
    <col min="11521" max="11521" width="31.85546875" bestFit="1" customWidth="1"/>
    <col min="11522" max="11522" width="17.85546875" bestFit="1" customWidth="1"/>
    <col min="11523" max="11523" width="80.85546875" bestFit="1" customWidth="1"/>
    <col min="11524" max="11524" width="10.28515625" bestFit="1" customWidth="1"/>
    <col min="11525" max="11525" width="17.85546875" bestFit="1" customWidth="1"/>
    <col min="11776" max="11776" width="23.140625" bestFit="1" customWidth="1"/>
    <col min="11777" max="11777" width="31.85546875" bestFit="1" customWidth="1"/>
    <col min="11778" max="11778" width="17.85546875" bestFit="1" customWidth="1"/>
    <col min="11779" max="11779" width="80.85546875" bestFit="1" customWidth="1"/>
    <col min="11780" max="11780" width="10.28515625" bestFit="1" customWidth="1"/>
    <col min="11781" max="11781" width="17.85546875" bestFit="1" customWidth="1"/>
    <col min="12032" max="12032" width="23.140625" bestFit="1" customWidth="1"/>
    <col min="12033" max="12033" width="31.85546875" bestFit="1" customWidth="1"/>
    <col min="12034" max="12034" width="17.85546875" bestFit="1" customWidth="1"/>
    <col min="12035" max="12035" width="80.85546875" bestFit="1" customWidth="1"/>
    <col min="12036" max="12036" width="10.28515625" bestFit="1" customWidth="1"/>
    <col min="12037" max="12037" width="17.85546875" bestFit="1" customWidth="1"/>
    <col min="12288" max="12288" width="23.140625" bestFit="1" customWidth="1"/>
    <col min="12289" max="12289" width="31.85546875" bestFit="1" customWidth="1"/>
    <col min="12290" max="12290" width="17.85546875" bestFit="1" customWidth="1"/>
    <col min="12291" max="12291" width="80.85546875" bestFit="1" customWidth="1"/>
    <col min="12292" max="12292" width="10.28515625" bestFit="1" customWidth="1"/>
    <col min="12293" max="12293" width="17.85546875" bestFit="1" customWidth="1"/>
    <col min="12544" max="12544" width="23.140625" bestFit="1" customWidth="1"/>
    <col min="12545" max="12545" width="31.85546875" bestFit="1" customWidth="1"/>
    <col min="12546" max="12546" width="17.85546875" bestFit="1" customWidth="1"/>
    <col min="12547" max="12547" width="80.85546875" bestFit="1" customWidth="1"/>
    <col min="12548" max="12548" width="10.28515625" bestFit="1" customWidth="1"/>
    <col min="12549" max="12549" width="17.85546875" bestFit="1" customWidth="1"/>
    <col min="12800" max="12800" width="23.140625" bestFit="1" customWidth="1"/>
    <col min="12801" max="12801" width="31.85546875" bestFit="1" customWidth="1"/>
    <col min="12802" max="12802" width="17.85546875" bestFit="1" customWidth="1"/>
    <col min="12803" max="12803" width="80.85546875" bestFit="1" customWidth="1"/>
    <col min="12804" max="12804" width="10.28515625" bestFit="1" customWidth="1"/>
    <col min="12805" max="12805" width="17.85546875" bestFit="1" customWidth="1"/>
    <col min="13056" max="13056" width="23.140625" bestFit="1" customWidth="1"/>
    <col min="13057" max="13057" width="31.85546875" bestFit="1" customWidth="1"/>
    <col min="13058" max="13058" width="17.85546875" bestFit="1" customWidth="1"/>
    <col min="13059" max="13059" width="80.85546875" bestFit="1" customWidth="1"/>
    <col min="13060" max="13060" width="10.28515625" bestFit="1" customWidth="1"/>
    <col min="13061" max="13061" width="17.85546875" bestFit="1" customWidth="1"/>
    <col min="13312" max="13312" width="23.140625" bestFit="1" customWidth="1"/>
    <col min="13313" max="13313" width="31.85546875" bestFit="1" customWidth="1"/>
    <col min="13314" max="13314" width="17.85546875" bestFit="1" customWidth="1"/>
    <col min="13315" max="13315" width="80.85546875" bestFit="1" customWidth="1"/>
    <col min="13316" max="13316" width="10.28515625" bestFit="1" customWidth="1"/>
    <col min="13317" max="13317" width="17.85546875" bestFit="1" customWidth="1"/>
    <col min="13568" max="13568" width="23.140625" bestFit="1" customWidth="1"/>
    <col min="13569" max="13569" width="31.85546875" bestFit="1" customWidth="1"/>
    <col min="13570" max="13570" width="17.85546875" bestFit="1" customWidth="1"/>
    <col min="13571" max="13571" width="80.85546875" bestFit="1" customWidth="1"/>
    <col min="13572" max="13572" width="10.28515625" bestFit="1" customWidth="1"/>
    <col min="13573" max="13573" width="17.85546875" bestFit="1" customWidth="1"/>
    <col min="13824" max="13824" width="23.140625" bestFit="1" customWidth="1"/>
    <col min="13825" max="13825" width="31.85546875" bestFit="1" customWidth="1"/>
    <col min="13826" max="13826" width="17.85546875" bestFit="1" customWidth="1"/>
    <col min="13827" max="13827" width="80.85546875" bestFit="1" customWidth="1"/>
    <col min="13828" max="13828" width="10.28515625" bestFit="1" customWidth="1"/>
    <col min="13829" max="13829" width="17.85546875" bestFit="1" customWidth="1"/>
    <col min="14080" max="14080" width="23.140625" bestFit="1" customWidth="1"/>
    <col min="14081" max="14081" width="31.85546875" bestFit="1" customWidth="1"/>
    <col min="14082" max="14082" width="17.85546875" bestFit="1" customWidth="1"/>
    <col min="14083" max="14083" width="80.85546875" bestFit="1" customWidth="1"/>
    <col min="14084" max="14084" width="10.28515625" bestFit="1" customWidth="1"/>
    <col min="14085" max="14085" width="17.85546875" bestFit="1" customWidth="1"/>
    <col min="14336" max="14336" width="23.140625" bestFit="1" customWidth="1"/>
    <col min="14337" max="14337" width="31.85546875" bestFit="1" customWidth="1"/>
    <col min="14338" max="14338" width="17.85546875" bestFit="1" customWidth="1"/>
    <col min="14339" max="14339" width="80.85546875" bestFit="1" customWidth="1"/>
    <col min="14340" max="14340" width="10.28515625" bestFit="1" customWidth="1"/>
    <col min="14341" max="14341" width="17.85546875" bestFit="1" customWidth="1"/>
    <col min="14592" max="14592" width="23.140625" bestFit="1" customWidth="1"/>
    <col min="14593" max="14593" width="31.85546875" bestFit="1" customWidth="1"/>
    <col min="14594" max="14594" width="17.85546875" bestFit="1" customWidth="1"/>
    <col min="14595" max="14595" width="80.85546875" bestFit="1" customWidth="1"/>
    <col min="14596" max="14596" width="10.28515625" bestFit="1" customWidth="1"/>
    <col min="14597" max="14597" width="17.85546875" bestFit="1" customWidth="1"/>
    <col min="14848" max="14848" width="23.140625" bestFit="1" customWidth="1"/>
    <col min="14849" max="14849" width="31.85546875" bestFit="1" customWidth="1"/>
    <col min="14850" max="14850" width="17.85546875" bestFit="1" customWidth="1"/>
    <col min="14851" max="14851" width="80.85546875" bestFit="1" customWidth="1"/>
    <col min="14852" max="14852" width="10.28515625" bestFit="1" customWidth="1"/>
    <col min="14853" max="14853" width="17.85546875" bestFit="1" customWidth="1"/>
    <col min="15104" max="15104" width="23.140625" bestFit="1" customWidth="1"/>
    <col min="15105" max="15105" width="31.85546875" bestFit="1" customWidth="1"/>
    <col min="15106" max="15106" width="17.85546875" bestFit="1" customWidth="1"/>
    <col min="15107" max="15107" width="80.85546875" bestFit="1" customWidth="1"/>
    <col min="15108" max="15108" width="10.28515625" bestFit="1" customWidth="1"/>
    <col min="15109" max="15109" width="17.85546875" bestFit="1" customWidth="1"/>
    <col min="15360" max="15360" width="23.140625" bestFit="1" customWidth="1"/>
    <col min="15361" max="15361" width="31.85546875" bestFit="1" customWidth="1"/>
    <col min="15362" max="15362" width="17.85546875" bestFit="1" customWidth="1"/>
    <col min="15363" max="15363" width="80.85546875" bestFit="1" customWidth="1"/>
    <col min="15364" max="15364" width="10.28515625" bestFit="1" customWidth="1"/>
    <col min="15365" max="15365" width="17.85546875" bestFit="1" customWidth="1"/>
    <col min="15616" max="15616" width="23.140625" bestFit="1" customWidth="1"/>
    <col min="15617" max="15617" width="31.85546875" bestFit="1" customWidth="1"/>
    <col min="15618" max="15618" width="17.85546875" bestFit="1" customWidth="1"/>
    <col min="15619" max="15619" width="80.85546875" bestFit="1" customWidth="1"/>
    <col min="15620" max="15620" width="10.28515625" bestFit="1" customWidth="1"/>
    <col min="15621" max="15621" width="17.85546875" bestFit="1" customWidth="1"/>
    <col min="15872" max="15872" width="23.140625" bestFit="1" customWidth="1"/>
    <col min="15873" max="15873" width="31.85546875" bestFit="1" customWidth="1"/>
    <col min="15874" max="15874" width="17.85546875" bestFit="1" customWidth="1"/>
    <col min="15875" max="15875" width="80.85546875" bestFit="1" customWidth="1"/>
    <col min="15876" max="15876" width="10.28515625" bestFit="1" customWidth="1"/>
    <col min="15877" max="15877" width="17.85546875" bestFit="1" customWidth="1"/>
    <col min="16128" max="16128" width="23.140625" bestFit="1" customWidth="1"/>
    <col min="16129" max="16129" width="31.85546875" bestFit="1" customWidth="1"/>
    <col min="16130" max="16130" width="17.85546875" bestFit="1" customWidth="1"/>
    <col min="16131" max="16131" width="80.85546875" bestFit="1" customWidth="1"/>
    <col min="16132" max="16132" width="10.28515625" bestFit="1" customWidth="1"/>
    <col min="16133" max="16133" width="17.85546875" bestFit="1" customWidth="1"/>
  </cols>
  <sheetData>
    <row r="1" spans="1:4" x14ac:dyDescent="0.25">
      <c r="A1" s="42" t="s">
        <v>383</v>
      </c>
      <c r="B1" s="42" t="s">
        <v>384</v>
      </c>
      <c r="C1" s="42" t="s">
        <v>6</v>
      </c>
      <c r="D1" s="42" t="s">
        <v>385</v>
      </c>
    </row>
    <row r="2" spans="1:4" x14ac:dyDescent="0.25">
      <c r="A2" s="43">
        <v>44</v>
      </c>
      <c r="B2" t="s">
        <v>37</v>
      </c>
      <c r="C2" t="s">
        <v>403</v>
      </c>
      <c r="D2" t="s">
        <v>386</v>
      </c>
    </row>
    <row r="3" spans="1:4" x14ac:dyDescent="0.25">
      <c r="A3" s="43">
        <v>17</v>
      </c>
      <c r="B3" t="s">
        <v>390</v>
      </c>
      <c r="C3" t="s">
        <v>391</v>
      </c>
      <c r="D3" t="s">
        <v>386</v>
      </c>
    </row>
    <row r="4" spans="1:4" x14ac:dyDescent="0.25">
      <c r="A4" s="43">
        <v>92</v>
      </c>
      <c r="B4" t="s">
        <v>444</v>
      </c>
      <c r="C4" t="s">
        <v>445</v>
      </c>
      <c r="D4" t="s">
        <v>386</v>
      </c>
    </row>
    <row r="5" spans="1:4" x14ac:dyDescent="0.25">
      <c r="A5" s="43">
        <v>57</v>
      </c>
      <c r="B5" t="s">
        <v>38</v>
      </c>
      <c r="C5" t="s">
        <v>420</v>
      </c>
      <c r="D5" t="s">
        <v>386</v>
      </c>
    </row>
    <row r="6" spans="1:4" x14ac:dyDescent="0.25">
      <c r="A6" s="43">
        <v>93</v>
      </c>
      <c r="B6" t="s">
        <v>446</v>
      </c>
      <c r="C6" t="s">
        <v>447</v>
      </c>
      <c r="D6" t="s">
        <v>386</v>
      </c>
    </row>
    <row r="7" spans="1:4" x14ac:dyDescent="0.25">
      <c r="A7" s="43">
        <v>111</v>
      </c>
      <c r="B7" t="s">
        <v>458</v>
      </c>
      <c r="C7" t="s">
        <v>459</v>
      </c>
      <c r="D7" t="s">
        <v>386</v>
      </c>
    </row>
    <row r="8" spans="1:4" x14ac:dyDescent="0.25">
      <c r="A8" s="43">
        <v>50</v>
      </c>
      <c r="B8" t="s">
        <v>39</v>
      </c>
      <c r="C8" t="s">
        <v>411</v>
      </c>
      <c r="D8" t="s">
        <v>386</v>
      </c>
    </row>
    <row r="9" spans="1:4" x14ac:dyDescent="0.25">
      <c r="A9" s="43">
        <v>14</v>
      </c>
      <c r="B9" t="s">
        <v>387</v>
      </c>
      <c r="C9" t="s">
        <v>388</v>
      </c>
      <c r="D9" t="s">
        <v>386</v>
      </c>
    </row>
    <row r="10" spans="1:4" x14ac:dyDescent="0.25">
      <c r="A10" s="43">
        <v>56</v>
      </c>
      <c r="B10" t="s">
        <v>40</v>
      </c>
      <c r="C10" t="s">
        <v>419</v>
      </c>
      <c r="D10" t="s">
        <v>386</v>
      </c>
    </row>
    <row r="11" spans="1:4" x14ac:dyDescent="0.25">
      <c r="A11" s="43">
        <v>51</v>
      </c>
      <c r="B11" t="s">
        <v>41</v>
      </c>
      <c r="C11" t="s">
        <v>412</v>
      </c>
      <c r="D11" t="s">
        <v>386</v>
      </c>
    </row>
    <row r="12" spans="1:4" x14ac:dyDescent="0.25">
      <c r="A12" s="43">
        <v>18</v>
      </c>
      <c r="B12" t="s">
        <v>42</v>
      </c>
      <c r="C12" t="s">
        <v>392</v>
      </c>
      <c r="D12" t="s">
        <v>386</v>
      </c>
    </row>
    <row r="13" spans="1:4" x14ac:dyDescent="0.25">
      <c r="A13" s="43">
        <v>37</v>
      </c>
      <c r="B13" t="s">
        <v>394</v>
      </c>
      <c r="C13" t="s">
        <v>395</v>
      </c>
      <c r="D13" t="s">
        <v>386</v>
      </c>
    </row>
    <row r="14" spans="1:4" x14ac:dyDescent="0.25">
      <c r="A14" s="43">
        <v>68</v>
      </c>
      <c r="B14" t="s">
        <v>43</v>
      </c>
      <c r="C14" t="s">
        <v>431</v>
      </c>
      <c r="D14" t="s">
        <v>386</v>
      </c>
    </row>
    <row r="15" spans="1:4" x14ac:dyDescent="0.25">
      <c r="A15" s="43">
        <v>52</v>
      </c>
      <c r="B15" t="s">
        <v>44</v>
      </c>
      <c r="C15" t="s">
        <v>413</v>
      </c>
      <c r="D15" t="s">
        <v>386</v>
      </c>
    </row>
    <row r="16" spans="1:4" x14ac:dyDescent="0.25">
      <c r="A16" s="43">
        <v>19</v>
      </c>
      <c r="B16" t="s">
        <v>45</v>
      </c>
      <c r="C16" t="s">
        <v>393</v>
      </c>
      <c r="D16" t="s">
        <v>386</v>
      </c>
    </row>
    <row r="17" spans="1:4" x14ac:dyDescent="0.25">
      <c r="A17" s="43">
        <v>16</v>
      </c>
      <c r="B17" t="s">
        <v>55</v>
      </c>
      <c r="C17" t="s">
        <v>389</v>
      </c>
      <c r="D17" t="s">
        <v>386</v>
      </c>
    </row>
    <row r="18" spans="1:4" x14ac:dyDescent="0.25">
      <c r="A18" s="43">
        <v>73</v>
      </c>
      <c r="B18" t="s">
        <v>433</v>
      </c>
      <c r="C18" t="s">
        <v>434</v>
      </c>
      <c r="D18" t="s">
        <v>386</v>
      </c>
    </row>
    <row r="19" spans="1:4" x14ac:dyDescent="0.25">
      <c r="A19" s="43">
        <v>49</v>
      </c>
      <c r="B19" t="s">
        <v>409</v>
      </c>
      <c r="C19" t="s">
        <v>410</v>
      </c>
      <c r="D19" t="s">
        <v>386</v>
      </c>
    </row>
    <row r="20" spans="1:4" x14ac:dyDescent="0.25">
      <c r="A20" s="43">
        <v>67</v>
      </c>
      <c r="B20" t="s">
        <v>46</v>
      </c>
      <c r="C20" t="s">
        <v>430</v>
      </c>
      <c r="D20" t="s">
        <v>386</v>
      </c>
    </row>
    <row r="21" spans="1:4" x14ac:dyDescent="0.25">
      <c r="A21" s="43">
        <v>64</v>
      </c>
      <c r="B21" t="s">
        <v>47</v>
      </c>
      <c r="C21" t="s">
        <v>428</v>
      </c>
      <c r="D21" t="s">
        <v>386</v>
      </c>
    </row>
    <row r="22" spans="1:4" x14ac:dyDescent="0.25">
      <c r="A22" s="43">
        <v>59</v>
      </c>
      <c r="B22" t="s">
        <v>48</v>
      </c>
      <c r="C22" t="s">
        <v>422</v>
      </c>
      <c r="D22" t="s">
        <v>386</v>
      </c>
    </row>
    <row r="23" spans="1:4" x14ac:dyDescent="0.25">
      <c r="A23" s="43">
        <v>60</v>
      </c>
      <c r="B23" t="s">
        <v>49</v>
      </c>
      <c r="C23" t="s">
        <v>423</v>
      </c>
      <c r="D23" t="s">
        <v>386</v>
      </c>
    </row>
    <row r="24" spans="1:4" x14ac:dyDescent="0.25">
      <c r="A24" s="43">
        <v>46</v>
      </c>
      <c r="B24" t="s">
        <v>50</v>
      </c>
      <c r="C24" t="s">
        <v>406</v>
      </c>
      <c r="D24" t="s">
        <v>386</v>
      </c>
    </row>
    <row r="25" spans="1:4" x14ac:dyDescent="0.25">
      <c r="A25" s="43">
        <v>38</v>
      </c>
      <c r="B25" t="s">
        <v>396</v>
      </c>
      <c r="C25" t="s">
        <v>397</v>
      </c>
      <c r="D25" t="s">
        <v>386</v>
      </c>
    </row>
    <row r="26" spans="1:4" x14ac:dyDescent="0.25">
      <c r="A26" s="43">
        <v>58</v>
      </c>
      <c r="B26" t="s">
        <v>51</v>
      </c>
      <c r="C26" t="s">
        <v>421</v>
      </c>
      <c r="D26" t="s">
        <v>386</v>
      </c>
    </row>
    <row r="27" spans="1:4" x14ac:dyDescent="0.25">
      <c r="A27" s="43">
        <v>43</v>
      </c>
      <c r="B27" t="s">
        <v>52</v>
      </c>
      <c r="C27" t="s">
        <v>402</v>
      </c>
      <c r="D27" t="s">
        <v>386</v>
      </c>
    </row>
    <row r="28" spans="1:4" x14ac:dyDescent="0.25">
      <c r="A28" s="43">
        <v>39</v>
      </c>
      <c r="B28" t="s">
        <v>398</v>
      </c>
      <c r="C28" t="s">
        <v>399</v>
      </c>
      <c r="D28" t="s">
        <v>386</v>
      </c>
    </row>
    <row r="29" spans="1:4" x14ac:dyDescent="0.25">
      <c r="A29" s="43">
        <v>90</v>
      </c>
      <c r="B29" t="s">
        <v>442</v>
      </c>
      <c r="C29" t="s">
        <v>443</v>
      </c>
      <c r="D29" t="s">
        <v>386</v>
      </c>
    </row>
    <row r="30" spans="1:4" x14ac:dyDescent="0.25">
      <c r="A30" s="43">
        <v>74</v>
      </c>
      <c r="B30" t="s">
        <v>53</v>
      </c>
      <c r="C30" t="s">
        <v>435</v>
      </c>
      <c r="D30" t="s">
        <v>386</v>
      </c>
    </row>
    <row r="31" spans="1:4" x14ac:dyDescent="0.25">
      <c r="A31" s="43">
        <v>40</v>
      </c>
      <c r="B31" t="s">
        <v>400</v>
      </c>
      <c r="C31" t="s">
        <v>401</v>
      </c>
      <c r="D31" t="s">
        <v>386</v>
      </c>
    </row>
    <row r="32" spans="1:4" x14ac:dyDescent="0.25">
      <c r="A32" s="43">
        <v>48</v>
      </c>
      <c r="B32" t="s">
        <v>54</v>
      </c>
      <c r="C32" t="s">
        <v>408</v>
      </c>
      <c r="D32" t="s">
        <v>386</v>
      </c>
    </row>
    <row r="33" spans="1:4" x14ac:dyDescent="0.25">
      <c r="A33" s="43">
        <v>53</v>
      </c>
      <c r="B33" t="s">
        <v>56</v>
      </c>
      <c r="C33" t="s">
        <v>414</v>
      </c>
      <c r="D33" t="s">
        <v>386</v>
      </c>
    </row>
    <row r="34" spans="1:4" x14ac:dyDescent="0.25">
      <c r="A34" s="43">
        <v>102</v>
      </c>
      <c r="B34" t="s">
        <v>454</v>
      </c>
      <c r="C34" t="s">
        <v>455</v>
      </c>
      <c r="D34" t="s">
        <v>386</v>
      </c>
    </row>
    <row r="35" spans="1:4" x14ac:dyDescent="0.25">
      <c r="A35" s="43">
        <v>65</v>
      </c>
      <c r="B35" t="s">
        <v>57</v>
      </c>
      <c r="C35" t="s">
        <v>429</v>
      </c>
      <c r="D35" t="s">
        <v>386</v>
      </c>
    </row>
    <row r="36" spans="1:4" x14ac:dyDescent="0.25">
      <c r="A36" s="43">
        <v>47</v>
      </c>
      <c r="B36" t="s">
        <v>58</v>
      </c>
      <c r="C36" t="s">
        <v>407</v>
      </c>
      <c r="D36" t="s">
        <v>386</v>
      </c>
    </row>
    <row r="37" spans="1:4" x14ac:dyDescent="0.25">
      <c r="A37" s="43">
        <v>76</v>
      </c>
      <c r="B37" t="s">
        <v>59</v>
      </c>
      <c r="C37" t="s">
        <v>437</v>
      </c>
      <c r="D37" t="s">
        <v>386</v>
      </c>
    </row>
    <row r="38" spans="1:4" x14ac:dyDescent="0.25">
      <c r="A38" s="43">
        <v>45</v>
      </c>
      <c r="B38" t="s">
        <v>404</v>
      </c>
      <c r="C38" t="s">
        <v>405</v>
      </c>
      <c r="D38" t="s">
        <v>386</v>
      </c>
    </row>
    <row r="39" spans="1:4" x14ac:dyDescent="0.25">
      <c r="A39" s="43">
        <v>70</v>
      </c>
      <c r="B39" t="s">
        <v>60</v>
      </c>
      <c r="C39" t="s">
        <v>432</v>
      </c>
      <c r="D39" t="s">
        <v>386</v>
      </c>
    </row>
    <row r="40" spans="1:4" x14ac:dyDescent="0.25">
      <c r="A40" s="43">
        <v>63</v>
      </c>
      <c r="B40" t="s">
        <v>426</v>
      </c>
      <c r="C40" t="s">
        <v>427</v>
      </c>
      <c r="D40" t="s">
        <v>386</v>
      </c>
    </row>
    <row r="41" spans="1:4" x14ac:dyDescent="0.25">
      <c r="A41" s="43">
        <v>77</v>
      </c>
      <c r="B41" t="s">
        <v>438</v>
      </c>
      <c r="C41" t="s">
        <v>439</v>
      </c>
      <c r="D41" t="s">
        <v>386</v>
      </c>
    </row>
    <row r="42" spans="1:4" x14ac:dyDescent="0.25">
      <c r="A42" s="43">
        <v>61</v>
      </c>
      <c r="B42" t="s">
        <v>61</v>
      </c>
      <c r="C42" t="s">
        <v>424</v>
      </c>
      <c r="D42" t="s">
        <v>386</v>
      </c>
    </row>
    <row r="43" spans="1:4" x14ac:dyDescent="0.25">
      <c r="A43" s="43">
        <v>75</v>
      </c>
      <c r="B43" t="s">
        <v>62</v>
      </c>
      <c r="C43" t="s">
        <v>436</v>
      </c>
      <c r="D43" t="s">
        <v>386</v>
      </c>
    </row>
    <row r="44" spans="1:4" x14ac:dyDescent="0.25">
      <c r="A44" s="43">
        <v>94</v>
      </c>
      <c r="B44" t="s">
        <v>448</v>
      </c>
      <c r="C44" t="s">
        <v>449</v>
      </c>
      <c r="D44" t="s">
        <v>386</v>
      </c>
    </row>
    <row r="45" spans="1:4" x14ac:dyDescent="0.25">
      <c r="A45" s="43">
        <v>109</v>
      </c>
      <c r="B45" t="s">
        <v>456</v>
      </c>
      <c r="C45" t="s">
        <v>457</v>
      </c>
      <c r="D45" t="s">
        <v>386</v>
      </c>
    </row>
    <row r="46" spans="1:4" x14ac:dyDescent="0.25">
      <c r="A46" s="43">
        <v>100</v>
      </c>
      <c r="B46" t="s">
        <v>452</v>
      </c>
      <c r="C46" t="s">
        <v>453</v>
      </c>
      <c r="D46" t="s">
        <v>386</v>
      </c>
    </row>
    <row r="47" spans="1:4" x14ac:dyDescent="0.25">
      <c r="A47" s="43">
        <v>99</v>
      </c>
      <c r="B47" t="s">
        <v>450</v>
      </c>
      <c r="C47" t="s">
        <v>451</v>
      </c>
      <c r="D47" t="s">
        <v>386</v>
      </c>
    </row>
    <row r="48" spans="1:4" x14ac:dyDescent="0.25">
      <c r="A48" s="43">
        <v>89</v>
      </c>
      <c r="B48" t="s">
        <v>440</v>
      </c>
      <c r="C48" t="s">
        <v>441</v>
      </c>
      <c r="D48" t="s">
        <v>386</v>
      </c>
    </row>
    <row r="49" spans="1:4" x14ac:dyDescent="0.25">
      <c r="A49" s="43">
        <v>54</v>
      </c>
      <c r="B49" t="s">
        <v>415</v>
      </c>
      <c r="C49" t="s">
        <v>416</v>
      </c>
      <c r="D49" t="s">
        <v>386</v>
      </c>
    </row>
    <row r="50" spans="1:4" x14ac:dyDescent="0.25">
      <c r="A50" s="43">
        <v>55</v>
      </c>
      <c r="B50" t="s">
        <v>417</v>
      </c>
      <c r="C50" t="s">
        <v>418</v>
      </c>
      <c r="D50" t="s">
        <v>386</v>
      </c>
    </row>
    <row r="51" spans="1:4" x14ac:dyDescent="0.25">
      <c r="A51" s="43">
        <v>62</v>
      </c>
      <c r="B51" t="s">
        <v>63</v>
      </c>
      <c r="C51" t="s">
        <v>425</v>
      </c>
      <c r="D51" t="s">
        <v>386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A08006-1243-49D7-ABCC-837244DFDA45}">
  <sheetPr codeName="Hoja9"/>
  <dimension ref="A1:F698"/>
  <sheetViews>
    <sheetView zoomScale="80" zoomScaleNormal="80" workbookViewId="0">
      <selection activeCell="A262" sqref="A262:B262"/>
    </sheetView>
  </sheetViews>
  <sheetFormatPr baseColWidth="10" defaultRowHeight="15" x14ac:dyDescent="0.25"/>
  <cols>
    <col min="1" max="1" width="13.28515625" style="43" bestFit="1" customWidth="1"/>
    <col min="2" max="2" width="49.85546875" bestFit="1" customWidth="1"/>
    <col min="3" max="3" width="72.7109375" customWidth="1"/>
    <col min="4" max="4" width="28" style="43" bestFit="1" customWidth="1"/>
    <col min="5" max="5" width="12" style="43" bestFit="1" customWidth="1"/>
    <col min="6" max="6" width="11.42578125" style="43"/>
  </cols>
  <sheetData>
    <row r="1" spans="1:6" ht="45.75" thickBot="1" x14ac:dyDescent="0.3">
      <c r="A1" s="44" t="s">
        <v>348</v>
      </c>
      <c r="B1" s="44" t="s">
        <v>1495</v>
      </c>
      <c r="C1" s="42" t="s">
        <v>17</v>
      </c>
      <c r="D1" s="42" t="s">
        <v>11</v>
      </c>
      <c r="E1" s="42" t="s">
        <v>3481</v>
      </c>
      <c r="F1" s="46" t="s">
        <v>4276</v>
      </c>
    </row>
    <row r="2" spans="1:6" x14ac:dyDescent="0.25">
      <c r="A2" s="43">
        <v>1</v>
      </c>
      <c r="B2" t="s">
        <v>3482</v>
      </c>
      <c r="C2" t="s">
        <v>3482</v>
      </c>
      <c r="D2" s="43" t="s">
        <v>3483</v>
      </c>
      <c r="E2" s="43" t="s">
        <v>3484</v>
      </c>
      <c r="F2" s="43" t="s">
        <v>4277</v>
      </c>
    </row>
    <row r="3" spans="1:6" x14ac:dyDescent="0.25">
      <c r="A3" s="43">
        <v>1101020</v>
      </c>
      <c r="B3" t="s">
        <v>3485</v>
      </c>
      <c r="C3" t="s">
        <v>3486</v>
      </c>
      <c r="D3" s="43" t="s">
        <v>3483</v>
      </c>
      <c r="E3" s="43" t="s">
        <v>3484</v>
      </c>
      <c r="F3" s="43" t="s">
        <v>4277</v>
      </c>
    </row>
    <row r="4" spans="1:6" x14ac:dyDescent="0.25">
      <c r="A4" s="43">
        <v>1101030</v>
      </c>
      <c r="B4" t="s">
        <v>3487</v>
      </c>
      <c r="C4" t="s">
        <v>3488</v>
      </c>
      <c r="D4" s="43" t="s">
        <v>3483</v>
      </c>
      <c r="E4" s="43" t="s">
        <v>3484</v>
      </c>
      <c r="F4" s="43" t="s">
        <v>4277</v>
      </c>
    </row>
    <row r="5" spans="1:6" x14ac:dyDescent="0.25">
      <c r="A5" s="43">
        <v>1101040</v>
      </c>
      <c r="B5" t="s">
        <v>3489</v>
      </c>
      <c r="C5" t="s">
        <v>3490</v>
      </c>
      <c r="D5" s="43" t="s">
        <v>3483</v>
      </c>
      <c r="E5" s="43" t="s">
        <v>3484</v>
      </c>
      <c r="F5" s="43" t="s">
        <v>4277</v>
      </c>
    </row>
    <row r="6" spans="1:6" x14ac:dyDescent="0.25">
      <c r="A6" s="43">
        <v>1101042</v>
      </c>
      <c r="B6" t="s">
        <v>3491</v>
      </c>
      <c r="C6" t="s">
        <v>3492</v>
      </c>
      <c r="D6" s="43" t="s">
        <v>3483</v>
      </c>
      <c r="E6" s="43" t="s">
        <v>3484</v>
      </c>
      <c r="F6" s="43" t="s">
        <v>4277</v>
      </c>
    </row>
    <row r="7" spans="1:6" x14ac:dyDescent="0.25">
      <c r="A7" s="43">
        <v>1101043</v>
      </c>
      <c r="B7" t="s">
        <v>3493</v>
      </c>
      <c r="C7" t="s">
        <v>3490</v>
      </c>
      <c r="D7" s="43" t="s">
        <v>3483</v>
      </c>
      <c r="E7" s="43" t="s">
        <v>3484</v>
      </c>
      <c r="F7" s="43" t="s">
        <v>4277</v>
      </c>
    </row>
    <row r="8" spans="1:6" x14ac:dyDescent="0.25">
      <c r="A8" s="43">
        <v>1101050</v>
      </c>
      <c r="B8" t="s">
        <v>3494</v>
      </c>
      <c r="C8" t="s">
        <v>3495</v>
      </c>
      <c r="D8" s="43" t="s">
        <v>3483</v>
      </c>
      <c r="E8" s="43" t="s">
        <v>3484</v>
      </c>
      <c r="F8" s="43" t="s">
        <v>4277</v>
      </c>
    </row>
    <row r="9" spans="1:6" x14ac:dyDescent="0.25">
      <c r="A9" s="43">
        <v>1101051</v>
      </c>
      <c r="B9" t="s">
        <v>3496</v>
      </c>
      <c r="C9" t="s">
        <v>3492</v>
      </c>
      <c r="D9" s="43" t="s">
        <v>3483</v>
      </c>
      <c r="E9" s="43" t="s">
        <v>3484</v>
      </c>
      <c r="F9" s="43" t="s">
        <v>4277</v>
      </c>
    </row>
    <row r="10" spans="1:6" x14ac:dyDescent="0.25">
      <c r="A10" s="43">
        <v>1101060</v>
      </c>
      <c r="B10" t="s">
        <v>3497</v>
      </c>
      <c r="D10" s="43" t="s">
        <v>3483</v>
      </c>
      <c r="E10" s="43" t="s">
        <v>3484</v>
      </c>
      <c r="F10" s="43" t="s">
        <v>4277</v>
      </c>
    </row>
    <row r="11" spans="1:6" x14ac:dyDescent="0.25">
      <c r="A11" s="43">
        <v>1101080</v>
      </c>
      <c r="B11" t="s">
        <v>3498</v>
      </c>
      <c r="D11" s="43" t="s">
        <v>3483</v>
      </c>
      <c r="E11" s="43" t="s">
        <v>3484</v>
      </c>
      <c r="F11" s="43" t="s">
        <v>4277</v>
      </c>
    </row>
    <row r="12" spans="1:6" x14ac:dyDescent="0.25">
      <c r="A12" s="43">
        <v>1101090</v>
      </c>
      <c r="B12" t="s">
        <v>3499</v>
      </c>
      <c r="C12" t="s">
        <v>3500</v>
      </c>
      <c r="D12" s="43" t="s">
        <v>3483</v>
      </c>
      <c r="E12" s="43" t="s">
        <v>3484</v>
      </c>
      <c r="F12" s="43" t="s">
        <v>4277</v>
      </c>
    </row>
    <row r="13" spans="1:6" x14ac:dyDescent="0.25">
      <c r="A13" s="43">
        <v>1101100</v>
      </c>
      <c r="B13" t="s">
        <v>3501</v>
      </c>
      <c r="D13" s="43" t="s">
        <v>3483</v>
      </c>
      <c r="E13" s="43" t="s">
        <v>3484</v>
      </c>
      <c r="F13" s="43" t="s">
        <v>4277</v>
      </c>
    </row>
    <row r="14" spans="1:6" x14ac:dyDescent="0.25">
      <c r="A14" s="43">
        <v>1101120</v>
      </c>
      <c r="B14" t="s">
        <v>3502</v>
      </c>
      <c r="D14" s="43" t="s">
        <v>3483</v>
      </c>
      <c r="E14" s="43" t="s">
        <v>3484</v>
      </c>
      <c r="F14" s="43" t="s">
        <v>4277</v>
      </c>
    </row>
    <row r="15" spans="1:6" x14ac:dyDescent="0.25">
      <c r="A15" s="43">
        <v>1101121</v>
      </c>
      <c r="B15" t="s">
        <v>3503</v>
      </c>
      <c r="C15" t="s">
        <v>3492</v>
      </c>
      <c r="D15" s="43" t="s">
        <v>3483</v>
      </c>
      <c r="E15" s="43" t="s">
        <v>3484</v>
      </c>
      <c r="F15" s="43" t="s">
        <v>4277</v>
      </c>
    </row>
    <row r="16" spans="1:6" x14ac:dyDescent="0.25">
      <c r="A16" s="43">
        <v>1101140</v>
      </c>
      <c r="B16" t="s">
        <v>3504</v>
      </c>
      <c r="D16" s="43" t="s">
        <v>3483</v>
      </c>
      <c r="E16" s="43" t="s">
        <v>3484</v>
      </c>
      <c r="F16" s="43" t="s">
        <v>4277</v>
      </c>
    </row>
    <row r="17" spans="1:6" x14ac:dyDescent="0.25">
      <c r="A17" s="43">
        <v>1101150</v>
      </c>
      <c r="B17" t="s">
        <v>3505</v>
      </c>
      <c r="D17" s="43" t="s">
        <v>3483</v>
      </c>
      <c r="E17" s="43" t="s">
        <v>3484</v>
      </c>
      <c r="F17" s="43" t="s">
        <v>4277</v>
      </c>
    </row>
    <row r="18" spans="1:6" x14ac:dyDescent="0.25">
      <c r="A18" s="43">
        <v>1101151</v>
      </c>
      <c r="B18" t="s">
        <v>3506</v>
      </c>
      <c r="C18" t="s">
        <v>3492</v>
      </c>
      <c r="D18" s="43" t="s">
        <v>3483</v>
      </c>
      <c r="E18" s="43" t="s">
        <v>3484</v>
      </c>
      <c r="F18" s="43" t="s">
        <v>4277</v>
      </c>
    </row>
    <row r="19" spans="1:6" x14ac:dyDescent="0.25">
      <c r="A19" s="43">
        <v>1101160</v>
      </c>
      <c r="B19" t="s">
        <v>3507</v>
      </c>
      <c r="D19" s="43" t="s">
        <v>3483</v>
      </c>
      <c r="E19" s="43" t="s">
        <v>3484</v>
      </c>
      <c r="F19" s="43" t="s">
        <v>4277</v>
      </c>
    </row>
    <row r="20" spans="1:6" x14ac:dyDescent="0.25">
      <c r="A20" s="43">
        <v>1101190</v>
      </c>
      <c r="B20" t="s">
        <v>3508</v>
      </c>
      <c r="D20" s="43" t="s">
        <v>3483</v>
      </c>
      <c r="E20" s="43" t="s">
        <v>3484</v>
      </c>
      <c r="F20" s="43" t="s">
        <v>4277</v>
      </c>
    </row>
    <row r="21" spans="1:6" x14ac:dyDescent="0.25">
      <c r="A21" s="43">
        <v>1101201</v>
      </c>
      <c r="B21" t="s">
        <v>3509</v>
      </c>
      <c r="C21" t="s">
        <v>3510</v>
      </c>
      <c r="D21" s="43" t="s">
        <v>3483</v>
      </c>
      <c r="E21" s="43" t="s">
        <v>3484</v>
      </c>
      <c r="F21" s="43" t="s">
        <v>4277</v>
      </c>
    </row>
    <row r="22" spans="1:6" x14ac:dyDescent="0.25">
      <c r="A22" s="43">
        <v>1102002</v>
      </c>
      <c r="B22" t="s">
        <v>3511</v>
      </c>
      <c r="C22" t="s">
        <v>3512</v>
      </c>
      <c r="D22" s="43" t="s">
        <v>3483</v>
      </c>
      <c r="E22" s="43" t="s">
        <v>3484</v>
      </c>
      <c r="F22" s="43" t="s">
        <v>4277</v>
      </c>
    </row>
    <row r="23" spans="1:6" x14ac:dyDescent="0.25">
      <c r="A23" s="43">
        <v>1102010</v>
      </c>
      <c r="B23" t="s">
        <v>3513</v>
      </c>
      <c r="C23" t="s">
        <v>3514</v>
      </c>
      <c r="D23" s="43" t="s">
        <v>3483</v>
      </c>
      <c r="E23" s="43" t="s">
        <v>3484</v>
      </c>
      <c r="F23" s="43" t="s">
        <v>4277</v>
      </c>
    </row>
    <row r="24" spans="1:6" x14ac:dyDescent="0.25">
      <c r="A24" s="43">
        <v>1102020</v>
      </c>
      <c r="B24" t="s">
        <v>3515</v>
      </c>
      <c r="C24" t="s">
        <v>3516</v>
      </c>
      <c r="D24" s="43" t="s">
        <v>3483</v>
      </c>
      <c r="E24" s="43" t="s">
        <v>3484</v>
      </c>
      <c r="F24" s="43" t="s">
        <v>4277</v>
      </c>
    </row>
    <row r="25" spans="1:6" x14ac:dyDescent="0.25">
      <c r="A25" s="43">
        <v>1102030</v>
      </c>
      <c r="B25" t="s">
        <v>3517</v>
      </c>
      <c r="C25" t="s">
        <v>3518</v>
      </c>
      <c r="D25" s="43" t="s">
        <v>3483</v>
      </c>
      <c r="E25" s="43" t="s">
        <v>3484</v>
      </c>
      <c r="F25" s="43" t="s">
        <v>4277</v>
      </c>
    </row>
    <row r="26" spans="1:6" x14ac:dyDescent="0.25">
      <c r="A26" s="43">
        <v>1103010</v>
      </c>
      <c r="B26" t="s">
        <v>3519</v>
      </c>
      <c r="C26" t="s">
        <v>3520</v>
      </c>
      <c r="D26" s="43" t="s">
        <v>3483</v>
      </c>
      <c r="E26" s="43" t="s">
        <v>3484</v>
      </c>
      <c r="F26" s="43" t="s">
        <v>4277</v>
      </c>
    </row>
    <row r="27" spans="1:6" x14ac:dyDescent="0.25">
      <c r="A27" s="43">
        <v>1103020</v>
      </c>
      <c r="B27" t="s">
        <v>3521</v>
      </c>
      <c r="C27" t="s">
        <v>3522</v>
      </c>
      <c r="D27" s="43" t="s">
        <v>3483</v>
      </c>
      <c r="E27" s="43" t="s">
        <v>3484</v>
      </c>
      <c r="F27" s="43" t="s">
        <v>4277</v>
      </c>
    </row>
    <row r="28" spans="1:6" x14ac:dyDescent="0.25">
      <c r="A28" s="43">
        <v>1103030</v>
      </c>
      <c r="B28" t="s">
        <v>3523</v>
      </c>
      <c r="C28" t="s">
        <v>3524</v>
      </c>
      <c r="D28" s="43" t="s">
        <v>3483</v>
      </c>
      <c r="E28" s="43" t="s">
        <v>3484</v>
      </c>
      <c r="F28" s="43" t="s">
        <v>4277</v>
      </c>
    </row>
    <row r="29" spans="1:6" x14ac:dyDescent="0.25">
      <c r="A29" s="43">
        <v>1103040</v>
      </c>
      <c r="B29" t="s">
        <v>3525</v>
      </c>
      <c r="C29" t="s">
        <v>3526</v>
      </c>
      <c r="D29" s="43" t="s">
        <v>3483</v>
      </c>
      <c r="E29" s="43" t="s">
        <v>3484</v>
      </c>
      <c r="F29" s="43" t="s">
        <v>4277</v>
      </c>
    </row>
    <row r="30" spans="1:6" x14ac:dyDescent="0.25">
      <c r="A30" s="43">
        <v>1103050</v>
      </c>
      <c r="B30" t="s">
        <v>3527</v>
      </c>
      <c r="C30" t="s">
        <v>3528</v>
      </c>
      <c r="D30" s="43" t="s">
        <v>3483</v>
      </c>
      <c r="E30" s="43" t="s">
        <v>3484</v>
      </c>
      <c r="F30" s="43" t="s">
        <v>4277</v>
      </c>
    </row>
    <row r="31" spans="1:6" x14ac:dyDescent="0.25">
      <c r="A31" s="43">
        <v>1103060</v>
      </c>
      <c r="B31" t="s">
        <v>1586</v>
      </c>
      <c r="C31" t="s">
        <v>3529</v>
      </c>
      <c r="D31" s="43" t="s">
        <v>3483</v>
      </c>
      <c r="E31" s="43" t="s">
        <v>3530</v>
      </c>
      <c r="F31" s="43" t="s">
        <v>4277</v>
      </c>
    </row>
    <row r="32" spans="1:6" x14ac:dyDescent="0.25">
      <c r="A32" s="43">
        <v>1103065</v>
      </c>
      <c r="B32" t="s">
        <v>3531</v>
      </c>
      <c r="C32" t="s">
        <v>3532</v>
      </c>
      <c r="D32" s="43" t="s">
        <v>3483</v>
      </c>
      <c r="E32" s="43" t="s">
        <v>3484</v>
      </c>
      <c r="F32" s="43" t="s">
        <v>4277</v>
      </c>
    </row>
    <row r="33" spans="1:6" x14ac:dyDescent="0.25">
      <c r="A33" s="43">
        <v>1103070</v>
      </c>
      <c r="B33" t="s">
        <v>3533</v>
      </c>
      <c r="C33" t="s">
        <v>3533</v>
      </c>
      <c r="D33" s="43" t="s">
        <v>3483</v>
      </c>
      <c r="E33" s="43" t="s">
        <v>3484</v>
      </c>
      <c r="F33" s="43" t="s">
        <v>4277</v>
      </c>
    </row>
    <row r="34" spans="1:6" x14ac:dyDescent="0.25">
      <c r="A34" s="43">
        <v>1103075</v>
      </c>
      <c r="B34" t="s">
        <v>1587</v>
      </c>
      <c r="C34" t="s">
        <v>3534</v>
      </c>
      <c r="D34" s="43" t="s">
        <v>3483</v>
      </c>
      <c r="E34" s="43" t="s">
        <v>3530</v>
      </c>
      <c r="F34" s="43" t="s">
        <v>4277</v>
      </c>
    </row>
    <row r="35" spans="1:6" x14ac:dyDescent="0.25">
      <c r="A35" s="43">
        <v>1103076</v>
      </c>
      <c r="B35" t="s">
        <v>1587</v>
      </c>
      <c r="C35" t="s">
        <v>3534</v>
      </c>
      <c r="D35" s="43" t="s">
        <v>3483</v>
      </c>
      <c r="E35" s="43" t="s">
        <v>3484</v>
      </c>
      <c r="F35" s="43" t="s">
        <v>4277</v>
      </c>
    </row>
    <row r="36" spans="1:6" x14ac:dyDescent="0.25">
      <c r="A36" s="43">
        <v>1103080</v>
      </c>
      <c r="B36" t="s">
        <v>3535</v>
      </c>
      <c r="C36" t="s">
        <v>3535</v>
      </c>
      <c r="D36" s="43" t="s">
        <v>3483</v>
      </c>
      <c r="E36" s="43" t="s">
        <v>3484</v>
      </c>
      <c r="F36" s="43" t="s">
        <v>4277</v>
      </c>
    </row>
    <row r="37" spans="1:6" x14ac:dyDescent="0.25">
      <c r="A37" s="43">
        <v>1103090</v>
      </c>
      <c r="B37" t="s">
        <v>3536</v>
      </c>
      <c r="C37" t="s">
        <v>3537</v>
      </c>
      <c r="D37" s="43" t="s">
        <v>3483</v>
      </c>
      <c r="E37" s="43" t="s">
        <v>3484</v>
      </c>
      <c r="F37" s="43" t="s">
        <v>4277</v>
      </c>
    </row>
    <row r="38" spans="1:6" x14ac:dyDescent="0.25">
      <c r="A38" s="43">
        <v>1104001</v>
      </c>
      <c r="B38" t="s">
        <v>218</v>
      </c>
      <c r="C38" t="s">
        <v>218</v>
      </c>
      <c r="D38" s="43" t="s">
        <v>3483</v>
      </c>
      <c r="E38" s="43" t="s">
        <v>3484</v>
      </c>
      <c r="F38" s="43" t="s">
        <v>4277</v>
      </c>
    </row>
    <row r="39" spans="1:6" x14ac:dyDescent="0.25">
      <c r="A39" s="43">
        <v>1104002</v>
      </c>
      <c r="B39" t="s">
        <v>334</v>
      </c>
      <c r="C39" t="s">
        <v>334</v>
      </c>
      <c r="D39" s="43" t="s">
        <v>3483</v>
      </c>
      <c r="E39" s="43" t="s">
        <v>3484</v>
      </c>
      <c r="F39" s="43" t="s">
        <v>4277</v>
      </c>
    </row>
    <row r="40" spans="1:6" x14ac:dyDescent="0.25">
      <c r="A40" s="43">
        <v>1104004</v>
      </c>
      <c r="B40" t="s">
        <v>335</v>
      </c>
      <c r="D40" s="43" t="s">
        <v>3483</v>
      </c>
      <c r="E40" s="43" t="s">
        <v>3484</v>
      </c>
      <c r="F40" s="43" t="s">
        <v>4277</v>
      </c>
    </row>
    <row r="41" spans="1:6" x14ac:dyDescent="0.25">
      <c r="A41" s="43">
        <v>1104010</v>
      </c>
      <c r="B41" t="s">
        <v>253</v>
      </c>
      <c r="C41" t="s">
        <v>3538</v>
      </c>
      <c r="D41" s="43" t="s">
        <v>3483</v>
      </c>
      <c r="E41" s="43" t="s">
        <v>3484</v>
      </c>
      <c r="F41" s="43" t="s">
        <v>4277</v>
      </c>
    </row>
    <row r="42" spans="1:6" x14ac:dyDescent="0.25">
      <c r="A42" s="43">
        <v>1104020</v>
      </c>
      <c r="B42" t="s">
        <v>3539</v>
      </c>
      <c r="C42" t="s">
        <v>3540</v>
      </c>
      <c r="D42" s="43" t="s">
        <v>3483</v>
      </c>
      <c r="E42" s="43" t="s">
        <v>3484</v>
      </c>
      <c r="F42" s="43" t="s">
        <v>4277</v>
      </c>
    </row>
    <row r="43" spans="1:6" x14ac:dyDescent="0.25">
      <c r="A43" s="43">
        <v>1104030</v>
      </c>
      <c r="B43" t="s">
        <v>297</v>
      </c>
      <c r="C43" t="s">
        <v>3541</v>
      </c>
      <c r="D43" s="43" t="s">
        <v>3483</v>
      </c>
      <c r="E43" s="43" t="s">
        <v>3484</v>
      </c>
      <c r="F43" s="43" t="s">
        <v>4277</v>
      </c>
    </row>
    <row r="44" spans="1:6" x14ac:dyDescent="0.25">
      <c r="A44" s="43">
        <v>1104040</v>
      </c>
      <c r="B44" t="s">
        <v>3542</v>
      </c>
      <c r="C44" t="s">
        <v>3543</v>
      </c>
      <c r="D44" s="43" t="s">
        <v>3483</v>
      </c>
      <c r="E44" s="43" t="s">
        <v>3484</v>
      </c>
      <c r="F44" s="43" t="s">
        <v>4277</v>
      </c>
    </row>
    <row r="45" spans="1:6" x14ac:dyDescent="0.25">
      <c r="A45" s="43">
        <v>1104050</v>
      </c>
      <c r="B45" t="s">
        <v>298</v>
      </c>
      <c r="C45" t="s">
        <v>3544</v>
      </c>
      <c r="D45" s="43" t="s">
        <v>3483</v>
      </c>
      <c r="E45" s="43" t="s">
        <v>3484</v>
      </c>
      <c r="F45" s="43" t="s">
        <v>4277</v>
      </c>
    </row>
    <row r="46" spans="1:6" x14ac:dyDescent="0.25">
      <c r="A46" s="43">
        <v>1104060</v>
      </c>
      <c r="B46" t="s">
        <v>1589</v>
      </c>
      <c r="C46" t="s">
        <v>3545</v>
      </c>
      <c r="D46" s="43" t="s">
        <v>3483</v>
      </c>
      <c r="E46" s="43" t="s">
        <v>3484</v>
      </c>
      <c r="F46" s="43" t="s">
        <v>4277</v>
      </c>
    </row>
    <row r="47" spans="1:6" x14ac:dyDescent="0.25">
      <c r="A47" s="43">
        <v>1104070</v>
      </c>
      <c r="B47" t="s">
        <v>299</v>
      </c>
      <c r="C47" t="s">
        <v>3546</v>
      </c>
      <c r="D47" s="43" t="s">
        <v>3483</v>
      </c>
      <c r="E47" s="43" t="s">
        <v>3484</v>
      </c>
      <c r="F47" s="43" t="s">
        <v>4277</v>
      </c>
    </row>
    <row r="48" spans="1:6" x14ac:dyDescent="0.25">
      <c r="A48" s="43">
        <v>1104080</v>
      </c>
      <c r="B48" t="s">
        <v>1590</v>
      </c>
      <c r="C48" t="s">
        <v>3547</v>
      </c>
      <c r="D48" s="43" t="s">
        <v>3483</v>
      </c>
      <c r="E48" s="43" t="s">
        <v>3484</v>
      </c>
      <c r="F48" s="43" t="s">
        <v>4277</v>
      </c>
    </row>
    <row r="49" spans="1:6" x14ac:dyDescent="0.25">
      <c r="A49" s="43">
        <v>1104090</v>
      </c>
      <c r="B49" t="s">
        <v>300</v>
      </c>
      <c r="C49" t="s">
        <v>3548</v>
      </c>
      <c r="D49" s="43" t="s">
        <v>3483</v>
      </c>
      <c r="E49" s="43" t="s">
        <v>3484</v>
      </c>
      <c r="F49" s="43" t="s">
        <v>4277</v>
      </c>
    </row>
    <row r="50" spans="1:6" x14ac:dyDescent="0.25">
      <c r="A50" s="43">
        <v>1104100</v>
      </c>
      <c r="B50" t="s">
        <v>3549</v>
      </c>
      <c r="C50" t="s">
        <v>3550</v>
      </c>
      <c r="D50" s="43" t="s">
        <v>3483</v>
      </c>
      <c r="E50" s="43" t="s">
        <v>3484</v>
      </c>
      <c r="F50" s="43" t="s">
        <v>4277</v>
      </c>
    </row>
    <row r="51" spans="1:6" x14ac:dyDescent="0.25">
      <c r="A51" s="43">
        <v>1104110</v>
      </c>
      <c r="B51" t="s">
        <v>3551</v>
      </c>
      <c r="C51" t="s">
        <v>3552</v>
      </c>
      <c r="D51" s="43" t="s">
        <v>3483</v>
      </c>
      <c r="E51" s="43" t="s">
        <v>3484</v>
      </c>
      <c r="F51" s="43" t="s">
        <v>4277</v>
      </c>
    </row>
    <row r="52" spans="1:6" x14ac:dyDescent="0.25">
      <c r="A52" s="43">
        <v>1104130</v>
      </c>
      <c r="B52" t="s">
        <v>1592</v>
      </c>
      <c r="C52" t="s">
        <v>3553</v>
      </c>
      <c r="D52" s="43" t="s">
        <v>3483</v>
      </c>
      <c r="E52" s="43" t="s">
        <v>3484</v>
      </c>
      <c r="F52" s="43" t="s">
        <v>4277</v>
      </c>
    </row>
    <row r="53" spans="1:6" x14ac:dyDescent="0.25">
      <c r="A53" s="43">
        <v>1104140</v>
      </c>
      <c r="B53" t="s">
        <v>301</v>
      </c>
      <c r="C53" t="s">
        <v>3554</v>
      </c>
      <c r="D53" s="43" t="s">
        <v>3483</v>
      </c>
      <c r="E53" s="43" t="s">
        <v>3484</v>
      </c>
      <c r="F53" s="43" t="s">
        <v>4277</v>
      </c>
    </row>
    <row r="54" spans="1:6" x14ac:dyDescent="0.25">
      <c r="A54" s="43">
        <v>1104150</v>
      </c>
      <c r="B54" t="s">
        <v>3555</v>
      </c>
      <c r="C54" t="s">
        <v>3556</v>
      </c>
      <c r="D54" s="43" t="s">
        <v>3483</v>
      </c>
      <c r="E54" s="43" t="s">
        <v>3530</v>
      </c>
      <c r="F54" s="43" t="s">
        <v>4277</v>
      </c>
    </row>
    <row r="55" spans="1:6" x14ac:dyDescent="0.25">
      <c r="A55" s="43">
        <v>1104160</v>
      </c>
      <c r="B55" t="s">
        <v>3557</v>
      </c>
      <c r="C55" t="s">
        <v>3558</v>
      </c>
      <c r="D55" s="43" t="s">
        <v>3483</v>
      </c>
      <c r="E55" s="43" t="s">
        <v>3530</v>
      </c>
      <c r="F55" s="43" t="s">
        <v>4277</v>
      </c>
    </row>
    <row r="56" spans="1:6" x14ac:dyDescent="0.25">
      <c r="A56" s="43">
        <v>1104170</v>
      </c>
      <c r="B56" t="s">
        <v>3559</v>
      </c>
      <c r="C56" t="s">
        <v>3560</v>
      </c>
      <c r="D56" s="43" t="s">
        <v>3483</v>
      </c>
      <c r="E56" s="43" t="s">
        <v>3530</v>
      </c>
      <c r="F56" s="43" t="s">
        <v>4277</v>
      </c>
    </row>
    <row r="57" spans="1:6" x14ac:dyDescent="0.25">
      <c r="A57" s="43">
        <v>1104180</v>
      </c>
      <c r="B57" t="s">
        <v>3561</v>
      </c>
      <c r="C57" t="s">
        <v>3562</v>
      </c>
      <c r="D57" s="43" t="s">
        <v>3483</v>
      </c>
      <c r="E57" s="43" t="s">
        <v>3530</v>
      </c>
      <c r="F57" s="43" t="s">
        <v>4277</v>
      </c>
    </row>
    <row r="58" spans="1:6" x14ac:dyDescent="0.25">
      <c r="A58" s="43">
        <v>1104190</v>
      </c>
      <c r="B58" t="s">
        <v>3563</v>
      </c>
      <c r="C58" t="s">
        <v>3564</v>
      </c>
      <c r="D58" s="43" t="s">
        <v>3483</v>
      </c>
      <c r="E58" s="43" t="s">
        <v>3530</v>
      </c>
      <c r="F58" s="43" t="s">
        <v>4277</v>
      </c>
    </row>
    <row r="59" spans="1:6" x14ac:dyDescent="0.25">
      <c r="A59" s="43">
        <v>1104200</v>
      </c>
      <c r="B59" t="s">
        <v>3565</v>
      </c>
      <c r="C59" t="s">
        <v>3566</v>
      </c>
      <c r="D59" s="43" t="s">
        <v>3483</v>
      </c>
      <c r="E59" s="43" t="s">
        <v>3530</v>
      </c>
      <c r="F59" s="43" t="s">
        <v>4277</v>
      </c>
    </row>
    <row r="60" spans="1:6" x14ac:dyDescent="0.25">
      <c r="A60" s="43">
        <v>1104210</v>
      </c>
      <c r="B60" t="s">
        <v>3567</v>
      </c>
      <c r="C60" t="s">
        <v>3568</v>
      </c>
      <c r="D60" s="43" t="s">
        <v>3483</v>
      </c>
      <c r="E60" s="43" t="s">
        <v>3530</v>
      </c>
      <c r="F60" s="43" t="s">
        <v>4277</v>
      </c>
    </row>
    <row r="61" spans="1:6" x14ac:dyDescent="0.25">
      <c r="A61" s="43">
        <v>1104220</v>
      </c>
      <c r="B61" t="s">
        <v>3569</v>
      </c>
      <c r="C61" t="s">
        <v>3570</v>
      </c>
      <c r="D61" s="43" t="s">
        <v>3483</v>
      </c>
      <c r="E61" s="43" t="s">
        <v>3530</v>
      </c>
      <c r="F61" s="43" t="s">
        <v>4277</v>
      </c>
    </row>
    <row r="62" spans="1:6" x14ac:dyDescent="0.25">
      <c r="A62" s="43">
        <v>1104230</v>
      </c>
      <c r="B62" t="s">
        <v>3571</v>
      </c>
      <c r="C62" t="s">
        <v>3572</v>
      </c>
      <c r="D62" s="43" t="s">
        <v>3483</v>
      </c>
      <c r="E62" s="43" t="s">
        <v>3484</v>
      </c>
      <c r="F62" s="43" t="s">
        <v>4277</v>
      </c>
    </row>
    <row r="63" spans="1:6" x14ac:dyDescent="0.25">
      <c r="A63" s="43">
        <v>1104240</v>
      </c>
      <c r="B63" t="s">
        <v>3573</v>
      </c>
      <c r="C63" t="s">
        <v>3574</v>
      </c>
      <c r="D63" s="43" t="s">
        <v>3483</v>
      </c>
      <c r="E63" s="43" t="s">
        <v>3484</v>
      </c>
      <c r="F63" s="43" t="s">
        <v>4277</v>
      </c>
    </row>
    <row r="64" spans="1:6" x14ac:dyDescent="0.25">
      <c r="A64" s="43">
        <v>1104250</v>
      </c>
      <c r="B64" t="s">
        <v>1593</v>
      </c>
      <c r="C64" t="s">
        <v>3575</v>
      </c>
      <c r="D64" s="43" t="s">
        <v>3483</v>
      </c>
      <c r="E64" s="43" t="s">
        <v>3484</v>
      </c>
      <c r="F64" s="43" t="s">
        <v>4277</v>
      </c>
    </row>
    <row r="65" spans="1:6" x14ac:dyDescent="0.25">
      <c r="A65" s="43">
        <v>1104251</v>
      </c>
      <c r="B65" t="s">
        <v>1594</v>
      </c>
      <c r="C65" t="s">
        <v>3576</v>
      </c>
      <c r="D65" s="43" t="s">
        <v>3483</v>
      </c>
      <c r="E65" s="43" t="s">
        <v>3484</v>
      </c>
      <c r="F65" s="43" t="s">
        <v>4277</v>
      </c>
    </row>
    <row r="66" spans="1:6" x14ac:dyDescent="0.25">
      <c r="A66" s="43">
        <v>1104252</v>
      </c>
      <c r="B66" t="s">
        <v>1595</v>
      </c>
      <c r="C66" t="s">
        <v>3577</v>
      </c>
      <c r="D66" s="43" t="s">
        <v>3483</v>
      </c>
      <c r="E66" s="43" t="s">
        <v>3484</v>
      </c>
      <c r="F66" s="43" t="s">
        <v>4277</v>
      </c>
    </row>
    <row r="67" spans="1:6" x14ac:dyDescent="0.25">
      <c r="A67" s="43">
        <v>1104253</v>
      </c>
      <c r="B67" t="s">
        <v>1596</v>
      </c>
      <c r="C67" t="s">
        <v>3578</v>
      </c>
      <c r="D67" s="43" t="s">
        <v>3483</v>
      </c>
      <c r="E67" s="43" t="s">
        <v>3484</v>
      </c>
      <c r="F67" s="43" t="s">
        <v>4277</v>
      </c>
    </row>
    <row r="68" spans="1:6" x14ac:dyDescent="0.25">
      <c r="A68" s="43">
        <v>1104254</v>
      </c>
      <c r="B68" t="s">
        <v>1597</v>
      </c>
      <c r="C68" t="s">
        <v>3579</v>
      </c>
      <c r="D68" s="43" t="s">
        <v>3483</v>
      </c>
      <c r="E68" s="43" t="s">
        <v>3484</v>
      </c>
      <c r="F68" s="43" t="s">
        <v>4277</v>
      </c>
    </row>
    <row r="69" spans="1:6" x14ac:dyDescent="0.25">
      <c r="A69" s="43">
        <v>1105010</v>
      </c>
      <c r="B69" t="s">
        <v>3580</v>
      </c>
      <c r="D69" s="43" t="s">
        <v>3483</v>
      </c>
      <c r="E69" s="43" t="s">
        <v>3484</v>
      </c>
      <c r="F69" s="43" t="s">
        <v>4277</v>
      </c>
    </row>
    <row r="70" spans="1:6" x14ac:dyDescent="0.25">
      <c r="A70" s="43">
        <v>1105020</v>
      </c>
      <c r="B70" t="s">
        <v>1599</v>
      </c>
      <c r="D70" s="43" t="s">
        <v>3483</v>
      </c>
      <c r="E70" s="43" t="s">
        <v>3484</v>
      </c>
      <c r="F70" s="43" t="s">
        <v>4277</v>
      </c>
    </row>
    <row r="71" spans="1:6" x14ac:dyDescent="0.25">
      <c r="A71" s="43">
        <v>1105030</v>
      </c>
      <c r="B71" t="s">
        <v>3581</v>
      </c>
      <c r="D71" s="43" t="s">
        <v>3483</v>
      </c>
      <c r="E71" s="43" t="s">
        <v>3484</v>
      </c>
      <c r="F71" s="43" t="s">
        <v>4277</v>
      </c>
    </row>
    <row r="72" spans="1:6" x14ac:dyDescent="0.25">
      <c r="A72" s="43">
        <v>1105040</v>
      </c>
      <c r="B72" t="s">
        <v>3582</v>
      </c>
      <c r="D72" s="43" t="s">
        <v>3483</v>
      </c>
      <c r="E72" s="43" t="s">
        <v>3530</v>
      </c>
      <c r="F72" s="43" t="s">
        <v>4277</v>
      </c>
    </row>
    <row r="73" spans="1:6" x14ac:dyDescent="0.25">
      <c r="A73" s="43">
        <v>1105050</v>
      </c>
      <c r="B73" t="s">
        <v>3583</v>
      </c>
      <c r="D73" s="43" t="s">
        <v>3483</v>
      </c>
      <c r="E73" s="43" t="s">
        <v>3484</v>
      </c>
      <c r="F73" s="43" t="s">
        <v>4277</v>
      </c>
    </row>
    <row r="74" spans="1:6" x14ac:dyDescent="0.25">
      <c r="A74" s="43">
        <v>1105070</v>
      </c>
      <c r="B74" t="s">
        <v>3584</v>
      </c>
      <c r="D74" s="43" t="s">
        <v>3483</v>
      </c>
      <c r="E74" s="43" t="s">
        <v>3484</v>
      </c>
      <c r="F74" s="43" t="s">
        <v>4277</v>
      </c>
    </row>
    <row r="75" spans="1:6" x14ac:dyDescent="0.25">
      <c r="A75" s="43">
        <v>1105080</v>
      </c>
      <c r="B75" t="s">
        <v>3585</v>
      </c>
      <c r="D75" s="43" t="s">
        <v>3483</v>
      </c>
      <c r="E75" s="43" t="s">
        <v>3484</v>
      </c>
      <c r="F75" s="43" t="s">
        <v>4277</v>
      </c>
    </row>
    <row r="76" spans="1:6" x14ac:dyDescent="0.25">
      <c r="A76" s="43">
        <v>1105090</v>
      </c>
      <c r="B76" t="s">
        <v>3586</v>
      </c>
      <c r="D76" s="43" t="s">
        <v>3483</v>
      </c>
      <c r="E76" s="43" t="s">
        <v>3484</v>
      </c>
      <c r="F76" s="43" t="s">
        <v>4277</v>
      </c>
    </row>
    <row r="77" spans="1:6" x14ac:dyDescent="0.25">
      <c r="A77" s="43">
        <v>1106005</v>
      </c>
      <c r="B77" t="s">
        <v>71</v>
      </c>
      <c r="C77" t="s">
        <v>3587</v>
      </c>
      <c r="D77" s="43" t="s">
        <v>3483</v>
      </c>
      <c r="E77" s="43" t="s">
        <v>3484</v>
      </c>
      <c r="F77" s="103" t="s">
        <v>4277</v>
      </c>
    </row>
    <row r="78" spans="1:6" x14ac:dyDescent="0.25">
      <c r="A78" s="43">
        <v>1106006</v>
      </c>
      <c r="B78" t="s">
        <v>145</v>
      </c>
      <c r="D78" s="43" t="s">
        <v>3483</v>
      </c>
      <c r="E78" s="43" t="s">
        <v>3484</v>
      </c>
      <c r="F78" s="43" t="s">
        <v>4277</v>
      </c>
    </row>
    <row r="79" spans="1:6" x14ac:dyDescent="0.25">
      <c r="A79" s="43">
        <v>1106007</v>
      </c>
      <c r="B79" t="s">
        <v>3588</v>
      </c>
      <c r="C79" t="s">
        <v>3589</v>
      </c>
      <c r="D79" s="43" t="s">
        <v>3483</v>
      </c>
      <c r="E79" s="43" t="s">
        <v>3530</v>
      </c>
      <c r="F79" s="43" t="s">
        <v>4277</v>
      </c>
    </row>
    <row r="80" spans="1:6" x14ac:dyDescent="0.25">
      <c r="A80" s="43">
        <v>1106008</v>
      </c>
      <c r="B80" t="s">
        <v>3590</v>
      </c>
      <c r="D80" s="43" t="s">
        <v>3483</v>
      </c>
      <c r="E80" s="43" t="s">
        <v>3530</v>
      </c>
      <c r="F80" s="43" t="s">
        <v>4277</v>
      </c>
    </row>
    <row r="81" spans="1:6" x14ac:dyDescent="0.25">
      <c r="A81" s="43">
        <v>1106009</v>
      </c>
      <c r="B81" t="s">
        <v>1623</v>
      </c>
      <c r="C81" t="s">
        <v>3591</v>
      </c>
      <c r="D81" s="43" t="s">
        <v>3483</v>
      </c>
      <c r="E81" s="43" t="s">
        <v>3484</v>
      </c>
      <c r="F81" s="43" t="s">
        <v>4277</v>
      </c>
    </row>
    <row r="82" spans="1:6" x14ac:dyDescent="0.25">
      <c r="A82" s="43">
        <v>1106010</v>
      </c>
      <c r="B82" t="s">
        <v>3592</v>
      </c>
      <c r="C82" t="s">
        <v>3593</v>
      </c>
      <c r="D82" s="43" t="s">
        <v>3483</v>
      </c>
      <c r="E82" s="43" t="s">
        <v>3484</v>
      </c>
      <c r="F82" s="43" t="s">
        <v>4277</v>
      </c>
    </row>
    <row r="83" spans="1:6" x14ac:dyDescent="0.25">
      <c r="A83" s="43">
        <v>1106020</v>
      </c>
      <c r="B83" t="s">
        <v>3594</v>
      </c>
      <c r="D83" s="43" t="s">
        <v>3483</v>
      </c>
      <c r="E83" s="43" t="s">
        <v>3484</v>
      </c>
      <c r="F83" s="43" t="s">
        <v>4277</v>
      </c>
    </row>
    <row r="84" spans="1:6" x14ac:dyDescent="0.25">
      <c r="A84" s="43">
        <v>1106021</v>
      </c>
      <c r="B84" t="s">
        <v>3595</v>
      </c>
      <c r="C84" t="s">
        <v>3596</v>
      </c>
      <c r="D84" s="43" t="s">
        <v>3483</v>
      </c>
      <c r="E84" s="43" t="s">
        <v>3484</v>
      </c>
      <c r="F84" s="43" t="s">
        <v>4277</v>
      </c>
    </row>
    <row r="85" spans="1:6" x14ac:dyDescent="0.25">
      <c r="A85" s="43">
        <v>1106022</v>
      </c>
      <c r="B85" t="s">
        <v>3597</v>
      </c>
      <c r="D85" s="43" t="s">
        <v>3483</v>
      </c>
      <c r="E85" s="43" t="s">
        <v>3484</v>
      </c>
      <c r="F85" s="43" t="s">
        <v>4277</v>
      </c>
    </row>
    <row r="86" spans="1:6" x14ac:dyDescent="0.25">
      <c r="A86" s="43">
        <v>1106030</v>
      </c>
      <c r="B86" t="s">
        <v>3598</v>
      </c>
      <c r="C86" t="s">
        <v>3599</v>
      </c>
      <c r="D86" s="43" t="s">
        <v>3483</v>
      </c>
      <c r="E86" s="43" t="s">
        <v>3484</v>
      </c>
      <c r="F86" s="43" t="s">
        <v>4277</v>
      </c>
    </row>
    <row r="87" spans="1:6" x14ac:dyDescent="0.25">
      <c r="A87" s="43">
        <v>1106031</v>
      </c>
      <c r="B87" t="s">
        <v>336</v>
      </c>
      <c r="C87" t="s">
        <v>3600</v>
      </c>
      <c r="D87" s="43" t="s">
        <v>3483</v>
      </c>
      <c r="E87" s="43" t="s">
        <v>3484</v>
      </c>
      <c r="F87" s="43" t="s">
        <v>4277</v>
      </c>
    </row>
    <row r="88" spans="1:6" x14ac:dyDescent="0.25">
      <c r="A88" s="43">
        <v>1106032</v>
      </c>
      <c r="B88" t="s">
        <v>3601</v>
      </c>
      <c r="D88" s="43" t="s">
        <v>3483</v>
      </c>
      <c r="E88" s="43" t="s">
        <v>3484</v>
      </c>
      <c r="F88" s="43" t="s">
        <v>4277</v>
      </c>
    </row>
    <row r="89" spans="1:6" x14ac:dyDescent="0.25">
      <c r="A89" s="43">
        <v>1106033</v>
      </c>
      <c r="B89" t="s">
        <v>4305</v>
      </c>
      <c r="C89" t="s">
        <v>4306</v>
      </c>
      <c r="D89" s="43" t="s">
        <v>3483</v>
      </c>
      <c r="E89" s="43" t="s">
        <v>3484</v>
      </c>
      <c r="F89" s="43" t="s">
        <v>4277</v>
      </c>
    </row>
    <row r="90" spans="1:6" x14ac:dyDescent="0.25">
      <c r="A90" s="43">
        <v>1106040</v>
      </c>
      <c r="B90" t="s">
        <v>3602</v>
      </c>
      <c r="D90" s="43" t="s">
        <v>3483</v>
      </c>
      <c r="E90" s="43" t="s">
        <v>3484</v>
      </c>
      <c r="F90" s="43" t="s">
        <v>4277</v>
      </c>
    </row>
    <row r="91" spans="1:6" x14ac:dyDescent="0.25">
      <c r="A91" s="43">
        <v>1106050</v>
      </c>
      <c r="B91" t="s">
        <v>3603</v>
      </c>
      <c r="D91" s="43" t="s">
        <v>3483</v>
      </c>
      <c r="E91" s="43" t="s">
        <v>3484</v>
      </c>
      <c r="F91" s="43" t="s">
        <v>4277</v>
      </c>
    </row>
    <row r="92" spans="1:6" x14ac:dyDescent="0.25">
      <c r="A92" s="43">
        <v>1106060</v>
      </c>
      <c r="B92" t="s">
        <v>3604</v>
      </c>
      <c r="D92" s="43" t="s">
        <v>3483</v>
      </c>
      <c r="E92" s="43" t="s">
        <v>3484</v>
      </c>
      <c r="F92" s="43" t="s">
        <v>4277</v>
      </c>
    </row>
    <row r="93" spans="1:6" x14ac:dyDescent="0.25">
      <c r="A93" s="43">
        <v>1106061</v>
      </c>
      <c r="B93" t="s">
        <v>3605</v>
      </c>
      <c r="C93" t="s">
        <v>3605</v>
      </c>
      <c r="D93" s="43" t="s">
        <v>3483</v>
      </c>
      <c r="E93" s="43" t="s">
        <v>3484</v>
      </c>
      <c r="F93" s="43" t="s">
        <v>4277</v>
      </c>
    </row>
    <row r="94" spans="1:6" x14ac:dyDescent="0.25">
      <c r="A94" s="43">
        <v>1106070</v>
      </c>
      <c r="B94" t="s">
        <v>3606</v>
      </c>
      <c r="C94" t="s">
        <v>3607</v>
      </c>
      <c r="D94" s="43" t="s">
        <v>3483</v>
      </c>
      <c r="E94" s="43" t="s">
        <v>3484</v>
      </c>
      <c r="F94" s="43" t="s">
        <v>4277</v>
      </c>
    </row>
    <row r="95" spans="1:6" x14ac:dyDescent="0.25">
      <c r="A95" s="43">
        <v>1106080</v>
      </c>
      <c r="B95" t="s">
        <v>3608</v>
      </c>
      <c r="C95" t="s">
        <v>3609</v>
      </c>
      <c r="D95" s="43" t="s">
        <v>3483</v>
      </c>
      <c r="E95" s="43" t="s">
        <v>3484</v>
      </c>
      <c r="F95" s="43" t="s">
        <v>4277</v>
      </c>
    </row>
    <row r="96" spans="1:6" x14ac:dyDescent="0.25">
      <c r="A96" s="43">
        <v>1106090</v>
      </c>
      <c r="B96" t="s">
        <v>3610</v>
      </c>
      <c r="C96" t="s">
        <v>3611</v>
      </c>
      <c r="D96" s="43" t="s">
        <v>3483</v>
      </c>
      <c r="E96" s="43" t="s">
        <v>3484</v>
      </c>
      <c r="F96" s="43" t="s">
        <v>4277</v>
      </c>
    </row>
    <row r="97" spans="1:6" x14ac:dyDescent="0.25">
      <c r="A97" s="43">
        <v>1107001</v>
      </c>
      <c r="B97" t="s">
        <v>3612</v>
      </c>
      <c r="C97" t="s">
        <v>3613</v>
      </c>
      <c r="D97" s="43" t="s">
        <v>3483</v>
      </c>
      <c r="E97" s="43" t="s">
        <v>3484</v>
      </c>
      <c r="F97" s="43" t="s">
        <v>4277</v>
      </c>
    </row>
    <row r="98" spans="1:6" x14ac:dyDescent="0.25">
      <c r="A98" s="43">
        <v>1107003</v>
      </c>
      <c r="B98" t="s">
        <v>3614</v>
      </c>
      <c r="C98" t="s">
        <v>3615</v>
      </c>
      <c r="D98" s="43" t="s">
        <v>3483</v>
      </c>
      <c r="E98" s="43" t="s">
        <v>3484</v>
      </c>
      <c r="F98" s="43" t="s">
        <v>4277</v>
      </c>
    </row>
    <row r="99" spans="1:6" x14ac:dyDescent="0.25">
      <c r="A99" s="43">
        <v>1107004</v>
      </c>
      <c r="B99" t="s">
        <v>3616</v>
      </c>
      <c r="D99" s="43" t="s">
        <v>3483</v>
      </c>
      <c r="E99" s="43" t="s">
        <v>3484</v>
      </c>
      <c r="F99" s="43" t="s">
        <v>4277</v>
      </c>
    </row>
    <row r="100" spans="1:6" x14ac:dyDescent="0.25">
      <c r="A100" s="43">
        <v>1107005</v>
      </c>
      <c r="B100" t="s">
        <v>3617</v>
      </c>
      <c r="C100" t="s">
        <v>3618</v>
      </c>
      <c r="D100" s="43" t="s">
        <v>3483</v>
      </c>
      <c r="E100" s="43" t="s">
        <v>3484</v>
      </c>
      <c r="F100" s="43" t="s">
        <v>4277</v>
      </c>
    </row>
    <row r="101" spans="1:6" x14ac:dyDescent="0.25">
      <c r="A101" s="43">
        <v>1107010</v>
      </c>
      <c r="B101" t="s">
        <v>260</v>
      </c>
      <c r="C101" t="s">
        <v>3619</v>
      </c>
      <c r="D101" s="43" t="s">
        <v>3483</v>
      </c>
      <c r="E101" s="43" t="s">
        <v>3484</v>
      </c>
      <c r="F101" s="43" t="s">
        <v>4277</v>
      </c>
    </row>
    <row r="102" spans="1:6" x14ac:dyDescent="0.25">
      <c r="A102" s="43">
        <v>1107030</v>
      </c>
      <c r="B102" t="s">
        <v>1627</v>
      </c>
      <c r="C102" t="s">
        <v>3620</v>
      </c>
      <c r="D102" s="43" t="s">
        <v>3483</v>
      </c>
      <c r="E102" s="43" t="s">
        <v>3484</v>
      </c>
      <c r="F102" s="43" t="s">
        <v>4277</v>
      </c>
    </row>
    <row r="103" spans="1:6" x14ac:dyDescent="0.25">
      <c r="A103" s="43">
        <v>1107040</v>
      </c>
      <c r="B103" t="s">
        <v>3621</v>
      </c>
      <c r="D103" s="43" t="s">
        <v>3483</v>
      </c>
      <c r="E103" s="43" t="s">
        <v>3484</v>
      </c>
      <c r="F103" s="43" t="s">
        <v>4277</v>
      </c>
    </row>
    <row r="104" spans="1:6" x14ac:dyDescent="0.25">
      <c r="A104" s="43">
        <v>1107050</v>
      </c>
      <c r="B104" t="s">
        <v>3622</v>
      </c>
      <c r="C104" t="s">
        <v>3619</v>
      </c>
      <c r="D104" s="43" t="s">
        <v>3483</v>
      </c>
      <c r="E104" s="43" t="s">
        <v>3484</v>
      </c>
      <c r="F104" s="43" t="s">
        <v>4277</v>
      </c>
    </row>
    <row r="105" spans="1:6" x14ac:dyDescent="0.25">
      <c r="A105" s="43">
        <v>1108001</v>
      </c>
      <c r="B105" t="s">
        <v>3623</v>
      </c>
      <c r="D105" s="43" t="s">
        <v>3483</v>
      </c>
      <c r="E105" s="43" t="s">
        <v>3484</v>
      </c>
      <c r="F105" s="43" t="s">
        <v>4277</v>
      </c>
    </row>
    <row r="106" spans="1:6" x14ac:dyDescent="0.25">
      <c r="A106" s="43">
        <v>1108002</v>
      </c>
      <c r="B106" t="s">
        <v>3624</v>
      </c>
      <c r="D106" s="43" t="s">
        <v>3483</v>
      </c>
      <c r="E106" s="43" t="s">
        <v>3484</v>
      </c>
      <c r="F106" s="43" t="s">
        <v>4277</v>
      </c>
    </row>
    <row r="107" spans="1:6" x14ac:dyDescent="0.25">
      <c r="A107" s="43">
        <v>1108003</v>
      </c>
      <c r="B107" t="s">
        <v>3625</v>
      </c>
      <c r="D107" s="43" t="s">
        <v>3483</v>
      </c>
      <c r="E107" s="43" t="s">
        <v>3484</v>
      </c>
      <c r="F107" s="43" t="s">
        <v>4277</v>
      </c>
    </row>
    <row r="108" spans="1:6" x14ac:dyDescent="0.25">
      <c r="A108" s="43">
        <v>1108004</v>
      </c>
      <c r="B108" t="s">
        <v>3626</v>
      </c>
      <c r="D108" s="43" t="s">
        <v>3483</v>
      </c>
      <c r="E108" s="43" t="s">
        <v>3484</v>
      </c>
      <c r="F108" s="43" t="s">
        <v>4277</v>
      </c>
    </row>
    <row r="109" spans="1:6" x14ac:dyDescent="0.25">
      <c r="A109" s="43">
        <v>1108005</v>
      </c>
      <c r="B109" t="s">
        <v>3627</v>
      </c>
      <c r="D109" s="43" t="s">
        <v>3483</v>
      </c>
      <c r="E109" s="43" t="s">
        <v>3484</v>
      </c>
      <c r="F109" s="43" t="s">
        <v>4277</v>
      </c>
    </row>
    <row r="110" spans="1:6" x14ac:dyDescent="0.25">
      <c r="A110" s="43">
        <v>1108006</v>
      </c>
      <c r="B110" t="s">
        <v>3628</v>
      </c>
      <c r="D110" s="43" t="s">
        <v>3483</v>
      </c>
      <c r="E110" s="43" t="s">
        <v>3484</v>
      </c>
      <c r="F110" s="43" t="s">
        <v>4277</v>
      </c>
    </row>
    <row r="111" spans="1:6" x14ac:dyDescent="0.25">
      <c r="A111" s="43">
        <v>1108007</v>
      </c>
      <c r="B111" t="s">
        <v>3629</v>
      </c>
      <c r="D111" s="43" t="s">
        <v>3483</v>
      </c>
      <c r="E111" s="43" t="s">
        <v>3484</v>
      </c>
      <c r="F111" s="43" t="s">
        <v>4277</v>
      </c>
    </row>
    <row r="112" spans="1:6" x14ac:dyDescent="0.25">
      <c r="A112" s="43">
        <v>1108008</v>
      </c>
      <c r="B112" t="s">
        <v>3630</v>
      </c>
      <c r="D112" s="43" t="s">
        <v>3483</v>
      </c>
      <c r="E112" s="43" t="s">
        <v>3484</v>
      </c>
      <c r="F112" s="43" t="s">
        <v>4277</v>
      </c>
    </row>
    <row r="113" spans="1:6" x14ac:dyDescent="0.25">
      <c r="A113" s="43">
        <v>1108009</v>
      </c>
      <c r="B113" t="s">
        <v>3631</v>
      </c>
      <c r="C113" t="s">
        <v>3632</v>
      </c>
      <c r="D113" s="43" t="s">
        <v>3483</v>
      </c>
      <c r="E113" s="43" t="s">
        <v>3484</v>
      </c>
      <c r="F113" s="43" t="s">
        <v>4277</v>
      </c>
    </row>
    <row r="114" spans="1:6" x14ac:dyDescent="0.25">
      <c r="A114" s="43">
        <v>1108010</v>
      </c>
      <c r="B114" t="s">
        <v>3633</v>
      </c>
      <c r="D114" s="43" t="s">
        <v>3483</v>
      </c>
      <c r="E114" s="43" t="s">
        <v>3484</v>
      </c>
      <c r="F114" s="43" t="s">
        <v>4277</v>
      </c>
    </row>
    <row r="115" spans="1:6" x14ac:dyDescent="0.25">
      <c r="A115" s="43">
        <v>1108011</v>
      </c>
      <c r="B115" t="s">
        <v>143</v>
      </c>
      <c r="C115" t="s">
        <v>3619</v>
      </c>
      <c r="D115" s="43" t="s">
        <v>3483</v>
      </c>
      <c r="E115" s="43" t="s">
        <v>3484</v>
      </c>
      <c r="F115" s="43" t="s">
        <v>4277</v>
      </c>
    </row>
    <row r="116" spans="1:6" x14ac:dyDescent="0.25">
      <c r="A116" s="43">
        <v>1108012</v>
      </c>
      <c r="B116" t="s">
        <v>3634</v>
      </c>
      <c r="C116" t="s">
        <v>3635</v>
      </c>
      <c r="D116" s="43" t="s">
        <v>3483</v>
      </c>
      <c r="E116" s="43" t="s">
        <v>3484</v>
      </c>
      <c r="F116" s="43" t="s">
        <v>4277</v>
      </c>
    </row>
    <row r="117" spans="1:6" x14ac:dyDescent="0.25">
      <c r="A117" s="43">
        <v>1108013</v>
      </c>
      <c r="B117" t="s">
        <v>3636</v>
      </c>
      <c r="C117" t="s">
        <v>3637</v>
      </c>
      <c r="D117" s="43" t="s">
        <v>3483</v>
      </c>
      <c r="E117" s="43" t="s">
        <v>3484</v>
      </c>
      <c r="F117" s="43" t="s">
        <v>4277</v>
      </c>
    </row>
    <row r="118" spans="1:6" x14ac:dyDescent="0.25">
      <c r="A118" s="43">
        <v>1108014</v>
      </c>
      <c r="B118" t="s">
        <v>3638</v>
      </c>
      <c r="C118" t="s">
        <v>3639</v>
      </c>
      <c r="D118" s="43" t="s">
        <v>3483</v>
      </c>
      <c r="E118" s="43" t="s">
        <v>3484</v>
      </c>
      <c r="F118" s="43" t="s">
        <v>4277</v>
      </c>
    </row>
    <row r="119" spans="1:6" x14ac:dyDescent="0.25">
      <c r="A119" s="43">
        <v>1108015</v>
      </c>
      <c r="B119" t="s">
        <v>337</v>
      </c>
      <c r="C119" t="s">
        <v>3640</v>
      </c>
      <c r="D119" s="43" t="s">
        <v>3483</v>
      </c>
      <c r="E119" s="43" t="s">
        <v>3484</v>
      </c>
      <c r="F119" s="43" t="s">
        <v>4277</v>
      </c>
    </row>
    <row r="120" spans="1:6" x14ac:dyDescent="0.25">
      <c r="A120" s="43">
        <v>1108016</v>
      </c>
      <c r="B120" t="s">
        <v>338</v>
      </c>
      <c r="C120" t="s">
        <v>3641</v>
      </c>
      <c r="D120" s="43" t="s">
        <v>3483</v>
      </c>
      <c r="E120" s="43" t="s">
        <v>3484</v>
      </c>
      <c r="F120" s="43" t="s">
        <v>4277</v>
      </c>
    </row>
    <row r="121" spans="1:6" x14ac:dyDescent="0.25">
      <c r="A121" s="43">
        <v>1109008</v>
      </c>
      <c r="B121" t="s">
        <v>219</v>
      </c>
      <c r="D121" s="43" t="s">
        <v>3483</v>
      </c>
      <c r="E121" s="43" t="s">
        <v>3484</v>
      </c>
      <c r="F121" s="43" t="s">
        <v>4277</v>
      </c>
    </row>
    <row r="122" spans="1:6" x14ac:dyDescent="0.25">
      <c r="A122" s="43">
        <v>1109012</v>
      </c>
      <c r="B122" t="s">
        <v>3642</v>
      </c>
      <c r="C122" t="s">
        <v>3643</v>
      </c>
      <c r="D122" s="43" t="s">
        <v>3483</v>
      </c>
      <c r="E122" s="43" t="s">
        <v>3484</v>
      </c>
      <c r="F122" s="43" t="s">
        <v>4277</v>
      </c>
    </row>
    <row r="123" spans="1:6" x14ac:dyDescent="0.25">
      <c r="A123" s="43">
        <v>1109020</v>
      </c>
      <c r="B123" t="s">
        <v>302</v>
      </c>
      <c r="C123" t="s">
        <v>3644</v>
      </c>
      <c r="D123" s="43" t="s">
        <v>3483</v>
      </c>
      <c r="E123" s="43" t="s">
        <v>3484</v>
      </c>
      <c r="F123" s="43" t="s">
        <v>3484</v>
      </c>
    </row>
    <row r="124" spans="1:6" x14ac:dyDescent="0.25">
      <c r="A124" s="43">
        <v>1109110</v>
      </c>
      <c r="B124" t="s">
        <v>3645</v>
      </c>
      <c r="C124" t="s">
        <v>3645</v>
      </c>
      <c r="D124" s="43" t="s">
        <v>3483</v>
      </c>
      <c r="E124" s="43" t="s">
        <v>3484</v>
      </c>
      <c r="F124" s="43" t="s">
        <v>4277</v>
      </c>
    </row>
    <row r="125" spans="1:6" x14ac:dyDescent="0.25">
      <c r="A125" s="43">
        <v>1109140</v>
      </c>
      <c r="B125" t="s">
        <v>3646</v>
      </c>
      <c r="D125" s="43" t="s">
        <v>3483</v>
      </c>
      <c r="E125" s="43" t="s">
        <v>3484</v>
      </c>
      <c r="F125" s="43" t="s">
        <v>4277</v>
      </c>
    </row>
    <row r="126" spans="1:6" x14ac:dyDescent="0.25">
      <c r="A126" s="43">
        <v>1109150</v>
      </c>
      <c r="B126" t="s">
        <v>3647</v>
      </c>
      <c r="C126" t="s">
        <v>3648</v>
      </c>
      <c r="D126" s="43" t="s">
        <v>3483</v>
      </c>
      <c r="E126" s="43" t="s">
        <v>3484</v>
      </c>
      <c r="F126" s="43" t="s">
        <v>4277</v>
      </c>
    </row>
    <row r="127" spans="1:6" x14ac:dyDescent="0.25">
      <c r="A127" s="43">
        <v>1109170</v>
      </c>
      <c r="B127" t="s">
        <v>3649</v>
      </c>
      <c r="C127" t="s">
        <v>3650</v>
      </c>
      <c r="D127" s="43" t="s">
        <v>3483</v>
      </c>
      <c r="E127" s="43" t="s">
        <v>3484</v>
      </c>
      <c r="F127" s="43" t="s">
        <v>4277</v>
      </c>
    </row>
    <row r="128" spans="1:6" x14ac:dyDescent="0.25">
      <c r="A128" s="43">
        <v>1109200</v>
      </c>
      <c r="B128" t="s">
        <v>1600</v>
      </c>
      <c r="C128" t="s">
        <v>3651</v>
      </c>
      <c r="D128" s="43" t="s">
        <v>3483</v>
      </c>
      <c r="E128" s="43" t="s">
        <v>3484</v>
      </c>
      <c r="F128" s="43" t="s">
        <v>4277</v>
      </c>
    </row>
    <row r="129" spans="1:6" x14ac:dyDescent="0.25">
      <c r="A129" s="43">
        <v>1109210</v>
      </c>
      <c r="B129" t="s">
        <v>1601</v>
      </c>
      <c r="C129" t="s">
        <v>3652</v>
      </c>
      <c r="D129" s="43" t="s">
        <v>3483</v>
      </c>
      <c r="E129" s="43" t="s">
        <v>3484</v>
      </c>
      <c r="F129" s="43" t="s">
        <v>4277</v>
      </c>
    </row>
    <row r="130" spans="1:6" x14ac:dyDescent="0.25">
      <c r="A130" s="43">
        <v>1109220</v>
      </c>
      <c r="B130" t="s">
        <v>1602</v>
      </c>
      <c r="C130" t="s">
        <v>3653</v>
      </c>
      <c r="D130" s="43" t="s">
        <v>3483</v>
      </c>
      <c r="E130" s="43" t="s">
        <v>3484</v>
      </c>
      <c r="F130" s="43" t="s">
        <v>4277</v>
      </c>
    </row>
    <row r="131" spans="1:6" x14ac:dyDescent="0.25">
      <c r="A131" s="43">
        <v>1109230</v>
      </c>
      <c r="B131" t="s">
        <v>3654</v>
      </c>
      <c r="C131" t="s">
        <v>3655</v>
      </c>
      <c r="D131" s="43" t="s">
        <v>3483</v>
      </c>
      <c r="E131" s="43" t="s">
        <v>3484</v>
      </c>
      <c r="F131" s="43" t="s">
        <v>4277</v>
      </c>
    </row>
    <row r="132" spans="1:6" x14ac:dyDescent="0.25">
      <c r="A132" s="43">
        <v>1109240</v>
      </c>
      <c r="B132" t="s">
        <v>3656</v>
      </c>
      <c r="C132" t="s">
        <v>3655</v>
      </c>
      <c r="D132" s="43" t="s">
        <v>3483</v>
      </c>
      <c r="E132" s="43" t="s">
        <v>3484</v>
      </c>
      <c r="F132" s="43" t="s">
        <v>4277</v>
      </c>
    </row>
    <row r="133" spans="1:6" x14ac:dyDescent="0.25">
      <c r="A133" s="43">
        <v>1109250</v>
      </c>
      <c r="B133" t="s">
        <v>3657</v>
      </c>
      <c r="C133" t="s">
        <v>3653</v>
      </c>
      <c r="D133" s="43" t="s">
        <v>3483</v>
      </c>
      <c r="E133" s="43" t="s">
        <v>3484</v>
      </c>
      <c r="F133" s="43" t="s">
        <v>4277</v>
      </c>
    </row>
    <row r="134" spans="1:6" x14ac:dyDescent="0.25">
      <c r="A134" s="43">
        <v>1110001</v>
      </c>
      <c r="B134" t="s">
        <v>3658</v>
      </c>
      <c r="D134" s="43" t="s">
        <v>3483</v>
      </c>
      <c r="E134" s="43" t="s">
        <v>3484</v>
      </c>
      <c r="F134" s="43" t="s">
        <v>4277</v>
      </c>
    </row>
    <row r="135" spans="1:6" x14ac:dyDescent="0.25">
      <c r="A135" s="43">
        <v>1110002</v>
      </c>
      <c r="B135" t="s">
        <v>1644</v>
      </c>
      <c r="D135" s="43" t="s">
        <v>3483</v>
      </c>
      <c r="E135" s="43" t="s">
        <v>3484</v>
      </c>
      <c r="F135" s="43" t="s">
        <v>4277</v>
      </c>
    </row>
    <row r="136" spans="1:6" x14ac:dyDescent="0.25">
      <c r="A136" s="43">
        <v>1110030</v>
      </c>
      <c r="B136" t="s">
        <v>3659</v>
      </c>
      <c r="D136" s="43" t="s">
        <v>3483</v>
      </c>
      <c r="E136" s="43" t="s">
        <v>3484</v>
      </c>
      <c r="F136" s="43" t="s">
        <v>4277</v>
      </c>
    </row>
    <row r="137" spans="1:6" x14ac:dyDescent="0.25">
      <c r="A137" s="43">
        <v>1110031</v>
      </c>
      <c r="B137" t="s">
        <v>3660</v>
      </c>
      <c r="C137" t="s">
        <v>3661</v>
      </c>
      <c r="D137" s="43" t="s">
        <v>3483</v>
      </c>
      <c r="E137" s="43" t="s">
        <v>3484</v>
      </c>
      <c r="F137" s="43" t="s">
        <v>4277</v>
      </c>
    </row>
    <row r="138" spans="1:6" x14ac:dyDescent="0.25">
      <c r="A138" s="43">
        <v>1110040</v>
      </c>
      <c r="B138" t="s">
        <v>1505</v>
      </c>
      <c r="C138" t="s">
        <v>3662</v>
      </c>
      <c r="D138" s="43" t="s">
        <v>3483</v>
      </c>
      <c r="E138" s="43" t="s">
        <v>3484</v>
      </c>
      <c r="F138" s="43" t="s">
        <v>3484</v>
      </c>
    </row>
    <row r="139" spans="1:6" x14ac:dyDescent="0.25">
      <c r="A139" s="43">
        <v>1111010</v>
      </c>
      <c r="B139" t="s">
        <v>3663</v>
      </c>
      <c r="C139" t="s">
        <v>3663</v>
      </c>
      <c r="D139" s="43" t="s">
        <v>3483</v>
      </c>
      <c r="E139" s="43" t="s">
        <v>3484</v>
      </c>
      <c r="F139" s="43" t="s">
        <v>4277</v>
      </c>
    </row>
    <row r="140" spans="1:6" x14ac:dyDescent="0.25">
      <c r="A140" s="43">
        <v>1115010</v>
      </c>
      <c r="B140" t="s">
        <v>288</v>
      </c>
      <c r="C140" t="s">
        <v>3664</v>
      </c>
      <c r="D140" s="43" t="s">
        <v>3483</v>
      </c>
      <c r="E140" s="43" t="s">
        <v>3484</v>
      </c>
      <c r="F140" s="43" t="s">
        <v>4277</v>
      </c>
    </row>
    <row r="141" spans="1:6" x14ac:dyDescent="0.25">
      <c r="A141" s="43">
        <v>1115020</v>
      </c>
      <c r="B141" t="s">
        <v>289</v>
      </c>
      <c r="D141" s="43" t="s">
        <v>3483</v>
      </c>
      <c r="E141" s="43" t="s">
        <v>3484</v>
      </c>
      <c r="F141" s="43" t="s">
        <v>4277</v>
      </c>
    </row>
    <row r="142" spans="1:6" x14ac:dyDescent="0.25">
      <c r="A142" s="43">
        <v>1115030</v>
      </c>
      <c r="B142" t="s">
        <v>290</v>
      </c>
      <c r="D142" s="43" t="s">
        <v>3483</v>
      </c>
      <c r="E142" s="43" t="s">
        <v>3484</v>
      </c>
      <c r="F142" s="43" t="s">
        <v>4277</v>
      </c>
    </row>
    <row r="143" spans="1:6" x14ac:dyDescent="0.25">
      <c r="A143" s="43">
        <v>1115040</v>
      </c>
      <c r="B143" t="s">
        <v>291</v>
      </c>
      <c r="D143" s="43" t="s">
        <v>3483</v>
      </c>
      <c r="E143" s="43" t="s">
        <v>3484</v>
      </c>
      <c r="F143" s="43" t="s">
        <v>3484</v>
      </c>
    </row>
    <row r="144" spans="1:6" x14ac:dyDescent="0.25">
      <c r="A144" s="43">
        <v>1115050</v>
      </c>
      <c r="B144" t="s">
        <v>1628</v>
      </c>
      <c r="D144" s="43" t="s">
        <v>3483</v>
      </c>
      <c r="E144" s="43" t="s">
        <v>3484</v>
      </c>
      <c r="F144" s="43" t="s">
        <v>3484</v>
      </c>
    </row>
    <row r="145" spans="1:6" x14ac:dyDescent="0.25">
      <c r="A145" s="43">
        <v>1115060</v>
      </c>
      <c r="B145" t="s">
        <v>1629</v>
      </c>
      <c r="C145" t="s">
        <v>3665</v>
      </c>
      <c r="D145" s="43" t="s">
        <v>3483</v>
      </c>
      <c r="E145" s="43" t="s">
        <v>3484</v>
      </c>
      <c r="F145" s="43" t="s">
        <v>4277</v>
      </c>
    </row>
    <row r="146" spans="1:6" x14ac:dyDescent="0.25">
      <c r="A146" s="43">
        <v>1115070</v>
      </c>
      <c r="B146" t="s">
        <v>1630</v>
      </c>
      <c r="C146" t="s">
        <v>1630</v>
      </c>
      <c r="D146" s="43" t="s">
        <v>3483</v>
      </c>
      <c r="E146" s="43" t="s">
        <v>3484</v>
      </c>
      <c r="F146" s="43" t="s">
        <v>4277</v>
      </c>
    </row>
    <row r="147" spans="1:6" x14ac:dyDescent="0.25">
      <c r="A147" s="43">
        <v>1115080</v>
      </c>
      <c r="B147" t="s">
        <v>1631</v>
      </c>
      <c r="C147" t="s">
        <v>1631</v>
      </c>
      <c r="D147" s="43" t="s">
        <v>3483</v>
      </c>
      <c r="E147" s="43" t="s">
        <v>3484</v>
      </c>
      <c r="F147" s="103" t="s">
        <v>4277</v>
      </c>
    </row>
    <row r="148" spans="1:6" x14ac:dyDescent="0.25">
      <c r="A148" s="43">
        <v>1115090</v>
      </c>
      <c r="B148" t="s">
        <v>1651</v>
      </c>
      <c r="C148" t="s">
        <v>3666</v>
      </c>
      <c r="D148" s="43" t="s">
        <v>3483</v>
      </c>
      <c r="E148" s="43" t="s">
        <v>3484</v>
      </c>
      <c r="F148" s="43" t="s">
        <v>4277</v>
      </c>
    </row>
    <row r="149" spans="1:6" x14ac:dyDescent="0.25">
      <c r="A149" s="43">
        <v>1115100</v>
      </c>
      <c r="B149" t="s">
        <v>292</v>
      </c>
      <c r="D149" s="43" t="s">
        <v>3483</v>
      </c>
      <c r="E149" s="43" t="s">
        <v>3484</v>
      </c>
      <c r="F149" s="43" t="s">
        <v>3484</v>
      </c>
    </row>
    <row r="150" spans="1:6" x14ac:dyDescent="0.25">
      <c r="A150" s="43">
        <v>1115110</v>
      </c>
      <c r="B150" t="s">
        <v>1632</v>
      </c>
      <c r="C150" t="s">
        <v>1632</v>
      </c>
      <c r="D150" s="43" t="s">
        <v>3483</v>
      </c>
      <c r="E150" s="43" t="s">
        <v>3484</v>
      </c>
      <c r="F150" s="43" t="s">
        <v>4277</v>
      </c>
    </row>
    <row r="151" spans="1:6" x14ac:dyDescent="0.25">
      <c r="A151" s="43">
        <v>1115111</v>
      </c>
      <c r="B151" t="s">
        <v>324</v>
      </c>
      <c r="C151" t="s">
        <v>324</v>
      </c>
      <c r="D151" s="43" t="s">
        <v>3483</v>
      </c>
      <c r="E151" s="43" t="s">
        <v>3484</v>
      </c>
      <c r="F151" s="43" t="s">
        <v>4277</v>
      </c>
    </row>
    <row r="152" spans="1:6" x14ac:dyDescent="0.25">
      <c r="A152" s="43">
        <v>1115120</v>
      </c>
      <c r="B152" t="s">
        <v>1633</v>
      </c>
      <c r="C152" t="s">
        <v>3667</v>
      </c>
      <c r="D152" s="43" t="s">
        <v>3483</v>
      </c>
      <c r="E152" s="43" t="s">
        <v>3484</v>
      </c>
      <c r="F152" s="43" t="s">
        <v>3484</v>
      </c>
    </row>
    <row r="153" spans="1:6" x14ac:dyDescent="0.25">
      <c r="A153" s="43">
        <v>1115130</v>
      </c>
      <c r="B153" t="s">
        <v>3668</v>
      </c>
      <c r="C153" t="s">
        <v>3668</v>
      </c>
      <c r="D153" s="43" t="s">
        <v>3483</v>
      </c>
      <c r="E153" s="43" t="s">
        <v>3484</v>
      </c>
      <c r="F153" s="43" t="s">
        <v>4277</v>
      </c>
    </row>
    <row r="154" spans="1:6" x14ac:dyDescent="0.25">
      <c r="A154" s="43">
        <v>1115140</v>
      </c>
      <c r="B154" t="s">
        <v>3669</v>
      </c>
      <c r="D154" s="43" t="s">
        <v>3483</v>
      </c>
      <c r="E154" s="43" t="s">
        <v>3484</v>
      </c>
      <c r="F154" s="43" t="s">
        <v>4277</v>
      </c>
    </row>
    <row r="155" spans="1:6" x14ac:dyDescent="0.25">
      <c r="A155" s="43">
        <v>1115150</v>
      </c>
      <c r="B155" t="s">
        <v>1645</v>
      </c>
      <c r="C155" t="s">
        <v>3670</v>
      </c>
      <c r="D155" s="43" t="s">
        <v>3483</v>
      </c>
      <c r="E155" s="43" t="s">
        <v>3484</v>
      </c>
      <c r="F155" s="43" t="s">
        <v>4277</v>
      </c>
    </row>
    <row r="156" spans="1:6" x14ac:dyDescent="0.25">
      <c r="A156" s="43">
        <v>1115151</v>
      </c>
      <c r="B156" t="s">
        <v>3671</v>
      </c>
      <c r="C156" t="s">
        <v>3671</v>
      </c>
      <c r="D156" s="43" t="s">
        <v>3483</v>
      </c>
      <c r="E156" s="43" t="s">
        <v>3484</v>
      </c>
      <c r="F156" s="43" t="s">
        <v>4277</v>
      </c>
    </row>
    <row r="157" spans="1:6" x14ac:dyDescent="0.25">
      <c r="A157" s="43">
        <v>1115170</v>
      </c>
      <c r="B157" t="s">
        <v>293</v>
      </c>
      <c r="C157" t="s">
        <v>3672</v>
      </c>
      <c r="D157" s="43" t="s">
        <v>3483</v>
      </c>
      <c r="E157" s="43" t="s">
        <v>3484</v>
      </c>
      <c r="F157" s="43" t="s">
        <v>3484</v>
      </c>
    </row>
    <row r="158" spans="1:6" x14ac:dyDescent="0.25">
      <c r="A158" s="43">
        <v>1115180</v>
      </c>
      <c r="B158" t="s">
        <v>156</v>
      </c>
      <c r="C158" t="s">
        <v>3673</v>
      </c>
      <c r="D158" s="43" t="s">
        <v>3483</v>
      </c>
      <c r="E158" s="43" t="s">
        <v>3484</v>
      </c>
      <c r="F158" s="43" t="s">
        <v>4277</v>
      </c>
    </row>
    <row r="159" spans="1:6" x14ac:dyDescent="0.25">
      <c r="A159" s="43">
        <v>1115210</v>
      </c>
      <c r="B159" t="s">
        <v>1579</v>
      </c>
      <c r="C159" t="s">
        <v>1579</v>
      </c>
      <c r="D159" s="43" t="s">
        <v>3483</v>
      </c>
      <c r="E159" s="43" t="s">
        <v>3484</v>
      </c>
      <c r="F159" s="103" t="s">
        <v>4277</v>
      </c>
    </row>
    <row r="160" spans="1:6" x14ac:dyDescent="0.25">
      <c r="A160" s="43">
        <v>1115220</v>
      </c>
      <c r="B160" t="s">
        <v>3674</v>
      </c>
      <c r="C160" t="s">
        <v>3675</v>
      </c>
      <c r="D160" s="43" t="s">
        <v>3483</v>
      </c>
      <c r="E160" s="43" t="s">
        <v>3484</v>
      </c>
      <c r="F160" s="43" t="s">
        <v>4277</v>
      </c>
    </row>
    <row r="161" spans="1:6" x14ac:dyDescent="0.25">
      <c r="A161" s="43">
        <v>1115230</v>
      </c>
      <c r="B161" t="s">
        <v>3676</v>
      </c>
      <c r="C161" t="s">
        <v>3676</v>
      </c>
      <c r="D161" s="43" t="s">
        <v>3483</v>
      </c>
      <c r="E161" s="43" t="s">
        <v>3484</v>
      </c>
      <c r="F161" s="43" t="s">
        <v>4277</v>
      </c>
    </row>
    <row r="162" spans="1:6" x14ac:dyDescent="0.25">
      <c r="A162" s="43">
        <v>1115240</v>
      </c>
      <c r="B162" t="s">
        <v>294</v>
      </c>
      <c r="C162" t="s">
        <v>3677</v>
      </c>
      <c r="D162" s="43" t="s">
        <v>3483</v>
      </c>
      <c r="E162" s="43" t="s">
        <v>3484</v>
      </c>
      <c r="F162" s="43" t="s">
        <v>3484</v>
      </c>
    </row>
    <row r="163" spans="1:6" x14ac:dyDescent="0.25">
      <c r="A163" s="43">
        <v>1115250</v>
      </c>
      <c r="B163" t="s">
        <v>1634</v>
      </c>
      <c r="C163" t="s">
        <v>3678</v>
      </c>
      <c r="D163" s="43" t="s">
        <v>3483</v>
      </c>
      <c r="E163" s="43" t="s">
        <v>3484</v>
      </c>
      <c r="F163" s="43" t="s">
        <v>4277</v>
      </c>
    </row>
    <row r="164" spans="1:6" x14ac:dyDescent="0.25">
      <c r="A164" s="43">
        <v>1115260</v>
      </c>
      <c r="B164" t="s">
        <v>1619</v>
      </c>
      <c r="C164" t="s">
        <v>3679</v>
      </c>
      <c r="D164" s="43" t="s">
        <v>3483</v>
      </c>
      <c r="E164" s="43" t="s">
        <v>3484</v>
      </c>
      <c r="F164" s="103" t="s">
        <v>4277</v>
      </c>
    </row>
    <row r="165" spans="1:6" x14ac:dyDescent="0.25">
      <c r="A165" s="43">
        <v>1115270</v>
      </c>
      <c r="B165" t="s">
        <v>1603</v>
      </c>
      <c r="C165" t="s">
        <v>1603</v>
      </c>
      <c r="D165" s="43" t="s">
        <v>3483</v>
      </c>
      <c r="E165" s="43" t="s">
        <v>3484</v>
      </c>
      <c r="F165" s="43" t="s">
        <v>4277</v>
      </c>
    </row>
    <row r="166" spans="1:6" x14ac:dyDescent="0.25">
      <c r="A166" s="43">
        <v>1115271</v>
      </c>
      <c r="B166" t="s">
        <v>1604</v>
      </c>
      <c r="C166" t="s">
        <v>3680</v>
      </c>
      <c r="D166" s="43" t="s">
        <v>3483</v>
      </c>
      <c r="E166" s="43" t="s">
        <v>3484</v>
      </c>
      <c r="F166" s="43" t="s">
        <v>4277</v>
      </c>
    </row>
    <row r="167" spans="1:6" x14ac:dyDescent="0.25">
      <c r="A167" s="43">
        <v>1115280</v>
      </c>
      <c r="B167" t="s">
        <v>1580</v>
      </c>
      <c r="C167" t="s">
        <v>3681</v>
      </c>
      <c r="D167" s="43" t="s">
        <v>3483</v>
      </c>
      <c r="E167" s="43" t="s">
        <v>3484</v>
      </c>
      <c r="F167" s="43" t="s">
        <v>4277</v>
      </c>
    </row>
    <row r="168" spans="1:6" x14ac:dyDescent="0.25">
      <c r="A168" s="43">
        <v>1115290</v>
      </c>
      <c r="B168" t="s">
        <v>1581</v>
      </c>
      <c r="D168" s="43" t="s">
        <v>3483</v>
      </c>
      <c r="E168" s="43" t="s">
        <v>3484</v>
      </c>
      <c r="F168" s="43" t="s">
        <v>4277</v>
      </c>
    </row>
    <row r="169" spans="1:6" x14ac:dyDescent="0.25">
      <c r="A169" s="43">
        <v>1115291</v>
      </c>
      <c r="B169" t="s">
        <v>3682</v>
      </c>
      <c r="C169" t="s">
        <v>3682</v>
      </c>
      <c r="D169" s="43" t="s">
        <v>3483</v>
      </c>
      <c r="E169" s="43" t="s">
        <v>3484</v>
      </c>
      <c r="F169" s="43" t="s">
        <v>4277</v>
      </c>
    </row>
    <row r="170" spans="1:6" x14ac:dyDescent="0.25">
      <c r="A170" s="43">
        <v>1115300</v>
      </c>
      <c r="B170" t="s">
        <v>3683</v>
      </c>
      <c r="C170" t="s">
        <v>3684</v>
      </c>
      <c r="D170" s="43" t="s">
        <v>3483</v>
      </c>
      <c r="E170" s="43" t="s">
        <v>3484</v>
      </c>
      <c r="F170" s="43" t="s">
        <v>4277</v>
      </c>
    </row>
    <row r="171" spans="1:6" x14ac:dyDescent="0.25">
      <c r="A171" s="43">
        <v>1115310</v>
      </c>
      <c r="B171" t="s">
        <v>3685</v>
      </c>
      <c r="C171" t="s">
        <v>3686</v>
      </c>
      <c r="D171" s="43" t="s">
        <v>3483</v>
      </c>
      <c r="E171" s="43" t="s">
        <v>3484</v>
      </c>
      <c r="F171" s="43" t="s">
        <v>4277</v>
      </c>
    </row>
    <row r="172" spans="1:6" x14ac:dyDescent="0.25">
      <c r="A172" s="43">
        <v>1115320</v>
      </c>
      <c r="B172" t="s">
        <v>320</v>
      </c>
      <c r="C172" t="s">
        <v>3687</v>
      </c>
      <c r="D172" s="43" t="s">
        <v>3483</v>
      </c>
      <c r="E172" s="43" t="s">
        <v>3484</v>
      </c>
      <c r="F172" s="43" t="s">
        <v>4277</v>
      </c>
    </row>
    <row r="173" spans="1:6" x14ac:dyDescent="0.25">
      <c r="A173" s="43">
        <v>1115330</v>
      </c>
      <c r="B173" t="s">
        <v>3688</v>
      </c>
      <c r="C173" t="s">
        <v>3689</v>
      </c>
      <c r="D173" s="43" t="s">
        <v>3483</v>
      </c>
      <c r="E173" s="43" t="s">
        <v>3484</v>
      </c>
      <c r="F173" s="43" t="s">
        <v>4277</v>
      </c>
    </row>
    <row r="174" spans="1:6" x14ac:dyDescent="0.25">
      <c r="A174" s="43">
        <v>1115340</v>
      </c>
      <c r="B174" t="s">
        <v>1636</v>
      </c>
      <c r="C174" t="s">
        <v>3690</v>
      </c>
      <c r="D174" s="43" t="s">
        <v>3483</v>
      </c>
      <c r="E174" s="43" t="s">
        <v>3484</v>
      </c>
      <c r="F174" s="43" t="s">
        <v>4277</v>
      </c>
    </row>
    <row r="175" spans="1:6" x14ac:dyDescent="0.25">
      <c r="A175" s="43">
        <v>1115350</v>
      </c>
      <c r="B175" t="s">
        <v>3691</v>
      </c>
      <c r="C175" t="s">
        <v>3692</v>
      </c>
      <c r="D175" s="43" t="s">
        <v>3483</v>
      </c>
      <c r="E175" s="43" t="s">
        <v>3484</v>
      </c>
      <c r="F175" s="43" t="s">
        <v>4277</v>
      </c>
    </row>
    <row r="176" spans="1:6" x14ac:dyDescent="0.25">
      <c r="A176" s="43">
        <v>1115360</v>
      </c>
      <c r="B176" t="s">
        <v>3693</v>
      </c>
      <c r="C176" t="s">
        <v>3694</v>
      </c>
      <c r="D176" s="43" t="s">
        <v>3483</v>
      </c>
      <c r="E176" s="43" t="s">
        <v>3484</v>
      </c>
      <c r="F176" s="43" t="s">
        <v>4277</v>
      </c>
    </row>
    <row r="177" spans="1:6" x14ac:dyDescent="0.25">
      <c r="A177" s="43">
        <v>1115370</v>
      </c>
      <c r="B177" t="s">
        <v>325</v>
      </c>
      <c r="C177" t="s">
        <v>3695</v>
      </c>
      <c r="D177" s="43" t="s">
        <v>3483</v>
      </c>
      <c r="E177" s="43" t="s">
        <v>3484</v>
      </c>
      <c r="F177" s="43" t="s">
        <v>4277</v>
      </c>
    </row>
    <row r="178" spans="1:6" x14ac:dyDescent="0.25">
      <c r="A178" s="43">
        <v>1115380</v>
      </c>
      <c r="B178" t="s">
        <v>3696</v>
      </c>
      <c r="C178" t="s">
        <v>3697</v>
      </c>
      <c r="D178" s="43" t="s">
        <v>3483</v>
      </c>
      <c r="E178" s="43" t="s">
        <v>3484</v>
      </c>
      <c r="F178" s="43" t="s">
        <v>4277</v>
      </c>
    </row>
    <row r="179" spans="1:6" x14ac:dyDescent="0.25">
      <c r="A179" s="43">
        <v>1201010</v>
      </c>
      <c r="B179" t="s">
        <v>3698</v>
      </c>
      <c r="D179" s="43" t="s">
        <v>3483</v>
      </c>
      <c r="E179" s="43" t="s">
        <v>3484</v>
      </c>
      <c r="F179" s="43" t="s">
        <v>4277</v>
      </c>
    </row>
    <row r="180" spans="1:6" x14ac:dyDescent="0.25">
      <c r="A180" s="43">
        <v>1202010</v>
      </c>
      <c r="B180" t="s">
        <v>3699</v>
      </c>
      <c r="D180" s="43" t="s">
        <v>3483</v>
      </c>
      <c r="E180" s="43" t="s">
        <v>3484</v>
      </c>
      <c r="F180" s="43" t="s">
        <v>4277</v>
      </c>
    </row>
    <row r="181" spans="1:6" x14ac:dyDescent="0.25">
      <c r="A181" s="43">
        <v>1202020</v>
      </c>
      <c r="B181" t="s">
        <v>3700</v>
      </c>
      <c r="C181" t="s">
        <v>3700</v>
      </c>
      <c r="D181" s="43" t="s">
        <v>3483</v>
      </c>
      <c r="E181" s="43" t="s">
        <v>3484</v>
      </c>
      <c r="F181" s="43" t="s">
        <v>4277</v>
      </c>
    </row>
    <row r="182" spans="1:6" x14ac:dyDescent="0.25">
      <c r="A182" s="43">
        <v>1202030</v>
      </c>
      <c r="B182" t="s">
        <v>3701</v>
      </c>
      <c r="C182" t="s">
        <v>3701</v>
      </c>
      <c r="D182" s="43" t="s">
        <v>3483</v>
      </c>
      <c r="E182" s="43" t="s">
        <v>3484</v>
      </c>
      <c r="F182" s="43" t="s">
        <v>4277</v>
      </c>
    </row>
    <row r="183" spans="1:6" x14ac:dyDescent="0.25">
      <c r="A183" s="43">
        <v>1202040</v>
      </c>
      <c r="B183" t="s">
        <v>3702</v>
      </c>
      <c r="C183" t="s">
        <v>3702</v>
      </c>
      <c r="D183" s="43" t="s">
        <v>3483</v>
      </c>
      <c r="E183" s="43" t="s">
        <v>3484</v>
      </c>
      <c r="F183" s="43" t="s">
        <v>4277</v>
      </c>
    </row>
    <row r="184" spans="1:6" x14ac:dyDescent="0.25">
      <c r="A184" s="43">
        <v>1202050</v>
      </c>
      <c r="B184" t="s">
        <v>3703</v>
      </c>
      <c r="C184" t="s">
        <v>3704</v>
      </c>
      <c r="D184" s="43" t="s">
        <v>3483</v>
      </c>
      <c r="E184" s="43" t="s">
        <v>3484</v>
      </c>
      <c r="F184" s="43" t="s">
        <v>4277</v>
      </c>
    </row>
    <row r="185" spans="1:6" x14ac:dyDescent="0.25">
      <c r="A185" s="43">
        <v>1203020</v>
      </c>
      <c r="B185" t="s">
        <v>220</v>
      </c>
      <c r="C185" t="s">
        <v>220</v>
      </c>
      <c r="D185" s="43" t="s">
        <v>3483</v>
      </c>
      <c r="E185" s="43" t="s">
        <v>3484</v>
      </c>
      <c r="F185" s="43" t="s">
        <v>4277</v>
      </c>
    </row>
    <row r="186" spans="1:6" x14ac:dyDescent="0.25">
      <c r="A186" s="43">
        <v>1203030</v>
      </c>
      <c r="B186" t="s">
        <v>72</v>
      </c>
      <c r="C186" t="s">
        <v>72</v>
      </c>
      <c r="D186" s="43" t="s">
        <v>3483</v>
      </c>
      <c r="E186" s="43" t="s">
        <v>3484</v>
      </c>
      <c r="F186" s="103" t="s">
        <v>4277</v>
      </c>
    </row>
    <row r="187" spans="1:6" x14ac:dyDescent="0.25">
      <c r="A187" s="43">
        <v>1203040</v>
      </c>
      <c r="B187" t="s">
        <v>199</v>
      </c>
      <c r="C187" t="s">
        <v>3705</v>
      </c>
      <c r="D187" s="43" t="s">
        <v>3483</v>
      </c>
      <c r="E187" s="43" t="s">
        <v>3484</v>
      </c>
      <c r="F187" s="43" t="s">
        <v>4277</v>
      </c>
    </row>
    <row r="188" spans="1:6" x14ac:dyDescent="0.25">
      <c r="A188" s="43">
        <v>1203050</v>
      </c>
      <c r="B188" t="s">
        <v>221</v>
      </c>
      <c r="C188" t="s">
        <v>221</v>
      </c>
      <c r="D188" s="43" t="s">
        <v>3483</v>
      </c>
      <c r="E188" s="43" t="s">
        <v>3484</v>
      </c>
      <c r="F188" s="43" t="s">
        <v>4277</v>
      </c>
    </row>
    <row r="189" spans="1:6" x14ac:dyDescent="0.25">
      <c r="A189" s="43">
        <v>1203060</v>
      </c>
      <c r="B189" t="s">
        <v>3706</v>
      </c>
      <c r="C189" t="s">
        <v>3707</v>
      </c>
      <c r="D189" s="43" t="s">
        <v>3483</v>
      </c>
      <c r="E189" s="43" t="s">
        <v>3484</v>
      </c>
      <c r="F189" s="43" t="s">
        <v>4277</v>
      </c>
    </row>
    <row r="190" spans="1:6" x14ac:dyDescent="0.25">
      <c r="A190" s="43">
        <v>1204010</v>
      </c>
      <c r="B190" t="s">
        <v>3708</v>
      </c>
      <c r="C190" t="s">
        <v>3708</v>
      </c>
      <c r="D190" s="43" t="s">
        <v>3483</v>
      </c>
      <c r="E190" s="43" t="s">
        <v>3484</v>
      </c>
      <c r="F190" s="43" t="s">
        <v>4277</v>
      </c>
    </row>
    <row r="191" spans="1:6" x14ac:dyDescent="0.25">
      <c r="A191" s="43">
        <v>1205010</v>
      </c>
      <c r="B191" t="s">
        <v>73</v>
      </c>
      <c r="C191" t="s">
        <v>3709</v>
      </c>
      <c r="D191" s="43" t="s">
        <v>3483</v>
      </c>
      <c r="E191" s="43" t="s">
        <v>3484</v>
      </c>
      <c r="F191" s="43" t="s">
        <v>4277</v>
      </c>
    </row>
    <row r="192" spans="1:6" x14ac:dyDescent="0.25">
      <c r="A192" s="43">
        <v>1206010</v>
      </c>
      <c r="B192" t="s">
        <v>74</v>
      </c>
      <c r="C192" t="s">
        <v>74</v>
      </c>
      <c r="D192" s="43" t="s">
        <v>3483</v>
      </c>
      <c r="E192" s="43" t="s">
        <v>3484</v>
      </c>
      <c r="F192" s="103" t="s">
        <v>4277</v>
      </c>
    </row>
    <row r="193" spans="1:6" x14ac:dyDescent="0.25">
      <c r="A193" s="43">
        <v>1206011</v>
      </c>
      <c r="B193" t="s">
        <v>122</v>
      </c>
      <c r="C193" t="s">
        <v>122</v>
      </c>
      <c r="D193" s="43" t="s">
        <v>3483</v>
      </c>
      <c r="E193" s="43" t="s">
        <v>3484</v>
      </c>
      <c r="F193" s="43" t="s">
        <v>4277</v>
      </c>
    </row>
    <row r="194" spans="1:6" x14ac:dyDescent="0.25">
      <c r="A194" s="43">
        <v>1301010</v>
      </c>
      <c r="B194" t="s">
        <v>3710</v>
      </c>
      <c r="C194" t="s">
        <v>3711</v>
      </c>
      <c r="D194" s="43" t="s">
        <v>3483</v>
      </c>
      <c r="E194" s="43" t="s">
        <v>3484</v>
      </c>
      <c r="F194" s="43" t="s">
        <v>4277</v>
      </c>
    </row>
    <row r="195" spans="1:6" x14ac:dyDescent="0.25">
      <c r="A195" s="43">
        <v>1301020</v>
      </c>
      <c r="B195" t="s">
        <v>3712</v>
      </c>
      <c r="C195" t="s">
        <v>3712</v>
      </c>
      <c r="D195" s="43" t="s">
        <v>3483</v>
      </c>
      <c r="E195" s="43" t="s">
        <v>3484</v>
      </c>
      <c r="F195" s="43" t="s">
        <v>4277</v>
      </c>
    </row>
    <row r="196" spans="1:6" x14ac:dyDescent="0.25">
      <c r="A196" s="43">
        <v>1301030</v>
      </c>
      <c r="B196" t="s">
        <v>3713</v>
      </c>
      <c r="C196" t="s">
        <v>3714</v>
      </c>
      <c r="D196" s="43" t="s">
        <v>3483</v>
      </c>
      <c r="E196" s="43" t="s">
        <v>3484</v>
      </c>
      <c r="F196" s="43" t="s">
        <v>4277</v>
      </c>
    </row>
    <row r="197" spans="1:6" x14ac:dyDescent="0.25">
      <c r="A197" s="43">
        <v>1302010</v>
      </c>
      <c r="B197" t="s">
        <v>3715</v>
      </c>
      <c r="C197" t="s">
        <v>3716</v>
      </c>
      <c r="D197" s="43" t="s">
        <v>3483</v>
      </c>
      <c r="E197" s="43" t="s">
        <v>3484</v>
      </c>
      <c r="F197" s="43" t="s">
        <v>4277</v>
      </c>
    </row>
    <row r="198" spans="1:6" x14ac:dyDescent="0.25">
      <c r="A198" s="43">
        <v>1303010</v>
      </c>
      <c r="B198" t="s">
        <v>3717</v>
      </c>
      <c r="C198" t="s">
        <v>3718</v>
      </c>
      <c r="D198" s="43" t="s">
        <v>3483</v>
      </c>
      <c r="E198" s="43" t="s">
        <v>3484</v>
      </c>
      <c r="F198" s="43" t="s">
        <v>4277</v>
      </c>
    </row>
    <row r="199" spans="1:6" x14ac:dyDescent="0.25">
      <c r="A199" s="43">
        <v>1304010</v>
      </c>
      <c r="B199" t="s">
        <v>3719</v>
      </c>
      <c r="C199" t="s">
        <v>3720</v>
      </c>
      <c r="D199" s="43" t="s">
        <v>3483</v>
      </c>
      <c r="E199" s="43" t="s">
        <v>3484</v>
      </c>
      <c r="F199" s="43" t="s">
        <v>4277</v>
      </c>
    </row>
    <row r="200" spans="1:6" x14ac:dyDescent="0.25">
      <c r="A200" s="43">
        <v>1305010</v>
      </c>
      <c r="B200" t="s">
        <v>3721</v>
      </c>
      <c r="C200" t="s">
        <v>3721</v>
      </c>
      <c r="D200" s="43" t="s">
        <v>3483</v>
      </c>
      <c r="E200" s="43" t="s">
        <v>3484</v>
      </c>
      <c r="F200" s="43" t="s">
        <v>4277</v>
      </c>
    </row>
    <row r="201" spans="1:6" x14ac:dyDescent="0.25">
      <c r="A201" s="43">
        <v>1306010</v>
      </c>
      <c r="B201" t="s">
        <v>3722</v>
      </c>
      <c r="C201" t="s">
        <v>3723</v>
      </c>
      <c r="D201" s="43" t="s">
        <v>3483</v>
      </c>
      <c r="E201" s="43" t="s">
        <v>3484</v>
      </c>
      <c r="F201" s="43" t="s">
        <v>4277</v>
      </c>
    </row>
    <row r="202" spans="1:6" x14ac:dyDescent="0.25">
      <c r="A202" s="43">
        <v>1306020</v>
      </c>
      <c r="B202" t="s">
        <v>3724</v>
      </c>
      <c r="C202" t="s">
        <v>3725</v>
      </c>
      <c r="D202" s="43" t="s">
        <v>3483</v>
      </c>
      <c r="E202" s="43" t="s">
        <v>3484</v>
      </c>
      <c r="F202" s="43" t="s">
        <v>4277</v>
      </c>
    </row>
    <row r="203" spans="1:6" x14ac:dyDescent="0.25">
      <c r="A203" s="43">
        <v>1306030</v>
      </c>
      <c r="B203" t="s">
        <v>3726</v>
      </c>
      <c r="D203" s="43" t="s">
        <v>3483</v>
      </c>
      <c r="E203" s="43" t="s">
        <v>3484</v>
      </c>
      <c r="F203" s="43" t="s">
        <v>4277</v>
      </c>
    </row>
    <row r="204" spans="1:6" x14ac:dyDescent="0.25">
      <c r="A204" s="43">
        <v>1306040</v>
      </c>
      <c r="B204" t="s">
        <v>3727</v>
      </c>
      <c r="C204" t="s">
        <v>3619</v>
      </c>
      <c r="D204" s="43" t="s">
        <v>3483</v>
      </c>
      <c r="E204" s="43" t="s">
        <v>3484</v>
      </c>
      <c r="F204" s="43" t="s">
        <v>4277</v>
      </c>
    </row>
    <row r="205" spans="1:6" x14ac:dyDescent="0.25">
      <c r="A205" s="43">
        <v>1306050</v>
      </c>
      <c r="B205" t="s">
        <v>1605</v>
      </c>
      <c r="C205" t="s">
        <v>3728</v>
      </c>
      <c r="D205" s="43" t="s">
        <v>3483</v>
      </c>
      <c r="E205" s="43" t="s">
        <v>3484</v>
      </c>
      <c r="F205" s="43" t="s">
        <v>4277</v>
      </c>
    </row>
    <row r="206" spans="1:6" x14ac:dyDescent="0.25">
      <c r="A206" s="43">
        <v>1307010</v>
      </c>
      <c r="B206" t="s">
        <v>3729</v>
      </c>
      <c r="C206" t="s">
        <v>3729</v>
      </c>
      <c r="D206" s="43" t="s">
        <v>3483</v>
      </c>
      <c r="E206" s="43" t="s">
        <v>3484</v>
      </c>
      <c r="F206" s="43" t="s">
        <v>4277</v>
      </c>
    </row>
    <row r="207" spans="1:6" x14ac:dyDescent="0.25">
      <c r="A207" s="43">
        <v>1308010</v>
      </c>
      <c r="B207" t="s">
        <v>3730</v>
      </c>
      <c r="C207" t="s">
        <v>3730</v>
      </c>
      <c r="D207" s="43" t="s">
        <v>3483</v>
      </c>
      <c r="E207" s="43" t="s">
        <v>3484</v>
      </c>
      <c r="F207" s="103" t="s">
        <v>4277</v>
      </c>
    </row>
    <row r="208" spans="1:6" x14ac:dyDescent="0.25">
      <c r="A208" s="43">
        <v>1308020</v>
      </c>
      <c r="B208" t="s">
        <v>75</v>
      </c>
      <c r="C208" t="s">
        <v>3731</v>
      </c>
      <c r="D208" s="43" t="s">
        <v>3483</v>
      </c>
      <c r="E208" s="43" t="s">
        <v>3484</v>
      </c>
      <c r="F208" s="103" t="s">
        <v>4277</v>
      </c>
    </row>
    <row r="209" spans="1:6" x14ac:dyDescent="0.25">
      <c r="A209" s="43">
        <v>1310020</v>
      </c>
      <c r="B209" t="s">
        <v>3732</v>
      </c>
      <c r="C209" t="s">
        <v>3733</v>
      </c>
      <c r="D209" s="43" t="s">
        <v>3483</v>
      </c>
      <c r="E209" s="43" t="s">
        <v>3484</v>
      </c>
      <c r="F209" s="43" t="s">
        <v>4277</v>
      </c>
    </row>
    <row r="210" spans="1:6" x14ac:dyDescent="0.25">
      <c r="A210" s="43">
        <v>1901001</v>
      </c>
      <c r="B210" t="s">
        <v>3734</v>
      </c>
      <c r="C210" t="s">
        <v>3735</v>
      </c>
      <c r="D210" s="43" t="s">
        <v>3483</v>
      </c>
      <c r="E210" s="43" t="s">
        <v>3484</v>
      </c>
      <c r="F210" s="43" t="s">
        <v>4277</v>
      </c>
    </row>
    <row r="211" spans="1:6" x14ac:dyDescent="0.25">
      <c r="A211" s="43">
        <v>1901002</v>
      </c>
      <c r="B211" t="s">
        <v>3736</v>
      </c>
      <c r="C211" t="s">
        <v>3737</v>
      </c>
      <c r="D211" s="43" t="s">
        <v>3483</v>
      </c>
      <c r="E211" s="43" t="s">
        <v>3484</v>
      </c>
      <c r="F211" s="43" t="s">
        <v>4277</v>
      </c>
    </row>
    <row r="212" spans="1:6" x14ac:dyDescent="0.25">
      <c r="A212" s="43">
        <v>2101010</v>
      </c>
      <c r="B212" t="s">
        <v>1582</v>
      </c>
      <c r="C212" t="s">
        <v>3738</v>
      </c>
      <c r="D212" s="43" t="s">
        <v>3739</v>
      </c>
      <c r="E212" s="43" t="s">
        <v>3484</v>
      </c>
      <c r="F212" s="43" t="s">
        <v>4277</v>
      </c>
    </row>
    <row r="213" spans="1:6" x14ac:dyDescent="0.25">
      <c r="A213" s="43">
        <v>2101011</v>
      </c>
      <c r="B213" t="s">
        <v>1646</v>
      </c>
      <c r="C213" t="s">
        <v>1646</v>
      </c>
      <c r="D213" s="43" t="s">
        <v>3483</v>
      </c>
      <c r="E213" s="43" t="s">
        <v>3484</v>
      </c>
      <c r="F213" s="43" t="s">
        <v>4277</v>
      </c>
    </row>
    <row r="214" spans="1:6" x14ac:dyDescent="0.25">
      <c r="A214" s="43">
        <v>2101020</v>
      </c>
      <c r="B214" t="s">
        <v>1583</v>
      </c>
      <c r="D214" s="43" t="s">
        <v>3739</v>
      </c>
      <c r="E214" s="43" t="s">
        <v>3484</v>
      </c>
      <c r="F214" s="43" t="s">
        <v>4277</v>
      </c>
    </row>
    <row r="215" spans="1:6" x14ac:dyDescent="0.25">
      <c r="A215" s="43">
        <v>2101021</v>
      </c>
      <c r="B215" t="s">
        <v>1647</v>
      </c>
      <c r="C215" t="s">
        <v>1647</v>
      </c>
      <c r="D215" s="43" t="s">
        <v>3739</v>
      </c>
      <c r="E215" s="43" t="s">
        <v>3484</v>
      </c>
      <c r="F215" s="43" t="s">
        <v>4277</v>
      </c>
    </row>
    <row r="216" spans="1:6" x14ac:dyDescent="0.25">
      <c r="A216" s="43">
        <v>2101030</v>
      </c>
      <c r="B216" t="s">
        <v>3740</v>
      </c>
      <c r="C216" t="s">
        <v>3741</v>
      </c>
      <c r="D216" s="43" t="s">
        <v>3739</v>
      </c>
      <c r="E216" s="43" t="s">
        <v>3484</v>
      </c>
      <c r="F216" s="43" t="s">
        <v>4277</v>
      </c>
    </row>
    <row r="217" spans="1:6" x14ac:dyDescent="0.25">
      <c r="A217" s="43">
        <v>2101040</v>
      </c>
      <c r="B217" t="s">
        <v>3742</v>
      </c>
      <c r="C217" t="s">
        <v>3743</v>
      </c>
      <c r="D217" s="43" t="s">
        <v>3739</v>
      </c>
      <c r="E217" s="43" t="s">
        <v>3484</v>
      </c>
      <c r="F217" s="43" t="s">
        <v>4277</v>
      </c>
    </row>
    <row r="218" spans="1:6" x14ac:dyDescent="0.25">
      <c r="A218" s="43">
        <v>2101090</v>
      </c>
      <c r="B218" t="s">
        <v>3744</v>
      </c>
      <c r="C218" t="s">
        <v>3745</v>
      </c>
      <c r="D218" s="43" t="s">
        <v>3739</v>
      </c>
      <c r="E218" s="43" t="s">
        <v>3484</v>
      </c>
      <c r="F218" s="43" t="s">
        <v>4277</v>
      </c>
    </row>
    <row r="219" spans="1:6" x14ac:dyDescent="0.25">
      <c r="A219" s="43">
        <v>2102040</v>
      </c>
      <c r="B219" t="s">
        <v>3746</v>
      </c>
      <c r="C219" t="s">
        <v>3747</v>
      </c>
      <c r="D219" s="43" t="s">
        <v>3739</v>
      </c>
      <c r="E219" s="43" t="s">
        <v>3484</v>
      </c>
      <c r="F219" s="43" t="s">
        <v>4277</v>
      </c>
    </row>
    <row r="220" spans="1:6" x14ac:dyDescent="0.25">
      <c r="A220" s="43">
        <v>2102043</v>
      </c>
      <c r="B220" t="s">
        <v>1584</v>
      </c>
      <c r="C220" t="s">
        <v>3748</v>
      </c>
      <c r="D220" s="43" t="s">
        <v>3739</v>
      </c>
      <c r="E220" s="43" t="s">
        <v>3484</v>
      </c>
      <c r="F220" s="43" t="s">
        <v>4277</v>
      </c>
    </row>
    <row r="221" spans="1:6" x14ac:dyDescent="0.25">
      <c r="A221" s="43">
        <v>2103010</v>
      </c>
      <c r="B221" t="s">
        <v>3749</v>
      </c>
      <c r="C221" t="s">
        <v>3749</v>
      </c>
      <c r="D221" s="43" t="s">
        <v>3739</v>
      </c>
      <c r="E221" s="43" t="s">
        <v>3484</v>
      </c>
      <c r="F221" s="43" t="s">
        <v>4277</v>
      </c>
    </row>
    <row r="222" spans="1:6" x14ac:dyDescent="0.25">
      <c r="A222" s="43">
        <v>2103020</v>
      </c>
      <c r="B222" t="s">
        <v>3750</v>
      </c>
      <c r="C222" t="s">
        <v>3751</v>
      </c>
      <c r="D222" s="43" t="s">
        <v>3739</v>
      </c>
      <c r="E222" s="43" t="s">
        <v>3484</v>
      </c>
      <c r="F222" s="43" t="s">
        <v>4277</v>
      </c>
    </row>
    <row r="223" spans="1:6" x14ac:dyDescent="0.25">
      <c r="A223" s="43">
        <v>2103030</v>
      </c>
      <c r="B223" t="s">
        <v>3752</v>
      </c>
      <c r="C223" t="s">
        <v>3753</v>
      </c>
      <c r="D223" s="43" t="s">
        <v>3739</v>
      </c>
      <c r="E223" s="43" t="s">
        <v>3484</v>
      </c>
      <c r="F223" s="43" t="s">
        <v>4277</v>
      </c>
    </row>
    <row r="224" spans="1:6" x14ac:dyDescent="0.25">
      <c r="A224" s="43">
        <v>2103040</v>
      </c>
      <c r="B224" t="s">
        <v>3754</v>
      </c>
      <c r="C224" t="s">
        <v>3754</v>
      </c>
      <c r="D224" s="43" t="s">
        <v>3739</v>
      </c>
      <c r="E224" s="43" t="s">
        <v>3484</v>
      </c>
      <c r="F224" s="43" t="s">
        <v>4277</v>
      </c>
    </row>
    <row r="225" spans="1:6" x14ac:dyDescent="0.25">
      <c r="A225" s="43">
        <v>2103050</v>
      </c>
      <c r="B225" t="s">
        <v>1607</v>
      </c>
      <c r="C225" t="s">
        <v>3755</v>
      </c>
      <c r="D225" s="43" t="s">
        <v>3483</v>
      </c>
      <c r="E225" s="43" t="s">
        <v>3484</v>
      </c>
      <c r="F225" s="43" t="s">
        <v>4277</v>
      </c>
    </row>
    <row r="226" spans="1:6" x14ac:dyDescent="0.25">
      <c r="A226" s="43">
        <v>2105020</v>
      </c>
      <c r="B226" t="s">
        <v>3756</v>
      </c>
      <c r="C226" t="s">
        <v>3756</v>
      </c>
      <c r="D226" s="43" t="s">
        <v>3739</v>
      </c>
      <c r="E226" s="43" t="s">
        <v>3484</v>
      </c>
      <c r="F226" s="43" t="s">
        <v>4277</v>
      </c>
    </row>
    <row r="227" spans="1:6" x14ac:dyDescent="0.25">
      <c r="A227" s="43">
        <v>2105030</v>
      </c>
      <c r="B227" t="s">
        <v>3757</v>
      </c>
      <c r="C227" t="s">
        <v>3757</v>
      </c>
      <c r="D227" s="43" t="s">
        <v>3739</v>
      </c>
      <c r="E227" s="43" t="s">
        <v>3484</v>
      </c>
      <c r="F227" s="43" t="s">
        <v>4277</v>
      </c>
    </row>
    <row r="228" spans="1:6" x14ac:dyDescent="0.25">
      <c r="A228" s="43">
        <v>2105040</v>
      </c>
      <c r="B228" t="s">
        <v>3758</v>
      </c>
      <c r="C228" t="s">
        <v>3758</v>
      </c>
      <c r="D228" s="43" t="s">
        <v>3739</v>
      </c>
      <c r="E228" s="43" t="s">
        <v>3484</v>
      </c>
      <c r="F228" s="43" t="s">
        <v>4277</v>
      </c>
    </row>
    <row r="229" spans="1:6" x14ac:dyDescent="0.25">
      <c r="A229" s="43">
        <v>2105050</v>
      </c>
      <c r="B229" t="s">
        <v>3759</v>
      </c>
      <c r="C229" t="s">
        <v>3760</v>
      </c>
      <c r="D229" s="43" t="s">
        <v>3739</v>
      </c>
      <c r="E229" s="43" t="s">
        <v>3484</v>
      </c>
      <c r="F229" s="43" t="s">
        <v>4277</v>
      </c>
    </row>
    <row r="230" spans="1:6" x14ac:dyDescent="0.25">
      <c r="A230" s="43">
        <v>2105060</v>
      </c>
      <c r="B230" t="s">
        <v>3761</v>
      </c>
      <c r="C230" t="s">
        <v>3761</v>
      </c>
      <c r="D230" s="43" t="s">
        <v>3739</v>
      </c>
      <c r="E230" s="43" t="s">
        <v>3484</v>
      </c>
      <c r="F230" s="43" t="s">
        <v>4277</v>
      </c>
    </row>
    <row r="231" spans="1:6" x14ac:dyDescent="0.25">
      <c r="A231" s="43">
        <v>2105070</v>
      </c>
      <c r="B231" t="s">
        <v>3762</v>
      </c>
      <c r="C231" t="s">
        <v>3762</v>
      </c>
      <c r="D231" s="43" t="s">
        <v>3739</v>
      </c>
      <c r="E231" s="43" t="s">
        <v>3484</v>
      </c>
      <c r="F231" s="43" t="s">
        <v>4277</v>
      </c>
    </row>
    <row r="232" spans="1:6" x14ac:dyDescent="0.25">
      <c r="A232" s="43">
        <v>2105080</v>
      </c>
      <c r="B232" t="s">
        <v>3763</v>
      </c>
      <c r="C232" t="s">
        <v>3763</v>
      </c>
      <c r="D232" s="43" t="s">
        <v>3739</v>
      </c>
      <c r="E232" s="43" t="s">
        <v>3484</v>
      </c>
      <c r="F232" s="43" t="s">
        <v>4277</v>
      </c>
    </row>
    <row r="233" spans="1:6" x14ac:dyDescent="0.25">
      <c r="A233" s="43">
        <v>2106001</v>
      </c>
      <c r="B233" t="s">
        <v>3764</v>
      </c>
      <c r="C233" t="s">
        <v>3765</v>
      </c>
      <c r="D233" s="43" t="s">
        <v>3739</v>
      </c>
      <c r="E233" s="43" t="s">
        <v>3484</v>
      </c>
      <c r="F233" s="43" t="s">
        <v>4277</v>
      </c>
    </row>
    <row r="234" spans="1:6" x14ac:dyDescent="0.25">
      <c r="A234" s="43">
        <v>2106002</v>
      </c>
      <c r="B234" t="s">
        <v>3766</v>
      </c>
      <c r="C234" t="s">
        <v>3619</v>
      </c>
      <c r="D234" s="43" t="s">
        <v>3739</v>
      </c>
      <c r="E234" s="43" t="s">
        <v>3484</v>
      </c>
      <c r="F234" s="43" t="s">
        <v>4277</v>
      </c>
    </row>
    <row r="235" spans="1:6" x14ac:dyDescent="0.25">
      <c r="A235" s="43">
        <v>2106006</v>
      </c>
      <c r="B235" t="s">
        <v>3767</v>
      </c>
      <c r="D235" s="43" t="s">
        <v>3739</v>
      </c>
      <c r="E235" s="43" t="s">
        <v>3484</v>
      </c>
      <c r="F235" s="43" t="s">
        <v>4277</v>
      </c>
    </row>
    <row r="236" spans="1:6" x14ac:dyDescent="0.25">
      <c r="A236" s="43">
        <v>2106007</v>
      </c>
      <c r="B236" t="s">
        <v>254</v>
      </c>
      <c r="C236" t="s">
        <v>3768</v>
      </c>
      <c r="D236" s="43" t="s">
        <v>3739</v>
      </c>
      <c r="E236" s="43" t="s">
        <v>3484</v>
      </c>
      <c r="F236" s="43" t="s">
        <v>4277</v>
      </c>
    </row>
    <row r="237" spans="1:6" x14ac:dyDescent="0.25">
      <c r="A237" s="43">
        <v>2106008</v>
      </c>
      <c r="B237" t="s">
        <v>3769</v>
      </c>
      <c r="C237" t="s">
        <v>3770</v>
      </c>
      <c r="D237" s="43" t="s">
        <v>3739</v>
      </c>
      <c r="E237" s="43" t="s">
        <v>3484</v>
      </c>
      <c r="F237" s="43" t="s">
        <v>4277</v>
      </c>
    </row>
    <row r="238" spans="1:6" x14ac:dyDescent="0.25">
      <c r="A238" s="43">
        <v>2106009</v>
      </c>
      <c r="B238" t="s">
        <v>3771</v>
      </c>
      <c r="C238" t="s">
        <v>3772</v>
      </c>
      <c r="D238" s="43" t="s">
        <v>3739</v>
      </c>
      <c r="E238" s="43" t="s">
        <v>3484</v>
      </c>
      <c r="F238" s="43" t="s">
        <v>4277</v>
      </c>
    </row>
    <row r="239" spans="1:6" x14ac:dyDescent="0.25">
      <c r="A239" s="43">
        <v>2106010</v>
      </c>
      <c r="B239" t="s">
        <v>3773</v>
      </c>
      <c r="C239" t="s">
        <v>3773</v>
      </c>
      <c r="D239" s="43" t="s">
        <v>3739</v>
      </c>
      <c r="E239" s="43" t="s">
        <v>3484</v>
      </c>
      <c r="F239" s="43" t="s">
        <v>4277</v>
      </c>
    </row>
    <row r="240" spans="1:6" x14ac:dyDescent="0.25">
      <c r="A240" s="43">
        <v>2106011</v>
      </c>
      <c r="B240" t="s">
        <v>207</v>
      </c>
      <c r="C240" t="s">
        <v>3774</v>
      </c>
      <c r="D240" s="43" t="s">
        <v>3739</v>
      </c>
      <c r="E240" s="43" t="s">
        <v>3484</v>
      </c>
      <c r="F240" s="43" t="s">
        <v>4277</v>
      </c>
    </row>
    <row r="241" spans="1:6" x14ac:dyDescent="0.25">
      <c r="A241" s="43">
        <v>2106014</v>
      </c>
      <c r="B241" t="s">
        <v>3775</v>
      </c>
      <c r="C241" t="s">
        <v>3776</v>
      </c>
      <c r="D241" s="43" t="s">
        <v>3739</v>
      </c>
      <c r="E241" s="43" t="s">
        <v>3484</v>
      </c>
      <c r="F241" s="43" t="s">
        <v>4277</v>
      </c>
    </row>
    <row r="242" spans="1:6" x14ac:dyDescent="0.25">
      <c r="A242" s="43">
        <v>2106020</v>
      </c>
      <c r="B242" t="s">
        <v>3777</v>
      </c>
      <c r="C242" t="s">
        <v>3777</v>
      </c>
      <c r="D242" s="43" t="s">
        <v>3739</v>
      </c>
      <c r="E242" s="43" t="s">
        <v>3484</v>
      </c>
      <c r="F242" s="43" t="s">
        <v>4277</v>
      </c>
    </row>
    <row r="243" spans="1:6" x14ac:dyDescent="0.25">
      <c r="A243" s="43">
        <v>2106030</v>
      </c>
      <c r="B243" t="s">
        <v>3778</v>
      </c>
      <c r="C243" t="s">
        <v>3779</v>
      </c>
      <c r="D243" s="43" t="s">
        <v>3739</v>
      </c>
      <c r="E243" s="43" t="s">
        <v>3484</v>
      </c>
      <c r="F243" s="43" t="s">
        <v>4277</v>
      </c>
    </row>
    <row r="244" spans="1:6" x14ac:dyDescent="0.25">
      <c r="A244" s="43">
        <v>2106031</v>
      </c>
      <c r="B244" t="s">
        <v>3780</v>
      </c>
      <c r="C244" t="s">
        <v>3781</v>
      </c>
      <c r="D244" s="43" t="s">
        <v>3739</v>
      </c>
      <c r="E244" s="43" t="s">
        <v>3484</v>
      </c>
      <c r="F244" s="43" t="s">
        <v>4277</v>
      </c>
    </row>
    <row r="245" spans="1:6" x14ac:dyDescent="0.25">
      <c r="A245" s="43">
        <v>2106032</v>
      </c>
      <c r="B245" t="s">
        <v>1502</v>
      </c>
      <c r="C245" t="s">
        <v>3782</v>
      </c>
      <c r="D245" s="43" t="s">
        <v>3739</v>
      </c>
      <c r="E245" s="43" t="s">
        <v>3484</v>
      </c>
      <c r="F245" s="43" t="s">
        <v>4277</v>
      </c>
    </row>
    <row r="246" spans="1:6" x14ac:dyDescent="0.25">
      <c r="A246" s="43">
        <v>2106034</v>
      </c>
      <c r="B246" t="s">
        <v>3783</v>
      </c>
      <c r="D246" s="43" t="s">
        <v>3739</v>
      </c>
      <c r="E246" s="43" t="s">
        <v>3484</v>
      </c>
      <c r="F246" s="43" t="s">
        <v>4277</v>
      </c>
    </row>
    <row r="247" spans="1:6" x14ac:dyDescent="0.25">
      <c r="A247" s="43">
        <v>2106035</v>
      </c>
      <c r="B247" t="s">
        <v>3784</v>
      </c>
      <c r="C247" t="s">
        <v>3784</v>
      </c>
      <c r="D247" s="43" t="s">
        <v>3739</v>
      </c>
      <c r="E247" s="43" t="s">
        <v>3484</v>
      </c>
      <c r="F247" s="43" t="s">
        <v>4277</v>
      </c>
    </row>
    <row r="248" spans="1:6" x14ac:dyDescent="0.25">
      <c r="A248" s="43">
        <v>2106036</v>
      </c>
      <c r="B248" t="s">
        <v>3785</v>
      </c>
      <c r="C248" t="s">
        <v>3786</v>
      </c>
      <c r="D248" s="43" t="s">
        <v>3739</v>
      </c>
      <c r="E248" s="43" t="s">
        <v>3484</v>
      </c>
      <c r="F248" s="43" t="s">
        <v>4277</v>
      </c>
    </row>
    <row r="249" spans="1:6" x14ac:dyDescent="0.25">
      <c r="A249" s="43">
        <v>2106040</v>
      </c>
      <c r="B249" t="s">
        <v>1503</v>
      </c>
      <c r="C249" t="s">
        <v>3787</v>
      </c>
      <c r="D249" s="43" t="s">
        <v>3739</v>
      </c>
      <c r="E249" s="43" t="s">
        <v>3484</v>
      </c>
      <c r="F249" s="43" t="s">
        <v>4277</v>
      </c>
    </row>
    <row r="250" spans="1:6" x14ac:dyDescent="0.25">
      <c r="A250" s="43">
        <v>2106041</v>
      </c>
      <c r="B250" t="s">
        <v>228</v>
      </c>
      <c r="C250" t="s">
        <v>3788</v>
      </c>
      <c r="D250" s="43" t="s">
        <v>3739</v>
      </c>
      <c r="E250" s="43" t="s">
        <v>3484</v>
      </c>
      <c r="F250" s="43" t="s">
        <v>4277</v>
      </c>
    </row>
    <row r="251" spans="1:6" x14ac:dyDescent="0.25">
      <c r="A251" s="43">
        <v>2106042</v>
      </c>
      <c r="B251" t="s">
        <v>1637</v>
      </c>
      <c r="C251" t="s">
        <v>3789</v>
      </c>
      <c r="D251" s="43" t="s">
        <v>3739</v>
      </c>
      <c r="E251" s="43" t="s">
        <v>3484</v>
      </c>
      <c r="F251" s="43" t="s">
        <v>4277</v>
      </c>
    </row>
    <row r="252" spans="1:6" x14ac:dyDescent="0.25">
      <c r="A252" s="43">
        <v>2106043</v>
      </c>
      <c r="B252" t="s">
        <v>3790</v>
      </c>
      <c r="C252" t="s">
        <v>3790</v>
      </c>
      <c r="D252" s="43" t="s">
        <v>3739</v>
      </c>
      <c r="E252" s="43" t="s">
        <v>3484</v>
      </c>
      <c r="F252" s="43" t="s">
        <v>4277</v>
      </c>
    </row>
    <row r="253" spans="1:6" x14ac:dyDescent="0.25">
      <c r="A253" s="43">
        <v>2106044</v>
      </c>
      <c r="B253" t="s">
        <v>3791</v>
      </c>
      <c r="C253" t="s">
        <v>3792</v>
      </c>
      <c r="D253" s="43" t="s">
        <v>3739</v>
      </c>
      <c r="E253" s="43" t="s">
        <v>3484</v>
      </c>
      <c r="F253" s="43" t="s">
        <v>4277</v>
      </c>
    </row>
    <row r="254" spans="1:6" x14ac:dyDescent="0.25">
      <c r="A254" s="43">
        <v>2106045</v>
      </c>
      <c r="B254" t="s">
        <v>3793</v>
      </c>
      <c r="C254" t="s">
        <v>3794</v>
      </c>
      <c r="D254" s="43" t="s">
        <v>3739</v>
      </c>
      <c r="E254" s="43" t="s">
        <v>3484</v>
      </c>
      <c r="F254" s="43" t="s">
        <v>4277</v>
      </c>
    </row>
    <row r="255" spans="1:6" x14ac:dyDescent="0.25">
      <c r="A255" s="43">
        <v>2106046</v>
      </c>
      <c r="B255" t="s">
        <v>3795</v>
      </c>
      <c r="C255" t="s">
        <v>3796</v>
      </c>
      <c r="D255" s="43" t="s">
        <v>3739</v>
      </c>
      <c r="E255" s="43" t="s">
        <v>3484</v>
      </c>
      <c r="F255" s="43" t="s">
        <v>4277</v>
      </c>
    </row>
    <row r="256" spans="1:6" x14ac:dyDescent="0.25">
      <c r="A256" s="43">
        <v>2106047</v>
      </c>
      <c r="B256" t="s">
        <v>3797</v>
      </c>
      <c r="C256" t="s">
        <v>3798</v>
      </c>
      <c r="D256" s="43" t="s">
        <v>3739</v>
      </c>
      <c r="E256" s="43" t="s">
        <v>3484</v>
      </c>
      <c r="F256" s="43" t="s">
        <v>4277</v>
      </c>
    </row>
    <row r="257" spans="1:6" x14ac:dyDescent="0.25">
      <c r="A257" s="43">
        <v>2106048</v>
      </c>
      <c r="B257" t="s">
        <v>3799</v>
      </c>
      <c r="C257" t="s">
        <v>3799</v>
      </c>
      <c r="D257" s="43" t="s">
        <v>3739</v>
      </c>
      <c r="E257" s="43" t="s">
        <v>3484</v>
      </c>
      <c r="F257" s="43" t="s">
        <v>4277</v>
      </c>
    </row>
    <row r="258" spans="1:6" x14ac:dyDescent="0.25">
      <c r="A258" s="43">
        <v>2106049</v>
      </c>
      <c r="B258" t="s">
        <v>3800</v>
      </c>
      <c r="C258" t="s">
        <v>3801</v>
      </c>
      <c r="D258" s="43" t="s">
        <v>3739</v>
      </c>
      <c r="E258" s="43" t="s">
        <v>3484</v>
      </c>
      <c r="F258" s="103" t="s">
        <v>4277</v>
      </c>
    </row>
    <row r="259" spans="1:6" x14ac:dyDescent="0.25">
      <c r="A259" s="43">
        <v>2107020</v>
      </c>
      <c r="B259" t="s">
        <v>304</v>
      </c>
      <c r="C259" t="s">
        <v>3802</v>
      </c>
      <c r="D259" s="43" t="s">
        <v>3739</v>
      </c>
      <c r="E259" s="43" t="s">
        <v>3484</v>
      </c>
      <c r="F259" s="103" t="s">
        <v>4277</v>
      </c>
    </row>
    <row r="260" spans="1:6" x14ac:dyDescent="0.25">
      <c r="A260" s="43">
        <v>2107050</v>
      </c>
      <c r="B260" t="s">
        <v>305</v>
      </c>
      <c r="C260" t="s">
        <v>3803</v>
      </c>
      <c r="D260" s="43" t="s">
        <v>3739</v>
      </c>
      <c r="E260" s="43" t="s">
        <v>3484</v>
      </c>
      <c r="F260" s="103" t="s">
        <v>4277</v>
      </c>
    </row>
    <row r="261" spans="1:6" x14ac:dyDescent="0.25">
      <c r="A261" s="43">
        <v>2107090</v>
      </c>
      <c r="B261" t="s">
        <v>306</v>
      </c>
      <c r="C261" t="s">
        <v>3804</v>
      </c>
      <c r="D261" s="43" t="s">
        <v>3739</v>
      </c>
      <c r="E261" s="43" t="s">
        <v>3484</v>
      </c>
      <c r="F261" s="103" t="s">
        <v>4277</v>
      </c>
    </row>
    <row r="262" spans="1:6" x14ac:dyDescent="0.25">
      <c r="A262" s="43">
        <v>2107091</v>
      </c>
      <c r="B262" t="s">
        <v>307</v>
      </c>
      <c r="C262" t="s">
        <v>3805</v>
      </c>
      <c r="D262" s="43" t="s">
        <v>3739</v>
      </c>
      <c r="E262" s="43" t="s">
        <v>3484</v>
      </c>
      <c r="F262" s="103" t="s">
        <v>4277</v>
      </c>
    </row>
    <row r="263" spans="1:6" x14ac:dyDescent="0.25">
      <c r="A263" s="43">
        <v>2108002</v>
      </c>
      <c r="B263" t="s">
        <v>3806</v>
      </c>
      <c r="D263" s="43" t="s">
        <v>3739</v>
      </c>
      <c r="E263" s="43" t="s">
        <v>3484</v>
      </c>
      <c r="F263" s="43" t="s">
        <v>4277</v>
      </c>
    </row>
    <row r="264" spans="1:6" x14ac:dyDescent="0.25">
      <c r="A264" s="43">
        <v>2108005</v>
      </c>
      <c r="B264" t="s">
        <v>3807</v>
      </c>
      <c r="C264" t="s">
        <v>3618</v>
      </c>
      <c r="D264" s="43" t="s">
        <v>3739</v>
      </c>
      <c r="E264" s="43" t="s">
        <v>3484</v>
      </c>
      <c r="F264" s="43" t="s">
        <v>4277</v>
      </c>
    </row>
    <row r="265" spans="1:6" x14ac:dyDescent="0.25">
      <c r="A265" s="43">
        <v>2108010</v>
      </c>
      <c r="B265" t="s">
        <v>3808</v>
      </c>
      <c r="C265" t="s">
        <v>3809</v>
      </c>
      <c r="D265" s="43" t="s">
        <v>3739</v>
      </c>
      <c r="E265" s="43" t="s">
        <v>3484</v>
      </c>
      <c r="F265" s="43" t="s">
        <v>4277</v>
      </c>
    </row>
    <row r="266" spans="1:6" x14ac:dyDescent="0.25">
      <c r="A266" s="43">
        <v>2109010</v>
      </c>
      <c r="B266" t="s">
        <v>3810</v>
      </c>
      <c r="C266" t="s">
        <v>3810</v>
      </c>
      <c r="D266" s="43" t="s">
        <v>3739</v>
      </c>
      <c r="E266" s="43" t="s">
        <v>3484</v>
      </c>
      <c r="F266" s="43" t="s">
        <v>4277</v>
      </c>
    </row>
    <row r="267" spans="1:6" x14ac:dyDescent="0.25">
      <c r="A267" s="43">
        <v>2110020</v>
      </c>
      <c r="B267" t="s">
        <v>3811</v>
      </c>
      <c r="C267" t="s">
        <v>3812</v>
      </c>
      <c r="D267" s="43" t="s">
        <v>3739</v>
      </c>
      <c r="E267" s="43" t="s">
        <v>3484</v>
      </c>
      <c r="F267" s="43" t="s">
        <v>4277</v>
      </c>
    </row>
    <row r="268" spans="1:6" x14ac:dyDescent="0.25">
      <c r="A268" s="43">
        <v>2110030</v>
      </c>
      <c r="B268" t="s">
        <v>163</v>
      </c>
      <c r="C268" t="s">
        <v>3619</v>
      </c>
      <c r="D268" s="43" t="s">
        <v>3739</v>
      </c>
      <c r="E268" s="43" t="s">
        <v>3484</v>
      </c>
      <c r="F268" s="43" t="s">
        <v>4277</v>
      </c>
    </row>
    <row r="269" spans="1:6" x14ac:dyDescent="0.25">
      <c r="A269" s="43">
        <v>2110040</v>
      </c>
      <c r="B269" t="s">
        <v>3813</v>
      </c>
      <c r="C269" t="s">
        <v>3814</v>
      </c>
      <c r="D269" s="43" t="s">
        <v>3739</v>
      </c>
      <c r="E269" s="43" t="s">
        <v>3484</v>
      </c>
      <c r="F269" s="43" t="s">
        <v>4277</v>
      </c>
    </row>
    <row r="270" spans="1:6" x14ac:dyDescent="0.25">
      <c r="A270" s="43">
        <v>2110050</v>
      </c>
      <c r="B270" t="s">
        <v>3815</v>
      </c>
      <c r="C270" t="s">
        <v>3816</v>
      </c>
      <c r="D270" s="43" t="s">
        <v>3739</v>
      </c>
      <c r="E270" s="43" t="s">
        <v>3484</v>
      </c>
      <c r="F270" s="43" t="s">
        <v>4277</v>
      </c>
    </row>
    <row r="271" spans="1:6" x14ac:dyDescent="0.25">
      <c r="A271" s="43">
        <v>2110060</v>
      </c>
      <c r="B271" t="s">
        <v>3817</v>
      </c>
      <c r="C271" t="s">
        <v>3818</v>
      </c>
      <c r="D271" s="43" t="s">
        <v>3739</v>
      </c>
      <c r="E271" s="43" t="s">
        <v>3484</v>
      </c>
      <c r="F271" s="43" t="s">
        <v>4277</v>
      </c>
    </row>
    <row r="272" spans="1:6" x14ac:dyDescent="0.25">
      <c r="A272" s="43">
        <v>2110070</v>
      </c>
      <c r="B272" t="s">
        <v>3819</v>
      </c>
      <c r="C272" t="s">
        <v>3820</v>
      </c>
      <c r="D272" s="43" t="s">
        <v>3739</v>
      </c>
      <c r="E272" s="43" t="s">
        <v>3484</v>
      </c>
      <c r="F272" s="43" t="s">
        <v>4277</v>
      </c>
    </row>
    <row r="273" spans="1:6" x14ac:dyDescent="0.25">
      <c r="A273" s="43">
        <v>2110080</v>
      </c>
      <c r="B273" t="s">
        <v>3821</v>
      </c>
      <c r="C273" t="s">
        <v>3822</v>
      </c>
      <c r="D273" s="43" t="s">
        <v>3739</v>
      </c>
      <c r="E273" s="43" t="s">
        <v>3484</v>
      </c>
      <c r="F273" s="43" t="s">
        <v>4277</v>
      </c>
    </row>
    <row r="274" spans="1:6" x14ac:dyDescent="0.25">
      <c r="A274" s="43">
        <v>2110090</v>
      </c>
      <c r="B274" t="s">
        <v>3823</v>
      </c>
      <c r="C274" t="s">
        <v>3619</v>
      </c>
      <c r="D274" s="43" t="s">
        <v>3739</v>
      </c>
      <c r="E274" s="43" t="s">
        <v>3484</v>
      </c>
      <c r="F274" s="43" t="s">
        <v>4277</v>
      </c>
    </row>
    <row r="275" spans="1:6" x14ac:dyDescent="0.25">
      <c r="A275" s="43">
        <v>2110200</v>
      </c>
      <c r="B275" t="s">
        <v>3824</v>
      </c>
      <c r="C275" t="s">
        <v>3825</v>
      </c>
      <c r="D275" s="43" t="s">
        <v>3739</v>
      </c>
      <c r="E275" s="43" t="s">
        <v>3484</v>
      </c>
      <c r="F275" s="43" t="s">
        <v>4277</v>
      </c>
    </row>
    <row r="276" spans="1:6" x14ac:dyDescent="0.25">
      <c r="A276" s="43">
        <v>2110900</v>
      </c>
      <c r="B276" t="s">
        <v>3826</v>
      </c>
      <c r="D276" s="43" t="s">
        <v>3739</v>
      </c>
      <c r="E276" s="43" t="s">
        <v>3484</v>
      </c>
      <c r="F276" s="43" t="s">
        <v>4277</v>
      </c>
    </row>
    <row r="277" spans="1:6" x14ac:dyDescent="0.25">
      <c r="A277" s="43">
        <v>2111001</v>
      </c>
      <c r="B277" t="s">
        <v>3827</v>
      </c>
      <c r="C277" t="s">
        <v>3828</v>
      </c>
      <c r="D277" s="43" t="s">
        <v>3739</v>
      </c>
      <c r="E277" s="43" t="s">
        <v>3484</v>
      </c>
      <c r="F277" s="43" t="s">
        <v>4277</v>
      </c>
    </row>
    <row r="278" spans="1:6" x14ac:dyDescent="0.25">
      <c r="A278" s="43">
        <v>2111002</v>
      </c>
      <c r="B278" t="s">
        <v>3829</v>
      </c>
      <c r="C278" t="s">
        <v>3829</v>
      </c>
      <c r="D278" s="43" t="s">
        <v>3739</v>
      </c>
      <c r="E278" s="43" t="s">
        <v>3484</v>
      </c>
      <c r="F278" s="43" t="s">
        <v>4277</v>
      </c>
    </row>
    <row r="279" spans="1:6" x14ac:dyDescent="0.25">
      <c r="A279" s="43">
        <v>2111003</v>
      </c>
      <c r="B279" t="s">
        <v>3830</v>
      </c>
      <c r="C279" t="s">
        <v>3831</v>
      </c>
      <c r="D279" s="43" t="s">
        <v>3739</v>
      </c>
      <c r="E279" s="43" t="s">
        <v>3484</v>
      </c>
      <c r="F279" s="43" t="s">
        <v>4277</v>
      </c>
    </row>
    <row r="280" spans="1:6" x14ac:dyDescent="0.25">
      <c r="A280" s="43">
        <v>2111004</v>
      </c>
      <c r="B280" t="s">
        <v>330</v>
      </c>
      <c r="C280" t="s">
        <v>3832</v>
      </c>
      <c r="D280" s="43" t="s">
        <v>3739</v>
      </c>
      <c r="E280" s="43" t="s">
        <v>3484</v>
      </c>
      <c r="F280" s="43" t="s">
        <v>4277</v>
      </c>
    </row>
    <row r="281" spans="1:6" x14ac:dyDescent="0.25">
      <c r="A281" s="43">
        <v>2111005</v>
      </c>
      <c r="B281" t="s">
        <v>3833</v>
      </c>
      <c r="C281" t="s">
        <v>3834</v>
      </c>
      <c r="D281" s="43" t="s">
        <v>3739</v>
      </c>
      <c r="E281" s="43" t="s">
        <v>3484</v>
      </c>
      <c r="F281" s="43" t="s">
        <v>4277</v>
      </c>
    </row>
    <row r="282" spans="1:6" x14ac:dyDescent="0.25">
      <c r="A282" s="43">
        <v>2111007</v>
      </c>
      <c r="B282" t="s">
        <v>195</v>
      </c>
      <c r="C282" t="s">
        <v>3835</v>
      </c>
      <c r="D282" s="43" t="s">
        <v>3739</v>
      </c>
      <c r="E282" s="43" t="s">
        <v>3484</v>
      </c>
      <c r="F282" s="103" t="s">
        <v>4277</v>
      </c>
    </row>
    <row r="283" spans="1:6" x14ac:dyDescent="0.25">
      <c r="A283" s="43">
        <v>2111030</v>
      </c>
      <c r="B283" t="s">
        <v>3836</v>
      </c>
      <c r="C283" t="s">
        <v>3837</v>
      </c>
      <c r="D283" s="43" t="s">
        <v>3739</v>
      </c>
      <c r="E283" s="43" t="s">
        <v>3484</v>
      </c>
      <c r="F283" s="43" t="s">
        <v>4277</v>
      </c>
    </row>
    <row r="284" spans="1:6" x14ac:dyDescent="0.25">
      <c r="A284" s="43">
        <v>2111060</v>
      </c>
      <c r="B284" t="s">
        <v>1609</v>
      </c>
      <c r="C284" t="s">
        <v>3838</v>
      </c>
      <c r="D284" s="43" t="s">
        <v>3739</v>
      </c>
      <c r="E284" s="43" t="s">
        <v>3484</v>
      </c>
      <c r="F284" s="43" t="s">
        <v>4277</v>
      </c>
    </row>
    <row r="285" spans="1:6" x14ac:dyDescent="0.25">
      <c r="A285" s="43">
        <v>2111070</v>
      </c>
      <c r="B285" t="s">
        <v>1497</v>
      </c>
      <c r="C285" t="s">
        <v>3839</v>
      </c>
      <c r="D285" s="43" t="s">
        <v>3739</v>
      </c>
      <c r="E285" s="43" t="s">
        <v>3484</v>
      </c>
      <c r="F285" s="43" t="s">
        <v>4277</v>
      </c>
    </row>
    <row r="286" spans="1:6" x14ac:dyDescent="0.25">
      <c r="A286" s="43">
        <v>2112010</v>
      </c>
      <c r="B286" t="s">
        <v>3840</v>
      </c>
      <c r="D286" s="43" t="s">
        <v>3739</v>
      </c>
      <c r="E286" s="43" t="s">
        <v>3484</v>
      </c>
      <c r="F286" s="43" t="s">
        <v>4277</v>
      </c>
    </row>
    <row r="287" spans="1:6" x14ac:dyDescent="0.25">
      <c r="A287" s="43">
        <v>2112020</v>
      </c>
      <c r="B287" t="s">
        <v>3841</v>
      </c>
      <c r="C287" t="s">
        <v>3841</v>
      </c>
      <c r="D287" s="43" t="s">
        <v>3739</v>
      </c>
      <c r="E287" s="43" t="s">
        <v>3484</v>
      </c>
      <c r="F287" s="43" t="s">
        <v>4277</v>
      </c>
    </row>
    <row r="288" spans="1:6" x14ac:dyDescent="0.25">
      <c r="A288" s="43">
        <v>2112030</v>
      </c>
      <c r="B288" t="s">
        <v>3842</v>
      </c>
      <c r="C288" t="s">
        <v>3842</v>
      </c>
      <c r="D288" s="43" t="s">
        <v>3739</v>
      </c>
      <c r="E288" s="43" t="s">
        <v>3484</v>
      </c>
      <c r="F288" s="43" t="s">
        <v>4277</v>
      </c>
    </row>
    <row r="289" spans="1:6" x14ac:dyDescent="0.25">
      <c r="A289" s="43">
        <v>2112040</v>
      </c>
      <c r="B289" t="s">
        <v>3843</v>
      </c>
      <c r="C289" t="s">
        <v>3844</v>
      </c>
      <c r="D289" s="43" t="s">
        <v>3739</v>
      </c>
      <c r="E289" s="43" t="s">
        <v>3484</v>
      </c>
      <c r="F289" s="43" t="s">
        <v>4277</v>
      </c>
    </row>
    <row r="290" spans="1:6" x14ac:dyDescent="0.25">
      <c r="A290" s="43">
        <v>2112041</v>
      </c>
      <c r="B290" t="s">
        <v>3845</v>
      </c>
      <c r="C290" t="s">
        <v>3845</v>
      </c>
      <c r="D290" s="43" t="s">
        <v>3739</v>
      </c>
      <c r="E290" s="43" t="s">
        <v>3484</v>
      </c>
      <c r="F290" s="43" t="s">
        <v>4277</v>
      </c>
    </row>
    <row r="291" spans="1:6" x14ac:dyDescent="0.25">
      <c r="A291" s="43">
        <v>2112050</v>
      </c>
      <c r="B291" t="s">
        <v>3846</v>
      </c>
      <c r="D291" s="43" t="s">
        <v>3739</v>
      </c>
      <c r="E291" s="43" t="s">
        <v>3484</v>
      </c>
      <c r="F291" s="43" t="s">
        <v>4277</v>
      </c>
    </row>
    <row r="292" spans="1:6" x14ac:dyDescent="0.25">
      <c r="A292" s="43">
        <v>2112060</v>
      </c>
      <c r="B292" t="s">
        <v>3847</v>
      </c>
      <c r="C292" t="s">
        <v>3848</v>
      </c>
      <c r="D292" s="43" t="s">
        <v>3739</v>
      </c>
      <c r="E292" s="43" t="s">
        <v>3484</v>
      </c>
      <c r="F292" s="43" t="s">
        <v>4277</v>
      </c>
    </row>
    <row r="293" spans="1:6" x14ac:dyDescent="0.25">
      <c r="A293" s="43">
        <v>2112070</v>
      </c>
      <c r="B293" t="s">
        <v>3849</v>
      </c>
      <c r="C293" t="s">
        <v>3850</v>
      </c>
      <c r="D293" s="43" t="s">
        <v>3739</v>
      </c>
      <c r="E293" s="43" t="s">
        <v>3484</v>
      </c>
      <c r="F293" s="43" t="s">
        <v>4277</v>
      </c>
    </row>
    <row r="294" spans="1:6" x14ac:dyDescent="0.25">
      <c r="A294" s="43">
        <v>2112080</v>
      </c>
      <c r="B294" t="s">
        <v>3851</v>
      </c>
      <c r="C294" t="s">
        <v>3852</v>
      </c>
      <c r="D294" s="43" t="s">
        <v>3739</v>
      </c>
      <c r="E294" s="43" t="s">
        <v>3484</v>
      </c>
      <c r="F294" s="43" t="s">
        <v>4277</v>
      </c>
    </row>
    <row r="295" spans="1:6" x14ac:dyDescent="0.25">
      <c r="A295" s="43">
        <v>2112090</v>
      </c>
      <c r="B295" t="s">
        <v>3853</v>
      </c>
      <c r="C295" t="s">
        <v>3853</v>
      </c>
      <c r="D295" s="43" t="s">
        <v>3739</v>
      </c>
      <c r="E295" s="43" t="s">
        <v>3484</v>
      </c>
      <c r="F295" s="43" t="s">
        <v>4277</v>
      </c>
    </row>
    <row r="296" spans="1:6" x14ac:dyDescent="0.25">
      <c r="A296" s="43">
        <v>2112100</v>
      </c>
      <c r="B296" t="s">
        <v>3854</v>
      </c>
      <c r="C296" t="s">
        <v>3855</v>
      </c>
      <c r="D296" s="43" t="s">
        <v>3739</v>
      </c>
      <c r="E296" s="43" t="s">
        <v>3484</v>
      </c>
      <c r="F296" s="43" t="s">
        <v>4277</v>
      </c>
    </row>
    <row r="297" spans="1:6" x14ac:dyDescent="0.25">
      <c r="A297" s="43">
        <v>2112110</v>
      </c>
      <c r="B297" t="s">
        <v>3856</v>
      </c>
      <c r="C297" t="s">
        <v>3857</v>
      </c>
      <c r="D297" s="43" t="s">
        <v>3739</v>
      </c>
      <c r="E297" s="43" t="s">
        <v>3484</v>
      </c>
      <c r="F297" s="43" t="s">
        <v>4277</v>
      </c>
    </row>
    <row r="298" spans="1:6" x14ac:dyDescent="0.25">
      <c r="A298" s="43">
        <v>2112120</v>
      </c>
      <c r="B298" t="s">
        <v>3858</v>
      </c>
      <c r="C298" t="s">
        <v>3619</v>
      </c>
      <c r="D298" s="43" t="s">
        <v>3739</v>
      </c>
      <c r="E298" s="43" t="s">
        <v>3484</v>
      </c>
      <c r="F298" s="43" t="s">
        <v>4277</v>
      </c>
    </row>
    <row r="299" spans="1:6" x14ac:dyDescent="0.25">
      <c r="A299" s="43">
        <v>2112130</v>
      </c>
      <c r="B299" t="s">
        <v>3859</v>
      </c>
      <c r="C299" t="s">
        <v>3860</v>
      </c>
      <c r="D299" s="43" t="s">
        <v>3739</v>
      </c>
      <c r="E299" s="43" t="s">
        <v>3484</v>
      </c>
      <c r="F299" s="43" t="s">
        <v>4277</v>
      </c>
    </row>
    <row r="300" spans="1:6" x14ac:dyDescent="0.25">
      <c r="A300" s="43">
        <v>2112140</v>
      </c>
      <c r="B300" t="s">
        <v>3861</v>
      </c>
      <c r="C300" t="s">
        <v>3862</v>
      </c>
      <c r="D300" s="43" t="s">
        <v>3739</v>
      </c>
      <c r="E300" s="43" t="s">
        <v>3484</v>
      </c>
      <c r="F300" s="43" t="s">
        <v>4277</v>
      </c>
    </row>
    <row r="301" spans="1:6" x14ac:dyDescent="0.25">
      <c r="A301" s="43">
        <v>2112150</v>
      </c>
      <c r="B301" t="s">
        <v>3863</v>
      </c>
      <c r="C301" t="s">
        <v>3864</v>
      </c>
      <c r="D301" s="43" t="s">
        <v>3739</v>
      </c>
      <c r="E301" s="43" t="s">
        <v>3484</v>
      </c>
      <c r="F301" s="43" t="s">
        <v>4277</v>
      </c>
    </row>
    <row r="302" spans="1:6" x14ac:dyDescent="0.25">
      <c r="A302" s="43">
        <v>2112160</v>
      </c>
      <c r="B302" t="s">
        <v>3865</v>
      </c>
      <c r="C302" t="s">
        <v>3866</v>
      </c>
      <c r="D302" s="43" t="s">
        <v>3739</v>
      </c>
      <c r="E302" s="43" t="s">
        <v>3484</v>
      </c>
      <c r="F302" s="43" t="s">
        <v>4277</v>
      </c>
    </row>
    <row r="303" spans="1:6" x14ac:dyDescent="0.25">
      <c r="A303" s="43">
        <v>2112170</v>
      </c>
      <c r="B303" t="s">
        <v>3867</v>
      </c>
      <c r="C303" t="s">
        <v>3868</v>
      </c>
      <c r="D303" s="43" t="s">
        <v>3739</v>
      </c>
      <c r="E303" s="43" t="s">
        <v>3484</v>
      </c>
      <c r="F303" s="43" t="s">
        <v>4277</v>
      </c>
    </row>
    <row r="304" spans="1:6" x14ac:dyDescent="0.25">
      <c r="A304" s="43">
        <v>2112180</v>
      </c>
      <c r="B304" t="s">
        <v>3869</v>
      </c>
      <c r="C304" t="s">
        <v>3870</v>
      </c>
      <c r="D304" s="43" t="s">
        <v>3739</v>
      </c>
      <c r="E304" s="43" t="s">
        <v>3484</v>
      </c>
      <c r="F304" s="43" t="s">
        <v>4277</v>
      </c>
    </row>
    <row r="305" spans="1:6" x14ac:dyDescent="0.25">
      <c r="A305" s="43">
        <v>2112190</v>
      </c>
      <c r="B305" t="s">
        <v>3871</v>
      </c>
      <c r="C305" t="s">
        <v>3872</v>
      </c>
      <c r="D305" s="43" t="s">
        <v>3739</v>
      </c>
      <c r="E305" s="43" t="s">
        <v>3484</v>
      </c>
      <c r="F305" s="43" t="s">
        <v>4277</v>
      </c>
    </row>
    <row r="306" spans="1:6" x14ac:dyDescent="0.25">
      <c r="A306" s="43">
        <v>2112200</v>
      </c>
      <c r="B306" t="s">
        <v>3873</v>
      </c>
      <c r="C306" t="s">
        <v>3874</v>
      </c>
      <c r="D306" s="43" t="s">
        <v>3739</v>
      </c>
      <c r="E306" s="43" t="s">
        <v>3484</v>
      </c>
      <c r="F306" s="43" t="s">
        <v>4277</v>
      </c>
    </row>
    <row r="307" spans="1:6" x14ac:dyDescent="0.25">
      <c r="A307" s="43">
        <v>2112210</v>
      </c>
      <c r="B307" t="s">
        <v>3875</v>
      </c>
      <c r="C307" t="s">
        <v>3876</v>
      </c>
      <c r="D307" s="43" t="s">
        <v>3739</v>
      </c>
      <c r="E307" s="43" t="s">
        <v>3484</v>
      </c>
      <c r="F307" s="43" t="s">
        <v>4277</v>
      </c>
    </row>
    <row r="308" spans="1:6" x14ac:dyDescent="0.25">
      <c r="A308" s="43">
        <v>2112220</v>
      </c>
      <c r="B308" t="s">
        <v>3877</v>
      </c>
      <c r="C308" t="s">
        <v>3878</v>
      </c>
      <c r="D308" s="43" t="s">
        <v>3739</v>
      </c>
      <c r="E308" s="43" t="s">
        <v>3484</v>
      </c>
      <c r="F308" s="43" t="s">
        <v>4277</v>
      </c>
    </row>
    <row r="309" spans="1:6" x14ac:dyDescent="0.25">
      <c r="A309" s="43">
        <v>2112230</v>
      </c>
      <c r="B309" t="s">
        <v>3879</v>
      </c>
      <c r="C309" t="s">
        <v>3880</v>
      </c>
      <c r="D309" s="43" t="s">
        <v>3739</v>
      </c>
      <c r="E309" s="43" t="s">
        <v>3484</v>
      </c>
      <c r="F309" s="43" t="s">
        <v>4277</v>
      </c>
    </row>
    <row r="310" spans="1:6" x14ac:dyDescent="0.25">
      <c r="A310" s="43">
        <v>2112240</v>
      </c>
      <c r="B310" t="s">
        <v>3881</v>
      </c>
      <c r="C310" t="s">
        <v>3882</v>
      </c>
      <c r="D310" s="43" t="s">
        <v>3739</v>
      </c>
      <c r="E310" s="43" t="s">
        <v>3484</v>
      </c>
      <c r="F310" s="43" t="s">
        <v>4277</v>
      </c>
    </row>
    <row r="311" spans="1:6" x14ac:dyDescent="0.25">
      <c r="A311" s="43">
        <v>2112250</v>
      </c>
      <c r="B311" t="s">
        <v>3883</v>
      </c>
      <c r="C311" t="s">
        <v>3884</v>
      </c>
      <c r="D311" s="43" t="s">
        <v>3739</v>
      </c>
      <c r="E311" s="43" t="s">
        <v>3484</v>
      </c>
      <c r="F311" s="43" t="s">
        <v>4277</v>
      </c>
    </row>
    <row r="312" spans="1:6" x14ac:dyDescent="0.25">
      <c r="A312" s="43">
        <v>2112260</v>
      </c>
      <c r="B312" t="s">
        <v>3885</v>
      </c>
      <c r="C312" t="s">
        <v>3886</v>
      </c>
      <c r="D312" s="43" t="s">
        <v>3739</v>
      </c>
      <c r="E312" s="43" t="s">
        <v>3484</v>
      </c>
      <c r="F312" s="43" t="s">
        <v>4277</v>
      </c>
    </row>
    <row r="313" spans="1:6" x14ac:dyDescent="0.25">
      <c r="A313" s="43">
        <v>2112270</v>
      </c>
      <c r="B313" t="s">
        <v>3887</v>
      </c>
      <c r="C313" t="s">
        <v>3888</v>
      </c>
      <c r="D313" s="43" t="s">
        <v>3739</v>
      </c>
      <c r="E313" s="43" t="s">
        <v>3484</v>
      </c>
      <c r="F313" s="43" t="s">
        <v>4277</v>
      </c>
    </row>
    <row r="314" spans="1:6" x14ac:dyDescent="0.25">
      <c r="A314" s="43">
        <v>2112280</v>
      </c>
      <c r="B314" t="s">
        <v>3889</v>
      </c>
      <c r="C314" t="s">
        <v>3890</v>
      </c>
      <c r="D314" s="43" t="s">
        <v>3739</v>
      </c>
      <c r="E314" s="43" t="s">
        <v>3484</v>
      </c>
      <c r="F314" s="43" t="s">
        <v>4277</v>
      </c>
    </row>
    <row r="315" spans="1:6" x14ac:dyDescent="0.25">
      <c r="A315" s="43">
        <v>2113020</v>
      </c>
      <c r="B315" t="s">
        <v>3891</v>
      </c>
      <c r="C315" t="s">
        <v>3891</v>
      </c>
      <c r="D315" s="43" t="s">
        <v>3739</v>
      </c>
      <c r="E315" s="43" t="s">
        <v>3484</v>
      </c>
      <c r="F315" s="43" t="s">
        <v>4277</v>
      </c>
    </row>
    <row r="316" spans="1:6" x14ac:dyDescent="0.25">
      <c r="A316" s="43">
        <v>2113030</v>
      </c>
      <c r="B316" t="s">
        <v>3892</v>
      </c>
      <c r="C316" t="s">
        <v>3893</v>
      </c>
      <c r="D316" s="43" t="s">
        <v>3739</v>
      </c>
      <c r="E316" s="43" t="s">
        <v>3484</v>
      </c>
      <c r="F316" s="43" t="s">
        <v>4277</v>
      </c>
    </row>
    <row r="317" spans="1:6" x14ac:dyDescent="0.25">
      <c r="A317" s="43">
        <v>2114010</v>
      </c>
      <c r="B317" t="s">
        <v>222</v>
      </c>
      <c r="C317" t="s">
        <v>222</v>
      </c>
      <c r="D317" s="43" t="s">
        <v>3739</v>
      </c>
      <c r="E317" s="43" t="s">
        <v>3484</v>
      </c>
      <c r="F317" s="43" t="s">
        <v>4277</v>
      </c>
    </row>
    <row r="318" spans="1:6" x14ac:dyDescent="0.25">
      <c r="A318" s="43">
        <v>2114040</v>
      </c>
      <c r="B318" t="s">
        <v>3894</v>
      </c>
      <c r="C318" t="s">
        <v>3895</v>
      </c>
      <c r="D318" s="43" t="s">
        <v>3739</v>
      </c>
      <c r="E318" s="43" t="s">
        <v>3484</v>
      </c>
      <c r="F318" s="43" t="s">
        <v>4277</v>
      </c>
    </row>
    <row r="319" spans="1:6" x14ac:dyDescent="0.25">
      <c r="A319" s="43">
        <v>2114050</v>
      </c>
      <c r="B319" t="s">
        <v>3896</v>
      </c>
      <c r="C319" t="s">
        <v>3897</v>
      </c>
      <c r="D319" s="43" t="s">
        <v>3739</v>
      </c>
      <c r="E319" s="43" t="s">
        <v>3484</v>
      </c>
      <c r="F319" s="43" t="s">
        <v>4277</v>
      </c>
    </row>
    <row r="320" spans="1:6" x14ac:dyDescent="0.25">
      <c r="A320" s="43">
        <v>2114070</v>
      </c>
      <c r="B320" t="s">
        <v>3898</v>
      </c>
      <c r="C320" t="s">
        <v>3899</v>
      </c>
      <c r="D320" s="43" t="s">
        <v>3739</v>
      </c>
      <c r="E320" s="43" t="s">
        <v>3484</v>
      </c>
      <c r="F320" s="43" t="s">
        <v>4277</v>
      </c>
    </row>
    <row r="321" spans="1:6" x14ac:dyDescent="0.25">
      <c r="A321" s="43">
        <v>2114080</v>
      </c>
      <c r="B321" t="s">
        <v>3900</v>
      </c>
      <c r="C321" t="s">
        <v>3901</v>
      </c>
      <c r="D321" s="43" t="s">
        <v>3739</v>
      </c>
      <c r="E321" s="43" t="s">
        <v>3484</v>
      </c>
      <c r="F321" s="43" t="s">
        <v>4277</v>
      </c>
    </row>
    <row r="322" spans="1:6" x14ac:dyDescent="0.25">
      <c r="A322" s="43">
        <v>2114090</v>
      </c>
      <c r="B322" t="s">
        <v>326</v>
      </c>
      <c r="C322" t="s">
        <v>3902</v>
      </c>
      <c r="D322" s="43" t="s">
        <v>3739</v>
      </c>
      <c r="E322" s="43" t="s">
        <v>3484</v>
      </c>
      <c r="F322" s="43" t="s">
        <v>4277</v>
      </c>
    </row>
    <row r="323" spans="1:6" x14ac:dyDescent="0.25">
      <c r="A323" s="43">
        <v>2115010</v>
      </c>
      <c r="B323" t="s">
        <v>3903</v>
      </c>
      <c r="C323" t="s">
        <v>3903</v>
      </c>
      <c r="D323" s="43" t="s">
        <v>3739</v>
      </c>
      <c r="E323" s="43" t="s">
        <v>3484</v>
      </c>
      <c r="F323" s="43" t="s">
        <v>4277</v>
      </c>
    </row>
    <row r="324" spans="1:6" x14ac:dyDescent="0.25">
      <c r="A324" s="43">
        <v>2116010</v>
      </c>
      <c r="B324" t="s">
        <v>3904</v>
      </c>
      <c r="C324" t="s">
        <v>3904</v>
      </c>
      <c r="D324" s="43" t="s">
        <v>3739</v>
      </c>
      <c r="E324" s="43" t="s">
        <v>3484</v>
      </c>
      <c r="F324" s="43" t="s">
        <v>4277</v>
      </c>
    </row>
    <row r="325" spans="1:6" x14ac:dyDescent="0.25">
      <c r="A325" s="43">
        <v>2202010</v>
      </c>
      <c r="B325" t="s">
        <v>3905</v>
      </c>
      <c r="C325" t="s">
        <v>3905</v>
      </c>
      <c r="D325" s="43" t="s">
        <v>3739</v>
      </c>
      <c r="E325" s="43" t="s">
        <v>3484</v>
      </c>
      <c r="F325" s="43" t="s">
        <v>4277</v>
      </c>
    </row>
    <row r="326" spans="1:6" x14ac:dyDescent="0.25">
      <c r="A326" s="43">
        <v>2203010</v>
      </c>
      <c r="B326" t="s">
        <v>3906</v>
      </c>
      <c r="C326" t="s">
        <v>3906</v>
      </c>
      <c r="D326" s="43" t="s">
        <v>3739</v>
      </c>
      <c r="E326" s="43" t="s">
        <v>3484</v>
      </c>
      <c r="F326" s="43" t="s">
        <v>4277</v>
      </c>
    </row>
    <row r="327" spans="1:6" x14ac:dyDescent="0.25">
      <c r="A327" s="43">
        <v>2204020</v>
      </c>
      <c r="B327" t="s">
        <v>3907</v>
      </c>
      <c r="C327" t="s">
        <v>3907</v>
      </c>
      <c r="D327" s="43" t="s">
        <v>3739</v>
      </c>
      <c r="E327" s="43" t="s">
        <v>3484</v>
      </c>
      <c r="F327" s="43" t="s">
        <v>4277</v>
      </c>
    </row>
    <row r="328" spans="1:6" x14ac:dyDescent="0.25">
      <c r="A328" s="43">
        <v>2204030</v>
      </c>
      <c r="B328" t="s">
        <v>3750</v>
      </c>
      <c r="C328" t="s">
        <v>3751</v>
      </c>
      <c r="D328" s="43" t="s">
        <v>3739</v>
      </c>
      <c r="E328" s="43" t="s">
        <v>3484</v>
      </c>
      <c r="F328" s="43" t="s">
        <v>4277</v>
      </c>
    </row>
    <row r="329" spans="1:6" x14ac:dyDescent="0.25">
      <c r="A329" s="43">
        <v>2204040</v>
      </c>
      <c r="B329" t="s">
        <v>3908</v>
      </c>
      <c r="C329" t="s">
        <v>3908</v>
      </c>
      <c r="D329" s="43" t="s">
        <v>3739</v>
      </c>
      <c r="E329" s="43" t="s">
        <v>3484</v>
      </c>
      <c r="F329" s="43" t="s">
        <v>4277</v>
      </c>
    </row>
    <row r="330" spans="1:6" x14ac:dyDescent="0.25">
      <c r="A330" s="43">
        <v>2204050</v>
      </c>
      <c r="B330" t="s">
        <v>3754</v>
      </c>
      <c r="C330" t="s">
        <v>3909</v>
      </c>
      <c r="D330" s="43" t="s">
        <v>3739</v>
      </c>
      <c r="E330" s="43" t="s">
        <v>3484</v>
      </c>
      <c r="F330" s="43" t="s">
        <v>4277</v>
      </c>
    </row>
    <row r="331" spans="1:6" x14ac:dyDescent="0.25">
      <c r="A331" s="43">
        <v>2204060</v>
      </c>
      <c r="B331" t="s">
        <v>1610</v>
      </c>
      <c r="C331" t="s">
        <v>3755</v>
      </c>
      <c r="D331" s="43" t="s">
        <v>3739</v>
      </c>
      <c r="E331" s="43" t="s">
        <v>3484</v>
      </c>
      <c r="F331" s="43" t="s">
        <v>4277</v>
      </c>
    </row>
    <row r="332" spans="1:6" x14ac:dyDescent="0.25">
      <c r="A332" s="43">
        <v>2205040</v>
      </c>
      <c r="B332" t="s">
        <v>3910</v>
      </c>
      <c r="C332" t="s">
        <v>3911</v>
      </c>
      <c r="D332" s="43" t="s">
        <v>3739</v>
      </c>
      <c r="E332" s="43" t="s">
        <v>3484</v>
      </c>
      <c r="F332" s="43" t="s">
        <v>4277</v>
      </c>
    </row>
    <row r="333" spans="1:6" x14ac:dyDescent="0.25">
      <c r="A333" s="43">
        <v>2205050</v>
      </c>
      <c r="B333" t="s">
        <v>3912</v>
      </c>
      <c r="C333" t="s">
        <v>3913</v>
      </c>
      <c r="D333" s="43" t="s">
        <v>3739</v>
      </c>
      <c r="E333" s="43" t="s">
        <v>3484</v>
      </c>
      <c r="F333" s="43" t="s">
        <v>4277</v>
      </c>
    </row>
    <row r="334" spans="1:6" x14ac:dyDescent="0.25">
      <c r="A334" s="43">
        <v>2205060</v>
      </c>
      <c r="B334" t="s">
        <v>3914</v>
      </c>
      <c r="C334" t="s">
        <v>3915</v>
      </c>
      <c r="D334" s="43" t="s">
        <v>3739</v>
      </c>
      <c r="E334" s="43" t="s">
        <v>3484</v>
      </c>
      <c r="F334" s="43" t="s">
        <v>4277</v>
      </c>
    </row>
    <row r="335" spans="1:6" x14ac:dyDescent="0.25">
      <c r="A335" s="43">
        <v>2205070</v>
      </c>
      <c r="B335" t="s">
        <v>3916</v>
      </c>
      <c r="D335" s="43" t="s">
        <v>3739</v>
      </c>
      <c r="E335" s="43" t="s">
        <v>3484</v>
      </c>
      <c r="F335" s="43" t="s">
        <v>4277</v>
      </c>
    </row>
    <row r="336" spans="1:6" x14ac:dyDescent="0.25">
      <c r="A336" s="43">
        <v>2205080</v>
      </c>
      <c r="B336" t="s">
        <v>3917</v>
      </c>
      <c r="C336" t="s">
        <v>3619</v>
      </c>
      <c r="D336" s="43" t="s">
        <v>3739</v>
      </c>
      <c r="E336" s="43" t="s">
        <v>3484</v>
      </c>
      <c r="F336" s="43" t="s">
        <v>4277</v>
      </c>
    </row>
    <row r="337" spans="1:6" x14ac:dyDescent="0.25">
      <c r="A337" s="43">
        <v>2206010</v>
      </c>
      <c r="B337" t="s">
        <v>3918</v>
      </c>
      <c r="C337" t="s">
        <v>3919</v>
      </c>
      <c r="D337" s="43" t="s">
        <v>3739</v>
      </c>
      <c r="E337" s="43" t="s">
        <v>3484</v>
      </c>
      <c r="F337" s="43" t="s">
        <v>4277</v>
      </c>
    </row>
    <row r="338" spans="1:6" x14ac:dyDescent="0.25">
      <c r="A338" s="43">
        <v>2207010</v>
      </c>
      <c r="B338" t="s">
        <v>3920</v>
      </c>
      <c r="C338" t="s">
        <v>3920</v>
      </c>
      <c r="D338" s="43" t="s">
        <v>3739</v>
      </c>
      <c r="E338" s="43" t="s">
        <v>3484</v>
      </c>
      <c r="F338" s="43" t="s">
        <v>4277</v>
      </c>
    </row>
    <row r="339" spans="1:6" x14ac:dyDescent="0.25">
      <c r="A339" s="43">
        <v>2208010</v>
      </c>
      <c r="B339" t="s">
        <v>3921</v>
      </c>
      <c r="C339" t="s">
        <v>3921</v>
      </c>
      <c r="D339" s="43" t="s">
        <v>3739</v>
      </c>
      <c r="E339" s="43" t="s">
        <v>3484</v>
      </c>
      <c r="F339" s="43" t="s">
        <v>4277</v>
      </c>
    </row>
    <row r="340" spans="1:6" x14ac:dyDescent="0.25">
      <c r="A340" s="43">
        <v>2208011</v>
      </c>
      <c r="B340" t="s">
        <v>3922</v>
      </c>
      <c r="C340" t="s">
        <v>3922</v>
      </c>
      <c r="D340" s="43" t="s">
        <v>3739</v>
      </c>
      <c r="E340" s="43" t="s">
        <v>3484</v>
      </c>
      <c r="F340" s="43" t="s">
        <v>4277</v>
      </c>
    </row>
    <row r="341" spans="1:6" x14ac:dyDescent="0.25">
      <c r="A341" s="43">
        <v>2209010</v>
      </c>
      <c r="B341" t="s">
        <v>3923</v>
      </c>
      <c r="C341" t="s">
        <v>3924</v>
      </c>
      <c r="D341" s="43" t="s">
        <v>3739</v>
      </c>
      <c r="E341" s="43" t="s">
        <v>3484</v>
      </c>
      <c r="F341" s="43" t="s">
        <v>4277</v>
      </c>
    </row>
    <row r="342" spans="1:6" x14ac:dyDescent="0.25">
      <c r="A342" s="43">
        <v>2301010</v>
      </c>
      <c r="B342" t="s">
        <v>3925</v>
      </c>
      <c r="C342" t="s">
        <v>3925</v>
      </c>
      <c r="D342" s="43" t="s">
        <v>3926</v>
      </c>
      <c r="E342" s="43" t="s">
        <v>3484</v>
      </c>
      <c r="F342" s="43" t="s">
        <v>4277</v>
      </c>
    </row>
    <row r="343" spans="1:6" x14ac:dyDescent="0.25">
      <c r="A343" s="43">
        <v>2301020</v>
      </c>
      <c r="B343" t="s">
        <v>3927</v>
      </c>
      <c r="C343" t="s">
        <v>3927</v>
      </c>
      <c r="D343" s="43" t="s">
        <v>3926</v>
      </c>
      <c r="E343" s="43" t="s">
        <v>3484</v>
      </c>
      <c r="F343" s="43" t="s">
        <v>4277</v>
      </c>
    </row>
    <row r="344" spans="1:6" x14ac:dyDescent="0.25">
      <c r="A344" s="43">
        <v>2301030</v>
      </c>
      <c r="B344" t="s">
        <v>3928</v>
      </c>
      <c r="C344" t="s">
        <v>3929</v>
      </c>
      <c r="D344" s="43" t="s">
        <v>3926</v>
      </c>
      <c r="E344" s="43" t="s">
        <v>3484</v>
      </c>
      <c r="F344" s="43" t="s">
        <v>4277</v>
      </c>
    </row>
    <row r="345" spans="1:6" x14ac:dyDescent="0.25">
      <c r="A345" s="43">
        <v>2302010</v>
      </c>
      <c r="B345" t="s">
        <v>3930</v>
      </c>
      <c r="C345" t="s">
        <v>3931</v>
      </c>
      <c r="D345" s="43" t="s">
        <v>3926</v>
      </c>
      <c r="E345" s="43" t="s">
        <v>3484</v>
      </c>
      <c r="F345" s="43" t="s">
        <v>4277</v>
      </c>
    </row>
    <row r="346" spans="1:6" x14ac:dyDescent="0.25">
      <c r="A346" s="43">
        <v>2302011</v>
      </c>
      <c r="B346" t="s">
        <v>3932</v>
      </c>
      <c r="C346" t="s">
        <v>3933</v>
      </c>
      <c r="D346" s="43" t="s">
        <v>3926</v>
      </c>
      <c r="E346" s="43" t="s">
        <v>3484</v>
      </c>
      <c r="F346" s="43" t="s">
        <v>4277</v>
      </c>
    </row>
    <row r="347" spans="1:6" x14ac:dyDescent="0.25">
      <c r="A347" s="43">
        <v>2304010</v>
      </c>
      <c r="B347" t="s">
        <v>3934</v>
      </c>
      <c r="C347" t="s">
        <v>3934</v>
      </c>
      <c r="D347" s="43" t="s">
        <v>3926</v>
      </c>
      <c r="E347" s="43" t="s">
        <v>3484</v>
      </c>
      <c r="F347" s="43" t="s">
        <v>4277</v>
      </c>
    </row>
    <row r="348" spans="1:6" x14ac:dyDescent="0.25">
      <c r="A348" s="43">
        <v>2304020</v>
      </c>
      <c r="B348" t="s">
        <v>3935</v>
      </c>
      <c r="C348" t="s">
        <v>3935</v>
      </c>
      <c r="D348" s="43" t="s">
        <v>3926</v>
      </c>
      <c r="E348" s="43" t="s">
        <v>3484</v>
      </c>
      <c r="F348" s="43" t="s">
        <v>4277</v>
      </c>
    </row>
    <row r="349" spans="1:6" x14ac:dyDescent="0.25">
      <c r="A349" s="43">
        <v>2306010</v>
      </c>
      <c r="B349" t="s">
        <v>3936</v>
      </c>
      <c r="C349" t="s">
        <v>3936</v>
      </c>
      <c r="D349" s="43" t="s">
        <v>3926</v>
      </c>
      <c r="E349" s="43" t="s">
        <v>3484</v>
      </c>
      <c r="F349" s="43" t="s">
        <v>4277</v>
      </c>
    </row>
    <row r="350" spans="1:6" x14ac:dyDescent="0.25">
      <c r="A350" s="43">
        <v>2307010</v>
      </c>
      <c r="B350" t="s">
        <v>3937</v>
      </c>
      <c r="C350" t="s">
        <v>3937</v>
      </c>
      <c r="D350" s="43" t="s">
        <v>3926</v>
      </c>
      <c r="E350" s="43" t="s">
        <v>3484</v>
      </c>
      <c r="F350" s="43" t="s">
        <v>4277</v>
      </c>
    </row>
    <row r="351" spans="1:6" x14ac:dyDescent="0.25">
      <c r="A351" s="43">
        <v>2307020</v>
      </c>
      <c r="B351" t="s">
        <v>3938</v>
      </c>
      <c r="C351" t="s">
        <v>3939</v>
      </c>
      <c r="D351" s="43" t="s">
        <v>3926</v>
      </c>
      <c r="E351" s="43" t="s">
        <v>3484</v>
      </c>
      <c r="F351" s="43" t="s">
        <v>4277</v>
      </c>
    </row>
    <row r="352" spans="1:6" x14ac:dyDescent="0.25">
      <c r="A352" s="43">
        <v>2310010</v>
      </c>
      <c r="B352" t="s">
        <v>3940</v>
      </c>
      <c r="C352" t="s">
        <v>3940</v>
      </c>
      <c r="D352" s="43" t="s">
        <v>3926</v>
      </c>
      <c r="E352" s="43" t="s">
        <v>3484</v>
      </c>
      <c r="F352" s="43" t="s">
        <v>4277</v>
      </c>
    </row>
    <row r="353" spans="1:6" x14ac:dyDescent="0.25">
      <c r="A353" s="43">
        <v>2901001</v>
      </c>
      <c r="B353" t="s">
        <v>3941</v>
      </c>
      <c r="C353" t="s">
        <v>3941</v>
      </c>
      <c r="D353" s="43" t="s">
        <v>3739</v>
      </c>
      <c r="E353" s="43" t="s">
        <v>3484</v>
      </c>
      <c r="F353" s="43" t="s">
        <v>4277</v>
      </c>
    </row>
    <row r="354" spans="1:6" x14ac:dyDescent="0.25">
      <c r="A354" s="43">
        <v>2901002</v>
      </c>
      <c r="B354" t="s">
        <v>3942</v>
      </c>
      <c r="C354" t="s">
        <v>3942</v>
      </c>
      <c r="D354" s="43" t="s">
        <v>3739</v>
      </c>
      <c r="E354" s="43" t="s">
        <v>3484</v>
      </c>
      <c r="F354" s="43" t="s">
        <v>4277</v>
      </c>
    </row>
    <row r="355" spans="1:6" x14ac:dyDescent="0.25">
      <c r="A355" s="43">
        <v>3101020</v>
      </c>
      <c r="B355" t="s">
        <v>308</v>
      </c>
      <c r="C355" t="s">
        <v>3943</v>
      </c>
      <c r="D355" s="43" t="s">
        <v>3944</v>
      </c>
      <c r="E355" s="43" t="s">
        <v>3484</v>
      </c>
      <c r="F355" s="43" t="s">
        <v>4277</v>
      </c>
    </row>
    <row r="356" spans="1:6" x14ac:dyDescent="0.25">
      <c r="A356" s="43">
        <v>3101030</v>
      </c>
      <c r="B356" t="s">
        <v>1611</v>
      </c>
      <c r="C356" t="s">
        <v>3945</v>
      </c>
      <c r="D356" s="43" t="s">
        <v>3944</v>
      </c>
      <c r="E356" s="43" t="s">
        <v>3484</v>
      </c>
      <c r="F356" s="43" t="s">
        <v>4277</v>
      </c>
    </row>
    <row r="357" spans="1:6" x14ac:dyDescent="0.25">
      <c r="A357" s="43">
        <v>3101040</v>
      </c>
      <c r="B357" t="s">
        <v>1612</v>
      </c>
      <c r="C357" t="s">
        <v>3946</v>
      </c>
      <c r="D357" s="43" t="s">
        <v>3944</v>
      </c>
      <c r="E357" s="43" t="s">
        <v>3484</v>
      </c>
      <c r="F357" s="43" t="s">
        <v>4277</v>
      </c>
    </row>
    <row r="358" spans="1:6" x14ac:dyDescent="0.25">
      <c r="A358" s="43">
        <v>3101050</v>
      </c>
      <c r="B358" t="s">
        <v>3947</v>
      </c>
      <c r="C358" t="s">
        <v>3947</v>
      </c>
      <c r="D358" s="43" t="s">
        <v>3944</v>
      </c>
      <c r="E358" s="43" t="s">
        <v>3484</v>
      </c>
      <c r="F358" s="43" t="s">
        <v>4277</v>
      </c>
    </row>
    <row r="359" spans="1:6" x14ac:dyDescent="0.25">
      <c r="A359" s="43">
        <v>3101060</v>
      </c>
      <c r="B359" t="s">
        <v>3948</v>
      </c>
      <c r="C359" t="s">
        <v>3949</v>
      </c>
      <c r="D359" s="43" t="s">
        <v>3944</v>
      </c>
      <c r="E359" s="43" t="s">
        <v>3484</v>
      </c>
      <c r="F359" s="43" t="s">
        <v>4277</v>
      </c>
    </row>
    <row r="360" spans="1:6" x14ac:dyDescent="0.25">
      <c r="A360" s="43">
        <v>3101070</v>
      </c>
      <c r="B360" t="s">
        <v>309</v>
      </c>
      <c r="C360" t="s">
        <v>309</v>
      </c>
      <c r="D360" s="43" t="s">
        <v>3944</v>
      </c>
      <c r="E360" s="43" t="s">
        <v>3484</v>
      </c>
      <c r="F360" s="43" t="s">
        <v>4277</v>
      </c>
    </row>
    <row r="361" spans="1:6" x14ac:dyDescent="0.25">
      <c r="A361" s="43">
        <v>3101080</v>
      </c>
      <c r="B361" t="s">
        <v>3950</v>
      </c>
      <c r="C361" t="s">
        <v>3950</v>
      </c>
      <c r="D361" s="43" t="s">
        <v>3944</v>
      </c>
      <c r="E361" s="43" t="s">
        <v>3484</v>
      </c>
      <c r="F361" s="43" t="s">
        <v>4277</v>
      </c>
    </row>
    <row r="362" spans="1:6" x14ac:dyDescent="0.25">
      <c r="A362" s="43">
        <v>3101090</v>
      </c>
      <c r="B362" t="s">
        <v>3951</v>
      </c>
      <c r="C362" t="s">
        <v>3952</v>
      </c>
      <c r="D362" s="43" t="s">
        <v>3944</v>
      </c>
      <c r="E362" s="43" t="s">
        <v>3484</v>
      </c>
      <c r="F362" s="43" t="s">
        <v>4277</v>
      </c>
    </row>
    <row r="363" spans="1:6" x14ac:dyDescent="0.25">
      <c r="A363" s="43">
        <v>3101100</v>
      </c>
      <c r="B363" t="s">
        <v>3953</v>
      </c>
      <c r="C363" t="s">
        <v>3953</v>
      </c>
      <c r="D363" s="43" t="s">
        <v>3944</v>
      </c>
      <c r="E363" s="43" t="s">
        <v>3484</v>
      </c>
      <c r="F363" s="43" t="s">
        <v>4277</v>
      </c>
    </row>
    <row r="364" spans="1:6" x14ac:dyDescent="0.25">
      <c r="A364" s="43">
        <v>3101110</v>
      </c>
      <c r="B364" t="s">
        <v>164</v>
      </c>
      <c r="C364" t="s">
        <v>164</v>
      </c>
      <c r="D364" s="43" t="s">
        <v>3944</v>
      </c>
      <c r="E364" s="43" t="s">
        <v>3484</v>
      </c>
      <c r="F364" s="103" t="s">
        <v>4277</v>
      </c>
    </row>
    <row r="365" spans="1:6" x14ac:dyDescent="0.25">
      <c r="A365" s="43">
        <v>3101120</v>
      </c>
      <c r="B365" t="s">
        <v>310</v>
      </c>
      <c r="C365" t="s">
        <v>310</v>
      </c>
      <c r="D365" s="43" t="s">
        <v>3944</v>
      </c>
      <c r="E365" s="43" t="s">
        <v>3484</v>
      </c>
      <c r="F365" s="43" t="s">
        <v>4277</v>
      </c>
    </row>
    <row r="366" spans="1:6" x14ac:dyDescent="0.25">
      <c r="A366" s="43">
        <v>3101140</v>
      </c>
      <c r="B366" t="s">
        <v>3954</v>
      </c>
      <c r="C366" t="s">
        <v>3955</v>
      </c>
      <c r="D366" s="43" t="s">
        <v>3956</v>
      </c>
      <c r="E366" s="43" t="s">
        <v>3484</v>
      </c>
      <c r="F366" s="43" t="s">
        <v>4277</v>
      </c>
    </row>
    <row r="367" spans="1:6" x14ac:dyDescent="0.25">
      <c r="A367" s="43">
        <v>3102010</v>
      </c>
      <c r="B367" t="s">
        <v>349</v>
      </c>
      <c r="D367" s="43" t="s">
        <v>3944</v>
      </c>
      <c r="E367" s="43" t="s">
        <v>3484</v>
      </c>
      <c r="F367" s="43" t="s">
        <v>4277</v>
      </c>
    </row>
    <row r="368" spans="1:6" x14ac:dyDescent="0.25">
      <c r="A368" s="43">
        <v>3102020</v>
      </c>
      <c r="B368" t="s">
        <v>339</v>
      </c>
      <c r="D368" s="43" t="s">
        <v>3944</v>
      </c>
      <c r="E368" s="43" t="s">
        <v>3484</v>
      </c>
      <c r="F368" s="43" t="s">
        <v>4277</v>
      </c>
    </row>
    <row r="369" spans="1:6" x14ac:dyDescent="0.25">
      <c r="A369" s="43">
        <v>3102050</v>
      </c>
      <c r="B369" t="s">
        <v>3957</v>
      </c>
      <c r="C369" t="s">
        <v>3958</v>
      </c>
      <c r="D369" s="43" t="s">
        <v>3944</v>
      </c>
      <c r="E369" s="43" t="s">
        <v>3484</v>
      </c>
      <c r="F369" s="43" t="s">
        <v>4277</v>
      </c>
    </row>
    <row r="370" spans="1:6" x14ac:dyDescent="0.25">
      <c r="A370" s="43">
        <v>3102070</v>
      </c>
      <c r="B370" t="s">
        <v>165</v>
      </c>
      <c r="C370" t="s">
        <v>3959</v>
      </c>
      <c r="D370" s="43" t="s">
        <v>3944</v>
      </c>
      <c r="E370" s="43" t="s">
        <v>3484</v>
      </c>
      <c r="F370" s="43" t="s">
        <v>4277</v>
      </c>
    </row>
    <row r="371" spans="1:6" x14ac:dyDescent="0.25">
      <c r="A371" s="43">
        <v>3103010</v>
      </c>
      <c r="B371" t="s">
        <v>3960</v>
      </c>
      <c r="C371" t="s">
        <v>3961</v>
      </c>
      <c r="D371" s="43" t="s">
        <v>3944</v>
      </c>
      <c r="E371" s="43" t="s">
        <v>3484</v>
      </c>
      <c r="F371" s="43" t="s">
        <v>4277</v>
      </c>
    </row>
    <row r="372" spans="1:6" x14ac:dyDescent="0.25">
      <c r="A372" s="43">
        <v>3103020</v>
      </c>
      <c r="B372" t="s">
        <v>3962</v>
      </c>
      <c r="C372" t="s">
        <v>3963</v>
      </c>
      <c r="D372" s="43" t="s">
        <v>3944</v>
      </c>
      <c r="E372" s="43" t="s">
        <v>3484</v>
      </c>
      <c r="F372" s="43" t="s">
        <v>4277</v>
      </c>
    </row>
    <row r="373" spans="1:6" x14ac:dyDescent="0.25">
      <c r="A373" s="43">
        <v>3103030</v>
      </c>
      <c r="B373" t="s">
        <v>3964</v>
      </c>
      <c r="C373" t="s">
        <v>3965</v>
      </c>
      <c r="D373" s="43" t="s">
        <v>3944</v>
      </c>
      <c r="E373" s="43" t="s">
        <v>3484</v>
      </c>
      <c r="F373" s="43" t="s">
        <v>4277</v>
      </c>
    </row>
    <row r="374" spans="1:6" x14ac:dyDescent="0.25">
      <c r="A374" s="43">
        <v>3103040</v>
      </c>
      <c r="B374" t="s">
        <v>3966</v>
      </c>
      <c r="D374" s="43" t="s">
        <v>3944</v>
      </c>
      <c r="E374" s="43" t="s">
        <v>3484</v>
      </c>
      <c r="F374" s="43" t="s">
        <v>4277</v>
      </c>
    </row>
    <row r="375" spans="1:6" x14ac:dyDescent="0.25">
      <c r="A375" s="43">
        <v>3103050</v>
      </c>
      <c r="B375" t="s">
        <v>3967</v>
      </c>
      <c r="C375" t="s">
        <v>3968</v>
      </c>
      <c r="D375" s="43" t="s">
        <v>3944</v>
      </c>
      <c r="E375" s="43" t="s">
        <v>3484</v>
      </c>
      <c r="F375" s="43" t="s">
        <v>4277</v>
      </c>
    </row>
    <row r="376" spans="1:6" x14ac:dyDescent="0.25">
      <c r="A376" s="43">
        <v>3103060</v>
      </c>
      <c r="B376" t="s">
        <v>3969</v>
      </c>
      <c r="C376" t="s">
        <v>3970</v>
      </c>
      <c r="D376" s="43" t="s">
        <v>3944</v>
      </c>
      <c r="E376" s="43" t="s">
        <v>3484</v>
      </c>
      <c r="F376" s="43" t="s">
        <v>4277</v>
      </c>
    </row>
    <row r="377" spans="1:6" x14ac:dyDescent="0.25">
      <c r="A377" s="43">
        <v>3103070</v>
      </c>
      <c r="B377" t="s">
        <v>3971</v>
      </c>
      <c r="C377" t="s">
        <v>3972</v>
      </c>
      <c r="D377" s="43" t="s">
        <v>3944</v>
      </c>
      <c r="E377" s="43" t="s">
        <v>3484</v>
      </c>
      <c r="F377" s="43" t="s">
        <v>4277</v>
      </c>
    </row>
    <row r="378" spans="1:6" x14ac:dyDescent="0.25">
      <c r="A378" s="43">
        <v>3103080</v>
      </c>
      <c r="B378" t="s">
        <v>3973</v>
      </c>
      <c r="C378" t="s">
        <v>3974</v>
      </c>
      <c r="D378" s="43" t="s">
        <v>3944</v>
      </c>
      <c r="E378" s="43" t="s">
        <v>3484</v>
      </c>
      <c r="F378" s="43" t="s">
        <v>4277</v>
      </c>
    </row>
    <row r="379" spans="1:6" x14ac:dyDescent="0.25">
      <c r="A379" s="43">
        <v>3103090</v>
      </c>
      <c r="B379" t="s">
        <v>3975</v>
      </c>
      <c r="C379" t="s">
        <v>324</v>
      </c>
      <c r="D379" s="43" t="s">
        <v>3944</v>
      </c>
      <c r="E379" s="43" t="s">
        <v>3484</v>
      </c>
      <c r="F379" s="43" t="s">
        <v>4277</v>
      </c>
    </row>
    <row r="380" spans="1:6" x14ac:dyDescent="0.25">
      <c r="A380" s="43">
        <v>3104010</v>
      </c>
      <c r="B380" t="s">
        <v>3976</v>
      </c>
      <c r="C380" t="s">
        <v>3977</v>
      </c>
      <c r="D380" s="43" t="s">
        <v>3944</v>
      </c>
      <c r="E380" s="43" t="s">
        <v>3484</v>
      </c>
      <c r="F380" s="43" t="s">
        <v>4277</v>
      </c>
    </row>
    <row r="381" spans="1:6" x14ac:dyDescent="0.25">
      <c r="A381" s="43">
        <v>3104020</v>
      </c>
      <c r="B381" t="s">
        <v>3978</v>
      </c>
      <c r="C381" t="s">
        <v>3978</v>
      </c>
      <c r="D381" s="43" t="s">
        <v>3944</v>
      </c>
      <c r="E381" s="43" t="s">
        <v>3484</v>
      </c>
      <c r="F381" s="43" t="s">
        <v>4277</v>
      </c>
    </row>
    <row r="382" spans="1:6" x14ac:dyDescent="0.25">
      <c r="A382" s="43">
        <v>3201010</v>
      </c>
      <c r="B382" t="s">
        <v>3979</v>
      </c>
      <c r="C382" t="s">
        <v>3980</v>
      </c>
      <c r="D382" s="43" t="s">
        <v>3956</v>
      </c>
      <c r="E382" s="43" t="s">
        <v>3484</v>
      </c>
      <c r="F382" s="43" t="s">
        <v>4277</v>
      </c>
    </row>
    <row r="383" spans="1:6" x14ac:dyDescent="0.25">
      <c r="A383" s="43">
        <v>3201020</v>
      </c>
      <c r="B383" t="s">
        <v>1524</v>
      </c>
      <c r="C383" t="s">
        <v>3981</v>
      </c>
      <c r="D383" s="43" t="s">
        <v>3956</v>
      </c>
      <c r="E383" s="43" t="s">
        <v>3484</v>
      </c>
      <c r="F383" s="43" t="s">
        <v>4277</v>
      </c>
    </row>
    <row r="384" spans="1:6" x14ac:dyDescent="0.25">
      <c r="A384" s="43">
        <v>3201030</v>
      </c>
      <c r="B384" t="s">
        <v>3982</v>
      </c>
      <c r="C384" t="s">
        <v>3982</v>
      </c>
      <c r="D384" s="43" t="s">
        <v>3956</v>
      </c>
      <c r="E384" s="43" t="s">
        <v>3484</v>
      </c>
      <c r="F384" s="43" t="s">
        <v>4277</v>
      </c>
    </row>
    <row r="385" spans="1:6" x14ac:dyDescent="0.25">
      <c r="A385" s="43">
        <v>3201050</v>
      </c>
      <c r="B385" t="s">
        <v>1613</v>
      </c>
      <c r="C385" t="s">
        <v>1613</v>
      </c>
      <c r="D385" s="43" t="s">
        <v>3956</v>
      </c>
      <c r="E385" s="43" t="s">
        <v>3484</v>
      </c>
      <c r="F385" s="43" t="s">
        <v>4277</v>
      </c>
    </row>
    <row r="386" spans="1:6" x14ac:dyDescent="0.25">
      <c r="A386" s="43">
        <v>3201060</v>
      </c>
      <c r="B386" t="s">
        <v>3983</v>
      </c>
      <c r="C386" t="s">
        <v>3983</v>
      </c>
      <c r="D386" s="43" t="s">
        <v>3956</v>
      </c>
      <c r="E386" s="43" t="s">
        <v>3484</v>
      </c>
      <c r="F386" s="43" t="s">
        <v>4277</v>
      </c>
    </row>
    <row r="387" spans="1:6" x14ac:dyDescent="0.25">
      <c r="A387" s="43">
        <v>3201070</v>
      </c>
      <c r="B387" t="s">
        <v>3984</v>
      </c>
      <c r="C387" t="s">
        <v>3985</v>
      </c>
      <c r="D387" s="43" t="s">
        <v>3956</v>
      </c>
      <c r="E387" s="43" t="s">
        <v>3484</v>
      </c>
      <c r="F387" s="43" t="s">
        <v>4277</v>
      </c>
    </row>
    <row r="388" spans="1:6" x14ac:dyDescent="0.25">
      <c r="A388" s="43">
        <v>3201080</v>
      </c>
      <c r="B388" t="s">
        <v>3986</v>
      </c>
      <c r="C388" t="s">
        <v>3986</v>
      </c>
      <c r="D388" s="43" t="s">
        <v>3956</v>
      </c>
      <c r="E388" s="43" t="s">
        <v>3484</v>
      </c>
      <c r="F388" s="43" t="s">
        <v>4277</v>
      </c>
    </row>
    <row r="389" spans="1:6" x14ac:dyDescent="0.25">
      <c r="A389" s="43">
        <v>3202010</v>
      </c>
      <c r="B389" t="s">
        <v>3987</v>
      </c>
      <c r="C389" t="s">
        <v>3988</v>
      </c>
      <c r="D389" s="43" t="s">
        <v>3956</v>
      </c>
      <c r="E389" s="43" t="s">
        <v>3484</v>
      </c>
      <c r="F389" s="43" t="s">
        <v>4277</v>
      </c>
    </row>
    <row r="390" spans="1:6" x14ac:dyDescent="0.25">
      <c r="A390" s="43">
        <v>3202020</v>
      </c>
      <c r="B390" t="s">
        <v>3989</v>
      </c>
      <c r="C390" t="s">
        <v>3990</v>
      </c>
      <c r="D390" s="43" t="s">
        <v>3956</v>
      </c>
      <c r="E390" s="43" t="s">
        <v>3484</v>
      </c>
      <c r="F390" s="43" t="s">
        <v>4277</v>
      </c>
    </row>
    <row r="391" spans="1:6" x14ac:dyDescent="0.25">
      <c r="A391" s="43">
        <v>3203010</v>
      </c>
      <c r="B391" t="s">
        <v>166</v>
      </c>
      <c r="C391" t="s">
        <v>166</v>
      </c>
      <c r="D391" s="43" t="s">
        <v>3956</v>
      </c>
      <c r="E391" s="43" t="s">
        <v>3484</v>
      </c>
      <c r="F391" s="43" t="s">
        <v>4277</v>
      </c>
    </row>
    <row r="392" spans="1:6" x14ac:dyDescent="0.25">
      <c r="A392" s="43">
        <v>3203020</v>
      </c>
      <c r="B392" t="s">
        <v>151</v>
      </c>
      <c r="D392" s="43" t="s">
        <v>3956</v>
      </c>
      <c r="E392" s="43" t="s">
        <v>3484</v>
      </c>
      <c r="F392" s="43" t="s">
        <v>4277</v>
      </c>
    </row>
    <row r="393" spans="1:6" x14ac:dyDescent="0.25">
      <c r="A393" s="43">
        <v>3203030</v>
      </c>
      <c r="B393" t="s">
        <v>3991</v>
      </c>
      <c r="C393" t="s">
        <v>3991</v>
      </c>
      <c r="D393" s="43" t="s">
        <v>3956</v>
      </c>
      <c r="E393" s="43" t="s">
        <v>3484</v>
      </c>
      <c r="F393" s="43" t="s">
        <v>4277</v>
      </c>
    </row>
    <row r="394" spans="1:6" x14ac:dyDescent="0.25">
      <c r="A394" s="43">
        <v>3203040</v>
      </c>
      <c r="B394" t="s">
        <v>3954</v>
      </c>
      <c r="C394" t="s">
        <v>3954</v>
      </c>
      <c r="D394" s="43" t="s">
        <v>3956</v>
      </c>
      <c r="E394" s="43" t="s">
        <v>3530</v>
      </c>
      <c r="F394" s="43" t="s">
        <v>4277</v>
      </c>
    </row>
    <row r="395" spans="1:6" x14ac:dyDescent="0.25">
      <c r="A395" s="43">
        <v>3203060</v>
      </c>
      <c r="B395" t="s">
        <v>167</v>
      </c>
      <c r="C395" t="s">
        <v>167</v>
      </c>
      <c r="D395" s="43" t="s">
        <v>3956</v>
      </c>
      <c r="E395" s="43" t="s">
        <v>3484</v>
      </c>
      <c r="F395" s="43" t="s">
        <v>4277</v>
      </c>
    </row>
    <row r="396" spans="1:6" x14ac:dyDescent="0.25">
      <c r="A396" s="43">
        <v>3203070</v>
      </c>
      <c r="B396" t="s">
        <v>3992</v>
      </c>
      <c r="C396" t="s">
        <v>3993</v>
      </c>
      <c r="D396" s="43" t="s">
        <v>3956</v>
      </c>
      <c r="E396" s="43" t="s">
        <v>3484</v>
      </c>
      <c r="F396" s="43" t="s">
        <v>4277</v>
      </c>
    </row>
    <row r="397" spans="1:6" x14ac:dyDescent="0.25">
      <c r="A397" s="43">
        <v>4101001</v>
      </c>
      <c r="B397" t="s">
        <v>69</v>
      </c>
      <c r="C397" t="s">
        <v>3994</v>
      </c>
      <c r="D397" s="43" t="s">
        <v>3995</v>
      </c>
      <c r="E397" s="43" t="s">
        <v>3484</v>
      </c>
      <c r="F397" s="103" t="s">
        <v>3484</v>
      </c>
    </row>
    <row r="398" spans="1:6" x14ac:dyDescent="0.25">
      <c r="A398" s="43">
        <v>4101002</v>
      </c>
      <c r="B398" t="s">
        <v>1498</v>
      </c>
      <c r="C398" t="s">
        <v>3996</v>
      </c>
      <c r="D398" s="43" t="s">
        <v>3995</v>
      </c>
      <c r="E398" s="43" t="s">
        <v>3484</v>
      </c>
      <c r="F398" s="43" t="s">
        <v>4277</v>
      </c>
    </row>
    <row r="399" spans="1:6" x14ac:dyDescent="0.25">
      <c r="A399" s="43">
        <v>4101003</v>
      </c>
      <c r="B399" t="s">
        <v>1499</v>
      </c>
      <c r="C399" t="s">
        <v>3997</v>
      </c>
      <c r="D399" s="43" t="s">
        <v>3995</v>
      </c>
      <c r="E399" s="43" t="s">
        <v>3484</v>
      </c>
      <c r="F399" s="43" t="s">
        <v>4277</v>
      </c>
    </row>
    <row r="400" spans="1:6" x14ac:dyDescent="0.25">
      <c r="A400" s="43">
        <v>4102001</v>
      </c>
      <c r="B400" t="s">
        <v>152</v>
      </c>
      <c r="C400" t="s">
        <v>3998</v>
      </c>
      <c r="D400" s="43" t="s">
        <v>3995</v>
      </c>
      <c r="E400" s="43" t="s">
        <v>3484</v>
      </c>
      <c r="F400" s="103" t="s">
        <v>3484</v>
      </c>
    </row>
    <row r="401" spans="1:6" x14ac:dyDescent="0.25">
      <c r="A401" s="43">
        <v>4103001</v>
      </c>
      <c r="B401" t="s">
        <v>223</v>
      </c>
      <c r="C401" t="s">
        <v>3999</v>
      </c>
      <c r="D401" s="43" t="s">
        <v>3995</v>
      </c>
      <c r="E401" s="43" t="s">
        <v>3484</v>
      </c>
      <c r="F401" s="103" t="s">
        <v>3484</v>
      </c>
    </row>
    <row r="402" spans="1:6" x14ac:dyDescent="0.25">
      <c r="A402" s="43">
        <v>4103020</v>
      </c>
      <c r="B402" t="s">
        <v>224</v>
      </c>
      <c r="C402" t="s">
        <v>4000</v>
      </c>
      <c r="D402" s="43" t="s">
        <v>3995</v>
      </c>
      <c r="E402" s="43" t="s">
        <v>3484</v>
      </c>
      <c r="F402" s="43" t="s">
        <v>4277</v>
      </c>
    </row>
    <row r="403" spans="1:6" x14ac:dyDescent="0.25">
      <c r="A403" s="43">
        <v>4104001</v>
      </c>
      <c r="B403" t="s">
        <v>168</v>
      </c>
      <c r="C403" t="s">
        <v>168</v>
      </c>
      <c r="D403" s="43" t="s">
        <v>3995</v>
      </c>
      <c r="E403" s="43" t="s">
        <v>3484</v>
      </c>
      <c r="F403" s="43" t="s">
        <v>4277</v>
      </c>
    </row>
    <row r="404" spans="1:6" x14ac:dyDescent="0.25">
      <c r="A404" s="43">
        <v>4104002</v>
      </c>
      <c r="B404" t="s">
        <v>169</v>
      </c>
      <c r="C404" t="s">
        <v>4001</v>
      </c>
      <c r="D404" s="43" t="s">
        <v>3995</v>
      </c>
      <c r="E404" s="43" t="s">
        <v>3484</v>
      </c>
      <c r="F404" s="43" t="s">
        <v>4277</v>
      </c>
    </row>
    <row r="405" spans="1:6" x14ac:dyDescent="0.25">
      <c r="A405" s="43">
        <v>4104003</v>
      </c>
      <c r="B405" t="s">
        <v>170</v>
      </c>
      <c r="C405" t="s">
        <v>170</v>
      </c>
      <c r="D405" s="43" t="s">
        <v>3995</v>
      </c>
      <c r="E405" s="43" t="s">
        <v>3484</v>
      </c>
      <c r="F405" s="43" t="s">
        <v>4277</v>
      </c>
    </row>
    <row r="406" spans="1:6" x14ac:dyDescent="0.25">
      <c r="A406" s="43">
        <v>4104004</v>
      </c>
      <c r="B406" t="s">
        <v>171</v>
      </c>
      <c r="C406" t="s">
        <v>171</v>
      </c>
      <c r="D406" s="43" t="s">
        <v>3995</v>
      </c>
      <c r="E406" s="43" t="s">
        <v>3484</v>
      </c>
      <c r="F406" s="43" t="s">
        <v>4277</v>
      </c>
    </row>
    <row r="407" spans="1:6" x14ac:dyDescent="0.25">
      <c r="A407" s="43">
        <v>4104005</v>
      </c>
      <c r="B407" t="s">
        <v>172</v>
      </c>
      <c r="C407" t="s">
        <v>172</v>
      </c>
      <c r="D407" s="43" t="s">
        <v>3995</v>
      </c>
      <c r="E407" s="43" t="s">
        <v>3484</v>
      </c>
      <c r="F407" s="43" t="s">
        <v>4277</v>
      </c>
    </row>
    <row r="408" spans="1:6" x14ac:dyDescent="0.25">
      <c r="A408" s="43">
        <v>4104006</v>
      </c>
      <c r="B408" t="s">
        <v>173</v>
      </c>
      <c r="C408" t="s">
        <v>173</v>
      </c>
      <c r="D408" s="43" t="s">
        <v>3995</v>
      </c>
      <c r="E408" s="43" t="s">
        <v>3484</v>
      </c>
      <c r="F408" s="43" t="s">
        <v>4277</v>
      </c>
    </row>
    <row r="409" spans="1:6" x14ac:dyDescent="0.25">
      <c r="A409" s="43">
        <v>4104007</v>
      </c>
      <c r="B409" t="s">
        <v>174</v>
      </c>
      <c r="C409" t="s">
        <v>174</v>
      </c>
      <c r="D409" s="43" t="s">
        <v>3995</v>
      </c>
      <c r="E409" s="43" t="s">
        <v>3484</v>
      </c>
      <c r="F409" s="43" t="s">
        <v>4277</v>
      </c>
    </row>
    <row r="410" spans="1:6" x14ac:dyDescent="0.25">
      <c r="A410" s="43">
        <v>4104008</v>
      </c>
      <c r="B410" t="s">
        <v>96</v>
      </c>
      <c r="C410" t="s">
        <v>96</v>
      </c>
      <c r="D410" s="43" t="s">
        <v>3995</v>
      </c>
      <c r="E410" s="43" t="s">
        <v>3484</v>
      </c>
      <c r="F410" s="43" t="s">
        <v>4277</v>
      </c>
    </row>
    <row r="411" spans="1:6" x14ac:dyDescent="0.25">
      <c r="A411" s="43">
        <v>4104009</v>
      </c>
      <c r="B411" t="s">
        <v>97</v>
      </c>
      <c r="C411" t="s">
        <v>97</v>
      </c>
      <c r="D411" s="43" t="s">
        <v>3995</v>
      </c>
      <c r="E411" s="43" t="s">
        <v>3484</v>
      </c>
      <c r="F411" s="43" t="s">
        <v>4277</v>
      </c>
    </row>
    <row r="412" spans="1:6" x14ac:dyDescent="0.25">
      <c r="A412" s="43">
        <v>4104010</v>
      </c>
      <c r="B412" t="s">
        <v>4002</v>
      </c>
      <c r="C412" t="s">
        <v>4002</v>
      </c>
      <c r="D412" s="43" t="s">
        <v>3995</v>
      </c>
      <c r="E412" s="43" t="s">
        <v>3484</v>
      </c>
      <c r="F412" s="43" t="s">
        <v>4277</v>
      </c>
    </row>
    <row r="413" spans="1:6" x14ac:dyDescent="0.25">
      <c r="A413" s="43">
        <v>4104011</v>
      </c>
      <c r="B413" t="s">
        <v>175</v>
      </c>
      <c r="C413" t="s">
        <v>175</v>
      </c>
      <c r="D413" s="43" t="s">
        <v>3995</v>
      </c>
      <c r="E413" s="43" t="s">
        <v>3484</v>
      </c>
      <c r="F413" s="43" t="s">
        <v>4277</v>
      </c>
    </row>
    <row r="414" spans="1:6" x14ac:dyDescent="0.25">
      <c r="A414" s="43">
        <v>4104012</v>
      </c>
      <c r="B414" t="s">
        <v>98</v>
      </c>
      <c r="C414" t="s">
        <v>98</v>
      </c>
      <c r="D414" s="43" t="s">
        <v>3995</v>
      </c>
      <c r="E414" s="43" t="s">
        <v>3484</v>
      </c>
      <c r="F414" s="43" t="s">
        <v>4277</v>
      </c>
    </row>
    <row r="415" spans="1:6" x14ac:dyDescent="0.25">
      <c r="A415" s="43">
        <v>4104013</v>
      </c>
      <c r="B415" t="s">
        <v>4003</v>
      </c>
      <c r="C415" t="s">
        <v>4003</v>
      </c>
      <c r="D415" s="43" t="s">
        <v>3995</v>
      </c>
      <c r="E415" s="43" t="s">
        <v>3484</v>
      </c>
      <c r="F415" s="43" t="s">
        <v>4277</v>
      </c>
    </row>
    <row r="416" spans="1:6" x14ac:dyDescent="0.25">
      <c r="A416" s="43">
        <v>4104015</v>
      </c>
      <c r="B416" t="s">
        <v>4004</v>
      </c>
      <c r="C416" t="s">
        <v>4004</v>
      </c>
      <c r="D416" s="43" t="s">
        <v>3995</v>
      </c>
      <c r="E416" s="43" t="s">
        <v>3484</v>
      </c>
      <c r="F416" s="43" t="s">
        <v>4277</v>
      </c>
    </row>
    <row r="417" spans="1:6" x14ac:dyDescent="0.25">
      <c r="A417" s="43">
        <v>4104016</v>
      </c>
      <c r="B417" t="s">
        <v>340</v>
      </c>
      <c r="D417" s="43" t="s">
        <v>3995</v>
      </c>
      <c r="E417" s="43" t="s">
        <v>3484</v>
      </c>
      <c r="F417" s="43" t="s">
        <v>4277</v>
      </c>
    </row>
    <row r="418" spans="1:6" x14ac:dyDescent="0.25">
      <c r="A418" s="43">
        <v>4104018</v>
      </c>
      <c r="B418" t="s">
        <v>4005</v>
      </c>
      <c r="C418" t="s">
        <v>4006</v>
      </c>
      <c r="D418" s="43" t="s">
        <v>3995</v>
      </c>
      <c r="E418" s="43" t="s">
        <v>3484</v>
      </c>
      <c r="F418" s="43" t="s">
        <v>4277</v>
      </c>
    </row>
    <row r="419" spans="1:6" x14ac:dyDescent="0.25">
      <c r="A419" s="43">
        <v>4104019</v>
      </c>
      <c r="B419" t="s">
        <v>176</v>
      </c>
      <c r="C419" t="s">
        <v>4007</v>
      </c>
      <c r="D419" s="43" t="s">
        <v>3995</v>
      </c>
      <c r="E419" s="43" t="s">
        <v>3484</v>
      </c>
      <c r="F419" s="43" t="s">
        <v>4277</v>
      </c>
    </row>
    <row r="420" spans="1:6" x14ac:dyDescent="0.25">
      <c r="A420" s="43">
        <v>4104020</v>
      </c>
      <c r="B420" t="s">
        <v>4008</v>
      </c>
      <c r="C420" t="s">
        <v>4009</v>
      </c>
      <c r="D420" s="43" t="s">
        <v>3995</v>
      </c>
      <c r="E420" s="43" t="s">
        <v>3484</v>
      </c>
      <c r="F420" s="43" t="s">
        <v>4277</v>
      </c>
    </row>
    <row r="421" spans="1:6" x14ac:dyDescent="0.25">
      <c r="A421" s="43">
        <v>4104021</v>
      </c>
      <c r="B421" t="s">
        <v>1576</v>
      </c>
      <c r="C421" t="s">
        <v>4010</v>
      </c>
      <c r="D421" s="43" t="s">
        <v>3995</v>
      </c>
      <c r="E421" s="43" t="s">
        <v>3484</v>
      </c>
      <c r="F421" s="43" t="s">
        <v>4277</v>
      </c>
    </row>
    <row r="422" spans="1:6" x14ac:dyDescent="0.25">
      <c r="A422" s="43">
        <v>4104022</v>
      </c>
      <c r="B422" t="s">
        <v>264</v>
      </c>
      <c r="C422" t="s">
        <v>4011</v>
      </c>
      <c r="D422" s="43" t="s">
        <v>3995</v>
      </c>
      <c r="E422" s="43" t="s">
        <v>3484</v>
      </c>
      <c r="F422" s="43" t="s">
        <v>4277</v>
      </c>
    </row>
    <row r="423" spans="1:6" x14ac:dyDescent="0.25">
      <c r="A423" s="43">
        <v>4104023</v>
      </c>
      <c r="B423" t="s">
        <v>4012</v>
      </c>
      <c r="C423" t="s">
        <v>4013</v>
      </c>
      <c r="D423" s="43" t="s">
        <v>3995</v>
      </c>
      <c r="E423" s="43" t="s">
        <v>3484</v>
      </c>
      <c r="F423" s="43" t="s">
        <v>4277</v>
      </c>
    </row>
    <row r="424" spans="1:6" x14ac:dyDescent="0.25">
      <c r="A424" s="43">
        <v>4104024</v>
      </c>
      <c r="B424" t="s">
        <v>4014</v>
      </c>
      <c r="C424" t="s">
        <v>4013</v>
      </c>
      <c r="D424" s="43" t="s">
        <v>3995</v>
      </c>
      <c r="E424" s="43" t="s">
        <v>3484</v>
      </c>
      <c r="F424" s="43" t="s">
        <v>4277</v>
      </c>
    </row>
    <row r="425" spans="1:6" x14ac:dyDescent="0.25">
      <c r="A425" s="43">
        <v>4104025</v>
      </c>
      <c r="B425" t="s">
        <v>341</v>
      </c>
      <c r="C425" t="s">
        <v>4015</v>
      </c>
      <c r="D425" s="43" t="s">
        <v>3995</v>
      </c>
      <c r="E425" s="43" t="s">
        <v>3484</v>
      </c>
      <c r="F425" s="103" t="s">
        <v>4277</v>
      </c>
    </row>
    <row r="426" spans="1:6" x14ac:dyDescent="0.25">
      <c r="A426" s="43">
        <v>4104030</v>
      </c>
      <c r="B426" t="s">
        <v>177</v>
      </c>
      <c r="C426" t="s">
        <v>4016</v>
      </c>
      <c r="D426" s="43" t="s">
        <v>3995</v>
      </c>
      <c r="E426" s="43" t="s">
        <v>3484</v>
      </c>
      <c r="F426" s="103" t="s">
        <v>4277</v>
      </c>
    </row>
    <row r="427" spans="1:6" x14ac:dyDescent="0.25">
      <c r="A427" s="43">
        <v>4105001</v>
      </c>
      <c r="B427" t="s">
        <v>70</v>
      </c>
      <c r="C427" t="s">
        <v>4017</v>
      </c>
      <c r="D427" s="43" t="s">
        <v>3995</v>
      </c>
      <c r="E427" s="43" t="s">
        <v>3484</v>
      </c>
      <c r="F427" s="43" t="s">
        <v>3484</v>
      </c>
    </row>
    <row r="428" spans="1:6" x14ac:dyDescent="0.25">
      <c r="A428" s="43">
        <v>4105020</v>
      </c>
      <c r="B428" t="s">
        <v>343</v>
      </c>
      <c r="C428" t="s">
        <v>4018</v>
      </c>
      <c r="D428" s="43" t="s">
        <v>3995</v>
      </c>
      <c r="E428" s="43" t="s">
        <v>3484</v>
      </c>
      <c r="F428" s="43" t="s">
        <v>4277</v>
      </c>
    </row>
    <row r="429" spans="1:6" x14ac:dyDescent="0.25">
      <c r="A429" s="43">
        <v>4105022</v>
      </c>
      <c r="B429" t="s">
        <v>153</v>
      </c>
      <c r="C429" t="s">
        <v>4019</v>
      </c>
      <c r="D429" s="43" t="s">
        <v>3995</v>
      </c>
      <c r="E429" s="43" t="s">
        <v>3484</v>
      </c>
      <c r="F429" s="43" t="s">
        <v>4277</v>
      </c>
    </row>
    <row r="430" spans="1:6" x14ac:dyDescent="0.25">
      <c r="A430" s="43">
        <v>4105023</v>
      </c>
      <c r="B430" t="s">
        <v>344</v>
      </c>
      <c r="D430" s="43" t="s">
        <v>3995</v>
      </c>
      <c r="E430" s="43" t="s">
        <v>3484</v>
      </c>
      <c r="F430" s="43" t="s">
        <v>4277</v>
      </c>
    </row>
    <row r="431" spans="1:6" x14ac:dyDescent="0.25">
      <c r="A431" s="43">
        <v>4105024</v>
      </c>
      <c r="B431" t="s">
        <v>210</v>
      </c>
      <c r="C431" t="s">
        <v>4020</v>
      </c>
      <c r="E431" s="43" t="s">
        <v>3484</v>
      </c>
      <c r="F431" s="43" t="s">
        <v>4277</v>
      </c>
    </row>
    <row r="432" spans="1:6" x14ac:dyDescent="0.25">
      <c r="A432" s="43">
        <v>4105025</v>
      </c>
      <c r="B432" t="s">
        <v>1496</v>
      </c>
      <c r="C432" t="s">
        <v>4021</v>
      </c>
      <c r="D432" s="43" t="s">
        <v>3995</v>
      </c>
      <c r="E432" s="43" t="s">
        <v>3484</v>
      </c>
      <c r="F432" s="43" t="s">
        <v>4277</v>
      </c>
    </row>
    <row r="433" spans="1:6" x14ac:dyDescent="0.25">
      <c r="A433" s="43">
        <v>4106010</v>
      </c>
      <c r="B433" t="s">
        <v>4022</v>
      </c>
      <c r="C433" t="s">
        <v>4023</v>
      </c>
      <c r="D433" s="43" t="s">
        <v>3995</v>
      </c>
      <c r="E433" s="43" t="s">
        <v>3530</v>
      </c>
      <c r="F433" s="43" t="s">
        <v>4277</v>
      </c>
    </row>
    <row r="434" spans="1:6" x14ac:dyDescent="0.25">
      <c r="A434" s="43">
        <v>4106040</v>
      </c>
      <c r="B434" t="s">
        <v>4024</v>
      </c>
      <c r="C434" t="s">
        <v>4024</v>
      </c>
      <c r="D434" s="43" t="s">
        <v>3995</v>
      </c>
      <c r="E434" s="43" t="s">
        <v>3530</v>
      </c>
      <c r="F434" s="43" t="s">
        <v>4277</v>
      </c>
    </row>
    <row r="435" spans="1:6" x14ac:dyDescent="0.25">
      <c r="A435" s="43">
        <v>4106050</v>
      </c>
      <c r="B435" t="s">
        <v>4025</v>
      </c>
      <c r="C435" t="s">
        <v>4026</v>
      </c>
      <c r="D435" s="43" t="s">
        <v>3995</v>
      </c>
      <c r="E435" s="43" t="s">
        <v>3530</v>
      </c>
      <c r="F435" s="43" t="s">
        <v>4277</v>
      </c>
    </row>
    <row r="436" spans="1:6" x14ac:dyDescent="0.25">
      <c r="A436" s="43">
        <v>4106070</v>
      </c>
      <c r="B436" t="s">
        <v>4027</v>
      </c>
      <c r="C436" t="s">
        <v>4027</v>
      </c>
      <c r="D436" s="43" t="s">
        <v>3995</v>
      </c>
      <c r="E436" s="43" t="s">
        <v>3530</v>
      </c>
      <c r="F436" s="43" t="s">
        <v>4277</v>
      </c>
    </row>
    <row r="437" spans="1:6" x14ac:dyDescent="0.25">
      <c r="A437" s="43">
        <v>4106080</v>
      </c>
      <c r="B437" t="s">
        <v>4028</v>
      </c>
      <c r="C437" t="s">
        <v>4028</v>
      </c>
      <c r="D437" s="43" t="s">
        <v>3995</v>
      </c>
      <c r="E437" s="43" t="s">
        <v>3484</v>
      </c>
      <c r="F437" s="43" t="s">
        <v>4277</v>
      </c>
    </row>
    <row r="438" spans="1:6" x14ac:dyDescent="0.25">
      <c r="A438" s="43">
        <v>4106120</v>
      </c>
      <c r="B438" t="s">
        <v>178</v>
      </c>
      <c r="C438" t="s">
        <v>178</v>
      </c>
      <c r="D438" s="43" t="s">
        <v>3995</v>
      </c>
      <c r="E438" s="43" t="s">
        <v>3484</v>
      </c>
      <c r="F438" s="43" t="s">
        <v>4277</v>
      </c>
    </row>
    <row r="439" spans="1:6" x14ac:dyDescent="0.25">
      <c r="A439" s="43">
        <v>4107000</v>
      </c>
      <c r="B439" t="s">
        <v>311</v>
      </c>
      <c r="C439" t="s">
        <v>4029</v>
      </c>
      <c r="D439" s="43" t="s">
        <v>3995</v>
      </c>
      <c r="E439" s="43" t="s">
        <v>3484</v>
      </c>
      <c r="F439" s="43" t="s">
        <v>4277</v>
      </c>
    </row>
    <row r="440" spans="1:6" x14ac:dyDescent="0.25">
      <c r="A440" s="43">
        <v>4107001</v>
      </c>
      <c r="B440" t="s">
        <v>1614</v>
      </c>
      <c r="C440" t="s">
        <v>4029</v>
      </c>
      <c r="D440" s="43" t="s">
        <v>3995</v>
      </c>
      <c r="E440" s="43" t="s">
        <v>3484</v>
      </c>
      <c r="F440" s="43" t="s">
        <v>4277</v>
      </c>
    </row>
    <row r="441" spans="1:6" x14ac:dyDescent="0.25">
      <c r="A441" s="43">
        <v>4107002</v>
      </c>
      <c r="B441" t="s">
        <v>1615</v>
      </c>
      <c r="C441" t="s">
        <v>4029</v>
      </c>
      <c r="D441" s="43" t="s">
        <v>3995</v>
      </c>
      <c r="E441" s="43" t="s">
        <v>3484</v>
      </c>
      <c r="F441" s="43" t="s">
        <v>4277</v>
      </c>
    </row>
    <row r="442" spans="1:6" x14ac:dyDescent="0.25">
      <c r="A442" s="43">
        <v>4107003</v>
      </c>
      <c r="B442" t="s">
        <v>4026</v>
      </c>
      <c r="C442" t="s">
        <v>4029</v>
      </c>
      <c r="D442" s="43" t="s">
        <v>3995</v>
      </c>
      <c r="E442" s="43" t="s">
        <v>3484</v>
      </c>
      <c r="F442" s="43" t="s">
        <v>4277</v>
      </c>
    </row>
    <row r="443" spans="1:6" x14ac:dyDescent="0.25">
      <c r="A443" s="43">
        <v>4107004</v>
      </c>
      <c r="B443" t="s">
        <v>4030</v>
      </c>
      <c r="C443" t="s">
        <v>4029</v>
      </c>
      <c r="D443" s="43" t="s">
        <v>3995</v>
      </c>
      <c r="E443" s="43" t="s">
        <v>3484</v>
      </c>
      <c r="F443" s="43" t="s">
        <v>4277</v>
      </c>
    </row>
    <row r="444" spans="1:6" x14ac:dyDescent="0.25">
      <c r="A444" s="43">
        <v>4107005</v>
      </c>
      <c r="B444" t="s">
        <v>4031</v>
      </c>
      <c r="C444" t="s">
        <v>4029</v>
      </c>
      <c r="D444" s="43" t="s">
        <v>3995</v>
      </c>
      <c r="E444" s="43" t="s">
        <v>3484</v>
      </c>
      <c r="F444" s="43" t="s">
        <v>4277</v>
      </c>
    </row>
    <row r="445" spans="1:6" x14ac:dyDescent="0.25">
      <c r="A445" s="43">
        <v>4107010</v>
      </c>
      <c r="B445" t="s">
        <v>4032</v>
      </c>
      <c r="D445" s="43" t="s">
        <v>3995</v>
      </c>
      <c r="E445" s="43" t="s">
        <v>3484</v>
      </c>
      <c r="F445" s="43" t="s">
        <v>4277</v>
      </c>
    </row>
    <row r="446" spans="1:6" x14ac:dyDescent="0.25">
      <c r="A446" s="43">
        <v>4107020</v>
      </c>
      <c r="B446" t="s">
        <v>4033</v>
      </c>
      <c r="D446" s="43" t="s">
        <v>3995</v>
      </c>
      <c r="E446" s="43" t="s">
        <v>3484</v>
      </c>
      <c r="F446" s="43" t="s">
        <v>4277</v>
      </c>
    </row>
    <row r="447" spans="1:6" x14ac:dyDescent="0.25">
      <c r="A447" s="43">
        <v>4107030</v>
      </c>
      <c r="B447" t="s">
        <v>4034</v>
      </c>
      <c r="C447" t="s">
        <v>4035</v>
      </c>
      <c r="D447" s="43" t="s">
        <v>3995</v>
      </c>
      <c r="E447" s="43" t="s">
        <v>3484</v>
      </c>
      <c r="F447" s="43" t="s">
        <v>4277</v>
      </c>
    </row>
    <row r="448" spans="1:6" x14ac:dyDescent="0.25">
      <c r="A448" s="43">
        <v>4107040</v>
      </c>
      <c r="B448" t="s">
        <v>4036</v>
      </c>
      <c r="C448" t="s">
        <v>4037</v>
      </c>
      <c r="D448" s="43" t="s">
        <v>3995</v>
      </c>
      <c r="E448" s="43" t="s">
        <v>3484</v>
      </c>
      <c r="F448" s="43" t="s">
        <v>4277</v>
      </c>
    </row>
    <row r="449" spans="1:6" x14ac:dyDescent="0.25">
      <c r="A449" s="43">
        <v>4107050</v>
      </c>
      <c r="B449" t="s">
        <v>4038</v>
      </c>
      <c r="C449" t="s">
        <v>4039</v>
      </c>
      <c r="D449" s="43" t="s">
        <v>3995</v>
      </c>
      <c r="E449" s="43" t="s">
        <v>3484</v>
      </c>
      <c r="F449" s="43" t="s">
        <v>4277</v>
      </c>
    </row>
    <row r="450" spans="1:6" x14ac:dyDescent="0.25">
      <c r="A450" s="43">
        <v>4107060</v>
      </c>
      <c r="B450" t="s">
        <v>4040</v>
      </c>
      <c r="C450" t="s">
        <v>4041</v>
      </c>
      <c r="D450" s="43" t="s">
        <v>3995</v>
      </c>
      <c r="E450" s="43" t="s">
        <v>3484</v>
      </c>
      <c r="F450" s="43" t="s">
        <v>4277</v>
      </c>
    </row>
    <row r="451" spans="1:6" x14ac:dyDescent="0.25">
      <c r="A451" s="43">
        <v>4107070</v>
      </c>
      <c r="B451" t="s">
        <v>4042</v>
      </c>
      <c r="C451" t="s">
        <v>3972</v>
      </c>
      <c r="D451" s="43" t="s">
        <v>3995</v>
      </c>
      <c r="E451" s="43" t="s">
        <v>3484</v>
      </c>
      <c r="F451" s="43" t="s">
        <v>4277</v>
      </c>
    </row>
    <row r="452" spans="1:6" x14ac:dyDescent="0.25">
      <c r="A452" s="43">
        <v>4107080</v>
      </c>
      <c r="B452" t="s">
        <v>4043</v>
      </c>
      <c r="C452" t="s">
        <v>3974</v>
      </c>
      <c r="D452" s="43" t="s">
        <v>3995</v>
      </c>
      <c r="E452" s="43" t="s">
        <v>3484</v>
      </c>
      <c r="F452" s="43" t="s">
        <v>4277</v>
      </c>
    </row>
    <row r="453" spans="1:6" x14ac:dyDescent="0.25">
      <c r="A453" s="43">
        <v>4107090</v>
      </c>
      <c r="B453" t="s">
        <v>4044</v>
      </c>
      <c r="C453" t="s">
        <v>324</v>
      </c>
      <c r="D453" s="43" t="s">
        <v>3995</v>
      </c>
      <c r="E453" s="43" t="s">
        <v>3484</v>
      </c>
      <c r="F453" s="43" t="s">
        <v>4277</v>
      </c>
    </row>
    <row r="454" spans="1:6" x14ac:dyDescent="0.25">
      <c r="A454" s="43">
        <v>4108010</v>
      </c>
      <c r="B454" t="s">
        <v>179</v>
      </c>
      <c r="D454" s="43" t="s">
        <v>3995</v>
      </c>
      <c r="E454" s="43" t="s">
        <v>3484</v>
      </c>
      <c r="F454" s="43" t="s">
        <v>4277</v>
      </c>
    </row>
    <row r="455" spans="1:6" x14ac:dyDescent="0.25">
      <c r="A455" s="43">
        <v>4108020</v>
      </c>
      <c r="B455" t="s">
        <v>4045</v>
      </c>
      <c r="C455" t="s">
        <v>4046</v>
      </c>
      <c r="D455" s="43" t="s">
        <v>3995</v>
      </c>
      <c r="E455" s="43" t="s">
        <v>3484</v>
      </c>
      <c r="F455" s="43" t="s">
        <v>4277</v>
      </c>
    </row>
    <row r="456" spans="1:6" x14ac:dyDescent="0.25">
      <c r="A456" s="43">
        <v>4108030</v>
      </c>
      <c r="B456" t="s">
        <v>4047</v>
      </c>
      <c r="C456" t="s">
        <v>4047</v>
      </c>
      <c r="D456" s="43" t="s">
        <v>3995</v>
      </c>
      <c r="E456" s="43" t="s">
        <v>3484</v>
      </c>
      <c r="F456" s="43" t="s">
        <v>4277</v>
      </c>
    </row>
    <row r="457" spans="1:6" x14ac:dyDescent="0.25">
      <c r="A457" s="43">
        <v>4109010</v>
      </c>
      <c r="B457" t="s">
        <v>4048</v>
      </c>
      <c r="C457" t="s">
        <v>4049</v>
      </c>
      <c r="D457" s="43" t="s">
        <v>3995</v>
      </c>
      <c r="E457" s="43" t="s">
        <v>3484</v>
      </c>
      <c r="F457" s="43" t="s">
        <v>4277</v>
      </c>
    </row>
    <row r="458" spans="1:6" x14ac:dyDescent="0.25">
      <c r="A458" s="43">
        <v>4201001</v>
      </c>
      <c r="B458" t="s">
        <v>91</v>
      </c>
      <c r="C458" t="s">
        <v>91</v>
      </c>
      <c r="D458" s="43" t="s">
        <v>4050</v>
      </c>
      <c r="E458" s="43" t="s">
        <v>3484</v>
      </c>
      <c r="F458" s="43" t="s">
        <v>4277</v>
      </c>
    </row>
    <row r="459" spans="1:6" x14ac:dyDescent="0.25">
      <c r="A459" s="43">
        <v>4201002</v>
      </c>
      <c r="B459" t="s">
        <v>92</v>
      </c>
      <c r="C459" t="s">
        <v>92</v>
      </c>
      <c r="D459" s="43" t="s">
        <v>4050</v>
      </c>
      <c r="E459" s="43" t="s">
        <v>3484</v>
      </c>
      <c r="F459" s="43" t="s">
        <v>4277</v>
      </c>
    </row>
    <row r="460" spans="1:6" x14ac:dyDescent="0.25">
      <c r="A460" s="43">
        <v>4201003</v>
      </c>
      <c r="B460" t="s">
        <v>180</v>
      </c>
      <c r="C460" t="s">
        <v>180</v>
      </c>
      <c r="D460" s="43" t="s">
        <v>4050</v>
      </c>
      <c r="E460" s="43" t="s">
        <v>3484</v>
      </c>
      <c r="F460" s="43" t="s">
        <v>4277</v>
      </c>
    </row>
    <row r="461" spans="1:6" x14ac:dyDescent="0.25">
      <c r="A461" s="43">
        <v>4201004</v>
      </c>
      <c r="B461" t="s">
        <v>93</v>
      </c>
      <c r="C461" t="s">
        <v>4051</v>
      </c>
      <c r="D461" s="43" t="s">
        <v>4050</v>
      </c>
      <c r="E461" s="43" t="s">
        <v>3484</v>
      </c>
      <c r="F461" s="43" t="s">
        <v>4277</v>
      </c>
    </row>
    <row r="462" spans="1:6" x14ac:dyDescent="0.25">
      <c r="A462" s="43">
        <v>4201005</v>
      </c>
      <c r="B462" t="s">
        <v>94</v>
      </c>
      <c r="C462" t="s">
        <v>4052</v>
      </c>
      <c r="D462" s="43" t="s">
        <v>4050</v>
      </c>
      <c r="E462" s="43" t="s">
        <v>3484</v>
      </c>
      <c r="F462" s="43" t="s">
        <v>4277</v>
      </c>
    </row>
    <row r="463" spans="1:6" x14ac:dyDescent="0.25">
      <c r="A463" s="43">
        <v>4201006</v>
      </c>
      <c r="B463" t="s">
        <v>95</v>
      </c>
      <c r="C463" t="s">
        <v>95</v>
      </c>
      <c r="D463" s="43" t="s">
        <v>4050</v>
      </c>
      <c r="E463" s="43" t="s">
        <v>3484</v>
      </c>
      <c r="F463" s="43" t="s">
        <v>4277</v>
      </c>
    </row>
    <row r="464" spans="1:6" x14ac:dyDescent="0.25">
      <c r="A464" s="43">
        <v>4201007</v>
      </c>
      <c r="B464" t="s">
        <v>96</v>
      </c>
      <c r="C464" t="s">
        <v>96</v>
      </c>
      <c r="D464" s="43" t="s">
        <v>4050</v>
      </c>
      <c r="E464" s="43" t="s">
        <v>3484</v>
      </c>
      <c r="F464" s="43" t="s">
        <v>4277</v>
      </c>
    </row>
    <row r="465" spans="1:6" x14ac:dyDescent="0.25">
      <c r="A465" s="43">
        <v>4201008</v>
      </c>
      <c r="B465" t="s">
        <v>97</v>
      </c>
      <c r="C465" t="s">
        <v>97</v>
      </c>
      <c r="D465" s="43" t="s">
        <v>4050</v>
      </c>
      <c r="E465" s="43" t="s">
        <v>3484</v>
      </c>
      <c r="F465" s="43" t="s">
        <v>4277</v>
      </c>
    </row>
    <row r="466" spans="1:6" x14ac:dyDescent="0.25">
      <c r="A466" s="43">
        <v>4201009</v>
      </c>
      <c r="B466" t="s">
        <v>4053</v>
      </c>
      <c r="C466" t="s">
        <v>4054</v>
      </c>
      <c r="D466" s="43" t="s">
        <v>4050</v>
      </c>
      <c r="E466" s="43" t="s">
        <v>3484</v>
      </c>
      <c r="F466" s="43" t="s">
        <v>4277</v>
      </c>
    </row>
    <row r="467" spans="1:6" x14ac:dyDescent="0.25">
      <c r="A467" s="43">
        <v>4201010</v>
      </c>
      <c r="B467" t="s">
        <v>4055</v>
      </c>
      <c r="C467" t="s">
        <v>4055</v>
      </c>
      <c r="D467" s="43" t="s">
        <v>4050</v>
      </c>
      <c r="E467" s="43" t="s">
        <v>3484</v>
      </c>
      <c r="F467" s="103" t="s">
        <v>4277</v>
      </c>
    </row>
    <row r="468" spans="1:6" x14ac:dyDescent="0.25">
      <c r="A468" s="43">
        <v>4201011</v>
      </c>
      <c r="B468" t="s">
        <v>98</v>
      </c>
      <c r="C468" t="s">
        <v>98</v>
      </c>
      <c r="D468" s="43" t="s">
        <v>4050</v>
      </c>
      <c r="E468" s="43" t="s">
        <v>3484</v>
      </c>
      <c r="F468" s="103" t="s">
        <v>4277</v>
      </c>
    </row>
    <row r="469" spans="1:6" x14ac:dyDescent="0.25">
      <c r="A469" s="43">
        <v>4201012</v>
      </c>
      <c r="B469" t="s">
        <v>99</v>
      </c>
      <c r="C469" t="s">
        <v>4056</v>
      </c>
      <c r="D469" s="43" t="s">
        <v>4050</v>
      </c>
      <c r="E469" s="43" t="s">
        <v>3484</v>
      </c>
      <c r="F469" s="43" t="s">
        <v>3484</v>
      </c>
    </row>
    <row r="470" spans="1:6" x14ac:dyDescent="0.25">
      <c r="A470" s="43">
        <v>4201013</v>
      </c>
      <c r="B470" t="s">
        <v>76</v>
      </c>
      <c r="C470" t="s">
        <v>76</v>
      </c>
      <c r="D470" s="43" t="s">
        <v>4050</v>
      </c>
      <c r="E470" s="43" t="s">
        <v>3484</v>
      </c>
      <c r="F470" s="43" t="s">
        <v>3484</v>
      </c>
    </row>
    <row r="471" spans="1:6" x14ac:dyDescent="0.25">
      <c r="A471" s="43">
        <v>4201014</v>
      </c>
      <c r="B471" t="s">
        <v>100</v>
      </c>
      <c r="C471" t="s">
        <v>4057</v>
      </c>
      <c r="D471" s="43" t="s">
        <v>4050</v>
      </c>
      <c r="E471" s="43" t="s">
        <v>3484</v>
      </c>
      <c r="F471" s="43" t="s">
        <v>3484</v>
      </c>
    </row>
    <row r="472" spans="1:6" x14ac:dyDescent="0.25">
      <c r="A472" s="43">
        <v>4201015</v>
      </c>
      <c r="B472" t="s">
        <v>101</v>
      </c>
      <c r="C472" t="s">
        <v>101</v>
      </c>
      <c r="D472" s="43" t="s">
        <v>4050</v>
      </c>
      <c r="E472" s="43" t="s">
        <v>3484</v>
      </c>
      <c r="F472" s="43" t="s">
        <v>4277</v>
      </c>
    </row>
    <row r="473" spans="1:6" x14ac:dyDescent="0.25">
      <c r="A473" s="43">
        <v>4201016</v>
      </c>
      <c r="B473" t="s">
        <v>4058</v>
      </c>
      <c r="C473" t="s">
        <v>4058</v>
      </c>
      <c r="D473" s="43" t="s">
        <v>4050</v>
      </c>
      <c r="E473" s="43" t="s">
        <v>3484</v>
      </c>
      <c r="F473" s="43" t="s">
        <v>4277</v>
      </c>
    </row>
    <row r="474" spans="1:6" x14ac:dyDescent="0.25">
      <c r="A474" s="43">
        <v>4201017</v>
      </c>
      <c r="B474" t="s">
        <v>4059</v>
      </c>
      <c r="D474" s="43" t="s">
        <v>4050</v>
      </c>
      <c r="E474" s="43" t="s">
        <v>3530</v>
      </c>
      <c r="F474" s="43" t="s">
        <v>4277</v>
      </c>
    </row>
    <row r="475" spans="1:6" x14ac:dyDescent="0.25">
      <c r="A475" s="43">
        <v>4201018</v>
      </c>
      <c r="B475" t="s">
        <v>4060</v>
      </c>
      <c r="D475" s="43" t="s">
        <v>4050</v>
      </c>
      <c r="E475" s="43" t="s">
        <v>3530</v>
      </c>
      <c r="F475" s="43" t="s">
        <v>4277</v>
      </c>
    </row>
    <row r="476" spans="1:6" x14ac:dyDescent="0.25">
      <c r="A476" s="43">
        <v>4201019</v>
      </c>
      <c r="B476" t="s">
        <v>4061</v>
      </c>
      <c r="D476" s="43" t="s">
        <v>4050</v>
      </c>
      <c r="E476" s="43" t="s">
        <v>3530</v>
      </c>
      <c r="F476" s="43" t="s">
        <v>4277</v>
      </c>
    </row>
    <row r="477" spans="1:6" x14ac:dyDescent="0.25">
      <c r="A477" s="43">
        <v>4201020</v>
      </c>
      <c r="B477" t="s">
        <v>4062</v>
      </c>
      <c r="D477" s="43" t="s">
        <v>4050</v>
      </c>
      <c r="E477" s="43" t="s">
        <v>3484</v>
      </c>
      <c r="F477" s="43" t="s">
        <v>4277</v>
      </c>
    </row>
    <row r="478" spans="1:6" x14ac:dyDescent="0.25">
      <c r="A478" s="43">
        <v>4201021</v>
      </c>
      <c r="B478" t="s">
        <v>4063</v>
      </c>
      <c r="D478" s="43" t="s">
        <v>4050</v>
      </c>
      <c r="E478" s="43" t="s">
        <v>3484</v>
      </c>
      <c r="F478" s="43" t="s">
        <v>4277</v>
      </c>
    </row>
    <row r="479" spans="1:6" x14ac:dyDescent="0.25">
      <c r="A479" s="43">
        <v>4201022</v>
      </c>
      <c r="B479" t="s">
        <v>193</v>
      </c>
      <c r="C479" t="s">
        <v>4064</v>
      </c>
      <c r="D479" s="43" t="s">
        <v>4050</v>
      </c>
      <c r="E479" s="43" t="s">
        <v>3484</v>
      </c>
      <c r="F479" s="103" t="s">
        <v>4277</v>
      </c>
    </row>
    <row r="480" spans="1:6" x14ac:dyDescent="0.25">
      <c r="A480" s="43">
        <v>4201023</v>
      </c>
      <c r="B480" t="s">
        <v>264</v>
      </c>
      <c r="C480" t="s">
        <v>4011</v>
      </c>
      <c r="D480" s="43" t="s">
        <v>4050</v>
      </c>
      <c r="E480" s="43" t="s">
        <v>3484</v>
      </c>
      <c r="F480" s="43" t="s">
        <v>4277</v>
      </c>
    </row>
    <row r="481" spans="1:6" x14ac:dyDescent="0.25">
      <c r="A481" s="43">
        <v>4201024</v>
      </c>
      <c r="B481" t="s">
        <v>4065</v>
      </c>
      <c r="C481" t="s">
        <v>4006</v>
      </c>
      <c r="D481" s="43" t="s">
        <v>4050</v>
      </c>
      <c r="E481" s="43" t="s">
        <v>3484</v>
      </c>
      <c r="F481" s="43" t="s">
        <v>4277</v>
      </c>
    </row>
    <row r="482" spans="1:6" x14ac:dyDescent="0.25">
      <c r="A482" s="43">
        <v>4201030</v>
      </c>
      <c r="B482" t="s">
        <v>4066</v>
      </c>
      <c r="C482" t="s">
        <v>4067</v>
      </c>
      <c r="D482" s="43" t="s">
        <v>4050</v>
      </c>
      <c r="E482" s="43" t="s">
        <v>3484</v>
      </c>
      <c r="F482" s="103" t="s">
        <v>4277</v>
      </c>
    </row>
    <row r="483" spans="1:6" x14ac:dyDescent="0.25">
      <c r="A483" s="43">
        <v>4201031</v>
      </c>
      <c r="B483" t="s">
        <v>4068</v>
      </c>
      <c r="C483" t="s">
        <v>4069</v>
      </c>
      <c r="D483" s="43" t="s">
        <v>4050</v>
      </c>
      <c r="E483" s="43" t="s">
        <v>3484</v>
      </c>
      <c r="F483" s="103" t="s">
        <v>4277</v>
      </c>
    </row>
    <row r="484" spans="1:6" x14ac:dyDescent="0.25">
      <c r="A484" s="43">
        <v>4201032</v>
      </c>
      <c r="B484" t="s">
        <v>4070</v>
      </c>
      <c r="C484" t="s">
        <v>4070</v>
      </c>
      <c r="D484" s="43" t="s">
        <v>4050</v>
      </c>
      <c r="E484" s="43" t="s">
        <v>3484</v>
      </c>
      <c r="F484" s="103" t="s">
        <v>4277</v>
      </c>
    </row>
    <row r="485" spans="1:6" x14ac:dyDescent="0.25">
      <c r="A485" s="43">
        <v>4201034</v>
      </c>
      <c r="B485" t="s">
        <v>4071</v>
      </c>
      <c r="C485" t="s">
        <v>4072</v>
      </c>
      <c r="D485" s="43" t="s">
        <v>4050</v>
      </c>
      <c r="E485" s="43" t="s">
        <v>3484</v>
      </c>
      <c r="F485" s="103" t="s">
        <v>4277</v>
      </c>
    </row>
    <row r="486" spans="1:6" x14ac:dyDescent="0.25">
      <c r="A486" s="43">
        <v>4201035</v>
      </c>
      <c r="B486" t="s">
        <v>4073</v>
      </c>
      <c r="C486" t="s">
        <v>4073</v>
      </c>
      <c r="D486" s="43" t="s">
        <v>4050</v>
      </c>
      <c r="E486" s="43" t="s">
        <v>3484</v>
      </c>
      <c r="F486" s="103" t="s">
        <v>4277</v>
      </c>
    </row>
    <row r="487" spans="1:6" x14ac:dyDescent="0.25">
      <c r="A487" s="43">
        <v>4201036</v>
      </c>
      <c r="B487" t="s">
        <v>4074</v>
      </c>
      <c r="C487" t="s">
        <v>4075</v>
      </c>
      <c r="D487" s="43" t="s">
        <v>4050</v>
      </c>
      <c r="E487" s="43" t="s">
        <v>3484</v>
      </c>
      <c r="F487" s="103" t="s">
        <v>4277</v>
      </c>
    </row>
    <row r="488" spans="1:6" x14ac:dyDescent="0.25">
      <c r="A488" s="43">
        <v>4201037</v>
      </c>
      <c r="B488" t="s">
        <v>77</v>
      </c>
      <c r="C488" t="s">
        <v>4076</v>
      </c>
      <c r="D488" s="43" t="s">
        <v>4050</v>
      </c>
      <c r="E488" s="43" t="s">
        <v>3484</v>
      </c>
      <c r="F488" s="103" t="s">
        <v>4277</v>
      </c>
    </row>
    <row r="489" spans="1:6" x14ac:dyDescent="0.25">
      <c r="A489" s="43">
        <v>4201038</v>
      </c>
      <c r="B489" t="s">
        <v>102</v>
      </c>
      <c r="C489" t="s">
        <v>102</v>
      </c>
      <c r="D489" s="43" t="s">
        <v>4050</v>
      </c>
      <c r="E489" s="43" t="s">
        <v>3484</v>
      </c>
      <c r="F489" s="43" t="s">
        <v>3484</v>
      </c>
    </row>
    <row r="490" spans="1:6" x14ac:dyDescent="0.25">
      <c r="A490" s="43">
        <v>4201039</v>
      </c>
      <c r="B490" t="s">
        <v>103</v>
      </c>
      <c r="C490" t="s">
        <v>103</v>
      </c>
      <c r="D490" s="43" t="s">
        <v>4050</v>
      </c>
      <c r="E490" s="43" t="s">
        <v>3484</v>
      </c>
      <c r="F490" s="43" t="s">
        <v>3484</v>
      </c>
    </row>
    <row r="491" spans="1:6" x14ac:dyDescent="0.25">
      <c r="A491" s="43">
        <v>4201040</v>
      </c>
      <c r="B491" t="s">
        <v>4077</v>
      </c>
      <c r="D491" s="43" t="s">
        <v>4050</v>
      </c>
      <c r="E491" s="43" t="s">
        <v>3484</v>
      </c>
      <c r="F491" s="103" t="s">
        <v>4277</v>
      </c>
    </row>
    <row r="492" spans="1:6" x14ac:dyDescent="0.25">
      <c r="A492" s="43">
        <v>4201041</v>
      </c>
      <c r="B492" t="s">
        <v>104</v>
      </c>
      <c r="C492" t="s">
        <v>104</v>
      </c>
      <c r="D492" s="43" t="s">
        <v>4050</v>
      </c>
      <c r="E492" s="43" t="s">
        <v>3484</v>
      </c>
      <c r="F492" s="43" t="s">
        <v>3484</v>
      </c>
    </row>
    <row r="493" spans="1:6" x14ac:dyDescent="0.25">
      <c r="A493" s="43">
        <v>4201042</v>
      </c>
      <c r="B493" t="s">
        <v>78</v>
      </c>
      <c r="C493" t="s">
        <v>4078</v>
      </c>
      <c r="D493" s="43" t="s">
        <v>4050</v>
      </c>
      <c r="E493" s="43" t="s">
        <v>3484</v>
      </c>
      <c r="F493" s="103" t="s">
        <v>4277</v>
      </c>
    </row>
    <row r="494" spans="1:6" x14ac:dyDescent="0.25">
      <c r="A494" s="43">
        <v>4202001</v>
      </c>
      <c r="B494" t="s">
        <v>105</v>
      </c>
      <c r="D494" s="43" t="s">
        <v>4050</v>
      </c>
      <c r="E494" s="43" t="s">
        <v>3484</v>
      </c>
      <c r="F494" s="103" t="s">
        <v>4277</v>
      </c>
    </row>
    <row r="495" spans="1:6" x14ac:dyDescent="0.25">
      <c r="A495" s="43">
        <v>4202003</v>
      </c>
      <c r="B495" t="s">
        <v>106</v>
      </c>
      <c r="C495" t="s">
        <v>106</v>
      </c>
      <c r="D495" s="43" t="s">
        <v>4050</v>
      </c>
      <c r="E495" s="43" t="s">
        <v>3484</v>
      </c>
      <c r="F495" s="43" t="s">
        <v>3484</v>
      </c>
    </row>
    <row r="496" spans="1:6" x14ac:dyDescent="0.25">
      <c r="A496" s="43">
        <v>4202004</v>
      </c>
      <c r="B496" t="s">
        <v>79</v>
      </c>
      <c r="C496" t="s">
        <v>4079</v>
      </c>
      <c r="D496" s="43" t="s">
        <v>4050</v>
      </c>
      <c r="E496" s="43" t="s">
        <v>3484</v>
      </c>
      <c r="F496" s="103" t="s">
        <v>3484</v>
      </c>
    </row>
    <row r="497" spans="1:6" x14ac:dyDescent="0.25">
      <c r="A497" s="43">
        <v>4202006</v>
      </c>
      <c r="B497" t="s">
        <v>86</v>
      </c>
      <c r="D497" s="43" t="s">
        <v>4050</v>
      </c>
      <c r="E497" s="43" t="s">
        <v>3484</v>
      </c>
      <c r="F497" s="43" t="s">
        <v>3484</v>
      </c>
    </row>
    <row r="498" spans="1:6" x14ac:dyDescent="0.25">
      <c r="A498" s="43">
        <v>4202007</v>
      </c>
      <c r="B498" t="s">
        <v>4080</v>
      </c>
      <c r="C498" t="s">
        <v>4080</v>
      </c>
      <c r="D498" s="43" t="s">
        <v>4050</v>
      </c>
      <c r="E498" s="43" t="s">
        <v>3484</v>
      </c>
      <c r="F498" s="43" t="s">
        <v>4277</v>
      </c>
    </row>
    <row r="499" spans="1:6" x14ac:dyDescent="0.25">
      <c r="A499" s="43">
        <v>4202008</v>
      </c>
      <c r="B499" t="s">
        <v>4081</v>
      </c>
      <c r="C499" t="s">
        <v>4081</v>
      </c>
      <c r="D499" s="43" t="s">
        <v>4050</v>
      </c>
      <c r="E499" s="43" t="s">
        <v>3484</v>
      </c>
      <c r="F499" s="43" t="s">
        <v>4277</v>
      </c>
    </row>
    <row r="500" spans="1:6" x14ac:dyDescent="0.25">
      <c r="A500" s="43">
        <v>4202009</v>
      </c>
      <c r="B500" t="s">
        <v>80</v>
      </c>
      <c r="C500" t="s">
        <v>80</v>
      </c>
      <c r="D500" s="43" t="s">
        <v>4050</v>
      </c>
      <c r="E500" s="43" t="s">
        <v>3484</v>
      </c>
      <c r="F500" s="43" t="s">
        <v>3484</v>
      </c>
    </row>
    <row r="501" spans="1:6" x14ac:dyDescent="0.25">
      <c r="A501" s="43">
        <v>4202010</v>
      </c>
      <c r="B501" t="s">
        <v>87</v>
      </c>
      <c r="C501" t="s">
        <v>4082</v>
      </c>
      <c r="D501" s="43" t="s">
        <v>4050</v>
      </c>
      <c r="E501" s="43" t="s">
        <v>3484</v>
      </c>
      <c r="F501" s="43" t="s">
        <v>3484</v>
      </c>
    </row>
    <row r="502" spans="1:6" x14ac:dyDescent="0.25">
      <c r="A502" s="43">
        <v>4202011</v>
      </c>
      <c r="B502" t="s">
        <v>210</v>
      </c>
      <c r="C502" t="s">
        <v>4083</v>
      </c>
      <c r="D502" s="43" t="s">
        <v>4050</v>
      </c>
      <c r="E502" s="43" t="s">
        <v>3484</v>
      </c>
      <c r="F502" s="43" t="s">
        <v>4277</v>
      </c>
    </row>
    <row r="503" spans="1:6" x14ac:dyDescent="0.25">
      <c r="A503" s="43">
        <v>4202013</v>
      </c>
      <c r="B503" t="s">
        <v>147</v>
      </c>
      <c r="C503" t="s">
        <v>147</v>
      </c>
      <c r="D503" s="43" t="s">
        <v>4050</v>
      </c>
      <c r="E503" s="43" t="s">
        <v>3484</v>
      </c>
      <c r="F503" s="43" t="s">
        <v>3484</v>
      </c>
    </row>
    <row r="504" spans="1:6" x14ac:dyDescent="0.25">
      <c r="A504" s="43">
        <v>4202015</v>
      </c>
      <c r="B504" t="s">
        <v>194</v>
      </c>
      <c r="C504" t="s">
        <v>194</v>
      </c>
      <c r="D504" s="43" t="s">
        <v>4050</v>
      </c>
      <c r="E504" s="43" t="s">
        <v>3484</v>
      </c>
      <c r="F504" s="103" t="s">
        <v>4277</v>
      </c>
    </row>
    <row r="505" spans="1:6" x14ac:dyDescent="0.25">
      <c r="A505" s="43">
        <v>4202017</v>
      </c>
      <c r="B505" t="s">
        <v>255</v>
      </c>
      <c r="C505" t="s">
        <v>255</v>
      </c>
      <c r="D505" s="43" t="s">
        <v>4050</v>
      </c>
      <c r="E505" s="43" t="s">
        <v>3484</v>
      </c>
      <c r="F505" s="103" t="s">
        <v>4277</v>
      </c>
    </row>
    <row r="506" spans="1:6" x14ac:dyDescent="0.25">
      <c r="A506" s="43">
        <v>4202018</v>
      </c>
      <c r="B506" t="s">
        <v>88</v>
      </c>
      <c r="C506" t="s">
        <v>4084</v>
      </c>
      <c r="D506" s="43" t="s">
        <v>4050</v>
      </c>
      <c r="E506" s="43" t="s">
        <v>3484</v>
      </c>
      <c r="F506" s="103" t="s">
        <v>4277</v>
      </c>
    </row>
    <row r="507" spans="1:6" x14ac:dyDescent="0.25">
      <c r="A507" s="43">
        <v>4202019</v>
      </c>
      <c r="B507" t="s">
        <v>81</v>
      </c>
      <c r="C507" t="s">
        <v>81</v>
      </c>
      <c r="D507" s="43" t="s">
        <v>4050</v>
      </c>
      <c r="E507" s="43" t="s">
        <v>3484</v>
      </c>
      <c r="F507" s="43" t="s">
        <v>3484</v>
      </c>
    </row>
    <row r="508" spans="1:6" x14ac:dyDescent="0.25">
      <c r="A508" s="43">
        <v>4202020</v>
      </c>
      <c r="B508" t="s">
        <v>107</v>
      </c>
      <c r="C508" t="s">
        <v>107</v>
      </c>
      <c r="D508" s="43" t="s">
        <v>4050</v>
      </c>
      <c r="E508" s="43" t="s">
        <v>3484</v>
      </c>
      <c r="F508" s="43" t="s">
        <v>4277</v>
      </c>
    </row>
    <row r="509" spans="1:6" x14ac:dyDescent="0.25">
      <c r="A509" s="43">
        <v>4202022</v>
      </c>
      <c r="B509" t="s">
        <v>4085</v>
      </c>
      <c r="C509" t="s">
        <v>4085</v>
      </c>
      <c r="D509" s="43" t="s">
        <v>4050</v>
      </c>
      <c r="E509" s="43" t="s">
        <v>3484</v>
      </c>
      <c r="F509" s="43" t="s">
        <v>4277</v>
      </c>
    </row>
    <row r="510" spans="1:6" x14ac:dyDescent="0.25">
      <c r="A510" s="43">
        <v>4202023</v>
      </c>
      <c r="B510" t="s">
        <v>82</v>
      </c>
      <c r="C510" t="s">
        <v>4086</v>
      </c>
      <c r="D510" s="43" t="s">
        <v>4050</v>
      </c>
      <c r="E510" s="43" t="s">
        <v>3484</v>
      </c>
      <c r="F510" s="43" t="s">
        <v>3484</v>
      </c>
    </row>
    <row r="511" spans="1:6" x14ac:dyDescent="0.25">
      <c r="A511" s="43">
        <v>4202024</v>
      </c>
      <c r="B511" t="s">
        <v>148</v>
      </c>
      <c r="C511" t="s">
        <v>4087</v>
      </c>
      <c r="D511" s="43" t="s">
        <v>4050</v>
      </c>
      <c r="E511" s="43" t="s">
        <v>3484</v>
      </c>
      <c r="F511" s="103" t="s">
        <v>3484</v>
      </c>
    </row>
    <row r="512" spans="1:6" x14ac:dyDescent="0.25">
      <c r="A512" s="43">
        <v>4202025</v>
      </c>
      <c r="B512" t="s">
        <v>4088</v>
      </c>
      <c r="C512" t="s">
        <v>4088</v>
      </c>
      <c r="D512" s="43" t="s">
        <v>4050</v>
      </c>
      <c r="E512" s="43" t="s">
        <v>3484</v>
      </c>
      <c r="F512" s="43" t="s">
        <v>4277</v>
      </c>
    </row>
    <row r="513" spans="1:6" x14ac:dyDescent="0.25">
      <c r="A513" s="43">
        <v>4202026</v>
      </c>
      <c r="B513" t="s">
        <v>4089</v>
      </c>
      <c r="C513" t="s">
        <v>4090</v>
      </c>
      <c r="D513" s="43" t="s">
        <v>4050</v>
      </c>
      <c r="E513" s="43" t="s">
        <v>3484</v>
      </c>
      <c r="F513" s="43" t="s">
        <v>4277</v>
      </c>
    </row>
    <row r="514" spans="1:6" x14ac:dyDescent="0.25">
      <c r="A514" s="43">
        <v>4202027</v>
      </c>
      <c r="B514" t="s">
        <v>109</v>
      </c>
      <c r="C514" t="s">
        <v>109</v>
      </c>
      <c r="D514" s="43" t="s">
        <v>4050</v>
      </c>
      <c r="E514" s="43" t="s">
        <v>3484</v>
      </c>
      <c r="F514" s="43" t="s">
        <v>4277</v>
      </c>
    </row>
    <row r="515" spans="1:6" x14ac:dyDescent="0.25">
      <c r="A515" s="43">
        <v>4202029</v>
      </c>
      <c r="B515" t="s">
        <v>83</v>
      </c>
      <c r="C515" t="s">
        <v>4091</v>
      </c>
      <c r="D515" s="43" t="s">
        <v>4050</v>
      </c>
      <c r="E515" s="43" t="s">
        <v>3484</v>
      </c>
      <c r="F515" s="43" t="s">
        <v>3484</v>
      </c>
    </row>
    <row r="516" spans="1:6" x14ac:dyDescent="0.25">
      <c r="A516" s="43">
        <v>4202030</v>
      </c>
      <c r="B516" t="s">
        <v>114</v>
      </c>
      <c r="D516" s="43" t="s">
        <v>4050</v>
      </c>
      <c r="E516" s="43" t="s">
        <v>3484</v>
      </c>
      <c r="F516" s="103" t="s">
        <v>4277</v>
      </c>
    </row>
    <row r="517" spans="1:6" x14ac:dyDescent="0.25">
      <c r="A517" s="43">
        <v>4202031</v>
      </c>
      <c r="B517" t="s">
        <v>149</v>
      </c>
      <c r="C517" t="s">
        <v>4092</v>
      </c>
      <c r="D517" s="43" t="s">
        <v>4050</v>
      </c>
      <c r="E517" s="43" t="s">
        <v>3484</v>
      </c>
      <c r="F517" s="103" t="s">
        <v>4277</v>
      </c>
    </row>
    <row r="518" spans="1:6" x14ac:dyDescent="0.25">
      <c r="A518" s="43">
        <v>4202032</v>
      </c>
      <c r="B518" t="s">
        <v>4093</v>
      </c>
      <c r="C518" t="s">
        <v>4094</v>
      </c>
      <c r="D518" s="43" t="s">
        <v>4050</v>
      </c>
      <c r="E518" s="43" t="s">
        <v>3530</v>
      </c>
      <c r="F518" s="43" t="s">
        <v>4277</v>
      </c>
    </row>
    <row r="519" spans="1:6" x14ac:dyDescent="0.25">
      <c r="A519" s="43">
        <v>4202033</v>
      </c>
      <c r="B519" t="s">
        <v>215</v>
      </c>
      <c r="C519" t="s">
        <v>4095</v>
      </c>
      <c r="D519" s="43" t="s">
        <v>4050</v>
      </c>
      <c r="E519" s="43" t="s">
        <v>3484</v>
      </c>
      <c r="F519" s="43" t="s">
        <v>4277</v>
      </c>
    </row>
    <row r="520" spans="1:6" x14ac:dyDescent="0.25">
      <c r="A520" s="43">
        <v>4202040</v>
      </c>
      <c r="B520" t="s">
        <v>154</v>
      </c>
      <c r="C520" t="s">
        <v>154</v>
      </c>
      <c r="D520" s="43" t="s">
        <v>4050</v>
      </c>
      <c r="E520" s="43" t="s">
        <v>3484</v>
      </c>
      <c r="F520" s="43" t="s">
        <v>4277</v>
      </c>
    </row>
    <row r="521" spans="1:6" x14ac:dyDescent="0.25">
      <c r="A521" s="43">
        <v>4202045</v>
      </c>
      <c r="B521" t="s">
        <v>4096</v>
      </c>
      <c r="C521" t="s">
        <v>4097</v>
      </c>
      <c r="D521" s="43" t="s">
        <v>4050</v>
      </c>
      <c r="E521" s="43" t="s">
        <v>3484</v>
      </c>
      <c r="F521" s="43" t="s">
        <v>4277</v>
      </c>
    </row>
    <row r="522" spans="1:6" x14ac:dyDescent="0.25">
      <c r="A522" s="43">
        <v>4202050</v>
      </c>
      <c r="B522" t="s">
        <v>4098</v>
      </c>
      <c r="C522" t="s">
        <v>4099</v>
      </c>
      <c r="D522" s="43" t="s">
        <v>4050</v>
      </c>
      <c r="E522" s="43" t="s">
        <v>3484</v>
      </c>
      <c r="F522" s="43" t="s">
        <v>4277</v>
      </c>
    </row>
    <row r="523" spans="1:6" x14ac:dyDescent="0.25">
      <c r="A523" s="43">
        <v>4203010</v>
      </c>
      <c r="B523" t="s">
        <v>4100</v>
      </c>
      <c r="D523" s="43" t="s">
        <v>4050</v>
      </c>
      <c r="E523" s="43" t="s">
        <v>3484</v>
      </c>
      <c r="F523" s="43" t="s">
        <v>4277</v>
      </c>
    </row>
    <row r="524" spans="1:6" x14ac:dyDescent="0.25">
      <c r="A524" s="43">
        <v>4203020</v>
      </c>
      <c r="B524" t="s">
        <v>295</v>
      </c>
      <c r="C524" t="s">
        <v>4101</v>
      </c>
      <c r="D524" s="43" t="s">
        <v>4050</v>
      </c>
      <c r="E524" s="43" t="s">
        <v>3484</v>
      </c>
      <c r="F524" s="43" t="s">
        <v>3484</v>
      </c>
    </row>
    <row r="525" spans="1:6" x14ac:dyDescent="0.25">
      <c r="A525" s="43">
        <v>4203030</v>
      </c>
      <c r="B525" t="s">
        <v>1638</v>
      </c>
      <c r="D525" s="43" t="s">
        <v>4050</v>
      </c>
      <c r="E525" s="43" t="s">
        <v>3484</v>
      </c>
      <c r="F525" s="43" t="s">
        <v>4277</v>
      </c>
    </row>
    <row r="526" spans="1:6" x14ac:dyDescent="0.25">
      <c r="A526" s="43">
        <v>4203040</v>
      </c>
      <c r="B526" t="s">
        <v>4102</v>
      </c>
      <c r="D526" s="43" t="s">
        <v>4050</v>
      </c>
      <c r="E526" s="43" t="s">
        <v>3484</v>
      </c>
      <c r="F526" s="43" t="s">
        <v>4277</v>
      </c>
    </row>
    <row r="527" spans="1:6" x14ac:dyDescent="0.25">
      <c r="A527" s="43">
        <v>4203050</v>
      </c>
      <c r="B527" t="s">
        <v>4103</v>
      </c>
      <c r="C527" t="s">
        <v>4104</v>
      </c>
      <c r="D527" s="43" t="s">
        <v>4050</v>
      </c>
      <c r="E527" s="43" t="s">
        <v>3484</v>
      </c>
      <c r="F527" s="103" t="s">
        <v>4277</v>
      </c>
    </row>
    <row r="528" spans="1:6" x14ac:dyDescent="0.25">
      <c r="A528" s="43">
        <v>4203060</v>
      </c>
      <c r="B528" t="s">
        <v>321</v>
      </c>
      <c r="C528" t="s">
        <v>4105</v>
      </c>
      <c r="D528" s="43" t="s">
        <v>4050</v>
      </c>
      <c r="E528" s="43" t="s">
        <v>3484</v>
      </c>
      <c r="F528" s="43" t="s">
        <v>3484</v>
      </c>
    </row>
    <row r="529" spans="1:6" x14ac:dyDescent="0.25">
      <c r="A529" s="43">
        <v>4203070</v>
      </c>
      <c r="B529" t="s">
        <v>4106</v>
      </c>
      <c r="C529" t="s">
        <v>4107</v>
      </c>
      <c r="D529" s="43" t="s">
        <v>4050</v>
      </c>
      <c r="E529" s="43" t="s">
        <v>3484</v>
      </c>
      <c r="F529" s="43" t="s">
        <v>4277</v>
      </c>
    </row>
    <row r="530" spans="1:6" x14ac:dyDescent="0.25">
      <c r="A530" s="43">
        <v>4203080</v>
      </c>
      <c r="B530" t="s">
        <v>4108</v>
      </c>
      <c r="C530" t="s">
        <v>4109</v>
      </c>
      <c r="D530" s="43" t="s">
        <v>4050</v>
      </c>
      <c r="E530" s="43" t="s">
        <v>3484</v>
      </c>
      <c r="F530" s="43" t="s">
        <v>4277</v>
      </c>
    </row>
    <row r="531" spans="1:6" x14ac:dyDescent="0.25">
      <c r="A531" s="43">
        <v>4203090</v>
      </c>
      <c r="B531" t="s">
        <v>192</v>
      </c>
      <c r="D531" s="43" t="s">
        <v>4050</v>
      </c>
      <c r="E531" s="43" t="s">
        <v>3484</v>
      </c>
      <c r="F531" s="43" t="s">
        <v>3484</v>
      </c>
    </row>
    <row r="532" spans="1:6" x14ac:dyDescent="0.25">
      <c r="A532" s="43">
        <v>4203091</v>
      </c>
      <c r="B532" t="s">
        <v>232</v>
      </c>
      <c r="C532" t="s">
        <v>4110</v>
      </c>
      <c r="D532" s="43" t="s">
        <v>4050</v>
      </c>
      <c r="E532" s="43" t="s">
        <v>3484</v>
      </c>
      <c r="F532" s="43" t="s">
        <v>4277</v>
      </c>
    </row>
    <row r="533" spans="1:6" x14ac:dyDescent="0.25">
      <c r="A533" s="43">
        <v>4203100</v>
      </c>
      <c r="B533" t="s">
        <v>1648</v>
      </c>
      <c r="C533" t="s">
        <v>2902</v>
      </c>
      <c r="D533" s="43" t="s">
        <v>4050</v>
      </c>
      <c r="E533" s="43" t="s">
        <v>3484</v>
      </c>
      <c r="F533" s="103" t="s">
        <v>4277</v>
      </c>
    </row>
    <row r="534" spans="1:6" x14ac:dyDescent="0.25">
      <c r="A534" s="43">
        <v>4203120</v>
      </c>
      <c r="B534" t="s">
        <v>108</v>
      </c>
      <c r="C534" t="s">
        <v>108</v>
      </c>
      <c r="D534" s="43" t="s">
        <v>4050</v>
      </c>
      <c r="E534" s="43" t="s">
        <v>3484</v>
      </c>
      <c r="F534" s="43" t="s">
        <v>3484</v>
      </c>
    </row>
    <row r="535" spans="1:6" x14ac:dyDescent="0.25">
      <c r="A535" s="43">
        <v>4203130</v>
      </c>
      <c r="B535" t="s">
        <v>4111</v>
      </c>
      <c r="C535" t="s">
        <v>255</v>
      </c>
      <c r="D535" s="43" t="s">
        <v>4050</v>
      </c>
      <c r="E535" s="43" t="s">
        <v>3484</v>
      </c>
      <c r="F535" s="43" t="s">
        <v>3484</v>
      </c>
    </row>
    <row r="536" spans="1:6" x14ac:dyDescent="0.25">
      <c r="A536" s="43">
        <v>4203140</v>
      </c>
      <c r="B536" t="s">
        <v>109</v>
      </c>
      <c r="C536" t="s">
        <v>109</v>
      </c>
      <c r="D536" s="43" t="s">
        <v>4050</v>
      </c>
      <c r="E536" s="43" t="s">
        <v>3484</v>
      </c>
      <c r="F536" s="43" t="s">
        <v>3484</v>
      </c>
    </row>
    <row r="537" spans="1:6" x14ac:dyDescent="0.25">
      <c r="A537" s="43">
        <v>4203150</v>
      </c>
      <c r="B537" t="s">
        <v>156</v>
      </c>
      <c r="C537" t="s">
        <v>4112</v>
      </c>
      <c r="D537" s="43" t="s">
        <v>4050</v>
      </c>
      <c r="E537" s="43" t="s">
        <v>3484</v>
      </c>
      <c r="F537" s="43" t="s">
        <v>3484</v>
      </c>
    </row>
    <row r="538" spans="1:6" x14ac:dyDescent="0.25">
      <c r="A538" s="43">
        <v>4203160</v>
      </c>
      <c r="B538" t="s">
        <v>1639</v>
      </c>
      <c r="D538" s="43" t="s">
        <v>4050</v>
      </c>
      <c r="E538" s="43" t="s">
        <v>3484</v>
      </c>
      <c r="F538" s="43" t="s">
        <v>3484</v>
      </c>
    </row>
    <row r="539" spans="1:6" x14ac:dyDescent="0.25">
      <c r="A539" s="43">
        <v>4203170</v>
      </c>
      <c r="B539" t="s">
        <v>327</v>
      </c>
      <c r="C539" t="s">
        <v>4113</v>
      </c>
      <c r="D539" s="43" t="s">
        <v>4050</v>
      </c>
      <c r="E539" s="43" t="s">
        <v>3484</v>
      </c>
      <c r="F539" s="103" t="s">
        <v>4277</v>
      </c>
    </row>
    <row r="540" spans="1:6" x14ac:dyDescent="0.25">
      <c r="A540" s="43">
        <v>4203180</v>
      </c>
      <c r="B540" t="s">
        <v>1640</v>
      </c>
      <c r="C540" t="s">
        <v>4114</v>
      </c>
      <c r="D540" s="43" t="s">
        <v>4050</v>
      </c>
      <c r="E540" s="43" t="s">
        <v>3484</v>
      </c>
      <c r="F540" s="43" t="s">
        <v>3484</v>
      </c>
    </row>
    <row r="541" spans="1:6" x14ac:dyDescent="0.25">
      <c r="A541" s="43">
        <v>4203190</v>
      </c>
      <c r="B541" t="s">
        <v>4115</v>
      </c>
      <c r="C541" t="s">
        <v>4116</v>
      </c>
      <c r="D541" s="43" t="s">
        <v>4050</v>
      </c>
      <c r="E541" s="43" t="s">
        <v>3484</v>
      </c>
      <c r="F541" s="43" t="s">
        <v>4277</v>
      </c>
    </row>
    <row r="542" spans="1:6" x14ac:dyDescent="0.25">
      <c r="A542" s="43">
        <v>4204010</v>
      </c>
      <c r="B542" t="s">
        <v>313</v>
      </c>
      <c r="D542" s="43" t="s">
        <v>4050</v>
      </c>
      <c r="E542" s="43" t="s">
        <v>3484</v>
      </c>
      <c r="F542" s="43" t="s">
        <v>3484</v>
      </c>
    </row>
    <row r="543" spans="1:6" x14ac:dyDescent="0.25">
      <c r="A543" s="43">
        <v>4204011</v>
      </c>
      <c r="B543" t="s">
        <v>181</v>
      </c>
      <c r="D543" s="43" t="s">
        <v>4050</v>
      </c>
      <c r="E543" s="43" t="s">
        <v>3484</v>
      </c>
      <c r="F543" s="43" t="s">
        <v>4277</v>
      </c>
    </row>
    <row r="544" spans="1:6" x14ac:dyDescent="0.25">
      <c r="A544" s="43">
        <v>4204012</v>
      </c>
      <c r="B544" t="s">
        <v>314</v>
      </c>
      <c r="D544" s="43" t="s">
        <v>4050</v>
      </c>
      <c r="E544" s="43" t="s">
        <v>3484</v>
      </c>
      <c r="F544" s="43" t="s">
        <v>4277</v>
      </c>
    </row>
    <row r="545" spans="1:6" x14ac:dyDescent="0.25">
      <c r="A545" s="43">
        <v>4204013</v>
      </c>
      <c r="B545" t="s">
        <v>315</v>
      </c>
      <c r="D545" s="43" t="s">
        <v>4050</v>
      </c>
      <c r="E545" s="43" t="s">
        <v>3484</v>
      </c>
      <c r="F545" s="43" t="s">
        <v>4277</v>
      </c>
    </row>
    <row r="546" spans="1:6" x14ac:dyDescent="0.25">
      <c r="A546" s="43">
        <v>4204014</v>
      </c>
      <c r="B546" t="s">
        <v>316</v>
      </c>
      <c r="C546" t="s">
        <v>316</v>
      </c>
      <c r="D546" s="43" t="s">
        <v>4050</v>
      </c>
      <c r="E546" s="43" t="s">
        <v>3530</v>
      </c>
      <c r="F546" s="43" t="s">
        <v>4277</v>
      </c>
    </row>
    <row r="547" spans="1:6" x14ac:dyDescent="0.25">
      <c r="A547" s="43">
        <v>4204020</v>
      </c>
      <c r="B547" t="s">
        <v>317</v>
      </c>
      <c r="C547" t="s">
        <v>4117</v>
      </c>
      <c r="D547" s="43" t="s">
        <v>4050</v>
      </c>
      <c r="E547" s="43" t="s">
        <v>3484</v>
      </c>
      <c r="F547" s="43" t="s">
        <v>4277</v>
      </c>
    </row>
    <row r="548" spans="1:6" x14ac:dyDescent="0.25">
      <c r="A548" s="43">
        <v>4204021</v>
      </c>
      <c r="B548" t="s">
        <v>329</v>
      </c>
      <c r="C548" t="s">
        <v>329</v>
      </c>
      <c r="D548" s="43" t="s">
        <v>4050</v>
      </c>
      <c r="E548" s="43" t="s">
        <v>3484</v>
      </c>
      <c r="F548" s="43" t="s">
        <v>3484</v>
      </c>
    </row>
    <row r="549" spans="1:6" x14ac:dyDescent="0.25">
      <c r="A549" s="43">
        <v>4204022</v>
      </c>
      <c r="B549" t="s">
        <v>318</v>
      </c>
      <c r="C549" t="s">
        <v>318</v>
      </c>
      <c r="D549" s="43" t="s">
        <v>4050</v>
      </c>
      <c r="E549" s="43" t="s">
        <v>3484</v>
      </c>
      <c r="F549" s="43" t="s">
        <v>4277</v>
      </c>
    </row>
    <row r="550" spans="1:6" x14ac:dyDescent="0.25">
      <c r="A550" s="43">
        <v>4204023</v>
      </c>
      <c r="B550" t="s">
        <v>319</v>
      </c>
      <c r="C550" t="s">
        <v>319</v>
      </c>
      <c r="D550" s="43" t="s">
        <v>4050</v>
      </c>
      <c r="E550" s="43" t="s">
        <v>3484</v>
      </c>
      <c r="F550" s="43" t="s">
        <v>4277</v>
      </c>
    </row>
    <row r="551" spans="1:6" x14ac:dyDescent="0.25">
      <c r="A551" s="43">
        <v>4204030</v>
      </c>
      <c r="B551" t="s">
        <v>4118</v>
      </c>
      <c r="C551" t="s">
        <v>4118</v>
      </c>
      <c r="D551" s="43" t="s">
        <v>4050</v>
      </c>
      <c r="E551" s="43" t="s">
        <v>3484</v>
      </c>
      <c r="F551" s="43" t="s">
        <v>4277</v>
      </c>
    </row>
    <row r="552" spans="1:6" x14ac:dyDescent="0.25">
      <c r="A552" s="43">
        <v>4205030</v>
      </c>
      <c r="B552" t="s">
        <v>1504</v>
      </c>
      <c r="D552" s="43" t="s">
        <v>4050</v>
      </c>
      <c r="E552" s="43" t="s">
        <v>3484</v>
      </c>
      <c r="F552" s="103" t="s">
        <v>4277</v>
      </c>
    </row>
    <row r="553" spans="1:6" x14ac:dyDescent="0.25">
      <c r="A553" s="43">
        <v>4205040</v>
      </c>
      <c r="B553" t="s">
        <v>331</v>
      </c>
      <c r="C553" t="s">
        <v>4119</v>
      </c>
      <c r="D553" s="43" t="s">
        <v>4050</v>
      </c>
      <c r="E553" s="43" t="s">
        <v>3484</v>
      </c>
      <c r="F553" s="43" t="s">
        <v>4277</v>
      </c>
    </row>
    <row r="554" spans="1:6" x14ac:dyDescent="0.25">
      <c r="A554" s="43">
        <v>4205050</v>
      </c>
      <c r="B554" t="s">
        <v>129</v>
      </c>
      <c r="C554" t="s">
        <v>4120</v>
      </c>
      <c r="D554" s="43" t="s">
        <v>4050</v>
      </c>
      <c r="E554" s="43" t="s">
        <v>3484</v>
      </c>
      <c r="F554" s="103" t="s">
        <v>4277</v>
      </c>
    </row>
    <row r="555" spans="1:6" x14ac:dyDescent="0.25">
      <c r="A555" s="43">
        <v>4205060</v>
      </c>
      <c r="B555" t="s">
        <v>130</v>
      </c>
      <c r="C555" t="s">
        <v>4121</v>
      </c>
      <c r="D555" s="43" t="s">
        <v>4050</v>
      </c>
      <c r="E555" s="43" t="s">
        <v>3484</v>
      </c>
      <c r="F555" s="43" t="s">
        <v>3484</v>
      </c>
    </row>
    <row r="556" spans="1:6" x14ac:dyDescent="0.25">
      <c r="A556" s="43">
        <v>4205070</v>
      </c>
      <c r="B556" t="s">
        <v>332</v>
      </c>
      <c r="C556" t="s">
        <v>4122</v>
      </c>
      <c r="D556" s="43" t="s">
        <v>4050</v>
      </c>
      <c r="E556" s="43" t="s">
        <v>3484</v>
      </c>
      <c r="F556" s="103" t="s">
        <v>4277</v>
      </c>
    </row>
    <row r="557" spans="1:6" x14ac:dyDescent="0.25">
      <c r="A557" s="43">
        <v>4205080</v>
      </c>
      <c r="B557" t="s">
        <v>333</v>
      </c>
      <c r="C557" t="s">
        <v>4123</v>
      </c>
      <c r="D557" s="43" t="s">
        <v>4050</v>
      </c>
      <c r="E557" s="43" t="s">
        <v>3484</v>
      </c>
      <c r="F557" s="43" t="s">
        <v>4277</v>
      </c>
    </row>
    <row r="558" spans="1:6" x14ac:dyDescent="0.25">
      <c r="A558" s="43">
        <v>4205090</v>
      </c>
      <c r="B558" t="s">
        <v>4124</v>
      </c>
      <c r="C558" t="s">
        <v>4125</v>
      </c>
      <c r="D558" s="43" t="s">
        <v>4050</v>
      </c>
      <c r="E558" s="43" t="s">
        <v>3484</v>
      </c>
      <c r="F558" s="43" t="s">
        <v>4277</v>
      </c>
    </row>
    <row r="559" spans="1:6" x14ac:dyDescent="0.25">
      <c r="A559" s="43">
        <v>4205100</v>
      </c>
      <c r="B559" t="s">
        <v>4126</v>
      </c>
      <c r="C559" t="s">
        <v>4127</v>
      </c>
      <c r="D559" s="43" t="s">
        <v>4050</v>
      </c>
      <c r="E559" s="43" t="s">
        <v>3484</v>
      </c>
      <c r="F559" s="43" t="s">
        <v>4277</v>
      </c>
    </row>
    <row r="560" spans="1:6" x14ac:dyDescent="0.25">
      <c r="A560" s="43">
        <v>4205110</v>
      </c>
      <c r="B560" t="s">
        <v>4128</v>
      </c>
      <c r="C560" t="s">
        <v>4129</v>
      </c>
      <c r="D560" s="43" t="s">
        <v>4050</v>
      </c>
      <c r="E560" s="43" t="s">
        <v>3484</v>
      </c>
      <c r="F560" s="43" t="s">
        <v>4277</v>
      </c>
    </row>
    <row r="561" spans="1:6" x14ac:dyDescent="0.25">
      <c r="A561" s="43">
        <v>4205120</v>
      </c>
      <c r="B561" t="s">
        <v>4130</v>
      </c>
      <c r="C561" t="s">
        <v>4131</v>
      </c>
      <c r="D561" s="43" t="s">
        <v>4050</v>
      </c>
      <c r="E561" s="43" t="s">
        <v>3484</v>
      </c>
      <c r="F561" s="43" t="s">
        <v>4277</v>
      </c>
    </row>
    <row r="562" spans="1:6" x14ac:dyDescent="0.25">
      <c r="A562" s="43">
        <v>4205130</v>
      </c>
      <c r="B562" t="s">
        <v>4132</v>
      </c>
      <c r="C562" t="s">
        <v>4133</v>
      </c>
      <c r="D562" s="43" t="s">
        <v>4050</v>
      </c>
      <c r="E562" s="43" t="s">
        <v>3484</v>
      </c>
      <c r="F562" s="43" t="s">
        <v>4277</v>
      </c>
    </row>
    <row r="563" spans="1:6" x14ac:dyDescent="0.25">
      <c r="A563" s="43">
        <v>4205140</v>
      </c>
      <c r="B563" t="s">
        <v>4134</v>
      </c>
      <c r="C563" t="s">
        <v>4135</v>
      </c>
      <c r="D563" s="43" t="s">
        <v>4050</v>
      </c>
      <c r="E563" s="43" t="s">
        <v>3484</v>
      </c>
      <c r="F563" s="43" t="s">
        <v>4277</v>
      </c>
    </row>
    <row r="564" spans="1:6" x14ac:dyDescent="0.25">
      <c r="A564" s="43">
        <v>4206020</v>
      </c>
      <c r="B564" t="s">
        <v>182</v>
      </c>
      <c r="C564" t="s">
        <v>182</v>
      </c>
      <c r="D564" s="43" t="s">
        <v>4050</v>
      </c>
      <c r="E564" s="43" t="s">
        <v>3484</v>
      </c>
      <c r="F564" s="43" t="s">
        <v>4277</v>
      </c>
    </row>
    <row r="565" spans="1:6" x14ac:dyDescent="0.25">
      <c r="A565" s="43">
        <v>4206030</v>
      </c>
      <c r="B565" t="s">
        <v>3712</v>
      </c>
      <c r="C565" t="s">
        <v>3712</v>
      </c>
      <c r="D565" s="43" t="s">
        <v>4136</v>
      </c>
      <c r="E565" s="43" t="s">
        <v>3530</v>
      </c>
      <c r="F565" s="43" t="s">
        <v>4277</v>
      </c>
    </row>
    <row r="566" spans="1:6" x14ac:dyDescent="0.25">
      <c r="A566" s="43">
        <v>4206040</v>
      </c>
      <c r="B566" t="s">
        <v>4137</v>
      </c>
      <c r="C566" t="s">
        <v>4138</v>
      </c>
      <c r="D566" s="43" t="s">
        <v>4050</v>
      </c>
      <c r="E566" s="43" t="s">
        <v>3484</v>
      </c>
      <c r="F566" s="43" t="s">
        <v>4277</v>
      </c>
    </row>
    <row r="567" spans="1:6" x14ac:dyDescent="0.25">
      <c r="A567" s="43">
        <v>4206050</v>
      </c>
      <c r="B567" t="s">
        <v>4139</v>
      </c>
      <c r="C567" t="s">
        <v>4140</v>
      </c>
      <c r="D567" s="43" t="s">
        <v>4050</v>
      </c>
      <c r="E567" s="43" t="s">
        <v>3484</v>
      </c>
      <c r="F567" s="43" t="s">
        <v>4277</v>
      </c>
    </row>
    <row r="568" spans="1:6" x14ac:dyDescent="0.25">
      <c r="A568" s="43">
        <v>4206060</v>
      </c>
      <c r="B568" t="s">
        <v>4141</v>
      </c>
      <c r="C568" t="s">
        <v>4142</v>
      </c>
      <c r="D568" s="43" t="s">
        <v>4050</v>
      </c>
      <c r="E568" s="43" t="s">
        <v>3484</v>
      </c>
      <c r="F568" s="43" t="s">
        <v>4277</v>
      </c>
    </row>
    <row r="569" spans="1:6" x14ac:dyDescent="0.25">
      <c r="A569" s="43">
        <v>4206070</v>
      </c>
      <c r="B569" t="s">
        <v>183</v>
      </c>
      <c r="C569" t="s">
        <v>4143</v>
      </c>
      <c r="D569" s="43" t="s">
        <v>4050</v>
      </c>
      <c r="E569" s="43" t="s">
        <v>3484</v>
      </c>
      <c r="F569" s="43" t="s">
        <v>4277</v>
      </c>
    </row>
    <row r="570" spans="1:6" x14ac:dyDescent="0.25">
      <c r="A570" s="43">
        <v>4206080</v>
      </c>
      <c r="B570" t="s">
        <v>1641</v>
      </c>
      <c r="C570" t="s">
        <v>4144</v>
      </c>
      <c r="D570" s="43" t="s">
        <v>4050</v>
      </c>
      <c r="E570" s="43" t="s">
        <v>3484</v>
      </c>
      <c r="F570" s="43" t="s">
        <v>4277</v>
      </c>
    </row>
    <row r="571" spans="1:6" x14ac:dyDescent="0.25">
      <c r="A571" s="43">
        <v>4206090</v>
      </c>
      <c r="B571" t="s">
        <v>4145</v>
      </c>
      <c r="C571" t="s">
        <v>4145</v>
      </c>
      <c r="D571" s="43" t="s">
        <v>4050</v>
      </c>
      <c r="E571" s="43" t="s">
        <v>3484</v>
      </c>
      <c r="F571" s="43" t="s">
        <v>4277</v>
      </c>
    </row>
    <row r="572" spans="1:6" x14ac:dyDescent="0.25">
      <c r="A572" s="43">
        <v>4207010</v>
      </c>
      <c r="B572" t="s">
        <v>4146</v>
      </c>
      <c r="C572" t="s">
        <v>4146</v>
      </c>
      <c r="D572" s="43" t="s">
        <v>4050</v>
      </c>
      <c r="E572" s="43" t="s">
        <v>3484</v>
      </c>
      <c r="F572" s="43" t="s">
        <v>4277</v>
      </c>
    </row>
    <row r="573" spans="1:6" x14ac:dyDescent="0.25">
      <c r="A573" s="43">
        <v>4207030</v>
      </c>
      <c r="B573" t="s">
        <v>117</v>
      </c>
      <c r="C573" t="s">
        <v>4147</v>
      </c>
      <c r="D573" s="43" t="s">
        <v>4050</v>
      </c>
      <c r="E573" s="43" t="s">
        <v>3484</v>
      </c>
      <c r="F573" s="43" t="s">
        <v>3484</v>
      </c>
    </row>
    <row r="574" spans="1:6" x14ac:dyDescent="0.25">
      <c r="A574" s="43">
        <v>4207040</v>
      </c>
      <c r="B574" t="s">
        <v>4148</v>
      </c>
      <c r="C574" t="s">
        <v>4148</v>
      </c>
      <c r="D574" s="43" t="s">
        <v>4050</v>
      </c>
      <c r="E574" s="43" t="s">
        <v>3484</v>
      </c>
      <c r="F574" s="43" t="s">
        <v>4277</v>
      </c>
    </row>
    <row r="575" spans="1:6" x14ac:dyDescent="0.25">
      <c r="A575" s="43">
        <v>4207050</v>
      </c>
      <c r="B575" t="s">
        <v>4149</v>
      </c>
      <c r="C575" t="s">
        <v>4150</v>
      </c>
      <c r="D575" s="43" t="s">
        <v>4050</v>
      </c>
      <c r="E575" s="43" t="s">
        <v>3484</v>
      </c>
      <c r="F575" s="43" t="s">
        <v>4277</v>
      </c>
    </row>
    <row r="576" spans="1:6" x14ac:dyDescent="0.25">
      <c r="A576" s="43">
        <v>4207060</v>
      </c>
      <c r="B576" t="s">
        <v>4151</v>
      </c>
      <c r="C576" t="s">
        <v>4152</v>
      </c>
      <c r="D576" s="43" t="s">
        <v>4050</v>
      </c>
      <c r="E576" s="43" t="s">
        <v>3484</v>
      </c>
      <c r="F576" s="43" t="s">
        <v>4277</v>
      </c>
    </row>
    <row r="577" spans="1:6" x14ac:dyDescent="0.25">
      <c r="A577" s="43">
        <v>4207070</v>
      </c>
      <c r="B577" t="s">
        <v>4153</v>
      </c>
      <c r="D577" s="43" t="s">
        <v>4050</v>
      </c>
      <c r="E577" s="43" t="s">
        <v>3484</v>
      </c>
      <c r="F577" s="43" t="s">
        <v>4277</v>
      </c>
    </row>
    <row r="578" spans="1:6" x14ac:dyDescent="0.25">
      <c r="A578" s="43">
        <v>4207080</v>
      </c>
      <c r="B578" t="s">
        <v>84</v>
      </c>
      <c r="C578" t="s">
        <v>4154</v>
      </c>
      <c r="D578" s="43" t="s">
        <v>4050</v>
      </c>
      <c r="E578" s="43" t="s">
        <v>3484</v>
      </c>
      <c r="F578" s="103" t="s">
        <v>4277</v>
      </c>
    </row>
    <row r="579" spans="1:6" x14ac:dyDescent="0.25">
      <c r="A579" s="43">
        <v>4207090</v>
      </c>
      <c r="B579" t="s">
        <v>322</v>
      </c>
      <c r="D579" s="43" t="s">
        <v>4050</v>
      </c>
      <c r="E579" s="43" t="s">
        <v>3484</v>
      </c>
      <c r="F579" s="103" t="s">
        <v>4277</v>
      </c>
    </row>
    <row r="580" spans="1:6" x14ac:dyDescent="0.25">
      <c r="A580" s="43">
        <v>4207100</v>
      </c>
      <c r="B580" t="s">
        <v>4155</v>
      </c>
      <c r="C580" t="s">
        <v>4156</v>
      </c>
      <c r="D580" s="43" t="s">
        <v>4050</v>
      </c>
      <c r="E580" s="43" t="s">
        <v>3484</v>
      </c>
      <c r="F580" s="43" t="s">
        <v>4277</v>
      </c>
    </row>
    <row r="581" spans="1:6" x14ac:dyDescent="0.25">
      <c r="A581" s="43">
        <v>4207110</v>
      </c>
      <c r="B581" t="s">
        <v>4157</v>
      </c>
      <c r="C581" t="s">
        <v>4158</v>
      </c>
      <c r="D581" s="43" t="s">
        <v>4050</v>
      </c>
      <c r="E581" s="43" t="s">
        <v>3484</v>
      </c>
      <c r="F581" s="43" t="s">
        <v>4277</v>
      </c>
    </row>
    <row r="582" spans="1:6" x14ac:dyDescent="0.25">
      <c r="A582" s="43">
        <v>4207120</v>
      </c>
      <c r="B582" t="s">
        <v>4159</v>
      </c>
      <c r="C582" t="s">
        <v>4160</v>
      </c>
      <c r="D582" s="43" t="s">
        <v>4050</v>
      </c>
      <c r="E582" s="43" t="s">
        <v>3484</v>
      </c>
      <c r="F582" s="43" t="s">
        <v>4277</v>
      </c>
    </row>
    <row r="583" spans="1:6" x14ac:dyDescent="0.25">
      <c r="A583" s="43">
        <v>4207130</v>
      </c>
      <c r="B583" t="s">
        <v>4161</v>
      </c>
      <c r="D583" s="43" t="s">
        <v>4050</v>
      </c>
      <c r="E583" s="43" t="s">
        <v>3484</v>
      </c>
      <c r="F583" s="43" t="s">
        <v>4277</v>
      </c>
    </row>
    <row r="584" spans="1:6" x14ac:dyDescent="0.25">
      <c r="A584" s="43">
        <v>4208010</v>
      </c>
      <c r="B584" t="s">
        <v>1642</v>
      </c>
      <c r="C584" t="s">
        <v>4162</v>
      </c>
      <c r="D584" s="43" t="s">
        <v>4050</v>
      </c>
      <c r="E584" s="43" t="s">
        <v>3484</v>
      </c>
      <c r="F584" s="43" t="s">
        <v>4277</v>
      </c>
    </row>
    <row r="585" spans="1:6" x14ac:dyDescent="0.25">
      <c r="A585" s="43">
        <v>4208020</v>
      </c>
      <c r="B585" t="s">
        <v>328</v>
      </c>
      <c r="C585" t="s">
        <v>4163</v>
      </c>
      <c r="D585" s="43" t="s">
        <v>4050</v>
      </c>
      <c r="E585" s="43" t="s">
        <v>3484</v>
      </c>
      <c r="F585" s="103" t="s">
        <v>4277</v>
      </c>
    </row>
    <row r="586" spans="1:6" x14ac:dyDescent="0.25">
      <c r="A586" s="43">
        <v>4208030</v>
      </c>
      <c r="B586" t="s">
        <v>85</v>
      </c>
      <c r="C586" t="s">
        <v>4164</v>
      </c>
      <c r="D586" s="43" t="s">
        <v>4050</v>
      </c>
      <c r="E586" s="43" t="s">
        <v>3484</v>
      </c>
      <c r="F586" s="43" t="s">
        <v>4277</v>
      </c>
    </row>
    <row r="587" spans="1:6" x14ac:dyDescent="0.25">
      <c r="A587" s="43">
        <v>4210010</v>
      </c>
      <c r="B587" t="s">
        <v>184</v>
      </c>
      <c r="C587" t="s">
        <v>4165</v>
      </c>
      <c r="D587" s="43" t="s">
        <v>4050</v>
      </c>
      <c r="E587" s="43" t="s">
        <v>3484</v>
      </c>
      <c r="F587" s="43" t="s">
        <v>4277</v>
      </c>
    </row>
    <row r="588" spans="1:6" x14ac:dyDescent="0.25">
      <c r="A588" s="43">
        <v>4210060</v>
      </c>
      <c r="B588" t="s">
        <v>345</v>
      </c>
      <c r="C588" t="s">
        <v>345</v>
      </c>
      <c r="D588" s="43" t="s">
        <v>4050</v>
      </c>
      <c r="E588" s="43" t="s">
        <v>3484</v>
      </c>
      <c r="F588" s="43" t="s">
        <v>4277</v>
      </c>
    </row>
    <row r="589" spans="1:6" x14ac:dyDescent="0.25">
      <c r="A589" s="43">
        <v>4210065</v>
      </c>
      <c r="B589" t="s">
        <v>346</v>
      </c>
      <c r="C589" t="s">
        <v>4166</v>
      </c>
      <c r="D589" s="43" t="s">
        <v>4050</v>
      </c>
      <c r="E589" s="43" t="s">
        <v>3484</v>
      </c>
      <c r="F589" s="43" t="s">
        <v>4277</v>
      </c>
    </row>
    <row r="590" spans="1:6" x14ac:dyDescent="0.25">
      <c r="A590" s="43">
        <v>4210070</v>
      </c>
      <c r="B590" t="s">
        <v>347</v>
      </c>
      <c r="C590" t="s">
        <v>4167</v>
      </c>
      <c r="D590" s="43" t="s">
        <v>4050</v>
      </c>
      <c r="E590" s="43" t="s">
        <v>3484</v>
      </c>
      <c r="F590" s="43" t="s">
        <v>4277</v>
      </c>
    </row>
    <row r="591" spans="1:6" x14ac:dyDescent="0.25">
      <c r="A591" s="43">
        <v>4301001</v>
      </c>
      <c r="B591" t="s">
        <v>85</v>
      </c>
      <c r="C591" t="s">
        <v>4168</v>
      </c>
      <c r="D591" s="43" t="s">
        <v>4050</v>
      </c>
      <c r="E591" s="43" t="s">
        <v>3530</v>
      </c>
      <c r="F591" s="103" t="s">
        <v>4277</v>
      </c>
    </row>
    <row r="592" spans="1:6" x14ac:dyDescent="0.25">
      <c r="A592" s="43">
        <v>4401001</v>
      </c>
      <c r="B592" t="s">
        <v>3712</v>
      </c>
      <c r="C592" t="s">
        <v>4169</v>
      </c>
      <c r="D592" s="43" t="s">
        <v>4136</v>
      </c>
      <c r="E592" s="43" t="s">
        <v>3484</v>
      </c>
      <c r="F592" s="43" t="s">
        <v>4277</v>
      </c>
    </row>
    <row r="593" spans="1:6" x14ac:dyDescent="0.25">
      <c r="A593" s="43">
        <v>4501010</v>
      </c>
      <c r="B593" t="s">
        <v>4170</v>
      </c>
      <c r="C593" t="s">
        <v>4171</v>
      </c>
      <c r="D593" s="43" t="s">
        <v>4136</v>
      </c>
      <c r="E593" s="43" t="s">
        <v>3484</v>
      </c>
      <c r="F593" s="43" t="s">
        <v>4277</v>
      </c>
    </row>
    <row r="594" spans="1:6" x14ac:dyDescent="0.25">
      <c r="A594" s="43">
        <v>4501020</v>
      </c>
      <c r="B594" t="s">
        <v>4172</v>
      </c>
      <c r="C594" t="s">
        <v>3670</v>
      </c>
      <c r="D594" s="43" t="s">
        <v>4136</v>
      </c>
      <c r="E594" s="43" t="s">
        <v>3484</v>
      </c>
      <c r="F594" s="43" t="s">
        <v>4277</v>
      </c>
    </row>
    <row r="595" spans="1:6" x14ac:dyDescent="0.25">
      <c r="A595" s="43">
        <v>4501030</v>
      </c>
      <c r="B595" t="s">
        <v>157</v>
      </c>
      <c r="C595" t="s">
        <v>157</v>
      </c>
      <c r="D595" s="43" t="s">
        <v>4136</v>
      </c>
      <c r="E595" s="43" t="s">
        <v>3484</v>
      </c>
      <c r="F595" s="43" t="s">
        <v>4277</v>
      </c>
    </row>
    <row r="596" spans="1:6" x14ac:dyDescent="0.25">
      <c r="A596" s="43">
        <v>4501040</v>
      </c>
      <c r="B596" t="s">
        <v>158</v>
      </c>
      <c r="C596" t="s">
        <v>158</v>
      </c>
      <c r="D596" s="43" t="s">
        <v>4136</v>
      </c>
      <c r="E596" s="43" t="s">
        <v>3484</v>
      </c>
      <c r="F596" s="43" t="s">
        <v>4277</v>
      </c>
    </row>
    <row r="597" spans="1:6" x14ac:dyDescent="0.25">
      <c r="A597" s="43">
        <v>4501050</v>
      </c>
      <c r="B597" t="s">
        <v>4173</v>
      </c>
      <c r="C597" t="s">
        <v>4174</v>
      </c>
      <c r="D597" s="43" t="s">
        <v>4136</v>
      </c>
      <c r="E597" s="43" t="s">
        <v>3484</v>
      </c>
      <c r="F597" s="43" t="s">
        <v>4277</v>
      </c>
    </row>
    <row r="598" spans="1:6" x14ac:dyDescent="0.25">
      <c r="A598" s="43">
        <v>4501060</v>
      </c>
      <c r="B598" t="s">
        <v>159</v>
      </c>
      <c r="D598" s="43" t="s">
        <v>4136</v>
      </c>
      <c r="E598" s="43" t="s">
        <v>3484</v>
      </c>
      <c r="F598" s="43" t="s">
        <v>4277</v>
      </c>
    </row>
    <row r="599" spans="1:6" x14ac:dyDescent="0.25">
      <c r="A599" s="43">
        <v>4501070</v>
      </c>
      <c r="B599" t="s">
        <v>1649</v>
      </c>
      <c r="C599" t="s">
        <v>1649</v>
      </c>
      <c r="D599" s="43" t="s">
        <v>4136</v>
      </c>
      <c r="E599" s="43" t="s">
        <v>3484</v>
      </c>
      <c r="F599" s="43" t="s">
        <v>4277</v>
      </c>
    </row>
    <row r="600" spans="1:6" x14ac:dyDescent="0.25">
      <c r="A600" s="43">
        <v>4501080</v>
      </c>
      <c r="B600" t="s">
        <v>150</v>
      </c>
      <c r="C600" t="s">
        <v>4175</v>
      </c>
      <c r="D600" s="43" t="s">
        <v>4136</v>
      </c>
      <c r="E600" s="43" t="s">
        <v>3484</v>
      </c>
      <c r="F600" s="43" t="s">
        <v>4277</v>
      </c>
    </row>
    <row r="601" spans="1:6" x14ac:dyDescent="0.25">
      <c r="A601" s="43">
        <v>4501081</v>
      </c>
      <c r="B601" t="s">
        <v>350</v>
      </c>
      <c r="C601" t="s">
        <v>4176</v>
      </c>
      <c r="D601" s="43" t="s">
        <v>4136</v>
      </c>
      <c r="E601" s="43" t="s">
        <v>3484</v>
      </c>
      <c r="F601" s="43" t="s">
        <v>4277</v>
      </c>
    </row>
    <row r="602" spans="1:6" x14ac:dyDescent="0.25">
      <c r="A602" s="43">
        <v>4501110</v>
      </c>
      <c r="B602" t="s">
        <v>4177</v>
      </c>
      <c r="C602" t="s">
        <v>4178</v>
      </c>
      <c r="D602" s="43" t="s">
        <v>4136</v>
      </c>
      <c r="E602" s="43" t="s">
        <v>3484</v>
      </c>
      <c r="F602" s="43" t="s">
        <v>4277</v>
      </c>
    </row>
    <row r="603" spans="1:6" x14ac:dyDescent="0.25">
      <c r="A603" s="43">
        <v>4501120</v>
      </c>
      <c r="B603" t="s">
        <v>225</v>
      </c>
      <c r="C603" t="s">
        <v>225</v>
      </c>
      <c r="D603" s="43" t="s">
        <v>4136</v>
      </c>
      <c r="E603" s="43" t="s">
        <v>3484</v>
      </c>
      <c r="F603" s="43" t="s">
        <v>4277</v>
      </c>
    </row>
    <row r="604" spans="1:6" x14ac:dyDescent="0.25">
      <c r="A604" s="43">
        <v>4501121</v>
      </c>
      <c r="B604" t="s">
        <v>351</v>
      </c>
      <c r="C604" t="s">
        <v>4176</v>
      </c>
      <c r="D604" s="43" t="s">
        <v>4136</v>
      </c>
      <c r="E604" s="43" t="s">
        <v>3484</v>
      </c>
      <c r="F604" s="43" t="s">
        <v>4277</v>
      </c>
    </row>
    <row r="605" spans="1:6" x14ac:dyDescent="0.25">
      <c r="A605" s="43">
        <v>4501130</v>
      </c>
      <c r="B605" t="s">
        <v>160</v>
      </c>
      <c r="C605" t="s">
        <v>4179</v>
      </c>
      <c r="D605" s="43" t="s">
        <v>4136</v>
      </c>
      <c r="E605" s="43" t="s">
        <v>3484</v>
      </c>
      <c r="F605" s="43" t="s">
        <v>4277</v>
      </c>
    </row>
    <row r="606" spans="1:6" x14ac:dyDescent="0.25">
      <c r="A606" s="43">
        <v>4501131</v>
      </c>
      <c r="B606" t="s">
        <v>352</v>
      </c>
      <c r="C606" t="s">
        <v>4176</v>
      </c>
      <c r="D606" s="43" t="s">
        <v>4136</v>
      </c>
      <c r="E606" s="43" t="s">
        <v>3484</v>
      </c>
      <c r="F606" s="43" t="s">
        <v>4277</v>
      </c>
    </row>
    <row r="607" spans="1:6" x14ac:dyDescent="0.25">
      <c r="A607" s="43">
        <v>4501160</v>
      </c>
      <c r="B607" t="s">
        <v>4180</v>
      </c>
      <c r="C607" t="s">
        <v>4181</v>
      </c>
      <c r="D607" s="43" t="s">
        <v>4136</v>
      </c>
      <c r="E607" s="43" t="s">
        <v>3484</v>
      </c>
      <c r="F607" s="43" t="s">
        <v>4277</v>
      </c>
    </row>
    <row r="608" spans="1:6" x14ac:dyDescent="0.25">
      <c r="A608" s="43">
        <v>4501170</v>
      </c>
      <c r="B608" t="s">
        <v>1650</v>
      </c>
      <c r="D608" s="43" t="s">
        <v>4136</v>
      </c>
      <c r="E608" s="43" t="s">
        <v>3484</v>
      </c>
      <c r="F608" s="43" t="s">
        <v>4277</v>
      </c>
    </row>
    <row r="609" spans="1:6" x14ac:dyDescent="0.25">
      <c r="A609" s="43">
        <v>4501171</v>
      </c>
      <c r="B609" t="s">
        <v>296</v>
      </c>
      <c r="C609" t="s">
        <v>296</v>
      </c>
      <c r="D609" s="43" t="s">
        <v>4136</v>
      </c>
      <c r="E609" s="43" t="s">
        <v>3530</v>
      </c>
      <c r="F609" s="43" t="s">
        <v>4277</v>
      </c>
    </row>
    <row r="610" spans="1:6" x14ac:dyDescent="0.25">
      <c r="A610" s="43">
        <v>4501172</v>
      </c>
      <c r="B610" t="s">
        <v>296</v>
      </c>
      <c r="C610" t="s">
        <v>296</v>
      </c>
      <c r="D610" s="43" t="s">
        <v>4136</v>
      </c>
      <c r="E610" s="43" t="s">
        <v>3484</v>
      </c>
      <c r="F610" s="43" t="s">
        <v>4277</v>
      </c>
    </row>
    <row r="611" spans="1:6" x14ac:dyDescent="0.25">
      <c r="A611" s="43">
        <v>4501180</v>
      </c>
      <c r="B611" t="s">
        <v>4182</v>
      </c>
      <c r="D611" s="43" t="s">
        <v>4136</v>
      </c>
      <c r="E611" s="43" t="s">
        <v>3484</v>
      </c>
      <c r="F611" s="43" t="s">
        <v>4277</v>
      </c>
    </row>
    <row r="612" spans="1:6" x14ac:dyDescent="0.25">
      <c r="A612" s="43">
        <v>4501185</v>
      </c>
      <c r="B612" t="s">
        <v>210</v>
      </c>
      <c r="C612" t="s">
        <v>4083</v>
      </c>
      <c r="D612" s="43" t="s">
        <v>4136</v>
      </c>
      <c r="E612" s="43" t="s">
        <v>3484</v>
      </c>
      <c r="F612" s="43" t="s">
        <v>4277</v>
      </c>
    </row>
    <row r="613" spans="1:6" x14ac:dyDescent="0.25">
      <c r="A613" s="43">
        <v>4502001</v>
      </c>
      <c r="B613" t="s">
        <v>185</v>
      </c>
      <c r="C613" t="s">
        <v>185</v>
      </c>
      <c r="D613" s="43" t="s">
        <v>4136</v>
      </c>
      <c r="E613" s="43" t="s">
        <v>3484</v>
      </c>
      <c r="F613" s="43" t="s">
        <v>4277</v>
      </c>
    </row>
    <row r="614" spans="1:6" x14ac:dyDescent="0.25">
      <c r="A614" s="43">
        <v>4502002</v>
      </c>
      <c r="B614" t="s">
        <v>4183</v>
      </c>
      <c r="C614" t="s">
        <v>4183</v>
      </c>
      <c r="D614" s="43" t="s">
        <v>4136</v>
      </c>
      <c r="E614" s="43" t="s">
        <v>3484</v>
      </c>
      <c r="F614" s="43" t="s">
        <v>4277</v>
      </c>
    </row>
    <row r="615" spans="1:6" x14ac:dyDescent="0.25">
      <c r="A615" s="43">
        <v>4502003</v>
      </c>
      <c r="B615" t="s">
        <v>312</v>
      </c>
      <c r="C615" t="s">
        <v>4184</v>
      </c>
      <c r="D615" s="43" t="s">
        <v>4136</v>
      </c>
      <c r="E615" s="43" t="s">
        <v>3484</v>
      </c>
      <c r="F615" s="43" t="s">
        <v>4277</v>
      </c>
    </row>
    <row r="616" spans="1:6" x14ac:dyDescent="0.25">
      <c r="A616" s="43">
        <v>4502007</v>
      </c>
      <c r="B616" t="s">
        <v>161</v>
      </c>
      <c r="C616" t="s">
        <v>4185</v>
      </c>
      <c r="D616" s="43" t="s">
        <v>4136</v>
      </c>
      <c r="E616" s="43" t="s">
        <v>3484</v>
      </c>
      <c r="F616" s="43" t="s">
        <v>4277</v>
      </c>
    </row>
    <row r="617" spans="1:6" x14ac:dyDescent="0.25">
      <c r="A617" s="43">
        <v>4503030</v>
      </c>
      <c r="B617" t="s">
        <v>4186</v>
      </c>
      <c r="C617" t="s">
        <v>4187</v>
      </c>
      <c r="D617" s="43" t="s">
        <v>4136</v>
      </c>
      <c r="E617" s="43" t="s">
        <v>3484</v>
      </c>
      <c r="F617" s="43" t="s">
        <v>4277</v>
      </c>
    </row>
    <row r="618" spans="1:6" x14ac:dyDescent="0.25">
      <c r="A618" s="43">
        <v>4503040</v>
      </c>
      <c r="B618" t="s">
        <v>186</v>
      </c>
      <c r="C618" t="s">
        <v>4188</v>
      </c>
      <c r="D618" s="43" t="s">
        <v>4136</v>
      </c>
      <c r="E618" s="43" t="s">
        <v>3484</v>
      </c>
      <c r="F618" s="43" t="s">
        <v>4277</v>
      </c>
    </row>
    <row r="619" spans="1:6" x14ac:dyDescent="0.25">
      <c r="A619" s="43">
        <v>4503060</v>
      </c>
      <c r="B619" t="s">
        <v>187</v>
      </c>
      <c r="C619" t="s">
        <v>4189</v>
      </c>
      <c r="D619" s="43" t="s">
        <v>4136</v>
      </c>
      <c r="E619" s="43" t="s">
        <v>3484</v>
      </c>
      <c r="F619" s="43" t="s">
        <v>4277</v>
      </c>
    </row>
    <row r="620" spans="1:6" x14ac:dyDescent="0.25">
      <c r="A620" s="43">
        <v>4503061</v>
      </c>
      <c r="B620" t="s">
        <v>1616</v>
      </c>
      <c r="C620" t="s">
        <v>1616</v>
      </c>
      <c r="D620" s="43" t="s">
        <v>4136</v>
      </c>
      <c r="E620" s="43" t="s">
        <v>3484</v>
      </c>
      <c r="F620" s="43" t="s">
        <v>4277</v>
      </c>
    </row>
    <row r="621" spans="1:6" x14ac:dyDescent="0.25">
      <c r="A621" s="43">
        <v>4503080</v>
      </c>
      <c r="B621" t="s">
        <v>4190</v>
      </c>
      <c r="C621" t="s">
        <v>4191</v>
      </c>
      <c r="D621" s="43" t="s">
        <v>4136</v>
      </c>
      <c r="E621" s="43" t="s">
        <v>3484</v>
      </c>
      <c r="F621" s="43" t="s">
        <v>4277</v>
      </c>
    </row>
    <row r="622" spans="1:6" x14ac:dyDescent="0.25">
      <c r="A622" s="43">
        <v>4503120</v>
      </c>
      <c r="B622" t="s">
        <v>1523</v>
      </c>
      <c r="C622" t="s">
        <v>1523</v>
      </c>
      <c r="D622" s="43" t="s">
        <v>4136</v>
      </c>
      <c r="E622" s="43" t="s">
        <v>3484</v>
      </c>
      <c r="F622" s="43" t="s">
        <v>4277</v>
      </c>
    </row>
    <row r="623" spans="1:6" x14ac:dyDescent="0.25">
      <c r="A623" s="43">
        <v>4503140</v>
      </c>
      <c r="B623" t="s">
        <v>188</v>
      </c>
      <c r="C623" t="s">
        <v>4192</v>
      </c>
      <c r="D623" s="43" t="s">
        <v>4136</v>
      </c>
      <c r="E623" s="43" t="s">
        <v>3484</v>
      </c>
      <c r="F623" s="43" t="s">
        <v>4277</v>
      </c>
    </row>
    <row r="624" spans="1:6" x14ac:dyDescent="0.25">
      <c r="A624" s="43">
        <v>4503150</v>
      </c>
      <c r="B624" t="s">
        <v>4193</v>
      </c>
      <c r="D624" s="43" t="s">
        <v>4136</v>
      </c>
      <c r="E624" s="43" t="s">
        <v>3484</v>
      </c>
      <c r="F624" s="43" t="s">
        <v>4277</v>
      </c>
    </row>
    <row r="625" spans="1:6" x14ac:dyDescent="0.25">
      <c r="A625" s="43">
        <v>4503160</v>
      </c>
      <c r="B625" t="s">
        <v>4194</v>
      </c>
      <c r="D625" s="43" t="s">
        <v>4136</v>
      </c>
      <c r="E625" s="43" t="s">
        <v>3484</v>
      </c>
      <c r="F625" s="43" t="s">
        <v>4277</v>
      </c>
    </row>
    <row r="626" spans="1:6" x14ac:dyDescent="0.25">
      <c r="A626" s="43">
        <v>4503170</v>
      </c>
      <c r="B626" t="s">
        <v>4195</v>
      </c>
      <c r="C626" t="s">
        <v>4196</v>
      </c>
      <c r="D626" s="43" t="s">
        <v>4136</v>
      </c>
      <c r="E626" s="43" t="s">
        <v>3484</v>
      </c>
      <c r="F626" s="43" t="s">
        <v>4277</v>
      </c>
    </row>
    <row r="627" spans="1:6" x14ac:dyDescent="0.25">
      <c r="A627" s="43">
        <v>4503180</v>
      </c>
      <c r="B627" t="s">
        <v>4197</v>
      </c>
      <c r="C627" t="s">
        <v>4198</v>
      </c>
      <c r="D627" s="43" t="s">
        <v>4136</v>
      </c>
      <c r="E627" s="43" t="s">
        <v>3484</v>
      </c>
      <c r="F627" s="43" t="s">
        <v>4277</v>
      </c>
    </row>
    <row r="628" spans="1:6" x14ac:dyDescent="0.25">
      <c r="A628" s="43">
        <v>4504010</v>
      </c>
      <c r="B628" t="s">
        <v>4199</v>
      </c>
      <c r="C628" t="s">
        <v>4199</v>
      </c>
      <c r="D628" s="43" t="s">
        <v>4136</v>
      </c>
      <c r="E628" s="43" t="s">
        <v>3484</v>
      </c>
      <c r="F628" s="43" t="s">
        <v>4277</v>
      </c>
    </row>
    <row r="629" spans="1:6" x14ac:dyDescent="0.25">
      <c r="A629" s="43">
        <v>4505010</v>
      </c>
      <c r="B629" t="s">
        <v>4200</v>
      </c>
      <c r="C629" t="s">
        <v>4201</v>
      </c>
      <c r="D629" s="43" t="s">
        <v>3956</v>
      </c>
      <c r="E629" s="43" t="s">
        <v>3484</v>
      </c>
      <c r="F629" s="43" t="s">
        <v>4277</v>
      </c>
    </row>
    <row r="630" spans="1:6" x14ac:dyDescent="0.25">
      <c r="A630" s="43">
        <v>4601001</v>
      </c>
      <c r="B630" t="s">
        <v>189</v>
      </c>
      <c r="C630" t="s">
        <v>189</v>
      </c>
      <c r="D630" s="43" t="s">
        <v>4136</v>
      </c>
      <c r="E630" s="43" t="s">
        <v>3484</v>
      </c>
      <c r="F630" s="43" t="s">
        <v>4277</v>
      </c>
    </row>
    <row r="631" spans="1:6" x14ac:dyDescent="0.25">
      <c r="A631" s="43">
        <v>4601003</v>
      </c>
      <c r="B631" t="s">
        <v>190</v>
      </c>
      <c r="C631" t="s">
        <v>190</v>
      </c>
      <c r="D631" s="43" t="s">
        <v>4136</v>
      </c>
      <c r="E631" s="43" t="s">
        <v>3484</v>
      </c>
      <c r="F631" s="43" t="s">
        <v>4277</v>
      </c>
    </row>
    <row r="632" spans="1:6" x14ac:dyDescent="0.25">
      <c r="A632" s="43">
        <v>4601004</v>
      </c>
      <c r="B632" t="s">
        <v>162</v>
      </c>
      <c r="C632" t="s">
        <v>4202</v>
      </c>
      <c r="D632" s="43" t="s">
        <v>4136</v>
      </c>
      <c r="E632" s="43" t="s">
        <v>3484</v>
      </c>
      <c r="F632" s="43" t="s">
        <v>4277</v>
      </c>
    </row>
    <row r="633" spans="1:6" x14ac:dyDescent="0.25">
      <c r="A633" s="43">
        <v>4601005</v>
      </c>
      <c r="B633" t="s">
        <v>4203</v>
      </c>
      <c r="C633" t="s">
        <v>4204</v>
      </c>
      <c r="D633" s="43" t="s">
        <v>4136</v>
      </c>
      <c r="E633" s="43" t="s">
        <v>3484</v>
      </c>
      <c r="F633" s="43" t="s">
        <v>4277</v>
      </c>
    </row>
    <row r="634" spans="1:6" x14ac:dyDescent="0.25">
      <c r="A634" s="43">
        <v>5090100</v>
      </c>
      <c r="B634" t="s">
        <v>4205</v>
      </c>
      <c r="C634" t="s">
        <v>4205</v>
      </c>
      <c r="D634" s="43" t="s">
        <v>4050</v>
      </c>
      <c r="E634" s="43" t="s">
        <v>3484</v>
      </c>
      <c r="F634" s="43" t="s">
        <v>4277</v>
      </c>
    </row>
    <row r="635" spans="1:6" x14ac:dyDescent="0.25">
      <c r="A635" s="43">
        <v>7777777</v>
      </c>
      <c r="B635" t="s">
        <v>4206</v>
      </c>
      <c r="D635" s="43" t="s">
        <v>3483</v>
      </c>
      <c r="E635" s="43" t="s">
        <v>3484</v>
      </c>
      <c r="F635" s="43" t="s">
        <v>4277</v>
      </c>
    </row>
    <row r="636" spans="1:6" x14ac:dyDescent="0.25">
      <c r="A636" s="43">
        <v>4201025</v>
      </c>
      <c r="B636" t="s">
        <v>259</v>
      </c>
      <c r="C636" t="s">
        <v>259</v>
      </c>
      <c r="D636" s="43" t="s">
        <v>4050</v>
      </c>
      <c r="E636" s="43" t="s">
        <v>3484</v>
      </c>
      <c r="F636" s="43" t="s">
        <v>4277</v>
      </c>
    </row>
    <row r="637" spans="1:6" x14ac:dyDescent="0.25">
      <c r="A637" s="43">
        <v>1115272</v>
      </c>
      <c r="B637" t="s">
        <v>1635</v>
      </c>
      <c r="C637" t="s">
        <v>4207</v>
      </c>
      <c r="D637" s="43" t="s">
        <v>3483</v>
      </c>
      <c r="E637" s="43" t="s">
        <v>3484</v>
      </c>
      <c r="F637" s="43" t="s">
        <v>4277</v>
      </c>
    </row>
    <row r="638" spans="1:6" x14ac:dyDescent="0.25">
      <c r="A638" s="43">
        <v>1109260</v>
      </c>
      <c r="B638" t="s">
        <v>303</v>
      </c>
      <c r="C638" t="s">
        <v>4208</v>
      </c>
      <c r="D638" s="43" t="s">
        <v>3483</v>
      </c>
      <c r="E638" s="43" t="s">
        <v>3484</v>
      </c>
      <c r="F638" s="43" t="s">
        <v>4277</v>
      </c>
    </row>
    <row r="639" spans="1:6" x14ac:dyDescent="0.25">
      <c r="A639" s="43">
        <v>2112290</v>
      </c>
      <c r="B639" t="s">
        <v>4209</v>
      </c>
      <c r="C639" t="s">
        <v>4209</v>
      </c>
      <c r="D639" s="43" t="s">
        <v>3739</v>
      </c>
      <c r="E639" s="43" t="s">
        <v>3484</v>
      </c>
      <c r="F639" s="43" t="s">
        <v>4277</v>
      </c>
    </row>
    <row r="640" spans="1:6" x14ac:dyDescent="0.25">
      <c r="A640" s="43">
        <v>3101150</v>
      </c>
      <c r="B640" t="s">
        <v>4210</v>
      </c>
      <c r="C640" t="s">
        <v>4211</v>
      </c>
      <c r="D640" s="43" t="s">
        <v>3944</v>
      </c>
      <c r="E640" s="43" t="s">
        <v>3530</v>
      </c>
      <c r="F640" s="43" t="s">
        <v>4277</v>
      </c>
    </row>
    <row r="641" spans="1:6" x14ac:dyDescent="0.25">
      <c r="A641" s="43">
        <v>4107006</v>
      </c>
      <c r="B641" t="s">
        <v>4212</v>
      </c>
      <c r="C641" t="s">
        <v>4029</v>
      </c>
      <c r="D641" s="43" t="s">
        <v>3995</v>
      </c>
      <c r="E641" s="43" t="s">
        <v>3484</v>
      </c>
      <c r="F641" s="43" t="s">
        <v>4277</v>
      </c>
    </row>
    <row r="642" spans="1:6" x14ac:dyDescent="0.25">
      <c r="A642" s="43">
        <v>3101151</v>
      </c>
      <c r="B642" t="s">
        <v>4210</v>
      </c>
      <c r="C642" t="s">
        <v>4213</v>
      </c>
      <c r="D642" s="43" t="s">
        <v>3944</v>
      </c>
      <c r="E642" s="43" t="s">
        <v>3484</v>
      </c>
      <c r="F642" s="43" t="s">
        <v>4277</v>
      </c>
    </row>
    <row r="643" spans="1:6" x14ac:dyDescent="0.25">
      <c r="A643" s="43">
        <v>4204024</v>
      </c>
      <c r="B643" t="s">
        <v>1621</v>
      </c>
      <c r="C643" t="s">
        <v>4214</v>
      </c>
      <c r="D643" s="43" t="s">
        <v>4050</v>
      </c>
      <c r="E643" s="43" t="s">
        <v>3484</v>
      </c>
      <c r="F643" s="43" t="s">
        <v>4277</v>
      </c>
    </row>
    <row r="644" spans="1:6" x14ac:dyDescent="0.25">
      <c r="A644" s="43">
        <v>4501082</v>
      </c>
      <c r="B644" t="s">
        <v>4215</v>
      </c>
      <c r="C644" t="s">
        <v>4215</v>
      </c>
      <c r="D644" s="43" t="s">
        <v>4136</v>
      </c>
      <c r="E644" s="43" t="s">
        <v>3484</v>
      </c>
      <c r="F644" s="103" t="s">
        <v>4277</v>
      </c>
    </row>
    <row r="645" spans="1:6" x14ac:dyDescent="0.25">
      <c r="A645" s="43">
        <v>1103045</v>
      </c>
      <c r="B645" t="s">
        <v>323</v>
      </c>
      <c r="C645" t="s">
        <v>4216</v>
      </c>
      <c r="D645" s="43" t="s">
        <v>3483</v>
      </c>
      <c r="E645" s="43" t="s">
        <v>3484</v>
      </c>
      <c r="F645" s="43" t="s">
        <v>3484</v>
      </c>
    </row>
    <row r="646" spans="1:6" x14ac:dyDescent="0.25">
      <c r="A646" s="43">
        <v>2111006</v>
      </c>
      <c r="B646" t="s">
        <v>209</v>
      </c>
      <c r="C646" t="s">
        <v>4217</v>
      </c>
      <c r="D646" s="43" t="s">
        <v>3739</v>
      </c>
      <c r="E646" s="43" t="s">
        <v>3484</v>
      </c>
      <c r="F646" s="43" t="s">
        <v>4277</v>
      </c>
    </row>
    <row r="647" spans="1:6" x14ac:dyDescent="0.25">
      <c r="A647" s="43">
        <v>4204025</v>
      </c>
      <c r="B647" t="s">
        <v>316</v>
      </c>
      <c r="C647" t="s">
        <v>4218</v>
      </c>
      <c r="D647" s="43" t="s">
        <v>4050</v>
      </c>
      <c r="E647" s="43" t="s">
        <v>3484</v>
      </c>
      <c r="F647" s="43" t="s">
        <v>4277</v>
      </c>
    </row>
    <row r="648" spans="1:6" x14ac:dyDescent="0.25">
      <c r="A648" s="43">
        <v>4105002</v>
      </c>
      <c r="B648" t="s">
        <v>342</v>
      </c>
      <c r="C648" t="s">
        <v>4219</v>
      </c>
      <c r="D648" s="43" t="s">
        <v>3995</v>
      </c>
      <c r="E648" s="43" t="s">
        <v>3484</v>
      </c>
      <c r="F648" s="43" t="s">
        <v>4277</v>
      </c>
    </row>
    <row r="649" spans="1:6" x14ac:dyDescent="0.25">
      <c r="A649" s="43">
        <v>2112291</v>
      </c>
      <c r="B649" t="s">
        <v>4220</v>
      </c>
      <c r="C649" t="s">
        <v>4221</v>
      </c>
      <c r="D649" s="43" t="s">
        <v>3739</v>
      </c>
      <c r="E649" s="43" t="s">
        <v>3484</v>
      </c>
      <c r="F649" s="43" t="s">
        <v>4277</v>
      </c>
    </row>
    <row r="650" spans="1:6" x14ac:dyDescent="0.25">
      <c r="A650" s="43">
        <v>1103077</v>
      </c>
      <c r="B650" t="s">
        <v>1588</v>
      </c>
      <c r="C650" t="s">
        <v>4222</v>
      </c>
      <c r="D650" s="43" t="s">
        <v>3483</v>
      </c>
      <c r="E650" s="43" t="s">
        <v>3484</v>
      </c>
      <c r="F650" s="43" t="s">
        <v>4277</v>
      </c>
    </row>
    <row r="651" spans="1:6" x14ac:dyDescent="0.25">
      <c r="A651" s="43">
        <v>2103051</v>
      </c>
      <c r="B651" t="s">
        <v>1608</v>
      </c>
      <c r="C651" t="s">
        <v>4223</v>
      </c>
      <c r="D651" s="43" t="s">
        <v>3483</v>
      </c>
      <c r="E651" s="43" t="s">
        <v>3484</v>
      </c>
      <c r="F651" s="43" t="s">
        <v>4277</v>
      </c>
    </row>
    <row r="652" spans="1:6" x14ac:dyDescent="0.25">
      <c r="A652" s="43">
        <v>1106052</v>
      </c>
      <c r="B652" t="s">
        <v>1626</v>
      </c>
      <c r="C652" t="s">
        <v>1626</v>
      </c>
      <c r="D652" s="43" t="s">
        <v>3483</v>
      </c>
      <c r="E652" s="43" t="s">
        <v>3484</v>
      </c>
      <c r="F652" s="43" t="s">
        <v>4277</v>
      </c>
    </row>
    <row r="653" spans="1:6" x14ac:dyDescent="0.25">
      <c r="A653" s="43">
        <v>2110201</v>
      </c>
      <c r="B653" t="s">
        <v>4224</v>
      </c>
      <c r="C653" t="s">
        <v>4224</v>
      </c>
      <c r="D653" s="43" t="s">
        <v>3739</v>
      </c>
      <c r="E653" s="43" t="s">
        <v>3484</v>
      </c>
      <c r="F653" s="43" t="s">
        <v>4277</v>
      </c>
    </row>
    <row r="654" spans="1:6" x14ac:dyDescent="0.25">
      <c r="A654" s="43">
        <v>1104120</v>
      </c>
      <c r="B654" t="s">
        <v>1591</v>
      </c>
      <c r="C654" t="s">
        <v>4225</v>
      </c>
      <c r="D654" s="43" t="s">
        <v>3483</v>
      </c>
      <c r="E654" s="43" t="s">
        <v>3484</v>
      </c>
      <c r="F654" s="43" t="s">
        <v>4277</v>
      </c>
    </row>
    <row r="655" spans="1:6" x14ac:dyDescent="0.25">
      <c r="A655" s="43">
        <v>1105002</v>
      </c>
      <c r="B655" t="s">
        <v>1598</v>
      </c>
      <c r="D655" s="43" t="s">
        <v>3483</v>
      </c>
      <c r="E655" s="43" t="s">
        <v>3484</v>
      </c>
      <c r="F655" s="43" t="s">
        <v>4277</v>
      </c>
    </row>
    <row r="656" spans="1:6" x14ac:dyDescent="0.25">
      <c r="A656" s="43">
        <v>1106051</v>
      </c>
      <c r="B656" t="s">
        <v>1625</v>
      </c>
      <c r="C656" t="s">
        <v>1625</v>
      </c>
      <c r="D656" s="43" t="s">
        <v>3483</v>
      </c>
      <c r="E656" s="43" t="s">
        <v>3484</v>
      </c>
      <c r="F656" s="43" t="s">
        <v>4277</v>
      </c>
    </row>
    <row r="657" spans="1:6" x14ac:dyDescent="0.25">
      <c r="A657" s="43">
        <v>1107002</v>
      </c>
      <c r="B657" t="s">
        <v>4226</v>
      </c>
      <c r="C657" t="s">
        <v>4227</v>
      </c>
      <c r="D657" s="43" t="s">
        <v>3483</v>
      </c>
      <c r="E657" s="43" t="s">
        <v>3484</v>
      </c>
      <c r="F657" s="43" t="s">
        <v>4277</v>
      </c>
    </row>
    <row r="658" spans="1:6" x14ac:dyDescent="0.25">
      <c r="A658" s="43">
        <v>1109270</v>
      </c>
      <c r="B658" t="s">
        <v>4228</v>
      </c>
      <c r="D658" s="43" t="s">
        <v>3483</v>
      </c>
      <c r="E658" s="43" t="s">
        <v>3484</v>
      </c>
      <c r="F658" s="43" t="s">
        <v>4277</v>
      </c>
    </row>
    <row r="659" spans="1:6" x14ac:dyDescent="0.25">
      <c r="A659" s="43">
        <v>2101012</v>
      </c>
      <c r="B659" t="s">
        <v>1606</v>
      </c>
      <c r="C659" t="s">
        <v>4229</v>
      </c>
      <c r="D659" s="43" t="s">
        <v>3739</v>
      </c>
      <c r="E659" s="43" t="s">
        <v>3484</v>
      </c>
      <c r="F659" s="43" t="s">
        <v>4277</v>
      </c>
    </row>
    <row r="660" spans="1:6" x14ac:dyDescent="0.25">
      <c r="A660" s="43">
        <v>2101022</v>
      </c>
      <c r="B660" t="s">
        <v>4230</v>
      </c>
      <c r="C660" t="s">
        <v>4230</v>
      </c>
      <c r="D660" s="43" t="s">
        <v>3739</v>
      </c>
      <c r="E660" s="43" t="s">
        <v>3484</v>
      </c>
      <c r="F660" s="43" t="s">
        <v>4277</v>
      </c>
    </row>
    <row r="661" spans="1:6" x14ac:dyDescent="0.25">
      <c r="A661" s="43">
        <v>2101023</v>
      </c>
      <c r="B661" t="s">
        <v>4231</v>
      </c>
      <c r="C661" t="s">
        <v>4231</v>
      </c>
      <c r="D661" s="43" t="s">
        <v>3739</v>
      </c>
      <c r="E661" s="43" t="s">
        <v>3484</v>
      </c>
      <c r="F661" s="43" t="s">
        <v>4277</v>
      </c>
    </row>
    <row r="662" spans="1:6" x14ac:dyDescent="0.25">
      <c r="A662" s="43">
        <v>2101024</v>
      </c>
      <c r="B662" t="s">
        <v>1551</v>
      </c>
      <c r="C662" t="s">
        <v>4232</v>
      </c>
      <c r="D662" s="43" t="s">
        <v>3739</v>
      </c>
      <c r="E662" s="43" t="s">
        <v>3484</v>
      </c>
      <c r="F662" s="43" t="s">
        <v>4277</v>
      </c>
    </row>
    <row r="663" spans="1:6" x14ac:dyDescent="0.25">
      <c r="A663" s="43">
        <v>2108003</v>
      </c>
      <c r="B663" t="s">
        <v>4233</v>
      </c>
      <c r="C663" t="s">
        <v>4227</v>
      </c>
      <c r="D663" s="43" t="s">
        <v>3739</v>
      </c>
      <c r="E663" s="43" t="s">
        <v>3484</v>
      </c>
      <c r="F663" s="43" t="s">
        <v>4277</v>
      </c>
    </row>
    <row r="664" spans="1:6" x14ac:dyDescent="0.25">
      <c r="A664" s="43">
        <v>2111008</v>
      </c>
      <c r="B664" t="s">
        <v>1620</v>
      </c>
      <c r="C664" t="s">
        <v>4234</v>
      </c>
      <c r="D664" s="43" t="s">
        <v>3739</v>
      </c>
      <c r="E664" s="43" t="s">
        <v>3484</v>
      </c>
      <c r="F664" s="43" t="s">
        <v>4277</v>
      </c>
    </row>
    <row r="665" spans="1:6" x14ac:dyDescent="0.25">
      <c r="A665" s="43">
        <v>2112071</v>
      </c>
      <c r="B665" t="s">
        <v>4235</v>
      </c>
      <c r="C665" t="s">
        <v>4236</v>
      </c>
      <c r="D665" s="43" t="s">
        <v>3739</v>
      </c>
      <c r="E665" s="43" t="s">
        <v>3484</v>
      </c>
      <c r="F665" s="43" t="s">
        <v>4277</v>
      </c>
    </row>
    <row r="666" spans="1:6" x14ac:dyDescent="0.25">
      <c r="A666" s="43">
        <v>4205081</v>
      </c>
      <c r="B666" t="s">
        <v>1506</v>
      </c>
      <c r="C666" t="s">
        <v>4237</v>
      </c>
      <c r="D666" s="43" t="s">
        <v>4050</v>
      </c>
      <c r="E666" s="43" t="s">
        <v>3484</v>
      </c>
      <c r="F666" s="43" t="s">
        <v>4277</v>
      </c>
    </row>
    <row r="667" spans="1:6" x14ac:dyDescent="0.25">
      <c r="A667" s="43">
        <v>4503062</v>
      </c>
      <c r="B667" t="s">
        <v>1552</v>
      </c>
      <c r="C667" t="s">
        <v>1552</v>
      </c>
      <c r="D667" s="43" t="s">
        <v>4136</v>
      </c>
      <c r="E667" s="43" t="s">
        <v>3484</v>
      </c>
      <c r="F667" s="43" t="s">
        <v>4277</v>
      </c>
    </row>
    <row r="668" spans="1:6" x14ac:dyDescent="0.25">
      <c r="A668" s="43">
        <v>1100100</v>
      </c>
      <c r="B668" t="s">
        <v>4238</v>
      </c>
      <c r="D668" s="43" t="s">
        <v>3483</v>
      </c>
      <c r="E668" s="43" t="s">
        <v>3530</v>
      </c>
      <c r="F668" s="43" t="s">
        <v>4277</v>
      </c>
    </row>
    <row r="669" spans="1:6" x14ac:dyDescent="0.25">
      <c r="A669" s="43">
        <v>1101041</v>
      </c>
      <c r="B669" t="s">
        <v>4239</v>
      </c>
      <c r="C669" t="s">
        <v>4240</v>
      </c>
      <c r="D669" s="43" t="s">
        <v>3483</v>
      </c>
      <c r="E669" s="43" t="s">
        <v>3530</v>
      </c>
      <c r="F669" s="43" t="s">
        <v>4277</v>
      </c>
    </row>
    <row r="670" spans="1:6" x14ac:dyDescent="0.25">
      <c r="A670" s="43">
        <v>1107020</v>
      </c>
      <c r="B670" t="s">
        <v>4241</v>
      </c>
      <c r="D670" s="43" t="s">
        <v>3483</v>
      </c>
      <c r="E670" s="43" t="s">
        <v>3530</v>
      </c>
      <c r="F670" s="43" t="s">
        <v>4277</v>
      </c>
    </row>
    <row r="671" spans="1:6" x14ac:dyDescent="0.25">
      <c r="A671" s="43">
        <v>1112030</v>
      </c>
      <c r="B671" t="s">
        <v>4242</v>
      </c>
      <c r="C671" t="s">
        <v>4243</v>
      </c>
      <c r="D671" s="43" t="s">
        <v>3483</v>
      </c>
      <c r="E671" s="43" t="s">
        <v>3530</v>
      </c>
      <c r="F671" s="43" t="s">
        <v>4277</v>
      </c>
    </row>
    <row r="672" spans="1:6" x14ac:dyDescent="0.25">
      <c r="A672" s="43">
        <v>1115160</v>
      </c>
      <c r="B672" t="s">
        <v>3089</v>
      </c>
      <c r="C672" t="s">
        <v>4244</v>
      </c>
      <c r="D672" s="43" t="s">
        <v>3483</v>
      </c>
      <c r="E672" s="43" t="s">
        <v>3530</v>
      </c>
      <c r="F672" s="43" t="s">
        <v>4277</v>
      </c>
    </row>
    <row r="673" spans="1:6" x14ac:dyDescent="0.25">
      <c r="A673" s="43">
        <v>1115190</v>
      </c>
      <c r="B673" t="s">
        <v>4088</v>
      </c>
      <c r="C673" t="s">
        <v>3673</v>
      </c>
      <c r="D673" s="43" t="s">
        <v>3483</v>
      </c>
      <c r="E673" s="43" t="s">
        <v>3530</v>
      </c>
      <c r="F673" s="43" t="s">
        <v>4277</v>
      </c>
    </row>
    <row r="674" spans="1:6" x14ac:dyDescent="0.25">
      <c r="A674" s="43">
        <v>1115200</v>
      </c>
      <c r="B674" t="s">
        <v>4245</v>
      </c>
      <c r="C674" t="s">
        <v>3673</v>
      </c>
      <c r="D674" s="43" t="s">
        <v>3483</v>
      </c>
      <c r="E674" s="43" t="s">
        <v>3530</v>
      </c>
      <c r="F674" s="43" t="s">
        <v>4277</v>
      </c>
    </row>
    <row r="675" spans="1:6" x14ac:dyDescent="0.25">
      <c r="A675" s="43">
        <v>2102041</v>
      </c>
      <c r="B675" t="s">
        <v>4246</v>
      </c>
      <c r="C675" t="s">
        <v>3748</v>
      </c>
      <c r="D675" s="43" t="s">
        <v>3739</v>
      </c>
      <c r="E675" s="43" t="s">
        <v>3530</v>
      </c>
      <c r="F675" s="43" t="s">
        <v>4277</v>
      </c>
    </row>
    <row r="676" spans="1:6" x14ac:dyDescent="0.25">
      <c r="A676" s="43">
        <v>2102042</v>
      </c>
      <c r="B676" t="s">
        <v>4247</v>
      </c>
      <c r="C676" t="s">
        <v>4248</v>
      </c>
      <c r="D676" s="43" t="s">
        <v>3739</v>
      </c>
      <c r="E676" s="43" t="s">
        <v>3530</v>
      </c>
      <c r="F676" s="43" t="s">
        <v>4277</v>
      </c>
    </row>
    <row r="677" spans="1:6" x14ac:dyDescent="0.25">
      <c r="A677" s="43">
        <v>2103037</v>
      </c>
      <c r="B677" t="s">
        <v>4249</v>
      </c>
      <c r="C677" t="s">
        <v>4250</v>
      </c>
      <c r="D677" s="43" t="s">
        <v>3739</v>
      </c>
      <c r="E677" s="43" t="s">
        <v>3530</v>
      </c>
      <c r="F677" s="43" t="s">
        <v>4277</v>
      </c>
    </row>
    <row r="678" spans="1:6" x14ac:dyDescent="0.25">
      <c r="A678" s="43">
        <v>2106005</v>
      </c>
      <c r="B678" t="s">
        <v>4251</v>
      </c>
      <c r="C678" t="s">
        <v>3673</v>
      </c>
      <c r="D678" s="43" t="s">
        <v>3739</v>
      </c>
      <c r="E678" s="43" t="s">
        <v>3530</v>
      </c>
      <c r="F678" s="43" t="s">
        <v>4277</v>
      </c>
    </row>
    <row r="679" spans="1:6" x14ac:dyDescent="0.25">
      <c r="A679" s="43">
        <v>2106037</v>
      </c>
      <c r="B679" t="s">
        <v>4252</v>
      </c>
      <c r="C679" t="s">
        <v>3673</v>
      </c>
      <c r="D679" s="43" t="s">
        <v>3739</v>
      </c>
      <c r="E679" s="43" t="s">
        <v>3530</v>
      </c>
      <c r="F679" s="43" t="s">
        <v>4277</v>
      </c>
    </row>
    <row r="680" spans="1:6" x14ac:dyDescent="0.25">
      <c r="A680" s="43">
        <v>2106038</v>
      </c>
      <c r="B680" t="s">
        <v>4253</v>
      </c>
      <c r="C680" t="s">
        <v>3673</v>
      </c>
      <c r="D680" s="43" t="s">
        <v>3739</v>
      </c>
      <c r="E680" s="43" t="s">
        <v>3530</v>
      </c>
      <c r="F680" s="43" t="s">
        <v>4277</v>
      </c>
    </row>
    <row r="681" spans="1:6" x14ac:dyDescent="0.25">
      <c r="A681" s="43">
        <v>2106039</v>
      </c>
      <c r="B681" t="s">
        <v>4254</v>
      </c>
      <c r="D681" s="43" t="s">
        <v>3739</v>
      </c>
      <c r="E681" s="43" t="s">
        <v>3530</v>
      </c>
      <c r="F681" s="43" t="s">
        <v>4277</v>
      </c>
    </row>
    <row r="682" spans="1:6" x14ac:dyDescent="0.25">
      <c r="A682" s="43">
        <v>2110010</v>
      </c>
      <c r="B682" t="s">
        <v>4255</v>
      </c>
      <c r="C682" t="s">
        <v>4256</v>
      </c>
      <c r="D682" s="43" t="s">
        <v>3739</v>
      </c>
      <c r="E682" s="43" t="s">
        <v>3530</v>
      </c>
      <c r="F682" s="43" t="s">
        <v>4277</v>
      </c>
    </row>
    <row r="683" spans="1:6" x14ac:dyDescent="0.25">
      <c r="A683" s="43">
        <v>2113010</v>
      </c>
      <c r="B683" t="s">
        <v>4257</v>
      </c>
      <c r="C683" t="s">
        <v>4257</v>
      </c>
      <c r="D683" s="43" t="s">
        <v>3739</v>
      </c>
      <c r="E683" s="43" t="s">
        <v>3530</v>
      </c>
      <c r="F683" s="43" t="s">
        <v>4277</v>
      </c>
    </row>
    <row r="684" spans="1:6" x14ac:dyDescent="0.25">
      <c r="A684" s="43">
        <v>2117071</v>
      </c>
      <c r="B684" t="s">
        <v>4235</v>
      </c>
      <c r="C684" t="s">
        <v>4236</v>
      </c>
      <c r="D684" s="43" t="s">
        <v>3739</v>
      </c>
      <c r="E684" s="43" t="s">
        <v>3530</v>
      </c>
      <c r="F684" s="43" t="s">
        <v>4277</v>
      </c>
    </row>
    <row r="685" spans="1:6" x14ac:dyDescent="0.25">
      <c r="A685" s="43">
        <v>3101010</v>
      </c>
      <c r="B685" t="s">
        <v>308</v>
      </c>
      <c r="C685" t="s">
        <v>4258</v>
      </c>
      <c r="D685" s="43" t="s">
        <v>3944</v>
      </c>
      <c r="E685" s="43" t="s">
        <v>3530</v>
      </c>
      <c r="F685" s="43" t="s">
        <v>4277</v>
      </c>
    </row>
    <row r="686" spans="1:6" x14ac:dyDescent="0.25">
      <c r="A686" s="43">
        <v>3101130</v>
      </c>
      <c r="B686" t="s">
        <v>4259</v>
      </c>
      <c r="C686" t="s">
        <v>4260</v>
      </c>
      <c r="D686" s="43" t="s">
        <v>3944</v>
      </c>
      <c r="E686" s="43" t="s">
        <v>3530</v>
      </c>
      <c r="F686" s="43" t="s">
        <v>4277</v>
      </c>
    </row>
    <row r="687" spans="1:6" x14ac:dyDescent="0.25">
      <c r="A687" s="43">
        <v>4202002</v>
      </c>
      <c r="B687" t="s">
        <v>4261</v>
      </c>
      <c r="D687" s="43" t="s">
        <v>4050</v>
      </c>
      <c r="E687" s="43" t="s">
        <v>3530</v>
      </c>
      <c r="F687" s="43" t="s">
        <v>4277</v>
      </c>
    </row>
    <row r="688" spans="1:6" x14ac:dyDescent="0.25">
      <c r="A688" s="43">
        <v>4202016</v>
      </c>
      <c r="B688" t="s">
        <v>108</v>
      </c>
      <c r="C688" t="s">
        <v>108</v>
      </c>
      <c r="D688" s="43" t="s">
        <v>4050</v>
      </c>
      <c r="E688" s="43" t="s">
        <v>3530</v>
      </c>
      <c r="F688" s="43" t="s">
        <v>4277</v>
      </c>
    </row>
    <row r="689" spans="1:6" x14ac:dyDescent="0.25">
      <c r="A689" s="43">
        <v>4202021</v>
      </c>
      <c r="B689" t="s">
        <v>4262</v>
      </c>
      <c r="C689" t="s">
        <v>4262</v>
      </c>
      <c r="D689" s="43" t="s">
        <v>4050</v>
      </c>
      <c r="E689" s="43" t="s">
        <v>3530</v>
      </c>
      <c r="F689" s="43" t="s">
        <v>4277</v>
      </c>
    </row>
    <row r="690" spans="1:6" x14ac:dyDescent="0.25">
      <c r="A690" s="43">
        <v>4202028</v>
      </c>
      <c r="B690" t="s">
        <v>4112</v>
      </c>
      <c r="C690" t="s">
        <v>4112</v>
      </c>
      <c r="D690" s="43" t="s">
        <v>4050</v>
      </c>
      <c r="E690" s="43" t="s">
        <v>3530</v>
      </c>
      <c r="F690" s="43" t="s">
        <v>4277</v>
      </c>
    </row>
    <row r="691" spans="1:6" x14ac:dyDescent="0.25">
      <c r="A691" s="43">
        <v>4203110</v>
      </c>
      <c r="B691" t="s">
        <v>147</v>
      </c>
      <c r="C691" t="s">
        <v>147</v>
      </c>
      <c r="D691" s="43" t="s">
        <v>4050</v>
      </c>
      <c r="E691" s="43" t="s">
        <v>3530</v>
      </c>
      <c r="F691" s="43" t="s">
        <v>4277</v>
      </c>
    </row>
    <row r="692" spans="1:6" x14ac:dyDescent="0.25">
      <c r="A692" s="43">
        <v>4503010</v>
      </c>
      <c r="B692" t="s">
        <v>4263</v>
      </c>
      <c r="C692" t="s">
        <v>4264</v>
      </c>
      <c r="D692" s="43" t="s">
        <v>4136</v>
      </c>
      <c r="E692" s="43" t="s">
        <v>3530</v>
      </c>
      <c r="F692" s="43" t="s">
        <v>4277</v>
      </c>
    </row>
    <row r="693" spans="1:6" x14ac:dyDescent="0.25">
      <c r="A693" s="43">
        <v>4503020</v>
      </c>
      <c r="B693" t="s">
        <v>4265</v>
      </c>
      <c r="D693" s="43" t="s">
        <v>4136</v>
      </c>
      <c r="E693" s="43" t="s">
        <v>3530</v>
      </c>
      <c r="F693" s="43" t="s">
        <v>4277</v>
      </c>
    </row>
    <row r="694" spans="1:6" x14ac:dyDescent="0.25">
      <c r="A694" s="43">
        <v>4503050</v>
      </c>
      <c r="B694" t="s">
        <v>4266</v>
      </c>
      <c r="C694" t="s">
        <v>4267</v>
      </c>
      <c r="D694" s="43" t="s">
        <v>4136</v>
      </c>
      <c r="E694" s="43" t="s">
        <v>3530</v>
      </c>
      <c r="F694" s="43" t="s">
        <v>4277</v>
      </c>
    </row>
    <row r="695" spans="1:6" x14ac:dyDescent="0.25">
      <c r="A695" s="43">
        <v>4503070</v>
      </c>
      <c r="B695" t="s">
        <v>4268</v>
      </c>
      <c r="C695" t="s">
        <v>4269</v>
      </c>
      <c r="D695" s="43" t="s">
        <v>4136</v>
      </c>
      <c r="E695" s="43" t="s">
        <v>3530</v>
      </c>
      <c r="F695" s="43" t="s">
        <v>4277</v>
      </c>
    </row>
    <row r="696" spans="1:6" x14ac:dyDescent="0.25">
      <c r="A696" s="43">
        <v>4503090</v>
      </c>
      <c r="B696" t="s">
        <v>4270</v>
      </c>
      <c r="C696" t="s">
        <v>4271</v>
      </c>
      <c r="D696" s="43" t="s">
        <v>4136</v>
      </c>
      <c r="E696" s="43" t="s">
        <v>3530</v>
      </c>
      <c r="F696" s="43" t="s">
        <v>4277</v>
      </c>
    </row>
    <row r="697" spans="1:6" x14ac:dyDescent="0.25">
      <c r="A697" s="43">
        <v>4503100</v>
      </c>
      <c r="B697" t="s">
        <v>4272</v>
      </c>
      <c r="C697" t="s">
        <v>4273</v>
      </c>
      <c r="D697" s="43" t="s">
        <v>4136</v>
      </c>
      <c r="E697" s="43" t="s">
        <v>3530</v>
      </c>
      <c r="F697" s="43" t="s">
        <v>4277</v>
      </c>
    </row>
    <row r="698" spans="1:6" x14ac:dyDescent="0.25">
      <c r="A698" s="43">
        <v>4503130</v>
      </c>
      <c r="B698" t="s">
        <v>4274</v>
      </c>
      <c r="C698" t="s">
        <v>4275</v>
      </c>
      <c r="D698" s="43" t="s">
        <v>4136</v>
      </c>
      <c r="E698" s="43" t="s">
        <v>3530</v>
      </c>
      <c r="F698" s="43" t="s">
        <v>4277</v>
      </c>
    </row>
  </sheetData>
  <autoFilter ref="A1:F698" xr:uid="{3AA08006-1243-49D7-ABCC-837244DFDA45}"/>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71D702-EC02-49E6-8CE4-6A86928E2A0C}">
  <sheetPr codeName="Hoja5"/>
  <dimension ref="A1:K2313"/>
  <sheetViews>
    <sheetView zoomScale="80" zoomScaleNormal="80" workbookViewId="0">
      <selection activeCell="D21" sqref="D21"/>
    </sheetView>
  </sheetViews>
  <sheetFormatPr baseColWidth="10" defaultRowHeight="15" x14ac:dyDescent="0.25"/>
  <cols>
    <col min="1" max="1" width="10.28515625" style="43" customWidth="1"/>
    <col min="2" max="2" width="45.5703125" bestFit="1" customWidth="1"/>
    <col min="3" max="3" width="18.42578125" customWidth="1"/>
    <col min="4" max="4" width="20.28515625" customWidth="1"/>
    <col min="5" max="5" width="29.7109375" customWidth="1"/>
    <col min="6" max="6" width="47" customWidth="1"/>
    <col min="7" max="7" width="11.7109375" customWidth="1"/>
    <col min="8" max="8" width="9.42578125" style="43" customWidth="1"/>
    <col min="9" max="9" width="12.42578125" customWidth="1"/>
    <col min="10" max="10" width="42" bestFit="1" customWidth="1"/>
    <col min="11" max="11" width="24.5703125" bestFit="1" customWidth="1"/>
  </cols>
  <sheetData>
    <row r="1" spans="1:11" ht="45" x14ac:dyDescent="0.25">
      <c r="A1" s="42" t="s">
        <v>460</v>
      </c>
      <c r="B1" s="42" t="s">
        <v>461</v>
      </c>
      <c r="C1" s="42" t="s">
        <v>1655</v>
      </c>
      <c r="D1" s="42" t="s">
        <v>31</v>
      </c>
      <c r="E1" s="42" t="s">
        <v>1494</v>
      </c>
      <c r="F1" s="42" t="s">
        <v>1656</v>
      </c>
      <c r="G1" s="42" t="s">
        <v>1657</v>
      </c>
      <c r="H1" s="42" t="s">
        <v>1658</v>
      </c>
      <c r="I1" s="42" t="s">
        <v>1659</v>
      </c>
      <c r="J1" s="46" t="s">
        <v>1653</v>
      </c>
      <c r="K1" s="46" t="s">
        <v>31</v>
      </c>
    </row>
    <row r="2" spans="1:11" x14ac:dyDescent="0.25">
      <c r="A2" s="48">
        <v>1121202</v>
      </c>
      <c r="B2" s="49" t="s">
        <v>754</v>
      </c>
      <c r="C2" s="49" t="s">
        <v>1660</v>
      </c>
      <c r="D2" s="49" t="s">
        <v>1578</v>
      </c>
      <c r="E2" s="49" t="s">
        <v>1578</v>
      </c>
      <c r="F2" s="49" t="s">
        <v>481</v>
      </c>
      <c r="G2" s="49" t="s">
        <v>1661</v>
      </c>
      <c r="H2" s="48" t="s">
        <v>386</v>
      </c>
      <c r="I2" s="49" t="s">
        <v>1662</v>
      </c>
      <c r="J2" t="str">
        <f>+A2&amp;" - "&amp;B2</f>
        <v>1121202 - Terreno 18 de Septiembre– Inversiones</v>
      </c>
      <c r="K2" t="str">
        <f>+D2</f>
        <v>Terreno</v>
      </c>
    </row>
    <row r="3" spans="1:11" x14ac:dyDescent="0.25">
      <c r="A3" s="48">
        <v>266</v>
      </c>
      <c r="B3" s="49" t="s">
        <v>481</v>
      </c>
      <c r="C3" s="49" t="s">
        <v>1660</v>
      </c>
      <c r="D3" s="49" t="s">
        <v>65</v>
      </c>
      <c r="E3" s="49" t="s">
        <v>65</v>
      </c>
      <c r="F3" s="49" t="s">
        <v>481</v>
      </c>
      <c r="G3" s="49" t="s">
        <v>1663</v>
      </c>
      <c r="H3" s="48" t="s">
        <v>386</v>
      </c>
      <c r="I3" s="49" t="s">
        <v>1664</v>
      </c>
      <c r="J3" t="str">
        <f t="shared" ref="J3:J66" si="0">+A3&amp;" - "&amp;B3</f>
        <v>266 - 18 de Septiembre</v>
      </c>
      <c r="K3" t="str">
        <f t="shared" ref="K3:K66" si="1">+D3</f>
        <v>Obra</v>
      </c>
    </row>
    <row r="4" spans="1:11" x14ac:dyDescent="0.25">
      <c r="A4" s="48">
        <v>10266000</v>
      </c>
      <c r="B4" s="49" t="s">
        <v>481</v>
      </c>
      <c r="C4" s="49" t="s">
        <v>1660</v>
      </c>
      <c r="D4" s="49" t="s">
        <v>1665</v>
      </c>
      <c r="E4" s="49" t="s">
        <v>1585</v>
      </c>
      <c r="F4" s="49" t="s">
        <v>481</v>
      </c>
      <c r="G4" s="49" t="s">
        <v>1661</v>
      </c>
      <c r="H4" s="48" t="s">
        <v>386</v>
      </c>
      <c r="I4" s="49" t="s">
        <v>1666</v>
      </c>
      <c r="J4" t="str">
        <f t="shared" si="0"/>
        <v>10266000 - 18 de Septiembre</v>
      </c>
      <c r="K4" t="str">
        <f t="shared" si="1"/>
        <v>Proyectos Inmobiliarios</v>
      </c>
    </row>
    <row r="5" spans="1:11" x14ac:dyDescent="0.25">
      <c r="A5" s="48">
        <v>10266102</v>
      </c>
      <c r="B5" s="49" t="s">
        <v>1335</v>
      </c>
      <c r="C5" s="49" t="s">
        <v>1660</v>
      </c>
      <c r="D5" s="49" t="s">
        <v>1665</v>
      </c>
      <c r="E5" s="49" t="s">
        <v>1617</v>
      </c>
      <c r="F5" s="49" t="s">
        <v>481</v>
      </c>
      <c r="G5" s="49" t="s">
        <v>1661</v>
      </c>
      <c r="H5" s="48" t="s">
        <v>386</v>
      </c>
      <c r="I5" s="49" t="s">
        <v>1666</v>
      </c>
      <c r="J5" t="str">
        <f t="shared" si="0"/>
        <v>10266102 - 18 de Septiembre-Marketing</v>
      </c>
      <c r="K5" t="str">
        <f t="shared" si="1"/>
        <v>Proyectos Inmobiliarios</v>
      </c>
    </row>
    <row r="6" spans="1:11" x14ac:dyDescent="0.25">
      <c r="A6" s="48">
        <v>10266103</v>
      </c>
      <c r="B6" s="49" t="s">
        <v>1336</v>
      </c>
      <c r="C6" s="49" t="s">
        <v>1660</v>
      </c>
      <c r="D6" s="49" t="s">
        <v>1665</v>
      </c>
      <c r="E6" s="49" t="s">
        <v>1618</v>
      </c>
      <c r="F6" s="49" t="s">
        <v>481</v>
      </c>
      <c r="G6" s="49" t="s">
        <v>1661</v>
      </c>
      <c r="H6" s="48" t="s">
        <v>386</v>
      </c>
      <c r="I6" s="49" t="s">
        <v>1666</v>
      </c>
      <c r="J6" t="str">
        <f t="shared" si="0"/>
        <v>10266103 - 18 de Septiembre-Operaciones</v>
      </c>
      <c r="K6" t="str">
        <f t="shared" si="1"/>
        <v>Proyectos Inmobiliarios</v>
      </c>
    </row>
    <row r="7" spans="1:11" x14ac:dyDescent="0.25">
      <c r="A7" s="48">
        <v>10266104</v>
      </c>
      <c r="B7" s="49" t="s">
        <v>1337</v>
      </c>
      <c r="C7" s="49" t="s">
        <v>1660</v>
      </c>
      <c r="D7" s="49" t="s">
        <v>1665</v>
      </c>
      <c r="E7" s="49" t="s">
        <v>90</v>
      </c>
      <c r="F7" s="49" t="s">
        <v>481</v>
      </c>
      <c r="G7" s="49" t="s">
        <v>1661</v>
      </c>
      <c r="H7" s="48" t="s">
        <v>386</v>
      </c>
      <c r="I7" s="49" t="s">
        <v>1666</v>
      </c>
      <c r="J7" t="str">
        <f t="shared" si="0"/>
        <v>10266104 - 18 de Septiembre-Ventas</v>
      </c>
      <c r="K7" t="str">
        <f t="shared" si="1"/>
        <v>Proyectos Inmobiliarios</v>
      </c>
    </row>
    <row r="8" spans="1:11" x14ac:dyDescent="0.25">
      <c r="A8" s="48">
        <v>10266105</v>
      </c>
      <c r="B8" s="49" t="s">
        <v>1338</v>
      </c>
      <c r="C8" s="49" t="s">
        <v>1660</v>
      </c>
      <c r="D8" s="49" t="s">
        <v>1665</v>
      </c>
      <c r="E8" s="49" t="s">
        <v>1622</v>
      </c>
      <c r="F8" s="49" t="s">
        <v>481</v>
      </c>
      <c r="G8" s="49" t="s">
        <v>1661</v>
      </c>
      <c r="H8" s="48" t="s">
        <v>386</v>
      </c>
      <c r="I8" s="49" t="s">
        <v>1666</v>
      </c>
      <c r="J8" t="str">
        <f t="shared" si="0"/>
        <v>10266105 - 18 de Septiembre-Clientes</v>
      </c>
      <c r="K8" t="str">
        <f t="shared" si="1"/>
        <v>Proyectos Inmobiliarios</v>
      </c>
    </row>
    <row r="9" spans="1:11" x14ac:dyDescent="0.25">
      <c r="A9" s="48">
        <v>10266204</v>
      </c>
      <c r="B9" s="49" t="s">
        <v>1339</v>
      </c>
      <c r="C9" s="49" t="s">
        <v>1660</v>
      </c>
      <c r="D9" s="49" t="s">
        <v>1665</v>
      </c>
      <c r="E9" s="49" t="s">
        <v>1624</v>
      </c>
      <c r="F9" s="49" t="s">
        <v>481</v>
      </c>
      <c r="G9" s="49" t="s">
        <v>1661</v>
      </c>
      <c r="H9" s="48" t="s">
        <v>386</v>
      </c>
      <c r="I9" s="49" t="s">
        <v>1666</v>
      </c>
      <c r="J9" t="str">
        <f t="shared" si="0"/>
        <v>10266204 - 18 de Septiembre-Proyecto</v>
      </c>
      <c r="K9" t="str">
        <f t="shared" si="1"/>
        <v>Proyectos Inmobiliarios</v>
      </c>
    </row>
    <row r="10" spans="1:11" x14ac:dyDescent="0.25">
      <c r="A10" s="48">
        <v>10266301</v>
      </c>
      <c r="B10" s="49" t="s">
        <v>1340</v>
      </c>
      <c r="C10" s="49" t="s">
        <v>1660</v>
      </c>
      <c r="D10" s="49" t="s">
        <v>1665</v>
      </c>
      <c r="E10" s="49" t="s">
        <v>1643</v>
      </c>
      <c r="F10" s="49" t="s">
        <v>481</v>
      </c>
      <c r="G10" s="49" t="s">
        <v>1667</v>
      </c>
      <c r="H10" s="48" t="s">
        <v>386</v>
      </c>
      <c r="I10" s="49" t="s">
        <v>1666</v>
      </c>
      <c r="J10" t="str">
        <f t="shared" si="0"/>
        <v>10266301 - 18 de Septiembre-GAF</v>
      </c>
      <c r="K10" t="str">
        <f t="shared" si="1"/>
        <v>Proyectos Inmobiliarios</v>
      </c>
    </row>
    <row r="11" spans="1:11" x14ac:dyDescent="0.25">
      <c r="A11" s="48">
        <v>10266505</v>
      </c>
      <c r="B11" s="49" t="s">
        <v>1341</v>
      </c>
      <c r="C11" s="49" t="s">
        <v>1660</v>
      </c>
      <c r="D11" s="49" t="s">
        <v>66</v>
      </c>
      <c r="E11" s="49" t="s">
        <v>328</v>
      </c>
      <c r="F11" s="49" t="s">
        <v>481</v>
      </c>
      <c r="G11" s="49" t="s">
        <v>1661</v>
      </c>
      <c r="H11" s="48" t="s">
        <v>386</v>
      </c>
      <c r="I11" s="49" t="s">
        <v>1666</v>
      </c>
      <c r="J11" t="str">
        <f t="shared" si="0"/>
        <v>10266505 - 18 de Septiembre-PV Inmob.</v>
      </c>
      <c r="K11" t="str">
        <f t="shared" si="1"/>
        <v>Postventa</v>
      </c>
    </row>
    <row r="12" spans="1:11" x14ac:dyDescent="0.25">
      <c r="A12" s="48">
        <v>10266506</v>
      </c>
      <c r="B12" s="49" t="s">
        <v>1342</v>
      </c>
      <c r="C12" s="49" t="s">
        <v>1660</v>
      </c>
      <c r="D12" s="49" t="s">
        <v>1665</v>
      </c>
      <c r="E12" s="49" t="s">
        <v>200</v>
      </c>
      <c r="F12" s="49" t="s">
        <v>481</v>
      </c>
      <c r="G12" s="49" t="s">
        <v>1661</v>
      </c>
      <c r="H12" s="48" t="s">
        <v>386</v>
      </c>
      <c r="I12" s="49" t="s">
        <v>1666</v>
      </c>
      <c r="J12" t="str">
        <f t="shared" si="0"/>
        <v>10266506 - 18 de Septiembre-Depto.Técnico</v>
      </c>
      <c r="K12" t="str">
        <f t="shared" si="1"/>
        <v>Proyectos Inmobiliarios</v>
      </c>
    </row>
    <row r="13" spans="1:11" x14ac:dyDescent="0.25">
      <c r="A13" s="43">
        <v>297</v>
      </c>
      <c r="B13" t="s">
        <v>483</v>
      </c>
      <c r="C13" t="s">
        <v>1500</v>
      </c>
      <c r="D13" t="s">
        <v>65</v>
      </c>
      <c r="E13" t="s">
        <v>65</v>
      </c>
      <c r="F13" t="s">
        <v>483</v>
      </c>
      <c r="G13" t="s">
        <v>1663</v>
      </c>
      <c r="H13" s="43" t="s">
        <v>386</v>
      </c>
      <c r="I13" t="s">
        <v>1668</v>
      </c>
      <c r="J13" t="str">
        <f t="shared" si="0"/>
        <v>297 - ADELANTO DE OBRA</v>
      </c>
      <c r="K13" t="str">
        <f t="shared" si="1"/>
        <v>Obra</v>
      </c>
    </row>
    <row r="14" spans="1:11" x14ac:dyDescent="0.25">
      <c r="A14" s="50">
        <v>1110202</v>
      </c>
      <c r="B14" s="51" t="s">
        <v>1669</v>
      </c>
      <c r="C14" s="51" t="s">
        <v>1670</v>
      </c>
      <c r="D14" s="51" t="s">
        <v>1578</v>
      </c>
      <c r="E14" s="51" t="s">
        <v>1578</v>
      </c>
      <c r="F14" s="51" t="s">
        <v>1671</v>
      </c>
      <c r="G14" s="51" t="s">
        <v>1661</v>
      </c>
      <c r="H14" s="50" t="s">
        <v>1672</v>
      </c>
      <c r="I14" s="51" t="s">
        <v>1662</v>
      </c>
      <c r="J14" t="str">
        <f t="shared" si="0"/>
        <v>1110202 - Terreno Alejandro Guzmán – Inversiones</v>
      </c>
      <c r="K14" t="str">
        <f t="shared" si="1"/>
        <v>Terreno</v>
      </c>
    </row>
    <row r="15" spans="1:11" x14ac:dyDescent="0.25">
      <c r="A15" s="50">
        <v>238</v>
      </c>
      <c r="B15" s="51" t="s">
        <v>1671</v>
      </c>
      <c r="C15" s="51" t="s">
        <v>1670</v>
      </c>
      <c r="D15" s="51" t="s">
        <v>65</v>
      </c>
      <c r="E15" s="51" t="s">
        <v>65</v>
      </c>
      <c r="F15" s="51" t="s">
        <v>1671</v>
      </c>
      <c r="G15" s="51" t="s">
        <v>1663</v>
      </c>
      <c r="H15" s="50" t="s">
        <v>1672</v>
      </c>
      <c r="I15" s="51" t="s">
        <v>1664</v>
      </c>
      <c r="J15" t="str">
        <f t="shared" si="0"/>
        <v>238 - Alejandro Guzmán</v>
      </c>
      <c r="K15" t="str">
        <f t="shared" si="1"/>
        <v>Obra</v>
      </c>
    </row>
    <row r="16" spans="1:11" x14ac:dyDescent="0.25">
      <c r="A16" s="50">
        <v>10238000</v>
      </c>
      <c r="B16" s="51" t="s">
        <v>1673</v>
      </c>
      <c r="C16" s="51" t="s">
        <v>1670</v>
      </c>
      <c r="D16" s="51" t="s">
        <v>1665</v>
      </c>
      <c r="E16" s="51" t="s">
        <v>1585</v>
      </c>
      <c r="F16" s="51" t="s">
        <v>1671</v>
      </c>
      <c r="G16" s="51" t="s">
        <v>1661</v>
      </c>
      <c r="H16" s="50" t="s">
        <v>1672</v>
      </c>
      <c r="I16" s="51" t="s">
        <v>1666</v>
      </c>
      <c r="J16" t="str">
        <f t="shared" si="0"/>
        <v>10238000 - ALEJANDRO GUZMÁN</v>
      </c>
      <c r="K16" t="str">
        <f t="shared" si="1"/>
        <v>Proyectos Inmobiliarios</v>
      </c>
    </row>
    <row r="17" spans="1:11" x14ac:dyDescent="0.25">
      <c r="A17" s="50">
        <v>10238102</v>
      </c>
      <c r="B17" s="51" t="s">
        <v>1674</v>
      </c>
      <c r="C17" s="51" t="s">
        <v>1670</v>
      </c>
      <c r="D17" s="51" t="s">
        <v>1665</v>
      </c>
      <c r="E17" s="51" t="s">
        <v>1617</v>
      </c>
      <c r="F17" s="51" t="s">
        <v>1671</v>
      </c>
      <c r="G17" s="51" t="s">
        <v>1661</v>
      </c>
      <c r="H17" s="50" t="s">
        <v>1672</v>
      </c>
      <c r="I17" s="51" t="s">
        <v>1666</v>
      </c>
      <c r="J17" t="str">
        <f t="shared" si="0"/>
        <v>10238102 - ALEJANDRO GUZMÁN-MARKETING</v>
      </c>
      <c r="K17" t="str">
        <f t="shared" si="1"/>
        <v>Proyectos Inmobiliarios</v>
      </c>
    </row>
    <row r="18" spans="1:11" x14ac:dyDescent="0.25">
      <c r="A18" s="50">
        <v>10238103</v>
      </c>
      <c r="B18" s="51" t="s">
        <v>1675</v>
      </c>
      <c r="C18" s="51" t="s">
        <v>1670</v>
      </c>
      <c r="D18" s="51" t="s">
        <v>1665</v>
      </c>
      <c r="E18" s="51" t="s">
        <v>1618</v>
      </c>
      <c r="F18" s="51" t="s">
        <v>1671</v>
      </c>
      <c r="G18" s="51" t="s">
        <v>1661</v>
      </c>
      <c r="H18" s="50" t="s">
        <v>1672</v>
      </c>
      <c r="I18" s="51" t="s">
        <v>1666</v>
      </c>
      <c r="J18" t="str">
        <f t="shared" si="0"/>
        <v>10238103 - ALEJANDRO GUZMÁN-OPERACIONES</v>
      </c>
      <c r="K18" t="str">
        <f t="shared" si="1"/>
        <v>Proyectos Inmobiliarios</v>
      </c>
    </row>
    <row r="19" spans="1:11" x14ac:dyDescent="0.25">
      <c r="A19" s="50">
        <v>10238104</v>
      </c>
      <c r="B19" s="51" t="s">
        <v>1676</v>
      </c>
      <c r="C19" s="51" t="s">
        <v>1670</v>
      </c>
      <c r="D19" s="51" t="s">
        <v>1665</v>
      </c>
      <c r="E19" s="51" t="s">
        <v>90</v>
      </c>
      <c r="F19" s="51" t="s">
        <v>1671</v>
      </c>
      <c r="G19" s="51" t="s">
        <v>1661</v>
      </c>
      <c r="H19" s="50" t="s">
        <v>1672</v>
      </c>
      <c r="I19" s="51" t="s">
        <v>1666</v>
      </c>
      <c r="J19" t="str">
        <f t="shared" si="0"/>
        <v>10238104 - Alejandro Guzmán-Ventas</v>
      </c>
      <c r="K19" t="str">
        <f t="shared" si="1"/>
        <v>Proyectos Inmobiliarios</v>
      </c>
    </row>
    <row r="20" spans="1:11" x14ac:dyDescent="0.25">
      <c r="A20" s="50">
        <v>10238105</v>
      </c>
      <c r="B20" s="51" t="s">
        <v>1677</v>
      </c>
      <c r="C20" s="51" t="s">
        <v>1670</v>
      </c>
      <c r="D20" s="51" t="s">
        <v>1665</v>
      </c>
      <c r="E20" s="51" t="s">
        <v>1622</v>
      </c>
      <c r="F20" s="51" t="s">
        <v>1671</v>
      </c>
      <c r="G20" s="51" t="s">
        <v>1661</v>
      </c>
      <c r="H20" s="50" t="s">
        <v>1672</v>
      </c>
      <c r="I20" s="51" t="s">
        <v>1666</v>
      </c>
      <c r="J20" t="str">
        <f t="shared" si="0"/>
        <v>10238105 - Alejandro Guzmán-Clientes</v>
      </c>
      <c r="K20" t="str">
        <f t="shared" si="1"/>
        <v>Proyectos Inmobiliarios</v>
      </c>
    </row>
    <row r="21" spans="1:11" x14ac:dyDescent="0.25">
      <c r="A21" s="50">
        <v>10238204</v>
      </c>
      <c r="B21" s="51" t="s">
        <v>1678</v>
      </c>
      <c r="C21" s="51" t="s">
        <v>1670</v>
      </c>
      <c r="D21" s="51" t="s">
        <v>1665</v>
      </c>
      <c r="E21" s="51" t="s">
        <v>1624</v>
      </c>
      <c r="F21" s="51" t="s">
        <v>1671</v>
      </c>
      <c r="G21" s="51" t="s">
        <v>1661</v>
      </c>
      <c r="H21" s="50" t="s">
        <v>1672</v>
      </c>
      <c r="I21" s="51" t="s">
        <v>1666</v>
      </c>
      <c r="J21" t="str">
        <f t="shared" si="0"/>
        <v>10238204 - Alejandro Guzmán-Proyecto</v>
      </c>
      <c r="K21" t="str">
        <f t="shared" si="1"/>
        <v>Proyectos Inmobiliarios</v>
      </c>
    </row>
    <row r="22" spans="1:11" x14ac:dyDescent="0.25">
      <c r="A22" s="50">
        <v>10238301</v>
      </c>
      <c r="B22" s="51" t="s">
        <v>1679</v>
      </c>
      <c r="C22" s="51" t="s">
        <v>1670</v>
      </c>
      <c r="D22" s="51" t="s">
        <v>1665</v>
      </c>
      <c r="E22" s="51" t="s">
        <v>1643</v>
      </c>
      <c r="F22" s="51" t="s">
        <v>1671</v>
      </c>
      <c r="G22" s="51" t="s">
        <v>1667</v>
      </c>
      <c r="H22" s="50" t="s">
        <v>1672</v>
      </c>
      <c r="I22" s="51" t="s">
        <v>1666</v>
      </c>
      <c r="J22" t="str">
        <f t="shared" si="0"/>
        <v>10238301 - ALEJANDRO GUZMÁN-GAF</v>
      </c>
      <c r="K22" t="str">
        <f t="shared" si="1"/>
        <v>Proyectos Inmobiliarios</v>
      </c>
    </row>
    <row r="23" spans="1:11" x14ac:dyDescent="0.25">
      <c r="A23" s="50">
        <v>10238505</v>
      </c>
      <c r="B23" s="51" t="s">
        <v>1680</v>
      </c>
      <c r="C23" s="51" t="s">
        <v>1670</v>
      </c>
      <c r="D23" s="51" t="s">
        <v>66</v>
      </c>
      <c r="E23" s="51" t="s">
        <v>328</v>
      </c>
      <c r="F23" s="51" t="s">
        <v>1671</v>
      </c>
      <c r="G23" s="51" t="s">
        <v>1661</v>
      </c>
      <c r="H23" s="50" t="s">
        <v>1672</v>
      </c>
      <c r="I23" s="51" t="s">
        <v>1666</v>
      </c>
      <c r="J23" t="str">
        <f t="shared" si="0"/>
        <v>10238505 - ALEJANDRO GUZMÁN-PV INMOB.</v>
      </c>
      <c r="K23" t="str">
        <f t="shared" si="1"/>
        <v>Postventa</v>
      </c>
    </row>
    <row r="24" spans="1:11" x14ac:dyDescent="0.25">
      <c r="A24" s="50">
        <v>10238506</v>
      </c>
      <c r="B24" s="51" t="s">
        <v>1681</v>
      </c>
      <c r="C24" s="51" t="s">
        <v>1670</v>
      </c>
      <c r="D24" s="51" t="s">
        <v>1665</v>
      </c>
      <c r="E24" s="51" t="s">
        <v>200</v>
      </c>
      <c r="F24" s="51" t="s">
        <v>1671</v>
      </c>
      <c r="G24" s="51" t="s">
        <v>1661</v>
      </c>
      <c r="H24" s="50" t="s">
        <v>1672</v>
      </c>
      <c r="I24" s="51" t="s">
        <v>1666</v>
      </c>
      <c r="J24" t="str">
        <f t="shared" si="0"/>
        <v>10238506 - ALEJANDRO GUZMÁN-DEPTO.TÉCNICO</v>
      </c>
      <c r="K24" t="str">
        <f t="shared" si="1"/>
        <v>Proyectos Inmobiliarios</v>
      </c>
    </row>
    <row r="25" spans="1:11" x14ac:dyDescent="0.25">
      <c r="A25" s="43">
        <v>1020202</v>
      </c>
      <c r="B25" t="s">
        <v>1682</v>
      </c>
      <c r="C25" t="s">
        <v>1660</v>
      </c>
      <c r="D25" t="s">
        <v>1578</v>
      </c>
      <c r="E25" t="s">
        <v>1578</v>
      </c>
      <c r="F25" t="s">
        <v>815</v>
      </c>
      <c r="G25" t="s">
        <v>1661</v>
      </c>
      <c r="H25" s="43" t="s">
        <v>1672</v>
      </c>
      <c r="I25" t="s">
        <v>1662</v>
      </c>
      <c r="J25" t="str">
        <f t="shared" si="0"/>
        <v>1020202 - Terreno Península Alto Cavancha-Desarrollo</v>
      </c>
      <c r="K25" t="str">
        <f t="shared" si="1"/>
        <v>Terreno</v>
      </c>
    </row>
    <row r="26" spans="1:11" x14ac:dyDescent="0.25">
      <c r="A26" s="52">
        <v>178</v>
      </c>
      <c r="B26" s="53" t="s">
        <v>815</v>
      </c>
      <c r="C26" s="53" t="s">
        <v>1660</v>
      </c>
      <c r="D26" s="53" t="s">
        <v>65</v>
      </c>
      <c r="E26" s="53" t="s">
        <v>65</v>
      </c>
      <c r="F26" s="53" t="s">
        <v>815</v>
      </c>
      <c r="G26" s="53" t="s">
        <v>1663</v>
      </c>
      <c r="H26" s="52" t="s">
        <v>1672</v>
      </c>
      <c r="I26" s="53" t="s">
        <v>1664</v>
      </c>
      <c r="J26" t="str">
        <f t="shared" si="0"/>
        <v>178 - Alto Cavancha</v>
      </c>
      <c r="K26" t="str">
        <f t="shared" si="1"/>
        <v>Obra</v>
      </c>
    </row>
    <row r="27" spans="1:11" x14ac:dyDescent="0.25">
      <c r="A27" s="52">
        <v>9223</v>
      </c>
      <c r="B27" s="53" t="s">
        <v>644</v>
      </c>
      <c r="C27" s="53" t="s">
        <v>1660</v>
      </c>
      <c r="D27" s="53" t="s">
        <v>66</v>
      </c>
      <c r="E27" s="53" t="s">
        <v>328</v>
      </c>
      <c r="F27" s="53" t="s">
        <v>815</v>
      </c>
      <c r="G27" s="53" t="s">
        <v>1661</v>
      </c>
      <c r="H27" s="52" t="s">
        <v>386</v>
      </c>
      <c r="I27" s="53" t="s">
        <v>1666</v>
      </c>
      <c r="J27" t="str">
        <f t="shared" si="0"/>
        <v>9223 - PV Alto Cavancha</v>
      </c>
      <c r="K27" t="str">
        <f t="shared" si="1"/>
        <v>Postventa</v>
      </c>
    </row>
    <row r="28" spans="1:11" x14ac:dyDescent="0.25">
      <c r="A28" s="52">
        <v>10178000</v>
      </c>
      <c r="B28" s="53" t="s">
        <v>815</v>
      </c>
      <c r="C28" s="53" t="s">
        <v>1660</v>
      </c>
      <c r="D28" s="53" t="s">
        <v>1665</v>
      </c>
      <c r="E28" s="53" t="s">
        <v>1585</v>
      </c>
      <c r="F28" s="53" t="s">
        <v>815</v>
      </c>
      <c r="G28" s="53" t="s">
        <v>1661</v>
      </c>
      <c r="H28" s="52" t="s">
        <v>386</v>
      </c>
      <c r="I28" s="53" t="s">
        <v>1666</v>
      </c>
      <c r="J28" t="str">
        <f t="shared" si="0"/>
        <v>10178000 - Alto Cavancha</v>
      </c>
      <c r="K28" t="str">
        <f t="shared" si="1"/>
        <v>Proyectos Inmobiliarios</v>
      </c>
    </row>
    <row r="29" spans="1:11" x14ac:dyDescent="0.25">
      <c r="A29" s="52">
        <v>10178102</v>
      </c>
      <c r="B29" s="53" t="s">
        <v>816</v>
      </c>
      <c r="C29" s="53" t="s">
        <v>1660</v>
      </c>
      <c r="D29" s="53" t="s">
        <v>1665</v>
      </c>
      <c r="E29" s="53" t="s">
        <v>1617</v>
      </c>
      <c r="F29" s="53" t="s">
        <v>815</v>
      </c>
      <c r="G29" s="53" t="s">
        <v>1661</v>
      </c>
      <c r="H29" s="52" t="s">
        <v>386</v>
      </c>
      <c r="I29" s="53" t="s">
        <v>1666</v>
      </c>
      <c r="J29" t="str">
        <f t="shared" si="0"/>
        <v>10178102 - Alto Cavancha-Marketing</v>
      </c>
      <c r="K29" t="str">
        <f t="shared" si="1"/>
        <v>Proyectos Inmobiliarios</v>
      </c>
    </row>
    <row r="30" spans="1:11" x14ac:dyDescent="0.25">
      <c r="A30" s="52">
        <v>10178103</v>
      </c>
      <c r="B30" s="53" t="s">
        <v>817</v>
      </c>
      <c r="C30" s="53" t="s">
        <v>1660</v>
      </c>
      <c r="D30" s="53" t="s">
        <v>1665</v>
      </c>
      <c r="E30" s="53" t="s">
        <v>1618</v>
      </c>
      <c r="F30" s="53" t="s">
        <v>815</v>
      </c>
      <c r="G30" s="53" t="s">
        <v>1661</v>
      </c>
      <c r="H30" s="52" t="s">
        <v>386</v>
      </c>
      <c r="I30" s="53" t="s">
        <v>1666</v>
      </c>
      <c r="J30" t="str">
        <f t="shared" si="0"/>
        <v>10178103 - Alto Cavancha-Operaciones</v>
      </c>
      <c r="K30" t="str">
        <f t="shared" si="1"/>
        <v>Proyectos Inmobiliarios</v>
      </c>
    </row>
    <row r="31" spans="1:11" x14ac:dyDescent="0.25">
      <c r="A31" s="52">
        <v>10178104</v>
      </c>
      <c r="B31" s="53" t="s">
        <v>818</v>
      </c>
      <c r="C31" s="53" t="s">
        <v>1660</v>
      </c>
      <c r="D31" s="53" t="s">
        <v>1665</v>
      </c>
      <c r="E31" s="53" t="s">
        <v>90</v>
      </c>
      <c r="F31" s="53" t="s">
        <v>815</v>
      </c>
      <c r="G31" s="53" t="s">
        <v>1661</v>
      </c>
      <c r="H31" s="52" t="s">
        <v>386</v>
      </c>
      <c r="I31" s="53" t="s">
        <v>1666</v>
      </c>
      <c r="J31" t="str">
        <f t="shared" si="0"/>
        <v>10178104 - Alto Cavancha-Ventas</v>
      </c>
      <c r="K31" t="str">
        <f t="shared" si="1"/>
        <v>Proyectos Inmobiliarios</v>
      </c>
    </row>
    <row r="32" spans="1:11" x14ac:dyDescent="0.25">
      <c r="A32" s="52">
        <v>10178105</v>
      </c>
      <c r="B32" s="53" t="s">
        <v>819</v>
      </c>
      <c r="C32" s="53" t="s">
        <v>1660</v>
      </c>
      <c r="D32" s="53" t="s">
        <v>1665</v>
      </c>
      <c r="E32" s="53" t="s">
        <v>1622</v>
      </c>
      <c r="F32" s="53" t="s">
        <v>815</v>
      </c>
      <c r="G32" s="53" t="s">
        <v>1661</v>
      </c>
      <c r="H32" s="52" t="s">
        <v>386</v>
      </c>
      <c r="I32" s="53" t="s">
        <v>1666</v>
      </c>
      <c r="J32" t="str">
        <f t="shared" si="0"/>
        <v>10178105 - Alto Cavancha-Clientes</v>
      </c>
      <c r="K32" t="str">
        <f t="shared" si="1"/>
        <v>Proyectos Inmobiliarios</v>
      </c>
    </row>
    <row r="33" spans="1:11" x14ac:dyDescent="0.25">
      <c r="A33" s="52">
        <v>10178203</v>
      </c>
      <c r="B33" s="53" t="s">
        <v>820</v>
      </c>
      <c r="C33" s="53" t="s">
        <v>1660</v>
      </c>
      <c r="D33" s="53" t="s">
        <v>1665</v>
      </c>
      <c r="E33" s="53" t="s">
        <v>1624</v>
      </c>
      <c r="F33" s="53" t="s">
        <v>815</v>
      </c>
      <c r="G33" s="53" t="s">
        <v>1661</v>
      </c>
      <c r="H33" s="52" t="s">
        <v>386</v>
      </c>
      <c r="I33" s="53" t="s">
        <v>1666</v>
      </c>
      <c r="J33" t="str">
        <f t="shared" si="0"/>
        <v>10178203 - Alto Cavancha-Proyecto</v>
      </c>
      <c r="K33" t="str">
        <f t="shared" si="1"/>
        <v>Proyectos Inmobiliarios</v>
      </c>
    </row>
    <row r="34" spans="1:11" x14ac:dyDescent="0.25">
      <c r="A34" s="52">
        <v>10178301</v>
      </c>
      <c r="B34" s="53" t="s">
        <v>821</v>
      </c>
      <c r="C34" s="53" t="s">
        <v>1660</v>
      </c>
      <c r="D34" s="53" t="s">
        <v>1665</v>
      </c>
      <c r="E34" s="53" t="s">
        <v>1643</v>
      </c>
      <c r="F34" s="53" t="s">
        <v>815</v>
      </c>
      <c r="G34" s="53" t="s">
        <v>1667</v>
      </c>
      <c r="H34" s="52" t="s">
        <v>386</v>
      </c>
      <c r="I34" s="53" t="s">
        <v>1666</v>
      </c>
      <c r="J34" t="str">
        <f t="shared" si="0"/>
        <v>10178301 - Alto Cavancha-GAF</v>
      </c>
      <c r="K34" t="str">
        <f t="shared" si="1"/>
        <v>Proyectos Inmobiliarios</v>
      </c>
    </row>
    <row r="35" spans="1:11" x14ac:dyDescent="0.25">
      <c r="A35" s="52">
        <v>10178505</v>
      </c>
      <c r="B35" s="53" t="s">
        <v>822</v>
      </c>
      <c r="C35" s="53" t="s">
        <v>1660</v>
      </c>
      <c r="D35" s="53" t="s">
        <v>66</v>
      </c>
      <c r="E35" s="53" t="s">
        <v>328</v>
      </c>
      <c r="F35" s="53" t="s">
        <v>815</v>
      </c>
      <c r="G35" s="53" t="s">
        <v>1661</v>
      </c>
      <c r="H35" s="52" t="s">
        <v>386</v>
      </c>
      <c r="I35" s="53" t="s">
        <v>1666</v>
      </c>
      <c r="J35" t="str">
        <f t="shared" si="0"/>
        <v>10178505 - Alto Cavancha-PV Inmob.</v>
      </c>
      <c r="K35" t="str">
        <f t="shared" si="1"/>
        <v>Postventa</v>
      </c>
    </row>
    <row r="36" spans="1:11" x14ac:dyDescent="0.25">
      <c r="A36" s="52">
        <v>10178506</v>
      </c>
      <c r="B36" s="53" t="s">
        <v>823</v>
      </c>
      <c r="C36" s="53" t="s">
        <v>1660</v>
      </c>
      <c r="D36" s="53" t="s">
        <v>1665</v>
      </c>
      <c r="E36" s="53" t="s">
        <v>200</v>
      </c>
      <c r="F36" s="53" t="s">
        <v>815</v>
      </c>
      <c r="G36" s="53" t="s">
        <v>1661</v>
      </c>
      <c r="H36" s="52" t="s">
        <v>386</v>
      </c>
      <c r="I36" s="53" t="s">
        <v>1666</v>
      </c>
      <c r="J36" t="str">
        <f t="shared" si="0"/>
        <v>10178506 - Alto Cavancha-Depto.Técnico</v>
      </c>
      <c r="K36" t="str">
        <f t="shared" si="1"/>
        <v>Proyectos Inmobiliarios</v>
      </c>
    </row>
    <row r="37" spans="1:11" x14ac:dyDescent="0.25">
      <c r="A37" s="43">
        <v>223</v>
      </c>
      <c r="B37" t="s">
        <v>1683</v>
      </c>
      <c r="C37" t="s">
        <v>1660</v>
      </c>
      <c r="D37" t="s">
        <v>65</v>
      </c>
      <c r="E37" t="s">
        <v>65</v>
      </c>
      <c r="F37" t="s">
        <v>815</v>
      </c>
      <c r="G37" t="s">
        <v>1663</v>
      </c>
      <c r="H37" s="43" t="s">
        <v>1672</v>
      </c>
      <c r="I37" t="s">
        <v>1664</v>
      </c>
      <c r="J37" t="str">
        <f t="shared" si="0"/>
        <v>223 - Alto Cavancha-SA</v>
      </c>
      <c r="K37" t="str">
        <f t="shared" si="1"/>
        <v>Obra</v>
      </c>
    </row>
    <row r="38" spans="1:11" x14ac:dyDescent="0.25">
      <c r="A38" s="54">
        <v>999999999</v>
      </c>
      <c r="B38" s="55" t="s">
        <v>1684</v>
      </c>
      <c r="C38" s="55"/>
      <c r="D38" s="55" t="s">
        <v>1578</v>
      </c>
      <c r="E38" s="55" t="s">
        <v>1578</v>
      </c>
      <c r="F38" s="55" t="s">
        <v>898</v>
      </c>
      <c r="G38" s="55" t="s">
        <v>1661</v>
      </c>
      <c r="H38" s="54" t="s">
        <v>1672</v>
      </c>
      <c r="I38" s="55" t="s">
        <v>1662</v>
      </c>
      <c r="J38" t="str">
        <f t="shared" si="0"/>
        <v>999999999 - Terreno Abuelo Proyectos sin Terreno</v>
      </c>
      <c r="K38" t="str">
        <f t="shared" si="1"/>
        <v>Terreno</v>
      </c>
    </row>
    <row r="39" spans="1:11" x14ac:dyDescent="0.25">
      <c r="A39" s="54">
        <v>210</v>
      </c>
      <c r="B39" s="55" t="s">
        <v>898</v>
      </c>
      <c r="C39" s="55" t="s">
        <v>1685</v>
      </c>
      <c r="D39" s="55" t="s">
        <v>65</v>
      </c>
      <c r="E39" s="55" t="s">
        <v>65</v>
      </c>
      <c r="F39" s="55" t="s">
        <v>898</v>
      </c>
      <c r="G39" s="55" t="s">
        <v>1663</v>
      </c>
      <c r="H39" s="54" t="s">
        <v>1672</v>
      </c>
      <c r="I39" s="55" t="s">
        <v>1664</v>
      </c>
      <c r="J39" t="str">
        <f t="shared" si="0"/>
        <v>210 - Alto Foresta</v>
      </c>
      <c r="K39" t="str">
        <f t="shared" si="1"/>
        <v>Obra</v>
      </c>
    </row>
    <row r="40" spans="1:11" x14ac:dyDescent="0.25">
      <c r="A40" s="54">
        <v>9210</v>
      </c>
      <c r="B40" s="55" t="s">
        <v>633</v>
      </c>
      <c r="C40" s="55" t="s">
        <v>1685</v>
      </c>
      <c r="D40" s="55" t="s">
        <v>66</v>
      </c>
      <c r="E40" s="55" t="s">
        <v>328</v>
      </c>
      <c r="F40" s="55" t="s">
        <v>898</v>
      </c>
      <c r="G40" s="55" t="s">
        <v>1661</v>
      </c>
      <c r="H40" s="54" t="s">
        <v>386</v>
      </c>
      <c r="I40" s="55" t="s">
        <v>1666</v>
      </c>
      <c r="J40" t="str">
        <f t="shared" si="0"/>
        <v>9210 - PV Alto Foresta</v>
      </c>
      <c r="K40" t="str">
        <f t="shared" si="1"/>
        <v>Postventa</v>
      </c>
    </row>
    <row r="41" spans="1:11" x14ac:dyDescent="0.25">
      <c r="A41" s="54">
        <v>10203000</v>
      </c>
      <c r="B41" s="55" t="s">
        <v>898</v>
      </c>
      <c r="C41" s="55" t="s">
        <v>1685</v>
      </c>
      <c r="D41" s="55" t="s">
        <v>1665</v>
      </c>
      <c r="E41" s="55" t="s">
        <v>1585</v>
      </c>
      <c r="F41" s="55" t="s">
        <v>898</v>
      </c>
      <c r="G41" s="55" t="s">
        <v>1661</v>
      </c>
      <c r="H41" s="54" t="s">
        <v>386</v>
      </c>
      <c r="I41" s="55" t="s">
        <v>1666</v>
      </c>
      <c r="J41" t="str">
        <f t="shared" si="0"/>
        <v>10203000 - Alto Foresta</v>
      </c>
      <c r="K41" t="str">
        <f t="shared" si="1"/>
        <v>Proyectos Inmobiliarios</v>
      </c>
    </row>
    <row r="42" spans="1:11" x14ac:dyDescent="0.25">
      <c r="A42" s="54">
        <v>10203102</v>
      </c>
      <c r="B42" s="55" t="s">
        <v>899</v>
      </c>
      <c r="C42" s="55" t="s">
        <v>1685</v>
      </c>
      <c r="D42" s="55" t="s">
        <v>1665</v>
      </c>
      <c r="E42" s="55" t="s">
        <v>1617</v>
      </c>
      <c r="F42" s="55" t="s">
        <v>898</v>
      </c>
      <c r="G42" s="55" t="s">
        <v>1661</v>
      </c>
      <c r="H42" s="54" t="s">
        <v>386</v>
      </c>
      <c r="I42" s="55" t="s">
        <v>1666</v>
      </c>
      <c r="J42" t="str">
        <f t="shared" si="0"/>
        <v>10203102 - Alto Foresta-Marketing</v>
      </c>
      <c r="K42" t="str">
        <f t="shared" si="1"/>
        <v>Proyectos Inmobiliarios</v>
      </c>
    </row>
    <row r="43" spans="1:11" x14ac:dyDescent="0.25">
      <c r="A43" s="54">
        <v>10203103</v>
      </c>
      <c r="B43" s="55" t="s">
        <v>900</v>
      </c>
      <c r="C43" s="55" t="s">
        <v>1685</v>
      </c>
      <c r="D43" s="55" t="s">
        <v>1665</v>
      </c>
      <c r="E43" s="55" t="s">
        <v>1618</v>
      </c>
      <c r="F43" s="55" t="s">
        <v>898</v>
      </c>
      <c r="G43" s="55" t="s">
        <v>1661</v>
      </c>
      <c r="H43" s="54" t="s">
        <v>386</v>
      </c>
      <c r="I43" s="55" t="s">
        <v>1666</v>
      </c>
      <c r="J43" t="str">
        <f t="shared" si="0"/>
        <v>10203103 - Alto Foresta-Operaciones</v>
      </c>
      <c r="K43" t="str">
        <f t="shared" si="1"/>
        <v>Proyectos Inmobiliarios</v>
      </c>
    </row>
    <row r="44" spans="1:11" x14ac:dyDescent="0.25">
      <c r="A44" s="54">
        <v>10203104</v>
      </c>
      <c r="B44" s="55" t="s">
        <v>901</v>
      </c>
      <c r="C44" s="55" t="s">
        <v>1685</v>
      </c>
      <c r="D44" s="55" t="s">
        <v>1665</v>
      </c>
      <c r="E44" s="55" t="s">
        <v>90</v>
      </c>
      <c r="F44" s="55" t="s">
        <v>898</v>
      </c>
      <c r="G44" s="55" t="s">
        <v>1661</v>
      </c>
      <c r="H44" s="54" t="s">
        <v>386</v>
      </c>
      <c r="I44" s="55" t="s">
        <v>1666</v>
      </c>
      <c r="J44" t="str">
        <f t="shared" si="0"/>
        <v>10203104 - Alto Foresta-Ventas</v>
      </c>
      <c r="K44" t="str">
        <f t="shared" si="1"/>
        <v>Proyectos Inmobiliarios</v>
      </c>
    </row>
    <row r="45" spans="1:11" x14ac:dyDescent="0.25">
      <c r="A45" s="54">
        <v>10203105</v>
      </c>
      <c r="B45" s="55" t="s">
        <v>902</v>
      </c>
      <c r="C45" s="55" t="s">
        <v>1685</v>
      </c>
      <c r="D45" s="55" t="s">
        <v>1665</v>
      </c>
      <c r="E45" s="55" t="s">
        <v>1622</v>
      </c>
      <c r="F45" s="55" t="s">
        <v>898</v>
      </c>
      <c r="G45" s="55" t="s">
        <v>1661</v>
      </c>
      <c r="H45" s="54" t="s">
        <v>386</v>
      </c>
      <c r="I45" s="55" t="s">
        <v>1666</v>
      </c>
      <c r="J45" t="str">
        <f t="shared" si="0"/>
        <v>10203105 - Alto Foresta-Clientes</v>
      </c>
      <c r="K45" t="str">
        <f t="shared" si="1"/>
        <v>Proyectos Inmobiliarios</v>
      </c>
    </row>
    <row r="46" spans="1:11" x14ac:dyDescent="0.25">
      <c r="A46" s="54">
        <v>10203204</v>
      </c>
      <c r="B46" s="55" t="s">
        <v>903</v>
      </c>
      <c r="C46" s="55" t="s">
        <v>1685</v>
      </c>
      <c r="D46" s="55" t="s">
        <v>1665</v>
      </c>
      <c r="E46" s="55" t="s">
        <v>1624</v>
      </c>
      <c r="F46" s="55" t="s">
        <v>898</v>
      </c>
      <c r="G46" s="55" t="s">
        <v>1661</v>
      </c>
      <c r="H46" s="54" t="s">
        <v>386</v>
      </c>
      <c r="I46" s="55" t="s">
        <v>1666</v>
      </c>
      <c r="J46" t="str">
        <f t="shared" si="0"/>
        <v>10203204 - Alto Foresta-Proyecto</v>
      </c>
      <c r="K46" t="str">
        <f t="shared" si="1"/>
        <v>Proyectos Inmobiliarios</v>
      </c>
    </row>
    <row r="47" spans="1:11" x14ac:dyDescent="0.25">
      <c r="A47" s="54">
        <v>10203301</v>
      </c>
      <c r="B47" s="55" t="s">
        <v>904</v>
      </c>
      <c r="C47" s="55" t="s">
        <v>1685</v>
      </c>
      <c r="D47" s="55" t="s">
        <v>1665</v>
      </c>
      <c r="E47" s="55" t="s">
        <v>1643</v>
      </c>
      <c r="F47" s="55" t="s">
        <v>898</v>
      </c>
      <c r="G47" s="55" t="s">
        <v>1667</v>
      </c>
      <c r="H47" s="54" t="s">
        <v>386</v>
      </c>
      <c r="I47" s="55" t="s">
        <v>1666</v>
      </c>
      <c r="J47" t="str">
        <f t="shared" si="0"/>
        <v>10203301 - Alto Foresta-GAF</v>
      </c>
      <c r="K47" t="str">
        <f t="shared" si="1"/>
        <v>Proyectos Inmobiliarios</v>
      </c>
    </row>
    <row r="48" spans="1:11" x14ac:dyDescent="0.25">
      <c r="A48" s="54">
        <v>10203505</v>
      </c>
      <c r="B48" s="55" t="s">
        <v>905</v>
      </c>
      <c r="C48" s="55" t="s">
        <v>1685</v>
      </c>
      <c r="D48" s="55" t="s">
        <v>66</v>
      </c>
      <c r="E48" s="55" t="s">
        <v>328</v>
      </c>
      <c r="F48" s="55" t="s">
        <v>898</v>
      </c>
      <c r="G48" s="55" t="s">
        <v>1661</v>
      </c>
      <c r="H48" s="54" t="s">
        <v>386</v>
      </c>
      <c r="I48" s="55" t="s">
        <v>1666</v>
      </c>
      <c r="J48" t="str">
        <f t="shared" si="0"/>
        <v>10203505 - Alto Foresta-PV Inmob.</v>
      </c>
      <c r="K48" t="str">
        <f t="shared" si="1"/>
        <v>Postventa</v>
      </c>
    </row>
    <row r="49" spans="1:11" x14ac:dyDescent="0.25">
      <c r="A49" s="54">
        <v>10203506</v>
      </c>
      <c r="B49" s="55" t="s">
        <v>906</v>
      </c>
      <c r="C49" s="55" t="s">
        <v>1685</v>
      </c>
      <c r="D49" s="55" t="s">
        <v>1665</v>
      </c>
      <c r="E49" s="55" t="s">
        <v>200</v>
      </c>
      <c r="F49" s="55" t="s">
        <v>898</v>
      </c>
      <c r="G49" s="55" t="s">
        <v>1661</v>
      </c>
      <c r="H49" s="54" t="s">
        <v>386</v>
      </c>
      <c r="I49" s="55" t="s">
        <v>1666</v>
      </c>
      <c r="J49" t="str">
        <f t="shared" si="0"/>
        <v>10203506 - Alto Foresta-Depto.Técnico</v>
      </c>
      <c r="K49" t="str">
        <f t="shared" si="1"/>
        <v>Proyectos Inmobiliarios</v>
      </c>
    </row>
    <row r="50" spans="1:11" x14ac:dyDescent="0.25">
      <c r="A50" s="50">
        <v>1097202</v>
      </c>
      <c r="B50" s="51" t="s">
        <v>740</v>
      </c>
      <c r="C50" s="51" t="s">
        <v>1685</v>
      </c>
      <c r="D50" s="51" t="s">
        <v>1578</v>
      </c>
      <c r="E50" s="51" t="s">
        <v>1578</v>
      </c>
      <c r="F50" s="51" t="s">
        <v>478</v>
      </c>
      <c r="G50" s="51" t="s">
        <v>1661</v>
      </c>
      <c r="H50" s="50" t="s">
        <v>386</v>
      </c>
      <c r="I50" s="51" t="s">
        <v>1662</v>
      </c>
      <c r="J50" t="str">
        <f t="shared" si="0"/>
        <v>1097202 - Terreno Alto Viña III – Inversiones</v>
      </c>
      <c r="K50" t="str">
        <f t="shared" si="1"/>
        <v>Terreno</v>
      </c>
    </row>
    <row r="51" spans="1:11" x14ac:dyDescent="0.25">
      <c r="A51" s="50">
        <v>262</v>
      </c>
      <c r="B51" s="51" t="s">
        <v>478</v>
      </c>
      <c r="C51" s="51" t="s">
        <v>1685</v>
      </c>
      <c r="D51" s="51" t="s">
        <v>65</v>
      </c>
      <c r="E51" s="51" t="s">
        <v>65</v>
      </c>
      <c r="F51" s="51" t="s">
        <v>478</v>
      </c>
      <c r="G51" s="51" t="s">
        <v>1663</v>
      </c>
      <c r="H51" s="50" t="s">
        <v>386</v>
      </c>
      <c r="I51" s="51" t="s">
        <v>1664</v>
      </c>
      <c r="J51" t="str">
        <f t="shared" si="0"/>
        <v>262 - Alto Marañon 3</v>
      </c>
      <c r="K51" t="str">
        <f t="shared" si="1"/>
        <v>Obra</v>
      </c>
    </row>
    <row r="52" spans="1:11" x14ac:dyDescent="0.25">
      <c r="A52" s="50">
        <v>8262</v>
      </c>
      <c r="B52" s="51" t="s">
        <v>544</v>
      </c>
      <c r="C52" s="51" t="s">
        <v>1685</v>
      </c>
      <c r="D52" s="51" t="s">
        <v>1686</v>
      </c>
      <c r="E52" s="51" t="s">
        <v>1501</v>
      </c>
      <c r="F52" s="51" t="s">
        <v>478</v>
      </c>
      <c r="G52" s="51" t="s">
        <v>1661</v>
      </c>
      <c r="H52" s="50" t="s">
        <v>386</v>
      </c>
      <c r="I52" s="51" t="s">
        <v>1666</v>
      </c>
      <c r="J52" t="str">
        <f t="shared" si="0"/>
        <v>8262 - Entrega Alto Marañon 3</v>
      </c>
      <c r="K52" t="str">
        <f t="shared" si="1"/>
        <v>Entrega</v>
      </c>
    </row>
    <row r="53" spans="1:11" x14ac:dyDescent="0.25">
      <c r="A53" s="50">
        <v>9262</v>
      </c>
      <c r="B53" s="51" t="s">
        <v>670</v>
      </c>
      <c r="C53" s="51" t="s">
        <v>1685</v>
      </c>
      <c r="D53" s="51" t="s">
        <v>66</v>
      </c>
      <c r="E53" s="51" t="s">
        <v>328</v>
      </c>
      <c r="F53" s="51" t="s">
        <v>478</v>
      </c>
      <c r="G53" s="51" t="s">
        <v>1661</v>
      </c>
      <c r="H53" s="50" t="s">
        <v>386</v>
      </c>
      <c r="I53" s="51" t="s">
        <v>1666</v>
      </c>
      <c r="J53" t="str">
        <f t="shared" si="0"/>
        <v>9262 - PV Alto Marañon 3</v>
      </c>
      <c r="K53" t="str">
        <f t="shared" si="1"/>
        <v>Postventa</v>
      </c>
    </row>
    <row r="54" spans="1:11" x14ac:dyDescent="0.25">
      <c r="A54" s="50">
        <v>10262000</v>
      </c>
      <c r="B54" s="51" t="s">
        <v>478</v>
      </c>
      <c r="C54" s="51" t="s">
        <v>1685</v>
      </c>
      <c r="D54" s="51" t="s">
        <v>1665</v>
      </c>
      <c r="E54" s="51" t="s">
        <v>1585</v>
      </c>
      <c r="F54" s="51" t="s">
        <v>478</v>
      </c>
      <c r="G54" s="51" t="s">
        <v>1661</v>
      </c>
      <c r="H54" s="50" t="s">
        <v>386</v>
      </c>
      <c r="I54" s="51" t="s">
        <v>1666</v>
      </c>
      <c r="J54" t="str">
        <f t="shared" si="0"/>
        <v>10262000 - Alto Marañon 3</v>
      </c>
      <c r="K54" t="str">
        <f t="shared" si="1"/>
        <v>Proyectos Inmobiliarios</v>
      </c>
    </row>
    <row r="55" spans="1:11" x14ac:dyDescent="0.25">
      <c r="A55" s="50">
        <v>10262102</v>
      </c>
      <c r="B55" s="51" t="s">
        <v>1303</v>
      </c>
      <c r="C55" s="51" t="s">
        <v>1685</v>
      </c>
      <c r="D55" s="51" t="s">
        <v>1665</v>
      </c>
      <c r="E55" s="51" t="s">
        <v>1617</v>
      </c>
      <c r="F55" s="51" t="s">
        <v>478</v>
      </c>
      <c r="G55" s="51" t="s">
        <v>1661</v>
      </c>
      <c r="H55" s="50" t="s">
        <v>386</v>
      </c>
      <c r="I55" s="51" t="s">
        <v>1666</v>
      </c>
      <c r="J55" t="str">
        <f t="shared" si="0"/>
        <v>10262102 - Alto Marañon 3-Marketing</v>
      </c>
      <c r="K55" t="str">
        <f t="shared" si="1"/>
        <v>Proyectos Inmobiliarios</v>
      </c>
    </row>
    <row r="56" spans="1:11" x14ac:dyDescent="0.25">
      <c r="A56" s="50">
        <v>10262103</v>
      </c>
      <c r="B56" s="51" t="s">
        <v>1304</v>
      </c>
      <c r="C56" s="51" t="s">
        <v>1685</v>
      </c>
      <c r="D56" s="51" t="s">
        <v>1665</v>
      </c>
      <c r="E56" s="51" t="s">
        <v>1618</v>
      </c>
      <c r="F56" s="51" t="s">
        <v>478</v>
      </c>
      <c r="G56" s="51" t="s">
        <v>1661</v>
      </c>
      <c r="H56" s="50" t="s">
        <v>386</v>
      </c>
      <c r="I56" s="51" t="s">
        <v>1666</v>
      </c>
      <c r="J56" t="str">
        <f t="shared" si="0"/>
        <v>10262103 - Alto Marañon 3-Operaciones</v>
      </c>
      <c r="K56" t="str">
        <f t="shared" si="1"/>
        <v>Proyectos Inmobiliarios</v>
      </c>
    </row>
    <row r="57" spans="1:11" x14ac:dyDescent="0.25">
      <c r="A57" s="50">
        <v>10262104</v>
      </c>
      <c r="B57" s="51" t="s">
        <v>1305</v>
      </c>
      <c r="C57" s="51" t="s">
        <v>1685</v>
      </c>
      <c r="D57" s="51" t="s">
        <v>1665</v>
      </c>
      <c r="E57" s="51" t="s">
        <v>90</v>
      </c>
      <c r="F57" s="51" t="s">
        <v>478</v>
      </c>
      <c r="G57" s="51" t="s">
        <v>1661</v>
      </c>
      <c r="H57" s="50" t="s">
        <v>386</v>
      </c>
      <c r="I57" s="51" t="s">
        <v>1666</v>
      </c>
      <c r="J57" t="str">
        <f t="shared" si="0"/>
        <v>10262104 - Alto Marañon 3-Ventas</v>
      </c>
      <c r="K57" t="str">
        <f t="shared" si="1"/>
        <v>Proyectos Inmobiliarios</v>
      </c>
    </row>
    <row r="58" spans="1:11" x14ac:dyDescent="0.25">
      <c r="A58" s="50">
        <v>10262105</v>
      </c>
      <c r="B58" s="51" t="s">
        <v>1306</v>
      </c>
      <c r="C58" s="51" t="s">
        <v>1685</v>
      </c>
      <c r="D58" s="51" t="s">
        <v>1665</v>
      </c>
      <c r="E58" s="51" t="s">
        <v>1622</v>
      </c>
      <c r="F58" s="51" t="s">
        <v>478</v>
      </c>
      <c r="G58" s="51" t="s">
        <v>1661</v>
      </c>
      <c r="H58" s="50" t="s">
        <v>386</v>
      </c>
      <c r="I58" s="51" t="s">
        <v>1666</v>
      </c>
      <c r="J58" t="str">
        <f t="shared" si="0"/>
        <v>10262105 - Alto Marañon 3-Clientes</v>
      </c>
      <c r="K58" t="str">
        <f t="shared" si="1"/>
        <v>Proyectos Inmobiliarios</v>
      </c>
    </row>
    <row r="59" spans="1:11" x14ac:dyDescent="0.25">
      <c r="A59" s="50">
        <v>10262204</v>
      </c>
      <c r="B59" s="51" t="s">
        <v>1307</v>
      </c>
      <c r="C59" s="51" t="s">
        <v>1685</v>
      </c>
      <c r="D59" s="51" t="s">
        <v>1665</v>
      </c>
      <c r="E59" s="51" t="s">
        <v>1624</v>
      </c>
      <c r="F59" s="51" t="s">
        <v>478</v>
      </c>
      <c r="G59" s="51" t="s">
        <v>1661</v>
      </c>
      <c r="H59" s="50" t="s">
        <v>386</v>
      </c>
      <c r="I59" s="51" t="s">
        <v>1666</v>
      </c>
      <c r="J59" t="str">
        <f t="shared" si="0"/>
        <v>10262204 - Alto Marañon 3-Proyecto</v>
      </c>
      <c r="K59" t="str">
        <f t="shared" si="1"/>
        <v>Proyectos Inmobiliarios</v>
      </c>
    </row>
    <row r="60" spans="1:11" x14ac:dyDescent="0.25">
      <c r="A60" s="50">
        <v>10262301</v>
      </c>
      <c r="B60" s="51" t="s">
        <v>1308</v>
      </c>
      <c r="C60" s="51" t="s">
        <v>1685</v>
      </c>
      <c r="D60" s="51" t="s">
        <v>1665</v>
      </c>
      <c r="E60" s="51" t="s">
        <v>1643</v>
      </c>
      <c r="F60" s="51" t="s">
        <v>478</v>
      </c>
      <c r="G60" s="51" t="s">
        <v>1667</v>
      </c>
      <c r="H60" s="50" t="s">
        <v>386</v>
      </c>
      <c r="I60" s="51" t="s">
        <v>1666</v>
      </c>
      <c r="J60" t="str">
        <f t="shared" si="0"/>
        <v>10262301 - Alto Marañon 3-GAF</v>
      </c>
      <c r="K60" t="str">
        <f t="shared" si="1"/>
        <v>Proyectos Inmobiliarios</v>
      </c>
    </row>
    <row r="61" spans="1:11" x14ac:dyDescent="0.25">
      <c r="A61" s="50">
        <v>10262505</v>
      </c>
      <c r="B61" s="51" t="s">
        <v>1309</v>
      </c>
      <c r="C61" s="51" t="s">
        <v>1685</v>
      </c>
      <c r="D61" s="51" t="s">
        <v>66</v>
      </c>
      <c r="E61" s="51" t="s">
        <v>328</v>
      </c>
      <c r="F61" s="51" t="s">
        <v>478</v>
      </c>
      <c r="G61" s="51" t="s">
        <v>1661</v>
      </c>
      <c r="H61" s="50" t="s">
        <v>386</v>
      </c>
      <c r="I61" s="51" t="s">
        <v>1666</v>
      </c>
      <c r="J61" t="str">
        <f t="shared" si="0"/>
        <v>10262505 - Alto Marañon 3-PV Inmob.</v>
      </c>
      <c r="K61" t="str">
        <f t="shared" si="1"/>
        <v>Postventa</v>
      </c>
    </row>
    <row r="62" spans="1:11" x14ac:dyDescent="0.25">
      <c r="A62" s="50">
        <v>10262506</v>
      </c>
      <c r="B62" s="51" t="s">
        <v>1310</v>
      </c>
      <c r="C62" s="51" t="s">
        <v>1685</v>
      </c>
      <c r="D62" s="51" t="s">
        <v>1665</v>
      </c>
      <c r="E62" s="51" t="s">
        <v>200</v>
      </c>
      <c r="F62" s="51" t="s">
        <v>478</v>
      </c>
      <c r="G62" s="51" t="s">
        <v>1661</v>
      </c>
      <c r="H62" s="50" t="s">
        <v>386</v>
      </c>
      <c r="I62" s="51" t="s">
        <v>1666</v>
      </c>
      <c r="J62" t="str">
        <f t="shared" si="0"/>
        <v>10262506 - Alto Marañon 3-Depto.Técnico</v>
      </c>
      <c r="K62" t="str">
        <f t="shared" si="1"/>
        <v>Proyectos Inmobiliarios</v>
      </c>
    </row>
    <row r="63" spans="1:11" x14ac:dyDescent="0.25">
      <c r="A63" s="43">
        <v>1093202</v>
      </c>
      <c r="B63" t="s">
        <v>736</v>
      </c>
      <c r="C63" t="s">
        <v>1685</v>
      </c>
      <c r="D63" t="s">
        <v>1578</v>
      </c>
      <c r="E63" t="s">
        <v>1578</v>
      </c>
      <c r="F63" t="s">
        <v>1687</v>
      </c>
      <c r="G63" t="s">
        <v>1661</v>
      </c>
      <c r="H63" s="43" t="s">
        <v>386</v>
      </c>
      <c r="I63" t="s">
        <v>1662</v>
      </c>
      <c r="J63" t="str">
        <f t="shared" si="0"/>
        <v>1093202 - Terreno Alto Viña I – Inversiones</v>
      </c>
      <c r="K63" t="str">
        <f t="shared" si="1"/>
        <v>Terreno</v>
      </c>
    </row>
    <row r="64" spans="1:11" x14ac:dyDescent="0.25">
      <c r="A64" s="56">
        <v>215</v>
      </c>
      <c r="B64" s="57" t="s">
        <v>988</v>
      </c>
      <c r="C64" s="57" t="s">
        <v>1685</v>
      </c>
      <c r="D64" s="57" t="s">
        <v>65</v>
      </c>
      <c r="E64" s="57" t="s">
        <v>65</v>
      </c>
      <c r="F64" s="57" t="s">
        <v>988</v>
      </c>
      <c r="G64" s="57" t="s">
        <v>1663</v>
      </c>
      <c r="H64" s="56" t="s">
        <v>1672</v>
      </c>
      <c r="I64" s="57" t="s">
        <v>1664</v>
      </c>
      <c r="J64" t="str">
        <f t="shared" si="0"/>
        <v>215 - Alto Marañon Torre A</v>
      </c>
      <c r="K64" t="str">
        <f t="shared" si="1"/>
        <v>Obra</v>
      </c>
    </row>
    <row r="65" spans="1:11" x14ac:dyDescent="0.25">
      <c r="A65" s="56">
        <v>8215</v>
      </c>
      <c r="B65" s="57" t="s">
        <v>515</v>
      </c>
      <c r="C65" s="57" t="s">
        <v>1685</v>
      </c>
      <c r="D65" s="57" t="s">
        <v>1686</v>
      </c>
      <c r="E65" s="57" t="s">
        <v>1501</v>
      </c>
      <c r="F65" s="57" t="s">
        <v>988</v>
      </c>
      <c r="G65" s="57" t="s">
        <v>1661</v>
      </c>
      <c r="H65" s="56" t="s">
        <v>386</v>
      </c>
      <c r="I65" s="57" t="s">
        <v>1666</v>
      </c>
      <c r="J65" t="str">
        <f t="shared" si="0"/>
        <v>8215 - Entrega Alto Marañon Torre A</v>
      </c>
      <c r="K65" t="str">
        <f t="shared" si="1"/>
        <v>Entrega</v>
      </c>
    </row>
    <row r="66" spans="1:11" x14ac:dyDescent="0.25">
      <c r="A66" s="56">
        <v>9215</v>
      </c>
      <c r="B66" s="57" t="s">
        <v>638</v>
      </c>
      <c r="C66" s="57" t="s">
        <v>1685</v>
      </c>
      <c r="D66" s="57" t="s">
        <v>66</v>
      </c>
      <c r="E66" s="57" t="s">
        <v>328</v>
      </c>
      <c r="F66" s="57" t="s">
        <v>988</v>
      </c>
      <c r="G66" s="57" t="s">
        <v>1661</v>
      </c>
      <c r="H66" s="56" t="s">
        <v>386</v>
      </c>
      <c r="I66" s="57" t="s">
        <v>1666</v>
      </c>
      <c r="J66" t="str">
        <f t="shared" si="0"/>
        <v>9215 - PV Alto Marañon Torre A</v>
      </c>
      <c r="K66" t="str">
        <f t="shared" si="1"/>
        <v>Postventa</v>
      </c>
    </row>
    <row r="67" spans="1:11" x14ac:dyDescent="0.25">
      <c r="A67" s="56">
        <v>10215000</v>
      </c>
      <c r="B67" s="57" t="s">
        <v>988</v>
      </c>
      <c r="C67" s="57" t="s">
        <v>1685</v>
      </c>
      <c r="D67" s="57" t="s">
        <v>1665</v>
      </c>
      <c r="E67" s="57" t="s">
        <v>1585</v>
      </c>
      <c r="F67" s="57" t="s">
        <v>988</v>
      </c>
      <c r="G67" s="57" t="s">
        <v>1661</v>
      </c>
      <c r="H67" s="56" t="s">
        <v>386</v>
      </c>
      <c r="I67" s="57" t="s">
        <v>1666</v>
      </c>
      <c r="J67" t="str">
        <f t="shared" ref="J67:J130" si="2">+A67&amp;" - "&amp;B67</f>
        <v>10215000 - Alto Marañon Torre A</v>
      </c>
      <c r="K67" t="str">
        <f t="shared" ref="K67:K130" si="3">+D67</f>
        <v>Proyectos Inmobiliarios</v>
      </c>
    </row>
    <row r="68" spans="1:11" x14ac:dyDescent="0.25">
      <c r="A68" s="56">
        <v>10215102</v>
      </c>
      <c r="B68" s="57" t="s">
        <v>989</v>
      </c>
      <c r="C68" s="57" t="s">
        <v>1685</v>
      </c>
      <c r="D68" s="57" t="s">
        <v>1665</v>
      </c>
      <c r="E68" s="57" t="s">
        <v>1617</v>
      </c>
      <c r="F68" s="57" t="s">
        <v>988</v>
      </c>
      <c r="G68" s="57" t="s">
        <v>1661</v>
      </c>
      <c r="H68" s="56" t="s">
        <v>386</v>
      </c>
      <c r="I68" s="57" t="s">
        <v>1666</v>
      </c>
      <c r="J68" t="str">
        <f t="shared" si="2"/>
        <v>10215102 - Alto Marañon Torre A-Marketing</v>
      </c>
      <c r="K68" t="str">
        <f t="shared" si="3"/>
        <v>Proyectos Inmobiliarios</v>
      </c>
    </row>
    <row r="69" spans="1:11" x14ac:dyDescent="0.25">
      <c r="A69" s="56">
        <v>10215103</v>
      </c>
      <c r="B69" s="57" t="s">
        <v>990</v>
      </c>
      <c r="C69" s="57" t="s">
        <v>1685</v>
      </c>
      <c r="D69" s="57" t="s">
        <v>1665</v>
      </c>
      <c r="E69" s="57" t="s">
        <v>1618</v>
      </c>
      <c r="F69" s="57" t="s">
        <v>988</v>
      </c>
      <c r="G69" s="57" t="s">
        <v>1661</v>
      </c>
      <c r="H69" s="56" t="s">
        <v>386</v>
      </c>
      <c r="I69" s="57" t="s">
        <v>1666</v>
      </c>
      <c r="J69" t="str">
        <f t="shared" si="2"/>
        <v>10215103 - Alto Marañon Torre A-Operaciones</v>
      </c>
      <c r="K69" t="str">
        <f t="shared" si="3"/>
        <v>Proyectos Inmobiliarios</v>
      </c>
    </row>
    <row r="70" spans="1:11" x14ac:dyDescent="0.25">
      <c r="A70" s="56">
        <v>10215104</v>
      </c>
      <c r="B70" s="57" t="s">
        <v>991</v>
      </c>
      <c r="C70" s="57" t="s">
        <v>1685</v>
      </c>
      <c r="D70" s="57" t="s">
        <v>1665</v>
      </c>
      <c r="E70" s="57" t="s">
        <v>90</v>
      </c>
      <c r="F70" s="57" t="s">
        <v>988</v>
      </c>
      <c r="G70" s="57" t="s">
        <v>1661</v>
      </c>
      <c r="H70" s="56" t="s">
        <v>386</v>
      </c>
      <c r="I70" s="57" t="s">
        <v>1666</v>
      </c>
      <c r="J70" t="str">
        <f t="shared" si="2"/>
        <v>10215104 - Alto Marañon Torre A-Ventas</v>
      </c>
      <c r="K70" t="str">
        <f t="shared" si="3"/>
        <v>Proyectos Inmobiliarios</v>
      </c>
    </row>
    <row r="71" spans="1:11" x14ac:dyDescent="0.25">
      <c r="A71" s="56">
        <v>10215105</v>
      </c>
      <c r="B71" s="57" t="s">
        <v>992</v>
      </c>
      <c r="C71" s="57" t="s">
        <v>1685</v>
      </c>
      <c r="D71" s="57" t="s">
        <v>1665</v>
      </c>
      <c r="E71" s="57" t="s">
        <v>1622</v>
      </c>
      <c r="F71" s="57" t="s">
        <v>988</v>
      </c>
      <c r="G71" s="57" t="s">
        <v>1661</v>
      </c>
      <c r="H71" s="56" t="s">
        <v>386</v>
      </c>
      <c r="I71" s="57" t="s">
        <v>1666</v>
      </c>
      <c r="J71" t="str">
        <f t="shared" si="2"/>
        <v>10215105 - Alto Marañon Torre A-Clientes</v>
      </c>
      <c r="K71" t="str">
        <f t="shared" si="3"/>
        <v>Proyectos Inmobiliarios</v>
      </c>
    </row>
    <row r="72" spans="1:11" x14ac:dyDescent="0.25">
      <c r="A72" s="56">
        <v>10215204</v>
      </c>
      <c r="B72" s="57" t="s">
        <v>993</v>
      </c>
      <c r="C72" s="57" t="s">
        <v>1685</v>
      </c>
      <c r="D72" s="57" t="s">
        <v>1665</v>
      </c>
      <c r="E72" s="57" t="s">
        <v>1624</v>
      </c>
      <c r="F72" s="57" t="s">
        <v>988</v>
      </c>
      <c r="G72" s="57" t="s">
        <v>1661</v>
      </c>
      <c r="H72" s="56" t="s">
        <v>386</v>
      </c>
      <c r="I72" s="57" t="s">
        <v>1666</v>
      </c>
      <c r="J72" t="str">
        <f t="shared" si="2"/>
        <v>10215204 - Alto Marañon Torre A-Proyecto</v>
      </c>
      <c r="K72" t="str">
        <f t="shared" si="3"/>
        <v>Proyectos Inmobiliarios</v>
      </c>
    </row>
    <row r="73" spans="1:11" x14ac:dyDescent="0.25">
      <c r="A73" s="56">
        <v>10215301</v>
      </c>
      <c r="B73" s="57" t="s">
        <v>994</v>
      </c>
      <c r="C73" s="57" t="s">
        <v>1685</v>
      </c>
      <c r="D73" s="57" t="s">
        <v>1665</v>
      </c>
      <c r="E73" s="57" t="s">
        <v>1643</v>
      </c>
      <c r="F73" s="57" t="s">
        <v>988</v>
      </c>
      <c r="G73" s="57" t="s">
        <v>1667</v>
      </c>
      <c r="H73" s="56" t="s">
        <v>386</v>
      </c>
      <c r="I73" s="57" t="s">
        <v>1666</v>
      </c>
      <c r="J73" t="str">
        <f t="shared" si="2"/>
        <v>10215301 - Alto Marañon Torre A-GAF</v>
      </c>
      <c r="K73" t="str">
        <f t="shared" si="3"/>
        <v>Proyectos Inmobiliarios</v>
      </c>
    </row>
    <row r="74" spans="1:11" x14ac:dyDescent="0.25">
      <c r="A74" s="56">
        <v>10215505</v>
      </c>
      <c r="B74" s="57" t="s">
        <v>995</v>
      </c>
      <c r="C74" s="57" t="s">
        <v>1685</v>
      </c>
      <c r="D74" s="57" t="s">
        <v>66</v>
      </c>
      <c r="E74" s="57" t="s">
        <v>328</v>
      </c>
      <c r="F74" s="57" t="s">
        <v>988</v>
      </c>
      <c r="G74" s="57" t="s">
        <v>1661</v>
      </c>
      <c r="H74" s="56" t="s">
        <v>386</v>
      </c>
      <c r="I74" s="57" t="s">
        <v>1666</v>
      </c>
      <c r="J74" t="str">
        <f t="shared" si="2"/>
        <v>10215505 - Alto Marañon Torre A-PV Inmob.</v>
      </c>
      <c r="K74" t="str">
        <f t="shared" si="3"/>
        <v>Postventa</v>
      </c>
    </row>
    <row r="75" spans="1:11" x14ac:dyDescent="0.25">
      <c r="A75" s="56">
        <v>10215506</v>
      </c>
      <c r="B75" s="57" t="s">
        <v>996</v>
      </c>
      <c r="C75" s="57" t="s">
        <v>1685</v>
      </c>
      <c r="D75" s="57" t="s">
        <v>1665</v>
      </c>
      <c r="E75" s="57" t="s">
        <v>200</v>
      </c>
      <c r="F75" s="57" t="s">
        <v>988</v>
      </c>
      <c r="G75" s="57" t="s">
        <v>1661</v>
      </c>
      <c r="H75" s="56" t="s">
        <v>386</v>
      </c>
      <c r="I75" s="57" t="s">
        <v>1666</v>
      </c>
      <c r="J75" t="str">
        <f t="shared" si="2"/>
        <v>10215506 - Alto Marañon Torre A-Depto.Técnico</v>
      </c>
      <c r="K75" t="str">
        <f t="shared" si="3"/>
        <v>Proyectos Inmobiliarios</v>
      </c>
    </row>
    <row r="76" spans="1:11" x14ac:dyDescent="0.25">
      <c r="A76" s="58">
        <v>248</v>
      </c>
      <c r="B76" s="59" t="s">
        <v>1201</v>
      </c>
      <c r="C76" s="59" t="s">
        <v>1685</v>
      </c>
      <c r="D76" s="59" t="s">
        <v>65</v>
      </c>
      <c r="E76" s="59" t="s">
        <v>65</v>
      </c>
      <c r="F76" s="59" t="s">
        <v>1201</v>
      </c>
      <c r="G76" s="59" t="s">
        <v>1663</v>
      </c>
      <c r="H76" s="58" t="s">
        <v>1672</v>
      </c>
      <c r="I76" s="59" t="s">
        <v>1664</v>
      </c>
      <c r="J76" t="str">
        <f t="shared" si="2"/>
        <v>248 - Alto Marañon Torre B</v>
      </c>
      <c r="K76" t="str">
        <f t="shared" si="3"/>
        <v>Obra</v>
      </c>
    </row>
    <row r="77" spans="1:11" x14ac:dyDescent="0.25">
      <c r="A77" s="58">
        <v>8248</v>
      </c>
      <c r="B77" s="59" t="s">
        <v>535</v>
      </c>
      <c r="C77" s="59" t="s">
        <v>1685</v>
      </c>
      <c r="D77" s="59" t="s">
        <v>1686</v>
      </c>
      <c r="E77" s="59" t="s">
        <v>1501</v>
      </c>
      <c r="F77" s="59" t="s">
        <v>1201</v>
      </c>
      <c r="G77" s="59" t="s">
        <v>1661</v>
      </c>
      <c r="H77" s="58" t="s">
        <v>386</v>
      </c>
      <c r="I77" s="59" t="s">
        <v>1666</v>
      </c>
      <c r="J77" t="str">
        <f t="shared" si="2"/>
        <v>8248 - Entrega Alto Marañon Torre B</v>
      </c>
      <c r="K77" t="str">
        <f t="shared" si="3"/>
        <v>Entrega</v>
      </c>
    </row>
    <row r="78" spans="1:11" x14ac:dyDescent="0.25">
      <c r="A78" s="58">
        <v>9248</v>
      </c>
      <c r="B78" s="59" t="s">
        <v>661</v>
      </c>
      <c r="C78" s="59" t="s">
        <v>1685</v>
      </c>
      <c r="D78" s="59" t="s">
        <v>66</v>
      </c>
      <c r="E78" s="59" t="s">
        <v>328</v>
      </c>
      <c r="F78" s="59" t="s">
        <v>1201</v>
      </c>
      <c r="G78" s="59" t="s">
        <v>1661</v>
      </c>
      <c r="H78" s="58" t="s">
        <v>386</v>
      </c>
      <c r="I78" s="59" t="s">
        <v>1666</v>
      </c>
      <c r="J78" t="str">
        <f t="shared" si="2"/>
        <v>9248 - PV Alto Marañon Torre B</v>
      </c>
      <c r="K78" t="str">
        <f t="shared" si="3"/>
        <v>Postventa</v>
      </c>
    </row>
    <row r="79" spans="1:11" x14ac:dyDescent="0.25">
      <c r="A79" s="58">
        <v>10248000</v>
      </c>
      <c r="B79" s="59" t="s">
        <v>1201</v>
      </c>
      <c r="C79" s="59" t="s">
        <v>1685</v>
      </c>
      <c r="D79" s="59" t="s">
        <v>1665</v>
      </c>
      <c r="E79" s="59" t="s">
        <v>1585</v>
      </c>
      <c r="F79" s="59" t="s">
        <v>1201</v>
      </c>
      <c r="G79" s="59" t="s">
        <v>1661</v>
      </c>
      <c r="H79" s="58" t="s">
        <v>386</v>
      </c>
      <c r="I79" s="59" t="s">
        <v>1666</v>
      </c>
      <c r="J79" t="str">
        <f t="shared" si="2"/>
        <v>10248000 - Alto Marañon Torre B</v>
      </c>
      <c r="K79" t="str">
        <f t="shared" si="3"/>
        <v>Proyectos Inmobiliarios</v>
      </c>
    </row>
    <row r="80" spans="1:11" x14ac:dyDescent="0.25">
      <c r="A80" s="58">
        <v>10248102</v>
      </c>
      <c r="B80" s="59" t="s">
        <v>1202</v>
      </c>
      <c r="C80" s="59" t="s">
        <v>1685</v>
      </c>
      <c r="D80" s="59" t="s">
        <v>1665</v>
      </c>
      <c r="E80" s="59" t="s">
        <v>1617</v>
      </c>
      <c r="F80" s="59" t="s">
        <v>1201</v>
      </c>
      <c r="G80" s="59" t="s">
        <v>1661</v>
      </c>
      <c r="H80" s="58" t="s">
        <v>386</v>
      </c>
      <c r="I80" s="59" t="s">
        <v>1666</v>
      </c>
      <c r="J80" t="str">
        <f t="shared" si="2"/>
        <v>10248102 - Alto Marañon Torre B-Marketing</v>
      </c>
      <c r="K80" t="str">
        <f t="shared" si="3"/>
        <v>Proyectos Inmobiliarios</v>
      </c>
    </row>
    <row r="81" spans="1:11" x14ac:dyDescent="0.25">
      <c r="A81" s="58">
        <v>10248103</v>
      </c>
      <c r="B81" s="59" t="s">
        <v>1203</v>
      </c>
      <c r="C81" s="59" t="s">
        <v>1685</v>
      </c>
      <c r="D81" s="59" t="s">
        <v>1665</v>
      </c>
      <c r="E81" s="59" t="s">
        <v>1618</v>
      </c>
      <c r="F81" s="59" t="s">
        <v>1201</v>
      </c>
      <c r="G81" s="59" t="s">
        <v>1661</v>
      </c>
      <c r="H81" s="58" t="s">
        <v>386</v>
      </c>
      <c r="I81" s="59" t="s">
        <v>1666</v>
      </c>
      <c r="J81" t="str">
        <f t="shared" si="2"/>
        <v>10248103 - Alto Marañon Torre B-Operaciones</v>
      </c>
      <c r="K81" t="str">
        <f t="shared" si="3"/>
        <v>Proyectos Inmobiliarios</v>
      </c>
    </row>
    <row r="82" spans="1:11" x14ac:dyDescent="0.25">
      <c r="A82" s="58">
        <v>10248104</v>
      </c>
      <c r="B82" s="59" t="s">
        <v>1204</v>
      </c>
      <c r="C82" s="59" t="s">
        <v>1685</v>
      </c>
      <c r="D82" s="59" t="s">
        <v>1665</v>
      </c>
      <c r="E82" s="59" t="s">
        <v>90</v>
      </c>
      <c r="F82" s="59" t="s">
        <v>1201</v>
      </c>
      <c r="G82" s="59" t="s">
        <v>1661</v>
      </c>
      <c r="H82" s="58" t="s">
        <v>386</v>
      </c>
      <c r="I82" s="59" t="s">
        <v>1666</v>
      </c>
      <c r="J82" t="str">
        <f t="shared" si="2"/>
        <v>10248104 - Alto Marañon Torre B-Ventas</v>
      </c>
      <c r="K82" t="str">
        <f t="shared" si="3"/>
        <v>Proyectos Inmobiliarios</v>
      </c>
    </row>
    <row r="83" spans="1:11" x14ac:dyDescent="0.25">
      <c r="A83" s="58">
        <v>10248105</v>
      </c>
      <c r="B83" s="59" t="s">
        <v>1205</v>
      </c>
      <c r="C83" s="59" t="s">
        <v>1685</v>
      </c>
      <c r="D83" s="59" t="s">
        <v>1665</v>
      </c>
      <c r="E83" s="59" t="s">
        <v>1622</v>
      </c>
      <c r="F83" s="59" t="s">
        <v>1201</v>
      </c>
      <c r="G83" s="59" t="s">
        <v>1661</v>
      </c>
      <c r="H83" s="58" t="s">
        <v>386</v>
      </c>
      <c r="I83" s="59" t="s">
        <v>1666</v>
      </c>
      <c r="J83" t="str">
        <f t="shared" si="2"/>
        <v>10248105 - Alto Marañon Torre B-Clientes</v>
      </c>
      <c r="K83" t="str">
        <f t="shared" si="3"/>
        <v>Proyectos Inmobiliarios</v>
      </c>
    </row>
    <row r="84" spans="1:11" x14ac:dyDescent="0.25">
      <c r="A84" s="58">
        <v>10248204</v>
      </c>
      <c r="B84" s="59" t="s">
        <v>1206</v>
      </c>
      <c r="C84" s="59" t="s">
        <v>1685</v>
      </c>
      <c r="D84" s="59" t="s">
        <v>1665</v>
      </c>
      <c r="E84" s="59" t="s">
        <v>1624</v>
      </c>
      <c r="F84" s="59" t="s">
        <v>1201</v>
      </c>
      <c r="G84" s="59" t="s">
        <v>1661</v>
      </c>
      <c r="H84" s="58" t="s">
        <v>386</v>
      </c>
      <c r="I84" s="59" t="s">
        <v>1666</v>
      </c>
      <c r="J84" t="str">
        <f t="shared" si="2"/>
        <v>10248204 - Alto Marañon Torre B-Proyecto</v>
      </c>
      <c r="K84" t="str">
        <f t="shared" si="3"/>
        <v>Proyectos Inmobiliarios</v>
      </c>
    </row>
    <row r="85" spans="1:11" x14ac:dyDescent="0.25">
      <c r="A85" s="58">
        <v>10248301</v>
      </c>
      <c r="B85" s="59" t="s">
        <v>1207</v>
      </c>
      <c r="C85" s="59" t="s">
        <v>1685</v>
      </c>
      <c r="D85" s="59" t="s">
        <v>1665</v>
      </c>
      <c r="E85" s="59" t="s">
        <v>1643</v>
      </c>
      <c r="F85" s="59" t="s">
        <v>1201</v>
      </c>
      <c r="G85" s="59" t="s">
        <v>1667</v>
      </c>
      <c r="H85" s="58" t="s">
        <v>386</v>
      </c>
      <c r="I85" s="59" t="s">
        <v>1666</v>
      </c>
      <c r="J85" t="str">
        <f t="shared" si="2"/>
        <v>10248301 - Alto Marañon Torre B-GAF</v>
      </c>
      <c r="K85" t="str">
        <f t="shared" si="3"/>
        <v>Proyectos Inmobiliarios</v>
      </c>
    </row>
    <row r="86" spans="1:11" x14ac:dyDescent="0.25">
      <c r="A86" s="58">
        <v>10248505</v>
      </c>
      <c r="B86" s="59" t="s">
        <v>1208</v>
      </c>
      <c r="C86" s="59" t="s">
        <v>1685</v>
      </c>
      <c r="D86" s="59" t="s">
        <v>66</v>
      </c>
      <c r="E86" s="59" t="s">
        <v>328</v>
      </c>
      <c r="F86" s="59" t="s">
        <v>1201</v>
      </c>
      <c r="G86" s="59" t="s">
        <v>1661</v>
      </c>
      <c r="H86" s="58" t="s">
        <v>386</v>
      </c>
      <c r="I86" s="59" t="s">
        <v>1666</v>
      </c>
      <c r="J86" t="str">
        <f t="shared" si="2"/>
        <v>10248505 - Alto Marañon Torre B-PV Inmob.</v>
      </c>
      <c r="K86" t="str">
        <f t="shared" si="3"/>
        <v>Postventa</v>
      </c>
    </row>
    <row r="87" spans="1:11" x14ac:dyDescent="0.25">
      <c r="A87" s="58">
        <v>10248506</v>
      </c>
      <c r="B87" s="59" t="s">
        <v>1209</v>
      </c>
      <c r="C87" s="59" t="s">
        <v>1685</v>
      </c>
      <c r="D87" s="59" t="s">
        <v>1665</v>
      </c>
      <c r="E87" s="59" t="s">
        <v>200</v>
      </c>
      <c r="F87" s="59" t="s">
        <v>1201</v>
      </c>
      <c r="G87" s="59" t="s">
        <v>1661</v>
      </c>
      <c r="H87" s="58" t="s">
        <v>386</v>
      </c>
      <c r="I87" s="59" t="s">
        <v>1666</v>
      </c>
      <c r="J87" t="str">
        <f t="shared" si="2"/>
        <v>10248506 - Alto Marañon Torre B-Depto.Técnico</v>
      </c>
      <c r="K87" t="str">
        <f t="shared" si="3"/>
        <v>Proyectos Inmobiliarios</v>
      </c>
    </row>
    <row r="88" spans="1:11" x14ac:dyDescent="0.25">
      <c r="A88" s="43">
        <v>999999999</v>
      </c>
      <c r="B88" t="s">
        <v>1684</v>
      </c>
      <c r="D88" t="s">
        <v>1578</v>
      </c>
      <c r="E88" t="s">
        <v>1578</v>
      </c>
      <c r="F88" t="s">
        <v>466</v>
      </c>
      <c r="G88" t="s">
        <v>1661</v>
      </c>
      <c r="H88" s="43" t="s">
        <v>1672</v>
      </c>
      <c r="I88" t="s">
        <v>1662</v>
      </c>
      <c r="J88" t="str">
        <f t="shared" si="2"/>
        <v>999999999 - Terreno Abuelo Proyectos sin Terreno</v>
      </c>
      <c r="K88" t="str">
        <f t="shared" si="3"/>
        <v>Terreno</v>
      </c>
    </row>
    <row r="89" spans="1:11" x14ac:dyDescent="0.25">
      <c r="A89" s="43">
        <v>313</v>
      </c>
      <c r="B89" t="s">
        <v>490</v>
      </c>
      <c r="C89" t="s">
        <v>1685</v>
      </c>
      <c r="D89" t="s">
        <v>65</v>
      </c>
      <c r="E89" t="s">
        <v>65</v>
      </c>
      <c r="F89" t="s">
        <v>466</v>
      </c>
      <c r="G89" t="s">
        <v>1663</v>
      </c>
      <c r="H89" s="43" t="s">
        <v>386</v>
      </c>
      <c r="I89" t="s">
        <v>1664</v>
      </c>
      <c r="J89" t="str">
        <f t="shared" si="2"/>
        <v>313 - Estacionamientos Proyecto Mirador</v>
      </c>
      <c r="K89" t="str">
        <f t="shared" si="3"/>
        <v>Obra</v>
      </c>
    </row>
    <row r="90" spans="1:11" x14ac:dyDescent="0.25">
      <c r="A90" s="54">
        <v>312</v>
      </c>
      <c r="B90" s="55" t="s">
        <v>1688</v>
      </c>
      <c r="C90" s="55" t="s">
        <v>1685</v>
      </c>
      <c r="D90" s="55" t="s">
        <v>65</v>
      </c>
      <c r="E90" s="55" t="s">
        <v>65</v>
      </c>
      <c r="F90" s="55" t="s">
        <v>466</v>
      </c>
      <c r="G90" s="55" t="s">
        <v>1663</v>
      </c>
      <c r="H90" s="54" t="s">
        <v>1672</v>
      </c>
      <c r="I90" s="55" t="s">
        <v>1664</v>
      </c>
      <c r="J90" t="str">
        <f t="shared" si="2"/>
        <v>312 - Calle Proyecto Mirador</v>
      </c>
      <c r="K90" t="str">
        <f t="shared" si="3"/>
        <v>Obra</v>
      </c>
    </row>
    <row r="91" spans="1:11" x14ac:dyDescent="0.25">
      <c r="A91" s="54">
        <v>10312000</v>
      </c>
      <c r="B91" s="55" t="s">
        <v>1688</v>
      </c>
      <c r="C91" s="55" t="s">
        <v>1685</v>
      </c>
      <c r="D91" s="55" t="s">
        <v>1665</v>
      </c>
      <c r="E91" s="55" t="s">
        <v>1585</v>
      </c>
      <c r="F91" s="55" t="s">
        <v>466</v>
      </c>
      <c r="G91" s="55" t="s">
        <v>1661</v>
      </c>
      <c r="H91" s="54" t="s">
        <v>1672</v>
      </c>
      <c r="I91" s="55" t="s">
        <v>1666</v>
      </c>
      <c r="J91" t="str">
        <f t="shared" si="2"/>
        <v>10312000 - Calle Proyecto Mirador</v>
      </c>
      <c r="K91" t="str">
        <f t="shared" si="3"/>
        <v>Proyectos Inmobiliarios</v>
      </c>
    </row>
    <row r="92" spans="1:11" x14ac:dyDescent="0.25">
      <c r="A92" s="54">
        <v>10312102</v>
      </c>
      <c r="B92" s="55" t="s">
        <v>1689</v>
      </c>
      <c r="C92" s="55" t="s">
        <v>1685</v>
      </c>
      <c r="D92" s="55" t="s">
        <v>1665</v>
      </c>
      <c r="E92" s="55" t="s">
        <v>1617</v>
      </c>
      <c r="F92" s="55" t="s">
        <v>466</v>
      </c>
      <c r="G92" s="55" t="s">
        <v>1661</v>
      </c>
      <c r="H92" s="54" t="s">
        <v>1672</v>
      </c>
      <c r="I92" s="55" t="s">
        <v>1666</v>
      </c>
      <c r="J92" t="str">
        <f t="shared" si="2"/>
        <v>10312102 - Calle Proyecto Mirador - Marketing</v>
      </c>
      <c r="K92" t="str">
        <f t="shared" si="3"/>
        <v>Proyectos Inmobiliarios</v>
      </c>
    </row>
    <row r="93" spans="1:11" x14ac:dyDescent="0.25">
      <c r="A93" s="54">
        <v>10312103</v>
      </c>
      <c r="B93" s="55" t="s">
        <v>1690</v>
      </c>
      <c r="C93" s="55" t="s">
        <v>1685</v>
      </c>
      <c r="D93" s="55" t="s">
        <v>1665</v>
      </c>
      <c r="E93" s="55" t="s">
        <v>1618</v>
      </c>
      <c r="F93" s="55" t="s">
        <v>466</v>
      </c>
      <c r="G93" s="55" t="s">
        <v>1661</v>
      </c>
      <c r="H93" s="54" t="s">
        <v>1672</v>
      </c>
      <c r="I93" s="55" t="s">
        <v>1666</v>
      </c>
      <c r="J93" t="str">
        <f t="shared" si="2"/>
        <v>10312103 - Calle Proyecto Mirador - Operaciones</v>
      </c>
      <c r="K93" t="str">
        <f t="shared" si="3"/>
        <v>Proyectos Inmobiliarios</v>
      </c>
    </row>
    <row r="94" spans="1:11" x14ac:dyDescent="0.25">
      <c r="A94" s="54">
        <v>10312104</v>
      </c>
      <c r="B94" s="55" t="s">
        <v>1691</v>
      </c>
      <c r="C94" s="55" t="s">
        <v>1685</v>
      </c>
      <c r="D94" s="55" t="s">
        <v>1665</v>
      </c>
      <c r="E94" s="55" t="s">
        <v>90</v>
      </c>
      <c r="F94" s="55" t="s">
        <v>466</v>
      </c>
      <c r="G94" s="55" t="s">
        <v>1661</v>
      </c>
      <c r="H94" s="54" t="s">
        <v>1672</v>
      </c>
      <c r="I94" s="55" t="s">
        <v>1666</v>
      </c>
      <c r="J94" t="str">
        <f t="shared" si="2"/>
        <v>10312104 - Calle Proyecto Mirador - Ventas</v>
      </c>
      <c r="K94" t="str">
        <f t="shared" si="3"/>
        <v>Proyectos Inmobiliarios</v>
      </c>
    </row>
    <row r="95" spans="1:11" x14ac:dyDescent="0.25">
      <c r="A95" s="54">
        <v>10312105</v>
      </c>
      <c r="B95" s="55" t="s">
        <v>1692</v>
      </c>
      <c r="C95" s="55" t="s">
        <v>1685</v>
      </c>
      <c r="D95" s="55" t="s">
        <v>1665</v>
      </c>
      <c r="E95" s="55" t="s">
        <v>1622</v>
      </c>
      <c r="F95" s="55" t="s">
        <v>466</v>
      </c>
      <c r="G95" s="55" t="s">
        <v>1661</v>
      </c>
      <c r="H95" s="54" t="s">
        <v>1672</v>
      </c>
      <c r="I95" s="55" t="s">
        <v>1666</v>
      </c>
      <c r="J95" t="str">
        <f t="shared" si="2"/>
        <v>10312105 - Calle Proyecto Mirador - Clientes</v>
      </c>
      <c r="K95" t="str">
        <f t="shared" si="3"/>
        <v>Proyectos Inmobiliarios</v>
      </c>
    </row>
    <row r="96" spans="1:11" x14ac:dyDescent="0.25">
      <c r="A96" s="54">
        <v>10312204</v>
      </c>
      <c r="B96" s="55" t="s">
        <v>1693</v>
      </c>
      <c r="C96" s="55" t="s">
        <v>1685</v>
      </c>
      <c r="D96" s="55" t="s">
        <v>1665</v>
      </c>
      <c r="E96" s="55" t="s">
        <v>1624</v>
      </c>
      <c r="F96" s="55" t="s">
        <v>466</v>
      </c>
      <c r="G96" s="55" t="s">
        <v>1661</v>
      </c>
      <c r="H96" s="54" t="s">
        <v>1672</v>
      </c>
      <c r="I96" s="55" t="s">
        <v>1666</v>
      </c>
      <c r="J96" t="str">
        <f t="shared" si="2"/>
        <v>10312204 - Calle Proyecto Mirador - Proyecto</v>
      </c>
      <c r="K96" t="str">
        <f t="shared" si="3"/>
        <v>Proyectos Inmobiliarios</v>
      </c>
    </row>
    <row r="97" spans="1:11" x14ac:dyDescent="0.25">
      <c r="A97" s="54">
        <v>10312301</v>
      </c>
      <c r="B97" s="55" t="s">
        <v>1694</v>
      </c>
      <c r="C97" s="55" t="s">
        <v>1685</v>
      </c>
      <c r="D97" s="55" t="s">
        <v>1665</v>
      </c>
      <c r="E97" s="55" t="s">
        <v>1643</v>
      </c>
      <c r="F97" s="55" t="s">
        <v>466</v>
      </c>
      <c r="G97" s="55" t="s">
        <v>1667</v>
      </c>
      <c r="H97" s="54" t="s">
        <v>1672</v>
      </c>
      <c r="I97" s="55" t="s">
        <v>1666</v>
      </c>
      <c r="J97" t="str">
        <f t="shared" si="2"/>
        <v>10312301 - Calle Proyecto Mirador - GAF</v>
      </c>
      <c r="K97" t="str">
        <f t="shared" si="3"/>
        <v>Proyectos Inmobiliarios</v>
      </c>
    </row>
    <row r="98" spans="1:11" x14ac:dyDescent="0.25">
      <c r="A98" s="54">
        <v>10312505</v>
      </c>
      <c r="B98" s="55" t="s">
        <v>1695</v>
      </c>
      <c r="C98" s="55" t="s">
        <v>1685</v>
      </c>
      <c r="D98" s="55" t="s">
        <v>66</v>
      </c>
      <c r="E98" s="55" t="s">
        <v>328</v>
      </c>
      <c r="F98" s="55" t="s">
        <v>466</v>
      </c>
      <c r="G98" s="55" t="s">
        <v>1661</v>
      </c>
      <c r="H98" s="54" t="s">
        <v>1672</v>
      </c>
      <c r="I98" s="55" t="s">
        <v>1666</v>
      </c>
      <c r="J98" t="str">
        <f t="shared" si="2"/>
        <v>10312505 - Calle Proyecto Mirador - PV Inmob</v>
      </c>
      <c r="K98" t="str">
        <f t="shared" si="3"/>
        <v>Postventa</v>
      </c>
    </row>
    <row r="99" spans="1:11" x14ac:dyDescent="0.25">
      <c r="A99" s="54">
        <v>10312506</v>
      </c>
      <c r="B99" s="55" t="s">
        <v>1696</v>
      </c>
      <c r="C99" s="55" t="s">
        <v>1685</v>
      </c>
      <c r="D99" s="55" t="s">
        <v>1665</v>
      </c>
      <c r="E99" s="55" t="s">
        <v>200</v>
      </c>
      <c r="F99" s="55" t="s">
        <v>466</v>
      </c>
      <c r="G99" s="55" t="s">
        <v>1661</v>
      </c>
      <c r="H99" s="54" t="s">
        <v>1672</v>
      </c>
      <c r="I99" s="55" t="s">
        <v>1666</v>
      </c>
      <c r="J99" t="str">
        <f t="shared" si="2"/>
        <v>10312506 - Calle Proyecto Mirador - Depto.Técnico</v>
      </c>
      <c r="K99" t="str">
        <f t="shared" si="3"/>
        <v>Proyectos Inmobiliarios</v>
      </c>
    </row>
    <row r="100" spans="1:11" x14ac:dyDescent="0.25">
      <c r="A100" s="50">
        <v>302</v>
      </c>
      <c r="B100" s="51" t="s">
        <v>1697</v>
      </c>
      <c r="C100" s="51" t="s">
        <v>1685</v>
      </c>
      <c r="D100" s="51" t="s">
        <v>65</v>
      </c>
      <c r="E100" s="51" t="s">
        <v>65</v>
      </c>
      <c r="F100" s="51" t="s">
        <v>466</v>
      </c>
      <c r="G100" s="51" t="s">
        <v>1663</v>
      </c>
      <c r="H100" s="50" t="s">
        <v>1672</v>
      </c>
      <c r="I100" s="51" t="s">
        <v>1664</v>
      </c>
      <c r="J100" t="str">
        <f t="shared" si="2"/>
        <v>302 - Alto Mirador 1</v>
      </c>
      <c r="K100" t="str">
        <f t="shared" si="3"/>
        <v>Obra</v>
      </c>
    </row>
    <row r="101" spans="1:11" x14ac:dyDescent="0.25">
      <c r="A101" s="50">
        <v>10302000</v>
      </c>
      <c r="B101" s="51" t="s">
        <v>1697</v>
      </c>
      <c r="C101" s="51" t="s">
        <v>1685</v>
      </c>
      <c r="D101" s="51" t="s">
        <v>1665</v>
      </c>
      <c r="E101" s="51" t="s">
        <v>1585</v>
      </c>
      <c r="F101" s="51" t="s">
        <v>466</v>
      </c>
      <c r="G101" s="51" t="s">
        <v>1661</v>
      </c>
      <c r="H101" s="50" t="s">
        <v>1672</v>
      </c>
      <c r="I101" s="51" t="s">
        <v>1666</v>
      </c>
      <c r="J101" t="str">
        <f t="shared" si="2"/>
        <v>10302000 - Alto Mirador 1</v>
      </c>
      <c r="K101" t="str">
        <f t="shared" si="3"/>
        <v>Proyectos Inmobiliarios</v>
      </c>
    </row>
    <row r="102" spans="1:11" x14ac:dyDescent="0.25">
      <c r="A102" s="50">
        <v>10302102</v>
      </c>
      <c r="B102" s="51" t="s">
        <v>1698</v>
      </c>
      <c r="C102" s="51" t="s">
        <v>1685</v>
      </c>
      <c r="D102" s="51" t="s">
        <v>1665</v>
      </c>
      <c r="E102" s="51" t="s">
        <v>1617</v>
      </c>
      <c r="F102" s="51" t="s">
        <v>466</v>
      </c>
      <c r="G102" s="51" t="s">
        <v>1661</v>
      </c>
      <c r="H102" s="50" t="s">
        <v>1672</v>
      </c>
      <c r="I102" s="51" t="s">
        <v>1666</v>
      </c>
      <c r="J102" t="str">
        <f t="shared" si="2"/>
        <v>10302102 - Alto Mirador 1-Marketing</v>
      </c>
      <c r="K102" t="str">
        <f t="shared" si="3"/>
        <v>Proyectos Inmobiliarios</v>
      </c>
    </row>
    <row r="103" spans="1:11" x14ac:dyDescent="0.25">
      <c r="A103" s="50">
        <v>10302103</v>
      </c>
      <c r="B103" s="51" t="s">
        <v>1699</v>
      </c>
      <c r="C103" s="51" t="s">
        <v>1685</v>
      </c>
      <c r="D103" s="51" t="s">
        <v>1665</v>
      </c>
      <c r="E103" s="51" t="s">
        <v>1618</v>
      </c>
      <c r="F103" s="51" t="s">
        <v>466</v>
      </c>
      <c r="G103" s="51" t="s">
        <v>1661</v>
      </c>
      <c r="H103" s="50" t="s">
        <v>1672</v>
      </c>
      <c r="I103" s="51" t="s">
        <v>1666</v>
      </c>
      <c r="J103" t="str">
        <f t="shared" si="2"/>
        <v>10302103 - Alto Mirador 1-Operaciones</v>
      </c>
      <c r="K103" t="str">
        <f t="shared" si="3"/>
        <v>Proyectos Inmobiliarios</v>
      </c>
    </row>
    <row r="104" spans="1:11" x14ac:dyDescent="0.25">
      <c r="A104" s="50">
        <v>10302104</v>
      </c>
      <c r="B104" s="51" t="s">
        <v>1700</v>
      </c>
      <c r="C104" s="51" t="s">
        <v>1685</v>
      </c>
      <c r="D104" s="51" t="s">
        <v>1665</v>
      </c>
      <c r="E104" s="51" t="s">
        <v>90</v>
      </c>
      <c r="F104" s="51" t="s">
        <v>466</v>
      </c>
      <c r="G104" s="51" t="s">
        <v>1661</v>
      </c>
      <c r="H104" s="50" t="s">
        <v>1672</v>
      </c>
      <c r="I104" s="51" t="s">
        <v>1666</v>
      </c>
      <c r="J104" t="str">
        <f t="shared" si="2"/>
        <v>10302104 - Alto Mirador 1-Ventas</v>
      </c>
      <c r="K104" t="str">
        <f t="shared" si="3"/>
        <v>Proyectos Inmobiliarios</v>
      </c>
    </row>
    <row r="105" spans="1:11" x14ac:dyDescent="0.25">
      <c r="A105" s="50">
        <v>10302105</v>
      </c>
      <c r="B105" s="51" t="s">
        <v>1701</v>
      </c>
      <c r="C105" s="51" t="s">
        <v>1685</v>
      </c>
      <c r="D105" s="51" t="s">
        <v>1665</v>
      </c>
      <c r="E105" s="51" t="s">
        <v>1622</v>
      </c>
      <c r="F105" s="51" t="s">
        <v>466</v>
      </c>
      <c r="G105" s="51" t="s">
        <v>1661</v>
      </c>
      <c r="H105" s="50" t="s">
        <v>1672</v>
      </c>
      <c r="I105" s="51" t="s">
        <v>1666</v>
      </c>
      <c r="J105" t="str">
        <f t="shared" si="2"/>
        <v>10302105 - Alto Mirador 1-Clientes</v>
      </c>
      <c r="K105" t="str">
        <f t="shared" si="3"/>
        <v>Proyectos Inmobiliarios</v>
      </c>
    </row>
    <row r="106" spans="1:11" x14ac:dyDescent="0.25">
      <c r="A106" s="50">
        <v>10302204</v>
      </c>
      <c r="B106" s="51" t="s">
        <v>1702</v>
      </c>
      <c r="C106" s="51" t="s">
        <v>1685</v>
      </c>
      <c r="D106" s="51" t="s">
        <v>1665</v>
      </c>
      <c r="E106" s="51" t="s">
        <v>1624</v>
      </c>
      <c r="F106" s="51" t="s">
        <v>466</v>
      </c>
      <c r="G106" s="51" t="s">
        <v>1661</v>
      </c>
      <c r="H106" s="50" t="s">
        <v>1672</v>
      </c>
      <c r="I106" s="51" t="s">
        <v>1666</v>
      </c>
      <c r="J106" t="str">
        <f t="shared" si="2"/>
        <v>10302204 - Alto Mirador 1-Proyecto</v>
      </c>
      <c r="K106" t="str">
        <f t="shared" si="3"/>
        <v>Proyectos Inmobiliarios</v>
      </c>
    </row>
    <row r="107" spans="1:11" x14ac:dyDescent="0.25">
      <c r="A107" s="50">
        <v>10302301</v>
      </c>
      <c r="B107" s="51" t="s">
        <v>1703</v>
      </c>
      <c r="C107" s="51" t="s">
        <v>1685</v>
      </c>
      <c r="D107" s="51" t="s">
        <v>1665</v>
      </c>
      <c r="E107" s="51" t="s">
        <v>1643</v>
      </c>
      <c r="F107" s="51" t="s">
        <v>466</v>
      </c>
      <c r="G107" s="51" t="s">
        <v>1667</v>
      </c>
      <c r="H107" s="50" t="s">
        <v>1672</v>
      </c>
      <c r="I107" s="51" t="s">
        <v>1666</v>
      </c>
      <c r="J107" t="str">
        <f t="shared" si="2"/>
        <v>10302301 - Alto Mirador 1-GAF</v>
      </c>
      <c r="K107" t="str">
        <f t="shared" si="3"/>
        <v>Proyectos Inmobiliarios</v>
      </c>
    </row>
    <row r="108" spans="1:11" x14ac:dyDescent="0.25">
      <c r="A108" s="50">
        <v>10302505</v>
      </c>
      <c r="B108" s="51" t="s">
        <v>1704</v>
      </c>
      <c r="C108" s="51" t="s">
        <v>1685</v>
      </c>
      <c r="D108" s="51" t="s">
        <v>66</v>
      </c>
      <c r="E108" s="51" t="s">
        <v>328</v>
      </c>
      <c r="F108" s="51" t="s">
        <v>466</v>
      </c>
      <c r="G108" s="51" t="s">
        <v>1661</v>
      </c>
      <c r="H108" s="50" t="s">
        <v>1672</v>
      </c>
      <c r="I108" s="51" t="s">
        <v>1666</v>
      </c>
      <c r="J108" t="str">
        <f t="shared" si="2"/>
        <v>10302505 - Alto Mirador 1-PV Inmob.</v>
      </c>
      <c r="K108" t="str">
        <f t="shared" si="3"/>
        <v>Postventa</v>
      </c>
    </row>
    <row r="109" spans="1:11" x14ac:dyDescent="0.25">
      <c r="A109" s="50">
        <v>10302506</v>
      </c>
      <c r="B109" s="51" t="s">
        <v>1705</v>
      </c>
      <c r="C109" s="51" t="s">
        <v>1685</v>
      </c>
      <c r="D109" s="51" t="s">
        <v>1665</v>
      </c>
      <c r="E109" s="51" t="s">
        <v>200</v>
      </c>
      <c r="F109" s="51" t="s">
        <v>466</v>
      </c>
      <c r="G109" s="51" t="s">
        <v>1661</v>
      </c>
      <c r="H109" s="50" t="s">
        <v>1672</v>
      </c>
      <c r="I109" s="51" t="s">
        <v>1666</v>
      </c>
      <c r="J109" t="str">
        <f t="shared" si="2"/>
        <v>10302506 - Alto Mirador 1-Depto.Técnico</v>
      </c>
      <c r="K109" t="str">
        <f t="shared" si="3"/>
        <v>Proyectos Inmobiliarios</v>
      </c>
    </row>
    <row r="110" spans="1:11" x14ac:dyDescent="0.25">
      <c r="A110" s="56">
        <v>239</v>
      </c>
      <c r="B110" s="57" t="s">
        <v>466</v>
      </c>
      <c r="C110" s="57" t="s">
        <v>1685</v>
      </c>
      <c r="D110" s="57" t="s">
        <v>65</v>
      </c>
      <c r="E110" s="57" t="s">
        <v>65</v>
      </c>
      <c r="F110" s="57" t="s">
        <v>466</v>
      </c>
      <c r="G110" s="57" t="s">
        <v>1663</v>
      </c>
      <c r="H110" s="56" t="s">
        <v>386</v>
      </c>
      <c r="I110" s="57" t="s">
        <v>1664</v>
      </c>
      <c r="J110" t="str">
        <f t="shared" si="2"/>
        <v>239 - Alto Mirador</v>
      </c>
      <c r="K110" t="str">
        <f t="shared" si="3"/>
        <v>Obra</v>
      </c>
    </row>
    <row r="111" spans="1:11" x14ac:dyDescent="0.25">
      <c r="A111" s="56">
        <v>8239</v>
      </c>
      <c r="B111" s="57" t="s">
        <v>530</v>
      </c>
      <c r="C111" s="57" t="s">
        <v>1685</v>
      </c>
      <c r="D111" s="57" t="s">
        <v>1686</v>
      </c>
      <c r="E111" s="57" t="s">
        <v>1501</v>
      </c>
      <c r="F111" s="57" t="s">
        <v>466</v>
      </c>
      <c r="G111" s="57" t="s">
        <v>1661</v>
      </c>
      <c r="H111" s="56" t="s">
        <v>386</v>
      </c>
      <c r="I111" s="57" t="s">
        <v>1666</v>
      </c>
      <c r="J111" t="str">
        <f t="shared" si="2"/>
        <v>8239 - Entrega Alto Mirador</v>
      </c>
      <c r="K111" t="str">
        <f t="shared" si="3"/>
        <v>Entrega</v>
      </c>
    </row>
    <row r="112" spans="1:11" x14ac:dyDescent="0.25">
      <c r="A112" s="56">
        <v>9239</v>
      </c>
      <c r="B112" s="57" t="s">
        <v>656</v>
      </c>
      <c r="C112" s="57" t="s">
        <v>1685</v>
      </c>
      <c r="D112" s="57" t="s">
        <v>66</v>
      </c>
      <c r="E112" s="57" t="s">
        <v>328</v>
      </c>
      <c r="F112" s="57" t="s">
        <v>466</v>
      </c>
      <c r="G112" s="57" t="s">
        <v>1661</v>
      </c>
      <c r="H112" s="56" t="s">
        <v>386</v>
      </c>
      <c r="I112" s="57" t="s">
        <v>1666</v>
      </c>
      <c r="J112" t="str">
        <f t="shared" si="2"/>
        <v>9239 - PV Alto Mirador</v>
      </c>
      <c r="K112" t="str">
        <f t="shared" si="3"/>
        <v>Postventa</v>
      </c>
    </row>
    <row r="113" spans="1:11" x14ac:dyDescent="0.25">
      <c r="A113" s="56">
        <v>10239000</v>
      </c>
      <c r="B113" s="57" t="s">
        <v>466</v>
      </c>
      <c r="C113" s="57" t="s">
        <v>1685</v>
      </c>
      <c r="D113" s="57" t="s">
        <v>1665</v>
      </c>
      <c r="E113" s="57" t="s">
        <v>1585</v>
      </c>
      <c r="F113" s="57" t="s">
        <v>466</v>
      </c>
      <c r="G113" s="57" t="s">
        <v>1661</v>
      </c>
      <c r="H113" s="56" t="s">
        <v>386</v>
      </c>
      <c r="I113" s="57" t="s">
        <v>1666</v>
      </c>
      <c r="J113" t="str">
        <f t="shared" si="2"/>
        <v>10239000 - Alto Mirador</v>
      </c>
      <c r="K113" t="str">
        <f t="shared" si="3"/>
        <v>Proyectos Inmobiliarios</v>
      </c>
    </row>
    <row r="114" spans="1:11" x14ac:dyDescent="0.25">
      <c r="A114" s="56">
        <v>10239102</v>
      </c>
      <c r="B114" s="57" t="s">
        <v>1144</v>
      </c>
      <c r="C114" s="57" t="s">
        <v>1685</v>
      </c>
      <c r="D114" s="57" t="s">
        <v>1665</v>
      </c>
      <c r="E114" s="57" t="s">
        <v>1617</v>
      </c>
      <c r="F114" s="57" t="s">
        <v>466</v>
      </c>
      <c r="G114" s="57" t="s">
        <v>1661</v>
      </c>
      <c r="H114" s="56" t="s">
        <v>386</v>
      </c>
      <c r="I114" s="57" t="s">
        <v>1666</v>
      </c>
      <c r="J114" t="str">
        <f t="shared" si="2"/>
        <v>10239102 - Alto Mirador-Marketing</v>
      </c>
      <c r="K114" t="str">
        <f t="shared" si="3"/>
        <v>Proyectos Inmobiliarios</v>
      </c>
    </row>
    <row r="115" spans="1:11" x14ac:dyDescent="0.25">
      <c r="A115" s="56">
        <v>10239103</v>
      </c>
      <c r="B115" s="57" t="s">
        <v>1145</v>
      </c>
      <c r="C115" s="57" t="s">
        <v>1685</v>
      </c>
      <c r="D115" s="57" t="s">
        <v>1665</v>
      </c>
      <c r="E115" s="57" t="s">
        <v>1618</v>
      </c>
      <c r="F115" s="57" t="s">
        <v>466</v>
      </c>
      <c r="G115" s="57" t="s">
        <v>1661</v>
      </c>
      <c r="H115" s="56" t="s">
        <v>386</v>
      </c>
      <c r="I115" s="57" t="s">
        <v>1666</v>
      </c>
      <c r="J115" t="str">
        <f t="shared" si="2"/>
        <v>10239103 - Alto Mirador-Operaciones</v>
      </c>
      <c r="K115" t="str">
        <f t="shared" si="3"/>
        <v>Proyectos Inmobiliarios</v>
      </c>
    </row>
    <row r="116" spans="1:11" x14ac:dyDescent="0.25">
      <c r="A116" s="56">
        <v>10239104</v>
      </c>
      <c r="B116" s="57" t="s">
        <v>1146</v>
      </c>
      <c r="C116" s="57" t="s">
        <v>1685</v>
      </c>
      <c r="D116" s="57" t="s">
        <v>1665</v>
      </c>
      <c r="E116" s="57" t="s">
        <v>90</v>
      </c>
      <c r="F116" s="57" t="s">
        <v>466</v>
      </c>
      <c r="G116" s="57" t="s">
        <v>1661</v>
      </c>
      <c r="H116" s="56" t="s">
        <v>386</v>
      </c>
      <c r="I116" s="57" t="s">
        <v>1666</v>
      </c>
      <c r="J116" t="str">
        <f t="shared" si="2"/>
        <v>10239104 - Alto Mirador-Ventas</v>
      </c>
      <c r="K116" t="str">
        <f t="shared" si="3"/>
        <v>Proyectos Inmobiliarios</v>
      </c>
    </row>
    <row r="117" spans="1:11" x14ac:dyDescent="0.25">
      <c r="A117" s="56">
        <v>10239105</v>
      </c>
      <c r="B117" s="57" t="s">
        <v>1147</v>
      </c>
      <c r="C117" s="57" t="s">
        <v>1685</v>
      </c>
      <c r="D117" s="57" t="s">
        <v>1665</v>
      </c>
      <c r="E117" s="57" t="s">
        <v>1622</v>
      </c>
      <c r="F117" s="57" t="s">
        <v>466</v>
      </c>
      <c r="G117" s="57" t="s">
        <v>1661</v>
      </c>
      <c r="H117" s="56" t="s">
        <v>386</v>
      </c>
      <c r="I117" s="57" t="s">
        <v>1666</v>
      </c>
      <c r="J117" t="str">
        <f t="shared" si="2"/>
        <v>10239105 - Alto Mirador-Clientes</v>
      </c>
      <c r="K117" t="str">
        <f t="shared" si="3"/>
        <v>Proyectos Inmobiliarios</v>
      </c>
    </row>
    <row r="118" spans="1:11" x14ac:dyDescent="0.25">
      <c r="A118" s="56">
        <v>10239204</v>
      </c>
      <c r="B118" s="57" t="s">
        <v>1148</v>
      </c>
      <c r="C118" s="57" t="s">
        <v>1685</v>
      </c>
      <c r="D118" s="57" t="s">
        <v>1665</v>
      </c>
      <c r="E118" s="57" t="s">
        <v>1624</v>
      </c>
      <c r="F118" s="57" t="s">
        <v>466</v>
      </c>
      <c r="G118" s="57" t="s">
        <v>1661</v>
      </c>
      <c r="H118" s="56" t="s">
        <v>386</v>
      </c>
      <c r="I118" s="57" t="s">
        <v>1666</v>
      </c>
      <c r="J118" t="str">
        <f t="shared" si="2"/>
        <v>10239204 - Alto Mirador-Proyecto</v>
      </c>
      <c r="K118" t="str">
        <f t="shared" si="3"/>
        <v>Proyectos Inmobiliarios</v>
      </c>
    </row>
    <row r="119" spans="1:11" x14ac:dyDescent="0.25">
      <c r="A119" s="56">
        <v>10239301</v>
      </c>
      <c r="B119" s="57" t="s">
        <v>1149</v>
      </c>
      <c r="C119" s="57" t="s">
        <v>1685</v>
      </c>
      <c r="D119" s="57" t="s">
        <v>1665</v>
      </c>
      <c r="E119" s="57" t="s">
        <v>1643</v>
      </c>
      <c r="F119" s="57" t="s">
        <v>466</v>
      </c>
      <c r="G119" s="57" t="s">
        <v>1667</v>
      </c>
      <c r="H119" s="56" t="s">
        <v>386</v>
      </c>
      <c r="I119" s="57" t="s">
        <v>1666</v>
      </c>
      <c r="J119" t="str">
        <f t="shared" si="2"/>
        <v>10239301 - Alto Mirador-GAF</v>
      </c>
      <c r="K119" t="str">
        <f t="shared" si="3"/>
        <v>Proyectos Inmobiliarios</v>
      </c>
    </row>
    <row r="120" spans="1:11" x14ac:dyDescent="0.25">
      <c r="A120" s="56">
        <v>10239505</v>
      </c>
      <c r="B120" s="57" t="s">
        <v>1150</v>
      </c>
      <c r="C120" s="57" t="s">
        <v>1685</v>
      </c>
      <c r="D120" s="57" t="s">
        <v>66</v>
      </c>
      <c r="E120" s="57" t="s">
        <v>328</v>
      </c>
      <c r="F120" s="57" t="s">
        <v>466</v>
      </c>
      <c r="G120" s="57" t="s">
        <v>1661</v>
      </c>
      <c r="H120" s="56" t="s">
        <v>386</v>
      </c>
      <c r="I120" s="57" t="s">
        <v>1666</v>
      </c>
      <c r="J120" t="str">
        <f t="shared" si="2"/>
        <v>10239505 - Alto Mirador-PV Inmob.</v>
      </c>
      <c r="K120" t="str">
        <f t="shared" si="3"/>
        <v>Postventa</v>
      </c>
    </row>
    <row r="121" spans="1:11" x14ac:dyDescent="0.25">
      <c r="A121" s="56">
        <v>10239506</v>
      </c>
      <c r="B121" s="57" t="s">
        <v>1151</v>
      </c>
      <c r="C121" s="57" t="s">
        <v>1685</v>
      </c>
      <c r="D121" s="57" t="s">
        <v>1665</v>
      </c>
      <c r="E121" s="57" t="s">
        <v>200</v>
      </c>
      <c r="F121" s="57" t="s">
        <v>466</v>
      </c>
      <c r="G121" s="57" t="s">
        <v>1661</v>
      </c>
      <c r="H121" s="56" t="s">
        <v>386</v>
      </c>
      <c r="I121" s="57" t="s">
        <v>1666</v>
      </c>
      <c r="J121" t="str">
        <f t="shared" si="2"/>
        <v>10239506 - Alto Mirador-Depto.Técnico</v>
      </c>
      <c r="K121" t="str">
        <f t="shared" si="3"/>
        <v>Proyectos Inmobiliarios</v>
      </c>
    </row>
    <row r="122" spans="1:11" x14ac:dyDescent="0.25">
      <c r="A122" s="54">
        <v>999999999</v>
      </c>
      <c r="B122" s="55" t="s">
        <v>1684</v>
      </c>
      <c r="C122" s="55"/>
      <c r="D122" s="55" t="s">
        <v>1578</v>
      </c>
      <c r="E122" s="55" t="s">
        <v>1578</v>
      </c>
      <c r="F122" s="55" t="s">
        <v>1706</v>
      </c>
      <c r="G122" s="55" t="s">
        <v>1661</v>
      </c>
      <c r="H122" s="54" t="s">
        <v>1672</v>
      </c>
      <c r="I122" s="55" t="s">
        <v>1662</v>
      </c>
      <c r="J122" t="str">
        <f t="shared" si="2"/>
        <v>999999999 - Terreno Abuelo Proyectos sin Terreno</v>
      </c>
      <c r="K122" t="str">
        <f t="shared" si="3"/>
        <v>Terreno</v>
      </c>
    </row>
    <row r="123" spans="1:11" x14ac:dyDescent="0.25">
      <c r="A123" s="54">
        <v>45</v>
      </c>
      <c r="B123" s="55" t="s">
        <v>1706</v>
      </c>
      <c r="C123" s="55" t="s">
        <v>1685</v>
      </c>
      <c r="D123" s="55" t="s">
        <v>65</v>
      </c>
      <c r="E123" s="55" t="s">
        <v>65</v>
      </c>
      <c r="F123" s="55" t="s">
        <v>1706</v>
      </c>
      <c r="G123" s="55" t="s">
        <v>1663</v>
      </c>
      <c r="H123" s="54" t="s">
        <v>1672</v>
      </c>
      <c r="I123" s="55" t="s">
        <v>1664</v>
      </c>
      <c r="J123" t="str">
        <f t="shared" si="2"/>
        <v>45 - Alto Oriente</v>
      </c>
      <c r="K123" t="str">
        <f t="shared" si="3"/>
        <v>Obra</v>
      </c>
    </row>
    <row r="124" spans="1:11" x14ac:dyDescent="0.25">
      <c r="A124" s="54">
        <v>9045</v>
      </c>
      <c r="B124" s="55" t="s">
        <v>591</v>
      </c>
      <c r="C124" s="55" t="s">
        <v>1685</v>
      </c>
      <c r="D124" s="55" t="s">
        <v>66</v>
      </c>
      <c r="E124" s="55" t="s">
        <v>328</v>
      </c>
      <c r="F124" s="55" t="s">
        <v>1706</v>
      </c>
      <c r="G124" s="55" t="s">
        <v>1661</v>
      </c>
      <c r="H124" s="54" t="s">
        <v>386</v>
      </c>
      <c r="I124" s="55" t="s">
        <v>1666</v>
      </c>
      <c r="J124" t="str">
        <f t="shared" si="2"/>
        <v>9045 - PV Alto Oriente</v>
      </c>
      <c r="K124" t="str">
        <f t="shared" si="3"/>
        <v>Postventa</v>
      </c>
    </row>
    <row r="125" spans="1:11" x14ac:dyDescent="0.25">
      <c r="A125" s="54">
        <v>10127000</v>
      </c>
      <c r="B125" s="55" t="s">
        <v>1706</v>
      </c>
      <c r="C125" s="55" t="s">
        <v>1685</v>
      </c>
      <c r="D125" s="55" t="s">
        <v>1665</v>
      </c>
      <c r="E125" s="55" t="s">
        <v>1585</v>
      </c>
      <c r="F125" s="55" t="s">
        <v>1706</v>
      </c>
      <c r="G125" s="55" t="s">
        <v>1661</v>
      </c>
      <c r="H125" s="54" t="s">
        <v>1672</v>
      </c>
      <c r="I125" s="55" t="s">
        <v>1666</v>
      </c>
      <c r="J125" t="str">
        <f t="shared" si="2"/>
        <v>10127000 - Alto Oriente</v>
      </c>
      <c r="K125" t="str">
        <f t="shared" si="3"/>
        <v>Proyectos Inmobiliarios</v>
      </c>
    </row>
    <row r="126" spans="1:11" x14ac:dyDescent="0.25">
      <c r="A126" s="54">
        <v>10127102</v>
      </c>
      <c r="B126" s="55" t="s">
        <v>1707</v>
      </c>
      <c r="C126" s="55" t="s">
        <v>1685</v>
      </c>
      <c r="D126" s="55" t="s">
        <v>1665</v>
      </c>
      <c r="E126" s="55" t="s">
        <v>1617</v>
      </c>
      <c r="F126" s="55" t="s">
        <v>1706</v>
      </c>
      <c r="G126" s="55" t="s">
        <v>1661</v>
      </c>
      <c r="H126" s="54" t="s">
        <v>1672</v>
      </c>
      <c r="I126" s="55" t="s">
        <v>1666</v>
      </c>
      <c r="J126" t="str">
        <f t="shared" si="2"/>
        <v>10127102 - Alto Oriente-Marketing</v>
      </c>
      <c r="K126" t="str">
        <f t="shared" si="3"/>
        <v>Proyectos Inmobiliarios</v>
      </c>
    </row>
    <row r="127" spans="1:11" x14ac:dyDescent="0.25">
      <c r="A127" s="54">
        <v>10127103</v>
      </c>
      <c r="B127" s="55" t="s">
        <v>1708</v>
      </c>
      <c r="C127" s="55" t="s">
        <v>1685</v>
      </c>
      <c r="D127" s="55" t="s">
        <v>1665</v>
      </c>
      <c r="E127" s="55" t="s">
        <v>1618</v>
      </c>
      <c r="F127" s="55" t="s">
        <v>1706</v>
      </c>
      <c r="G127" s="55" t="s">
        <v>1661</v>
      </c>
      <c r="H127" s="54" t="s">
        <v>1672</v>
      </c>
      <c r="I127" s="55" t="s">
        <v>1666</v>
      </c>
      <c r="J127" t="str">
        <f t="shared" si="2"/>
        <v>10127103 - Alto Oriente-Operaciones</v>
      </c>
      <c r="K127" t="str">
        <f t="shared" si="3"/>
        <v>Proyectos Inmobiliarios</v>
      </c>
    </row>
    <row r="128" spans="1:11" x14ac:dyDescent="0.25">
      <c r="A128" s="54">
        <v>10127104</v>
      </c>
      <c r="B128" s="55" t="s">
        <v>1709</v>
      </c>
      <c r="C128" s="55" t="s">
        <v>1685</v>
      </c>
      <c r="D128" s="55" t="s">
        <v>1665</v>
      </c>
      <c r="E128" s="55" t="s">
        <v>90</v>
      </c>
      <c r="F128" s="55" t="s">
        <v>1706</v>
      </c>
      <c r="G128" s="55" t="s">
        <v>1661</v>
      </c>
      <c r="H128" s="54" t="s">
        <v>1672</v>
      </c>
      <c r="I128" s="55" t="s">
        <v>1666</v>
      </c>
      <c r="J128" t="str">
        <f t="shared" si="2"/>
        <v>10127104 - Alto Oriente-Ventas</v>
      </c>
      <c r="K128" t="str">
        <f t="shared" si="3"/>
        <v>Proyectos Inmobiliarios</v>
      </c>
    </row>
    <row r="129" spans="1:11" x14ac:dyDescent="0.25">
      <c r="A129" s="54">
        <v>10127105</v>
      </c>
      <c r="B129" s="55" t="s">
        <v>1710</v>
      </c>
      <c r="C129" s="55" t="s">
        <v>1685</v>
      </c>
      <c r="D129" s="55" t="s">
        <v>1665</v>
      </c>
      <c r="E129" s="55" t="s">
        <v>1622</v>
      </c>
      <c r="F129" s="55" t="s">
        <v>1706</v>
      </c>
      <c r="G129" s="55" t="s">
        <v>1661</v>
      </c>
      <c r="H129" s="54" t="s">
        <v>1672</v>
      </c>
      <c r="I129" s="55" t="s">
        <v>1666</v>
      </c>
      <c r="J129" t="str">
        <f t="shared" si="2"/>
        <v>10127105 - Alto Oriente-Clientes</v>
      </c>
      <c r="K129" t="str">
        <f t="shared" si="3"/>
        <v>Proyectos Inmobiliarios</v>
      </c>
    </row>
    <row r="130" spans="1:11" x14ac:dyDescent="0.25">
      <c r="A130" s="54">
        <v>10127205</v>
      </c>
      <c r="B130" s="55" t="s">
        <v>1711</v>
      </c>
      <c r="C130" s="55" t="s">
        <v>1685</v>
      </c>
      <c r="D130" s="55" t="s">
        <v>1665</v>
      </c>
      <c r="E130" s="55" t="s">
        <v>1624</v>
      </c>
      <c r="F130" s="55" t="s">
        <v>1706</v>
      </c>
      <c r="G130" s="55" t="s">
        <v>1661</v>
      </c>
      <c r="H130" s="54" t="s">
        <v>1672</v>
      </c>
      <c r="I130" s="55" t="s">
        <v>1666</v>
      </c>
      <c r="J130" t="str">
        <f t="shared" si="2"/>
        <v>10127205 - Alto Oriente-Proyecto</v>
      </c>
      <c r="K130" t="str">
        <f t="shared" si="3"/>
        <v>Proyectos Inmobiliarios</v>
      </c>
    </row>
    <row r="131" spans="1:11" x14ac:dyDescent="0.25">
      <c r="A131" s="54">
        <v>10127301</v>
      </c>
      <c r="B131" s="55" t="s">
        <v>1712</v>
      </c>
      <c r="C131" s="55" t="s">
        <v>1685</v>
      </c>
      <c r="D131" s="55" t="s">
        <v>1665</v>
      </c>
      <c r="E131" s="55" t="s">
        <v>1643</v>
      </c>
      <c r="F131" s="55" t="s">
        <v>1706</v>
      </c>
      <c r="G131" s="55" t="s">
        <v>1667</v>
      </c>
      <c r="H131" s="54" t="s">
        <v>1672</v>
      </c>
      <c r="I131" s="55" t="s">
        <v>1666</v>
      </c>
      <c r="J131" t="str">
        <f t="shared" ref="J131:J194" si="4">+A131&amp;" - "&amp;B131</f>
        <v>10127301 - Alto Oriente-GAF</v>
      </c>
      <c r="K131" t="str">
        <f t="shared" ref="K131:K194" si="5">+D131</f>
        <v>Proyectos Inmobiliarios</v>
      </c>
    </row>
    <row r="132" spans="1:11" x14ac:dyDescent="0.25">
      <c r="A132" s="54">
        <v>10127505</v>
      </c>
      <c r="B132" s="55" t="s">
        <v>1713</v>
      </c>
      <c r="C132" s="55" t="s">
        <v>1685</v>
      </c>
      <c r="D132" s="55" t="s">
        <v>66</v>
      </c>
      <c r="E132" s="55" t="s">
        <v>328</v>
      </c>
      <c r="F132" s="55" t="s">
        <v>1706</v>
      </c>
      <c r="G132" s="55" t="s">
        <v>1661</v>
      </c>
      <c r="H132" s="54" t="s">
        <v>1672</v>
      </c>
      <c r="I132" s="55" t="s">
        <v>1666</v>
      </c>
      <c r="J132" t="str">
        <f t="shared" si="4"/>
        <v>10127505 - Alto Oriente-PV Inmob.</v>
      </c>
      <c r="K132" t="str">
        <f t="shared" si="5"/>
        <v>Postventa</v>
      </c>
    </row>
    <row r="133" spans="1:11" x14ac:dyDescent="0.25">
      <c r="A133" s="54">
        <v>10127506</v>
      </c>
      <c r="B133" s="55" t="s">
        <v>1714</v>
      </c>
      <c r="C133" s="55" t="s">
        <v>1685</v>
      </c>
      <c r="D133" s="55" t="s">
        <v>1665</v>
      </c>
      <c r="E133" s="55" t="s">
        <v>200</v>
      </c>
      <c r="F133" s="55" t="s">
        <v>1706</v>
      </c>
      <c r="G133" s="55" t="s">
        <v>1661</v>
      </c>
      <c r="H133" s="54" t="s">
        <v>1672</v>
      </c>
      <c r="I133" s="55" t="s">
        <v>1666</v>
      </c>
      <c r="J133" t="str">
        <f t="shared" si="4"/>
        <v>10127506 - Alto Oriente-Depto.Técnico</v>
      </c>
      <c r="K133" t="str">
        <f t="shared" si="5"/>
        <v>Proyectos Inmobiliarios</v>
      </c>
    </row>
    <row r="134" spans="1:11" x14ac:dyDescent="0.25">
      <c r="A134" s="60">
        <v>999999999</v>
      </c>
      <c r="B134" s="61" t="s">
        <v>1684</v>
      </c>
      <c r="C134" s="61"/>
      <c r="D134" s="61" t="s">
        <v>1578</v>
      </c>
      <c r="E134" s="61" t="s">
        <v>1578</v>
      </c>
      <c r="F134" s="61" t="s">
        <v>1715</v>
      </c>
      <c r="G134" s="61" t="s">
        <v>1661</v>
      </c>
      <c r="H134" s="60" t="s">
        <v>1672</v>
      </c>
      <c r="I134" s="61" t="s">
        <v>1662</v>
      </c>
      <c r="J134" t="str">
        <f t="shared" si="4"/>
        <v>999999999 - Terreno Abuelo Proyectos sin Terreno</v>
      </c>
      <c r="K134" t="str">
        <f t="shared" si="5"/>
        <v>Terreno</v>
      </c>
    </row>
    <row r="135" spans="1:11" x14ac:dyDescent="0.25">
      <c r="A135" s="60">
        <v>31</v>
      </c>
      <c r="B135" s="61" t="s">
        <v>1716</v>
      </c>
      <c r="C135" s="61" t="s">
        <v>1685</v>
      </c>
      <c r="D135" s="61" t="s">
        <v>65</v>
      </c>
      <c r="E135" s="61" t="s">
        <v>65</v>
      </c>
      <c r="F135" s="61" t="s">
        <v>1715</v>
      </c>
      <c r="G135" s="61" t="s">
        <v>1663</v>
      </c>
      <c r="H135" s="60" t="s">
        <v>1672</v>
      </c>
      <c r="I135" s="61" t="s">
        <v>1664</v>
      </c>
      <c r="J135" t="str">
        <f t="shared" si="4"/>
        <v>31 - Edificio Alto Placeres</v>
      </c>
      <c r="K135" t="str">
        <f t="shared" si="5"/>
        <v>Obra</v>
      </c>
    </row>
    <row r="136" spans="1:11" x14ac:dyDescent="0.25">
      <c r="A136" s="60">
        <v>9031</v>
      </c>
      <c r="B136" s="61" t="s">
        <v>580</v>
      </c>
      <c r="C136" s="61" t="s">
        <v>1685</v>
      </c>
      <c r="D136" s="61" t="s">
        <v>66</v>
      </c>
      <c r="E136" s="61" t="s">
        <v>328</v>
      </c>
      <c r="F136" s="61" t="s">
        <v>1715</v>
      </c>
      <c r="G136" s="61" t="s">
        <v>1661</v>
      </c>
      <c r="H136" s="60" t="s">
        <v>386</v>
      </c>
      <c r="I136" s="61" t="s">
        <v>1666</v>
      </c>
      <c r="J136" t="str">
        <f t="shared" si="4"/>
        <v>9031 - PV Edif Alto Placeres</v>
      </c>
      <c r="K136" t="str">
        <f t="shared" si="5"/>
        <v>Postventa</v>
      </c>
    </row>
    <row r="137" spans="1:11" x14ac:dyDescent="0.25">
      <c r="A137" s="60">
        <v>10017000</v>
      </c>
      <c r="B137" s="61" t="s">
        <v>1715</v>
      </c>
      <c r="C137" s="61" t="s">
        <v>1685</v>
      </c>
      <c r="D137" s="61" t="s">
        <v>1665</v>
      </c>
      <c r="E137" s="61" t="s">
        <v>1585</v>
      </c>
      <c r="F137" s="61" t="s">
        <v>1715</v>
      </c>
      <c r="G137" s="61" t="s">
        <v>1661</v>
      </c>
      <c r="H137" s="60" t="s">
        <v>1672</v>
      </c>
      <c r="I137" s="61" t="s">
        <v>1666</v>
      </c>
      <c r="J137" t="str">
        <f t="shared" si="4"/>
        <v>10017000 - Alto Placeres</v>
      </c>
      <c r="K137" t="str">
        <f t="shared" si="5"/>
        <v>Proyectos Inmobiliarios</v>
      </c>
    </row>
    <row r="138" spans="1:11" x14ac:dyDescent="0.25">
      <c r="A138" s="60">
        <v>10017102</v>
      </c>
      <c r="B138" s="61" t="s">
        <v>1717</v>
      </c>
      <c r="C138" s="61" t="s">
        <v>1685</v>
      </c>
      <c r="D138" s="61" t="s">
        <v>1665</v>
      </c>
      <c r="E138" s="61" t="s">
        <v>1617</v>
      </c>
      <c r="F138" s="61" t="s">
        <v>1715</v>
      </c>
      <c r="G138" s="61" t="s">
        <v>1661</v>
      </c>
      <c r="H138" s="60" t="s">
        <v>1672</v>
      </c>
      <c r="I138" s="61" t="s">
        <v>1666</v>
      </c>
      <c r="J138" t="str">
        <f t="shared" si="4"/>
        <v>10017102 - Alto Placeres-Marketing</v>
      </c>
      <c r="K138" t="str">
        <f t="shared" si="5"/>
        <v>Proyectos Inmobiliarios</v>
      </c>
    </row>
    <row r="139" spans="1:11" x14ac:dyDescent="0.25">
      <c r="A139" s="60">
        <v>10017103</v>
      </c>
      <c r="B139" s="61" t="s">
        <v>1718</v>
      </c>
      <c r="C139" s="61" t="s">
        <v>1685</v>
      </c>
      <c r="D139" s="61" t="s">
        <v>1665</v>
      </c>
      <c r="E139" s="61" t="s">
        <v>1618</v>
      </c>
      <c r="F139" s="61" t="s">
        <v>1715</v>
      </c>
      <c r="G139" s="61" t="s">
        <v>1661</v>
      </c>
      <c r="H139" s="60" t="s">
        <v>1672</v>
      </c>
      <c r="I139" s="61" t="s">
        <v>1666</v>
      </c>
      <c r="J139" t="str">
        <f t="shared" si="4"/>
        <v>10017103 - Alto Placeres-Operaciones</v>
      </c>
      <c r="K139" t="str">
        <f t="shared" si="5"/>
        <v>Proyectos Inmobiliarios</v>
      </c>
    </row>
    <row r="140" spans="1:11" x14ac:dyDescent="0.25">
      <c r="A140" s="60">
        <v>10017104</v>
      </c>
      <c r="B140" s="61" t="s">
        <v>1719</v>
      </c>
      <c r="C140" s="61" t="s">
        <v>1685</v>
      </c>
      <c r="D140" s="61" t="s">
        <v>1665</v>
      </c>
      <c r="E140" s="61" t="s">
        <v>90</v>
      </c>
      <c r="F140" s="61" t="s">
        <v>1715</v>
      </c>
      <c r="G140" s="61" t="s">
        <v>1661</v>
      </c>
      <c r="H140" s="60" t="s">
        <v>1672</v>
      </c>
      <c r="I140" s="61" t="s">
        <v>1666</v>
      </c>
      <c r="J140" t="str">
        <f t="shared" si="4"/>
        <v>10017104 - Alto Placeres-Ventas</v>
      </c>
      <c r="K140" t="str">
        <f t="shared" si="5"/>
        <v>Proyectos Inmobiliarios</v>
      </c>
    </row>
    <row r="141" spans="1:11" x14ac:dyDescent="0.25">
      <c r="A141" s="60">
        <v>10017105</v>
      </c>
      <c r="B141" s="61" t="s">
        <v>1720</v>
      </c>
      <c r="C141" s="61" t="s">
        <v>1685</v>
      </c>
      <c r="D141" s="61" t="s">
        <v>1665</v>
      </c>
      <c r="E141" s="61" t="s">
        <v>1622</v>
      </c>
      <c r="F141" s="61" t="s">
        <v>1715</v>
      </c>
      <c r="G141" s="61" t="s">
        <v>1661</v>
      </c>
      <c r="H141" s="60" t="s">
        <v>1672</v>
      </c>
      <c r="I141" s="61" t="s">
        <v>1666</v>
      </c>
      <c r="J141" t="str">
        <f t="shared" si="4"/>
        <v>10017105 - Alto Placeres-Clientes</v>
      </c>
      <c r="K141" t="str">
        <f t="shared" si="5"/>
        <v>Proyectos Inmobiliarios</v>
      </c>
    </row>
    <row r="142" spans="1:11" x14ac:dyDescent="0.25">
      <c r="A142" s="60">
        <v>10017205</v>
      </c>
      <c r="B142" s="61" t="s">
        <v>1721</v>
      </c>
      <c r="C142" s="61" t="s">
        <v>1685</v>
      </c>
      <c r="D142" s="61" t="s">
        <v>1665</v>
      </c>
      <c r="E142" s="61" t="s">
        <v>1624</v>
      </c>
      <c r="F142" s="61" t="s">
        <v>1715</v>
      </c>
      <c r="G142" s="61" t="s">
        <v>1661</v>
      </c>
      <c r="H142" s="60" t="s">
        <v>1672</v>
      </c>
      <c r="I142" s="61" t="s">
        <v>1666</v>
      </c>
      <c r="J142" t="str">
        <f t="shared" si="4"/>
        <v>10017205 - Alto Placeres-Proyecto</v>
      </c>
      <c r="K142" t="str">
        <f t="shared" si="5"/>
        <v>Proyectos Inmobiliarios</v>
      </c>
    </row>
    <row r="143" spans="1:11" x14ac:dyDescent="0.25">
      <c r="A143" s="60">
        <v>10017301</v>
      </c>
      <c r="B143" s="61" t="s">
        <v>1722</v>
      </c>
      <c r="C143" s="61" t="s">
        <v>1685</v>
      </c>
      <c r="D143" s="61" t="s">
        <v>1665</v>
      </c>
      <c r="E143" s="61" t="s">
        <v>1643</v>
      </c>
      <c r="F143" s="61" t="s">
        <v>1715</v>
      </c>
      <c r="G143" s="61" t="s">
        <v>1667</v>
      </c>
      <c r="H143" s="60" t="s">
        <v>1672</v>
      </c>
      <c r="I143" s="61" t="s">
        <v>1666</v>
      </c>
      <c r="J143" t="str">
        <f t="shared" si="4"/>
        <v>10017301 - Alto Placeres-GAF</v>
      </c>
      <c r="K143" t="str">
        <f t="shared" si="5"/>
        <v>Proyectos Inmobiliarios</v>
      </c>
    </row>
    <row r="144" spans="1:11" x14ac:dyDescent="0.25">
      <c r="A144" s="60">
        <v>10017505</v>
      </c>
      <c r="B144" s="61" t="s">
        <v>1723</v>
      </c>
      <c r="C144" s="61" t="s">
        <v>1685</v>
      </c>
      <c r="D144" s="61" t="s">
        <v>66</v>
      </c>
      <c r="E144" s="61" t="s">
        <v>328</v>
      </c>
      <c r="F144" s="61" t="s">
        <v>1715</v>
      </c>
      <c r="G144" s="61" t="s">
        <v>1661</v>
      </c>
      <c r="H144" s="60" t="s">
        <v>1672</v>
      </c>
      <c r="I144" s="61" t="s">
        <v>1666</v>
      </c>
      <c r="J144" t="str">
        <f t="shared" si="4"/>
        <v>10017505 - Alto Placeres-PV Inmob.</v>
      </c>
      <c r="K144" t="str">
        <f t="shared" si="5"/>
        <v>Postventa</v>
      </c>
    </row>
    <row r="145" spans="1:11" x14ac:dyDescent="0.25">
      <c r="A145" s="60">
        <v>10017506</v>
      </c>
      <c r="B145" s="61" t="s">
        <v>1724</v>
      </c>
      <c r="C145" s="61" t="s">
        <v>1685</v>
      </c>
      <c r="D145" s="61" t="s">
        <v>1665</v>
      </c>
      <c r="E145" s="61" t="s">
        <v>200</v>
      </c>
      <c r="F145" s="61" t="s">
        <v>1715</v>
      </c>
      <c r="G145" s="61" t="s">
        <v>1661</v>
      </c>
      <c r="H145" s="60" t="s">
        <v>1672</v>
      </c>
      <c r="I145" s="61" t="s">
        <v>1666</v>
      </c>
      <c r="J145" t="str">
        <f t="shared" si="4"/>
        <v>10017506 - Alto Placeres-Depto.Técnico</v>
      </c>
      <c r="K145" t="str">
        <f t="shared" si="5"/>
        <v>Proyectos Inmobiliarios</v>
      </c>
    </row>
    <row r="146" spans="1:11" x14ac:dyDescent="0.25">
      <c r="A146" s="58">
        <v>1064202</v>
      </c>
      <c r="B146" s="59" t="s">
        <v>1725</v>
      </c>
      <c r="C146" s="59" t="s">
        <v>1685</v>
      </c>
      <c r="D146" s="59" t="s">
        <v>1578</v>
      </c>
      <c r="E146" s="59" t="s">
        <v>1578</v>
      </c>
      <c r="F146" s="59" t="s">
        <v>1726</v>
      </c>
      <c r="G146" s="59" t="s">
        <v>1661</v>
      </c>
      <c r="H146" s="58" t="s">
        <v>1672</v>
      </c>
      <c r="I146" s="59" t="s">
        <v>1662</v>
      </c>
      <c r="J146" t="str">
        <f t="shared" si="4"/>
        <v>1064202 - Terreno Castilla 2-Desarrollo</v>
      </c>
      <c r="K146" t="str">
        <f t="shared" si="5"/>
        <v>Terreno</v>
      </c>
    </row>
    <row r="147" spans="1:11" x14ac:dyDescent="0.25">
      <c r="A147" s="58">
        <v>190</v>
      </c>
      <c r="B147" s="59" t="s">
        <v>1726</v>
      </c>
      <c r="C147" s="59" t="s">
        <v>1685</v>
      </c>
      <c r="D147" s="59" t="s">
        <v>65</v>
      </c>
      <c r="E147" s="59" t="s">
        <v>65</v>
      </c>
      <c r="F147" s="59" t="s">
        <v>1726</v>
      </c>
      <c r="G147" s="59" t="s">
        <v>1663</v>
      </c>
      <c r="H147" s="58" t="s">
        <v>1672</v>
      </c>
      <c r="I147" s="59" t="s">
        <v>1664</v>
      </c>
      <c r="J147" t="str">
        <f t="shared" si="4"/>
        <v>190 - Altos de Castilla</v>
      </c>
      <c r="K147" t="str">
        <f t="shared" si="5"/>
        <v>Obra</v>
      </c>
    </row>
    <row r="148" spans="1:11" x14ac:dyDescent="0.25">
      <c r="A148" s="58">
        <v>8190</v>
      </c>
      <c r="B148" s="59" t="s">
        <v>508</v>
      </c>
      <c r="C148" s="59" t="s">
        <v>1685</v>
      </c>
      <c r="D148" s="59" t="s">
        <v>1686</v>
      </c>
      <c r="E148" s="59" t="s">
        <v>1501</v>
      </c>
      <c r="F148" s="59" t="s">
        <v>1726</v>
      </c>
      <c r="G148" s="59" t="s">
        <v>1661</v>
      </c>
      <c r="H148" s="58" t="s">
        <v>386</v>
      </c>
      <c r="I148" s="59" t="s">
        <v>1666</v>
      </c>
      <c r="J148" t="str">
        <f t="shared" si="4"/>
        <v>8190 - Entrega Altos de Castilla</v>
      </c>
      <c r="K148" t="str">
        <f t="shared" si="5"/>
        <v>Entrega</v>
      </c>
    </row>
    <row r="149" spans="1:11" x14ac:dyDescent="0.25">
      <c r="A149" s="58">
        <v>9190</v>
      </c>
      <c r="B149" s="59" t="s">
        <v>622</v>
      </c>
      <c r="C149" s="59" t="s">
        <v>1685</v>
      </c>
      <c r="D149" s="59" t="s">
        <v>66</v>
      </c>
      <c r="E149" s="59" t="s">
        <v>328</v>
      </c>
      <c r="F149" s="59" t="s">
        <v>1726</v>
      </c>
      <c r="G149" s="59" t="s">
        <v>1661</v>
      </c>
      <c r="H149" s="58" t="s">
        <v>386</v>
      </c>
      <c r="I149" s="59" t="s">
        <v>1666</v>
      </c>
      <c r="J149" t="str">
        <f t="shared" si="4"/>
        <v>9190 - PV Altos de Castilla</v>
      </c>
      <c r="K149" t="str">
        <f t="shared" si="5"/>
        <v>Postventa</v>
      </c>
    </row>
    <row r="150" spans="1:11" x14ac:dyDescent="0.25">
      <c r="A150" s="58">
        <v>10190000</v>
      </c>
      <c r="B150" s="59" t="s">
        <v>1727</v>
      </c>
      <c r="C150" s="59" t="s">
        <v>1685</v>
      </c>
      <c r="D150" s="59" t="s">
        <v>1665</v>
      </c>
      <c r="E150" s="59" t="s">
        <v>1585</v>
      </c>
      <c r="F150" s="59" t="s">
        <v>1726</v>
      </c>
      <c r="G150" s="59" t="s">
        <v>1661</v>
      </c>
      <c r="H150" s="58" t="s">
        <v>1672</v>
      </c>
      <c r="I150" s="59" t="s">
        <v>1666</v>
      </c>
      <c r="J150" t="str">
        <f t="shared" si="4"/>
        <v>10190000 - Altos de Castilla-Torre 1</v>
      </c>
      <c r="K150" t="str">
        <f t="shared" si="5"/>
        <v>Proyectos Inmobiliarios</v>
      </c>
    </row>
    <row r="151" spans="1:11" x14ac:dyDescent="0.25">
      <c r="A151" s="58">
        <v>10190102</v>
      </c>
      <c r="B151" s="59" t="s">
        <v>1728</v>
      </c>
      <c r="C151" s="59" t="s">
        <v>1685</v>
      </c>
      <c r="D151" s="59" t="s">
        <v>1665</v>
      </c>
      <c r="E151" s="59" t="s">
        <v>1617</v>
      </c>
      <c r="F151" s="59" t="s">
        <v>1726</v>
      </c>
      <c r="G151" s="59" t="s">
        <v>1661</v>
      </c>
      <c r="H151" s="58" t="s">
        <v>1672</v>
      </c>
      <c r="I151" s="59" t="s">
        <v>1666</v>
      </c>
      <c r="J151" t="str">
        <f t="shared" si="4"/>
        <v>10190102 - Altos de Castilla-Torre 1-Marketing</v>
      </c>
      <c r="K151" t="str">
        <f t="shared" si="5"/>
        <v>Proyectos Inmobiliarios</v>
      </c>
    </row>
    <row r="152" spans="1:11" x14ac:dyDescent="0.25">
      <c r="A152" s="58">
        <v>10190103</v>
      </c>
      <c r="B152" s="59" t="s">
        <v>1729</v>
      </c>
      <c r="C152" s="59" t="s">
        <v>1685</v>
      </c>
      <c r="D152" s="59" t="s">
        <v>1665</v>
      </c>
      <c r="E152" s="59" t="s">
        <v>1618</v>
      </c>
      <c r="F152" s="59" t="s">
        <v>1726</v>
      </c>
      <c r="G152" s="59" t="s">
        <v>1661</v>
      </c>
      <c r="H152" s="58" t="s">
        <v>1672</v>
      </c>
      <c r="I152" s="59" t="s">
        <v>1666</v>
      </c>
      <c r="J152" t="str">
        <f t="shared" si="4"/>
        <v>10190103 - Altos de Castilla-Torre 1-Operaciones</v>
      </c>
      <c r="K152" t="str">
        <f t="shared" si="5"/>
        <v>Proyectos Inmobiliarios</v>
      </c>
    </row>
    <row r="153" spans="1:11" x14ac:dyDescent="0.25">
      <c r="A153" s="58">
        <v>10190104</v>
      </c>
      <c r="B153" s="59" t="s">
        <v>1730</v>
      </c>
      <c r="C153" s="59" t="s">
        <v>1685</v>
      </c>
      <c r="D153" s="59" t="s">
        <v>1665</v>
      </c>
      <c r="E153" s="59" t="s">
        <v>90</v>
      </c>
      <c r="F153" s="59" t="s">
        <v>1726</v>
      </c>
      <c r="G153" s="59" t="s">
        <v>1661</v>
      </c>
      <c r="H153" s="58" t="s">
        <v>1672</v>
      </c>
      <c r="I153" s="59" t="s">
        <v>1666</v>
      </c>
      <c r="J153" t="str">
        <f t="shared" si="4"/>
        <v>10190104 - Altos de Castilla-Torre 1-Ventas</v>
      </c>
      <c r="K153" t="str">
        <f t="shared" si="5"/>
        <v>Proyectos Inmobiliarios</v>
      </c>
    </row>
    <row r="154" spans="1:11" x14ac:dyDescent="0.25">
      <c r="A154" s="58">
        <v>10190105</v>
      </c>
      <c r="B154" s="59" t="s">
        <v>1731</v>
      </c>
      <c r="C154" s="59" t="s">
        <v>1685</v>
      </c>
      <c r="D154" s="59" t="s">
        <v>1665</v>
      </c>
      <c r="E154" s="59" t="s">
        <v>1622</v>
      </c>
      <c r="F154" s="59" t="s">
        <v>1726</v>
      </c>
      <c r="G154" s="59" t="s">
        <v>1661</v>
      </c>
      <c r="H154" s="58" t="s">
        <v>1672</v>
      </c>
      <c r="I154" s="59" t="s">
        <v>1666</v>
      </c>
      <c r="J154" t="str">
        <f t="shared" si="4"/>
        <v>10190105 - Altos de Castilla-Torre 1-Clientes</v>
      </c>
      <c r="K154" t="str">
        <f t="shared" si="5"/>
        <v>Proyectos Inmobiliarios</v>
      </c>
    </row>
    <row r="155" spans="1:11" x14ac:dyDescent="0.25">
      <c r="A155" s="58">
        <v>10190204</v>
      </c>
      <c r="B155" s="59" t="s">
        <v>1732</v>
      </c>
      <c r="C155" s="59" t="s">
        <v>1685</v>
      </c>
      <c r="D155" s="59" t="s">
        <v>1665</v>
      </c>
      <c r="E155" s="59" t="s">
        <v>1624</v>
      </c>
      <c r="F155" s="59" t="s">
        <v>1726</v>
      </c>
      <c r="G155" s="59" t="s">
        <v>1661</v>
      </c>
      <c r="H155" s="58" t="s">
        <v>1672</v>
      </c>
      <c r="I155" s="59" t="s">
        <v>1666</v>
      </c>
      <c r="J155" t="str">
        <f t="shared" si="4"/>
        <v>10190204 - Altos de Castilla-Torre 1-Proyecto</v>
      </c>
      <c r="K155" t="str">
        <f t="shared" si="5"/>
        <v>Proyectos Inmobiliarios</v>
      </c>
    </row>
    <row r="156" spans="1:11" x14ac:dyDescent="0.25">
      <c r="A156" s="58">
        <v>10190301</v>
      </c>
      <c r="B156" s="59" t="s">
        <v>1733</v>
      </c>
      <c r="C156" s="59" t="s">
        <v>1685</v>
      </c>
      <c r="D156" s="59" t="s">
        <v>1665</v>
      </c>
      <c r="E156" s="59" t="s">
        <v>1643</v>
      </c>
      <c r="F156" s="59" t="s">
        <v>1726</v>
      </c>
      <c r="G156" s="59" t="s">
        <v>1667</v>
      </c>
      <c r="H156" s="58" t="s">
        <v>1672</v>
      </c>
      <c r="I156" s="59" t="s">
        <v>1666</v>
      </c>
      <c r="J156" t="str">
        <f t="shared" si="4"/>
        <v>10190301 - Altos de Castilla-Torre 1-GAF</v>
      </c>
      <c r="K156" t="str">
        <f t="shared" si="5"/>
        <v>Proyectos Inmobiliarios</v>
      </c>
    </row>
    <row r="157" spans="1:11" x14ac:dyDescent="0.25">
      <c r="A157" s="58">
        <v>10190505</v>
      </c>
      <c r="B157" s="59" t="s">
        <v>1734</v>
      </c>
      <c r="C157" s="59" t="s">
        <v>1685</v>
      </c>
      <c r="D157" s="59" t="s">
        <v>66</v>
      </c>
      <c r="E157" s="59" t="s">
        <v>328</v>
      </c>
      <c r="F157" s="59" t="s">
        <v>1726</v>
      </c>
      <c r="G157" s="59" t="s">
        <v>1661</v>
      </c>
      <c r="H157" s="58" t="s">
        <v>1672</v>
      </c>
      <c r="I157" s="59" t="s">
        <v>1666</v>
      </c>
      <c r="J157" t="str">
        <f t="shared" si="4"/>
        <v>10190505 - Altos de Castilla-Torre 1-PV Inmob.</v>
      </c>
      <c r="K157" t="str">
        <f t="shared" si="5"/>
        <v>Postventa</v>
      </c>
    </row>
    <row r="158" spans="1:11" x14ac:dyDescent="0.25">
      <c r="A158" s="58">
        <v>10190506</v>
      </c>
      <c r="B158" s="59" t="s">
        <v>1735</v>
      </c>
      <c r="C158" s="59" t="s">
        <v>1685</v>
      </c>
      <c r="D158" s="59" t="s">
        <v>1665</v>
      </c>
      <c r="E158" s="59" t="s">
        <v>200</v>
      </c>
      <c r="F158" s="59" t="s">
        <v>1726</v>
      </c>
      <c r="G158" s="59" t="s">
        <v>1661</v>
      </c>
      <c r="H158" s="58" t="s">
        <v>1672</v>
      </c>
      <c r="I158" s="59" t="s">
        <v>1666</v>
      </c>
      <c r="J158" t="str">
        <f t="shared" si="4"/>
        <v>10190506 - Altos de Castilla-Torre 1-Depto.Técnico</v>
      </c>
      <c r="K158" t="str">
        <f t="shared" si="5"/>
        <v>Proyectos Inmobiliarios</v>
      </c>
    </row>
    <row r="159" spans="1:11" x14ac:dyDescent="0.25">
      <c r="A159" s="58">
        <v>10191000</v>
      </c>
      <c r="B159" s="59" t="s">
        <v>1736</v>
      </c>
      <c r="C159" s="59" t="s">
        <v>1685</v>
      </c>
      <c r="D159" s="59" t="s">
        <v>1665</v>
      </c>
      <c r="E159" s="59" t="s">
        <v>1585</v>
      </c>
      <c r="F159" s="59" t="s">
        <v>1726</v>
      </c>
      <c r="G159" s="59" t="s">
        <v>1661</v>
      </c>
      <c r="H159" s="58" t="s">
        <v>1672</v>
      </c>
      <c r="I159" s="59" t="s">
        <v>1666</v>
      </c>
      <c r="J159" t="str">
        <f t="shared" si="4"/>
        <v>10191000 - Altos de Castilla-Torre 2</v>
      </c>
      <c r="K159" t="str">
        <f t="shared" si="5"/>
        <v>Proyectos Inmobiliarios</v>
      </c>
    </row>
    <row r="160" spans="1:11" x14ac:dyDescent="0.25">
      <c r="A160" s="58">
        <v>10191102</v>
      </c>
      <c r="B160" s="59" t="s">
        <v>1737</v>
      </c>
      <c r="C160" s="59" t="s">
        <v>1685</v>
      </c>
      <c r="D160" s="59" t="s">
        <v>1665</v>
      </c>
      <c r="E160" s="59" t="s">
        <v>1617</v>
      </c>
      <c r="F160" s="59" t="s">
        <v>1726</v>
      </c>
      <c r="G160" s="59" t="s">
        <v>1661</v>
      </c>
      <c r="H160" s="58" t="s">
        <v>1672</v>
      </c>
      <c r="I160" s="59" t="s">
        <v>1666</v>
      </c>
      <c r="J160" t="str">
        <f t="shared" si="4"/>
        <v>10191102 - Altos de Castilla-Torre 2-Marketing</v>
      </c>
      <c r="K160" t="str">
        <f t="shared" si="5"/>
        <v>Proyectos Inmobiliarios</v>
      </c>
    </row>
    <row r="161" spans="1:11" x14ac:dyDescent="0.25">
      <c r="A161" s="58">
        <v>10191103</v>
      </c>
      <c r="B161" s="59" t="s">
        <v>1738</v>
      </c>
      <c r="C161" s="59" t="s">
        <v>1685</v>
      </c>
      <c r="D161" s="59" t="s">
        <v>1665</v>
      </c>
      <c r="E161" s="59" t="s">
        <v>1618</v>
      </c>
      <c r="F161" s="59" t="s">
        <v>1726</v>
      </c>
      <c r="G161" s="59" t="s">
        <v>1661</v>
      </c>
      <c r="H161" s="58" t="s">
        <v>1672</v>
      </c>
      <c r="I161" s="59" t="s">
        <v>1666</v>
      </c>
      <c r="J161" t="str">
        <f t="shared" si="4"/>
        <v>10191103 - Altos de Castilla-Torre 2-Operaciones</v>
      </c>
      <c r="K161" t="str">
        <f t="shared" si="5"/>
        <v>Proyectos Inmobiliarios</v>
      </c>
    </row>
    <row r="162" spans="1:11" x14ac:dyDescent="0.25">
      <c r="A162" s="58">
        <v>10191104</v>
      </c>
      <c r="B162" s="59" t="s">
        <v>1739</v>
      </c>
      <c r="C162" s="59" t="s">
        <v>1685</v>
      </c>
      <c r="D162" s="59" t="s">
        <v>1665</v>
      </c>
      <c r="E162" s="59" t="s">
        <v>90</v>
      </c>
      <c r="F162" s="59" t="s">
        <v>1726</v>
      </c>
      <c r="G162" s="59" t="s">
        <v>1661</v>
      </c>
      <c r="H162" s="58" t="s">
        <v>1672</v>
      </c>
      <c r="I162" s="59" t="s">
        <v>1666</v>
      </c>
      <c r="J162" t="str">
        <f t="shared" si="4"/>
        <v>10191104 - Altos de Castilla-Torre 2-Ventas</v>
      </c>
      <c r="K162" t="str">
        <f t="shared" si="5"/>
        <v>Proyectos Inmobiliarios</v>
      </c>
    </row>
    <row r="163" spans="1:11" x14ac:dyDescent="0.25">
      <c r="A163" s="58">
        <v>10191105</v>
      </c>
      <c r="B163" s="59" t="s">
        <v>1740</v>
      </c>
      <c r="C163" s="59" t="s">
        <v>1685</v>
      </c>
      <c r="D163" s="59" t="s">
        <v>1665</v>
      </c>
      <c r="E163" s="59" t="s">
        <v>1622</v>
      </c>
      <c r="F163" s="59" t="s">
        <v>1726</v>
      </c>
      <c r="G163" s="59" t="s">
        <v>1661</v>
      </c>
      <c r="H163" s="58" t="s">
        <v>1672</v>
      </c>
      <c r="I163" s="59" t="s">
        <v>1666</v>
      </c>
      <c r="J163" t="str">
        <f t="shared" si="4"/>
        <v>10191105 - Altos de Castilla-Torre 2-Clientes</v>
      </c>
      <c r="K163" t="str">
        <f t="shared" si="5"/>
        <v>Proyectos Inmobiliarios</v>
      </c>
    </row>
    <row r="164" spans="1:11" x14ac:dyDescent="0.25">
      <c r="A164" s="58">
        <v>10191204</v>
      </c>
      <c r="B164" s="59" t="s">
        <v>1741</v>
      </c>
      <c r="C164" s="59" t="s">
        <v>1685</v>
      </c>
      <c r="D164" s="59" t="s">
        <v>1665</v>
      </c>
      <c r="E164" s="59" t="s">
        <v>1624</v>
      </c>
      <c r="F164" s="59" t="s">
        <v>1726</v>
      </c>
      <c r="G164" s="59" t="s">
        <v>1661</v>
      </c>
      <c r="H164" s="58" t="s">
        <v>1672</v>
      </c>
      <c r="I164" s="59" t="s">
        <v>1666</v>
      </c>
      <c r="J164" t="str">
        <f t="shared" si="4"/>
        <v>10191204 - Altos de Castilla-Torre 2-Proyecto</v>
      </c>
      <c r="K164" t="str">
        <f t="shared" si="5"/>
        <v>Proyectos Inmobiliarios</v>
      </c>
    </row>
    <row r="165" spans="1:11" x14ac:dyDescent="0.25">
      <c r="A165" s="58">
        <v>10191301</v>
      </c>
      <c r="B165" s="59" t="s">
        <v>1742</v>
      </c>
      <c r="C165" s="59" t="s">
        <v>1685</v>
      </c>
      <c r="D165" s="59" t="s">
        <v>1665</v>
      </c>
      <c r="E165" s="59" t="s">
        <v>1643</v>
      </c>
      <c r="F165" s="59" t="s">
        <v>1726</v>
      </c>
      <c r="G165" s="59" t="s">
        <v>1667</v>
      </c>
      <c r="H165" s="58" t="s">
        <v>1672</v>
      </c>
      <c r="I165" s="59" t="s">
        <v>1666</v>
      </c>
      <c r="J165" t="str">
        <f t="shared" si="4"/>
        <v>10191301 - Altos de Castilla-Torre 2-GAF</v>
      </c>
      <c r="K165" t="str">
        <f t="shared" si="5"/>
        <v>Proyectos Inmobiliarios</v>
      </c>
    </row>
    <row r="166" spans="1:11" x14ac:dyDescent="0.25">
      <c r="A166" s="58">
        <v>10191505</v>
      </c>
      <c r="B166" s="59" t="s">
        <v>1743</v>
      </c>
      <c r="C166" s="59" t="s">
        <v>1685</v>
      </c>
      <c r="D166" s="59" t="s">
        <v>66</v>
      </c>
      <c r="E166" s="59" t="s">
        <v>328</v>
      </c>
      <c r="F166" s="59" t="s">
        <v>1726</v>
      </c>
      <c r="G166" s="59" t="s">
        <v>1661</v>
      </c>
      <c r="H166" s="58" t="s">
        <v>1672</v>
      </c>
      <c r="I166" s="59" t="s">
        <v>1666</v>
      </c>
      <c r="J166" t="str">
        <f t="shared" si="4"/>
        <v>10191505 - Altos de Castilla-Torre 2-PV Inmob.</v>
      </c>
      <c r="K166" t="str">
        <f t="shared" si="5"/>
        <v>Postventa</v>
      </c>
    </row>
    <row r="167" spans="1:11" x14ac:dyDescent="0.25">
      <c r="A167" s="58">
        <v>10191506</v>
      </c>
      <c r="B167" s="59" t="s">
        <v>1744</v>
      </c>
      <c r="C167" s="59" t="s">
        <v>1685</v>
      </c>
      <c r="D167" s="59" t="s">
        <v>1665</v>
      </c>
      <c r="E167" s="59" t="s">
        <v>200</v>
      </c>
      <c r="F167" s="59" t="s">
        <v>1726</v>
      </c>
      <c r="G167" s="59" t="s">
        <v>1661</v>
      </c>
      <c r="H167" s="58" t="s">
        <v>1672</v>
      </c>
      <c r="I167" s="59" t="s">
        <v>1666</v>
      </c>
      <c r="J167" t="str">
        <f t="shared" si="4"/>
        <v>10191506 - Altos de Castilla-Torre 2-Depto.Técnico</v>
      </c>
      <c r="K167" t="str">
        <f t="shared" si="5"/>
        <v>Proyectos Inmobiliarios</v>
      </c>
    </row>
    <row r="168" spans="1:11" x14ac:dyDescent="0.25">
      <c r="A168" s="50">
        <v>999999999</v>
      </c>
      <c r="B168" s="51" t="s">
        <v>1684</v>
      </c>
      <c r="C168" s="51"/>
      <c r="D168" s="51" t="s">
        <v>1578</v>
      </c>
      <c r="E168" s="51" t="s">
        <v>1578</v>
      </c>
      <c r="F168" s="51" t="s">
        <v>1745</v>
      </c>
      <c r="G168" s="51" t="s">
        <v>1661</v>
      </c>
      <c r="H168" s="50" t="s">
        <v>1672</v>
      </c>
      <c r="I168" s="51" t="s">
        <v>1662</v>
      </c>
      <c r="J168" t="str">
        <f t="shared" si="4"/>
        <v>999999999 - Terreno Abuelo Proyectos sin Terreno</v>
      </c>
      <c r="K168" t="str">
        <f t="shared" si="5"/>
        <v>Terreno</v>
      </c>
    </row>
    <row r="169" spans="1:11" x14ac:dyDescent="0.25">
      <c r="A169" s="50">
        <v>13</v>
      </c>
      <c r="B169" s="51" t="s">
        <v>1746</v>
      </c>
      <c r="C169" s="51" t="s">
        <v>1660</v>
      </c>
      <c r="D169" s="51" t="s">
        <v>65</v>
      </c>
      <c r="E169" s="51" t="s">
        <v>65</v>
      </c>
      <c r="F169" s="51" t="s">
        <v>1745</v>
      </c>
      <c r="G169" s="51" t="s">
        <v>1663</v>
      </c>
      <c r="H169" s="50" t="s">
        <v>1672</v>
      </c>
      <c r="I169" s="51" t="s">
        <v>1664</v>
      </c>
      <c r="J169" t="str">
        <f t="shared" si="4"/>
        <v>13 - Edificio Alto Vistamar</v>
      </c>
      <c r="K169" t="str">
        <f t="shared" si="5"/>
        <v>Obra</v>
      </c>
    </row>
    <row r="170" spans="1:11" x14ac:dyDescent="0.25">
      <c r="A170" s="50">
        <v>9013</v>
      </c>
      <c r="B170" s="51" t="s">
        <v>563</v>
      </c>
      <c r="C170" s="51" t="s">
        <v>1660</v>
      </c>
      <c r="D170" s="51" t="s">
        <v>66</v>
      </c>
      <c r="E170" s="51" t="s">
        <v>328</v>
      </c>
      <c r="F170" s="51" t="s">
        <v>1745</v>
      </c>
      <c r="G170" s="51" t="s">
        <v>1661</v>
      </c>
      <c r="H170" s="50" t="s">
        <v>386</v>
      </c>
      <c r="I170" s="51" t="s">
        <v>1666</v>
      </c>
      <c r="J170" t="str">
        <f t="shared" si="4"/>
        <v>9013 - PV Altovistamar</v>
      </c>
      <c r="K170" t="str">
        <f t="shared" si="5"/>
        <v>Postventa</v>
      </c>
    </row>
    <row r="171" spans="1:11" x14ac:dyDescent="0.25">
      <c r="A171" s="62">
        <v>999999999</v>
      </c>
      <c r="B171" s="63" t="s">
        <v>1684</v>
      </c>
      <c r="C171" s="63"/>
      <c r="D171" s="63" t="s">
        <v>1578</v>
      </c>
      <c r="E171" s="63" t="s">
        <v>1578</v>
      </c>
      <c r="F171" s="63" t="s">
        <v>1747</v>
      </c>
      <c r="G171" s="63" t="s">
        <v>1661</v>
      </c>
      <c r="H171" s="62" t="s">
        <v>1672</v>
      </c>
      <c r="I171" s="63" t="s">
        <v>1662</v>
      </c>
      <c r="J171" t="str">
        <f t="shared" si="4"/>
        <v>999999999 - Terreno Abuelo Proyectos sin Terreno</v>
      </c>
      <c r="K171" t="str">
        <f t="shared" si="5"/>
        <v>Terreno</v>
      </c>
    </row>
    <row r="172" spans="1:11" x14ac:dyDescent="0.25">
      <c r="A172" s="62">
        <v>42</v>
      </c>
      <c r="B172" s="63" t="s">
        <v>1747</v>
      </c>
      <c r="C172" s="63" t="s">
        <v>1670</v>
      </c>
      <c r="D172" s="63" t="s">
        <v>65</v>
      </c>
      <c r="E172" s="63" t="s">
        <v>65</v>
      </c>
      <c r="F172" s="63" t="s">
        <v>1747</v>
      </c>
      <c r="G172" s="63" t="s">
        <v>1663</v>
      </c>
      <c r="H172" s="62" t="s">
        <v>1672</v>
      </c>
      <c r="I172" s="63" t="s">
        <v>1664</v>
      </c>
      <c r="J172" t="str">
        <f t="shared" si="4"/>
        <v>42 - Argomedo Oriente</v>
      </c>
      <c r="K172" t="str">
        <f t="shared" si="5"/>
        <v>Obra</v>
      </c>
    </row>
    <row r="173" spans="1:11" x14ac:dyDescent="0.25">
      <c r="A173" s="62">
        <v>9042</v>
      </c>
      <c r="B173" s="63" t="s">
        <v>588</v>
      </c>
      <c r="C173" s="63" t="s">
        <v>1670</v>
      </c>
      <c r="D173" s="63" t="s">
        <v>66</v>
      </c>
      <c r="E173" s="63" t="s">
        <v>328</v>
      </c>
      <c r="F173" s="63" t="s">
        <v>1747</v>
      </c>
      <c r="G173" s="63" t="s">
        <v>1661</v>
      </c>
      <c r="H173" s="62" t="s">
        <v>386</v>
      </c>
      <c r="I173" s="63" t="s">
        <v>1666</v>
      </c>
      <c r="J173" t="str">
        <f t="shared" si="4"/>
        <v>9042 - PV Argomedo Oriente</v>
      </c>
      <c r="K173" t="str">
        <f t="shared" si="5"/>
        <v>Postventa</v>
      </c>
    </row>
    <row r="174" spans="1:11" x14ac:dyDescent="0.25">
      <c r="A174" s="62">
        <v>10026000</v>
      </c>
      <c r="B174" s="63" t="s">
        <v>1747</v>
      </c>
      <c r="C174" s="63" t="s">
        <v>1670</v>
      </c>
      <c r="D174" s="63" t="s">
        <v>1665</v>
      </c>
      <c r="E174" s="63" t="s">
        <v>1585</v>
      </c>
      <c r="F174" s="63" t="s">
        <v>1747</v>
      </c>
      <c r="G174" s="63" t="s">
        <v>1661</v>
      </c>
      <c r="H174" s="62" t="s">
        <v>1672</v>
      </c>
      <c r="I174" s="63" t="s">
        <v>1666</v>
      </c>
      <c r="J174" t="str">
        <f t="shared" si="4"/>
        <v>10026000 - Argomedo Oriente</v>
      </c>
      <c r="K174" t="str">
        <f t="shared" si="5"/>
        <v>Proyectos Inmobiliarios</v>
      </c>
    </row>
    <row r="175" spans="1:11" x14ac:dyDescent="0.25">
      <c r="A175" s="62">
        <v>10026102</v>
      </c>
      <c r="B175" s="63" t="s">
        <v>1748</v>
      </c>
      <c r="C175" s="63" t="s">
        <v>1670</v>
      </c>
      <c r="D175" s="63" t="s">
        <v>1665</v>
      </c>
      <c r="E175" s="63" t="s">
        <v>1617</v>
      </c>
      <c r="F175" s="63" t="s">
        <v>1747</v>
      </c>
      <c r="G175" s="63" t="s">
        <v>1661</v>
      </c>
      <c r="H175" s="62" t="s">
        <v>1672</v>
      </c>
      <c r="I175" s="63" t="s">
        <v>1666</v>
      </c>
      <c r="J175" t="str">
        <f t="shared" si="4"/>
        <v>10026102 - Argomedo Oriente-Marketing</v>
      </c>
      <c r="K175" t="str">
        <f t="shared" si="5"/>
        <v>Proyectos Inmobiliarios</v>
      </c>
    </row>
    <row r="176" spans="1:11" x14ac:dyDescent="0.25">
      <c r="A176" s="62">
        <v>10026103</v>
      </c>
      <c r="B176" s="63" t="s">
        <v>1749</v>
      </c>
      <c r="C176" s="63" t="s">
        <v>1670</v>
      </c>
      <c r="D176" s="63" t="s">
        <v>1665</v>
      </c>
      <c r="E176" s="63" t="s">
        <v>1618</v>
      </c>
      <c r="F176" s="63" t="s">
        <v>1747</v>
      </c>
      <c r="G176" s="63" t="s">
        <v>1661</v>
      </c>
      <c r="H176" s="62" t="s">
        <v>1672</v>
      </c>
      <c r="I176" s="63" t="s">
        <v>1666</v>
      </c>
      <c r="J176" t="str">
        <f t="shared" si="4"/>
        <v>10026103 - Argomedo Oriente-Operaciones</v>
      </c>
      <c r="K176" t="str">
        <f t="shared" si="5"/>
        <v>Proyectos Inmobiliarios</v>
      </c>
    </row>
    <row r="177" spans="1:11" x14ac:dyDescent="0.25">
      <c r="A177" s="62">
        <v>10026104</v>
      </c>
      <c r="B177" s="63" t="s">
        <v>1750</v>
      </c>
      <c r="C177" s="63" t="s">
        <v>1670</v>
      </c>
      <c r="D177" s="63" t="s">
        <v>1665</v>
      </c>
      <c r="E177" s="63" t="s">
        <v>90</v>
      </c>
      <c r="F177" s="63" t="s">
        <v>1747</v>
      </c>
      <c r="G177" s="63" t="s">
        <v>1661</v>
      </c>
      <c r="H177" s="62" t="s">
        <v>1672</v>
      </c>
      <c r="I177" s="63" t="s">
        <v>1666</v>
      </c>
      <c r="J177" t="str">
        <f t="shared" si="4"/>
        <v>10026104 - Argomedo Oriente-Ventas</v>
      </c>
      <c r="K177" t="str">
        <f t="shared" si="5"/>
        <v>Proyectos Inmobiliarios</v>
      </c>
    </row>
    <row r="178" spans="1:11" x14ac:dyDescent="0.25">
      <c r="A178" s="62">
        <v>10026105</v>
      </c>
      <c r="B178" s="63" t="s">
        <v>1751</v>
      </c>
      <c r="C178" s="63" t="s">
        <v>1670</v>
      </c>
      <c r="D178" s="63" t="s">
        <v>1665</v>
      </c>
      <c r="E178" s="63" t="s">
        <v>1622</v>
      </c>
      <c r="F178" s="63" t="s">
        <v>1747</v>
      </c>
      <c r="G178" s="63" t="s">
        <v>1661</v>
      </c>
      <c r="H178" s="62" t="s">
        <v>1672</v>
      </c>
      <c r="I178" s="63" t="s">
        <v>1666</v>
      </c>
      <c r="J178" t="str">
        <f t="shared" si="4"/>
        <v>10026105 - Argomedo Oriente-Clientes</v>
      </c>
      <c r="K178" t="str">
        <f t="shared" si="5"/>
        <v>Proyectos Inmobiliarios</v>
      </c>
    </row>
    <row r="179" spans="1:11" x14ac:dyDescent="0.25">
      <c r="A179" s="62">
        <v>10026204</v>
      </c>
      <c r="B179" s="63" t="s">
        <v>1752</v>
      </c>
      <c r="C179" s="63" t="s">
        <v>1670</v>
      </c>
      <c r="D179" s="63" t="s">
        <v>1665</v>
      </c>
      <c r="E179" s="63" t="s">
        <v>1624</v>
      </c>
      <c r="F179" s="63" t="s">
        <v>1747</v>
      </c>
      <c r="G179" s="63" t="s">
        <v>1661</v>
      </c>
      <c r="H179" s="62" t="s">
        <v>1672</v>
      </c>
      <c r="I179" s="63" t="s">
        <v>1666</v>
      </c>
      <c r="J179" t="str">
        <f t="shared" si="4"/>
        <v>10026204 - Argomedo Oriente-Proyecto</v>
      </c>
      <c r="K179" t="str">
        <f t="shared" si="5"/>
        <v>Proyectos Inmobiliarios</v>
      </c>
    </row>
    <row r="180" spans="1:11" x14ac:dyDescent="0.25">
      <c r="A180" s="62">
        <v>10026301</v>
      </c>
      <c r="B180" s="63" t="s">
        <v>1753</v>
      </c>
      <c r="C180" s="63" t="s">
        <v>1670</v>
      </c>
      <c r="D180" s="63" t="s">
        <v>1665</v>
      </c>
      <c r="E180" s="63" t="s">
        <v>1643</v>
      </c>
      <c r="F180" s="63" t="s">
        <v>1747</v>
      </c>
      <c r="G180" s="63" t="s">
        <v>1667</v>
      </c>
      <c r="H180" s="62" t="s">
        <v>1672</v>
      </c>
      <c r="I180" s="63" t="s">
        <v>1666</v>
      </c>
      <c r="J180" t="str">
        <f t="shared" si="4"/>
        <v>10026301 - Argomedo Oriente-GAF</v>
      </c>
      <c r="K180" t="str">
        <f t="shared" si="5"/>
        <v>Proyectos Inmobiliarios</v>
      </c>
    </row>
    <row r="181" spans="1:11" x14ac:dyDescent="0.25">
      <c r="A181" s="62">
        <v>10026505</v>
      </c>
      <c r="B181" s="63" t="s">
        <v>1754</v>
      </c>
      <c r="C181" s="63" t="s">
        <v>1670</v>
      </c>
      <c r="D181" s="63" t="s">
        <v>66</v>
      </c>
      <c r="E181" s="63" t="s">
        <v>328</v>
      </c>
      <c r="F181" s="63" t="s">
        <v>1747</v>
      </c>
      <c r="G181" s="63" t="s">
        <v>1661</v>
      </c>
      <c r="H181" s="62" t="s">
        <v>1672</v>
      </c>
      <c r="I181" s="63" t="s">
        <v>1666</v>
      </c>
      <c r="J181" t="str">
        <f t="shared" si="4"/>
        <v>10026505 - Argomedo Oriente-PV Inmob.</v>
      </c>
      <c r="K181" t="str">
        <f t="shared" si="5"/>
        <v>Postventa</v>
      </c>
    </row>
    <row r="182" spans="1:11" x14ac:dyDescent="0.25">
      <c r="A182" s="62">
        <v>10026506</v>
      </c>
      <c r="B182" s="63" t="s">
        <v>1755</v>
      </c>
      <c r="C182" s="63" t="s">
        <v>1670</v>
      </c>
      <c r="D182" s="63" t="s">
        <v>1665</v>
      </c>
      <c r="E182" s="63" t="s">
        <v>200</v>
      </c>
      <c r="F182" s="63" t="s">
        <v>1747</v>
      </c>
      <c r="G182" s="63" t="s">
        <v>1661</v>
      </c>
      <c r="H182" s="62" t="s">
        <v>1672</v>
      </c>
      <c r="I182" s="63" t="s">
        <v>1666</v>
      </c>
      <c r="J182" t="str">
        <f t="shared" si="4"/>
        <v>10026506 - Argomedo Oriente-Depto.Técnico</v>
      </c>
      <c r="K182" t="str">
        <f t="shared" si="5"/>
        <v>Proyectos Inmobiliarios</v>
      </c>
    </row>
    <row r="183" spans="1:11" x14ac:dyDescent="0.25">
      <c r="A183" s="50">
        <v>1048202</v>
      </c>
      <c r="B183" s="51" t="s">
        <v>1756</v>
      </c>
      <c r="C183" s="51" t="s">
        <v>1670</v>
      </c>
      <c r="D183" s="51" t="s">
        <v>1578</v>
      </c>
      <c r="E183" s="51" t="s">
        <v>1578</v>
      </c>
      <c r="F183" s="51" t="s">
        <v>1757</v>
      </c>
      <c r="G183" s="51" t="s">
        <v>1661</v>
      </c>
      <c r="H183" s="50" t="s">
        <v>1672</v>
      </c>
      <c r="I183" s="51" t="s">
        <v>1662</v>
      </c>
      <c r="J183" t="str">
        <f t="shared" si="4"/>
        <v>1048202 - Terreno Arzobispo Fuenzalida-Desarrollo</v>
      </c>
      <c r="K183" t="str">
        <f t="shared" si="5"/>
        <v>Terreno</v>
      </c>
    </row>
    <row r="184" spans="1:11" x14ac:dyDescent="0.25">
      <c r="A184" s="50">
        <v>171</v>
      </c>
      <c r="B184" s="51" t="s">
        <v>1758</v>
      </c>
      <c r="C184" s="51" t="s">
        <v>1670</v>
      </c>
      <c r="D184" s="51" t="s">
        <v>65</v>
      </c>
      <c r="E184" s="51" t="s">
        <v>65</v>
      </c>
      <c r="F184" s="51" t="s">
        <v>1757</v>
      </c>
      <c r="G184" s="51" t="s">
        <v>1663</v>
      </c>
      <c r="H184" s="50" t="s">
        <v>1672</v>
      </c>
      <c r="I184" s="51" t="s">
        <v>1664</v>
      </c>
      <c r="J184" t="str">
        <f t="shared" si="4"/>
        <v>171 - Arzobispo Fuenzalida-SA</v>
      </c>
      <c r="K184" t="str">
        <f t="shared" si="5"/>
        <v>Obra</v>
      </c>
    </row>
    <row r="185" spans="1:11" x14ac:dyDescent="0.25">
      <c r="A185" s="50">
        <v>9171</v>
      </c>
      <c r="B185" s="51" t="s">
        <v>614</v>
      </c>
      <c r="C185" s="51" t="s">
        <v>1670</v>
      </c>
      <c r="D185" s="51" t="s">
        <v>66</v>
      </c>
      <c r="E185" s="51" t="s">
        <v>328</v>
      </c>
      <c r="F185" s="51" t="s">
        <v>1757</v>
      </c>
      <c r="G185" s="51" t="s">
        <v>1661</v>
      </c>
      <c r="H185" s="50" t="s">
        <v>386</v>
      </c>
      <c r="I185" s="51" t="s">
        <v>1666</v>
      </c>
      <c r="J185" t="str">
        <f t="shared" si="4"/>
        <v>9171 - PV Arzobispo Fuenzalida-SA</v>
      </c>
      <c r="K185" t="str">
        <f t="shared" si="5"/>
        <v>Postventa</v>
      </c>
    </row>
    <row r="186" spans="1:11" x14ac:dyDescent="0.25">
      <c r="A186" s="50">
        <v>10171000</v>
      </c>
      <c r="B186" s="51" t="s">
        <v>1757</v>
      </c>
      <c r="C186" s="51" t="s">
        <v>1670</v>
      </c>
      <c r="D186" s="51" t="s">
        <v>1665</v>
      </c>
      <c r="E186" s="51" t="s">
        <v>1585</v>
      </c>
      <c r="F186" s="51" t="s">
        <v>1757</v>
      </c>
      <c r="G186" s="51" t="s">
        <v>1661</v>
      </c>
      <c r="H186" s="50" t="s">
        <v>1672</v>
      </c>
      <c r="I186" s="51" t="s">
        <v>1666</v>
      </c>
      <c r="J186" t="str">
        <f t="shared" si="4"/>
        <v>10171000 - Arzobispo Fuenzalida</v>
      </c>
      <c r="K186" t="str">
        <f t="shared" si="5"/>
        <v>Proyectos Inmobiliarios</v>
      </c>
    </row>
    <row r="187" spans="1:11" x14ac:dyDescent="0.25">
      <c r="A187" s="50">
        <v>10171102</v>
      </c>
      <c r="B187" s="51" t="s">
        <v>1759</v>
      </c>
      <c r="C187" s="51" t="s">
        <v>1670</v>
      </c>
      <c r="D187" s="51" t="s">
        <v>1665</v>
      </c>
      <c r="E187" s="51" t="s">
        <v>1617</v>
      </c>
      <c r="F187" s="51" t="s">
        <v>1757</v>
      </c>
      <c r="G187" s="51" t="s">
        <v>1661</v>
      </c>
      <c r="H187" s="50" t="s">
        <v>1672</v>
      </c>
      <c r="I187" s="51" t="s">
        <v>1666</v>
      </c>
      <c r="J187" t="str">
        <f t="shared" si="4"/>
        <v>10171102 - Arzobispo Fuenzalida-Marketing</v>
      </c>
      <c r="K187" t="str">
        <f t="shared" si="5"/>
        <v>Proyectos Inmobiliarios</v>
      </c>
    </row>
    <row r="188" spans="1:11" x14ac:dyDescent="0.25">
      <c r="A188" s="50">
        <v>10171103</v>
      </c>
      <c r="B188" s="51" t="s">
        <v>1760</v>
      </c>
      <c r="C188" s="51" t="s">
        <v>1670</v>
      </c>
      <c r="D188" s="51" t="s">
        <v>1665</v>
      </c>
      <c r="E188" s="51" t="s">
        <v>1618</v>
      </c>
      <c r="F188" s="51" t="s">
        <v>1757</v>
      </c>
      <c r="G188" s="51" t="s">
        <v>1661</v>
      </c>
      <c r="H188" s="50" t="s">
        <v>1672</v>
      </c>
      <c r="I188" s="51" t="s">
        <v>1666</v>
      </c>
      <c r="J188" t="str">
        <f t="shared" si="4"/>
        <v>10171103 - Arzobispo Fuenzalida-Operaciones</v>
      </c>
      <c r="K188" t="str">
        <f t="shared" si="5"/>
        <v>Proyectos Inmobiliarios</v>
      </c>
    </row>
    <row r="189" spans="1:11" x14ac:dyDescent="0.25">
      <c r="A189" s="50">
        <v>10171104</v>
      </c>
      <c r="B189" s="51" t="s">
        <v>1761</v>
      </c>
      <c r="C189" s="51" t="s">
        <v>1670</v>
      </c>
      <c r="D189" s="51" t="s">
        <v>1665</v>
      </c>
      <c r="E189" s="51" t="s">
        <v>90</v>
      </c>
      <c r="F189" s="51" t="s">
        <v>1757</v>
      </c>
      <c r="G189" s="51" t="s">
        <v>1661</v>
      </c>
      <c r="H189" s="50" t="s">
        <v>1672</v>
      </c>
      <c r="I189" s="51" t="s">
        <v>1666</v>
      </c>
      <c r="J189" t="str">
        <f t="shared" si="4"/>
        <v>10171104 - Arzobispo Fuenzalida-Ventas</v>
      </c>
      <c r="K189" t="str">
        <f t="shared" si="5"/>
        <v>Proyectos Inmobiliarios</v>
      </c>
    </row>
    <row r="190" spans="1:11" x14ac:dyDescent="0.25">
      <c r="A190" s="50">
        <v>10171105</v>
      </c>
      <c r="B190" s="51" t="s">
        <v>1762</v>
      </c>
      <c r="C190" s="51" t="s">
        <v>1670</v>
      </c>
      <c r="D190" s="51" t="s">
        <v>1665</v>
      </c>
      <c r="E190" s="51" t="s">
        <v>1622</v>
      </c>
      <c r="F190" s="51" t="s">
        <v>1757</v>
      </c>
      <c r="G190" s="51" t="s">
        <v>1661</v>
      </c>
      <c r="H190" s="50" t="s">
        <v>1672</v>
      </c>
      <c r="I190" s="51" t="s">
        <v>1666</v>
      </c>
      <c r="J190" t="str">
        <f t="shared" si="4"/>
        <v>10171105 - Arzobispo Fuenzalida-Clientes</v>
      </c>
      <c r="K190" t="str">
        <f t="shared" si="5"/>
        <v>Proyectos Inmobiliarios</v>
      </c>
    </row>
    <row r="191" spans="1:11" x14ac:dyDescent="0.25">
      <c r="A191" s="50">
        <v>10171204</v>
      </c>
      <c r="B191" s="51" t="s">
        <v>1763</v>
      </c>
      <c r="C191" s="51" t="s">
        <v>1670</v>
      </c>
      <c r="D191" s="51" t="s">
        <v>1665</v>
      </c>
      <c r="E191" s="51" t="s">
        <v>1624</v>
      </c>
      <c r="F191" s="51" t="s">
        <v>1757</v>
      </c>
      <c r="G191" s="51" t="s">
        <v>1661</v>
      </c>
      <c r="H191" s="50" t="s">
        <v>1672</v>
      </c>
      <c r="I191" s="51" t="s">
        <v>1666</v>
      </c>
      <c r="J191" t="str">
        <f t="shared" si="4"/>
        <v>10171204 - Arzobispo Fuenzalida-Proyecto</v>
      </c>
      <c r="K191" t="str">
        <f t="shared" si="5"/>
        <v>Proyectos Inmobiliarios</v>
      </c>
    </row>
    <row r="192" spans="1:11" x14ac:dyDescent="0.25">
      <c r="A192" s="50">
        <v>10171301</v>
      </c>
      <c r="B192" s="51" t="s">
        <v>1764</v>
      </c>
      <c r="C192" s="51" t="s">
        <v>1670</v>
      </c>
      <c r="D192" s="51" t="s">
        <v>1665</v>
      </c>
      <c r="E192" s="51" t="s">
        <v>1643</v>
      </c>
      <c r="F192" s="51" t="s">
        <v>1757</v>
      </c>
      <c r="G192" s="51" t="s">
        <v>1667</v>
      </c>
      <c r="H192" s="50" t="s">
        <v>1672</v>
      </c>
      <c r="I192" s="51" t="s">
        <v>1666</v>
      </c>
      <c r="J192" t="str">
        <f t="shared" si="4"/>
        <v>10171301 - Arzobispo Fuenzalida-GAF</v>
      </c>
      <c r="K192" t="str">
        <f t="shared" si="5"/>
        <v>Proyectos Inmobiliarios</v>
      </c>
    </row>
    <row r="193" spans="1:11" x14ac:dyDescent="0.25">
      <c r="A193" s="50">
        <v>10171505</v>
      </c>
      <c r="B193" s="51" t="s">
        <v>1765</v>
      </c>
      <c r="C193" s="51" t="s">
        <v>1670</v>
      </c>
      <c r="D193" s="51" t="s">
        <v>66</v>
      </c>
      <c r="E193" s="51" t="s">
        <v>328</v>
      </c>
      <c r="F193" s="51" t="s">
        <v>1757</v>
      </c>
      <c r="G193" s="51" t="s">
        <v>1661</v>
      </c>
      <c r="H193" s="50" t="s">
        <v>1672</v>
      </c>
      <c r="I193" s="51" t="s">
        <v>1666</v>
      </c>
      <c r="J193" t="str">
        <f t="shared" si="4"/>
        <v>10171505 - Arzobispo Fuenzalida-PV Inmob.</v>
      </c>
      <c r="K193" t="str">
        <f t="shared" si="5"/>
        <v>Postventa</v>
      </c>
    </row>
    <row r="194" spans="1:11" x14ac:dyDescent="0.25">
      <c r="A194" s="50">
        <v>10171506</v>
      </c>
      <c r="B194" s="51" t="s">
        <v>1766</v>
      </c>
      <c r="C194" s="51" t="s">
        <v>1670</v>
      </c>
      <c r="D194" s="51" t="s">
        <v>1665</v>
      </c>
      <c r="E194" s="51" t="s">
        <v>200</v>
      </c>
      <c r="F194" s="51" t="s">
        <v>1757</v>
      </c>
      <c r="G194" s="51" t="s">
        <v>1661</v>
      </c>
      <c r="H194" s="50" t="s">
        <v>1672</v>
      </c>
      <c r="I194" s="51" t="s">
        <v>1666</v>
      </c>
      <c r="J194" t="str">
        <f t="shared" si="4"/>
        <v>10171506 - Arzobispo Fuenzalida-Depto.Técnico</v>
      </c>
      <c r="K194" t="str">
        <f t="shared" si="5"/>
        <v>Proyectos Inmobiliarios</v>
      </c>
    </row>
    <row r="195" spans="1:11" x14ac:dyDescent="0.25">
      <c r="A195" s="52">
        <v>999999999</v>
      </c>
      <c r="B195" s="53" t="s">
        <v>1684</v>
      </c>
      <c r="C195" s="53"/>
      <c r="D195" s="53" t="s">
        <v>1578</v>
      </c>
      <c r="E195" s="53" t="s">
        <v>1578</v>
      </c>
      <c r="F195" s="53" t="s">
        <v>1767</v>
      </c>
      <c r="G195" s="53" t="s">
        <v>1661</v>
      </c>
      <c r="H195" s="52" t="s">
        <v>1672</v>
      </c>
      <c r="I195" s="53" t="s">
        <v>1662</v>
      </c>
      <c r="J195" t="str">
        <f t="shared" ref="J195:J259" si="6">+A195&amp;" - "&amp;B195</f>
        <v>999999999 - Terreno Abuelo Proyectos sin Terreno</v>
      </c>
      <c r="K195" t="str">
        <f t="shared" ref="K195:K259" si="7">+D195</f>
        <v>Terreno</v>
      </c>
    </row>
    <row r="196" spans="1:11" x14ac:dyDescent="0.25">
      <c r="A196" s="52">
        <v>7</v>
      </c>
      <c r="B196" s="53" t="s">
        <v>1768</v>
      </c>
      <c r="C196" s="53" t="s">
        <v>1670</v>
      </c>
      <c r="D196" s="53" t="s">
        <v>65</v>
      </c>
      <c r="E196" s="53" t="s">
        <v>65</v>
      </c>
      <c r="F196" s="53" t="s">
        <v>1767</v>
      </c>
      <c r="G196" s="53" t="s">
        <v>1663</v>
      </c>
      <c r="H196" s="52" t="s">
        <v>1672</v>
      </c>
      <c r="I196" s="53" t="s">
        <v>1664</v>
      </c>
      <c r="J196" t="str">
        <f t="shared" si="6"/>
        <v>7 - Edificio Atlanta</v>
      </c>
      <c r="K196" t="str">
        <f t="shared" si="7"/>
        <v>Obra</v>
      </c>
    </row>
    <row r="197" spans="1:11" x14ac:dyDescent="0.25">
      <c r="A197" s="52">
        <v>9007</v>
      </c>
      <c r="B197" s="53" t="s">
        <v>558</v>
      </c>
      <c r="C197" s="53" t="s">
        <v>1670</v>
      </c>
      <c r="D197" s="53" t="s">
        <v>66</v>
      </c>
      <c r="E197" s="53" t="s">
        <v>328</v>
      </c>
      <c r="F197" s="53" t="s">
        <v>1767</v>
      </c>
      <c r="G197" s="53" t="s">
        <v>1661</v>
      </c>
      <c r="H197" s="52" t="s">
        <v>386</v>
      </c>
      <c r="I197" s="53" t="s">
        <v>1666</v>
      </c>
      <c r="J197" t="str">
        <f t="shared" si="6"/>
        <v>9007 - PV Atlanta</v>
      </c>
      <c r="K197" t="str">
        <f t="shared" si="7"/>
        <v>Postventa</v>
      </c>
    </row>
    <row r="198" spans="1:11" x14ac:dyDescent="0.25">
      <c r="A198" s="64">
        <v>1139202</v>
      </c>
      <c r="B198" s="65" t="s">
        <v>766</v>
      </c>
      <c r="C198" s="65" t="s">
        <v>1685</v>
      </c>
      <c r="D198" s="65" t="s">
        <v>1578</v>
      </c>
      <c r="E198" s="65" t="s">
        <v>1578</v>
      </c>
      <c r="F198" s="65" t="s">
        <v>1769</v>
      </c>
      <c r="G198" s="65" t="s">
        <v>1661</v>
      </c>
      <c r="H198" s="64" t="s">
        <v>386</v>
      </c>
      <c r="I198" s="65" t="s">
        <v>1662</v>
      </c>
      <c r="J198" t="str">
        <f t="shared" si="6"/>
        <v>1139202 - Terreno DS49 Valle Alto Placilla - Inversiones</v>
      </c>
      <c r="K198" t="str">
        <f t="shared" si="7"/>
        <v>Terreno</v>
      </c>
    </row>
    <row r="199" spans="1:11" x14ac:dyDescent="0.25">
      <c r="A199" s="64">
        <v>261</v>
      </c>
      <c r="B199" s="65" t="s">
        <v>1294</v>
      </c>
      <c r="C199" s="65" t="s">
        <v>1685</v>
      </c>
      <c r="D199" s="65" t="s">
        <v>65</v>
      </c>
      <c r="E199" s="65" t="s">
        <v>65</v>
      </c>
      <c r="F199" s="65" t="s">
        <v>1769</v>
      </c>
      <c r="G199" s="65" t="s">
        <v>1663</v>
      </c>
      <c r="H199" s="64" t="s">
        <v>1672</v>
      </c>
      <c r="I199" s="65" t="s">
        <v>1664</v>
      </c>
      <c r="J199" t="str">
        <f t="shared" si="6"/>
        <v>261 - DS49 Valle Alto Placilla</v>
      </c>
      <c r="K199" t="str">
        <f t="shared" si="7"/>
        <v>Obra</v>
      </c>
    </row>
    <row r="200" spans="1:11" x14ac:dyDescent="0.25">
      <c r="A200" s="64">
        <v>374</v>
      </c>
      <c r="B200" s="65" t="s">
        <v>4310</v>
      </c>
      <c r="C200" s="65" t="s">
        <v>1685</v>
      </c>
      <c r="D200" s="65" t="s">
        <v>65</v>
      </c>
      <c r="E200" s="65" t="s">
        <v>65</v>
      </c>
      <c r="F200" s="65" t="s">
        <v>1769</v>
      </c>
      <c r="G200" s="65" t="s">
        <v>1663</v>
      </c>
      <c r="H200" s="64" t="s">
        <v>386</v>
      </c>
      <c r="I200" s="65" t="s">
        <v>1664</v>
      </c>
      <c r="J200" t="str">
        <f t="shared" ref="J200" si="8">+A200&amp;" - "&amp;B200</f>
        <v>374 - DS49 Valle Alto Placilla Ltda</v>
      </c>
      <c r="K200" t="str">
        <f t="shared" ref="K200" si="9">+D200</f>
        <v>Obra</v>
      </c>
    </row>
    <row r="201" spans="1:11" x14ac:dyDescent="0.25">
      <c r="A201" s="64">
        <v>10261000</v>
      </c>
      <c r="B201" s="65" t="s">
        <v>1294</v>
      </c>
      <c r="C201" s="65" t="s">
        <v>1685</v>
      </c>
      <c r="D201" s="65" t="s">
        <v>1665</v>
      </c>
      <c r="E201" s="65" t="s">
        <v>1585</v>
      </c>
      <c r="F201" s="65" t="s">
        <v>1769</v>
      </c>
      <c r="G201" s="65" t="s">
        <v>1661</v>
      </c>
      <c r="H201" s="64" t="s">
        <v>386</v>
      </c>
      <c r="I201" s="65" t="s">
        <v>1666</v>
      </c>
      <c r="J201" t="str">
        <f t="shared" si="6"/>
        <v>10261000 - DS49 Valle Alto Placilla</v>
      </c>
      <c r="K201" t="str">
        <f t="shared" si="7"/>
        <v>Proyectos Inmobiliarios</v>
      </c>
    </row>
    <row r="202" spans="1:11" x14ac:dyDescent="0.25">
      <c r="A202" s="64">
        <v>10261102</v>
      </c>
      <c r="B202" s="65" t="s">
        <v>1295</v>
      </c>
      <c r="C202" s="65" t="s">
        <v>1685</v>
      </c>
      <c r="D202" s="65" t="s">
        <v>1665</v>
      </c>
      <c r="E202" s="65" t="s">
        <v>1617</v>
      </c>
      <c r="F202" s="65" t="s">
        <v>1769</v>
      </c>
      <c r="G202" s="65" t="s">
        <v>1661</v>
      </c>
      <c r="H202" s="64" t="s">
        <v>386</v>
      </c>
      <c r="I202" s="65" t="s">
        <v>1666</v>
      </c>
      <c r="J202" t="str">
        <f t="shared" si="6"/>
        <v>10261102 - DS49 Valle Alto Placilla-Marketing</v>
      </c>
      <c r="K202" t="str">
        <f t="shared" si="7"/>
        <v>Proyectos Inmobiliarios</v>
      </c>
    </row>
    <row r="203" spans="1:11" x14ac:dyDescent="0.25">
      <c r="A203" s="64">
        <v>10261103</v>
      </c>
      <c r="B203" s="65" t="s">
        <v>1296</v>
      </c>
      <c r="C203" s="65" t="s">
        <v>1685</v>
      </c>
      <c r="D203" s="65" t="s">
        <v>1665</v>
      </c>
      <c r="E203" s="65" t="s">
        <v>1618</v>
      </c>
      <c r="F203" s="65" t="s">
        <v>1769</v>
      </c>
      <c r="G203" s="65" t="s">
        <v>1661</v>
      </c>
      <c r="H203" s="64" t="s">
        <v>386</v>
      </c>
      <c r="I203" s="65" t="s">
        <v>1666</v>
      </c>
      <c r="J203" t="str">
        <f t="shared" si="6"/>
        <v>10261103 - DS49 Valle Alto Placilla-Operaciones</v>
      </c>
      <c r="K203" t="str">
        <f t="shared" si="7"/>
        <v>Proyectos Inmobiliarios</v>
      </c>
    </row>
    <row r="204" spans="1:11" x14ac:dyDescent="0.25">
      <c r="A204" s="64">
        <v>10261104</v>
      </c>
      <c r="B204" s="65" t="s">
        <v>1297</v>
      </c>
      <c r="C204" s="65" t="s">
        <v>1685</v>
      </c>
      <c r="D204" s="65" t="s">
        <v>1665</v>
      </c>
      <c r="E204" s="65" t="s">
        <v>90</v>
      </c>
      <c r="F204" s="65" t="s">
        <v>1769</v>
      </c>
      <c r="G204" s="65" t="s">
        <v>1661</v>
      </c>
      <c r="H204" s="64" t="s">
        <v>386</v>
      </c>
      <c r="I204" s="65" t="s">
        <v>1666</v>
      </c>
      <c r="J204" t="str">
        <f t="shared" si="6"/>
        <v>10261104 - DS49 Valle Alto Placilla-Ventas</v>
      </c>
      <c r="K204" t="str">
        <f t="shared" si="7"/>
        <v>Proyectos Inmobiliarios</v>
      </c>
    </row>
    <row r="205" spans="1:11" x14ac:dyDescent="0.25">
      <c r="A205" s="64">
        <v>10261105</v>
      </c>
      <c r="B205" s="65" t="s">
        <v>1298</v>
      </c>
      <c r="C205" s="65" t="s">
        <v>1685</v>
      </c>
      <c r="D205" s="65" t="s">
        <v>1665</v>
      </c>
      <c r="E205" s="65" t="s">
        <v>1622</v>
      </c>
      <c r="F205" s="65" t="s">
        <v>1769</v>
      </c>
      <c r="G205" s="65" t="s">
        <v>1661</v>
      </c>
      <c r="H205" s="64" t="s">
        <v>386</v>
      </c>
      <c r="I205" s="65" t="s">
        <v>1666</v>
      </c>
      <c r="J205" t="str">
        <f t="shared" si="6"/>
        <v>10261105 - DS49 Valle Alto Placilla-Clientes</v>
      </c>
      <c r="K205" t="str">
        <f t="shared" si="7"/>
        <v>Proyectos Inmobiliarios</v>
      </c>
    </row>
    <row r="206" spans="1:11" x14ac:dyDescent="0.25">
      <c r="A206" s="64">
        <v>10261204</v>
      </c>
      <c r="B206" s="65" t="s">
        <v>1299</v>
      </c>
      <c r="C206" s="65" t="s">
        <v>1685</v>
      </c>
      <c r="D206" s="65" t="s">
        <v>1665</v>
      </c>
      <c r="E206" s="65" t="s">
        <v>1624</v>
      </c>
      <c r="F206" s="65" t="s">
        <v>1769</v>
      </c>
      <c r="G206" s="65" t="s">
        <v>1661</v>
      </c>
      <c r="H206" s="64" t="s">
        <v>386</v>
      </c>
      <c r="I206" s="65" t="s">
        <v>1666</v>
      </c>
      <c r="J206" t="str">
        <f t="shared" si="6"/>
        <v>10261204 - DS49 Valle Alto Placilla-Proyecto</v>
      </c>
      <c r="K206" t="str">
        <f t="shared" si="7"/>
        <v>Proyectos Inmobiliarios</v>
      </c>
    </row>
    <row r="207" spans="1:11" x14ac:dyDescent="0.25">
      <c r="A207" s="64">
        <v>10261301</v>
      </c>
      <c r="B207" s="65" t="s">
        <v>1300</v>
      </c>
      <c r="C207" s="65" t="s">
        <v>1685</v>
      </c>
      <c r="D207" s="65" t="s">
        <v>1665</v>
      </c>
      <c r="E207" s="65" t="s">
        <v>1643</v>
      </c>
      <c r="F207" s="65" t="s">
        <v>1769</v>
      </c>
      <c r="G207" s="65" t="s">
        <v>1667</v>
      </c>
      <c r="H207" s="64" t="s">
        <v>386</v>
      </c>
      <c r="I207" s="65" t="s">
        <v>1666</v>
      </c>
      <c r="J207" t="str">
        <f t="shared" si="6"/>
        <v>10261301 - DS49 Valle Alto Placilla-GAF</v>
      </c>
      <c r="K207" t="str">
        <f t="shared" si="7"/>
        <v>Proyectos Inmobiliarios</v>
      </c>
    </row>
    <row r="208" spans="1:11" x14ac:dyDescent="0.25">
      <c r="A208" s="64">
        <v>10261505</v>
      </c>
      <c r="B208" s="65" t="s">
        <v>1301</v>
      </c>
      <c r="C208" s="65" t="s">
        <v>1685</v>
      </c>
      <c r="D208" s="65" t="s">
        <v>66</v>
      </c>
      <c r="E208" s="65" t="s">
        <v>328</v>
      </c>
      <c r="F208" s="65" t="s">
        <v>1769</v>
      </c>
      <c r="G208" s="65" t="s">
        <v>1661</v>
      </c>
      <c r="H208" s="64" t="s">
        <v>386</v>
      </c>
      <c r="I208" s="65" t="s">
        <v>1666</v>
      </c>
      <c r="J208" t="str">
        <f t="shared" si="6"/>
        <v>10261505 - DS49 Valle Alto Placilla-PV Inmob.</v>
      </c>
      <c r="K208" t="str">
        <f t="shared" si="7"/>
        <v>Postventa</v>
      </c>
    </row>
    <row r="209" spans="1:11" x14ac:dyDescent="0.25">
      <c r="A209" s="64">
        <v>10261506</v>
      </c>
      <c r="B209" s="65" t="s">
        <v>1302</v>
      </c>
      <c r="C209" s="65" t="s">
        <v>1685</v>
      </c>
      <c r="D209" s="65" t="s">
        <v>1665</v>
      </c>
      <c r="E209" s="65" t="s">
        <v>200</v>
      </c>
      <c r="F209" s="65" t="s">
        <v>1769</v>
      </c>
      <c r="G209" s="65" t="s">
        <v>1661</v>
      </c>
      <c r="H209" s="64" t="s">
        <v>386</v>
      </c>
      <c r="I209" s="65" t="s">
        <v>1666</v>
      </c>
      <c r="J209" t="str">
        <f t="shared" si="6"/>
        <v>10261506 - DS49 Valle Alto Placilla-Depto.Técnico</v>
      </c>
      <c r="K209" t="str">
        <f t="shared" si="7"/>
        <v>Proyectos Inmobiliarios</v>
      </c>
    </row>
    <row r="210" spans="1:11" x14ac:dyDescent="0.25">
      <c r="A210" s="64">
        <v>8261</v>
      </c>
      <c r="B210" s="65" t="s">
        <v>1770</v>
      </c>
      <c r="C210" s="65" t="s">
        <v>1685</v>
      </c>
      <c r="D210" s="65" t="s">
        <v>1686</v>
      </c>
      <c r="E210" s="65" t="s">
        <v>1501</v>
      </c>
      <c r="F210" s="65" t="s">
        <v>1769</v>
      </c>
      <c r="G210" s="65" t="s">
        <v>1661</v>
      </c>
      <c r="H210" s="64" t="s">
        <v>1672</v>
      </c>
      <c r="I210" s="65" t="s">
        <v>1666</v>
      </c>
      <c r="J210" t="str">
        <f t="shared" si="6"/>
        <v>8261 - Entrega DS49 Valle Alto Placilla</v>
      </c>
      <c r="K210" t="str">
        <f t="shared" si="7"/>
        <v>Entrega</v>
      </c>
    </row>
    <row r="211" spans="1:11" x14ac:dyDescent="0.25">
      <c r="A211" s="64">
        <v>9261</v>
      </c>
      <c r="B211" s="65" t="s">
        <v>1771</v>
      </c>
      <c r="C211" s="65" t="s">
        <v>1685</v>
      </c>
      <c r="D211" s="65" t="s">
        <v>66</v>
      </c>
      <c r="E211" s="65" t="s">
        <v>328</v>
      </c>
      <c r="F211" s="65" t="s">
        <v>1769</v>
      </c>
      <c r="G211" s="65" t="s">
        <v>1661</v>
      </c>
      <c r="H211" s="64" t="s">
        <v>1672</v>
      </c>
      <c r="I211" s="65" t="s">
        <v>1666</v>
      </c>
      <c r="J211" t="str">
        <f t="shared" si="6"/>
        <v>9261 - PV DS49 Valle Alto Placilla</v>
      </c>
      <c r="K211" t="str">
        <f t="shared" si="7"/>
        <v>Postventa</v>
      </c>
    </row>
    <row r="212" spans="1:11" x14ac:dyDescent="0.25">
      <c r="A212" s="54">
        <v>999999999</v>
      </c>
      <c r="B212" s="55" t="s">
        <v>1684</v>
      </c>
      <c r="C212" s="55"/>
      <c r="D212" s="55" t="s">
        <v>1578</v>
      </c>
      <c r="E212" s="55" t="s">
        <v>1578</v>
      </c>
      <c r="F212" s="55" t="s">
        <v>1772</v>
      </c>
      <c r="G212" s="55" t="s">
        <v>1661</v>
      </c>
      <c r="H212" s="54" t="s">
        <v>1672</v>
      </c>
      <c r="I212" s="55" t="s">
        <v>1662</v>
      </c>
      <c r="J212" t="str">
        <f t="shared" si="6"/>
        <v>999999999 - Terreno Abuelo Proyectos sin Terreno</v>
      </c>
      <c r="K212" t="str">
        <f t="shared" si="7"/>
        <v>Terreno</v>
      </c>
    </row>
    <row r="213" spans="1:11" x14ac:dyDescent="0.25">
      <c r="A213" s="54">
        <v>20</v>
      </c>
      <c r="B213" s="55" t="s">
        <v>1773</v>
      </c>
      <c r="C213" s="55" t="s">
        <v>1685</v>
      </c>
      <c r="D213" s="55" t="s">
        <v>65</v>
      </c>
      <c r="E213" s="55" t="s">
        <v>65</v>
      </c>
      <c r="F213" s="55" t="s">
        <v>1772</v>
      </c>
      <c r="G213" s="55" t="s">
        <v>1663</v>
      </c>
      <c r="H213" s="54" t="s">
        <v>1672</v>
      </c>
      <c r="I213" s="55" t="s">
        <v>1664</v>
      </c>
      <c r="J213" t="str">
        <f t="shared" si="6"/>
        <v>20 - Barrio Verde Edificio 1</v>
      </c>
      <c r="K213" t="str">
        <f t="shared" si="7"/>
        <v>Obra</v>
      </c>
    </row>
    <row r="214" spans="1:11" x14ac:dyDescent="0.25">
      <c r="A214" s="54">
        <v>9020</v>
      </c>
      <c r="B214" s="55" t="s">
        <v>570</v>
      </c>
      <c r="C214" s="55" t="s">
        <v>1685</v>
      </c>
      <c r="D214" s="55" t="s">
        <v>66</v>
      </c>
      <c r="E214" s="55" t="s">
        <v>328</v>
      </c>
      <c r="F214" s="55" t="s">
        <v>1772</v>
      </c>
      <c r="G214" s="55" t="s">
        <v>1661</v>
      </c>
      <c r="H214" s="54" t="s">
        <v>386</v>
      </c>
      <c r="I214" s="55" t="s">
        <v>1666</v>
      </c>
      <c r="J214" t="str">
        <f t="shared" si="6"/>
        <v>9020 - PV Barrio Verde Edif 1</v>
      </c>
      <c r="K214" t="str">
        <f t="shared" si="7"/>
        <v>Postventa</v>
      </c>
    </row>
    <row r="215" spans="1:11" x14ac:dyDescent="0.25">
      <c r="A215" s="54">
        <v>10003000</v>
      </c>
      <c r="B215" s="55" t="s">
        <v>1772</v>
      </c>
      <c r="C215" s="55" t="s">
        <v>1685</v>
      </c>
      <c r="D215" s="55" t="s">
        <v>1665</v>
      </c>
      <c r="E215" s="55" t="s">
        <v>1585</v>
      </c>
      <c r="F215" s="55" t="s">
        <v>1772</v>
      </c>
      <c r="G215" s="55" t="s">
        <v>1667</v>
      </c>
      <c r="H215" s="54" t="s">
        <v>1672</v>
      </c>
      <c r="I215" s="55" t="s">
        <v>1666</v>
      </c>
      <c r="J215" t="str">
        <f t="shared" si="6"/>
        <v>10003000 - Barrio Bosque Inglés I</v>
      </c>
      <c r="K215" t="str">
        <f t="shared" si="7"/>
        <v>Proyectos Inmobiliarios</v>
      </c>
    </row>
    <row r="216" spans="1:11" x14ac:dyDescent="0.25">
      <c r="A216" s="54">
        <v>10003102</v>
      </c>
      <c r="B216" s="55" t="s">
        <v>1774</v>
      </c>
      <c r="C216" s="55" t="s">
        <v>1685</v>
      </c>
      <c r="D216" s="55" t="s">
        <v>1665</v>
      </c>
      <c r="E216" s="55" t="s">
        <v>1617</v>
      </c>
      <c r="F216" s="55" t="s">
        <v>1772</v>
      </c>
      <c r="G216" s="55" t="s">
        <v>1661</v>
      </c>
      <c r="H216" s="54" t="s">
        <v>1672</v>
      </c>
      <c r="I216" s="55" t="s">
        <v>1666</v>
      </c>
      <c r="J216" t="str">
        <f t="shared" si="6"/>
        <v>10003102 - Barrio Bosque Inglés I-Marketing</v>
      </c>
      <c r="K216" t="str">
        <f t="shared" si="7"/>
        <v>Proyectos Inmobiliarios</v>
      </c>
    </row>
    <row r="217" spans="1:11" x14ac:dyDescent="0.25">
      <c r="A217" s="54">
        <v>10003103</v>
      </c>
      <c r="B217" s="55" t="s">
        <v>1775</v>
      </c>
      <c r="C217" s="55" t="s">
        <v>1685</v>
      </c>
      <c r="D217" s="55" t="s">
        <v>1665</v>
      </c>
      <c r="E217" s="55" t="s">
        <v>1618</v>
      </c>
      <c r="F217" s="55" t="s">
        <v>1772</v>
      </c>
      <c r="G217" s="55" t="s">
        <v>1661</v>
      </c>
      <c r="H217" s="54" t="s">
        <v>1672</v>
      </c>
      <c r="I217" s="55" t="s">
        <v>1666</v>
      </c>
      <c r="J217" t="str">
        <f t="shared" si="6"/>
        <v>10003103 - Barrio Bosque Inglés I-Operaciones</v>
      </c>
      <c r="K217" t="str">
        <f t="shared" si="7"/>
        <v>Proyectos Inmobiliarios</v>
      </c>
    </row>
    <row r="218" spans="1:11" x14ac:dyDescent="0.25">
      <c r="A218" s="54">
        <v>10003104</v>
      </c>
      <c r="B218" s="55" t="s">
        <v>1776</v>
      </c>
      <c r="C218" s="55" t="s">
        <v>1685</v>
      </c>
      <c r="D218" s="55" t="s">
        <v>1665</v>
      </c>
      <c r="E218" s="55" t="s">
        <v>90</v>
      </c>
      <c r="F218" s="55" t="s">
        <v>1772</v>
      </c>
      <c r="G218" s="55" t="s">
        <v>1661</v>
      </c>
      <c r="H218" s="54" t="s">
        <v>1672</v>
      </c>
      <c r="I218" s="55" t="s">
        <v>1666</v>
      </c>
      <c r="J218" t="str">
        <f t="shared" si="6"/>
        <v>10003104 - Barrio Bosque Inglés I-Ventas</v>
      </c>
      <c r="K218" t="str">
        <f t="shared" si="7"/>
        <v>Proyectos Inmobiliarios</v>
      </c>
    </row>
    <row r="219" spans="1:11" x14ac:dyDescent="0.25">
      <c r="A219" s="54">
        <v>10003105</v>
      </c>
      <c r="B219" s="55" t="s">
        <v>1777</v>
      </c>
      <c r="C219" s="55" t="s">
        <v>1685</v>
      </c>
      <c r="D219" s="55" t="s">
        <v>1665</v>
      </c>
      <c r="E219" s="55" t="s">
        <v>1622</v>
      </c>
      <c r="F219" s="55" t="s">
        <v>1772</v>
      </c>
      <c r="G219" s="55" t="s">
        <v>1661</v>
      </c>
      <c r="H219" s="54" t="s">
        <v>1672</v>
      </c>
      <c r="I219" s="55" t="s">
        <v>1666</v>
      </c>
      <c r="J219" t="str">
        <f t="shared" si="6"/>
        <v>10003105 - Barrio Bosque Inglés I-Clientes</v>
      </c>
      <c r="K219" t="str">
        <f t="shared" si="7"/>
        <v>Proyectos Inmobiliarios</v>
      </c>
    </row>
    <row r="220" spans="1:11" x14ac:dyDescent="0.25">
      <c r="A220" s="54">
        <v>10003205</v>
      </c>
      <c r="B220" s="55" t="s">
        <v>1778</v>
      </c>
      <c r="C220" s="55" t="s">
        <v>1685</v>
      </c>
      <c r="D220" s="55" t="s">
        <v>1665</v>
      </c>
      <c r="E220" s="55" t="s">
        <v>1624</v>
      </c>
      <c r="F220" s="55" t="s">
        <v>1772</v>
      </c>
      <c r="G220" s="55" t="s">
        <v>1661</v>
      </c>
      <c r="H220" s="54" t="s">
        <v>1672</v>
      </c>
      <c r="I220" s="55" t="s">
        <v>1666</v>
      </c>
      <c r="J220" t="str">
        <f t="shared" si="6"/>
        <v>10003205 - Barrio Bosque Inglés I-Proyecto</v>
      </c>
      <c r="K220" t="str">
        <f t="shared" si="7"/>
        <v>Proyectos Inmobiliarios</v>
      </c>
    </row>
    <row r="221" spans="1:11" x14ac:dyDescent="0.25">
      <c r="A221" s="54">
        <v>10003301</v>
      </c>
      <c r="B221" s="55" t="s">
        <v>1779</v>
      </c>
      <c r="C221" s="55" t="s">
        <v>1685</v>
      </c>
      <c r="D221" s="55" t="s">
        <v>1665</v>
      </c>
      <c r="E221" s="55" t="s">
        <v>1643</v>
      </c>
      <c r="F221" s="55" t="s">
        <v>1772</v>
      </c>
      <c r="G221" s="55" t="s">
        <v>1667</v>
      </c>
      <c r="H221" s="54" t="s">
        <v>1672</v>
      </c>
      <c r="I221" s="55" t="s">
        <v>1666</v>
      </c>
      <c r="J221" t="str">
        <f t="shared" si="6"/>
        <v>10003301 - Barrio Bosque Inglés I-GAF</v>
      </c>
      <c r="K221" t="str">
        <f t="shared" si="7"/>
        <v>Proyectos Inmobiliarios</v>
      </c>
    </row>
    <row r="222" spans="1:11" x14ac:dyDescent="0.25">
      <c r="A222" s="54">
        <v>10003505</v>
      </c>
      <c r="B222" s="55" t="s">
        <v>1780</v>
      </c>
      <c r="C222" s="55" t="s">
        <v>1685</v>
      </c>
      <c r="D222" s="55" t="s">
        <v>66</v>
      </c>
      <c r="E222" s="55" t="s">
        <v>328</v>
      </c>
      <c r="F222" s="55" t="s">
        <v>1772</v>
      </c>
      <c r="G222" s="55" t="s">
        <v>1661</v>
      </c>
      <c r="H222" s="54" t="s">
        <v>1672</v>
      </c>
      <c r="I222" s="55" t="s">
        <v>1666</v>
      </c>
      <c r="J222" t="str">
        <f t="shared" si="6"/>
        <v>10003505 - Barrio Bosque Inglés I-PV Inmob.</v>
      </c>
      <c r="K222" t="str">
        <f t="shared" si="7"/>
        <v>Postventa</v>
      </c>
    </row>
    <row r="223" spans="1:11" x14ac:dyDescent="0.25">
      <c r="A223" s="54">
        <v>10003506</v>
      </c>
      <c r="B223" s="55" t="s">
        <v>1781</v>
      </c>
      <c r="C223" s="55" t="s">
        <v>1685</v>
      </c>
      <c r="D223" s="55" t="s">
        <v>1665</v>
      </c>
      <c r="E223" s="55" t="s">
        <v>200</v>
      </c>
      <c r="F223" s="55" t="s">
        <v>1772</v>
      </c>
      <c r="G223" s="55" t="s">
        <v>1661</v>
      </c>
      <c r="H223" s="54" t="s">
        <v>1672</v>
      </c>
      <c r="I223" s="55" t="s">
        <v>1666</v>
      </c>
      <c r="J223" t="str">
        <f t="shared" si="6"/>
        <v>10003506 - Barrio Bosque Inglés I-Depto.Técnico</v>
      </c>
      <c r="K223" t="str">
        <f t="shared" si="7"/>
        <v>Proyectos Inmobiliarios</v>
      </c>
    </row>
    <row r="224" spans="1:11" x14ac:dyDescent="0.25">
      <c r="A224" s="58">
        <v>999999999</v>
      </c>
      <c r="B224" s="59" t="s">
        <v>1684</v>
      </c>
      <c r="C224" s="59"/>
      <c r="D224" s="59" t="s">
        <v>1578</v>
      </c>
      <c r="E224" s="59" t="s">
        <v>1578</v>
      </c>
      <c r="F224" s="59" t="s">
        <v>1782</v>
      </c>
      <c r="G224" s="59" t="s">
        <v>1661</v>
      </c>
      <c r="H224" s="58" t="s">
        <v>1672</v>
      </c>
      <c r="I224" s="59" t="s">
        <v>1662</v>
      </c>
      <c r="J224" t="str">
        <f t="shared" si="6"/>
        <v>999999999 - Terreno Abuelo Proyectos sin Terreno</v>
      </c>
      <c r="K224" t="str">
        <f t="shared" si="7"/>
        <v>Terreno</v>
      </c>
    </row>
    <row r="225" spans="1:11" x14ac:dyDescent="0.25">
      <c r="A225" s="58">
        <v>41</v>
      </c>
      <c r="B225" s="59" t="s">
        <v>1783</v>
      </c>
      <c r="C225" s="59" t="s">
        <v>1685</v>
      </c>
      <c r="D225" s="59" t="s">
        <v>65</v>
      </c>
      <c r="E225" s="59" t="s">
        <v>65</v>
      </c>
      <c r="F225" s="59" t="s">
        <v>1782</v>
      </c>
      <c r="G225" s="59" t="s">
        <v>1663</v>
      </c>
      <c r="H225" s="58" t="s">
        <v>1672</v>
      </c>
      <c r="I225" s="59" t="s">
        <v>1664</v>
      </c>
      <c r="J225" t="str">
        <f t="shared" si="6"/>
        <v>41 - BBI II</v>
      </c>
      <c r="K225" t="str">
        <f t="shared" si="7"/>
        <v>Obra</v>
      </c>
    </row>
    <row r="226" spans="1:11" x14ac:dyDescent="0.25">
      <c r="A226" s="58">
        <v>10031000</v>
      </c>
      <c r="B226" s="59" t="s">
        <v>1782</v>
      </c>
      <c r="C226" s="59" t="s">
        <v>1685</v>
      </c>
      <c r="D226" s="59" t="s">
        <v>1665</v>
      </c>
      <c r="E226" s="59" t="s">
        <v>1585</v>
      </c>
      <c r="F226" s="59" t="s">
        <v>1782</v>
      </c>
      <c r="G226" s="59" t="s">
        <v>1661</v>
      </c>
      <c r="H226" s="58" t="s">
        <v>1672</v>
      </c>
      <c r="I226" s="59" t="s">
        <v>1666</v>
      </c>
      <c r="J226" t="str">
        <f t="shared" si="6"/>
        <v>10031000 - Barrio Bosque Inglés II</v>
      </c>
      <c r="K226" t="str">
        <f t="shared" si="7"/>
        <v>Proyectos Inmobiliarios</v>
      </c>
    </row>
    <row r="227" spans="1:11" x14ac:dyDescent="0.25">
      <c r="A227" s="58">
        <v>10031102</v>
      </c>
      <c r="B227" s="59" t="s">
        <v>1784</v>
      </c>
      <c r="C227" s="59" t="s">
        <v>1685</v>
      </c>
      <c r="D227" s="59" t="s">
        <v>1665</v>
      </c>
      <c r="E227" s="59" t="s">
        <v>1617</v>
      </c>
      <c r="F227" s="59" t="s">
        <v>1782</v>
      </c>
      <c r="G227" s="59" t="s">
        <v>1661</v>
      </c>
      <c r="H227" s="58" t="s">
        <v>1672</v>
      </c>
      <c r="I227" s="59" t="s">
        <v>1666</v>
      </c>
      <c r="J227" t="str">
        <f t="shared" si="6"/>
        <v>10031102 - Barrio Bosque Inglés II-Marketing</v>
      </c>
      <c r="K227" t="str">
        <f t="shared" si="7"/>
        <v>Proyectos Inmobiliarios</v>
      </c>
    </row>
    <row r="228" spans="1:11" x14ac:dyDescent="0.25">
      <c r="A228" s="58">
        <v>10031103</v>
      </c>
      <c r="B228" s="59" t="s">
        <v>1785</v>
      </c>
      <c r="C228" s="59" t="s">
        <v>1685</v>
      </c>
      <c r="D228" s="59" t="s">
        <v>1665</v>
      </c>
      <c r="E228" s="59" t="s">
        <v>1618</v>
      </c>
      <c r="F228" s="59" t="s">
        <v>1782</v>
      </c>
      <c r="G228" s="59" t="s">
        <v>1661</v>
      </c>
      <c r="H228" s="58" t="s">
        <v>1672</v>
      </c>
      <c r="I228" s="59" t="s">
        <v>1666</v>
      </c>
      <c r="J228" t="str">
        <f t="shared" si="6"/>
        <v>10031103 - Barrio Bosque Inglés II-Operaciones</v>
      </c>
      <c r="K228" t="str">
        <f t="shared" si="7"/>
        <v>Proyectos Inmobiliarios</v>
      </c>
    </row>
    <row r="229" spans="1:11" x14ac:dyDescent="0.25">
      <c r="A229" s="58">
        <v>10031104</v>
      </c>
      <c r="B229" s="59" t="s">
        <v>1786</v>
      </c>
      <c r="C229" s="59" t="s">
        <v>1685</v>
      </c>
      <c r="D229" s="59" t="s">
        <v>1665</v>
      </c>
      <c r="E229" s="59" t="s">
        <v>90</v>
      </c>
      <c r="F229" s="59" t="s">
        <v>1782</v>
      </c>
      <c r="G229" s="59" t="s">
        <v>1661</v>
      </c>
      <c r="H229" s="58" t="s">
        <v>1672</v>
      </c>
      <c r="I229" s="59" t="s">
        <v>1666</v>
      </c>
      <c r="J229" t="str">
        <f t="shared" si="6"/>
        <v>10031104 - Barrio Bosque Inglés II-Ventas</v>
      </c>
      <c r="K229" t="str">
        <f t="shared" si="7"/>
        <v>Proyectos Inmobiliarios</v>
      </c>
    </row>
    <row r="230" spans="1:11" x14ac:dyDescent="0.25">
      <c r="A230" s="58">
        <v>10031105</v>
      </c>
      <c r="B230" s="59" t="s">
        <v>1787</v>
      </c>
      <c r="C230" s="59" t="s">
        <v>1685</v>
      </c>
      <c r="D230" s="59" t="s">
        <v>1665</v>
      </c>
      <c r="E230" s="59" t="s">
        <v>1622</v>
      </c>
      <c r="F230" s="59" t="s">
        <v>1782</v>
      </c>
      <c r="G230" s="59" t="s">
        <v>1661</v>
      </c>
      <c r="H230" s="58" t="s">
        <v>1672</v>
      </c>
      <c r="I230" s="59" t="s">
        <v>1666</v>
      </c>
      <c r="J230" t="str">
        <f t="shared" si="6"/>
        <v>10031105 - Barrio Bosque Inglés II-Clientes</v>
      </c>
      <c r="K230" t="str">
        <f t="shared" si="7"/>
        <v>Proyectos Inmobiliarios</v>
      </c>
    </row>
    <row r="231" spans="1:11" x14ac:dyDescent="0.25">
      <c r="A231" s="58">
        <v>10031205</v>
      </c>
      <c r="B231" s="59" t="s">
        <v>1788</v>
      </c>
      <c r="C231" s="59" t="s">
        <v>1685</v>
      </c>
      <c r="D231" s="59" t="s">
        <v>1665</v>
      </c>
      <c r="E231" s="59" t="s">
        <v>1624</v>
      </c>
      <c r="F231" s="59" t="s">
        <v>1782</v>
      </c>
      <c r="G231" s="59" t="s">
        <v>1661</v>
      </c>
      <c r="H231" s="58" t="s">
        <v>1672</v>
      </c>
      <c r="I231" s="59" t="s">
        <v>1666</v>
      </c>
      <c r="J231" t="str">
        <f t="shared" si="6"/>
        <v>10031205 - Barrio Bosque Inglés II-Proyecto</v>
      </c>
      <c r="K231" t="str">
        <f t="shared" si="7"/>
        <v>Proyectos Inmobiliarios</v>
      </c>
    </row>
    <row r="232" spans="1:11" x14ac:dyDescent="0.25">
      <c r="A232" s="58">
        <v>10031301</v>
      </c>
      <c r="B232" s="59" t="s">
        <v>1789</v>
      </c>
      <c r="C232" s="59" t="s">
        <v>1685</v>
      </c>
      <c r="D232" s="59" t="s">
        <v>1665</v>
      </c>
      <c r="E232" s="59" t="s">
        <v>1643</v>
      </c>
      <c r="F232" s="59" t="s">
        <v>1782</v>
      </c>
      <c r="G232" s="59" t="s">
        <v>1667</v>
      </c>
      <c r="H232" s="58" t="s">
        <v>1672</v>
      </c>
      <c r="I232" s="59" t="s">
        <v>1666</v>
      </c>
      <c r="J232" t="str">
        <f t="shared" si="6"/>
        <v>10031301 - Barrio Bosque Inglés II-GAF</v>
      </c>
      <c r="K232" t="str">
        <f t="shared" si="7"/>
        <v>Proyectos Inmobiliarios</v>
      </c>
    </row>
    <row r="233" spans="1:11" x14ac:dyDescent="0.25">
      <c r="A233" s="58">
        <v>10031505</v>
      </c>
      <c r="B233" s="59" t="s">
        <v>1790</v>
      </c>
      <c r="C233" s="59" t="s">
        <v>1685</v>
      </c>
      <c r="D233" s="59" t="s">
        <v>66</v>
      </c>
      <c r="E233" s="59" t="s">
        <v>328</v>
      </c>
      <c r="F233" s="59" t="s">
        <v>1782</v>
      </c>
      <c r="G233" s="59" t="s">
        <v>1661</v>
      </c>
      <c r="H233" s="58" t="s">
        <v>1672</v>
      </c>
      <c r="I233" s="59" t="s">
        <v>1666</v>
      </c>
      <c r="J233" t="str">
        <f t="shared" si="6"/>
        <v>10031505 - Barrio Bosque Inglés II-PV Inmob.</v>
      </c>
      <c r="K233" t="str">
        <f t="shared" si="7"/>
        <v>Postventa</v>
      </c>
    </row>
    <row r="234" spans="1:11" x14ac:dyDescent="0.25">
      <c r="A234" s="58">
        <v>10031506</v>
      </c>
      <c r="B234" s="59" t="s">
        <v>1791</v>
      </c>
      <c r="C234" s="59" t="s">
        <v>1685</v>
      </c>
      <c r="D234" s="59" t="s">
        <v>1665</v>
      </c>
      <c r="E234" s="59" t="s">
        <v>200</v>
      </c>
      <c r="F234" s="59" t="s">
        <v>1782</v>
      </c>
      <c r="G234" s="59" t="s">
        <v>1661</v>
      </c>
      <c r="H234" s="58" t="s">
        <v>1672</v>
      </c>
      <c r="I234" s="59" t="s">
        <v>1666</v>
      </c>
      <c r="J234" t="str">
        <f t="shared" si="6"/>
        <v>10031506 - Barrio Bosque Inglés II-Depto.Técnico</v>
      </c>
      <c r="K234" t="str">
        <f t="shared" si="7"/>
        <v>Proyectos Inmobiliarios</v>
      </c>
    </row>
    <row r="235" spans="1:11" x14ac:dyDescent="0.25">
      <c r="A235" s="58">
        <v>9041</v>
      </c>
      <c r="B235" s="59" t="s">
        <v>587</v>
      </c>
      <c r="C235" s="59" t="s">
        <v>1685</v>
      </c>
      <c r="D235" s="59" t="s">
        <v>66</v>
      </c>
      <c r="E235" s="59" t="s">
        <v>328</v>
      </c>
      <c r="F235" s="59" t="s">
        <v>1782</v>
      </c>
      <c r="G235" s="59" t="s">
        <v>1661</v>
      </c>
      <c r="H235" s="58" t="s">
        <v>386</v>
      </c>
      <c r="I235" s="59" t="s">
        <v>1666</v>
      </c>
      <c r="J235" t="str">
        <f t="shared" si="6"/>
        <v>9041 - PV BBI Etapa II</v>
      </c>
      <c r="K235" t="str">
        <f t="shared" si="7"/>
        <v>Postventa</v>
      </c>
    </row>
    <row r="236" spans="1:11" x14ac:dyDescent="0.25">
      <c r="A236" s="43">
        <v>1133202</v>
      </c>
      <c r="B236" t="s">
        <v>763</v>
      </c>
      <c r="C236" t="s">
        <v>1685</v>
      </c>
      <c r="D236" t="s">
        <v>1578</v>
      </c>
      <c r="E236" t="s">
        <v>1578</v>
      </c>
      <c r="F236" t="s">
        <v>1792</v>
      </c>
      <c r="G236" t="s">
        <v>1661</v>
      </c>
      <c r="H236" s="43" t="s">
        <v>386</v>
      </c>
      <c r="I236" t="s">
        <v>1662</v>
      </c>
      <c r="J236" t="str">
        <f t="shared" si="6"/>
        <v>1133202 - Terreno Blanca Estela 2333 – Inversiones</v>
      </c>
      <c r="K236" t="str">
        <f t="shared" si="7"/>
        <v>Terreno</v>
      </c>
    </row>
    <row r="237" spans="1:11" x14ac:dyDescent="0.25">
      <c r="A237" s="66">
        <v>304</v>
      </c>
      <c r="B237" s="67" t="s">
        <v>485</v>
      </c>
      <c r="C237" s="67" t="s">
        <v>1685</v>
      </c>
      <c r="D237" s="67" t="s">
        <v>65</v>
      </c>
      <c r="E237" s="67" t="s">
        <v>65</v>
      </c>
      <c r="F237" s="67" t="s">
        <v>485</v>
      </c>
      <c r="G237" s="67" t="s">
        <v>1663</v>
      </c>
      <c r="H237" s="66" t="s">
        <v>386</v>
      </c>
      <c r="I237" s="67" t="s">
        <v>1664</v>
      </c>
      <c r="J237" t="str">
        <f t="shared" si="6"/>
        <v>304 - Blanca Estela I Torre A y B</v>
      </c>
      <c r="K237" t="str">
        <f t="shared" si="7"/>
        <v>Obra</v>
      </c>
    </row>
    <row r="238" spans="1:11" x14ac:dyDescent="0.25">
      <c r="A238" s="66">
        <v>8304</v>
      </c>
      <c r="B238" s="67" t="s">
        <v>548</v>
      </c>
      <c r="C238" s="67" t="s">
        <v>1685</v>
      </c>
      <c r="D238" s="67" t="s">
        <v>1686</v>
      </c>
      <c r="E238" s="67" t="s">
        <v>1501</v>
      </c>
      <c r="F238" s="67" t="s">
        <v>485</v>
      </c>
      <c r="G238" s="67" t="s">
        <v>1661</v>
      </c>
      <c r="H238" s="66" t="s">
        <v>386</v>
      </c>
      <c r="I238" s="67" t="s">
        <v>1666</v>
      </c>
      <c r="J238" t="str">
        <f t="shared" si="6"/>
        <v>8304 - Entrega Blanca Estela I Torre A y B</v>
      </c>
      <c r="K238" t="str">
        <f t="shared" si="7"/>
        <v>Entrega</v>
      </c>
    </row>
    <row r="239" spans="1:11" x14ac:dyDescent="0.25">
      <c r="A239" s="66">
        <v>9304</v>
      </c>
      <c r="B239" s="67" t="s">
        <v>675</v>
      </c>
      <c r="C239" s="67" t="s">
        <v>1685</v>
      </c>
      <c r="D239" s="67" t="s">
        <v>66</v>
      </c>
      <c r="E239" s="67" t="s">
        <v>328</v>
      </c>
      <c r="F239" s="67" t="s">
        <v>485</v>
      </c>
      <c r="G239" s="67" t="s">
        <v>1661</v>
      </c>
      <c r="H239" s="66" t="s">
        <v>386</v>
      </c>
      <c r="I239" s="67" t="s">
        <v>1666</v>
      </c>
      <c r="J239" t="str">
        <f t="shared" si="6"/>
        <v>9304 - PV Blanca Estela I Torre A y B</v>
      </c>
      <c r="K239" t="str">
        <f t="shared" si="7"/>
        <v>Postventa</v>
      </c>
    </row>
    <row r="240" spans="1:11" x14ac:dyDescent="0.25">
      <c r="A240" s="66">
        <v>10259000</v>
      </c>
      <c r="B240" s="67" t="s">
        <v>485</v>
      </c>
      <c r="C240" s="67" t="s">
        <v>1685</v>
      </c>
      <c r="D240" s="67" t="s">
        <v>1665</v>
      </c>
      <c r="E240" s="67" t="s">
        <v>1585</v>
      </c>
      <c r="F240" s="67" t="s">
        <v>485</v>
      </c>
      <c r="G240" s="67" t="s">
        <v>1661</v>
      </c>
      <c r="H240" s="66" t="s">
        <v>386</v>
      </c>
      <c r="I240" s="67" t="s">
        <v>1666</v>
      </c>
      <c r="J240" t="str">
        <f t="shared" si="6"/>
        <v>10259000 - Blanca Estela I Torre A y B</v>
      </c>
      <c r="K240" t="str">
        <f t="shared" si="7"/>
        <v>Proyectos Inmobiliarios</v>
      </c>
    </row>
    <row r="241" spans="1:11" x14ac:dyDescent="0.25">
      <c r="A241" s="66">
        <v>10259102</v>
      </c>
      <c r="B241" s="67" t="s">
        <v>1278</v>
      </c>
      <c r="C241" s="67" t="s">
        <v>1685</v>
      </c>
      <c r="D241" s="67" t="s">
        <v>1665</v>
      </c>
      <c r="E241" s="67" t="s">
        <v>1617</v>
      </c>
      <c r="F241" s="67" t="s">
        <v>485</v>
      </c>
      <c r="G241" s="67" t="s">
        <v>1661</v>
      </c>
      <c r="H241" s="66" t="s">
        <v>386</v>
      </c>
      <c r="I241" s="67" t="s">
        <v>1666</v>
      </c>
      <c r="J241" t="str">
        <f t="shared" si="6"/>
        <v>10259102 - Blanca Estela I Torre A y B-Marketing</v>
      </c>
      <c r="K241" t="str">
        <f t="shared" si="7"/>
        <v>Proyectos Inmobiliarios</v>
      </c>
    </row>
    <row r="242" spans="1:11" x14ac:dyDescent="0.25">
      <c r="A242" s="66">
        <v>10259103</v>
      </c>
      <c r="B242" s="67" t="s">
        <v>1279</v>
      </c>
      <c r="C242" s="67" t="s">
        <v>1685</v>
      </c>
      <c r="D242" s="67" t="s">
        <v>1665</v>
      </c>
      <c r="E242" s="67" t="s">
        <v>1618</v>
      </c>
      <c r="F242" s="67" t="s">
        <v>485</v>
      </c>
      <c r="G242" s="67" t="s">
        <v>1661</v>
      </c>
      <c r="H242" s="66" t="s">
        <v>386</v>
      </c>
      <c r="I242" s="67" t="s">
        <v>1666</v>
      </c>
      <c r="J242" t="str">
        <f t="shared" si="6"/>
        <v>10259103 - Blanca Estela I Torre A y B-Operaciones</v>
      </c>
      <c r="K242" t="str">
        <f t="shared" si="7"/>
        <v>Proyectos Inmobiliarios</v>
      </c>
    </row>
    <row r="243" spans="1:11" x14ac:dyDescent="0.25">
      <c r="A243" s="66">
        <v>10259104</v>
      </c>
      <c r="B243" s="67" t="s">
        <v>1280</v>
      </c>
      <c r="C243" s="67" t="s">
        <v>1685</v>
      </c>
      <c r="D243" s="67" t="s">
        <v>1665</v>
      </c>
      <c r="E243" s="67" t="s">
        <v>90</v>
      </c>
      <c r="F243" s="67" t="s">
        <v>485</v>
      </c>
      <c r="G243" s="67" t="s">
        <v>1661</v>
      </c>
      <c r="H243" s="66" t="s">
        <v>386</v>
      </c>
      <c r="I243" s="67" t="s">
        <v>1666</v>
      </c>
      <c r="J243" t="str">
        <f t="shared" si="6"/>
        <v>10259104 - Blanca Estela I Torre A y B-Ventas</v>
      </c>
      <c r="K243" t="str">
        <f t="shared" si="7"/>
        <v>Proyectos Inmobiliarios</v>
      </c>
    </row>
    <row r="244" spans="1:11" x14ac:dyDescent="0.25">
      <c r="A244" s="66">
        <v>10259105</v>
      </c>
      <c r="B244" s="67" t="s">
        <v>1281</v>
      </c>
      <c r="C244" s="67" t="s">
        <v>1685</v>
      </c>
      <c r="D244" s="67" t="s">
        <v>1665</v>
      </c>
      <c r="E244" s="67" t="s">
        <v>1622</v>
      </c>
      <c r="F244" s="67" t="s">
        <v>485</v>
      </c>
      <c r="G244" s="67" t="s">
        <v>1661</v>
      </c>
      <c r="H244" s="66" t="s">
        <v>386</v>
      </c>
      <c r="I244" s="67" t="s">
        <v>1666</v>
      </c>
      <c r="J244" t="str">
        <f t="shared" si="6"/>
        <v>10259105 - Blanca Estela I Torre A y B-Clientes</v>
      </c>
      <c r="K244" t="str">
        <f t="shared" si="7"/>
        <v>Proyectos Inmobiliarios</v>
      </c>
    </row>
    <row r="245" spans="1:11" x14ac:dyDescent="0.25">
      <c r="A245" s="66">
        <v>10259204</v>
      </c>
      <c r="B245" s="67" t="s">
        <v>1282</v>
      </c>
      <c r="C245" s="67" t="s">
        <v>1685</v>
      </c>
      <c r="D245" s="67" t="s">
        <v>1665</v>
      </c>
      <c r="E245" s="67" t="s">
        <v>1624</v>
      </c>
      <c r="F245" s="67" t="s">
        <v>485</v>
      </c>
      <c r="G245" s="67" t="s">
        <v>1661</v>
      </c>
      <c r="H245" s="66" t="s">
        <v>386</v>
      </c>
      <c r="I245" s="67" t="s">
        <v>1666</v>
      </c>
      <c r="J245" t="str">
        <f t="shared" si="6"/>
        <v>10259204 - Blanca Estela I Torre A y B-Proyecto</v>
      </c>
      <c r="K245" t="str">
        <f t="shared" si="7"/>
        <v>Proyectos Inmobiliarios</v>
      </c>
    </row>
    <row r="246" spans="1:11" x14ac:dyDescent="0.25">
      <c r="A246" s="66">
        <v>10259301</v>
      </c>
      <c r="B246" s="67" t="s">
        <v>1283</v>
      </c>
      <c r="C246" s="67" t="s">
        <v>1685</v>
      </c>
      <c r="D246" s="67" t="s">
        <v>1665</v>
      </c>
      <c r="E246" s="67" t="s">
        <v>1643</v>
      </c>
      <c r="F246" s="67" t="s">
        <v>485</v>
      </c>
      <c r="G246" s="67" t="s">
        <v>1667</v>
      </c>
      <c r="H246" s="66" t="s">
        <v>386</v>
      </c>
      <c r="I246" s="67" t="s">
        <v>1666</v>
      </c>
      <c r="J246" t="str">
        <f t="shared" si="6"/>
        <v>10259301 - Blanca Estela I Torre A y B-GAF</v>
      </c>
      <c r="K246" t="str">
        <f t="shared" si="7"/>
        <v>Proyectos Inmobiliarios</v>
      </c>
    </row>
    <row r="247" spans="1:11" x14ac:dyDescent="0.25">
      <c r="A247" s="66">
        <v>10259505</v>
      </c>
      <c r="B247" s="67" t="s">
        <v>1284</v>
      </c>
      <c r="C247" s="67" t="s">
        <v>1685</v>
      </c>
      <c r="D247" s="67" t="s">
        <v>66</v>
      </c>
      <c r="E247" s="67" t="s">
        <v>328</v>
      </c>
      <c r="F247" s="67" t="s">
        <v>485</v>
      </c>
      <c r="G247" s="67" t="s">
        <v>1661</v>
      </c>
      <c r="H247" s="66" t="s">
        <v>386</v>
      </c>
      <c r="I247" s="67" t="s">
        <v>1666</v>
      </c>
      <c r="J247" t="str">
        <f t="shared" si="6"/>
        <v>10259505 - Blanca Estela I Torre A y B-PV Inmob.</v>
      </c>
      <c r="K247" t="str">
        <f t="shared" si="7"/>
        <v>Postventa</v>
      </c>
    </row>
    <row r="248" spans="1:11" x14ac:dyDescent="0.25">
      <c r="A248" s="66">
        <v>10259506</v>
      </c>
      <c r="B248" s="67" t="s">
        <v>1285</v>
      </c>
      <c r="C248" s="67" t="s">
        <v>1685</v>
      </c>
      <c r="D248" s="67" t="s">
        <v>1665</v>
      </c>
      <c r="E248" s="67" t="s">
        <v>200</v>
      </c>
      <c r="F248" s="67" t="s">
        <v>485</v>
      </c>
      <c r="G248" s="67" t="s">
        <v>1661</v>
      </c>
      <c r="H248" s="66" t="s">
        <v>386</v>
      </c>
      <c r="I248" s="67" t="s">
        <v>1666</v>
      </c>
      <c r="J248" t="str">
        <f t="shared" si="6"/>
        <v>10259506 - Blanca Estela I Torre A y B-Depto.Técnico</v>
      </c>
      <c r="K248" t="str">
        <f t="shared" si="7"/>
        <v>Proyectos Inmobiliarios</v>
      </c>
    </row>
    <row r="249" spans="1:11" x14ac:dyDescent="0.25">
      <c r="A249" s="50">
        <v>309</v>
      </c>
      <c r="B249" s="51" t="s">
        <v>489</v>
      </c>
      <c r="C249" s="51" t="s">
        <v>1685</v>
      </c>
      <c r="D249" s="51" t="s">
        <v>65</v>
      </c>
      <c r="E249" s="51" t="s">
        <v>65</v>
      </c>
      <c r="F249" s="51" t="s">
        <v>489</v>
      </c>
      <c r="G249" s="51" t="s">
        <v>1663</v>
      </c>
      <c r="H249" s="50" t="s">
        <v>386</v>
      </c>
      <c r="I249" s="51" t="s">
        <v>1664</v>
      </c>
      <c r="J249" t="str">
        <f t="shared" si="6"/>
        <v>309 - Blanca Estela II Torre A y B</v>
      </c>
      <c r="K249" t="str">
        <f t="shared" si="7"/>
        <v>Obra</v>
      </c>
    </row>
    <row r="250" spans="1:11" x14ac:dyDescent="0.25">
      <c r="A250" s="50">
        <v>10260000</v>
      </c>
      <c r="B250" s="51" t="s">
        <v>489</v>
      </c>
      <c r="C250" s="51" t="s">
        <v>1685</v>
      </c>
      <c r="D250" s="51" t="s">
        <v>1665</v>
      </c>
      <c r="E250" s="51" t="s">
        <v>1585</v>
      </c>
      <c r="F250" s="51" t="s">
        <v>489</v>
      </c>
      <c r="G250" s="51" t="s">
        <v>1661</v>
      </c>
      <c r="H250" s="50" t="s">
        <v>386</v>
      </c>
      <c r="I250" s="51" t="s">
        <v>1666</v>
      </c>
      <c r="J250" t="str">
        <f t="shared" si="6"/>
        <v>10260000 - Blanca Estela II Torre A y B</v>
      </c>
      <c r="K250" t="str">
        <f t="shared" si="7"/>
        <v>Proyectos Inmobiliarios</v>
      </c>
    </row>
    <row r="251" spans="1:11" x14ac:dyDescent="0.25">
      <c r="A251" s="50">
        <v>10260102</v>
      </c>
      <c r="B251" s="51" t="s">
        <v>1286</v>
      </c>
      <c r="C251" s="51" t="s">
        <v>1685</v>
      </c>
      <c r="D251" s="51" t="s">
        <v>1665</v>
      </c>
      <c r="E251" s="51" t="s">
        <v>1617</v>
      </c>
      <c r="F251" s="51" t="s">
        <v>489</v>
      </c>
      <c r="G251" s="51" t="s">
        <v>1661</v>
      </c>
      <c r="H251" s="50" t="s">
        <v>386</v>
      </c>
      <c r="I251" s="51" t="s">
        <v>1666</v>
      </c>
      <c r="J251" t="str">
        <f t="shared" si="6"/>
        <v>10260102 - Blanca Estela II Torre A y B-Marketing</v>
      </c>
      <c r="K251" t="str">
        <f t="shared" si="7"/>
        <v>Proyectos Inmobiliarios</v>
      </c>
    </row>
    <row r="252" spans="1:11" x14ac:dyDescent="0.25">
      <c r="A252" s="50">
        <v>10260103</v>
      </c>
      <c r="B252" s="51" t="s">
        <v>1287</v>
      </c>
      <c r="C252" s="51" t="s">
        <v>1685</v>
      </c>
      <c r="D252" s="51" t="s">
        <v>1665</v>
      </c>
      <c r="E252" s="51" t="s">
        <v>1618</v>
      </c>
      <c r="F252" s="51" t="s">
        <v>489</v>
      </c>
      <c r="G252" s="51" t="s">
        <v>1661</v>
      </c>
      <c r="H252" s="50" t="s">
        <v>386</v>
      </c>
      <c r="I252" s="51" t="s">
        <v>1666</v>
      </c>
      <c r="J252" t="str">
        <f t="shared" si="6"/>
        <v>10260103 - Blanca Estela II Torre A y B-Operaciones</v>
      </c>
      <c r="K252" t="str">
        <f t="shared" si="7"/>
        <v>Proyectos Inmobiliarios</v>
      </c>
    </row>
    <row r="253" spans="1:11" x14ac:dyDescent="0.25">
      <c r="A253" s="50">
        <v>10260104</v>
      </c>
      <c r="B253" s="51" t="s">
        <v>1288</v>
      </c>
      <c r="C253" s="51" t="s">
        <v>1685</v>
      </c>
      <c r="D253" s="51" t="s">
        <v>1665</v>
      </c>
      <c r="E253" s="51" t="s">
        <v>90</v>
      </c>
      <c r="F253" s="51" t="s">
        <v>489</v>
      </c>
      <c r="G253" s="51" t="s">
        <v>1661</v>
      </c>
      <c r="H253" s="50" t="s">
        <v>386</v>
      </c>
      <c r="I253" s="51" t="s">
        <v>1666</v>
      </c>
      <c r="J253" t="str">
        <f t="shared" si="6"/>
        <v>10260104 - Blanca Estela II Torre A y B-Ventas</v>
      </c>
      <c r="K253" t="str">
        <f t="shared" si="7"/>
        <v>Proyectos Inmobiliarios</v>
      </c>
    </row>
    <row r="254" spans="1:11" x14ac:dyDescent="0.25">
      <c r="A254" s="50">
        <v>10260105</v>
      </c>
      <c r="B254" s="51" t="s">
        <v>1289</v>
      </c>
      <c r="C254" s="51" t="s">
        <v>1685</v>
      </c>
      <c r="D254" s="51" t="s">
        <v>1665</v>
      </c>
      <c r="E254" s="51" t="s">
        <v>1622</v>
      </c>
      <c r="F254" s="51" t="s">
        <v>489</v>
      </c>
      <c r="G254" s="51" t="s">
        <v>1661</v>
      </c>
      <c r="H254" s="50" t="s">
        <v>386</v>
      </c>
      <c r="I254" s="51" t="s">
        <v>1666</v>
      </c>
      <c r="J254" t="str">
        <f t="shared" si="6"/>
        <v>10260105 - Blanca Estela II Torre A y B-Clientes</v>
      </c>
      <c r="K254" t="str">
        <f t="shared" si="7"/>
        <v>Proyectos Inmobiliarios</v>
      </c>
    </row>
    <row r="255" spans="1:11" x14ac:dyDescent="0.25">
      <c r="A255" s="50">
        <v>10260204</v>
      </c>
      <c r="B255" s="51" t="s">
        <v>1290</v>
      </c>
      <c r="C255" s="51" t="s">
        <v>1685</v>
      </c>
      <c r="D255" s="51" t="s">
        <v>1665</v>
      </c>
      <c r="E255" s="51" t="s">
        <v>1624</v>
      </c>
      <c r="F255" s="51" t="s">
        <v>489</v>
      </c>
      <c r="G255" s="51" t="s">
        <v>1661</v>
      </c>
      <c r="H255" s="50" t="s">
        <v>386</v>
      </c>
      <c r="I255" s="51" t="s">
        <v>1666</v>
      </c>
      <c r="J255" t="str">
        <f t="shared" si="6"/>
        <v>10260204 - Blanca Estela II Torre A y B-Proyecto</v>
      </c>
      <c r="K255" t="str">
        <f t="shared" si="7"/>
        <v>Proyectos Inmobiliarios</v>
      </c>
    </row>
    <row r="256" spans="1:11" x14ac:dyDescent="0.25">
      <c r="A256" s="50">
        <v>10260301</v>
      </c>
      <c r="B256" s="51" t="s">
        <v>1291</v>
      </c>
      <c r="C256" s="51" t="s">
        <v>1685</v>
      </c>
      <c r="D256" s="51" t="s">
        <v>1665</v>
      </c>
      <c r="E256" s="51" t="s">
        <v>1643</v>
      </c>
      <c r="F256" s="51" t="s">
        <v>489</v>
      </c>
      <c r="G256" s="51" t="s">
        <v>1667</v>
      </c>
      <c r="H256" s="50" t="s">
        <v>386</v>
      </c>
      <c r="I256" s="51" t="s">
        <v>1666</v>
      </c>
      <c r="J256" t="str">
        <f t="shared" si="6"/>
        <v>10260301 - Blanca Estela II Torre A y B-GAF</v>
      </c>
      <c r="K256" t="str">
        <f t="shared" si="7"/>
        <v>Proyectos Inmobiliarios</v>
      </c>
    </row>
    <row r="257" spans="1:11" x14ac:dyDescent="0.25">
      <c r="A257" s="50">
        <v>10260505</v>
      </c>
      <c r="B257" s="51" t="s">
        <v>1292</v>
      </c>
      <c r="C257" s="51" t="s">
        <v>1685</v>
      </c>
      <c r="D257" s="51" t="s">
        <v>66</v>
      </c>
      <c r="E257" s="51" t="s">
        <v>328</v>
      </c>
      <c r="F257" s="51" t="s">
        <v>489</v>
      </c>
      <c r="G257" s="51" t="s">
        <v>1661</v>
      </c>
      <c r="H257" s="50" t="s">
        <v>386</v>
      </c>
      <c r="I257" s="51" t="s">
        <v>1666</v>
      </c>
      <c r="J257" t="str">
        <f t="shared" si="6"/>
        <v>10260505 - Blanca Estela II Torre A y B-PV Inmob.</v>
      </c>
      <c r="K257" t="str">
        <f t="shared" si="7"/>
        <v>Postventa</v>
      </c>
    </row>
    <row r="258" spans="1:11" x14ac:dyDescent="0.25">
      <c r="A258" s="50">
        <v>10260506</v>
      </c>
      <c r="B258" s="51" t="s">
        <v>1293</v>
      </c>
      <c r="C258" s="51" t="s">
        <v>1685</v>
      </c>
      <c r="D258" s="51" t="s">
        <v>1665</v>
      </c>
      <c r="E258" s="51" t="s">
        <v>200</v>
      </c>
      <c r="F258" s="51" t="s">
        <v>489</v>
      </c>
      <c r="G258" s="51" t="s">
        <v>1661</v>
      </c>
      <c r="H258" s="50" t="s">
        <v>386</v>
      </c>
      <c r="I258" s="51" t="s">
        <v>1666</v>
      </c>
      <c r="J258" t="str">
        <f t="shared" si="6"/>
        <v>10260506 - Blanca Estela II Torre A y B-Depto.Técnico</v>
      </c>
      <c r="K258" t="str">
        <f t="shared" si="7"/>
        <v>Proyectos Inmobiliarios</v>
      </c>
    </row>
    <row r="259" spans="1:11" x14ac:dyDescent="0.25">
      <c r="A259" s="50">
        <v>8309</v>
      </c>
      <c r="B259" s="51" t="s">
        <v>1793</v>
      </c>
      <c r="C259" s="51" t="s">
        <v>1685</v>
      </c>
      <c r="D259" s="51" t="s">
        <v>1686</v>
      </c>
      <c r="E259" s="51" t="s">
        <v>1501</v>
      </c>
      <c r="F259" s="51" t="s">
        <v>489</v>
      </c>
      <c r="G259" s="51" t="s">
        <v>1661</v>
      </c>
      <c r="H259" s="50" t="s">
        <v>1672</v>
      </c>
      <c r="I259" s="51" t="s">
        <v>1666</v>
      </c>
      <c r="J259" t="str">
        <f t="shared" si="6"/>
        <v>8309 - Entrega Blanca Estela II Torre A y B</v>
      </c>
      <c r="K259" t="str">
        <f t="shared" si="7"/>
        <v>Entrega</v>
      </c>
    </row>
    <row r="260" spans="1:11" x14ac:dyDescent="0.25">
      <c r="A260" s="50">
        <v>9309</v>
      </c>
      <c r="B260" s="51" t="s">
        <v>1794</v>
      </c>
      <c r="C260" s="51" t="s">
        <v>1685</v>
      </c>
      <c r="D260" s="51" t="s">
        <v>66</v>
      </c>
      <c r="E260" s="51" t="s">
        <v>328</v>
      </c>
      <c r="F260" s="51" t="s">
        <v>489</v>
      </c>
      <c r="G260" s="51" t="s">
        <v>1661</v>
      </c>
      <c r="H260" s="50" t="s">
        <v>1672</v>
      </c>
      <c r="I260" s="51" t="s">
        <v>1666</v>
      </c>
      <c r="J260" t="str">
        <f t="shared" ref="J260:J323" si="10">+A260&amp;" - "&amp;B260</f>
        <v>9309 - PV Blanca Estela II Torre A y B</v>
      </c>
      <c r="K260" t="str">
        <f t="shared" ref="K260:K323" si="11">+D260</f>
        <v>Postventa</v>
      </c>
    </row>
    <row r="261" spans="1:11" x14ac:dyDescent="0.25">
      <c r="A261" s="43">
        <v>50001</v>
      </c>
      <c r="B261" t="s">
        <v>217</v>
      </c>
      <c r="C261" t="s">
        <v>67</v>
      </c>
      <c r="D261" t="s">
        <v>67</v>
      </c>
      <c r="E261" t="s">
        <v>1529</v>
      </c>
      <c r="F261" t="s">
        <v>217</v>
      </c>
      <c r="G261" t="s">
        <v>1663</v>
      </c>
      <c r="H261" s="43" t="s">
        <v>386</v>
      </c>
      <c r="I261" t="s">
        <v>1668</v>
      </c>
      <c r="J261" t="str">
        <f t="shared" si="10"/>
        <v>50001 - Bodega Central y Maquinaria</v>
      </c>
      <c r="K261" t="str">
        <f t="shared" si="11"/>
        <v>Bodega</v>
      </c>
    </row>
    <row r="262" spans="1:11" x14ac:dyDescent="0.25">
      <c r="A262" s="43">
        <v>50002</v>
      </c>
      <c r="B262" t="s">
        <v>226</v>
      </c>
      <c r="C262" t="s">
        <v>67</v>
      </c>
      <c r="D262" t="s">
        <v>67</v>
      </c>
      <c r="E262" t="s">
        <v>1529</v>
      </c>
      <c r="F262" t="s">
        <v>217</v>
      </c>
      <c r="G262" t="s">
        <v>1663</v>
      </c>
      <c r="H262" s="43" t="s">
        <v>1672</v>
      </c>
      <c r="I262" t="s">
        <v>1668</v>
      </c>
      <c r="J262" t="str">
        <f t="shared" si="10"/>
        <v>50002 - Bodega Central Importaciones</v>
      </c>
      <c r="K262" t="str">
        <f t="shared" si="11"/>
        <v>Bodega</v>
      </c>
    </row>
    <row r="263" spans="1:11" x14ac:dyDescent="0.25">
      <c r="A263" s="43">
        <v>1039301</v>
      </c>
      <c r="B263" t="s">
        <v>1795</v>
      </c>
      <c r="C263" t="s">
        <v>1500</v>
      </c>
      <c r="D263" t="s">
        <v>1578</v>
      </c>
      <c r="E263" t="s">
        <v>1578</v>
      </c>
      <c r="F263" t="s">
        <v>1796</v>
      </c>
      <c r="G263" t="s">
        <v>1661</v>
      </c>
      <c r="H263" s="43" t="s">
        <v>1672</v>
      </c>
      <c r="I263" t="s">
        <v>1662</v>
      </c>
      <c r="J263" t="str">
        <f t="shared" si="10"/>
        <v>1039301 - Bodegajes Terrenos BCI-GAF</v>
      </c>
      <c r="K263" t="str">
        <f t="shared" si="11"/>
        <v>Terreno</v>
      </c>
    </row>
    <row r="264" spans="1:11" x14ac:dyDescent="0.25">
      <c r="A264" s="54">
        <v>999999999</v>
      </c>
      <c r="B264" s="55" t="s">
        <v>1684</v>
      </c>
      <c r="C264" s="55"/>
      <c r="D264" s="55" t="s">
        <v>1578</v>
      </c>
      <c r="E264" s="55" t="s">
        <v>1578</v>
      </c>
      <c r="F264" s="55" t="s">
        <v>1797</v>
      </c>
      <c r="G264" s="55" t="s">
        <v>1661</v>
      </c>
      <c r="H264" s="54" t="s">
        <v>1672</v>
      </c>
      <c r="I264" s="55" t="s">
        <v>1662</v>
      </c>
      <c r="J264" t="str">
        <f t="shared" si="10"/>
        <v>999999999 - Terreno Abuelo Proyectos sin Terreno</v>
      </c>
      <c r="K264" t="str">
        <f t="shared" si="11"/>
        <v>Terreno</v>
      </c>
    </row>
    <row r="265" spans="1:11" x14ac:dyDescent="0.25">
      <c r="A265" s="54">
        <v>49</v>
      </c>
      <c r="B265" s="55" t="s">
        <v>1798</v>
      </c>
      <c r="C265" s="55" t="s">
        <v>1685</v>
      </c>
      <c r="D265" s="55" t="s">
        <v>65</v>
      </c>
      <c r="E265" s="55" t="s">
        <v>65</v>
      </c>
      <c r="F265" s="55" t="s">
        <v>1797</v>
      </c>
      <c r="G265" s="55" t="s">
        <v>1663</v>
      </c>
      <c r="H265" s="54" t="s">
        <v>1672</v>
      </c>
      <c r="I265" s="55" t="s">
        <v>1664</v>
      </c>
      <c r="J265" t="str">
        <f t="shared" si="10"/>
        <v>49 - Boulevard Barrio Bosque Ingles</v>
      </c>
      <c r="K265" t="str">
        <f t="shared" si="11"/>
        <v>Obra</v>
      </c>
    </row>
    <row r="266" spans="1:11" x14ac:dyDescent="0.25">
      <c r="A266" s="54">
        <v>10022000</v>
      </c>
      <c r="B266" s="55" t="s">
        <v>1799</v>
      </c>
      <c r="C266" s="55" t="s">
        <v>1685</v>
      </c>
      <c r="D266" s="55" t="s">
        <v>1665</v>
      </c>
      <c r="E266" s="55" t="s">
        <v>1585</v>
      </c>
      <c r="F266" s="55" t="s">
        <v>1797</v>
      </c>
      <c r="G266" s="55" t="s">
        <v>1661</v>
      </c>
      <c r="H266" s="54" t="s">
        <v>1672</v>
      </c>
      <c r="I266" s="55" t="s">
        <v>1666</v>
      </c>
      <c r="J266" t="str">
        <f t="shared" si="10"/>
        <v>10022000 - Boulevard Barrio Bosque Inglés-Rentas</v>
      </c>
      <c r="K266" t="str">
        <f t="shared" si="11"/>
        <v>Proyectos Inmobiliarios</v>
      </c>
    </row>
    <row r="267" spans="1:11" x14ac:dyDescent="0.25">
      <c r="A267" s="54">
        <v>10022102</v>
      </c>
      <c r="B267" s="55" t="s">
        <v>1800</v>
      </c>
      <c r="C267" s="55" t="s">
        <v>1685</v>
      </c>
      <c r="D267" s="55" t="s">
        <v>1665</v>
      </c>
      <c r="E267" s="55" t="s">
        <v>1617</v>
      </c>
      <c r="F267" s="55" t="s">
        <v>1797</v>
      </c>
      <c r="G267" s="55" t="s">
        <v>1661</v>
      </c>
      <c r="H267" s="54" t="s">
        <v>1672</v>
      </c>
      <c r="I267" s="55" t="s">
        <v>1666</v>
      </c>
      <c r="J267" t="str">
        <f t="shared" si="10"/>
        <v>10022102 - Boulevard Barrio Bosque Inglés-Marketing</v>
      </c>
      <c r="K267" t="str">
        <f t="shared" si="11"/>
        <v>Proyectos Inmobiliarios</v>
      </c>
    </row>
    <row r="268" spans="1:11" x14ac:dyDescent="0.25">
      <c r="A268" s="54">
        <v>10022103</v>
      </c>
      <c r="B268" s="55" t="s">
        <v>1801</v>
      </c>
      <c r="C268" s="55" t="s">
        <v>1685</v>
      </c>
      <c r="D268" s="55" t="s">
        <v>1665</v>
      </c>
      <c r="E268" s="55" t="s">
        <v>1618</v>
      </c>
      <c r="F268" s="55" t="s">
        <v>1797</v>
      </c>
      <c r="G268" s="55" t="s">
        <v>1661</v>
      </c>
      <c r="H268" s="54" t="s">
        <v>1672</v>
      </c>
      <c r="I268" s="55" t="s">
        <v>1666</v>
      </c>
      <c r="J268" t="str">
        <f t="shared" si="10"/>
        <v>10022103 - Boulevard Barrio Bosque Inglés-Operaciones</v>
      </c>
      <c r="K268" t="str">
        <f t="shared" si="11"/>
        <v>Proyectos Inmobiliarios</v>
      </c>
    </row>
    <row r="269" spans="1:11" x14ac:dyDescent="0.25">
      <c r="A269" s="54">
        <v>10022104</v>
      </c>
      <c r="B269" s="55" t="s">
        <v>1802</v>
      </c>
      <c r="C269" s="55" t="s">
        <v>1685</v>
      </c>
      <c r="D269" s="55" t="s">
        <v>1665</v>
      </c>
      <c r="E269" s="55" t="s">
        <v>90</v>
      </c>
      <c r="F269" s="55" t="s">
        <v>1797</v>
      </c>
      <c r="G269" s="55" t="s">
        <v>1661</v>
      </c>
      <c r="H269" s="54" t="s">
        <v>1672</v>
      </c>
      <c r="I269" s="55" t="s">
        <v>1666</v>
      </c>
      <c r="J269" t="str">
        <f t="shared" si="10"/>
        <v>10022104 - Boulevard Barrio Bosque Inglés-Ventas</v>
      </c>
      <c r="K269" t="str">
        <f t="shared" si="11"/>
        <v>Proyectos Inmobiliarios</v>
      </c>
    </row>
    <row r="270" spans="1:11" x14ac:dyDescent="0.25">
      <c r="A270" s="54">
        <v>10022105</v>
      </c>
      <c r="B270" s="55" t="s">
        <v>1803</v>
      </c>
      <c r="C270" s="55" t="s">
        <v>1685</v>
      </c>
      <c r="D270" s="55" t="s">
        <v>1665</v>
      </c>
      <c r="E270" s="55" t="s">
        <v>1622</v>
      </c>
      <c r="F270" s="55" t="s">
        <v>1797</v>
      </c>
      <c r="G270" s="55" t="s">
        <v>1661</v>
      </c>
      <c r="H270" s="54" t="s">
        <v>1672</v>
      </c>
      <c r="I270" s="55" t="s">
        <v>1666</v>
      </c>
      <c r="J270" t="str">
        <f t="shared" si="10"/>
        <v>10022105 - Boulevard Barrio Bosque Inglés-Clientes</v>
      </c>
      <c r="K270" t="str">
        <f t="shared" si="11"/>
        <v>Proyectos Inmobiliarios</v>
      </c>
    </row>
    <row r="271" spans="1:11" x14ac:dyDescent="0.25">
      <c r="A271" s="54">
        <v>10022205</v>
      </c>
      <c r="B271" s="55" t="s">
        <v>1804</v>
      </c>
      <c r="C271" s="55" t="s">
        <v>1685</v>
      </c>
      <c r="D271" s="55" t="s">
        <v>1665</v>
      </c>
      <c r="E271" s="55" t="s">
        <v>1624</v>
      </c>
      <c r="F271" s="55" t="s">
        <v>1797</v>
      </c>
      <c r="G271" s="55" t="s">
        <v>1661</v>
      </c>
      <c r="H271" s="54" t="s">
        <v>1672</v>
      </c>
      <c r="I271" s="55" t="s">
        <v>1666</v>
      </c>
      <c r="J271" t="str">
        <f t="shared" si="10"/>
        <v>10022205 - Boulevard Barrio Bosque Inglés-Proyecto</v>
      </c>
      <c r="K271" t="str">
        <f t="shared" si="11"/>
        <v>Proyectos Inmobiliarios</v>
      </c>
    </row>
    <row r="272" spans="1:11" x14ac:dyDescent="0.25">
      <c r="A272" s="54">
        <v>10022301</v>
      </c>
      <c r="B272" s="55" t="s">
        <v>1805</v>
      </c>
      <c r="C272" s="55" t="s">
        <v>1685</v>
      </c>
      <c r="D272" s="55" t="s">
        <v>1665</v>
      </c>
      <c r="E272" s="55" t="s">
        <v>1643</v>
      </c>
      <c r="F272" s="55" t="s">
        <v>1797</v>
      </c>
      <c r="G272" s="55" t="s">
        <v>1667</v>
      </c>
      <c r="H272" s="54" t="s">
        <v>1672</v>
      </c>
      <c r="I272" s="55" t="s">
        <v>1666</v>
      </c>
      <c r="J272" t="str">
        <f t="shared" si="10"/>
        <v>10022301 - Boulevard Barrio Bosque Inglés-GAF</v>
      </c>
      <c r="K272" t="str">
        <f t="shared" si="11"/>
        <v>Proyectos Inmobiliarios</v>
      </c>
    </row>
    <row r="273" spans="1:11" x14ac:dyDescent="0.25">
      <c r="A273" s="54">
        <v>10022506</v>
      </c>
      <c r="B273" s="55" t="s">
        <v>1806</v>
      </c>
      <c r="C273" s="55" t="s">
        <v>1685</v>
      </c>
      <c r="D273" s="55" t="s">
        <v>1665</v>
      </c>
      <c r="E273" s="55" t="s">
        <v>200</v>
      </c>
      <c r="F273" s="55" t="s">
        <v>1797</v>
      </c>
      <c r="G273" s="55" t="s">
        <v>1661</v>
      </c>
      <c r="H273" s="54" t="s">
        <v>1672</v>
      </c>
      <c r="I273" s="55" t="s">
        <v>1666</v>
      </c>
      <c r="J273" t="str">
        <f t="shared" si="10"/>
        <v>10022506 - Boulevard Barrio Bosque Inglés-Depto.Técnico</v>
      </c>
      <c r="K273" t="str">
        <f t="shared" si="11"/>
        <v>Proyectos Inmobiliarios</v>
      </c>
    </row>
    <row r="274" spans="1:11" x14ac:dyDescent="0.25">
      <c r="A274" s="54">
        <v>9049</v>
      </c>
      <c r="B274" s="55" t="s">
        <v>595</v>
      </c>
      <c r="C274" s="55" t="s">
        <v>1685</v>
      </c>
      <c r="D274" s="55" t="s">
        <v>66</v>
      </c>
      <c r="E274" s="55" t="s">
        <v>328</v>
      </c>
      <c r="F274" s="55" t="s">
        <v>1797</v>
      </c>
      <c r="G274" s="55" t="s">
        <v>1661</v>
      </c>
      <c r="H274" s="54" t="s">
        <v>386</v>
      </c>
      <c r="I274" s="55" t="s">
        <v>1666</v>
      </c>
      <c r="J274" t="str">
        <f t="shared" si="10"/>
        <v>9049 - PV Boulevard BBI</v>
      </c>
      <c r="K274" t="str">
        <f t="shared" si="11"/>
        <v>Postventa</v>
      </c>
    </row>
    <row r="275" spans="1:11" x14ac:dyDescent="0.25">
      <c r="A275" s="58">
        <v>999999999</v>
      </c>
      <c r="B275" s="59" t="s">
        <v>1684</v>
      </c>
      <c r="C275" s="59"/>
      <c r="D275" s="59" t="s">
        <v>1578</v>
      </c>
      <c r="E275" s="59" t="s">
        <v>1578</v>
      </c>
      <c r="F275" s="59" t="s">
        <v>1807</v>
      </c>
      <c r="G275" s="59" t="s">
        <v>1661</v>
      </c>
      <c r="H275" s="58" t="s">
        <v>1672</v>
      </c>
      <c r="I275" s="59" t="s">
        <v>1662</v>
      </c>
      <c r="J275" t="str">
        <f t="shared" si="10"/>
        <v>999999999 - Terreno Abuelo Proyectos sin Terreno</v>
      </c>
      <c r="K275" t="str">
        <f t="shared" si="11"/>
        <v>Terreno</v>
      </c>
    </row>
    <row r="276" spans="1:11" x14ac:dyDescent="0.25">
      <c r="A276" s="58">
        <v>999</v>
      </c>
      <c r="B276" s="59" t="s">
        <v>1808</v>
      </c>
      <c r="C276" s="59"/>
      <c r="D276" s="59" t="s">
        <v>65</v>
      </c>
      <c r="E276" s="59" t="s">
        <v>65</v>
      </c>
      <c r="F276" s="59" t="s">
        <v>1807</v>
      </c>
      <c r="G276" s="59" t="s">
        <v>1663</v>
      </c>
      <c r="H276" s="58" t="s">
        <v>1672</v>
      </c>
      <c r="I276" s="59" t="s">
        <v>1664</v>
      </c>
      <c r="J276" t="str">
        <f t="shared" si="10"/>
        <v>999 - Obra Padre Proyectos sin Obra</v>
      </c>
      <c r="K276" t="str">
        <f t="shared" si="11"/>
        <v>Obra</v>
      </c>
    </row>
    <row r="277" spans="1:11" x14ac:dyDescent="0.25">
      <c r="A277" s="58">
        <v>10118102</v>
      </c>
      <c r="B277" s="59" t="s">
        <v>1809</v>
      </c>
      <c r="C277" s="59" t="s">
        <v>1670</v>
      </c>
      <c r="D277" s="59" t="s">
        <v>1665</v>
      </c>
      <c r="E277" s="59" t="s">
        <v>1617</v>
      </c>
      <c r="F277" s="59" t="s">
        <v>1807</v>
      </c>
      <c r="G277" s="59" t="s">
        <v>1661</v>
      </c>
      <c r="H277" s="58" t="s">
        <v>1672</v>
      </c>
      <c r="I277" s="59" t="s">
        <v>1666</v>
      </c>
      <c r="J277" t="str">
        <f t="shared" si="10"/>
        <v>10118102 - Boulevard Carmen 233-Marketing</v>
      </c>
      <c r="K277" t="str">
        <f t="shared" si="11"/>
        <v>Proyectos Inmobiliarios</v>
      </c>
    </row>
    <row r="278" spans="1:11" x14ac:dyDescent="0.25">
      <c r="A278" s="58">
        <v>10118103</v>
      </c>
      <c r="B278" s="59" t="s">
        <v>1810</v>
      </c>
      <c r="C278" s="59" t="s">
        <v>1670</v>
      </c>
      <c r="D278" s="59" t="s">
        <v>1665</v>
      </c>
      <c r="E278" s="59" t="s">
        <v>1618</v>
      </c>
      <c r="F278" s="59" t="s">
        <v>1807</v>
      </c>
      <c r="G278" s="59" t="s">
        <v>1661</v>
      </c>
      <c r="H278" s="58" t="s">
        <v>1672</v>
      </c>
      <c r="I278" s="59" t="s">
        <v>1666</v>
      </c>
      <c r="J278" t="str">
        <f t="shared" si="10"/>
        <v>10118103 - Boulevard Carmen 233-Operaciones</v>
      </c>
      <c r="K278" t="str">
        <f t="shared" si="11"/>
        <v>Proyectos Inmobiliarios</v>
      </c>
    </row>
    <row r="279" spans="1:11" x14ac:dyDescent="0.25">
      <c r="A279" s="58">
        <v>10118104</v>
      </c>
      <c r="B279" s="59" t="s">
        <v>1811</v>
      </c>
      <c r="C279" s="59" t="s">
        <v>1670</v>
      </c>
      <c r="D279" s="59" t="s">
        <v>1665</v>
      </c>
      <c r="E279" s="59" t="s">
        <v>90</v>
      </c>
      <c r="F279" s="59" t="s">
        <v>1807</v>
      </c>
      <c r="G279" s="59" t="s">
        <v>1661</v>
      </c>
      <c r="H279" s="58" t="s">
        <v>1672</v>
      </c>
      <c r="I279" s="59" t="s">
        <v>1666</v>
      </c>
      <c r="J279" t="str">
        <f t="shared" si="10"/>
        <v>10118104 - Boulevard Carmen 233-Ventas</v>
      </c>
      <c r="K279" t="str">
        <f t="shared" si="11"/>
        <v>Proyectos Inmobiliarios</v>
      </c>
    </row>
    <row r="280" spans="1:11" x14ac:dyDescent="0.25">
      <c r="A280" s="58">
        <v>10118105</v>
      </c>
      <c r="B280" s="59" t="s">
        <v>1812</v>
      </c>
      <c r="C280" s="59" t="s">
        <v>1670</v>
      </c>
      <c r="D280" s="59" t="s">
        <v>1665</v>
      </c>
      <c r="E280" s="59" t="s">
        <v>1622</v>
      </c>
      <c r="F280" s="59" t="s">
        <v>1807</v>
      </c>
      <c r="G280" s="59" t="s">
        <v>1661</v>
      </c>
      <c r="H280" s="58" t="s">
        <v>1672</v>
      </c>
      <c r="I280" s="59" t="s">
        <v>1666</v>
      </c>
      <c r="J280" t="str">
        <f t="shared" si="10"/>
        <v>10118105 - Boulevard Carmen 233-Clientes</v>
      </c>
      <c r="K280" t="str">
        <f t="shared" si="11"/>
        <v>Proyectos Inmobiliarios</v>
      </c>
    </row>
    <row r="281" spans="1:11" x14ac:dyDescent="0.25">
      <c r="A281" s="58">
        <v>10118204</v>
      </c>
      <c r="B281" s="59" t="s">
        <v>1813</v>
      </c>
      <c r="C281" s="59" t="s">
        <v>1670</v>
      </c>
      <c r="D281" s="59" t="s">
        <v>1665</v>
      </c>
      <c r="E281" s="59" t="s">
        <v>1624</v>
      </c>
      <c r="F281" s="59" t="s">
        <v>1807</v>
      </c>
      <c r="G281" s="59" t="s">
        <v>1661</v>
      </c>
      <c r="H281" s="58" t="s">
        <v>1672</v>
      </c>
      <c r="I281" s="59" t="s">
        <v>1666</v>
      </c>
      <c r="J281" t="str">
        <f t="shared" si="10"/>
        <v>10118204 - Boulevard Carmen 233-Proyecto</v>
      </c>
      <c r="K281" t="str">
        <f t="shared" si="11"/>
        <v>Proyectos Inmobiliarios</v>
      </c>
    </row>
    <row r="282" spans="1:11" x14ac:dyDescent="0.25">
      <c r="A282" s="58">
        <v>10118301</v>
      </c>
      <c r="B282" s="59" t="s">
        <v>1814</v>
      </c>
      <c r="C282" s="59" t="s">
        <v>1670</v>
      </c>
      <c r="D282" s="59" t="s">
        <v>1665</v>
      </c>
      <c r="E282" s="59" t="s">
        <v>1643</v>
      </c>
      <c r="F282" s="59" t="s">
        <v>1807</v>
      </c>
      <c r="G282" s="59" t="s">
        <v>1667</v>
      </c>
      <c r="H282" s="58" t="s">
        <v>1672</v>
      </c>
      <c r="I282" s="59" t="s">
        <v>1666</v>
      </c>
      <c r="J282" t="str">
        <f t="shared" si="10"/>
        <v>10118301 - Boulevard Carmen 233-GAF</v>
      </c>
      <c r="K282" t="str">
        <f t="shared" si="11"/>
        <v>Proyectos Inmobiliarios</v>
      </c>
    </row>
    <row r="283" spans="1:11" x14ac:dyDescent="0.25">
      <c r="A283" s="58">
        <v>10118506</v>
      </c>
      <c r="B283" s="59" t="s">
        <v>1815</v>
      </c>
      <c r="C283" s="59" t="s">
        <v>1670</v>
      </c>
      <c r="D283" s="59" t="s">
        <v>1665</v>
      </c>
      <c r="E283" s="59" t="s">
        <v>200</v>
      </c>
      <c r="F283" s="59" t="s">
        <v>1807</v>
      </c>
      <c r="G283" s="59" t="s">
        <v>1661</v>
      </c>
      <c r="H283" s="58" t="s">
        <v>1672</v>
      </c>
      <c r="I283" s="59" t="s">
        <v>1666</v>
      </c>
      <c r="J283" t="str">
        <f t="shared" si="10"/>
        <v>10118506 - Boulevard Carmen 233-Depto.Técnico</v>
      </c>
      <c r="K283" t="str">
        <f t="shared" si="11"/>
        <v>Proyectos Inmobiliarios</v>
      </c>
    </row>
    <row r="284" spans="1:11" x14ac:dyDescent="0.25">
      <c r="A284" s="54">
        <v>999999999</v>
      </c>
      <c r="B284" s="55" t="s">
        <v>1684</v>
      </c>
      <c r="C284" s="55"/>
      <c r="D284" s="55" t="s">
        <v>1578</v>
      </c>
      <c r="E284" s="55" t="s">
        <v>1578</v>
      </c>
      <c r="F284" s="55" t="s">
        <v>1816</v>
      </c>
      <c r="G284" s="55" t="s">
        <v>1661</v>
      </c>
      <c r="H284" s="54" t="s">
        <v>1672</v>
      </c>
      <c r="I284" s="55" t="s">
        <v>1662</v>
      </c>
      <c r="J284" t="str">
        <f t="shared" si="10"/>
        <v>999999999 - Terreno Abuelo Proyectos sin Terreno</v>
      </c>
      <c r="K284" t="str">
        <f t="shared" si="11"/>
        <v>Terreno</v>
      </c>
    </row>
    <row r="285" spans="1:11" x14ac:dyDescent="0.25">
      <c r="A285" s="54">
        <v>999</v>
      </c>
      <c r="B285" s="55" t="s">
        <v>1808</v>
      </c>
      <c r="C285" s="55"/>
      <c r="D285" s="55" t="s">
        <v>65</v>
      </c>
      <c r="E285" s="55" t="s">
        <v>65</v>
      </c>
      <c r="F285" s="55" t="s">
        <v>1816</v>
      </c>
      <c r="G285" s="55" t="s">
        <v>1663</v>
      </c>
      <c r="H285" s="54" t="s">
        <v>1672</v>
      </c>
      <c r="I285" s="55" t="s">
        <v>1664</v>
      </c>
      <c r="J285" t="str">
        <f t="shared" si="10"/>
        <v>999 - Obra Padre Proyectos sin Obra</v>
      </c>
      <c r="K285" t="str">
        <f t="shared" si="11"/>
        <v>Obra</v>
      </c>
    </row>
    <row r="286" spans="1:11" x14ac:dyDescent="0.25">
      <c r="A286" s="54">
        <v>10033000</v>
      </c>
      <c r="B286" s="55" t="s">
        <v>1817</v>
      </c>
      <c r="C286" s="55" t="s">
        <v>1670</v>
      </c>
      <c r="D286" s="55" t="s">
        <v>1665</v>
      </c>
      <c r="E286" s="55" t="s">
        <v>1585</v>
      </c>
      <c r="F286" s="55" t="s">
        <v>1816</v>
      </c>
      <c r="G286" s="55" t="s">
        <v>1661</v>
      </c>
      <c r="H286" s="54" t="s">
        <v>1672</v>
      </c>
      <c r="I286" s="55" t="s">
        <v>1666</v>
      </c>
      <c r="J286" t="str">
        <f t="shared" si="10"/>
        <v>10033000 - Boulevard Colón-Rentas</v>
      </c>
      <c r="K286" t="str">
        <f t="shared" si="11"/>
        <v>Proyectos Inmobiliarios</v>
      </c>
    </row>
    <row r="287" spans="1:11" x14ac:dyDescent="0.25">
      <c r="A287" s="54">
        <v>10033102</v>
      </c>
      <c r="B287" s="55" t="s">
        <v>1818</v>
      </c>
      <c r="C287" s="55" t="s">
        <v>1670</v>
      </c>
      <c r="D287" s="55" t="s">
        <v>1665</v>
      </c>
      <c r="E287" s="55" t="s">
        <v>1617</v>
      </c>
      <c r="F287" s="55" t="s">
        <v>1816</v>
      </c>
      <c r="G287" s="55" t="s">
        <v>1661</v>
      </c>
      <c r="H287" s="54" t="s">
        <v>1672</v>
      </c>
      <c r="I287" s="55" t="s">
        <v>1666</v>
      </c>
      <c r="J287" t="str">
        <f t="shared" si="10"/>
        <v>10033102 - Boulevard Colón-Marketing</v>
      </c>
      <c r="K287" t="str">
        <f t="shared" si="11"/>
        <v>Proyectos Inmobiliarios</v>
      </c>
    </row>
    <row r="288" spans="1:11" x14ac:dyDescent="0.25">
      <c r="A288" s="54">
        <v>10033103</v>
      </c>
      <c r="B288" s="55" t="s">
        <v>1819</v>
      </c>
      <c r="C288" s="55" t="s">
        <v>1670</v>
      </c>
      <c r="D288" s="55" t="s">
        <v>1665</v>
      </c>
      <c r="E288" s="55" t="s">
        <v>1618</v>
      </c>
      <c r="F288" s="55" t="s">
        <v>1816</v>
      </c>
      <c r="G288" s="55" t="s">
        <v>1661</v>
      </c>
      <c r="H288" s="54" t="s">
        <v>1672</v>
      </c>
      <c r="I288" s="55" t="s">
        <v>1666</v>
      </c>
      <c r="J288" t="str">
        <f t="shared" si="10"/>
        <v>10033103 - Boulevard Colón-Operaciones</v>
      </c>
      <c r="K288" t="str">
        <f t="shared" si="11"/>
        <v>Proyectos Inmobiliarios</v>
      </c>
    </row>
    <row r="289" spans="1:11" x14ac:dyDescent="0.25">
      <c r="A289" s="54">
        <v>10033104</v>
      </c>
      <c r="B289" s="55" t="s">
        <v>1820</v>
      </c>
      <c r="C289" s="55" t="s">
        <v>1670</v>
      </c>
      <c r="D289" s="55" t="s">
        <v>1665</v>
      </c>
      <c r="E289" s="55" t="s">
        <v>90</v>
      </c>
      <c r="F289" s="55" t="s">
        <v>1816</v>
      </c>
      <c r="G289" s="55" t="s">
        <v>1661</v>
      </c>
      <c r="H289" s="54" t="s">
        <v>1672</v>
      </c>
      <c r="I289" s="55" t="s">
        <v>1666</v>
      </c>
      <c r="J289" t="str">
        <f t="shared" si="10"/>
        <v>10033104 - Boulevard Colón-Ventas</v>
      </c>
      <c r="K289" t="str">
        <f t="shared" si="11"/>
        <v>Proyectos Inmobiliarios</v>
      </c>
    </row>
    <row r="290" spans="1:11" x14ac:dyDescent="0.25">
      <c r="A290" s="54">
        <v>10033105</v>
      </c>
      <c r="B290" s="55" t="s">
        <v>1821</v>
      </c>
      <c r="C290" s="55" t="s">
        <v>1670</v>
      </c>
      <c r="D290" s="55" t="s">
        <v>1665</v>
      </c>
      <c r="E290" s="55" t="s">
        <v>1622</v>
      </c>
      <c r="F290" s="55" t="s">
        <v>1816</v>
      </c>
      <c r="G290" s="55" t="s">
        <v>1661</v>
      </c>
      <c r="H290" s="54" t="s">
        <v>1672</v>
      </c>
      <c r="I290" s="55" t="s">
        <v>1666</v>
      </c>
      <c r="J290" t="str">
        <f t="shared" si="10"/>
        <v>10033105 - Boulevard Colón-Clientes</v>
      </c>
      <c r="K290" t="str">
        <f t="shared" si="11"/>
        <v>Proyectos Inmobiliarios</v>
      </c>
    </row>
    <row r="291" spans="1:11" x14ac:dyDescent="0.25">
      <c r="A291" s="54">
        <v>10033204</v>
      </c>
      <c r="B291" s="55" t="s">
        <v>1822</v>
      </c>
      <c r="C291" s="55" t="s">
        <v>1670</v>
      </c>
      <c r="D291" s="55" t="s">
        <v>1665</v>
      </c>
      <c r="E291" s="55" t="s">
        <v>1624</v>
      </c>
      <c r="F291" s="55" t="s">
        <v>1816</v>
      </c>
      <c r="G291" s="55" t="s">
        <v>1661</v>
      </c>
      <c r="H291" s="54" t="s">
        <v>1672</v>
      </c>
      <c r="I291" s="55" t="s">
        <v>1666</v>
      </c>
      <c r="J291" t="str">
        <f t="shared" si="10"/>
        <v>10033204 - Boulevard Colón-Proyecto</v>
      </c>
      <c r="K291" t="str">
        <f t="shared" si="11"/>
        <v>Proyectos Inmobiliarios</v>
      </c>
    </row>
    <row r="292" spans="1:11" x14ac:dyDescent="0.25">
      <c r="A292" s="54">
        <v>10033301</v>
      </c>
      <c r="B292" s="55" t="s">
        <v>1823</v>
      </c>
      <c r="C292" s="55" t="s">
        <v>1670</v>
      </c>
      <c r="D292" s="55" t="s">
        <v>1665</v>
      </c>
      <c r="E292" s="55" t="s">
        <v>1643</v>
      </c>
      <c r="F292" s="55" t="s">
        <v>1816</v>
      </c>
      <c r="G292" s="55" t="s">
        <v>1667</v>
      </c>
      <c r="H292" s="54" t="s">
        <v>1672</v>
      </c>
      <c r="I292" s="55" t="s">
        <v>1666</v>
      </c>
      <c r="J292" t="str">
        <f t="shared" si="10"/>
        <v>10033301 - Boulevard Colón-GAF</v>
      </c>
      <c r="K292" t="str">
        <f t="shared" si="11"/>
        <v>Proyectos Inmobiliarios</v>
      </c>
    </row>
    <row r="293" spans="1:11" x14ac:dyDescent="0.25">
      <c r="A293" s="54">
        <v>10033506</v>
      </c>
      <c r="B293" s="55" t="s">
        <v>1824</v>
      </c>
      <c r="C293" s="55" t="s">
        <v>1670</v>
      </c>
      <c r="D293" s="55" t="s">
        <v>1665</v>
      </c>
      <c r="E293" s="55" t="s">
        <v>200</v>
      </c>
      <c r="F293" s="55" t="s">
        <v>1816</v>
      </c>
      <c r="G293" s="55" t="s">
        <v>1661</v>
      </c>
      <c r="H293" s="54" t="s">
        <v>1672</v>
      </c>
      <c r="I293" s="55" t="s">
        <v>1666</v>
      </c>
      <c r="J293" t="str">
        <f t="shared" si="10"/>
        <v>10033506 - Boulevard Colón-Depto.Técnico</v>
      </c>
      <c r="K293" t="str">
        <f t="shared" si="11"/>
        <v>Proyectos Inmobiliarios</v>
      </c>
    </row>
    <row r="294" spans="1:11" x14ac:dyDescent="0.25">
      <c r="A294" s="50">
        <v>999999999</v>
      </c>
      <c r="B294" s="51" t="s">
        <v>1684</v>
      </c>
      <c r="C294" s="51"/>
      <c r="D294" s="51" t="s">
        <v>1578</v>
      </c>
      <c r="E294" s="51" t="s">
        <v>1578</v>
      </c>
      <c r="F294" s="51" t="s">
        <v>1825</v>
      </c>
      <c r="G294" s="51" t="s">
        <v>1661</v>
      </c>
      <c r="H294" s="50" t="s">
        <v>1672</v>
      </c>
      <c r="I294" s="51" t="s">
        <v>1662</v>
      </c>
      <c r="J294" t="str">
        <f t="shared" si="10"/>
        <v>999999999 - Terreno Abuelo Proyectos sin Terreno</v>
      </c>
      <c r="K294" t="str">
        <f t="shared" si="11"/>
        <v>Terreno</v>
      </c>
    </row>
    <row r="295" spans="1:11" x14ac:dyDescent="0.25">
      <c r="A295" s="50">
        <v>999</v>
      </c>
      <c r="B295" s="51" t="s">
        <v>1808</v>
      </c>
      <c r="C295" s="51"/>
      <c r="D295" s="51" t="s">
        <v>65</v>
      </c>
      <c r="E295" s="51" t="s">
        <v>65</v>
      </c>
      <c r="F295" s="51" t="s">
        <v>1825</v>
      </c>
      <c r="G295" s="51" t="s">
        <v>1663</v>
      </c>
      <c r="H295" s="50" t="s">
        <v>1672</v>
      </c>
      <c r="I295" s="51" t="s">
        <v>1664</v>
      </c>
      <c r="J295" t="str">
        <f t="shared" si="10"/>
        <v>999 - Obra Padre Proyectos sin Obra</v>
      </c>
      <c r="K295" t="str">
        <f t="shared" si="11"/>
        <v>Obra</v>
      </c>
    </row>
    <row r="296" spans="1:11" x14ac:dyDescent="0.25">
      <c r="A296" s="50">
        <v>10021000</v>
      </c>
      <c r="B296" s="51" t="s">
        <v>1826</v>
      </c>
      <c r="C296" s="51" t="s">
        <v>1660</v>
      </c>
      <c r="D296" s="51" t="s">
        <v>1665</v>
      </c>
      <c r="E296" s="51" t="s">
        <v>1585</v>
      </c>
      <c r="F296" s="51" t="s">
        <v>1825</v>
      </c>
      <c r="G296" s="51" t="s">
        <v>1661</v>
      </c>
      <c r="H296" s="50" t="s">
        <v>1672</v>
      </c>
      <c r="I296" s="51" t="s">
        <v>1666</v>
      </c>
      <c r="J296" t="str">
        <f t="shared" si="10"/>
        <v>10021000 - Boulevard Costa Sur-Rentas</v>
      </c>
      <c r="K296" t="str">
        <f t="shared" si="11"/>
        <v>Proyectos Inmobiliarios</v>
      </c>
    </row>
    <row r="297" spans="1:11" x14ac:dyDescent="0.25">
      <c r="A297" s="50">
        <v>10021102</v>
      </c>
      <c r="B297" s="51" t="s">
        <v>1827</v>
      </c>
      <c r="C297" s="51" t="s">
        <v>1660</v>
      </c>
      <c r="D297" s="51" t="s">
        <v>1665</v>
      </c>
      <c r="E297" s="51" t="s">
        <v>1617</v>
      </c>
      <c r="F297" s="51" t="s">
        <v>1825</v>
      </c>
      <c r="G297" s="51" t="s">
        <v>1661</v>
      </c>
      <c r="H297" s="50" t="s">
        <v>1672</v>
      </c>
      <c r="I297" s="51" t="s">
        <v>1666</v>
      </c>
      <c r="J297" t="str">
        <f t="shared" si="10"/>
        <v>10021102 - Boulevard Costa Sur-Marketing</v>
      </c>
      <c r="K297" t="str">
        <f t="shared" si="11"/>
        <v>Proyectos Inmobiliarios</v>
      </c>
    </row>
    <row r="298" spans="1:11" x14ac:dyDescent="0.25">
      <c r="A298" s="50">
        <v>10021103</v>
      </c>
      <c r="B298" s="51" t="s">
        <v>1828</v>
      </c>
      <c r="C298" s="51" t="s">
        <v>1660</v>
      </c>
      <c r="D298" s="51" t="s">
        <v>1665</v>
      </c>
      <c r="E298" s="51" t="s">
        <v>1618</v>
      </c>
      <c r="F298" s="51" t="s">
        <v>1825</v>
      </c>
      <c r="G298" s="51" t="s">
        <v>1661</v>
      </c>
      <c r="H298" s="50" t="s">
        <v>1672</v>
      </c>
      <c r="I298" s="51" t="s">
        <v>1666</v>
      </c>
      <c r="J298" t="str">
        <f t="shared" si="10"/>
        <v>10021103 - Boulevard Costa Sur-Operaciones</v>
      </c>
      <c r="K298" t="str">
        <f t="shared" si="11"/>
        <v>Proyectos Inmobiliarios</v>
      </c>
    </row>
    <row r="299" spans="1:11" x14ac:dyDescent="0.25">
      <c r="A299" s="50">
        <v>10021104</v>
      </c>
      <c r="B299" s="51" t="s">
        <v>1829</v>
      </c>
      <c r="C299" s="51" t="s">
        <v>1660</v>
      </c>
      <c r="D299" s="51" t="s">
        <v>1665</v>
      </c>
      <c r="E299" s="51" t="s">
        <v>90</v>
      </c>
      <c r="F299" s="51" t="s">
        <v>1825</v>
      </c>
      <c r="G299" s="51" t="s">
        <v>1661</v>
      </c>
      <c r="H299" s="50" t="s">
        <v>1672</v>
      </c>
      <c r="I299" s="51" t="s">
        <v>1666</v>
      </c>
      <c r="J299" t="str">
        <f t="shared" si="10"/>
        <v>10021104 - Boulevard Costa Sur-Ventas</v>
      </c>
      <c r="K299" t="str">
        <f t="shared" si="11"/>
        <v>Proyectos Inmobiliarios</v>
      </c>
    </row>
    <row r="300" spans="1:11" x14ac:dyDescent="0.25">
      <c r="A300" s="50">
        <v>10021105</v>
      </c>
      <c r="B300" s="51" t="s">
        <v>1830</v>
      </c>
      <c r="C300" s="51" t="s">
        <v>1660</v>
      </c>
      <c r="D300" s="51" t="s">
        <v>1665</v>
      </c>
      <c r="E300" s="51" t="s">
        <v>1622</v>
      </c>
      <c r="F300" s="51" t="s">
        <v>1825</v>
      </c>
      <c r="G300" s="51" t="s">
        <v>1661</v>
      </c>
      <c r="H300" s="50" t="s">
        <v>1672</v>
      </c>
      <c r="I300" s="51" t="s">
        <v>1666</v>
      </c>
      <c r="J300" t="str">
        <f t="shared" si="10"/>
        <v>10021105 - Boulevard Costa Sur-Clientes</v>
      </c>
      <c r="K300" t="str">
        <f t="shared" si="11"/>
        <v>Proyectos Inmobiliarios</v>
      </c>
    </row>
    <row r="301" spans="1:11" x14ac:dyDescent="0.25">
      <c r="A301" s="50">
        <v>10021203</v>
      </c>
      <c r="B301" s="51" t="s">
        <v>1831</v>
      </c>
      <c r="C301" s="51" t="s">
        <v>1660</v>
      </c>
      <c r="D301" s="51" t="s">
        <v>1665</v>
      </c>
      <c r="E301" s="51" t="s">
        <v>1624</v>
      </c>
      <c r="F301" s="51" t="s">
        <v>1825</v>
      </c>
      <c r="G301" s="51" t="s">
        <v>1661</v>
      </c>
      <c r="H301" s="50" t="s">
        <v>1672</v>
      </c>
      <c r="I301" s="51" t="s">
        <v>1666</v>
      </c>
      <c r="J301" t="str">
        <f t="shared" si="10"/>
        <v>10021203 - Boulevard Costa Sur-Proyecto</v>
      </c>
      <c r="K301" t="str">
        <f t="shared" si="11"/>
        <v>Proyectos Inmobiliarios</v>
      </c>
    </row>
    <row r="302" spans="1:11" x14ac:dyDescent="0.25">
      <c r="A302" s="50">
        <v>10021301</v>
      </c>
      <c r="B302" s="51" t="s">
        <v>1832</v>
      </c>
      <c r="C302" s="51" t="s">
        <v>1660</v>
      </c>
      <c r="D302" s="51" t="s">
        <v>1665</v>
      </c>
      <c r="E302" s="51" t="s">
        <v>1643</v>
      </c>
      <c r="F302" s="51" t="s">
        <v>1825</v>
      </c>
      <c r="G302" s="51" t="s">
        <v>1667</v>
      </c>
      <c r="H302" s="50" t="s">
        <v>1672</v>
      </c>
      <c r="I302" s="51" t="s">
        <v>1666</v>
      </c>
      <c r="J302" t="str">
        <f t="shared" si="10"/>
        <v>10021301 - Boulevard Costa Sur-GAF</v>
      </c>
      <c r="K302" t="str">
        <f t="shared" si="11"/>
        <v>Proyectos Inmobiliarios</v>
      </c>
    </row>
    <row r="303" spans="1:11" x14ac:dyDescent="0.25">
      <c r="A303" s="50">
        <v>10021506</v>
      </c>
      <c r="B303" s="51" t="s">
        <v>1833</v>
      </c>
      <c r="C303" s="51" t="s">
        <v>1660</v>
      </c>
      <c r="D303" s="51" t="s">
        <v>1665</v>
      </c>
      <c r="E303" s="51" t="s">
        <v>200</v>
      </c>
      <c r="F303" s="51" t="s">
        <v>1825</v>
      </c>
      <c r="G303" s="51" t="s">
        <v>1661</v>
      </c>
      <c r="H303" s="50" t="s">
        <v>1672</v>
      </c>
      <c r="I303" s="51" t="s">
        <v>1666</v>
      </c>
      <c r="J303" t="str">
        <f t="shared" si="10"/>
        <v>10021506 - Boulevard Costa Sur-Depto.Técnico</v>
      </c>
      <c r="K303" t="str">
        <f t="shared" si="11"/>
        <v>Proyectos Inmobiliarios</v>
      </c>
    </row>
    <row r="304" spans="1:11" x14ac:dyDescent="0.25">
      <c r="A304" s="56">
        <v>999999999</v>
      </c>
      <c r="B304" s="57" t="s">
        <v>1684</v>
      </c>
      <c r="C304" s="57"/>
      <c r="D304" s="57" t="s">
        <v>1578</v>
      </c>
      <c r="E304" s="57" t="s">
        <v>1578</v>
      </c>
      <c r="F304" s="57" t="s">
        <v>1834</v>
      </c>
      <c r="G304" s="57" t="s">
        <v>1661</v>
      </c>
      <c r="H304" s="56" t="s">
        <v>1672</v>
      </c>
      <c r="I304" s="57" t="s">
        <v>1662</v>
      </c>
      <c r="J304" t="str">
        <f t="shared" si="10"/>
        <v>999999999 - Terreno Abuelo Proyectos sin Terreno</v>
      </c>
      <c r="K304" t="str">
        <f t="shared" si="11"/>
        <v>Terreno</v>
      </c>
    </row>
    <row r="305" spans="1:11" x14ac:dyDescent="0.25">
      <c r="A305" s="56">
        <v>999</v>
      </c>
      <c r="B305" s="57" t="s">
        <v>1808</v>
      </c>
      <c r="C305" s="57"/>
      <c r="D305" s="57" t="s">
        <v>65</v>
      </c>
      <c r="E305" s="57" t="s">
        <v>65</v>
      </c>
      <c r="F305" s="57" t="s">
        <v>1834</v>
      </c>
      <c r="G305" s="57" t="s">
        <v>1663</v>
      </c>
      <c r="H305" s="56" t="s">
        <v>1672</v>
      </c>
      <c r="I305" s="57" t="s">
        <v>1664</v>
      </c>
      <c r="J305" t="str">
        <f t="shared" si="10"/>
        <v>999 - Obra Padre Proyectos sin Obra</v>
      </c>
      <c r="K305" t="str">
        <f t="shared" si="11"/>
        <v>Obra</v>
      </c>
    </row>
    <row r="306" spans="1:11" x14ac:dyDescent="0.25">
      <c r="A306" s="56">
        <v>10114000</v>
      </c>
      <c r="B306" s="57" t="s">
        <v>1835</v>
      </c>
      <c r="C306" s="57" t="s">
        <v>1836</v>
      </c>
      <c r="D306" s="57" t="s">
        <v>1665</v>
      </c>
      <c r="E306" s="57" t="s">
        <v>1585</v>
      </c>
      <c r="F306" s="57" t="s">
        <v>1834</v>
      </c>
      <c r="G306" s="57" t="s">
        <v>1661</v>
      </c>
      <c r="H306" s="56" t="s">
        <v>1672</v>
      </c>
      <c r="I306" s="57" t="s">
        <v>1666</v>
      </c>
      <c r="J306" t="str">
        <f t="shared" si="10"/>
        <v>10114000 - Boulevard Novo-Rentas</v>
      </c>
      <c r="K306" t="str">
        <f t="shared" si="11"/>
        <v>Proyectos Inmobiliarios</v>
      </c>
    </row>
    <row r="307" spans="1:11" x14ac:dyDescent="0.25">
      <c r="A307" s="56">
        <v>10114102</v>
      </c>
      <c r="B307" s="57" t="s">
        <v>1837</v>
      </c>
      <c r="C307" s="57" t="s">
        <v>1836</v>
      </c>
      <c r="D307" s="57" t="s">
        <v>1665</v>
      </c>
      <c r="E307" s="57" t="s">
        <v>1617</v>
      </c>
      <c r="F307" s="57" t="s">
        <v>1834</v>
      </c>
      <c r="G307" s="57" t="s">
        <v>1661</v>
      </c>
      <c r="H307" s="56" t="s">
        <v>1672</v>
      </c>
      <c r="I307" s="57" t="s">
        <v>1666</v>
      </c>
      <c r="J307" t="str">
        <f t="shared" si="10"/>
        <v>10114102 - Boulevard Novo-Marketing</v>
      </c>
      <c r="K307" t="str">
        <f t="shared" si="11"/>
        <v>Proyectos Inmobiliarios</v>
      </c>
    </row>
    <row r="308" spans="1:11" x14ac:dyDescent="0.25">
      <c r="A308" s="56">
        <v>10114103</v>
      </c>
      <c r="B308" s="57" t="s">
        <v>1838</v>
      </c>
      <c r="C308" s="57" t="s">
        <v>1836</v>
      </c>
      <c r="D308" s="57" t="s">
        <v>1665</v>
      </c>
      <c r="E308" s="57" t="s">
        <v>1618</v>
      </c>
      <c r="F308" s="57" t="s">
        <v>1834</v>
      </c>
      <c r="G308" s="57" t="s">
        <v>1661</v>
      </c>
      <c r="H308" s="56" t="s">
        <v>1672</v>
      </c>
      <c r="I308" s="57" t="s">
        <v>1666</v>
      </c>
      <c r="J308" t="str">
        <f t="shared" si="10"/>
        <v>10114103 - Boulevard Novo-Operaciones</v>
      </c>
      <c r="K308" t="str">
        <f t="shared" si="11"/>
        <v>Proyectos Inmobiliarios</v>
      </c>
    </row>
    <row r="309" spans="1:11" x14ac:dyDescent="0.25">
      <c r="A309" s="56">
        <v>10114104</v>
      </c>
      <c r="B309" s="57" t="s">
        <v>1839</v>
      </c>
      <c r="C309" s="57" t="s">
        <v>1836</v>
      </c>
      <c r="D309" s="57" t="s">
        <v>1665</v>
      </c>
      <c r="E309" s="57" t="s">
        <v>90</v>
      </c>
      <c r="F309" s="57" t="s">
        <v>1834</v>
      </c>
      <c r="G309" s="57" t="s">
        <v>1661</v>
      </c>
      <c r="H309" s="56" t="s">
        <v>1672</v>
      </c>
      <c r="I309" s="57" t="s">
        <v>1666</v>
      </c>
      <c r="J309" t="str">
        <f t="shared" si="10"/>
        <v>10114104 - Boulevard Novo-Ventas</v>
      </c>
      <c r="K309" t="str">
        <f t="shared" si="11"/>
        <v>Proyectos Inmobiliarios</v>
      </c>
    </row>
    <row r="310" spans="1:11" x14ac:dyDescent="0.25">
      <c r="A310" s="56">
        <v>10114105</v>
      </c>
      <c r="B310" s="57" t="s">
        <v>1840</v>
      </c>
      <c r="C310" s="57" t="s">
        <v>1836</v>
      </c>
      <c r="D310" s="57" t="s">
        <v>1665</v>
      </c>
      <c r="E310" s="57" t="s">
        <v>1622</v>
      </c>
      <c r="F310" s="57" t="s">
        <v>1834</v>
      </c>
      <c r="G310" s="57" t="s">
        <v>1661</v>
      </c>
      <c r="H310" s="56" t="s">
        <v>1672</v>
      </c>
      <c r="I310" s="57" t="s">
        <v>1666</v>
      </c>
      <c r="J310" t="str">
        <f t="shared" si="10"/>
        <v>10114105 - Boulevard Novo-Clientes</v>
      </c>
      <c r="K310" t="str">
        <f t="shared" si="11"/>
        <v>Proyectos Inmobiliarios</v>
      </c>
    </row>
    <row r="311" spans="1:11" x14ac:dyDescent="0.25">
      <c r="A311" s="56">
        <v>10114203</v>
      </c>
      <c r="B311" s="57" t="s">
        <v>1841</v>
      </c>
      <c r="C311" s="57" t="s">
        <v>1836</v>
      </c>
      <c r="D311" s="57" t="s">
        <v>1665</v>
      </c>
      <c r="E311" s="57" t="s">
        <v>1624</v>
      </c>
      <c r="F311" s="57" t="s">
        <v>1834</v>
      </c>
      <c r="G311" s="57" t="s">
        <v>1661</v>
      </c>
      <c r="H311" s="56" t="s">
        <v>1672</v>
      </c>
      <c r="I311" s="57" t="s">
        <v>1666</v>
      </c>
      <c r="J311" t="str">
        <f t="shared" si="10"/>
        <v>10114203 - Boulevard Novo-Proyecto</v>
      </c>
      <c r="K311" t="str">
        <f t="shared" si="11"/>
        <v>Proyectos Inmobiliarios</v>
      </c>
    </row>
    <row r="312" spans="1:11" x14ac:dyDescent="0.25">
      <c r="A312" s="56">
        <v>10114301</v>
      </c>
      <c r="B312" s="57" t="s">
        <v>1842</v>
      </c>
      <c r="C312" s="57" t="s">
        <v>1836</v>
      </c>
      <c r="D312" s="57" t="s">
        <v>1665</v>
      </c>
      <c r="E312" s="57" t="s">
        <v>1643</v>
      </c>
      <c r="F312" s="57" t="s">
        <v>1834</v>
      </c>
      <c r="G312" s="57" t="s">
        <v>1667</v>
      </c>
      <c r="H312" s="56" t="s">
        <v>1672</v>
      </c>
      <c r="I312" s="57" t="s">
        <v>1666</v>
      </c>
      <c r="J312" t="str">
        <f t="shared" si="10"/>
        <v>10114301 - Boulevard Novo-GAF</v>
      </c>
      <c r="K312" t="str">
        <f t="shared" si="11"/>
        <v>Proyectos Inmobiliarios</v>
      </c>
    </row>
    <row r="313" spans="1:11" x14ac:dyDescent="0.25">
      <c r="A313" s="56">
        <v>10114506</v>
      </c>
      <c r="B313" s="57" t="s">
        <v>1843</v>
      </c>
      <c r="C313" s="57" t="s">
        <v>1836</v>
      </c>
      <c r="D313" s="57" t="s">
        <v>1665</v>
      </c>
      <c r="E313" s="57" t="s">
        <v>200</v>
      </c>
      <c r="F313" s="57" t="s">
        <v>1834</v>
      </c>
      <c r="G313" s="57" t="s">
        <v>1661</v>
      </c>
      <c r="H313" s="56" t="s">
        <v>1672</v>
      </c>
      <c r="I313" s="57" t="s">
        <v>1666</v>
      </c>
      <c r="J313" t="str">
        <f t="shared" si="10"/>
        <v>10114506 - Boulevard Novo-Depto. Técnico</v>
      </c>
      <c r="K313" t="str">
        <f t="shared" si="11"/>
        <v>Proyectos Inmobiliarios</v>
      </c>
    </row>
    <row r="314" spans="1:11" x14ac:dyDescent="0.25">
      <c r="A314" s="58">
        <v>999999999</v>
      </c>
      <c r="B314" s="59" t="s">
        <v>1684</v>
      </c>
      <c r="C314" s="59"/>
      <c r="D314" s="59" t="s">
        <v>1578</v>
      </c>
      <c r="E314" s="59" t="s">
        <v>1578</v>
      </c>
      <c r="F314" s="59" t="s">
        <v>1844</v>
      </c>
      <c r="G314" s="59" t="s">
        <v>1661</v>
      </c>
      <c r="H314" s="58" t="s">
        <v>1672</v>
      </c>
      <c r="I314" s="59" t="s">
        <v>1662</v>
      </c>
      <c r="J314" t="str">
        <f t="shared" si="10"/>
        <v>999999999 - Terreno Abuelo Proyectos sin Terreno</v>
      </c>
      <c r="K314" t="str">
        <f t="shared" si="11"/>
        <v>Terreno</v>
      </c>
    </row>
    <row r="315" spans="1:11" x14ac:dyDescent="0.25">
      <c r="A315" s="58">
        <v>999</v>
      </c>
      <c r="B315" s="59" t="s">
        <v>1808</v>
      </c>
      <c r="C315" s="59"/>
      <c r="D315" s="59" t="s">
        <v>65</v>
      </c>
      <c r="E315" s="59" t="s">
        <v>65</v>
      </c>
      <c r="F315" s="59" t="s">
        <v>1844</v>
      </c>
      <c r="G315" s="59" t="s">
        <v>1663</v>
      </c>
      <c r="H315" s="58" t="s">
        <v>1672</v>
      </c>
      <c r="I315" s="59" t="s">
        <v>1664</v>
      </c>
      <c r="J315" t="str">
        <f t="shared" si="10"/>
        <v>999 - Obra Padre Proyectos sin Obra</v>
      </c>
      <c r="K315" t="str">
        <f t="shared" si="11"/>
        <v>Obra</v>
      </c>
    </row>
    <row r="316" spans="1:11" x14ac:dyDescent="0.25">
      <c r="A316" s="58">
        <v>10035000</v>
      </c>
      <c r="B316" s="59" t="s">
        <v>1844</v>
      </c>
      <c r="C316" s="59" t="s">
        <v>1685</v>
      </c>
      <c r="D316" s="59" t="s">
        <v>1665</v>
      </c>
      <c r="E316" s="59" t="s">
        <v>1585</v>
      </c>
      <c r="F316" s="59" t="s">
        <v>1844</v>
      </c>
      <c r="G316" s="59" t="s">
        <v>1661</v>
      </c>
      <c r="H316" s="58" t="s">
        <v>1672</v>
      </c>
      <c r="I316" s="59" t="s">
        <v>1666</v>
      </c>
      <c r="J316" t="str">
        <f t="shared" si="10"/>
        <v>10035000 - Campanario III</v>
      </c>
      <c r="K316" t="str">
        <f t="shared" si="11"/>
        <v>Proyectos Inmobiliarios</v>
      </c>
    </row>
    <row r="317" spans="1:11" x14ac:dyDescent="0.25">
      <c r="A317" s="58">
        <v>10035301</v>
      </c>
      <c r="B317" s="59" t="s">
        <v>1845</v>
      </c>
      <c r="C317" s="59" t="s">
        <v>1685</v>
      </c>
      <c r="D317" s="59" t="s">
        <v>1665</v>
      </c>
      <c r="E317" s="59" t="s">
        <v>1643</v>
      </c>
      <c r="F317" s="59" t="s">
        <v>1844</v>
      </c>
      <c r="G317" s="59" t="s">
        <v>1667</v>
      </c>
      <c r="H317" s="58" t="s">
        <v>1672</v>
      </c>
      <c r="I317" s="59" t="s">
        <v>1666</v>
      </c>
      <c r="J317" t="str">
        <f t="shared" si="10"/>
        <v>10035301 - Campanario III-GAF</v>
      </c>
      <c r="K317" t="str">
        <f t="shared" si="11"/>
        <v>Proyectos Inmobiliarios</v>
      </c>
    </row>
    <row r="318" spans="1:11" x14ac:dyDescent="0.25">
      <c r="A318" s="58">
        <v>9906</v>
      </c>
      <c r="B318" s="59" t="s">
        <v>683</v>
      </c>
      <c r="C318" s="59" t="s">
        <v>1685</v>
      </c>
      <c r="D318" s="59" t="s">
        <v>66</v>
      </c>
      <c r="E318" s="59" t="s">
        <v>328</v>
      </c>
      <c r="F318" s="59" t="s">
        <v>1844</v>
      </c>
      <c r="G318" s="59" t="s">
        <v>1661</v>
      </c>
      <c r="H318" s="58" t="s">
        <v>386</v>
      </c>
      <c r="I318" s="59" t="s">
        <v>1666</v>
      </c>
      <c r="J318" t="str">
        <f t="shared" si="10"/>
        <v>9906 - PV Edifcio Campanario III</v>
      </c>
      <c r="K318" t="str">
        <f t="shared" si="11"/>
        <v>Postventa</v>
      </c>
    </row>
    <row r="319" spans="1:11" x14ac:dyDescent="0.25">
      <c r="A319" s="52">
        <v>999999999</v>
      </c>
      <c r="B319" s="53" t="s">
        <v>1684</v>
      </c>
      <c r="C319" s="53"/>
      <c r="D319" s="53" t="s">
        <v>1578</v>
      </c>
      <c r="E319" s="53" t="s">
        <v>1578</v>
      </c>
      <c r="F319" s="53" t="s">
        <v>1846</v>
      </c>
      <c r="G319" s="53" t="s">
        <v>1661</v>
      </c>
      <c r="H319" s="52" t="s">
        <v>1672</v>
      </c>
      <c r="I319" s="53" t="s">
        <v>1662</v>
      </c>
      <c r="J319" t="str">
        <f t="shared" si="10"/>
        <v>999999999 - Terreno Abuelo Proyectos sin Terreno</v>
      </c>
      <c r="K319" t="str">
        <f t="shared" si="11"/>
        <v>Terreno</v>
      </c>
    </row>
    <row r="320" spans="1:11" x14ac:dyDescent="0.25">
      <c r="A320" s="52">
        <v>295</v>
      </c>
      <c r="B320" s="53" t="s">
        <v>1846</v>
      </c>
      <c r="C320" s="53" t="s">
        <v>1500</v>
      </c>
      <c r="D320" s="53" t="s">
        <v>65</v>
      </c>
      <c r="E320" s="53" t="s">
        <v>65</v>
      </c>
      <c r="F320" s="53" t="s">
        <v>1846</v>
      </c>
      <c r="G320" s="53" t="s">
        <v>1663</v>
      </c>
      <c r="H320" s="52" t="s">
        <v>1672</v>
      </c>
      <c r="I320" s="53" t="s">
        <v>1664</v>
      </c>
      <c r="J320" t="str">
        <f t="shared" si="10"/>
        <v>295 - CARIE INMOBILIARIA</v>
      </c>
      <c r="K320" t="str">
        <f t="shared" si="11"/>
        <v>Obra</v>
      </c>
    </row>
    <row r="321" spans="1:11" x14ac:dyDescent="0.25">
      <c r="A321" s="64">
        <v>1159202</v>
      </c>
      <c r="B321" s="65" t="s">
        <v>776</v>
      </c>
      <c r="C321" s="65" t="s">
        <v>1670</v>
      </c>
      <c r="D321" s="65" t="s">
        <v>1578</v>
      </c>
      <c r="E321" s="65" t="s">
        <v>1578</v>
      </c>
      <c r="F321" s="65" t="s">
        <v>1847</v>
      </c>
      <c r="G321" s="65" t="s">
        <v>1661</v>
      </c>
      <c r="H321" s="64" t="s">
        <v>386</v>
      </c>
      <c r="I321" s="65" t="s">
        <v>1662</v>
      </c>
      <c r="J321" t="str">
        <f t="shared" si="10"/>
        <v>1159202 - Terreno Carmen 1879  - Inversiones</v>
      </c>
      <c r="K321" t="str">
        <f t="shared" si="11"/>
        <v>Terreno</v>
      </c>
    </row>
    <row r="322" spans="1:11" x14ac:dyDescent="0.25">
      <c r="A322" s="64">
        <v>361</v>
      </c>
      <c r="B322" s="65" t="s">
        <v>496</v>
      </c>
      <c r="C322" s="65" t="s">
        <v>1670</v>
      </c>
      <c r="D322" s="65" t="s">
        <v>65</v>
      </c>
      <c r="E322" s="65" t="s">
        <v>65</v>
      </c>
      <c r="F322" s="65" t="s">
        <v>1847</v>
      </c>
      <c r="G322" s="65" t="s">
        <v>1663</v>
      </c>
      <c r="H322" s="64" t="s">
        <v>386</v>
      </c>
      <c r="I322" s="65" t="s">
        <v>1664</v>
      </c>
      <c r="J322" t="str">
        <f t="shared" si="10"/>
        <v>361 - Carmen 1879</v>
      </c>
      <c r="K322" t="str">
        <f t="shared" si="11"/>
        <v>Obra</v>
      </c>
    </row>
    <row r="323" spans="1:11" x14ac:dyDescent="0.25">
      <c r="A323" s="64">
        <v>369</v>
      </c>
      <c r="B323" s="65" t="s">
        <v>500</v>
      </c>
      <c r="C323" s="65" t="s">
        <v>1670</v>
      </c>
      <c r="D323" s="65" t="s">
        <v>65</v>
      </c>
      <c r="E323" s="65" t="s">
        <v>65</v>
      </c>
      <c r="F323" s="65" t="s">
        <v>1847</v>
      </c>
      <c r="G323" s="65" t="s">
        <v>1663</v>
      </c>
      <c r="H323" s="64" t="s">
        <v>386</v>
      </c>
      <c r="I323" s="65" t="s">
        <v>1664</v>
      </c>
      <c r="J323" t="str">
        <f t="shared" si="10"/>
        <v>369 - Carmen Ltda</v>
      </c>
      <c r="K323" t="str">
        <f t="shared" si="11"/>
        <v>Obra</v>
      </c>
    </row>
    <row r="324" spans="1:11" x14ac:dyDescent="0.25">
      <c r="A324" s="64">
        <v>10361000</v>
      </c>
      <c r="B324" s="65" t="s">
        <v>496</v>
      </c>
      <c r="C324" s="65" t="s">
        <v>1670</v>
      </c>
      <c r="D324" s="65" t="s">
        <v>1665</v>
      </c>
      <c r="E324" s="65" t="s">
        <v>1585</v>
      </c>
      <c r="F324" s="65" t="s">
        <v>1847</v>
      </c>
      <c r="G324" s="65" t="s">
        <v>1661</v>
      </c>
      <c r="H324" s="64" t="s">
        <v>386</v>
      </c>
      <c r="I324" s="65" t="s">
        <v>1666</v>
      </c>
      <c r="J324" t="str">
        <f t="shared" ref="J324:J387" si="12">+A324&amp;" - "&amp;B324</f>
        <v>10361000 - Carmen 1879</v>
      </c>
      <c r="K324" t="str">
        <f t="shared" ref="K324:K387" si="13">+D324</f>
        <v>Proyectos Inmobiliarios</v>
      </c>
    </row>
    <row r="325" spans="1:11" x14ac:dyDescent="0.25">
      <c r="A325" s="64">
        <v>10361102</v>
      </c>
      <c r="B325" s="65" t="s">
        <v>1443</v>
      </c>
      <c r="C325" s="65" t="s">
        <v>1670</v>
      </c>
      <c r="D325" s="65" t="s">
        <v>1665</v>
      </c>
      <c r="E325" s="65" t="s">
        <v>1617</v>
      </c>
      <c r="F325" s="65" t="s">
        <v>1847</v>
      </c>
      <c r="G325" s="65" t="s">
        <v>1661</v>
      </c>
      <c r="H325" s="64" t="s">
        <v>386</v>
      </c>
      <c r="I325" s="65" t="s">
        <v>1666</v>
      </c>
      <c r="J325" t="str">
        <f t="shared" si="12"/>
        <v>10361102 - Carmen 1879-Marketing</v>
      </c>
      <c r="K325" t="str">
        <f t="shared" si="13"/>
        <v>Proyectos Inmobiliarios</v>
      </c>
    </row>
    <row r="326" spans="1:11" x14ac:dyDescent="0.25">
      <c r="A326" s="64">
        <v>10361103</v>
      </c>
      <c r="B326" s="65" t="s">
        <v>1444</v>
      </c>
      <c r="C326" s="65" t="s">
        <v>1670</v>
      </c>
      <c r="D326" s="65" t="s">
        <v>1665</v>
      </c>
      <c r="E326" s="65" t="s">
        <v>1618</v>
      </c>
      <c r="F326" s="65" t="s">
        <v>1847</v>
      </c>
      <c r="G326" s="65" t="s">
        <v>1661</v>
      </c>
      <c r="H326" s="64" t="s">
        <v>386</v>
      </c>
      <c r="I326" s="65" t="s">
        <v>1666</v>
      </c>
      <c r="J326" t="str">
        <f t="shared" si="12"/>
        <v>10361103 - Carmen 1879-Operaciones</v>
      </c>
      <c r="K326" t="str">
        <f t="shared" si="13"/>
        <v>Proyectos Inmobiliarios</v>
      </c>
    </row>
    <row r="327" spans="1:11" x14ac:dyDescent="0.25">
      <c r="A327" s="64">
        <v>10361104</v>
      </c>
      <c r="B327" s="65" t="s">
        <v>1445</v>
      </c>
      <c r="C327" s="65" t="s">
        <v>1670</v>
      </c>
      <c r="D327" s="65" t="s">
        <v>1665</v>
      </c>
      <c r="E327" s="65" t="s">
        <v>90</v>
      </c>
      <c r="F327" s="65" t="s">
        <v>1847</v>
      </c>
      <c r="G327" s="65" t="s">
        <v>1661</v>
      </c>
      <c r="H327" s="64" t="s">
        <v>386</v>
      </c>
      <c r="I327" s="65" t="s">
        <v>1666</v>
      </c>
      <c r="J327" t="str">
        <f t="shared" si="12"/>
        <v>10361104 - Carmen 1879-Ventas</v>
      </c>
      <c r="K327" t="str">
        <f t="shared" si="13"/>
        <v>Proyectos Inmobiliarios</v>
      </c>
    </row>
    <row r="328" spans="1:11" x14ac:dyDescent="0.25">
      <c r="A328" s="64">
        <v>10361105</v>
      </c>
      <c r="B328" s="65" t="s">
        <v>1446</v>
      </c>
      <c r="C328" s="65" t="s">
        <v>1670</v>
      </c>
      <c r="D328" s="65" t="s">
        <v>1665</v>
      </c>
      <c r="E328" s="65" t="s">
        <v>1622</v>
      </c>
      <c r="F328" s="65" t="s">
        <v>1847</v>
      </c>
      <c r="G328" s="65" t="s">
        <v>1661</v>
      </c>
      <c r="H328" s="64" t="s">
        <v>386</v>
      </c>
      <c r="I328" s="65" t="s">
        <v>1666</v>
      </c>
      <c r="J328" t="str">
        <f t="shared" si="12"/>
        <v>10361105 - Carmen 1879-Clientes</v>
      </c>
      <c r="K328" t="str">
        <f t="shared" si="13"/>
        <v>Proyectos Inmobiliarios</v>
      </c>
    </row>
    <row r="329" spans="1:11" x14ac:dyDescent="0.25">
      <c r="A329" s="64">
        <v>10361204</v>
      </c>
      <c r="B329" s="65" t="s">
        <v>1447</v>
      </c>
      <c r="C329" s="65" t="s">
        <v>1670</v>
      </c>
      <c r="D329" s="65" t="s">
        <v>1665</v>
      </c>
      <c r="E329" s="65" t="s">
        <v>1624</v>
      </c>
      <c r="F329" s="65" t="s">
        <v>1847</v>
      </c>
      <c r="G329" s="65" t="s">
        <v>1661</v>
      </c>
      <c r="H329" s="64" t="s">
        <v>386</v>
      </c>
      <c r="I329" s="65" t="s">
        <v>1666</v>
      </c>
      <c r="J329" t="str">
        <f t="shared" si="12"/>
        <v>10361204 - Carmen 1879-Proyecto</v>
      </c>
      <c r="K329" t="str">
        <f t="shared" si="13"/>
        <v>Proyectos Inmobiliarios</v>
      </c>
    </row>
    <row r="330" spans="1:11" x14ac:dyDescent="0.25">
      <c r="A330" s="64">
        <v>10361301</v>
      </c>
      <c r="B330" s="65" t="s">
        <v>1448</v>
      </c>
      <c r="C330" s="65" t="s">
        <v>1670</v>
      </c>
      <c r="D330" s="65" t="s">
        <v>1665</v>
      </c>
      <c r="E330" s="65" t="s">
        <v>1643</v>
      </c>
      <c r="F330" s="65" t="s">
        <v>1847</v>
      </c>
      <c r="G330" s="65" t="s">
        <v>1667</v>
      </c>
      <c r="H330" s="64" t="s">
        <v>386</v>
      </c>
      <c r="I330" s="65" t="s">
        <v>1666</v>
      </c>
      <c r="J330" t="str">
        <f t="shared" si="12"/>
        <v>10361301 - Carmen 1879-GAF</v>
      </c>
      <c r="K330" t="str">
        <f t="shared" si="13"/>
        <v>Proyectos Inmobiliarios</v>
      </c>
    </row>
    <row r="331" spans="1:11" x14ac:dyDescent="0.25">
      <c r="A331" s="64">
        <v>10361505</v>
      </c>
      <c r="B331" s="65" t="s">
        <v>1449</v>
      </c>
      <c r="C331" s="65" t="s">
        <v>1670</v>
      </c>
      <c r="D331" s="65" t="s">
        <v>66</v>
      </c>
      <c r="E331" s="65" t="s">
        <v>328</v>
      </c>
      <c r="F331" s="65" t="s">
        <v>1847</v>
      </c>
      <c r="G331" s="65" t="s">
        <v>1661</v>
      </c>
      <c r="H331" s="64" t="s">
        <v>386</v>
      </c>
      <c r="I331" s="65" t="s">
        <v>1666</v>
      </c>
      <c r="J331" t="str">
        <f t="shared" si="12"/>
        <v>10361505 - Carmen 1879-PV Inmob.</v>
      </c>
      <c r="K331" t="str">
        <f t="shared" si="13"/>
        <v>Postventa</v>
      </c>
    </row>
    <row r="332" spans="1:11" x14ac:dyDescent="0.25">
      <c r="A332" s="64">
        <v>10361506</v>
      </c>
      <c r="B332" s="65" t="s">
        <v>1450</v>
      </c>
      <c r="C332" s="65" t="s">
        <v>1670</v>
      </c>
      <c r="D332" s="65" t="s">
        <v>1665</v>
      </c>
      <c r="E332" s="65" t="s">
        <v>200</v>
      </c>
      <c r="F332" s="65" t="s">
        <v>1847</v>
      </c>
      <c r="G332" s="65" t="s">
        <v>1661</v>
      </c>
      <c r="H332" s="64" t="s">
        <v>386</v>
      </c>
      <c r="I332" s="65" t="s">
        <v>1666</v>
      </c>
      <c r="J332" t="str">
        <f t="shared" si="12"/>
        <v>10361506 - Carmen 1879-Depto.Técnico</v>
      </c>
      <c r="K332" t="str">
        <f t="shared" si="13"/>
        <v>Proyectos Inmobiliarios</v>
      </c>
    </row>
    <row r="333" spans="1:11" x14ac:dyDescent="0.25">
      <c r="A333" s="64">
        <v>8361</v>
      </c>
      <c r="B333" s="65" t="s">
        <v>1848</v>
      </c>
      <c r="C333" s="65" t="s">
        <v>1670</v>
      </c>
      <c r="D333" s="65" t="s">
        <v>1686</v>
      </c>
      <c r="E333" s="65" t="s">
        <v>1501</v>
      </c>
      <c r="F333" s="65" t="s">
        <v>1847</v>
      </c>
      <c r="G333" s="65" t="s">
        <v>1661</v>
      </c>
      <c r="H333" s="64" t="s">
        <v>1672</v>
      </c>
      <c r="I333" s="65" t="s">
        <v>1666</v>
      </c>
      <c r="J333" t="str">
        <f t="shared" si="12"/>
        <v>8361 - Entrega Carmen 1879</v>
      </c>
      <c r="K333" t="str">
        <f t="shared" si="13"/>
        <v>Entrega</v>
      </c>
    </row>
    <row r="334" spans="1:11" x14ac:dyDescent="0.25">
      <c r="A334" s="64">
        <v>9361</v>
      </c>
      <c r="B334" s="65" t="s">
        <v>1849</v>
      </c>
      <c r="C334" s="65" t="s">
        <v>1670</v>
      </c>
      <c r="D334" s="65" t="s">
        <v>66</v>
      </c>
      <c r="E334" s="65" t="s">
        <v>328</v>
      </c>
      <c r="F334" s="65" t="s">
        <v>1847</v>
      </c>
      <c r="G334" s="65" t="s">
        <v>1661</v>
      </c>
      <c r="H334" s="64" t="s">
        <v>1672</v>
      </c>
      <c r="I334" s="65" t="s">
        <v>1666</v>
      </c>
      <c r="J334" t="str">
        <f t="shared" si="12"/>
        <v>9361 -  PV Carmen 1879</v>
      </c>
      <c r="K334" t="str">
        <f t="shared" si="13"/>
        <v>Postventa</v>
      </c>
    </row>
    <row r="335" spans="1:11" x14ac:dyDescent="0.25">
      <c r="A335" s="68">
        <v>1004202</v>
      </c>
      <c r="B335" s="69" t="s">
        <v>1850</v>
      </c>
      <c r="C335" s="69" t="s">
        <v>1670</v>
      </c>
      <c r="D335" s="69" t="s">
        <v>1578</v>
      </c>
      <c r="E335" s="69" t="s">
        <v>1578</v>
      </c>
      <c r="F335" s="69" t="s">
        <v>1851</v>
      </c>
      <c r="G335" s="69" t="s">
        <v>1661</v>
      </c>
      <c r="H335" s="68" t="s">
        <v>1672</v>
      </c>
      <c r="I335" s="69" t="s">
        <v>1662</v>
      </c>
      <c r="J335" t="str">
        <f t="shared" si="12"/>
        <v>1004202 - Terreno Carmen 219-Desarrollo</v>
      </c>
      <c r="K335" t="str">
        <f t="shared" si="13"/>
        <v>Terreno</v>
      </c>
    </row>
    <row r="336" spans="1:11" x14ac:dyDescent="0.25">
      <c r="A336" s="68">
        <v>50</v>
      </c>
      <c r="B336" s="69" t="s">
        <v>1851</v>
      </c>
      <c r="C336" s="69" t="s">
        <v>1670</v>
      </c>
      <c r="D336" s="69" t="s">
        <v>65</v>
      </c>
      <c r="E336" s="69" t="s">
        <v>65</v>
      </c>
      <c r="F336" s="69" t="s">
        <v>1851</v>
      </c>
      <c r="G336" s="69" t="s">
        <v>1663</v>
      </c>
      <c r="H336" s="68" t="s">
        <v>1672</v>
      </c>
      <c r="I336" s="69" t="s">
        <v>1664</v>
      </c>
      <c r="J336" t="str">
        <f t="shared" si="12"/>
        <v>50 - Carmen 233</v>
      </c>
      <c r="K336" t="str">
        <f t="shared" si="13"/>
        <v>Obra</v>
      </c>
    </row>
    <row r="337" spans="1:11" x14ac:dyDescent="0.25">
      <c r="A337" s="68">
        <v>9050</v>
      </c>
      <c r="B337" s="69" t="s">
        <v>596</v>
      </c>
      <c r="C337" s="69" t="s">
        <v>1670</v>
      </c>
      <c r="D337" s="69" t="s">
        <v>66</v>
      </c>
      <c r="E337" s="69" t="s">
        <v>328</v>
      </c>
      <c r="F337" s="69" t="s">
        <v>1851</v>
      </c>
      <c r="G337" s="69" t="s">
        <v>1661</v>
      </c>
      <c r="H337" s="68" t="s">
        <v>386</v>
      </c>
      <c r="I337" s="69" t="s">
        <v>1666</v>
      </c>
      <c r="J337" t="str">
        <f t="shared" si="12"/>
        <v>9050 - PV Carmen 233</v>
      </c>
      <c r="K337" t="str">
        <f t="shared" si="13"/>
        <v>Postventa</v>
      </c>
    </row>
    <row r="338" spans="1:11" x14ac:dyDescent="0.25">
      <c r="A338" s="68">
        <v>10019000</v>
      </c>
      <c r="B338" s="69" t="s">
        <v>1851</v>
      </c>
      <c r="C338" s="69" t="s">
        <v>1670</v>
      </c>
      <c r="D338" s="69" t="s">
        <v>1665</v>
      </c>
      <c r="E338" s="69" t="s">
        <v>1585</v>
      </c>
      <c r="F338" s="69" t="s">
        <v>1851</v>
      </c>
      <c r="G338" s="69" t="s">
        <v>1661</v>
      </c>
      <c r="H338" s="68" t="s">
        <v>1672</v>
      </c>
      <c r="I338" s="69" t="s">
        <v>1666</v>
      </c>
      <c r="J338" t="str">
        <f t="shared" si="12"/>
        <v>10019000 - Carmen 233</v>
      </c>
      <c r="K338" t="str">
        <f t="shared" si="13"/>
        <v>Proyectos Inmobiliarios</v>
      </c>
    </row>
    <row r="339" spans="1:11" x14ac:dyDescent="0.25">
      <c r="A339" s="68">
        <v>10019102</v>
      </c>
      <c r="B339" s="69" t="s">
        <v>1852</v>
      </c>
      <c r="C339" s="69" t="s">
        <v>1670</v>
      </c>
      <c r="D339" s="69" t="s">
        <v>1665</v>
      </c>
      <c r="E339" s="69" t="s">
        <v>1617</v>
      </c>
      <c r="F339" s="69" t="s">
        <v>1851</v>
      </c>
      <c r="G339" s="69" t="s">
        <v>1661</v>
      </c>
      <c r="H339" s="68" t="s">
        <v>1672</v>
      </c>
      <c r="I339" s="69" t="s">
        <v>1666</v>
      </c>
      <c r="J339" t="str">
        <f t="shared" si="12"/>
        <v>10019102 - Carmen 233-Marketing</v>
      </c>
      <c r="K339" t="str">
        <f t="shared" si="13"/>
        <v>Proyectos Inmobiliarios</v>
      </c>
    </row>
    <row r="340" spans="1:11" x14ac:dyDescent="0.25">
      <c r="A340" s="68">
        <v>10019103</v>
      </c>
      <c r="B340" s="69" t="s">
        <v>1853</v>
      </c>
      <c r="C340" s="69" t="s">
        <v>1670</v>
      </c>
      <c r="D340" s="69" t="s">
        <v>1665</v>
      </c>
      <c r="E340" s="69" t="s">
        <v>1618</v>
      </c>
      <c r="F340" s="69" t="s">
        <v>1851</v>
      </c>
      <c r="G340" s="69" t="s">
        <v>1661</v>
      </c>
      <c r="H340" s="68" t="s">
        <v>1672</v>
      </c>
      <c r="I340" s="69" t="s">
        <v>1666</v>
      </c>
      <c r="J340" t="str">
        <f t="shared" si="12"/>
        <v>10019103 - Carmen 233-Operaciones</v>
      </c>
      <c r="K340" t="str">
        <f t="shared" si="13"/>
        <v>Proyectos Inmobiliarios</v>
      </c>
    </row>
    <row r="341" spans="1:11" x14ac:dyDescent="0.25">
      <c r="A341" s="68">
        <v>10019104</v>
      </c>
      <c r="B341" s="69" t="s">
        <v>1854</v>
      </c>
      <c r="C341" s="69" t="s">
        <v>1670</v>
      </c>
      <c r="D341" s="69" t="s">
        <v>1665</v>
      </c>
      <c r="E341" s="69" t="s">
        <v>90</v>
      </c>
      <c r="F341" s="69" t="s">
        <v>1851</v>
      </c>
      <c r="G341" s="69" t="s">
        <v>1661</v>
      </c>
      <c r="H341" s="68" t="s">
        <v>1672</v>
      </c>
      <c r="I341" s="69" t="s">
        <v>1666</v>
      </c>
      <c r="J341" t="str">
        <f t="shared" si="12"/>
        <v>10019104 - Carmen 233-Ventas</v>
      </c>
      <c r="K341" t="str">
        <f t="shared" si="13"/>
        <v>Proyectos Inmobiliarios</v>
      </c>
    </row>
    <row r="342" spans="1:11" x14ac:dyDescent="0.25">
      <c r="A342" s="68">
        <v>10019105</v>
      </c>
      <c r="B342" s="69" t="s">
        <v>1855</v>
      </c>
      <c r="C342" s="69" t="s">
        <v>1670</v>
      </c>
      <c r="D342" s="69" t="s">
        <v>1665</v>
      </c>
      <c r="E342" s="69" t="s">
        <v>1622</v>
      </c>
      <c r="F342" s="69" t="s">
        <v>1851</v>
      </c>
      <c r="G342" s="69" t="s">
        <v>1661</v>
      </c>
      <c r="H342" s="68" t="s">
        <v>1672</v>
      </c>
      <c r="I342" s="69" t="s">
        <v>1666</v>
      </c>
      <c r="J342" t="str">
        <f t="shared" si="12"/>
        <v>10019105 - Carmen 233-Clientes</v>
      </c>
      <c r="K342" t="str">
        <f t="shared" si="13"/>
        <v>Proyectos Inmobiliarios</v>
      </c>
    </row>
    <row r="343" spans="1:11" x14ac:dyDescent="0.25">
      <c r="A343" s="68">
        <v>10019204</v>
      </c>
      <c r="B343" s="69" t="s">
        <v>1856</v>
      </c>
      <c r="C343" s="69" t="s">
        <v>1670</v>
      </c>
      <c r="D343" s="69" t="s">
        <v>1665</v>
      </c>
      <c r="E343" s="69" t="s">
        <v>1624</v>
      </c>
      <c r="F343" s="69" t="s">
        <v>1851</v>
      </c>
      <c r="G343" s="69" t="s">
        <v>1661</v>
      </c>
      <c r="H343" s="68" t="s">
        <v>1672</v>
      </c>
      <c r="I343" s="69" t="s">
        <v>1666</v>
      </c>
      <c r="J343" t="str">
        <f t="shared" si="12"/>
        <v>10019204 - Carmen 233-Proyecto</v>
      </c>
      <c r="K343" t="str">
        <f t="shared" si="13"/>
        <v>Proyectos Inmobiliarios</v>
      </c>
    </row>
    <row r="344" spans="1:11" x14ac:dyDescent="0.25">
      <c r="A344" s="68">
        <v>10019301</v>
      </c>
      <c r="B344" s="69" t="s">
        <v>1857</v>
      </c>
      <c r="C344" s="69" t="s">
        <v>1670</v>
      </c>
      <c r="D344" s="69" t="s">
        <v>1665</v>
      </c>
      <c r="E344" s="69" t="s">
        <v>1643</v>
      </c>
      <c r="F344" s="69" t="s">
        <v>1851</v>
      </c>
      <c r="G344" s="69" t="s">
        <v>1667</v>
      </c>
      <c r="H344" s="68" t="s">
        <v>1672</v>
      </c>
      <c r="I344" s="69" t="s">
        <v>1666</v>
      </c>
      <c r="J344" t="str">
        <f t="shared" si="12"/>
        <v>10019301 - Carmen 233-GAF</v>
      </c>
      <c r="K344" t="str">
        <f t="shared" si="13"/>
        <v>Proyectos Inmobiliarios</v>
      </c>
    </row>
    <row r="345" spans="1:11" x14ac:dyDescent="0.25">
      <c r="A345" s="68">
        <v>10019505</v>
      </c>
      <c r="B345" s="69" t="s">
        <v>1858</v>
      </c>
      <c r="C345" s="69" t="s">
        <v>1670</v>
      </c>
      <c r="D345" s="69" t="s">
        <v>66</v>
      </c>
      <c r="E345" s="69" t="s">
        <v>328</v>
      </c>
      <c r="F345" s="69" t="s">
        <v>1851</v>
      </c>
      <c r="G345" s="69" t="s">
        <v>1661</v>
      </c>
      <c r="H345" s="68" t="s">
        <v>1672</v>
      </c>
      <c r="I345" s="69" t="s">
        <v>1666</v>
      </c>
      <c r="J345" t="str">
        <f t="shared" si="12"/>
        <v>10019505 - Carmen 233-PV Inmob.</v>
      </c>
      <c r="K345" t="str">
        <f t="shared" si="13"/>
        <v>Postventa</v>
      </c>
    </row>
    <row r="346" spans="1:11" x14ac:dyDescent="0.25">
      <c r="A346" s="68">
        <v>10019506</v>
      </c>
      <c r="B346" s="69" t="s">
        <v>1859</v>
      </c>
      <c r="C346" s="69" t="s">
        <v>1670</v>
      </c>
      <c r="D346" s="69" t="s">
        <v>1665</v>
      </c>
      <c r="E346" s="69" t="s">
        <v>200</v>
      </c>
      <c r="F346" s="69" t="s">
        <v>1851</v>
      </c>
      <c r="G346" s="69" t="s">
        <v>1661</v>
      </c>
      <c r="H346" s="68" t="s">
        <v>1672</v>
      </c>
      <c r="I346" s="69" t="s">
        <v>1666</v>
      </c>
      <c r="J346" t="str">
        <f t="shared" si="12"/>
        <v>10019506 - Carmen 233-Depto.Técnico</v>
      </c>
      <c r="K346" t="str">
        <f t="shared" si="13"/>
        <v>Proyectos Inmobiliarios</v>
      </c>
    </row>
    <row r="347" spans="1:11" x14ac:dyDescent="0.25">
      <c r="A347" s="68">
        <v>10118000</v>
      </c>
      <c r="B347" s="69" t="s">
        <v>1860</v>
      </c>
      <c r="C347" s="69" t="s">
        <v>1670</v>
      </c>
      <c r="D347" s="69" t="s">
        <v>1665</v>
      </c>
      <c r="E347" s="69" t="s">
        <v>1585</v>
      </c>
      <c r="F347" s="69" t="s">
        <v>1851</v>
      </c>
      <c r="G347" s="69" t="s">
        <v>1661</v>
      </c>
      <c r="H347" s="68" t="s">
        <v>1672</v>
      </c>
      <c r="I347" s="69" t="s">
        <v>1666</v>
      </c>
      <c r="J347" t="str">
        <f t="shared" si="12"/>
        <v>10118000 - Boulevard Carmen 233-Rentas</v>
      </c>
      <c r="K347" t="str">
        <f t="shared" si="13"/>
        <v>Proyectos Inmobiliarios</v>
      </c>
    </row>
    <row r="348" spans="1:11" x14ac:dyDescent="0.25">
      <c r="A348" s="50">
        <v>999999999</v>
      </c>
      <c r="B348" s="51" t="s">
        <v>1684</v>
      </c>
      <c r="C348" s="51"/>
      <c r="D348" s="51" t="s">
        <v>1578</v>
      </c>
      <c r="E348" s="51" t="s">
        <v>1578</v>
      </c>
      <c r="F348" s="51" t="s">
        <v>1861</v>
      </c>
      <c r="G348" s="51" t="s">
        <v>1661</v>
      </c>
      <c r="H348" s="50" t="s">
        <v>1672</v>
      </c>
      <c r="I348" s="51" t="s">
        <v>1662</v>
      </c>
      <c r="J348" t="str">
        <f t="shared" si="12"/>
        <v>999999999 - Terreno Abuelo Proyectos sin Terreno</v>
      </c>
      <c r="K348" t="str">
        <f t="shared" si="13"/>
        <v>Terreno</v>
      </c>
    </row>
    <row r="349" spans="1:11" x14ac:dyDescent="0.25">
      <c r="A349" s="50">
        <v>12</v>
      </c>
      <c r="B349" s="51" t="s">
        <v>1861</v>
      </c>
      <c r="C349" s="51" t="s">
        <v>1670</v>
      </c>
      <c r="D349" s="51" t="s">
        <v>65</v>
      </c>
      <c r="E349" s="51" t="s">
        <v>65</v>
      </c>
      <c r="F349" s="51" t="s">
        <v>1861</v>
      </c>
      <c r="G349" s="51" t="s">
        <v>1663</v>
      </c>
      <c r="H349" s="50" t="s">
        <v>1672</v>
      </c>
      <c r="I349" s="51" t="s">
        <v>1664</v>
      </c>
      <c r="J349" t="str">
        <f t="shared" si="12"/>
        <v>12 - Casas Los Dominicos</v>
      </c>
      <c r="K349" t="str">
        <f t="shared" si="13"/>
        <v>Obra</v>
      </c>
    </row>
    <row r="350" spans="1:11" x14ac:dyDescent="0.25">
      <c r="A350" s="50">
        <v>9923</v>
      </c>
      <c r="B350" s="51" t="s">
        <v>698</v>
      </c>
      <c r="C350" s="51" t="s">
        <v>1670</v>
      </c>
      <c r="D350" s="51" t="s">
        <v>66</v>
      </c>
      <c r="E350" s="51" t="s">
        <v>328</v>
      </c>
      <c r="F350" s="51" t="s">
        <v>1861</v>
      </c>
      <c r="G350" s="51" t="s">
        <v>1661</v>
      </c>
      <c r="H350" s="50" t="s">
        <v>386</v>
      </c>
      <c r="I350" s="51" t="s">
        <v>1666</v>
      </c>
      <c r="J350" t="str">
        <f t="shared" si="12"/>
        <v>9923 - PV Casa Los Dominicos</v>
      </c>
      <c r="K350" t="str">
        <f t="shared" si="13"/>
        <v>Postventa</v>
      </c>
    </row>
    <row r="351" spans="1:11" x14ac:dyDescent="0.25">
      <c r="A351" s="54">
        <v>999999999</v>
      </c>
      <c r="B351" s="55" t="s">
        <v>1684</v>
      </c>
      <c r="C351" s="55"/>
      <c r="D351" s="55" t="s">
        <v>1578</v>
      </c>
      <c r="E351" s="55" t="s">
        <v>1578</v>
      </c>
      <c r="F351" s="55" t="s">
        <v>1862</v>
      </c>
      <c r="G351" s="55" t="s">
        <v>1661</v>
      </c>
      <c r="H351" s="54" t="s">
        <v>1672</v>
      </c>
      <c r="I351" s="55" t="s">
        <v>1662</v>
      </c>
      <c r="J351" t="str">
        <f t="shared" si="12"/>
        <v>999999999 - Terreno Abuelo Proyectos sin Terreno</v>
      </c>
      <c r="K351" t="str">
        <f t="shared" si="13"/>
        <v>Terreno</v>
      </c>
    </row>
    <row r="352" spans="1:11" x14ac:dyDescent="0.25">
      <c r="A352" s="54">
        <v>999</v>
      </c>
      <c r="B352" s="55" t="s">
        <v>1808</v>
      </c>
      <c r="C352" s="55"/>
      <c r="D352" s="55" t="s">
        <v>65</v>
      </c>
      <c r="E352" s="55" t="s">
        <v>65</v>
      </c>
      <c r="F352" s="55" t="s">
        <v>1862</v>
      </c>
      <c r="G352" s="55" t="s">
        <v>1663</v>
      </c>
      <c r="H352" s="54" t="s">
        <v>1672</v>
      </c>
      <c r="I352" s="55" t="s">
        <v>1664</v>
      </c>
      <c r="J352" t="str">
        <f t="shared" si="12"/>
        <v>999 - Obra Padre Proyectos sin Obra</v>
      </c>
      <c r="K352" t="str">
        <f t="shared" si="13"/>
        <v>Obra</v>
      </c>
    </row>
    <row r="353" spans="1:11" x14ac:dyDescent="0.25">
      <c r="A353" s="54">
        <v>9912</v>
      </c>
      <c r="B353" s="55" t="s">
        <v>688</v>
      </c>
      <c r="C353" s="55" t="s">
        <v>1685</v>
      </c>
      <c r="D353" s="55" t="s">
        <v>66</v>
      </c>
      <c r="E353" s="55" t="s">
        <v>328</v>
      </c>
      <c r="F353" s="55" t="s">
        <v>1862</v>
      </c>
      <c r="G353" s="55" t="s">
        <v>1661</v>
      </c>
      <c r="H353" s="54" t="s">
        <v>386</v>
      </c>
      <c r="I353" s="55" t="s">
        <v>1666</v>
      </c>
      <c r="J353" t="str">
        <f t="shared" si="12"/>
        <v>9912 - PV Casa Zapallar</v>
      </c>
      <c r="K353" t="str">
        <f t="shared" si="13"/>
        <v>Postventa</v>
      </c>
    </row>
    <row r="354" spans="1:11" x14ac:dyDescent="0.25">
      <c r="A354" s="58">
        <v>999999999</v>
      </c>
      <c r="B354" s="59" t="s">
        <v>1684</v>
      </c>
      <c r="C354" s="59"/>
      <c r="D354" s="59" t="s">
        <v>1578</v>
      </c>
      <c r="E354" s="59" t="s">
        <v>1578</v>
      </c>
      <c r="F354" s="59" t="s">
        <v>1863</v>
      </c>
      <c r="G354" s="59" t="s">
        <v>1661</v>
      </c>
      <c r="H354" s="58" t="s">
        <v>1672</v>
      </c>
      <c r="I354" s="59" t="s">
        <v>1662</v>
      </c>
      <c r="J354" t="str">
        <f t="shared" si="12"/>
        <v>999999999 - Terreno Abuelo Proyectos sin Terreno</v>
      </c>
      <c r="K354" t="str">
        <f t="shared" si="13"/>
        <v>Terreno</v>
      </c>
    </row>
    <row r="355" spans="1:11" x14ac:dyDescent="0.25">
      <c r="A355" s="58">
        <v>28</v>
      </c>
      <c r="B355" s="59" t="s">
        <v>1863</v>
      </c>
      <c r="C355" s="59" t="s">
        <v>1670</v>
      </c>
      <c r="D355" s="59" t="s">
        <v>65</v>
      </c>
      <c r="E355" s="59" t="s">
        <v>65</v>
      </c>
      <c r="F355" s="59" t="s">
        <v>1863</v>
      </c>
      <c r="G355" s="59" t="s">
        <v>1663</v>
      </c>
      <c r="H355" s="58" t="s">
        <v>1672</v>
      </c>
      <c r="I355" s="59" t="s">
        <v>1664</v>
      </c>
      <c r="J355" t="str">
        <f t="shared" si="12"/>
        <v>28 - Centro Sacramentinos</v>
      </c>
      <c r="K355" t="str">
        <f t="shared" si="13"/>
        <v>Obra</v>
      </c>
    </row>
    <row r="356" spans="1:11" x14ac:dyDescent="0.25">
      <c r="A356" s="58">
        <v>9028</v>
      </c>
      <c r="B356" s="59" t="s">
        <v>577</v>
      </c>
      <c r="C356" s="59" t="s">
        <v>1670</v>
      </c>
      <c r="D356" s="59" t="s">
        <v>66</v>
      </c>
      <c r="E356" s="59" t="s">
        <v>328</v>
      </c>
      <c r="F356" s="59" t="s">
        <v>1863</v>
      </c>
      <c r="G356" s="59" t="s">
        <v>1661</v>
      </c>
      <c r="H356" s="58" t="s">
        <v>386</v>
      </c>
      <c r="I356" s="59" t="s">
        <v>1666</v>
      </c>
      <c r="J356" t="str">
        <f t="shared" si="12"/>
        <v>9028 - PV Centro Sacramentinos</v>
      </c>
      <c r="K356" t="str">
        <f t="shared" si="13"/>
        <v>Postventa</v>
      </c>
    </row>
    <row r="357" spans="1:11" x14ac:dyDescent="0.25">
      <c r="A357" s="58">
        <v>10001000</v>
      </c>
      <c r="B357" s="59" t="s">
        <v>1863</v>
      </c>
      <c r="C357" s="59" t="s">
        <v>1670</v>
      </c>
      <c r="D357" s="59" t="s">
        <v>1665</v>
      </c>
      <c r="E357" s="59" t="s">
        <v>1585</v>
      </c>
      <c r="F357" s="59" t="s">
        <v>1863</v>
      </c>
      <c r="G357" s="59" t="s">
        <v>1661</v>
      </c>
      <c r="H357" s="58" t="s">
        <v>1672</v>
      </c>
      <c r="I357" s="59" t="s">
        <v>1666</v>
      </c>
      <c r="J357" t="str">
        <f t="shared" si="12"/>
        <v>10001000 - Centro Sacramentinos</v>
      </c>
      <c r="K357" t="str">
        <f t="shared" si="13"/>
        <v>Proyectos Inmobiliarios</v>
      </c>
    </row>
    <row r="358" spans="1:11" x14ac:dyDescent="0.25">
      <c r="A358" s="58">
        <v>10001102</v>
      </c>
      <c r="B358" s="59" t="s">
        <v>1864</v>
      </c>
      <c r="C358" s="59" t="s">
        <v>1670</v>
      </c>
      <c r="D358" s="59" t="s">
        <v>1665</v>
      </c>
      <c r="E358" s="59" t="s">
        <v>1617</v>
      </c>
      <c r="F358" s="59" t="s">
        <v>1863</v>
      </c>
      <c r="G358" s="59" t="s">
        <v>1661</v>
      </c>
      <c r="H358" s="58" t="s">
        <v>1672</v>
      </c>
      <c r="I358" s="59" t="s">
        <v>1666</v>
      </c>
      <c r="J358" t="str">
        <f t="shared" si="12"/>
        <v>10001102 - Centro Sacramentinos-Marketing</v>
      </c>
      <c r="K358" t="str">
        <f t="shared" si="13"/>
        <v>Proyectos Inmobiliarios</v>
      </c>
    </row>
    <row r="359" spans="1:11" x14ac:dyDescent="0.25">
      <c r="A359" s="58">
        <v>10001103</v>
      </c>
      <c r="B359" s="59" t="s">
        <v>1865</v>
      </c>
      <c r="C359" s="59" t="s">
        <v>1670</v>
      </c>
      <c r="D359" s="59" t="s">
        <v>1665</v>
      </c>
      <c r="E359" s="59" t="s">
        <v>1618</v>
      </c>
      <c r="F359" s="59" t="s">
        <v>1863</v>
      </c>
      <c r="G359" s="59" t="s">
        <v>1661</v>
      </c>
      <c r="H359" s="58" t="s">
        <v>1672</v>
      </c>
      <c r="I359" s="59" t="s">
        <v>1666</v>
      </c>
      <c r="J359" t="str">
        <f t="shared" si="12"/>
        <v>10001103 - Centro Sacramentinos-Operaciones</v>
      </c>
      <c r="K359" t="str">
        <f t="shared" si="13"/>
        <v>Proyectos Inmobiliarios</v>
      </c>
    </row>
    <row r="360" spans="1:11" x14ac:dyDescent="0.25">
      <c r="A360" s="58">
        <v>10001104</v>
      </c>
      <c r="B360" s="59" t="s">
        <v>1866</v>
      </c>
      <c r="C360" s="59" t="s">
        <v>1670</v>
      </c>
      <c r="D360" s="59" t="s">
        <v>1665</v>
      </c>
      <c r="E360" s="59" t="s">
        <v>90</v>
      </c>
      <c r="F360" s="59" t="s">
        <v>1863</v>
      </c>
      <c r="G360" s="59" t="s">
        <v>1661</v>
      </c>
      <c r="H360" s="58" t="s">
        <v>1672</v>
      </c>
      <c r="I360" s="59" t="s">
        <v>1666</v>
      </c>
      <c r="J360" t="str">
        <f t="shared" si="12"/>
        <v>10001104 - Centro Sacramentinos-Ventas</v>
      </c>
      <c r="K360" t="str">
        <f t="shared" si="13"/>
        <v>Proyectos Inmobiliarios</v>
      </c>
    </row>
    <row r="361" spans="1:11" x14ac:dyDescent="0.25">
      <c r="A361" s="58">
        <v>10001105</v>
      </c>
      <c r="B361" s="59" t="s">
        <v>1867</v>
      </c>
      <c r="C361" s="59" t="s">
        <v>1670</v>
      </c>
      <c r="D361" s="59" t="s">
        <v>1665</v>
      </c>
      <c r="E361" s="59" t="s">
        <v>1622</v>
      </c>
      <c r="F361" s="59" t="s">
        <v>1863</v>
      </c>
      <c r="G361" s="59" t="s">
        <v>1661</v>
      </c>
      <c r="H361" s="58" t="s">
        <v>1672</v>
      </c>
      <c r="I361" s="59" t="s">
        <v>1666</v>
      </c>
      <c r="J361" t="str">
        <f t="shared" si="12"/>
        <v>10001105 - Centro Sacramentinos-Clientes</v>
      </c>
      <c r="K361" t="str">
        <f t="shared" si="13"/>
        <v>Proyectos Inmobiliarios</v>
      </c>
    </row>
    <row r="362" spans="1:11" x14ac:dyDescent="0.25">
      <c r="A362" s="58">
        <v>10001204</v>
      </c>
      <c r="B362" s="59" t="s">
        <v>1868</v>
      </c>
      <c r="C362" s="59" t="s">
        <v>1670</v>
      </c>
      <c r="D362" s="59" t="s">
        <v>1665</v>
      </c>
      <c r="E362" s="59" t="s">
        <v>1624</v>
      </c>
      <c r="F362" s="59" t="s">
        <v>1863</v>
      </c>
      <c r="G362" s="59" t="s">
        <v>1661</v>
      </c>
      <c r="H362" s="58" t="s">
        <v>1672</v>
      </c>
      <c r="I362" s="59" t="s">
        <v>1666</v>
      </c>
      <c r="J362" t="str">
        <f t="shared" si="12"/>
        <v>10001204 - Centro Sacramentinos-Proyecto</v>
      </c>
      <c r="K362" t="str">
        <f t="shared" si="13"/>
        <v>Proyectos Inmobiliarios</v>
      </c>
    </row>
    <row r="363" spans="1:11" x14ac:dyDescent="0.25">
      <c r="A363" s="58">
        <v>10001301</v>
      </c>
      <c r="B363" s="59" t="s">
        <v>1869</v>
      </c>
      <c r="C363" s="59" t="s">
        <v>1670</v>
      </c>
      <c r="D363" s="59" t="s">
        <v>1665</v>
      </c>
      <c r="E363" s="59" t="s">
        <v>1643</v>
      </c>
      <c r="F363" s="59" t="s">
        <v>1863</v>
      </c>
      <c r="G363" s="59" t="s">
        <v>1667</v>
      </c>
      <c r="H363" s="58" t="s">
        <v>1672</v>
      </c>
      <c r="I363" s="59" t="s">
        <v>1666</v>
      </c>
      <c r="J363" t="str">
        <f t="shared" si="12"/>
        <v>10001301 - Centro Sacramentinos-GAF</v>
      </c>
      <c r="K363" t="str">
        <f t="shared" si="13"/>
        <v>Proyectos Inmobiliarios</v>
      </c>
    </row>
    <row r="364" spans="1:11" x14ac:dyDescent="0.25">
      <c r="A364" s="58">
        <v>10001505</v>
      </c>
      <c r="B364" s="59" t="s">
        <v>1870</v>
      </c>
      <c r="C364" s="59" t="s">
        <v>1670</v>
      </c>
      <c r="D364" s="59" t="s">
        <v>66</v>
      </c>
      <c r="E364" s="59" t="s">
        <v>328</v>
      </c>
      <c r="F364" s="59" t="s">
        <v>1863</v>
      </c>
      <c r="G364" s="59" t="s">
        <v>1661</v>
      </c>
      <c r="H364" s="58" t="s">
        <v>1672</v>
      </c>
      <c r="I364" s="59" t="s">
        <v>1666</v>
      </c>
      <c r="J364" t="str">
        <f t="shared" si="12"/>
        <v>10001505 - Centro Sacramentinos-PV Inmob.</v>
      </c>
      <c r="K364" t="str">
        <f t="shared" si="13"/>
        <v>Postventa</v>
      </c>
    </row>
    <row r="365" spans="1:11" x14ac:dyDescent="0.25">
      <c r="A365" s="58">
        <v>10001506</v>
      </c>
      <c r="B365" s="59" t="s">
        <v>1871</v>
      </c>
      <c r="C365" s="59" t="s">
        <v>1670</v>
      </c>
      <c r="D365" s="59" t="s">
        <v>1665</v>
      </c>
      <c r="E365" s="59" t="s">
        <v>200</v>
      </c>
      <c r="F365" s="59" t="s">
        <v>1863</v>
      </c>
      <c r="G365" s="59" t="s">
        <v>1661</v>
      </c>
      <c r="H365" s="58" t="s">
        <v>1672</v>
      </c>
      <c r="I365" s="59" t="s">
        <v>1666</v>
      </c>
      <c r="J365" t="str">
        <f t="shared" si="12"/>
        <v>10001506 - Centro Sacramentinos-Depto.Técnico</v>
      </c>
      <c r="K365" t="str">
        <f t="shared" si="13"/>
        <v>Proyectos Inmobiliarios</v>
      </c>
    </row>
    <row r="366" spans="1:11" x14ac:dyDescent="0.25">
      <c r="A366" s="50">
        <v>999999999</v>
      </c>
      <c r="B366" s="51" t="s">
        <v>1684</v>
      </c>
      <c r="C366" s="51"/>
      <c r="D366" s="51" t="s">
        <v>1578</v>
      </c>
      <c r="E366" s="51" t="s">
        <v>1578</v>
      </c>
      <c r="F366" s="51" t="s">
        <v>1872</v>
      </c>
      <c r="G366" s="51" t="s">
        <v>1661</v>
      </c>
      <c r="H366" s="50" t="s">
        <v>1672</v>
      </c>
      <c r="I366" s="51" t="s">
        <v>1662</v>
      </c>
      <c r="J366" t="str">
        <f t="shared" si="12"/>
        <v>999999999 - Terreno Abuelo Proyectos sin Terreno</v>
      </c>
      <c r="K366" t="str">
        <f t="shared" si="13"/>
        <v>Terreno</v>
      </c>
    </row>
    <row r="367" spans="1:11" x14ac:dyDescent="0.25">
      <c r="A367" s="50">
        <v>999</v>
      </c>
      <c r="B367" s="51" t="s">
        <v>1808</v>
      </c>
      <c r="C367" s="51"/>
      <c r="D367" s="51" t="s">
        <v>65</v>
      </c>
      <c r="E367" s="51" t="s">
        <v>65</v>
      </c>
      <c r="F367" s="51" t="s">
        <v>1872</v>
      </c>
      <c r="G367" s="51" t="s">
        <v>1663</v>
      </c>
      <c r="H367" s="50" t="s">
        <v>1672</v>
      </c>
      <c r="I367" s="51" t="s">
        <v>1664</v>
      </c>
      <c r="J367" t="str">
        <f t="shared" si="12"/>
        <v>999 - Obra Padre Proyectos sin Obra</v>
      </c>
      <c r="K367" t="str">
        <f t="shared" si="13"/>
        <v>Obra</v>
      </c>
    </row>
    <row r="368" spans="1:11" x14ac:dyDescent="0.25">
      <c r="A368" s="50">
        <v>9921</v>
      </c>
      <c r="B368" s="51" t="s">
        <v>697</v>
      </c>
      <c r="C368" s="51" t="s">
        <v>1670</v>
      </c>
      <c r="D368" s="51" t="s">
        <v>66</v>
      </c>
      <c r="E368" s="51" t="s">
        <v>328</v>
      </c>
      <c r="F368" s="51" t="s">
        <v>1872</v>
      </c>
      <c r="G368" s="51" t="s">
        <v>1661</v>
      </c>
      <c r="H368" s="50" t="s">
        <v>386</v>
      </c>
      <c r="I368" s="51" t="s">
        <v>1666</v>
      </c>
      <c r="J368" t="str">
        <f t="shared" si="12"/>
        <v>9921 - PV Clinica Los Tiempos</v>
      </c>
      <c r="K368" t="str">
        <f t="shared" si="13"/>
        <v>Postventa</v>
      </c>
    </row>
    <row r="369" spans="1:11" x14ac:dyDescent="0.25">
      <c r="A369" s="48">
        <v>999999999</v>
      </c>
      <c r="B369" s="49" t="s">
        <v>1684</v>
      </c>
      <c r="C369" s="49"/>
      <c r="D369" s="49" t="s">
        <v>1578</v>
      </c>
      <c r="E369" s="49" t="s">
        <v>1578</v>
      </c>
      <c r="F369" s="49" t="s">
        <v>1873</v>
      </c>
      <c r="G369" s="49" t="s">
        <v>1661</v>
      </c>
      <c r="H369" s="48" t="s">
        <v>1672</v>
      </c>
      <c r="I369" s="49" t="s">
        <v>1662</v>
      </c>
      <c r="J369" t="str">
        <f t="shared" si="12"/>
        <v>999999999 - Terreno Abuelo Proyectos sin Terreno</v>
      </c>
      <c r="K369" t="str">
        <f t="shared" si="13"/>
        <v>Terreno</v>
      </c>
    </row>
    <row r="370" spans="1:11" x14ac:dyDescent="0.25">
      <c r="A370" s="48">
        <v>46</v>
      </c>
      <c r="B370" s="49" t="s">
        <v>1874</v>
      </c>
      <c r="C370" s="49" t="s">
        <v>1670</v>
      </c>
      <c r="D370" s="49" t="s">
        <v>65</v>
      </c>
      <c r="E370" s="49" t="s">
        <v>65</v>
      </c>
      <c r="F370" s="49" t="s">
        <v>1873</v>
      </c>
      <c r="G370" s="49" t="s">
        <v>1663</v>
      </c>
      <c r="H370" s="48" t="s">
        <v>1672</v>
      </c>
      <c r="I370" s="49" t="s">
        <v>1664</v>
      </c>
      <c r="J370" t="str">
        <f t="shared" si="12"/>
        <v>46 - Clínicas Odontología UC</v>
      </c>
      <c r="K370" t="str">
        <f t="shared" si="13"/>
        <v>Obra</v>
      </c>
    </row>
    <row r="371" spans="1:11" x14ac:dyDescent="0.25">
      <c r="A371" s="48">
        <v>9046</v>
      </c>
      <c r="B371" s="49" t="s">
        <v>592</v>
      </c>
      <c r="C371" s="49" t="s">
        <v>1670</v>
      </c>
      <c r="D371" s="49" t="s">
        <v>66</v>
      </c>
      <c r="E371" s="49" t="s">
        <v>328</v>
      </c>
      <c r="F371" s="49" t="s">
        <v>1873</v>
      </c>
      <c r="G371" s="49" t="s">
        <v>1661</v>
      </c>
      <c r="H371" s="48" t="s">
        <v>386</v>
      </c>
      <c r="I371" s="49" t="s">
        <v>1666</v>
      </c>
      <c r="J371" t="str">
        <f t="shared" si="12"/>
        <v>9046 - PV Clínica Odontológica</v>
      </c>
      <c r="K371" t="str">
        <f t="shared" si="13"/>
        <v>Postventa</v>
      </c>
    </row>
    <row r="372" spans="1:11" x14ac:dyDescent="0.25">
      <c r="A372" s="56">
        <v>999999999</v>
      </c>
      <c r="B372" s="57" t="s">
        <v>1684</v>
      </c>
      <c r="C372" s="57"/>
      <c r="D372" s="57" t="s">
        <v>1578</v>
      </c>
      <c r="E372" s="57" t="s">
        <v>1578</v>
      </c>
      <c r="F372" s="57" t="s">
        <v>1875</v>
      </c>
      <c r="G372" s="57" t="s">
        <v>1661</v>
      </c>
      <c r="H372" s="56" t="s">
        <v>1672</v>
      </c>
      <c r="I372" s="57" t="s">
        <v>1662</v>
      </c>
      <c r="J372" t="str">
        <f t="shared" si="12"/>
        <v>999999999 - Terreno Abuelo Proyectos sin Terreno</v>
      </c>
      <c r="K372" t="str">
        <f t="shared" si="13"/>
        <v>Terreno</v>
      </c>
    </row>
    <row r="373" spans="1:11" x14ac:dyDescent="0.25">
      <c r="A373" s="56">
        <v>54</v>
      </c>
      <c r="B373" s="57" t="s">
        <v>1875</v>
      </c>
      <c r="C373" s="57" t="s">
        <v>1685</v>
      </c>
      <c r="D373" s="57" t="s">
        <v>65</v>
      </c>
      <c r="E373" s="57" t="s">
        <v>65</v>
      </c>
      <c r="F373" s="57" t="s">
        <v>1875</v>
      </c>
      <c r="G373" s="57" t="s">
        <v>1663</v>
      </c>
      <c r="H373" s="56" t="s">
        <v>1672</v>
      </c>
      <c r="I373" s="57" t="s">
        <v>1664</v>
      </c>
      <c r="J373" t="str">
        <f t="shared" si="12"/>
        <v>54 - Club La Foresta</v>
      </c>
      <c r="K373" t="str">
        <f t="shared" si="13"/>
        <v>Obra</v>
      </c>
    </row>
    <row r="374" spans="1:11" x14ac:dyDescent="0.25">
      <c r="A374" s="56">
        <v>10030000</v>
      </c>
      <c r="B374" s="57" t="s">
        <v>1875</v>
      </c>
      <c r="C374" s="57" t="s">
        <v>1685</v>
      </c>
      <c r="D374" s="57" t="s">
        <v>1665</v>
      </c>
      <c r="E374" s="57" t="s">
        <v>1585</v>
      </c>
      <c r="F374" s="57" t="s">
        <v>1875</v>
      </c>
      <c r="G374" s="57" t="s">
        <v>1661</v>
      </c>
      <c r="H374" s="56" t="s">
        <v>1672</v>
      </c>
      <c r="I374" s="57" t="s">
        <v>1666</v>
      </c>
      <c r="J374" t="str">
        <f t="shared" si="12"/>
        <v>10030000 - Club La Foresta</v>
      </c>
      <c r="K374" t="str">
        <f t="shared" si="13"/>
        <v>Proyectos Inmobiliarios</v>
      </c>
    </row>
    <row r="375" spans="1:11" x14ac:dyDescent="0.25">
      <c r="A375" s="56">
        <v>10030102</v>
      </c>
      <c r="B375" s="57" t="s">
        <v>1876</v>
      </c>
      <c r="C375" s="57" t="s">
        <v>1685</v>
      </c>
      <c r="D375" s="57" t="s">
        <v>1665</v>
      </c>
      <c r="E375" s="57" t="s">
        <v>1617</v>
      </c>
      <c r="F375" s="57" t="s">
        <v>1875</v>
      </c>
      <c r="G375" s="57" t="s">
        <v>1661</v>
      </c>
      <c r="H375" s="56" t="s">
        <v>1672</v>
      </c>
      <c r="I375" s="57" t="s">
        <v>1666</v>
      </c>
      <c r="J375" t="str">
        <f t="shared" si="12"/>
        <v>10030102 - Club La Foresta-Marketing</v>
      </c>
      <c r="K375" t="str">
        <f t="shared" si="13"/>
        <v>Proyectos Inmobiliarios</v>
      </c>
    </row>
    <row r="376" spans="1:11" x14ac:dyDescent="0.25">
      <c r="A376" s="56">
        <v>10030103</v>
      </c>
      <c r="B376" s="57" t="s">
        <v>1877</v>
      </c>
      <c r="C376" s="57" t="s">
        <v>1685</v>
      </c>
      <c r="D376" s="57" t="s">
        <v>1665</v>
      </c>
      <c r="E376" s="57" t="s">
        <v>1618</v>
      </c>
      <c r="F376" s="57" t="s">
        <v>1875</v>
      </c>
      <c r="G376" s="57" t="s">
        <v>1661</v>
      </c>
      <c r="H376" s="56" t="s">
        <v>1672</v>
      </c>
      <c r="I376" s="57" t="s">
        <v>1666</v>
      </c>
      <c r="J376" t="str">
        <f t="shared" si="12"/>
        <v>10030103 - Club La Foresta-Operaciones</v>
      </c>
      <c r="K376" t="str">
        <f t="shared" si="13"/>
        <v>Proyectos Inmobiliarios</v>
      </c>
    </row>
    <row r="377" spans="1:11" x14ac:dyDescent="0.25">
      <c r="A377" s="56">
        <v>10030104</v>
      </c>
      <c r="B377" s="57" t="s">
        <v>1878</v>
      </c>
      <c r="C377" s="57" t="s">
        <v>1685</v>
      </c>
      <c r="D377" s="57" t="s">
        <v>1665</v>
      </c>
      <c r="E377" s="57" t="s">
        <v>90</v>
      </c>
      <c r="F377" s="57" t="s">
        <v>1875</v>
      </c>
      <c r="G377" s="57" t="s">
        <v>1661</v>
      </c>
      <c r="H377" s="56" t="s">
        <v>1672</v>
      </c>
      <c r="I377" s="57" t="s">
        <v>1666</v>
      </c>
      <c r="J377" t="str">
        <f t="shared" si="12"/>
        <v>10030104 - Club La Foresta-Ventas</v>
      </c>
      <c r="K377" t="str">
        <f t="shared" si="13"/>
        <v>Proyectos Inmobiliarios</v>
      </c>
    </row>
    <row r="378" spans="1:11" x14ac:dyDescent="0.25">
      <c r="A378" s="56">
        <v>10030105</v>
      </c>
      <c r="B378" s="57" t="s">
        <v>1879</v>
      </c>
      <c r="C378" s="57" t="s">
        <v>1685</v>
      </c>
      <c r="D378" s="57" t="s">
        <v>1665</v>
      </c>
      <c r="E378" s="57" t="s">
        <v>1622</v>
      </c>
      <c r="F378" s="57" t="s">
        <v>1875</v>
      </c>
      <c r="G378" s="57" t="s">
        <v>1661</v>
      </c>
      <c r="H378" s="56" t="s">
        <v>1672</v>
      </c>
      <c r="I378" s="57" t="s">
        <v>1666</v>
      </c>
      <c r="J378" t="str">
        <f t="shared" si="12"/>
        <v>10030105 - Club La Foresta-Clientes</v>
      </c>
      <c r="K378" t="str">
        <f t="shared" si="13"/>
        <v>Proyectos Inmobiliarios</v>
      </c>
    </row>
    <row r="379" spans="1:11" x14ac:dyDescent="0.25">
      <c r="A379" s="56">
        <v>10030205</v>
      </c>
      <c r="B379" s="57" t="s">
        <v>1880</v>
      </c>
      <c r="C379" s="57" t="s">
        <v>1685</v>
      </c>
      <c r="D379" s="57" t="s">
        <v>1665</v>
      </c>
      <c r="E379" s="57" t="s">
        <v>1624</v>
      </c>
      <c r="F379" s="57" t="s">
        <v>1875</v>
      </c>
      <c r="G379" s="57" t="s">
        <v>1661</v>
      </c>
      <c r="H379" s="56" t="s">
        <v>1672</v>
      </c>
      <c r="I379" s="57" t="s">
        <v>1666</v>
      </c>
      <c r="J379" t="str">
        <f t="shared" si="12"/>
        <v>10030205 - Club La Foresta-Proyecto</v>
      </c>
      <c r="K379" t="str">
        <f t="shared" si="13"/>
        <v>Proyectos Inmobiliarios</v>
      </c>
    </row>
    <row r="380" spans="1:11" x14ac:dyDescent="0.25">
      <c r="A380" s="56">
        <v>10030301</v>
      </c>
      <c r="B380" s="57" t="s">
        <v>1881</v>
      </c>
      <c r="C380" s="57" t="s">
        <v>1685</v>
      </c>
      <c r="D380" s="57" t="s">
        <v>1665</v>
      </c>
      <c r="E380" s="57" t="s">
        <v>1643</v>
      </c>
      <c r="F380" s="57" t="s">
        <v>1875</v>
      </c>
      <c r="G380" s="57" t="s">
        <v>1667</v>
      </c>
      <c r="H380" s="56" t="s">
        <v>1672</v>
      </c>
      <c r="I380" s="57" t="s">
        <v>1666</v>
      </c>
      <c r="J380" t="str">
        <f t="shared" si="12"/>
        <v>10030301 - Club La Foresta-GAF</v>
      </c>
      <c r="K380" t="str">
        <f t="shared" si="13"/>
        <v>Proyectos Inmobiliarios</v>
      </c>
    </row>
    <row r="381" spans="1:11" x14ac:dyDescent="0.25">
      <c r="A381" s="56">
        <v>10030505</v>
      </c>
      <c r="B381" s="57" t="s">
        <v>1882</v>
      </c>
      <c r="C381" s="57" t="s">
        <v>1685</v>
      </c>
      <c r="D381" s="57" t="s">
        <v>66</v>
      </c>
      <c r="E381" s="57" t="s">
        <v>328</v>
      </c>
      <c r="F381" s="57" t="s">
        <v>1875</v>
      </c>
      <c r="G381" s="57" t="s">
        <v>1661</v>
      </c>
      <c r="H381" s="56" t="s">
        <v>1672</v>
      </c>
      <c r="I381" s="57" t="s">
        <v>1666</v>
      </c>
      <c r="J381" t="str">
        <f t="shared" si="12"/>
        <v>10030505 - Club La Foresta-PV Inmob.</v>
      </c>
      <c r="K381" t="str">
        <f t="shared" si="13"/>
        <v>Postventa</v>
      </c>
    </row>
    <row r="382" spans="1:11" x14ac:dyDescent="0.25">
      <c r="A382" s="56">
        <v>10030506</v>
      </c>
      <c r="B382" s="57" t="s">
        <v>1883</v>
      </c>
      <c r="C382" s="57" t="s">
        <v>1685</v>
      </c>
      <c r="D382" s="57" t="s">
        <v>1665</v>
      </c>
      <c r="E382" s="57" t="s">
        <v>200</v>
      </c>
      <c r="F382" s="57" t="s">
        <v>1875</v>
      </c>
      <c r="G382" s="57" t="s">
        <v>1661</v>
      </c>
      <c r="H382" s="56" t="s">
        <v>1672</v>
      </c>
      <c r="I382" s="57" t="s">
        <v>1666</v>
      </c>
      <c r="J382" t="str">
        <f t="shared" si="12"/>
        <v>10030506 - Club La Foresta-Depto. Técnico</v>
      </c>
      <c r="K382" t="str">
        <f t="shared" si="13"/>
        <v>Proyectos Inmobiliarios</v>
      </c>
    </row>
    <row r="383" spans="1:11" x14ac:dyDescent="0.25">
      <c r="A383" s="56">
        <v>10103000</v>
      </c>
      <c r="B383" s="57" t="s">
        <v>1884</v>
      </c>
      <c r="C383" s="57" t="s">
        <v>1685</v>
      </c>
      <c r="D383" s="57" t="s">
        <v>1665</v>
      </c>
      <c r="E383" s="57" t="s">
        <v>1585</v>
      </c>
      <c r="F383" s="57" t="s">
        <v>1875</v>
      </c>
      <c r="G383" s="57" t="s">
        <v>1661</v>
      </c>
      <c r="H383" s="56" t="s">
        <v>1672</v>
      </c>
      <c r="I383" s="57" t="s">
        <v>1666</v>
      </c>
      <c r="J383" t="str">
        <f t="shared" si="12"/>
        <v>10103000 - CLUB LA FORESTA</v>
      </c>
      <c r="K383" t="str">
        <f t="shared" si="13"/>
        <v>Proyectos Inmobiliarios</v>
      </c>
    </row>
    <row r="384" spans="1:11" x14ac:dyDescent="0.25">
      <c r="A384" s="56">
        <v>8054</v>
      </c>
      <c r="B384" s="57" t="s">
        <v>1885</v>
      </c>
      <c r="C384" s="57" t="s">
        <v>1685</v>
      </c>
      <c r="D384" s="57" t="s">
        <v>1686</v>
      </c>
      <c r="E384" s="57" t="s">
        <v>1501</v>
      </c>
      <c r="F384" s="57" t="s">
        <v>1875</v>
      </c>
      <c r="G384" s="57" t="s">
        <v>1661</v>
      </c>
      <c r="H384" s="56" t="s">
        <v>1672</v>
      </c>
      <c r="I384" s="57" t="s">
        <v>1666</v>
      </c>
      <c r="J384" t="str">
        <f t="shared" si="12"/>
        <v>8054 - Entrega Club La Foresta              </v>
      </c>
      <c r="K384" t="str">
        <f t="shared" si="13"/>
        <v>Entrega</v>
      </c>
    </row>
    <row r="385" spans="1:11" x14ac:dyDescent="0.25">
      <c r="A385" s="56">
        <v>9054</v>
      </c>
      <c r="B385" s="57" t="s">
        <v>599</v>
      </c>
      <c r="C385" s="57" t="s">
        <v>1685</v>
      </c>
      <c r="D385" s="57" t="s">
        <v>66</v>
      </c>
      <c r="E385" s="57" t="s">
        <v>328</v>
      </c>
      <c r="F385" s="57" t="s">
        <v>1875</v>
      </c>
      <c r="G385" s="57" t="s">
        <v>1661</v>
      </c>
      <c r="H385" s="56" t="s">
        <v>386</v>
      </c>
      <c r="I385" s="57" t="s">
        <v>1666</v>
      </c>
      <c r="J385" t="str">
        <f t="shared" si="12"/>
        <v>9054 - PV Club La Foresta              </v>
      </c>
      <c r="K385" t="str">
        <f t="shared" si="13"/>
        <v>Postventa</v>
      </c>
    </row>
    <row r="386" spans="1:11" x14ac:dyDescent="0.25">
      <c r="A386" s="58">
        <v>999999999</v>
      </c>
      <c r="B386" s="59" t="s">
        <v>1684</v>
      </c>
      <c r="C386" s="59"/>
      <c r="D386" s="59" t="s">
        <v>1578</v>
      </c>
      <c r="E386" s="59" t="s">
        <v>1578</v>
      </c>
      <c r="F386" s="59" t="s">
        <v>1886</v>
      </c>
      <c r="G386" s="59" t="s">
        <v>1661</v>
      </c>
      <c r="H386" s="58" t="s">
        <v>1672</v>
      </c>
      <c r="I386" s="59" t="s">
        <v>1662</v>
      </c>
      <c r="J386" t="str">
        <f t="shared" si="12"/>
        <v>999999999 - Terreno Abuelo Proyectos sin Terreno</v>
      </c>
      <c r="K386" t="str">
        <f t="shared" si="13"/>
        <v>Terreno</v>
      </c>
    </row>
    <row r="387" spans="1:11" x14ac:dyDescent="0.25">
      <c r="A387" s="58">
        <v>999</v>
      </c>
      <c r="B387" s="59" t="s">
        <v>1808</v>
      </c>
      <c r="C387" s="59"/>
      <c r="D387" s="59" t="s">
        <v>65</v>
      </c>
      <c r="E387" s="59" t="s">
        <v>65</v>
      </c>
      <c r="F387" s="59" t="s">
        <v>1886</v>
      </c>
      <c r="G387" s="59" t="s">
        <v>1663</v>
      </c>
      <c r="H387" s="58" t="s">
        <v>1672</v>
      </c>
      <c r="I387" s="59" t="s">
        <v>1664</v>
      </c>
      <c r="J387" t="str">
        <f t="shared" si="12"/>
        <v>999 - Obra Padre Proyectos sin Obra</v>
      </c>
      <c r="K387" t="str">
        <f t="shared" si="13"/>
        <v>Obra</v>
      </c>
    </row>
    <row r="388" spans="1:11" x14ac:dyDescent="0.25">
      <c r="A388" s="58">
        <v>9909</v>
      </c>
      <c r="B388" s="59" t="s">
        <v>685</v>
      </c>
      <c r="C388" s="59" t="s">
        <v>1685</v>
      </c>
      <c r="D388" s="59" t="s">
        <v>66</v>
      </c>
      <c r="E388" s="59" t="s">
        <v>328</v>
      </c>
      <c r="F388" s="59" t="s">
        <v>1886</v>
      </c>
      <c r="G388" s="59" t="s">
        <v>1661</v>
      </c>
      <c r="H388" s="58" t="s">
        <v>386</v>
      </c>
      <c r="I388" s="59" t="s">
        <v>1666</v>
      </c>
      <c r="J388" t="str">
        <f t="shared" ref="J388:J451" si="14">+A388&amp;" - "&amp;B388</f>
        <v>9909 - PV Colegio Saint Margaret</v>
      </c>
      <c r="K388" t="str">
        <f t="shared" ref="K388:K451" si="15">+D388</f>
        <v>Postventa</v>
      </c>
    </row>
    <row r="389" spans="1:11" x14ac:dyDescent="0.25">
      <c r="A389" s="52">
        <v>999999999</v>
      </c>
      <c r="B389" s="53" t="s">
        <v>1684</v>
      </c>
      <c r="C389" s="53"/>
      <c r="D389" s="53" t="s">
        <v>1578</v>
      </c>
      <c r="E389" s="53" t="s">
        <v>1578</v>
      </c>
      <c r="F389" s="53" t="s">
        <v>1887</v>
      </c>
      <c r="G389" s="53" t="s">
        <v>1661</v>
      </c>
      <c r="H389" s="52" t="s">
        <v>1672</v>
      </c>
      <c r="I389" s="53" t="s">
        <v>1662</v>
      </c>
      <c r="J389" t="str">
        <f t="shared" si="14"/>
        <v>999999999 - Terreno Abuelo Proyectos sin Terreno</v>
      </c>
      <c r="K389" t="str">
        <f t="shared" si="15"/>
        <v>Terreno</v>
      </c>
    </row>
    <row r="390" spans="1:11" x14ac:dyDescent="0.25">
      <c r="A390" s="52">
        <v>999</v>
      </c>
      <c r="B390" s="53" t="s">
        <v>1808</v>
      </c>
      <c r="C390" s="53"/>
      <c r="D390" s="53" t="s">
        <v>65</v>
      </c>
      <c r="E390" s="53" t="s">
        <v>65</v>
      </c>
      <c r="F390" s="53" t="s">
        <v>1887</v>
      </c>
      <c r="G390" s="53" t="s">
        <v>1663</v>
      </c>
      <c r="H390" s="52" t="s">
        <v>1672</v>
      </c>
      <c r="I390" s="53" t="s">
        <v>1664</v>
      </c>
      <c r="J390" t="str">
        <f t="shared" si="14"/>
        <v>999 - Obra Padre Proyectos sin Obra</v>
      </c>
      <c r="K390" t="str">
        <f t="shared" si="15"/>
        <v>Obra</v>
      </c>
    </row>
    <row r="391" spans="1:11" x14ac:dyDescent="0.25">
      <c r="A391" s="52">
        <v>9910</v>
      </c>
      <c r="B391" s="53" t="s">
        <v>686</v>
      </c>
      <c r="C391" s="53" t="s">
        <v>1685</v>
      </c>
      <c r="D391" s="53" t="s">
        <v>66</v>
      </c>
      <c r="E391" s="53" t="s">
        <v>328</v>
      </c>
      <c r="F391" s="53" t="s">
        <v>1887</v>
      </c>
      <c r="G391" s="53" t="s">
        <v>1661</v>
      </c>
      <c r="H391" s="52" t="s">
        <v>386</v>
      </c>
      <c r="I391" s="53" t="s">
        <v>1666</v>
      </c>
      <c r="J391" t="str">
        <f t="shared" si="14"/>
        <v>9910 - PV Colegio Saint Paul</v>
      </c>
      <c r="K391" t="str">
        <f t="shared" si="15"/>
        <v>Postventa</v>
      </c>
    </row>
    <row r="392" spans="1:11" x14ac:dyDescent="0.25">
      <c r="A392" s="70">
        <v>1095202</v>
      </c>
      <c r="B392" s="71" t="s">
        <v>738</v>
      </c>
      <c r="C392" s="71" t="s">
        <v>1670</v>
      </c>
      <c r="D392" s="71" t="s">
        <v>1578</v>
      </c>
      <c r="E392" s="71" t="s">
        <v>1578</v>
      </c>
      <c r="F392" s="71" t="s">
        <v>1050</v>
      </c>
      <c r="G392" s="71" t="s">
        <v>1661</v>
      </c>
      <c r="H392" s="70" t="s">
        <v>386</v>
      </c>
      <c r="I392" s="71" t="s">
        <v>1662</v>
      </c>
      <c r="J392" t="str">
        <f t="shared" si="14"/>
        <v>1095202 - Terreno Conde Maule – Inversiones</v>
      </c>
      <c r="K392" t="str">
        <f t="shared" si="15"/>
        <v>Terreno</v>
      </c>
    </row>
    <row r="393" spans="1:11" x14ac:dyDescent="0.25">
      <c r="A393" s="70">
        <v>226</v>
      </c>
      <c r="B393" s="71" t="s">
        <v>1050</v>
      </c>
      <c r="C393" s="71" t="s">
        <v>1670</v>
      </c>
      <c r="D393" s="71" t="s">
        <v>65</v>
      </c>
      <c r="E393" s="71" t="s">
        <v>65</v>
      </c>
      <c r="F393" s="71" t="s">
        <v>1050</v>
      </c>
      <c r="G393" s="71" t="s">
        <v>1663</v>
      </c>
      <c r="H393" s="70" t="s">
        <v>1672</v>
      </c>
      <c r="I393" s="71" t="s">
        <v>1664</v>
      </c>
      <c r="J393" t="str">
        <f t="shared" si="14"/>
        <v>226 - Conde del Maule 4676</v>
      </c>
      <c r="K393" t="str">
        <f t="shared" si="15"/>
        <v>Obra</v>
      </c>
    </row>
    <row r="394" spans="1:11" x14ac:dyDescent="0.25">
      <c r="A394" s="70">
        <v>8226</v>
      </c>
      <c r="B394" s="71" t="s">
        <v>521</v>
      </c>
      <c r="C394" s="71" t="s">
        <v>1670</v>
      </c>
      <c r="D394" s="71" t="s">
        <v>1686</v>
      </c>
      <c r="E394" s="71" t="s">
        <v>1501</v>
      </c>
      <c r="F394" s="71" t="s">
        <v>1050</v>
      </c>
      <c r="G394" s="71" t="s">
        <v>1661</v>
      </c>
      <c r="H394" s="70" t="s">
        <v>386</v>
      </c>
      <c r="I394" s="71" t="s">
        <v>1666</v>
      </c>
      <c r="J394" t="str">
        <f t="shared" si="14"/>
        <v>8226 - Entrega Conde del Maule 4676</v>
      </c>
      <c r="K394" t="str">
        <f t="shared" si="15"/>
        <v>Entrega</v>
      </c>
    </row>
    <row r="395" spans="1:11" x14ac:dyDescent="0.25">
      <c r="A395" s="70">
        <v>9226</v>
      </c>
      <c r="B395" s="71" t="s">
        <v>646</v>
      </c>
      <c r="C395" s="71" t="s">
        <v>1670</v>
      </c>
      <c r="D395" s="71" t="s">
        <v>66</v>
      </c>
      <c r="E395" s="71" t="s">
        <v>328</v>
      </c>
      <c r="F395" s="71" t="s">
        <v>1050</v>
      </c>
      <c r="G395" s="71" t="s">
        <v>1661</v>
      </c>
      <c r="H395" s="70" t="s">
        <v>386</v>
      </c>
      <c r="I395" s="71" t="s">
        <v>1666</v>
      </c>
      <c r="J395" t="str">
        <f t="shared" si="14"/>
        <v>9226 - PV Conde del Maule 4676</v>
      </c>
      <c r="K395" t="str">
        <f t="shared" si="15"/>
        <v>Postventa</v>
      </c>
    </row>
    <row r="396" spans="1:11" x14ac:dyDescent="0.25">
      <c r="A396" s="70">
        <v>10226000</v>
      </c>
      <c r="B396" s="71" t="s">
        <v>1050</v>
      </c>
      <c r="C396" s="71" t="s">
        <v>1670</v>
      </c>
      <c r="D396" s="71" t="s">
        <v>1665</v>
      </c>
      <c r="E396" s="71" t="s">
        <v>1585</v>
      </c>
      <c r="F396" s="71" t="s">
        <v>1050</v>
      </c>
      <c r="G396" s="71" t="s">
        <v>1661</v>
      </c>
      <c r="H396" s="70" t="s">
        <v>386</v>
      </c>
      <c r="I396" s="71" t="s">
        <v>1666</v>
      </c>
      <c r="J396" t="str">
        <f t="shared" si="14"/>
        <v>10226000 - Conde del Maule 4676</v>
      </c>
      <c r="K396" t="str">
        <f t="shared" si="15"/>
        <v>Proyectos Inmobiliarios</v>
      </c>
    </row>
    <row r="397" spans="1:11" x14ac:dyDescent="0.25">
      <c r="A397" s="70">
        <v>10226102</v>
      </c>
      <c r="B397" s="71" t="s">
        <v>1051</v>
      </c>
      <c r="C397" s="71" t="s">
        <v>1670</v>
      </c>
      <c r="D397" s="71" t="s">
        <v>1665</v>
      </c>
      <c r="E397" s="71" t="s">
        <v>1617</v>
      </c>
      <c r="F397" s="71" t="s">
        <v>1050</v>
      </c>
      <c r="G397" s="71" t="s">
        <v>1661</v>
      </c>
      <c r="H397" s="70" t="s">
        <v>386</v>
      </c>
      <c r="I397" s="71" t="s">
        <v>1666</v>
      </c>
      <c r="J397" t="str">
        <f t="shared" si="14"/>
        <v>10226102 - Conde del Maule 4676-Marketing</v>
      </c>
      <c r="K397" t="str">
        <f t="shared" si="15"/>
        <v>Proyectos Inmobiliarios</v>
      </c>
    </row>
    <row r="398" spans="1:11" x14ac:dyDescent="0.25">
      <c r="A398" s="70">
        <v>10226103</v>
      </c>
      <c r="B398" s="71" t="s">
        <v>1052</v>
      </c>
      <c r="C398" s="71" t="s">
        <v>1670</v>
      </c>
      <c r="D398" s="71" t="s">
        <v>1665</v>
      </c>
      <c r="E398" s="71" t="s">
        <v>1618</v>
      </c>
      <c r="F398" s="71" t="s">
        <v>1050</v>
      </c>
      <c r="G398" s="71" t="s">
        <v>1661</v>
      </c>
      <c r="H398" s="70" t="s">
        <v>386</v>
      </c>
      <c r="I398" s="71" t="s">
        <v>1666</v>
      </c>
      <c r="J398" t="str">
        <f t="shared" si="14"/>
        <v>10226103 - Conde del Maule 4676-Operaciones</v>
      </c>
      <c r="K398" t="str">
        <f t="shared" si="15"/>
        <v>Proyectos Inmobiliarios</v>
      </c>
    </row>
    <row r="399" spans="1:11" x14ac:dyDescent="0.25">
      <c r="A399" s="70">
        <v>10226104</v>
      </c>
      <c r="B399" s="71" t="s">
        <v>1053</v>
      </c>
      <c r="C399" s="71" t="s">
        <v>1670</v>
      </c>
      <c r="D399" s="71" t="s">
        <v>1665</v>
      </c>
      <c r="E399" s="71" t="s">
        <v>90</v>
      </c>
      <c r="F399" s="71" t="s">
        <v>1050</v>
      </c>
      <c r="G399" s="71" t="s">
        <v>1661</v>
      </c>
      <c r="H399" s="70" t="s">
        <v>386</v>
      </c>
      <c r="I399" s="71" t="s">
        <v>1666</v>
      </c>
      <c r="J399" t="str">
        <f t="shared" si="14"/>
        <v>10226104 - Conde del Maule 4676-Ventas</v>
      </c>
      <c r="K399" t="str">
        <f t="shared" si="15"/>
        <v>Proyectos Inmobiliarios</v>
      </c>
    </row>
    <row r="400" spans="1:11" x14ac:dyDescent="0.25">
      <c r="A400" s="70">
        <v>10226105</v>
      </c>
      <c r="B400" s="71" t="s">
        <v>1054</v>
      </c>
      <c r="C400" s="71" t="s">
        <v>1670</v>
      </c>
      <c r="D400" s="71" t="s">
        <v>1665</v>
      </c>
      <c r="E400" s="71" t="s">
        <v>1622</v>
      </c>
      <c r="F400" s="71" t="s">
        <v>1050</v>
      </c>
      <c r="G400" s="71" t="s">
        <v>1661</v>
      </c>
      <c r="H400" s="70" t="s">
        <v>386</v>
      </c>
      <c r="I400" s="71" t="s">
        <v>1666</v>
      </c>
      <c r="J400" t="str">
        <f t="shared" si="14"/>
        <v>10226105 - Conde del Maule 4676-Clientes</v>
      </c>
      <c r="K400" t="str">
        <f t="shared" si="15"/>
        <v>Proyectos Inmobiliarios</v>
      </c>
    </row>
    <row r="401" spans="1:11" x14ac:dyDescent="0.25">
      <c r="A401" s="70">
        <v>10226204</v>
      </c>
      <c r="B401" s="71" t="s">
        <v>1055</v>
      </c>
      <c r="C401" s="71" t="s">
        <v>1670</v>
      </c>
      <c r="D401" s="71" t="s">
        <v>1665</v>
      </c>
      <c r="E401" s="71" t="s">
        <v>1624</v>
      </c>
      <c r="F401" s="71" t="s">
        <v>1050</v>
      </c>
      <c r="G401" s="71" t="s">
        <v>1661</v>
      </c>
      <c r="H401" s="70" t="s">
        <v>386</v>
      </c>
      <c r="I401" s="71" t="s">
        <v>1666</v>
      </c>
      <c r="J401" t="str">
        <f t="shared" si="14"/>
        <v>10226204 - Conde del Maule 4676-Proyecto</v>
      </c>
      <c r="K401" t="str">
        <f t="shared" si="15"/>
        <v>Proyectos Inmobiliarios</v>
      </c>
    </row>
    <row r="402" spans="1:11" x14ac:dyDescent="0.25">
      <c r="A402" s="70">
        <v>10226301</v>
      </c>
      <c r="B402" s="71" t="s">
        <v>1056</v>
      </c>
      <c r="C402" s="71" t="s">
        <v>1670</v>
      </c>
      <c r="D402" s="71" t="s">
        <v>1665</v>
      </c>
      <c r="E402" s="71" t="s">
        <v>1643</v>
      </c>
      <c r="F402" s="71" t="s">
        <v>1050</v>
      </c>
      <c r="G402" s="71" t="s">
        <v>1667</v>
      </c>
      <c r="H402" s="70" t="s">
        <v>386</v>
      </c>
      <c r="I402" s="71" t="s">
        <v>1666</v>
      </c>
      <c r="J402" t="str">
        <f t="shared" si="14"/>
        <v>10226301 - Conde del Maule 4676-GAF</v>
      </c>
      <c r="K402" t="str">
        <f t="shared" si="15"/>
        <v>Proyectos Inmobiliarios</v>
      </c>
    </row>
    <row r="403" spans="1:11" x14ac:dyDescent="0.25">
      <c r="A403" s="70">
        <v>10226505</v>
      </c>
      <c r="B403" s="71" t="s">
        <v>1057</v>
      </c>
      <c r="C403" s="71" t="s">
        <v>1670</v>
      </c>
      <c r="D403" s="71" t="s">
        <v>66</v>
      </c>
      <c r="E403" s="71" t="s">
        <v>328</v>
      </c>
      <c r="F403" s="71" t="s">
        <v>1050</v>
      </c>
      <c r="G403" s="71" t="s">
        <v>1661</v>
      </c>
      <c r="H403" s="70" t="s">
        <v>386</v>
      </c>
      <c r="I403" s="71" t="s">
        <v>1666</v>
      </c>
      <c r="J403" t="str">
        <f t="shared" si="14"/>
        <v>10226505 - Conde del Maule 4676-PV Inmob.</v>
      </c>
      <c r="K403" t="str">
        <f t="shared" si="15"/>
        <v>Postventa</v>
      </c>
    </row>
    <row r="404" spans="1:11" x14ac:dyDescent="0.25">
      <c r="A404" s="70">
        <v>10226506</v>
      </c>
      <c r="B404" s="71" t="s">
        <v>1058</v>
      </c>
      <c r="C404" s="71" t="s">
        <v>1670</v>
      </c>
      <c r="D404" s="71" t="s">
        <v>1665</v>
      </c>
      <c r="E404" s="71" t="s">
        <v>200</v>
      </c>
      <c r="F404" s="71" t="s">
        <v>1050</v>
      </c>
      <c r="G404" s="71" t="s">
        <v>1661</v>
      </c>
      <c r="H404" s="70" t="s">
        <v>386</v>
      </c>
      <c r="I404" s="71" t="s">
        <v>1666</v>
      </c>
      <c r="J404" t="str">
        <f t="shared" si="14"/>
        <v>10226506 - Conde del Maule 4676-Depto.Técnico</v>
      </c>
      <c r="K404" t="str">
        <f t="shared" si="15"/>
        <v>Proyectos Inmobiliarios</v>
      </c>
    </row>
    <row r="405" spans="1:11" x14ac:dyDescent="0.25">
      <c r="A405" s="50">
        <v>999999999</v>
      </c>
      <c r="B405" s="51" t="s">
        <v>1684</v>
      </c>
      <c r="C405" s="51"/>
      <c r="D405" s="51" t="s">
        <v>1578</v>
      </c>
      <c r="E405" s="51" t="s">
        <v>1578</v>
      </c>
      <c r="F405" s="51" t="s">
        <v>1888</v>
      </c>
      <c r="G405" s="51" t="s">
        <v>1661</v>
      </c>
      <c r="H405" s="50" t="s">
        <v>1672</v>
      </c>
      <c r="I405" s="51" t="s">
        <v>1662</v>
      </c>
      <c r="J405" t="str">
        <f t="shared" si="14"/>
        <v>999999999 - Terreno Abuelo Proyectos sin Terreno</v>
      </c>
      <c r="K405" t="str">
        <f t="shared" si="15"/>
        <v>Terreno</v>
      </c>
    </row>
    <row r="406" spans="1:11" x14ac:dyDescent="0.25">
      <c r="A406" s="50">
        <v>999</v>
      </c>
      <c r="B406" s="51" t="s">
        <v>1808</v>
      </c>
      <c r="C406" s="51"/>
      <c r="D406" s="51" t="s">
        <v>65</v>
      </c>
      <c r="E406" s="51" t="s">
        <v>65</v>
      </c>
      <c r="F406" s="51" t="s">
        <v>1888</v>
      </c>
      <c r="G406" s="51" t="s">
        <v>1663</v>
      </c>
      <c r="H406" s="50" t="s">
        <v>1672</v>
      </c>
      <c r="I406" s="51" t="s">
        <v>1664</v>
      </c>
      <c r="J406" t="str">
        <f t="shared" si="14"/>
        <v>999 - Obra Padre Proyectos sin Obra</v>
      </c>
      <c r="K406" t="str">
        <f t="shared" si="15"/>
        <v>Obra</v>
      </c>
    </row>
    <row r="407" spans="1:11" x14ac:dyDescent="0.25">
      <c r="A407" s="50">
        <v>10176205</v>
      </c>
      <c r="B407" s="51" t="s">
        <v>1889</v>
      </c>
      <c r="C407" s="51" t="s">
        <v>1685</v>
      </c>
      <c r="D407" s="51" t="s">
        <v>1665</v>
      </c>
      <c r="E407" s="51" t="s">
        <v>1624</v>
      </c>
      <c r="F407" s="51" t="s">
        <v>1888</v>
      </c>
      <c r="G407" s="51" t="s">
        <v>1661</v>
      </c>
      <c r="H407" s="50" t="s">
        <v>1672</v>
      </c>
      <c r="I407" s="51" t="s">
        <v>1666</v>
      </c>
      <c r="J407" t="str">
        <f t="shared" si="14"/>
        <v>10176205 - Condom. Castilla Macro-Proyecto</v>
      </c>
      <c r="K407" t="str">
        <f t="shared" si="15"/>
        <v>Proyectos Inmobiliarios</v>
      </c>
    </row>
    <row r="408" spans="1:11" x14ac:dyDescent="0.25">
      <c r="A408" s="50">
        <v>10176506</v>
      </c>
      <c r="B408" s="51" t="s">
        <v>1890</v>
      </c>
      <c r="C408" s="51" t="s">
        <v>1685</v>
      </c>
      <c r="D408" s="51" t="s">
        <v>1665</v>
      </c>
      <c r="E408" s="51" t="s">
        <v>200</v>
      </c>
      <c r="F408" s="51" t="s">
        <v>1888</v>
      </c>
      <c r="G408" s="51" t="s">
        <v>1661</v>
      </c>
      <c r="H408" s="50" t="s">
        <v>1672</v>
      </c>
      <c r="I408" s="51" t="s">
        <v>1666</v>
      </c>
      <c r="J408" t="str">
        <f t="shared" si="14"/>
        <v>10176506 - Condom. Castilla-Depto.Técnico</v>
      </c>
      <c r="K408" t="str">
        <f t="shared" si="15"/>
        <v>Proyectos Inmobiliarios</v>
      </c>
    </row>
    <row r="409" spans="1:11" x14ac:dyDescent="0.25">
      <c r="A409" s="43">
        <v>999999999</v>
      </c>
      <c r="B409" t="s">
        <v>1684</v>
      </c>
      <c r="D409" t="s">
        <v>1578</v>
      </c>
      <c r="E409" t="s">
        <v>1578</v>
      </c>
      <c r="F409" t="s">
        <v>1891</v>
      </c>
      <c r="G409" t="s">
        <v>1661</v>
      </c>
      <c r="H409" s="43" t="s">
        <v>1672</v>
      </c>
      <c r="I409" t="s">
        <v>1662</v>
      </c>
      <c r="J409" t="str">
        <f t="shared" si="14"/>
        <v>999999999 - Terreno Abuelo Proyectos sin Terreno</v>
      </c>
      <c r="K409" t="str">
        <f t="shared" si="15"/>
        <v>Terreno</v>
      </c>
    </row>
    <row r="410" spans="1:11" x14ac:dyDescent="0.25">
      <c r="A410" s="56">
        <v>105</v>
      </c>
      <c r="B410" s="57" t="s">
        <v>1891</v>
      </c>
      <c r="C410" s="57" t="s">
        <v>1836</v>
      </c>
      <c r="D410" s="57" t="s">
        <v>65</v>
      </c>
      <c r="E410" s="57" t="s">
        <v>65</v>
      </c>
      <c r="F410" s="57" t="s">
        <v>1891</v>
      </c>
      <c r="G410" s="57" t="s">
        <v>1663</v>
      </c>
      <c r="H410" s="56" t="s">
        <v>1672</v>
      </c>
      <c r="I410" s="57" t="s">
        <v>1664</v>
      </c>
      <c r="J410" t="str">
        <f t="shared" si="14"/>
        <v>105 - Condominio Activo</v>
      </c>
      <c r="K410" t="str">
        <f t="shared" si="15"/>
        <v>Obra</v>
      </c>
    </row>
    <row r="411" spans="1:11" x14ac:dyDescent="0.25">
      <c r="A411" s="56">
        <v>9222</v>
      </c>
      <c r="B411" s="57" t="s">
        <v>643</v>
      </c>
      <c r="C411" s="57" t="s">
        <v>1836</v>
      </c>
      <c r="D411" s="57" t="s">
        <v>66</v>
      </c>
      <c r="E411" s="57" t="s">
        <v>328</v>
      </c>
      <c r="F411" s="57" t="s">
        <v>1891</v>
      </c>
      <c r="G411" s="57" t="s">
        <v>1661</v>
      </c>
      <c r="H411" s="56" t="s">
        <v>386</v>
      </c>
      <c r="I411" s="57" t="s">
        <v>1666</v>
      </c>
      <c r="J411" t="str">
        <f t="shared" si="14"/>
        <v>9222 - PV Condominio Activo</v>
      </c>
      <c r="K411" t="str">
        <f t="shared" si="15"/>
        <v>Postventa</v>
      </c>
    </row>
    <row r="412" spans="1:11" x14ac:dyDescent="0.25">
      <c r="A412" s="56">
        <v>10104000</v>
      </c>
      <c r="B412" s="57" t="s">
        <v>1892</v>
      </c>
      <c r="C412" s="57" t="s">
        <v>1836</v>
      </c>
      <c r="D412" s="57" t="s">
        <v>1665</v>
      </c>
      <c r="E412" s="57" t="s">
        <v>1585</v>
      </c>
      <c r="F412" s="57" t="s">
        <v>1891</v>
      </c>
      <c r="G412" s="57" t="s">
        <v>1667</v>
      </c>
      <c r="H412" s="56" t="s">
        <v>1672</v>
      </c>
      <c r="I412" s="57" t="s">
        <v>1666</v>
      </c>
      <c r="J412" t="str">
        <f t="shared" si="14"/>
        <v>10104000 - Condominio Activo Etapa 2</v>
      </c>
      <c r="K412" t="str">
        <f t="shared" si="15"/>
        <v>Proyectos Inmobiliarios</v>
      </c>
    </row>
    <row r="413" spans="1:11" x14ac:dyDescent="0.25">
      <c r="A413" s="56">
        <v>10105000</v>
      </c>
      <c r="B413" s="57" t="s">
        <v>1891</v>
      </c>
      <c r="C413" s="57" t="s">
        <v>1836</v>
      </c>
      <c r="D413" s="57" t="s">
        <v>1665</v>
      </c>
      <c r="E413" s="57" t="s">
        <v>1585</v>
      </c>
      <c r="F413" s="57" t="s">
        <v>1891</v>
      </c>
      <c r="G413" s="57" t="s">
        <v>1661</v>
      </c>
      <c r="H413" s="56" t="s">
        <v>1672</v>
      </c>
      <c r="I413" s="57" t="s">
        <v>1666</v>
      </c>
      <c r="J413" t="str">
        <f t="shared" si="14"/>
        <v>10105000 - Condominio Activo</v>
      </c>
      <c r="K413" t="str">
        <f t="shared" si="15"/>
        <v>Proyectos Inmobiliarios</v>
      </c>
    </row>
    <row r="414" spans="1:11" x14ac:dyDescent="0.25">
      <c r="A414" s="56">
        <v>10105102</v>
      </c>
      <c r="B414" s="57" t="s">
        <v>1893</v>
      </c>
      <c r="C414" s="57" t="s">
        <v>1836</v>
      </c>
      <c r="D414" s="57" t="s">
        <v>1665</v>
      </c>
      <c r="E414" s="57" t="s">
        <v>1617</v>
      </c>
      <c r="F414" s="57" t="s">
        <v>1891</v>
      </c>
      <c r="G414" s="57" t="s">
        <v>1661</v>
      </c>
      <c r="H414" s="56" t="s">
        <v>1672</v>
      </c>
      <c r="I414" s="57" t="s">
        <v>1666</v>
      </c>
      <c r="J414" t="str">
        <f t="shared" si="14"/>
        <v>10105102 - Condominio Activo-Marketing</v>
      </c>
      <c r="K414" t="str">
        <f t="shared" si="15"/>
        <v>Proyectos Inmobiliarios</v>
      </c>
    </row>
    <row r="415" spans="1:11" x14ac:dyDescent="0.25">
      <c r="A415" s="56">
        <v>10105103</v>
      </c>
      <c r="B415" s="57" t="s">
        <v>1894</v>
      </c>
      <c r="C415" s="57" t="s">
        <v>1836</v>
      </c>
      <c r="D415" s="57" t="s">
        <v>1665</v>
      </c>
      <c r="E415" s="57" t="s">
        <v>1618</v>
      </c>
      <c r="F415" s="57" t="s">
        <v>1891</v>
      </c>
      <c r="G415" s="57" t="s">
        <v>1661</v>
      </c>
      <c r="H415" s="56" t="s">
        <v>1672</v>
      </c>
      <c r="I415" s="57" t="s">
        <v>1666</v>
      </c>
      <c r="J415" t="str">
        <f t="shared" si="14"/>
        <v>10105103 - Condominio Activo-Operaciones</v>
      </c>
      <c r="K415" t="str">
        <f t="shared" si="15"/>
        <v>Proyectos Inmobiliarios</v>
      </c>
    </row>
    <row r="416" spans="1:11" x14ac:dyDescent="0.25">
      <c r="A416" s="56">
        <v>10105104</v>
      </c>
      <c r="B416" s="57" t="s">
        <v>1895</v>
      </c>
      <c r="C416" s="57" t="s">
        <v>1836</v>
      </c>
      <c r="D416" s="57" t="s">
        <v>1665</v>
      </c>
      <c r="E416" s="57" t="s">
        <v>90</v>
      </c>
      <c r="F416" s="57" t="s">
        <v>1891</v>
      </c>
      <c r="G416" s="57" t="s">
        <v>1661</v>
      </c>
      <c r="H416" s="56" t="s">
        <v>1672</v>
      </c>
      <c r="I416" s="57" t="s">
        <v>1666</v>
      </c>
      <c r="J416" t="str">
        <f t="shared" si="14"/>
        <v>10105104 - Condominio Activo-Ventas</v>
      </c>
      <c r="K416" t="str">
        <f t="shared" si="15"/>
        <v>Proyectos Inmobiliarios</v>
      </c>
    </row>
    <row r="417" spans="1:11" x14ac:dyDescent="0.25">
      <c r="A417" s="56">
        <v>10105105</v>
      </c>
      <c r="B417" s="57" t="s">
        <v>1896</v>
      </c>
      <c r="C417" s="57" t="s">
        <v>1836</v>
      </c>
      <c r="D417" s="57" t="s">
        <v>1665</v>
      </c>
      <c r="E417" s="57" t="s">
        <v>1622</v>
      </c>
      <c r="F417" s="57" t="s">
        <v>1891</v>
      </c>
      <c r="G417" s="57" t="s">
        <v>1661</v>
      </c>
      <c r="H417" s="56" t="s">
        <v>1672</v>
      </c>
      <c r="I417" s="57" t="s">
        <v>1666</v>
      </c>
      <c r="J417" t="str">
        <f t="shared" si="14"/>
        <v>10105105 - Condominio Activo-Clientes</v>
      </c>
      <c r="K417" t="str">
        <f t="shared" si="15"/>
        <v>Proyectos Inmobiliarios</v>
      </c>
    </row>
    <row r="418" spans="1:11" x14ac:dyDescent="0.25">
      <c r="A418" s="56">
        <v>10105203</v>
      </c>
      <c r="B418" s="57" t="s">
        <v>1897</v>
      </c>
      <c r="C418" s="57" t="s">
        <v>1836</v>
      </c>
      <c r="D418" s="57" t="s">
        <v>1665</v>
      </c>
      <c r="E418" s="57" t="s">
        <v>1624</v>
      </c>
      <c r="F418" s="57" t="s">
        <v>1891</v>
      </c>
      <c r="G418" s="57" t="s">
        <v>1661</v>
      </c>
      <c r="H418" s="56" t="s">
        <v>1672</v>
      </c>
      <c r="I418" s="57" t="s">
        <v>1666</v>
      </c>
      <c r="J418" t="str">
        <f t="shared" si="14"/>
        <v>10105203 - Condominio Activo-Proyecto Norte</v>
      </c>
      <c r="K418" t="str">
        <f t="shared" si="15"/>
        <v>Proyectos Inmobiliarios</v>
      </c>
    </row>
    <row r="419" spans="1:11" x14ac:dyDescent="0.25">
      <c r="A419" s="56">
        <v>10105301</v>
      </c>
      <c r="B419" s="57" t="s">
        <v>1898</v>
      </c>
      <c r="C419" s="57" t="s">
        <v>1836</v>
      </c>
      <c r="D419" s="57" t="s">
        <v>1665</v>
      </c>
      <c r="E419" s="57" t="s">
        <v>1643</v>
      </c>
      <c r="F419" s="57" t="s">
        <v>1891</v>
      </c>
      <c r="G419" s="57" t="s">
        <v>1667</v>
      </c>
      <c r="H419" s="56" t="s">
        <v>1672</v>
      </c>
      <c r="I419" s="57" t="s">
        <v>1666</v>
      </c>
      <c r="J419" t="str">
        <f t="shared" si="14"/>
        <v>10105301 - Condominio Activo-GAF</v>
      </c>
      <c r="K419" t="str">
        <f t="shared" si="15"/>
        <v>Proyectos Inmobiliarios</v>
      </c>
    </row>
    <row r="420" spans="1:11" x14ac:dyDescent="0.25">
      <c r="A420" s="56">
        <v>10105505</v>
      </c>
      <c r="B420" s="57" t="s">
        <v>1899</v>
      </c>
      <c r="C420" s="57" t="s">
        <v>1836</v>
      </c>
      <c r="D420" s="57" t="s">
        <v>66</v>
      </c>
      <c r="E420" s="57" t="s">
        <v>328</v>
      </c>
      <c r="F420" s="57" t="s">
        <v>1891</v>
      </c>
      <c r="G420" s="57" t="s">
        <v>1661</v>
      </c>
      <c r="H420" s="56" t="s">
        <v>1672</v>
      </c>
      <c r="I420" s="57" t="s">
        <v>1666</v>
      </c>
      <c r="J420" t="str">
        <f t="shared" si="14"/>
        <v>10105505 - Condominio Activo-PV Inmob.</v>
      </c>
      <c r="K420" t="str">
        <f t="shared" si="15"/>
        <v>Postventa</v>
      </c>
    </row>
    <row r="421" spans="1:11" x14ac:dyDescent="0.25">
      <c r="A421" s="56">
        <v>10105506</v>
      </c>
      <c r="B421" s="57" t="s">
        <v>1900</v>
      </c>
      <c r="C421" s="57" t="s">
        <v>1836</v>
      </c>
      <c r="D421" s="57" t="s">
        <v>1665</v>
      </c>
      <c r="E421" s="57" t="s">
        <v>200</v>
      </c>
      <c r="F421" s="57" t="s">
        <v>1891</v>
      </c>
      <c r="G421" s="57" t="s">
        <v>1661</v>
      </c>
      <c r="H421" s="56" t="s">
        <v>1672</v>
      </c>
      <c r="I421" s="57" t="s">
        <v>1666</v>
      </c>
      <c r="J421" t="str">
        <f t="shared" si="14"/>
        <v>10105506 - Condominio Activo-Depto.Técnico</v>
      </c>
      <c r="K421" t="str">
        <f t="shared" si="15"/>
        <v>Proyectos Inmobiliarios</v>
      </c>
    </row>
    <row r="422" spans="1:11" x14ac:dyDescent="0.25">
      <c r="A422" s="43">
        <v>222</v>
      </c>
      <c r="B422" t="s">
        <v>1901</v>
      </c>
      <c r="C422" t="s">
        <v>1836</v>
      </c>
      <c r="D422" t="s">
        <v>65</v>
      </c>
      <c r="E422" t="s">
        <v>65</v>
      </c>
      <c r="F422" t="s">
        <v>1891</v>
      </c>
      <c r="G422" t="s">
        <v>1663</v>
      </c>
      <c r="H422" s="43" t="s">
        <v>1672</v>
      </c>
      <c r="I422" t="s">
        <v>1664</v>
      </c>
      <c r="J422" t="str">
        <f t="shared" si="14"/>
        <v>222 - CONDOMINIO ACTIVO-SA</v>
      </c>
      <c r="K422" t="str">
        <f t="shared" si="15"/>
        <v>Obra</v>
      </c>
    </row>
    <row r="423" spans="1:11" x14ac:dyDescent="0.25">
      <c r="A423" s="58">
        <v>999999999</v>
      </c>
      <c r="B423" s="59" t="s">
        <v>1684</v>
      </c>
      <c r="C423" s="59"/>
      <c r="D423" s="59" t="s">
        <v>1578</v>
      </c>
      <c r="E423" s="59" t="s">
        <v>1578</v>
      </c>
      <c r="F423" s="59" t="s">
        <v>1902</v>
      </c>
      <c r="G423" s="59" t="s">
        <v>1661</v>
      </c>
      <c r="H423" s="58" t="s">
        <v>1672</v>
      </c>
      <c r="I423" s="59" t="s">
        <v>1662</v>
      </c>
      <c r="J423" t="str">
        <f t="shared" si="14"/>
        <v>999999999 - Terreno Abuelo Proyectos sin Terreno</v>
      </c>
      <c r="K423" t="str">
        <f t="shared" si="15"/>
        <v>Terreno</v>
      </c>
    </row>
    <row r="424" spans="1:11" x14ac:dyDescent="0.25">
      <c r="A424" s="58">
        <v>134</v>
      </c>
      <c r="B424" s="59" t="s">
        <v>1903</v>
      </c>
      <c r="C424" s="59" t="s">
        <v>1685</v>
      </c>
      <c r="D424" s="59" t="s">
        <v>65</v>
      </c>
      <c r="E424" s="59" t="s">
        <v>65</v>
      </c>
      <c r="F424" s="59" t="s">
        <v>1902</v>
      </c>
      <c r="G424" s="59" t="s">
        <v>1663</v>
      </c>
      <c r="H424" s="58" t="s">
        <v>1672</v>
      </c>
      <c r="I424" s="59" t="s">
        <v>1664</v>
      </c>
      <c r="J424" t="str">
        <f t="shared" si="14"/>
        <v>134 - Condominio Castilla Et1</v>
      </c>
      <c r="K424" t="str">
        <f t="shared" si="15"/>
        <v>Obra</v>
      </c>
    </row>
    <row r="425" spans="1:11" x14ac:dyDescent="0.25">
      <c r="A425" s="58">
        <v>9134</v>
      </c>
      <c r="B425" s="59" t="s">
        <v>609</v>
      </c>
      <c r="C425" s="59" t="s">
        <v>1685</v>
      </c>
      <c r="D425" s="59" t="s">
        <v>66</v>
      </c>
      <c r="E425" s="59" t="s">
        <v>328</v>
      </c>
      <c r="F425" s="59" t="s">
        <v>1902</v>
      </c>
      <c r="G425" s="59" t="s">
        <v>1661</v>
      </c>
      <c r="H425" s="58" t="s">
        <v>386</v>
      </c>
      <c r="I425" s="59" t="s">
        <v>1666</v>
      </c>
      <c r="J425" t="str">
        <f t="shared" si="14"/>
        <v>9134 - PV Condominio Castilla Et1</v>
      </c>
      <c r="K425" t="str">
        <f t="shared" si="15"/>
        <v>Postventa</v>
      </c>
    </row>
    <row r="426" spans="1:11" x14ac:dyDescent="0.25">
      <c r="A426" s="58">
        <v>10134000</v>
      </c>
      <c r="B426" s="59" t="s">
        <v>1904</v>
      </c>
      <c r="C426" s="59" t="s">
        <v>1685</v>
      </c>
      <c r="D426" s="59" t="s">
        <v>1665</v>
      </c>
      <c r="E426" s="59" t="s">
        <v>1585</v>
      </c>
      <c r="F426" s="59" t="s">
        <v>1902</v>
      </c>
      <c r="G426" s="59" t="s">
        <v>1661</v>
      </c>
      <c r="H426" s="58" t="s">
        <v>1672</v>
      </c>
      <c r="I426" s="59" t="s">
        <v>1666</v>
      </c>
      <c r="J426" t="str">
        <f t="shared" si="14"/>
        <v>10134000 - Condom. Castilla Etapa 1</v>
      </c>
      <c r="K426" t="str">
        <f t="shared" si="15"/>
        <v>Proyectos Inmobiliarios</v>
      </c>
    </row>
    <row r="427" spans="1:11" x14ac:dyDescent="0.25">
      <c r="A427" s="58">
        <v>10134102</v>
      </c>
      <c r="B427" s="59" t="s">
        <v>1905</v>
      </c>
      <c r="C427" s="59" t="s">
        <v>1685</v>
      </c>
      <c r="D427" s="59" t="s">
        <v>1665</v>
      </c>
      <c r="E427" s="59" t="s">
        <v>1617</v>
      </c>
      <c r="F427" s="59" t="s">
        <v>1902</v>
      </c>
      <c r="G427" s="59" t="s">
        <v>1661</v>
      </c>
      <c r="H427" s="58" t="s">
        <v>1672</v>
      </c>
      <c r="I427" s="59" t="s">
        <v>1666</v>
      </c>
      <c r="J427" t="str">
        <f t="shared" si="14"/>
        <v>10134102 - Condom. Castilla Etapa 1-Marketing</v>
      </c>
      <c r="K427" t="str">
        <f t="shared" si="15"/>
        <v>Proyectos Inmobiliarios</v>
      </c>
    </row>
    <row r="428" spans="1:11" x14ac:dyDescent="0.25">
      <c r="A428" s="58">
        <v>10134103</v>
      </c>
      <c r="B428" s="59" t="s">
        <v>1906</v>
      </c>
      <c r="C428" s="59" t="s">
        <v>1685</v>
      </c>
      <c r="D428" s="59" t="s">
        <v>1665</v>
      </c>
      <c r="E428" s="59" t="s">
        <v>1618</v>
      </c>
      <c r="F428" s="59" t="s">
        <v>1902</v>
      </c>
      <c r="G428" s="59" t="s">
        <v>1661</v>
      </c>
      <c r="H428" s="58" t="s">
        <v>1672</v>
      </c>
      <c r="I428" s="59" t="s">
        <v>1666</v>
      </c>
      <c r="J428" t="str">
        <f t="shared" si="14"/>
        <v>10134103 - Condom. Castilla Etapa 1-Operaciones</v>
      </c>
      <c r="K428" t="str">
        <f t="shared" si="15"/>
        <v>Proyectos Inmobiliarios</v>
      </c>
    </row>
    <row r="429" spans="1:11" x14ac:dyDescent="0.25">
      <c r="A429" s="58">
        <v>10134104</v>
      </c>
      <c r="B429" s="59" t="s">
        <v>1907</v>
      </c>
      <c r="C429" s="59" t="s">
        <v>1685</v>
      </c>
      <c r="D429" s="59" t="s">
        <v>1665</v>
      </c>
      <c r="E429" s="59" t="s">
        <v>90</v>
      </c>
      <c r="F429" s="59" t="s">
        <v>1902</v>
      </c>
      <c r="G429" s="59" t="s">
        <v>1661</v>
      </c>
      <c r="H429" s="58" t="s">
        <v>1672</v>
      </c>
      <c r="I429" s="59" t="s">
        <v>1666</v>
      </c>
      <c r="J429" t="str">
        <f t="shared" si="14"/>
        <v>10134104 - Condom. Castilla Etapa 1-Ventas</v>
      </c>
      <c r="K429" t="str">
        <f t="shared" si="15"/>
        <v>Proyectos Inmobiliarios</v>
      </c>
    </row>
    <row r="430" spans="1:11" x14ac:dyDescent="0.25">
      <c r="A430" s="58">
        <v>10134105</v>
      </c>
      <c r="B430" s="59" t="s">
        <v>1908</v>
      </c>
      <c r="C430" s="59" t="s">
        <v>1685</v>
      </c>
      <c r="D430" s="59" t="s">
        <v>1665</v>
      </c>
      <c r="E430" s="59" t="s">
        <v>1622</v>
      </c>
      <c r="F430" s="59" t="s">
        <v>1902</v>
      </c>
      <c r="G430" s="59" t="s">
        <v>1661</v>
      </c>
      <c r="H430" s="58" t="s">
        <v>1672</v>
      </c>
      <c r="I430" s="59" t="s">
        <v>1666</v>
      </c>
      <c r="J430" t="str">
        <f t="shared" si="14"/>
        <v>10134105 - Condom. Castilla Etapa 1-Clientes</v>
      </c>
      <c r="K430" t="str">
        <f t="shared" si="15"/>
        <v>Proyectos Inmobiliarios</v>
      </c>
    </row>
    <row r="431" spans="1:11" x14ac:dyDescent="0.25">
      <c r="A431" s="58">
        <v>10134205</v>
      </c>
      <c r="B431" s="59" t="s">
        <v>1909</v>
      </c>
      <c r="C431" s="59" t="s">
        <v>1685</v>
      </c>
      <c r="D431" s="59" t="s">
        <v>1665</v>
      </c>
      <c r="E431" s="59" t="s">
        <v>1624</v>
      </c>
      <c r="F431" s="59" t="s">
        <v>1902</v>
      </c>
      <c r="G431" s="59" t="s">
        <v>1661</v>
      </c>
      <c r="H431" s="58" t="s">
        <v>1672</v>
      </c>
      <c r="I431" s="59" t="s">
        <v>1666</v>
      </c>
      <c r="J431" t="str">
        <f t="shared" si="14"/>
        <v>10134205 - Condom. Castilla Etapa 1-Proyecto</v>
      </c>
      <c r="K431" t="str">
        <f t="shared" si="15"/>
        <v>Proyectos Inmobiliarios</v>
      </c>
    </row>
    <row r="432" spans="1:11" x14ac:dyDescent="0.25">
      <c r="A432" s="58">
        <v>10134301</v>
      </c>
      <c r="B432" s="59" t="s">
        <v>1910</v>
      </c>
      <c r="C432" s="59" t="s">
        <v>1685</v>
      </c>
      <c r="D432" s="59" t="s">
        <v>1665</v>
      </c>
      <c r="E432" s="59" t="s">
        <v>1643</v>
      </c>
      <c r="F432" s="59" t="s">
        <v>1902</v>
      </c>
      <c r="G432" s="59" t="s">
        <v>1667</v>
      </c>
      <c r="H432" s="58" t="s">
        <v>1672</v>
      </c>
      <c r="I432" s="59" t="s">
        <v>1666</v>
      </c>
      <c r="J432" t="str">
        <f t="shared" si="14"/>
        <v>10134301 - Condom. Castilla Etapa 1-GAF</v>
      </c>
      <c r="K432" t="str">
        <f t="shared" si="15"/>
        <v>Proyectos Inmobiliarios</v>
      </c>
    </row>
    <row r="433" spans="1:11" x14ac:dyDescent="0.25">
      <c r="A433" s="58">
        <v>10134505</v>
      </c>
      <c r="B433" s="59" t="s">
        <v>1911</v>
      </c>
      <c r="C433" s="59" t="s">
        <v>1685</v>
      </c>
      <c r="D433" s="59" t="s">
        <v>66</v>
      </c>
      <c r="E433" s="59" t="s">
        <v>328</v>
      </c>
      <c r="F433" s="59" t="s">
        <v>1902</v>
      </c>
      <c r="G433" s="59" t="s">
        <v>1661</v>
      </c>
      <c r="H433" s="58" t="s">
        <v>1672</v>
      </c>
      <c r="I433" s="59" t="s">
        <v>1666</v>
      </c>
      <c r="J433" t="str">
        <f t="shared" si="14"/>
        <v>10134505 - Condom. Castilla Etapa 1-PV Inmob.</v>
      </c>
      <c r="K433" t="str">
        <f t="shared" si="15"/>
        <v>Postventa</v>
      </c>
    </row>
    <row r="434" spans="1:11" x14ac:dyDescent="0.25">
      <c r="A434" s="58">
        <v>10134506</v>
      </c>
      <c r="B434" s="59" t="s">
        <v>1912</v>
      </c>
      <c r="C434" s="59" t="s">
        <v>1685</v>
      </c>
      <c r="D434" s="59" t="s">
        <v>1665</v>
      </c>
      <c r="E434" s="59" t="s">
        <v>200</v>
      </c>
      <c r="F434" s="59" t="s">
        <v>1902</v>
      </c>
      <c r="G434" s="59" t="s">
        <v>1661</v>
      </c>
      <c r="H434" s="58" t="s">
        <v>1672</v>
      </c>
      <c r="I434" s="59" t="s">
        <v>1666</v>
      </c>
      <c r="J434" t="str">
        <f t="shared" si="14"/>
        <v>10134506 - Condom. Castilla Etapa 1-Depto.Técnico</v>
      </c>
      <c r="K434" t="str">
        <f t="shared" si="15"/>
        <v>Proyectos Inmobiliarios</v>
      </c>
    </row>
    <row r="435" spans="1:11" x14ac:dyDescent="0.25">
      <c r="A435" s="50">
        <v>999999999</v>
      </c>
      <c r="B435" s="51" t="s">
        <v>1684</v>
      </c>
      <c r="C435" s="51"/>
      <c r="D435" s="51" t="s">
        <v>1578</v>
      </c>
      <c r="E435" s="51" t="s">
        <v>1578</v>
      </c>
      <c r="F435" s="51" t="s">
        <v>1913</v>
      </c>
      <c r="G435" s="51" t="s">
        <v>1661</v>
      </c>
      <c r="H435" s="50" t="s">
        <v>1672</v>
      </c>
      <c r="I435" s="51" t="s">
        <v>1662</v>
      </c>
      <c r="J435" t="str">
        <f t="shared" si="14"/>
        <v>999999999 - Terreno Abuelo Proyectos sin Terreno</v>
      </c>
      <c r="K435" t="str">
        <f t="shared" si="15"/>
        <v>Terreno</v>
      </c>
    </row>
    <row r="436" spans="1:11" x14ac:dyDescent="0.25">
      <c r="A436" s="50">
        <v>999</v>
      </c>
      <c r="B436" s="51" t="s">
        <v>1808</v>
      </c>
      <c r="C436" s="51"/>
      <c r="D436" s="51" t="s">
        <v>65</v>
      </c>
      <c r="E436" s="51" t="s">
        <v>65</v>
      </c>
      <c r="F436" s="51" t="s">
        <v>1913</v>
      </c>
      <c r="G436" s="51" t="s">
        <v>1663</v>
      </c>
      <c r="H436" s="50" t="s">
        <v>1672</v>
      </c>
      <c r="I436" s="51" t="s">
        <v>1664</v>
      </c>
      <c r="J436" t="str">
        <f t="shared" si="14"/>
        <v>999 - Obra Padre Proyectos sin Obra</v>
      </c>
      <c r="K436" t="str">
        <f t="shared" si="15"/>
        <v>Obra</v>
      </c>
    </row>
    <row r="437" spans="1:11" x14ac:dyDescent="0.25">
      <c r="A437" s="50">
        <v>10135000</v>
      </c>
      <c r="B437" s="51" t="s">
        <v>1914</v>
      </c>
      <c r="C437" s="51" t="s">
        <v>1685</v>
      </c>
      <c r="D437" s="51" t="s">
        <v>1665</v>
      </c>
      <c r="E437" s="51" t="s">
        <v>1585</v>
      </c>
      <c r="F437" s="51" t="s">
        <v>1913</v>
      </c>
      <c r="G437" s="51" t="s">
        <v>1661</v>
      </c>
      <c r="H437" s="50" t="s">
        <v>1672</v>
      </c>
      <c r="I437" s="51" t="s">
        <v>1666</v>
      </c>
      <c r="J437" t="str">
        <f t="shared" si="14"/>
        <v>10135000 - Condom. Castilla Etapa 2</v>
      </c>
      <c r="K437" t="str">
        <f t="shared" si="15"/>
        <v>Proyectos Inmobiliarios</v>
      </c>
    </row>
    <row r="438" spans="1:11" x14ac:dyDescent="0.25">
      <c r="A438" s="50">
        <v>10135102</v>
      </c>
      <c r="B438" s="51" t="s">
        <v>1915</v>
      </c>
      <c r="C438" s="51" t="s">
        <v>1685</v>
      </c>
      <c r="D438" s="51" t="s">
        <v>1665</v>
      </c>
      <c r="E438" s="51" t="s">
        <v>1617</v>
      </c>
      <c r="F438" s="51" t="s">
        <v>1913</v>
      </c>
      <c r="G438" s="51" t="s">
        <v>1661</v>
      </c>
      <c r="H438" s="50" t="s">
        <v>1672</v>
      </c>
      <c r="I438" s="51" t="s">
        <v>1666</v>
      </c>
      <c r="J438" t="str">
        <f t="shared" si="14"/>
        <v>10135102 - Condom. Castilla Etapa 2-Marketing</v>
      </c>
      <c r="K438" t="str">
        <f t="shared" si="15"/>
        <v>Proyectos Inmobiliarios</v>
      </c>
    </row>
    <row r="439" spans="1:11" x14ac:dyDescent="0.25">
      <c r="A439" s="50">
        <v>10135103</v>
      </c>
      <c r="B439" s="51" t="s">
        <v>1916</v>
      </c>
      <c r="C439" s="51" t="s">
        <v>1685</v>
      </c>
      <c r="D439" s="51" t="s">
        <v>1665</v>
      </c>
      <c r="E439" s="51" t="s">
        <v>1618</v>
      </c>
      <c r="F439" s="51" t="s">
        <v>1913</v>
      </c>
      <c r="G439" s="51" t="s">
        <v>1661</v>
      </c>
      <c r="H439" s="50" t="s">
        <v>1672</v>
      </c>
      <c r="I439" s="51" t="s">
        <v>1666</v>
      </c>
      <c r="J439" t="str">
        <f t="shared" si="14"/>
        <v>10135103 - Condom. Castilla Etapa 2-Operaciones</v>
      </c>
      <c r="K439" t="str">
        <f t="shared" si="15"/>
        <v>Proyectos Inmobiliarios</v>
      </c>
    </row>
    <row r="440" spans="1:11" x14ac:dyDescent="0.25">
      <c r="A440" s="50">
        <v>10135104</v>
      </c>
      <c r="B440" s="51" t="s">
        <v>1917</v>
      </c>
      <c r="C440" s="51" t="s">
        <v>1685</v>
      </c>
      <c r="D440" s="51" t="s">
        <v>1665</v>
      </c>
      <c r="E440" s="51" t="s">
        <v>90</v>
      </c>
      <c r="F440" s="51" t="s">
        <v>1913</v>
      </c>
      <c r="G440" s="51" t="s">
        <v>1661</v>
      </c>
      <c r="H440" s="50" t="s">
        <v>1672</v>
      </c>
      <c r="I440" s="51" t="s">
        <v>1666</v>
      </c>
      <c r="J440" t="str">
        <f t="shared" si="14"/>
        <v>10135104 - Condom. Castilla Etapa 2-Ventas</v>
      </c>
      <c r="K440" t="str">
        <f t="shared" si="15"/>
        <v>Proyectos Inmobiliarios</v>
      </c>
    </row>
    <row r="441" spans="1:11" x14ac:dyDescent="0.25">
      <c r="A441" s="50">
        <v>10135105</v>
      </c>
      <c r="B441" s="51" t="s">
        <v>1918</v>
      </c>
      <c r="C441" s="51" t="s">
        <v>1685</v>
      </c>
      <c r="D441" s="51" t="s">
        <v>1665</v>
      </c>
      <c r="E441" s="51" t="s">
        <v>1622</v>
      </c>
      <c r="F441" s="51" t="s">
        <v>1913</v>
      </c>
      <c r="G441" s="51" t="s">
        <v>1661</v>
      </c>
      <c r="H441" s="50" t="s">
        <v>1672</v>
      </c>
      <c r="I441" s="51" t="s">
        <v>1666</v>
      </c>
      <c r="J441" t="str">
        <f t="shared" si="14"/>
        <v>10135105 - Condom. Castilla Etapa 2-Clientes</v>
      </c>
      <c r="K441" t="str">
        <f t="shared" si="15"/>
        <v>Proyectos Inmobiliarios</v>
      </c>
    </row>
    <row r="442" spans="1:11" x14ac:dyDescent="0.25">
      <c r="A442" s="50">
        <v>10135205</v>
      </c>
      <c r="B442" s="51" t="s">
        <v>1919</v>
      </c>
      <c r="C442" s="51" t="s">
        <v>1685</v>
      </c>
      <c r="D442" s="51" t="s">
        <v>1665</v>
      </c>
      <c r="E442" s="51" t="s">
        <v>1624</v>
      </c>
      <c r="F442" s="51" t="s">
        <v>1913</v>
      </c>
      <c r="G442" s="51" t="s">
        <v>1661</v>
      </c>
      <c r="H442" s="50" t="s">
        <v>1672</v>
      </c>
      <c r="I442" s="51" t="s">
        <v>1666</v>
      </c>
      <c r="J442" t="str">
        <f t="shared" si="14"/>
        <v>10135205 - Condom. Castilla Etapa 2-Proyecto</v>
      </c>
      <c r="K442" t="str">
        <f t="shared" si="15"/>
        <v>Proyectos Inmobiliarios</v>
      </c>
    </row>
    <row r="443" spans="1:11" x14ac:dyDescent="0.25">
      <c r="A443" s="50">
        <v>10135301</v>
      </c>
      <c r="B443" s="51" t="s">
        <v>1920</v>
      </c>
      <c r="C443" s="51" t="s">
        <v>1685</v>
      </c>
      <c r="D443" s="51" t="s">
        <v>1665</v>
      </c>
      <c r="E443" s="51" t="s">
        <v>1643</v>
      </c>
      <c r="F443" s="51" t="s">
        <v>1913</v>
      </c>
      <c r="G443" s="51" t="s">
        <v>1667</v>
      </c>
      <c r="H443" s="50" t="s">
        <v>1672</v>
      </c>
      <c r="I443" s="51" t="s">
        <v>1666</v>
      </c>
      <c r="J443" t="str">
        <f t="shared" si="14"/>
        <v>10135301 - Condom. Castilla Etapa 2-GAF</v>
      </c>
      <c r="K443" t="str">
        <f t="shared" si="15"/>
        <v>Proyectos Inmobiliarios</v>
      </c>
    </row>
    <row r="444" spans="1:11" x14ac:dyDescent="0.25">
      <c r="A444" s="50">
        <v>10135505</v>
      </c>
      <c r="B444" s="51" t="s">
        <v>1921</v>
      </c>
      <c r="C444" s="51" t="s">
        <v>1685</v>
      </c>
      <c r="D444" s="51" t="s">
        <v>66</v>
      </c>
      <c r="E444" s="51" t="s">
        <v>328</v>
      </c>
      <c r="F444" s="51" t="s">
        <v>1913</v>
      </c>
      <c r="G444" s="51" t="s">
        <v>1661</v>
      </c>
      <c r="H444" s="50" t="s">
        <v>1672</v>
      </c>
      <c r="I444" s="51" t="s">
        <v>1666</v>
      </c>
      <c r="J444" t="str">
        <f t="shared" si="14"/>
        <v>10135505 - Condom. Castilla Etapa 2-PV Inmob.</v>
      </c>
      <c r="K444" t="str">
        <f t="shared" si="15"/>
        <v>Postventa</v>
      </c>
    </row>
    <row r="445" spans="1:11" x14ac:dyDescent="0.25">
      <c r="A445" s="50">
        <v>10135506</v>
      </c>
      <c r="B445" s="51" t="s">
        <v>1922</v>
      </c>
      <c r="C445" s="51" t="s">
        <v>1685</v>
      </c>
      <c r="D445" s="51" t="s">
        <v>1665</v>
      </c>
      <c r="E445" s="51" t="s">
        <v>200</v>
      </c>
      <c r="F445" s="51" t="s">
        <v>1913</v>
      </c>
      <c r="G445" s="51" t="s">
        <v>1661</v>
      </c>
      <c r="H445" s="50" t="s">
        <v>1672</v>
      </c>
      <c r="I445" s="51" t="s">
        <v>1666</v>
      </c>
      <c r="J445" t="str">
        <f t="shared" si="14"/>
        <v>10135506 - Condom. Castilla Etapa 2-Depto.Técnico</v>
      </c>
      <c r="K445" t="str">
        <f t="shared" si="15"/>
        <v>Proyectos Inmobiliarios</v>
      </c>
    </row>
    <row r="446" spans="1:11" x14ac:dyDescent="0.25">
      <c r="A446" s="48">
        <v>999999999</v>
      </c>
      <c r="B446" s="49" t="s">
        <v>1684</v>
      </c>
      <c r="C446" s="49"/>
      <c r="D446" s="49" t="s">
        <v>1578</v>
      </c>
      <c r="E446" s="49" t="s">
        <v>1578</v>
      </c>
      <c r="F446" s="49" t="s">
        <v>1923</v>
      </c>
      <c r="G446" s="49" t="s">
        <v>1661</v>
      </c>
      <c r="H446" s="48" t="s">
        <v>1672</v>
      </c>
      <c r="I446" s="49" t="s">
        <v>1662</v>
      </c>
      <c r="J446" t="str">
        <f t="shared" si="14"/>
        <v>999999999 - Terreno Abuelo Proyectos sin Terreno</v>
      </c>
      <c r="K446" t="str">
        <f t="shared" si="15"/>
        <v>Terreno</v>
      </c>
    </row>
    <row r="447" spans="1:11" x14ac:dyDescent="0.25">
      <c r="A447" s="48">
        <v>999</v>
      </c>
      <c r="B447" s="49" t="s">
        <v>1808</v>
      </c>
      <c r="C447" s="49"/>
      <c r="D447" s="49" t="s">
        <v>65</v>
      </c>
      <c r="E447" s="49" t="s">
        <v>65</v>
      </c>
      <c r="F447" s="49" t="s">
        <v>1923</v>
      </c>
      <c r="G447" s="49" t="s">
        <v>1663</v>
      </c>
      <c r="H447" s="48" t="s">
        <v>1672</v>
      </c>
      <c r="I447" s="49" t="s">
        <v>1664</v>
      </c>
      <c r="J447" t="str">
        <f t="shared" si="14"/>
        <v>999 - Obra Padre Proyectos sin Obra</v>
      </c>
      <c r="K447" t="str">
        <f t="shared" si="15"/>
        <v>Obra</v>
      </c>
    </row>
    <row r="448" spans="1:11" x14ac:dyDescent="0.25">
      <c r="A448" s="48">
        <v>10136000</v>
      </c>
      <c r="B448" s="49" t="s">
        <v>1924</v>
      </c>
      <c r="C448" s="49" t="s">
        <v>1685</v>
      </c>
      <c r="D448" s="49" t="s">
        <v>1665</v>
      </c>
      <c r="E448" s="49" t="s">
        <v>1585</v>
      </c>
      <c r="F448" s="49" t="s">
        <v>1923</v>
      </c>
      <c r="G448" s="49" t="s">
        <v>1661</v>
      </c>
      <c r="H448" s="48" t="s">
        <v>1672</v>
      </c>
      <c r="I448" s="49" t="s">
        <v>1666</v>
      </c>
      <c r="J448" t="str">
        <f t="shared" si="14"/>
        <v>10136000 - Condom. Castilla Etapa 3</v>
      </c>
      <c r="K448" t="str">
        <f t="shared" si="15"/>
        <v>Proyectos Inmobiliarios</v>
      </c>
    </row>
    <row r="449" spans="1:11" x14ac:dyDescent="0.25">
      <c r="A449" s="48">
        <v>10136102</v>
      </c>
      <c r="B449" s="49" t="s">
        <v>1925</v>
      </c>
      <c r="C449" s="49" t="s">
        <v>1685</v>
      </c>
      <c r="D449" s="49" t="s">
        <v>1665</v>
      </c>
      <c r="E449" s="49" t="s">
        <v>1617</v>
      </c>
      <c r="F449" s="49" t="s">
        <v>1923</v>
      </c>
      <c r="G449" s="49" t="s">
        <v>1661</v>
      </c>
      <c r="H449" s="48" t="s">
        <v>1672</v>
      </c>
      <c r="I449" s="49" t="s">
        <v>1666</v>
      </c>
      <c r="J449" t="str">
        <f t="shared" si="14"/>
        <v>10136102 - Condom. Castilla Etapa 3-Marketing</v>
      </c>
      <c r="K449" t="str">
        <f t="shared" si="15"/>
        <v>Proyectos Inmobiliarios</v>
      </c>
    </row>
    <row r="450" spans="1:11" x14ac:dyDescent="0.25">
      <c r="A450" s="48">
        <v>10136103</v>
      </c>
      <c r="B450" s="49" t="s">
        <v>1926</v>
      </c>
      <c r="C450" s="49" t="s">
        <v>1685</v>
      </c>
      <c r="D450" s="49" t="s">
        <v>1665</v>
      </c>
      <c r="E450" s="49" t="s">
        <v>1618</v>
      </c>
      <c r="F450" s="49" t="s">
        <v>1923</v>
      </c>
      <c r="G450" s="49" t="s">
        <v>1661</v>
      </c>
      <c r="H450" s="48" t="s">
        <v>1672</v>
      </c>
      <c r="I450" s="49" t="s">
        <v>1666</v>
      </c>
      <c r="J450" t="str">
        <f t="shared" si="14"/>
        <v>10136103 - Condom. Castilla Etapa 3-Operaciones</v>
      </c>
      <c r="K450" t="str">
        <f t="shared" si="15"/>
        <v>Proyectos Inmobiliarios</v>
      </c>
    </row>
    <row r="451" spans="1:11" x14ac:dyDescent="0.25">
      <c r="A451" s="48">
        <v>10136104</v>
      </c>
      <c r="B451" s="49" t="s">
        <v>1927</v>
      </c>
      <c r="C451" s="49" t="s">
        <v>1685</v>
      </c>
      <c r="D451" s="49" t="s">
        <v>1665</v>
      </c>
      <c r="E451" s="49" t="s">
        <v>90</v>
      </c>
      <c r="F451" s="49" t="s">
        <v>1923</v>
      </c>
      <c r="G451" s="49" t="s">
        <v>1661</v>
      </c>
      <c r="H451" s="48" t="s">
        <v>1672</v>
      </c>
      <c r="I451" s="49" t="s">
        <v>1666</v>
      </c>
      <c r="J451" t="str">
        <f t="shared" si="14"/>
        <v>10136104 - Condom. Castilla Etapa 3-Ventas</v>
      </c>
      <c r="K451" t="str">
        <f t="shared" si="15"/>
        <v>Proyectos Inmobiliarios</v>
      </c>
    </row>
    <row r="452" spans="1:11" x14ac:dyDescent="0.25">
      <c r="A452" s="48">
        <v>10136105</v>
      </c>
      <c r="B452" s="49" t="s">
        <v>1928</v>
      </c>
      <c r="C452" s="49" t="s">
        <v>1685</v>
      </c>
      <c r="D452" s="49" t="s">
        <v>1665</v>
      </c>
      <c r="E452" s="49" t="s">
        <v>1622</v>
      </c>
      <c r="F452" s="49" t="s">
        <v>1923</v>
      </c>
      <c r="G452" s="49" t="s">
        <v>1661</v>
      </c>
      <c r="H452" s="48" t="s">
        <v>1672</v>
      </c>
      <c r="I452" s="49" t="s">
        <v>1666</v>
      </c>
      <c r="J452" t="str">
        <f t="shared" ref="J452:J515" si="16">+A452&amp;" - "&amp;B452</f>
        <v>10136105 - Condom. Castilla Etapa 3-Clientes</v>
      </c>
      <c r="K452" t="str">
        <f t="shared" ref="K452:K515" si="17">+D452</f>
        <v>Proyectos Inmobiliarios</v>
      </c>
    </row>
    <row r="453" spans="1:11" x14ac:dyDescent="0.25">
      <c r="A453" s="48">
        <v>10136205</v>
      </c>
      <c r="B453" s="49" t="s">
        <v>1929</v>
      </c>
      <c r="C453" s="49" t="s">
        <v>1685</v>
      </c>
      <c r="D453" s="49" t="s">
        <v>1665</v>
      </c>
      <c r="E453" s="49" t="s">
        <v>1624</v>
      </c>
      <c r="F453" s="49" t="s">
        <v>1923</v>
      </c>
      <c r="G453" s="49" t="s">
        <v>1661</v>
      </c>
      <c r="H453" s="48" t="s">
        <v>1672</v>
      </c>
      <c r="I453" s="49" t="s">
        <v>1666</v>
      </c>
      <c r="J453" t="str">
        <f t="shared" si="16"/>
        <v>10136205 - Condom. Castilla Etapa 3-Proyecto</v>
      </c>
      <c r="K453" t="str">
        <f t="shared" si="17"/>
        <v>Proyectos Inmobiliarios</v>
      </c>
    </row>
    <row r="454" spans="1:11" x14ac:dyDescent="0.25">
      <c r="A454" s="48">
        <v>10136301</v>
      </c>
      <c r="B454" s="49" t="s">
        <v>1930</v>
      </c>
      <c r="C454" s="49" t="s">
        <v>1685</v>
      </c>
      <c r="D454" s="49" t="s">
        <v>1665</v>
      </c>
      <c r="E454" s="49" t="s">
        <v>1643</v>
      </c>
      <c r="F454" s="49" t="s">
        <v>1923</v>
      </c>
      <c r="G454" s="49" t="s">
        <v>1667</v>
      </c>
      <c r="H454" s="48" t="s">
        <v>1672</v>
      </c>
      <c r="I454" s="49" t="s">
        <v>1666</v>
      </c>
      <c r="J454" t="str">
        <f t="shared" si="16"/>
        <v>10136301 - Condom. Castilla Etapa 3-GAF</v>
      </c>
      <c r="K454" t="str">
        <f t="shared" si="17"/>
        <v>Proyectos Inmobiliarios</v>
      </c>
    </row>
    <row r="455" spans="1:11" x14ac:dyDescent="0.25">
      <c r="A455" s="48">
        <v>10136505</v>
      </c>
      <c r="B455" s="49" t="s">
        <v>1931</v>
      </c>
      <c r="C455" s="49" t="s">
        <v>1685</v>
      </c>
      <c r="D455" s="49" t="s">
        <v>66</v>
      </c>
      <c r="E455" s="49" t="s">
        <v>328</v>
      </c>
      <c r="F455" s="49" t="s">
        <v>1923</v>
      </c>
      <c r="G455" s="49" t="s">
        <v>1661</v>
      </c>
      <c r="H455" s="48" t="s">
        <v>1672</v>
      </c>
      <c r="I455" s="49" t="s">
        <v>1666</v>
      </c>
      <c r="J455" t="str">
        <f t="shared" si="16"/>
        <v>10136505 - Condom. Castilla Etapa 3-PV Inmob.</v>
      </c>
      <c r="K455" t="str">
        <f t="shared" si="17"/>
        <v>Postventa</v>
      </c>
    </row>
    <row r="456" spans="1:11" x14ac:dyDescent="0.25">
      <c r="A456" s="48">
        <v>10136506</v>
      </c>
      <c r="B456" s="49" t="s">
        <v>1932</v>
      </c>
      <c r="C456" s="49" t="s">
        <v>1685</v>
      </c>
      <c r="D456" s="49" t="s">
        <v>1665</v>
      </c>
      <c r="E456" s="49" t="s">
        <v>200</v>
      </c>
      <c r="F456" s="49" t="s">
        <v>1923</v>
      </c>
      <c r="G456" s="49" t="s">
        <v>1661</v>
      </c>
      <c r="H456" s="48" t="s">
        <v>1672</v>
      </c>
      <c r="I456" s="49" t="s">
        <v>1666</v>
      </c>
      <c r="J456" t="str">
        <f t="shared" si="16"/>
        <v>10136506 - Condom. Castilla Etapa 3-Depto.Técnico</v>
      </c>
      <c r="K456" t="str">
        <f t="shared" si="17"/>
        <v>Proyectos Inmobiliarios</v>
      </c>
    </row>
    <row r="457" spans="1:11" x14ac:dyDescent="0.25">
      <c r="A457" s="50">
        <v>999999999</v>
      </c>
      <c r="B457" s="51" t="s">
        <v>1684</v>
      </c>
      <c r="C457" s="51"/>
      <c r="D457" s="51" t="s">
        <v>1578</v>
      </c>
      <c r="E457" s="51" t="s">
        <v>1578</v>
      </c>
      <c r="F457" s="51" t="s">
        <v>1933</v>
      </c>
      <c r="G457" s="51" t="s">
        <v>1661</v>
      </c>
      <c r="H457" s="50" t="s">
        <v>1672</v>
      </c>
      <c r="I457" s="51" t="s">
        <v>1662</v>
      </c>
      <c r="J457" t="str">
        <f t="shared" si="16"/>
        <v>999999999 - Terreno Abuelo Proyectos sin Terreno</v>
      </c>
      <c r="K457" t="str">
        <f t="shared" si="17"/>
        <v>Terreno</v>
      </c>
    </row>
    <row r="458" spans="1:11" x14ac:dyDescent="0.25">
      <c r="A458" s="50">
        <v>999</v>
      </c>
      <c r="B458" s="51" t="s">
        <v>1808</v>
      </c>
      <c r="C458" s="51"/>
      <c r="D458" s="51" t="s">
        <v>65</v>
      </c>
      <c r="E458" s="51" t="s">
        <v>65</v>
      </c>
      <c r="F458" s="51" t="s">
        <v>1933</v>
      </c>
      <c r="G458" s="51" t="s">
        <v>1663</v>
      </c>
      <c r="H458" s="50" t="s">
        <v>1672</v>
      </c>
      <c r="I458" s="51" t="s">
        <v>1664</v>
      </c>
      <c r="J458" t="str">
        <f t="shared" si="16"/>
        <v>999 - Obra Padre Proyectos sin Obra</v>
      </c>
      <c r="K458" t="str">
        <f t="shared" si="17"/>
        <v>Obra</v>
      </c>
    </row>
    <row r="459" spans="1:11" x14ac:dyDescent="0.25">
      <c r="A459" s="50">
        <v>10015000</v>
      </c>
      <c r="B459" s="51" t="s">
        <v>1934</v>
      </c>
      <c r="C459" s="51" t="s">
        <v>1660</v>
      </c>
      <c r="D459" s="51" t="s">
        <v>1665</v>
      </c>
      <c r="E459" s="51" t="s">
        <v>1585</v>
      </c>
      <c r="F459" s="51" t="s">
        <v>1933</v>
      </c>
      <c r="G459" s="51" t="s">
        <v>1661</v>
      </c>
      <c r="H459" s="50" t="s">
        <v>1672</v>
      </c>
      <c r="I459" s="51" t="s">
        <v>1666</v>
      </c>
      <c r="J459" t="str">
        <f t="shared" si="16"/>
        <v>10015000 - Costa Sur Torre A</v>
      </c>
      <c r="K459" t="str">
        <f t="shared" si="17"/>
        <v>Proyectos Inmobiliarios</v>
      </c>
    </row>
    <row r="460" spans="1:11" x14ac:dyDescent="0.25">
      <c r="A460" s="50">
        <v>10015102</v>
      </c>
      <c r="B460" s="51" t="s">
        <v>1935</v>
      </c>
      <c r="C460" s="51" t="s">
        <v>1660</v>
      </c>
      <c r="D460" s="51" t="s">
        <v>1665</v>
      </c>
      <c r="E460" s="51" t="s">
        <v>1617</v>
      </c>
      <c r="F460" s="51" t="s">
        <v>1933</v>
      </c>
      <c r="G460" s="51" t="s">
        <v>1661</v>
      </c>
      <c r="H460" s="50" t="s">
        <v>1672</v>
      </c>
      <c r="I460" s="51" t="s">
        <v>1666</v>
      </c>
      <c r="J460" t="str">
        <f t="shared" si="16"/>
        <v>10015102 - Costa Sur Torre A-Marketing</v>
      </c>
      <c r="K460" t="str">
        <f t="shared" si="17"/>
        <v>Proyectos Inmobiliarios</v>
      </c>
    </row>
    <row r="461" spans="1:11" x14ac:dyDescent="0.25">
      <c r="A461" s="50">
        <v>10015103</v>
      </c>
      <c r="B461" s="51" t="s">
        <v>1936</v>
      </c>
      <c r="C461" s="51" t="s">
        <v>1660</v>
      </c>
      <c r="D461" s="51" t="s">
        <v>1665</v>
      </c>
      <c r="E461" s="51" t="s">
        <v>1618</v>
      </c>
      <c r="F461" s="51" t="s">
        <v>1933</v>
      </c>
      <c r="G461" s="51" t="s">
        <v>1661</v>
      </c>
      <c r="H461" s="50" t="s">
        <v>1672</v>
      </c>
      <c r="I461" s="51" t="s">
        <v>1666</v>
      </c>
      <c r="J461" t="str">
        <f t="shared" si="16"/>
        <v>10015103 - Costa Sur Torre A-Operaciones</v>
      </c>
      <c r="K461" t="str">
        <f t="shared" si="17"/>
        <v>Proyectos Inmobiliarios</v>
      </c>
    </row>
    <row r="462" spans="1:11" x14ac:dyDescent="0.25">
      <c r="A462" s="50">
        <v>10015104</v>
      </c>
      <c r="B462" s="51" t="s">
        <v>1937</v>
      </c>
      <c r="C462" s="51" t="s">
        <v>1660</v>
      </c>
      <c r="D462" s="51" t="s">
        <v>1665</v>
      </c>
      <c r="E462" s="51" t="s">
        <v>90</v>
      </c>
      <c r="F462" s="51" t="s">
        <v>1933</v>
      </c>
      <c r="G462" s="51" t="s">
        <v>1661</v>
      </c>
      <c r="H462" s="50" t="s">
        <v>1672</v>
      </c>
      <c r="I462" s="51" t="s">
        <v>1666</v>
      </c>
      <c r="J462" t="str">
        <f t="shared" si="16"/>
        <v>10015104 - Costa Sur Torre A-Ventas</v>
      </c>
      <c r="K462" t="str">
        <f t="shared" si="17"/>
        <v>Proyectos Inmobiliarios</v>
      </c>
    </row>
    <row r="463" spans="1:11" x14ac:dyDescent="0.25">
      <c r="A463" s="50">
        <v>10015105</v>
      </c>
      <c r="B463" s="51" t="s">
        <v>1938</v>
      </c>
      <c r="C463" s="51" t="s">
        <v>1660</v>
      </c>
      <c r="D463" s="51" t="s">
        <v>1665</v>
      </c>
      <c r="E463" s="51" t="s">
        <v>1622</v>
      </c>
      <c r="F463" s="51" t="s">
        <v>1933</v>
      </c>
      <c r="G463" s="51" t="s">
        <v>1661</v>
      </c>
      <c r="H463" s="50" t="s">
        <v>1672</v>
      </c>
      <c r="I463" s="51" t="s">
        <v>1666</v>
      </c>
      <c r="J463" t="str">
        <f t="shared" si="16"/>
        <v>10015105 - Costa Sur Torre A-Clientes</v>
      </c>
      <c r="K463" t="str">
        <f t="shared" si="17"/>
        <v>Proyectos Inmobiliarios</v>
      </c>
    </row>
    <row r="464" spans="1:11" x14ac:dyDescent="0.25">
      <c r="A464" s="50">
        <v>10015203</v>
      </c>
      <c r="B464" s="51" t="s">
        <v>1939</v>
      </c>
      <c r="C464" s="51" t="s">
        <v>1660</v>
      </c>
      <c r="D464" s="51" t="s">
        <v>1665</v>
      </c>
      <c r="E464" s="51" t="s">
        <v>1624</v>
      </c>
      <c r="F464" s="51" t="s">
        <v>1933</v>
      </c>
      <c r="G464" s="51" t="s">
        <v>1661</v>
      </c>
      <c r="H464" s="50" t="s">
        <v>1672</v>
      </c>
      <c r="I464" s="51" t="s">
        <v>1666</v>
      </c>
      <c r="J464" t="str">
        <f t="shared" si="16"/>
        <v>10015203 - Costa Sur Torre A-Proyecto</v>
      </c>
      <c r="K464" t="str">
        <f t="shared" si="17"/>
        <v>Proyectos Inmobiliarios</v>
      </c>
    </row>
    <row r="465" spans="1:11" x14ac:dyDescent="0.25">
      <c r="A465" s="50">
        <v>10015301</v>
      </c>
      <c r="B465" s="51" t="s">
        <v>1940</v>
      </c>
      <c r="C465" s="51" t="s">
        <v>1660</v>
      </c>
      <c r="D465" s="51" t="s">
        <v>1665</v>
      </c>
      <c r="E465" s="51" t="s">
        <v>1643</v>
      </c>
      <c r="F465" s="51" t="s">
        <v>1933</v>
      </c>
      <c r="G465" s="51" t="s">
        <v>1667</v>
      </c>
      <c r="H465" s="50" t="s">
        <v>1672</v>
      </c>
      <c r="I465" s="51" t="s">
        <v>1666</v>
      </c>
      <c r="J465" t="str">
        <f t="shared" si="16"/>
        <v>10015301 - Costa Sur Torre A-GAF</v>
      </c>
      <c r="K465" t="str">
        <f t="shared" si="17"/>
        <v>Proyectos Inmobiliarios</v>
      </c>
    </row>
    <row r="466" spans="1:11" x14ac:dyDescent="0.25">
      <c r="A466" s="50">
        <v>10015505</v>
      </c>
      <c r="B466" s="51" t="s">
        <v>1941</v>
      </c>
      <c r="C466" s="51" t="s">
        <v>1660</v>
      </c>
      <c r="D466" s="51" t="s">
        <v>66</v>
      </c>
      <c r="E466" s="51" t="s">
        <v>328</v>
      </c>
      <c r="F466" s="51" t="s">
        <v>1933</v>
      </c>
      <c r="G466" s="51" t="s">
        <v>1661</v>
      </c>
      <c r="H466" s="50" t="s">
        <v>1672</v>
      </c>
      <c r="I466" s="51" t="s">
        <v>1666</v>
      </c>
      <c r="J466" t="str">
        <f t="shared" si="16"/>
        <v>10015505 - Costa Sur Torre A-PV Inmob.</v>
      </c>
      <c r="K466" t="str">
        <f t="shared" si="17"/>
        <v>Postventa</v>
      </c>
    </row>
    <row r="467" spans="1:11" x14ac:dyDescent="0.25">
      <c r="A467" s="50">
        <v>10015506</v>
      </c>
      <c r="B467" s="51" t="s">
        <v>1942</v>
      </c>
      <c r="C467" s="51" t="s">
        <v>1660</v>
      </c>
      <c r="D467" s="51" t="s">
        <v>1665</v>
      </c>
      <c r="E467" s="51" t="s">
        <v>200</v>
      </c>
      <c r="F467" s="51" t="s">
        <v>1933</v>
      </c>
      <c r="G467" s="51" t="s">
        <v>1661</v>
      </c>
      <c r="H467" s="50" t="s">
        <v>1672</v>
      </c>
      <c r="I467" s="51" t="s">
        <v>1666</v>
      </c>
      <c r="J467" t="str">
        <f t="shared" si="16"/>
        <v>10015506 - Costa Sur Torre A-Depto.Técnico</v>
      </c>
      <c r="K467" t="str">
        <f t="shared" si="17"/>
        <v>Proyectos Inmobiliarios</v>
      </c>
    </row>
    <row r="468" spans="1:11" x14ac:dyDescent="0.25">
      <c r="A468" s="56">
        <v>999999999</v>
      </c>
      <c r="B468" s="57" t="s">
        <v>1684</v>
      </c>
      <c r="C468" s="57"/>
      <c r="D468" s="57" t="s">
        <v>1578</v>
      </c>
      <c r="E468" s="57" t="s">
        <v>1578</v>
      </c>
      <c r="F468" s="57" t="s">
        <v>1943</v>
      </c>
      <c r="G468" s="57" t="s">
        <v>1661</v>
      </c>
      <c r="H468" s="56" t="s">
        <v>1672</v>
      </c>
      <c r="I468" s="57" t="s">
        <v>1662</v>
      </c>
      <c r="J468" t="str">
        <f t="shared" si="16"/>
        <v>999999999 - Terreno Abuelo Proyectos sin Terreno</v>
      </c>
      <c r="K468" t="str">
        <f t="shared" si="17"/>
        <v>Terreno</v>
      </c>
    </row>
    <row r="469" spans="1:11" x14ac:dyDescent="0.25">
      <c r="A469" s="56">
        <v>999</v>
      </c>
      <c r="B469" s="57" t="s">
        <v>1808</v>
      </c>
      <c r="C469" s="57"/>
      <c r="D469" s="57" t="s">
        <v>65</v>
      </c>
      <c r="E469" s="57" t="s">
        <v>65</v>
      </c>
      <c r="F469" s="57" t="s">
        <v>1943</v>
      </c>
      <c r="G469" s="57" t="s">
        <v>1663</v>
      </c>
      <c r="H469" s="56" t="s">
        <v>1672</v>
      </c>
      <c r="I469" s="57" t="s">
        <v>1664</v>
      </c>
      <c r="J469" t="str">
        <f t="shared" si="16"/>
        <v>999 - Obra Padre Proyectos sin Obra</v>
      </c>
      <c r="K469" t="str">
        <f t="shared" si="17"/>
        <v>Obra</v>
      </c>
    </row>
    <row r="470" spans="1:11" x14ac:dyDescent="0.25">
      <c r="A470" s="56">
        <v>10032000</v>
      </c>
      <c r="B470" s="57" t="s">
        <v>1944</v>
      </c>
      <c r="C470" s="57" t="s">
        <v>1660</v>
      </c>
      <c r="D470" s="57" t="s">
        <v>1665</v>
      </c>
      <c r="E470" s="57" t="s">
        <v>1585</v>
      </c>
      <c r="F470" s="57" t="s">
        <v>1943</v>
      </c>
      <c r="G470" s="57" t="s">
        <v>1661</v>
      </c>
      <c r="H470" s="56" t="s">
        <v>1672</v>
      </c>
      <c r="I470" s="57" t="s">
        <v>1666</v>
      </c>
      <c r="J470" t="str">
        <f t="shared" si="16"/>
        <v>10032000 - Costa Sur Torre B</v>
      </c>
      <c r="K470" t="str">
        <f t="shared" si="17"/>
        <v>Proyectos Inmobiliarios</v>
      </c>
    </row>
    <row r="471" spans="1:11" x14ac:dyDescent="0.25">
      <c r="A471" s="56">
        <v>10032102</v>
      </c>
      <c r="B471" s="57" t="s">
        <v>1945</v>
      </c>
      <c r="C471" s="57" t="s">
        <v>1660</v>
      </c>
      <c r="D471" s="57" t="s">
        <v>1665</v>
      </c>
      <c r="E471" s="57" t="s">
        <v>1617</v>
      </c>
      <c r="F471" s="57" t="s">
        <v>1943</v>
      </c>
      <c r="G471" s="57" t="s">
        <v>1661</v>
      </c>
      <c r="H471" s="56" t="s">
        <v>1672</v>
      </c>
      <c r="I471" s="57" t="s">
        <v>1666</v>
      </c>
      <c r="J471" t="str">
        <f t="shared" si="16"/>
        <v>10032102 - Costa Sur Torre B-Marketing</v>
      </c>
      <c r="K471" t="str">
        <f t="shared" si="17"/>
        <v>Proyectos Inmobiliarios</v>
      </c>
    </row>
    <row r="472" spans="1:11" x14ac:dyDescent="0.25">
      <c r="A472" s="56">
        <v>10032103</v>
      </c>
      <c r="B472" s="57" t="s">
        <v>1946</v>
      </c>
      <c r="C472" s="57" t="s">
        <v>1660</v>
      </c>
      <c r="D472" s="57" t="s">
        <v>1665</v>
      </c>
      <c r="E472" s="57" t="s">
        <v>1618</v>
      </c>
      <c r="F472" s="57" t="s">
        <v>1943</v>
      </c>
      <c r="G472" s="57" t="s">
        <v>1661</v>
      </c>
      <c r="H472" s="56" t="s">
        <v>1672</v>
      </c>
      <c r="I472" s="57" t="s">
        <v>1666</v>
      </c>
      <c r="J472" t="str">
        <f t="shared" si="16"/>
        <v>10032103 - Costa Sur Torre B-Operaciones</v>
      </c>
      <c r="K472" t="str">
        <f t="shared" si="17"/>
        <v>Proyectos Inmobiliarios</v>
      </c>
    </row>
    <row r="473" spans="1:11" x14ac:dyDescent="0.25">
      <c r="A473" s="56">
        <v>10032104</v>
      </c>
      <c r="B473" s="57" t="s">
        <v>1947</v>
      </c>
      <c r="C473" s="57" t="s">
        <v>1660</v>
      </c>
      <c r="D473" s="57" t="s">
        <v>1665</v>
      </c>
      <c r="E473" s="57" t="s">
        <v>90</v>
      </c>
      <c r="F473" s="57" t="s">
        <v>1943</v>
      </c>
      <c r="G473" s="57" t="s">
        <v>1661</v>
      </c>
      <c r="H473" s="56" t="s">
        <v>1672</v>
      </c>
      <c r="I473" s="57" t="s">
        <v>1666</v>
      </c>
      <c r="J473" t="str">
        <f t="shared" si="16"/>
        <v>10032104 - Costa Sur Torre B-Ventas</v>
      </c>
      <c r="K473" t="str">
        <f t="shared" si="17"/>
        <v>Proyectos Inmobiliarios</v>
      </c>
    </row>
    <row r="474" spans="1:11" x14ac:dyDescent="0.25">
      <c r="A474" s="56">
        <v>10032105</v>
      </c>
      <c r="B474" s="57" t="s">
        <v>1948</v>
      </c>
      <c r="C474" s="57" t="s">
        <v>1660</v>
      </c>
      <c r="D474" s="57" t="s">
        <v>1665</v>
      </c>
      <c r="E474" s="57" t="s">
        <v>1622</v>
      </c>
      <c r="F474" s="57" t="s">
        <v>1943</v>
      </c>
      <c r="G474" s="57" t="s">
        <v>1661</v>
      </c>
      <c r="H474" s="56" t="s">
        <v>1672</v>
      </c>
      <c r="I474" s="57" t="s">
        <v>1666</v>
      </c>
      <c r="J474" t="str">
        <f t="shared" si="16"/>
        <v>10032105 - Costa Sur Torre B-Clientes</v>
      </c>
      <c r="K474" t="str">
        <f t="shared" si="17"/>
        <v>Proyectos Inmobiliarios</v>
      </c>
    </row>
    <row r="475" spans="1:11" x14ac:dyDescent="0.25">
      <c r="A475" s="56">
        <v>10032203</v>
      </c>
      <c r="B475" s="57" t="s">
        <v>1949</v>
      </c>
      <c r="C475" s="57" t="s">
        <v>1660</v>
      </c>
      <c r="D475" s="57" t="s">
        <v>1665</v>
      </c>
      <c r="E475" s="57" t="s">
        <v>1624</v>
      </c>
      <c r="F475" s="57" t="s">
        <v>1943</v>
      </c>
      <c r="G475" s="57" t="s">
        <v>1661</v>
      </c>
      <c r="H475" s="56" t="s">
        <v>1672</v>
      </c>
      <c r="I475" s="57" t="s">
        <v>1666</v>
      </c>
      <c r="J475" t="str">
        <f t="shared" si="16"/>
        <v>10032203 - Costa Sur Torre B-Proyecto</v>
      </c>
      <c r="K475" t="str">
        <f t="shared" si="17"/>
        <v>Proyectos Inmobiliarios</v>
      </c>
    </row>
    <row r="476" spans="1:11" x14ac:dyDescent="0.25">
      <c r="A476" s="56">
        <v>10032301</v>
      </c>
      <c r="B476" s="57" t="s">
        <v>1950</v>
      </c>
      <c r="C476" s="57" t="s">
        <v>1660</v>
      </c>
      <c r="D476" s="57" t="s">
        <v>1665</v>
      </c>
      <c r="E476" s="57" t="s">
        <v>1643</v>
      </c>
      <c r="F476" s="57" t="s">
        <v>1943</v>
      </c>
      <c r="G476" s="57" t="s">
        <v>1667</v>
      </c>
      <c r="H476" s="56" t="s">
        <v>1672</v>
      </c>
      <c r="I476" s="57" t="s">
        <v>1666</v>
      </c>
      <c r="J476" t="str">
        <f t="shared" si="16"/>
        <v>10032301 - Costa Sur Torre B-GAF</v>
      </c>
      <c r="K476" t="str">
        <f t="shared" si="17"/>
        <v>Proyectos Inmobiliarios</v>
      </c>
    </row>
    <row r="477" spans="1:11" x14ac:dyDescent="0.25">
      <c r="A477" s="56">
        <v>10032505</v>
      </c>
      <c r="B477" s="57" t="s">
        <v>1951</v>
      </c>
      <c r="C477" s="57" t="s">
        <v>1660</v>
      </c>
      <c r="D477" s="57" t="s">
        <v>66</v>
      </c>
      <c r="E477" s="57" t="s">
        <v>328</v>
      </c>
      <c r="F477" s="57" t="s">
        <v>1943</v>
      </c>
      <c r="G477" s="57" t="s">
        <v>1661</v>
      </c>
      <c r="H477" s="56" t="s">
        <v>1672</v>
      </c>
      <c r="I477" s="57" t="s">
        <v>1666</v>
      </c>
      <c r="J477" t="str">
        <f t="shared" si="16"/>
        <v>10032505 - Costa Sur Torre B-PV Inmob.</v>
      </c>
      <c r="K477" t="str">
        <f t="shared" si="17"/>
        <v>Postventa</v>
      </c>
    </row>
    <row r="478" spans="1:11" x14ac:dyDescent="0.25">
      <c r="A478" s="56">
        <v>10032506</v>
      </c>
      <c r="B478" s="57" t="s">
        <v>1952</v>
      </c>
      <c r="C478" s="57" t="s">
        <v>1660</v>
      </c>
      <c r="D478" s="57" t="s">
        <v>1665</v>
      </c>
      <c r="E478" s="57" t="s">
        <v>200</v>
      </c>
      <c r="F478" s="57" t="s">
        <v>1943</v>
      </c>
      <c r="G478" s="57" t="s">
        <v>1661</v>
      </c>
      <c r="H478" s="56" t="s">
        <v>1672</v>
      </c>
      <c r="I478" s="57" t="s">
        <v>1666</v>
      </c>
      <c r="J478" t="str">
        <f t="shared" si="16"/>
        <v>10032506 - Costa Sur Torre B-Depto.Técnico</v>
      </c>
      <c r="K478" t="str">
        <f t="shared" si="17"/>
        <v>Proyectos Inmobiliarios</v>
      </c>
    </row>
    <row r="479" spans="1:11" x14ac:dyDescent="0.25">
      <c r="A479" s="72">
        <v>1164202</v>
      </c>
      <c r="B479" s="73" t="s">
        <v>1953</v>
      </c>
      <c r="C479" s="73" t="s">
        <v>1670</v>
      </c>
      <c r="D479" s="73" t="s">
        <v>1578</v>
      </c>
      <c r="E479" s="73" t="s">
        <v>1578</v>
      </c>
      <c r="F479" s="73" t="s">
        <v>1954</v>
      </c>
      <c r="G479" s="73" t="s">
        <v>1661</v>
      </c>
      <c r="H479" s="72" t="s">
        <v>1672</v>
      </c>
      <c r="I479" s="73" t="s">
        <v>1662</v>
      </c>
      <c r="J479" t="str">
        <f t="shared" si="16"/>
        <v>1164202 - Terreno DS 19 - Gran Avenida - Inversiones</v>
      </c>
      <c r="K479" t="str">
        <f t="shared" si="17"/>
        <v>Terreno</v>
      </c>
    </row>
    <row r="480" spans="1:11" x14ac:dyDescent="0.25">
      <c r="A480" s="64">
        <v>1167202</v>
      </c>
      <c r="B480" s="65" t="s">
        <v>779</v>
      </c>
      <c r="C480" s="65" t="s">
        <v>1670</v>
      </c>
      <c r="D480" s="65" t="s">
        <v>1578</v>
      </c>
      <c r="E480" s="65" t="s">
        <v>1578</v>
      </c>
      <c r="F480" s="65" t="s">
        <v>1954</v>
      </c>
      <c r="G480" s="65" t="s">
        <v>1661</v>
      </c>
      <c r="H480" s="64" t="s">
        <v>386</v>
      </c>
      <c r="I480" s="65" t="s">
        <v>1662</v>
      </c>
      <c r="J480" t="str">
        <f t="shared" si="16"/>
        <v>1167202 - Terreno DS19 Gran Avenida Etapa 1 (Torre C-D) – Inversiones</v>
      </c>
      <c r="K480" t="str">
        <f t="shared" si="17"/>
        <v>Terreno</v>
      </c>
    </row>
    <row r="481" spans="1:11" x14ac:dyDescent="0.25">
      <c r="A481" s="64">
        <v>247</v>
      </c>
      <c r="B481" s="65" t="s">
        <v>473</v>
      </c>
      <c r="C481" s="65" t="s">
        <v>1670</v>
      </c>
      <c r="D481" s="65" t="s">
        <v>65</v>
      </c>
      <c r="E481" s="65" t="s">
        <v>65</v>
      </c>
      <c r="F481" s="65" t="s">
        <v>1954</v>
      </c>
      <c r="G481" s="65" t="s">
        <v>1663</v>
      </c>
      <c r="H481" s="64" t="s">
        <v>386</v>
      </c>
      <c r="I481" s="65" t="s">
        <v>1664</v>
      </c>
      <c r="J481" t="str">
        <f t="shared" si="16"/>
        <v>247 - DS19 Gran Avenida Etapa 1 (Torre C-D)</v>
      </c>
      <c r="K481" t="str">
        <f t="shared" si="17"/>
        <v>Obra</v>
      </c>
    </row>
    <row r="482" spans="1:11" x14ac:dyDescent="0.25">
      <c r="A482" s="64">
        <v>10364000</v>
      </c>
      <c r="B482" s="65" t="s">
        <v>1451</v>
      </c>
      <c r="C482" s="65" t="s">
        <v>1670</v>
      </c>
      <c r="D482" s="65" t="s">
        <v>1665</v>
      </c>
      <c r="E482" s="65" t="s">
        <v>1585</v>
      </c>
      <c r="F482" s="65" t="s">
        <v>1954</v>
      </c>
      <c r="G482" s="65" t="s">
        <v>1661</v>
      </c>
      <c r="H482" s="64" t="s">
        <v>386</v>
      </c>
      <c r="I482" s="65" t="s">
        <v>1666</v>
      </c>
      <c r="J482" t="str">
        <f t="shared" si="16"/>
        <v>10364000 - DS19 Gran Avenida Etapa 1 (Torre C-D)</v>
      </c>
      <c r="K482" t="str">
        <f t="shared" si="17"/>
        <v>Proyectos Inmobiliarios</v>
      </c>
    </row>
    <row r="483" spans="1:11" x14ac:dyDescent="0.25">
      <c r="A483" s="64">
        <v>10364102</v>
      </c>
      <c r="B483" s="65" t="s">
        <v>1452</v>
      </c>
      <c r="C483" s="65" t="s">
        <v>1670</v>
      </c>
      <c r="D483" s="65" t="s">
        <v>1665</v>
      </c>
      <c r="E483" s="65" t="s">
        <v>1617</v>
      </c>
      <c r="F483" s="65" t="s">
        <v>1954</v>
      </c>
      <c r="G483" s="65" t="s">
        <v>1661</v>
      </c>
      <c r="H483" s="64" t="s">
        <v>386</v>
      </c>
      <c r="I483" s="65" t="s">
        <v>1666</v>
      </c>
      <c r="J483" t="str">
        <f t="shared" si="16"/>
        <v>10364102 - DS19 Gran Avenida Etapa 1 (Torre C-D)-Marketing</v>
      </c>
      <c r="K483" t="str">
        <f t="shared" si="17"/>
        <v>Proyectos Inmobiliarios</v>
      </c>
    </row>
    <row r="484" spans="1:11" x14ac:dyDescent="0.25">
      <c r="A484" s="64">
        <v>10364103</v>
      </c>
      <c r="B484" s="65" t="s">
        <v>1453</v>
      </c>
      <c r="C484" s="65" t="s">
        <v>1670</v>
      </c>
      <c r="D484" s="65" t="s">
        <v>1665</v>
      </c>
      <c r="E484" s="65" t="s">
        <v>1618</v>
      </c>
      <c r="F484" s="65" t="s">
        <v>1954</v>
      </c>
      <c r="G484" s="65" t="s">
        <v>1661</v>
      </c>
      <c r="H484" s="64" t="s">
        <v>386</v>
      </c>
      <c r="I484" s="65" t="s">
        <v>1666</v>
      </c>
      <c r="J484" t="str">
        <f t="shared" si="16"/>
        <v>10364103 - DS19 Gran Avenida Etapa 1 (Torre C-D)-Operaciones</v>
      </c>
      <c r="K484" t="str">
        <f t="shared" si="17"/>
        <v>Proyectos Inmobiliarios</v>
      </c>
    </row>
    <row r="485" spans="1:11" x14ac:dyDescent="0.25">
      <c r="A485" s="64">
        <v>10364104</v>
      </c>
      <c r="B485" s="65" t="s">
        <v>1454</v>
      </c>
      <c r="C485" s="65" t="s">
        <v>1670</v>
      </c>
      <c r="D485" s="65" t="s">
        <v>1665</v>
      </c>
      <c r="E485" s="65" t="s">
        <v>90</v>
      </c>
      <c r="F485" s="65" t="s">
        <v>1954</v>
      </c>
      <c r="G485" s="65" t="s">
        <v>1661</v>
      </c>
      <c r="H485" s="64" t="s">
        <v>386</v>
      </c>
      <c r="I485" s="65" t="s">
        <v>1666</v>
      </c>
      <c r="J485" t="str">
        <f t="shared" si="16"/>
        <v>10364104 - DS19 Gran Avenida Etapa 1 (Torre C-D)-Ventas</v>
      </c>
      <c r="K485" t="str">
        <f t="shared" si="17"/>
        <v>Proyectos Inmobiliarios</v>
      </c>
    </row>
    <row r="486" spans="1:11" x14ac:dyDescent="0.25">
      <c r="A486" s="64">
        <v>10364105</v>
      </c>
      <c r="B486" s="65" t="s">
        <v>1455</v>
      </c>
      <c r="C486" s="65" t="s">
        <v>1670</v>
      </c>
      <c r="D486" s="65" t="s">
        <v>1665</v>
      </c>
      <c r="E486" s="65" t="s">
        <v>1622</v>
      </c>
      <c r="F486" s="65" t="s">
        <v>1954</v>
      </c>
      <c r="G486" s="65" t="s">
        <v>1661</v>
      </c>
      <c r="H486" s="64" t="s">
        <v>386</v>
      </c>
      <c r="I486" s="65" t="s">
        <v>1666</v>
      </c>
      <c r="J486" t="str">
        <f t="shared" si="16"/>
        <v>10364105 - DS19 Gran Avenida Etapa 1 (Torre C-D)-Clientes</v>
      </c>
      <c r="K486" t="str">
        <f t="shared" si="17"/>
        <v>Proyectos Inmobiliarios</v>
      </c>
    </row>
    <row r="487" spans="1:11" x14ac:dyDescent="0.25">
      <c r="A487" s="64">
        <v>10364204</v>
      </c>
      <c r="B487" s="65" t="s">
        <v>1456</v>
      </c>
      <c r="C487" s="65" t="s">
        <v>1670</v>
      </c>
      <c r="D487" s="65" t="s">
        <v>1665</v>
      </c>
      <c r="E487" s="65" t="s">
        <v>1624</v>
      </c>
      <c r="F487" s="65" t="s">
        <v>1954</v>
      </c>
      <c r="G487" s="65" t="s">
        <v>1661</v>
      </c>
      <c r="H487" s="64" t="s">
        <v>386</v>
      </c>
      <c r="I487" s="65" t="s">
        <v>1666</v>
      </c>
      <c r="J487" t="str">
        <f t="shared" si="16"/>
        <v>10364204 - DS19 Gran Avenida Etapa 1 (Torre C-D)-Proyecto</v>
      </c>
      <c r="K487" t="str">
        <f t="shared" si="17"/>
        <v>Proyectos Inmobiliarios</v>
      </c>
    </row>
    <row r="488" spans="1:11" x14ac:dyDescent="0.25">
      <c r="A488" s="64">
        <v>10364301</v>
      </c>
      <c r="B488" s="65" t="s">
        <v>1457</v>
      </c>
      <c r="C488" s="65" t="s">
        <v>1670</v>
      </c>
      <c r="D488" s="65" t="s">
        <v>1665</v>
      </c>
      <c r="E488" s="65" t="s">
        <v>1643</v>
      </c>
      <c r="F488" s="65" t="s">
        <v>1954</v>
      </c>
      <c r="G488" s="65" t="s">
        <v>1667</v>
      </c>
      <c r="H488" s="64" t="s">
        <v>386</v>
      </c>
      <c r="I488" s="65" t="s">
        <v>1666</v>
      </c>
      <c r="J488" t="str">
        <f t="shared" si="16"/>
        <v>10364301 - DS19 Gran Avenida Etapa 1 (Torre C-D)-GAF</v>
      </c>
      <c r="K488" t="str">
        <f t="shared" si="17"/>
        <v>Proyectos Inmobiliarios</v>
      </c>
    </row>
    <row r="489" spans="1:11" x14ac:dyDescent="0.25">
      <c r="A489" s="64">
        <v>10364505</v>
      </c>
      <c r="B489" s="65" t="s">
        <v>1458</v>
      </c>
      <c r="C489" s="65" t="s">
        <v>1670</v>
      </c>
      <c r="D489" s="65" t="s">
        <v>66</v>
      </c>
      <c r="E489" s="65" t="s">
        <v>328</v>
      </c>
      <c r="F489" s="65" t="s">
        <v>1954</v>
      </c>
      <c r="G489" s="65" t="s">
        <v>1661</v>
      </c>
      <c r="H489" s="64" t="s">
        <v>386</v>
      </c>
      <c r="I489" s="65" t="s">
        <v>1666</v>
      </c>
      <c r="J489" t="str">
        <f t="shared" si="16"/>
        <v>10364505 - DS19 Gran Avenida Etapa 1 (Torre C-D)-PV Inmob.</v>
      </c>
      <c r="K489" t="str">
        <f t="shared" si="17"/>
        <v>Postventa</v>
      </c>
    </row>
    <row r="490" spans="1:11" x14ac:dyDescent="0.25">
      <c r="A490" s="64">
        <v>10364506</v>
      </c>
      <c r="B490" s="65" t="s">
        <v>1459</v>
      </c>
      <c r="C490" s="65" t="s">
        <v>1670</v>
      </c>
      <c r="D490" s="65" t="s">
        <v>1665</v>
      </c>
      <c r="E490" s="65" t="s">
        <v>200</v>
      </c>
      <c r="F490" s="65" t="s">
        <v>1954</v>
      </c>
      <c r="G490" s="65" t="s">
        <v>1661</v>
      </c>
      <c r="H490" s="64" t="s">
        <v>386</v>
      </c>
      <c r="I490" s="65" t="s">
        <v>1666</v>
      </c>
      <c r="J490" t="str">
        <f t="shared" si="16"/>
        <v>10364506 - DS19 Gran Avenida Etapa 1 (Torre C-D)-Depto.Técnico</v>
      </c>
      <c r="K490" t="str">
        <f t="shared" si="17"/>
        <v>Proyectos Inmobiliarios</v>
      </c>
    </row>
    <row r="491" spans="1:11" x14ac:dyDescent="0.25">
      <c r="A491" s="64">
        <v>8247</v>
      </c>
      <c r="B491" s="65" t="s">
        <v>1955</v>
      </c>
      <c r="C491" s="65" t="s">
        <v>1670</v>
      </c>
      <c r="D491" s="65" t="s">
        <v>1686</v>
      </c>
      <c r="E491" s="65" t="s">
        <v>1501</v>
      </c>
      <c r="F491" s="65" t="s">
        <v>1954</v>
      </c>
      <c r="G491" s="65" t="s">
        <v>1661</v>
      </c>
      <c r="H491" s="64" t="s">
        <v>1672</v>
      </c>
      <c r="I491" s="65" t="s">
        <v>1666</v>
      </c>
      <c r="J491" t="str">
        <f t="shared" si="16"/>
        <v>8247 - Entrega DS19 Gran Avenida Etapa 1 (Torre C-D)</v>
      </c>
      <c r="K491" t="str">
        <f t="shared" si="17"/>
        <v>Entrega</v>
      </c>
    </row>
    <row r="492" spans="1:11" x14ac:dyDescent="0.25">
      <c r="A492" s="64">
        <v>9247</v>
      </c>
      <c r="B492" s="65" t="s">
        <v>1956</v>
      </c>
      <c r="C492" s="65" t="s">
        <v>1670</v>
      </c>
      <c r="D492" s="65" t="s">
        <v>66</v>
      </c>
      <c r="E492" s="65" t="s">
        <v>328</v>
      </c>
      <c r="F492" s="65" t="s">
        <v>1954</v>
      </c>
      <c r="G492" s="65" t="s">
        <v>1661</v>
      </c>
      <c r="H492" s="64" t="s">
        <v>1672</v>
      </c>
      <c r="I492" s="65" t="s">
        <v>1666</v>
      </c>
      <c r="J492" t="str">
        <f t="shared" si="16"/>
        <v>9247 - PV DS19 Gran Avenida Etapa 1 (Torre C-D)</v>
      </c>
      <c r="K492" t="str">
        <f t="shared" si="17"/>
        <v>Postventa</v>
      </c>
    </row>
    <row r="493" spans="1:11" x14ac:dyDescent="0.25">
      <c r="A493" s="52">
        <v>1166202</v>
      </c>
      <c r="B493" s="53" t="s">
        <v>778</v>
      </c>
      <c r="C493" s="53" t="s">
        <v>1670</v>
      </c>
      <c r="D493" s="53" t="s">
        <v>1578</v>
      </c>
      <c r="E493" s="53" t="s">
        <v>1578</v>
      </c>
      <c r="F493" s="53" t="s">
        <v>1957</v>
      </c>
      <c r="G493" s="53" t="s">
        <v>1661</v>
      </c>
      <c r="H493" s="52" t="s">
        <v>386</v>
      </c>
      <c r="I493" s="53" t="s">
        <v>1662</v>
      </c>
      <c r="J493" t="str">
        <f t="shared" si="16"/>
        <v>1166202 - Terreno DS19 Gran Avenida Etapa 2 (Torre A-B) – Inversiones</v>
      </c>
      <c r="K493" t="str">
        <f t="shared" si="17"/>
        <v>Terreno</v>
      </c>
    </row>
    <row r="494" spans="1:11" x14ac:dyDescent="0.25">
      <c r="A494" s="52">
        <v>370</v>
      </c>
      <c r="B494" s="53" t="s">
        <v>501</v>
      </c>
      <c r="C494" s="53" t="s">
        <v>1670</v>
      </c>
      <c r="D494" s="53" t="s">
        <v>65</v>
      </c>
      <c r="E494" s="53" t="s">
        <v>65</v>
      </c>
      <c r="F494" s="53" t="s">
        <v>1957</v>
      </c>
      <c r="G494" s="53" t="s">
        <v>1663</v>
      </c>
      <c r="H494" s="52" t="s">
        <v>386</v>
      </c>
      <c r="I494" s="53" t="s">
        <v>1664</v>
      </c>
      <c r="J494" t="str">
        <f t="shared" si="16"/>
        <v>370 - DS19 Gran Avenida Etapa 2 (Torre A-B)</v>
      </c>
      <c r="K494" t="str">
        <f t="shared" si="17"/>
        <v>Obra</v>
      </c>
    </row>
    <row r="495" spans="1:11" x14ac:dyDescent="0.25">
      <c r="A495" s="52">
        <v>10370000</v>
      </c>
      <c r="B495" s="53" t="s">
        <v>1460</v>
      </c>
      <c r="C495" s="53" t="s">
        <v>1670</v>
      </c>
      <c r="D495" s="53" t="s">
        <v>1665</v>
      </c>
      <c r="E495" s="53" t="s">
        <v>1585</v>
      </c>
      <c r="F495" s="53" t="s">
        <v>1957</v>
      </c>
      <c r="G495" s="53" t="s">
        <v>1661</v>
      </c>
      <c r="H495" s="52" t="s">
        <v>386</v>
      </c>
      <c r="I495" s="53" t="s">
        <v>1666</v>
      </c>
      <c r="J495" t="str">
        <f t="shared" si="16"/>
        <v>10370000 - DS19 Gran Avenida Etapa 2 (Torre A-B)</v>
      </c>
      <c r="K495" t="str">
        <f t="shared" si="17"/>
        <v>Proyectos Inmobiliarios</v>
      </c>
    </row>
    <row r="496" spans="1:11" x14ac:dyDescent="0.25">
      <c r="A496" s="52">
        <v>10370102</v>
      </c>
      <c r="B496" s="53" t="s">
        <v>1461</v>
      </c>
      <c r="C496" s="53" t="s">
        <v>1670</v>
      </c>
      <c r="D496" s="53" t="s">
        <v>1665</v>
      </c>
      <c r="E496" s="53" t="s">
        <v>1617</v>
      </c>
      <c r="F496" s="53" t="s">
        <v>1957</v>
      </c>
      <c r="G496" s="53" t="s">
        <v>1661</v>
      </c>
      <c r="H496" s="52" t="s">
        <v>386</v>
      </c>
      <c r="I496" s="53" t="s">
        <v>1666</v>
      </c>
      <c r="J496" t="str">
        <f t="shared" si="16"/>
        <v>10370102 - DS19 Gran Avenida Etapa 2 (Torre A-B)-Marketing</v>
      </c>
      <c r="K496" t="str">
        <f t="shared" si="17"/>
        <v>Proyectos Inmobiliarios</v>
      </c>
    </row>
    <row r="497" spans="1:11" x14ac:dyDescent="0.25">
      <c r="A497" s="52">
        <v>10370103</v>
      </c>
      <c r="B497" s="53" t="s">
        <v>1462</v>
      </c>
      <c r="C497" s="53" t="s">
        <v>1670</v>
      </c>
      <c r="D497" s="53" t="s">
        <v>1665</v>
      </c>
      <c r="E497" s="53" t="s">
        <v>1618</v>
      </c>
      <c r="F497" s="53" t="s">
        <v>1957</v>
      </c>
      <c r="G497" s="53" t="s">
        <v>1661</v>
      </c>
      <c r="H497" s="52" t="s">
        <v>386</v>
      </c>
      <c r="I497" s="53" t="s">
        <v>1666</v>
      </c>
      <c r="J497" t="str">
        <f t="shared" si="16"/>
        <v>10370103 - DS19 Gran Avenida Etapa 2 (Torre A-B)-Operaciones</v>
      </c>
      <c r="K497" t="str">
        <f t="shared" si="17"/>
        <v>Proyectos Inmobiliarios</v>
      </c>
    </row>
    <row r="498" spans="1:11" x14ac:dyDescent="0.25">
      <c r="A498" s="52">
        <v>10370104</v>
      </c>
      <c r="B498" s="53" t="s">
        <v>1463</v>
      </c>
      <c r="C498" s="53" t="s">
        <v>1670</v>
      </c>
      <c r="D498" s="53" t="s">
        <v>1665</v>
      </c>
      <c r="E498" s="53" t="s">
        <v>90</v>
      </c>
      <c r="F498" s="53" t="s">
        <v>1957</v>
      </c>
      <c r="G498" s="53" t="s">
        <v>1661</v>
      </c>
      <c r="H498" s="52" t="s">
        <v>386</v>
      </c>
      <c r="I498" s="53" t="s">
        <v>1666</v>
      </c>
      <c r="J498" t="str">
        <f t="shared" si="16"/>
        <v>10370104 - DS19 Gran Avenida Etapa 2 (Torre A-B)-Ventas</v>
      </c>
      <c r="K498" t="str">
        <f t="shared" si="17"/>
        <v>Proyectos Inmobiliarios</v>
      </c>
    </row>
    <row r="499" spans="1:11" x14ac:dyDescent="0.25">
      <c r="A499" s="52">
        <v>10370105</v>
      </c>
      <c r="B499" s="53" t="s">
        <v>1464</v>
      </c>
      <c r="C499" s="53" t="s">
        <v>1670</v>
      </c>
      <c r="D499" s="53" t="s">
        <v>1665</v>
      </c>
      <c r="E499" s="53" t="s">
        <v>1622</v>
      </c>
      <c r="F499" s="53" t="s">
        <v>1957</v>
      </c>
      <c r="G499" s="53" t="s">
        <v>1661</v>
      </c>
      <c r="H499" s="52" t="s">
        <v>386</v>
      </c>
      <c r="I499" s="53" t="s">
        <v>1666</v>
      </c>
      <c r="J499" t="str">
        <f t="shared" si="16"/>
        <v>10370105 - DS19 Gran Avenida Etapa 2 (Torre A-B)-Clientes</v>
      </c>
      <c r="K499" t="str">
        <f t="shared" si="17"/>
        <v>Proyectos Inmobiliarios</v>
      </c>
    </row>
    <row r="500" spans="1:11" x14ac:dyDescent="0.25">
      <c r="A500" s="52">
        <v>10370204</v>
      </c>
      <c r="B500" s="53" t="s">
        <v>1465</v>
      </c>
      <c r="C500" s="53" t="s">
        <v>1670</v>
      </c>
      <c r="D500" s="53" t="s">
        <v>1665</v>
      </c>
      <c r="E500" s="53" t="s">
        <v>1624</v>
      </c>
      <c r="F500" s="53" t="s">
        <v>1957</v>
      </c>
      <c r="G500" s="53" t="s">
        <v>1661</v>
      </c>
      <c r="H500" s="52" t="s">
        <v>386</v>
      </c>
      <c r="I500" s="53" t="s">
        <v>1666</v>
      </c>
      <c r="J500" t="str">
        <f t="shared" si="16"/>
        <v>10370204 - DS19 Gran Avenida Etapa 2 (Torre A-B)-Proyecto</v>
      </c>
      <c r="K500" t="str">
        <f t="shared" si="17"/>
        <v>Proyectos Inmobiliarios</v>
      </c>
    </row>
    <row r="501" spans="1:11" x14ac:dyDescent="0.25">
      <c r="A501" s="52">
        <v>10370301</v>
      </c>
      <c r="B501" s="53" t="s">
        <v>1466</v>
      </c>
      <c r="C501" s="53" t="s">
        <v>1670</v>
      </c>
      <c r="D501" s="53" t="s">
        <v>1665</v>
      </c>
      <c r="E501" s="53" t="s">
        <v>1643</v>
      </c>
      <c r="F501" s="53" t="s">
        <v>1957</v>
      </c>
      <c r="G501" s="53" t="s">
        <v>1667</v>
      </c>
      <c r="H501" s="52" t="s">
        <v>386</v>
      </c>
      <c r="I501" s="53" t="s">
        <v>1666</v>
      </c>
      <c r="J501" t="str">
        <f t="shared" si="16"/>
        <v>10370301 - DS19 Gran Avenida Etapa 2 (Torre A-B)-GAF</v>
      </c>
      <c r="K501" t="str">
        <f t="shared" si="17"/>
        <v>Proyectos Inmobiliarios</v>
      </c>
    </row>
    <row r="502" spans="1:11" x14ac:dyDescent="0.25">
      <c r="A502" s="52">
        <v>10370506</v>
      </c>
      <c r="B502" s="53" t="s">
        <v>1467</v>
      </c>
      <c r="C502" s="53" t="s">
        <v>1670</v>
      </c>
      <c r="D502" s="53" t="s">
        <v>1665</v>
      </c>
      <c r="E502" s="53" t="s">
        <v>200</v>
      </c>
      <c r="F502" s="53" t="s">
        <v>1957</v>
      </c>
      <c r="G502" s="53" t="s">
        <v>1661</v>
      </c>
      <c r="H502" s="52" t="s">
        <v>386</v>
      </c>
      <c r="I502" s="53" t="s">
        <v>1666</v>
      </c>
      <c r="J502" t="str">
        <f t="shared" si="16"/>
        <v>10370506 - DS19 Gran Avenida Etapa 2 (Torre A-B)-Depto.Técnico</v>
      </c>
      <c r="K502" t="str">
        <f t="shared" si="17"/>
        <v>Proyectos Inmobiliarios</v>
      </c>
    </row>
    <row r="503" spans="1:11" x14ac:dyDescent="0.25">
      <c r="A503" s="52">
        <v>8370</v>
      </c>
      <c r="B503" s="53" t="s">
        <v>1958</v>
      </c>
      <c r="C503" s="53" t="s">
        <v>1670</v>
      </c>
      <c r="D503" s="53" t="s">
        <v>1686</v>
      </c>
      <c r="E503" s="53" t="s">
        <v>1501</v>
      </c>
      <c r="F503" s="53" t="s">
        <v>1957</v>
      </c>
      <c r="G503" s="53" t="s">
        <v>1661</v>
      </c>
      <c r="H503" s="52" t="s">
        <v>1672</v>
      </c>
      <c r="I503" s="53" t="s">
        <v>1666</v>
      </c>
      <c r="J503" t="str">
        <f t="shared" si="16"/>
        <v>8370 - Entrega DS19 Gran Avenida Etapa 2 (Torre A-B)</v>
      </c>
      <c r="K503" t="str">
        <f t="shared" si="17"/>
        <v>Entrega</v>
      </c>
    </row>
    <row r="504" spans="1:11" x14ac:dyDescent="0.25">
      <c r="A504" s="52">
        <v>9370</v>
      </c>
      <c r="B504" s="53" t="s">
        <v>1959</v>
      </c>
      <c r="C504" s="53" t="s">
        <v>1670</v>
      </c>
      <c r="D504" s="53" t="s">
        <v>66</v>
      </c>
      <c r="E504" s="53" t="s">
        <v>328</v>
      </c>
      <c r="F504" s="53" t="s">
        <v>1957</v>
      </c>
      <c r="G504" s="53" t="s">
        <v>1661</v>
      </c>
      <c r="H504" s="52" t="s">
        <v>1672</v>
      </c>
      <c r="I504" s="53" t="s">
        <v>1666</v>
      </c>
      <c r="J504" t="str">
        <f t="shared" si="16"/>
        <v>9370 - PV DS19 Gran Avenida Etapa 2 (Torre A-B)</v>
      </c>
      <c r="K504" t="str">
        <f t="shared" si="17"/>
        <v>Postventa</v>
      </c>
    </row>
    <row r="505" spans="1:11" x14ac:dyDescent="0.25">
      <c r="A505" s="56">
        <v>999999999</v>
      </c>
      <c r="B505" s="57" t="s">
        <v>1684</v>
      </c>
      <c r="C505" s="57"/>
      <c r="D505" s="57" t="s">
        <v>1578</v>
      </c>
      <c r="E505" s="57" t="s">
        <v>1578</v>
      </c>
      <c r="F505" s="57" t="s">
        <v>1343</v>
      </c>
      <c r="G505" s="57" t="s">
        <v>1661</v>
      </c>
      <c r="H505" s="56" t="s">
        <v>1672</v>
      </c>
      <c r="I505" s="57" t="s">
        <v>1662</v>
      </c>
      <c r="J505" t="str">
        <f t="shared" si="16"/>
        <v>999999999 - Terreno Abuelo Proyectos sin Terreno</v>
      </c>
      <c r="K505" t="str">
        <f t="shared" si="17"/>
        <v>Terreno</v>
      </c>
    </row>
    <row r="506" spans="1:11" x14ac:dyDescent="0.25">
      <c r="A506" s="56">
        <v>267</v>
      </c>
      <c r="B506" s="57" t="s">
        <v>1343</v>
      </c>
      <c r="C506" s="57" t="s">
        <v>1836</v>
      </c>
      <c r="D506" s="57" t="s">
        <v>65</v>
      </c>
      <c r="E506" s="57" t="s">
        <v>65</v>
      </c>
      <c r="F506" s="57" t="s">
        <v>1343</v>
      </c>
      <c r="G506" s="57" t="s">
        <v>1663</v>
      </c>
      <c r="H506" s="56" t="s">
        <v>1672</v>
      </c>
      <c r="I506" s="57" t="s">
        <v>1664</v>
      </c>
      <c r="J506" t="str">
        <f t="shared" si="16"/>
        <v>267 - Condominio Jardines del Sur Etapa 1</v>
      </c>
      <c r="K506" t="str">
        <f t="shared" si="17"/>
        <v>Obra</v>
      </c>
    </row>
    <row r="507" spans="1:11" x14ac:dyDescent="0.25">
      <c r="A507" s="56">
        <v>10267000</v>
      </c>
      <c r="B507" s="57" t="s">
        <v>1343</v>
      </c>
      <c r="C507" s="57" t="s">
        <v>1836</v>
      </c>
      <c r="D507" s="57" t="s">
        <v>1665</v>
      </c>
      <c r="E507" s="57" t="s">
        <v>1585</v>
      </c>
      <c r="F507" s="57" t="s">
        <v>1343</v>
      </c>
      <c r="G507" s="57" t="s">
        <v>1661</v>
      </c>
      <c r="H507" s="56" t="s">
        <v>386</v>
      </c>
      <c r="I507" s="57" t="s">
        <v>1666</v>
      </c>
      <c r="J507" t="str">
        <f t="shared" si="16"/>
        <v>10267000 - Condominio Jardines del Sur Etapa 1</v>
      </c>
      <c r="K507" t="str">
        <f t="shared" si="17"/>
        <v>Proyectos Inmobiliarios</v>
      </c>
    </row>
    <row r="508" spans="1:11" x14ac:dyDescent="0.25">
      <c r="A508" s="56">
        <v>10267102</v>
      </c>
      <c r="B508" s="57" t="s">
        <v>1344</v>
      </c>
      <c r="C508" s="57" t="s">
        <v>1836</v>
      </c>
      <c r="D508" s="57" t="s">
        <v>1665</v>
      </c>
      <c r="E508" s="57" t="s">
        <v>1617</v>
      </c>
      <c r="F508" s="57" t="s">
        <v>1343</v>
      </c>
      <c r="G508" s="57" t="s">
        <v>1661</v>
      </c>
      <c r="H508" s="56" t="s">
        <v>386</v>
      </c>
      <c r="I508" s="57" t="s">
        <v>1666</v>
      </c>
      <c r="J508" t="str">
        <f t="shared" si="16"/>
        <v>10267102 - Condominio Jardines del Sur Etapa 1-Marketing</v>
      </c>
      <c r="K508" t="str">
        <f t="shared" si="17"/>
        <v>Proyectos Inmobiliarios</v>
      </c>
    </row>
    <row r="509" spans="1:11" x14ac:dyDescent="0.25">
      <c r="A509" s="56">
        <v>10267103</v>
      </c>
      <c r="B509" s="57" t="s">
        <v>1345</v>
      </c>
      <c r="C509" s="57" t="s">
        <v>1836</v>
      </c>
      <c r="D509" s="57" t="s">
        <v>1665</v>
      </c>
      <c r="E509" s="57" t="s">
        <v>1618</v>
      </c>
      <c r="F509" s="57" t="s">
        <v>1343</v>
      </c>
      <c r="G509" s="57" t="s">
        <v>1661</v>
      </c>
      <c r="H509" s="56" t="s">
        <v>386</v>
      </c>
      <c r="I509" s="57" t="s">
        <v>1666</v>
      </c>
      <c r="J509" t="str">
        <f t="shared" si="16"/>
        <v>10267103 - Condominio Jardines del Sur Etapa 1-Operaciones</v>
      </c>
      <c r="K509" t="str">
        <f t="shared" si="17"/>
        <v>Proyectos Inmobiliarios</v>
      </c>
    </row>
    <row r="510" spans="1:11" x14ac:dyDescent="0.25">
      <c r="A510" s="56">
        <v>10267104</v>
      </c>
      <c r="B510" s="57" t="s">
        <v>1346</v>
      </c>
      <c r="C510" s="57" t="s">
        <v>1836</v>
      </c>
      <c r="D510" s="57" t="s">
        <v>1665</v>
      </c>
      <c r="E510" s="57" t="s">
        <v>90</v>
      </c>
      <c r="F510" s="57" t="s">
        <v>1343</v>
      </c>
      <c r="G510" s="57" t="s">
        <v>1661</v>
      </c>
      <c r="H510" s="56" t="s">
        <v>386</v>
      </c>
      <c r="I510" s="57" t="s">
        <v>1666</v>
      </c>
      <c r="J510" t="str">
        <f t="shared" si="16"/>
        <v>10267104 - Condominio Jardines del Sur Etapa 1-Ventas</v>
      </c>
      <c r="K510" t="str">
        <f t="shared" si="17"/>
        <v>Proyectos Inmobiliarios</v>
      </c>
    </row>
    <row r="511" spans="1:11" x14ac:dyDescent="0.25">
      <c r="A511" s="56">
        <v>10267105</v>
      </c>
      <c r="B511" s="57" t="s">
        <v>1347</v>
      </c>
      <c r="C511" s="57" t="s">
        <v>1836</v>
      </c>
      <c r="D511" s="57" t="s">
        <v>1665</v>
      </c>
      <c r="E511" s="57" t="s">
        <v>1622</v>
      </c>
      <c r="F511" s="57" t="s">
        <v>1343</v>
      </c>
      <c r="G511" s="57" t="s">
        <v>1661</v>
      </c>
      <c r="H511" s="56" t="s">
        <v>386</v>
      </c>
      <c r="I511" s="57" t="s">
        <v>1666</v>
      </c>
      <c r="J511" t="str">
        <f t="shared" si="16"/>
        <v>10267105 - Condominio Jardines del Sur Etapa 1-Clientes</v>
      </c>
      <c r="K511" t="str">
        <f t="shared" si="17"/>
        <v>Proyectos Inmobiliarios</v>
      </c>
    </row>
    <row r="512" spans="1:11" x14ac:dyDescent="0.25">
      <c r="A512" s="56">
        <v>10267204</v>
      </c>
      <c r="B512" s="57" t="s">
        <v>1348</v>
      </c>
      <c r="C512" s="57" t="s">
        <v>1836</v>
      </c>
      <c r="D512" s="57" t="s">
        <v>1665</v>
      </c>
      <c r="E512" s="57" t="s">
        <v>1624</v>
      </c>
      <c r="F512" s="57" t="s">
        <v>1343</v>
      </c>
      <c r="G512" s="57" t="s">
        <v>1661</v>
      </c>
      <c r="H512" s="56" t="s">
        <v>386</v>
      </c>
      <c r="I512" s="57" t="s">
        <v>1666</v>
      </c>
      <c r="J512" t="str">
        <f t="shared" si="16"/>
        <v>10267204 - Condominio Jardines del Sur Etapa 1-Proyecto</v>
      </c>
      <c r="K512" t="str">
        <f t="shared" si="17"/>
        <v>Proyectos Inmobiliarios</v>
      </c>
    </row>
    <row r="513" spans="1:11" x14ac:dyDescent="0.25">
      <c r="A513" s="56">
        <v>10267301</v>
      </c>
      <c r="B513" s="57" t="s">
        <v>1349</v>
      </c>
      <c r="C513" s="57" t="s">
        <v>1836</v>
      </c>
      <c r="D513" s="57" t="s">
        <v>1665</v>
      </c>
      <c r="E513" s="57" t="s">
        <v>1643</v>
      </c>
      <c r="F513" s="57" t="s">
        <v>1343</v>
      </c>
      <c r="G513" s="57" t="s">
        <v>1667</v>
      </c>
      <c r="H513" s="56" t="s">
        <v>386</v>
      </c>
      <c r="I513" s="57" t="s">
        <v>1666</v>
      </c>
      <c r="J513" t="str">
        <f t="shared" si="16"/>
        <v>10267301 - Condominio Jardines del Sur Etapa 1-GAF</v>
      </c>
      <c r="K513" t="str">
        <f t="shared" si="17"/>
        <v>Proyectos Inmobiliarios</v>
      </c>
    </row>
    <row r="514" spans="1:11" x14ac:dyDescent="0.25">
      <c r="A514" s="56">
        <v>10267505</v>
      </c>
      <c r="B514" s="57" t="s">
        <v>1350</v>
      </c>
      <c r="C514" s="57" t="s">
        <v>1836</v>
      </c>
      <c r="D514" s="57" t="s">
        <v>66</v>
      </c>
      <c r="E514" s="57" t="s">
        <v>328</v>
      </c>
      <c r="F514" s="57" t="s">
        <v>1343</v>
      </c>
      <c r="G514" s="57" t="s">
        <v>1661</v>
      </c>
      <c r="H514" s="56" t="s">
        <v>386</v>
      </c>
      <c r="I514" s="57" t="s">
        <v>1666</v>
      </c>
      <c r="J514" t="str">
        <f t="shared" si="16"/>
        <v>10267505 - Condominio Jardines del Sur Etapa 1-PV Inmob.</v>
      </c>
      <c r="K514" t="str">
        <f t="shared" si="17"/>
        <v>Postventa</v>
      </c>
    </row>
    <row r="515" spans="1:11" x14ac:dyDescent="0.25">
      <c r="A515" s="56">
        <v>10267506</v>
      </c>
      <c r="B515" s="57" t="s">
        <v>1351</v>
      </c>
      <c r="C515" s="57" t="s">
        <v>1836</v>
      </c>
      <c r="D515" s="57" t="s">
        <v>1665</v>
      </c>
      <c r="E515" s="57" t="s">
        <v>200</v>
      </c>
      <c r="F515" s="57" t="s">
        <v>1343</v>
      </c>
      <c r="G515" s="57" t="s">
        <v>1661</v>
      </c>
      <c r="H515" s="56" t="s">
        <v>386</v>
      </c>
      <c r="I515" s="57" t="s">
        <v>1666</v>
      </c>
      <c r="J515" t="str">
        <f t="shared" si="16"/>
        <v>10267506 - Condominio Jardines del Sur Etapa 1-Depto.Técnico</v>
      </c>
      <c r="K515" t="str">
        <f t="shared" si="17"/>
        <v>Proyectos Inmobiliarios</v>
      </c>
    </row>
    <row r="516" spans="1:11" x14ac:dyDescent="0.25">
      <c r="A516" s="56">
        <v>8267</v>
      </c>
      <c r="B516" s="57" t="s">
        <v>1960</v>
      </c>
      <c r="C516" s="57" t="s">
        <v>1836</v>
      </c>
      <c r="D516" s="57" t="s">
        <v>1686</v>
      </c>
      <c r="E516" s="57" t="s">
        <v>1501</v>
      </c>
      <c r="F516" s="57" t="s">
        <v>1343</v>
      </c>
      <c r="G516" s="57" t="s">
        <v>1661</v>
      </c>
      <c r="H516" s="56" t="s">
        <v>1672</v>
      </c>
      <c r="I516" s="57" t="s">
        <v>1666</v>
      </c>
      <c r="J516" t="str">
        <f t="shared" ref="J516:J579" si="18">+A516&amp;" - "&amp;B516</f>
        <v>8267 - Entrega Condominio Jardines del Sur Etapa 1</v>
      </c>
      <c r="K516" t="str">
        <f t="shared" ref="K516:K579" si="19">+D516</f>
        <v>Entrega</v>
      </c>
    </row>
    <row r="517" spans="1:11" x14ac:dyDescent="0.25">
      <c r="A517" s="56">
        <v>9267</v>
      </c>
      <c r="B517" s="57" t="s">
        <v>1961</v>
      </c>
      <c r="C517" s="57" t="s">
        <v>1836</v>
      </c>
      <c r="D517" s="57" t="s">
        <v>66</v>
      </c>
      <c r="E517" s="57" t="s">
        <v>328</v>
      </c>
      <c r="F517" s="57" t="s">
        <v>1343</v>
      </c>
      <c r="G517" s="57" t="s">
        <v>1661</v>
      </c>
      <c r="H517" s="56" t="s">
        <v>1672</v>
      </c>
      <c r="I517" s="57" t="s">
        <v>1666</v>
      </c>
      <c r="J517" t="str">
        <f t="shared" si="18"/>
        <v>9267 - PV Condominio Jardines del Sur Etapa 1</v>
      </c>
      <c r="K517" t="str">
        <f t="shared" si="19"/>
        <v>Postventa</v>
      </c>
    </row>
    <row r="518" spans="1:11" x14ac:dyDescent="0.25">
      <c r="A518" s="52">
        <v>999999999</v>
      </c>
      <c r="B518" s="53" t="s">
        <v>1684</v>
      </c>
      <c r="C518" s="53"/>
      <c r="D518" s="53" t="s">
        <v>1578</v>
      </c>
      <c r="E518" s="53" t="s">
        <v>1578</v>
      </c>
      <c r="F518" s="53" t="s">
        <v>1352</v>
      </c>
      <c r="G518" s="53" t="s">
        <v>1661</v>
      </c>
      <c r="H518" s="52" t="s">
        <v>1672</v>
      </c>
      <c r="I518" s="53" t="s">
        <v>1662</v>
      </c>
      <c r="J518" t="str">
        <f t="shared" si="18"/>
        <v>999999999 - Terreno Abuelo Proyectos sin Terreno</v>
      </c>
      <c r="K518" t="str">
        <f t="shared" si="19"/>
        <v>Terreno</v>
      </c>
    </row>
    <row r="519" spans="1:11" x14ac:dyDescent="0.25">
      <c r="A519" s="52">
        <v>268</v>
      </c>
      <c r="B519" s="53" t="s">
        <v>1352</v>
      </c>
      <c r="C519" s="53" t="s">
        <v>1836</v>
      </c>
      <c r="D519" s="53" t="s">
        <v>65</v>
      </c>
      <c r="E519" s="53" t="s">
        <v>65</v>
      </c>
      <c r="F519" s="53" t="s">
        <v>1352</v>
      </c>
      <c r="G519" s="53" t="s">
        <v>1663</v>
      </c>
      <c r="H519" s="52" t="s">
        <v>1672</v>
      </c>
      <c r="I519" s="53" t="s">
        <v>1664</v>
      </c>
      <c r="J519" t="str">
        <f t="shared" si="18"/>
        <v>268 - Condominio Jardines del Sur Etapa 2</v>
      </c>
      <c r="K519" t="str">
        <f t="shared" si="19"/>
        <v>Obra</v>
      </c>
    </row>
    <row r="520" spans="1:11" x14ac:dyDescent="0.25">
      <c r="A520" s="52">
        <v>10268000</v>
      </c>
      <c r="B520" s="53" t="s">
        <v>1352</v>
      </c>
      <c r="C520" s="53" t="s">
        <v>1836</v>
      </c>
      <c r="D520" s="53" t="s">
        <v>1665</v>
      </c>
      <c r="E520" s="53" t="s">
        <v>1585</v>
      </c>
      <c r="F520" s="53" t="s">
        <v>1352</v>
      </c>
      <c r="G520" s="53" t="s">
        <v>1661</v>
      </c>
      <c r="H520" s="52" t="s">
        <v>386</v>
      </c>
      <c r="I520" s="53" t="s">
        <v>1666</v>
      </c>
      <c r="J520" t="str">
        <f t="shared" si="18"/>
        <v>10268000 - Condominio Jardines del Sur Etapa 2</v>
      </c>
      <c r="K520" t="str">
        <f t="shared" si="19"/>
        <v>Proyectos Inmobiliarios</v>
      </c>
    </row>
    <row r="521" spans="1:11" x14ac:dyDescent="0.25">
      <c r="A521" s="52">
        <v>10268102</v>
      </c>
      <c r="B521" s="53" t="s">
        <v>1353</v>
      </c>
      <c r="C521" s="53" t="s">
        <v>1836</v>
      </c>
      <c r="D521" s="53" t="s">
        <v>1665</v>
      </c>
      <c r="E521" s="53" t="s">
        <v>1617</v>
      </c>
      <c r="F521" s="53" t="s">
        <v>1352</v>
      </c>
      <c r="G521" s="53" t="s">
        <v>1661</v>
      </c>
      <c r="H521" s="52" t="s">
        <v>386</v>
      </c>
      <c r="I521" s="53" t="s">
        <v>1666</v>
      </c>
      <c r="J521" t="str">
        <f t="shared" si="18"/>
        <v>10268102 - Condominio Jardines del Sur Etapa 2-Marketing</v>
      </c>
      <c r="K521" t="str">
        <f t="shared" si="19"/>
        <v>Proyectos Inmobiliarios</v>
      </c>
    </row>
    <row r="522" spans="1:11" x14ac:dyDescent="0.25">
      <c r="A522" s="52">
        <v>10268103</v>
      </c>
      <c r="B522" s="53" t="s">
        <v>1354</v>
      </c>
      <c r="C522" s="53" t="s">
        <v>1836</v>
      </c>
      <c r="D522" s="53" t="s">
        <v>1665</v>
      </c>
      <c r="E522" s="53" t="s">
        <v>1618</v>
      </c>
      <c r="F522" s="53" t="s">
        <v>1352</v>
      </c>
      <c r="G522" s="53" t="s">
        <v>1661</v>
      </c>
      <c r="H522" s="52" t="s">
        <v>386</v>
      </c>
      <c r="I522" s="53" t="s">
        <v>1666</v>
      </c>
      <c r="J522" t="str">
        <f t="shared" si="18"/>
        <v>10268103 - Condominio Jardines del Sur Etapa 2-Operaciones</v>
      </c>
      <c r="K522" t="str">
        <f t="shared" si="19"/>
        <v>Proyectos Inmobiliarios</v>
      </c>
    </row>
    <row r="523" spans="1:11" x14ac:dyDescent="0.25">
      <c r="A523" s="52">
        <v>10268104</v>
      </c>
      <c r="B523" s="53" t="s">
        <v>1355</v>
      </c>
      <c r="C523" s="53" t="s">
        <v>1836</v>
      </c>
      <c r="D523" s="53" t="s">
        <v>1665</v>
      </c>
      <c r="E523" s="53" t="s">
        <v>90</v>
      </c>
      <c r="F523" s="53" t="s">
        <v>1352</v>
      </c>
      <c r="G523" s="53" t="s">
        <v>1661</v>
      </c>
      <c r="H523" s="52" t="s">
        <v>386</v>
      </c>
      <c r="I523" s="53" t="s">
        <v>1666</v>
      </c>
      <c r="J523" t="str">
        <f t="shared" si="18"/>
        <v>10268104 - Condominio Jardines del Sur Etapa 2-Ventas</v>
      </c>
      <c r="K523" t="str">
        <f t="shared" si="19"/>
        <v>Proyectos Inmobiliarios</v>
      </c>
    </row>
    <row r="524" spans="1:11" x14ac:dyDescent="0.25">
      <c r="A524" s="52">
        <v>10268105</v>
      </c>
      <c r="B524" s="53" t="s">
        <v>1356</v>
      </c>
      <c r="C524" s="53" t="s">
        <v>1836</v>
      </c>
      <c r="D524" s="53" t="s">
        <v>1665</v>
      </c>
      <c r="E524" s="53" t="s">
        <v>1622</v>
      </c>
      <c r="F524" s="53" t="s">
        <v>1352</v>
      </c>
      <c r="G524" s="53" t="s">
        <v>1661</v>
      </c>
      <c r="H524" s="52" t="s">
        <v>386</v>
      </c>
      <c r="I524" s="53" t="s">
        <v>1666</v>
      </c>
      <c r="J524" t="str">
        <f t="shared" si="18"/>
        <v>10268105 - Condominio Jardines del Sur Etapa 2-Clientes</v>
      </c>
      <c r="K524" t="str">
        <f t="shared" si="19"/>
        <v>Proyectos Inmobiliarios</v>
      </c>
    </row>
    <row r="525" spans="1:11" x14ac:dyDescent="0.25">
      <c r="A525" s="52">
        <v>10268204</v>
      </c>
      <c r="B525" s="53" t="s">
        <v>1357</v>
      </c>
      <c r="C525" s="53" t="s">
        <v>1836</v>
      </c>
      <c r="D525" s="53" t="s">
        <v>1665</v>
      </c>
      <c r="E525" s="53" t="s">
        <v>1624</v>
      </c>
      <c r="F525" s="53" t="s">
        <v>1352</v>
      </c>
      <c r="G525" s="53" t="s">
        <v>1661</v>
      </c>
      <c r="H525" s="52" t="s">
        <v>386</v>
      </c>
      <c r="I525" s="53" t="s">
        <v>1666</v>
      </c>
      <c r="J525" t="str">
        <f t="shared" si="18"/>
        <v>10268204 - Condominio Jardines del Sur Etapa 2-Proyecto</v>
      </c>
      <c r="K525" t="str">
        <f t="shared" si="19"/>
        <v>Proyectos Inmobiliarios</v>
      </c>
    </row>
    <row r="526" spans="1:11" x14ac:dyDescent="0.25">
      <c r="A526" s="52">
        <v>10268301</v>
      </c>
      <c r="B526" s="53" t="s">
        <v>1358</v>
      </c>
      <c r="C526" s="53" t="s">
        <v>1836</v>
      </c>
      <c r="D526" s="53" t="s">
        <v>1665</v>
      </c>
      <c r="E526" s="53" t="s">
        <v>1643</v>
      </c>
      <c r="F526" s="53" t="s">
        <v>1352</v>
      </c>
      <c r="G526" s="53" t="s">
        <v>1667</v>
      </c>
      <c r="H526" s="52" t="s">
        <v>386</v>
      </c>
      <c r="I526" s="53" t="s">
        <v>1666</v>
      </c>
      <c r="J526" t="str">
        <f t="shared" si="18"/>
        <v>10268301 - Condominio Jardines del Sur Etapa 2-GAF</v>
      </c>
      <c r="K526" t="str">
        <f t="shared" si="19"/>
        <v>Proyectos Inmobiliarios</v>
      </c>
    </row>
    <row r="527" spans="1:11" x14ac:dyDescent="0.25">
      <c r="A527" s="52">
        <v>10268505</v>
      </c>
      <c r="B527" s="53" t="s">
        <v>1359</v>
      </c>
      <c r="C527" s="53" t="s">
        <v>1836</v>
      </c>
      <c r="D527" s="53" t="s">
        <v>66</v>
      </c>
      <c r="E527" s="53" t="s">
        <v>328</v>
      </c>
      <c r="F527" s="53" t="s">
        <v>1352</v>
      </c>
      <c r="G527" s="53" t="s">
        <v>1661</v>
      </c>
      <c r="H527" s="52" t="s">
        <v>386</v>
      </c>
      <c r="I527" s="53" t="s">
        <v>1666</v>
      </c>
      <c r="J527" t="str">
        <f t="shared" si="18"/>
        <v>10268505 - Condominio Jardines del Sur Etapa 2-PV Inmob.</v>
      </c>
      <c r="K527" t="str">
        <f t="shared" si="19"/>
        <v>Postventa</v>
      </c>
    </row>
    <row r="528" spans="1:11" x14ac:dyDescent="0.25">
      <c r="A528" s="52">
        <v>10268506</v>
      </c>
      <c r="B528" s="53" t="s">
        <v>1360</v>
      </c>
      <c r="C528" s="53" t="s">
        <v>1836</v>
      </c>
      <c r="D528" s="53" t="s">
        <v>1665</v>
      </c>
      <c r="E528" s="53" t="s">
        <v>200</v>
      </c>
      <c r="F528" s="53" t="s">
        <v>1352</v>
      </c>
      <c r="G528" s="53" t="s">
        <v>1661</v>
      </c>
      <c r="H528" s="52" t="s">
        <v>386</v>
      </c>
      <c r="I528" s="53" t="s">
        <v>1666</v>
      </c>
      <c r="J528" t="str">
        <f t="shared" si="18"/>
        <v>10268506 - Condominio Jardines del Sur Etapa 2-Depto.Técnico</v>
      </c>
      <c r="K528" t="str">
        <f t="shared" si="19"/>
        <v>Proyectos Inmobiliarios</v>
      </c>
    </row>
    <row r="529" spans="1:11" x14ac:dyDescent="0.25">
      <c r="A529" s="52">
        <v>8268</v>
      </c>
      <c r="B529" s="53" t="s">
        <v>1962</v>
      </c>
      <c r="C529" s="53" t="s">
        <v>1836</v>
      </c>
      <c r="D529" s="53" t="s">
        <v>1686</v>
      </c>
      <c r="E529" s="53" t="s">
        <v>1501</v>
      </c>
      <c r="F529" s="53" t="s">
        <v>1352</v>
      </c>
      <c r="G529" s="53" t="s">
        <v>1661</v>
      </c>
      <c r="H529" s="52" t="s">
        <v>1672</v>
      </c>
      <c r="I529" s="53" t="s">
        <v>1666</v>
      </c>
      <c r="J529" t="str">
        <f t="shared" si="18"/>
        <v>8268 - Entrega Condominio Jardines del Sur Etapa 2</v>
      </c>
      <c r="K529" t="str">
        <f t="shared" si="19"/>
        <v>Entrega</v>
      </c>
    </row>
    <row r="530" spans="1:11" x14ac:dyDescent="0.25">
      <c r="A530" s="52">
        <v>9268</v>
      </c>
      <c r="B530" s="53" t="s">
        <v>1963</v>
      </c>
      <c r="C530" s="53" t="s">
        <v>1836</v>
      </c>
      <c r="D530" s="53" t="s">
        <v>66</v>
      </c>
      <c r="E530" s="53" t="s">
        <v>328</v>
      </c>
      <c r="F530" s="53" t="s">
        <v>1352</v>
      </c>
      <c r="G530" s="53" t="s">
        <v>1661</v>
      </c>
      <c r="H530" s="52" t="s">
        <v>1672</v>
      </c>
      <c r="I530" s="53" t="s">
        <v>1666</v>
      </c>
      <c r="J530" t="str">
        <f t="shared" si="18"/>
        <v>9268 - PV Condominio Jardines del Sur Etapa 2</v>
      </c>
      <c r="K530" t="str">
        <f t="shared" si="19"/>
        <v>Postventa</v>
      </c>
    </row>
    <row r="531" spans="1:11" x14ac:dyDescent="0.25">
      <c r="A531" s="74">
        <v>1100202</v>
      </c>
      <c r="B531" s="75" t="s">
        <v>743</v>
      </c>
      <c r="C531" s="75" t="s">
        <v>1670</v>
      </c>
      <c r="D531" s="75" t="s">
        <v>1578</v>
      </c>
      <c r="E531" s="75" t="s">
        <v>1578</v>
      </c>
      <c r="F531" s="75" t="s">
        <v>1109</v>
      </c>
      <c r="G531" s="75" t="s">
        <v>1661</v>
      </c>
      <c r="H531" s="74" t="s">
        <v>386</v>
      </c>
      <c r="I531" s="75" t="s">
        <v>1662</v>
      </c>
      <c r="J531" t="str">
        <f t="shared" si="18"/>
        <v>1100202 - Terreno Condominio Jorge Cáceres – Inversiones</v>
      </c>
      <c r="K531" t="str">
        <f t="shared" si="19"/>
        <v>Terreno</v>
      </c>
    </row>
    <row r="532" spans="1:11" x14ac:dyDescent="0.25">
      <c r="A532" s="74">
        <v>258</v>
      </c>
      <c r="B532" s="75" t="s">
        <v>1109</v>
      </c>
      <c r="C532" s="75" t="s">
        <v>1670</v>
      </c>
      <c r="D532" s="75" t="s">
        <v>65</v>
      </c>
      <c r="E532" s="75" t="s">
        <v>65</v>
      </c>
      <c r="F532" s="75" t="s">
        <v>1109</v>
      </c>
      <c r="G532" s="75" t="s">
        <v>1663</v>
      </c>
      <c r="H532" s="74" t="s">
        <v>1672</v>
      </c>
      <c r="I532" s="75" t="s">
        <v>1664</v>
      </c>
      <c r="J532" t="str">
        <f t="shared" si="18"/>
        <v>258 - Condominio Jorge Cáceres Etapa 1</v>
      </c>
      <c r="K532" t="str">
        <f t="shared" si="19"/>
        <v>Obra</v>
      </c>
    </row>
    <row r="533" spans="1:11" x14ac:dyDescent="0.25">
      <c r="A533" s="74">
        <v>8258</v>
      </c>
      <c r="B533" s="75" t="s">
        <v>541</v>
      </c>
      <c r="C533" s="75" t="s">
        <v>1670</v>
      </c>
      <c r="D533" s="75" t="s">
        <v>1686</v>
      </c>
      <c r="E533" s="75" t="s">
        <v>1501</v>
      </c>
      <c r="F533" s="75" t="s">
        <v>1109</v>
      </c>
      <c r="G533" s="75" t="s">
        <v>1661</v>
      </c>
      <c r="H533" s="74" t="s">
        <v>386</v>
      </c>
      <c r="I533" s="75" t="s">
        <v>1666</v>
      </c>
      <c r="J533" t="str">
        <f t="shared" si="18"/>
        <v>8258 - Entrega Condominio Jorge Cáceres Etapa 1</v>
      </c>
      <c r="K533" t="str">
        <f t="shared" si="19"/>
        <v>Entrega</v>
      </c>
    </row>
    <row r="534" spans="1:11" x14ac:dyDescent="0.25">
      <c r="A534" s="74">
        <v>9258</v>
      </c>
      <c r="B534" s="75" t="s">
        <v>667</v>
      </c>
      <c r="C534" s="75" t="s">
        <v>1670</v>
      </c>
      <c r="D534" s="75" t="s">
        <v>66</v>
      </c>
      <c r="E534" s="75" t="s">
        <v>328</v>
      </c>
      <c r="F534" s="75" t="s">
        <v>1109</v>
      </c>
      <c r="G534" s="75" t="s">
        <v>1661</v>
      </c>
      <c r="H534" s="74" t="s">
        <v>386</v>
      </c>
      <c r="I534" s="75" t="s">
        <v>1666</v>
      </c>
      <c r="J534" t="str">
        <f t="shared" si="18"/>
        <v>9258 - PV Condominio Jorge Cáceres Etapa 1</v>
      </c>
      <c r="K534" t="str">
        <f t="shared" si="19"/>
        <v>Postventa</v>
      </c>
    </row>
    <row r="535" spans="1:11" x14ac:dyDescent="0.25">
      <c r="A535" s="74">
        <v>10233000</v>
      </c>
      <c r="B535" s="75" t="s">
        <v>1109</v>
      </c>
      <c r="C535" s="75" t="s">
        <v>1670</v>
      </c>
      <c r="D535" s="75" t="s">
        <v>1665</v>
      </c>
      <c r="E535" s="75" t="s">
        <v>1585</v>
      </c>
      <c r="F535" s="75" t="s">
        <v>1109</v>
      </c>
      <c r="G535" s="75" t="s">
        <v>1661</v>
      </c>
      <c r="H535" s="74" t="s">
        <v>386</v>
      </c>
      <c r="I535" s="75" t="s">
        <v>1666</v>
      </c>
      <c r="J535" t="str">
        <f t="shared" si="18"/>
        <v>10233000 - Condominio Jorge Cáceres Etapa 1</v>
      </c>
      <c r="K535" t="str">
        <f t="shared" si="19"/>
        <v>Proyectos Inmobiliarios</v>
      </c>
    </row>
    <row r="536" spans="1:11" x14ac:dyDescent="0.25">
      <c r="A536" s="74">
        <v>10233102</v>
      </c>
      <c r="B536" s="75" t="s">
        <v>1110</v>
      </c>
      <c r="C536" s="75" t="s">
        <v>1670</v>
      </c>
      <c r="D536" s="75" t="s">
        <v>1665</v>
      </c>
      <c r="E536" s="75" t="s">
        <v>1617</v>
      </c>
      <c r="F536" s="75" t="s">
        <v>1109</v>
      </c>
      <c r="G536" s="75" t="s">
        <v>1661</v>
      </c>
      <c r="H536" s="74" t="s">
        <v>386</v>
      </c>
      <c r="I536" s="75" t="s">
        <v>1666</v>
      </c>
      <c r="J536" t="str">
        <f t="shared" si="18"/>
        <v>10233102 - Condominio Jorge Cáceres Etapa 1-Marketing</v>
      </c>
      <c r="K536" t="str">
        <f t="shared" si="19"/>
        <v>Proyectos Inmobiliarios</v>
      </c>
    </row>
    <row r="537" spans="1:11" x14ac:dyDescent="0.25">
      <c r="A537" s="74">
        <v>10233103</v>
      </c>
      <c r="B537" s="75" t="s">
        <v>1111</v>
      </c>
      <c r="C537" s="75" t="s">
        <v>1670</v>
      </c>
      <c r="D537" s="75" t="s">
        <v>1665</v>
      </c>
      <c r="E537" s="75" t="s">
        <v>1618</v>
      </c>
      <c r="F537" s="75" t="s">
        <v>1109</v>
      </c>
      <c r="G537" s="75" t="s">
        <v>1661</v>
      </c>
      <c r="H537" s="74" t="s">
        <v>386</v>
      </c>
      <c r="I537" s="75" t="s">
        <v>1666</v>
      </c>
      <c r="J537" t="str">
        <f t="shared" si="18"/>
        <v>10233103 - Condominio Jorge Cáceres Etapa 1-Operaciones</v>
      </c>
      <c r="K537" t="str">
        <f t="shared" si="19"/>
        <v>Proyectos Inmobiliarios</v>
      </c>
    </row>
    <row r="538" spans="1:11" x14ac:dyDescent="0.25">
      <c r="A538" s="74">
        <v>10233104</v>
      </c>
      <c r="B538" s="75" t="s">
        <v>1112</v>
      </c>
      <c r="C538" s="75" t="s">
        <v>1670</v>
      </c>
      <c r="D538" s="75" t="s">
        <v>1665</v>
      </c>
      <c r="E538" s="75" t="s">
        <v>90</v>
      </c>
      <c r="F538" s="75" t="s">
        <v>1109</v>
      </c>
      <c r="G538" s="75" t="s">
        <v>1661</v>
      </c>
      <c r="H538" s="74" t="s">
        <v>386</v>
      </c>
      <c r="I538" s="75" t="s">
        <v>1666</v>
      </c>
      <c r="J538" t="str">
        <f t="shared" si="18"/>
        <v>10233104 - Condominio Jorge Cáceres Etapa 1-Ventas</v>
      </c>
      <c r="K538" t="str">
        <f t="shared" si="19"/>
        <v>Proyectos Inmobiliarios</v>
      </c>
    </row>
    <row r="539" spans="1:11" x14ac:dyDescent="0.25">
      <c r="A539" s="74">
        <v>10233105</v>
      </c>
      <c r="B539" s="75" t="s">
        <v>1113</v>
      </c>
      <c r="C539" s="75" t="s">
        <v>1670</v>
      </c>
      <c r="D539" s="75" t="s">
        <v>1665</v>
      </c>
      <c r="E539" s="75" t="s">
        <v>1622</v>
      </c>
      <c r="F539" s="75" t="s">
        <v>1109</v>
      </c>
      <c r="G539" s="75" t="s">
        <v>1661</v>
      </c>
      <c r="H539" s="74" t="s">
        <v>386</v>
      </c>
      <c r="I539" s="75" t="s">
        <v>1666</v>
      </c>
      <c r="J539" t="str">
        <f t="shared" si="18"/>
        <v>10233105 - Condominio Jorge Cáceres Etapa 1-Clientes</v>
      </c>
      <c r="K539" t="str">
        <f t="shared" si="19"/>
        <v>Proyectos Inmobiliarios</v>
      </c>
    </row>
    <row r="540" spans="1:11" x14ac:dyDescent="0.25">
      <c r="A540" s="74">
        <v>10233204</v>
      </c>
      <c r="B540" s="75" t="s">
        <v>1114</v>
      </c>
      <c r="C540" s="75" t="s">
        <v>1670</v>
      </c>
      <c r="D540" s="75" t="s">
        <v>1665</v>
      </c>
      <c r="E540" s="75" t="s">
        <v>1624</v>
      </c>
      <c r="F540" s="75" t="s">
        <v>1109</v>
      </c>
      <c r="G540" s="75" t="s">
        <v>1661</v>
      </c>
      <c r="H540" s="74" t="s">
        <v>386</v>
      </c>
      <c r="I540" s="75" t="s">
        <v>1666</v>
      </c>
      <c r="J540" t="str">
        <f t="shared" si="18"/>
        <v>10233204 - Condominio Jorge Cáceres Etapa 1-Proyecto</v>
      </c>
      <c r="K540" t="str">
        <f t="shared" si="19"/>
        <v>Proyectos Inmobiliarios</v>
      </c>
    </row>
    <row r="541" spans="1:11" x14ac:dyDescent="0.25">
      <c r="A541" s="74">
        <v>10233301</v>
      </c>
      <c r="B541" s="75" t="s">
        <v>1115</v>
      </c>
      <c r="C541" s="75" t="s">
        <v>1670</v>
      </c>
      <c r="D541" s="75" t="s">
        <v>1665</v>
      </c>
      <c r="E541" s="75" t="s">
        <v>1643</v>
      </c>
      <c r="F541" s="75" t="s">
        <v>1109</v>
      </c>
      <c r="G541" s="75" t="s">
        <v>1667</v>
      </c>
      <c r="H541" s="74" t="s">
        <v>386</v>
      </c>
      <c r="I541" s="75" t="s">
        <v>1666</v>
      </c>
      <c r="J541" t="str">
        <f t="shared" si="18"/>
        <v>10233301 - Condominio Jorge Cáceres Etapa 1-GAF</v>
      </c>
      <c r="K541" t="str">
        <f t="shared" si="19"/>
        <v>Proyectos Inmobiliarios</v>
      </c>
    </row>
    <row r="542" spans="1:11" x14ac:dyDescent="0.25">
      <c r="A542" s="74">
        <v>10233505</v>
      </c>
      <c r="B542" s="75" t="s">
        <v>1116</v>
      </c>
      <c r="C542" s="75" t="s">
        <v>1670</v>
      </c>
      <c r="D542" s="75" t="s">
        <v>66</v>
      </c>
      <c r="E542" s="75" t="s">
        <v>328</v>
      </c>
      <c r="F542" s="75" t="s">
        <v>1109</v>
      </c>
      <c r="G542" s="75" t="s">
        <v>1661</v>
      </c>
      <c r="H542" s="74" t="s">
        <v>386</v>
      </c>
      <c r="I542" s="75" t="s">
        <v>1666</v>
      </c>
      <c r="J542" t="str">
        <f t="shared" si="18"/>
        <v>10233505 - Condominio Jorge Cáceres Etapa 1-PV Inmob.</v>
      </c>
      <c r="K542" t="str">
        <f t="shared" si="19"/>
        <v>Postventa</v>
      </c>
    </row>
    <row r="543" spans="1:11" x14ac:dyDescent="0.25">
      <c r="A543" s="74">
        <v>10233506</v>
      </c>
      <c r="B543" s="75" t="s">
        <v>1117</v>
      </c>
      <c r="C543" s="75" t="s">
        <v>1670</v>
      </c>
      <c r="D543" s="75" t="s">
        <v>1665</v>
      </c>
      <c r="E543" s="75" t="s">
        <v>200</v>
      </c>
      <c r="F543" s="75" t="s">
        <v>1109</v>
      </c>
      <c r="G543" s="75" t="s">
        <v>1661</v>
      </c>
      <c r="H543" s="74" t="s">
        <v>386</v>
      </c>
      <c r="I543" s="75" t="s">
        <v>1666</v>
      </c>
      <c r="J543" t="str">
        <f t="shared" si="18"/>
        <v>10233506 - Condominio Jorge Cáceres Etapa 1-Depto.Técnico</v>
      </c>
      <c r="K543" t="str">
        <f t="shared" si="19"/>
        <v>Proyectos Inmobiliarios</v>
      </c>
    </row>
    <row r="544" spans="1:11" x14ac:dyDescent="0.25">
      <c r="A544" s="76">
        <v>1148202</v>
      </c>
      <c r="B544" s="77" t="s">
        <v>770</v>
      </c>
      <c r="C544" s="77" t="s">
        <v>1670</v>
      </c>
      <c r="D544" s="77" t="s">
        <v>1578</v>
      </c>
      <c r="E544" s="77" t="s">
        <v>1578</v>
      </c>
      <c r="F544" s="77" t="s">
        <v>1370</v>
      </c>
      <c r="G544" s="77" t="s">
        <v>1661</v>
      </c>
      <c r="H544" s="76" t="s">
        <v>386</v>
      </c>
      <c r="I544" s="77" t="s">
        <v>1662</v>
      </c>
      <c r="J544" t="str">
        <f t="shared" si="18"/>
        <v>1148202 - Terreno Jorge Cáceres Etapa 2 - Inversiones</v>
      </c>
      <c r="K544" t="str">
        <f t="shared" si="19"/>
        <v>Terreno</v>
      </c>
    </row>
    <row r="545" spans="1:11" x14ac:dyDescent="0.25">
      <c r="A545" s="76">
        <v>301</v>
      </c>
      <c r="B545" s="77" t="s">
        <v>1370</v>
      </c>
      <c r="C545" s="77" t="s">
        <v>1670</v>
      </c>
      <c r="D545" s="77" t="s">
        <v>65</v>
      </c>
      <c r="E545" s="77" t="s">
        <v>65</v>
      </c>
      <c r="F545" s="77" t="s">
        <v>1370</v>
      </c>
      <c r="G545" s="77" t="s">
        <v>1663</v>
      </c>
      <c r="H545" s="76" t="s">
        <v>1672</v>
      </c>
      <c r="I545" s="77" t="s">
        <v>1664</v>
      </c>
      <c r="J545" t="str">
        <f t="shared" si="18"/>
        <v>301 - Condominio Jorge Cáceres Etapa 2</v>
      </c>
      <c r="K545" t="str">
        <f t="shared" si="19"/>
        <v>Obra</v>
      </c>
    </row>
    <row r="546" spans="1:11" x14ac:dyDescent="0.25">
      <c r="A546" s="76">
        <v>8301</v>
      </c>
      <c r="B546" s="77" t="s">
        <v>546</v>
      </c>
      <c r="C546" s="77" t="s">
        <v>1670</v>
      </c>
      <c r="D546" s="77" t="s">
        <v>1686</v>
      </c>
      <c r="E546" s="77" t="s">
        <v>1501</v>
      </c>
      <c r="F546" s="77" t="s">
        <v>1370</v>
      </c>
      <c r="G546" s="77" t="s">
        <v>1661</v>
      </c>
      <c r="H546" s="76" t="s">
        <v>386</v>
      </c>
      <c r="I546" s="77" t="s">
        <v>1666</v>
      </c>
      <c r="J546" t="str">
        <f t="shared" si="18"/>
        <v>8301 - Entrega Condominio Jorge Cáceres Etapa 2</v>
      </c>
      <c r="K546" t="str">
        <f t="shared" si="19"/>
        <v>Entrega</v>
      </c>
    </row>
    <row r="547" spans="1:11" x14ac:dyDescent="0.25">
      <c r="A547" s="76">
        <v>9301</v>
      </c>
      <c r="B547" s="77" t="s">
        <v>673</v>
      </c>
      <c r="C547" s="77" t="s">
        <v>1670</v>
      </c>
      <c r="D547" s="77" t="s">
        <v>66</v>
      </c>
      <c r="E547" s="77" t="s">
        <v>328</v>
      </c>
      <c r="F547" s="77" t="s">
        <v>1370</v>
      </c>
      <c r="G547" s="77" t="s">
        <v>1661</v>
      </c>
      <c r="H547" s="76" t="s">
        <v>386</v>
      </c>
      <c r="I547" s="77" t="s">
        <v>1666</v>
      </c>
      <c r="J547" t="str">
        <f t="shared" si="18"/>
        <v>9301 - PV Condominio Jorge Cáceres Etapa 2</v>
      </c>
      <c r="K547" t="str">
        <f t="shared" si="19"/>
        <v>Postventa</v>
      </c>
    </row>
    <row r="548" spans="1:11" x14ac:dyDescent="0.25">
      <c r="A548" s="76">
        <v>10301000</v>
      </c>
      <c r="B548" s="77" t="s">
        <v>1370</v>
      </c>
      <c r="C548" s="77" t="s">
        <v>1670</v>
      </c>
      <c r="D548" s="77" t="s">
        <v>1665</v>
      </c>
      <c r="E548" s="77" t="s">
        <v>1585</v>
      </c>
      <c r="F548" s="77" t="s">
        <v>1370</v>
      </c>
      <c r="G548" s="77" t="s">
        <v>1661</v>
      </c>
      <c r="H548" s="76" t="s">
        <v>386</v>
      </c>
      <c r="I548" s="77" t="s">
        <v>1666</v>
      </c>
      <c r="J548" t="str">
        <f t="shared" si="18"/>
        <v>10301000 - Condominio Jorge Cáceres Etapa 2</v>
      </c>
      <c r="K548" t="str">
        <f t="shared" si="19"/>
        <v>Proyectos Inmobiliarios</v>
      </c>
    </row>
    <row r="549" spans="1:11" x14ac:dyDescent="0.25">
      <c r="A549" s="76">
        <v>10301102</v>
      </c>
      <c r="B549" s="77" t="s">
        <v>1371</v>
      </c>
      <c r="C549" s="77" t="s">
        <v>1670</v>
      </c>
      <c r="D549" s="77" t="s">
        <v>1665</v>
      </c>
      <c r="E549" s="77" t="s">
        <v>1617</v>
      </c>
      <c r="F549" s="77" t="s">
        <v>1370</v>
      </c>
      <c r="G549" s="77" t="s">
        <v>1661</v>
      </c>
      <c r="H549" s="76" t="s">
        <v>386</v>
      </c>
      <c r="I549" s="77" t="s">
        <v>1666</v>
      </c>
      <c r="J549" t="str">
        <f t="shared" si="18"/>
        <v>10301102 - Condominio Jorge Cáceres Etapa 2-Marketing</v>
      </c>
      <c r="K549" t="str">
        <f t="shared" si="19"/>
        <v>Proyectos Inmobiliarios</v>
      </c>
    </row>
    <row r="550" spans="1:11" x14ac:dyDescent="0.25">
      <c r="A550" s="76">
        <v>10301103</v>
      </c>
      <c r="B550" s="77" t="s">
        <v>1372</v>
      </c>
      <c r="C550" s="77" t="s">
        <v>1670</v>
      </c>
      <c r="D550" s="77" t="s">
        <v>1665</v>
      </c>
      <c r="E550" s="77" t="s">
        <v>1618</v>
      </c>
      <c r="F550" s="77" t="s">
        <v>1370</v>
      </c>
      <c r="G550" s="77" t="s">
        <v>1661</v>
      </c>
      <c r="H550" s="76" t="s">
        <v>386</v>
      </c>
      <c r="I550" s="77" t="s">
        <v>1666</v>
      </c>
      <c r="J550" t="str">
        <f t="shared" si="18"/>
        <v>10301103 - Condominio Jorge Cáceres Etapa 2-Operaciones</v>
      </c>
      <c r="K550" t="str">
        <f t="shared" si="19"/>
        <v>Proyectos Inmobiliarios</v>
      </c>
    </row>
    <row r="551" spans="1:11" x14ac:dyDescent="0.25">
      <c r="A551" s="76">
        <v>10301104</v>
      </c>
      <c r="B551" s="77" t="s">
        <v>1373</v>
      </c>
      <c r="C551" s="77" t="s">
        <v>1670</v>
      </c>
      <c r="D551" s="77" t="s">
        <v>1665</v>
      </c>
      <c r="E551" s="77" t="s">
        <v>90</v>
      </c>
      <c r="F551" s="77" t="s">
        <v>1370</v>
      </c>
      <c r="G551" s="77" t="s">
        <v>1661</v>
      </c>
      <c r="H551" s="76" t="s">
        <v>386</v>
      </c>
      <c r="I551" s="77" t="s">
        <v>1666</v>
      </c>
      <c r="J551" t="str">
        <f t="shared" si="18"/>
        <v>10301104 - Condominio Jorge Cáceres Etapa 2-Ventas</v>
      </c>
      <c r="K551" t="str">
        <f t="shared" si="19"/>
        <v>Proyectos Inmobiliarios</v>
      </c>
    </row>
    <row r="552" spans="1:11" x14ac:dyDescent="0.25">
      <c r="A552" s="76">
        <v>10301105</v>
      </c>
      <c r="B552" s="77" t="s">
        <v>1374</v>
      </c>
      <c r="C552" s="77" t="s">
        <v>1670</v>
      </c>
      <c r="D552" s="77" t="s">
        <v>1665</v>
      </c>
      <c r="E552" s="77" t="s">
        <v>1622</v>
      </c>
      <c r="F552" s="77" t="s">
        <v>1370</v>
      </c>
      <c r="G552" s="77" t="s">
        <v>1661</v>
      </c>
      <c r="H552" s="76" t="s">
        <v>386</v>
      </c>
      <c r="I552" s="77" t="s">
        <v>1666</v>
      </c>
      <c r="J552" t="str">
        <f t="shared" si="18"/>
        <v>10301105 - Condominio Jorge Cáceres Etapa 2-Clientes</v>
      </c>
      <c r="K552" t="str">
        <f t="shared" si="19"/>
        <v>Proyectos Inmobiliarios</v>
      </c>
    </row>
    <row r="553" spans="1:11" x14ac:dyDescent="0.25">
      <c r="A553" s="76">
        <v>10301204</v>
      </c>
      <c r="B553" s="77" t="s">
        <v>1375</v>
      </c>
      <c r="C553" s="77" t="s">
        <v>1670</v>
      </c>
      <c r="D553" s="77" t="s">
        <v>1665</v>
      </c>
      <c r="E553" s="77" t="s">
        <v>1624</v>
      </c>
      <c r="F553" s="77" t="s">
        <v>1370</v>
      </c>
      <c r="G553" s="77" t="s">
        <v>1661</v>
      </c>
      <c r="H553" s="76" t="s">
        <v>386</v>
      </c>
      <c r="I553" s="77" t="s">
        <v>1666</v>
      </c>
      <c r="J553" t="str">
        <f t="shared" si="18"/>
        <v>10301204 - Condominio Jorge Cáceres Etapa 2-Proyecto</v>
      </c>
      <c r="K553" t="str">
        <f t="shared" si="19"/>
        <v>Proyectos Inmobiliarios</v>
      </c>
    </row>
    <row r="554" spans="1:11" x14ac:dyDescent="0.25">
      <c r="A554" s="76">
        <v>10301301</v>
      </c>
      <c r="B554" s="77" t="s">
        <v>1376</v>
      </c>
      <c r="C554" s="77" t="s">
        <v>1670</v>
      </c>
      <c r="D554" s="77" t="s">
        <v>1665</v>
      </c>
      <c r="E554" s="77" t="s">
        <v>1643</v>
      </c>
      <c r="F554" s="77" t="s">
        <v>1370</v>
      </c>
      <c r="G554" s="77" t="s">
        <v>1667</v>
      </c>
      <c r="H554" s="76" t="s">
        <v>386</v>
      </c>
      <c r="I554" s="77" t="s">
        <v>1666</v>
      </c>
      <c r="J554" t="str">
        <f t="shared" si="18"/>
        <v>10301301 - Condominio Jorge Cáceres Etapa 2-GAF</v>
      </c>
      <c r="K554" t="str">
        <f t="shared" si="19"/>
        <v>Proyectos Inmobiliarios</v>
      </c>
    </row>
    <row r="555" spans="1:11" x14ac:dyDescent="0.25">
      <c r="A555" s="76">
        <v>10301505</v>
      </c>
      <c r="B555" s="77" t="s">
        <v>1377</v>
      </c>
      <c r="C555" s="77" t="s">
        <v>1670</v>
      </c>
      <c r="D555" s="77" t="s">
        <v>66</v>
      </c>
      <c r="E555" s="77" t="s">
        <v>328</v>
      </c>
      <c r="F555" s="77" t="s">
        <v>1370</v>
      </c>
      <c r="G555" s="77" t="s">
        <v>1661</v>
      </c>
      <c r="H555" s="76" t="s">
        <v>386</v>
      </c>
      <c r="I555" s="77" t="s">
        <v>1666</v>
      </c>
      <c r="J555" t="str">
        <f t="shared" si="18"/>
        <v>10301505 - Condominio Jorge Cáceres Etapa 2-PV Inmob.</v>
      </c>
      <c r="K555" t="str">
        <f t="shared" si="19"/>
        <v>Postventa</v>
      </c>
    </row>
    <row r="556" spans="1:11" x14ac:dyDescent="0.25">
      <c r="A556" s="76">
        <v>10301506</v>
      </c>
      <c r="B556" s="77" t="s">
        <v>1378</v>
      </c>
      <c r="C556" s="77" t="s">
        <v>1670</v>
      </c>
      <c r="D556" s="77" t="s">
        <v>1665</v>
      </c>
      <c r="E556" s="77" t="s">
        <v>200</v>
      </c>
      <c r="F556" s="77" t="s">
        <v>1370</v>
      </c>
      <c r="G556" s="77" t="s">
        <v>1661</v>
      </c>
      <c r="H556" s="76" t="s">
        <v>386</v>
      </c>
      <c r="I556" s="77" t="s">
        <v>1666</v>
      </c>
      <c r="J556" t="str">
        <f t="shared" si="18"/>
        <v>10301506 - Condominio Jorge Cáceres Etapa 2-Depto.Técnico</v>
      </c>
      <c r="K556" t="str">
        <f t="shared" si="19"/>
        <v>Proyectos Inmobiliarios</v>
      </c>
    </row>
    <row r="557" spans="1:11" x14ac:dyDescent="0.25">
      <c r="A557" s="62">
        <v>1122202</v>
      </c>
      <c r="B557" s="63" t="s">
        <v>755</v>
      </c>
      <c r="C557" s="63" t="s">
        <v>1670</v>
      </c>
      <c r="D557" s="63" t="s">
        <v>1578</v>
      </c>
      <c r="E557" s="63" t="s">
        <v>1578</v>
      </c>
      <c r="F557" s="63" t="s">
        <v>1243</v>
      </c>
      <c r="G557" s="63" t="s">
        <v>1661</v>
      </c>
      <c r="H557" s="62" t="s">
        <v>386</v>
      </c>
      <c r="I557" s="63" t="s">
        <v>1662</v>
      </c>
      <c r="J557" t="str">
        <f t="shared" si="18"/>
        <v>1122202 - Terreno Lago Ranco 1890 – Inversiones</v>
      </c>
      <c r="K557" t="str">
        <f t="shared" si="19"/>
        <v>Terreno</v>
      </c>
    </row>
    <row r="558" spans="1:11" x14ac:dyDescent="0.25">
      <c r="A558" s="62">
        <v>255</v>
      </c>
      <c r="B558" s="63" t="s">
        <v>1243</v>
      </c>
      <c r="C558" s="63" t="s">
        <v>1670</v>
      </c>
      <c r="D558" s="63" t="s">
        <v>65</v>
      </c>
      <c r="E558" s="63" t="s">
        <v>65</v>
      </c>
      <c r="F558" s="63" t="s">
        <v>1243</v>
      </c>
      <c r="G558" s="63" t="s">
        <v>1663</v>
      </c>
      <c r="H558" s="62" t="s">
        <v>1672</v>
      </c>
      <c r="I558" s="63" t="s">
        <v>1664</v>
      </c>
      <c r="J558" t="str">
        <f t="shared" si="18"/>
        <v>255 - Condominio Lago Ranco</v>
      </c>
      <c r="K558" t="str">
        <f t="shared" si="19"/>
        <v>Obra</v>
      </c>
    </row>
    <row r="559" spans="1:11" x14ac:dyDescent="0.25">
      <c r="A559" s="62">
        <v>8255</v>
      </c>
      <c r="B559" s="63" t="s">
        <v>539</v>
      </c>
      <c r="C559" s="63" t="s">
        <v>1670</v>
      </c>
      <c r="D559" s="63" t="s">
        <v>1686</v>
      </c>
      <c r="E559" s="63" t="s">
        <v>1501</v>
      </c>
      <c r="F559" s="63" t="s">
        <v>1243</v>
      </c>
      <c r="G559" s="63" t="s">
        <v>1661</v>
      </c>
      <c r="H559" s="62" t="s">
        <v>386</v>
      </c>
      <c r="I559" s="63" t="s">
        <v>1666</v>
      </c>
      <c r="J559" t="str">
        <f t="shared" si="18"/>
        <v>8255 - Entrega Condominio Lago Ranco</v>
      </c>
      <c r="K559" t="str">
        <f t="shared" si="19"/>
        <v>Entrega</v>
      </c>
    </row>
    <row r="560" spans="1:11" x14ac:dyDescent="0.25">
      <c r="A560" s="62">
        <v>9255</v>
      </c>
      <c r="B560" s="63" t="s">
        <v>665</v>
      </c>
      <c r="C560" s="63" t="s">
        <v>1670</v>
      </c>
      <c r="D560" s="63" t="s">
        <v>66</v>
      </c>
      <c r="E560" s="63" t="s">
        <v>328</v>
      </c>
      <c r="F560" s="63" t="s">
        <v>1243</v>
      </c>
      <c r="G560" s="63" t="s">
        <v>1661</v>
      </c>
      <c r="H560" s="62" t="s">
        <v>386</v>
      </c>
      <c r="I560" s="63" t="s">
        <v>1666</v>
      </c>
      <c r="J560" t="str">
        <f t="shared" si="18"/>
        <v>9255 - PV Condominio Lago Ranco</v>
      </c>
      <c r="K560" t="str">
        <f t="shared" si="19"/>
        <v>Postventa</v>
      </c>
    </row>
    <row r="561" spans="1:11" x14ac:dyDescent="0.25">
      <c r="A561" s="62">
        <v>10255000</v>
      </c>
      <c r="B561" s="63" t="s">
        <v>1243</v>
      </c>
      <c r="C561" s="63" t="s">
        <v>1670</v>
      </c>
      <c r="D561" s="63" t="s">
        <v>1665</v>
      </c>
      <c r="E561" s="63" t="s">
        <v>1585</v>
      </c>
      <c r="F561" s="63" t="s">
        <v>1243</v>
      </c>
      <c r="G561" s="63" t="s">
        <v>1661</v>
      </c>
      <c r="H561" s="62" t="s">
        <v>386</v>
      </c>
      <c r="I561" s="63" t="s">
        <v>1666</v>
      </c>
      <c r="J561" t="str">
        <f t="shared" si="18"/>
        <v>10255000 - Condominio Lago Ranco</v>
      </c>
      <c r="K561" t="str">
        <f t="shared" si="19"/>
        <v>Proyectos Inmobiliarios</v>
      </c>
    </row>
    <row r="562" spans="1:11" x14ac:dyDescent="0.25">
      <c r="A562" s="62">
        <v>10255102</v>
      </c>
      <c r="B562" s="63" t="s">
        <v>1244</v>
      </c>
      <c r="C562" s="63" t="s">
        <v>1670</v>
      </c>
      <c r="D562" s="63" t="s">
        <v>1665</v>
      </c>
      <c r="E562" s="63" t="s">
        <v>1617</v>
      </c>
      <c r="F562" s="63" t="s">
        <v>1243</v>
      </c>
      <c r="G562" s="63" t="s">
        <v>1661</v>
      </c>
      <c r="H562" s="62" t="s">
        <v>386</v>
      </c>
      <c r="I562" s="63" t="s">
        <v>1666</v>
      </c>
      <c r="J562" t="str">
        <f t="shared" si="18"/>
        <v>10255102 - Condominio Lago Ranco-Marketing</v>
      </c>
      <c r="K562" t="str">
        <f t="shared" si="19"/>
        <v>Proyectos Inmobiliarios</v>
      </c>
    </row>
    <row r="563" spans="1:11" x14ac:dyDescent="0.25">
      <c r="A563" s="62">
        <v>10255103</v>
      </c>
      <c r="B563" s="63" t="s">
        <v>1245</v>
      </c>
      <c r="C563" s="63" t="s">
        <v>1670</v>
      </c>
      <c r="D563" s="63" t="s">
        <v>1665</v>
      </c>
      <c r="E563" s="63" t="s">
        <v>1618</v>
      </c>
      <c r="F563" s="63" t="s">
        <v>1243</v>
      </c>
      <c r="G563" s="63" t="s">
        <v>1661</v>
      </c>
      <c r="H563" s="62" t="s">
        <v>386</v>
      </c>
      <c r="I563" s="63" t="s">
        <v>1666</v>
      </c>
      <c r="J563" t="str">
        <f t="shared" si="18"/>
        <v>10255103 - Condominio Lago Ranco-Operaciones</v>
      </c>
      <c r="K563" t="str">
        <f t="shared" si="19"/>
        <v>Proyectos Inmobiliarios</v>
      </c>
    </row>
    <row r="564" spans="1:11" x14ac:dyDescent="0.25">
      <c r="A564" s="62">
        <v>10255104</v>
      </c>
      <c r="B564" s="63" t="s">
        <v>1246</v>
      </c>
      <c r="C564" s="63" t="s">
        <v>1670</v>
      </c>
      <c r="D564" s="63" t="s">
        <v>1665</v>
      </c>
      <c r="E564" s="63" t="s">
        <v>90</v>
      </c>
      <c r="F564" s="63" t="s">
        <v>1243</v>
      </c>
      <c r="G564" s="63" t="s">
        <v>1661</v>
      </c>
      <c r="H564" s="62" t="s">
        <v>386</v>
      </c>
      <c r="I564" s="63" t="s">
        <v>1666</v>
      </c>
      <c r="J564" t="str">
        <f t="shared" si="18"/>
        <v>10255104 - Condominio Lago Ranco-Ventas</v>
      </c>
      <c r="K564" t="str">
        <f t="shared" si="19"/>
        <v>Proyectos Inmobiliarios</v>
      </c>
    </row>
    <row r="565" spans="1:11" x14ac:dyDescent="0.25">
      <c r="A565" s="62">
        <v>10255105</v>
      </c>
      <c r="B565" s="63" t="s">
        <v>1247</v>
      </c>
      <c r="C565" s="63" t="s">
        <v>1670</v>
      </c>
      <c r="D565" s="63" t="s">
        <v>1665</v>
      </c>
      <c r="E565" s="63" t="s">
        <v>1622</v>
      </c>
      <c r="F565" s="63" t="s">
        <v>1243</v>
      </c>
      <c r="G565" s="63" t="s">
        <v>1661</v>
      </c>
      <c r="H565" s="62" t="s">
        <v>386</v>
      </c>
      <c r="I565" s="63" t="s">
        <v>1666</v>
      </c>
      <c r="J565" t="str">
        <f t="shared" si="18"/>
        <v>10255105 - Condominio Lago Ranco-Clientes</v>
      </c>
      <c r="K565" t="str">
        <f t="shared" si="19"/>
        <v>Proyectos Inmobiliarios</v>
      </c>
    </row>
    <row r="566" spans="1:11" x14ac:dyDescent="0.25">
      <c r="A566" s="62">
        <v>10255204</v>
      </c>
      <c r="B566" s="63" t="s">
        <v>1248</v>
      </c>
      <c r="C566" s="63" t="s">
        <v>1670</v>
      </c>
      <c r="D566" s="63" t="s">
        <v>1665</v>
      </c>
      <c r="E566" s="63" t="s">
        <v>1624</v>
      </c>
      <c r="F566" s="63" t="s">
        <v>1243</v>
      </c>
      <c r="G566" s="63" t="s">
        <v>1661</v>
      </c>
      <c r="H566" s="62" t="s">
        <v>386</v>
      </c>
      <c r="I566" s="63" t="s">
        <v>1666</v>
      </c>
      <c r="J566" t="str">
        <f t="shared" si="18"/>
        <v>10255204 - Condominio Lago Ranco-Proyecto</v>
      </c>
      <c r="K566" t="str">
        <f t="shared" si="19"/>
        <v>Proyectos Inmobiliarios</v>
      </c>
    </row>
    <row r="567" spans="1:11" x14ac:dyDescent="0.25">
      <c r="A567" s="62">
        <v>10255301</v>
      </c>
      <c r="B567" s="63" t="s">
        <v>1249</v>
      </c>
      <c r="C567" s="63" t="s">
        <v>1670</v>
      </c>
      <c r="D567" s="63" t="s">
        <v>1665</v>
      </c>
      <c r="E567" s="63" t="s">
        <v>1643</v>
      </c>
      <c r="F567" s="63" t="s">
        <v>1243</v>
      </c>
      <c r="G567" s="63" t="s">
        <v>1667</v>
      </c>
      <c r="H567" s="62" t="s">
        <v>386</v>
      </c>
      <c r="I567" s="63" t="s">
        <v>1666</v>
      </c>
      <c r="J567" t="str">
        <f t="shared" si="18"/>
        <v>10255301 - Condominio Lago Ranco-GAF</v>
      </c>
      <c r="K567" t="str">
        <f t="shared" si="19"/>
        <v>Proyectos Inmobiliarios</v>
      </c>
    </row>
    <row r="568" spans="1:11" x14ac:dyDescent="0.25">
      <c r="A568" s="62">
        <v>10255505</v>
      </c>
      <c r="B568" s="63" t="s">
        <v>1250</v>
      </c>
      <c r="C568" s="63" t="s">
        <v>1670</v>
      </c>
      <c r="D568" s="63" t="s">
        <v>66</v>
      </c>
      <c r="E568" s="63" t="s">
        <v>328</v>
      </c>
      <c r="F568" s="63" t="s">
        <v>1243</v>
      </c>
      <c r="G568" s="63" t="s">
        <v>1661</v>
      </c>
      <c r="H568" s="62" t="s">
        <v>386</v>
      </c>
      <c r="I568" s="63" t="s">
        <v>1666</v>
      </c>
      <c r="J568" t="str">
        <f t="shared" si="18"/>
        <v>10255505 - Condominio Lago Ranco-PV Inmob.</v>
      </c>
      <c r="K568" t="str">
        <f t="shared" si="19"/>
        <v>Postventa</v>
      </c>
    </row>
    <row r="569" spans="1:11" x14ac:dyDescent="0.25">
      <c r="A569" s="62">
        <v>10255506</v>
      </c>
      <c r="B569" s="63" t="s">
        <v>1251</v>
      </c>
      <c r="C569" s="63" t="s">
        <v>1670</v>
      </c>
      <c r="D569" s="63" t="s">
        <v>1665</v>
      </c>
      <c r="E569" s="63" t="s">
        <v>200</v>
      </c>
      <c r="F569" s="63" t="s">
        <v>1243</v>
      </c>
      <c r="G569" s="63" t="s">
        <v>1661</v>
      </c>
      <c r="H569" s="62" t="s">
        <v>386</v>
      </c>
      <c r="I569" s="63" t="s">
        <v>1666</v>
      </c>
      <c r="J569" t="str">
        <f t="shared" si="18"/>
        <v>10255506 - Condominio Lago Ranco-Depto.Técnico</v>
      </c>
      <c r="K569" t="str">
        <f t="shared" si="19"/>
        <v>Proyectos Inmobiliarios</v>
      </c>
    </row>
    <row r="570" spans="1:11" x14ac:dyDescent="0.25">
      <c r="A570" s="43">
        <v>1114202</v>
      </c>
      <c r="B570" t="s">
        <v>749</v>
      </c>
      <c r="C570" t="s">
        <v>1964</v>
      </c>
      <c r="D570" t="s">
        <v>1578</v>
      </c>
      <c r="E570" t="s">
        <v>1578</v>
      </c>
      <c r="F570" t="s">
        <v>1965</v>
      </c>
      <c r="G570" t="s">
        <v>1661</v>
      </c>
      <c r="H570" s="43" t="s">
        <v>386</v>
      </c>
      <c r="I570" t="s">
        <v>1662</v>
      </c>
      <c r="J570" t="str">
        <f t="shared" si="18"/>
        <v xml:space="preserve">1114202 - Terreno Condominio Manuel Jesús Rivera  – Inversiones </v>
      </c>
      <c r="K570" t="str">
        <f t="shared" si="19"/>
        <v>Terreno</v>
      </c>
    </row>
    <row r="571" spans="1:11" x14ac:dyDescent="0.25">
      <c r="A571" s="50">
        <v>230</v>
      </c>
      <c r="B571" s="51" t="s">
        <v>1085</v>
      </c>
      <c r="C571" s="51" t="s">
        <v>1964</v>
      </c>
      <c r="D571" s="51" t="s">
        <v>65</v>
      </c>
      <c r="E571" s="51" t="s">
        <v>65</v>
      </c>
      <c r="F571" s="51" t="s">
        <v>1085</v>
      </c>
      <c r="G571" s="51" t="s">
        <v>1663</v>
      </c>
      <c r="H571" s="50" t="s">
        <v>1672</v>
      </c>
      <c r="I571" s="51" t="s">
        <v>1664</v>
      </c>
      <c r="J571" t="str">
        <f t="shared" si="18"/>
        <v>230 - Condominio Manuel Jesus Rivera</v>
      </c>
      <c r="K571" t="str">
        <f t="shared" si="19"/>
        <v>Obra</v>
      </c>
    </row>
    <row r="572" spans="1:11" x14ac:dyDescent="0.25">
      <c r="A572" s="50">
        <v>8230</v>
      </c>
      <c r="B572" s="51" t="s">
        <v>524</v>
      </c>
      <c r="C572" s="51" t="s">
        <v>1964</v>
      </c>
      <c r="D572" s="51" t="s">
        <v>1686</v>
      </c>
      <c r="E572" s="51" t="s">
        <v>1501</v>
      </c>
      <c r="F572" s="51" t="s">
        <v>1085</v>
      </c>
      <c r="G572" s="51" t="s">
        <v>1661</v>
      </c>
      <c r="H572" s="50" t="s">
        <v>386</v>
      </c>
      <c r="I572" s="51" t="s">
        <v>1666</v>
      </c>
      <c r="J572" t="str">
        <f t="shared" si="18"/>
        <v>8230 - Entrega Condominio Manuel Jesus Rivera</v>
      </c>
      <c r="K572" t="str">
        <f t="shared" si="19"/>
        <v>Entrega</v>
      </c>
    </row>
    <row r="573" spans="1:11" x14ac:dyDescent="0.25">
      <c r="A573" s="50">
        <v>9230</v>
      </c>
      <c r="B573" s="51" t="s">
        <v>650</v>
      </c>
      <c r="C573" s="51" t="s">
        <v>1964</v>
      </c>
      <c r="D573" s="51" t="s">
        <v>66</v>
      </c>
      <c r="E573" s="51" t="s">
        <v>328</v>
      </c>
      <c r="F573" s="51" t="s">
        <v>1085</v>
      </c>
      <c r="G573" s="51" t="s">
        <v>1661</v>
      </c>
      <c r="H573" s="50" t="s">
        <v>386</v>
      </c>
      <c r="I573" s="51" t="s">
        <v>1666</v>
      </c>
      <c r="J573" t="str">
        <f t="shared" si="18"/>
        <v>9230 - PV Condominio Manuel Jesus Rivera</v>
      </c>
      <c r="K573" t="str">
        <f t="shared" si="19"/>
        <v>Postventa</v>
      </c>
    </row>
    <row r="574" spans="1:11" x14ac:dyDescent="0.25">
      <c r="A574" s="50">
        <v>10230000</v>
      </c>
      <c r="B574" s="51" t="s">
        <v>1085</v>
      </c>
      <c r="C574" s="51" t="s">
        <v>1964</v>
      </c>
      <c r="D574" s="51" t="s">
        <v>1665</v>
      </c>
      <c r="E574" s="51" t="s">
        <v>1585</v>
      </c>
      <c r="F574" s="51" t="s">
        <v>1085</v>
      </c>
      <c r="G574" s="51" t="s">
        <v>1661</v>
      </c>
      <c r="H574" s="50" t="s">
        <v>386</v>
      </c>
      <c r="I574" s="51" t="s">
        <v>1666</v>
      </c>
      <c r="J574" t="str">
        <f t="shared" si="18"/>
        <v>10230000 - Condominio Manuel Jesus Rivera</v>
      </c>
      <c r="K574" t="str">
        <f t="shared" si="19"/>
        <v>Proyectos Inmobiliarios</v>
      </c>
    </row>
    <row r="575" spans="1:11" x14ac:dyDescent="0.25">
      <c r="A575" s="50">
        <v>10230102</v>
      </c>
      <c r="B575" s="51" t="s">
        <v>1086</v>
      </c>
      <c r="C575" s="51" t="s">
        <v>1964</v>
      </c>
      <c r="D575" s="51" t="s">
        <v>1665</v>
      </c>
      <c r="E575" s="51" t="s">
        <v>1617</v>
      </c>
      <c r="F575" s="51" t="s">
        <v>1085</v>
      </c>
      <c r="G575" s="51" t="s">
        <v>1661</v>
      </c>
      <c r="H575" s="50" t="s">
        <v>386</v>
      </c>
      <c r="I575" s="51" t="s">
        <v>1666</v>
      </c>
      <c r="J575" t="str">
        <f t="shared" si="18"/>
        <v>10230102 - Condominio Manuel Jesus Rivera-Marketing</v>
      </c>
      <c r="K575" t="str">
        <f t="shared" si="19"/>
        <v>Proyectos Inmobiliarios</v>
      </c>
    </row>
    <row r="576" spans="1:11" x14ac:dyDescent="0.25">
      <c r="A576" s="50">
        <v>10230103</v>
      </c>
      <c r="B576" s="51" t="s">
        <v>1087</v>
      </c>
      <c r="C576" s="51" t="s">
        <v>1964</v>
      </c>
      <c r="D576" s="51" t="s">
        <v>1665</v>
      </c>
      <c r="E576" s="51" t="s">
        <v>1618</v>
      </c>
      <c r="F576" s="51" t="s">
        <v>1085</v>
      </c>
      <c r="G576" s="51" t="s">
        <v>1661</v>
      </c>
      <c r="H576" s="50" t="s">
        <v>386</v>
      </c>
      <c r="I576" s="51" t="s">
        <v>1666</v>
      </c>
      <c r="J576" t="str">
        <f t="shared" si="18"/>
        <v>10230103 - Condominio Manuel Jesus Rivera-Operaciones</v>
      </c>
      <c r="K576" t="str">
        <f t="shared" si="19"/>
        <v>Proyectos Inmobiliarios</v>
      </c>
    </row>
    <row r="577" spans="1:11" x14ac:dyDescent="0.25">
      <c r="A577" s="50">
        <v>10230104</v>
      </c>
      <c r="B577" s="51" t="s">
        <v>1088</v>
      </c>
      <c r="C577" s="51" t="s">
        <v>1964</v>
      </c>
      <c r="D577" s="51" t="s">
        <v>1665</v>
      </c>
      <c r="E577" s="51" t="s">
        <v>90</v>
      </c>
      <c r="F577" s="51" t="s">
        <v>1085</v>
      </c>
      <c r="G577" s="51" t="s">
        <v>1661</v>
      </c>
      <c r="H577" s="50" t="s">
        <v>386</v>
      </c>
      <c r="I577" s="51" t="s">
        <v>1666</v>
      </c>
      <c r="J577" t="str">
        <f t="shared" si="18"/>
        <v>10230104 - Condominio Manuel Jesus Rivera-Ventas</v>
      </c>
      <c r="K577" t="str">
        <f t="shared" si="19"/>
        <v>Proyectos Inmobiliarios</v>
      </c>
    </row>
    <row r="578" spans="1:11" x14ac:dyDescent="0.25">
      <c r="A578" s="50">
        <v>10230105</v>
      </c>
      <c r="B578" s="51" t="s">
        <v>1089</v>
      </c>
      <c r="C578" s="51" t="s">
        <v>1964</v>
      </c>
      <c r="D578" s="51" t="s">
        <v>1665</v>
      </c>
      <c r="E578" s="51" t="s">
        <v>1622</v>
      </c>
      <c r="F578" s="51" t="s">
        <v>1085</v>
      </c>
      <c r="G578" s="51" t="s">
        <v>1661</v>
      </c>
      <c r="H578" s="50" t="s">
        <v>386</v>
      </c>
      <c r="I578" s="51" t="s">
        <v>1666</v>
      </c>
      <c r="J578" t="str">
        <f t="shared" si="18"/>
        <v>10230105 - Condominio Manuel Jesus Rivera-Clientes</v>
      </c>
      <c r="K578" t="str">
        <f t="shared" si="19"/>
        <v>Proyectos Inmobiliarios</v>
      </c>
    </row>
    <row r="579" spans="1:11" x14ac:dyDescent="0.25">
      <c r="A579" s="50">
        <v>10230204</v>
      </c>
      <c r="B579" s="51" t="s">
        <v>1090</v>
      </c>
      <c r="C579" s="51" t="s">
        <v>1964</v>
      </c>
      <c r="D579" s="51" t="s">
        <v>1665</v>
      </c>
      <c r="E579" s="51" t="s">
        <v>1624</v>
      </c>
      <c r="F579" s="51" t="s">
        <v>1085</v>
      </c>
      <c r="G579" s="51" t="s">
        <v>1661</v>
      </c>
      <c r="H579" s="50" t="s">
        <v>386</v>
      </c>
      <c r="I579" s="51" t="s">
        <v>1666</v>
      </c>
      <c r="J579" t="str">
        <f t="shared" si="18"/>
        <v>10230204 - Condominio Manuel Jesus Rivera-Proyecto</v>
      </c>
      <c r="K579" t="str">
        <f t="shared" si="19"/>
        <v>Proyectos Inmobiliarios</v>
      </c>
    </row>
    <row r="580" spans="1:11" x14ac:dyDescent="0.25">
      <c r="A580" s="50">
        <v>10230301</v>
      </c>
      <c r="B580" s="51" t="s">
        <v>1091</v>
      </c>
      <c r="C580" s="51" t="s">
        <v>1964</v>
      </c>
      <c r="D580" s="51" t="s">
        <v>1665</v>
      </c>
      <c r="E580" s="51" t="s">
        <v>1643</v>
      </c>
      <c r="F580" s="51" t="s">
        <v>1085</v>
      </c>
      <c r="G580" s="51" t="s">
        <v>1667</v>
      </c>
      <c r="H580" s="50" t="s">
        <v>386</v>
      </c>
      <c r="I580" s="51" t="s">
        <v>1666</v>
      </c>
      <c r="J580" t="str">
        <f t="shared" ref="J580:J643" si="20">+A580&amp;" - "&amp;B580</f>
        <v>10230301 - Condominio Manuel Jesus Rivera-GAF</v>
      </c>
      <c r="K580" t="str">
        <f t="shared" ref="K580:K643" si="21">+D580</f>
        <v>Proyectos Inmobiliarios</v>
      </c>
    </row>
    <row r="581" spans="1:11" x14ac:dyDescent="0.25">
      <c r="A581" s="50">
        <v>10230505</v>
      </c>
      <c r="B581" s="51" t="s">
        <v>1092</v>
      </c>
      <c r="C581" s="51" t="s">
        <v>1964</v>
      </c>
      <c r="D581" s="51" t="s">
        <v>66</v>
      </c>
      <c r="E581" s="51" t="s">
        <v>328</v>
      </c>
      <c r="F581" s="51" t="s">
        <v>1085</v>
      </c>
      <c r="G581" s="51" t="s">
        <v>1661</v>
      </c>
      <c r="H581" s="50" t="s">
        <v>386</v>
      </c>
      <c r="I581" s="51" t="s">
        <v>1666</v>
      </c>
      <c r="J581" t="str">
        <f t="shared" si="20"/>
        <v>10230505 - Condominio Manuel Jesus Rivera-PV Inmob.</v>
      </c>
      <c r="K581" t="str">
        <f t="shared" si="21"/>
        <v>Postventa</v>
      </c>
    </row>
    <row r="582" spans="1:11" x14ac:dyDescent="0.25">
      <c r="A582" s="50">
        <v>10230506</v>
      </c>
      <c r="B582" s="51" t="s">
        <v>1093</v>
      </c>
      <c r="C582" s="51" t="s">
        <v>1964</v>
      </c>
      <c r="D582" s="51" t="s">
        <v>1665</v>
      </c>
      <c r="E582" s="51" t="s">
        <v>200</v>
      </c>
      <c r="F582" s="51" t="s">
        <v>1085</v>
      </c>
      <c r="G582" s="51" t="s">
        <v>1661</v>
      </c>
      <c r="H582" s="50" t="s">
        <v>386</v>
      </c>
      <c r="I582" s="51" t="s">
        <v>1666</v>
      </c>
      <c r="J582" t="str">
        <f t="shared" si="20"/>
        <v>10230506 - Condominio Manuel Jesus Rivera-Depto.Técnico</v>
      </c>
      <c r="K582" t="str">
        <f t="shared" si="21"/>
        <v>Proyectos Inmobiliarios</v>
      </c>
    </row>
    <row r="583" spans="1:11" x14ac:dyDescent="0.25">
      <c r="A583" s="58">
        <v>368</v>
      </c>
      <c r="B583" s="59" t="s">
        <v>499</v>
      </c>
      <c r="C583" s="59" t="s">
        <v>1964</v>
      </c>
      <c r="D583" s="59" t="s">
        <v>65</v>
      </c>
      <c r="E583" s="59" t="s">
        <v>65</v>
      </c>
      <c r="F583" s="59" t="s">
        <v>1260</v>
      </c>
      <c r="G583" s="59" t="s">
        <v>1663</v>
      </c>
      <c r="H583" s="58" t="s">
        <v>386</v>
      </c>
      <c r="I583" s="59" t="s">
        <v>1664</v>
      </c>
      <c r="J583" t="str">
        <f t="shared" si="20"/>
        <v>368 - Condominio Manuel Jesus Rivera 2 Ltda</v>
      </c>
      <c r="K583" t="str">
        <f t="shared" si="21"/>
        <v>Obra</v>
      </c>
    </row>
    <row r="584" spans="1:11" x14ac:dyDescent="0.25">
      <c r="A584" s="58">
        <v>10257000</v>
      </c>
      <c r="B584" s="59" t="s">
        <v>1260</v>
      </c>
      <c r="C584" s="59" t="s">
        <v>1964</v>
      </c>
      <c r="D584" s="59" t="s">
        <v>1665</v>
      </c>
      <c r="E584" s="59" t="s">
        <v>1585</v>
      </c>
      <c r="F584" s="59" t="s">
        <v>1260</v>
      </c>
      <c r="G584" s="59" t="s">
        <v>1661</v>
      </c>
      <c r="H584" s="58" t="s">
        <v>386</v>
      </c>
      <c r="I584" s="59" t="s">
        <v>1666</v>
      </c>
      <c r="J584" t="str">
        <f t="shared" si="20"/>
        <v>10257000 - Condominio Manuel Jesus Rivera 2</v>
      </c>
      <c r="K584" t="str">
        <f t="shared" si="21"/>
        <v>Proyectos Inmobiliarios</v>
      </c>
    </row>
    <row r="585" spans="1:11" x14ac:dyDescent="0.25">
      <c r="A585" s="58">
        <v>10257102</v>
      </c>
      <c r="B585" s="59" t="s">
        <v>1261</v>
      </c>
      <c r="C585" s="59" t="s">
        <v>1964</v>
      </c>
      <c r="D585" s="59" t="s">
        <v>1665</v>
      </c>
      <c r="E585" s="59" t="s">
        <v>1617</v>
      </c>
      <c r="F585" s="59" t="s">
        <v>1260</v>
      </c>
      <c r="G585" s="59" t="s">
        <v>1661</v>
      </c>
      <c r="H585" s="58" t="s">
        <v>386</v>
      </c>
      <c r="I585" s="59" t="s">
        <v>1666</v>
      </c>
      <c r="J585" t="str">
        <f t="shared" si="20"/>
        <v>10257102 - Condominio Manuel Jesus Rivera 2-Marketing</v>
      </c>
      <c r="K585" t="str">
        <f t="shared" si="21"/>
        <v>Proyectos Inmobiliarios</v>
      </c>
    </row>
    <row r="586" spans="1:11" x14ac:dyDescent="0.25">
      <c r="A586" s="58">
        <v>10257103</v>
      </c>
      <c r="B586" s="59" t="s">
        <v>1262</v>
      </c>
      <c r="C586" s="59" t="s">
        <v>1964</v>
      </c>
      <c r="D586" s="59" t="s">
        <v>1665</v>
      </c>
      <c r="E586" s="59" t="s">
        <v>1618</v>
      </c>
      <c r="F586" s="59" t="s">
        <v>1260</v>
      </c>
      <c r="G586" s="59" t="s">
        <v>1661</v>
      </c>
      <c r="H586" s="58" t="s">
        <v>386</v>
      </c>
      <c r="I586" s="59" t="s">
        <v>1666</v>
      </c>
      <c r="J586" t="str">
        <f t="shared" si="20"/>
        <v>10257103 - Condominio Manuel Jesus Rivera 2-Operaciones</v>
      </c>
      <c r="K586" t="str">
        <f t="shared" si="21"/>
        <v>Proyectos Inmobiliarios</v>
      </c>
    </row>
    <row r="587" spans="1:11" x14ac:dyDescent="0.25">
      <c r="A587" s="58">
        <v>10257104</v>
      </c>
      <c r="B587" s="59" t="s">
        <v>1263</v>
      </c>
      <c r="C587" s="59" t="s">
        <v>1964</v>
      </c>
      <c r="D587" s="59" t="s">
        <v>1665</v>
      </c>
      <c r="E587" s="59" t="s">
        <v>90</v>
      </c>
      <c r="F587" s="59" t="s">
        <v>1260</v>
      </c>
      <c r="G587" s="59" t="s">
        <v>1661</v>
      </c>
      <c r="H587" s="58" t="s">
        <v>386</v>
      </c>
      <c r="I587" s="59" t="s">
        <v>1666</v>
      </c>
      <c r="J587" t="str">
        <f t="shared" si="20"/>
        <v>10257104 - Condominio Manuel Jesus Rivera 2-Ventas</v>
      </c>
      <c r="K587" t="str">
        <f t="shared" si="21"/>
        <v>Proyectos Inmobiliarios</v>
      </c>
    </row>
    <row r="588" spans="1:11" x14ac:dyDescent="0.25">
      <c r="A588" s="58">
        <v>10257105</v>
      </c>
      <c r="B588" s="59" t="s">
        <v>1264</v>
      </c>
      <c r="C588" s="59" t="s">
        <v>1964</v>
      </c>
      <c r="D588" s="59" t="s">
        <v>1665</v>
      </c>
      <c r="E588" s="59" t="s">
        <v>1622</v>
      </c>
      <c r="F588" s="59" t="s">
        <v>1260</v>
      </c>
      <c r="G588" s="59" t="s">
        <v>1661</v>
      </c>
      <c r="H588" s="58" t="s">
        <v>386</v>
      </c>
      <c r="I588" s="59" t="s">
        <v>1666</v>
      </c>
      <c r="J588" t="str">
        <f t="shared" si="20"/>
        <v>10257105 - Condominio Manuel Jesus Rivera 2-Clientes</v>
      </c>
      <c r="K588" t="str">
        <f t="shared" si="21"/>
        <v>Proyectos Inmobiliarios</v>
      </c>
    </row>
    <row r="589" spans="1:11" x14ac:dyDescent="0.25">
      <c r="A589" s="58">
        <v>10257204</v>
      </c>
      <c r="B589" s="59" t="s">
        <v>1265</v>
      </c>
      <c r="C589" s="59" t="s">
        <v>1964</v>
      </c>
      <c r="D589" s="59" t="s">
        <v>1665</v>
      </c>
      <c r="E589" s="59" t="s">
        <v>1624</v>
      </c>
      <c r="F589" s="59" t="s">
        <v>1260</v>
      </c>
      <c r="G589" s="59" t="s">
        <v>1661</v>
      </c>
      <c r="H589" s="58" t="s">
        <v>386</v>
      </c>
      <c r="I589" s="59" t="s">
        <v>1666</v>
      </c>
      <c r="J589" t="str">
        <f t="shared" si="20"/>
        <v>10257204 - Condominio Manuel Jesus Rivera 2-Proyecto</v>
      </c>
      <c r="K589" t="str">
        <f t="shared" si="21"/>
        <v>Proyectos Inmobiliarios</v>
      </c>
    </row>
    <row r="590" spans="1:11" x14ac:dyDescent="0.25">
      <c r="A590" s="58">
        <v>10257301</v>
      </c>
      <c r="B590" s="59" t="s">
        <v>1266</v>
      </c>
      <c r="C590" s="59" t="s">
        <v>1964</v>
      </c>
      <c r="D590" s="59" t="s">
        <v>1665</v>
      </c>
      <c r="E590" s="59" t="s">
        <v>1643</v>
      </c>
      <c r="F590" s="59" t="s">
        <v>1260</v>
      </c>
      <c r="G590" s="59" t="s">
        <v>1667</v>
      </c>
      <c r="H590" s="58" t="s">
        <v>386</v>
      </c>
      <c r="I590" s="59" t="s">
        <v>1666</v>
      </c>
      <c r="J590" t="str">
        <f t="shared" si="20"/>
        <v>10257301 - Condominio Manuel Jesus Rivera 2-GAF</v>
      </c>
      <c r="K590" t="str">
        <f t="shared" si="21"/>
        <v>Proyectos Inmobiliarios</v>
      </c>
    </row>
    <row r="591" spans="1:11" x14ac:dyDescent="0.25">
      <c r="A591" s="58">
        <v>10257505</v>
      </c>
      <c r="B591" s="59" t="s">
        <v>1267</v>
      </c>
      <c r="C591" s="59" t="s">
        <v>1964</v>
      </c>
      <c r="D591" s="59" t="s">
        <v>66</v>
      </c>
      <c r="E591" s="59" t="s">
        <v>328</v>
      </c>
      <c r="F591" s="59" t="s">
        <v>1260</v>
      </c>
      <c r="G591" s="59" t="s">
        <v>1661</v>
      </c>
      <c r="H591" s="58" t="s">
        <v>386</v>
      </c>
      <c r="I591" s="59" t="s">
        <v>1666</v>
      </c>
      <c r="J591" t="str">
        <f t="shared" si="20"/>
        <v>10257505 - Condominio Manuel Jesus Rivera 2-PV Inmob.</v>
      </c>
      <c r="K591" t="str">
        <f t="shared" si="21"/>
        <v>Postventa</v>
      </c>
    </row>
    <row r="592" spans="1:11" x14ac:dyDescent="0.25">
      <c r="A592" s="58">
        <v>10257506</v>
      </c>
      <c r="B592" s="59" t="s">
        <v>1268</v>
      </c>
      <c r="C592" s="59" t="s">
        <v>1964</v>
      </c>
      <c r="D592" s="59" t="s">
        <v>1665</v>
      </c>
      <c r="E592" s="59" t="s">
        <v>200</v>
      </c>
      <c r="F592" s="59" t="s">
        <v>1260</v>
      </c>
      <c r="G592" s="59" t="s">
        <v>1661</v>
      </c>
      <c r="H592" s="58" t="s">
        <v>386</v>
      </c>
      <c r="I592" s="59" t="s">
        <v>1666</v>
      </c>
      <c r="J592" t="str">
        <f t="shared" si="20"/>
        <v>10257506 - Condominio Manuel Jesus Rivera 2-Depto.Técnico</v>
      </c>
      <c r="K592" t="str">
        <f t="shared" si="21"/>
        <v>Proyectos Inmobiliarios</v>
      </c>
    </row>
    <row r="593" spans="1:11" x14ac:dyDescent="0.25">
      <c r="A593" s="43">
        <v>308</v>
      </c>
      <c r="B593" t="s">
        <v>1260</v>
      </c>
      <c r="C593" t="s">
        <v>1964</v>
      </c>
      <c r="D593" t="s">
        <v>65</v>
      </c>
      <c r="E593" t="s">
        <v>65</v>
      </c>
      <c r="F593" t="s">
        <v>1260</v>
      </c>
      <c r="G593" t="s">
        <v>1663</v>
      </c>
      <c r="H593" s="43" t="s">
        <v>1672</v>
      </c>
      <c r="I593" t="s">
        <v>1664</v>
      </c>
      <c r="J593" t="str">
        <f t="shared" si="20"/>
        <v>308 - Condominio Manuel Jesus Rivera 2</v>
      </c>
      <c r="K593" t="str">
        <f t="shared" si="21"/>
        <v>Obra</v>
      </c>
    </row>
    <row r="594" spans="1:11" x14ac:dyDescent="0.25">
      <c r="A594" s="56">
        <v>371</v>
      </c>
      <c r="B594" s="57" t="s">
        <v>502</v>
      </c>
      <c r="C594" s="57" t="s">
        <v>1964</v>
      </c>
      <c r="D594" s="57" t="s">
        <v>65</v>
      </c>
      <c r="E594" s="57" t="s">
        <v>65</v>
      </c>
      <c r="F594" s="57" t="s">
        <v>1269</v>
      </c>
      <c r="G594" s="57" t="s">
        <v>1663</v>
      </c>
      <c r="H594" s="56" t="s">
        <v>386</v>
      </c>
      <c r="I594" s="57" t="s">
        <v>1664</v>
      </c>
      <c r="J594" t="str">
        <f t="shared" si="20"/>
        <v>371 - Manuel Jesus Rivera Lote 1 Ltda</v>
      </c>
      <c r="K594" t="str">
        <f t="shared" si="21"/>
        <v>Obra</v>
      </c>
    </row>
    <row r="595" spans="1:11" x14ac:dyDescent="0.25">
      <c r="A595" s="56">
        <v>233</v>
      </c>
      <c r="B595" s="57" t="s">
        <v>1269</v>
      </c>
      <c r="C595" s="57" t="s">
        <v>1964</v>
      </c>
      <c r="D595" s="57" t="s">
        <v>65</v>
      </c>
      <c r="E595" s="57" t="s">
        <v>65</v>
      </c>
      <c r="F595" s="57" t="s">
        <v>1269</v>
      </c>
      <c r="G595" s="57" t="s">
        <v>1663</v>
      </c>
      <c r="H595" s="56" t="s">
        <v>1672</v>
      </c>
      <c r="I595" s="57" t="s">
        <v>1664</v>
      </c>
      <c r="J595" t="str">
        <f t="shared" si="20"/>
        <v>233 - Manuel Jesus Rivera Lote 1</v>
      </c>
      <c r="K595" t="str">
        <f t="shared" si="21"/>
        <v>Obra</v>
      </c>
    </row>
    <row r="596" spans="1:11" x14ac:dyDescent="0.25">
      <c r="A596" s="56">
        <v>10258000</v>
      </c>
      <c r="B596" s="57" t="s">
        <v>1269</v>
      </c>
      <c r="C596" s="57" t="s">
        <v>1964</v>
      </c>
      <c r="D596" s="57" t="s">
        <v>1665</v>
      </c>
      <c r="E596" s="57" t="s">
        <v>1585</v>
      </c>
      <c r="F596" s="57" t="s">
        <v>1269</v>
      </c>
      <c r="G596" s="57" t="s">
        <v>1661</v>
      </c>
      <c r="H596" s="56" t="s">
        <v>386</v>
      </c>
      <c r="I596" s="57" t="s">
        <v>1666</v>
      </c>
      <c r="J596" t="str">
        <f t="shared" si="20"/>
        <v>10258000 - Manuel Jesus Rivera Lote 1</v>
      </c>
      <c r="K596" t="str">
        <f t="shared" si="21"/>
        <v>Proyectos Inmobiliarios</v>
      </c>
    </row>
    <row r="597" spans="1:11" x14ac:dyDescent="0.25">
      <c r="A597" s="56">
        <v>10258102</v>
      </c>
      <c r="B597" s="57" t="s">
        <v>1270</v>
      </c>
      <c r="C597" s="57" t="s">
        <v>1964</v>
      </c>
      <c r="D597" s="57" t="s">
        <v>1665</v>
      </c>
      <c r="E597" s="57" t="s">
        <v>1617</v>
      </c>
      <c r="F597" s="57" t="s">
        <v>1269</v>
      </c>
      <c r="G597" s="57" t="s">
        <v>1661</v>
      </c>
      <c r="H597" s="56" t="s">
        <v>386</v>
      </c>
      <c r="I597" s="57" t="s">
        <v>1666</v>
      </c>
      <c r="J597" t="str">
        <f t="shared" si="20"/>
        <v>10258102 - Manuel Jesus Rivera Lote 1-Marketing</v>
      </c>
      <c r="K597" t="str">
        <f t="shared" si="21"/>
        <v>Proyectos Inmobiliarios</v>
      </c>
    </row>
    <row r="598" spans="1:11" x14ac:dyDescent="0.25">
      <c r="A598" s="56">
        <v>10258103</v>
      </c>
      <c r="B598" s="57" t="s">
        <v>1271</v>
      </c>
      <c r="C598" s="57" t="s">
        <v>1964</v>
      </c>
      <c r="D598" s="57" t="s">
        <v>1665</v>
      </c>
      <c r="E598" s="57" t="s">
        <v>1618</v>
      </c>
      <c r="F598" s="57" t="s">
        <v>1269</v>
      </c>
      <c r="G598" s="57" t="s">
        <v>1661</v>
      </c>
      <c r="H598" s="56" t="s">
        <v>386</v>
      </c>
      <c r="I598" s="57" t="s">
        <v>1666</v>
      </c>
      <c r="J598" t="str">
        <f t="shared" si="20"/>
        <v>10258103 - Manuel Jesus Rivera Lote 1-Operaciones</v>
      </c>
      <c r="K598" t="str">
        <f t="shared" si="21"/>
        <v>Proyectos Inmobiliarios</v>
      </c>
    </row>
    <row r="599" spans="1:11" x14ac:dyDescent="0.25">
      <c r="A599" s="56">
        <v>10258104</v>
      </c>
      <c r="B599" s="57" t="s">
        <v>1272</v>
      </c>
      <c r="C599" s="57" t="s">
        <v>1964</v>
      </c>
      <c r="D599" s="57" t="s">
        <v>1665</v>
      </c>
      <c r="E599" s="57" t="s">
        <v>90</v>
      </c>
      <c r="F599" s="57" t="s">
        <v>1269</v>
      </c>
      <c r="G599" s="57" t="s">
        <v>1661</v>
      </c>
      <c r="H599" s="56" t="s">
        <v>386</v>
      </c>
      <c r="I599" s="57" t="s">
        <v>1666</v>
      </c>
      <c r="J599" t="str">
        <f t="shared" si="20"/>
        <v>10258104 - Manuel Jesus Rivera Lote 1-Ventas</v>
      </c>
      <c r="K599" t="str">
        <f t="shared" si="21"/>
        <v>Proyectos Inmobiliarios</v>
      </c>
    </row>
    <row r="600" spans="1:11" x14ac:dyDescent="0.25">
      <c r="A600" s="56">
        <v>10258105</v>
      </c>
      <c r="B600" s="57" t="s">
        <v>1273</v>
      </c>
      <c r="C600" s="57" t="s">
        <v>1964</v>
      </c>
      <c r="D600" s="57" t="s">
        <v>1665</v>
      </c>
      <c r="E600" s="57" t="s">
        <v>1622</v>
      </c>
      <c r="F600" s="57" t="s">
        <v>1269</v>
      </c>
      <c r="G600" s="57" t="s">
        <v>1661</v>
      </c>
      <c r="H600" s="56" t="s">
        <v>386</v>
      </c>
      <c r="I600" s="57" t="s">
        <v>1666</v>
      </c>
      <c r="J600" t="str">
        <f t="shared" si="20"/>
        <v>10258105 - Manuel Jesus Rivera Lote 1-Clientes</v>
      </c>
      <c r="K600" t="str">
        <f t="shared" si="21"/>
        <v>Proyectos Inmobiliarios</v>
      </c>
    </row>
    <row r="601" spans="1:11" x14ac:dyDescent="0.25">
      <c r="A601" s="56">
        <v>10258204</v>
      </c>
      <c r="B601" s="57" t="s">
        <v>1274</v>
      </c>
      <c r="C601" s="57" t="s">
        <v>1964</v>
      </c>
      <c r="D601" s="57" t="s">
        <v>1665</v>
      </c>
      <c r="E601" s="57" t="s">
        <v>1624</v>
      </c>
      <c r="F601" s="57" t="s">
        <v>1269</v>
      </c>
      <c r="G601" s="57" t="s">
        <v>1661</v>
      </c>
      <c r="H601" s="56" t="s">
        <v>386</v>
      </c>
      <c r="I601" s="57" t="s">
        <v>1666</v>
      </c>
      <c r="J601" t="str">
        <f t="shared" si="20"/>
        <v>10258204 - Manuel Jesus Rivera Lote 1-Proyecto</v>
      </c>
      <c r="K601" t="str">
        <f t="shared" si="21"/>
        <v>Proyectos Inmobiliarios</v>
      </c>
    </row>
    <row r="602" spans="1:11" x14ac:dyDescent="0.25">
      <c r="A602" s="56">
        <v>10258301</v>
      </c>
      <c r="B602" s="57" t="s">
        <v>1275</v>
      </c>
      <c r="C602" s="57" t="s">
        <v>1964</v>
      </c>
      <c r="D602" s="57" t="s">
        <v>1665</v>
      </c>
      <c r="E602" s="57" t="s">
        <v>1643</v>
      </c>
      <c r="F602" s="57" t="s">
        <v>1269</v>
      </c>
      <c r="G602" s="57" t="s">
        <v>1667</v>
      </c>
      <c r="H602" s="56" t="s">
        <v>386</v>
      </c>
      <c r="I602" s="57" t="s">
        <v>1666</v>
      </c>
      <c r="J602" t="str">
        <f t="shared" si="20"/>
        <v>10258301 - Manuel Jesus Rivera Lote 1-GAF</v>
      </c>
      <c r="K602" t="str">
        <f t="shared" si="21"/>
        <v>Proyectos Inmobiliarios</v>
      </c>
    </row>
    <row r="603" spans="1:11" x14ac:dyDescent="0.25">
      <c r="A603" s="56">
        <v>10258505</v>
      </c>
      <c r="B603" s="57" t="s">
        <v>1276</v>
      </c>
      <c r="C603" s="57" t="s">
        <v>1964</v>
      </c>
      <c r="D603" s="57" t="s">
        <v>66</v>
      </c>
      <c r="E603" s="57" t="s">
        <v>328</v>
      </c>
      <c r="F603" s="57" t="s">
        <v>1269</v>
      </c>
      <c r="G603" s="57" t="s">
        <v>1661</v>
      </c>
      <c r="H603" s="56" t="s">
        <v>386</v>
      </c>
      <c r="I603" s="57" t="s">
        <v>1666</v>
      </c>
      <c r="J603" t="str">
        <f t="shared" si="20"/>
        <v>10258505 - Manuel Jesus Rivera Lote 1-PV Inmob.</v>
      </c>
      <c r="K603" t="str">
        <f t="shared" si="21"/>
        <v>Postventa</v>
      </c>
    </row>
    <row r="604" spans="1:11" x14ac:dyDescent="0.25">
      <c r="A604" s="56">
        <v>10258506</v>
      </c>
      <c r="B604" s="57" t="s">
        <v>1277</v>
      </c>
      <c r="C604" s="57" t="s">
        <v>1964</v>
      </c>
      <c r="D604" s="57" t="s">
        <v>1665</v>
      </c>
      <c r="E604" s="57" t="s">
        <v>200</v>
      </c>
      <c r="F604" s="57" t="s">
        <v>1269</v>
      </c>
      <c r="G604" s="57" t="s">
        <v>1661</v>
      </c>
      <c r="H604" s="56" t="s">
        <v>386</v>
      </c>
      <c r="I604" s="57" t="s">
        <v>1666</v>
      </c>
      <c r="J604" t="str">
        <f t="shared" si="20"/>
        <v>10258506 - Manuel Jesus Rivera Lote 1-Depto.Técnico</v>
      </c>
      <c r="K604" t="str">
        <f t="shared" si="21"/>
        <v>Proyectos Inmobiliarios</v>
      </c>
    </row>
    <row r="605" spans="1:11" x14ac:dyDescent="0.25">
      <c r="A605" s="56">
        <v>8233</v>
      </c>
      <c r="B605" s="57" t="s">
        <v>1966</v>
      </c>
      <c r="C605" s="57" t="s">
        <v>1964</v>
      </c>
      <c r="D605" s="57" t="s">
        <v>1686</v>
      </c>
      <c r="E605" s="57" t="s">
        <v>1501</v>
      </c>
      <c r="F605" s="57" t="s">
        <v>1269</v>
      </c>
      <c r="G605" s="57" t="s">
        <v>1661</v>
      </c>
      <c r="H605" s="56" t="s">
        <v>1672</v>
      </c>
      <c r="I605" s="57" t="s">
        <v>1666</v>
      </c>
      <c r="J605" t="str">
        <f t="shared" si="20"/>
        <v>8233 - Entrega Manuel Jesus Rivera Lote 1</v>
      </c>
      <c r="K605" t="str">
        <f t="shared" si="21"/>
        <v>Entrega</v>
      </c>
    </row>
    <row r="606" spans="1:11" x14ac:dyDescent="0.25">
      <c r="A606" s="56">
        <v>9233</v>
      </c>
      <c r="B606" s="57" t="s">
        <v>1967</v>
      </c>
      <c r="C606" s="57" t="s">
        <v>1964</v>
      </c>
      <c r="D606" s="57" t="s">
        <v>66</v>
      </c>
      <c r="E606" s="57" t="s">
        <v>328</v>
      </c>
      <c r="F606" s="57" t="s">
        <v>1269</v>
      </c>
      <c r="G606" s="57" t="s">
        <v>1661</v>
      </c>
      <c r="H606" s="56" t="s">
        <v>1672</v>
      </c>
      <c r="I606" s="57" t="s">
        <v>1666</v>
      </c>
      <c r="J606" t="str">
        <f t="shared" si="20"/>
        <v>9233 - PV Manuel Jesus Rivera Lote 1</v>
      </c>
      <c r="K606" t="str">
        <f t="shared" si="21"/>
        <v>Postventa</v>
      </c>
    </row>
    <row r="607" spans="1:11" x14ac:dyDescent="0.25">
      <c r="A607" s="56">
        <v>8368</v>
      </c>
      <c r="B607" s="57" t="s">
        <v>1968</v>
      </c>
      <c r="C607" s="57" t="s">
        <v>1964</v>
      </c>
      <c r="D607" s="57" t="s">
        <v>1686</v>
      </c>
      <c r="E607" s="57" t="s">
        <v>1501</v>
      </c>
      <c r="F607" s="57" t="s">
        <v>1269</v>
      </c>
      <c r="G607" s="57" t="s">
        <v>1661</v>
      </c>
      <c r="H607" s="56" t="s">
        <v>1672</v>
      </c>
      <c r="I607" s="57" t="s">
        <v>1666</v>
      </c>
      <c r="J607" t="str">
        <f t="shared" si="20"/>
        <v>8368 - Entrega Condominio Manuel Jesus Rivera 2</v>
      </c>
      <c r="K607" t="str">
        <f t="shared" si="21"/>
        <v>Entrega</v>
      </c>
    </row>
    <row r="608" spans="1:11" x14ac:dyDescent="0.25">
      <c r="A608" s="56">
        <v>9368</v>
      </c>
      <c r="B608" s="57" t="s">
        <v>1969</v>
      </c>
      <c r="C608" s="57" t="s">
        <v>1964</v>
      </c>
      <c r="D608" s="57" t="s">
        <v>66</v>
      </c>
      <c r="E608" s="57" t="s">
        <v>328</v>
      </c>
      <c r="F608" s="57" t="s">
        <v>1269</v>
      </c>
      <c r="G608" s="57" t="s">
        <v>1661</v>
      </c>
      <c r="H608" s="56" t="s">
        <v>1672</v>
      </c>
      <c r="I608" s="57" t="s">
        <v>1666</v>
      </c>
      <c r="J608" t="str">
        <f t="shared" si="20"/>
        <v>9368 - PV Condominio Manuel Jesus Rivera 2</v>
      </c>
      <c r="K608" t="str">
        <f t="shared" si="21"/>
        <v>Postventa</v>
      </c>
    </row>
    <row r="609" spans="1:11" x14ac:dyDescent="0.25">
      <c r="A609" s="62">
        <v>1162202</v>
      </c>
      <c r="B609" s="63" t="s">
        <v>777</v>
      </c>
      <c r="C609" s="63" t="s">
        <v>1836</v>
      </c>
      <c r="D609" s="63" t="s">
        <v>1578</v>
      </c>
      <c r="E609" s="63" t="s">
        <v>1578</v>
      </c>
      <c r="F609" s="63" t="s">
        <v>484</v>
      </c>
      <c r="G609" s="63" t="s">
        <v>1661</v>
      </c>
      <c r="H609" s="62" t="s">
        <v>386</v>
      </c>
      <c r="I609" s="63" t="s">
        <v>1662</v>
      </c>
      <c r="J609" t="str">
        <f t="shared" si="20"/>
        <v>1162202 - Terreno Palmas del Sur 2 - Inversiones</v>
      </c>
      <c r="K609" t="str">
        <f t="shared" si="21"/>
        <v>Terreno</v>
      </c>
    </row>
    <row r="610" spans="1:11" x14ac:dyDescent="0.25">
      <c r="A610" s="62">
        <v>303</v>
      </c>
      <c r="B610" s="63" t="s">
        <v>484</v>
      </c>
      <c r="C610" s="63" t="s">
        <v>1836</v>
      </c>
      <c r="D610" s="63" t="s">
        <v>65</v>
      </c>
      <c r="E610" s="63" t="s">
        <v>65</v>
      </c>
      <c r="F610" s="63" t="s">
        <v>484</v>
      </c>
      <c r="G610" s="63" t="s">
        <v>1663</v>
      </c>
      <c r="H610" s="62" t="s">
        <v>386</v>
      </c>
      <c r="I610" s="63" t="s">
        <v>1664</v>
      </c>
      <c r="J610" t="str">
        <f t="shared" si="20"/>
        <v>303 - Condominio Palmas del Sur II</v>
      </c>
      <c r="K610" t="str">
        <f t="shared" si="21"/>
        <v>Obra</v>
      </c>
    </row>
    <row r="611" spans="1:11" x14ac:dyDescent="0.25">
      <c r="A611" s="62">
        <v>8303</v>
      </c>
      <c r="B611" s="63" t="s">
        <v>547</v>
      </c>
      <c r="C611" s="63" t="s">
        <v>1836</v>
      </c>
      <c r="D611" s="63" t="s">
        <v>1686</v>
      </c>
      <c r="E611" s="63" t="s">
        <v>1501</v>
      </c>
      <c r="F611" s="63" t="s">
        <v>484</v>
      </c>
      <c r="G611" s="63" t="s">
        <v>1661</v>
      </c>
      <c r="H611" s="62" t="s">
        <v>386</v>
      </c>
      <c r="I611" s="63" t="s">
        <v>1666</v>
      </c>
      <c r="J611" t="str">
        <f t="shared" si="20"/>
        <v>8303 - Entrega Condominio Palmas del Sur II</v>
      </c>
      <c r="K611" t="str">
        <f t="shared" si="21"/>
        <v>Entrega</v>
      </c>
    </row>
    <row r="612" spans="1:11" x14ac:dyDescent="0.25">
      <c r="A612" s="62">
        <v>9303</v>
      </c>
      <c r="B612" s="63" t="s">
        <v>674</v>
      </c>
      <c r="C612" s="63" t="s">
        <v>1836</v>
      </c>
      <c r="D612" s="63" t="s">
        <v>66</v>
      </c>
      <c r="E612" s="63" t="s">
        <v>328</v>
      </c>
      <c r="F612" s="63" t="s">
        <v>484</v>
      </c>
      <c r="G612" s="63" t="s">
        <v>1661</v>
      </c>
      <c r="H612" s="62" t="s">
        <v>386</v>
      </c>
      <c r="I612" s="63" t="s">
        <v>1666</v>
      </c>
      <c r="J612" t="str">
        <f t="shared" si="20"/>
        <v>9303 - PV Condominio Palmas del Sur II</v>
      </c>
      <c r="K612" t="str">
        <f t="shared" si="21"/>
        <v>Postventa</v>
      </c>
    </row>
    <row r="613" spans="1:11" x14ac:dyDescent="0.25">
      <c r="A613" s="62">
        <v>10167000</v>
      </c>
      <c r="B613" s="63" t="s">
        <v>484</v>
      </c>
      <c r="C613" s="63" t="s">
        <v>1836</v>
      </c>
      <c r="D613" s="63" t="s">
        <v>1665</v>
      </c>
      <c r="E613" s="63" t="s">
        <v>1585</v>
      </c>
      <c r="F613" s="63" t="s">
        <v>484</v>
      </c>
      <c r="G613" s="63" t="s">
        <v>1661</v>
      </c>
      <c r="H613" s="62" t="s">
        <v>386</v>
      </c>
      <c r="I613" s="63" t="s">
        <v>1666</v>
      </c>
      <c r="J613" t="str">
        <f t="shared" si="20"/>
        <v>10167000 - Condominio Palmas del Sur II</v>
      </c>
      <c r="K613" t="str">
        <f t="shared" si="21"/>
        <v>Proyectos Inmobiliarios</v>
      </c>
    </row>
    <row r="614" spans="1:11" x14ac:dyDescent="0.25">
      <c r="A614" s="62">
        <v>10167102</v>
      </c>
      <c r="B614" s="63" t="s">
        <v>807</v>
      </c>
      <c r="C614" s="63" t="s">
        <v>1836</v>
      </c>
      <c r="D614" s="63" t="s">
        <v>1665</v>
      </c>
      <c r="E614" s="63" t="s">
        <v>1617</v>
      </c>
      <c r="F614" s="63" t="s">
        <v>484</v>
      </c>
      <c r="G614" s="63" t="s">
        <v>1661</v>
      </c>
      <c r="H614" s="62" t="s">
        <v>386</v>
      </c>
      <c r="I614" s="63" t="s">
        <v>1666</v>
      </c>
      <c r="J614" t="str">
        <f t="shared" si="20"/>
        <v>10167102 - Condominio Palmas del Sur II-Marketing</v>
      </c>
      <c r="K614" t="str">
        <f t="shared" si="21"/>
        <v>Proyectos Inmobiliarios</v>
      </c>
    </row>
    <row r="615" spans="1:11" x14ac:dyDescent="0.25">
      <c r="A615" s="62">
        <v>10167103</v>
      </c>
      <c r="B615" s="63" t="s">
        <v>808</v>
      </c>
      <c r="C615" s="63" t="s">
        <v>1836</v>
      </c>
      <c r="D615" s="63" t="s">
        <v>1665</v>
      </c>
      <c r="E615" s="63" t="s">
        <v>1618</v>
      </c>
      <c r="F615" s="63" t="s">
        <v>484</v>
      </c>
      <c r="G615" s="63" t="s">
        <v>1661</v>
      </c>
      <c r="H615" s="62" t="s">
        <v>386</v>
      </c>
      <c r="I615" s="63" t="s">
        <v>1666</v>
      </c>
      <c r="J615" t="str">
        <f t="shared" si="20"/>
        <v>10167103 - Condominio Palmas del Sur II-Operaciones</v>
      </c>
      <c r="K615" t="str">
        <f t="shared" si="21"/>
        <v>Proyectos Inmobiliarios</v>
      </c>
    </row>
    <row r="616" spans="1:11" x14ac:dyDescent="0.25">
      <c r="A616" s="62">
        <v>10167104</v>
      </c>
      <c r="B616" s="63" t="s">
        <v>809</v>
      </c>
      <c r="C616" s="63" t="s">
        <v>1836</v>
      </c>
      <c r="D616" s="63" t="s">
        <v>1665</v>
      </c>
      <c r="E616" s="63" t="s">
        <v>90</v>
      </c>
      <c r="F616" s="63" t="s">
        <v>484</v>
      </c>
      <c r="G616" s="63" t="s">
        <v>1661</v>
      </c>
      <c r="H616" s="62" t="s">
        <v>386</v>
      </c>
      <c r="I616" s="63" t="s">
        <v>1666</v>
      </c>
      <c r="J616" t="str">
        <f t="shared" si="20"/>
        <v>10167104 - Condominio Palmas del Sur II-Ventas</v>
      </c>
      <c r="K616" t="str">
        <f t="shared" si="21"/>
        <v>Proyectos Inmobiliarios</v>
      </c>
    </row>
    <row r="617" spans="1:11" x14ac:dyDescent="0.25">
      <c r="A617" s="62">
        <v>10167105</v>
      </c>
      <c r="B617" s="63" t="s">
        <v>810</v>
      </c>
      <c r="C617" s="63" t="s">
        <v>1836</v>
      </c>
      <c r="D617" s="63" t="s">
        <v>1665</v>
      </c>
      <c r="E617" s="63" t="s">
        <v>1622</v>
      </c>
      <c r="F617" s="63" t="s">
        <v>484</v>
      </c>
      <c r="G617" s="63" t="s">
        <v>1661</v>
      </c>
      <c r="H617" s="62" t="s">
        <v>386</v>
      </c>
      <c r="I617" s="63" t="s">
        <v>1666</v>
      </c>
      <c r="J617" t="str">
        <f t="shared" si="20"/>
        <v>10167105 - Condominio Palmas del Sur II-Clientes</v>
      </c>
      <c r="K617" t="str">
        <f t="shared" si="21"/>
        <v>Proyectos Inmobiliarios</v>
      </c>
    </row>
    <row r="618" spans="1:11" x14ac:dyDescent="0.25">
      <c r="A618" s="62">
        <v>10167203</v>
      </c>
      <c r="B618" s="63" t="s">
        <v>811</v>
      </c>
      <c r="C618" s="63" t="s">
        <v>1836</v>
      </c>
      <c r="D618" s="63" t="s">
        <v>1665</v>
      </c>
      <c r="E618" s="63" t="s">
        <v>1624</v>
      </c>
      <c r="F618" s="63" t="s">
        <v>484</v>
      </c>
      <c r="G618" s="63" t="s">
        <v>1661</v>
      </c>
      <c r="H618" s="62" t="s">
        <v>386</v>
      </c>
      <c r="I618" s="63" t="s">
        <v>1666</v>
      </c>
      <c r="J618" t="str">
        <f t="shared" si="20"/>
        <v>10167203 - Condominio Palmas del Sur II-Proyecto</v>
      </c>
      <c r="K618" t="str">
        <f t="shared" si="21"/>
        <v>Proyectos Inmobiliarios</v>
      </c>
    </row>
    <row r="619" spans="1:11" x14ac:dyDescent="0.25">
      <c r="A619" s="62">
        <v>10167301</v>
      </c>
      <c r="B619" s="63" t="s">
        <v>812</v>
      </c>
      <c r="C619" s="63" t="s">
        <v>1836</v>
      </c>
      <c r="D619" s="63" t="s">
        <v>1665</v>
      </c>
      <c r="E619" s="63" t="s">
        <v>1643</v>
      </c>
      <c r="F619" s="63" t="s">
        <v>484</v>
      </c>
      <c r="G619" s="63" t="s">
        <v>1667</v>
      </c>
      <c r="H619" s="62" t="s">
        <v>386</v>
      </c>
      <c r="I619" s="63" t="s">
        <v>1666</v>
      </c>
      <c r="J619" t="str">
        <f t="shared" si="20"/>
        <v>10167301 - Condominio Palmas del Sur II-GAF</v>
      </c>
      <c r="K619" t="str">
        <f t="shared" si="21"/>
        <v>Proyectos Inmobiliarios</v>
      </c>
    </row>
    <row r="620" spans="1:11" x14ac:dyDescent="0.25">
      <c r="A620" s="62">
        <v>10167505</v>
      </c>
      <c r="B620" s="63" t="s">
        <v>813</v>
      </c>
      <c r="C620" s="63" t="s">
        <v>1836</v>
      </c>
      <c r="D620" s="63" t="s">
        <v>66</v>
      </c>
      <c r="E620" s="63" t="s">
        <v>328</v>
      </c>
      <c r="F620" s="63" t="s">
        <v>484</v>
      </c>
      <c r="G620" s="63" t="s">
        <v>1661</v>
      </c>
      <c r="H620" s="62" t="s">
        <v>386</v>
      </c>
      <c r="I620" s="63" t="s">
        <v>1666</v>
      </c>
      <c r="J620" t="str">
        <f t="shared" si="20"/>
        <v>10167505 - Condominio Palmas del Sur II-PV Inmob.</v>
      </c>
      <c r="K620" t="str">
        <f t="shared" si="21"/>
        <v>Postventa</v>
      </c>
    </row>
    <row r="621" spans="1:11" x14ac:dyDescent="0.25">
      <c r="A621" s="62">
        <v>10167506</v>
      </c>
      <c r="B621" s="63" t="s">
        <v>814</v>
      </c>
      <c r="C621" s="63" t="s">
        <v>1836</v>
      </c>
      <c r="D621" s="63" t="s">
        <v>1665</v>
      </c>
      <c r="E621" s="63" t="s">
        <v>200</v>
      </c>
      <c r="F621" s="63" t="s">
        <v>484</v>
      </c>
      <c r="G621" s="63" t="s">
        <v>1661</v>
      </c>
      <c r="H621" s="62" t="s">
        <v>386</v>
      </c>
      <c r="I621" s="63" t="s">
        <v>1666</v>
      </c>
      <c r="J621" t="str">
        <f t="shared" si="20"/>
        <v>10167506 - Condominio Palmas del Sur II-Depto.Técnico</v>
      </c>
      <c r="K621" t="str">
        <f t="shared" si="21"/>
        <v>Proyectos Inmobiliarios</v>
      </c>
    </row>
    <row r="622" spans="1:11" x14ac:dyDescent="0.25">
      <c r="A622" s="78">
        <v>1157202</v>
      </c>
      <c r="B622" s="79" t="s">
        <v>774</v>
      </c>
      <c r="C622" s="79" t="s">
        <v>1670</v>
      </c>
      <c r="D622" s="79" t="s">
        <v>1578</v>
      </c>
      <c r="E622" s="79" t="s">
        <v>1578</v>
      </c>
      <c r="F622" s="79" t="s">
        <v>486</v>
      </c>
      <c r="G622" s="79" t="s">
        <v>1661</v>
      </c>
      <c r="H622" s="78" t="s">
        <v>386</v>
      </c>
      <c r="I622" s="79" t="s">
        <v>1662</v>
      </c>
      <c r="J622" t="str">
        <f t="shared" si="20"/>
        <v>1157202 - Terreno Condominio Parque Del Sur Torre A 145 - Inversiones</v>
      </c>
      <c r="K622" t="str">
        <f t="shared" si="21"/>
        <v>Terreno</v>
      </c>
    </row>
    <row r="623" spans="1:11" x14ac:dyDescent="0.25">
      <c r="A623" s="78">
        <v>8305</v>
      </c>
      <c r="B623" s="79" t="s">
        <v>551</v>
      </c>
      <c r="C623" s="79" t="s">
        <v>1670</v>
      </c>
      <c r="D623" s="79" t="s">
        <v>1686</v>
      </c>
      <c r="E623" s="79" t="s">
        <v>1501</v>
      </c>
      <c r="F623" s="79" t="s">
        <v>1970</v>
      </c>
      <c r="G623" s="79" t="s">
        <v>1661</v>
      </c>
      <c r="H623" s="78" t="s">
        <v>386</v>
      </c>
      <c r="I623" s="79" t="s">
        <v>1666</v>
      </c>
      <c r="J623" t="str">
        <f t="shared" si="20"/>
        <v>8305 - Entrega Condominio Parque del Sur Torre A</v>
      </c>
      <c r="K623" t="str">
        <f t="shared" si="21"/>
        <v>Entrega</v>
      </c>
    </row>
    <row r="624" spans="1:11" x14ac:dyDescent="0.25">
      <c r="A624" s="78">
        <v>9305</v>
      </c>
      <c r="B624" s="79" t="s">
        <v>700</v>
      </c>
      <c r="C624" s="79" t="s">
        <v>1670</v>
      </c>
      <c r="D624" s="79" t="s">
        <v>66</v>
      </c>
      <c r="E624" s="79" t="s">
        <v>328</v>
      </c>
      <c r="F624" s="79" t="s">
        <v>1970</v>
      </c>
      <c r="G624" s="79" t="s">
        <v>1661</v>
      </c>
      <c r="H624" s="78" t="s">
        <v>386</v>
      </c>
      <c r="I624" s="79" t="s">
        <v>1666</v>
      </c>
      <c r="J624" t="str">
        <f t="shared" si="20"/>
        <v>9305 - PV Condominio Parque del Sur Torre A</v>
      </c>
      <c r="K624" t="str">
        <f t="shared" si="21"/>
        <v>Postventa</v>
      </c>
    </row>
    <row r="625" spans="1:11" x14ac:dyDescent="0.25">
      <c r="A625" s="78">
        <v>305</v>
      </c>
      <c r="B625" s="79" t="s">
        <v>486</v>
      </c>
      <c r="C625" s="79" t="s">
        <v>1670</v>
      </c>
      <c r="D625" s="79" t="s">
        <v>65</v>
      </c>
      <c r="E625" s="79" t="s">
        <v>65</v>
      </c>
      <c r="F625" s="79" t="s">
        <v>486</v>
      </c>
      <c r="G625" s="79" t="s">
        <v>1663</v>
      </c>
      <c r="H625" s="78" t="s">
        <v>386</v>
      </c>
      <c r="I625" s="79" t="s">
        <v>1664</v>
      </c>
      <c r="J625" t="str">
        <f t="shared" si="20"/>
        <v>305 - Condominio Parque Del Sur Torre A</v>
      </c>
      <c r="K625" t="str">
        <f t="shared" si="21"/>
        <v>Obra</v>
      </c>
    </row>
    <row r="626" spans="1:11" x14ac:dyDescent="0.25">
      <c r="A626" s="78">
        <v>10305000</v>
      </c>
      <c r="B626" s="79" t="s">
        <v>486</v>
      </c>
      <c r="C626" s="79" t="s">
        <v>1670</v>
      </c>
      <c r="D626" s="79" t="s">
        <v>1665</v>
      </c>
      <c r="E626" s="79" t="s">
        <v>1585</v>
      </c>
      <c r="F626" s="79" t="s">
        <v>486</v>
      </c>
      <c r="G626" s="79" t="s">
        <v>1661</v>
      </c>
      <c r="H626" s="78" t="s">
        <v>386</v>
      </c>
      <c r="I626" s="79" t="s">
        <v>1666</v>
      </c>
      <c r="J626" t="str">
        <f t="shared" si="20"/>
        <v>10305000 - Condominio Parque Del Sur Torre A</v>
      </c>
      <c r="K626" t="str">
        <f t="shared" si="21"/>
        <v>Proyectos Inmobiliarios</v>
      </c>
    </row>
    <row r="627" spans="1:11" x14ac:dyDescent="0.25">
      <c r="A627" s="78">
        <v>10305102</v>
      </c>
      <c r="B627" s="79" t="s">
        <v>1387</v>
      </c>
      <c r="C627" s="79" t="s">
        <v>1670</v>
      </c>
      <c r="D627" s="79" t="s">
        <v>1665</v>
      </c>
      <c r="E627" s="79" t="s">
        <v>1617</v>
      </c>
      <c r="F627" s="79" t="s">
        <v>486</v>
      </c>
      <c r="G627" s="79" t="s">
        <v>1661</v>
      </c>
      <c r="H627" s="78" t="s">
        <v>386</v>
      </c>
      <c r="I627" s="79" t="s">
        <v>1666</v>
      </c>
      <c r="J627" t="str">
        <f t="shared" si="20"/>
        <v>10305102 - Condominio Parque Del Sur Torre A-Marketing</v>
      </c>
      <c r="K627" t="str">
        <f t="shared" si="21"/>
        <v>Proyectos Inmobiliarios</v>
      </c>
    </row>
    <row r="628" spans="1:11" x14ac:dyDescent="0.25">
      <c r="A628" s="78">
        <v>10305103</v>
      </c>
      <c r="B628" s="79" t="s">
        <v>1388</v>
      </c>
      <c r="C628" s="79" t="s">
        <v>1670</v>
      </c>
      <c r="D628" s="79" t="s">
        <v>1665</v>
      </c>
      <c r="E628" s="79" t="s">
        <v>1618</v>
      </c>
      <c r="F628" s="79" t="s">
        <v>486</v>
      </c>
      <c r="G628" s="79" t="s">
        <v>1661</v>
      </c>
      <c r="H628" s="78" t="s">
        <v>386</v>
      </c>
      <c r="I628" s="79" t="s">
        <v>1666</v>
      </c>
      <c r="J628" t="str">
        <f t="shared" si="20"/>
        <v>10305103 - Condominio Parque Del Sur Torre A-Operaciones</v>
      </c>
      <c r="K628" t="str">
        <f t="shared" si="21"/>
        <v>Proyectos Inmobiliarios</v>
      </c>
    </row>
    <row r="629" spans="1:11" x14ac:dyDescent="0.25">
      <c r="A629" s="78">
        <v>10305104</v>
      </c>
      <c r="B629" s="79" t="s">
        <v>1389</v>
      </c>
      <c r="C629" s="79" t="s">
        <v>1670</v>
      </c>
      <c r="D629" s="79" t="s">
        <v>1665</v>
      </c>
      <c r="E629" s="79" t="s">
        <v>90</v>
      </c>
      <c r="F629" s="79" t="s">
        <v>486</v>
      </c>
      <c r="G629" s="79" t="s">
        <v>1661</v>
      </c>
      <c r="H629" s="78" t="s">
        <v>386</v>
      </c>
      <c r="I629" s="79" t="s">
        <v>1666</v>
      </c>
      <c r="J629" t="str">
        <f t="shared" si="20"/>
        <v>10305104 - Condominio Parque Del Sur Torre A-Ventas</v>
      </c>
      <c r="K629" t="str">
        <f t="shared" si="21"/>
        <v>Proyectos Inmobiliarios</v>
      </c>
    </row>
    <row r="630" spans="1:11" x14ac:dyDescent="0.25">
      <c r="A630" s="78">
        <v>10305105</v>
      </c>
      <c r="B630" s="79" t="s">
        <v>1390</v>
      </c>
      <c r="C630" s="79" t="s">
        <v>1670</v>
      </c>
      <c r="D630" s="79" t="s">
        <v>1665</v>
      </c>
      <c r="E630" s="79" t="s">
        <v>1622</v>
      </c>
      <c r="F630" s="79" t="s">
        <v>486</v>
      </c>
      <c r="G630" s="79" t="s">
        <v>1661</v>
      </c>
      <c r="H630" s="78" t="s">
        <v>386</v>
      </c>
      <c r="I630" s="79" t="s">
        <v>1666</v>
      </c>
      <c r="J630" t="str">
        <f t="shared" si="20"/>
        <v>10305105 - Condominio Parque Del Sur Torre A-Clientes</v>
      </c>
      <c r="K630" t="str">
        <f t="shared" si="21"/>
        <v>Proyectos Inmobiliarios</v>
      </c>
    </row>
    <row r="631" spans="1:11" x14ac:dyDescent="0.25">
      <c r="A631" s="78">
        <v>10305204</v>
      </c>
      <c r="B631" s="79" t="s">
        <v>1391</v>
      </c>
      <c r="C631" s="79" t="s">
        <v>1670</v>
      </c>
      <c r="D631" s="79" t="s">
        <v>1665</v>
      </c>
      <c r="E631" s="79" t="s">
        <v>1624</v>
      </c>
      <c r="F631" s="79" t="s">
        <v>486</v>
      </c>
      <c r="G631" s="79" t="s">
        <v>1661</v>
      </c>
      <c r="H631" s="78" t="s">
        <v>386</v>
      </c>
      <c r="I631" s="79" t="s">
        <v>1666</v>
      </c>
      <c r="J631" t="str">
        <f t="shared" si="20"/>
        <v>10305204 - Condominio Parque Del Sur Torre A-Proyecto</v>
      </c>
      <c r="K631" t="str">
        <f t="shared" si="21"/>
        <v>Proyectos Inmobiliarios</v>
      </c>
    </row>
    <row r="632" spans="1:11" x14ac:dyDescent="0.25">
      <c r="A632" s="78">
        <v>10305301</v>
      </c>
      <c r="B632" s="79" t="s">
        <v>1392</v>
      </c>
      <c r="C632" s="79" t="s">
        <v>1670</v>
      </c>
      <c r="D632" s="79" t="s">
        <v>1665</v>
      </c>
      <c r="E632" s="79" t="s">
        <v>1643</v>
      </c>
      <c r="F632" s="79" t="s">
        <v>486</v>
      </c>
      <c r="G632" s="79" t="s">
        <v>1667</v>
      </c>
      <c r="H632" s="78" t="s">
        <v>386</v>
      </c>
      <c r="I632" s="79" t="s">
        <v>1666</v>
      </c>
      <c r="J632" t="str">
        <f t="shared" si="20"/>
        <v>10305301 - Condominio Parque Del Sur Torre A-GAF</v>
      </c>
      <c r="K632" t="str">
        <f t="shared" si="21"/>
        <v>Proyectos Inmobiliarios</v>
      </c>
    </row>
    <row r="633" spans="1:11" x14ac:dyDescent="0.25">
      <c r="A633" s="78">
        <v>10305505</v>
      </c>
      <c r="B633" s="79" t="s">
        <v>1393</v>
      </c>
      <c r="C633" s="79" t="s">
        <v>1670</v>
      </c>
      <c r="D633" s="79" t="s">
        <v>66</v>
      </c>
      <c r="E633" s="79" t="s">
        <v>328</v>
      </c>
      <c r="F633" s="79" t="s">
        <v>486</v>
      </c>
      <c r="G633" s="79" t="s">
        <v>1661</v>
      </c>
      <c r="H633" s="78" t="s">
        <v>386</v>
      </c>
      <c r="I633" s="79" t="s">
        <v>1666</v>
      </c>
      <c r="J633" t="str">
        <f t="shared" si="20"/>
        <v>10305505 - Condominio Parque Del Sur Torre A-PV Inmob.</v>
      </c>
      <c r="K633" t="str">
        <f t="shared" si="21"/>
        <v>Postventa</v>
      </c>
    </row>
    <row r="634" spans="1:11" x14ac:dyDescent="0.25">
      <c r="A634" s="78">
        <v>10305506</v>
      </c>
      <c r="B634" s="79" t="s">
        <v>1394</v>
      </c>
      <c r="C634" s="79" t="s">
        <v>1670</v>
      </c>
      <c r="D634" s="79" t="s">
        <v>1665</v>
      </c>
      <c r="E634" s="79" t="s">
        <v>200</v>
      </c>
      <c r="F634" s="79" t="s">
        <v>486</v>
      </c>
      <c r="G634" s="79" t="s">
        <v>1661</v>
      </c>
      <c r="H634" s="78" t="s">
        <v>386</v>
      </c>
      <c r="I634" s="79" t="s">
        <v>1666</v>
      </c>
      <c r="J634" t="str">
        <f t="shared" si="20"/>
        <v>10305506 - Condominio Parque Del Sur Torre A-Depto.Técnico</v>
      </c>
      <c r="K634" t="str">
        <f t="shared" si="21"/>
        <v>Proyectos Inmobiliarios</v>
      </c>
    </row>
    <row r="635" spans="1:11" x14ac:dyDescent="0.25">
      <c r="A635" s="78">
        <v>365</v>
      </c>
      <c r="B635" s="79" t="s">
        <v>1476</v>
      </c>
      <c r="C635" s="79" t="s">
        <v>1670</v>
      </c>
      <c r="D635" s="79" t="s">
        <v>65</v>
      </c>
      <c r="E635" s="79" t="s">
        <v>65</v>
      </c>
      <c r="F635" s="79" t="s">
        <v>1476</v>
      </c>
      <c r="G635" s="79" t="s">
        <v>1663</v>
      </c>
      <c r="H635" s="78" t="s">
        <v>1672</v>
      </c>
      <c r="I635" s="79" t="s">
        <v>1664</v>
      </c>
      <c r="J635" t="str">
        <f t="shared" si="20"/>
        <v>365 - Condominio Parque Del Sur Torre B</v>
      </c>
      <c r="K635" t="str">
        <f t="shared" si="21"/>
        <v>Obra</v>
      </c>
    </row>
    <row r="636" spans="1:11" x14ac:dyDescent="0.25">
      <c r="A636" s="78">
        <v>366</v>
      </c>
      <c r="B636" s="79" t="s">
        <v>1485</v>
      </c>
      <c r="C636" s="79" t="s">
        <v>1670</v>
      </c>
      <c r="D636" s="79" t="s">
        <v>65</v>
      </c>
      <c r="E636" s="79" t="s">
        <v>65</v>
      </c>
      <c r="F636" s="79" t="s">
        <v>1485</v>
      </c>
      <c r="G636" s="79" t="s">
        <v>1663</v>
      </c>
      <c r="H636" s="78" t="s">
        <v>1672</v>
      </c>
      <c r="I636" s="79" t="s">
        <v>1664</v>
      </c>
      <c r="J636" t="str">
        <f t="shared" si="20"/>
        <v>366 - Condominio Parque Del Sur Torre C</v>
      </c>
      <c r="K636" t="str">
        <f t="shared" si="21"/>
        <v>Obra</v>
      </c>
    </row>
    <row r="637" spans="1:11" x14ac:dyDescent="0.25">
      <c r="A637" s="56">
        <v>999999999</v>
      </c>
      <c r="B637" s="57" t="s">
        <v>1684</v>
      </c>
      <c r="C637" s="57"/>
      <c r="D637" s="57" t="s">
        <v>1578</v>
      </c>
      <c r="E637" s="57" t="s">
        <v>1578</v>
      </c>
      <c r="F637" s="57" t="s">
        <v>1971</v>
      </c>
      <c r="G637" s="57" t="s">
        <v>1661</v>
      </c>
      <c r="H637" s="56" t="s">
        <v>1672</v>
      </c>
      <c r="I637" s="57" t="s">
        <v>1662</v>
      </c>
      <c r="J637" t="str">
        <f t="shared" si="20"/>
        <v>999999999 - Terreno Abuelo Proyectos sin Terreno</v>
      </c>
      <c r="K637" t="str">
        <f t="shared" si="21"/>
        <v>Terreno</v>
      </c>
    </row>
    <row r="638" spans="1:11" x14ac:dyDescent="0.25">
      <c r="A638" s="56">
        <v>30</v>
      </c>
      <c r="B638" s="57" t="s">
        <v>1971</v>
      </c>
      <c r="C638" s="57" t="s">
        <v>1836</v>
      </c>
      <c r="D638" s="57" t="s">
        <v>65</v>
      </c>
      <c r="E638" s="57" t="s">
        <v>65</v>
      </c>
      <c r="F638" s="57" t="s">
        <v>1971</v>
      </c>
      <c r="G638" s="57" t="s">
        <v>1663</v>
      </c>
      <c r="H638" s="56" t="s">
        <v>1672</v>
      </c>
      <c r="I638" s="57" t="s">
        <v>1664</v>
      </c>
      <c r="J638" t="str">
        <f t="shared" si="20"/>
        <v>30 - Consistorial Ma Elena</v>
      </c>
      <c r="K638" t="str">
        <f t="shared" si="21"/>
        <v>Obra</v>
      </c>
    </row>
    <row r="639" spans="1:11" x14ac:dyDescent="0.25">
      <c r="A639" s="56">
        <v>9030</v>
      </c>
      <c r="B639" s="57" t="s">
        <v>579</v>
      </c>
      <c r="C639" s="57" t="s">
        <v>1836</v>
      </c>
      <c r="D639" s="57" t="s">
        <v>66</v>
      </c>
      <c r="E639" s="57" t="s">
        <v>328</v>
      </c>
      <c r="F639" s="57" t="s">
        <v>1971</v>
      </c>
      <c r="G639" s="57" t="s">
        <v>1661</v>
      </c>
      <c r="H639" s="56" t="s">
        <v>386</v>
      </c>
      <c r="I639" s="57" t="s">
        <v>1666</v>
      </c>
      <c r="J639" t="str">
        <f t="shared" si="20"/>
        <v>9030 - PV Consistorial Ma Elena</v>
      </c>
      <c r="K639" t="str">
        <f t="shared" si="21"/>
        <v>Postventa</v>
      </c>
    </row>
    <row r="640" spans="1:11" x14ac:dyDescent="0.25">
      <c r="A640" s="48">
        <v>999999999</v>
      </c>
      <c r="B640" s="49" t="s">
        <v>1684</v>
      </c>
      <c r="C640" s="49"/>
      <c r="D640" s="49" t="s">
        <v>1578</v>
      </c>
      <c r="E640" s="49" t="s">
        <v>1578</v>
      </c>
      <c r="F640" s="49" t="s">
        <v>1972</v>
      </c>
      <c r="G640" s="49" t="s">
        <v>1661</v>
      </c>
      <c r="H640" s="48" t="s">
        <v>1672</v>
      </c>
      <c r="I640" s="49" t="s">
        <v>1662</v>
      </c>
      <c r="J640" t="str">
        <f t="shared" si="20"/>
        <v>999999999 - Terreno Abuelo Proyectos sin Terreno</v>
      </c>
      <c r="K640" t="str">
        <f t="shared" si="21"/>
        <v>Terreno</v>
      </c>
    </row>
    <row r="641" spans="1:11" x14ac:dyDescent="0.25">
      <c r="A641" s="48">
        <v>8</v>
      </c>
      <c r="B641" s="49" t="s">
        <v>1972</v>
      </c>
      <c r="C641" s="49" t="s">
        <v>1670</v>
      </c>
      <c r="D641" s="49" t="s">
        <v>65</v>
      </c>
      <c r="E641" s="49" t="s">
        <v>65</v>
      </c>
      <c r="F641" s="49" t="s">
        <v>1972</v>
      </c>
      <c r="G641" s="49" t="s">
        <v>1663</v>
      </c>
      <c r="H641" s="48" t="s">
        <v>1672</v>
      </c>
      <c r="I641" s="49" t="s">
        <v>1664</v>
      </c>
      <c r="J641" t="str">
        <f t="shared" si="20"/>
        <v>8 - Consultorio Andes</v>
      </c>
      <c r="K641" t="str">
        <f t="shared" si="21"/>
        <v>Obra</v>
      </c>
    </row>
    <row r="642" spans="1:11" x14ac:dyDescent="0.25">
      <c r="A642" s="48">
        <v>9008</v>
      </c>
      <c r="B642" s="49" t="s">
        <v>559</v>
      </c>
      <c r="C642" s="49" t="s">
        <v>1670</v>
      </c>
      <c r="D642" s="49" t="s">
        <v>66</v>
      </c>
      <c r="E642" s="49" t="s">
        <v>328</v>
      </c>
      <c r="F642" s="49" t="s">
        <v>1972</v>
      </c>
      <c r="G642" s="49" t="s">
        <v>1661</v>
      </c>
      <c r="H642" s="48" t="s">
        <v>386</v>
      </c>
      <c r="I642" s="49" t="s">
        <v>1666</v>
      </c>
      <c r="J642" t="str">
        <f t="shared" si="20"/>
        <v>9008 - PV Consul. Andes</v>
      </c>
      <c r="K642" t="str">
        <f t="shared" si="21"/>
        <v>Postventa</v>
      </c>
    </row>
    <row r="643" spans="1:11" x14ac:dyDescent="0.25">
      <c r="A643" s="50">
        <v>999999999</v>
      </c>
      <c r="B643" s="51" t="s">
        <v>1684</v>
      </c>
      <c r="C643" s="51"/>
      <c r="D643" s="51" t="s">
        <v>1578</v>
      </c>
      <c r="E643" s="51" t="s">
        <v>1578</v>
      </c>
      <c r="F643" s="51" t="s">
        <v>1973</v>
      </c>
      <c r="G643" s="51" t="s">
        <v>1661</v>
      </c>
      <c r="H643" s="50" t="s">
        <v>1672</v>
      </c>
      <c r="I643" s="51" t="s">
        <v>1662</v>
      </c>
      <c r="J643" t="str">
        <f t="shared" si="20"/>
        <v>999999999 - Terreno Abuelo Proyectos sin Terreno</v>
      </c>
      <c r="K643" t="str">
        <f t="shared" si="21"/>
        <v>Terreno</v>
      </c>
    </row>
    <row r="644" spans="1:11" x14ac:dyDescent="0.25">
      <c r="A644" s="50">
        <v>999</v>
      </c>
      <c r="B644" s="51" t="s">
        <v>1808</v>
      </c>
      <c r="C644" s="51"/>
      <c r="D644" s="51" t="s">
        <v>65</v>
      </c>
      <c r="E644" s="51" t="s">
        <v>65</v>
      </c>
      <c r="F644" s="51" t="s">
        <v>1973</v>
      </c>
      <c r="G644" s="51" t="s">
        <v>1663</v>
      </c>
      <c r="H644" s="50" t="s">
        <v>1672</v>
      </c>
      <c r="I644" s="51" t="s">
        <v>1664</v>
      </c>
      <c r="J644" t="str">
        <f t="shared" ref="J644:J707" si="22">+A644&amp;" - "&amp;B644</f>
        <v>999 - Obra Padre Proyectos sin Obra</v>
      </c>
      <c r="K644" t="str">
        <f t="shared" ref="K644:K707" si="23">+D644</f>
        <v>Obra</v>
      </c>
    </row>
    <row r="645" spans="1:11" x14ac:dyDescent="0.25">
      <c r="A645" s="50">
        <v>9009</v>
      </c>
      <c r="B645" s="51" t="s">
        <v>560</v>
      </c>
      <c r="C645" s="51" t="s">
        <v>1670</v>
      </c>
      <c r="D645" s="51" t="s">
        <v>66</v>
      </c>
      <c r="E645" s="51" t="s">
        <v>328</v>
      </c>
      <c r="F645" s="51" t="s">
        <v>1973</v>
      </c>
      <c r="G645" s="51" t="s">
        <v>1661</v>
      </c>
      <c r="H645" s="50" t="s">
        <v>386</v>
      </c>
      <c r="I645" s="51" t="s">
        <v>1666</v>
      </c>
      <c r="J645" t="str">
        <f t="shared" si="22"/>
        <v>9009 - PV Consul. San Rafael</v>
      </c>
      <c r="K645" t="str">
        <f t="shared" si="23"/>
        <v>Postventa</v>
      </c>
    </row>
    <row r="646" spans="1:11" x14ac:dyDescent="0.25">
      <c r="A646" s="58">
        <v>999999999</v>
      </c>
      <c r="B646" s="59" t="s">
        <v>1684</v>
      </c>
      <c r="C646" s="59"/>
      <c r="D646" s="59" t="s">
        <v>1578</v>
      </c>
      <c r="E646" s="59" t="s">
        <v>1578</v>
      </c>
      <c r="F646" s="59" t="s">
        <v>1974</v>
      </c>
      <c r="G646" s="59" t="s">
        <v>1661</v>
      </c>
      <c r="H646" s="58" t="s">
        <v>1672</v>
      </c>
      <c r="I646" s="59" t="s">
        <v>1662</v>
      </c>
      <c r="J646" t="str">
        <f t="shared" si="22"/>
        <v>999999999 - Terreno Abuelo Proyectos sin Terreno</v>
      </c>
      <c r="K646" t="str">
        <f t="shared" si="23"/>
        <v>Terreno</v>
      </c>
    </row>
    <row r="647" spans="1:11" x14ac:dyDescent="0.25">
      <c r="A647" s="58">
        <v>33</v>
      </c>
      <c r="B647" s="59" t="s">
        <v>1974</v>
      </c>
      <c r="C647" s="59" t="s">
        <v>1670</v>
      </c>
      <c r="D647" s="59" t="s">
        <v>65</v>
      </c>
      <c r="E647" s="59" t="s">
        <v>65</v>
      </c>
      <c r="F647" s="59" t="s">
        <v>1974</v>
      </c>
      <c r="G647" s="59" t="s">
        <v>1663</v>
      </c>
      <c r="H647" s="58" t="s">
        <v>1672</v>
      </c>
      <c r="I647" s="59" t="s">
        <v>1664</v>
      </c>
      <c r="J647" t="str">
        <f t="shared" si="22"/>
        <v>33 - Consultorio Laurita Vic</v>
      </c>
      <c r="K647" t="str">
        <f t="shared" si="23"/>
        <v>Obra</v>
      </c>
    </row>
    <row r="648" spans="1:11" x14ac:dyDescent="0.25">
      <c r="A648" s="58">
        <v>9033</v>
      </c>
      <c r="B648" s="59" t="s">
        <v>582</v>
      </c>
      <c r="C648" s="59" t="s">
        <v>1670</v>
      </c>
      <c r="D648" s="59" t="s">
        <v>66</v>
      </c>
      <c r="E648" s="59" t="s">
        <v>328</v>
      </c>
      <c r="F648" s="59" t="s">
        <v>1974</v>
      </c>
      <c r="G648" s="59" t="s">
        <v>1661</v>
      </c>
      <c r="H648" s="58" t="s">
        <v>386</v>
      </c>
      <c r="I648" s="59" t="s">
        <v>1666</v>
      </c>
      <c r="J648" t="str">
        <f t="shared" si="22"/>
        <v>9033 - PV Consultorio Laurita Vic</v>
      </c>
      <c r="K648" t="str">
        <f t="shared" si="23"/>
        <v>Postventa</v>
      </c>
    </row>
    <row r="649" spans="1:11" x14ac:dyDescent="0.25">
      <c r="A649" s="50">
        <v>999999999</v>
      </c>
      <c r="B649" s="51" t="s">
        <v>1684</v>
      </c>
      <c r="C649" s="51"/>
      <c r="D649" s="51" t="s">
        <v>1578</v>
      </c>
      <c r="E649" s="51" t="s">
        <v>1578</v>
      </c>
      <c r="F649" s="51" t="s">
        <v>1975</v>
      </c>
      <c r="G649" s="51" t="s">
        <v>1661</v>
      </c>
      <c r="H649" s="50" t="s">
        <v>1672</v>
      </c>
      <c r="I649" s="51" t="s">
        <v>1662</v>
      </c>
      <c r="J649" t="str">
        <f t="shared" si="22"/>
        <v>999999999 - Terreno Abuelo Proyectos sin Terreno</v>
      </c>
      <c r="K649" t="str">
        <f t="shared" si="23"/>
        <v>Terreno</v>
      </c>
    </row>
    <row r="650" spans="1:11" x14ac:dyDescent="0.25">
      <c r="A650" s="50">
        <v>999</v>
      </c>
      <c r="B650" s="51" t="s">
        <v>1808</v>
      </c>
      <c r="C650" s="51"/>
      <c r="D650" s="51" t="s">
        <v>65</v>
      </c>
      <c r="E650" s="51" t="s">
        <v>65</v>
      </c>
      <c r="F650" s="51" t="s">
        <v>1975</v>
      </c>
      <c r="G650" s="51" t="s">
        <v>1663</v>
      </c>
      <c r="H650" s="50" t="s">
        <v>1672</v>
      </c>
      <c r="I650" s="51" t="s">
        <v>1664</v>
      </c>
      <c r="J650" t="str">
        <f t="shared" si="22"/>
        <v>999 - Obra Padre Proyectos sin Obra</v>
      </c>
      <c r="K650" t="str">
        <f t="shared" si="23"/>
        <v>Obra</v>
      </c>
    </row>
    <row r="651" spans="1:11" x14ac:dyDescent="0.25">
      <c r="A651" s="50">
        <v>9919</v>
      </c>
      <c r="B651" s="51" t="s">
        <v>695</v>
      </c>
      <c r="C651" s="51" t="s">
        <v>1670</v>
      </c>
      <c r="D651" s="51" t="s">
        <v>66</v>
      </c>
      <c r="E651" s="51" t="s">
        <v>328</v>
      </c>
      <c r="F651" s="51" t="s">
        <v>1975</v>
      </c>
      <c r="G651" s="51" t="s">
        <v>1661</v>
      </c>
      <c r="H651" s="50" t="s">
        <v>386</v>
      </c>
      <c r="I651" s="51" t="s">
        <v>1666</v>
      </c>
      <c r="J651" t="str">
        <f t="shared" si="22"/>
        <v>9919 - PV Consultorio Pudahuel</v>
      </c>
      <c r="K651" t="str">
        <f t="shared" si="23"/>
        <v>Postventa</v>
      </c>
    </row>
    <row r="652" spans="1:11" x14ac:dyDescent="0.25">
      <c r="A652" s="56">
        <v>999999999</v>
      </c>
      <c r="B652" s="57" t="s">
        <v>1684</v>
      </c>
      <c r="C652" s="57"/>
      <c r="D652" s="57" t="s">
        <v>1578</v>
      </c>
      <c r="E652" s="57" t="s">
        <v>1578</v>
      </c>
      <c r="F652" s="57" t="s">
        <v>1976</v>
      </c>
      <c r="G652" s="57" t="s">
        <v>1661</v>
      </c>
      <c r="H652" s="56" t="s">
        <v>1672</v>
      </c>
      <c r="I652" s="57" t="s">
        <v>1662</v>
      </c>
      <c r="J652" t="str">
        <f t="shared" si="22"/>
        <v>999999999 - Terreno Abuelo Proyectos sin Terreno</v>
      </c>
      <c r="K652" t="str">
        <f t="shared" si="23"/>
        <v>Terreno</v>
      </c>
    </row>
    <row r="653" spans="1:11" x14ac:dyDescent="0.25">
      <c r="A653" s="56">
        <v>9</v>
      </c>
      <c r="B653" s="57" t="s">
        <v>1976</v>
      </c>
      <c r="C653" s="57" t="s">
        <v>1670</v>
      </c>
      <c r="D653" s="57" t="s">
        <v>65</v>
      </c>
      <c r="E653" s="57" t="s">
        <v>65</v>
      </c>
      <c r="F653" s="57" t="s">
        <v>1976</v>
      </c>
      <c r="G653" s="57" t="s">
        <v>1663</v>
      </c>
      <c r="H653" s="56" t="s">
        <v>1672</v>
      </c>
      <c r="I653" s="57" t="s">
        <v>1664</v>
      </c>
      <c r="J653" t="str">
        <f t="shared" si="22"/>
        <v>9 - Consultorio San Rafael</v>
      </c>
      <c r="K653" t="str">
        <f t="shared" si="23"/>
        <v>Obra</v>
      </c>
    </row>
    <row r="654" spans="1:11" x14ac:dyDescent="0.25">
      <c r="A654" s="48">
        <v>999999999</v>
      </c>
      <c r="B654" s="49" t="s">
        <v>1684</v>
      </c>
      <c r="C654" s="49"/>
      <c r="D654" s="49" t="s">
        <v>1578</v>
      </c>
      <c r="E654" s="49" t="s">
        <v>1578</v>
      </c>
      <c r="F654" s="49" t="s">
        <v>1977</v>
      </c>
      <c r="G654" s="49" t="s">
        <v>1661</v>
      </c>
      <c r="H654" s="48" t="s">
        <v>1672</v>
      </c>
      <c r="I654" s="49" t="s">
        <v>1662</v>
      </c>
      <c r="J654" t="str">
        <f t="shared" si="22"/>
        <v>999999999 - Terreno Abuelo Proyectos sin Terreno</v>
      </c>
      <c r="K654" t="str">
        <f t="shared" si="23"/>
        <v>Terreno</v>
      </c>
    </row>
    <row r="655" spans="1:11" x14ac:dyDescent="0.25">
      <c r="A655" s="48">
        <v>999</v>
      </c>
      <c r="B655" s="49" t="s">
        <v>1808</v>
      </c>
      <c r="C655" s="49"/>
      <c r="D655" s="49" t="s">
        <v>65</v>
      </c>
      <c r="E655" s="49" t="s">
        <v>65</v>
      </c>
      <c r="F655" s="49" t="s">
        <v>1977</v>
      </c>
      <c r="G655" s="49" t="s">
        <v>1663</v>
      </c>
      <c r="H655" s="48" t="s">
        <v>1672</v>
      </c>
      <c r="I655" s="49" t="s">
        <v>1664</v>
      </c>
      <c r="J655" t="str">
        <f t="shared" si="22"/>
        <v>999 - Obra Padre Proyectos sin Obra</v>
      </c>
      <c r="K655" t="str">
        <f t="shared" si="23"/>
        <v>Obra</v>
      </c>
    </row>
    <row r="656" spans="1:11" x14ac:dyDescent="0.25">
      <c r="A656" s="48">
        <v>9920</v>
      </c>
      <c r="B656" s="49" t="s">
        <v>696</v>
      </c>
      <c r="C656" s="49" t="s">
        <v>1670</v>
      </c>
      <c r="D656" s="49" t="s">
        <v>66</v>
      </c>
      <c r="E656" s="49" t="s">
        <v>328</v>
      </c>
      <c r="F656" s="49" t="s">
        <v>1977</v>
      </c>
      <c r="G656" s="49" t="s">
        <v>1661</v>
      </c>
      <c r="H656" s="48" t="s">
        <v>386</v>
      </c>
      <c r="I656" s="49" t="s">
        <v>1666</v>
      </c>
      <c r="J656" t="str">
        <f t="shared" si="22"/>
        <v>9920 - PV Consultorio Santa Amalia</v>
      </c>
      <c r="K656" t="str">
        <f t="shared" si="23"/>
        <v>Postventa</v>
      </c>
    </row>
    <row r="657" spans="1:11" x14ac:dyDescent="0.25">
      <c r="A657" s="58">
        <v>999999999</v>
      </c>
      <c r="B657" s="59" t="s">
        <v>1684</v>
      </c>
      <c r="C657" s="59"/>
      <c r="D657" s="59" t="s">
        <v>1578</v>
      </c>
      <c r="E657" s="59" t="s">
        <v>1578</v>
      </c>
      <c r="F657" s="59" t="s">
        <v>1978</v>
      </c>
      <c r="G657" s="59" t="s">
        <v>1661</v>
      </c>
      <c r="H657" s="58" t="s">
        <v>1672</v>
      </c>
      <c r="I657" s="59" t="s">
        <v>1662</v>
      </c>
      <c r="J657" t="str">
        <f t="shared" si="22"/>
        <v>999999999 - Terreno Abuelo Proyectos sin Terreno</v>
      </c>
      <c r="K657" t="str">
        <f t="shared" si="23"/>
        <v>Terreno</v>
      </c>
    </row>
    <row r="658" spans="1:11" x14ac:dyDescent="0.25">
      <c r="A658" s="58">
        <v>32</v>
      </c>
      <c r="B658" s="59" t="s">
        <v>1978</v>
      </c>
      <c r="C658" s="59" t="s">
        <v>1670</v>
      </c>
      <c r="D658" s="59" t="s">
        <v>65</v>
      </c>
      <c r="E658" s="59" t="s">
        <v>65</v>
      </c>
      <c r="F658" s="59" t="s">
        <v>1978</v>
      </c>
      <c r="G658" s="59" t="s">
        <v>1663</v>
      </c>
      <c r="H658" s="58" t="s">
        <v>1672</v>
      </c>
      <c r="I658" s="59" t="s">
        <v>1664</v>
      </c>
      <c r="J658" t="str">
        <f t="shared" si="22"/>
        <v>32 - Consultorio Sta Anselma</v>
      </c>
      <c r="K658" t="str">
        <f t="shared" si="23"/>
        <v>Obra</v>
      </c>
    </row>
    <row r="659" spans="1:11" x14ac:dyDescent="0.25">
      <c r="A659" s="58">
        <v>9032</v>
      </c>
      <c r="B659" s="59" t="s">
        <v>581</v>
      </c>
      <c r="C659" s="59" t="s">
        <v>1670</v>
      </c>
      <c r="D659" s="59" t="s">
        <v>66</v>
      </c>
      <c r="E659" s="59" t="s">
        <v>328</v>
      </c>
      <c r="F659" s="59" t="s">
        <v>1978</v>
      </c>
      <c r="G659" s="59" t="s">
        <v>1661</v>
      </c>
      <c r="H659" s="58" t="s">
        <v>386</v>
      </c>
      <c r="I659" s="59" t="s">
        <v>1666</v>
      </c>
      <c r="J659" t="str">
        <f t="shared" si="22"/>
        <v>9032 - PV Consultorio Sta Anselma</v>
      </c>
      <c r="K659" t="str">
        <f t="shared" si="23"/>
        <v>Postventa</v>
      </c>
    </row>
    <row r="660" spans="1:11" x14ac:dyDescent="0.25">
      <c r="A660" s="50">
        <v>999999999</v>
      </c>
      <c r="B660" s="51" t="s">
        <v>1684</v>
      </c>
      <c r="C660" s="51"/>
      <c r="D660" s="51" t="s">
        <v>1578</v>
      </c>
      <c r="E660" s="51" t="s">
        <v>1578</v>
      </c>
      <c r="F660" s="51" t="s">
        <v>1979</v>
      </c>
      <c r="G660" s="51" t="s">
        <v>1661</v>
      </c>
      <c r="H660" s="50" t="s">
        <v>1672</v>
      </c>
      <c r="I660" s="51" t="s">
        <v>1662</v>
      </c>
      <c r="J660" t="str">
        <f t="shared" si="22"/>
        <v>999999999 - Terreno Abuelo Proyectos sin Terreno</v>
      </c>
      <c r="K660" t="str">
        <f t="shared" si="23"/>
        <v>Terreno</v>
      </c>
    </row>
    <row r="661" spans="1:11" x14ac:dyDescent="0.25">
      <c r="A661" s="50">
        <v>52</v>
      </c>
      <c r="B661" s="51" t="s">
        <v>1980</v>
      </c>
      <c r="C661" s="51" t="s">
        <v>1660</v>
      </c>
      <c r="D661" s="51" t="s">
        <v>65</v>
      </c>
      <c r="E661" s="51" t="s">
        <v>65</v>
      </c>
      <c r="F661" s="51" t="s">
        <v>1979</v>
      </c>
      <c r="G661" s="51" t="s">
        <v>1663</v>
      </c>
      <c r="H661" s="50" t="s">
        <v>1672</v>
      </c>
      <c r="I661" s="51" t="s">
        <v>1664</v>
      </c>
      <c r="J661" t="str">
        <f t="shared" si="22"/>
        <v>52 - Costa El Águila</v>
      </c>
      <c r="K661" t="str">
        <f t="shared" si="23"/>
        <v>Obra</v>
      </c>
    </row>
    <row r="662" spans="1:11" x14ac:dyDescent="0.25">
      <c r="A662" s="50">
        <v>9052</v>
      </c>
      <c r="B662" s="51" t="s">
        <v>597</v>
      </c>
      <c r="C662" s="51" t="s">
        <v>1660</v>
      </c>
      <c r="D662" s="51" t="s">
        <v>66</v>
      </c>
      <c r="E662" s="51" t="s">
        <v>328</v>
      </c>
      <c r="F662" s="51" t="s">
        <v>1979</v>
      </c>
      <c r="G662" s="51" t="s">
        <v>1661</v>
      </c>
      <c r="H662" s="50" t="s">
        <v>386</v>
      </c>
      <c r="I662" s="51" t="s">
        <v>1666</v>
      </c>
      <c r="J662" t="str">
        <f t="shared" si="22"/>
        <v>9052 - PV Costa El Aguila              </v>
      </c>
      <c r="K662" t="str">
        <f t="shared" si="23"/>
        <v>Postventa</v>
      </c>
    </row>
    <row r="663" spans="1:11" x14ac:dyDescent="0.25">
      <c r="A663" s="50">
        <v>10102000</v>
      </c>
      <c r="B663" s="51" t="s">
        <v>1980</v>
      </c>
      <c r="C663" s="51" t="s">
        <v>1660</v>
      </c>
      <c r="D663" s="51" t="s">
        <v>1665</v>
      </c>
      <c r="E663" s="51" t="s">
        <v>1585</v>
      </c>
      <c r="F663" s="51" t="s">
        <v>1979</v>
      </c>
      <c r="G663" s="51" t="s">
        <v>1661</v>
      </c>
      <c r="H663" s="50" t="s">
        <v>1672</v>
      </c>
      <c r="I663" s="51" t="s">
        <v>1666</v>
      </c>
      <c r="J663" t="str">
        <f t="shared" si="22"/>
        <v>10102000 - Costa El Águila</v>
      </c>
      <c r="K663" t="str">
        <f t="shared" si="23"/>
        <v>Proyectos Inmobiliarios</v>
      </c>
    </row>
    <row r="664" spans="1:11" x14ac:dyDescent="0.25">
      <c r="A664" s="50">
        <v>10102102</v>
      </c>
      <c r="B664" s="51" t="s">
        <v>1981</v>
      </c>
      <c r="C664" s="51" t="s">
        <v>1660</v>
      </c>
      <c r="D664" s="51" t="s">
        <v>1665</v>
      </c>
      <c r="E664" s="51" t="s">
        <v>1617</v>
      </c>
      <c r="F664" s="51" t="s">
        <v>1979</v>
      </c>
      <c r="G664" s="51" t="s">
        <v>1661</v>
      </c>
      <c r="H664" s="50" t="s">
        <v>1672</v>
      </c>
      <c r="I664" s="51" t="s">
        <v>1666</v>
      </c>
      <c r="J664" t="str">
        <f t="shared" si="22"/>
        <v>10102102 - Costa El Águila-Marketing</v>
      </c>
      <c r="K664" t="str">
        <f t="shared" si="23"/>
        <v>Proyectos Inmobiliarios</v>
      </c>
    </row>
    <row r="665" spans="1:11" x14ac:dyDescent="0.25">
      <c r="A665" s="50">
        <v>10102103</v>
      </c>
      <c r="B665" s="51" t="s">
        <v>1982</v>
      </c>
      <c r="C665" s="51" t="s">
        <v>1660</v>
      </c>
      <c r="D665" s="51" t="s">
        <v>1665</v>
      </c>
      <c r="E665" s="51" t="s">
        <v>1618</v>
      </c>
      <c r="F665" s="51" t="s">
        <v>1979</v>
      </c>
      <c r="G665" s="51" t="s">
        <v>1661</v>
      </c>
      <c r="H665" s="50" t="s">
        <v>1672</v>
      </c>
      <c r="I665" s="51" t="s">
        <v>1666</v>
      </c>
      <c r="J665" t="str">
        <f t="shared" si="22"/>
        <v>10102103 - Costa El Águila-Operaciones</v>
      </c>
      <c r="K665" t="str">
        <f t="shared" si="23"/>
        <v>Proyectos Inmobiliarios</v>
      </c>
    </row>
    <row r="666" spans="1:11" x14ac:dyDescent="0.25">
      <c r="A666" s="50">
        <v>10102104</v>
      </c>
      <c r="B666" s="51" t="s">
        <v>1983</v>
      </c>
      <c r="C666" s="51" t="s">
        <v>1660</v>
      </c>
      <c r="D666" s="51" t="s">
        <v>1665</v>
      </c>
      <c r="E666" s="51" t="s">
        <v>90</v>
      </c>
      <c r="F666" s="51" t="s">
        <v>1979</v>
      </c>
      <c r="G666" s="51" t="s">
        <v>1661</v>
      </c>
      <c r="H666" s="50" t="s">
        <v>1672</v>
      </c>
      <c r="I666" s="51" t="s">
        <v>1666</v>
      </c>
      <c r="J666" t="str">
        <f t="shared" si="22"/>
        <v>10102104 - Costa El Águila-Ventas</v>
      </c>
      <c r="K666" t="str">
        <f t="shared" si="23"/>
        <v>Proyectos Inmobiliarios</v>
      </c>
    </row>
    <row r="667" spans="1:11" x14ac:dyDescent="0.25">
      <c r="A667" s="50">
        <v>10102105</v>
      </c>
      <c r="B667" s="51" t="s">
        <v>1984</v>
      </c>
      <c r="C667" s="51" t="s">
        <v>1660</v>
      </c>
      <c r="D667" s="51" t="s">
        <v>1665</v>
      </c>
      <c r="E667" s="51" t="s">
        <v>1622</v>
      </c>
      <c r="F667" s="51" t="s">
        <v>1979</v>
      </c>
      <c r="G667" s="51" t="s">
        <v>1661</v>
      </c>
      <c r="H667" s="50" t="s">
        <v>1672</v>
      </c>
      <c r="I667" s="51" t="s">
        <v>1666</v>
      </c>
      <c r="J667" t="str">
        <f t="shared" si="22"/>
        <v>10102105 - Costa El Águila-Clientes</v>
      </c>
      <c r="K667" t="str">
        <f t="shared" si="23"/>
        <v>Proyectos Inmobiliarios</v>
      </c>
    </row>
    <row r="668" spans="1:11" x14ac:dyDescent="0.25">
      <c r="A668" s="50">
        <v>10102203</v>
      </c>
      <c r="B668" s="51" t="s">
        <v>1985</v>
      </c>
      <c r="C668" s="51" t="s">
        <v>1660</v>
      </c>
      <c r="D668" s="51" t="s">
        <v>1665</v>
      </c>
      <c r="E668" s="51" t="s">
        <v>1624</v>
      </c>
      <c r="F668" s="51" t="s">
        <v>1979</v>
      </c>
      <c r="G668" s="51" t="s">
        <v>1661</v>
      </c>
      <c r="H668" s="50" t="s">
        <v>1672</v>
      </c>
      <c r="I668" s="51" t="s">
        <v>1666</v>
      </c>
      <c r="J668" t="str">
        <f t="shared" si="22"/>
        <v>10102203 - Costa El Águila-Proyecto</v>
      </c>
      <c r="K668" t="str">
        <f t="shared" si="23"/>
        <v>Proyectos Inmobiliarios</v>
      </c>
    </row>
    <row r="669" spans="1:11" x14ac:dyDescent="0.25">
      <c r="A669" s="50">
        <v>10102301</v>
      </c>
      <c r="B669" s="51" t="s">
        <v>1986</v>
      </c>
      <c r="C669" s="51" t="s">
        <v>1660</v>
      </c>
      <c r="D669" s="51" t="s">
        <v>1665</v>
      </c>
      <c r="E669" s="51" t="s">
        <v>1643</v>
      </c>
      <c r="F669" s="51" t="s">
        <v>1979</v>
      </c>
      <c r="G669" s="51" t="s">
        <v>1667</v>
      </c>
      <c r="H669" s="50" t="s">
        <v>1672</v>
      </c>
      <c r="I669" s="51" t="s">
        <v>1666</v>
      </c>
      <c r="J669" t="str">
        <f t="shared" si="22"/>
        <v>10102301 - Costa El Águila-GAF</v>
      </c>
      <c r="K669" t="str">
        <f t="shared" si="23"/>
        <v>Proyectos Inmobiliarios</v>
      </c>
    </row>
    <row r="670" spans="1:11" x14ac:dyDescent="0.25">
      <c r="A670" s="50">
        <v>10102505</v>
      </c>
      <c r="B670" s="51" t="s">
        <v>1987</v>
      </c>
      <c r="C670" s="51" t="s">
        <v>1660</v>
      </c>
      <c r="D670" s="51" t="s">
        <v>66</v>
      </c>
      <c r="E670" s="51" t="s">
        <v>328</v>
      </c>
      <c r="F670" s="51" t="s">
        <v>1979</v>
      </c>
      <c r="G670" s="51" t="s">
        <v>1661</v>
      </c>
      <c r="H670" s="50" t="s">
        <v>1672</v>
      </c>
      <c r="I670" s="51" t="s">
        <v>1666</v>
      </c>
      <c r="J670" t="str">
        <f t="shared" si="22"/>
        <v>10102505 - Costa El Águila-PV Inmob.</v>
      </c>
      <c r="K670" t="str">
        <f t="shared" si="23"/>
        <v>Postventa</v>
      </c>
    </row>
    <row r="671" spans="1:11" x14ac:dyDescent="0.25">
      <c r="A671" s="50">
        <v>10102506</v>
      </c>
      <c r="B671" s="51" t="s">
        <v>1988</v>
      </c>
      <c r="C671" s="51" t="s">
        <v>1660</v>
      </c>
      <c r="D671" s="51" t="s">
        <v>1665</v>
      </c>
      <c r="E671" s="51" t="s">
        <v>200</v>
      </c>
      <c r="F671" s="51" t="s">
        <v>1979</v>
      </c>
      <c r="G671" s="51" t="s">
        <v>1661</v>
      </c>
      <c r="H671" s="50" t="s">
        <v>1672</v>
      </c>
      <c r="I671" s="51" t="s">
        <v>1666</v>
      </c>
      <c r="J671" t="str">
        <f t="shared" si="22"/>
        <v>10102506 - Costa El Águila-Depto.Técnico</v>
      </c>
      <c r="K671" t="str">
        <f t="shared" si="23"/>
        <v>Proyectos Inmobiliarios</v>
      </c>
    </row>
    <row r="672" spans="1:11" x14ac:dyDescent="0.25">
      <c r="A672" s="62">
        <v>1023202</v>
      </c>
      <c r="B672" s="63" t="s">
        <v>1989</v>
      </c>
      <c r="C672" s="63" t="s">
        <v>1685</v>
      </c>
      <c r="D672" s="63" t="s">
        <v>1578</v>
      </c>
      <c r="E672" s="63" t="s">
        <v>1578</v>
      </c>
      <c r="F672" s="63" t="s">
        <v>1990</v>
      </c>
      <c r="G672" s="63" t="s">
        <v>1661</v>
      </c>
      <c r="H672" s="62" t="s">
        <v>1672</v>
      </c>
      <c r="I672" s="63" t="s">
        <v>1662</v>
      </c>
      <c r="J672" t="str">
        <f t="shared" si="22"/>
        <v>1023202 - Terreno Irene Morales-Desarrollo</v>
      </c>
      <c r="K672" t="str">
        <f t="shared" si="23"/>
        <v>Terreno</v>
      </c>
    </row>
    <row r="673" spans="1:11" x14ac:dyDescent="0.25">
      <c r="A673" s="62">
        <v>1066202</v>
      </c>
      <c r="B673" s="63" t="s">
        <v>1991</v>
      </c>
      <c r="C673" s="63" t="s">
        <v>1685</v>
      </c>
      <c r="D673" s="63" t="s">
        <v>1578</v>
      </c>
      <c r="E673" s="63" t="s">
        <v>1578</v>
      </c>
      <c r="F673" s="63" t="s">
        <v>1990</v>
      </c>
      <c r="G673" s="63" t="s">
        <v>1661</v>
      </c>
      <c r="H673" s="62" t="s">
        <v>1672</v>
      </c>
      <c r="I673" s="63" t="s">
        <v>1662</v>
      </c>
      <c r="J673" t="str">
        <f t="shared" si="22"/>
        <v>1066202 - Terreno Cumbre Placeres 2-Desarrollo</v>
      </c>
      <c r="K673" t="str">
        <f t="shared" si="23"/>
        <v>Terreno</v>
      </c>
    </row>
    <row r="674" spans="1:11" x14ac:dyDescent="0.25">
      <c r="A674" s="62">
        <v>137</v>
      </c>
      <c r="B674" s="63" t="s">
        <v>1990</v>
      </c>
      <c r="C674" s="63" t="s">
        <v>1685</v>
      </c>
      <c r="D674" s="63" t="s">
        <v>65</v>
      </c>
      <c r="E674" s="63" t="s">
        <v>65</v>
      </c>
      <c r="F674" s="63" t="s">
        <v>1990</v>
      </c>
      <c r="G674" s="63" t="s">
        <v>1663</v>
      </c>
      <c r="H674" s="62" t="s">
        <v>1672</v>
      </c>
      <c r="I674" s="63" t="s">
        <v>1664</v>
      </c>
      <c r="J674" t="str">
        <f t="shared" si="22"/>
        <v>137 - Cumbre Placeres</v>
      </c>
      <c r="K674" t="str">
        <f t="shared" si="23"/>
        <v>Obra</v>
      </c>
    </row>
    <row r="675" spans="1:11" x14ac:dyDescent="0.25">
      <c r="A675" s="62">
        <v>237</v>
      </c>
      <c r="B675" s="63" t="s">
        <v>1992</v>
      </c>
      <c r="C675" s="63" t="s">
        <v>1685</v>
      </c>
      <c r="D675" s="63" t="s">
        <v>65</v>
      </c>
      <c r="E675" s="63" t="s">
        <v>65</v>
      </c>
      <c r="F675" s="63" t="s">
        <v>1990</v>
      </c>
      <c r="G675" s="63" t="s">
        <v>1663</v>
      </c>
      <c r="H675" s="62" t="s">
        <v>1672</v>
      </c>
      <c r="I675" s="63" t="s">
        <v>1664</v>
      </c>
      <c r="J675" t="str">
        <f t="shared" si="22"/>
        <v>237 - Cumbre Placeres-SA</v>
      </c>
      <c r="K675" t="str">
        <f t="shared" si="23"/>
        <v>Obra</v>
      </c>
    </row>
    <row r="676" spans="1:11" x14ac:dyDescent="0.25">
      <c r="A676" s="62">
        <v>8237</v>
      </c>
      <c r="B676" s="63" t="s">
        <v>529</v>
      </c>
      <c r="C676" s="63" t="s">
        <v>1685</v>
      </c>
      <c r="D676" s="63" t="s">
        <v>1686</v>
      </c>
      <c r="E676" s="63" t="s">
        <v>1501</v>
      </c>
      <c r="F676" s="63" t="s">
        <v>1990</v>
      </c>
      <c r="G676" s="63" t="s">
        <v>1661</v>
      </c>
      <c r="H676" s="62" t="s">
        <v>386</v>
      </c>
      <c r="I676" s="63" t="s">
        <v>1666</v>
      </c>
      <c r="J676" t="str">
        <f t="shared" si="22"/>
        <v>8237 - Entrega CUMBRE PLACERES</v>
      </c>
      <c r="K676" t="str">
        <f t="shared" si="23"/>
        <v>Entrega</v>
      </c>
    </row>
    <row r="677" spans="1:11" x14ac:dyDescent="0.25">
      <c r="A677" s="62">
        <v>9237</v>
      </c>
      <c r="B677" s="63" t="s">
        <v>655</v>
      </c>
      <c r="C677" s="63" t="s">
        <v>1685</v>
      </c>
      <c r="D677" s="63" t="s">
        <v>66</v>
      </c>
      <c r="E677" s="63" t="s">
        <v>328</v>
      </c>
      <c r="F677" s="63" t="s">
        <v>1990</v>
      </c>
      <c r="G677" s="63" t="s">
        <v>1661</v>
      </c>
      <c r="H677" s="62" t="s">
        <v>386</v>
      </c>
      <c r="I677" s="63" t="s">
        <v>1666</v>
      </c>
      <c r="J677" t="str">
        <f t="shared" si="22"/>
        <v>9237 - PV CUMBRE PLACERES</v>
      </c>
      <c r="K677" t="str">
        <f t="shared" si="23"/>
        <v>Postventa</v>
      </c>
    </row>
    <row r="678" spans="1:11" x14ac:dyDescent="0.25">
      <c r="A678" s="62">
        <v>10137000</v>
      </c>
      <c r="B678" s="63" t="s">
        <v>1990</v>
      </c>
      <c r="C678" s="63" t="s">
        <v>1685</v>
      </c>
      <c r="D678" s="63" t="s">
        <v>1665</v>
      </c>
      <c r="E678" s="63" t="s">
        <v>1585</v>
      </c>
      <c r="F678" s="63" t="s">
        <v>1990</v>
      </c>
      <c r="G678" s="63" t="s">
        <v>1661</v>
      </c>
      <c r="H678" s="62" t="s">
        <v>1672</v>
      </c>
      <c r="I678" s="63" t="s">
        <v>1666</v>
      </c>
      <c r="J678" t="str">
        <f t="shared" si="22"/>
        <v>10137000 - Cumbre Placeres</v>
      </c>
      <c r="K678" t="str">
        <f t="shared" si="23"/>
        <v>Proyectos Inmobiliarios</v>
      </c>
    </row>
    <row r="679" spans="1:11" x14ac:dyDescent="0.25">
      <c r="A679" s="62">
        <v>10137102</v>
      </c>
      <c r="B679" s="63" t="s">
        <v>1993</v>
      </c>
      <c r="C679" s="63" t="s">
        <v>1685</v>
      </c>
      <c r="D679" s="63" t="s">
        <v>1665</v>
      </c>
      <c r="E679" s="63" t="s">
        <v>1617</v>
      </c>
      <c r="F679" s="63" t="s">
        <v>1990</v>
      </c>
      <c r="G679" s="63" t="s">
        <v>1661</v>
      </c>
      <c r="H679" s="62" t="s">
        <v>1672</v>
      </c>
      <c r="I679" s="63" t="s">
        <v>1666</v>
      </c>
      <c r="J679" t="str">
        <f t="shared" si="22"/>
        <v>10137102 - Cumbre Placeres-Marketing</v>
      </c>
      <c r="K679" t="str">
        <f t="shared" si="23"/>
        <v>Proyectos Inmobiliarios</v>
      </c>
    </row>
    <row r="680" spans="1:11" x14ac:dyDescent="0.25">
      <c r="A680" s="62">
        <v>10137103</v>
      </c>
      <c r="B680" s="63" t="s">
        <v>1994</v>
      </c>
      <c r="C680" s="63" t="s">
        <v>1685</v>
      </c>
      <c r="D680" s="63" t="s">
        <v>1665</v>
      </c>
      <c r="E680" s="63" t="s">
        <v>1618</v>
      </c>
      <c r="F680" s="63" t="s">
        <v>1990</v>
      </c>
      <c r="G680" s="63" t="s">
        <v>1661</v>
      </c>
      <c r="H680" s="62" t="s">
        <v>1672</v>
      </c>
      <c r="I680" s="63" t="s">
        <v>1666</v>
      </c>
      <c r="J680" t="str">
        <f t="shared" si="22"/>
        <v>10137103 - Cumbre Placeres-Operaciones</v>
      </c>
      <c r="K680" t="str">
        <f t="shared" si="23"/>
        <v>Proyectos Inmobiliarios</v>
      </c>
    </row>
    <row r="681" spans="1:11" x14ac:dyDescent="0.25">
      <c r="A681" s="62">
        <v>10137104</v>
      </c>
      <c r="B681" s="63" t="s">
        <v>1995</v>
      </c>
      <c r="C681" s="63" t="s">
        <v>1685</v>
      </c>
      <c r="D681" s="63" t="s">
        <v>1665</v>
      </c>
      <c r="E681" s="63" t="s">
        <v>90</v>
      </c>
      <c r="F681" s="63" t="s">
        <v>1990</v>
      </c>
      <c r="G681" s="63" t="s">
        <v>1661</v>
      </c>
      <c r="H681" s="62" t="s">
        <v>1672</v>
      </c>
      <c r="I681" s="63" t="s">
        <v>1666</v>
      </c>
      <c r="J681" t="str">
        <f t="shared" si="22"/>
        <v>10137104 - Cumbre Placeres-Ventas</v>
      </c>
      <c r="K681" t="str">
        <f t="shared" si="23"/>
        <v>Proyectos Inmobiliarios</v>
      </c>
    </row>
    <row r="682" spans="1:11" x14ac:dyDescent="0.25">
      <c r="A682" s="62">
        <v>10137105</v>
      </c>
      <c r="B682" s="63" t="s">
        <v>1996</v>
      </c>
      <c r="C682" s="63" t="s">
        <v>1685</v>
      </c>
      <c r="D682" s="63" t="s">
        <v>1665</v>
      </c>
      <c r="E682" s="63" t="s">
        <v>1622</v>
      </c>
      <c r="F682" s="63" t="s">
        <v>1990</v>
      </c>
      <c r="G682" s="63" t="s">
        <v>1661</v>
      </c>
      <c r="H682" s="62" t="s">
        <v>1672</v>
      </c>
      <c r="I682" s="63" t="s">
        <v>1666</v>
      </c>
      <c r="J682" t="str">
        <f t="shared" si="22"/>
        <v>10137105 - Cumbre Placeres-Clientes</v>
      </c>
      <c r="K682" t="str">
        <f t="shared" si="23"/>
        <v>Proyectos Inmobiliarios</v>
      </c>
    </row>
    <row r="683" spans="1:11" x14ac:dyDescent="0.25">
      <c r="A683" s="62">
        <v>10137205</v>
      </c>
      <c r="B683" s="63" t="s">
        <v>1997</v>
      </c>
      <c r="C683" s="63" t="s">
        <v>1685</v>
      </c>
      <c r="D683" s="63" t="s">
        <v>1665</v>
      </c>
      <c r="E683" s="63" t="s">
        <v>1624</v>
      </c>
      <c r="F683" s="63" t="s">
        <v>1990</v>
      </c>
      <c r="G683" s="63" t="s">
        <v>1661</v>
      </c>
      <c r="H683" s="62" t="s">
        <v>1672</v>
      </c>
      <c r="I683" s="63" t="s">
        <v>1666</v>
      </c>
      <c r="J683" t="str">
        <f t="shared" si="22"/>
        <v>10137205 - Cumbre Placeres-Proyecto</v>
      </c>
      <c r="K683" t="str">
        <f t="shared" si="23"/>
        <v>Proyectos Inmobiliarios</v>
      </c>
    </row>
    <row r="684" spans="1:11" x14ac:dyDescent="0.25">
      <c r="A684" s="62">
        <v>10137301</v>
      </c>
      <c r="B684" s="63" t="s">
        <v>1998</v>
      </c>
      <c r="C684" s="63" t="s">
        <v>1685</v>
      </c>
      <c r="D684" s="63" t="s">
        <v>1665</v>
      </c>
      <c r="E684" s="63" t="s">
        <v>1643</v>
      </c>
      <c r="F684" s="63" t="s">
        <v>1990</v>
      </c>
      <c r="G684" s="63" t="s">
        <v>1667</v>
      </c>
      <c r="H684" s="62" t="s">
        <v>1672</v>
      </c>
      <c r="I684" s="63" t="s">
        <v>1666</v>
      </c>
      <c r="J684" t="str">
        <f t="shared" si="22"/>
        <v>10137301 - Cumbre Placeres-GAF</v>
      </c>
      <c r="K684" t="str">
        <f t="shared" si="23"/>
        <v>Proyectos Inmobiliarios</v>
      </c>
    </row>
    <row r="685" spans="1:11" x14ac:dyDescent="0.25">
      <c r="A685" s="62">
        <v>10137505</v>
      </c>
      <c r="B685" s="63" t="s">
        <v>1999</v>
      </c>
      <c r="C685" s="63" t="s">
        <v>1685</v>
      </c>
      <c r="D685" s="63" t="s">
        <v>66</v>
      </c>
      <c r="E685" s="63" t="s">
        <v>328</v>
      </c>
      <c r="F685" s="63" t="s">
        <v>1990</v>
      </c>
      <c r="G685" s="63" t="s">
        <v>1661</v>
      </c>
      <c r="H685" s="62" t="s">
        <v>1672</v>
      </c>
      <c r="I685" s="63" t="s">
        <v>1666</v>
      </c>
      <c r="J685" t="str">
        <f t="shared" si="22"/>
        <v>10137505 - Cumbre Placeres-PV Inmob.</v>
      </c>
      <c r="K685" t="str">
        <f t="shared" si="23"/>
        <v>Postventa</v>
      </c>
    </row>
    <row r="686" spans="1:11" x14ac:dyDescent="0.25">
      <c r="A686" s="62">
        <v>10137506</v>
      </c>
      <c r="B686" s="63" t="s">
        <v>2000</v>
      </c>
      <c r="C686" s="63" t="s">
        <v>1685</v>
      </c>
      <c r="D686" s="63" t="s">
        <v>1665</v>
      </c>
      <c r="E686" s="63" t="s">
        <v>200</v>
      </c>
      <c r="F686" s="63" t="s">
        <v>1990</v>
      </c>
      <c r="G686" s="63" t="s">
        <v>1661</v>
      </c>
      <c r="H686" s="62" t="s">
        <v>1672</v>
      </c>
      <c r="I686" s="63" t="s">
        <v>1666</v>
      </c>
      <c r="J686" t="str">
        <f t="shared" si="22"/>
        <v>10137506 - Cumbre Placeres-Depto.Técnico</v>
      </c>
      <c r="K686" t="str">
        <f t="shared" si="23"/>
        <v>Proyectos Inmobiliarios</v>
      </c>
    </row>
    <row r="687" spans="1:11" x14ac:dyDescent="0.25">
      <c r="A687" s="50">
        <v>999999999</v>
      </c>
      <c r="B687" s="51" t="s">
        <v>1684</v>
      </c>
      <c r="C687" s="51"/>
      <c r="D687" s="51" t="s">
        <v>1578</v>
      </c>
      <c r="E687" s="51" t="s">
        <v>1578</v>
      </c>
      <c r="F687" s="51" t="s">
        <v>2001</v>
      </c>
      <c r="G687" s="51" t="s">
        <v>1661</v>
      </c>
      <c r="H687" s="50" t="s">
        <v>1672</v>
      </c>
      <c r="I687" s="51" t="s">
        <v>1662</v>
      </c>
      <c r="J687" t="str">
        <f t="shared" si="22"/>
        <v>999999999 - Terreno Abuelo Proyectos sin Terreno</v>
      </c>
      <c r="K687" t="str">
        <f t="shared" si="23"/>
        <v>Terreno</v>
      </c>
    </row>
    <row r="688" spans="1:11" x14ac:dyDescent="0.25">
      <c r="A688" s="50">
        <v>14</v>
      </c>
      <c r="B688" s="51" t="s">
        <v>2002</v>
      </c>
      <c r="C688" s="51" t="s">
        <v>1670</v>
      </c>
      <c r="D688" s="51" t="s">
        <v>65</v>
      </c>
      <c r="E688" s="51" t="s">
        <v>65</v>
      </c>
      <c r="F688" s="51" t="s">
        <v>2001</v>
      </c>
      <c r="G688" s="51" t="s">
        <v>1663</v>
      </c>
      <c r="H688" s="50" t="s">
        <v>1672</v>
      </c>
      <c r="I688" s="51" t="s">
        <v>1664</v>
      </c>
      <c r="J688" t="str">
        <f t="shared" si="22"/>
        <v>14 - Edificio Colón</v>
      </c>
      <c r="K688" t="str">
        <f t="shared" si="23"/>
        <v>Obra</v>
      </c>
    </row>
    <row r="689" spans="1:11" x14ac:dyDescent="0.25">
      <c r="A689" s="50">
        <v>9014</v>
      </c>
      <c r="B689" s="51" t="s">
        <v>564</v>
      </c>
      <c r="C689" s="51" t="s">
        <v>1670</v>
      </c>
      <c r="D689" s="51" t="s">
        <v>66</v>
      </c>
      <c r="E689" s="51" t="s">
        <v>328</v>
      </c>
      <c r="F689" s="51" t="s">
        <v>2001</v>
      </c>
      <c r="G689" s="51" t="s">
        <v>1661</v>
      </c>
      <c r="H689" s="50" t="s">
        <v>386</v>
      </c>
      <c r="I689" s="51" t="s">
        <v>1666</v>
      </c>
      <c r="J689" t="str">
        <f t="shared" si="22"/>
        <v>9014 - PV Edificio Colon</v>
      </c>
      <c r="K689" t="str">
        <f t="shared" si="23"/>
        <v>Postventa</v>
      </c>
    </row>
    <row r="690" spans="1:11" x14ac:dyDescent="0.25">
      <c r="A690" s="50">
        <v>10014000</v>
      </c>
      <c r="B690" s="51" t="s">
        <v>2001</v>
      </c>
      <c r="C690" s="51" t="s">
        <v>1670</v>
      </c>
      <c r="D690" s="51" t="s">
        <v>1665</v>
      </c>
      <c r="E690" s="51" t="s">
        <v>1585</v>
      </c>
      <c r="F690" s="51" t="s">
        <v>2001</v>
      </c>
      <c r="G690" s="51" t="s">
        <v>1661</v>
      </c>
      <c r="H690" s="50" t="s">
        <v>1672</v>
      </c>
      <c r="I690" s="51" t="s">
        <v>1666</v>
      </c>
      <c r="J690" t="str">
        <f t="shared" si="22"/>
        <v>10014000 - Cumbres de Colón</v>
      </c>
      <c r="K690" t="str">
        <f t="shared" si="23"/>
        <v>Proyectos Inmobiliarios</v>
      </c>
    </row>
    <row r="691" spans="1:11" x14ac:dyDescent="0.25">
      <c r="A691" s="50">
        <v>10014102</v>
      </c>
      <c r="B691" s="51" t="s">
        <v>2003</v>
      </c>
      <c r="C691" s="51" t="s">
        <v>1670</v>
      </c>
      <c r="D691" s="51" t="s">
        <v>1665</v>
      </c>
      <c r="E691" s="51" t="s">
        <v>1617</v>
      </c>
      <c r="F691" s="51" t="s">
        <v>2001</v>
      </c>
      <c r="G691" s="51" t="s">
        <v>1661</v>
      </c>
      <c r="H691" s="50" t="s">
        <v>1672</v>
      </c>
      <c r="I691" s="51" t="s">
        <v>1666</v>
      </c>
      <c r="J691" t="str">
        <f t="shared" si="22"/>
        <v>10014102 - Cumbres de Colón-Marketing</v>
      </c>
      <c r="K691" t="str">
        <f t="shared" si="23"/>
        <v>Proyectos Inmobiliarios</v>
      </c>
    </row>
    <row r="692" spans="1:11" x14ac:dyDescent="0.25">
      <c r="A692" s="50">
        <v>10014103</v>
      </c>
      <c r="B692" s="51" t="s">
        <v>2004</v>
      </c>
      <c r="C692" s="51" t="s">
        <v>1670</v>
      </c>
      <c r="D692" s="51" t="s">
        <v>1665</v>
      </c>
      <c r="E692" s="51" t="s">
        <v>1618</v>
      </c>
      <c r="F692" s="51" t="s">
        <v>2001</v>
      </c>
      <c r="G692" s="51" t="s">
        <v>1661</v>
      </c>
      <c r="H692" s="50" t="s">
        <v>1672</v>
      </c>
      <c r="I692" s="51" t="s">
        <v>1666</v>
      </c>
      <c r="J692" t="str">
        <f t="shared" si="22"/>
        <v>10014103 - Cumbres de Colón-Operaciones</v>
      </c>
      <c r="K692" t="str">
        <f t="shared" si="23"/>
        <v>Proyectos Inmobiliarios</v>
      </c>
    </row>
    <row r="693" spans="1:11" x14ac:dyDescent="0.25">
      <c r="A693" s="50">
        <v>10014104</v>
      </c>
      <c r="B693" s="51" t="s">
        <v>2005</v>
      </c>
      <c r="C693" s="51" t="s">
        <v>1670</v>
      </c>
      <c r="D693" s="51" t="s">
        <v>1665</v>
      </c>
      <c r="E693" s="51" t="s">
        <v>90</v>
      </c>
      <c r="F693" s="51" t="s">
        <v>2001</v>
      </c>
      <c r="G693" s="51" t="s">
        <v>1661</v>
      </c>
      <c r="H693" s="50" t="s">
        <v>1672</v>
      </c>
      <c r="I693" s="51" t="s">
        <v>1666</v>
      </c>
      <c r="J693" t="str">
        <f t="shared" si="22"/>
        <v>10014104 - Cumbres de Colón-Ventas</v>
      </c>
      <c r="K693" t="str">
        <f t="shared" si="23"/>
        <v>Proyectos Inmobiliarios</v>
      </c>
    </row>
    <row r="694" spans="1:11" x14ac:dyDescent="0.25">
      <c r="A694" s="50">
        <v>10014105</v>
      </c>
      <c r="B694" s="51" t="s">
        <v>2006</v>
      </c>
      <c r="C694" s="51" t="s">
        <v>1670</v>
      </c>
      <c r="D694" s="51" t="s">
        <v>1665</v>
      </c>
      <c r="E694" s="51" t="s">
        <v>1622</v>
      </c>
      <c r="F694" s="51" t="s">
        <v>2001</v>
      </c>
      <c r="G694" s="51" t="s">
        <v>1661</v>
      </c>
      <c r="H694" s="50" t="s">
        <v>1672</v>
      </c>
      <c r="I694" s="51" t="s">
        <v>1666</v>
      </c>
      <c r="J694" t="str">
        <f t="shared" si="22"/>
        <v>10014105 - Cumbres de Colón-Clientes</v>
      </c>
      <c r="K694" t="str">
        <f t="shared" si="23"/>
        <v>Proyectos Inmobiliarios</v>
      </c>
    </row>
    <row r="695" spans="1:11" x14ac:dyDescent="0.25">
      <c r="A695" s="50">
        <v>10014204</v>
      </c>
      <c r="B695" s="51" t="s">
        <v>2007</v>
      </c>
      <c r="C695" s="51" t="s">
        <v>1670</v>
      </c>
      <c r="D695" s="51" t="s">
        <v>1665</v>
      </c>
      <c r="E695" s="51" t="s">
        <v>1624</v>
      </c>
      <c r="F695" s="51" t="s">
        <v>2001</v>
      </c>
      <c r="G695" s="51" t="s">
        <v>1661</v>
      </c>
      <c r="H695" s="50" t="s">
        <v>1672</v>
      </c>
      <c r="I695" s="51" t="s">
        <v>1666</v>
      </c>
      <c r="J695" t="str">
        <f t="shared" si="22"/>
        <v>10014204 - Cumbres de Colón-Proyecto</v>
      </c>
      <c r="K695" t="str">
        <f t="shared" si="23"/>
        <v>Proyectos Inmobiliarios</v>
      </c>
    </row>
    <row r="696" spans="1:11" x14ac:dyDescent="0.25">
      <c r="A696" s="50">
        <v>10014301</v>
      </c>
      <c r="B696" s="51" t="s">
        <v>2008</v>
      </c>
      <c r="C696" s="51" t="s">
        <v>1670</v>
      </c>
      <c r="D696" s="51" t="s">
        <v>1665</v>
      </c>
      <c r="E696" s="51" t="s">
        <v>1643</v>
      </c>
      <c r="F696" s="51" t="s">
        <v>2001</v>
      </c>
      <c r="G696" s="51" t="s">
        <v>1667</v>
      </c>
      <c r="H696" s="50" t="s">
        <v>1672</v>
      </c>
      <c r="I696" s="51" t="s">
        <v>1666</v>
      </c>
      <c r="J696" t="str">
        <f t="shared" si="22"/>
        <v>10014301 - Cumbres de Colón-GAF</v>
      </c>
      <c r="K696" t="str">
        <f t="shared" si="23"/>
        <v>Proyectos Inmobiliarios</v>
      </c>
    </row>
    <row r="697" spans="1:11" x14ac:dyDescent="0.25">
      <c r="A697" s="50">
        <v>10014505</v>
      </c>
      <c r="B697" s="51" t="s">
        <v>2009</v>
      </c>
      <c r="C697" s="51" t="s">
        <v>1670</v>
      </c>
      <c r="D697" s="51" t="s">
        <v>66</v>
      </c>
      <c r="E697" s="51" t="s">
        <v>328</v>
      </c>
      <c r="F697" s="51" t="s">
        <v>2001</v>
      </c>
      <c r="G697" s="51" t="s">
        <v>1661</v>
      </c>
      <c r="H697" s="50" t="s">
        <v>1672</v>
      </c>
      <c r="I697" s="51" t="s">
        <v>1666</v>
      </c>
      <c r="J697" t="str">
        <f t="shared" si="22"/>
        <v>10014505 - Cumbres de Colón-PV Inmob.</v>
      </c>
      <c r="K697" t="str">
        <f t="shared" si="23"/>
        <v>Postventa</v>
      </c>
    </row>
    <row r="698" spans="1:11" x14ac:dyDescent="0.25">
      <c r="A698" s="50">
        <v>10014506</v>
      </c>
      <c r="B698" s="51" t="s">
        <v>2010</v>
      </c>
      <c r="C698" s="51" t="s">
        <v>1670</v>
      </c>
      <c r="D698" s="51" t="s">
        <v>1665</v>
      </c>
      <c r="E698" s="51" t="s">
        <v>200</v>
      </c>
      <c r="F698" s="51" t="s">
        <v>2001</v>
      </c>
      <c r="G698" s="51" t="s">
        <v>1661</v>
      </c>
      <c r="H698" s="50" t="s">
        <v>1672</v>
      </c>
      <c r="I698" s="51" t="s">
        <v>1666</v>
      </c>
      <c r="J698" t="str">
        <f t="shared" si="22"/>
        <v>10014506 - Cumbres de Colón-Depto.Técnico</v>
      </c>
      <c r="K698" t="str">
        <f t="shared" si="23"/>
        <v>Proyectos Inmobiliarios</v>
      </c>
    </row>
    <row r="699" spans="1:11" x14ac:dyDescent="0.25">
      <c r="A699" s="50">
        <v>10186000</v>
      </c>
      <c r="B699" s="51" t="s">
        <v>2011</v>
      </c>
      <c r="C699" s="51" t="s">
        <v>1670</v>
      </c>
      <c r="D699" s="51" t="s">
        <v>1665</v>
      </c>
      <c r="E699" s="51" t="s">
        <v>1585</v>
      </c>
      <c r="F699" s="51" t="s">
        <v>2001</v>
      </c>
      <c r="G699" s="51" t="s">
        <v>1661</v>
      </c>
      <c r="H699" s="50" t="s">
        <v>1672</v>
      </c>
      <c r="I699" s="51" t="s">
        <v>1666</v>
      </c>
      <c r="J699" t="str">
        <f t="shared" si="22"/>
        <v>10186000 - Cumbres de Colón Torre B</v>
      </c>
      <c r="K699" t="str">
        <f t="shared" si="23"/>
        <v>Proyectos Inmobiliarios</v>
      </c>
    </row>
    <row r="700" spans="1:11" x14ac:dyDescent="0.25">
      <c r="A700" s="62">
        <v>1062202</v>
      </c>
      <c r="B700" s="63" t="s">
        <v>723</v>
      </c>
      <c r="C700" s="63" t="s">
        <v>1836</v>
      </c>
      <c r="D700" s="63" t="s">
        <v>1578</v>
      </c>
      <c r="E700" s="63" t="s">
        <v>1578</v>
      </c>
      <c r="F700" s="63" t="s">
        <v>780</v>
      </c>
      <c r="G700" s="63" t="s">
        <v>1661</v>
      </c>
      <c r="H700" s="62" t="s">
        <v>386</v>
      </c>
      <c r="I700" s="63" t="s">
        <v>1662</v>
      </c>
      <c r="J700" t="str">
        <f t="shared" si="22"/>
        <v>1062202 - Terreno El Yodo-Desarrollo</v>
      </c>
      <c r="K700" t="str">
        <f t="shared" si="23"/>
        <v>Terreno</v>
      </c>
    </row>
    <row r="701" spans="1:11" x14ac:dyDescent="0.25">
      <c r="A701" s="62">
        <v>62</v>
      </c>
      <c r="B701" s="63" t="s">
        <v>780</v>
      </c>
      <c r="C701" s="63" t="s">
        <v>1836</v>
      </c>
      <c r="D701" s="63" t="s">
        <v>65</v>
      </c>
      <c r="E701" s="63" t="s">
        <v>65</v>
      </c>
      <c r="F701" s="63" t="s">
        <v>780</v>
      </c>
      <c r="G701" s="63" t="s">
        <v>1663</v>
      </c>
      <c r="H701" s="62" t="s">
        <v>1672</v>
      </c>
      <c r="I701" s="63" t="s">
        <v>1664</v>
      </c>
      <c r="J701" t="str">
        <f t="shared" si="22"/>
        <v>62 - Cumbres del Mar</v>
      </c>
      <c r="K701" t="str">
        <f t="shared" si="23"/>
        <v>Obra</v>
      </c>
    </row>
    <row r="702" spans="1:11" x14ac:dyDescent="0.25">
      <c r="A702" s="62">
        <v>8062</v>
      </c>
      <c r="B702" s="63" t="s">
        <v>506</v>
      </c>
      <c r="C702" s="63" t="s">
        <v>1836</v>
      </c>
      <c r="D702" s="63" t="s">
        <v>1686</v>
      </c>
      <c r="E702" s="63" t="s">
        <v>1501</v>
      </c>
      <c r="F702" s="63" t="s">
        <v>780</v>
      </c>
      <c r="G702" s="63" t="s">
        <v>1661</v>
      </c>
      <c r="H702" s="62" t="s">
        <v>386</v>
      </c>
      <c r="I702" s="63" t="s">
        <v>1666</v>
      </c>
      <c r="J702" t="str">
        <f t="shared" si="22"/>
        <v>8062 - Entrega Cumbres del Mar</v>
      </c>
      <c r="K702" t="str">
        <f t="shared" si="23"/>
        <v>Entrega</v>
      </c>
    </row>
    <row r="703" spans="1:11" x14ac:dyDescent="0.25">
      <c r="A703" s="62">
        <v>9062</v>
      </c>
      <c r="B703" s="63" t="s">
        <v>601</v>
      </c>
      <c r="C703" s="63" t="s">
        <v>1836</v>
      </c>
      <c r="D703" s="63" t="s">
        <v>66</v>
      </c>
      <c r="E703" s="63" t="s">
        <v>328</v>
      </c>
      <c r="F703" s="63" t="s">
        <v>780</v>
      </c>
      <c r="G703" s="63" t="s">
        <v>1661</v>
      </c>
      <c r="H703" s="62" t="s">
        <v>386</v>
      </c>
      <c r="I703" s="63" t="s">
        <v>1666</v>
      </c>
      <c r="J703" t="str">
        <f t="shared" si="22"/>
        <v>9062 - PV Cumbres del Mar</v>
      </c>
      <c r="K703" t="str">
        <f t="shared" si="23"/>
        <v>Postventa</v>
      </c>
    </row>
    <row r="704" spans="1:11" x14ac:dyDescent="0.25">
      <c r="A704" s="62">
        <v>10062000</v>
      </c>
      <c r="B704" s="63" t="s">
        <v>780</v>
      </c>
      <c r="C704" s="63" t="s">
        <v>1836</v>
      </c>
      <c r="D704" s="63" t="s">
        <v>1665</v>
      </c>
      <c r="E704" s="63" t="s">
        <v>1585</v>
      </c>
      <c r="F704" s="63" t="s">
        <v>780</v>
      </c>
      <c r="G704" s="63" t="s">
        <v>1661</v>
      </c>
      <c r="H704" s="62" t="s">
        <v>386</v>
      </c>
      <c r="I704" s="63" t="s">
        <v>1666</v>
      </c>
      <c r="J704" t="str">
        <f t="shared" si="22"/>
        <v>10062000 - Cumbres del Mar</v>
      </c>
      <c r="K704" t="str">
        <f t="shared" si="23"/>
        <v>Proyectos Inmobiliarios</v>
      </c>
    </row>
    <row r="705" spans="1:11" x14ac:dyDescent="0.25">
      <c r="A705" s="62">
        <v>10062102</v>
      </c>
      <c r="B705" s="63" t="s">
        <v>781</v>
      </c>
      <c r="C705" s="63" t="s">
        <v>1836</v>
      </c>
      <c r="D705" s="63" t="s">
        <v>1665</v>
      </c>
      <c r="E705" s="63" t="s">
        <v>1617</v>
      </c>
      <c r="F705" s="63" t="s">
        <v>780</v>
      </c>
      <c r="G705" s="63" t="s">
        <v>1661</v>
      </c>
      <c r="H705" s="62" t="s">
        <v>386</v>
      </c>
      <c r="I705" s="63" t="s">
        <v>1666</v>
      </c>
      <c r="J705" t="str">
        <f t="shared" si="22"/>
        <v>10062102 - Cumbres del Mar-Marketing</v>
      </c>
      <c r="K705" t="str">
        <f t="shared" si="23"/>
        <v>Proyectos Inmobiliarios</v>
      </c>
    </row>
    <row r="706" spans="1:11" x14ac:dyDescent="0.25">
      <c r="A706" s="62">
        <v>10062103</v>
      </c>
      <c r="B706" s="63" t="s">
        <v>782</v>
      </c>
      <c r="C706" s="63" t="s">
        <v>1836</v>
      </c>
      <c r="D706" s="63" t="s">
        <v>1665</v>
      </c>
      <c r="E706" s="63" t="s">
        <v>1618</v>
      </c>
      <c r="F706" s="63" t="s">
        <v>780</v>
      </c>
      <c r="G706" s="63" t="s">
        <v>1661</v>
      </c>
      <c r="H706" s="62" t="s">
        <v>386</v>
      </c>
      <c r="I706" s="63" t="s">
        <v>1666</v>
      </c>
      <c r="J706" t="str">
        <f t="shared" si="22"/>
        <v>10062103 - Cumbres del Mar-Operaciones</v>
      </c>
      <c r="K706" t="str">
        <f t="shared" si="23"/>
        <v>Proyectos Inmobiliarios</v>
      </c>
    </row>
    <row r="707" spans="1:11" x14ac:dyDescent="0.25">
      <c r="A707" s="62">
        <v>10062104</v>
      </c>
      <c r="B707" s="63" t="s">
        <v>783</v>
      </c>
      <c r="C707" s="63" t="s">
        <v>1836</v>
      </c>
      <c r="D707" s="63" t="s">
        <v>1665</v>
      </c>
      <c r="E707" s="63" t="s">
        <v>90</v>
      </c>
      <c r="F707" s="63" t="s">
        <v>780</v>
      </c>
      <c r="G707" s="63" t="s">
        <v>1661</v>
      </c>
      <c r="H707" s="62" t="s">
        <v>386</v>
      </c>
      <c r="I707" s="63" t="s">
        <v>1666</v>
      </c>
      <c r="J707" t="str">
        <f t="shared" si="22"/>
        <v>10062104 - Cumbres del Mar-Ventas</v>
      </c>
      <c r="K707" t="str">
        <f t="shared" si="23"/>
        <v>Proyectos Inmobiliarios</v>
      </c>
    </row>
    <row r="708" spans="1:11" x14ac:dyDescent="0.25">
      <c r="A708" s="62">
        <v>10062105</v>
      </c>
      <c r="B708" s="63" t="s">
        <v>784</v>
      </c>
      <c r="C708" s="63" t="s">
        <v>1836</v>
      </c>
      <c r="D708" s="63" t="s">
        <v>1665</v>
      </c>
      <c r="E708" s="63" t="s">
        <v>1622</v>
      </c>
      <c r="F708" s="63" t="s">
        <v>780</v>
      </c>
      <c r="G708" s="63" t="s">
        <v>1661</v>
      </c>
      <c r="H708" s="62" t="s">
        <v>386</v>
      </c>
      <c r="I708" s="63" t="s">
        <v>1666</v>
      </c>
      <c r="J708" t="str">
        <f t="shared" ref="J708:J771" si="24">+A708&amp;" - "&amp;B708</f>
        <v>10062105 - Cumbres del Mar-Clientes</v>
      </c>
      <c r="K708" t="str">
        <f t="shared" ref="K708:K771" si="25">+D708</f>
        <v>Proyectos Inmobiliarios</v>
      </c>
    </row>
    <row r="709" spans="1:11" x14ac:dyDescent="0.25">
      <c r="A709" s="62">
        <v>10062204</v>
      </c>
      <c r="B709" s="63" t="s">
        <v>785</v>
      </c>
      <c r="C709" s="63" t="s">
        <v>1836</v>
      </c>
      <c r="D709" s="63" t="s">
        <v>1665</v>
      </c>
      <c r="E709" s="63" t="s">
        <v>1624</v>
      </c>
      <c r="F709" s="63" t="s">
        <v>780</v>
      </c>
      <c r="G709" s="63" t="s">
        <v>1661</v>
      </c>
      <c r="H709" s="62" t="s">
        <v>386</v>
      </c>
      <c r="I709" s="63" t="s">
        <v>1666</v>
      </c>
      <c r="J709" t="str">
        <f t="shared" si="24"/>
        <v>10062204 - Cumbres del Mar-Proyecto</v>
      </c>
      <c r="K709" t="str">
        <f t="shared" si="25"/>
        <v>Proyectos Inmobiliarios</v>
      </c>
    </row>
    <row r="710" spans="1:11" x14ac:dyDescent="0.25">
      <c r="A710" s="62">
        <v>10062301</v>
      </c>
      <c r="B710" s="63" t="s">
        <v>786</v>
      </c>
      <c r="C710" s="63" t="s">
        <v>1836</v>
      </c>
      <c r="D710" s="63" t="s">
        <v>1665</v>
      </c>
      <c r="E710" s="63" t="s">
        <v>1643</v>
      </c>
      <c r="F710" s="63" t="s">
        <v>780</v>
      </c>
      <c r="G710" s="63" t="s">
        <v>1667</v>
      </c>
      <c r="H710" s="62" t="s">
        <v>386</v>
      </c>
      <c r="I710" s="63" t="s">
        <v>1666</v>
      </c>
      <c r="J710" t="str">
        <f t="shared" si="24"/>
        <v>10062301 - Cumbres del Mar-GAF</v>
      </c>
      <c r="K710" t="str">
        <f t="shared" si="25"/>
        <v>Proyectos Inmobiliarios</v>
      </c>
    </row>
    <row r="711" spans="1:11" x14ac:dyDescent="0.25">
      <c r="A711" s="62">
        <v>10062505</v>
      </c>
      <c r="B711" s="63" t="s">
        <v>787</v>
      </c>
      <c r="C711" s="63" t="s">
        <v>1836</v>
      </c>
      <c r="D711" s="63" t="s">
        <v>66</v>
      </c>
      <c r="E711" s="63" t="s">
        <v>328</v>
      </c>
      <c r="F711" s="63" t="s">
        <v>780</v>
      </c>
      <c r="G711" s="63" t="s">
        <v>1661</v>
      </c>
      <c r="H711" s="62" t="s">
        <v>386</v>
      </c>
      <c r="I711" s="63" t="s">
        <v>1666</v>
      </c>
      <c r="J711" t="str">
        <f t="shared" si="24"/>
        <v>10062505 - Cumbres del Mar-PV Inmob.</v>
      </c>
      <c r="K711" t="str">
        <f t="shared" si="25"/>
        <v>Postventa</v>
      </c>
    </row>
    <row r="712" spans="1:11" x14ac:dyDescent="0.25">
      <c r="A712" s="62">
        <v>10062506</v>
      </c>
      <c r="B712" s="63" t="s">
        <v>788</v>
      </c>
      <c r="C712" s="63" t="s">
        <v>1836</v>
      </c>
      <c r="D712" s="63" t="s">
        <v>1665</v>
      </c>
      <c r="E712" s="63" t="s">
        <v>200</v>
      </c>
      <c r="F712" s="63" t="s">
        <v>780</v>
      </c>
      <c r="G712" s="63" t="s">
        <v>1661</v>
      </c>
      <c r="H712" s="62" t="s">
        <v>386</v>
      </c>
      <c r="I712" s="63" t="s">
        <v>1666</v>
      </c>
      <c r="J712" t="str">
        <f t="shared" si="24"/>
        <v>10062506 - Cumbres del Mar-Depto.Técnico</v>
      </c>
      <c r="K712" t="str">
        <f t="shared" si="25"/>
        <v>Proyectos Inmobiliarios</v>
      </c>
    </row>
    <row r="713" spans="1:11" x14ac:dyDescent="0.25">
      <c r="A713" s="50">
        <v>999999999</v>
      </c>
      <c r="B713" s="51" t="s">
        <v>1684</v>
      </c>
      <c r="C713" s="51"/>
      <c r="D713" s="51" t="s">
        <v>1578</v>
      </c>
      <c r="E713" s="51" t="s">
        <v>1578</v>
      </c>
      <c r="F713" s="51" t="s">
        <v>2012</v>
      </c>
      <c r="G713" s="51" t="s">
        <v>1661</v>
      </c>
      <c r="H713" s="50" t="s">
        <v>1672</v>
      </c>
      <c r="I713" s="51" t="s">
        <v>1662</v>
      </c>
      <c r="J713" t="str">
        <f t="shared" si="24"/>
        <v>999999999 - Terreno Abuelo Proyectos sin Terreno</v>
      </c>
      <c r="K713" t="str">
        <f t="shared" si="25"/>
        <v>Terreno</v>
      </c>
    </row>
    <row r="714" spans="1:11" x14ac:dyDescent="0.25">
      <c r="A714" s="50">
        <v>999</v>
      </c>
      <c r="B714" s="51" t="s">
        <v>1808</v>
      </c>
      <c r="C714" s="51"/>
      <c r="D714" s="51" t="s">
        <v>65</v>
      </c>
      <c r="E714" s="51" t="s">
        <v>65</v>
      </c>
      <c r="F714" s="51" t="s">
        <v>2012</v>
      </c>
      <c r="G714" s="51" t="s">
        <v>1663</v>
      </c>
      <c r="H714" s="50" t="s">
        <v>1672</v>
      </c>
      <c r="I714" s="51" t="s">
        <v>1664</v>
      </c>
      <c r="J714" t="str">
        <f t="shared" si="24"/>
        <v>999 - Obra Padre Proyectos sin Obra</v>
      </c>
      <c r="K714" t="str">
        <f t="shared" si="25"/>
        <v>Obra</v>
      </c>
    </row>
    <row r="715" spans="1:11" x14ac:dyDescent="0.25">
      <c r="A715" s="50">
        <v>9924</v>
      </c>
      <c r="B715" s="51" t="s">
        <v>699</v>
      </c>
      <c r="C715" s="51" t="s">
        <v>1670</v>
      </c>
      <c r="D715" s="51" t="s">
        <v>66</v>
      </c>
      <c r="E715" s="51" t="s">
        <v>328</v>
      </c>
      <c r="F715" s="51" t="s">
        <v>2012</v>
      </c>
      <c r="G715" s="51" t="s">
        <v>1661</v>
      </c>
      <c r="H715" s="50" t="s">
        <v>386</v>
      </c>
      <c r="I715" s="51" t="s">
        <v>1666</v>
      </c>
      <c r="J715" t="str">
        <f t="shared" si="24"/>
        <v>9924 - PV - Depto. IVM</v>
      </c>
      <c r="K715" t="str">
        <f t="shared" si="25"/>
        <v>Postventa</v>
      </c>
    </row>
    <row r="716" spans="1:11" x14ac:dyDescent="0.25">
      <c r="A716" s="54">
        <v>1069202</v>
      </c>
      <c r="B716" s="55" t="s">
        <v>2013</v>
      </c>
      <c r="C716" s="55" t="s">
        <v>1670</v>
      </c>
      <c r="D716" s="55" t="s">
        <v>1578</v>
      </c>
      <c r="E716" s="55" t="s">
        <v>1578</v>
      </c>
      <c r="F716" s="55" t="s">
        <v>2014</v>
      </c>
      <c r="G716" s="55" t="s">
        <v>1661</v>
      </c>
      <c r="H716" s="54" t="s">
        <v>1672</v>
      </c>
      <c r="I716" s="55" t="s">
        <v>1662</v>
      </c>
      <c r="J716" t="str">
        <f t="shared" si="24"/>
        <v>1069202 - Terreno Ecuador 4698-4702 – Desarrollo</v>
      </c>
      <c r="K716" t="str">
        <f t="shared" si="25"/>
        <v>Terreno</v>
      </c>
    </row>
    <row r="717" spans="1:11" x14ac:dyDescent="0.25">
      <c r="A717" s="54">
        <v>44</v>
      </c>
      <c r="B717" s="55" t="s">
        <v>2014</v>
      </c>
      <c r="C717" s="55" t="s">
        <v>1670</v>
      </c>
      <c r="D717" s="55" t="s">
        <v>65</v>
      </c>
      <c r="E717" s="55" t="s">
        <v>65</v>
      </c>
      <c r="F717" s="55" t="s">
        <v>2014</v>
      </c>
      <c r="G717" s="55" t="s">
        <v>1663</v>
      </c>
      <c r="H717" s="54" t="s">
        <v>1672</v>
      </c>
      <c r="I717" s="55" t="s">
        <v>1664</v>
      </c>
      <c r="J717" t="str">
        <f t="shared" si="24"/>
        <v>44 - Ecuador</v>
      </c>
      <c r="K717" t="str">
        <f t="shared" si="25"/>
        <v>Obra</v>
      </c>
    </row>
    <row r="718" spans="1:11" x14ac:dyDescent="0.25">
      <c r="A718" s="54">
        <v>10108000</v>
      </c>
      <c r="B718" s="55" t="s">
        <v>2014</v>
      </c>
      <c r="C718" s="55" t="s">
        <v>1670</v>
      </c>
      <c r="D718" s="55" t="s">
        <v>1665</v>
      </c>
      <c r="E718" s="55" t="s">
        <v>1585</v>
      </c>
      <c r="F718" s="55" t="s">
        <v>2014</v>
      </c>
      <c r="G718" s="55" t="s">
        <v>1661</v>
      </c>
      <c r="H718" s="54" t="s">
        <v>1672</v>
      </c>
      <c r="I718" s="55" t="s">
        <v>1666</v>
      </c>
      <c r="J718" t="str">
        <f t="shared" si="24"/>
        <v>10108000 - Ecuador</v>
      </c>
      <c r="K718" t="str">
        <f t="shared" si="25"/>
        <v>Proyectos Inmobiliarios</v>
      </c>
    </row>
    <row r="719" spans="1:11" x14ac:dyDescent="0.25">
      <c r="A719" s="54">
        <v>10108102</v>
      </c>
      <c r="B719" s="55" t="s">
        <v>2015</v>
      </c>
      <c r="C719" s="55" t="s">
        <v>1670</v>
      </c>
      <c r="D719" s="55" t="s">
        <v>1665</v>
      </c>
      <c r="E719" s="55" t="s">
        <v>1617</v>
      </c>
      <c r="F719" s="55" t="s">
        <v>2014</v>
      </c>
      <c r="G719" s="55" t="s">
        <v>1661</v>
      </c>
      <c r="H719" s="54" t="s">
        <v>1672</v>
      </c>
      <c r="I719" s="55" t="s">
        <v>1666</v>
      </c>
      <c r="J719" t="str">
        <f t="shared" si="24"/>
        <v>10108102 - Ecuador-Marketing</v>
      </c>
      <c r="K719" t="str">
        <f t="shared" si="25"/>
        <v>Proyectos Inmobiliarios</v>
      </c>
    </row>
    <row r="720" spans="1:11" x14ac:dyDescent="0.25">
      <c r="A720" s="54">
        <v>10108103</v>
      </c>
      <c r="B720" s="55" t="s">
        <v>2016</v>
      </c>
      <c r="C720" s="55" t="s">
        <v>1670</v>
      </c>
      <c r="D720" s="55" t="s">
        <v>1665</v>
      </c>
      <c r="E720" s="55" t="s">
        <v>1618</v>
      </c>
      <c r="F720" s="55" t="s">
        <v>2014</v>
      </c>
      <c r="G720" s="55" t="s">
        <v>1661</v>
      </c>
      <c r="H720" s="54" t="s">
        <v>1672</v>
      </c>
      <c r="I720" s="55" t="s">
        <v>1666</v>
      </c>
      <c r="J720" t="str">
        <f t="shared" si="24"/>
        <v>10108103 - Ecuador-Operaciones</v>
      </c>
      <c r="K720" t="str">
        <f t="shared" si="25"/>
        <v>Proyectos Inmobiliarios</v>
      </c>
    </row>
    <row r="721" spans="1:11" x14ac:dyDescent="0.25">
      <c r="A721" s="54">
        <v>10108104</v>
      </c>
      <c r="B721" s="55" t="s">
        <v>2017</v>
      </c>
      <c r="C721" s="55" t="s">
        <v>1670</v>
      </c>
      <c r="D721" s="55" t="s">
        <v>1665</v>
      </c>
      <c r="E721" s="55" t="s">
        <v>90</v>
      </c>
      <c r="F721" s="55" t="s">
        <v>2014</v>
      </c>
      <c r="G721" s="55" t="s">
        <v>1661</v>
      </c>
      <c r="H721" s="54" t="s">
        <v>1672</v>
      </c>
      <c r="I721" s="55" t="s">
        <v>1666</v>
      </c>
      <c r="J721" t="str">
        <f t="shared" si="24"/>
        <v>10108104 - Ecuador-Ventas</v>
      </c>
      <c r="K721" t="str">
        <f t="shared" si="25"/>
        <v>Proyectos Inmobiliarios</v>
      </c>
    </row>
    <row r="722" spans="1:11" x14ac:dyDescent="0.25">
      <c r="A722" s="54">
        <v>10108105</v>
      </c>
      <c r="B722" s="55" t="s">
        <v>2018</v>
      </c>
      <c r="C722" s="55" t="s">
        <v>1670</v>
      </c>
      <c r="D722" s="55" t="s">
        <v>1665</v>
      </c>
      <c r="E722" s="55" t="s">
        <v>1622</v>
      </c>
      <c r="F722" s="55" t="s">
        <v>2014</v>
      </c>
      <c r="G722" s="55" t="s">
        <v>1661</v>
      </c>
      <c r="H722" s="54" t="s">
        <v>1672</v>
      </c>
      <c r="I722" s="55" t="s">
        <v>1666</v>
      </c>
      <c r="J722" t="str">
        <f t="shared" si="24"/>
        <v>10108105 - Ecuador-Clientes</v>
      </c>
      <c r="K722" t="str">
        <f t="shared" si="25"/>
        <v>Proyectos Inmobiliarios</v>
      </c>
    </row>
    <row r="723" spans="1:11" x14ac:dyDescent="0.25">
      <c r="A723" s="54">
        <v>10108204</v>
      </c>
      <c r="B723" s="55" t="s">
        <v>2019</v>
      </c>
      <c r="C723" s="55" t="s">
        <v>1670</v>
      </c>
      <c r="D723" s="55" t="s">
        <v>1665</v>
      </c>
      <c r="E723" s="55" t="s">
        <v>1624</v>
      </c>
      <c r="F723" s="55" t="s">
        <v>2014</v>
      </c>
      <c r="G723" s="55" t="s">
        <v>1661</v>
      </c>
      <c r="H723" s="54" t="s">
        <v>1672</v>
      </c>
      <c r="I723" s="55" t="s">
        <v>1666</v>
      </c>
      <c r="J723" t="str">
        <f t="shared" si="24"/>
        <v>10108204 - Ecuador-Proyecto</v>
      </c>
      <c r="K723" t="str">
        <f t="shared" si="25"/>
        <v>Proyectos Inmobiliarios</v>
      </c>
    </row>
    <row r="724" spans="1:11" x14ac:dyDescent="0.25">
      <c r="A724" s="54">
        <v>10108301</v>
      </c>
      <c r="B724" s="55" t="s">
        <v>2020</v>
      </c>
      <c r="C724" s="55" t="s">
        <v>1670</v>
      </c>
      <c r="D724" s="55" t="s">
        <v>1665</v>
      </c>
      <c r="E724" s="55" t="s">
        <v>1643</v>
      </c>
      <c r="F724" s="55" t="s">
        <v>2014</v>
      </c>
      <c r="G724" s="55" t="s">
        <v>1667</v>
      </c>
      <c r="H724" s="54" t="s">
        <v>1672</v>
      </c>
      <c r="I724" s="55" t="s">
        <v>1666</v>
      </c>
      <c r="J724" t="str">
        <f t="shared" si="24"/>
        <v>10108301 - Ecuador-GAF</v>
      </c>
      <c r="K724" t="str">
        <f t="shared" si="25"/>
        <v>Proyectos Inmobiliarios</v>
      </c>
    </row>
    <row r="725" spans="1:11" x14ac:dyDescent="0.25">
      <c r="A725" s="54">
        <v>10108505</v>
      </c>
      <c r="B725" s="55" t="s">
        <v>2021</v>
      </c>
      <c r="C725" s="55" t="s">
        <v>1670</v>
      </c>
      <c r="D725" s="55" t="s">
        <v>66</v>
      </c>
      <c r="E725" s="55" t="s">
        <v>328</v>
      </c>
      <c r="F725" s="55" t="s">
        <v>2014</v>
      </c>
      <c r="G725" s="55" t="s">
        <v>1661</v>
      </c>
      <c r="H725" s="54" t="s">
        <v>1672</v>
      </c>
      <c r="I725" s="55" t="s">
        <v>1666</v>
      </c>
      <c r="J725" t="str">
        <f t="shared" si="24"/>
        <v>10108505 - Ecuador-PV Inmob.</v>
      </c>
      <c r="K725" t="str">
        <f t="shared" si="25"/>
        <v>Postventa</v>
      </c>
    </row>
    <row r="726" spans="1:11" x14ac:dyDescent="0.25">
      <c r="A726" s="54">
        <v>10108506</v>
      </c>
      <c r="B726" s="55" t="s">
        <v>2022</v>
      </c>
      <c r="C726" s="55" t="s">
        <v>1670</v>
      </c>
      <c r="D726" s="55" t="s">
        <v>1665</v>
      </c>
      <c r="E726" s="55" t="s">
        <v>200</v>
      </c>
      <c r="F726" s="55" t="s">
        <v>2014</v>
      </c>
      <c r="G726" s="55" t="s">
        <v>1661</v>
      </c>
      <c r="H726" s="54" t="s">
        <v>1672</v>
      </c>
      <c r="I726" s="55" t="s">
        <v>1666</v>
      </c>
      <c r="J726" t="str">
        <f t="shared" si="24"/>
        <v>10108506 - Ecuador-Depto.Técnico</v>
      </c>
      <c r="K726" t="str">
        <f t="shared" si="25"/>
        <v>Proyectos Inmobiliarios</v>
      </c>
    </row>
    <row r="727" spans="1:11" x14ac:dyDescent="0.25">
      <c r="A727" s="54">
        <v>10174204</v>
      </c>
      <c r="B727" s="55" t="s">
        <v>2023</v>
      </c>
      <c r="C727" s="55" t="s">
        <v>1670</v>
      </c>
      <c r="D727" s="55" t="s">
        <v>1665</v>
      </c>
      <c r="E727" s="55" t="s">
        <v>1624</v>
      </c>
      <c r="F727" s="55" t="s">
        <v>2014</v>
      </c>
      <c r="G727" s="55" t="s">
        <v>1661</v>
      </c>
      <c r="H727" s="54" t="s">
        <v>1672</v>
      </c>
      <c r="I727" s="55" t="s">
        <v>1666</v>
      </c>
      <c r="J727" t="str">
        <f t="shared" si="24"/>
        <v>10174204 - Ecuador Macro-Proyecto</v>
      </c>
      <c r="K727" t="str">
        <f t="shared" si="25"/>
        <v>Proyectos Inmobiliarios</v>
      </c>
    </row>
    <row r="728" spans="1:11" x14ac:dyDescent="0.25">
      <c r="A728" s="54">
        <v>9044</v>
      </c>
      <c r="B728" s="55" t="s">
        <v>590</v>
      </c>
      <c r="C728" s="55" t="s">
        <v>1670</v>
      </c>
      <c r="D728" s="55" t="s">
        <v>66</v>
      </c>
      <c r="E728" s="55" t="s">
        <v>328</v>
      </c>
      <c r="F728" s="55" t="s">
        <v>2014</v>
      </c>
      <c r="G728" s="55" t="s">
        <v>1661</v>
      </c>
      <c r="H728" s="54" t="s">
        <v>386</v>
      </c>
      <c r="I728" s="55" t="s">
        <v>1666</v>
      </c>
      <c r="J728" t="str">
        <f t="shared" si="24"/>
        <v>9044 - PV Ecuador</v>
      </c>
      <c r="K728" t="str">
        <f t="shared" si="25"/>
        <v>Postventa</v>
      </c>
    </row>
    <row r="729" spans="1:11" x14ac:dyDescent="0.25">
      <c r="A729" s="50">
        <v>999999999</v>
      </c>
      <c r="B729" s="51" t="s">
        <v>1684</v>
      </c>
      <c r="C729" s="51"/>
      <c r="D729" s="51" t="s">
        <v>1578</v>
      </c>
      <c r="E729" s="51" t="s">
        <v>1578</v>
      </c>
      <c r="F729" s="51" t="s">
        <v>2024</v>
      </c>
      <c r="G729" s="51" t="s">
        <v>1661</v>
      </c>
      <c r="H729" s="50" t="s">
        <v>1672</v>
      </c>
      <c r="I729" s="51" t="s">
        <v>1662</v>
      </c>
      <c r="J729" t="str">
        <f t="shared" si="24"/>
        <v>999999999 - Terreno Abuelo Proyectos sin Terreno</v>
      </c>
      <c r="K729" t="str">
        <f t="shared" si="25"/>
        <v>Terreno</v>
      </c>
    </row>
    <row r="730" spans="1:11" x14ac:dyDescent="0.25">
      <c r="A730" s="50">
        <v>999</v>
      </c>
      <c r="B730" s="51" t="s">
        <v>1808</v>
      </c>
      <c r="C730" s="51"/>
      <c r="D730" s="51" t="s">
        <v>65</v>
      </c>
      <c r="E730" s="51" t="s">
        <v>65</v>
      </c>
      <c r="F730" s="51" t="s">
        <v>2024</v>
      </c>
      <c r="G730" s="51" t="s">
        <v>1663</v>
      </c>
      <c r="H730" s="50" t="s">
        <v>1672</v>
      </c>
      <c r="I730" s="51" t="s">
        <v>1664</v>
      </c>
      <c r="J730" t="str">
        <f t="shared" si="24"/>
        <v>999 - Obra Padre Proyectos sin Obra</v>
      </c>
      <c r="K730" t="str">
        <f t="shared" si="25"/>
        <v>Obra</v>
      </c>
    </row>
    <row r="731" spans="1:11" x14ac:dyDescent="0.25">
      <c r="A731" s="50">
        <v>9904</v>
      </c>
      <c r="B731" s="51" t="s">
        <v>681</v>
      </c>
      <c r="C731" s="51" t="s">
        <v>1685</v>
      </c>
      <c r="D731" s="51" t="s">
        <v>66</v>
      </c>
      <c r="E731" s="51" t="s">
        <v>328</v>
      </c>
      <c r="F731" s="51" t="s">
        <v>2024</v>
      </c>
      <c r="G731" s="51" t="s">
        <v>1661</v>
      </c>
      <c r="H731" s="50" t="s">
        <v>386</v>
      </c>
      <c r="I731" s="51" t="s">
        <v>1666</v>
      </c>
      <c r="J731" t="str">
        <f t="shared" si="24"/>
        <v>9904 - PV Edifcio Campanario I</v>
      </c>
      <c r="K731" t="str">
        <f t="shared" si="25"/>
        <v>Postventa</v>
      </c>
    </row>
    <row r="732" spans="1:11" x14ac:dyDescent="0.25">
      <c r="A732" s="56">
        <v>999999999</v>
      </c>
      <c r="B732" s="57" t="s">
        <v>1684</v>
      </c>
      <c r="C732" s="57"/>
      <c r="D732" s="57" t="s">
        <v>1578</v>
      </c>
      <c r="E732" s="57" t="s">
        <v>1578</v>
      </c>
      <c r="F732" s="57" t="s">
        <v>2025</v>
      </c>
      <c r="G732" s="57" t="s">
        <v>1661</v>
      </c>
      <c r="H732" s="56" t="s">
        <v>1672</v>
      </c>
      <c r="I732" s="57" t="s">
        <v>1662</v>
      </c>
      <c r="J732" t="str">
        <f t="shared" si="24"/>
        <v>999999999 - Terreno Abuelo Proyectos sin Terreno</v>
      </c>
      <c r="K732" t="str">
        <f t="shared" si="25"/>
        <v>Terreno</v>
      </c>
    </row>
    <row r="733" spans="1:11" x14ac:dyDescent="0.25">
      <c r="A733" s="56">
        <v>999</v>
      </c>
      <c r="B733" s="57" t="s">
        <v>1808</v>
      </c>
      <c r="C733" s="57"/>
      <c r="D733" s="57" t="s">
        <v>65</v>
      </c>
      <c r="E733" s="57" t="s">
        <v>65</v>
      </c>
      <c r="F733" s="57" t="s">
        <v>2025</v>
      </c>
      <c r="G733" s="57" t="s">
        <v>1663</v>
      </c>
      <c r="H733" s="56" t="s">
        <v>1672</v>
      </c>
      <c r="I733" s="57" t="s">
        <v>1664</v>
      </c>
      <c r="J733" t="str">
        <f t="shared" si="24"/>
        <v>999 - Obra Padre Proyectos sin Obra</v>
      </c>
      <c r="K733" t="str">
        <f t="shared" si="25"/>
        <v>Obra</v>
      </c>
    </row>
    <row r="734" spans="1:11" x14ac:dyDescent="0.25">
      <c r="A734" s="56">
        <v>9905</v>
      </c>
      <c r="B734" s="57" t="s">
        <v>682</v>
      </c>
      <c r="C734" s="57" t="s">
        <v>1685</v>
      </c>
      <c r="D734" s="57" t="s">
        <v>66</v>
      </c>
      <c r="E734" s="57" t="s">
        <v>328</v>
      </c>
      <c r="F734" s="57" t="s">
        <v>2025</v>
      </c>
      <c r="G734" s="57" t="s">
        <v>1661</v>
      </c>
      <c r="H734" s="56" t="s">
        <v>386</v>
      </c>
      <c r="I734" s="57" t="s">
        <v>1666</v>
      </c>
      <c r="J734" t="str">
        <f t="shared" si="24"/>
        <v>9905 - PV Edifcio Campanario II</v>
      </c>
      <c r="K734" t="str">
        <f t="shared" si="25"/>
        <v>Postventa</v>
      </c>
    </row>
    <row r="735" spans="1:11" x14ac:dyDescent="0.25">
      <c r="A735" s="58">
        <v>999999999</v>
      </c>
      <c r="B735" s="59" t="s">
        <v>1684</v>
      </c>
      <c r="C735" s="59"/>
      <c r="D735" s="59" t="s">
        <v>1578</v>
      </c>
      <c r="E735" s="59" t="s">
        <v>1578</v>
      </c>
      <c r="F735" s="59" t="s">
        <v>1059</v>
      </c>
      <c r="G735" s="59" t="s">
        <v>1661</v>
      </c>
      <c r="H735" s="58" t="s">
        <v>1672</v>
      </c>
      <c r="I735" s="59" t="s">
        <v>1662</v>
      </c>
      <c r="J735" t="str">
        <f t="shared" si="24"/>
        <v>999999999 - Terreno Abuelo Proyectos sin Terreno</v>
      </c>
      <c r="K735" t="str">
        <f t="shared" si="25"/>
        <v>Terreno</v>
      </c>
    </row>
    <row r="736" spans="1:11" x14ac:dyDescent="0.25">
      <c r="A736" s="58">
        <v>227</v>
      </c>
      <c r="B736" s="59" t="s">
        <v>1059</v>
      </c>
      <c r="C736" s="59" t="s">
        <v>1685</v>
      </c>
      <c r="D736" s="59" t="s">
        <v>65</v>
      </c>
      <c r="E736" s="59" t="s">
        <v>65</v>
      </c>
      <c r="F736" s="59" t="s">
        <v>1059</v>
      </c>
      <c r="G736" s="59" t="s">
        <v>1663</v>
      </c>
      <c r="H736" s="58" t="s">
        <v>1672</v>
      </c>
      <c r="I736" s="59" t="s">
        <v>1664</v>
      </c>
      <c r="J736" t="str">
        <f t="shared" si="24"/>
        <v>227 - Edificio Alto Foresta 2</v>
      </c>
      <c r="K736" t="str">
        <f t="shared" si="25"/>
        <v>Obra</v>
      </c>
    </row>
    <row r="737" spans="1:11" x14ac:dyDescent="0.25">
      <c r="A737" s="58">
        <v>9227</v>
      </c>
      <c r="B737" s="59" t="s">
        <v>647</v>
      </c>
      <c r="C737" s="59" t="s">
        <v>1685</v>
      </c>
      <c r="D737" s="59" t="s">
        <v>66</v>
      </c>
      <c r="E737" s="59" t="s">
        <v>328</v>
      </c>
      <c r="F737" s="59" t="s">
        <v>1059</v>
      </c>
      <c r="G737" s="59" t="s">
        <v>1661</v>
      </c>
      <c r="H737" s="58" t="s">
        <v>386</v>
      </c>
      <c r="I737" s="59" t="s">
        <v>1666</v>
      </c>
      <c r="J737" t="str">
        <f t="shared" si="24"/>
        <v>9227 - PV Edificio Alto Foresta 2</v>
      </c>
      <c r="K737" t="str">
        <f t="shared" si="25"/>
        <v>Postventa</v>
      </c>
    </row>
    <row r="738" spans="1:11" x14ac:dyDescent="0.25">
      <c r="A738" s="58">
        <v>10227000</v>
      </c>
      <c r="B738" s="59" t="s">
        <v>1059</v>
      </c>
      <c r="C738" s="59" t="s">
        <v>1685</v>
      </c>
      <c r="D738" s="59" t="s">
        <v>1665</v>
      </c>
      <c r="E738" s="59" t="s">
        <v>1585</v>
      </c>
      <c r="F738" s="59" t="s">
        <v>1059</v>
      </c>
      <c r="G738" s="59" t="s">
        <v>1661</v>
      </c>
      <c r="H738" s="58" t="s">
        <v>386</v>
      </c>
      <c r="I738" s="59" t="s">
        <v>1666</v>
      </c>
      <c r="J738" t="str">
        <f t="shared" si="24"/>
        <v>10227000 - Edificio Alto Foresta 2</v>
      </c>
      <c r="K738" t="str">
        <f t="shared" si="25"/>
        <v>Proyectos Inmobiliarios</v>
      </c>
    </row>
    <row r="739" spans="1:11" x14ac:dyDescent="0.25">
      <c r="A739" s="58">
        <v>10227102</v>
      </c>
      <c r="B739" s="59" t="s">
        <v>1060</v>
      </c>
      <c r="C739" s="59" t="s">
        <v>1685</v>
      </c>
      <c r="D739" s="59" t="s">
        <v>1665</v>
      </c>
      <c r="E739" s="59" t="s">
        <v>1617</v>
      </c>
      <c r="F739" s="59" t="s">
        <v>1059</v>
      </c>
      <c r="G739" s="59" t="s">
        <v>1661</v>
      </c>
      <c r="H739" s="58" t="s">
        <v>386</v>
      </c>
      <c r="I739" s="59" t="s">
        <v>1666</v>
      </c>
      <c r="J739" t="str">
        <f t="shared" si="24"/>
        <v>10227102 - Edificio Alto Foresta 2-Marketing</v>
      </c>
      <c r="K739" t="str">
        <f t="shared" si="25"/>
        <v>Proyectos Inmobiliarios</v>
      </c>
    </row>
    <row r="740" spans="1:11" x14ac:dyDescent="0.25">
      <c r="A740" s="58">
        <v>10227103</v>
      </c>
      <c r="B740" s="59" t="s">
        <v>1061</v>
      </c>
      <c r="C740" s="59" t="s">
        <v>1685</v>
      </c>
      <c r="D740" s="59" t="s">
        <v>1665</v>
      </c>
      <c r="E740" s="59" t="s">
        <v>1618</v>
      </c>
      <c r="F740" s="59" t="s">
        <v>1059</v>
      </c>
      <c r="G740" s="59" t="s">
        <v>1661</v>
      </c>
      <c r="H740" s="58" t="s">
        <v>386</v>
      </c>
      <c r="I740" s="59" t="s">
        <v>1666</v>
      </c>
      <c r="J740" t="str">
        <f t="shared" si="24"/>
        <v>10227103 - Edificio Alto Foresta 2-Operaciones</v>
      </c>
      <c r="K740" t="str">
        <f t="shared" si="25"/>
        <v>Proyectos Inmobiliarios</v>
      </c>
    </row>
    <row r="741" spans="1:11" x14ac:dyDescent="0.25">
      <c r="A741" s="58">
        <v>10227104</v>
      </c>
      <c r="B741" s="59" t="s">
        <v>1062</v>
      </c>
      <c r="C741" s="59" t="s">
        <v>1685</v>
      </c>
      <c r="D741" s="59" t="s">
        <v>1665</v>
      </c>
      <c r="E741" s="59" t="s">
        <v>90</v>
      </c>
      <c r="F741" s="59" t="s">
        <v>1059</v>
      </c>
      <c r="G741" s="59" t="s">
        <v>1661</v>
      </c>
      <c r="H741" s="58" t="s">
        <v>386</v>
      </c>
      <c r="I741" s="59" t="s">
        <v>1666</v>
      </c>
      <c r="J741" t="str">
        <f t="shared" si="24"/>
        <v>10227104 - Edificio Alto Foresta 2-Ventas</v>
      </c>
      <c r="K741" t="str">
        <f t="shared" si="25"/>
        <v>Proyectos Inmobiliarios</v>
      </c>
    </row>
    <row r="742" spans="1:11" x14ac:dyDescent="0.25">
      <c r="A742" s="58">
        <v>10227105</v>
      </c>
      <c r="B742" s="59" t="s">
        <v>1063</v>
      </c>
      <c r="C742" s="59" t="s">
        <v>1685</v>
      </c>
      <c r="D742" s="59" t="s">
        <v>1665</v>
      </c>
      <c r="E742" s="59" t="s">
        <v>1622</v>
      </c>
      <c r="F742" s="59" t="s">
        <v>1059</v>
      </c>
      <c r="G742" s="59" t="s">
        <v>1661</v>
      </c>
      <c r="H742" s="58" t="s">
        <v>386</v>
      </c>
      <c r="I742" s="59" t="s">
        <v>1666</v>
      </c>
      <c r="J742" t="str">
        <f t="shared" si="24"/>
        <v>10227105 - Edificio Alto Foresta 2-Clientes</v>
      </c>
      <c r="K742" t="str">
        <f t="shared" si="25"/>
        <v>Proyectos Inmobiliarios</v>
      </c>
    </row>
    <row r="743" spans="1:11" x14ac:dyDescent="0.25">
      <c r="A743" s="58">
        <v>10227204</v>
      </c>
      <c r="B743" s="59" t="s">
        <v>1064</v>
      </c>
      <c r="C743" s="59" t="s">
        <v>1685</v>
      </c>
      <c r="D743" s="59" t="s">
        <v>1665</v>
      </c>
      <c r="E743" s="59" t="s">
        <v>1624</v>
      </c>
      <c r="F743" s="59" t="s">
        <v>1059</v>
      </c>
      <c r="G743" s="59" t="s">
        <v>1661</v>
      </c>
      <c r="H743" s="58" t="s">
        <v>386</v>
      </c>
      <c r="I743" s="59" t="s">
        <v>1666</v>
      </c>
      <c r="J743" t="str">
        <f t="shared" si="24"/>
        <v>10227204 - Edificio Alto Foresta 2-Proyecto</v>
      </c>
      <c r="K743" t="str">
        <f t="shared" si="25"/>
        <v>Proyectos Inmobiliarios</v>
      </c>
    </row>
    <row r="744" spans="1:11" x14ac:dyDescent="0.25">
      <c r="A744" s="58">
        <v>10227301</v>
      </c>
      <c r="B744" s="59" t="s">
        <v>1065</v>
      </c>
      <c r="C744" s="59" t="s">
        <v>1685</v>
      </c>
      <c r="D744" s="59" t="s">
        <v>1665</v>
      </c>
      <c r="E744" s="59" t="s">
        <v>1643</v>
      </c>
      <c r="F744" s="59" t="s">
        <v>1059</v>
      </c>
      <c r="G744" s="59" t="s">
        <v>1667</v>
      </c>
      <c r="H744" s="58" t="s">
        <v>386</v>
      </c>
      <c r="I744" s="59" t="s">
        <v>1666</v>
      </c>
      <c r="J744" t="str">
        <f t="shared" si="24"/>
        <v>10227301 - Edificio Alto Foresta 2-GAF</v>
      </c>
      <c r="K744" t="str">
        <f t="shared" si="25"/>
        <v>Proyectos Inmobiliarios</v>
      </c>
    </row>
    <row r="745" spans="1:11" x14ac:dyDescent="0.25">
      <c r="A745" s="58">
        <v>10227505</v>
      </c>
      <c r="B745" s="59" t="s">
        <v>1066</v>
      </c>
      <c r="C745" s="59" t="s">
        <v>1685</v>
      </c>
      <c r="D745" s="59" t="s">
        <v>66</v>
      </c>
      <c r="E745" s="59" t="s">
        <v>328</v>
      </c>
      <c r="F745" s="59" t="s">
        <v>1059</v>
      </c>
      <c r="G745" s="59" t="s">
        <v>1661</v>
      </c>
      <c r="H745" s="58" t="s">
        <v>386</v>
      </c>
      <c r="I745" s="59" t="s">
        <v>1666</v>
      </c>
      <c r="J745" t="str">
        <f t="shared" si="24"/>
        <v>10227505 - Edificio Alto Foresta 2-PV Inmob.</v>
      </c>
      <c r="K745" t="str">
        <f t="shared" si="25"/>
        <v>Postventa</v>
      </c>
    </row>
    <row r="746" spans="1:11" x14ac:dyDescent="0.25">
      <c r="A746" s="58">
        <v>10227506</v>
      </c>
      <c r="B746" s="59" t="s">
        <v>1067</v>
      </c>
      <c r="C746" s="59" t="s">
        <v>1685</v>
      </c>
      <c r="D746" s="59" t="s">
        <v>1665</v>
      </c>
      <c r="E746" s="59" t="s">
        <v>200</v>
      </c>
      <c r="F746" s="59" t="s">
        <v>1059</v>
      </c>
      <c r="G746" s="59" t="s">
        <v>1661</v>
      </c>
      <c r="H746" s="58" t="s">
        <v>386</v>
      </c>
      <c r="I746" s="59" t="s">
        <v>1666</v>
      </c>
      <c r="J746" t="str">
        <f t="shared" si="24"/>
        <v>10227506 - Edificio Alto Foresta 2-Depto.Técnico</v>
      </c>
      <c r="K746" t="str">
        <f t="shared" si="25"/>
        <v>Proyectos Inmobiliarios</v>
      </c>
    </row>
    <row r="747" spans="1:11" x14ac:dyDescent="0.25">
      <c r="A747" s="80">
        <v>1156202</v>
      </c>
      <c r="B747" s="81" t="s">
        <v>773</v>
      </c>
      <c r="C747" s="81" t="s">
        <v>1685</v>
      </c>
      <c r="D747" s="81" t="s">
        <v>1578</v>
      </c>
      <c r="E747" s="81" t="s">
        <v>1578</v>
      </c>
      <c r="F747" s="81" t="s">
        <v>492</v>
      </c>
      <c r="G747" s="81" t="s">
        <v>1661</v>
      </c>
      <c r="H747" s="80" t="s">
        <v>386</v>
      </c>
      <c r="I747" s="81" t="s">
        <v>1662</v>
      </c>
      <c r="J747" t="str">
        <f t="shared" si="24"/>
        <v>1156202 - Terreno Achupallas 499 - Inversiones</v>
      </c>
      <c r="K747" t="str">
        <f t="shared" si="25"/>
        <v>Terreno</v>
      </c>
    </row>
    <row r="748" spans="1:11" x14ac:dyDescent="0.25">
      <c r="A748" s="80">
        <v>353</v>
      </c>
      <c r="B748" s="81" t="s">
        <v>492</v>
      </c>
      <c r="C748" s="81" t="s">
        <v>1685</v>
      </c>
      <c r="D748" s="81" t="s">
        <v>65</v>
      </c>
      <c r="E748" s="81" t="s">
        <v>65</v>
      </c>
      <c r="F748" s="81" t="s">
        <v>492</v>
      </c>
      <c r="G748" s="81" t="s">
        <v>1663</v>
      </c>
      <c r="H748" s="80" t="s">
        <v>386</v>
      </c>
      <c r="I748" s="81" t="s">
        <v>1664</v>
      </c>
      <c r="J748" t="str">
        <f t="shared" si="24"/>
        <v>353 - Edificio Alvarez Oriente</v>
      </c>
      <c r="K748" t="str">
        <f t="shared" si="25"/>
        <v>Obra</v>
      </c>
    </row>
    <row r="749" spans="1:11" x14ac:dyDescent="0.25">
      <c r="A749" s="80">
        <v>10353000</v>
      </c>
      <c r="B749" s="81" t="s">
        <v>492</v>
      </c>
      <c r="C749" s="81" t="s">
        <v>1685</v>
      </c>
      <c r="D749" s="81" t="s">
        <v>1665</v>
      </c>
      <c r="E749" s="81" t="s">
        <v>1585</v>
      </c>
      <c r="F749" s="81" t="s">
        <v>492</v>
      </c>
      <c r="G749" s="81" t="s">
        <v>1661</v>
      </c>
      <c r="H749" s="80" t="s">
        <v>386</v>
      </c>
      <c r="I749" s="81" t="s">
        <v>1666</v>
      </c>
      <c r="J749" t="str">
        <f t="shared" si="24"/>
        <v>10353000 - Edificio Alvarez Oriente</v>
      </c>
      <c r="K749" t="str">
        <f t="shared" si="25"/>
        <v>Proyectos Inmobiliarios</v>
      </c>
    </row>
    <row r="750" spans="1:11" x14ac:dyDescent="0.25">
      <c r="A750" s="80">
        <v>10353102</v>
      </c>
      <c r="B750" s="81" t="s">
        <v>1411</v>
      </c>
      <c r="C750" s="81" t="s">
        <v>1685</v>
      </c>
      <c r="D750" s="81" t="s">
        <v>1665</v>
      </c>
      <c r="E750" s="81" t="s">
        <v>1617</v>
      </c>
      <c r="F750" s="81" t="s">
        <v>492</v>
      </c>
      <c r="G750" s="81" t="s">
        <v>1661</v>
      </c>
      <c r="H750" s="80" t="s">
        <v>386</v>
      </c>
      <c r="I750" s="81" t="s">
        <v>1666</v>
      </c>
      <c r="J750" t="str">
        <f t="shared" si="24"/>
        <v>10353102 - Edificio Alvarez Oriente-Marketing</v>
      </c>
      <c r="K750" t="str">
        <f t="shared" si="25"/>
        <v>Proyectos Inmobiliarios</v>
      </c>
    </row>
    <row r="751" spans="1:11" x14ac:dyDescent="0.25">
      <c r="A751" s="80">
        <v>10353103</v>
      </c>
      <c r="B751" s="81" t="s">
        <v>1412</v>
      </c>
      <c r="C751" s="81" t="s">
        <v>1685</v>
      </c>
      <c r="D751" s="81" t="s">
        <v>1665</v>
      </c>
      <c r="E751" s="81" t="s">
        <v>1618</v>
      </c>
      <c r="F751" s="81" t="s">
        <v>492</v>
      </c>
      <c r="G751" s="81" t="s">
        <v>1661</v>
      </c>
      <c r="H751" s="80" t="s">
        <v>386</v>
      </c>
      <c r="I751" s="81" t="s">
        <v>1666</v>
      </c>
      <c r="J751" t="str">
        <f t="shared" si="24"/>
        <v>10353103 - Edificio Alvarez Oriente-Operaciones</v>
      </c>
      <c r="K751" t="str">
        <f t="shared" si="25"/>
        <v>Proyectos Inmobiliarios</v>
      </c>
    </row>
    <row r="752" spans="1:11" x14ac:dyDescent="0.25">
      <c r="A752" s="80">
        <v>10353104</v>
      </c>
      <c r="B752" s="81" t="s">
        <v>1413</v>
      </c>
      <c r="C752" s="81" t="s">
        <v>1685</v>
      </c>
      <c r="D752" s="81" t="s">
        <v>1665</v>
      </c>
      <c r="E752" s="81" t="s">
        <v>90</v>
      </c>
      <c r="F752" s="81" t="s">
        <v>492</v>
      </c>
      <c r="G752" s="81" t="s">
        <v>1661</v>
      </c>
      <c r="H752" s="80" t="s">
        <v>386</v>
      </c>
      <c r="I752" s="81" t="s">
        <v>1666</v>
      </c>
      <c r="J752" t="str">
        <f t="shared" si="24"/>
        <v>10353104 - Edificio Alvarez Oriente-Ventas</v>
      </c>
      <c r="K752" t="str">
        <f t="shared" si="25"/>
        <v>Proyectos Inmobiliarios</v>
      </c>
    </row>
    <row r="753" spans="1:11" x14ac:dyDescent="0.25">
      <c r="A753" s="80">
        <v>10353105</v>
      </c>
      <c r="B753" s="81" t="s">
        <v>1414</v>
      </c>
      <c r="C753" s="81" t="s">
        <v>1685</v>
      </c>
      <c r="D753" s="81" t="s">
        <v>1665</v>
      </c>
      <c r="E753" s="81" t="s">
        <v>1622</v>
      </c>
      <c r="F753" s="81" t="s">
        <v>492</v>
      </c>
      <c r="G753" s="81" t="s">
        <v>1661</v>
      </c>
      <c r="H753" s="80" t="s">
        <v>386</v>
      </c>
      <c r="I753" s="81" t="s">
        <v>1666</v>
      </c>
      <c r="J753" t="str">
        <f t="shared" si="24"/>
        <v>10353105 - Edificio Alvarez Oriente-Clientes</v>
      </c>
      <c r="K753" t="str">
        <f t="shared" si="25"/>
        <v>Proyectos Inmobiliarios</v>
      </c>
    </row>
    <row r="754" spans="1:11" x14ac:dyDescent="0.25">
      <c r="A754" s="80">
        <v>10353204</v>
      </c>
      <c r="B754" s="81" t="s">
        <v>1415</v>
      </c>
      <c r="C754" s="81" t="s">
        <v>1685</v>
      </c>
      <c r="D754" s="81" t="s">
        <v>1665</v>
      </c>
      <c r="E754" s="81" t="s">
        <v>1624</v>
      </c>
      <c r="F754" s="81" t="s">
        <v>492</v>
      </c>
      <c r="G754" s="81" t="s">
        <v>1661</v>
      </c>
      <c r="H754" s="80" t="s">
        <v>386</v>
      </c>
      <c r="I754" s="81" t="s">
        <v>1666</v>
      </c>
      <c r="J754" t="str">
        <f t="shared" si="24"/>
        <v>10353204 - Edificio Alvarez Oriente-Proyecto</v>
      </c>
      <c r="K754" t="str">
        <f t="shared" si="25"/>
        <v>Proyectos Inmobiliarios</v>
      </c>
    </row>
    <row r="755" spans="1:11" x14ac:dyDescent="0.25">
      <c r="A755" s="80">
        <v>10353301</v>
      </c>
      <c r="B755" s="81" t="s">
        <v>1416</v>
      </c>
      <c r="C755" s="81" t="s">
        <v>1685</v>
      </c>
      <c r="D755" s="81" t="s">
        <v>1665</v>
      </c>
      <c r="E755" s="81" t="s">
        <v>1643</v>
      </c>
      <c r="F755" s="81" t="s">
        <v>492</v>
      </c>
      <c r="G755" s="81" t="s">
        <v>1667</v>
      </c>
      <c r="H755" s="80" t="s">
        <v>386</v>
      </c>
      <c r="I755" s="81" t="s">
        <v>1666</v>
      </c>
      <c r="J755" t="str">
        <f t="shared" si="24"/>
        <v>10353301 - Edificio Alvarez Oriente-GAF</v>
      </c>
      <c r="K755" t="str">
        <f t="shared" si="25"/>
        <v>Proyectos Inmobiliarios</v>
      </c>
    </row>
    <row r="756" spans="1:11" x14ac:dyDescent="0.25">
      <c r="A756" s="80">
        <v>10353505</v>
      </c>
      <c r="B756" s="81" t="s">
        <v>1417</v>
      </c>
      <c r="C756" s="81" t="s">
        <v>1685</v>
      </c>
      <c r="D756" s="81" t="s">
        <v>66</v>
      </c>
      <c r="E756" s="81" t="s">
        <v>328</v>
      </c>
      <c r="F756" s="81" t="s">
        <v>492</v>
      </c>
      <c r="G756" s="81" t="s">
        <v>1661</v>
      </c>
      <c r="H756" s="80" t="s">
        <v>386</v>
      </c>
      <c r="I756" s="81" t="s">
        <v>1666</v>
      </c>
      <c r="J756" t="str">
        <f t="shared" si="24"/>
        <v>10353505 - Edificio Alvarez Oriente-PV Inmob.</v>
      </c>
      <c r="K756" t="str">
        <f t="shared" si="25"/>
        <v>Postventa</v>
      </c>
    </row>
    <row r="757" spans="1:11" x14ac:dyDescent="0.25">
      <c r="A757" s="80">
        <v>10353506</v>
      </c>
      <c r="B757" s="81" t="s">
        <v>1418</v>
      </c>
      <c r="C757" s="81" t="s">
        <v>1685</v>
      </c>
      <c r="D757" s="81" t="s">
        <v>1665</v>
      </c>
      <c r="E757" s="81" t="s">
        <v>200</v>
      </c>
      <c r="F757" s="81" t="s">
        <v>492</v>
      </c>
      <c r="G757" s="81" t="s">
        <v>1661</v>
      </c>
      <c r="H757" s="80" t="s">
        <v>386</v>
      </c>
      <c r="I757" s="81" t="s">
        <v>1666</v>
      </c>
      <c r="J757" t="str">
        <f t="shared" si="24"/>
        <v>10353506 - Edificio Alvarez Oriente-Depto.Técnico</v>
      </c>
      <c r="K757" t="str">
        <f t="shared" si="25"/>
        <v>Proyectos Inmobiliarios</v>
      </c>
    </row>
    <row r="758" spans="1:11" x14ac:dyDescent="0.25">
      <c r="A758" s="80">
        <v>8353</v>
      </c>
      <c r="B758" s="81" t="s">
        <v>2026</v>
      </c>
      <c r="C758" s="81" t="s">
        <v>1685</v>
      </c>
      <c r="D758" s="81" t="s">
        <v>1686</v>
      </c>
      <c r="E758" s="81" t="s">
        <v>1501</v>
      </c>
      <c r="F758" s="81" t="s">
        <v>492</v>
      </c>
      <c r="G758" s="81" t="s">
        <v>1661</v>
      </c>
      <c r="H758" s="80" t="s">
        <v>1672</v>
      </c>
      <c r="I758" s="81" t="s">
        <v>1666</v>
      </c>
      <c r="J758" t="str">
        <f t="shared" si="24"/>
        <v>8353 - Entrega Edificio Alvarez Oriente</v>
      </c>
      <c r="K758" t="str">
        <f t="shared" si="25"/>
        <v>Entrega</v>
      </c>
    </row>
    <row r="759" spans="1:11" x14ac:dyDescent="0.25">
      <c r="A759" s="80">
        <v>9353</v>
      </c>
      <c r="B759" s="81" t="s">
        <v>2027</v>
      </c>
      <c r="C759" s="81" t="s">
        <v>1685</v>
      </c>
      <c r="D759" s="81" t="s">
        <v>66</v>
      </c>
      <c r="E759" s="81" t="s">
        <v>328</v>
      </c>
      <c r="F759" s="81" t="s">
        <v>492</v>
      </c>
      <c r="G759" s="81" t="s">
        <v>1661</v>
      </c>
      <c r="H759" s="80" t="s">
        <v>1672</v>
      </c>
      <c r="I759" s="81" t="s">
        <v>1666</v>
      </c>
      <c r="J759" t="str">
        <f t="shared" si="24"/>
        <v>9353 - PV Edificio Alvarez Oriente</v>
      </c>
      <c r="K759" t="str">
        <f t="shared" si="25"/>
        <v>Postventa</v>
      </c>
    </row>
    <row r="760" spans="1:11" x14ac:dyDescent="0.25">
      <c r="A760" s="58">
        <v>999999999</v>
      </c>
      <c r="B760" s="59" t="s">
        <v>1684</v>
      </c>
      <c r="C760" s="59"/>
      <c r="D760" s="59" t="s">
        <v>1578</v>
      </c>
      <c r="E760" s="59" t="s">
        <v>1578</v>
      </c>
      <c r="F760" s="59" t="s">
        <v>2028</v>
      </c>
      <c r="G760" s="59" t="s">
        <v>1661</v>
      </c>
      <c r="H760" s="58" t="s">
        <v>1672</v>
      </c>
      <c r="I760" s="59" t="s">
        <v>1662</v>
      </c>
      <c r="J760" t="str">
        <f t="shared" si="24"/>
        <v>999999999 - Terreno Abuelo Proyectos sin Terreno</v>
      </c>
      <c r="K760" t="str">
        <f t="shared" si="25"/>
        <v>Terreno</v>
      </c>
    </row>
    <row r="761" spans="1:11" x14ac:dyDescent="0.25">
      <c r="A761" s="58">
        <v>43</v>
      </c>
      <c r="B761" s="59" t="s">
        <v>2028</v>
      </c>
      <c r="C761" s="59" t="s">
        <v>1670</v>
      </c>
      <c r="D761" s="59" t="s">
        <v>65</v>
      </c>
      <c r="E761" s="59" t="s">
        <v>65</v>
      </c>
      <c r="F761" s="59" t="s">
        <v>2028</v>
      </c>
      <c r="G761" s="59" t="s">
        <v>1663</v>
      </c>
      <c r="H761" s="58" t="s">
        <v>1672</v>
      </c>
      <c r="I761" s="59" t="s">
        <v>1664</v>
      </c>
      <c r="J761" t="str">
        <f t="shared" si="24"/>
        <v>43 - Edificio Andrónico Luksic UC</v>
      </c>
      <c r="K761" t="str">
        <f t="shared" si="25"/>
        <v>Obra</v>
      </c>
    </row>
    <row r="762" spans="1:11" x14ac:dyDescent="0.25">
      <c r="A762" s="58">
        <v>9043</v>
      </c>
      <c r="B762" s="59" t="s">
        <v>589</v>
      </c>
      <c r="C762" s="59" t="s">
        <v>1670</v>
      </c>
      <c r="D762" s="59" t="s">
        <v>66</v>
      </c>
      <c r="E762" s="59" t="s">
        <v>328</v>
      </c>
      <c r="F762" s="59" t="s">
        <v>2028</v>
      </c>
      <c r="G762" s="59" t="s">
        <v>1661</v>
      </c>
      <c r="H762" s="58" t="s">
        <v>386</v>
      </c>
      <c r="I762" s="59" t="s">
        <v>1666</v>
      </c>
      <c r="J762" t="str">
        <f t="shared" si="24"/>
        <v>9043 - PV Edificio Andrónico Luksic UC</v>
      </c>
      <c r="K762" t="str">
        <f t="shared" si="25"/>
        <v>Postventa</v>
      </c>
    </row>
    <row r="763" spans="1:11" x14ac:dyDescent="0.25">
      <c r="A763" s="52">
        <v>999999999</v>
      </c>
      <c r="B763" s="53" t="s">
        <v>1684</v>
      </c>
      <c r="C763" s="53"/>
      <c r="D763" s="53" t="s">
        <v>1578</v>
      </c>
      <c r="E763" s="53" t="s">
        <v>1578</v>
      </c>
      <c r="F763" s="53" t="s">
        <v>2029</v>
      </c>
      <c r="G763" s="53" t="s">
        <v>1661</v>
      </c>
      <c r="H763" s="52" t="s">
        <v>1672</v>
      </c>
      <c r="I763" s="53" t="s">
        <v>1662</v>
      </c>
      <c r="J763" t="str">
        <f t="shared" si="24"/>
        <v>999999999 - Terreno Abuelo Proyectos sin Terreno</v>
      </c>
      <c r="K763" t="str">
        <f t="shared" si="25"/>
        <v>Terreno</v>
      </c>
    </row>
    <row r="764" spans="1:11" x14ac:dyDescent="0.25">
      <c r="A764" s="52">
        <v>55</v>
      </c>
      <c r="B764" s="53" t="s">
        <v>2029</v>
      </c>
      <c r="C764" s="53" t="s">
        <v>1670</v>
      </c>
      <c r="D764" s="53" t="s">
        <v>65</v>
      </c>
      <c r="E764" s="53" t="s">
        <v>65</v>
      </c>
      <c r="F764" s="53" t="s">
        <v>2029</v>
      </c>
      <c r="G764" s="53" t="s">
        <v>1663</v>
      </c>
      <c r="H764" s="52" t="s">
        <v>1672</v>
      </c>
      <c r="I764" s="53" t="s">
        <v>1664</v>
      </c>
      <c r="J764" t="str">
        <f t="shared" si="24"/>
        <v>55 - Edificio Bicentenario</v>
      </c>
      <c r="K764" t="str">
        <f t="shared" si="25"/>
        <v>Obra</v>
      </c>
    </row>
    <row r="765" spans="1:11" x14ac:dyDescent="0.25">
      <c r="A765" s="62">
        <v>1092202</v>
      </c>
      <c r="B765" s="63" t="s">
        <v>735</v>
      </c>
      <c r="C765" s="63" t="s">
        <v>1670</v>
      </c>
      <c r="D765" s="63" t="s">
        <v>1578</v>
      </c>
      <c r="E765" s="63" t="s">
        <v>1578</v>
      </c>
      <c r="F765" s="63" t="s">
        <v>463</v>
      </c>
      <c r="G765" s="63" t="s">
        <v>1661</v>
      </c>
      <c r="H765" s="62" t="s">
        <v>386</v>
      </c>
      <c r="I765" s="63" t="s">
        <v>1662</v>
      </c>
      <c r="J765" t="str">
        <f t="shared" si="24"/>
        <v>1092202 - Terreno Briones Luco - Inversiones</v>
      </c>
      <c r="K765" t="str">
        <f t="shared" si="25"/>
        <v>Terreno</v>
      </c>
    </row>
    <row r="766" spans="1:11" x14ac:dyDescent="0.25">
      <c r="A766" s="62">
        <v>228</v>
      </c>
      <c r="B766" s="63" t="s">
        <v>463</v>
      </c>
      <c r="C766" s="63" t="s">
        <v>1670</v>
      </c>
      <c r="D766" s="63" t="s">
        <v>65</v>
      </c>
      <c r="E766" s="63" t="s">
        <v>65</v>
      </c>
      <c r="F766" s="63" t="s">
        <v>463</v>
      </c>
      <c r="G766" s="63" t="s">
        <v>1663</v>
      </c>
      <c r="H766" s="62" t="s">
        <v>386</v>
      </c>
      <c r="I766" s="63" t="s">
        <v>1664</v>
      </c>
      <c r="J766" t="str">
        <f t="shared" si="24"/>
        <v>228 - Edificio Briones Luco</v>
      </c>
      <c r="K766" t="str">
        <f t="shared" si="25"/>
        <v>Obra</v>
      </c>
    </row>
    <row r="767" spans="1:11" x14ac:dyDescent="0.25">
      <c r="A767" s="62">
        <v>8228</v>
      </c>
      <c r="B767" s="63" t="s">
        <v>522</v>
      </c>
      <c r="C767" s="63" t="s">
        <v>1670</v>
      </c>
      <c r="D767" s="63" t="s">
        <v>1686</v>
      </c>
      <c r="E767" s="63" t="s">
        <v>1501</v>
      </c>
      <c r="F767" s="63" t="s">
        <v>463</v>
      </c>
      <c r="G767" s="63" t="s">
        <v>1661</v>
      </c>
      <c r="H767" s="62" t="s">
        <v>386</v>
      </c>
      <c r="I767" s="63" t="s">
        <v>1666</v>
      </c>
      <c r="J767" t="str">
        <f t="shared" si="24"/>
        <v>8228 - Entrega Edificio Briones Luco</v>
      </c>
      <c r="K767" t="str">
        <f t="shared" si="25"/>
        <v>Entrega</v>
      </c>
    </row>
    <row r="768" spans="1:11" x14ac:dyDescent="0.25">
      <c r="A768" s="62">
        <v>9228</v>
      </c>
      <c r="B768" s="63" t="s">
        <v>648</v>
      </c>
      <c r="C768" s="63" t="s">
        <v>1670</v>
      </c>
      <c r="D768" s="63" t="s">
        <v>66</v>
      </c>
      <c r="E768" s="63" t="s">
        <v>328</v>
      </c>
      <c r="F768" s="63" t="s">
        <v>463</v>
      </c>
      <c r="G768" s="63" t="s">
        <v>1661</v>
      </c>
      <c r="H768" s="62" t="s">
        <v>386</v>
      </c>
      <c r="I768" s="63" t="s">
        <v>1666</v>
      </c>
      <c r="J768" t="str">
        <f t="shared" si="24"/>
        <v>9228 - PV Edificio Briones Luco</v>
      </c>
      <c r="K768" t="str">
        <f t="shared" si="25"/>
        <v>Postventa</v>
      </c>
    </row>
    <row r="769" spans="1:11" x14ac:dyDescent="0.25">
      <c r="A769" s="62">
        <v>10228000</v>
      </c>
      <c r="B769" s="63" t="s">
        <v>463</v>
      </c>
      <c r="C769" s="63" t="s">
        <v>1670</v>
      </c>
      <c r="D769" s="63" t="s">
        <v>1665</v>
      </c>
      <c r="E769" s="63" t="s">
        <v>1585</v>
      </c>
      <c r="F769" s="63" t="s">
        <v>463</v>
      </c>
      <c r="G769" s="63" t="s">
        <v>1661</v>
      </c>
      <c r="H769" s="62" t="s">
        <v>386</v>
      </c>
      <c r="I769" s="63" t="s">
        <v>1666</v>
      </c>
      <c r="J769" t="str">
        <f t="shared" si="24"/>
        <v>10228000 - Edificio Briones Luco</v>
      </c>
      <c r="K769" t="str">
        <f t="shared" si="25"/>
        <v>Proyectos Inmobiliarios</v>
      </c>
    </row>
    <row r="770" spans="1:11" x14ac:dyDescent="0.25">
      <c r="A770" s="62">
        <v>10228102</v>
      </c>
      <c r="B770" s="63" t="s">
        <v>1068</v>
      </c>
      <c r="C770" s="63" t="s">
        <v>1670</v>
      </c>
      <c r="D770" s="63" t="s">
        <v>1665</v>
      </c>
      <c r="E770" s="63" t="s">
        <v>1617</v>
      </c>
      <c r="F770" s="63" t="s">
        <v>463</v>
      </c>
      <c r="G770" s="63" t="s">
        <v>1661</v>
      </c>
      <c r="H770" s="62" t="s">
        <v>386</v>
      </c>
      <c r="I770" s="63" t="s">
        <v>1666</v>
      </c>
      <c r="J770" t="str">
        <f t="shared" si="24"/>
        <v>10228102 - Edificio Briones Luco-Marketing</v>
      </c>
      <c r="K770" t="str">
        <f t="shared" si="25"/>
        <v>Proyectos Inmobiliarios</v>
      </c>
    </row>
    <row r="771" spans="1:11" x14ac:dyDescent="0.25">
      <c r="A771" s="62">
        <v>10228103</v>
      </c>
      <c r="B771" s="63" t="s">
        <v>1069</v>
      </c>
      <c r="C771" s="63" t="s">
        <v>1670</v>
      </c>
      <c r="D771" s="63" t="s">
        <v>1665</v>
      </c>
      <c r="E771" s="63" t="s">
        <v>1618</v>
      </c>
      <c r="F771" s="63" t="s">
        <v>463</v>
      </c>
      <c r="G771" s="63" t="s">
        <v>1661</v>
      </c>
      <c r="H771" s="62" t="s">
        <v>386</v>
      </c>
      <c r="I771" s="63" t="s">
        <v>1666</v>
      </c>
      <c r="J771" t="str">
        <f t="shared" si="24"/>
        <v>10228103 - Edificio Briones Luco-Operaciones</v>
      </c>
      <c r="K771" t="str">
        <f t="shared" si="25"/>
        <v>Proyectos Inmobiliarios</v>
      </c>
    </row>
    <row r="772" spans="1:11" x14ac:dyDescent="0.25">
      <c r="A772" s="62">
        <v>10228104</v>
      </c>
      <c r="B772" s="63" t="s">
        <v>1070</v>
      </c>
      <c r="C772" s="63" t="s">
        <v>1670</v>
      </c>
      <c r="D772" s="63" t="s">
        <v>1665</v>
      </c>
      <c r="E772" s="63" t="s">
        <v>90</v>
      </c>
      <c r="F772" s="63" t="s">
        <v>463</v>
      </c>
      <c r="G772" s="63" t="s">
        <v>1661</v>
      </c>
      <c r="H772" s="62" t="s">
        <v>386</v>
      </c>
      <c r="I772" s="63" t="s">
        <v>1666</v>
      </c>
      <c r="J772" t="str">
        <f t="shared" ref="J772:J835" si="26">+A772&amp;" - "&amp;B772</f>
        <v>10228104 - Edificio Briones Luco-Ventas</v>
      </c>
      <c r="K772" t="str">
        <f t="shared" ref="K772:K835" si="27">+D772</f>
        <v>Proyectos Inmobiliarios</v>
      </c>
    </row>
    <row r="773" spans="1:11" x14ac:dyDescent="0.25">
      <c r="A773" s="62">
        <v>10228105</v>
      </c>
      <c r="B773" s="63" t="s">
        <v>1071</v>
      </c>
      <c r="C773" s="63" t="s">
        <v>1670</v>
      </c>
      <c r="D773" s="63" t="s">
        <v>1665</v>
      </c>
      <c r="E773" s="63" t="s">
        <v>1622</v>
      </c>
      <c r="F773" s="63" t="s">
        <v>463</v>
      </c>
      <c r="G773" s="63" t="s">
        <v>1661</v>
      </c>
      <c r="H773" s="62" t="s">
        <v>386</v>
      </c>
      <c r="I773" s="63" t="s">
        <v>1666</v>
      </c>
      <c r="J773" t="str">
        <f t="shared" si="26"/>
        <v>10228105 - Edificio Briones Luco-Clientes</v>
      </c>
      <c r="K773" t="str">
        <f t="shared" si="27"/>
        <v>Proyectos Inmobiliarios</v>
      </c>
    </row>
    <row r="774" spans="1:11" x14ac:dyDescent="0.25">
      <c r="A774" s="62">
        <v>10228204</v>
      </c>
      <c r="B774" s="63" t="s">
        <v>1072</v>
      </c>
      <c r="C774" s="63" t="s">
        <v>1670</v>
      </c>
      <c r="D774" s="63" t="s">
        <v>1665</v>
      </c>
      <c r="E774" s="63" t="s">
        <v>1624</v>
      </c>
      <c r="F774" s="63" t="s">
        <v>463</v>
      </c>
      <c r="G774" s="63" t="s">
        <v>1661</v>
      </c>
      <c r="H774" s="62" t="s">
        <v>386</v>
      </c>
      <c r="I774" s="63" t="s">
        <v>1666</v>
      </c>
      <c r="J774" t="str">
        <f t="shared" si="26"/>
        <v>10228204 - Edificio Briones Luco-Proyecto</v>
      </c>
      <c r="K774" t="str">
        <f t="shared" si="27"/>
        <v>Proyectos Inmobiliarios</v>
      </c>
    </row>
    <row r="775" spans="1:11" x14ac:dyDescent="0.25">
      <c r="A775" s="62">
        <v>10228301</v>
      </c>
      <c r="B775" s="63" t="s">
        <v>1073</v>
      </c>
      <c r="C775" s="63" t="s">
        <v>1670</v>
      </c>
      <c r="D775" s="63" t="s">
        <v>1665</v>
      </c>
      <c r="E775" s="63" t="s">
        <v>1643</v>
      </c>
      <c r="F775" s="63" t="s">
        <v>463</v>
      </c>
      <c r="G775" s="63" t="s">
        <v>1667</v>
      </c>
      <c r="H775" s="62" t="s">
        <v>386</v>
      </c>
      <c r="I775" s="63" t="s">
        <v>1666</v>
      </c>
      <c r="J775" t="str">
        <f t="shared" si="26"/>
        <v>10228301 - Edificio Briones Luco-GAF</v>
      </c>
      <c r="K775" t="str">
        <f t="shared" si="27"/>
        <v>Proyectos Inmobiliarios</v>
      </c>
    </row>
    <row r="776" spans="1:11" x14ac:dyDescent="0.25">
      <c r="A776" s="62">
        <v>10228505</v>
      </c>
      <c r="B776" s="63" t="s">
        <v>1074</v>
      </c>
      <c r="C776" s="63" t="s">
        <v>1670</v>
      </c>
      <c r="D776" s="63" t="s">
        <v>66</v>
      </c>
      <c r="E776" s="63" t="s">
        <v>328</v>
      </c>
      <c r="F776" s="63" t="s">
        <v>463</v>
      </c>
      <c r="G776" s="63" t="s">
        <v>1661</v>
      </c>
      <c r="H776" s="62" t="s">
        <v>386</v>
      </c>
      <c r="I776" s="63" t="s">
        <v>1666</v>
      </c>
      <c r="J776" t="str">
        <f t="shared" si="26"/>
        <v>10228505 - Edificio Briones Luco-PV Inmob.</v>
      </c>
      <c r="K776" t="str">
        <f t="shared" si="27"/>
        <v>Postventa</v>
      </c>
    </row>
    <row r="777" spans="1:11" x14ac:dyDescent="0.25">
      <c r="A777" s="62">
        <v>10228506</v>
      </c>
      <c r="B777" s="63" t="s">
        <v>1075</v>
      </c>
      <c r="C777" s="63" t="s">
        <v>1670</v>
      </c>
      <c r="D777" s="63" t="s">
        <v>1665</v>
      </c>
      <c r="E777" s="63" t="s">
        <v>200</v>
      </c>
      <c r="F777" s="63" t="s">
        <v>463</v>
      </c>
      <c r="G777" s="63" t="s">
        <v>1661</v>
      </c>
      <c r="H777" s="62" t="s">
        <v>386</v>
      </c>
      <c r="I777" s="63" t="s">
        <v>1666</v>
      </c>
      <c r="J777" t="str">
        <f t="shared" si="26"/>
        <v>10228506 - Edificio Briones Luco-Depto.Técnico</v>
      </c>
      <c r="K777" t="str">
        <f t="shared" si="27"/>
        <v>Proyectos Inmobiliarios</v>
      </c>
    </row>
    <row r="778" spans="1:11" x14ac:dyDescent="0.25">
      <c r="A778" s="82">
        <v>1083202</v>
      </c>
      <c r="B778" s="83" t="s">
        <v>730</v>
      </c>
      <c r="C778" s="83" t="s">
        <v>1660</v>
      </c>
      <c r="D778" s="83" t="s">
        <v>1578</v>
      </c>
      <c r="E778" s="83" t="s">
        <v>1578</v>
      </c>
      <c r="F778" s="83" t="s">
        <v>2030</v>
      </c>
      <c r="G778" s="83" t="s">
        <v>1661</v>
      </c>
      <c r="H778" s="82" t="s">
        <v>386</v>
      </c>
      <c r="I778" s="83" t="s">
        <v>1662</v>
      </c>
      <c r="J778" t="str">
        <f t="shared" si="26"/>
        <v>1083202 - Terreno Bulnes Labbe - Desarrollo</v>
      </c>
      <c r="K778" t="str">
        <f t="shared" si="27"/>
        <v>Terreno</v>
      </c>
    </row>
    <row r="779" spans="1:11" x14ac:dyDescent="0.25">
      <c r="A779" s="82">
        <v>209</v>
      </c>
      <c r="B779" s="83" t="s">
        <v>2030</v>
      </c>
      <c r="C779" s="83" t="s">
        <v>1660</v>
      </c>
      <c r="D779" s="83" t="s">
        <v>65</v>
      </c>
      <c r="E779" s="83" t="s">
        <v>65</v>
      </c>
      <c r="F779" s="83" t="s">
        <v>2030</v>
      </c>
      <c r="G779" s="83" t="s">
        <v>1663</v>
      </c>
      <c r="H779" s="82" t="s">
        <v>1672</v>
      </c>
      <c r="I779" s="83" t="s">
        <v>1664</v>
      </c>
      <c r="J779" t="str">
        <f t="shared" si="26"/>
        <v>209 - Edificio Bulnes Labbe</v>
      </c>
      <c r="K779" t="str">
        <f t="shared" si="27"/>
        <v>Obra</v>
      </c>
    </row>
    <row r="780" spans="1:11" x14ac:dyDescent="0.25">
      <c r="A780" s="82">
        <v>8209</v>
      </c>
      <c r="B780" s="83" t="s">
        <v>510</v>
      </c>
      <c r="C780" s="83" t="s">
        <v>1660</v>
      </c>
      <c r="D780" s="83" t="s">
        <v>1686</v>
      </c>
      <c r="E780" s="83" t="s">
        <v>1501</v>
      </c>
      <c r="F780" s="83" t="s">
        <v>2030</v>
      </c>
      <c r="G780" s="83" t="s">
        <v>1661</v>
      </c>
      <c r="H780" s="82" t="s">
        <v>386</v>
      </c>
      <c r="I780" s="83" t="s">
        <v>1666</v>
      </c>
      <c r="J780" t="str">
        <f t="shared" si="26"/>
        <v>8209 - Entrega Edificio Bulnes Labbe</v>
      </c>
      <c r="K780" t="str">
        <f t="shared" si="27"/>
        <v>Entrega</v>
      </c>
    </row>
    <row r="781" spans="1:11" x14ac:dyDescent="0.25">
      <c r="A781" s="82">
        <v>9209</v>
      </c>
      <c r="B781" s="83" t="s">
        <v>632</v>
      </c>
      <c r="C781" s="83" t="s">
        <v>1660</v>
      </c>
      <c r="D781" s="83" t="s">
        <v>66</v>
      </c>
      <c r="E781" s="83" t="s">
        <v>328</v>
      </c>
      <c r="F781" s="83" t="s">
        <v>2030</v>
      </c>
      <c r="G781" s="83" t="s">
        <v>1661</v>
      </c>
      <c r="H781" s="82" t="s">
        <v>386</v>
      </c>
      <c r="I781" s="83" t="s">
        <v>1666</v>
      </c>
      <c r="J781" t="str">
        <f t="shared" si="26"/>
        <v>9209 - PV Edificio Bulnes Labbe</v>
      </c>
      <c r="K781" t="str">
        <f t="shared" si="27"/>
        <v>Postventa</v>
      </c>
    </row>
    <row r="782" spans="1:11" x14ac:dyDescent="0.25">
      <c r="A782" s="82">
        <v>10209000</v>
      </c>
      <c r="B782" s="83" t="s">
        <v>934</v>
      </c>
      <c r="C782" s="83" t="s">
        <v>1660</v>
      </c>
      <c r="D782" s="83" t="s">
        <v>1665</v>
      </c>
      <c r="E782" s="83" t="s">
        <v>1585</v>
      </c>
      <c r="F782" s="83" t="s">
        <v>2030</v>
      </c>
      <c r="G782" s="83" t="s">
        <v>1661</v>
      </c>
      <c r="H782" s="82" t="s">
        <v>386</v>
      </c>
      <c r="I782" s="83" t="s">
        <v>1666</v>
      </c>
      <c r="J782" t="str">
        <f t="shared" si="26"/>
        <v>10209000 - Edificio Edificio Bulnes Labbe</v>
      </c>
      <c r="K782" t="str">
        <f t="shared" si="27"/>
        <v>Proyectos Inmobiliarios</v>
      </c>
    </row>
    <row r="783" spans="1:11" x14ac:dyDescent="0.25">
      <c r="A783" s="82">
        <v>10209102</v>
      </c>
      <c r="B783" s="83" t="s">
        <v>935</v>
      </c>
      <c r="C783" s="83" t="s">
        <v>1660</v>
      </c>
      <c r="D783" s="83" t="s">
        <v>1665</v>
      </c>
      <c r="E783" s="83" t="s">
        <v>1617</v>
      </c>
      <c r="F783" s="83" t="s">
        <v>2030</v>
      </c>
      <c r="G783" s="83" t="s">
        <v>1661</v>
      </c>
      <c r="H783" s="82" t="s">
        <v>386</v>
      </c>
      <c r="I783" s="83" t="s">
        <v>1666</v>
      </c>
      <c r="J783" t="str">
        <f t="shared" si="26"/>
        <v>10209102 - Edificio Edificio Bulnes Labbe-Marketing</v>
      </c>
      <c r="K783" t="str">
        <f t="shared" si="27"/>
        <v>Proyectos Inmobiliarios</v>
      </c>
    </row>
    <row r="784" spans="1:11" x14ac:dyDescent="0.25">
      <c r="A784" s="82">
        <v>10209103</v>
      </c>
      <c r="B784" s="83" t="s">
        <v>936</v>
      </c>
      <c r="C784" s="83" t="s">
        <v>1660</v>
      </c>
      <c r="D784" s="83" t="s">
        <v>1665</v>
      </c>
      <c r="E784" s="83" t="s">
        <v>1618</v>
      </c>
      <c r="F784" s="83" t="s">
        <v>2030</v>
      </c>
      <c r="G784" s="83" t="s">
        <v>1661</v>
      </c>
      <c r="H784" s="82" t="s">
        <v>386</v>
      </c>
      <c r="I784" s="83" t="s">
        <v>1666</v>
      </c>
      <c r="J784" t="str">
        <f t="shared" si="26"/>
        <v>10209103 - Edificio Edificio Bulnes Labbe-Operaciones</v>
      </c>
      <c r="K784" t="str">
        <f t="shared" si="27"/>
        <v>Proyectos Inmobiliarios</v>
      </c>
    </row>
    <row r="785" spans="1:11" x14ac:dyDescent="0.25">
      <c r="A785" s="82">
        <v>10209104</v>
      </c>
      <c r="B785" s="83" t="s">
        <v>937</v>
      </c>
      <c r="C785" s="83" t="s">
        <v>1660</v>
      </c>
      <c r="D785" s="83" t="s">
        <v>1665</v>
      </c>
      <c r="E785" s="83" t="s">
        <v>90</v>
      </c>
      <c r="F785" s="83" t="s">
        <v>2030</v>
      </c>
      <c r="G785" s="83" t="s">
        <v>1661</v>
      </c>
      <c r="H785" s="82" t="s">
        <v>386</v>
      </c>
      <c r="I785" s="83" t="s">
        <v>1666</v>
      </c>
      <c r="J785" t="str">
        <f t="shared" si="26"/>
        <v>10209104 - Edificio Edificio Bulnes Labbe-Ventas</v>
      </c>
      <c r="K785" t="str">
        <f t="shared" si="27"/>
        <v>Proyectos Inmobiliarios</v>
      </c>
    </row>
    <row r="786" spans="1:11" x14ac:dyDescent="0.25">
      <c r="A786" s="82">
        <v>10209105</v>
      </c>
      <c r="B786" s="83" t="s">
        <v>938</v>
      </c>
      <c r="C786" s="83" t="s">
        <v>1660</v>
      </c>
      <c r="D786" s="83" t="s">
        <v>1665</v>
      </c>
      <c r="E786" s="83" t="s">
        <v>1622</v>
      </c>
      <c r="F786" s="83" t="s">
        <v>2030</v>
      </c>
      <c r="G786" s="83" t="s">
        <v>1661</v>
      </c>
      <c r="H786" s="82" t="s">
        <v>386</v>
      </c>
      <c r="I786" s="83" t="s">
        <v>1666</v>
      </c>
      <c r="J786" t="str">
        <f t="shared" si="26"/>
        <v>10209105 - Edificio Edificio Bulnes Labbe-Clientes</v>
      </c>
      <c r="K786" t="str">
        <f t="shared" si="27"/>
        <v>Proyectos Inmobiliarios</v>
      </c>
    </row>
    <row r="787" spans="1:11" x14ac:dyDescent="0.25">
      <c r="A787" s="82">
        <v>10209204</v>
      </c>
      <c r="B787" s="83" t="s">
        <v>939</v>
      </c>
      <c r="C787" s="83" t="s">
        <v>1660</v>
      </c>
      <c r="D787" s="83" t="s">
        <v>1665</v>
      </c>
      <c r="E787" s="83" t="s">
        <v>1624</v>
      </c>
      <c r="F787" s="83" t="s">
        <v>2030</v>
      </c>
      <c r="G787" s="83" t="s">
        <v>1661</v>
      </c>
      <c r="H787" s="82" t="s">
        <v>386</v>
      </c>
      <c r="I787" s="83" t="s">
        <v>1666</v>
      </c>
      <c r="J787" t="str">
        <f t="shared" si="26"/>
        <v>10209204 - Edificio Edificio Bulnes Labbe-Proyecto</v>
      </c>
      <c r="K787" t="str">
        <f t="shared" si="27"/>
        <v>Proyectos Inmobiliarios</v>
      </c>
    </row>
    <row r="788" spans="1:11" x14ac:dyDescent="0.25">
      <c r="A788" s="82">
        <v>10209301</v>
      </c>
      <c r="B788" s="83" t="s">
        <v>940</v>
      </c>
      <c r="C788" s="83" t="s">
        <v>1660</v>
      </c>
      <c r="D788" s="83" t="s">
        <v>1665</v>
      </c>
      <c r="E788" s="83" t="s">
        <v>1643</v>
      </c>
      <c r="F788" s="83" t="s">
        <v>2030</v>
      </c>
      <c r="G788" s="83" t="s">
        <v>1667</v>
      </c>
      <c r="H788" s="82" t="s">
        <v>386</v>
      </c>
      <c r="I788" s="83" t="s">
        <v>1666</v>
      </c>
      <c r="J788" t="str">
        <f t="shared" si="26"/>
        <v>10209301 - Edificio Edificio Bulnes Labbe-GAF</v>
      </c>
      <c r="K788" t="str">
        <f t="shared" si="27"/>
        <v>Proyectos Inmobiliarios</v>
      </c>
    </row>
    <row r="789" spans="1:11" x14ac:dyDescent="0.25">
      <c r="A789" s="82">
        <v>10209505</v>
      </c>
      <c r="B789" s="83" t="s">
        <v>941</v>
      </c>
      <c r="C789" s="83" t="s">
        <v>1660</v>
      </c>
      <c r="D789" s="83" t="s">
        <v>66</v>
      </c>
      <c r="E789" s="83" t="s">
        <v>328</v>
      </c>
      <c r="F789" s="83" t="s">
        <v>2030</v>
      </c>
      <c r="G789" s="83" t="s">
        <v>1661</v>
      </c>
      <c r="H789" s="82" t="s">
        <v>386</v>
      </c>
      <c r="I789" s="83" t="s">
        <v>1666</v>
      </c>
      <c r="J789" t="str">
        <f t="shared" si="26"/>
        <v>10209505 - Edificio Edificio Bulnes Labbe-PV Inmob.</v>
      </c>
      <c r="K789" t="str">
        <f t="shared" si="27"/>
        <v>Postventa</v>
      </c>
    </row>
    <row r="790" spans="1:11" x14ac:dyDescent="0.25">
      <c r="A790" s="82">
        <v>10209506</v>
      </c>
      <c r="B790" s="83" t="s">
        <v>942</v>
      </c>
      <c r="C790" s="83" t="s">
        <v>1660</v>
      </c>
      <c r="D790" s="83" t="s">
        <v>1665</v>
      </c>
      <c r="E790" s="83" t="s">
        <v>200</v>
      </c>
      <c r="F790" s="83" t="s">
        <v>2030</v>
      </c>
      <c r="G790" s="83" t="s">
        <v>1661</v>
      </c>
      <c r="H790" s="82" t="s">
        <v>386</v>
      </c>
      <c r="I790" s="83" t="s">
        <v>1666</v>
      </c>
      <c r="J790" t="str">
        <f t="shared" si="26"/>
        <v>10209506 - Edificio Edificio Bulnes Labbe-Depto.Técnico</v>
      </c>
      <c r="K790" t="str">
        <f t="shared" si="27"/>
        <v>Proyectos Inmobiliarios</v>
      </c>
    </row>
    <row r="791" spans="1:11" x14ac:dyDescent="0.25">
      <c r="A791" s="54">
        <v>1127202</v>
      </c>
      <c r="B791" s="55" t="s">
        <v>759</v>
      </c>
      <c r="C791" s="55" t="s">
        <v>1670</v>
      </c>
      <c r="D791" s="55" t="s">
        <v>1578</v>
      </c>
      <c r="E791" s="55" t="s">
        <v>1578</v>
      </c>
      <c r="F791" s="55" t="s">
        <v>475</v>
      </c>
      <c r="G791" s="55" t="s">
        <v>1661</v>
      </c>
      <c r="H791" s="54" t="s">
        <v>386</v>
      </c>
      <c r="I791" s="55" t="s">
        <v>1662</v>
      </c>
      <c r="J791" t="str">
        <f t="shared" si="26"/>
        <v>1127202 - Terreno Castillo Urízar 1845 – Inversiones</v>
      </c>
      <c r="K791" t="str">
        <f t="shared" si="27"/>
        <v>Terreno</v>
      </c>
    </row>
    <row r="792" spans="1:11" x14ac:dyDescent="0.25">
      <c r="A792" s="54">
        <v>252</v>
      </c>
      <c r="B792" s="55" t="s">
        <v>475</v>
      </c>
      <c r="C792" s="55" t="s">
        <v>1670</v>
      </c>
      <c r="D792" s="55" t="s">
        <v>65</v>
      </c>
      <c r="E792" s="55" t="s">
        <v>65</v>
      </c>
      <c r="F792" s="55" t="s">
        <v>475</v>
      </c>
      <c r="G792" s="55" t="s">
        <v>1663</v>
      </c>
      <c r="H792" s="54" t="s">
        <v>386</v>
      </c>
      <c r="I792" s="55" t="s">
        <v>1664</v>
      </c>
      <c r="J792" t="str">
        <f t="shared" si="26"/>
        <v>252 - Edificio Castillo Urizar</v>
      </c>
      <c r="K792" t="str">
        <f t="shared" si="27"/>
        <v>Obra</v>
      </c>
    </row>
    <row r="793" spans="1:11" x14ac:dyDescent="0.25">
      <c r="A793" s="54">
        <v>8252</v>
      </c>
      <c r="B793" s="55" t="s">
        <v>537</v>
      </c>
      <c r="C793" s="55" t="s">
        <v>1670</v>
      </c>
      <c r="D793" s="55" t="s">
        <v>1686</v>
      </c>
      <c r="E793" s="55" t="s">
        <v>1501</v>
      </c>
      <c r="F793" s="55" t="s">
        <v>475</v>
      </c>
      <c r="G793" s="55" t="s">
        <v>1661</v>
      </c>
      <c r="H793" s="54" t="s">
        <v>386</v>
      </c>
      <c r="I793" s="55" t="s">
        <v>1666</v>
      </c>
      <c r="J793" t="str">
        <f t="shared" si="26"/>
        <v>8252 - Entrega Edificio Castillo Urizar</v>
      </c>
      <c r="K793" t="str">
        <f t="shared" si="27"/>
        <v>Entrega</v>
      </c>
    </row>
    <row r="794" spans="1:11" x14ac:dyDescent="0.25">
      <c r="A794" s="54">
        <v>9252</v>
      </c>
      <c r="B794" s="55" t="s">
        <v>663</v>
      </c>
      <c r="C794" s="55" t="s">
        <v>1670</v>
      </c>
      <c r="D794" s="55" t="s">
        <v>66</v>
      </c>
      <c r="E794" s="55" t="s">
        <v>328</v>
      </c>
      <c r="F794" s="55" t="s">
        <v>475</v>
      </c>
      <c r="G794" s="55" t="s">
        <v>1661</v>
      </c>
      <c r="H794" s="54" t="s">
        <v>386</v>
      </c>
      <c r="I794" s="55" t="s">
        <v>1666</v>
      </c>
      <c r="J794" t="str">
        <f t="shared" si="26"/>
        <v>9252 - PV Edificio Castillo Urizar</v>
      </c>
      <c r="K794" t="str">
        <f t="shared" si="27"/>
        <v>Postventa</v>
      </c>
    </row>
    <row r="795" spans="1:11" x14ac:dyDescent="0.25">
      <c r="A795" s="54">
        <v>10252000</v>
      </c>
      <c r="B795" s="55" t="s">
        <v>475</v>
      </c>
      <c r="C795" s="55" t="s">
        <v>1670</v>
      </c>
      <c r="D795" s="55" t="s">
        <v>1665</v>
      </c>
      <c r="E795" s="55" t="s">
        <v>1585</v>
      </c>
      <c r="F795" s="55" t="s">
        <v>475</v>
      </c>
      <c r="G795" s="55" t="s">
        <v>1661</v>
      </c>
      <c r="H795" s="54" t="s">
        <v>386</v>
      </c>
      <c r="I795" s="55" t="s">
        <v>1666</v>
      </c>
      <c r="J795" t="str">
        <f t="shared" si="26"/>
        <v>10252000 - Edificio Castillo Urizar</v>
      </c>
      <c r="K795" t="str">
        <f t="shared" si="27"/>
        <v>Proyectos Inmobiliarios</v>
      </c>
    </row>
    <row r="796" spans="1:11" x14ac:dyDescent="0.25">
      <c r="A796" s="54">
        <v>10252102</v>
      </c>
      <c r="B796" s="55" t="s">
        <v>1218</v>
      </c>
      <c r="C796" s="55" t="s">
        <v>1670</v>
      </c>
      <c r="D796" s="55" t="s">
        <v>1665</v>
      </c>
      <c r="E796" s="55" t="s">
        <v>1617</v>
      </c>
      <c r="F796" s="55" t="s">
        <v>475</v>
      </c>
      <c r="G796" s="55" t="s">
        <v>1661</v>
      </c>
      <c r="H796" s="54" t="s">
        <v>386</v>
      </c>
      <c r="I796" s="55" t="s">
        <v>1666</v>
      </c>
      <c r="J796" t="str">
        <f t="shared" si="26"/>
        <v>10252102 - Edificio Castillo Urizar-Marketing</v>
      </c>
      <c r="K796" t="str">
        <f t="shared" si="27"/>
        <v>Proyectos Inmobiliarios</v>
      </c>
    </row>
    <row r="797" spans="1:11" x14ac:dyDescent="0.25">
      <c r="A797" s="54">
        <v>10252103</v>
      </c>
      <c r="B797" s="55" t="s">
        <v>1219</v>
      </c>
      <c r="C797" s="55" t="s">
        <v>1670</v>
      </c>
      <c r="D797" s="55" t="s">
        <v>1665</v>
      </c>
      <c r="E797" s="55" t="s">
        <v>1618</v>
      </c>
      <c r="F797" s="55" t="s">
        <v>475</v>
      </c>
      <c r="G797" s="55" t="s">
        <v>1661</v>
      </c>
      <c r="H797" s="54" t="s">
        <v>386</v>
      </c>
      <c r="I797" s="55" t="s">
        <v>1666</v>
      </c>
      <c r="J797" t="str">
        <f t="shared" si="26"/>
        <v>10252103 - Edificio Castillo Urizar-Operaciones</v>
      </c>
      <c r="K797" t="str">
        <f t="shared" si="27"/>
        <v>Proyectos Inmobiliarios</v>
      </c>
    </row>
    <row r="798" spans="1:11" x14ac:dyDescent="0.25">
      <c r="A798" s="54">
        <v>10252104</v>
      </c>
      <c r="B798" s="55" t="s">
        <v>1220</v>
      </c>
      <c r="C798" s="55" t="s">
        <v>1670</v>
      </c>
      <c r="D798" s="55" t="s">
        <v>1665</v>
      </c>
      <c r="E798" s="55" t="s">
        <v>90</v>
      </c>
      <c r="F798" s="55" t="s">
        <v>475</v>
      </c>
      <c r="G798" s="55" t="s">
        <v>1661</v>
      </c>
      <c r="H798" s="54" t="s">
        <v>386</v>
      </c>
      <c r="I798" s="55" t="s">
        <v>1666</v>
      </c>
      <c r="J798" t="str">
        <f t="shared" si="26"/>
        <v>10252104 - Edificio Castillo Urizar-Ventas</v>
      </c>
      <c r="K798" t="str">
        <f t="shared" si="27"/>
        <v>Proyectos Inmobiliarios</v>
      </c>
    </row>
    <row r="799" spans="1:11" x14ac:dyDescent="0.25">
      <c r="A799" s="54">
        <v>10252105</v>
      </c>
      <c r="B799" s="55" t="s">
        <v>1221</v>
      </c>
      <c r="C799" s="55" t="s">
        <v>1670</v>
      </c>
      <c r="D799" s="55" t="s">
        <v>1665</v>
      </c>
      <c r="E799" s="55" t="s">
        <v>1622</v>
      </c>
      <c r="F799" s="55" t="s">
        <v>475</v>
      </c>
      <c r="G799" s="55" t="s">
        <v>1661</v>
      </c>
      <c r="H799" s="54" t="s">
        <v>386</v>
      </c>
      <c r="I799" s="55" t="s">
        <v>1666</v>
      </c>
      <c r="J799" t="str">
        <f t="shared" si="26"/>
        <v>10252105 - Edificio Castillo Urizar-Clientes</v>
      </c>
      <c r="K799" t="str">
        <f t="shared" si="27"/>
        <v>Proyectos Inmobiliarios</v>
      </c>
    </row>
    <row r="800" spans="1:11" x14ac:dyDescent="0.25">
      <c r="A800" s="54">
        <v>10252204</v>
      </c>
      <c r="B800" s="55" t="s">
        <v>1222</v>
      </c>
      <c r="C800" s="55" t="s">
        <v>1670</v>
      </c>
      <c r="D800" s="55" t="s">
        <v>1665</v>
      </c>
      <c r="E800" s="55" t="s">
        <v>1624</v>
      </c>
      <c r="F800" s="55" t="s">
        <v>475</v>
      </c>
      <c r="G800" s="55" t="s">
        <v>1661</v>
      </c>
      <c r="H800" s="54" t="s">
        <v>386</v>
      </c>
      <c r="I800" s="55" t="s">
        <v>1666</v>
      </c>
      <c r="J800" t="str">
        <f t="shared" si="26"/>
        <v>10252204 - Edificio Castillo Urizar-Proyecto</v>
      </c>
      <c r="K800" t="str">
        <f t="shared" si="27"/>
        <v>Proyectos Inmobiliarios</v>
      </c>
    </row>
    <row r="801" spans="1:11" x14ac:dyDescent="0.25">
      <c r="A801" s="54">
        <v>10252301</v>
      </c>
      <c r="B801" s="55" t="s">
        <v>1223</v>
      </c>
      <c r="C801" s="55" t="s">
        <v>1670</v>
      </c>
      <c r="D801" s="55" t="s">
        <v>1665</v>
      </c>
      <c r="E801" s="55" t="s">
        <v>1643</v>
      </c>
      <c r="F801" s="55" t="s">
        <v>475</v>
      </c>
      <c r="G801" s="55" t="s">
        <v>1667</v>
      </c>
      <c r="H801" s="54" t="s">
        <v>386</v>
      </c>
      <c r="I801" s="55" t="s">
        <v>1666</v>
      </c>
      <c r="J801" t="str">
        <f t="shared" si="26"/>
        <v>10252301 - Edificio Castillo Urizar-GAF</v>
      </c>
      <c r="K801" t="str">
        <f t="shared" si="27"/>
        <v>Proyectos Inmobiliarios</v>
      </c>
    </row>
    <row r="802" spans="1:11" x14ac:dyDescent="0.25">
      <c r="A802" s="54">
        <v>10252505</v>
      </c>
      <c r="B802" s="55" t="s">
        <v>1224</v>
      </c>
      <c r="C802" s="55" t="s">
        <v>1670</v>
      </c>
      <c r="D802" s="55" t="s">
        <v>66</v>
      </c>
      <c r="E802" s="55" t="s">
        <v>328</v>
      </c>
      <c r="F802" s="55" t="s">
        <v>475</v>
      </c>
      <c r="G802" s="55" t="s">
        <v>1661</v>
      </c>
      <c r="H802" s="54" t="s">
        <v>386</v>
      </c>
      <c r="I802" s="55" t="s">
        <v>1666</v>
      </c>
      <c r="J802" t="str">
        <f t="shared" si="26"/>
        <v>10252505 - Edificio Castillo Urizar-PV Inmob.</v>
      </c>
      <c r="K802" t="str">
        <f t="shared" si="27"/>
        <v>Postventa</v>
      </c>
    </row>
    <row r="803" spans="1:11" x14ac:dyDescent="0.25">
      <c r="A803" s="54">
        <v>10252506</v>
      </c>
      <c r="B803" s="55" t="s">
        <v>1225</v>
      </c>
      <c r="C803" s="55" t="s">
        <v>1670</v>
      </c>
      <c r="D803" s="55" t="s">
        <v>1665</v>
      </c>
      <c r="E803" s="55" t="s">
        <v>200</v>
      </c>
      <c r="F803" s="55" t="s">
        <v>475</v>
      </c>
      <c r="G803" s="55" t="s">
        <v>1661</v>
      </c>
      <c r="H803" s="54" t="s">
        <v>386</v>
      </c>
      <c r="I803" s="55" t="s">
        <v>1666</v>
      </c>
      <c r="J803" t="str">
        <f t="shared" si="26"/>
        <v>10252506 - Edificio Castillo Urizar-Depto.Técnico</v>
      </c>
      <c r="K803" t="str">
        <f t="shared" si="27"/>
        <v>Proyectos Inmobiliarios</v>
      </c>
    </row>
    <row r="804" spans="1:11" x14ac:dyDescent="0.25">
      <c r="A804" s="66">
        <v>1087202</v>
      </c>
      <c r="B804" s="67" t="s">
        <v>731</v>
      </c>
      <c r="C804" s="67" t="s">
        <v>1670</v>
      </c>
      <c r="D804" s="67" t="s">
        <v>1578</v>
      </c>
      <c r="E804" s="67" t="s">
        <v>1578</v>
      </c>
      <c r="F804" s="67" t="s">
        <v>961</v>
      </c>
      <c r="G804" s="67" t="s">
        <v>1661</v>
      </c>
      <c r="H804" s="66" t="s">
        <v>386</v>
      </c>
      <c r="I804" s="67" t="s">
        <v>1662</v>
      </c>
      <c r="J804" t="str">
        <f t="shared" si="26"/>
        <v>1087202 - Terreno Sanz/Constantino - Desarrollo</v>
      </c>
      <c r="K804" t="str">
        <f t="shared" si="27"/>
        <v>Terreno</v>
      </c>
    </row>
    <row r="805" spans="1:11" x14ac:dyDescent="0.25">
      <c r="A805" s="66">
        <v>212</v>
      </c>
      <c r="B805" s="67" t="s">
        <v>961</v>
      </c>
      <c r="C805" s="67" t="s">
        <v>1670</v>
      </c>
      <c r="D805" s="67" t="s">
        <v>65</v>
      </c>
      <c r="E805" s="67" t="s">
        <v>65</v>
      </c>
      <c r="F805" s="67" t="s">
        <v>961</v>
      </c>
      <c r="G805" s="67" t="s">
        <v>1663</v>
      </c>
      <c r="H805" s="66" t="s">
        <v>1672</v>
      </c>
      <c r="I805" s="67" t="s">
        <v>1664</v>
      </c>
      <c r="J805" t="str">
        <f t="shared" si="26"/>
        <v>212 - Edificio Constantino 54</v>
      </c>
      <c r="K805" t="str">
        <f t="shared" si="27"/>
        <v>Obra</v>
      </c>
    </row>
    <row r="806" spans="1:11" x14ac:dyDescent="0.25">
      <c r="A806" s="66">
        <v>8212</v>
      </c>
      <c r="B806" s="67" t="s">
        <v>512</v>
      </c>
      <c r="C806" s="67" t="s">
        <v>1670</v>
      </c>
      <c r="D806" s="67" t="s">
        <v>1686</v>
      </c>
      <c r="E806" s="67" t="s">
        <v>1501</v>
      </c>
      <c r="F806" s="67" t="s">
        <v>961</v>
      </c>
      <c r="G806" s="67" t="s">
        <v>1661</v>
      </c>
      <c r="H806" s="66" t="s">
        <v>386</v>
      </c>
      <c r="I806" s="67" t="s">
        <v>1666</v>
      </c>
      <c r="J806" t="str">
        <f t="shared" si="26"/>
        <v>8212 - Entrega Edificio Constantino 54</v>
      </c>
      <c r="K806" t="str">
        <f t="shared" si="27"/>
        <v>Entrega</v>
      </c>
    </row>
    <row r="807" spans="1:11" x14ac:dyDescent="0.25">
      <c r="A807" s="66">
        <v>9212</v>
      </c>
      <c r="B807" s="67" t="s">
        <v>635</v>
      </c>
      <c r="C807" s="67" t="s">
        <v>1670</v>
      </c>
      <c r="D807" s="67" t="s">
        <v>66</v>
      </c>
      <c r="E807" s="67" t="s">
        <v>328</v>
      </c>
      <c r="F807" s="67" t="s">
        <v>961</v>
      </c>
      <c r="G807" s="67" t="s">
        <v>1661</v>
      </c>
      <c r="H807" s="66" t="s">
        <v>386</v>
      </c>
      <c r="I807" s="67" t="s">
        <v>1666</v>
      </c>
      <c r="J807" t="str">
        <f t="shared" si="26"/>
        <v>9212 - PV Edificio Constantino 54</v>
      </c>
      <c r="K807" t="str">
        <f t="shared" si="27"/>
        <v>Postventa</v>
      </c>
    </row>
    <row r="808" spans="1:11" x14ac:dyDescent="0.25">
      <c r="A808" s="66">
        <v>10212000</v>
      </c>
      <c r="B808" s="67" t="s">
        <v>961</v>
      </c>
      <c r="C808" s="67" t="s">
        <v>1670</v>
      </c>
      <c r="D808" s="67" t="s">
        <v>1665</v>
      </c>
      <c r="E808" s="67" t="s">
        <v>1585</v>
      </c>
      <c r="F808" s="67" t="s">
        <v>961</v>
      </c>
      <c r="G808" s="67" t="s">
        <v>1661</v>
      </c>
      <c r="H808" s="66" t="s">
        <v>386</v>
      </c>
      <c r="I808" s="67" t="s">
        <v>1666</v>
      </c>
      <c r="J808" t="str">
        <f t="shared" si="26"/>
        <v>10212000 - Edificio Constantino 54</v>
      </c>
      <c r="K808" t="str">
        <f t="shared" si="27"/>
        <v>Proyectos Inmobiliarios</v>
      </c>
    </row>
    <row r="809" spans="1:11" x14ac:dyDescent="0.25">
      <c r="A809" s="66">
        <v>10212102</v>
      </c>
      <c r="B809" s="67" t="s">
        <v>962</v>
      </c>
      <c r="C809" s="67" t="s">
        <v>1670</v>
      </c>
      <c r="D809" s="67" t="s">
        <v>1665</v>
      </c>
      <c r="E809" s="67" t="s">
        <v>1617</v>
      </c>
      <c r="F809" s="67" t="s">
        <v>961</v>
      </c>
      <c r="G809" s="67" t="s">
        <v>1661</v>
      </c>
      <c r="H809" s="66" t="s">
        <v>386</v>
      </c>
      <c r="I809" s="67" t="s">
        <v>1666</v>
      </c>
      <c r="J809" t="str">
        <f t="shared" si="26"/>
        <v>10212102 - Edificio Constantino 54-Marketing</v>
      </c>
      <c r="K809" t="str">
        <f t="shared" si="27"/>
        <v>Proyectos Inmobiliarios</v>
      </c>
    </row>
    <row r="810" spans="1:11" x14ac:dyDescent="0.25">
      <c r="A810" s="66">
        <v>10212103</v>
      </c>
      <c r="B810" s="67" t="s">
        <v>963</v>
      </c>
      <c r="C810" s="67" t="s">
        <v>1670</v>
      </c>
      <c r="D810" s="67" t="s">
        <v>1665</v>
      </c>
      <c r="E810" s="67" t="s">
        <v>1618</v>
      </c>
      <c r="F810" s="67" t="s">
        <v>961</v>
      </c>
      <c r="G810" s="67" t="s">
        <v>1661</v>
      </c>
      <c r="H810" s="66" t="s">
        <v>386</v>
      </c>
      <c r="I810" s="67" t="s">
        <v>1666</v>
      </c>
      <c r="J810" t="str">
        <f t="shared" si="26"/>
        <v>10212103 - Edificio Constantino 54-Operaciones</v>
      </c>
      <c r="K810" t="str">
        <f t="shared" si="27"/>
        <v>Proyectos Inmobiliarios</v>
      </c>
    </row>
    <row r="811" spans="1:11" x14ac:dyDescent="0.25">
      <c r="A811" s="66">
        <v>10212104</v>
      </c>
      <c r="B811" s="67" t="s">
        <v>964</v>
      </c>
      <c r="C811" s="67" t="s">
        <v>1670</v>
      </c>
      <c r="D811" s="67" t="s">
        <v>1665</v>
      </c>
      <c r="E811" s="67" t="s">
        <v>90</v>
      </c>
      <c r="F811" s="67" t="s">
        <v>961</v>
      </c>
      <c r="G811" s="67" t="s">
        <v>1661</v>
      </c>
      <c r="H811" s="66" t="s">
        <v>386</v>
      </c>
      <c r="I811" s="67" t="s">
        <v>1666</v>
      </c>
      <c r="J811" t="str">
        <f t="shared" si="26"/>
        <v>10212104 - Edificio Constantino 54-Ventas</v>
      </c>
      <c r="K811" t="str">
        <f t="shared" si="27"/>
        <v>Proyectos Inmobiliarios</v>
      </c>
    </row>
    <row r="812" spans="1:11" x14ac:dyDescent="0.25">
      <c r="A812" s="66">
        <v>10212105</v>
      </c>
      <c r="B812" s="67" t="s">
        <v>965</v>
      </c>
      <c r="C812" s="67" t="s">
        <v>1670</v>
      </c>
      <c r="D812" s="67" t="s">
        <v>1665</v>
      </c>
      <c r="E812" s="67" t="s">
        <v>1622</v>
      </c>
      <c r="F812" s="67" t="s">
        <v>961</v>
      </c>
      <c r="G812" s="67" t="s">
        <v>1661</v>
      </c>
      <c r="H812" s="66" t="s">
        <v>386</v>
      </c>
      <c r="I812" s="67" t="s">
        <v>1666</v>
      </c>
      <c r="J812" t="str">
        <f t="shared" si="26"/>
        <v>10212105 - Edificio Constantino 54-Clientes</v>
      </c>
      <c r="K812" t="str">
        <f t="shared" si="27"/>
        <v>Proyectos Inmobiliarios</v>
      </c>
    </row>
    <row r="813" spans="1:11" x14ac:dyDescent="0.25">
      <c r="A813" s="66">
        <v>10212204</v>
      </c>
      <c r="B813" s="67" t="s">
        <v>966</v>
      </c>
      <c r="C813" s="67" t="s">
        <v>1670</v>
      </c>
      <c r="D813" s="67" t="s">
        <v>1665</v>
      </c>
      <c r="E813" s="67" t="s">
        <v>1624</v>
      </c>
      <c r="F813" s="67" t="s">
        <v>961</v>
      </c>
      <c r="G813" s="67" t="s">
        <v>1661</v>
      </c>
      <c r="H813" s="66" t="s">
        <v>386</v>
      </c>
      <c r="I813" s="67" t="s">
        <v>1666</v>
      </c>
      <c r="J813" t="str">
        <f t="shared" si="26"/>
        <v>10212204 - Edificio Constantino 54-Proyecto</v>
      </c>
      <c r="K813" t="str">
        <f t="shared" si="27"/>
        <v>Proyectos Inmobiliarios</v>
      </c>
    </row>
    <row r="814" spans="1:11" x14ac:dyDescent="0.25">
      <c r="A814" s="66">
        <v>10212301</v>
      </c>
      <c r="B814" s="67" t="s">
        <v>967</v>
      </c>
      <c r="C814" s="67" t="s">
        <v>1670</v>
      </c>
      <c r="D814" s="67" t="s">
        <v>1665</v>
      </c>
      <c r="E814" s="67" t="s">
        <v>1643</v>
      </c>
      <c r="F814" s="67" t="s">
        <v>961</v>
      </c>
      <c r="G814" s="67" t="s">
        <v>1667</v>
      </c>
      <c r="H814" s="66" t="s">
        <v>386</v>
      </c>
      <c r="I814" s="67" t="s">
        <v>1666</v>
      </c>
      <c r="J814" t="str">
        <f t="shared" si="26"/>
        <v>10212301 - Edificio Constantino 54-GAF</v>
      </c>
      <c r="K814" t="str">
        <f t="shared" si="27"/>
        <v>Proyectos Inmobiliarios</v>
      </c>
    </row>
    <row r="815" spans="1:11" x14ac:dyDescent="0.25">
      <c r="A815" s="66">
        <v>10212505</v>
      </c>
      <c r="B815" s="67" t="s">
        <v>968</v>
      </c>
      <c r="C815" s="67" t="s">
        <v>1670</v>
      </c>
      <c r="D815" s="67" t="s">
        <v>66</v>
      </c>
      <c r="E815" s="67" t="s">
        <v>328</v>
      </c>
      <c r="F815" s="67" t="s">
        <v>961</v>
      </c>
      <c r="G815" s="67" t="s">
        <v>1661</v>
      </c>
      <c r="H815" s="66" t="s">
        <v>386</v>
      </c>
      <c r="I815" s="67" t="s">
        <v>1666</v>
      </c>
      <c r="J815" t="str">
        <f t="shared" si="26"/>
        <v>10212505 - Edificio Constantino 54-PV Inmob.</v>
      </c>
      <c r="K815" t="str">
        <f t="shared" si="27"/>
        <v>Postventa</v>
      </c>
    </row>
    <row r="816" spans="1:11" x14ac:dyDescent="0.25">
      <c r="A816" s="66">
        <v>10212506</v>
      </c>
      <c r="B816" s="67" t="s">
        <v>969</v>
      </c>
      <c r="C816" s="67" t="s">
        <v>1670</v>
      </c>
      <c r="D816" s="67" t="s">
        <v>1665</v>
      </c>
      <c r="E816" s="67" t="s">
        <v>200</v>
      </c>
      <c r="F816" s="67" t="s">
        <v>961</v>
      </c>
      <c r="G816" s="67" t="s">
        <v>1661</v>
      </c>
      <c r="H816" s="66" t="s">
        <v>386</v>
      </c>
      <c r="I816" s="67" t="s">
        <v>1666</v>
      </c>
      <c r="J816" t="str">
        <f t="shared" si="26"/>
        <v>10212506 - Edificio Constantino 54-Depto.Técnico</v>
      </c>
      <c r="K816" t="str">
        <f t="shared" si="27"/>
        <v>Proyectos Inmobiliarios</v>
      </c>
    </row>
    <row r="817" spans="1:11" x14ac:dyDescent="0.25">
      <c r="A817" s="84">
        <v>1105202</v>
      </c>
      <c r="B817" s="85" t="s">
        <v>744</v>
      </c>
      <c r="C817" s="85" t="s">
        <v>1670</v>
      </c>
      <c r="D817" s="85" t="s">
        <v>1578</v>
      </c>
      <c r="E817" s="85" t="s">
        <v>1578</v>
      </c>
      <c r="F817" s="85" t="s">
        <v>465</v>
      </c>
      <c r="G817" s="85" t="s">
        <v>1661</v>
      </c>
      <c r="H817" s="84" t="s">
        <v>386</v>
      </c>
      <c r="I817" s="85" t="s">
        <v>1662</v>
      </c>
      <c r="J817" t="str">
        <f t="shared" si="26"/>
        <v>1105202 - Terreno Coronel Souper – Estación Central – Inversiones</v>
      </c>
      <c r="K817" t="str">
        <f t="shared" si="27"/>
        <v>Terreno</v>
      </c>
    </row>
    <row r="818" spans="1:11" x14ac:dyDescent="0.25">
      <c r="A818" s="84">
        <v>232</v>
      </c>
      <c r="B818" s="85" t="s">
        <v>465</v>
      </c>
      <c r="C818" s="85" t="s">
        <v>1670</v>
      </c>
      <c r="D818" s="85" t="s">
        <v>65</v>
      </c>
      <c r="E818" s="85" t="s">
        <v>65</v>
      </c>
      <c r="F818" s="85" t="s">
        <v>465</v>
      </c>
      <c r="G818" s="85" t="s">
        <v>1663</v>
      </c>
      <c r="H818" s="84" t="s">
        <v>386</v>
      </c>
      <c r="I818" s="85" t="s">
        <v>1664</v>
      </c>
      <c r="J818" t="str">
        <f t="shared" si="26"/>
        <v>232 - Edificio Coronel Souper</v>
      </c>
      <c r="K818" t="str">
        <f t="shared" si="27"/>
        <v>Obra</v>
      </c>
    </row>
    <row r="819" spans="1:11" x14ac:dyDescent="0.25">
      <c r="A819" s="84">
        <v>8232</v>
      </c>
      <c r="B819" s="85" t="s">
        <v>526</v>
      </c>
      <c r="C819" s="85" t="s">
        <v>1670</v>
      </c>
      <c r="D819" s="85" t="s">
        <v>1686</v>
      </c>
      <c r="E819" s="85" t="s">
        <v>1501</v>
      </c>
      <c r="F819" s="85" t="s">
        <v>465</v>
      </c>
      <c r="G819" s="85" t="s">
        <v>1661</v>
      </c>
      <c r="H819" s="84" t="s">
        <v>386</v>
      </c>
      <c r="I819" s="85" t="s">
        <v>1666</v>
      </c>
      <c r="J819" t="str">
        <f t="shared" si="26"/>
        <v>8232 - Entrega Edificio Coronel Souper</v>
      </c>
      <c r="K819" t="str">
        <f t="shared" si="27"/>
        <v>Entrega</v>
      </c>
    </row>
    <row r="820" spans="1:11" x14ac:dyDescent="0.25">
      <c r="A820" s="84">
        <v>9232</v>
      </c>
      <c r="B820" s="85" t="s">
        <v>652</v>
      </c>
      <c r="C820" s="85" t="s">
        <v>1670</v>
      </c>
      <c r="D820" s="85" t="s">
        <v>66</v>
      </c>
      <c r="E820" s="85" t="s">
        <v>328</v>
      </c>
      <c r="F820" s="85" t="s">
        <v>465</v>
      </c>
      <c r="G820" s="85" t="s">
        <v>1661</v>
      </c>
      <c r="H820" s="84" t="s">
        <v>386</v>
      </c>
      <c r="I820" s="85" t="s">
        <v>1666</v>
      </c>
      <c r="J820" t="str">
        <f t="shared" si="26"/>
        <v>9232 - PV Edificio Coronel Souper</v>
      </c>
      <c r="K820" t="str">
        <f t="shared" si="27"/>
        <v>Postventa</v>
      </c>
    </row>
    <row r="821" spans="1:11" x14ac:dyDescent="0.25">
      <c r="A821" s="84">
        <v>10232000</v>
      </c>
      <c r="B821" s="85" t="s">
        <v>465</v>
      </c>
      <c r="C821" s="85" t="s">
        <v>1670</v>
      </c>
      <c r="D821" s="85" t="s">
        <v>1665</v>
      </c>
      <c r="E821" s="85" t="s">
        <v>1585</v>
      </c>
      <c r="F821" s="85" t="s">
        <v>465</v>
      </c>
      <c r="G821" s="85" t="s">
        <v>1661</v>
      </c>
      <c r="H821" s="84" t="s">
        <v>386</v>
      </c>
      <c r="I821" s="85" t="s">
        <v>1666</v>
      </c>
      <c r="J821" t="str">
        <f t="shared" si="26"/>
        <v>10232000 - Edificio Coronel Souper</v>
      </c>
      <c r="K821" t="str">
        <f t="shared" si="27"/>
        <v>Proyectos Inmobiliarios</v>
      </c>
    </row>
    <row r="822" spans="1:11" x14ac:dyDescent="0.25">
      <c r="A822" s="84">
        <v>10232102</v>
      </c>
      <c r="B822" s="85" t="s">
        <v>1102</v>
      </c>
      <c r="C822" s="85" t="s">
        <v>1670</v>
      </c>
      <c r="D822" s="85" t="s">
        <v>1665</v>
      </c>
      <c r="E822" s="85" t="s">
        <v>1617</v>
      </c>
      <c r="F822" s="85" t="s">
        <v>465</v>
      </c>
      <c r="G822" s="85" t="s">
        <v>1661</v>
      </c>
      <c r="H822" s="84" t="s">
        <v>386</v>
      </c>
      <c r="I822" s="85" t="s">
        <v>1666</v>
      </c>
      <c r="J822" t="str">
        <f t="shared" si="26"/>
        <v>10232102 - Edificio Coronel Souper-Marketing</v>
      </c>
      <c r="K822" t="str">
        <f t="shared" si="27"/>
        <v>Proyectos Inmobiliarios</v>
      </c>
    </row>
    <row r="823" spans="1:11" x14ac:dyDescent="0.25">
      <c r="A823" s="84">
        <v>10232103</v>
      </c>
      <c r="B823" s="85" t="s">
        <v>1103</v>
      </c>
      <c r="C823" s="85" t="s">
        <v>1670</v>
      </c>
      <c r="D823" s="85" t="s">
        <v>1665</v>
      </c>
      <c r="E823" s="85" t="s">
        <v>1618</v>
      </c>
      <c r="F823" s="85" t="s">
        <v>465</v>
      </c>
      <c r="G823" s="85" t="s">
        <v>1661</v>
      </c>
      <c r="H823" s="84" t="s">
        <v>386</v>
      </c>
      <c r="I823" s="85" t="s">
        <v>1666</v>
      </c>
      <c r="J823" t="str">
        <f t="shared" si="26"/>
        <v>10232103 - Edificio Coronel Souper-Operaciones</v>
      </c>
      <c r="K823" t="str">
        <f t="shared" si="27"/>
        <v>Proyectos Inmobiliarios</v>
      </c>
    </row>
    <row r="824" spans="1:11" x14ac:dyDescent="0.25">
      <c r="A824" s="84">
        <v>10232104</v>
      </c>
      <c r="B824" s="85" t="s">
        <v>1104</v>
      </c>
      <c r="C824" s="85" t="s">
        <v>1670</v>
      </c>
      <c r="D824" s="85" t="s">
        <v>1665</v>
      </c>
      <c r="E824" s="85" t="s">
        <v>90</v>
      </c>
      <c r="F824" s="85" t="s">
        <v>465</v>
      </c>
      <c r="G824" s="85" t="s">
        <v>1661</v>
      </c>
      <c r="H824" s="84" t="s">
        <v>386</v>
      </c>
      <c r="I824" s="85" t="s">
        <v>1666</v>
      </c>
      <c r="J824" t="str">
        <f t="shared" si="26"/>
        <v>10232104 - Edificio Coronel Souper-Ventas</v>
      </c>
      <c r="K824" t="str">
        <f t="shared" si="27"/>
        <v>Proyectos Inmobiliarios</v>
      </c>
    </row>
    <row r="825" spans="1:11" x14ac:dyDescent="0.25">
      <c r="A825" s="84">
        <v>10232105</v>
      </c>
      <c r="B825" s="85" t="s">
        <v>1105</v>
      </c>
      <c r="C825" s="85" t="s">
        <v>1670</v>
      </c>
      <c r="D825" s="85" t="s">
        <v>1665</v>
      </c>
      <c r="E825" s="85" t="s">
        <v>1622</v>
      </c>
      <c r="F825" s="85" t="s">
        <v>465</v>
      </c>
      <c r="G825" s="85" t="s">
        <v>1661</v>
      </c>
      <c r="H825" s="84" t="s">
        <v>386</v>
      </c>
      <c r="I825" s="85" t="s">
        <v>1666</v>
      </c>
      <c r="J825" t="str">
        <f t="shared" si="26"/>
        <v>10232105 - Edificio Coronel Souper-Clientes</v>
      </c>
      <c r="K825" t="str">
        <f t="shared" si="27"/>
        <v>Proyectos Inmobiliarios</v>
      </c>
    </row>
    <row r="826" spans="1:11" x14ac:dyDescent="0.25">
      <c r="A826" s="84">
        <v>10232204</v>
      </c>
      <c r="B826" s="85" t="s">
        <v>1106</v>
      </c>
      <c r="C826" s="85" t="s">
        <v>1670</v>
      </c>
      <c r="D826" s="85" t="s">
        <v>1665</v>
      </c>
      <c r="E826" s="85" t="s">
        <v>1624</v>
      </c>
      <c r="F826" s="85" t="s">
        <v>465</v>
      </c>
      <c r="G826" s="85" t="s">
        <v>1661</v>
      </c>
      <c r="H826" s="84" t="s">
        <v>386</v>
      </c>
      <c r="I826" s="85" t="s">
        <v>1666</v>
      </c>
      <c r="J826" t="str">
        <f t="shared" si="26"/>
        <v>10232204 - Edificio Coronel Souper-Proyecto</v>
      </c>
      <c r="K826" t="str">
        <f t="shared" si="27"/>
        <v>Proyectos Inmobiliarios</v>
      </c>
    </row>
    <row r="827" spans="1:11" x14ac:dyDescent="0.25">
      <c r="A827" s="84">
        <v>10232301</v>
      </c>
      <c r="B827" s="85" t="s">
        <v>1107</v>
      </c>
      <c r="C827" s="85" t="s">
        <v>1670</v>
      </c>
      <c r="D827" s="85" t="s">
        <v>1665</v>
      </c>
      <c r="E827" s="85" t="s">
        <v>1643</v>
      </c>
      <c r="F827" s="85" t="s">
        <v>465</v>
      </c>
      <c r="G827" s="85" t="s">
        <v>1667</v>
      </c>
      <c r="H827" s="84" t="s">
        <v>386</v>
      </c>
      <c r="I827" s="85" t="s">
        <v>1666</v>
      </c>
      <c r="J827" t="str">
        <f t="shared" si="26"/>
        <v>10232301 - Edificio Coronel Souper-GAF</v>
      </c>
      <c r="K827" t="str">
        <f t="shared" si="27"/>
        <v>Proyectos Inmobiliarios</v>
      </c>
    </row>
    <row r="828" spans="1:11" x14ac:dyDescent="0.25">
      <c r="A828" s="84">
        <v>10232505</v>
      </c>
      <c r="B828" s="85" t="s">
        <v>1652</v>
      </c>
      <c r="C828" s="85" t="s">
        <v>1670</v>
      </c>
      <c r="D828" s="85" t="s">
        <v>66</v>
      </c>
      <c r="E828" s="85" t="s">
        <v>328</v>
      </c>
      <c r="F828" s="85" t="s">
        <v>465</v>
      </c>
      <c r="G828" s="85" t="s">
        <v>1661</v>
      </c>
      <c r="H828" s="84" t="s">
        <v>1672</v>
      </c>
      <c r="I828" s="85" t="s">
        <v>1666</v>
      </c>
      <c r="J828" t="str">
        <f t="shared" si="26"/>
        <v>10232505 - Edificio Coronel Souper-PV Inmob.</v>
      </c>
      <c r="K828" t="str">
        <f t="shared" si="27"/>
        <v>Postventa</v>
      </c>
    </row>
    <row r="829" spans="1:11" x14ac:dyDescent="0.25">
      <c r="A829" s="84">
        <v>10232506</v>
      </c>
      <c r="B829" s="85" t="s">
        <v>1108</v>
      </c>
      <c r="C829" s="85" t="s">
        <v>1670</v>
      </c>
      <c r="D829" s="85" t="s">
        <v>1665</v>
      </c>
      <c r="E829" s="85" t="s">
        <v>200</v>
      </c>
      <c r="F829" s="85" t="s">
        <v>465</v>
      </c>
      <c r="G829" s="85" t="s">
        <v>1661</v>
      </c>
      <c r="H829" s="84" t="s">
        <v>386</v>
      </c>
      <c r="I829" s="85" t="s">
        <v>1666</v>
      </c>
      <c r="J829" t="str">
        <f t="shared" si="26"/>
        <v>10232506 - Edificio Coronel Souper-Depto.Técnico</v>
      </c>
      <c r="K829" t="str">
        <f t="shared" si="27"/>
        <v>Proyectos Inmobiliarios</v>
      </c>
    </row>
    <row r="830" spans="1:11" x14ac:dyDescent="0.25">
      <c r="A830" s="58">
        <v>999999999</v>
      </c>
      <c r="B830" s="59" t="s">
        <v>1684</v>
      </c>
      <c r="C830" s="59"/>
      <c r="D830" s="59" t="s">
        <v>1578</v>
      </c>
      <c r="E830" s="59" t="s">
        <v>1578</v>
      </c>
      <c r="F830" s="59" t="s">
        <v>2031</v>
      </c>
      <c r="G830" s="59" t="s">
        <v>1661</v>
      </c>
      <c r="H830" s="58" t="s">
        <v>1672</v>
      </c>
      <c r="I830" s="59" t="s">
        <v>1662</v>
      </c>
      <c r="J830" t="str">
        <f t="shared" si="26"/>
        <v>999999999 - Terreno Abuelo Proyectos sin Terreno</v>
      </c>
      <c r="K830" t="str">
        <f t="shared" si="27"/>
        <v>Terreno</v>
      </c>
    </row>
    <row r="831" spans="1:11" x14ac:dyDescent="0.25">
      <c r="A831" s="58">
        <v>999</v>
      </c>
      <c r="B831" s="59" t="s">
        <v>1808</v>
      </c>
      <c r="C831" s="59"/>
      <c r="D831" s="59" t="s">
        <v>65</v>
      </c>
      <c r="E831" s="59" t="s">
        <v>65</v>
      </c>
      <c r="F831" s="59" t="s">
        <v>2031</v>
      </c>
      <c r="G831" s="59" t="s">
        <v>1663</v>
      </c>
      <c r="H831" s="58" t="s">
        <v>1672</v>
      </c>
      <c r="I831" s="59" t="s">
        <v>1664</v>
      </c>
      <c r="J831" t="str">
        <f t="shared" si="26"/>
        <v>999 - Obra Padre Proyectos sin Obra</v>
      </c>
      <c r="K831" t="str">
        <f t="shared" si="27"/>
        <v>Obra</v>
      </c>
    </row>
    <row r="832" spans="1:11" x14ac:dyDescent="0.25">
      <c r="A832" s="58">
        <v>9913</v>
      </c>
      <c r="B832" s="59" t="s">
        <v>689</v>
      </c>
      <c r="C832" s="59" t="s">
        <v>1670</v>
      </c>
      <c r="D832" s="59" t="s">
        <v>66</v>
      </c>
      <c r="E832" s="59" t="s">
        <v>328</v>
      </c>
      <c r="F832" s="59" t="s">
        <v>2031</v>
      </c>
      <c r="G832" s="59" t="s">
        <v>1661</v>
      </c>
      <c r="H832" s="58" t="s">
        <v>386</v>
      </c>
      <c r="I832" s="59" t="s">
        <v>1666</v>
      </c>
      <c r="J832" t="str">
        <f t="shared" si="26"/>
        <v>9913 - PV Edificio Doña Teresa</v>
      </c>
      <c r="K832" t="str">
        <f t="shared" si="27"/>
        <v>Postventa</v>
      </c>
    </row>
    <row r="833" spans="1:11" x14ac:dyDescent="0.25">
      <c r="A833" s="50">
        <v>1099202</v>
      </c>
      <c r="B833" s="51" t="s">
        <v>742</v>
      </c>
      <c r="C833" s="51" t="s">
        <v>1670</v>
      </c>
      <c r="D833" s="51" t="s">
        <v>1578</v>
      </c>
      <c r="E833" s="51" t="s">
        <v>1578</v>
      </c>
      <c r="F833" s="51" t="s">
        <v>1006</v>
      </c>
      <c r="G833" s="51" t="s">
        <v>1661</v>
      </c>
      <c r="H833" s="50" t="s">
        <v>386</v>
      </c>
      <c r="I833" s="51" t="s">
        <v>1662</v>
      </c>
      <c r="J833" t="str">
        <f t="shared" si="26"/>
        <v>1099202 - Terreno Dublé Almeyda – Inversiones</v>
      </c>
      <c r="K833" t="str">
        <f t="shared" si="27"/>
        <v>Terreno</v>
      </c>
    </row>
    <row r="834" spans="1:11" x14ac:dyDescent="0.25">
      <c r="A834" s="50">
        <v>217</v>
      </c>
      <c r="B834" s="51" t="s">
        <v>1006</v>
      </c>
      <c r="C834" s="51" t="s">
        <v>1670</v>
      </c>
      <c r="D834" s="51" t="s">
        <v>65</v>
      </c>
      <c r="E834" s="51" t="s">
        <v>65</v>
      </c>
      <c r="F834" s="51" t="s">
        <v>1006</v>
      </c>
      <c r="G834" s="51" t="s">
        <v>1663</v>
      </c>
      <c r="H834" s="50" t="s">
        <v>1672</v>
      </c>
      <c r="I834" s="51" t="s">
        <v>1664</v>
      </c>
      <c r="J834" t="str">
        <f t="shared" si="26"/>
        <v>217 - Edificio Duble Almeyda 2621</v>
      </c>
      <c r="K834" t="str">
        <f t="shared" si="27"/>
        <v>Obra</v>
      </c>
    </row>
    <row r="835" spans="1:11" x14ac:dyDescent="0.25">
      <c r="A835" s="50">
        <v>249</v>
      </c>
      <c r="B835" s="51" t="s">
        <v>2032</v>
      </c>
      <c r="C835" s="51" t="s">
        <v>1670</v>
      </c>
      <c r="D835" s="51" t="s">
        <v>65</v>
      </c>
      <c r="E835" s="51" t="s">
        <v>65</v>
      </c>
      <c r="F835" s="51" t="s">
        <v>1006</v>
      </c>
      <c r="G835" s="51" t="s">
        <v>1663</v>
      </c>
      <c r="H835" s="50" t="s">
        <v>1672</v>
      </c>
      <c r="I835" s="51" t="s">
        <v>1664</v>
      </c>
      <c r="J835" t="str">
        <f t="shared" si="26"/>
        <v>249 - Edificio Duble Almeyda 2621 Exterior</v>
      </c>
      <c r="K835" t="str">
        <f t="shared" si="27"/>
        <v>Obra</v>
      </c>
    </row>
    <row r="836" spans="1:11" x14ac:dyDescent="0.25">
      <c r="A836" s="50">
        <v>8217</v>
      </c>
      <c r="B836" s="51" t="s">
        <v>516</v>
      </c>
      <c r="C836" s="51" t="s">
        <v>1670</v>
      </c>
      <c r="D836" s="51" t="s">
        <v>1686</v>
      </c>
      <c r="E836" s="51" t="s">
        <v>1501</v>
      </c>
      <c r="F836" s="51" t="s">
        <v>1006</v>
      </c>
      <c r="G836" s="51" t="s">
        <v>1661</v>
      </c>
      <c r="H836" s="50" t="s">
        <v>386</v>
      </c>
      <c r="I836" s="51" t="s">
        <v>1666</v>
      </c>
      <c r="J836" t="str">
        <f t="shared" ref="J836:J899" si="28">+A836&amp;" - "&amp;B836</f>
        <v>8217 - Entrega Edificio Duble Almeyda 2621</v>
      </c>
      <c r="K836" t="str">
        <f t="shared" ref="K836:K899" si="29">+D836</f>
        <v>Entrega</v>
      </c>
    </row>
    <row r="837" spans="1:11" x14ac:dyDescent="0.25">
      <c r="A837" s="50">
        <v>9217</v>
      </c>
      <c r="B837" s="51" t="s">
        <v>639</v>
      </c>
      <c r="C837" s="51" t="s">
        <v>1670</v>
      </c>
      <c r="D837" s="51" t="s">
        <v>66</v>
      </c>
      <c r="E837" s="51" t="s">
        <v>328</v>
      </c>
      <c r="F837" s="51" t="s">
        <v>1006</v>
      </c>
      <c r="G837" s="51" t="s">
        <v>1661</v>
      </c>
      <c r="H837" s="50" t="s">
        <v>386</v>
      </c>
      <c r="I837" s="51" t="s">
        <v>1666</v>
      </c>
      <c r="J837" t="str">
        <f t="shared" si="28"/>
        <v>9217 - PV Edificio Duble Almeyda 2621</v>
      </c>
      <c r="K837" t="str">
        <f t="shared" si="29"/>
        <v>Postventa</v>
      </c>
    </row>
    <row r="838" spans="1:11" x14ac:dyDescent="0.25">
      <c r="A838" s="50">
        <v>10217000</v>
      </c>
      <c r="B838" s="51" t="s">
        <v>1006</v>
      </c>
      <c r="C838" s="51" t="s">
        <v>1670</v>
      </c>
      <c r="D838" s="51" t="s">
        <v>1665</v>
      </c>
      <c r="E838" s="51" t="s">
        <v>1585</v>
      </c>
      <c r="F838" s="51" t="s">
        <v>1006</v>
      </c>
      <c r="G838" s="51" t="s">
        <v>1661</v>
      </c>
      <c r="H838" s="50" t="s">
        <v>386</v>
      </c>
      <c r="I838" s="51" t="s">
        <v>1666</v>
      </c>
      <c r="J838" t="str">
        <f t="shared" si="28"/>
        <v>10217000 - Edificio Duble Almeyda 2621</v>
      </c>
      <c r="K838" t="str">
        <f t="shared" si="29"/>
        <v>Proyectos Inmobiliarios</v>
      </c>
    </row>
    <row r="839" spans="1:11" x14ac:dyDescent="0.25">
      <c r="A839" s="50">
        <v>10217102</v>
      </c>
      <c r="B839" s="51" t="s">
        <v>1007</v>
      </c>
      <c r="C839" s="51" t="s">
        <v>1670</v>
      </c>
      <c r="D839" s="51" t="s">
        <v>1665</v>
      </c>
      <c r="E839" s="51" t="s">
        <v>1617</v>
      </c>
      <c r="F839" s="51" t="s">
        <v>1006</v>
      </c>
      <c r="G839" s="51" t="s">
        <v>1661</v>
      </c>
      <c r="H839" s="50" t="s">
        <v>386</v>
      </c>
      <c r="I839" s="51" t="s">
        <v>1666</v>
      </c>
      <c r="J839" t="str">
        <f t="shared" si="28"/>
        <v>10217102 - Edificio Duble Almeyda 2621-Marketing</v>
      </c>
      <c r="K839" t="str">
        <f t="shared" si="29"/>
        <v>Proyectos Inmobiliarios</v>
      </c>
    </row>
    <row r="840" spans="1:11" x14ac:dyDescent="0.25">
      <c r="A840" s="50">
        <v>10217103</v>
      </c>
      <c r="B840" s="51" t="s">
        <v>1008</v>
      </c>
      <c r="C840" s="51" t="s">
        <v>1670</v>
      </c>
      <c r="D840" s="51" t="s">
        <v>1665</v>
      </c>
      <c r="E840" s="51" t="s">
        <v>1618</v>
      </c>
      <c r="F840" s="51" t="s">
        <v>1006</v>
      </c>
      <c r="G840" s="51" t="s">
        <v>1661</v>
      </c>
      <c r="H840" s="50" t="s">
        <v>386</v>
      </c>
      <c r="I840" s="51" t="s">
        <v>1666</v>
      </c>
      <c r="J840" t="str">
        <f t="shared" si="28"/>
        <v>10217103 - Edificio Duble Almeyda 2621-Operaciones</v>
      </c>
      <c r="K840" t="str">
        <f t="shared" si="29"/>
        <v>Proyectos Inmobiliarios</v>
      </c>
    </row>
    <row r="841" spans="1:11" x14ac:dyDescent="0.25">
      <c r="A841" s="50">
        <v>10217104</v>
      </c>
      <c r="B841" s="51" t="s">
        <v>1009</v>
      </c>
      <c r="C841" s="51" t="s">
        <v>1670</v>
      </c>
      <c r="D841" s="51" t="s">
        <v>1665</v>
      </c>
      <c r="E841" s="51" t="s">
        <v>90</v>
      </c>
      <c r="F841" s="51" t="s">
        <v>1006</v>
      </c>
      <c r="G841" s="51" t="s">
        <v>1661</v>
      </c>
      <c r="H841" s="50" t="s">
        <v>386</v>
      </c>
      <c r="I841" s="51" t="s">
        <v>1666</v>
      </c>
      <c r="J841" t="str">
        <f t="shared" si="28"/>
        <v>10217104 - Edificio Duble Almeyda 2621-Ventas</v>
      </c>
      <c r="K841" t="str">
        <f t="shared" si="29"/>
        <v>Proyectos Inmobiliarios</v>
      </c>
    </row>
    <row r="842" spans="1:11" x14ac:dyDescent="0.25">
      <c r="A842" s="50">
        <v>10217105</v>
      </c>
      <c r="B842" s="51" t="s">
        <v>1010</v>
      </c>
      <c r="C842" s="51" t="s">
        <v>1670</v>
      </c>
      <c r="D842" s="51" t="s">
        <v>1665</v>
      </c>
      <c r="E842" s="51" t="s">
        <v>1622</v>
      </c>
      <c r="F842" s="51" t="s">
        <v>1006</v>
      </c>
      <c r="G842" s="51" t="s">
        <v>1661</v>
      </c>
      <c r="H842" s="50" t="s">
        <v>386</v>
      </c>
      <c r="I842" s="51" t="s">
        <v>1666</v>
      </c>
      <c r="J842" t="str">
        <f t="shared" si="28"/>
        <v>10217105 - Edificio Duble Almeyda 2621-Clientes</v>
      </c>
      <c r="K842" t="str">
        <f t="shared" si="29"/>
        <v>Proyectos Inmobiliarios</v>
      </c>
    </row>
    <row r="843" spans="1:11" x14ac:dyDescent="0.25">
      <c r="A843" s="50">
        <v>10217204</v>
      </c>
      <c r="B843" s="51" t="s">
        <v>1011</v>
      </c>
      <c r="C843" s="51" t="s">
        <v>1670</v>
      </c>
      <c r="D843" s="51" t="s">
        <v>1665</v>
      </c>
      <c r="E843" s="51" t="s">
        <v>1624</v>
      </c>
      <c r="F843" s="51" t="s">
        <v>1006</v>
      </c>
      <c r="G843" s="51" t="s">
        <v>1661</v>
      </c>
      <c r="H843" s="50" t="s">
        <v>386</v>
      </c>
      <c r="I843" s="51" t="s">
        <v>1666</v>
      </c>
      <c r="J843" t="str">
        <f t="shared" si="28"/>
        <v>10217204 - Edificio Duble Almeyda 2621-Proyecto</v>
      </c>
      <c r="K843" t="str">
        <f t="shared" si="29"/>
        <v>Proyectos Inmobiliarios</v>
      </c>
    </row>
    <row r="844" spans="1:11" x14ac:dyDescent="0.25">
      <c r="A844" s="50">
        <v>10217301</v>
      </c>
      <c r="B844" s="51" t="s">
        <v>1012</v>
      </c>
      <c r="C844" s="51" t="s">
        <v>1670</v>
      </c>
      <c r="D844" s="51" t="s">
        <v>1665</v>
      </c>
      <c r="E844" s="51" t="s">
        <v>1643</v>
      </c>
      <c r="F844" s="51" t="s">
        <v>1006</v>
      </c>
      <c r="G844" s="51" t="s">
        <v>1667</v>
      </c>
      <c r="H844" s="50" t="s">
        <v>386</v>
      </c>
      <c r="I844" s="51" t="s">
        <v>1666</v>
      </c>
      <c r="J844" t="str">
        <f t="shared" si="28"/>
        <v>10217301 - Edificio Duble Almeyda 2621-GAF</v>
      </c>
      <c r="K844" t="str">
        <f t="shared" si="29"/>
        <v>Proyectos Inmobiliarios</v>
      </c>
    </row>
    <row r="845" spans="1:11" x14ac:dyDescent="0.25">
      <c r="A845" s="50">
        <v>10217505</v>
      </c>
      <c r="B845" s="51" t="s">
        <v>1013</v>
      </c>
      <c r="C845" s="51" t="s">
        <v>1670</v>
      </c>
      <c r="D845" s="51" t="s">
        <v>66</v>
      </c>
      <c r="E845" s="51" t="s">
        <v>328</v>
      </c>
      <c r="F845" s="51" t="s">
        <v>1006</v>
      </c>
      <c r="G845" s="51" t="s">
        <v>1661</v>
      </c>
      <c r="H845" s="50" t="s">
        <v>386</v>
      </c>
      <c r="I845" s="51" t="s">
        <v>1666</v>
      </c>
      <c r="J845" t="str">
        <f t="shared" si="28"/>
        <v>10217505 - Edificio Duble Almeyda 2621-PV Inmob.</v>
      </c>
      <c r="K845" t="str">
        <f t="shared" si="29"/>
        <v>Postventa</v>
      </c>
    </row>
    <row r="846" spans="1:11" x14ac:dyDescent="0.25">
      <c r="A846" s="50">
        <v>10217506</v>
      </c>
      <c r="B846" s="51" t="s">
        <v>1014</v>
      </c>
      <c r="C846" s="51" t="s">
        <v>1670</v>
      </c>
      <c r="D846" s="51" t="s">
        <v>1665</v>
      </c>
      <c r="E846" s="51" t="s">
        <v>200</v>
      </c>
      <c r="F846" s="51" t="s">
        <v>1006</v>
      </c>
      <c r="G846" s="51" t="s">
        <v>1661</v>
      </c>
      <c r="H846" s="50" t="s">
        <v>386</v>
      </c>
      <c r="I846" s="51" t="s">
        <v>1666</v>
      </c>
      <c r="J846" t="str">
        <f t="shared" si="28"/>
        <v>10217506 - Edificio Duble Almeyda 2621-Depto.Técnico</v>
      </c>
      <c r="K846" t="str">
        <f t="shared" si="29"/>
        <v>Proyectos Inmobiliarios</v>
      </c>
    </row>
    <row r="847" spans="1:11" x14ac:dyDescent="0.25">
      <c r="A847" s="66">
        <v>1080202</v>
      </c>
      <c r="B847" s="67" t="s">
        <v>727</v>
      </c>
      <c r="C847" s="67" t="s">
        <v>1670</v>
      </c>
      <c r="D847" s="67" t="s">
        <v>1578</v>
      </c>
      <c r="E847" s="67" t="s">
        <v>1578</v>
      </c>
      <c r="F847" s="67" t="s">
        <v>943</v>
      </c>
      <c r="G847" s="67" t="s">
        <v>1661</v>
      </c>
      <c r="H847" s="66" t="s">
        <v>386</v>
      </c>
      <c r="I847" s="67" t="s">
        <v>1662</v>
      </c>
      <c r="J847" t="str">
        <f t="shared" si="28"/>
        <v>1080202 - Terreno Fernández Albano - Desarrollo</v>
      </c>
      <c r="K847" t="str">
        <f t="shared" si="29"/>
        <v>Terreno</v>
      </c>
    </row>
    <row r="848" spans="1:11" x14ac:dyDescent="0.25">
      <c r="A848" s="66">
        <v>221</v>
      </c>
      <c r="B848" s="67" t="s">
        <v>943</v>
      </c>
      <c r="C848" s="67" t="s">
        <v>1670</v>
      </c>
      <c r="D848" s="67" t="s">
        <v>65</v>
      </c>
      <c r="E848" s="67" t="s">
        <v>65</v>
      </c>
      <c r="F848" s="67" t="s">
        <v>943</v>
      </c>
      <c r="G848" s="67" t="s">
        <v>1663</v>
      </c>
      <c r="H848" s="66" t="s">
        <v>1672</v>
      </c>
      <c r="I848" s="67" t="s">
        <v>1664</v>
      </c>
      <c r="J848" t="str">
        <f t="shared" si="28"/>
        <v>221 - Edificio Fernandez Albano 192</v>
      </c>
      <c r="K848" t="str">
        <f t="shared" si="29"/>
        <v>Obra</v>
      </c>
    </row>
    <row r="849" spans="1:11" x14ac:dyDescent="0.25">
      <c r="A849" s="66">
        <v>8221</v>
      </c>
      <c r="B849" s="67" t="s">
        <v>519</v>
      </c>
      <c r="C849" s="67" t="s">
        <v>1670</v>
      </c>
      <c r="D849" s="67" t="s">
        <v>1686</v>
      </c>
      <c r="E849" s="67" t="s">
        <v>1501</v>
      </c>
      <c r="F849" s="67" t="s">
        <v>943</v>
      </c>
      <c r="G849" s="67" t="s">
        <v>1661</v>
      </c>
      <c r="H849" s="66" t="s">
        <v>386</v>
      </c>
      <c r="I849" s="67" t="s">
        <v>1666</v>
      </c>
      <c r="J849" t="str">
        <f t="shared" si="28"/>
        <v>8221 - Entrega Edificio Fernandez Albano 192</v>
      </c>
      <c r="K849" t="str">
        <f t="shared" si="29"/>
        <v>Entrega</v>
      </c>
    </row>
    <row r="850" spans="1:11" x14ac:dyDescent="0.25">
      <c r="A850" s="66">
        <v>9221</v>
      </c>
      <c r="B850" s="67" t="s">
        <v>642</v>
      </c>
      <c r="C850" s="67" t="s">
        <v>1670</v>
      </c>
      <c r="D850" s="67" t="s">
        <v>66</v>
      </c>
      <c r="E850" s="67" t="s">
        <v>328</v>
      </c>
      <c r="F850" s="67" t="s">
        <v>943</v>
      </c>
      <c r="G850" s="67" t="s">
        <v>1661</v>
      </c>
      <c r="H850" s="66" t="s">
        <v>386</v>
      </c>
      <c r="I850" s="67" t="s">
        <v>1666</v>
      </c>
      <c r="J850" t="str">
        <f t="shared" si="28"/>
        <v>9221 - PV Edificio Fernandez Albano 192</v>
      </c>
      <c r="K850" t="str">
        <f t="shared" si="29"/>
        <v>Postventa</v>
      </c>
    </row>
    <row r="851" spans="1:11" x14ac:dyDescent="0.25">
      <c r="A851" s="66">
        <v>10210000</v>
      </c>
      <c r="B851" s="67" t="s">
        <v>943</v>
      </c>
      <c r="C851" s="67" t="s">
        <v>1670</v>
      </c>
      <c r="D851" s="67" t="s">
        <v>1665</v>
      </c>
      <c r="E851" s="67" t="s">
        <v>1585</v>
      </c>
      <c r="F851" s="67" t="s">
        <v>943</v>
      </c>
      <c r="G851" s="67" t="s">
        <v>1661</v>
      </c>
      <c r="H851" s="66" t="s">
        <v>386</v>
      </c>
      <c r="I851" s="67" t="s">
        <v>1666</v>
      </c>
      <c r="J851" t="str">
        <f t="shared" si="28"/>
        <v>10210000 - Edificio Fernandez Albano 192</v>
      </c>
      <c r="K851" t="str">
        <f t="shared" si="29"/>
        <v>Proyectos Inmobiliarios</v>
      </c>
    </row>
    <row r="852" spans="1:11" x14ac:dyDescent="0.25">
      <c r="A852" s="66">
        <v>10210102</v>
      </c>
      <c r="B852" s="67" t="s">
        <v>944</v>
      </c>
      <c r="C852" s="67" t="s">
        <v>1670</v>
      </c>
      <c r="D852" s="67" t="s">
        <v>1665</v>
      </c>
      <c r="E852" s="67" t="s">
        <v>1617</v>
      </c>
      <c r="F852" s="67" t="s">
        <v>943</v>
      </c>
      <c r="G852" s="67" t="s">
        <v>1661</v>
      </c>
      <c r="H852" s="66" t="s">
        <v>386</v>
      </c>
      <c r="I852" s="67" t="s">
        <v>1666</v>
      </c>
      <c r="J852" t="str">
        <f t="shared" si="28"/>
        <v>10210102 - Edificio Fernandez Albano 192-Marketing</v>
      </c>
      <c r="K852" t="str">
        <f t="shared" si="29"/>
        <v>Proyectos Inmobiliarios</v>
      </c>
    </row>
    <row r="853" spans="1:11" x14ac:dyDescent="0.25">
      <c r="A853" s="66">
        <v>10210103</v>
      </c>
      <c r="B853" s="67" t="s">
        <v>945</v>
      </c>
      <c r="C853" s="67" t="s">
        <v>1670</v>
      </c>
      <c r="D853" s="67" t="s">
        <v>1665</v>
      </c>
      <c r="E853" s="67" t="s">
        <v>1618</v>
      </c>
      <c r="F853" s="67" t="s">
        <v>943</v>
      </c>
      <c r="G853" s="67" t="s">
        <v>1661</v>
      </c>
      <c r="H853" s="66" t="s">
        <v>386</v>
      </c>
      <c r="I853" s="67" t="s">
        <v>1666</v>
      </c>
      <c r="J853" t="str">
        <f t="shared" si="28"/>
        <v>10210103 - Edificio Fernandez Albano 192-Operaciones</v>
      </c>
      <c r="K853" t="str">
        <f t="shared" si="29"/>
        <v>Proyectos Inmobiliarios</v>
      </c>
    </row>
    <row r="854" spans="1:11" x14ac:dyDescent="0.25">
      <c r="A854" s="66">
        <v>10210104</v>
      </c>
      <c r="B854" s="67" t="s">
        <v>946</v>
      </c>
      <c r="C854" s="67" t="s">
        <v>1670</v>
      </c>
      <c r="D854" s="67" t="s">
        <v>1665</v>
      </c>
      <c r="E854" s="67" t="s">
        <v>90</v>
      </c>
      <c r="F854" s="67" t="s">
        <v>943</v>
      </c>
      <c r="G854" s="67" t="s">
        <v>1661</v>
      </c>
      <c r="H854" s="66" t="s">
        <v>386</v>
      </c>
      <c r="I854" s="67" t="s">
        <v>1666</v>
      </c>
      <c r="J854" t="str">
        <f t="shared" si="28"/>
        <v>10210104 - Edificio Fernandez Albano 192-Ventas</v>
      </c>
      <c r="K854" t="str">
        <f t="shared" si="29"/>
        <v>Proyectos Inmobiliarios</v>
      </c>
    </row>
    <row r="855" spans="1:11" x14ac:dyDescent="0.25">
      <c r="A855" s="66">
        <v>10210105</v>
      </c>
      <c r="B855" s="67" t="s">
        <v>947</v>
      </c>
      <c r="C855" s="67" t="s">
        <v>1670</v>
      </c>
      <c r="D855" s="67" t="s">
        <v>1665</v>
      </c>
      <c r="E855" s="67" t="s">
        <v>1622</v>
      </c>
      <c r="F855" s="67" t="s">
        <v>943</v>
      </c>
      <c r="G855" s="67" t="s">
        <v>1661</v>
      </c>
      <c r="H855" s="66" t="s">
        <v>386</v>
      </c>
      <c r="I855" s="67" t="s">
        <v>1666</v>
      </c>
      <c r="J855" t="str">
        <f t="shared" si="28"/>
        <v>10210105 - Edificio Fernandez Albano 192-Clientes</v>
      </c>
      <c r="K855" t="str">
        <f t="shared" si="29"/>
        <v>Proyectos Inmobiliarios</v>
      </c>
    </row>
    <row r="856" spans="1:11" x14ac:dyDescent="0.25">
      <c r="A856" s="66">
        <v>10210204</v>
      </c>
      <c r="B856" s="67" t="s">
        <v>948</v>
      </c>
      <c r="C856" s="67" t="s">
        <v>1670</v>
      </c>
      <c r="D856" s="67" t="s">
        <v>1665</v>
      </c>
      <c r="E856" s="67" t="s">
        <v>1624</v>
      </c>
      <c r="F856" s="67" t="s">
        <v>943</v>
      </c>
      <c r="G856" s="67" t="s">
        <v>1661</v>
      </c>
      <c r="H856" s="66" t="s">
        <v>386</v>
      </c>
      <c r="I856" s="67" t="s">
        <v>1666</v>
      </c>
      <c r="J856" t="str">
        <f t="shared" si="28"/>
        <v>10210204 - Edificio Fernandez Albano 192-Proyecto</v>
      </c>
      <c r="K856" t="str">
        <f t="shared" si="29"/>
        <v>Proyectos Inmobiliarios</v>
      </c>
    </row>
    <row r="857" spans="1:11" x14ac:dyDescent="0.25">
      <c r="A857" s="66">
        <v>10210301</v>
      </c>
      <c r="B857" s="67" t="s">
        <v>949</v>
      </c>
      <c r="C857" s="67" t="s">
        <v>1670</v>
      </c>
      <c r="D857" s="67" t="s">
        <v>1665</v>
      </c>
      <c r="E857" s="67" t="s">
        <v>1643</v>
      </c>
      <c r="F857" s="67" t="s">
        <v>943</v>
      </c>
      <c r="G857" s="67" t="s">
        <v>1667</v>
      </c>
      <c r="H857" s="66" t="s">
        <v>386</v>
      </c>
      <c r="I857" s="67" t="s">
        <v>1666</v>
      </c>
      <c r="J857" t="str">
        <f t="shared" si="28"/>
        <v>10210301 - Edificio Fernandez Albano 192-GAF</v>
      </c>
      <c r="K857" t="str">
        <f t="shared" si="29"/>
        <v>Proyectos Inmobiliarios</v>
      </c>
    </row>
    <row r="858" spans="1:11" x14ac:dyDescent="0.25">
      <c r="A858" s="66">
        <v>10210505</v>
      </c>
      <c r="B858" s="67" t="s">
        <v>950</v>
      </c>
      <c r="C858" s="67" t="s">
        <v>1670</v>
      </c>
      <c r="D858" s="67" t="s">
        <v>66</v>
      </c>
      <c r="E858" s="67" t="s">
        <v>328</v>
      </c>
      <c r="F858" s="67" t="s">
        <v>943</v>
      </c>
      <c r="G858" s="67" t="s">
        <v>1661</v>
      </c>
      <c r="H858" s="66" t="s">
        <v>386</v>
      </c>
      <c r="I858" s="67" t="s">
        <v>1666</v>
      </c>
      <c r="J858" t="str">
        <f t="shared" si="28"/>
        <v>10210505 - Edificio Fernandez Albano 192-PV Inmob.</v>
      </c>
      <c r="K858" t="str">
        <f t="shared" si="29"/>
        <v>Postventa</v>
      </c>
    </row>
    <row r="859" spans="1:11" x14ac:dyDescent="0.25">
      <c r="A859" s="66">
        <v>10210506</v>
      </c>
      <c r="B859" s="67" t="s">
        <v>951</v>
      </c>
      <c r="C859" s="67" t="s">
        <v>1670</v>
      </c>
      <c r="D859" s="67" t="s">
        <v>1665</v>
      </c>
      <c r="E859" s="67" t="s">
        <v>200</v>
      </c>
      <c r="F859" s="67" t="s">
        <v>943</v>
      </c>
      <c r="G859" s="67" t="s">
        <v>1661</v>
      </c>
      <c r="H859" s="66" t="s">
        <v>386</v>
      </c>
      <c r="I859" s="67" t="s">
        <v>1666</v>
      </c>
      <c r="J859" t="str">
        <f t="shared" si="28"/>
        <v>10210506 - Edificio Fernandez Albano 192-Depto.Técnico</v>
      </c>
      <c r="K859" t="str">
        <f t="shared" si="29"/>
        <v>Proyectos Inmobiliarios</v>
      </c>
    </row>
    <row r="860" spans="1:11" x14ac:dyDescent="0.25">
      <c r="A860" s="43">
        <v>1027202</v>
      </c>
      <c r="B860" t="s">
        <v>2033</v>
      </c>
      <c r="C860" t="s">
        <v>1685</v>
      </c>
      <c r="D860" t="s">
        <v>1578</v>
      </c>
      <c r="E860" t="s">
        <v>1578</v>
      </c>
      <c r="F860" t="s">
        <v>2034</v>
      </c>
      <c r="G860" t="s">
        <v>1661</v>
      </c>
      <c r="H860" s="43" t="s">
        <v>1672</v>
      </c>
      <c r="I860" t="s">
        <v>1662</v>
      </c>
      <c r="J860" t="str">
        <f t="shared" si="28"/>
        <v>1027202 - Edificio Festival-Desarrollo</v>
      </c>
      <c r="K860" t="str">
        <f t="shared" si="29"/>
        <v>Terreno</v>
      </c>
    </row>
    <row r="861" spans="1:11" x14ac:dyDescent="0.25">
      <c r="A861" s="86">
        <v>1077202</v>
      </c>
      <c r="B861" s="87" t="s">
        <v>726</v>
      </c>
      <c r="C861" s="87" t="s">
        <v>1670</v>
      </c>
      <c r="D861" s="87" t="s">
        <v>1578</v>
      </c>
      <c r="E861" s="87" t="s">
        <v>1578</v>
      </c>
      <c r="F861" s="87" t="s">
        <v>925</v>
      </c>
      <c r="G861" s="87" t="s">
        <v>1661</v>
      </c>
      <c r="H861" s="86" t="s">
        <v>386</v>
      </c>
      <c r="I861" s="87" t="s">
        <v>1662</v>
      </c>
      <c r="J861" t="str">
        <f t="shared" si="28"/>
        <v>1077202 - Terreno Fuenzalida Urrejola - Desarrollo</v>
      </c>
      <c r="K861" t="str">
        <f t="shared" si="29"/>
        <v>Terreno</v>
      </c>
    </row>
    <row r="862" spans="1:11" x14ac:dyDescent="0.25">
      <c r="A862" s="86">
        <v>207</v>
      </c>
      <c r="B862" s="87" t="s">
        <v>925</v>
      </c>
      <c r="C862" s="87" t="s">
        <v>1670</v>
      </c>
      <c r="D862" s="87" t="s">
        <v>65</v>
      </c>
      <c r="E862" s="87" t="s">
        <v>65</v>
      </c>
      <c r="F862" s="87" t="s">
        <v>925</v>
      </c>
      <c r="G862" s="87" t="s">
        <v>1663</v>
      </c>
      <c r="H862" s="86" t="s">
        <v>1672</v>
      </c>
      <c r="I862" s="87" t="s">
        <v>1664</v>
      </c>
      <c r="J862" t="str">
        <f t="shared" si="28"/>
        <v>207 - Edificio Fuenzalida Urrejola 125</v>
      </c>
      <c r="K862" t="str">
        <f t="shared" si="29"/>
        <v>Obra</v>
      </c>
    </row>
    <row r="863" spans="1:11" x14ac:dyDescent="0.25">
      <c r="A863" s="86">
        <v>9207</v>
      </c>
      <c r="B863" s="87" t="s">
        <v>631</v>
      </c>
      <c r="C863" s="87" t="s">
        <v>1670</v>
      </c>
      <c r="D863" s="87" t="s">
        <v>66</v>
      </c>
      <c r="E863" s="87" t="s">
        <v>328</v>
      </c>
      <c r="F863" s="87" t="s">
        <v>925</v>
      </c>
      <c r="G863" s="87" t="s">
        <v>1661</v>
      </c>
      <c r="H863" s="86" t="s">
        <v>386</v>
      </c>
      <c r="I863" s="87" t="s">
        <v>1666</v>
      </c>
      <c r="J863" t="str">
        <f t="shared" si="28"/>
        <v>9207 - PV Edificio Fuenzalida Urrejola 125</v>
      </c>
      <c r="K863" t="str">
        <f t="shared" si="29"/>
        <v>Postventa</v>
      </c>
    </row>
    <row r="864" spans="1:11" x14ac:dyDescent="0.25">
      <c r="A864" s="86">
        <v>10207000</v>
      </c>
      <c r="B864" s="87" t="s">
        <v>925</v>
      </c>
      <c r="C864" s="87" t="s">
        <v>1670</v>
      </c>
      <c r="D864" s="87" t="s">
        <v>1665</v>
      </c>
      <c r="E864" s="87" t="s">
        <v>1585</v>
      </c>
      <c r="F864" s="87" t="s">
        <v>925</v>
      </c>
      <c r="G864" s="87" t="s">
        <v>1661</v>
      </c>
      <c r="H864" s="86" t="s">
        <v>386</v>
      </c>
      <c r="I864" s="87" t="s">
        <v>1666</v>
      </c>
      <c r="J864" t="str">
        <f t="shared" si="28"/>
        <v>10207000 - Edificio Fuenzalida Urrejola 125</v>
      </c>
      <c r="K864" t="str">
        <f t="shared" si="29"/>
        <v>Proyectos Inmobiliarios</v>
      </c>
    </row>
    <row r="865" spans="1:11" x14ac:dyDescent="0.25">
      <c r="A865" s="86">
        <v>10207102</v>
      </c>
      <c r="B865" s="87" t="s">
        <v>926</v>
      </c>
      <c r="C865" s="87" t="s">
        <v>1670</v>
      </c>
      <c r="D865" s="87" t="s">
        <v>1665</v>
      </c>
      <c r="E865" s="87" t="s">
        <v>1617</v>
      </c>
      <c r="F865" s="87" t="s">
        <v>925</v>
      </c>
      <c r="G865" s="87" t="s">
        <v>1661</v>
      </c>
      <c r="H865" s="86" t="s">
        <v>386</v>
      </c>
      <c r="I865" s="87" t="s">
        <v>1666</v>
      </c>
      <c r="J865" t="str">
        <f t="shared" si="28"/>
        <v>10207102 - Edificio Fuenzalida Urrejola 125-Marketing</v>
      </c>
      <c r="K865" t="str">
        <f t="shared" si="29"/>
        <v>Proyectos Inmobiliarios</v>
      </c>
    </row>
    <row r="866" spans="1:11" x14ac:dyDescent="0.25">
      <c r="A866" s="86">
        <v>10207103</v>
      </c>
      <c r="B866" s="87" t="s">
        <v>927</v>
      </c>
      <c r="C866" s="87" t="s">
        <v>1670</v>
      </c>
      <c r="D866" s="87" t="s">
        <v>1665</v>
      </c>
      <c r="E866" s="87" t="s">
        <v>1618</v>
      </c>
      <c r="F866" s="87" t="s">
        <v>925</v>
      </c>
      <c r="G866" s="87" t="s">
        <v>1661</v>
      </c>
      <c r="H866" s="86" t="s">
        <v>386</v>
      </c>
      <c r="I866" s="87" t="s">
        <v>1666</v>
      </c>
      <c r="J866" t="str">
        <f t="shared" si="28"/>
        <v>10207103 - Edificio Fuenzalida Urrejola 125-Operaciones</v>
      </c>
      <c r="K866" t="str">
        <f t="shared" si="29"/>
        <v>Proyectos Inmobiliarios</v>
      </c>
    </row>
    <row r="867" spans="1:11" x14ac:dyDescent="0.25">
      <c r="A867" s="86">
        <v>10207104</v>
      </c>
      <c r="B867" s="87" t="s">
        <v>928</v>
      </c>
      <c r="C867" s="87" t="s">
        <v>1670</v>
      </c>
      <c r="D867" s="87" t="s">
        <v>1665</v>
      </c>
      <c r="E867" s="87" t="s">
        <v>90</v>
      </c>
      <c r="F867" s="87" t="s">
        <v>925</v>
      </c>
      <c r="G867" s="87" t="s">
        <v>1661</v>
      </c>
      <c r="H867" s="86" t="s">
        <v>386</v>
      </c>
      <c r="I867" s="87" t="s">
        <v>1666</v>
      </c>
      <c r="J867" t="str">
        <f t="shared" si="28"/>
        <v>10207104 - Edificio Fuenzalida Urrejola 125-Ventas</v>
      </c>
      <c r="K867" t="str">
        <f t="shared" si="29"/>
        <v>Proyectos Inmobiliarios</v>
      </c>
    </row>
    <row r="868" spans="1:11" x14ac:dyDescent="0.25">
      <c r="A868" s="86">
        <v>10207105</v>
      </c>
      <c r="B868" s="87" t="s">
        <v>929</v>
      </c>
      <c r="C868" s="87" t="s">
        <v>1670</v>
      </c>
      <c r="D868" s="87" t="s">
        <v>1665</v>
      </c>
      <c r="E868" s="87" t="s">
        <v>1622</v>
      </c>
      <c r="F868" s="87" t="s">
        <v>925</v>
      </c>
      <c r="G868" s="87" t="s">
        <v>1661</v>
      </c>
      <c r="H868" s="86" t="s">
        <v>386</v>
      </c>
      <c r="I868" s="87" t="s">
        <v>1666</v>
      </c>
      <c r="J868" t="str">
        <f t="shared" si="28"/>
        <v>10207105 - Edificio Fuenzalida Urrejola 125-Clientes</v>
      </c>
      <c r="K868" t="str">
        <f t="shared" si="29"/>
        <v>Proyectos Inmobiliarios</v>
      </c>
    </row>
    <row r="869" spans="1:11" x14ac:dyDescent="0.25">
      <c r="A869" s="86">
        <v>10207204</v>
      </c>
      <c r="B869" s="87" t="s">
        <v>930</v>
      </c>
      <c r="C869" s="87" t="s">
        <v>1670</v>
      </c>
      <c r="D869" s="87" t="s">
        <v>1665</v>
      </c>
      <c r="E869" s="87" t="s">
        <v>1624</v>
      </c>
      <c r="F869" s="87" t="s">
        <v>925</v>
      </c>
      <c r="G869" s="87" t="s">
        <v>1661</v>
      </c>
      <c r="H869" s="86" t="s">
        <v>386</v>
      </c>
      <c r="I869" s="87" t="s">
        <v>1666</v>
      </c>
      <c r="J869" t="str">
        <f t="shared" si="28"/>
        <v>10207204 - Edificio Fuenzalida Urrejola 125-Proyecto</v>
      </c>
      <c r="K869" t="str">
        <f t="shared" si="29"/>
        <v>Proyectos Inmobiliarios</v>
      </c>
    </row>
    <row r="870" spans="1:11" x14ac:dyDescent="0.25">
      <c r="A870" s="86">
        <v>10207301</v>
      </c>
      <c r="B870" s="87" t="s">
        <v>931</v>
      </c>
      <c r="C870" s="87" t="s">
        <v>1670</v>
      </c>
      <c r="D870" s="87" t="s">
        <v>1665</v>
      </c>
      <c r="E870" s="87" t="s">
        <v>1643</v>
      </c>
      <c r="F870" s="87" t="s">
        <v>925</v>
      </c>
      <c r="G870" s="87" t="s">
        <v>1667</v>
      </c>
      <c r="H870" s="86" t="s">
        <v>386</v>
      </c>
      <c r="I870" s="87" t="s">
        <v>1666</v>
      </c>
      <c r="J870" t="str">
        <f t="shared" si="28"/>
        <v>10207301 - Edificio Fuenzalida Urrejola 125-GAF</v>
      </c>
      <c r="K870" t="str">
        <f t="shared" si="29"/>
        <v>Proyectos Inmobiliarios</v>
      </c>
    </row>
    <row r="871" spans="1:11" x14ac:dyDescent="0.25">
      <c r="A871" s="86">
        <v>10207505</v>
      </c>
      <c r="B871" s="87" t="s">
        <v>932</v>
      </c>
      <c r="C871" s="87" t="s">
        <v>1670</v>
      </c>
      <c r="D871" s="87" t="s">
        <v>66</v>
      </c>
      <c r="E871" s="87" t="s">
        <v>328</v>
      </c>
      <c r="F871" s="87" t="s">
        <v>925</v>
      </c>
      <c r="G871" s="87" t="s">
        <v>1661</v>
      </c>
      <c r="H871" s="86" t="s">
        <v>386</v>
      </c>
      <c r="I871" s="87" t="s">
        <v>1666</v>
      </c>
      <c r="J871" t="str">
        <f t="shared" si="28"/>
        <v>10207505 - Edificio Fuenzalida Urrejola 125-PV Inmob.</v>
      </c>
      <c r="K871" t="str">
        <f t="shared" si="29"/>
        <v>Postventa</v>
      </c>
    </row>
    <row r="872" spans="1:11" x14ac:dyDescent="0.25">
      <c r="A872" s="86">
        <v>10207506</v>
      </c>
      <c r="B872" s="87" t="s">
        <v>933</v>
      </c>
      <c r="C872" s="87" t="s">
        <v>1670</v>
      </c>
      <c r="D872" s="87" t="s">
        <v>1665</v>
      </c>
      <c r="E872" s="87" t="s">
        <v>200</v>
      </c>
      <c r="F872" s="87" t="s">
        <v>925</v>
      </c>
      <c r="G872" s="87" t="s">
        <v>1661</v>
      </c>
      <c r="H872" s="86" t="s">
        <v>386</v>
      </c>
      <c r="I872" s="87" t="s">
        <v>1666</v>
      </c>
      <c r="J872" t="str">
        <f t="shared" si="28"/>
        <v>10207506 - Edificio Fuenzalida Urrejola 125-Depto.Técnico</v>
      </c>
      <c r="K872" t="str">
        <f t="shared" si="29"/>
        <v>Proyectos Inmobiliarios</v>
      </c>
    </row>
    <row r="873" spans="1:11" x14ac:dyDescent="0.25">
      <c r="A873" s="43">
        <v>999999999</v>
      </c>
      <c r="B873" t="s">
        <v>1684</v>
      </c>
      <c r="D873" t="s">
        <v>1578</v>
      </c>
      <c r="E873" t="s">
        <v>1578</v>
      </c>
      <c r="F873" t="s">
        <v>2035</v>
      </c>
      <c r="G873" t="s">
        <v>1661</v>
      </c>
      <c r="H873" s="43" t="s">
        <v>1672</v>
      </c>
      <c r="I873" t="s">
        <v>1662</v>
      </c>
      <c r="J873" t="str">
        <f t="shared" si="28"/>
        <v>999999999 - Terreno Abuelo Proyectos sin Terreno</v>
      </c>
      <c r="K873" t="str">
        <f t="shared" si="29"/>
        <v>Terreno</v>
      </c>
    </row>
    <row r="874" spans="1:11" x14ac:dyDescent="0.25">
      <c r="A874" s="43">
        <v>999</v>
      </c>
      <c r="B874" t="s">
        <v>1808</v>
      </c>
      <c r="D874" t="s">
        <v>65</v>
      </c>
      <c r="E874" t="s">
        <v>65</v>
      </c>
      <c r="F874" t="s">
        <v>2035</v>
      </c>
      <c r="G874" t="s">
        <v>1663</v>
      </c>
      <c r="H874" s="43" t="s">
        <v>1672</v>
      </c>
      <c r="I874" t="s">
        <v>1664</v>
      </c>
      <c r="J874" t="str">
        <f t="shared" si="28"/>
        <v>999 - Obra Padre Proyectos sin Obra</v>
      </c>
      <c r="K874" t="str">
        <f t="shared" si="29"/>
        <v>Obra</v>
      </c>
    </row>
    <row r="875" spans="1:11" x14ac:dyDescent="0.25">
      <c r="A875" s="43">
        <v>9917</v>
      </c>
      <c r="B875" t="s">
        <v>693</v>
      </c>
      <c r="C875" t="s">
        <v>1670</v>
      </c>
      <c r="D875" t="s">
        <v>66</v>
      </c>
      <c r="E875" t="s">
        <v>328</v>
      </c>
      <c r="F875" t="s">
        <v>2035</v>
      </c>
      <c r="G875" t="s">
        <v>1661</v>
      </c>
      <c r="H875" s="43" t="s">
        <v>386</v>
      </c>
      <c r="I875" t="s">
        <v>1666</v>
      </c>
      <c r="J875" t="str">
        <f t="shared" si="28"/>
        <v>9917 - PV Edificio Galvarino Gallardo</v>
      </c>
      <c r="K875" t="str">
        <f t="shared" si="29"/>
        <v>Postventa</v>
      </c>
    </row>
    <row r="876" spans="1:11" x14ac:dyDescent="0.25">
      <c r="A876" s="84">
        <v>1119202</v>
      </c>
      <c r="B876" s="85" t="s">
        <v>753</v>
      </c>
      <c r="C876" s="85" t="s">
        <v>1670</v>
      </c>
      <c r="D876" s="85" t="s">
        <v>1578</v>
      </c>
      <c r="E876" s="85" t="s">
        <v>1578</v>
      </c>
      <c r="F876" s="85" t="s">
        <v>469</v>
      </c>
      <c r="G876" s="85" t="s">
        <v>1661</v>
      </c>
      <c r="H876" s="84" t="s">
        <v>386</v>
      </c>
      <c r="I876" s="85" t="s">
        <v>1662</v>
      </c>
      <c r="J876" t="str">
        <f t="shared" si="28"/>
        <v>1119202 - Terreno García Reyes 68 – Inversiones</v>
      </c>
      <c r="K876" t="str">
        <f t="shared" si="29"/>
        <v>Terreno</v>
      </c>
    </row>
    <row r="877" spans="1:11" x14ac:dyDescent="0.25">
      <c r="A877" s="84">
        <v>243</v>
      </c>
      <c r="B877" s="85" t="s">
        <v>469</v>
      </c>
      <c r="C877" s="85" t="s">
        <v>1670</v>
      </c>
      <c r="D877" s="85" t="s">
        <v>65</v>
      </c>
      <c r="E877" s="85" t="s">
        <v>65</v>
      </c>
      <c r="F877" s="85" t="s">
        <v>469</v>
      </c>
      <c r="G877" s="85" t="s">
        <v>1663</v>
      </c>
      <c r="H877" s="84" t="s">
        <v>386</v>
      </c>
      <c r="I877" s="85" t="s">
        <v>1664</v>
      </c>
      <c r="J877" t="str">
        <f t="shared" si="28"/>
        <v>243 - Edificio Garcia Reyes</v>
      </c>
      <c r="K877" t="str">
        <f t="shared" si="29"/>
        <v>Obra</v>
      </c>
    </row>
    <row r="878" spans="1:11" x14ac:dyDescent="0.25">
      <c r="A878" s="84">
        <v>8243</v>
      </c>
      <c r="B878" s="85" t="s">
        <v>533</v>
      </c>
      <c r="C878" s="85" t="s">
        <v>1670</v>
      </c>
      <c r="D878" s="85" t="s">
        <v>1686</v>
      </c>
      <c r="E878" s="85" t="s">
        <v>1501</v>
      </c>
      <c r="F878" s="85" t="s">
        <v>469</v>
      </c>
      <c r="G878" s="85" t="s">
        <v>1661</v>
      </c>
      <c r="H878" s="84" t="s">
        <v>386</v>
      </c>
      <c r="I878" s="85" t="s">
        <v>1666</v>
      </c>
      <c r="J878" t="str">
        <f t="shared" si="28"/>
        <v>8243 - Entrega Edificio Garcia Reyes</v>
      </c>
      <c r="K878" t="str">
        <f t="shared" si="29"/>
        <v>Entrega</v>
      </c>
    </row>
    <row r="879" spans="1:11" x14ac:dyDescent="0.25">
      <c r="A879" s="84">
        <v>9243</v>
      </c>
      <c r="B879" s="85" t="s">
        <v>659</v>
      </c>
      <c r="C879" s="85" t="s">
        <v>1670</v>
      </c>
      <c r="D879" s="85" t="s">
        <v>66</v>
      </c>
      <c r="E879" s="85" t="s">
        <v>328</v>
      </c>
      <c r="F879" s="85" t="s">
        <v>469</v>
      </c>
      <c r="G879" s="85" t="s">
        <v>1661</v>
      </c>
      <c r="H879" s="84" t="s">
        <v>386</v>
      </c>
      <c r="I879" s="85" t="s">
        <v>1666</v>
      </c>
      <c r="J879" t="str">
        <f t="shared" si="28"/>
        <v>9243 - PV Edificio Garcia Reyes</v>
      </c>
      <c r="K879" t="str">
        <f t="shared" si="29"/>
        <v>Postventa</v>
      </c>
    </row>
    <row r="880" spans="1:11" x14ac:dyDescent="0.25">
      <c r="A880" s="84">
        <v>10243000</v>
      </c>
      <c r="B880" s="85" t="s">
        <v>469</v>
      </c>
      <c r="C880" s="85" t="s">
        <v>1670</v>
      </c>
      <c r="D880" s="85" t="s">
        <v>1665</v>
      </c>
      <c r="E880" s="85" t="s">
        <v>1585</v>
      </c>
      <c r="F880" s="85" t="s">
        <v>469</v>
      </c>
      <c r="G880" s="85" t="s">
        <v>1661</v>
      </c>
      <c r="H880" s="84" t="s">
        <v>386</v>
      </c>
      <c r="I880" s="85" t="s">
        <v>1666</v>
      </c>
      <c r="J880" t="str">
        <f t="shared" si="28"/>
        <v>10243000 - Edificio Garcia Reyes</v>
      </c>
      <c r="K880" t="str">
        <f t="shared" si="29"/>
        <v>Proyectos Inmobiliarios</v>
      </c>
    </row>
    <row r="881" spans="1:11" x14ac:dyDescent="0.25">
      <c r="A881" s="84">
        <v>10243102</v>
      </c>
      <c r="B881" s="85" t="s">
        <v>1177</v>
      </c>
      <c r="C881" s="85" t="s">
        <v>1670</v>
      </c>
      <c r="D881" s="85" t="s">
        <v>1665</v>
      </c>
      <c r="E881" s="85" t="s">
        <v>1617</v>
      </c>
      <c r="F881" s="85" t="s">
        <v>469</v>
      </c>
      <c r="G881" s="85" t="s">
        <v>1661</v>
      </c>
      <c r="H881" s="84" t="s">
        <v>386</v>
      </c>
      <c r="I881" s="85" t="s">
        <v>1666</v>
      </c>
      <c r="J881" t="str">
        <f t="shared" si="28"/>
        <v>10243102 - Edificio Garcia Reyes-Marketing</v>
      </c>
      <c r="K881" t="str">
        <f t="shared" si="29"/>
        <v>Proyectos Inmobiliarios</v>
      </c>
    </row>
    <row r="882" spans="1:11" x14ac:dyDescent="0.25">
      <c r="A882" s="84">
        <v>10243103</v>
      </c>
      <c r="B882" s="85" t="s">
        <v>1178</v>
      </c>
      <c r="C882" s="85" t="s">
        <v>1670</v>
      </c>
      <c r="D882" s="85" t="s">
        <v>1665</v>
      </c>
      <c r="E882" s="85" t="s">
        <v>1618</v>
      </c>
      <c r="F882" s="85" t="s">
        <v>469</v>
      </c>
      <c r="G882" s="85" t="s">
        <v>1661</v>
      </c>
      <c r="H882" s="84" t="s">
        <v>386</v>
      </c>
      <c r="I882" s="85" t="s">
        <v>1666</v>
      </c>
      <c r="J882" t="str">
        <f t="shared" si="28"/>
        <v>10243103 - Edificio Garcia Reyes-Operaciones</v>
      </c>
      <c r="K882" t="str">
        <f t="shared" si="29"/>
        <v>Proyectos Inmobiliarios</v>
      </c>
    </row>
    <row r="883" spans="1:11" x14ac:dyDescent="0.25">
      <c r="A883" s="84">
        <v>10243104</v>
      </c>
      <c r="B883" s="85" t="s">
        <v>1179</v>
      </c>
      <c r="C883" s="85" t="s">
        <v>1670</v>
      </c>
      <c r="D883" s="85" t="s">
        <v>1665</v>
      </c>
      <c r="E883" s="85" t="s">
        <v>90</v>
      </c>
      <c r="F883" s="85" t="s">
        <v>469</v>
      </c>
      <c r="G883" s="85" t="s">
        <v>1661</v>
      </c>
      <c r="H883" s="84" t="s">
        <v>386</v>
      </c>
      <c r="I883" s="85" t="s">
        <v>1666</v>
      </c>
      <c r="J883" t="str">
        <f t="shared" si="28"/>
        <v>10243104 - Edificio Garcia Reyes-Ventas</v>
      </c>
      <c r="K883" t="str">
        <f t="shared" si="29"/>
        <v>Proyectos Inmobiliarios</v>
      </c>
    </row>
    <row r="884" spans="1:11" x14ac:dyDescent="0.25">
      <c r="A884" s="84">
        <v>10243105</v>
      </c>
      <c r="B884" s="85" t="s">
        <v>1180</v>
      </c>
      <c r="C884" s="85" t="s">
        <v>1670</v>
      </c>
      <c r="D884" s="85" t="s">
        <v>1665</v>
      </c>
      <c r="E884" s="85" t="s">
        <v>1622</v>
      </c>
      <c r="F884" s="85" t="s">
        <v>469</v>
      </c>
      <c r="G884" s="85" t="s">
        <v>1661</v>
      </c>
      <c r="H884" s="84" t="s">
        <v>386</v>
      </c>
      <c r="I884" s="85" t="s">
        <v>1666</v>
      </c>
      <c r="J884" t="str">
        <f t="shared" si="28"/>
        <v>10243105 - Edificio Garcia Reyes-Clientes</v>
      </c>
      <c r="K884" t="str">
        <f t="shared" si="29"/>
        <v>Proyectos Inmobiliarios</v>
      </c>
    </row>
    <row r="885" spans="1:11" x14ac:dyDescent="0.25">
      <c r="A885" s="84">
        <v>10243204</v>
      </c>
      <c r="B885" s="85" t="s">
        <v>1181</v>
      </c>
      <c r="C885" s="85" t="s">
        <v>1670</v>
      </c>
      <c r="D885" s="85" t="s">
        <v>1665</v>
      </c>
      <c r="E885" s="85" t="s">
        <v>1624</v>
      </c>
      <c r="F885" s="85" t="s">
        <v>469</v>
      </c>
      <c r="G885" s="85" t="s">
        <v>1661</v>
      </c>
      <c r="H885" s="84" t="s">
        <v>386</v>
      </c>
      <c r="I885" s="85" t="s">
        <v>1666</v>
      </c>
      <c r="J885" t="str">
        <f t="shared" si="28"/>
        <v>10243204 - Edificio Garcia Reyes-Proyecto</v>
      </c>
      <c r="K885" t="str">
        <f t="shared" si="29"/>
        <v>Proyectos Inmobiliarios</v>
      </c>
    </row>
    <row r="886" spans="1:11" x14ac:dyDescent="0.25">
      <c r="A886" s="84">
        <v>10243301</v>
      </c>
      <c r="B886" s="85" t="s">
        <v>1182</v>
      </c>
      <c r="C886" s="85" t="s">
        <v>1670</v>
      </c>
      <c r="D886" s="85" t="s">
        <v>1665</v>
      </c>
      <c r="E886" s="85" t="s">
        <v>1643</v>
      </c>
      <c r="F886" s="85" t="s">
        <v>469</v>
      </c>
      <c r="G886" s="85" t="s">
        <v>1667</v>
      </c>
      <c r="H886" s="84" t="s">
        <v>386</v>
      </c>
      <c r="I886" s="85" t="s">
        <v>1666</v>
      </c>
      <c r="J886" t="str">
        <f t="shared" si="28"/>
        <v>10243301 - Edificio Garcia Reyes-GAF</v>
      </c>
      <c r="K886" t="str">
        <f t="shared" si="29"/>
        <v>Proyectos Inmobiliarios</v>
      </c>
    </row>
    <row r="887" spans="1:11" x14ac:dyDescent="0.25">
      <c r="A887" s="84">
        <v>10243505</v>
      </c>
      <c r="B887" s="85" t="s">
        <v>1183</v>
      </c>
      <c r="C887" s="85" t="s">
        <v>1670</v>
      </c>
      <c r="D887" s="85" t="s">
        <v>66</v>
      </c>
      <c r="E887" s="85" t="s">
        <v>328</v>
      </c>
      <c r="F887" s="85" t="s">
        <v>469</v>
      </c>
      <c r="G887" s="85" t="s">
        <v>1661</v>
      </c>
      <c r="H887" s="84" t="s">
        <v>386</v>
      </c>
      <c r="I887" s="85" t="s">
        <v>1666</v>
      </c>
      <c r="J887" t="str">
        <f t="shared" si="28"/>
        <v>10243505 - Edificio Garcia Reyes-PV Inmob.</v>
      </c>
      <c r="K887" t="str">
        <f t="shared" si="29"/>
        <v>Postventa</v>
      </c>
    </row>
    <row r="888" spans="1:11" x14ac:dyDescent="0.25">
      <c r="A888" s="84">
        <v>10243506</v>
      </c>
      <c r="B888" s="85" t="s">
        <v>1184</v>
      </c>
      <c r="C888" s="85" t="s">
        <v>1670</v>
      </c>
      <c r="D888" s="85" t="s">
        <v>1665</v>
      </c>
      <c r="E888" s="85" t="s">
        <v>200</v>
      </c>
      <c r="F888" s="85" t="s">
        <v>469</v>
      </c>
      <c r="G888" s="85" t="s">
        <v>1661</v>
      </c>
      <c r="H888" s="84" t="s">
        <v>386</v>
      </c>
      <c r="I888" s="85" t="s">
        <v>1666</v>
      </c>
      <c r="J888" t="str">
        <f t="shared" si="28"/>
        <v>10243506 - Edificio Garcia Reyes-Depto.Técnico</v>
      </c>
      <c r="K888" t="str">
        <f t="shared" si="29"/>
        <v>Proyectos Inmobiliarios</v>
      </c>
    </row>
    <row r="889" spans="1:11" x14ac:dyDescent="0.25">
      <c r="A889" s="54">
        <v>1109202</v>
      </c>
      <c r="B889" s="55" t="s">
        <v>747</v>
      </c>
      <c r="C889" s="55" t="s">
        <v>1670</v>
      </c>
      <c r="D889" s="55" t="s">
        <v>1578</v>
      </c>
      <c r="E889" s="55" t="s">
        <v>1578</v>
      </c>
      <c r="F889" s="55" t="s">
        <v>464</v>
      </c>
      <c r="G889" s="55" t="s">
        <v>1661</v>
      </c>
      <c r="H889" s="54" t="s">
        <v>386</v>
      </c>
      <c r="I889" s="55" t="s">
        <v>1662</v>
      </c>
      <c r="J889" t="str">
        <f t="shared" si="28"/>
        <v>1109202 - Terreno Guillermo Mann – Inversiones</v>
      </c>
      <c r="K889" t="str">
        <f t="shared" si="29"/>
        <v>Terreno</v>
      </c>
    </row>
    <row r="890" spans="1:11" x14ac:dyDescent="0.25">
      <c r="A890" s="54">
        <v>231</v>
      </c>
      <c r="B890" s="55" t="s">
        <v>464</v>
      </c>
      <c r="C890" s="55" t="s">
        <v>1670</v>
      </c>
      <c r="D890" s="55" t="s">
        <v>65</v>
      </c>
      <c r="E890" s="55" t="s">
        <v>65</v>
      </c>
      <c r="F890" s="55" t="s">
        <v>464</v>
      </c>
      <c r="G890" s="55" t="s">
        <v>1663</v>
      </c>
      <c r="H890" s="54" t="s">
        <v>386</v>
      </c>
      <c r="I890" s="55" t="s">
        <v>1664</v>
      </c>
      <c r="J890" t="str">
        <f t="shared" si="28"/>
        <v>231 - Edificio Guillermo Mann</v>
      </c>
      <c r="K890" t="str">
        <f t="shared" si="29"/>
        <v>Obra</v>
      </c>
    </row>
    <row r="891" spans="1:11" x14ac:dyDescent="0.25">
      <c r="A891" s="54">
        <v>8231</v>
      </c>
      <c r="B891" s="55" t="s">
        <v>525</v>
      </c>
      <c r="C891" s="55" t="s">
        <v>1670</v>
      </c>
      <c r="D891" s="55" t="s">
        <v>1686</v>
      </c>
      <c r="E891" s="55" t="s">
        <v>1501</v>
      </c>
      <c r="F891" s="55" t="s">
        <v>464</v>
      </c>
      <c r="G891" s="55" t="s">
        <v>1661</v>
      </c>
      <c r="H891" s="54" t="s">
        <v>386</v>
      </c>
      <c r="I891" s="55" t="s">
        <v>1666</v>
      </c>
      <c r="J891" t="str">
        <f t="shared" si="28"/>
        <v>8231 - Entrega Edificio Guillermo Mann</v>
      </c>
      <c r="K891" t="str">
        <f t="shared" si="29"/>
        <v>Entrega</v>
      </c>
    </row>
    <row r="892" spans="1:11" x14ac:dyDescent="0.25">
      <c r="A892" s="54">
        <v>9231</v>
      </c>
      <c r="B892" s="55" t="s">
        <v>651</v>
      </c>
      <c r="C892" s="55" t="s">
        <v>1670</v>
      </c>
      <c r="D892" s="55" t="s">
        <v>66</v>
      </c>
      <c r="E892" s="55" t="s">
        <v>328</v>
      </c>
      <c r="F892" s="55" t="s">
        <v>464</v>
      </c>
      <c r="G892" s="55" t="s">
        <v>1661</v>
      </c>
      <c r="H892" s="54" t="s">
        <v>386</v>
      </c>
      <c r="I892" s="55" t="s">
        <v>1666</v>
      </c>
      <c r="J892" t="str">
        <f t="shared" si="28"/>
        <v>9231 - PV Edificio Guillermo Mann</v>
      </c>
      <c r="K892" t="str">
        <f t="shared" si="29"/>
        <v>Postventa</v>
      </c>
    </row>
    <row r="893" spans="1:11" x14ac:dyDescent="0.25">
      <c r="A893" s="54">
        <v>10231000</v>
      </c>
      <c r="B893" s="55" t="s">
        <v>464</v>
      </c>
      <c r="C893" s="55" t="s">
        <v>1670</v>
      </c>
      <c r="D893" s="55" t="s">
        <v>1665</v>
      </c>
      <c r="E893" s="55" t="s">
        <v>1585</v>
      </c>
      <c r="F893" s="55" t="s">
        <v>464</v>
      </c>
      <c r="G893" s="55" t="s">
        <v>1661</v>
      </c>
      <c r="H893" s="54" t="s">
        <v>386</v>
      </c>
      <c r="I893" s="55" t="s">
        <v>1666</v>
      </c>
      <c r="J893" t="str">
        <f t="shared" si="28"/>
        <v>10231000 - Edificio Guillermo Mann</v>
      </c>
      <c r="K893" t="str">
        <f t="shared" si="29"/>
        <v>Proyectos Inmobiliarios</v>
      </c>
    </row>
    <row r="894" spans="1:11" x14ac:dyDescent="0.25">
      <c r="A894" s="54">
        <v>10231102</v>
      </c>
      <c r="B894" s="55" t="s">
        <v>1094</v>
      </c>
      <c r="C894" s="55" t="s">
        <v>1670</v>
      </c>
      <c r="D894" s="55" t="s">
        <v>1665</v>
      </c>
      <c r="E894" s="55" t="s">
        <v>1617</v>
      </c>
      <c r="F894" s="55" t="s">
        <v>464</v>
      </c>
      <c r="G894" s="55" t="s">
        <v>1661</v>
      </c>
      <c r="H894" s="54" t="s">
        <v>386</v>
      </c>
      <c r="I894" s="55" t="s">
        <v>1666</v>
      </c>
      <c r="J894" t="str">
        <f t="shared" si="28"/>
        <v>10231102 - Edificio Guillermo Mann-Marketing</v>
      </c>
      <c r="K894" t="str">
        <f t="shared" si="29"/>
        <v>Proyectos Inmobiliarios</v>
      </c>
    </row>
    <row r="895" spans="1:11" x14ac:dyDescent="0.25">
      <c r="A895" s="54">
        <v>10231103</v>
      </c>
      <c r="B895" s="55" t="s">
        <v>1095</v>
      </c>
      <c r="C895" s="55" t="s">
        <v>1670</v>
      </c>
      <c r="D895" s="55" t="s">
        <v>1665</v>
      </c>
      <c r="E895" s="55" t="s">
        <v>1618</v>
      </c>
      <c r="F895" s="55" t="s">
        <v>464</v>
      </c>
      <c r="G895" s="55" t="s">
        <v>1661</v>
      </c>
      <c r="H895" s="54" t="s">
        <v>386</v>
      </c>
      <c r="I895" s="55" t="s">
        <v>1666</v>
      </c>
      <c r="J895" t="str">
        <f t="shared" si="28"/>
        <v>10231103 - Edificio Guillermo Mann-Operaciones</v>
      </c>
      <c r="K895" t="str">
        <f t="shared" si="29"/>
        <v>Proyectos Inmobiliarios</v>
      </c>
    </row>
    <row r="896" spans="1:11" x14ac:dyDescent="0.25">
      <c r="A896" s="54">
        <v>10231104</v>
      </c>
      <c r="B896" s="55" t="s">
        <v>1096</v>
      </c>
      <c r="C896" s="55" t="s">
        <v>1670</v>
      </c>
      <c r="D896" s="55" t="s">
        <v>1665</v>
      </c>
      <c r="E896" s="55" t="s">
        <v>90</v>
      </c>
      <c r="F896" s="55" t="s">
        <v>464</v>
      </c>
      <c r="G896" s="55" t="s">
        <v>1661</v>
      </c>
      <c r="H896" s="54" t="s">
        <v>386</v>
      </c>
      <c r="I896" s="55" t="s">
        <v>1666</v>
      </c>
      <c r="J896" t="str">
        <f t="shared" si="28"/>
        <v>10231104 - Edificio Guillermo Mann-Ventas</v>
      </c>
      <c r="K896" t="str">
        <f t="shared" si="29"/>
        <v>Proyectos Inmobiliarios</v>
      </c>
    </row>
    <row r="897" spans="1:11" x14ac:dyDescent="0.25">
      <c r="A897" s="54">
        <v>10231105</v>
      </c>
      <c r="B897" s="55" t="s">
        <v>1097</v>
      </c>
      <c r="C897" s="55" t="s">
        <v>1670</v>
      </c>
      <c r="D897" s="55" t="s">
        <v>1665</v>
      </c>
      <c r="E897" s="55" t="s">
        <v>1622</v>
      </c>
      <c r="F897" s="55" t="s">
        <v>464</v>
      </c>
      <c r="G897" s="55" t="s">
        <v>1661</v>
      </c>
      <c r="H897" s="54" t="s">
        <v>386</v>
      </c>
      <c r="I897" s="55" t="s">
        <v>1666</v>
      </c>
      <c r="J897" t="str">
        <f t="shared" si="28"/>
        <v>10231105 - Edificio Guillermo Mann-Clientes</v>
      </c>
      <c r="K897" t="str">
        <f t="shared" si="29"/>
        <v>Proyectos Inmobiliarios</v>
      </c>
    </row>
    <row r="898" spans="1:11" x14ac:dyDescent="0.25">
      <c r="A898" s="54">
        <v>10231204</v>
      </c>
      <c r="B898" s="55" t="s">
        <v>1098</v>
      </c>
      <c r="C898" s="55" t="s">
        <v>1670</v>
      </c>
      <c r="D898" s="55" t="s">
        <v>1665</v>
      </c>
      <c r="E898" s="55" t="s">
        <v>1624</v>
      </c>
      <c r="F898" s="55" t="s">
        <v>464</v>
      </c>
      <c r="G898" s="55" t="s">
        <v>1661</v>
      </c>
      <c r="H898" s="54" t="s">
        <v>386</v>
      </c>
      <c r="I898" s="55" t="s">
        <v>1666</v>
      </c>
      <c r="J898" t="str">
        <f t="shared" si="28"/>
        <v>10231204 - Edificio Guillermo Mann-Proyecto</v>
      </c>
      <c r="K898" t="str">
        <f t="shared" si="29"/>
        <v>Proyectos Inmobiliarios</v>
      </c>
    </row>
    <row r="899" spans="1:11" x14ac:dyDescent="0.25">
      <c r="A899" s="54">
        <v>10231301</v>
      </c>
      <c r="B899" s="55" t="s">
        <v>1099</v>
      </c>
      <c r="C899" s="55" t="s">
        <v>1670</v>
      </c>
      <c r="D899" s="55" t="s">
        <v>1665</v>
      </c>
      <c r="E899" s="55" t="s">
        <v>1643</v>
      </c>
      <c r="F899" s="55" t="s">
        <v>464</v>
      </c>
      <c r="G899" s="55" t="s">
        <v>1667</v>
      </c>
      <c r="H899" s="54" t="s">
        <v>386</v>
      </c>
      <c r="I899" s="55" t="s">
        <v>1666</v>
      </c>
      <c r="J899" t="str">
        <f t="shared" si="28"/>
        <v>10231301 - Edificio Guillermo Mann-GAF</v>
      </c>
      <c r="K899" t="str">
        <f t="shared" si="29"/>
        <v>Proyectos Inmobiliarios</v>
      </c>
    </row>
    <row r="900" spans="1:11" x14ac:dyDescent="0.25">
      <c r="A900" s="54">
        <v>10231505</v>
      </c>
      <c r="B900" s="55" t="s">
        <v>1100</v>
      </c>
      <c r="C900" s="55" t="s">
        <v>1670</v>
      </c>
      <c r="D900" s="55" t="s">
        <v>66</v>
      </c>
      <c r="E900" s="55" t="s">
        <v>328</v>
      </c>
      <c r="F900" s="55" t="s">
        <v>464</v>
      </c>
      <c r="G900" s="55" t="s">
        <v>1661</v>
      </c>
      <c r="H900" s="54" t="s">
        <v>386</v>
      </c>
      <c r="I900" s="55" t="s">
        <v>1666</v>
      </c>
      <c r="J900" t="str">
        <f t="shared" ref="J900:J963" si="30">+A900&amp;" - "&amp;B900</f>
        <v>10231505 - Edificio Guillermo Mann-PV Inmob.</v>
      </c>
      <c r="K900" t="str">
        <f t="shared" ref="K900:K963" si="31">+D900</f>
        <v>Postventa</v>
      </c>
    </row>
    <row r="901" spans="1:11" x14ac:dyDescent="0.25">
      <c r="A901" s="54">
        <v>10231506</v>
      </c>
      <c r="B901" s="55" t="s">
        <v>1101</v>
      </c>
      <c r="C901" s="55" t="s">
        <v>1670</v>
      </c>
      <c r="D901" s="55" t="s">
        <v>1665</v>
      </c>
      <c r="E901" s="55" t="s">
        <v>200</v>
      </c>
      <c r="F901" s="55" t="s">
        <v>464</v>
      </c>
      <c r="G901" s="55" t="s">
        <v>1661</v>
      </c>
      <c r="H901" s="54" t="s">
        <v>386</v>
      </c>
      <c r="I901" s="55" t="s">
        <v>1666</v>
      </c>
      <c r="J901" t="str">
        <f t="shared" si="30"/>
        <v>10231506 - Edificio Guillermo Mann-Depto.Técnico</v>
      </c>
      <c r="K901" t="str">
        <f t="shared" si="31"/>
        <v>Proyectos Inmobiliarios</v>
      </c>
    </row>
    <row r="902" spans="1:11" x14ac:dyDescent="0.25">
      <c r="A902" s="43">
        <v>999999999</v>
      </c>
      <c r="B902" t="s">
        <v>1684</v>
      </c>
      <c r="D902" t="s">
        <v>1578</v>
      </c>
      <c r="E902" t="s">
        <v>1578</v>
      </c>
      <c r="F902" t="s">
        <v>1015</v>
      </c>
      <c r="G902" t="s">
        <v>1661</v>
      </c>
      <c r="H902" s="43" t="s">
        <v>1672</v>
      </c>
      <c r="I902" t="s">
        <v>1662</v>
      </c>
      <c r="J902" t="str">
        <f t="shared" si="30"/>
        <v>999999999 - Terreno Abuelo Proyectos sin Terreno</v>
      </c>
      <c r="K902" t="str">
        <f t="shared" si="31"/>
        <v>Terreno</v>
      </c>
    </row>
    <row r="903" spans="1:11" x14ac:dyDescent="0.25">
      <c r="A903" s="58">
        <v>218</v>
      </c>
      <c r="B903" s="59" t="s">
        <v>1015</v>
      </c>
      <c r="C903" s="59" t="s">
        <v>1670</v>
      </c>
      <c r="D903" s="59" t="s">
        <v>65</v>
      </c>
      <c r="E903" s="59" t="s">
        <v>65</v>
      </c>
      <c r="F903" s="59" t="s">
        <v>1015</v>
      </c>
      <c r="G903" s="59" t="s">
        <v>1663</v>
      </c>
      <c r="H903" s="58" t="s">
        <v>1672</v>
      </c>
      <c r="I903" s="59" t="s">
        <v>1664</v>
      </c>
      <c r="J903" t="str">
        <f t="shared" si="30"/>
        <v>218 - Edificio Jose Domingo Cañas 2640</v>
      </c>
      <c r="K903" t="str">
        <f t="shared" si="31"/>
        <v>Obra</v>
      </c>
    </row>
    <row r="904" spans="1:11" x14ac:dyDescent="0.25">
      <c r="A904" s="58">
        <v>8218</v>
      </c>
      <c r="B904" s="59" t="s">
        <v>517</v>
      </c>
      <c r="C904" s="59" t="s">
        <v>1670</v>
      </c>
      <c r="D904" s="59" t="s">
        <v>1686</v>
      </c>
      <c r="E904" s="59" t="s">
        <v>1501</v>
      </c>
      <c r="F904" s="59" t="s">
        <v>1015</v>
      </c>
      <c r="G904" s="59" t="s">
        <v>1661</v>
      </c>
      <c r="H904" s="58" t="s">
        <v>386</v>
      </c>
      <c r="I904" s="59" t="s">
        <v>1666</v>
      </c>
      <c r="J904" t="str">
        <f t="shared" si="30"/>
        <v>8218 - Entrega Edificio Jose Domingo Cañas 2640</v>
      </c>
      <c r="K904" t="str">
        <f t="shared" si="31"/>
        <v>Entrega</v>
      </c>
    </row>
    <row r="905" spans="1:11" x14ac:dyDescent="0.25">
      <c r="A905" s="58">
        <v>9218</v>
      </c>
      <c r="B905" s="59" t="s">
        <v>640</v>
      </c>
      <c r="C905" s="59" t="s">
        <v>1670</v>
      </c>
      <c r="D905" s="59" t="s">
        <v>66</v>
      </c>
      <c r="E905" s="59" t="s">
        <v>328</v>
      </c>
      <c r="F905" s="59" t="s">
        <v>1015</v>
      </c>
      <c r="G905" s="59" t="s">
        <v>1661</v>
      </c>
      <c r="H905" s="58" t="s">
        <v>386</v>
      </c>
      <c r="I905" s="59" t="s">
        <v>1666</v>
      </c>
      <c r="J905" t="str">
        <f t="shared" si="30"/>
        <v>9218 - PV Edificio Jose Domingo Cañas 2640</v>
      </c>
      <c r="K905" t="str">
        <f t="shared" si="31"/>
        <v>Postventa</v>
      </c>
    </row>
    <row r="906" spans="1:11" x14ac:dyDescent="0.25">
      <c r="A906" s="58">
        <v>10218000</v>
      </c>
      <c r="B906" s="59" t="s">
        <v>1015</v>
      </c>
      <c r="C906" s="59" t="s">
        <v>1670</v>
      </c>
      <c r="D906" s="59" t="s">
        <v>1665</v>
      </c>
      <c r="E906" s="59" t="s">
        <v>1585</v>
      </c>
      <c r="F906" s="59" t="s">
        <v>1015</v>
      </c>
      <c r="G906" s="59" t="s">
        <v>1661</v>
      </c>
      <c r="H906" s="58" t="s">
        <v>386</v>
      </c>
      <c r="I906" s="59" t="s">
        <v>1666</v>
      </c>
      <c r="J906" t="str">
        <f t="shared" si="30"/>
        <v>10218000 - Edificio Jose Domingo Cañas 2640</v>
      </c>
      <c r="K906" t="str">
        <f t="shared" si="31"/>
        <v>Proyectos Inmobiliarios</v>
      </c>
    </row>
    <row r="907" spans="1:11" x14ac:dyDescent="0.25">
      <c r="A907" s="58">
        <v>10218102</v>
      </c>
      <c r="B907" s="59" t="s">
        <v>1016</v>
      </c>
      <c r="C907" s="59" t="s">
        <v>1670</v>
      </c>
      <c r="D907" s="59" t="s">
        <v>1665</v>
      </c>
      <c r="E907" s="59" t="s">
        <v>1617</v>
      </c>
      <c r="F907" s="59" t="s">
        <v>1015</v>
      </c>
      <c r="G907" s="59" t="s">
        <v>1661</v>
      </c>
      <c r="H907" s="58" t="s">
        <v>386</v>
      </c>
      <c r="I907" s="59" t="s">
        <v>1666</v>
      </c>
      <c r="J907" t="str">
        <f t="shared" si="30"/>
        <v>10218102 - Edificio Jose Domingo Cañas 2640-Marketing</v>
      </c>
      <c r="K907" t="str">
        <f t="shared" si="31"/>
        <v>Proyectos Inmobiliarios</v>
      </c>
    </row>
    <row r="908" spans="1:11" x14ac:dyDescent="0.25">
      <c r="A908" s="58">
        <v>10218103</v>
      </c>
      <c r="B908" s="59" t="s">
        <v>1017</v>
      </c>
      <c r="C908" s="59" t="s">
        <v>1670</v>
      </c>
      <c r="D908" s="59" t="s">
        <v>1665</v>
      </c>
      <c r="E908" s="59" t="s">
        <v>1618</v>
      </c>
      <c r="F908" s="59" t="s">
        <v>1015</v>
      </c>
      <c r="G908" s="59" t="s">
        <v>1661</v>
      </c>
      <c r="H908" s="58" t="s">
        <v>386</v>
      </c>
      <c r="I908" s="59" t="s">
        <v>1666</v>
      </c>
      <c r="J908" t="str">
        <f t="shared" si="30"/>
        <v>10218103 - Edificio Jose Domingo Cañas 2640-Operaciones</v>
      </c>
      <c r="K908" t="str">
        <f t="shared" si="31"/>
        <v>Proyectos Inmobiliarios</v>
      </c>
    </row>
    <row r="909" spans="1:11" x14ac:dyDescent="0.25">
      <c r="A909" s="58">
        <v>10218104</v>
      </c>
      <c r="B909" s="59" t="s">
        <v>1018</v>
      </c>
      <c r="C909" s="59" t="s">
        <v>1670</v>
      </c>
      <c r="D909" s="59" t="s">
        <v>1665</v>
      </c>
      <c r="E909" s="59" t="s">
        <v>90</v>
      </c>
      <c r="F909" s="59" t="s">
        <v>1015</v>
      </c>
      <c r="G909" s="59" t="s">
        <v>1661</v>
      </c>
      <c r="H909" s="58" t="s">
        <v>386</v>
      </c>
      <c r="I909" s="59" t="s">
        <v>1666</v>
      </c>
      <c r="J909" t="str">
        <f t="shared" si="30"/>
        <v>10218104 - Edificio Jose Domingo Cañas 2640-Ventas</v>
      </c>
      <c r="K909" t="str">
        <f t="shared" si="31"/>
        <v>Proyectos Inmobiliarios</v>
      </c>
    </row>
    <row r="910" spans="1:11" x14ac:dyDescent="0.25">
      <c r="A910" s="58">
        <v>10218105</v>
      </c>
      <c r="B910" s="59" t="s">
        <v>1019</v>
      </c>
      <c r="C910" s="59" t="s">
        <v>1670</v>
      </c>
      <c r="D910" s="59" t="s">
        <v>1665</v>
      </c>
      <c r="E910" s="59" t="s">
        <v>1622</v>
      </c>
      <c r="F910" s="59" t="s">
        <v>1015</v>
      </c>
      <c r="G910" s="59" t="s">
        <v>1661</v>
      </c>
      <c r="H910" s="58" t="s">
        <v>386</v>
      </c>
      <c r="I910" s="59" t="s">
        <v>1666</v>
      </c>
      <c r="J910" t="str">
        <f t="shared" si="30"/>
        <v>10218105 - Edificio Jose Domingo Cañas 2640-Clientes</v>
      </c>
      <c r="K910" t="str">
        <f t="shared" si="31"/>
        <v>Proyectos Inmobiliarios</v>
      </c>
    </row>
    <row r="911" spans="1:11" x14ac:dyDescent="0.25">
      <c r="A911" s="58">
        <v>10218204</v>
      </c>
      <c r="B911" s="59" t="s">
        <v>1020</v>
      </c>
      <c r="C911" s="59" t="s">
        <v>1670</v>
      </c>
      <c r="D911" s="59" t="s">
        <v>1665</v>
      </c>
      <c r="E911" s="59" t="s">
        <v>1624</v>
      </c>
      <c r="F911" s="59" t="s">
        <v>1015</v>
      </c>
      <c r="G911" s="59" t="s">
        <v>1661</v>
      </c>
      <c r="H911" s="58" t="s">
        <v>386</v>
      </c>
      <c r="I911" s="59" t="s">
        <v>1666</v>
      </c>
      <c r="J911" t="str">
        <f t="shared" si="30"/>
        <v>10218204 - Edificio Jose Domingo Cañas 2640-Proyecto</v>
      </c>
      <c r="K911" t="str">
        <f t="shared" si="31"/>
        <v>Proyectos Inmobiliarios</v>
      </c>
    </row>
    <row r="912" spans="1:11" x14ac:dyDescent="0.25">
      <c r="A912" s="58">
        <v>10218301</v>
      </c>
      <c r="B912" s="59" t="s">
        <v>1021</v>
      </c>
      <c r="C912" s="59" t="s">
        <v>1670</v>
      </c>
      <c r="D912" s="59" t="s">
        <v>1665</v>
      </c>
      <c r="E912" s="59" t="s">
        <v>1643</v>
      </c>
      <c r="F912" s="59" t="s">
        <v>1015</v>
      </c>
      <c r="G912" s="59" t="s">
        <v>1667</v>
      </c>
      <c r="H912" s="58" t="s">
        <v>386</v>
      </c>
      <c r="I912" s="59" t="s">
        <v>1666</v>
      </c>
      <c r="J912" t="str">
        <f t="shared" si="30"/>
        <v>10218301 - Edificio Jose Domingo Cañas 2640-GAF</v>
      </c>
      <c r="K912" t="str">
        <f t="shared" si="31"/>
        <v>Proyectos Inmobiliarios</v>
      </c>
    </row>
    <row r="913" spans="1:11" x14ac:dyDescent="0.25">
      <c r="A913" s="58">
        <v>10218505</v>
      </c>
      <c r="B913" s="59" t="s">
        <v>1022</v>
      </c>
      <c r="C913" s="59" t="s">
        <v>1670</v>
      </c>
      <c r="D913" s="59" t="s">
        <v>66</v>
      </c>
      <c r="E913" s="59" t="s">
        <v>328</v>
      </c>
      <c r="F913" s="59" t="s">
        <v>1015</v>
      </c>
      <c r="G913" s="59" t="s">
        <v>1661</v>
      </c>
      <c r="H913" s="58" t="s">
        <v>386</v>
      </c>
      <c r="I913" s="59" t="s">
        <v>1666</v>
      </c>
      <c r="J913" t="str">
        <f t="shared" si="30"/>
        <v>10218505 - Edificio Jose Domingo Cañas 2640-PV Inmob.</v>
      </c>
      <c r="K913" t="str">
        <f t="shared" si="31"/>
        <v>Postventa</v>
      </c>
    </row>
    <row r="914" spans="1:11" x14ac:dyDescent="0.25">
      <c r="A914" s="58">
        <v>10218506</v>
      </c>
      <c r="B914" s="59" t="s">
        <v>1023</v>
      </c>
      <c r="C914" s="59" t="s">
        <v>1670</v>
      </c>
      <c r="D914" s="59" t="s">
        <v>1665</v>
      </c>
      <c r="E914" s="59" t="s">
        <v>200</v>
      </c>
      <c r="F914" s="59" t="s">
        <v>1015</v>
      </c>
      <c r="G914" s="59" t="s">
        <v>1661</v>
      </c>
      <c r="H914" s="58" t="s">
        <v>386</v>
      </c>
      <c r="I914" s="59" t="s">
        <v>1666</v>
      </c>
      <c r="J914" t="str">
        <f t="shared" si="30"/>
        <v>10218506 - Edificio Jose Domingo Cañas 2640-Depto.Técnico</v>
      </c>
      <c r="K914" t="str">
        <f t="shared" si="31"/>
        <v>Proyectos Inmobiliarios</v>
      </c>
    </row>
    <row r="915" spans="1:11" x14ac:dyDescent="0.25">
      <c r="A915" s="43">
        <v>250</v>
      </c>
      <c r="B915" t="s">
        <v>2036</v>
      </c>
      <c r="C915" t="s">
        <v>1670</v>
      </c>
      <c r="D915" t="s">
        <v>65</v>
      </c>
      <c r="E915" t="s">
        <v>65</v>
      </c>
      <c r="F915" t="s">
        <v>1015</v>
      </c>
      <c r="G915" t="s">
        <v>1663</v>
      </c>
      <c r="H915" s="43" t="s">
        <v>1672</v>
      </c>
      <c r="I915" t="s">
        <v>1664</v>
      </c>
      <c r="J915" t="str">
        <f t="shared" si="30"/>
        <v>250 - Edificio Jose Domingo Cañas 2640 Exterior</v>
      </c>
      <c r="K915" t="str">
        <f t="shared" si="31"/>
        <v>Obra</v>
      </c>
    </row>
    <row r="916" spans="1:11" x14ac:dyDescent="0.25">
      <c r="A916" s="80">
        <v>1106202</v>
      </c>
      <c r="B916" s="81" t="s">
        <v>745</v>
      </c>
      <c r="C916" s="81" t="s">
        <v>1670</v>
      </c>
      <c r="D916" s="81" t="s">
        <v>1578</v>
      </c>
      <c r="E916" s="81" t="s">
        <v>1578</v>
      </c>
      <c r="F916" s="81" t="s">
        <v>471</v>
      </c>
      <c r="G916" s="81" t="s">
        <v>1661</v>
      </c>
      <c r="H916" s="80" t="s">
        <v>386</v>
      </c>
      <c r="I916" s="81" t="s">
        <v>1662</v>
      </c>
      <c r="J916" t="str">
        <f t="shared" si="30"/>
        <v xml:space="preserve">1106202 - Terreno La Coruña – Inversiones </v>
      </c>
      <c r="K916" t="str">
        <f t="shared" si="31"/>
        <v>Terreno</v>
      </c>
    </row>
    <row r="917" spans="1:11" x14ac:dyDescent="0.25">
      <c r="A917" s="80">
        <v>245</v>
      </c>
      <c r="B917" s="81" t="s">
        <v>471</v>
      </c>
      <c r="C917" s="81" t="s">
        <v>1670</v>
      </c>
      <c r="D917" s="81" t="s">
        <v>65</v>
      </c>
      <c r="E917" s="81" t="s">
        <v>65</v>
      </c>
      <c r="F917" s="81" t="s">
        <v>471</v>
      </c>
      <c r="G917" s="81" t="s">
        <v>1663</v>
      </c>
      <c r="H917" s="80" t="s">
        <v>386</v>
      </c>
      <c r="I917" s="81" t="s">
        <v>1664</v>
      </c>
      <c r="J917" t="str">
        <f t="shared" si="30"/>
        <v>245 - Edificio La Coruña</v>
      </c>
      <c r="K917" t="str">
        <f t="shared" si="31"/>
        <v>Obra</v>
      </c>
    </row>
    <row r="918" spans="1:11" x14ac:dyDescent="0.25">
      <c r="A918" s="80">
        <v>8245</v>
      </c>
      <c r="B918" s="81" t="s">
        <v>534</v>
      </c>
      <c r="C918" s="81" t="s">
        <v>1670</v>
      </c>
      <c r="D918" s="81" t="s">
        <v>1686</v>
      </c>
      <c r="E918" s="81" t="s">
        <v>1501</v>
      </c>
      <c r="F918" s="81" t="s">
        <v>471</v>
      </c>
      <c r="G918" s="81" t="s">
        <v>1661</v>
      </c>
      <c r="H918" s="80" t="s">
        <v>386</v>
      </c>
      <c r="I918" s="81" t="s">
        <v>1666</v>
      </c>
      <c r="J918" t="str">
        <f t="shared" si="30"/>
        <v>8245 - Entrega Edificio La Coruña</v>
      </c>
      <c r="K918" t="str">
        <f t="shared" si="31"/>
        <v>Entrega</v>
      </c>
    </row>
    <row r="919" spans="1:11" x14ac:dyDescent="0.25">
      <c r="A919" s="80">
        <v>9245</v>
      </c>
      <c r="B919" s="81" t="s">
        <v>660</v>
      </c>
      <c r="C919" s="81" t="s">
        <v>1670</v>
      </c>
      <c r="D919" s="81" t="s">
        <v>66</v>
      </c>
      <c r="E919" s="81" t="s">
        <v>328</v>
      </c>
      <c r="F919" s="81" t="s">
        <v>471</v>
      </c>
      <c r="G919" s="81" t="s">
        <v>1661</v>
      </c>
      <c r="H919" s="80" t="s">
        <v>386</v>
      </c>
      <c r="I919" s="81" t="s">
        <v>1666</v>
      </c>
      <c r="J919" t="str">
        <f t="shared" si="30"/>
        <v>9245 - PV Edificio La Coruña</v>
      </c>
      <c r="K919" t="str">
        <f t="shared" si="31"/>
        <v>Postventa</v>
      </c>
    </row>
    <row r="920" spans="1:11" x14ac:dyDescent="0.25">
      <c r="A920" s="80">
        <v>10234000</v>
      </c>
      <c r="B920" s="81" t="s">
        <v>471</v>
      </c>
      <c r="C920" s="81" t="s">
        <v>1670</v>
      </c>
      <c r="D920" s="81" t="s">
        <v>1665</v>
      </c>
      <c r="E920" s="81" t="s">
        <v>1585</v>
      </c>
      <c r="F920" s="81" t="s">
        <v>471</v>
      </c>
      <c r="G920" s="81" t="s">
        <v>1661</v>
      </c>
      <c r="H920" s="80" t="s">
        <v>386</v>
      </c>
      <c r="I920" s="81" t="s">
        <v>1666</v>
      </c>
      <c r="J920" t="str">
        <f t="shared" si="30"/>
        <v>10234000 - Edificio La Coruña</v>
      </c>
      <c r="K920" t="str">
        <f t="shared" si="31"/>
        <v>Proyectos Inmobiliarios</v>
      </c>
    </row>
    <row r="921" spans="1:11" x14ac:dyDescent="0.25">
      <c r="A921" s="80">
        <v>10234102</v>
      </c>
      <c r="B921" s="81" t="s">
        <v>1118</v>
      </c>
      <c r="C921" s="81" t="s">
        <v>1670</v>
      </c>
      <c r="D921" s="81" t="s">
        <v>1665</v>
      </c>
      <c r="E921" s="81" t="s">
        <v>1617</v>
      </c>
      <c r="F921" s="81" t="s">
        <v>471</v>
      </c>
      <c r="G921" s="81" t="s">
        <v>1661</v>
      </c>
      <c r="H921" s="80" t="s">
        <v>386</v>
      </c>
      <c r="I921" s="81" t="s">
        <v>1666</v>
      </c>
      <c r="J921" t="str">
        <f t="shared" si="30"/>
        <v>10234102 - Edificio La Coruña-Marketing</v>
      </c>
      <c r="K921" t="str">
        <f t="shared" si="31"/>
        <v>Proyectos Inmobiliarios</v>
      </c>
    </row>
    <row r="922" spans="1:11" x14ac:dyDescent="0.25">
      <c r="A922" s="80">
        <v>10234103</v>
      </c>
      <c r="B922" s="81" t="s">
        <v>1119</v>
      </c>
      <c r="C922" s="81" t="s">
        <v>1670</v>
      </c>
      <c r="D922" s="81" t="s">
        <v>1665</v>
      </c>
      <c r="E922" s="81" t="s">
        <v>1618</v>
      </c>
      <c r="F922" s="81" t="s">
        <v>471</v>
      </c>
      <c r="G922" s="81" t="s">
        <v>1661</v>
      </c>
      <c r="H922" s="80" t="s">
        <v>386</v>
      </c>
      <c r="I922" s="81" t="s">
        <v>1666</v>
      </c>
      <c r="J922" t="str">
        <f t="shared" si="30"/>
        <v>10234103 - Edificio La Coruña-Operaciones</v>
      </c>
      <c r="K922" t="str">
        <f t="shared" si="31"/>
        <v>Proyectos Inmobiliarios</v>
      </c>
    </row>
    <row r="923" spans="1:11" x14ac:dyDescent="0.25">
      <c r="A923" s="80">
        <v>10234104</v>
      </c>
      <c r="B923" s="81" t="s">
        <v>1120</v>
      </c>
      <c r="C923" s="81" t="s">
        <v>1670</v>
      </c>
      <c r="D923" s="81" t="s">
        <v>1665</v>
      </c>
      <c r="E923" s="81" t="s">
        <v>90</v>
      </c>
      <c r="F923" s="81" t="s">
        <v>471</v>
      </c>
      <c r="G923" s="81" t="s">
        <v>1661</v>
      </c>
      <c r="H923" s="80" t="s">
        <v>386</v>
      </c>
      <c r="I923" s="81" t="s">
        <v>1666</v>
      </c>
      <c r="J923" t="str">
        <f t="shared" si="30"/>
        <v>10234104 - Edificio La Coruña-Ventas</v>
      </c>
      <c r="K923" t="str">
        <f t="shared" si="31"/>
        <v>Proyectos Inmobiliarios</v>
      </c>
    </row>
    <row r="924" spans="1:11" x14ac:dyDescent="0.25">
      <c r="A924" s="80">
        <v>10234105</v>
      </c>
      <c r="B924" s="81" t="s">
        <v>1121</v>
      </c>
      <c r="C924" s="81" t="s">
        <v>1670</v>
      </c>
      <c r="D924" s="81" t="s">
        <v>1665</v>
      </c>
      <c r="E924" s="81" t="s">
        <v>1622</v>
      </c>
      <c r="F924" s="81" t="s">
        <v>471</v>
      </c>
      <c r="G924" s="81" t="s">
        <v>1661</v>
      </c>
      <c r="H924" s="80" t="s">
        <v>386</v>
      </c>
      <c r="I924" s="81" t="s">
        <v>1666</v>
      </c>
      <c r="J924" t="str">
        <f t="shared" si="30"/>
        <v>10234105 - Edificio La Coruña-Clientes</v>
      </c>
      <c r="K924" t="str">
        <f t="shared" si="31"/>
        <v>Proyectos Inmobiliarios</v>
      </c>
    </row>
    <row r="925" spans="1:11" x14ac:dyDescent="0.25">
      <c r="A925" s="80">
        <v>10234204</v>
      </c>
      <c r="B925" s="81" t="s">
        <v>1122</v>
      </c>
      <c r="C925" s="81" t="s">
        <v>1670</v>
      </c>
      <c r="D925" s="81" t="s">
        <v>1665</v>
      </c>
      <c r="E925" s="81" t="s">
        <v>1624</v>
      </c>
      <c r="F925" s="81" t="s">
        <v>471</v>
      </c>
      <c r="G925" s="81" t="s">
        <v>1661</v>
      </c>
      <c r="H925" s="80" t="s">
        <v>386</v>
      </c>
      <c r="I925" s="81" t="s">
        <v>1666</v>
      </c>
      <c r="J925" t="str">
        <f t="shared" si="30"/>
        <v>10234204 - Edificio La Coruña-Proyecto</v>
      </c>
      <c r="K925" t="str">
        <f t="shared" si="31"/>
        <v>Proyectos Inmobiliarios</v>
      </c>
    </row>
    <row r="926" spans="1:11" x14ac:dyDescent="0.25">
      <c r="A926" s="80">
        <v>10234301</v>
      </c>
      <c r="B926" s="81" t="s">
        <v>1123</v>
      </c>
      <c r="C926" s="81" t="s">
        <v>1670</v>
      </c>
      <c r="D926" s="81" t="s">
        <v>1665</v>
      </c>
      <c r="E926" s="81" t="s">
        <v>1643</v>
      </c>
      <c r="F926" s="81" t="s">
        <v>471</v>
      </c>
      <c r="G926" s="81" t="s">
        <v>1667</v>
      </c>
      <c r="H926" s="80" t="s">
        <v>386</v>
      </c>
      <c r="I926" s="81" t="s">
        <v>1666</v>
      </c>
      <c r="J926" t="str">
        <f t="shared" si="30"/>
        <v>10234301 - Edificio La Coruña-GAF</v>
      </c>
      <c r="K926" t="str">
        <f t="shared" si="31"/>
        <v>Proyectos Inmobiliarios</v>
      </c>
    </row>
    <row r="927" spans="1:11" x14ac:dyDescent="0.25">
      <c r="A927" s="80">
        <v>10234505</v>
      </c>
      <c r="B927" s="81" t="s">
        <v>1124</v>
      </c>
      <c r="C927" s="81" t="s">
        <v>1670</v>
      </c>
      <c r="D927" s="81" t="s">
        <v>66</v>
      </c>
      <c r="E927" s="81" t="s">
        <v>328</v>
      </c>
      <c r="F927" s="81" t="s">
        <v>471</v>
      </c>
      <c r="G927" s="81" t="s">
        <v>1661</v>
      </c>
      <c r="H927" s="80" t="s">
        <v>386</v>
      </c>
      <c r="I927" s="81" t="s">
        <v>1666</v>
      </c>
      <c r="J927" t="str">
        <f t="shared" si="30"/>
        <v>10234505 - Edificio La Coruña-PV Inmob.</v>
      </c>
      <c r="K927" t="str">
        <f t="shared" si="31"/>
        <v>Postventa</v>
      </c>
    </row>
    <row r="928" spans="1:11" x14ac:dyDescent="0.25">
      <c r="A928" s="80">
        <v>10234506</v>
      </c>
      <c r="B928" s="81" t="s">
        <v>1125</v>
      </c>
      <c r="C928" s="81" t="s">
        <v>1670</v>
      </c>
      <c r="D928" s="81" t="s">
        <v>1665</v>
      </c>
      <c r="E928" s="81" t="s">
        <v>200</v>
      </c>
      <c r="F928" s="81" t="s">
        <v>471</v>
      </c>
      <c r="G928" s="81" t="s">
        <v>1661</v>
      </c>
      <c r="H928" s="80" t="s">
        <v>386</v>
      </c>
      <c r="I928" s="81" t="s">
        <v>1666</v>
      </c>
      <c r="J928" t="str">
        <f t="shared" si="30"/>
        <v>10234506 - Edificio La Coruña-Depto.Técnico</v>
      </c>
      <c r="K928" t="str">
        <f t="shared" si="31"/>
        <v>Proyectos Inmobiliarios</v>
      </c>
    </row>
    <row r="929" spans="1:11" x14ac:dyDescent="0.25">
      <c r="A929" s="86">
        <v>1144202</v>
      </c>
      <c r="B929" s="87" t="s">
        <v>769</v>
      </c>
      <c r="C929" s="87" t="s">
        <v>1660</v>
      </c>
      <c r="D929" s="87" t="s">
        <v>1578</v>
      </c>
      <c r="E929" s="87" t="s">
        <v>1578</v>
      </c>
      <c r="F929" s="87" t="s">
        <v>487</v>
      </c>
      <c r="G929" s="87" t="s">
        <v>1661</v>
      </c>
      <c r="H929" s="86" t="s">
        <v>386</v>
      </c>
      <c r="I929" s="87" t="s">
        <v>1662</v>
      </c>
      <c r="J929" t="str">
        <f t="shared" si="30"/>
        <v>1144202 - Terreno Latorre 1590 - Inversiones</v>
      </c>
      <c r="K929" t="str">
        <f t="shared" si="31"/>
        <v>Terreno</v>
      </c>
    </row>
    <row r="930" spans="1:11" x14ac:dyDescent="0.25">
      <c r="A930" s="86">
        <v>306</v>
      </c>
      <c r="B930" s="87" t="s">
        <v>487</v>
      </c>
      <c r="C930" s="87" t="s">
        <v>1660</v>
      </c>
      <c r="D930" s="87" t="s">
        <v>65</v>
      </c>
      <c r="E930" s="87" t="s">
        <v>65</v>
      </c>
      <c r="F930" s="87" t="s">
        <v>487</v>
      </c>
      <c r="G930" s="87" t="s">
        <v>1663</v>
      </c>
      <c r="H930" s="86" t="s">
        <v>386</v>
      </c>
      <c r="I930" s="87" t="s">
        <v>1664</v>
      </c>
      <c r="J930" t="str">
        <f t="shared" si="30"/>
        <v>306 - Edificio Latorre</v>
      </c>
      <c r="K930" t="str">
        <f t="shared" si="31"/>
        <v>Obra</v>
      </c>
    </row>
    <row r="931" spans="1:11" x14ac:dyDescent="0.25">
      <c r="A931" s="86">
        <v>8306</v>
      </c>
      <c r="B931" s="87" t="s">
        <v>549</v>
      </c>
      <c r="C931" s="87" t="s">
        <v>1660</v>
      </c>
      <c r="D931" s="87" t="s">
        <v>1686</v>
      </c>
      <c r="E931" s="87" t="s">
        <v>1501</v>
      </c>
      <c r="F931" s="87" t="s">
        <v>487</v>
      </c>
      <c r="G931" s="87" t="s">
        <v>1661</v>
      </c>
      <c r="H931" s="86" t="s">
        <v>386</v>
      </c>
      <c r="I931" s="87" t="s">
        <v>1666</v>
      </c>
      <c r="J931" t="str">
        <f t="shared" si="30"/>
        <v>8306 - Entrega Edificio Latorre</v>
      </c>
      <c r="K931" t="str">
        <f t="shared" si="31"/>
        <v>Entrega</v>
      </c>
    </row>
    <row r="932" spans="1:11" x14ac:dyDescent="0.25">
      <c r="A932" s="86">
        <v>9306</v>
      </c>
      <c r="B932" s="87" t="s">
        <v>676</v>
      </c>
      <c r="C932" s="87" t="s">
        <v>1660</v>
      </c>
      <c r="D932" s="87" t="s">
        <v>66</v>
      </c>
      <c r="E932" s="87" t="s">
        <v>328</v>
      </c>
      <c r="F932" s="87" t="s">
        <v>487</v>
      </c>
      <c r="G932" s="87" t="s">
        <v>1661</v>
      </c>
      <c r="H932" s="86" t="s">
        <v>386</v>
      </c>
      <c r="I932" s="87" t="s">
        <v>1666</v>
      </c>
      <c r="J932" t="str">
        <f t="shared" si="30"/>
        <v>9306 - PV Edificio Latorre</v>
      </c>
      <c r="K932" t="str">
        <f t="shared" si="31"/>
        <v>Postventa</v>
      </c>
    </row>
    <row r="933" spans="1:11" x14ac:dyDescent="0.25">
      <c r="A933" s="86">
        <v>10265000</v>
      </c>
      <c r="B933" s="87" t="s">
        <v>487</v>
      </c>
      <c r="C933" s="87" t="s">
        <v>1660</v>
      </c>
      <c r="D933" s="87" t="s">
        <v>1665</v>
      </c>
      <c r="E933" s="87" t="s">
        <v>1585</v>
      </c>
      <c r="F933" s="87" t="s">
        <v>487</v>
      </c>
      <c r="G933" s="87" t="s">
        <v>1661</v>
      </c>
      <c r="H933" s="86" t="s">
        <v>386</v>
      </c>
      <c r="I933" s="87" t="s">
        <v>1666</v>
      </c>
      <c r="J933" t="str">
        <f t="shared" si="30"/>
        <v>10265000 - Edificio Latorre</v>
      </c>
      <c r="K933" t="str">
        <f t="shared" si="31"/>
        <v>Proyectos Inmobiliarios</v>
      </c>
    </row>
    <row r="934" spans="1:11" x14ac:dyDescent="0.25">
      <c r="A934" s="86">
        <v>10265102</v>
      </c>
      <c r="B934" s="87" t="s">
        <v>1327</v>
      </c>
      <c r="C934" s="87" t="s">
        <v>1660</v>
      </c>
      <c r="D934" s="87" t="s">
        <v>1665</v>
      </c>
      <c r="E934" s="87" t="s">
        <v>1617</v>
      </c>
      <c r="F934" s="87" t="s">
        <v>487</v>
      </c>
      <c r="G934" s="87" t="s">
        <v>1661</v>
      </c>
      <c r="H934" s="86" t="s">
        <v>386</v>
      </c>
      <c r="I934" s="87" t="s">
        <v>1666</v>
      </c>
      <c r="J934" t="str">
        <f t="shared" si="30"/>
        <v>10265102 - Edificio Latorre-Marketing</v>
      </c>
      <c r="K934" t="str">
        <f t="shared" si="31"/>
        <v>Proyectos Inmobiliarios</v>
      </c>
    </row>
    <row r="935" spans="1:11" x14ac:dyDescent="0.25">
      <c r="A935" s="86">
        <v>10265103</v>
      </c>
      <c r="B935" s="87" t="s">
        <v>1328</v>
      </c>
      <c r="C935" s="87" t="s">
        <v>1660</v>
      </c>
      <c r="D935" s="87" t="s">
        <v>1665</v>
      </c>
      <c r="E935" s="87" t="s">
        <v>1618</v>
      </c>
      <c r="F935" s="87" t="s">
        <v>487</v>
      </c>
      <c r="G935" s="87" t="s">
        <v>1661</v>
      </c>
      <c r="H935" s="86" t="s">
        <v>386</v>
      </c>
      <c r="I935" s="87" t="s">
        <v>1666</v>
      </c>
      <c r="J935" t="str">
        <f t="shared" si="30"/>
        <v>10265103 - Edificio Latorre-Operaciones</v>
      </c>
      <c r="K935" t="str">
        <f t="shared" si="31"/>
        <v>Proyectos Inmobiliarios</v>
      </c>
    </row>
    <row r="936" spans="1:11" x14ac:dyDescent="0.25">
      <c r="A936" s="86">
        <v>10265104</v>
      </c>
      <c r="B936" s="87" t="s">
        <v>1329</v>
      </c>
      <c r="C936" s="87" t="s">
        <v>1660</v>
      </c>
      <c r="D936" s="87" t="s">
        <v>1665</v>
      </c>
      <c r="E936" s="87" t="s">
        <v>90</v>
      </c>
      <c r="F936" s="87" t="s">
        <v>487</v>
      </c>
      <c r="G936" s="87" t="s">
        <v>1661</v>
      </c>
      <c r="H936" s="86" t="s">
        <v>386</v>
      </c>
      <c r="I936" s="87" t="s">
        <v>1666</v>
      </c>
      <c r="J936" t="str">
        <f t="shared" si="30"/>
        <v>10265104 - Edificio Latorre-Ventas</v>
      </c>
      <c r="K936" t="str">
        <f t="shared" si="31"/>
        <v>Proyectos Inmobiliarios</v>
      </c>
    </row>
    <row r="937" spans="1:11" x14ac:dyDescent="0.25">
      <c r="A937" s="86">
        <v>10265105</v>
      </c>
      <c r="B937" s="87" t="s">
        <v>1330</v>
      </c>
      <c r="C937" s="87" t="s">
        <v>1660</v>
      </c>
      <c r="D937" s="87" t="s">
        <v>1665</v>
      </c>
      <c r="E937" s="87" t="s">
        <v>1622</v>
      </c>
      <c r="F937" s="87" t="s">
        <v>487</v>
      </c>
      <c r="G937" s="87" t="s">
        <v>1661</v>
      </c>
      <c r="H937" s="86" t="s">
        <v>386</v>
      </c>
      <c r="I937" s="87" t="s">
        <v>1666</v>
      </c>
      <c r="J937" t="str">
        <f t="shared" si="30"/>
        <v>10265105 - Edificio Latorre-Clientes</v>
      </c>
      <c r="K937" t="str">
        <f t="shared" si="31"/>
        <v>Proyectos Inmobiliarios</v>
      </c>
    </row>
    <row r="938" spans="1:11" x14ac:dyDescent="0.25">
      <c r="A938" s="86">
        <v>10265204</v>
      </c>
      <c r="B938" s="87" t="s">
        <v>1331</v>
      </c>
      <c r="C938" s="87" t="s">
        <v>1660</v>
      </c>
      <c r="D938" s="87" t="s">
        <v>1665</v>
      </c>
      <c r="E938" s="87" t="s">
        <v>1624</v>
      </c>
      <c r="F938" s="87" t="s">
        <v>487</v>
      </c>
      <c r="G938" s="87" t="s">
        <v>1661</v>
      </c>
      <c r="H938" s="86" t="s">
        <v>386</v>
      </c>
      <c r="I938" s="87" t="s">
        <v>1666</v>
      </c>
      <c r="J938" t="str">
        <f t="shared" si="30"/>
        <v>10265204 - Edificio Latorre-Proyecto</v>
      </c>
      <c r="K938" t="str">
        <f t="shared" si="31"/>
        <v>Proyectos Inmobiliarios</v>
      </c>
    </row>
    <row r="939" spans="1:11" x14ac:dyDescent="0.25">
      <c r="A939" s="86">
        <v>10265301</v>
      </c>
      <c r="B939" s="87" t="s">
        <v>1332</v>
      </c>
      <c r="C939" s="87" t="s">
        <v>1660</v>
      </c>
      <c r="D939" s="87" t="s">
        <v>1665</v>
      </c>
      <c r="E939" s="87" t="s">
        <v>1643</v>
      </c>
      <c r="F939" s="87" t="s">
        <v>487</v>
      </c>
      <c r="G939" s="87" t="s">
        <v>1667</v>
      </c>
      <c r="H939" s="86" t="s">
        <v>386</v>
      </c>
      <c r="I939" s="87" t="s">
        <v>1666</v>
      </c>
      <c r="J939" t="str">
        <f t="shared" si="30"/>
        <v>10265301 - Edificio Latorre-GAF</v>
      </c>
      <c r="K939" t="str">
        <f t="shared" si="31"/>
        <v>Proyectos Inmobiliarios</v>
      </c>
    </row>
    <row r="940" spans="1:11" x14ac:dyDescent="0.25">
      <c r="A940" s="86">
        <v>10265505</v>
      </c>
      <c r="B940" s="87" t="s">
        <v>1333</v>
      </c>
      <c r="C940" s="87" t="s">
        <v>1660</v>
      </c>
      <c r="D940" s="87" t="s">
        <v>66</v>
      </c>
      <c r="E940" s="87" t="s">
        <v>328</v>
      </c>
      <c r="F940" s="87" t="s">
        <v>487</v>
      </c>
      <c r="G940" s="87" t="s">
        <v>1661</v>
      </c>
      <c r="H940" s="86" t="s">
        <v>386</v>
      </c>
      <c r="I940" s="87" t="s">
        <v>1666</v>
      </c>
      <c r="J940" t="str">
        <f t="shared" si="30"/>
        <v>10265505 - Edificio Latorre-PV Inmob.</v>
      </c>
      <c r="K940" t="str">
        <f t="shared" si="31"/>
        <v>Postventa</v>
      </c>
    </row>
    <row r="941" spans="1:11" x14ac:dyDescent="0.25">
      <c r="A941" s="86">
        <v>10265506</v>
      </c>
      <c r="B941" s="87" t="s">
        <v>1334</v>
      </c>
      <c r="C941" s="87" t="s">
        <v>1660</v>
      </c>
      <c r="D941" s="87" t="s">
        <v>1665</v>
      </c>
      <c r="E941" s="87" t="s">
        <v>200</v>
      </c>
      <c r="F941" s="87" t="s">
        <v>487</v>
      </c>
      <c r="G941" s="87" t="s">
        <v>1661</v>
      </c>
      <c r="H941" s="86" t="s">
        <v>386</v>
      </c>
      <c r="I941" s="87" t="s">
        <v>1666</v>
      </c>
      <c r="J941" t="str">
        <f t="shared" si="30"/>
        <v>10265506 - Edificio Latorre-Depto.Técnico</v>
      </c>
      <c r="K941" t="str">
        <f t="shared" si="31"/>
        <v>Proyectos Inmobiliarios</v>
      </c>
    </row>
    <row r="942" spans="1:11" x14ac:dyDescent="0.25">
      <c r="A942" s="74">
        <v>1130202</v>
      </c>
      <c r="B942" s="75" t="s">
        <v>760</v>
      </c>
      <c r="C942" s="75" t="s">
        <v>1670</v>
      </c>
      <c r="D942" s="75" t="s">
        <v>1578</v>
      </c>
      <c r="E942" s="75" t="s">
        <v>1578</v>
      </c>
      <c r="F942" s="75" t="s">
        <v>468</v>
      </c>
      <c r="G942" s="75" t="s">
        <v>1661</v>
      </c>
      <c r="H942" s="74" t="s">
        <v>386</v>
      </c>
      <c r="I942" s="75" t="s">
        <v>1662</v>
      </c>
      <c r="J942" t="str">
        <f t="shared" si="30"/>
        <v xml:space="preserve">1130202 - Terreno Departamental 960 – Inversiones </v>
      </c>
      <c r="K942" t="str">
        <f t="shared" si="31"/>
        <v>Terreno</v>
      </c>
    </row>
    <row r="943" spans="1:11" x14ac:dyDescent="0.25">
      <c r="A943" s="74">
        <v>242</v>
      </c>
      <c r="B943" s="75" t="s">
        <v>468</v>
      </c>
      <c r="C943" s="75" t="s">
        <v>1670</v>
      </c>
      <c r="D943" s="75" t="s">
        <v>65</v>
      </c>
      <c r="E943" s="75" t="s">
        <v>65</v>
      </c>
      <c r="F943" s="75" t="s">
        <v>468</v>
      </c>
      <c r="G943" s="75" t="s">
        <v>1663</v>
      </c>
      <c r="H943" s="74" t="s">
        <v>386</v>
      </c>
      <c r="I943" s="75" t="s">
        <v>1664</v>
      </c>
      <c r="J943" t="str">
        <f t="shared" si="30"/>
        <v>242 - Edificio Leon Prado</v>
      </c>
      <c r="K943" t="str">
        <f t="shared" si="31"/>
        <v>Obra</v>
      </c>
    </row>
    <row r="944" spans="1:11" x14ac:dyDescent="0.25">
      <c r="A944" s="74">
        <v>8242</v>
      </c>
      <c r="B944" s="75" t="s">
        <v>532</v>
      </c>
      <c r="C944" s="75" t="s">
        <v>1670</v>
      </c>
      <c r="D944" s="75" t="s">
        <v>1686</v>
      </c>
      <c r="E944" s="75" t="s">
        <v>1501</v>
      </c>
      <c r="F944" s="75" t="s">
        <v>468</v>
      </c>
      <c r="G944" s="75" t="s">
        <v>1661</v>
      </c>
      <c r="H944" s="74" t="s">
        <v>386</v>
      </c>
      <c r="I944" s="75" t="s">
        <v>1666</v>
      </c>
      <c r="J944" t="str">
        <f t="shared" si="30"/>
        <v>8242 - Entrega Edificio Leon Prado</v>
      </c>
      <c r="K944" t="str">
        <f t="shared" si="31"/>
        <v>Entrega</v>
      </c>
    </row>
    <row r="945" spans="1:11" x14ac:dyDescent="0.25">
      <c r="A945" s="74">
        <v>9242</v>
      </c>
      <c r="B945" s="75" t="s">
        <v>658</v>
      </c>
      <c r="C945" s="75" t="s">
        <v>1670</v>
      </c>
      <c r="D945" s="75" t="s">
        <v>66</v>
      </c>
      <c r="E945" s="75" t="s">
        <v>328</v>
      </c>
      <c r="F945" s="75" t="s">
        <v>468</v>
      </c>
      <c r="G945" s="75" t="s">
        <v>1661</v>
      </c>
      <c r="H945" s="74" t="s">
        <v>386</v>
      </c>
      <c r="I945" s="75" t="s">
        <v>1666</v>
      </c>
      <c r="J945" t="str">
        <f t="shared" si="30"/>
        <v>9242 - PV Edificio Leon Prado</v>
      </c>
      <c r="K945" t="str">
        <f t="shared" si="31"/>
        <v>Postventa</v>
      </c>
    </row>
    <row r="946" spans="1:11" x14ac:dyDescent="0.25">
      <c r="A946" s="74">
        <v>10242000</v>
      </c>
      <c r="B946" s="75" t="s">
        <v>468</v>
      </c>
      <c r="C946" s="75" t="s">
        <v>1670</v>
      </c>
      <c r="D946" s="75" t="s">
        <v>1665</v>
      </c>
      <c r="E946" s="75" t="s">
        <v>1585</v>
      </c>
      <c r="F946" s="75" t="s">
        <v>468</v>
      </c>
      <c r="G946" s="75" t="s">
        <v>1661</v>
      </c>
      <c r="H946" s="74" t="s">
        <v>386</v>
      </c>
      <c r="I946" s="75" t="s">
        <v>1666</v>
      </c>
      <c r="J946" t="str">
        <f t="shared" si="30"/>
        <v>10242000 - Edificio Leon Prado</v>
      </c>
      <c r="K946" t="str">
        <f t="shared" si="31"/>
        <v>Proyectos Inmobiliarios</v>
      </c>
    </row>
    <row r="947" spans="1:11" x14ac:dyDescent="0.25">
      <c r="A947" s="74">
        <v>10242102</v>
      </c>
      <c r="B947" s="75" t="s">
        <v>1169</v>
      </c>
      <c r="C947" s="75" t="s">
        <v>1670</v>
      </c>
      <c r="D947" s="75" t="s">
        <v>1665</v>
      </c>
      <c r="E947" s="75" t="s">
        <v>1617</v>
      </c>
      <c r="F947" s="75" t="s">
        <v>468</v>
      </c>
      <c r="G947" s="75" t="s">
        <v>1661</v>
      </c>
      <c r="H947" s="74" t="s">
        <v>386</v>
      </c>
      <c r="I947" s="75" t="s">
        <v>1666</v>
      </c>
      <c r="J947" t="str">
        <f t="shared" si="30"/>
        <v>10242102 - Edificio Leon Prado-Marketing</v>
      </c>
      <c r="K947" t="str">
        <f t="shared" si="31"/>
        <v>Proyectos Inmobiliarios</v>
      </c>
    </row>
    <row r="948" spans="1:11" x14ac:dyDescent="0.25">
      <c r="A948" s="74">
        <v>10242103</v>
      </c>
      <c r="B948" s="75" t="s">
        <v>1170</v>
      </c>
      <c r="C948" s="75" t="s">
        <v>1670</v>
      </c>
      <c r="D948" s="75" t="s">
        <v>1665</v>
      </c>
      <c r="E948" s="75" t="s">
        <v>1618</v>
      </c>
      <c r="F948" s="75" t="s">
        <v>468</v>
      </c>
      <c r="G948" s="75" t="s">
        <v>1661</v>
      </c>
      <c r="H948" s="74" t="s">
        <v>386</v>
      </c>
      <c r="I948" s="75" t="s">
        <v>1666</v>
      </c>
      <c r="J948" t="str">
        <f t="shared" si="30"/>
        <v>10242103 - Edificio Leon Prado-Operaciones</v>
      </c>
      <c r="K948" t="str">
        <f t="shared" si="31"/>
        <v>Proyectos Inmobiliarios</v>
      </c>
    </row>
    <row r="949" spans="1:11" x14ac:dyDescent="0.25">
      <c r="A949" s="74">
        <v>10242104</v>
      </c>
      <c r="B949" s="75" t="s">
        <v>1171</v>
      </c>
      <c r="C949" s="75" t="s">
        <v>1670</v>
      </c>
      <c r="D949" s="75" t="s">
        <v>1665</v>
      </c>
      <c r="E949" s="75" t="s">
        <v>90</v>
      </c>
      <c r="F949" s="75" t="s">
        <v>468</v>
      </c>
      <c r="G949" s="75" t="s">
        <v>1661</v>
      </c>
      <c r="H949" s="74" t="s">
        <v>386</v>
      </c>
      <c r="I949" s="75" t="s">
        <v>1666</v>
      </c>
      <c r="J949" t="str">
        <f t="shared" si="30"/>
        <v>10242104 - Edificio Leon Prado-Ventas</v>
      </c>
      <c r="K949" t="str">
        <f t="shared" si="31"/>
        <v>Proyectos Inmobiliarios</v>
      </c>
    </row>
    <row r="950" spans="1:11" x14ac:dyDescent="0.25">
      <c r="A950" s="74">
        <v>10242105</v>
      </c>
      <c r="B950" s="75" t="s">
        <v>1172</v>
      </c>
      <c r="C950" s="75" t="s">
        <v>1670</v>
      </c>
      <c r="D950" s="75" t="s">
        <v>1665</v>
      </c>
      <c r="E950" s="75" t="s">
        <v>1622</v>
      </c>
      <c r="F950" s="75" t="s">
        <v>468</v>
      </c>
      <c r="G950" s="75" t="s">
        <v>1661</v>
      </c>
      <c r="H950" s="74" t="s">
        <v>386</v>
      </c>
      <c r="I950" s="75" t="s">
        <v>1666</v>
      </c>
      <c r="J950" t="str">
        <f t="shared" si="30"/>
        <v>10242105 - Edificio Leon Prado-Clientes</v>
      </c>
      <c r="K950" t="str">
        <f t="shared" si="31"/>
        <v>Proyectos Inmobiliarios</v>
      </c>
    </row>
    <row r="951" spans="1:11" x14ac:dyDescent="0.25">
      <c r="A951" s="74">
        <v>10242204</v>
      </c>
      <c r="B951" s="75" t="s">
        <v>1173</v>
      </c>
      <c r="C951" s="75" t="s">
        <v>1670</v>
      </c>
      <c r="D951" s="75" t="s">
        <v>1665</v>
      </c>
      <c r="E951" s="75" t="s">
        <v>1624</v>
      </c>
      <c r="F951" s="75" t="s">
        <v>468</v>
      </c>
      <c r="G951" s="75" t="s">
        <v>1661</v>
      </c>
      <c r="H951" s="74" t="s">
        <v>386</v>
      </c>
      <c r="I951" s="75" t="s">
        <v>1666</v>
      </c>
      <c r="J951" t="str">
        <f t="shared" si="30"/>
        <v>10242204 - Edificio Leon Prado-Proyecto</v>
      </c>
      <c r="K951" t="str">
        <f t="shared" si="31"/>
        <v>Proyectos Inmobiliarios</v>
      </c>
    </row>
    <row r="952" spans="1:11" x14ac:dyDescent="0.25">
      <c r="A952" s="74">
        <v>10242301</v>
      </c>
      <c r="B952" s="75" t="s">
        <v>1174</v>
      </c>
      <c r="C952" s="75" t="s">
        <v>1670</v>
      </c>
      <c r="D952" s="75" t="s">
        <v>1665</v>
      </c>
      <c r="E952" s="75" t="s">
        <v>1643</v>
      </c>
      <c r="F952" s="75" t="s">
        <v>468</v>
      </c>
      <c r="G952" s="75" t="s">
        <v>1667</v>
      </c>
      <c r="H952" s="74" t="s">
        <v>386</v>
      </c>
      <c r="I952" s="75" t="s">
        <v>1666</v>
      </c>
      <c r="J952" t="str">
        <f t="shared" si="30"/>
        <v>10242301 - Edificio Leon Prado-GAF</v>
      </c>
      <c r="K952" t="str">
        <f t="shared" si="31"/>
        <v>Proyectos Inmobiliarios</v>
      </c>
    </row>
    <row r="953" spans="1:11" x14ac:dyDescent="0.25">
      <c r="A953" s="74">
        <v>10242505</v>
      </c>
      <c r="B953" s="75" t="s">
        <v>1175</v>
      </c>
      <c r="C953" s="75" t="s">
        <v>1670</v>
      </c>
      <c r="D953" s="75" t="s">
        <v>66</v>
      </c>
      <c r="E953" s="75" t="s">
        <v>328</v>
      </c>
      <c r="F953" s="75" t="s">
        <v>468</v>
      </c>
      <c r="G953" s="75" t="s">
        <v>1661</v>
      </c>
      <c r="H953" s="74" t="s">
        <v>386</v>
      </c>
      <c r="I953" s="75" t="s">
        <v>1666</v>
      </c>
      <c r="J953" t="str">
        <f t="shared" si="30"/>
        <v>10242505 - Edificio Leon Prado-PV Inmob.</v>
      </c>
      <c r="K953" t="str">
        <f t="shared" si="31"/>
        <v>Postventa</v>
      </c>
    </row>
    <row r="954" spans="1:11" x14ac:dyDescent="0.25">
      <c r="A954" s="74">
        <v>10242506</v>
      </c>
      <c r="B954" s="75" t="s">
        <v>1176</v>
      </c>
      <c r="C954" s="75" t="s">
        <v>1670</v>
      </c>
      <c r="D954" s="75" t="s">
        <v>1665</v>
      </c>
      <c r="E954" s="75" t="s">
        <v>200</v>
      </c>
      <c r="F954" s="75" t="s">
        <v>468</v>
      </c>
      <c r="G954" s="75" t="s">
        <v>1661</v>
      </c>
      <c r="H954" s="74" t="s">
        <v>386</v>
      </c>
      <c r="I954" s="75" t="s">
        <v>1666</v>
      </c>
      <c r="J954" t="str">
        <f t="shared" si="30"/>
        <v>10242506 - Edificio Leon Prado-Depto.Técnico</v>
      </c>
      <c r="K954" t="str">
        <f t="shared" si="31"/>
        <v>Proyectos Inmobiliarios</v>
      </c>
    </row>
    <row r="955" spans="1:11" x14ac:dyDescent="0.25">
      <c r="A955" s="88">
        <v>1118202</v>
      </c>
      <c r="B955" s="89" t="s">
        <v>752</v>
      </c>
      <c r="C955" s="89" t="s">
        <v>1670</v>
      </c>
      <c r="D955" s="89" t="s">
        <v>1578</v>
      </c>
      <c r="E955" s="89" t="s">
        <v>1578</v>
      </c>
      <c r="F955" s="89" t="s">
        <v>477</v>
      </c>
      <c r="G955" s="89" t="s">
        <v>1661</v>
      </c>
      <c r="H955" s="88" t="s">
        <v>386</v>
      </c>
      <c r="I955" s="89" t="s">
        <v>1662</v>
      </c>
      <c r="J955" t="str">
        <f t="shared" si="30"/>
        <v xml:space="preserve">1118202 - Terreno Lia Aguirre - Inversiones </v>
      </c>
      <c r="K955" t="str">
        <f t="shared" si="31"/>
        <v>Terreno</v>
      </c>
    </row>
    <row r="956" spans="1:11" x14ac:dyDescent="0.25">
      <c r="A956" s="88">
        <v>260</v>
      </c>
      <c r="B956" s="89" t="s">
        <v>477</v>
      </c>
      <c r="C956" s="89" t="s">
        <v>1670</v>
      </c>
      <c r="D956" s="89" t="s">
        <v>65</v>
      </c>
      <c r="E956" s="89" t="s">
        <v>65</v>
      </c>
      <c r="F956" s="89" t="s">
        <v>477</v>
      </c>
      <c r="G956" s="89" t="s">
        <v>1663</v>
      </c>
      <c r="H956" s="88" t="s">
        <v>386</v>
      </c>
      <c r="I956" s="89" t="s">
        <v>1664</v>
      </c>
      <c r="J956" t="str">
        <f t="shared" si="30"/>
        <v>260 - Edificio Lia Aguirre</v>
      </c>
      <c r="K956" t="str">
        <f t="shared" si="31"/>
        <v>Obra</v>
      </c>
    </row>
    <row r="957" spans="1:11" x14ac:dyDescent="0.25">
      <c r="A957" s="88">
        <v>8260</v>
      </c>
      <c r="B957" s="89" t="s">
        <v>543</v>
      </c>
      <c r="C957" s="89" t="s">
        <v>1670</v>
      </c>
      <c r="D957" s="89" t="s">
        <v>1686</v>
      </c>
      <c r="E957" s="89" t="s">
        <v>1501</v>
      </c>
      <c r="F957" s="89" t="s">
        <v>477</v>
      </c>
      <c r="G957" s="89" t="s">
        <v>1661</v>
      </c>
      <c r="H957" s="88" t="s">
        <v>386</v>
      </c>
      <c r="I957" s="89" t="s">
        <v>1666</v>
      </c>
      <c r="J957" t="str">
        <f t="shared" si="30"/>
        <v>8260 - Entrega Edificio Lia Aguirre</v>
      </c>
      <c r="K957" t="str">
        <f t="shared" si="31"/>
        <v>Entrega</v>
      </c>
    </row>
    <row r="958" spans="1:11" x14ac:dyDescent="0.25">
      <c r="A958" s="88">
        <v>9260</v>
      </c>
      <c r="B958" s="89" t="s">
        <v>669</v>
      </c>
      <c r="C958" s="89" t="s">
        <v>1670</v>
      </c>
      <c r="D958" s="89" t="s">
        <v>66</v>
      </c>
      <c r="E958" s="89" t="s">
        <v>328</v>
      </c>
      <c r="F958" s="89" t="s">
        <v>477</v>
      </c>
      <c r="G958" s="89" t="s">
        <v>1661</v>
      </c>
      <c r="H958" s="88" t="s">
        <v>386</v>
      </c>
      <c r="I958" s="89" t="s">
        <v>1666</v>
      </c>
      <c r="J958" t="str">
        <f t="shared" si="30"/>
        <v>9260 - PV Edificio Lia Aguirre</v>
      </c>
      <c r="K958" t="str">
        <f t="shared" si="31"/>
        <v>Postventa</v>
      </c>
    </row>
    <row r="959" spans="1:11" x14ac:dyDescent="0.25">
      <c r="A959" s="88">
        <v>10253000</v>
      </c>
      <c r="B959" s="89" t="s">
        <v>477</v>
      </c>
      <c r="C959" s="89" t="s">
        <v>1670</v>
      </c>
      <c r="D959" s="89" t="s">
        <v>1665</v>
      </c>
      <c r="E959" s="89" t="s">
        <v>1585</v>
      </c>
      <c r="F959" s="89" t="s">
        <v>477</v>
      </c>
      <c r="G959" s="89" t="s">
        <v>1661</v>
      </c>
      <c r="H959" s="88" t="s">
        <v>386</v>
      </c>
      <c r="I959" s="89" t="s">
        <v>1666</v>
      </c>
      <c r="J959" t="str">
        <f t="shared" si="30"/>
        <v>10253000 - Edificio Lia Aguirre</v>
      </c>
      <c r="K959" t="str">
        <f t="shared" si="31"/>
        <v>Proyectos Inmobiliarios</v>
      </c>
    </row>
    <row r="960" spans="1:11" x14ac:dyDescent="0.25">
      <c r="A960" s="88">
        <v>10253102</v>
      </c>
      <c r="B960" s="89" t="s">
        <v>1226</v>
      </c>
      <c r="C960" s="89" t="s">
        <v>1670</v>
      </c>
      <c r="D960" s="89" t="s">
        <v>1665</v>
      </c>
      <c r="E960" s="89" t="s">
        <v>1617</v>
      </c>
      <c r="F960" s="89" t="s">
        <v>477</v>
      </c>
      <c r="G960" s="89" t="s">
        <v>1661</v>
      </c>
      <c r="H960" s="88" t="s">
        <v>386</v>
      </c>
      <c r="I960" s="89" t="s">
        <v>1666</v>
      </c>
      <c r="J960" t="str">
        <f t="shared" si="30"/>
        <v>10253102 - Edificio Lia Aguirre-Marketing</v>
      </c>
      <c r="K960" t="str">
        <f t="shared" si="31"/>
        <v>Proyectos Inmobiliarios</v>
      </c>
    </row>
    <row r="961" spans="1:11" x14ac:dyDescent="0.25">
      <c r="A961" s="88">
        <v>10253103</v>
      </c>
      <c r="B961" s="89" t="s">
        <v>1227</v>
      </c>
      <c r="C961" s="89" t="s">
        <v>1670</v>
      </c>
      <c r="D961" s="89" t="s">
        <v>1665</v>
      </c>
      <c r="E961" s="89" t="s">
        <v>1618</v>
      </c>
      <c r="F961" s="89" t="s">
        <v>477</v>
      </c>
      <c r="G961" s="89" t="s">
        <v>1661</v>
      </c>
      <c r="H961" s="88" t="s">
        <v>386</v>
      </c>
      <c r="I961" s="89" t="s">
        <v>1666</v>
      </c>
      <c r="J961" t="str">
        <f t="shared" si="30"/>
        <v>10253103 - Edificio Lia Aguirre-Operaciones</v>
      </c>
      <c r="K961" t="str">
        <f t="shared" si="31"/>
        <v>Proyectos Inmobiliarios</v>
      </c>
    </row>
    <row r="962" spans="1:11" x14ac:dyDescent="0.25">
      <c r="A962" s="88">
        <v>10253104</v>
      </c>
      <c r="B962" s="89" t="s">
        <v>1228</v>
      </c>
      <c r="C962" s="89" t="s">
        <v>1670</v>
      </c>
      <c r="D962" s="89" t="s">
        <v>1665</v>
      </c>
      <c r="E962" s="89" t="s">
        <v>90</v>
      </c>
      <c r="F962" s="89" t="s">
        <v>477</v>
      </c>
      <c r="G962" s="89" t="s">
        <v>1661</v>
      </c>
      <c r="H962" s="88" t="s">
        <v>386</v>
      </c>
      <c r="I962" s="89" t="s">
        <v>1666</v>
      </c>
      <c r="J962" t="str">
        <f t="shared" si="30"/>
        <v>10253104 - Edificio Lia Aguirre-Ventas</v>
      </c>
      <c r="K962" t="str">
        <f t="shared" si="31"/>
        <v>Proyectos Inmobiliarios</v>
      </c>
    </row>
    <row r="963" spans="1:11" x14ac:dyDescent="0.25">
      <c r="A963" s="88">
        <v>10253105</v>
      </c>
      <c r="B963" s="89" t="s">
        <v>1229</v>
      </c>
      <c r="C963" s="89" t="s">
        <v>1670</v>
      </c>
      <c r="D963" s="89" t="s">
        <v>1665</v>
      </c>
      <c r="E963" s="89" t="s">
        <v>1622</v>
      </c>
      <c r="F963" s="89" t="s">
        <v>477</v>
      </c>
      <c r="G963" s="89" t="s">
        <v>1661</v>
      </c>
      <c r="H963" s="88" t="s">
        <v>386</v>
      </c>
      <c r="I963" s="89" t="s">
        <v>1666</v>
      </c>
      <c r="J963" t="str">
        <f t="shared" si="30"/>
        <v>10253105 - Edificio Lia Aguirre-Clientes</v>
      </c>
      <c r="K963" t="str">
        <f t="shared" si="31"/>
        <v>Proyectos Inmobiliarios</v>
      </c>
    </row>
    <row r="964" spans="1:11" x14ac:dyDescent="0.25">
      <c r="A964" s="88">
        <v>10253204</v>
      </c>
      <c r="B964" s="89" t="s">
        <v>1230</v>
      </c>
      <c r="C964" s="89" t="s">
        <v>1670</v>
      </c>
      <c r="D964" s="89" t="s">
        <v>1665</v>
      </c>
      <c r="E964" s="89" t="s">
        <v>1624</v>
      </c>
      <c r="F964" s="89" t="s">
        <v>477</v>
      </c>
      <c r="G964" s="89" t="s">
        <v>1661</v>
      </c>
      <c r="H964" s="88" t="s">
        <v>386</v>
      </c>
      <c r="I964" s="89" t="s">
        <v>1666</v>
      </c>
      <c r="J964" t="str">
        <f t="shared" ref="J964:J1027" si="32">+A964&amp;" - "&amp;B964</f>
        <v>10253204 - Edificio Lia Aguirre-Proyecto</v>
      </c>
      <c r="K964" t="str">
        <f t="shared" ref="K964:K1027" si="33">+D964</f>
        <v>Proyectos Inmobiliarios</v>
      </c>
    </row>
    <row r="965" spans="1:11" x14ac:dyDescent="0.25">
      <c r="A965" s="88">
        <v>10253301</v>
      </c>
      <c r="B965" s="89" t="s">
        <v>1231</v>
      </c>
      <c r="C965" s="89" t="s">
        <v>1670</v>
      </c>
      <c r="D965" s="89" t="s">
        <v>1665</v>
      </c>
      <c r="E965" s="89" t="s">
        <v>1643</v>
      </c>
      <c r="F965" s="89" t="s">
        <v>477</v>
      </c>
      <c r="G965" s="89" t="s">
        <v>1667</v>
      </c>
      <c r="H965" s="88" t="s">
        <v>386</v>
      </c>
      <c r="I965" s="89" t="s">
        <v>1666</v>
      </c>
      <c r="J965" t="str">
        <f t="shared" si="32"/>
        <v>10253301 - Edificio Lia Aguirre-GAF</v>
      </c>
      <c r="K965" t="str">
        <f t="shared" si="33"/>
        <v>Proyectos Inmobiliarios</v>
      </c>
    </row>
    <row r="966" spans="1:11" x14ac:dyDescent="0.25">
      <c r="A966" s="88">
        <v>10253505</v>
      </c>
      <c r="B966" s="89" t="s">
        <v>1232</v>
      </c>
      <c r="C966" s="89" t="s">
        <v>1670</v>
      </c>
      <c r="D966" s="89" t="s">
        <v>66</v>
      </c>
      <c r="E966" s="89" t="s">
        <v>328</v>
      </c>
      <c r="F966" s="89" t="s">
        <v>477</v>
      </c>
      <c r="G966" s="89" t="s">
        <v>1661</v>
      </c>
      <c r="H966" s="88" t="s">
        <v>386</v>
      </c>
      <c r="I966" s="89" t="s">
        <v>1666</v>
      </c>
      <c r="J966" t="str">
        <f t="shared" si="32"/>
        <v>10253505 - Edificio Lia Aguirre-PV Inmob.</v>
      </c>
      <c r="K966" t="str">
        <f t="shared" si="33"/>
        <v>Postventa</v>
      </c>
    </row>
    <row r="967" spans="1:11" x14ac:dyDescent="0.25">
      <c r="A967" s="88">
        <v>10253506</v>
      </c>
      <c r="B967" s="89" t="s">
        <v>1233</v>
      </c>
      <c r="C967" s="89" t="s">
        <v>1670</v>
      </c>
      <c r="D967" s="89" t="s">
        <v>1665</v>
      </c>
      <c r="E967" s="89" t="s">
        <v>200</v>
      </c>
      <c r="F967" s="89" t="s">
        <v>477</v>
      </c>
      <c r="G967" s="89" t="s">
        <v>1661</v>
      </c>
      <c r="H967" s="88" t="s">
        <v>386</v>
      </c>
      <c r="I967" s="89" t="s">
        <v>1666</v>
      </c>
      <c r="J967" t="str">
        <f t="shared" si="32"/>
        <v>10253506 - Edificio Lia Aguirre-Depto.Técnico</v>
      </c>
      <c r="K967" t="str">
        <f t="shared" si="33"/>
        <v>Proyectos Inmobiliarios</v>
      </c>
    </row>
    <row r="968" spans="1:11" x14ac:dyDescent="0.25">
      <c r="A968" s="64">
        <v>1143202</v>
      </c>
      <c r="B968" s="65" t="s">
        <v>768</v>
      </c>
      <c r="C968" s="65" t="s">
        <v>1660</v>
      </c>
      <c r="D968" s="65" t="s">
        <v>1578</v>
      </c>
      <c r="E968" s="65" t="s">
        <v>1578</v>
      </c>
      <c r="F968" s="65" t="s">
        <v>480</v>
      </c>
      <c r="G968" s="65" t="s">
        <v>1661</v>
      </c>
      <c r="H968" s="64" t="s">
        <v>386</v>
      </c>
      <c r="I968" s="65" t="s">
        <v>1662</v>
      </c>
      <c r="J968" t="str">
        <f t="shared" si="32"/>
        <v>1143202 - Terreno Libertad 1330 - Inversiones</v>
      </c>
      <c r="K968" t="str">
        <f t="shared" si="33"/>
        <v>Terreno</v>
      </c>
    </row>
    <row r="969" spans="1:11" x14ac:dyDescent="0.25">
      <c r="A969" s="64">
        <v>264</v>
      </c>
      <c r="B969" s="65" t="s">
        <v>480</v>
      </c>
      <c r="C969" s="65" t="s">
        <v>1660</v>
      </c>
      <c r="D969" s="65" t="s">
        <v>65</v>
      </c>
      <c r="E969" s="65" t="s">
        <v>65</v>
      </c>
      <c r="F969" s="65" t="s">
        <v>480</v>
      </c>
      <c r="G969" s="65" t="s">
        <v>1663</v>
      </c>
      <c r="H969" s="64" t="s">
        <v>386</v>
      </c>
      <c r="I969" s="65" t="s">
        <v>1664</v>
      </c>
      <c r="J969" t="str">
        <f t="shared" si="32"/>
        <v>264 - Edificio Libertad</v>
      </c>
      <c r="K969" t="str">
        <f t="shared" si="33"/>
        <v>Obra</v>
      </c>
    </row>
    <row r="970" spans="1:11" x14ac:dyDescent="0.25">
      <c r="A970" s="64">
        <v>10264000</v>
      </c>
      <c r="B970" s="65" t="s">
        <v>480</v>
      </c>
      <c r="C970" s="65" t="s">
        <v>1660</v>
      </c>
      <c r="D970" s="65" t="s">
        <v>1665</v>
      </c>
      <c r="E970" s="65" t="s">
        <v>1585</v>
      </c>
      <c r="F970" s="65" t="s">
        <v>480</v>
      </c>
      <c r="G970" s="65" t="s">
        <v>1661</v>
      </c>
      <c r="H970" s="64" t="s">
        <v>386</v>
      </c>
      <c r="I970" s="65" t="s">
        <v>1666</v>
      </c>
      <c r="J970" t="str">
        <f t="shared" si="32"/>
        <v>10264000 - Edificio Libertad</v>
      </c>
      <c r="K970" t="str">
        <f t="shared" si="33"/>
        <v>Proyectos Inmobiliarios</v>
      </c>
    </row>
    <row r="971" spans="1:11" x14ac:dyDescent="0.25">
      <c r="A971" s="64">
        <v>10264102</v>
      </c>
      <c r="B971" s="65" t="s">
        <v>1319</v>
      </c>
      <c r="C971" s="65" t="s">
        <v>1660</v>
      </c>
      <c r="D971" s="65" t="s">
        <v>1665</v>
      </c>
      <c r="E971" s="65" t="s">
        <v>1617</v>
      </c>
      <c r="F971" s="65" t="s">
        <v>480</v>
      </c>
      <c r="G971" s="65" t="s">
        <v>1661</v>
      </c>
      <c r="H971" s="64" t="s">
        <v>386</v>
      </c>
      <c r="I971" s="65" t="s">
        <v>1666</v>
      </c>
      <c r="J971" t="str">
        <f t="shared" si="32"/>
        <v>10264102 - Edificio Libertad-Marketing</v>
      </c>
      <c r="K971" t="str">
        <f t="shared" si="33"/>
        <v>Proyectos Inmobiliarios</v>
      </c>
    </row>
    <row r="972" spans="1:11" x14ac:dyDescent="0.25">
      <c r="A972" s="64">
        <v>10264103</v>
      </c>
      <c r="B972" s="65" t="s">
        <v>1320</v>
      </c>
      <c r="C972" s="65" t="s">
        <v>1660</v>
      </c>
      <c r="D972" s="65" t="s">
        <v>1665</v>
      </c>
      <c r="E972" s="65" t="s">
        <v>1618</v>
      </c>
      <c r="F972" s="65" t="s">
        <v>480</v>
      </c>
      <c r="G972" s="65" t="s">
        <v>1661</v>
      </c>
      <c r="H972" s="64" t="s">
        <v>386</v>
      </c>
      <c r="I972" s="65" t="s">
        <v>1666</v>
      </c>
      <c r="J972" t="str">
        <f t="shared" si="32"/>
        <v>10264103 - Edificio Libertad-Operaciones</v>
      </c>
      <c r="K972" t="str">
        <f t="shared" si="33"/>
        <v>Proyectos Inmobiliarios</v>
      </c>
    </row>
    <row r="973" spans="1:11" x14ac:dyDescent="0.25">
      <c r="A973" s="64">
        <v>10264104</v>
      </c>
      <c r="B973" s="65" t="s">
        <v>1321</v>
      </c>
      <c r="C973" s="65" t="s">
        <v>1660</v>
      </c>
      <c r="D973" s="65" t="s">
        <v>1665</v>
      </c>
      <c r="E973" s="65" t="s">
        <v>90</v>
      </c>
      <c r="F973" s="65" t="s">
        <v>480</v>
      </c>
      <c r="G973" s="65" t="s">
        <v>1661</v>
      </c>
      <c r="H973" s="64" t="s">
        <v>386</v>
      </c>
      <c r="I973" s="65" t="s">
        <v>1666</v>
      </c>
      <c r="J973" t="str">
        <f t="shared" si="32"/>
        <v>10264104 - Edificio Libertad-Ventas</v>
      </c>
      <c r="K973" t="str">
        <f t="shared" si="33"/>
        <v>Proyectos Inmobiliarios</v>
      </c>
    </row>
    <row r="974" spans="1:11" x14ac:dyDescent="0.25">
      <c r="A974" s="64">
        <v>10264105</v>
      </c>
      <c r="B974" s="65" t="s">
        <v>1322</v>
      </c>
      <c r="C974" s="65" t="s">
        <v>1660</v>
      </c>
      <c r="D974" s="65" t="s">
        <v>1665</v>
      </c>
      <c r="E974" s="65" t="s">
        <v>1622</v>
      </c>
      <c r="F974" s="65" t="s">
        <v>480</v>
      </c>
      <c r="G974" s="65" t="s">
        <v>1661</v>
      </c>
      <c r="H974" s="64" t="s">
        <v>386</v>
      </c>
      <c r="I974" s="65" t="s">
        <v>1666</v>
      </c>
      <c r="J974" t="str">
        <f t="shared" si="32"/>
        <v>10264105 - Edificio Libertad-Clientes</v>
      </c>
      <c r="K974" t="str">
        <f t="shared" si="33"/>
        <v>Proyectos Inmobiliarios</v>
      </c>
    </row>
    <row r="975" spans="1:11" x14ac:dyDescent="0.25">
      <c r="A975" s="64">
        <v>10264204</v>
      </c>
      <c r="B975" s="65" t="s">
        <v>1323</v>
      </c>
      <c r="C975" s="65" t="s">
        <v>1660</v>
      </c>
      <c r="D975" s="65" t="s">
        <v>1665</v>
      </c>
      <c r="E975" s="65" t="s">
        <v>1624</v>
      </c>
      <c r="F975" s="65" t="s">
        <v>480</v>
      </c>
      <c r="G975" s="65" t="s">
        <v>1661</v>
      </c>
      <c r="H975" s="64" t="s">
        <v>386</v>
      </c>
      <c r="I975" s="65" t="s">
        <v>1666</v>
      </c>
      <c r="J975" t="str">
        <f t="shared" si="32"/>
        <v>10264204 - Edificio Libertad-Proyecto</v>
      </c>
      <c r="K975" t="str">
        <f t="shared" si="33"/>
        <v>Proyectos Inmobiliarios</v>
      </c>
    </row>
    <row r="976" spans="1:11" x14ac:dyDescent="0.25">
      <c r="A976" s="64">
        <v>10264301</v>
      </c>
      <c r="B976" s="65" t="s">
        <v>1324</v>
      </c>
      <c r="C976" s="65" t="s">
        <v>1660</v>
      </c>
      <c r="D976" s="65" t="s">
        <v>1665</v>
      </c>
      <c r="E976" s="65" t="s">
        <v>1643</v>
      </c>
      <c r="F976" s="65" t="s">
        <v>480</v>
      </c>
      <c r="G976" s="65" t="s">
        <v>1667</v>
      </c>
      <c r="H976" s="64" t="s">
        <v>386</v>
      </c>
      <c r="I976" s="65" t="s">
        <v>1666</v>
      </c>
      <c r="J976" t="str">
        <f t="shared" si="32"/>
        <v>10264301 - Edificio Libertad-GAF</v>
      </c>
      <c r="K976" t="str">
        <f t="shared" si="33"/>
        <v>Proyectos Inmobiliarios</v>
      </c>
    </row>
    <row r="977" spans="1:11" x14ac:dyDescent="0.25">
      <c r="A977" s="64">
        <v>10264505</v>
      </c>
      <c r="B977" s="65" t="s">
        <v>1325</v>
      </c>
      <c r="C977" s="65" t="s">
        <v>1660</v>
      </c>
      <c r="D977" s="65" t="s">
        <v>66</v>
      </c>
      <c r="E977" s="65" t="s">
        <v>328</v>
      </c>
      <c r="F977" s="65" t="s">
        <v>480</v>
      </c>
      <c r="G977" s="65" t="s">
        <v>1661</v>
      </c>
      <c r="H977" s="64" t="s">
        <v>386</v>
      </c>
      <c r="I977" s="65" t="s">
        <v>1666</v>
      </c>
      <c r="J977" t="str">
        <f t="shared" si="32"/>
        <v>10264505 - Edificio Libertad-PV Inmob.</v>
      </c>
      <c r="K977" t="str">
        <f t="shared" si="33"/>
        <v>Postventa</v>
      </c>
    </row>
    <row r="978" spans="1:11" x14ac:dyDescent="0.25">
      <c r="A978" s="64">
        <v>10264506</v>
      </c>
      <c r="B978" s="65" t="s">
        <v>1326</v>
      </c>
      <c r="C978" s="65" t="s">
        <v>1660</v>
      </c>
      <c r="D978" s="65" t="s">
        <v>1665</v>
      </c>
      <c r="E978" s="65" t="s">
        <v>200</v>
      </c>
      <c r="F978" s="65" t="s">
        <v>480</v>
      </c>
      <c r="G978" s="65" t="s">
        <v>1661</v>
      </c>
      <c r="H978" s="64" t="s">
        <v>386</v>
      </c>
      <c r="I978" s="65" t="s">
        <v>1666</v>
      </c>
      <c r="J978" t="str">
        <f t="shared" si="32"/>
        <v>10264506 - Edificio Libertad-Depto.Técnico</v>
      </c>
      <c r="K978" t="str">
        <f t="shared" si="33"/>
        <v>Proyectos Inmobiliarios</v>
      </c>
    </row>
    <row r="979" spans="1:11" x14ac:dyDescent="0.25">
      <c r="A979" s="64">
        <v>8264</v>
      </c>
      <c r="B979" s="65" t="s">
        <v>545</v>
      </c>
      <c r="C979" s="65" t="s">
        <v>1660</v>
      </c>
      <c r="D979" s="65" t="s">
        <v>1686</v>
      </c>
      <c r="E979" s="65" t="s">
        <v>1501</v>
      </c>
      <c r="F979" s="65" t="s">
        <v>480</v>
      </c>
      <c r="G979" s="65" t="s">
        <v>1661</v>
      </c>
      <c r="H979" s="64" t="s">
        <v>386</v>
      </c>
      <c r="I979" s="65" t="s">
        <v>1666</v>
      </c>
      <c r="J979" t="str">
        <f t="shared" si="32"/>
        <v>8264 - Entrega Edificio Libertad</v>
      </c>
      <c r="K979" t="str">
        <f t="shared" si="33"/>
        <v>Entrega</v>
      </c>
    </row>
    <row r="980" spans="1:11" x14ac:dyDescent="0.25">
      <c r="A980" s="64">
        <v>9264</v>
      </c>
      <c r="B980" s="65" t="s">
        <v>671</v>
      </c>
      <c r="C980" s="65" t="s">
        <v>1660</v>
      </c>
      <c r="D980" s="65" t="s">
        <v>66</v>
      </c>
      <c r="E980" s="65" t="s">
        <v>328</v>
      </c>
      <c r="F980" s="65" t="s">
        <v>480</v>
      </c>
      <c r="G980" s="65" t="s">
        <v>1661</v>
      </c>
      <c r="H980" s="64" t="s">
        <v>386</v>
      </c>
      <c r="I980" s="65" t="s">
        <v>1666</v>
      </c>
      <c r="J980" t="str">
        <f t="shared" si="32"/>
        <v>9264 - PV Edificio Libertad</v>
      </c>
      <c r="K980" t="str">
        <f t="shared" si="33"/>
        <v>Postventa</v>
      </c>
    </row>
    <row r="981" spans="1:11" x14ac:dyDescent="0.25">
      <c r="A981" s="50">
        <v>1155202</v>
      </c>
      <c r="B981" s="51" t="s">
        <v>772</v>
      </c>
      <c r="C981" s="51" t="s">
        <v>1836</v>
      </c>
      <c r="D981" s="51" t="s">
        <v>1578</v>
      </c>
      <c r="E981" s="51" t="s">
        <v>1578</v>
      </c>
      <c r="F981" s="51" t="s">
        <v>494</v>
      </c>
      <c r="G981" s="51" t="s">
        <v>1661</v>
      </c>
      <c r="H981" s="50" t="s">
        <v>386</v>
      </c>
      <c r="I981" s="51" t="s">
        <v>1662</v>
      </c>
      <c r="J981" t="str">
        <f t="shared" si="32"/>
        <v>1155202 - Terreno Liparita 260 - Inversiones</v>
      </c>
      <c r="K981" t="str">
        <f t="shared" si="33"/>
        <v>Terreno</v>
      </c>
    </row>
    <row r="982" spans="1:11" x14ac:dyDescent="0.25">
      <c r="A982" s="50">
        <v>359</v>
      </c>
      <c r="B982" s="51" t="s">
        <v>494</v>
      </c>
      <c r="C982" s="51" t="s">
        <v>1836</v>
      </c>
      <c r="D982" s="51" t="s">
        <v>65</v>
      </c>
      <c r="E982" s="51" t="s">
        <v>65</v>
      </c>
      <c r="F982" s="51" t="s">
        <v>494</v>
      </c>
      <c r="G982" s="51" t="s">
        <v>1663</v>
      </c>
      <c r="H982" s="50" t="s">
        <v>386</v>
      </c>
      <c r="I982" s="51" t="s">
        <v>1664</v>
      </c>
      <c r="J982" t="str">
        <f t="shared" si="32"/>
        <v>359 - Edificio Liparita</v>
      </c>
      <c r="K982" t="str">
        <f t="shared" si="33"/>
        <v>Obra</v>
      </c>
    </row>
    <row r="983" spans="1:11" x14ac:dyDescent="0.25">
      <c r="A983" s="50">
        <v>8359</v>
      </c>
      <c r="B983" s="51" t="s">
        <v>550</v>
      </c>
      <c r="C983" s="51" t="s">
        <v>1836</v>
      </c>
      <c r="D983" s="51" t="s">
        <v>1686</v>
      </c>
      <c r="E983" s="51" t="s">
        <v>1501</v>
      </c>
      <c r="F983" s="51" t="s">
        <v>494</v>
      </c>
      <c r="G983" s="51" t="s">
        <v>1661</v>
      </c>
      <c r="H983" s="50" t="s">
        <v>386</v>
      </c>
      <c r="I983" s="51" t="s">
        <v>1666</v>
      </c>
      <c r="J983" t="str">
        <f t="shared" si="32"/>
        <v>8359 - Entrega Edificio Liparita</v>
      </c>
      <c r="K983" t="str">
        <f t="shared" si="33"/>
        <v>Entrega</v>
      </c>
    </row>
    <row r="984" spans="1:11" x14ac:dyDescent="0.25">
      <c r="A984" s="50">
        <v>9359</v>
      </c>
      <c r="B984" s="51" t="s">
        <v>677</v>
      </c>
      <c r="C984" s="51" t="s">
        <v>1836</v>
      </c>
      <c r="D984" s="51" t="s">
        <v>66</v>
      </c>
      <c r="E984" s="51" t="s">
        <v>328</v>
      </c>
      <c r="F984" s="51" t="s">
        <v>494</v>
      </c>
      <c r="G984" s="51" t="s">
        <v>1661</v>
      </c>
      <c r="H984" s="50" t="s">
        <v>386</v>
      </c>
      <c r="I984" s="51" t="s">
        <v>1666</v>
      </c>
      <c r="J984" t="str">
        <f t="shared" si="32"/>
        <v>9359 - PV Edificio Liparita</v>
      </c>
      <c r="K984" t="str">
        <f t="shared" si="33"/>
        <v>Postventa</v>
      </c>
    </row>
    <row r="985" spans="1:11" x14ac:dyDescent="0.25">
      <c r="A985" s="50">
        <v>10359000</v>
      </c>
      <c r="B985" s="51" t="s">
        <v>494</v>
      </c>
      <c r="C985" s="51" t="s">
        <v>1836</v>
      </c>
      <c r="D985" s="51" t="s">
        <v>1665</v>
      </c>
      <c r="E985" s="51" t="s">
        <v>1585</v>
      </c>
      <c r="F985" s="51" t="s">
        <v>494</v>
      </c>
      <c r="G985" s="51" t="s">
        <v>1661</v>
      </c>
      <c r="H985" s="50" t="s">
        <v>386</v>
      </c>
      <c r="I985" s="51" t="s">
        <v>1666</v>
      </c>
      <c r="J985" t="str">
        <f t="shared" si="32"/>
        <v>10359000 - Edificio Liparita</v>
      </c>
      <c r="K985" t="str">
        <f t="shared" si="33"/>
        <v>Proyectos Inmobiliarios</v>
      </c>
    </row>
    <row r="986" spans="1:11" x14ac:dyDescent="0.25">
      <c r="A986" s="50">
        <v>10359102</v>
      </c>
      <c r="B986" s="51" t="s">
        <v>1427</v>
      </c>
      <c r="C986" s="51" t="s">
        <v>1836</v>
      </c>
      <c r="D986" s="51" t="s">
        <v>1665</v>
      </c>
      <c r="E986" s="51" t="s">
        <v>1617</v>
      </c>
      <c r="F986" s="51" t="s">
        <v>494</v>
      </c>
      <c r="G986" s="51" t="s">
        <v>1661</v>
      </c>
      <c r="H986" s="50" t="s">
        <v>386</v>
      </c>
      <c r="I986" s="51" t="s">
        <v>1666</v>
      </c>
      <c r="J986" t="str">
        <f t="shared" si="32"/>
        <v>10359102 - Edificio Liparita-Marketing</v>
      </c>
      <c r="K986" t="str">
        <f t="shared" si="33"/>
        <v>Proyectos Inmobiliarios</v>
      </c>
    </row>
    <row r="987" spans="1:11" x14ac:dyDescent="0.25">
      <c r="A987" s="50">
        <v>10359103</v>
      </c>
      <c r="B987" s="51" t="s">
        <v>1428</v>
      </c>
      <c r="C987" s="51" t="s">
        <v>1836</v>
      </c>
      <c r="D987" s="51" t="s">
        <v>1665</v>
      </c>
      <c r="E987" s="51" t="s">
        <v>1618</v>
      </c>
      <c r="F987" s="51" t="s">
        <v>494</v>
      </c>
      <c r="G987" s="51" t="s">
        <v>1661</v>
      </c>
      <c r="H987" s="50" t="s">
        <v>386</v>
      </c>
      <c r="I987" s="51" t="s">
        <v>1666</v>
      </c>
      <c r="J987" t="str">
        <f t="shared" si="32"/>
        <v>10359103 - Edificio Liparita-Operaciones</v>
      </c>
      <c r="K987" t="str">
        <f t="shared" si="33"/>
        <v>Proyectos Inmobiliarios</v>
      </c>
    </row>
    <row r="988" spans="1:11" x14ac:dyDescent="0.25">
      <c r="A988" s="50">
        <v>10359104</v>
      </c>
      <c r="B988" s="51" t="s">
        <v>1429</v>
      </c>
      <c r="C988" s="51" t="s">
        <v>1836</v>
      </c>
      <c r="D988" s="51" t="s">
        <v>1665</v>
      </c>
      <c r="E988" s="51" t="s">
        <v>90</v>
      </c>
      <c r="F988" s="51" t="s">
        <v>494</v>
      </c>
      <c r="G988" s="51" t="s">
        <v>1661</v>
      </c>
      <c r="H988" s="50" t="s">
        <v>386</v>
      </c>
      <c r="I988" s="51" t="s">
        <v>1666</v>
      </c>
      <c r="J988" t="str">
        <f t="shared" si="32"/>
        <v>10359104 - Edificio Liparita-Ventas</v>
      </c>
      <c r="K988" t="str">
        <f t="shared" si="33"/>
        <v>Proyectos Inmobiliarios</v>
      </c>
    </row>
    <row r="989" spans="1:11" x14ac:dyDescent="0.25">
      <c r="A989" s="50">
        <v>10359105</v>
      </c>
      <c r="B989" s="51" t="s">
        <v>1430</v>
      </c>
      <c r="C989" s="51" t="s">
        <v>1836</v>
      </c>
      <c r="D989" s="51" t="s">
        <v>1665</v>
      </c>
      <c r="E989" s="51" t="s">
        <v>1622</v>
      </c>
      <c r="F989" s="51" t="s">
        <v>494</v>
      </c>
      <c r="G989" s="51" t="s">
        <v>1661</v>
      </c>
      <c r="H989" s="50" t="s">
        <v>386</v>
      </c>
      <c r="I989" s="51" t="s">
        <v>1666</v>
      </c>
      <c r="J989" t="str">
        <f t="shared" si="32"/>
        <v>10359105 - Edificio Liparita-Clientes</v>
      </c>
      <c r="K989" t="str">
        <f t="shared" si="33"/>
        <v>Proyectos Inmobiliarios</v>
      </c>
    </row>
    <row r="990" spans="1:11" x14ac:dyDescent="0.25">
      <c r="A990" s="50">
        <v>10359204</v>
      </c>
      <c r="B990" s="51" t="s">
        <v>1431</v>
      </c>
      <c r="C990" s="51" t="s">
        <v>1836</v>
      </c>
      <c r="D990" s="51" t="s">
        <v>1665</v>
      </c>
      <c r="E990" s="51" t="s">
        <v>1624</v>
      </c>
      <c r="F990" s="51" t="s">
        <v>494</v>
      </c>
      <c r="G990" s="51" t="s">
        <v>1661</v>
      </c>
      <c r="H990" s="50" t="s">
        <v>386</v>
      </c>
      <c r="I990" s="51" t="s">
        <v>1666</v>
      </c>
      <c r="J990" t="str">
        <f t="shared" si="32"/>
        <v>10359204 - Edificio Liparita-Proyecto</v>
      </c>
      <c r="K990" t="str">
        <f t="shared" si="33"/>
        <v>Proyectos Inmobiliarios</v>
      </c>
    </row>
    <row r="991" spans="1:11" x14ac:dyDescent="0.25">
      <c r="A991" s="50">
        <v>10359301</v>
      </c>
      <c r="B991" s="51" t="s">
        <v>1432</v>
      </c>
      <c r="C991" s="51" t="s">
        <v>1836</v>
      </c>
      <c r="D991" s="51" t="s">
        <v>1665</v>
      </c>
      <c r="E991" s="51" t="s">
        <v>1643</v>
      </c>
      <c r="F991" s="51" t="s">
        <v>494</v>
      </c>
      <c r="G991" s="51" t="s">
        <v>1667</v>
      </c>
      <c r="H991" s="50" t="s">
        <v>386</v>
      </c>
      <c r="I991" s="51" t="s">
        <v>1666</v>
      </c>
      <c r="J991" t="str">
        <f t="shared" si="32"/>
        <v>10359301 - Edificio Liparita-GAF</v>
      </c>
      <c r="K991" t="str">
        <f t="shared" si="33"/>
        <v>Proyectos Inmobiliarios</v>
      </c>
    </row>
    <row r="992" spans="1:11" x14ac:dyDescent="0.25">
      <c r="A992" s="50">
        <v>10359505</v>
      </c>
      <c r="B992" s="51" t="s">
        <v>1433</v>
      </c>
      <c r="C992" s="51" t="s">
        <v>1836</v>
      </c>
      <c r="D992" s="51" t="s">
        <v>66</v>
      </c>
      <c r="E992" s="51" t="s">
        <v>328</v>
      </c>
      <c r="F992" s="51" t="s">
        <v>494</v>
      </c>
      <c r="G992" s="51" t="s">
        <v>1661</v>
      </c>
      <c r="H992" s="50" t="s">
        <v>386</v>
      </c>
      <c r="I992" s="51" t="s">
        <v>1666</v>
      </c>
      <c r="J992" t="str">
        <f t="shared" si="32"/>
        <v>10359505 - Edificio Liparita-PV Inmob.</v>
      </c>
      <c r="K992" t="str">
        <f t="shared" si="33"/>
        <v>Postventa</v>
      </c>
    </row>
    <row r="993" spans="1:11" x14ac:dyDescent="0.25">
      <c r="A993" s="50">
        <v>10359506</v>
      </c>
      <c r="B993" s="51" t="s">
        <v>1434</v>
      </c>
      <c r="C993" s="51" t="s">
        <v>1836</v>
      </c>
      <c r="D993" s="51" t="s">
        <v>1665</v>
      </c>
      <c r="E993" s="51" t="s">
        <v>200</v>
      </c>
      <c r="F993" s="51" t="s">
        <v>494</v>
      </c>
      <c r="G993" s="51" t="s">
        <v>1661</v>
      </c>
      <c r="H993" s="50" t="s">
        <v>386</v>
      </c>
      <c r="I993" s="51" t="s">
        <v>1666</v>
      </c>
      <c r="J993" t="str">
        <f t="shared" si="32"/>
        <v>10359506 - Edificio Liparita-Depto.Técnico</v>
      </c>
      <c r="K993" t="str">
        <f t="shared" si="33"/>
        <v>Proyectos Inmobiliarios</v>
      </c>
    </row>
    <row r="994" spans="1:11" x14ac:dyDescent="0.25">
      <c r="A994" s="58">
        <v>999999999</v>
      </c>
      <c r="B994" s="59" t="s">
        <v>1684</v>
      </c>
      <c r="C994" s="59"/>
      <c r="D994" s="59" t="s">
        <v>1578</v>
      </c>
      <c r="E994" s="59" t="s">
        <v>1578</v>
      </c>
      <c r="F994" s="59" t="s">
        <v>2037</v>
      </c>
      <c r="G994" s="59" t="s">
        <v>1661</v>
      </c>
      <c r="H994" s="58" t="s">
        <v>1672</v>
      </c>
      <c r="I994" s="59" t="s">
        <v>1662</v>
      </c>
      <c r="J994" t="str">
        <f t="shared" si="32"/>
        <v>999999999 - Terreno Abuelo Proyectos sin Terreno</v>
      </c>
      <c r="K994" t="str">
        <f t="shared" si="33"/>
        <v>Terreno</v>
      </c>
    </row>
    <row r="995" spans="1:11" x14ac:dyDescent="0.25">
      <c r="A995" s="58">
        <v>36</v>
      </c>
      <c r="B995" s="59" t="s">
        <v>2037</v>
      </c>
      <c r="C995" s="59" t="s">
        <v>1836</v>
      </c>
      <c r="D995" s="59" t="s">
        <v>65</v>
      </c>
      <c r="E995" s="59" t="s">
        <v>65</v>
      </c>
      <c r="F995" s="59" t="s">
        <v>2037</v>
      </c>
      <c r="G995" s="59" t="s">
        <v>1663</v>
      </c>
      <c r="H995" s="58" t="s">
        <v>1672</v>
      </c>
      <c r="I995" s="59" t="s">
        <v>1664</v>
      </c>
      <c r="J995" t="str">
        <f t="shared" si="32"/>
        <v>36 - Edificio Llacolen I</v>
      </c>
      <c r="K995" t="str">
        <f t="shared" si="33"/>
        <v>Obra</v>
      </c>
    </row>
    <row r="996" spans="1:11" x14ac:dyDescent="0.25">
      <c r="A996" s="90">
        <v>1131202</v>
      </c>
      <c r="B996" s="91" t="s">
        <v>761</v>
      </c>
      <c r="C996" s="91" t="s">
        <v>1660</v>
      </c>
      <c r="D996" s="91" t="s">
        <v>1578</v>
      </c>
      <c r="E996" s="91" t="s">
        <v>1578</v>
      </c>
      <c r="F996" s="91" t="s">
        <v>476</v>
      </c>
      <c r="G996" s="91" t="s">
        <v>1661</v>
      </c>
      <c r="H996" s="90" t="s">
        <v>386</v>
      </c>
      <c r="I996" s="91" t="s">
        <v>1662</v>
      </c>
      <c r="J996" t="str">
        <f t="shared" si="32"/>
        <v xml:space="preserve">1131202 - Terreno Patricio Lynch 160 – Inversiones </v>
      </c>
      <c r="K996" t="str">
        <f t="shared" si="33"/>
        <v>Terreno</v>
      </c>
    </row>
    <row r="997" spans="1:11" x14ac:dyDescent="0.25">
      <c r="A997" s="90">
        <v>256</v>
      </c>
      <c r="B997" s="91" t="s">
        <v>476</v>
      </c>
      <c r="C997" s="91" t="s">
        <v>1660</v>
      </c>
      <c r="D997" s="91" t="s">
        <v>65</v>
      </c>
      <c r="E997" s="91" t="s">
        <v>65</v>
      </c>
      <c r="F997" s="91" t="s">
        <v>476</v>
      </c>
      <c r="G997" s="91" t="s">
        <v>1663</v>
      </c>
      <c r="H997" s="90" t="s">
        <v>386</v>
      </c>
      <c r="I997" s="91" t="s">
        <v>1664</v>
      </c>
      <c r="J997" t="str">
        <f t="shared" si="32"/>
        <v>256 - Edificio Lynch</v>
      </c>
      <c r="K997" t="str">
        <f t="shared" si="33"/>
        <v>Obra</v>
      </c>
    </row>
    <row r="998" spans="1:11" x14ac:dyDescent="0.25">
      <c r="A998" s="90">
        <v>8256</v>
      </c>
      <c r="B998" s="91" t="s">
        <v>540</v>
      </c>
      <c r="C998" s="91" t="s">
        <v>1660</v>
      </c>
      <c r="D998" s="91" t="s">
        <v>1686</v>
      </c>
      <c r="E998" s="91" t="s">
        <v>1501</v>
      </c>
      <c r="F998" s="91" t="s">
        <v>476</v>
      </c>
      <c r="G998" s="91" t="s">
        <v>1661</v>
      </c>
      <c r="H998" s="90" t="s">
        <v>386</v>
      </c>
      <c r="I998" s="91" t="s">
        <v>1666</v>
      </c>
      <c r="J998" t="str">
        <f t="shared" si="32"/>
        <v>8256 - Entrega Edificio Lynch</v>
      </c>
      <c r="K998" t="str">
        <f t="shared" si="33"/>
        <v>Entrega</v>
      </c>
    </row>
    <row r="999" spans="1:11" x14ac:dyDescent="0.25">
      <c r="A999" s="90">
        <v>9256</v>
      </c>
      <c r="B999" s="91" t="s">
        <v>666</v>
      </c>
      <c r="C999" s="91" t="s">
        <v>1660</v>
      </c>
      <c r="D999" s="91" t="s">
        <v>66</v>
      </c>
      <c r="E999" s="91" t="s">
        <v>328</v>
      </c>
      <c r="F999" s="91" t="s">
        <v>476</v>
      </c>
      <c r="G999" s="91" t="s">
        <v>1661</v>
      </c>
      <c r="H999" s="90" t="s">
        <v>386</v>
      </c>
      <c r="I999" s="91" t="s">
        <v>1666</v>
      </c>
      <c r="J999" t="str">
        <f t="shared" si="32"/>
        <v>9256 - PV Edificio Lynch</v>
      </c>
      <c r="K999" t="str">
        <f t="shared" si="33"/>
        <v>Postventa</v>
      </c>
    </row>
    <row r="1000" spans="1:11" x14ac:dyDescent="0.25">
      <c r="A1000" s="90">
        <v>10256000</v>
      </c>
      <c r="B1000" s="91" t="s">
        <v>476</v>
      </c>
      <c r="C1000" s="91" t="s">
        <v>1660</v>
      </c>
      <c r="D1000" s="91" t="s">
        <v>1665</v>
      </c>
      <c r="E1000" s="91" t="s">
        <v>1585</v>
      </c>
      <c r="F1000" s="91" t="s">
        <v>476</v>
      </c>
      <c r="G1000" s="91" t="s">
        <v>1661</v>
      </c>
      <c r="H1000" s="90" t="s">
        <v>386</v>
      </c>
      <c r="I1000" s="91" t="s">
        <v>1666</v>
      </c>
      <c r="J1000" t="str">
        <f t="shared" si="32"/>
        <v>10256000 - Edificio Lynch</v>
      </c>
      <c r="K1000" t="str">
        <f t="shared" si="33"/>
        <v>Proyectos Inmobiliarios</v>
      </c>
    </row>
    <row r="1001" spans="1:11" x14ac:dyDescent="0.25">
      <c r="A1001" s="90">
        <v>10256102</v>
      </c>
      <c r="B1001" s="91" t="s">
        <v>1252</v>
      </c>
      <c r="C1001" s="91" t="s">
        <v>1660</v>
      </c>
      <c r="D1001" s="91" t="s">
        <v>1665</v>
      </c>
      <c r="E1001" s="91" t="s">
        <v>1617</v>
      </c>
      <c r="F1001" s="91" t="s">
        <v>476</v>
      </c>
      <c r="G1001" s="91" t="s">
        <v>1661</v>
      </c>
      <c r="H1001" s="90" t="s">
        <v>386</v>
      </c>
      <c r="I1001" s="91" t="s">
        <v>1666</v>
      </c>
      <c r="J1001" t="str">
        <f t="shared" si="32"/>
        <v>10256102 - Edificio Lynch-Marketing</v>
      </c>
      <c r="K1001" t="str">
        <f t="shared" si="33"/>
        <v>Proyectos Inmobiliarios</v>
      </c>
    </row>
    <row r="1002" spans="1:11" x14ac:dyDescent="0.25">
      <c r="A1002" s="90">
        <v>10256103</v>
      </c>
      <c r="B1002" s="91" t="s">
        <v>1253</v>
      </c>
      <c r="C1002" s="91" t="s">
        <v>1660</v>
      </c>
      <c r="D1002" s="91" t="s">
        <v>1665</v>
      </c>
      <c r="E1002" s="91" t="s">
        <v>1618</v>
      </c>
      <c r="F1002" s="91" t="s">
        <v>476</v>
      </c>
      <c r="G1002" s="91" t="s">
        <v>1661</v>
      </c>
      <c r="H1002" s="90" t="s">
        <v>386</v>
      </c>
      <c r="I1002" s="91" t="s">
        <v>1666</v>
      </c>
      <c r="J1002" t="str">
        <f t="shared" si="32"/>
        <v>10256103 - Edificio Lynch-Operaciones</v>
      </c>
      <c r="K1002" t="str">
        <f t="shared" si="33"/>
        <v>Proyectos Inmobiliarios</v>
      </c>
    </row>
    <row r="1003" spans="1:11" x14ac:dyDescent="0.25">
      <c r="A1003" s="90">
        <v>10256104</v>
      </c>
      <c r="B1003" s="91" t="s">
        <v>1254</v>
      </c>
      <c r="C1003" s="91" t="s">
        <v>1660</v>
      </c>
      <c r="D1003" s="91" t="s">
        <v>1665</v>
      </c>
      <c r="E1003" s="91" t="s">
        <v>90</v>
      </c>
      <c r="F1003" s="91" t="s">
        <v>476</v>
      </c>
      <c r="G1003" s="91" t="s">
        <v>1661</v>
      </c>
      <c r="H1003" s="90" t="s">
        <v>386</v>
      </c>
      <c r="I1003" s="91" t="s">
        <v>1666</v>
      </c>
      <c r="J1003" t="str">
        <f t="shared" si="32"/>
        <v>10256104 - Edificio Lynch-Ventas</v>
      </c>
      <c r="K1003" t="str">
        <f t="shared" si="33"/>
        <v>Proyectos Inmobiliarios</v>
      </c>
    </row>
    <row r="1004" spans="1:11" x14ac:dyDescent="0.25">
      <c r="A1004" s="90">
        <v>10256105</v>
      </c>
      <c r="B1004" s="91" t="s">
        <v>1255</v>
      </c>
      <c r="C1004" s="91" t="s">
        <v>1660</v>
      </c>
      <c r="D1004" s="91" t="s">
        <v>1665</v>
      </c>
      <c r="E1004" s="91" t="s">
        <v>1622</v>
      </c>
      <c r="F1004" s="91" t="s">
        <v>476</v>
      </c>
      <c r="G1004" s="91" t="s">
        <v>1661</v>
      </c>
      <c r="H1004" s="90" t="s">
        <v>386</v>
      </c>
      <c r="I1004" s="91" t="s">
        <v>1666</v>
      </c>
      <c r="J1004" t="str">
        <f t="shared" si="32"/>
        <v>10256105 - Edificio Lynch-Clientes</v>
      </c>
      <c r="K1004" t="str">
        <f t="shared" si="33"/>
        <v>Proyectos Inmobiliarios</v>
      </c>
    </row>
    <row r="1005" spans="1:11" x14ac:dyDescent="0.25">
      <c r="A1005" s="90">
        <v>10256204</v>
      </c>
      <c r="B1005" s="91" t="s">
        <v>1256</v>
      </c>
      <c r="C1005" s="91" t="s">
        <v>1660</v>
      </c>
      <c r="D1005" s="91" t="s">
        <v>1665</v>
      </c>
      <c r="E1005" s="91" t="s">
        <v>1624</v>
      </c>
      <c r="F1005" s="91" t="s">
        <v>476</v>
      </c>
      <c r="G1005" s="91" t="s">
        <v>1661</v>
      </c>
      <c r="H1005" s="90" t="s">
        <v>386</v>
      </c>
      <c r="I1005" s="91" t="s">
        <v>1666</v>
      </c>
      <c r="J1005" t="str">
        <f t="shared" si="32"/>
        <v>10256204 - Edificio Lynch-Proyecto</v>
      </c>
      <c r="K1005" t="str">
        <f t="shared" si="33"/>
        <v>Proyectos Inmobiliarios</v>
      </c>
    </row>
    <row r="1006" spans="1:11" x14ac:dyDescent="0.25">
      <c r="A1006" s="90">
        <v>10256301</v>
      </c>
      <c r="B1006" s="91" t="s">
        <v>1257</v>
      </c>
      <c r="C1006" s="91" t="s">
        <v>1660</v>
      </c>
      <c r="D1006" s="91" t="s">
        <v>1665</v>
      </c>
      <c r="E1006" s="91" t="s">
        <v>1643</v>
      </c>
      <c r="F1006" s="91" t="s">
        <v>476</v>
      </c>
      <c r="G1006" s="91" t="s">
        <v>1667</v>
      </c>
      <c r="H1006" s="90" t="s">
        <v>386</v>
      </c>
      <c r="I1006" s="91" t="s">
        <v>1666</v>
      </c>
      <c r="J1006" t="str">
        <f t="shared" si="32"/>
        <v>10256301 - Edificio Lynch-GAF</v>
      </c>
      <c r="K1006" t="str">
        <f t="shared" si="33"/>
        <v>Proyectos Inmobiliarios</v>
      </c>
    </row>
    <row r="1007" spans="1:11" x14ac:dyDescent="0.25">
      <c r="A1007" s="90">
        <v>10256505</v>
      </c>
      <c r="B1007" s="91" t="s">
        <v>1258</v>
      </c>
      <c r="C1007" s="91" t="s">
        <v>1660</v>
      </c>
      <c r="D1007" s="91" t="s">
        <v>66</v>
      </c>
      <c r="E1007" s="91" t="s">
        <v>328</v>
      </c>
      <c r="F1007" s="91" t="s">
        <v>476</v>
      </c>
      <c r="G1007" s="91" t="s">
        <v>1661</v>
      </c>
      <c r="H1007" s="90" t="s">
        <v>386</v>
      </c>
      <c r="I1007" s="91" t="s">
        <v>1666</v>
      </c>
      <c r="J1007" t="str">
        <f t="shared" si="32"/>
        <v>10256505 - Edificio Lynch-PV Inmob.</v>
      </c>
      <c r="K1007" t="str">
        <f t="shared" si="33"/>
        <v>Postventa</v>
      </c>
    </row>
    <row r="1008" spans="1:11" x14ac:dyDescent="0.25">
      <c r="A1008" s="90">
        <v>10256506</v>
      </c>
      <c r="B1008" s="91" t="s">
        <v>1259</v>
      </c>
      <c r="C1008" s="91" t="s">
        <v>1660</v>
      </c>
      <c r="D1008" s="91" t="s">
        <v>1665</v>
      </c>
      <c r="E1008" s="91" t="s">
        <v>200</v>
      </c>
      <c r="F1008" s="91" t="s">
        <v>476</v>
      </c>
      <c r="G1008" s="91" t="s">
        <v>1661</v>
      </c>
      <c r="H1008" s="90" t="s">
        <v>386</v>
      </c>
      <c r="I1008" s="91" t="s">
        <v>1666</v>
      </c>
      <c r="J1008" t="str">
        <f t="shared" si="32"/>
        <v>10256506 - Edificio Lynch-Depto.Técnico</v>
      </c>
      <c r="K1008" t="str">
        <f t="shared" si="33"/>
        <v>Proyectos Inmobiliarios</v>
      </c>
    </row>
    <row r="1009" spans="1:11" x14ac:dyDescent="0.25">
      <c r="A1009" s="92">
        <v>1089202</v>
      </c>
      <c r="B1009" s="93" t="s">
        <v>733</v>
      </c>
      <c r="C1009" s="93" t="s">
        <v>1836</v>
      </c>
      <c r="D1009" s="93" t="s">
        <v>1578</v>
      </c>
      <c r="E1009" s="93" t="s">
        <v>1578</v>
      </c>
      <c r="F1009" s="93" t="s">
        <v>970</v>
      </c>
      <c r="G1009" s="93" t="s">
        <v>1661</v>
      </c>
      <c r="H1009" s="92" t="s">
        <v>386</v>
      </c>
      <c r="I1009" s="93" t="s">
        <v>1662</v>
      </c>
      <c r="J1009" t="str">
        <f t="shared" si="32"/>
        <v>1089202 - Terreno Maipú- Antofagasta– Desarrollo</v>
      </c>
      <c r="K1009" t="str">
        <f t="shared" si="33"/>
        <v>Terreno</v>
      </c>
    </row>
    <row r="1010" spans="1:11" x14ac:dyDescent="0.25">
      <c r="A1010" s="92">
        <v>213</v>
      </c>
      <c r="B1010" s="93" t="s">
        <v>970</v>
      </c>
      <c r="C1010" s="93" t="s">
        <v>1836</v>
      </c>
      <c r="D1010" s="93" t="s">
        <v>65</v>
      </c>
      <c r="E1010" s="93" t="s">
        <v>65</v>
      </c>
      <c r="F1010" s="93" t="s">
        <v>970</v>
      </c>
      <c r="G1010" s="93" t="s">
        <v>1663</v>
      </c>
      <c r="H1010" s="92" t="s">
        <v>1672</v>
      </c>
      <c r="I1010" s="93" t="s">
        <v>1664</v>
      </c>
      <c r="J1010" t="str">
        <f t="shared" si="32"/>
        <v>213 - Edificio Maipu</v>
      </c>
      <c r="K1010" t="str">
        <f t="shared" si="33"/>
        <v>Obra</v>
      </c>
    </row>
    <row r="1011" spans="1:11" x14ac:dyDescent="0.25">
      <c r="A1011" s="92">
        <v>8213</v>
      </c>
      <c r="B1011" s="93" t="s">
        <v>513</v>
      </c>
      <c r="C1011" s="93" t="s">
        <v>1836</v>
      </c>
      <c r="D1011" s="93" t="s">
        <v>1686</v>
      </c>
      <c r="E1011" s="93" t="s">
        <v>1501</v>
      </c>
      <c r="F1011" s="93" t="s">
        <v>970</v>
      </c>
      <c r="G1011" s="93" t="s">
        <v>1661</v>
      </c>
      <c r="H1011" s="92" t="s">
        <v>386</v>
      </c>
      <c r="I1011" s="93" t="s">
        <v>1666</v>
      </c>
      <c r="J1011" t="str">
        <f t="shared" si="32"/>
        <v>8213 - Entrega Edificio Maipu</v>
      </c>
      <c r="K1011" t="str">
        <f t="shared" si="33"/>
        <v>Entrega</v>
      </c>
    </row>
    <row r="1012" spans="1:11" x14ac:dyDescent="0.25">
      <c r="A1012" s="92">
        <v>9213</v>
      </c>
      <c r="B1012" s="93" t="s">
        <v>636</v>
      </c>
      <c r="C1012" s="93" t="s">
        <v>1836</v>
      </c>
      <c r="D1012" s="93" t="s">
        <v>66</v>
      </c>
      <c r="E1012" s="93" t="s">
        <v>328</v>
      </c>
      <c r="F1012" s="93" t="s">
        <v>970</v>
      </c>
      <c r="G1012" s="93" t="s">
        <v>1661</v>
      </c>
      <c r="H1012" s="92" t="s">
        <v>386</v>
      </c>
      <c r="I1012" s="93" t="s">
        <v>1666</v>
      </c>
      <c r="J1012" t="str">
        <f t="shared" si="32"/>
        <v>9213 - PV Edificio Maipu</v>
      </c>
      <c r="K1012" t="str">
        <f t="shared" si="33"/>
        <v>Postventa</v>
      </c>
    </row>
    <row r="1013" spans="1:11" x14ac:dyDescent="0.25">
      <c r="A1013" s="92">
        <v>10213000</v>
      </c>
      <c r="B1013" s="93" t="s">
        <v>970</v>
      </c>
      <c r="C1013" s="93" t="s">
        <v>1836</v>
      </c>
      <c r="D1013" s="93" t="s">
        <v>1665</v>
      </c>
      <c r="E1013" s="93" t="s">
        <v>1585</v>
      </c>
      <c r="F1013" s="93" t="s">
        <v>970</v>
      </c>
      <c r="G1013" s="93" t="s">
        <v>1661</v>
      </c>
      <c r="H1013" s="92" t="s">
        <v>386</v>
      </c>
      <c r="I1013" s="93" t="s">
        <v>1666</v>
      </c>
      <c r="J1013" t="str">
        <f t="shared" si="32"/>
        <v>10213000 - Edificio Maipu</v>
      </c>
      <c r="K1013" t="str">
        <f t="shared" si="33"/>
        <v>Proyectos Inmobiliarios</v>
      </c>
    </row>
    <row r="1014" spans="1:11" x14ac:dyDescent="0.25">
      <c r="A1014" s="92">
        <v>10213102</v>
      </c>
      <c r="B1014" s="93" t="s">
        <v>971</v>
      </c>
      <c r="C1014" s="93" t="s">
        <v>1836</v>
      </c>
      <c r="D1014" s="93" t="s">
        <v>1665</v>
      </c>
      <c r="E1014" s="93" t="s">
        <v>1617</v>
      </c>
      <c r="F1014" s="93" t="s">
        <v>970</v>
      </c>
      <c r="G1014" s="93" t="s">
        <v>1661</v>
      </c>
      <c r="H1014" s="92" t="s">
        <v>386</v>
      </c>
      <c r="I1014" s="93" t="s">
        <v>1666</v>
      </c>
      <c r="J1014" t="str">
        <f t="shared" si="32"/>
        <v>10213102 - Edificio Maipu-Marketing</v>
      </c>
      <c r="K1014" t="str">
        <f t="shared" si="33"/>
        <v>Proyectos Inmobiliarios</v>
      </c>
    </row>
    <row r="1015" spans="1:11" x14ac:dyDescent="0.25">
      <c r="A1015" s="92">
        <v>10213103</v>
      </c>
      <c r="B1015" s="93" t="s">
        <v>972</v>
      </c>
      <c r="C1015" s="93" t="s">
        <v>1836</v>
      </c>
      <c r="D1015" s="93" t="s">
        <v>1665</v>
      </c>
      <c r="E1015" s="93" t="s">
        <v>1618</v>
      </c>
      <c r="F1015" s="93" t="s">
        <v>970</v>
      </c>
      <c r="G1015" s="93" t="s">
        <v>1661</v>
      </c>
      <c r="H1015" s="92" t="s">
        <v>386</v>
      </c>
      <c r="I1015" s="93" t="s">
        <v>1666</v>
      </c>
      <c r="J1015" t="str">
        <f t="shared" si="32"/>
        <v>10213103 - Edificio Maipu-Operaciones</v>
      </c>
      <c r="K1015" t="str">
        <f t="shared" si="33"/>
        <v>Proyectos Inmobiliarios</v>
      </c>
    </row>
    <row r="1016" spans="1:11" x14ac:dyDescent="0.25">
      <c r="A1016" s="92">
        <v>10213104</v>
      </c>
      <c r="B1016" s="93" t="s">
        <v>973</v>
      </c>
      <c r="C1016" s="93" t="s">
        <v>1836</v>
      </c>
      <c r="D1016" s="93" t="s">
        <v>1665</v>
      </c>
      <c r="E1016" s="93" t="s">
        <v>90</v>
      </c>
      <c r="F1016" s="93" t="s">
        <v>970</v>
      </c>
      <c r="G1016" s="93" t="s">
        <v>1661</v>
      </c>
      <c r="H1016" s="92" t="s">
        <v>386</v>
      </c>
      <c r="I1016" s="93" t="s">
        <v>1666</v>
      </c>
      <c r="J1016" t="str">
        <f t="shared" si="32"/>
        <v>10213104 - Edificio Maipu-Ventas</v>
      </c>
      <c r="K1016" t="str">
        <f t="shared" si="33"/>
        <v>Proyectos Inmobiliarios</v>
      </c>
    </row>
    <row r="1017" spans="1:11" x14ac:dyDescent="0.25">
      <c r="A1017" s="92">
        <v>10213105</v>
      </c>
      <c r="B1017" s="93" t="s">
        <v>974</v>
      </c>
      <c r="C1017" s="93" t="s">
        <v>1836</v>
      </c>
      <c r="D1017" s="93" t="s">
        <v>1665</v>
      </c>
      <c r="E1017" s="93" t="s">
        <v>1622</v>
      </c>
      <c r="F1017" s="93" t="s">
        <v>970</v>
      </c>
      <c r="G1017" s="93" t="s">
        <v>1661</v>
      </c>
      <c r="H1017" s="92" t="s">
        <v>386</v>
      </c>
      <c r="I1017" s="93" t="s">
        <v>1666</v>
      </c>
      <c r="J1017" t="str">
        <f t="shared" si="32"/>
        <v>10213105 - Edificio Maipu-Clientes</v>
      </c>
      <c r="K1017" t="str">
        <f t="shared" si="33"/>
        <v>Proyectos Inmobiliarios</v>
      </c>
    </row>
    <row r="1018" spans="1:11" x14ac:dyDescent="0.25">
      <c r="A1018" s="92">
        <v>10213204</v>
      </c>
      <c r="B1018" s="93" t="s">
        <v>975</v>
      </c>
      <c r="C1018" s="93" t="s">
        <v>1836</v>
      </c>
      <c r="D1018" s="93" t="s">
        <v>1665</v>
      </c>
      <c r="E1018" s="93" t="s">
        <v>1624</v>
      </c>
      <c r="F1018" s="93" t="s">
        <v>970</v>
      </c>
      <c r="G1018" s="93" t="s">
        <v>1661</v>
      </c>
      <c r="H1018" s="92" t="s">
        <v>386</v>
      </c>
      <c r="I1018" s="93" t="s">
        <v>1666</v>
      </c>
      <c r="J1018" t="str">
        <f t="shared" si="32"/>
        <v>10213204 - Edificio Maipu-Proyecto</v>
      </c>
      <c r="K1018" t="str">
        <f t="shared" si="33"/>
        <v>Proyectos Inmobiliarios</v>
      </c>
    </row>
    <row r="1019" spans="1:11" x14ac:dyDescent="0.25">
      <c r="A1019" s="92">
        <v>10213301</v>
      </c>
      <c r="B1019" s="93" t="s">
        <v>976</v>
      </c>
      <c r="C1019" s="93" t="s">
        <v>1836</v>
      </c>
      <c r="D1019" s="93" t="s">
        <v>1665</v>
      </c>
      <c r="E1019" s="93" t="s">
        <v>1643</v>
      </c>
      <c r="F1019" s="93" t="s">
        <v>970</v>
      </c>
      <c r="G1019" s="93" t="s">
        <v>1667</v>
      </c>
      <c r="H1019" s="92" t="s">
        <v>386</v>
      </c>
      <c r="I1019" s="93" t="s">
        <v>1666</v>
      </c>
      <c r="J1019" t="str">
        <f t="shared" si="32"/>
        <v>10213301 - Edificio Maipu-GAF</v>
      </c>
      <c r="K1019" t="str">
        <f t="shared" si="33"/>
        <v>Proyectos Inmobiliarios</v>
      </c>
    </row>
    <row r="1020" spans="1:11" x14ac:dyDescent="0.25">
      <c r="A1020" s="92">
        <v>10213505</v>
      </c>
      <c r="B1020" s="93" t="s">
        <v>977</v>
      </c>
      <c r="C1020" s="93" t="s">
        <v>1836</v>
      </c>
      <c r="D1020" s="93" t="s">
        <v>66</v>
      </c>
      <c r="E1020" s="93" t="s">
        <v>328</v>
      </c>
      <c r="F1020" s="93" t="s">
        <v>970</v>
      </c>
      <c r="G1020" s="93" t="s">
        <v>1661</v>
      </c>
      <c r="H1020" s="92" t="s">
        <v>386</v>
      </c>
      <c r="I1020" s="93" t="s">
        <v>1666</v>
      </c>
      <c r="J1020" t="str">
        <f t="shared" si="32"/>
        <v>10213505 - Edificio Maipu-PV Inmob.</v>
      </c>
      <c r="K1020" t="str">
        <f t="shared" si="33"/>
        <v>Postventa</v>
      </c>
    </row>
    <row r="1021" spans="1:11" x14ac:dyDescent="0.25">
      <c r="A1021" s="92">
        <v>10213506</v>
      </c>
      <c r="B1021" s="93" t="s">
        <v>978</v>
      </c>
      <c r="C1021" s="93" t="s">
        <v>1836</v>
      </c>
      <c r="D1021" s="93" t="s">
        <v>1665</v>
      </c>
      <c r="E1021" s="93" t="s">
        <v>200</v>
      </c>
      <c r="F1021" s="93" t="s">
        <v>970</v>
      </c>
      <c r="G1021" s="93" t="s">
        <v>1661</v>
      </c>
      <c r="H1021" s="92" t="s">
        <v>386</v>
      </c>
      <c r="I1021" s="93" t="s">
        <v>1666</v>
      </c>
      <c r="J1021" t="str">
        <f t="shared" si="32"/>
        <v>10213506 - Edificio Maipu-Depto.Técnico</v>
      </c>
      <c r="K1021" t="str">
        <f t="shared" si="33"/>
        <v>Proyectos Inmobiliarios</v>
      </c>
    </row>
    <row r="1022" spans="1:11" x14ac:dyDescent="0.25">
      <c r="A1022" s="52">
        <v>999999999</v>
      </c>
      <c r="B1022" s="53" t="s">
        <v>1684</v>
      </c>
      <c r="C1022" s="53"/>
      <c r="D1022" s="53" t="s">
        <v>1578</v>
      </c>
      <c r="E1022" s="53" t="s">
        <v>1578</v>
      </c>
      <c r="F1022" s="53" t="s">
        <v>2038</v>
      </c>
      <c r="G1022" s="53" t="s">
        <v>1661</v>
      </c>
      <c r="H1022" s="52" t="s">
        <v>1672</v>
      </c>
      <c r="I1022" s="53" t="s">
        <v>1662</v>
      </c>
      <c r="J1022" t="str">
        <f t="shared" si="32"/>
        <v>999999999 - Terreno Abuelo Proyectos sin Terreno</v>
      </c>
      <c r="K1022" t="str">
        <f t="shared" si="33"/>
        <v>Terreno</v>
      </c>
    </row>
    <row r="1023" spans="1:11" x14ac:dyDescent="0.25">
      <c r="A1023" s="52">
        <v>999</v>
      </c>
      <c r="B1023" s="53" t="s">
        <v>1808</v>
      </c>
      <c r="C1023" s="53"/>
      <c r="D1023" s="53" t="s">
        <v>65</v>
      </c>
      <c r="E1023" s="53" t="s">
        <v>65</v>
      </c>
      <c r="F1023" s="53" t="s">
        <v>2038</v>
      </c>
      <c r="G1023" s="53" t="s">
        <v>1663</v>
      </c>
      <c r="H1023" s="52" t="s">
        <v>1672</v>
      </c>
      <c r="I1023" s="53" t="s">
        <v>1664</v>
      </c>
      <c r="J1023" t="str">
        <f t="shared" si="32"/>
        <v>999 - Obra Padre Proyectos sin Obra</v>
      </c>
      <c r="K1023" t="str">
        <f t="shared" si="33"/>
        <v>Obra</v>
      </c>
    </row>
    <row r="1024" spans="1:11" x14ac:dyDescent="0.25">
      <c r="A1024" s="52">
        <v>9907</v>
      </c>
      <c r="B1024" s="53" t="s">
        <v>684</v>
      </c>
      <c r="C1024" s="53" t="s">
        <v>1685</v>
      </c>
      <c r="D1024" s="53" t="s">
        <v>66</v>
      </c>
      <c r="E1024" s="53" t="s">
        <v>328</v>
      </c>
      <c r="F1024" s="53" t="s">
        <v>2038</v>
      </c>
      <c r="G1024" s="53" t="s">
        <v>1661</v>
      </c>
      <c r="H1024" s="52" t="s">
        <v>386</v>
      </c>
      <c r="I1024" s="53" t="s">
        <v>1666</v>
      </c>
      <c r="J1024" t="str">
        <f t="shared" si="32"/>
        <v>9907 - PV Edificio Meseta I</v>
      </c>
      <c r="K1024" t="str">
        <f t="shared" si="33"/>
        <v>Postventa</v>
      </c>
    </row>
    <row r="1025" spans="1:11" x14ac:dyDescent="0.25">
      <c r="A1025" s="50">
        <v>999999999</v>
      </c>
      <c r="B1025" s="51" t="s">
        <v>1684</v>
      </c>
      <c r="C1025" s="51"/>
      <c r="D1025" s="51" t="s">
        <v>1578</v>
      </c>
      <c r="E1025" s="51" t="s">
        <v>1578</v>
      </c>
      <c r="F1025" s="51" t="s">
        <v>2039</v>
      </c>
      <c r="G1025" s="51" t="s">
        <v>1661</v>
      </c>
      <c r="H1025" s="50" t="s">
        <v>1672</v>
      </c>
      <c r="I1025" s="51" t="s">
        <v>1662</v>
      </c>
      <c r="J1025" t="str">
        <f t="shared" si="32"/>
        <v>999999999 - Terreno Abuelo Proyectos sin Terreno</v>
      </c>
      <c r="K1025" t="str">
        <f t="shared" si="33"/>
        <v>Terreno</v>
      </c>
    </row>
    <row r="1026" spans="1:11" x14ac:dyDescent="0.25">
      <c r="A1026" s="50">
        <v>4</v>
      </c>
      <c r="B1026" s="51" t="s">
        <v>2039</v>
      </c>
      <c r="C1026" s="51" t="s">
        <v>1685</v>
      </c>
      <c r="D1026" s="51" t="s">
        <v>65</v>
      </c>
      <c r="E1026" s="51" t="s">
        <v>65</v>
      </c>
      <c r="F1026" s="51" t="s">
        <v>2039</v>
      </c>
      <c r="G1026" s="51" t="s">
        <v>1663</v>
      </c>
      <c r="H1026" s="50" t="s">
        <v>1672</v>
      </c>
      <c r="I1026" s="51" t="s">
        <v>1664</v>
      </c>
      <c r="J1026" t="str">
        <f t="shared" si="32"/>
        <v>4 - Edificio Meseta II</v>
      </c>
      <c r="K1026" t="str">
        <f t="shared" si="33"/>
        <v>Obra</v>
      </c>
    </row>
    <row r="1027" spans="1:11" x14ac:dyDescent="0.25">
      <c r="A1027" s="58">
        <v>999999999</v>
      </c>
      <c r="B1027" s="59" t="s">
        <v>1684</v>
      </c>
      <c r="C1027" s="59"/>
      <c r="D1027" s="59" t="s">
        <v>1578</v>
      </c>
      <c r="E1027" s="59" t="s">
        <v>1578</v>
      </c>
      <c r="F1027" s="59" t="s">
        <v>2040</v>
      </c>
      <c r="G1027" s="59" t="s">
        <v>1661</v>
      </c>
      <c r="H1027" s="58" t="s">
        <v>1672</v>
      </c>
      <c r="I1027" s="59" t="s">
        <v>1662</v>
      </c>
      <c r="J1027" t="str">
        <f t="shared" si="32"/>
        <v>999999999 - Terreno Abuelo Proyectos sin Terreno</v>
      </c>
      <c r="K1027" t="str">
        <f t="shared" si="33"/>
        <v>Terreno</v>
      </c>
    </row>
    <row r="1028" spans="1:11" x14ac:dyDescent="0.25">
      <c r="A1028" s="58">
        <v>141</v>
      </c>
      <c r="B1028" s="59" t="s">
        <v>2041</v>
      </c>
      <c r="C1028" s="59" t="s">
        <v>1685</v>
      </c>
      <c r="D1028" s="59" t="s">
        <v>65</v>
      </c>
      <c r="E1028" s="59" t="s">
        <v>65</v>
      </c>
      <c r="F1028" s="59" t="s">
        <v>2040</v>
      </c>
      <c r="G1028" s="59" t="s">
        <v>1663</v>
      </c>
      <c r="H1028" s="58" t="s">
        <v>1672</v>
      </c>
      <c r="I1028" s="59" t="s">
        <v>1664</v>
      </c>
      <c r="J1028" t="str">
        <f t="shared" ref="J1028:J1091" si="34">+A1028&amp;" - "&amp;B1028</f>
        <v>141 - Mirador del Bosque 3</v>
      </c>
      <c r="K1028" t="str">
        <f t="shared" ref="K1028:K1091" si="35">+D1028</f>
        <v>Obra</v>
      </c>
    </row>
    <row r="1029" spans="1:11" x14ac:dyDescent="0.25">
      <c r="A1029" s="58">
        <v>9141</v>
      </c>
      <c r="B1029" s="59" t="s">
        <v>611</v>
      </c>
      <c r="C1029" s="59" t="s">
        <v>1685</v>
      </c>
      <c r="D1029" s="59" t="s">
        <v>66</v>
      </c>
      <c r="E1029" s="59" t="s">
        <v>328</v>
      </c>
      <c r="F1029" s="59" t="s">
        <v>2040</v>
      </c>
      <c r="G1029" s="59" t="s">
        <v>1661</v>
      </c>
      <c r="H1029" s="58" t="s">
        <v>386</v>
      </c>
      <c r="I1029" s="59" t="s">
        <v>1666</v>
      </c>
      <c r="J1029" t="str">
        <f t="shared" si="34"/>
        <v>9141 - PV Edificio Mirador</v>
      </c>
      <c r="K1029" t="str">
        <f t="shared" si="35"/>
        <v>Postventa</v>
      </c>
    </row>
    <row r="1030" spans="1:11" x14ac:dyDescent="0.25">
      <c r="A1030" s="58">
        <v>10141000</v>
      </c>
      <c r="B1030" s="59" t="s">
        <v>2040</v>
      </c>
      <c r="C1030" s="59" t="s">
        <v>1685</v>
      </c>
      <c r="D1030" s="59" t="s">
        <v>1665</v>
      </c>
      <c r="E1030" s="59" t="s">
        <v>1585</v>
      </c>
      <c r="F1030" s="59" t="s">
        <v>2040</v>
      </c>
      <c r="G1030" s="59" t="s">
        <v>1661</v>
      </c>
      <c r="H1030" s="58" t="s">
        <v>1672</v>
      </c>
      <c r="I1030" s="59" t="s">
        <v>1666</v>
      </c>
      <c r="J1030" t="str">
        <f t="shared" si="34"/>
        <v>10141000 - Edificio Mirador</v>
      </c>
      <c r="K1030" t="str">
        <f t="shared" si="35"/>
        <v>Proyectos Inmobiliarios</v>
      </c>
    </row>
    <row r="1031" spans="1:11" x14ac:dyDescent="0.25">
      <c r="A1031" s="58">
        <v>10141102</v>
      </c>
      <c r="B1031" s="59" t="s">
        <v>2042</v>
      </c>
      <c r="C1031" s="59" t="s">
        <v>1685</v>
      </c>
      <c r="D1031" s="59" t="s">
        <v>1665</v>
      </c>
      <c r="E1031" s="59" t="s">
        <v>1617</v>
      </c>
      <c r="F1031" s="59" t="s">
        <v>2040</v>
      </c>
      <c r="G1031" s="59" t="s">
        <v>1661</v>
      </c>
      <c r="H1031" s="58" t="s">
        <v>1672</v>
      </c>
      <c r="I1031" s="59" t="s">
        <v>1666</v>
      </c>
      <c r="J1031" t="str">
        <f t="shared" si="34"/>
        <v>10141102 - Edificio Mirador-Marketing</v>
      </c>
      <c r="K1031" t="str">
        <f t="shared" si="35"/>
        <v>Proyectos Inmobiliarios</v>
      </c>
    </row>
    <row r="1032" spans="1:11" x14ac:dyDescent="0.25">
      <c r="A1032" s="58">
        <v>10141103</v>
      </c>
      <c r="B1032" s="59" t="s">
        <v>2043</v>
      </c>
      <c r="C1032" s="59" t="s">
        <v>1685</v>
      </c>
      <c r="D1032" s="59" t="s">
        <v>1665</v>
      </c>
      <c r="E1032" s="59" t="s">
        <v>1618</v>
      </c>
      <c r="F1032" s="59" t="s">
        <v>2040</v>
      </c>
      <c r="G1032" s="59" t="s">
        <v>1661</v>
      </c>
      <c r="H1032" s="58" t="s">
        <v>1672</v>
      </c>
      <c r="I1032" s="59" t="s">
        <v>1666</v>
      </c>
      <c r="J1032" t="str">
        <f t="shared" si="34"/>
        <v>10141103 - Edificio Mirador-Operaciones</v>
      </c>
      <c r="K1032" t="str">
        <f t="shared" si="35"/>
        <v>Proyectos Inmobiliarios</v>
      </c>
    </row>
    <row r="1033" spans="1:11" x14ac:dyDescent="0.25">
      <c r="A1033" s="58">
        <v>10141104</v>
      </c>
      <c r="B1033" s="59" t="s">
        <v>2044</v>
      </c>
      <c r="C1033" s="59" t="s">
        <v>1685</v>
      </c>
      <c r="D1033" s="59" t="s">
        <v>1665</v>
      </c>
      <c r="E1033" s="59" t="s">
        <v>90</v>
      </c>
      <c r="F1033" s="59" t="s">
        <v>2040</v>
      </c>
      <c r="G1033" s="59" t="s">
        <v>1661</v>
      </c>
      <c r="H1033" s="58" t="s">
        <v>1672</v>
      </c>
      <c r="I1033" s="59" t="s">
        <v>1666</v>
      </c>
      <c r="J1033" t="str">
        <f t="shared" si="34"/>
        <v>10141104 - Edificio Mirador-Ventas</v>
      </c>
      <c r="K1033" t="str">
        <f t="shared" si="35"/>
        <v>Proyectos Inmobiliarios</v>
      </c>
    </row>
    <row r="1034" spans="1:11" x14ac:dyDescent="0.25">
      <c r="A1034" s="58">
        <v>10141105</v>
      </c>
      <c r="B1034" s="59" t="s">
        <v>2045</v>
      </c>
      <c r="C1034" s="59" t="s">
        <v>1685</v>
      </c>
      <c r="D1034" s="59" t="s">
        <v>1665</v>
      </c>
      <c r="E1034" s="59" t="s">
        <v>1622</v>
      </c>
      <c r="F1034" s="59" t="s">
        <v>2040</v>
      </c>
      <c r="G1034" s="59" t="s">
        <v>1661</v>
      </c>
      <c r="H1034" s="58" t="s">
        <v>1672</v>
      </c>
      <c r="I1034" s="59" t="s">
        <v>1666</v>
      </c>
      <c r="J1034" t="str">
        <f t="shared" si="34"/>
        <v>10141105 - Edificio Mirador-Clientes</v>
      </c>
      <c r="K1034" t="str">
        <f t="shared" si="35"/>
        <v>Proyectos Inmobiliarios</v>
      </c>
    </row>
    <row r="1035" spans="1:11" x14ac:dyDescent="0.25">
      <c r="A1035" s="58">
        <v>10141204</v>
      </c>
      <c r="B1035" s="59" t="s">
        <v>2046</v>
      </c>
      <c r="C1035" s="59" t="s">
        <v>1685</v>
      </c>
      <c r="D1035" s="59" t="s">
        <v>1665</v>
      </c>
      <c r="E1035" s="59" t="s">
        <v>1624</v>
      </c>
      <c r="F1035" s="59" t="s">
        <v>2040</v>
      </c>
      <c r="G1035" s="59" t="s">
        <v>1661</v>
      </c>
      <c r="H1035" s="58" t="s">
        <v>1672</v>
      </c>
      <c r="I1035" s="59" t="s">
        <v>1666</v>
      </c>
      <c r="J1035" t="str">
        <f t="shared" si="34"/>
        <v>10141204 - Edificio Mirador-Proyecto</v>
      </c>
      <c r="K1035" t="str">
        <f t="shared" si="35"/>
        <v>Proyectos Inmobiliarios</v>
      </c>
    </row>
    <row r="1036" spans="1:11" x14ac:dyDescent="0.25">
      <c r="A1036" s="58">
        <v>10141301</v>
      </c>
      <c r="B1036" s="59" t="s">
        <v>2047</v>
      </c>
      <c r="C1036" s="59" t="s">
        <v>1685</v>
      </c>
      <c r="D1036" s="59" t="s">
        <v>1665</v>
      </c>
      <c r="E1036" s="59" t="s">
        <v>1643</v>
      </c>
      <c r="F1036" s="59" t="s">
        <v>2040</v>
      </c>
      <c r="G1036" s="59" t="s">
        <v>1667</v>
      </c>
      <c r="H1036" s="58" t="s">
        <v>1672</v>
      </c>
      <c r="I1036" s="59" t="s">
        <v>1666</v>
      </c>
      <c r="J1036" t="str">
        <f t="shared" si="34"/>
        <v>10141301 - Edificio Mirador-GAF</v>
      </c>
      <c r="K1036" t="str">
        <f t="shared" si="35"/>
        <v>Proyectos Inmobiliarios</v>
      </c>
    </row>
    <row r="1037" spans="1:11" x14ac:dyDescent="0.25">
      <c r="A1037" s="58">
        <v>10141505</v>
      </c>
      <c r="B1037" s="59" t="s">
        <v>2048</v>
      </c>
      <c r="C1037" s="59" t="s">
        <v>1685</v>
      </c>
      <c r="D1037" s="59" t="s">
        <v>66</v>
      </c>
      <c r="E1037" s="59" t="s">
        <v>328</v>
      </c>
      <c r="F1037" s="59" t="s">
        <v>2040</v>
      </c>
      <c r="G1037" s="59" t="s">
        <v>1661</v>
      </c>
      <c r="H1037" s="58" t="s">
        <v>1672</v>
      </c>
      <c r="I1037" s="59" t="s">
        <v>1666</v>
      </c>
      <c r="J1037" t="str">
        <f t="shared" si="34"/>
        <v>10141505 - Edificio Mirador-PV Inmob.</v>
      </c>
      <c r="K1037" t="str">
        <f t="shared" si="35"/>
        <v>Postventa</v>
      </c>
    </row>
    <row r="1038" spans="1:11" x14ac:dyDescent="0.25">
      <c r="A1038" s="58">
        <v>10141506</v>
      </c>
      <c r="B1038" s="59" t="s">
        <v>2049</v>
      </c>
      <c r="C1038" s="59" t="s">
        <v>1685</v>
      </c>
      <c r="D1038" s="59" t="s">
        <v>1665</v>
      </c>
      <c r="E1038" s="59" t="s">
        <v>200</v>
      </c>
      <c r="F1038" s="59" t="s">
        <v>2040</v>
      </c>
      <c r="G1038" s="59" t="s">
        <v>1661</v>
      </c>
      <c r="H1038" s="58" t="s">
        <v>1672</v>
      </c>
      <c r="I1038" s="59" t="s">
        <v>1666</v>
      </c>
      <c r="J1038" t="str">
        <f t="shared" si="34"/>
        <v>10141506 - Edificio Mirador-Depto.Técnico</v>
      </c>
      <c r="K1038" t="str">
        <f t="shared" si="35"/>
        <v>Proyectos Inmobiliarios</v>
      </c>
    </row>
    <row r="1039" spans="1:11" x14ac:dyDescent="0.25">
      <c r="A1039" s="54">
        <v>999999999</v>
      </c>
      <c r="B1039" s="55" t="s">
        <v>1684</v>
      </c>
      <c r="C1039" s="55"/>
      <c r="D1039" s="55" t="s">
        <v>1578</v>
      </c>
      <c r="E1039" s="55" t="s">
        <v>1578</v>
      </c>
      <c r="F1039" s="55" t="s">
        <v>2050</v>
      </c>
      <c r="G1039" s="55" t="s">
        <v>1661</v>
      </c>
      <c r="H1039" s="54" t="s">
        <v>1672</v>
      </c>
      <c r="I1039" s="55" t="s">
        <v>1662</v>
      </c>
      <c r="J1039" t="str">
        <f t="shared" si="34"/>
        <v>999999999 - Terreno Abuelo Proyectos sin Terreno</v>
      </c>
      <c r="K1039" t="str">
        <f t="shared" si="35"/>
        <v>Terreno</v>
      </c>
    </row>
    <row r="1040" spans="1:11" x14ac:dyDescent="0.25">
      <c r="A1040" s="54">
        <v>35</v>
      </c>
      <c r="B1040" s="55" t="s">
        <v>2050</v>
      </c>
      <c r="C1040" s="55" t="s">
        <v>1836</v>
      </c>
      <c r="D1040" s="55" t="s">
        <v>65</v>
      </c>
      <c r="E1040" s="55" t="s">
        <v>65</v>
      </c>
      <c r="F1040" s="55" t="s">
        <v>2050</v>
      </c>
      <c r="G1040" s="55" t="s">
        <v>1663</v>
      </c>
      <c r="H1040" s="54" t="s">
        <v>1672</v>
      </c>
      <c r="I1040" s="55" t="s">
        <v>1664</v>
      </c>
      <c r="J1040" t="str">
        <f t="shared" si="34"/>
        <v>35 - Edificio Novo</v>
      </c>
      <c r="K1040" t="str">
        <f t="shared" si="35"/>
        <v>Obra</v>
      </c>
    </row>
    <row r="1041" spans="1:11" x14ac:dyDescent="0.25">
      <c r="A1041" s="54">
        <v>9035</v>
      </c>
      <c r="B1041" s="55" t="s">
        <v>584</v>
      </c>
      <c r="C1041" s="55" t="s">
        <v>1836</v>
      </c>
      <c r="D1041" s="55" t="s">
        <v>66</v>
      </c>
      <c r="E1041" s="55" t="s">
        <v>328</v>
      </c>
      <c r="F1041" s="55" t="s">
        <v>2050</v>
      </c>
      <c r="G1041" s="55" t="s">
        <v>1661</v>
      </c>
      <c r="H1041" s="54" t="s">
        <v>386</v>
      </c>
      <c r="I1041" s="55" t="s">
        <v>1666</v>
      </c>
      <c r="J1041" t="str">
        <f t="shared" si="34"/>
        <v>9035 - PV Edificio Novo</v>
      </c>
      <c r="K1041" t="str">
        <f t="shared" si="35"/>
        <v>Postventa</v>
      </c>
    </row>
    <row r="1042" spans="1:11" x14ac:dyDescent="0.25">
      <c r="A1042" s="54">
        <v>10025000</v>
      </c>
      <c r="B1042" s="55" t="s">
        <v>2051</v>
      </c>
      <c r="C1042" s="55" t="s">
        <v>1836</v>
      </c>
      <c r="D1042" s="55" t="s">
        <v>1665</v>
      </c>
      <c r="E1042" s="55" t="s">
        <v>1585</v>
      </c>
      <c r="F1042" s="55" t="s">
        <v>2050</v>
      </c>
      <c r="G1042" s="55" t="s">
        <v>1661</v>
      </c>
      <c r="H1042" s="54" t="s">
        <v>1672</v>
      </c>
      <c r="I1042" s="55" t="s">
        <v>1666</v>
      </c>
      <c r="J1042" t="str">
        <f t="shared" si="34"/>
        <v>10025000 - Novo</v>
      </c>
      <c r="K1042" t="str">
        <f t="shared" si="35"/>
        <v>Proyectos Inmobiliarios</v>
      </c>
    </row>
    <row r="1043" spans="1:11" x14ac:dyDescent="0.25">
      <c r="A1043" s="54">
        <v>10025102</v>
      </c>
      <c r="B1043" s="55" t="s">
        <v>2052</v>
      </c>
      <c r="C1043" s="55" t="s">
        <v>1836</v>
      </c>
      <c r="D1043" s="55" t="s">
        <v>1665</v>
      </c>
      <c r="E1043" s="55" t="s">
        <v>1617</v>
      </c>
      <c r="F1043" s="55" t="s">
        <v>2050</v>
      </c>
      <c r="G1043" s="55" t="s">
        <v>1661</v>
      </c>
      <c r="H1043" s="54" t="s">
        <v>1672</v>
      </c>
      <c r="I1043" s="55" t="s">
        <v>1666</v>
      </c>
      <c r="J1043" t="str">
        <f t="shared" si="34"/>
        <v>10025102 - Novo-Marketing</v>
      </c>
      <c r="K1043" t="str">
        <f t="shared" si="35"/>
        <v>Proyectos Inmobiliarios</v>
      </c>
    </row>
    <row r="1044" spans="1:11" x14ac:dyDescent="0.25">
      <c r="A1044" s="54">
        <v>10025103</v>
      </c>
      <c r="B1044" s="55" t="s">
        <v>2053</v>
      </c>
      <c r="C1044" s="55" t="s">
        <v>1836</v>
      </c>
      <c r="D1044" s="55" t="s">
        <v>1665</v>
      </c>
      <c r="E1044" s="55" t="s">
        <v>1618</v>
      </c>
      <c r="F1044" s="55" t="s">
        <v>2050</v>
      </c>
      <c r="G1044" s="55" t="s">
        <v>1661</v>
      </c>
      <c r="H1044" s="54" t="s">
        <v>1672</v>
      </c>
      <c r="I1044" s="55" t="s">
        <v>1666</v>
      </c>
      <c r="J1044" t="str">
        <f t="shared" si="34"/>
        <v>10025103 - Novo-Operaciones</v>
      </c>
      <c r="K1044" t="str">
        <f t="shared" si="35"/>
        <v>Proyectos Inmobiliarios</v>
      </c>
    </row>
    <row r="1045" spans="1:11" x14ac:dyDescent="0.25">
      <c r="A1045" s="54">
        <v>10025104</v>
      </c>
      <c r="B1045" s="55" t="s">
        <v>2054</v>
      </c>
      <c r="C1045" s="55" t="s">
        <v>1836</v>
      </c>
      <c r="D1045" s="55" t="s">
        <v>1665</v>
      </c>
      <c r="E1045" s="55" t="s">
        <v>90</v>
      </c>
      <c r="F1045" s="55" t="s">
        <v>2050</v>
      </c>
      <c r="G1045" s="55" t="s">
        <v>1661</v>
      </c>
      <c r="H1045" s="54" t="s">
        <v>1672</v>
      </c>
      <c r="I1045" s="55" t="s">
        <v>1666</v>
      </c>
      <c r="J1045" t="str">
        <f t="shared" si="34"/>
        <v>10025104 - Novo-Ventas</v>
      </c>
      <c r="K1045" t="str">
        <f t="shared" si="35"/>
        <v>Proyectos Inmobiliarios</v>
      </c>
    </row>
    <row r="1046" spans="1:11" x14ac:dyDescent="0.25">
      <c r="A1046" s="54">
        <v>10025105</v>
      </c>
      <c r="B1046" s="55" t="s">
        <v>2055</v>
      </c>
      <c r="C1046" s="55" t="s">
        <v>1836</v>
      </c>
      <c r="D1046" s="55" t="s">
        <v>1665</v>
      </c>
      <c r="E1046" s="55" t="s">
        <v>1622</v>
      </c>
      <c r="F1046" s="55" t="s">
        <v>2050</v>
      </c>
      <c r="G1046" s="55" t="s">
        <v>1661</v>
      </c>
      <c r="H1046" s="54" t="s">
        <v>1672</v>
      </c>
      <c r="I1046" s="55" t="s">
        <v>1666</v>
      </c>
      <c r="J1046" t="str">
        <f t="shared" si="34"/>
        <v>10025105 - Novo-Clientes</v>
      </c>
      <c r="K1046" t="str">
        <f t="shared" si="35"/>
        <v>Proyectos Inmobiliarios</v>
      </c>
    </row>
    <row r="1047" spans="1:11" x14ac:dyDescent="0.25">
      <c r="A1047" s="54">
        <v>10025203</v>
      </c>
      <c r="B1047" s="55" t="s">
        <v>2056</v>
      </c>
      <c r="C1047" s="55" t="s">
        <v>1836</v>
      </c>
      <c r="D1047" s="55" t="s">
        <v>1665</v>
      </c>
      <c r="E1047" s="55" t="s">
        <v>1624</v>
      </c>
      <c r="F1047" s="55" t="s">
        <v>2050</v>
      </c>
      <c r="G1047" s="55" t="s">
        <v>1661</v>
      </c>
      <c r="H1047" s="54" t="s">
        <v>1672</v>
      </c>
      <c r="I1047" s="55" t="s">
        <v>1666</v>
      </c>
      <c r="J1047" t="str">
        <f t="shared" si="34"/>
        <v>10025203 - Novo-Proyecto</v>
      </c>
      <c r="K1047" t="str">
        <f t="shared" si="35"/>
        <v>Proyectos Inmobiliarios</v>
      </c>
    </row>
    <row r="1048" spans="1:11" x14ac:dyDescent="0.25">
      <c r="A1048" s="54">
        <v>10025301</v>
      </c>
      <c r="B1048" s="55" t="s">
        <v>2057</v>
      </c>
      <c r="C1048" s="55" t="s">
        <v>1836</v>
      </c>
      <c r="D1048" s="55" t="s">
        <v>1665</v>
      </c>
      <c r="E1048" s="55" t="s">
        <v>1643</v>
      </c>
      <c r="F1048" s="55" t="s">
        <v>2050</v>
      </c>
      <c r="G1048" s="55" t="s">
        <v>1667</v>
      </c>
      <c r="H1048" s="54" t="s">
        <v>1672</v>
      </c>
      <c r="I1048" s="55" t="s">
        <v>1666</v>
      </c>
      <c r="J1048" t="str">
        <f t="shared" si="34"/>
        <v>10025301 - Novo-GAF</v>
      </c>
      <c r="K1048" t="str">
        <f t="shared" si="35"/>
        <v>Proyectos Inmobiliarios</v>
      </c>
    </row>
    <row r="1049" spans="1:11" x14ac:dyDescent="0.25">
      <c r="A1049" s="54">
        <v>10025505</v>
      </c>
      <c r="B1049" s="55" t="s">
        <v>2058</v>
      </c>
      <c r="C1049" s="55" t="s">
        <v>1836</v>
      </c>
      <c r="D1049" s="55" t="s">
        <v>66</v>
      </c>
      <c r="E1049" s="55" t="s">
        <v>328</v>
      </c>
      <c r="F1049" s="55" t="s">
        <v>2050</v>
      </c>
      <c r="G1049" s="55" t="s">
        <v>1661</v>
      </c>
      <c r="H1049" s="54" t="s">
        <v>1672</v>
      </c>
      <c r="I1049" s="55" t="s">
        <v>1666</v>
      </c>
      <c r="J1049" t="str">
        <f t="shared" si="34"/>
        <v>10025505 - Novo-PV Inmob.</v>
      </c>
      <c r="K1049" t="str">
        <f t="shared" si="35"/>
        <v>Postventa</v>
      </c>
    </row>
    <row r="1050" spans="1:11" x14ac:dyDescent="0.25">
      <c r="A1050" s="54">
        <v>10025506</v>
      </c>
      <c r="B1050" s="55" t="s">
        <v>2059</v>
      </c>
      <c r="C1050" s="55" t="s">
        <v>1836</v>
      </c>
      <c r="D1050" s="55" t="s">
        <v>1665</v>
      </c>
      <c r="E1050" s="55" t="s">
        <v>200</v>
      </c>
      <c r="F1050" s="55" t="s">
        <v>2050</v>
      </c>
      <c r="G1050" s="55" t="s">
        <v>1661</v>
      </c>
      <c r="H1050" s="54" t="s">
        <v>1672</v>
      </c>
      <c r="I1050" s="55" t="s">
        <v>1666</v>
      </c>
      <c r="J1050" t="str">
        <f t="shared" si="34"/>
        <v>10025506 - Novo-Depto.Técnico</v>
      </c>
      <c r="K1050" t="str">
        <f t="shared" si="35"/>
        <v>Proyectos Inmobiliarios</v>
      </c>
    </row>
    <row r="1051" spans="1:11" x14ac:dyDescent="0.25">
      <c r="A1051" s="66">
        <v>1057202</v>
      </c>
      <c r="B1051" s="67" t="s">
        <v>2060</v>
      </c>
      <c r="C1051" s="67" t="s">
        <v>1670</v>
      </c>
      <c r="D1051" s="67" t="s">
        <v>1578</v>
      </c>
      <c r="E1051" s="67" t="s">
        <v>1578</v>
      </c>
      <c r="F1051" s="67" t="s">
        <v>2061</v>
      </c>
      <c r="G1051" s="67" t="s">
        <v>1661</v>
      </c>
      <c r="H1051" s="66" t="s">
        <v>1672</v>
      </c>
      <c r="I1051" s="67" t="s">
        <v>1662</v>
      </c>
      <c r="J1051" t="str">
        <f t="shared" si="34"/>
        <v xml:space="preserve">1057202 - Terreno Francisco Zelada-Desarrollo </v>
      </c>
      <c r="K1051" t="str">
        <f t="shared" si="35"/>
        <v>Terreno</v>
      </c>
    </row>
    <row r="1052" spans="1:11" x14ac:dyDescent="0.25">
      <c r="A1052" s="66">
        <v>173</v>
      </c>
      <c r="B1052" s="67" t="s">
        <v>2062</v>
      </c>
      <c r="C1052" s="67" t="s">
        <v>1670</v>
      </c>
      <c r="D1052" s="67" t="s">
        <v>65</v>
      </c>
      <c r="E1052" s="67" t="s">
        <v>65</v>
      </c>
      <c r="F1052" s="67" t="s">
        <v>2061</v>
      </c>
      <c r="G1052" s="67" t="s">
        <v>1663</v>
      </c>
      <c r="H1052" s="66" t="s">
        <v>1672</v>
      </c>
      <c r="I1052" s="67" t="s">
        <v>1664</v>
      </c>
      <c r="J1052" t="str">
        <f t="shared" si="34"/>
        <v>173 - EDIFICIO NUEVO CENTRO</v>
      </c>
      <c r="K1052" t="str">
        <f t="shared" si="35"/>
        <v>Obra</v>
      </c>
    </row>
    <row r="1053" spans="1:11" x14ac:dyDescent="0.25">
      <c r="A1053" s="66">
        <v>9173</v>
      </c>
      <c r="B1053" s="67" t="s">
        <v>616</v>
      </c>
      <c r="C1053" s="67" t="s">
        <v>1670</v>
      </c>
      <c r="D1053" s="67" t="s">
        <v>66</v>
      </c>
      <c r="E1053" s="67" t="s">
        <v>328</v>
      </c>
      <c r="F1053" s="67" t="s">
        <v>2061</v>
      </c>
      <c r="G1053" s="67" t="s">
        <v>1661</v>
      </c>
      <c r="H1053" s="66" t="s">
        <v>386</v>
      </c>
      <c r="I1053" s="67" t="s">
        <v>1666</v>
      </c>
      <c r="J1053" t="str">
        <f t="shared" si="34"/>
        <v>9173 - PV Edificio Nuevo Centro</v>
      </c>
      <c r="K1053" t="str">
        <f t="shared" si="35"/>
        <v>Postventa</v>
      </c>
    </row>
    <row r="1054" spans="1:11" x14ac:dyDescent="0.25">
      <c r="A1054" s="66">
        <v>10173000</v>
      </c>
      <c r="B1054" s="67" t="s">
        <v>2061</v>
      </c>
      <c r="C1054" s="67" t="s">
        <v>1670</v>
      </c>
      <c r="D1054" s="67" t="s">
        <v>1665</v>
      </c>
      <c r="E1054" s="67" t="s">
        <v>1585</v>
      </c>
      <c r="F1054" s="67" t="s">
        <v>2061</v>
      </c>
      <c r="G1054" s="67" t="s">
        <v>1661</v>
      </c>
      <c r="H1054" s="66" t="s">
        <v>1672</v>
      </c>
      <c r="I1054" s="67" t="s">
        <v>1666</v>
      </c>
      <c r="J1054" t="str">
        <f t="shared" si="34"/>
        <v>10173000 - Edificio Nuevo Centro</v>
      </c>
      <c r="K1054" t="str">
        <f t="shared" si="35"/>
        <v>Proyectos Inmobiliarios</v>
      </c>
    </row>
    <row r="1055" spans="1:11" x14ac:dyDescent="0.25">
      <c r="A1055" s="66">
        <v>10173102</v>
      </c>
      <c r="B1055" s="67" t="s">
        <v>2063</v>
      </c>
      <c r="C1055" s="67" t="s">
        <v>1670</v>
      </c>
      <c r="D1055" s="67" t="s">
        <v>1665</v>
      </c>
      <c r="E1055" s="67" t="s">
        <v>1617</v>
      </c>
      <c r="F1055" s="67" t="s">
        <v>2061</v>
      </c>
      <c r="G1055" s="67" t="s">
        <v>1661</v>
      </c>
      <c r="H1055" s="66" t="s">
        <v>1672</v>
      </c>
      <c r="I1055" s="67" t="s">
        <v>1666</v>
      </c>
      <c r="J1055" t="str">
        <f t="shared" si="34"/>
        <v>10173102 - Edificio Nuevo Centro-Marketing</v>
      </c>
      <c r="K1055" t="str">
        <f t="shared" si="35"/>
        <v>Proyectos Inmobiliarios</v>
      </c>
    </row>
    <row r="1056" spans="1:11" x14ac:dyDescent="0.25">
      <c r="A1056" s="66">
        <v>10173103</v>
      </c>
      <c r="B1056" s="67" t="s">
        <v>2064</v>
      </c>
      <c r="C1056" s="67" t="s">
        <v>1670</v>
      </c>
      <c r="D1056" s="67" t="s">
        <v>1665</v>
      </c>
      <c r="E1056" s="67" t="s">
        <v>1618</v>
      </c>
      <c r="F1056" s="67" t="s">
        <v>2061</v>
      </c>
      <c r="G1056" s="67" t="s">
        <v>1661</v>
      </c>
      <c r="H1056" s="66" t="s">
        <v>1672</v>
      </c>
      <c r="I1056" s="67" t="s">
        <v>1666</v>
      </c>
      <c r="J1056" t="str">
        <f t="shared" si="34"/>
        <v>10173103 - Edificio Nuevo Centro-Operaciones</v>
      </c>
      <c r="K1056" t="str">
        <f t="shared" si="35"/>
        <v>Proyectos Inmobiliarios</v>
      </c>
    </row>
    <row r="1057" spans="1:11" x14ac:dyDescent="0.25">
      <c r="A1057" s="66">
        <v>10173104</v>
      </c>
      <c r="B1057" s="67" t="s">
        <v>2065</v>
      </c>
      <c r="C1057" s="67" t="s">
        <v>1670</v>
      </c>
      <c r="D1057" s="67" t="s">
        <v>1665</v>
      </c>
      <c r="E1057" s="67" t="s">
        <v>90</v>
      </c>
      <c r="F1057" s="67" t="s">
        <v>2061</v>
      </c>
      <c r="G1057" s="67" t="s">
        <v>1661</v>
      </c>
      <c r="H1057" s="66" t="s">
        <v>1672</v>
      </c>
      <c r="I1057" s="67" t="s">
        <v>1666</v>
      </c>
      <c r="J1057" t="str">
        <f t="shared" si="34"/>
        <v>10173104 - Edificio Nuevo Centro-Ventas</v>
      </c>
      <c r="K1057" t="str">
        <f t="shared" si="35"/>
        <v>Proyectos Inmobiliarios</v>
      </c>
    </row>
    <row r="1058" spans="1:11" x14ac:dyDescent="0.25">
      <c r="A1058" s="66">
        <v>10173105</v>
      </c>
      <c r="B1058" s="67" t="s">
        <v>2066</v>
      </c>
      <c r="C1058" s="67" t="s">
        <v>1670</v>
      </c>
      <c r="D1058" s="67" t="s">
        <v>1665</v>
      </c>
      <c r="E1058" s="67" t="s">
        <v>1622</v>
      </c>
      <c r="F1058" s="67" t="s">
        <v>2061</v>
      </c>
      <c r="G1058" s="67" t="s">
        <v>1661</v>
      </c>
      <c r="H1058" s="66" t="s">
        <v>1672</v>
      </c>
      <c r="I1058" s="67" t="s">
        <v>1666</v>
      </c>
      <c r="J1058" t="str">
        <f t="shared" si="34"/>
        <v>10173105 - Edificio Nuevo Centro-Clientes</v>
      </c>
      <c r="K1058" t="str">
        <f t="shared" si="35"/>
        <v>Proyectos Inmobiliarios</v>
      </c>
    </row>
    <row r="1059" spans="1:11" x14ac:dyDescent="0.25">
      <c r="A1059" s="66">
        <v>10173204</v>
      </c>
      <c r="B1059" s="67" t="s">
        <v>2067</v>
      </c>
      <c r="C1059" s="67" t="s">
        <v>1670</v>
      </c>
      <c r="D1059" s="67" t="s">
        <v>1665</v>
      </c>
      <c r="E1059" s="67" t="s">
        <v>1624</v>
      </c>
      <c r="F1059" s="67" t="s">
        <v>2061</v>
      </c>
      <c r="G1059" s="67" t="s">
        <v>1661</v>
      </c>
      <c r="H1059" s="66" t="s">
        <v>1672</v>
      </c>
      <c r="I1059" s="67" t="s">
        <v>1666</v>
      </c>
      <c r="J1059" t="str">
        <f t="shared" si="34"/>
        <v>10173204 - Edificio Nuevo Centro-Proyecto</v>
      </c>
      <c r="K1059" t="str">
        <f t="shared" si="35"/>
        <v>Proyectos Inmobiliarios</v>
      </c>
    </row>
    <row r="1060" spans="1:11" x14ac:dyDescent="0.25">
      <c r="A1060" s="66">
        <v>10173301</v>
      </c>
      <c r="B1060" s="67" t="s">
        <v>2068</v>
      </c>
      <c r="C1060" s="67" t="s">
        <v>1670</v>
      </c>
      <c r="D1060" s="67" t="s">
        <v>1665</v>
      </c>
      <c r="E1060" s="67" t="s">
        <v>1643</v>
      </c>
      <c r="F1060" s="67" t="s">
        <v>2061</v>
      </c>
      <c r="G1060" s="67" t="s">
        <v>1667</v>
      </c>
      <c r="H1060" s="66" t="s">
        <v>1672</v>
      </c>
      <c r="I1060" s="67" t="s">
        <v>1666</v>
      </c>
      <c r="J1060" t="str">
        <f t="shared" si="34"/>
        <v>10173301 - Edificio Nuevo Centro-GAF</v>
      </c>
      <c r="K1060" t="str">
        <f t="shared" si="35"/>
        <v>Proyectos Inmobiliarios</v>
      </c>
    </row>
    <row r="1061" spans="1:11" x14ac:dyDescent="0.25">
      <c r="A1061" s="66">
        <v>10173505</v>
      </c>
      <c r="B1061" s="67" t="s">
        <v>2069</v>
      </c>
      <c r="C1061" s="67" t="s">
        <v>1670</v>
      </c>
      <c r="D1061" s="67" t="s">
        <v>66</v>
      </c>
      <c r="E1061" s="67" t="s">
        <v>328</v>
      </c>
      <c r="F1061" s="67" t="s">
        <v>2061</v>
      </c>
      <c r="G1061" s="67" t="s">
        <v>1661</v>
      </c>
      <c r="H1061" s="66" t="s">
        <v>1672</v>
      </c>
      <c r="I1061" s="67" t="s">
        <v>1666</v>
      </c>
      <c r="J1061" t="str">
        <f t="shared" si="34"/>
        <v>10173505 - Edificio Nuevo Centro-PV Inmob.</v>
      </c>
      <c r="K1061" t="str">
        <f t="shared" si="35"/>
        <v>Postventa</v>
      </c>
    </row>
    <row r="1062" spans="1:11" x14ac:dyDescent="0.25">
      <c r="A1062" s="66">
        <v>10173506</v>
      </c>
      <c r="B1062" s="67" t="s">
        <v>2070</v>
      </c>
      <c r="C1062" s="67" t="s">
        <v>1670</v>
      </c>
      <c r="D1062" s="67" t="s">
        <v>1665</v>
      </c>
      <c r="E1062" s="67" t="s">
        <v>200</v>
      </c>
      <c r="F1062" s="67" t="s">
        <v>2061</v>
      </c>
      <c r="G1062" s="67" t="s">
        <v>1661</v>
      </c>
      <c r="H1062" s="66" t="s">
        <v>1672</v>
      </c>
      <c r="I1062" s="67" t="s">
        <v>1666</v>
      </c>
      <c r="J1062" t="str">
        <f t="shared" si="34"/>
        <v>10173506 - Edificio Nuevo Centro-Depto.Técnico</v>
      </c>
      <c r="K1062" t="str">
        <f t="shared" si="35"/>
        <v>Proyectos Inmobiliarios</v>
      </c>
    </row>
    <row r="1063" spans="1:11" x14ac:dyDescent="0.25">
      <c r="A1063" s="62">
        <v>1053202</v>
      </c>
      <c r="B1063" s="63" t="s">
        <v>2071</v>
      </c>
      <c r="C1063" s="63" t="s">
        <v>1670</v>
      </c>
      <c r="D1063" s="63" t="s">
        <v>1578</v>
      </c>
      <c r="E1063" s="63" t="s">
        <v>1578</v>
      </c>
      <c r="F1063" s="63" t="s">
        <v>824</v>
      </c>
      <c r="G1063" s="63" t="s">
        <v>1661</v>
      </c>
      <c r="H1063" s="62" t="s">
        <v>1672</v>
      </c>
      <c r="I1063" s="63" t="s">
        <v>1662</v>
      </c>
      <c r="J1063" t="str">
        <f t="shared" si="34"/>
        <v>1053202 - Terreno San Pablo-Desarrollo</v>
      </c>
      <c r="K1063" t="str">
        <f t="shared" si="35"/>
        <v>Terreno</v>
      </c>
    </row>
    <row r="1064" spans="1:11" x14ac:dyDescent="0.25">
      <c r="A1064" s="62">
        <v>187</v>
      </c>
      <c r="B1064" s="63" t="s">
        <v>824</v>
      </c>
      <c r="C1064" s="63" t="s">
        <v>1670</v>
      </c>
      <c r="D1064" s="63" t="s">
        <v>65</v>
      </c>
      <c r="E1064" s="63" t="s">
        <v>65</v>
      </c>
      <c r="F1064" s="63" t="s">
        <v>824</v>
      </c>
      <c r="G1064" s="63" t="s">
        <v>1663</v>
      </c>
      <c r="H1064" s="62" t="s">
        <v>1672</v>
      </c>
      <c r="I1064" s="63" t="s">
        <v>1664</v>
      </c>
      <c r="J1064" t="str">
        <f t="shared" si="34"/>
        <v>187 - Edificio Parque Quinta</v>
      </c>
      <c r="K1064" t="str">
        <f t="shared" si="35"/>
        <v>Obra</v>
      </c>
    </row>
    <row r="1065" spans="1:11" x14ac:dyDescent="0.25">
      <c r="A1065" s="62">
        <v>9187</v>
      </c>
      <c r="B1065" s="63" t="s">
        <v>619</v>
      </c>
      <c r="C1065" s="63" t="s">
        <v>1670</v>
      </c>
      <c r="D1065" s="63" t="s">
        <v>66</v>
      </c>
      <c r="E1065" s="63" t="s">
        <v>328</v>
      </c>
      <c r="F1065" s="63" t="s">
        <v>824</v>
      </c>
      <c r="G1065" s="63" t="s">
        <v>1661</v>
      </c>
      <c r="H1065" s="62" t="s">
        <v>386</v>
      </c>
      <c r="I1065" s="63" t="s">
        <v>1666</v>
      </c>
      <c r="J1065" t="str">
        <f t="shared" si="34"/>
        <v>9187 - PV Edificio Parque Quinta</v>
      </c>
      <c r="K1065" t="str">
        <f t="shared" si="35"/>
        <v>Postventa</v>
      </c>
    </row>
    <row r="1066" spans="1:11" x14ac:dyDescent="0.25">
      <c r="A1066" s="62">
        <v>10187000</v>
      </c>
      <c r="B1066" s="63" t="s">
        <v>824</v>
      </c>
      <c r="C1066" s="63" t="s">
        <v>1670</v>
      </c>
      <c r="D1066" s="63" t="s">
        <v>1665</v>
      </c>
      <c r="E1066" s="63" t="s">
        <v>1585</v>
      </c>
      <c r="F1066" s="63" t="s">
        <v>824</v>
      </c>
      <c r="G1066" s="63" t="s">
        <v>1661</v>
      </c>
      <c r="H1066" s="62" t="s">
        <v>386</v>
      </c>
      <c r="I1066" s="63" t="s">
        <v>1666</v>
      </c>
      <c r="J1066" t="str">
        <f t="shared" si="34"/>
        <v>10187000 - Edificio Parque Quinta</v>
      </c>
      <c r="K1066" t="str">
        <f t="shared" si="35"/>
        <v>Proyectos Inmobiliarios</v>
      </c>
    </row>
    <row r="1067" spans="1:11" x14ac:dyDescent="0.25">
      <c r="A1067" s="62">
        <v>10187102</v>
      </c>
      <c r="B1067" s="63" t="s">
        <v>825</v>
      </c>
      <c r="C1067" s="63" t="s">
        <v>1670</v>
      </c>
      <c r="D1067" s="63" t="s">
        <v>1665</v>
      </c>
      <c r="E1067" s="63" t="s">
        <v>1617</v>
      </c>
      <c r="F1067" s="63" t="s">
        <v>824</v>
      </c>
      <c r="G1067" s="63" t="s">
        <v>1661</v>
      </c>
      <c r="H1067" s="62" t="s">
        <v>386</v>
      </c>
      <c r="I1067" s="63" t="s">
        <v>1666</v>
      </c>
      <c r="J1067" t="str">
        <f t="shared" si="34"/>
        <v>10187102 - Edificio Parque Quinta-Marketing</v>
      </c>
      <c r="K1067" t="str">
        <f t="shared" si="35"/>
        <v>Proyectos Inmobiliarios</v>
      </c>
    </row>
    <row r="1068" spans="1:11" x14ac:dyDescent="0.25">
      <c r="A1068" s="62">
        <v>10187103</v>
      </c>
      <c r="B1068" s="63" t="s">
        <v>826</v>
      </c>
      <c r="C1068" s="63" t="s">
        <v>1670</v>
      </c>
      <c r="D1068" s="63" t="s">
        <v>1665</v>
      </c>
      <c r="E1068" s="63" t="s">
        <v>1618</v>
      </c>
      <c r="F1068" s="63" t="s">
        <v>824</v>
      </c>
      <c r="G1068" s="63" t="s">
        <v>1661</v>
      </c>
      <c r="H1068" s="62" t="s">
        <v>386</v>
      </c>
      <c r="I1068" s="63" t="s">
        <v>1666</v>
      </c>
      <c r="J1068" t="str">
        <f t="shared" si="34"/>
        <v>10187103 - Edificio Parque Quinta-Operaciones</v>
      </c>
      <c r="K1068" t="str">
        <f t="shared" si="35"/>
        <v>Proyectos Inmobiliarios</v>
      </c>
    </row>
    <row r="1069" spans="1:11" x14ac:dyDescent="0.25">
      <c r="A1069" s="62">
        <v>10187104</v>
      </c>
      <c r="B1069" s="63" t="s">
        <v>827</v>
      </c>
      <c r="C1069" s="63" t="s">
        <v>1670</v>
      </c>
      <c r="D1069" s="63" t="s">
        <v>1665</v>
      </c>
      <c r="E1069" s="63" t="s">
        <v>90</v>
      </c>
      <c r="F1069" s="63" t="s">
        <v>824</v>
      </c>
      <c r="G1069" s="63" t="s">
        <v>1661</v>
      </c>
      <c r="H1069" s="62" t="s">
        <v>386</v>
      </c>
      <c r="I1069" s="63" t="s">
        <v>1666</v>
      </c>
      <c r="J1069" t="str">
        <f t="shared" si="34"/>
        <v>10187104 - Edificio Parque Quinta-Ventas</v>
      </c>
      <c r="K1069" t="str">
        <f t="shared" si="35"/>
        <v>Proyectos Inmobiliarios</v>
      </c>
    </row>
    <row r="1070" spans="1:11" x14ac:dyDescent="0.25">
      <c r="A1070" s="62">
        <v>10187105</v>
      </c>
      <c r="B1070" s="63" t="s">
        <v>828</v>
      </c>
      <c r="C1070" s="63" t="s">
        <v>1670</v>
      </c>
      <c r="D1070" s="63" t="s">
        <v>1665</v>
      </c>
      <c r="E1070" s="63" t="s">
        <v>1622</v>
      </c>
      <c r="F1070" s="63" t="s">
        <v>824</v>
      </c>
      <c r="G1070" s="63" t="s">
        <v>1661</v>
      </c>
      <c r="H1070" s="62" t="s">
        <v>386</v>
      </c>
      <c r="I1070" s="63" t="s">
        <v>1666</v>
      </c>
      <c r="J1070" t="str">
        <f t="shared" si="34"/>
        <v>10187105 - Edificio Parque Quinta-Clientes</v>
      </c>
      <c r="K1070" t="str">
        <f t="shared" si="35"/>
        <v>Proyectos Inmobiliarios</v>
      </c>
    </row>
    <row r="1071" spans="1:11" x14ac:dyDescent="0.25">
      <c r="A1071" s="62">
        <v>10187204</v>
      </c>
      <c r="B1071" s="63" t="s">
        <v>829</v>
      </c>
      <c r="C1071" s="63" t="s">
        <v>1670</v>
      </c>
      <c r="D1071" s="63" t="s">
        <v>1665</v>
      </c>
      <c r="E1071" s="63" t="s">
        <v>1624</v>
      </c>
      <c r="F1071" s="63" t="s">
        <v>824</v>
      </c>
      <c r="G1071" s="63" t="s">
        <v>1661</v>
      </c>
      <c r="H1071" s="62" t="s">
        <v>386</v>
      </c>
      <c r="I1071" s="63" t="s">
        <v>1666</v>
      </c>
      <c r="J1071" t="str">
        <f t="shared" si="34"/>
        <v>10187204 - Edificio Parque Quinta-Proyecto</v>
      </c>
      <c r="K1071" t="str">
        <f t="shared" si="35"/>
        <v>Proyectos Inmobiliarios</v>
      </c>
    </row>
    <row r="1072" spans="1:11" x14ac:dyDescent="0.25">
      <c r="A1072" s="62">
        <v>10187301</v>
      </c>
      <c r="B1072" s="63" t="s">
        <v>830</v>
      </c>
      <c r="C1072" s="63" t="s">
        <v>1670</v>
      </c>
      <c r="D1072" s="63" t="s">
        <v>1665</v>
      </c>
      <c r="E1072" s="63" t="s">
        <v>1643</v>
      </c>
      <c r="F1072" s="63" t="s">
        <v>824</v>
      </c>
      <c r="G1072" s="63" t="s">
        <v>1667</v>
      </c>
      <c r="H1072" s="62" t="s">
        <v>386</v>
      </c>
      <c r="I1072" s="63" t="s">
        <v>1666</v>
      </c>
      <c r="J1072" t="str">
        <f t="shared" si="34"/>
        <v>10187301 - Edificio Parque Quinta-GAF</v>
      </c>
      <c r="K1072" t="str">
        <f t="shared" si="35"/>
        <v>Proyectos Inmobiliarios</v>
      </c>
    </row>
    <row r="1073" spans="1:11" x14ac:dyDescent="0.25">
      <c r="A1073" s="62">
        <v>10187505</v>
      </c>
      <c r="B1073" s="63" t="s">
        <v>831</v>
      </c>
      <c r="C1073" s="63" t="s">
        <v>1670</v>
      </c>
      <c r="D1073" s="63" t="s">
        <v>66</v>
      </c>
      <c r="E1073" s="63" t="s">
        <v>328</v>
      </c>
      <c r="F1073" s="63" t="s">
        <v>824</v>
      </c>
      <c r="G1073" s="63" t="s">
        <v>1661</v>
      </c>
      <c r="H1073" s="62" t="s">
        <v>386</v>
      </c>
      <c r="I1073" s="63" t="s">
        <v>1666</v>
      </c>
      <c r="J1073" t="str">
        <f t="shared" si="34"/>
        <v>10187505 - Edificio Parque Quinta-PV Inmob.</v>
      </c>
      <c r="K1073" t="str">
        <f t="shared" si="35"/>
        <v>Postventa</v>
      </c>
    </row>
    <row r="1074" spans="1:11" x14ac:dyDescent="0.25">
      <c r="A1074" s="62">
        <v>10187506</v>
      </c>
      <c r="B1074" s="63" t="s">
        <v>832</v>
      </c>
      <c r="C1074" s="63" t="s">
        <v>1670</v>
      </c>
      <c r="D1074" s="63" t="s">
        <v>1665</v>
      </c>
      <c r="E1074" s="63" t="s">
        <v>200</v>
      </c>
      <c r="F1074" s="63" t="s">
        <v>824</v>
      </c>
      <c r="G1074" s="63" t="s">
        <v>1661</v>
      </c>
      <c r="H1074" s="62" t="s">
        <v>386</v>
      </c>
      <c r="I1074" s="63" t="s">
        <v>1666</v>
      </c>
      <c r="J1074" t="str">
        <f t="shared" si="34"/>
        <v>10187506 - Edificio Parque Quinta-Depto.Técnico</v>
      </c>
      <c r="K1074" t="str">
        <f t="shared" si="35"/>
        <v>Proyectos Inmobiliarios</v>
      </c>
    </row>
    <row r="1075" spans="1:11" x14ac:dyDescent="0.25">
      <c r="A1075" s="94">
        <v>1090202</v>
      </c>
      <c r="B1075" s="95" t="s">
        <v>734</v>
      </c>
      <c r="C1075" s="95" t="s">
        <v>1685</v>
      </c>
      <c r="D1075" s="95" t="s">
        <v>1578</v>
      </c>
      <c r="E1075" s="95" t="s">
        <v>1578</v>
      </c>
      <c r="F1075" s="95" t="s">
        <v>997</v>
      </c>
      <c r="G1075" s="95" t="s">
        <v>1661</v>
      </c>
      <c r="H1075" s="94" t="s">
        <v>386</v>
      </c>
      <c r="I1075" s="95" t="s">
        <v>1662</v>
      </c>
      <c r="J1075" t="str">
        <f t="shared" si="34"/>
        <v xml:space="preserve">1090202 - Terreno Edificio Parque Urbano – Inversiones </v>
      </c>
      <c r="K1075" t="str">
        <f t="shared" si="35"/>
        <v>Terreno</v>
      </c>
    </row>
    <row r="1076" spans="1:11" x14ac:dyDescent="0.25">
      <c r="A1076" s="94">
        <v>1126202</v>
      </c>
      <c r="B1076" s="95" t="s">
        <v>758</v>
      </c>
      <c r="C1076" s="95" t="s">
        <v>1685</v>
      </c>
      <c r="D1076" s="95" t="s">
        <v>1578</v>
      </c>
      <c r="E1076" s="95" t="s">
        <v>1578</v>
      </c>
      <c r="F1076" s="95" t="s">
        <v>997</v>
      </c>
      <c r="G1076" s="95" t="s">
        <v>1661</v>
      </c>
      <c r="H1076" s="94" t="s">
        <v>386</v>
      </c>
      <c r="I1076" s="95" t="s">
        <v>1662</v>
      </c>
      <c r="J1076" t="str">
        <f t="shared" si="34"/>
        <v>1126202 - Terreno Edificio Parque Urbano 1589 – Inversiones</v>
      </c>
      <c r="K1076" t="str">
        <f t="shared" si="35"/>
        <v>Terreno</v>
      </c>
    </row>
    <row r="1077" spans="1:11" x14ac:dyDescent="0.25">
      <c r="A1077" s="94">
        <v>259</v>
      </c>
      <c r="B1077" s="95" t="s">
        <v>997</v>
      </c>
      <c r="C1077" s="95" t="s">
        <v>1685</v>
      </c>
      <c r="D1077" s="95" t="s">
        <v>65</v>
      </c>
      <c r="E1077" s="95" t="s">
        <v>65</v>
      </c>
      <c r="F1077" s="95" t="s">
        <v>997</v>
      </c>
      <c r="G1077" s="95" t="s">
        <v>1663</v>
      </c>
      <c r="H1077" s="94" t="s">
        <v>1672</v>
      </c>
      <c r="I1077" s="95" t="s">
        <v>1664</v>
      </c>
      <c r="J1077" t="str">
        <f t="shared" si="34"/>
        <v>259 - Edificio Parque Urbano</v>
      </c>
      <c r="K1077" t="str">
        <f t="shared" si="35"/>
        <v>Obra</v>
      </c>
    </row>
    <row r="1078" spans="1:11" x14ac:dyDescent="0.25">
      <c r="A1078" s="94">
        <v>8259</v>
      </c>
      <c r="B1078" s="95" t="s">
        <v>542</v>
      </c>
      <c r="C1078" s="95" t="s">
        <v>1685</v>
      </c>
      <c r="D1078" s="95" t="s">
        <v>1686</v>
      </c>
      <c r="E1078" s="95" t="s">
        <v>1501</v>
      </c>
      <c r="F1078" s="95" t="s">
        <v>997</v>
      </c>
      <c r="G1078" s="95" t="s">
        <v>1661</v>
      </c>
      <c r="H1078" s="94" t="s">
        <v>386</v>
      </c>
      <c r="I1078" s="95" t="s">
        <v>1666</v>
      </c>
      <c r="J1078" t="str">
        <f t="shared" si="34"/>
        <v>8259 - Entrega Edificio Parque Urbano</v>
      </c>
      <c r="K1078" t="str">
        <f t="shared" si="35"/>
        <v>Entrega</v>
      </c>
    </row>
    <row r="1079" spans="1:11" x14ac:dyDescent="0.25">
      <c r="A1079" s="94">
        <v>9259</v>
      </c>
      <c r="B1079" s="95" t="s">
        <v>668</v>
      </c>
      <c r="C1079" s="95" t="s">
        <v>1685</v>
      </c>
      <c r="D1079" s="95" t="s">
        <v>66</v>
      </c>
      <c r="E1079" s="95" t="s">
        <v>328</v>
      </c>
      <c r="F1079" s="95" t="s">
        <v>997</v>
      </c>
      <c r="G1079" s="95" t="s">
        <v>1661</v>
      </c>
      <c r="H1079" s="94" t="s">
        <v>386</v>
      </c>
      <c r="I1079" s="95" t="s">
        <v>1666</v>
      </c>
      <c r="J1079" t="str">
        <f t="shared" si="34"/>
        <v>9259 - PV Edificio Parque Urbano</v>
      </c>
      <c r="K1079" t="str">
        <f t="shared" si="35"/>
        <v>Postventa</v>
      </c>
    </row>
    <row r="1080" spans="1:11" x14ac:dyDescent="0.25">
      <c r="A1080" s="94">
        <v>10216000</v>
      </c>
      <c r="B1080" s="95" t="s">
        <v>997</v>
      </c>
      <c r="C1080" s="95" t="s">
        <v>1685</v>
      </c>
      <c r="D1080" s="95" t="s">
        <v>1665</v>
      </c>
      <c r="E1080" s="95" t="s">
        <v>1585</v>
      </c>
      <c r="F1080" s="95" t="s">
        <v>997</v>
      </c>
      <c r="G1080" s="95" t="s">
        <v>1661</v>
      </c>
      <c r="H1080" s="94" t="s">
        <v>386</v>
      </c>
      <c r="I1080" s="95" t="s">
        <v>1666</v>
      </c>
      <c r="J1080" t="str">
        <f t="shared" si="34"/>
        <v>10216000 - Edificio Parque Urbano</v>
      </c>
      <c r="K1080" t="str">
        <f t="shared" si="35"/>
        <v>Proyectos Inmobiliarios</v>
      </c>
    </row>
    <row r="1081" spans="1:11" x14ac:dyDescent="0.25">
      <c r="A1081" s="94">
        <v>10216102</v>
      </c>
      <c r="B1081" s="95" t="s">
        <v>998</v>
      </c>
      <c r="C1081" s="95" t="s">
        <v>1685</v>
      </c>
      <c r="D1081" s="95" t="s">
        <v>1665</v>
      </c>
      <c r="E1081" s="95" t="s">
        <v>1617</v>
      </c>
      <c r="F1081" s="95" t="s">
        <v>997</v>
      </c>
      <c r="G1081" s="95" t="s">
        <v>1661</v>
      </c>
      <c r="H1081" s="94" t="s">
        <v>386</v>
      </c>
      <c r="I1081" s="95" t="s">
        <v>1666</v>
      </c>
      <c r="J1081" t="str">
        <f t="shared" si="34"/>
        <v>10216102 - Edificio Parque Urbano-Marketing</v>
      </c>
      <c r="K1081" t="str">
        <f t="shared" si="35"/>
        <v>Proyectos Inmobiliarios</v>
      </c>
    </row>
    <row r="1082" spans="1:11" x14ac:dyDescent="0.25">
      <c r="A1082" s="94">
        <v>10216103</v>
      </c>
      <c r="B1082" s="95" t="s">
        <v>999</v>
      </c>
      <c r="C1082" s="95" t="s">
        <v>1685</v>
      </c>
      <c r="D1082" s="95" t="s">
        <v>1665</v>
      </c>
      <c r="E1082" s="95" t="s">
        <v>1618</v>
      </c>
      <c r="F1082" s="95" t="s">
        <v>997</v>
      </c>
      <c r="G1082" s="95" t="s">
        <v>1661</v>
      </c>
      <c r="H1082" s="94" t="s">
        <v>386</v>
      </c>
      <c r="I1082" s="95" t="s">
        <v>1666</v>
      </c>
      <c r="J1082" t="str">
        <f t="shared" si="34"/>
        <v>10216103 - Edificio Parque Urbano-Operaciones</v>
      </c>
      <c r="K1082" t="str">
        <f t="shared" si="35"/>
        <v>Proyectos Inmobiliarios</v>
      </c>
    </row>
    <row r="1083" spans="1:11" x14ac:dyDescent="0.25">
      <c r="A1083" s="94">
        <v>10216104</v>
      </c>
      <c r="B1083" s="95" t="s">
        <v>1000</v>
      </c>
      <c r="C1083" s="95" t="s">
        <v>1685</v>
      </c>
      <c r="D1083" s="95" t="s">
        <v>1665</v>
      </c>
      <c r="E1083" s="95" t="s">
        <v>90</v>
      </c>
      <c r="F1083" s="95" t="s">
        <v>997</v>
      </c>
      <c r="G1083" s="95" t="s">
        <v>1661</v>
      </c>
      <c r="H1083" s="94" t="s">
        <v>386</v>
      </c>
      <c r="I1083" s="95" t="s">
        <v>1666</v>
      </c>
      <c r="J1083" t="str">
        <f t="shared" si="34"/>
        <v>10216104 - Edificio Parque Urbano-Ventas</v>
      </c>
      <c r="K1083" t="str">
        <f t="shared" si="35"/>
        <v>Proyectos Inmobiliarios</v>
      </c>
    </row>
    <row r="1084" spans="1:11" x14ac:dyDescent="0.25">
      <c r="A1084" s="94">
        <v>10216105</v>
      </c>
      <c r="B1084" s="95" t="s">
        <v>1001</v>
      </c>
      <c r="C1084" s="95" t="s">
        <v>1685</v>
      </c>
      <c r="D1084" s="95" t="s">
        <v>1665</v>
      </c>
      <c r="E1084" s="95" t="s">
        <v>1622</v>
      </c>
      <c r="F1084" s="95" t="s">
        <v>997</v>
      </c>
      <c r="G1084" s="95" t="s">
        <v>1661</v>
      </c>
      <c r="H1084" s="94" t="s">
        <v>386</v>
      </c>
      <c r="I1084" s="95" t="s">
        <v>1666</v>
      </c>
      <c r="J1084" t="str">
        <f t="shared" si="34"/>
        <v>10216105 - Edificio Parque Urbano-Clientes</v>
      </c>
      <c r="K1084" t="str">
        <f t="shared" si="35"/>
        <v>Proyectos Inmobiliarios</v>
      </c>
    </row>
    <row r="1085" spans="1:11" x14ac:dyDescent="0.25">
      <c r="A1085" s="94">
        <v>10216204</v>
      </c>
      <c r="B1085" s="95" t="s">
        <v>1002</v>
      </c>
      <c r="C1085" s="95" t="s">
        <v>1685</v>
      </c>
      <c r="D1085" s="95" t="s">
        <v>1665</v>
      </c>
      <c r="E1085" s="95" t="s">
        <v>1624</v>
      </c>
      <c r="F1085" s="95" t="s">
        <v>997</v>
      </c>
      <c r="G1085" s="95" t="s">
        <v>1661</v>
      </c>
      <c r="H1085" s="94" t="s">
        <v>386</v>
      </c>
      <c r="I1085" s="95" t="s">
        <v>1666</v>
      </c>
      <c r="J1085" t="str">
        <f t="shared" si="34"/>
        <v>10216204 - Edificio Parque Urbano-Proyecto</v>
      </c>
      <c r="K1085" t="str">
        <f t="shared" si="35"/>
        <v>Proyectos Inmobiliarios</v>
      </c>
    </row>
    <row r="1086" spans="1:11" x14ac:dyDescent="0.25">
      <c r="A1086" s="94">
        <v>10216301</v>
      </c>
      <c r="B1086" s="95" t="s">
        <v>1003</v>
      </c>
      <c r="C1086" s="95" t="s">
        <v>1685</v>
      </c>
      <c r="D1086" s="95" t="s">
        <v>1665</v>
      </c>
      <c r="E1086" s="95" t="s">
        <v>1643</v>
      </c>
      <c r="F1086" s="95" t="s">
        <v>997</v>
      </c>
      <c r="G1086" s="95" t="s">
        <v>1667</v>
      </c>
      <c r="H1086" s="94" t="s">
        <v>386</v>
      </c>
      <c r="I1086" s="95" t="s">
        <v>1666</v>
      </c>
      <c r="J1086" t="str">
        <f t="shared" si="34"/>
        <v>10216301 - Edificio Parque Urbano-GAF</v>
      </c>
      <c r="K1086" t="str">
        <f t="shared" si="35"/>
        <v>Proyectos Inmobiliarios</v>
      </c>
    </row>
    <row r="1087" spans="1:11" x14ac:dyDescent="0.25">
      <c r="A1087" s="94">
        <v>10216505</v>
      </c>
      <c r="B1087" s="95" t="s">
        <v>1004</v>
      </c>
      <c r="C1087" s="95" t="s">
        <v>1685</v>
      </c>
      <c r="D1087" s="95" t="s">
        <v>66</v>
      </c>
      <c r="E1087" s="95" t="s">
        <v>328</v>
      </c>
      <c r="F1087" s="95" t="s">
        <v>997</v>
      </c>
      <c r="G1087" s="95" t="s">
        <v>1661</v>
      </c>
      <c r="H1087" s="94" t="s">
        <v>386</v>
      </c>
      <c r="I1087" s="95" t="s">
        <v>1666</v>
      </c>
      <c r="J1087" t="str">
        <f t="shared" si="34"/>
        <v>10216505 - Edificio Parque Urbano-PV Inmob.</v>
      </c>
      <c r="K1087" t="str">
        <f t="shared" si="35"/>
        <v>Postventa</v>
      </c>
    </row>
    <row r="1088" spans="1:11" x14ac:dyDescent="0.25">
      <c r="A1088" s="94">
        <v>10216506</v>
      </c>
      <c r="B1088" s="95" t="s">
        <v>1005</v>
      </c>
      <c r="C1088" s="95" t="s">
        <v>1685</v>
      </c>
      <c r="D1088" s="95" t="s">
        <v>1665</v>
      </c>
      <c r="E1088" s="95" t="s">
        <v>200</v>
      </c>
      <c r="F1088" s="95" t="s">
        <v>997</v>
      </c>
      <c r="G1088" s="95" t="s">
        <v>1661</v>
      </c>
      <c r="H1088" s="94" t="s">
        <v>386</v>
      </c>
      <c r="I1088" s="95" t="s">
        <v>1666</v>
      </c>
      <c r="J1088" t="str">
        <f t="shared" si="34"/>
        <v>10216506 - Edificio Parque Urbano-Depto.Técnico</v>
      </c>
      <c r="K1088" t="str">
        <f t="shared" si="35"/>
        <v>Proyectos Inmobiliarios</v>
      </c>
    </row>
    <row r="1089" spans="1:11" x14ac:dyDescent="0.25">
      <c r="A1089" s="70">
        <v>1138202</v>
      </c>
      <c r="B1089" s="71" t="s">
        <v>765</v>
      </c>
      <c r="C1089" s="71" t="s">
        <v>1670</v>
      </c>
      <c r="D1089" s="71" t="s">
        <v>1578</v>
      </c>
      <c r="E1089" s="71" t="s">
        <v>1578</v>
      </c>
      <c r="F1089" s="71" t="s">
        <v>1361</v>
      </c>
      <c r="G1089" s="71" t="s">
        <v>1661</v>
      </c>
      <c r="H1089" s="70" t="s">
        <v>386</v>
      </c>
      <c r="I1089" s="71" t="s">
        <v>1662</v>
      </c>
      <c r="J1089" t="str">
        <f t="shared" si="34"/>
        <v>1138202 - Terreno Pedro de la Barra - Inversiones</v>
      </c>
      <c r="K1089" t="str">
        <f t="shared" si="35"/>
        <v>Terreno</v>
      </c>
    </row>
    <row r="1090" spans="1:11" x14ac:dyDescent="0.25">
      <c r="A1090" s="70">
        <v>362</v>
      </c>
      <c r="B1090" s="71" t="s">
        <v>1361</v>
      </c>
      <c r="C1090" s="71" t="s">
        <v>1670</v>
      </c>
      <c r="D1090" s="71" t="s">
        <v>65</v>
      </c>
      <c r="E1090" s="71" t="s">
        <v>65</v>
      </c>
      <c r="F1090" s="71" t="s">
        <v>1361</v>
      </c>
      <c r="G1090" s="71" t="s">
        <v>1663</v>
      </c>
      <c r="H1090" s="70" t="s">
        <v>1672</v>
      </c>
      <c r="I1090" s="71" t="s">
        <v>1664</v>
      </c>
      <c r="J1090" t="str">
        <f t="shared" si="34"/>
        <v>362 - Edificio Pedro de la Barra</v>
      </c>
      <c r="K1090" t="str">
        <f t="shared" si="35"/>
        <v>Obra</v>
      </c>
    </row>
    <row r="1091" spans="1:11" x14ac:dyDescent="0.25">
      <c r="A1091" s="70">
        <v>367</v>
      </c>
      <c r="B1091" s="71" t="s">
        <v>498</v>
      </c>
      <c r="C1091" s="71" t="s">
        <v>1670</v>
      </c>
      <c r="D1091" s="71" t="s">
        <v>65</v>
      </c>
      <c r="E1091" s="71" t="s">
        <v>65</v>
      </c>
      <c r="F1091" s="71" t="s">
        <v>1361</v>
      </c>
      <c r="G1091" s="71" t="s">
        <v>1663</v>
      </c>
      <c r="H1091" s="70" t="s">
        <v>386</v>
      </c>
      <c r="I1091" s="71" t="s">
        <v>1664</v>
      </c>
      <c r="J1091" t="str">
        <f t="shared" si="34"/>
        <v>367 - Edificio Pedro de la Barra Ltda</v>
      </c>
      <c r="K1091" t="str">
        <f t="shared" si="35"/>
        <v>Obra</v>
      </c>
    </row>
    <row r="1092" spans="1:11" x14ac:dyDescent="0.25">
      <c r="A1092" s="70">
        <v>10300000</v>
      </c>
      <c r="B1092" s="71" t="s">
        <v>1361</v>
      </c>
      <c r="C1092" s="71" t="s">
        <v>1670</v>
      </c>
      <c r="D1092" s="71" t="s">
        <v>1665</v>
      </c>
      <c r="E1092" s="71" t="s">
        <v>1585</v>
      </c>
      <c r="F1092" s="71" t="s">
        <v>1361</v>
      </c>
      <c r="G1092" s="71" t="s">
        <v>1661</v>
      </c>
      <c r="H1092" s="70" t="s">
        <v>386</v>
      </c>
      <c r="I1092" s="71" t="s">
        <v>1666</v>
      </c>
      <c r="J1092" t="str">
        <f t="shared" ref="J1092:J1155" si="36">+A1092&amp;" - "&amp;B1092</f>
        <v>10300000 - Edificio Pedro de la Barra</v>
      </c>
      <c r="K1092" t="str">
        <f t="shared" ref="K1092:K1155" si="37">+D1092</f>
        <v>Proyectos Inmobiliarios</v>
      </c>
    </row>
    <row r="1093" spans="1:11" x14ac:dyDescent="0.25">
      <c r="A1093" s="70">
        <v>10300102</v>
      </c>
      <c r="B1093" s="71" t="s">
        <v>1362</v>
      </c>
      <c r="C1093" s="71" t="s">
        <v>1670</v>
      </c>
      <c r="D1093" s="71" t="s">
        <v>1665</v>
      </c>
      <c r="E1093" s="71" t="s">
        <v>1617</v>
      </c>
      <c r="F1093" s="71" t="s">
        <v>1361</v>
      </c>
      <c r="G1093" s="71" t="s">
        <v>1661</v>
      </c>
      <c r="H1093" s="70" t="s">
        <v>386</v>
      </c>
      <c r="I1093" s="71" t="s">
        <v>1666</v>
      </c>
      <c r="J1093" t="str">
        <f t="shared" si="36"/>
        <v>10300102 - Edificio Pedro de la Barra-Marketing</v>
      </c>
      <c r="K1093" t="str">
        <f t="shared" si="37"/>
        <v>Proyectos Inmobiliarios</v>
      </c>
    </row>
    <row r="1094" spans="1:11" x14ac:dyDescent="0.25">
      <c r="A1094" s="70">
        <v>10300103</v>
      </c>
      <c r="B1094" s="71" t="s">
        <v>1363</v>
      </c>
      <c r="C1094" s="71" t="s">
        <v>1670</v>
      </c>
      <c r="D1094" s="71" t="s">
        <v>1665</v>
      </c>
      <c r="E1094" s="71" t="s">
        <v>1618</v>
      </c>
      <c r="F1094" s="71" t="s">
        <v>1361</v>
      </c>
      <c r="G1094" s="71" t="s">
        <v>1661</v>
      </c>
      <c r="H1094" s="70" t="s">
        <v>386</v>
      </c>
      <c r="I1094" s="71" t="s">
        <v>1666</v>
      </c>
      <c r="J1094" t="str">
        <f t="shared" si="36"/>
        <v>10300103 - Edificio Pedro de la Barra-Operaciones</v>
      </c>
      <c r="K1094" t="str">
        <f t="shared" si="37"/>
        <v>Proyectos Inmobiliarios</v>
      </c>
    </row>
    <row r="1095" spans="1:11" x14ac:dyDescent="0.25">
      <c r="A1095" s="70">
        <v>10300104</v>
      </c>
      <c r="B1095" s="71" t="s">
        <v>1364</v>
      </c>
      <c r="C1095" s="71" t="s">
        <v>1670</v>
      </c>
      <c r="D1095" s="71" t="s">
        <v>1665</v>
      </c>
      <c r="E1095" s="71" t="s">
        <v>90</v>
      </c>
      <c r="F1095" s="71" t="s">
        <v>1361</v>
      </c>
      <c r="G1095" s="71" t="s">
        <v>1661</v>
      </c>
      <c r="H1095" s="70" t="s">
        <v>386</v>
      </c>
      <c r="I1095" s="71" t="s">
        <v>1666</v>
      </c>
      <c r="J1095" t="str">
        <f t="shared" si="36"/>
        <v>10300104 - Edificio Pedro de la Barra-Ventas</v>
      </c>
      <c r="K1095" t="str">
        <f t="shared" si="37"/>
        <v>Proyectos Inmobiliarios</v>
      </c>
    </row>
    <row r="1096" spans="1:11" x14ac:dyDescent="0.25">
      <c r="A1096" s="70">
        <v>10300105</v>
      </c>
      <c r="B1096" s="71" t="s">
        <v>1365</v>
      </c>
      <c r="C1096" s="71" t="s">
        <v>1670</v>
      </c>
      <c r="D1096" s="71" t="s">
        <v>1665</v>
      </c>
      <c r="E1096" s="71" t="s">
        <v>1622</v>
      </c>
      <c r="F1096" s="71" t="s">
        <v>1361</v>
      </c>
      <c r="G1096" s="71" t="s">
        <v>1661</v>
      </c>
      <c r="H1096" s="70" t="s">
        <v>386</v>
      </c>
      <c r="I1096" s="71" t="s">
        <v>1666</v>
      </c>
      <c r="J1096" t="str">
        <f t="shared" si="36"/>
        <v>10300105 - Edificio Pedro de la Barra-Clientes</v>
      </c>
      <c r="K1096" t="str">
        <f t="shared" si="37"/>
        <v>Proyectos Inmobiliarios</v>
      </c>
    </row>
    <row r="1097" spans="1:11" x14ac:dyDescent="0.25">
      <c r="A1097" s="70">
        <v>10300204</v>
      </c>
      <c r="B1097" s="71" t="s">
        <v>1366</v>
      </c>
      <c r="C1097" s="71" t="s">
        <v>1670</v>
      </c>
      <c r="D1097" s="71" t="s">
        <v>1665</v>
      </c>
      <c r="E1097" s="71" t="s">
        <v>1624</v>
      </c>
      <c r="F1097" s="71" t="s">
        <v>1361</v>
      </c>
      <c r="G1097" s="71" t="s">
        <v>1661</v>
      </c>
      <c r="H1097" s="70" t="s">
        <v>386</v>
      </c>
      <c r="I1097" s="71" t="s">
        <v>1666</v>
      </c>
      <c r="J1097" t="str">
        <f t="shared" si="36"/>
        <v>10300204 - Edificio Pedro de la Barra-Proyecto</v>
      </c>
      <c r="K1097" t="str">
        <f t="shared" si="37"/>
        <v>Proyectos Inmobiliarios</v>
      </c>
    </row>
    <row r="1098" spans="1:11" x14ac:dyDescent="0.25">
      <c r="A1098" s="70">
        <v>10300301</v>
      </c>
      <c r="B1098" s="71" t="s">
        <v>1367</v>
      </c>
      <c r="C1098" s="71" t="s">
        <v>1670</v>
      </c>
      <c r="D1098" s="71" t="s">
        <v>1665</v>
      </c>
      <c r="E1098" s="71" t="s">
        <v>1643</v>
      </c>
      <c r="F1098" s="71" t="s">
        <v>1361</v>
      </c>
      <c r="G1098" s="71" t="s">
        <v>1667</v>
      </c>
      <c r="H1098" s="70" t="s">
        <v>386</v>
      </c>
      <c r="I1098" s="71" t="s">
        <v>1666</v>
      </c>
      <c r="J1098" t="str">
        <f t="shared" si="36"/>
        <v>10300301 - Edificio Pedro de la Barra-GAF</v>
      </c>
      <c r="K1098" t="str">
        <f t="shared" si="37"/>
        <v>Proyectos Inmobiliarios</v>
      </c>
    </row>
    <row r="1099" spans="1:11" x14ac:dyDescent="0.25">
      <c r="A1099" s="70">
        <v>10300505</v>
      </c>
      <c r="B1099" s="71" t="s">
        <v>1368</v>
      </c>
      <c r="C1099" s="71" t="s">
        <v>1670</v>
      </c>
      <c r="D1099" s="71" t="s">
        <v>66</v>
      </c>
      <c r="E1099" s="71" t="s">
        <v>328</v>
      </c>
      <c r="F1099" s="71" t="s">
        <v>1361</v>
      </c>
      <c r="G1099" s="71" t="s">
        <v>1661</v>
      </c>
      <c r="H1099" s="70" t="s">
        <v>386</v>
      </c>
      <c r="I1099" s="71" t="s">
        <v>1666</v>
      </c>
      <c r="J1099" t="str">
        <f t="shared" si="36"/>
        <v>10300505 - Edificio Pedro de la Barra-PV Inmob.</v>
      </c>
      <c r="K1099" t="str">
        <f t="shared" si="37"/>
        <v>Postventa</v>
      </c>
    </row>
    <row r="1100" spans="1:11" x14ac:dyDescent="0.25">
      <c r="A1100" s="70">
        <v>10300506</v>
      </c>
      <c r="B1100" s="71" t="s">
        <v>1369</v>
      </c>
      <c r="C1100" s="71" t="s">
        <v>1670</v>
      </c>
      <c r="D1100" s="71" t="s">
        <v>1665</v>
      </c>
      <c r="E1100" s="71" t="s">
        <v>200</v>
      </c>
      <c r="F1100" s="71" t="s">
        <v>1361</v>
      </c>
      <c r="G1100" s="71" t="s">
        <v>1661</v>
      </c>
      <c r="H1100" s="70" t="s">
        <v>386</v>
      </c>
      <c r="I1100" s="71" t="s">
        <v>1666</v>
      </c>
      <c r="J1100" t="str">
        <f t="shared" si="36"/>
        <v>10300506 - Edificio Pedro de la Barra-Depto.Técnico</v>
      </c>
      <c r="K1100" t="str">
        <f t="shared" si="37"/>
        <v>Proyectos Inmobiliarios</v>
      </c>
    </row>
    <row r="1101" spans="1:11" x14ac:dyDescent="0.25">
      <c r="A1101" s="70">
        <v>8300</v>
      </c>
      <c r="B1101" s="71" t="s">
        <v>2072</v>
      </c>
      <c r="C1101" s="71" t="s">
        <v>1670</v>
      </c>
      <c r="D1101" s="71" t="s">
        <v>1686</v>
      </c>
      <c r="E1101" s="71" t="s">
        <v>1501</v>
      </c>
      <c r="F1101" s="71" t="s">
        <v>1361</v>
      </c>
      <c r="G1101" s="71" t="s">
        <v>1661</v>
      </c>
      <c r="H1101" s="70" t="s">
        <v>1672</v>
      </c>
      <c r="I1101" s="71" t="s">
        <v>1666</v>
      </c>
      <c r="J1101" t="str">
        <f t="shared" si="36"/>
        <v>8300 - Entrega Edificio Pedro de la Barra</v>
      </c>
      <c r="K1101" t="str">
        <f t="shared" si="37"/>
        <v>Entrega</v>
      </c>
    </row>
    <row r="1102" spans="1:11" x14ac:dyDescent="0.25">
      <c r="A1102" s="70">
        <v>9300</v>
      </c>
      <c r="B1102" s="71" t="s">
        <v>2073</v>
      </c>
      <c r="C1102" s="71" t="s">
        <v>1670</v>
      </c>
      <c r="D1102" s="71" t="s">
        <v>66</v>
      </c>
      <c r="E1102" s="71" t="s">
        <v>328</v>
      </c>
      <c r="F1102" s="71" t="s">
        <v>1361</v>
      </c>
      <c r="G1102" s="71" t="s">
        <v>1661</v>
      </c>
      <c r="H1102" s="70" t="s">
        <v>1672</v>
      </c>
      <c r="I1102" s="71" t="s">
        <v>1666</v>
      </c>
      <c r="J1102" t="str">
        <f t="shared" si="36"/>
        <v>9300 - PV Edificio Pedro de la Barra</v>
      </c>
      <c r="K1102" t="str">
        <f t="shared" si="37"/>
        <v>Postventa</v>
      </c>
    </row>
    <row r="1103" spans="1:11" x14ac:dyDescent="0.25">
      <c r="A1103" s="68">
        <v>1107202</v>
      </c>
      <c r="B1103" s="69" t="s">
        <v>746</v>
      </c>
      <c r="C1103" s="69" t="s">
        <v>1660</v>
      </c>
      <c r="D1103" s="69" t="s">
        <v>1578</v>
      </c>
      <c r="E1103" s="69" t="s">
        <v>1578</v>
      </c>
      <c r="F1103" s="69" t="s">
        <v>1135</v>
      </c>
      <c r="G1103" s="69" t="s">
        <v>1661</v>
      </c>
      <c r="H1103" s="68" t="s">
        <v>386</v>
      </c>
      <c r="I1103" s="69" t="s">
        <v>1662</v>
      </c>
      <c r="J1103" t="str">
        <f t="shared" si="36"/>
        <v>1107202 - Terreno Pedro Prado– Inversiones</v>
      </c>
      <c r="K1103" t="str">
        <f t="shared" si="37"/>
        <v>Terreno</v>
      </c>
    </row>
    <row r="1104" spans="1:11" x14ac:dyDescent="0.25">
      <c r="A1104" s="68">
        <v>236</v>
      </c>
      <c r="B1104" s="69" t="s">
        <v>1135</v>
      </c>
      <c r="C1104" s="69" t="s">
        <v>1660</v>
      </c>
      <c r="D1104" s="69" t="s">
        <v>65</v>
      </c>
      <c r="E1104" s="69" t="s">
        <v>65</v>
      </c>
      <c r="F1104" s="69" t="s">
        <v>1135</v>
      </c>
      <c r="G1104" s="69" t="s">
        <v>1663</v>
      </c>
      <c r="H1104" s="68" t="s">
        <v>1672</v>
      </c>
      <c r="I1104" s="69" t="s">
        <v>1664</v>
      </c>
      <c r="J1104" t="str">
        <f t="shared" si="36"/>
        <v>236 - Edificio Pedro Prado</v>
      </c>
      <c r="K1104" t="str">
        <f t="shared" si="37"/>
        <v>Obra</v>
      </c>
    </row>
    <row r="1105" spans="1:11" x14ac:dyDescent="0.25">
      <c r="A1105" s="68">
        <v>8236</v>
      </c>
      <c r="B1105" s="69" t="s">
        <v>528</v>
      </c>
      <c r="C1105" s="69" t="s">
        <v>1660</v>
      </c>
      <c r="D1105" s="69" t="s">
        <v>1686</v>
      </c>
      <c r="E1105" s="69" t="s">
        <v>1501</v>
      </c>
      <c r="F1105" s="69" t="s">
        <v>1135</v>
      </c>
      <c r="G1105" s="69" t="s">
        <v>1661</v>
      </c>
      <c r="H1105" s="68" t="s">
        <v>386</v>
      </c>
      <c r="I1105" s="69" t="s">
        <v>1666</v>
      </c>
      <c r="J1105" t="str">
        <f t="shared" si="36"/>
        <v>8236 - Entrega Edificio Pedro Prado</v>
      </c>
      <c r="K1105" t="str">
        <f t="shared" si="37"/>
        <v>Entrega</v>
      </c>
    </row>
    <row r="1106" spans="1:11" x14ac:dyDescent="0.25">
      <c r="A1106" s="68">
        <v>9236</v>
      </c>
      <c r="B1106" s="69" t="s">
        <v>654</v>
      </c>
      <c r="C1106" s="69" t="s">
        <v>1660</v>
      </c>
      <c r="D1106" s="69" t="s">
        <v>66</v>
      </c>
      <c r="E1106" s="69" t="s">
        <v>328</v>
      </c>
      <c r="F1106" s="69" t="s">
        <v>1135</v>
      </c>
      <c r="G1106" s="69" t="s">
        <v>1661</v>
      </c>
      <c r="H1106" s="68" t="s">
        <v>386</v>
      </c>
      <c r="I1106" s="69" t="s">
        <v>1666</v>
      </c>
      <c r="J1106" t="str">
        <f t="shared" si="36"/>
        <v>9236 - PV Edificio Pedro Prado</v>
      </c>
      <c r="K1106" t="str">
        <f t="shared" si="37"/>
        <v>Postventa</v>
      </c>
    </row>
    <row r="1107" spans="1:11" x14ac:dyDescent="0.25">
      <c r="A1107" s="68">
        <v>10236000</v>
      </c>
      <c r="B1107" s="69" t="s">
        <v>1135</v>
      </c>
      <c r="C1107" s="69" t="s">
        <v>1660</v>
      </c>
      <c r="D1107" s="69" t="s">
        <v>1665</v>
      </c>
      <c r="E1107" s="69" t="s">
        <v>1585</v>
      </c>
      <c r="F1107" s="69" t="s">
        <v>1135</v>
      </c>
      <c r="G1107" s="69" t="s">
        <v>1661</v>
      </c>
      <c r="H1107" s="68" t="s">
        <v>386</v>
      </c>
      <c r="I1107" s="69" t="s">
        <v>1666</v>
      </c>
      <c r="J1107" t="str">
        <f t="shared" si="36"/>
        <v>10236000 - Edificio Pedro Prado</v>
      </c>
      <c r="K1107" t="str">
        <f t="shared" si="37"/>
        <v>Proyectos Inmobiliarios</v>
      </c>
    </row>
    <row r="1108" spans="1:11" x14ac:dyDescent="0.25">
      <c r="A1108" s="68">
        <v>10236102</v>
      </c>
      <c r="B1108" s="69" t="s">
        <v>1136</v>
      </c>
      <c r="C1108" s="69" t="s">
        <v>1660</v>
      </c>
      <c r="D1108" s="69" t="s">
        <v>1665</v>
      </c>
      <c r="E1108" s="69" t="s">
        <v>1617</v>
      </c>
      <c r="F1108" s="69" t="s">
        <v>1135</v>
      </c>
      <c r="G1108" s="69" t="s">
        <v>1661</v>
      </c>
      <c r="H1108" s="68" t="s">
        <v>386</v>
      </c>
      <c r="I1108" s="69" t="s">
        <v>1666</v>
      </c>
      <c r="J1108" t="str">
        <f t="shared" si="36"/>
        <v>10236102 - Edificio Pedro Prado-MARKETING</v>
      </c>
      <c r="K1108" t="str">
        <f t="shared" si="37"/>
        <v>Proyectos Inmobiliarios</v>
      </c>
    </row>
    <row r="1109" spans="1:11" x14ac:dyDescent="0.25">
      <c r="A1109" s="68">
        <v>10236103</v>
      </c>
      <c r="B1109" s="69" t="s">
        <v>1137</v>
      </c>
      <c r="C1109" s="69" t="s">
        <v>1660</v>
      </c>
      <c r="D1109" s="69" t="s">
        <v>1665</v>
      </c>
      <c r="E1109" s="69" t="s">
        <v>1618</v>
      </c>
      <c r="F1109" s="69" t="s">
        <v>1135</v>
      </c>
      <c r="G1109" s="69" t="s">
        <v>1661</v>
      </c>
      <c r="H1109" s="68" t="s">
        <v>386</v>
      </c>
      <c r="I1109" s="69" t="s">
        <v>1666</v>
      </c>
      <c r="J1109" t="str">
        <f t="shared" si="36"/>
        <v>10236103 - Edificio Pedro Prado-OPERACIONES</v>
      </c>
      <c r="K1109" t="str">
        <f t="shared" si="37"/>
        <v>Proyectos Inmobiliarios</v>
      </c>
    </row>
    <row r="1110" spans="1:11" x14ac:dyDescent="0.25">
      <c r="A1110" s="68">
        <v>10236104</v>
      </c>
      <c r="B1110" s="69" t="s">
        <v>1138</v>
      </c>
      <c r="C1110" s="69" t="s">
        <v>1660</v>
      </c>
      <c r="D1110" s="69" t="s">
        <v>1665</v>
      </c>
      <c r="E1110" s="69" t="s">
        <v>90</v>
      </c>
      <c r="F1110" s="69" t="s">
        <v>1135</v>
      </c>
      <c r="G1110" s="69" t="s">
        <v>1661</v>
      </c>
      <c r="H1110" s="68" t="s">
        <v>386</v>
      </c>
      <c r="I1110" s="69" t="s">
        <v>1666</v>
      </c>
      <c r="J1110" t="str">
        <f t="shared" si="36"/>
        <v>10236104 - Edificio Pedro Prado-VENTAS</v>
      </c>
      <c r="K1110" t="str">
        <f t="shared" si="37"/>
        <v>Proyectos Inmobiliarios</v>
      </c>
    </row>
    <row r="1111" spans="1:11" x14ac:dyDescent="0.25">
      <c r="A1111" s="68">
        <v>10236105</v>
      </c>
      <c r="B1111" s="69" t="s">
        <v>1139</v>
      </c>
      <c r="C1111" s="69" t="s">
        <v>1660</v>
      </c>
      <c r="D1111" s="69" t="s">
        <v>1665</v>
      </c>
      <c r="E1111" s="69" t="s">
        <v>1622</v>
      </c>
      <c r="F1111" s="69" t="s">
        <v>1135</v>
      </c>
      <c r="G1111" s="69" t="s">
        <v>1661</v>
      </c>
      <c r="H1111" s="68" t="s">
        <v>386</v>
      </c>
      <c r="I1111" s="69" t="s">
        <v>1666</v>
      </c>
      <c r="J1111" t="str">
        <f t="shared" si="36"/>
        <v>10236105 - Edificio Pedro Prado-CLIENTES</v>
      </c>
      <c r="K1111" t="str">
        <f t="shared" si="37"/>
        <v>Proyectos Inmobiliarios</v>
      </c>
    </row>
    <row r="1112" spans="1:11" x14ac:dyDescent="0.25">
      <c r="A1112" s="68">
        <v>10236204</v>
      </c>
      <c r="B1112" s="69" t="s">
        <v>1140</v>
      </c>
      <c r="C1112" s="69" t="s">
        <v>1660</v>
      </c>
      <c r="D1112" s="69" t="s">
        <v>1665</v>
      </c>
      <c r="E1112" s="69" t="s">
        <v>1624</v>
      </c>
      <c r="F1112" s="69" t="s">
        <v>1135</v>
      </c>
      <c r="G1112" s="69" t="s">
        <v>1661</v>
      </c>
      <c r="H1112" s="68" t="s">
        <v>386</v>
      </c>
      <c r="I1112" s="69" t="s">
        <v>1666</v>
      </c>
      <c r="J1112" t="str">
        <f t="shared" si="36"/>
        <v>10236204 - Edificio Pedro Prado-Proyecto</v>
      </c>
      <c r="K1112" t="str">
        <f t="shared" si="37"/>
        <v>Proyectos Inmobiliarios</v>
      </c>
    </row>
    <row r="1113" spans="1:11" x14ac:dyDescent="0.25">
      <c r="A1113" s="68">
        <v>10236301</v>
      </c>
      <c r="B1113" s="69" t="s">
        <v>1141</v>
      </c>
      <c r="C1113" s="69" t="s">
        <v>1660</v>
      </c>
      <c r="D1113" s="69" t="s">
        <v>1665</v>
      </c>
      <c r="E1113" s="69" t="s">
        <v>1643</v>
      </c>
      <c r="F1113" s="69" t="s">
        <v>1135</v>
      </c>
      <c r="G1113" s="69" t="s">
        <v>1667</v>
      </c>
      <c r="H1113" s="68" t="s">
        <v>386</v>
      </c>
      <c r="I1113" s="69" t="s">
        <v>1666</v>
      </c>
      <c r="J1113" t="str">
        <f t="shared" si="36"/>
        <v>10236301 - Edificio Pedro Prado-GAF</v>
      </c>
      <c r="K1113" t="str">
        <f t="shared" si="37"/>
        <v>Proyectos Inmobiliarios</v>
      </c>
    </row>
    <row r="1114" spans="1:11" x14ac:dyDescent="0.25">
      <c r="A1114" s="68">
        <v>10236505</v>
      </c>
      <c r="B1114" s="69" t="s">
        <v>1142</v>
      </c>
      <c r="C1114" s="69" t="s">
        <v>1660</v>
      </c>
      <c r="D1114" s="69" t="s">
        <v>66</v>
      </c>
      <c r="E1114" s="69" t="s">
        <v>328</v>
      </c>
      <c r="F1114" s="69" t="s">
        <v>1135</v>
      </c>
      <c r="G1114" s="69" t="s">
        <v>1661</v>
      </c>
      <c r="H1114" s="68" t="s">
        <v>386</v>
      </c>
      <c r="I1114" s="69" t="s">
        <v>1666</v>
      </c>
      <c r="J1114" t="str">
        <f t="shared" si="36"/>
        <v>10236505 - Edificio Pedro Prado-PV INMOB.</v>
      </c>
      <c r="K1114" t="str">
        <f t="shared" si="37"/>
        <v>Postventa</v>
      </c>
    </row>
    <row r="1115" spans="1:11" x14ac:dyDescent="0.25">
      <c r="A1115" s="68">
        <v>10236506</v>
      </c>
      <c r="B1115" s="69" t="s">
        <v>1143</v>
      </c>
      <c r="C1115" s="69" t="s">
        <v>1660</v>
      </c>
      <c r="D1115" s="69" t="s">
        <v>1665</v>
      </c>
      <c r="E1115" s="69" t="s">
        <v>200</v>
      </c>
      <c r="F1115" s="69" t="s">
        <v>1135</v>
      </c>
      <c r="G1115" s="69" t="s">
        <v>1661</v>
      </c>
      <c r="H1115" s="68" t="s">
        <v>386</v>
      </c>
      <c r="I1115" s="69" t="s">
        <v>1666</v>
      </c>
      <c r="J1115" t="str">
        <f t="shared" si="36"/>
        <v>10236506 - Edificio Pedro Prado-DEPTO.TÉCNICO</v>
      </c>
      <c r="K1115" t="str">
        <f t="shared" si="37"/>
        <v>Proyectos Inmobiliarios</v>
      </c>
    </row>
    <row r="1116" spans="1:11" x14ac:dyDescent="0.25">
      <c r="A1116" s="54">
        <v>999999999</v>
      </c>
      <c r="B1116" s="55" t="s">
        <v>1684</v>
      </c>
      <c r="C1116" s="55"/>
      <c r="D1116" s="55" t="s">
        <v>1578</v>
      </c>
      <c r="E1116" s="55" t="s">
        <v>1578</v>
      </c>
      <c r="F1116" s="55" t="s">
        <v>2074</v>
      </c>
      <c r="G1116" s="55" t="s">
        <v>1661</v>
      </c>
      <c r="H1116" s="54" t="s">
        <v>1672</v>
      </c>
      <c r="I1116" s="55" t="s">
        <v>1662</v>
      </c>
      <c r="J1116" t="str">
        <f t="shared" si="36"/>
        <v>999999999 - Terreno Abuelo Proyectos sin Terreno</v>
      </c>
      <c r="K1116" t="str">
        <f t="shared" si="37"/>
        <v>Terreno</v>
      </c>
    </row>
    <row r="1117" spans="1:11" x14ac:dyDescent="0.25">
      <c r="A1117" s="54">
        <v>2</v>
      </c>
      <c r="B1117" s="55" t="s">
        <v>2074</v>
      </c>
      <c r="C1117" s="55" t="s">
        <v>1685</v>
      </c>
      <c r="D1117" s="55" t="s">
        <v>65</v>
      </c>
      <c r="E1117" s="55" t="s">
        <v>65</v>
      </c>
      <c r="F1117" s="55" t="s">
        <v>2074</v>
      </c>
      <c r="G1117" s="55" t="s">
        <v>1663</v>
      </c>
      <c r="H1117" s="54" t="s">
        <v>1672</v>
      </c>
      <c r="I1117" s="55" t="s">
        <v>1664</v>
      </c>
      <c r="J1117" t="str">
        <f t="shared" si="36"/>
        <v>2 - Edificio Placeres I</v>
      </c>
      <c r="K1117" t="str">
        <f t="shared" si="37"/>
        <v>Obra</v>
      </c>
    </row>
    <row r="1118" spans="1:11" x14ac:dyDescent="0.25">
      <c r="A1118" s="54">
        <v>9002</v>
      </c>
      <c r="B1118" s="55" t="s">
        <v>554</v>
      </c>
      <c r="C1118" s="55" t="s">
        <v>1685</v>
      </c>
      <c r="D1118" s="55" t="s">
        <v>66</v>
      </c>
      <c r="E1118" s="55" t="s">
        <v>328</v>
      </c>
      <c r="F1118" s="55" t="s">
        <v>2074</v>
      </c>
      <c r="G1118" s="55" t="s">
        <v>1661</v>
      </c>
      <c r="H1118" s="54" t="s">
        <v>386</v>
      </c>
      <c r="I1118" s="55" t="s">
        <v>1666</v>
      </c>
      <c r="J1118" t="str">
        <f t="shared" si="36"/>
        <v>9002 - PV Placeres I</v>
      </c>
      <c r="K1118" t="str">
        <f t="shared" si="37"/>
        <v>Postventa</v>
      </c>
    </row>
    <row r="1119" spans="1:11" x14ac:dyDescent="0.25">
      <c r="A1119" s="56">
        <v>999999999</v>
      </c>
      <c r="B1119" s="57" t="s">
        <v>1684</v>
      </c>
      <c r="C1119" s="57"/>
      <c r="D1119" s="57" t="s">
        <v>1578</v>
      </c>
      <c r="E1119" s="57" t="s">
        <v>1578</v>
      </c>
      <c r="F1119" s="57" t="s">
        <v>2075</v>
      </c>
      <c r="G1119" s="57" t="s">
        <v>1661</v>
      </c>
      <c r="H1119" s="56" t="s">
        <v>1672</v>
      </c>
      <c r="I1119" s="57" t="s">
        <v>1662</v>
      </c>
      <c r="J1119" t="str">
        <f t="shared" si="36"/>
        <v>999999999 - Terreno Abuelo Proyectos sin Terreno</v>
      </c>
      <c r="K1119" t="str">
        <f t="shared" si="37"/>
        <v>Terreno</v>
      </c>
    </row>
    <row r="1120" spans="1:11" x14ac:dyDescent="0.25">
      <c r="A1120" s="56">
        <v>3</v>
      </c>
      <c r="B1120" s="57" t="s">
        <v>2075</v>
      </c>
      <c r="C1120" s="57" t="s">
        <v>1685</v>
      </c>
      <c r="D1120" s="57" t="s">
        <v>65</v>
      </c>
      <c r="E1120" s="57" t="s">
        <v>65</v>
      </c>
      <c r="F1120" s="57" t="s">
        <v>2075</v>
      </c>
      <c r="G1120" s="57" t="s">
        <v>1663</v>
      </c>
      <c r="H1120" s="56" t="s">
        <v>1672</v>
      </c>
      <c r="I1120" s="57" t="s">
        <v>1664</v>
      </c>
      <c r="J1120" t="str">
        <f t="shared" si="36"/>
        <v>3 - Edificio Placeres II</v>
      </c>
      <c r="K1120" t="str">
        <f t="shared" si="37"/>
        <v>Obra</v>
      </c>
    </row>
    <row r="1121" spans="1:11" x14ac:dyDescent="0.25">
      <c r="A1121" s="56">
        <v>9003</v>
      </c>
      <c r="B1121" s="57" t="s">
        <v>555</v>
      </c>
      <c r="C1121" s="57" t="s">
        <v>1685</v>
      </c>
      <c r="D1121" s="57" t="s">
        <v>66</v>
      </c>
      <c r="E1121" s="57" t="s">
        <v>328</v>
      </c>
      <c r="F1121" s="57" t="s">
        <v>2075</v>
      </c>
      <c r="G1121" s="57" t="s">
        <v>1661</v>
      </c>
      <c r="H1121" s="56" t="s">
        <v>386</v>
      </c>
      <c r="I1121" s="57" t="s">
        <v>1666</v>
      </c>
      <c r="J1121" t="str">
        <f t="shared" si="36"/>
        <v>9003 - PV Placeres II</v>
      </c>
      <c r="K1121" t="str">
        <f t="shared" si="37"/>
        <v>Postventa</v>
      </c>
    </row>
    <row r="1122" spans="1:11" x14ac:dyDescent="0.25">
      <c r="A1122" s="70">
        <v>1094202</v>
      </c>
      <c r="B1122" s="71" t="s">
        <v>737</v>
      </c>
      <c r="C1122" s="71" t="s">
        <v>1670</v>
      </c>
      <c r="D1122" s="71" t="s">
        <v>1578</v>
      </c>
      <c r="E1122" s="71" t="s">
        <v>1578</v>
      </c>
      <c r="F1122" s="71" t="s">
        <v>979</v>
      </c>
      <c r="G1122" s="71" t="s">
        <v>1661</v>
      </c>
      <c r="H1122" s="70" t="s">
        <v>386</v>
      </c>
      <c r="I1122" s="71" t="s">
        <v>1662</v>
      </c>
      <c r="J1122" t="str">
        <f t="shared" si="36"/>
        <v>1094202 - Terreno Recreo – Inversiones</v>
      </c>
      <c r="K1122" t="str">
        <f t="shared" si="37"/>
        <v>Terreno</v>
      </c>
    </row>
    <row r="1123" spans="1:11" x14ac:dyDescent="0.25">
      <c r="A1123" s="70">
        <v>214</v>
      </c>
      <c r="B1123" s="71" t="s">
        <v>979</v>
      </c>
      <c r="C1123" s="71" t="s">
        <v>1670</v>
      </c>
      <c r="D1123" s="71" t="s">
        <v>65</v>
      </c>
      <c r="E1123" s="71" t="s">
        <v>65</v>
      </c>
      <c r="F1123" s="71" t="s">
        <v>979</v>
      </c>
      <c r="G1123" s="71" t="s">
        <v>1663</v>
      </c>
      <c r="H1123" s="70" t="s">
        <v>1672</v>
      </c>
      <c r="I1123" s="71" t="s">
        <v>1664</v>
      </c>
      <c r="J1123" t="str">
        <f t="shared" si="36"/>
        <v>214 - Edificio Recreo 250</v>
      </c>
      <c r="K1123" t="str">
        <f t="shared" si="37"/>
        <v>Obra</v>
      </c>
    </row>
    <row r="1124" spans="1:11" x14ac:dyDescent="0.25">
      <c r="A1124" s="70">
        <v>8214</v>
      </c>
      <c r="B1124" s="71" t="s">
        <v>514</v>
      </c>
      <c r="C1124" s="71" t="s">
        <v>1670</v>
      </c>
      <c r="D1124" s="71" t="s">
        <v>1686</v>
      </c>
      <c r="E1124" s="71" t="s">
        <v>1501</v>
      </c>
      <c r="F1124" s="71" t="s">
        <v>979</v>
      </c>
      <c r="G1124" s="71" t="s">
        <v>1661</v>
      </c>
      <c r="H1124" s="70" t="s">
        <v>386</v>
      </c>
      <c r="I1124" s="71" t="s">
        <v>1666</v>
      </c>
      <c r="J1124" t="str">
        <f t="shared" si="36"/>
        <v>8214 - Entrega Edificio Recreo 250</v>
      </c>
      <c r="K1124" t="str">
        <f t="shared" si="37"/>
        <v>Entrega</v>
      </c>
    </row>
    <row r="1125" spans="1:11" x14ac:dyDescent="0.25">
      <c r="A1125" s="70">
        <v>9214</v>
      </c>
      <c r="B1125" s="71" t="s">
        <v>637</v>
      </c>
      <c r="C1125" s="71" t="s">
        <v>1670</v>
      </c>
      <c r="D1125" s="71" t="s">
        <v>66</v>
      </c>
      <c r="E1125" s="71" t="s">
        <v>328</v>
      </c>
      <c r="F1125" s="71" t="s">
        <v>979</v>
      </c>
      <c r="G1125" s="71" t="s">
        <v>1661</v>
      </c>
      <c r="H1125" s="70" t="s">
        <v>386</v>
      </c>
      <c r="I1125" s="71" t="s">
        <v>1666</v>
      </c>
      <c r="J1125" t="str">
        <f t="shared" si="36"/>
        <v>9214 - PV Edificio Recreo 250</v>
      </c>
      <c r="K1125" t="str">
        <f t="shared" si="37"/>
        <v>Postventa</v>
      </c>
    </row>
    <row r="1126" spans="1:11" x14ac:dyDescent="0.25">
      <c r="A1126" s="70">
        <v>10214000</v>
      </c>
      <c r="B1126" s="71" t="s">
        <v>979</v>
      </c>
      <c r="C1126" s="71" t="s">
        <v>1670</v>
      </c>
      <c r="D1126" s="71" t="s">
        <v>1665</v>
      </c>
      <c r="E1126" s="71" t="s">
        <v>1585</v>
      </c>
      <c r="F1126" s="71" t="s">
        <v>979</v>
      </c>
      <c r="G1126" s="71" t="s">
        <v>1661</v>
      </c>
      <c r="H1126" s="70" t="s">
        <v>386</v>
      </c>
      <c r="I1126" s="71" t="s">
        <v>1666</v>
      </c>
      <c r="J1126" t="str">
        <f t="shared" si="36"/>
        <v>10214000 - Edificio Recreo 250</v>
      </c>
      <c r="K1126" t="str">
        <f t="shared" si="37"/>
        <v>Proyectos Inmobiliarios</v>
      </c>
    </row>
    <row r="1127" spans="1:11" x14ac:dyDescent="0.25">
      <c r="A1127" s="70">
        <v>10214102</v>
      </c>
      <c r="B1127" s="71" t="s">
        <v>980</v>
      </c>
      <c r="C1127" s="71" t="s">
        <v>1670</v>
      </c>
      <c r="D1127" s="71" t="s">
        <v>1665</v>
      </c>
      <c r="E1127" s="71" t="s">
        <v>1617</v>
      </c>
      <c r="F1127" s="71" t="s">
        <v>979</v>
      </c>
      <c r="G1127" s="71" t="s">
        <v>1661</v>
      </c>
      <c r="H1127" s="70" t="s">
        <v>386</v>
      </c>
      <c r="I1127" s="71" t="s">
        <v>1666</v>
      </c>
      <c r="J1127" t="str">
        <f t="shared" si="36"/>
        <v>10214102 - Edificio Recreo 250-Marketing</v>
      </c>
      <c r="K1127" t="str">
        <f t="shared" si="37"/>
        <v>Proyectos Inmobiliarios</v>
      </c>
    </row>
    <row r="1128" spans="1:11" x14ac:dyDescent="0.25">
      <c r="A1128" s="70">
        <v>10214103</v>
      </c>
      <c r="B1128" s="71" t="s">
        <v>981</v>
      </c>
      <c r="C1128" s="71" t="s">
        <v>1670</v>
      </c>
      <c r="D1128" s="71" t="s">
        <v>1665</v>
      </c>
      <c r="E1128" s="71" t="s">
        <v>1618</v>
      </c>
      <c r="F1128" s="71" t="s">
        <v>979</v>
      </c>
      <c r="G1128" s="71" t="s">
        <v>1661</v>
      </c>
      <c r="H1128" s="70" t="s">
        <v>386</v>
      </c>
      <c r="I1128" s="71" t="s">
        <v>1666</v>
      </c>
      <c r="J1128" t="str">
        <f t="shared" si="36"/>
        <v>10214103 - Edificio Recreo 250-Operaciones</v>
      </c>
      <c r="K1128" t="str">
        <f t="shared" si="37"/>
        <v>Proyectos Inmobiliarios</v>
      </c>
    </row>
    <row r="1129" spans="1:11" x14ac:dyDescent="0.25">
      <c r="A1129" s="70">
        <v>10214104</v>
      </c>
      <c r="B1129" s="71" t="s">
        <v>982</v>
      </c>
      <c r="C1129" s="71" t="s">
        <v>1670</v>
      </c>
      <c r="D1129" s="71" t="s">
        <v>1665</v>
      </c>
      <c r="E1129" s="71" t="s">
        <v>90</v>
      </c>
      <c r="F1129" s="71" t="s">
        <v>979</v>
      </c>
      <c r="G1129" s="71" t="s">
        <v>1661</v>
      </c>
      <c r="H1129" s="70" t="s">
        <v>386</v>
      </c>
      <c r="I1129" s="71" t="s">
        <v>1666</v>
      </c>
      <c r="J1129" t="str">
        <f t="shared" si="36"/>
        <v>10214104 - Edificio Recreo 250-Ventas</v>
      </c>
      <c r="K1129" t="str">
        <f t="shared" si="37"/>
        <v>Proyectos Inmobiliarios</v>
      </c>
    </row>
    <row r="1130" spans="1:11" x14ac:dyDescent="0.25">
      <c r="A1130" s="70">
        <v>10214105</v>
      </c>
      <c r="B1130" s="71" t="s">
        <v>983</v>
      </c>
      <c r="C1130" s="71" t="s">
        <v>1670</v>
      </c>
      <c r="D1130" s="71" t="s">
        <v>1665</v>
      </c>
      <c r="E1130" s="71" t="s">
        <v>1622</v>
      </c>
      <c r="F1130" s="71" t="s">
        <v>979</v>
      </c>
      <c r="G1130" s="71" t="s">
        <v>1661</v>
      </c>
      <c r="H1130" s="70" t="s">
        <v>386</v>
      </c>
      <c r="I1130" s="71" t="s">
        <v>1666</v>
      </c>
      <c r="J1130" t="str">
        <f t="shared" si="36"/>
        <v>10214105 - Edificio Recreo 250-Clientes</v>
      </c>
      <c r="K1130" t="str">
        <f t="shared" si="37"/>
        <v>Proyectos Inmobiliarios</v>
      </c>
    </row>
    <row r="1131" spans="1:11" x14ac:dyDescent="0.25">
      <c r="A1131" s="70">
        <v>10214204</v>
      </c>
      <c r="B1131" s="71" t="s">
        <v>984</v>
      </c>
      <c r="C1131" s="71" t="s">
        <v>1670</v>
      </c>
      <c r="D1131" s="71" t="s">
        <v>1665</v>
      </c>
      <c r="E1131" s="71" t="s">
        <v>1624</v>
      </c>
      <c r="F1131" s="71" t="s">
        <v>979</v>
      </c>
      <c r="G1131" s="71" t="s">
        <v>1661</v>
      </c>
      <c r="H1131" s="70" t="s">
        <v>386</v>
      </c>
      <c r="I1131" s="71" t="s">
        <v>1666</v>
      </c>
      <c r="J1131" t="str">
        <f t="shared" si="36"/>
        <v>10214204 - Edificio Recreo 250-Proyecto</v>
      </c>
      <c r="K1131" t="str">
        <f t="shared" si="37"/>
        <v>Proyectos Inmobiliarios</v>
      </c>
    </row>
    <row r="1132" spans="1:11" x14ac:dyDescent="0.25">
      <c r="A1132" s="70">
        <v>10214301</v>
      </c>
      <c r="B1132" s="71" t="s">
        <v>985</v>
      </c>
      <c r="C1132" s="71" t="s">
        <v>1670</v>
      </c>
      <c r="D1132" s="71" t="s">
        <v>1665</v>
      </c>
      <c r="E1132" s="71" t="s">
        <v>1643</v>
      </c>
      <c r="F1132" s="71" t="s">
        <v>979</v>
      </c>
      <c r="G1132" s="71" t="s">
        <v>1667</v>
      </c>
      <c r="H1132" s="70" t="s">
        <v>386</v>
      </c>
      <c r="I1132" s="71" t="s">
        <v>1666</v>
      </c>
      <c r="J1132" t="str">
        <f t="shared" si="36"/>
        <v>10214301 - Edificio Recreo 250-GAF</v>
      </c>
      <c r="K1132" t="str">
        <f t="shared" si="37"/>
        <v>Proyectos Inmobiliarios</v>
      </c>
    </row>
    <row r="1133" spans="1:11" x14ac:dyDescent="0.25">
      <c r="A1133" s="70">
        <v>10214505</v>
      </c>
      <c r="B1133" s="71" t="s">
        <v>986</v>
      </c>
      <c r="C1133" s="71" t="s">
        <v>1670</v>
      </c>
      <c r="D1133" s="71" t="s">
        <v>66</v>
      </c>
      <c r="E1133" s="71" t="s">
        <v>328</v>
      </c>
      <c r="F1133" s="71" t="s">
        <v>979</v>
      </c>
      <c r="G1133" s="71" t="s">
        <v>1661</v>
      </c>
      <c r="H1133" s="70" t="s">
        <v>386</v>
      </c>
      <c r="I1133" s="71" t="s">
        <v>1666</v>
      </c>
      <c r="J1133" t="str">
        <f t="shared" si="36"/>
        <v>10214505 - Edificio Recreo 250-PV Inmob.</v>
      </c>
      <c r="K1133" t="str">
        <f t="shared" si="37"/>
        <v>Postventa</v>
      </c>
    </row>
    <row r="1134" spans="1:11" x14ac:dyDescent="0.25">
      <c r="A1134" s="70">
        <v>10214506</v>
      </c>
      <c r="B1134" s="71" t="s">
        <v>987</v>
      </c>
      <c r="C1134" s="71" t="s">
        <v>1670</v>
      </c>
      <c r="D1134" s="71" t="s">
        <v>1665</v>
      </c>
      <c r="E1134" s="71" t="s">
        <v>200</v>
      </c>
      <c r="F1134" s="71" t="s">
        <v>979</v>
      </c>
      <c r="G1134" s="71" t="s">
        <v>1661</v>
      </c>
      <c r="H1134" s="70" t="s">
        <v>386</v>
      </c>
      <c r="I1134" s="71" t="s">
        <v>1666</v>
      </c>
      <c r="J1134" t="str">
        <f t="shared" si="36"/>
        <v>10214506 - Edificio Recreo 250-Depto.Técnico</v>
      </c>
      <c r="K1134" t="str">
        <f t="shared" si="37"/>
        <v>Proyectos Inmobiliarios</v>
      </c>
    </row>
    <row r="1135" spans="1:11" x14ac:dyDescent="0.25">
      <c r="A1135" s="76">
        <v>1002202</v>
      </c>
      <c r="B1135" s="77" t="s">
        <v>2076</v>
      </c>
      <c r="C1135" s="77" t="s">
        <v>1670</v>
      </c>
      <c r="D1135" s="77" t="s">
        <v>1578</v>
      </c>
      <c r="E1135" s="77" t="s">
        <v>1578</v>
      </c>
      <c r="F1135" s="77" t="s">
        <v>2077</v>
      </c>
      <c r="G1135" s="77" t="s">
        <v>1661</v>
      </c>
      <c r="H1135" s="76" t="s">
        <v>1672</v>
      </c>
      <c r="I1135" s="77" t="s">
        <v>1662</v>
      </c>
      <c r="J1135" t="str">
        <f t="shared" si="36"/>
        <v>1002202 - Terreno Eyzaguirre-Desarrollo</v>
      </c>
      <c r="K1135" t="str">
        <f t="shared" si="37"/>
        <v>Terreno</v>
      </c>
    </row>
    <row r="1136" spans="1:11" x14ac:dyDescent="0.25">
      <c r="A1136" s="76">
        <v>34</v>
      </c>
      <c r="B1136" s="77" t="s">
        <v>2077</v>
      </c>
      <c r="C1136" s="77" t="s">
        <v>1670</v>
      </c>
      <c r="D1136" s="77" t="s">
        <v>65</v>
      </c>
      <c r="E1136" s="77" t="s">
        <v>65</v>
      </c>
      <c r="F1136" s="77" t="s">
        <v>2077</v>
      </c>
      <c r="G1136" s="77" t="s">
        <v>1663</v>
      </c>
      <c r="H1136" s="76" t="s">
        <v>1672</v>
      </c>
      <c r="I1136" s="77" t="s">
        <v>1664</v>
      </c>
      <c r="J1136" t="str">
        <f t="shared" si="36"/>
        <v>34 - Edificio San Francisco</v>
      </c>
      <c r="K1136" t="str">
        <f t="shared" si="37"/>
        <v>Obra</v>
      </c>
    </row>
    <row r="1137" spans="1:11" x14ac:dyDescent="0.25">
      <c r="A1137" s="76">
        <v>9034</v>
      </c>
      <c r="B1137" s="77" t="s">
        <v>583</v>
      </c>
      <c r="C1137" s="77" t="s">
        <v>1670</v>
      </c>
      <c r="D1137" s="77" t="s">
        <v>66</v>
      </c>
      <c r="E1137" s="77" t="s">
        <v>328</v>
      </c>
      <c r="F1137" s="77" t="s">
        <v>2077</v>
      </c>
      <c r="G1137" s="77" t="s">
        <v>1661</v>
      </c>
      <c r="H1137" s="76" t="s">
        <v>386</v>
      </c>
      <c r="I1137" s="77" t="s">
        <v>1666</v>
      </c>
      <c r="J1137" t="str">
        <f t="shared" si="36"/>
        <v>9034 - PV Edificio San Francisco</v>
      </c>
      <c r="K1137" t="str">
        <f t="shared" si="37"/>
        <v>Postventa</v>
      </c>
    </row>
    <row r="1138" spans="1:11" x14ac:dyDescent="0.25">
      <c r="A1138" s="76">
        <v>10020000</v>
      </c>
      <c r="B1138" s="77" t="s">
        <v>2078</v>
      </c>
      <c r="C1138" s="77" t="s">
        <v>1670</v>
      </c>
      <c r="D1138" s="77" t="s">
        <v>1665</v>
      </c>
      <c r="E1138" s="77" t="s">
        <v>1585</v>
      </c>
      <c r="F1138" s="77" t="s">
        <v>2077</v>
      </c>
      <c r="G1138" s="77" t="s">
        <v>1661</v>
      </c>
      <c r="H1138" s="76" t="s">
        <v>1672</v>
      </c>
      <c r="I1138" s="77" t="s">
        <v>1666</v>
      </c>
      <c r="J1138" t="str">
        <f t="shared" si="36"/>
        <v>10020000 - San Francisco</v>
      </c>
      <c r="K1138" t="str">
        <f t="shared" si="37"/>
        <v>Proyectos Inmobiliarios</v>
      </c>
    </row>
    <row r="1139" spans="1:11" x14ac:dyDescent="0.25">
      <c r="A1139" s="76">
        <v>10020102</v>
      </c>
      <c r="B1139" s="77" t="s">
        <v>2079</v>
      </c>
      <c r="C1139" s="77" t="s">
        <v>1670</v>
      </c>
      <c r="D1139" s="77" t="s">
        <v>1665</v>
      </c>
      <c r="E1139" s="77" t="s">
        <v>1617</v>
      </c>
      <c r="F1139" s="77" t="s">
        <v>2077</v>
      </c>
      <c r="G1139" s="77" t="s">
        <v>1661</v>
      </c>
      <c r="H1139" s="76" t="s">
        <v>1672</v>
      </c>
      <c r="I1139" s="77" t="s">
        <v>1666</v>
      </c>
      <c r="J1139" t="str">
        <f t="shared" si="36"/>
        <v>10020102 - San Francisco-Marketing</v>
      </c>
      <c r="K1139" t="str">
        <f t="shared" si="37"/>
        <v>Proyectos Inmobiliarios</v>
      </c>
    </row>
    <row r="1140" spans="1:11" x14ac:dyDescent="0.25">
      <c r="A1140" s="76">
        <v>10020103</v>
      </c>
      <c r="B1140" s="77" t="s">
        <v>2080</v>
      </c>
      <c r="C1140" s="77" t="s">
        <v>1670</v>
      </c>
      <c r="D1140" s="77" t="s">
        <v>1665</v>
      </c>
      <c r="E1140" s="77" t="s">
        <v>1618</v>
      </c>
      <c r="F1140" s="77" t="s">
        <v>2077</v>
      </c>
      <c r="G1140" s="77" t="s">
        <v>1661</v>
      </c>
      <c r="H1140" s="76" t="s">
        <v>1672</v>
      </c>
      <c r="I1140" s="77" t="s">
        <v>1666</v>
      </c>
      <c r="J1140" t="str">
        <f t="shared" si="36"/>
        <v>10020103 - San Francisco-Operaciones</v>
      </c>
      <c r="K1140" t="str">
        <f t="shared" si="37"/>
        <v>Proyectos Inmobiliarios</v>
      </c>
    </row>
    <row r="1141" spans="1:11" x14ac:dyDescent="0.25">
      <c r="A1141" s="76">
        <v>10020104</v>
      </c>
      <c r="B1141" s="77" t="s">
        <v>2081</v>
      </c>
      <c r="C1141" s="77" t="s">
        <v>1670</v>
      </c>
      <c r="D1141" s="77" t="s">
        <v>1665</v>
      </c>
      <c r="E1141" s="77" t="s">
        <v>90</v>
      </c>
      <c r="F1141" s="77" t="s">
        <v>2077</v>
      </c>
      <c r="G1141" s="77" t="s">
        <v>1661</v>
      </c>
      <c r="H1141" s="76" t="s">
        <v>1672</v>
      </c>
      <c r="I1141" s="77" t="s">
        <v>1666</v>
      </c>
      <c r="J1141" t="str">
        <f t="shared" si="36"/>
        <v>10020104 - San Francisco-Ventas</v>
      </c>
      <c r="K1141" t="str">
        <f t="shared" si="37"/>
        <v>Proyectos Inmobiliarios</v>
      </c>
    </row>
    <row r="1142" spans="1:11" x14ac:dyDescent="0.25">
      <c r="A1142" s="76">
        <v>10020105</v>
      </c>
      <c r="B1142" s="77" t="s">
        <v>2082</v>
      </c>
      <c r="C1142" s="77" t="s">
        <v>1670</v>
      </c>
      <c r="D1142" s="77" t="s">
        <v>1665</v>
      </c>
      <c r="E1142" s="77" t="s">
        <v>1622</v>
      </c>
      <c r="F1142" s="77" t="s">
        <v>2077</v>
      </c>
      <c r="G1142" s="77" t="s">
        <v>1661</v>
      </c>
      <c r="H1142" s="76" t="s">
        <v>1672</v>
      </c>
      <c r="I1142" s="77" t="s">
        <v>1666</v>
      </c>
      <c r="J1142" t="str">
        <f t="shared" si="36"/>
        <v>10020105 - San Francisco-Clientes</v>
      </c>
      <c r="K1142" t="str">
        <f t="shared" si="37"/>
        <v>Proyectos Inmobiliarios</v>
      </c>
    </row>
    <row r="1143" spans="1:11" x14ac:dyDescent="0.25">
      <c r="A1143" s="76">
        <v>10020204</v>
      </c>
      <c r="B1143" s="77" t="s">
        <v>2083</v>
      </c>
      <c r="C1143" s="77" t="s">
        <v>1670</v>
      </c>
      <c r="D1143" s="77" t="s">
        <v>1665</v>
      </c>
      <c r="E1143" s="77" t="s">
        <v>1624</v>
      </c>
      <c r="F1143" s="77" t="s">
        <v>2077</v>
      </c>
      <c r="G1143" s="77" t="s">
        <v>1661</v>
      </c>
      <c r="H1143" s="76" t="s">
        <v>1672</v>
      </c>
      <c r="I1143" s="77" t="s">
        <v>1666</v>
      </c>
      <c r="J1143" t="str">
        <f t="shared" si="36"/>
        <v>10020204 - San Francisco-Proyecto</v>
      </c>
      <c r="K1143" t="str">
        <f t="shared" si="37"/>
        <v>Proyectos Inmobiliarios</v>
      </c>
    </row>
    <row r="1144" spans="1:11" x14ac:dyDescent="0.25">
      <c r="A1144" s="76">
        <v>10020301</v>
      </c>
      <c r="B1144" s="77" t="s">
        <v>2084</v>
      </c>
      <c r="C1144" s="77" t="s">
        <v>1670</v>
      </c>
      <c r="D1144" s="77" t="s">
        <v>1665</v>
      </c>
      <c r="E1144" s="77" t="s">
        <v>1643</v>
      </c>
      <c r="F1144" s="77" t="s">
        <v>2077</v>
      </c>
      <c r="G1144" s="77" t="s">
        <v>1667</v>
      </c>
      <c r="H1144" s="76" t="s">
        <v>1672</v>
      </c>
      <c r="I1144" s="77" t="s">
        <v>1666</v>
      </c>
      <c r="J1144" t="str">
        <f t="shared" si="36"/>
        <v>10020301 - San Francisco-GAF</v>
      </c>
      <c r="K1144" t="str">
        <f t="shared" si="37"/>
        <v>Proyectos Inmobiliarios</v>
      </c>
    </row>
    <row r="1145" spans="1:11" x14ac:dyDescent="0.25">
      <c r="A1145" s="76">
        <v>10020505</v>
      </c>
      <c r="B1145" s="77" t="s">
        <v>2085</v>
      </c>
      <c r="C1145" s="77" t="s">
        <v>1670</v>
      </c>
      <c r="D1145" s="77" t="s">
        <v>66</v>
      </c>
      <c r="E1145" s="77" t="s">
        <v>328</v>
      </c>
      <c r="F1145" s="77" t="s">
        <v>2077</v>
      </c>
      <c r="G1145" s="77" t="s">
        <v>1661</v>
      </c>
      <c r="H1145" s="76" t="s">
        <v>1672</v>
      </c>
      <c r="I1145" s="77" t="s">
        <v>1666</v>
      </c>
      <c r="J1145" t="str">
        <f t="shared" si="36"/>
        <v>10020505 - San Francisco-PV Inmob.</v>
      </c>
      <c r="K1145" t="str">
        <f t="shared" si="37"/>
        <v>Postventa</v>
      </c>
    </row>
    <row r="1146" spans="1:11" x14ac:dyDescent="0.25">
      <c r="A1146" s="76">
        <v>10020506</v>
      </c>
      <c r="B1146" s="77" t="s">
        <v>2086</v>
      </c>
      <c r="C1146" s="77" t="s">
        <v>1670</v>
      </c>
      <c r="D1146" s="77" t="s">
        <v>1665</v>
      </c>
      <c r="E1146" s="77" t="s">
        <v>200</v>
      </c>
      <c r="F1146" s="77" t="s">
        <v>2077</v>
      </c>
      <c r="G1146" s="77" t="s">
        <v>1661</v>
      </c>
      <c r="H1146" s="76" t="s">
        <v>1672</v>
      </c>
      <c r="I1146" s="77" t="s">
        <v>1666</v>
      </c>
      <c r="J1146" t="str">
        <f t="shared" si="36"/>
        <v>10020506 - San Francisco-Depto.Técnico</v>
      </c>
      <c r="K1146" t="str">
        <f t="shared" si="37"/>
        <v>Proyectos Inmobiliarios</v>
      </c>
    </row>
    <row r="1147" spans="1:11" x14ac:dyDescent="0.25">
      <c r="A1147" s="66">
        <v>1036202</v>
      </c>
      <c r="B1147" s="67" t="s">
        <v>721</v>
      </c>
      <c r="C1147" s="67" t="s">
        <v>1670</v>
      </c>
      <c r="D1147" s="67" t="s">
        <v>1578</v>
      </c>
      <c r="E1147" s="67" t="s">
        <v>1578</v>
      </c>
      <c r="F1147" s="67" t="s">
        <v>907</v>
      </c>
      <c r="G1147" s="67" t="s">
        <v>1661</v>
      </c>
      <c r="H1147" s="66" t="s">
        <v>386</v>
      </c>
      <c r="I1147" s="67" t="s">
        <v>1662</v>
      </c>
      <c r="J1147" t="str">
        <f t="shared" si="36"/>
        <v>1036202 - Terreno Santa Elena-Desarrollo</v>
      </c>
      <c r="K1147" t="str">
        <f t="shared" si="37"/>
        <v>Terreno</v>
      </c>
    </row>
    <row r="1148" spans="1:11" x14ac:dyDescent="0.25">
      <c r="A1148" s="66">
        <v>1075202</v>
      </c>
      <c r="B1148" s="67" t="s">
        <v>725</v>
      </c>
      <c r="C1148" s="67" t="s">
        <v>1670</v>
      </c>
      <c r="D1148" s="67" t="s">
        <v>1578</v>
      </c>
      <c r="E1148" s="67" t="s">
        <v>1578</v>
      </c>
      <c r="F1148" s="67" t="s">
        <v>907</v>
      </c>
      <c r="G1148" s="67" t="s">
        <v>1661</v>
      </c>
      <c r="H1148" s="66" t="s">
        <v>386</v>
      </c>
      <c r="I1148" s="67" t="s">
        <v>1662</v>
      </c>
      <c r="J1148" t="str">
        <f t="shared" si="36"/>
        <v>1075202 - Terreno Santa Elena 2015-Desarrollo</v>
      </c>
      <c r="K1148" t="str">
        <f t="shared" si="37"/>
        <v>Terreno</v>
      </c>
    </row>
    <row r="1149" spans="1:11" x14ac:dyDescent="0.25">
      <c r="A1149" s="66">
        <v>205</v>
      </c>
      <c r="B1149" s="67" t="s">
        <v>907</v>
      </c>
      <c r="C1149" s="67" t="s">
        <v>1670</v>
      </c>
      <c r="D1149" s="67" t="s">
        <v>65</v>
      </c>
      <c r="E1149" s="67" t="s">
        <v>65</v>
      </c>
      <c r="F1149" s="67" t="s">
        <v>907</v>
      </c>
      <c r="G1149" s="67" t="s">
        <v>1663</v>
      </c>
      <c r="H1149" s="66" t="s">
        <v>1672</v>
      </c>
      <c r="I1149" s="67" t="s">
        <v>1664</v>
      </c>
      <c r="J1149" t="str">
        <f t="shared" si="36"/>
        <v>205 - Edificio Santa Elena 1282</v>
      </c>
      <c r="K1149" t="str">
        <f t="shared" si="37"/>
        <v>Obra</v>
      </c>
    </row>
    <row r="1150" spans="1:11" x14ac:dyDescent="0.25">
      <c r="A1150" s="66">
        <v>9205</v>
      </c>
      <c r="B1150" s="67" t="s">
        <v>629</v>
      </c>
      <c r="C1150" s="67" t="s">
        <v>1670</v>
      </c>
      <c r="D1150" s="67" t="s">
        <v>66</v>
      </c>
      <c r="E1150" s="67" t="s">
        <v>328</v>
      </c>
      <c r="F1150" s="67" t="s">
        <v>907</v>
      </c>
      <c r="G1150" s="67" t="s">
        <v>1661</v>
      </c>
      <c r="H1150" s="66" t="s">
        <v>386</v>
      </c>
      <c r="I1150" s="67" t="s">
        <v>1666</v>
      </c>
      <c r="J1150" t="str">
        <f t="shared" si="36"/>
        <v>9205 - PV Edificio Santa Elena 1282</v>
      </c>
      <c r="K1150" t="str">
        <f t="shared" si="37"/>
        <v>Postventa</v>
      </c>
    </row>
    <row r="1151" spans="1:11" x14ac:dyDescent="0.25">
      <c r="A1151" s="66">
        <v>10205000</v>
      </c>
      <c r="B1151" s="67" t="s">
        <v>907</v>
      </c>
      <c r="C1151" s="67" t="s">
        <v>1670</v>
      </c>
      <c r="D1151" s="67" t="s">
        <v>1665</v>
      </c>
      <c r="E1151" s="67" t="s">
        <v>1585</v>
      </c>
      <c r="F1151" s="67" t="s">
        <v>907</v>
      </c>
      <c r="G1151" s="67" t="s">
        <v>1661</v>
      </c>
      <c r="H1151" s="66" t="s">
        <v>386</v>
      </c>
      <c r="I1151" s="67" t="s">
        <v>1666</v>
      </c>
      <c r="J1151" t="str">
        <f t="shared" si="36"/>
        <v>10205000 - Edificio Santa Elena 1282</v>
      </c>
      <c r="K1151" t="str">
        <f t="shared" si="37"/>
        <v>Proyectos Inmobiliarios</v>
      </c>
    </row>
    <row r="1152" spans="1:11" x14ac:dyDescent="0.25">
      <c r="A1152" s="66">
        <v>10205102</v>
      </c>
      <c r="B1152" s="67" t="s">
        <v>908</v>
      </c>
      <c r="C1152" s="67" t="s">
        <v>1670</v>
      </c>
      <c r="D1152" s="67" t="s">
        <v>1665</v>
      </c>
      <c r="E1152" s="67" t="s">
        <v>1617</v>
      </c>
      <c r="F1152" s="67" t="s">
        <v>907</v>
      </c>
      <c r="G1152" s="67" t="s">
        <v>1661</v>
      </c>
      <c r="H1152" s="66" t="s">
        <v>386</v>
      </c>
      <c r="I1152" s="67" t="s">
        <v>1666</v>
      </c>
      <c r="J1152" t="str">
        <f t="shared" si="36"/>
        <v>10205102 - Edificio Santa Elena 1282-Marketing</v>
      </c>
      <c r="K1152" t="str">
        <f t="shared" si="37"/>
        <v>Proyectos Inmobiliarios</v>
      </c>
    </row>
    <row r="1153" spans="1:11" x14ac:dyDescent="0.25">
      <c r="A1153" s="66">
        <v>10205103</v>
      </c>
      <c r="B1153" s="67" t="s">
        <v>909</v>
      </c>
      <c r="C1153" s="67" t="s">
        <v>1670</v>
      </c>
      <c r="D1153" s="67" t="s">
        <v>1665</v>
      </c>
      <c r="E1153" s="67" t="s">
        <v>1618</v>
      </c>
      <c r="F1153" s="67" t="s">
        <v>907</v>
      </c>
      <c r="G1153" s="67" t="s">
        <v>1661</v>
      </c>
      <c r="H1153" s="66" t="s">
        <v>386</v>
      </c>
      <c r="I1153" s="67" t="s">
        <v>1666</v>
      </c>
      <c r="J1153" t="str">
        <f t="shared" si="36"/>
        <v>10205103 - Edificio Santa Elena 1282-Operaciones</v>
      </c>
      <c r="K1153" t="str">
        <f t="shared" si="37"/>
        <v>Proyectos Inmobiliarios</v>
      </c>
    </row>
    <row r="1154" spans="1:11" x14ac:dyDescent="0.25">
      <c r="A1154" s="66">
        <v>10205104</v>
      </c>
      <c r="B1154" s="67" t="s">
        <v>910</v>
      </c>
      <c r="C1154" s="67" t="s">
        <v>1670</v>
      </c>
      <c r="D1154" s="67" t="s">
        <v>1665</v>
      </c>
      <c r="E1154" s="67" t="s">
        <v>90</v>
      </c>
      <c r="F1154" s="67" t="s">
        <v>907</v>
      </c>
      <c r="G1154" s="67" t="s">
        <v>1661</v>
      </c>
      <c r="H1154" s="66" t="s">
        <v>386</v>
      </c>
      <c r="I1154" s="67" t="s">
        <v>1666</v>
      </c>
      <c r="J1154" t="str">
        <f t="shared" si="36"/>
        <v>10205104 - Edificio Santa Elena 1282-Ventas</v>
      </c>
      <c r="K1154" t="str">
        <f t="shared" si="37"/>
        <v>Proyectos Inmobiliarios</v>
      </c>
    </row>
    <row r="1155" spans="1:11" x14ac:dyDescent="0.25">
      <c r="A1155" s="66">
        <v>10205105</v>
      </c>
      <c r="B1155" s="67" t="s">
        <v>911</v>
      </c>
      <c r="C1155" s="67" t="s">
        <v>1670</v>
      </c>
      <c r="D1155" s="67" t="s">
        <v>1665</v>
      </c>
      <c r="E1155" s="67" t="s">
        <v>1622</v>
      </c>
      <c r="F1155" s="67" t="s">
        <v>907</v>
      </c>
      <c r="G1155" s="67" t="s">
        <v>1661</v>
      </c>
      <c r="H1155" s="66" t="s">
        <v>386</v>
      </c>
      <c r="I1155" s="67" t="s">
        <v>1666</v>
      </c>
      <c r="J1155" t="str">
        <f t="shared" si="36"/>
        <v>10205105 - Edificio Santa Elena 1282-Clientes</v>
      </c>
      <c r="K1155" t="str">
        <f t="shared" si="37"/>
        <v>Proyectos Inmobiliarios</v>
      </c>
    </row>
    <row r="1156" spans="1:11" x14ac:dyDescent="0.25">
      <c r="A1156" s="66">
        <v>10205204</v>
      </c>
      <c r="B1156" s="67" t="s">
        <v>912</v>
      </c>
      <c r="C1156" s="67" t="s">
        <v>1670</v>
      </c>
      <c r="D1156" s="67" t="s">
        <v>1665</v>
      </c>
      <c r="E1156" s="67" t="s">
        <v>1624</v>
      </c>
      <c r="F1156" s="67" t="s">
        <v>907</v>
      </c>
      <c r="G1156" s="67" t="s">
        <v>1661</v>
      </c>
      <c r="H1156" s="66" t="s">
        <v>386</v>
      </c>
      <c r="I1156" s="67" t="s">
        <v>1666</v>
      </c>
      <c r="J1156" t="str">
        <f t="shared" ref="J1156:J1220" si="38">+A1156&amp;" - "&amp;B1156</f>
        <v>10205204 - Edificio Santa Elena 1282-Proyecto</v>
      </c>
      <c r="K1156" t="str">
        <f t="shared" ref="K1156:K1220" si="39">+D1156</f>
        <v>Proyectos Inmobiliarios</v>
      </c>
    </row>
    <row r="1157" spans="1:11" x14ac:dyDescent="0.25">
      <c r="A1157" s="66">
        <v>10205301</v>
      </c>
      <c r="B1157" s="67" t="s">
        <v>913</v>
      </c>
      <c r="C1157" s="67" t="s">
        <v>1670</v>
      </c>
      <c r="D1157" s="67" t="s">
        <v>1665</v>
      </c>
      <c r="E1157" s="67" t="s">
        <v>1643</v>
      </c>
      <c r="F1157" s="67" t="s">
        <v>907</v>
      </c>
      <c r="G1157" s="67" t="s">
        <v>1667</v>
      </c>
      <c r="H1157" s="66" t="s">
        <v>386</v>
      </c>
      <c r="I1157" s="67" t="s">
        <v>1666</v>
      </c>
      <c r="J1157" t="str">
        <f t="shared" si="38"/>
        <v>10205301 - Edificio Santa Elena 1282-GAF</v>
      </c>
      <c r="K1157" t="str">
        <f t="shared" si="39"/>
        <v>Proyectos Inmobiliarios</v>
      </c>
    </row>
    <row r="1158" spans="1:11" x14ac:dyDescent="0.25">
      <c r="A1158" s="66">
        <v>10205505</v>
      </c>
      <c r="B1158" s="67" t="s">
        <v>914</v>
      </c>
      <c r="C1158" s="67" t="s">
        <v>1670</v>
      </c>
      <c r="D1158" s="67" t="s">
        <v>66</v>
      </c>
      <c r="E1158" s="67" t="s">
        <v>328</v>
      </c>
      <c r="F1158" s="67" t="s">
        <v>907</v>
      </c>
      <c r="G1158" s="67" t="s">
        <v>1661</v>
      </c>
      <c r="H1158" s="66" t="s">
        <v>386</v>
      </c>
      <c r="I1158" s="67" t="s">
        <v>1666</v>
      </c>
      <c r="J1158" t="str">
        <f t="shared" si="38"/>
        <v>10205505 - Edificio Santa Elena 1282-PV Inmob.</v>
      </c>
      <c r="K1158" t="str">
        <f t="shared" si="39"/>
        <v>Postventa</v>
      </c>
    </row>
    <row r="1159" spans="1:11" x14ac:dyDescent="0.25">
      <c r="A1159" s="66">
        <v>10205506</v>
      </c>
      <c r="B1159" s="67" t="s">
        <v>915</v>
      </c>
      <c r="C1159" s="67" t="s">
        <v>1670</v>
      </c>
      <c r="D1159" s="67" t="s">
        <v>1665</v>
      </c>
      <c r="E1159" s="67" t="s">
        <v>200</v>
      </c>
      <c r="F1159" s="67" t="s">
        <v>907</v>
      </c>
      <c r="G1159" s="67" t="s">
        <v>1661</v>
      </c>
      <c r="H1159" s="66" t="s">
        <v>386</v>
      </c>
      <c r="I1159" s="67" t="s">
        <v>1666</v>
      </c>
      <c r="J1159" t="str">
        <f t="shared" si="38"/>
        <v>10205506 - Edificio Santa Elena 1282-Depto.Técnico</v>
      </c>
      <c r="K1159" t="str">
        <f t="shared" si="39"/>
        <v>Proyectos Inmobiliarios</v>
      </c>
    </row>
    <row r="1160" spans="1:11" x14ac:dyDescent="0.25">
      <c r="A1160" s="80">
        <v>1098202</v>
      </c>
      <c r="B1160" s="81" t="s">
        <v>741</v>
      </c>
      <c r="C1160" s="81" t="s">
        <v>1670</v>
      </c>
      <c r="D1160" s="81" t="s">
        <v>1578</v>
      </c>
      <c r="E1160" s="81" t="s">
        <v>1578</v>
      </c>
      <c r="F1160" s="81" t="s">
        <v>462</v>
      </c>
      <c r="G1160" s="81" t="s">
        <v>1661</v>
      </c>
      <c r="H1160" s="80" t="s">
        <v>386</v>
      </c>
      <c r="I1160" s="81" t="s">
        <v>1662</v>
      </c>
      <c r="J1160" t="str">
        <f t="shared" si="38"/>
        <v>1098202 - Terreno Teresa Vial – Inversiones</v>
      </c>
      <c r="K1160" t="str">
        <f t="shared" si="39"/>
        <v>Terreno</v>
      </c>
    </row>
    <row r="1161" spans="1:11" x14ac:dyDescent="0.25">
      <c r="A1161" s="80">
        <v>219</v>
      </c>
      <c r="B1161" s="81" t="s">
        <v>462</v>
      </c>
      <c r="C1161" s="81" t="s">
        <v>1670</v>
      </c>
      <c r="D1161" s="81" t="s">
        <v>65</v>
      </c>
      <c r="E1161" s="81" t="s">
        <v>65</v>
      </c>
      <c r="F1161" s="81" t="s">
        <v>462</v>
      </c>
      <c r="G1161" s="81" t="s">
        <v>1663</v>
      </c>
      <c r="H1161" s="80" t="s">
        <v>386</v>
      </c>
      <c r="I1161" s="81" t="s">
        <v>1664</v>
      </c>
      <c r="J1161" t="str">
        <f t="shared" si="38"/>
        <v>219 - Edificio Teresa Vial</v>
      </c>
      <c r="K1161" t="str">
        <f t="shared" si="39"/>
        <v>Obra</v>
      </c>
    </row>
    <row r="1162" spans="1:11" x14ac:dyDescent="0.25">
      <c r="A1162" s="80">
        <v>373</v>
      </c>
      <c r="B1162" s="81" t="s">
        <v>4304</v>
      </c>
      <c r="C1162" s="81" t="s">
        <v>1670</v>
      </c>
      <c r="D1162" s="81" t="s">
        <v>65</v>
      </c>
      <c r="E1162" s="81" t="s">
        <v>65</v>
      </c>
      <c r="F1162" s="81" t="s">
        <v>462</v>
      </c>
      <c r="G1162" s="81" t="s">
        <v>1663</v>
      </c>
      <c r="H1162" s="80" t="s">
        <v>386</v>
      </c>
      <c r="I1162" s="81" t="s">
        <v>1664</v>
      </c>
      <c r="J1162" t="str">
        <f t="shared" si="38"/>
        <v>373 - Edificio Teresa Vial Ltda</v>
      </c>
      <c r="K1162" t="str">
        <f t="shared" si="39"/>
        <v>Obra</v>
      </c>
    </row>
    <row r="1163" spans="1:11" x14ac:dyDescent="0.25">
      <c r="A1163" s="80">
        <v>10219000</v>
      </c>
      <c r="B1163" s="81" t="s">
        <v>462</v>
      </c>
      <c r="C1163" s="81" t="s">
        <v>1670</v>
      </c>
      <c r="D1163" s="81" t="s">
        <v>1665</v>
      </c>
      <c r="E1163" s="81" t="s">
        <v>1585</v>
      </c>
      <c r="F1163" s="81" t="s">
        <v>462</v>
      </c>
      <c r="G1163" s="81" t="s">
        <v>1661</v>
      </c>
      <c r="H1163" s="80" t="s">
        <v>386</v>
      </c>
      <c r="I1163" s="81" t="s">
        <v>1666</v>
      </c>
      <c r="J1163" t="str">
        <f t="shared" si="38"/>
        <v>10219000 - Edificio Teresa Vial</v>
      </c>
      <c r="K1163" t="str">
        <f t="shared" si="39"/>
        <v>Proyectos Inmobiliarios</v>
      </c>
    </row>
    <row r="1164" spans="1:11" x14ac:dyDescent="0.25">
      <c r="A1164" s="80">
        <v>10219102</v>
      </c>
      <c r="B1164" s="81" t="s">
        <v>1024</v>
      </c>
      <c r="C1164" s="81" t="s">
        <v>1670</v>
      </c>
      <c r="D1164" s="81" t="s">
        <v>1665</v>
      </c>
      <c r="E1164" s="81" t="s">
        <v>1617</v>
      </c>
      <c r="F1164" s="81" t="s">
        <v>462</v>
      </c>
      <c r="G1164" s="81" t="s">
        <v>1661</v>
      </c>
      <c r="H1164" s="80" t="s">
        <v>386</v>
      </c>
      <c r="I1164" s="81" t="s">
        <v>1666</v>
      </c>
      <c r="J1164" t="str">
        <f t="shared" si="38"/>
        <v>10219102 - Edificio Teresa Vial-Marketing</v>
      </c>
      <c r="K1164" t="str">
        <f t="shared" si="39"/>
        <v>Proyectos Inmobiliarios</v>
      </c>
    </row>
    <row r="1165" spans="1:11" x14ac:dyDescent="0.25">
      <c r="A1165" s="80">
        <v>10219103</v>
      </c>
      <c r="B1165" s="81" t="s">
        <v>1025</v>
      </c>
      <c r="C1165" s="81" t="s">
        <v>1670</v>
      </c>
      <c r="D1165" s="81" t="s">
        <v>1665</v>
      </c>
      <c r="E1165" s="81" t="s">
        <v>1618</v>
      </c>
      <c r="F1165" s="81" t="s">
        <v>462</v>
      </c>
      <c r="G1165" s="81" t="s">
        <v>1661</v>
      </c>
      <c r="H1165" s="80" t="s">
        <v>386</v>
      </c>
      <c r="I1165" s="81" t="s">
        <v>1666</v>
      </c>
      <c r="J1165" t="str">
        <f t="shared" si="38"/>
        <v>10219103 - Edificio Teresa Vial-Operaciones</v>
      </c>
      <c r="K1165" t="str">
        <f t="shared" si="39"/>
        <v>Proyectos Inmobiliarios</v>
      </c>
    </row>
    <row r="1166" spans="1:11" x14ac:dyDescent="0.25">
      <c r="A1166" s="80">
        <v>10219104</v>
      </c>
      <c r="B1166" s="81" t="s">
        <v>1026</v>
      </c>
      <c r="C1166" s="81" t="s">
        <v>1670</v>
      </c>
      <c r="D1166" s="81" t="s">
        <v>1665</v>
      </c>
      <c r="E1166" s="81" t="s">
        <v>90</v>
      </c>
      <c r="F1166" s="81" t="s">
        <v>462</v>
      </c>
      <c r="G1166" s="81" t="s">
        <v>1661</v>
      </c>
      <c r="H1166" s="80" t="s">
        <v>386</v>
      </c>
      <c r="I1166" s="81" t="s">
        <v>1666</v>
      </c>
      <c r="J1166" t="str">
        <f t="shared" si="38"/>
        <v>10219104 - Edificio Teresa Vial-Ventas</v>
      </c>
      <c r="K1166" t="str">
        <f t="shared" si="39"/>
        <v>Proyectos Inmobiliarios</v>
      </c>
    </row>
    <row r="1167" spans="1:11" x14ac:dyDescent="0.25">
      <c r="A1167" s="80">
        <v>10219105</v>
      </c>
      <c r="B1167" s="81" t="s">
        <v>1027</v>
      </c>
      <c r="C1167" s="81" t="s">
        <v>1670</v>
      </c>
      <c r="D1167" s="81" t="s">
        <v>1665</v>
      </c>
      <c r="E1167" s="81" t="s">
        <v>1622</v>
      </c>
      <c r="F1167" s="81" t="s">
        <v>462</v>
      </c>
      <c r="G1167" s="81" t="s">
        <v>1661</v>
      </c>
      <c r="H1167" s="80" t="s">
        <v>386</v>
      </c>
      <c r="I1167" s="81" t="s">
        <v>1666</v>
      </c>
      <c r="J1167" t="str">
        <f t="shared" si="38"/>
        <v>10219105 - Edificio Teresa Vial-Clientes</v>
      </c>
      <c r="K1167" t="str">
        <f t="shared" si="39"/>
        <v>Proyectos Inmobiliarios</v>
      </c>
    </row>
    <row r="1168" spans="1:11" x14ac:dyDescent="0.25">
      <c r="A1168" s="80">
        <v>10219204</v>
      </c>
      <c r="B1168" s="81" t="s">
        <v>1028</v>
      </c>
      <c r="C1168" s="81" t="s">
        <v>1670</v>
      </c>
      <c r="D1168" s="81" t="s">
        <v>1665</v>
      </c>
      <c r="E1168" s="81" t="s">
        <v>1624</v>
      </c>
      <c r="F1168" s="81" t="s">
        <v>462</v>
      </c>
      <c r="G1168" s="81" t="s">
        <v>1661</v>
      </c>
      <c r="H1168" s="80" t="s">
        <v>386</v>
      </c>
      <c r="I1168" s="81" t="s">
        <v>1666</v>
      </c>
      <c r="J1168" t="str">
        <f t="shared" si="38"/>
        <v>10219204 - Edificio Teresa Vial-Proyecto</v>
      </c>
      <c r="K1168" t="str">
        <f t="shared" si="39"/>
        <v>Proyectos Inmobiliarios</v>
      </c>
    </row>
    <row r="1169" spans="1:11" x14ac:dyDescent="0.25">
      <c r="A1169" s="80">
        <v>10219301</v>
      </c>
      <c r="B1169" s="81" t="s">
        <v>1029</v>
      </c>
      <c r="C1169" s="81" t="s">
        <v>1670</v>
      </c>
      <c r="D1169" s="81" t="s">
        <v>1665</v>
      </c>
      <c r="E1169" s="81" t="s">
        <v>1643</v>
      </c>
      <c r="F1169" s="81" t="s">
        <v>462</v>
      </c>
      <c r="G1169" s="81" t="s">
        <v>1667</v>
      </c>
      <c r="H1169" s="80" t="s">
        <v>386</v>
      </c>
      <c r="I1169" s="81" t="s">
        <v>1666</v>
      </c>
      <c r="J1169" t="str">
        <f t="shared" si="38"/>
        <v>10219301 - Edificio Teresa Vial-GAF</v>
      </c>
      <c r="K1169" t="str">
        <f t="shared" si="39"/>
        <v>Proyectos Inmobiliarios</v>
      </c>
    </row>
    <row r="1170" spans="1:11" x14ac:dyDescent="0.25">
      <c r="A1170" s="80">
        <v>10219505</v>
      </c>
      <c r="B1170" s="81" t="s">
        <v>1030</v>
      </c>
      <c r="C1170" s="81" t="s">
        <v>1670</v>
      </c>
      <c r="D1170" s="81" t="s">
        <v>66</v>
      </c>
      <c r="E1170" s="81" t="s">
        <v>328</v>
      </c>
      <c r="F1170" s="81" t="s">
        <v>462</v>
      </c>
      <c r="G1170" s="81" t="s">
        <v>1661</v>
      </c>
      <c r="H1170" s="80" t="s">
        <v>386</v>
      </c>
      <c r="I1170" s="81" t="s">
        <v>1666</v>
      </c>
      <c r="J1170" t="str">
        <f t="shared" si="38"/>
        <v>10219505 - Edificio Teresa Vial-PV Inmob.</v>
      </c>
      <c r="K1170" t="str">
        <f t="shared" si="39"/>
        <v>Postventa</v>
      </c>
    </row>
    <row r="1171" spans="1:11" x14ac:dyDescent="0.25">
      <c r="A1171" s="80">
        <v>10219506</v>
      </c>
      <c r="B1171" s="81" t="s">
        <v>1031</v>
      </c>
      <c r="C1171" s="81" t="s">
        <v>1670</v>
      </c>
      <c r="D1171" s="81" t="s">
        <v>1665</v>
      </c>
      <c r="E1171" s="81" t="s">
        <v>200</v>
      </c>
      <c r="F1171" s="81" t="s">
        <v>462</v>
      </c>
      <c r="G1171" s="81" t="s">
        <v>1661</v>
      </c>
      <c r="H1171" s="80" t="s">
        <v>386</v>
      </c>
      <c r="I1171" s="81" t="s">
        <v>1666</v>
      </c>
      <c r="J1171" t="str">
        <f t="shared" si="38"/>
        <v>10219506 - Edificio Teresa Vial-Depto.Técnico</v>
      </c>
      <c r="K1171" t="str">
        <f t="shared" si="39"/>
        <v>Proyectos Inmobiliarios</v>
      </c>
    </row>
    <row r="1172" spans="1:11" x14ac:dyDescent="0.25">
      <c r="A1172" s="80">
        <v>8219</v>
      </c>
      <c r="B1172" s="81" t="s">
        <v>2087</v>
      </c>
      <c r="C1172" s="81" t="s">
        <v>1670</v>
      </c>
      <c r="D1172" s="81" t="s">
        <v>1686</v>
      </c>
      <c r="E1172" s="81" t="s">
        <v>1501</v>
      </c>
      <c r="F1172" s="81" t="s">
        <v>462</v>
      </c>
      <c r="G1172" s="81" t="s">
        <v>1661</v>
      </c>
      <c r="H1172" s="80" t="s">
        <v>1672</v>
      </c>
      <c r="I1172" s="81" t="s">
        <v>1666</v>
      </c>
      <c r="J1172" t="str">
        <f t="shared" si="38"/>
        <v>8219 - Entrega Edificio Teresa Vial</v>
      </c>
      <c r="K1172" t="str">
        <f t="shared" si="39"/>
        <v>Entrega</v>
      </c>
    </row>
    <row r="1173" spans="1:11" x14ac:dyDescent="0.25">
      <c r="A1173" s="80">
        <v>9219</v>
      </c>
      <c r="B1173" s="81" t="s">
        <v>2088</v>
      </c>
      <c r="C1173" s="81" t="s">
        <v>1670</v>
      </c>
      <c r="D1173" s="81" t="s">
        <v>66</v>
      </c>
      <c r="E1173" s="81" t="s">
        <v>328</v>
      </c>
      <c r="F1173" s="81" t="s">
        <v>462</v>
      </c>
      <c r="G1173" s="81" t="s">
        <v>1661</v>
      </c>
      <c r="H1173" s="80" t="s">
        <v>1672</v>
      </c>
      <c r="I1173" s="81" t="s">
        <v>1666</v>
      </c>
      <c r="J1173" t="str">
        <f t="shared" si="38"/>
        <v>9219 - PV Edificio Teresa Vial</v>
      </c>
      <c r="K1173" t="str">
        <f t="shared" si="39"/>
        <v>Postventa</v>
      </c>
    </row>
    <row r="1174" spans="1:11" x14ac:dyDescent="0.25">
      <c r="A1174" s="62">
        <v>1070202</v>
      </c>
      <c r="B1174" s="63" t="s">
        <v>724</v>
      </c>
      <c r="C1174" s="63" t="s">
        <v>1660</v>
      </c>
      <c r="D1174" s="63" t="s">
        <v>1578</v>
      </c>
      <c r="E1174" s="63" t="s">
        <v>1578</v>
      </c>
      <c r="F1174" s="63" t="s">
        <v>869</v>
      </c>
      <c r="G1174" s="63" t="s">
        <v>1661</v>
      </c>
      <c r="H1174" s="62" t="s">
        <v>386</v>
      </c>
      <c r="I1174" s="63" t="s">
        <v>1662</v>
      </c>
      <c r="J1174" t="str">
        <f t="shared" si="38"/>
        <v>1070202 - Terreno Edificio Terrazas del Sol – Desarrollo</v>
      </c>
      <c r="K1174" t="str">
        <f t="shared" si="39"/>
        <v>Terreno</v>
      </c>
    </row>
    <row r="1175" spans="1:11" x14ac:dyDescent="0.25">
      <c r="A1175" s="62">
        <v>200</v>
      </c>
      <c r="B1175" s="63" t="s">
        <v>869</v>
      </c>
      <c r="C1175" s="63" t="s">
        <v>1660</v>
      </c>
      <c r="D1175" s="63" t="s">
        <v>65</v>
      </c>
      <c r="E1175" s="63" t="s">
        <v>65</v>
      </c>
      <c r="F1175" s="63" t="s">
        <v>869</v>
      </c>
      <c r="G1175" s="63" t="s">
        <v>1663</v>
      </c>
      <c r="H1175" s="62" t="s">
        <v>1672</v>
      </c>
      <c r="I1175" s="63" t="s">
        <v>1664</v>
      </c>
      <c r="J1175" t="str">
        <f t="shared" si="38"/>
        <v>200 - Edificio Terrazas del Sol</v>
      </c>
      <c r="K1175" t="str">
        <f t="shared" si="39"/>
        <v>Obra</v>
      </c>
    </row>
    <row r="1176" spans="1:11" x14ac:dyDescent="0.25">
      <c r="A1176" s="62">
        <v>8200</v>
      </c>
      <c r="B1176" s="63" t="s">
        <v>509</v>
      </c>
      <c r="C1176" s="63" t="s">
        <v>1660</v>
      </c>
      <c r="D1176" s="63" t="s">
        <v>1686</v>
      </c>
      <c r="E1176" s="63" t="s">
        <v>1501</v>
      </c>
      <c r="F1176" s="63" t="s">
        <v>869</v>
      </c>
      <c r="G1176" s="63" t="s">
        <v>1661</v>
      </c>
      <c r="H1176" s="62" t="s">
        <v>386</v>
      </c>
      <c r="I1176" s="63" t="s">
        <v>1666</v>
      </c>
      <c r="J1176" t="str">
        <f t="shared" si="38"/>
        <v>8200 - Entrega Edificio Terrazas del Sol</v>
      </c>
      <c r="K1176" t="str">
        <f t="shared" si="39"/>
        <v>Entrega</v>
      </c>
    </row>
    <row r="1177" spans="1:11" x14ac:dyDescent="0.25">
      <c r="A1177" s="62">
        <v>9200</v>
      </c>
      <c r="B1177" s="63" t="s">
        <v>626</v>
      </c>
      <c r="C1177" s="63" t="s">
        <v>1660</v>
      </c>
      <c r="D1177" s="63" t="s">
        <v>66</v>
      </c>
      <c r="E1177" s="63" t="s">
        <v>328</v>
      </c>
      <c r="F1177" s="63" t="s">
        <v>869</v>
      </c>
      <c r="G1177" s="63" t="s">
        <v>1661</v>
      </c>
      <c r="H1177" s="62" t="s">
        <v>386</v>
      </c>
      <c r="I1177" s="63" t="s">
        <v>1666</v>
      </c>
      <c r="J1177" t="str">
        <f t="shared" si="38"/>
        <v>9200 - PV Edificio Terrazas del Sol</v>
      </c>
      <c r="K1177" t="str">
        <f t="shared" si="39"/>
        <v>Postventa</v>
      </c>
    </row>
    <row r="1178" spans="1:11" x14ac:dyDescent="0.25">
      <c r="A1178" s="62">
        <v>10200000</v>
      </c>
      <c r="B1178" s="63" t="s">
        <v>869</v>
      </c>
      <c r="C1178" s="63" t="s">
        <v>1660</v>
      </c>
      <c r="D1178" s="63" t="s">
        <v>1665</v>
      </c>
      <c r="E1178" s="63" t="s">
        <v>1585</v>
      </c>
      <c r="F1178" s="63" t="s">
        <v>869</v>
      </c>
      <c r="G1178" s="63" t="s">
        <v>1661</v>
      </c>
      <c r="H1178" s="62" t="s">
        <v>386</v>
      </c>
      <c r="I1178" s="63" t="s">
        <v>1666</v>
      </c>
      <c r="J1178" t="str">
        <f t="shared" si="38"/>
        <v>10200000 - Edificio Terrazas del Sol</v>
      </c>
      <c r="K1178" t="str">
        <f t="shared" si="39"/>
        <v>Proyectos Inmobiliarios</v>
      </c>
    </row>
    <row r="1179" spans="1:11" x14ac:dyDescent="0.25">
      <c r="A1179" s="62">
        <v>10200102</v>
      </c>
      <c r="B1179" s="63" t="s">
        <v>870</v>
      </c>
      <c r="C1179" s="63" t="s">
        <v>1660</v>
      </c>
      <c r="D1179" s="63" t="s">
        <v>1665</v>
      </c>
      <c r="E1179" s="63" t="s">
        <v>1617</v>
      </c>
      <c r="F1179" s="63" t="s">
        <v>869</v>
      </c>
      <c r="G1179" s="63" t="s">
        <v>1661</v>
      </c>
      <c r="H1179" s="62" t="s">
        <v>386</v>
      </c>
      <c r="I1179" s="63" t="s">
        <v>1666</v>
      </c>
      <c r="J1179" t="str">
        <f t="shared" si="38"/>
        <v>10200102 - Edificio Terrazas del Sol-Marketing</v>
      </c>
      <c r="K1179" t="str">
        <f t="shared" si="39"/>
        <v>Proyectos Inmobiliarios</v>
      </c>
    </row>
    <row r="1180" spans="1:11" x14ac:dyDescent="0.25">
      <c r="A1180" s="62">
        <v>10200103</v>
      </c>
      <c r="B1180" s="63" t="s">
        <v>871</v>
      </c>
      <c r="C1180" s="63" t="s">
        <v>1660</v>
      </c>
      <c r="D1180" s="63" t="s">
        <v>1665</v>
      </c>
      <c r="E1180" s="63" t="s">
        <v>1618</v>
      </c>
      <c r="F1180" s="63" t="s">
        <v>869</v>
      </c>
      <c r="G1180" s="63" t="s">
        <v>1661</v>
      </c>
      <c r="H1180" s="62" t="s">
        <v>386</v>
      </c>
      <c r="I1180" s="63" t="s">
        <v>1666</v>
      </c>
      <c r="J1180" t="str">
        <f t="shared" si="38"/>
        <v>10200103 - Edificio Terrazas del Sol-Operaciones</v>
      </c>
      <c r="K1180" t="str">
        <f t="shared" si="39"/>
        <v>Proyectos Inmobiliarios</v>
      </c>
    </row>
    <row r="1181" spans="1:11" x14ac:dyDescent="0.25">
      <c r="A1181" s="62">
        <v>10200104</v>
      </c>
      <c r="B1181" s="63" t="s">
        <v>872</v>
      </c>
      <c r="C1181" s="63" t="s">
        <v>1660</v>
      </c>
      <c r="D1181" s="63" t="s">
        <v>1665</v>
      </c>
      <c r="E1181" s="63" t="s">
        <v>90</v>
      </c>
      <c r="F1181" s="63" t="s">
        <v>869</v>
      </c>
      <c r="G1181" s="63" t="s">
        <v>1661</v>
      </c>
      <c r="H1181" s="62" t="s">
        <v>386</v>
      </c>
      <c r="I1181" s="63" t="s">
        <v>1666</v>
      </c>
      <c r="J1181" t="str">
        <f t="shared" si="38"/>
        <v>10200104 - Edificio Terrazas del Sol-Ventas</v>
      </c>
      <c r="K1181" t="str">
        <f t="shared" si="39"/>
        <v>Proyectos Inmobiliarios</v>
      </c>
    </row>
    <row r="1182" spans="1:11" x14ac:dyDescent="0.25">
      <c r="A1182" s="62">
        <v>10200105</v>
      </c>
      <c r="B1182" s="63" t="s">
        <v>873</v>
      </c>
      <c r="C1182" s="63" t="s">
        <v>1660</v>
      </c>
      <c r="D1182" s="63" t="s">
        <v>1665</v>
      </c>
      <c r="E1182" s="63" t="s">
        <v>1622</v>
      </c>
      <c r="F1182" s="63" t="s">
        <v>869</v>
      </c>
      <c r="G1182" s="63" t="s">
        <v>1661</v>
      </c>
      <c r="H1182" s="62" t="s">
        <v>386</v>
      </c>
      <c r="I1182" s="63" t="s">
        <v>1666</v>
      </c>
      <c r="J1182" t="str">
        <f t="shared" si="38"/>
        <v>10200105 - Edificio Terrazas del Sol-Clientes</v>
      </c>
      <c r="K1182" t="str">
        <f t="shared" si="39"/>
        <v>Proyectos Inmobiliarios</v>
      </c>
    </row>
    <row r="1183" spans="1:11" x14ac:dyDescent="0.25">
      <c r="A1183" s="62">
        <v>10200204</v>
      </c>
      <c r="B1183" s="63" t="s">
        <v>874</v>
      </c>
      <c r="C1183" s="63" t="s">
        <v>1660</v>
      </c>
      <c r="D1183" s="63" t="s">
        <v>1665</v>
      </c>
      <c r="E1183" s="63" t="s">
        <v>1624</v>
      </c>
      <c r="F1183" s="63" t="s">
        <v>869</v>
      </c>
      <c r="G1183" s="63" t="s">
        <v>1661</v>
      </c>
      <c r="H1183" s="62" t="s">
        <v>386</v>
      </c>
      <c r="I1183" s="63" t="s">
        <v>1666</v>
      </c>
      <c r="J1183" t="str">
        <f t="shared" si="38"/>
        <v>10200204 - Edificio Terrazas del Sol-Proyecto</v>
      </c>
      <c r="K1183" t="str">
        <f t="shared" si="39"/>
        <v>Proyectos Inmobiliarios</v>
      </c>
    </row>
    <row r="1184" spans="1:11" x14ac:dyDescent="0.25">
      <c r="A1184" s="62">
        <v>10200301</v>
      </c>
      <c r="B1184" s="63" t="s">
        <v>875</v>
      </c>
      <c r="C1184" s="63" t="s">
        <v>1660</v>
      </c>
      <c r="D1184" s="63" t="s">
        <v>1665</v>
      </c>
      <c r="E1184" s="63" t="s">
        <v>1643</v>
      </c>
      <c r="F1184" s="63" t="s">
        <v>869</v>
      </c>
      <c r="G1184" s="63" t="s">
        <v>1667</v>
      </c>
      <c r="H1184" s="62" t="s">
        <v>386</v>
      </c>
      <c r="I1184" s="63" t="s">
        <v>1666</v>
      </c>
      <c r="J1184" t="str">
        <f t="shared" si="38"/>
        <v>10200301 - Edificio Terrazas del Sol-GAF</v>
      </c>
      <c r="K1184" t="str">
        <f t="shared" si="39"/>
        <v>Proyectos Inmobiliarios</v>
      </c>
    </row>
    <row r="1185" spans="1:11" x14ac:dyDescent="0.25">
      <c r="A1185" s="62">
        <v>10200505</v>
      </c>
      <c r="B1185" s="63" t="s">
        <v>876</v>
      </c>
      <c r="C1185" s="63" t="s">
        <v>1660</v>
      </c>
      <c r="D1185" s="63" t="s">
        <v>66</v>
      </c>
      <c r="E1185" s="63" t="s">
        <v>328</v>
      </c>
      <c r="F1185" s="63" t="s">
        <v>869</v>
      </c>
      <c r="G1185" s="63" t="s">
        <v>1661</v>
      </c>
      <c r="H1185" s="62" t="s">
        <v>386</v>
      </c>
      <c r="I1185" s="63" t="s">
        <v>1666</v>
      </c>
      <c r="J1185" t="str">
        <f t="shared" si="38"/>
        <v>10200505 - Edificio Terrazas del Sol-PV Inmob.</v>
      </c>
      <c r="K1185" t="str">
        <f t="shared" si="39"/>
        <v>Postventa</v>
      </c>
    </row>
    <row r="1186" spans="1:11" x14ac:dyDescent="0.25">
      <c r="A1186" s="62">
        <v>10200506</v>
      </c>
      <c r="B1186" s="63" t="s">
        <v>877</v>
      </c>
      <c r="C1186" s="63" t="s">
        <v>1660</v>
      </c>
      <c r="D1186" s="63" t="s">
        <v>1665</v>
      </c>
      <c r="E1186" s="63" t="s">
        <v>200</v>
      </c>
      <c r="F1186" s="63" t="s">
        <v>869</v>
      </c>
      <c r="G1186" s="63" t="s">
        <v>1661</v>
      </c>
      <c r="H1186" s="62" t="s">
        <v>386</v>
      </c>
      <c r="I1186" s="63" t="s">
        <v>1666</v>
      </c>
      <c r="J1186" t="str">
        <f t="shared" si="38"/>
        <v>10200506 - Edificio Terrazas del Sol-Depto.Técnico</v>
      </c>
      <c r="K1186" t="str">
        <f t="shared" si="39"/>
        <v>Proyectos Inmobiliarios</v>
      </c>
    </row>
    <row r="1187" spans="1:11" x14ac:dyDescent="0.25">
      <c r="A1187" s="74">
        <v>1132202</v>
      </c>
      <c r="B1187" s="75" t="s">
        <v>762</v>
      </c>
      <c r="C1187" s="75" t="s">
        <v>1670</v>
      </c>
      <c r="D1187" s="75" t="s">
        <v>1578</v>
      </c>
      <c r="E1187" s="75" t="s">
        <v>1578</v>
      </c>
      <c r="F1187" s="75" t="s">
        <v>2089</v>
      </c>
      <c r="G1187" s="75" t="s">
        <v>1661</v>
      </c>
      <c r="H1187" s="74" t="s">
        <v>386</v>
      </c>
      <c r="I1187" s="75" t="s">
        <v>1662</v>
      </c>
      <c r="J1187" t="str">
        <f t="shared" si="38"/>
        <v xml:space="preserve">1132202 - Terreno Trinidad Ramirez 24 – Inversiones </v>
      </c>
      <c r="K1187" t="str">
        <f t="shared" si="39"/>
        <v>Terreno</v>
      </c>
    </row>
    <row r="1188" spans="1:11" x14ac:dyDescent="0.25">
      <c r="A1188" s="74">
        <v>254</v>
      </c>
      <c r="B1188" s="75" t="s">
        <v>1234</v>
      </c>
      <c r="C1188" s="75" t="s">
        <v>1670</v>
      </c>
      <c r="D1188" s="75" t="s">
        <v>65</v>
      </c>
      <c r="E1188" s="75" t="s">
        <v>65</v>
      </c>
      <c r="F1188" s="75" t="s">
        <v>2089</v>
      </c>
      <c r="G1188" s="75" t="s">
        <v>1663</v>
      </c>
      <c r="H1188" s="74" t="s">
        <v>1672</v>
      </c>
      <c r="I1188" s="75" t="s">
        <v>1664</v>
      </c>
      <c r="J1188" t="str">
        <f t="shared" si="38"/>
        <v>254 - Trinidad Ramirez</v>
      </c>
      <c r="K1188" t="str">
        <f t="shared" si="39"/>
        <v>Obra</v>
      </c>
    </row>
    <row r="1189" spans="1:11" x14ac:dyDescent="0.25">
      <c r="A1189" s="74">
        <v>8254</v>
      </c>
      <c r="B1189" s="75" t="s">
        <v>538</v>
      </c>
      <c r="C1189" s="75" t="s">
        <v>1670</v>
      </c>
      <c r="D1189" s="75" t="s">
        <v>1686</v>
      </c>
      <c r="E1189" s="75" t="s">
        <v>1501</v>
      </c>
      <c r="F1189" s="75" t="s">
        <v>2089</v>
      </c>
      <c r="G1189" s="75" t="s">
        <v>1661</v>
      </c>
      <c r="H1189" s="74" t="s">
        <v>386</v>
      </c>
      <c r="I1189" s="75" t="s">
        <v>1666</v>
      </c>
      <c r="J1189" t="str">
        <f t="shared" si="38"/>
        <v>8254 - Entrega Trinidad Ramirez</v>
      </c>
      <c r="K1189" t="str">
        <f t="shared" si="39"/>
        <v>Entrega</v>
      </c>
    </row>
    <row r="1190" spans="1:11" x14ac:dyDescent="0.25">
      <c r="A1190" s="74">
        <v>9254</v>
      </c>
      <c r="B1190" s="75" t="s">
        <v>664</v>
      </c>
      <c r="C1190" s="75" t="s">
        <v>1670</v>
      </c>
      <c r="D1190" s="75" t="s">
        <v>66</v>
      </c>
      <c r="E1190" s="75" t="s">
        <v>328</v>
      </c>
      <c r="F1190" s="75" t="s">
        <v>2089</v>
      </c>
      <c r="G1190" s="75" t="s">
        <v>1661</v>
      </c>
      <c r="H1190" s="74" t="s">
        <v>386</v>
      </c>
      <c r="I1190" s="75" t="s">
        <v>1666</v>
      </c>
      <c r="J1190" t="str">
        <f t="shared" si="38"/>
        <v>9254 - PV Trinidad Ramirez</v>
      </c>
      <c r="K1190" t="str">
        <f t="shared" si="39"/>
        <v>Postventa</v>
      </c>
    </row>
    <row r="1191" spans="1:11" x14ac:dyDescent="0.25">
      <c r="A1191" s="74">
        <v>10254000</v>
      </c>
      <c r="B1191" s="75" t="s">
        <v>1234</v>
      </c>
      <c r="C1191" s="75" t="s">
        <v>1670</v>
      </c>
      <c r="D1191" s="75" t="s">
        <v>1665</v>
      </c>
      <c r="E1191" s="75" t="s">
        <v>1585</v>
      </c>
      <c r="F1191" s="75" t="s">
        <v>2089</v>
      </c>
      <c r="G1191" s="75" t="s">
        <v>1661</v>
      </c>
      <c r="H1191" s="74" t="s">
        <v>386</v>
      </c>
      <c r="I1191" s="75" t="s">
        <v>1666</v>
      </c>
      <c r="J1191" t="str">
        <f t="shared" si="38"/>
        <v>10254000 - Trinidad Ramirez</v>
      </c>
      <c r="K1191" t="str">
        <f t="shared" si="39"/>
        <v>Proyectos Inmobiliarios</v>
      </c>
    </row>
    <row r="1192" spans="1:11" x14ac:dyDescent="0.25">
      <c r="A1192" s="74">
        <v>10254102</v>
      </c>
      <c r="B1192" s="75" t="s">
        <v>1235</v>
      </c>
      <c r="C1192" s="75" t="s">
        <v>1670</v>
      </c>
      <c r="D1192" s="75" t="s">
        <v>1665</v>
      </c>
      <c r="E1192" s="75" t="s">
        <v>1617</v>
      </c>
      <c r="F1192" s="75" t="s">
        <v>2089</v>
      </c>
      <c r="G1192" s="75" t="s">
        <v>1661</v>
      </c>
      <c r="H1192" s="74" t="s">
        <v>386</v>
      </c>
      <c r="I1192" s="75" t="s">
        <v>1666</v>
      </c>
      <c r="J1192" t="str">
        <f t="shared" si="38"/>
        <v>10254102 - Trinidad Ramirez-Marketing</v>
      </c>
      <c r="K1192" t="str">
        <f t="shared" si="39"/>
        <v>Proyectos Inmobiliarios</v>
      </c>
    </row>
    <row r="1193" spans="1:11" x14ac:dyDescent="0.25">
      <c r="A1193" s="74">
        <v>10254103</v>
      </c>
      <c r="B1193" s="75" t="s">
        <v>1236</v>
      </c>
      <c r="C1193" s="75" t="s">
        <v>1670</v>
      </c>
      <c r="D1193" s="75" t="s">
        <v>1665</v>
      </c>
      <c r="E1193" s="75" t="s">
        <v>1618</v>
      </c>
      <c r="F1193" s="75" t="s">
        <v>2089</v>
      </c>
      <c r="G1193" s="75" t="s">
        <v>1661</v>
      </c>
      <c r="H1193" s="74" t="s">
        <v>386</v>
      </c>
      <c r="I1193" s="75" t="s">
        <v>1666</v>
      </c>
      <c r="J1193" t="str">
        <f t="shared" si="38"/>
        <v>10254103 - Trinidad Ramirez-Operaciones</v>
      </c>
      <c r="K1193" t="str">
        <f t="shared" si="39"/>
        <v>Proyectos Inmobiliarios</v>
      </c>
    </row>
    <row r="1194" spans="1:11" x14ac:dyDescent="0.25">
      <c r="A1194" s="74">
        <v>10254104</v>
      </c>
      <c r="B1194" s="75" t="s">
        <v>1237</v>
      </c>
      <c r="C1194" s="75" t="s">
        <v>1670</v>
      </c>
      <c r="D1194" s="75" t="s">
        <v>1665</v>
      </c>
      <c r="E1194" s="75" t="s">
        <v>90</v>
      </c>
      <c r="F1194" s="75" t="s">
        <v>2089</v>
      </c>
      <c r="G1194" s="75" t="s">
        <v>1661</v>
      </c>
      <c r="H1194" s="74" t="s">
        <v>386</v>
      </c>
      <c r="I1194" s="75" t="s">
        <v>1666</v>
      </c>
      <c r="J1194" t="str">
        <f t="shared" si="38"/>
        <v>10254104 - Trinidad Ramirez-Ventas</v>
      </c>
      <c r="K1194" t="str">
        <f t="shared" si="39"/>
        <v>Proyectos Inmobiliarios</v>
      </c>
    </row>
    <row r="1195" spans="1:11" x14ac:dyDescent="0.25">
      <c r="A1195" s="74">
        <v>10254105</v>
      </c>
      <c r="B1195" s="75" t="s">
        <v>1238</v>
      </c>
      <c r="C1195" s="75" t="s">
        <v>1670</v>
      </c>
      <c r="D1195" s="75" t="s">
        <v>1665</v>
      </c>
      <c r="E1195" s="75" t="s">
        <v>1622</v>
      </c>
      <c r="F1195" s="75" t="s">
        <v>2089</v>
      </c>
      <c r="G1195" s="75" t="s">
        <v>1661</v>
      </c>
      <c r="H1195" s="74" t="s">
        <v>386</v>
      </c>
      <c r="I1195" s="75" t="s">
        <v>1666</v>
      </c>
      <c r="J1195" t="str">
        <f t="shared" si="38"/>
        <v>10254105 - Trinidad Ramirez-Clientes</v>
      </c>
      <c r="K1195" t="str">
        <f t="shared" si="39"/>
        <v>Proyectos Inmobiliarios</v>
      </c>
    </row>
    <row r="1196" spans="1:11" x14ac:dyDescent="0.25">
      <c r="A1196" s="74">
        <v>10254204</v>
      </c>
      <c r="B1196" s="75" t="s">
        <v>1239</v>
      </c>
      <c r="C1196" s="75" t="s">
        <v>1670</v>
      </c>
      <c r="D1196" s="75" t="s">
        <v>1665</v>
      </c>
      <c r="E1196" s="75" t="s">
        <v>1624</v>
      </c>
      <c r="F1196" s="75" t="s">
        <v>2089</v>
      </c>
      <c r="G1196" s="75" t="s">
        <v>1661</v>
      </c>
      <c r="H1196" s="74" t="s">
        <v>386</v>
      </c>
      <c r="I1196" s="75" t="s">
        <v>1666</v>
      </c>
      <c r="J1196" t="str">
        <f t="shared" si="38"/>
        <v>10254204 - Trinidad Ramirez-Proyecto</v>
      </c>
      <c r="K1196" t="str">
        <f t="shared" si="39"/>
        <v>Proyectos Inmobiliarios</v>
      </c>
    </row>
    <row r="1197" spans="1:11" x14ac:dyDescent="0.25">
      <c r="A1197" s="74">
        <v>10254301</v>
      </c>
      <c r="B1197" s="75" t="s">
        <v>1240</v>
      </c>
      <c r="C1197" s="75" t="s">
        <v>1670</v>
      </c>
      <c r="D1197" s="75" t="s">
        <v>1665</v>
      </c>
      <c r="E1197" s="75" t="s">
        <v>1643</v>
      </c>
      <c r="F1197" s="75" t="s">
        <v>2089</v>
      </c>
      <c r="G1197" s="75" t="s">
        <v>1667</v>
      </c>
      <c r="H1197" s="74" t="s">
        <v>386</v>
      </c>
      <c r="I1197" s="75" t="s">
        <v>1666</v>
      </c>
      <c r="J1197" t="str">
        <f t="shared" si="38"/>
        <v>10254301 - Trinidad Ramirez-GAF</v>
      </c>
      <c r="K1197" t="str">
        <f t="shared" si="39"/>
        <v>Proyectos Inmobiliarios</v>
      </c>
    </row>
    <row r="1198" spans="1:11" x14ac:dyDescent="0.25">
      <c r="A1198" s="74">
        <v>10254505</v>
      </c>
      <c r="B1198" s="75" t="s">
        <v>1241</v>
      </c>
      <c r="C1198" s="75" t="s">
        <v>1670</v>
      </c>
      <c r="D1198" s="75" t="s">
        <v>66</v>
      </c>
      <c r="E1198" s="75" t="s">
        <v>328</v>
      </c>
      <c r="F1198" s="75" t="s">
        <v>2089</v>
      </c>
      <c r="G1198" s="75" t="s">
        <v>1661</v>
      </c>
      <c r="H1198" s="74" t="s">
        <v>386</v>
      </c>
      <c r="I1198" s="75" t="s">
        <v>1666</v>
      </c>
      <c r="J1198" t="str">
        <f t="shared" si="38"/>
        <v>10254505 - Trinidad Ramirez-PV Inmob.</v>
      </c>
      <c r="K1198" t="str">
        <f t="shared" si="39"/>
        <v>Postventa</v>
      </c>
    </row>
    <row r="1199" spans="1:11" x14ac:dyDescent="0.25">
      <c r="A1199" s="74">
        <v>10254506</v>
      </c>
      <c r="B1199" s="75" t="s">
        <v>1242</v>
      </c>
      <c r="C1199" s="75" t="s">
        <v>1670</v>
      </c>
      <c r="D1199" s="75" t="s">
        <v>1665</v>
      </c>
      <c r="E1199" s="75" t="s">
        <v>200</v>
      </c>
      <c r="F1199" s="75" t="s">
        <v>2089</v>
      </c>
      <c r="G1199" s="75" t="s">
        <v>1661</v>
      </c>
      <c r="H1199" s="74" t="s">
        <v>386</v>
      </c>
      <c r="I1199" s="75" t="s">
        <v>1666</v>
      </c>
      <c r="J1199" t="str">
        <f t="shared" si="38"/>
        <v>10254506 - Trinidad Ramirez-Depto.Técnico</v>
      </c>
      <c r="K1199" t="str">
        <f t="shared" si="39"/>
        <v>Proyectos Inmobiliarios</v>
      </c>
    </row>
    <row r="1200" spans="1:11" x14ac:dyDescent="0.25">
      <c r="A1200" s="96">
        <v>1082202</v>
      </c>
      <c r="B1200" s="97" t="s">
        <v>729</v>
      </c>
      <c r="C1200" s="97" t="s">
        <v>1685</v>
      </c>
      <c r="D1200" s="97" t="s">
        <v>1578</v>
      </c>
      <c r="E1200" s="97" t="s">
        <v>1578</v>
      </c>
      <c r="F1200" s="97" t="s">
        <v>1032</v>
      </c>
      <c r="G1200" s="97" t="s">
        <v>1661</v>
      </c>
      <c r="H1200" s="96" t="s">
        <v>386</v>
      </c>
      <c r="I1200" s="97" t="s">
        <v>1662</v>
      </c>
      <c r="J1200" t="str">
        <f t="shared" si="38"/>
        <v>1082202 - Terreno Edificio Uno Norte - Desarrollo</v>
      </c>
      <c r="K1200" t="str">
        <f t="shared" si="39"/>
        <v>Terreno</v>
      </c>
    </row>
    <row r="1201" spans="1:11" x14ac:dyDescent="0.25">
      <c r="A1201" s="96">
        <v>220</v>
      </c>
      <c r="B1201" s="97" t="s">
        <v>1032</v>
      </c>
      <c r="C1201" s="97" t="s">
        <v>1685</v>
      </c>
      <c r="D1201" s="97" t="s">
        <v>65</v>
      </c>
      <c r="E1201" s="97" t="s">
        <v>65</v>
      </c>
      <c r="F1201" s="97" t="s">
        <v>1032</v>
      </c>
      <c r="G1201" s="97" t="s">
        <v>1663</v>
      </c>
      <c r="H1201" s="96" t="s">
        <v>1672</v>
      </c>
      <c r="I1201" s="97" t="s">
        <v>1664</v>
      </c>
      <c r="J1201" t="str">
        <f t="shared" si="38"/>
        <v>220 - Edificio Uno Norte</v>
      </c>
      <c r="K1201" t="str">
        <f t="shared" si="39"/>
        <v>Obra</v>
      </c>
    </row>
    <row r="1202" spans="1:11" x14ac:dyDescent="0.25">
      <c r="A1202" s="96">
        <v>8220</v>
      </c>
      <c r="B1202" s="97" t="s">
        <v>518</v>
      </c>
      <c r="C1202" s="97" t="s">
        <v>1685</v>
      </c>
      <c r="D1202" s="97" t="s">
        <v>1686</v>
      </c>
      <c r="E1202" s="97" t="s">
        <v>1501</v>
      </c>
      <c r="F1202" s="97" t="s">
        <v>1032</v>
      </c>
      <c r="G1202" s="97" t="s">
        <v>1661</v>
      </c>
      <c r="H1202" s="96" t="s">
        <v>386</v>
      </c>
      <c r="I1202" s="97" t="s">
        <v>1666</v>
      </c>
      <c r="J1202" t="str">
        <f t="shared" si="38"/>
        <v>8220 - Entrega Edificio Uno Norte</v>
      </c>
      <c r="K1202" t="str">
        <f t="shared" si="39"/>
        <v>Entrega</v>
      </c>
    </row>
    <row r="1203" spans="1:11" x14ac:dyDescent="0.25">
      <c r="A1203" s="96">
        <v>9220</v>
      </c>
      <c r="B1203" s="97" t="s">
        <v>641</v>
      </c>
      <c r="C1203" s="97" t="s">
        <v>1685</v>
      </c>
      <c r="D1203" s="97" t="s">
        <v>66</v>
      </c>
      <c r="E1203" s="97" t="s">
        <v>328</v>
      </c>
      <c r="F1203" s="97" t="s">
        <v>1032</v>
      </c>
      <c r="G1203" s="97" t="s">
        <v>1661</v>
      </c>
      <c r="H1203" s="96" t="s">
        <v>386</v>
      </c>
      <c r="I1203" s="97" t="s">
        <v>1666</v>
      </c>
      <c r="J1203" t="str">
        <f t="shared" si="38"/>
        <v>9220 - PV Edificio Uno Norte</v>
      </c>
      <c r="K1203" t="str">
        <f t="shared" si="39"/>
        <v>Postventa</v>
      </c>
    </row>
    <row r="1204" spans="1:11" x14ac:dyDescent="0.25">
      <c r="A1204" s="96">
        <v>10220000</v>
      </c>
      <c r="B1204" s="97" t="s">
        <v>1032</v>
      </c>
      <c r="C1204" s="97" t="s">
        <v>1685</v>
      </c>
      <c r="D1204" s="97" t="s">
        <v>1665</v>
      </c>
      <c r="E1204" s="97" t="s">
        <v>1585</v>
      </c>
      <c r="F1204" s="97" t="s">
        <v>1032</v>
      </c>
      <c r="G1204" s="97" t="s">
        <v>1661</v>
      </c>
      <c r="H1204" s="96" t="s">
        <v>386</v>
      </c>
      <c r="I1204" s="97" t="s">
        <v>1666</v>
      </c>
      <c r="J1204" t="str">
        <f t="shared" si="38"/>
        <v>10220000 - Edificio Uno Norte</v>
      </c>
      <c r="K1204" t="str">
        <f t="shared" si="39"/>
        <v>Proyectos Inmobiliarios</v>
      </c>
    </row>
    <row r="1205" spans="1:11" x14ac:dyDescent="0.25">
      <c r="A1205" s="96">
        <v>10220102</v>
      </c>
      <c r="B1205" s="97" t="s">
        <v>1033</v>
      </c>
      <c r="C1205" s="97" t="s">
        <v>1685</v>
      </c>
      <c r="D1205" s="97" t="s">
        <v>1665</v>
      </c>
      <c r="E1205" s="97" t="s">
        <v>1617</v>
      </c>
      <c r="F1205" s="97" t="s">
        <v>1032</v>
      </c>
      <c r="G1205" s="97" t="s">
        <v>1661</v>
      </c>
      <c r="H1205" s="96" t="s">
        <v>386</v>
      </c>
      <c r="I1205" s="97" t="s">
        <v>1666</v>
      </c>
      <c r="J1205" t="str">
        <f t="shared" si="38"/>
        <v>10220102 - Edificio Uno Norte-Marketing</v>
      </c>
      <c r="K1205" t="str">
        <f t="shared" si="39"/>
        <v>Proyectos Inmobiliarios</v>
      </c>
    </row>
    <row r="1206" spans="1:11" x14ac:dyDescent="0.25">
      <c r="A1206" s="96">
        <v>10220103</v>
      </c>
      <c r="B1206" s="97" t="s">
        <v>1034</v>
      </c>
      <c r="C1206" s="97" t="s">
        <v>1685</v>
      </c>
      <c r="D1206" s="97" t="s">
        <v>1665</v>
      </c>
      <c r="E1206" s="97" t="s">
        <v>1618</v>
      </c>
      <c r="F1206" s="97" t="s">
        <v>1032</v>
      </c>
      <c r="G1206" s="97" t="s">
        <v>1661</v>
      </c>
      <c r="H1206" s="96" t="s">
        <v>386</v>
      </c>
      <c r="I1206" s="97" t="s">
        <v>1666</v>
      </c>
      <c r="J1206" t="str">
        <f t="shared" si="38"/>
        <v>10220103 - Edificio Uno Norte-Operaciones</v>
      </c>
      <c r="K1206" t="str">
        <f t="shared" si="39"/>
        <v>Proyectos Inmobiliarios</v>
      </c>
    </row>
    <row r="1207" spans="1:11" x14ac:dyDescent="0.25">
      <c r="A1207" s="96">
        <v>10220104</v>
      </c>
      <c r="B1207" s="97" t="s">
        <v>1035</v>
      </c>
      <c r="C1207" s="97" t="s">
        <v>1685</v>
      </c>
      <c r="D1207" s="97" t="s">
        <v>1665</v>
      </c>
      <c r="E1207" s="97" t="s">
        <v>90</v>
      </c>
      <c r="F1207" s="97" t="s">
        <v>1032</v>
      </c>
      <c r="G1207" s="97" t="s">
        <v>1661</v>
      </c>
      <c r="H1207" s="96" t="s">
        <v>386</v>
      </c>
      <c r="I1207" s="97" t="s">
        <v>1666</v>
      </c>
      <c r="J1207" t="str">
        <f t="shared" si="38"/>
        <v>10220104 - Edificio Uno Norte-Ventas</v>
      </c>
      <c r="K1207" t="str">
        <f t="shared" si="39"/>
        <v>Proyectos Inmobiliarios</v>
      </c>
    </row>
    <row r="1208" spans="1:11" x14ac:dyDescent="0.25">
      <c r="A1208" s="96">
        <v>10220105</v>
      </c>
      <c r="B1208" s="97" t="s">
        <v>1036</v>
      </c>
      <c r="C1208" s="97" t="s">
        <v>1685</v>
      </c>
      <c r="D1208" s="97" t="s">
        <v>1665</v>
      </c>
      <c r="E1208" s="97" t="s">
        <v>1622</v>
      </c>
      <c r="F1208" s="97" t="s">
        <v>1032</v>
      </c>
      <c r="G1208" s="97" t="s">
        <v>1661</v>
      </c>
      <c r="H1208" s="96" t="s">
        <v>386</v>
      </c>
      <c r="I1208" s="97" t="s">
        <v>1666</v>
      </c>
      <c r="J1208" t="str">
        <f t="shared" si="38"/>
        <v>10220105 - Edificio Uno Norte-Clientes</v>
      </c>
      <c r="K1208" t="str">
        <f t="shared" si="39"/>
        <v>Proyectos Inmobiliarios</v>
      </c>
    </row>
    <row r="1209" spans="1:11" x14ac:dyDescent="0.25">
      <c r="A1209" s="96">
        <v>10220204</v>
      </c>
      <c r="B1209" s="97" t="s">
        <v>1037</v>
      </c>
      <c r="C1209" s="97" t="s">
        <v>1685</v>
      </c>
      <c r="D1209" s="97" t="s">
        <v>1665</v>
      </c>
      <c r="E1209" s="97" t="s">
        <v>1624</v>
      </c>
      <c r="F1209" s="97" t="s">
        <v>1032</v>
      </c>
      <c r="G1209" s="97" t="s">
        <v>1661</v>
      </c>
      <c r="H1209" s="96" t="s">
        <v>386</v>
      </c>
      <c r="I1209" s="97" t="s">
        <v>1666</v>
      </c>
      <c r="J1209" t="str">
        <f t="shared" si="38"/>
        <v>10220204 - Edificio Uno Norte-Proyecto</v>
      </c>
      <c r="K1209" t="str">
        <f t="shared" si="39"/>
        <v>Proyectos Inmobiliarios</v>
      </c>
    </row>
    <row r="1210" spans="1:11" x14ac:dyDescent="0.25">
      <c r="A1210" s="96">
        <v>10220301</v>
      </c>
      <c r="B1210" s="97" t="s">
        <v>1038</v>
      </c>
      <c r="C1210" s="97" t="s">
        <v>1685</v>
      </c>
      <c r="D1210" s="97" t="s">
        <v>1665</v>
      </c>
      <c r="E1210" s="97" t="s">
        <v>1643</v>
      </c>
      <c r="F1210" s="97" t="s">
        <v>1032</v>
      </c>
      <c r="G1210" s="97" t="s">
        <v>1667</v>
      </c>
      <c r="H1210" s="96" t="s">
        <v>386</v>
      </c>
      <c r="I1210" s="97" t="s">
        <v>1666</v>
      </c>
      <c r="J1210" t="str">
        <f t="shared" si="38"/>
        <v>10220301 - Edificio Uno Norte-GAF</v>
      </c>
      <c r="K1210" t="str">
        <f t="shared" si="39"/>
        <v>Proyectos Inmobiliarios</v>
      </c>
    </row>
    <row r="1211" spans="1:11" x14ac:dyDescent="0.25">
      <c r="A1211" s="96">
        <v>10220505</v>
      </c>
      <c r="B1211" s="97" t="s">
        <v>1039</v>
      </c>
      <c r="C1211" s="97" t="s">
        <v>1685</v>
      </c>
      <c r="D1211" s="97" t="s">
        <v>66</v>
      </c>
      <c r="E1211" s="97" t="s">
        <v>328</v>
      </c>
      <c r="F1211" s="97" t="s">
        <v>1032</v>
      </c>
      <c r="G1211" s="97" t="s">
        <v>1661</v>
      </c>
      <c r="H1211" s="96" t="s">
        <v>386</v>
      </c>
      <c r="I1211" s="97" t="s">
        <v>1666</v>
      </c>
      <c r="J1211" t="str">
        <f t="shared" si="38"/>
        <v>10220505 - Edificio Uno Norte-PV Inmob.</v>
      </c>
      <c r="K1211" t="str">
        <f t="shared" si="39"/>
        <v>Postventa</v>
      </c>
    </row>
    <row r="1212" spans="1:11" x14ac:dyDescent="0.25">
      <c r="A1212" s="96">
        <v>10220506</v>
      </c>
      <c r="B1212" s="97" t="s">
        <v>1040</v>
      </c>
      <c r="C1212" s="97" t="s">
        <v>1685</v>
      </c>
      <c r="D1212" s="97" t="s">
        <v>1665</v>
      </c>
      <c r="E1212" s="97" t="s">
        <v>200</v>
      </c>
      <c r="F1212" s="97" t="s">
        <v>1032</v>
      </c>
      <c r="G1212" s="97" t="s">
        <v>1661</v>
      </c>
      <c r="H1212" s="96" t="s">
        <v>386</v>
      </c>
      <c r="I1212" s="97" t="s">
        <v>1666</v>
      </c>
      <c r="J1212" t="str">
        <f t="shared" si="38"/>
        <v>10220506 - Edificio Uno Norte-Depto.Técnico</v>
      </c>
      <c r="K1212" t="str">
        <f t="shared" si="39"/>
        <v>Proyectos Inmobiliarios</v>
      </c>
    </row>
    <row r="1213" spans="1:11" x14ac:dyDescent="0.25">
      <c r="A1213" s="66">
        <v>1026202</v>
      </c>
      <c r="B1213" s="67" t="s">
        <v>2090</v>
      </c>
      <c r="C1213" s="67" t="s">
        <v>1670</v>
      </c>
      <c r="D1213" s="67" t="s">
        <v>1578</v>
      </c>
      <c r="E1213" s="67" t="s">
        <v>1578</v>
      </c>
      <c r="F1213" s="67" t="s">
        <v>474</v>
      </c>
      <c r="G1213" s="67" t="s">
        <v>1661</v>
      </c>
      <c r="H1213" s="66" t="s">
        <v>1672</v>
      </c>
      <c r="I1213" s="67" t="s">
        <v>1662</v>
      </c>
      <c r="J1213" t="str">
        <f t="shared" si="38"/>
        <v>1026202 - Terreno Edificio Vista Horizonte-Desarrollo</v>
      </c>
      <c r="K1213" t="str">
        <f t="shared" si="39"/>
        <v>Terreno</v>
      </c>
    </row>
    <row r="1214" spans="1:11" x14ac:dyDescent="0.25">
      <c r="A1214" s="66">
        <v>1125202</v>
      </c>
      <c r="B1214" s="67" t="s">
        <v>757</v>
      </c>
      <c r="C1214" s="67" t="s">
        <v>1670</v>
      </c>
      <c r="D1214" s="67" t="s">
        <v>1578</v>
      </c>
      <c r="E1214" s="67" t="s">
        <v>1578</v>
      </c>
      <c r="F1214" s="67" t="s">
        <v>474</v>
      </c>
      <c r="G1214" s="67" t="s">
        <v>1661</v>
      </c>
      <c r="H1214" s="66" t="s">
        <v>386</v>
      </c>
      <c r="I1214" s="67" t="s">
        <v>1662</v>
      </c>
      <c r="J1214" t="str">
        <f t="shared" si="38"/>
        <v>1125202 - Terreno Edificio Vista Horizonte – Inversiones</v>
      </c>
      <c r="K1214" t="str">
        <f t="shared" si="39"/>
        <v>Terreno</v>
      </c>
    </row>
    <row r="1215" spans="1:11" x14ac:dyDescent="0.25">
      <c r="A1215" s="66">
        <v>251</v>
      </c>
      <c r="B1215" s="67" t="s">
        <v>474</v>
      </c>
      <c r="C1215" s="67" t="s">
        <v>1670</v>
      </c>
      <c r="D1215" s="67" t="s">
        <v>65</v>
      </c>
      <c r="E1215" s="67" t="s">
        <v>65</v>
      </c>
      <c r="F1215" s="67" t="s">
        <v>474</v>
      </c>
      <c r="G1215" s="67" t="s">
        <v>1663</v>
      </c>
      <c r="H1215" s="66" t="s">
        <v>386</v>
      </c>
      <c r="I1215" s="67" t="s">
        <v>1664</v>
      </c>
      <c r="J1215" t="str">
        <f t="shared" si="38"/>
        <v>251 - Edificio Vista Horizonte</v>
      </c>
      <c r="K1215" t="str">
        <f t="shared" si="39"/>
        <v>Obra</v>
      </c>
    </row>
    <row r="1216" spans="1:11" x14ac:dyDescent="0.25">
      <c r="A1216" s="66">
        <v>8251</v>
      </c>
      <c r="B1216" s="67" t="s">
        <v>536</v>
      </c>
      <c r="C1216" s="67" t="s">
        <v>1670</v>
      </c>
      <c r="D1216" s="67" t="s">
        <v>1686</v>
      </c>
      <c r="E1216" s="67" t="s">
        <v>1501</v>
      </c>
      <c r="F1216" s="67" t="s">
        <v>474</v>
      </c>
      <c r="G1216" s="67" t="s">
        <v>1661</v>
      </c>
      <c r="H1216" s="66" t="s">
        <v>386</v>
      </c>
      <c r="I1216" s="67" t="s">
        <v>1666</v>
      </c>
      <c r="J1216" t="str">
        <f t="shared" si="38"/>
        <v>8251 - Entrega Vista Horizonte</v>
      </c>
      <c r="K1216" t="str">
        <f t="shared" si="39"/>
        <v>Entrega</v>
      </c>
    </row>
    <row r="1217" spans="1:11" x14ac:dyDescent="0.25">
      <c r="A1217" s="66">
        <v>9251</v>
      </c>
      <c r="B1217" s="67" t="s">
        <v>662</v>
      </c>
      <c r="C1217" s="67" t="s">
        <v>1670</v>
      </c>
      <c r="D1217" s="67" t="s">
        <v>66</v>
      </c>
      <c r="E1217" s="67" t="s">
        <v>328</v>
      </c>
      <c r="F1217" s="67" t="s">
        <v>474</v>
      </c>
      <c r="G1217" s="67" t="s">
        <v>1661</v>
      </c>
      <c r="H1217" s="66" t="s">
        <v>386</v>
      </c>
      <c r="I1217" s="67" t="s">
        <v>1666</v>
      </c>
      <c r="J1217" t="str">
        <f t="shared" si="38"/>
        <v>9251 - PV Edificio Vista Horizonte</v>
      </c>
      <c r="K1217" t="str">
        <f t="shared" si="39"/>
        <v>Postventa</v>
      </c>
    </row>
    <row r="1218" spans="1:11" x14ac:dyDescent="0.25">
      <c r="A1218" s="66">
        <v>10251000</v>
      </c>
      <c r="B1218" s="67" t="s">
        <v>474</v>
      </c>
      <c r="C1218" s="67" t="s">
        <v>1670</v>
      </c>
      <c r="D1218" s="67" t="s">
        <v>1665</v>
      </c>
      <c r="E1218" s="67" t="s">
        <v>1585</v>
      </c>
      <c r="F1218" s="67" t="s">
        <v>474</v>
      </c>
      <c r="G1218" s="67" t="s">
        <v>1661</v>
      </c>
      <c r="H1218" s="66" t="s">
        <v>386</v>
      </c>
      <c r="I1218" s="67" t="s">
        <v>1666</v>
      </c>
      <c r="J1218" t="str">
        <f t="shared" si="38"/>
        <v>10251000 - Edificio Vista Horizonte</v>
      </c>
      <c r="K1218" t="str">
        <f t="shared" si="39"/>
        <v>Proyectos Inmobiliarios</v>
      </c>
    </row>
    <row r="1219" spans="1:11" x14ac:dyDescent="0.25">
      <c r="A1219" s="66">
        <v>10251102</v>
      </c>
      <c r="B1219" s="67" t="s">
        <v>1210</v>
      </c>
      <c r="C1219" s="67" t="s">
        <v>1670</v>
      </c>
      <c r="D1219" s="67" t="s">
        <v>1665</v>
      </c>
      <c r="E1219" s="67" t="s">
        <v>1617</v>
      </c>
      <c r="F1219" s="67" t="s">
        <v>474</v>
      </c>
      <c r="G1219" s="67" t="s">
        <v>1661</v>
      </c>
      <c r="H1219" s="66" t="s">
        <v>386</v>
      </c>
      <c r="I1219" s="67" t="s">
        <v>1666</v>
      </c>
      <c r="J1219" t="str">
        <f t="shared" si="38"/>
        <v>10251102 - Edificio Vista Horizonte-Marketing</v>
      </c>
      <c r="K1219" t="str">
        <f t="shared" si="39"/>
        <v>Proyectos Inmobiliarios</v>
      </c>
    </row>
    <row r="1220" spans="1:11" x14ac:dyDescent="0.25">
      <c r="A1220" s="66">
        <v>10251103</v>
      </c>
      <c r="B1220" s="67" t="s">
        <v>1211</v>
      </c>
      <c r="C1220" s="67" t="s">
        <v>1670</v>
      </c>
      <c r="D1220" s="67" t="s">
        <v>1665</v>
      </c>
      <c r="E1220" s="67" t="s">
        <v>1618</v>
      </c>
      <c r="F1220" s="67" t="s">
        <v>474</v>
      </c>
      <c r="G1220" s="67" t="s">
        <v>1661</v>
      </c>
      <c r="H1220" s="66" t="s">
        <v>386</v>
      </c>
      <c r="I1220" s="67" t="s">
        <v>1666</v>
      </c>
      <c r="J1220" t="str">
        <f t="shared" si="38"/>
        <v>10251103 - Edificio Vista Horizonte-Operaciones</v>
      </c>
      <c r="K1220" t="str">
        <f t="shared" si="39"/>
        <v>Proyectos Inmobiliarios</v>
      </c>
    </row>
    <row r="1221" spans="1:11" x14ac:dyDescent="0.25">
      <c r="A1221" s="66">
        <v>10251104</v>
      </c>
      <c r="B1221" s="67" t="s">
        <v>1212</v>
      </c>
      <c r="C1221" s="67" t="s">
        <v>1670</v>
      </c>
      <c r="D1221" s="67" t="s">
        <v>1665</v>
      </c>
      <c r="E1221" s="67" t="s">
        <v>90</v>
      </c>
      <c r="F1221" s="67" t="s">
        <v>474</v>
      </c>
      <c r="G1221" s="67" t="s">
        <v>1661</v>
      </c>
      <c r="H1221" s="66" t="s">
        <v>386</v>
      </c>
      <c r="I1221" s="67" t="s">
        <v>1666</v>
      </c>
      <c r="J1221" t="str">
        <f t="shared" ref="J1221:J1284" si="40">+A1221&amp;" - "&amp;B1221</f>
        <v>10251104 - Edificio Vista Horizonte-Ventas</v>
      </c>
      <c r="K1221" t="str">
        <f t="shared" ref="K1221:K1284" si="41">+D1221</f>
        <v>Proyectos Inmobiliarios</v>
      </c>
    </row>
    <row r="1222" spans="1:11" x14ac:dyDescent="0.25">
      <c r="A1222" s="66">
        <v>10251105</v>
      </c>
      <c r="B1222" s="67" t="s">
        <v>1213</v>
      </c>
      <c r="C1222" s="67" t="s">
        <v>1670</v>
      </c>
      <c r="D1222" s="67" t="s">
        <v>1665</v>
      </c>
      <c r="E1222" s="67" t="s">
        <v>1622</v>
      </c>
      <c r="F1222" s="67" t="s">
        <v>474</v>
      </c>
      <c r="G1222" s="67" t="s">
        <v>1661</v>
      </c>
      <c r="H1222" s="66" t="s">
        <v>386</v>
      </c>
      <c r="I1222" s="67" t="s">
        <v>1666</v>
      </c>
      <c r="J1222" t="str">
        <f t="shared" si="40"/>
        <v>10251105 - Edificio Vista Horizonte-Clientes</v>
      </c>
      <c r="K1222" t="str">
        <f t="shared" si="41"/>
        <v>Proyectos Inmobiliarios</v>
      </c>
    </row>
    <row r="1223" spans="1:11" x14ac:dyDescent="0.25">
      <c r="A1223" s="66">
        <v>10251204</v>
      </c>
      <c r="B1223" s="67" t="s">
        <v>1214</v>
      </c>
      <c r="C1223" s="67" t="s">
        <v>1670</v>
      </c>
      <c r="D1223" s="67" t="s">
        <v>1665</v>
      </c>
      <c r="E1223" s="67" t="s">
        <v>1624</v>
      </c>
      <c r="F1223" s="67" t="s">
        <v>474</v>
      </c>
      <c r="G1223" s="67" t="s">
        <v>1661</v>
      </c>
      <c r="H1223" s="66" t="s">
        <v>386</v>
      </c>
      <c r="I1223" s="67" t="s">
        <v>1666</v>
      </c>
      <c r="J1223" t="str">
        <f t="shared" si="40"/>
        <v>10251204 - Edificio Vista Horizonte-Proyecto</v>
      </c>
      <c r="K1223" t="str">
        <f t="shared" si="41"/>
        <v>Proyectos Inmobiliarios</v>
      </c>
    </row>
    <row r="1224" spans="1:11" x14ac:dyDescent="0.25">
      <c r="A1224" s="66">
        <v>10251301</v>
      </c>
      <c r="B1224" s="67" t="s">
        <v>1215</v>
      </c>
      <c r="C1224" s="67" t="s">
        <v>1670</v>
      </c>
      <c r="D1224" s="67" t="s">
        <v>1665</v>
      </c>
      <c r="E1224" s="67" t="s">
        <v>1643</v>
      </c>
      <c r="F1224" s="67" t="s">
        <v>474</v>
      </c>
      <c r="G1224" s="67" t="s">
        <v>1667</v>
      </c>
      <c r="H1224" s="66" t="s">
        <v>386</v>
      </c>
      <c r="I1224" s="67" t="s">
        <v>1666</v>
      </c>
      <c r="J1224" t="str">
        <f t="shared" si="40"/>
        <v>10251301 - Edificio Vista Horizonte-GAF</v>
      </c>
      <c r="K1224" t="str">
        <f t="shared" si="41"/>
        <v>Proyectos Inmobiliarios</v>
      </c>
    </row>
    <row r="1225" spans="1:11" x14ac:dyDescent="0.25">
      <c r="A1225" s="66">
        <v>10251505</v>
      </c>
      <c r="B1225" s="67" t="s">
        <v>1216</v>
      </c>
      <c r="C1225" s="67" t="s">
        <v>1670</v>
      </c>
      <c r="D1225" s="67" t="s">
        <v>66</v>
      </c>
      <c r="E1225" s="67" t="s">
        <v>328</v>
      </c>
      <c r="F1225" s="67" t="s">
        <v>474</v>
      </c>
      <c r="G1225" s="67" t="s">
        <v>1661</v>
      </c>
      <c r="H1225" s="66" t="s">
        <v>386</v>
      </c>
      <c r="I1225" s="67" t="s">
        <v>1666</v>
      </c>
      <c r="J1225" t="str">
        <f t="shared" si="40"/>
        <v>10251505 - Edificio Vista Horizonte-PV Inmob.</v>
      </c>
      <c r="K1225" t="str">
        <f t="shared" si="41"/>
        <v>Postventa</v>
      </c>
    </row>
    <row r="1226" spans="1:11" x14ac:dyDescent="0.25">
      <c r="A1226" s="66">
        <v>10251506</v>
      </c>
      <c r="B1226" s="67" t="s">
        <v>1217</v>
      </c>
      <c r="C1226" s="67" t="s">
        <v>1670</v>
      </c>
      <c r="D1226" s="67" t="s">
        <v>1665</v>
      </c>
      <c r="E1226" s="67" t="s">
        <v>200</v>
      </c>
      <c r="F1226" s="67" t="s">
        <v>474</v>
      </c>
      <c r="G1226" s="67" t="s">
        <v>1661</v>
      </c>
      <c r="H1226" s="66" t="s">
        <v>386</v>
      </c>
      <c r="I1226" s="67" t="s">
        <v>1666</v>
      </c>
      <c r="J1226" t="str">
        <f t="shared" si="40"/>
        <v>10251506 - Edificio Vista Horizonte-Depto.Técnico</v>
      </c>
      <c r="K1226" t="str">
        <f t="shared" si="41"/>
        <v>Proyectos Inmobiliarios</v>
      </c>
    </row>
    <row r="1227" spans="1:11" x14ac:dyDescent="0.25">
      <c r="A1227" s="50">
        <v>999999999</v>
      </c>
      <c r="B1227" s="51" t="s">
        <v>1684</v>
      </c>
      <c r="C1227" s="51"/>
      <c r="D1227" s="51" t="s">
        <v>1578</v>
      </c>
      <c r="E1227" s="51" t="s">
        <v>1578</v>
      </c>
      <c r="F1227" s="51" t="s">
        <v>2091</v>
      </c>
      <c r="G1227" s="51" t="s">
        <v>1661</v>
      </c>
      <c r="H1227" s="50" t="s">
        <v>1672</v>
      </c>
      <c r="I1227" s="51" t="s">
        <v>1662</v>
      </c>
      <c r="J1227" t="str">
        <f t="shared" si="40"/>
        <v>999999999 - Terreno Abuelo Proyectos sin Terreno</v>
      </c>
      <c r="K1227" t="str">
        <f t="shared" si="41"/>
        <v>Terreno</v>
      </c>
    </row>
    <row r="1228" spans="1:11" x14ac:dyDescent="0.25">
      <c r="A1228" s="50">
        <v>1</v>
      </c>
      <c r="B1228" s="51" t="s">
        <v>2092</v>
      </c>
      <c r="C1228" s="51" t="s">
        <v>1660</v>
      </c>
      <c r="D1228" s="51" t="s">
        <v>65</v>
      </c>
      <c r="E1228" s="51" t="s">
        <v>65</v>
      </c>
      <c r="F1228" s="51" t="s">
        <v>2091</v>
      </c>
      <c r="G1228" s="51" t="s">
        <v>1663</v>
      </c>
      <c r="H1228" s="50" t="s">
        <v>1672</v>
      </c>
      <c r="I1228" s="51" t="s">
        <v>1664</v>
      </c>
      <c r="J1228" t="str">
        <f t="shared" si="40"/>
        <v>1 - Edificio Vistamar II</v>
      </c>
      <c r="K1228" t="str">
        <f t="shared" si="41"/>
        <v>Obra</v>
      </c>
    </row>
    <row r="1229" spans="1:11" x14ac:dyDescent="0.25">
      <c r="A1229" s="50">
        <v>9001</v>
      </c>
      <c r="B1229" s="51" t="s">
        <v>553</v>
      </c>
      <c r="C1229" s="51" t="s">
        <v>1660</v>
      </c>
      <c r="D1229" s="51" t="s">
        <v>66</v>
      </c>
      <c r="E1229" s="51" t="s">
        <v>328</v>
      </c>
      <c r="F1229" s="51" t="s">
        <v>2091</v>
      </c>
      <c r="G1229" s="51" t="s">
        <v>1661</v>
      </c>
      <c r="H1229" s="50" t="s">
        <v>386</v>
      </c>
      <c r="I1229" s="51" t="s">
        <v>1666</v>
      </c>
      <c r="J1229" t="str">
        <f t="shared" si="40"/>
        <v>9001 - PV Vistamar II</v>
      </c>
      <c r="K1229" t="str">
        <f t="shared" si="41"/>
        <v>Postventa</v>
      </c>
    </row>
    <row r="1230" spans="1:11" x14ac:dyDescent="0.25">
      <c r="A1230" s="58">
        <v>1158202</v>
      </c>
      <c r="B1230" s="59" t="s">
        <v>775</v>
      </c>
      <c r="C1230" s="59" t="s">
        <v>1836</v>
      </c>
      <c r="D1230" s="59" t="s">
        <v>1578</v>
      </c>
      <c r="E1230" s="59" t="s">
        <v>1578</v>
      </c>
      <c r="F1230" s="59" t="s">
        <v>488</v>
      </c>
      <c r="G1230" s="59" t="s">
        <v>1661</v>
      </c>
      <c r="H1230" s="58" t="s">
        <v>386</v>
      </c>
      <c r="I1230" s="59" t="s">
        <v>1662</v>
      </c>
      <c r="J1230" t="str">
        <f t="shared" si="40"/>
        <v>1158202 - El Yodo 8195 - Inversiones</v>
      </c>
      <c r="K1230" t="str">
        <f t="shared" si="41"/>
        <v>Terreno</v>
      </c>
    </row>
    <row r="1231" spans="1:11" x14ac:dyDescent="0.25">
      <c r="A1231" s="58">
        <v>307</v>
      </c>
      <c r="B1231" s="59" t="s">
        <v>488</v>
      </c>
      <c r="C1231" s="59" t="s">
        <v>1836</v>
      </c>
      <c r="D1231" s="59" t="s">
        <v>65</v>
      </c>
      <c r="E1231" s="59" t="s">
        <v>65</v>
      </c>
      <c r="F1231" s="59" t="s">
        <v>488</v>
      </c>
      <c r="G1231" s="59" t="s">
        <v>1663</v>
      </c>
      <c r="H1231" s="58" t="s">
        <v>386</v>
      </c>
      <c r="I1231" s="59" t="s">
        <v>1664</v>
      </c>
      <c r="J1231" t="str">
        <f t="shared" si="40"/>
        <v>307 - El Yodo</v>
      </c>
      <c r="K1231" t="str">
        <f t="shared" si="41"/>
        <v>Obra</v>
      </c>
    </row>
    <row r="1232" spans="1:11" x14ac:dyDescent="0.25">
      <c r="A1232" s="58">
        <v>10307000</v>
      </c>
      <c r="B1232" s="59" t="s">
        <v>488</v>
      </c>
      <c r="C1232" s="59" t="s">
        <v>1836</v>
      </c>
      <c r="D1232" s="59" t="s">
        <v>1665</v>
      </c>
      <c r="E1232" s="59" t="s">
        <v>1585</v>
      </c>
      <c r="F1232" s="59" t="s">
        <v>488</v>
      </c>
      <c r="G1232" s="59" t="s">
        <v>1661</v>
      </c>
      <c r="H1232" s="58" t="s">
        <v>386</v>
      </c>
      <c r="I1232" s="59" t="s">
        <v>1666</v>
      </c>
      <c r="J1232" t="str">
        <f t="shared" si="40"/>
        <v>10307000 - El Yodo</v>
      </c>
      <c r="K1232" t="str">
        <f t="shared" si="41"/>
        <v>Proyectos Inmobiliarios</v>
      </c>
    </row>
    <row r="1233" spans="1:11" x14ac:dyDescent="0.25">
      <c r="A1233" s="58">
        <v>10307102</v>
      </c>
      <c r="B1233" s="59" t="s">
        <v>1395</v>
      </c>
      <c r="C1233" s="59" t="s">
        <v>1836</v>
      </c>
      <c r="D1233" s="59" t="s">
        <v>1665</v>
      </c>
      <c r="E1233" s="59" t="s">
        <v>1617</v>
      </c>
      <c r="F1233" s="59" t="s">
        <v>488</v>
      </c>
      <c r="G1233" s="59" t="s">
        <v>1661</v>
      </c>
      <c r="H1233" s="58" t="s">
        <v>386</v>
      </c>
      <c r="I1233" s="59" t="s">
        <v>1666</v>
      </c>
      <c r="J1233" t="str">
        <f t="shared" si="40"/>
        <v>10307102 - El Yodo-Marketing</v>
      </c>
      <c r="K1233" t="str">
        <f t="shared" si="41"/>
        <v>Proyectos Inmobiliarios</v>
      </c>
    </row>
    <row r="1234" spans="1:11" x14ac:dyDescent="0.25">
      <c r="A1234" s="58">
        <v>10307103</v>
      </c>
      <c r="B1234" s="59" t="s">
        <v>1396</v>
      </c>
      <c r="C1234" s="59" t="s">
        <v>1836</v>
      </c>
      <c r="D1234" s="59" t="s">
        <v>1665</v>
      </c>
      <c r="E1234" s="59" t="s">
        <v>1618</v>
      </c>
      <c r="F1234" s="59" t="s">
        <v>488</v>
      </c>
      <c r="G1234" s="59" t="s">
        <v>1661</v>
      </c>
      <c r="H1234" s="58" t="s">
        <v>386</v>
      </c>
      <c r="I1234" s="59" t="s">
        <v>1666</v>
      </c>
      <c r="J1234" t="str">
        <f t="shared" si="40"/>
        <v>10307103 - El Yodo-Operaciones</v>
      </c>
      <c r="K1234" t="str">
        <f t="shared" si="41"/>
        <v>Proyectos Inmobiliarios</v>
      </c>
    </row>
    <row r="1235" spans="1:11" x14ac:dyDescent="0.25">
      <c r="A1235" s="58">
        <v>10307104</v>
      </c>
      <c r="B1235" s="59" t="s">
        <v>1397</v>
      </c>
      <c r="C1235" s="59" t="s">
        <v>1836</v>
      </c>
      <c r="D1235" s="59" t="s">
        <v>1665</v>
      </c>
      <c r="E1235" s="59" t="s">
        <v>90</v>
      </c>
      <c r="F1235" s="59" t="s">
        <v>488</v>
      </c>
      <c r="G1235" s="59" t="s">
        <v>1661</v>
      </c>
      <c r="H1235" s="58" t="s">
        <v>386</v>
      </c>
      <c r="I1235" s="59" t="s">
        <v>1666</v>
      </c>
      <c r="J1235" t="str">
        <f t="shared" si="40"/>
        <v>10307104 - El Yodo-Ventas</v>
      </c>
      <c r="K1235" t="str">
        <f t="shared" si="41"/>
        <v>Proyectos Inmobiliarios</v>
      </c>
    </row>
    <row r="1236" spans="1:11" x14ac:dyDescent="0.25">
      <c r="A1236" s="58">
        <v>10307105</v>
      </c>
      <c r="B1236" s="59" t="s">
        <v>1398</v>
      </c>
      <c r="C1236" s="59" t="s">
        <v>1836</v>
      </c>
      <c r="D1236" s="59" t="s">
        <v>1665</v>
      </c>
      <c r="E1236" s="59" t="s">
        <v>1622</v>
      </c>
      <c r="F1236" s="59" t="s">
        <v>488</v>
      </c>
      <c r="G1236" s="59" t="s">
        <v>1661</v>
      </c>
      <c r="H1236" s="58" t="s">
        <v>386</v>
      </c>
      <c r="I1236" s="59" t="s">
        <v>1666</v>
      </c>
      <c r="J1236" t="str">
        <f t="shared" si="40"/>
        <v>10307105 - El Yodo-Clientes</v>
      </c>
      <c r="K1236" t="str">
        <f t="shared" si="41"/>
        <v>Proyectos Inmobiliarios</v>
      </c>
    </row>
    <row r="1237" spans="1:11" x14ac:dyDescent="0.25">
      <c r="A1237" s="58">
        <v>10307204</v>
      </c>
      <c r="B1237" s="59" t="s">
        <v>1399</v>
      </c>
      <c r="C1237" s="59" t="s">
        <v>1836</v>
      </c>
      <c r="D1237" s="59" t="s">
        <v>1665</v>
      </c>
      <c r="E1237" s="59" t="s">
        <v>1624</v>
      </c>
      <c r="F1237" s="59" t="s">
        <v>488</v>
      </c>
      <c r="G1237" s="59" t="s">
        <v>1661</v>
      </c>
      <c r="H1237" s="58" t="s">
        <v>386</v>
      </c>
      <c r="I1237" s="59" t="s">
        <v>1666</v>
      </c>
      <c r="J1237" t="str">
        <f t="shared" si="40"/>
        <v>10307204 - El Yodo-Proyecto</v>
      </c>
      <c r="K1237" t="str">
        <f t="shared" si="41"/>
        <v>Proyectos Inmobiliarios</v>
      </c>
    </row>
    <row r="1238" spans="1:11" x14ac:dyDescent="0.25">
      <c r="A1238" s="58">
        <v>10307301</v>
      </c>
      <c r="B1238" s="59" t="s">
        <v>1400</v>
      </c>
      <c r="C1238" s="59" t="s">
        <v>1836</v>
      </c>
      <c r="D1238" s="59" t="s">
        <v>1665</v>
      </c>
      <c r="E1238" s="59" t="s">
        <v>1643</v>
      </c>
      <c r="F1238" s="59" t="s">
        <v>488</v>
      </c>
      <c r="G1238" s="59" t="s">
        <v>1667</v>
      </c>
      <c r="H1238" s="58" t="s">
        <v>386</v>
      </c>
      <c r="I1238" s="59" t="s">
        <v>1666</v>
      </c>
      <c r="J1238" t="str">
        <f t="shared" si="40"/>
        <v>10307301 - El Yodo-GAF</v>
      </c>
      <c r="K1238" t="str">
        <f t="shared" si="41"/>
        <v>Proyectos Inmobiliarios</v>
      </c>
    </row>
    <row r="1239" spans="1:11" x14ac:dyDescent="0.25">
      <c r="A1239" s="58">
        <v>10307505</v>
      </c>
      <c r="B1239" s="59" t="s">
        <v>1401</v>
      </c>
      <c r="C1239" s="59" t="s">
        <v>1836</v>
      </c>
      <c r="D1239" s="59" t="s">
        <v>66</v>
      </c>
      <c r="E1239" s="59" t="s">
        <v>328</v>
      </c>
      <c r="F1239" s="59" t="s">
        <v>488</v>
      </c>
      <c r="G1239" s="59" t="s">
        <v>1661</v>
      </c>
      <c r="H1239" s="58" t="s">
        <v>386</v>
      </c>
      <c r="I1239" s="59" t="s">
        <v>1666</v>
      </c>
      <c r="J1239" t="str">
        <f t="shared" si="40"/>
        <v>10307505 - El Yodo-PV Inmob.</v>
      </c>
      <c r="K1239" t="str">
        <f t="shared" si="41"/>
        <v>Postventa</v>
      </c>
    </row>
    <row r="1240" spans="1:11" x14ac:dyDescent="0.25">
      <c r="A1240" s="58">
        <v>10307506</v>
      </c>
      <c r="B1240" s="59" t="s">
        <v>1402</v>
      </c>
      <c r="C1240" s="59" t="s">
        <v>1836</v>
      </c>
      <c r="D1240" s="59" t="s">
        <v>1665</v>
      </c>
      <c r="E1240" s="59" t="s">
        <v>200</v>
      </c>
      <c r="F1240" s="59" t="s">
        <v>488</v>
      </c>
      <c r="G1240" s="59" t="s">
        <v>1661</v>
      </c>
      <c r="H1240" s="58" t="s">
        <v>386</v>
      </c>
      <c r="I1240" s="59" t="s">
        <v>1666</v>
      </c>
      <c r="J1240" t="str">
        <f t="shared" si="40"/>
        <v>10307506 - El Yodo-Depto.Técnico</v>
      </c>
      <c r="K1240" t="str">
        <f t="shared" si="41"/>
        <v>Proyectos Inmobiliarios</v>
      </c>
    </row>
    <row r="1241" spans="1:11" x14ac:dyDescent="0.25">
      <c r="A1241" s="58">
        <v>8307</v>
      </c>
      <c r="B1241" s="59" t="s">
        <v>2093</v>
      </c>
      <c r="C1241" s="59" t="s">
        <v>1836</v>
      </c>
      <c r="D1241" s="59" t="s">
        <v>1686</v>
      </c>
      <c r="E1241" s="59" t="s">
        <v>1501</v>
      </c>
      <c r="F1241" s="59" t="s">
        <v>488</v>
      </c>
      <c r="G1241" s="59" t="s">
        <v>1661</v>
      </c>
      <c r="H1241" s="58" t="s">
        <v>1672</v>
      </c>
      <c r="I1241" s="59" t="s">
        <v>1666</v>
      </c>
      <c r="J1241" t="str">
        <f t="shared" si="40"/>
        <v>8307 - Entrega El Yodo</v>
      </c>
      <c r="K1241" t="str">
        <f t="shared" si="41"/>
        <v>Entrega</v>
      </c>
    </row>
    <row r="1242" spans="1:11" x14ac:dyDescent="0.25">
      <c r="A1242" s="58">
        <v>9307</v>
      </c>
      <c r="B1242" s="59" t="s">
        <v>2094</v>
      </c>
      <c r="C1242" s="59" t="s">
        <v>1836</v>
      </c>
      <c r="D1242" s="59" t="s">
        <v>66</v>
      </c>
      <c r="E1242" s="59" t="s">
        <v>328</v>
      </c>
      <c r="F1242" s="59" t="s">
        <v>488</v>
      </c>
      <c r="G1242" s="59" t="s">
        <v>1661</v>
      </c>
      <c r="H1242" s="58" t="s">
        <v>1672</v>
      </c>
      <c r="I1242" s="59" t="s">
        <v>1666</v>
      </c>
      <c r="J1242" t="str">
        <f t="shared" si="40"/>
        <v>9307 - PV El Yodo</v>
      </c>
      <c r="K1242" t="str">
        <f t="shared" si="41"/>
        <v>Postventa</v>
      </c>
    </row>
    <row r="1243" spans="1:11" x14ac:dyDescent="0.25">
      <c r="A1243" s="43">
        <v>372</v>
      </c>
      <c r="B1243" t="s">
        <v>503</v>
      </c>
      <c r="C1243" t="s">
        <v>1836</v>
      </c>
      <c r="D1243" t="s">
        <v>65</v>
      </c>
      <c r="E1243" t="s">
        <v>65</v>
      </c>
      <c r="F1243" t="s">
        <v>488</v>
      </c>
      <c r="G1243" t="s">
        <v>1663</v>
      </c>
      <c r="H1243" s="43" t="s">
        <v>386</v>
      </c>
      <c r="I1243" t="s">
        <v>1664</v>
      </c>
      <c r="J1243" t="str">
        <f t="shared" si="40"/>
        <v>372 - El Yodo Ltda</v>
      </c>
      <c r="K1243" t="str">
        <f t="shared" si="41"/>
        <v>Obra</v>
      </c>
    </row>
    <row r="1244" spans="1:11" x14ac:dyDescent="0.25">
      <c r="A1244" s="43">
        <v>296</v>
      </c>
      <c r="B1244" t="s">
        <v>482</v>
      </c>
      <c r="C1244" t="s">
        <v>1500</v>
      </c>
      <c r="D1244" s="98" t="s">
        <v>1500</v>
      </c>
      <c r="E1244" s="98" t="s">
        <v>482</v>
      </c>
      <c r="F1244" t="s">
        <v>482</v>
      </c>
      <c r="G1244" t="s">
        <v>1663</v>
      </c>
      <c r="H1244" s="43" t="s">
        <v>386</v>
      </c>
      <c r="I1244" t="s">
        <v>1668</v>
      </c>
      <c r="J1244" t="str">
        <f t="shared" si="40"/>
        <v>296 - Equipo en Mantención</v>
      </c>
      <c r="K1244" t="str">
        <f t="shared" si="41"/>
        <v>Oficina Central</v>
      </c>
    </row>
    <row r="1245" spans="1:11" x14ac:dyDescent="0.25">
      <c r="A1245" s="50">
        <v>999999999</v>
      </c>
      <c r="B1245" s="51" t="s">
        <v>1684</v>
      </c>
      <c r="C1245" s="51"/>
      <c r="D1245" s="51" t="s">
        <v>1578</v>
      </c>
      <c r="E1245" s="51" t="s">
        <v>1578</v>
      </c>
      <c r="F1245" s="51" t="s">
        <v>2095</v>
      </c>
      <c r="G1245" s="51" t="s">
        <v>1661</v>
      </c>
      <c r="H1245" s="50" t="s">
        <v>1672</v>
      </c>
      <c r="I1245" s="51" t="s">
        <v>1662</v>
      </c>
      <c r="J1245" t="str">
        <f t="shared" si="40"/>
        <v>999999999 - Terreno Abuelo Proyectos sin Terreno</v>
      </c>
      <c r="K1245" t="str">
        <f t="shared" si="41"/>
        <v>Terreno</v>
      </c>
    </row>
    <row r="1246" spans="1:11" x14ac:dyDescent="0.25">
      <c r="A1246" s="50">
        <v>15</v>
      </c>
      <c r="B1246" s="51" t="s">
        <v>2095</v>
      </c>
      <c r="C1246" s="51" t="s">
        <v>1670</v>
      </c>
      <c r="D1246" s="51" t="s">
        <v>65</v>
      </c>
      <c r="E1246" s="51" t="s">
        <v>65</v>
      </c>
      <c r="F1246" s="51" t="s">
        <v>2095</v>
      </c>
      <c r="G1246" s="51" t="s">
        <v>1663</v>
      </c>
      <c r="H1246" s="50" t="s">
        <v>1672</v>
      </c>
      <c r="I1246" s="51" t="s">
        <v>1664</v>
      </c>
      <c r="J1246" t="str">
        <f t="shared" si="40"/>
        <v>15 - Estacionam. U. del Pacífico</v>
      </c>
      <c r="K1246" t="str">
        <f t="shared" si="41"/>
        <v>Obra</v>
      </c>
    </row>
    <row r="1247" spans="1:11" x14ac:dyDescent="0.25">
      <c r="A1247" s="50">
        <v>9015</v>
      </c>
      <c r="B1247" s="51" t="s">
        <v>565</v>
      </c>
      <c r="C1247" s="51" t="s">
        <v>1670</v>
      </c>
      <c r="D1247" s="51" t="s">
        <v>66</v>
      </c>
      <c r="E1247" s="51" t="s">
        <v>328</v>
      </c>
      <c r="F1247" s="51" t="s">
        <v>2095</v>
      </c>
      <c r="G1247" s="51" t="s">
        <v>1661</v>
      </c>
      <c r="H1247" s="50" t="s">
        <v>386</v>
      </c>
      <c r="I1247" s="51" t="s">
        <v>1666</v>
      </c>
      <c r="J1247" t="str">
        <f t="shared" si="40"/>
        <v>9015 - PV Estac. U del P</v>
      </c>
      <c r="K1247" t="str">
        <f t="shared" si="41"/>
        <v>Postventa</v>
      </c>
    </row>
    <row r="1248" spans="1:11" x14ac:dyDescent="0.25">
      <c r="A1248" s="43">
        <v>1112202</v>
      </c>
      <c r="B1248" t="s">
        <v>748</v>
      </c>
      <c r="C1248" t="s">
        <v>1670</v>
      </c>
      <c r="D1248" t="s">
        <v>1578</v>
      </c>
      <c r="E1248" t="s">
        <v>1578</v>
      </c>
      <c r="F1248" t="s">
        <v>2096</v>
      </c>
      <c r="G1248" t="s">
        <v>1661</v>
      </c>
      <c r="H1248" s="43" t="s">
        <v>386</v>
      </c>
      <c r="I1248" t="s">
        <v>1662</v>
      </c>
      <c r="J1248" t="str">
        <f t="shared" si="40"/>
        <v>1112202 - Terreno Fco. Zelada 126 – Inversiones</v>
      </c>
      <c r="K1248" t="str">
        <f t="shared" si="41"/>
        <v>Terreno</v>
      </c>
    </row>
    <row r="1249" spans="1:11" x14ac:dyDescent="0.25">
      <c r="A1249" s="52">
        <v>360</v>
      </c>
      <c r="B1249" s="53" t="s">
        <v>495</v>
      </c>
      <c r="C1249" s="53" t="s">
        <v>1670</v>
      </c>
      <c r="D1249" s="53" t="s">
        <v>65</v>
      </c>
      <c r="E1249" s="53" t="s">
        <v>65</v>
      </c>
      <c r="F1249" s="53" t="s">
        <v>495</v>
      </c>
      <c r="G1249" s="53" t="s">
        <v>1663</v>
      </c>
      <c r="H1249" s="52" t="s">
        <v>386</v>
      </c>
      <c r="I1249" s="53" t="s">
        <v>1664</v>
      </c>
      <c r="J1249" t="str">
        <f t="shared" si="40"/>
        <v>360 - Francisco Zelada Torre A</v>
      </c>
      <c r="K1249" t="str">
        <f t="shared" si="41"/>
        <v>Obra</v>
      </c>
    </row>
    <row r="1250" spans="1:11" x14ac:dyDescent="0.25">
      <c r="A1250" s="52">
        <v>10360000</v>
      </c>
      <c r="B1250" s="53" t="s">
        <v>495</v>
      </c>
      <c r="C1250" s="53" t="s">
        <v>1670</v>
      </c>
      <c r="D1250" s="53" t="s">
        <v>1665</v>
      </c>
      <c r="E1250" s="53" t="s">
        <v>1585</v>
      </c>
      <c r="F1250" s="53" t="s">
        <v>495</v>
      </c>
      <c r="G1250" s="53" t="s">
        <v>1661</v>
      </c>
      <c r="H1250" s="52" t="s">
        <v>386</v>
      </c>
      <c r="I1250" s="53" t="s">
        <v>1666</v>
      </c>
      <c r="J1250" t="str">
        <f t="shared" si="40"/>
        <v>10360000 - Francisco Zelada Torre A</v>
      </c>
      <c r="K1250" t="str">
        <f t="shared" si="41"/>
        <v>Proyectos Inmobiliarios</v>
      </c>
    </row>
    <row r="1251" spans="1:11" x14ac:dyDescent="0.25">
      <c r="A1251" s="52">
        <v>10360102</v>
      </c>
      <c r="B1251" s="53" t="s">
        <v>1435</v>
      </c>
      <c r="C1251" s="53" t="s">
        <v>1670</v>
      </c>
      <c r="D1251" s="53" t="s">
        <v>1665</v>
      </c>
      <c r="E1251" s="53" t="s">
        <v>1617</v>
      </c>
      <c r="F1251" s="53" t="s">
        <v>495</v>
      </c>
      <c r="G1251" s="53" t="s">
        <v>1661</v>
      </c>
      <c r="H1251" s="52" t="s">
        <v>386</v>
      </c>
      <c r="I1251" s="53" t="s">
        <v>1666</v>
      </c>
      <c r="J1251" t="str">
        <f t="shared" si="40"/>
        <v>10360102 - Francisco Zelada Torre A-Marketing</v>
      </c>
      <c r="K1251" t="str">
        <f t="shared" si="41"/>
        <v>Proyectos Inmobiliarios</v>
      </c>
    </row>
    <row r="1252" spans="1:11" x14ac:dyDescent="0.25">
      <c r="A1252" s="52">
        <v>10360103</v>
      </c>
      <c r="B1252" s="53" t="s">
        <v>1436</v>
      </c>
      <c r="C1252" s="53" t="s">
        <v>1670</v>
      </c>
      <c r="D1252" s="53" t="s">
        <v>1665</v>
      </c>
      <c r="E1252" s="53" t="s">
        <v>1618</v>
      </c>
      <c r="F1252" s="53" t="s">
        <v>495</v>
      </c>
      <c r="G1252" s="53" t="s">
        <v>1661</v>
      </c>
      <c r="H1252" s="52" t="s">
        <v>386</v>
      </c>
      <c r="I1252" s="53" t="s">
        <v>1666</v>
      </c>
      <c r="J1252" t="str">
        <f t="shared" si="40"/>
        <v>10360103 - Francisco Zelada Torre A-Operaciones</v>
      </c>
      <c r="K1252" t="str">
        <f t="shared" si="41"/>
        <v>Proyectos Inmobiliarios</v>
      </c>
    </row>
    <row r="1253" spans="1:11" x14ac:dyDescent="0.25">
      <c r="A1253" s="52">
        <v>10360104</v>
      </c>
      <c r="B1253" s="53" t="s">
        <v>1437</v>
      </c>
      <c r="C1253" s="53" t="s">
        <v>1670</v>
      </c>
      <c r="D1253" s="53" t="s">
        <v>1665</v>
      </c>
      <c r="E1253" s="53" t="s">
        <v>90</v>
      </c>
      <c r="F1253" s="53" t="s">
        <v>495</v>
      </c>
      <c r="G1253" s="53" t="s">
        <v>1661</v>
      </c>
      <c r="H1253" s="52" t="s">
        <v>386</v>
      </c>
      <c r="I1253" s="53" t="s">
        <v>1666</v>
      </c>
      <c r="J1253" t="str">
        <f t="shared" si="40"/>
        <v>10360104 - Francisco Zelada Torre A-Ventas</v>
      </c>
      <c r="K1253" t="str">
        <f t="shared" si="41"/>
        <v>Proyectos Inmobiliarios</v>
      </c>
    </row>
    <row r="1254" spans="1:11" x14ac:dyDescent="0.25">
      <c r="A1254" s="52">
        <v>10360105</v>
      </c>
      <c r="B1254" s="53" t="s">
        <v>1438</v>
      </c>
      <c r="C1254" s="53" t="s">
        <v>1670</v>
      </c>
      <c r="D1254" s="53" t="s">
        <v>1665</v>
      </c>
      <c r="E1254" s="53" t="s">
        <v>1622</v>
      </c>
      <c r="F1254" s="53" t="s">
        <v>495</v>
      </c>
      <c r="G1254" s="53" t="s">
        <v>1661</v>
      </c>
      <c r="H1254" s="52" t="s">
        <v>386</v>
      </c>
      <c r="I1254" s="53" t="s">
        <v>1666</v>
      </c>
      <c r="J1254" t="str">
        <f t="shared" si="40"/>
        <v>10360105 - Francisco Zelada Torre A-Clientes</v>
      </c>
      <c r="K1254" t="str">
        <f t="shared" si="41"/>
        <v>Proyectos Inmobiliarios</v>
      </c>
    </row>
    <row r="1255" spans="1:11" x14ac:dyDescent="0.25">
      <c r="A1255" s="52">
        <v>10360204</v>
      </c>
      <c r="B1255" s="53" t="s">
        <v>1439</v>
      </c>
      <c r="C1255" s="53" t="s">
        <v>1670</v>
      </c>
      <c r="D1255" s="53" t="s">
        <v>1665</v>
      </c>
      <c r="E1255" s="53" t="s">
        <v>1624</v>
      </c>
      <c r="F1255" s="53" t="s">
        <v>495</v>
      </c>
      <c r="G1255" s="53" t="s">
        <v>1661</v>
      </c>
      <c r="H1255" s="52" t="s">
        <v>386</v>
      </c>
      <c r="I1255" s="53" t="s">
        <v>1666</v>
      </c>
      <c r="J1255" t="str">
        <f t="shared" si="40"/>
        <v>10360204 - Francisco Zelada Torre A-Proyecto</v>
      </c>
      <c r="K1255" t="str">
        <f t="shared" si="41"/>
        <v>Proyectos Inmobiliarios</v>
      </c>
    </row>
    <row r="1256" spans="1:11" x14ac:dyDescent="0.25">
      <c r="A1256" s="52">
        <v>10360301</v>
      </c>
      <c r="B1256" s="53" t="s">
        <v>1440</v>
      </c>
      <c r="C1256" s="53" t="s">
        <v>1670</v>
      </c>
      <c r="D1256" s="53" t="s">
        <v>1665</v>
      </c>
      <c r="E1256" s="53" t="s">
        <v>1643</v>
      </c>
      <c r="F1256" s="53" t="s">
        <v>495</v>
      </c>
      <c r="G1256" s="53" t="s">
        <v>1667</v>
      </c>
      <c r="H1256" s="52" t="s">
        <v>386</v>
      </c>
      <c r="I1256" s="53" t="s">
        <v>1666</v>
      </c>
      <c r="J1256" t="str">
        <f t="shared" si="40"/>
        <v>10360301 - Francisco Zelada Torre A-GAF</v>
      </c>
      <c r="K1256" t="str">
        <f t="shared" si="41"/>
        <v>Proyectos Inmobiliarios</v>
      </c>
    </row>
    <row r="1257" spans="1:11" x14ac:dyDescent="0.25">
      <c r="A1257" s="52">
        <v>10360505</v>
      </c>
      <c r="B1257" s="53" t="s">
        <v>1441</v>
      </c>
      <c r="C1257" s="53" t="s">
        <v>1670</v>
      </c>
      <c r="D1257" s="53" t="s">
        <v>66</v>
      </c>
      <c r="E1257" s="53" t="s">
        <v>328</v>
      </c>
      <c r="F1257" s="53" t="s">
        <v>495</v>
      </c>
      <c r="G1257" s="53" t="s">
        <v>1661</v>
      </c>
      <c r="H1257" s="52" t="s">
        <v>386</v>
      </c>
      <c r="I1257" s="53" t="s">
        <v>1666</v>
      </c>
      <c r="J1257" t="str">
        <f t="shared" si="40"/>
        <v>10360505 - Francisco Zelada Torre A-PV Inmob.</v>
      </c>
      <c r="K1257" t="str">
        <f t="shared" si="41"/>
        <v>Postventa</v>
      </c>
    </row>
    <row r="1258" spans="1:11" x14ac:dyDescent="0.25">
      <c r="A1258" s="52">
        <v>10360506</v>
      </c>
      <c r="B1258" s="53" t="s">
        <v>1442</v>
      </c>
      <c r="C1258" s="53" t="s">
        <v>1670</v>
      </c>
      <c r="D1258" s="53" t="s">
        <v>1665</v>
      </c>
      <c r="E1258" s="53" t="s">
        <v>200</v>
      </c>
      <c r="F1258" s="53" t="s">
        <v>495</v>
      </c>
      <c r="G1258" s="53" t="s">
        <v>1661</v>
      </c>
      <c r="H1258" s="52" t="s">
        <v>386</v>
      </c>
      <c r="I1258" s="53" t="s">
        <v>1666</v>
      </c>
      <c r="J1258" t="str">
        <f t="shared" si="40"/>
        <v>10360506 - Francisco Zelada Torre A-Depto.Técnico</v>
      </c>
      <c r="K1258" t="str">
        <f t="shared" si="41"/>
        <v>Proyectos Inmobiliarios</v>
      </c>
    </row>
    <row r="1259" spans="1:11" x14ac:dyDescent="0.25">
      <c r="A1259" s="52">
        <v>8360</v>
      </c>
      <c r="B1259" s="53" t="s">
        <v>2097</v>
      </c>
      <c r="C1259" s="53" t="s">
        <v>1670</v>
      </c>
      <c r="D1259" s="53" t="s">
        <v>1686</v>
      </c>
      <c r="E1259" s="53" t="s">
        <v>1501</v>
      </c>
      <c r="F1259" s="53" t="s">
        <v>495</v>
      </c>
      <c r="G1259" s="53" t="s">
        <v>1661</v>
      </c>
      <c r="H1259" s="52" t="s">
        <v>1672</v>
      </c>
      <c r="I1259" s="53" t="s">
        <v>1666</v>
      </c>
      <c r="J1259" t="str">
        <f t="shared" si="40"/>
        <v>8360 - Entrega Francisco Zelada Torre A</v>
      </c>
      <c r="K1259" t="str">
        <f t="shared" si="41"/>
        <v>Entrega</v>
      </c>
    </row>
    <row r="1260" spans="1:11" x14ac:dyDescent="0.25">
      <c r="A1260" s="52">
        <v>9360</v>
      </c>
      <c r="B1260" s="53" t="s">
        <v>2098</v>
      </c>
      <c r="C1260" s="53" t="s">
        <v>1670</v>
      </c>
      <c r="D1260" s="53" t="s">
        <v>66</v>
      </c>
      <c r="E1260" s="53" t="s">
        <v>328</v>
      </c>
      <c r="F1260" s="53" t="s">
        <v>495</v>
      </c>
      <c r="G1260" s="53" t="s">
        <v>1661</v>
      </c>
      <c r="H1260" s="52" t="s">
        <v>1672</v>
      </c>
      <c r="I1260" s="53" t="s">
        <v>1666</v>
      </c>
      <c r="J1260" t="str">
        <f t="shared" si="40"/>
        <v>9360 - PV Francisco Zelada Torre A</v>
      </c>
      <c r="K1260" t="str">
        <f t="shared" si="41"/>
        <v>Postventa</v>
      </c>
    </row>
    <row r="1261" spans="1:11" x14ac:dyDescent="0.25">
      <c r="A1261" s="94">
        <v>244</v>
      </c>
      <c r="B1261" s="95" t="s">
        <v>470</v>
      </c>
      <c r="C1261" s="95" t="s">
        <v>1670</v>
      </c>
      <c r="D1261" s="95" t="s">
        <v>65</v>
      </c>
      <c r="E1261" s="95" t="s">
        <v>65</v>
      </c>
      <c r="F1261" s="95" t="s">
        <v>470</v>
      </c>
      <c r="G1261" s="95" t="s">
        <v>1663</v>
      </c>
      <c r="H1261" s="94" t="s">
        <v>386</v>
      </c>
      <c r="I1261" s="95" t="s">
        <v>1664</v>
      </c>
      <c r="J1261" t="str">
        <f t="shared" si="40"/>
        <v>244 - Francisco Zelada Torre B</v>
      </c>
      <c r="K1261" t="str">
        <f t="shared" si="41"/>
        <v>Obra</v>
      </c>
    </row>
    <row r="1262" spans="1:11" x14ac:dyDescent="0.25">
      <c r="A1262" s="94">
        <v>10244000</v>
      </c>
      <c r="B1262" s="95" t="s">
        <v>470</v>
      </c>
      <c r="C1262" s="95" t="s">
        <v>1670</v>
      </c>
      <c r="D1262" s="95" t="s">
        <v>1665</v>
      </c>
      <c r="E1262" s="95" t="s">
        <v>1585</v>
      </c>
      <c r="F1262" s="95" t="s">
        <v>470</v>
      </c>
      <c r="G1262" s="95" t="s">
        <v>1661</v>
      </c>
      <c r="H1262" s="94" t="s">
        <v>386</v>
      </c>
      <c r="I1262" s="95" t="s">
        <v>1666</v>
      </c>
      <c r="J1262" t="str">
        <f t="shared" si="40"/>
        <v>10244000 - Francisco Zelada Torre B</v>
      </c>
      <c r="K1262" t="str">
        <f t="shared" si="41"/>
        <v>Proyectos Inmobiliarios</v>
      </c>
    </row>
    <row r="1263" spans="1:11" x14ac:dyDescent="0.25">
      <c r="A1263" s="94">
        <v>10244102</v>
      </c>
      <c r="B1263" s="95" t="s">
        <v>1185</v>
      </c>
      <c r="C1263" s="95" t="s">
        <v>1670</v>
      </c>
      <c r="D1263" s="95" t="s">
        <v>1665</v>
      </c>
      <c r="E1263" s="95" t="s">
        <v>1617</v>
      </c>
      <c r="F1263" s="95" t="s">
        <v>470</v>
      </c>
      <c r="G1263" s="95" t="s">
        <v>1661</v>
      </c>
      <c r="H1263" s="94" t="s">
        <v>386</v>
      </c>
      <c r="I1263" s="95" t="s">
        <v>1666</v>
      </c>
      <c r="J1263" t="str">
        <f t="shared" si="40"/>
        <v>10244102 - Francisco Zelada Torre B-Marketing</v>
      </c>
      <c r="K1263" t="str">
        <f t="shared" si="41"/>
        <v>Proyectos Inmobiliarios</v>
      </c>
    </row>
    <row r="1264" spans="1:11" x14ac:dyDescent="0.25">
      <c r="A1264" s="94">
        <v>10244103</v>
      </c>
      <c r="B1264" s="95" t="s">
        <v>1186</v>
      </c>
      <c r="C1264" s="95" t="s">
        <v>1670</v>
      </c>
      <c r="D1264" s="95" t="s">
        <v>1665</v>
      </c>
      <c r="E1264" s="95" t="s">
        <v>1618</v>
      </c>
      <c r="F1264" s="95" t="s">
        <v>470</v>
      </c>
      <c r="G1264" s="95" t="s">
        <v>1661</v>
      </c>
      <c r="H1264" s="94" t="s">
        <v>386</v>
      </c>
      <c r="I1264" s="95" t="s">
        <v>1666</v>
      </c>
      <c r="J1264" t="str">
        <f t="shared" si="40"/>
        <v>10244103 - Francisco Zelada Torre B-Operaciones</v>
      </c>
      <c r="K1264" t="str">
        <f t="shared" si="41"/>
        <v>Proyectos Inmobiliarios</v>
      </c>
    </row>
    <row r="1265" spans="1:11" x14ac:dyDescent="0.25">
      <c r="A1265" s="94">
        <v>10244104</v>
      </c>
      <c r="B1265" s="95" t="s">
        <v>1187</v>
      </c>
      <c r="C1265" s="95" t="s">
        <v>1670</v>
      </c>
      <c r="D1265" s="95" t="s">
        <v>1665</v>
      </c>
      <c r="E1265" s="95" t="s">
        <v>90</v>
      </c>
      <c r="F1265" s="95" t="s">
        <v>470</v>
      </c>
      <c r="G1265" s="95" t="s">
        <v>1661</v>
      </c>
      <c r="H1265" s="94" t="s">
        <v>386</v>
      </c>
      <c r="I1265" s="95" t="s">
        <v>1666</v>
      </c>
      <c r="J1265" t="str">
        <f t="shared" si="40"/>
        <v>10244104 - Francisco Zelada Torre B-Ventas</v>
      </c>
      <c r="K1265" t="str">
        <f t="shared" si="41"/>
        <v>Proyectos Inmobiliarios</v>
      </c>
    </row>
    <row r="1266" spans="1:11" x14ac:dyDescent="0.25">
      <c r="A1266" s="94">
        <v>10244105</v>
      </c>
      <c r="B1266" s="95" t="s">
        <v>1188</v>
      </c>
      <c r="C1266" s="95" t="s">
        <v>1670</v>
      </c>
      <c r="D1266" s="95" t="s">
        <v>1665</v>
      </c>
      <c r="E1266" s="95" t="s">
        <v>1622</v>
      </c>
      <c r="F1266" s="95" t="s">
        <v>470</v>
      </c>
      <c r="G1266" s="95" t="s">
        <v>1661</v>
      </c>
      <c r="H1266" s="94" t="s">
        <v>386</v>
      </c>
      <c r="I1266" s="95" t="s">
        <v>1666</v>
      </c>
      <c r="J1266" t="str">
        <f t="shared" si="40"/>
        <v>10244105 - Francisco Zelada Torre B-Clientes</v>
      </c>
      <c r="K1266" t="str">
        <f t="shared" si="41"/>
        <v>Proyectos Inmobiliarios</v>
      </c>
    </row>
    <row r="1267" spans="1:11" x14ac:dyDescent="0.25">
      <c r="A1267" s="94">
        <v>10244204</v>
      </c>
      <c r="B1267" s="95" t="s">
        <v>1189</v>
      </c>
      <c r="C1267" s="95" t="s">
        <v>1670</v>
      </c>
      <c r="D1267" s="95" t="s">
        <v>1665</v>
      </c>
      <c r="E1267" s="95" t="s">
        <v>1624</v>
      </c>
      <c r="F1267" s="95" t="s">
        <v>470</v>
      </c>
      <c r="G1267" s="95" t="s">
        <v>1661</v>
      </c>
      <c r="H1267" s="94" t="s">
        <v>386</v>
      </c>
      <c r="I1267" s="95" t="s">
        <v>1666</v>
      </c>
      <c r="J1267" t="str">
        <f t="shared" si="40"/>
        <v>10244204 - Francisco Zelada Torre B-Proyecto</v>
      </c>
      <c r="K1267" t="str">
        <f t="shared" si="41"/>
        <v>Proyectos Inmobiliarios</v>
      </c>
    </row>
    <row r="1268" spans="1:11" x14ac:dyDescent="0.25">
      <c r="A1268" s="94">
        <v>10244301</v>
      </c>
      <c r="B1268" s="95" t="s">
        <v>1190</v>
      </c>
      <c r="C1268" s="95" t="s">
        <v>1670</v>
      </c>
      <c r="D1268" s="95" t="s">
        <v>1665</v>
      </c>
      <c r="E1268" s="95" t="s">
        <v>1643</v>
      </c>
      <c r="F1268" s="95" t="s">
        <v>470</v>
      </c>
      <c r="G1268" s="95" t="s">
        <v>1667</v>
      </c>
      <c r="H1268" s="94" t="s">
        <v>386</v>
      </c>
      <c r="I1268" s="95" t="s">
        <v>1666</v>
      </c>
      <c r="J1268" t="str">
        <f t="shared" si="40"/>
        <v>10244301 - Francisco Zelada Torre B-GAF</v>
      </c>
      <c r="K1268" t="str">
        <f t="shared" si="41"/>
        <v>Proyectos Inmobiliarios</v>
      </c>
    </row>
    <row r="1269" spans="1:11" x14ac:dyDescent="0.25">
      <c r="A1269" s="94">
        <v>10244505</v>
      </c>
      <c r="B1269" s="95" t="s">
        <v>1191</v>
      </c>
      <c r="C1269" s="95" t="s">
        <v>1670</v>
      </c>
      <c r="D1269" s="95" t="s">
        <v>66</v>
      </c>
      <c r="E1269" s="95" t="s">
        <v>328</v>
      </c>
      <c r="F1269" s="95" t="s">
        <v>470</v>
      </c>
      <c r="G1269" s="95" t="s">
        <v>1661</v>
      </c>
      <c r="H1269" s="94" t="s">
        <v>386</v>
      </c>
      <c r="I1269" s="95" t="s">
        <v>1666</v>
      </c>
      <c r="J1269" t="str">
        <f t="shared" si="40"/>
        <v>10244505 - Francisco Zelada Torre B-PV Inmob.</v>
      </c>
      <c r="K1269" t="str">
        <f t="shared" si="41"/>
        <v>Postventa</v>
      </c>
    </row>
    <row r="1270" spans="1:11" x14ac:dyDescent="0.25">
      <c r="A1270" s="94">
        <v>10244506</v>
      </c>
      <c r="B1270" s="95" t="s">
        <v>1192</v>
      </c>
      <c r="C1270" s="95" t="s">
        <v>1670</v>
      </c>
      <c r="D1270" s="95" t="s">
        <v>1665</v>
      </c>
      <c r="E1270" s="95" t="s">
        <v>200</v>
      </c>
      <c r="F1270" s="95" t="s">
        <v>470</v>
      </c>
      <c r="G1270" s="95" t="s">
        <v>1661</v>
      </c>
      <c r="H1270" s="94" t="s">
        <v>386</v>
      </c>
      <c r="I1270" s="95" t="s">
        <v>1666</v>
      </c>
      <c r="J1270" t="str">
        <f t="shared" si="40"/>
        <v>10244506 - Francisco Zelada Torre B-Depto.Técnico</v>
      </c>
      <c r="K1270" t="str">
        <f t="shared" si="41"/>
        <v>Proyectos Inmobiliarios</v>
      </c>
    </row>
    <row r="1271" spans="1:11" x14ac:dyDescent="0.25">
      <c r="A1271" s="94">
        <v>8244</v>
      </c>
      <c r="B1271" s="95" t="s">
        <v>2099</v>
      </c>
      <c r="C1271" s="95" t="s">
        <v>1670</v>
      </c>
      <c r="D1271" s="95" t="s">
        <v>1686</v>
      </c>
      <c r="E1271" s="95" t="s">
        <v>1501</v>
      </c>
      <c r="F1271" s="95" t="s">
        <v>470</v>
      </c>
      <c r="G1271" s="95" t="s">
        <v>1661</v>
      </c>
      <c r="H1271" s="94" t="s">
        <v>1672</v>
      </c>
      <c r="I1271" s="95" t="s">
        <v>1666</v>
      </c>
      <c r="J1271" t="str">
        <f t="shared" si="40"/>
        <v>8244 - Entrega Francisco Zelada Torre B</v>
      </c>
      <c r="K1271" t="str">
        <f t="shared" si="41"/>
        <v>Entrega</v>
      </c>
    </row>
    <row r="1272" spans="1:11" x14ac:dyDescent="0.25">
      <c r="A1272" s="94">
        <v>9244</v>
      </c>
      <c r="B1272" s="95" t="s">
        <v>2100</v>
      </c>
      <c r="C1272" s="95" t="s">
        <v>1670</v>
      </c>
      <c r="D1272" s="95" t="s">
        <v>66</v>
      </c>
      <c r="E1272" s="95" t="s">
        <v>328</v>
      </c>
      <c r="F1272" s="95" t="s">
        <v>470</v>
      </c>
      <c r="G1272" s="95" t="s">
        <v>1661</v>
      </c>
      <c r="H1272" s="94" t="s">
        <v>1672</v>
      </c>
      <c r="I1272" s="95" t="s">
        <v>1666</v>
      </c>
      <c r="J1272" t="str">
        <f t="shared" si="40"/>
        <v>9244 - PV Francisco Zelada Torre B</v>
      </c>
      <c r="K1272" t="str">
        <f t="shared" si="41"/>
        <v>Postventa</v>
      </c>
    </row>
    <row r="1273" spans="1:11" x14ac:dyDescent="0.25">
      <c r="A1273" s="56">
        <v>1111202</v>
      </c>
      <c r="B1273" s="57" t="s">
        <v>2101</v>
      </c>
      <c r="C1273" s="57" t="s">
        <v>1670</v>
      </c>
      <c r="D1273" s="57" t="s">
        <v>1578</v>
      </c>
      <c r="E1273" s="57" t="s">
        <v>1578</v>
      </c>
      <c r="F1273" s="57" t="s">
        <v>2102</v>
      </c>
      <c r="G1273" s="57" t="s">
        <v>1661</v>
      </c>
      <c r="H1273" s="56" t="s">
        <v>1672</v>
      </c>
      <c r="I1273" s="57" t="s">
        <v>1662</v>
      </c>
      <c r="J1273" t="str">
        <f t="shared" si="40"/>
        <v>1111202 - Terreno Gran Avenida – Inversiones</v>
      </c>
      <c r="K1273" t="str">
        <f t="shared" si="41"/>
        <v>Terreno</v>
      </c>
    </row>
    <row r="1274" spans="1:11" x14ac:dyDescent="0.25">
      <c r="A1274" s="56">
        <v>1120202</v>
      </c>
      <c r="B1274" s="57" t="s">
        <v>2103</v>
      </c>
      <c r="C1274" s="57" t="s">
        <v>1670</v>
      </c>
      <c r="D1274" s="57" t="s">
        <v>1578</v>
      </c>
      <c r="E1274" s="57" t="s">
        <v>1578</v>
      </c>
      <c r="F1274" s="57" t="s">
        <v>2102</v>
      </c>
      <c r="G1274" s="57" t="s">
        <v>1661</v>
      </c>
      <c r="H1274" s="56" t="s">
        <v>1672</v>
      </c>
      <c r="I1274" s="57" t="s">
        <v>1662</v>
      </c>
      <c r="J1274" t="str">
        <f t="shared" si="40"/>
        <v>1120202 - Terreno Gran Avenida 9682 – Inversiones</v>
      </c>
      <c r="K1274" t="str">
        <f t="shared" si="41"/>
        <v>Terreno</v>
      </c>
    </row>
    <row r="1275" spans="1:11" x14ac:dyDescent="0.25">
      <c r="A1275" s="56">
        <v>10247000</v>
      </c>
      <c r="B1275" s="57" t="s">
        <v>2104</v>
      </c>
      <c r="C1275" s="57" t="s">
        <v>1670</v>
      </c>
      <c r="D1275" s="57" t="s">
        <v>1665</v>
      </c>
      <c r="E1275" s="57" t="s">
        <v>1585</v>
      </c>
      <c r="F1275" s="57" t="s">
        <v>2102</v>
      </c>
      <c r="G1275" s="57" t="s">
        <v>1661</v>
      </c>
      <c r="H1275" s="56" t="s">
        <v>1672</v>
      </c>
      <c r="I1275" s="57" t="s">
        <v>1666</v>
      </c>
      <c r="J1275" t="str">
        <f t="shared" si="40"/>
        <v>10247000 - Gran Avenida 9682</v>
      </c>
      <c r="K1275" t="str">
        <f t="shared" si="41"/>
        <v>Proyectos Inmobiliarios</v>
      </c>
    </row>
    <row r="1276" spans="1:11" x14ac:dyDescent="0.25">
      <c r="A1276" s="56">
        <v>10247102</v>
      </c>
      <c r="B1276" s="57" t="s">
        <v>2105</v>
      </c>
      <c r="C1276" s="57" t="s">
        <v>1670</v>
      </c>
      <c r="D1276" s="57" t="s">
        <v>1665</v>
      </c>
      <c r="E1276" s="57" t="s">
        <v>1617</v>
      </c>
      <c r="F1276" s="57" t="s">
        <v>2102</v>
      </c>
      <c r="G1276" s="57" t="s">
        <v>1661</v>
      </c>
      <c r="H1276" s="56" t="s">
        <v>1672</v>
      </c>
      <c r="I1276" s="57" t="s">
        <v>1666</v>
      </c>
      <c r="J1276" t="str">
        <f t="shared" si="40"/>
        <v>10247102 - Gran Avenida 9682-Marketing</v>
      </c>
      <c r="K1276" t="str">
        <f t="shared" si="41"/>
        <v>Proyectos Inmobiliarios</v>
      </c>
    </row>
    <row r="1277" spans="1:11" x14ac:dyDescent="0.25">
      <c r="A1277" s="56">
        <v>10247103</v>
      </c>
      <c r="B1277" s="57" t="s">
        <v>2106</v>
      </c>
      <c r="C1277" s="57" t="s">
        <v>1670</v>
      </c>
      <c r="D1277" s="57" t="s">
        <v>1665</v>
      </c>
      <c r="E1277" s="57" t="s">
        <v>1618</v>
      </c>
      <c r="F1277" s="57" t="s">
        <v>2102</v>
      </c>
      <c r="G1277" s="57" t="s">
        <v>1661</v>
      </c>
      <c r="H1277" s="56" t="s">
        <v>1672</v>
      </c>
      <c r="I1277" s="57" t="s">
        <v>1666</v>
      </c>
      <c r="J1277" t="str">
        <f t="shared" si="40"/>
        <v>10247103 - Gran Avenida 9682-Operaciones</v>
      </c>
      <c r="K1277" t="str">
        <f t="shared" si="41"/>
        <v>Proyectos Inmobiliarios</v>
      </c>
    </row>
    <row r="1278" spans="1:11" x14ac:dyDescent="0.25">
      <c r="A1278" s="56">
        <v>10247104</v>
      </c>
      <c r="B1278" s="57" t="s">
        <v>2107</v>
      </c>
      <c r="C1278" s="57" t="s">
        <v>1670</v>
      </c>
      <c r="D1278" s="57" t="s">
        <v>1665</v>
      </c>
      <c r="E1278" s="57" t="s">
        <v>90</v>
      </c>
      <c r="F1278" s="57" t="s">
        <v>2102</v>
      </c>
      <c r="G1278" s="57" t="s">
        <v>1661</v>
      </c>
      <c r="H1278" s="56" t="s">
        <v>1672</v>
      </c>
      <c r="I1278" s="57" t="s">
        <v>1666</v>
      </c>
      <c r="J1278" t="str">
        <f t="shared" si="40"/>
        <v>10247104 - Gran Avenida 9682-Ventas</v>
      </c>
      <c r="K1278" t="str">
        <f t="shared" si="41"/>
        <v>Proyectos Inmobiliarios</v>
      </c>
    </row>
    <row r="1279" spans="1:11" x14ac:dyDescent="0.25">
      <c r="A1279" s="56">
        <v>10247105</v>
      </c>
      <c r="B1279" s="57" t="s">
        <v>2108</v>
      </c>
      <c r="C1279" s="57" t="s">
        <v>1670</v>
      </c>
      <c r="D1279" s="57" t="s">
        <v>1665</v>
      </c>
      <c r="E1279" s="57" t="s">
        <v>1622</v>
      </c>
      <c r="F1279" s="57" t="s">
        <v>2102</v>
      </c>
      <c r="G1279" s="57" t="s">
        <v>1661</v>
      </c>
      <c r="H1279" s="56" t="s">
        <v>1672</v>
      </c>
      <c r="I1279" s="57" t="s">
        <v>1666</v>
      </c>
      <c r="J1279" t="str">
        <f t="shared" si="40"/>
        <v>10247105 - Gran Avenida 9682-Clientes</v>
      </c>
      <c r="K1279" t="str">
        <f t="shared" si="41"/>
        <v>Proyectos Inmobiliarios</v>
      </c>
    </row>
    <row r="1280" spans="1:11" x14ac:dyDescent="0.25">
      <c r="A1280" s="56">
        <v>10247204</v>
      </c>
      <c r="B1280" s="57" t="s">
        <v>2109</v>
      </c>
      <c r="C1280" s="57" t="s">
        <v>1670</v>
      </c>
      <c r="D1280" s="57" t="s">
        <v>1665</v>
      </c>
      <c r="E1280" s="57" t="s">
        <v>1624</v>
      </c>
      <c r="F1280" s="57" t="s">
        <v>2102</v>
      </c>
      <c r="G1280" s="57" t="s">
        <v>1661</v>
      </c>
      <c r="H1280" s="56" t="s">
        <v>1672</v>
      </c>
      <c r="I1280" s="57" t="s">
        <v>1666</v>
      </c>
      <c r="J1280" t="str">
        <f t="shared" si="40"/>
        <v>10247204 - Gran Avenida 9682-Proyecto</v>
      </c>
      <c r="K1280" t="str">
        <f t="shared" si="41"/>
        <v>Proyectos Inmobiliarios</v>
      </c>
    </row>
    <row r="1281" spans="1:11" x14ac:dyDescent="0.25">
      <c r="A1281" s="56">
        <v>10247301</v>
      </c>
      <c r="B1281" s="57" t="s">
        <v>2110</v>
      </c>
      <c r="C1281" s="57" t="s">
        <v>1670</v>
      </c>
      <c r="D1281" s="57" t="s">
        <v>1665</v>
      </c>
      <c r="E1281" s="57" t="s">
        <v>1643</v>
      </c>
      <c r="F1281" s="57" t="s">
        <v>2102</v>
      </c>
      <c r="G1281" s="57" t="s">
        <v>1667</v>
      </c>
      <c r="H1281" s="56" t="s">
        <v>1672</v>
      </c>
      <c r="I1281" s="57" t="s">
        <v>1666</v>
      </c>
      <c r="J1281" t="str">
        <f t="shared" si="40"/>
        <v>10247301 - Gran Avenida 9682-GAF</v>
      </c>
      <c r="K1281" t="str">
        <f t="shared" si="41"/>
        <v>Proyectos Inmobiliarios</v>
      </c>
    </row>
    <row r="1282" spans="1:11" x14ac:dyDescent="0.25">
      <c r="A1282" s="56">
        <v>10247505</v>
      </c>
      <c r="B1282" s="57" t="s">
        <v>2111</v>
      </c>
      <c r="C1282" s="57" t="s">
        <v>1670</v>
      </c>
      <c r="D1282" s="57" t="s">
        <v>66</v>
      </c>
      <c r="E1282" s="57" t="s">
        <v>328</v>
      </c>
      <c r="F1282" s="57" t="s">
        <v>2102</v>
      </c>
      <c r="G1282" s="57" t="s">
        <v>1661</v>
      </c>
      <c r="H1282" s="56" t="s">
        <v>1672</v>
      </c>
      <c r="I1282" s="57" t="s">
        <v>1666</v>
      </c>
      <c r="J1282" t="str">
        <f t="shared" si="40"/>
        <v>10247505 - Gran Avenida 9682-PV Inmob.</v>
      </c>
      <c r="K1282" t="str">
        <f t="shared" si="41"/>
        <v>Postventa</v>
      </c>
    </row>
    <row r="1283" spans="1:11" x14ac:dyDescent="0.25">
      <c r="A1283" s="56">
        <v>10247506</v>
      </c>
      <c r="B1283" s="57" t="s">
        <v>2112</v>
      </c>
      <c r="C1283" s="57" t="s">
        <v>1670</v>
      </c>
      <c r="D1283" s="57" t="s">
        <v>1665</v>
      </c>
      <c r="E1283" s="57" t="s">
        <v>200</v>
      </c>
      <c r="F1283" s="57" t="s">
        <v>2102</v>
      </c>
      <c r="G1283" s="57" t="s">
        <v>1661</v>
      </c>
      <c r="H1283" s="56" t="s">
        <v>1672</v>
      </c>
      <c r="I1283" s="57" t="s">
        <v>1666</v>
      </c>
      <c r="J1283" t="str">
        <f t="shared" si="40"/>
        <v>10247506 - Gran Avenida 9682-Depto.Técnico</v>
      </c>
      <c r="K1283" t="str">
        <f t="shared" si="41"/>
        <v>Proyectos Inmobiliarios</v>
      </c>
    </row>
    <row r="1284" spans="1:11" x14ac:dyDescent="0.25">
      <c r="A1284" s="52">
        <v>999999999</v>
      </c>
      <c r="B1284" s="53" t="s">
        <v>1684</v>
      </c>
      <c r="C1284" s="53"/>
      <c r="D1284" s="53" t="s">
        <v>1578</v>
      </c>
      <c r="E1284" s="53" t="s">
        <v>1578</v>
      </c>
      <c r="F1284" s="53" t="s">
        <v>2113</v>
      </c>
      <c r="G1284" s="53" t="s">
        <v>1661</v>
      </c>
      <c r="H1284" s="52" t="s">
        <v>1672</v>
      </c>
      <c r="I1284" s="53" t="s">
        <v>1662</v>
      </c>
      <c r="J1284" t="str">
        <f t="shared" si="40"/>
        <v>999999999 - Terreno Abuelo Proyectos sin Terreno</v>
      </c>
      <c r="K1284" t="str">
        <f t="shared" si="41"/>
        <v>Terreno</v>
      </c>
    </row>
    <row r="1285" spans="1:11" x14ac:dyDescent="0.25">
      <c r="A1285" s="52">
        <v>22</v>
      </c>
      <c r="B1285" s="53" t="s">
        <v>2114</v>
      </c>
      <c r="C1285" s="53" t="s">
        <v>1685</v>
      </c>
      <c r="D1285" s="53" t="s">
        <v>65</v>
      </c>
      <c r="E1285" s="53" t="s">
        <v>65</v>
      </c>
      <c r="F1285" s="53" t="s">
        <v>2113</v>
      </c>
      <c r="G1285" s="53" t="s">
        <v>1663</v>
      </c>
      <c r="H1285" s="52" t="s">
        <v>1672</v>
      </c>
      <c r="I1285" s="53" t="s">
        <v>1664</v>
      </c>
      <c r="J1285" t="str">
        <f t="shared" ref="J1285:J1348" si="42">+A1285&amp;" - "&amp;B1285</f>
        <v>22 - Hospital de los Andes</v>
      </c>
      <c r="K1285" t="str">
        <f t="shared" ref="K1285:K1348" si="43">+D1285</f>
        <v>Obra</v>
      </c>
    </row>
    <row r="1286" spans="1:11" x14ac:dyDescent="0.25">
      <c r="A1286" s="52">
        <v>9022</v>
      </c>
      <c r="B1286" s="53" t="s">
        <v>572</v>
      </c>
      <c r="C1286" s="53" t="s">
        <v>1685</v>
      </c>
      <c r="D1286" s="53" t="s">
        <v>66</v>
      </c>
      <c r="E1286" s="53" t="s">
        <v>328</v>
      </c>
      <c r="F1286" s="53" t="s">
        <v>2113</v>
      </c>
      <c r="G1286" s="53" t="s">
        <v>1661</v>
      </c>
      <c r="H1286" s="52" t="s">
        <v>386</v>
      </c>
      <c r="I1286" s="53" t="s">
        <v>1666</v>
      </c>
      <c r="J1286" t="str">
        <f t="shared" si="42"/>
        <v>9022 - PV Hospital de Los Andes</v>
      </c>
      <c r="K1286" t="str">
        <f t="shared" si="43"/>
        <v>Postventa</v>
      </c>
    </row>
    <row r="1287" spans="1:11" x14ac:dyDescent="0.25">
      <c r="A1287" s="58">
        <v>999999999</v>
      </c>
      <c r="B1287" s="59" t="s">
        <v>1684</v>
      </c>
      <c r="C1287" s="59"/>
      <c r="D1287" s="59" t="s">
        <v>1578</v>
      </c>
      <c r="E1287" s="59" t="s">
        <v>1578</v>
      </c>
      <c r="F1287" s="59" t="s">
        <v>68</v>
      </c>
      <c r="G1287" s="59" t="s">
        <v>1661</v>
      </c>
      <c r="H1287" s="58" t="s">
        <v>1672</v>
      </c>
      <c r="I1287" s="59" t="s">
        <v>1662</v>
      </c>
      <c r="J1287" t="str">
        <f t="shared" si="42"/>
        <v>999999999 - Terreno Abuelo Proyectos sin Terreno</v>
      </c>
      <c r="K1287" t="str">
        <f t="shared" si="43"/>
        <v>Terreno</v>
      </c>
    </row>
    <row r="1288" spans="1:11" x14ac:dyDescent="0.25">
      <c r="A1288" s="58">
        <v>29</v>
      </c>
      <c r="B1288" s="59" t="s">
        <v>68</v>
      </c>
      <c r="C1288" s="59" t="s">
        <v>1836</v>
      </c>
      <c r="D1288" s="59" t="s">
        <v>65</v>
      </c>
      <c r="E1288" s="59" t="s">
        <v>65</v>
      </c>
      <c r="F1288" s="59" t="s">
        <v>68</v>
      </c>
      <c r="G1288" s="59" t="s">
        <v>1663</v>
      </c>
      <c r="H1288" s="58" t="s">
        <v>1672</v>
      </c>
      <c r="I1288" s="59" t="s">
        <v>1664</v>
      </c>
      <c r="J1288" t="str">
        <f t="shared" si="42"/>
        <v>29 - Hospital de Tocopilla</v>
      </c>
      <c r="K1288" t="str">
        <f t="shared" si="43"/>
        <v>Obra</v>
      </c>
    </row>
    <row r="1289" spans="1:11" x14ac:dyDescent="0.25">
      <c r="A1289" s="58">
        <v>9029</v>
      </c>
      <c r="B1289" s="59" t="s">
        <v>578</v>
      </c>
      <c r="C1289" s="59" t="s">
        <v>1836</v>
      </c>
      <c r="D1289" s="59" t="s">
        <v>66</v>
      </c>
      <c r="E1289" s="59" t="s">
        <v>328</v>
      </c>
      <c r="F1289" s="59" t="s">
        <v>68</v>
      </c>
      <c r="G1289" s="59" t="s">
        <v>1661</v>
      </c>
      <c r="H1289" s="58" t="s">
        <v>386</v>
      </c>
      <c r="I1289" s="59" t="s">
        <v>1666</v>
      </c>
      <c r="J1289" t="str">
        <f t="shared" si="42"/>
        <v>9029 - PV Hospital de Tocopilla</v>
      </c>
      <c r="K1289" t="str">
        <f t="shared" si="43"/>
        <v>Postventa</v>
      </c>
    </row>
    <row r="1290" spans="1:11" x14ac:dyDescent="0.25">
      <c r="A1290" s="56">
        <v>999999999</v>
      </c>
      <c r="B1290" s="57" t="s">
        <v>1684</v>
      </c>
      <c r="C1290" s="57"/>
      <c r="D1290" s="57" t="s">
        <v>1578</v>
      </c>
      <c r="E1290" s="57" t="s">
        <v>1578</v>
      </c>
      <c r="F1290" s="57" t="s">
        <v>2115</v>
      </c>
      <c r="G1290" s="57" t="s">
        <v>1661</v>
      </c>
      <c r="H1290" s="56" t="s">
        <v>1672</v>
      </c>
      <c r="I1290" s="57" t="s">
        <v>1662</v>
      </c>
      <c r="J1290" t="str">
        <f t="shared" si="42"/>
        <v>999999999 - Terreno Abuelo Proyectos sin Terreno</v>
      </c>
      <c r="K1290" t="str">
        <f t="shared" si="43"/>
        <v>Terreno</v>
      </c>
    </row>
    <row r="1291" spans="1:11" x14ac:dyDescent="0.25">
      <c r="A1291" s="56">
        <v>47</v>
      </c>
      <c r="B1291" s="57" t="s">
        <v>2115</v>
      </c>
      <c r="C1291" s="57" t="s">
        <v>1670</v>
      </c>
      <c r="D1291" s="57" t="s">
        <v>65</v>
      </c>
      <c r="E1291" s="57" t="s">
        <v>65</v>
      </c>
      <c r="F1291" s="57" t="s">
        <v>2115</v>
      </c>
      <c r="G1291" s="57" t="s">
        <v>1663</v>
      </c>
      <c r="H1291" s="56" t="s">
        <v>1672</v>
      </c>
      <c r="I1291" s="57" t="s">
        <v>1664</v>
      </c>
      <c r="J1291" t="str">
        <f t="shared" si="42"/>
        <v>47 - Hospital Traumatologico</v>
      </c>
      <c r="K1291" t="str">
        <f t="shared" si="43"/>
        <v>Obra</v>
      </c>
    </row>
    <row r="1292" spans="1:11" x14ac:dyDescent="0.25">
      <c r="A1292" s="56">
        <v>9047</v>
      </c>
      <c r="B1292" s="57" t="s">
        <v>593</v>
      </c>
      <c r="C1292" s="57" t="s">
        <v>1670</v>
      </c>
      <c r="D1292" s="57" t="s">
        <v>66</v>
      </c>
      <c r="E1292" s="57" t="s">
        <v>328</v>
      </c>
      <c r="F1292" s="57" t="s">
        <v>2115</v>
      </c>
      <c r="G1292" s="57" t="s">
        <v>1661</v>
      </c>
      <c r="H1292" s="56" t="s">
        <v>386</v>
      </c>
      <c r="I1292" s="57" t="s">
        <v>1666</v>
      </c>
      <c r="J1292" t="str">
        <f t="shared" si="42"/>
        <v>9047 - PV Hospital Traumatologico</v>
      </c>
      <c r="K1292" t="str">
        <f t="shared" si="43"/>
        <v>Postventa</v>
      </c>
    </row>
    <row r="1293" spans="1:11" x14ac:dyDescent="0.25">
      <c r="A1293" s="50">
        <v>999999999</v>
      </c>
      <c r="B1293" s="51" t="s">
        <v>1684</v>
      </c>
      <c r="C1293" s="51"/>
      <c r="D1293" s="51" t="s">
        <v>1578</v>
      </c>
      <c r="E1293" s="51" t="s">
        <v>1578</v>
      </c>
      <c r="F1293" s="51" t="s">
        <v>2116</v>
      </c>
      <c r="G1293" s="51" t="s">
        <v>1661</v>
      </c>
      <c r="H1293" s="50" t="s">
        <v>1672</v>
      </c>
      <c r="I1293" s="51" t="s">
        <v>1662</v>
      </c>
      <c r="J1293" t="str">
        <f t="shared" si="42"/>
        <v>999999999 - Terreno Abuelo Proyectos sin Terreno</v>
      </c>
      <c r="K1293" t="str">
        <f t="shared" si="43"/>
        <v>Terreno</v>
      </c>
    </row>
    <row r="1294" spans="1:11" x14ac:dyDescent="0.25">
      <c r="A1294" s="50">
        <v>168</v>
      </c>
      <c r="B1294" s="51" t="s">
        <v>2116</v>
      </c>
      <c r="C1294" s="51" t="s">
        <v>1670</v>
      </c>
      <c r="D1294" s="51" t="s">
        <v>65</v>
      </c>
      <c r="E1294" s="51" t="s">
        <v>65</v>
      </c>
      <c r="F1294" s="51" t="s">
        <v>2116</v>
      </c>
      <c r="G1294" s="51" t="s">
        <v>1663</v>
      </c>
      <c r="H1294" s="50" t="s">
        <v>1672</v>
      </c>
      <c r="I1294" s="51" t="s">
        <v>1664</v>
      </c>
      <c r="J1294" t="str">
        <f t="shared" si="42"/>
        <v>168 - Jardines del Polo</v>
      </c>
      <c r="K1294" t="str">
        <f t="shared" si="43"/>
        <v>Obra</v>
      </c>
    </row>
    <row r="1295" spans="1:11" x14ac:dyDescent="0.25">
      <c r="A1295" s="50">
        <v>10168000</v>
      </c>
      <c r="B1295" s="51" t="s">
        <v>2116</v>
      </c>
      <c r="C1295" s="51" t="s">
        <v>1670</v>
      </c>
      <c r="D1295" s="51" t="s">
        <v>1665</v>
      </c>
      <c r="E1295" s="51" t="s">
        <v>1585</v>
      </c>
      <c r="F1295" s="51" t="s">
        <v>2116</v>
      </c>
      <c r="G1295" s="51" t="s">
        <v>1661</v>
      </c>
      <c r="H1295" s="50" t="s">
        <v>1672</v>
      </c>
      <c r="I1295" s="51" t="s">
        <v>1666</v>
      </c>
      <c r="J1295" t="str">
        <f t="shared" si="42"/>
        <v>10168000 - Jardines del Polo</v>
      </c>
      <c r="K1295" t="str">
        <f t="shared" si="43"/>
        <v>Proyectos Inmobiliarios</v>
      </c>
    </row>
    <row r="1296" spans="1:11" x14ac:dyDescent="0.25">
      <c r="A1296" s="50">
        <v>10168102</v>
      </c>
      <c r="B1296" s="51" t="s">
        <v>2117</v>
      </c>
      <c r="C1296" s="51" t="s">
        <v>1670</v>
      </c>
      <c r="D1296" s="51" t="s">
        <v>1665</v>
      </c>
      <c r="E1296" s="51" t="s">
        <v>1617</v>
      </c>
      <c r="F1296" s="51" t="s">
        <v>2116</v>
      </c>
      <c r="G1296" s="51" t="s">
        <v>1661</v>
      </c>
      <c r="H1296" s="50" t="s">
        <v>1672</v>
      </c>
      <c r="I1296" s="51" t="s">
        <v>1666</v>
      </c>
      <c r="J1296" t="str">
        <f t="shared" si="42"/>
        <v>10168102 - Jardines del Polo-Marketing</v>
      </c>
      <c r="K1296" t="str">
        <f t="shared" si="43"/>
        <v>Proyectos Inmobiliarios</v>
      </c>
    </row>
    <row r="1297" spans="1:11" x14ac:dyDescent="0.25">
      <c r="A1297" s="50">
        <v>10168103</v>
      </c>
      <c r="B1297" s="51" t="s">
        <v>2118</v>
      </c>
      <c r="C1297" s="51" t="s">
        <v>1670</v>
      </c>
      <c r="D1297" s="51" t="s">
        <v>1665</v>
      </c>
      <c r="E1297" s="51" t="s">
        <v>1618</v>
      </c>
      <c r="F1297" s="51" t="s">
        <v>2116</v>
      </c>
      <c r="G1297" s="51" t="s">
        <v>1661</v>
      </c>
      <c r="H1297" s="50" t="s">
        <v>1672</v>
      </c>
      <c r="I1297" s="51" t="s">
        <v>1666</v>
      </c>
      <c r="J1297" t="str">
        <f t="shared" si="42"/>
        <v>10168103 - Jardines del Polo-Operaciones</v>
      </c>
      <c r="K1297" t="str">
        <f t="shared" si="43"/>
        <v>Proyectos Inmobiliarios</v>
      </c>
    </row>
    <row r="1298" spans="1:11" x14ac:dyDescent="0.25">
      <c r="A1298" s="50">
        <v>10168104</v>
      </c>
      <c r="B1298" s="51" t="s">
        <v>2119</v>
      </c>
      <c r="C1298" s="51" t="s">
        <v>1670</v>
      </c>
      <c r="D1298" s="51" t="s">
        <v>1665</v>
      </c>
      <c r="E1298" s="51" t="s">
        <v>90</v>
      </c>
      <c r="F1298" s="51" t="s">
        <v>2116</v>
      </c>
      <c r="G1298" s="51" t="s">
        <v>1661</v>
      </c>
      <c r="H1298" s="50" t="s">
        <v>1672</v>
      </c>
      <c r="I1298" s="51" t="s">
        <v>1666</v>
      </c>
      <c r="J1298" t="str">
        <f t="shared" si="42"/>
        <v>10168104 - Jardines del Polo-Ventas</v>
      </c>
      <c r="K1298" t="str">
        <f t="shared" si="43"/>
        <v>Proyectos Inmobiliarios</v>
      </c>
    </row>
    <row r="1299" spans="1:11" x14ac:dyDescent="0.25">
      <c r="A1299" s="50">
        <v>10168105</v>
      </c>
      <c r="B1299" s="51" t="s">
        <v>2120</v>
      </c>
      <c r="C1299" s="51" t="s">
        <v>1670</v>
      </c>
      <c r="D1299" s="51" t="s">
        <v>1665</v>
      </c>
      <c r="E1299" s="51" t="s">
        <v>1622</v>
      </c>
      <c r="F1299" s="51" t="s">
        <v>2116</v>
      </c>
      <c r="G1299" s="51" t="s">
        <v>1661</v>
      </c>
      <c r="H1299" s="50" t="s">
        <v>1672</v>
      </c>
      <c r="I1299" s="51" t="s">
        <v>1666</v>
      </c>
      <c r="J1299" t="str">
        <f t="shared" si="42"/>
        <v>10168105 - Jardines del Polo-Clientes</v>
      </c>
      <c r="K1299" t="str">
        <f t="shared" si="43"/>
        <v>Proyectos Inmobiliarios</v>
      </c>
    </row>
    <row r="1300" spans="1:11" x14ac:dyDescent="0.25">
      <c r="A1300" s="50">
        <v>10168204</v>
      </c>
      <c r="B1300" s="51" t="s">
        <v>2121</v>
      </c>
      <c r="C1300" s="51" t="s">
        <v>1670</v>
      </c>
      <c r="D1300" s="51" t="s">
        <v>1665</v>
      </c>
      <c r="E1300" s="51" t="s">
        <v>1624</v>
      </c>
      <c r="F1300" s="51" t="s">
        <v>2116</v>
      </c>
      <c r="G1300" s="51" t="s">
        <v>1661</v>
      </c>
      <c r="H1300" s="50" t="s">
        <v>1672</v>
      </c>
      <c r="I1300" s="51" t="s">
        <v>1666</v>
      </c>
      <c r="J1300" t="str">
        <f t="shared" si="42"/>
        <v>10168204 - Jardines del Polo-Proyecto</v>
      </c>
      <c r="K1300" t="str">
        <f t="shared" si="43"/>
        <v>Proyectos Inmobiliarios</v>
      </c>
    </row>
    <row r="1301" spans="1:11" x14ac:dyDescent="0.25">
      <c r="A1301" s="50">
        <v>10168301</v>
      </c>
      <c r="B1301" s="51" t="s">
        <v>2122</v>
      </c>
      <c r="C1301" s="51" t="s">
        <v>1670</v>
      </c>
      <c r="D1301" s="51" t="s">
        <v>1665</v>
      </c>
      <c r="E1301" s="51" t="s">
        <v>1643</v>
      </c>
      <c r="F1301" s="51" t="s">
        <v>2116</v>
      </c>
      <c r="G1301" s="51" t="s">
        <v>1667</v>
      </c>
      <c r="H1301" s="50" t="s">
        <v>1672</v>
      </c>
      <c r="I1301" s="51" t="s">
        <v>1666</v>
      </c>
      <c r="J1301" t="str">
        <f t="shared" si="42"/>
        <v>10168301 - Jardines del Polo-GAF</v>
      </c>
      <c r="K1301" t="str">
        <f t="shared" si="43"/>
        <v>Proyectos Inmobiliarios</v>
      </c>
    </row>
    <row r="1302" spans="1:11" x14ac:dyDescent="0.25">
      <c r="A1302" s="50">
        <v>10168506</v>
      </c>
      <c r="B1302" s="51" t="s">
        <v>2123</v>
      </c>
      <c r="C1302" s="51" t="s">
        <v>1670</v>
      </c>
      <c r="D1302" s="51" t="s">
        <v>1665</v>
      </c>
      <c r="E1302" s="51" t="s">
        <v>200</v>
      </c>
      <c r="F1302" s="51" t="s">
        <v>2116</v>
      </c>
      <c r="G1302" s="51" t="s">
        <v>1661</v>
      </c>
      <c r="H1302" s="50" t="s">
        <v>1672</v>
      </c>
      <c r="I1302" s="51" t="s">
        <v>1666</v>
      </c>
      <c r="J1302" t="str">
        <f t="shared" si="42"/>
        <v>10168506 - Jardines del Polo-Depto.Técnico</v>
      </c>
      <c r="K1302" t="str">
        <f t="shared" si="43"/>
        <v>Proyectos Inmobiliarios</v>
      </c>
    </row>
    <row r="1303" spans="1:11" x14ac:dyDescent="0.25">
      <c r="A1303" s="43">
        <v>999999999</v>
      </c>
      <c r="B1303" t="s">
        <v>1684</v>
      </c>
      <c r="D1303" t="s">
        <v>1578</v>
      </c>
      <c r="E1303" t="s">
        <v>1578</v>
      </c>
      <c r="F1303" t="s">
        <v>2124</v>
      </c>
      <c r="G1303" t="s">
        <v>1661</v>
      </c>
      <c r="H1303" s="43" t="s">
        <v>1672</v>
      </c>
      <c r="I1303" t="s">
        <v>1662</v>
      </c>
      <c r="J1303" t="str">
        <f t="shared" si="42"/>
        <v>999999999 - Terreno Abuelo Proyectos sin Terreno</v>
      </c>
      <c r="K1303" t="str">
        <f t="shared" si="43"/>
        <v>Terreno</v>
      </c>
    </row>
    <row r="1304" spans="1:11" x14ac:dyDescent="0.25">
      <c r="A1304" s="56">
        <v>293</v>
      </c>
      <c r="B1304" s="57" t="s">
        <v>2124</v>
      </c>
      <c r="C1304" s="57" t="s">
        <v>1670</v>
      </c>
      <c r="D1304" s="57" t="s">
        <v>65</v>
      </c>
      <c r="E1304" s="57" t="s">
        <v>65</v>
      </c>
      <c r="F1304" s="57" t="s">
        <v>2124</v>
      </c>
      <c r="G1304" s="57" t="s">
        <v>1663</v>
      </c>
      <c r="H1304" s="56" t="s">
        <v>1672</v>
      </c>
      <c r="I1304" s="57" t="s">
        <v>1664</v>
      </c>
      <c r="J1304" t="str">
        <f t="shared" si="42"/>
        <v>293 - Jardines del Polo 1</v>
      </c>
      <c r="K1304" t="str">
        <f t="shared" si="43"/>
        <v>Obra</v>
      </c>
    </row>
    <row r="1305" spans="1:11" x14ac:dyDescent="0.25">
      <c r="A1305" s="56">
        <v>9293</v>
      </c>
      <c r="B1305" s="57" t="s">
        <v>2125</v>
      </c>
      <c r="C1305" s="57" t="s">
        <v>1670</v>
      </c>
      <c r="D1305" s="57" t="s">
        <v>66</v>
      </c>
      <c r="E1305" s="57" t="s">
        <v>328</v>
      </c>
      <c r="F1305" s="57" t="s">
        <v>2124</v>
      </c>
      <c r="G1305" s="57" t="s">
        <v>1661</v>
      </c>
      <c r="H1305" s="56" t="s">
        <v>1672</v>
      </c>
      <c r="I1305" s="57" t="s">
        <v>1666</v>
      </c>
      <c r="J1305" t="str">
        <f t="shared" si="42"/>
        <v>9293 - PV JARDINES DEL POLO 1</v>
      </c>
      <c r="K1305" t="str">
        <f t="shared" si="43"/>
        <v>Postventa</v>
      </c>
    </row>
    <row r="1306" spans="1:11" x14ac:dyDescent="0.25">
      <c r="A1306" s="56">
        <v>10193000</v>
      </c>
      <c r="B1306" s="57" t="s">
        <v>2124</v>
      </c>
      <c r="C1306" s="57" t="s">
        <v>1670</v>
      </c>
      <c r="D1306" s="57" t="s">
        <v>1665</v>
      </c>
      <c r="E1306" s="57" t="s">
        <v>1585</v>
      </c>
      <c r="F1306" s="57" t="s">
        <v>2124</v>
      </c>
      <c r="G1306" s="57" t="s">
        <v>1661</v>
      </c>
      <c r="H1306" s="56" t="s">
        <v>1672</v>
      </c>
      <c r="I1306" s="57" t="s">
        <v>1666</v>
      </c>
      <c r="J1306" t="str">
        <f t="shared" si="42"/>
        <v>10193000 - Jardines del Polo 1</v>
      </c>
      <c r="K1306" t="str">
        <f t="shared" si="43"/>
        <v>Proyectos Inmobiliarios</v>
      </c>
    </row>
    <row r="1307" spans="1:11" x14ac:dyDescent="0.25">
      <c r="A1307" s="56">
        <v>10193102</v>
      </c>
      <c r="B1307" s="57" t="s">
        <v>2126</v>
      </c>
      <c r="C1307" s="57" t="s">
        <v>1670</v>
      </c>
      <c r="D1307" s="57" t="s">
        <v>1665</v>
      </c>
      <c r="E1307" s="57" t="s">
        <v>1617</v>
      </c>
      <c r="F1307" s="57" t="s">
        <v>2124</v>
      </c>
      <c r="G1307" s="57" t="s">
        <v>1661</v>
      </c>
      <c r="H1307" s="56" t="s">
        <v>1672</v>
      </c>
      <c r="I1307" s="57" t="s">
        <v>1666</v>
      </c>
      <c r="J1307" t="str">
        <f t="shared" si="42"/>
        <v>10193102 - Jardines del Polo 1-Marketing</v>
      </c>
      <c r="K1307" t="str">
        <f t="shared" si="43"/>
        <v>Proyectos Inmobiliarios</v>
      </c>
    </row>
    <row r="1308" spans="1:11" x14ac:dyDescent="0.25">
      <c r="A1308" s="56">
        <v>10193103</v>
      </c>
      <c r="B1308" s="57" t="s">
        <v>2127</v>
      </c>
      <c r="C1308" s="57" t="s">
        <v>1670</v>
      </c>
      <c r="D1308" s="57" t="s">
        <v>1665</v>
      </c>
      <c r="E1308" s="57" t="s">
        <v>1618</v>
      </c>
      <c r="F1308" s="57" t="s">
        <v>2124</v>
      </c>
      <c r="G1308" s="57" t="s">
        <v>1661</v>
      </c>
      <c r="H1308" s="56" t="s">
        <v>1672</v>
      </c>
      <c r="I1308" s="57" t="s">
        <v>1666</v>
      </c>
      <c r="J1308" t="str">
        <f t="shared" si="42"/>
        <v>10193103 - Jardines del Polo 1-Operaciones</v>
      </c>
      <c r="K1308" t="str">
        <f t="shared" si="43"/>
        <v>Proyectos Inmobiliarios</v>
      </c>
    </row>
    <row r="1309" spans="1:11" x14ac:dyDescent="0.25">
      <c r="A1309" s="56">
        <v>10193104</v>
      </c>
      <c r="B1309" s="57" t="s">
        <v>2128</v>
      </c>
      <c r="C1309" s="57" t="s">
        <v>1670</v>
      </c>
      <c r="D1309" s="57" t="s">
        <v>1665</v>
      </c>
      <c r="E1309" s="57" t="s">
        <v>90</v>
      </c>
      <c r="F1309" s="57" t="s">
        <v>2124</v>
      </c>
      <c r="G1309" s="57" t="s">
        <v>1661</v>
      </c>
      <c r="H1309" s="56" t="s">
        <v>1672</v>
      </c>
      <c r="I1309" s="57" t="s">
        <v>1666</v>
      </c>
      <c r="J1309" t="str">
        <f t="shared" si="42"/>
        <v>10193104 - Jardines del Polo 1-Ventas</v>
      </c>
      <c r="K1309" t="str">
        <f t="shared" si="43"/>
        <v>Proyectos Inmobiliarios</v>
      </c>
    </row>
    <row r="1310" spans="1:11" x14ac:dyDescent="0.25">
      <c r="A1310" s="56">
        <v>10193105</v>
      </c>
      <c r="B1310" s="57" t="s">
        <v>2129</v>
      </c>
      <c r="C1310" s="57" t="s">
        <v>1670</v>
      </c>
      <c r="D1310" s="57" t="s">
        <v>1665</v>
      </c>
      <c r="E1310" s="57" t="s">
        <v>1622</v>
      </c>
      <c r="F1310" s="57" t="s">
        <v>2124</v>
      </c>
      <c r="G1310" s="57" t="s">
        <v>1661</v>
      </c>
      <c r="H1310" s="56" t="s">
        <v>1672</v>
      </c>
      <c r="I1310" s="57" t="s">
        <v>1666</v>
      </c>
      <c r="J1310" t="str">
        <f t="shared" si="42"/>
        <v>10193105 - Jardines del Polo 1-Clientes</v>
      </c>
      <c r="K1310" t="str">
        <f t="shared" si="43"/>
        <v>Proyectos Inmobiliarios</v>
      </c>
    </row>
    <row r="1311" spans="1:11" x14ac:dyDescent="0.25">
      <c r="A1311" s="56">
        <v>10193204</v>
      </c>
      <c r="B1311" s="57" t="s">
        <v>2130</v>
      </c>
      <c r="C1311" s="57" t="s">
        <v>1670</v>
      </c>
      <c r="D1311" s="57" t="s">
        <v>1665</v>
      </c>
      <c r="E1311" s="57" t="s">
        <v>1624</v>
      </c>
      <c r="F1311" s="57" t="s">
        <v>2124</v>
      </c>
      <c r="G1311" s="57" t="s">
        <v>1661</v>
      </c>
      <c r="H1311" s="56" t="s">
        <v>1672</v>
      </c>
      <c r="I1311" s="57" t="s">
        <v>1666</v>
      </c>
      <c r="J1311" t="str">
        <f t="shared" si="42"/>
        <v>10193204 - Jardines del Polo 1-Proyecto</v>
      </c>
      <c r="K1311" t="str">
        <f t="shared" si="43"/>
        <v>Proyectos Inmobiliarios</v>
      </c>
    </row>
    <row r="1312" spans="1:11" x14ac:dyDescent="0.25">
      <c r="A1312" s="56">
        <v>10193301</v>
      </c>
      <c r="B1312" s="57" t="s">
        <v>2131</v>
      </c>
      <c r="C1312" s="57" t="s">
        <v>1670</v>
      </c>
      <c r="D1312" s="57" t="s">
        <v>1665</v>
      </c>
      <c r="E1312" s="57" t="s">
        <v>1643</v>
      </c>
      <c r="F1312" s="57" t="s">
        <v>2124</v>
      </c>
      <c r="G1312" s="57" t="s">
        <v>1667</v>
      </c>
      <c r="H1312" s="56" t="s">
        <v>1672</v>
      </c>
      <c r="I1312" s="57" t="s">
        <v>1666</v>
      </c>
      <c r="J1312" t="str">
        <f t="shared" si="42"/>
        <v>10193301 - Jardines del Polo 1-GAF</v>
      </c>
      <c r="K1312" t="str">
        <f t="shared" si="43"/>
        <v>Proyectos Inmobiliarios</v>
      </c>
    </row>
    <row r="1313" spans="1:11" x14ac:dyDescent="0.25">
      <c r="A1313" s="56">
        <v>10193505</v>
      </c>
      <c r="B1313" s="57" t="s">
        <v>2132</v>
      </c>
      <c r="C1313" s="57" t="s">
        <v>1670</v>
      </c>
      <c r="D1313" s="57" t="s">
        <v>66</v>
      </c>
      <c r="E1313" s="57" t="s">
        <v>328</v>
      </c>
      <c r="F1313" s="57" t="s">
        <v>2124</v>
      </c>
      <c r="G1313" s="57" t="s">
        <v>1661</v>
      </c>
      <c r="H1313" s="56" t="s">
        <v>1672</v>
      </c>
      <c r="I1313" s="57" t="s">
        <v>1666</v>
      </c>
      <c r="J1313" t="str">
        <f t="shared" si="42"/>
        <v>10193505 - Jardines del Polo 1-PV Inmob.</v>
      </c>
      <c r="K1313" t="str">
        <f t="shared" si="43"/>
        <v>Postventa</v>
      </c>
    </row>
    <row r="1314" spans="1:11" x14ac:dyDescent="0.25">
      <c r="A1314" s="56">
        <v>10193506</v>
      </c>
      <c r="B1314" s="57" t="s">
        <v>2133</v>
      </c>
      <c r="C1314" s="57" t="s">
        <v>1670</v>
      </c>
      <c r="D1314" s="57" t="s">
        <v>1665</v>
      </c>
      <c r="E1314" s="57" t="s">
        <v>200</v>
      </c>
      <c r="F1314" s="57" t="s">
        <v>2124</v>
      </c>
      <c r="G1314" s="57" t="s">
        <v>1661</v>
      </c>
      <c r="H1314" s="56" t="s">
        <v>1672</v>
      </c>
      <c r="I1314" s="57" t="s">
        <v>1666</v>
      </c>
      <c r="J1314" t="str">
        <f t="shared" si="42"/>
        <v>10193506 - Jardines del Polo 1-Depto.Técnico</v>
      </c>
      <c r="K1314" t="str">
        <f t="shared" si="43"/>
        <v>Proyectos Inmobiliarios</v>
      </c>
    </row>
    <row r="1315" spans="1:11" x14ac:dyDescent="0.25">
      <c r="A1315" s="43">
        <v>193</v>
      </c>
      <c r="B1315" t="s">
        <v>2124</v>
      </c>
      <c r="C1315" t="s">
        <v>1670</v>
      </c>
      <c r="D1315" t="s">
        <v>65</v>
      </c>
      <c r="E1315" t="s">
        <v>65</v>
      </c>
      <c r="F1315" t="s">
        <v>2124</v>
      </c>
      <c r="G1315" t="s">
        <v>1663</v>
      </c>
      <c r="H1315" s="43" t="s">
        <v>1672</v>
      </c>
      <c r="I1315" t="s">
        <v>1664</v>
      </c>
      <c r="J1315" t="str">
        <f t="shared" si="42"/>
        <v>193 - Jardines del Polo 1</v>
      </c>
      <c r="K1315" t="str">
        <f t="shared" si="43"/>
        <v>Obra</v>
      </c>
    </row>
    <row r="1316" spans="1:11" x14ac:dyDescent="0.25">
      <c r="A1316" s="58">
        <v>999999999</v>
      </c>
      <c r="B1316" s="59" t="s">
        <v>1684</v>
      </c>
      <c r="C1316" s="59"/>
      <c r="D1316" s="59" t="s">
        <v>1578</v>
      </c>
      <c r="E1316" s="59" t="s">
        <v>1578</v>
      </c>
      <c r="F1316" s="59" t="s">
        <v>2134</v>
      </c>
      <c r="G1316" s="59" t="s">
        <v>1661</v>
      </c>
      <c r="H1316" s="58" t="s">
        <v>1672</v>
      </c>
      <c r="I1316" s="59" t="s">
        <v>1662</v>
      </c>
      <c r="J1316" t="str">
        <f t="shared" si="42"/>
        <v>999999999 - Terreno Abuelo Proyectos sin Terreno</v>
      </c>
      <c r="K1316" t="str">
        <f t="shared" si="43"/>
        <v>Terreno</v>
      </c>
    </row>
    <row r="1317" spans="1:11" x14ac:dyDescent="0.25">
      <c r="A1317" s="58">
        <v>294</v>
      </c>
      <c r="B1317" s="59" t="s">
        <v>2134</v>
      </c>
      <c r="C1317" s="59" t="s">
        <v>1670</v>
      </c>
      <c r="D1317" s="59" t="s">
        <v>65</v>
      </c>
      <c r="E1317" s="59" t="s">
        <v>65</v>
      </c>
      <c r="F1317" s="59" t="s">
        <v>2134</v>
      </c>
      <c r="G1317" s="59" t="s">
        <v>1663</v>
      </c>
      <c r="H1317" s="58" t="s">
        <v>1672</v>
      </c>
      <c r="I1317" s="59" t="s">
        <v>1664</v>
      </c>
      <c r="J1317" t="str">
        <f t="shared" si="42"/>
        <v>294 - Jardines del Polo 2</v>
      </c>
      <c r="K1317" t="str">
        <f t="shared" si="43"/>
        <v>Obra</v>
      </c>
    </row>
    <row r="1318" spans="1:11" x14ac:dyDescent="0.25">
      <c r="A1318" s="58">
        <v>9294</v>
      </c>
      <c r="B1318" s="59" t="s">
        <v>672</v>
      </c>
      <c r="C1318" s="59" t="s">
        <v>1670</v>
      </c>
      <c r="D1318" s="59" t="s">
        <v>66</v>
      </c>
      <c r="E1318" s="59" t="s">
        <v>328</v>
      </c>
      <c r="F1318" s="59" t="s">
        <v>2134</v>
      </c>
      <c r="G1318" s="59" t="s">
        <v>1661</v>
      </c>
      <c r="H1318" s="58" t="s">
        <v>386</v>
      </c>
      <c r="I1318" s="59" t="s">
        <v>1666</v>
      </c>
      <c r="J1318" t="str">
        <f t="shared" si="42"/>
        <v>9294 - PV JARDINES DEL POLO 2</v>
      </c>
      <c r="K1318" t="str">
        <f t="shared" si="43"/>
        <v>Postventa</v>
      </c>
    </row>
    <row r="1319" spans="1:11" x14ac:dyDescent="0.25">
      <c r="A1319" s="58">
        <v>10294000</v>
      </c>
      <c r="B1319" s="59" t="s">
        <v>2134</v>
      </c>
      <c r="C1319" s="59" t="s">
        <v>1670</v>
      </c>
      <c r="D1319" s="59" t="s">
        <v>1665</v>
      </c>
      <c r="E1319" s="59" t="s">
        <v>1585</v>
      </c>
      <c r="F1319" s="59" t="s">
        <v>2134</v>
      </c>
      <c r="G1319" s="59" t="s">
        <v>1661</v>
      </c>
      <c r="H1319" s="58" t="s">
        <v>1672</v>
      </c>
      <c r="I1319" s="59" t="s">
        <v>1666</v>
      </c>
      <c r="J1319" t="str">
        <f t="shared" si="42"/>
        <v>10294000 - Jardines del Polo 2</v>
      </c>
      <c r="K1319" t="str">
        <f t="shared" si="43"/>
        <v>Proyectos Inmobiliarios</v>
      </c>
    </row>
    <row r="1320" spans="1:11" x14ac:dyDescent="0.25">
      <c r="A1320" s="58">
        <v>10294102</v>
      </c>
      <c r="B1320" s="59" t="s">
        <v>2135</v>
      </c>
      <c r="C1320" s="59" t="s">
        <v>1670</v>
      </c>
      <c r="D1320" s="59" t="s">
        <v>1665</v>
      </c>
      <c r="E1320" s="59" t="s">
        <v>1617</v>
      </c>
      <c r="F1320" s="59" t="s">
        <v>2134</v>
      </c>
      <c r="G1320" s="59" t="s">
        <v>1661</v>
      </c>
      <c r="H1320" s="58" t="s">
        <v>1672</v>
      </c>
      <c r="I1320" s="59" t="s">
        <v>1666</v>
      </c>
      <c r="J1320" t="str">
        <f t="shared" si="42"/>
        <v>10294102 - Jardines del Polo 2-Marketing</v>
      </c>
      <c r="K1320" t="str">
        <f t="shared" si="43"/>
        <v>Proyectos Inmobiliarios</v>
      </c>
    </row>
    <row r="1321" spans="1:11" x14ac:dyDescent="0.25">
      <c r="A1321" s="58">
        <v>10294103</v>
      </c>
      <c r="B1321" s="59" t="s">
        <v>2136</v>
      </c>
      <c r="C1321" s="59" t="s">
        <v>1670</v>
      </c>
      <c r="D1321" s="59" t="s">
        <v>1665</v>
      </c>
      <c r="E1321" s="59" t="s">
        <v>1618</v>
      </c>
      <c r="F1321" s="59" t="s">
        <v>2134</v>
      </c>
      <c r="G1321" s="59" t="s">
        <v>1661</v>
      </c>
      <c r="H1321" s="58" t="s">
        <v>1672</v>
      </c>
      <c r="I1321" s="59" t="s">
        <v>1666</v>
      </c>
      <c r="J1321" t="str">
        <f t="shared" si="42"/>
        <v>10294103 - Jardines del Polo 2-Operaciones</v>
      </c>
      <c r="K1321" t="str">
        <f t="shared" si="43"/>
        <v>Proyectos Inmobiliarios</v>
      </c>
    </row>
    <row r="1322" spans="1:11" x14ac:dyDescent="0.25">
      <c r="A1322" s="58">
        <v>10294104</v>
      </c>
      <c r="B1322" s="59" t="s">
        <v>2137</v>
      </c>
      <c r="C1322" s="59" t="s">
        <v>1670</v>
      </c>
      <c r="D1322" s="59" t="s">
        <v>1665</v>
      </c>
      <c r="E1322" s="59" t="s">
        <v>90</v>
      </c>
      <c r="F1322" s="59" t="s">
        <v>2134</v>
      </c>
      <c r="G1322" s="59" t="s">
        <v>1661</v>
      </c>
      <c r="H1322" s="58" t="s">
        <v>1672</v>
      </c>
      <c r="I1322" s="59" t="s">
        <v>1666</v>
      </c>
      <c r="J1322" t="str">
        <f t="shared" si="42"/>
        <v>10294104 - Jardines del Polo 2-Ventas</v>
      </c>
      <c r="K1322" t="str">
        <f t="shared" si="43"/>
        <v>Proyectos Inmobiliarios</v>
      </c>
    </row>
    <row r="1323" spans="1:11" x14ac:dyDescent="0.25">
      <c r="A1323" s="58">
        <v>10294105</v>
      </c>
      <c r="B1323" s="59" t="s">
        <v>2138</v>
      </c>
      <c r="C1323" s="59" t="s">
        <v>1670</v>
      </c>
      <c r="D1323" s="59" t="s">
        <v>1665</v>
      </c>
      <c r="E1323" s="59" t="s">
        <v>1622</v>
      </c>
      <c r="F1323" s="59" t="s">
        <v>2134</v>
      </c>
      <c r="G1323" s="59" t="s">
        <v>1661</v>
      </c>
      <c r="H1323" s="58" t="s">
        <v>1672</v>
      </c>
      <c r="I1323" s="59" t="s">
        <v>1666</v>
      </c>
      <c r="J1323" t="str">
        <f t="shared" si="42"/>
        <v>10294105 - Jardines del Polo 2-Clientes</v>
      </c>
      <c r="K1323" t="str">
        <f t="shared" si="43"/>
        <v>Proyectos Inmobiliarios</v>
      </c>
    </row>
    <row r="1324" spans="1:11" x14ac:dyDescent="0.25">
      <c r="A1324" s="58">
        <v>10294204</v>
      </c>
      <c r="B1324" s="59" t="s">
        <v>2139</v>
      </c>
      <c r="C1324" s="59" t="s">
        <v>1670</v>
      </c>
      <c r="D1324" s="59" t="s">
        <v>1665</v>
      </c>
      <c r="E1324" s="59" t="s">
        <v>1624</v>
      </c>
      <c r="F1324" s="59" t="s">
        <v>2134</v>
      </c>
      <c r="G1324" s="59" t="s">
        <v>1661</v>
      </c>
      <c r="H1324" s="58" t="s">
        <v>1672</v>
      </c>
      <c r="I1324" s="59" t="s">
        <v>1666</v>
      </c>
      <c r="J1324" t="str">
        <f t="shared" si="42"/>
        <v>10294204 - Jardines del Polo 2-Proyecto</v>
      </c>
      <c r="K1324" t="str">
        <f t="shared" si="43"/>
        <v>Proyectos Inmobiliarios</v>
      </c>
    </row>
    <row r="1325" spans="1:11" x14ac:dyDescent="0.25">
      <c r="A1325" s="58">
        <v>10294301</v>
      </c>
      <c r="B1325" s="59" t="s">
        <v>2140</v>
      </c>
      <c r="C1325" s="59" t="s">
        <v>1670</v>
      </c>
      <c r="D1325" s="59" t="s">
        <v>1665</v>
      </c>
      <c r="E1325" s="59" t="s">
        <v>1643</v>
      </c>
      <c r="F1325" s="59" t="s">
        <v>2134</v>
      </c>
      <c r="G1325" s="59" t="s">
        <v>1667</v>
      </c>
      <c r="H1325" s="58" t="s">
        <v>1672</v>
      </c>
      <c r="I1325" s="59" t="s">
        <v>1666</v>
      </c>
      <c r="J1325" t="str">
        <f t="shared" si="42"/>
        <v>10294301 - Jardines del Polo 2-GAF</v>
      </c>
      <c r="K1325" t="str">
        <f t="shared" si="43"/>
        <v>Proyectos Inmobiliarios</v>
      </c>
    </row>
    <row r="1326" spans="1:11" x14ac:dyDescent="0.25">
      <c r="A1326" s="58">
        <v>10294505</v>
      </c>
      <c r="B1326" s="59" t="s">
        <v>2141</v>
      </c>
      <c r="C1326" s="59" t="s">
        <v>1670</v>
      </c>
      <c r="D1326" s="59" t="s">
        <v>66</v>
      </c>
      <c r="E1326" s="59" t="s">
        <v>328</v>
      </c>
      <c r="F1326" s="59" t="s">
        <v>2134</v>
      </c>
      <c r="G1326" s="59" t="s">
        <v>1661</v>
      </c>
      <c r="H1326" s="58" t="s">
        <v>1672</v>
      </c>
      <c r="I1326" s="59" t="s">
        <v>1666</v>
      </c>
      <c r="J1326" t="str">
        <f t="shared" si="42"/>
        <v>10294505 - Jardines del Polo 2-PV Inmob.</v>
      </c>
      <c r="K1326" t="str">
        <f t="shared" si="43"/>
        <v>Postventa</v>
      </c>
    </row>
    <row r="1327" spans="1:11" x14ac:dyDescent="0.25">
      <c r="A1327" s="58">
        <v>10294506</v>
      </c>
      <c r="B1327" s="59" t="s">
        <v>2142</v>
      </c>
      <c r="C1327" s="59" t="s">
        <v>1670</v>
      </c>
      <c r="D1327" s="59" t="s">
        <v>1665</v>
      </c>
      <c r="E1327" s="59" t="s">
        <v>200</v>
      </c>
      <c r="F1327" s="59" t="s">
        <v>2134</v>
      </c>
      <c r="G1327" s="59" t="s">
        <v>1661</v>
      </c>
      <c r="H1327" s="58" t="s">
        <v>1672</v>
      </c>
      <c r="I1327" s="59" t="s">
        <v>1666</v>
      </c>
      <c r="J1327" t="str">
        <f t="shared" si="42"/>
        <v>10294506 - Jardines del Polo 2-Depto.Técnico</v>
      </c>
      <c r="K1327" t="str">
        <f t="shared" si="43"/>
        <v>Proyectos Inmobiliarios</v>
      </c>
    </row>
    <row r="1328" spans="1:11" x14ac:dyDescent="0.25">
      <c r="A1328" s="56">
        <v>999999999</v>
      </c>
      <c r="B1328" s="57" t="s">
        <v>1684</v>
      </c>
      <c r="C1328" s="57"/>
      <c r="D1328" s="57" t="s">
        <v>1578</v>
      </c>
      <c r="E1328" s="57" t="s">
        <v>1578</v>
      </c>
      <c r="F1328" s="57" t="s">
        <v>2143</v>
      </c>
      <c r="G1328" s="57" t="s">
        <v>1661</v>
      </c>
      <c r="H1328" s="56" t="s">
        <v>1672</v>
      </c>
      <c r="I1328" s="57" t="s">
        <v>1662</v>
      </c>
      <c r="J1328" t="str">
        <f t="shared" si="42"/>
        <v>999999999 - Terreno Abuelo Proyectos sin Terreno</v>
      </c>
      <c r="K1328" t="str">
        <f t="shared" si="43"/>
        <v>Terreno</v>
      </c>
    </row>
    <row r="1329" spans="1:11" x14ac:dyDescent="0.25">
      <c r="A1329" s="56">
        <v>999</v>
      </c>
      <c r="B1329" s="57" t="s">
        <v>1808</v>
      </c>
      <c r="C1329" s="57"/>
      <c r="D1329" s="57" t="s">
        <v>65</v>
      </c>
      <c r="E1329" s="57" t="s">
        <v>65</v>
      </c>
      <c r="F1329" s="57" t="s">
        <v>2143</v>
      </c>
      <c r="G1329" s="57" t="s">
        <v>1663</v>
      </c>
      <c r="H1329" s="56" t="s">
        <v>1672</v>
      </c>
      <c r="I1329" s="57" t="s">
        <v>1664</v>
      </c>
      <c r="J1329" t="str">
        <f t="shared" si="42"/>
        <v>999 - Obra Padre Proyectos sin Obra</v>
      </c>
      <c r="K1329" t="str">
        <f t="shared" si="43"/>
        <v>Obra</v>
      </c>
    </row>
    <row r="1330" spans="1:11" x14ac:dyDescent="0.25">
      <c r="A1330" s="56">
        <v>10295000</v>
      </c>
      <c r="B1330" s="57" t="s">
        <v>2143</v>
      </c>
      <c r="C1330" s="57" t="s">
        <v>1670</v>
      </c>
      <c r="D1330" s="57" t="s">
        <v>1665</v>
      </c>
      <c r="E1330" s="57" t="s">
        <v>1585</v>
      </c>
      <c r="F1330" s="57" t="s">
        <v>2143</v>
      </c>
      <c r="G1330" s="57" t="s">
        <v>1661</v>
      </c>
      <c r="H1330" s="56" t="s">
        <v>1672</v>
      </c>
      <c r="I1330" s="57" t="s">
        <v>1666</v>
      </c>
      <c r="J1330" t="str">
        <f t="shared" si="42"/>
        <v>10295000 - Jardines del Polo 3</v>
      </c>
      <c r="K1330" t="str">
        <f t="shared" si="43"/>
        <v>Proyectos Inmobiliarios</v>
      </c>
    </row>
    <row r="1331" spans="1:11" x14ac:dyDescent="0.25">
      <c r="A1331" s="56">
        <v>10295102</v>
      </c>
      <c r="B1331" s="57" t="s">
        <v>2144</v>
      </c>
      <c r="C1331" s="57" t="s">
        <v>1670</v>
      </c>
      <c r="D1331" s="57" t="s">
        <v>1665</v>
      </c>
      <c r="E1331" s="57" t="s">
        <v>1617</v>
      </c>
      <c r="F1331" s="57" t="s">
        <v>2143</v>
      </c>
      <c r="G1331" s="57" t="s">
        <v>1661</v>
      </c>
      <c r="H1331" s="56" t="s">
        <v>1672</v>
      </c>
      <c r="I1331" s="57" t="s">
        <v>1666</v>
      </c>
      <c r="J1331" t="str">
        <f t="shared" si="42"/>
        <v>10295102 - Jardines del Polo 3-Marketing</v>
      </c>
      <c r="K1331" t="str">
        <f t="shared" si="43"/>
        <v>Proyectos Inmobiliarios</v>
      </c>
    </row>
    <row r="1332" spans="1:11" x14ac:dyDescent="0.25">
      <c r="A1332" s="56">
        <v>10295103</v>
      </c>
      <c r="B1332" s="57" t="s">
        <v>2145</v>
      </c>
      <c r="C1332" s="57" t="s">
        <v>1670</v>
      </c>
      <c r="D1332" s="57" t="s">
        <v>1665</v>
      </c>
      <c r="E1332" s="57" t="s">
        <v>1618</v>
      </c>
      <c r="F1332" s="57" t="s">
        <v>2143</v>
      </c>
      <c r="G1332" s="57" t="s">
        <v>1661</v>
      </c>
      <c r="H1332" s="56" t="s">
        <v>1672</v>
      </c>
      <c r="I1332" s="57" t="s">
        <v>1666</v>
      </c>
      <c r="J1332" t="str">
        <f t="shared" si="42"/>
        <v>10295103 - Jardines del Polo 3-Operaciones</v>
      </c>
      <c r="K1332" t="str">
        <f t="shared" si="43"/>
        <v>Proyectos Inmobiliarios</v>
      </c>
    </row>
    <row r="1333" spans="1:11" x14ac:dyDescent="0.25">
      <c r="A1333" s="56">
        <v>10295104</v>
      </c>
      <c r="B1333" s="57" t="s">
        <v>2146</v>
      </c>
      <c r="C1333" s="57" t="s">
        <v>1670</v>
      </c>
      <c r="D1333" s="57" t="s">
        <v>1665</v>
      </c>
      <c r="E1333" s="57" t="s">
        <v>90</v>
      </c>
      <c r="F1333" s="57" t="s">
        <v>2143</v>
      </c>
      <c r="G1333" s="57" t="s">
        <v>1661</v>
      </c>
      <c r="H1333" s="56" t="s">
        <v>1672</v>
      </c>
      <c r="I1333" s="57" t="s">
        <v>1666</v>
      </c>
      <c r="J1333" t="str">
        <f t="shared" si="42"/>
        <v>10295104 - Jardines del Polo 3-Ventas</v>
      </c>
      <c r="K1333" t="str">
        <f t="shared" si="43"/>
        <v>Proyectos Inmobiliarios</v>
      </c>
    </row>
    <row r="1334" spans="1:11" x14ac:dyDescent="0.25">
      <c r="A1334" s="56">
        <v>10295105</v>
      </c>
      <c r="B1334" s="57" t="s">
        <v>2147</v>
      </c>
      <c r="C1334" s="57" t="s">
        <v>1670</v>
      </c>
      <c r="D1334" s="57" t="s">
        <v>1665</v>
      </c>
      <c r="E1334" s="57" t="s">
        <v>1622</v>
      </c>
      <c r="F1334" s="57" t="s">
        <v>2143</v>
      </c>
      <c r="G1334" s="57" t="s">
        <v>1661</v>
      </c>
      <c r="H1334" s="56" t="s">
        <v>1672</v>
      </c>
      <c r="I1334" s="57" t="s">
        <v>1666</v>
      </c>
      <c r="J1334" t="str">
        <f t="shared" si="42"/>
        <v>10295105 - Jardines del Polo 3-Clientes</v>
      </c>
      <c r="K1334" t="str">
        <f t="shared" si="43"/>
        <v>Proyectos Inmobiliarios</v>
      </c>
    </row>
    <row r="1335" spans="1:11" x14ac:dyDescent="0.25">
      <c r="A1335" s="56">
        <v>10295204</v>
      </c>
      <c r="B1335" s="57" t="s">
        <v>2148</v>
      </c>
      <c r="C1335" s="57" t="s">
        <v>1670</v>
      </c>
      <c r="D1335" s="57" t="s">
        <v>1665</v>
      </c>
      <c r="E1335" s="57" t="s">
        <v>1624</v>
      </c>
      <c r="F1335" s="57" t="s">
        <v>2143</v>
      </c>
      <c r="G1335" s="57" t="s">
        <v>1661</v>
      </c>
      <c r="H1335" s="56" t="s">
        <v>1672</v>
      </c>
      <c r="I1335" s="57" t="s">
        <v>1666</v>
      </c>
      <c r="J1335" t="str">
        <f t="shared" si="42"/>
        <v>10295204 - Jardines del Polo 3-Proyecto</v>
      </c>
      <c r="K1335" t="str">
        <f t="shared" si="43"/>
        <v>Proyectos Inmobiliarios</v>
      </c>
    </row>
    <row r="1336" spans="1:11" x14ac:dyDescent="0.25">
      <c r="A1336" s="56">
        <v>10295301</v>
      </c>
      <c r="B1336" s="57" t="s">
        <v>2149</v>
      </c>
      <c r="C1336" s="57" t="s">
        <v>1670</v>
      </c>
      <c r="D1336" s="57" t="s">
        <v>1665</v>
      </c>
      <c r="E1336" s="57" t="s">
        <v>1643</v>
      </c>
      <c r="F1336" s="57" t="s">
        <v>2143</v>
      </c>
      <c r="G1336" s="57" t="s">
        <v>1667</v>
      </c>
      <c r="H1336" s="56" t="s">
        <v>1672</v>
      </c>
      <c r="I1336" s="57" t="s">
        <v>1666</v>
      </c>
      <c r="J1336" t="str">
        <f t="shared" si="42"/>
        <v>10295301 - Jardines del Polo 3-GAF</v>
      </c>
      <c r="K1336" t="str">
        <f t="shared" si="43"/>
        <v>Proyectos Inmobiliarios</v>
      </c>
    </row>
    <row r="1337" spans="1:11" x14ac:dyDescent="0.25">
      <c r="A1337" s="56">
        <v>10295505</v>
      </c>
      <c r="B1337" s="57" t="s">
        <v>2150</v>
      </c>
      <c r="C1337" s="57" t="s">
        <v>1670</v>
      </c>
      <c r="D1337" s="57" t="s">
        <v>66</v>
      </c>
      <c r="E1337" s="57" t="s">
        <v>328</v>
      </c>
      <c r="F1337" s="57" t="s">
        <v>2143</v>
      </c>
      <c r="G1337" s="57" t="s">
        <v>1661</v>
      </c>
      <c r="H1337" s="56" t="s">
        <v>1672</v>
      </c>
      <c r="I1337" s="57" t="s">
        <v>1666</v>
      </c>
      <c r="J1337" t="str">
        <f t="shared" si="42"/>
        <v>10295505 - Jardines del Polo 3-PV Inmob.</v>
      </c>
      <c r="K1337" t="str">
        <f t="shared" si="43"/>
        <v>Postventa</v>
      </c>
    </row>
    <row r="1338" spans="1:11" x14ac:dyDescent="0.25">
      <c r="A1338" s="56">
        <v>10295506</v>
      </c>
      <c r="B1338" s="57" t="s">
        <v>2151</v>
      </c>
      <c r="C1338" s="57" t="s">
        <v>1670</v>
      </c>
      <c r="D1338" s="57" t="s">
        <v>1665</v>
      </c>
      <c r="E1338" s="57" t="s">
        <v>200</v>
      </c>
      <c r="F1338" s="57" t="s">
        <v>2143</v>
      </c>
      <c r="G1338" s="57" t="s">
        <v>1661</v>
      </c>
      <c r="H1338" s="56" t="s">
        <v>1672</v>
      </c>
      <c r="I1338" s="57" t="s">
        <v>1666</v>
      </c>
      <c r="J1338" t="str">
        <f t="shared" si="42"/>
        <v>10295506 - Jardines del Polo 3-Depto.Técnico</v>
      </c>
      <c r="K1338" t="str">
        <f t="shared" si="43"/>
        <v>Proyectos Inmobiliarios</v>
      </c>
    </row>
    <row r="1339" spans="1:11" x14ac:dyDescent="0.25">
      <c r="A1339" s="50">
        <v>999999999</v>
      </c>
      <c r="B1339" s="51" t="s">
        <v>1684</v>
      </c>
      <c r="C1339" s="51"/>
      <c r="D1339" s="51" t="s">
        <v>1578</v>
      </c>
      <c r="E1339" s="51" t="s">
        <v>1578</v>
      </c>
      <c r="F1339" s="51" t="s">
        <v>2152</v>
      </c>
      <c r="G1339" s="51" t="s">
        <v>1661</v>
      </c>
      <c r="H1339" s="50" t="s">
        <v>1672</v>
      </c>
      <c r="I1339" s="51" t="s">
        <v>1662</v>
      </c>
      <c r="J1339" t="str">
        <f t="shared" si="42"/>
        <v>999999999 - Terreno Abuelo Proyectos sin Terreno</v>
      </c>
      <c r="K1339" t="str">
        <f t="shared" si="43"/>
        <v>Terreno</v>
      </c>
    </row>
    <row r="1340" spans="1:11" x14ac:dyDescent="0.25">
      <c r="A1340" s="50">
        <v>999</v>
      </c>
      <c r="B1340" s="51" t="s">
        <v>1808</v>
      </c>
      <c r="C1340" s="51"/>
      <c r="D1340" s="51" t="s">
        <v>65</v>
      </c>
      <c r="E1340" s="51" t="s">
        <v>65</v>
      </c>
      <c r="F1340" s="51" t="s">
        <v>2152</v>
      </c>
      <c r="G1340" s="51" t="s">
        <v>1663</v>
      </c>
      <c r="H1340" s="50" t="s">
        <v>1672</v>
      </c>
      <c r="I1340" s="51" t="s">
        <v>1664</v>
      </c>
      <c r="J1340" t="str">
        <f t="shared" si="42"/>
        <v>999 - Obra Padre Proyectos sin Obra</v>
      </c>
      <c r="K1340" t="str">
        <f t="shared" si="43"/>
        <v>Obra</v>
      </c>
    </row>
    <row r="1341" spans="1:11" x14ac:dyDescent="0.25">
      <c r="A1341" s="50">
        <v>10296000</v>
      </c>
      <c r="B1341" s="51" t="s">
        <v>2152</v>
      </c>
      <c r="C1341" s="51" t="s">
        <v>1670</v>
      </c>
      <c r="D1341" s="51" t="s">
        <v>1665</v>
      </c>
      <c r="E1341" s="51" t="s">
        <v>1585</v>
      </c>
      <c r="F1341" s="51" t="s">
        <v>2152</v>
      </c>
      <c r="G1341" s="51" t="s">
        <v>1661</v>
      </c>
      <c r="H1341" s="50" t="s">
        <v>1672</v>
      </c>
      <c r="I1341" s="51" t="s">
        <v>1666</v>
      </c>
      <c r="J1341" t="str">
        <f t="shared" si="42"/>
        <v>10296000 - Jardines del Polo 4</v>
      </c>
      <c r="K1341" t="str">
        <f t="shared" si="43"/>
        <v>Proyectos Inmobiliarios</v>
      </c>
    </row>
    <row r="1342" spans="1:11" x14ac:dyDescent="0.25">
      <c r="A1342" s="50">
        <v>10296102</v>
      </c>
      <c r="B1342" s="51" t="s">
        <v>2153</v>
      </c>
      <c r="C1342" s="51" t="s">
        <v>1670</v>
      </c>
      <c r="D1342" s="51" t="s">
        <v>1665</v>
      </c>
      <c r="E1342" s="51" t="s">
        <v>1617</v>
      </c>
      <c r="F1342" s="51" t="s">
        <v>2152</v>
      </c>
      <c r="G1342" s="51" t="s">
        <v>1661</v>
      </c>
      <c r="H1342" s="50" t="s">
        <v>1672</v>
      </c>
      <c r="I1342" s="51" t="s">
        <v>1666</v>
      </c>
      <c r="J1342" t="str">
        <f t="shared" si="42"/>
        <v>10296102 - Jardines del Polo 4-Marketing</v>
      </c>
      <c r="K1342" t="str">
        <f t="shared" si="43"/>
        <v>Proyectos Inmobiliarios</v>
      </c>
    </row>
    <row r="1343" spans="1:11" x14ac:dyDescent="0.25">
      <c r="A1343" s="50">
        <v>10296103</v>
      </c>
      <c r="B1343" s="51" t="s">
        <v>2154</v>
      </c>
      <c r="C1343" s="51" t="s">
        <v>1670</v>
      </c>
      <c r="D1343" s="51" t="s">
        <v>1665</v>
      </c>
      <c r="E1343" s="51" t="s">
        <v>1618</v>
      </c>
      <c r="F1343" s="51" t="s">
        <v>2152</v>
      </c>
      <c r="G1343" s="51" t="s">
        <v>1661</v>
      </c>
      <c r="H1343" s="50" t="s">
        <v>1672</v>
      </c>
      <c r="I1343" s="51" t="s">
        <v>1666</v>
      </c>
      <c r="J1343" t="str">
        <f t="shared" si="42"/>
        <v>10296103 - Jardines del Polo 4-Operaciones</v>
      </c>
      <c r="K1343" t="str">
        <f t="shared" si="43"/>
        <v>Proyectos Inmobiliarios</v>
      </c>
    </row>
    <row r="1344" spans="1:11" x14ac:dyDescent="0.25">
      <c r="A1344" s="50">
        <v>10296104</v>
      </c>
      <c r="B1344" s="51" t="s">
        <v>2155</v>
      </c>
      <c r="C1344" s="51" t="s">
        <v>1670</v>
      </c>
      <c r="D1344" s="51" t="s">
        <v>1665</v>
      </c>
      <c r="E1344" s="51" t="s">
        <v>90</v>
      </c>
      <c r="F1344" s="51" t="s">
        <v>2152</v>
      </c>
      <c r="G1344" s="51" t="s">
        <v>1661</v>
      </c>
      <c r="H1344" s="50" t="s">
        <v>1672</v>
      </c>
      <c r="I1344" s="51" t="s">
        <v>1666</v>
      </c>
      <c r="J1344" t="str">
        <f t="shared" si="42"/>
        <v>10296104 - Jardines del Polo 4-Ventas</v>
      </c>
      <c r="K1344" t="str">
        <f t="shared" si="43"/>
        <v>Proyectos Inmobiliarios</v>
      </c>
    </row>
    <row r="1345" spans="1:11" x14ac:dyDescent="0.25">
      <c r="A1345" s="50">
        <v>10296105</v>
      </c>
      <c r="B1345" s="51" t="s">
        <v>2156</v>
      </c>
      <c r="C1345" s="51" t="s">
        <v>1670</v>
      </c>
      <c r="D1345" s="51" t="s">
        <v>1665</v>
      </c>
      <c r="E1345" s="51" t="s">
        <v>1622</v>
      </c>
      <c r="F1345" s="51" t="s">
        <v>2152</v>
      </c>
      <c r="G1345" s="51" t="s">
        <v>1661</v>
      </c>
      <c r="H1345" s="50" t="s">
        <v>1672</v>
      </c>
      <c r="I1345" s="51" t="s">
        <v>1666</v>
      </c>
      <c r="J1345" t="str">
        <f t="shared" si="42"/>
        <v>10296105 - Jardines del Polo 4-Clientes</v>
      </c>
      <c r="K1345" t="str">
        <f t="shared" si="43"/>
        <v>Proyectos Inmobiliarios</v>
      </c>
    </row>
    <row r="1346" spans="1:11" x14ac:dyDescent="0.25">
      <c r="A1346" s="50">
        <v>10296204</v>
      </c>
      <c r="B1346" s="51" t="s">
        <v>2157</v>
      </c>
      <c r="C1346" s="51" t="s">
        <v>1670</v>
      </c>
      <c r="D1346" s="51" t="s">
        <v>1665</v>
      </c>
      <c r="E1346" s="51" t="s">
        <v>1624</v>
      </c>
      <c r="F1346" s="51" t="s">
        <v>2152</v>
      </c>
      <c r="G1346" s="51" t="s">
        <v>1661</v>
      </c>
      <c r="H1346" s="50" t="s">
        <v>1672</v>
      </c>
      <c r="I1346" s="51" t="s">
        <v>1666</v>
      </c>
      <c r="J1346" t="str">
        <f t="shared" si="42"/>
        <v>10296204 - Jardines del Polo 4-Proyecto</v>
      </c>
      <c r="K1346" t="str">
        <f t="shared" si="43"/>
        <v>Proyectos Inmobiliarios</v>
      </c>
    </row>
    <row r="1347" spans="1:11" x14ac:dyDescent="0.25">
      <c r="A1347" s="50">
        <v>10296301</v>
      </c>
      <c r="B1347" s="51" t="s">
        <v>2158</v>
      </c>
      <c r="C1347" s="51" t="s">
        <v>1670</v>
      </c>
      <c r="D1347" s="51" t="s">
        <v>1665</v>
      </c>
      <c r="E1347" s="51" t="s">
        <v>1643</v>
      </c>
      <c r="F1347" s="51" t="s">
        <v>2152</v>
      </c>
      <c r="G1347" s="51" t="s">
        <v>1667</v>
      </c>
      <c r="H1347" s="50" t="s">
        <v>1672</v>
      </c>
      <c r="I1347" s="51" t="s">
        <v>1666</v>
      </c>
      <c r="J1347" t="str">
        <f t="shared" si="42"/>
        <v>10296301 - Jardines del Polo 4-GAF</v>
      </c>
      <c r="K1347" t="str">
        <f t="shared" si="43"/>
        <v>Proyectos Inmobiliarios</v>
      </c>
    </row>
    <row r="1348" spans="1:11" x14ac:dyDescent="0.25">
      <c r="A1348" s="50">
        <v>10296505</v>
      </c>
      <c r="B1348" s="51" t="s">
        <v>2159</v>
      </c>
      <c r="C1348" s="51" t="s">
        <v>1670</v>
      </c>
      <c r="D1348" s="51" t="s">
        <v>66</v>
      </c>
      <c r="E1348" s="51" t="s">
        <v>328</v>
      </c>
      <c r="F1348" s="51" t="s">
        <v>2152</v>
      </c>
      <c r="G1348" s="51" t="s">
        <v>1661</v>
      </c>
      <c r="H1348" s="50" t="s">
        <v>1672</v>
      </c>
      <c r="I1348" s="51" t="s">
        <v>1666</v>
      </c>
      <c r="J1348" t="str">
        <f t="shared" si="42"/>
        <v>10296505 - Jardines del Polo 4-PV Inmob.</v>
      </c>
      <c r="K1348" t="str">
        <f t="shared" si="43"/>
        <v>Postventa</v>
      </c>
    </row>
    <row r="1349" spans="1:11" x14ac:dyDescent="0.25">
      <c r="A1349" s="50">
        <v>10296506</v>
      </c>
      <c r="B1349" s="51" t="s">
        <v>2160</v>
      </c>
      <c r="C1349" s="51" t="s">
        <v>1670</v>
      </c>
      <c r="D1349" s="51" t="s">
        <v>1665</v>
      </c>
      <c r="E1349" s="51" t="s">
        <v>200</v>
      </c>
      <c r="F1349" s="51" t="s">
        <v>2152</v>
      </c>
      <c r="G1349" s="51" t="s">
        <v>1661</v>
      </c>
      <c r="H1349" s="50" t="s">
        <v>1672</v>
      </c>
      <c r="I1349" s="51" t="s">
        <v>1666</v>
      </c>
      <c r="J1349" t="str">
        <f t="shared" ref="J1349:J1412" si="44">+A1349&amp;" - "&amp;B1349</f>
        <v>10296506 - Jardines del Polo 4-Depto.Técnico</v>
      </c>
      <c r="K1349" t="str">
        <f t="shared" ref="K1349:K1412" si="45">+D1349</f>
        <v>Proyectos Inmobiliarios</v>
      </c>
    </row>
    <row r="1350" spans="1:11" x14ac:dyDescent="0.25">
      <c r="A1350" s="48">
        <v>999999999</v>
      </c>
      <c r="B1350" s="49" t="s">
        <v>1684</v>
      </c>
      <c r="C1350" s="49"/>
      <c r="D1350" s="49" t="s">
        <v>1578</v>
      </c>
      <c r="E1350" s="49" t="s">
        <v>1578</v>
      </c>
      <c r="F1350" s="49" t="s">
        <v>2161</v>
      </c>
      <c r="G1350" s="49" t="s">
        <v>1661</v>
      </c>
      <c r="H1350" s="48" t="s">
        <v>1672</v>
      </c>
      <c r="I1350" s="49" t="s">
        <v>1662</v>
      </c>
      <c r="J1350" t="str">
        <f t="shared" si="44"/>
        <v>999999999 - Terreno Abuelo Proyectos sin Terreno</v>
      </c>
      <c r="K1350" t="str">
        <f t="shared" si="45"/>
        <v>Terreno</v>
      </c>
    </row>
    <row r="1351" spans="1:11" x14ac:dyDescent="0.25">
      <c r="A1351" s="48">
        <v>999</v>
      </c>
      <c r="B1351" s="49" t="s">
        <v>1808</v>
      </c>
      <c r="C1351" s="49"/>
      <c r="D1351" s="49" t="s">
        <v>65</v>
      </c>
      <c r="E1351" s="49" t="s">
        <v>65</v>
      </c>
      <c r="F1351" s="49" t="s">
        <v>2161</v>
      </c>
      <c r="G1351" s="49" t="s">
        <v>1663</v>
      </c>
      <c r="H1351" s="48" t="s">
        <v>1672</v>
      </c>
      <c r="I1351" s="49" t="s">
        <v>1664</v>
      </c>
      <c r="J1351" t="str">
        <f t="shared" si="44"/>
        <v>999 - Obra Padre Proyectos sin Obra</v>
      </c>
      <c r="K1351" t="str">
        <f t="shared" si="45"/>
        <v>Obra</v>
      </c>
    </row>
    <row r="1352" spans="1:11" x14ac:dyDescent="0.25">
      <c r="A1352" s="48">
        <v>10297000</v>
      </c>
      <c r="B1352" s="49" t="s">
        <v>2161</v>
      </c>
      <c r="C1352" s="49" t="s">
        <v>1670</v>
      </c>
      <c r="D1352" s="49" t="s">
        <v>1665</v>
      </c>
      <c r="E1352" s="49" t="s">
        <v>1585</v>
      </c>
      <c r="F1352" s="49" t="s">
        <v>2161</v>
      </c>
      <c r="G1352" s="49" t="s">
        <v>1661</v>
      </c>
      <c r="H1352" s="48" t="s">
        <v>1672</v>
      </c>
      <c r="I1352" s="49" t="s">
        <v>1666</v>
      </c>
      <c r="J1352" t="str">
        <f t="shared" si="44"/>
        <v>10297000 - Jardines del Polo 5</v>
      </c>
      <c r="K1352" t="str">
        <f t="shared" si="45"/>
        <v>Proyectos Inmobiliarios</v>
      </c>
    </row>
    <row r="1353" spans="1:11" x14ac:dyDescent="0.25">
      <c r="A1353" s="48">
        <v>10297102</v>
      </c>
      <c r="B1353" s="49" t="s">
        <v>2162</v>
      </c>
      <c r="C1353" s="49" t="s">
        <v>1670</v>
      </c>
      <c r="D1353" s="49" t="s">
        <v>1665</v>
      </c>
      <c r="E1353" s="49" t="s">
        <v>1617</v>
      </c>
      <c r="F1353" s="49" t="s">
        <v>2161</v>
      </c>
      <c r="G1353" s="49" t="s">
        <v>1661</v>
      </c>
      <c r="H1353" s="48" t="s">
        <v>1672</v>
      </c>
      <c r="I1353" s="49" t="s">
        <v>1666</v>
      </c>
      <c r="J1353" t="str">
        <f t="shared" si="44"/>
        <v>10297102 - Jardines del Polo 5-Marketing</v>
      </c>
      <c r="K1353" t="str">
        <f t="shared" si="45"/>
        <v>Proyectos Inmobiliarios</v>
      </c>
    </row>
    <row r="1354" spans="1:11" x14ac:dyDescent="0.25">
      <c r="A1354" s="48">
        <v>10297103</v>
      </c>
      <c r="B1354" s="49" t="s">
        <v>2163</v>
      </c>
      <c r="C1354" s="49" t="s">
        <v>1670</v>
      </c>
      <c r="D1354" s="49" t="s">
        <v>1665</v>
      </c>
      <c r="E1354" s="49" t="s">
        <v>1618</v>
      </c>
      <c r="F1354" s="49" t="s">
        <v>2161</v>
      </c>
      <c r="G1354" s="49" t="s">
        <v>1661</v>
      </c>
      <c r="H1354" s="48" t="s">
        <v>1672</v>
      </c>
      <c r="I1354" s="49" t="s">
        <v>1666</v>
      </c>
      <c r="J1354" t="str">
        <f t="shared" si="44"/>
        <v>10297103 - Jardines del Polo 5-Operaciones</v>
      </c>
      <c r="K1354" t="str">
        <f t="shared" si="45"/>
        <v>Proyectos Inmobiliarios</v>
      </c>
    </row>
    <row r="1355" spans="1:11" x14ac:dyDescent="0.25">
      <c r="A1355" s="48">
        <v>10297104</v>
      </c>
      <c r="B1355" s="49" t="s">
        <v>2164</v>
      </c>
      <c r="C1355" s="49" t="s">
        <v>1670</v>
      </c>
      <c r="D1355" s="49" t="s">
        <v>1665</v>
      </c>
      <c r="E1355" s="49" t="s">
        <v>90</v>
      </c>
      <c r="F1355" s="49" t="s">
        <v>2161</v>
      </c>
      <c r="G1355" s="49" t="s">
        <v>1661</v>
      </c>
      <c r="H1355" s="48" t="s">
        <v>1672</v>
      </c>
      <c r="I1355" s="49" t="s">
        <v>1666</v>
      </c>
      <c r="J1355" t="str">
        <f t="shared" si="44"/>
        <v>10297104 - Jardines del Polo 5-Ventas</v>
      </c>
      <c r="K1355" t="str">
        <f t="shared" si="45"/>
        <v>Proyectos Inmobiliarios</v>
      </c>
    </row>
    <row r="1356" spans="1:11" x14ac:dyDescent="0.25">
      <c r="A1356" s="48">
        <v>10297105</v>
      </c>
      <c r="B1356" s="49" t="s">
        <v>2165</v>
      </c>
      <c r="C1356" s="49" t="s">
        <v>1670</v>
      </c>
      <c r="D1356" s="49" t="s">
        <v>1665</v>
      </c>
      <c r="E1356" s="49" t="s">
        <v>1622</v>
      </c>
      <c r="F1356" s="49" t="s">
        <v>2161</v>
      </c>
      <c r="G1356" s="49" t="s">
        <v>1661</v>
      </c>
      <c r="H1356" s="48" t="s">
        <v>1672</v>
      </c>
      <c r="I1356" s="49" t="s">
        <v>1666</v>
      </c>
      <c r="J1356" t="str">
        <f t="shared" si="44"/>
        <v>10297105 - Jardines del Polo 5-Clientes</v>
      </c>
      <c r="K1356" t="str">
        <f t="shared" si="45"/>
        <v>Proyectos Inmobiliarios</v>
      </c>
    </row>
    <row r="1357" spans="1:11" x14ac:dyDescent="0.25">
      <c r="A1357" s="48">
        <v>10297204</v>
      </c>
      <c r="B1357" s="49" t="s">
        <v>2166</v>
      </c>
      <c r="C1357" s="49" t="s">
        <v>1670</v>
      </c>
      <c r="D1357" s="49" t="s">
        <v>1665</v>
      </c>
      <c r="E1357" s="49" t="s">
        <v>1624</v>
      </c>
      <c r="F1357" s="49" t="s">
        <v>2161</v>
      </c>
      <c r="G1357" s="49" t="s">
        <v>1661</v>
      </c>
      <c r="H1357" s="48" t="s">
        <v>1672</v>
      </c>
      <c r="I1357" s="49" t="s">
        <v>1666</v>
      </c>
      <c r="J1357" t="str">
        <f t="shared" si="44"/>
        <v>10297204 - Jardines del Polo 5-Proyecto</v>
      </c>
      <c r="K1357" t="str">
        <f t="shared" si="45"/>
        <v>Proyectos Inmobiliarios</v>
      </c>
    </row>
    <row r="1358" spans="1:11" x14ac:dyDescent="0.25">
      <c r="A1358" s="48">
        <v>10297301</v>
      </c>
      <c r="B1358" s="49" t="s">
        <v>2167</v>
      </c>
      <c r="C1358" s="49" t="s">
        <v>1670</v>
      </c>
      <c r="D1358" s="49" t="s">
        <v>1665</v>
      </c>
      <c r="E1358" s="49" t="s">
        <v>1643</v>
      </c>
      <c r="F1358" s="49" t="s">
        <v>2161</v>
      </c>
      <c r="G1358" s="49" t="s">
        <v>1667</v>
      </c>
      <c r="H1358" s="48" t="s">
        <v>1672</v>
      </c>
      <c r="I1358" s="49" t="s">
        <v>1666</v>
      </c>
      <c r="J1358" t="str">
        <f t="shared" si="44"/>
        <v>10297301 - Jardines del Polo 5-GAF</v>
      </c>
      <c r="K1358" t="str">
        <f t="shared" si="45"/>
        <v>Proyectos Inmobiliarios</v>
      </c>
    </row>
    <row r="1359" spans="1:11" x14ac:dyDescent="0.25">
      <c r="A1359" s="48">
        <v>10297505</v>
      </c>
      <c r="B1359" s="49" t="s">
        <v>2168</v>
      </c>
      <c r="C1359" s="49" t="s">
        <v>1670</v>
      </c>
      <c r="D1359" s="49" t="s">
        <v>66</v>
      </c>
      <c r="E1359" s="49" t="s">
        <v>328</v>
      </c>
      <c r="F1359" s="49" t="s">
        <v>2161</v>
      </c>
      <c r="G1359" s="49" t="s">
        <v>1661</v>
      </c>
      <c r="H1359" s="48" t="s">
        <v>1672</v>
      </c>
      <c r="I1359" s="49" t="s">
        <v>1666</v>
      </c>
      <c r="J1359" t="str">
        <f t="shared" si="44"/>
        <v>10297505 - Jardines del Polo 5-PV Inmob.</v>
      </c>
      <c r="K1359" t="str">
        <f t="shared" si="45"/>
        <v>Postventa</v>
      </c>
    </row>
    <row r="1360" spans="1:11" x14ac:dyDescent="0.25">
      <c r="A1360" s="48">
        <v>10297506</v>
      </c>
      <c r="B1360" s="49" t="s">
        <v>2169</v>
      </c>
      <c r="C1360" s="49" t="s">
        <v>1670</v>
      </c>
      <c r="D1360" s="49" t="s">
        <v>1665</v>
      </c>
      <c r="E1360" s="49" t="s">
        <v>200</v>
      </c>
      <c r="F1360" s="49" t="s">
        <v>2161</v>
      </c>
      <c r="G1360" s="49" t="s">
        <v>1661</v>
      </c>
      <c r="H1360" s="48" t="s">
        <v>1672</v>
      </c>
      <c r="I1360" s="49" t="s">
        <v>1666</v>
      </c>
      <c r="J1360" t="str">
        <f t="shared" si="44"/>
        <v>10297506 - Jardines del Polo 5-Depto.Técnico</v>
      </c>
      <c r="K1360" t="str">
        <f t="shared" si="45"/>
        <v>Proyectos Inmobiliarios</v>
      </c>
    </row>
    <row r="1361" spans="1:11" x14ac:dyDescent="0.25">
      <c r="A1361" s="52">
        <v>999999999</v>
      </c>
      <c r="B1361" s="53" t="s">
        <v>1684</v>
      </c>
      <c r="C1361" s="53"/>
      <c r="D1361" s="53" t="s">
        <v>1578</v>
      </c>
      <c r="E1361" s="53" t="s">
        <v>1578</v>
      </c>
      <c r="F1361" s="53" t="s">
        <v>2170</v>
      </c>
      <c r="G1361" s="53" t="s">
        <v>1661</v>
      </c>
      <c r="H1361" s="52" t="s">
        <v>1672</v>
      </c>
      <c r="I1361" s="53" t="s">
        <v>1662</v>
      </c>
      <c r="J1361" t="str">
        <f t="shared" si="44"/>
        <v>999999999 - Terreno Abuelo Proyectos sin Terreno</v>
      </c>
      <c r="K1361" t="str">
        <f t="shared" si="45"/>
        <v>Terreno</v>
      </c>
    </row>
    <row r="1362" spans="1:11" x14ac:dyDescent="0.25">
      <c r="A1362" s="52">
        <v>999</v>
      </c>
      <c r="B1362" s="53" t="s">
        <v>1808</v>
      </c>
      <c r="C1362" s="53"/>
      <c r="D1362" s="53" t="s">
        <v>65</v>
      </c>
      <c r="E1362" s="53" t="s">
        <v>65</v>
      </c>
      <c r="F1362" s="53" t="s">
        <v>2170</v>
      </c>
      <c r="G1362" s="53" t="s">
        <v>1663</v>
      </c>
      <c r="H1362" s="52" t="s">
        <v>1672</v>
      </c>
      <c r="I1362" s="53" t="s">
        <v>1664</v>
      </c>
      <c r="J1362" t="str">
        <f t="shared" si="44"/>
        <v>999 - Obra Padre Proyectos sin Obra</v>
      </c>
      <c r="K1362" t="str">
        <f t="shared" si="45"/>
        <v>Obra</v>
      </c>
    </row>
    <row r="1363" spans="1:11" x14ac:dyDescent="0.25">
      <c r="A1363" s="52">
        <v>10298000</v>
      </c>
      <c r="B1363" s="53" t="s">
        <v>2170</v>
      </c>
      <c r="C1363" s="53" t="s">
        <v>1670</v>
      </c>
      <c r="D1363" s="53" t="s">
        <v>1665</v>
      </c>
      <c r="E1363" s="53" t="s">
        <v>1585</v>
      </c>
      <c r="F1363" s="53" t="s">
        <v>2170</v>
      </c>
      <c r="G1363" s="53" t="s">
        <v>1661</v>
      </c>
      <c r="H1363" s="52" t="s">
        <v>1672</v>
      </c>
      <c r="I1363" s="53" t="s">
        <v>1666</v>
      </c>
      <c r="J1363" t="str">
        <f t="shared" si="44"/>
        <v>10298000 - Jardines del Polo 6</v>
      </c>
      <c r="K1363" t="str">
        <f t="shared" si="45"/>
        <v>Proyectos Inmobiliarios</v>
      </c>
    </row>
    <row r="1364" spans="1:11" x14ac:dyDescent="0.25">
      <c r="A1364" s="52">
        <v>10298102</v>
      </c>
      <c r="B1364" s="53" t="s">
        <v>2171</v>
      </c>
      <c r="C1364" s="53" t="s">
        <v>1670</v>
      </c>
      <c r="D1364" s="53" t="s">
        <v>1665</v>
      </c>
      <c r="E1364" s="53" t="s">
        <v>1617</v>
      </c>
      <c r="F1364" s="53" t="s">
        <v>2170</v>
      </c>
      <c r="G1364" s="53" t="s">
        <v>1661</v>
      </c>
      <c r="H1364" s="52" t="s">
        <v>1672</v>
      </c>
      <c r="I1364" s="53" t="s">
        <v>1666</v>
      </c>
      <c r="J1364" t="str">
        <f t="shared" si="44"/>
        <v>10298102 - Jardines del Polo 6-Marketing</v>
      </c>
      <c r="K1364" t="str">
        <f t="shared" si="45"/>
        <v>Proyectos Inmobiliarios</v>
      </c>
    </row>
    <row r="1365" spans="1:11" x14ac:dyDescent="0.25">
      <c r="A1365" s="52">
        <v>10298103</v>
      </c>
      <c r="B1365" s="53" t="s">
        <v>2172</v>
      </c>
      <c r="C1365" s="53" t="s">
        <v>1670</v>
      </c>
      <c r="D1365" s="53" t="s">
        <v>1665</v>
      </c>
      <c r="E1365" s="53" t="s">
        <v>1618</v>
      </c>
      <c r="F1365" s="53" t="s">
        <v>2170</v>
      </c>
      <c r="G1365" s="53" t="s">
        <v>1661</v>
      </c>
      <c r="H1365" s="52" t="s">
        <v>1672</v>
      </c>
      <c r="I1365" s="53" t="s">
        <v>1666</v>
      </c>
      <c r="J1365" t="str">
        <f t="shared" si="44"/>
        <v>10298103 - Jardines del Polo 6-Operaciones</v>
      </c>
      <c r="K1365" t="str">
        <f t="shared" si="45"/>
        <v>Proyectos Inmobiliarios</v>
      </c>
    </row>
    <row r="1366" spans="1:11" x14ac:dyDescent="0.25">
      <c r="A1366" s="52">
        <v>10298104</v>
      </c>
      <c r="B1366" s="53" t="s">
        <v>2173</v>
      </c>
      <c r="C1366" s="53" t="s">
        <v>1670</v>
      </c>
      <c r="D1366" s="53" t="s">
        <v>1665</v>
      </c>
      <c r="E1366" s="53" t="s">
        <v>90</v>
      </c>
      <c r="F1366" s="53" t="s">
        <v>2170</v>
      </c>
      <c r="G1366" s="53" t="s">
        <v>1661</v>
      </c>
      <c r="H1366" s="52" t="s">
        <v>1672</v>
      </c>
      <c r="I1366" s="53" t="s">
        <v>1666</v>
      </c>
      <c r="J1366" t="str">
        <f t="shared" si="44"/>
        <v>10298104 - Jardines del Polo 6-Ventas</v>
      </c>
      <c r="K1366" t="str">
        <f t="shared" si="45"/>
        <v>Proyectos Inmobiliarios</v>
      </c>
    </row>
    <row r="1367" spans="1:11" x14ac:dyDescent="0.25">
      <c r="A1367" s="52">
        <v>10298105</v>
      </c>
      <c r="B1367" s="53" t="s">
        <v>2174</v>
      </c>
      <c r="C1367" s="53" t="s">
        <v>1670</v>
      </c>
      <c r="D1367" s="53" t="s">
        <v>1665</v>
      </c>
      <c r="E1367" s="53" t="s">
        <v>1622</v>
      </c>
      <c r="F1367" s="53" t="s">
        <v>2170</v>
      </c>
      <c r="G1367" s="53" t="s">
        <v>1661</v>
      </c>
      <c r="H1367" s="52" t="s">
        <v>1672</v>
      </c>
      <c r="I1367" s="53" t="s">
        <v>1666</v>
      </c>
      <c r="J1367" t="str">
        <f t="shared" si="44"/>
        <v>10298105 - Jardines del Polo 6-Clientes</v>
      </c>
      <c r="K1367" t="str">
        <f t="shared" si="45"/>
        <v>Proyectos Inmobiliarios</v>
      </c>
    </row>
    <row r="1368" spans="1:11" x14ac:dyDescent="0.25">
      <c r="A1368" s="52">
        <v>10298204</v>
      </c>
      <c r="B1368" s="53" t="s">
        <v>2175</v>
      </c>
      <c r="C1368" s="53" t="s">
        <v>1670</v>
      </c>
      <c r="D1368" s="53" t="s">
        <v>1665</v>
      </c>
      <c r="E1368" s="53" t="s">
        <v>1624</v>
      </c>
      <c r="F1368" s="53" t="s">
        <v>2170</v>
      </c>
      <c r="G1368" s="53" t="s">
        <v>1661</v>
      </c>
      <c r="H1368" s="52" t="s">
        <v>1672</v>
      </c>
      <c r="I1368" s="53" t="s">
        <v>1666</v>
      </c>
      <c r="J1368" t="str">
        <f t="shared" si="44"/>
        <v>10298204 - Jardines del Polo 6-Proyecto</v>
      </c>
      <c r="K1368" t="str">
        <f t="shared" si="45"/>
        <v>Proyectos Inmobiliarios</v>
      </c>
    </row>
    <row r="1369" spans="1:11" x14ac:dyDescent="0.25">
      <c r="A1369" s="52">
        <v>10298301</v>
      </c>
      <c r="B1369" s="53" t="s">
        <v>2176</v>
      </c>
      <c r="C1369" s="53" t="s">
        <v>1670</v>
      </c>
      <c r="D1369" s="53" t="s">
        <v>1665</v>
      </c>
      <c r="E1369" s="53" t="s">
        <v>1643</v>
      </c>
      <c r="F1369" s="53" t="s">
        <v>2170</v>
      </c>
      <c r="G1369" s="53" t="s">
        <v>1667</v>
      </c>
      <c r="H1369" s="52" t="s">
        <v>1672</v>
      </c>
      <c r="I1369" s="53" t="s">
        <v>1666</v>
      </c>
      <c r="J1369" t="str">
        <f t="shared" si="44"/>
        <v>10298301 - Jardines del Polo 6-GAF</v>
      </c>
      <c r="K1369" t="str">
        <f t="shared" si="45"/>
        <v>Proyectos Inmobiliarios</v>
      </c>
    </row>
    <row r="1370" spans="1:11" x14ac:dyDescent="0.25">
      <c r="A1370" s="52">
        <v>10298505</v>
      </c>
      <c r="B1370" s="53" t="s">
        <v>2177</v>
      </c>
      <c r="C1370" s="53" t="s">
        <v>1670</v>
      </c>
      <c r="D1370" s="53" t="s">
        <v>66</v>
      </c>
      <c r="E1370" s="53" t="s">
        <v>328</v>
      </c>
      <c r="F1370" s="53" t="s">
        <v>2170</v>
      </c>
      <c r="G1370" s="53" t="s">
        <v>1661</v>
      </c>
      <c r="H1370" s="52" t="s">
        <v>1672</v>
      </c>
      <c r="I1370" s="53" t="s">
        <v>1666</v>
      </c>
      <c r="J1370" t="str">
        <f t="shared" si="44"/>
        <v>10298505 - Jardines del Polo 6-PV Inmob.</v>
      </c>
      <c r="K1370" t="str">
        <f t="shared" si="45"/>
        <v>Postventa</v>
      </c>
    </row>
    <row r="1371" spans="1:11" x14ac:dyDescent="0.25">
      <c r="A1371" s="52">
        <v>10298506</v>
      </c>
      <c r="B1371" s="53" t="s">
        <v>2178</v>
      </c>
      <c r="C1371" s="53" t="s">
        <v>1670</v>
      </c>
      <c r="D1371" s="53" t="s">
        <v>1665</v>
      </c>
      <c r="E1371" s="53" t="s">
        <v>200</v>
      </c>
      <c r="F1371" s="53" t="s">
        <v>2170</v>
      </c>
      <c r="G1371" s="53" t="s">
        <v>1661</v>
      </c>
      <c r="H1371" s="52" t="s">
        <v>1672</v>
      </c>
      <c r="I1371" s="53" t="s">
        <v>1666</v>
      </c>
      <c r="J1371" t="str">
        <f t="shared" si="44"/>
        <v>10298506 - Jardines del Polo 6-Depto.Técnico</v>
      </c>
      <c r="K1371" t="str">
        <f t="shared" si="45"/>
        <v>Proyectos Inmobiliarios</v>
      </c>
    </row>
    <row r="1372" spans="1:11" x14ac:dyDescent="0.25">
      <c r="A1372" s="50">
        <v>999999999</v>
      </c>
      <c r="B1372" s="51" t="s">
        <v>1684</v>
      </c>
      <c r="C1372" s="51"/>
      <c r="D1372" s="51" t="s">
        <v>1578</v>
      </c>
      <c r="E1372" s="51" t="s">
        <v>1578</v>
      </c>
      <c r="F1372" s="51" t="s">
        <v>2179</v>
      </c>
      <c r="G1372" s="51" t="s">
        <v>1661</v>
      </c>
      <c r="H1372" s="50" t="s">
        <v>1672</v>
      </c>
      <c r="I1372" s="51" t="s">
        <v>1662</v>
      </c>
      <c r="J1372" t="str">
        <f t="shared" si="44"/>
        <v>999999999 - Terreno Abuelo Proyectos sin Terreno</v>
      </c>
      <c r="K1372" t="str">
        <f t="shared" si="45"/>
        <v>Terreno</v>
      </c>
    </row>
    <row r="1373" spans="1:11" x14ac:dyDescent="0.25">
      <c r="A1373" s="50">
        <v>999</v>
      </c>
      <c r="B1373" s="51" t="s">
        <v>1808</v>
      </c>
      <c r="C1373" s="51"/>
      <c r="D1373" s="51" t="s">
        <v>65</v>
      </c>
      <c r="E1373" s="51" t="s">
        <v>65</v>
      </c>
      <c r="F1373" s="51" t="s">
        <v>2179</v>
      </c>
      <c r="G1373" s="51" t="s">
        <v>1663</v>
      </c>
      <c r="H1373" s="50" t="s">
        <v>1672</v>
      </c>
      <c r="I1373" s="51" t="s">
        <v>1664</v>
      </c>
      <c r="J1373" t="str">
        <f t="shared" si="44"/>
        <v>999 - Obra Padre Proyectos sin Obra</v>
      </c>
      <c r="K1373" t="str">
        <f t="shared" si="45"/>
        <v>Obra</v>
      </c>
    </row>
    <row r="1374" spans="1:11" x14ac:dyDescent="0.25">
      <c r="A1374" s="50">
        <v>10299000</v>
      </c>
      <c r="B1374" s="51" t="s">
        <v>2179</v>
      </c>
      <c r="C1374" s="51" t="s">
        <v>1670</v>
      </c>
      <c r="D1374" s="51" t="s">
        <v>1665</v>
      </c>
      <c r="E1374" s="51" t="s">
        <v>1585</v>
      </c>
      <c r="F1374" s="51" t="s">
        <v>2179</v>
      </c>
      <c r="G1374" s="51" t="s">
        <v>1661</v>
      </c>
      <c r="H1374" s="50" t="s">
        <v>1672</v>
      </c>
      <c r="I1374" s="51" t="s">
        <v>1666</v>
      </c>
      <c r="J1374" t="str">
        <f t="shared" si="44"/>
        <v>10299000 - Jardines del Polo Etapas Futuras</v>
      </c>
      <c r="K1374" t="str">
        <f t="shared" si="45"/>
        <v>Proyectos Inmobiliarios</v>
      </c>
    </row>
    <row r="1375" spans="1:11" x14ac:dyDescent="0.25">
      <c r="A1375" s="50">
        <v>10299102</v>
      </c>
      <c r="B1375" s="51" t="s">
        <v>2180</v>
      </c>
      <c r="C1375" s="51" t="s">
        <v>1670</v>
      </c>
      <c r="D1375" s="51" t="s">
        <v>1665</v>
      </c>
      <c r="E1375" s="51" t="s">
        <v>1617</v>
      </c>
      <c r="F1375" s="51" t="s">
        <v>2179</v>
      </c>
      <c r="G1375" s="51" t="s">
        <v>1661</v>
      </c>
      <c r="H1375" s="50" t="s">
        <v>1672</v>
      </c>
      <c r="I1375" s="51" t="s">
        <v>1666</v>
      </c>
      <c r="J1375" t="str">
        <f t="shared" si="44"/>
        <v>10299102 - Jardines del Polo Etapas Futuras-Marketing</v>
      </c>
      <c r="K1375" t="str">
        <f t="shared" si="45"/>
        <v>Proyectos Inmobiliarios</v>
      </c>
    </row>
    <row r="1376" spans="1:11" x14ac:dyDescent="0.25">
      <c r="A1376" s="50">
        <v>10299103</v>
      </c>
      <c r="B1376" s="51" t="s">
        <v>2181</v>
      </c>
      <c r="C1376" s="51" t="s">
        <v>1670</v>
      </c>
      <c r="D1376" s="51" t="s">
        <v>1665</v>
      </c>
      <c r="E1376" s="51" t="s">
        <v>1618</v>
      </c>
      <c r="F1376" s="51" t="s">
        <v>2179</v>
      </c>
      <c r="G1376" s="51" t="s">
        <v>1661</v>
      </c>
      <c r="H1376" s="50" t="s">
        <v>1672</v>
      </c>
      <c r="I1376" s="51" t="s">
        <v>1666</v>
      </c>
      <c r="J1376" t="str">
        <f t="shared" si="44"/>
        <v>10299103 - Jardines del Polo Etapas Futuras-Operaciones</v>
      </c>
      <c r="K1376" t="str">
        <f t="shared" si="45"/>
        <v>Proyectos Inmobiliarios</v>
      </c>
    </row>
    <row r="1377" spans="1:11" x14ac:dyDescent="0.25">
      <c r="A1377" s="50">
        <v>10299105</v>
      </c>
      <c r="B1377" s="51" t="s">
        <v>2182</v>
      </c>
      <c r="C1377" s="51" t="s">
        <v>1670</v>
      </c>
      <c r="D1377" s="51" t="s">
        <v>1665</v>
      </c>
      <c r="E1377" s="51" t="s">
        <v>1622</v>
      </c>
      <c r="F1377" s="51" t="s">
        <v>2179</v>
      </c>
      <c r="G1377" s="51" t="s">
        <v>1661</v>
      </c>
      <c r="H1377" s="50" t="s">
        <v>1672</v>
      </c>
      <c r="I1377" s="51" t="s">
        <v>1666</v>
      </c>
      <c r="J1377" t="str">
        <f t="shared" si="44"/>
        <v>10299105 - Jardines del Polo Etapas Futuras-Clientes</v>
      </c>
      <c r="K1377" t="str">
        <f t="shared" si="45"/>
        <v>Proyectos Inmobiliarios</v>
      </c>
    </row>
    <row r="1378" spans="1:11" x14ac:dyDescent="0.25">
      <c r="A1378" s="50">
        <v>10299204</v>
      </c>
      <c r="B1378" s="51" t="s">
        <v>2183</v>
      </c>
      <c r="C1378" s="51" t="s">
        <v>1670</v>
      </c>
      <c r="D1378" s="51" t="s">
        <v>1665</v>
      </c>
      <c r="E1378" s="51" t="s">
        <v>1624</v>
      </c>
      <c r="F1378" s="51" t="s">
        <v>2179</v>
      </c>
      <c r="G1378" s="51" t="s">
        <v>1661</v>
      </c>
      <c r="H1378" s="50" t="s">
        <v>1672</v>
      </c>
      <c r="I1378" s="51" t="s">
        <v>1666</v>
      </c>
      <c r="J1378" t="str">
        <f t="shared" si="44"/>
        <v>10299204 - Jardines del Polo Etapas Futuras-Proyecto</v>
      </c>
      <c r="K1378" t="str">
        <f t="shared" si="45"/>
        <v>Proyectos Inmobiliarios</v>
      </c>
    </row>
    <row r="1379" spans="1:11" x14ac:dyDescent="0.25">
      <c r="A1379" s="50">
        <v>10299301</v>
      </c>
      <c r="B1379" s="51" t="s">
        <v>2184</v>
      </c>
      <c r="C1379" s="51" t="s">
        <v>1670</v>
      </c>
      <c r="D1379" s="51" t="s">
        <v>1665</v>
      </c>
      <c r="E1379" s="51" t="s">
        <v>1643</v>
      </c>
      <c r="F1379" s="51" t="s">
        <v>2179</v>
      </c>
      <c r="G1379" s="51" t="s">
        <v>1667</v>
      </c>
      <c r="H1379" s="50" t="s">
        <v>1672</v>
      </c>
      <c r="I1379" s="51" t="s">
        <v>1666</v>
      </c>
      <c r="J1379" t="str">
        <f t="shared" si="44"/>
        <v>10299301 - Jardines del Polo Etapas Futuras-GAF</v>
      </c>
      <c r="K1379" t="str">
        <f t="shared" si="45"/>
        <v>Proyectos Inmobiliarios</v>
      </c>
    </row>
    <row r="1380" spans="1:11" x14ac:dyDescent="0.25">
      <c r="A1380" s="50">
        <v>10299505</v>
      </c>
      <c r="B1380" s="51" t="s">
        <v>2185</v>
      </c>
      <c r="C1380" s="51" t="s">
        <v>1670</v>
      </c>
      <c r="D1380" s="51" t="s">
        <v>66</v>
      </c>
      <c r="E1380" s="51" t="s">
        <v>328</v>
      </c>
      <c r="F1380" s="51" t="s">
        <v>2179</v>
      </c>
      <c r="G1380" s="51" t="s">
        <v>1661</v>
      </c>
      <c r="H1380" s="50" t="s">
        <v>1672</v>
      </c>
      <c r="I1380" s="51" t="s">
        <v>1666</v>
      </c>
      <c r="J1380" t="str">
        <f t="shared" si="44"/>
        <v>10299505 - Jardines del Polo Etapas Futuras-PV Inmob.</v>
      </c>
      <c r="K1380" t="str">
        <f t="shared" si="45"/>
        <v>Postventa</v>
      </c>
    </row>
    <row r="1381" spans="1:11" x14ac:dyDescent="0.25">
      <c r="A1381" s="50">
        <v>10299506</v>
      </c>
      <c r="B1381" s="51" t="s">
        <v>2186</v>
      </c>
      <c r="C1381" s="51" t="s">
        <v>1670</v>
      </c>
      <c r="D1381" s="51" t="s">
        <v>1665</v>
      </c>
      <c r="E1381" s="51" t="s">
        <v>200</v>
      </c>
      <c r="F1381" s="51" t="s">
        <v>2179</v>
      </c>
      <c r="G1381" s="51" t="s">
        <v>1661</v>
      </c>
      <c r="H1381" s="50" t="s">
        <v>1672</v>
      </c>
      <c r="I1381" s="51" t="s">
        <v>1666</v>
      </c>
      <c r="J1381" t="str">
        <f t="shared" si="44"/>
        <v>10299506 - Jardines del Polo Etapas Futuras-Depto.Técnico</v>
      </c>
      <c r="K1381" t="str">
        <f t="shared" si="45"/>
        <v>Proyectos Inmobiliarios</v>
      </c>
    </row>
    <row r="1382" spans="1:11" x14ac:dyDescent="0.25">
      <c r="A1382" s="56">
        <v>999999999</v>
      </c>
      <c r="B1382" s="57" t="s">
        <v>1684</v>
      </c>
      <c r="C1382" s="57"/>
      <c r="D1382" s="57" t="s">
        <v>1578</v>
      </c>
      <c r="E1382" s="57" t="s">
        <v>1578</v>
      </c>
      <c r="F1382" s="57" t="s">
        <v>2187</v>
      </c>
      <c r="G1382" s="57" t="s">
        <v>1661</v>
      </c>
      <c r="H1382" s="56" t="s">
        <v>1672</v>
      </c>
      <c r="I1382" s="57" t="s">
        <v>1662</v>
      </c>
      <c r="J1382" t="str">
        <f t="shared" si="44"/>
        <v>999999999 - Terreno Abuelo Proyectos sin Terreno</v>
      </c>
      <c r="K1382" t="str">
        <f t="shared" si="45"/>
        <v>Terreno</v>
      </c>
    </row>
    <row r="1383" spans="1:11" x14ac:dyDescent="0.25">
      <c r="A1383" s="56">
        <v>999</v>
      </c>
      <c r="B1383" s="57" t="s">
        <v>1808</v>
      </c>
      <c r="C1383" s="57"/>
      <c r="D1383" s="57" t="s">
        <v>65</v>
      </c>
      <c r="E1383" s="57" t="s">
        <v>65</v>
      </c>
      <c r="F1383" s="57" t="s">
        <v>2187</v>
      </c>
      <c r="G1383" s="57" t="s">
        <v>1663</v>
      </c>
      <c r="H1383" s="56" t="s">
        <v>1672</v>
      </c>
      <c r="I1383" s="57" t="s">
        <v>1664</v>
      </c>
      <c r="J1383" t="str">
        <f t="shared" si="44"/>
        <v>999 - Obra Padre Proyectos sin Obra</v>
      </c>
      <c r="K1383" t="str">
        <f t="shared" si="45"/>
        <v>Obra</v>
      </c>
    </row>
    <row r="1384" spans="1:11" x14ac:dyDescent="0.25">
      <c r="A1384" s="56">
        <v>224</v>
      </c>
      <c r="B1384" s="57" t="s">
        <v>2187</v>
      </c>
      <c r="C1384" s="57" t="s">
        <v>1670</v>
      </c>
      <c r="D1384" s="57" t="s">
        <v>65</v>
      </c>
      <c r="E1384" s="57" t="s">
        <v>65</v>
      </c>
      <c r="F1384" s="57" t="s">
        <v>2187</v>
      </c>
      <c r="G1384" s="57" t="s">
        <v>1663</v>
      </c>
      <c r="H1384" s="56" t="s">
        <v>1672</v>
      </c>
      <c r="I1384" s="57" t="s">
        <v>1664</v>
      </c>
      <c r="J1384" t="str">
        <f t="shared" si="44"/>
        <v>224 - Jardines del Polo-SA</v>
      </c>
      <c r="K1384" t="str">
        <f t="shared" si="45"/>
        <v>Obra</v>
      </c>
    </row>
    <row r="1385" spans="1:11" x14ac:dyDescent="0.25">
      <c r="A1385" s="58">
        <v>1078202</v>
      </c>
      <c r="B1385" s="59" t="s">
        <v>2188</v>
      </c>
      <c r="C1385" s="59" t="s">
        <v>1836</v>
      </c>
      <c r="D1385" s="59" t="s">
        <v>1578</v>
      </c>
      <c r="E1385" s="59" t="s">
        <v>1578</v>
      </c>
      <c r="F1385" s="59" t="s">
        <v>2189</v>
      </c>
      <c r="G1385" s="59" t="s">
        <v>1661</v>
      </c>
      <c r="H1385" s="58" t="s">
        <v>1672</v>
      </c>
      <c r="I1385" s="59" t="s">
        <v>1662</v>
      </c>
      <c r="J1385" t="str">
        <f t="shared" si="44"/>
        <v>1078202 - Terreno Jardines del Sur - Desarrollo</v>
      </c>
      <c r="K1385" t="str">
        <f t="shared" si="45"/>
        <v>Terreno</v>
      </c>
    </row>
    <row r="1386" spans="1:11" x14ac:dyDescent="0.25">
      <c r="A1386" s="58">
        <v>208</v>
      </c>
      <c r="B1386" s="59" t="s">
        <v>2189</v>
      </c>
      <c r="C1386" s="59" t="s">
        <v>1836</v>
      </c>
      <c r="D1386" s="59" t="s">
        <v>65</v>
      </c>
      <c r="E1386" s="59" t="s">
        <v>65</v>
      </c>
      <c r="F1386" s="59" t="s">
        <v>2189</v>
      </c>
      <c r="G1386" s="59" t="s">
        <v>1663</v>
      </c>
      <c r="H1386" s="58" t="s">
        <v>1672</v>
      </c>
      <c r="I1386" s="59" t="s">
        <v>1664</v>
      </c>
      <c r="J1386" t="str">
        <f t="shared" si="44"/>
        <v>208 - Jardines del Sur</v>
      </c>
      <c r="K1386" t="str">
        <f t="shared" si="45"/>
        <v>Obra</v>
      </c>
    </row>
    <row r="1387" spans="1:11" x14ac:dyDescent="0.25">
      <c r="A1387" s="58">
        <v>10208000</v>
      </c>
      <c r="B1387" s="59" t="s">
        <v>2189</v>
      </c>
      <c r="C1387" s="59" t="s">
        <v>1836</v>
      </c>
      <c r="D1387" s="59" t="s">
        <v>1665</v>
      </c>
      <c r="E1387" s="59" t="s">
        <v>1585</v>
      </c>
      <c r="F1387" s="59" t="s">
        <v>2189</v>
      </c>
      <c r="G1387" s="59" t="s">
        <v>1661</v>
      </c>
      <c r="H1387" s="58" t="s">
        <v>1672</v>
      </c>
      <c r="I1387" s="59" t="s">
        <v>1666</v>
      </c>
      <c r="J1387" t="str">
        <f t="shared" si="44"/>
        <v>10208000 - Jardines del Sur</v>
      </c>
      <c r="K1387" t="str">
        <f t="shared" si="45"/>
        <v>Proyectos Inmobiliarios</v>
      </c>
    </row>
    <row r="1388" spans="1:11" x14ac:dyDescent="0.25">
      <c r="A1388" s="58">
        <v>10208102</v>
      </c>
      <c r="B1388" s="59" t="s">
        <v>2190</v>
      </c>
      <c r="C1388" s="59" t="s">
        <v>1836</v>
      </c>
      <c r="D1388" s="59" t="s">
        <v>1665</v>
      </c>
      <c r="E1388" s="59" t="s">
        <v>1617</v>
      </c>
      <c r="F1388" s="59" t="s">
        <v>2189</v>
      </c>
      <c r="G1388" s="59" t="s">
        <v>1661</v>
      </c>
      <c r="H1388" s="58" t="s">
        <v>1672</v>
      </c>
      <c r="I1388" s="59" t="s">
        <v>1666</v>
      </c>
      <c r="J1388" t="str">
        <f t="shared" si="44"/>
        <v>10208102 - Jardines del Sur-Marketing</v>
      </c>
      <c r="K1388" t="str">
        <f t="shared" si="45"/>
        <v>Proyectos Inmobiliarios</v>
      </c>
    </row>
    <row r="1389" spans="1:11" x14ac:dyDescent="0.25">
      <c r="A1389" s="58">
        <v>10208103</v>
      </c>
      <c r="B1389" s="59" t="s">
        <v>2191</v>
      </c>
      <c r="C1389" s="59" t="s">
        <v>1836</v>
      </c>
      <c r="D1389" s="59" t="s">
        <v>1665</v>
      </c>
      <c r="E1389" s="59" t="s">
        <v>1618</v>
      </c>
      <c r="F1389" s="59" t="s">
        <v>2189</v>
      </c>
      <c r="G1389" s="59" t="s">
        <v>1661</v>
      </c>
      <c r="H1389" s="58" t="s">
        <v>1672</v>
      </c>
      <c r="I1389" s="59" t="s">
        <v>1666</v>
      </c>
      <c r="J1389" t="str">
        <f t="shared" si="44"/>
        <v>10208103 - Jardines del Sur-Operaciones</v>
      </c>
      <c r="K1389" t="str">
        <f t="shared" si="45"/>
        <v>Proyectos Inmobiliarios</v>
      </c>
    </row>
    <row r="1390" spans="1:11" x14ac:dyDescent="0.25">
      <c r="A1390" s="58">
        <v>10208104</v>
      </c>
      <c r="B1390" s="59" t="s">
        <v>2192</v>
      </c>
      <c r="C1390" s="59" t="s">
        <v>1836</v>
      </c>
      <c r="D1390" s="59" t="s">
        <v>1665</v>
      </c>
      <c r="E1390" s="59" t="s">
        <v>90</v>
      </c>
      <c r="F1390" s="59" t="s">
        <v>2189</v>
      </c>
      <c r="G1390" s="59" t="s">
        <v>1661</v>
      </c>
      <c r="H1390" s="58" t="s">
        <v>1672</v>
      </c>
      <c r="I1390" s="59" t="s">
        <v>1666</v>
      </c>
      <c r="J1390" t="str">
        <f t="shared" si="44"/>
        <v>10208104 - Jardines del Sur-Ventas</v>
      </c>
      <c r="K1390" t="str">
        <f t="shared" si="45"/>
        <v>Proyectos Inmobiliarios</v>
      </c>
    </row>
    <row r="1391" spans="1:11" x14ac:dyDescent="0.25">
      <c r="A1391" s="58">
        <v>10208105</v>
      </c>
      <c r="B1391" s="59" t="s">
        <v>2193</v>
      </c>
      <c r="C1391" s="59" t="s">
        <v>1836</v>
      </c>
      <c r="D1391" s="59" t="s">
        <v>1665</v>
      </c>
      <c r="E1391" s="59" t="s">
        <v>1622</v>
      </c>
      <c r="F1391" s="59" t="s">
        <v>2189</v>
      </c>
      <c r="G1391" s="59" t="s">
        <v>1661</v>
      </c>
      <c r="H1391" s="58" t="s">
        <v>1672</v>
      </c>
      <c r="I1391" s="59" t="s">
        <v>1666</v>
      </c>
      <c r="J1391" t="str">
        <f t="shared" si="44"/>
        <v>10208105 - Jardines del Sur-Clientes</v>
      </c>
      <c r="K1391" t="str">
        <f t="shared" si="45"/>
        <v>Proyectos Inmobiliarios</v>
      </c>
    </row>
    <row r="1392" spans="1:11" x14ac:dyDescent="0.25">
      <c r="A1392" s="58">
        <v>10208204</v>
      </c>
      <c r="B1392" s="59" t="s">
        <v>2194</v>
      </c>
      <c r="C1392" s="59" t="s">
        <v>1836</v>
      </c>
      <c r="D1392" s="59" t="s">
        <v>1665</v>
      </c>
      <c r="E1392" s="59" t="s">
        <v>1624</v>
      </c>
      <c r="F1392" s="59" t="s">
        <v>2189</v>
      </c>
      <c r="G1392" s="59" t="s">
        <v>1661</v>
      </c>
      <c r="H1392" s="58" t="s">
        <v>1672</v>
      </c>
      <c r="I1392" s="59" t="s">
        <v>1666</v>
      </c>
      <c r="J1392" t="str">
        <f t="shared" si="44"/>
        <v>10208204 - Jardines del Sur-Proyecto</v>
      </c>
      <c r="K1392" t="str">
        <f t="shared" si="45"/>
        <v>Proyectos Inmobiliarios</v>
      </c>
    </row>
    <row r="1393" spans="1:11" x14ac:dyDescent="0.25">
      <c r="A1393" s="58">
        <v>10208301</v>
      </c>
      <c r="B1393" s="59" t="s">
        <v>2195</v>
      </c>
      <c r="C1393" s="59" t="s">
        <v>1836</v>
      </c>
      <c r="D1393" s="59" t="s">
        <v>1665</v>
      </c>
      <c r="E1393" s="59" t="s">
        <v>1643</v>
      </c>
      <c r="F1393" s="59" t="s">
        <v>2189</v>
      </c>
      <c r="G1393" s="59" t="s">
        <v>1667</v>
      </c>
      <c r="H1393" s="58" t="s">
        <v>1672</v>
      </c>
      <c r="I1393" s="59" t="s">
        <v>1666</v>
      </c>
      <c r="J1393" t="str">
        <f t="shared" si="44"/>
        <v>10208301 - Jardines del Sur-GAF</v>
      </c>
      <c r="K1393" t="str">
        <f t="shared" si="45"/>
        <v>Proyectos Inmobiliarios</v>
      </c>
    </row>
    <row r="1394" spans="1:11" x14ac:dyDescent="0.25">
      <c r="A1394" s="58">
        <v>10208505</v>
      </c>
      <c r="B1394" s="59" t="s">
        <v>2196</v>
      </c>
      <c r="C1394" s="59" t="s">
        <v>1836</v>
      </c>
      <c r="D1394" s="59" t="s">
        <v>66</v>
      </c>
      <c r="E1394" s="59" t="s">
        <v>328</v>
      </c>
      <c r="F1394" s="59" t="s">
        <v>2189</v>
      </c>
      <c r="G1394" s="59" t="s">
        <v>1661</v>
      </c>
      <c r="H1394" s="58" t="s">
        <v>1672</v>
      </c>
      <c r="I1394" s="59" t="s">
        <v>1666</v>
      </c>
      <c r="J1394" t="str">
        <f t="shared" si="44"/>
        <v>10208505 - Jardines del Sur-PV Inmob.</v>
      </c>
      <c r="K1394" t="str">
        <f t="shared" si="45"/>
        <v>Postventa</v>
      </c>
    </row>
    <row r="1395" spans="1:11" x14ac:dyDescent="0.25">
      <c r="A1395" s="58">
        <v>10208506</v>
      </c>
      <c r="B1395" s="59" t="s">
        <v>2197</v>
      </c>
      <c r="C1395" s="59" t="s">
        <v>1836</v>
      </c>
      <c r="D1395" s="59" t="s">
        <v>1665</v>
      </c>
      <c r="E1395" s="59" t="s">
        <v>200</v>
      </c>
      <c r="F1395" s="59" t="s">
        <v>2189</v>
      </c>
      <c r="G1395" s="59" t="s">
        <v>1661</v>
      </c>
      <c r="H1395" s="58" t="s">
        <v>1672</v>
      </c>
      <c r="I1395" s="59" t="s">
        <v>1666</v>
      </c>
      <c r="J1395" t="str">
        <f t="shared" si="44"/>
        <v>10208506 - Jardines del Sur-Depto.Técnico</v>
      </c>
      <c r="K1395" t="str">
        <f t="shared" si="45"/>
        <v>Proyectos Inmobiliarios</v>
      </c>
    </row>
    <row r="1396" spans="1:11" x14ac:dyDescent="0.25">
      <c r="A1396" s="56">
        <v>999999999</v>
      </c>
      <c r="B1396" s="57" t="s">
        <v>1684</v>
      </c>
      <c r="C1396" s="57"/>
      <c r="D1396" s="57" t="s">
        <v>1578</v>
      </c>
      <c r="E1396" s="57" t="s">
        <v>1578</v>
      </c>
      <c r="F1396" s="57" t="s">
        <v>2198</v>
      </c>
      <c r="G1396" s="57" t="s">
        <v>1661</v>
      </c>
      <c r="H1396" s="56" t="s">
        <v>1672</v>
      </c>
      <c r="I1396" s="57" t="s">
        <v>1662</v>
      </c>
      <c r="J1396" t="str">
        <f t="shared" si="44"/>
        <v>999999999 - Terreno Abuelo Proyectos sin Terreno</v>
      </c>
      <c r="K1396" t="str">
        <f t="shared" si="45"/>
        <v>Terreno</v>
      </c>
    </row>
    <row r="1397" spans="1:11" x14ac:dyDescent="0.25">
      <c r="A1397" s="56">
        <v>26</v>
      </c>
      <c r="B1397" s="57" t="s">
        <v>2198</v>
      </c>
      <c r="C1397" s="57" t="s">
        <v>1660</v>
      </c>
      <c r="D1397" s="57" t="s">
        <v>65</v>
      </c>
      <c r="E1397" s="57" t="s">
        <v>65</v>
      </c>
      <c r="F1397" s="57" t="s">
        <v>2198</v>
      </c>
      <c r="G1397" s="57" t="s">
        <v>1663</v>
      </c>
      <c r="H1397" s="56" t="s">
        <v>1672</v>
      </c>
      <c r="I1397" s="57" t="s">
        <v>1664</v>
      </c>
      <c r="J1397" t="str">
        <f t="shared" si="44"/>
        <v>26 - La Tirana</v>
      </c>
      <c r="K1397" t="str">
        <f t="shared" si="45"/>
        <v>Obra</v>
      </c>
    </row>
    <row r="1398" spans="1:11" x14ac:dyDescent="0.25">
      <c r="A1398" s="56">
        <v>9026</v>
      </c>
      <c r="B1398" s="57" t="s">
        <v>575</v>
      </c>
      <c r="C1398" s="57" t="s">
        <v>1660</v>
      </c>
      <c r="D1398" s="57" t="s">
        <v>66</v>
      </c>
      <c r="E1398" s="57" t="s">
        <v>328</v>
      </c>
      <c r="F1398" s="57" t="s">
        <v>2198</v>
      </c>
      <c r="G1398" s="57" t="s">
        <v>1661</v>
      </c>
      <c r="H1398" s="56" t="s">
        <v>386</v>
      </c>
      <c r="I1398" s="57" t="s">
        <v>1666</v>
      </c>
      <c r="J1398" t="str">
        <f t="shared" si="44"/>
        <v>9026 - PV La Tirana</v>
      </c>
      <c r="K1398" t="str">
        <f t="shared" si="45"/>
        <v>Postventa</v>
      </c>
    </row>
    <row r="1399" spans="1:11" x14ac:dyDescent="0.25">
      <c r="A1399" s="68">
        <v>1150202</v>
      </c>
      <c r="B1399" s="69" t="s">
        <v>771</v>
      </c>
      <c r="C1399" s="69" t="s">
        <v>1660</v>
      </c>
      <c r="D1399" s="69" t="s">
        <v>1578</v>
      </c>
      <c r="E1399" s="69" t="s">
        <v>1578</v>
      </c>
      <c r="F1399" s="69" t="s">
        <v>504</v>
      </c>
      <c r="G1399" s="69" t="s">
        <v>1661</v>
      </c>
      <c r="H1399" s="68" t="s">
        <v>386</v>
      </c>
      <c r="I1399" s="69" t="s">
        <v>1662</v>
      </c>
      <c r="J1399" t="str">
        <f t="shared" si="44"/>
        <v>1150202 - Terreno Labbé 1172 - Inversiones</v>
      </c>
      <c r="K1399" t="str">
        <f t="shared" si="45"/>
        <v>Terreno</v>
      </c>
    </row>
    <row r="1400" spans="1:11" x14ac:dyDescent="0.25">
      <c r="A1400" s="68">
        <v>502</v>
      </c>
      <c r="B1400" s="69" t="s">
        <v>504</v>
      </c>
      <c r="C1400" s="69" t="s">
        <v>1660</v>
      </c>
      <c r="D1400" s="69" t="s">
        <v>65</v>
      </c>
      <c r="E1400" s="69" t="s">
        <v>65</v>
      </c>
      <c r="F1400" s="69" t="s">
        <v>504</v>
      </c>
      <c r="G1400" s="69" t="s">
        <v>1663</v>
      </c>
      <c r="H1400" s="68" t="s">
        <v>386</v>
      </c>
      <c r="I1400" s="69" t="s">
        <v>1664</v>
      </c>
      <c r="J1400" t="str">
        <f t="shared" si="44"/>
        <v>502 - Labbé 1172</v>
      </c>
      <c r="K1400" t="str">
        <f t="shared" si="45"/>
        <v>Obra</v>
      </c>
    </row>
    <row r="1401" spans="1:11" x14ac:dyDescent="0.25">
      <c r="A1401" s="68">
        <v>10502000</v>
      </c>
      <c r="B1401" s="69" t="s">
        <v>504</v>
      </c>
      <c r="C1401" s="69" t="s">
        <v>1660</v>
      </c>
      <c r="D1401" s="69" t="s">
        <v>1665</v>
      </c>
      <c r="E1401" s="69" t="s">
        <v>1585</v>
      </c>
      <c r="F1401" s="69" t="s">
        <v>504</v>
      </c>
      <c r="G1401" s="69" t="s">
        <v>1661</v>
      </c>
      <c r="H1401" s="68" t="s">
        <v>386</v>
      </c>
      <c r="I1401" s="69" t="s">
        <v>1666</v>
      </c>
      <c r="J1401" t="str">
        <f t="shared" si="44"/>
        <v>10502000 - Labbé 1172</v>
      </c>
      <c r="K1401" t="str">
        <f t="shared" si="45"/>
        <v>Proyectos Inmobiliarios</v>
      </c>
    </row>
    <row r="1402" spans="1:11" x14ac:dyDescent="0.25">
      <c r="A1402" s="68">
        <v>10502102</v>
      </c>
      <c r="B1402" s="69" t="s">
        <v>1468</v>
      </c>
      <c r="C1402" s="69" t="s">
        <v>1660</v>
      </c>
      <c r="D1402" s="69" t="s">
        <v>1665</v>
      </c>
      <c r="E1402" s="69" t="s">
        <v>1617</v>
      </c>
      <c r="F1402" s="69" t="s">
        <v>504</v>
      </c>
      <c r="G1402" s="69" t="s">
        <v>1661</v>
      </c>
      <c r="H1402" s="68" t="s">
        <v>386</v>
      </c>
      <c r="I1402" s="69" t="s">
        <v>1666</v>
      </c>
      <c r="J1402" t="str">
        <f t="shared" si="44"/>
        <v>10502102 - Labbé 1172-Marketing</v>
      </c>
      <c r="K1402" t="str">
        <f t="shared" si="45"/>
        <v>Proyectos Inmobiliarios</v>
      </c>
    </row>
    <row r="1403" spans="1:11" x14ac:dyDescent="0.25">
      <c r="A1403" s="68">
        <v>10502103</v>
      </c>
      <c r="B1403" s="69" t="s">
        <v>1469</v>
      </c>
      <c r="C1403" s="69" t="s">
        <v>1660</v>
      </c>
      <c r="D1403" s="69" t="s">
        <v>1665</v>
      </c>
      <c r="E1403" s="69" t="s">
        <v>1618</v>
      </c>
      <c r="F1403" s="69" t="s">
        <v>504</v>
      </c>
      <c r="G1403" s="69" t="s">
        <v>1661</v>
      </c>
      <c r="H1403" s="68" t="s">
        <v>386</v>
      </c>
      <c r="I1403" s="69" t="s">
        <v>1666</v>
      </c>
      <c r="J1403" t="str">
        <f t="shared" si="44"/>
        <v>10502103 - Labbé 1172-Operaciones</v>
      </c>
      <c r="K1403" t="str">
        <f t="shared" si="45"/>
        <v>Proyectos Inmobiliarios</v>
      </c>
    </row>
    <row r="1404" spans="1:11" x14ac:dyDescent="0.25">
      <c r="A1404" s="68">
        <v>10502104</v>
      </c>
      <c r="B1404" s="69" t="s">
        <v>1470</v>
      </c>
      <c r="C1404" s="69" t="s">
        <v>1660</v>
      </c>
      <c r="D1404" s="69" t="s">
        <v>1665</v>
      </c>
      <c r="E1404" s="69" t="s">
        <v>90</v>
      </c>
      <c r="F1404" s="69" t="s">
        <v>504</v>
      </c>
      <c r="G1404" s="69" t="s">
        <v>1661</v>
      </c>
      <c r="H1404" s="68" t="s">
        <v>386</v>
      </c>
      <c r="I1404" s="69" t="s">
        <v>1666</v>
      </c>
      <c r="J1404" t="str">
        <f t="shared" si="44"/>
        <v>10502104 - Labbé 1172-Ventas</v>
      </c>
      <c r="K1404" t="str">
        <f t="shared" si="45"/>
        <v>Proyectos Inmobiliarios</v>
      </c>
    </row>
    <row r="1405" spans="1:11" x14ac:dyDescent="0.25">
      <c r="A1405" s="68">
        <v>10502105</v>
      </c>
      <c r="B1405" s="69" t="s">
        <v>1471</v>
      </c>
      <c r="C1405" s="69" t="s">
        <v>1660</v>
      </c>
      <c r="D1405" s="69" t="s">
        <v>1665</v>
      </c>
      <c r="E1405" s="69" t="s">
        <v>1622</v>
      </c>
      <c r="F1405" s="69" t="s">
        <v>504</v>
      </c>
      <c r="G1405" s="69" t="s">
        <v>1661</v>
      </c>
      <c r="H1405" s="68" t="s">
        <v>386</v>
      </c>
      <c r="I1405" s="69" t="s">
        <v>1666</v>
      </c>
      <c r="J1405" t="str">
        <f t="shared" si="44"/>
        <v>10502105 - Labbé 1172-Clientes</v>
      </c>
      <c r="K1405" t="str">
        <f t="shared" si="45"/>
        <v>Proyectos Inmobiliarios</v>
      </c>
    </row>
    <row r="1406" spans="1:11" x14ac:dyDescent="0.25">
      <c r="A1406" s="68">
        <v>10502204</v>
      </c>
      <c r="B1406" s="69" t="s">
        <v>1472</v>
      </c>
      <c r="C1406" s="69" t="s">
        <v>1660</v>
      </c>
      <c r="D1406" s="69" t="s">
        <v>1665</v>
      </c>
      <c r="E1406" s="69" t="s">
        <v>1624</v>
      </c>
      <c r="F1406" s="69" t="s">
        <v>504</v>
      </c>
      <c r="G1406" s="69" t="s">
        <v>1661</v>
      </c>
      <c r="H1406" s="68" t="s">
        <v>386</v>
      </c>
      <c r="I1406" s="69" t="s">
        <v>1666</v>
      </c>
      <c r="J1406" t="str">
        <f t="shared" si="44"/>
        <v>10502204 - Labbé 1172-Proyecto</v>
      </c>
      <c r="K1406" t="str">
        <f t="shared" si="45"/>
        <v>Proyectos Inmobiliarios</v>
      </c>
    </row>
    <row r="1407" spans="1:11" x14ac:dyDescent="0.25">
      <c r="A1407" s="68">
        <v>10502301</v>
      </c>
      <c r="B1407" s="69" t="s">
        <v>1473</v>
      </c>
      <c r="C1407" s="69" t="s">
        <v>1660</v>
      </c>
      <c r="D1407" s="69" t="s">
        <v>1665</v>
      </c>
      <c r="E1407" s="69" t="s">
        <v>1643</v>
      </c>
      <c r="F1407" s="69" t="s">
        <v>504</v>
      </c>
      <c r="G1407" s="69" t="s">
        <v>1667</v>
      </c>
      <c r="H1407" s="68" t="s">
        <v>386</v>
      </c>
      <c r="I1407" s="69" t="s">
        <v>1666</v>
      </c>
      <c r="J1407" t="str">
        <f t="shared" si="44"/>
        <v>10502301 - Labbé 1172-GAF</v>
      </c>
      <c r="K1407" t="str">
        <f t="shared" si="45"/>
        <v>Proyectos Inmobiliarios</v>
      </c>
    </row>
    <row r="1408" spans="1:11" x14ac:dyDescent="0.25">
      <c r="A1408" s="68">
        <v>10502505</v>
      </c>
      <c r="B1408" s="69" t="s">
        <v>1474</v>
      </c>
      <c r="C1408" s="69" t="s">
        <v>1660</v>
      </c>
      <c r="D1408" s="69" t="s">
        <v>66</v>
      </c>
      <c r="E1408" s="69" t="s">
        <v>328</v>
      </c>
      <c r="F1408" s="69" t="s">
        <v>504</v>
      </c>
      <c r="G1408" s="69" t="s">
        <v>1661</v>
      </c>
      <c r="H1408" s="68" t="s">
        <v>386</v>
      </c>
      <c r="I1408" s="69" t="s">
        <v>1666</v>
      </c>
      <c r="J1408" t="str">
        <f t="shared" si="44"/>
        <v>10502505 - Labbé 1172-PV Inmob.</v>
      </c>
      <c r="K1408" t="str">
        <f t="shared" si="45"/>
        <v>Postventa</v>
      </c>
    </row>
    <row r="1409" spans="1:11" x14ac:dyDescent="0.25">
      <c r="A1409" s="68">
        <v>10502506</v>
      </c>
      <c r="B1409" s="69" t="s">
        <v>1475</v>
      </c>
      <c r="C1409" s="69" t="s">
        <v>1660</v>
      </c>
      <c r="D1409" s="69" t="s">
        <v>1665</v>
      </c>
      <c r="E1409" s="69" t="s">
        <v>200</v>
      </c>
      <c r="F1409" s="69" t="s">
        <v>504</v>
      </c>
      <c r="G1409" s="69" t="s">
        <v>1661</v>
      </c>
      <c r="H1409" s="68" t="s">
        <v>386</v>
      </c>
      <c r="I1409" s="69" t="s">
        <v>1666</v>
      </c>
      <c r="J1409" t="str">
        <f t="shared" si="44"/>
        <v>10502506 - Labbé 1172-Depto.Técnico</v>
      </c>
      <c r="K1409" t="str">
        <f t="shared" si="45"/>
        <v>Proyectos Inmobiliarios</v>
      </c>
    </row>
    <row r="1410" spans="1:11" x14ac:dyDescent="0.25">
      <c r="A1410" s="68">
        <v>8502</v>
      </c>
      <c r="B1410" s="69" t="s">
        <v>2199</v>
      </c>
      <c r="C1410" s="69" t="s">
        <v>1660</v>
      </c>
      <c r="D1410" s="69" t="s">
        <v>1686</v>
      </c>
      <c r="E1410" s="69" t="s">
        <v>1501</v>
      </c>
      <c r="F1410" s="69" t="s">
        <v>504</v>
      </c>
      <c r="G1410" s="69" t="s">
        <v>1661</v>
      </c>
      <c r="H1410" s="68" t="s">
        <v>1672</v>
      </c>
      <c r="I1410" s="69" t="s">
        <v>1666</v>
      </c>
      <c r="J1410" t="str">
        <f t="shared" si="44"/>
        <v>8502 - Entrega Labbé 1172</v>
      </c>
      <c r="K1410" t="str">
        <f t="shared" si="45"/>
        <v>Entrega</v>
      </c>
    </row>
    <row r="1411" spans="1:11" x14ac:dyDescent="0.25">
      <c r="A1411" s="68">
        <v>9502</v>
      </c>
      <c r="B1411" s="69" t="s">
        <v>2200</v>
      </c>
      <c r="C1411" s="69" t="s">
        <v>1660</v>
      </c>
      <c r="D1411" s="69" t="s">
        <v>66</v>
      </c>
      <c r="E1411" s="69" t="s">
        <v>328</v>
      </c>
      <c r="F1411" s="69" t="s">
        <v>504</v>
      </c>
      <c r="G1411" s="69" t="s">
        <v>1661</v>
      </c>
      <c r="H1411" s="68" t="s">
        <v>1672</v>
      </c>
      <c r="I1411" s="69" t="s">
        <v>1666</v>
      </c>
      <c r="J1411" t="str">
        <f t="shared" si="44"/>
        <v>9502 - PV Labbé 1172</v>
      </c>
      <c r="K1411" t="str">
        <f t="shared" si="45"/>
        <v>Postventa</v>
      </c>
    </row>
    <row r="1412" spans="1:11" x14ac:dyDescent="0.25">
      <c r="A1412" s="56">
        <v>999999999</v>
      </c>
      <c r="B1412" s="57" t="s">
        <v>1684</v>
      </c>
      <c r="C1412" s="57"/>
      <c r="D1412" s="57" t="s">
        <v>1578</v>
      </c>
      <c r="E1412" s="57" t="s">
        <v>1578</v>
      </c>
      <c r="F1412" s="57" t="s">
        <v>2201</v>
      </c>
      <c r="G1412" s="57" t="s">
        <v>1661</v>
      </c>
      <c r="H1412" s="56" t="s">
        <v>1672</v>
      </c>
      <c r="I1412" s="57" t="s">
        <v>1662</v>
      </c>
      <c r="J1412" t="str">
        <f t="shared" si="44"/>
        <v>999999999 - Terreno Abuelo Proyectos sin Terreno</v>
      </c>
      <c r="K1412" t="str">
        <f t="shared" si="45"/>
        <v>Terreno</v>
      </c>
    </row>
    <row r="1413" spans="1:11" x14ac:dyDescent="0.25">
      <c r="A1413" s="56">
        <v>57</v>
      </c>
      <c r="B1413" s="57" t="s">
        <v>2201</v>
      </c>
      <c r="C1413" s="57" t="s">
        <v>1660</v>
      </c>
      <c r="D1413" s="57" t="s">
        <v>65</v>
      </c>
      <c r="E1413" s="57" t="s">
        <v>65</v>
      </c>
      <c r="F1413" s="57" t="s">
        <v>2201</v>
      </c>
      <c r="G1413" s="57" t="s">
        <v>1663</v>
      </c>
      <c r="H1413" s="56" t="s">
        <v>1672</v>
      </c>
      <c r="I1413" s="57" t="s">
        <v>1664</v>
      </c>
      <c r="J1413" t="str">
        <f t="shared" ref="J1413:J1476" si="46">+A1413&amp;" - "&amp;B1413</f>
        <v>57 - Liceo Bicentenario Santa Maria</v>
      </c>
      <c r="K1413" t="str">
        <f t="shared" ref="K1413:K1476" si="47">+D1413</f>
        <v>Obra</v>
      </c>
    </row>
    <row r="1414" spans="1:11" x14ac:dyDescent="0.25">
      <c r="A1414" s="56">
        <v>9057</v>
      </c>
      <c r="B1414" s="57" t="s">
        <v>600</v>
      </c>
      <c r="C1414" s="57" t="s">
        <v>1660</v>
      </c>
      <c r="D1414" s="57" t="s">
        <v>66</v>
      </c>
      <c r="E1414" s="57" t="s">
        <v>328</v>
      </c>
      <c r="F1414" s="57" t="s">
        <v>2201</v>
      </c>
      <c r="G1414" s="57" t="s">
        <v>1661</v>
      </c>
      <c r="H1414" s="56" t="s">
        <v>386</v>
      </c>
      <c r="I1414" s="57" t="s">
        <v>1666</v>
      </c>
      <c r="J1414" t="str">
        <f t="shared" si="46"/>
        <v>9057 - PV Liceo Bicentenario Santa Maria</v>
      </c>
      <c r="K1414" t="str">
        <f t="shared" si="47"/>
        <v>Postventa</v>
      </c>
    </row>
    <row r="1415" spans="1:11" x14ac:dyDescent="0.25">
      <c r="A1415" s="50">
        <v>999999999</v>
      </c>
      <c r="B1415" s="51" t="s">
        <v>1684</v>
      </c>
      <c r="C1415" s="51"/>
      <c r="D1415" s="51" t="s">
        <v>1578</v>
      </c>
      <c r="E1415" s="51" t="s">
        <v>1578</v>
      </c>
      <c r="F1415" s="51" t="s">
        <v>2202</v>
      </c>
      <c r="G1415" s="51" t="s">
        <v>1661</v>
      </c>
      <c r="H1415" s="50" t="s">
        <v>1672</v>
      </c>
      <c r="I1415" s="51" t="s">
        <v>1662</v>
      </c>
      <c r="J1415" t="str">
        <f t="shared" si="46"/>
        <v>999999999 - Terreno Abuelo Proyectos sin Terreno</v>
      </c>
      <c r="K1415" t="str">
        <f t="shared" si="47"/>
        <v>Terreno</v>
      </c>
    </row>
    <row r="1416" spans="1:11" x14ac:dyDescent="0.25">
      <c r="A1416" s="50">
        <v>27</v>
      </c>
      <c r="B1416" s="51" t="s">
        <v>2202</v>
      </c>
      <c r="C1416" s="51" t="s">
        <v>1836</v>
      </c>
      <c r="D1416" s="51" t="s">
        <v>65</v>
      </c>
      <c r="E1416" s="51" t="s">
        <v>65</v>
      </c>
      <c r="F1416" s="51" t="s">
        <v>2202</v>
      </c>
      <c r="G1416" s="51" t="s">
        <v>1663</v>
      </c>
      <c r="H1416" s="50" t="s">
        <v>1672</v>
      </c>
      <c r="I1416" s="51" t="s">
        <v>1664</v>
      </c>
      <c r="J1416" t="str">
        <f t="shared" si="46"/>
        <v>27 - Liceo Eulogio Gordo</v>
      </c>
      <c r="K1416" t="str">
        <f t="shared" si="47"/>
        <v>Obra</v>
      </c>
    </row>
    <row r="1417" spans="1:11" x14ac:dyDescent="0.25">
      <c r="A1417" s="50">
        <v>9027</v>
      </c>
      <c r="B1417" s="51" t="s">
        <v>576</v>
      </c>
      <c r="C1417" s="51" t="s">
        <v>1836</v>
      </c>
      <c r="D1417" s="51" t="s">
        <v>66</v>
      </c>
      <c r="E1417" s="51" t="s">
        <v>328</v>
      </c>
      <c r="F1417" s="51" t="s">
        <v>2202</v>
      </c>
      <c r="G1417" s="51" t="s">
        <v>1661</v>
      </c>
      <c r="H1417" s="50" t="s">
        <v>386</v>
      </c>
      <c r="I1417" s="51" t="s">
        <v>1666</v>
      </c>
      <c r="J1417" t="str">
        <f t="shared" si="46"/>
        <v>9027 - PV Liceo Eulogio Gordo</v>
      </c>
      <c r="K1417" t="str">
        <f t="shared" si="47"/>
        <v>Postventa</v>
      </c>
    </row>
    <row r="1418" spans="1:11" x14ac:dyDescent="0.25">
      <c r="A1418" s="99">
        <v>1029202</v>
      </c>
      <c r="B1418" s="100" t="s">
        <v>2203</v>
      </c>
      <c r="C1418" s="100" t="s">
        <v>1670</v>
      </c>
      <c r="D1418" s="100" t="s">
        <v>1578</v>
      </c>
      <c r="E1418" s="100" t="s">
        <v>1578</v>
      </c>
      <c r="F1418" s="100" t="s">
        <v>2204</v>
      </c>
      <c r="G1418" s="100" t="s">
        <v>1661</v>
      </c>
      <c r="H1418" s="99" t="s">
        <v>1672</v>
      </c>
      <c r="I1418" s="100" t="s">
        <v>1662</v>
      </c>
      <c r="J1418" t="str">
        <f t="shared" si="46"/>
        <v>1029202 - Terreno Los Leones-Desarrollo</v>
      </c>
      <c r="K1418" t="str">
        <f t="shared" si="47"/>
        <v>Terreno</v>
      </c>
    </row>
    <row r="1419" spans="1:11" x14ac:dyDescent="0.25">
      <c r="A1419" s="99">
        <v>5</v>
      </c>
      <c r="B1419" s="100" t="s">
        <v>2205</v>
      </c>
      <c r="C1419" s="100" t="s">
        <v>1670</v>
      </c>
      <c r="D1419" s="100" t="s">
        <v>65</v>
      </c>
      <c r="E1419" s="100" t="s">
        <v>65</v>
      </c>
      <c r="F1419" s="100" t="s">
        <v>2204</v>
      </c>
      <c r="G1419" s="100" t="s">
        <v>1663</v>
      </c>
      <c r="H1419" s="99" t="s">
        <v>1672</v>
      </c>
      <c r="I1419" s="100" t="s">
        <v>1664</v>
      </c>
      <c r="J1419" t="str">
        <f t="shared" si="46"/>
        <v>5 - Edificio Los Leones</v>
      </c>
      <c r="K1419" t="str">
        <f t="shared" si="47"/>
        <v>Obra</v>
      </c>
    </row>
    <row r="1420" spans="1:11" x14ac:dyDescent="0.25">
      <c r="A1420" s="99">
        <v>116</v>
      </c>
      <c r="B1420" s="100" t="s">
        <v>2204</v>
      </c>
      <c r="C1420" s="100" t="s">
        <v>1670</v>
      </c>
      <c r="D1420" s="100" t="s">
        <v>65</v>
      </c>
      <c r="E1420" s="100" t="s">
        <v>65</v>
      </c>
      <c r="F1420" s="100" t="s">
        <v>2204</v>
      </c>
      <c r="G1420" s="100" t="s">
        <v>1663</v>
      </c>
      <c r="H1420" s="99" t="s">
        <v>1672</v>
      </c>
      <c r="I1420" s="100" t="s">
        <v>1664</v>
      </c>
      <c r="J1420" t="str">
        <f t="shared" si="46"/>
        <v>116 - Los Leones</v>
      </c>
      <c r="K1420" t="str">
        <f t="shared" si="47"/>
        <v>Obra</v>
      </c>
    </row>
    <row r="1421" spans="1:11" x14ac:dyDescent="0.25">
      <c r="A1421" s="99">
        <v>9005</v>
      </c>
      <c r="B1421" s="100" t="s">
        <v>2206</v>
      </c>
      <c r="C1421" s="100" t="s">
        <v>1670</v>
      </c>
      <c r="D1421" s="100" t="s">
        <v>66</v>
      </c>
      <c r="E1421" s="100" t="s">
        <v>328</v>
      </c>
      <c r="F1421" s="100" t="s">
        <v>2204</v>
      </c>
      <c r="G1421" s="100" t="s">
        <v>1661</v>
      </c>
      <c r="H1421" s="99" t="s">
        <v>1672</v>
      </c>
      <c r="I1421" s="100" t="s">
        <v>1666</v>
      </c>
      <c r="J1421" t="str">
        <f t="shared" si="46"/>
        <v>9005 - PV Edificio Los Leones</v>
      </c>
      <c r="K1421" t="str">
        <f t="shared" si="47"/>
        <v>Postventa</v>
      </c>
    </row>
    <row r="1422" spans="1:11" x14ac:dyDescent="0.25">
      <c r="A1422" s="99">
        <v>9116</v>
      </c>
      <c r="B1422" s="100" t="s">
        <v>603</v>
      </c>
      <c r="C1422" s="100" t="s">
        <v>1670</v>
      </c>
      <c r="D1422" s="100" t="s">
        <v>66</v>
      </c>
      <c r="E1422" s="100" t="s">
        <v>328</v>
      </c>
      <c r="F1422" s="100" t="s">
        <v>2204</v>
      </c>
      <c r="G1422" s="100" t="s">
        <v>1661</v>
      </c>
      <c r="H1422" s="99" t="s">
        <v>386</v>
      </c>
      <c r="I1422" s="100" t="s">
        <v>1666</v>
      </c>
      <c r="J1422" t="str">
        <f t="shared" si="46"/>
        <v>9116 - PV Los Leones</v>
      </c>
      <c r="K1422" t="str">
        <f t="shared" si="47"/>
        <v>Postventa</v>
      </c>
    </row>
    <row r="1423" spans="1:11" x14ac:dyDescent="0.25">
      <c r="A1423" s="99">
        <v>10116000</v>
      </c>
      <c r="B1423" s="100" t="s">
        <v>2204</v>
      </c>
      <c r="C1423" s="100" t="s">
        <v>1670</v>
      </c>
      <c r="D1423" s="100" t="s">
        <v>1665</v>
      </c>
      <c r="E1423" s="100" t="s">
        <v>1585</v>
      </c>
      <c r="F1423" s="100" t="s">
        <v>2204</v>
      </c>
      <c r="G1423" s="100" t="s">
        <v>1661</v>
      </c>
      <c r="H1423" s="99" t="s">
        <v>1672</v>
      </c>
      <c r="I1423" s="100" t="s">
        <v>1666</v>
      </c>
      <c r="J1423" t="str">
        <f t="shared" si="46"/>
        <v>10116000 - Los Leones</v>
      </c>
      <c r="K1423" t="str">
        <f t="shared" si="47"/>
        <v>Proyectos Inmobiliarios</v>
      </c>
    </row>
    <row r="1424" spans="1:11" x14ac:dyDescent="0.25">
      <c r="A1424" s="99">
        <v>10116102</v>
      </c>
      <c r="B1424" s="100" t="s">
        <v>2207</v>
      </c>
      <c r="C1424" s="100" t="s">
        <v>1670</v>
      </c>
      <c r="D1424" s="100" t="s">
        <v>1665</v>
      </c>
      <c r="E1424" s="100" t="s">
        <v>1617</v>
      </c>
      <c r="F1424" s="100" t="s">
        <v>2204</v>
      </c>
      <c r="G1424" s="100" t="s">
        <v>1661</v>
      </c>
      <c r="H1424" s="99" t="s">
        <v>1672</v>
      </c>
      <c r="I1424" s="100" t="s">
        <v>1666</v>
      </c>
      <c r="J1424" t="str">
        <f t="shared" si="46"/>
        <v>10116102 - Los Leones-Marketing</v>
      </c>
      <c r="K1424" t="str">
        <f t="shared" si="47"/>
        <v>Proyectos Inmobiliarios</v>
      </c>
    </row>
    <row r="1425" spans="1:11" x14ac:dyDescent="0.25">
      <c r="A1425" s="99">
        <v>10116103</v>
      </c>
      <c r="B1425" s="100" t="s">
        <v>2208</v>
      </c>
      <c r="C1425" s="100" t="s">
        <v>1670</v>
      </c>
      <c r="D1425" s="100" t="s">
        <v>1665</v>
      </c>
      <c r="E1425" s="100" t="s">
        <v>1618</v>
      </c>
      <c r="F1425" s="100" t="s">
        <v>2204</v>
      </c>
      <c r="G1425" s="100" t="s">
        <v>1661</v>
      </c>
      <c r="H1425" s="99" t="s">
        <v>1672</v>
      </c>
      <c r="I1425" s="100" t="s">
        <v>1666</v>
      </c>
      <c r="J1425" t="str">
        <f t="shared" si="46"/>
        <v>10116103 - Los Leones-Operaciones</v>
      </c>
      <c r="K1425" t="str">
        <f t="shared" si="47"/>
        <v>Proyectos Inmobiliarios</v>
      </c>
    </row>
    <row r="1426" spans="1:11" x14ac:dyDescent="0.25">
      <c r="A1426" s="99">
        <v>10116104</v>
      </c>
      <c r="B1426" s="100" t="s">
        <v>2209</v>
      </c>
      <c r="C1426" s="100" t="s">
        <v>1670</v>
      </c>
      <c r="D1426" s="100" t="s">
        <v>1665</v>
      </c>
      <c r="E1426" s="100" t="s">
        <v>90</v>
      </c>
      <c r="F1426" s="100" t="s">
        <v>2204</v>
      </c>
      <c r="G1426" s="100" t="s">
        <v>1661</v>
      </c>
      <c r="H1426" s="99" t="s">
        <v>1672</v>
      </c>
      <c r="I1426" s="100" t="s">
        <v>1666</v>
      </c>
      <c r="J1426" t="str">
        <f t="shared" si="46"/>
        <v>10116104 - Los Leones-Ventas</v>
      </c>
      <c r="K1426" t="str">
        <f t="shared" si="47"/>
        <v>Proyectos Inmobiliarios</v>
      </c>
    </row>
    <row r="1427" spans="1:11" x14ac:dyDescent="0.25">
      <c r="A1427" s="99">
        <v>10116105</v>
      </c>
      <c r="B1427" s="100" t="s">
        <v>2210</v>
      </c>
      <c r="C1427" s="100" t="s">
        <v>1670</v>
      </c>
      <c r="D1427" s="100" t="s">
        <v>1665</v>
      </c>
      <c r="E1427" s="100" t="s">
        <v>1622</v>
      </c>
      <c r="F1427" s="100" t="s">
        <v>2204</v>
      </c>
      <c r="G1427" s="100" t="s">
        <v>1661</v>
      </c>
      <c r="H1427" s="99" t="s">
        <v>1672</v>
      </c>
      <c r="I1427" s="100" t="s">
        <v>1666</v>
      </c>
      <c r="J1427" t="str">
        <f t="shared" si="46"/>
        <v>10116105 - Los Leones-Clientes</v>
      </c>
      <c r="K1427" t="str">
        <f t="shared" si="47"/>
        <v>Proyectos Inmobiliarios</v>
      </c>
    </row>
    <row r="1428" spans="1:11" x14ac:dyDescent="0.25">
      <c r="A1428" s="99">
        <v>10116204</v>
      </c>
      <c r="B1428" s="100" t="s">
        <v>2211</v>
      </c>
      <c r="C1428" s="100" t="s">
        <v>1670</v>
      </c>
      <c r="D1428" s="100" t="s">
        <v>1665</v>
      </c>
      <c r="E1428" s="100" t="s">
        <v>1624</v>
      </c>
      <c r="F1428" s="100" t="s">
        <v>2204</v>
      </c>
      <c r="G1428" s="100" t="s">
        <v>1661</v>
      </c>
      <c r="H1428" s="99" t="s">
        <v>1672</v>
      </c>
      <c r="I1428" s="100" t="s">
        <v>1666</v>
      </c>
      <c r="J1428" t="str">
        <f t="shared" si="46"/>
        <v>10116204 - Los Leones-Proyecto</v>
      </c>
      <c r="K1428" t="str">
        <f t="shared" si="47"/>
        <v>Proyectos Inmobiliarios</v>
      </c>
    </row>
    <row r="1429" spans="1:11" x14ac:dyDescent="0.25">
      <c r="A1429" s="99">
        <v>10116301</v>
      </c>
      <c r="B1429" s="100" t="s">
        <v>2212</v>
      </c>
      <c r="C1429" s="100" t="s">
        <v>1670</v>
      </c>
      <c r="D1429" s="100" t="s">
        <v>1665</v>
      </c>
      <c r="E1429" s="100" t="s">
        <v>1643</v>
      </c>
      <c r="F1429" s="100" t="s">
        <v>2204</v>
      </c>
      <c r="G1429" s="100" t="s">
        <v>1667</v>
      </c>
      <c r="H1429" s="99" t="s">
        <v>1672</v>
      </c>
      <c r="I1429" s="100" t="s">
        <v>1666</v>
      </c>
      <c r="J1429" t="str">
        <f t="shared" si="46"/>
        <v>10116301 - Los Leones-GAF</v>
      </c>
      <c r="K1429" t="str">
        <f t="shared" si="47"/>
        <v>Proyectos Inmobiliarios</v>
      </c>
    </row>
    <row r="1430" spans="1:11" x14ac:dyDescent="0.25">
      <c r="A1430" s="99">
        <v>10116505</v>
      </c>
      <c r="B1430" s="100" t="s">
        <v>2213</v>
      </c>
      <c r="C1430" s="100" t="s">
        <v>1670</v>
      </c>
      <c r="D1430" s="100" t="s">
        <v>66</v>
      </c>
      <c r="E1430" s="100" t="s">
        <v>328</v>
      </c>
      <c r="F1430" s="100" t="s">
        <v>2204</v>
      </c>
      <c r="G1430" s="100" t="s">
        <v>1661</v>
      </c>
      <c r="H1430" s="99" t="s">
        <v>1672</v>
      </c>
      <c r="I1430" s="100" t="s">
        <v>1666</v>
      </c>
      <c r="J1430" t="str">
        <f t="shared" si="46"/>
        <v>10116505 - Los Leones-PV Inmob.</v>
      </c>
      <c r="K1430" t="str">
        <f t="shared" si="47"/>
        <v>Postventa</v>
      </c>
    </row>
    <row r="1431" spans="1:11" x14ac:dyDescent="0.25">
      <c r="A1431" s="99">
        <v>10116506</v>
      </c>
      <c r="B1431" s="100" t="s">
        <v>2214</v>
      </c>
      <c r="C1431" s="100" t="s">
        <v>1670</v>
      </c>
      <c r="D1431" s="100" t="s">
        <v>1665</v>
      </c>
      <c r="E1431" s="100" t="s">
        <v>200</v>
      </c>
      <c r="F1431" s="100" t="s">
        <v>2204</v>
      </c>
      <c r="G1431" s="100" t="s">
        <v>1661</v>
      </c>
      <c r="H1431" s="99" t="s">
        <v>1672</v>
      </c>
      <c r="I1431" s="100" t="s">
        <v>1666</v>
      </c>
      <c r="J1431" t="str">
        <f t="shared" si="46"/>
        <v>10116506 - Los Leones-Depto.Técnico</v>
      </c>
      <c r="K1431" t="str">
        <f t="shared" si="47"/>
        <v>Proyectos Inmobiliarios</v>
      </c>
    </row>
    <row r="1432" spans="1:11" x14ac:dyDescent="0.25">
      <c r="A1432" s="50">
        <v>999999999</v>
      </c>
      <c r="B1432" s="51" t="s">
        <v>1684</v>
      </c>
      <c r="C1432" s="51"/>
      <c r="D1432" s="51" t="s">
        <v>1578</v>
      </c>
      <c r="E1432" s="51" t="s">
        <v>1578</v>
      </c>
      <c r="F1432" s="51" t="s">
        <v>2215</v>
      </c>
      <c r="G1432" s="51" t="s">
        <v>1661</v>
      </c>
      <c r="H1432" s="50" t="s">
        <v>1672</v>
      </c>
      <c r="I1432" s="51" t="s">
        <v>1662</v>
      </c>
      <c r="J1432" t="str">
        <f t="shared" si="46"/>
        <v>999999999 - Terreno Abuelo Proyectos sin Terreno</v>
      </c>
      <c r="K1432" t="str">
        <f t="shared" si="47"/>
        <v>Terreno</v>
      </c>
    </row>
    <row r="1433" spans="1:11" x14ac:dyDescent="0.25">
      <c r="A1433" s="50">
        <v>203</v>
      </c>
      <c r="B1433" s="51" t="s">
        <v>2215</v>
      </c>
      <c r="C1433" s="51" t="s">
        <v>1685</v>
      </c>
      <c r="D1433" s="51" t="s">
        <v>65</v>
      </c>
      <c r="E1433" s="51" t="s">
        <v>65</v>
      </c>
      <c r="F1433" s="51" t="s">
        <v>2215</v>
      </c>
      <c r="G1433" s="51" t="s">
        <v>1663</v>
      </c>
      <c r="H1433" s="50" t="s">
        <v>1672</v>
      </c>
      <c r="I1433" s="51" t="s">
        <v>1664</v>
      </c>
      <c r="J1433" t="str">
        <f t="shared" si="46"/>
        <v>203 - Los Mirlos</v>
      </c>
      <c r="K1433" t="str">
        <f t="shared" si="47"/>
        <v>Obra</v>
      </c>
    </row>
    <row r="1434" spans="1:11" x14ac:dyDescent="0.25">
      <c r="A1434" s="48">
        <v>999999999</v>
      </c>
      <c r="B1434" s="49" t="s">
        <v>1684</v>
      </c>
      <c r="C1434" s="49"/>
      <c r="D1434" s="49" t="s">
        <v>1578</v>
      </c>
      <c r="E1434" s="49" t="s">
        <v>1578</v>
      </c>
      <c r="F1434" s="49" t="s">
        <v>2216</v>
      </c>
      <c r="G1434" s="49" t="s">
        <v>1661</v>
      </c>
      <c r="H1434" s="48" t="s">
        <v>1672</v>
      </c>
      <c r="I1434" s="49" t="s">
        <v>1662</v>
      </c>
      <c r="J1434" t="str">
        <f t="shared" si="46"/>
        <v>999999999 - Terreno Abuelo Proyectos sin Terreno</v>
      </c>
      <c r="K1434" t="str">
        <f t="shared" si="47"/>
        <v>Terreno</v>
      </c>
    </row>
    <row r="1435" spans="1:11" x14ac:dyDescent="0.25">
      <c r="A1435" s="48">
        <v>999</v>
      </c>
      <c r="B1435" s="49" t="s">
        <v>1808</v>
      </c>
      <c r="C1435" s="49"/>
      <c r="D1435" s="49" t="s">
        <v>65</v>
      </c>
      <c r="E1435" s="49" t="s">
        <v>65</v>
      </c>
      <c r="F1435" s="49" t="s">
        <v>2216</v>
      </c>
      <c r="G1435" s="49" t="s">
        <v>1663</v>
      </c>
      <c r="H1435" s="48" t="s">
        <v>1672</v>
      </c>
      <c r="I1435" s="49" t="s">
        <v>1664</v>
      </c>
      <c r="J1435" t="str">
        <f t="shared" si="46"/>
        <v>999 - Obra Padre Proyectos sin Obra</v>
      </c>
      <c r="K1435" t="str">
        <f t="shared" si="47"/>
        <v>Obra</v>
      </c>
    </row>
    <row r="1436" spans="1:11" x14ac:dyDescent="0.25">
      <c r="A1436" s="48">
        <v>10169104</v>
      </c>
      <c r="B1436" s="49" t="s">
        <v>2217</v>
      </c>
      <c r="C1436" s="49" t="s">
        <v>1670</v>
      </c>
      <c r="D1436" s="49" t="s">
        <v>1665</v>
      </c>
      <c r="E1436" s="49" t="s">
        <v>90</v>
      </c>
      <c r="F1436" s="49" t="s">
        <v>2216</v>
      </c>
      <c r="G1436" s="49" t="s">
        <v>1661</v>
      </c>
      <c r="H1436" s="48" t="s">
        <v>1672</v>
      </c>
      <c r="I1436" s="49" t="s">
        <v>1666</v>
      </c>
      <c r="J1436" t="str">
        <f t="shared" si="46"/>
        <v>10169104 - Machalí 2-Ventas</v>
      </c>
      <c r="K1436" t="str">
        <f t="shared" si="47"/>
        <v>Proyectos Inmobiliarios</v>
      </c>
    </row>
    <row r="1437" spans="1:11" x14ac:dyDescent="0.25">
      <c r="A1437" s="48">
        <v>10169301</v>
      </c>
      <c r="B1437" s="49" t="s">
        <v>2218</v>
      </c>
      <c r="C1437" s="49" t="s">
        <v>1670</v>
      </c>
      <c r="D1437" s="49" t="s">
        <v>1665</v>
      </c>
      <c r="E1437" s="49" t="s">
        <v>1643</v>
      </c>
      <c r="F1437" s="49" t="s">
        <v>2216</v>
      </c>
      <c r="G1437" s="49" t="s">
        <v>1667</v>
      </c>
      <c r="H1437" s="48" t="s">
        <v>1672</v>
      </c>
      <c r="I1437" s="49" t="s">
        <v>1666</v>
      </c>
      <c r="J1437" t="str">
        <f t="shared" si="46"/>
        <v>10169301 - Machalí 2-GAF</v>
      </c>
      <c r="K1437" t="str">
        <f t="shared" si="47"/>
        <v>Proyectos Inmobiliarios</v>
      </c>
    </row>
    <row r="1438" spans="1:11" x14ac:dyDescent="0.25">
      <c r="A1438" s="56">
        <v>999999999</v>
      </c>
      <c r="B1438" s="57" t="s">
        <v>1684</v>
      </c>
      <c r="C1438" s="57"/>
      <c r="D1438" s="57" t="s">
        <v>1578</v>
      </c>
      <c r="E1438" s="57" t="s">
        <v>1578</v>
      </c>
      <c r="F1438" s="57" t="s">
        <v>2219</v>
      </c>
      <c r="G1438" s="57" t="s">
        <v>1661</v>
      </c>
      <c r="H1438" s="56" t="s">
        <v>1672</v>
      </c>
      <c r="I1438" s="57" t="s">
        <v>1662</v>
      </c>
      <c r="J1438" t="str">
        <f t="shared" si="46"/>
        <v>999999999 - Terreno Abuelo Proyectos sin Terreno</v>
      </c>
      <c r="K1438" t="str">
        <f t="shared" si="47"/>
        <v>Terreno</v>
      </c>
    </row>
    <row r="1439" spans="1:11" x14ac:dyDescent="0.25">
      <c r="A1439" s="56">
        <v>999</v>
      </c>
      <c r="B1439" s="57" t="s">
        <v>1808</v>
      </c>
      <c r="C1439" s="57"/>
      <c r="D1439" s="57" t="s">
        <v>65</v>
      </c>
      <c r="E1439" s="57" t="s">
        <v>65</v>
      </c>
      <c r="F1439" s="57" t="s">
        <v>2219</v>
      </c>
      <c r="G1439" s="57" t="s">
        <v>1663</v>
      </c>
      <c r="H1439" s="56" t="s">
        <v>1672</v>
      </c>
      <c r="I1439" s="57" t="s">
        <v>1664</v>
      </c>
      <c r="J1439" t="str">
        <f t="shared" si="46"/>
        <v>999 - Obra Padre Proyectos sin Obra</v>
      </c>
      <c r="K1439" t="str">
        <f t="shared" si="47"/>
        <v>Obra</v>
      </c>
    </row>
    <row r="1440" spans="1:11" x14ac:dyDescent="0.25">
      <c r="A1440" s="56">
        <v>10170104</v>
      </c>
      <c r="B1440" s="57" t="s">
        <v>2220</v>
      </c>
      <c r="C1440" s="57" t="s">
        <v>1670</v>
      </c>
      <c r="D1440" s="57" t="s">
        <v>1665</v>
      </c>
      <c r="E1440" s="57" t="s">
        <v>90</v>
      </c>
      <c r="F1440" s="57" t="s">
        <v>2219</v>
      </c>
      <c r="G1440" s="57" t="s">
        <v>1661</v>
      </c>
      <c r="H1440" s="56" t="s">
        <v>1672</v>
      </c>
      <c r="I1440" s="57" t="s">
        <v>1666</v>
      </c>
      <c r="J1440" t="str">
        <f t="shared" si="46"/>
        <v>10170104 - Machali 3-Ventas</v>
      </c>
      <c r="K1440" t="str">
        <f t="shared" si="47"/>
        <v>Proyectos Inmobiliarios</v>
      </c>
    </row>
    <row r="1441" spans="1:11" x14ac:dyDescent="0.25">
      <c r="A1441" s="56">
        <v>10170301</v>
      </c>
      <c r="B1441" s="57" t="s">
        <v>2221</v>
      </c>
      <c r="C1441" s="57" t="s">
        <v>1670</v>
      </c>
      <c r="D1441" s="57" t="s">
        <v>1665</v>
      </c>
      <c r="E1441" s="57" t="s">
        <v>1643</v>
      </c>
      <c r="F1441" s="57" t="s">
        <v>2219</v>
      </c>
      <c r="G1441" s="57" t="s">
        <v>1667</v>
      </c>
      <c r="H1441" s="56" t="s">
        <v>1672</v>
      </c>
      <c r="I1441" s="57" t="s">
        <v>1666</v>
      </c>
      <c r="J1441" t="str">
        <f t="shared" si="46"/>
        <v>10170301 - Machalí 3-GAF</v>
      </c>
      <c r="K1441" t="str">
        <f t="shared" si="47"/>
        <v>Proyectos Inmobiliarios</v>
      </c>
    </row>
    <row r="1442" spans="1:11" x14ac:dyDescent="0.25">
      <c r="A1442" s="50">
        <v>999999999</v>
      </c>
      <c r="B1442" s="51" t="s">
        <v>1684</v>
      </c>
      <c r="C1442" s="51"/>
      <c r="D1442" s="51" t="s">
        <v>1578</v>
      </c>
      <c r="E1442" s="51" t="s">
        <v>1578</v>
      </c>
      <c r="F1442" s="51" t="s">
        <v>2222</v>
      </c>
      <c r="G1442" s="51" t="s">
        <v>1661</v>
      </c>
      <c r="H1442" s="50" t="s">
        <v>1672</v>
      </c>
      <c r="I1442" s="51" t="s">
        <v>1662</v>
      </c>
      <c r="J1442" t="str">
        <f t="shared" si="46"/>
        <v>999999999 - Terreno Abuelo Proyectos sin Terreno</v>
      </c>
      <c r="K1442" t="str">
        <f t="shared" si="47"/>
        <v>Terreno</v>
      </c>
    </row>
    <row r="1443" spans="1:11" x14ac:dyDescent="0.25">
      <c r="A1443" s="50">
        <v>999</v>
      </c>
      <c r="B1443" s="51" t="s">
        <v>1808</v>
      </c>
      <c r="C1443" s="51"/>
      <c r="D1443" s="51" t="s">
        <v>65</v>
      </c>
      <c r="E1443" s="51" t="s">
        <v>65</v>
      </c>
      <c r="F1443" s="51" t="s">
        <v>2222</v>
      </c>
      <c r="G1443" s="51" t="s">
        <v>1663</v>
      </c>
      <c r="H1443" s="50" t="s">
        <v>1672</v>
      </c>
      <c r="I1443" s="51" t="s">
        <v>1664</v>
      </c>
      <c r="J1443" t="str">
        <f t="shared" si="46"/>
        <v>999 - Obra Padre Proyectos sin Obra</v>
      </c>
      <c r="K1443" t="str">
        <f t="shared" si="47"/>
        <v>Obra</v>
      </c>
    </row>
    <row r="1444" spans="1:11" x14ac:dyDescent="0.25">
      <c r="A1444" s="50">
        <v>9004</v>
      </c>
      <c r="B1444" s="51" t="s">
        <v>556</v>
      </c>
      <c r="C1444" s="51" t="s">
        <v>1685</v>
      </c>
      <c r="D1444" s="51" t="s">
        <v>66</v>
      </c>
      <c r="E1444" s="51" t="s">
        <v>328</v>
      </c>
      <c r="F1444" s="51" t="s">
        <v>2222</v>
      </c>
      <c r="G1444" s="51" t="s">
        <v>1661</v>
      </c>
      <c r="H1444" s="50" t="s">
        <v>386</v>
      </c>
      <c r="I1444" s="51" t="s">
        <v>1666</v>
      </c>
      <c r="J1444" t="str">
        <f t="shared" si="46"/>
        <v>9004 - PV Meseta Atlántico</v>
      </c>
      <c r="K1444" t="str">
        <f t="shared" si="47"/>
        <v>Postventa</v>
      </c>
    </row>
    <row r="1445" spans="1:11" x14ac:dyDescent="0.25">
      <c r="A1445" s="50">
        <v>10005000</v>
      </c>
      <c r="B1445" s="51" t="s">
        <v>2223</v>
      </c>
      <c r="C1445" s="51" t="s">
        <v>1685</v>
      </c>
      <c r="D1445" s="51" t="s">
        <v>1665</v>
      </c>
      <c r="E1445" s="51" t="s">
        <v>1585</v>
      </c>
      <c r="F1445" s="51" t="s">
        <v>2222</v>
      </c>
      <c r="G1445" s="51" t="s">
        <v>1667</v>
      </c>
      <c r="H1445" s="50" t="s">
        <v>1672</v>
      </c>
      <c r="I1445" s="51" t="s">
        <v>1666</v>
      </c>
      <c r="J1445" t="str">
        <f t="shared" si="46"/>
        <v>10005000 - Meseta Atlántico</v>
      </c>
      <c r="K1445" t="str">
        <f t="shared" si="47"/>
        <v>Proyectos Inmobiliarios</v>
      </c>
    </row>
    <row r="1446" spans="1:11" x14ac:dyDescent="0.25">
      <c r="A1446" s="50">
        <v>10005103</v>
      </c>
      <c r="B1446" s="51" t="s">
        <v>2224</v>
      </c>
      <c r="C1446" s="51" t="s">
        <v>1685</v>
      </c>
      <c r="D1446" s="51" t="s">
        <v>1665</v>
      </c>
      <c r="E1446" s="51" t="s">
        <v>1618</v>
      </c>
      <c r="F1446" s="51" t="s">
        <v>2222</v>
      </c>
      <c r="G1446" s="51" t="s">
        <v>1661</v>
      </c>
      <c r="H1446" s="50" t="s">
        <v>1672</v>
      </c>
      <c r="I1446" s="51" t="s">
        <v>1666</v>
      </c>
      <c r="J1446" t="str">
        <f t="shared" si="46"/>
        <v>10005103 - Meseta Atlántico-Operaciones</v>
      </c>
      <c r="K1446" t="str">
        <f t="shared" si="47"/>
        <v>Proyectos Inmobiliarios</v>
      </c>
    </row>
    <row r="1447" spans="1:11" x14ac:dyDescent="0.25">
      <c r="A1447" s="50">
        <v>10005104</v>
      </c>
      <c r="B1447" s="51" t="s">
        <v>2225</v>
      </c>
      <c r="C1447" s="51" t="s">
        <v>1685</v>
      </c>
      <c r="D1447" s="51" t="s">
        <v>1665</v>
      </c>
      <c r="E1447" s="51" t="s">
        <v>90</v>
      </c>
      <c r="F1447" s="51" t="s">
        <v>2222</v>
      </c>
      <c r="G1447" s="51" t="s">
        <v>1661</v>
      </c>
      <c r="H1447" s="50" t="s">
        <v>1672</v>
      </c>
      <c r="I1447" s="51" t="s">
        <v>1666</v>
      </c>
      <c r="J1447" t="str">
        <f t="shared" si="46"/>
        <v>10005104 - Meseta Atlántico-Ventas</v>
      </c>
      <c r="K1447" t="str">
        <f t="shared" si="47"/>
        <v>Proyectos Inmobiliarios</v>
      </c>
    </row>
    <row r="1448" spans="1:11" x14ac:dyDescent="0.25">
      <c r="A1448" s="50">
        <v>10005105</v>
      </c>
      <c r="B1448" s="51" t="s">
        <v>2226</v>
      </c>
      <c r="C1448" s="51" t="s">
        <v>1685</v>
      </c>
      <c r="D1448" s="51" t="s">
        <v>1665</v>
      </c>
      <c r="E1448" s="51" t="s">
        <v>1622</v>
      </c>
      <c r="F1448" s="51" t="s">
        <v>2222</v>
      </c>
      <c r="G1448" s="51" t="s">
        <v>1661</v>
      </c>
      <c r="H1448" s="50" t="s">
        <v>1672</v>
      </c>
      <c r="I1448" s="51" t="s">
        <v>1666</v>
      </c>
      <c r="J1448" t="str">
        <f t="shared" si="46"/>
        <v>10005105 - Meseta Atlántico-Clientes</v>
      </c>
      <c r="K1448" t="str">
        <f t="shared" si="47"/>
        <v>Proyectos Inmobiliarios</v>
      </c>
    </row>
    <row r="1449" spans="1:11" x14ac:dyDescent="0.25">
      <c r="A1449" s="50">
        <v>10005205</v>
      </c>
      <c r="B1449" s="51" t="s">
        <v>2227</v>
      </c>
      <c r="C1449" s="51" t="s">
        <v>1685</v>
      </c>
      <c r="D1449" s="51" t="s">
        <v>1665</v>
      </c>
      <c r="E1449" s="51" t="s">
        <v>1624</v>
      </c>
      <c r="F1449" s="51" t="s">
        <v>2222</v>
      </c>
      <c r="G1449" s="51" t="s">
        <v>1661</v>
      </c>
      <c r="H1449" s="50" t="s">
        <v>1672</v>
      </c>
      <c r="I1449" s="51" t="s">
        <v>1666</v>
      </c>
      <c r="J1449" t="str">
        <f t="shared" si="46"/>
        <v>10005205 - Meseta Atlántico-Proyecto V Región</v>
      </c>
      <c r="K1449" t="str">
        <f t="shared" si="47"/>
        <v>Proyectos Inmobiliarios</v>
      </c>
    </row>
    <row r="1450" spans="1:11" x14ac:dyDescent="0.25">
      <c r="A1450" s="50">
        <v>10005301</v>
      </c>
      <c r="B1450" s="51" t="s">
        <v>2228</v>
      </c>
      <c r="C1450" s="51" t="s">
        <v>1685</v>
      </c>
      <c r="D1450" s="51" t="s">
        <v>1665</v>
      </c>
      <c r="E1450" s="51" t="s">
        <v>1643</v>
      </c>
      <c r="F1450" s="51" t="s">
        <v>2222</v>
      </c>
      <c r="G1450" s="51" t="s">
        <v>1667</v>
      </c>
      <c r="H1450" s="50" t="s">
        <v>1672</v>
      </c>
      <c r="I1450" s="51" t="s">
        <v>1666</v>
      </c>
      <c r="J1450" t="str">
        <f t="shared" si="46"/>
        <v>10005301 - Meseta Atlántico-GAF</v>
      </c>
      <c r="K1450" t="str">
        <f t="shared" si="47"/>
        <v>Proyectos Inmobiliarios</v>
      </c>
    </row>
    <row r="1451" spans="1:11" x14ac:dyDescent="0.25">
      <c r="A1451" s="50">
        <v>10005505</v>
      </c>
      <c r="B1451" s="51" t="s">
        <v>2229</v>
      </c>
      <c r="C1451" s="51" t="s">
        <v>1685</v>
      </c>
      <c r="D1451" s="51" t="s">
        <v>66</v>
      </c>
      <c r="E1451" s="51" t="s">
        <v>328</v>
      </c>
      <c r="F1451" s="51" t="s">
        <v>2222</v>
      </c>
      <c r="G1451" s="51" t="s">
        <v>1661</v>
      </c>
      <c r="H1451" s="50" t="s">
        <v>1672</v>
      </c>
      <c r="I1451" s="51" t="s">
        <v>1666</v>
      </c>
      <c r="J1451" t="str">
        <f t="shared" si="46"/>
        <v>10005505 - Meseta Atlántico-PV Inmob.</v>
      </c>
      <c r="K1451" t="str">
        <f t="shared" si="47"/>
        <v>Postventa</v>
      </c>
    </row>
    <row r="1452" spans="1:11" x14ac:dyDescent="0.25">
      <c r="A1452" s="48">
        <v>999999999</v>
      </c>
      <c r="B1452" s="49" t="s">
        <v>1684</v>
      </c>
      <c r="C1452" s="49"/>
      <c r="D1452" s="49" t="s">
        <v>1578</v>
      </c>
      <c r="E1452" s="49" t="s">
        <v>1578</v>
      </c>
      <c r="F1452" s="49" t="s">
        <v>2230</v>
      </c>
      <c r="G1452" s="49" t="s">
        <v>1661</v>
      </c>
      <c r="H1452" s="48" t="s">
        <v>1672</v>
      </c>
      <c r="I1452" s="49" t="s">
        <v>1662</v>
      </c>
      <c r="J1452" t="str">
        <f t="shared" si="46"/>
        <v>999999999 - Terreno Abuelo Proyectos sin Terreno</v>
      </c>
      <c r="K1452" t="str">
        <f t="shared" si="47"/>
        <v>Terreno</v>
      </c>
    </row>
    <row r="1453" spans="1:11" x14ac:dyDescent="0.25">
      <c r="A1453" s="48">
        <v>999</v>
      </c>
      <c r="B1453" s="49" t="s">
        <v>1808</v>
      </c>
      <c r="C1453" s="49"/>
      <c r="D1453" s="49" t="s">
        <v>65</v>
      </c>
      <c r="E1453" s="49" t="s">
        <v>65</v>
      </c>
      <c r="F1453" s="49" t="s">
        <v>2230</v>
      </c>
      <c r="G1453" s="49" t="s">
        <v>1663</v>
      </c>
      <c r="H1453" s="48" t="s">
        <v>1672</v>
      </c>
      <c r="I1453" s="49" t="s">
        <v>1664</v>
      </c>
      <c r="J1453" t="str">
        <f t="shared" si="46"/>
        <v>999 - Obra Padre Proyectos sin Obra</v>
      </c>
      <c r="K1453" t="str">
        <f t="shared" si="47"/>
        <v>Obra</v>
      </c>
    </row>
    <row r="1454" spans="1:11" x14ac:dyDescent="0.25">
      <c r="A1454" s="48">
        <v>10006000</v>
      </c>
      <c r="B1454" s="49" t="s">
        <v>2230</v>
      </c>
      <c r="C1454" s="49" t="s">
        <v>1685</v>
      </c>
      <c r="D1454" s="49" t="s">
        <v>1665</v>
      </c>
      <c r="E1454" s="49" t="s">
        <v>1585</v>
      </c>
      <c r="F1454" s="49" t="s">
        <v>2230</v>
      </c>
      <c r="G1454" s="49" t="s">
        <v>1661</v>
      </c>
      <c r="H1454" s="48" t="s">
        <v>1672</v>
      </c>
      <c r="I1454" s="49" t="s">
        <v>1666</v>
      </c>
      <c r="J1454" t="str">
        <f t="shared" si="46"/>
        <v>10006000 - Meseta Pacífico</v>
      </c>
      <c r="K1454" t="str">
        <f t="shared" si="47"/>
        <v>Proyectos Inmobiliarios</v>
      </c>
    </row>
    <row r="1455" spans="1:11" x14ac:dyDescent="0.25">
      <c r="A1455" s="50">
        <v>999999999</v>
      </c>
      <c r="B1455" s="51" t="s">
        <v>1684</v>
      </c>
      <c r="C1455" s="51"/>
      <c r="D1455" s="51" t="s">
        <v>1578</v>
      </c>
      <c r="E1455" s="51" t="s">
        <v>1578</v>
      </c>
      <c r="F1455" s="51" t="s">
        <v>2231</v>
      </c>
      <c r="G1455" s="51" t="s">
        <v>1661</v>
      </c>
      <c r="H1455" s="50" t="s">
        <v>1672</v>
      </c>
      <c r="I1455" s="51" t="s">
        <v>1662</v>
      </c>
      <c r="J1455" t="str">
        <f t="shared" si="46"/>
        <v>999999999 - Terreno Abuelo Proyectos sin Terreno</v>
      </c>
      <c r="K1455" t="str">
        <f t="shared" si="47"/>
        <v>Terreno</v>
      </c>
    </row>
    <row r="1456" spans="1:11" x14ac:dyDescent="0.25">
      <c r="A1456" s="50">
        <v>172</v>
      </c>
      <c r="B1456" s="51" t="s">
        <v>2232</v>
      </c>
      <c r="C1456" s="51" t="s">
        <v>1685</v>
      </c>
      <c r="D1456" s="51" t="s">
        <v>65</v>
      </c>
      <c r="E1456" s="51" t="s">
        <v>65</v>
      </c>
      <c r="F1456" s="51" t="s">
        <v>2231</v>
      </c>
      <c r="G1456" s="51" t="s">
        <v>1663</v>
      </c>
      <c r="H1456" s="50" t="s">
        <v>1672</v>
      </c>
      <c r="I1456" s="51" t="s">
        <v>1664</v>
      </c>
      <c r="J1456" t="str">
        <f t="shared" si="46"/>
        <v>172 - Mirador del Bosque-SA</v>
      </c>
      <c r="K1456" t="str">
        <f t="shared" si="47"/>
        <v>Obra</v>
      </c>
    </row>
    <row r="1457" spans="1:11" x14ac:dyDescent="0.25">
      <c r="A1457" s="50">
        <v>9172</v>
      </c>
      <c r="B1457" s="51" t="s">
        <v>615</v>
      </c>
      <c r="C1457" s="51" t="s">
        <v>1685</v>
      </c>
      <c r="D1457" s="51" t="s">
        <v>66</v>
      </c>
      <c r="E1457" s="51" t="s">
        <v>328</v>
      </c>
      <c r="F1457" s="51" t="s">
        <v>2231</v>
      </c>
      <c r="G1457" s="51" t="s">
        <v>1661</v>
      </c>
      <c r="H1457" s="50" t="s">
        <v>386</v>
      </c>
      <c r="I1457" s="51" t="s">
        <v>1666</v>
      </c>
      <c r="J1457" t="str">
        <f t="shared" si="46"/>
        <v>9172 - PV Mirador del Bosque</v>
      </c>
      <c r="K1457" t="str">
        <f t="shared" si="47"/>
        <v>Postventa</v>
      </c>
    </row>
    <row r="1458" spans="1:11" x14ac:dyDescent="0.25">
      <c r="A1458" s="50">
        <v>10139000</v>
      </c>
      <c r="B1458" s="51" t="s">
        <v>2231</v>
      </c>
      <c r="C1458" s="51" t="s">
        <v>1685</v>
      </c>
      <c r="D1458" s="51" t="s">
        <v>1665</v>
      </c>
      <c r="E1458" s="51" t="s">
        <v>1585</v>
      </c>
      <c r="F1458" s="51" t="s">
        <v>2231</v>
      </c>
      <c r="G1458" s="51" t="s">
        <v>1661</v>
      </c>
      <c r="H1458" s="50" t="s">
        <v>1672</v>
      </c>
      <c r="I1458" s="51" t="s">
        <v>1666</v>
      </c>
      <c r="J1458" t="str">
        <f t="shared" si="46"/>
        <v>10139000 - Mirador del Bosque 1</v>
      </c>
      <c r="K1458" t="str">
        <f t="shared" si="47"/>
        <v>Proyectos Inmobiliarios</v>
      </c>
    </row>
    <row r="1459" spans="1:11" x14ac:dyDescent="0.25">
      <c r="A1459" s="50">
        <v>10139102</v>
      </c>
      <c r="B1459" s="51" t="s">
        <v>2233</v>
      </c>
      <c r="C1459" s="51" t="s">
        <v>1685</v>
      </c>
      <c r="D1459" s="51" t="s">
        <v>1665</v>
      </c>
      <c r="E1459" s="51" t="s">
        <v>1617</v>
      </c>
      <c r="F1459" s="51" t="s">
        <v>2231</v>
      </c>
      <c r="G1459" s="51" t="s">
        <v>1661</v>
      </c>
      <c r="H1459" s="50" t="s">
        <v>1672</v>
      </c>
      <c r="I1459" s="51" t="s">
        <v>1666</v>
      </c>
      <c r="J1459" t="str">
        <f t="shared" si="46"/>
        <v>10139102 - Mirador del Bosque 1-Marketing</v>
      </c>
      <c r="K1459" t="str">
        <f t="shared" si="47"/>
        <v>Proyectos Inmobiliarios</v>
      </c>
    </row>
    <row r="1460" spans="1:11" x14ac:dyDescent="0.25">
      <c r="A1460" s="50">
        <v>10139103</v>
      </c>
      <c r="B1460" s="51" t="s">
        <v>2234</v>
      </c>
      <c r="C1460" s="51" t="s">
        <v>1685</v>
      </c>
      <c r="D1460" s="51" t="s">
        <v>1665</v>
      </c>
      <c r="E1460" s="51" t="s">
        <v>1618</v>
      </c>
      <c r="F1460" s="51" t="s">
        <v>2231</v>
      </c>
      <c r="G1460" s="51" t="s">
        <v>1661</v>
      </c>
      <c r="H1460" s="50" t="s">
        <v>1672</v>
      </c>
      <c r="I1460" s="51" t="s">
        <v>1666</v>
      </c>
      <c r="J1460" t="str">
        <f t="shared" si="46"/>
        <v>10139103 - Mirador del Bosque 1-Operaciones</v>
      </c>
      <c r="K1460" t="str">
        <f t="shared" si="47"/>
        <v>Proyectos Inmobiliarios</v>
      </c>
    </row>
    <row r="1461" spans="1:11" x14ac:dyDescent="0.25">
      <c r="A1461" s="50">
        <v>10139104</v>
      </c>
      <c r="B1461" s="51" t="s">
        <v>2235</v>
      </c>
      <c r="C1461" s="51" t="s">
        <v>1685</v>
      </c>
      <c r="D1461" s="51" t="s">
        <v>1665</v>
      </c>
      <c r="E1461" s="51" t="s">
        <v>90</v>
      </c>
      <c r="F1461" s="51" t="s">
        <v>2231</v>
      </c>
      <c r="G1461" s="51" t="s">
        <v>1661</v>
      </c>
      <c r="H1461" s="50" t="s">
        <v>1672</v>
      </c>
      <c r="I1461" s="51" t="s">
        <v>1666</v>
      </c>
      <c r="J1461" t="str">
        <f t="shared" si="46"/>
        <v>10139104 - Mirador del Bosque 1-Ventas</v>
      </c>
      <c r="K1461" t="str">
        <f t="shared" si="47"/>
        <v>Proyectos Inmobiliarios</v>
      </c>
    </row>
    <row r="1462" spans="1:11" x14ac:dyDescent="0.25">
      <c r="A1462" s="50">
        <v>10139105</v>
      </c>
      <c r="B1462" s="51" t="s">
        <v>2236</v>
      </c>
      <c r="C1462" s="51" t="s">
        <v>1685</v>
      </c>
      <c r="D1462" s="51" t="s">
        <v>1665</v>
      </c>
      <c r="E1462" s="51" t="s">
        <v>1622</v>
      </c>
      <c r="F1462" s="51" t="s">
        <v>2231</v>
      </c>
      <c r="G1462" s="51" t="s">
        <v>1661</v>
      </c>
      <c r="H1462" s="50" t="s">
        <v>1672</v>
      </c>
      <c r="I1462" s="51" t="s">
        <v>1666</v>
      </c>
      <c r="J1462" t="str">
        <f t="shared" si="46"/>
        <v>10139105 - Mirador del Bosque 1-Clientes</v>
      </c>
      <c r="K1462" t="str">
        <f t="shared" si="47"/>
        <v>Proyectos Inmobiliarios</v>
      </c>
    </row>
    <row r="1463" spans="1:11" x14ac:dyDescent="0.25">
      <c r="A1463" s="50">
        <v>10139205</v>
      </c>
      <c r="B1463" s="51" t="s">
        <v>2237</v>
      </c>
      <c r="C1463" s="51" t="s">
        <v>1685</v>
      </c>
      <c r="D1463" s="51" t="s">
        <v>1665</v>
      </c>
      <c r="E1463" s="51" t="s">
        <v>1624</v>
      </c>
      <c r="F1463" s="51" t="s">
        <v>2231</v>
      </c>
      <c r="G1463" s="51" t="s">
        <v>1661</v>
      </c>
      <c r="H1463" s="50" t="s">
        <v>1672</v>
      </c>
      <c r="I1463" s="51" t="s">
        <v>1666</v>
      </c>
      <c r="J1463" t="str">
        <f t="shared" si="46"/>
        <v>10139205 - Mirador del Bosque 1-Proyecto</v>
      </c>
      <c r="K1463" t="str">
        <f t="shared" si="47"/>
        <v>Proyectos Inmobiliarios</v>
      </c>
    </row>
    <row r="1464" spans="1:11" x14ac:dyDescent="0.25">
      <c r="A1464" s="50">
        <v>10139301</v>
      </c>
      <c r="B1464" s="51" t="s">
        <v>2238</v>
      </c>
      <c r="C1464" s="51" t="s">
        <v>1685</v>
      </c>
      <c r="D1464" s="51" t="s">
        <v>1665</v>
      </c>
      <c r="E1464" s="51" t="s">
        <v>1643</v>
      </c>
      <c r="F1464" s="51" t="s">
        <v>2231</v>
      </c>
      <c r="G1464" s="51" t="s">
        <v>1667</v>
      </c>
      <c r="H1464" s="50" t="s">
        <v>1672</v>
      </c>
      <c r="I1464" s="51" t="s">
        <v>1666</v>
      </c>
      <c r="J1464" t="str">
        <f t="shared" si="46"/>
        <v>10139301 - Mirador del Bosque 1-GAF</v>
      </c>
      <c r="K1464" t="str">
        <f t="shared" si="47"/>
        <v>Proyectos Inmobiliarios</v>
      </c>
    </row>
    <row r="1465" spans="1:11" x14ac:dyDescent="0.25">
      <c r="A1465" s="50">
        <v>10139505</v>
      </c>
      <c r="B1465" s="51" t="s">
        <v>2239</v>
      </c>
      <c r="C1465" s="51" t="s">
        <v>1685</v>
      </c>
      <c r="D1465" s="51" t="s">
        <v>66</v>
      </c>
      <c r="E1465" s="51" t="s">
        <v>328</v>
      </c>
      <c r="F1465" s="51" t="s">
        <v>2231</v>
      </c>
      <c r="G1465" s="51" t="s">
        <v>1661</v>
      </c>
      <c r="H1465" s="50" t="s">
        <v>1672</v>
      </c>
      <c r="I1465" s="51" t="s">
        <v>1666</v>
      </c>
      <c r="J1465" t="str">
        <f t="shared" si="46"/>
        <v>10139505 - Mirador del Bosque 1-PV Inmob.</v>
      </c>
      <c r="K1465" t="str">
        <f t="shared" si="47"/>
        <v>Postventa</v>
      </c>
    </row>
    <row r="1466" spans="1:11" x14ac:dyDescent="0.25">
      <c r="A1466" s="50">
        <v>10139506</v>
      </c>
      <c r="B1466" s="51" t="s">
        <v>2240</v>
      </c>
      <c r="C1466" s="51" t="s">
        <v>1685</v>
      </c>
      <c r="D1466" s="51" t="s">
        <v>1665</v>
      </c>
      <c r="E1466" s="51" t="s">
        <v>200</v>
      </c>
      <c r="F1466" s="51" t="s">
        <v>2231</v>
      </c>
      <c r="G1466" s="51" t="s">
        <v>1661</v>
      </c>
      <c r="H1466" s="50" t="s">
        <v>1672</v>
      </c>
      <c r="I1466" s="51" t="s">
        <v>1666</v>
      </c>
      <c r="J1466" t="str">
        <f t="shared" si="46"/>
        <v>10139506 - Mirador del Bosque 1-Depto.Técnico</v>
      </c>
      <c r="K1466" t="str">
        <f t="shared" si="47"/>
        <v>Proyectos Inmobiliarios</v>
      </c>
    </row>
    <row r="1467" spans="1:11" x14ac:dyDescent="0.25">
      <c r="A1467" s="58">
        <v>999999999</v>
      </c>
      <c r="B1467" s="59" t="s">
        <v>1684</v>
      </c>
      <c r="C1467" s="59"/>
      <c r="D1467" s="59" t="s">
        <v>1578</v>
      </c>
      <c r="E1467" s="59" t="s">
        <v>1578</v>
      </c>
      <c r="F1467" s="59" t="s">
        <v>2241</v>
      </c>
      <c r="G1467" s="59" t="s">
        <v>1661</v>
      </c>
      <c r="H1467" s="58" t="s">
        <v>1672</v>
      </c>
      <c r="I1467" s="59" t="s">
        <v>1662</v>
      </c>
      <c r="J1467" t="str">
        <f t="shared" si="46"/>
        <v>999999999 - Terreno Abuelo Proyectos sin Terreno</v>
      </c>
      <c r="K1467" t="str">
        <f t="shared" si="47"/>
        <v>Terreno</v>
      </c>
    </row>
    <row r="1468" spans="1:11" x14ac:dyDescent="0.25">
      <c r="A1468" s="58">
        <v>140</v>
      </c>
      <c r="B1468" s="59" t="s">
        <v>2242</v>
      </c>
      <c r="C1468" s="59" t="s">
        <v>1685</v>
      </c>
      <c r="D1468" s="59" t="s">
        <v>65</v>
      </c>
      <c r="E1468" s="59" t="s">
        <v>65</v>
      </c>
      <c r="F1468" s="59" t="s">
        <v>2241</v>
      </c>
      <c r="G1468" s="59" t="s">
        <v>1663</v>
      </c>
      <c r="H1468" s="58" t="s">
        <v>1672</v>
      </c>
      <c r="I1468" s="59" t="s">
        <v>1664</v>
      </c>
      <c r="J1468" t="str">
        <f t="shared" si="46"/>
        <v>140 - Mirador del Bosque II</v>
      </c>
      <c r="K1468" t="str">
        <f t="shared" si="47"/>
        <v>Obra</v>
      </c>
    </row>
    <row r="1469" spans="1:11" x14ac:dyDescent="0.25">
      <c r="A1469" s="58">
        <v>9140</v>
      </c>
      <c r="B1469" s="59" t="s">
        <v>610</v>
      </c>
      <c r="C1469" s="59" t="s">
        <v>1685</v>
      </c>
      <c r="D1469" s="59" t="s">
        <v>66</v>
      </c>
      <c r="E1469" s="59" t="s">
        <v>328</v>
      </c>
      <c r="F1469" s="59" t="s">
        <v>2241</v>
      </c>
      <c r="G1469" s="59" t="s">
        <v>1661</v>
      </c>
      <c r="H1469" s="58" t="s">
        <v>386</v>
      </c>
      <c r="I1469" s="59" t="s">
        <v>1666</v>
      </c>
      <c r="J1469" t="str">
        <f t="shared" si="46"/>
        <v>9140 - PV Mirador del Bosque II</v>
      </c>
      <c r="K1469" t="str">
        <f t="shared" si="47"/>
        <v>Postventa</v>
      </c>
    </row>
    <row r="1470" spans="1:11" x14ac:dyDescent="0.25">
      <c r="A1470" s="58">
        <v>10140000</v>
      </c>
      <c r="B1470" s="59" t="s">
        <v>2241</v>
      </c>
      <c r="C1470" s="59" t="s">
        <v>1685</v>
      </c>
      <c r="D1470" s="59" t="s">
        <v>1665</v>
      </c>
      <c r="E1470" s="59" t="s">
        <v>1585</v>
      </c>
      <c r="F1470" s="59" t="s">
        <v>2241</v>
      </c>
      <c r="G1470" s="59" t="s">
        <v>1661</v>
      </c>
      <c r="H1470" s="58" t="s">
        <v>1672</v>
      </c>
      <c r="I1470" s="59" t="s">
        <v>1666</v>
      </c>
      <c r="J1470" t="str">
        <f t="shared" si="46"/>
        <v>10140000 - Mirador del Bosque 2</v>
      </c>
      <c r="K1470" t="str">
        <f t="shared" si="47"/>
        <v>Proyectos Inmobiliarios</v>
      </c>
    </row>
    <row r="1471" spans="1:11" x14ac:dyDescent="0.25">
      <c r="A1471" s="58">
        <v>10140102</v>
      </c>
      <c r="B1471" s="59" t="s">
        <v>2243</v>
      </c>
      <c r="C1471" s="59" t="s">
        <v>1685</v>
      </c>
      <c r="D1471" s="59" t="s">
        <v>1665</v>
      </c>
      <c r="E1471" s="59" t="s">
        <v>1617</v>
      </c>
      <c r="F1471" s="59" t="s">
        <v>2241</v>
      </c>
      <c r="G1471" s="59" t="s">
        <v>1661</v>
      </c>
      <c r="H1471" s="58" t="s">
        <v>1672</v>
      </c>
      <c r="I1471" s="59" t="s">
        <v>1666</v>
      </c>
      <c r="J1471" t="str">
        <f t="shared" si="46"/>
        <v>10140102 - Mirador del Bosque 2-Marketing</v>
      </c>
      <c r="K1471" t="str">
        <f t="shared" si="47"/>
        <v>Proyectos Inmobiliarios</v>
      </c>
    </row>
    <row r="1472" spans="1:11" x14ac:dyDescent="0.25">
      <c r="A1472" s="58">
        <v>10140103</v>
      </c>
      <c r="B1472" s="59" t="s">
        <v>2244</v>
      </c>
      <c r="C1472" s="59" t="s">
        <v>1685</v>
      </c>
      <c r="D1472" s="59" t="s">
        <v>1665</v>
      </c>
      <c r="E1472" s="59" t="s">
        <v>1618</v>
      </c>
      <c r="F1472" s="59" t="s">
        <v>2241</v>
      </c>
      <c r="G1472" s="59" t="s">
        <v>1661</v>
      </c>
      <c r="H1472" s="58" t="s">
        <v>1672</v>
      </c>
      <c r="I1472" s="59" t="s">
        <v>1666</v>
      </c>
      <c r="J1472" t="str">
        <f t="shared" si="46"/>
        <v>10140103 - Mirador del Bosque 2-Operaciones</v>
      </c>
      <c r="K1472" t="str">
        <f t="shared" si="47"/>
        <v>Proyectos Inmobiliarios</v>
      </c>
    </row>
    <row r="1473" spans="1:11" x14ac:dyDescent="0.25">
      <c r="A1473" s="58">
        <v>10140104</v>
      </c>
      <c r="B1473" s="59" t="s">
        <v>2245</v>
      </c>
      <c r="C1473" s="59" t="s">
        <v>1685</v>
      </c>
      <c r="D1473" s="59" t="s">
        <v>1665</v>
      </c>
      <c r="E1473" s="59" t="s">
        <v>90</v>
      </c>
      <c r="F1473" s="59" t="s">
        <v>2241</v>
      </c>
      <c r="G1473" s="59" t="s">
        <v>1661</v>
      </c>
      <c r="H1473" s="58" t="s">
        <v>1672</v>
      </c>
      <c r="I1473" s="59" t="s">
        <v>1666</v>
      </c>
      <c r="J1473" t="str">
        <f t="shared" si="46"/>
        <v>10140104 - Mirador del Bosque 2-Ventas</v>
      </c>
      <c r="K1473" t="str">
        <f t="shared" si="47"/>
        <v>Proyectos Inmobiliarios</v>
      </c>
    </row>
    <row r="1474" spans="1:11" x14ac:dyDescent="0.25">
      <c r="A1474" s="58">
        <v>10140105</v>
      </c>
      <c r="B1474" s="59" t="s">
        <v>2246</v>
      </c>
      <c r="C1474" s="59" t="s">
        <v>1685</v>
      </c>
      <c r="D1474" s="59" t="s">
        <v>1665</v>
      </c>
      <c r="E1474" s="59" t="s">
        <v>1622</v>
      </c>
      <c r="F1474" s="59" t="s">
        <v>2241</v>
      </c>
      <c r="G1474" s="59" t="s">
        <v>1661</v>
      </c>
      <c r="H1474" s="58" t="s">
        <v>1672</v>
      </c>
      <c r="I1474" s="59" t="s">
        <v>1666</v>
      </c>
      <c r="J1474" t="str">
        <f t="shared" si="46"/>
        <v>10140105 - Mirador del Bosque 2-Clientes</v>
      </c>
      <c r="K1474" t="str">
        <f t="shared" si="47"/>
        <v>Proyectos Inmobiliarios</v>
      </c>
    </row>
    <row r="1475" spans="1:11" x14ac:dyDescent="0.25">
      <c r="A1475" s="58">
        <v>10140205</v>
      </c>
      <c r="B1475" s="59" t="s">
        <v>2247</v>
      </c>
      <c r="C1475" s="59" t="s">
        <v>1685</v>
      </c>
      <c r="D1475" s="59" t="s">
        <v>1665</v>
      </c>
      <c r="E1475" s="59" t="s">
        <v>1624</v>
      </c>
      <c r="F1475" s="59" t="s">
        <v>2241</v>
      </c>
      <c r="G1475" s="59" t="s">
        <v>1661</v>
      </c>
      <c r="H1475" s="58" t="s">
        <v>1672</v>
      </c>
      <c r="I1475" s="59" t="s">
        <v>1666</v>
      </c>
      <c r="J1475" t="str">
        <f t="shared" si="46"/>
        <v>10140205 - Mirador del Bosque 2-Proyecto</v>
      </c>
      <c r="K1475" t="str">
        <f t="shared" si="47"/>
        <v>Proyectos Inmobiliarios</v>
      </c>
    </row>
    <row r="1476" spans="1:11" x14ac:dyDescent="0.25">
      <c r="A1476" s="58">
        <v>10140301</v>
      </c>
      <c r="B1476" s="59" t="s">
        <v>2248</v>
      </c>
      <c r="C1476" s="59" t="s">
        <v>1685</v>
      </c>
      <c r="D1476" s="59" t="s">
        <v>1665</v>
      </c>
      <c r="E1476" s="59" t="s">
        <v>1643</v>
      </c>
      <c r="F1476" s="59" t="s">
        <v>2241</v>
      </c>
      <c r="G1476" s="59" t="s">
        <v>1667</v>
      </c>
      <c r="H1476" s="58" t="s">
        <v>1672</v>
      </c>
      <c r="I1476" s="59" t="s">
        <v>1666</v>
      </c>
      <c r="J1476" t="str">
        <f t="shared" si="46"/>
        <v>10140301 - Mirador del Bosque 2-GAF</v>
      </c>
      <c r="K1476" t="str">
        <f t="shared" si="47"/>
        <v>Proyectos Inmobiliarios</v>
      </c>
    </row>
    <row r="1477" spans="1:11" x14ac:dyDescent="0.25">
      <c r="A1477" s="58">
        <v>10140505</v>
      </c>
      <c r="B1477" s="59" t="s">
        <v>2249</v>
      </c>
      <c r="C1477" s="59" t="s">
        <v>1685</v>
      </c>
      <c r="D1477" s="59" t="s">
        <v>66</v>
      </c>
      <c r="E1477" s="59" t="s">
        <v>328</v>
      </c>
      <c r="F1477" s="59" t="s">
        <v>2241</v>
      </c>
      <c r="G1477" s="59" t="s">
        <v>1661</v>
      </c>
      <c r="H1477" s="58" t="s">
        <v>1672</v>
      </c>
      <c r="I1477" s="59" t="s">
        <v>1666</v>
      </c>
      <c r="J1477" t="str">
        <f t="shared" ref="J1477:J1540" si="48">+A1477&amp;" - "&amp;B1477</f>
        <v>10140505 - Mirador del Bosque 2-PV Inmob.</v>
      </c>
      <c r="K1477" t="str">
        <f t="shared" ref="K1477:K1540" si="49">+D1477</f>
        <v>Postventa</v>
      </c>
    </row>
    <row r="1478" spans="1:11" x14ac:dyDescent="0.25">
      <c r="A1478" s="58">
        <v>10140506</v>
      </c>
      <c r="B1478" s="59" t="s">
        <v>2250</v>
      </c>
      <c r="C1478" s="59" t="s">
        <v>1685</v>
      </c>
      <c r="D1478" s="59" t="s">
        <v>1665</v>
      </c>
      <c r="E1478" s="59" t="s">
        <v>200</v>
      </c>
      <c r="F1478" s="59" t="s">
        <v>2241</v>
      </c>
      <c r="G1478" s="59" t="s">
        <v>1661</v>
      </c>
      <c r="H1478" s="58" t="s">
        <v>1672</v>
      </c>
      <c r="I1478" s="59" t="s">
        <v>1666</v>
      </c>
      <c r="J1478" t="str">
        <f t="shared" si="48"/>
        <v>10140506 - Mirador del Bosque 2-Depto.Técnico</v>
      </c>
      <c r="K1478" t="str">
        <f t="shared" si="49"/>
        <v>Proyectos Inmobiliarios</v>
      </c>
    </row>
    <row r="1479" spans="1:11" x14ac:dyDescent="0.25">
      <c r="A1479" s="48">
        <v>999999999</v>
      </c>
      <c r="B1479" s="49" t="s">
        <v>1684</v>
      </c>
      <c r="C1479" s="49"/>
      <c r="D1479" s="49" t="s">
        <v>1578</v>
      </c>
      <c r="E1479" s="49" t="s">
        <v>1578</v>
      </c>
      <c r="F1479" s="49" t="s">
        <v>2251</v>
      </c>
      <c r="G1479" s="49" t="s">
        <v>1661</v>
      </c>
      <c r="H1479" s="48" t="s">
        <v>1672</v>
      </c>
      <c r="I1479" s="49" t="s">
        <v>1662</v>
      </c>
      <c r="J1479" t="str">
        <f t="shared" si="48"/>
        <v>999999999 - Terreno Abuelo Proyectos sin Terreno</v>
      </c>
      <c r="K1479" t="str">
        <f t="shared" si="49"/>
        <v>Terreno</v>
      </c>
    </row>
    <row r="1480" spans="1:11" x14ac:dyDescent="0.25">
      <c r="A1480" s="48">
        <v>17</v>
      </c>
      <c r="B1480" s="49" t="s">
        <v>2251</v>
      </c>
      <c r="C1480" s="49" t="s">
        <v>1670</v>
      </c>
      <c r="D1480" s="49" t="s">
        <v>65</v>
      </c>
      <c r="E1480" s="49" t="s">
        <v>65</v>
      </c>
      <c r="F1480" s="49" t="s">
        <v>2251</v>
      </c>
      <c r="G1480" s="49" t="s">
        <v>1663</v>
      </c>
      <c r="H1480" s="48" t="s">
        <v>1672</v>
      </c>
      <c r="I1480" s="49" t="s">
        <v>1664</v>
      </c>
      <c r="J1480" t="str">
        <f t="shared" si="48"/>
        <v>17 - Mirador Sacramentinos</v>
      </c>
      <c r="K1480" t="str">
        <f t="shared" si="49"/>
        <v>Obra</v>
      </c>
    </row>
    <row r="1481" spans="1:11" x14ac:dyDescent="0.25">
      <c r="A1481" s="48">
        <v>9017</v>
      </c>
      <c r="B1481" s="49" t="s">
        <v>567</v>
      </c>
      <c r="C1481" s="49" t="s">
        <v>1670</v>
      </c>
      <c r="D1481" s="49" t="s">
        <v>66</v>
      </c>
      <c r="E1481" s="49" t="s">
        <v>328</v>
      </c>
      <c r="F1481" s="49" t="s">
        <v>2251</v>
      </c>
      <c r="G1481" s="49" t="s">
        <v>1661</v>
      </c>
      <c r="H1481" s="48" t="s">
        <v>386</v>
      </c>
      <c r="I1481" s="49" t="s">
        <v>1666</v>
      </c>
      <c r="J1481" t="str">
        <f t="shared" si="48"/>
        <v>9017 - PV Mirador Sacramentinos</v>
      </c>
      <c r="K1481" t="str">
        <f t="shared" si="49"/>
        <v>Postventa</v>
      </c>
    </row>
    <row r="1482" spans="1:11" x14ac:dyDescent="0.25">
      <c r="A1482" s="48">
        <v>10007000</v>
      </c>
      <c r="B1482" s="49" t="s">
        <v>2251</v>
      </c>
      <c r="C1482" s="49" t="s">
        <v>1670</v>
      </c>
      <c r="D1482" s="49" t="s">
        <v>1665</v>
      </c>
      <c r="E1482" s="49" t="s">
        <v>1585</v>
      </c>
      <c r="F1482" s="49" t="s">
        <v>2251</v>
      </c>
      <c r="G1482" s="49" t="s">
        <v>1661</v>
      </c>
      <c r="H1482" s="48" t="s">
        <v>1672</v>
      </c>
      <c r="I1482" s="49" t="s">
        <v>1666</v>
      </c>
      <c r="J1482" t="str">
        <f t="shared" si="48"/>
        <v>10007000 - Mirador Sacramentinos</v>
      </c>
      <c r="K1482" t="str">
        <f t="shared" si="49"/>
        <v>Proyectos Inmobiliarios</v>
      </c>
    </row>
    <row r="1483" spans="1:11" x14ac:dyDescent="0.25">
      <c r="A1483" s="48">
        <v>10007102</v>
      </c>
      <c r="B1483" s="49" t="s">
        <v>2252</v>
      </c>
      <c r="C1483" s="49" t="s">
        <v>1670</v>
      </c>
      <c r="D1483" s="49" t="s">
        <v>1665</v>
      </c>
      <c r="E1483" s="49" t="s">
        <v>1617</v>
      </c>
      <c r="F1483" s="49" t="s">
        <v>2251</v>
      </c>
      <c r="G1483" s="49" t="s">
        <v>1661</v>
      </c>
      <c r="H1483" s="48" t="s">
        <v>1672</v>
      </c>
      <c r="I1483" s="49" t="s">
        <v>1666</v>
      </c>
      <c r="J1483" t="str">
        <f t="shared" si="48"/>
        <v>10007102 - Mirador Sacramentinos-Marketing</v>
      </c>
      <c r="K1483" t="str">
        <f t="shared" si="49"/>
        <v>Proyectos Inmobiliarios</v>
      </c>
    </row>
    <row r="1484" spans="1:11" x14ac:dyDescent="0.25">
      <c r="A1484" s="48">
        <v>10007103</v>
      </c>
      <c r="B1484" s="49" t="s">
        <v>2253</v>
      </c>
      <c r="C1484" s="49" t="s">
        <v>1670</v>
      </c>
      <c r="D1484" s="49" t="s">
        <v>1665</v>
      </c>
      <c r="E1484" s="49" t="s">
        <v>1618</v>
      </c>
      <c r="F1484" s="49" t="s">
        <v>2251</v>
      </c>
      <c r="G1484" s="49" t="s">
        <v>1661</v>
      </c>
      <c r="H1484" s="48" t="s">
        <v>1672</v>
      </c>
      <c r="I1484" s="49" t="s">
        <v>1666</v>
      </c>
      <c r="J1484" t="str">
        <f t="shared" si="48"/>
        <v>10007103 - Mirador Sacramentinos-Operaciones</v>
      </c>
      <c r="K1484" t="str">
        <f t="shared" si="49"/>
        <v>Proyectos Inmobiliarios</v>
      </c>
    </row>
    <row r="1485" spans="1:11" x14ac:dyDescent="0.25">
      <c r="A1485" s="48">
        <v>10007104</v>
      </c>
      <c r="B1485" s="49" t="s">
        <v>2254</v>
      </c>
      <c r="C1485" s="49" t="s">
        <v>1670</v>
      </c>
      <c r="D1485" s="49" t="s">
        <v>1665</v>
      </c>
      <c r="E1485" s="49" t="s">
        <v>90</v>
      </c>
      <c r="F1485" s="49" t="s">
        <v>2251</v>
      </c>
      <c r="G1485" s="49" t="s">
        <v>1661</v>
      </c>
      <c r="H1485" s="48" t="s">
        <v>1672</v>
      </c>
      <c r="I1485" s="49" t="s">
        <v>1666</v>
      </c>
      <c r="J1485" t="str">
        <f t="shared" si="48"/>
        <v>10007104 - Mirador Sacramentinos-Ventas</v>
      </c>
      <c r="K1485" t="str">
        <f t="shared" si="49"/>
        <v>Proyectos Inmobiliarios</v>
      </c>
    </row>
    <row r="1486" spans="1:11" x14ac:dyDescent="0.25">
      <c r="A1486" s="48">
        <v>10007105</v>
      </c>
      <c r="B1486" s="49" t="s">
        <v>2255</v>
      </c>
      <c r="C1486" s="49" t="s">
        <v>1670</v>
      </c>
      <c r="D1486" s="49" t="s">
        <v>1665</v>
      </c>
      <c r="E1486" s="49" t="s">
        <v>1622</v>
      </c>
      <c r="F1486" s="49" t="s">
        <v>2251</v>
      </c>
      <c r="G1486" s="49" t="s">
        <v>1661</v>
      </c>
      <c r="H1486" s="48" t="s">
        <v>1672</v>
      </c>
      <c r="I1486" s="49" t="s">
        <v>1666</v>
      </c>
      <c r="J1486" t="str">
        <f t="shared" si="48"/>
        <v>10007105 - Mirador Sacramentinos-Clientes</v>
      </c>
      <c r="K1486" t="str">
        <f t="shared" si="49"/>
        <v>Proyectos Inmobiliarios</v>
      </c>
    </row>
    <row r="1487" spans="1:11" x14ac:dyDescent="0.25">
      <c r="A1487" s="48">
        <v>10007204</v>
      </c>
      <c r="B1487" s="49" t="s">
        <v>2256</v>
      </c>
      <c r="C1487" s="49" t="s">
        <v>1670</v>
      </c>
      <c r="D1487" s="49" t="s">
        <v>1665</v>
      </c>
      <c r="E1487" s="49" t="s">
        <v>1624</v>
      </c>
      <c r="F1487" s="49" t="s">
        <v>2251</v>
      </c>
      <c r="G1487" s="49" t="s">
        <v>1661</v>
      </c>
      <c r="H1487" s="48" t="s">
        <v>1672</v>
      </c>
      <c r="I1487" s="49" t="s">
        <v>1666</v>
      </c>
      <c r="J1487" t="str">
        <f t="shared" si="48"/>
        <v>10007204 - Mirador Sacramentinos-Proyecto</v>
      </c>
      <c r="K1487" t="str">
        <f t="shared" si="49"/>
        <v>Proyectos Inmobiliarios</v>
      </c>
    </row>
    <row r="1488" spans="1:11" x14ac:dyDescent="0.25">
      <c r="A1488" s="48">
        <v>10007301</v>
      </c>
      <c r="B1488" s="49" t="s">
        <v>2257</v>
      </c>
      <c r="C1488" s="49" t="s">
        <v>1670</v>
      </c>
      <c r="D1488" s="49" t="s">
        <v>1665</v>
      </c>
      <c r="E1488" s="49" t="s">
        <v>1643</v>
      </c>
      <c r="F1488" s="49" t="s">
        <v>2251</v>
      </c>
      <c r="G1488" s="49" t="s">
        <v>1667</v>
      </c>
      <c r="H1488" s="48" t="s">
        <v>1672</v>
      </c>
      <c r="I1488" s="49" t="s">
        <v>1666</v>
      </c>
      <c r="J1488" t="str">
        <f t="shared" si="48"/>
        <v>10007301 - Mirador Sacramentinos-GAF</v>
      </c>
      <c r="K1488" t="str">
        <f t="shared" si="49"/>
        <v>Proyectos Inmobiliarios</v>
      </c>
    </row>
    <row r="1489" spans="1:11" x14ac:dyDescent="0.25">
      <c r="A1489" s="48">
        <v>10007506</v>
      </c>
      <c r="B1489" s="49" t="s">
        <v>2258</v>
      </c>
      <c r="C1489" s="49" t="s">
        <v>1670</v>
      </c>
      <c r="D1489" s="49" t="s">
        <v>1665</v>
      </c>
      <c r="E1489" s="49" t="s">
        <v>200</v>
      </c>
      <c r="F1489" s="49" t="s">
        <v>2251</v>
      </c>
      <c r="G1489" s="49" t="s">
        <v>1661</v>
      </c>
      <c r="H1489" s="48" t="s">
        <v>1672</v>
      </c>
      <c r="I1489" s="49" t="s">
        <v>1666</v>
      </c>
      <c r="J1489" t="str">
        <f t="shared" si="48"/>
        <v>10007506 - Mirador Sacramentinos-Depto.Técnico</v>
      </c>
      <c r="K1489" t="str">
        <f t="shared" si="49"/>
        <v>Proyectos Inmobiliarios</v>
      </c>
    </row>
    <row r="1490" spans="1:11" x14ac:dyDescent="0.25">
      <c r="A1490" s="99">
        <v>1135202</v>
      </c>
      <c r="B1490" s="100" t="s">
        <v>764</v>
      </c>
      <c r="C1490" s="100" t="s">
        <v>1685</v>
      </c>
      <c r="D1490" s="100" t="s">
        <v>1578</v>
      </c>
      <c r="E1490" s="100" t="s">
        <v>1578</v>
      </c>
      <c r="F1490" s="100" t="s">
        <v>491</v>
      </c>
      <c r="G1490" s="100" t="s">
        <v>1661</v>
      </c>
      <c r="H1490" s="99" t="s">
        <v>386</v>
      </c>
      <c r="I1490" s="100" t="s">
        <v>1662</v>
      </c>
      <c r="J1490" t="str">
        <f t="shared" si="48"/>
        <v>1135202 - Terreno Las Rejas 904 - Inversiones</v>
      </c>
      <c r="K1490" t="str">
        <f t="shared" si="49"/>
        <v>Terreno</v>
      </c>
    </row>
    <row r="1491" spans="1:11" x14ac:dyDescent="0.25">
      <c r="A1491" s="99">
        <v>352</v>
      </c>
      <c r="B1491" s="100" t="s">
        <v>491</v>
      </c>
      <c r="C1491" s="100" t="s">
        <v>1685</v>
      </c>
      <c r="D1491" s="100" t="s">
        <v>65</v>
      </c>
      <c r="E1491" s="100" t="s">
        <v>65</v>
      </c>
      <c r="F1491" s="100" t="s">
        <v>491</v>
      </c>
      <c r="G1491" s="100" t="s">
        <v>1663</v>
      </c>
      <c r="H1491" s="99" t="s">
        <v>386</v>
      </c>
      <c r="I1491" s="100" t="s">
        <v>1664</v>
      </c>
      <c r="J1491" t="str">
        <f t="shared" si="48"/>
        <v>352 - Miraflores Lote 1 Edificio 1</v>
      </c>
      <c r="K1491" t="str">
        <f t="shared" si="49"/>
        <v>Obra</v>
      </c>
    </row>
    <row r="1492" spans="1:11" x14ac:dyDescent="0.25">
      <c r="A1492" s="99">
        <v>10352000</v>
      </c>
      <c r="B1492" s="100" t="s">
        <v>491</v>
      </c>
      <c r="C1492" s="100" t="s">
        <v>1685</v>
      </c>
      <c r="D1492" s="100" t="s">
        <v>1665</v>
      </c>
      <c r="E1492" s="100" t="s">
        <v>1585</v>
      </c>
      <c r="F1492" s="100" t="s">
        <v>491</v>
      </c>
      <c r="G1492" s="100" t="s">
        <v>1661</v>
      </c>
      <c r="H1492" s="99" t="s">
        <v>386</v>
      </c>
      <c r="I1492" s="100" t="s">
        <v>1666</v>
      </c>
      <c r="J1492" t="str">
        <f t="shared" si="48"/>
        <v>10352000 - Miraflores Lote 1 Edificio 1</v>
      </c>
      <c r="K1492" t="str">
        <f t="shared" si="49"/>
        <v>Proyectos Inmobiliarios</v>
      </c>
    </row>
    <row r="1493" spans="1:11" x14ac:dyDescent="0.25">
      <c r="A1493" s="99">
        <v>10352102</v>
      </c>
      <c r="B1493" s="100" t="s">
        <v>1403</v>
      </c>
      <c r="C1493" s="100" t="s">
        <v>1685</v>
      </c>
      <c r="D1493" s="100" t="s">
        <v>1665</v>
      </c>
      <c r="E1493" s="100" t="s">
        <v>1617</v>
      </c>
      <c r="F1493" s="100" t="s">
        <v>491</v>
      </c>
      <c r="G1493" s="100" t="s">
        <v>1661</v>
      </c>
      <c r="H1493" s="99" t="s">
        <v>386</v>
      </c>
      <c r="I1493" s="100" t="s">
        <v>1666</v>
      </c>
      <c r="J1493" t="str">
        <f t="shared" si="48"/>
        <v>10352102 - Miraflores Lote 1 Edificio 1-Marketing</v>
      </c>
      <c r="K1493" t="str">
        <f t="shared" si="49"/>
        <v>Proyectos Inmobiliarios</v>
      </c>
    </row>
    <row r="1494" spans="1:11" x14ac:dyDescent="0.25">
      <c r="A1494" s="99">
        <v>10352103</v>
      </c>
      <c r="B1494" s="100" t="s">
        <v>1404</v>
      </c>
      <c r="C1494" s="100" t="s">
        <v>1685</v>
      </c>
      <c r="D1494" s="100" t="s">
        <v>1665</v>
      </c>
      <c r="E1494" s="100" t="s">
        <v>1618</v>
      </c>
      <c r="F1494" s="100" t="s">
        <v>491</v>
      </c>
      <c r="G1494" s="100" t="s">
        <v>1661</v>
      </c>
      <c r="H1494" s="99" t="s">
        <v>386</v>
      </c>
      <c r="I1494" s="100" t="s">
        <v>1666</v>
      </c>
      <c r="J1494" t="str">
        <f t="shared" si="48"/>
        <v>10352103 - Miraflores Lote 1 Edificio 1-Operaciones</v>
      </c>
      <c r="K1494" t="str">
        <f t="shared" si="49"/>
        <v>Proyectos Inmobiliarios</v>
      </c>
    </row>
    <row r="1495" spans="1:11" x14ac:dyDescent="0.25">
      <c r="A1495" s="99">
        <v>10352104</v>
      </c>
      <c r="B1495" s="100" t="s">
        <v>1405</v>
      </c>
      <c r="C1495" s="100" t="s">
        <v>1685</v>
      </c>
      <c r="D1495" s="100" t="s">
        <v>1665</v>
      </c>
      <c r="E1495" s="100" t="s">
        <v>90</v>
      </c>
      <c r="F1495" s="100" t="s">
        <v>491</v>
      </c>
      <c r="G1495" s="100" t="s">
        <v>1661</v>
      </c>
      <c r="H1495" s="99" t="s">
        <v>386</v>
      </c>
      <c r="I1495" s="100" t="s">
        <v>1666</v>
      </c>
      <c r="J1495" t="str">
        <f t="shared" si="48"/>
        <v>10352104 - Miraflores Lote 1 Edificio 1-Ventas</v>
      </c>
      <c r="K1495" t="str">
        <f t="shared" si="49"/>
        <v>Proyectos Inmobiliarios</v>
      </c>
    </row>
    <row r="1496" spans="1:11" x14ac:dyDescent="0.25">
      <c r="A1496" s="99">
        <v>10352105</v>
      </c>
      <c r="B1496" s="100" t="s">
        <v>1406</v>
      </c>
      <c r="C1496" s="100" t="s">
        <v>1685</v>
      </c>
      <c r="D1496" s="100" t="s">
        <v>1665</v>
      </c>
      <c r="E1496" s="100" t="s">
        <v>1622</v>
      </c>
      <c r="F1496" s="100" t="s">
        <v>491</v>
      </c>
      <c r="G1496" s="100" t="s">
        <v>1661</v>
      </c>
      <c r="H1496" s="99" t="s">
        <v>386</v>
      </c>
      <c r="I1496" s="100" t="s">
        <v>1666</v>
      </c>
      <c r="J1496" t="str">
        <f t="shared" si="48"/>
        <v>10352105 - Miraflores Lote 1 Edificio 1-Clientes</v>
      </c>
      <c r="K1496" t="str">
        <f t="shared" si="49"/>
        <v>Proyectos Inmobiliarios</v>
      </c>
    </row>
    <row r="1497" spans="1:11" x14ac:dyDescent="0.25">
      <c r="A1497" s="99">
        <v>10352204</v>
      </c>
      <c r="B1497" s="100" t="s">
        <v>1407</v>
      </c>
      <c r="C1497" s="100" t="s">
        <v>1685</v>
      </c>
      <c r="D1497" s="100" t="s">
        <v>1665</v>
      </c>
      <c r="E1497" s="100" t="s">
        <v>1624</v>
      </c>
      <c r="F1497" s="100" t="s">
        <v>491</v>
      </c>
      <c r="G1497" s="100" t="s">
        <v>1661</v>
      </c>
      <c r="H1497" s="99" t="s">
        <v>386</v>
      </c>
      <c r="I1497" s="100" t="s">
        <v>1666</v>
      </c>
      <c r="J1497" t="str">
        <f t="shared" si="48"/>
        <v>10352204 - Miraflores Lote 1 Edificio 1-Proyecto</v>
      </c>
      <c r="K1497" t="str">
        <f t="shared" si="49"/>
        <v>Proyectos Inmobiliarios</v>
      </c>
    </row>
    <row r="1498" spans="1:11" x14ac:dyDescent="0.25">
      <c r="A1498" s="99">
        <v>10352301</v>
      </c>
      <c r="B1498" s="100" t="s">
        <v>1408</v>
      </c>
      <c r="C1498" s="100" t="s">
        <v>1685</v>
      </c>
      <c r="D1498" s="100" t="s">
        <v>1665</v>
      </c>
      <c r="E1498" s="100" t="s">
        <v>1643</v>
      </c>
      <c r="F1498" s="100" t="s">
        <v>491</v>
      </c>
      <c r="G1498" s="100" t="s">
        <v>1667</v>
      </c>
      <c r="H1498" s="99" t="s">
        <v>386</v>
      </c>
      <c r="I1498" s="100" t="s">
        <v>1666</v>
      </c>
      <c r="J1498" t="str">
        <f t="shared" si="48"/>
        <v>10352301 - Miraflores Lote 1 Edificio 1-GAF</v>
      </c>
      <c r="K1498" t="str">
        <f t="shared" si="49"/>
        <v>Proyectos Inmobiliarios</v>
      </c>
    </row>
    <row r="1499" spans="1:11" x14ac:dyDescent="0.25">
      <c r="A1499" s="99">
        <v>10352505</v>
      </c>
      <c r="B1499" s="100" t="s">
        <v>1409</v>
      </c>
      <c r="C1499" s="100" t="s">
        <v>1685</v>
      </c>
      <c r="D1499" s="100" t="s">
        <v>66</v>
      </c>
      <c r="E1499" s="100" t="s">
        <v>328</v>
      </c>
      <c r="F1499" s="100" t="s">
        <v>491</v>
      </c>
      <c r="G1499" s="100" t="s">
        <v>1661</v>
      </c>
      <c r="H1499" s="99" t="s">
        <v>386</v>
      </c>
      <c r="I1499" s="100" t="s">
        <v>1666</v>
      </c>
      <c r="J1499" t="str">
        <f t="shared" si="48"/>
        <v>10352505 - Miraflores Lote 1 Edificio 1-PV Inmob.</v>
      </c>
      <c r="K1499" t="str">
        <f t="shared" si="49"/>
        <v>Postventa</v>
      </c>
    </row>
    <row r="1500" spans="1:11" x14ac:dyDescent="0.25">
      <c r="A1500" s="99">
        <v>10352506</v>
      </c>
      <c r="B1500" s="100" t="s">
        <v>1410</v>
      </c>
      <c r="C1500" s="100" t="s">
        <v>1685</v>
      </c>
      <c r="D1500" s="100" t="s">
        <v>1665</v>
      </c>
      <c r="E1500" s="100" t="s">
        <v>200</v>
      </c>
      <c r="F1500" s="100" t="s">
        <v>491</v>
      </c>
      <c r="G1500" s="100" t="s">
        <v>1661</v>
      </c>
      <c r="H1500" s="99" t="s">
        <v>386</v>
      </c>
      <c r="I1500" s="100" t="s">
        <v>1666</v>
      </c>
      <c r="J1500" t="str">
        <f t="shared" si="48"/>
        <v>10352506 - Miraflores Lote 1 Edificio 1-Depto.Técnico</v>
      </c>
      <c r="K1500" t="str">
        <f t="shared" si="49"/>
        <v>Proyectos Inmobiliarios</v>
      </c>
    </row>
    <row r="1501" spans="1:11" x14ac:dyDescent="0.25">
      <c r="A1501" s="99">
        <v>8352</v>
      </c>
      <c r="B1501" s="100" t="s">
        <v>2259</v>
      </c>
      <c r="C1501" s="100" t="s">
        <v>1685</v>
      </c>
      <c r="D1501" s="100" t="s">
        <v>1686</v>
      </c>
      <c r="E1501" s="100" t="s">
        <v>1501</v>
      </c>
      <c r="F1501" s="100" t="s">
        <v>491</v>
      </c>
      <c r="G1501" s="100" t="s">
        <v>1661</v>
      </c>
      <c r="H1501" s="99" t="s">
        <v>1672</v>
      </c>
      <c r="I1501" s="100" t="s">
        <v>1666</v>
      </c>
      <c r="J1501" t="str">
        <f t="shared" si="48"/>
        <v>8352 - Entrega Miraflores Lote 1 Edificio 1</v>
      </c>
      <c r="K1501" t="str">
        <f t="shared" si="49"/>
        <v>Entrega</v>
      </c>
    </row>
    <row r="1502" spans="1:11" x14ac:dyDescent="0.25">
      <c r="A1502" s="99">
        <v>9352</v>
      </c>
      <c r="B1502" s="100" t="s">
        <v>2260</v>
      </c>
      <c r="C1502" s="100" t="s">
        <v>1685</v>
      </c>
      <c r="D1502" s="100" t="s">
        <v>66</v>
      </c>
      <c r="E1502" s="100" t="s">
        <v>328</v>
      </c>
      <c r="F1502" s="100" t="s">
        <v>491</v>
      </c>
      <c r="G1502" s="100" t="s">
        <v>1661</v>
      </c>
      <c r="H1502" s="99" t="s">
        <v>1672</v>
      </c>
      <c r="I1502" s="100" t="s">
        <v>1666</v>
      </c>
      <c r="J1502" t="str">
        <f t="shared" si="48"/>
        <v>9352 - PV Miraflores Lote 1 Edificio 1</v>
      </c>
      <c r="K1502" t="str">
        <f t="shared" si="49"/>
        <v>Postventa</v>
      </c>
    </row>
    <row r="1503" spans="1:11" x14ac:dyDescent="0.25">
      <c r="A1503" s="99">
        <v>8266</v>
      </c>
      <c r="B1503" s="100" t="s">
        <v>2261</v>
      </c>
      <c r="C1503" s="100" t="s">
        <v>1685</v>
      </c>
      <c r="D1503" s="100" t="s">
        <v>1686</v>
      </c>
      <c r="E1503" s="100" t="s">
        <v>1501</v>
      </c>
      <c r="F1503" s="100" t="s">
        <v>491</v>
      </c>
      <c r="G1503" s="100" t="s">
        <v>1661</v>
      </c>
      <c r="H1503" s="99" t="s">
        <v>1672</v>
      </c>
      <c r="I1503" s="100" t="s">
        <v>1666</v>
      </c>
      <c r="J1503" t="str">
        <f t="shared" si="48"/>
        <v>8266 - Entrega 18 de Septiembre</v>
      </c>
      <c r="K1503" t="str">
        <f t="shared" si="49"/>
        <v>Entrega</v>
      </c>
    </row>
    <row r="1504" spans="1:11" x14ac:dyDescent="0.25">
      <c r="A1504" s="99">
        <v>9266</v>
      </c>
      <c r="B1504" s="100" t="s">
        <v>2262</v>
      </c>
      <c r="C1504" s="100" t="s">
        <v>1685</v>
      </c>
      <c r="D1504" s="100" t="s">
        <v>66</v>
      </c>
      <c r="E1504" s="100" t="s">
        <v>328</v>
      </c>
      <c r="F1504" s="100" t="s">
        <v>491</v>
      </c>
      <c r="G1504" s="100" t="s">
        <v>1661</v>
      </c>
      <c r="H1504" s="99" t="s">
        <v>1672</v>
      </c>
      <c r="I1504" s="100" t="s">
        <v>1666</v>
      </c>
      <c r="J1504" t="str">
        <f t="shared" si="48"/>
        <v>9266 - PV 18 de Septiembre</v>
      </c>
      <c r="K1504" t="str">
        <f t="shared" si="49"/>
        <v>Postventa</v>
      </c>
    </row>
    <row r="1505" spans="1:11" x14ac:dyDescent="0.25">
      <c r="A1505" s="56">
        <v>999999999</v>
      </c>
      <c r="B1505" s="57" t="s">
        <v>1684</v>
      </c>
      <c r="C1505" s="57"/>
      <c r="D1505" s="57" t="s">
        <v>1578</v>
      </c>
      <c r="E1505" s="57" t="s">
        <v>1578</v>
      </c>
      <c r="F1505" s="57" t="s">
        <v>493</v>
      </c>
      <c r="G1505" s="57" t="s">
        <v>1661</v>
      </c>
      <c r="H1505" s="56" t="s">
        <v>1672</v>
      </c>
      <c r="I1505" s="57" t="s">
        <v>1662</v>
      </c>
      <c r="J1505" t="str">
        <f t="shared" si="48"/>
        <v>999999999 - Terreno Abuelo Proyectos sin Terreno</v>
      </c>
      <c r="K1505" t="str">
        <f t="shared" si="49"/>
        <v>Terreno</v>
      </c>
    </row>
    <row r="1506" spans="1:11" x14ac:dyDescent="0.25">
      <c r="A1506" s="56">
        <v>356</v>
      </c>
      <c r="B1506" s="57" t="s">
        <v>493</v>
      </c>
      <c r="C1506" s="57" t="s">
        <v>1685</v>
      </c>
      <c r="D1506" s="57" t="s">
        <v>65</v>
      </c>
      <c r="E1506" s="57" t="s">
        <v>65</v>
      </c>
      <c r="F1506" s="57" t="s">
        <v>493</v>
      </c>
      <c r="G1506" s="57" t="s">
        <v>1663</v>
      </c>
      <c r="H1506" s="56" t="s">
        <v>386</v>
      </c>
      <c r="I1506" s="57" t="s">
        <v>1664</v>
      </c>
      <c r="J1506" t="str">
        <f t="shared" si="48"/>
        <v>356 - Miraflores Lote 2</v>
      </c>
      <c r="K1506" t="str">
        <f t="shared" si="49"/>
        <v>Obra</v>
      </c>
    </row>
    <row r="1507" spans="1:11" x14ac:dyDescent="0.25">
      <c r="A1507" s="56">
        <v>10356000</v>
      </c>
      <c r="B1507" s="57" t="s">
        <v>493</v>
      </c>
      <c r="C1507" s="57" t="s">
        <v>1685</v>
      </c>
      <c r="D1507" s="57" t="s">
        <v>1665</v>
      </c>
      <c r="E1507" s="57" t="s">
        <v>1585</v>
      </c>
      <c r="F1507" s="57" t="s">
        <v>493</v>
      </c>
      <c r="G1507" s="57" t="s">
        <v>1661</v>
      </c>
      <c r="H1507" s="56" t="s">
        <v>386</v>
      </c>
      <c r="I1507" s="57" t="s">
        <v>1666</v>
      </c>
      <c r="J1507" t="str">
        <f t="shared" si="48"/>
        <v>10356000 - Miraflores Lote 2</v>
      </c>
      <c r="K1507" t="str">
        <f t="shared" si="49"/>
        <v>Proyectos Inmobiliarios</v>
      </c>
    </row>
    <row r="1508" spans="1:11" x14ac:dyDescent="0.25">
      <c r="A1508" s="56">
        <v>10356102</v>
      </c>
      <c r="B1508" s="57" t="s">
        <v>1419</v>
      </c>
      <c r="C1508" s="57" t="s">
        <v>1685</v>
      </c>
      <c r="D1508" s="57" t="s">
        <v>1665</v>
      </c>
      <c r="E1508" s="57" t="s">
        <v>1617</v>
      </c>
      <c r="F1508" s="57" t="s">
        <v>493</v>
      </c>
      <c r="G1508" s="57" t="s">
        <v>1661</v>
      </c>
      <c r="H1508" s="56" t="s">
        <v>386</v>
      </c>
      <c r="I1508" s="57" t="s">
        <v>1666</v>
      </c>
      <c r="J1508" t="str">
        <f t="shared" si="48"/>
        <v>10356102 - Miraflores Lote 2-Marketing</v>
      </c>
      <c r="K1508" t="str">
        <f t="shared" si="49"/>
        <v>Proyectos Inmobiliarios</v>
      </c>
    </row>
    <row r="1509" spans="1:11" x14ac:dyDescent="0.25">
      <c r="A1509" s="56">
        <v>10356103</v>
      </c>
      <c r="B1509" s="57" t="s">
        <v>1420</v>
      </c>
      <c r="C1509" s="57" t="s">
        <v>1685</v>
      </c>
      <c r="D1509" s="57" t="s">
        <v>1665</v>
      </c>
      <c r="E1509" s="57" t="s">
        <v>1618</v>
      </c>
      <c r="F1509" s="57" t="s">
        <v>493</v>
      </c>
      <c r="G1509" s="57" t="s">
        <v>1661</v>
      </c>
      <c r="H1509" s="56" t="s">
        <v>386</v>
      </c>
      <c r="I1509" s="57" t="s">
        <v>1666</v>
      </c>
      <c r="J1509" t="str">
        <f t="shared" si="48"/>
        <v>10356103 - Miraflores Lote 2-Operaciones</v>
      </c>
      <c r="K1509" t="str">
        <f t="shared" si="49"/>
        <v>Proyectos Inmobiliarios</v>
      </c>
    </row>
    <row r="1510" spans="1:11" x14ac:dyDescent="0.25">
      <c r="A1510" s="56">
        <v>10356104</v>
      </c>
      <c r="B1510" s="57" t="s">
        <v>1421</v>
      </c>
      <c r="C1510" s="57" t="s">
        <v>1685</v>
      </c>
      <c r="D1510" s="57" t="s">
        <v>1665</v>
      </c>
      <c r="E1510" s="57" t="s">
        <v>90</v>
      </c>
      <c r="F1510" s="57" t="s">
        <v>493</v>
      </c>
      <c r="G1510" s="57" t="s">
        <v>1661</v>
      </c>
      <c r="H1510" s="56" t="s">
        <v>386</v>
      </c>
      <c r="I1510" s="57" t="s">
        <v>1666</v>
      </c>
      <c r="J1510" t="str">
        <f t="shared" si="48"/>
        <v>10356104 - Miraflores Lote 2-Ventas</v>
      </c>
      <c r="K1510" t="str">
        <f t="shared" si="49"/>
        <v>Proyectos Inmobiliarios</v>
      </c>
    </row>
    <row r="1511" spans="1:11" x14ac:dyDescent="0.25">
      <c r="A1511" s="56">
        <v>10356105</v>
      </c>
      <c r="B1511" s="57" t="s">
        <v>1422</v>
      </c>
      <c r="C1511" s="57" t="s">
        <v>1685</v>
      </c>
      <c r="D1511" s="57" t="s">
        <v>1665</v>
      </c>
      <c r="E1511" s="57" t="s">
        <v>1622</v>
      </c>
      <c r="F1511" s="57" t="s">
        <v>493</v>
      </c>
      <c r="G1511" s="57" t="s">
        <v>1661</v>
      </c>
      <c r="H1511" s="56" t="s">
        <v>386</v>
      </c>
      <c r="I1511" s="57" t="s">
        <v>1666</v>
      </c>
      <c r="J1511" t="str">
        <f t="shared" si="48"/>
        <v>10356105 - Miraflores Lote 2-Clientes</v>
      </c>
      <c r="K1511" t="str">
        <f t="shared" si="49"/>
        <v>Proyectos Inmobiliarios</v>
      </c>
    </row>
    <row r="1512" spans="1:11" x14ac:dyDescent="0.25">
      <c r="A1512" s="56">
        <v>10356204</v>
      </c>
      <c r="B1512" s="57" t="s">
        <v>1423</v>
      </c>
      <c r="C1512" s="57" t="s">
        <v>1685</v>
      </c>
      <c r="D1512" s="57" t="s">
        <v>1665</v>
      </c>
      <c r="E1512" s="57" t="s">
        <v>1624</v>
      </c>
      <c r="F1512" s="57" t="s">
        <v>493</v>
      </c>
      <c r="G1512" s="57" t="s">
        <v>1661</v>
      </c>
      <c r="H1512" s="56" t="s">
        <v>386</v>
      </c>
      <c r="I1512" s="57" t="s">
        <v>1666</v>
      </c>
      <c r="J1512" t="str">
        <f t="shared" si="48"/>
        <v>10356204 - Miraflores Lote 2-Proyecto</v>
      </c>
      <c r="K1512" t="str">
        <f t="shared" si="49"/>
        <v>Proyectos Inmobiliarios</v>
      </c>
    </row>
    <row r="1513" spans="1:11" x14ac:dyDescent="0.25">
      <c r="A1513" s="56">
        <v>10356301</v>
      </c>
      <c r="B1513" s="57" t="s">
        <v>1424</v>
      </c>
      <c r="C1513" s="57" t="s">
        <v>1685</v>
      </c>
      <c r="D1513" s="57" t="s">
        <v>1665</v>
      </c>
      <c r="E1513" s="57" t="s">
        <v>1643</v>
      </c>
      <c r="F1513" s="57" t="s">
        <v>493</v>
      </c>
      <c r="G1513" s="57" t="s">
        <v>1667</v>
      </c>
      <c r="H1513" s="56" t="s">
        <v>386</v>
      </c>
      <c r="I1513" s="57" t="s">
        <v>1666</v>
      </c>
      <c r="J1513" t="str">
        <f t="shared" si="48"/>
        <v>10356301 - Miraflores Lote 2-GAF</v>
      </c>
      <c r="K1513" t="str">
        <f t="shared" si="49"/>
        <v>Proyectos Inmobiliarios</v>
      </c>
    </row>
    <row r="1514" spans="1:11" x14ac:dyDescent="0.25">
      <c r="A1514" s="56">
        <v>10356505</v>
      </c>
      <c r="B1514" s="57" t="s">
        <v>1425</v>
      </c>
      <c r="C1514" s="57" t="s">
        <v>1685</v>
      </c>
      <c r="D1514" s="57" t="s">
        <v>66</v>
      </c>
      <c r="E1514" s="57" t="s">
        <v>328</v>
      </c>
      <c r="F1514" s="57" t="s">
        <v>493</v>
      </c>
      <c r="G1514" s="57" t="s">
        <v>1661</v>
      </c>
      <c r="H1514" s="56" t="s">
        <v>386</v>
      </c>
      <c r="I1514" s="57" t="s">
        <v>1666</v>
      </c>
      <c r="J1514" t="str">
        <f t="shared" si="48"/>
        <v>10356505 - Miraflores Lote 2-PV Inmob.</v>
      </c>
      <c r="K1514" t="str">
        <f t="shared" si="49"/>
        <v>Postventa</v>
      </c>
    </row>
    <row r="1515" spans="1:11" x14ac:dyDescent="0.25">
      <c r="A1515" s="56">
        <v>10356506</v>
      </c>
      <c r="B1515" s="57" t="s">
        <v>1426</v>
      </c>
      <c r="C1515" s="57" t="s">
        <v>1685</v>
      </c>
      <c r="D1515" s="57" t="s">
        <v>1665</v>
      </c>
      <c r="E1515" s="57" t="s">
        <v>200</v>
      </c>
      <c r="F1515" s="57" t="s">
        <v>493</v>
      </c>
      <c r="G1515" s="57" t="s">
        <v>1661</v>
      </c>
      <c r="H1515" s="56" t="s">
        <v>386</v>
      </c>
      <c r="I1515" s="57" t="s">
        <v>1666</v>
      </c>
      <c r="J1515" t="str">
        <f t="shared" si="48"/>
        <v>10356506 - Miraflores Lote 2-Depto.Técnico</v>
      </c>
      <c r="K1515" t="str">
        <f t="shared" si="49"/>
        <v>Proyectos Inmobiliarios</v>
      </c>
    </row>
    <row r="1516" spans="1:11" x14ac:dyDescent="0.25">
      <c r="A1516" s="56">
        <v>8356</v>
      </c>
      <c r="B1516" s="57" t="s">
        <v>2263</v>
      </c>
      <c r="C1516" s="57" t="s">
        <v>1685</v>
      </c>
      <c r="D1516" s="57" t="s">
        <v>1686</v>
      </c>
      <c r="E1516" s="57" t="s">
        <v>1501</v>
      </c>
      <c r="F1516" s="57" t="s">
        <v>493</v>
      </c>
      <c r="G1516" s="57" t="s">
        <v>1661</v>
      </c>
      <c r="H1516" s="56" t="s">
        <v>1672</v>
      </c>
      <c r="I1516" s="57" t="s">
        <v>1666</v>
      </c>
      <c r="J1516" t="str">
        <f t="shared" si="48"/>
        <v>8356 - Entrega Miraflores Lote 2</v>
      </c>
      <c r="K1516" t="str">
        <f t="shared" si="49"/>
        <v>Entrega</v>
      </c>
    </row>
    <row r="1517" spans="1:11" x14ac:dyDescent="0.25">
      <c r="A1517" s="56">
        <v>9356</v>
      </c>
      <c r="B1517" s="57" t="s">
        <v>2264</v>
      </c>
      <c r="C1517" s="57" t="s">
        <v>1685</v>
      </c>
      <c r="D1517" s="57" t="s">
        <v>66</v>
      </c>
      <c r="E1517" s="57" t="s">
        <v>328</v>
      </c>
      <c r="F1517" s="57" t="s">
        <v>493</v>
      </c>
      <c r="G1517" s="57" t="s">
        <v>1661</v>
      </c>
      <c r="H1517" s="56" t="s">
        <v>1672</v>
      </c>
      <c r="I1517" s="57" t="s">
        <v>1666</v>
      </c>
      <c r="J1517" t="str">
        <f t="shared" si="48"/>
        <v>9356 - PV Miraflores Lote 2</v>
      </c>
      <c r="K1517" t="str">
        <f t="shared" si="49"/>
        <v>Postventa</v>
      </c>
    </row>
    <row r="1518" spans="1:11" x14ac:dyDescent="0.25">
      <c r="A1518" s="48">
        <v>999999999</v>
      </c>
      <c r="B1518" s="49" t="s">
        <v>1684</v>
      </c>
      <c r="C1518" s="49"/>
      <c r="D1518" s="49" t="s">
        <v>1578</v>
      </c>
      <c r="E1518" s="49" t="s">
        <v>1578</v>
      </c>
      <c r="F1518" s="49" t="s">
        <v>2265</v>
      </c>
      <c r="G1518" s="49" t="s">
        <v>1661</v>
      </c>
      <c r="H1518" s="48" t="s">
        <v>1672</v>
      </c>
      <c r="I1518" s="49" t="s">
        <v>1662</v>
      </c>
      <c r="J1518" t="str">
        <f t="shared" si="48"/>
        <v>999999999 - Terreno Abuelo Proyectos sin Terreno</v>
      </c>
      <c r="K1518" t="str">
        <f t="shared" si="49"/>
        <v>Terreno</v>
      </c>
    </row>
    <row r="1519" spans="1:11" x14ac:dyDescent="0.25">
      <c r="A1519" s="48">
        <v>10</v>
      </c>
      <c r="B1519" s="49" t="s">
        <v>2266</v>
      </c>
      <c r="C1519" s="49" t="s">
        <v>1660</v>
      </c>
      <c r="D1519" s="49" t="s">
        <v>65</v>
      </c>
      <c r="E1519" s="49" t="s">
        <v>65</v>
      </c>
      <c r="F1519" s="49" t="s">
        <v>2265</v>
      </c>
      <c r="G1519" s="49" t="s">
        <v>1663</v>
      </c>
      <c r="H1519" s="48" t="s">
        <v>1672</v>
      </c>
      <c r="I1519" s="49" t="s">
        <v>1664</v>
      </c>
      <c r="J1519" t="str">
        <f t="shared" si="48"/>
        <v>10 - Edificio Miramar</v>
      </c>
      <c r="K1519" t="str">
        <f t="shared" si="49"/>
        <v>Obra</v>
      </c>
    </row>
    <row r="1520" spans="1:11" x14ac:dyDescent="0.25">
      <c r="A1520" s="48">
        <v>9010</v>
      </c>
      <c r="B1520" s="49" t="s">
        <v>561</v>
      </c>
      <c r="C1520" s="49" t="s">
        <v>1660</v>
      </c>
      <c r="D1520" s="49" t="s">
        <v>66</v>
      </c>
      <c r="E1520" s="49" t="s">
        <v>328</v>
      </c>
      <c r="F1520" s="49" t="s">
        <v>2265</v>
      </c>
      <c r="G1520" s="49" t="s">
        <v>1661</v>
      </c>
      <c r="H1520" s="48" t="s">
        <v>386</v>
      </c>
      <c r="I1520" s="49" t="s">
        <v>1666</v>
      </c>
      <c r="J1520" t="str">
        <f t="shared" si="48"/>
        <v>9010 - PV Miramar</v>
      </c>
      <c r="K1520" t="str">
        <f t="shared" si="49"/>
        <v>Postventa</v>
      </c>
    </row>
    <row r="1521" spans="1:11" x14ac:dyDescent="0.25">
      <c r="A1521" s="48">
        <v>10008000</v>
      </c>
      <c r="B1521" s="49" t="s">
        <v>2265</v>
      </c>
      <c r="C1521" s="49" t="s">
        <v>1660</v>
      </c>
      <c r="D1521" s="49" t="s">
        <v>1665</v>
      </c>
      <c r="E1521" s="49" t="s">
        <v>1585</v>
      </c>
      <c r="F1521" s="49" t="s">
        <v>2265</v>
      </c>
      <c r="G1521" s="49" t="s">
        <v>1661</v>
      </c>
      <c r="H1521" s="48" t="s">
        <v>1672</v>
      </c>
      <c r="I1521" s="49" t="s">
        <v>1666</v>
      </c>
      <c r="J1521" t="str">
        <f t="shared" si="48"/>
        <v>10008000 - Miramar</v>
      </c>
      <c r="K1521" t="str">
        <f t="shared" si="49"/>
        <v>Proyectos Inmobiliarios</v>
      </c>
    </row>
    <row r="1522" spans="1:11" x14ac:dyDescent="0.25">
      <c r="A1522" s="58">
        <v>999999999</v>
      </c>
      <c r="B1522" s="59" t="s">
        <v>1684</v>
      </c>
      <c r="C1522" s="59"/>
      <c r="D1522" s="59" t="s">
        <v>1578</v>
      </c>
      <c r="E1522" s="59" t="s">
        <v>1578</v>
      </c>
      <c r="F1522" s="59" t="s">
        <v>2267</v>
      </c>
      <c r="G1522" s="59" t="s">
        <v>1661</v>
      </c>
      <c r="H1522" s="58" t="s">
        <v>1672</v>
      </c>
      <c r="I1522" s="59" t="s">
        <v>1662</v>
      </c>
      <c r="J1522" t="str">
        <f t="shared" si="48"/>
        <v>999999999 - Terreno Abuelo Proyectos sin Terreno</v>
      </c>
      <c r="K1522" t="str">
        <f t="shared" si="49"/>
        <v>Terreno</v>
      </c>
    </row>
    <row r="1523" spans="1:11" x14ac:dyDescent="0.25">
      <c r="A1523" s="58">
        <v>39</v>
      </c>
      <c r="B1523" s="59" t="s">
        <v>2268</v>
      </c>
      <c r="C1523" s="59" t="s">
        <v>1685</v>
      </c>
      <c r="D1523" s="59" t="s">
        <v>65</v>
      </c>
      <c r="E1523" s="59" t="s">
        <v>65</v>
      </c>
      <c r="F1523" s="59" t="s">
        <v>2267</v>
      </c>
      <c r="G1523" s="59" t="s">
        <v>1663</v>
      </c>
      <c r="H1523" s="58" t="s">
        <v>1672</v>
      </c>
      <c r="I1523" s="59" t="s">
        <v>1664</v>
      </c>
      <c r="J1523" t="str">
        <f t="shared" si="48"/>
        <v>39 - La Foresta</v>
      </c>
      <c r="K1523" t="str">
        <f t="shared" si="49"/>
        <v>Obra</v>
      </c>
    </row>
    <row r="1524" spans="1:11" x14ac:dyDescent="0.25">
      <c r="A1524" s="58">
        <v>9039</v>
      </c>
      <c r="B1524" s="59" t="s">
        <v>586</v>
      </c>
      <c r="C1524" s="59" t="s">
        <v>1685</v>
      </c>
      <c r="D1524" s="59" t="s">
        <v>66</v>
      </c>
      <c r="E1524" s="59" t="s">
        <v>328</v>
      </c>
      <c r="F1524" s="59" t="s">
        <v>2267</v>
      </c>
      <c r="G1524" s="59" t="s">
        <v>1661</v>
      </c>
      <c r="H1524" s="58" t="s">
        <v>386</v>
      </c>
      <c r="I1524" s="59" t="s">
        <v>1666</v>
      </c>
      <c r="J1524" t="str">
        <f t="shared" si="48"/>
        <v>9039 - PV Monte Azul</v>
      </c>
      <c r="K1524" t="str">
        <f t="shared" si="49"/>
        <v>Postventa</v>
      </c>
    </row>
    <row r="1525" spans="1:11" x14ac:dyDescent="0.25">
      <c r="A1525" s="58">
        <v>10024000</v>
      </c>
      <c r="B1525" s="59" t="s">
        <v>2267</v>
      </c>
      <c r="C1525" s="59" t="s">
        <v>1685</v>
      </c>
      <c r="D1525" s="59" t="s">
        <v>1665</v>
      </c>
      <c r="E1525" s="59" t="s">
        <v>1585</v>
      </c>
      <c r="F1525" s="59" t="s">
        <v>2267</v>
      </c>
      <c r="G1525" s="59" t="s">
        <v>1661</v>
      </c>
      <c r="H1525" s="58" t="s">
        <v>1672</v>
      </c>
      <c r="I1525" s="59" t="s">
        <v>1666</v>
      </c>
      <c r="J1525" t="str">
        <f t="shared" si="48"/>
        <v>10024000 - Monte Azul</v>
      </c>
      <c r="K1525" t="str">
        <f t="shared" si="49"/>
        <v>Proyectos Inmobiliarios</v>
      </c>
    </row>
    <row r="1526" spans="1:11" x14ac:dyDescent="0.25">
      <c r="A1526" s="58">
        <v>10024102</v>
      </c>
      <c r="B1526" s="59" t="s">
        <v>2269</v>
      </c>
      <c r="C1526" s="59" t="s">
        <v>1685</v>
      </c>
      <c r="D1526" s="59" t="s">
        <v>1665</v>
      </c>
      <c r="E1526" s="59" t="s">
        <v>1617</v>
      </c>
      <c r="F1526" s="59" t="s">
        <v>2267</v>
      </c>
      <c r="G1526" s="59" t="s">
        <v>1661</v>
      </c>
      <c r="H1526" s="58" t="s">
        <v>1672</v>
      </c>
      <c r="I1526" s="59" t="s">
        <v>1666</v>
      </c>
      <c r="J1526" t="str">
        <f t="shared" si="48"/>
        <v>10024102 - Monte Azul-Marketing</v>
      </c>
      <c r="K1526" t="str">
        <f t="shared" si="49"/>
        <v>Proyectos Inmobiliarios</v>
      </c>
    </row>
    <row r="1527" spans="1:11" x14ac:dyDescent="0.25">
      <c r="A1527" s="58">
        <v>10024103</v>
      </c>
      <c r="B1527" s="59" t="s">
        <v>2270</v>
      </c>
      <c r="C1527" s="59" t="s">
        <v>1685</v>
      </c>
      <c r="D1527" s="59" t="s">
        <v>1665</v>
      </c>
      <c r="E1527" s="59" t="s">
        <v>1618</v>
      </c>
      <c r="F1527" s="59" t="s">
        <v>2267</v>
      </c>
      <c r="G1527" s="59" t="s">
        <v>1661</v>
      </c>
      <c r="H1527" s="58" t="s">
        <v>1672</v>
      </c>
      <c r="I1527" s="59" t="s">
        <v>1666</v>
      </c>
      <c r="J1527" t="str">
        <f t="shared" si="48"/>
        <v>10024103 - Monte Azul-Operaciones</v>
      </c>
      <c r="K1527" t="str">
        <f t="shared" si="49"/>
        <v>Proyectos Inmobiliarios</v>
      </c>
    </row>
    <row r="1528" spans="1:11" x14ac:dyDescent="0.25">
      <c r="A1528" s="58">
        <v>10024104</v>
      </c>
      <c r="B1528" s="59" t="s">
        <v>2271</v>
      </c>
      <c r="C1528" s="59" t="s">
        <v>1685</v>
      </c>
      <c r="D1528" s="59" t="s">
        <v>1665</v>
      </c>
      <c r="E1528" s="59" t="s">
        <v>90</v>
      </c>
      <c r="F1528" s="59" t="s">
        <v>2267</v>
      </c>
      <c r="G1528" s="59" t="s">
        <v>1661</v>
      </c>
      <c r="H1528" s="58" t="s">
        <v>1672</v>
      </c>
      <c r="I1528" s="59" t="s">
        <v>1666</v>
      </c>
      <c r="J1528" t="str">
        <f t="shared" si="48"/>
        <v>10024104 - Monte Azul-Ventas</v>
      </c>
      <c r="K1528" t="str">
        <f t="shared" si="49"/>
        <v>Proyectos Inmobiliarios</v>
      </c>
    </row>
    <row r="1529" spans="1:11" x14ac:dyDescent="0.25">
      <c r="A1529" s="58">
        <v>10024105</v>
      </c>
      <c r="B1529" s="59" t="s">
        <v>2272</v>
      </c>
      <c r="C1529" s="59" t="s">
        <v>1685</v>
      </c>
      <c r="D1529" s="59" t="s">
        <v>1665</v>
      </c>
      <c r="E1529" s="59" t="s">
        <v>1622</v>
      </c>
      <c r="F1529" s="59" t="s">
        <v>2267</v>
      </c>
      <c r="G1529" s="59" t="s">
        <v>1661</v>
      </c>
      <c r="H1529" s="58" t="s">
        <v>1672</v>
      </c>
      <c r="I1529" s="59" t="s">
        <v>1666</v>
      </c>
      <c r="J1529" t="str">
        <f t="shared" si="48"/>
        <v>10024105 - Monte Azul-Clientes</v>
      </c>
      <c r="K1529" t="str">
        <f t="shared" si="49"/>
        <v>Proyectos Inmobiliarios</v>
      </c>
    </row>
    <row r="1530" spans="1:11" x14ac:dyDescent="0.25">
      <c r="A1530" s="58">
        <v>10024205</v>
      </c>
      <c r="B1530" s="59" t="s">
        <v>2273</v>
      </c>
      <c r="C1530" s="59" t="s">
        <v>1685</v>
      </c>
      <c r="D1530" s="59" t="s">
        <v>1665</v>
      </c>
      <c r="E1530" s="59" t="s">
        <v>1624</v>
      </c>
      <c r="F1530" s="59" t="s">
        <v>2267</v>
      </c>
      <c r="G1530" s="59" t="s">
        <v>1661</v>
      </c>
      <c r="H1530" s="58" t="s">
        <v>1672</v>
      </c>
      <c r="I1530" s="59" t="s">
        <v>1666</v>
      </c>
      <c r="J1530" t="str">
        <f t="shared" si="48"/>
        <v>10024205 - Monte Azul-Proyecto</v>
      </c>
      <c r="K1530" t="str">
        <f t="shared" si="49"/>
        <v>Proyectos Inmobiliarios</v>
      </c>
    </row>
    <row r="1531" spans="1:11" x14ac:dyDescent="0.25">
      <c r="A1531" s="58">
        <v>10024301</v>
      </c>
      <c r="B1531" s="59" t="s">
        <v>2274</v>
      </c>
      <c r="C1531" s="59" t="s">
        <v>1685</v>
      </c>
      <c r="D1531" s="59" t="s">
        <v>1665</v>
      </c>
      <c r="E1531" s="59" t="s">
        <v>1643</v>
      </c>
      <c r="F1531" s="59" t="s">
        <v>2267</v>
      </c>
      <c r="G1531" s="59" t="s">
        <v>1667</v>
      </c>
      <c r="H1531" s="58" t="s">
        <v>1672</v>
      </c>
      <c r="I1531" s="59" t="s">
        <v>1666</v>
      </c>
      <c r="J1531" t="str">
        <f t="shared" si="48"/>
        <v>10024301 - Monte Azul-GAF</v>
      </c>
      <c r="K1531" t="str">
        <f t="shared" si="49"/>
        <v>Proyectos Inmobiliarios</v>
      </c>
    </row>
    <row r="1532" spans="1:11" x14ac:dyDescent="0.25">
      <c r="A1532" s="58">
        <v>10024505</v>
      </c>
      <c r="B1532" s="59" t="s">
        <v>2275</v>
      </c>
      <c r="C1532" s="59" t="s">
        <v>1685</v>
      </c>
      <c r="D1532" s="59" t="s">
        <v>66</v>
      </c>
      <c r="E1532" s="59" t="s">
        <v>328</v>
      </c>
      <c r="F1532" s="59" t="s">
        <v>2267</v>
      </c>
      <c r="G1532" s="59" t="s">
        <v>1661</v>
      </c>
      <c r="H1532" s="58" t="s">
        <v>1672</v>
      </c>
      <c r="I1532" s="59" t="s">
        <v>1666</v>
      </c>
      <c r="J1532" t="str">
        <f t="shared" si="48"/>
        <v>10024505 - Monte Azul-PV Inmob.</v>
      </c>
      <c r="K1532" t="str">
        <f t="shared" si="49"/>
        <v>Postventa</v>
      </c>
    </row>
    <row r="1533" spans="1:11" x14ac:dyDescent="0.25">
      <c r="A1533" s="58">
        <v>10024506</v>
      </c>
      <c r="B1533" s="59" t="s">
        <v>2276</v>
      </c>
      <c r="C1533" s="59" t="s">
        <v>1685</v>
      </c>
      <c r="D1533" s="59" t="s">
        <v>1665</v>
      </c>
      <c r="E1533" s="59" t="s">
        <v>200</v>
      </c>
      <c r="F1533" s="59" t="s">
        <v>2267</v>
      </c>
      <c r="G1533" s="59" t="s">
        <v>1661</v>
      </c>
      <c r="H1533" s="58" t="s">
        <v>1672</v>
      </c>
      <c r="I1533" s="59" t="s">
        <v>1666</v>
      </c>
      <c r="J1533" t="str">
        <f t="shared" si="48"/>
        <v>10024506 - Monte Azul-Depto.Técnico</v>
      </c>
      <c r="K1533" t="str">
        <f t="shared" si="49"/>
        <v>Proyectos Inmobiliarios</v>
      </c>
    </row>
    <row r="1534" spans="1:11" x14ac:dyDescent="0.25">
      <c r="A1534" s="50">
        <v>999999999</v>
      </c>
      <c r="B1534" s="51" t="s">
        <v>1684</v>
      </c>
      <c r="C1534" s="51"/>
      <c r="D1534" s="51" t="s">
        <v>1578</v>
      </c>
      <c r="E1534" s="51" t="s">
        <v>1578</v>
      </c>
      <c r="F1534" s="51" t="s">
        <v>2277</v>
      </c>
      <c r="G1534" s="51" t="s">
        <v>1661</v>
      </c>
      <c r="H1534" s="50" t="s">
        <v>1672</v>
      </c>
      <c r="I1534" s="51" t="s">
        <v>1662</v>
      </c>
      <c r="J1534" t="str">
        <f t="shared" si="48"/>
        <v>999999999 - Terreno Abuelo Proyectos sin Terreno</v>
      </c>
      <c r="K1534" t="str">
        <f t="shared" si="49"/>
        <v>Terreno</v>
      </c>
    </row>
    <row r="1535" spans="1:11" x14ac:dyDescent="0.25">
      <c r="A1535" s="50">
        <v>10166000</v>
      </c>
      <c r="B1535" s="51" t="s">
        <v>2277</v>
      </c>
      <c r="C1535" s="51" t="s">
        <v>1685</v>
      </c>
      <c r="D1535" s="51" t="s">
        <v>1665</v>
      </c>
      <c r="E1535" s="51" t="s">
        <v>1585</v>
      </c>
      <c r="F1535" s="51" t="s">
        <v>2277</v>
      </c>
      <c r="G1535" s="51" t="s">
        <v>1661</v>
      </c>
      <c r="H1535" s="50" t="s">
        <v>1672</v>
      </c>
      <c r="I1535" s="51" t="s">
        <v>1666</v>
      </c>
      <c r="J1535" t="str">
        <f t="shared" si="48"/>
        <v>10166000 - Monte Azul II</v>
      </c>
      <c r="K1535" t="str">
        <f t="shared" si="49"/>
        <v>Proyectos Inmobiliarios</v>
      </c>
    </row>
    <row r="1536" spans="1:11" x14ac:dyDescent="0.25">
      <c r="A1536" s="50">
        <v>10166102</v>
      </c>
      <c r="B1536" s="51" t="s">
        <v>2278</v>
      </c>
      <c r="C1536" s="51" t="s">
        <v>1685</v>
      </c>
      <c r="D1536" s="51" t="s">
        <v>1665</v>
      </c>
      <c r="E1536" s="51" t="s">
        <v>1617</v>
      </c>
      <c r="F1536" s="51" t="s">
        <v>2277</v>
      </c>
      <c r="G1536" s="51" t="s">
        <v>1661</v>
      </c>
      <c r="H1536" s="50" t="s">
        <v>1672</v>
      </c>
      <c r="I1536" s="51" t="s">
        <v>1666</v>
      </c>
      <c r="J1536" t="str">
        <f t="shared" si="48"/>
        <v>10166102 - Monte Azul II-Marketing</v>
      </c>
      <c r="K1536" t="str">
        <f t="shared" si="49"/>
        <v>Proyectos Inmobiliarios</v>
      </c>
    </row>
    <row r="1537" spans="1:11" x14ac:dyDescent="0.25">
      <c r="A1537" s="50">
        <v>10166103</v>
      </c>
      <c r="B1537" s="51" t="s">
        <v>2279</v>
      </c>
      <c r="C1537" s="51" t="s">
        <v>1685</v>
      </c>
      <c r="D1537" s="51" t="s">
        <v>1665</v>
      </c>
      <c r="E1537" s="51" t="s">
        <v>1618</v>
      </c>
      <c r="F1537" s="51" t="s">
        <v>2277</v>
      </c>
      <c r="G1537" s="51" t="s">
        <v>1661</v>
      </c>
      <c r="H1537" s="50" t="s">
        <v>1672</v>
      </c>
      <c r="I1537" s="51" t="s">
        <v>1666</v>
      </c>
      <c r="J1537" t="str">
        <f t="shared" si="48"/>
        <v>10166103 - Monte Azul II-Operaciones</v>
      </c>
      <c r="K1537" t="str">
        <f t="shared" si="49"/>
        <v>Proyectos Inmobiliarios</v>
      </c>
    </row>
    <row r="1538" spans="1:11" x14ac:dyDescent="0.25">
      <c r="A1538" s="50">
        <v>10166104</v>
      </c>
      <c r="B1538" s="51" t="s">
        <v>2280</v>
      </c>
      <c r="C1538" s="51" t="s">
        <v>1685</v>
      </c>
      <c r="D1538" s="51" t="s">
        <v>1665</v>
      </c>
      <c r="E1538" s="51" t="s">
        <v>90</v>
      </c>
      <c r="F1538" s="51" t="s">
        <v>2277</v>
      </c>
      <c r="G1538" s="51" t="s">
        <v>1661</v>
      </c>
      <c r="H1538" s="50" t="s">
        <v>1672</v>
      </c>
      <c r="I1538" s="51" t="s">
        <v>1666</v>
      </c>
      <c r="J1538" t="str">
        <f t="shared" si="48"/>
        <v>10166104 - Monte Azul II-Ventas</v>
      </c>
      <c r="K1538" t="str">
        <f t="shared" si="49"/>
        <v>Proyectos Inmobiliarios</v>
      </c>
    </row>
    <row r="1539" spans="1:11" x14ac:dyDescent="0.25">
      <c r="A1539" s="50">
        <v>10166105</v>
      </c>
      <c r="B1539" s="51" t="s">
        <v>2281</v>
      </c>
      <c r="C1539" s="51" t="s">
        <v>1685</v>
      </c>
      <c r="D1539" s="51" t="s">
        <v>1665</v>
      </c>
      <c r="E1539" s="51" t="s">
        <v>1622</v>
      </c>
      <c r="F1539" s="51" t="s">
        <v>2277</v>
      </c>
      <c r="G1539" s="51" t="s">
        <v>1661</v>
      </c>
      <c r="H1539" s="50" t="s">
        <v>1672</v>
      </c>
      <c r="I1539" s="51" t="s">
        <v>1666</v>
      </c>
      <c r="J1539" t="str">
        <f t="shared" si="48"/>
        <v>10166105 - Monte Azul II-Clientes</v>
      </c>
      <c r="K1539" t="str">
        <f t="shared" si="49"/>
        <v>Proyectos Inmobiliarios</v>
      </c>
    </row>
    <row r="1540" spans="1:11" x14ac:dyDescent="0.25">
      <c r="A1540" s="50">
        <v>10166205</v>
      </c>
      <c r="B1540" s="51" t="s">
        <v>2282</v>
      </c>
      <c r="C1540" s="51" t="s">
        <v>1685</v>
      </c>
      <c r="D1540" s="51" t="s">
        <v>1665</v>
      </c>
      <c r="E1540" s="51" t="s">
        <v>1624</v>
      </c>
      <c r="F1540" s="51" t="s">
        <v>2277</v>
      </c>
      <c r="G1540" s="51" t="s">
        <v>1661</v>
      </c>
      <c r="H1540" s="50" t="s">
        <v>1672</v>
      </c>
      <c r="I1540" s="51" t="s">
        <v>1666</v>
      </c>
      <c r="J1540" t="str">
        <f t="shared" si="48"/>
        <v>10166205 - Monte Azul II-Proyecto</v>
      </c>
      <c r="K1540" t="str">
        <f t="shared" si="49"/>
        <v>Proyectos Inmobiliarios</v>
      </c>
    </row>
    <row r="1541" spans="1:11" x14ac:dyDescent="0.25">
      <c r="A1541" s="50">
        <v>10166301</v>
      </c>
      <c r="B1541" s="51" t="s">
        <v>2283</v>
      </c>
      <c r="C1541" s="51" t="s">
        <v>1685</v>
      </c>
      <c r="D1541" s="51" t="s">
        <v>1665</v>
      </c>
      <c r="E1541" s="51" t="s">
        <v>1643</v>
      </c>
      <c r="F1541" s="51" t="s">
        <v>2277</v>
      </c>
      <c r="G1541" s="51" t="s">
        <v>1667</v>
      </c>
      <c r="H1541" s="50" t="s">
        <v>1672</v>
      </c>
      <c r="I1541" s="51" t="s">
        <v>1666</v>
      </c>
      <c r="J1541" t="str">
        <f t="shared" ref="J1541:J1604" si="50">+A1541&amp;" - "&amp;B1541</f>
        <v>10166301 - Monte Azul II-GAF</v>
      </c>
      <c r="K1541" t="str">
        <f t="shared" ref="K1541:K1604" si="51">+D1541</f>
        <v>Proyectos Inmobiliarios</v>
      </c>
    </row>
    <row r="1542" spans="1:11" x14ac:dyDescent="0.25">
      <c r="A1542" s="50">
        <v>10166505</v>
      </c>
      <c r="B1542" s="51" t="s">
        <v>2284</v>
      </c>
      <c r="C1542" s="51" t="s">
        <v>1685</v>
      </c>
      <c r="D1542" s="51" t="s">
        <v>66</v>
      </c>
      <c r="E1542" s="51" t="s">
        <v>328</v>
      </c>
      <c r="F1542" s="51" t="s">
        <v>2277</v>
      </c>
      <c r="G1542" s="51" t="s">
        <v>1661</v>
      </c>
      <c r="H1542" s="50" t="s">
        <v>1672</v>
      </c>
      <c r="I1542" s="51" t="s">
        <v>1666</v>
      </c>
      <c r="J1542" t="str">
        <f t="shared" si="50"/>
        <v>10166505 - Monte Azul II-PV Inmob.</v>
      </c>
      <c r="K1542" t="str">
        <f t="shared" si="51"/>
        <v>Postventa</v>
      </c>
    </row>
    <row r="1543" spans="1:11" x14ac:dyDescent="0.25">
      <c r="A1543" s="50">
        <v>10166506</v>
      </c>
      <c r="B1543" s="51" t="s">
        <v>2285</v>
      </c>
      <c r="C1543" s="51" t="s">
        <v>1685</v>
      </c>
      <c r="D1543" s="51" t="s">
        <v>1665</v>
      </c>
      <c r="E1543" s="51" t="s">
        <v>200</v>
      </c>
      <c r="F1543" s="51" t="s">
        <v>2277</v>
      </c>
      <c r="G1543" s="51" t="s">
        <v>1661</v>
      </c>
      <c r="H1543" s="50" t="s">
        <v>1672</v>
      </c>
      <c r="I1543" s="51" t="s">
        <v>1666</v>
      </c>
      <c r="J1543" t="str">
        <f t="shared" si="50"/>
        <v>10166506 - Monte Azul II-Depto.Técnico</v>
      </c>
      <c r="K1543" t="str">
        <f t="shared" si="51"/>
        <v>Proyectos Inmobiliarios</v>
      </c>
    </row>
    <row r="1544" spans="1:11" x14ac:dyDescent="0.25">
      <c r="A1544" s="101">
        <v>1072202</v>
      </c>
      <c r="B1544" s="102" t="s">
        <v>2286</v>
      </c>
      <c r="C1544" s="102" t="s">
        <v>1670</v>
      </c>
      <c r="D1544" s="102" t="s">
        <v>1578</v>
      </c>
      <c r="E1544" s="102" t="s">
        <v>1578</v>
      </c>
      <c r="F1544" s="102" t="s">
        <v>2287</v>
      </c>
      <c r="G1544" s="102" t="s">
        <v>1661</v>
      </c>
      <c r="H1544" s="101" t="s">
        <v>1672</v>
      </c>
      <c r="I1544" s="102" t="s">
        <v>1662</v>
      </c>
      <c r="J1544" t="str">
        <f t="shared" si="50"/>
        <v>1072202 - Terreno Novena Avenida - Desarrollo</v>
      </c>
      <c r="K1544" t="str">
        <f t="shared" si="51"/>
        <v>Terreno</v>
      </c>
    </row>
    <row r="1545" spans="1:11" x14ac:dyDescent="0.25">
      <c r="A1545" s="101">
        <v>192</v>
      </c>
      <c r="B1545" s="102" t="s">
        <v>2287</v>
      </c>
      <c r="C1545" s="102" t="s">
        <v>1670</v>
      </c>
      <c r="D1545" s="102" t="s">
        <v>65</v>
      </c>
      <c r="E1545" s="102" t="s">
        <v>65</v>
      </c>
      <c r="F1545" s="102" t="s">
        <v>2287</v>
      </c>
      <c r="G1545" s="102" t="s">
        <v>1663</v>
      </c>
      <c r="H1545" s="101" t="s">
        <v>1672</v>
      </c>
      <c r="I1545" s="102" t="s">
        <v>1664</v>
      </c>
      <c r="J1545" t="str">
        <f t="shared" si="50"/>
        <v>192 - Novena Avenida</v>
      </c>
      <c r="K1545" t="str">
        <f t="shared" si="51"/>
        <v>Obra</v>
      </c>
    </row>
    <row r="1546" spans="1:11" x14ac:dyDescent="0.25">
      <c r="A1546" s="101">
        <v>9192</v>
      </c>
      <c r="B1546" s="102" t="s">
        <v>623</v>
      </c>
      <c r="C1546" s="102" t="s">
        <v>1670</v>
      </c>
      <c r="D1546" s="102" t="s">
        <v>66</v>
      </c>
      <c r="E1546" s="102" t="s">
        <v>328</v>
      </c>
      <c r="F1546" s="102" t="s">
        <v>2287</v>
      </c>
      <c r="G1546" s="102" t="s">
        <v>1661</v>
      </c>
      <c r="H1546" s="101" t="s">
        <v>386</v>
      </c>
      <c r="I1546" s="102" t="s">
        <v>1666</v>
      </c>
      <c r="J1546" t="str">
        <f t="shared" si="50"/>
        <v>9192 - PV NOVENA AVENIDA</v>
      </c>
      <c r="K1546" t="str">
        <f t="shared" si="51"/>
        <v>Postventa</v>
      </c>
    </row>
    <row r="1547" spans="1:11" x14ac:dyDescent="0.25">
      <c r="A1547" s="101">
        <v>10192000</v>
      </c>
      <c r="B1547" s="102" t="s">
        <v>2287</v>
      </c>
      <c r="C1547" s="102" t="s">
        <v>1670</v>
      </c>
      <c r="D1547" s="102" t="s">
        <v>1665</v>
      </c>
      <c r="E1547" s="102" t="s">
        <v>1585</v>
      </c>
      <c r="F1547" s="102" t="s">
        <v>2287</v>
      </c>
      <c r="G1547" s="102" t="s">
        <v>1661</v>
      </c>
      <c r="H1547" s="101" t="s">
        <v>1672</v>
      </c>
      <c r="I1547" s="102" t="s">
        <v>1666</v>
      </c>
      <c r="J1547" t="str">
        <f t="shared" si="50"/>
        <v>10192000 - Novena Avenida</v>
      </c>
      <c r="K1547" t="str">
        <f t="shared" si="51"/>
        <v>Proyectos Inmobiliarios</v>
      </c>
    </row>
    <row r="1548" spans="1:11" x14ac:dyDescent="0.25">
      <c r="A1548" s="101">
        <v>10192102</v>
      </c>
      <c r="B1548" s="102" t="s">
        <v>2288</v>
      </c>
      <c r="C1548" s="102" t="s">
        <v>1670</v>
      </c>
      <c r="D1548" s="102" t="s">
        <v>1665</v>
      </c>
      <c r="E1548" s="102" t="s">
        <v>1617</v>
      </c>
      <c r="F1548" s="102" t="s">
        <v>2287</v>
      </c>
      <c r="G1548" s="102" t="s">
        <v>1661</v>
      </c>
      <c r="H1548" s="101" t="s">
        <v>1672</v>
      </c>
      <c r="I1548" s="102" t="s">
        <v>1666</v>
      </c>
      <c r="J1548" t="str">
        <f t="shared" si="50"/>
        <v>10192102 - Novena Avenida-Marketing</v>
      </c>
      <c r="K1548" t="str">
        <f t="shared" si="51"/>
        <v>Proyectos Inmobiliarios</v>
      </c>
    </row>
    <row r="1549" spans="1:11" x14ac:dyDescent="0.25">
      <c r="A1549" s="101">
        <v>10192103</v>
      </c>
      <c r="B1549" s="102" t="s">
        <v>2289</v>
      </c>
      <c r="C1549" s="102" t="s">
        <v>1670</v>
      </c>
      <c r="D1549" s="102" t="s">
        <v>1665</v>
      </c>
      <c r="E1549" s="102" t="s">
        <v>1618</v>
      </c>
      <c r="F1549" s="102" t="s">
        <v>2287</v>
      </c>
      <c r="G1549" s="102" t="s">
        <v>1661</v>
      </c>
      <c r="H1549" s="101" t="s">
        <v>1672</v>
      </c>
      <c r="I1549" s="102" t="s">
        <v>1666</v>
      </c>
      <c r="J1549" t="str">
        <f t="shared" si="50"/>
        <v>10192103 - Novena Avenida-Operaciones</v>
      </c>
      <c r="K1549" t="str">
        <f t="shared" si="51"/>
        <v>Proyectos Inmobiliarios</v>
      </c>
    </row>
    <row r="1550" spans="1:11" x14ac:dyDescent="0.25">
      <c r="A1550" s="101">
        <v>10192104</v>
      </c>
      <c r="B1550" s="102" t="s">
        <v>2290</v>
      </c>
      <c r="C1550" s="102" t="s">
        <v>1670</v>
      </c>
      <c r="D1550" s="102" t="s">
        <v>1665</v>
      </c>
      <c r="E1550" s="102" t="s">
        <v>90</v>
      </c>
      <c r="F1550" s="102" t="s">
        <v>2287</v>
      </c>
      <c r="G1550" s="102" t="s">
        <v>1661</v>
      </c>
      <c r="H1550" s="101" t="s">
        <v>1672</v>
      </c>
      <c r="I1550" s="102" t="s">
        <v>1666</v>
      </c>
      <c r="J1550" t="str">
        <f t="shared" si="50"/>
        <v>10192104 - Novena Avenida-Ventas</v>
      </c>
      <c r="K1550" t="str">
        <f t="shared" si="51"/>
        <v>Proyectos Inmobiliarios</v>
      </c>
    </row>
    <row r="1551" spans="1:11" x14ac:dyDescent="0.25">
      <c r="A1551" s="101">
        <v>10192105</v>
      </c>
      <c r="B1551" s="102" t="s">
        <v>2291</v>
      </c>
      <c r="C1551" s="102" t="s">
        <v>1670</v>
      </c>
      <c r="D1551" s="102" t="s">
        <v>1665</v>
      </c>
      <c r="E1551" s="102" t="s">
        <v>1622</v>
      </c>
      <c r="F1551" s="102" t="s">
        <v>2287</v>
      </c>
      <c r="G1551" s="102" t="s">
        <v>1661</v>
      </c>
      <c r="H1551" s="101" t="s">
        <v>1672</v>
      </c>
      <c r="I1551" s="102" t="s">
        <v>1666</v>
      </c>
      <c r="J1551" t="str">
        <f t="shared" si="50"/>
        <v>10192105 - Novena Avenida-Clientes</v>
      </c>
      <c r="K1551" t="str">
        <f t="shared" si="51"/>
        <v>Proyectos Inmobiliarios</v>
      </c>
    </row>
    <row r="1552" spans="1:11" x14ac:dyDescent="0.25">
      <c r="A1552" s="101">
        <v>10192204</v>
      </c>
      <c r="B1552" s="102" t="s">
        <v>2292</v>
      </c>
      <c r="C1552" s="102" t="s">
        <v>1670</v>
      </c>
      <c r="D1552" s="102" t="s">
        <v>1665</v>
      </c>
      <c r="E1552" s="102" t="s">
        <v>1624</v>
      </c>
      <c r="F1552" s="102" t="s">
        <v>2287</v>
      </c>
      <c r="G1552" s="102" t="s">
        <v>1661</v>
      </c>
      <c r="H1552" s="101" t="s">
        <v>1672</v>
      </c>
      <c r="I1552" s="102" t="s">
        <v>1666</v>
      </c>
      <c r="J1552" t="str">
        <f t="shared" si="50"/>
        <v>10192204 - Novena Avenida-Proyecto</v>
      </c>
      <c r="K1552" t="str">
        <f t="shared" si="51"/>
        <v>Proyectos Inmobiliarios</v>
      </c>
    </row>
    <row r="1553" spans="1:11" x14ac:dyDescent="0.25">
      <c r="A1553" s="101">
        <v>10192301</v>
      </c>
      <c r="B1553" s="102" t="s">
        <v>2293</v>
      </c>
      <c r="C1553" s="102" t="s">
        <v>1670</v>
      </c>
      <c r="D1553" s="102" t="s">
        <v>1665</v>
      </c>
      <c r="E1553" s="102" t="s">
        <v>1643</v>
      </c>
      <c r="F1553" s="102" t="s">
        <v>2287</v>
      </c>
      <c r="G1553" s="102" t="s">
        <v>1667</v>
      </c>
      <c r="H1553" s="101" t="s">
        <v>1672</v>
      </c>
      <c r="I1553" s="102" t="s">
        <v>1666</v>
      </c>
      <c r="J1553" t="str">
        <f t="shared" si="50"/>
        <v>10192301 - Novena Avenida-GAF</v>
      </c>
      <c r="K1553" t="str">
        <f t="shared" si="51"/>
        <v>Proyectos Inmobiliarios</v>
      </c>
    </row>
    <row r="1554" spans="1:11" x14ac:dyDescent="0.25">
      <c r="A1554" s="101">
        <v>10192505</v>
      </c>
      <c r="B1554" s="102" t="s">
        <v>2294</v>
      </c>
      <c r="C1554" s="102" t="s">
        <v>1670</v>
      </c>
      <c r="D1554" s="102" t="s">
        <v>66</v>
      </c>
      <c r="E1554" s="102" t="s">
        <v>328</v>
      </c>
      <c r="F1554" s="102" t="s">
        <v>2287</v>
      </c>
      <c r="G1554" s="102" t="s">
        <v>1661</v>
      </c>
      <c r="H1554" s="101" t="s">
        <v>1672</v>
      </c>
      <c r="I1554" s="102" t="s">
        <v>1666</v>
      </c>
      <c r="J1554" t="str">
        <f t="shared" si="50"/>
        <v>10192505 - Novena Avenida-PV Inmob.</v>
      </c>
      <c r="K1554" t="str">
        <f t="shared" si="51"/>
        <v>Postventa</v>
      </c>
    </row>
    <row r="1555" spans="1:11" x14ac:dyDescent="0.25">
      <c r="A1555" s="101">
        <v>10192506</v>
      </c>
      <c r="B1555" s="102" t="s">
        <v>2295</v>
      </c>
      <c r="C1555" s="102" t="s">
        <v>1670</v>
      </c>
      <c r="D1555" s="102" t="s">
        <v>1665</v>
      </c>
      <c r="E1555" s="102" t="s">
        <v>200</v>
      </c>
      <c r="F1555" s="102" t="s">
        <v>2287</v>
      </c>
      <c r="G1555" s="102" t="s">
        <v>1661</v>
      </c>
      <c r="H1555" s="101" t="s">
        <v>1672</v>
      </c>
      <c r="I1555" s="102" t="s">
        <v>1666</v>
      </c>
      <c r="J1555" t="str">
        <f t="shared" si="50"/>
        <v>10192506 - Novena Avenida-Depto.Técnico</v>
      </c>
      <c r="K1555" t="str">
        <f t="shared" si="51"/>
        <v>Proyectos Inmobiliarios</v>
      </c>
    </row>
    <row r="1556" spans="1:11" x14ac:dyDescent="0.25">
      <c r="A1556" s="54">
        <v>1081202</v>
      </c>
      <c r="B1556" s="55" t="s">
        <v>728</v>
      </c>
      <c r="C1556" s="55" t="s">
        <v>1670</v>
      </c>
      <c r="D1556" s="55" t="s">
        <v>1578</v>
      </c>
      <c r="E1556" s="55" t="s">
        <v>1578</v>
      </c>
      <c r="F1556" s="55" t="s">
        <v>916</v>
      </c>
      <c r="G1556" s="55" t="s">
        <v>1661</v>
      </c>
      <c r="H1556" s="54" t="s">
        <v>386</v>
      </c>
      <c r="I1556" s="55" t="s">
        <v>1662</v>
      </c>
      <c r="J1556" t="str">
        <f t="shared" si="50"/>
        <v>1081202 - Terreno Novena Avenida II – Desarrollo</v>
      </c>
      <c r="K1556" t="str">
        <f t="shared" si="51"/>
        <v>Terreno</v>
      </c>
    </row>
    <row r="1557" spans="1:11" x14ac:dyDescent="0.25">
      <c r="A1557" s="54">
        <v>206</v>
      </c>
      <c r="B1557" s="55" t="s">
        <v>916</v>
      </c>
      <c r="C1557" s="55" t="s">
        <v>1670</v>
      </c>
      <c r="D1557" s="55" t="s">
        <v>65</v>
      </c>
      <c r="E1557" s="55" t="s">
        <v>65</v>
      </c>
      <c r="F1557" s="55" t="s">
        <v>916</v>
      </c>
      <c r="G1557" s="55" t="s">
        <v>1663</v>
      </c>
      <c r="H1557" s="54" t="s">
        <v>1672</v>
      </c>
      <c r="I1557" s="55" t="s">
        <v>1664</v>
      </c>
      <c r="J1557" t="str">
        <f t="shared" si="50"/>
        <v>206 - Novena Avenida 2</v>
      </c>
      <c r="K1557" t="str">
        <f t="shared" si="51"/>
        <v>Obra</v>
      </c>
    </row>
    <row r="1558" spans="1:11" x14ac:dyDescent="0.25">
      <c r="A1558" s="54">
        <v>9206</v>
      </c>
      <c r="B1558" s="55" t="s">
        <v>630</v>
      </c>
      <c r="C1558" s="55" t="s">
        <v>1670</v>
      </c>
      <c r="D1558" s="55" t="s">
        <v>66</v>
      </c>
      <c r="E1558" s="55" t="s">
        <v>328</v>
      </c>
      <c r="F1558" s="55" t="s">
        <v>916</v>
      </c>
      <c r="G1558" s="55" t="s">
        <v>1661</v>
      </c>
      <c r="H1558" s="54" t="s">
        <v>386</v>
      </c>
      <c r="I1558" s="55" t="s">
        <v>1666</v>
      </c>
      <c r="J1558" t="str">
        <f t="shared" si="50"/>
        <v>9206 - PV Novena Avenida 2</v>
      </c>
      <c r="K1558" t="str">
        <f t="shared" si="51"/>
        <v>Postventa</v>
      </c>
    </row>
    <row r="1559" spans="1:11" x14ac:dyDescent="0.25">
      <c r="A1559" s="54">
        <v>10206000</v>
      </c>
      <c r="B1559" s="55" t="s">
        <v>916</v>
      </c>
      <c r="C1559" s="55" t="s">
        <v>1670</v>
      </c>
      <c r="D1559" s="55" t="s">
        <v>1665</v>
      </c>
      <c r="E1559" s="55" t="s">
        <v>1585</v>
      </c>
      <c r="F1559" s="55" t="s">
        <v>916</v>
      </c>
      <c r="G1559" s="55" t="s">
        <v>1661</v>
      </c>
      <c r="H1559" s="54" t="s">
        <v>386</v>
      </c>
      <c r="I1559" s="55" t="s">
        <v>1666</v>
      </c>
      <c r="J1559" t="str">
        <f t="shared" si="50"/>
        <v>10206000 - Novena Avenida 2</v>
      </c>
      <c r="K1559" t="str">
        <f t="shared" si="51"/>
        <v>Proyectos Inmobiliarios</v>
      </c>
    </row>
    <row r="1560" spans="1:11" x14ac:dyDescent="0.25">
      <c r="A1560" s="54">
        <v>10206102</v>
      </c>
      <c r="B1560" s="55" t="s">
        <v>917</v>
      </c>
      <c r="C1560" s="55" t="s">
        <v>1670</v>
      </c>
      <c r="D1560" s="55" t="s">
        <v>1665</v>
      </c>
      <c r="E1560" s="55" t="s">
        <v>1617</v>
      </c>
      <c r="F1560" s="55" t="s">
        <v>916</v>
      </c>
      <c r="G1560" s="55" t="s">
        <v>1661</v>
      </c>
      <c r="H1560" s="54" t="s">
        <v>386</v>
      </c>
      <c r="I1560" s="55" t="s">
        <v>1666</v>
      </c>
      <c r="J1560" t="str">
        <f t="shared" si="50"/>
        <v>10206102 - Novena Avenida 2-Marketing</v>
      </c>
      <c r="K1560" t="str">
        <f t="shared" si="51"/>
        <v>Proyectos Inmobiliarios</v>
      </c>
    </row>
    <row r="1561" spans="1:11" x14ac:dyDescent="0.25">
      <c r="A1561" s="54">
        <v>10206103</v>
      </c>
      <c r="B1561" s="55" t="s">
        <v>918</v>
      </c>
      <c r="C1561" s="55" t="s">
        <v>1670</v>
      </c>
      <c r="D1561" s="55" t="s">
        <v>1665</v>
      </c>
      <c r="E1561" s="55" t="s">
        <v>1618</v>
      </c>
      <c r="F1561" s="55" t="s">
        <v>916</v>
      </c>
      <c r="G1561" s="55" t="s">
        <v>1661</v>
      </c>
      <c r="H1561" s="54" t="s">
        <v>386</v>
      </c>
      <c r="I1561" s="55" t="s">
        <v>1666</v>
      </c>
      <c r="J1561" t="str">
        <f t="shared" si="50"/>
        <v>10206103 - Novena Avenida 2-Operaciones</v>
      </c>
      <c r="K1561" t="str">
        <f t="shared" si="51"/>
        <v>Proyectos Inmobiliarios</v>
      </c>
    </row>
    <row r="1562" spans="1:11" x14ac:dyDescent="0.25">
      <c r="A1562" s="54">
        <v>10206104</v>
      </c>
      <c r="B1562" s="55" t="s">
        <v>919</v>
      </c>
      <c r="C1562" s="55" t="s">
        <v>1670</v>
      </c>
      <c r="D1562" s="55" t="s">
        <v>1665</v>
      </c>
      <c r="E1562" s="55" t="s">
        <v>90</v>
      </c>
      <c r="F1562" s="55" t="s">
        <v>916</v>
      </c>
      <c r="G1562" s="55" t="s">
        <v>1661</v>
      </c>
      <c r="H1562" s="54" t="s">
        <v>386</v>
      </c>
      <c r="I1562" s="55" t="s">
        <v>1666</v>
      </c>
      <c r="J1562" t="str">
        <f t="shared" si="50"/>
        <v>10206104 - Novena Avenida 2-Ventas</v>
      </c>
      <c r="K1562" t="str">
        <f t="shared" si="51"/>
        <v>Proyectos Inmobiliarios</v>
      </c>
    </row>
    <row r="1563" spans="1:11" x14ac:dyDescent="0.25">
      <c r="A1563" s="54">
        <v>10206105</v>
      </c>
      <c r="B1563" s="55" t="s">
        <v>920</v>
      </c>
      <c r="C1563" s="55" t="s">
        <v>1670</v>
      </c>
      <c r="D1563" s="55" t="s">
        <v>1665</v>
      </c>
      <c r="E1563" s="55" t="s">
        <v>1622</v>
      </c>
      <c r="F1563" s="55" t="s">
        <v>916</v>
      </c>
      <c r="G1563" s="55" t="s">
        <v>1661</v>
      </c>
      <c r="H1563" s="54" t="s">
        <v>386</v>
      </c>
      <c r="I1563" s="55" t="s">
        <v>1666</v>
      </c>
      <c r="J1563" t="str">
        <f t="shared" si="50"/>
        <v>10206105 - Novena Avenida 2-Clientes</v>
      </c>
      <c r="K1563" t="str">
        <f t="shared" si="51"/>
        <v>Proyectos Inmobiliarios</v>
      </c>
    </row>
    <row r="1564" spans="1:11" x14ac:dyDescent="0.25">
      <c r="A1564" s="54">
        <v>10206204</v>
      </c>
      <c r="B1564" s="55" t="s">
        <v>921</v>
      </c>
      <c r="C1564" s="55" t="s">
        <v>1670</v>
      </c>
      <c r="D1564" s="55" t="s">
        <v>1665</v>
      </c>
      <c r="E1564" s="55" t="s">
        <v>1624</v>
      </c>
      <c r="F1564" s="55" t="s">
        <v>916</v>
      </c>
      <c r="G1564" s="55" t="s">
        <v>1661</v>
      </c>
      <c r="H1564" s="54" t="s">
        <v>386</v>
      </c>
      <c r="I1564" s="55" t="s">
        <v>1666</v>
      </c>
      <c r="J1564" t="str">
        <f t="shared" si="50"/>
        <v>10206204 - Novena Avenida 2-Proyecto</v>
      </c>
      <c r="K1564" t="str">
        <f t="shared" si="51"/>
        <v>Proyectos Inmobiliarios</v>
      </c>
    </row>
    <row r="1565" spans="1:11" x14ac:dyDescent="0.25">
      <c r="A1565" s="54">
        <v>10206301</v>
      </c>
      <c r="B1565" s="55" t="s">
        <v>922</v>
      </c>
      <c r="C1565" s="55" t="s">
        <v>1670</v>
      </c>
      <c r="D1565" s="55" t="s">
        <v>1665</v>
      </c>
      <c r="E1565" s="55" t="s">
        <v>1643</v>
      </c>
      <c r="F1565" s="55" t="s">
        <v>916</v>
      </c>
      <c r="G1565" s="55" t="s">
        <v>1667</v>
      </c>
      <c r="H1565" s="54" t="s">
        <v>386</v>
      </c>
      <c r="I1565" s="55" t="s">
        <v>1666</v>
      </c>
      <c r="J1565" t="str">
        <f t="shared" si="50"/>
        <v>10206301 - Novena Avenida 2-GAF</v>
      </c>
      <c r="K1565" t="str">
        <f t="shared" si="51"/>
        <v>Proyectos Inmobiliarios</v>
      </c>
    </row>
    <row r="1566" spans="1:11" x14ac:dyDescent="0.25">
      <c r="A1566" s="54">
        <v>10206505</v>
      </c>
      <c r="B1566" s="55" t="s">
        <v>923</v>
      </c>
      <c r="C1566" s="55" t="s">
        <v>1670</v>
      </c>
      <c r="D1566" s="55" t="s">
        <v>66</v>
      </c>
      <c r="E1566" s="55" t="s">
        <v>328</v>
      </c>
      <c r="F1566" s="55" t="s">
        <v>916</v>
      </c>
      <c r="G1566" s="55" t="s">
        <v>1661</v>
      </c>
      <c r="H1566" s="54" t="s">
        <v>386</v>
      </c>
      <c r="I1566" s="55" t="s">
        <v>1666</v>
      </c>
      <c r="J1566" t="str">
        <f t="shared" si="50"/>
        <v>10206505 - Novena Avenida 2-PV Inmob.</v>
      </c>
      <c r="K1566" t="str">
        <f t="shared" si="51"/>
        <v>Postventa</v>
      </c>
    </row>
    <row r="1567" spans="1:11" x14ac:dyDescent="0.25">
      <c r="A1567" s="54">
        <v>10206506</v>
      </c>
      <c r="B1567" s="55" t="s">
        <v>924</v>
      </c>
      <c r="C1567" s="55" t="s">
        <v>1670</v>
      </c>
      <c r="D1567" s="55" t="s">
        <v>1665</v>
      </c>
      <c r="E1567" s="55" t="s">
        <v>200</v>
      </c>
      <c r="F1567" s="55" t="s">
        <v>916</v>
      </c>
      <c r="G1567" s="55" t="s">
        <v>1661</v>
      </c>
      <c r="H1567" s="54" t="s">
        <v>386</v>
      </c>
      <c r="I1567" s="55" t="s">
        <v>1666</v>
      </c>
      <c r="J1567" t="str">
        <f t="shared" si="50"/>
        <v>10206506 - Novena Avenida 2-Depto.Técnico</v>
      </c>
      <c r="K1567" t="str">
        <f t="shared" si="51"/>
        <v>Proyectos Inmobiliarios</v>
      </c>
    </row>
    <row r="1568" spans="1:11" x14ac:dyDescent="0.25">
      <c r="A1568" s="50">
        <v>999999999</v>
      </c>
      <c r="B1568" s="51" t="s">
        <v>1684</v>
      </c>
      <c r="C1568" s="51"/>
      <c r="D1568" s="51" t="s">
        <v>1578</v>
      </c>
      <c r="E1568" s="51" t="s">
        <v>1578</v>
      </c>
      <c r="F1568" s="51" t="s">
        <v>2296</v>
      </c>
      <c r="G1568" s="51" t="s">
        <v>1661</v>
      </c>
      <c r="H1568" s="50" t="s">
        <v>1672</v>
      </c>
      <c r="I1568" s="51" t="s">
        <v>1662</v>
      </c>
      <c r="J1568" t="str">
        <f t="shared" si="50"/>
        <v>999999999 - Terreno Abuelo Proyectos sin Terreno</v>
      </c>
      <c r="K1568" t="str">
        <f t="shared" si="51"/>
        <v>Terreno</v>
      </c>
    </row>
    <row r="1569" spans="1:11" x14ac:dyDescent="0.25">
      <c r="A1569" s="50">
        <v>113</v>
      </c>
      <c r="B1569" s="51" t="s">
        <v>2297</v>
      </c>
      <c r="C1569" s="51" t="s">
        <v>1964</v>
      </c>
      <c r="D1569" s="51" t="s">
        <v>65</v>
      </c>
      <c r="E1569" s="51" t="s">
        <v>65</v>
      </c>
      <c r="F1569" s="51" t="s">
        <v>2296</v>
      </c>
      <c r="G1569" s="51" t="s">
        <v>1663</v>
      </c>
      <c r="H1569" s="50" t="s">
        <v>1672</v>
      </c>
      <c r="I1569" s="51" t="s">
        <v>1664</v>
      </c>
      <c r="J1569" t="str">
        <f t="shared" si="50"/>
        <v>113 - Nueva La Serena Etapa 1</v>
      </c>
      <c r="K1569" t="str">
        <f t="shared" si="51"/>
        <v>Obra</v>
      </c>
    </row>
    <row r="1570" spans="1:11" x14ac:dyDescent="0.25">
      <c r="A1570" s="50">
        <v>10113000</v>
      </c>
      <c r="B1570" s="51" t="s">
        <v>2297</v>
      </c>
      <c r="C1570" s="51" t="s">
        <v>1964</v>
      </c>
      <c r="D1570" s="51" t="s">
        <v>1665</v>
      </c>
      <c r="E1570" s="51" t="s">
        <v>1585</v>
      </c>
      <c r="F1570" s="51" t="s">
        <v>2296</v>
      </c>
      <c r="G1570" s="51" t="s">
        <v>1667</v>
      </c>
      <c r="H1570" s="50" t="s">
        <v>1672</v>
      </c>
      <c r="I1570" s="51" t="s">
        <v>1666</v>
      </c>
      <c r="J1570" t="str">
        <f t="shared" si="50"/>
        <v>10113000 - Nueva La Serena Etapa 1</v>
      </c>
      <c r="K1570" t="str">
        <f t="shared" si="51"/>
        <v>Proyectos Inmobiliarios</v>
      </c>
    </row>
    <row r="1571" spans="1:11" x14ac:dyDescent="0.25">
      <c r="A1571" s="50">
        <v>10113102</v>
      </c>
      <c r="B1571" s="51" t="s">
        <v>2298</v>
      </c>
      <c r="C1571" s="51" t="s">
        <v>1964</v>
      </c>
      <c r="D1571" s="51" t="s">
        <v>1665</v>
      </c>
      <c r="E1571" s="51" t="s">
        <v>1617</v>
      </c>
      <c r="F1571" s="51" t="s">
        <v>2296</v>
      </c>
      <c r="G1571" s="51" t="s">
        <v>1661</v>
      </c>
      <c r="H1571" s="50" t="s">
        <v>1672</v>
      </c>
      <c r="I1571" s="51" t="s">
        <v>1666</v>
      </c>
      <c r="J1571" t="str">
        <f t="shared" si="50"/>
        <v>10113102 - Nueva La Serena Etapa 1-Marketing</v>
      </c>
      <c r="K1571" t="str">
        <f t="shared" si="51"/>
        <v>Proyectos Inmobiliarios</v>
      </c>
    </row>
    <row r="1572" spans="1:11" x14ac:dyDescent="0.25">
      <c r="A1572" s="50">
        <v>10113103</v>
      </c>
      <c r="B1572" s="51" t="s">
        <v>2299</v>
      </c>
      <c r="C1572" s="51" t="s">
        <v>1964</v>
      </c>
      <c r="D1572" s="51" t="s">
        <v>1665</v>
      </c>
      <c r="E1572" s="51" t="s">
        <v>1618</v>
      </c>
      <c r="F1572" s="51" t="s">
        <v>2296</v>
      </c>
      <c r="G1572" s="51" t="s">
        <v>1661</v>
      </c>
      <c r="H1572" s="50" t="s">
        <v>1672</v>
      </c>
      <c r="I1572" s="51" t="s">
        <v>1666</v>
      </c>
      <c r="J1572" t="str">
        <f t="shared" si="50"/>
        <v>10113103 - Nueva La Serena Etapa 1-Operaciones</v>
      </c>
      <c r="K1572" t="str">
        <f t="shared" si="51"/>
        <v>Proyectos Inmobiliarios</v>
      </c>
    </row>
    <row r="1573" spans="1:11" x14ac:dyDescent="0.25">
      <c r="A1573" s="50">
        <v>10113104</v>
      </c>
      <c r="B1573" s="51" t="s">
        <v>2300</v>
      </c>
      <c r="C1573" s="51" t="s">
        <v>1964</v>
      </c>
      <c r="D1573" s="51" t="s">
        <v>1665</v>
      </c>
      <c r="E1573" s="51" t="s">
        <v>90</v>
      </c>
      <c r="F1573" s="51" t="s">
        <v>2296</v>
      </c>
      <c r="G1573" s="51" t="s">
        <v>1661</v>
      </c>
      <c r="H1573" s="50" t="s">
        <v>1672</v>
      </c>
      <c r="I1573" s="51" t="s">
        <v>1666</v>
      </c>
      <c r="J1573" t="str">
        <f t="shared" si="50"/>
        <v>10113104 - Nueva La Serena Etapa 1-Ventas</v>
      </c>
      <c r="K1573" t="str">
        <f t="shared" si="51"/>
        <v>Proyectos Inmobiliarios</v>
      </c>
    </row>
    <row r="1574" spans="1:11" x14ac:dyDescent="0.25">
      <c r="A1574" s="50">
        <v>10113105</v>
      </c>
      <c r="B1574" s="51" t="s">
        <v>2301</v>
      </c>
      <c r="C1574" s="51" t="s">
        <v>1964</v>
      </c>
      <c r="D1574" s="51" t="s">
        <v>1665</v>
      </c>
      <c r="E1574" s="51" t="s">
        <v>1622</v>
      </c>
      <c r="F1574" s="51" t="s">
        <v>2296</v>
      </c>
      <c r="G1574" s="51" t="s">
        <v>1661</v>
      </c>
      <c r="H1574" s="50" t="s">
        <v>1672</v>
      </c>
      <c r="I1574" s="51" t="s">
        <v>1666</v>
      </c>
      <c r="J1574" t="str">
        <f t="shared" si="50"/>
        <v>10113105 - Nueva La Serena Etapa 1-Clientes</v>
      </c>
      <c r="K1574" t="str">
        <f t="shared" si="51"/>
        <v>Proyectos Inmobiliarios</v>
      </c>
    </row>
    <row r="1575" spans="1:11" x14ac:dyDescent="0.25">
      <c r="A1575" s="50">
        <v>10113203</v>
      </c>
      <c r="B1575" s="51" t="s">
        <v>2302</v>
      </c>
      <c r="C1575" s="51" t="s">
        <v>1964</v>
      </c>
      <c r="D1575" s="51" t="s">
        <v>1665</v>
      </c>
      <c r="E1575" s="51" t="s">
        <v>1624</v>
      </c>
      <c r="F1575" s="51" t="s">
        <v>2296</v>
      </c>
      <c r="G1575" s="51" t="s">
        <v>1661</v>
      </c>
      <c r="H1575" s="50" t="s">
        <v>1672</v>
      </c>
      <c r="I1575" s="51" t="s">
        <v>1666</v>
      </c>
      <c r="J1575" t="str">
        <f t="shared" si="50"/>
        <v>10113203 - Nueva La Serena Etapa 1-Proyecto</v>
      </c>
      <c r="K1575" t="str">
        <f t="shared" si="51"/>
        <v>Proyectos Inmobiliarios</v>
      </c>
    </row>
    <row r="1576" spans="1:11" x14ac:dyDescent="0.25">
      <c r="A1576" s="50">
        <v>10113301</v>
      </c>
      <c r="B1576" s="51" t="s">
        <v>2303</v>
      </c>
      <c r="C1576" s="51" t="s">
        <v>1964</v>
      </c>
      <c r="D1576" s="51" t="s">
        <v>1665</v>
      </c>
      <c r="E1576" s="51" t="s">
        <v>1643</v>
      </c>
      <c r="F1576" s="51" t="s">
        <v>2296</v>
      </c>
      <c r="G1576" s="51" t="s">
        <v>1667</v>
      </c>
      <c r="H1576" s="50" t="s">
        <v>1672</v>
      </c>
      <c r="I1576" s="51" t="s">
        <v>1666</v>
      </c>
      <c r="J1576" t="str">
        <f t="shared" si="50"/>
        <v>10113301 - Nueva La Serena Etapa 1-GAF</v>
      </c>
      <c r="K1576" t="str">
        <f t="shared" si="51"/>
        <v>Proyectos Inmobiliarios</v>
      </c>
    </row>
    <row r="1577" spans="1:11" x14ac:dyDescent="0.25">
      <c r="A1577" s="50">
        <v>10113506</v>
      </c>
      <c r="B1577" s="51" t="s">
        <v>2304</v>
      </c>
      <c r="C1577" s="51" t="s">
        <v>1964</v>
      </c>
      <c r="D1577" s="51" t="s">
        <v>1665</v>
      </c>
      <c r="E1577" s="51" t="s">
        <v>200</v>
      </c>
      <c r="F1577" s="51" t="s">
        <v>2296</v>
      </c>
      <c r="G1577" s="51" t="s">
        <v>1661</v>
      </c>
      <c r="H1577" s="50" t="s">
        <v>1672</v>
      </c>
      <c r="I1577" s="51" t="s">
        <v>1666</v>
      </c>
      <c r="J1577" t="str">
        <f t="shared" si="50"/>
        <v>10113506 - Nueva La Serena Etapa 1-Depto.Técnico</v>
      </c>
      <c r="K1577" t="str">
        <f t="shared" si="51"/>
        <v>Proyectos Inmobiliarios</v>
      </c>
    </row>
    <row r="1578" spans="1:11" x14ac:dyDescent="0.25">
      <c r="A1578" s="56">
        <v>999999999</v>
      </c>
      <c r="B1578" s="57" t="s">
        <v>1684</v>
      </c>
      <c r="C1578" s="57"/>
      <c r="D1578" s="57" t="s">
        <v>1578</v>
      </c>
      <c r="E1578" s="57" t="s">
        <v>1578</v>
      </c>
      <c r="F1578" s="57" t="s">
        <v>2305</v>
      </c>
      <c r="G1578" s="57" t="s">
        <v>1661</v>
      </c>
      <c r="H1578" s="56" t="s">
        <v>1672</v>
      </c>
      <c r="I1578" s="57" t="s">
        <v>1662</v>
      </c>
      <c r="J1578" t="str">
        <f t="shared" si="50"/>
        <v>999999999 - Terreno Abuelo Proyectos sin Terreno</v>
      </c>
      <c r="K1578" t="str">
        <f t="shared" si="51"/>
        <v>Terreno</v>
      </c>
    </row>
    <row r="1579" spans="1:11" x14ac:dyDescent="0.25">
      <c r="A1579" s="56">
        <v>999</v>
      </c>
      <c r="B1579" s="57" t="s">
        <v>1808</v>
      </c>
      <c r="C1579" s="57"/>
      <c r="D1579" s="57" t="s">
        <v>65</v>
      </c>
      <c r="E1579" s="57" t="s">
        <v>65</v>
      </c>
      <c r="F1579" s="57" t="s">
        <v>2305</v>
      </c>
      <c r="G1579" s="57" t="s">
        <v>1663</v>
      </c>
      <c r="H1579" s="56" t="s">
        <v>1672</v>
      </c>
      <c r="I1579" s="57" t="s">
        <v>1664</v>
      </c>
      <c r="J1579" t="str">
        <f t="shared" si="50"/>
        <v>999 - Obra Padre Proyectos sin Obra</v>
      </c>
      <c r="K1579" t="str">
        <f t="shared" si="51"/>
        <v>Obra</v>
      </c>
    </row>
    <row r="1580" spans="1:11" x14ac:dyDescent="0.25">
      <c r="A1580" s="56">
        <v>10179301</v>
      </c>
      <c r="B1580" s="57" t="s">
        <v>2306</v>
      </c>
      <c r="C1580" s="57" t="s">
        <v>1964</v>
      </c>
      <c r="D1580" s="57" t="s">
        <v>1665</v>
      </c>
      <c r="E1580" s="57" t="s">
        <v>1643</v>
      </c>
      <c r="F1580" s="57" t="s">
        <v>2305</v>
      </c>
      <c r="G1580" s="57" t="s">
        <v>1667</v>
      </c>
      <c r="H1580" s="56" t="s">
        <v>1672</v>
      </c>
      <c r="I1580" s="57" t="s">
        <v>1666</v>
      </c>
      <c r="J1580" t="str">
        <f t="shared" si="50"/>
        <v>10179301 - Nueva La Serena Etapa 2-GAF</v>
      </c>
      <c r="K1580" t="str">
        <f t="shared" si="51"/>
        <v>Proyectos Inmobiliarios</v>
      </c>
    </row>
    <row r="1581" spans="1:11" x14ac:dyDescent="0.25">
      <c r="A1581" s="54">
        <v>999999999</v>
      </c>
      <c r="B1581" s="55" t="s">
        <v>1684</v>
      </c>
      <c r="C1581" s="55"/>
      <c r="D1581" s="55" t="s">
        <v>1578</v>
      </c>
      <c r="E1581" s="55" t="s">
        <v>1578</v>
      </c>
      <c r="F1581" s="55" t="s">
        <v>2307</v>
      </c>
      <c r="G1581" s="55" t="s">
        <v>1661</v>
      </c>
      <c r="H1581" s="54" t="s">
        <v>1672</v>
      </c>
      <c r="I1581" s="55" t="s">
        <v>1662</v>
      </c>
      <c r="J1581" t="str">
        <f t="shared" si="50"/>
        <v>999999999 - Terreno Abuelo Proyectos sin Terreno</v>
      </c>
      <c r="K1581" t="str">
        <f t="shared" si="51"/>
        <v>Terreno</v>
      </c>
    </row>
    <row r="1582" spans="1:11" x14ac:dyDescent="0.25">
      <c r="A1582" s="54">
        <v>999</v>
      </c>
      <c r="B1582" s="55" t="s">
        <v>1808</v>
      </c>
      <c r="C1582" s="55"/>
      <c r="D1582" s="55" t="s">
        <v>65</v>
      </c>
      <c r="E1582" s="55" t="s">
        <v>65</v>
      </c>
      <c r="F1582" s="55" t="s">
        <v>2307</v>
      </c>
      <c r="G1582" s="55" t="s">
        <v>1663</v>
      </c>
      <c r="H1582" s="54" t="s">
        <v>1672</v>
      </c>
      <c r="I1582" s="55" t="s">
        <v>1664</v>
      </c>
      <c r="J1582" t="str">
        <f t="shared" si="50"/>
        <v>999 - Obra Padre Proyectos sin Obra</v>
      </c>
      <c r="K1582" t="str">
        <f t="shared" si="51"/>
        <v>Obra</v>
      </c>
    </row>
    <row r="1583" spans="1:11" x14ac:dyDescent="0.25">
      <c r="A1583" s="54">
        <v>10180301</v>
      </c>
      <c r="B1583" s="55" t="s">
        <v>2308</v>
      </c>
      <c r="C1583" s="55" t="s">
        <v>1964</v>
      </c>
      <c r="D1583" s="55" t="s">
        <v>1665</v>
      </c>
      <c r="E1583" s="55" t="s">
        <v>1643</v>
      </c>
      <c r="F1583" s="55" t="s">
        <v>2307</v>
      </c>
      <c r="G1583" s="55" t="s">
        <v>1667</v>
      </c>
      <c r="H1583" s="54" t="s">
        <v>1672</v>
      </c>
      <c r="I1583" s="55" t="s">
        <v>1666</v>
      </c>
      <c r="J1583" t="str">
        <f t="shared" si="50"/>
        <v>10180301 - Nueva La Serena Etapa 3-GAF</v>
      </c>
      <c r="K1583" t="str">
        <f t="shared" si="51"/>
        <v>Proyectos Inmobiliarios</v>
      </c>
    </row>
    <row r="1584" spans="1:11" x14ac:dyDescent="0.25">
      <c r="A1584" s="58">
        <v>999999999</v>
      </c>
      <c r="B1584" s="59" t="s">
        <v>1684</v>
      </c>
      <c r="C1584" s="59"/>
      <c r="D1584" s="59" t="s">
        <v>1578</v>
      </c>
      <c r="E1584" s="59" t="s">
        <v>1578</v>
      </c>
      <c r="F1584" s="59" t="s">
        <v>2309</v>
      </c>
      <c r="G1584" s="59" t="s">
        <v>1661</v>
      </c>
      <c r="H1584" s="58" t="s">
        <v>1672</v>
      </c>
      <c r="I1584" s="59" t="s">
        <v>1662</v>
      </c>
      <c r="J1584" t="str">
        <f t="shared" si="50"/>
        <v>999999999 - Terreno Abuelo Proyectos sin Terreno</v>
      </c>
      <c r="K1584" t="str">
        <f t="shared" si="51"/>
        <v>Terreno</v>
      </c>
    </row>
    <row r="1585" spans="1:11" x14ac:dyDescent="0.25">
      <c r="A1585" s="58">
        <v>999</v>
      </c>
      <c r="B1585" s="59" t="s">
        <v>1808</v>
      </c>
      <c r="C1585" s="59"/>
      <c r="D1585" s="59" t="s">
        <v>65</v>
      </c>
      <c r="E1585" s="59" t="s">
        <v>65</v>
      </c>
      <c r="F1585" s="59" t="s">
        <v>2309</v>
      </c>
      <c r="G1585" s="59" t="s">
        <v>1663</v>
      </c>
      <c r="H1585" s="58" t="s">
        <v>1672</v>
      </c>
      <c r="I1585" s="59" t="s">
        <v>1664</v>
      </c>
      <c r="J1585" t="str">
        <f t="shared" si="50"/>
        <v>999 - Obra Padre Proyectos sin Obra</v>
      </c>
      <c r="K1585" t="str">
        <f t="shared" si="51"/>
        <v>Obra</v>
      </c>
    </row>
    <row r="1586" spans="1:11" x14ac:dyDescent="0.25">
      <c r="A1586" s="58">
        <v>10181301</v>
      </c>
      <c r="B1586" s="59" t="s">
        <v>2310</v>
      </c>
      <c r="C1586" s="59" t="s">
        <v>1964</v>
      </c>
      <c r="D1586" s="59" t="s">
        <v>1665</v>
      </c>
      <c r="E1586" s="59" t="s">
        <v>1643</v>
      </c>
      <c r="F1586" s="59" t="s">
        <v>2309</v>
      </c>
      <c r="G1586" s="59" t="s">
        <v>1667</v>
      </c>
      <c r="H1586" s="58" t="s">
        <v>1672</v>
      </c>
      <c r="I1586" s="59" t="s">
        <v>1666</v>
      </c>
      <c r="J1586" t="str">
        <f t="shared" si="50"/>
        <v>10181301 - Nueva La Serena Etapa 4-GAF</v>
      </c>
      <c r="K1586" t="str">
        <f t="shared" si="51"/>
        <v>Proyectos Inmobiliarios</v>
      </c>
    </row>
    <row r="1587" spans="1:11" x14ac:dyDescent="0.25">
      <c r="A1587" s="56">
        <v>999999999</v>
      </c>
      <c r="B1587" s="57" t="s">
        <v>1684</v>
      </c>
      <c r="C1587" s="57"/>
      <c r="D1587" s="57" t="s">
        <v>1578</v>
      </c>
      <c r="E1587" s="57" t="s">
        <v>1578</v>
      </c>
      <c r="F1587" s="57" t="s">
        <v>2311</v>
      </c>
      <c r="G1587" s="57" t="s">
        <v>1661</v>
      </c>
      <c r="H1587" s="56" t="s">
        <v>1672</v>
      </c>
      <c r="I1587" s="57" t="s">
        <v>1662</v>
      </c>
      <c r="J1587" t="str">
        <f t="shared" si="50"/>
        <v>999999999 - Terreno Abuelo Proyectos sin Terreno</v>
      </c>
      <c r="K1587" t="str">
        <f t="shared" si="51"/>
        <v>Terreno</v>
      </c>
    </row>
    <row r="1588" spans="1:11" x14ac:dyDescent="0.25">
      <c r="A1588" s="56">
        <v>999</v>
      </c>
      <c r="B1588" s="57" t="s">
        <v>1808</v>
      </c>
      <c r="C1588" s="57"/>
      <c r="D1588" s="57" t="s">
        <v>65</v>
      </c>
      <c r="E1588" s="57" t="s">
        <v>65</v>
      </c>
      <c r="F1588" s="57" t="s">
        <v>2311</v>
      </c>
      <c r="G1588" s="57" t="s">
        <v>1663</v>
      </c>
      <c r="H1588" s="56" t="s">
        <v>1672</v>
      </c>
      <c r="I1588" s="57" t="s">
        <v>1664</v>
      </c>
      <c r="J1588" t="str">
        <f t="shared" si="50"/>
        <v>999 - Obra Padre Proyectos sin Obra</v>
      </c>
      <c r="K1588" t="str">
        <f t="shared" si="51"/>
        <v>Obra</v>
      </c>
    </row>
    <row r="1589" spans="1:11" x14ac:dyDescent="0.25">
      <c r="A1589" s="56">
        <v>10182301</v>
      </c>
      <c r="B1589" s="57" t="s">
        <v>2312</v>
      </c>
      <c r="C1589" s="57" t="s">
        <v>1964</v>
      </c>
      <c r="D1589" s="57" t="s">
        <v>1665</v>
      </c>
      <c r="E1589" s="57" t="s">
        <v>1643</v>
      </c>
      <c r="F1589" s="57" t="s">
        <v>2311</v>
      </c>
      <c r="G1589" s="57" t="s">
        <v>1667</v>
      </c>
      <c r="H1589" s="56" t="s">
        <v>1672</v>
      </c>
      <c r="I1589" s="57" t="s">
        <v>1666</v>
      </c>
      <c r="J1589" t="str">
        <f t="shared" si="50"/>
        <v>10182301 - Nueva La Serena Etapa 5-GAF</v>
      </c>
      <c r="K1589" t="str">
        <f t="shared" si="51"/>
        <v>Proyectos Inmobiliarios</v>
      </c>
    </row>
    <row r="1590" spans="1:11" x14ac:dyDescent="0.25">
      <c r="A1590" s="54">
        <v>999999999</v>
      </c>
      <c r="B1590" s="55" t="s">
        <v>1684</v>
      </c>
      <c r="C1590" s="55"/>
      <c r="D1590" s="55" t="s">
        <v>1578</v>
      </c>
      <c r="E1590" s="55" t="s">
        <v>1578</v>
      </c>
      <c r="F1590" s="55" t="s">
        <v>2313</v>
      </c>
      <c r="G1590" s="55" t="s">
        <v>1661</v>
      </c>
      <c r="H1590" s="54" t="s">
        <v>1672</v>
      </c>
      <c r="I1590" s="55" t="s">
        <v>1662</v>
      </c>
      <c r="J1590" t="str">
        <f t="shared" si="50"/>
        <v>999999999 - Terreno Abuelo Proyectos sin Terreno</v>
      </c>
      <c r="K1590" t="str">
        <f t="shared" si="51"/>
        <v>Terreno</v>
      </c>
    </row>
    <row r="1591" spans="1:11" x14ac:dyDescent="0.25">
      <c r="A1591" s="54">
        <v>999</v>
      </c>
      <c r="B1591" s="55" t="s">
        <v>1808</v>
      </c>
      <c r="C1591" s="55"/>
      <c r="D1591" s="55" t="s">
        <v>65</v>
      </c>
      <c r="E1591" s="55" t="s">
        <v>65</v>
      </c>
      <c r="F1591" s="55" t="s">
        <v>2313</v>
      </c>
      <c r="G1591" s="55" t="s">
        <v>1663</v>
      </c>
      <c r="H1591" s="54" t="s">
        <v>1672</v>
      </c>
      <c r="I1591" s="55" t="s">
        <v>1664</v>
      </c>
      <c r="J1591" t="str">
        <f t="shared" si="50"/>
        <v>999 - Obra Padre Proyectos sin Obra</v>
      </c>
      <c r="K1591" t="str">
        <f t="shared" si="51"/>
        <v>Obra</v>
      </c>
    </row>
    <row r="1592" spans="1:11" x14ac:dyDescent="0.25">
      <c r="A1592" s="54">
        <v>10183301</v>
      </c>
      <c r="B1592" s="55" t="s">
        <v>2314</v>
      </c>
      <c r="C1592" s="55" t="s">
        <v>1964</v>
      </c>
      <c r="D1592" s="55" t="s">
        <v>1665</v>
      </c>
      <c r="E1592" s="55" t="s">
        <v>1643</v>
      </c>
      <c r="F1592" s="55" t="s">
        <v>2313</v>
      </c>
      <c r="G1592" s="55" t="s">
        <v>1667</v>
      </c>
      <c r="H1592" s="54" t="s">
        <v>1672</v>
      </c>
      <c r="I1592" s="55" t="s">
        <v>1666</v>
      </c>
      <c r="J1592" t="str">
        <f t="shared" si="50"/>
        <v>10183301 - Nueva La Serena Etapa 6-GAF</v>
      </c>
      <c r="K1592" t="str">
        <f t="shared" si="51"/>
        <v>Proyectos Inmobiliarios</v>
      </c>
    </row>
    <row r="1593" spans="1:11" x14ac:dyDescent="0.25">
      <c r="A1593" s="50">
        <v>999999999</v>
      </c>
      <c r="B1593" s="51" t="s">
        <v>1684</v>
      </c>
      <c r="C1593" s="51"/>
      <c r="D1593" s="51" t="s">
        <v>1578</v>
      </c>
      <c r="E1593" s="51" t="s">
        <v>1578</v>
      </c>
      <c r="F1593" s="51" t="s">
        <v>2315</v>
      </c>
      <c r="G1593" s="51" t="s">
        <v>1661</v>
      </c>
      <c r="H1593" s="50" t="s">
        <v>1672</v>
      </c>
      <c r="I1593" s="51" t="s">
        <v>1662</v>
      </c>
      <c r="J1593" t="str">
        <f t="shared" si="50"/>
        <v>999999999 - Terreno Abuelo Proyectos sin Terreno</v>
      </c>
      <c r="K1593" t="str">
        <f t="shared" si="51"/>
        <v>Terreno</v>
      </c>
    </row>
    <row r="1594" spans="1:11" x14ac:dyDescent="0.25">
      <c r="A1594" s="50">
        <v>999</v>
      </c>
      <c r="B1594" s="51" t="s">
        <v>1808</v>
      </c>
      <c r="C1594" s="51"/>
      <c r="D1594" s="51" t="s">
        <v>65</v>
      </c>
      <c r="E1594" s="51" t="s">
        <v>65</v>
      </c>
      <c r="F1594" s="51" t="s">
        <v>2315</v>
      </c>
      <c r="G1594" s="51" t="s">
        <v>1663</v>
      </c>
      <c r="H1594" s="50" t="s">
        <v>1672</v>
      </c>
      <c r="I1594" s="51" t="s">
        <v>1664</v>
      </c>
      <c r="J1594" t="str">
        <f t="shared" si="50"/>
        <v>999 - Obra Padre Proyectos sin Obra</v>
      </c>
      <c r="K1594" t="str">
        <f t="shared" si="51"/>
        <v>Obra</v>
      </c>
    </row>
    <row r="1595" spans="1:11" x14ac:dyDescent="0.25">
      <c r="A1595" s="50">
        <v>10146102</v>
      </c>
      <c r="B1595" s="51" t="s">
        <v>2316</v>
      </c>
      <c r="C1595" s="51" t="s">
        <v>1964</v>
      </c>
      <c r="D1595" s="51" t="s">
        <v>1665</v>
      </c>
      <c r="E1595" s="51" t="s">
        <v>1617</v>
      </c>
      <c r="F1595" s="51" t="s">
        <v>2315</v>
      </c>
      <c r="G1595" s="51" t="s">
        <v>1661</v>
      </c>
      <c r="H1595" s="50" t="s">
        <v>1672</v>
      </c>
      <c r="I1595" s="51" t="s">
        <v>1666</v>
      </c>
      <c r="J1595" t="str">
        <f t="shared" si="50"/>
        <v>10146102 - Nueva La Serena Macro-Marketing</v>
      </c>
      <c r="K1595" t="str">
        <f t="shared" si="51"/>
        <v>Proyectos Inmobiliarios</v>
      </c>
    </row>
    <row r="1596" spans="1:11" x14ac:dyDescent="0.25">
      <c r="A1596" s="50">
        <v>10146103</v>
      </c>
      <c r="B1596" s="51" t="s">
        <v>2317</v>
      </c>
      <c r="C1596" s="51" t="s">
        <v>1964</v>
      </c>
      <c r="D1596" s="51" t="s">
        <v>1665</v>
      </c>
      <c r="E1596" s="51" t="s">
        <v>1618</v>
      </c>
      <c r="F1596" s="51" t="s">
        <v>2315</v>
      </c>
      <c r="G1596" s="51" t="s">
        <v>1661</v>
      </c>
      <c r="H1596" s="50" t="s">
        <v>1672</v>
      </c>
      <c r="I1596" s="51" t="s">
        <v>1666</v>
      </c>
      <c r="J1596" t="str">
        <f t="shared" si="50"/>
        <v>10146103 - Nueva La Serena Macro-Operaciones</v>
      </c>
      <c r="K1596" t="str">
        <f t="shared" si="51"/>
        <v>Proyectos Inmobiliarios</v>
      </c>
    </row>
    <row r="1597" spans="1:11" x14ac:dyDescent="0.25">
      <c r="A1597" s="50">
        <v>10146104</v>
      </c>
      <c r="B1597" s="51" t="s">
        <v>2318</v>
      </c>
      <c r="C1597" s="51" t="s">
        <v>1964</v>
      </c>
      <c r="D1597" s="51" t="s">
        <v>1665</v>
      </c>
      <c r="E1597" s="51" t="s">
        <v>90</v>
      </c>
      <c r="F1597" s="51" t="s">
        <v>2315</v>
      </c>
      <c r="G1597" s="51" t="s">
        <v>1661</v>
      </c>
      <c r="H1597" s="50" t="s">
        <v>1672</v>
      </c>
      <c r="I1597" s="51" t="s">
        <v>1666</v>
      </c>
      <c r="J1597" t="str">
        <f t="shared" si="50"/>
        <v>10146104 - Nueva La Serena Macro-Ventas</v>
      </c>
      <c r="K1597" t="str">
        <f t="shared" si="51"/>
        <v>Proyectos Inmobiliarios</v>
      </c>
    </row>
    <row r="1598" spans="1:11" x14ac:dyDescent="0.25">
      <c r="A1598" s="50">
        <v>10146105</v>
      </c>
      <c r="B1598" s="51" t="s">
        <v>2319</v>
      </c>
      <c r="C1598" s="51" t="s">
        <v>1964</v>
      </c>
      <c r="D1598" s="51" t="s">
        <v>1665</v>
      </c>
      <c r="E1598" s="51" t="s">
        <v>1622</v>
      </c>
      <c r="F1598" s="51" t="s">
        <v>2315</v>
      </c>
      <c r="G1598" s="51" t="s">
        <v>1661</v>
      </c>
      <c r="H1598" s="50" t="s">
        <v>1672</v>
      </c>
      <c r="I1598" s="51" t="s">
        <v>1666</v>
      </c>
      <c r="J1598" t="str">
        <f t="shared" si="50"/>
        <v>10146105 - Nueva La Serena Macro-Clientes</v>
      </c>
      <c r="K1598" t="str">
        <f t="shared" si="51"/>
        <v>Proyectos Inmobiliarios</v>
      </c>
    </row>
    <row r="1599" spans="1:11" x14ac:dyDescent="0.25">
      <c r="A1599" s="50">
        <v>10146203</v>
      </c>
      <c r="B1599" s="51" t="s">
        <v>2320</v>
      </c>
      <c r="C1599" s="51" t="s">
        <v>1964</v>
      </c>
      <c r="D1599" s="51" t="s">
        <v>1665</v>
      </c>
      <c r="E1599" s="51" t="s">
        <v>1624</v>
      </c>
      <c r="F1599" s="51" t="s">
        <v>2315</v>
      </c>
      <c r="G1599" s="51" t="s">
        <v>1661</v>
      </c>
      <c r="H1599" s="50" t="s">
        <v>1672</v>
      </c>
      <c r="I1599" s="51" t="s">
        <v>1666</v>
      </c>
      <c r="J1599" t="str">
        <f t="shared" si="50"/>
        <v>10146203 - Nueva La Serena Macro-Proyecto</v>
      </c>
      <c r="K1599" t="str">
        <f t="shared" si="51"/>
        <v>Proyectos Inmobiliarios</v>
      </c>
    </row>
    <row r="1600" spans="1:11" x14ac:dyDescent="0.25">
      <c r="A1600" s="50">
        <v>10146301</v>
      </c>
      <c r="B1600" s="51" t="s">
        <v>2321</v>
      </c>
      <c r="C1600" s="51" t="s">
        <v>1964</v>
      </c>
      <c r="D1600" s="51" t="s">
        <v>1665</v>
      </c>
      <c r="E1600" s="51" t="s">
        <v>1643</v>
      </c>
      <c r="F1600" s="51" t="s">
        <v>2315</v>
      </c>
      <c r="G1600" s="51" t="s">
        <v>1667</v>
      </c>
      <c r="H1600" s="50" t="s">
        <v>1672</v>
      </c>
      <c r="I1600" s="51" t="s">
        <v>1666</v>
      </c>
      <c r="J1600" t="str">
        <f t="shared" si="50"/>
        <v>10146301 - Nueva La Serena Macro-GAF</v>
      </c>
      <c r="K1600" t="str">
        <f t="shared" si="51"/>
        <v>Proyectos Inmobiliarios</v>
      </c>
    </row>
    <row r="1601" spans="1:11" x14ac:dyDescent="0.25">
      <c r="A1601" s="50">
        <v>10146506</v>
      </c>
      <c r="B1601" s="51" t="s">
        <v>2322</v>
      </c>
      <c r="C1601" s="51" t="s">
        <v>1964</v>
      </c>
      <c r="D1601" s="51" t="s">
        <v>1665</v>
      </c>
      <c r="E1601" s="51" t="s">
        <v>200</v>
      </c>
      <c r="F1601" s="51" t="s">
        <v>2315</v>
      </c>
      <c r="G1601" s="51" t="s">
        <v>1661</v>
      </c>
      <c r="H1601" s="50" t="s">
        <v>1672</v>
      </c>
      <c r="I1601" s="51" t="s">
        <v>1666</v>
      </c>
      <c r="J1601" t="str">
        <f t="shared" si="50"/>
        <v>10146506 - Nueva La Serena Macro-Depto.Técnico</v>
      </c>
      <c r="K1601" t="str">
        <f t="shared" si="51"/>
        <v>Proyectos Inmobiliarios</v>
      </c>
    </row>
    <row r="1602" spans="1:11" x14ac:dyDescent="0.25">
      <c r="A1602" s="64">
        <v>1046202</v>
      </c>
      <c r="B1602" s="65" t="s">
        <v>2323</v>
      </c>
      <c r="C1602" s="65" t="s">
        <v>1670</v>
      </c>
      <c r="D1602" s="65" t="s">
        <v>1578</v>
      </c>
      <c r="E1602" s="65" t="s">
        <v>1578</v>
      </c>
      <c r="F1602" s="65" t="s">
        <v>878</v>
      </c>
      <c r="G1602" s="65" t="s">
        <v>1661</v>
      </c>
      <c r="H1602" s="64" t="s">
        <v>1672</v>
      </c>
      <c r="I1602" s="65" t="s">
        <v>1662</v>
      </c>
      <c r="J1602" t="str">
        <f t="shared" si="50"/>
        <v>1046202 - Terreno Ecuador 2-Desarrollo</v>
      </c>
      <c r="K1602" t="str">
        <f t="shared" si="51"/>
        <v>Terreno</v>
      </c>
    </row>
    <row r="1603" spans="1:11" x14ac:dyDescent="0.25">
      <c r="A1603" s="64">
        <v>201</v>
      </c>
      <c r="B1603" s="65" t="s">
        <v>878</v>
      </c>
      <c r="C1603" s="65" t="s">
        <v>1670</v>
      </c>
      <c r="D1603" s="65" t="s">
        <v>65</v>
      </c>
      <c r="E1603" s="65" t="s">
        <v>65</v>
      </c>
      <c r="F1603" s="65" t="s">
        <v>878</v>
      </c>
      <c r="G1603" s="65" t="s">
        <v>1663</v>
      </c>
      <c r="H1603" s="64" t="s">
        <v>1672</v>
      </c>
      <c r="I1603" s="65" t="s">
        <v>1664</v>
      </c>
      <c r="J1603" t="str">
        <f t="shared" si="50"/>
        <v>201 - Nuevo Ecuador</v>
      </c>
      <c r="K1603" t="str">
        <f t="shared" si="51"/>
        <v>Obra</v>
      </c>
    </row>
    <row r="1604" spans="1:11" x14ac:dyDescent="0.25">
      <c r="A1604" s="64">
        <v>204</v>
      </c>
      <c r="B1604" s="65" t="s">
        <v>2324</v>
      </c>
      <c r="C1604" s="65" t="s">
        <v>1670</v>
      </c>
      <c r="D1604" s="65" t="s">
        <v>65</v>
      </c>
      <c r="E1604" s="65" t="s">
        <v>65</v>
      </c>
      <c r="F1604" s="65" t="s">
        <v>878</v>
      </c>
      <c r="G1604" s="65" t="s">
        <v>1663</v>
      </c>
      <c r="H1604" s="64" t="s">
        <v>1672</v>
      </c>
      <c r="I1604" s="65" t="s">
        <v>1664</v>
      </c>
      <c r="J1604" t="str">
        <f t="shared" si="50"/>
        <v>204 - Edificio Nuevo Ecuador-SA</v>
      </c>
      <c r="K1604" t="str">
        <f t="shared" si="51"/>
        <v>Obra</v>
      </c>
    </row>
    <row r="1605" spans="1:11" x14ac:dyDescent="0.25">
      <c r="A1605" s="64">
        <v>9204</v>
      </c>
      <c r="B1605" s="65" t="s">
        <v>628</v>
      </c>
      <c r="C1605" s="65" t="s">
        <v>1670</v>
      </c>
      <c r="D1605" s="65" t="s">
        <v>66</v>
      </c>
      <c r="E1605" s="65" t="s">
        <v>328</v>
      </c>
      <c r="F1605" s="65" t="s">
        <v>878</v>
      </c>
      <c r="G1605" s="65" t="s">
        <v>1661</v>
      </c>
      <c r="H1605" s="64" t="s">
        <v>386</v>
      </c>
      <c r="I1605" s="65" t="s">
        <v>1666</v>
      </c>
      <c r="J1605" t="str">
        <f t="shared" ref="J1605:J1667" si="52">+A1605&amp;" - "&amp;B1605</f>
        <v>9204 - PV Nuevo Ecuador</v>
      </c>
      <c r="K1605" t="str">
        <f t="shared" ref="K1605:K1667" si="53">+D1605</f>
        <v>Postventa</v>
      </c>
    </row>
    <row r="1606" spans="1:11" x14ac:dyDescent="0.25">
      <c r="A1606" s="64">
        <v>10201000</v>
      </c>
      <c r="B1606" s="65" t="s">
        <v>878</v>
      </c>
      <c r="C1606" s="65" t="s">
        <v>1670</v>
      </c>
      <c r="D1606" s="65" t="s">
        <v>1665</v>
      </c>
      <c r="E1606" s="65" t="s">
        <v>1585</v>
      </c>
      <c r="F1606" s="65" t="s">
        <v>878</v>
      </c>
      <c r="G1606" s="65" t="s">
        <v>1661</v>
      </c>
      <c r="H1606" s="64" t="s">
        <v>386</v>
      </c>
      <c r="I1606" s="65" t="s">
        <v>1666</v>
      </c>
      <c r="J1606" t="str">
        <f t="shared" si="52"/>
        <v>10201000 - Nuevo Ecuador</v>
      </c>
      <c r="K1606" t="str">
        <f t="shared" si="53"/>
        <v>Proyectos Inmobiliarios</v>
      </c>
    </row>
    <row r="1607" spans="1:11" x14ac:dyDescent="0.25">
      <c r="A1607" s="64">
        <v>10201102</v>
      </c>
      <c r="B1607" s="65" t="s">
        <v>879</v>
      </c>
      <c r="C1607" s="65" t="s">
        <v>1670</v>
      </c>
      <c r="D1607" s="65" t="s">
        <v>1665</v>
      </c>
      <c r="E1607" s="65" t="s">
        <v>1617</v>
      </c>
      <c r="F1607" s="65" t="s">
        <v>878</v>
      </c>
      <c r="G1607" s="65" t="s">
        <v>1661</v>
      </c>
      <c r="H1607" s="64" t="s">
        <v>386</v>
      </c>
      <c r="I1607" s="65" t="s">
        <v>1666</v>
      </c>
      <c r="J1607" t="str">
        <f t="shared" si="52"/>
        <v>10201102 - Nuevo Ecuador-Marketing</v>
      </c>
      <c r="K1607" t="str">
        <f t="shared" si="53"/>
        <v>Proyectos Inmobiliarios</v>
      </c>
    </row>
    <row r="1608" spans="1:11" x14ac:dyDescent="0.25">
      <c r="A1608" s="64">
        <v>10201103</v>
      </c>
      <c r="B1608" s="65" t="s">
        <v>880</v>
      </c>
      <c r="C1608" s="65" t="s">
        <v>1670</v>
      </c>
      <c r="D1608" s="65" t="s">
        <v>1665</v>
      </c>
      <c r="E1608" s="65" t="s">
        <v>1618</v>
      </c>
      <c r="F1608" s="65" t="s">
        <v>878</v>
      </c>
      <c r="G1608" s="65" t="s">
        <v>1661</v>
      </c>
      <c r="H1608" s="64" t="s">
        <v>386</v>
      </c>
      <c r="I1608" s="65" t="s">
        <v>1666</v>
      </c>
      <c r="J1608" t="str">
        <f t="shared" si="52"/>
        <v>10201103 - Nuevo Ecuador-Operaciones</v>
      </c>
      <c r="K1608" t="str">
        <f t="shared" si="53"/>
        <v>Proyectos Inmobiliarios</v>
      </c>
    </row>
    <row r="1609" spans="1:11" x14ac:dyDescent="0.25">
      <c r="A1609" s="64">
        <v>10201104</v>
      </c>
      <c r="B1609" s="65" t="s">
        <v>881</v>
      </c>
      <c r="C1609" s="65" t="s">
        <v>1670</v>
      </c>
      <c r="D1609" s="65" t="s">
        <v>1665</v>
      </c>
      <c r="E1609" s="65" t="s">
        <v>90</v>
      </c>
      <c r="F1609" s="65" t="s">
        <v>878</v>
      </c>
      <c r="G1609" s="65" t="s">
        <v>1661</v>
      </c>
      <c r="H1609" s="64" t="s">
        <v>386</v>
      </c>
      <c r="I1609" s="65" t="s">
        <v>1666</v>
      </c>
      <c r="J1609" t="str">
        <f t="shared" si="52"/>
        <v>10201104 - Nuevo Ecuador-Ventas</v>
      </c>
      <c r="K1609" t="str">
        <f t="shared" si="53"/>
        <v>Proyectos Inmobiliarios</v>
      </c>
    </row>
    <row r="1610" spans="1:11" x14ac:dyDescent="0.25">
      <c r="A1610" s="64">
        <v>10201105</v>
      </c>
      <c r="B1610" s="65" t="s">
        <v>882</v>
      </c>
      <c r="C1610" s="65" t="s">
        <v>1670</v>
      </c>
      <c r="D1610" s="65" t="s">
        <v>1665</v>
      </c>
      <c r="E1610" s="65" t="s">
        <v>1622</v>
      </c>
      <c r="F1610" s="65" t="s">
        <v>878</v>
      </c>
      <c r="G1610" s="65" t="s">
        <v>1661</v>
      </c>
      <c r="H1610" s="64" t="s">
        <v>386</v>
      </c>
      <c r="I1610" s="65" t="s">
        <v>1666</v>
      </c>
      <c r="J1610" t="str">
        <f t="shared" si="52"/>
        <v>10201105 - Nuevo Ecuador-Clientes</v>
      </c>
      <c r="K1610" t="str">
        <f t="shared" si="53"/>
        <v>Proyectos Inmobiliarios</v>
      </c>
    </row>
    <row r="1611" spans="1:11" x14ac:dyDescent="0.25">
      <c r="A1611" s="64">
        <v>10201204</v>
      </c>
      <c r="B1611" s="65" t="s">
        <v>883</v>
      </c>
      <c r="C1611" s="65" t="s">
        <v>1670</v>
      </c>
      <c r="D1611" s="65" t="s">
        <v>1665</v>
      </c>
      <c r="E1611" s="65" t="s">
        <v>1624</v>
      </c>
      <c r="F1611" s="65" t="s">
        <v>878</v>
      </c>
      <c r="G1611" s="65" t="s">
        <v>1661</v>
      </c>
      <c r="H1611" s="64" t="s">
        <v>386</v>
      </c>
      <c r="I1611" s="65" t="s">
        <v>1666</v>
      </c>
      <c r="J1611" t="str">
        <f t="shared" si="52"/>
        <v>10201204 - Nuevo Ecuador-Proyecto</v>
      </c>
      <c r="K1611" t="str">
        <f t="shared" si="53"/>
        <v>Proyectos Inmobiliarios</v>
      </c>
    </row>
    <row r="1612" spans="1:11" x14ac:dyDescent="0.25">
      <c r="A1612" s="64">
        <v>10201301</v>
      </c>
      <c r="B1612" s="65" t="s">
        <v>884</v>
      </c>
      <c r="C1612" s="65" t="s">
        <v>1670</v>
      </c>
      <c r="D1612" s="65" t="s">
        <v>1665</v>
      </c>
      <c r="E1612" s="65" t="s">
        <v>1643</v>
      </c>
      <c r="F1612" s="65" t="s">
        <v>878</v>
      </c>
      <c r="G1612" s="65" t="s">
        <v>1667</v>
      </c>
      <c r="H1612" s="64" t="s">
        <v>386</v>
      </c>
      <c r="I1612" s="65" t="s">
        <v>1666</v>
      </c>
      <c r="J1612" t="str">
        <f t="shared" si="52"/>
        <v>10201301 - Nuevo Ecuador-GAF</v>
      </c>
      <c r="K1612" t="str">
        <f t="shared" si="53"/>
        <v>Proyectos Inmobiliarios</v>
      </c>
    </row>
    <row r="1613" spans="1:11" x14ac:dyDescent="0.25">
      <c r="A1613" s="64">
        <v>10201505</v>
      </c>
      <c r="B1613" s="65" t="s">
        <v>887</v>
      </c>
      <c r="C1613" s="65" t="s">
        <v>1670</v>
      </c>
      <c r="D1613" s="65" t="s">
        <v>66</v>
      </c>
      <c r="E1613" s="65" t="s">
        <v>328</v>
      </c>
      <c r="F1613" s="65" t="s">
        <v>878</v>
      </c>
      <c r="G1613" s="65" t="s">
        <v>1661</v>
      </c>
      <c r="H1613" s="64" t="s">
        <v>386</v>
      </c>
      <c r="I1613" s="65" t="s">
        <v>1666</v>
      </c>
      <c r="J1613" t="str">
        <f t="shared" si="52"/>
        <v>10201505 - Nuevo Ecuador-PV Inmob.</v>
      </c>
      <c r="K1613" t="str">
        <f t="shared" si="53"/>
        <v>Postventa</v>
      </c>
    </row>
    <row r="1614" spans="1:11" x14ac:dyDescent="0.25">
      <c r="A1614" s="64">
        <v>10201506</v>
      </c>
      <c r="B1614" s="65" t="s">
        <v>888</v>
      </c>
      <c r="C1614" s="65" t="s">
        <v>1670</v>
      </c>
      <c r="D1614" s="65" t="s">
        <v>1665</v>
      </c>
      <c r="E1614" s="65" t="s">
        <v>200</v>
      </c>
      <c r="F1614" s="65" t="s">
        <v>878</v>
      </c>
      <c r="G1614" s="65" t="s">
        <v>1661</v>
      </c>
      <c r="H1614" s="64" t="s">
        <v>386</v>
      </c>
      <c r="I1614" s="65" t="s">
        <v>1666</v>
      </c>
      <c r="J1614" t="str">
        <f t="shared" si="52"/>
        <v>10201506 - Nuevo Ecuador-Depto. Técnico</v>
      </c>
      <c r="K1614" t="str">
        <f t="shared" si="53"/>
        <v>Proyectos Inmobiliarios</v>
      </c>
    </row>
    <row r="1615" spans="1:11" x14ac:dyDescent="0.25">
      <c r="A1615" s="52">
        <v>999999999</v>
      </c>
      <c r="B1615" s="53" t="s">
        <v>1684</v>
      </c>
      <c r="C1615" s="53"/>
      <c r="D1615" s="53" t="s">
        <v>1578</v>
      </c>
      <c r="E1615" s="53" t="s">
        <v>1578</v>
      </c>
      <c r="F1615" s="53" t="s">
        <v>2325</v>
      </c>
      <c r="G1615" s="53" t="s">
        <v>1661</v>
      </c>
      <c r="H1615" s="52" t="s">
        <v>1672</v>
      </c>
      <c r="I1615" s="53" t="s">
        <v>1662</v>
      </c>
      <c r="J1615" t="str">
        <f t="shared" si="52"/>
        <v>999999999 - Terreno Abuelo Proyectos sin Terreno</v>
      </c>
      <c r="K1615" t="str">
        <f t="shared" si="53"/>
        <v>Terreno</v>
      </c>
    </row>
    <row r="1616" spans="1:11" x14ac:dyDescent="0.25">
      <c r="A1616" s="52">
        <v>9999</v>
      </c>
      <c r="B1616" s="53" t="s">
        <v>2325</v>
      </c>
      <c r="C1616" s="53" t="s">
        <v>1670</v>
      </c>
      <c r="D1616" s="53" t="s">
        <v>65</v>
      </c>
      <c r="E1616" s="53" t="s">
        <v>65</v>
      </c>
      <c r="F1616" s="53" t="s">
        <v>2325</v>
      </c>
      <c r="G1616" s="53" t="s">
        <v>1663</v>
      </c>
      <c r="H1616" s="52" t="s">
        <v>1672</v>
      </c>
      <c r="I1616" s="53" t="s">
        <v>1664</v>
      </c>
      <c r="J1616" t="str">
        <f t="shared" si="52"/>
        <v>9999 - Obras Terminadas</v>
      </c>
      <c r="K1616" t="str">
        <f t="shared" si="53"/>
        <v>Obra</v>
      </c>
    </row>
    <row r="1617" spans="1:11" x14ac:dyDescent="0.25">
      <c r="A1617" s="52">
        <v>9922</v>
      </c>
      <c r="B1617" s="53" t="s">
        <v>2326</v>
      </c>
      <c r="C1617" s="53" t="s">
        <v>1670</v>
      </c>
      <c r="D1617" s="53" t="s">
        <v>66</v>
      </c>
      <c r="E1617" s="53" t="s">
        <v>328</v>
      </c>
      <c r="F1617" s="53" t="s">
        <v>2325</v>
      </c>
      <c r="G1617" s="53" t="s">
        <v>1661</v>
      </c>
      <c r="H1617" s="52" t="s">
        <v>1672</v>
      </c>
      <c r="I1617" s="53" t="s">
        <v>1666</v>
      </c>
      <c r="J1617" t="str">
        <f t="shared" si="52"/>
        <v>9922 - PV Obras Terminadas</v>
      </c>
      <c r="K1617" t="str">
        <f t="shared" si="53"/>
        <v>Postventa</v>
      </c>
    </row>
    <row r="1618" spans="1:11" x14ac:dyDescent="0.25">
      <c r="A1618" s="43">
        <v>70904</v>
      </c>
      <c r="B1618" t="s">
        <v>279</v>
      </c>
      <c r="C1618" t="s">
        <v>1500</v>
      </c>
      <c r="D1618" t="s">
        <v>1500</v>
      </c>
      <c r="E1618" t="s">
        <v>1571</v>
      </c>
      <c r="F1618" t="s">
        <v>1500</v>
      </c>
      <c r="G1618" s="98" t="s">
        <v>1661</v>
      </c>
      <c r="H1618" s="43" t="s">
        <v>386</v>
      </c>
      <c r="I1618" t="s">
        <v>1668</v>
      </c>
      <c r="J1618" t="str">
        <f t="shared" si="52"/>
        <v>70904 - COMERCIAL</v>
      </c>
      <c r="K1618" t="str">
        <f t="shared" si="53"/>
        <v>Oficina Central</v>
      </c>
    </row>
    <row r="1619" spans="1:11" x14ac:dyDescent="0.25">
      <c r="A1619" s="43">
        <v>70907</v>
      </c>
      <c r="B1619" t="s">
        <v>280</v>
      </c>
      <c r="C1619" t="s">
        <v>1500</v>
      </c>
      <c r="D1619" t="s">
        <v>1500</v>
      </c>
      <c r="E1619" t="s">
        <v>1500</v>
      </c>
      <c r="F1619" t="s">
        <v>1500</v>
      </c>
      <c r="G1619" s="98" t="s">
        <v>1667</v>
      </c>
      <c r="H1619" s="43" t="s">
        <v>386</v>
      </c>
      <c r="I1619" t="s">
        <v>1668</v>
      </c>
      <c r="J1619" t="str">
        <f t="shared" si="52"/>
        <v>70907 - REMODELACIÓN OFICINA PISO 5</v>
      </c>
      <c r="K1619" t="str">
        <f t="shared" si="53"/>
        <v>Oficina Central</v>
      </c>
    </row>
    <row r="1620" spans="1:11" x14ac:dyDescent="0.25">
      <c r="A1620" s="43">
        <v>70912</v>
      </c>
      <c r="B1620" t="s">
        <v>281</v>
      </c>
      <c r="C1620" t="s">
        <v>1500</v>
      </c>
      <c r="D1620" s="98" t="s">
        <v>1500</v>
      </c>
      <c r="E1620" s="98" t="s">
        <v>1572</v>
      </c>
      <c r="F1620" s="98" t="s">
        <v>1500</v>
      </c>
      <c r="G1620" t="s">
        <v>1663</v>
      </c>
      <c r="H1620" s="43" t="s">
        <v>386</v>
      </c>
      <c r="I1620" t="s">
        <v>1668</v>
      </c>
      <c r="J1620" t="str">
        <f t="shared" si="52"/>
        <v>70912 - PRODUCTIVIDAD CONSTRUCTORA</v>
      </c>
      <c r="K1620" t="str">
        <f t="shared" si="53"/>
        <v>Oficina Central</v>
      </c>
    </row>
    <row r="1621" spans="1:11" x14ac:dyDescent="0.25">
      <c r="A1621" s="43">
        <v>70914</v>
      </c>
      <c r="B1621" t="s">
        <v>282</v>
      </c>
      <c r="C1621" t="s">
        <v>1500</v>
      </c>
      <c r="D1621" t="s">
        <v>1500</v>
      </c>
      <c r="E1621" s="98" t="s">
        <v>1573</v>
      </c>
      <c r="F1621" t="s">
        <v>1500</v>
      </c>
      <c r="G1621" t="s">
        <v>2327</v>
      </c>
      <c r="H1621" s="43" t="s">
        <v>386</v>
      </c>
      <c r="I1621" t="s">
        <v>1668</v>
      </c>
      <c r="J1621" t="str">
        <f t="shared" si="52"/>
        <v>70914 - SUB GERENCIA TÉCNICA</v>
      </c>
      <c r="K1621" t="str">
        <f t="shared" si="53"/>
        <v>Oficina Central</v>
      </c>
    </row>
    <row r="1622" spans="1:11" x14ac:dyDescent="0.25">
      <c r="A1622" s="43">
        <v>70916</v>
      </c>
      <c r="B1622" t="s">
        <v>283</v>
      </c>
      <c r="C1622" t="s">
        <v>1500</v>
      </c>
      <c r="D1622" t="s">
        <v>1500</v>
      </c>
      <c r="E1622" t="s">
        <v>1574</v>
      </c>
      <c r="F1622" t="s">
        <v>1500</v>
      </c>
      <c r="G1622" t="s">
        <v>1663</v>
      </c>
      <c r="H1622" s="43" t="s">
        <v>386</v>
      </c>
      <c r="I1622" t="s">
        <v>1668</v>
      </c>
      <c r="J1622" t="str">
        <f t="shared" si="52"/>
        <v>70916 - CALIDAD CONSTRUCTORA</v>
      </c>
      <c r="K1622" t="str">
        <f t="shared" si="53"/>
        <v>Oficina Central</v>
      </c>
    </row>
    <row r="1623" spans="1:11" x14ac:dyDescent="0.25">
      <c r="A1623" s="43">
        <v>70917</v>
      </c>
      <c r="B1623" t="s">
        <v>284</v>
      </c>
      <c r="C1623" t="s">
        <v>1500</v>
      </c>
      <c r="D1623" t="s">
        <v>1500</v>
      </c>
      <c r="E1623" t="s">
        <v>1575</v>
      </c>
      <c r="F1623" t="s">
        <v>1500</v>
      </c>
      <c r="G1623" t="s">
        <v>1667</v>
      </c>
      <c r="H1623" s="43" t="s">
        <v>386</v>
      </c>
      <c r="I1623" t="s">
        <v>1668</v>
      </c>
      <c r="J1623" t="str">
        <f t="shared" si="52"/>
        <v>70917 - OTROS OFICINA CENTRAL</v>
      </c>
      <c r="K1623" t="str">
        <f t="shared" si="53"/>
        <v>Oficina Central</v>
      </c>
    </row>
    <row r="1624" spans="1:11" x14ac:dyDescent="0.25">
      <c r="A1624" s="43">
        <v>70918</v>
      </c>
      <c r="B1624" t="s">
        <v>285</v>
      </c>
      <c r="C1624" t="s">
        <v>1500</v>
      </c>
      <c r="D1624" t="s">
        <v>1500</v>
      </c>
      <c r="E1624" t="s">
        <v>1577</v>
      </c>
      <c r="F1624" t="s">
        <v>1500</v>
      </c>
      <c r="G1624" t="s">
        <v>1663</v>
      </c>
      <c r="H1624" s="43" t="s">
        <v>386</v>
      </c>
      <c r="I1624" t="s">
        <v>1668</v>
      </c>
      <c r="J1624" t="str">
        <f t="shared" si="52"/>
        <v>70918 - PLANIFICACIÓN Y CONTROL DE OBRAS</v>
      </c>
      <c r="K1624" t="str">
        <f t="shared" si="53"/>
        <v>Oficina Central</v>
      </c>
    </row>
    <row r="1625" spans="1:11" x14ac:dyDescent="0.25">
      <c r="A1625" s="43">
        <v>70920</v>
      </c>
      <c r="B1625" t="s">
        <v>286</v>
      </c>
      <c r="C1625" t="s">
        <v>1500</v>
      </c>
      <c r="D1625" t="s">
        <v>1500</v>
      </c>
      <c r="E1625" s="98" t="s">
        <v>2328</v>
      </c>
      <c r="F1625" t="s">
        <v>1500</v>
      </c>
      <c r="G1625" s="98" t="s">
        <v>2329</v>
      </c>
      <c r="H1625" s="43" t="s">
        <v>386</v>
      </c>
      <c r="I1625" t="s">
        <v>1668</v>
      </c>
      <c r="J1625" t="str">
        <f t="shared" si="52"/>
        <v>70920 - PROYECTOS DE MEJORA</v>
      </c>
      <c r="K1625" t="str">
        <f t="shared" si="53"/>
        <v>Oficina Central</v>
      </c>
    </row>
    <row r="1626" spans="1:11" x14ac:dyDescent="0.25">
      <c r="A1626" s="43">
        <v>70312</v>
      </c>
      <c r="B1626" t="s">
        <v>258</v>
      </c>
      <c r="C1626" t="s">
        <v>1500</v>
      </c>
      <c r="D1626" t="s">
        <v>1500</v>
      </c>
      <c r="E1626" t="s">
        <v>1556</v>
      </c>
      <c r="F1626" t="s">
        <v>1500</v>
      </c>
      <c r="G1626" t="s">
        <v>1667</v>
      </c>
      <c r="H1626" s="43" t="s">
        <v>386</v>
      </c>
      <c r="I1626" t="s">
        <v>1668</v>
      </c>
      <c r="J1626" t="str">
        <f t="shared" si="52"/>
        <v>70312 - CONTABILIDAD GENERAL</v>
      </c>
      <c r="K1626" t="str">
        <f t="shared" si="53"/>
        <v>Oficina Central</v>
      </c>
    </row>
    <row r="1627" spans="1:11" x14ac:dyDescent="0.25">
      <c r="A1627" s="43">
        <v>70314</v>
      </c>
      <c r="B1627" t="s">
        <v>261</v>
      </c>
      <c r="C1627" t="s">
        <v>1500</v>
      </c>
      <c r="D1627" t="s">
        <v>1500</v>
      </c>
      <c r="E1627" t="s">
        <v>1557</v>
      </c>
      <c r="F1627" t="s">
        <v>1500</v>
      </c>
      <c r="G1627" t="s">
        <v>1667</v>
      </c>
      <c r="H1627" s="43" t="s">
        <v>386</v>
      </c>
      <c r="I1627" t="s">
        <v>1668</v>
      </c>
      <c r="J1627" t="str">
        <f t="shared" si="52"/>
        <v>70314 - OFICINA CENTRAL PROCESOS</v>
      </c>
      <c r="K1627" t="str">
        <f t="shared" si="53"/>
        <v>Oficina Central</v>
      </c>
    </row>
    <row r="1628" spans="1:11" x14ac:dyDescent="0.25">
      <c r="A1628" s="43">
        <v>70318</v>
      </c>
      <c r="B1628" t="s">
        <v>262</v>
      </c>
      <c r="C1628" t="s">
        <v>1500</v>
      </c>
      <c r="D1628" t="s">
        <v>1500</v>
      </c>
      <c r="E1628" t="s">
        <v>1558</v>
      </c>
      <c r="F1628" t="s">
        <v>1500</v>
      </c>
      <c r="G1628" t="s">
        <v>1549</v>
      </c>
      <c r="H1628" s="43" t="s">
        <v>386</v>
      </c>
      <c r="I1628" t="s">
        <v>1668</v>
      </c>
      <c r="J1628" t="str">
        <f t="shared" si="52"/>
        <v>70318 - OFICINA CENTRAL CAPITAL HUMANO</v>
      </c>
      <c r="K1628" t="str">
        <f t="shared" si="53"/>
        <v>Oficina Central</v>
      </c>
    </row>
    <row r="1629" spans="1:11" x14ac:dyDescent="0.25">
      <c r="A1629" s="43">
        <v>70401</v>
      </c>
      <c r="B1629" t="s">
        <v>263</v>
      </c>
      <c r="C1629" t="s">
        <v>1500</v>
      </c>
      <c r="D1629" t="s">
        <v>1500</v>
      </c>
      <c r="E1629" t="s">
        <v>1559</v>
      </c>
      <c r="F1629" t="s">
        <v>1500</v>
      </c>
      <c r="G1629" t="s">
        <v>2329</v>
      </c>
      <c r="H1629" s="43" t="s">
        <v>386</v>
      </c>
      <c r="I1629" t="s">
        <v>1668</v>
      </c>
      <c r="J1629" t="str">
        <f t="shared" si="52"/>
        <v>70401 - GERENCIA GENERAL CORP</v>
      </c>
      <c r="K1629" t="str">
        <f t="shared" si="53"/>
        <v>Oficina Central</v>
      </c>
    </row>
    <row r="1630" spans="1:11" x14ac:dyDescent="0.25">
      <c r="A1630" s="43">
        <v>70402</v>
      </c>
      <c r="B1630" t="s">
        <v>265</v>
      </c>
      <c r="C1630" t="s">
        <v>1500</v>
      </c>
      <c r="D1630" s="98" t="s">
        <v>1500</v>
      </c>
      <c r="E1630" t="s">
        <v>1560</v>
      </c>
      <c r="F1630" t="s">
        <v>1500</v>
      </c>
      <c r="G1630" t="s">
        <v>1560</v>
      </c>
      <c r="H1630" s="43" t="s">
        <v>386</v>
      </c>
      <c r="I1630" t="s">
        <v>1668</v>
      </c>
      <c r="J1630" t="str">
        <f t="shared" si="52"/>
        <v>70402 - DIRECTORIO</v>
      </c>
      <c r="K1630" t="str">
        <f t="shared" si="53"/>
        <v>Oficina Central</v>
      </c>
    </row>
    <row r="1631" spans="1:11" x14ac:dyDescent="0.25">
      <c r="A1631" s="43">
        <v>70404</v>
      </c>
      <c r="B1631" t="s">
        <v>266</v>
      </c>
      <c r="C1631" t="s">
        <v>1500</v>
      </c>
      <c r="D1631" t="s">
        <v>1500</v>
      </c>
      <c r="E1631" t="s">
        <v>1561</v>
      </c>
      <c r="F1631" t="s">
        <v>1500</v>
      </c>
      <c r="G1631" t="s">
        <v>1561</v>
      </c>
      <c r="H1631" s="43" t="s">
        <v>386</v>
      </c>
      <c r="I1631" t="s">
        <v>1668</v>
      </c>
      <c r="J1631" t="str">
        <f t="shared" si="52"/>
        <v>70404 - GERENCIA LEGAL</v>
      </c>
      <c r="K1631" t="str">
        <f t="shared" si="53"/>
        <v>Oficina Central</v>
      </c>
    </row>
    <row r="1632" spans="1:11" x14ac:dyDescent="0.25">
      <c r="A1632" s="43">
        <v>70502</v>
      </c>
      <c r="B1632" t="s">
        <v>267</v>
      </c>
      <c r="C1632" t="s">
        <v>1500</v>
      </c>
      <c r="D1632" t="s">
        <v>1500</v>
      </c>
      <c r="E1632" t="s">
        <v>1562</v>
      </c>
      <c r="F1632" t="s">
        <v>1500</v>
      </c>
      <c r="G1632" t="s">
        <v>1663</v>
      </c>
      <c r="H1632" s="43" t="s">
        <v>386</v>
      </c>
      <c r="I1632" t="s">
        <v>1668</v>
      </c>
      <c r="J1632" t="str">
        <f t="shared" si="52"/>
        <v>70502 - ADQUISICIONES</v>
      </c>
      <c r="K1632" t="str">
        <f t="shared" si="53"/>
        <v>Oficina Central</v>
      </c>
    </row>
    <row r="1633" spans="1:11" x14ac:dyDescent="0.25">
      <c r="A1633" s="43">
        <v>70508</v>
      </c>
      <c r="B1633" t="s">
        <v>268</v>
      </c>
      <c r="C1633" t="s">
        <v>1500</v>
      </c>
      <c r="D1633" t="s">
        <v>1500</v>
      </c>
      <c r="E1633" t="s">
        <v>1563</v>
      </c>
      <c r="F1633" t="s">
        <v>1500</v>
      </c>
      <c r="G1633" t="s">
        <v>1663</v>
      </c>
      <c r="H1633" s="43" t="s">
        <v>386</v>
      </c>
      <c r="I1633" t="s">
        <v>1668</v>
      </c>
      <c r="J1633" t="str">
        <f t="shared" si="52"/>
        <v>70508 - SEGURIDAD</v>
      </c>
      <c r="K1633" t="str">
        <f t="shared" si="53"/>
        <v>Oficina Central</v>
      </c>
    </row>
    <row r="1634" spans="1:11" x14ac:dyDescent="0.25">
      <c r="A1634" s="43">
        <v>70509</v>
      </c>
      <c r="B1634" t="s">
        <v>269</v>
      </c>
      <c r="C1634" t="s">
        <v>1500</v>
      </c>
      <c r="D1634" s="98" t="s">
        <v>1500</v>
      </c>
      <c r="E1634" t="s">
        <v>1564</v>
      </c>
      <c r="F1634" t="s">
        <v>1500</v>
      </c>
      <c r="G1634" s="98" t="s">
        <v>2327</v>
      </c>
      <c r="H1634" s="43" t="s">
        <v>386</v>
      </c>
      <c r="I1634" t="s">
        <v>1668</v>
      </c>
      <c r="J1634" t="str">
        <f t="shared" si="52"/>
        <v>70509 - COORDINACIÓN DE PROYECTOS</v>
      </c>
      <c r="K1634" t="str">
        <f t="shared" si="53"/>
        <v>Oficina Central</v>
      </c>
    </row>
    <row r="1635" spans="1:11" x14ac:dyDescent="0.25">
      <c r="A1635" s="43">
        <v>70510</v>
      </c>
      <c r="B1635" t="s">
        <v>270</v>
      </c>
      <c r="C1635" t="s">
        <v>1660</v>
      </c>
      <c r="D1635" s="98" t="s">
        <v>1500</v>
      </c>
      <c r="E1635" t="s">
        <v>1565</v>
      </c>
      <c r="F1635" t="s">
        <v>1500</v>
      </c>
      <c r="G1635" s="98" t="s">
        <v>1661</v>
      </c>
      <c r="H1635" s="103" t="s">
        <v>386</v>
      </c>
      <c r="I1635" t="s">
        <v>1668</v>
      </c>
      <c r="J1635" t="str">
        <f t="shared" si="52"/>
        <v>70510 - DEPTO TÉCNICO NORTE 1</v>
      </c>
      <c r="K1635" t="str">
        <f t="shared" si="53"/>
        <v>Oficina Central</v>
      </c>
    </row>
    <row r="1636" spans="1:11" x14ac:dyDescent="0.25">
      <c r="A1636" s="43">
        <v>70511</v>
      </c>
      <c r="B1636" t="s">
        <v>271</v>
      </c>
      <c r="C1636" t="s">
        <v>1836</v>
      </c>
      <c r="D1636" s="98" t="s">
        <v>1500</v>
      </c>
      <c r="E1636" t="s">
        <v>1566</v>
      </c>
      <c r="F1636" t="s">
        <v>1500</v>
      </c>
      <c r="G1636" s="98" t="s">
        <v>1661</v>
      </c>
      <c r="H1636" s="43" t="s">
        <v>386</v>
      </c>
      <c r="I1636" t="s">
        <v>1668</v>
      </c>
      <c r="J1636" t="str">
        <f t="shared" si="52"/>
        <v>70511 - DEPTO TÉCNICO NORTE 2</v>
      </c>
      <c r="K1636" t="str">
        <f t="shared" si="53"/>
        <v>Oficina Central</v>
      </c>
    </row>
    <row r="1637" spans="1:11" x14ac:dyDescent="0.25">
      <c r="A1637" s="43">
        <v>70512</v>
      </c>
      <c r="B1637" t="s">
        <v>272</v>
      </c>
      <c r="C1637" s="98" t="s">
        <v>1670</v>
      </c>
      <c r="D1637" s="98" t="s">
        <v>1500</v>
      </c>
      <c r="E1637" s="98" t="s">
        <v>1567</v>
      </c>
      <c r="F1637" t="s">
        <v>1500</v>
      </c>
      <c r="G1637" s="98" t="s">
        <v>1661</v>
      </c>
      <c r="H1637" s="43" t="s">
        <v>386</v>
      </c>
      <c r="I1637" t="s">
        <v>1668</v>
      </c>
      <c r="J1637" t="str">
        <f t="shared" si="52"/>
        <v>70512 - DEPTO TÉCNICO ZC 1</v>
      </c>
      <c r="K1637" t="str">
        <f t="shared" si="53"/>
        <v>Oficina Central</v>
      </c>
    </row>
    <row r="1638" spans="1:11" x14ac:dyDescent="0.25">
      <c r="A1638" s="43">
        <v>70513</v>
      </c>
      <c r="B1638" t="s">
        <v>273</v>
      </c>
      <c r="C1638" s="98" t="s">
        <v>1670</v>
      </c>
      <c r="D1638" s="98" t="s">
        <v>1500</v>
      </c>
      <c r="E1638" s="98" t="s">
        <v>1567</v>
      </c>
      <c r="F1638" t="s">
        <v>1500</v>
      </c>
      <c r="G1638" s="98" t="s">
        <v>1661</v>
      </c>
      <c r="H1638" s="43" t="s">
        <v>386</v>
      </c>
      <c r="I1638" t="s">
        <v>1668</v>
      </c>
      <c r="J1638" t="str">
        <f t="shared" si="52"/>
        <v>70513 - DEPTO TÉCNICO ZC 2</v>
      </c>
      <c r="K1638" t="str">
        <f t="shared" si="53"/>
        <v>Oficina Central</v>
      </c>
    </row>
    <row r="1639" spans="1:11" x14ac:dyDescent="0.25">
      <c r="A1639" s="43">
        <v>70514</v>
      </c>
      <c r="B1639" t="s">
        <v>274</v>
      </c>
      <c r="C1639" t="s">
        <v>1685</v>
      </c>
      <c r="D1639" s="98" t="s">
        <v>1500</v>
      </c>
      <c r="E1639" t="s">
        <v>1568</v>
      </c>
      <c r="F1639" t="s">
        <v>1500</v>
      </c>
      <c r="G1639" s="98" t="s">
        <v>1661</v>
      </c>
      <c r="H1639" s="43" t="s">
        <v>386</v>
      </c>
      <c r="I1639" t="s">
        <v>1668</v>
      </c>
      <c r="J1639" t="str">
        <f t="shared" si="52"/>
        <v>70514 - DEPTO TÉCNICO V REGIÓN</v>
      </c>
      <c r="K1639" t="str">
        <f t="shared" si="53"/>
        <v>Oficina Central</v>
      </c>
    </row>
    <row r="1640" spans="1:11" x14ac:dyDescent="0.25">
      <c r="A1640" s="43">
        <v>70515</v>
      </c>
      <c r="B1640" t="s">
        <v>275</v>
      </c>
      <c r="C1640" t="s">
        <v>1500</v>
      </c>
      <c r="D1640" t="s">
        <v>1500</v>
      </c>
      <c r="E1640" t="s">
        <v>104</v>
      </c>
      <c r="F1640" t="s">
        <v>1500</v>
      </c>
      <c r="G1640" s="98" t="s">
        <v>2327</v>
      </c>
      <c r="H1640" s="43" t="s">
        <v>1672</v>
      </c>
      <c r="I1640" t="s">
        <v>1668</v>
      </c>
      <c r="J1640" t="str">
        <f t="shared" si="52"/>
        <v>70515 - DESARROLLO</v>
      </c>
      <c r="K1640" t="str">
        <f t="shared" si="53"/>
        <v>Oficina Central</v>
      </c>
    </row>
    <row r="1641" spans="1:11" x14ac:dyDescent="0.25">
      <c r="A1641" s="43">
        <v>70601</v>
      </c>
      <c r="B1641" t="s">
        <v>276</v>
      </c>
      <c r="C1641" t="s">
        <v>1500</v>
      </c>
      <c r="D1641" t="s">
        <v>1500</v>
      </c>
      <c r="E1641" t="s">
        <v>1570</v>
      </c>
      <c r="F1641" t="s">
        <v>1500</v>
      </c>
      <c r="G1641" t="s">
        <v>1663</v>
      </c>
      <c r="H1641" s="43" t="s">
        <v>386</v>
      </c>
      <c r="I1641" t="s">
        <v>1668</v>
      </c>
      <c r="J1641" t="str">
        <f t="shared" si="52"/>
        <v>70601 - GERENCIA CONSTRUCCIÓN</v>
      </c>
      <c r="K1641" t="str">
        <f t="shared" si="53"/>
        <v>Oficina Central</v>
      </c>
    </row>
    <row r="1642" spans="1:11" x14ac:dyDescent="0.25">
      <c r="A1642" s="43">
        <v>70800</v>
      </c>
      <c r="B1642" t="s">
        <v>277</v>
      </c>
      <c r="C1642" t="s">
        <v>1500</v>
      </c>
      <c r="D1642" s="98" t="s">
        <v>1500</v>
      </c>
      <c r="E1642" s="98" t="s">
        <v>1500</v>
      </c>
      <c r="F1642" t="s">
        <v>1500</v>
      </c>
      <c r="G1642" s="98" t="s">
        <v>1667</v>
      </c>
      <c r="H1642" s="43" t="s">
        <v>386</v>
      </c>
      <c r="I1642" t="s">
        <v>1668</v>
      </c>
      <c r="J1642" t="str">
        <f t="shared" si="52"/>
        <v>70800 - REMODELACIÓN OFICINA CENTRAL</v>
      </c>
      <c r="K1642" t="str">
        <f t="shared" si="53"/>
        <v>Oficina Central</v>
      </c>
    </row>
    <row r="1643" spans="1:11" x14ac:dyDescent="0.25">
      <c r="A1643" s="43">
        <v>70903</v>
      </c>
      <c r="B1643" t="s">
        <v>278</v>
      </c>
      <c r="C1643" t="s">
        <v>1500</v>
      </c>
      <c r="D1643" t="s">
        <v>1500</v>
      </c>
      <c r="E1643" t="s">
        <v>1500</v>
      </c>
      <c r="F1643" t="s">
        <v>1500</v>
      </c>
      <c r="G1643" s="98" t="s">
        <v>1667</v>
      </c>
      <c r="H1643" s="43" t="s">
        <v>386</v>
      </c>
      <c r="I1643" t="s">
        <v>1668</v>
      </c>
      <c r="J1643" t="str">
        <f t="shared" si="52"/>
        <v>70903 - REMODELACIÓN OFICINA</v>
      </c>
      <c r="K1643" t="str">
        <f t="shared" si="53"/>
        <v>Oficina Central</v>
      </c>
    </row>
    <row r="1644" spans="1:11" x14ac:dyDescent="0.25">
      <c r="A1644" s="43">
        <v>70119</v>
      </c>
      <c r="B1644" t="s">
        <v>234</v>
      </c>
      <c r="C1644" s="98" t="s">
        <v>1670</v>
      </c>
      <c r="D1644" t="s">
        <v>90</v>
      </c>
      <c r="E1644" s="98" t="s">
        <v>1535</v>
      </c>
      <c r="F1644" t="s">
        <v>1500</v>
      </c>
      <c r="G1644" s="98" t="s">
        <v>1661</v>
      </c>
      <c r="H1644" s="43" t="s">
        <v>386</v>
      </c>
      <c r="I1644" t="s">
        <v>1668</v>
      </c>
      <c r="J1644" t="str">
        <f t="shared" si="52"/>
        <v>70119 - VENTAS ZC1</v>
      </c>
      <c r="K1644" t="str">
        <f t="shared" si="53"/>
        <v>Ventas</v>
      </c>
    </row>
    <row r="1645" spans="1:11" x14ac:dyDescent="0.25">
      <c r="A1645" s="43">
        <v>70120</v>
      </c>
      <c r="B1645" t="s">
        <v>235</v>
      </c>
      <c r="C1645" s="98" t="s">
        <v>1670</v>
      </c>
      <c r="D1645" t="s">
        <v>90</v>
      </c>
      <c r="E1645" s="98" t="s">
        <v>1535</v>
      </c>
      <c r="F1645" t="s">
        <v>1500</v>
      </c>
      <c r="G1645" s="98" t="s">
        <v>1661</v>
      </c>
      <c r="H1645" s="43" t="s">
        <v>386</v>
      </c>
      <c r="I1645" t="s">
        <v>1668</v>
      </c>
      <c r="J1645" t="str">
        <f t="shared" si="52"/>
        <v>70120 - VENTAS ZC2</v>
      </c>
      <c r="K1645" t="str">
        <f t="shared" si="53"/>
        <v>Ventas</v>
      </c>
    </row>
    <row r="1646" spans="1:11" x14ac:dyDescent="0.25">
      <c r="A1646" s="43">
        <v>70121</v>
      </c>
      <c r="B1646" t="s">
        <v>236</v>
      </c>
      <c r="C1646" t="s">
        <v>1685</v>
      </c>
      <c r="D1646" t="s">
        <v>90</v>
      </c>
      <c r="E1646" t="s">
        <v>1536</v>
      </c>
      <c r="F1646" t="s">
        <v>1500</v>
      </c>
      <c r="G1646" s="98" t="s">
        <v>1661</v>
      </c>
      <c r="H1646" s="43" t="s">
        <v>386</v>
      </c>
      <c r="I1646" t="s">
        <v>1668</v>
      </c>
      <c r="J1646" t="str">
        <f t="shared" si="52"/>
        <v>70121 - VENTAS V REGIÓN</v>
      </c>
      <c r="K1646" t="str">
        <f t="shared" si="53"/>
        <v>Ventas</v>
      </c>
    </row>
    <row r="1647" spans="1:11" x14ac:dyDescent="0.25">
      <c r="A1647" s="43">
        <v>70201</v>
      </c>
      <c r="B1647" t="s">
        <v>237</v>
      </c>
      <c r="C1647" t="s">
        <v>1500</v>
      </c>
      <c r="D1647" t="s">
        <v>1500</v>
      </c>
      <c r="E1647" s="98" t="s">
        <v>1538</v>
      </c>
      <c r="F1647" t="s">
        <v>1500</v>
      </c>
      <c r="G1647" s="98" t="s">
        <v>2327</v>
      </c>
      <c r="H1647" s="43" t="s">
        <v>386</v>
      </c>
      <c r="I1647" t="s">
        <v>1668</v>
      </c>
      <c r="J1647" t="str">
        <f t="shared" si="52"/>
        <v>70201 - GERENCIA INVERSIONES Y DESARROLLO</v>
      </c>
      <c r="K1647" t="str">
        <f t="shared" si="53"/>
        <v>Oficina Central</v>
      </c>
    </row>
    <row r="1648" spans="1:11" x14ac:dyDescent="0.25">
      <c r="A1648" s="43">
        <v>70205</v>
      </c>
      <c r="B1648" t="s">
        <v>238</v>
      </c>
      <c r="C1648" t="s">
        <v>1685</v>
      </c>
      <c r="D1648" s="98" t="s">
        <v>1500</v>
      </c>
      <c r="E1648" t="s">
        <v>1539</v>
      </c>
      <c r="F1648" t="s">
        <v>1500</v>
      </c>
      <c r="G1648" s="98" t="s">
        <v>1661</v>
      </c>
      <c r="H1648" s="43" t="s">
        <v>386</v>
      </c>
      <c r="I1648" t="s">
        <v>1668</v>
      </c>
      <c r="J1648" t="str">
        <f t="shared" si="52"/>
        <v>70205 - DEPTO PROYECTOS ZONAL V REGIÓN</v>
      </c>
      <c r="K1648" t="str">
        <f t="shared" si="53"/>
        <v>Oficina Central</v>
      </c>
    </row>
    <row r="1649" spans="1:11" x14ac:dyDescent="0.25">
      <c r="A1649" s="43">
        <v>70206</v>
      </c>
      <c r="B1649" t="s">
        <v>239</v>
      </c>
      <c r="C1649" t="s">
        <v>1660</v>
      </c>
      <c r="D1649" s="98" t="s">
        <v>1500</v>
      </c>
      <c r="E1649" t="s">
        <v>1540</v>
      </c>
      <c r="F1649" t="s">
        <v>1500</v>
      </c>
      <c r="G1649" s="98" t="s">
        <v>1661</v>
      </c>
      <c r="H1649" s="43" t="s">
        <v>386</v>
      </c>
      <c r="I1649" t="s">
        <v>1668</v>
      </c>
      <c r="J1649" t="str">
        <f t="shared" si="52"/>
        <v>70206 - DEPTO PROYECTOS ZONAL NORTE 1</v>
      </c>
      <c r="K1649" t="str">
        <f t="shared" si="53"/>
        <v>Oficina Central</v>
      </c>
    </row>
    <row r="1650" spans="1:11" x14ac:dyDescent="0.25">
      <c r="A1650" s="43">
        <v>70207</v>
      </c>
      <c r="B1650" t="s">
        <v>240</v>
      </c>
      <c r="C1650" t="s">
        <v>1836</v>
      </c>
      <c r="D1650" s="98" t="s">
        <v>1500</v>
      </c>
      <c r="E1650" t="s">
        <v>1541</v>
      </c>
      <c r="F1650" t="s">
        <v>1500</v>
      </c>
      <c r="G1650" s="98" t="s">
        <v>1661</v>
      </c>
      <c r="H1650" s="43" t="s">
        <v>386</v>
      </c>
      <c r="I1650" t="s">
        <v>1668</v>
      </c>
      <c r="J1650" t="str">
        <f t="shared" si="52"/>
        <v>70207 - DEPTO PROYECTOS ZONAL NORTE 2</v>
      </c>
      <c r="K1650" t="str">
        <f t="shared" si="53"/>
        <v>Oficina Central</v>
      </c>
    </row>
    <row r="1651" spans="1:11" x14ac:dyDescent="0.25">
      <c r="A1651" s="43">
        <v>70208</v>
      </c>
      <c r="B1651" t="s">
        <v>241</v>
      </c>
      <c r="C1651" s="98" t="s">
        <v>1670</v>
      </c>
      <c r="D1651" s="98" t="s">
        <v>1500</v>
      </c>
      <c r="E1651" s="98" t="s">
        <v>1542</v>
      </c>
      <c r="F1651" t="s">
        <v>1500</v>
      </c>
      <c r="G1651" s="98" t="s">
        <v>1661</v>
      </c>
      <c r="H1651" s="43" t="s">
        <v>386</v>
      </c>
      <c r="I1651" t="s">
        <v>1668</v>
      </c>
      <c r="J1651" t="str">
        <f t="shared" si="52"/>
        <v>70208 - DEPTO PROYECTOS ZONAL ZC 1</v>
      </c>
      <c r="K1651" t="str">
        <f t="shared" si="53"/>
        <v>Oficina Central</v>
      </c>
    </row>
    <row r="1652" spans="1:11" x14ac:dyDescent="0.25">
      <c r="A1652" s="43">
        <v>70209</v>
      </c>
      <c r="B1652" t="s">
        <v>242</v>
      </c>
      <c r="C1652" s="98" t="s">
        <v>1670</v>
      </c>
      <c r="D1652" s="98" t="s">
        <v>1500</v>
      </c>
      <c r="E1652" s="98" t="s">
        <v>1542</v>
      </c>
      <c r="F1652" t="s">
        <v>1500</v>
      </c>
      <c r="G1652" s="98" t="s">
        <v>1661</v>
      </c>
      <c r="H1652" s="43" t="s">
        <v>386</v>
      </c>
      <c r="I1652" t="s">
        <v>1668</v>
      </c>
      <c r="J1652" t="str">
        <f t="shared" si="52"/>
        <v>70209 - DEPTO PROYECTOS ZONAL ZC 2</v>
      </c>
      <c r="K1652" t="str">
        <f t="shared" si="53"/>
        <v>Oficina Central</v>
      </c>
    </row>
    <row r="1653" spans="1:11" x14ac:dyDescent="0.25">
      <c r="A1653" s="43">
        <v>70210</v>
      </c>
      <c r="B1653" t="s">
        <v>243</v>
      </c>
      <c r="C1653" t="s">
        <v>1500</v>
      </c>
      <c r="D1653" s="98" t="s">
        <v>1500</v>
      </c>
      <c r="E1653" t="s">
        <v>1543</v>
      </c>
      <c r="F1653" t="s">
        <v>1500</v>
      </c>
      <c r="G1653" s="98" t="s">
        <v>1661</v>
      </c>
      <c r="H1653" s="43" t="s">
        <v>386</v>
      </c>
      <c r="I1653" t="s">
        <v>1668</v>
      </c>
      <c r="J1653" t="str">
        <f t="shared" si="52"/>
        <v>70210 - GERENCIA OPERACIONES INMOBILIARIAS</v>
      </c>
      <c r="K1653" t="str">
        <f t="shared" si="53"/>
        <v>Oficina Central</v>
      </c>
    </row>
    <row r="1654" spans="1:11" x14ac:dyDescent="0.25">
      <c r="A1654" s="43">
        <v>70301</v>
      </c>
      <c r="B1654" t="s">
        <v>244</v>
      </c>
      <c r="C1654" t="s">
        <v>1500</v>
      </c>
      <c r="D1654" t="s">
        <v>1500</v>
      </c>
      <c r="E1654" t="s">
        <v>1545</v>
      </c>
      <c r="F1654" t="s">
        <v>1500</v>
      </c>
      <c r="G1654" t="s">
        <v>1667</v>
      </c>
      <c r="H1654" s="43" t="s">
        <v>386</v>
      </c>
      <c r="I1654" t="s">
        <v>1668</v>
      </c>
      <c r="J1654" t="str">
        <f t="shared" si="52"/>
        <v>70301 - GERENCIA ADMINISTRACION Y FINANZAS</v>
      </c>
      <c r="K1654" t="str">
        <f t="shared" si="53"/>
        <v>Oficina Central</v>
      </c>
    </row>
    <row r="1655" spans="1:11" x14ac:dyDescent="0.25">
      <c r="A1655" s="43">
        <v>70302</v>
      </c>
      <c r="B1655" t="s">
        <v>245</v>
      </c>
      <c r="C1655" t="s">
        <v>1500</v>
      </c>
      <c r="D1655" t="s">
        <v>1500</v>
      </c>
      <c r="E1655" t="s">
        <v>1546</v>
      </c>
      <c r="F1655" t="s">
        <v>1500</v>
      </c>
      <c r="G1655" t="s">
        <v>1667</v>
      </c>
      <c r="H1655" s="43" t="s">
        <v>386</v>
      </c>
      <c r="I1655" t="s">
        <v>1668</v>
      </c>
      <c r="J1655" t="str">
        <f t="shared" si="52"/>
        <v>70302 - CONTABILIDAD</v>
      </c>
      <c r="K1655" t="str">
        <f t="shared" si="53"/>
        <v>Oficina Central</v>
      </c>
    </row>
    <row r="1656" spans="1:11" x14ac:dyDescent="0.25">
      <c r="A1656" s="43">
        <v>70303</v>
      </c>
      <c r="B1656" t="s">
        <v>246</v>
      </c>
      <c r="C1656" t="s">
        <v>1500</v>
      </c>
      <c r="D1656" t="s">
        <v>1500</v>
      </c>
      <c r="E1656" t="s">
        <v>1547</v>
      </c>
      <c r="F1656" t="s">
        <v>1500</v>
      </c>
      <c r="G1656" t="s">
        <v>1667</v>
      </c>
      <c r="H1656" s="43" t="s">
        <v>386</v>
      </c>
      <c r="I1656" t="s">
        <v>1668</v>
      </c>
      <c r="J1656" t="str">
        <f t="shared" si="52"/>
        <v>70303 - CONTROL GESTIÓN</v>
      </c>
      <c r="K1656" t="str">
        <f t="shared" si="53"/>
        <v>Oficina Central</v>
      </c>
    </row>
    <row r="1657" spans="1:11" x14ac:dyDescent="0.25">
      <c r="A1657" s="43">
        <v>70304</v>
      </c>
      <c r="B1657" t="s">
        <v>247</v>
      </c>
      <c r="C1657" t="s">
        <v>1500</v>
      </c>
      <c r="D1657" t="s">
        <v>1500</v>
      </c>
      <c r="E1657" t="s">
        <v>2330</v>
      </c>
      <c r="F1657" t="s">
        <v>1500</v>
      </c>
      <c r="G1657" t="s">
        <v>1667</v>
      </c>
      <c r="H1657" s="43" t="s">
        <v>1672</v>
      </c>
      <c r="I1657" t="s">
        <v>1668</v>
      </c>
      <c r="J1657" t="str">
        <f t="shared" si="52"/>
        <v>70304 - MEJORAMIENTO DE PROCESOS</v>
      </c>
      <c r="K1657" t="str">
        <f t="shared" si="53"/>
        <v>Oficina Central</v>
      </c>
    </row>
    <row r="1658" spans="1:11" x14ac:dyDescent="0.25">
      <c r="A1658" s="43">
        <v>70305</v>
      </c>
      <c r="B1658" t="s">
        <v>248</v>
      </c>
      <c r="C1658" t="s">
        <v>1500</v>
      </c>
      <c r="D1658" t="s">
        <v>1500</v>
      </c>
      <c r="E1658" t="s">
        <v>1548</v>
      </c>
      <c r="F1658" t="s">
        <v>1500</v>
      </c>
      <c r="G1658" t="s">
        <v>1667</v>
      </c>
      <c r="H1658" s="43" t="s">
        <v>386</v>
      </c>
      <c r="I1658" t="s">
        <v>1668</v>
      </c>
      <c r="J1658" t="str">
        <f t="shared" si="52"/>
        <v>70305 - TECNOLOGÍAS DE INFORMACIÓN</v>
      </c>
      <c r="K1658" t="str">
        <f t="shared" si="53"/>
        <v>Oficina Central</v>
      </c>
    </row>
    <row r="1659" spans="1:11" x14ac:dyDescent="0.25">
      <c r="A1659" s="43">
        <v>70306</v>
      </c>
      <c r="B1659" t="s">
        <v>249</v>
      </c>
      <c r="C1659" t="s">
        <v>1500</v>
      </c>
      <c r="D1659" t="s">
        <v>1500</v>
      </c>
      <c r="E1659" t="s">
        <v>1549</v>
      </c>
      <c r="F1659" t="s">
        <v>1500</v>
      </c>
      <c r="G1659" t="s">
        <v>1549</v>
      </c>
      <c r="H1659" s="43" t="s">
        <v>386</v>
      </c>
      <c r="I1659" t="s">
        <v>1668</v>
      </c>
      <c r="J1659" t="str">
        <f t="shared" si="52"/>
        <v>70306 - CAPITAL HUMANO</v>
      </c>
      <c r="K1659" t="str">
        <f t="shared" si="53"/>
        <v>Oficina Central</v>
      </c>
    </row>
    <row r="1660" spans="1:11" x14ac:dyDescent="0.25">
      <c r="A1660" s="43">
        <v>70307</v>
      </c>
      <c r="B1660" t="s">
        <v>250</v>
      </c>
      <c r="C1660" t="s">
        <v>1500</v>
      </c>
      <c r="D1660" t="s">
        <v>1500</v>
      </c>
      <c r="E1660" t="s">
        <v>1550</v>
      </c>
      <c r="F1660" t="s">
        <v>1500</v>
      </c>
      <c r="G1660" t="s">
        <v>1667</v>
      </c>
      <c r="H1660" s="103" t="s">
        <v>386</v>
      </c>
      <c r="I1660" t="s">
        <v>1668</v>
      </c>
      <c r="J1660" t="str">
        <f t="shared" si="52"/>
        <v>70307 - FINANZAS</v>
      </c>
      <c r="K1660" t="str">
        <f t="shared" si="53"/>
        <v>Oficina Central</v>
      </c>
    </row>
    <row r="1661" spans="1:11" x14ac:dyDescent="0.25">
      <c r="A1661" s="43">
        <v>70308</v>
      </c>
      <c r="B1661" t="s">
        <v>251</v>
      </c>
      <c r="C1661" t="s">
        <v>1500</v>
      </c>
      <c r="D1661" t="s">
        <v>1500</v>
      </c>
      <c r="E1661" t="s">
        <v>1553</v>
      </c>
      <c r="F1661" t="s">
        <v>1500</v>
      </c>
      <c r="G1661" t="s">
        <v>1667</v>
      </c>
      <c r="H1661" s="43" t="s">
        <v>386</v>
      </c>
      <c r="I1661" t="s">
        <v>1668</v>
      </c>
      <c r="J1661" t="str">
        <f t="shared" si="52"/>
        <v>70308 - ADMINISTRACIÓN</v>
      </c>
      <c r="K1661" t="str">
        <f t="shared" si="53"/>
        <v>Oficina Central</v>
      </c>
    </row>
    <row r="1662" spans="1:11" x14ac:dyDescent="0.25">
      <c r="A1662" s="43">
        <v>70309</v>
      </c>
      <c r="B1662" t="s">
        <v>252</v>
      </c>
      <c r="C1662" t="s">
        <v>1500</v>
      </c>
      <c r="D1662" t="s">
        <v>1500</v>
      </c>
      <c r="E1662" t="s">
        <v>1500</v>
      </c>
      <c r="F1662" t="s">
        <v>1500</v>
      </c>
      <c r="G1662" t="s">
        <v>1667</v>
      </c>
      <c r="H1662" s="43" t="s">
        <v>386</v>
      </c>
      <c r="I1662" t="s">
        <v>1668</v>
      </c>
      <c r="J1662" t="str">
        <f t="shared" si="52"/>
        <v>70309 - OFICINA CENTRAL</v>
      </c>
      <c r="K1662" t="str">
        <f t="shared" si="53"/>
        <v>Oficina Central</v>
      </c>
    </row>
    <row r="1663" spans="1:11" x14ac:dyDescent="0.25">
      <c r="A1663" s="43">
        <v>70310</v>
      </c>
      <c r="B1663" t="s">
        <v>256</v>
      </c>
      <c r="C1663" t="s">
        <v>1500</v>
      </c>
      <c r="D1663" t="s">
        <v>1500</v>
      </c>
      <c r="E1663" t="s">
        <v>1554</v>
      </c>
      <c r="F1663" t="s">
        <v>1500</v>
      </c>
      <c r="G1663" t="s">
        <v>1667</v>
      </c>
      <c r="H1663" s="43" t="s">
        <v>386</v>
      </c>
      <c r="I1663" t="s">
        <v>1668</v>
      </c>
      <c r="J1663" t="str">
        <f t="shared" si="52"/>
        <v>70310 - OFICINA CENTRAL TI</v>
      </c>
      <c r="K1663" t="str">
        <f t="shared" si="53"/>
        <v>Oficina Central</v>
      </c>
    </row>
    <row r="1664" spans="1:11" x14ac:dyDescent="0.25">
      <c r="A1664" s="43">
        <v>70311</v>
      </c>
      <c r="B1664" t="s">
        <v>257</v>
      </c>
      <c r="C1664" t="s">
        <v>1500</v>
      </c>
      <c r="D1664" t="s">
        <v>1500</v>
      </c>
      <c r="E1664" t="s">
        <v>1555</v>
      </c>
      <c r="F1664" t="s">
        <v>1500</v>
      </c>
      <c r="G1664" t="s">
        <v>1667</v>
      </c>
      <c r="H1664" s="43" t="s">
        <v>386</v>
      </c>
      <c r="I1664" t="s">
        <v>1668</v>
      </c>
      <c r="J1664" t="str">
        <f t="shared" si="52"/>
        <v>70311 - OFICINA CENTRAL CONTABILIDAD</v>
      </c>
      <c r="K1664" t="str">
        <f t="shared" si="53"/>
        <v>Oficina Central</v>
      </c>
    </row>
    <row r="1665" spans="1:11" x14ac:dyDescent="0.25">
      <c r="A1665" s="43">
        <v>70125</v>
      </c>
      <c r="B1665" t="s">
        <v>120</v>
      </c>
      <c r="C1665" t="s">
        <v>1964</v>
      </c>
      <c r="D1665" t="s">
        <v>90</v>
      </c>
      <c r="E1665" t="s">
        <v>1537</v>
      </c>
      <c r="F1665" t="s">
        <v>1500</v>
      </c>
      <c r="G1665" s="98" t="s">
        <v>1661</v>
      </c>
      <c r="H1665" s="43" t="s">
        <v>386</v>
      </c>
      <c r="I1665" t="s">
        <v>1668</v>
      </c>
      <c r="J1665" t="str">
        <f t="shared" si="52"/>
        <v>70125 - VENTAS NORTE 3</v>
      </c>
      <c r="K1665" t="str">
        <f t="shared" si="53"/>
        <v>Ventas</v>
      </c>
    </row>
    <row r="1666" spans="1:11" x14ac:dyDescent="0.25">
      <c r="A1666" s="43">
        <v>70517</v>
      </c>
      <c r="B1666" t="s">
        <v>203</v>
      </c>
      <c r="C1666" t="s">
        <v>1964</v>
      </c>
      <c r="D1666" s="98" t="s">
        <v>1500</v>
      </c>
      <c r="E1666" t="s">
        <v>1569</v>
      </c>
      <c r="F1666" t="s">
        <v>1500</v>
      </c>
      <c r="G1666" s="98" t="s">
        <v>1661</v>
      </c>
      <c r="H1666" s="43" t="s">
        <v>386</v>
      </c>
      <c r="I1666" t="s">
        <v>1668</v>
      </c>
      <c r="J1666" t="str">
        <f t="shared" si="52"/>
        <v>70517 - DEPTO.TÉCNICO NORTE 3</v>
      </c>
      <c r="K1666" t="str">
        <f t="shared" si="53"/>
        <v>Oficina Central</v>
      </c>
    </row>
    <row r="1667" spans="1:11" x14ac:dyDescent="0.25">
      <c r="A1667" s="43">
        <v>70211</v>
      </c>
      <c r="B1667" t="s">
        <v>719</v>
      </c>
      <c r="C1667" t="s">
        <v>1964</v>
      </c>
      <c r="D1667" s="98" t="s">
        <v>1500</v>
      </c>
      <c r="E1667" t="s">
        <v>1544</v>
      </c>
      <c r="F1667" t="s">
        <v>1500</v>
      </c>
      <c r="G1667" s="98" t="s">
        <v>1661</v>
      </c>
      <c r="H1667" s="43" t="s">
        <v>386</v>
      </c>
      <c r="I1667" t="s">
        <v>1668</v>
      </c>
      <c r="J1667" t="str">
        <f t="shared" si="52"/>
        <v>70211 - DEPTO PROYECTOS ZONAL NORTE 3</v>
      </c>
      <c r="K1667" t="str">
        <f t="shared" si="53"/>
        <v>Oficina Central</v>
      </c>
    </row>
    <row r="1668" spans="1:11" x14ac:dyDescent="0.25">
      <c r="A1668" s="43">
        <v>10905</v>
      </c>
      <c r="B1668" t="s">
        <v>208</v>
      </c>
      <c r="C1668" t="s">
        <v>1500</v>
      </c>
      <c r="D1668" t="s">
        <v>1500</v>
      </c>
      <c r="E1668" t="s">
        <v>208</v>
      </c>
      <c r="F1668" t="s">
        <v>1500</v>
      </c>
      <c r="G1668" t="s">
        <v>1549</v>
      </c>
      <c r="H1668" s="43" t="s">
        <v>386</v>
      </c>
      <c r="I1668" t="s">
        <v>1668</v>
      </c>
      <c r="J1668" t="str">
        <f t="shared" ref="J1668:J1702" si="54">+A1668&amp;" - "&amp;B1668</f>
        <v>10905 - Bienestar Obra</v>
      </c>
      <c r="K1668" t="str">
        <f t="shared" ref="K1668:K1702" si="55">+D1668</f>
        <v>Oficina Central</v>
      </c>
    </row>
    <row r="1669" spans="1:11" x14ac:dyDescent="0.25">
      <c r="A1669" s="43">
        <v>10906</v>
      </c>
      <c r="B1669" t="s">
        <v>210</v>
      </c>
      <c r="C1669" t="s">
        <v>1500</v>
      </c>
      <c r="D1669" t="s">
        <v>1500</v>
      </c>
      <c r="E1669" s="98" t="s">
        <v>210</v>
      </c>
      <c r="F1669" t="s">
        <v>1500</v>
      </c>
      <c r="G1669" s="98" t="s">
        <v>1667</v>
      </c>
      <c r="H1669" s="103" t="s">
        <v>1672</v>
      </c>
      <c r="I1669" t="s">
        <v>1668</v>
      </c>
      <c r="J1669" t="str">
        <f t="shared" si="54"/>
        <v>10906 - Proyectos No Ejecutados</v>
      </c>
      <c r="K1669" t="str">
        <f t="shared" si="55"/>
        <v>Oficina Central</v>
      </c>
    </row>
    <row r="1670" spans="1:11" x14ac:dyDescent="0.25">
      <c r="A1670" s="43">
        <v>10908</v>
      </c>
      <c r="B1670" t="s">
        <v>211</v>
      </c>
      <c r="C1670" t="s">
        <v>1500</v>
      </c>
      <c r="D1670" t="s">
        <v>1500</v>
      </c>
      <c r="E1670" s="98" t="s">
        <v>211</v>
      </c>
      <c r="F1670" t="s">
        <v>1500</v>
      </c>
      <c r="G1670" s="98" t="s">
        <v>2327</v>
      </c>
      <c r="H1670" s="103" t="s">
        <v>1672</v>
      </c>
      <c r="I1670" t="s">
        <v>1668</v>
      </c>
      <c r="J1670" t="str">
        <f t="shared" si="54"/>
        <v>10908 - Coordinación Externa Proyecto (BIM)</v>
      </c>
      <c r="K1670" t="str">
        <f t="shared" si="55"/>
        <v>Oficina Central</v>
      </c>
    </row>
    <row r="1671" spans="1:11" x14ac:dyDescent="0.25">
      <c r="A1671" s="43">
        <v>10910</v>
      </c>
      <c r="B1671" t="s">
        <v>212</v>
      </c>
      <c r="C1671" t="s">
        <v>1500</v>
      </c>
      <c r="D1671" s="98" t="s">
        <v>1500</v>
      </c>
      <c r="E1671" s="98" t="s">
        <v>212</v>
      </c>
      <c r="F1671" s="98" t="s">
        <v>1500</v>
      </c>
      <c r="G1671" s="98" t="s">
        <v>1549</v>
      </c>
      <c r="H1671" s="103" t="s">
        <v>1672</v>
      </c>
      <c r="I1671" t="s">
        <v>1668</v>
      </c>
      <c r="J1671" t="str">
        <f t="shared" si="54"/>
        <v>10910 - Nuevo Modelo de Comunicaciones Interna</v>
      </c>
      <c r="K1671" t="str">
        <f t="shared" si="55"/>
        <v>Oficina Central</v>
      </c>
    </row>
    <row r="1672" spans="1:11" x14ac:dyDescent="0.25">
      <c r="A1672" s="43">
        <v>10911</v>
      </c>
      <c r="B1672" t="s">
        <v>213</v>
      </c>
      <c r="C1672" t="s">
        <v>1500</v>
      </c>
      <c r="D1672" s="98" t="s">
        <v>1500</v>
      </c>
      <c r="E1672" s="98" t="s">
        <v>213</v>
      </c>
      <c r="F1672" s="98" t="s">
        <v>1500</v>
      </c>
      <c r="G1672" s="98" t="s">
        <v>1661</v>
      </c>
      <c r="H1672" s="103" t="s">
        <v>1672</v>
      </c>
      <c r="I1672" t="s">
        <v>1668</v>
      </c>
      <c r="J1672" t="str">
        <f t="shared" si="54"/>
        <v>10911 - Programa Incentivo Margen Inmobiliaria</v>
      </c>
      <c r="K1672" t="str">
        <f t="shared" si="55"/>
        <v>Oficina Central</v>
      </c>
    </row>
    <row r="1673" spans="1:11" x14ac:dyDescent="0.25">
      <c r="A1673" s="43">
        <v>10913</v>
      </c>
      <c r="B1673" t="s">
        <v>214</v>
      </c>
      <c r="C1673" t="s">
        <v>1500</v>
      </c>
      <c r="D1673" t="s">
        <v>1500</v>
      </c>
      <c r="E1673" s="98" t="s">
        <v>214</v>
      </c>
      <c r="F1673" t="s">
        <v>1500</v>
      </c>
      <c r="G1673" s="98" t="s">
        <v>1661</v>
      </c>
      <c r="H1673" s="103" t="s">
        <v>1672</v>
      </c>
      <c r="I1673" t="s">
        <v>1668</v>
      </c>
      <c r="J1673" t="str">
        <f t="shared" si="54"/>
        <v>10913 - Pricing</v>
      </c>
      <c r="K1673" t="str">
        <f t="shared" si="55"/>
        <v>Oficina Central</v>
      </c>
    </row>
    <row r="1674" spans="1:11" x14ac:dyDescent="0.25">
      <c r="A1674" s="43">
        <v>10919</v>
      </c>
      <c r="B1674" t="s">
        <v>216</v>
      </c>
      <c r="C1674" t="s">
        <v>1500</v>
      </c>
      <c r="D1674" t="s">
        <v>1500</v>
      </c>
      <c r="E1674" t="s">
        <v>216</v>
      </c>
      <c r="F1674" t="s">
        <v>1500</v>
      </c>
      <c r="G1674" t="s">
        <v>1667</v>
      </c>
      <c r="H1674" s="103" t="s">
        <v>1672</v>
      </c>
      <c r="I1674" t="s">
        <v>1668</v>
      </c>
      <c r="J1674" t="str">
        <f t="shared" si="54"/>
        <v>10919 - Patentes</v>
      </c>
      <c r="K1674" t="str">
        <f t="shared" si="55"/>
        <v>Oficina Central</v>
      </c>
    </row>
    <row r="1675" spans="1:11" x14ac:dyDescent="0.25">
      <c r="A1675" s="43">
        <v>37701</v>
      </c>
      <c r="B1675" t="s">
        <v>2331</v>
      </c>
      <c r="C1675" s="98" t="s">
        <v>1500</v>
      </c>
      <c r="D1675" s="98" t="s">
        <v>1500</v>
      </c>
      <c r="E1675" s="98" t="s">
        <v>2331</v>
      </c>
      <c r="F1675" s="98" t="s">
        <v>1500</v>
      </c>
      <c r="G1675" s="98" t="s">
        <v>1667</v>
      </c>
      <c r="H1675" s="43" t="s">
        <v>1672</v>
      </c>
      <c r="I1675" t="s">
        <v>1668</v>
      </c>
      <c r="J1675" t="str">
        <f t="shared" si="54"/>
        <v>37701 - HOTELES MACRO-RENTAS</v>
      </c>
      <c r="K1675" t="str">
        <f t="shared" si="55"/>
        <v>Oficina Central</v>
      </c>
    </row>
    <row r="1676" spans="1:11" x14ac:dyDescent="0.25">
      <c r="A1676" s="43">
        <v>70101</v>
      </c>
      <c r="B1676" t="s">
        <v>227</v>
      </c>
      <c r="C1676" t="s">
        <v>1500</v>
      </c>
      <c r="D1676" t="s">
        <v>1500</v>
      </c>
      <c r="E1676" t="s">
        <v>1530</v>
      </c>
      <c r="F1676" t="s">
        <v>1500</v>
      </c>
      <c r="G1676" s="98" t="s">
        <v>1661</v>
      </c>
      <c r="H1676" s="43" t="s">
        <v>386</v>
      </c>
      <c r="I1676" t="s">
        <v>1668</v>
      </c>
      <c r="J1676" t="str">
        <f t="shared" si="54"/>
        <v>70101 - GERENCIA DE CLIENTES</v>
      </c>
      <c r="K1676" t="str">
        <f t="shared" si="55"/>
        <v>Oficina Central</v>
      </c>
    </row>
    <row r="1677" spans="1:11" x14ac:dyDescent="0.25">
      <c r="A1677" s="43">
        <v>70102</v>
      </c>
      <c r="B1677" t="s">
        <v>229</v>
      </c>
      <c r="C1677" t="s">
        <v>1500</v>
      </c>
      <c r="D1677" t="s">
        <v>1500</v>
      </c>
      <c r="E1677" t="s">
        <v>1531</v>
      </c>
      <c r="F1677" t="s">
        <v>1500</v>
      </c>
      <c r="G1677" s="98" t="s">
        <v>1661</v>
      </c>
      <c r="H1677" s="43" t="s">
        <v>386</v>
      </c>
      <c r="I1677" t="s">
        <v>1668</v>
      </c>
      <c r="J1677" t="str">
        <f t="shared" si="54"/>
        <v>70102 - MARKETING</v>
      </c>
      <c r="K1677" t="str">
        <f t="shared" si="55"/>
        <v>Oficina Central</v>
      </c>
    </row>
    <row r="1678" spans="1:11" x14ac:dyDescent="0.25">
      <c r="A1678" s="43">
        <v>70105</v>
      </c>
      <c r="B1678" t="s">
        <v>230</v>
      </c>
      <c r="C1678" t="s">
        <v>1500</v>
      </c>
      <c r="D1678" t="s">
        <v>1500</v>
      </c>
      <c r="E1678" t="s">
        <v>1532</v>
      </c>
      <c r="F1678" t="s">
        <v>1500</v>
      </c>
      <c r="G1678" s="98" t="s">
        <v>1661</v>
      </c>
      <c r="H1678" s="43" t="s">
        <v>386</v>
      </c>
      <c r="I1678" t="s">
        <v>1668</v>
      </c>
      <c r="J1678" t="str">
        <f t="shared" si="54"/>
        <v>70105 - SERVICIO AL CLIENTE</v>
      </c>
      <c r="K1678" t="str">
        <f t="shared" si="55"/>
        <v>Oficina Central</v>
      </c>
    </row>
    <row r="1679" spans="1:11" x14ac:dyDescent="0.25">
      <c r="A1679" s="43">
        <v>70112</v>
      </c>
      <c r="B1679" t="s">
        <v>2332</v>
      </c>
      <c r="C1679" s="98" t="s">
        <v>1500</v>
      </c>
      <c r="D1679" s="98" t="s">
        <v>1500</v>
      </c>
      <c r="E1679" t="s">
        <v>2332</v>
      </c>
      <c r="F1679" t="s">
        <v>1500</v>
      </c>
      <c r="G1679" s="98" t="s">
        <v>1661</v>
      </c>
      <c r="H1679" s="43" t="s">
        <v>1672</v>
      </c>
      <c r="I1679" t="s">
        <v>1668</v>
      </c>
      <c r="J1679" t="str">
        <f t="shared" si="54"/>
        <v>70112 - OOCC NORTE 1</v>
      </c>
      <c r="K1679" t="str">
        <f t="shared" si="55"/>
        <v>Oficina Central</v>
      </c>
    </row>
    <row r="1680" spans="1:11" x14ac:dyDescent="0.25">
      <c r="A1680" s="43">
        <v>70113</v>
      </c>
      <c r="B1680" t="s">
        <v>2333</v>
      </c>
      <c r="C1680" s="98" t="s">
        <v>1500</v>
      </c>
      <c r="D1680" s="98" t="s">
        <v>1500</v>
      </c>
      <c r="E1680" t="s">
        <v>2333</v>
      </c>
      <c r="F1680" t="s">
        <v>1500</v>
      </c>
      <c r="G1680" s="98" t="s">
        <v>1661</v>
      </c>
      <c r="H1680" s="43" t="s">
        <v>1672</v>
      </c>
      <c r="I1680" t="s">
        <v>1668</v>
      </c>
      <c r="J1680" t="str">
        <f t="shared" si="54"/>
        <v>70113 - OOCC NORTE 2</v>
      </c>
      <c r="K1680" t="str">
        <f t="shared" si="55"/>
        <v>Oficina Central</v>
      </c>
    </row>
    <row r="1681" spans="1:11" x14ac:dyDescent="0.25">
      <c r="A1681" s="43">
        <v>70114</v>
      </c>
      <c r="B1681" t="s">
        <v>718</v>
      </c>
      <c r="C1681" s="98" t="s">
        <v>1500</v>
      </c>
      <c r="D1681" s="98" t="s">
        <v>1500</v>
      </c>
      <c r="E1681" t="s">
        <v>718</v>
      </c>
      <c r="F1681" t="s">
        <v>1500</v>
      </c>
      <c r="G1681" s="98" t="s">
        <v>1661</v>
      </c>
      <c r="H1681" s="43" t="s">
        <v>386</v>
      </c>
      <c r="I1681" t="s">
        <v>1668</v>
      </c>
      <c r="J1681" t="str">
        <f t="shared" si="54"/>
        <v>70114 - Recuperacion</v>
      </c>
      <c r="K1681" t="str">
        <f t="shared" si="55"/>
        <v>Oficina Central</v>
      </c>
    </row>
    <row r="1682" spans="1:11" x14ac:dyDescent="0.25">
      <c r="A1682" s="43">
        <v>70115</v>
      </c>
      <c r="B1682" t="s">
        <v>382</v>
      </c>
      <c r="C1682" s="98" t="s">
        <v>1500</v>
      </c>
      <c r="D1682" s="98" t="s">
        <v>1500</v>
      </c>
      <c r="E1682" t="s">
        <v>382</v>
      </c>
      <c r="F1682" t="s">
        <v>1500</v>
      </c>
      <c r="G1682" s="98" t="s">
        <v>1661</v>
      </c>
      <c r="H1682" s="43" t="s">
        <v>386</v>
      </c>
      <c r="I1682" t="s">
        <v>1668</v>
      </c>
      <c r="J1682" t="str">
        <f t="shared" si="54"/>
        <v>70115 - Escrituración</v>
      </c>
      <c r="K1682" t="str">
        <f t="shared" si="55"/>
        <v>Oficina Central</v>
      </c>
    </row>
    <row r="1683" spans="1:11" x14ac:dyDescent="0.25">
      <c r="A1683" s="43">
        <v>70116</v>
      </c>
      <c r="B1683" t="s">
        <v>2334</v>
      </c>
      <c r="C1683" s="98" t="s">
        <v>1500</v>
      </c>
      <c r="D1683" s="98" t="s">
        <v>1500</v>
      </c>
      <c r="E1683" t="s">
        <v>2334</v>
      </c>
      <c r="F1683" t="s">
        <v>1500</v>
      </c>
      <c r="G1683" s="98" t="s">
        <v>1661</v>
      </c>
      <c r="H1683" s="43" t="s">
        <v>1672</v>
      </c>
      <c r="I1683" t="s">
        <v>1668</v>
      </c>
      <c r="J1683" t="str">
        <f t="shared" si="54"/>
        <v>70116 - OOCC V REGIÓN</v>
      </c>
      <c r="K1683" t="str">
        <f t="shared" si="55"/>
        <v>Oficina Central</v>
      </c>
    </row>
    <row r="1684" spans="1:11" x14ac:dyDescent="0.25">
      <c r="A1684" s="43">
        <v>70117</v>
      </c>
      <c r="B1684" t="s">
        <v>231</v>
      </c>
      <c r="C1684" t="s">
        <v>1660</v>
      </c>
      <c r="D1684" t="s">
        <v>90</v>
      </c>
      <c r="E1684" t="s">
        <v>1533</v>
      </c>
      <c r="F1684" t="s">
        <v>1500</v>
      </c>
      <c r="G1684" s="98" t="s">
        <v>1661</v>
      </c>
      <c r="H1684" s="43" t="s">
        <v>386</v>
      </c>
      <c r="I1684" t="s">
        <v>1668</v>
      </c>
      <c r="J1684" t="str">
        <f t="shared" si="54"/>
        <v>70117 - VENTAS NORTE 1</v>
      </c>
      <c r="K1684" t="str">
        <f t="shared" si="55"/>
        <v>Ventas</v>
      </c>
    </row>
    <row r="1685" spans="1:11" x14ac:dyDescent="0.25">
      <c r="A1685" s="43">
        <v>70118</v>
      </c>
      <c r="B1685" t="s">
        <v>233</v>
      </c>
      <c r="C1685" t="s">
        <v>1836</v>
      </c>
      <c r="D1685" t="s">
        <v>90</v>
      </c>
      <c r="E1685" t="s">
        <v>1534</v>
      </c>
      <c r="F1685" t="s">
        <v>1500</v>
      </c>
      <c r="G1685" s="98" t="s">
        <v>1661</v>
      </c>
      <c r="H1685" s="43" t="s">
        <v>386</v>
      </c>
      <c r="I1685" t="s">
        <v>1668</v>
      </c>
      <c r="J1685" t="str">
        <f t="shared" si="54"/>
        <v>70118 - VENTAS NORTE 2</v>
      </c>
      <c r="K1685" t="str">
        <f t="shared" si="55"/>
        <v>Ventas</v>
      </c>
    </row>
    <row r="1686" spans="1:11" x14ac:dyDescent="0.25">
      <c r="A1686" s="43">
        <v>10501</v>
      </c>
      <c r="B1686" t="s">
        <v>196</v>
      </c>
      <c r="C1686" t="s">
        <v>1500</v>
      </c>
      <c r="D1686" t="s">
        <v>1500</v>
      </c>
      <c r="E1686" t="s">
        <v>196</v>
      </c>
      <c r="F1686" t="s">
        <v>1500</v>
      </c>
      <c r="G1686" s="98" t="s">
        <v>2327</v>
      </c>
      <c r="H1686" s="103" t="s">
        <v>1672</v>
      </c>
      <c r="I1686" t="s">
        <v>1668</v>
      </c>
      <c r="J1686" t="str">
        <f t="shared" si="54"/>
        <v>10501 - Gerencia Ingeniería</v>
      </c>
      <c r="K1686" t="str">
        <f t="shared" si="55"/>
        <v>Oficina Central</v>
      </c>
    </row>
    <row r="1687" spans="1:11" x14ac:dyDescent="0.25">
      <c r="A1687" s="43">
        <v>10503</v>
      </c>
      <c r="B1687" t="s">
        <v>197</v>
      </c>
      <c r="C1687" t="s">
        <v>1500</v>
      </c>
      <c r="D1687" t="s">
        <v>1500</v>
      </c>
      <c r="E1687" t="s">
        <v>197</v>
      </c>
      <c r="F1687" t="s">
        <v>1500</v>
      </c>
      <c r="G1687" t="s">
        <v>1667</v>
      </c>
      <c r="H1687" s="103" t="s">
        <v>1672</v>
      </c>
      <c r="I1687" t="s">
        <v>1668</v>
      </c>
      <c r="J1687" t="str">
        <f t="shared" si="54"/>
        <v>10503 - Calidad</v>
      </c>
      <c r="K1687" t="str">
        <f t="shared" si="55"/>
        <v>Oficina Central</v>
      </c>
    </row>
    <row r="1688" spans="1:11" x14ac:dyDescent="0.25">
      <c r="A1688" s="43">
        <v>10504</v>
      </c>
      <c r="B1688" t="s">
        <v>198</v>
      </c>
      <c r="C1688" s="98" t="s">
        <v>1500</v>
      </c>
      <c r="D1688" s="98" t="s">
        <v>1500</v>
      </c>
      <c r="E1688" s="98" t="s">
        <v>198</v>
      </c>
      <c r="F1688" s="98" t="s">
        <v>1500</v>
      </c>
      <c r="G1688" s="98" t="s">
        <v>2327</v>
      </c>
      <c r="H1688" s="43" t="s">
        <v>1672</v>
      </c>
      <c r="I1688" t="s">
        <v>1668</v>
      </c>
      <c r="J1688" t="str">
        <f t="shared" si="54"/>
        <v>10504 - Depto.Estudios Terceros</v>
      </c>
      <c r="K1688" t="str">
        <f t="shared" si="55"/>
        <v>Oficina Central</v>
      </c>
    </row>
    <row r="1689" spans="1:11" x14ac:dyDescent="0.25">
      <c r="A1689" s="43">
        <v>10505</v>
      </c>
      <c r="B1689" t="s">
        <v>66</v>
      </c>
      <c r="C1689" t="s">
        <v>1500</v>
      </c>
      <c r="D1689" t="s">
        <v>1500</v>
      </c>
      <c r="E1689" t="s">
        <v>1500</v>
      </c>
      <c r="F1689" t="s">
        <v>1500</v>
      </c>
      <c r="G1689" t="s">
        <v>1667</v>
      </c>
      <c r="H1689" s="43" t="s">
        <v>1672</v>
      </c>
      <c r="I1689" t="s">
        <v>1668</v>
      </c>
      <c r="J1689" t="str">
        <f t="shared" si="54"/>
        <v>10505 - Postventa</v>
      </c>
      <c r="K1689" t="str">
        <f t="shared" si="55"/>
        <v>Oficina Central</v>
      </c>
    </row>
    <row r="1690" spans="1:11" x14ac:dyDescent="0.25">
      <c r="A1690" s="43">
        <v>10506</v>
      </c>
      <c r="B1690" t="s">
        <v>200</v>
      </c>
      <c r="C1690" t="s">
        <v>1500</v>
      </c>
      <c r="D1690" t="s">
        <v>1500</v>
      </c>
      <c r="E1690" t="s">
        <v>200</v>
      </c>
      <c r="F1690" t="s">
        <v>1500</v>
      </c>
      <c r="G1690" s="98" t="s">
        <v>2327</v>
      </c>
      <c r="H1690" s="43" t="s">
        <v>1672</v>
      </c>
      <c r="I1690" t="s">
        <v>1668</v>
      </c>
      <c r="J1690" t="str">
        <f t="shared" si="54"/>
        <v>10506 - Depto. Técnico</v>
      </c>
      <c r="K1690" t="str">
        <f t="shared" si="55"/>
        <v>Oficina Central</v>
      </c>
    </row>
    <row r="1691" spans="1:11" x14ac:dyDescent="0.25">
      <c r="A1691" s="43">
        <v>10507</v>
      </c>
      <c r="B1691" t="s">
        <v>201</v>
      </c>
      <c r="C1691" t="s">
        <v>1500</v>
      </c>
      <c r="D1691" t="s">
        <v>1500</v>
      </c>
      <c r="E1691" t="s">
        <v>201</v>
      </c>
      <c r="F1691" t="s">
        <v>1500</v>
      </c>
      <c r="G1691" s="98" t="s">
        <v>2327</v>
      </c>
      <c r="H1691" s="103" t="s">
        <v>1672</v>
      </c>
      <c r="I1691" t="s">
        <v>1668</v>
      </c>
      <c r="J1691" t="str">
        <f t="shared" si="54"/>
        <v>10507 - Depto. Estudios</v>
      </c>
      <c r="K1691" t="str">
        <f t="shared" si="55"/>
        <v>Oficina Central</v>
      </c>
    </row>
    <row r="1692" spans="1:11" x14ac:dyDescent="0.25">
      <c r="A1692" s="43">
        <v>10516</v>
      </c>
      <c r="B1692" t="s">
        <v>202</v>
      </c>
      <c r="C1692" t="s">
        <v>1500</v>
      </c>
      <c r="D1692" t="s">
        <v>1500</v>
      </c>
      <c r="E1692" t="s">
        <v>202</v>
      </c>
      <c r="F1692" t="s">
        <v>1500</v>
      </c>
      <c r="G1692" s="98" t="s">
        <v>2327</v>
      </c>
      <c r="H1692" s="103" t="s">
        <v>1672</v>
      </c>
      <c r="I1692" t="s">
        <v>1668</v>
      </c>
      <c r="J1692" t="str">
        <f t="shared" si="54"/>
        <v>10516 - Mejoramiento Técnico</v>
      </c>
      <c r="K1692" t="str">
        <f t="shared" si="55"/>
        <v>Oficina Central</v>
      </c>
    </row>
    <row r="1693" spans="1:11" x14ac:dyDescent="0.25">
      <c r="A1693" s="43">
        <v>10602</v>
      </c>
      <c r="B1693" t="s">
        <v>2335</v>
      </c>
      <c r="C1693" s="98" t="s">
        <v>1500</v>
      </c>
      <c r="D1693" s="98" t="s">
        <v>1500</v>
      </c>
      <c r="E1693" s="98" t="s">
        <v>2335</v>
      </c>
      <c r="F1693" s="98" t="s">
        <v>1500</v>
      </c>
      <c r="G1693" s="98" t="s">
        <v>1663</v>
      </c>
      <c r="H1693" s="43" t="s">
        <v>1672</v>
      </c>
      <c r="I1693" t="s">
        <v>1668</v>
      </c>
      <c r="J1693" t="str">
        <f t="shared" si="54"/>
        <v>10602 - Gerencia Obras Civiles</v>
      </c>
      <c r="K1693" t="str">
        <f t="shared" si="55"/>
        <v>Oficina Central</v>
      </c>
    </row>
    <row r="1694" spans="1:11" x14ac:dyDescent="0.25">
      <c r="A1694" s="43">
        <v>10701</v>
      </c>
      <c r="B1694" t="s">
        <v>2336</v>
      </c>
      <c r="C1694" s="98" t="s">
        <v>1500</v>
      </c>
      <c r="D1694" s="98" t="s">
        <v>1500</v>
      </c>
      <c r="E1694" s="98" t="s">
        <v>2336</v>
      </c>
      <c r="F1694" s="98" t="s">
        <v>1500</v>
      </c>
      <c r="G1694" s="98" t="s">
        <v>1667</v>
      </c>
      <c r="H1694" s="43" t="s">
        <v>1672</v>
      </c>
      <c r="I1694" t="s">
        <v>1668</v>
      </c>
      <c r="J1694" t="str">
        <f t="shared" si="54"/>
        <v>10701 - RENTAS</v>
      </c>
      <c r="K1694" t="str">
        <f t="shared" si="55"/>
        <v>Oficina Central</v>
      </c>
    </row>
    <row r="1695" spans="1:11" x14ac:dyDescent="0.25">
      <c r="A1695" s="43">
        <v>10801</v>
      </c>
      <c r="B1695" t="s">
        <v>204</v>
      </c>
      <c r="C1695" t="s">
        <v>1500</v>
      </c>
      <c r="D1695" t="s">
        <v>1500</v>
      </c>
      <c r="E1695" t="s">
        <v>1559</v>
      </c>
      <c r="F1695" t="s">
        <v>1500</v>
      </c>
      <c r="G1695" t="s">
        <v>2329</v>
      </c>
      <c r="H1695" s="103" t="s">
        <v>1672</v>
      </c>
      <c r="I1695" t="s">
        <v>1668</v>
      </c>
      <c r="J1695" t="str">
        <f t="shared" si="54"/>
        <v>10801 - Caso San Roque</v>
      </c>
      <c r="K1695" t="str">
        <f t="shared" si="55"/>
        <v>Oficina Central</v>
      </c>
    </row>
    <row r="1696" spans="1:11" x14ac:dyDescent="0.25">
      <c r="A1696" s="43">
        <v>10901</v>
      </c>
      <c r="B1696" t="s">
        <v>205</v>
      </c>
      <c r="C1696" t="s">
        <v>1500</v>
      </c>
      <c r="D1696" t="s">
        <v>1500</v>
      </c>
      <c r="E1696" s="98" t="s">
        <v>205</v>
      </c>
      <c r="F1696" t="s">
        <v>1500</v>
      </c>
      <c r="G1696" s="98" t="s">
        <v>2327</v>
      </c>
      <c r="H1696" s="103" t="s">
        <v>1672</v>
      </c>
      <c r="I1696" t="s">
        <v>1668</v>
      </c>
      <c r="J1696" t="str">
        <f t="shared" si="54"/>
        <v>10901 - Super Hall</v>
      </c>
      <c r="K1696" t="str">
        <f t="shared" si="55"/>
        <v>Oficina Central</v>
      </c>
    </row>
    <row r="1697" spans="1:11" x14ac:dyDescent="0.25">
      <c r="A1697" s="43">
        <v>10902</v>
      </c>
      <c r="B1697" t="s">
        <v>206</v>
      </c>
      <c r="C1697" t="s">
        <v>1500</v>
      </c>
      <c r="D1697" t="s">
        <v>1500</v>
      </c>
      <c r="E1697" s="98" t="s">
        <v>206</v>
      </c>
      <c r="F1697" t="s">
        <v>1500</v>
      </c>
      <c r="G1697" s="98" t="s">
        <v>2327</v>
      </c>
      <c r="H1697" s="103" t="s">
        <v>1672</v>
      </c>
      <c r="I1697" t="s">
        <v>1668</v>
      </c>
      <c r="J1697" t="str">
        <f t="shared" si="54"/>
        <v>10902 - Multifamily</v>
      </c>
      <c r="K1697" t="str">
        <f t="shared" si="55"/>
        <v>Oficina Central</v>
      </c>
    </row>
    <row r="1698" spans="1:11" x14ac:dyDescent="0.25">
      <c r="A1698" s="43">
        <v>10142</v>
      </c>
      <c r="B1698" t="s">
        <v>140</v>
      </c>
      <c r="C1698" s="98" t="s">
        <v>1670</v>
      </c>
      <c r="D1698" s="98" t="s">
        <v>1500</v>
      </c>
      <c r="E1698" s="98" t="s">
        <v>1515</v>
      </c>
      <c r="F1698" t="s">
        <v>1500</v>
      </c>
      <c r="G1698" s="98" t="s">
        <v>1661</v>
      </c>
      <c r="H1698" s="43" t="s">
        <v>386</v>
      </c>
      <c r="I1698" t="s">
        <v>1668</v>
      </c>
      <c r="J1698" t="str">
        <f t="shared" si="54"/>
        <v>10142 - POSTVENTA ZC1</v>
      </c>
      <c r="K1698" t="str">
        <f t="shared" si="55"/>
        <v>Oficina Central</v>
      </c>
    </row>
    <row r="1699" spans="1:11" x14ac:dyDescent="0.25">
      <c r="A1699" s="43">
        <v>10143</v>
      </c>
      <c r="B1699" t="s">
        <v>141</v>
      </c>
      <c r="C1699" s="98" t="s">
        <v>1670</v>
      </c>
      <c r="D1699" s="98" t="s">
        <v>1500</v>
      </c>
      <c r="E1699" s="98" t="s">
        <v>1515</v>
      </c>
      <c r="F1699" t="s">
        <v>1500</v>
      </c>
      <c r="G1699" s="98" t="s">
        <v>1661</v>
      </c>
      <c r="H1699" s="43" t="s">
        <v>386</v>
      </c>
      <c r="I1699" t="s">
        <v>1668</v>
      </c>
      <c r="J1699" t="str">
        <f t="shared" si="54"/>
        <v>10143 - POSTVENTA ZC2</v>
      </c>
      <c r="K1699" t="str">
        <f t="shared" si="55"/>
        <v>Oficina Central</v>
      </c>
    </row>
    <row r="1700" spans="1:11" x14ac:dyDescent="0.25">
      <c r="A1700" s="43">
        <v>10202</v>
      </c>
      <c r="B1700" t="s">
        <v>142</v>
      </c>
      <c r="C1700" t="s">
        <v>1500</v>
      </c>
      <c r="D1700" t="s">
        <v>1500</v>
      </c>
      <c r="E1700" t="s">
        <v>142</v>
      </c>
      <c r="F1700" t="s">
        <v>1500</v>
      </c>
      <c r="G1700" s="98" t="s">
        <v>2327</v>
      </c>
      <c r="H1700" s="103" t="s">
        <v>1672</v>
      </c>
      <c r="I1700" t="s">
        <v>1668</v>
      </c>
      <c r="J1700" t="str">
        <f t="shared" si="54"/>
        <v>10202 - Inversiones</v>
      </c>
      <c r="K1700" t="str">
        <f t="shared" si="55"/>
        <v>Oficina Central</v>
      </c>
    </row>
    <row r="1701" spans="1:11" x14ac:dyDescent="0.25">
      <c r="A1701" s="43">
        <v>10203</v>
      </c>
      <c r="B1701" t="s">
        <v>144</v>
      </c>
      <c r="C1701" s="98" t="s">
        <v>1500</v>
      </c>
      <c r="D1701" s="98" t="s">
        <v>1500</v>
      </c>
      <c r="E1701" t="s">
        <v>2337</v>
      </c>
      <c r="F1701" t="s">
        <v>1500</v>
      </c>
      <c r="G1701" s="98" t="s">
        <v>1661</v>
      </c>
      <c r="H1701" s="103" t="s">
        <v>1672</v>
      </c>
      <c r="I1701" t="s">
        <v>1668</v>
      </c>
      <c r="J1701" t="str">
        <f t="shared" si="54"/>
        <v>10203 - Departamento Proyectos Norte</v>
      </c>
      <c r="K1701" t="str">
        <f t="shared" si="55"/>
        <v>Oficina Central</v>
      </c>
    </row>
    <row r="1702" spans="1:11" x14ac:dyDescent="0.25">
      <c r="A1702" s="43">
        <v>10204</v>
      </c>
      <c r="B1702" t="s">
        <v>146</v>
      </c>
      <c r="C1702" s="98" t="s">
        <v>1500</v>
      </c>
      <c r="D1702" s="98" t="s">
        <v>1500</v>
      </c>
      <c r="E1702" s="98" t="s">
        <v>2338</v>
      </c>
      <c r="F1702" t="s">
        <v>1500</v>
      </c>
      <c r="G1702" s="98" t="s">
        <v>1661</v>
      </c>
      <c r="H1702" s="43" t="s">
        <v>1672</v>
      </c>
      <c r="I1702" t="s">
        <v>1668</v>
      </c>
      <c r="J1702" t="str">
        <f t="shared" si="54"/>
        <v>10204 - Departamento Proyectos RM y VI Región</v>
      </c>
      <c r="K1702" t="str">
        <f t="shared" si="55"/>
        <v>Oficina Central</v>
      </c>
    </row>
    <row r="1703" spans="1:11" x14ac:dyDescent="0.25">
      <c r="A1703" s="43">
        <v>10313</v>
      </c>
      <c r="B1703" t="s">
        <v>2339</v>
      </c>
      <c r="C1703" s="98" t="s">
        <v>1500</v>
      </c>
      <c r="D1703" s="98" t="s">
        <v>1500</v>
      </c>
      <c r="E1703" s="98" t="s">
        <v>2339</v>
      </c>
      <c r="F1703" s="98" t="s">
        <v>1500</v>
      </c>
      <c r="G1703" s="98" t="s">
        <v>2327</v>
      </c>
      <c r="H1703" s="43" t="s">
        <v>1672</v>
      </c>
      <c r="I1703" t="s">
        <v>1668</v>
      </c>
      <c r="J1703" t="str">
        <f t="shared" ref="J1703:J1748" si="56">+A1703&amp;" - "&amp;B1703</f>
        <v>10313 - Proyectos Transitorios</v>
      </c>
      <c r="K1703" t="str">
        <f t="shared" ref="K1703:K1748" si="57">+D1703</f>
        <v>Oficina Central</v>
      </c>
    </row>
    <row r="1704" spans="1:11" x14ac:dyDescent="0.25">
      <c r="A1704" s="43">
        <v>10315</v>
      </c>
      <c r="B1704" t="s">
        <v>191</v>
      </c>
      <c r="C1704" t="s">
        <v>1500</v>
      </c>
      <c r="D1704" t="s">
        <v>1500</v>
      </c>
      <c r="E1704" t="s">
        <v>191</v>
      </c>
      <c r="F1704" t="s">
        <v>1500</v>
      </c>
      <c r="G1704" t="s">
        <v>1667</v>
      </c>
      <c r="H1704" s="43" t="s">
        <v>386</v>
      </c>
      <c r="I1704" t="s">
        <v>1668</v>
      </c>
      <c r="J1704" t="str">
        <f t="shared" si="56"/>
        <v>10315 - Centro General zonal</v>
      </c>
      <c r="K1704" t="str">
        <f t="shared" si="57"/>
        <v>Oficina Central</v>
      </c>
    </row>
    <row r="1705" spans="1:11" x14ac:dyDescent="0.25">
      <c r="A1705" s="43">
        <v>10317</v>
      </c>
      <c r="B1705" t="s">
        <v>2340</v>
      </c>
      <c r="C1705" s="98" t="s">
        <v>1500</v>
      </c>
      <c r="D1705" s="98" t="s">
        <v>1500</v>
      </c>
      <c r="E1705" s="98" t="s">
        <v>2340</v>
      </c>
      <c r="F1705" s="98" t="s">
        <v>1500</v>
      </c>
      <c r="G1705" s="98" t="s">
        <v>1667</v>
      </c>
      <c r="H1705" s="43" t="s">
        <v>1672</v>
      </c>
      <c r="I1705" t="s">
        <v>1668</v>
      </c>
      <c r="J1705" t="str">
        <f t="shared" si="56"/>
        <v>10317 - Oficina Central TI 2</v>
      </c>
      <c r="K1705" t="str">
        <f t="shared" si="57"/>
        <v>Oficina Central</v>
      </c>
    </row>
    <row r="1706" spans="1:11" x14ac:dyDescent="0.25">
      <c r="A1706" s="43">
        <v>10403</v>
      </c>
      <c r="B1706" t="s">
        <v>2341</v>
      </c>
      <c r="C1706" s="98" t="s">
        <v>1500</v>
      </c>
      <c r="D1706" s="98" t="s">
        <v>1500</v>
      </c>
      <c r="E1706" s="98" t="s">
        <v>2341</v>
      </c>
      <c r="F1706" s="98" t="s">
        <v>1500</v>
      </c>
      <c r="G1706" s="98" t="s">
        <v>1667</v>
      </c>
      <c r="H1706" s="43" t="s">
        <v>1672</v>
      </c>
      <c r="I1706" t="s">
        <v>1668</v>
      </c>
      <c r="J1706" t="str">
        <f t="shared" si="56"/>
        <v>10403 - Administración Directorio</v>
      </c>
      <c r="K1706" t="str">
        <f t="shared" si="57"/>
        <v>Oficina Central</v>
      </c>
    </row>
    <row r="1707" spans="1:11" x14ac:dyDescent="0.25">
      <c r="A1707" s="43">
        <v>10122</v>
      </c>
      <c r="B1707" t="s">
        <v>2342</v>
      </c>
      <c r="C1707" t="s">
        <v>1500</v>
      </c>
      <c r="D1707" t="s">
        <v>1500</v>
      </c>
      <c r="E1707" t="s">
        <v>1530</v>
      </c>
      <c r="F1707" t="s">
        <v>1500</v>
      </c>
      <c r="G1707" s="98" t="s">
        <v>1661</v>
      </c>
      <c r="H1707" s="103" t="s">
        <v>1672</v>
      </c>
      <c r="I1707" t="s">
        <v>1668</v>
      </c>
      <c r="J1707" t="str">
        <f t="shared" si="56"/>
        <v>10122 - Actualización Salas de Venta</v>
      </c>
      <c r="K1707" t="str">
        <f t="shared" si="57"/>
        <v>Oficina Central</v>
      </c>
    </row>
    <row r="1708" spans="1:11" x14ac:dyDescent="0.25">
      <c r="A1708" s="43">
        <v>10123</v>
      </c>
      <c r="B1708" t="s">
        <v>118</v>
      </c>
      <c r="C1708" t="s">
        <v>1964</v>
      </c>
      <c r="D1708" s="98" t="s">
        <v>1500</v>
      </c>
      <c r="E1708" s="98" t="s">
        <v>1513</v>
      </c>
      <c r="F1708" t="s">
        <v>1500</v>
      </c>
      <c r="G1708" s="98" t="s">
        <v>1661</v>
      </c>
      <c r="H1708" s="43" t="s">
        <v>1672</v>
      </c>
      <c r="I1708" t="s">
        <v>1668</v>
      </c>
      <c r="J1708" t="str">
        <f t="shared" si="56"/>
        <v>10123 - SAC NORTE 3</v>
      </c>
      <c r="K1708" t="str">
        <f t="shared" si="57"/>
        <v>Oficina Central</v>
      </c>
    </row>
    <row r="1709" spans="1:11" x14ac:dyDescent="0.25">
      <c r="A1709" s="43">
        <v>10124</v>
      </c>
      <c r="B1709" t="s">
        <v>119</v>
      </c>
      <c r="C1709" s="98" t="s">
        <v>1500</v>
      </c>
      <c r="D1709" s="98" t="s">
        <v>1500</v>
      </c>
      <c r="E1709" t="s">
        <v>119</v>
      </c>
      <c r="F1709" t="s">
        <v>1500</v>
      </c>
      <c r="G1709" s="98" t="s">
        <v>1661</v>
      </c>
      <c r="H1709" s="43" t="s">
        <v>1672</v>
      </c>
      <c r="I1709" t="s">
        <v>1668</v>
      </c>
      <c r="J1709" t="str">
        <f t="shared" si="56"/>
        <v>10124 - OOCC NORTE 3</v>
      </c>
      <c r="K1709" t="str">
        <f t="shared" si="57"/>
        <v>Oficina Central</v>
      </c>
    </row>
    <row r="1710" spans="1:11" x14ac:dyDescent="0.25">
      <c r="A1710" s="43">
        <v>10126</v>
      </c>
      <c r="B1710" t="s">
        <v>121</v>
      </c>
      <c r="C1710" t="s">
        <v>1660</v>
      </c>
      <c r="D1710" s="98" t="s">
        <v>1500</v>
      </c>
      <c r="E1710" t="s">
        <v>1513</v>
      </c>
      <c r="F1710" t="s">
        <v>1500</v>
      </c>
      <c r="G1710" s="98" t="s">
        <v>1661</v>
      </c>
      <c r="H1710" s="43" t="s">
        <v>386</v>
      </c>
      <c r="I1710" t="s">
        <v>1668</v>
      </c>
      <c r="J1710" t="str">
        <f t="shared" si="56"/>
        <v>10126 - CLIENTES ZONAL NORTE 1</v>
      </c>
      <c r="K1710" t="str">
        <f t="shared" si="57"/>
        <v>Oficina Central</v>
      </c>
    </row>
    <row r="1711" spans="1:11" x14ac:dyDescent="0.25">
      <c r="A1711" s="43">
        <v>10127</v>
      </c>
      <c r="B1711" t="s">
        <v>123</v>
      </c>
      <c r="C1711" t="s">
        <v>1836</v>
      </c>
      <c r="D1711" s="98" t="s">
        <v>1500</v>
      </c>
      <c r="E1711" t="s">
        <v>1513</v>
      </c>
      <c r="F1711" t="s">
        <v>1500</v>
      </c>
      <c r="G1711" s="98" t="s">
        <v>1661</v>
      </c>
      <c r="H1711" s="43" t="s">
        <v>386</v>
      </c>
      <c r="I1711" t="s">
        <v>1668</v>
      </c>
      <c r="J1711" t="str">
        <f t="shared" si="56"/>
        <v>10127 - CLIENTES ZONAL NORTE 2</v>
      </c>
      <c r="K1711" t="str">
        <f t="shared" si="57"/>
        <v>Oficina Central</v>
      </c>
    </row>
    <row r="1712" spans="1:11" x14ac:dyDescent="0.25">
      <c r="A1712" s="43">
        <v>10128</v>
      </c>
      <c r="B1712" t="s">
        <v>124</v>
      </c>
      <c r="C1712" t="s">
        <v>1964</v>
      </c>
      <c r="D1712" s="98" t="s">
        <v>1500</v>
      </c>
      <c r="E1712" t="s">
        <v>1513</v>
      </c>
      <c r="F1712" t="s">
        <v>1500</v>
      </c>
      <c r="G1712" s="98" t="s">
        <v>1661</v>
      </c>
      <c r="H1712" s="43" t="s">
        <v>386</v>
      </c>
      <c r="I1712" t="s">
        <v>1668</v>
      </c>
      <c r="J1712" t="str">
        <f t="shared" si="56"/>
        <v>10128 - CLIENTES ZONAL NORTE 3</v>
      </c>
      <c r="K1712" t="str">
        <f t="shared" si="57"/>
        <v>Oficina Central</v>
      </c>
    </row>
    <row r="1713" spans="1:11" x14ac:dyDescent="0.25">
      <c r="A1713" s="43">
        <v>10129</v>
      </c>
      <c r="B1713" t="s">
        <v>125</v>
      </c>
      <c r="C1713" t="s">
        <v>1685</v>
      </c>
      <c r="D1713" s="98" t="s">
        <v>1500</v>
      </c>
      <c r="E1713" t="s">
        <v>1514</v>
      </c>
      <c r="F1713" t="s">
        <v>1500</v>
      </c>
      <c r="G1713" s="98" t="s">
        <v>1661</v>
      </c>
      <c r="H1713" s="43" t="s">
        <v>386</v>
      </c>
      <c r="I1713" t="s">
        <v>1668</v>
      </c>
      <c r="J1713" t="str">
        <f t="shared" si="56"/>
        <v>10129 - CLIENTES ZONAL V REGIÓN</v>
      </c>
      <c r="K1713" t="str">
        <f t="shared" si="57"/>
        <v>Oficina Central</v>
      </c>
    </row>
    <row r="1714" spans="1:11" x14ac:dyDescent="0.25">
      <c r="A1714" s="43">
        <v>10130</v>
      </c>
      <c r="B1714" t="s">
        <v>126</v>
      </c>
      <c r="C1714" s="98" t="s">
        <v>1670</v>
      </c>
      <c r="D1714" s="98" t="s">
        <v>1500</v>
      </c>
      <c r="E1714" s="98" t="s">
        <v>1515</v>
      </c>
      <c r="F1714" t="s">
        <v>1500</v>
      </c>
      <c r="G1714" s="98" t="s">
        <v>1661</v>
      </c>
      <c r="H1714" s="43" t="s">
        <v>386</v>
      </c>
      <c r="I1714" t="s">
        <v>1668</v>
      </c>
      <c r="J1714" t="str">
        <f t="shared" si="56"/>
        <v>10130 - CLIENTES ZONAL ZC1</v>
      </c>
      <c r="K1714" t="str">
        <f t="shared" si="57"/>
        <v>Oficina Central</v>
      </c>
    </row>
    <row r="1715" spans="1:11" x14ac:dyDescent="0.25">
      <c r="A1715" s="43">
        <v>10131</v>
      </c>
      <c r="B1715" t="s">
        <v>127</v>
      </c>
      <c r="C1715" s="98" t="s">
        <v>1670</v>
      </c>
      <c r="D1715" s="98" t="s">
        <v>1500</v>
      </c>
      <c r="E1715" s="98" t="s">
        <v>1515</v>
      </c>
      <c r="F1715" t="s">
        <v>1500</v>
      </c>
      <c r="G1715" s="98" t="s">
        <v>1661</v>
      </c>
      <c r="H1715" s="43" t="s">
        <v>386</v>
      </c>
      <c r="I1715" t="s">
        <v>1668</v>
      </c>
      <c r="J1715" t="str">
        <f t="shared" si="56"/>
        <v>10131 - CLIENTES ZONAL ZC2</v>
      </c>
      <c r="K1715" t="str">
        <f t="shared" si="57"/>
        <v>Oficina Central</v>
      </c>
    </row>
    <row r="1716" spans="1:11" x14ac:dyDescent="0.25">
      <c r="A1716" s="43">
        <v>10132</v>
      </c>
      <c r="B1716" t="s">
        <v>128</v>
      </c>
      <c r="C1716" t="s">
        <v>1660</v>
      </c>
      <c r="D1716" s="98" t="s">
        <v>1500</v>
      </c>
      <c r="E1716" t="s">
        <v>1513</v>
      </c>
      <c r="F1716" t="s">
        <v>1500</v>
      </c>
      <c r="G1716" s="98" t="s">
        <v>1661</v>
      </c>
      <c r="H1716" s="43" t="s">
        <v>386</v>
      </c>
      <c r="I1716" t="s">
        <v>1668</v>
      </c>
      <c r="J1716" t="str">
        <f t="shared" si="56"/>
        <v>10132 - ENTREGA NORTE 1</v>
      </c>
      <c r="K1716" t="str">
        <f t="shared" si="57"/>
        <v>Oficina Central</v>
      </c>
    </row>
    <row r="1717" spans="1:11" x14ac:dyDescent="0.25">
      <c r="A1717" s="43">
        <v>10133</v>
      </c>
      <c r="B1717" t="s">
        <v>131</v>
      </c>
      <c r="C1717" t="s">
        <v>1836</v>
      </c>
      <c r="D1717" s="98" t="s">
        <v>1500</v>
      </c>
      <c r="E1717" t="s">
        <v>1513</v>
      </c>
      <c r="F1717" t="s">
        <v>1500</v>
      </c>
      <c r="G1717" s="98" t="s">
        <v>1661</v>
      </c>
      <c r="H1717" s="43" t="s">
        <v>386</v>
      </c>
      <c r="I1717" t="s">
        <v>1668</v>
      </c>
      <c r="J1717" t="str">
        <f t="shared" si="56"/>
        <v>10133 - ENTREGA NORTE 2</v>
      </c>
      <c r="K1717" t="str">
        <f t="shared" si="57"/>
        <v>Oficina Central</v>
      </c>
    </row>
    <row r="1718" spans="1:11" x14ac:dyDescent="0.25">
      <c r="A1718" s="43">
        <v>10134</v>
      </c>
      <c r="B1718" t="s">
        <v>132</v>
      </c>
      <c r="C1718" t="s">
        <v>1964</v>
      </c>
      <c r="D1718" s="98" t="s">
        <v>1500</v>
      </c>
      <c r="E1718" t="s">
        <v>1513</v>
      </c>
      <c r="F1718" t="s">
        <v>1500</v>
      </c>
      <c r="G1718" s="98" t="s">
        <v>1661</v>
      </c>
      <c r="H1718" s="43" t="s">
        <v>386</v>
      </c>
      <c r="I1718" t="s">
        <v>1668</v>
      </c>
      <c r="J1718" t="str">
        <f t="shared" si="56"/>
        <v>10134 - ENTREGA NORTE 3</v>
      </c>
      <c r="K1718" t="str">
        <f t="shared" si="57"/>
        <v>Oficina Central</v>
      </c>
    </row>
    <row r="1719" spans="1:11" x14ac:dyDescent="0.25">
      <c r="A1719" s="43">
        <v>10135</v>
      </c>
      <c r="B1719" t="s">
        <v>133</v>
      </c>
      <c r="C1719" t="s">
        <v>1685</v>
      </c>
      <c r="D1719" s="98" t="s">
        <v>1500</v>
      </c>
      <c r="E1719" t="s">
        <v>1514</v>
      </c>
      <c r="F1719" t="s">
        <v>1500</v>
      </c>
      <c r="G1719" s="98" t="s">
        <v>1661</v>
      </c>
      <c r="H1719" s="43" t="s">
        <v>386</v>
      </c>
      <c r="I1719" t="s">
        <v>1668</v>
      </c>
      <c r="J1719" t="str">
        <f t="shared" si="56"/>
        <v>10135 - ENTREGA V REGIÓN</v>
      </c>
      <c r="K1719" t="str">
        <f t="shared" si="57"/>
        <v>Oficina Central</v>
      </c>
    </row>
    <row r="1720" spans="1:11" x14ac:dyDescent="0.25">
      <c r="A1720" s="43">
        <v>10136</v>
      </c>
      <c r="B1720" t="s">
        <v>134</v>
      </c>
      <c r="C1720" s="98" t="s">
        <v>1670</v>
      </c>
      <c r="D1720" s="98" t="s">
        <v>1500</v>
      </c>
      <c r="E1720" s="98" t="s">
        <v>1515</v>
      </c>
      <c r="F1720" t="s">
        <v>1500</v>
      </c>
      <c r="G1720" s="98" t="s">
        <v>1661</v>
      </c>
      <c r="H1720" s="43" t="s">
        <v>386</v>
      </c>
      <c r="I1720" t="s">
        <v>1668</v>
      </c>
      <c r="J1720" t="str">
        <f t="shared" si="56"/>
        <v>10136 - ENTREGA ZC1</v>
      </c>
      <c r="K1720" t="str">
        <f t="shared" si="57"/>
        <v>Oficina Central</v>
      </c>
    </row>
    <row r="1721" spans="1:11" x14ac:dyDescent="0.25">
      <c r="A1721" s="43">
        <v>10137</v>
      </c>
      <c r="B1721" t="s">
        <v>135</v>
      </c>
      <c r="C1721" s="98" t="s">
        <v>1670</v>
      </c>
      <c r="D1721" s="98" t="s">
        <v>1500</v>
      </c>
      <c r="E1721" s="98" t="s">
        <v>1515</v>
      </c>
      <c r="F1721" t="s">
        <v>1500</v>
      </c>
      <c r="G1721" s="98" t="s">
        <v>1661</v>
      </c>
      <c r="H1721" s="43" t="s">
        <v>386</v>
      </c>
      <c r="I1721" t="s">
        <v>1668</v>
      </c>
      <c r="J1721" t="str">
        <f t="shared" si="56"/>
        <v>10137 - ENTREGA ZC2</v>
      </c>
      <c r="K1721" t="str">
        <f t="shared" si="57"/>
        <v>Oficina Central</v>
      </c>
    </row>
    <row r="1722" spans="1:11" x14ac:dyDescent="0.25">
      <c r="A1722" s="43">
        <v>10138</v>
      </c>
      <c r="B1722" t="s">
        <v>136</v>
      </c>
      <c r="C1722" t="s">
        <v>1660</v>
      </c>
      <c r="D1722" s="98" t="s">
        <v>1500</v>
      </c>
      <c r="E1722" t="s">
        <v>1513</v>
      </c>
      <c r="F1722" t="s">
        <v>1500</v>
      </c>
      <c r="G1722" s="98" t="s">
        <v>1661</v>
      </c>
      <c r="H1722" s="43" t="s">
        <v>386</v>
      </c>
      <c r="I1722" t="s">
        <v>1668</v>
      </c>
      <c r="J1722" t="str">
        <f t="shared" si="56"/>
        <v>10138 - POSTVENTA NORTE 1</v>
      </c>
      <c r="K1722" t="str">
        <f t="shared" si="57"/>
        <v>Oficina Central</v>
      </c>
    </row>
    <row r="1723" spans="1:11" x14ac:dyDescent="0.25">
      <c r="A1723" s="43">
        <v>10139</v>
      </c>
      <c r="B1723" t="s">
        <v>137</v>
      </c>
      <c r="C1723" t="s">
        <v>1836</v>
      </c>
      <c r="D1723" s="98" t="s">
        <v>1500</v>
      </c>
      <c r="E1723" t="s">
        <v>1513</v>
      </c>
      <c r="F1723" t="s">
        <v>1500</v>
      </c>
      <c r="G1723" s="98" t="s">
        <v>1661</v>
      </c>
      <c r="H1723" s="43" t="s">
        <v>386</v>
      </c>
      <c r="I1723" t="s">
        <v>1668</v>
      </c>
      <c r="J1723" t="str">
        <f t="shared" si="56"/>
        <v>10139 - POSTVENTA NORTE 2</v>
      </c>
      <c r="K1723" t="str">
        <f t="shared" si="57"/>
        <v>Oficina Central</v>
      </c>
    </row>
    <row r="1724" spans="1:11" x14ac:dyDescent="0.25">
      <c r="A1724" s="43">
        <v>10140</v>
      </c>
      <c r="B1724" t="s">
        <v>138</v>
      </c>
      <c r="C1724" t="s">
        <v>1964</v>
      </c>
      <c r="D1724" s="98" t="s">
        <v>1500</v>
      </c>
      <c r="E1724" t="s">
        <v>1513</v>
      </c>
      <c r="F1724" t="s">
        <v>1500</v>
      </c>
      <c r="G1724" s="98" t="s">
        <v>1661</v>
      </c>
      <c r="H1724" s="43" t="s">
        <v>386</v>
      </c>
      <c r="I1724" t="s">
        <v>1668</v>
      </c>
      <c r="J1724" t="str">
        <f t="shared" si="56"/>
        <v>10140 - POSTVENTA NORTE 3</v>
      </c>
      <c r="K1724" t="str">
        <f t="shared" si="57"/>
        <v>Oficina Central</v>
      </c>
    </row>
    <row r="1725" spans="1:11" x14ac:dyDescent="0.25">
      <c r="A1725" s="43">
        <v>10141</v>
      </c>
      <c r="B1725" t="s">
        <v>139</v>
      </c>
      <c r="C1725" t="s">
        <v>1685</v>
      </c>
      <c r="D1725" s="98" t="s">
        <v>1500</v>
      </c>
      <c r="E1725" t="s">
        <v>1514</v>
      </c>
      <c r="F1725" t="s">
        <v>1500</v>
      </c>
      <c r="G1725" s="98" t="s">
        <v>1661</v>
      </c>
      <c r="H1725" s="43" t="s">
        <v>386</v>
      </c>
      <c r="I1725" t="s">
        <v>1668</v>
      </c>
      <c r="J1725" t="str">
        <f t="shared" si="56"/>
        <v>10141 - POSTVENTA V REGIÓN</v>
      </c>
      <c r="K1725" t="str">
        <f t="shared" si="57"/>
        <v>Oficina Central</v>
      </c>
    </row>
    <row r="1726" spans="1:11" x14ac:dyDescent="0.25">
      <c r="A1726" s="43">
        <v>10000</v>
      </c>
      <c r="B1726" t="s">
        <v>2343</v>
      </c>
      <c r="C1726" s="98" t="s">
        <v>1500</v>
      </c>
      <c r="D1726" s="98" t="s">
        <v>1500</v>
      </c>
      <c r="E1726" s="98" t="s">
        <v>2343</v>
      </c>
      <c r="F1726" s="98" t="s">
        <v>1500</v>
      </c>
      <c r="G1726" s="98" t="s">
        <v>1667</v>
      </c>
      <c r="H1726" s="43" t="s">
        <v>1672</v>
      </c>
      <c r="I1726" t="s">
        <v>1668</v>
      </c>
      <c r="J1726" t="str">
        <f t="shared" si="56"/>
        <v>10000 - Centro por Distribuir</v>
      </c>
      <c r="K1726" t="str">
        <f t="shared" si="57"/>
        <v>Oficina Central</v>
      </c>
    </row>
    <row r="1727" spans="1:11" x14ac:dyDescent="0.25">
      <c r="A1727" s="43">
        <v>10103</v>
      </c>
      <c r="B1727" t="s">
        <v>89</v>
      </c>
      <c r="C1727" t="s">
        <v>1500</v>
      </c>
      <c r="D1727" t="s">
        <v>1500</v>
      </c>
      <c r="E1727" t="s">
        <v>1543</v>
      </c>
      <c r="F1727" t="s">
        <v>1500</v>
      </c>
      <c r="G1727" s="98" t="s">
        <v>1661</v>
      </c>
      <c r="H1727" s="43" t="s">
        <v>1672</v>
      </c>
      <c r="I1727" t="s">
        <v>1668</v>
      </c>
      <c r="J1727" t="str">
        <f t="shared" si="56"/>
        <v>10103 - Operaciones Inmobiliarias</v>
      </c>
      <c r="K1727" t="str">
        <f t="shared" si="57"/>
        <v>Oficina Central</v>
      </c>
    </row>
    <row r="1728" spans="1:11" x14ac:dyDescent="0.25">
      <c r="A1728" s="43">
        <v>10104</v>
      </c>
      <c r="B1728" t="s">
        <v>90</v>
      </c>
      <c r="C1728" t="s">
        <v>1500</v>
      </c>
      <c r="D1728" t="s">
        <v>1500</v>
      </c>
      <c r="E1728" t="s">
        <v>90</v>
      </c>
      <c r="F1728" t="s">
        <v>1500</v>
      </c>
      <c r="G1728" s="98" t="s">
        <v>1661</v>
      </c>
      <c r="H1728" s="43" t="s">
        <v>1672</v>
      </c>
      <c r="I1728" t="s">
        <v>1668</v>
      </c>
      <c r="J1728" t="str">
        <f t="shared" si="56"/>
        <v>10104 - Ventas</v>
      </c>
      <c r="K1728" t="str">
        <f t="shared" si="57"/>
        <v>Oficina Central</v>
      </c>
    </row>
    <row r="1729" spans="1:11" x14ac:dyDescent="0.25">
      <c r="A1729" s="43">
        <v>10106</v>
      </c>
      <c r="B1729" t="s">
        <v>2344</v>
      </c>
      <c r="C1729" t="s">
        <v>1500</v>
      </c>
      <c r="D1729" t="s">
        <v>1500</v>
      </c>
      <c r="E1729" s="98" t="s">
        <v>2344</v>
      </c>
      <c r="F1729" t="s">
        <v>1500</v>
      </c>
      <c r="G1729" s="98" t="s">
        <v>1661</v>
      </c>
      <c r="H1729" s="43" t="s">
        <v>1672</v>
      </c>
      <c r="I1729" t="s">
        <v>1668</v>
      </c>
      <c r="J1729" t="str">
        <f t="shared" si="56"/>
        <v>10106 - Administración de Condominios</v>
      </c>
      <c r="K1729" t="str">
        <f t="shared" si="57"/>
        <v>Oficina Central</v>
      </c>
    </row>
    <row r="1730" spans="1:11" x14ac:dyDescent="0.25">
      <c r="A1730" s="43">
        <v>10107</v>
      </c>
      <c r="B1730" t="s">
        <v>110</v>
      </c>
      <c r="C1730" t="s">
        <v>1660</v>
      </c>
      <c r="D1730" s="98" t="s">
        <v>1500</v>
      </c>
      <c r="E1730" s="98" t="s">
        <v>1513</v>
      </c>
      <c r="F1730" t="s">
        <v>1500</v>
      </c>
      <c r="G1730" s="98" t="s">
        <v>1661</v>
      </c>
      <c r="H1730" s="43" t="s">
        <v>1672</v>
      </c>
      <c r="I1730" t="s">
        <v>1668</v>
      </c>
      <c r="J1730" t="str">
        <f t="shared" si="56"/>
        <v>10107 - SAC NORTE 1</v>
      </c>
      <c r="K1730" t="str">
        <f t="shared" si="57"/>
        <v>Oficina Central</v>
      </c>
    </row>
    <row r="1731" spans="1:11" x14ac:dyDescent="0.25">
      <c r="A1731" s="43">
        <v>10108</v>
      </c>
      <c r="B1731" t="s">
        <v>111</v>
      </c>
      <c r="C1731" t="s">
        <v>1836</v>
      </c>
      <c r="D1731" s="98" t="s">
        <v>1500</v>
      </c>
      <c r="E1731" s="98" t="s">
        <v>1513</v>
      </c>
      <c r="F1731" t="s">
        <v>1500</v>
      </c>
      <c r="G1731" s="98" t="s">
        <v>1661</v>
      </c>
      <c r="H1731" s="43" t="s">
        <v>1672</v>
      </c>
      <c r="I1731" t="s">
        <v>1668</v>
      </c>
      <c r="J1731" t="str">
        <f t="shared" si="56"/>
        <v>10108 - SAC NORTE 2</v>
      </c>
      <c r="K1731" t="str">
        <f t="shared" si="57"/>
        <v>Oficina Central</v>
      </c>
    </row>
    <row r="1732" spans="1:11" x14ac:dyDescent="0.25">
      <c r="A1732" s="43">
        <v>10109</v>
      </c>
      <c r="B1732" t="s">
        <v>112</v>
      </c>
      <c r="C1732" s="98" t="s">
        <v>1670</v>
      </c>
      <c r="D1732" s="98" t="s">
        <v>1500</v>
      </c>
      <c r="E1732" s="98" t="s">
        <v>1515</v>
      </c>
      <c r="F1732" t="s">
        <v>1500</v>
      </c>
      <c r="G1732" s="98" t="s">
        <v>1661</v>
      </c>
      <c r="H1732" s="43" t="s">
        <v>1672</v>
      </c>
      <c r="I1732" t="s">
        <v>1668</v>
      </c>
      <c r="J1732" t="str">
        <f t="shared" si="56"/>
        <v>10109 - SAC ZC1</v>
      </c>
      <c r="K1732" t="str">
        <f t="shared" si="57"/>
        <v>Oficina Central</v>
      </c>
    </row>
    <row r="1733" spans="1:11" x14ac:dyDescent="0.25">
      <c r="A1733" s="43">
        <v>10110</v>
      </c>
      <c r="B1733" t="s">
        <v>113</v>
      </c>
      <c r="C1733" s="98" t="s">
        <v>1670</v>
      </c>
      <c r="D1733" s="98" t="s">
        <v>1500</v>
      </c>
      <c r="E1733" s="98" t="s">
        <v>1515</v>
      </c>
      <c r="F1733" t="s">
        <v>1500</v>
      </c>
      <c r="G1733" s="98" t="s">
        <v>1661</v>
      </c>
      <c r="H1733" s="43" t="s">
        <v>1672</v>
      </c>
      <c r="I1733" t="s">
        <v>1668</v>
      </c>
      <c r="J1733" t="str">
        <f t="shared" si="56"/>
        <v>10110 - SAC ZC2</v>
      </c>
      <c r="K1733" t="str">
        <f t="shared" si="57"/>
        <v>Oficina Central</v>
      </c>
    </row>
    <row r="1734" spans="1:11" x14ac:dyDescent="0.25">
      <c r="A1734" s="43">
        <v>10111</v>
      </c>
      <c r="B1734" t="s">
        <v>115</v>
      </c>
      <c r="C1734" t="s">
        <v>1685</v>
      </c>
      <c r="D1734" s="98" t="s">
        <v>1500</v>
      </c>
      <c r="E1734" s="98" t="s">
        <v>1514</v>
      </c>
      <c r="F1734" t="s">
        <v>1500</v>
      </c>
      <c r="G1734" s="98" t="s">
        <v>1661</v>
      </c>
      <c r="H1734" s="43" t="s">
        <v>1672</v>
      </c>
      <c r="I1734" t="s">
        <v>1668</v>
      </c>
      <c r="J1734" t="str">
        <f t="shared" si="56"/>
        <v>10111 - SAC V REGIÓN</v>
      </c>
      <c r="K1734" t="str">
        <f t="shared" si="57"/>
        <v>Oficina Central</v>
      </c>
    </row>
    <row r="1735" spans="1:11" x14ac:dyDescent="0.25">
      <c r="A1735" s="101">
        <v>1032202</v>
      </c>
      <c r="B1735" s="102" t="s">
        <v>720</v>
      </c>
      <c r="C1735" s="102" t="s">
        <v>1836</v>
      </c>
      <c r="D1735" s="102" t="s">
        <v>1578</v>
      </c>
      <c r="E1735" s="102" t="s">
        <v>1578</v>
      </c>
      <c r="F1735" s="102" t="s">
        <v>789</v>
      </c>
      <c r="G1735" s="102" t="s">
        <v>1661</v>
      </c>
      <c r="H1735" s="101" t="s">
        <v>386</v>
      </c>
      <c r="I1735" s="102" t="s">
        <v>1662</v>
      </c>
      <c r="J1735" t="str">
        <f t="shared" si="56"/>
        <v>1032202 - Terreno Palmas del Sur-Desarrollo</v>
      </c>
      <c r="K1735" t="str">
        <f t="shared" si="57"/>
        <v>Terreno</v>
      </c>
    </row>
    <row r="1736" spans="1:11" x14ac:dyDescent="0.25">
      <c r="A1736" s="101">
        <v>167</v>
      </c>
      <c r="B1736" s="102" t="s">
        <v>789</v>
      </c>
      <c r="C1736" s="102" t="s">
        <v>1836</v>
      </c>
      <c r="D1736" s="102" t="s">
        <v>65</v>
      </c>
      <c r="E1736" s="102" t="s">
        <v>65</v>
      </c>
      <c r="F1736" s="102" t="s">
        <v>789</v>
      </c>
      <c r="G1736" s="102" t="s">
        <v>1663</v>
      </c>
      <c r="H1736" s="101" t="s">
        <v>1672</v>
      </c>
      <c r="I1736" s="102" t="s">
        <v>1664</v>
      </c>
      <c r="J1736" t="str">
        <f t="shared" si="56"/>
        <v>167 - Palmas del Sur 1</v>
      </c>
      <c r="K1736" t="str">
        <f t="shared" si="57"/>
        <v>Obra</v>
      </c>
    </row>
    <row r="1737" spans="1:11" x14ac:dyDescent="0.25">
      <c r="A1737" s="101">
        <v>10027102</v>
      </c>
      <c r="B1737" s="102" t="s">
        <v>2345</v>
      </c>
      <c r="C1737" s="102" t="s">
        <v>1836</v>
      </c>
      <c r="D1737" s="102" t="s">
        <v>1665</v>
      </c>
      <c r="E1737" s="102" t="s">
        <v>1617</v>
      </c>
      <c r="F1737" s="102" t="s">
        <v>789</v>
      </c>
      <c r="G1737" s="102" t="s">
        <v>1661</v>
      </c>
      <c r="H1737" s="101" t="s">
        <v>1672</v>
      </c>
      <c r="I1737" s="102" t="s">
        <v>1666</v>
      </c>
      <c r="J1737" t="str">
        <f t="shared" si="56"/>
        <v>10027102 - Palmas del Sur Macro-Marketing</v>
      </c>
      <c r="K1737" t="str">
        <f t="shared" si="57"/>
        <v>Proyectos Inmobiliarios</v>
      </c>
    </row>
    <row r="1738" spans="1:11" x14ac:dyDescent="0.25">
      <c r="A1738" s="101">
        <v>10027103</v>
      </c>
      <c r="B1738" s="102" t="s">
        <v>2346</v>
      </c>
      <c r="C1738" s="102" t="s">
        <v>1836</v>
      </c>
      <c r="D1738" s="102" t="s">
        <v>1665</v>
      </c>
      <c r="E1738" s="102" t="s">
        <v>1618</v>
      </c>
      <c r="F1738" s="102" t="s">
        <v>789</v>
      </c>
      <c r="G1738" s="102" t="s">
        <v>1661</v>
      </c>
      <c r="H1738" s="101" t="s">
        <v>1672</v>
      </c>
      <c r="I1738" s="102" t="s">
        <v>1666</v>
      </c>
      <c r="J1738" t="str">
        <f t="shared" si="56"/>
        <v>10027103 - Palmas del Sur Macro-Operaciones</v>
      </c>
      <c r="K1738" t="str">
        <f t="shared" si="57"/>
        <v>Proyectos Inmobiliarios</v>
      </c>
    </row>
    <row r="1739" spans="1:11" x14ac:dyDescent="0.25">
      <c r="A1739" s="101">
        <v>10027104</v>
      </c>
      <c r="B1739" s="102" t="s">
        <v>2347</v>
      </c>
      <c r="C1739" s="102" t="s">
        <v>1836</v>
      </c>
      <c r="D1739" s="102" t="s">
        <v>1665</v>
      </c>
      <c r="E1739" s="102" t="s">
        <v>90</v>
      </c>
      <c r="F1739" s="102" t="s">
        <v>789</v>
      </c>
      <c r="G1739" s="102" t="s">
        <v>1661</v>
      </c>
      <c r="H1739" s="101" t="s">
        <v>1672</v>
      </c>
      <c r="I1739" s="102" t="s">
        <v>1666</v>
      </c>
      <c r="J1739" t="str">
        <f t="shared" si="56"/>
        <v>10027104 - Palmas del Sur Macro-Ventas</v>
      </c>
      <c r="K1739" t="str">
        <f t="shared" si="57"/>
        <v>Proyectos Inmobiliarios</v>
      </c>
    </row>
    <row r="1740" spans="1:11" x14ac:dyDescent="0.25">
      <c r="A1740" s="101">
        <v>10027105</v>
      </c>
      <c r="B1740" s="102" t="s">
        <v>2348</v>
      </c>
      <c r="C1740" s="102" t="s">
        <v>1836</v>
      </c>
      <c r="D1740" s="102" t="s">
        <v>1665</v>
      </c>
      <c r="E1740" s="102" t="s">
        <v>1622</v>
      </c>
      <c r="F1740" s="102" t="s">
        <v>789</v>
      </c>
      <c r="G1740" s="102" t="s">
        <v>1661</v>
      </c>
      <c r="H1740" s="101" t="s">
        <v>1672</v>
      </c>
      <c r="I1740" s="102" t="s">
        <v>1666</v>
      </c>
      <c r="J1740" t="str">
        <f t="shared" si="56"/>
        <v>10027105 - Palmas del Sur Macro-Clientes</v>
      </c>
      <c r="K1740" t="str">
        <f t="shared" si="57"/>
        <v>Proyectos Inmobiliarios</v>
      </c>
    </row>
    <row r="1741" spans="1:11" x14ac:dyDescent="0.25">
      <c r="A1741" s="101">
        <v>10027203</v>
      </c>
      <c r="B1741" s="102" t="s">
        <v>2349</v>
      </c>
      <c r="C1741" s="102" t="s">
        <v>1836</v>
      </c>
      <c r="D1741" s="102" t="s">
        <v>1665</v>
      </c>
      <c r="E1741" s="102" t="s">
        <v>1624</v>
      </c>
      <c r="F1741" s="102" t="s">
        <v>789</v>
      </c>
      <c r="G1741" s="102" t="s">
        <v>1661</v>
      </c>
      <c r="H1741" s="101" t="s">
        <v>1672</v>
      </c>
      <c r="I1741" s="102" t="s">
        <v>1666</v>
      </c>
      <c r="J1741" t="str">
        <f t="shared" si="56"/>
        <v>10027203 - Palmas del Sur Macro-Proyecto</v>
      </c>
      <c r="K1741" t="str">
        <f t="shared" si="57"/>
        <v>Proyectos Inmobiliarios</v>
      </c>
    </row>
    <row r="1742" spans="1:11" x14ac:dyDescent="0.25">
      <c r="A1742" s="101">
        <v>10027301</v>
      </c>
      <c r="B1742" s="102" t="s">
        <v>2350</v>
      </c>
      <c r="C1742" s="102" t="s">
        <v>1836</v>
      </c>
      <c r="D1742" s="102" t="s">
        <v>1665</v>
      </c>
      <c r="E1742" s="102" t="s">
        <v>1643</v>
      </c>
      <c r="F1742" s="102" t="s">
        <v>789</v>
      </c>
      <c r="G1742" s="102" t="s">
        <v>1667</v>
      </c>
      <c r="H1742" s="101" t="s">
        <v>1672</v>
      </c>
      <c r="I1742" s="102" t="s">
        <v>1666</v>
      </c>
      <c r="J1742" t="str">
        <f t="shared" si="56"/>
        <v>10027301 - Palmas del Sur Macro-GAF</v>
      </c>
      <c r="K1742" t="str">
        <f t="shared" si="57"/>
        <v>Proyectos Inmobiliarios</v>
      </c>
    </row>
    <row r="1743" spans="1:11" x14ac:dyDescent="0.25">
      <c r="A1743" s="101">
        <v>10027505</v>
      </c>
      <c r="B1743" s="102" t="s">
        <v>2351</v>
      </c>
      <c r="C1743" s="102" t="s">
        <v>1836</v>
      </c>
      <c r="D1743" s="102" t="s">
        <v>66</v>
      </c>
      <c r="E1743" s="102" t="s">
        <v>328</v>
      </c>
      <c r="F1743" s="102" t="s">
        <v>789</v>
      </c>
      <c r="G1743" s="102" t="s">
        <v>1661</v>
      </c>
      <c r="H1743" s="101" t="s">
        <v>1672</v>
      </c>
      <c r="I1743" s="102" t="s">
        <v>1666</v>
      </c>
      <c r="J1743" t="str">
        <f t="shared" si="56"/>
        <v>10027505 - Palmas del Sur Macro-PV Inmob.</v>
      </c>
      <c r="K1743" t="str">
        <f t="shared" si="57"/>
        <v>Postventa</v>
      </c>
    </row>
    <row r="1744" spans="1:11" x14ac:dyDescent="0.25">
      <c r="A1744" s="101">
        <v>10027506</v>
      </c>
      <c r="B1744" s="102" t="s">
        <v>2352</v>
      </c>
      <c r="C1744" s="102" t="s">
        <v>1836</v>
      </c>
      <c r="D1744" s="102" t="s">
        <v>1665</v>
      </c>
      <c r="E1744" s="102" t="s">
        <v>200</v>
      </c>
      <c r="F1744" s="102" t="s">
        <v>789</v>
      </c>
      <c r="G1744" s="102" t="s">
        <v>1661</v>
      </c>
      <c r="H1744" s="101" t="s">
        <v>1672</v>
      </c>
      <c r="I1744" s="102" t="s">
        <v>1666</v>
      </c>
      <c r="J1744" t="str">
        <f t="shared" si="56"/>
        <v>10027506 - Palmas del Sur Macro-Depto.Técnico</v>
      </c>
      <c r="K1744" t="str">
        <f t="shared" si="57"/>
        <v>Proyectos Inmobiliarios</v>
      </c>
    </row>
    <row r="1745" spans="1:11" x14ac:dyDescent="0.25">
      <c r="A1745" s="101">
        <v>10106000</v>
      </c>
      <c r="B1745" s="102" t="s">
        <v>789</v>
      </c>
      <c r="C1745" s="102" t="s">
        <v>1836</v>
      </c>
      <c r="D1745" s="102" t="s">
        <v>1665</v>
      </c>
      <c r="E1745" s="102" t="s">
        <v>1585</v>
      </c>
      <c r="F1745" s="102" t="s">
        <v>789</v>
      </c>
      <c r="G1745" s="102" t="s">
        <v>1661</v>
      </c>
      <c r="H1745" s="101" t="s">
        <v>386</v>
      </c>
      <c r="I1745" s="102" t="s">
        <v>1666</v>
      </c>
      <c r="J1745" t="str">
        <f t="shared" si="56"/>
        <v>10106000 - Palmas del Sur 1</v>
      </c>
      <c r="K1745" t="str">
        <f t="shared" si="57"/>
        <v>Proyectos Inmobiliarios</v>
      </c>
    </row>
    <row r="1746" spans="1:11" x14ac:dyDescent="0.25">
      <c r="A1746" s="101">
        <v>10106102</v>
      </c>
      <c r="B1746" s="102" t="s">
        <v>790</v>
      </c>
      <c r="C1746" s="102" t="s">
        <v>1836</v>
      </c>
      <c r="D1746" s="102" t="s">
        <v>1665</v>
      </c>
      <c r="E1746" s="102" t="s">
        <v>1617</v>
      </c>
      <c r="F1746" s="102" t="s">
        <v>789</v>
      </c>
      <c r="G1746" s="102" t="s">
        <v>1661</v>
      </c>
      <c r="H1746" s="101" t="s">
        <v>386</v>
      </c>
      <c r="I1746" s="102" t="s">
        <v>1666</v>
      </c>
      <c r="J1746" t="str">
        <f t="shared" si="56"/>
        <v>10106102 - Palmas del Sur 1-Marketing</v>
      </c>
      <c r="K1746" t="str">
        <f t="shared" si="57"/>
        <v>Proyectos Inmobiliarios</v>
      </c>
    </row>
    <row r="1747" spans="1:11" x14ac:dyDescent="0.25">
      <c r="A1747" s="101">
        <v>10106103</v>
      </c>
      <c r="B1747" s="102" t="s">
        <v>791</v>
      </c>
      <c r="C1747" s="102" t="s">
        <v>1836</v>
      </c>
      <c r="D1747" s="102" t="s">
        <v>1665</v>
      </c>
      <c r="E1747" s="102" t="s">
        <v>1618</v>
      </c>
      <c r="F1747" s="102" t="s">
        <v>789</v>
      </c>
      <c r="G1747" s="102" t="s">
        <v>1661</v>
      </c>
      <c r="H1747" s="101" t="s">
        <v>386</v>
      </c>
      <c r="I1747" s="102" t="s">
        <v>1666</v>
      </c>
      <c r="J1747" t="str">
        <f t="shared" si="56"/>
        <v>10106103 - Palmas del Sur 1-Operaciones</v>
      </c>
      <c r="K1747" t="str">
        <f t="shared" si="57"/>
        <v>Proyectos Inmobiliarios</v>
      </c>
    </row>
    <row r="1748" spans="1:11" x14ac:dyDescent="0.25">
      <c r="A1748" s="101">
        <v>10106104</v>
      </c>
      <c r="B1748" s="102" t="s">
        <v>792</v>
      </c>
      <c r="C1748" s="102" t="s">
        <v>1836</v>
      </c>
      <c r="D1748" s="102" t="s">
        <v>1665</v>
      </c>
      <c r="E1748" s="102" t="s">
        <v>90</v>
      </c>
      <c r="F1748" s="102" t="s">
        <v>789</v>
      </c>
      <c r="G1748" s="102" t="s">
        <v>1661</v>
      </c>
      <c r="H1748" s="101" t="s">
        <v>386</v>
      </c>
      <c r="I1748" s="102" t="s">
        <v>1666</v>
      </c>
      <c r="J1748" t="str">
        <f t="shared" si="56"/>
        <v>10106104 - Palmas del Sur 1-Ventas</v>
      </c>
      <c r="K1748" t="str">
        <f t="shared" si="57"/>
        <v>Proyectos Inmobiliarios</v>
      </c>
    </row>
    <row r="1749" spans="1:11" x14ac:dyDescent="0.25">
      <c r="A1749" s="101">
        <v>10106105</v>
      </c>
      <c r="B1749" s="102" t="s">
        <v>793</v>
      </c>
      <c r="C1749" s="102" t="s">
        <v>1836</v>
      </c>
      <c r="D1749" s="102" t="s">
        <v>1665</v>
      </c>
      <c r="E1749" s="102" t="s">
        <v>1622</v>
      </c>
      <c r="F1749" s="102" t="s">
        <v>789</v>
      </c>
      <c r="G1749" s="102" t="s">
        <v>1661</v>
      </c>
      <c r="H1749" s="101" t="s">
        <v>386</v>
      </c>
      <c r="I1749" s="102" t="s">
        <v>1666</v>
      </c>
      <c r="J1749" t="str">
        <f t="shared" ref="J1749:J1812" si="58">+A1749&amp;" - "&amp;B1749</f>
        <v>10106105 - Palmas del Sur 1-Clientes</v>
      </c>
      <c r="K1749" t="str">
        <f t="shared" ref="K1749:K1812" si="59">+D1749</f>
        <v>Proyectos Inmobiliarios</v>
      </c>
    </row>
    <row r="1750" spans="1:11" x14ac:dyDescent="0.25">
      <c r="A1750" s="101">
        <v>10106203</v>
      </c>
      <c r="B1750" s="102" t="s">
        <v>794</v>
      </c>
      <c r="C1750" s="102" t="s">
        <v>1836</v>
      </c>
      <c r="D1750" s="102" t="s">
        <v>1665</v>
      </c>
      <c r="E1750" s="102" t="s">
        <v>1624</v>
      </c>
      <c r="F1750" s="102" t="s">
        <v>789</v>
      </c>
      <c r="G1750" s="102" t="s">
        <v>1661</v>
      </c>
      <c r="H1750" s="101" t="s">
        <v>386</v>
      </c>
      <c r="I1750" s="102" t="s">
        <v>1666</v>
      </c>
      <c r="J1750" t="str">
        <f t="shared" si="58"/>
        <v>10106203 - Palmas del Sur 1-Proyecto</v>
      </c>
      <c r="K1750" t="str">
        <f t="shared" si="59"/>
        <v>Proyectos Inmobiliarios</v>
      </c>
    </row>
    <row r="1751" spans="1:11" x14ac:dyDescent="0.25">
      <c r="A1751" s="101">
        <v>10106301</v>
      </c>
      <c r="B1751" s="102" t="s">
        <v>795</v>
      </c>
      <c r="C1751" s="102" t="s">
        <v>1836</v>
      </c>
      <c r="D1751" s="102" t="s">
        <v>1665</v>
      </c>
      <c r="E1751" s="102" t="s">
        <v>1643</v>
      </c>
      <c r="F1751" s="102" t="s">
        <v>789</v>
      </c>
      <c r="G1751" s="102" t="s">
        <v>1667</v>
      </c>
      <c r="H1751" s="101" t="s">
        <v>386</v>
      </c>
      <c r="I1751" s="102" t="s">
        <v>1666</v>
      </c>
      <c r="J1751" t="str">
        <f t="shared" si="58"/>
        <v>10106301 - Palmas del Sur 1-GAF</v>
      </c>
      <c r="K1751" t="str">
        <f t="shared" si="59"/>
        <v>Proyectos Inmobiliarios</v>
      </c>
    </row>
    <row r="1752" spans="1:11" x14ac:dyDescent="0.25">
      <c r="A1752" s="101">
        <v>10106505</v>
      </c>
      <c r="B1752" s="102" t="s">
        <v>796</v>
      </c>
      <c r="C1752" s="102" t="s">
        <v>1836</v>
      </c>
      <c r="D1752" s="102" t="s">
        <v>66</v>
      </c>
      <c r="E1752" s="102" t="s">
        <v>328</v>
      </c>
      <c r="F1752" s="102" t="s">
        <v>789</v>
      </c>
      <c r="G1752" s="102" t="s">
        <v>1661</v>
      </c>
      <c r="H1752" s="101" t="s">
        <v>386</v>
      </c>
      <c r="I1752" s="102" t="s">
        <v>1666</v>
      </c>
      <c r="J1752" t="str">
        <f t="shared" si="58"/>
        <v>10106505 - Palmas del Sur 1-PV Inmob.</v>
      </c>
      <c r="K1752" t="str">
        <f t="shared" si="59"/>
        <v>Postventa</v>
      </c>
    </row>
    <row r="1753" spans="1:11" x14ac:dyDescent="0.25">
      <c r="A1753" s="101">
        <v>10106506</v>
      </c>
      <c r="B1753" s="102" t="s">
        <v>797</v>
      </c>
      <c r="C1753" s="102" t="s">
        <v>1836</v>
      </c>
      <c r="D1753" s="102" t="s">
        <v>1665</v>
      </c>
      <c r="E1753" s="102" t="s">
        <v>200</v>
      </c>
      <c r="F1753" s="102" t="s">
        <v>789</v>
      </c>
      <c r="G1753" s="102" t="s">
        <v>1661</v>
      </c>
      <c r="H1753" s="101" t="s">
        <v>386</v>
      </c>
      <c r="I1753" s="102" t="s">
        <v>1666</v>
      </c>
      <c r="J1753" t="str">
        <f t="shared" si="58"/>
        <v>10106506 - Palmas del Sur 1-Depto.Técnico</v>
      </c>
      <c r="K1753" t="str">
        <f t="shared" si="59"/>
        <v>Proyectos Inmobiliarios</v>
      </c>
    </row>
    <row r="1754" spans="1:11" x14ac:dyDescent="0.25">
      <c r="A1754" s="101">
        <v>9167</v>
      </c>
      <c r="B1754" s="102" t="s">
        <v>612</v>
      </c>
      <c r="C1754" s="102" t="s">
        <v>1836</v>
      </c>
      <c r="D1754" s="102" t="s">
        <v>66</v>
      </c>
      <c r="E1754" s="102" t="s">
        <v>328</v>
      </c>
      <c r="F1754" s="102" t="s">
        <v>789</v>
      </c>
      <c r="G1754" s="102" t="s">
        <v>1661</v>
      </c>
      <c r="H1754" s="101" t="s">
        <v>386</v>
      </c>
      <c r="I1754" s="102" t="s">
        <v>1666</v>
      </c>
      <c r="J1754" t="str">
        <f t="shared" si="58"/>
        <v>9167 - PV Palmas del Sur 1</v>
      </c>
      <c r="K1754" t="str">
        <f t="shared" si="59"/>
        <v>Postventa</v>
      </c>
    </row>
    <row r="1755" spans="1:11" x14ac:dyDescent="0.25">
      <c r="A1755" s="101">
        <v>8167</v>
      </c>
      <c r="B1755" s="102" t="s">
        <v>507</v>
      </c>
      <c r="C1755" s="102" t="s">
        <v>1836</v>
      </c>
      <c r="D1755" s="102" t="s">
        <v>1686</v>
      </c>
      <c r="E1755" s="102" t="s">
        <v>1501</v>
      </c>
      <c r="F1755" s="102" t="s">
        <v>789</v>
      </c>
      <c r="G1755" s="102" t="s">
        <v>1661</v>
      </c>
      <c r="H1755" s="101" t="s">
        <v>386</v>
      </c>
      <c r="I1755" s="102" t="s">
        <v>1666</v>
      </c>
      <c r="J1755" t="str">
        <f t="shared" si="58"/>
        <v>8167 - Entrega Palmas del Sur 1</v>
      </c>
      <c r="K1755" t="str">
        <f t="shared" si="59"/>
        <v>Entrega</v>
      </c>
    </row>
    <row r="1756" spans="1:11" x14ac:dyDescent="0.25">
      <c r="A1756" s="56">
        <v>1021202</v>
      </c>
      <c r="B1756" s="57" t="s">
        <v>2353</v>
      </c>
      <c r="C1756" s="57" t="s">
        <v>1964</v>
      </c>
      <c r="D1756" s="57" t="s">
        <v>1578</v>
      </c>
      <c r="E1756" s="57" t="s">
        <v>1578</v>
      </c>
      <c r="F1756" s="57" t="s">
        <v>2354</v>
      </c>
      <c r="G1756" s="57" t="s">
        <v>1661</v>
      </c>
      <c r="H1756" s="56" t="s">
        <v>1672</v>
      </c>
      <c r="I1756" s="57" t="s">
        <v>1662</v>
      </c>
      <c r="J1756" t="str">
        <f t="shared" si="58"/>
        <v>1021202 - Terr.La Serena Parc.351-Desarrollo</v>
      </c>
      <c r="K1756" t="str">
        <f t="shared" si="59"/>
        <v>Terreno</v>
      </c>
    </row>
    <row r="1757" spans="1:11" x14ac:dyDescent="0.25">
      <c r="A1757" s="56">
        <v>56</v>
      </c>
      <c r="B1757" s="57" t="s">
        <v>2355</v>
      </c>
      <c r="C1757" s="57" t="s">
        <v>1964</v>
      </c>
      <c r="D1757" s="57" t="s">
        <v>65</v>
      </c>
      <c r="E1757" s="57" t="s">
        <v>65</v>
      </c>
      <c r="F1757" s="57" t="s">
        <v>2354</v>
      </c>
      <c r="G1757" s="57" t="s">
        <v>1663</v>
      </c>
      <c r="H1757" s="56" t="s">
        <v>1672</v>
      </c>
      <c r="I1757" s="57" t="s">
        <v>1664</v>
      </c>
      <c r="J1757" t="str">
        <f t="shared" si="58"/>
        <v>56 - Parc351 Sala Vtas-Piloto</v>
      </c>
      <c r="K1757" t="str">
        <f t="shared" si="59"/>
        <v>Obra</v>
      </c>
    </row>
    <row r="1758" spans="1:11" x14ac:dyDescent="0.25">
      <c r="A1758" s="104">
        <v>1054202</v>
      </c>
      <c r="B1758" s="105" t="s">
        <v>722</v>
      </c>
      <c r="C1758" s="105" t="s">
        <v>1670</v>
      </c>
      <c r="D1758" s="105" t="s">
        <v>1578</v>
      </c>
      <c r="E1758" s="105" t="s">
        <v>1578</v>
      </c>
      <c r="F1758" s="105" t="s">
        <v>889</v>
      </c>
      <c r="G1758" s="105" t="s">
        <v>1661</v>
      </c>
      <c r="H1758" s="104" t="s">
        <v>386</v>
      </c>
      <c r="I1758" s="105" t="s">
        <v>1662</v>
      </c>
      <c r="J1758" t="str">
        <f t="shared" si="58"/>
        <v>1054202 - Terreno Santo Domingo-Desarrollo</v>
      </c>
      <c r="K1758" t="str">
        <f t="shared" si="59"/>
        <v>Terreno</v>
      </c>
    </row>
    <row r="1759" spans="1:11" x14ac:dyDescent="0.25">
      <c r="A1759" s="104">
        <v>202</v>
      </c>
      <c r="B1759" s="105" t="s">
        <v>889</v>
      </c>
      <c r="C1759" s="105" t="s">
        <v>1670</v>
      </c>
      <c r="D1759" s="105" t="s">
        <v>65</v>
      </c>
      <c r="E1759" s="105" t="s">
        <v>65</v>
      </c>
      <c r="F1759" s="105" t="s">
        <v>889</v>
      </c>
      <c r="G1759" s="105" t="s">
        <v>1663</v>
      </c>
      <c r="H1759" s="104" t="s">
        <v>1672</v>
      </c>
      <c r="I1759" s="105" t="s">
        <v>1664</v>
      </c>
      <c r="J1759" t="str">
        <f t="shared" si="58"/>
        <v>202 - Parque Central</v>
      </c>
      <c r="K1759" t="str">
        <f t="shared" si="59"/>
        <v>Obra</v>
      </c>
    </row>
    <row r="1760" spans="1:11" x14ac:dyDescent="0.25">
      <c r="A1760" s="104">
        <v>9202</v>
      </c>
      <c r="B1760" s="105" t="s">
        <v>627</v>
      </c>
      <c r="C1760" s="105" t="s">
        <v>1670</v>
      </c>
      <c r="D1760" s="105" t="s">
        <v>66</v>
      </c>
      <c r="E1760" s="105" t="s">
        <v>328</v>
      </c>
      <c r="F1760" s="105" t="s">
        <v>889</v>
      </c>
      <c r="G1760" s="105" t="s">
        <v>1661</v>
      </c>
      <c r="H1760" s="104" t="s">
        <v>386</v>
      </c>
      <c r="I1760" s="105" t="s">
        <v>1666</v>
      </c>
      <c r="J1760" t="str">
        <f t="shared" si="58"/>
        <v>9202 - PV Parque Central</v>
      </c>
      <c r="K1760" t="str">
        <f t="shared" si="59"/>
        <v>Postventa</v>
      </c>
    </row>
    <row r="1761" spans="1:11" x14ac:dyDescent="0.25">
      <c r="A1761" s="104">
        <v>10202000</v>
      </c>
      <c r="B1761" s="105" t="s">
        <v>889</v>
      </c>
      <c r="C1761" s="105" t="s">
        <v>1670</v>
      </c>
      <c r="D1761" s="105" t="s">
        <v>1665</v>
      </c>
      <c r="E1761" s="105" t="s">
        <v>1585</v>
      </c>
      <c r="F1761" s="105" t="s">
        <v>889</v>
      </c>
      <c r="G1761" s="105" t="s">
        <v>1661</v>
      </c>
      <c r="H1761" s="104" t="s">
        <v>386</v>
      </c>
      <c r="I1761" s="105" t="s">
        <v>1666</v>
      </c>
      <c r="J1761" t="str">
        <f t="shared" si="58"/>
        <v>10202000 - Parque Central</v>
      </c>
      <c r="K1761" t="str">
        <f t="shared" si="59"/>
        <v>Proyectos Inmobiliarios</v>
      </c>
    </row>
    <row r="1762" spans="1:11" x14ac:dyDescent="0.25">
      <c r="A1762" s="104">
        <v>10202102</v>
      </c>
      <c r="B1762" s="105" t="s">
        <v>890</v>
      </c>
      <c r="C1762" s="105" t="s">
        <v>1670</v>
      </c>
      <c r="D1762" s="105" t="s">
        <v>1665</v>
      </c>
      <c r="E1762" s="105" t="s">
        <v>1617</v>
      </c>
      <c r="F1762" s="105" t="s">
        <v>889</v>
      </c>
      <c r="G1762" s="105" t="s">
        <v>1661</v>
      </c>
      <c r="H1762" s="104" t="s">
        <v>386</v>
      </c>
      <c r="I1762" s="105" t="s">
        <v>1666</v>
      </c>
      <c r="J1762" t="str">
        <f t="shared" si="58"/>
        <v>10202102 - Parque Central-Marketing</v>
      </c>
      <c r="K1762" t="str">
        <f t="shared" si="59"/>
        <v>Proyectos Inmobiliarios</v>
      </c>
    </row>
    <row r="1763" spans="1:11" x14ac:dyDescent="0.25">
      <c r="A1763" s="104">
        <v>10202103</v>
      </c>
      <c r="B1763" s="105" t="s">
        <v>891</v>
      </c>
      <c r="C1763" s="105" t="s">
        <v>1670</v>
      </c>
      <c r="D1763" s="105" t="s">
        <v>1665</v>
      </c>
      <c r="E1763" s="105" t="s">
        <v>1618</v>
      </c>
      <c r="F1763" s="105" t="s">
        <v>889</v>
      </c>
      <c r="G1763" s="105" t="s">
        <v>1661</v>
      </c>
      <c r="H1763" s="104" t="s">
        <v>386</v>
      </c>
      <c r="I1763" s="105" t="s">
        <v>1666</v>
      </c>
      <c r="J1763" t="str">
        <f t="shared" si="58"/>
        <v>10202103 - Parque Central-Operaciones</v>
      </c>
      <c r="K1763" t="str">
        <f t="shared" si="59"/>
        <v>Proyectos Inmobiliarios</v>
      </c>
    </row>
    <row r="1764" spans="1:11" x14ac:dyDescent="0.25">
      <c r="A1764" s="104">
        <v>10202104</v>
      </c>
      <c r="B1764" s="105" t="s">
        <v>892</v>
      </c>
      <c r="C1764" s="105" t="s">
        <v>1670</v>
      </c>
      <c r="D1764" s="105" t="s">
        <v>1665</v>
      </c>
      <c r="E1764" s="105" t="s">
        <v>90</v>
      </c>
      <c r="F1764" s="105" t="s">
        <v>889</v>
      </c>
      <c r="G1764" s="105" t="s">
        <v>1661</v>
      </c>
      <c r="H1764" s="104" t="s">
        <v>386</v>
      </c>
      <c r="I1764" s="105" t="s">
        <v>1666</v>
      </c>
      <c r="J1764" t="str">
        <f t="shared" si="58"/>
        <v>10202104 - Parque Central-Ventas</v>
      </c>
      <c r="K1764" t="str">
        <f t="shared" si="59"/>
        <v>Proyectos Inmobiliarios</v>
      </c>
    </row>
    <row r="1765" spans="1:11" x14ac:dyDescent="0.25">
      <c r="A1765" s="104">
        <v>10202105</v>
      </c>
      <c r="B1765" s="105" t="s">
        <v>893</v>
      </c>
      <c r="C1765" s="105" t="s">
        <v>1670</v>
      </c>
      <c r="D1765" s="105" t="s">
        <v>1665</v>
      </c>
      <c r="E1765" s="105" t="s">
        <v>1622</v>
      </c>
      <c r="F1765" s="105" t="s">
        <v>889</v>
      </c>
      <c r="G1765" s="105" t="s">
        <v>1661</v>
      </c>
      <c r="H1765" s="104" t="s">
        <v>386</v>
      </c>
      <c r="I1765" s="105" t="s">
        <v>1666</v>
      </c>
      <c r="J1765" t="str">
        <f t="shared" si="58"/>
        <v>10202105 - Parque Central-Clientes</v>
      </c>
      <c r="K1765" t="str">
        <f t="shared" si="59"/>
        <v>Proyectos Inmobiliarios</v>
      </c>
    </row>
    <row r="1766" spans="1:11" x14ac:dyDescent="0.25">
      <c r="A1766" s="104">
        <v>10202204</v>
      </c>
      <c r="B1766" s="105" t="s">
        <v>894</v>
      </c>
      <c r="C1766" s="105" t="s">
        <v>1670</v>
      </c>
      <c r="D1766" s="105" t="s">
        <v>1665</v>
      </c>
      <c r="E1766" s="105" t="s">
        <v>1624</v>
      </c>
      <c r="F1766" s="105" t="s">
        <v>889</v>
      </c>
      <c r="G1766" s="105" t="s">
        <v>1661</v>
      </c>
      <c r="H1766" s="104" t="s">
        <v>386</v>
      </c>
      <c r="I1766" s="105" t="s">
        <v>1666</v>
      </c>
      <c r="J1766" t="str">
        <f t="shared" si="58"/>
        <v>10202204 - Parque Central-Proyecto</v>
      </c>
      <c r="K1766" t="str">
        <f t="shared" si="59"/>
        <v>Proyectos Inmobiliarios</v>
      </c>
    </row>
    <row r="1767" spans="1:11" x14ac:dyDescent="0.25">
      <c r="A1767" s="104">
        <v>10202301</v>
      </c>
      <c r="B1767" s="105" t="s">
        <v>895</v>
      </c>
      <c r="C1767" s="105" t="s">
        <v>1670</v>
      </c>
      <c r="D1767" s="105" t="s">
        <v>1665</v>
      </c>
      <c r="E1767" s="105" t="s">
        <v>1643</v>
      </c>
      <c r="F1767" s="105" t="s">
        <v>889</v>
      </c>
      <c r="G1767" s="105" t="s">
        <v>1667</v>
      </c>
      <c r="H1767" s="104" t="s">
        <v>386</v>
      </c>
      <c r="I1767" s="105" t="s">
        <v>1666</v>
      </c>
      <c r="J1767" t="str">
        <f t="shared" si="58"/>
        <v>10202301 - Parque Central-GAF</v>
      </c>
      <c r="K1767" t="str">
        <f t="shared" si="59"/>
        <v>Proyectos Inmobiliarios</v>
      </c>
    </row>
    <row r="1768" spans="1:11" x14ac:dyDescent="0.25">
      <c r="A1768" s="104">
        <v>10202505</v>
      </c>
      <c r="B1768" s="105" t="s">
        <v>896</v>
      </c>
      <c r="C1768" s="105" t="s">
        <v>1670</v>
      </c>
      <c r="D1768" s="105" t="s">
        <v>66</v>
      </c>
      <c r="E1768" s="105" t="s">
        <v>328</v>
      </c>
      <c r="F1768" s="105" t="s">
        <v>889</v>
      </c>
      <c r="G1768" s="105" t="s">
        <v>1661</v>
      </c>
      <c r="H1768" s="104" t="s">
        <v>386</v>
      </c>
      <c r="I1768" s="105" t="s">
        <v>1666</v>
      </c>
      <c r="J1768" t="str">
        <f t="shared" si="58"/>
        <v>10202505 - Parque Central-PV Inmob.</v>
      </c>
      <c r="K1768" t="str">
        <f t="shared" si="59"/>
        <v>Postventa</v>
      </c>
    </row>
    <row r="1769" spans="1:11" x14ac:dyDescent="0.25">
      <c r="A1769" s="104">
        <v>10202506</v>
      </c>
      <c r="B1769" s="105" t="s">
        <v>897</v>
      </c>
      <c r="C1769" s="105" t="s">
        <v>1670</v>
      </c>
      <c r="D1769" s="105" t="s">
        <v>1665</v>
      </c>
      <c r="E1769" s="105" t="s">
        <v>200</v>
      </c>
      <c r="F1769" s="105" t="s">
        <v>889</v>
      </c>
      <c r="G1769" s="105" t="s">
        <v>1661</v>
      </c>
      <c r="H1769" s="104" t="s">
        <v>386</v>
      </c>
      <c r="I1769" s="105" t="s">
        <v>1666</v>
      </c>
      <c r="J1769" t="str">
        <f t="shared" si="58"/>
        <v>10202506 - Parque Central-Depto.Técnico</v>
      </c>
      <c r="K1769" t="str">
        <f t="shared" si="59"/>
        <v>Proyectos Inmobiliarios</v>
      </c>
    </row>
    <row r="1770" spans="1:11" x14ac:dyDescent="0.25">
      <c r="A1770" s="56">
        <v>999999999</v>
      </c>
      <c r="B1770" s="57" t="s">
        <v>1684</v>
      </c>
      <c r="C1770" s="57"/>
      <c r="D1770" s="57" t="s">
        <v>1578</v>
      </c>
      <c r="E1770" s="57" t="s">
        <v>1578</v>
      </c>
      <c r="F1770" s="57" t="s">
        <v>1041</v>
      </c>
      <c r="G1770" s="57" t="s">
        <v>1661</v>
      </c>
      <c r="H1770" s="56" t="s">
        <v>1672</v>
      </c>
      <c r="I1770" s="57" t="s">
        <v>1662</v>
      </c>
      <c r="J1770" t="str">
        <f t="shared" si="58"/>
        <v>999999999 - Terreno Abuelo Proyectos sin Terreno</v>
      </c>
      <c r="K1770" t="str">
        <f t="shared" si="59"/>
        <v>Terreno</v>
      </c>
    </row>
    <row r="1771" spans="1:11" x14ac:dyDescent="0.25">
      <c r="A1771" s="56">
        <v>225</v>
      </c>
      <c r="B1771" s="57" t="s">
        <v>1041</v>
      </c>
      <c r="C1771" s="57" t="s">
        <v>1685</v>
      </c>
      <c r="D1771" s="57" t="s">
        <v>65</v>
      </c>
      <c r="E1771" s="57" t="s">
        <v>65</v>
      </c>
      <c r="F1771" s="57" t="s">
        <v>1041</v>
      </c>
      <c r="G1771" s="57" t="s">
        <v>1663</v>
      </c>
      <c r="H1771" s="56" t="s">
        <v>1672</v>
      </c>
      <c r="I1771" s="57" t="s">
        <v>1664</v>
      </c>
      <c r="J1771" t="str">
        <f t="shared" si="58"/>
        <v>225 - Parque Ingles</v>
      </c>
      <c r="K1771" t="str">
        <f t="shared" si="59"/>
        <v>Obra</v>
      </c>
    </row>
    <row r="1772" spans="1:11" x14ac:dyDescent="0.25">
      <c r="A1772" s="56">
        <v>8225</v>
      </c>
      <c r="B1772" s="57" t="s">
        <v>520</v>
      </c>
      <c r="C1772" s="57" t="s">
        <v>1685</v>
      </c>
      <c r="D1772" s="57" t="s">
        <v>1686</v>
      </c>
      <c r="E1772" s="57" t="s">
        <v>1501</v>
      </c>
      <c r="F1772" s="57" t="s">
        <v>1041</v>
      </c>
      <c r="G1772" s="57" t="s">
        <v>1661</v>
      </c>
      <c r="H1772" s="56" t="s">
        <v>386</v>
      </c>
      <c r="I1772" s="57" t="s">
        <v>1666</v>
      </c>
      <c r="J1772" t="str">
        <f t="shared" si="58"/>
        <v>8225 - Entrega Parque Ingles</v>
      </c>
      <c r="K1772" t="str">
        <f t="shared" si="59"/>
        <v>Entrega</v>
      </c>
    </row>
    <row r="1773" spans="1:11" x14ac:dyDescent="0.25">
      <c r="A1773" s="56">
        <v>9225</v>
      </c>
      <c r="B1773" s="57" t="s">
        <v>645</v>
      </c>
      <c r="C1773" s="57" t="s">
        <v>1685</v>
      </c>
      <c r="D1773" s="57" t="s">
        <v>66</v>
      </c>
      <c r="E1773" s="57" t="s">
        <v>328</v>
      </c>
      <c r="F1773" s="57" t="s">
        <v>1041</v>
      </c>
      <c r="G1773" s="57" t="s">
        <v>1661</v>
      </c>
      <c r="H1773" s="56" t="s">
        <v>386</v>
      </c>
      <c r="I1773" s="57" t="s">
        <v>1666</v>
      </c>
      <c r="J1773" t="str">
        <f t="shared" si="58"/>
        <v>9225 - PV Parque Ingles</v>
      </c>
      <c r="K1773" t="str">
        <f t="shared" si="59"/>
        <v>Postventa</v>
      </c>
    </row>
    <row r="1774" spans="1:11" x14ac:dyDescent="0.25">
      <c r="A1774" s="56">
        <v>10225000</v>
      </c>
      <c r="B1774" s="57" t="s">
        <v>1041</v>
      </c>
      <c r="C1774" s="57" t="s">
        <v>1685</v>
      </c>
      <c r="D1774" s="57" t="s">
        <v>1665</v>
      </c>
      <c r="E1774" s="57" t="s">
        <v>1585</v>
      </c>
      <c r="F1774" s="57" t="s">
        <v>1041</v>
      </c>
      <c r="G1774" s="57" t="s">
        <v>1661</v>
      </c>
      <c r="H1774" s="56" t="s">
        <v>386</v>
      </c>
      <c r="I1774" s="57" t="s">
        <v>1666</v>
      </c>
      <c r="J1774" t="str">
        <f t="shared" si="58"/>
        <v>10225000 - Parque Ingles</v>
      </c>
      <c r="K1774" t="str">
        <f t="shared" si="59"/>
        <v>Proyectos Inmobiliarios</v>
      </c>
    </row>
    <row r="1775" spans="1:11" x14ac:dyDescent="0.25">
      <c r="A1775" s="56">
        <v>10225102</v>
      </c>
      <c r="B1775" s="57" t="s">
        <v>1042</v>
      </c>
      <c r="C1775" s="57" t="s">
        <v>1685</v>
      </c>
      <c r="D1775" s="57" t="s">
        <v>1665</v>
      </c>
      <c r="E1775" s="57" t="s">
        <v>1617</v>
      </c>
      <c r="F1775" s="57" t="s">
        <v>1041</v>
      </c>
      <c r="G1775" s="57" t="s">
        <v>1661</v>
      </c>
      <c r="H1775" s="56" t="s">
        <v>386</v>
      </c>
      <c r="I1775" s="57" t="s">
        <v>1666</v>
      </c>
      <c r="J1775" t="str">
        <f t="shared" si="58"/>
        <v>10225102 - Parque Ingles-Marketing</v>
      </c>
      <c r="K1775" t="str">
        <f t="shared" si="59"/>
        <v>Proyectos Inmobiliarios</v>
      </c>
    </row>
    <row r="1776" spans="1:11" x14ac:dyDescent="0.25">
      <c r="A1776" s="56">
        <v>10225103</v>
      </c>
      <c r="B1776" s="57" t="s">
        <v>1043</v>
      </c>
      <c r="C1776" s="57" t="s">
        <v>1685</v>
      </c>
      <c r="D1776" s="57" t="s">
        <v>1665</v>
      </c>
      <c r="E1776" s="57" t="s">
        <v>1618</v>
      </c>
      <c r="F1776" s="57" t="s">
        <v>1041</v>
      </c>
      <c r="G1776" s="57" t="s">
        <v>1661</v>
      </c>
      <c r="H1776" s="56" t="s">
        <v>386</v>
      </c>
      <c r="I1776" s="57" t="s">
        <v>1666</v>
      </c>
      <c r="J1776" t="str">
        <f t="shared" si="58"/>
        <v>10225103 - Parque Ingles-Operaciones</v>
      </c>
      <c r="K1776" t="str">
        <f t="shared" si="59"/>
        <v>Proyectos Inmobiliarios</v>
      </c>
    </row>
    <row r="1777" spans="1:11" x14ac:dyDescent="0.25">
      <c r="A1777" s="56">
        <v>10225104</v>
      </c>
      <c r="B1777" s="57" t="s">
        <v>1044</v>
      </c>
      <c r="C1777" s="57" t="s">
        <v>1685</v>
      </c>
      <c r="D1777" s="57" t="s">
        <v>1665</v>
      </c>
      <c r="E1777" s="57" t="s">
        <v>90</v>
      </c>
      <c r="F1777" s="57" t="s">
        <v>1041</v>
      </c>
      <c r="G1777" s="57" t="s">
        <v>1661</v>
      </c>
      <c r="H1777" s="56" t="s">
        <v>386</v>
      </c>
      <c r="I1777" s="57" t="s">
        <v>1666</v>
      </c>
      <c r="J1777" t="str">
        <f t="shared" si="58"/>
        <v>10225104 - Parque Ingles-Ventas</v>
      </c>
      <c r="K1777" t="str">
        <f t="shared" si="59"/>
        <v>Proyectos Inmobiliarios</v>
      </c>
    </row>
    <row r="1778" spans="1:11" x14ac:dyDescent="0.25">
      <c r="A1778" s="56">
        <v>10225105</v>
      </c>
      <c r="B1778" s="57" t="s">
        <v>1045</v>
      </c>
      <c r="C1778" s="57" t="s">
        <v>1685</v>
      </c>
      <c r="D1778" s="57" t="s">
        <v>1665</v>
      </c>
      <c r="E1778" s="57" t="s">
        <v>1622</v>
      </c>
      <c r="F1778" s="57" t="s">
        <v>1041</v>
      </c>
      <c r="G1778" s="57" t="s">
        <v>1661</v>
      </c>
      <c r="H1778" s="56" t="s">
        <v>386</v>
      </c>
      <c r="I1778" s="57" t="s">
        <v>1666</v>
      </c>
      <c r="J1778" t="str">
        <f t="shared" si="58"/>
        <v>10225105 - Parque Ingles-Clientes</v>
      </c>
      <c r="K1778" t="str">
        <f t="shared" si="59"/>
        <v>Proyectos Inmobiliarios</v>
      </c>
    </row>
    <row r="1779" spans="1:11" x14ac:dyDescent="0.25">
      <c r="A1779" s="56">
        <v>10225204</v>
      </c>
      <c r="B1779" s="57" t="s">
        <v>1046</v>
      </c>
      <c r="C1779" s="57" t="s">
        <v>1685</v>
      </c>
      <c r="D1779" s="57" t="s">
        <v>1665</v>
      </c>
      <c r="E1779" s="57" t="s">
        <v>1624</v>
      </c>
      <c r="F1779" s="57" t="s">
        <v>1041</v>
      </c>
      <c r="G1779" s="57" t="s">
        <v>1661</v>
      </c>
      <c r="H1779" s="56" t="s">
        <v>386</v>
      </c>
      <c r="I1779" s="57" t="s">
        <v>1666</v>
      </c>
      <c r="J1779" t="str">
        <f t="shared" si="58"/>
        <v>10225204 - Parque Ingles-Proyecto</v>
      </c>
      <c r="K1779" t="str">
        <f t="shared" si="59"/>
        <v>Proyectos Inmobiliarios</v>
      </c>
    </row>
    <row r="1780" spans="1:11" x14ac:dyDescent="0.25">
      <c r="A1780" s="56">
        <v>10225301</v>
      </c>
      <c r="B1780" s="57" t="s">
        <v>1047</v>
      </c>
      <c r="C1780" s="57" t="s">
        <v>1685</v>
      </c>
      <c r="D1780" s="57" t="s">
        <v>1665</v>
      </c>
      <c r="E1780" s="57" t="s">
        <v>1643</v>
      </c>
      <c r="F1780" s="57" t="s">
        <v>1041</v>
      </c>
      <c r="G1780" s="57" t="s">
        <v>1667</v>
      </c>
      <c r="H1780" s="56" t="s">
        <v>386</v>
      </c>
      <c r="I1780" s="57" t="s">
        <v>1666</v>
      </c>
      <c r="J1780" t="str">
        <f t="shared" si="58"/>
        <v>10225301 - Parque Ingles-GAF</v>
      </c>
      <c r="K1780" t="str">
        <f t="shared" si="59"/>
        <v>Proyectos Inmobiliarios</v>
      </c>
    </row>
    <row r="1781" spans="1:11" x14ac:dyDescent="0.25">
      <c r="A1781" s="56">
        <v>10225505</v>
      </c>
      <c r="B1781" s="57" t="s">
        <v>1048</v>
      </c>
      <c r="C1781" s="57" t="s">
        <v>1685</v>
      </c>
      <c r="D1781" s="57" t="s">
        <v>66</v>
      </c>
      <c r="E1781" s="57" t="s">
        <v>328</v>
      </c>
      <c r="F1781" s="57" t="s">
        <v>1041</v>
      </c>
      <c r="G1781" s="57" t="s">
        <v>1661</v>
      </c>
      <c r="H1781" s="56" t="s">
        <v>386</v>
      </c>
      <c r="I1781" s="57" t="s">
        <v>1666</v>
      </c>
      <c r="J1781" t="str">
        <f t="shared" si="58"/>
        <v>10225505 - Parque Ingles-PV Inmob.</v>
      </c>
      <c r="K1781" t="str">
        <f t="shared" si="59"/>
        <v>Postventa</v>
      </c>
    </row>
    <row r="1782" spans="1:11" x14ac:dyDescent="0.25">
      <c r="A1782" s="56">
        <v>10225506</v>
      </c>
      <c r="B1782" s="57" t="s">
        <v>1049</v>
      </c>
      <c r="C1782" s="57" t="s">
        <v>1685</v>
      </c>
      <c r="D1782" s="57" t="s">
        <v>1665</v>
      </c>
      <c r="E1782" s="57" t="s">
        <v>200</v>
      </c>
      <c r="F1782" s="57" t="s">
        <v>1041</v>
      </c>
      <c r="G1782" s="57" t="s">
        <v>1661</v>
      </c>
      <c r="H1782" s="56" t="s">
        <v>386</v>
      </c>
      <c r="I1782" s="57" t="s">
        <v>1666</v>
      </c>
      <c r="J1782" t="str">
        <f t="shared" si="58"/>
        <v>10225506 - Parque Ingles-Depto.Técnico</v>
      </c>
      <c r="K1782" t="str">
        <f t="shared" si="59"/>
        <v>Proyectos Inmobiliarios</v>
      </c>
    </row>
    <row r="1783" spans="1:11" x14ac:dyDescent="0.25">
      <c r="A1783" s="50">
        <v>999999999</v>
      </c>
      <c r="B1783" s="51" t="s">
        <v>1684</v>
      </c>
      <c r="C1783" s="51"/>
      <c r="D1783" s="51" t="s">
        <v>1578</v>
      </c>
      <c r="E1783" s="51" t="s">
        <v>1578</v>
      </c>
      <c r="F1783" s="51" t="s">
        <v>2356</v>
      </c>
      <c r="G1783" s="51" t="s">
        <v>1661</v>
      </c>
      <c r="H1783" s="50" t="s">
        <v>1672</v>
      </c>
      <c r="I1783" s="51" t="s">
        <v>1662</v>
      </c>
      <c r="J1783" t="str">
        <f t="shared" si="58"/>
        <v>999999999 - Terreno Abuelo Proyectos sin Terreno</v>
      </c>
      <c r="K1783" t="str">
        <f t="shared" si="59"/>
        <v>Terreno</v>
      </c>
    </row>
    <row r="1784" spans="1:11" x14ac:dyDescent="0.25">
      <c r="A1784" s="50">
        <v>21</v>
      </c>
      <c r="B1784" s="51" t="s">
        <v>2357</v>
      </c>
      <c r="C1784" s="51" t="s">
        <v>1685</v>
      </c>
      <c r="D1784" s="51" t="s">
        <v>65</v>
      </c>
      <c r="E1784" s="51" t="s">
        <v>65</v>
      </c>
      <c r="F1784" s="51" t="s">
        <v>2356</v>
      </c>
      <c r="G1784" s="51" t="s">
        <v>1663</v>
      </c>
      <c r="H1784" s="50" t="s">
        <v>1672</v>
      </c>
      <c r="I1784" s="51" t="s">
        <v>1664</v>
      </c>
      <c r="J1784" t="str">
        <f t="shared" si="58"/>
        <v>21 - Edificio Los Castaños</v>
      </c>
      <c r="K1784" t="str">
        <f t="shared" si="59"/>
        <v>Obra</v>
      </c>
    </row>
    <row r="1785" spans="1:11" x14ac:dyDescent="0.25">
      <c r="A1785" s="50">
        <v>9021</v>
      </c>
      <c r="B1785" s="51" t="s">
        <v>571</v>
      </c>
      <c r="C1785" s="51" t="s">
        <v>1685</v>
      </c>
      <c r="D1785" s="51" t="s">
        <v>66</v>
      </c>
      <c r="E1785" s="51" t="s">
        <v>328</v>
      </c>
      <c r="F1785" s="51" t="s">
        <v>2356</v>
      </c>
      <c r="G1785" s="51" t="s">
        <v>1661</v>
      </c>
      <c r="H1785" s="50" t="s">
        <v>386</v>
      </c>
      <c r="I1785" s="51" t="s">
        <v>1666</v>
      </c>
      <c r="J1785" t="str">
        <f t="shared" si="58"/>
        <v>9021 - PV Los Castaños</v>
      </c>
      <c r="K1785" t="str">
        <f t="shared" si="59"/>
        <v>Postventa</v>
      </c>
    </row>
    <row r="1786" spans="1:11" x14ac:dyDescent="0.25">
      <c r="A1786" s="50">
        <v>10004000</v>
      </c>
      <c r="B1786" s="51" t="s">
        <v>2356</v>
      </c>
      <c r="C1786" s="51" t="s">
        <v>1685</v>
      </c>
      <c r="D1786" s="51" t="s">
        <v>1665</v>
      </c>
      <c r="E1786" s="51" t="s">
        <v>1585</v>
      </c>
      <c r="F1786" s="51" t="s">
        <v>2356</v>
      </c>
      <c r="G1786" s="51" t="s">
        <v>1667</v>
      </c>
      <c r="H1786" s="50" t="s">
        <v>1672</v>
      </c>
      <c r="I1786" s="51" t="s">
        <v>1666</v>
      </c>
      <c r="J1786" t="str">
        <f t="shared" si="58"/>
        <v>10004000 - Parque Los Castaños</v>
      </c>
      <c r="K1786" t="str">
        <f t="shared" si="59"/>
        <v>Proyectos Inmobiliarios</v>
      </c>
    </row>
    <row r="1787" spans="1:11" x14ac:dyDescent="0.25">
      <c r="A1787" s="50">
        <v>10004102</v>
      </c>
      <c r="B1787" s="51" t="s">
        <v>2358</v>
      </c>
      <c r="C1787" s="51" t="s">
        <v>1685</v>
      </c>
      <c r="D1787" s="51" t="s">
        <v>1665</v>
      </c>
      <c r="E1787" s="51" t="s">
        <v>1617</v>
      </c>
      <c r="F1787" s="51" t="s">
        <v>2356</v>
      </c>
      <c r="G1787" s="51" t="s">
        <v>1661</v>
      </c>
      <c r="H1787" s="50" t="s">
        <v>1672</v>
      </c>
      <c r="I1787" s="51" t="s">
        <v>1666</v>
      </c>
      <c r="J1787" t="str">
        <f t="shared" si="58"/>
        <v>10004102 - Parque Los Castaños-Marketing</v>
      </c>
      <c r="K1787" t="str">
        <f t="shared" si="59"/>
        <v>Proyectos Inmobiliarios</v>
      </c>
    </row>
    <row r="1788" spans="1:11" x14ac:dyDescent="0.25">
      <c r="A1788" s="50">
        <v>10004103</v>
      </c>
      <c r="B1788" s="51" t="s">
        <v>2359</v>
      </c>
      <c r="C1788" s="51" t="s">
        <v>1685</v>
      </c>
      <c r="D1788" s="51" t="s">
        <v>1665</v>
      </c>
      <c r="E1788" s="51" t="s">
        <v>1618</v>
      </c>
      <c r="F1788" s="51" t="s">
        <v>2356</v>
      </c>
      <c r="G1788" s="51" t="s">
        <v>1661</v>
      </c>
      <c r="H1788" s="50" t="s">
        <v>1672</v>
      </c>
      <c r="I1788" s="51" t="s">
        <v>1666</v>
      </c>
      <c r="J1788" t="str">
        <f t="shared" si="58"/>
        <v>10004103 - Parque Los Castaños-Operaciones</v>
      </c>
      <c r="K1788" t="str">
        <f t="shared" si="59"/>
        <v>Proyectos Inmobiliarios</v>
      </c>
    </row>
    <row r="1789" spans="1:11" x14ac:dyDescent="0.25">
      <c r="A1789" s="50">
        <v>10004104</v>
      </c>
      <c r="B1789" s="51" t="s">
        <v>2360</v>
      </c>
      <c r="C1789" s="51" t="s">
        <v>1685</v>
      </c>
      <c r="D1789" s="51" t="s">
        <v>1665</v>
      </c>
      <c r="E1789" s="51" t="s">
        <v>90</v>
      </c>
      <c r="F1789" s="51" t="s">
        <v>2356</v>
      </c>
      <c r="G1789" s="51" t="s">
        <v>1661</v>
      </c>
      <c r="H1789" s="50" t="s">
        <v>1672</v>
      </c>
      <c r="I1789" s="51" t="s">
        <v>1666</v>
      </c>
      <c r="J1789" t="str">
        <f t="shared" si="58"/>
        <v>10004104 - Parque Los Castaños-Ventas</v>
      </c>
      <c r="K1789" t="str">
        <f t="shared" si="59"/>
        <v>Proyectos Inmobiliarios</v>
      </c>
    </row>
    <row r="1790" spans="1:11" x14ac:dyDescent="0.25">
      <c r="A1790" s="50">
        <v>10004105</v>
      </c>
      <c r="B1790" s="51" t="s">
        <v>2361</v>
      </c>
      <c r="C1790" s="51" t="s">
        <v>1685</v>
      </c>
      <c r="D1790" s="51" t="s">
        <v>1665</v>
      </c>
      <c r="E1790" s="51" t="s">
        <v>1622</v>
      </c>
      <c r="F1790" s="51" t="s">
        <v>2356</v>
      </c>
      <c r="G1790" s="51" t="s">
        <v>1661</v>
      </c>
      <c r="H1790" s="50" t="s">
        <v>1672</v>
      </c>
      <c r="I1790" s="51" t="s">
        <v>1666</v>
      </c>
      <c r="J1790" t="str">
        <f t="shared" si="58"/>
        <v>10004105 - Parque Los Castaños-Clientes</v>
      </c>
      <c r="K1790" t="str">
        <f t="shared" si="59"/>
        <v>Proyectos Inmobiliarios</v>
      </c>
    </row>
    <row r="1791" spans="1:11" x14ac:dyDescent="0.25">
      <c r="A1791" s="50">
        <v>10004205</v>
      </c>
      <c r="B1791" s="51" t="s">
        <v>2362</v>
      </c>
      <c r="C1791" s="51" t="s">
        <v>1685</v>
      </c>
      <c r="D1791" s="51" t="s">
        <v>1665</v>
      </c>
      <c r="E1791" s="51" t="s">
        <v>1624</v>
      </c>
      <c r="F1791" s="51" t="s">
        <v>2356</v>
      </c>
      <c r="G1791" s="51" t="s">
        <v>1661</v>
      </c>
      <c r="H1791" s="50" t="s">
        <v>1672</v>
      </c>
      <c r="I1791" s="51" t="s">
        <v>1666</v>
      </c>
      <c r="J1791" t="str">
        <f t="shared" si="58"/>
        <v>10004205 - Parque Los Castaños-Proyecto</v>
      </c>
      <c r="K1791" t="str">
        <f t="shared" si="59"/>
        <v>Proyectos Inmobiliarios</v>
      </c>
    </row>
    <row r="1792" spans="1:11" x14ac:dyDescent="0.25">
      <c r="A1792" s="50">
        <v>10004301</v>
      </c>
      <c r="B1792" s="51" t="s">
        <v>2363</v>
      </c>
      <c r="C1792" s="51" t="s">
        <v>1685</v>
      </c>
      <c r="D1792" s="51" t="s">
        <v>1665</v>
      </c>
      <c r="E1792" s="51" t="s">
        <v>1643</v>
      </c>
      <c r="F1792" s="51" t="s">
        <v>2356</v>
      </c>
      <c r="G1792" s="51" t="s">
        <v>1667</v>
      </c>
      <c r="H1792" s="50" t="s">
        <v>1672</v>
      </c>
      <c r="I1792" s="51" t="s">
        <v>1666</v>
      </c>
      <c r="J1792" t="str">
        <f t="shared" si="58"/>
        <v>10004301 - Parque Los Castaños-GAF</v>
      </c>
      <c r="K1792" t="str">
        <f t="shared" si="59"/>
        <v>Proyectos Inmobiliarios</v>
      </c>
    </row>
    <row r="1793" spans="1:11" x14ac:dyDescent="0.25">
      <c r="A1793" s="50">
        <v>10004506</v>
      </c>
      <c r="B1793" s="51" t="s">
        <v>2364</v>
      </c>
      <c r="C1793" s="51" t="s">
        <v>1685</v>
      </c>
      <c r="D1793" s="51" t="s">
        <v>1665</v>
      </c>
      <c r="E1793" s="51" t="s">
        <v>200</v>
      </c>
      <c r="F1793" s="51" t="s">
        <v>2356</v>
      </c>
      <c r="G1793" s="51" t="s">
        <v>1661</v>
      </c>
      <c r="H1793" s="50" t="s">
        <v>1672</v>
      </c>
      <c r="I1793" s="51" t="s">
        <v>1666</v>
      </c>
      <c r="J1793" t="str">
        <f t="shared" si="58"/>
        <v>10004506 - Parque Los Castaños-Depto.Técnico</v>
      </c>
      <c r="K1793" t="str">
        <f t="shared" si="59"/>
        <v>Proyectos Inmobiliarios</v>
      </c>
    </row>
    <row r="1794" spans="1:11" x14ac:dyDescent="0.25">
      <c r="A1794" s="43">
        <v>1096202</v>
      </c>
      <c r="B1794" t="s">
        <v>739</v>
      </c>
      <c r="C1794" t="s">
        <v>1685</v>
      </c>
      <c r="D1794" t="s">
        <v>1578</v>
      </c>
      <c r="E1794" t="s">
        <v>1578</v>
      </c>
      <c r="F1794" t="s">
        <v>2365</v>
      </c>
      <c r="G1794" t="s">
        <v>1661</v>
      </c>
      <c r="H1794" s="43" t="s">
        <v>386</v>
      </c>
      <c r="I1794" t="s">
        <v>1662</v>
      </c>
      <c r="J1794" t="str">
        <f t="shared" si="58"/>
        <v>1096202 - Terreno Alto Viña II – Inversiones</v>
      </c>
      <c r="K1794" t="str">
        <f t="shared" si="59"/>
        <v>Terreno</v>
      </c>
    </row>
    <row r="1795" spans="1:11" x14ac:dyDescent="0.25">
      <c r="A1795" s="54">
        <v>363</v>
      </c>
      <c r="B1795" s="55" t="s">
        <v>497</v>
      </c>
      <c r="C1795" s="55" t="s">
        <v>1685</v>
      </c>
      <c r="D1795" s="55" t="s">
        <v>65</v>
      </c>
      <c r="E1795" s="55" t="s">
        <v>65</v>
      </c>
      <c r="F1795" s="55" t="s">
        <v>497</v>
      </c>
      <c r="G1795" s="55" t="s">
        <v>1663</v>
      </c>
      <c r="H1795" s="54" t="s">
        <v>386</v>
      </c>
      <c r="I1795" s="55" t="s">
        <v>1664</v>
      </c>
      <c r="J1795" t="str">
        <f t="shared" si="58"/>
        <v>363 - Parque Marañon Torre A</v>
      </c>
      <c r="K1795" t="str">
        <f t="shared" si="59"/>
        <v>Obra</v>
      </c>
    </row>
    <row r="1796" spans="1:11" x14ac:dyDescent="0.25">
      <c r="A1796" s="54">
        <v>10304000</v>
      </c>
      <c r="B1796" s="55" t="s">
        <v>497</v>
      </c>
      <c r="C1796" s="55" t="s">
        <v>1685</v>
      </c>
      <c r="D1796" s="55" t="s">
        <v>1665</v>
      </c>
      <c r="E1796" s="55" t="s">
        <v>1585</v>
      </c>
      <c r="F1796" s="55" t="s">
        <v>497</v>
      </c>
      <c r="G1796" s="55" t="s">
        <v>1661</v>
      </c>
      <c r="H1796" s="54" t="s">
        <v>386</v>
      </c>
      <c r="I1796" s="55" t="s">
        <v>1666</v>
      </c>
      <c r="J1796" t="str">
        <f t="shared" si="58"/>
        <v>10304000 - Parque Marañon Torre A</v>
      </c>
      <c r="K1796" t="str">
        <f t="shared" si="59"/>
        <v>Proyectos Inmobiliarios</v>
      </c>
    </row>
    <row r="1797" spans="1:11" x14ac:dyDescent="0.25">
      <c r="A1797" s="54">
        <v>10304102</v>
      </c>
      <c r="B1797" s="55" t="s">
        <v>1379</v>
      </c>
      <c r="C1797" s="55" t="s">
        <v>1685</v>
      </c>
      <c r="D1797" s="55" t="s">
        <v>1665</v>
      </c>
      <c r="E1797" s="55" t="s">
        <v>1617</v>
      </c>
      <c r="F1797" s="55" t="s">
        <v>497</v>
      </c>
      <c r="G1797" s="55" t="s">
        <v>1661</v>
      </c>
      <c r="H1797" s="54" t="s">
        <v>386</v>
      </c>
      <c r="I1797" s="55" t="s">
        <v>1666</v>
      </c>
      <c r="J1797" t="str">
        <f t="shared" si="58"/>
        <v>10304102 - Parque Marañon Torre A-Marketing</v>
      </c>
      <c r="K1797" t="str">
        <f t="shared" si="59"/>
        <v>Proyectos Inmobiliarios</v>
      </c>
    </row>
    <row r="1798" spans="1:11" x14ac:dyDescent="0.25">
      <c r="A1798" s="54">
        <v>10304103</v>
      </c>
      <c r="B1798" s="55" t="s">
        <v>1380</v>
      </c>
      <c r="C1798" s="55" t="s">
        <v>1685</v>
      </c>
      <c r="D1798" s="55" t="s">
        <v>1665</v>
      </c>
      <c r="E1798" s="55" t="s">
        <v>1618</v>
      </c>
      <c r="F1798" s="55" t="s">
        <v>497</v>
      </c>
      <c r="G1798" s="55" t="s">
        <v>1661</v>
      </c>
      <c r="H1798" s="54" t="s">
        <v>386</v>
      </c>
      <c r="I1798" s="55" t="s">
        <v>1666</v>
      </c>
      <c r="J1798" t="str">
        <f t="shared" si="58"/>
        <v>10304103 - Parque Marañon Torre A-Operaciones</v>
      </c>
      <c r="K1798" t="str">
        <f t="shared" si="59"/>
        <v>Proyectos Inmobiliarios</v>
      </c>
    </row>
    <row r="1799" spans="1:11" x14ac:dyDescent="0.25">
      <c r="A1799" s="54">
        <v>10304104</v>
      </c>
      <c r="B1799" s="55" t="s">
        <v>1381</v>
      </c>
      <c r="C1799" s="55" t="s">
        <v>1685</v>
      </c>
      <c r="D1799" s="55" t="s">
        <v>1665</v>
      </c>
      <c r="E1799" s="55" t="s">
        <v>90</v>
      </c>
      <c r="F1799" s="55" t="s">
        <v>497</v>
      </c>
      <c r="G1799" s="55" t="s">
        <v>1661</v>
      </c>
      <c r="H1799" s="54" t="s">
        <v>386</v>
      </c>
      <c r="I1799" s="55" t="s">
        <v>1666</v>
      </c>
      <c r="J1799" t="str">
        <f t="shared" si="58"/>
        <v>10304104 - Parque Marañon Torre A-Ventas</v>
      </c>
      <c r="K1799" t="str">
        <f t="shared" si="59"/>
        <v>Proyectos Inmobiliarios</v>
      </c>
    </row>
    <row r="1800" spans="1:11" x14ac:dyDescent="0.25">
      <c r="A1800" s="54">
        <v>10304105</v>
      </c>
      <c r="B1800" s="55" t="s">
        <v>1382</v>
      </c>
      <c r="C1800" s="55" t="s">
        <v>1685</v>
      </c>
      <c r="D1800" s="55" t="s">
        <v>1665</v>
      </c>
      <c r="E1800" s="55" t="s">
        <v>1622</v>
      </c>
      <c r="F1800" s="55" t="s">
        <v>497</v>
      </c>
      <c r="G1800" s="55" t="s">
        <v>1661</v>
      </c>
      <c r="H1800" s="54" t="s">
        <v>386</v>
      </c>
      <c r="I1800" s="55" t="s">
        <v>1666</v>
      </c>
      <c r="J1800" t="str">
        <f t="shared" si="58"/>
        <v>10304105 - Parque Marañon Torre A-Clientes</v>
      </c>
      <c r="K1800" t="str">
        <f t="shared" si="59"/>
        <v>Proyectos Inmobiliarios</v>
      </c>
    </row>
    <row r="1801" spans="1:11" x14ac:dyDescent="0.25">
      <c r="A1801" s="54">
        <v>10304204</v>
      </c>
      <c r="B1801" s="55" t="s">
        <v>1383</v>
      </c>
      <c r="C1801" s="55" t="s">
        <v>1685</v>
      </c>
      <c r="D1801" s="55" t="s">
        <v>1665</v>
      </c>
      <c r="E1801" s="55" t="s">
        <v>1624</v>
      </c>
      <c r="F1801" s="55" t="s">
        <v>497</v>
      </c>
      <c r="G1801" s="55" t="s">
        <v>1661</v>
      </c>
      <c r="H1801" s="54" t="s">
        <v>386</v>
      </c>
      <c r="I1801" s="55" t="s">
        <v>1666</v>
      </c>
      <c r="J1801" t="str">
        <f t="shared" si="58"/>
        <v>10304204 - Parque Marañon Torre A-Proyecto</v>
      </c>
      <c r="K1801" t="str">
        <f t="shared" si="59"/>
        <v>Proyectos Inmobiliarios</v>
      </c>
    </row>
    <row r="1802" spans="1:11" x14ac:dyDescent="0.25">
      <c r="A1802" s="54">
        <v>10304301</v>
      </c>
      <c r="B1802" s="55" t="s">
        <v>1384</v>
      </c>
      <c r="C1802" s="55" t="s">
        <v>1685</v>
      </c>
      <c r="D1802" s="55" t="s">
        <v>1665</v>
      </c>
      <c r="E1802" s="55" t="s">
        <v>1643</v>
      </c>
      <c r="F1802" s="55" t="s">
        <v>497</v>
      </c>
      <c r="G1802" s="55" t="s">
        <v>1667</v>
      </c>
      <c r="H1802" s="54" t="s">
        <v>386</v>
      </c>
      <c r="I1802" s="55" t="s">
        <v>1666</v>
      </c>
      <c r="J1802" t="str">
        <f t="shared" si="58"/>
        <v>10304301 - Parque Marañon Torre A-GAF</v>
      </c>
      <c r="K1802" t="str">
        <f t="shared" si="59"/>
        <v>Proyectos Inmobiliarios</v>
      </c>
    </row>
    <row r="1803" spans="1:11" x14ac:dyDescent="0.25">
      <c r="A1803" s="54">
        <v>10304505</v>
      </c>
      <c r="B1803" s="55" t="s">
        <v>1385</v>
      </c>
      <c r="C1803" s="55" t="s">
        <v>1685</v>
      </c>
      <c r="D1803" s="55" t="s">
        <v>66</v>
      </c>
      <c r="E1803" s="55" t="s">
        <v>328</v>
      </c>
      <c r="F1803" s="55" t="s">
        <v>497</v>
      </c>
      <c r="G1803" s="55" t="s">
        <v>1661</v>
      </c>
      <c r="H1803" s="54" t="s">
        <v>386</v>
      </c>
      <c r="I1803" s="55" t="s">
        <v>1666</v>
      </c>
      <c r="J1803" t="str">
        <f t="shared" si="58"/>
        <v>10304505 - Parque Marañon Torre A-PV Inmob.</v>
      </c>
      <c r="K1803" t="str">
        <f t="shared" si="59"/>
        <v>Postventa</v>
      </c>
    </row>
    <row r="1804" spans="1:11" x14ac:dyDescent="0.25">
      <c r="A1804" s="54">
        <v>10304506</v>
      </c>
      <c r="B1804" s="55" t="s">
        <v>1386</v>
      </c>
      <c r="C1804" s="55" t="s">
        <v>1685</v>
      </c>
      <c r="D1804" s="55" t="s">
        <v>1665</v>
      </c>
      <c r="E1804" s="55" t="s">
        <v>200</v>
      </c>
      <c r="F1804" s="55" t="s">
        <v>497</v>
      </c>
      <c r="G1804" s="55" t="s">
        <v>1661</v>
      </c>
      <c r="H1804" s="54" t="s">
        <v>386</v>
      </c>
      <c r="I1804" s="55" t="s">
        <v>1666</v>
      </c>
      <c r="J1804" t="str">
        <f t="shared" si="58"/>
        <v>10304506 - Parque Marañon Torre A-Depto.Técnico</v>
      </c>
      <c r="K1804" t="str">
        <f t="shared" si="59"/>
        <v>Proyectos Inmobiliarios</v>
      </c>
    </row>
    <row r="1805" spans="1:11" x14ac:dyDescent="0.25">
      <c r="A1805" s="54">
        <v>8363</v>
      </c>
      <c r="B1805" s="55" t="s">
        <v>2366</v>
      </c>
      <c r="C1805" s="55" t="s">
        <v>1685</v>
      </c>
      <c r="D1805" s="55" t="s">
        <v>1686</v>
      </c>
      <c r="E1805" s="55" t="s">
        <v>1501</v>
      </c>
      <c r="F1805" s="55" t="s">
        <v>497</v>
      </c>
      <c r="G1805" s="55" t="s">
        <v>1661</v>
      </c>
      <c r="H1805" s="54" t="s">
        <v>1672</v>
      </c>
      <c r="I1805" s="55" t="s">
        <v>1666</v>
      </c>
      <c r="J1805" t="str">
        <f t="shared" si="58"/>
        <v>8363 - Entrega Parque Marañon Torre A</v>
      </c>
      <c r="K1805" t="str">
        <f t="shared" si="59"/>
        <v>Entrega</v>
      </c>
    </row>
    <row r="1806" spans="1:11" x14ac:dyDescent="0.25">
      <c r="A1806" s="54">
        <v>9363</v>
      </c>
      <c r="B1806" s="55" t="s">
        <v>2367</v>
      </c>
      <c r="C1806" s="55" t="s">
        <v>1685</v>
      </c>
      <c r="D1806" s="55" t="s">
        <v>66</v>
      </c>
      <c r="E1806" s="55" t="s">
        <v>328</v>
      </c>
      <c r="F1806" s="55" t="s">
        <v>497</v>
      </c>
      <c r="G1806" s="55" t="s">
        <v>1661</v>
      </c>
      <c r="H1806" s="54" t="s">
        <v>1672</v>
      </c>
      <c r="I1806" s="55" t="s">
        <v>1666</v>
      </c>
      <c r="J1806" t="str">
        <f t="shared" si="58"/>
        <v>9363 - PV Parque Marañon Torre A</v>
      </c>
      <c r="K1806" t="str">
        <f t="shared" si="59"/>
        <v>Postventa</v>
      </c>
    </row>
    <row r="1807" spans="1:11" x14ac:dyDescent="0.25">
      <c r="A1807" s="58">
        <v>241</v>
      </c>
      <c r="B1807" s="59" t="s">
        <v>1160</v>
      </c>
      <c r="C1807" s="59" t="s">
        <v>1685</v>
      </c>
      <c r="D1807" s="59" t="s">
        <v>65</v>
      </c>
      <c r="E1807" s="59" t="s">
        <v>65</v>
      </c>
      <c r="F1807" s="59" t="s">
        <v>1160</v>
      </c>
      <c r="G1807" s="59" t="s">
        <v>1663</v>
      </c>
      <c r="H1807" s="58" t="s">
        <v>1672</v>
      </c>
      <c r="I1807" s="59" t="s">
        <v>1664</v>
      </c>
      <c r="J1807" t="str">
        <f t="shared" si="58"/>
        <v>241 - Parque Marañon Torre B</v>
      </c>
      <c r="K1807" t="str">
        <f t="shared" si="59"/>
        <v>Obra</v>
      </c>
    </row>
    <row r="1808" spans="1:11" x14ac:dyDescent="0.25">
      <c r="A1808" s="58">
        <v>8241</v>
      </c>
      <c r="B1808" s="59" t="s">
        <v>531</v>
      </c>
      <c r="C1808" s="59" t="s">
        <v>1685</v>
      </c>
      <c r="D1808" s="59" t="s">
        <v>1686</v>
      </c>
      <c r="E1808" s="59" t="s">
        <v>1501</v>
      </c>
      <c r="F1808" s="59" t="s">
        <v>1160</v>
      </c>
      <c r="G1808" s="59" t="s">
        <v>1661</v>
      </c>
      <c r="H1808" s="58" t="s">
        <v>386</v>
      </c>
      <c r="I1808" s="59" t="s">
        <v>1666</v>
      </c>
      <c r="J1808" t="str">
        <f t="shared" si="58"/>
        <v>8241 - Entrega Parque Marañon Torre B</v>
      </c>
      <c r="K1808" t="str">
        <f t="shared" si="59"/>
        <v>Entrega</v>
      </c>
    </row>
    <row r="1809" spans="1:11" x14ac:dyDescent="0.25">
      <c r="A1809" s="58">
        <v>9241</v>
      </c>
      <c r="B1809" s="59" t="s">
        <v>657</v>
      </c>
      <c r="C1809" s="59" t="s">
        <v>1685</v>
      </c>
      <c r="D1809" s="59" t="s">
        <v>66</v>
      </c>
      <c r="E1809" s="59" t="s">
        <v>328</v>
      </c>
      <c r="F1809" s="59" t="s">
        <v>1160</v>
      </c>
      <c r="G1809" s="59" t="s">
        <v>1661</v>
      </c>
      <c r="H1809" s="58" t="s">
        <v>386</v>
      </c>
      <c r="I1809" s="59" t="s">
        <v>1666</v>
      </c>
      <c r="J1809" t="str">
        <f t="shared" si="58"/>
        <v>9241 - PV Parque Marañon Torre B</v>
      </c>
      <c r="K1809" t="str">
        <f t="shared" si="59"/>
        <v>Postventa</v>
      </c>
    </row>
    <row r="1810" spans="1:11" x14ac:dyDescent="0.25">
      <c r="A1810" s="58">
        <v>10241000</v>
      </c>
      <c r="B1810" s="59" t="s">
        <v>1160</v>
      </c>
      <c r="C1810" s="59" t="s">
        <v>1685</v>
      </c>
      <c r="D1810" s="59" t="s">
        <v>1665</v>
      </c>
      <c r="E1810" s="59" t="s">
        <v>1585</v>
      </c>
      <c r="F1810" s="59" t="s">
        <v>1160</v>
      </c>
      <c r="G1810" s="59" t="s">
        <v>1661</v>
      </c>
      <c r="H1810" s="58" t="s">
        <v>386</v>
      </c>
      <c r="I1810" s="59" t="s">
        <v>1666</v>
      </c>
      <c r="J1810" t="str">
        <f t="shared" si="58"/>
        <v>10241000 - Parque Marañon Torre B</v>
      </c>
      <c r="K1810" t="str">
        <f t="shared" si="59"/>
        <v>Proyectos Inmobiliarios</v>
      </c>
    </row>
    <row r="1811" spans="1:11" x14ac:dyDescent="0.25">
      <c r="A1811" s="58">
        <v>10241102</v>
      </c>
      <c r="B1811" s="59" t="s">
        <v>1161</v>
      </c>
      <c r="C1811" s="59" t="s">
        <v>1685</v>
      </c>
      <c r="D1811" s="59" t="s">
        <v>1665</v>
      </c>
      <c r="E1811" s="59" t="s">
        <v>1617</v>
      </c>
      <c r="F1811" s="59" t="s">
        <v>1160</v>
      </c>
      <c r="G1811" s="59" t="s">
        <v>1661</v>
      </c>
      <c r="H1811" s="58" t="s">
        <v>386</v>
      </c>
      <c r="I1811" s="59" t="s">
        <v>1666</v>
      </c>
      <c r="J1811" t="str">
        <f t="shared" si="58"/>
        <v>10241102 - Parque Marañon Torre B-MARKETING</v>
      </c>
      <c r="K1811" t="str">
        <f t="shared" si="59"/>
        <v>Proyectos Inmobiliarios</v>
      </c>
    </row>
    <row r="1812" spans="1:11" x14ac:dyDescent="0.25">
      <c r="A1812" s="58">
        <v>10241103</v>
      </c>
      <c r="B1812" s="59" t="s">
        <v>1162</v>
      </c>
      <c r="C1812" s="59" t="s">
        <v>1685</v>
      </c>
      <c r="D1812" s="59" t="s">
        <v>1665</v>
      </c>
      <c r="E1812" s="59" t="s">
        <v>1618</v>
      </c>
      <c r="F1812" s="59" t="s">
        <v>1160</v>
      </c>
      <c r="G1812" s="59" t="s">
        <v>1661</v>
      </c>
      <c r="H1812" s="58" t="s">
        <v>386</v>
      </c>
      <c r="I1812" s="59" t="s">
        <v>1666</v>
      </c>
      <c r="J1812" t="str">
        <f t="shared" si="58"/>
        <v>10241103 - Parque Marañon Torre B-OPERACIONES</v>
      </c>
      <c r="K1812" t="str">
        <f t="shared" si="59"/>
        <v>Proyectos Inmobiliarios</v>
      </c>
    </row>
    <row r="1813" spans="1:11" x14ac:dyDescent="0.25">
      <c r="A1813" s="58">
        <v>10241104</v>
      </c>
      <c r="B1813" s="59" t="s">
        <v>1163</v>
      </c>
      <c r="C1813" s="59" t="s">
        <v>1685</v>
      </c>
      <c r="D1813" s="59" t="s">
        <v>1665</v>
      </c>
      <c r="E1813" s="59" t="s">
        <v>90</v>
      </c>
      <c r="F1813" s="59" t="s">
        <v>1160</v>
      </c>
      <c r="G1813" s="59" t="s">
        <v>1661</v>
      </c>
      <c r="H1813" s="58" t="s">
        <v>386</v>
      </c>
      <c r="I1813" s="59" t="s">
        <v>1666</v>
      </c>
      <c r="J1813" t="str">
        <f t="shared" ref="J1813:J1876" si="60">+A1813&amp;" - "&amp;B1813</f>
        <v>10241104 - Parque Marañon Torre B-VENTAS</v>
      </c>
      <c r="K1813" t="str">
        <f t="shared" ref="K1813:K1876" si="61">+D1813</f>
        <v>Proyectos Inmobiliarios</v>
      </c>
    </row>
    <row r="1814" spans="1:11" x14ac:dyDescent="0.25">
      <c r="A1814" s="58">
        <v>10241105</v>
      </c>
      <c r="B1814" s="59" t="s">
        <v>1164</v>
      </c>
      <c r="C1814" s="59" t="s">
        <v>1685</v>
      </c>
      <c r="D1814" s="59" t="s">
        <v>1665</v>
      </c>
      <c r="E1814" s="59" t="s">
        <v>1622</v>
      </c>
      <c r="F1814" s="59" t="s">
        <v>1160</v>
      </c>
      <c r="G1814" s="59" t="s">
        <v>1661</v>
      </c>
      <c r="H1814" s="58" t="s">
        <v>386</v>
      </c>
      <c r="I1814" s="59" t="s">
        <v>1666</v>
      </c>
      <c r="J1814" t="str">
        <f t="shared" si="60"/>
        <v>10241105 - Parque Marañon Torre B-CLIENTES</v>
      </c>
      <c r="K1814" t="str">
        <f t="shared" si="61"/>
        <v>Proyectos Inmobiliarios</v>
      </c>
    </row>
    <row r="1815" spans="1:11" x14ac:dyDescent="0.25">
      <c r="A1815" s="58">
        <v>10241204</v>
      </c>
      <c r="B1815" s="59" t="s">
        <v>1165</v>
      </c>
      <c r="C1815" s="59" t="s">
        <v>1685</v>
      </c>
      <c r="D1815" s="59" t="s">
        <v>1665</v>
      </c>
      <c r="E1815" s="59" t="s">
        <v>1624</v>
      </c>
      <c r="F1815" s="59" t="s">
        <v>1160</v>
      </c>
      <c r="G1815" s="59" t="s">
        <v>1661</v>
      </c>
      <c r="H1815" s="58" t="s">
        <v>386</v>
      </c>
      <c r="I1815" s="59" t="s">
        <v>1666</v>
      </c>
      <c r="J1815" t="str">
        <f t="shared" si="60"/>
        <v>10241204 - Parque Marañon Torre B-PROYECTO</v>
      </c>
      <c r="K1815" t="str">
        <f t="shared" si="61"/>
        <v>Proyectos Inmobiliarios</v>
      </c>
    </row>
    <row r="1816" spans="1:11" x14ac:dyDescent="0.25">
      <c r="A1816" s="58">
        <v>10241301</v>
      </c>
      <c r="B1816" s="59" t="s">
        <v>1166</v>
      </c>
      <c r="C1816" s="59" t="s">
        <v>1685</v>
      </c>
      <c r="D1816" s="59" t="s">
        <v>1665</v>
      </c>
      <c r="E1816" s="59" t="s">
        <v>1643</v>
      </c>
      <c r="F1816" s="59" t="s">
        <v>1160</v>
      </c>
      <c r="G1816" s="59" t="s">
        <v>1667</v>
      </c>
      <c r="H1816" s="58" t="s">
        <v>386</v>
      </c>
      <c r="I1816" s="59" t="s">
        <v>1666</v>
      </c>
      <c r="J1816" t="str">
        <f t="shared" si="60"/>
        <v>10241301 - Parque Marañon Torre B-GAF</v>
      </c>
      <c r="K1816" t="str">
        <f t="shared" si="61"/>
        <v>Proyectos Inmobiliarios</v>
      </c>
    </row>
    <row r="1817" spans="1:11" x14ac:dyDescent="0.25">
      <c r="A1817" s="58">
        <v>10241505</v>
      </c>
      <c r="B1817" s="59" t="s">
        <v>1167</v>
      </c>
      <c r="C1817" s="59" t="s">
        <v>1685</v>
      </c>
      <c r="D1817" s="59" t="s">
        <v>66</v>
      </c>
      <c r="E1817" s="59" t="s">
        <v>328</v>
      </c>
      <c r="F1817" s="59" t="s">
        <v>1160</v>
      </c>
      <c r="G1817" s="59" t="s">
        <v>1661</v>
      </c>
      <c r="H1817" s="58" t="s">
        <v>386</v>
      </c>
      <c r="I1817" s="59" t="s">
        <v>1666</v>
      </c>
      <c r="J1817" t="str">
        <f t="shared" si="60"/>
        <v>10241505 - Parque Marañon Torre B-PV INMOB.</v>
      </c>
      <c r="K1817" t="str">
        <f t="shared" si="61"/>
        <v>Postventa</v>
      </c>
    </row>
    <row r="1818" spans="1:11" x14ac:dyDescent="0.25">
      <c r="A1818" s="58">
        <v>10241506</v>
      </c>
      <c r="B1818" s="59" t="s">
        <v>1168</v>
      </c>
      <c r="C1818" s="59" t="s">
        <v>1685</v>
      </c>
      <c r="D1818" s="59" t="s">
        <v>1665</v>
      </c>
      <c r="E1818" s="59" t="s">
        <v>200</v>
      </c>
      <c r="F1818" s="59" t="s">
        <v>1160</v>
      </c>
      <c r="G1818" s="59" t="s">
        <v>1661</v>
      </c>
      <c r="H1818" s="58" t="s">
        <v>386</v>
      </c>
      <c r="I1818" s="59" t="s">
        <v>1666</v>
      </c>
      <c r="J1818" t="str">
        <f t="shared" si="60"/>
        <v>10241506 - Parque Marañon Torre B-DEPTO.TÉCNICO</v>
      </c>
      <c r="K1818" t="str">
        <f t="shared" si="61"/>
        <v>Proyectos Inmobiliarios</v>
      </c>
    </row>
    <row r="1819" spans="1:11" x14ac:dyDescent="0.25">
      <c r="A1819" s="50">
        <v>999999999</v>
      </c>
      <c r="B1819" s="51" t="s">
        <v>1684</v>
      </c>
      <c r="C1819" s="51"/>
      <c r="D1819" s="51" t="s">
        <v>1578</v>
      </c>
      <c r="E1819" s="51" t="s">
        <v>1578</v>
      </c>
      <c r="F1819" s="51" t="s">
        <v>2368</v>
      </c>
      <c r="G1819" s="51" t="s">
        <v>1661</v>
      </c>
      <c r="H1819" s="50" t="s">
        <v>1672</v>
      </c>
      <c r="I1819" s="51" t="s">
        <v>1662</v>
      </c>
      <c r="J1819" t="str">
        <f t="shared" si="60"/>
        <v>999999999 - Terreno Abuelo Proyectos sin Terreno</v>
      </c>
      <c r="K1819" t="str">
        <f t="shared" si="61"/>
        <v>Terreno</v>
      </c>
    </row>
    <row r="1820" spans="1:11" x14ac:dyDescent="0.25">
      <c r="A1820" s="50">
        <v>6</v>
      </c>
      <c r="B1820" s="51" t="s">
        <v>2368</v>
      </c>
      <c r="C1820" s="51" t="s">
        <v>1670</v>
      </c>
      <c r="D1820" s="51" t="s">
        <v>65</v>
      </c>
      <c r="E1820" s="51" t="s">
        <v>65</v>
      </c>
      <c r="F1820" s="51" t="s">
        <v>2368</v>
      </c>
      <c r="G1820" s="51" t="s">
        <v>1663</v>
      </c>
      <c r="H1820" s="50" t="s">
        <v>1672</v>
      </c>
      <c r="I1820" s="51" t="s">
        <v>1664</v>
      </c>
      <c r="J1820" t="str">
        <f t="shared" si="60"/>
        <v>6 - Parque Sacramentinos I</v>
      </c>
      <c r="K1820" t="str">
        <f t="shared" si="61"/>
        <v>Obra</v>
      </c>
    </row>
    <row r="1821" spans="1:11" x14ac:dyDescent="0.25">
      <c r="A1821" s="50">
        <v>9006</v>
      </c>
      <c r="B1821" s="51" t="s">
        <v>557</v>
      </c>
      <c r="C1821" s="51" t="s">
        <v>1670</v>
      </c>
      <c r="D1821" s="51" t="s">
        <v>66</v>
      </c>
      <c r="E1821" s="51" t="s">
        <v>328</v>
      </c>
      <c r="F1821" s="51" t="s">
        <v>2368</v>
      </c>
      <c r="G1821" s="51" t="s">
        <v>1661</v>
      </c>
      <c r="H1821" s="50" t="s">
        <v>386</v>
      </c>
      <c r="I1821" s="51" t="s">
        <v>1666</v>
      </c>
      <c r="J1821" t="str">
        <f t="shared" si="60"/>
        <v>9006 - PV Parque Sacramentinos I</v>
      </c>
      <c r="K1821" t="str">
        <f t="shared" si="61"/>
        <v>Postventa</v>
      </c>
    </row>
    <row r="1822" spans="1:11" x14ac:dyDescent="0.25">
      <c r="A1822" s="50">
        <v>10013000</v>
      </c>
      <c r="B1822" s="51" t="s">
        <v>2368</v>
      </c>
      <c r="C1822" s="51" t="s">
        <v>1670</v>
      </c>
      <c r="D1822" s="51" t="s">
        <v>1665</v>
      </c>
      <c r="E1822" s="51" t="s">
        <v>1585</v>
      </c>
      <c r="F1822" s="51" t="s">
        <v>2368</v>
      </c>
      <c r="G1822" s="51" t="s">
        <v>1661</v>
      </c>
      <c r="H1822" s="50" t="s">
        <v>1672</v>
      </c>
      <c r="I1822" s="51" t="s">
        <v>1666</v>
      </c>
      <c r="J1822" t="str">
        <f t="shared" si="60"/>
        <v>10013000 - Parque Sacramentinos I</v>
      </c>
      <c r="K1822" t="str">
        <f t="shared" si="61"/>
        <v>Proyectos Inmobiliarios</v>
      </c>
    </row>
    <row r="1823" spans="1:11" x14ac:dyDescent="0.25">
      <c r="A1823" s="50">
        <v>10013103</v>
      </c>
      <c r="B1823" s="51" t="s">
        <v>2369</v>
      </c>
      <c r="C1823" s="51" t="s">
        <v>1670</v>
      </c>
      <c r="D1823" s="51" t="s">
        <v>1665</v>
      </c>
      <c r="E1823" s="51" t="s">
        <v>1618</v>
      </c>
      <c r="F1823" s="51" t="s">
        <v>2368</v>
      </c>
      <c r="G1823" s="51" t="s">
        <v>1661</v>
      </c>
      <c r="H1823" s="50" t="s">
        <v>1672</v>
      </c>
      <c r="I1823" s="51" t="s">
        <v>1666</v>
      </c>
      <c r="J1823" t="str">
        <f t="shared" si="60"/>
        <v>10013103 - Parque Sacramentinos I-Operaciones</v>
      </c>
      <c r="K1823" t="str">
        <f t="shared" si="61"/>
        <v>Proyectos Inmobiliarios</v>
      </c>
    </row>
    <row r="1824" spans="1:11" x14ac:dyDescent="0.25">
      <c r="A1824" s="50">
        <v>10013105</v>
      </c>
      <c r="B1824" s="51" t="s">
        <v>2370</v>
      </c>
      <c r="C1824" s="51" t="s">
        <v>1670</v>
      </c>
      <c r="D1824" s="51" t="s">
        <v>1665</v>
      </c>
      <c r="E1824" s="51" t="s">
        <v>1622</v>
      </c>
      <c r="F1824" s="51" t="s">
        <v>2368</v>
      </c>
      <c r="G1824" s="51" t="s">
        <v>1661</v>
      </c>
      <c r="H1824" s="50" t="s">
        <v>1672</v>
      </c>
      <c r="I1824" s="51" t="s">
        <v>1666</v>
      </c>
      <c r="J1824" t="str">
        <f t="shared" si="60"/>
        <v>10013105 - Parque Sacramentinos I-Clientes</v>
      </c>
      <c r="K1824" t="str">
        <f t="shared" si="61"/>
        <v>Proyectos Inmobiliarios</v>
      </c>
    </row>
    <row r="1825" spans="1:11" x14ac:dyDescent="0.25">
      <c r="A1825" s="50">
        <v>10013301</v>
      </c>
      <c r="B1825" s="51" t="s">
        <v>2371</v>
      </c>
      <c r="C1825" s="51" t="s">
        <v>1670</v>
      </c>
      <c r="D1825" s="51" t="s">
        <v>1665</v>
      </c>
      <c r="E1825" s="51" t="s">
        <v>1643</v>
      </c>
      <c r="F1825" s="51" t="s">
        <v>2368</v>
      </c>
      <c r="G1825" s="51" t="s">
        <v>1667</v>
      </c>
      <c r="H1825" s="50" t="s">
        <v>1672</v>
      </c>
      <c r="I1825" s="51" t="s">
        <v>1666</v>
      </c>
      <c r="J1825" t="str">
        <f t="shared" si="60"/>
        <v>10013301 - Parque Sacramentinos I-GAF</v>
      </c>
      <c r="K1825" t="str">
        <f t="shared" si="61"/>
        <v>Proyectos Inmobiliarios</v>
      </c>
    </row>
    <row r="1826" spans="1:11" x14ac:dyDescent="0.25">
      <c r="A1826" s="50">
        <v>9914</v>
      </c>
      <c r="B1826" s="51" t="s">
        <v>690</v>
      </c>
      <c r="C1826" s="51" t="s">
        <v>1670</v>
      </c>
      <c r="D1826" s="51" t="s">
        <v>66</v>
      </c>
      <c r="E1826" s="51" t="s">
        <v>328</v>
      </c>
      <c r="F1826" s="51" t="s">
        <v>2368</v>
      </c>
      <c r="G1826" s="51" t="s">
        <v>1661</v>
      </c>
      <c r="H1826" s="50" t="s">
        <v>386</v>
      </c>
      <c r="I1826" s="51" t="s">
        <v>1666</v>
      </c>
      <c r="J1826" t="str">
        <f t="shared" si="60"/>
        <v>9914 - PV Edificio Sacramentinos I</v>
      </c>
      <c r="K1826" t="str">
        <f t="shared" si="61"/>
        <v>Postventa</v>
      </c>
    </row>
    <row r="1827" spans="1:11" x14ac:dyDescent="0.25">
      <c r="A1827" s="54">
        <v>999999999</v>
      </c>
      <c r="B1827" s="55" t="s">
        <v>1684</v>
      </c>
      <c r="C1827" s="55"/>
      <c r="D1827" s="55" t="s">
        <v>1578</v>
      </c>
      <c r="E1827" s="55" t="s">
        <v>1578</v>
      </c>
      <c r="F1827" s="55" t="s">
        <v>2372</v>
      </c>
      <c r="G1827" s="55" t="s">
        <v>1661</v>
      </c>
      <c r="H1827" s="54" t="s">
        <v>1672</v>
      </c>
      <c r="I1827" s="55" t="s">
        <v>1662</v>
      </c>
      <c r="J1827" t="str">
        <f t="shared" si="60"/>
        <v>999999999 - Terreno Abuelo Proyectos sin Terreno</v>
      </c>
      <c r="K1827" t="str">
        <f t="shared" si="61"/>
        <v>Terreno</v>
      </c>
    </row>
    <row r="1828" spans="1:11" x14ac:dyDescent="0.25">
      <c r="A1828" s="54">
        <v>11</v>
      </c>
      <c r="B1828" s="55" t="s">
        <v>2372</v>
      </c>
      <c r="C1828" s="55" t="s">
        <v>1670</v>
      </c>
      <c r="D1828" s="55" t="s">
        <v>65</v>
      </c>
      <c r="E1828" s="55" t="s">
        <v>65</v>
      </c>
      <c r="F1828" s="55" t="s">
        <v>2372</v>
      </c>
      <c r="G1828" s="55" t="s">
        <v>1663</v>
      </c>
      <c r="H1828" s="54" t="s">
        <v>1672</v>
      </c>
      <c r="I1828" s="55" t="s">
        <v>1664</v>
      </c>
      <c r="J1828" t="str">
        <f t="shared" si="60"/>
        <v>11 - Parque Sacramentinos II</v>
      </c>
      <c r="K1828" t="str">
        <f t="shared" si="61"/>
        <v>Obra</v>
      </c>
    </row>
    <row r="1829" spans="1:11" x14ac:dyDescent="0.25">
      <c r="A1829" s="54">
        <v>9011</v>
      </c>
      <c r="B1829" s="55" t="s">
        <v>562</v>
      </c>
      <c r="C1829" s="55" t="s">
        <v>1670</v>
      </c>
      <c r="D1829" s="55" t="s">
        <v>66</v>
      </c>
      <c r="E1829" s="55" t="s">
        <v>328</v>
      </c>
      <c r="F1829" s="55" t="s">
        <v>2372</v>
      </c>
      <c r="G1829" s="55" t="s">
        <v>1661</v>
      </c>
      <c r="H1829" s="54" t="s">
        <v>386</v>
      </c>
      <c r="I1829" s="55" t="s">
        <v>1666</v>
      </c>
      <c r="J1829" t="str">
        <f t="shared" si="60"/>
        <v>9011 - PV Parque Sacramentinos II</v>
      </c>
      <c r="K1829" t="str">
        <f t="shared" si="61"/>
        <v>Postventa</v>
      </c>
    </row>
    <row r="1830" spans="1:11" x14ac:dyDescent="0.25">
      <c r="A1830" s="54">
        <v>9915</v>
      </c>
      <c r="B1830" s="55" t="s">
        <v>691</v>
      </c>
      <c r="C1830" s="55" t="s">
        <v>1670</v>
      </c>
      <c r="D1830" s="55" t="s">
        <v>66</v>
      </c>
      <c r="E1830" s="55" t="s">
        <v>328</v>
      </c>
      <c r="F1830" s="55" t="s">
        <v>2372</v>
      </c>
      <c r="G1830" s="55" t="s">
        <v>1661</v>
      </c>
      <c r="H1830" s="54" t="s">
        <v>386</v>
      </c>
      <c r="I1830" s="55" t="s">
        <v>1666</v>
      </c>
      <c r="J1830" t="str">
        <f t="shared" si="60"/>
        <v>9915 - PV Edificio Sacramentinos II</v>
      </c>
      <c r="K1830" t="str">
        <f t="shared" si="61"/>
        <v>Postventa</v>
      </c>
    </row>
    <row r="1831" spans="1:11" x14ac:dyDescent="0.25">
      <c r="A1831" s="54">
        <v>10011000</v>
      </c>
      <c r="B1831" s="55" t="s">
        <v>2372</v>
      </c>
      <c r="C1831" s="55" t="s">
        <v>1670</v>
      </c>
      <c r="D1831" s="55" t="s">
        <v>1665</v>
      </c>
      <c r="E1831" s="55" t="s">
        <v>1585</v>
      </c>
      <c r="F1831" s="55" t="s">
        <v>2372</v>
      </c>
      <c r="G1831" s="55" t="s">
        <v>1661</v>
      </c>
      <c r="H1831" s="54" t="s">
        <v>1672</v>
      </c>
      <c r="I1831" s="55" t="s">
        <v>1666</v>
      </c>
      <c r="J1831" t="str">
        <f t="shared" si="60"/>
        <v>10011000 - Parque Sacramentinos II</v>
      </c>
      <c r="K1831" t="str">
        <f t="shared" si="61"/>
        <v>Proyectos Inmobiliarios</v>
      </c>
    </row>
    <row r="1832" spans="1:11" x14ac:dyDescent="0.25">
      <c r="A1832" s="54">
        <v>10011102</v>
      </c>
      <c r="B1832" s="55" t="s">
        <v>2373</v>
      </c>
      <c r="C1832" s="55" t="s">
        <v>1670</v>
      </c>
      <c r="D1832" s="55" t="s">
        <v>1665</v>
      </c>
      <c r="E1832" s="55" t="s">
        <v>1617</v>
      </c>
      <c r="F1832" s="55" t="s">
        <v>2372</v>
      </c>
      <c r="G1832" s="55" t="s">
        <v>1661</v>
      </c>
      <c r="H1832" s="54" t="s">
        <v>1672</v>
      </c>
      <c r="I1832" s="55" t="s">
        <v>1666</v>
      </c>
      <c r="J1832" t="str">
        <f t="shared" si="60"/>
        <v>10011102 - Parque Sacramentinos II-Marketing</v>
      </c>
      <c r="K1832" t="str">
        <f t="shared" si="61"/>
        <v>Proyectos Inmobiliarios</v>
      </c>
    </row>
    <row r="1833" spans="1:11" x14ac:dyDescent="0.25">
      <c r="A1833" s="54">
        <v>10011103</v>
      </c>
      <c r="B1833" s="55" t="s">
        <v>2374</v>
      </c>
      <c r="C1833" s="55" t="s">
        <v>1670</v>
      </c>
      <c r="D1833" s="55" t="s">
        <v>1665</v>
      </c>
      <c r="E1833" s="55" t="s">
        <v>1618</v>
      </c>
      <c r="F1833" s="55" t="s">
        <v>2372</v>
      </c>
      <c r="G1833" s="55" t="s">
        <v>1661</v>
      </c>
      <c r="H1833" s="54" t="s">
        <v>1672</v>
      </c>
      <c r="I1833" s="55" t="s">
        <v>1666</v>
      </c>
      <c r="J1833" t="str">
        <f t="shared" si="60"/>
        <v>10011103 - Parque Sacramentinos II-Operaciones</v>
      </c>
      <c r="K1833" t="str">
        <f t="shared" si="61"/>
        <v>Proyectos Inmobiliarios</v>
      </c>
    </row>
    <row r="1834" spans="1:11" x14ac:dyDescent="0.25">
      <c r="A1834" s="54">
        <v>10011104</v>
      </c>
      <c r="B1834" s="55" t="s">
        <v>2375</v>
      </c>
      <c r="C1834" s="55" t="s">
        <v>1670</v>
      </c>
      <c r="D1834" s="55" t="s">
        <v>1665</v>
      </c>
      <c r="E1834" s="55" t="s">
        <v>90</v>
      </c>
      <c r="F1834" s="55" t="s">
        <v>2372</v>
      </c>
      <c r="G1834" s="55" t="s">
        <v>1661</v>
      </c>
      <c r="H1834" s="54" t="s">
        <v>1672</v>
      </c>
      <c r="I1834" s="55" t="s">
        <v>1666</v>
      </c>
      <c r="J1834" t="str">
        <f t="shared" si="60"/>
        <v>10011104 - Parque Sacramentinos II-Ventas</v>
      </c>
      <c r="K1834" t="str">
        <f t="shared" si="61"/>
        <v>Proyectos Inmobiliarios</v>
      </c>
    </row>
    <row r="1835" spans="1:11" x14ac:dyDescent="0.25">
      <c r="A1835" s="54">
        <v>10011105</v>
      </c>
      <c r="B1835" s="55" t="s">
        <v>2376</v>
      </c>
      <c r="C1835" s="55" t="s">
        <v>1670</v>
      </c>
      <c r="D1835" s="55" t="s">
        <v>1665</v>
      </c>
      <c r="E1835" s="55" t="s">
        <v>1622</v>
      </c>
      <c r="F1835" s="55" t="s">
        <v>2372</v>
      </c>
      <c r="G1835" s="55" t="s">
        <v>1661</v>
      </c>
      <c r="H1835" s="54" t="s">
        <v>1672</v>
      </c>
      <c r="I1835" s="55" t="s">
        <v>1666</v>
      </c>
      <c r="J1835" t="str">
        <f t="shared" si="60"/>
        <v>10011105 - Parque Sacramentinos II-Clientes</v>
      </c>
      <c r="K1835" t="str">
        <f t="shared" si="61"/>
        <v>Proyectos Inmobiliarios</v>
      </c>
    </row>
    <row r="1836" spans="1:11" x14ac:dyDescent="0.25">
      <c r="A1836" s="54">
        <v>10011204</v>
      </c>
      <c r="B1836" s="55" t="s">
        <v>2377</v>
      </c>
      <c r="C1836" s="55" t="s">
        <v>1670</v>
      </c>
      <c r="D1836" s="55" t="s">
        <v>1665</v>
      </c>
      <c r="E1836" s="55" t="s">
        <v>1624</v>
      </c>
      <c r="F1836" s="55" t="s">
        <v>2372</v>
      </c>
      <c r="G1836" s="55" t="s">
        <v>1661</v>
      </c>
      <c r="H1836" s="54" t="s">
        <v>1672</v>
      </c>
      <c r="I1836" s="55" t="s">
        <v>1666</v>
      </c>
      <c r="J1836" t="str">
        <f t="shared" si="60"/>
        <v>10011204 - Parque Sacramentinos II-Proyecto</v>
      </c>
      <c r="K1836" t="str">
        <f t="shared" si="61"/>
        <v>Proyectos Inmobiliarios</v>
      </c>
    </row>
    <row r="1837" spans="1:11" x14ac:dyDescent="0.25">
      <c r="A1837" s="54">
        <v>10011301</v>
      </c>
      <c r="B1837" s="55" t="s">
        <v>2378</v>
      </c>
      <c r="C1837" s="55" t="s">
        <v>1670</v>
      </c>
      <c r="D1837" s="55" t="s">
        <v>1665</v>
      </c>
      <c r="E1837" s="55" t="s">
        <v>1643</v>
      </c>
      <c r="F1837" s="55" t="s">
        <v>2372</v>
      </c>
      <c r="G1837" s="55" t="s">
        <v>1667</v>
      </c>
      <c r="H1837" s="54" t="s">
        <v>1672</v>
      </c>
      <c r="I1837" s="55" t="s">
        <v>1666</v>
      </c>
      <c r="J1837" t="str">
        <f t="shared" si="60"/>
        <v>10011301 - Parque Sacramentinos II-GAF</v>
      </c>
      <c r="K1837" t="str">
        <f t="shared" si="61"/>
        <v>Proyectos Inmobiliarios</v>
      </c>
    </row>
    <row r="1838" spans="1:11" x14ac:dyDescent="0.25">
      <c r="A1838" s="54">
        <v>10011506</v>
      </c>
      <c r="B1838" s="55" t="s">
        <v>2379</v>
      </c>
      <c r="C1838" s="55" t="s">
        <v>1670</v>
      </c>
      <c r="D1838" s="55" t="s">
        <v>1665</v>
      </c>
      <c r="E1838" s="55" t="s">
        <v>200</v>
      </c>
      <c r="F1838" s="55" t="s">
        <v>2372</v>
      </c>
      <c r="G1838" s="55" t="s">
        <v>1661</v>
      </c>
      <c r="H1838" s="54" t="s">
        <v>1672</v>
      </c>
      <c r="I1838" s="55" t="s">
        <v>1666</v>
      </c>
      <c r="J1838" t="str">
        <f t="shared" si="60"/>
        <v>10011506 - Parque Sacramentinos II-Depto Técnico</v>
      </c>
      <c r="K1838" t="str">
        <f t="shared" si="61"/>
        <v>Proyectos Inmobiliarios</v>
      </c>
    </row>
    <row r="1839" spans="1:11" x14ac:dyDescent="0.25">
      <c r="A1839" s="54">
        <v>10034301</v>
      </c>
      <c r="B1839" s="55" t="s">
        <v>2380</v>
      </c>
      <c r="C1839" s="55" t="s">
        <v>1670</v>
      </c>
      <c r="D1839" s="55" t="s">
        <v>1665</v>
      </c>
      <c r="E1839" s="55" t="s">
        <v>1643</v>
      </c>
      <c r="F1839" s="55" t="s">
        <v>2372</v>
      </c>
      <c r="G1839" s="55" t="s">
        <v>1667</v>
      </c>
      <c r="H1839" s="54" t="s">
        <v>1672</v>
      </c>
      <c r="I1839" s="55" t="s">
        <v>1666</v>
      </c>
      <c r="J1839" t="str">
        <f t="shared" si="60"/>
        <v>10034301 - Sacramentinos II-GAF</v>
      </c>
      <c r="K1839" t="str">
        <f t="shared" si="61"/>
        <v>Proyectos Inmobiliarios</v>
      </c>
    </row>
    <row r="1840" spans="1:11" x14ac:dyDescent="0.25">
      <c r="A1840" s="58">
        <v>999999999</v>
      </c>
      <c r="B1840" s="59" t="s">
        <v>1684</v>
      </c>
      <c r="C1840" s="59"/>
      <c r="D1840" s="59" t="s">
        <v>1578</v>
      </c>
      <c r="E1840" s="59" t="s">
        <v>1578</v>
      </c>
      <c r="F1840" s="59" t="s">
        <v>2381</v>
      </c>
      <c r="G1840" s="59" t="s">
        <v>1661</v>
      </c>
      <c r="H1840" s="58" t="s">
        <v>1672</v>
      </c>
      <c r="I1840" s="59" t="s">
        <v>1662</v>
      </c>
      <c r="J1840" t="str">
        <f t="shared" si="60"/>
        <v>999999999 - Terreno Abuelo Proyectos sin Terreno</v>
      </c>
      <c r="K1840" t="str">
        <f t="shared" si="61"/>
        <v>Terreno</v>
      </c>
    </row>
    <row r="1841" spans="1:11" x14ac:dyDescent="0.25">
      <c r="A1841" s="58">
        <v>16</v>
      </c>
      <c r="B1841" s="59" t="s">
        <v>2381</v>
      </c>
      <c r="C1841" s="59" t="s">
        <v>1670</v>
      </c>
      <c r="D1841" s="59" t="s">
        <v>65</v>
      </c>
      <c r="E1841" s="59" t="s">
        <v>65</v>
      </c>
      <c r="F1841" s="59" t="s">
        <v>2381</v>
      </c>
      <c r="G1841" s="59" t="s">
        <v>1663</v>
      </c>
      <c r="H1841" s="58" t="s">
        <v>1672</v>
      </c>
      <c r="I1841" s="59" t="s">
        <v>1664</v>
      </c>
      <c r="J1841" t="str">
        <f t="shared" si="60"/>
        <v>16 - Parque Sacramentinos III</v>
      </c>
      <c r="K1841" t="str">
        <f t="shared" si="61"/>
        <v>Obra</v>
      </c>
    </row>
    <row r="1842" spans="1:11" x14ac:dyDescent="0.25">
      <c r="A1842" s="58">
        <v>9016</v>
      </c>
      <c r="B1842" s="59" t="s">
        <v>566</v>
      </c>
      <c r="C1842" s="59" t="s">
        <v>1670</v>
      </c>
      <c r="D1842" s="59" t="s">
        <v>66</v>
      </c>
      <c r="E1842" s="59" t="s">
        <v>328</v>
      </c>
      <c r="F1842" s="59" t="s">
        <v>2381</v>
      </c>
      <c r="G1842" s="59" t="s">
        <v>1661</v>
      </c>
      <c r="H1842" s="58" t="s">
        <v>386</v>
      </c>
      <c r="I1842" s="59" t="s">
        <v>1666</v>
      </c>
      <c r="J1842" t="str">
        <f t="shared" si="60"/>
        <v>9016 - PV Parque Sacramentinos III</v>
      </c>
      <c r="K1842" t="str">
        <f t="shared" si="61"/>
        <v>Postventa</v>
      </c>
    </row>
    <row r="1843" spans="1:11" x14ac:dyDescent="0.25">
      <c r="A1843" s="58">
        <v>9916</v>
      </c>
      <c r="B1843" s="59" t="s">
        <v>692</v>
      </c>
      <c r="C1843" s="59" t="s">
        <v>1670</v>
      </c>
      <c r="D1843" s="59" t="s">
        <v>66</v>
      </c>
      <c r="E1843" s="59" t="s">
        <v>328</v>
      </c>
      <c r="F1843" s="59" t="s">
        <v>2381</v>
      </c>
      <c r="G1843" s="59" t="s">
        <v>1661</v>
      </c>
      <c r="H1843" s="58" t="s">
        <v>386</v>
      </c>
      <c r="I1843" s="59" t="s">
        <v>1666</v>
      </c>
      <c r="J1843" t="str">
        <f t="shared" si="60"/>
        <v>9916 - PV Edificio Sacramentinos III</v>
      </c>
      <c r="K1843" t="str">
        <f t="shared" si="61"/>
        <v>Postventa</v>
      </c>
    </row>
    <row r="1844" spans="1:11" x14ac:dyDescent="0.25">
      <c r="A1844" s="58">
        <v>10012000</v>
      </c>
      <c r="B1844" s="59" t="s">
        <v>2381</v>
      </c>
      <c r="C1844" s="59" t="s">
        <v>1670</v>
      </c>
      <c r="D1844" s="59" t="s">
        <v>1665</v>
      </c>
      <c r="E1844" s="59" t="s">
        <v>1585</v>
      </c>
      <c r="F1844" s="59" t="s">
        <v>2381</v>
      </c>
      <c r="G1844" s="59" t="s">
        <v>1661</v>
      </c>
      <c r="H1844" s="58" t="s">
        <v>1672</v>
      </c>
      <c r="I1844" s="59" t="s">
        <v>1666</v>
      </c>
      <c r="J1844" t="str">
        <f t="shared" si="60"/>
        <v>10012000 - Parque Sacramentinos III</v>
      </c>
      <c r="K1844" t="str">
        <f t="shared" si="61"/>
        <v>Proyectos Inmobiliarios</v>
      </c>
    </row>
    <row r="1845" spans="1:11" x14ac:dyDescent="0.25">
      <c r="A1845" s="58">
        <v>10012102</v>
      </c>
      <c r="B1845" s="59" t="s">
        <v>2382</v>
      </c>
      <c r="C1845" s="59" t="s">
        <v>1670</v>
      </c>
      <c r="D1845" s="59" t="s">
        <v>1665</v>
      </c>
      <c r="E1845" s="59" t="s">
        <v>1617</v>
      </c>
      <c r="F1845" s="59" t="s">
        <v>2381</v>
      </c>
      <c r="G1845" s="59" t="s">
        <v>1661</v>
      </c>
      <c r="H1845" s="58" t="s">
        <v>1672</v>
      </c>
      <c r="I1845" s="59" t="s">
        <v>1666</v>
      </c>
      <c r="J1845" t="str">
        <f t="shared" si="60"/>
        <v>10012102 - Parque Sacramentinos III-Marketing</v>
      </c>
      <c r="K1845" t="str">
        <f t="shared" si="61"/>
        <v>Proyectos Inmobiliarios</v>
      </c>
    </row>
    <row r="1846" spans="1:11" x14ac:dyDescent="0.25">
      <c r="A1846" s="58">
        <v>10012103</v>
      </c>
      <c r="B1846" s="59" t="s">
        <v>2383</v>
      </c>
      <c r="C1846" s="59" t="s">
        <v>1670</v>
      </c>
      <c r="D1846" s="59" t="s">
        <v>1665</v>
      </c>
      <c r="E1846" s="59" t="s">
        <v>1618</v>
      </c>
      <c r="F1846" s="59" t="s">
        <v>2381</v>
      </c>
      <c r="G1846" s="59" t="s">
        <v>1661</v>
      </c>
      <c r="H1846" s="58" t="s">
        <v>1672</v>
      </c>
      <c r="I1846" s="59" t="s">
        <v>1666</v>
      </c>
      <c r="J1846" t="str">
        <f t="shared" si="60"/>
        <v>10012103 - Parque Sacramentinos III-Operaciones</v>
      </c>
      <c r="K1846" t="str">
        <f t="shared" si="61"/>
        <v>Proyectos Inmobiliarios</v>
      </c>
    </row>
    <row r="1847" spans="1:11" x14ac:dyDescent="0.25">
      <c r="A1847" s="58">
        <v>10012104</v>
      </c>
      <c r="B1847" s="59" t="s">
        <v>2384</v>
      </c>
      <c r="C1847" s="59" t="s">
        <v>1670</v>
      </c>
      <c r="D1847" s="59" t="s">
        <v>1665</v>
      </c>
      <c r="E1847" s="59" t="s">
        <v>90</v>
      </c>
      <c r="F1847" s="59" t="s">
        <v>2381</v>
      </c>
      <c r="G1847" s="59" t="s">
        <v>1661</v>
      </c>
      <c r="H1847" s="58" t="s">
        <v>1672</v>
      </c>
      <c r="I1847" s="59" t="s">
        <v>1666</v>
      </c>
      <c r="J1847" t="str">
        <f t="shared" si="60"/>
        <v>10012104 - Parque Sacramentinos III-Ventas</v>
      </c>
      <c r="K1847" t="str">
        <f t="shared" si="61"/>
        <v>Proyectos Inmobiliarios</v>
      </c>
    </row>
    <row r="1848" spans="1:11" x14ac:dyDescent="0.25">
      <c r="A1848" s="58">
        <v>10012105</v>
      </c>
      <c r="B1848" s="59" t="s">
        <v>2385</v>
      </c>
      <c r="C1848" s="59" t="s">
        <v>1670</v>
      </c>
      <c r="D1848" s="59" t="s">
        <v>1665</v>
      </c>
      <c r="E1848" s="59" t="s">
        <v>1622</v>
      </c>
      <c r="F1848" s="59" t="s">
        <v>2381</v>
      </c>
      <c r="G1848" s="59" t="s">
        <v>1661</v>
      </c>
      <c r="H1848" s="58" t="s">
        <v>1672</v>
      </c>
      <c r="I1848" s="59" t="s">
        <v>1666</v>
      </c>
      <c r="J1848" t="str">
        <f t="shared" si="60"/>
        <v>10012105 - Parque Sacramentinos III-Clientes</v>
      </c>
      <c r="K1848" t="str">
        <f t="shared" si="61"/>
        <v>Proyectos Inmobiliarios</v>
      </c>
    </row>
    <row r="1849" spans="1:11" x14ac:dyDescent="0.25">
      <c r="A1849" s="58">
        <v>10012204</v>
      </c>
      <c r="B1849" s="59" t="s">
        <v>2386</v>
      </c>
      <c r="C1849" s="59" t="s">
        <v>1670</v>
      </c>
      <c r="D1849" s="59" t="s">
        <v>1665</v>
      </c>
      <c r="E1849" s="59" t="s">
        <v>1624</v>
      </c>
      <c r="F1849" s="59" t="s">
        <v>2381</v>
      </c>
      <c r="G1849" s="59" t="s">
        <v>1661</v>
      </c>
      <c r="H1849" s="58" t="s">
        <v>1672</v>
      </c>
      <c r="I1849" s="59" t="s">
        <v>1666</v>
      </c>
      <c r="J1849" t="str">
        <f t="shared" si="60"/>
        <v>10012204 - Parque Sacramentinos III-Proyecto</v>
      </c>
      <c r="K1849" t="str">
        <f t="shared" si="61"/>
        <v>Proyectos Inmobiliarios</v>
      </c>
    </row>
    <row r="1850" spans="1:11" x14ac:dyDescent="0.25">
      <c r="A1850" s="58">
        <v>10012301</v>
      </c>
      <c r="B1850" s="59" t="s">
        <v>2387</v>
      </c>
      <c r="C1850" s="59" t="s">
        <v>1670</v>
      </c>
      <c r="D1850" s="59" t="s">
        <v>1665</v>
      </c>
      <c r="E1850" s="59" t="s">
        <v>1643</v>
      </c>
      <c r="F1850" s="59" t="s">
        <v>2381</v>
      </c>
      <c r="G1850" s="59" t="s">
        <v>1667</v>
      </c>
      <c r="H1850" s="58" t="s">
        <v>1672</v>
      </c>
      <c r="I1850" s="59" t="s">
        <v>1666</v>
      </c>
      <c r="J1850" t="str">
        <f t="shared" si="60"/>
        <v>10012301 - Parque Sacramentinos III-GAF</v>
      </c>
      <c r="K1850" t="str">
        <f t="shared" si="61"/>
        <v>Proyectos Inmobiliarios</v>
      </c>
    </row>
    <row r="1851" spans="1:11" x14ac:dyDescent="0.25">
      <c r="A1851" s="58">
        <v>10012506</v>
      </c>
      <c r="B1851" s="59" t="s">
        <v>2388</v>
      </c>
      <c r="C1851" s="59" t="s">
        <v>1670</v>
      </c>
      <c r="D1851" s="59" t="s">
        <v>1665</v>
      </c>
      <c r="E1851" s="59" t="s">
        <v>200</v>
      </c>
      <c r="F1851" s="59" t="s">
        <v>2381</v>
      </c>
      <c r="G1851" s="59" t="s">
        <v>1661</v>
      </c>
      <c r="H1851" s="58" t="s">
        <v>1672</v>
      </c>
      <c r="I1851" s="59" t="s">
        <v>1666</v>
      </c>
      <c r="J1851" t="str">
        <f t="shared" si="60"/>
        <v>10012506 - Parque Sacramentinos III-Depto Técnico</v>
      </c>
      <c r="K1851" t="str">
        <f t="shared" si="61"/>
        <v>Proyectos Inmobiliarios</v>
      </c>
    </row>
    <row r="1852" spans="1:11" x14ac:dyDescent="0.25">
      <c r="A1852" s="62">
        <v>1034202</v>
      </c>
      <c r="B1852" s="63" t="s">
        <v>2389</v>
      </c>
      <c r="C1852" s="63" t="s">
        <v>1670</v>
      </c>
      <c r="D1852" s="63" t="s">
        <v>1578</v>
      </c>
      <c r="E1852" s="63" t="s">
        <v>1578</v>
      </c>
      <c r="F1852" s="63" t="s">
        <v>2390</v>
      </c>
      <c r="G1852" s="63" t="s">
        <v>1661</v>
      </c>
      <c r="H1852" s="62" t="s">
        <v>1672</v>
      </c>
      <c r="I1852" s="63" t="s">
        <v>1662</v>
      </c>
      <c r="J1852" t="str">
        <f t="shared" si="60"/>
        <v>1034202 - Terreno Pedro Lautaro Ferrer-Desarrollo</v>
      </c>
      <c r="K1852" t="str">
        <f t="shared" si="61"/>
        <v>Terreno</v>
      </c>
    </row>
    <row r="1853" spans="1:11" x14ac:dyDescent="0.25">
      <c r="A1853" s="62">
        <v>170</v>
      </c>
      <c r="B1853" s="63" t="s">
        <v>2391</v>
      </c>
      <c r="C1853" s="63" t="s">
        <v>1670</v>
      </c>
      <c r="D1853" s="63" t="s">
        <v>65</v>
      </c>
      <c r="E1853" s="63" t="s">
        <v>65</v>
      </c>
      <c r="F1853" s="63" t="s">
        <v>2390</v>
      </c>
      <c r="G1853" s="63" t="s">
        <v>1663</v>
      </c>
      <c r="H1853" s="62" t="s">
        <v>1672</v>
      </c>
      <c r="I1853" s="63" t="s">
        <v>1664</v>
      </c>
      <c r="J1853" t="str">
        <f t="shared" si="60"/>
        <v>170 - Pedro Lautaro Ferrer-SA</v>
      </c>
      <c r="K1853" t="str">
        <f t="shared" si="61"/>
        <v>Obra</v>
      </c>
    </row>
    <row r="1854" spans="1:11" x14ac:dyDescent="0.25">
      <c r="A1854" s="62">
        <v>9170</v>
      </c>
      <c r="B1854" s="63" t="s">
        <v>613</v>
      </c>
      <c r="C1854" s="63" t="s">
        <v>1670</v>
      </c>
      <c r="D1854" s="63" t="s">
        <v>66</v>
      </c>
      <c r="E1854" s="63" t="s">
        <v>328</v>
      </c>
      <c r="F1854" s="63" t="s">
        <v>2390</v>
      </c>
      <c r="G1854" s="63" t="s">
        <v>1661</v>
      </c>
      <c r="H1854" s="62" t="s">
        <v>386</v>
      </c>
      <c r="I1854" s="63" t="s">
        <v>1666</v>
      </c>
      <c r="J1854" t="str">
        <f t="shared" si="60"/>
        <v>9170 - PV Pedro Lautaro Ferrer</v>
      </c>
      <c r="K1854" t="str">
        <f t="shared" si="61"/>
        <v>Postventa</v>
      </c>
    </row>
    <row r="1855" spans="1:11" x14ac:dyDescent="0.25">
      <c r="A1855" s="62">
        <v>10117000</v>
      </c>
      <c r="B1855" s="63" t="s">
        <v>2390</v>
      </c>
      <c r="C1855" s="63" t="s">
        <v>1670</v>
      </c>
      <c r="D1855" s="63" t="s">
        <v>1665</v>
      </c>
      <c r="E1855" s="63" t="s">
        <v>1585</v>
      </c>
      <c r="F1855" s="63" t="s">
        <v>2390</v>
      </c>
      <c r="G1855" s="63" t="s">
        <v>1667</v>
      </c>
      <c r="H1855" s="62" t="s">
        <v>1672</v>
      </c>
      <c r="I1855" s="63" t="s">
        <v>1666</v>
      </c>
      <c r="J1855" t="str">
        <f t="shared" si="60"/>
        <v>10117000 - Pedro Lautaro Ferrer</v>
      </c>
      <c r="K1855" t="str">
        <f t="shared" si="61"/>
        <v>Proyectos Inmobiliarios</v>
      </c>
    </row>
    <row r="1856" spans="1:11" x14ac:dyDescent="0.25">
      <c r="A1856" s="62">
        <v>10117102</v>
      </c>
      <c r="B1856" s="63" t="s">
        <v>2392</v>
      </c>
      <c r="C1856" s="63" t="s">
        <v>1670</v>
      </c>
      <c r="D1856" s="63" t="s">
        <v>1665</v>
      </c>
      <c r="E1856" s="63" t="s">
        <v>1617</v>
      </c>
      <c r="F1856" s="63" t="s">
        <v>2390</v>
      </c>
      <c r="G1856" s="63" t="s">
        <v>1661</v>
      </c>
      <c r="H1856" s="62" t="s">
        <v>1672</v>
      </c>
      <c r="I1856" s="63" t="s">
        <v>1666</v>
      </c>
      <c r="J1856" t="str">
        <f t="shared" si="60"/>
        <v>10117102 - Pedro Lautaro Ferrer-Marketing</v>
      </c>
      <c r="K1856" t="str">
        <f t="shared" si="61"/>
        <v>Proyectos Inmobiliarios</v>
      </c>
    </row>
    <row r="1857" spans="1:11" x14ac:dyDescent="0.25">
      <c r="A1857" s="62">
        <v>10117103</v>
      </c>
      <c r="B1857" s="63" t="s">
        <v>2393</v>
      </c>
      <c r="C1857" s="63" t="s">
        <v>1670</v>
      </c>
      <c r="D1857" s="63" t="s">
        <v>1665</v>
      </c>
      <c r="E1857" s="63" t="s">
        <v>1618</v>
      </c>
      <c r="F1857" s="63" t="s">
        <v>2390</v>
      </c>
      <c r="G1857" s="63" t="s">
        <v>1661</v>
      </c>
      <c r="H1857" s="62" t="s">
        <v>1672</v>
      </c>
      <c r="I1857" s="63" t="s">
        <v>1666</v>
      </c>
      <c r="J1857" t="str">
        <f t="shared" si="60"/>
        <v>10117103 - Pedro Lautaro Ferrer-Operaciones</v>
      </c>
      <c r="K1857" t="str">
        <f t="shared" si="61"/>
        <v>Proyectos Inmobiliarios</v>
      </c>
    </row>
    <row r="1858" spans="1:11" x14ac:dyDescent="0.25">
      <c r="A1858" s="62">
        <v>10117104</v>
      </c>
      <c r="B1858" s="63" t="s">
        <v>2394</v>
      </c>
      <c r="C1858" s="63" t="s">
        <v>1670</v>
      </c>
      <c r="D1858" s="63" t="s">
        <v>1665</v>
      </c>
      <c r="E1858" s="63" t="s">
        <v>90</v>
      </c>
      <c r="F1858" s="63" t="s">
        <v>2390</v>
      </c>
      <c r="G1858" s="63" t="s">
        <v>1661</v>
      </c>
      <c r="H1858" s="62" t="s">
        <v>1672</v>
      </c>
      <c r="I1858" s="63" t="s">
        <v>1666</v>
      </c>
      <c r="J1858" t="str">
        <f t="shared" si="60"/>
        <v>10117104 - Pedro Lautaro Ferrer-Ventas</v>
      </c>
      <c r="K1858" t="str">
        <f t="shared" si="61"/>
        <v>Proyectos Inmobiliarios</v>
      </c>
    </row>
    <row r="1859" spans="1:11" x14ac:dyDescent="0.25">
      <c r="A1859" s="62">
        <v>10117105</v>
      </c>
      <c r="B1859" s="63" t="s">
        <v>2395</v>
      </c>
      <c r="C1859" s="63" t="s">
        <v>1670</v>
      </c>
      <c r="D1859" s="63" t="s">
        <v>1665</v>
      </c>
      <c r="E1859" s="63" t="s">
        <v>1622</v>
      </c>
      <c r="F1859" s="63" t="s">
        <v>2390</v>
      </c>
      <c r="G1859" s="63" t="s">
        <v>1661</v>
      </c>
      <c r="H1859" s="62" t="s">
        <v>1672</v>
      </c>
      <c r="I1859" s="63" t="s">
        <v>1666</v>
      </c>
      <c r="J1859" t="str">
        <f t="shared" si="60"/>
        <v>10117105 - Pedro Lautaro Ferrer-Clientes</v>
      </c>
      <c r="K1859" t="str">
        <f t="shared" si="61"/>
        <v>Proyectos Inmobiliarios</v>
      </c>
    </row>
    <row r="1860" spans="1:11" x14ac:dyDescent="0.25">
      <c r="A1860" s="62">
        <v>10117204</v>
      </c>
      <c r="B1860" s="63" t="s">
        <v>2396</v>
      </c>
      <c r="C1860" s="63" t="s">
        <v>1670</v>
      </c>
      <c r="D1860" s="63" t="s">
        <v>1665</v>
      </c>
      <c r="E1860" s="63" t="s">
        <v>1624</v>
      </c>
      <c r="F1860" s="63" t="s">
        <v>2390</v>
      </c>
      <c r="G1860" s="63" t="s">
        <v>1661</v>
      </c>
      <c r="H1860" s="62" t="s">
        <v>1672</v>
      </c>
      <c r="I1860" s="63" t="s">
        <v>1666</v>
      </c>
      <c r="J1860" t="str">
        <f t="shared" si="60"/>
        <v>10117204 - Pedro Lautaro Ferrer-Proyecto</v>
      </c>
      <c r="K1860" t="str">
        <f t="shared" si="61"/>
        <v>Proyectos Inmobiliarios</v>
      </c>
    </row>
    <row r="1861" spans="1:11" x14ac:dyDescent="0.25">
      <c r="A1861" s="62">
        <v>10117301</v>
      </c>
      <c r="B1861" s="63" t="s">
        <v>2397</v>
      </c>
      <c r="C1861" s="63" t="s">
        <v>1670</v>
      </c>
      <c r="D1861" s="63" t="s">
        <v>1665</v>
      </c>
      <c r="E1861" s="63" t="s">
        <v>1643</v>
      </c>
      <c r="F1861" s="63" t="s">
        <v>2390</v>
      </c>
      <c r="G1861" s="63" t="s">
        <v>1667</v>
      </c>
      <c r="H1861" s="62" t="s">
        <v>1672</v>
      </c>
      <c r="I1861" s="63" t="s">
        <v>1666</v>
      </c>
      <c r="J1861" t="str">
        <f t="shared" si="60"/>
        <v>10117301 - Pedro Lautaro Ferrer-GAF</v>
      </c>
      <c r="K1861" t="str">
        <f t="shared" si="61"/>
        <v>Proyectos Inmobiliarios</v>
      </c>
    </row>
    <row r="1862" spans="1:11" x14ac:dyDescent="0.25">
      <c r="A1862" s="62">
        <v>10117505</v>
      </c>
      <c r="B1862" s="63" t="s">
        <v>2398</v>
      </c>
      <c r="C1862" s="63" t="s">
        <v>1670</v>
      </c>
      <c r="D1862" s="63" t="s">
        <v>66</v>
      </c>
      <c r="E1862" s="63" t="s">
        <v>328</v>
      </c>
      <c r="F1862" s="63" t="s">
        <v>2390</v>
      </c>
      <c r="G1862" s="63" t="s">
        <v>1661</v>
      </c>
      <c r="H1862" s="62" t="s">
        <v>1672</v>
      </c>
      <c r="I1862" s="63" t="s">
        <v>1666</v>
      </c>
      <c r="J1862" t="str">
        <f t="shared" si="60"/>
        <v>10117505 - Pedro Lautaro Ferrer-PV Inmob.</v>
      </c>
      <c r="K1862" t="str">
        <f t="shared" si="61"/>
        <v>Postventa</v>
      </c>
    </row>
    <row r="1863" spans="1:11" x14ac:dyDescent="0.25">
      <c r="A1863" s="62">
        <v>10117506</v>
      </c>
      <c r="B1863" s="63" t="s">
        <v>2399</v>
      </c>
      <c r="C1863" s="63" t="s">
        <v>1670</v>
      </c>
      <c r="D1863" s="63" t="s">
        <v>1665</v>
      </c>
      <c r="E1863" s="63" t="s">
        <v>200</v>
      </c>
      <c r="F1863" s="63" t="s">
        <v>2390</v>
      </c>
      <c r="G1863" s="63" t="s">
        <v>1661</v>
      </c>
      <c r="H1863" s="62" t="s">
        <v>1672</v>
      </c>
      <c r="I1863" s="63" t="s">
        <v>1666</v>
      </c>
      <c r="J1863" t="str">
        <f t="shared" si="60"/>
        <v>10117506 - Pedro Lautaro Ferrer-Depto.Técnico</v>
      </c>
      <c r="K1863" t="str">
        <f t="shared" si="61"/>
        <v>Proyectos Inmobiliarios</v>
      </c>
    </row>
    <row r="1864" spans="1:11" x14ac:dyDescent="0.25">
      <c r="A1864" s="56">
        <v>999999999</v>
      </c>
      <c r="B1864" s="57" t="s">
        <v>1684</v>
      </c>
      <c r="C1864" s="57"/>
      <c r="D1864" s="57" t="s">
        <v>1578</v>
      </c>
      <c r="E1864" s="57" t="s">
        <v>1578</v>
      </c>
      <c r="F1864" s="57" t="s">
        <v>2400</v>
      </c>
      <c r="G1864" s="57" t="s">
        <v>1661</v>
      </c>
      <c r="H1864" s="56" t="s">
        <v>1672</v>
      </c>
      <c r="I1864" s="57" t="s">
        <v>1662</v>
      </c>
      <c r="J1864" t="str">
        <f t="shared" si="60"/>
        <v>999999999 - Terreno Abuelo Proyectos sin Terreno</v>
      </c>
      <c r="K1864" t="str">
        <f t="shared" si="61"/>
        <v>Terreno</v>
      </c>
    </row>
    <row r="1865" spans="1:11" x14ac:dyDescent="0.25">
      <c r="A1865" s="56">
        <v>48</v>
      </c>
      <c r="B1865" s="57" t="s">
        <v>2401</v>
      </c>
      <c r="C1865" s="57" t="s">
        <v>1670</v>
      </c>
      <c r="D1865" s="57" t="s">
        <v>65</v>
      </c>
      <c r="E1865" s="57" t="s">
        <v>65</v>
      </c>
      <c r="F1865" s="57" t="s">
        <v>2400</v>
      </c>
      <c r="G1865" s="57" t="s">
        <v>1663</v>
      </c>
      <c r="H1865" s="56" t="s">
        <v>1672</v>
      </c>
      <c r="I1865" s="57" t="s">
        <v>1664</v>
      </c>
      <c r="J1865" t="str">
        <f t="shared" si="60"/>
        <v>48 - Pie Andino</v>
      </c>
      <c r="K1865" t="str">
        <f t="shared" si="61"/>
        <v>Obra</v>
      </c>
    </row>
    <row r="1866" spans="1:11" x14ac:dyDescent="0.25">
      <c r="A1866" s="56">
        <v>9048</v>
      </c>
      <c r="B1866" s="57" t="s">
        <v>594</v>
      </c>
      <c r="C1866" s="57" t="s">
        <v>1670</v>
      </c>
      <c r="D1866" s="57" t="s">
        <v>66</v>
      </c>
      <c r="E1866" s="57" t="s">
        <v>328</v>
      </c>
      <c r="F1866" s="57" t="s">
        <v>2400</v>
      </c>
      <c r="G1866" s="57" t="s">
        <v>1661</v>
      </c>
      <c r="H1866" s="56" t="s">
        <v>386</v>
      </c>
      <c r="I1866" s="57" t="s">
        <v>1666</v>
      </c>
      <c r="J1866" t="str">
        <f t="shared" si="60"/>
        <v>9048 - PV Pie Andino              </v>
      </c>
      <c r="K1866" t="str">
        <f t="shared" si="61"/>
        <v>Postventa</v>
      </c>
    </row>
    <row r="1867" spans="1:11" x14ac:dyDescent="0.25">
      <c r="A1867" s="56">
        <v>10120000</v>
      </c>
      <c r="B1867" s="57" t="s">
        <v>2402</v>
      </c>
      <c r="C1867" s="57" t="s">
        <v>1670</v>
      </c>
      <c r="D1867" s="57" t="s">
        <v>1665</v>
      </c>
      <c r="E1867" s="57" t="s">
        <v>1585</v>
      </c>
      <c r="F1867" s="57" t="s">
        <v>2400</v>
      </c>
      <c r="G1867" s="57" t="s">
        <v>1661</v>
      </c>
      <c r="H1867" s="56" t="s">
        <v>1672</v>
      </c>
      <c r="I1867" s="57" t="s">
        <v>1666</v>
      </c>
      <c r="J1867" t="str">
        <f t="shared" si="60"/>
        <v>10120000 - Pie Andino Etapa 1</v>
      </c>
      <c r="K1867" t="str">
        <f t="shared" si="61"/>
        <v>Proyectos Inmobiliarios</v>
      </c>
    </row>
    <row r="1868" spans="1:11" x14ac:dyDescent="0.25">
      <c r="A1868" s="56">
        <v>10120102</v>
      </c>
      <c r="B1868" s="57" t="s">
        <v>2403</v>
      </c>
      <c r="C1868" s="57" t="s">
        <v>1670</v>
      </c>
      <c r="D1868" s="57" t="s">
        <v>1665</v>
      </c>
      <c r="E1868" s="57" t="s">
        <v>1617</v>
      </c>
      <c r="F1868" s="57" t="s">
        <v>2400</v>
      </c>
      <c r="G1868" s="57" t="s">
        <v>1661</v>
      </c>
      <c r="H1868" s="56" t="s">
        <v>1672</v>
      </c>
      <c r="I1868" s="57" t="s">
        <v>1666</v>
      </c>
      <c r="J1868" t="str">
        <f t="shared" si="60"/>
        <v>10120102 - Pie Andino Etapa 1-Marketing</v>
      </c>
      <c r="K1868" t="str">
        <f t="shared" si="61"/>
        <v>Proyectos Inmobiliarios</v>
      </c>
    </row>
    <row r="1869" spans="1:11" x14ac:dyDescent="0.25">
      <c r="A1869" s="56">
        <v>10120103</v>
      </c>
      <c r="B1869" s="57" t="s">
        <v>2404</v>
      </c>
      <c r="C1869" s="57" t="s">
        <v>1670</v>
      </c>
      <c r="D1869" s="57" t="s">
        <v>1665</v>
      </c>
      <c r="E1869" s="57" t="s">
        <v>1618</v>
      </c>
      <c r="F1869" s="57" t="s">
        <v>2400</v>
      </c>
      <c r="G1869" s="57" t="s">
        <v>1661</v>
      </c>
      <c r="H1869" s="56" t="s">
        <v>1672</v>
      </c>
      <c r="I1869" s="57" t="s">
        <v>1666</v>
      </c>
      <c r="J1869" t="str">
        <f t="shared" si="60"/>
        <v>10120103 - Pie Andino Etapa 1-Operaciones</v>
      </c>
      <c r="K1869" t="str">
        <f t="shared" si="61"/>
        <v>Proyectos Inmobiliarios</v>
      </c>
    </row>
    <row r="1870" spans="1:11" x14ac:dyDescent="0.25">
      <c r="A1870" s="56">
        <v>10120104</v>
      </c>
      <c r="B1870" s="57" t="s">
        <v>2405</v>
      </c>
      <c r="C1870" s="57" t="s">
        <v>1670</v>
      </c>
      <c r="D1870" s="57" t="s">
        <v>1665</v>
      </c>
      <c r="E1870" s="57" t="s">
        <v>90</v>
      </c>
      <c r="F1870" s="57" t="s">
        <v>2400</v>
      </c>
      <c r="G1870" s="57" t="s">
        <v>1661</v>
      </c>
      <c r="H1870" s="56" t="s">
        <v>1672</v>
      </c>
      <c r="I1870" s="57" t="s">
        <v>1666</v>
      </c>
      <c r="J1870" t="str">
        <f t="shared" si="60"/>
        <v>10120104 - Pie Andino Etapa 1-Ventas</v>
      </c>
      <c r="K1870" t="str">
        <f t="shared" si="61"/>
        <v>Proyectos Inmobiliarios</v>
      </c>
    </row>
    <row r="1871" spans="1:11" x14ac:dyDescent="0.25">
      <c r="A1871" s="56">
        <v>10120105</v>
      </c>
      <c r="B1871" s="57" t="s">
        <v>2406</v>
      </c>
      <c r="C1871" s="57" t="s">
        <v>1670</v>
      </c>
      <c r="D1871" s="57" t="s">
        <v>1665</v>
      </c>
      <c r="E1871" s="57" t="s">
        <v>1622</v>
      </c>
      <c r="F1871" s="57" t="s">
        <v>2400</v>
      </c>
      <c r="G1871" s="57" t="s">
        <v>1661</v>
      </c>
      <c r="H1871" s="56" t="s">
        <v>1672</v>
      </c>
      <c r="I1871" s="57" t="s">
        <v>1666</v>
      </c>
      <c r="J1871" t="str">
        <f t="shared" si="60"/>
        <v>10120105 - Pie Andino Etapa 1-Clientes</v>
      </c>
      <c r="K1871" t="str">
        <f t="shared" si="61"/>
        <v>Proyectos Inmobiliarios</v>
      </c>
    </row>
    <row r="1872" spans="1:11" x14ac:dyDescent="0.25">
      <c r="A1872" s="56">
        <v>10120204</v>
      </c>
      <c r="B1872" s="57" t="s">
        <v>2407</v>
      </c>
      <c r="C1872" s="57" t="s">
        <v>1670</v>
      </c>
      <c r="D1872" s="57" t="s">
        <v>1665</v>
      </c>
      <c r="E1872" s="57" t="s">
        <v>1624</v>
      </c>
      <c r="F1872" s="57" t="s">
        <v>2400</v>
      </c>
      <c r="G1872" s="57" t="s">
        <v>1661</v>
      </c>
      <c r="H1872" s="56" t="s">
        <v>1672</v>
      </c>
      <c r="I1872" s="57" t="s">
        <v>1666</v>
      </c>
      <c r="J1872" t="str">
        <f t="shared" si="60"/>
        <v>10120204 - Pie Andino Etapa 1-Proyecto</v>
      </c>
      <c r="K1872" t="str">
        <f t="shared" si="61"/>
        <v>Proyectos Inmobiliarios</v>
      </c>
    </row>
    <row r="1873" spans="1:11" x14ac:dyDescent="0.25">
      <c r="A1873" s="56">
        <v>10120301</v>
      </c>
      <c r="B1873" s="57" t="s">
        <v>2408</v>
      </c>
      <c r="C1873" s="57" t="s">
        <v>1670</v>
      </c>
      <c r="D1873" s="57" t="s">
        <v>1665</v>
      </c>
      <c r="E1873" s="57" t="s">
        <v>1643</v>
      </c>
      <c r="F1873" s="57" t="s">
        <v>2400</v>
      </c>
      <c r="G1873" s="57" t="s">
        <v>1667</v>
      </c>
      <c r="H1873" s="56" t="s">
        <v>1672</v>
      </c>
      <c r="I1873" s="57" t="s">
        <v>1666</v>
      </c>
      <c r="J1873" t="str">
        <f t="shared" si="60"/>
        <v>10120301 - Pie Andino Etapa 1-GAF</v>
      </c>
      <c r="K1873" t="str">
        <f t="shared" si="61"/>
        <v>Proyectos Inmobiliarios</v>
      </c>
    </row>
    <row r="1874" spans="1:11" x14ac:dyDescent="0.25">
      <c r="A1874" s="56">
        <v>10120505</v>
      </c>
      <c r="B1874" s="57" t="s">
        <v>2409</v>
      </c>
      <c r="C1874" s="57" t="s">
        <v>1670</v>
      </c>
      <c r="D1874" s="57" t="s">
        <v>66</v>
      </c>
      <c r="E1874" s="57" t="s">
        <v>328</v>
      </c>
      <c r="F1874" s="57" t="s">
        <v>2400</v>
      </c>
      <c r="G1874" s="57" t="s">
        <v>1661</v>
      </c>
      <c r="H1874" s="56" t="s">
        <v>1672</v>
      </c>
      <c r="I1874" s="57" t="s">
        <v>1666</v>
      </c>
      <c r="J1874" t="str">
        <f t="shared" si="60"/>
        <v>10120505 - Pie Andino Etapa 1-PV Inmob.</v>
      </c>
      <c r="K1874" t="str">
        <f t="shared" si="61"/>
        <v>Postventa</v>
      </c>
    </row>
    <row r="1875" spans="1:11" x14ac:dyDescent="0.25">
      <c r="A1875" s="56">
        <v>10120506</v>
      </c>
      <c r="B1875" s="57" t="s">
        <v>2410</v>
      </c>
      <c r="C1875" s="57" t="s">
        <v>1670</v>
      </c>
      <c r="D1875" s="57" t="s">
        <v>1665</v>
      </c>
      <c r="E1875" s="57" t="s">
        <v>200</v>
      </c>
      <c r="F1875" s="57" t="s">
        <v>2400</v>
      </c>
      <c r="G1875" s="57" t="s">
        <v>1661</v>
      </c>
      <c r="H1875" s="56" t="s">
        <v>1672</v>
      </c>
      <c r="I1875" s="57" t="s">
        <v>1666</v>
      </c>
      <c r="J1875" t="str">
        <f t="shared" si="60"/>
        <v>10120506 - Pie Andino Etapa 1-Depto.Técnico</v>
      </c>
      <c r="K1875" t="str">
        <f t="shared" si="61"/>
        <v>Proyectos Inmobiliarios</v>
      </c>
    </row>
    <row r="1876" spans="1:11" x14ac:dyDescent="0.25">
      <c r="A1876" s="50">
        <v>999999999</v>
      </c>
      <c r="B1876" s="51" t="s">
        <v>1684</v>
      </c>
      <c r="C1876" s="51"/>
      <c r="D1876" s="51" t="s">
        <v>1578</v>
      </c>
      <c r="E1876" s="51" t="s">
        <v>1578</v>
      </c>
      <c r="F1876" s="51" t="s">
        <v>2411</v>
      </c>
      <c r="G1876" s="51" t="s">
        <v>1661</v>
      </c>
      <c r="H1876" s="50" t="s">
        <v>1672</v>
      </c>
      <c r="I1876" s="51" t="s">
        <v>1662</v>
      </c>
      <c r="J1876" t="str">
        <f t="shared" si="60"/>
        <v>999999999 - Terreno Abuelo Proyectos sin Terreno</v>
      </c>
      <c r="K1876" t="str">
        <f t="shared" si="61"/>
        <v>Terreno</v>
      </c>
    </row>
    <row r="1877" spans="1:11" x14ac:dyDescent="0.25">
      <c r="A1877" s="50">
        <v>121</v>
      </c>
      <c r="B1877" s="51" t="s">
        <v>2411</v>
      </c>
      <c r="C1877" s="51" t="s">
        <v>1670</v>
      </c>
      <c r="D1877" s="51" t="s">
        <v>65</v>
      </c>
      <c r="E1877" s="51" t="s">
        <v>65</v>
      </c>
      <c r="F1877" s="51" t="s">
        <v>2411</v>
      </c>
      <c r="G1877" s="51" t="s">
        <v>1663</v>
      </c>
      <c r="H1877" s="50" t="s">
        <v>1672</v>
      </c>
      <c r="I1877" s="51" t="s">
        <v>1664</v>
      </c>
      <c r="J1877" t="str">
        <f t="shared" ref="J1877:J1940" si="62">+A1877&amp;" - "&amp;B1877</f>
        <v>121 - Pie Andino Etapa 2</v>
      </c>
      <c r="K1877" t="str">
        <f t="shared" ref="K1877:K1940" si="63">+D1877</f>
        <v>Obra</v>
      </c>
    </row>
    <row r="1878" spans="1:11" x14ac:dyDescent="0.25">
      <c r="A1878" s="50">
        <v>9121</v>
      </c>
      <c r="B1878" s="51" t="s">
        <v>604</v>
      </c>
      <c r="C1878" s="51" t="s">
        <v>1670</v>
      </c>
      <c r="D1878" s="51" t="s">
        <v>66</v>
      </c>
      <c r="E1878" s="51" t="s">
        <v>328</v>
      </c>
      <c r="F1878" s="51" t="s">
        <v>2411</v>
      </c>
      <c r="G1878" s="51" t="s">
        <v>1661</v>
      </c>
      <c r="H1878" s="50" t="s">
        <v>386</v>
      </c>
      <c r="I1878" s="51" t="s">
        <v>1666</v>
      </c>
      <c r="J1878" t="str">
        <f t="shared" si="62"/>
        <v>9121 - PV Pie Andino Etapa 2</v>
      </c>
      <c r="K1878" t="str">
        <f t="shared" si="63"/>
        <v>Postventa</v>
      </c>
    </row>
    <row r="1879" spans="1:11" x14ac:dyDescent="0.25">
      <c r="A1879" s="50">
        <v>10121000</v>
      </c>
      <c r="B1879" s="51" t="s">
        <v>2411</v>
      </c>
      <c r="C1879" s="51" t="s">
        <v>1670</v>
      </c>
      <c r="D1879" s="51" t="s">
        <v>1665</v>
      </c>
      <c r="E1879" s="51" t="s">
        <v>1585</v>
      </c>
      <c r="F1879" s="51" t="s">
        <v>2411</v>
      </c>
      <c r="G1879" s="51" t="s">
        <v>1661</v>
      </c>
      <c r="H1879" s="50" t="s">
        <v>1672</v>
      </c>
      <c r="I1879" s="51" t="s">
        <v>1666</v>
      </c>
      <c r="J1879" t="str">
        <f t="shared" si="62"/>
        <v>10121000 - Pie Andino Etapa 2</v>
      </c>
      <c r="K1879" t="str">
        <f t="shared" si="63"/>
        <v>Proyectos Inmobiliarios</v>
      </c>
    </row>
    <row r="1880" spans="1:11" x14ac:dyDescent="0.25">
      <c r="A1880" s="50">
        <v>10121102</v>
      </c>
      <c r="B1880" s="51" t="s">
        <v>2412</v>
      </c>
      <c r="C1880" s="51" t="s">
        <v>1670</v>
      </c>
      <c r="D1880" s="51" t="s">
        <v>1665</v>
      </c>
      <c r="E1880" s="51" t="s">
        <v>1617</v>
      </c>
      <c r="F1880" s="51" t="s">
        <v>2411</v>
      </c>
      <c r="G1880" s="51" t="s">
        <v>1661</v>
      </c>
      <c r="H1880" s="50" t="s">
        <v>1672</v>
      </c>
      <c r="I1880" s="51" t="s">
        <v>1666</v>
      </c>
      <c r="J1880" t="str">
        <f t="shared" si="62"/>
        <v>10121102 - Pie Andino Etapa 2-Marketing</v>
      </c>
      <c r="K1880" t="str">
        <f t="shared" si="63"/>
        <v>Proyectos Inmobiliarios</v>
      </c>
    </row>
    <row r="1881" spans="1:11" x14ac:dyDescent="0.25">
      <c r="A1881" s="50">
        <v>10121103</v>
      </c>
      <c r="B1881" s="51" t="s">
        <v>2413</v>
      </c>
      <c r="C1881" s="51" t="s">
        <v>1670</v>
      </c>
      <c r="D1881" s="51" t="s">
        <v>1665</v>
      </c>
      <c r="E1881" s="51" t="s">
        <v>1618</v>
      </c>
      <c r="F1881" s="51" t="s">
        <v>2411</v>
      </c>
      <c r="G1881" s="51" t="s">
        <v>1661</v>
      </c>
      <c r="H1881" s="50" t="s">
        <v>1672</v>
      </c>
      <c r="I1881" s="51" t="s">
        <v>1666</v>
      </c>
      <c r="J1881" t="str">
        <f t="shared" si="62"/>
        <v>10121103 - Pie Andino Etapa 2-Operaciones</v>
      </c>
      <c r="K1881" t="str">
        <f t="shared" si="63"/>
        <v>Proyectos Inmobiliarios</v>
      </c>
    </row>
    <row r="1882" spans="1:11" x14ac:dyDescent="0.25">
      <c r="A1882" s="50">
        <v>10121104</v>
      </c>
      <c r="B1882" s="51" t="s">
        <v>2414</v>
      </c>
      <c r="C1882" s="51" t="s">
        <v>1670</v>
      </c>
      <c r="D1882" s="51" t="s">
        <v>1665</v>
      </c>
      <c r="E1882" s="51" t="s">
        <v>90</v>
      </c>
      <c r="F1882" s="51" t="s">
        <v>2411</v>
      </c>
      <c r="G1882" s="51" t="s">
        <v>1661</v>
      </c>
      <c r="H1882" s="50" t="s">
        <v>1672</v>
      </c>
      <c r="I1882" s="51" t="s">
        <v>1666</v>
      </c>
      <c r="J1882" t="str">
        <f t="shared" si="62"/>
        <v>10121104 - Pie Andino Etapa 2-Ventas</v>
      </c>
      <c r="K1882" t="str">
        <f t="shared" si="63"/>
        <v>Proyectos Inmobiliarios</v>
      </c>
    </row>
    <row r="1883" spans="1:11" x14ac:dyDescent="0.25">
      <c r="A1883" s="50">
        <v>10121105</v>
      </c>
      <c r="B1883" s="51" t="s">
        <v>2415</v>
      </c>
      <c r="C1883" s="51" t="s">
        <v>1670</v>
      </c>
      <c r="D1883" s="51" t="s">
        <v>1665</v>
      </c>
      <c r="E1883" s="51" t="s">
        <v>1622</v>
      </c>
      <c r="F1883" s="51" t="s">
        <v>2411</v>
      </c>
      <c r="G1883" s="51" t="s">
        <v>1661</v>
      </c>
      <c r="H1883" s="50" t="s">
        <v>1672</v>
      </c>
      <c r="I1883" s="51" t="s">
        <v>1666</v>
      </c>
      <c r="J1883" t="str">
        <f t="shared" si="62"/>
        <v>10121105 - Pie Andino Etapa 2-Clientes</v>
      </c>
      <c r="K1883" t="str">
        <f t="shared" si="63"/>
        <v>Proyectos Inmobiliarios</v>
      </c>
    </row>
    <row r="1884" spans="1:11" x14ac:dyDescent="0.25">
      <c r="A1884" s="50">
        <v>10121204</v>
      </c>
      <c r="B1884" s="51" t="s">
        <v>2416</v>
      </c>
      <c r="C1884" s="51" t="s">
        <v>1670</v>
      </c>
      <c r="D1884" s="51" t="s">
        <v>1665</v>
      </c>
      <c r="E1884" s="51" t="s">
        <v>1624</v>
      </c>
      <c r="F1884" s="51" t="s">
        <v>2411</v>
      </c>
      <c r="G1884" s="51" t="s">
        <v>1661</v>
      </c>
      <c r="H1884" s="50" t="s">
        <v>1672</v>
      </c>
      <c r="I1884" s="51" t="s">
        <v>1666</v>
      </c>
      <c r="J1884" t="str">
        <f t="shared" si="62"/>
        <v>10121204 - Pie Andino Etapa 2-Proyecto</v>
      </c>
      <c r="K1884" t="str">
        <f t="shared" si="63"/>
        <v>Proyectos Inmobiliarios</v>
      </c>
    </row>
    <row r="1885" spans="1:11" x14ac:dyDescent="0.25">
      <c r="A1885" s="50">
        <v>10121301</v>
      </c>
      <c r="B1885" s="51" t="s">
        <v>2417</v>
      </c>
      <c r="C1885" s="51" t="s">
        <v>1670</v>
      </c>
      <c r="D1885" s="51" t="s">
        <v>1665</v>
      </c>
      <c r="E1885" s="51" t="s">
        <v>1643</v>
      </c>
      <c r="F1885" s="51" t="s">
        <v>2411</v>
      </c>
      <c r="G1885" s="51" t="s">
        <v>1667</v>
      </c>
      <c r="H1885" s="50" t="s">
        <v>1672</v>
      </c>
      <c r="I1885" s="51" t="s">
        <v>1666</v>
      </c>
      <c r="J1885" t="str">
        <f t="shared" si="62"/>
        <v>10121301 - Pie Andino Etapa 2-GAF</v>
      </c>
      <c r="K1885" t="str">
        <f t="shared" si="63"/>
        <v>Proyectos Inmobiliarios</v>
      </c>
    </row>
    <row r="1886" spans="1:11" x14ac:dyDescent="0.25">
      <c r="A1886" s="50">
        <v>10121505</v>
      </c>
      <c r="B1886" s="51" t="s">
        <v>2418</v>
      </c>
      <c r="C1886" s="51" t="s">
        <v>1670</v>
      </c>
      <c r="D1886" s="51" t="s">
        <v>66</v>
      </c>
      <c r="E1886" s="51" t="s">
        <v>328</v>
      </c>
      <c r="F1886" s="51" t="s">
        <v>2411</v>
      </c>
      <c r="G1886" s="51" t="s">
        <v>1661</v>
      </c>
      <c r="H1886" s="50" t="s">
        <v>1672</v>
      </c>
      <c r="I1886" s="51" t="s">
        <v>1666</v>
      </c>
      <c r="J1886" t="str">
        <f t="shared" si="62"/>
        <v>10121505 - Pie Andino Etapa 2-PV Inmob.</v>
      </c>
      <c r="K1886" t="str">
        <f t="shared" si="63"/>
        <v>Postventa</v>
      </c>
    </row>
    <row r="1887" spans="1:11" x14ac:dyDescent="0.25">
      <c r="A1887" s="50">
        <v>10121506</v>
      </c>
      <c r="B1887" s="51" t="s">
        <v>2419</v>
      </c>
      <c r="C1887" s="51" t="s">
        <v>1670</v>
      </c>
      <c r="D1887" s="51" t="s">
        <v>1665</v>
      </c>
      <c r="E1887" s="51" t="s">
        <v>200</v>
      </c>
      <c r="F1887" s="51" t="s">
        <v>2411</v>
      </c>
      <c r="G1887" s="51" t="s">
        <v>1661</v>
      </c>
      <c r="H1887" s="50" t="s">
        <v>1672</v>
      </c>
      <c r="I1887" s="51" t="s">
        <v>1666</v>
      </c>
      <c r="J1887" t="str">
        <f t="shared" si="62"/>
        <v>10121506 - Pie Andino Etapa 2-Depto.Técnico</v>
      </c>
      <c r="K1887" t="str">
        <f t="shared" si="63"/>
        <v>Proyectos Inmobiliarios</v>
      </c>
    </row>
    <row r="1888" spans="1:11" x14ac:dyDescent="0.25">
      <c r="A1888" s="54">
        <v>999999999</v>
      </c>
      <c r="B1888" s="55" t="s">
        <v>1684</v>
      </c>
      <c r="C1888" s="55"/>
      <c r="D1888" s="55" t="s">
        <v>1578</v>
      </c>
      <c r="E1888" s="55" t="s">
        <v>1578</v>
      </c>
      <c r="F1888" s="55" t="s">
        <v>2420</v>
      </c>
      <c r="G1888" s="55" t="s">
        <v>1661</v>
      </c>
      <c r="H1888" s="54" t="s">
        <v>1672</v>
      </c>
      <c r="I1888" s="55" t="s">
        <v>1662</v>
      </c>
      <c r="J1888" t="str">
        <f t="shared" si="62"/>
        <v>999999999 - Terreno Abuelo Proyectos sin Terreno</v>
      </c>
      <c r="K1888" t="str">
        <f t="shared" si="63"/>
        <v>Terreno</v>
      </c>
    </row>
    <row r="1889" spans="1:11" x14ac:dyDescent="0.25">
      <c r="A1889" s="54">
        <v>122</v>
      </c>
      <c r="B1889" s="55" t="s">
        <v>2420</v>
      </c>
      <c r="C1889" s="55" t="s">
        <v>1670</v>
      </c>
      <c r="D1889" s="55" t="s">
        <v>65</v>
      </c>
      <c r="E1889" s="55" t="s">
        <v>65</v>
      </c>
      <c r="F1889" s="55" t="s">
        <v>2420</v>
      </c>
      <c r="G1889" s="55" t="s">
        <v>1663</v>
      </c>
      <c r="H1889" s="54" t="s">
        <v>1672</v>
      </c>
      <c r="I1889" s="55" t="s">
        <v>1664</v>
      </c>
      <c r="J1889" t="str">
        <f t="shared" si="62"/>
        <v>122 - Pie Andino Etapa 3</v>
      </c>
      <c r="K1889" t="str">
        <f t="shared" si="63"/>
        <v>Obra</v>
      </c>
    </row>
    <row r="1890" spans="1:11" x14ac:dyDescent="0.25">
      <c r="A1890" s="54">
        <v>9122</v>
      </c>
      <c r="B1890" s="55" t="s">
        <v>605</v>
      </c>
      <c r="C1890" s="55" t="s">
        <v>1670</v>
      </c>
      <c r="D1890" s="55" t="s">
        <v>66</v>
      </c>
      <c r="E1890" s="55" t="s">
        <v>328</v>
      </c>
      <c r="F1890" s="55" t="s">
        <v>2420</v>
      </c>
      <c r="G1890" s="55" t="s">
        <v>1661</v>
      </c>
      <c r="H1890" s="54" t="s">
        <v>386</v>
      </c>
      <c r="I1890" s="55" t="s">
        <v>1666</v>
      </c>
      <c r="J1890" t="str">
        <f t="shared" si="62"/>
        <v>9122 - PV Pie Andino Etapa 3</v>
      </c>
      <c r="K1890" t="str">
        <f t="shared" si="63"/>
        <v>Postventa</v>
      </c>
    </row>
    <row r="1891" spans="1:11" x14ac:dyDescent="0.25">
      <c r="A1891" s="54">
        <v>10122000</v>
      </c>
      <c r="B1891" s="55" t="s">
        <v>2420</v>
      </c>
      <c r="C1891" s="55" t="s">
        <v>1670</v>
      </c>
      <c r="D1891" s="55" t="s">
        <v>1665</v>
      </c>
      <c r="E1891" s="55" t="s">
        <v>1585</v>
      </c>
      <c r="F1891" s="55" t="s">
        <v>2420</v>
      </c>
      <c r="G1891" s="55" t="s">
        <v>1661</v>
      </c>
      <c r="H1891" s="54" t="s">
        <v>1672</v>
      </c>
      <c r="I1891" s="55" t="s">
        <v>1666</v>
      </c>
      <c r="J1891" t="str">
        <f t="shared" si="62"/>
        <v>10122000 - Pie Andino Etapa 3</v>
      </c>
      <c r="K1891" t="str">
        <f t="shared" si="63"/>
        <v>Proyectos Inmobiliarios</v>
      </c>
    </row>
    <row r="1892" spans="1:11" x14ac:dyDescent="0.25">
      <c r="A1892" s="54">
        <v>10122102</v>
      </c>
      <c r="B1892" s="55" t="s">
        <v>2421</v>
      </c>
      <c r="C1892" s="55" t="s">
        <v>1670</v>
      </c>
      <c r="D1892" s="55" t="s">
        <v>1665</v>
      </c>
      <c r="E1892" s="55" t="s">
        <v>1617</v>
      </c>
      <c r="F1892" s="55" t="s">
        <v>2420</v>
      </c>
      <c r="G1892" s="55" t="s">
        <v>1661</v>
      </c>
      <c r="H1892" s="54" t="s">
        <v>1672</v>
      </c>
      <c r="I1892" s="55" t="s">
        <v>1666</v>
      </c>
      <c r="J1892" t="str">
        <f t="shared" si="62"/>
        <v>10122102 - Pie Andino Etapa 3-Marketing</v>
      </c>
      <c r="K1892" t="str">
        <f t="shared" si="63"/>
        <v>Proyectos Inmobiliarios</v>
      </c>
    </row>
    <row r="1893" spans="1:11" x14ac:dyDescent="0.25">
      <c r="A1893" s="54">
        <v>10122103</v>
      </c>
      <c r="B1893" s="55" t="s">
        <v>2422</v>
      </c>
      <c r="C1893" s="55" t="s">
        <v>1670</v>
      </c>
      <c r="D1893" s="55" t="s">
        <v>1665</v>
      </c>
      <c r="E1893" s="55" t="s">
        <v>1618</v>
      </c>
      <c r="F1893" s="55" t="s">
        <v>2420</v>
      </c>
      <c r="G1893" s="55" t="s">
        <v>1661</v>
      </c>
      <c r="H1893" s="54" t="s">
        <v>1672</v>
      </c>
      <c r="I1893" s="55" t="s">
        <v>1666</v>
      </c>
      <c r="J1893" t="str">
        <f t="shared" si="62"/>
        <v>10122103 - Pie Andino Etapa 3-Operaciones</v>
      </c>
      <c r="K1893" t="str">
        <f t="shared" si="63"/>
        <v>Proyectos Inmobiliarios</v>
      </c>
    </row>
    <row r="1894" spans="1:11" x14ac:dyDescent="0.25">
      <c r="A1894" s="54">
        <v>10122104</v>
      </c>
      <c r="B1894" s="55" t="s">
        <v>2423</v>
      </c>
      <c r="C1894" s="55" t="s">
        <v>1670</v>
      </c>
      <c r="D1894" s="55" t="s">
        <v>1665</v>
      </c>
      <c r="E1894" s="55" t="s">
        <v>90</v>
      </c>
      <c r="F1894" s="55" t="s">
        <v>2420</v>
      </c>
      <c r="G1894" s="55" t="s">
        <v>1661</v>
      </c>
      <c r="H1894" s="54" t="s">
        <v>1672</v>
      </c>
      <c r="I1894" s="55" t="s">
        <v>1666</v>
      </c>
      <c r="J1894" t="str">
        <f t="shared" si="62"/>
        <v>10122104 - Pie Andino Etapa 3-Ventas</v>
      </c>
      <c r="K1894" t="str">
        <f t="shared" si="63"/>
        <v>Proyectos Inmobiliarios</v>
      </c>
    </row>
    <row r="1895" spans="1:11" x14ac:dyDescent="0.25">
      <c r="A1895" s="54">
        <v>10122105</v>
      </c>
      <c r="B1895" s="55" t="s">
        <v>2424</v>
      </c>
      <c r="C1895" s="55" t="s">
        <v>1670</v>
      </c>
      <c r="D1895" s="55" t="s">
        <v>1665</v>
      </c>
      <c r="E1895" s="55" t="s">
        <v>1622</v>
      </c>
      <c r="F1895" s="55" t="s">
        <v>2420</v>
      </c>
      <c r="G1895" s="55" t="s">
        <v>1661</v>
      </c>
      <c r="H1895" s="54" t="s">
        <v>1672</v>
      </c>
      <c r="I1895" s="55" t="s">
        <v>1666</v>
      </c>
      <c r="J1895" t="str">
        <f t="shared" si="62"/>
        <v>10122105 - Pie Andino Etapa 3-Clientes</v>
      </c>
      <c r="K1895" t="str">
        <f t="shared" si="63"/>
        <v>Proyectos Inmobiliarios</v>
      </c>
    </row>
    <row r="1896" spans="1:11" x14ac:dyDescent="0.25">
      <c r="A1896" s="54">
        <v>10122204</v>
      </c>
      <c r="B1896" s="55" t="s">
        <v>2425</v>
      </c>
      <c r="C1896" s="55" t="s">
        <v>1670</v>
      </c>
      <c r="D1896" s="55" t="s">
        <v>1665</v>
      </c>
      <c r="E1896" s="55" t="s">
        <v>1624</v>
      </c>
      <c r="F1896" s="55" t="s">
        <v>2420</v>
      </c>
      <c r="G1896" s="55" t="s">
        <v>1661</v>
      </c>
      <c r="H1896" s="54" t="s">
        <v>1672</v>
      </c>
      <c r="I1896" s="55" t="s">
        <v>1666</v>
      </c>
      <c r="J1896" t="str">
        <f t="shared" si="62"/>
        <v>10122204 - Pie Andino Etapa 3-Proyecto</v>
      </c>
      <c r="K1896" t="str">
        <f t="shared" si="63"/>
        <v>Proyectos Inmobiliarios</v>
      </c>
    </row>
    <row r="1897" spans="1:11" x14ac:dyDescent="0.25">
      <c r="A1897" s="54">
        <v>10122301</v>
      </c>
      <c r="B1897" s="55" t="s">
        <v>2426</v>
      </c>
      <c r="C1897" s="55" t="s">
        <v>1670</v>
      </c>
      <c r="D1897" s="55" t="s">
        <v>1665</v>
      </c>
      <c r="E1897" s="55" t="s">
        <v>1643</v>
      </c>
      <c r="F1897" s="55" t="s">
        <v>2420</v>
      </c>
      <c r="G1897" s="55" t="s">
        <v>1667</v>
      </c>
      <c r="H1897" s="54" t="s">
        <v>1672</v>
      </c>
      <c r="I1897" s="55" t="s">
        <v>1666</v>
      </c>
      <c r="J1897" t="str">
        <f t="shared" si="62"/>
        <v>10122301 - Pie Andino Etapa 3-GAF</v>
      </c>
      <c r="K1897" t="str">
        <f t="shared" si="63"/>
        <v>Proyectos Inmobiliarios</v>
      </c>
    </row>
    <row r="1898" spans="1:11" x14ac:dyDescent="0.25">
      <c r="A1898" s="54">
        <v>10122505</v>
      </c>
      <c r="B1898" s="55" t="s">
        <v>2427</v>
      </c>
      <c r="C1898" s="55" t="s">
        <v>1670</v>
      </c>
      <c r="D1898" s="55" t="s">
        <v>66</v>
      </c>
      <c r="E1898" s="55" t="s">
        <v>328</v>
      </c>
      <c r="F1898" s="55" t="s">
        <v>2420</v>
      </c>
      <c r="G1898" s="55" t="s">
        <v>1661</v>
      </c>
      <c r="H1898" s="54" t="s">
        <v>1672</v>
      </c>
      <c r="I1898" s="55" t="s">
        <v>1666</v>
      </c>
      <c r="J1898" t="str">
        <f t="shared" si="62"/>
        <v>10122505 - Pie Andino Etapa 3-PV Inmob.</v>
      </c>
      <c r="K1898" t="str">
        <f t="shared" si="63"/>
        <v>Postventa</v>
      </c>
    </row>
    <row r="1899" spans="1:11" x14ac:dyDescent="0.25">
      <c r="A1899" s="54">
        <v>10122506</v>
      </c>
      <c r="B1899" s="55" t="s">
        <v>2428</v>
      </c>
      <c r="C1899" s="55" t="s">
        <v>1670</v>
      </c>
      <c r="D1899" s="55" t="s">
        <v>1665</v>
      </c>
      <c r="E1899" s="55" t="s">
        <v>200</v>
      </c>
      <c r="F1899" s="55" t="s">
        <v>2420</v>
      </c>
      <c r="G1899" s="55" t="s">
        <v>1661</v>
      </c>
      <c r="H1899" s="54" t="s">
        <v>1672</v>
      </c>
      <c r="I1899" s="55" t="s">
        <v>1666</v>
      </c>
      <c r="J1899" t="str">
        <f t="shared" si="62"/>
        <v>10122506 - Pie Andino Etapa 3-Depto.Técnico</v>
      </c>
      <c r="K1899" t="str">
        <f t="shared" si="63"/>
        <v>Proyectos Inmobiliarios</v>
      </c>
    </row>
    <row r="1900" spans="1:11" x14ac:dyDescent="0.25">
      <c r="A1900" s="50">
        <v>999999999</v>
      </c>
      <c r="B1900" s="51" t="s">
        <v>1684</v>
      </c>
      <c r="C1900" s="51"/>
      <c r="D1900" s="51" t="s">
        <v>1578</v>
      </c>
      <c r="E1900" s="51" t="s">
        <v>1578</v>
      </c>
      <c r="F1900" s="51" t="s">
        <v>2429</v>
      </c>
      <c r="G1900" s="51" t="s">
        <v>1661</v>
      </c>
      <c r="H1900" s="50" t="s">
        <v>1672</v>
      </c>
      <c r="I1900" s="51" t="s">
        <v>1662</v>
      </c>
      <c r="J1900" t="str">
        <f t="shared" si="62"/>
        <v>999999999 - Terreno Abuelo Proyectos sin Terreno</v>
      </c>
      <c r="K1900" t="str">
        <f t="shared" si="63"/>
        <v>Terreno</v>
      </c>
    </row>
    <row r="1901" spans="1:11" x14ac:dyDescent="0.25">
      <c r="A1901" s="50">
        <v>123</v>
      </c>
      <c r="B1901" s="51" t="s">
        <v>2429</v>
      </c>
      <c r="C1901" s="51" t="s">
        <v>1670</v>
      </c>
      <c r="D1901" s="51" t="s">
        <v>65</v>
      </c>
      <c r="E1901" s="51" t="s">
        <v>65</v>
      </c>
      <c r="F1901" s="51" t="s">
        <v>2429</v>
      </c>
      <c r="G1901" s="51" t="s">
        <v>1663</v>
      </c>
      <c r="H1901" s="50" t="s">
        <v>1672</v>
      </c>
      <c r="I1901" s="51" t="s">
        <v>1664</v>
      </c>
      <c r="J1901" t="str">
        <f t="shared" si="62"/>
        <v>123 - Pie Andino Etapa 4</v>
      </c>
      <c r="K1901" t="str">
        <f t="shared" si="63"/>
        <v>Obra</v>
      </c>
    </row>
    <row r="1902" spans="1:11" x14ac:dyDescent="0.25">
      <c r="A1902" s="50">
        <v>9123</v>
      </c>
      <c r="B1902" s="51" t="s">
        <v>606</v>
      </c>
      <c r="C1902" s="51" t="s">
        <v>1670</v>
      </c>
      <c r="D1902" s="51" t="s">
        <v>66</v>
      </c>
      <c r="E1902" s="51" t="s">
        <v>328</v>
      </c>
      <c r="F1902" s="51" t="s">
        <v>2429</v>
      </c>
      <c r="G1902" s="51" t="s">
        <v>1661</v>
      </c>
      <c r="H1902" s="50" t="s">
        <v>386</v>
      </c>
      <c r="I1902" s="51" t="s">
        <v>1666</v>
      </c>
      <c r="J1902" t="str">
        <f t="shared" si="62"/>
        <v>9123 - PV Pie Andino Etapa 4</v>
      </c>
      <c r="K1902" t="str">
        <f t="shared" si="63"/>
        <v>Postventa</v>
      </c>
    </row>
    <row r="1903" spans="1:11" x14ac:dyDescent="0.25">
      <c r="A1903" s="50">
        <v>10123000</v>
      </c>
      <c r="B1903" s="51" t="s">
        <v>2429</v>
      </c>
      <c r="C1903" s="51" t="s">
        <v>1670</v>
      </c>
      <c r="D1903" s="51" t="s">
        <v>1665</v>
      </c>
      <c r="E1903" s="51" t="s">
        <v>1585</v>
      </c>
      <c r="F1903" s="51" t="s">
        <v>2429</v>
      </c>
      <c r="G1903" s="51" t="s">
        <v>1661</v>
      </c>
      <c r="H1903" s="50" t="s">
        <v>1672</v>
      </c>
      <c r="I1903" s="51" t="s">
        <v>1666</v>
      </c>
      <c r="J1903" t="str">
        <f t="shared" si="62"/>
        <v>10123000 - Pie Andino Etapa 4</v>
      </c>
      <c r="K1903" t="str">
        <f t="shared" si="63"/>
        <v>Proyectos Inmobiliarios</v>
      </c>
    </row>
    <row r="1904" spans="1:11" x14ac:dyDescent="0.25">
      <c r="A1904" s="50">
        <v>10123102</v>
      </c>
      <c r="B1904" s="51" t="s">
        <v>2430</v>
      </c>
      <c r="C1904" s="51" t="s">
        <v>1670</v>
      </c>
      <c r="D1904" s="51" t="s">
        <v>1665</v>
      </c>
      <c r="E1904" s="51" t="s">
        <v>1617</v>
      </c>
      <c r="F1904" s="51" t="s">
        <v>2429</v>
      </c>
      <c r="G1904" s="51" t="s">
        <v>1661</v>
      </c>
      <c r="H1904" s="50" t="s">
        <v>1672</v>
      </c>
      <c r="I1904" s="51" t="s">
        <v>1666</v>
      </c>
      <c r="J1904" t="str">
        <f t="shared" si="62"/>
        <v>10123102 - Pie Andino Etapa 4-Marketing</v>
      </c>
      <c r="K1904" t="str">
        <f t="shared" si="63"/>
        <v>Proyectos Inmobiliarios</v>
      </c>
    </row>
    <row r="1905" spans="1:11" x14ac:dyDescent="0.25">
      <c r="A1905" s="50">
        <v>10123103</v>
      </c>
      <c r="B1905" s="51" t="s">
        <v>2431</v>
      </c>
      <c r="C1905" s="51" t="s">
        <v>1670</v>
      </c>
      <c r="D1905" s="51" t="s">
        <v>1665</v>
      </c>
      <c r="E1905" s="51" t="s">
        <v>1618</v>
      </c>
      <c r="F1905" s="51" t="s">
        <v>2429</v>
      </c>
      <c r="G1905" s="51" t="s">
        <v>1661</v>
      </c>
      <c r="H1905" s="50" t="s">
        <v>1672</v>
      </c>
      <c r="I1905" s="51" t="s">
        <v>1666</v>
      </c>
      <c r="J1905" t="str">
        <f t="shared" si="62"/>
        <v>10123103 - Pie Andino Etapa 4-Operaciones</v>
      </c>
      <c r="K1905" t="str">
        <f t="shared" si="63"/>
        <v>Proyectos Inmobiliarios</v>
      </c>
    </row>
    <row r="1906" spans="1:11" x14ac:dyDescent="0.25">
      <c r="A1906" s="50">
        <v>10123104</v>
      </c>
      <c r="B1906" s="51" t="s">
        <v>2432</v>
      </c>
      <c r="C1906" s="51" t="s">
        <v>1670</v>
      </c>
      <c r="D1906" s="51" t="s">
        <v>1665</v>
      </c>
      <c r="E1906" s="51" t="s">
        <v>90</v>
      </c>
      <c r="F1906" s="51" t="s">
        <v>2429</v>
      </c>
      <c r="G1906" s="51" t="s">
        <v>1661</v>
      </c>
      <c r="H1906" s="50" t="s">
        <v>1672</v>
      </c>
      <c r="I1906" s="51" t="s">
        <v>1666</v>
      </c>
      <c r="J1906" t="str">
        <f t="shared" si="62"/>
        <v>10123104 - Pie Andino Etapa 4-Ventas</v>
      </c>
      <c r="K1906" t="str">
        <f t="shared" si="63"/>
        <v>Proyectos Inmobiliarios</v>
      </c>
    </row>
    <row r="1907" spans="1:11" x14ac:dyDescent="0.25">
      <c r="A1907" s="50">
        <v>10123105</v>
      </c>
      <c r="B1907" s="51" t="s">
        <v>2433</v>
      </c>
      <c r="C1907" s="51" t="s">
        <v>1670</v>
      </c>
      <c r="D1907" s="51" t="s">
        <v>1665</v>
      </c>
      <c r="E1907" s="51" t="s">
        <v>1622</v>
      </c>
      <c r="F1907" s="51" t="s">
        <v>2429</v>
      </c>
      <c r="G1907" s="51" t="s">
        <v>1661</v>
      </c>
      <c r="H1907" s="50" t="s">
        <v>1672</v>
      </c>
      <c r="I1907" s="51" t="s">
        <v>1666</v>
      </c>
      <c r="J1907" t="str">
        <f t="shared" si="62"/>
        <v>10123105 - Pie Andino Etapa 4-Clientes</v>
      </c>
      <c r="K1907" t="str">
        <f t="shared" si="63"/>
        <v>Proyectos Inmobiliarios</v>
      </c>
    </row>
    <row r="1908" spans="1:11" x14ac:dyDescent="0.25">
      <c r="A1908" s="50">
        <v>10123204</v>
      </c>
      <c r="B1908" s="51" t="s">
        <v>2434</v>
      </c>
      <c r="C1908" s="51" t="s">
        <v>1670</v>
      </c>
      <c r="D1908" s="51" t="s">
        <v>1665</v>
      </c>
      <c r="E1908" s="51" t="s">
        <v>1624</v>
      </c>
      <c r="F1908" s="51" t="s">
        <v>2429</v>
      </c>
      <c r="G1908" s="51" t="s">
        <v>1661</v>
      </c>
      <c r="H1908" s="50" t="s">
        <v>1672</v>
      </c>
      <c r="I1908" s="51" t="s">
        <v>1666</v>
      </c>
      <c r="J1908" t="str">
        <f t="shared" si="62"/>
        <v>10123204 - Pie Andino Etapa 4-Proyecto</v>
      </c>
      <c r="K1908" t="str">
        <f t="shared" si="63"/>
        <v>Proyectos Inmobiliarios</v>
      </c>
    </row>
    <row r="1909" spans="1:11" x14ac:dyDescent="0.25">
      <c r="A1909" s="50">
        <v>10123301</v>
      </c>
      <c r="B1909" s="51" t="s">
        <v>2435</v>
      </c>
      <c r="C1909" s="51" t="s">
        <v>1670</v>
      </c>
      <c r="D1909" s="51" t="s">
        <v>1665</v>
      </c>
      <c r="E1909" s="51" t="s">
        <v>1643</v>
      </c>
      <c r="F1909" s="51" t="s">
        <v>2429</v>
      </c>
      <c r="G1909" s="51" t="s">
        <v>1667</v>
      </c>
      <c r="H1909" s="50" t="s">
        <v>1672</v>
      </c>
      <c r="I1909" s="51" t="s">
        <v>1666</v>
      </c>
      <c r="J1909" t="str">
        <f t="shared" si="62"/>
        <v>10123301 - Pie Andino Etapa 4-GAF</v>
      </c>
      <c r="K1909" t="str">
        <f t="shared" si="63"/>
        <v>Proyectos Inmobiliarios</v>
      </c>
    </row>
    <row r="1910" spans="1:11" x14ac:dyDescent="0.25">
      <c r="A1910" s="50">
        <v>10123505</v>
      </c>
      <c r="B1910" s="51" t="s">
        <v>2436</v>
      </c>
      <c r="C1910" s="51" t="s">
        <v>1670</v>
      </c>
      <c r="D1910" s="51" t="s">
        <v>66</v>
      </c>
      <c r="E1910" s="51" t="s">
        <v>328</v>
      </c>
      <c r="F1910" s="51" t="s">
        <v>2429</v>
      </c>
      <c r="G1910" s="51" t="s">
        <v>1661</v>
      </c>
      <c r="H1910" s="50" t="s">
        <v>1672</v>
      </c>
      <c r="I1910" s="51" t="s">
        <v>1666</v>
      </c>
      <c r="J1910" t="str">
        <f t="shared" si="62"/>
        <v>10123505 - Pie Andino Etapa 4-PV Inmob.</v>
      </c>
      <c r="K1910" t="str">
        <f t="shared" si="63"/>
        <v>Postventa</v>
      </c>
    </row>
    <row r="1911" spans="1:11" x14ac:dyDescent="0.25">
      <c r="A1911" s="50">
        <v>10123506</v>
      </c>
      <c r="B1911" s="51" t="s">
        <v>2437</v>
      </c>
      <c r="C1911" s="51" t="s">
        <v>1670</v>
      </c>
      <c r="D1911" s="51" t="s">
        <v>1665</v>
      </c>
      <c r="E1911" s="51" t="s">
        <v>200</v>
      </c>
      <c r="F1911" s="51" t="s">
        <v>2429</v>
      </c>
      <c r="G1911" s="51" t="s">
        <v>1661</v>
      </c>
      <c r="H1911" s="50" t="s">
        <v>1672</v>
      </c>
      <c r="I1911" s="51" t="s">
        <v>1666</v>
      </c>
      <c r="J1911" t="str">
        <f t="shared" si="62"/>
        <v>10123506 - Pie Andino Etapa 4-Depto.Técnico</v>
      </c>
      <c r="K1911" t="str">
        <f t="shared" si="63"/>
        <v>Proyectos Inmobiliarios</v>
      </c>
    </row>
    <row r="1912" spans="1:11" x14ac:dyDescent="0.25">
      <c r="A1912" s="56">
        <v>999999999</v>
      </c>
      <c r="B1912" s="57" t="s">
        <v>1684</v>
      </c>
      <c r="C1912" s="57"/>
      <c r="D1912" s="57" t="s">
        <v>1578</v>
      </c>
      <c r="E1912" s="57" t="s">
        <v>1578</v>
      </c>
      <c r="F1912" s="57" t="s">
        <v>2438</v>
      </c>
      <c r="G1912" s="57" t="s">
        <v>1661</v>
      </c>
      <c r="H1912" s="56" t="s">
        <v>1672</v>
      </c>
      <c r="I1912" s="57" t="s">
        <v>1662</v>
      </c>
      <c r="J1912" t="str">
        <f t="shared" si="62"/>
        <v>999999999 - Terreno Abuelo Proyectos sin Terreno</v>
      </c>
      <c r="K1912" t="str">
        <f t="shared" si="63"/>
        <v>Terreno</v>
      </c>
    </row>
    <row r="1913" spans="1:11" x14ac:dyDescent="0.25">
      <c r="A1913" s="56">
        <v>999</v>
      </c>
      <c r="B1913" s="57" t="s">
        <v>1808</v>
      </c>
      <c r="C1913" s="57"/>
      <c r="D1913" s="57" t="s">
        <v>65</v>
      </c>
      <c r="E1913" s="57" t="s">
        <v>65</v>
      </c>
      <c r="F1913" s="57" t="s">
        <v>2438</v>
      </c>
      <c r="G1913" s="57" t="s">
        <v>1663</v>
      </c>
      <c r="H1913" s="56" t="s">
        <v>1672</v>
      </c>
      <c r="I1913" s="57" t="s">
        <v>1664</v>
      </c>
      <c r="J1913" t="str">
        <f t="shared" si="62"/>
        <v>999 - Obra Padre Proyectos sin Obra</v>
      </c>
      <c r="K1913" t="str">
        <f t="shared" si="63"/>
        <v>Obra</v>
      </c>
    </row>
    <row r="1914" spans="1:11" x14ac:dyDescent="0.25">
      <c r="A1914" s="56">
        <v>10175204</v>
      </c>
      <c r="B1914" s="57" t="s">
        <v>2439</v>
      </c>
      <c r="C1914" s="57" t="s">
        <v>1670</v>
      </c>
      <c r="D1914" s="57" t="s">
        <v>1665</v>
      </c>
      <c r="E1914" s="57" t="s">
        <v>1624</v>
      </c>
      <c r="F1914" s="57" t="s">
        <v>2438</v>
      </c>
      <c r="G1914" s="57" t="s">
        <v>1661</v>
      </c>
      <c r="H1914" s="56" t="s">
        <v>1672</v>
      </c>
      <c r="I1914" s="57" t="s">
        <v>1666</v>
      </c>
      <c r="J1914" t="str">
        <f t="shared" si="62"/>
        <v>10175204 - Pie Andino Macro-Proyecto</v>
      </c>
      <c r="K1914" t="str">
        <f t="shared" si="63"/>
        <v>Proyectos Inmobiliarios</v>
      </c>
    </row>
    <row r="1915" spans="1:11" x14ac:dyDescent="0.25">
      <c r="A1915" s="56">
        <v>10175301</v>
      </c>
      <c r="B1915" s="57" t="s">
        <v>2440</v>
      </c>
      <c r="C1915" s="57" t="s">
        <v>1670</v>
      </c>
      <c r="D1915" s="57" t="s">
        <v>1665</v>
      </c>
      <c r="E1915" s="57" t="s">
        <v>1643</v>
      </c>
      <c r="F1915" s="57" t="s">
        <v>2438</v>
      </c>
      <c r="G1915" s="57" t="s">
        <v>1667</v>
      </c>
      <c r="H1915" s="56" t="s">
        <v>1672</v>
      </c>
      <c r="I1915" s="57" t="s">
        <v>1666</v>
      </c>
      <c r="J1915" t="str">
        <f t="shared" si="62"/>
        <v>10175301 - Pie Andino Macro-GAF</v>
      </c>
      <c r="K1915" t="str">
        <f t="shared" si="63"/>
        <v>Proyectos Inmobiliarios</v>
      </c>
    </row>
    <row r="1916" spans="1:11" x14ac:dyDescent="0.25">
      <c r="A1916" s="56">
        <v>10175506</v>
      </c>
      <c r="B1916" s="57" t="s">
        <v>2441</v>
      </c>
      <c r="C1916" s="57" t="s">
        <v>1670</v>
      </c>
      <c r="D1916" s="57" t="s">
        <v>1665</v>
      </c>
      <c r="E1916" s="57" t="s">
        <v>200</v>
      </c>
      <c r="F1916" s="57" t="s">
        <v>2438</v>
      </c>
      <c r="G1916" s="57" t="s">
        <v>1661</v>
      </c>
      <c r="H1916" s="56" t="s">
        <v>1672</v>
      </c>
      <c r="I1916" s="57" t="s">
        <v>1666</v>
      </c>
      <c r="J1916" t="str">
        <f t="shared" si="62"/>
        <v>10175506 - Pie Andino Macro-Depto.Técnico</v>
      </c>
      <c r="K1916" t="str">
        <f t="shared" si="63"/>
        <v>Proyectos Inmobiliarios</v>
      </c>
    </row>
    <row r="1917" spans="1:11" x14ac:dyDescent="0.25">
      <c r="A1917" s="56">
        <v>10175702</v>
      </c>
      <c r="B1917" s="57" t="s">
        <v>2442</v>
      </c>
      <c r="C1917" s="57" t="s">
        <v>1670</v>
      </c>
      <c r="D1917" s="57" t="s">
        <v>1665</v>
      </c>
      <c r="E1917" s="57" t="s">
        <v>1578</v>
      </c>
      <c r="F1917" s="57" t="s">
        <v>2438</v>
      </c>
      <c r="G1917" s="57" t="s">
        <v>1661</v>
      </c>
      <c r="H1917" s="56" t="s">
        <v>1672</v>
      </c>
      <c r="I1917" s="57" t="s">
        <v>1666</v>
      </c>
      <c r="J1917" t="str">
        <f t="shared" si="62"/>
        <v>10175702 - Pie Andino Macro-Terreno Dpto Proy</v>
      </c>
      <c r="K1917" t="str">
        <f t="shared" si="63"/>
        <v>Proyectos Inmobiliarios</v>
      </c>
    </row>
    <row r="1918" spans="1:11" x14ac:dyDescent="0.25">
      <c r="A1918" s="56">
        <v>10175703</v>
      </c>
      <c r="B1918" s="57" t="s">
        <v>2443</v>
      </c>
      <c r="C1918" s="57" t="s">
        <v>1670</v>
      </c>
      <c r="D1918" s="57" t="s">
        <v>1665</v>
      </c>
      <c r="E1918" s="57" t="s">
        <v>2444</v>
      </c>
      <c r="F1918" s="57" t="s">
        <v>2438</v>
      </c>
      <c r="G1918" s="57" t="s">
        <v>1661</v>
      </c>
      <c r="H1918" s="56" t="s">
        <v>1672</v>
      </c>
      <c r="I1918" s="57" t="s">
        <v>1666</v>
      </c>
      <c r="J1918" t="str">
        <f t="shared" si="62"/>
        <v>10175703 - Pie Andino Macro-Infraestructura Dpto Proy</v>
      </c>
      <c r="K1918" t="str">
        <f t="shared" si="63"/>
        <v>Proyectos Inmobiliarios</v>
      </c>
    </row>
    <row r="1919" spans="1:11" x14ac:dyDescent="0.25">
      <c r="A1919" s="58">
        <v>999999999</v>
      </c>
      <c r="B1919" s="59" t="s">
        <v>1684</v>
      </c>
      <c r="C1919" s="59"/>
      <c r="D1919" s="59" t="s">
        <v>1578</v>
      </c>
      <c r="E1919" s="59" t="s">
        <v>1578</v>
      </c>
      <c r="F1919" s="59" t="s">
        <v>2445</v>
      </c>
      <c r="G1919" s="59" t="s">
        <v>1661</v>
      </c>
      <c r="H1919" s="58" t="s">
        <v>1672</v>
      </c>
      <c r="I1919" s="59" t="s">
        <v>1662</v>
      </c>
      <c r="J1919" t="str">
        <f t="shared" si="62"/>
        <v>999999999 - Terreno Abuelo Proyectos sin Terreno</v>
      </c>
      <c r="K1919" t="str">
        <f t="shared" si="63"/>
        <v>Terreno</v>
      </c>
    </row>
    <row r="1920" spans="1:11" x14ac:dyDescent="0.25">
      <c r="A1920" s="58">
        <v>999</v>
      </c>
      <c r="B1920" s="59" t="s">
        <v>1808</v>
      </c>
      <c r="C1920" s="59"/>
      <c r="D1920" s="59" t="s">
        <v>65</v>
      </c>
      <c r="E1920" s="59" t="s">
        <v>65</v>
      </c>
      <c r="F1920" s="59" t="s">
        <v>2445</v>
      </c>
      <c r="G1920" s="59" t="s">
        <v>1663</v>
      </c>
      <c r="H1920" s="58" t="s">
        <v>1672</v>
      </c>
      <c r="I1920" s="59" t="s">
        <v>1664</v>
      </c>
      <c r="J1920" t="str">
        <f t="shared" si="62"/>
        <v>999 - Obra Padre Proyectos sin Obra</v>
      </c>
      <c r="K1920" t="str">
        <f t="shared" si="63"/>
        <v>Obra</v>
      </c>
    </row>
    <row r="1921" spans="1:11" x14ac:dyDescent="0.25">
      <c r="A1921" s="58">
        <v>10018202</v>
      </c>
      <c r="B1921" s="59" t="s">
        <v>2446</v>
      </c>
      <c r="C1921" s="59" t="s">
        <v>1685</v>
      </c>
      <c r="D1921" s="59" t="s">
        <v>1665</v>
      </c>
      <c r="E1921" s="59" t="s">
        <v>104</v>
      </c>
      <c r="F1921" s="59" t="s">
        <v>2445</v>
      </c>
      <c r="G1921" s="59" t="s">
        <v>1661</v>
      </c>
      <c r="H1921" s="58" t="s">
        <v>1672</v>
      </c>
      <c r="I1921" s="59" t="s">
        <v>1666</v>
      </c>
      <c r="J1921" t="str">
        <f t="shared" si="62"/>
        <v>10018202 - Plan maestro BBI-Desarrollo</v>
      </c>
      <c r="K1921" t="str">
        <f t="shared" si="63"/>
        <v>Proyectos Inmobiliarios</v>
      </c>
    </row>
    <row r="1922" spans="1:11" x14ac:dyDescent="0.25">
      <c r="A1922" s="58">
        <v>10018205</v>
      </c>
      <c r="B1922" s="59" t="s">
        <v>2447</v>
      </c>
      <c r="C1922" s="59" t="s">
        <v>1685</v>
      </c>
      <c r="D1922" s="59" t="s">
        <v>1665</v>
      </c>
      <c r="E1922" s="59" t="s">
        <v>1624</v>
      </c>
      <c r="F1922" s="59" t="s">
        <v>2445</v>
      </c>
      <c r="G1922" s="59" t="s">
        <v>1661</v>
      </c>
      <c r="H1922" s="58" t="s">
        <v>1672</v>
      </c>
      <c r="I1922" s="59" t="s">
        <v>1666</v>
      </c>
      <c r="J1922" t="str">
        <f t="shared" si="62"/>
        <v>10018205 - Plan maestro BBI-Depto.Proy.V</v>
      </c>
      <c r="K1922" t="str">
        <f t="shared" si="63"/>
        <v>Proyectos Inmobiliarios</v>
      </c>
    </row>
    <row r="1923" spans="1:11" x14ac:dyDescent="0.25">
      <c r="A1923" s="43">
        <v>9000</v>
      </c>
      <c r="B1923" t="s">
        <v>552</v>
      </c>
      <c r="C1923" t="s">
        <v>1500</v>
      </c>
      <c r="D1923" t="s">
        <v>66</v>
      </c>
      <c r="E1923" t="s">
        <v>328</v>
      </c>
      <c r="F1923" t="s">
        <v>552</v>
      </c>
      <c r="G1923" t="s">
        <v>1661</v>
      </c>
      <c r="H1923" s="43" t="s">
        <v>1672</v>
      </c>
      <c r="I1923" t="s">
        <v>1668</v>
      </c>
      <c r="J1923" t="str">
        <f t="shared" si="62"/>
        <v>9000 - Postventa Oficina Central</v>
      </c>
      <c r="K1923" t="str">
        <f t="shared" si="63"/>
        <v>Postventa</v>
      </c>
    </row>
    <row r="1924" spans="1:11" x14ac:dyDescent="0.25">
      <c r="A1924" s="43">
        <v>999999999</v>
      </c>
      <c r="B1924" t="s">
        <v>1684</v>
      </c>
      <c r="D1924" t="s">
        <v>1578</v>
      </c>
      <c r="E1924" t="s">
        <v>1578</v>
      </c>
      <c r="F1924" t="s">
        <v>2448</v>
      </c>
      <c r="G1924" t="s">
        <v>1661</v>
      </c>
      <c r="H1924" s="43" t="s">
        <v>1672</v>
      </c>
      <c r="I1924" t="s">
        <v>1662</v>
      </c>
      <c r="J1924" t="str">
        <f t="shared" si="62"/>
        <v>999999999 - Terreno Abuelo Proyectos sin Terreno</v>
      </c>
      <c r="K1924" t="str">
        <f t="shared" si="63"/>
        <v>Terreno</v>
      </c>
    </row>
    <row r="1925" spans="1:11" x14ac:dyDescent="0.25">
      <c r="A1925" s="54">
        <v>37</v>
      </c>
      <c r="B1925" s="55" t="s">
        <v>2449</v>
      </c>
      <c r="C1925" s="55" t="s">
        <v>1836</v>
      </c>
      <c r="D1925" s="55" t="s">
        <v>65</v>
      </c>
      <c r="E1925" s="55" t="s">
        <v>65</v>
      </c>
      <c r="F1925" s="55" t="s">
        <v>2448</v>
      </c>
      <c r="G1925" s="55" t="s">
        <v>1663</v>
      </c>
      <c r="H1925" s="54" t="s">
        <v>1672</v>
      </c>
      <c r="I1925" s="55" t="s">
        <v>1664</v>
      </c>
      <c r="J1925" t="str">
        <f t="shared" si="62"/>
        <v>37 - Casas Rahue I</v>
      </c>
      <c r="K1925" t="str">
        <f t="shared" si="63"/>
        <v>Obra</v>
      </c>
    </row>
    <row r="1926" spans="1:11" x14ac:dyDescent="0.25">
      <c r="A1926" s="54">
        <v>9037</v>
      </c>
      <c r="B1926" s="55" t="s">
        <v>585</v>
      </c>
      <c r="C1926" s="55" t="s">
        <v>1836</v>
      </c>
      <c r="D1926" s="55" t="s">
        <v>66</v>
      </c>
      <c r="E1926" s="55" t="s">
        <v>328</v>
      </c>
      <c r="F1926" s="55" t="s">
        <v>2448</v>
      </c>
      <c r="G1926" s="55" t="s">
        <v>1661</v>
      </c>
      <c r="H1926" s="54" t="s">
        <v>386</v>
      </c>
      <c r="I1926" s="55" t="s">
        <v>1666</v>
      </c>
      <c r="J1926" t="str">
        <f t="shared" si="62"/>
        <v>9037 - PV Proyecto Rahue</v>
      </c>
      <c r="K1926" t="str">
        <f t="shared" si="63"/>
        <v>Postventa</v>
      </c>
    </row>
    <row r="1927" spans="1:11" x14ac:dyDescent="0.25">
      <c r="A1927" s="54">
        <v>10023000</v>
      </c>
      <c r="B1927" s="55" t="s">
        <v>2450</v>
      </c>
      <c r="C1927" s="55" t="s">
        <v>1836</v>
      </c>
      <c r="D1927" s="55" t="s">
        <v>1665</v>
      </c>
      <c r="E1927" s="55" t="s">
        <v>1585</v>
      </c>
      <c r="F1927" s="55" t="s">
        <v>2448</v>
      </c>
      <c r="G1927" s="55" t="s">
        <v>1661</v>
      </c>
      <c r="H1927" s="54" t="s">
        <v>1672</v>
      </c>
      <c r="I1927" s="55" t="s">
        <v>1666</v>
      </c>
      <c r="J1927" t="str">
        <f t="shared" si="62"/>
        <v>10023000 - Proyecto Rahue</v>
      </c>
      <c r="K1927" t="str">
        <f t="shared" si="63"/>
        <v>Proyectos Inmobiliarios</v>
      </c>
    </row>
    <row r="1928" spans="1:11" x14ac:dyDescent="0.25">
      <c r="A1928" s="54">
        <v>10023101</v>
      </c>
      <c r="B1928" s="55" t="s">
        <v>2451</v>
      </c>
      <c r="C1928" s="55" t="s">
        <v>1836</v>
      </c>
      <c r="D1928" s="55" t="s">
        <v>1665</v>
      </c>
      <c r="E1928" s="55" t="s">
        <v>2452</v>
      </c>
      <c r="F1928" s="55" t="s">
        <v>2448</v>
      </c>
      <c r="G1928" s="55" t="s">
        <v>1661</v>
      </c>
      <c r="H1928" s="54" t="s">
        <v>1672</v>
      </c>
      <c r="I1928" s="55" t="s">
        <v>1666</v>
      </c>
      <c r="J1928" t="str">
        <f t="shared" si="62"/>
        <v>10023101 - Proyecto Rahue-Gcia.Comercial</v>
      </c>
      <c r="K1928" t="str">
        <f t="shared" si="63"/>
        <v>Proyectos Inmobiliarios</v>
      </c>
    </row>
    <row r="1929" spans="1:11" x14ac:dyDescent="0.25">
      <c r="A1929" s="54">
        <v>10023102</v>
      </c>
      <c r="B1929" s="55" t="s">
        <v>2453</v>
      </c>
      <c r="C1929" s="55" t="s">
        <v>1836</v>
      </c>
      <c r="D1929" s="55" t="s">
        <v>1665</v>
      </c>
      <c r="E1929" s="55" t="s">
        <v>1617</v>
      </c>
      <c r="F1929" s="55" t="s">
        <v>2448</v>
      </c>
      <c r="G1929" s="55" t="s">
        <v>1661</v>
      </c>
      <c r="H1929" s="54" t="s">
        <v>1672</v>
      </c>
      <c r="I1929" s="55" t="s">
        <v>1666</v>
      </c>
      <c r="J1929" t="str">
        <f t="shared" si="62"/>
        <v>10023102 - Proyecto Rahue-Marketing</v>
      </c>
      <c r="K1929" t="str">
        <f t="shared" si="63"/>
        <v>Proyectos Inmobiliarios</v>
      </c>
    </row>
    <row r="1930" spans="1:11" x14ac:dyDescent="0.25">
      <c r="A1930" s="54">
        <v>10023103</v>
      </c>
      <c r="B1930" s="55" t="s">
        <v>2454</v>
      </c>
      <c r="C1930" s="55" t="s">
        <v>1836</v>
      </c>
      <c r="D1930" s="55" t="s">
        <v>1665</v>
      </c>
      <c r="E1930" s="55" t="s">
        <v>1618</v>
      </c>
      <c r="F1930" s="55" t="s">
        <v>2448</v>
      </c>
      <c r="G1930" s="55" t="s">
        <v>1661</v>
      </c>
      <c r="H1930" s="54" t="s">
        <v>1672</v>
      </c>
      <c r="I1930" s="55" t="s">
        <v>1666</v>
      </c>
      <c r="J1930" t="str">
        <f t="shared" si="62"/>
        <v>10023103 - Proyecto Rahue-Operaciones</v>
      </c>
      <c r="K1930" t="str">
        <f t="shared" si="63"/>
        <v>Proyectos Inmobiliarios</v>
      </c>
    </row>
    <row r="1931" spans="1:11" x14ac:dyDescent="0.25">
      <c r="A1931" s="54">
        <v>10023104</v>
      </c>
      <c r="B1931" s="55" t="s">
        <v>2455</v>
      </c>
      <c r="C1931" s="55" t="s">
        <v>1836</v>
      </c>
      <c r="D1931" s="55" t="s">
        <v>1665</v>
      </c>
      <c r="E1931" s="55" t="s">
        <v>90</v>
      </c>
      <c r="F1931" s="55" t="s">
        <v>2448</v>
      </c>
      <c r="G1931" s="55" t="s">
        <v>1661</v>
      </c>
      <c r="H1931" s="54" t="s">
        <v>1672</v>
      </c>
      <c r="I1931" s="55" t="s">
        <v>1666</v>
      </c>
      <c r="J1931" t="str">
        <f t="shared" si="62"/>
        <v>10023104 - Proyecto Rahue-Ventas</v>
      </c>
      <c r="K1931" t="str">
        <f t="shared" si="63"/>
        <v>Proyectos Inmobiliarios</v>
      </c>
    </row>
    <row r="1932" spans="1:11" x14ac:dyDescent="0.25">
      <c r="A1932" s="54">
        <v>10023105</v>
      </c>
      <c r="B1932" s="55" t="s">
        <v>2456</v>
      </c>
      <c r="C1932" s="55" t="s">
        <v>1836</v>
      </c>
      <c r="D1932" s="55" t="s">
        <v>1665</v>
      </c>
      <c r="E1932" s="55" t="s">
        <v>1622</v>
      </c>
      <c r="F1932" s="55" t="s">
        <v>2448</v>
      </c>
      <c r="G1932" s="55" t="s">
        <v>1661</v>
      </c>
      <c r="H1932" s="54" t="s">
        <v>1672</v>
      </c>
      <c r="I1932" s="55" t="s">
        <v>1666</v>
      </c>
      <c r="J1932" t="str">
        <f t="shared" si="62"/>
        <v>10023105 - Proyecto Rahue-Clientes</v>
      </c>
      <c r="K1932" t="str">
        <f t="shared" si="63"/>
        <v>Proyectos Inmobiliarios</v>
      </c>
    </row>
    <row r="1933" spans="1:11" x14ac:dyDescent="0.25">
      <c r="A1933" s="54">
        <v>10023203</v>
      </c>
      <c r="B1933" s="55" t="s">
        <v>2457</v>
      </c>
      <c r="C1933" s="55" t="s">
        <v>1836</v>
      </c>
      <c r="D1933" s="55" t="s">
        <v>1665</v>
      </c>
      <c r="E1933" s="55" t="s">
        <v>1624</v>
      </c>
      <c r="F1933" s="55" t="s">
        <v>2448</v>
      </c>
      <c r="G1933" s="55" t="s">
        <v>1661</v>
      </c>
      <c r="H1933" s="54" t="s">
        <v>1672</v>
      </c>
      <c r="I1933" s="55" t="s">
        <v>1666</v>
      </c>
      <c r="J1933" t="str">
        <f t="shared" si="62"/>
        <v>10023203 - Proyecto Rahue-Proyecto</v>
      </c>
      <c r="K1933" t="str">
        <f t="shared" si="63"/>
        <v>Proyectos Inmobiliarios</v>
      </c>
    </row>
    <row r="1934" spans="1:11" x14ac:dyDescent="0.25">
      <c r="A1934" s="54">
        <v>10023301</v>
      </c>
      <c r="B1934" s="55" t="s">
        <v>2458</v>
      </c>
      <c r="C1934" s="55" t="s">
        <v>1836</v>
      </c>
      <c r="D1934" s="55" t="s">
        <v>1665</v>
      </c>
      <c r="E1934" s="55" t="s">
        <v>1643</v>
      </c>
      <c r="F1934" s="55" t="s">
        <v>2448</v>
      </c>
      <c r="G1934" s="55" t="s">
        <v>1667</v>
      </c>
      <c r="H1934" s="54" t="s">
        <v>1672</v>
      </c>
      <c r="I1934" s="55" t="s">
        <v>1666</v>
      </c>
      <c r="J1934" t="str">
        <f t="shared" si="62"/>
        <v>10023301 - Proyecto Rahue-GAF</v>
      </c>
      <c r="K1934" t="str">
        <f t="shared" si="63"/>
        <v>Proyectos Inmobiliarios</v>
      </c>
    </row>
    <row r="1935" spans="1:11" x14ac:dyDescent="0.25">
      <c r="A1935" s="54">
        <v>10023506</v>
      </c>
      <c r="B1935" s="55" t="s">
        <v>2459</v>
      </c>
      <c r="C1935" s="55" t="s">
        <v>1836</v>
      </c>
      <c r="D1935" s="55" t="s">
        <v>1665</v>
      </c>
      <c r="E1935" s="55" t="s">
        <v>200</v>
      </c>
      <c r="F1935" s="55" t="s">
        <v>2448</v>
      </c>
      <c r="G1935" s="55" t="s">
        <v>1661</v>
      </c>
      <c r="H1935" s="54" t="s">
        <v>1672</v>
      </c>
      <c r="I1935" s="55" t="s">
        <v>1666</v>
      </c>
      <c r="J1935" t="str">
        <f t="shared" si="62"/>
        <v>10023506 - Proyecto Rahue-Depto-Técnico</v>
      </c>
      <c r="K1935" t="str">
        <f t="shared" si="63"/>
        <v>Proyectos Inmobiliarios</v>
      </c>
    </row>
    <row r="1936" spans="1:11" x14ac:dyDescent="0.25">
      <c r="A1936" s="43">
        <v>38</v>
      </c>
      <c r="B1936" t="s">
        <v>2460</v>
      </c>
      <c r="C1936" t="s">
        <v>1836</v>
      </c>
      <c r="D1936" t="s">
        <v>65</v>
      </c>
      <c r="E1936" t="s">
        <v>65</v>
      </c>
      <c r="F1936" t="s">
        <v>2448</v>
      </c>
      <c r="G1936" t="s">
        <v>1663</v>
      </c>
      <c r="H1936" s="43" t="s">
        <v>1672</v>
      </c>
      <c r="I1936" t="s">
        <v>1664</v>
      </c>
      <c r="J1936" t="str">
        <f t="shared" si="62"/>
        <v>38 - Casas Rahue II</v>
      </c>
      <c r="K1936" t="str">
        <f t="shared" si="63"/>
        <v>Obra</v>
      </c>
    </row>
    <row r="1937" spans="1:11" x14ac:dyDescent="0.25">
      <c r="A1937" s="50">
        <v>999999999</v>
      </c>
      <c r="B1937" s="51" t="s">
        <v>1684</v>
      </c>
      <c r="C1937" s="51"/>
      <c r="D1937" s="51" t="s">
        <v>1578</v>
      </c>
      <c r="E1937" s="51" t="s">
        <v>1578</v>
      </c>
      <c r="F1937" s="51" t="s">
        <v>2461</v>
      </c>
      <c r="G1937" s="51" t="s">
        <v>1661</v>
      </c>
      <c r="H1937" s="50" t="s">
        <v>1672</v>
      </c>
      <c r="I1937" s="51" t="s">
        <v>1662</v>
      </c>
      <c r="J1937" t="str">
        <f t="shared" si="62"/>
        <v>999999999 - Terreno Abuelo Proyectos sin Terreno</v>
      </c>
      <c r="K1937" t="str">
        <f t="shared" si="63"/>
        <v>Terreno</v>
      </c>
    </row>
    <row r="1938" spans="1:11" x14ac:dyDescent="0.25">
      <c r="A1938" s="50">
        <v>999</v>
      </c>
      <c r="B1938" s="51" t="s">
        <v>1808</v>
      </c>
      <c r="C1938" s="51"/>
      <c r="D1938" s="51" t="s">
        <v>65</v>
      </c>
      <c r="E1938" s="51" t="s">
        <v>65</v>
      </c>
      <c r="F1938" s="51" t="s">
        <v>2461</v>
      </c>
      <c r="G1938" s="51" t="s">
        <v>1663</v>
      </c>
      <c r="H1938" s="50" t="s">
        <v>1672</v>
      </c>
      <c r="I1938" s="51" t="s">
        <v>1664</v>
      </c>
      <c r="J1938" t="str">
        <f t="shared" si="62"/>
        <v>999 - Obra Padre Proyectos sin Obra</v>
      </c>
      <c r="K1938" t="str">
        <f t="shared" si="63"/>
        <v>Obra</v>
      </c>
    </row>
    <row r="1939" spans="1:11" x14ac:dyDescent="0.25">
      <c r="A1939" s="50">
        <v>9900</v>
      </c>
      <c r="B1939" s="51" t="s">
        <v>678</v>
      </c>
      <c r="C1939" s="51" t="s">
        <v>1670</v>
      </c>
      <c r="D1939" s="51" t="s">
        <v>66</v>
      </c>
      <c r="E1939" s="51" t="s">
        <v>328</v>
      </c>
      <c r="F1939" s="51" t="s">
        <v>2461</v>
      </c>
      <c r="G1939" s="51" t="s">
        <v>1661</v>
      </c>
      <c r="H1939" s="50" t="s">
        <v>386</v>
      </c>
      <c r="I1939" s="51" t="s">
        <v>1666</v>
      </c>
      <c r="J1939" t="str">
        <f t="shared" si="62"/>
        <v>9900 - PV Remodelación don RVC</v>
      </c>
      <c r="K1939" t="str">
        <f t="shared" si="63"/>
        <v>Postventa</v>
      </c>
    </row>
    <row r="1940" spans="1:11" x14ac:dyDescent="0.25">
      <c r="A1940" s="56">
        <v>999999999</v>
      </c>
      <c r="B1940" s="57" t="s">
        <v>1684</v>
      </c>
      <c r="C1940" s="57"/>
      <c r="D1940" s="57" t="s">
        <v>1578</v>
      </c>
      <c r="E1940" s="57" t="s">
        <v>1578</v>
      </c>
      <c r="F1940" s="57" t="s">
        <v>2462</v>
      </c>
      <c r="G1940" s="57" t="s">
        <v>1661</v>
      </c>
      <c r="H1940" s="56" t="s">
        <v>1672</v>
      </c>
      <c r="I1940" s="57" t="s">
        <v>1662</v>
      </c>
      <c r="J1940" t="str">
        <f t="shared" si="62"/>
        <v>999999999 - Terreno Abuelo Proyectos sin Terreno</v>
      </c>
      <c r="K1940" t="str">
        <f t="shared" si="63"/>
        <v>Terreno</v>
      </c>
    </row>
    <row r="1941" spans="1:11" x14ac:dyDescent="0.25">
      <c r="A1941" s="56">
        <v>999</v>
      </c>
      <c r="B1941" s="57" t="s">
        <v>1808</v>
      </c>
      <c r="C1941" s="57"/>
      <c r="D1941" s="57" t="s">
        <v>65</v>
      </c>
      <c r="E1941" s="57" t="s">
        <v>65</v>
      </c>
      <c r="F1941" s="57" t="s">
        <v>2462</v>
      </c>
      <c r="G1941" s="57" t="s">
        <v>1663</v>
      </c>
      <c r="H1941" s="56" t="s">
        <v>1672</v>
      </c>
      <c r="I1941" s="57" t="s">
        <v>1664</v>
      </c>
      <c r="J1941" t="str">
        <f t="shared" ref="J1941:J2004" si="64">+A1941&amp;" - "&amp;B1941</f>
        <v>999 - Obra Padre Proyectos sin Obra</v>
      </c>
      <c r="K1941" t="str">
        <f t="shared" ref="K1941:K2004" si="65">+D1941</f>
        <v>Obra</v>
      </c>
    </row>
    <row r="1942" spans="1:11" x14ac:dyDescent="0.25">
      <c r="A1942" s="56">
        <v>9903</v>
      </c>
      <c r="B1942" s="57" t="s">
        <v>680</v>
      </c>
      <c r="C1942" s="57" t="s">
        <v>1660</v>
      </c>
      <c r="D1942" s="57" t="s">
        <v>66</v>
      </c>
      <c r="E1942" s="57" t="s">
        <v>328</v>
      </c>
      <c r="F1942" s="57" t="s">
        <v>2462</v>
      </c>
      <c r="G1942" s="57" t="s">
        <v>1661</v>
      </c>
      <c r="H1942" s="56" t="s">
        <v>386</v>
      </c>
      <c r="I1942" s="57" t="s">
        <v>1666</v>
      </c>
      <c r="J1942" t="str">
        <f t="shared" si="64"/>
        <v>9903 - PV Rey del Mar</v>
      </c>
      <c r="K1942" t="str">
        <f t="shared" si="65"/>
        <v>Postventa</v>
      </c>
    </row>
    <row r="1943" spans="1:11" x14ac:dyDescent="0.25">
      <c r="A1943" s="58">
        <v>999999999</v>
      </c>
      <c r="B1943" s="59" t="s">
        <v>1684</v>
      </c>
      <c r="C1943" s="59"/>
      <c r="D1943" s="59" t="s">
        <v>1578</v>
      </c>
      <c r="E1943" s="59" t="s">
        <v>1578</v>
      </c>
      <c r="F1943" s="59" t="s">
        <v>2463</v>
      </c>
      <c r="G1943" s="59" t="s">
        <v>1661</v>
      </c>
      <c r="H1943" s="58" t="s">
        <v>1672</v>
      </c>
      <c r="I1943" s="59" t="s">
        <v>1662</v>
      </c>
      <c r="J1943" t="str">
        <f t="shared" si="64"/>
        <v>999999999 - Terreno Abuelo Proyectos sin Terreno</v>
      </c>
      <c r="K1943" t="str">
        <f t="shared" si="65"/>
        <v>Terreno</v>
      </c>
    </row>
    <row r="1944" spans="1:11" x14ac:dyDescent="0.25">
      <c r="A1944" s="58">
        <v>18</v>
      </c>
      <c r="B1944" s="59" t="s">
        <v>2463</v>
      </c>
      <c r="C1944" s="59" t="s">
        <v>1670</v>
      </c>
      <c r="D1944" s="59" t="s">
        <v>65</v>
      </c>
      <c r="E1944" s="59" t="s">
        <v>65</v>
      </c>
      <c r="F1944" s="59" t="s">
        <v>2463</v>
      </c>
      <c r="G1944" s="59" t="s">
        <v>1663</v>
      </c>
      <c r="H1944" s="58" t="s">
        <v>1672</v>
      </c>
      <c r="I1944" s="59" t="s">
        <v>1664</v>
      </c>
      <c r="J1944" t="str">
        <f t="shared" si="64"/>
        <v>18 - Sacramentinos Oriente</v>
      </c>
      <c r="K1944" t="str">
        <f t="shared" si="65"/>
        <v>Obra</v>
      </c>
    </row>
    <row r="1945" spans="1:11" x14ac:dyDescent="0.25">
      <c r="A1945" s="58">
        <v>9018</v>
      </c>
      <c r="B1945" s="59" t="s">
        <v>568</v>
      </c>
      <c r="C1945" s="59" t="s">
        <v>1670</v>
      </c>
      <c r="D1945" s="59" t="s">
        <v>66</v>
      </c>
      <c r="E1945" s="59" t="s">
        <v>328</v>
      </c>
      <c r="F1945" s="59" t="s">
        <v>2463</v>
      </c>
      <c r="G1945" s="59" t="s">
        <v>1661</v>
      </c>
      <c r="H1945" s="58" t="s">
        <v>386</v>
      </c>
      <c r="I1945" s="59" t="s">
        <v>1666</v>
      </c>
      <c r="J1945" t="str">
        <f t="shared" si="64"/>
        <v>9018 - PV Sacramentinos Oriente</v>
      </c>
      <c r="K1945" t="str">
        <f t="shared" si="65"/>
        <v>Postventa</v>
      </c>
    </row>
    <row r="1946" spans="1:11" x14ac:dyDescent="0.25">
      <c r="A1946" s="58">
        <v>10002000</v>
      </c>
      <c r="B1946" s="59" t="s">
        <v>2463</v>
      </c>
      <c r="C1946" s="59" t="s">
        <v>1670</v>
      </c>
      <c r="D1946" s="59" t="s">
        <v>1665</v>
      </c>
      <c r="E1946" s="59" t="s">
        <v>1585</v>
      </c>
      <c r="F1946" s="59" t="s">
        <v>2463</v>
      </c>
      <c r="G1946" s="59" t="s">
        <v>1667</v>
      </c>
      <c r="H1946" s="58" t="s">
        <v>1672</v>
      </c>
      <c r="I1946" s="59" t="s">
        <v>1666</v>
      </c>
      <c r="J1946" t="str">
        <f t="shared" si="64"/>
        <v>10002000 - Sacramentinos Oriente</v>
      </c>
      <c r="K1946" t="str">
        <f t="shared" si="65"/>
        <v>Proyectos Inmobiliarios</v>
      </c>
    </row>
    <row r="1947" spans="1:11" x14ac:dyDescent="0.25">
      <c r="A1947" s="58">
        <v>10002102</v>
      </c>
      <c r="B1947" s="59" t="s">
        <v>2464</v>
      </c>
      <c r="C1947" s="59" t="s">
        <v>1670</v>
      </c>
      <c r="D1947" s="59" t="s">
        <v>1665</v>
      </c>
      <c r="E1947" s="59" t="s">
        <v>1617</v>
      </c>
      <c r="F1947" s="59" t="s">
        <v>2463</v>
      </c>
      <c r="G1947" s="59" t="s">
        <v>1661</v>
      </c>
      <c r="H1947" s="58" t="s">
        <v>1672</v>
      </c>
      <c r="I1947" s="59" t="s">
        <v>1666</v>
      </c>
      <c r="J1947" t="str">
        <f t="shared" si="64"/>
        <v>10002102 - Sacramentinos Oriente-Marketing</v>
      </c>
      <c r="K1947" t="str">
        <f t="shared" si="65"/>
        <v>Proyectos Inmobiliarios</v>
      </c>
    </row>
    <row r="1948" spans="1:11" x14ac:dyDescent="0.25">
      <c r="A1948" s="58">
        <v>10002103</v>
      </c>
      <c r="B1948" s="59" t="s">
        <v>2465</v>
      </c>
      <c r="C1948" s="59" t="s">
        <v>1670</v>
      </c>
      <c r="D1948" s="59" t="s">
        <v>1665</v>
      </c>
      <c r="E1948" s="59" t="s">
        <v>1618</v>
      </c>
      <c r="F1948" s="59" t="s">
        <v>2463</v>
      </c>
      <c r="G1948" s="59" t="s">
        <v>1661</v>
      </c>
      <c r="H1948" s="58" t="s">
        <v>1672</v>
      </c>
      <c r="I1948" s="59" t="s">
        <v>1666</v>
      </c>
      <c r="J1948" t="str">
        <f t="shared" si="64"/>
        <v>10002103 - Sacramentinos Oriente-Operaciones</v>
      </c>
      <c r="K1948" t="str">
        <f t="shared" si="65"/>
        <v>Proyectos Inmobiliarios</v>
      </c>
    </row>
    <row r="1949" spans="1:11" x14ac:dyDescent="0.25">
      <c r="A1949" s="58">
        <v>10002104</v>
      </c>
      <c r="B1949" s="59" t="s">
        <v>2466</v>
      </c>
      <c r="C1949" s="59" t="s">
        <v>1670</v>
      </c>
      <c r="D1949" s="59" t="s">
        <v>1665</v>
      </c>
      <c r="E1949" s="59" t="s">
        <v>90</v>
      </c>
      <c r="F1949" s="59" t="s">
        <v>2463</v>
      </c>
      <c r="G1949" s="59" t="s">
        <v>1661</v>
      </c>
      <c r="H1949" s="58" t="s">
        <v>1672</v>
      </c>
      <c r="I1949" s="59" t="s">
        <v>1666</v>
      </c>
      <c r="J1949" t="str">
        <f t="shared" si="64"/>
        <v>10002104 - Sacramentinos Oriente-Ventas</v>
      </c>
      <c r="K1949" t="str">
        <f t="shared" si="65"/>
        <v>Proyectos Inmobiliarios</v>
      </c>
    </row>
    <row r="1950" spans="1:11" x14ac:dyDescent="0.25">
      <c r="A1950" s="58">
        <v>10002105</v>
      </c>
      <c r="B1950" s="59" t="s">
        <v>2467</v>
      </c>
      <c r="C1950" s="59" t="s">
        <v>1670</v>
      </c>
      <c r="D1950" s="59" t="s">
        <v>1665</v>
      </c>
      <c r="E1950" s="59" t="s">
        <v>1622</v>
      </c>
      <c r="F1950" s="59" t="s">
        <v>2463</v>
      </c>
      <c r="G1950" s="59" t="s">
        <v>1661</v>
      </c>
      <c r="H1950" s="58" t="s">
        <v>1672</v>
      </c>
      <c r="I1950" s="59" t="s">
        <v>1666</v>
      </c>
      <c r="J1950" t="str">
        <f t="shared" si="64"/>
        <v>10002105 - Sacramentinos Oriente-Clientes</v>
      </c>
      <c r="K1950" t="str">
        <f t="shared" si="65"/>
        <v>Proyectos Inmobiliarios</v>
      </c>
    </row>
    <row r="1951" spans="1:11" x14ac:dyDescent="0.25">
      <c r="A1951" s="58">
        <v>10002204</v>
      </c>
      <c r="B1951" s="59" t="s">
        <v>2468</v>
      </c>
      <c r="C1951" s="59" t="s">
        <v>1670</v>
      </c>
      <c r="D1951" s="59" t="s">
        <v>1665</v>
      </c>
      <c r="E1951" s="59" t="s">
        <v>1624</v>
      </c>
      <c r="F1951" s="59" t="s">
        <v>2463</v>
      </c>
      <c r="G1951" s="59" t="s">
        <v>1661</v>
      </c>
      <c r="H1951" s="58" t="s">
        <v>1672</v>
      </c>
      <c r="I1951" s="59" t="s">
        <v>1666</v>
      </c>
      <c r="J1951" t="str">
        <f t="shared" si="64"/>
        <v>10002204 - Sacramentinos Oriente-Proyecto</v>
      </c>
      <c r="K1951" t="str">
        <f t="shared" si="65"/>
        <v>Proyectos Inmobiliarios</v>
      </c>
    </row>
    <row r="1952" spans="1:11" x14ac:dyDescent="0.25">
      <c r="A1952" s="58">
        <v>10002301</v>
      </c>
      <c r="B1952" s="59" t="s">
        <v>2469</v>
      </c>
      <c r="C1952" s="59" t="s">
        <v>1670</v>
      </c>
      <c r="D1952" s="59" t="s">
        <v>1665</v>
      </c>
      <c r="E1952" s="59" t="s">
        <v>1643</v>
      </c>
      <c r="F1952" s="59" t="s">
        <v>2463</v>
      </c>
      <c r="G1952" s="59" t="s">
        <v>1667</v>
      </c>
      <c r="H1952" s="58" t="s">
        <v>1672</v>
      </c>
      <c r="I1952" s="59" t="s">
        <v>1666</v>
      </c>
      <c r="J1952" t="str">
        <f t="shared" si="64"/>
        <v>10002301 - Sacramentinos Oriente-GAF</v>
      </c>
      <c r="K1952" t="str">
        <f t="shared" si="65"/>
        <v>Proyectos Inmobiliarios</v>
      </c>
    </row>
    <row r="1953" spans="1:11" x14ac:dyDescent="0.25">
      <c r="A1953" s="58">
        <v>10002506</v>
      </c>
      <c r="B1953" s="59" t="s">
        <v>2470</v>
      </c>
      <c r="C1953" s="59" t="s">
        <v>1670</v>
      </c>
      <c r="D1953" s="59" t="s">
        <v>1665</v>
      </c>
      <c r="E1953" s="59" t="s">
        <v>200</v>
      </c>
      <c r="F1953" s="59" t="s">
        <v>2463</v>
      </c>
      <c r="G1953" s="59" t="s">
        <v>1661</v>
      </c>
      <c r="H1953" s="58" t="s">
        <v>1672</v>
      </c>
      <c r="I1953" s="59" t="s">
        <v>1666</v>
      </c>
      <c r="J1953" t="str">
        <f t="shared" si="64"/>
        <v>10002506 - Sacramentinos Oriente-Depto.Técnico</v>
      </c>
      <c r="K1953" t="str">
        <f t="shared" si="65"/>
        <v>Proyectos Inmobiliarios</v>
      </c>
    </row>
    <row r="1954" spans="1:11" x14ac:dyDescent="0.25">
      <c r="A1954" s="62">
        <v>1005202</v>
      </c>
      <c r="B1954" s="63" t="s">
        <v>2471</v>
      </c>
      <c r="C1954" s="63" t="s">
        <v>1670</v>
      </c>
      <c r="D1954" s="63" t="s">
        <v>1578</v>
      </c>
      <c r="E1954" s="63" t="s">
        <v>1578</v>
      </c>
      <c r="F1954" s="63" t="s">
        <v>2472</v>
      </c>
      <c r="G1954" s="63" t="s">
        <v>1661</v>
      </c>
      <c r="H1954" s="62" t="s">
        <v>1672</v>
      </c>
      <c r="I1954" s="63" t="s">
        <v>1662</v>
      </c>
      <c r="J1954" t="str">
        <f t="shared" si="64"/>
        <v>1005202 - Terreno San Francisco 2-Desarrollo</v>
      </c>
      <c r="K1954" t="str">
        <f t="shared" si="65"/>
        <v>Terreno</v>
      </c>
    </row>
    <row r="1955" spans="1:11" x14ac:dyDescent="0.25">
      <c r="A1955" s="62">
        <v>177</v>
      </c>
      <c r="B1955" s="63" t="s">
        <v>2473</v>
      </c>
      <c r="C1955" s="63" t="s">
        <v>1670</v>
      </c>
      <c r="D1955" s="63" t="s">
        <v>65</v>
      </c>
      <c r="E1955" s="63" t="s">
        <v>65</v>
      </c>
      <c r="F1955" s="63" t="s">
        <v>2472</v>
      </c>
      <c r="G1955" s="63" t="s">
        <v>1663</v>
      </c>
      <c r="H1955" s="62" t="s">
        <v>1672</v>
      </c>
      <c r="I1955" s="63" t="s">
        <v>1664</v>
      </c>
      <c r="J1955" t="str">
        <f t="shared" si="64"/>
        <v>177 - San Francisco 2</v>
      </c>
      <c r="K1955" t="str">
        <f t="shared" si="65"/>
        <v>Obra</v>
      </c>
    </row>
    <row r="1956" spans="1:11" x14ac:dyDescent="0.25">
      <c r="A1956" s="62">
        <v>9177</v>
      </c>
      <c r="B1956" s="63" t="s">
        <v>617</v>
      </c>
      <c r="C1956" s="63" t="s">
        <v>1670</v>
      </c>
      <c r="D1956" s="63" t="s">
        <v>66</v>
      </c>
      <c r="E1956" s="63" t="s">
        <v>328</v>
      </c>
      <c r="F1956" s="63" t="s">
        <v>2472</v>
      </c>
      <c r="G1956" s="63" t="s">
        <v>1661</v>
      </c>
      <c r="H1956" s="62" t="s">
        <v>386</v>
      </c>
      <c r="I1956" s="63" t="s">
        <v>1666</v>
      </c>
      <c r="J1956" t="str">
        <f t="shared" si="64"/>
        <v>9177 - PV San Francisco II</v>
      </c>
      <c r="K1956" t="str">
        <f t="shared" si="65"/>
        <v>Postventa</v>
      </c>
    </row>
    <row r="1957" spans="1:11" x14ac:dyDescent="0.25">
      <c r="A1957" s="62">
        <v>10177000</v>
      </c>
      <c r="B1957" s="63" t="s">
        <v>2473</v>
      </c>
      <c r="C1957" s="63" t="s">
        <v>1670</v>
      </c>
      <c r="D1957" s="63" t="s">
        <v>1665</v>
      </c>
      <c r="E1957" s="63" t="s">
        <v>1585</v>
      </c>
      <c r="F1957" s="63" t="s">
        <v>2472</v>
      </c>
      <c r="G1957" s="63" t="s">
        <v>1661</v>
      </c>
      <c r="H1957" s="62" t="s">
        <v>1672</v>
      </c>
      <c r="I1957" s="63" t="s">
        <v>1666</v>
      </c>
      <c r="J1957" t="str">
        <f t="shared" si="64"/>
        <v>10177000 - San Francisco 2</v>
      </c>
      <c r="K1957" t="str">
        <f t="shared" si="65"/>
        <v>Proyectos Inmobiliarios</v>
      </c>
    </row>
    <row r="1958" spans="1:11" x14ac:dyDescent="0.25">
      <c r="A1958" s="62">
        <v>10177102</v>
      </c>
      <c r="B1958" s="63" t="s">
        <v>2474</v>
      </c>
      <c r="C1958" s="63" t="s">
        <v>1670</v>
      </c>
      <c r="D1958" s="63" t="s">
        <v>1665</v>
      </c>
      <c r="E1958" s="63" t="s">
        <v>1617</v>
      </c>
      <c r="F1958" s="63" t="s">
        <v>2472</v>
      </c>
      <c r="G1958" s="63" t="s">
        <v>1661</v>
      </c>
      <c r="H1958" s="62" t="s">
        <v>1672</v>
      </c>
      <c r="I1958" s="63" t="s">
        <v>1666</v>
      </c>
      <c r="J1958" t="str">
        <f t="shared" si="64"/>
        <v>10177102 - San Francisco 2-Marketing</v>
      </c>
      <c r="K1958" t="str">
        <f t="shared" si="65"/>
        <v>Proyectos Inmobiliarios</v>
      </c>
    </row>
    <row r="1959" spans="1:11" x14ac:dyDescent="0.25">
      <c r="A1959" s="62">
        <v>10177103</v>
      </c>
      <c r="B1959" s="63" t="s">
        <v>2475</v>
      </c>
      <c r="C1959" s="63" t="s">
        <v>1670</v>
      </c>
      <c r="D1959" s="63" t="s">
        <v>1665</v>
      </c>
      <c r="E1959" s="63" t="s">
        <v>1618</v>
      </c>
      <c r="F1959" s="63" t="s">
        <v>2472</v>
      </c>
      <c r="G1959" s="63" t="s">
        <v>1661</v>
      </c>
      <c r="H1959" s="62" t="s">
        <v>1672</v>
      </c>
      <c r="I1959" s="63" t="s">
        <v>1666</v>
      </c>
      <c r="J1959" t="str">
        <f t="shared" si="64"/>
        <v>10177103 - San Francisco 2-Operaciones</v>
      </c>
      <c r="K1959" t="str">
        <f t="shared" si="65"/>
        <v>Proyectos Inmobiliarios</v>
      </c>
    </row>
    <row r="1960" spans="1:11" x14ac:dyDescent="0.25">
      <c r="A1960" s="62">
        <v>10177104</v>
      </c>
      <c r="B1960" s="63" t="s">
        <v>2476</v>
      </c>
      <c r="C1960" s="63" t="s">
        <v>1670</v>
      </c>
      <c r="D1960" s="63" t="s">
        <v>1665</v>
      </c>
      <c r="E1960" s="63" t="s">
        <v>90</v>
      </c>
      <c r="F1960" s="63" t="s">
        <v>2472</v>
      </c>
      <c r="G1960" s="63" t="s">
        <v>1661</v>
      </c>
      <c r="H1960" s="62" t="s">
        <v>1672</v>
      </c>
      <c r="I1960" s="63" t="s">
        <v>1666</v>
      </c>
      <c r="J1960" t="str">
        <f t="shared" si="64"/>
        <v>10177104 - San Francisco 2-Ventas</v>
      </c>
      <c r="K1960" t="str">
        <f t="shared" si="65"/>
        <v>Proyectos Inmobiliarios</v>
      </c>
    </row>
    <row r="1961" spans="1:11" x14ac:dyDescent="0.25">
      <c r="A1961" s="62">
        <v>10177105</v>
      </c>
      <c r="B1961" s="63" t="s">
        <v>2477</v>
      </c>
      <c r="C1961" s="63" t="s">
        <v>1670</v>
      </c>
      <c r="D1961" s="63" t="s">
        <v>1665</v>
      </c>
      <c r="E1961" s="63" t="s">
        <v>1622</v>
      </c>
      <c r="F1961" s="63" t="s">
        <v>2472</v>
      </c>
      <c r="G1961" s="63" t="s">
        <v>1661</v>
      </c>
      <c r="H1961" s="62" t="s">
        <v>1672</v>
      </c>
      <c r="I1961" s="63" t="s">
        <v>1666</v>
      </c>
      <c r="J1961" t="str">
        <f t="shared" si="64"/>
        <v>10177105 - San Francisco 2-Clientes</v>
      </c>
      <c r="K1961" t="str">
        <f t="shared" si="65"/>
        <v>Proyectos Inmobiliarios</v>
      </c>
    </row>
    <row r="1962" spans="1:11" x14ac:dyDescent="0.25">
      <c r="A1962" s="62">
        <v>10177204</v>
      </c>
      <c r="B1962" s="63" t="s">
        <v>2478</v>
      </c>
      <c r="C1962" s="63" t="s">
        <v>1670</v>
      </c>
      <c r="D1962" s="63" t="s">
        <v>1665</v>
      </c>
      <c r="E1962" s="63" t="s">
        <v>1624</v>
      </c>
      <c r="F1962" s="63" t="s">
        <v>2472</v>
      </c>
      <c r="G1962" s="63" t="s">
        <v>1661</v>
      </c>
      <c r="H1962" s="62" t="s">
        <v>1672</v>
      </c>
      <c r="I1962" s="63" t="s">
        <v>1666</v>
      </c>
      <c r="J1962" t="str">
        <f t="shared" si="64"/>
        <v>10177204 - San Francisco 2-Proyecto</v>
      </c>
      <c r="K1962" t="str">
        <f t="shared" si="65"/>
        <v>Proyectos Inmobiliarios</v>
      </c>
    </row>
    <row r="1963" spans="1:11" x14ac:dyDescent="0.25">
      <c r="A1963" s="62">
        <v>10177301</v>
      </c>
      <c r="B1963" s="63" t="s">
        <v>2479</v>
      </c>
      <c r="C1963" s="63" t="s">
        <v>1670</v>
      </c>
      <c r="D1963" s="63" t="s">
        <v>1665</v>
      </c>
      <c r="E1963" s="63" t="s">
        <v>1643</v>
      </c>
      <c r="F1963" s="63" t="s">
        <v>2472</v>
      </c>
      <c r="G1963" s="63" t="s">
        <v>1667</v>
      </c>
      <c r="H1963" s="62" t="s">
        <v>1672</v>
      </c>
      <c r="I1963" s="63" t="s">
        <v>1666</v>
      </c>
      <c r="J1963" t="str">
        <f t="shared" si="64"/>
        <v>10177301 - San Francisco 2-GAF</v>
      </c>
      <c r="K1963" t="str">
        <f t="shared" si="65"/>
        <v>Proyectos Inmobiliarios</v>
      </c>
    </row>
    <row r="1964" spans="1:11" x14ac:dyDescent="0.25">
      <c r="A1964" s="62">
        <v>10177505</v>
      </c>
      <c r="B1964" s="63" t="s">
        <v>2480</v>
      </c>
      <c r="C1964" s="63" t="s">
        <v>1670</v>
      </c>
      <c r="D1964" s="63" t="s">
        <v>66</v>
      </c>
      <c r="E1964" s="63" t="s">
        <v>328</v>
      </c>
      <c r="F1964" s="63" t="s">
        <v>2472</v>
      </c>
      <c r="G1964" s="63" t="s">
        <v>1661</v>
      </c>
      <c r="H1964" s="62" t="s">
        <v>1672</v>
      </c>
      <c r="I1964" s="63" t="s">
        <v>1666</v>
      </c>
      <c r="J1964" t="str">
        <f t="shared" si="64"/>
        <v>10177505 - San Francisco 2-PV Inmob.</v>
      </c>
      <c r="K1964" t="str">
        <f t="shared" si="65"/>
        <v>Postventa</v>
      </c>
    </row>
    <row r="1965" spans="1:11" x14ac:dyDescent="0.25">
      <c r="A1965" s="62">
        <v>10177506</v>
      </c>
      <c r="B1965" s="63" t="s">
        <v>2481</v>
      </c>
      <c r="C1965" s="63" t="s">
        <v>1670</v>
      </c>
      <c r="D1965" s="63" t="s">
        <v>1665</v>
      </c>
      <c r="E1965" s="63" t="s">
        <v>200</v>
      </c>
      <c r="F1965" s="63" t="s">
        <v>2472</v>
      </c>
      <c r="G1965" s="63" t="s">
        <v>1661</v>
      </c>
      <c r="H1965" s="62" t="s">
        <v>1672</v>
      </c>
      <c r="I1965" s="63" t="s">
        <v>1666</v>
      </c>
      <c r="J1965" t="str">
        <f t="shared" si="64"/>
        <v>10177506 - San Francisco 2-Depto.Técnico</v>
      </c>
      <c r="K1965" t="str">
        <f t="shared" si="65"/>
        <v>Proyectos Inmobiliarios</v>
      </c>
    </row>
    <row r="1966" spans="1:11" x14ac:dyDescent="0.25">
      <c r="A1966" s="54">
        <v>1117202</v>
      </c>
      <c r="B1966" s="55" t="s">
        <v>751</v>
      </c>
      <c r="C1966" s="55" t="s">
        <v>1670</v>
      </c>
      <c r="D1966" s="55" t="s">
        <v>1578</v>
      </c>
      <c r="E1966" s="55" t="s">
        <v>1578</v>
      </c>
      <c r="F1966" s="55" t="s">
        <v>472</v>
      </c>
      <c r="G1966" s="55" t="s">
        <v>1661</v>
      </c>
      <c r="H1966" s="54" t="s">
        <v>386</v>
      </c>
      <c r="I1966" s="55" t="s">
        <v>1662</v>
      </c>
      <c r="J1966" t="str">
        <f t="shared" si="64"/>
        <v xml:space="preserve">1117202 - Terreno Santa Corina – Inversiones </v>
      </c>
      <c r="K1966" t="str">
        <f t="shared" si="65"/>
        <v>Terreno</v>
      </c>
    </row>
    <row r="1967" spans="1:11" x14ac:dyDescent="0.25">
      <c r="A1967" s="54">
        <v>246</v>
      </c>
      <c r="B1967" s="55" t="s">
        <v>472</v>
      </c>
      <c r="C1967" s="55" t="s">
        <v>1670</v>
      </c>
      <c r="D1967" s="55" t="s">
        <v>65</v>
      </c>
      <c r="E1967" s="55" t="s">
        <v>65</v>
      </c>
      <c r="F1967" s="55" t="s">
        <v>472</v>
      </c>
      <c r="G1967" s="55" t="s">
        <v>1663</v>
      </c>
      <c r="H1967" s="54" t="s">
        <v>386</v>
      </c>
      <c r="I1967" s="55" t="s">
        <v>1664</v>
      </c>
      <c r="J1967" t="str">
        <f t="shared" si="64"/>
        <v>246 - Santa Corina</v>
      </c>
      <c r="K1967" t="str">
        <f t="shared" si="65"/>
        <v>Obra</v>
      </c>
    </row>
    <row r="1968" spans="1:11" x14ac:dyDescent="0.25">
      <c r="A1968" s="54">
        <v>10246000</v>
      </c>
      <c r="B1968" s="55" t="s">
        <v>472</v>
      </c>
      <c r="C1968" s="55" t="s">
        <v>1670</v>
      </c>
      <c r="D1968" s="55" t="s">
        <v>1665</v>
      </c>
      <c r="E1968" s="55" t="s">
        <v>1585</v>
      </c>
      <c r="F1968" s="55" t="s">
        <v>472</v>
      </c>
      <c r="G1968" s="55" t="s">
        <v>1661</v>
      </c>
      <c r="H1968" s="54" t="s">
        <v>386</v>
      </c>
      <c r="I1968" s="55" t="s">
        <v>1666</v>
      </c>
      <c r="J1968" t="str">
        <f t="shared" si="64"/>
        <v>10246000 - Santa Corina</v>
      </c>
      <c r="K1968" t="str">
        <f t="shared" si="65"/>
        <v>Proyectos Inmobiliarios</v>
      </c>
    </row>
    <row r="1969" spans="1:11" x14ac:dyDescent="0.25">
      <c r="A1969" s="54">
        <v>10246102</v>
      </c>
      <c r="B1969" s="55" t="s">
        <v>1193</v>
      </c>
      <c r="C1969" s="55" t="s">
        <v>1670</v>
      </c>
      <c r="D1969" s="55" t="s">
        <v>1665</v>
      </c>
      <c r="E1969" s="55" t="s">
        <v>1617</v>
      </c>
      <c r="F1969" s="55" t="s">
        <v>472</v>
      </c>
      <c r="G1969" s="55" t="s">
        <v>1661</v>
      </c>
      <c r="H1969" s="54" t="s">
        <v>386</v>
      </c>
      <c r="I1969" s="55" t="s">
        <v>1666</v>
      </c>
      <c r="J1969" t="str">
        <f t="shared" si="64"/>
        <v>10246102 - Santa Corina-Marketing</v>
      </c>
      <c r="K1969" t="str">
        <f t="shared" si="65"/>
        <v>Proyectos Inmobiliarios</v>
      </c>
    </row>
    <row r="1970" spans="1:11" x14ac:dyDescent="0.25">
      <c r="A1970" s="54">
        <v>10246103</v>
      </c>
      <c r="B1970" s="55" t="s">
        <v>1194</v>
      </c>
      <c r="C1970" s="55" t="s">
        <v>1670</v>
      </c>
      <c r="D1970" s="55" t="s">
        <v>1665</v>
      </c>
      <c r="E1970" s="55" t="s">
        <v>1618</v>
      </c>
      <c r="F1970" s="55" t="s">
        <v>472</v>
      </c>
      <c r="G1970" s="55" t="s">
        <v>1661</v>
      </c>
      <c r="H1970" s="54" t="s">
        <v>386</v>
      </c>
      <c r="I1970" s="55" t="s">
        <v>1666</v>
      </c>
      <c r="J1970" t="str">
        <f t="shared" si="64"/>
        <v>10246103 - Santa Corina-Operaciones</v>
      </c>
      <c r="K1970" t="str">
        <f t="shared" si="65"/>
        <v>Proyectos Inmobiliarios</v>
      </c>
    </row>
    <row r="1971" spans="1:11" x14ac:dyDescent="0.25">
      <c r="A1971" s="54">
        <v>10246104</v>
      </c>
      <c r="B1971" s="55" t="s">
        <v>1195</v>
      </c>
      <c r="C1971" s="55" t="s">
        <v>1670</v>
      </c>
      <c r="D1971" s="55" t="s">
        <v>1665</v>
      </c>
      <c r="E1971" s="55" t="s">
        <v>90</v>
      </c>
      <c r="F1971" s="55" t="s">
        <v>472</v>
      </c>
      <c r="G1971" s="55" t="s">
        <v>1661</v>
      </c>
      <c r="H1971" s="54" t="s">
        <v>386</v>
      </c>
      <c r="I1971" s="55" t="s">
        <v>1666</v>
      </c>
      <c r="J1971" t="str">
        <f t="shared" si="64"/>
        <v>10246104 - Santa Corina-Ventas</v>
      </c>
      <c r="K1971" t="str">
        <f t="shared" si="65"/>
        <v>Proyectos Inmobiliarios</v>
      </c>
    </row>
    <row r="1972" spans="1:11" x14ac:dyDescent="0.25">
      <c r="A1972" s="54">
        <v>10246105</v>
      </c>
      <c r="B1972" s="55" t="s">
        <v>1196</v>
      </c>
      <c r="C1972" s="55" t="s">
        <v>1670</v>
      </c>
      <c r="D1972" s="55" t="s">
        <v>1665</v>
      </c>
      <c r="E1972" s="55" t="s">
        <v>1622</v>
      </c>
      <c r="F1972" s="55" t="s">
        <v>472</v>
      </c>
      <c r="G1972" s="55" t="s">
        <v>1661</v>
      </c>
      <c r="H1972" s="54" t="s">
        <v>386</v>
      </c>
      <c r="I1972" s="55" t="s">
        <v>1666</v>
      </c>
      <c r="J1972" t="str">
        <f t="shared" si="64"/>
        <v>10246105 - Santa Corina-Clientes</v>
      </c>
      <c r="K1972" t="str">
        <f t="shared" si="65"/>
        <v>Proyectos Inmobiliarios</v>
      </c>
    </row>
    <row r="1973" spans="1:11" x14ac:dyDescent="0.25">
      <c r="A1973" s="54">
        <v>10246204</v>
      </c>
      <c r="B1973" s="55" t="s">
        <v>1197</v>
      </c>
      <c r="C1973" s="55" t="s">
        <v>1670</v>
      </c>
      <c r="D1973" s="55" t="s">
        <v>1665</v>
      </c>
      <c r="E1973" s="55" t="s">
        <v>1624</v>
      </c>
      <c r="F1973" s="55" t="s">
        <v>472</v>
      </c>
      <c r="G1973" s="55" t="s">
        <v>1661</v>
      </c>
      <c r="H1973" s="54" t="s">
        <v>386</v>
      </c>
      <c r="I1973" s="55" t="s">
        <v>1666</v>
      </c>
      <c r="J1973" t="str">
        <f t="shared" si="64"/>
        <v>10246204 - Santa Corina-Proyecto</v>
      </c>
      <c r="K1973" t="str">
        <f t="shared" si="65"/>
        <v>Proyectos Inmobiliarios</v>
      </c>
    </row>
    <row r="1974" spans="1:11" x14ac:dyDescent="0.25">
      <c r="A1974" s="54">
        <v>10246301</v>
      </c>
      <c r="B1974" s="55" t="s">
        <v>1198</v>
      </c>
      <c r="C1974" s="55" t="s">
        <v>1670</v>
      </c>
      <c r="D1974" s="55" t="s">
        <v>1665</v>
      </c>
      <c r="E1974" s="55" t="s">
        <v>1643</v>
      </c>
      <c r="F1974" s="55" t="s">
        <v>472</v>
      </c>
      <c r="G1974" s="55" t="s">
        <v>1667</v>
      </c>
      <c r="H1974" s="54" t="s">
        <v>386</v>
      </c>
      <c r="I1974" s="55" t="s">
        <v>1666</v>
      </c>
      <c r="J1974" t="str">
        <f t="shared" si="64"/>
        <v>10246301 - Santa Corina-GAF</v>
      </c>
      <c r="K1974" t="str">
        <f t="shared" si="65"/>
        <v>Proyectos Inmobiliarios</v>
      </c>
    </row>
    <row r="1975" spans="1:11" x14ac:dyDescent="0.25">
      <c r="A1975" s="54">
        <v>10246505</v>
      </c>
      <c r="B1975" s="55" t="s">
        <v>1199</v>
      </c>
      <c r="C1975" s="55" t="s">
        <v>1670</v>
      </c>
      <c r="D1975" s="55" t="s">
        <v>66</v>
      </c>
      <c r="E1975" s="55" t="s">
        <v>328</v>
      </c>
      <c r="F1975" s="55" t="s">
        <v>472</v>
      </c>
      <c r="G1975" s="55" t="s">
        <v>1661</v>
      </c>
      <c r="H1975" s="54" t="s">
        <v>386</v>
      </c>
      <c r="I1975" s="55" t="s">
        <v>1666</v>
      </c>
      <c r="J1975" t="str">
        <f t="shared" si="64"/>
        <v>10246505 - Santa Corina-PV Inmob.</v>
      </c>
      <c r="K1975" t="str">
        <f t="shared" si="65"/>
        <v>Postventa</v>
      </c>
    </row>
    <row r="1976" spans="1:11" x14ac:dyDescent="0.25">
      <c r="A1976" s="54">
        <v>10246506</v>
      </c>
      <c r="B1976" s="55" t="s">
        <v>1200</v>
      </c>
      <c r="C1976" s="55" t="s">
        <v>1670</v>
      </c>
      <c r="D1976" s="55" t="s">
        <v>1665</v>
      </c>
      <c r="E1976" s="55" t="s">
        <v>200</v>
      </c>
      <c r="F1976" s="55" t="s">
        <v>472</v>
      </c>
      <c r="G1976" s="55" t="s">
        <v>1661</v>
      </c>
      <c r="H1976" s="54" t="s">
        <v>386</v>
      </c>
      <c r="I1976" s="55" t="s">
        <v>1666</v>
      </c>
      <c r="J1976" t="str">
        <f t="shared" si="64"/>
        <v>10246506 - Santa Corina-Depto.Técnico</v>
      </c>
      <c r="K1976" t="str">
        <f t="shared" si="65"/>
        <v>Proyectos Inmobiliarios</v>
      </c>
    </row>
    <row r="1977" spans="1:11" x14ac:dyDescent="0.25">
      <c r="A1977" s="54">
        <v>8246</v>
      </c>
      <c r="B1977" s="55" t="s">
        <v>2482</v>
      </c>
      <c r="C1977" s="55" t="s">
        <v>1670</v>
      </c>
      <c r="D1977" s="55" t="s">
        <v>1686</v>
      </c>
      <c r="E1977" s="55" t="s">
        <v>1501</v>
      </c>
      <c r="F1977" s="55" t="s">
        <v>472</v>
      </c>
      <c r="G1977" s="55" t="s">
        <v>1661</v>
      </c>
      <c r="H1977" s="54" t="s">
        <v>1672</v>
      </c>
      <c r="I1977" s="55" t="s">
        <v>1666</v>
      </c>
      <c r="J1977" t="str">
        <f t="shared" si="64"/>
        <v>8246 - Entrega Santa Corina</v>
      </c>
      <c r="K1977" t="str">
        <f t="shared" si="65"/>
        <v>Entrega</v>
      </c>
    </row>
    <row r="1978" spans="1:11" x14ac:dyDescent="0.25">
      <c r="A1978" s="54">
        <v>9246</v>
      </c>
      <c r="B1978" s="55" t="s">
        <v>2483</v>
      </c>
      <c r="C1978" s="55" t="s">
        <v>1670</v>
      </c>
      <c r="D1978" s="55" t="s">
        <v>66</v>
      </c>
      <c r="E1978" s="55" t="s">
        <v>328</v>
      </c>
      <c r="F1978" s="55" t="s">
        <v>472</v>
      </c>
      <c r="G1978" s="55" t="s">
        <v>1661</v>
      </c>
      <c r="H1978" s="54" t="s">
        <v>1672</v>
      </c>
      <c r="I1978" s="55" t="s">
        <v>1666</v>
      </c>
      <c r="J1978" t="str">
        <f t="shared" si="64"/>
        <v>9246 - PV Santa Corina</v>
      </c>
      <c r="K1978" t="str">
        <f t="shared" si="65"/>
        <v>Postventa</v>
      </c>
    </row>
    <row r="1979" spans="1:11" x14ac:dyDescent="0.25">
      <c r="A1979" s="50">
        <v>999999999</v>
      </c>
      <c r="B1979" s="51" t="s">
        <v>1684</v>
      </c>
      <c r="C1979" s="51"/>
      <c r="D1979" s="51" t="s">
        <v>1578</v>
      </c>
      <c r="E1979" s="51" t="s">
        <v>1578</v>
      </c>
      <c r="F1979" s="51" t="s">
        <v>2484</v>
      </c>
      <c r="G1979" s="51" t="s">
        <v>1661</v>
      </c>
      <c r="H1979" s="50" t="s">
        <v>1672</v>
      </c>
      <c r="I1979" s="51" t="s">
        <v>1662</v>
      </c>
      <c r="J1979" t="str">
        <f t="shared" si="64"/>
        <v>999999999 - Terreno Abuelo Proyectos sin Terreno</v>
      </c>
      <c r="K1979" t="str">
        <f t="shared" si="65"/>
        <v>Terreno</v>
      </c>
    </row>
    <row r="1980" spans="1:11" x14ac:dyDescent="0.25">
      <c r="A1980" s="50">
        <v>40</v>
      </c>
      <c r="B1980" s="51" t="s">
        <v>2484</v>
      </c>
      <c r="C1980" s="51" t="s">
        <v>1964</v>
      </c>
      <c r="D1980" s="51" t="s">
        <v>65</v>
      </c>
      <c r="E1980" s="51" t="s">
        <v>65</v>
      </c>
      <c r="F1980" s="51" t="s">
        <v>2484</v>
      </c>
      <c r="G1980" s="51" t="s">
        <v>1663</v>
      </c>
      <c r="H1980" s="50" t="s">
        <v>1672</v>
      </c>
      <c r="I1980" s="51" t="s">
        <v>1664</v>
      </c>
      <c r="J1980" t="str">
        <f t="shared" si="64"/>
        <v>40 - Segunda Comisaría Coquimbo</v>
      </c>
      <c r="K1980" t="str">
        <f t="shared" si="65"/>
        <v>Obra</v>
      </c>
    </row>
    <row r="1981" spans="1:11" x14ac:dyDescent="0.25">
      <c r="A1981" s="58">
        <v>999999999</v>
      </c>
      <c r="B1981" s="59" t="s">
        <v>1684</v>
      </c>
      <c r="C1981" s="59"/>
      <c r="D1981" s="59" t="s">
        <v>1578</v>
      </c>
      <c r="E1981" s="59" t="s">
        <v>1578</v>
      </c>
      <c r="F1981" s="59" t="s">
        <v>2485</v>
      </c>
      <c r="G1981" s="59" t="s">
        <v>1661</v>
      </c>
      <c r="H1981" s="58" t="s">
        <v>1672</v>
      </c>
      <c r="I1981" s="59" t="s">
        <v>1662</v>
      </c>
      <c r="J1981" t="str">
        <f t="shared" si="64"/>
        <v>999999999 - Terreno Abuelo Proyectos sin Terreno</v>
      </c>
      <c r="K1981" t="str">
        <f t="shared" si="65"/>
        <v>Terreno</v>
      </c>
    </row>
    <row r="1982" spans="1:11" x14ac:dyDescent="0.25">
      <c r="A1982" s="58">
        <v>999</v>
      </c>
      <c r="B1982" s="59" t="s">
        <v>1808</v>
      </c>
      <c r="C1982" s="59"/>
      <c r="D1982" s="59" t="s">
        <v>65</v>
      </c>
      <c r="E1982" s="59" t="s">
        <v>65</v>
      </c>
      <c r="F1982" s="59" t="s">
        <v>2485</v>
      </c>
      <c r="G1982" s="59" t="s">
        <v>1663</v>
      </c>
      <c r="H1982" s="58" t="s">
        <v>1672</v>
      </c>
      <c r="I1982" s="59" t="s">
        <v>1664</v>
      </c>
      <c r="J1982" t="str">
        <f t="shared" si="64"/>
        <v>999 - Obra Padre Proyectos sin Obra</v>
      </c>
      <c r="K1982" t="str">
        <f t="shared" si="65"/>
        <v>Obra</v>
      </c>
    </row>
    <row r="1983" spans="1:11" x14ac:dyDescent="0.25">
      <c r="A1983" s="58">
        <v>9025</v>
      </c>
      <c r="B1983" s="59" t="s">
        <v>574</v>
      </c>
      <c r="C1983" s="59" t="s">
        <v>1685</v>
      </c>
      <c r="D1983" s="59" t="s">
        <v>66</v>
      </c>
      <c r="E1983" s="59" t="s">
        <v>328</v>
      </c>
      <c r="F1983" s="59" t="s">
        <v>2485</v>
      </c>
      <c r="G1983" s="59" t="s">
        <v>1661</v>
      </c>
      <c r="H1983" s="58" t="s">
        <v>386</v>
      </c>
      <c r="I1983" s="59" t="s">
        <v>1666</v>
      </c>
      <c r="J1983" t="str">
        <f t="shared" si="64"/>
        <v>9025 - PV SSCC</v>
      </c>
      <c r="K1983" t="str">
        <f t="shared" si="65"/>
        <v>Postventa</v>
      </c>
    </row>
    <row r="1984" spans="1:11" x14ac:dyDescent="0.25">
      <c r="A1984" s="50">
        <v>999999999</v>
      </c>
      <c r="B1984" s="51" t="s">
        <v>1684</v>
      </c>
      <c r="C1984" s="51"/>
      <c r="D1984" s="51" t="s">
        <v>1578</v>
      </c>
      <c r="E1984" s="51" t="s">
        <v>1578</v>
      </c>
      <c r="F1984" s="51" t="s">
        <v>2486</v>
      </c>
      <c r="G1984" s="51" t="s">
        <v>1661</v>
      </c>
      <c r="H1984" s="50" t="s">
        <v>1672</v>
      </c>
      <c r="I1984" s="51" t="s">
        <v>1662</v>
      </c>
      <c r="J1984" t="str">
        <f t="shared" si="64"/>
        <v>999999999 - Terreno Abuelo Proyectos sin Terreno</v>
      </c>
      <c r="K1984" t="str">
        <f t="shared" si="65"/>
        <v>Terreno</v>
      </c>
    </row>
    <row r="1985" spans="1:11" x14ac:dyDescent="0.25">
      <c r="A1985" s="50">
        <v>999</v>
      </c>
      <c r="B1985" s="51" t="s">
        <v>1808</v>
      </c>
      <c r="C1985" s="51"/>
      <c r="D1985" s="51" t="s">
        <v>65</v>
      </c>
      <c r="E1985" s="51" t="s">
        <v>65</v>
      </c>
      <c r="F1985" s="51" t="s">
        <v>2486</v>
      </c>
      <c r="G1985" s="51" t="s">
        <v>1663</v>
      </c>
      <c r="H1985" s="50" t="s">
        <v>1672</v>
      </c>
      <c r="I1985" s="51" t="s">
        <v>1664</v>
      </c>
      <c r="J1985" t="str">
        <f t="shared" si="64"/>
        <v>999 - Obra Padre Proyectos sin Obra</v>
      </c>
      <c r="K1985" t="str">
        <f t="shared" si="65"/>
        <v>Obra</v>
      </c>
    </row>
    <row r="1986" spans="1:11" x14ac:dyDescent="0.25">
      <c r="A1986" s="50">
        <v>9918</v>
      </c>
      <c r="B1986" s="51" t="s">
        <v>694</v>
      </c>
      <c r="C1986" s="51" t="s">
        <v>1670</v>
      </c>
      <c r="D1986" s="51" t="s">
        <v>66</v>
      </c>
      <c r="E1986" s="51" t="s">
        <v>328</v>
      </c>
      <c r="F1986" s="51" t="s">
        <v>2486</v>
      </c>
      <c r="G1986" s="51" t="s">
        <v>1661</v>
      </c>
      <c r="H1986" s="50" t="s">
        <v>386</v>
      </c>
      <c r="I1986" s="51" t="s">
        <v>1666</v>
      </c>
      <c r="J1986" t="str">
        <f t="shared" si="64"/>
        <v>9918 - PV Templo Mormon</v>
      </c>
      <c r="K1986" t="str">
        <f t="shared" si="65"/>
        <v>Postventa</v>
      </c>
    </row>
    <row r="1987" spans="1:11" x14ac:dyDescent="0.25">
      <c r="A1987" s="56">
        <v>999999999</v>
      </c>
      <c r="B1987" s="57" t="s">
        <v>1684</v>
      </c>
      <c r="C1987" s="57"/>
      <c r="D1987" s="57" t="s">
        <v>1578</v>
      </c>
      <c r="E1987" s="57" t="s">
        <v>1578</v>
      </c>
      <c r="F1987" s="57" t="s">
        <v>2487</v>
      </c>
      <c r="G1987" s="57" t="s">
        <v>1661</v>
      </c>
      <c r="H1987" s="56" t="s">
        <v>1672</v>
      </c>
      <c r="I1987" s="57" t="s">
        <v>1662</v>
      </c>
      <c r="J1987" t="str">
        <f t="shared" si="64"/>
        <v>999999999 - Terreno Abuelo Proyectos sin Terreno</v>
      </c>
      <c r="K1987" t="str">
        <f t="shared" si="65"/>
        <v>Terreno</v>
      </c>
    </row>
    <row r="1988" spans="1:11" x14ac:dyDescent="0.25">
      <c r="A1988" s="56">
        <v>999</v>
      </c>
      <c r="B1988" s="57" t="s">
        <v>1808</v>
      </c>
      <c r="C1988" s="57"/>
      <c r="D1988" s="57" t="s">
        <v>65</v>
      </c>
      <c r="E1988" s="57" t="s">
        <v>65</v>
      </c>
      <c r="F1988" s="57" t="s">
        <v>2487</v>
      </c>
      <c r="G1988" s="57" t="s">
        <v>1663</v>
      </c>
      <c r="H1988" s="56" t="s">
        <v>1672</v>
      </c>
      <c r="I1988" s="57" t="s">
        <v>1664</v>
      </c>
      <c r="J1988" t="str">
        <f t="shared" si="64"/>
        <v>999 - Obra Padre Proyectos sin Obra</v>
      </c>
      <c r="K1988" t="str">
        <f t="shared" si="65"/>
        <v>Obra</v>
      </c>
    </row>
    <row r="1989" spans="1:11" x14ac:dyDescent="0.25">
      <c r="A1989" s="56">
        <v>10185000</v>
      </c>
      <c r="B1989" s="57" t="s">
        <v>2488</v>
      </c>
      <c r="C1989" s="57" t="s">
        <v>1685</v>
      </c>
      <c r="D1989" s="57" t="s">
        <v>1665</v>
      </c>
      <c r="E1989" s="57" t="s">
        <v>1585</v>
      </c>
      <c r="F1989" s="57" t="s">
        <v>2487</v>
      </c>
      <c r="G1989" s="57" t="s">
        <v>1661</v>
      </c>
      <c r="H1989" s="56" t="s">
        <v>1672</v>
      </c>
      <c r="I1989" s="57" t="s">
        <v>1666</v>
      </c>
      <c r="J1989" t="str">
        <f t="shared" si="64"/>
        <v>10185000 - TerraNorte</v>
      </c>
      <c r="K1989" t="str">
        <f t="shared" si="65"/>
        <v>Proyectos Inmobiliarios</v>
      </c>
    </row>
    <row r="1990" spans="1:11" x14ac:dyDescent="0.25">
      <c r="A1990" s="56">
        <v>10185102</v>
      </c>
      <c r="B1990" s="57" t="s">
        <v>2489</v>
      </c>
      <c r="C1990" s="57" t="s">
        <v>1685</v>
      </c>
      <c r="D1990" s="57" t="s">
        <v>1665</v>
      </c>
      <c r="E1990" s="57" t="s">
        <v>1617</v>
      </c>
      <c r="F1990" s="57" t="s">
        <v>2487</v>
      </c>
      <c r="G1990" s="57" t="s">
        <v>1661</v>
      </c>
      <c r="H1990" s="56" t="s">
        <v>1672</v>
      </c>
      <c r="I1990" s="57" t="s">
        <v>1666</v>
      </c>
      <c r="J1990" t="str">
        <f t="shared" si="64"/>
        <v>10185102 - TerraNorte-Marketing</v>
      </c>
      <c r="K1990" t="str">
        <f t="shared" si="65"/>
        <v>Proyectos Inmobiliarios</v>
      </c>
    </row>
    <row r="1991" spans="1:11" x14ac:dyDescent="0.25">
      <c r="A1991" s="56">
        <v>10185103</v>
      </c>
      <c r="B1991" s="57" t="s">
        <v>2490</v>
      </c>
      <c r="C1991" s="57" t="s">
        <v>1685</v>
      </c>
      <c r="D1991" s="57" t="s">
        <v>1665</v>
      </c>
      <c r="E1991" s="57" t="s">
        <v>1618</v>
      </c>
      <c r="F1991" s="57" t="s">
        <v>2487</v>
      </c>
      <c r="G1991" s="57" t="s">
        <v>1661</v>
      </c>
      <c r="H1991" s="56" t="s">
        <v>1672</v>
      </c>
      <c r="I1991" s="57" t="s">
        <v>1666</v>
      </c>
      <c r="J1991" t="str">
        <f t="shared" si="64"/>
        <v>10185103 - TerraNorte-Operaciones</v>
      </c>
      <c r="K1991" t="str">
        <f t="shared" si="65"/>
        <v>Proyectos Inmobiliarios</v>
      </c>
    </row>
    <row r="1992" spans="1:11" x14ac:dyDescent="0.25">
      <c r="A1992" s="56">
        <v>10185104</v>
      </c>
      <c r="B1992" s="57" t="s">
        <v>2491</v>
      </c>
      <c r="C1992" s="57" t="s">
        <v>1685</v>
      </c>
      <c r="D1992" s="57" t="s">
        <v>1665</v>
      </c>
      <c r="E1992" s="57" t="s">
        <v>90</v>
      </c>
      <c r="F1992" s="57" t="s">
        <v>2487</v>
      </c>
      <c r="G1992" s="57" t="s">
        <v>1661</v>
      </c>
      <c r="H1992" s="56" t="s">
        <v>1672</v>
      </c>
      <c r="I1992" s="57" t="s">
        <v>1666</v>
      </c>
      <c r="J1992" t="str">
        <f t="shared" si="64"/>
        <v>10185104 - TerraNorte-Ventas</v>
      </c>
      <c r="K1992" t="str">
        <f t="shared" si="65"/>
        <v>Proyectos Inmobiliarios</v>
      </c>
    </row>
    <row r="1993" spans="1:11" x14ac:dyDescent="0.25">
      <c r="A1993" s="56">
        <v>10185105</v>
      </c>
      <c r="B1993" s="57" t="s">
        <v>2492</v>
      </c>
      <c r="C1993" s="57" t="s">
        <v>1685</v>
      </c>
      <c r="D1993" s="57" t="s">
        <v>1665</v>
      </c>
      <c r="E1993" s="57" t="s">
        <v>1622</v>
      </c>
      <c r="F1993" s="57" t="s">
        <v>2487</v>
      </c>
      <c r="G1993" s="57" t="s">
        <v>1661</v>
      </c>
      <c r="H1993" s="56" t="s">
        <v>1672</v>
      </c>
      <c r="I1993" s="57" t="s">
        <v>1666</v>
      </c>
      <c r="J1993" t="str">
        <f t="shared" si="64"/>
        <v>10185105 - TerraNorte-Clientes</v>
      </c>
      <c r="K1993" t="str">
        <f t="shared" si="65"/>
        <v>Proyectos Inmobiliarios</v>
      </c>
    </row>
    <row r="1994" spans="1:11" x14ac:dyDescent="0.25">
      <c r="A1994" s="56">
        <v>10185205</v>
      </c>
      <c r="B1994" s="57" t="s">
        <v>2493</v>
      </c>
      <c r="C1994" s="57" t="s">
        <v>1685</v>
      </c>
      <c r="D1994" s="57" t="s">
        <v>1665</v>
      </c>
      <c r="E1994" s="57" t="s">
        <v>1624</v>
      </c>
      <c r="F1994" s="57" t="s">
        <v>2487</v>
      </c>
      <c r="G1994" s="57" t="s">
        <v>1661</v>
      </c>
      <c r="H1994" s="56" t="s">
        <v>1672</v>
      </c>
      <c r="I1994" s="57" t="s">
        <v>1666</v>
      </c>
      <c r="J1994" t="str">
        <f t="shared" si="64"/>
        <v>10185205 - TerraNorte-Proyecto</v>
      </c>
      <c r="K1994" t="str">
        <f t="shared" si="65"/>
        <v>Proyectos Inmobiliarios</v>
      </c>
    </row>
    <row r="1995" spans="1:11" x14ac:dyDescent="0.25">
      <c r="A1995" s="56">
        <v>10185301</v>
      </c>
      <c r="B1995" s="57" t="s">
        <v>2494</v>
      </c>
      <c r="C1995" s="57" t="s">
        <v>1685</v>
      </c>
      <c r="D1995" s="57" t="s">
        <v>1665</v>
      </c>
      <c r="E1995" s="57" t="s">
        <v>1643</v>
      </c>
      <c r="F1995" s="57" t="s">
        <v>2487</v>
      </c>
      <c r="G1995" s="57" t="s">
        <v>1667</v>
      </c>
      <c r="H1995" s="56" t="s">
        <v>1672</v>
      </c>
      <c r="I1995" s="57" t="s">
        <v>1666</v>
      </c>
      <c r="J1995" t="str">
        <f t="shared" si="64"/>
        <v>10185301 - TerraNorte-GAF</v>
      </c>
      <c r="K1995" t="str">
        <f t="shared" si="65"/>
        <v>Proyectos Inmobiliarios</v>
      </c>
    </row>
    <row r="1996" spans="1:11" x14ac:dyDescent="0.25">
      <c r="A1996" s="56">
        <v>10185505</v>
      </c>
      <c r="B1996" s="57" t="s">
        <v>2495</v>
      </c>
      <c r="C1996" s="57" t="s">
        <v>1685</v>
      </c>
      <c r="D1996" s="57" t="s">
        <v>66</v>
      </c>
      <c r="E1996" s="57" t="s">
        <v>328</v>
      </c>
      <c r="F1996" s="57" t="s">
        <v>2487</v>
      </c>
      <c r="G1996" s="57" t="s">
        <v>1661</v>
      </c>
      <c r="H1996" s="56" t="s">
        <v>1672</v>
      </c>
      <c r="I1996" s="57" t="s">
        <v>1666</v>
      </c>
      <c r="J1996" t="str">
        <f t="shared" si="64"/>
        <v>10185505 - TerraNorte-PV Inmob.</v>
      </c>
      <c r="K1996" t="str">
        <f t="shared" si="65"/>
        <v>Postventa</v>
      </c>
    </row>
    <row r="1997" spans="1:11" x14ac:dyDescent="0.25">
      <c r="A1997" s="56">
        <v>10185506</v>
      </c>
      <c r="B1997" s="57" t="s">
        <v>2496</v>
      </c>
      <c r="C1997" s="57" t="s">
        <v>1685</v>
      </c>
      <c r="D1997" s="57" t="s">
        <v>1665</v>
      </c>
      <c r="E1997" s="57" t="s">
        <v>200</v>
      </c>
      <c r="F1997" s="57" t="s">
        <v>2487</v>
      </c>
      <c r="G1997" s="57" t="s">
        <v>1661</v>
      </c>
      <c r="H1997" s="56" t="s">
        <v>1672</v>
      </c>
      <c r="I1997" s="57" t="s">
        <v>1666</v>
      </c>
      <c r="J1997" t="str">
        <f t="shared" si="64"/>
        <v>10185506 - TerraNorte-Depto.Técnico</v>
      </c>
      <c r="K1997" t="str">
        <f t="shared" si="65"/>
        <v>Proyectos Inmobiliarios</v>
      </c>
    </row>
    <row r="1998" spans="1:11" x14ac:dyDescent="0.25">
      <c r="A1998" s="50">
        <v>999999999</v>
      </c>
      <c r="B1998" s="51" t="s">
        <v>1684</v>
      </c>
      <c r="C1998" s="51"/>
      <c r="D1998" s="51" t="s">
        <v>1578</v>
      </c>
      <c r="E1998" s="51" t="s">
        <v>1578</v>
      </c>
      <c r="F1998" s="51" t="s">
        <v>2497</v>
      </c>
      <c r="G1998" s="51" t="s">
        <v>1661</v>
      </c>
      <c r="H1998" s="50" t="s">
        <v>1672</v>
      </c>
      <c r="I1998" s="51" t="s">
        <v>1662</v>
      </c>
      <c r="J1998" t="str">
        <f t="shared" si="64"/>
        <v>999999999 - Terreno Abuelo Proyectos sin Terreno</v>
      </c>
      <c r="K1998" t="str">
        <f t="shared" si="65"/>
        <v>Terreno</v>
      </c>
    </row>
    <row r="1999" spans="1:11" x14ac:dyDescent="0.25">
      <c r="A1999" s="50">
        <v>19</v>
      </c>
      <c r="B1999" s="51" t="s">
        <v>2498</v>
      </c>
      <c r="C1999" s="51" t="s">
        <v>1685</v>
      </c>
      <c r="D1999" s="51" t="s">
        <v>65</v>
      </c>
      <c r="E1999" s="51" t="s">
        <v>65</v>
      </c>
      <c r="F1999" s="51" t="s">
        <v>2497</v>
      </c>
      <c r="G1999" s="51" t="s">
        <v>1663</v>
      </c>
      <c r="H1999" s="50" t="s">
        <v>1672</v>
      </c>
      <c r="I1999" s="51" t="s">
        <v>1664</v>
      </c>
      <c r="J1999" t="str">
        <f t="shared" si="64"/>
        <v>19 - Edificio Terra Placeres</v>
      </c>
      <c r="K1999" t="str">
        <f t="shared" si="65"/>
        <v>Obra</v>
      </c>
    </row>
    <row r="2000" spans="1:11" x14ac:dyDescent="0.25">
      <c r="A2000" s="50">
        <v>9019</v>
      </c>
      <c r="B2000" s="51" t="s">
        <v>569</v>
      </c>
      <c r="C2000" s="51" t="s">
        <v>1685</v>
      </c>
      <c r="D2000" s="51" t="s">
        <v>66</v>
      </c>
      <c r="E2000" s="51" t="s">
        <v>328</v>
      </c>
      <c r="F2000" s="51" t="s">
        <v>2497</v>
      </c>
      <c r="G2000" s="51" t="s">
        <v>1661</v>
      </c>
      <c r="H2000" s="50" t="s">
        <v>386</v>
      </c>
      <c r="I2000" s="51" t="s">
        <v>1666</v>
      </c>
      <c r="J2000" t="str">
        <f t="shared" si="64"/>
        <v>9019 - PV Terra Placeres</v>
      </c>
      <c r="K2000" t="str">
        <f t="shared" si="65"/>
        <v>Postventa</v>
      </c>
    </row>
    <row r="2001" spans="1:11" x14ac:dyDescent="0.25">
      <c r="A2001" s="50">
        <v>10010000</v>
      </c>
      <c r="B2001" s="51" t="s">
        <v>2497</v>
      </c>
      <c r="C2001" s="51" t="s">
        <v>1685</v>
      </c>
      <c r="D2001" s="51" t="s">
        <v>1665</v>
      </c>
      <c r="E2001" s="51" t="s">
        <v>1585</v>
      </c>
      <c r="F2001" s="51" t="s">
        <v>2497</v>
      </c>
      <c r="G2001" s="51" t="s">
        <v>1667</v>
      </c>
      <c r="H2001" s="50" t="s">
        <v>1672</v>
      </c>
      <c r="I2001" s="51" t="s">
        <v>1666</v>
      </c>
      <c r="J2001" t="str">
        <f t="shared" si="64"/>
        <v>10010000 - Terra Placeres</v>
      </c>
      <c r="K2001" t="str">
        <f t="shared" si="65"/>
        <v>Proyectos Inmobiliarios</v>
      </c>
    </row>
    <row r="2002" spans="1:11" x14ac:dyDescent="0.25">
      <c r="A2002" s="50">
        <v>10010102</v>
      </c>
      <c r="B2002" s="51" t="s">
        <v>2499</v>
      </c>
      <c r="C2002" s="51" t="s">
        <v>1685</v>
      </c>
      <c r="D2002" s="51" t="s">
        <v>1665</v>
      </c>
      <c r="E2002" s="51" t="s">
        <v>1617</v>
      </c>
      <c r="F2002" s="51" t="s">
        <v>2497</v>
      </c>
      <c r="G2002" s="51" t="s">
        <v>1661</v>
      </c>
      <c r="H2002" s="50" t="s">
        <v>1672</v>
      </c>
      <c r="I2002" s="51" t="s">
        <v>1666</v>
      </c>
      <c r="J2002" t="str">
        <f t="shared" si="64"/>
        <v>10010102 - Terra Placeres-Marketing</v>
      </c>
      <c r="K2002" t="str">
        <f t="shared" si="65"/>
        <v>Proyectos Inmobiliarios</v>
      </c>
    </row>
    <row r="2003" spans="1:11" x14ac:dyDescent="0.25">
      <c r="A2003" s="50">
        <v>10010103</v>
      </c>
      <c r="B2003" s="51" t="s">
        <v>2500</v>
      </c>
      <c r="C2003" s="51" t="s">
        <v>1685</v>
      </c>
      <c r="D2003" s="51" t="s">
        <v>1665</v>
      </c>
      <c r="E2003" s="51" t="s">
        <v>1618</v>
      </c>
      <c r="F2003" s="51" t="s">
        <v>2497</v>
      </c>
      <c r="G2003" s="51" t="s">
        <v>1661</v>
      </c>
      <c r="H2003" s="50" t="s">
        <v>1672</v>
      </c>
      <c r="I2003" s="51" t="s">
        <v>1666</v>
      </c>
      <c r="J2003" t="str">
        <f t="shared" si="64"/>
        <v>10010103 - Terra Placeres-Operaciones</v>
      </c>
      <c r="K2003" t="str">
        <f t="shared" si="65"/>
        <v>Proyectos Inmobiliarios</v>
      </c>
    </row>
    <row r="2004" spans="1:11" x14ac:dyDescent="0.25">
      <c r="A2004" s="50">
        <v>10010104</v>
      </c>
      <c r="B2004" s="51" t="s">
        <v>2501</v>
      </c>
      <c r="C2004" s="51" t="s">
        <v>1685</v>
      </c>
      <c r="D2004" s="51" t="s">
        <v>1665</v>
      </c>
      <c r="E2004" s="51" t="s">
        <v>90</v>
      </c>
      <c r="F2004" s="51" t="s">
        <v>2497</v>
      </c>
      <c r="G2004" s="51" t="s">
        <v>1661</v>
      </c>
      <c r="H2004" s="50" t="s">
        <v>1672</v>
      </c>
      <c r="I2004" s="51" t="s">
        <v>1666</v>
      </c>
      <c r="J2004" t="str">
        <f t="shared" si="64"/>
        <v>10010104 - Terra Placeres-Ventas</v>
      </c>
      <c r="K2004" t="str">
        <f t="shared" si="65"/>
        <v>Proyectos Inmobiliarios</v>
      </c>
    </row>
    <row r="2005" spans="1:11" x14ac:dyDescent="0.25">
      <c r="A2005" s="50">
        <v>10010105</v>
      </c>
      <c r="B2005" s="51" t="s">
        <v>2502</v>
      </c>
      <c r="C2005" s="51" t="s">
        <v>1685</v>
      </c>
      <c r="D2005" s="51" t="s">
        <v>1665</v>
      </c>
      <c r="E2005" s="51" t="s">
        <v>1622</v>
      </c>
      <c r="F2005" s="51" t="s">
        <v>2497</v>
      </c>
      <c r="G2005" s="51" t="s">
        <v>1661</v>
      </c>
      <c r="H2005" s="50" t="s">
        <v>1672</v>
      </c>
      <c r="I2005" s="51" t="s">
        <v>1666</v>
      </c>
      <c r="J2005" t="str">
        <f t="shared" ref="J2005:J2068" si="66">+A2005&amp;" - "&amp;B2005</f>
        <v>10010105 - Terra Placeres-Clientes</v>
      </c>
      <c r="K2005" t="str">
        <f t="shared" ref="K2005:K2068" si="67">+D2005</f>
        <v>Proyectos Inmobiliarios</v>
      </c>
    </row>
    <row r="2006" spans="1:11" x14ac:dyDescent="0.25">
      <c r="A2006" s="50">
        <v>10010205</v>
      </c>
      <c r="B2006" s="51" t="s">
        <v>2503</v>
      </c>
      <c r="C2006" s="51" t="s">
        <v>1685</v>
      </c>
      <c r="D2006" s="51" t="s">
        <v>1665</v>
      </c>
      <c r="E2006" s="51" t="s">
        <v>1624</v>
      </c>
      <c r="F2006" s="51" t="s">
        <v>2497</v>
      </c>
      <c r="G2006" s="51" t="s">
        <v>1661</v>
      </c>
      <c r="H2006" s="50" t="s">
        <v>1672</v>
      </c>
      <c r="I2006" s="51" t="s">
        <v>1666</v>
      </c>
      <c r="J2006" t="str">
        <f t="shared" si="66"/>
        <v>10010205 - Terra Placeres-Proyecto</v>
      </c>
      <c r="K2006" t="str">
        <f t="shared" si="67"/>
        <v>Proyectos Inmobiliarios</v>
      </c>
    </row>
    <row r="2007" spans="1:11" x14ac:dyDescent="0.25">
      <c r="A2007" s="50">
        <v>10010301</v>
      </c>
      <c r="B2007" s="51" t="s">
        <v>2504</v>
      </c>
      <c r="C2007" s="51" t="s">
        <v>1685</v>
      </c>
      <c r="D2007" s="51" t="s">
        <v>1665</v>
      </c>
      <c r="E2007" s="51" t="s">
        <v>1643</v>
      </c>
      <c r="F2007" s="51" t="s">
        <v>2497</v>
      </c>
      <c r="G2007" s="51" t="s">
        <v>1667</v>
      </c>
      <c r="H2007" s="50" t="s">
        <v>1672</v>
      </c>
      <c r="I2007" s="51" t="s">
        <v>1666</v>
      </c>
      <c r="J2007" t="str">
        <f t="shared" si="66"/>
        <v>10010301 - Terra Placeres-GAF</v>
      </c>
      <c r="K2007" t="str">
        <f t="shared" si="67"/>
        <v>Proyectos Inmobiliarios</v>
      </c>
    </row>
    <row r="2008" spans="1:11" x14ac:dyDescent="0.25">
      <c r="A2008" s="50">
        <v>10010506</v>
      </c>
      <c r="B2008" s="51" t="s">
        <v>2505</v>
      </c>
      <c r="C2008" s="51" t="s">
        <v>1685</v>
      </c>
      <c r="D2008" s="51" t="s">
        <v>1665</v>
      </c>
      <c r="E2008" s="51" t="s">
        <v>200</v>
      </c>
      <c r="F2008" s="51" t="s">
        <v>2497</v>
      </c>
      <c r="G2008" s="51" t="s">
        <v>1661</v>
      </c>
      <c r="H2008" s="50" t="s">
        <v>1672</v>
      </c>
      <c r="I2008" s="51" t="s">
        <v>1666</v>
      </c>
      <c r="J2008" t="str">
        <f t="shared" si="66"/>
        <v>10010506 - Terra Placeres-Depto.Técnico</v>
      </c>
      <c r="K2008" t="str">
        <f t="shared" si="67"/>
        <v>Proyectos Inmobiliarios</v>
      </c>
    </row>
    <row r="2009" spans="1:11" x14ac:dyDescent="0.25">
      <c r="A2009" s="43">
        <v>1124202</v>
      </c>
      <c r="B2009" t="s">
        <v>2506</v>
      </c>
      <c r="C2009" t="s">
        <v>1660</v>
      </c>
      <c r="D2009" t="s">
        <v>1578</v>
      </c>
      <c r="E2009" t="s">
        <v>1578</v>
      </c>
      <c r="F2009" t="s">
        <v>2506</v>
      </c>
      <c r="G2009" t="s">
        <v>1661</v>
      </c>
      <c r="H2009" s="43" t="s">
        <v>1672</v>
      </c>
      <c r="I2009" t="s">
        <v>1662</v>
      </c>
      <c r="J2009" t="str">
        <f t="shared" si="66"/>
        <v>1124202 - Terreno 12 de Febrero – Inversiones</v>
      </c>
      <c r="K2009" t="str">
        <f t="shared" si="67"/>
        <v>Terreno</v>
      </c>
    </row>
    <row r="2010" spans="1:11" x14ac:dyDescent="0.25">
      <c r="A2010" s="43">
        <v>1015202</v>
      </c>
      <c r="B2010" t="s">
        <v>2507</v>
      </c>
      <c r="C2010" t="s">
        <v>1685</v>
      </c>
      <c r="D2010" t="s">
        <v>1578</v>
      </c>
      <c r="E2010" t="s">
        <v>1578</v>
      </c>
      <c r="F2010" t="s">
        <v>2508</v>
      </c>
      <c r="G2010" t="s">
        <v>1661</v>
      </c>
      <c r="H2010" s="43" t="s">
        <v>1672</v>
      </c>
      <c r="I2010" t="s">
        <v>1662</v>
      </c>
      <c r="J2010" t="str">
        <f t="shared" si="66"/>
        <v>1015202 - Terreno 2 Norte-Desarrollo</v>
      </c>
      <c r="K2010" t="str">
        <f t="shared" si="67"/>
        <v>Terreno</v>
      </c>
    </row>
    <row r="2011" spans="1:11" x14ac:dyDescent="0.25">
      <c r="A2011" s="43">
        <v>1038202</v>
      </c>
      <c r="B2011" t="s">
        <v>2509</v>
      </c>
      <c r="C2011" t="s">
        <v>1685</v>
      </c>
      <c r="D2011" t="s">
        <v>1578</v>
      </c>
      <c r="E2011" t="s">
        <v>1578</v>
      </c>
      <c r="F2011" t="s">
        <v>2510</v>
      </c>
      <c r="G2011" t="s">
        <v>1661</v>
      </c>
      <c r="H2011" s="43" t="s">
        <v>1672</v>
      </c>
      <c r="I2011" t="s">
        <v>1662</v>
      </c>
      <c r="J2011" t="str">
        <f t="shared" si="66"/>
        <v>1038202 - Terreno 4 Oriente-Desarrollo</v>
      </c>
      <c r="K2011" t="str">
        <f t="shared" si="67"/>
        <v>Terreno</v>
      </c>
    </row>
    <row r="2012" spans="1:11" x14ac:dyDescent="0.25">
      <c r="A2012" s="43">
        <v>1031202</v>
      </c>
      <c r="B2012" t="s">
        <v>2511</v>
      </c>
      <c r="C2012" t="s">
        <v>1685</v>
      </c>
      <c r="D2012" t="s">
        <v>1578</v>
      </c>
      <c r="E2012" t="s">
        <v>1578</v>
      </c>
      <c r="F2012" t="s">
        <v>2512</v>
      </c>
      <c r="G2012" t="s">
        <v>1661</v>
      </c>
      <c r="H2012" s="43" t="s">
        <v>1672</v>
      </c>
      <c r="I2012" t="s">
        <v>1662</v>
      </c>
      <c r="J2012" t="str">
        <f t="shared" si="66"/>
        <v>1031202 - Terreno 5 Norte-Desarrollo</v>
      </c>
      <c r="K2012" t="str">
        <f t="shared" si="67"/>
        <v>Terreno</v>
      </c>
    </row>
    <row r="2013" spans="1:11" x14ac:dyDescent="0.25">
      <c r="A2013" s="43">
        <v>1063202</v>
      </c>
      <c r="B2013" t="s">
        <v>2513</v>
      </c>
      <c r="C2013" t="s">
        <v>1670</v>
      </c>
      <c r="D2013" t="s">
        <v>1578</v>
      </c>
      <c r="E2013" t="s">
        <v>1578</v>
      </c>
      <c r="F2013" t="s">
        <v>2514</v>
      </c>
      <c r="G2013" t="s">
        <v>1661</v>
      </c>
      <c r="H2013" s="43" t="s">
        <v>1672</v>
      </c>
      <c r="I2013" t="s">
        <v>1662</v>
      </c>
      <c r="J2013" t="str">
        <f t="shared" si="66"/>
        <v>1063202 - Terreno Abtao-Ecuador-Desarrollo</v>
      </c>
      <c r="K2013" t="str">
        <f t="shared" si="67"/>
        <v>Terreno</v>
      </c>
    </row>
    <row r="2014" spans="1:11" x14ac:dyDescent="0.25">
      <c r="A2014" s="43">
        <v>1068202</v>
      </c>
      <c r="B2014" t="s">
        <v>2515</v>
      </c>
      <c r="C2014" t="s">
        <v>1670</v>
      </c>
      <c r="D2014" t="s">
        <v>1578</v>
      </c>
      <c r="E2014" t="s">
        <v>1578</v>
      </c>
      <c r="F2014" t="s">
        <v>2516</v>
      </c>
      <c r="G2014" t="s">
        <v>1661</v>
      </c>
      <c r="H2014" s="43" t="s">
        <v>1672</v>
      </c>
      <c r="I2014" t="s">
        <v>1662</v>
      </c>
      <c r="J2014" t="str">
        <f t="shared" si="66"/>
        <v>1068202 - Terreno Alcalde Pedro Alarcón-Desarrollo</v>
      </c>
      <c r="K2014" t="str">
        <f t="shared" si="67"/>
        <v>Terreno</v>
      </c>
    </row>
    <row r="2015" spans="1:11" x14ac:dyDescent="0.25">
      <c r="A2015" s="43">
        <v>1145202</v>
      </c>
      <c r="B2015" t="s">
        <v>2517</v>
      </c>
      <c r="C2015" t="s">
        <v>1670</v>
      </c>
      <c r="D2015" t="s">
        <v>1578</v>
      </c>
      <c r="E2015" t="s">
        <v>1578</v>
      </c>
      <c r="F2015" t="s">
        <v>2517</v>
      </c>
      <c r="G2015" t="s">
        <v>1661</v>
      </c>
      <c r="H2015" s="43" t="s">
        <v>1672</v>
      </c>
      <c r="I2015" t="s">
        <v>1662</v>
      </c>
      <c r="J2015" t="str">
        <f t="shared" si="66"/>
        <v>1145202 - Terreno Alonso de Ercilla  7539 - Inversiones</v>
      </c>
      <c r="K2015" t="str">
        <f t="shared" si="67"/>
        <v>Terreno</v>
      </c>
    </row>
    <row r="2016" spans="1:11" x14ac:dyDescent="0.25">
      <c r="A2016" s="43">
        <v>1142202</v>
      </c>
      <c r="B2016" t="s">
        <v>2518</v>
      </c>
      <c r="C2016" t="s">
        <v>1670</v>
      </c>
      <c r="D2016" t="s">
        <v>1578</v>
      </c>
      <c r="E2016" t="s">
        <v>1578</v>
      </c>
      <c r="F2016" t="s">
        <v>2518</v>
      </c>
      <c r="G2016" t="s">
        <v>1661</v>
      </c>
      <c r="H2016" s="43" t="s">
        <v>1672</v>
      </c>
      <c r="I2016" t="s">
        <v>1662</v>
      </c>
      <c r="J2016" t="str">
        <f t="shared" si="66"/>
        <v>1142202 - Terreno Altamirano 2180 - Inversiones</v>
      </c>
      <c r="K2016" t="str">
        <f t="shared" si="67"/>
        <v>Terreno</v>
      </c>
    </row>
    <row r="2017" spans="1:11" x14ac:dyDescent="0.25">
      <c r="A2017" s="43">
        <v>1161202</v>
      </c>
      <c r="B2017" t="s">
        <v>2519</v>
      </c>
      <c r="C2017" t="s">
        <v>1670</v>
      </c>
      <c r="D2017" t="s">
        <v>1578</v>
      </c>
      <c r="E2017" t="s">
        <v>1578</v>
      </c>
      <c r="F2017" t="s">
        <v>2519</v>
      </c>
      <c r="G2017" t="s">
        <v>1661</v>
      </c>
      <c r="H2017" s="43" t="s">
        <v>1672</v>
      </c>
      <c r="I2017" t="s">
        <v>1662</v>
      </c>
      <c r="J2017" t="str">
        <f t="shared" si="66"/>
        <v>1161202 - Terreno Alvarez de Toledo 675  - Inversiones</v>
      </c>
      <c r="K2017" t="str">
        <f t="shared" si="67"/>
        <v>Terreno</v>
      </c>
    </row>
    <row r="2018" spans="1:11" x14ac:dyDescent="0.25">
      <c r="A2018" s="43">
        <v>1074202</v>
      </c>
      <c r="B2018" t="s">
        <v>2520</v>
      </c>
      <c r="C2018" t="s">
        <v>1670</v>
      </c>
      <c r="D2018" t="s">
        <v>1578</v>
      </c>
      <c r="E2018" t="s">
        <v>1578</v>
      </c>
      <c r="F2018" t="s">
        <v>2521</v>
      </c>
      <c r="G2018" t="s">
        <v>1661</v>
      </c>
      <c r="H2018" s="43" t="s">
        <v>1672</v>
      </c>
      <c r="I2018" t="s">
        <v>1662</v>
      </c>
      <c r="J2018" t="str">
        <f t="shared" si="66"/>
        <v>1074202 - Terreno Alvarez de Toledo - Desarrollo</v>
      </c>
      <c r="K2018" t="str">
        <f t="shared" si="67"/>
        <v>Terreno</v>
      </c>
    </row>
    <row r="2019" spans="1:11" x14ac:dyDescent="0.25">
      <c r="A2019" s="43">
        <v>1025202</v>
      </c>
      <c r="B2019" t="s">
        <v>2522</v>
      </c>
      <c r="C2019" t="s">
        <v>1836</v>
      </c>
      <c r="D2019" t="s">
        <v>1578</v>
      </c>
      <c r="E2019" t="s">
        <v>1578</v>
      </c>
      <c r="F2019" t="s">
        <v>2523</v>
      </c>
      <c r="G2019" t="s">
        <v>1661</v>
      </c>
      <c r="H2019" s="43" t="s">
        <v>1672</v>
      </c>
      <c r="I2019" t="s">
        <v>1662</v>
      </c>
      <c r="J2019" t="str">
        <f t="shared" si="66"/>
        <v>1025202 - Terreno Atacama-Desarrollo</v>
      </c>
      <c r="K2019" t="str">
        <f t="shared" si="67"/>
        <v>Terreno</v>
      </c>
    </row>
    <row r="2020" spans="1:11" x14ac:dyDescent="0.25">
      <c r="A2020" s="43">
        <v>1152202</v>
      </c>
      <c r="B2020" t="s">
        <v>2524</v>
      </c>
      <c r="C2020" t="s">
        <v>1670</v>
      </c>
      <c r="D2020" t="s">
        <v>1578</v>
      </c>
      <c r="E2020" t="s">
        <v>1578</v>
      </c>
      <c r="F2020" t="s">
        <v>2524</v>
      </c>
      <c r="G2020" t="s">
        <v>1661</v>
      </c>
      <c r="H2020" s="43" t="s">
        <v>1672</v>
      </c>
      <c r="I2020" t="s">
        <v>1662</v>
      </c>
      <c r="J2020" t="str">
        <f t="shared" si="66"/>
        <v>1152202 - Terreno Av. Domingo Santa María 2601 - Inversiones</v>
      </c>
      <c r="K2020" t="str">
        <f t="shared" si="67"/>
        <v>Terreno</v>
      </c>
    </row>
    <row r="2021" spans="1:11" x14ac:dyDescent="0.25">
      <c r="A2021" s="43">
        <v>1149202</v>
      </c>
      <c r="B2021" t="s">
        <v>2525</v>
      </c>
      <c r="C2021" t="s">
        <v>1670</v>
      </c>
      <c r="D2021" t="s">
        <v>1578</v>
      </c>
      <c r="E2021" t="s">
        <v>1578</v>
      </c>
      <c r="F2021" t="s">
        <v>2526</v>
      </c>
      <c r="G2021" t="s">
        <v>1661</v>
      </c>
      <c r="H2021" s="43" t="s">
        <v>1672</v>
      </c>
      <c r="I2021" t="s">
        <v>1662</v>
      </c>
      <c r="J2021" t="str">
        <f t="shared" si="66"/>
        <v>1149202 - Terreno Av. El Salto 1677</v>
      </c>
      <c r="K2021" t="str">
        <f t="shared" si="67"/>
        <v>Terreno</v>
      </c>
    </row>
    <row r="2022" spans="1:11" x14ac:dyDescent="0.25">
      <c r="A2022" s="43">
        <v>1147202</v>
      </c>
      <c r="B2022" t="s">
        <v>2527</v>
      </c>
      <c r="C2022" t="s">
        <v>1670</v>
      </c>
      <c r="D2022" t="s">
        <v>1578</v>
      </c>
      <c r="E2022" t="s">
        <v>1578</v>
      </c>
      <c r="F2022" t="s">
        <v>2528</v>
      </c>
      <c r="G2022" t="s">
        <v>1661</v>
      </c>
      <c r="H2022" s="43" t="s">
        <v>1672</v>
      </c>
      <c r="I2022" t="s">
        <v>1662</v>
      </c>
      <c r="J2022" t="str">
        <f t="shared" si="66"/>
        <v>1147202 - Terreno La Florida 11585 - Inversiones</v>
      </c>
      <c r="K2022" t="str">
        <f t="shared" si="67"/>
        <v>Terreno</v>
      </c>
    </row>
    <row r="2023" spans="1:11" x14ac:dyDescent="0.25">
      <c r="A2023" s="43">
        <v>1151202</v>
      </c>
      <c r="B2023" t="s">
        <v>2529</v>
      </c>
      <c r="C2023" t="s">
        <v>1836</v>
      </c>
      <c r="D2023" t="s">
        <v>1578</v>
      </c>
      <c r="E2023" t="s">
        <v>1578</v>
      </c>
      <c r="F2023" t="s">
        <v>2529</v>
      </c>
      <c r="G2023" t="s">
        <v>1661</v>
      </c>
      <c r="H2023" s="43" t="s">
        <v>1672</v>
      </c>
      <c r="I2023" t="s">
        <v>1662</v>
      </c>
      <c r="J2023" t="str">
        <f t="shared" si="66"/>
        <v>1151202 - Terreno Azufre 151 - Inversiones</v>
      </c>
      <c r="K2023" t="str">
        <f t="shared" si="67"/>
        <v>Terreno</v>
      </c>
    </row>
    <row r="2024" spans="1:11" x14ac:dyDescent="0.25">
      <c r="A2024" s="43">
        <v>1084202</v>
      </c>
      <c r="B2024" t="s">
        <v>2530</v>
      </c>
      <c r="C2024" t="s">
        <v>1685</v>
      </c>
      <c r="D2024" t="s">
        <v>1578</v>
      </c>
      <c r="E2024" t="s">
        <v>1578</v>
      </c>
      <c r="F2024" t="s">
        <v>2531</v>
      </c>
      <c r="G2024" t="s">
        <v>1661</v>
      </c>
      <c r="H2024" s="43" t="s">
        <v>1672</v>
      </c>
      <c r="I2024" t="s">
        <v>1662</v>
      </c>
      <c r="J2024" t="str">
        <f t="shared" si="66"/>
        <v>1084202 - Terreno Baquedano - Quilpué – Desarrollo</v>
      </c>
      <c r="K2024" t="str">
        <f t="shared" si="67"/>
        <v>Terreno</v>
      </c>
    </row>
    <row r="2025" spans="1:11" x14ac:dyDescent="0.25">
      <c r="A2025" s="43">
        <v>1044202</v>
      </c>
      <c r="B2025" t="s">
        <v>2532</v>
      </c>
      <c r="C2025" t="s">
        <v>1685</v>
      </c>
      <c r="D2025" t="s">
        <v>1578</v>
      </c>
      <c r="E2025" t="s">
        <v>1578</v>
      </c>
      <c r="F2025" t="s">
        <v>2533</v>
      </c>
      <c r="G2025" t="s">
        <v>1661</v>
      </c>
      <c r="H2025" s="43" t="s">
        <v>1672</v>
      </c>
      <c r="I2025" t="s">
        <v>1662</v>
      </c>
      <c r="J2025" t="str">
        <f t="shared" si="66"/>
        <v>1044202 - Terreno Barrio Verde Lote B4-Desarrollo</v>
      </c>
      <c r="K2025" t="str">
        <f t="shared" si="67"/>
        <v>Terreno</v>
      </c>
    </row>
    <row r="2026" spans="1:11" x14ac:dyDescent="0.25">
      <c r="A2026" s="43">
        <v>1091202</v>
      </c>
      <c r="B2026" t="s">
        <v>2534</v>
      </c>
      <c r="C2026" t="s">
        <v>1670</v>
      </c>
      <c r="D2026" t="s">
        <v>1578</v>
      </c>
      <c r="E2026" t="s">
        <v>1578</v>
      </c>
      <c r="F2026" t="s">
        <v>2534</v>
      </c>
      <c r="G2026" t="s">
        <v>1661</v>
      </c>
      <c r="H2026" s="43" t="s">
        <v>1672</v>
      </c>
      <c r="I2026" t="s">
        <v>1662</v>
      </c>
      <c r="J2026" t="str">
        <f t="shared" si="66"/>
        <v xml:space="preserve">1091202 - Terreno Concón – Inversiones </v>
      </c>
      <c r="K2026" t="str">
        <f t="shared" si="67"/>
        <v>Terreno</v>
      </c>
    </row>
    <row r="2027" spans="1:11" x14ac:dyDescent="0.25">
      <c r="A2027" s="43">
        <v>1055202</v>
      </c>
      <c r="B2027" t="s">
        <v>2535</v>
      </c>
      <c r="C2027" t="s">
        <v>1670</v>
      </c>
      <c r="D2027" t="s">
        <v>1578</v>
      </c>
      <c r="E2027" t="s">
        <v>1578</v>
      </c>
      <c r="F2027" t="s">
        <v>2536</v>
      </c>
      <c r="G2027" t="s">
        <v>1661</v>
      </c>
      <c r="H2027" s="43" t="s">
        <v>1672</v>
      </c>
      <c r="I2027" t="s">
        <v>1662</v>
      </c>
      <c r="J2027" t="str">
        <f t="shared" si="66"/>
        <v>1055202 - Terreno Cuarta Avenida-Desarrollo</v>
      </c>
      <c r="K2027" t="str">
        <f t="shared" si="67"/>
        <v>Terreno</v>
      </c>
    </row>
    <row r="2028" spans="1:11" x14ac:dyDescent="0.25">
      <c r="A2028" s="43">
        <v>1101202</v>
      </c>
      <c r="B2028" t="s">
        <v>2537</v>
      </c>
      <c r="C2028" t="s">
        <v>1670</v>
      </c>
      <c r="D2028" t="s">
        <v>1578</v>
      </c>
      <c r="E2028" t="s">
        <v>1578</v>
      </c>
      <c r="F2028" t="s">
        <v>2537</v>
      </c>
      <c r="G2028" t="s">
        <v>1661</v>
      </c>
      <c r="H2028" s="43" t="s">
        <v>1672</v>
      </c>
      <c r="I2028" t="s">
        <v>1662</v>
      </c>
      <c r="J2028" t="str">
        <f t="shared" si="66"/>
        <v xml:space="preserve">1101202 - Terreno Diag. Vicuña Mackenna – Inversiones </v>
      </c>
      <c r="K2028" t="str">
        <f t="shared" si="67"/>
        <v>Terreno</v>
      </c>
    </row>
    <row r="2029" spans="1:11" x14ac:dyDescent="0.25">
      <c r="A2029" s="43">
        <v>1061202</v>
      </c>
      <c r="B2029" t="s">
        <v>2538</v>
      </c>
      <c r="C2029" t="s">
        <v>1660</v>
      </c>
      <c r="D2029" t="s">
        <v>1578</v>
      </c>
      <c r="E2029" t="s">
        <v>1578</v>
      </c>
      <c r="F2029" t="s">
        <v>2539</v>
      </c>
      <c r="G2029" t="s">
        <v>1661</v>
      </c>
      <c r="H2029" s="43" t="s">
        <v>1672</v>
      </c>
      <c r="I2029" t="s">
        <v>1662</v>
      </c>
      <c r="J2029" t="str">
        <f t="shared" si="66"/>
        <v>1061202 - Terreno Diego Portales-Desarrollo</v>
      </c>
      <c r="K2029" t="str">
        <f t="shared" si="67"/>
        <v>Terreno</v>
      </c>
    </row>
    <row r="2030" spans="1:11" x14ac:dyDescent="0.25">
      <c r="A2030" s="43">
        <v>1035202</v>
      </c>
      <c r="B2030" t="s">
        <v>2540</v>
      </c>
      <c r="C2030" t="s">
        <v>1836</v>
      </c>
      <c r="D2030" t="s">
        <v>1578</v>
      </c>
      <c r="E2030" t="s">
        <v>1578</v>
      </c>
      <c r="F2030" t="s">
        <v>2541</v>
      </c>
      <c r="G2030" t="s">
        <v>1661</v>
      </c>
      <c r="H2030" s="43" t="s">
        <v>1672</v>
      </c>
      <c r="I2030" t="s">
        <v>1662</v>
      </c>
      <c r="J2030" t="str">
        <f t="shared" si="66"/>
        <v>1035202 - Terreno Edelnor-Desarrollo</v>
      </c>
      <c r="K2030" t="str">
        <f t="shared" si="67"/>
        <v>Terreno</v>
      </c>
    </row>
    <row r="2031" spans="1:11" x14ac:dyDescent="0.25">
      <c r="A2031" s="43">
        <v>1163202</v>
      </c>
      <c r="B2031" t="s">
        <v>2542</v>
      </c>
      <c r="C2031" t="s">
        <v>1670</v>
      </c>
      <c r="D2031" t="s">
        <v>1578</v>
      </c>
      <c r="E2031" t="s">
        <v>1578</v>
      </c>
      <c r="F2031" t="s">
        <v>2542</v>
      </c>
      <c r="G2031" t="s">
        <v>1661</v>
      </c>
      <c r="H2031" s="43" t="s">
        <v>1672</v>
      </c>
      <c r="I2031" t="s">
        <v>1662</v>
      </c>
      <c r="J2031" t="str">
        <f t="shared" si="66"/>
        <v>1163202 - Terreno Fresia 7035 - Inversiones</v>
      </c>
      <c r="K2031" t="str">
        <f t="shared" si="67"/>
        <v>Terreno</v>
      </c>
    </row>
    <row r="2032" spans="1:11" x14ac:dyDescent="0.25">
      <c r="A2032" s="43">
        <v>1102202</v>
      </c>
      <c r="B2032" t="s">
        <v>2543</v>
      </c>
      <c r="C2032" t="s">
        <v>1670</v>
      </c>
      <c r="D2032" t="s">
        <v>1578</v>
      </c>
      <c r="E2032" t="s">
        <v>1578</v>
      </c>
      <c r="F2032" t="s">
        <v>2543</v>
      </c>
      <c r="G2032" t="s">
        <v>1661</v>
      </c>
      <c r="H2032" s="43" t="s">
        <v>1672</v>
      </c>
      <c r="I2032" t="s">
        <v>1662</v>
      </c>
      <c r="J2032" t="str">
        <f t="shared" si="66"/>
        <v>1102202 - Terreno General Korner - Inversiones</v>
      </c>
      <c r="K2032" t="str">
        <f t="shared" si="67"/>
        <v>Terreno</v>
      </c>
    </row>
    <row r="2033" spans="1:11" x14ac:dyDescent="0.25">
      <c r="A2033" s="43">
        <v>1079202</v>
      </c>
      <c r="B2033" t="s">
        <v>2544</v>
      </c>
      <c r="C2033" t="s">
        <v>1670</v>
      </c>
      <c r="D2033" t="s">
        <v>1578</v>
      </c>
      <c r="E2033" t="s">
        <v>1578</v>
      </c>
      <c r="F2033" t="s">
        <v>2545</v>
      </c>
      <c r="G2033" t="s">
        <v>1661</v>
      </c>
      <c r="H2033" s="43" t="s">
        <v>1672</v>
      </c>
      <c r="I2033" t="s">
        <v>1662</v>
      </c>
      <c r="J2033" t="str">
        <f t="shared" si="66"/>
        <v>1079202 - Terreno General Urriola - Desarrollo</v>
      </c>
      <c r="K2033" t="str">
        <f t="shared" si="67"/>
        <v>Terreno</v>
      </c>
    </row>
    <row r="2034" spans="1:11" x14ac:dyDescent="0.25">
      <c r="A2034" s="43">
        <v>1071202</v>
      </c>
      <c r="B2034" t="s">
        <v>2546</v>
      </c>
      <c r="C2034" t="s">
        <v>1670</v>
      </c>
      <c r="D2034" t="s">
        <v>1578</v>
      </c>
      <c r="E2034" t="s">
        <v>1578</v>
      </c>
      <c r="F2034" t="s">
        <v>2547</v>
      </c>
      <c r="G2034" t="s">
        <v>1661</v>
      </c>
      <c r="H2034" s="43" t="s">
        <v>1672</v>
      </c>
      <c r="I2034" t="s">
        <v>1662</v>
      </c>
      <c r="J2034" t="str">
        <f t="shared" si="66"/>
        <v>1071202 - Terreno Gral.Saavedra - Desarrollo</v>
      </c>
      <c r="K2034" t="str">
        <f t="shared" si="67"/>
        <v>Terreno</v>
      </c>
    </row>
    <row r="2035" spans="1:11" x14ac:dyDescent="0.25">
      <c r="A2035" s="43">
        <v>1073202</v>
      </c>
      <c r="B2035" t="s">
        <v>2548</v>
      </c>
      <c r="C2035" t="s">
        <v>1685</v>
      </c>
      <c r="D2035" t="s">
        <v>1578</v>
      </c>
      <c r="E2035" t="s">
        <v>1578</v>
      </c>
      <c r="F2035" t="s">
        <v>2549</v>
      </c>
      <c r="G2035" t="s">
        <v>1661</v>
      </c>
      <c r="H2035" s="43" t="s">
        <v>1672</v>
      </c>
      <c r="I2035" t="s">
        <v>1662</v>
      </c>
      <c r="J2035" t="str">
        <f t="shared" si="66"/>
        <v>1073202 - Terreno Granada - Desarrollo</v>
      </c>
      <c r="K2035" t="str">
        <f t="shared" si="67"/>
        <v>Terreno</v>
      </c>
    </row>
    <row r="2036" spans="1:11" x14ac:dyDescent="0.25">
      <c r="A2036" s="43">
        <v>1022202</v>
      </c>
      <c r="B2036" t="s">
        <v>2550</v>
      </c>
      <c r="C2036" t="s">
        <v>1670</v>
      </c>
      <c r="D2036" t="s">
        <v>1578</v>
      </c>
      <c r="E2036" t="s">
        <v>1578</v>
      </c>
      <c r="F2036" t="s">
        <v>2551</v>
      </c>
      <c r="G2036" t="s">
        <v>1661</v>
      </c>
      <c r="H2036" s="43" t="s">
        <v>1672</v>
      </c>
      <c r="I2036" t="s">
        <v>1662</v>
      </c>
      <c r="J2036" t="str">
        <f t="shared" si="66"/>
        <v>1022202 - Terreno Hermanos Cabot-Desarrollo</v>
      </c>
      <c r="K2036" t="str">
        <f t="shared" si="67"/>
        <v>Terreno</v>
      </c>
    </row>
    <row r="2037" spans="1:11" x14ac:dyDescent="0.25">
      <c r="A2037" s="43">
        <v>1047202</v>
      </c>
      <c r="B2037" t="s">
        <v>2552</v>
      </c>
      <c r="C2037" t="s">
        <v>1660</v>
      </c>
      <c r="D2037" t="s">
        <v>1578</v>
      </c>
      <c r="E2037" t="s">
        <v>1578</v>
      </c>
      <c r="F2037" t="s">
        <v>2553</v>
      </c>
      <c r="G2037" t="s">
        <v>1661</v>
      </c>
      <c r="H2037" s="43" t="s">
        <v>1672</v>
      </c>
      <c r="I2037" t="s">
        <v>1662</v>
      </c>
      <c r="J2037" t="str">
        <f t="shared" si="66"/>
        <v>1047202 - Terreno Huaquique-Desarrollo</v>
      </c>
      <c r="K2037" t="str">
        <f t="shared" si="67"/>
        <v>Terreno</v>
      </c>
    </row>
    <row r="2038" spans="1:11" x14ac:dyDescent="0.25">
      <c r="A2038" s="43">
        <v>1056202</v>
      </c>
      <c r="B2038" t="s">
        <v>2554</v>
      </c>
      <c r="C2038" t="s">
        <v>1670</v>
      </c>
      <c r="D2038" t="s">
        <v>1578</v>
      </c>
      <c r="E2038" t="s">
        <v>1578</v>
      </c>
      <c r="F2038" t="s">
        <v>2555</v>
      </c>
      <c r="G2038" t="s">
        <v>1661</v>
      </c>
      <c r="H2038" s="43" t="s">
        <v>1672</v>
      </c>
      <c r="I2038" t="s">
        <v>1662</v>
      </c>
      <c r="J2038" t="str">
        <f t="shared" si="66"/>
        <v xml:space="preserve">1056202 - Terreno Indumotora-Desarrollo </v>
      </c>
      <c r="K2038" t="str">
        <f t="shared" si="67"/>
        <v>Terreno</v>
      </c>
    </row>
    <row r="2039" spans="1:11" x14ac:dyDescent="0.25">
      <c r="A2039" s="43">
        <v>1065202</v>
      </c>
      <c r="B2039" t="s">
        <v>2556</v>
      </c>
      <c r="C2039" t="s">
        <v>1685</v>
      </c>
      <c r="D2039" t="s">
        <v>1578</v>
      </c>
      <c r="E2039" t="s">
        <v>1578</v>
      </c>
      <c r="F2039" t="s">
        <v>2557</v>
      </c>
      <c r="G2039" t="s">
        <v>1661</v>
      </c>
      <c r="H2039" s="43" t="s">
        <v>1672</v>
      </c>
      <c r="I2039" t="s">
        <v>1662</v>
      </c>
      <c r="J2039" t="str">
        <f t="shared" si="66"/>
        <v>1065202 - Terreno Jardín del Mar-Desarrollo</v>
      </c>
      <c r="K2039" t="str">
        <f t="shared" si="67"/>
        <v>Terreno</v>
      </c>
    </row>
    <row r="2040" spans="1:11" x14ac:dyDescent="0.25">
      <c r="A2040" s="43">
        <v>1140202</v>
      </c>
      <c r="B2040" t="s">
        <v>2558</v>
      </c>
      <c r="C2040" t="s">
        <v>1670</v>
      </c>
      <c r="D2040" t="s">
        <v>1578</v>
      </c>
      <c r="E2040" t="s">
        <v>1578</v>
      </c>
      <c r="F2040" t="s">
        <v>2558</v>
      </c>
      <c r="G2040" t="s">
        <v>1661</v>
      </c>
      <c r="H2040" s="43" t="s">
        <v>1672</v>
      </c>
      <c r="I2040" t="s">
        <v>1662</v>
      </c>
      <c r="J2040" t="str">
        <f t="shared" si="66"/>
        <v>1140202 - Terreno José Bisquert 2355 - Inversiones</v>
      </c>
      <c r="K2040" t="str">
        <f t="shared" si="67"/>
        <v>Terreno</v>
      </c>
    </row>
    <row r="2041" spans="1:11" x14ac:dyDescent="0.25">
      <c r="A2041" s="43">
        <v>1049202</v>
      </c>
      <c r="B2041" t="s">
        <v>2559</v>
      </c>
      <c r="C2041" t="s">
        <v>1836</v>
      </c>
      <c r="D2041" t="s">
        <v>1578</v>
      </c>
      <c r="E2041" t="s">
        <v>1578</v>
      </c>
      <c r="F2041" t="s">
        <v>2560</v>
      </c>
      <c r="G2041" t="s">
        <v>1661</v>
      </c>
      <c r="H2041" s="43" t="s">
        <v>1672</v>
      </c>
      <c r="I2041" t="s">
        <v>1662</v>
      </c>
      <c r="J2041" t="str">
        <f t="shared" si="66"/>
        <v>1049202 - Terreno Korlaet-Desarrollo</v>
      </c>
      <c r="K2041" t="str">
        <f t="shared" si="67"/>
        <v>Terreno</v>
      </c>
    </row>
    <row r="2042" spans="1:11" x14ac:dyDescent="0.25">
      <c r="A2042" s="43">
        <v>1030202</v>
      </c>
      <c r="B2042" t="s">
        <v>2561</v>
      </c>
      <c r="C2042" t="s">
        <v>1685</v>
      </c>
      <c r="D2042" t="s">
        <v>1578</v>
      </c>
      <c r="E2042" t="s">
        <v>1578</v>
      </c>
      <c r="F2042" t="s">
        <v>2562</v>
      </c>
      <c r="G2042" t="s">
        <v>1661</v>
      </c>
      <c r="H2042" s="43" t="s">
        <v>1672</v>
      </c>
      <c r="I2042" t="s">
        <v>1662</v>
      </c>
      <c r="J2042" t="str">
        <f t="shared" si="66"/>
        <v>1030202 - Terreno La Foresta Lote 5,6,7-Desarrollo</v>
      </c>
      <c r="K2042" t="str">
        <f t="shared" si="67"/>
        <v>Terreno</v>
      </c>
    </row>
    <row r="2043" spans="1:11" x14ac:dyDescent="0.25">
      <c r="A2043" s="43">
        <v>1116202</v>
      </c>
      <c r="B2043" t="s">
        <v>2563</v>
      </c>
      <c r="C2043" t="s">
        <v>1670</v>
      </c>
      <c r="D2043" t="s">
        <v>1578</v>
      </c>
      <c r="E2043" t="s">
        <v>1578</v>
      </c>
      <c r="F2043" t="s">
        <v>2563</v>
      </c>
      <c r="G2043" t="s">
        <v>1661</v>
      </c>
      <c r="H2043" s="43" t="s">
        <v>1672</v>
      </c>
      <c r="I2043" t="s">
        <v>1662</v>
      </c>
      <c r="J2043" t="str">
        <f t="shared" si="66"/>
        <v xml:space="preserve">1116202 - Terreno Lira 2488 – Inversiones </v>
      </c>
      <c r="K2043" t="str">
        <f t="shared" si="67"/>
        <v>Terreno</v>
      </c>
    </row>
    <row r="2044" spans="1:11" x14ac:dyDescent="0.25">
      <c r="A2044" s="43">
        <v>1085202</v>
      </c>
      <c r="B2044" t="s">
        <v>2564</v>
      </c>
      <c r="C2044" t="s">
        <v>1670</v>
      </c>
      <c r="D2044" t="s">
        <v>1578</v>
      </c>
      <c r="E2044" t="s">
        <v>1578</v>
      </c>
      <c r="F2044" t="s">
        <v>2565</v>
      </c>
      <c r="G2044" t="s">
        <v>1661</v>
      </c>
      <c r="H2044" s="43" t="s">
        <v>1672</v>
      </c>
      <c r="I2044" t="s">
        <v>1662</v>
      </c>
      <c r="J2044" t="str">
        <f t="shared" si="66"/>
        <v>1085202 - Terreno Lira/Urriola - Santiago – Desarrollo</v>
      </c>
      <c r="K2044" t="str">
        <f t="shared" si="67"/>
        <v>Terreno</v>
      </c>
    </row>
    <row r="2045" spans="1:11" x14ac:dyDescent="0.25">
      <c r="A2045" s="43">
        <v>1024202</v>
      </c>
      <c r="B2045" t="s">
        <v>2566</v>
      </c>
      <c r="C2045" t="s">
        <v>1660</v>
      </c>
      <c r="D2045" t="s">
        <v>1578</v>
      </c>
      <c r="E2045" t="s">
        <v>1578</v>
      </c>
      <c r="F2045" t="s">
        <v>2567</v>
      </c>
      <c r="G2045" t="s">
        <v>1661</v>
      </c>
      <c r="H2045" s="43" t="s">
        <v>1672</v>
      </c>
      <c r="I2045" t="s">
        <v>1662</v>
      </c>
      <c r="J2045" t="str">
        <f t="shared" si="66"/>
        <v>1024202 - Terreno Lirima-Desarrollo</v>
      </c>
      <c r="K2045" t="str">
        <f t="shared" si="67"/>
        <v>Terreno</v>
      </c>
    </row>
    <row r="2046" spans="1:11" x14ac:dyDescent="0.25">
      <c r="A2046" s="43">
        <v>1136202</v>
      </c>
      <c r="B2046" t="s">
        <v>2568</v>
      </c>
      <c r="C2046" t="s">
        <v>1670</v>
      </c>
      <c r="D2046" t="s">
        <v>1578</v>
      </c>
      <c r="E2046" t="s">
        <v>1578</v>
      </c>
      <c r="F2046" t="s">
        <v>2568</v>
      </c>
      <c r="G2046" t="s">
        <v>1661</v>
      </c>
      <c r="H2046" s="43" t="s">
        <v>1672</v>
      </c>
      <c r="I2046" t="s">
        <v>1662</v>
      </c>
      <c r="J2046" t="str">
        <f t="shared" si="66"/>
        <v xml:space="preserve">1136202 - Terreno Lo Errazuriz 773 – Inversiones </v>
      </c>
      <c r="K2046" t="str">
        <f t="shared" si="67"/>
        <v>Terreno</v>
      </c>
    </row>
    <row r="2047" spans="1:11" x14ac:dyDescent="0.25">
      <c r="A2047" s="43">
        <v>1154202</v>
      </c>
      <c r="B2047" t="s">
        <v>2569</v>
      </c>
      <c r="C2047" t="s">
        <v>1670</v>
      </c>
      <c r="D2047" t="s">
        <v>1578</v>
      </c>
      <c r="E2047" t="s">
        <v>1578</v>
      </c>
      <c r="F2047" t="s">
        <v>2569</v>
      </c>
      <c r="G2047" t="s">
        <v>1661</v>
      </c>
      <c r="H2047" s="43" t="s">
        <v>1672</v>
      </c>
      <c r="I2047" t="s">
        <v>1662</v>
      </c>
      <c r="J2047" t="str">
        <f t="shared" si="66"/>
        <v>1154202 - Terreno Lo Ovalle 523  - Inversiones</v>
      </c>
      <c r="K2047" t="str">
        <f t="shared" si="67"/>
        <v>Terreno</v>
      </c>
    </row>
    <row r="2048" spans="1:11" x14ac:dyDescent="0.25">
      <c r="A2048" s="43">
        <v>1016202</v>
      </c>
      <c r="B2048" t="s">
        <v>2570</v>
      </c>
      <c r="C2048" t="s">
        <v>1670</v>
      </c>
      <c r="D2048" t="s">
        <v>1578</v>
      </c>
      <c r="E2048" t="s">
        <v>1578</v>
      </c>
      <c r="F2048" t="s">
        <v>2571</v>
      </c>
      <c r="G2048" t="s">
        <v>1661</v>
      </c>
      <c r="H2048" s="43" t="s">
        <v>1672</v>
      </c>
      <c r="I2048" t="s">
        <v>1662</v>
      </c>
      <c r="J2048" t="str">
        <f t="shared" si="66"/>
        <v>1016202 - Terreno Lord Cochrane-Desarrollo</v>
      </c>
      <c r="K2048" t="str">
        <f t="shared" si="67"/>
        <v>Terreno</v>
      </c>
    </row>
    <row r="2049" spans="1:11" x14ac:dyDescent="0.25">
      <c r="A2049" s="43">
        <v>1153202</v>
      </c>
      <c r="B2049" t="s">
        <v>2572</v>
      </c>
      <c r="C2049" t="s">
        <v>1670</v>
      </c>
      <c r="D2049" t="s">
        <v>1578</v>
      </c>
      <c r="E2049" t="s">
        <v>1578</v>
      </c>
      <c r="F2049" t="s">
        <v>2573</v>
      </c>
      <c r="G2049" t="s">
        <v>1661</v>
      </c>
      <c r="H2049" s="43" t="s">
        <v>1672</v>
      </c>
      <c r="I2049" t="s">
        <v>1662</v>
      </c>
      <c r="J2049" t="str">
        <f t="shared" si="66"/>
        <v>1153202 - Terreno Los Pajaritos 433 - Inversiones</v>
      </c>
      <c r="K2049" t="str">
        <f t="shared" si="67"/>
        <v>Terreno</v>
      </c>
    </row>
    <row r="2050" spans="1:11" x14ac:dyDescent="0.25">
      <c r="A2050" s="43">
        <v>1040202</v>
      </c>
      <c r="B2050" t="s">
        <v>2574</v>
      </c>
      <c r="C2050" t="s">
        <v>1685</v>
      </c>
      <c r="D2050" t="s">
        <v>1578</v>
      </c>
      <c r="E2050" t="s">
        <v>1578</v>
      </c>
      <c r="F2050" t="s">
        <v>2575</v>
      </c>
      <c r="G2050" t="s">
        <v>1661</v>
      </c>
      <c r="H2050" s="43" t="s">
        <v>1672</v>
      </c>
      <c r="I2050" t="s">
        <v>1662</v>
      </c>
      <c r="J2050" t="str">
        <f t="shared" si="66"/>
        <v>1040202 - Terreno Los Pensamientos-Desarrollo</v>
      </c>
      <c r="K2050" t="str">
        <f t="shared" si="67"/>
        <v>Terreno</v>
      </c>
    </row>
    <row r="2051" spans="1:11" x14ac:dyDescent="0.25">
      <c r="A2051" s="43">
        <v>1014202</v>
      </c>
      <c r="B2051" t="s">
        <v>2576</v>
      </c>
      <c r="C2051" t="s">
        <v>1685</v>
      </c>
      <c r="D2051" t="s">
        <v>1578</v>
      </c>
      <c r="E2051" t="s">
        <v>1578</v>
      </c>
      <c r="F2051" t="s">
        <v>2577</v>
      </c>
      <c r="G2051" t="s">
        <v>1661</v>
      </c>
      <c r="H2051" s="43" t="s">
        <v>1672</v>
      </c>
      <c r="I2051" t="s">
        <v>1662</v>
      </c>
      <c r="J2051" t="str">
        <f t="shared" si="66"/>
        <v>1014202 - Terreno Lote 21 - Reñaca-Desarrollo</v>
      </c>
      <c r="K2051" t="str">
        <f t="shared" si="67"/>
        <v>Terreno</v>
      </c>
    </row>
    <row r="2052" spans="1:11" x14ac:dyDescent="0.25">
      <c r="A2052" s="43">
        <v>1042202</v>
      </c>
      <c r="B2052" t="s">
        <v>2578</v>
      </c>
      <c r="C2052" t="s">
        <v>1685</v>
      </c>
      <c r="D2052" t="s">
        <v>1578</v>
      </c>
      <c r="E2052" t="s">
        <v>1578</v>
      </c>
      <c r="F2052" t="s">
        <v>2579</v>
      </c>
      <c r="G2052" t="s">
        <v>1661</v>
      </c>
      <c r="H2052" s="43" t="s">
        <v>1672</v>
      </c>
      <c r="I2052" t="s">
        <v>1662</v>
      </c>
      <c r="J2052" t="str">
        <f t="shared" si="66"/>
        <v>1042202 - Terreno Lote 4 Reñaca-Desarrollo</v>
      </c>
      <c r="K2052" t="str">
        <f t="shared" si="67"/>
        <v>Terreno</v>
      </c>
    </row>
    <row r="2053" spans="1:11" x14ac:dyDescent="0.25">
      <c r="A2053" s="43">
        <v>1043202</v>
      </c>
      <c r="B2053" t="s">
        <v>2580</v>
      </c>
      <c r="C2053" t="s">
        <v>1670</v>
      </c>
      <c r="D2053" t="s">
        <v>1578</v>
      </c>
      <c r="E2053" t="s">
        <v>1578</v>
      </c>
      <c r="F2053" t="s">
        <v>2581</v>
      </c>
      <c r="G2053" t="s">
        <v>1661</v>
      </c>
      <c r="H2053" s="43" t="s">
        <v>1672</v>
      </c>
      <c r="I2053" t="s">
        <v>1662</v>
      </c>
      <c r="J2053" t="str">
        <f t="shared" si="66"/>
        <v>1043202 - Terreno Machali-Desarrollo</v>
      </c>
      <c r="K2053" t="str">
        <f t="shared" si="67"/>
        <v>Terreno</v>
      </c>
    </row>
    <row r="2054" spans="1:11" x14ac:dyDescent="0.25">
      <c r="A2054" s="43">
        <v>1076202</v>
      </c>
      <c r="B2054" t="s">
        <v>2582</v>
      </c>
      <c r="C2054" t="s">
        <v>1670</v>
      </c>
      <c r="D2054" t="s">
        <v>1578</v>
      </c>
      <c r="E2054" t="s">
        <v>1578</v>
      </c>
      <c r="F2054" t="s">
        <v>2583</v>
      </c>
      <c r="G2054" t="s">
        <v>1661</v>
      </c>
      <c r="H2054" s="43" t="s">
        <v>1672</v>
      </c>
      <c r="I2054" t="s">
        <v>1662</v>
      </c>
      <c r="J2054" t="str">
        <f t="shared" si="66"/>
        <v>1076202 - Terreno Madreselvas-Desarrollo</v>
      </c>
      <c r="K2054" t="str">
        <f t="shared" si="67"/>
        <v>Terreno</v>
      </c>
    </row>
    <row r="2055" spans="1:11" x14ac:dyDescent="0.25">
      <c r="A2055" s="43">
        <v>1129202</v>
      </c>
      <c r="B2055" t="s">
        <v>2584</v>
      </c>
      <c r="C2055" t="s">
        <v>1964</v>
      </c>
      <c r="D2055" t="s">
        <v>1578</v>
      </c>
      <c r="E2055" t="s">
        <v>1578</v>
      </c>
      <c r="F2055" t="s">
        <v>2584</v>
      </c>
      <c r="G2055" t="s">
        <v>1661</v>
      </c>
      <c r="H2055" s="43" t="s">
        <v>1672</v>
      </c>
      <c r="I2055" t="s">
        <v>1662</v>
      </c>
      <c r="J2055" t="str">
        <f t="shared" si="66"/>
        <v>1129202 - Terreno Manuel Rodriguez 1012 – Inversiones</v>
      </c>
      <c r="K2055" t="str">
        <f t="shared" si="67"/>
        <v>Terreno</v>
      </c>
    </row>
    <row r="2056" spans="1:11" x14ac:dyDescent="0.25">
      <c r="A2056" s="43">
        <v>1028202</v>
      </c>
      <c r="B2056" t="s">
        <v>2585</v>
      </c>
      <c r="C2056" t="s">
        <v>1685</v>
      </c>
      <c r="D2056" t="s">
        <v>1578</v>
      </c>
      <c r="E2056" t="s">
        <v>1578</v>
      </c>
      <c r="F2056" t="s">
        <v>2586</v>
      </c>
      <c r="G2056" t="s">
        <v>1661</v>
      </c>
      <c r="H2056" s="43" t="s">
        <v>1672</v>
      </c>
      <c r="I2056" t="s">
        <v>1662</v>
      </c>
      <c r="J2056" t="str">
        <f t="shared" si="66"/>
        <v>1028202 - Terreno Mesa de Aragón-Desarrollo</v>
      </c>
      <c r="K2056" t="str">
        <f t="shared" si="67"/>
        <v>Terreno</v>
      </c>
    </row>
    <row r="2057" spans="1:11" x14ac:dyDescent="0.25">
      <c r="A2057" s="43">
        <v>1137202</v>
      </c>
      <c r="B2057" t="s">
        <v>2587</v>
      </c>
      <c r="C2057" t="s">
        <v>1685</v>
      </c>
      <c r="D2057" t="s">
        <v>1578</v>
      </c>
      <c r="E2057" t="s">
        <v>1578</v>
      </c>
      <c r="F2057" t="s">
        <v>2587</v>
      </c>
      <c r="G2057" t="s">
        <v>1661</v>
      </c>
      <c r="H2057" s="43" t="s">
        <v>1672</v>
      </c>
      <c r="I2057" t="s">
        <v>1662</v>
      </c>
      <c r="J2057" t="str">
        <f t="shared" si="66"/>
        <v>1137202 - Terreno Miraflores Alto - Inversiones</v>
      </c>
      <c r="K2057" t="str">
        <f t="shared" si="67"/>
        <v>Terreno</v>
      </c>
    </row>
    <row r="2058" spans="1:11" x14ac:dyDescent="0.25">
      <c r="A2058" s="43">
        <v>1017202</v>
      </c>
      <c r="B2058" t="s">
        <v>2588</v>
      </c>
      <c r="C2058" t="s">
        <v>1685</v>
      </c>
      <c r="D2058" t="s">
        <v>1578</v>
      </c>
      <c r="E2058" t="s">
        <v>1578</v>
      </c>
      <c r="F2058" t="s">
        <v>2589</v>
      </c>
      <c r="G2058" t="s">
        <v>1661</v>
      </c>
      <c r="H2058" s="43" t="s">
        <v>1672</v>
      </c>
      <c r="I2058" t="s">
        <v>1662</v>
      </c>
      <c r="J2058" t="str">
        <f t="shared" si="66"/>
        <v>1017202 - Terreno Navío San Martín B3-B11-Desarrollo</v>
      </c>
      <c r="K2058" t="str">
        <f t="shared" si="67"/>
        <v>Terreno</v>
      </c>
    </row>
    <row r="2059" spans="1:11" x14ac:dyDescent="0.25">
      <c r="A2059" s="43">
        <v>1108202</v>
      </c>
      <c r="B2059" t="s">
        <v>2590</v>
      </c>
      <c r="C2059" t="s">
        <v>1836</v>
      </c>
      <c r="D2059" t="s">
        <v>1578</v>
      </c>
      <c r="E2059" t="s">
        <v>1578</v>
      </c>
      <c r="F2059" t="s">
        <v>2590</v>
      </c>
      <c r="G2059" t="s">
        <v>1661</v>
      </c>
      <c r="H2059" s="43" t="s">
        <v>1672</v>
      </c>
      <c r="I2059" t="s">
        <v>1662</v>
      </c>
      <c r="J2059" t="str">
        <f t="shared" si="66"/>
        <v>1108202 - Terreno Orella Vivar – Inversiones</v>
      </c>
      <c r="K2059" t="str">
        <f t="shared" si="67"/>
        <v>Terreno</v>
      </c>
    </row>
    <row r="2060" spans="1:11" x14ac:dyDescent="0.25">
      <c r="A2060" s="43">
        <v>1033202</v>
      </c>
      <c r="B2060" t="s">
        <v>2591</v>
      </c>
      <c r="C2060" t="s">
        <v>1685</v>
      </c>
      <c r="D2060" t="s">
        <v>1578</v>
      </c>
      <c r="E2060" t="s">
        <v>1578</v>
      </c>
      <c r="F2060" t="s">
        <v>2592</v>
      </c>
      <c r="G2060" t="s">
        <v>1661</v>
      </c>
      <c r="H2060" s="43" t="s">
        <v>1672</v>
      </c>
      <c r="I2060" t="s">
        <v>1662</v>
      </c>
      <c r="J2060" t="str">
        <f t="shared" si="66"/>
        <v>1033202 - Terreno Paula Jaraquemada-Desarrollo</v>
      </c>
      <c r="K2060" t="str">
        <f t="shared" si="67"/>
        <v>Terreno</v>
      </c>
    </row>
    <row r="2061" spans="1:11" x14ac:dyDescent="0.25">
      <c r="A2061" s="43">
        <v>1086202</v>
      </c>
      <c r="B2061" t="s">
        <v>2593</v>
      </c>
      <c r="C2061" t="s">
        <v>1685</v>
      </c>
      <c r="D2061" t="s">
        <v>1578</v>
      </c>
      <c r="E2061" t="s">
        <v>1578</v>
      </c>
      <c r="F2061" t="s">
        <v>2594</v>
      </c>
      <c r="G2061" t="s">
        <v>1661</v>
      </c>
      <c r="H2061" s="43" t="s">
        <v>1672</v>
      </c>
      <c r="I2061" t="s">
        <v>1662</v>
      </c>
      <c r="J2061" t="str">
        <f t="shared" si="66"/>
        <v>1086202 - Terreno Peñablanca - Desarrollo</v>
      </c>
      <c r="K2061" t="str">
        <f t="shared" si="67"/>
        <v>Terreno</v>
      </c>
    </row>
    <row r="2062" spans="1:11" x14ac:dyDescent="0.25">
      <c r="A2062" s="43">
        <v>1050202</v>
      </c>
      <c r="B2062" t="s">
        <v>2595</v>
      </c>
      <c r="C2062" t="s">
        <v>1670</v>
      </c>
      <c r="D2062" t="s">
        <v>1578</v>
      </c>
      <c r="E2062" t="s">
        <v>1578</v>
      </c>
      <c r="F2062" t="s">
        <v>2596</v>
      </c>
      <c r="G2062" t="s">
        <v>1661</v>
      </c>
      <c r="H2062" s="43" t="s">
        <v>1672</v>
      </c>
      <c r="I2062" t="s">
        <v>1662</v>
      </c>
      <c r="J2062" t="str">
        <f t="shared" si="66"/>
        <v>1050202 - Terreno Portugal-Desarrollo</v>
      </c>
      <c r="K2062" t="str">
        <f t="shared" si="67"/>
        <v>Terreno</v>
      </c>
    </row>
    <row r="2063" spans="1:11" x14ac:dyDescent="0.25">
      <c r="A2063" s="43">
        <v>1123202</v>
      </c>
      <c r="B2063" t="s">
        <v>756</v>
      </c>
      <c r="C2063" t="s">
        <v>1670</v>
      </c>
      <c r="D2063" t="s">
        <v>1578</v>
      </c>
      <c r="E2063" t="s">
        <v>1578</v>
      </c>
      <c r="F2063" t="s">
        <v>756</v>
      </c>
      <c r="G2063" t="s">
        <v>1661</v>
      </c>
      <c r="H2063" s="43" t="s">
        <v>386</v>
      </c>
      <c r="I2063" t="s">
        <v>1662</v>
      </c>
      <c r="J2063" t="str">
        <f t="shared" si="66"/>
        <v>1123202 - Terreno Recoleta 5377– Inversiones</v>
      </c>
      <c r="K2063" t="str">
        <f t="shared" si="67"/>
        <v>Terreno</v>
      </c>
    </row>
    <row r="2064" spans="1:11" x14ac:dyDescent="0.25">
      <c r="A2064" s="43">
        <v>1103202</v>
      </c>
      <c r="B2064" t="s">
        <v>2597</v>
      </c>
      <c r="C2064" t="s">
        <v>1660</v>
      </c>
      <c r="D2064" t="s">
        <v>1578</v>
      </c>
      <c r="E2064" t="s">
        <v>1578</v>
      </c>
      <c r="F2064" t="s">
        <v>2597</v>
      </c>
      <c r="G2064" t="s">
        <v>1661</v>
      </c>
      <c r="H2064" s="43" t="s">
        <v>1672</v>
      </c>
      <c r="I2064" t="s">
        <v>1662</v>
      </c>
      <c r="J2064" t="str">
        <f t="shared" si="66"/>
        <v>1103202 - Terreno San Martín - Inversiones</v>
      </c>
      <c r="K2064" t="str">
        <f t="shared" si="67"/>
        <v>Terreno</v>
      </c>
    </row>
    <row r="2065" spans="1:11" x14ac:dyDescent="0.25">
      <c r="A2065" s="43">
        <v>1059202</v>
      </c>
      <c r="B2065" t="s">
        <v>2598</v>
      </c>
      <c r="C2065" t="s">
        <v>1670</v>
      </c>
      <c r="D2065" t="s">
        <v>1578</v>
      </c>
      <c r="E2065" t="s">
        <v>1578</v>
      </c>
      <c r="F2065" t="s">
        <v>2599</v>
      </c>
      <c r="G2065" t="s">
        <v>1661</v>
      </c>
      <c r="H2065" s="43" t="s">
        <v>1672</v>
      </c>
      <c r="I2065" t="s">
        <v>1662</v>
      </c>
      <c r="J2065" t="str">
        <f t="shared" si="66"/>
        <v xml:space="preserve">1059202 - Terreno San Pablo 2-Desarrollo </v>
      </c>
      <c r="K2065" t="str">
        <f t="shared" si="67"/>
        <v>Terreno</v>
      </c>
    </row>
    <row r="2066" spans="1:11" x14ac:dyDescent="0.25">
      <c r="A2066" s="43">
        <v>1060202</v>
      </c>
      <c r="B2066" t="s">
        <v>2600</v>
      </c>
      <c r="C2066" t="s">
        <v>1670</v>
      </c>
      <c r="D2066" t="s">
        <v>1578</v>
      </c>
      <c r="E2066" t="s">
        <v>1578</v>
      </c>
      <c r="F2066" t="s">
        <v>2601</v>
      </c>
      <c r="G2066" t="s">
        <v>1661</v>
      </c>
      <c r="H2066" s="43" t="s">
        <v>1672</v>
      </c>
      <c r="I2066" t="s">
        <v>1662</v>
      </c>
      <c r="J2066" t="str">
        <f t="shared" si="66"/>
        <v xml:space="preserve">1060202 - Terreno Santo Domingo 2 -Desarrollo </v>
      </c>
      <c r="K2066" t="str">
        <f t="shared" si="67"/>
        <v>Terreno</v>
      </c>
    </row>
    <row r="2067" spans="1:11" x14ac:dyDescent="0.25">
      <c r="A2067" s="43">
        <v>1045202</v>
      </c>
      <c r="B2067" t="s">
        <v>2602</v>
      </c>
      <c r="C2067" t="s">
        <v>1685</v>
      </c>
      <c r="D2067" t="s">
        <v>1578</v>
      </c>
      <c r="E2067" t="s">
        <v>1578</v>
      </c>
      <c r="F2067" t="s">
        <v>2603</v>
      </c>
      <c r="G2067" t="s">
        <v>1661</v>
      </c>
      <c r="H2067" s="43" t="s">
        <v>1672</v>
      </c>
      <c r="I2067" t="s">
        <v>1662</v>
      </c>
      <c r="J2067" t="str">
        <f t="shared" si="66"/>
        <v>1045202 - Terreno Tenerife-Desarrollo</v>
      </c>
      <c r="K2067" t="str">
        <f t="shared" si="67"/>
        <v>Terreno</v>
      </c>
    </row>
    <row r="2068" spans="1:11" x14ac:dyDescent="0.25">
      <c r="A2068" s="43">
        <v>1146202</v>
      </c>
      <c r="B2068" t="s">
        <v>2604</v>
      </c>
      <c r="C2068" t="s">
        <v>1670</v>
      </c>
      <c r="D2068" t="s">
        <v>1578</v>
      </c>
      <c r="E2068" t="s">
        <v>1578</v>
      </c>
      <c r="F2068" t="s">
        <v>2604</v>
      </c>
      <c r="G2068" t="s">
        <v>1661</v>
      </c>
      <c r="H2068" s="43" t="s">
        <v>1672</v>
      </c>
      <c r="I2068" t="s">
        <v>1662</v>
      </c>
      <c r="J2068" t="str">
        <f t="shared" si="66"/>
        <v>1146202 - Terreno Tokio 1216 - Inversiones</v>
      </c>
      <c r="K2068" t="str">
        <f t="shared" si="67"/>
        <v>Terreno</v>
      </c>
    </row>
    <row r="2069" spans="1:11" x14ac:dyDescent="0.25">
      <c r="A2069" s="43">
        <v>1052701</v>
      </c>
      <c r="B2069" t="s">
        <v>2605</v>
      </c>
      <c r="C2069" t="s">
        <v>1836</v>
      </c>
      <c r="D2069" t="s">
        <v>1578</v>
      </c>
      <c r="E2069" t="s">
        <v>1578</v>
      </c>
      <c r="F2069" t="s">
        <v>2606</v>
      </c>
      <c r="G2069" t="s">
        <v>1661</v>
      </c>
      <c r="H2069" s="43" t="s">
        <v>1672</v>
      </c>
      <c r="I2069" t="s">
        <v>1662</v>
      </c>
      <c r="J2069" t="str">
        <f t="shared" ref="J2069:J2132" si="68">+A2069&amp;" - "&amp;B2069</f>
        <v>1052701 - Terreno Uribe-Rentas</v>
      </c>
      <c r="K2069" t="str">
        <f t="shared" ref="K2069:K2132" si="69">+D2069</f>
        <v>Terreno</v>
      </c>
    </row>
    <row r="2070" spans="1:11" x14ac:dyDescent="0.25">
      <c r="A2070" s="43">
        <v>1128202</v>
      </c>
      <c r="B2070" t="s">
        <v>2607</v>
      </c>
      <c r="C2070" t="s">
        <v>1836</v>
      </c>
      <c r="D2070" t="s">
        <v>1578</v>
      </c>
      <c r="E2070" t="s">
        <v>1578</v>
      </c>
      <c r="F2070" t="s">
        <v>2607</v>
      </c>
      <c r="G2070" t="s">
        <v>1661</v>
      </c>
      <c r="H2070" s="43" t="s">
        <v>1672</v>
      </c>
      <c r="I2070" t="s">
        <v>1662</v>
      </c>
      <c r="J2070" t="str">
        <f t="shared" si="68"/>
        <v>1128202 - Terreno Uribe 556 – Inversiones</v>
      </c>
      <c r="K2070" t="str">
        <f t="shared" si="69"/>
        <v>Terreno</v>
      </c>
    </row>
    <row r="2071" spans="1:11" x14ac:dyDescent="0.25">
      <c r="A2071" s="43">
        <v>1113202</v>
      </c>
      <c r="B2071" t="s">
        <v>2608</v>
      </c>
      <c r="C2071" t="s">
        <v>1670</v>
      </c>
      <c r="D2071" t="s">
        <v>1578</v>
      </c>
      <c r="E2071" t="s">
        <v>1578</v>
      </c>
      <c r="F2071" t="s">
        <v>2608</v>
      </c>
      <c r="G2071" t="s">
        <v>1661</v>
      </c>
      <c r="H2071" s="43" t="s">
        <v>1672</v>
      </c>
      <c r="I2071" t="s">
        <v>1662</v>
      </c>
      <c r="J2071" t="str">
        <f t="shared" si="68"/>
        <v>1113202 - Terreno W. Rebolledo – Inversiones</v>
      </c>
      <c r="K2071" t="str">
        <f t="shared" si="69"/>
        <v>Terreno</v>
      </c>
    </row>
    <row r="2072" spans="1:11" x14ac:dyDescent="0.25">
      <c r="A2072" s="43">
        <v>1134202</v>
      </c>
      <c r="B2072" t="s">
        <v>2609</v>
      </c>
      <c r="C2072" t="s">
        <v>1670</v>
      </c>
      <c r="D2072" t="s">
        <v>1578</v>
      </c>
      <c r="E2072" t="s">
        <v>1578</v>
      </c>
      <c r="F2072" t="s">
        <v>2609</v>
      </c>
      <c r="G2072" t="s">
        <v>1661</v>
      </c>
      <c r="H2072" s="43" t="s">
        <v>1672</v>
      </c>
      <c r="I2072" t="s">
        <v>1662</v>
      </c>
      <c r="J2072" t="str">
        <f t="shared" si="68"/>
        <v>1134202 - Terreno Zañartu 2054 - Inversiones</v>
      </c>
      <c r="K2072" t="str">
        <f t="shared" si="69"/>
        <v>Terreno</v>
      </c>
    </row>
    <row r="2073" spans="1:11" x14ac:dyDescent="0.25">
      <c r="A2073" s="43">
        <v>1104202</v>
      </c>
      <c r="B2073" t="s">
        <v>2610</v>
      </c>
      <c r="C2073" t="s">
        <v>1670</v>
      </c>
      <c r="D2073" t="s">
        <v>1578</v>
      </c>
      <c r="E2073" t="s">
        <v>1578</v>
      </c>
      <c r="F2073" t="s">
        <v>2610</v>
      </c>
      <c r="G2073" t="s">
        <v>1661</v>
      </c>
      <c r="H2073" s="43" t="s">
        <v>1672</v>
      </c>
      <c r="I2073" t="s">
        <v>1662</v>
      </c>
      <c r="J2073" t="str">
        <f t="shared" si="68"/>
        <v xml:space="preserve">1104202 - Terreno Zañartu II – Inversiones </v>
      </c>
      <c r="K2073" t="str">
        <f t="shared" si="69"/>
        <v>Terreno</v>
      </c>
    </row>
    <row r="2074" spans="1:11" x14ac:dyDescent="0.25">
      <c r="A2074" s="54">
        <v>1115202</v>
      </c>
      <c r="B2074" s="55" t="s">
        <v>750</v>
      </c>
      <c r="C2074" s="55" t="s">
        <v>1670</v>
      </c>
      <c r="D2074" s="55" t="s">
        <v>1578</v>
      </c>
      <c r="E2074" s="55" t="s">
        <v>1578</v>
      </c>
      <c r="F2074" s="55" t="s">
        <v>467</v>
      </c>
      <c r="G2074" s="55" t="s">
        <v>1661</v>
      </c>
      <c r="H2074" s="54" t="s">
        <v>386</v>
      </c>
      <c r="I2074" s="55" t="s">
        <v>1662</v>
      </c>
      <c r="J2074" t="str">
        <f t="shared" si="68"/>
        <v xml:space="preserve">1115202 - Terreno Tranquila – Inversiones </v>
      </c>
      <c r="K2074" t="str">
        <f t="shared" si="69"/>
        <v>Terreno</v>
      </c>
    </row>
    <row r="2075" spans="1:11" x14ac:dyDescent="0.25">
      <c r="A2075" s="54">
        <v>240</v>
      </c>
      <c r="B2075" s="55" t="s">
        <v>467</v>
      </c>
      <c r="C2075" s="55" t="s">
        <v>1670</v>
      </c>
      <c r="D2075" s="55" t="s">
        <v>65</v>
      </c>
      <c r="E2075" s="55" t="s">
        <v>65</v>
      </c>
      <c r="F2075" s="55" t="s">
        <v>467</v>
      </c>
      <c r="G2075" s="55" t="s">
        <v>1663</v>
      </c>
      <c r="H2075" s="54" t="s">
        <v>386</v>
      </c>
      <c r="I2075" s="55" t="s">
        <v>1664</v>
      </c>
      <c r="J2075" t="str">
        <f t="shared" si="68"/>
        <v>240 - Tranquila</v>
      </c>
      <c r="K2075" t="str">
        <f t="shared" si="69"/>
        <v>Obra</v>
      </c>
    </row>
    <row r="2076" spans="1:11" x14ac:dyDescent="0.25">
      <c r="A2076" s="54">
        <v>10240000</v>
      </c>
      <c r="B2076" s="55" t="s">
        <v>467</v>
      </c>
      <c r="C2076" s="55" t="s">
        <v>1670</v>
      </c>
      <c r="D2076" s="55" t="s">
        <v>1665</v>
      </c>
      <c r="E2076" s="55" t="s">
        <v>1585</v>
      </c>
      <c r="F2076" s="55" t="s">
        <v>467</v>
      </c>
      <c r="G2076" s="55" t="s">
        <v>1661</v>
      </c>
      <c r="H2076" s="54" t="s">
        <v>386</v>
      </c>
      <c r="I2076" s="55" t="s">
        <v>1666</v>
      </c>
      <c r="J2076" t="str">
        <f t="shared" si="68"/>
        <v>10240000 - Tranquila</v>
      </c>
      <c r="K2076" t="str">
        <f t="shared" si="69"/>
        <v>Proyectos Inmobiliarios</v>
      </c>
    </row>
    <row r="2077" spans="1:11" x14ac:dyDescent="0.25">
      <c r="A2077" s="54">
        <v>10240102</v>
      </c>
      <c r="B2077" s="55" t="s">
        <v>1152</v>
      </c>
      <c r="C2077" s="55" t="s">
        <v>1670</v>
      </c>
      <c r="D2077" s="55" t="s">
        <v>1665</v>
      </c>
      <c r="E2077" s="55" t="s">
        <v>1617</v>
      </c>
      <c r="F2077" s="55" t="s">
        <v>467</v>
      </c>
      <c r="G2077" s="55" t="s">
        <v>1661</v>
      </c>
      <c r="H2077" s="54" t="s">
        <v>386</v>
      </c>
      <c r="I2077" s="55" t="s">
        <v>1666</v>
      </c>
      <c r="J2077" t="str">
        <f t="shared" si="68"/>
        <v>10240102 - Tranquila-Marketing</v>
      </c>
      <c r="K2077" t="str">
        <f t="shared" si="69"/>
        <v>Proyectos Inmobiliarios</v>
      </c>
    </row>
    <row r="2078" spans="1:11" x14ac:dyDescent="0.25">
      <c r="A2078" s="54">
        <v>10240103</v>
      </c>
      <c r="B2078" s="55" t="s">
        <v>1153</v>
      </c>
      <c r="C2078" s="55" t="s">
        <v>1670</v>
      </c>
      <c r="D2078" s="55" t="s">
        <v>1665</v>
      </c>
      <c r="E2078" s="55" t="s">
        <v>1618</v>
      </c>
      <c r="F2078" s="55" t="s">
        <v>467</v>
      </c>
      <c r="G2078" s="55" t="s">
        <v>1661</v>
      </c>
      <c r="H2078" s="54" t="s">
        <v>386</v>
      </c>
      <c r="I2078" s="55" t="s">
        <v>1666</v>
      </c>
      <c r="J2078" t="str">
        <f t="shared" si="68"/>
        <v>10240103 - Tranquila-Operaciones</v>
      </c>
      <c r="K2078" t="str">
        <f t="shared" si="69"/>
        <v>Proyectos Inmobiliarios</v>
      </c>
    </row>
    <row r="2079" spans="1:11" x14ac:dyDescent="0.25">
      <c r="A2079" s="54">
        <v>10240104</v>
      </c>
      <c r="B2079" s="55" t="s">
        <v>1154</v>
      </c>
      <c r="C2079" s="55" t="s">
        <v>1670</v>
      </c>
      <c r="D2079" s="55" t="s">
        <v>1665</v>
      </c>
      <c r="E2079" s="55" t="s">
        <v>90</v>
      </c>
      <c r="F2079" s="55" t="s">
        <v>467</v>
      </c>
      <c r="G2079" s="55" t="s">
        <v>1661</v>
      </c>
      <c r="H2079" s="54" t="s">
        <v>386</v>
      </c>
      <c r="I2079" s="55" t="s">
        <v>1666</v>
      </c>
      <c r="J2079" t="str">
        <f t="shared" si="68"/>
        <v>10240104 - Tranquila-Ventas</v>
      </c>
      <c r="K2079" t="str">
        <f t="shared" si="69"/>
        <v>Proyectos Inmobiliarios</v>
      </c>
    </row>
    <row r="2080" spans="1:11" x14ac:dyDescent="0.25">
      <c r="A2080" s="54">
        <v>10240105</v>
      </c>
      <c r="B2080" s="55" t="s">
        <v>1155</v>
      </c>
      <c r="C2080" s="55" t="s">
        <v>1670</v>
      </c>
      <c r="D2080" s="55" t="s">
        <v>1665</v>
      </c>
      <c r="E2080" s="55" t="s">
        <v>1622</v>
      </c>
      <c r="F2080" s="55" t="s">
        <v>467</v>
      </c>
      <c r="G2080" s="55" t="s">
        <v>1661</v>
      </c>
      <c r="H2080" s="54" t="s">
        <v>386</v>
      </c>
      <c r="I2080" s="55" t="s">
        <v>1666</v>
      </c>
      <c r="J2080" t="str">
        <f t="shared" si="68"/>
        <v>10240105 - Tranquila-Clientes</v>
      </c>
      <c r="K2080" t="str">
        <f t="shared" si="69"/>
        <v>Proyectos Inmobiliarios</v>
      </c>
    </row>
    <row r="2081" spans="1:11" x14ac:dyDescent="0.25">
      <c r="A2081" s="54">
        <v>10240204</v>
      </c>
      <c r="B2081" s="55" t="s">
        <v>1156</v>
      </c>
      <c r="C2081" s="55" t="s">
        <v>1670</v>
      </c>
      <c r="D2081" s="55" t="s">
        <v>1665</v>
      </c>
      <c r="E2081" s="55" t="s">
        <v>1624</v>
      </c>
      <c r="F2081" s="55" t="s">
        <v>467</v>
      </c>
      <c r="G2081" s="55" t="s">
        <v>1661</v>
      </c>
      <c r="H2081" s="54" t="s">
        <v>386</v>
      </c>
      <c r="I2081" s="55" t="s">
        <v>1666</v>
      </c>
      <c r="J2081" t="str">
        <f t="shared" si="68"/>
        <v>10240204 - Tranquila-Proyecto</v>
      </c>
      <c r="K2081" t="str">
        <f t="shared" si="69"/>
        <v>Proyectos Inmobiliarios</v>
      </c>
    </row>
    <row r="2082" spans="1:11" x14ac:dyDescent="0.25">
      <c r="A2082" s="54">
        <v>10240301</v>
      </c>
      <c r="B2082" s="55" t="s">
        <v>1157</v>
      </c>
      <c r="C2082" s="55" t="s">
        <v>1670</v>
      </c>
      <c r="D2082" s="55" t="s">
        <v>1665</v>
      </c>
      <c r="E2082" s="55" t="s">
        <v>1643</v>
      </c>
      <c r="F2082" s="55" t="s">
        <v>467</v>
      </c>
      <c r="G2082" s="55" t="s">
        <v>1667</v>
      </c>
      <c r="H2082" s="54" t="s">
        <v>386</v>
      </c>
      <c r="I2082" s="55" t="s">
        <v>1666</v>
      </c>
      <c r="J2082" t="str">
        <f t="shared" si="68"/>
        <v>10240301 - Tranquila-GAF</v>
      </c>
      <c r="K2082" t="str">
        <f t="shared" si="69"/>
        <v>Proyectos Inmobiliarios</v>
      </c>
    </row>
    <row r="2083" spans="1:11" x14ac:dyDescent="0.25">
      <c r="A2083" s="54">
        <v>10240505</v>
      </c>
      <c r="B2083" s="55" t="s">
        <v>1158</v>
      </c>
      <c r="C2083" s="55" t="s">
        <v>1670</v>
      </c>
      <c r="D2083" s="55" t="s">
        <v>66</v>
      </c>
      <c r="E2083" s="55" t="s">
        <v>328</v>
      </c>
      <c r="F2083" s="55" t="s">
        <v>467</v>
      </c>
      <c r="G2083" s="55" t="s">
        <v>1661</v>
      </c>
      <c r="H2083" s="54" t="s">
        <v>386</v>
      </c>
      <c r="I2083" s="55" t="s">
        <v>1666</v>
      </c>
      <c r="J2083" t="str">
        <f t="shared" si="68"/>
        <v>10240505 - Tranquila-PV Inmob.</v>
      </c>
      <c r="K2083" t="str">
        <f t="shared" si="69"/>
        <v>Postventa</v>
      </c>
    </row>
    <row r="2084" spans="1:11" x14ac:dyDescent="0.25">
      <c r="A2084" s="54">
        <v>10240506</v>
      </c>
      <c r="B2084" s="55" t="s">
        <v>1159</v>
      </c>
      <c r="C2084" s="55" t="s">
        <v>1670</v>
      </c>
      <c r="D2084" s="55" t="s">
        <v>1665</v>
      </c>
      <c r="E2084" s="55" t="s">
        <v>200</v>
      </c>
      <c r="F2084" s="55" t="s">
        <v>467</v>
      </c>
      <c r="G2084" s="55" t="s">
        <v>1661</v>
      </c>
      <c r="H2084" s="54" t="s">
        <v>386</v>
      </c>
      <c r="I2084" s="55" t="s">
        <v>1666</v>
      </c>
      <c r="J2084" t="str">
        <f t="shared" si="68"/>
        <v>10240506 - Tranquila-Depto.Técnico</v>
      </c>
      <c r="K2084" t="str">
        <f t="shared" si="69"/>
        <v>Proyectos Inmobiliarios</v>
      </c>
    </row>
    <row r="2085" spans="1:11" x14ac:dyDescent="0.25">
      <c r="A2085" s="54">
        <v>8240</v>
      </c>
      <c r="B2085" s="55" t="s">
        <v>2611</v>
      </c>
      <c r="C2085" s="55" t="s">
        <v>1670</v>
      </c>
      <c r="D2085" s="55" t="s">
        <v>1686</v>
      </c>
      <c r="E2085" s="55" t="s">
        <v>1501</v>
      </c>
      <c r="F2085" s="55" t="s">
        <v>467</v>
      </c>
      <c r="G2085" s="55" t="s">
        <v>1661</v>
      </c>
      <c r="H2085" s="54" t="s">
        <v>1672</v>
      </c>
      <c r="I2085" s="55" t="s">
        <v>1666</v>
      </c>
      <c r="J2085" t="str">
        <f t="shared" si="68"/>
        <v>8240 - Entrega Tranquila</v>
      </c>
      <c r="K2085" t="str">
        <f t="shared" si="69"/>
        <v>Entrega</v>
      </c>
    </row>
    <row r="2086" spans="1:11" x14ac:dyDescent="0.25">
      <c r="A2086" s="54">
        <v>9240</v>
      </c>
      <c r="B2086" s="55" t="s">
        <v>2612</v>
      </c>
      <c r="C2086" s="55" t="s">
        <v>1670</v>
      </c>
      <c r="D2086" s="55" t="s">
        <v>66</v>
      </c>
      <c r="E2086" s="55" t="s">
        <v>328</v>
      </c>
      <c r="F2086" s="55" t="s">
        <v>467</v>
      </c>
      <c r="G2086" s="55" t="s">
        <v>1661</v>
      </c>
      <c r="H2086" s="54" t="s">
        <v>1672</v>
      </c>
      <c r="I2086" s="55" t="s">
        <v>1666</v>
      </c>
      <c r="J2086" t="str">
        <f t="shared" si="68"/>
        <v>9240 - PV Tranquila</v>
      </c>
      <c r="K2086" t="str">
        <f t="shared" si="69"/>
        <v>Postventa</v>
      </c>
    </row>
    <row r="2087" spans="1:11" x14ac:dyDescent="0.25">
      <c r="A2087" s="56">
        <v>999999999</v>
      </c>
      <c r="B2087" s="57" t="s">
        <v>1684</v>
      </c>
      <c r="C2087" s="57"/>
      <c r="D2087" s="57" t="s">
        <v>1578</v>
      </c>
      <c r="E2087" s="57" t="s">
        <v>1578</v>
      </c>
      <c r="F2087" s="57" t="s">
        <v>2613</v>
      </c>
      <c r="G2087" s="57" t="s">
        <v>1661</v>
      </c>
      <c r="H2087" s="56" t="s">
        <v>1672</v>
      </c>
      <c r="I2087" s="57" t="s">
        <v>1662</v>
      </c>
      <c r="J2087" t="str">
        <f t="shared" si="68"/>
        <v>999999999 - Terreno Abuelo Proyectos sin Terreno</v>
      </c>
      <c r="K2087" t="str">
        <f t="shared" si="69"/>
        <v>Terreno</v>
      </c>
    </row>
    <row r="2088" spans="1:11" x14ac:dyDescent="0.25">
      <c r="A2088" s="56">
        <v>999</v>
      </c>
      <c r="B2088" s="57" t="s">
        <v>1808</v>
      </c>
      <c r="C2088" s="57"/>
      <c r="D2088" s="57" t="s">
        <v>65</v>
      </c>
      <c r="E2088" s="57" t="s">
        <v>65</v>
      </c>
      <c r="F2088" s="57" t="s">
        <v>2613</v>
      </c>
      <c r="G2088" s="57" t="s">
        <v>1663</v>
      </c>
      <c r="H2088" s="56" t="s">
        <v>1672</v>
      </c>
      <c r="I2088" s="57" t="s">
        <v>1664</v>
      </c>
      <c r="J2088" t="str">
        <f t="shared" si="68"/>
        <v>999 - Obra Padre Proyectos sin Obra</v>
      </c>
      <c r="K2088" t="str">
        <f t="shared" si="69"/>
        <v>Obra</v>
      </c>
    </row>
    <row r="2089" spans="1:11" x14ac:dyDescent="0.25">
      <c r="A2089" s="56">
        <v>9911</v>
      </c>
      <c r="B2089" s="57" t="s">
        <v>687</v>
      </c>
      <c r="C2089" s="57" t="s">
        <v>1685</v>
      </c>
      <c r="D2089" s="57" t="s">
        <v>66</v>
      </c>
      <c r="E2089" s="57" t="s">
        <v>328</v>
      </c>
      <c r="F2089" s="57" t="s">
        <v>2613</v>
      </c>
      <c r="G2089" s="57" t="s">
        <v>1661</v>
      </c>
      <c r="H2089" s="56" t="s">
        <v>386</v>
      </c>
      <c r="I2089" s="57" t="s">
        <v>1666</v>
      </c>
      <c r="J2089" t="str">
        <f t="shared" si="68"/>
        <v>9911 - PV Tribunales Valparaiso</v>
      </c>
      <c r="K2089" t="str">
        <f t="shared" si="69"/>
        <v>Postventa</v>
      </c>
    </row>
    <row r="2090" spans="1:11" x14ac:dyDescent="0.25">
      <c r="A2090" s="50">
        <v>999999999</v>
      </c>
      <c r="B2090" s="51" t="s">
        <v>1684</v>
      </c>
      <c r="C2090" s="51"/>
      <c r="D2090" s="51" t="s">
        <v>1578</v>
      </c>
      <c r="E2090" s="51" t="s">
        <v>1578</v>
      </c>
      <c r="F2090" s="51" t="s">
        <v>2614</v>
      </c>
      <c r="G2090" s="51" t="s">
        <v>1661</v>
      </c>
      <c r="H2090" s="50" t="s">
        <v>1672</v>
      </c>
      <c r="I2090" s="51" t="s">
        <v>1662</v>
      </c>
      <c r="J2090" t="str">
        <f t="shared" si="68"/>
        <v>999999999 - Terreno Abuelo Proyectos sin Terreno</v>
      </c>
      <c r="K2090" t="str">
        <f t="shared" si="69"/>
        <v>Terreno</v>
      </c>
    </row>
    <row r="2091" spans="1:11" x14ac:dyDescent="0.25">
      <c r="A2091" s="50">
        <v>25</v>
      </c>
      <c r="B2091" s="51" t="s">
        <v>2485</v>
      </c>
      <c r="C2091" s="51" t="s">
        <v>1685</v>
      </c>
      <c r="D2091" s="51" t="s">
        <v>65</v>
      </c>
      <c r="E2091" s="51" t="s">
        <v>65</v>
      </c>
      <c r="F2091" s="51" t="s">
        <v>2614</v>
      </c>
      <c r="G2091" s="51" t="s">
        <v>1663</v>
      </c>
      <c r="H2091" s="50" t="s">
        <v>1672</v>
      </c>
      <c r="I2091" s="51" t="s">
        <v>1664</v>
      </c>
      <c r="J2091" t="str">
        <f t="shared" si="68"/>
        <v>25 - SSCC</v>
      </c>
      <c r="K2091" t="str">
        <f t="shared" si="69"/>
        <v>Obra</v>
      </c>
    </row>
    <row r="2092" spans="1:11" x14ac:dyDescent="0.25">
      <c r="A2092" s="50">
        <v>10016000</v>
      </c>
      <c r="B2092" s="51" t="s">
        <v>2614</v>
      </c>
      <c r="C2092" s="51" t="s">
        <v>1685</v>
      </c>
      <c r="D2092" s="51" t="s">
        <v>1665</v>
      </c>
      <c r="E2092" s="51" t="s">
        <v>1585</v>
      </c>
      <c r="F2092" s="51" t="s">
        <v>2614</v>
      </c>
      <c r="G2092" s="51" t="s">
        <v>1661</v>
      </c>
      <c r="H2092" s="50" t="s">
        <v>1672</v>
      </c>
      <c r="I2092" s="51" t="s">
        <v>1666</v>
      </c>
      <c r="J2092" t="str">
        <f t="shared" si="68"/>
        <v>10016000 - Uno Poniente</v>
      </c>
      <c r="K2092" t="str">
        <f t="shared" si="69"/>
        <v>Proyectos Inmobiliarios</v>
      </c>
    </row>
    <row r="2093" spans="1:11" x14ac:dyDescent="0.25">
      <c r="A2093" s="50">
        <v>10016102</v>
      </c>
      <c r="B2093" s="51" t="s">
        <v>2615</v>
      </c>
      <c r="C2093" s="51" t="s">
        <v>1685</v>
      </c>
      <c r="D2093" s="51" t="s">
        <v>1665</v>
      </c>
      <c r="E2093" s="51" t="s">
        <v>1617</v>
      </c>
      <c r="F2093" s="51" t="s">
        <v>2614</v>
      </c>
      <c r="G2093" s="51" t="s">
        <v>1661</v>
      </c>
      <c r="H2093" s="50" t="s">
        <v>1672</v>
      </c>
      <c r="I2093" s="51" t="s">
        <v>1666</v>
      </c>
      <c r="J2093" t="str">
        <f t="shared" si="68"/>
        <v>10016102 - Uno Poniente-Marketing</v>
      </c>
      <c r="K2093" t="str">
        <f t="shared" si="69"/>
        <v>Proyectos Inmobiliarios</v>
      </c>
    </row>
    <row r="2094" spans="1:11" x14ac:dyDescent="0.25">
      <c r="A2094" s="50">
        <v>10016103</v>
      </c>
      <c r="B2094" s="51" t="s">
        <v>2616</v>
      </c>
      <c r="C2094" s="51" t="s">
        <v>1685</v>
      </c>
      <c r="D2094" s="51" t="s">
        <v>1665</v>
      </c>
      <c r="E2094" s="51" t="s">
        <v>1618</v>
      </c>
      <c r="F2094" s="51" t="s">
        <v>2614</v>
      </c>
      <c r="G2094" s="51" t="s">
        <v>1661</v>
      </c>
      <c r="H2094" s="50" t="s">
        <v>1672</v>
      </c>
      <c r="I2094" s="51" t="s">
        <v>1666</v>
      </c>
      <c r="J2094" t="str">
        <f t="shared" si="68"/>
        <v>10016103 - Uno Poniente-Operaciones</v>
      </c>
      <c r="K2094" t="str">
        <f t="shared" si="69"/>
        <v>Proyectos Inmobiliarios</v>
      </c>
    </row>
    <row r="2095" spans="1:11" x14ac:dyDescent="0.25">
      <c r="A2095" s="50">
        <v>10016104</v>
      </c>
      <c r="B2095" s="51" t="s">
        <v>2617</v>
      </c>
      <c r="C2095" s="51" t="s">
        <v>1685</v>
      </c>
      <c r="D2095" s="51" t="s">
        <v>1665</v>
      </c>
      <c r="E2095" s="51" t="s">
        <v>90</v>
      </c>
      <c r="F2095" s="51" t="s">
        <v>2614</v>
      </c>
      <c r="G2095" s="51" t="s">
        <v>1661</v>
      </c>
      <c r="H2095" s="50" t="s">
        <v>1672</v>
      </c>
      <c r="I2095" s="51" t="s">
        <v>1666</v>
      </c>
      <c r="J2095" t="str">
        <f t="shared" si="68"/>
        <v>10016104 - Uno Poniente-Ventas</v>
      </c>
      <c r="K2095" t="str">
        <f t="shared" si="69"/>
        <v>Proyectos Inmobiliarios</v>
      </c>
    </row>
    <row r="2096" spans="1:11" x14ac:dyDescent="0.25">
      <c r="A2096" s="50">
        <v>10016105</v>
      </c>
      <c r="B2096" s="51" t="s">
        <v>2618</v>
      </c>
      <c r="C2096" s="51" t="s">
        <v>1685</v>
      </c>
      <c r="D2096" s="51" t="s">
        <v>1665</v>
      </c>
      <c r="E2096" s="51" t="s">
        <v>1622</v>
      </c>
      <c r="F2096" s="51" t="s">
        <v>2614</v>
      </c>
      <c r="G2096" s="51" t="s">
        <v>1661</v>
      </c>
      <c r="H2096" s="50" t="s">
        <v>1672</v>
      </c>
      <c r="I2096" s="51" t="s">
        <v>1666</v>
      </c>
      <c r="J2096" t="str">
        <f t="shared" si="68"/>
        <v>10016105 - Uno Poniente-Clientes</v>
      </c>
      <c r="K2096" t="str">
        <f t="shared" si="69"/>
        <v>Proyectos Inmobiliarios</v>
      </c>
    </row>
    <row r="2097" spans="1:11" x14ac:dyDescent="0.25">
      <c r="A2097" s="50">
        <v>10016205</v>
      </c>
      <c r="B2097" s="51" t="s">
        <v>2619</v>
      </c>
      <c r="C2097" s="51" t="s">
        <v>1685</v>
      </c>
      <c r="D2097" s="51" t="s">
        <v>1665</v>
      </c>
      <c r="E2097" s="51" t="s">
        <v>1624</v>
      </c>
      <c r="F2097" s="51" t="s">
        <v>2614</v>
      </c>
      <c r="G2097" s="51" t="s">
        <v>1661</v>
      </c>
      <c r="H2097" s="50" t="s">
        <v>1672</v>
      </c>
      <c r="I2097" s="51" t="s">
        <v>1666</v>
      </c>
      <c r="J2097" t="str">
        <f t="shared" si="68"/>
        <v>10016205 - Uno Poniente-Proyecto</v>
      </c>
      <c r="K2097" t="str">
        <f t="shared" si="69"/>
        <v>Proyectos Inmobiliarios</v>
      </c>
    </row>
    <row r="2098" spans="1:11" x14ac:dyDescent="0.25">
      <c r="A2098" s="50">
        <v>10016301</v>
      </c>
      <c r="B2098" s="51" t="s">
        <v>2620</v>
      </c>
      <c r="C2098" s="51" t="s">
        <v>1685</v>
      </c>
      <c r="D2098" s="51" t="s">
        <v>1665</v>
      </c>
      <c r="E2098" s="51" t="s">
        <v>1643</v>
      </c>
      <c r="F2098" s="51" t="s">
        <v>2614</v>
      </c>
      <c r="G2098" s="51" t="s">
        <v>1667</v>
      </c>
      <c r="H2098" s="50" t="s">
        <v>1672</v>
      </c>
      <c r="I2098" s="51" t="s">
        <v>1666</v>
      </c>
      <c r="J2098" t="str">
        <f t="shared" si="68"/>
        <v>10016301 - Uno Poniente-GAF</v>
      </c>
      <c r="K2098" t="str">
        <f t="shared" si="69"/>
        <v>Proyectos Inmobiliarios</v>
      </c>
    </row>
    <row r="2099" spans="1:11" x14ac:dyDescent="0.25">
      <c r="A2099" s="50">
        <v>10016505</v>
      </c>
      <c r="B2099" s="51" t="s">
        <v>2621</v>
      </c>
      <c r="C2099" s="51" t="s">
        <v>1685</v>
      </c>
      <c r="D2099" s="51" t="s">
        <v>66</v>
      </c>
      <c r="E2099" s="51" t="s">
        <v>328</v>
      </c>
      <c r="F2099" s="51" t="s">
        <v>2614</v>
      </c>
      <c r="G2099" s="51" t="s">
        <v>1661</v>
      </c>
      <c r="H2099" s="50" t="s">
        <v>1672</v>
      </c>
      <c r="I2099" s="51" t="s">
        <v>1666</v>
      </c>
      <c r="J2099" t="str">
        <f t="shared" si="68"/>
        <v>10016505 - Uno Poniente-PV Inmob.</v>
      </c>
      <c r="K2099" t="str">
        <f t="shared" si="69"/>
        <v>Postventa</v>
      </c>
    </row>
    <row r="2100" spans="1:11" x14ac:dyDescent="0.25">
      <c r="A2100" s="50">
        <v>10016506</v>
      </c>
      <c r="B2100" s="51" t="s">
        <v>2622</v>
      </c>
      <c r="C2100" s="51" t="s">
        <v>1685</v>
      </c>
      <c r="D2100" s="51" t="s">
        <v>1665</v>
      </c>
      <c r="E2100" s="51" t="s">
        <v>200</v>
      </c>
      <c r="F2100" s="51" t="s">
        <v>2614</v>
      </c>
      <c r="G2100" s="51" t="s">
        <v>1661</v>
      </c>
      <c r="H2100" s="50" t="s">
        <v>1672</v>
      </c>
      <c r="I2100" s="51" t="s">
        <v>1666</v>
      </c>
      <c r="J2100" t="str">
        <f t="shared" si="68"/>
        <v>10016506 - Uno Poniente-Depto.Técnico</v>
      </c>
      <c r="K2100" t="str">
        <f t="shared" si="69"/>
        <v>Proyectos Inmobiliarios</v>
      </c>
    </row>
    <row r="2101" spans="1:11" x14ac:dyDescent="0.25">
      <c r="A2101" s="58">
        <v>1160202</v>
      </c>
      <c r="B2101" s="59" t="s">
        <v>2623</v>
      </c>
      <c r="C2101" s="59" t="s">
        <v>1670</v>
      </c>
      <c r="D2101" s="59" t="s">
        <v>1578</v>
      </c>
      <c r="E2101" s="59" t="s">
        <v>1578</v>
      </c>
      <c r="F2101" s="59" t="s">
        <v>2624</v>
      </c>
      <c r="G2101" s="59" t="s">
        <v>1661</v>
      </c>
      <c r="H2101" s="58" t="s">
        <v>1672</v>
      </c>
      <c r="I2101" s="59" t="s">
        <v>1662</v>
      </c>
      <c r="J2101" t="str">
        <f t="shared" si="68"/>
        <v>1160202 - Terreno Uruguay 15  - Inversiones</v>
      </c>
      <c r="K2101" t="str">
        <f t="shared" si="69"/>
        <v>Terreno</v>
      </c>
    </row>
    <row r="2102" spans="1:11" x14ac:dyDescent="0.25">
      <c r="A2102" s="58">
        <v>358</v>
      </c>
      <c r="B2102" s="59" t="s">
        <v>2624</v>
      </c>
      <c r="C2102" s="59" t="s">
        <v>1670</v>
      </c>
      <c r="D2102" s="59" t="s">
        <v>65</v>
      </c>
      <c r="E2102" s="59" t="s">
        <v>65</v>
      </c>
      <c r="F2102" s="59" t="s">
        <v>2624</v>
      </c>
      <c r="G2102" s="59" t="s">
        <v>1663</v>
      </c>
      <c r="H2102" s="58" t="s">
        <v>1672</v>
      </c>
      <c r="I2102" s="59" t="s">
        <v>1664</v>
      </c>
      <c r="J2102" t="str">
        <f t="shared" si="68"/>
        <v>358 - Uruguay</v>
      </c>
      <c r="K2102" t="str">
        <f t="shared" si="69"/>
        <v>Obra</v>
      </c>
    </row>
    <row r="2103" spans="1:11" x14ac:dyDescent="0.25">
      <c r="A2103" s="58">
        <v>10358000</v>
      </c>
      <c r="B2103" s="59" t="s">
        <v>2624</v>
      </c>
      <c r="C2103" s="59" t="s">
        <v>1670</v>
      </c>
      <c r="D2103" s="59" t="s">
        <v>1665</v>
      </c>
      <c r="E2103" s="59" t="s">
        <v>1585</v>
      </c>
      <c r="F2103" s="59" t="s">
        <v>2624</v>
      </c>
      <c r="G2103" s="59" t="s">
        <v>1661</v>
      </c>
      <c r="H2103" s="58" t="s">
        <v>1672</v>
      </c>
      <c r="I2103" s="59" t="s">
        <v>1666</v>
      </c>
      <c r="J2103" t="str">
        <f t="shared" si="68"/>
        <v>10358000 - Uruguay</v>
      </c>
      <c r="K2103" t="str">
        <f t="shared" si="69"/>
        <v>Proyectos Inmobiliarios</v>
      </c>
    </row>
    <row r="2104" spans="1:11" x14ac:dyDescent="0.25">
      <c r="A2104" s="58">
        <v>10358102</v>
      </c>
      <c r="B2104" s="59" t="s">
        <v>2625</v>
      </c>
      <c r="C2104" s="59" t="s">
        <v>1670</v>
      </c>
      <c r="D2104" s="59" t="s">
        <v>1665</v>
      </c>
      <c r="E2104" s="59" t="s">
        <v>1617</v>
      </c>
      <c r="F2104" s="59" t="s">
        <v>2624</v>
      </c>
      <c r="G2104" s="59" t="s">
        <v>1661</v>
      </c>
      <c r="H2104" s="58" t="s">
        <v>1672</v>
      </c>
      <c r="I2104" s="59" t="s">
        <v>1666</v>
      </c>
      <c r="J2104" t="str">
        <f t="shared" si="68"/>
        <v>10358102 - Uruguay-Marketing</v>
      </c>
      <c r="K2104" t="str">
        <f t="shared" si="69"/>
        <v>Proyectos Inmobiliarios</v>
      </c>
    </row>
    <row r="2105" spans="1:11" x14ac:dyDescent="0.25">
      <c r="A2105" s="58">
        <v>10358103</v>
      </c>
      <c r="B2105" s="59" t="s">
        <v>2626</v>
      </c>
      <c r="C2105" s="59" t="s">
        <v>1670</v>
      </c>
      <c r="D2105" s="59" t="s">
        <v>1665</v>
      </c>
      <c r="E2105" s="59" t="s">
        <v>1618</v>
      </c>
      <c r="F2105" s="59" t="s">
        <v>2624</v>
      </c>
      <c r="G2105" s="59" t="s">
        <v>1661</v>
      </c>
      <c r="H2105" s="58" t="s">
        <v>1672</v>
      </c>
      <c r="I2105" s="59" t="s">
        <v>1666</v>
      </c>
      <c r="J2105" t="str">
        <f t="shared" si="68"/>
        <v>10358103 - Uruguay-Operaciones</v>
      </c>
      <c r="K2105" t="str">
        <f t="shared" si="69"/>
        <v>Proyectos Inmobiliarios</v>
      </c>
    </row>
    <row r="2106" spans="1:11" x14ac:dyDescent="0.25">
      <c r="A2106" s="58">
        <v>10358104</v>
      </c>
      <c r="B2106" s="59" t="s">
        <v>2627</v>
      </c>
      <c r="C2106" s="59" t="s">
        <v>1670</v>
      </c>
      <c r="D2106" s="59" t="s">
        <v>1665</v>
      </c>
      <c r="E2106" s="59" t="s">
        <v>90</v>
      </c>
      <c r="F2106" s="59" t="s">
        <v>2624</v>
      </c>
      <c r="G2106" s="59" t="s">
        <v>1661</v>
      </c>
      <c r="H2106" s="58" t="s">
        <v>1672</v>
      </c>
      <c r="I2106" s="59" t="s">
        <v>1666</v>
      </c>
      <c r="J2106" t="str">
        <f t="shared" si="68"/>
        <v>10358104 - Uruguay-Ventas</v>
      </c>
      <c r="K2106" t="str">
        <f t="shared" si="69"/>
        <v>Proyectos Inmobiliarios</v>
      </c>
    </row>
    <row r="2107" spans="1:11" x14ac:dyDescent="0.25">
      <c r="A2107" s="58">
        <v>10358105</v>
      </c>
      <c r="B2107" s="59" t="s">
        <v>2628</v>
      </c>
      <c r="C2107" s="59" t="s">
        <v>1670</v>
      </c>
      <c r="D2107" s="59" t="s">
        <v>1665</v>
      </c>
      <c r="E2107" s="59" t="s">
        <v>1622</v>
      </c>
      <c r="F2107" s="59" t="s">
        <v>2624</v>
      </c>
      <c r="G2107" s="59" t="s">
        <v>1661</v>
      </c>
      <c r="H2107" s="58" t="s">
        <v>1672</v>
      </c>
      <c r="I2107" s="59" t="s">
        <v>1666</v>
      </c>
      <c r="J2107" t="str">
        <f t="shared" si="68"/>
        <v>10358105 - Uruguay-Clientes</v>
      </c>
      <c r="K2107" t="str">
        <f t="shared" si="69"/>
        <v>Proyectos Inmobiliarios</v>
      </c>
    </row>
    <row r="2108" spans="1:11" x14ac:dyDescent="0.25">
      <c r="A2108" s="58">
        <v>10358204</v>
      </c>
      <c r="B2108" s="59" t="s">
        <v>2629</v>
      </c>
      <c r="C2108" s="59" t="s">
        <v>1670</v>
      </c>
      <c r="D2108" s="59" t="s">
        <v>1665</v>
      </c>
      <c r="E2108" s="59" t="s">
        <v>1624</v>
      </c>
      <c r="F2108" s="59" t="s">
        <v>2624</v>
      </c>
      <c r="G2108" s="59" t="s">
        <v>1661</v>
      </c>
      <c r="H2108" s="58" t="s">
        <v>1672</v>
      </c>
      <c r="I2108" s="59" t="s">
        <v>1666</v>
      </c>
      <c r="J2108" t="str">
        <f t="shared" si="68"/>
        <v>10358204 - Uruguay-Proyecto</v>
      </c>
      <c r="K2108" t="str">
        <f t="shared" si="69"/>
        <v>Proyectos Inmobiliarios</v>
      </c>
    </row>
    <row r="2109" spans="1:11" x14ac:dyDescent="0.25">
      <c r="A2109" s="58">
        <v>10358301</v>
      </c>
      <c r="B2109" s="59" t="s">
        <v>2630</v>
      </c>
      <c r="C2109" s="59" t="s">
        <v>1670</v>
      </c>
      <c r="D2109" s="59" t="s">
        <v>1665</v>
      </c>
      <c r="E2109" s="59" t="s">
        <v>1643</v>
      </c>
      <c r="F2109" s="59" t="s">
        <v>2624</v>
      </c>
      <c r="G2109" s="59" t="s">
        <v>1667</v>
      </c>
      <c r="H2109" s="58" t="s">
        <v>1672</v>
      </c>
      <c r="I2109" s="59" t="s">
        <v>1666</v>
      </c>
      <c r="J2109" t="str">
        <f t="shared" si="68"/>
        <v>10358301 - Uruguay-GAF</v>
      </c>
      <c r="K2109" t="str">
        <f t="shared" si="69"/>
        <v>Proyectos Inmobiliarios</v>
      </c>
    </row>
    <row r="2110" spans="1:11" x14ac:dyDescent="0.25">
      <c r="A2110" s="58">
        <v>10358505</v>
      </c>
      <c r="B2110" s="59" t="s">
        <v>2631</v>
      </c>
      <c r="C2110" s="59" t="s">
        <v>1670</v>
      </c>
      <c r="D2110" s="59" t="s">
        <v>66</v>
      </c>
      <c r="E2110" s="59" t="s">
        <v>328</v>
      </c>
      <c r="F2110" s="59" t="s">
        <v>2624</v>
      </c>
      <c r="G2110" s="59" t="s">
        <v>1661</v>
      </c>
      <c r="H2110" s="58" t="s">
        <v>1672</v>
      </c>
      <c r="I2110" s="59" t="s">
        <v>1666</v>
      </c>
      <c r="J2110" t="str">
        <f t="shared" si="68"/>
        <v>10358505 - Uruguay-PV Inmob.</v>
      </c>
      <c r="K2110" t="str">
        <f t="shared" si="69"/>
        <v>Postventa</v>
      </c>
    </row>
    <row r="2111" spans="1:11" x14ac:dyDescent="0.25">
      <c r="A2111" s="58">
        <v>10358506</v>
      </c>
      <c r="B2111" s="59" t="s">
        <v>2632</v>
      </c>
      <c r="C2111" s="59" t="s">
        <v>1670</v>
      </c>
      <c r="D2111" s="59" t="s">
        <v>1665</v>
      </c>
      <c r="E2111" s="59" t="s">
        <v>200</v>
      </c>
      <c r="F2111" s="59" t="s">
        <v>2624</v>
      </c>
      <c r="G2111" s="59" t="s">
        <v>1661</v>
      </c>
      <c r="H2111" s="58" t="s">
        <v>1672</v>
      </c>
      <c r="I2111" s="59" t="s">
        <v>1666</v>
      </c>
      <c r="J2111" t="str">
        <f t="shared" si="68"/>
        <v>10358506 - Uruguay-Depto.Técnico</v>
      </c>
      <c r="K2111" t="str">
        <f t="shared" si="69"/>
        <v>Proyectos Inmobiliarios</v>
      </c>
    </row>
    <row r="2112" spans="1:11" x14ac:dyDescent="0.25">
      <c r="A2112" s="54">
        <v>1141202</v>
      </c>
      <c r="B2112" s="55" t="s">
        <v>767</v>
      </c>
      <c r="C2112" s="55" t="s">
        <v>1670</v>
      </c>
      <c r="D2112" s="55" t="s">
        <v>1578</v>
      </c>
      <c r="E2112" s="55" t="s">
        <v>1578</v>
      </c>
      <c r="F2112" s="55" t="s">
        <v>479</v>
      </c>
      <c r="G2112" s="55" t="s">
        <v>1661</v>
      </c>
      <c r="H2112" s="54" t="s">
        <v>386</v>
      </c>
      <c r="I2112" s="55" t="s">
        <v>1662</v>
      </c>
      <c r="J2112" t="str">
        <f t="shared" si="68"/>
        <v>1141202 - Terreno Vicente Reyes 90 - Inversiones</v>
      </c>
      <c r="K2112" t="str">
        <f t="shared" si="69"/>
        <v>Terreno</v>
      </c>
    </row>
    <row r="2113" spans="1:11" x14ac:dyDescent="0.25">
      <c r="A2113" s="54">
        <v>263</v>
      </c>
      <c r="B2113" s="55" t="s">
        <v>479</v>
      </c>
      <c r="C2113" s="55" t="s">
        <v>1670</v>
      </c>
      <c r="D2113" s="55" t="s">
        <v>65</v>
      </c>
      <c r="E2113" s="55" t="s">
        <v>65</v>
      </c>
      <c r="F2113" s="55" t="s">
        <v>479</v>
      </c>
      <c r="G2113" s="55" t="s">
        <v>1663</v>
      </c>
      <c r="H2113" s="54" t="s">
        <v>386</v>
      </c>
      <c r="I2113" s="55" t="s">
        <v>1664</v>
      </c>
      <c r="J2113" t="str">
        <f t="shared" si="68"/>
        <v>263 - Vicente Reyes</v>
      </c>
      <c r="K2113" t="str">
        <f t="shared" si="69"/>
        <v>Obra</v>
      </c>
    </row>
    <row r="2114" spans="1:11" x14ac:dyDescent="0.25">
      <c r="A2114" s="54">
        <v>10263000</v>
      </c>
      <c r="B2114" s="55" t="s">
        <v>479</v>
      </c>
      <c r="C2114" s="55" t="s">
        <v>1670</v>
      </c>
      <c r="D2114" s="55" t="s">
        <v>1665</v>
      </c>
      <c r="E2114" s="55" t="s">
        <v>1585</v>
      </c>
      <c r="F2114" s="55" t="s">
        <v>479</v>
      </c>
      <c r="G2114" s="55" t="s">
        <v>1661</v>
      </c>
      <c r="H2114" s="54" t="s">
        <v>386</v>
      </c>
      <c r="I2114" s="55" t="s">
        <v>1666</v>
      </c>
      <c r="J2114" t="str">
        <f t="shared" si="68"/>
        <v>10263000 - Vicente Reyes</v>
      </c>
      <c r="K2114" t="str">
        <f t="shared" si="69"/>
        <v>Proyectos Inmobiliarios</v>
      </c>
    </row>
    <row r="2115" spans="1:11" x14ac:dyDescent="0.25">
      <c r="A2115" s="54">
        <v>10263102</v>
      </c>
      <c r="B2115" s="55" t="s">
        <v>1311</v>
      </c>
      <c r="C2115" s="55" t="s">
        <v>1670</v>
      </c>
      <c r="D2115" s="55" t="s">
        <v>1665</v>
      </c>
      <c r="E2115" s="55" t="s">
        <v>1617</v>
      </c>
      <c r="F2115" s="55" t="s">
        <v>479</v>
      </c>
      <c r="G2115" s="55" t="s">
        <v>1661</v>
      </c>
      <c r="H2115" s="54" t="s">
        <v>386</v>
      </c>
      <c r="I2115" s="55" t="s">
        <v>1666</v>
      </c>
      <c r="J2115" t="str">
        <f t="shared" si="68"/>
        <v>10263102 - Vicente Reyes-Marketing</v>
      </c>
      <c r="K2115" t="str">
        <f t="shared" si="69"/>
        <v>Proyectos Inmobiliarios</v>
      </c>
    </row>
    <row r="2116" spans="1:11" x14ac:dyDescent="0.25">
      <c r="A2116" s="54">
        <v>10263103</v>
      </c>
      <c r="B2116" s="55" t="s">
        <v>1312</v>
      </c>
      <c r="C2116" s="55" t="s">
        <v>1670</v>
      </c>
      <c r="D2116" s="55" t="s">
        <v>1665</v>
      </c>
      <c r="E2116" s="55" t="s">
        <v>1618</v>
      </c>
      <c r="F2116" s="55" t="s">
        <v>479</v>
      </c>
      <c r="G2116" s="55" t="s">
        <v>1661</v>
      </c>
      <c r="H2116" s="54" t="s">
        <v>386</v>
      </c>
      <c r="I2116" s="55" t="s">
        <v>1666</v>
      </c>
      <c r="J2116" t="str">
        <f t="shared" si="68"/>
        <v>10263103 - Vicente Reyes-Operaciones</v>
      </c>
      <c r="K2116" t="str">
        <f t="shared" si="69"/>
        <v>Proyectos Inmobiliarios</v>
      </c>
    </row>
    <row r="2117" spans="1:11" x14ac:dyDescent="0.25">
      <c r="A2117" s="54">
        <v>10263104</v>
      </c>
      <c r="B2117" s="55" t="s">
        <v>1313</v>
      </c>
      <c r="C2117" s="55" t="s">
        <v>1670</v>
      </c>
      <c r="D2117" s="55" t="s">
        <v>1665</v>
      </c>
      <c r="E2117" s="55" t="s">
        <v>90</v>
      </c>
      <c r="F2117" s="55" t="s">
        <v>479</v>
      </c>
      <c r="G2117" s="55" t="s">
        <v>1661</v>
      </c>
      <c r="H2117" s="54" t="s">
        <v>386</v>
      </c>
      <c r="I2117" s="55" t="s">
        <v>1666</v>
      </c>
      <c r="J2117" t="str">
        <f t="shared" si="68"/>
        <v>10263104 - Vicente Reyes-Ventas</v>
      </c>
      <c r="K2117" t="str">
        <f t="shared" si="69"/>
        <v>Proyectos Inmobiliarios</v>
      </c>
    </row>
    <row r="2118" spans="1:11" x14ac:dyDescent="0.25">
      <c r="A2118" s="54">
        <v>10263105</v>
      </c>
      <c r="B2118" s="55" t="s">
        <v>1314</v>
      </c>
      <c r="C2118" s="55" t="s">
        <v>1670</v>
      </c>
      <c r="D2118" s="55" t="s">
        <v>1665</v>
      </c>
      <c r="E2118" s="55" t="s">
        <v>1622</v>
      </c>
      <c r="F2118" s="55" t="s">
        <v>479</v>
      </c>
      <c r="G2118" s="55" t="s">
        <v>1661</v>
      </c>
      <c r="H2118" s="54" t="s">
        <v>386</v>
      </c>
      <c r="I2118" s="55" t="s">
        <v>1666</v>
      </c>
      <c r="J2118" t="str">
        <f t="shared" si="68"/>
        <v>10263105 - Vicente Reyes-Clientes</v>
      </c>
      <c r="K2118" t="str">
        <f t="shared" si="69"/>
        <v>Proyectos Inmobiliarios</v>
      </c>
    </row>
    <row r="2119" spans="1:11" x14ac:dyDescent="0.25">
      <c r="A2119" s="54">
        <v>10263204</v>
      </c>
      <c r="B2119" s="55" t="s">
        <v>1315</v>
      </c>
      <c r="C2119" s="55" t="s">
        <v>1670</v>
      </c>
      <c r="D2119" s="55" t="s">
        <v>1665</v>
      </c>
      <c r="E2119" s="55" t="s">
        <v>1624</v>
      </c>
      <c r="F2119" s="55" t="s">
        <v>479</v>
      </c>
      <c r="G2119" s="55" t="s">
        <v>1661</v>
      </c>
      <c r="H2119" s="54" t="s">
        <v>386</v>
      </c>
      <c r="I2119" s="55" t="s">
        <v>1666</v>
      </c>
      <c r="J2119" t="str">
        <f t="shared" si="68"/>
        <v>10263204 - Vicente Reyes-Proyecto</v>
      </c>
      <c r="K2119" t="str">
        <f t="shared" si="69"/>
        <v>Proyectos Inmobiliarios</v>
      </c>
    </row>
    <row r="2120" spans="1:11" x14ac:dyDescent="0.25">
      <c r="A2120" s="54">
        <v>10263301</v>
      </c>
      <c r="B2120" s="55" t="s">
        <v>1316</v>
      </c>
      <c r="C2120" s="55" t="s">
        <v>1670</v>
      </c>
      <c r="D2120" s="55" t="s">
        <v>1665</v>
      </c>
      <c r="E2120" s="55" t="s">
        <v>1643</v>
      </c>
      <c r="F2120" s="55" t="s">
        <v>479</v>
      </c>
      <c r="G2120" s="55" t="s">
        <v>1667</v>
      </c>
      <c r="H2120" s="54" t="s">
        <v>386</v>
      </c>
      <c r="I2120" s="55" t="s">
        <v>1666</v>
      </c>
      <c r="J2120" t="str">
        <f t="shared" si="68"/>
        <v>10263301 - Vicente Reyes-GAF</v>
      </c>
      <c r="K2120" t="str">
        <f t="shared" si="69"/>
        <v>Proyectos Inmobiliarios</v>
      </c>
    </row>
    <row r="2121" spans="1:11" x14ac:dyDescent="0.25">
      <c r="A2121" s="54">
        <v>10263505</v>
      </c>
      <c r="B2121" s="55" t="s">
        <v>1317</v>
      </c>
      <c r="C2121" s="55" t="s">
        <v>1670</v>
      </c>
      <c r="D2121" s="55" t="s">
        <v>66</v>
      </c>
      <c r="E2121" s="55" t="s">
        <v>328</v>
      </c>
      <c r="F2121" s="55" t="s">
        <v>479</v>
      </c>
      <c r="G2121" s="55" t="s">
        <v>1661</v>
      </c>
      <c r="H2121" s="54" t="s">
        <v>386</v>
      </c>
      <c r="I2121" s="55" t="s">
        <v>1666</v>
      </c>
      <c r="J2121" t="str">
        <f t="shared" si="68"/>
        <v>10263505 - Vicente Reyes-PV Inmob.</v>
      </c>
      <c r="K2121" t="str">
        <f t="shared" si="69"/>
        <v>Postventa</v>
      </c>
    </row>
    <row r="2122" spans="1:11" x14ac:dyDescent="0.25">
      <c r="A2122" s="54">
        <v>10263506</v>
      </c>
      <c r="B2122" s="55" t="s">
        <v>1318</v>
      </c>
      <c r="C2122" s="55" t="s">
        <v>1670</v>
      </c>
      <c r="D2122" s="55" t="s">
        <v>1665</v>
      </c>
      <c r="E2122" s="55" t="s">
        <v>200</v>
      </c>
      <c r="F2122" s="55" t="s">
        <v>479</v>
      </c>
      <c r="G2122" s="55" t="s">
        <v>1661</v>
      </c>
      <c r="H2122" s="54" t="s">
        <v>386</v>
      </c>
      <c r="I2122" s="55" t="s">
        <v>1666</v>
      </c>
      <c r="J2122" t="str">
        <f t="shared" si="68"/>
        <v>10263506 - Vicente Reyes-Depto.Técnico</v>
      </c>
      <c r="K2122" t="str">
        <f t="shared" si="69"/>
        <v>Proyectos Inmobiliarios</v>
      </c>
    </row>
    <row r="2123" spans="1:11" x14ac:dyDescent="0.25">
      <c r="A2123" s="54">
        <v>8263</v>
      </c>
      <c r="B2123" s="55" t="s">
        <v>2633</v>
      </c>
      <c r="C2123" s="55" t="s">
        <v>1670</v>
      </c>
      <c r="D2123" s="55" t="s">
        <v>1686</v>
      </c>
      <c r="E2123" s="55" t="s">
        <v>1501</v>
      </c>
      <c r="F2123" s="55" t="s">
        <v>479</v>
      </c>
      <c r="G2123" s="55" t="s">
        <v>1661</v>
      </c>
      <c r="H2123" s="54" t="s">
        <v>1672</v>
      </c>
      <c r="I2123" s="55" t="s">
        <v>1666</v>
      </c>
      <c r="J2123" t="str">
        <f t="shared" si="68"/>
        <v>8263 - Entrega Vicente Reyes</v>
      </c>
      <c r="K2123" t="str">
        <f t="shared" si="69"/>
        <v>Entrega</v>
      </c>
    </row>
    <row r="2124" spans="1:11" x14ac:dyDescent="0.25">
      <c r="A2124" s="54">
        <v>9263</v>
      </c>
      <c r="B2124" s="55" t="s">
        <v>2634</v>
      </c>
      <c r="C2124" s="55" t="s">
        <v>1670</v>
      </c>
      <c r="D2124" s="55" t="s">
        <v>66</v>
      </c>
      <c r="E2124" s="55" t="s">
        <v>328</v>
      </c>
      <c r="F2124" s="55" t="s">
        <v>479</v>
      </c>
      <c r="G2124" s="55" t="s">
        <v>1661</v>
      </c>
      <c r="H2124" s="54" t="s">
        <v>1672</v>
      </c>
      <c r="I2124" s="55" t="s">
        <v>1666</v>
      </c>
      <c r="J2124" t="str">
        <f t="shared" si="68"/>
        <v>9263 - PV Vicente Reyes</v>
      </c>
      <c r="K2124" t="str">
        <f t="shared" si="69"/>
        <v>Postventa</v>
      </c>
    </row>
    <row r="2125" spans="1:11" x14ac:dyDescent="0.25">
      <c r="A2125" s="50">
        <v>999999999</v>
      </c>
      <c r="B2125" s="51" t="s">
        <v>1684</v>
      </c>
      <c r="C2125" s="51"/>
      <c r="D2125" s="51" t="s">
        <v>1578</v>
      </c>
      <c r="E2125" s="51" t="s">
        <v>1578</v>
      </c>
      <c r="F2125" s="51" t="s">
        <v>2635</v>
      </c>
      <c r="G2125" s="51" t="s">
        <v>1661</v>
      </c>
      <c r="H2125" s="50" t="s">
        <v>1672</v>
      </c>
      <c r="I2125" s="51" t="s">
        <v>1662</v>
      </c>
      <c r="J2125" t="str">
        <f t="shared" si="68"/>
        <v>999999999 - Terreno Abuelo Proyectos sin Terreno</v>
      </c>
      <c r="K2125" t="str">
        <f t="shared" si="69"/>
        <v>Terreno</v>
      </c>
    </row>
    <row r="2126" spans="1:11" x14ac:dyDescent="0.25">
      <c r="A2126" s="50">
        <v>24</v>
      </c>
      <c r="B2126" s="51" t="s">
        <v>2636</v>
      </c>
      <c r="C2126" s="51" t="s">
        <v>1670</v>
      </c>
      <c r="D2126" s="51" t="s">
        <v>65</v>
      </c>
      <c r="E2126" s="51" t="s">
        <v>65</v>
      </c>
      <c r="F2126" s="51" t="s">
        <v>2635</v>
      </c>
      <c r="G2126" s="51" t="s">
        <v>1663</v>
      </c>
      <c r="H2126" s="50" t="s">
        <v>1672</v>
      </c>
      <c r="I2126" s="51" t="s">
        <v>1664</v>
      </c>
      <c r="J2126" t="str">
        <f t="shared" si="68"/>
        <v>24 - Los Olmos</v>
      </c>
      <c r="K2126" t="str">
        <f t="shared" si="69"/>
        <v>Obra</v>
      </c>
    </row>
    <row r="2127" spans="1:11" x14ac:dyDescent="0.25">
      <c r="A2127" s="50">
        <v>9024</v>
      </c>
      <c r="B2127" s="51" t="s">
        <v>573</v>
      </c>
      <c r="C2127" s="51" t="s">
        <v>1670</v>
      </c>
      <c r="D2127" s="51" t="s">
        <v>66</v>
      </c>
      <c r="E2127" s="51" t="s">
        <v>328</v>
      </c>
      <c r="F2127" s="51" t="s">
        <v>2635</v>
      </c>
      <c r="G2127" s="51" t="s">
        <v>1661</v>
      </c>
      <c r="H2127" s="50" t="s">
        <v>386</v>
      </c>
      <c r="I2127" s="51" t="s">
        <v>1666</v>
      </c>
      <c r="J2127" t="str">
        <f t="shared" si="68"/>
        <v>9024 - PV Los Olmos</v>
      </c>
      <c r="K2127" t="str">
        <f t="shared" si="69"/>
        <v>Postventa</v>
      </c>
    </row>
    <row r="2128" spans="1:11" x14ac:dyDescent="0.25">
      <c r="A2128" s="50">
        <v>10009000</v>
      </c>
      <c r="B2128" s="51" t="s">
        <v>2635</v>
      </c>
      <c r="C2128" s="51" t="s">
        <v>1670</v>
      </c>
      <c r="D2128" s="51" t="s">
        <v>1665</v>
      </c>
      <c r="E2128" s="51" t="s">
        <v>1585</v>
      </c>
      <c r="F2128" s="51" t="s">
        <v>2635</v>
      </c>
      <c r="G2128" s="51" t="s">
        <v>1667</v>
      </c>
      <c r="H2128" s="50" t="s">
        <v>1672</v>
      </c>
      <c r="I2128" s="51" t="s">
        <v>1666</v>
      </c>
      <c r="J2128" t="str">
        <f t="shared" si="68"/>
        <v>10009000 - Vista Andina</v>
      </c>
      <c r="K2128" t="str">
        <f t="shared" si="69"/>
        <v>Proyectos Inmobiliarios</v>
      </c>
    </row>
    <row r="2129" spans="1:11" x14ac:dyDescent="0.25">
      <c r="A2129" s="50">
        <v>10009102</v>
      </c>
      <c r="B2129" s="51" t="s">
        <v>2637</v>
      </c>
      <c r="C2129" s="51" t="s">
        <v>1670</v>
      </c>
      <c r="D2129" s="51" t="s">
        <v>1665</v>
      </c>
      <c r="E2129" s="51" t="s">
        <v>1617</v>
      </c>
      <c r="F2129" s="51" t="s">
        <v>2635</v>
      </c>
      <c r="G2129" s="51" t="s">
        <v>1661</v>
      </c>
      <c r="H2129" s="50" t="s">
        <v>1672</v>
      </c>
      <c r="I2129" s="51" t="s">
        <v>1666</v>
      </c>
      <c r="J2129" t="str">
        <f t="shared" si="68"/>
        <v>10009102 - Vista Andina-Marketing</v>
      </c>
      <c r="K2129" t="str">
        <f t="shared" si="69"/>
        <v>Proyectos Inmobiliarios</v>
      </c>
    </row>
    <row r="2130" spans="1:11" x14ac:dyDescent="0.25">
      <c r="A2130" s="50">
        <v>10009103</v>
      </c>
      <c r="B2130" s="51" t="s">
        <v>2638</v>
      </c>
      <c r="C2130" s="51" t="s">
        <v>1670</v>
      </c>
      <c r="D2130" s="51" t="s">
        <v>1665</v>
      </c>
      <c r="E2130" s="51" t="s">
        <v>1618</v>
      </c>
      <c r="F2130" s="51" t="s">
        <v>2635</v>
      </c>
      <c r="G2130" s="51" t="s">
        <v>1661</v>
      </c>
      <c r="H2130" s="50" t="s">
        <v>1672</v>
      </c>
      <c r="I2130" s="51" t="s">
        <v>1666</v>
      </c>
      <c r="J2130" t="str">
        <f t="shared" si="68"/>
        <v>10009103 - Vista Andina-Operaciones</v>
      </c>
      <c r="K2130" t="str">
        <f t="shared" si="69"/>
        <v>Proyectos Inmobiliarios</v>
      </c>
    </row>
    <row r="2131" spans="1:11" x14ac:dyDescent="0.25">
      <c r="A2131" s="50">
        <v>10009104</v>
      </c>
      <c r="B2131" s="51" t="s">
        <v>2639</v>
      </c>
      <c r="C2131" s="51" t="s">
        <v>1670</v>
      </c>
      <c r="D2131" s="51" t="s">
        <v>1665</v>
      </c>
      <c r="E2131" s="51" t="s">
        <v>90</v>
      </c>
      <c r="F2131" s="51" t="s">
        <v>2635</v>
      </c>
      <c r="G2131" s="51" t="s">
        <v>1661</v>
      </c>
      <c r="H2131" s="50" t="s">
        <v>1672</v>
      </c>
      <c r="I2131" s="51" t="s">
        <v>1666</v>
      </c>
      <c r="J2131" t="str">
        <f t="shared" si="68"/>
        <v>10009104 - Vista Andina-Ventas</v>
      </c>
      <c r="K2131" t="str">
        <f t="shared" si="69"/>
        <v>Proyectos Inmobiliarios</v>
      </c>
    </row>
    <row r="2132" spans="1:11" x14ac:dyDescent="0.25">
      <c r="A2132" s="50">
        <v>10009105</v>
      </c>
      <c r="B2132" s="51" t="s">
        <v>2640</v>
      </c>
      <c r="C2132" s="51" t="s">
        <v>1670</v>
      </c>
      <c r="D2132" s="51" t="s">
        <v>1665</v>
      </c>
      <c r="E2132" s="51" t="s">
        <v>1622</v>
      </c>
      <c r="F2132" s="51" t="s">
        <v>2635</v>
      </c>
      <c r="G2132" s="51" t="s">
        <v>1661</v>
      </c>
      <c r="H2132" s="50" t="s">
        <v>1672</v>
      </c>
      <c r="I2132" s="51" t="s">
        <v>1666</v>
      </c>
      <c r="J2132" t="str">
        <f t="shared" si="68"/>
        <v>10009105 - Vista Andina-Clientes</v>
      </c>
      <c r="K2132" t="str">
        <f t="shared" si="69"/>
        <v>Proyectos Inmobiliarios</v>
      </c>
    </row>
    <row r="2133" spans="1:11" x14ac:dyDescent="0.25">
      <c r="A2133" s="50">
        <v>10009204</v>
      </c>
      <c r="B2133" s="51" t="s">
        <v>2641</v>
      </c>
      <c r="C2133" s="51" t="s">
        <v>1670</v>
      </c>
      <c r="D2133" s="51" t="s">
        <v>1665</v>
      </c>
      <c r="E2133" s="51" t="s">
        <v>1624</v>
      </c>
      <c r="F2133" s="51" t="s">
        <v>2635</v>
      </c>
      <c r="G2133" s="51" t="s">
        <v>1661</v>
      </c>
      <c r="H2133" s="50" t="s">
        <v>1672</v>
      </c>
      <c r="I2133" s="51" t="s">
        <v>1666</v>
      </c>
      <c r="J2133" t="str">
        <f t="shared" ref="J2133:J2196" si="70">+A2133&amp;" - "&amp;B2133</f>
        <v>10009204 - Vista Andina-Proyecto</v>
      </c>
      <c r="K2133" t="str">
        <f t="shared" ref="K2133:K2196" si="71">+D2133</f>
        <v>Proyectos Inmobiliarios</v>
      </c>
    </row>
    <row r="2134" spans="1:11" x14ac:dyDescent="0.25">
      <c r="A2134" s="50">
        <v>10009301</v>
      </c>
      <c r="B2134" s="51" t="s">
        <v>2642</v>
      </c>
      <c r="C2134" s="51" t="s">
        <v>1670</v>
      </c>
      <c r="D2134" s="51" t="s">
        <v>1665</v>
      </c>
      <c r="E2134" s="51" t="s">
        <v>1643</v>
      </c>
      <c r="F2134" s="51" t="s">
        <v>2635</v>
      </c>
      <c r="G2134" s="51" t="s">
        <v>1667</v>
      </c>
      <c r="H2134" s="50" t="s">
        <v>1672</v>
      </c>
      <c r="I2134" s="51" t="s">
        <v>1666</v>
      </c>
      <c r="J2134" t="str">
        <f t="shared" si="70"/>
        <v>10009301 - Vista Andina-GAF</v>
      </c>
      <c r="K2134" t="str">
        <f t="shared" si="71"/>
        <v>Proyectos Inmobiliarios</v>
      </c>
    </row>
    <row r="2135" spans="1:11" x14ac:dyDescent="0.25">
      <c r="A2135" s="50">
        <v>10009505</v>
      </c>
      <c r="B2135" s="51" t="s">
        <v>2643</v>
      </c>
      <c r="C2135" s="51" t="s">
        <v>1670</v>
      </c>
      <c r="D2135" s="51" t="s">
        <v>66</v>
      </c>
      <c r="E2135" s="51" t="s">
        <v>328</v>
      </c>
      <c r="F2135" s="51" t="s">
        <v>2635</v>
      </c>
      <c r="G2135" s="51" t="s">
        <v>1661</v>
      </c>
      <c r="H2135" s="50" t="s">
        <v>1672</v>
      </c>
      <c r="I2135" s="51" t="s">
        <v>1666</v>
      </c>
      <c r="J2135" t="str">
        <f t="shared" si="70"/>
        <v>10009505 - Vista Andina-PV Inmob.</v>
      </c>
      <c r="K2135" t="str">
        <f t="shared" si="71"/>
        <v>Postventa</v>
      </c>
    </row>
    <row r="2136" spans="1:11" x14ac:dyDescent="0.25">
      <c r="A2136" s="50">
        <v>10009506</v>
      </c>
      <c r="B2136" s="51" t="s">
        <v>2644</v>
      </c>
      <c r="C2136" s="51" t="s">
        <v>1670</v>
      </c>
      <c r="D2136" s="51" t="s">
        <v>1665</v>
      </c>
      <c r="E2136" s="51" t="s">
        <v>200</v>
      </c>
      <c r="F2136" s="51" t="s">
        <v>2635</v>
      </c>
      <c r="G2136" s="51" t="s">
        <v>1661</v>
      </c>
      <c r="H2136" s="50" t="s">
        <v>1672</v>
      </c>
      <c r="I2136" s="51" t="s">
        <v>1666</v>
      </c>
      <c r="J2136" t="str">
        <f t="shared" si="70"/>
        <v>10009506 - Vista Andina-Depto.Técnico</v>
      </c>
      <c r="K2136" t="str">
        <f t="shared" si="71"/>
        <v>Proyectos Inmobiliarios</v>
      </c>
    </row>
    <row r="2137" spans="1:11" x14ac:dyDescent="0.25">
      <c r="A2137" s="106">
        <v>1001202</v>
      </c>
      <c r="B2137" s="107" t="s">
        <v>2645</v>
      </c>
      <c r="C2137" s="107" t="s">
        <v>1670</v>
      </c>
      <c r="D2137" s="107" t="s">
        <v>1578</v>
      </c>
      <c r="E2137" s="107" t="s">
        <v>1578</v>
      </c>
      <c r="F2137" s="107" t="s">
        <v>2646</v>
      </c>
      <c r="G2137" s="107" t="s">
        <v>1661</v>
      </c>
      <c r="H2137" s="106" t="s">
        <v>1672</v>
      </c>
      <c r="I2137" s="107" t="s">
        <v>1662</v>
      </c>
      <c r="J2137" t="str">
        <f t="shared" si="70"/>
        <v>1001202 - Terreno Coipue-Desarrollo</v>
      </c>
      <c r="K2137" t="str">
        <f t="shared" si="71"/>
        <v>Terreno</v>
      </c>
    </row>
    <row r="2138" spans="1:11" x14ac:dyDescent="0.25">
      <c r="A2138" s="106">
        <v>184</v>
      </c>
      <c r="B2138" s="107" t="s">
        <v>2647</v>
      </c>
      <c r="C2138" s="107" t="s">
        <v>1670</v>
      </c>
      <c r="D2138" s="107" t="s">
        <v>65</v>
      </c>
      <c r="E2138" s="107" t="s">
        <v>65</v>
      </c>
      <c r="F2138" s="107" t="s">
        <v>2646</v>
      </c>
      <c r="G2138" s="107" t="s">
        <v>1663</v>
      </c>
      <c r="H2138" s="106" t="s">
        <v>1672</v>
      </c>
      <c r="I2138" s="107" t="s">
        <v>1664</v>
      </c>
      <c r="J2138" t="str">
        <f t="shared" si="70"/>
        <v>184 - Vista Andina 2-SA</v>
      </c>
      <c r="K2138" t="str">
        <f t="shared" si="71"/>
        <v>Obra</v>
      </c>
    </row>
    <row r="2139" spans="1:11" x14ac:dyDescent="0.25">
      <c r="A2139" s="106">
        <v>9184</v>
      </c>
      <c r="B2139" s="107" t="s">
        <v>618</v>
      </c>
      <c r="C2139" s="107" t="s">
        <v>1670</v>
      </c>
      <c r="D2139" s="107" t="s">
        <v>66</v>
      </c>
      <c r="E2139" s="107" t="s">
        <v>328</v>
      </c>
      <c r="F2139" s="107" t="s">
        <v>2646</v>
      </c>
      <c r="G2139" s="107" t="s">
        <v>1661</v>
      </c>
      <c r="H2139" s="106" t="s">
        <v>386</v>
      </c>
      <c r="I2139" s="107" t="s">
        <v>1666</v>
      </c>
      <c r="J2139" t="str">
        <f t="shared" si="70"/>
        <v>9184 - PV Vista Andina II</v>
      </c>
      <c r="K2139" t="str">
        <f t="shared" si="71"/>
        <v>Postventa</v>
      </c>
    </row>
    <row r="2140" spans="1:11" x14ac:dyDescent="0.25">
      <c r="A2140" s="106">
        <v>10184000</v>
      </c>
      <c r="B2140" s="107" t="s">
        <v>2646</v>
      </c>
      <c r="C2140" s="107" t="s">
        <v>1670</v>
      </c>
      <c r="D2140" s="107" t="s">
        <v>1665</v>
      </c>
      <c r="E2140" s="107" t="s">
        <v>1585</v>
      </c>
      <c r="F2140" s="107" t="s">
        <v>2646</v>
      </c>
      <c r="G2140" s="107" t="s">
        <v>1661</v>
      </c>
      <c r="H2140" s="106" t="s">
        <v>1672</v>
      </c>
      <c r="I2140" s="107" t="s">
        <v>1666</v>
      </c>
      <c r="J2140" t="str">
        <f t="shared" si="70"/>
        <v>10184000 - Vista Andina II</v>
      </c>
      <c r="K2140" t="str">
        <f t="shared" si="71"/>
        <v>Proyectos Inmobiliarios</v>
      </c>
    </row>
    <row r="2141" spans="1:11" x14ac:dyDescent="0.25">
      <c r="A2141" s="106">
        <v>10184102</v>
      </c>
      <c r="B2141" s="107" t="s">
        <v>2648</v>
      </c>
      <c r="C2141" s="107" t="s">
        <v>1670</v>
      </c>
      <c r="D2141" s="107" t="s">
        <v>1665</v>
      </c>
      <c r="E2141" s="107" t="s">
        <v>1617</v>
      </c>
      <c r="F2141" s="107" t="s">
        <v>2646</v>
      </c>
      <c r="G2141" s="107" t="s">
        <v>1661</v>
      </c>
      <c r="H2141" s="106" t="s">
        <v>1672</v>
      </c>
      <c r="I2141" s="107" t="s">
        <v>1666</v>
      </c>
      <c r="J2141" t="str">
        <f t="shared" si="70"/>
        <v>10184102 - Vista Andina II-Marketing</v>
      </c>
      <c r="K2141" t="str">
        <f t="shared" si="71"/>
        <v>Proyectos Inmobiliarios</v>
      </c>
    </row>
    <row r="2142" spans="1:11" x14ac:dyDescent="0.25">
      <c r="A2142" s="106">
        <v>10184103</v>
      </c>
      <c r="B2142" s="107" t="s">
        <v>2649</v>
      </c>
      <c r="C2142" s="107" t="s">
        <v>1670</v>
      </c>
      <c r="D2142" s="107" t="s">
        <v>1665</v>
      </c>
      <c r="E2142" s="107" t="s">
        <v>1618</v>
      </c>
      <c r="F2142" s="107" t="s">
        <v>2646</v>
      </c>
      <c r="G2142" s="107" t="s">
        <v>1661</v>
      </c>
      <c r="H2142" s="106" t="s">
        <v>1672</v>
      </c>
      <c r="I2142" s="107" t="s">
        <v>1666</v>
      </c>
      <c r="J2142" t="str">
        <f t="shared" si="70"/>
        <v>10184103 - Vista Andina II-Operaciones</v>
      </c>
      <c r="K2142" t="str">
        <f t="shared" si="71"/>
        <v>Proyectos Inmobiliarios</v>
      </c>
    </row>
    <row r="2143" spans="1:11" x14ac:dyDescent="0.25">
      <c r="A2143" s="106">
        <v>10184104</v>
      </c>
      <c r="B2143" s="107" t="s">
        <v>2650</v>
      </c>
      <c r="C2143" s="107" t="s">
        <v>1670</v>
      </c>
      <c r="D2143" s="107" t="s">
        <v>1665</v>
      </c>
      <c r="E2143" s="107" t="s">
        <v>90</v>
      </c>
      <c r="F2143" s="107" t="s">
        <v>2646</v>
      </c>
      <c r="G2143" s="107" t="s">
        <v>1661</v>
      </c>
      <c r="H2143" s="106" t="s">
        <v>1672</v>
      </c>
      <c r="I2143" s="107" t="s">
        <v>1666</v>
      </c>
      <c r="J2143" t="str">
        <f t="shared" si="70"/>
        <v>10184104 - Vista Andina II-Ventas</v>
      </c>
      <c r="K2143" t="str">
        <f t="shared" si="71"/>
        <v>Proyectos Inmobiliarios</v>
      </c>
    </row>
    <row r="2144" spans="1:11" x14ac:dyDescent="0.25">
      <c r="A2144" s="106">
        <v>10184105</v>
      </c>
      <c r="B2144" s="107" t="s">
        <v>2651</v>
      </c>
      <c r="C2144" s="107" t="s">
        <v>1670</v>
      </c>
      <c r="D2144" s="107" t="s">
        <v>1665</v>
      </c>
      <c r="E2144" s="107" t="s">
        <v>1622</v>
      </c>
      <c r="F2144" s="107" t="s">
        <v>2646</v>
      </c>
      <c r="G2144" s="107" t="s">
        <v>1661</v>
      </c>
      <c r="H2144" s="106" t="s">
        <v>1672</v>
      </c>
      <c r="I2144" s="107" t="s">
        <v>1666</v>
      </c>
      <c r="J2144" t="str">
        <f t="shared" si="70"/>
        <v>10184105 - Vista Andina II-Clientes</v>
      </c>
      <c r="K2144" t="str">
        <f t="shared" si="71"/>
        <v>Proyectos Inmobiliarios</v>
      </c>
    </row>
    <row r="2145" spans="1:11" x14ac:dyDescent="0.25">
      <c r="A2145" s="106">
        <v>10184204</v>
      </c>
      <c r="B2145" s="107" t="s">
        <v>2652</v>
      </c>
      <c r="C2145" s="107" t="s">
        <v>1670</v>
      </c>
      <c r="D2145" s="107" t="s">
        <v>1665</v>
      </c>
      <c r="E2145" s="107" t="s">
        <v>1624</v>
      </c>
      <c r="F2145" s="107" t="s">
        <v>2646</v>
      </c>
      <c r="G2145" s="107" t="s">
        <v>1661</v>
      </c>
      <c r="H2145" s="106" t="s">
        <v>1672</v>
      </c>
      <c r="I2145" s="107" t="s">
        <v>1666</v>
      </c>
      <c r="J2145" t="str">
        <f t="shared" si="70"/>
        <v>10184204 - Vista Andina II-Proyecto</v>
      </c>
      <c r="K2145" t="str">
        <f t="shared" si="71"/>
        <v>Proyectos Inmobiliarios</v>
      </c>
    </row>
    <row r="2146" spans="1:11" x14ac:dyDescent="0.25">
      <c r="A2146" s="106">
        <v>10184301</v>
      </c>
      <c r="B2146" s="107" t="s">
        <v>2653</v>
      </c>
      <c r="C2146" s="107" t="s">
        <v>1670</v>
      </c>
      <c r="D2146" s="107" t="s">
        <v>1665</v>
      </c>
      <c r="E2146" s="107" t="s">
        <v>1643</v>
      </c>
      <c r="F2146" s="107" t="s">
        <v>2646</v>
      </c>
      <c r="G2146" s="107" t="s">
        <v>1667</v>
      </c>
      <c r="H2146" s="106" t="s">
        <v>1672</v>
      </c>
      <c r="I2146" s="107" t="s">
        <v>1666</v>
      </c>
      <c r="J2146" t="str">
        <f t="shared" si="70"/>
        <v>10184301 - Vista Andina II-GAF</v>
      </c>
      <c r="K2146" t="str">
        <f t="shared" si="71"/>
        <v>Proyectos Inmobiliarios</v>
      </c>
    </row>
    <row r="2147" spans="1:11" x14ac:dyDescent="0.25">
      <c r="A2147" s="106">
        <v>10184505</v>
      </c>
      <c r="B2147" s="107" t="s">
        <v>2654</v>
      </c>
      <c r="C2147" s="107" t="s">
        <v>1670</v>
      </c>
      <c r="D2147" s="107" t="s">
        <v>66</v>
      </c>
      <c r="E2147" s="107" t="s">
        <v>328</v>
      </c>
      <c r="F2147" s="107" t="s">
        <v>2646</v>
      </c>
      <c r="G2147" s="107" t="s">
        <v>1661</v>
      </c>
      <c r="H2147" s="106" t="s">
        <v>1672</v>
      </c>
      <c r="I2147" s="107" t="s">
        <v>1666</v>
      </c>
      <c r="J2147" t="str">
        <f t="shared" si="70"/>
        <v>10184505 - Vista Andina II-PV Inmob.</v>
      </c>
      <c r="K2147" t="str">
        <f t="shared" si="71"/>
        <v>Postventa</v>
      </c>
    </row>
    <row r="2148" spans="1:11" x14ac:dyDescent="0.25">
      <c r="A2148" s="106">
        <v>10184506</v>
      </c>
      <c r="B2148" s="107" t="s">
        <v>2655</v>
      </c>
      <c r="C2148" s="107" t="s">
        <v>1670</v>
      </c>
      <c r="D2148" s="107" t="s">
        <v>1665</v>
      </c>
      <c r="E2148" s="107" t="s">
        <v>200</v>
      </c>
      <c r="F2148" s="107" t="s">
        <v>2646</v>
      </c>
      <c r="G2148" s="107" t="s">
        <v>1661</v>
      </c>
      <c r="H2148" s="106" t="s">
        <v>1672</v>
      </c>
      <c r="I2148" s="107" t="s">
        <v>1666</v>
      </c>
      <c r="J2148" t="str">
        <f t="shared" si="70"/>
        <v>10184506 - Vista Andina II-Depto.Técnico</v>
      </c>
      <c r="K2148" t="str">
        <f t="shared" si="71"/>
        <v>Proyectos Inmobiliarios</v>
      </c>
    </row>
    <row r="2149" spans="1:11" x14ac:dyDescent="0.25">
      <c r="A2149" s="80">
        <v>1058202</v>
      </c>
      <c r="B2149" s="81" t="s">
        <v>2656</v>
      </c>
      <c r="C2149" s="81" t="s">
        <v>1660</v>
      </c>
      <c r="D2149" s="81" t="s">
        <v>1578</v>
      </c>
      <c r="E2149" s="81" t="s">
        <v>1578</v>
      </c>
      <c r="F2149" s="81" t="s">
        <v>842</v>
      </c>
      <c r="G2149" s="81" t="s">
        <v>1661</v>
      </c>
      <c r="H2149" s="80" t="s">
        <v>1672</v>
      </c>
      <c r="I2149" s="81" t="s">
        <v>1662</v>
      </c>
      <c r="J2149" t="str">
        <f t="shared" si="70"/>
        <v xml:space="preserve">1058202 - Terreno Hertz-Desarrollo </v>
      </c>
      <c r="K2149" t="str">
        <f t="shared" si="71"/>
        <v>Terreno</v>
      </c>
    </row>
    <row r="2150" spans="1:11" x14ac:dyDescent="0.25">
      <c r="A2150" s="80">
        <v>189</v>
      </c>
      <c r="B2150" s="81" t="s">
        <v>842</v>
      </c>
      <c r="C2150" s="81" t="s">
        <v>1660</v>
      </c>
      <c r="D2150" s="81" t="s">
        <v>65</v>
      </c>
      <c r="E2150" s="81" t="s">
        <v>65</v>
      </c>
      <c r="F2150" s="81" t="s">
        <v>842</v>
      </c>
      <c r="G2150" s="81" t="s">
        <v>1663</v>
      </c>
      <c r="H2150" s="80" t="s">
        <v>1672</v>
      </c>
      <c r="I2150" s="81" t="s">
        <v>1664</v>
      </c>
      <c r="J2150" t="str">
        <f t="shared" si="70"/>
        <v>189 - Vista Azul</v>
      </c>
      <c r="K2150" t="str">
        <f t="shared" si="71"/>
        <v>Obra</v>
      </c>
    </row>
    <row r="2151" spans="1:11" x14ac:dyDescent="0.25">
      <c r="A2151" s="80">
        <v>9189</v>
      </c>
      <c r="B2151" s="81" t="s">
        <v>621</v>
      </c>
      <c r="C2151" s="81" t="s">
        <v>1660</v>
      </c>
      <c r="D2151" s="81" t="s">
        <v>66</v>
      </c>
      <c r="E2151" s="81" t="s">
        <v>328</v>
      </c>
      <c r="F2151" s="81" t="s">
        <v>842</v>
      </c>
      <c r="G2151" s="81" t="s">
        <v>1661</v>
      </c>
      <c r="H2151" s="80" t="s">
        <v>386</v>
      </c>
      <c r="I2151" s="81" t="s">
        <v>1666</v>
      </c>
      <c r="J2151" t="str">
        <f t="shared" si="70"/>
        <v>9189 - PV Vista Azul</v>
      </c>
      <c r="K2151" t="str">
        <f t="shared" si="71"/>
        <v>Postventa</v>
      </c>
    </row>
    <row r="2152" spans="1:11" x14ac:dyDescent="0.25">
      <c r="A2152" s="80">
        <v>10189000</v>
      </c>
      <c r="B2152" s="81" t="s">
        <v>842</v>
      </c>
      <c r="C2152" s="81" t="s">
        <v>1660</v>
      </c>
      <c r="D2152" s="81" t="s">
        <v>1665</v>
      </c>
      <c r="E2152" s="81" t="s">
        <v>1585</v>
      </c>
      <c r="F2152" s="81" t="s">
        <v>842</v>
      </c>
      <c r="G2152" s="81" t="s">
        <v>1661</v>
      </c>
      <c r="H2152" s="80" t="s">
        <v>386</v>
      </c>
      <c r="I2152" s="81" t="s">
        <v>1666</v>
      </c>
      <c r="J2152" t="str">
        <f t="shared" si="70"/>
        <v>10189000 - Vista Azul</v>
      </c>
      <c r="K2152" t="str">
        <f t="shared" si="71"/>
        <v>Proyectos Inmobiliarios</v>
      </c>
    </row>
    <row r="2153" spans="1:11" x14ac:dyDescent="0.25">
      <c r="A2153" s="80">
        <v>10189102</v>
      </c>
      <c r="B2153" s="81" t="s">
        <v>843</v>
      </c>
      <c r="C2153" s="81" t="s">
        <v>1660</v>
      </c>
      <c r="D2153" s="81" t="s">
        <v>1665</v>
      </c>
      <c r="E2153" s="81" t="s">
        <v>1617</v>
      </c>
      <c r="F2153" s="81" t="s">
        <v>842</v>
      </c>
      <c r="G2153" s="81" t="s">
        <v>1661</v>
      </c>
      <c r="H2153" s="80" t="s">
        <v>386</v>
      </c>
      <c r="I2153" s="81" t="s">
        <v>1666</v>
      </c>
      <c r="J2153" t="str">
        <f t="shared" si="70"/>
        <v>10189102 - Vista Azul-Marketing</v>
      </c>
      <c r="K2153" t="str">
        <f t="shared" si="71"/>
        <v>Proyectos Inmobiliarios</v>
      </c>
    </row>
    <row r="2154" spans="1:11" x14ac:dyDescent="0.25">
      <c r="A2154" s="80">
        <v>10189103</v>
      </c>
      <c r="B2154" s="81" t="s">
        <v>844</v>
      </c>
      <c r="C2154" s="81" t="s">
        <v>1660</v>
      </c>
      <c r="D2154" s="81" t="s">
        <v>1665</v>
      </c>
      <c r="E2154" s="81" t="s">
        <v>1618</v>
      </c>
      <c r="F2154" s="81" t="s">
        <v>842</v>
      </c>
      <c r="G2154" s="81" t="s">
        <v>1661</v>
      </c>
      <c r="H2154" s="80" t="s">
        <v>386</v>
      </c>
      <c r="I2154" s="81" t="s">
        <v>1666</v>
      </c>
      <c r="J2154" t="str">
        <f t="shared" si="70"/>
        <v>10189103 - Vista Azul-Operaciones</v>
      </c>
      <c r="K2154" t="str">
        <f t="shared" si="71"/>
        <v>Proyectos Inmobiliarios</v>
      </c>
    </row>
    <row r="2155" spans="1:11" x14ac:dyDescent="0.25">
      <c r="A2155" s="80">
        <v>10189104</v>
      </c>
      <c r="B2155" s="81" t="s">
        <v>845</v>
      </c>
      <c r="C2155" s="81" t="s">
        <v>1660</v>
      </c>
      <c r="D2155" s="81" t="s">
        <v>1665</v>
      </c>
      <c r="E2155" s="81" t="s">
        <v>90</v>
      </c>
      <c r="F2155" s="81" t="s">
        <v>842</v>
      </c>
      <c r="G2155" s="81" t="s">
        <v>1661</v>
      </c>
      <c r="H2155" s="80" t="s">
        <v>386</v>
      </c>
      <c r="I2155" s="81" t="s">
        <v>1666</v>
      </c>
      <c r="J2155" t="str">
        <f t="shared" si="70"/>
        <v>10189104 - Vista Azul-Ventas</v>
      </c>
      <c r="K2155" t="str">
        <f t="shared" si="71"/>
        <v>Proyectos Inmobiliarios</v>
      </c>
    </row>
    <row r="2156" spans="1:11" x14ac:dyDescent="0.25">
      <c r="A2156" s="80">
        <v>10189105</v>
      </c>
      <c r="B2156" s="81" t="s">
        <v>846</v>
      </c>
      <c r="C2156" s="81" t="s">
        <v>1660</v>
      </c>
      <c r="D2156" s="81" t="s">
        <v>1665</v>
      </c>
      <c r="E2156" s="81" t="s">
        <v>1622</v>
      </c>
      <c r="F2156" s="81" t="s">
        <v>842</v>
      </c>
      <c r="G2156" s="81" t="s">
        <v>1661</v>
      </c>
      <c r="H2156" s="80" t="s">
        <v>386</v>
      </c>
      <c r="I2156" s="81" t="s">
        <v>1666</v>
      </c>
      <c r="J2156" t="str">
        <f t="shared" si="70"/>
        <v>10189105 - Vista Azul-Clientes</v>
      </c>
      <c r="K2156" t="str">
        <f t="shared" si="71"/>
        <v>Proyectos Inmobiliarios</v>
      </c>
    </row>
    <row r="2157" spans="1:11" x14ac:dyDescent="0.25">
      <c r="A2157" s="80">
        <v>10189204</v>
      </c>
      <c r="B2157" s="81" t="s">
        <v>847</v>
      </c>
      <c r="C2157" s="81" t="s">
        <v>1660</v>
      </c>
      <c r="D2157" s="81" t="s">
        <v>1665</v>
      </c>
      <c r="E2157" s="81" t="s">
        <v>1624</v>
      </c>
      <c r="F2157" s="81" t="s">
        <v>842</v>
      </c>
      <c r="G2157" s="81" t="s">
        <v>1661</v>
      </c>
      <c r="H2157" s="80" t="s">
        <v>386</v>
      </c>
      <c r="I2157" s="81" t="s">
        <v>1666</v>
      </c>
      <c r="J2157" t="str">
        <f t="shared" si="70"/>
        <v>10189204 - Vista Azul-Proyecto</v>
      </c>
      <c r="K2157" t="str">
        <f t="shared" si="71"/>
        <v>Proyectos Inmobiliarios</v>
      </c>
    </row>
    <row r="2158" spans="1:11" x14ac:dyDescent="0.25">
      <c r="A2158" s="80">
        <v>10189301</v>
      </c>
      <c r="B2158" s="81" t="s">
        <v>848</v>
      </c>
      <c r="C2158" s="81" t="s">
        <v>1660</v>
      </c>
      <c r="D2158" s="81" t="s">
        <v>1665</v>
      </c>
      <c r="E2158" s="81" t="s">
        <v>1643</v>
      </c>
      <c r="F2158" s="81" t="s">
        <v>842</v>
      </c>
      <c r="G2158" s="81" t="s">
        <v>1667</v>
      </c>
      <c r="H2158" s="80" t="s">
        <v>386</v>
      </c>
      <c r="I2158" s="81" t="s">
        <v>1666</v>
      </c>
      <c r="J2158" t="str">
        <f t="shared" si="70"/>
        <v>10189301 - Vista Azul-GAF</v>
      </c>
      <c r="K2158" t="str">
        <f t="shared" si="71"/>
        <v>Proyectos Inmobiliarios</v>
      </c>
    </row>
    <row r="2159" spans="1:11" x14ac:dyDescent="0.25">
      <c r="A2159" s="80">
        <v>10189505</v>
      </c>
      <c r="B2159" s="81" t="s">
        <v>849</v>
      </c>
      <c r="C2159" s="81" t="s">
        <v>1660</v>
      </c>
      <c r="D2159" s="81" t="s">
        <v>66</v>
      </c>
      <c r="E2159" s="81" t="s">
        <v>328</v>
      </c>
      <c r="F2159" s="81" t="s">
        <v>842</v>
      </c>
      <c r="G2159" s="81" t="s">
        <v>1661</v>
      </c>
      <c r="H2159" s="80" t="s">
        <v>386</v>
      </c>
      <c r="I2159" s="81" t="s">
        <v>1666</v>
      </c>
      <c r="J2159" t="str">
        <f t="shared" si="70"/>
        <v>10189505 - Vista Azul-PV Inmob.</v>
      </c>
      <c r="K2159" t="str">
        <f t="shared" si="71"/>
        <v>Postventa</v>
      </c>
    </row>
    <row r="2160" spans="1:11" x14ac:dyDescent="0.25">
      <c r="A2160" s="80">
        <v>10189506</v>
      </c>
      <c r="B2160" s="81" t="s">
        <v>850</v>
      </c>
      <c r="C2160" s="81" t="s">
        <v>1660</v>
      </c>
      <c r="D2160" s="81" t="s">
        <v>1665</v>
      </c>
      <c r="E2160" s="81" t="s">
        <v>200</v>
      </c>
      <c r="F2160" s="81" t="s">
        <v>842</v>
      </c>
      <c r="G2160" s="81" t="s">
        <v>1661</v>
      </c>
      <c r="H2160" s="80" t="s">
        <v>386</v>
      </c>
      <c r="I2160" s="81" t="s">
        <v>1666</v>
      </c>
      <c r="J2160" t="str">
        <f t="shared" si="70"/>
        <v>10189506 - Vista Azul-Depto.Técnico</v>
      </c>
      <c r="K2160" t="str">
        <f t="shared" si="71"/>
        <v>Proyectos Inmobiliarios</v>
      </c>
    </row>
    <row r="2161" spans="1:11" x14ac:dyDescent="0.25">
      <c r="A2161" s="56">
        <v>999999999</v>
      </c>
      <c r="B2161" s="57" t="s">
        <v>1684</v>
      </c>
      <c r="C2161" s="57"/>
      <c r="D2161" s="57" t="s">
        <v>1578</v>
      </c>
      <c r="E2161" s="57" t="s">
        <v>1578</v>
      </c>
      <c r="F2161" s="57" t="s">
        <v>2657</v>
      </c>
      <c r="G2161" s="57" t="s">
        <v>1661</v>
      </c>
      <c r="H2161" s="56" t="s">
        <v>1672</v>
      </c>
      <c r="I2161" s="57" t="s">
        <v>1662</v>
      </c>
      <c r="J2161" t="str">
        <f t="shared" si="70"/>
        <v>999999999 - Terreno Abuelo Proyectos sin Terreno</v>
      </c>
      <c r="K2161" t="str">
        <f t="shared" si="71"/>
        <v>Terreno</v>
      </c>
    </row>
    <row r="2162" spans="1:11" x14ac:dyDescent="0.25">
      <c r="A2162" s="56">
        <v>110</v>
      </c>
      <c r="B2162" s="57" t="s">
        <v>2657</v>
      </c>
      <c r="C2162" s="57" t="s">
        <v>1670</v>
      </c>
      <c r="D2162" s="57" t="s">
        <v>65</v>
      </c>
      <c r="E2162" s="57" t="s">
        <v>65</v>
      </c>
      <c r="F2162" s="57" t="s">
        <v>2657</v>
      </c>
      <c r="G2162" s="57" t="s">
        <v>1663</v>
      </c>
      <c r="H2162" s="56" t="s">
        <v>1672</v>
      </c>
      <c r="I2162" s="57" t="s">
        <v>1664</v>
      </c>
      <c r="J2162" t="str">
        <f t="shared" si="70"/>
        <v>110 - Vista del Parque</v>
      </c>
      <c r="K2162" t="str">
        <f t="shared" si="71"/>
        <v>Obra</v>
      </c>
    </row>
    <row r="2163" spans="1:11" x14ac:dyDescent="0.25">
      <c r="A2163" s="56">
        <v>9110</v>
      </c>
      <c r="B2163" s="57" t="s">
        <v>602</v>
      </c>
      <c r="C2163" s="57" t="s">
        <v>1670</v>
      </c>
      <c r="D2163" s="57" t="s">
        <v>66</v>
      </c>
      <c r="E2163" s="57" t="s">
        <v>328</v>
      </c>
      <c r="F2163" s="57" t="s">
        <v>2657</v>
      </c>
      <c r="G2163" s="57" t="s">
        <v>1661</v>
      </c>
      <c r="H2163" s="56" t="s">
        <v>386</v>
      </c>
      <c r="I2163" s="57" t="s">
        <v>1666</v>
      </c>
      <c r="J2163" t="str">
        <f t="shared" si="70"/>
        <v>9110 - PV Vista del Parque</v>
      </c>
      <c r="K2163" t="str">
        <f t="shared" si="71"/>
        <v>Postventa</v>
      </c>
    </row>
    <row r="2164" spans="1:11" x14ac:dyDescent="0.25">
      <c r="A2164" s="56">
        <v>10110000</v>
      </c>
      <c r="B2164" s="57" t="s">
        <v>2657</v>
      </c>
      <c r="C2164" s="57" t="s">
        <v>1670</v>
      </c>
      <c r="D2164" s="57" t="s">
        <v>1665</v>
      </c>
      <c r="E2164" s="57" t="s">
        <v>1585</v>
      </c>
      <c r="F2164" s="57" t="s">
        <v>2657</v>
      </c>
      <c r="G2164" s="57" t="s">
        <v>1661</v>
      </c>
      <c r="H2164" s="56" t="s">
        <v>1672</v>
      </c>
      <c r="I2164" s="57" t="s">
        <v>1666</v>
      </c>
      <c r="J2164" t="str">
        <f t="shared" si="70"/>
        <v>10110000 - Vista del Parque</v>
      </c>
      <c r="K2164" t="str">
        <f t="shared" si="71"/>
        <v>Proyectos Inmobiliarios</v>
      </c>
    </row>
    <row r="2165" spans="1:11" x14ac:dyDescent="0.25">
      <c r="A2165" s="56">
        <v>10110102</v>
      </c>
      <c r="B2165" s="57" t="s">
        <v>2658</v>
      </c>
      <c r="C2165" s="57" t="s">
        <v>1670</v>
      </c>
      <c r="D2165" s="57" t="s">
        <v>1665</v>
      </c>
      <c r="E2165" s="57" t="s">
        <v>1617</v>
      </c>
      <c r="F2165" s="57" t="s">
        <v>2657</v>
      </c>
      <c r="G2165" s="57" t="s">
        <v>1661</v>
      </c>
      <c r="H2165" s="56" t="s">
        <v>1672</v>
      </c>
      <c r="I2165" s="57" t="s">
        <v>1666</v>
      </c>
      <c r="J2165" t="str">
        <f t="shared" si="70"/>
        <v>10110102 - Vista del Parque-Marketing</v>
      </c>
      <c r="K2165" t="str">
        <f t="shared" si="71"/>
        <v>Proyectos Inmobiliarios</v>
      </c>
    </row>
    <row r="2166" spans="1:11" x14ac:dyDescent="0.25">
      <c r="A2166" s="56">
        <v>10110103</v>
      </c>
      <c r="B2166" s="57" t="s">
        <v>2659</v>
      </c>
      <c r="C2166" s="57" t="s">
        <v>1670</v>
      </c>
      <c r="D2166" s="57" t="s">
        <v>1665</v>
      </c>
      <c r="E2166" s="57" t="s">
        <v>1618</v>
      </c>
      <c r="F2166" s="57" t="s">
        <v>2657</v>
      </c>
      <c r="G2166" s="57" t="s">
        <v>1661</v>
      </c>
      <c r="H2166" s="56" t="s">
        <v>1672</v>
      </c>
      <c r="I2166" s="57" t="s">
        <v>1666</v>
      </c>
      <c r="J2166" t="str">
        <f t="shared" si="70"/>
        <v>10110103 - Vista del Parque-Operaciones</v>
      </c>
      <c r="K2166" t="str">
        <f t="shared" si="71"/>
        <v>Proyectos Inmobiliarios</v>
      </c>
    </row>
    <row r="2167" spans="1:11" x14ac:dyDescent="0.25">
      <c r="A2167" s="56">
        <v>10110104</v>
      </c>
      <c r="B2167" s="57" t="s">
        <v>2660</v>
      </c>
      <c r="C2167" s="57" t="s">
        <v>1670</v>
      </c>
      <c r="D2167" s="57" t="s">
        <v>1665</v>
      </c>
      <c r="E2167" s="57" t="s">
        <v>90</v>
      </c>
      <c r="F2167" s="57" t="s">
        <v>2657</v>
      </c>
      <c r="G2167" s="57" t="s">
        <v>1661</v>
      </c>
      <c r="H2167" s="56" t="s">
        <v>1672</v>
      </c>
      <c r="I2167" s="57" t="s">
        <v>1666</v>
      </c>
      <c r="J2167" t="str">
        <f t="shared" si="70"/>
        <v>10110104 - Vista del Parque-Ventas</v>
      </c>
      <c r="K2167" t="str">
        <f t="shared" si="71"/>
        <v>Proyectos Inmobiliarios</v>
      </c>
    </row>
    <row r="2168" spans="1:11" x14ac:dyDescent="0.25">
      <c r="A2168" s="56">
        <v>10110105</v>
      </c>
      <c r="B2168" s="57" t="s">
        <v>2661</v>
      </c>
      <c r="C2168" s="57" t="s">
        <v>1670</v>
      </c>
      <c r="D2168" s="57" t="s">
        <v>1665</v>
      </c>
      <c r="E2168" s="57" t="s">
        <v>1622</v>
      </c>
      <c r="F2168" s="57" t="s">
        <v>2657</v>
      </c>
      <c r="G2168" s="57" t="s">
        <v>1661</v>
      </c>
      <c r="H2168" s="56" t="s">
        <v>1672</v>
      </c>
      <c r="I2168" s="57" t="s">
        <v>1666</v>
      </c>
      <c r="J2168" t="str">
        <f t="shared" si="70"/>
        <v>10110105 - Vista del Parque-Clientes</v>
      </c>
      <c r="K2168" t="str">
        <f t="shared" si="71"/>
        <v>Proyectos Inmobiliarios</v>
      </c>
    </row>
    <row r="2169" spans="1:11" x14ac:dyDescent="0.25">
      <c r="A2169" s="56">
        <v>10110204</v>
      </c>
      <c r="B2169" s="57" t="s">
        <v>2662</v>
      </c>
      <c r="C2169" s="57" t="s">
        <v>1670</v>
      </c>
      <c r="D2169" s="57" t="s">
        <v>1665</v>
      </c>
      <c r="E2169" s="57" t="s">
        <v>1624</v>
      </c>
      <c r="F2169" s="57" t="s">
        <v>2657</v>
      </c>
      <c r="G2169" s="57" t="s">
        <v>1661</v>
      </c>
      <c r="H2169" s="56" t="s">
        <v>1672</v>
      </c>
      <c r="I2169" s="57" t="s">
        <v>1666</v>
      </c>
      <c r="J2169" t="str">
        <f t="shared" si="70"/>
        <v>10110204 - Vista del Parque-Proyecto</v>
      </c>
      <c r="K2169" t="str">
        <f t="shared" si="71"/>
        <v>Proyectos Inmobiliarios</v>
      </c>
    </row>
    <row r="2170" spans="1:11" x14ac:dyDescent="0.25">
      <c r="A2170" s="56">
        <v>10110301</v>
      </c>
      <c r="B2170" s="57" t="s">
        <v>2663</v>
      </c>
      <c r="C2170" s="57" t="s">
        <v>1670</v>
      </c>
      <c r="D2170" s="57" t="s">
        <v>1665</v>
      </c>
      <c r="E2170" s="57" t="s">
        <v>1643</v>
      </c>
      <c r="F2170" s="57" t="s">
        <v>2657</v>
      </c>
      <c r="G2170" s="57" t="s">
        <v>1667</v>
      </c>
      <c r="H2170" s="56" t="s">
        <v>1672</v>
      </c>
      <c r="I2170" s="57" t="s">
        <v>1666</v>
      </c>
      <c r="J2170" t="str">
        <f t="shared" si="70"/>
        <v>10110301 - Vista del Parque-GAF</v>
      </c>
      <c r="K2170" t="str">
        <f t="shared" si="71"/>
        <v>Proyectos Inmobiliarios</v>
      </c>
    </row>
    <row r="2171" spans="1:11" x14ac:dyDescent="0.25">
      <c r="A2171" s="56">
        <v>10110505</v>
      </c>
      <c r="B2171" s="57" t="s">
        <v>2664</v>
      </c>
      <c r="C2171" s="57" t="s">
        <v>1670</v>
      </c>
      <c r="D2171" s="57" t="s">
        <v>66</v>
      </c>
      <c r="E2171" s="57" t="s">
        <v>328</v>
      </c>
      <c r="F2171" s="57" t="s">
        <v>2657</v>
      </c>
      <c r="G2171" s="57" t="s">
        <v>1661</v>
      </c>
      <c r="H2171" s="56" t="s">
        <v>1672</v>
      </c>
      <c r="I2171" s="57" t="s">
        <v>1666</v>
      </c>
      <c r="J2171" t="str">
        <f t="shared" si="70"/>
        <v>10110505 - Vista del Parque-PV Inmob.</v>
      </c>
      <c r="K2171" t="str">
        <f t="shared" si="71"/>
        <v>Postventa</v>
      </c>
    </row>
    <row r="2172" spans="1:11" x14ac:dyDescent="0.25">
      <c r="A2172" s="56">
        <v>10110506</v>
      </c>
      <c r="B2172" s="57" t="s">
        <v>2665</v>
      </c>
      <c r="C2172" s="57" t="s">
        <v>1670</v>
      </c>
      <c r="D2172" s="57" t="s">
        <v>1665</v>
      </c>
      <c r="E2172" s="57" t="s">
        <v>200</v>
      </c>
      <c r="F2172" s="57" t="s">
        <v>2657</v>
      </c>
      <c r="G2172" s="57" t="s">
        <v>1661</v>
      </c>
      <c r="H2172" s="56" t="s">
        <v>1672</v>
      </c>
      <c r="I2172" s="57" t="s">
        <v>1666</v>
      </c>
      <c r="J2172" t="str">
        <f t="shared" si="70"/>
        <v>10110506 - Vista del Parque-Depto.Técnico</v>
      </c>
      <c r="K2172" t="str">
        <f t="shared" si="71"/>
        <v>Proyectos Inmobiliarios</v>
      </c>
    </row>
    <row r="2173" spans="1:11" x14ac:dyDescent="0.25">
      <c r="A2173" s="48">
        <v>999999999</v>
      </c>
      <c r="B2173" s="49" t="s">
        <v>1684</v>
      </c>
      <c r="C2173" s="49"/>
      <c r="D2173" s="49" t="s">
        <v>1578</v>
      </c>
      <c r="E2173" s="49" t="s">
        <v>1578</v>
      </c>
      <c r="F2173" s="49" t="s">
        <v>2666</v>
      </c>
      <c r="G2173" s="49" t="s">
        <v>1661</v>
      </c>
      <c r="H2173" s="48" t="s">
        <v>1672</v>
      </c>
      <c r="I2173" s="49" t="s">
        <v>1662</v>
      </c>
      <c r="J2173" t="str">
        <f t="shared" si="70"/>
        <v>999999999 - Terreno Abuelo Proyectos sin Terreno</v>
      </c>
      <c r="K2173" t="str">
        <f t="shared" si="71"/>
        <v>Terreno</v>
      </c>
    </row>
    <row r="2174" spans="1:11" x14ac:dyDescent="0.25">
      <c r="A2174" s="48">
        <v>53</v>
      </c>
      <c r="B2174" s="49" t="s">
        <v>2666</v>
      </c>
      <c r="C2174" s="49" t="s">
        <v>1685</v>
      </c>
      <c r="D2174" s="49" t="s">
        <v>65</v>
      </c>
      <c r="E2174" s="49" t="s">
        <v>65</v>
      </c>
      <c r="F2174" s="49" t="s">
        <v>2666</v>
      </c>
      <c r="G2174" s="49" t="s">
        <v>1663</v>
      </c>
      <c r="H2174" s="48" t="s">
        <v>1672</v>
      </c>
      <c r="I2174" s="49" t="s">
        <v>1664</v>
      </c>
      <c r="J2174" t="str">
        <f t="shared" si="70"/>
        <v>53 - Vista del Valle</v>
      </c>
      <c r="K2174" t="str">
        <f t="shared" si="71"/>
        <v>Obra</v>
      </c>
    </row>
    <row r="2175" spans="1:11" x14ac:dyDescent="0.25">
      <c r="A2175" s="48">
        <v>9053</v>
      </c>
      <c r="B2175" s="49" t="s">
        <v>598</v>
      </c>
      <c r="C2175" s="49" t="s">
        <v>1685</v>
      </c>
      <c r="D2175" s="49" t="s">
        <v>66</v>
      </c>
      <c r="E2175" s="49" t="s">
        <v>328</v>
      </c>
      <c r="F2175" s="49" t="s">
        <v>2666</v>
      </c>
      <c r="G2175" s="49" t="s">
        <v>1661</v>
      </c>
      <c r="H2175" s="48" t="s">
        <v>386</v>
      </c>
      <c r="I2175" s="49" t="s">
        <v>1666</v>
      </c>
      <c r="J2175" t="str">
        <f t="shared" si="70"/>
        <v>9053 - PV Vista del Valle          </v>
      </c>
      <c r="K2175" t="str">
        <f t="shared" si="71"/>
        <v>Postventa</v>
      </c>
    </row>
    <row r="2176" spans="1:11" x14ac:dyDescent="0.25">
      <c r="A2176" s="48">
        <v>10132000</v>
      </c>
      <c r="B2176" s="49" t="s">
        <v>2666</v>
      </c>
      <c r="C2176" s="49" t="s">
        <v>1685</v>
      </c>
      <c r="D2176" s="49" t="s">
        <v>1665</v>
      </c>
      <c r="E2176" s="49" t="s">
        <v>1585</v>
      </c>
      <c r="F2176" s="49" t="s">
        <v>2666</v>
      </c>
      <c r="G2176" s="49" t="s">
        <v>1661</v>
      </c>
      <c r="H2176" s="48" t="s">
        <v>1672</v>
      </c>
      <c r="I2176" s="49" t="s">
        <v>1666</v>
      </c>
      <c r="J2176" t="str">
        <f t="shared" si="70"/>
        <v>10132000 - Vista del Valle</v>
      </c>
      <c r="K2176" t="str">
        <f t="shared" si="71"/>
        <v>Proyectos Inmobiliarios</v>
      </c>
    </row>
    <row r="2177" spans="1:11" x14ac:dyDescent="0.25">
      <c r="A2177" s="48">
        <v>10132102</v>
      </c>
      <c r="B2177" s="49" t="s">
        <v>2667</v>
      </c>
      <c r="C2177" s="49" t="s">
        <v>1685</v>
      </c>
      <c r="D2177" s="49" t="s">
        <v>1665</v>
      </c>
      <c r="E2177" s="49" t="s">
        <v>1617</v>
      </c>
      <c r="F2177" s="49" t="s">
        <v>2666</v>
      </c>
      <c r="G2177" s="49" t="s">
        <v>1661</v>
      </c>
      <c r="H2177" s="48" t="s">
        <v>1672</v>
      </c>
      <c r="I2177" s="49" t="s">
        <v>1666</v>
      </c>
      <c r="J2177" t="str">
        <f t="shared" si="70"/>
        <v>10132102 - Vista del Valle-Marketing</v>
      </c>
      <c r="K2177" t="str">
        <f t="shared" si="71"/>
        <v>Proyectos Inmobiliarios</v>
      </c>
    </row>
    <row r="2178" spans="1:11" x14ac:dyDescent="0.25">
      <c r="A2178" s="48">
        <v>10132103</v>
      </c>
      <c r="B2178" s="49" t="s">
        <v>2668</v>
      </c>
      <c r="C2178" s="49" t="s">
        <v>1685</v>
      </c>
      <c r="D2178" s="49" t="s">
        <v>1665</v>
      </c>
      <c r="E2178" s="49" t="s">
        <v>1618</v>
      </c>
      <c r="F2178" s="49" t="s">
        <v>2666</v>
      </c>
      <c r="G2178" s="49" t="s">
        <v>1661</v>
      </c>
      <c r="H2178" s="48" t="s">
        <v>1672</v>
      </c>
      <c r="I2178" s="49" t="s">
        <v>1666</v>
      </c>
      <c r="J2178" t="str">
        <f t="shared" si="70"/>
        <v>10132103 - Vista del Valle-Operaciones</v>
      </c>
      <c r="K2178" t="str">
        <f t="shared" si="71"/>
        <v>Proyectos Inmobiliarios</v>
      </c>
    </row>
    <row r="2179" spans="1:11" x14ac:dyDescent="0.25">
      <c r="A2179" s="48">
        <v>10132104</v>
      </c>
      <c r="B2179" s="49" t="s">
        <v>2669</v>
      </c>
      <c r="C2179" s="49" t="s">
        <v>1685</v>
      </c>
      <c r="D2179" s="49" t="s">
        <v>1665</v>
      </c>
      <c r="E2179" s="49" t="s">
        <v>90</v>
      </c>
      <c r="F2179" s="49" t="s">
        <v>2666</v>
      </c>
      <c r="G2179" s="49" t="s">
        <v>1661</v>
      </c>
      <c r="H2179" s="48" t="s">
        <v>1672</v>
      </c>
      <c r="I2179" s="49" t="s">
        <v>1666</v>
      </c>
      <c r="J2179" t="str">
        <f t="shared" si="70"/>
        <v>10132104 - Vista del Valle-Ventas</v>
      </c>
      <c r="K2179" t="str">
        <f t="shared" si="71"/>
        <v>Proyectos Inmobiliarios</v>
      </c>
    </row>
    <row r="2180" spans="1:11" x14ac:dyDescent="0.25">
      <c r="A2180" s="48">
        <v>10132105</v>
      </c>
      <c r="B2180" s="49" t="s">
        <v>2670</v>
      </c>
      <c r="C2180" s="49" t="s">
        <v>1685</v>
      </c>
      <c r="D2180" s="49" t="s">
        <v>1665</v>
      </c>
      <c r="E2180" s="49" t="s">
        <v>1622</v>
      </c>
      <c r="F2180" s="49" t="s">
        <v>2666</v>
      </c>
      <c r="G2180" s="49" t="s">
        <v>1661</v>
      </c>
      <c r="H2180" s="48" t="s">
        <v>1672</v>
      </c>
      <c r="I2180" s="49" t="s">
        <v>1666</v>
      </c>
      <c r="J2180" t="str">
        <f t="shared" si="70"/>
        <v>10132105 - Vista del Valle-Clientes</v>
      </c>
      <c r="K2180" t="str">
        <f t="shared" si="71"/>
        <v>Proyectos Inmobiliarios</v>
      </c>
    </row>
    <row r="2181" spans="1:11" x14ac:dyDescent="0.25">
      <c r="A2181" s="48">
        <v>10132205</v>
      </c>
      <c r="B2181" s="49" t="s">
        <v>2671</v>
      </c>
      <c r="C2181" s="49" t="s">
        <v>1685</v>
      </c>
      <c r="D2181" s="49" t="s">
        <v>1665</v>
      </c>
      <c r="E2181" s="49" t="s">
        <v>1624</v>
      </c>
      <c r="F2181" s="49" t="s">
        <v>2666</v>
      </c>
      <c r="G2181" s="49" t="s">
        <v>1661</v>
      </c>
      <c r="H2181" s="48" t="s">
        <v>1672</v>
      </c>
      <c r="I2181" s="49" t="s">
        <v>1666</v>
      </c>
      <c r="J2181" t="str">
        <f t="shared" si="70"/>
        <v>10132205 - Vista del Valle-Proyecto</v>
      </c>
      <c r="K2181" t="str">
        <f t="shared" si="71"/>
        <v>Proyectos Inmobiliarios</v>
      </c>
    </row>
    <row r="2182" spans="1:11" x14ac:dyDescent="0.25">
      <c r="A2182" s="48">
        <v>10132301</v>
      </c>
      <c r="B2182" s="49" t="s">
        <v>2672</v>
      </c>
      <c r="C2182" s="49" t="s">
        <v>1685</v>
      </c>
      <c r="D2182" s="49" t="s">
        <v>1665</v>
      </c>
      <c r="E2182" s="49" t="s">
        <v>1643</v>
      </c>
      <c r="F2182" s="49" t="s">
        <v>2666</v>
      </c>
      <c r="G2182" s="49" t="s">
        <v>1667</v>
      </c>
      <c r="H2182" s="48" t="s">
        <v>1672</v>
      </c>
      <c r="I2182" s="49" t="s">
        <v>1666</v>
      </c>
      <c r="J2182" t="str">
        <f t="shared" si="70"/>
        <v>10132301 - Vista del Valle-GAF</v>
      </c>
      <c r="K2182" t="str">
        <f t="shared" si="71"/>
        <v>Proyectos Inmobiliarios</v>
      </c>
    </row>
    <row r="2183" spans="1:11" x14ac:dyDescent="0.25">
      <c r="A2183" s="48">
        <v>10132505</v>
      </c>
      <c r="B2183" s="49" t="s">
        <v>2673</v>
      </c>
      <c r="C2183" s="49" t="s">
        <v>1685</v>
      </c>
      <c r="D2183" s="49" t="s">
        <v>66</v>
      </c>
      <c r="E2183" s="49" t="s">
        <v>328</v>
      </c>
      <c r="F2183" s="49" t="s">
        <v>2666</v>
      </c>
      <c r="G2183" s="49" t="s">
        <v>1661</v>
      </c>
      <c r="H2183" s="48" t="s">
        <v>1672</v>
      </c>
      <c r="I2183" s="49" t="s">
        <v>1666</v>
      </c>
      <c r="J2183" t="str">
        <f t="shared" si="70"/>
        <v>10132505 - Vista del Valle-PV Inmob.</v>
      </c>
      <c r="K2183" t="str">
        <f t="shared" si="71"/>
        <v>Postventa</v>
      </c>
    </row>
    <row r="2184" spans="1:11" x14ac:dyDescent="0.25">
      <c r="A2184" s="48">
        <v>10132506</v>
      </c>
      <c r="B2184" s="49" t="s">
        <v>2674</v>
      </c>
      <c r="C2184" s="49" t="s">
        <v>1685</v>
      </c>
      <c r="D2184" s="49" t="s">
        <v>1665</v>
      </c>
      <c r="E2184" s="49" t="s">
        <v>200</v>
      </c>
      <c r="F2184" s="49" t="s">
        <v>2666</v>
      </c>
      <c r="G2184" s="49" t="s">
        <v>1661</v>
      </c>
      <c r="H2184" s="48" t="s">
        <v>1672</v>
      </c>
      <c r="I2184" s="49" t="s">
        <v>1666</v>
      </c>
      <c r="J2184" t="str">
        <f t="shared" si="70"/>
        <v>10132506 - Vista del Valle-Depto.Técnico</v>
      </c>
      <c r="K2184" t="str">
        <f t="shared" si="71"/>
        <v>Proyectos Inmobiliarios</v>
      </c>
    </row>
    <row r="2185" spans="1:11" x14ac:dyDescent="0.25">
      <c r="A2185" s="58">
        <v>999999999</v>
      </c>
      <c r="B2185" s="59" t="s">
        <v>1684</v>
      </c>
      <c r="C2185" s="59"/>
      <c r="D2185" s="59" t="s">
        <v>1578</v>
      </c>
      <c r="E2185" s="59" t="s">
        <v>1578</v>
      </c>
      <c r="F2185" s="59" t="s">
        <v>798</v>
      </c>
      <c r="G2185" s="59" t="s">
        <v>1661</v>
      </c>
      <c r="H2185" s="58" t="s">
        <v>1672</v>
      </c>
      <c r="I2185" s="59" t="s">
        <v>1662</v>
      </c>
      <c r="J2185" t="str">
        <f t="shared" si="70"/>
        <v>999999999 - Terreno Abuelo Proyectos sin Terreno</v>
      </c>
      <c r="K2185" t="str">
        <f t="shared" si="71"/>
        <v>Terreno</v>
      </c>
    </row>
    <row r="2186" spans="1:11" x14ac:dyDescent="0.25">
      <c r="A2186" s="58">
        <v>133</v>
      </c>
      <c r="B2186" s="59" t="s">
        <v>798</v>
      </c>
      <c r="C2186" s="59" t="s">
        <v>1685</v>
      </c>
      <c r="D2186" s="59" t="s">
        <v>65</v>
      </c>
      <c r="E2186" s="59" t="s">
        <v>65</v>
      </c>
      <c r="F2186" s="59" t="s">
        <v>798</v>
      </c>
      <c r="G2186" s="59" t="s">
        <v>1663</v>
      </c>
      <c r="H2186" s="58" t="s">
        <v>1672</v>
      </c>
      <c r="I2186" s="59" t="s">
        <v>1664</v>
      </c>
      <c r="J2186" t="str">
        <f t="shared" si="70"/>
        <v>133 - Vista del Valle II Edificio A</v>
      </c>
      <c r="K2186" t="str">
        <f t="shared" si="71"/>
        <v>Obra</v>
      </c>
    </row>
    <row r="2187" spans="1:11" x14ac:dyDescent="0.25">
      <c r="A2187" s="58">
        <v>9133</v>
      </c>
      <c r="B2187" s="59" t="s">
        <v>608</v>
      </c>
      <c r="C2187" s="59" t="s">
        <v>1685</v>
      </c>
      <c r="D2187" s="59" t="s">
        <v>66</v>
      </c>
      <c r="E2187" s="59" t="s">
        <v>328</v>
      </c>
      <c r="F2187" s="59" t="s">
        <v>798</v>
      </c>
      <c r="G2187" s="59" t="s">
        <v>1661</v>
      </c>
      <c r="H2187" s="58" t="s">
        <v>386</v>
      </c>
      <c r="I2187" s="59" t="s">
        <v>1666</v>
      </c>
      <c r="J2187" t="str">
        <f t="shared" si="70"/>
        <v>9133 - PV Vista del Valle II Edificio A</v>
      </c>
      <c r="K2187" t="str">
        <f t="shared" si="71"/>
        <v>Postventa</v>
      </c>
    </row>
    <row r="2188" spans="1:11" x14ac:dyDescent="0.25">
      <c r="A2188" s="58">
        <v>10133000</v>
      </c>
      <c r="B2188" s="59" t="s">
        <v>798</v>
      </c>
      <c r="C2188" s="59" t="s">
        <v>1685</v>
      </c>
      <c r="D2188" s="59" t="s">
        <v>1665</v>
      </c>
      <c r="E2188" s="59" t="s">
        <v>1585</v>
      </c>
      <c r="F2188" s="59" t="s">
        <v>798</v>
      </c>
      <c r="G2188" s="59" t="s">
        <v>1661</v>
      </c>
      <c r="H2188" s="58" t="s">
        <v>386</v>
      </c>
      <c r="I2188" s="59" t="s">
        <v>1666</v>
      </c>
      <c r="J2188" t="str">
        <f t="shared" si="70"/>
        <v>10133000 - Vista del Valle II Edificio A</v>
      </c>
      <c r="K2188" t="str">
        <f t="shared" si="71"/>
        <v>Proyectos Inmobiliarios</v>
      </c>
    </row>
    <row r="2189" spans="1:11" x14ac:dyDescent="0.25">
      <c r="A2189" s="58">
        <v>10133102</v>
      </c>
      <c r="B2189" s="59" t="s">
        <v>799</v>
      </c>
      <c r="C2189" s="59" t="s">
        <v>1685</v>
      </c>
      <c r="D2189" s="59" t="s">
        <v>1665</v>
      </c>
      <c r="E2189" s="59" t="s">
        <v>1617</v>
      </c>
      <c r="F2189" s="59" t="s">
        <v>798</v>
      </c>
      <c r="G2189" s="59" t="s">
        <v>1661</v>
      </c>
      <c r="H2189" s="58" t="s">
        <v>386</v>
      </c>
      <c r="I2189" s="59" t="s">
        <v>1666</v>
      </c>
      <c r="J2189" t="str">
        <f t="shared" si="70"/>
        <v>10133102 - Vista del Valle II Edificio A-Marketing</v>
      </c>
      <c r="K2189" t="str">
        <f t="shared" si="71"/>
        <v>Proyectos Inmobiliarios</v>
      </c>
    </row>
    <row r="2190" spans="1:11" x14ac:dyDescent="0.25">
      <c r="A2190" s="58">
        <v>10133103</v>
      </c>
      <c r="B2190" s="59" t="s">
        <v>800</v>
      </c>
      <c r="C2190" s="59" t="s">
        <v>1685</v>
      </c>
      <c r="D2190" s="59" t="s">
        <v>1665</v>
      </c>
      <c r="E2190" s="59" t="s">
        <v>1618</v>
      </c>
      <c r="F2190" s="59" t="s">
        <v>798</v>
      </c>
      <c r="G2190" s="59" t="s">
        <v>1661</v>
      </c>
      <c r="H2190" s="58" t="s">
        <v>386</v>
      </c>
      <c r="I2190" s="59" t="s">
        <v>1666</v>
      </c>
      <c r="J2190" t="str">
        <f t="shared" si="70"/>
        <v>10133103 - Vista del Valle II Edificio A-Operaciones</v>
      </c>
      <c r="K2190" t="str">
        <f t="shared" si="71"/>
        <v>Proyectos Inmobiliarios</v>
      </c>
    </row>
    <row r="2191" spans="1:11" x14ac:dyDescent="0.25">
      <c r="A2191" s="58">
        <v>10133104</v>
      </c>
      <c r="B2191" s="59" t="s">
        <v>801</v>
      </c>
      <c r="C2191" s="59" t="s">
        <v>1685</v>
      </c>
      <c r="D2191" s="59" t="s">
        <v>1665</v>
      </c>
      <c r="E2191" s="59" t="s">
        <v>90</v>
      </c>
      <c r="F2191" s="59" t="s">
        <v>798</v>
      </c>
      <c r="G2191" s="59" t="s">
        <v>1661</v>
      </c>
      <c r="H2191" s="58" t="s">
        <v>386</v>
      </c>
      <c r="I2191" s="59" t="s">
        <v>1666</v>
      </c>
      <c r="J2191" t="str">
        <f t="shared" si="70"/>
        <v>10133104 - Vista del Valle II Edificio A-Ventas</v>
      </c>
      <c r="K2191" t="str">
        <f t="shared" si="71"/>
        <v>Proyectos Inmobiliarios</v>
      </c>
    </row>
    <row r="2192" spans="1:11" x14ac:dyDescent="0.25">
      <c r="A2192" s="58">
        <v>10133105</v>
      </c>
      <c r="B2192" s="59" t="s">
        <v>802</v>
      </c>
      <c r="C2192" s="59" t="s">
        <v>1685</v>
      </c>
      <c r="D2192" s="59" t="s">
        <v>1665</v>
      </c>
      <c r="E2192" s="59" t="s">
        <v>1622</v>
      </c>
      <c r="F2192" s="59" t="s">
        <v>798</v>
      </c>
      <c r="G2192" s="59" t="s">
        <v>1661</v>
      </c>
      <c r="H2192" s="58" t="s">
        <v>386</v>
      </c>
      <c r="I2192" s="59" t="s">
        <v>1666</v>
      </c>
      <c r="J2192" t="str">
        <f t="shared" si="70"/>
        <v>10133105 - Vista del Valle II Edificio A-Clientes</v>
      </c>
      <c r="K2192" t="str">
        <f t="shared" si="71"/>
        <v>Proyectos Inmobiliarios</v>
      </c>
    </row>
    <row r="2193" spans="1:11" x14ac:dyDescent="0.25">
      <c r="A2193" s="58">
        <v>10133205</v>
      </c>
      <c r="B2193" s="59" t="s">
        <v>803</v>
      </c>
      <c r="C2193" s="59" t="s">
        <v>1685</v>
      </c>
      <c r="D2193" s="59" t="s">
        <v>1665</v>
      </c>
      <c r="E2193" s="59" t="s">
        <v>1624</v>
      </c>
      <c r="F2193" s="59" t="s">
        <v>798</v>
      </c>
      <c r="G2193" s="59" t="s">
        <v>1661</v>
      </c>
      <c r="H2193" s="58" t="s">
        <v>386</v>
      </c>
      <c r="I2193" s="59" t="s">
        <v>1666</v>
      </c>
      <c r="J2193" t="str">
        <f t="shared" si="70"/>
        <v>10133205 - Vista del Valle II Edificio A-Proyecto</v>
      </c>
      <c r="K2193" t="str">
        <f t="shared" si="71"/>
        <v>Proyectos Inmobiliarios</v>
      </c>
    </row>
    <row r="2194" spans="1:11" x14ac:dyDescent="0.25">
      <c r="A2194" s="58">
        <v>10133301</v>
      </c>
      <c r="B2194" s="59" t="s">
        <v>804</v>
      </c>
      <c r="C2194" s="59" t="s">
        <v>1685</v>
      </c>
      <c r="D2194" s="59" t="s">
        <v>1665</v>
      </c>
      <c r="E2194" s="59" t="s">
        <v>1643</v>
      </c>
      <c r="F2194" s="59" t="s">
        <v>798</v>
      </c>
      <c r="G2194" s="59" t="s">
        <v>1667</v>
      </c>
      <c r="H2194" s="58" t="s">
        <v>386</v>
      </c>
      <c r="I2194" s="59" t="s">
        <v>1666</v>
      </c>
      <c r="J2194" t="str">
        <f t="shared" si="70"/>
        <v>10133301 - Vista del Valle II Edificio A-GAF</v>
      </c>
      <c r="K2194" t="str">
        <f t="shared" si="71"/>
        <v>Proyectos Inmobiliarios</v>
      </c>
    </row>
    <row r="2195" spans="1:11" x14ac:dyDescent="0.25">
      <c r="A2195" s="58">
        <v>10133505</v>
      </c>
      <c r="B2195" s="59" t="s">
        <v>805</v>
      </c>
      <c r="C2195" s="59" t="s">
        <v>1685</v>
      </c>
      <c r="D2195" s="59" t="s">
        <v>66</v>
      </c>
      <c r="E2195" s="59" t="s">
        <v>328</v>
      </c>
      <c r="F2195" s="59" t="s">
        <v>798</v>
      </c>
      <c r="G2195" s="59" t="s">
        <v>1661</v>
      </c>
      <c r="H2195" s="58" t="s">
        <v>386</v>
      </c>
      <c r="I2195" s="59" t="s">
        <v>1666</v>
      </c>
      <c r="J2195" t="str">
        <f t="shared" si="70"/>
        <v>10133505 - Vista del Valle II Edificio A-PV Inmob.</v>
      </c>
      <c r="K2195" t="str">
        <f t="shared" si="71"/>
        <v>Postventa</v>
      </c>
    </row>
    <row r="2196" spans="1:11" x14ac:dyDescent="0.25">
      <c r="A2196" s="58">
        <v>10133506</v>
      </c>
      <c r="B2196" s="59" t="s">
        <v>806</v>
      </c>
      <c r="C2196" s="59" t="s">
        <v>1685</v>
      </c>
      <c r="D2196" s="59" t="s">
        <v>1665</v>
      </c>
      <c r="E2196" s="59" t="s">
        <v>200</v>
      </c>
      <c r="F2196" s="59" t="s">
        <v>798</v>
      </c>
      <c r="G2196" s="59" t="s">
        <v>1661</v>
      </c>
      <c r="H2196" s="58" t="s">
        <v>386</v>
      </c>
      <c r="I2196" s="59" t="s">
        <v>1666</v>
      </c>
      <c r="J2196" t="str">
        <f t="shared" si="70"/>
        <v>10133506 - Vista del Valle II Edificio A-Depto.Técnico</v>
      </c>
      <c r="K2196" t="str">
        <f t="shared" si="71"/>
        <v>Proyectos Inmobiliarios</v>
      </c>
    </row>
    <row r="2197" spans="1:11" x14ac:dyDescent="0.25">
      <c r="A2197" s="50">
        <v>999999999</v>
      </c>
      <c r="B2197" s="51" t="s">
        <v>1684</v>
      </c>
      <c r="C2197" s="51"/>
      <c r="D2197" s="51" t="s">
        <v>1578</v>
      </c>
      <c r="E2197" s="51" t="s">
        <v>1578</v>
      </c>
      <c r="F2197" s="51" t="s">
        <v>952</v>
      </c>
      <c r="G2197" s="51" t="s">
        <v>1661</v>
      </c>
      <c r="H2197" s="50" t="s">
        <v>1672</v>
      </c>
      <c r="I2197" s="51" t="s">
        <v>1662</v>
      </c>
      <c r="J2197" t="str">
        <f t="shared" ref="J2197:J2260" si="72">+A2197&amp;" - "&amp;B2197</f>
        <v>999999999 - Terreno Abuelo Proyectos sin Terreno</v>
      </c>
      <c r="K2197" t="str">
        <f t="shared" ref="K2197:K2260" si="73">+D2197</f>
        <v>Terreno</v>
      </c>
    </row>
    <row r="2198" spans="1:11" x14ac:dyDescent="0.25">
      <c r="A2198" s="50">
        <v>211</v>
      </c>
      <c r="B2198" s="51" t="s">
        <v>952</v>
      </c>
      <c r="C2198" s="51" t="s">
        <v>1685</v>
      </c>
      <c r="D2198" s="51" t="s">
        <v>65</v>
      </c>
      <c r="E2198" s="51" t="s">
        <v>65</v>
      </c>
      <c r="F2198" s="51" t="s">
        <v>952</v>
      </c>
      <c r="G2198" s="51" t="s">
        <v>1663</v>
      </c>
      <c r="H2198" s="50" t="s">
        <v>1672</v>
      </c>
      <c r="I2198" s="51" t="s">
        <v>1664</v>
      </c>
      <c r="J2198" t="str">
        <f t="shared" si="72"/>
        <v>211 - Vista del Valle II Edificio B</v>
      </c>
      <c r="K2198" t="str">
        <f t="shared" si="73"/>
        <v>Obra</v>
      </c>
    </row>
    <row r="2199" spans="1:11" x14ac:dyDescent="0.25">
      <c r="A2199" s="50">
        <v>8211</v>
      </c>
      <c r="B2199" s="51" t="s">
        <v>511</v>
      </c>
      <c r="C2199" s="51" t="s">
        <v>1685</v>
      </c>
      <c r="D2199" s="51" t="s">
        <v>1686</v>
      </c>
      <c r="E2199" s="51" t="s">
        <v>1501</v>
      </c>
      <c r="F2199" s="51" t="s">
        <v>952</v>
      </c>
      <c r="G2199" s="51" t="s">
        <v>1661</v>
      </c>
      <c r="H2199" s="50" t="s">
        <v>386</v>
      </c>
      <c r="I2199" s="51" t="s">
        <v>1666</v>
      </c>
      <c r="J2199" t="str">
        <f t="shared" si="72"/>
        <v>8211 - Entrega Vista del Valle II Edificio B</v>
      </c>
      <c r="K2199" t="str">
        <f t="shared" si="73"/>
        <v>Entrega</v>
      </c>
    </row>
    <row r="2200" spans="1:11" x14ac:dyDescent="0.25">
      <c r="A2200" s="50">
        <v>9211</v>
      </c>
      <c r="B2200" s="51" t="s">
        <v>634</v>
      </c>
      <c r="C2200" s="51" t="s">
        <v>1685</v>
      </c>
      <c r="D2200" s="51" t="s">
        <v>66</v>
      </c>
      <c r="E2200" s="51" t="s">
        <v>328</v>
      </c>
      <c r="F2200" s="51" t="s">
        <v>952</v>
      </c>
      <c r="G2200" s="51" t="s">
        <v>1661</v>
      </c>
      <c r="H2200" s="50" t="s">
        <v>386</v>
      </c>
      <c r="I2200" s="51" t="s">
        <v>1666</v>
      </c>
      <c r="J2200" t="str">
        <f t="shared" si="72"/>
        <v>9211 - PV Vista del Valle II Edificio B</v>
      </c>
      <c r="K2200" t="str">
        <f t="shared" si="73"/>
        <v>Postventa</v>
      </c>
    </row>
    <row r="2201" spans="1:11" x14ac:dyDescent="0.25">
      <c r="A2201" s="50">
        <v>10211000</v>
      </c>
      <c r="B2201" s="51" t="s">
        <v>952</v>
      </c>
      <c r="C2201" s="51" t="s">
        <v>1685</v>
      </c>
      <c r="D2201" s="51" t="s">
        <v>1665</v>
      </c>
      <c r="E2201" s="51" t="s">
        <v>1585</v>
      </c>
      <c r="F2201" s="51" t="s">
        <v>952</v>
      </c>
      <c r="G2201" s="51" t="s">
        <v>1661</v>
      </c>
      <c r="H2201" s="50" t="s">
        <v>386</v>
      </c>
      <c r="I2201" s="51" t="s">
        <v>1666</v>
      </c>
      <c r="J2201" t="str">
        <f t="shared" si="72"/>
        <v>10211000 - Vista del Valle II Edificio B</v>
      </c>
      <c r="K2201" t="str">
        <f t="shared" si="73"/>
        <v>Proyectos Inmobiliarios</v>
      </c>
    </row>
    <row r="2202" spans="1:11" x14ac:dyDescent="0.25">
      <c r="A2202" s="50">
        <v>10211102</v>
      </c>
      <c r="B2202" s="51" t="s">
        <v>953</v>
      </c>
      <c r="C2202" s="51" t="s">
        <v>1685</v>
      </c>
      <c r="D2202" s="51" t="s">
        <v>1665</v>
      </c>
      <c r="E2202" s="51" t="s">
        <v>1617</v>
      </c>
      <c r="F2202" s="51" t="s">
        <v>952</v>
      </c>
      <c r="G2202" s="51" t="s">
        <v>1661</v>
      </c>
      <c r="H2202" s="50" t="s">
        <v>386</v>
      </c>
      <c r="I2202" s="51" t="s">
        <v>1666</v>
      </c>
      <c r="J2202" t="str">
        <f t="shared" si="72"/>
        <v>10211102 - Vista del Valle II Edificio B-Marketing</v>
      </c>
      <c r="K2202" t="str">
        <f t="shared" si="73"/>
        <v>Proyectos Inmobiliarios</v>
      </c>
    </row>
    <row r="2203" spans="1:11" x14ac:dyDescent="0.25">
      <c r="A2203" s="50">
        <v>10211103</v>
      </c>
      <c r="B2203" s="51" t="s">
        <v>954</v>
      </c>
      <c r="C2203" s="51" t="s">
        <v>1685</v>
      </c>
      <c r="D2203" s="51" t="s">
        <v>1665</v>
      </c>
      <c r="E2203" s="51" t="s">
        <v>1618</v>
      </c>
      <c r="F2203" s="51" t="s">
        <v>952</v>
      </c>
      <c r="G2203" s="51" t="s">
        <v>1661</v>
      </c>
      <c r="H2203" s="50" t="s">
        <v>386</v>
      </c>
      <c r="I2203" s="51" t="s">
        <v>1666</v>
      </c>
      <c r="J2203" t="str">
        <f t="shared" si="72"/>
        <v>10211103 - Vista del Valle II Edificio B-Operaciones</v>
      </c>
      <c r="K2203" t="str">
        <f t="shared" si="73"/>
        <v>Proyectos Inmobiliarios</v>
      </c>
    </row>
    <row r="2204" spans="1:11" x14ac:dyDescent="0.25">
      <c r="A2204" s="50">
        <v>10211104</v>
      </c>
      <c r="B2204" s="51" t="s">
        <v>955</v>
      </c>
      <c r="C2204" s="51" t="s">
        <v>1685</v>
      </c>
      <c r="D2204" s="51" t="s">
        <v>1665</v>
      </c>
      <c r="E2204" s="51" t="s">
        <v>90</v>
      </c>
      <c r="F2204" s="51" t="s">
        <v>952</v>
      </c>
      <c r="G2204" s="51" t="s">
        <v>1661</v>
      </c>
      <c r="H2204" s="50" t="s">
        <v>386</v>
      </c>
      <c r="I2204" s="51" t="s">
        <v>1666</v>
      </c>
      <c r="J2204" t="str">
        <f t="shared" si="72"/>
        <v>10211104 - Vista del Valle II Edificio B-Ventas</v>
      </c>
      <c r="K2204" t="str">
        <f t="shared" si="73"/>
        <v>Proyectos Inmobiliarios</v>
      </c>
    </row>
    <row r="2205" spans="1:11" x14ac:dyDescent="0.25">
      <c r="A2205" s="50">
        <v>10211105</v>
      </c>
      <c r="B2205" s="51" t="s">
        <v>956</v>
      </c>
      <c r="C2205" s="51" t="s">
        <v>1685</v>
      </c>
      <c r="D2205" s="51" t="s">
        <v>1665</v>
      </c>
      <c r="E2205" s="51" t="s">
        <v>1622</v>
      </c>
      <c r="F2205" s="51" t="s">
        <v>952</v>
      </c>
      <c r="G2205" s="51" t="s">
        <v>1661</v>
      </c>
      <c r="H2205" s="50" t="s">
        <v>386</v>
      </c>
      <c r="I2205" s="51" t="s">
        <v>1666</v>
      </c>
      <c r="J2205" t="str">
        <f t="shared" si="72"/>
        <v>10211105 - Vista del Valle II Edificio B-Clientes</v>
      </c>
      <c r="K2205" t="str">
        <f t="shared" si="73"/>
        <v>Proyectos Inmobiliarios</v>
      </c>
    </row>
    <row r="2206" spans="1:11" x14ac:dyDescent="0.25">
      <c r="A2206" s="50">
        <v>10211204</v>
      </c>
      <c r="B2206" s="51" t="s">
        <v>957</v>
      </c>
      <c r="C2206" s="51" t="s">
        <v>1685</v>
      </c>
      <c r="D2206" s="51" t="s">
        <v>1665</v>
      </c>
      <c r="E2206" s="51" t="s">
        <v>1624</v>
      </c>
      <c r="F2206" s="51" t="s">
        <v>952</v>
      </c>
      <c r="G2206" s="51" t="s">
        <v>1661</v>
      </c>
      <c r="H2206" s="50" t="s">
        <v>386</v>
      </c>
      <c r="I2206" s="51" t="s">
        <v>1666</v>
      </c>
      <c r="J2206" t="str">
        <f t="shared" si="72"/>
        <v>10211204 - Vista del Valle II Edificio B-Proyecto</v>
      </c>
      <c r="K2206" t="str">
        <f t="shared" si="73"/>
        <v>Proyectos Inmobiliarios</v>
      </c>
    </row>
    <row r="2207" spans="1:11" x14ac:dyDescent="0.25">
      <c r="A2207" s="50">
        <v>10211301</v>
      </c>
      <c r="B2207" s="51" t="s">
        <v>958</v>
      </c>
      <c r="C2207" s="51" t="s">
        <v>1685</v>
      </c>
      <c r="D2207" s="51" t="s">
        <v>1665</v>
      </c>
      <c r="E2207" s="51" t="s">
        <v>1643</v>
      </c>
      <c r="F2207" s="51" t="s">
        <v>952</v>
      </c>
      <c r="G2207" s="51" t="s">
        <v>1667</v>
      </c>
      <c r="H2207" s="50" t="s">
        <v>386</v>
      </c>
      <c r="I2207" s="51" t="s">
        <v>1666</v>
      </c>
      <c r="J2207" t="str">
        <f t="shared" si="72"/>
        <v>10211301 - Vista del Valle II Edificio B-GAF</v>
      </c>
      <c r="K2207" t="str">
        <f t="shared" si="73"/>
        <v>Proyectos Inmobiliarios</v>
      </c>
    </row>
    <row r="2208" spans="1:11" x14ac:dyDescent="0.25">
      <c r="A2208" s="50">
        <v>10211505</v>
      </c>
      <c r="B2208" s="51" t="s">
        <v>959</v>
      </c>
      <c r="C2208" s="51" t="s">
        <v>1685</v>
      </c>
      <c r="D2208" s="51" t="s">
        <v>66</v>
      </c>
      <c r="E2208" s="51" t="s">
        <v>328</v>
      </c>
      <c r="F2208" s="51" t="s">
        <v>952</v>
      </c>
      <c r="G2208" s="51" t="s">
        <v>1661</v>
      </c>
      <c r="H2208" s="50" t="s">
        <v>386</v>
      </c>
      <c r="I2208" s="51" t="s">
        <v>1666</v>
      </c>
      <c r="J2208" t="str">
        <f t="shared" si="72"/>
        <v>10211505 - Vista del Valle II Edificio B-PV Inmob.</v>
      </c>
      <c r="K2208" t="str">
        <f t="shared" si="73"/>
        <v>Postventa</v>
      </c>
    </row>
    <row r="2209" spans="1:11" x14ac:dyDescent="0.25">
      <c r="A2209" s="50">
        <v>10211506</v>
      </c>
      <c r="B2209" s="51" t="s">
        <v>960</v>
      </c>
      <c r="C2209" s="51" t="s">
        <v>1685</v>
      </c>
      <c r="D2209" s="51" t="s">
        <v>1665</v>
      </c>
      <c r="E2209" s="51" t="s">
        <v>200</v>
      </c>
      <c r="F2209" s="51" t="s">
        <v>952</v>
      </c>
      <c r="G2209" s="51" t="s">
        <v>1661</v>
      </c>
      <c r="H2209" s="50" t="s">
        <v>386</v>
      </c>
      <c r="I2209" s="51" t="s">
        <v>1666</v>
      </c>
      <c r="J2209" t="str">
        <f t="shared" si="72"/>
        <v>10211506 - Vista del Valle II Edificio B-Depto.Técnico</v>
      </c>
      <c r="K2209" t="str">
        <f t="shared" si="73"/>
        <v>Proyectos Inmobiliarios</v>
      </c>
    </row>
    <row r="2210" spans="1:11" x14ac:dyDescent="0.25">
      <c r="A2210" s="48">
        <v>999999999</v>
      </c>
      <c r="B2210" s="49" t="s">
        <v>1684</v>
      </c>
      <c r="C2210" s="49"/>
      <c r="D2210" s="49" t="s">
        <v>1578</v>
      </c>
      <c r="E2210" s="49" t="s">
        <v>1578</v>
      </c>
      <c r="F2210" s="49" t="s">
        <v>1126</v>
      </c>
      <c r="G2210" s="49" t="s">
        <v>1661</v>
      </c>
      <c r="H2210" s="48" t="s">
        <v>1672</v>
      </c>
      <c r="I2210" s="49" t="s">
        <v>1662</v>
      </c>
      <c r="J2210" t="str">
        <f t="shared" si="72"/>
        <v>999999999 - Terreno Abuelo Proyectos sin Terreno</v>
      </c>
      <c r="K2210" t="str">
        <f t="shared" si="73"/>
        <v>Terreno</v>
      </c>
    </row>
    <row r="2211" spans="1:11" x14ac:dyDescent="0.25">
      <c r="A2211" s="48">
        <v>235</v>
      </c>
      <c r="B2211" s="49" t="s">
        <v>1126</v>
      </c>
      <c r="C2211" s="49" t="s">
        <v>1685</v>
      </c>
      <c r="D2211" s="49" t="s">
        <v>65</v>
      </c>
      <c r="E2211" s="49" t="s">
        <v>65</v>
      </c>
      <c r="F2211" s="49" t="s">
        <v>1126</v>
      </c>
      <c r="G2211" s="49" t="s">
        <v>1663</v>
      </c>
      <c r="H2211" s="48" t="s">
        <v>1672</v>
      </c>
      <c r="I2211" s="49" t="s">
        <v>1664</v>
      </c>
      <c r="J2211" t="str">
        <f t="shared" si="72"/>
        <v>235 - Vista del Valle III</v>
      </c>
      <c r="K2211" t="str">
        <f t="shared" si="73"/>
        <v>Obra</v>
      </c>
    </row>
    <row r="2212" spans="1:11" x14ac:dyDescent="0.25">
      <c r="A2212" s="48">
        <v>8235</v>
      </c>
      <c r="B2212" s="49" t="s">
        <v>527</v>
      </c>
      <c r="C2212" s="49" t="s">
        <v>1685</v>
      </c>
      <c r="D2212" s="49" t="s">
        <v>1686</v>
      </c>
      <c r="E2212" s="49" t="s">
        <v>1501</v>
      </c>
      <c r="F2212" s="49" t="s">
        <v>1126</v>
      </c>
      <c r="G2212" s="49" t="s">
        <v>1661</v>
      </c>
      <c r="H2212" s="48" t="s">
        <v>386</v>
      </c>
      <c r="I2212" s="49" t="s">
        <v>1666</v>
      </c>
      <c r="J2212" t="str">
        <f t="shared" si="72"/>
        <v>8235 - Entrega Vista del Valle III</v>
      </c>
      <c r="K2212" t="str">
        <f t="shared" si="73"/>
        <v>Entrega</v>
      </c>
    </row>
    <row r="2213" spans="1:11" x14ac:dyDescent="0.25">
      <c r="A2213" s="48">
        <v>9235</v>
      </c>
      <c r="B2213" s="49" t="s">
        <v>653</v>
      </c>
      <c r="C2213" s="49" t="s">
        <v>1685</v>
      </c>
      <c r="D2213" s="49" t="s">
        <v>66</v>
      </c>
      <c r="E2213" s="49" t="s">
        <v>328</v>
      </c>
      <c r="F2213" s="49" t="s">
        <v>1126</v>
      </c>
      <c r="G2213" s="49" t="s">
        <v>1661</v>
      </c>
      <c r="H2213" s="48" t="s">
        <v>386</v>
      </c>
      <c r="I2213" s="49" t="s">
        <v>1666</v>
      </c>
      <c r="J2213" t="str">
        <f t="shared" si="72"/>
        <v>9235 - PV Vista del Valle III</v>
      </c>
      <c r="K2213" t="str">
        <f t="shared" si="73"/>
        <v>Postventa</v>
      </c>
    </row>
    <row r="2214" spans="1:11" x14ac:dyDescent="0.25">
      <c r="A2214" s="48">
        <v>10235000</v>
      </c>
      <c r="B2214" s="49" t="s">
        <v>1126</v>
      </c>
      <c r="C2214" s="49" t="s">
        <v>1685</v>
      </c>
      <c r="D2214" s="49" t="s">
        <v>1665</v>
      </c>
      <c r="E2214" s="49" t="s">
        <v>1585</v>
      </c>
      <c r="F2214" s="49" t="s">
        <v>1126</v>
      </c>
      <c r="G2214" s="49" t="s">
        <v>1661</v>
      </c>
      <c r="H2214" s="48" t="s">
        <v>386</v>
      </c>
      <c r="I2214" s="49" t="s">
        <v>1666</v>
      </c>
      <c r="J2214" t="str">
        <f t="shared" si="72"/>
        <v>10235000 - Vista del Valle III</v>
      </c>
      <c r="K2214" t="str">
        <f t="shared" si="73"/>
        <v>Proyectos Inmobiliarios</v>
      </c>
    </row>
    <row r="2215" spans="1:11" x14ac:dyDescent="0.25">
      <c r="A2215" s="48">
        <v>10235102</v>
      </c>
      <c r="B2215" s="49" t="s">
        <v>1127</v>
      </c>
      <c r="C2215" s="49" t="s">
        <v>1685</v>
      </c>
      <c r="D2215" s="49" t="s">
        <v>1665</v>
      </c>
      <c r="E2215" s="49" t="s">
        <v>1617</v>
      </c>
      <c r="F2215" s="49" t="s">
        <v>1126</v>
      </c>
      <c r="G2215" s="49" t="s">
        <v>1661</v>
      </c>
      <c r="H2215" s="48" t="s">
        <v>386</v>
      </c>
      <c r="I2215" s="49" t="s">
        <v>1666</v>
      </c>
      <c r="J2215" t="str">
        <f t="shared" si="72"/>
        <v>10235102 - Vista del Valle III-Marketing</v>
      </c>
      <c r="K2215" t="str">
        <f t="shared" si="73"/>
        <v>Proyectos Inmobiliarios</v>
      </c>
    </row>
    <row r="2216" spans="1:11" x14ac:dyDescent="0.25">
      <c r="A2216" s="48">
        <v>10235103</v>
      </c>
      <c r="B2216" s="49" t="s">
        <v>1128</v>
      </c>
      <c r="C2216" s="49" t="s">
        <v>1685</v>
      </c>
      <c r="D2216" s="49" t="s">
        <v>1665</v>
      </c>
      <c r="E2216" s="49" t="s">
        <v>1618</v>
      </c>
      <c r="F2216" s="49" t="s">
        <v>1126</v>
      </c>
      <c r="G2216" s="49" t="s">
        <v>1661</v>
      </c>
      <c r="H2216" s="48" t="s">
        <v>386</v>
      </c>
      <c r="I2216" s="49" t="s">
        <v>1666</v>
      </c>
      <c r="J2216" t="str">
        <f t="shared" si="72"/>
        <v>10235103 - Vista del Valle III-Operaciones</v>
      </c>
      <c r="K2216" t="str">
        <f t="shared" si="73"/>
        <v>Proyectos Inmobiliarios</v>
      </c>
    </row>
    <row r="2217" spans="1:11" x14ac:dyDescent="0.25">
      <c r="A2217" s="48">
        <v>10235104</v>
      </c>
      <c r="B2217" s="49" t="s">
        <v>1129</v>
      </c>
      <c r="C2217" s="49" t="s">
        <v>1685</v>
      </c>
      <c r="D2217" s="49" t="s">
        <v>1665</v>
      </c>
      <c r="E2217" s="49" t="s">
        <v>90</v>
      </c>
      <c r="F2217" s="49" t="s">
        <v>1126</v>
      </c>
      <c r="G2217" s="49" t="s">
        <v>1661</v>
      </c>
      <c r="H2217" s="48" t="s">
        <v>386</v>
      </c>
      <c r="I2217" s="49" t="s">
        <v>1666</v>
      </c>
      <c r="J2217" t="str">
        <f t="shared" si="72"/>
        <v>10235104 - Vista del Valle III-Ventas</v>
      </c>
      <c r="K2217" t="str">
        <f t="shared" si="73"/>
        <v>Proyectos Inmobiliarios</v>
      </c>
    </row>
    <row r="2218" spans="1:11" x14ac:dyDescent="0.25">
      <c r="A2218" s="48">
        <v>10235105</v>
      </c>
      <c r="B2218" s="49" t="s">
        <v>1130</v>
      </c>
      <c r="C2218" s="49" t="s">
        <v>1685</v>
      </c>
      <c r="D2218" s="49" t="s">
        <v>1665</v>
      </c>
      <c r="E2218" s="49" t="s">
        <v>1622</v>
      </c>
      <c r="F2218" s="49" t="s">
        <v>1126</v>
      </c>
      <c r="G2218" s="49" t="s">
        <v>1661</v>
      </c>
      <c r="H2218" s="48" t="s">
        <v>386</v>
      </c>
      <c r="I2218" s="49" t="s">
        <v>1666</v>
      </c>
      <c r="J2218" t="str">
        <f t="shared" si="72"/>
        <v>10235105 - Vista del Valle III-Clientes</v>
      </c>
      <c r="K2218" t="str">
        <f t="shared" si="73"/>
        <v>Proyectos Inmobiliarios</v>
      </c>
    </row>
    <row r="2219" spans="1:11" x14ac:dyDescent="0.25">
      <c r="A2219" s="48">
        <v>10235204</v>
      </c>
      <c r="B2219" s="49" t="s">
        <v>1131</v>
      </c>
      <c r="C2219" s="49" t="s">
        <v>1685</v>
      </c>
      <c r="D2219" s="49" t="s">
        <v>1665</v>
      </c>
      <c r="E2219" s="49" t="s">
        <v>1624</v>
      </c>
      <c r="F2219" s="49" t="s">
        <v>1126</v>
      </c>
      <c r="G2219" s="49" t="s">
        <v>1661</v>
      </c>
      <c r="H2219" s="48" t="s">
        <v>386</v>
      </c>
      <c r="I2219" s="49" t="s">
        <v>1666</v>
      </c>
      <c r="J2219" t="str">
        <f t="shared" si="72"/>
        <v>10235204 - Vista del Valle III-Proyecto</v>
      </c>
      <c r="K2219" t="str">
        <f t="shared" si="73"/>
        <v>Proyectos Inmobiliarios</v>
      </c>
    </row>
    <row r="2220" spans="1:11" x14ac:dyDescent="0.25">
      <c r="A2220" s="48">
        <v>10235301</v>
      </c>
      <c r="B2220" s="49" t="s">
        <v>1132</v>
      </c>
      <c r="C2220" s="49" t="s">
        <v>1685</v>
      </c>
      <c r="D2220" s="49" t="s">
        <v>1665</v>
      </c>
      <c r="E2220" s="49" t="s">
        <v>1643</v>
      </c>
      <c r="F2220" s="49" t="s">
        <v>1126</v>
      </c>
      <c r="G2220" s="49" t="s">
        <v>1667</v>
      </c>
      <c r="H2220" s="48" t="s">
        <v>386</v>
      </c>
      <c r="I2220" s="49" t="s">
        <v>1666</v>
      </c>
      <c r="J2220" t="str">
        <f t="shared" si="72"/>
        <v>10235301 - Vista del Valle III-GAF</v>
      </c>
      <c r="K2220" t="str">
        <f t="shared" si="73"/>
        <v>Proyectos Inmobiliarios</v>
      </c>
    </row>
    <row r="2221" spans="1:11" x14ac:dyDescent="0.25">
      <c r="A2221" s="48">
        <v>10235505</v>
      </c>
      <c r="B2221" s="49" t="s">
        <v>1133</v>
      </c>
      <c r="C2221" s="49" t="s">
        <v>1685</v>
      </c>
      <c r="D2221" s="49" t="s">
        <v>66</v>
      </c>
      <c r="E2221" s="49" t="s">
        <v>328</v>
      </c>
      <c r="F2221" s="49" t="s">
        <v>1126</v>
      </c>
      <c r="G2221" s="49" t="s">
        <v>1661</v>
      </c>
      <c r="H2221" s="48" t="s">
        <v>386</v>
      </c>
      <c r="I2221" s="49" t="s">
        <v>1666</v>
      </c>
      <c r="J2221" t="str">
        <f t="shared" si="72"/>
        <v>10235505 - Vista del Valle III-PV Inmob.</v>
      </c>
      <c r="K2221" t="str">
        <f t="shared" si="73"/>
        <v>Postventa</v>
      </c>
    </row>
    <row r="2222" spans="1:11" x14ac:dyDescent="0.25">
      <c r="A2222" s="48">
        <v>10235506</v>
      </c>
      <c r="B2222" s="49" t="s">
        <v>1134</v>
      </c>
      <c r="C2222" s="49" t="s">
        <v>1685</v>
      </c>
      <c r="D2222" s="49" t="s">
        <v>1665</v>
      </c>
      <c r="E2222" s="49" t="s">
        <v>200</v>
      </c>
      <c r="F2222" s="49" t="s">
        <v>1126</v>
      </c>
      <c r="G2222" s="49" t="s">
        <v>1661</v>
      </c>
      <c r="H2222" s="48" t="s">
        <v>386</v>
      </c>
      <c r="I2222" s="49" t="s">
        <v>1666</v>
      </c>
      <c r="J2222" t="str">
        <f t="shared" si="72"/>
        <v>10235506 - Vista del Valle III-Depto.Técnico</v>
      </c>
      <c r="K2222" t="str">
        <f t="shared" si="73"/>
        <v>Proyectos Inmobiliarios</v>
      </c>
    </row>
    <row r="2223" spans="1:11" x14ac:dyDescent="0.25">
      <c r="A2223" s="80">
        <v>1067202</v>
      </c>
      <c r="B2223" s="81" t="s">
        <v>2675</v>
      </c>
      <c r="C2223" s="81" t="s">
        <v>1670</v>
      </c>
      <c r="D2223" s="81" t="s">
        <v>1578</v>
      </c>
      <c r="E2223" s="81" t="s">
        <v>1578</v>
      </c>
      <c r="F2223" s="81" t="s">
        <v>860</v>
      </c>
      <c r="G2223" s="81" t="s">
        <v>1661</v>
      </c>
      <c r="H2223" s="80" t="s">
        <v>1672</v>
      </c>
      <c r="I2223" s="81" t="s">
        <v>1662</v>
      </c>
      <c r="J2223" t="str">
        <f t="shared" si="72"/>
        <v>1067202 - Terreno Bezanilla-Desarrollo</v>
      </c>
      <c r="K2223" t="str">
        <f t="shared" si="73"/>
        <v>Terreno</v>
      </c>
    </row>
    <row r="2224" spans="1:11" x14ac:dyDescent="0.25">
      <c r="A2224" s="80">
        <v>199</v>
      </c>
      <c r="B2224" s="81" t="s">
        <v>860</v>
      </c>
      <c r="C2224" s="81" t="s">
        <v>1670</v>
      </c>
      <c r="D2224" s="81" t="s">
        <v>65</v>
      </c>
      <c r="E2224" s="81" t="s">
        <v>65</v>
      </c>
      <c r="F2224" s="81" t="s">
        <v>860</v>
      </c>
      <c r="G2224" s="81" t="s">
        <v>1663</v>
      </c>
      <c r="H2224" s="80" t="s">
        <v>1672</v>
      </c>
      <c r="I2224" s="81" t="s">
        <v>1664</v>
      </c>
      <c r="J2224" t="str">
        <f t="shared" si="72"/>
        <v>199 - Vista Independencia</v>
      </c>
      <c r="K2224" t="str">
        <f t="shared" si="73"/>
        <v>Obra</v>
      </c>
    </row>
    <row r="2225" spans="1:11" x14ac:dyDescent="0.25">
      <c r="A2225" s="80">
        <v>9199</v>
      </c>
      <c r="B2225" s="81" t="s">
        <v>625</v>
      </c>
      <c r="C2225" s="81" t="s">
        <v>1670</v>
      </c>
      <c r="D2225" s="81" t="s">
        <v>66</v>
      </c>
      <c r="E2225" s="81" t="s">
        <v>328</v>
      </c>
      <c r="F2225" s="81" t="s">
        <v>860</v>
      </c>
      <c r="G2225" s="81" t="s">
        <v>1661</v>
      </c>
      <c r="H2225" s="80" t="s">
        <v>386</v>
      </c>
      <c r="I2225" s="81" t="s">
        <v>1666</v>
      </c>
      <c r="J2225" t="str">
        <f t="shared" si="72"/>
        <v>9199 - PV Vista Independencia</v>
      </c>
      <c r="K2225" t="str">
        <f t="shared" si="73"/>
        <v>Postventa</v>
      </c>
    </row>
    <row r="2226" spans="1:11" x14ac:dyDescent="0.25">
      <c r="A2226" s="80">
        <v>10199000</v>
      </c>
      <c r="B2226" s="81" t="s">
        <v>860</v>
      </c>
      <c r="C2226" s="81" t="s">
        <v>1670</v>
      </c>
      <c r="D2226" s="81" t="s">
        <v>1665</v>
      </c>
      <c r="E2226" s="81" t="s">
        <v>1585</v>
      </c>
      <c r="F2226" s="81" t="s">
        <v>860</v>
      </c>
      <c r="G2226" s="81" t="s">
        <v>1661</v>
      </c>
      <c r="H2226" s="80" t="s">
        <v>386</v>
      </c>
      <c r="I2226" s="81" t="s">
        <v>1666</v>
      </c>
      <c r="J2226" t="str">
        <f t="shared" si="72"/>
        <v>10199000 - Vista Independencia</v>
      </c>
      <c r="K2226" t="str">
        <f t="shared" si="73"/>
        <v>Proyectos Inmobiliarios</v>
      </c>
    </row>
    <row r="2227" spans="1:11" x14ac:dyDescent="0.25">
      <c r="A2227" s="80">
        <v>10199102</v>
      </c>
      <c r="B2227" s="81" t="s">
        <v>861</v>
      </c>
      <c r="C2227" s="81" t="s">
        <v>1670</v>
      </c>
      <c r="D2227" s="81" t="s">
        <v>1665</v>
      </c>
      <c r="E2227" s="81" t="s">
        <v>1617</v>
      </c>
      <c r="F2227" s="81" t="s">
        <v>860</v>
      </c>
      <c r="G2227" s="81" t="s">
        <v>1661</v>
      </c>
      <c r="H2227" s="80" t="s">
        <v>386</v>
      </c>
      <c r="I2227" s="81" t="s">
        <v>1666</v>
      </c>
      <c r="J2227" t="str">
        <f t="shared" si="72"/>
        <v>10199102 - Vista Independencia-Marketing</v>
      </c>
      <c r="K2227" t="str">
        <f t="shared" si="73"/>
        <v>Proyectos Inmobiliarios</v>
      </c>
    </row>
    <row r="2228" spans="1:11" x14ac:dyDescent="0.25">
      <c r="A2228" s="80">
        <v>10199103</v>
      </c>
      <c r="B2228" s="81" t="s">
        <v>862</v>
      </c>
      <c r="C2228" s="81" t="s">
        <v>1670</v>
      </c>
      <c r="D2228" s="81" t="s">
        <v>1665</v>
      </c>
      <c r="E2228" s="81" t="s">
        <v>1618</v>
      </c>
      <c r="F2228" s="81" t="s">
        <v>860</v>
      </c>
      <c r="G2228" s="81" t="s">
        <v>1661</v>
      </c>
      <c r="H2228" s="80" t="s">
        <v>386</v>
      </c>
      <c r="I2228" s="81" t="s">
        <v>1666</v>
      </c>
      <c r="J2228" t="str">
        <f t="shared" si="72"/>
        <v>10199103 - Vista Independencia-Operaciones</v>
      </c>
      <c r="K2228" t="str">
        <f t="shared" si="73"/>
        <v>Proyectos Inmobiliarios</v>
      </c>
    </row>
    <row r="2229" spans="1:11" x14ac:dyDescent="0.25">
      <c r="A2229" s="80">
        <v>10199104</v>
      </c>
      <c r="B2229" s="81" t="s">
        <v>863</v>
      </c>
      <c r="C2229" s="81" t="s">
        <v>1670</v>
      </c>
      <c r="D2229" s="81" t="s">
        <v>1665</v>
      </c>
      <c r="E2229" s="81" t="s">
        <v>90</v>
      </c>
      <c r="F2229" s="81" t="s">
        <v>860</v>
      </c>
      <c r="G2229" s="81" t="s">
        <v>1661</v>
      </c>
      <c r="H2229" s="80" t="s">
        <v>386</v>
      </c>
      <c r="I2229" s="81" t="s">
        <v>1666</v>
      </c>
      <c r="J2229" t="str">
        <f t="shared" si="72"/>
        <v>10199104 - Vista Independencia-Ventas</v>
      </c>
      <c r="K2229" t="str">
        <f t="shared" si="73"/>
        <v>Proyectos Inmobiliarios</v>
      </c>
    </row>
    <row r="2230" spans="1:11" x14ac:dyDescent="0.25">
      <c r="A2230" s="80">
        <v>10199105</v>
      </c>
      <c r="B2230" s="81" t="s">
        <v>864</v>
      </c>
      <c r="C2230" s="81" t="s">
        <v>1670</v>
      </c>
      <c r="D2230" s="81" t="s">
        <v>1665</v>
      </c>
      <c r="E2230" s="81" t="s">
        <v>1622</v>
      </c>
      <c r="F2230" s="81" t="s">
        <v>860</v>
      </c>
      <c r="G2230" s="81" t="s">
        <v>1661</v>
      </c>
      <c r="H2230" s="80" t="s">
        <v>386</v>
      </c>
      <c r="I2230" s="81" t="s">
        <v>1666</v>
      </c>
      <c r="J2230" t="str">
        <f t="shared" si="72"/>
        <v>10199105 - Vista Independencia-Clientes</v>
      </c>
      <c r="K2230" t="str">
        <f t="shared" si="73"/>
        <v>Proyectos Inmobiliarios</v>
      </c>
    </row>
    <row r="2231" spans="1:11" x14ac:dyDescent="0.25">
      <c r="A2231" s="80">
        <v>10199204</v>
      </c>
      <c r="B2231" s="81" t="s">
        <v>865</v>
      </c>
      <c r="C2231" s="81" t="s">
        <v>1670</v>
      </c>
      <c r="D2231" s="81" t="s">
        <v>1665</v>
      </c>
      <c r="E2231" s="81" t="s">
        <v>1624</v>
      </c>
      <c r="F2231" s="81" t="s">
        <v>860</v>
      </c>
      <c r="G2231" s="81" t="s">
        <v>1661</v>
      </c>
      <c r="H2231" s="80" t="s">
        <v>386</v>
      </c>
      <c r="I2231" s="81" t="s">
        <v>1666</v>
      </c>
      <c r="J2231" t="str">
        <f t="shared" si="72"/>
        <v>10199204 - Vista Independencia-Proyecto</v>
      </c>
      <c r="K2231" t="str">
        <f t="shared" si="73"/>
        <v>Proyectos Inmobiliarios</v>
      </c>
    </row>
    <row r="2232" spans="1:11" x14ac:dyDescent="0.25">
      <c r="A2232" s="80">
        <v>10199301</v>
      </c>
      <c r="B2232" s="81" t="s">
        <v>866</v>
      </c>
      <c r="C2232" s="81" t="s">
        <v>1670</v>
      </c>
      <c r="D2232" s="81" t="s">
        <v>1665</v>
      </c>
      <c r="E2232" s="81" t="s">
        <v>1643</v>
      </c>
      <c r="F2232" s="81" t="s">
        <v>860</v>
      </c>
      <c r="G2232" s="81" t="s">
        <v>1667</v>
      </c>
      <c r="H2232" s="80" t="s">
        <v>386</v>
      </c>
      <c r="I2232" s="81" t="s">
        <v>1666</v>
      </c>
      <c r="J2232" t="str">
        <f t="shared" si="72"/>
        <v>10199301 - Vista Independencia-GAF</v>
      </c>
      <c r="K2232" t="str">
        <f t="shared" si="73"/>
        <v>Proyectos Inmobiliarios</v>
      </c>
    </row>
    <row r="2233" spans="1:11" x14ac:dyDescent="0.25">
      <c r="A2233" s="80">
        <v>10199505</v>
      </c>
      <c r="B2233" s="81" t="s">
        <v>867</v>
      </c>
      <c r="C2233" s="81" t="s">
        <v>1670</v>
      </c>
      <c r="D2233" s="81" t="s">
        <v>66</v>
      </c>
      <c r="E2233" s="81" t="s">
        <v>328</v>
      </c>
      <c r="F2233" s="81" t="s">
        <v>860</v>
      </c>
      <c r="G2233" s="81" t="s">
        <v>1661</v>
      </c>
      <c r="H2233" s="80" t="s">
        <v>386</v>
      </c>
      <c r="I2233" s="81" t="s">
        <v>1666</v>
      </c>
      <c r="J2233" t="str">
        <f t="shared" si="72"/>
        <v>10199505 - Vista Independencia-PV Inmob.</v>
      </c>
      <c r="K2233" t="str">
        <f t="shared" si="73"/>
        <v>Postventa</v>
      </c>
    </row>
    <row r="2234" spans="1:11" x14ac:dyDescent="0.25">
      <c r="A2234" s="80">
        <v>10199506</v>
      </c>
      <c r="B2234" s="81" t="s">
        <v>868</v>
      </c>
      <c r="C2234" s="81" t="s">
        <v>1670</v>
      </c>
      <c r="D2234" s="81" t="s">
        <v>1665</v>
      </c>
      <c r="E2234" s="81" t="s">
        <v>200</v>
      </c>
      <c r="F2234" s="81" t="s">
        <v>860</v>
      </c>
      <c r="G2234" s="81" t="s">
        <v>1661</v>
      </c>
      <c r="H2234" s="80" t="s">
        <v>386</v>
      </c>
      <c r="I2234" s="81" t="s">
        <v>1666</v>
      </c>
      <c r="J2234" t="str">
        <f t="shared" si="72"/>
        <v>10199506 - Vista Independencia-Depto.Técnico</v>
      </c>
      <c r="K2234" t="str">
        <f t="shared" si="73"/>
        <v>Proyectos Inmobiliarios</v>
      </c>
    </row>
    <row r="2235" spans="1:11" x14ac:dyDescent="0.25">
      <c r="A2235" s="78">
        <v>1088202</v>
      </c>
      <c r="B2235" s="79" t="s">
        <v>732</v>
      </c>
      <c r="C2235" s="79" t="s">
        <v>1670</v>
      </c>
      <c r="D2235" s="79" t="s">
        <v>1578</v>
      </c>
      <c r="E2235" s="79" t="s">
        <v>1578</v>
      </c>
      <c r="F2235" s="79" t="s">
        <v>1076</v>
      </c>
      <c r="G2235" s="79" t="s">
        <v>1661</v>
      </c>
      <c r="H2235" s="78" t="s">
        <v>386</v>
      </c>
      <c r="I2235" s="79" t="s">
        <v>1662</v>
      </c>
      <c r="J2235" t="str">
        <f t="shared" si="72"/>
        <v>1088202 - Terreno Vista Las Palmas – Desarrollo</v>
      </c>
      <c r="K2235" t="str">
        <f t="shared" si="73"/>
        <v>Terreno</v>
      </c>
    </row>
    <row r="2236" spans="1:11" x14ac:dyDescent="0.25">
      <c r="A2236" s="78">
        <v>229</v>
      </c>
      <c r="B2236" s="79" t="s">
        <v>1076</v>
      </c>
      <c r="C2236" s="79" t="s">
        <v>1670</v>
      </c>
      <c r="D2236" s="79" t="s">
        <v>65</v>
      </c>
      <c r="E2236" s="79" t="s">
        <v>65</v>
      </c>
      <c r="F2236" s="79" t="s">
        <v>1076</v>
      </c>
      <c r="G2236" s="79" t="s">
        <v>1663</v>
      </c>
      <c r="H2236" s="78" t="s">
        <v>1672</v>
      </c>
      <c r="I2236" s="79" t="s">
        <v>1664</v>
      </c>
      <c r="J2236" t="str">
        <f t="shared" si="72"/>
        <v>229 - Vista Las Palmas</v>
      </c>
      <c r="K2236" t="str">
        <f t="shared" si="73"/>
        <v>Obra</v>
      </c>
    </row>
    <row r="2237" spans="1:11" x14ac:dyDescent="0.25">
      <c r="A2237" s="78">
        <v>8229</v>
      </c>
      <c r="B2237" s="79" t="s">
        <v>523</v>
      </c>
      <c r="C2237" s="79" t="s">
        <v>1670</v>
      </c>
      <c r="D2237" s="79" t="s">
        <v>1686</v>
      </c>
      <c r="E2237" s="79" t="s">
        <v>1501</v>
      </c>
      <c r="F2237" s="79" t="s">
        <v>1076</v>
      </c>
      <c r="G2237" s="79" t="s">
        <v>1661</v>
      </c>
      <c r="H2237" s="78" t="s">
        <v>386</v>
      </c>
      <c r="I2237" s="79" t="s">
        <v>1666</v>
      </c>
      <c r="J2237" t="str">
        <f t="shared" si="72"/>
        <v>8229 - Entrega Vista Las Palmas</v>
      </c>
      <c r="K2237" t="str">
        <f t="shared" si="73"/>
        <v>Entrega</v>
      </c>
    </row>
    <row r="2238" spans="1:11" x14ac:dyDescent="0.25">
      <c r="A2238" s="78">
        <v>9229</v>
      </c>
      <c r="B2238" s="79" t="s">
        <v>649</v>
      </c>
      <c r="C2238" s="79" t="s">
        <v>1670</v>
      </c>
      <c r="D2238" s="79" t="s">
        <v>66</v>
      </c>
      <c r="E2238" s="79" t="s">
        <v>328</v>
      </c>
      <c r="F2238" s="79" t="s">
        <v>1076</v>
      </c>
      <c r="G2238" s="79" t="s">
        <v>1661</v>
      </c>
      <c r="H2238" s="78" t="s">
        <v>386</v>
      </c>
      <c r="I2238" s="79" t="s">
        <v>1666</v>
      </c>
      <c r="J2238" t="str">
        <f t="shared" si="72"/>
        <v>9229 - PV Vista Las Palmas</v>
      </c>
      <c r="K2238" t="str">
        <f t="shared" si="73"/>
        <v>Postventa</v>
      </c>
    </row>
    <row r="2239" spans="1:11" x14ac:dyDescent="0.25">
      <c r="A2239" s="78">
        <v>10229000</v>
      </c>
      <c r="B2239" s="79" t="s">
        <v>1076</v>
      </c>
      <c r="C2239" s="79" t="s">
        <v>1670</v>
      </c>
      <c r="D2239" s="79" t="s">
        <v>1665</v>
      </c>
      <c r="E2239" s="79" t="s">
        <v>1585</v>
      </c>
      <c r="F2239" s="79" t="s">
        <v>1076</v>
      </c>
      <c r="G2239" s="79" t="s">
        <v>1661</v>
      </c>
      <c r="H2239" s="78" t="s">
        <v>386</v>
      </c>
      <c r="I2239" s="79" t="s">
        <v>1666</v>
      </c>
      <c r="J2239" t="str">
        <f t="shared" si="72"/>
        <v>10229000 - Vista Las Palmas</v>
      </c>
      <c r="K2239" t="str">
        <f t="shared" si="73"/>
        <v>Proyectos Inmobiliarios</v>
      </c>
    </row>
    <row r="2240" spans="1:11" x14ac:dyDescent="0.25">
      <c r="A2240" s="78">
        <v>10229102</v>
      </c>
      <c r="B2240" s="79" t="s">
        <v>1077</v>
      </c>
      <c r="C2240" s="79" t="s">
        <v>1670</v>
      </c>
      <c r="D2240" s="79" t="s">
        <v>1665</v>
      </c>
      <c r="E2240" s="79" t="s">
        <v>1617</v>
      </c>
      <c r="F2240" s="79" t="s">
        <v>1076</v>
      </c>
      <c r="G2240" s="79" t="s">
        <v>1661</v>
      </c>
      <c r="H2240" s="78" t="s">
        <v>386</v>
      </c>
      <c r="I2240" s="79" t="s">
        <v>1666</v>
      </c>
      <c r="J2240" t="str">
        <f t="shared" si="72"/>
        <v>10229102 - Vista Las Palmas-Marketing</v>
      </c>
      <c r="K2240" t="str">
        <f t="shared" si="73"/>
        <v>Proyectos Inmobiliarios</v>
      </c>
    </row>
    <row r="2241" spans="1:11" x14ac:dyDescent="0.25">
      <c r="A2241" s="78">
        <v>10229103</v>
      </c>
      <c r="B2241" s="79" t="s">
        <v>1078</v>
      </c>
      <c r="C2241" s="79" t="s">
        <v>1670</v>
      </c>
      <c r="D2241" s="79" t="s">
        <v>1665</v>
      </c>
      <c r="E2241" s="79" t="s">
        <v>1618</v>
      </c>
      <c r="F2241" s="79" t="s">
        <v>1076</v>
      </c>
      <c r="G2241" s="79" t="s">
        <v>1661</v>
      </c>
      <c r="H2241" s="78" t="s">
        <v>386</v>
      </c>
      <c r="I2241" s="79" t="s">
        <v>1666</v>
      </c>
      <c r="J2241" t="str">
        <f t="shared" si="72"/>
        <v>10229103 - Vista Las Palmas-Operaciones</v>
      </c>
      <c r="K2241" t="str">
        <f t="shared" si="73"/>
        <v>Proyectos Inmobiliarios</v>
      </c>
    </row>
    <row r="2242" spans="1:11" x14ac:dyDescent="0.25">
      <c r="A2242" s="78">
        <v>10229104</v>
      </c>
      <c r="B2242" s="79" t="s">
        <v>1079</v>
      </c>
      <c r="C2242" s="79" t="s">
        <v>1670</v>
      </c>
      <c r="D2242" s="79" t="s">
        <v>1665</v>
      </c>
      <c r="E2242" s="79" t="s">
        <v>90</v>
      </c>
      <c r="F2242" s="79" t="s">
        <v>1076</v>
      </c>
      <c r="G2242" s="79" t="s">
        <v>1661</v>
      </c>
      <c r="H2242" s="78" t="s">
        <v>386</v>
      </c>
      <c r="I2242" s="79" t="s">
        <v>1666</v>
      </c>
      <c r="J2242" t="str">
        <f t="shared" si="72"/>
        <v>10229104 - Vista Las Palmas-Ventas</v>
      </c>
      <c r="K2242" t="str">
        <f t="shared" si="73"/>
        <v>Proyectos Inmobiliarios</v>
      </c>
    </row>
    <row r="2243" spans="1:11" x14ac:dyDescent="0.25">
      <c r="A2243" s="78">
        <v>10229105</v>
      </c>
      <c r="B2243" s="79" t="s">
        <v>1080</v>
      </c>
      <c r="C2243" s="79" t="s">
        <v>1670</v>
      </c>
      <c r="D2243" s="79" t="s">
        <v>1665</v>
      </c>
      <c r="E2243" s="79" t="s">
        <v>1622</v>
      </c>
      <c r="F2243" s="79" t="s">
        <v>1076</v>
      </c>
      <c r="G2243" s="79" t="s">
        <v>1661</v>
      </c>
      <c r="H2243" s="78" t="s">
        <v>386</v>
      </c>
      <c r="I2243" s="79" t="s">
        <v>1666</v>
      </c>
      <c r="J2243" t="str">
        <f t="shared" si="72"/>
        <v>10229105 - Vista Las Palmas-Clientes</v>
      </c>
      <c r="K2243" t="str">
        <f t="shared" si="73"/>
        <v>Proyectos Inmobiliarios</v>
      </c>
    </row>
    <row r="2244" spans="1:11" x14ac:dyDescent="0.25">
      <c r="A2244" s="78">
        <v>10229204</v>
      </c>
      <c r="B2244" s="79" t="s">
        <v>1081</v>
      </c>
      <c r="C2244" s="79" t="s">
        <v>1670</v>
      </c>
      <c r="D2244" s="79" t="s">
        <v>1665</v>
      </c>
      <c r="E2244" s="79" t="s">
        <v>1624</v>
      </c>
      <c r="F2244" s="79" t="s">
        <v>1076</v>
      </c>
      <c r="G2244" s="79" t="s">
        <v>1661</v>
      </c>
      <c r="H2244" s="78" t="s">
        <v>386</v>
      </c>
      <c r="I2244" s="79" t="s">
        <v>1666</v>
      </c>
      <c r="J2244" t="str">
        <f t="shared" si="72"/>
        <v>10229204 - Vista Las Palmas-Proyecto</v>
      </c>
      <c r="K2244" t="str">
        <f t="shared" si="73"/>
        <v>Proyectos Inmobiliarios</v>
      </c>
    </row>
    <row r="2245" spans="1:11" x14ac:dyDescent="0.25">
      <c r="A2245" s="78">
        <v>10229301</v>
      </c>
      <c r="B2245" s="79" t="s">
        <v>1082</v>
      </c>
      <c r="C2245" s="79" t="s">
        <v>1670</v>
      </c>
      <c r="D2245" s="79" t="s">
        <v>1665</v>
      </c>
      <c r="E2245" s="79" t="s">
        <v>1643</v>
      </c>
      <c r="F2245" s="79" t="s">
        <v>1076</v>
      </c>
      <c r="G2245" s="79" t="s">
        <v>1667</v>
      </c>
      <c r="H2245" s="78" t="s">
        <v>386</v>
      </c>
      <c r="I2245" s="79" t="s">
        <v>1666</v>
      </c>
      <c r="J2245" t="str">
        <f t="shared" si="72"/>
        <v>10229301 - Vista Las Palmas-GAF</v>
      </c>
      <c r="K2245" t="str">
        <f t="shared" si="73"/>
        <v>Proyectos Inmobiliarios</v>
      </c>
    </row>
    <row r="2246" spans="1:11" x14ac:dyDescent="0.25">
      <c r="A2246" s="78">
        <v>10229505</v>
      </c>
      <c r="B2246" s="79" t="s">
        <v>1083</v>
      </c>
      <c r="C2246" s="79" t="s">
        <v>1670</v>
      </c>
      <c r="D2246" s="79" t="s">
        <v>66</v>
      </c>
      <c r="E2246" s="79" t="s">
        <v>328</v>
      </c>
      <c r="F2246" s="79" t="s">
        <v>1076</v>
      </c>
      <c r="G2246" s="79" t="s">
        <v>1661</v>
      </c>
      <c r="H2246" s="78" t="s">
        <v>386</v>
      </c>
      <c r="I2246" s="79" t="s">
        <v>1666</v>
      </c>
      <c r="J2246" t="str">
        <f t="shared" si="72"/>
        <v>10229505 - Vista Las Palmas-PV Inmob.</v>
      </c>
      <c r="K2246" t="str">
        <f t="shared" si="73"/>
        <v>Postventa</v>
      </c>
    </row>
    <row r="2247" spans="1:11" x14ac:dyDescent="0.25">
      <c r="A2247" s="78">
        <v>10229506</v>
      </c>
      <c r="B2247" s="79" t="s">
        <v>1084</v>
      </c>
      <c r="C2247" s="79" t="s">
        <v>1670</v>
      </c>
      <c r="D2247" s="79" t="s">
        <v>1665</v>
      </c>
      <c r="E2247" s="79" t="s">
        <v>200</v>
      </c>
      <c r="F2247" s="79" t="s">
        <v>1076</v>
      </c>
      <c r="G2247" s="79" t="s">
        <v>1661</v>
      </c>
      <c r="H2247" s="78" t="s">
        <v>386</v>
      </c>
      <c r="I2247" s="79" t="s">
        <v>1666</v>
      </c>
      <c r="J2247" t="str">
        <f t="shared" si="72"/>
        <v>10229506 - Vista Las Palmas-Depto.Técnico</v>
      </c>
      <c r="K2247" t="str">
        <f t="shared" si="73"/>
        <v>Proyectos Inmobiliarios</v>
      </c>
    </row>
    <row r="2248" spans="1:11" x14ac:dyDescent="0.25">
      <c r="A2248" s="68">
        <v>1051202</v>
      </c>
      <c r="B2248" s="69" t="s">
        <v>2676</v>
      </c>
      <c r="C2248" s="69" t="s">
        <v>1670</v>
      </c>
      <c r="D2248" s="69" t="s">
        <v>1578</v>
      </c>
      <c r="E2248" s="69" t="s">
        <v>1578</v>
      </c>
      <c r="F2248" s="69" t="s">
        <v>833</v>
      </c>
      <c r="G2248" s="69" t="s">
        <v>1661</v>
      </c>
      <c r="H2248" s="68" t="s">
        <v>1672</v>
      </c>
      <c r="I2248" s="69" t="s">
        <v>1662</v>
      </c>
      <c r="J2248" t="str">
        <f t="shared" si="72"/>
        <v>1051202 - Terreno Armando Moock-Desarrollo</v>
      </c>
      <c r="K2248" t="str">
        <f t="shared" si="73"/>
        <v>Terreno</v>
      </c>
    </row>
    <row r="2249" spans="1:11" x14ac:dyDescent="0.25">
      <c r="A2249" s="68">
        <v>188</v>
      </c>
      <c r="B2249" s="69" t="s">
        <v>833</v>
      </c>
      <c r="C2249" s="69" t="s">
        <v>1670</v>
      </c>
      <c r="D2249" s="69" t="s">
        <v>65</v>
      </c>
      <c r="E2249" s="69" t="s">
        <v>65</v>
      </c>
      <c r="F2249" s="69" t="s">
        <v>833</v>
      </c>
      <c r="G2249" s="69" t="s">
        <v>1663</v>
      </c>
      <c r="H2249" s="68" t="s">
        <v>1672</v>
      </c>
      <c r="I2249" s="69" t="s">
        <v>1664</v>
      </c>
      <c r="J2249" t="str">
        <f t="shared" si="72"/>
        <v>188 - Vista Macul</v>
      </c>
      <c r="K2249" t="str">
        <f t="shared" si="73"/>
        <v>Obra</v>
      </c>
    </row>
    <row r="2250" spans="1:11" x14ac:dyDescent="0.25">
      <c r="A2250" s="68">
        <v>9188</v>
      </c>
      <c r="B2250" s="69" t="s">
        <v>620</v>
      </c>
      <c r="C2250" s="69" t="s">
        <v>1670</v>
      </c>
      <c r="D2250" s="69" t="s">
        <v>66</v>
      </c>
      <c r="E2250" s="69" t="s">
        <v>328</v>
      </c>
      <c r="F2250" s="69" t="s">
        <v>833</v>
      </c>
      <c r="G2250" s="69" t="s">
        <v>1661</v>
      </c>
      <c r="H2250" s="68" t="s">
        <v>386</v>
      </c>
      <c r="I2250" s="69" t="s">
        <v>1666</v>
      </c>
      <c r="J2250" t="str">
        <f t="shared" si="72"/>
        <v>9188 - PV Vista Macul</v>
      </c>
      <c r="K2250" t="str">
        <f t="shared" si="73"/>
        <v>Postventa</v>
      </c>
    </row>
    <row r="2251" spans="1:11" x14ac:dyDescent="0.25">
      <c r="A2251" s="68">
        <v>10188000</v>
      </c>
      <c r="B2251" s="69" t="s">
        <v>833</v>
      </c>
      <c r="C2251" s="69" t="s">
        <v>1670</v>
      </c>
      <c r="D2251" s="69" t="s">
        <v>1665</v>
      </c>
      <c r="E2251" s="69" t="s">
        <v>1585</v>
      </c>
      <c r="F2251" s="69" t="s">
        <v>833</v>
      </c>
      <c r="G2251" s="69" t="s">
        <v>1661</v>
      </c>
      <c r="H2251" s="68" t="s">
        <v>386</v>
      </c>
      <c r="I2251" s="69" t="s">
        <v>1666</v>
      </c>
      <c r="J2251" t="str">
        <f t="shared" si="72"/>
        <v>10188000 - Vista Macul</v>
      </c>
      <c r="K2251" t="str">
        <f t="shared" si="73"/>
        <v>Proyectos Inmobiliarios</v>
      </c>
    </row>
    <row r="2252" spans="1:11" x14ac:dyDescent="0.25">
      <c r="A2252" s="68">
        <v>10188102</v>
      </c>
      <c r="B2252" s="69" t="s">
        <v>834</v>
      </c>
      <c r="C2252" s="69" t="s">
        <v>1670</v>
      </c>
      <c r="D2252" s="69" t="s">
        <v>1665</v>
      </c>
      <c r="E2252" s="69" t="s">
        <v>1617</v>
      </c>
      <c r="F2252" s="69" t="s">
        <v>833</v>
      </c>
      <c r="G2252" s="69" t="s">
        <v>1661</v>
      </c>
      <c r="H2252" s="68" t="s">
        <v>386</v>
      </c>
      <c r="I2252" s="69" t="s">
        <v>1666</v>
      </c>
      <c r="J2252" t="str">
        <f t="shared" si="72"/>
        <v>10188102 - Vista Macul-Marketing</v>
      </c>
      <c r="K2252" t="str">
        <f t="shared" si="73"/>
        <v>Proyectos Inmobiliarios</v>
      </c>
    </row>
    <row r="2253" spans="1:11" x14ac:dyDescent="0.25">
      <c r="A2253" s="68">
        <v>10188103</v>
      </c>
      <c r="B2253" s="69" t="s">
        <v>835</v>
      </c>
      <c r="C2253" s="69" t="s">
        <v>1670</v>
      </c>
      <c r="D2253" s="69" t="s">
        <v>1665</v>
      </c>
      <c r="E2253" s="69" t="s">
        <v>1618</v>
      </c>
      <c r="F2253" s="69" t="s">
        <v>833</v>
      </c>
      <c r="G2253" s="69" t="s">
        <v>1661</v>
      </c>
      <c r="H2253" s="68" t="s">
        <v>386</v>
      </c>
      <c r="I2253" s="69" t="s">
        <v>1666</v>
      </c>
      <c r="J2253" t="str">
        <f t="shared" si="72"/>
        <v>10188103 - Vista Macul-Operaciones</v>
      </c>
      <c r="K2253" t="str">
        <f t="shared" si="73"/>
        <v>Proyectos Inmobiliarios</v>
      </c>
    </row>
    <row r="2254" spans="1:11" x14ac:dyDescent="0.25">
      <c r="A2254" s="68">
        <v>10188104</v>
      </c>
      <c r="B2254" s="69" t="s">
        <v>836</v>
      </c>
      <c r="C2254" s="69" t="s">
        <v>1670</v>
      </c>
      <c r="D2254" s="69" t="s">
        <v>1665</v>
      </c>
      <c r="E2254" s="69" t="s">
        <v>90</v>
      </c>
      <c r="F2254" s="69" t="s">
        <v>833</v>
      </c>
      <c r="G2254" s="69" t="s">
        <v>1661</v>
      </c>
      <c r="H2254" s="68" t="s">
        <v>386</v>
      </c>
      <c r="I2254" s="69" t="s">
        <v>1666</v>
      </c>
      <c r="J2254" t="str">
        <f t="shared" si="72"/>
        <v>10188104 - Vista Macul-Ventas</v>
      </c>
      <c r="K2254" t="str">
        <f t="shared" si="73"/>
        <v>Proyectos Inmobiliarios</v>
      </c>
    </row>
    <row r="2255" spans="1:11" x14ac:dyDescent="0.25">
      <c r="A2255" s="68">
        <v>10188105</v>
      </c>
      <c r="B2255" s="69" t="s">
        <v>837</v>
      </c>
      <c r="C2255" s="69" t="s">
        <v>1670</v>
      </c>
      <c r="D2255" s="69" t="s">
        <v>1665</v>
      </c>
      <c r="E2255" s="69" t="s">
        <v>1622</v>
      </c>
      <c r="F2255" s="69" t="s">
        <v>833</v>
      </c>
      <c r="G2255" s="69" t="s">
        <v>1661</v>
      </c>
      <c r="H2255" s="68" t="s">
        <v>386</v>
      </c>
      <c r="I2255" s="69" t="s">
        <v>1666</v>
      </c>
      <c r="J2255" t="str">
        <f t="shared" si="72"/>
        <v>10188105 - Vista Macul-Clientes</v>
      </c>
      <c r="K2255" t="str">
        <f t="shared" si="73"/>
        <v>Proyectos Inmobiliarios</v>
      </c>
    </row>
    <row r="2256" spans="1:11" x14ac:dyDescent="0.25">
      <c r="A2256" s="68">
        <v>10188204</v>
      </c>
      <c r="B2256" s="69" t="s">
        <v>838</v>
      </c>
      <c r="C2256" s="69" t="s">
        <v>1670</v>
      </c>
      <c r="D2256" s="69" t="s">
        <v>1665</v>
      </c>
      <c r="E2256" s="69" t="s">
        <v>1624</v>
      </c>
      <c r="F2256" s="69" t="s">
        <v>833</v>
      </c>
      <c r="G2256" s="69" t="s">
        <v>1661</v>
      </c>
      <c r="H2256" s="68" t="s">
        <v>386</v>
      </c>
      <c r="I2256" s="69" t="s">
        <v>1666</v>
      </c>
      <c r="J2256" t="str">
        <f t="shared" si="72"/>
        <v>10188204 - Vista Macul-Proyecto</v>
      </c>
      <c r="K2256" t="str">
        <f t="shared" si="73"/>
        <v>Proyectos Inmobiliarios</v>
      </c>
    </row>
    <row r="2257" spans="1:11" x14ac:dyDescent="0.25">
      <c r="A2257" s="68">
        <v>10188301</v>
      </c>
      <c r="B2257" s="69" t="s">
        <v>839</v>
      </c>
      <c r="C2257" s="69" t="s">
        <v>1670</v>
      </c>
      <c r="D2257" s="69" t="s">
        <v>1665</v>
      </c>
      <c r="E2257" s="69" t="s">
        <v>1643</v>
      </c>
      <c r="F2257" s="69" t="s">
        <v>833</v>
      </c>
      <c r="G2257" s="69" t="s">
        <v>1667</v>
      </c>
      <c r="H2257" s="68" t="s">
        <v>386</v>
      </c>
      <c r="I2257" s="69" t="s">
        <v>1666</v>
      </c>
      <c r="J2257" t="str">
        <f t="shared" si="72"/>
        <v>10188301 - Vista Macul-GAF</v>
      </c>
      <c r="K2257" t="str">
        <f t="shared" si="73"/>
        <v>Proyectos Inmobiliarios</v>
      </c>
    </row>
    <row r="2258" spans="1:11" x14ac:dyDescent="0.25">
      <c r="A2258" s="68">
        <v>10188505</v>
      </c>
      <c r="B2258" s="69" t="s">
        <v>840</v>
      </c>
      <c r="C2258" s="69" t="s">
        <v>1670</v>
      </c>
      <c r="D2258" s="69" t="s">
        <v>66</v>
      </c>
      <c r="E2258" s="69" t="s">
        <v>328</v>
      </c>
      <c r="F2258" s="69" t="s">
        <v>833</v>
      </c>
      <c r="G2258" s="69" t="s">
        <v>1661</v>
      </c>
      <c r="H2258" s="68" t="s">
        <v>386</v>
      </c>
      <c r="I2258" s="69" t="s">
        <v>1666</v>
      </c>
      <c r="J2258" t="str">
        <f t="shared" si="72"/>
        <v>10188505 - Vista Macul-PV Inmob.</v>
      </c>
      <c r="K2258" t="str">
        <f t="shared" si="73"/>
        <v>Postventa</v>
      </c>
    </row>
    <row r="2259" spans="1:11" x14ac:dyDescent="0.25">
      <c r="A2259" s="68">
        <v>10188506</v>
      </c>
      <c r="B2259" s="69" t="s">
        <v>841</v>
      </c>
      <c r="C2259" s="69" t="s">
        <v>1670</v>
      </c>
      <c r="D2259" s="69" t="s">
        <v>1665</v>
      </c>
      <c r="E2259" s="69" t="s">
        <v>200</v>
      </c>
      <c r="F2259" s="69" t="s">
        <v>833</v>
      </c>
      <c r="G2259" s="69" t="s">
        <v>1661</v>
      </c>
      <c r="H2259" s="68" t="s">
        <v>386</v>
      </c>
      <c r="I2259" s="69" t="s">
        <v>1666</v>
      </c>
      <c r="J2259" t="str">
        <f t="shared" si="72"/>
        <v>10188506 - Vista Macul-Depto.Técnico</v>
      </c>
      <c r="K2259" t="str">
        <f t="shared" si="73"/>
        <v>Proyectos Inmobiliarios</v>
      </c>
    </row>
    <row r="2260" spans="1:11" x14ac:dyDescent="0.25">
      <c r="A2260" s="50">
        <v>999999999</v>
      </c>
      <c r="B2260" s="51" t="s">
        <v>1684</v>
      </c>
      <c r="C2260" s="51"/>
      <c r="D2260" s="51" t="s">
        <v>1578</v>
      </c>
      <c r="E2260" s="51" t="s">
        <v>1578</v>
      </c>
      <c r="F2260" s="51" t="s">
        <v>851</v>
      </c>
      <c r="G2260" s="51" t="s">
        <v>1661</v>
      </c>
      <c r="H2260" s="50" t="s">
        <v>1672</v>
      </c>
      <c r="I2260" s="51" t="s">
        <v>1662</v>
      </c>
      <c r="J2260" t="str">
        <f t="shared" si="72"/>
        <v>999999999 - Terreno Abuelo Proyectos sin Terreno</v>
      </c>
      <c r="K2260" t="str">
        <f t="shared" si="73"/>
        <v>Terreno</v>
      </c>
    </row>
    <row r="2261" spans="1:11" x14ac:dyDescent="0.25">
      <c r="A2261" s="50">
        <v>195</v>
      </c>
      <c r="B2261" s="51" t="s">
        <v>851</v>
      </c>
      <c r="C2261" s="51" t="s">
        <v>1670</v>
      </c>
      <c r="D2261" s="51" t="s">
        <v>65</v>
      </c>
      <c r="E2261" s="51" t="s">
        <v>65</v>
      </c>
      <c r="F2261" s="51" t="s">
        <v>851</v>
      </c>
      <c r="G2261" s="51" t="s">
        <v>1663</v>
      </c>
      <c r="H2261" s="50" t="s">
        <v>1672</v>
      </c>
      <c r="I2261" s="51" t="s">
        <v>1664</v>
      </c>
      <c r="J2261" t="str">
        <f t="shared" ref="J2261:J2313" si="74">+A2261&amp;" - "&amp;B2261</f>
        <v>195 - Vista Macul 2</v>
      </c>
      <c r="K2261" t="str">
        <f t="shared" ref="K2261:K2313" si="75">+D2261</f>
        <v>Obra</v>
      </c>
    </row>
    <row r="2262" spans="1:11" x14ac:dyDescent="0.25">
      <c r="A2262" s="50">
        <v>9195</v>
      </c>
      <c r="B2262" s="51" t="s">
        <v>624</v>
      </c>
      <c r="C2262" s="51" t="s">
        <v>1670</v>
      </c>
      <c r="D2262" s="51" t="s">
        <v>66</v>
      </c>
      <c r="E2262" s="51" t="s">
        <v>328</v>
      </c>
      <c r="F2262" s="51" t="s">
        <v>851</v>
      </c>
      <c r="G2262" s="51" t="s">
        <v>1661</v>
      </c>
      <c r="H2262" s="50" t="s">
        <v>386</v>
      </c>
      <c r="I2262" s="51" t="s">
        <v>1666</v>
      </c>
      <c r="J2262" t="str">
        <f t="shared" si="74"/>
        <v>9195 - PV Vista Macul 2</v>
      </c>
      <c r="K2262" t="str">
        <f t="shared" si="75"/>
        <v>Postventa</v>
      </c>
    </row>
    <row r="2263" spans="1:11" x14ac:dyDescent="0.25">
      <c r="A2263" s="50">
        <v>10195000</v>
      </c>
      <c r="B2263" s="51" t="s">
        <v>851</v>
      </c>
      <c r="C2263" s="51" t="s">
        <v>1670</v>
      </c>
      <c r="D2263" s="51" t="s">
        <v>1665</v>
      </c>
      <c r="E2263" s="51" t="s">
        <v>1585</v>
      </c>
      <c r="F2263" s="51" t="s">
        <v>851</v>
      </c>
      <c r="G2263" s="51" t="s">
        <v>1661</v>
      </c>
      <c r="H2263" s="50" t="s">
        <v>386</v>
      </c>
      <c r="I2263" s="51" t="s">
        <v>1666</v>
      </c>
      <c r="J2263" t="str">
        <f t="shared" si="74"/>
        <v>10195000 - Vista Macul 2</v>
      </c>
      <c r="K2263" t="str">
        <f t="shared" si="75"/>
        <v>Proyectos Inmobiliarios</v>
      </c>
    </row>
    <row r="2264" spans="1:11" x14ac:dyDescent="0.25">
      <c r="A2264" s="50">
        <v>10195102</v>
      </c>
      <c r="B2264" s="51" t="s">
        <v>852</v>
      </c>
      <c r="C2264" s="51" t="s">
        <v>1670</v>
      </c>
      <c r="D2264" s="51" t="s">
        <v>1665</v>
      </c>
      <c r="E2264" s="51" t="s">
        <v>1617</v>
      </c>
      <c r="F2264" s="51" t="s">
        <v>851</v>
      </c>
      <c r="G2264" s="51" t="s">
        <v>1661</v>
      </c>
      <c r="H2264" s="50" t="s">
        <v>386</v>
      </c>
      <c r="I2264" s="51" t="s">
        <v>1666</v>
      </c>
      <c r="J2264" t="str">
        <f t="shared" si="74"/>
        <v>10195102 - Vista Macul 2-Marketing</v>
      </c>
      <c r="K2264" t="str">
        <f t="shared" si="75"/>
        <v>Proyectos Inmobiliarios</v>
      </c>
    </row>
    <row r="2265" spans="1:11" x14ac:dyDescent="0.25">
      <c r="A2265" s="50">
        <v>10195103</v>
      </c>
      <c r="B2265" s="51" t="s">
        <v>853</v>
      </c>
      <c r="C2265" s="51" t="s">
        <v>1670</v>
      </c>
      <c r="D2265" s="51" t="s">
        <v>1665</v>
      </c>
      <c r="E2265" s="51" t="s">
        <v>1618</v>
      </c>
      <c r="F2265" s="51" t="s">
        <v>851</v>
      </c>
      <c r="G2265" s="51" t="s">
        <v>1661</v>
      </c>
      <c r="H2265" s="50" t="s">
        <v>386</v>
      </c>
      <c r="I2265" s="51" t="s">
        <v>1666</v>
      </c>
      <c r="J2265" t="str">
        <f t="shared" si="74"/>
        <v>10195103 - Vista Macul 2-Operaciones</v>
      </c>
      <c r="K2265" t="str">
        <f t="shared" si="75"/>
        <v>Proyectos Inmobiliarios</v>
      </c>
    </row>
    <row r="2266" spans="1:11" x14ac:dyDescent="0.25">
      <c r="A2266" s="50">
        <v>10195104</v>
      </c>
      <c r="B2266" s="51" t="s">
        <v>854</v>
      </c>
      <c r="C2266" s="51" t="s">
        <v>1670</v>
      </c>
      <c r="D2266" s="51" t="s">
        <v>1665</v>
      </c>
      <c r="E2266" s="51" t="s">
        <v>90</v>
      </c>
      <c r="F2266" s="51" t="s">
        <v>851</v>
      </c>
      <c r="G2266" s="51" t="s">
        <v>1661</v>
      </c>
      <c r="H2266" s="50" t="s">
        <v>386</v>
      </c>
      <c r="I2266" s="51" t="s">
        <v>1666</v>
      </c>
      <c r="J2266" t="str">
        <f t="shared" si="74"/>
        <v>10195104 - Vista Macul 2-Ventas</v>
      </c>
      <c r="K2266" t="str">
        <f t="shared" si="75"/>
        <v>Proyectos Inmobiliarios</v>
      </c>
    </row>
    <row r="2267" spans="1:11" x14ac:dyDescent="0.25">
      <c r="A2267" s="50">
        <v>10195105</v>
      </c>
      <c r="B2267" s="51" t="s">
        <v>855</v>
      </c>
      <c r="C2267" s="51" t="s">
        <v>1670</v>
      </c>
      <c r="D2267" s="51" t="s">
        <v>1665</v>
      </c>
      <c r="E2267" s="51" t="s">
        <v>1622</v>
      </c>
      <c r="F2267" s="51" t="s">
        <v>851</v>
      </c>
      <c r="G2267" s="51" t="s">
        <v>1661</v>
      </c>
      <c r="H2267" s="50" t="s">
        <v>386</v>
      </c>
      <c r="I2267" s="51" t="s">
        <v>1666</v>
      </c>
      <c r="J2267" t="str">
        <f t="shared" si="74"/>
        <v>10195105 - Vista Macul 2-Clientes</v>
      </c>
      <c r="K2267" t="str">
        <f t="shared" si="75"/>
        <v>Proyectos Inmobiliarios</v>
      </c>
    </row>
    <row r="2268" spans="1:11" x14ac:dyDescent="0.25">
      <c r="A2268" s="50">
        <v>10195204</v>
      </c>
      <c r="B2268" s="51" t="s">
        <v>856</v>
      </c>
      <c r="C2268" s="51" t="s">
        <v>1670</v>
      </c>
      <c r="D2268" s="51" t="s">
        <v>1665</v>
      </c>
      <c r="E2268" s="51" t="s">
        <v>1624</v>
      </c>
      <c r="F2268" s="51" t="s">
        <v>851</v>
      </c>
      <c r="G2268" s="51" t="s">
        <v>1661</v>
      </c>
      <c r="H2268" s="50" t="s">
        <v>386</v>
      </c>
      <c r="I2268" s="51" t="s">
        <v>1666</v>
      </c>
      <c r="J2268" t="str">
        <f t="shared" si="74"/>
        <v>10195204 - Vista Macul 2-Proyecto</v>
      </c>
      <c r="K2268" t="str">
        <f t="shared" si="75"/>
        <v>Proyectos Inmobiliarios</v>
      </c>
    </row>
    <row r="2269" spans="1:11" x14ac:dyDescent="0.25">
      <c r="A2269" s="50">
        <v>10195301</v>
      </c>
      <c r="B2269" s="51" t="s">
        <v>857</v>
      </c>
      <c r="C2269" s="51" t="s">
        <v>1670</v>
      </c>
      <c r="D2269" s="51" t="s">
        <v>1665</v>
      </c>
      <c r="E2269" s="51" t="s">
        <v>1643</v>
      </c>
      <c r="F2269" s="51" t="s">
        <v>851</v>
      </c>
      <c r="G2269" s="51" t="s">
        <v>1667</v>
      </c>
      <c r="H2269" s="50" t="s">
        <v>386</v>
      </c>
      <c r="I2269" s="51" t="s">
        <v>1666</v>
      </c>
      <c r="J2269" t="str">
        <f t="shared" si="74"/>
        <v>10195301 - Vista Macul 2-GAF</v>
      </c>
      <c r="K2269" t="str">
        <f t="shared" si="75"/>
        <v>Proyectos Inmobiliarios</v>
      </c>
    </row>
    <row r="2270" spans="1:11" x14ac:dyDescent="0.25">
      <c r="A2270" s="50">
        <v>10195505</v>
      </c>
      <c r="B2270" s="51" t="s">
        <v>858</v>
      </c>
      <c r="C2270" s="51" t="s">
        <v>1670</v>
      </c>
      <c r="D2270" s="51" t="s">
        <v>66</v>
      </c>
      <c r="E2270" s="51" t="s">
        <v>328</v>
      </c>
      <c r="F2270" s="51" t="s">
        <v>851</v>
      </c>
      <c r="G2270" s="51" t="s">
        <v>1661</v>
      </c>
      <c r="H2270" s="50" t="s">
        <v>386</v>
      </c>
      <c r="I2270" s="51" t="s">
        <v>1666</v>
      </c>
      <c r="J2270" t="str">
        <f t="shared" si="74"/>
        <v>10195505 - Vista Macul 2-PV Inmob.</v>
      </c>
      <c r="K2270" t="str">
        <f t="shared" si="75"/>
        <v>Postventa</v>
      </c>
    </row>
    <row r="2271" spans="1:11" x14ac:dyDescent="0.25">
      <c r="A2271" s="50">
        <v>10195506</v>
      </c>
      <c r="B2271" s="51" t="s">
        <v>859</v>
      </c>
      <c r="C2271" s="51" t="s">
        <v>1670</v>
      </c>
      <c r="D2271" s="51" t="s">
        <v>1665</v>
      </c>
      <c r="E2271" s="51" t="s">
        <v>200</v>
      </c>
      <c r="F2271" s="51" t="s">
        <v>851</v>
      </c>
      <c r="G2271" s="51" t="s">
        <v>1661</v>
      </c>
      <c r="H2271" s="50" t="s">
        <v>386</v>
      </c>
      <c r="I2271" s="51" t="s">
        <v>1666</v>
      </c>
      <c r="J2271" t="str">
        <f t="shared" si="74"/>
        <v>10195506 - Vista Macul 2-Depto.Técnico</v>
      </c>
      <c r="K2271" t="str">
        <f t="shared" si="75"/>
        <v>Proyectos Inmobiliarios</v>
      </c>
    </row>
    <row r="2272" spans="1:11" x14ac:dyDescent="0.25">
      <c r="A2272" s="66">
        <v>1041202</v>
      </c>
      <c r="B2272" s="67" t="s">
        <v>2677</v>
      </c>
      <c r="C2272" s="67" t="s">
        <v>1685</v>
      </c>
      <c r="D2272" s="67" t="s">
        <v>1578</v>
      </c>
      <c r="E2272" s="67" t="s">
        <v>1578</v>
      </c>
      <c r="F2272" s="67" t="s">
        <v>2678</v>
      </c>
      <c r="G2272" s="67" t="s">
        <v>1661</v>
      </c>
      <c r="H2272" s="66" t="s">
        <v>1672</v>
      </c>
      <c r="I2272" s="67" t="s">
        <v>1662</v>
      </c>
      <c r="J2272" t="str">
        <f t="shared" si="74"/>
        <v>1041202 - Terreno 6 1/2 Oriente-Desarrollo</v>
      </c>
      <c r="K2272" t="str">
        <f t="shared" si="75"/>
        <v>Terreno</v>
      </c>
    </row>
    <row r="2273" spans="1:11" x14ac:dyDescent="0.25">
      <c r="A2273" s="66">
        <v>131</v>
      </c>
      <c r="B2273" s="67" t="s">
        <v>2679</v>
      </c>
      <c r="C2273" s="67" t="s">
        <v>1685</v>
      </c>
      <c r="D2273" s="67" t="s">
        <v>65</v>
      </c>
      <c r="E2273" s="67" t="s">
        <v>65</v>
      </c>
      <c r="F2273" s="67" t="s">
        <v>2678</v>
      </c>
      <c r="G2273" s="67" t="s">
        <v>1663</v>
      </c>
      <c r="H2273" s="66" t="s">
        <v>1672</v>
      </c>
      <c r="I2273" s="67" t="s">
        <v>1664</v>
      </c>
      <c r="J2273" t="str">
        <f t="shared" si="74"/>
        <v>131 - Vista Oriente-SA</v>
      </c>
      <c r="K2273" t="str">
        <f t="shared" si="75"/>
        <v>Obra</v>
      </c>
    </row>
    <row r="2274" spans="1:11" x14ac:dyDescent="0.25">
      <c r="A2274" s="66">
        <v>9131</v>
      </c>
      <c r="B2274" s="67" t="s">
        <v>607</v>
      </c>
      <c r="C2274" s="67" t="s">
        <v>1685</v>
      </c>
      <c r="D2274" s="67" t="s">
        <v>66</v>
      </c>
      <c r="E2274" s="67" t="s">
        <v>328</v>
      </c>
      <c r="F2274" s="67" t="s">
        <v>2678</v>
      </c>
      <c r="G2274" s="67" t="s">
        <v>1661</v>
      </c>
      <c r="H2274" s="66" t="s">
        <v>386</v>
      </c>
      <c r="I2274" s="67" t="s">
        <v>1666</v>
      </c>
      <c r="J2274" t="str">
        <f t="shared" si="74"/>
        <v>9131 - PV Vista Oriente</v>
      </c>
      <c r="K2274" t="str">
        <f t="shared" si="75"/>
        <v>Postventa</v>
      </c>
    </row>
    <row r="2275" spans="1:11" x14ac:dyDescent="0.25">
      <c r="A2275" s="66">
        <v>10131000</v>
      </c>
      <c r="B2275" s="67" t="s">
        <v>2678</v>
      </c>
      <c r="C2275" s="67" t="s">
        <v>1685</v>
      </c>
      <c r="D2275" s="67" t="s">
        <v>1665</v>
      </c>
      <c r="E2275" s="67" t="s">
        <v>1585</v>
      </c>
      <c r="F2275" s="67" t="s">
        <v>2678</v>
      </c>
      <c r="G2275" s="67" t="s">
        <v>1661</v>
      </c>
      <c r="H2275" s="66" t="s">
        <v>1672</v>
      </c>
      <c r="I2275" s="67" t="s">
        <v>1666</v>
      </c>
      <c r="J2275" t="str">
        <f t="shared" si="74"/>
        <v>10131000 - Vista Oriente</v>
      </c>
      <c r="K2275" t="str">
        <f t="shared" si="75"/>
        <v>Proyectos Inmobiliarios</v>
      </c>
    </row>
    <row r="2276" spans="1:11" x14ac:dyDescent="0.25">
      <c r="A2276" s="66">
        <v>10131102</v>
      </c>
      <c r="B2276" s="67" t="s">
        <v>2680</v>
      </c>
      <c r="C2276" s="67" t="s">
        <v>1685</v>
      </c>
      <c r="D2276" s="67" t="s">
        <v>1665</v>
      </c>
      <c r="E2276" s="67" t="s">
        <v>1617</v>
      </c>
      <c r="F2276" s="67" t="s">
        <v>2678</v>
      </c>
      <c r="G2276" s="67" t="s">
        <v>1661</v>
      </c>
      <c r="H2276" s="66" t="s">
        <v>1672</v>
      </c>
      <c r="I2276" s="67" t="s">
        <v>1666</v>
      </c>
      <c r="J2276" t="str">
        <f t="shared" si="74"/>
        <v>10131102 - Vista Oriente-Marketing</v>
      </c>
      <c r="K2276" t="str">
        <f t="shared" si="75"/>
        <v>Proyectos Inmobiliarios</v>
      </c>
    </row>
    <row r="2277" spans="1:11" x14ac:dyDescent="0.25">
      <c r="A2277" s="66">
        <v>10131103</v>
      </c>
      <c r="B2277" s="67" t="s">
        <v>2681</v>
      </c>
      <c r="C2277" s="67" t="s">
        <v>1685</v>
      </c>
      <c r="D2277" s="67" t="s">
        <v>1665</v>
      </c>
      <c r="E2277" s="67" t="s">
        <v>1618</v>
      </c>
      <c r="F2277" s="67" t="s">
        <v>2678</v>
      </c>
      <c r="G2277" s="67" t="s">
        <v>1661</v>
      </c>
      <c r="H2277" s="66" t="s">
        <v>1672</v>
      </c>
      <c r="I2277" s="67" t="s">
        <v>1666</v>
      </c>
      <c r="J2277" t="str">
        <f t="shared" si="74"/>
        <v>10131103 - Vista Oriente-Operaciones</v>
      </c>
      <c r="K2277" t="str">
        <f t="shared" si="75"/>
        <v>Proyectos Inmobiliarios</v>
      </c>
    </row>
    <row r="2278" spans="1:11" x14ac:dyDescent="0.25">
      <c r="A2278" s="66">
        <v>10131104</v>
      </c>
      <c r="B2278" s="67" t="s">
        <v>2682</v>
      </c>
      <c r="C2278" s="67" t="s">
        <v>1685</v>
      </c>
      <c r="D2278" s="67" t="s">
        <v>1665</v>
      </c>
      <c r="E2278" s="67" t="s">
        <v>90</v>
      </c>
      <c r="F2278" s="67" t="s">
        <v>2678</v>
      </c>
      <c r="G2278" s="67" t="s">
        <v>1661</v>
      </c>
      <c r="H2278" s="66" t="s">
        <v>1672</v>
      </c>
      <c r="I2278" s="67" t="s">
        <v>1666</v>
      </c>
      <c r="J2278" t="str">
        <f t="shared" si="74"/>
        <v>10131104 - Vista Oriente-Ventas</v>
      </c>
      <c r="K2278" t="str">
        <f t="shared" si="75"/>
        <v>Proyectos Inmobiliarios</v>
      </c>
    </row>
    <row r="2279" spans="1:11" x14ac:dyDescent="0.25">
      <c r="A2279" s="66">
        <v>10131105</v>
      </c>
      <c r="B2279" s="67" t="s">
        <v>2683</v>
      </c>
      <c r="C2279" s="67" t="s">
        <v>1685</v>
      </c>
      <c r="D2279" s="67" t="s">
        <v>1665</v>
      </c>
      <c r="E2279" s="67" t="s">
        <v>1622</v>
      </c>
      <c r="F2279" s="67" t="s">
        <v>2678</v>
      </c>
      <c r="G2279" s="67" t="s">
        <v>1661</v>
      </c>
      <c r="H2279" s="66" t="s">
        <v>1672</v>
      </c>
      <c r="I2279" s="67" t="s">
        <v>1666</v>
      </c>
      <c r="J2279" t="str">
        <f t="shared" si="74"/>
        <v>10131105 - Vista Oriente-Clientes</v>
      </c>
      <c r="K2279" t="str">
        <f t="shared" si="75"/>
        <v>Proyectos Inmobiliarios</v>
      </c>
    </row>
    <row r="2280" spans="1:11" x14ac:dyDescent="0.25">
      <c r="A2280" s="66">
        <v>10131205</v>
      </c>
      <c r="B2280" s="67" t="s">
        <v>2684</v>
      </c>
      <c r="C2280" s="67" t="s">
        <v>1685</v>
      </c>
      <c r="D2280" s="67" t="s">
        <v>1665</v>
      </c>
      <c r="E2280" s="67" t="s">
        <v>1624</v>
      </c>
      <c r="F2280" s="67" t="s">
        <v>2678</v>
      </c>
      <c r="G2280" s="67" t="s">
        <v>1661</v>
      </c>
      <c r="H2280" s="66" t="s">
        <v>1672</v>
      </c>
      <c r="I2280" s="67" t="s">
        <v>1666</v>
      </c>
      <c r="J2280" t="str">
        <f t="shared" si="74"/>
        <v>10131205 - Vista Oriente-Proyecto</v>
      </c>
      <c r="K2280" t="str">
        <f t="shared" si="75"/>
        <v>Proyectos Inmobiliarios</v>
      </c>
    </row>
    <row r="2281" spans="1:11" x14ac:dyDescent="0.25">
      <c r="A2281" s="66">
        <v>10131301</v>
      </c>
      <c r="B2281" s="67" t="s">
        <v>2685</v>
      </c>
      <c r="C2281" s="67" t="s">
        <v>1685</v>
      </c>
      <c r="D2281" s="67" t="s">
        <v>1665</v>
      </c>
      <c r="E2281" s="67" t="s">
        <v>1643</v>
      </c>
      <c r="F2281" s="67" t="s">
        <v>2678</v>
      </c>
      <c r="G2281" s="67" t="s">
        <v>1667</v>
      </c>
      <c r="H2281" s="66" t="s">
        <v>1672</v>
      </c>
      <c r="I2281" s="67" t="s">
        <v>1666</v>
      </c>
      <c r="J2281" t="str">
        <f t="shared" si="74"/>
        <v>10131301 - Vista Oriente-GAF</v>
      </c>
      <c r="K2281" t="str">
        <f t="shared" si="75"/>
        <v>Proyectos Inmobiliarios</v>
      </c>
    </row>
    <row r="2282" spans="1:11" x14ac:dyDescent="0.25">
      <c r="A2282" s="66">
        <v>10131505</v>
      </c>
      <c r="B2282" s="67" t="s">
        <v>2686</v>
      </c>
      <c r="C2282" s="67" t="s">
        <v>1685</v>
      </c>
      <c r="D2282" s="67" t="s">
        <v>66</v>
      </c>
      <c r="E2282" s="67" t="s">
        <v>328</v>
      </c>
      <c r="F2282" s="67" t="s">
        <v>2678</v>
      </c>
      <c r="G2282" s="67" t="s">
        <v>1661</v>
      </c>
      <c r="H2282" s="66" t="s">
        <v>1672</v>
      </c>
      <c r="I2282" s="67" t="s">
        <v>1666</v>
      </c>
      <c r="J2282" t="str">
        <f t="shared" si="74"/>
        <v>10131505 - Vista Oriente-PV Inmob.</v>
      </c>
      <c r="K2282" t="str">
        <f t="shared" si="75"/>
        <v>Postventa</v>
      </c>
    </row>
    <row r="2283" spans="1:11" x14ac:dyDescent="0.25">
      <c r="A2283" s="66">
        <v>10131506</v>
      </c>
      <c r="B2283" s="67" t="s">
        <v>2687</v>
      </c>
      <c r="C2283" s="67" t="s">
        <v>1685</v>
      </c>
      <c r="D2283" s="67" t="s">
        <v>1665</v>
      </c>
      <c r="E2283" s="67" t="s">
        <v>200</v>
      </c>
      <c r="F2283" s="67" t="s">
        <v>2678</v>
      </c>
      <c r="G2283" s="67" t="s">
        <v>1661</v>
      </c>
      <c r="H2283" s="66" t="s">
        <v>1672</v>
      </c>
      <c r="I2283" s="67" t="s">
        <v>1666</v>
      </c>
      <c r="J2283" t="str">
        <f t="shared" si="74"/>
        <v>10131506 - Vista Oriente-Depto.Técnico</v>
      </c>
      <c r="K2283" t="str">
        <f t="shared" si="75"/>
        <v>Proyectos Inmobiliarios</v>
      </c>
    </row>
    <row r="2284" spans="1:11" x14ac:dyDescent="0.25">
      <c r="A2284" s="50">
        <v>999999999</v>
      </c>
      <c r="B2284" s="51" t="s">
        <v>1684</v>
      </c>
      <c r="C2284" s="51"/>
      <c r="D2284" s="51" t="s">
        <v>1578</v>
      </c>
      <c r="E2284" s="51" t="s">
        <v>1578</v>
      </c>
      <c r="F2284" s="51" t="s">
        <v>2688</v>
      </c>
      <c r="G2284" s="51" t="s">
        <v>1661</v>
      </c>
      <c r="H2284" s="50" t="s">
        <v>1672</v>
      </c>
      <c r="I2284" s="51" t="s">
        <v>1662</v>
      </c>
      <c r="J2284" t="str">
        <f t="shared" si="74"/>
        <v>999999999 - Terreno Abuelo Proyectos sin Terreno</v>
      </c>
      <c r="K2284" t="str">
        <f t="shared" si="75"/>
        <v>Terreno</v>
      </c>
    </row>
    <row r="2285" spans="1:11" x14ac:dyDescent="0.25">
      <c r="A2285" s="50">
        <v>999</v>
      </c>
      <c r="B2285" s="51" t="s">
        <v>1808</v>
      </c>
      <c r="C2285" s="51"/>
      <c r="D2285" s="51" t="s">
        <v>65</v>
      </c>
      <c r="E2285" s="51" t="s">
        <v>65</v>
      </c>
      <c r="F2285" s="51" t="s">
        <v>2688</v>
      </c>
      <c r="G2285" s="51" t="s">
        <v>1663</v>
      </c>
      <c r="H2285" s="50" t="s">
        <v>1672</v>
      </c>
      <c r="I2285" s="51" t="s">
        <v>1664</v>
      </c>
      <c r="J2285" t="str">
        <f t="shared" si="74"/>
        <v>999 - Obra Padre Proyectos sin Obra</v>
      </c>
      <c r="K2285" t="str">
        <f t="shared" si="75"/>
        <v>Obra</v>
      </c>
    </row>
    <row r="2286" spans="1:11" x14ac:dyDescent="0.25">
      <c r="A2286" s="50">
        <v>10028000</v>
      </c>
      <c r="B2286" s="51" t="s">
        <v>2688</v>
      </c>
      <c r="C2286" s="51" t="s">
        <v>1685</v>
      </c>
      <c r="D2286" s="51" t="s">
        <v>1665</v>
      </c>
      <c r="E2286" s="51" t="s">
        <v>1585</v>
      </c>
      <c r="F2286" s="51" t="s">
        <v>2688</v>
      </c>
      <c r="G2286" s="51" t="s">
        <v>1661</v>
      </c>
      <c r="H2286" s="50" t="s">
        <v>1672</v>
      </c>
      <c r="I2286" s="51" t="s">
        <v>1666</v>
      </c>
      <c r="J2286" t="str">
        <f t="shared" si="74"/>
        <v>10028000 - Vista Placeres</v>
      </c>
      <c r="K2286" t="str">
        <f t="shared" si="75"/>
        <v>Proyectos Inmobiliarios</v>
      </c>
    </row>
    <row r="2287" spans="1:11" x14ac:dyDescent="0.25">
      <c r="A2287" s="50">
        <v>10028103</v>
      </c>
      <c r="B2287" s="51" t="s">
        <v>2689</v>
      </c>
      <c r="C2287" s="51" t="s">
        <v>1685</v>
      </c>
      <c r="D2287" s="51" t="s">
        <v>1665</v>
      </c>
      <c r="E2287" s="51" t="s">
        <v>1618</v>
      </c>
      <c r="F2287" s="51" t="s">
        <v>2688</v>
      </c>
      <c r="G2287" s="51" t="s">
        <v>1661</v>
      </c>
      <c r="H2287" s="50" t="s">
        <v>1672</v>
      </c>
      <c r="I2287" s="51" t="s">
        <v>1666</v>
      </c>
      <c r="J2287" t="str">
        <f t="shared" si="74"/>
        <v>10028103 - Vista Placeres-Operaciones</v>
      </c>
      <c r="K2287" t="str">
        <f t="shared" si="75"/>
        <v>Proyectos Inmobiliarios</v>
      </c>
    </row>
    <row r="2288" spans="1:11" x14ac:dyDescent="0.25">
      <c r="A2288" s="50">
        <v>10028104</v>
      </c>
      <c r="B2288" s="51" t="s">
        <v>2690</v>
      </c>
      <c r="C2288" s="51" t="s">
        <v>1685</v>
      </c>
      <c r="D2288" s="51" t="s">
        <v>1665</v>
      </c>
      <c r="E2288" s="51" t="s">
        <v>90</v>
      </c>
      <c r="F2288" s="51" t="s">
        <v>2688</v>
      </c>
      <c r="G2288" s="51" t="s">
        <v>90</v>
      </c>
      <c r="H2288" s="50" t="s">
        <v>1672</v>
      </c>
      <c r="I2288" s="51" t="s">
        <v>1666</v>
      </c>
      <c r="J2288" t="str">
        <f t="shared" si="74"/>
        <v>10028104 - Vista Placeres-Ventas</v>
      </c>
      <c r="K2288" t="str">
        <f t="shared" si="75"/>
        <v>Proyectos Inmobiliarios</v>
      </c>
    </row>
    <row r="2289" spans="1:11" x14ac:dyDescent="0.25">
      <c r="A2289" s="50">
        <v>10028105</v>
      </c>
      <c r="B2289" s="51" t="s">
        <v>2691</v>
      </c>
      <c r="C2289" s="51" t="s">
        <v>1685</v>
      </c>
      <c r="D2289" s="51" t="s">
        <v>1665</v>
      </c>
      <c r="E2289" s="51" t="s">
        <v>1622</v>
      </c>
      <c r="F2289" s="51" t="s">
        <v>2688</v>
      </c>
      <c r="G2289" s="51" t="s">
        <v>1661</v>
      </c>
      <c r="H2289" s="50" t="s">
        <v>1672</v>
      </c>
      <c r="I2289" s="51" t="s">
        <v>1666</v>
      </c>
      <c r="J2289" t="str">
        <f t="shared" si="74"/>
        <v>10028105 - Vista Placeres-Clientes</v>
      </c>
      <c r="K2289" t="str">
        <f t="shared" si="75"/>
        <v>Proyectos Inmobiliarios</v>
      </c>
    </row>
    <row r="2290" spans="1:11" x14ac:dyDescent="0.25">
      <c r="A2290" s="50">
        <v>10028205</v>
      </c>
      <c r="B2290" s="51" t="s">
        <v>287</v>
      </c>
      <c r="C2290" s="51" t="s">
        <v>1685</v>
      </c>
      <c r="D2290" s="51" t="s">
        <v>1665</v>
      </c>
      <c r="E2290" s="51" t="s">
        <v>1624</v>
      </c>
      <c r="F2290" s="51" t="s">
        <v>2688</v>
      </c>
      <c r="G2290" s="51" t="s">
        <v>1661</v>
      </c>
      <c r="H2290" s="50" t="s">
        <v>1672</v>
      </c>
      <c r="I2290" s="51" t="s">
        <v>1666</v>
      </c>
      <c r="J2290" t="str">
        <f t="shared" si="74"/>
        <v>10028205 - Vista Placeres-Proyecto</v>
      </c>
      <c r="K2290" t="str">
        <f t="shared" si="75"/>
        <v>Proyectos Inmobiliarios</v>
      </c>
    </row>
    <row r="2291" spans="1:11" x14ac:dyDescent="0.25">
      <c r="A2291" s="50">
        <v>10028301</v>
      </c>
      <c r="B2291" s="51" t="s">
        <v>2692</v>
      </c>
      <c r="C2291" s="51" t="s">
        <v>1685</v>
      </c>
      <c r="D2291" s="51" t="s">
        <v>1665</v>
      </c>
      <c r="E2291" s="51" t="s">
        <v>1643</v>
      </c>
      <c r="F2291" s="51" t="s">
        <v>2688</v>
      </c>
      <c r="G2291" s="51" t="s">
        <v>1667</v>
      </c>
      <c r="H2291" s="50" t="s">
        <v>1672</v>
      </c>
      <c r="I2291" s="51" t="s">
        <v>1666</v>
      </c>
      <c r="J2291" t="str">
        <f t="shared" si="74"/>
        <v>10028301 - Vista Placeres-GAF</v>
      </c>
      <c r="K2291" t="str">
        <f t="shared" si="75"/>
        <v>Proyectos Inmobiliarios</v>
      </c>
    </row>
    <row r="2292" spans="1:11" x14ac:dyDescent="0.25">
      <c r="A2292" s="58">
        <v>999999999</v>
      </c>
      <c r="B2292" s="59" t="s">
        <v>1684</v>
      </c>
      <c r="C2292" s="59"/>
      <c r="D2292" s="59" t="s">
        <v>1578</v>
      </c>
      <c r="E2292" s="59" t="s">
        <v>1578</v>
      </c>
      <c r="F2292" s="59" t="s">
        <v>2693</v>
      </c>
      <c r="G2292" s="59" t="s">
        <v>1661</v>
      </c>
      <c r="H2292" s="58" t="s">
        <v>1672</v>
      </c>
      <c r="I2292" s="59" t="s">
        <v>1662</v>
      </c>
      <c r="J2292" t="str">
        <f t="shared" si="74"/>
        <v>999999999 - Terreno Abuelo Proyectos sin Terreno</v>
      </c>
      <c r="K2292" t="str">
        <f t="shared" si="75"/>
        <v>Terreno</v>
      </c>
    </row>
    <row r="2293" spans="1:11" x14ac:dyDescent="0.25">
      <c r="A2293" s="58">
        <v>999</v>
      </c>
      <c r="B2293" s="59" t="s">
        <v>1808</v>
      </c>
      <c r="C2293" s="59"/>
      <c r="D2293" s="59" t="s">
        <v>65</v>
      </c>
      <c r="E2293" s="59" t="s">
        <v>65</v>
      </c>
      <c r="F2293" s="59" t="s">
        <v>2693</v>
      </c>
      <c r="G2293" s="59" t="s">
        <v>1663</v>
      </c>
      <c r="H2293" s="58" t="s">
        <v>1672</v>
      </c>
      <c r="I2293" s="59" t="s">
        <v>1664</v>
      </c>
      <c r="J2293" t="str">
        <f t="shared" si="74"/>
        <v>999 - Obra Padre Proyectos sin Obra</v>
      </c>
      <c r="K2293" t="str">
        <f t="shared" si="75"/>
        <v>Obra</v>
      </c>
    </row>
    <row r="2294" spans="1:11" x14ac:dyDescent="0.25">
      <c r="A2294" s="58">
        <v>9901</v>
      </c>
      <c r="B2294" s="59" t="s">
        <v>679</v>
      </c>
      <c r="C2294" s="59" t="s">
        <v>1660</v>
      </c>
      <c r="D2294" s="59" t="s">
        <v>66</v>
      </c>
      <c r="E2294" s="59" t="s">
        <v>328</v>
      </c>
      <c r="F2294" s="59" t="s">
        <v>2693</v>
      </c>
      <c r="G2294" s="59" t="s">
        <v>1661</v>
      </c>
      <c r="H2294" s="58" t="s">
        <v>386</v>
      </c>
      <c r="I2294" s="59" t="s">
        <v>1666</v>
      </c>
      <c r="J2294" t="str">
        <f t="shared" si="74"/>
        <v>9901 - PV Vistamar I</v>
      </c>
      <c r="K2294" t="str">
        <f t="shared" si="75"/>
        <v>Postventa</v>
      </c>
    </row>
    <row r="2295" spans="1:11" x14ac:dyDescent="0.25">
      <c r="A2295" s="43">
        <v>10365000</v>
      </c>
      <c r="B2295" t="s">
        <v>1476</v>
      </c>
      <c r="C2295" t="s">
        <v>1670</v>
      </c>
      <c r="D2295" t="s">
        <v>1665</v>
      </c>
      <c r="E2295" t="s">
        <v>1585</v>
      </c>
      <c r="F2295" t="s">
        <v>1476</v>
      </c>
      <c r="G2295" t="s">
        <v>1661</v>
      </c>
      <c r="H2295" s="43" t="s">
        <v>386</v>
      </c>
      <c r="I2295" t="s">
        <v>1666</v>
      </c>
      <c r="J2295" t="str">
        <f t="shared" si="74"/>
        <v>10365000 - Condominio Parque Del Sur Torre B</v>
      </c>
      <c r="K2295" t="str">
        <f t="shared" si="75"/>
        <v>Proyectos Inmobiliarios</v>
      </c>
    </row>
    <row r="2296" spans="1:11" x14ac:dyDescent="0.25">
      <c r="A2296" s="43">
        <v>10365102</v>
      </c>
      <c r="B2296" t="s">
        <v>1477</v>
      </c>
      <c r="C2296" t="s">
        <v>1670</v>
      </c>
      <c r="D2296" t="s">
        <v>1665</v>
      </c>
      <c r="E2296" t="s">
        <v>1617</v>
      </c>
      <c r="F2296" t="s">
        <v>1476</v>
      </c>
      <c r="G2296" t="s">
        <v>1661</v>
      </c>
      <c r="H2296" s="43" t="s">
        <v>386</v>
      </c>
      <c r="I2296" t="s">
        <v>1666</v>
      </c>
      <c r="J2296" t="str">
        <f t="shared" si="74"/>
        <v>10365102 - Condominio Parque Del Sur Torre B-Marketing</v>
      </c>
      <c r="K2296" t="str">
        <f t="shared" si="75"/>
        <v>Proyectos Inmobiliarios</v>
      </c>
    </row>
    <row r="2297" spans="1:11" x14ac:dyDescent="0.25">
      <c r="A2297" s="43">
        <v>10365103</v>
      </c>
      <c r="B2297" t="s">
        <v>1478</v>
      </c>
      <c r="C2297" t="s">
        <v>1670</v>
      </c>
      <c r="D2297" t="s">
        <v>1665</v>
      </c>
      <c r="E2297" t="s">
        <v>1618</v>
      </c>
      <c r="F2297" t="s">
        <v>1476</v>
      </c>
      <c r="G2297" t="s">
        <v>1661</v>
      </c>
      <c r="H2297" s="43" t="s">
        <v>386</v>
      </c>
      <c r="I2297" t="s">
        <v>1666</v>
      </c>
      <c r="J2297" t="str">
        <f t="shared" si="74"/>
        <v>10365103 - Condominio Parque Del Sur Torre B-Operaciones</v>
      </c>
      <c r="K2297" t="str">
        <f t="shared" si="75"/>
        <v>Proyectos Inmobiliarios</v>
      </c>
    </row>
    <row r="2298" spans="1:11" x14ac:dyDescent="0.25">
      <c r="A2298" s="43">
        <v>10365104</v>
      </c>
      <c r="B2298" t="s">
        <v>1479</v>
      </c>
      <c r="C2298" t="s">
        <v>1670</v>
      </c>
      <c r="D2298" t="s">
        <v>1665</v>
      </c>
      <c r="E2298" t="s">
        <v>90</v>
      </c>
      <c r="F2298" t="s">
        <v>1476</v>
      </c>
      <c r="G2298" t="s">
        <v>1661</v>
      </c>
      <c r="H2298" s="43" t="s">
        <v>386</v>
      </c>
      <c r="I2298" t="s">
        <v>1666</v>
      </c>
      <c r="J2298" t="str">
        <f t="shared" si="74"/>
        <v>10365104 - Condominio Parque Del Sur Torre B-Ventas</v>
      </c>
      <c r="K2298" t="str">
        <f t="shared" si="75"/>
        <v>Proyectos Inmobiliarios</v>
      </c>
    </row>
    <row r="2299" spans="1:11" x14ac:dyDescent="0.25">
      <c r="A2299" s="43">
        <v>10365105</v>
      </c>
      <c r="B2299" t="s">
        <v>1480</v>
      </c>
      <c r="C2299" t="s">
        <v>1670</v>
      </c>
      <c r="D2299" t="s">
        <v>1665</v>
      </c>
      <c r="E2299" t="s">
        <v>1622</v>
      </c>
      <c r="F2299" t="s">
        <v>1476</v>
      </c>
      <c r="G2299" t="s">
        <v>1661</v>
      </c>
      <c r="H2299" s="43" t="s">
        <v>386</v>
      </c>
      <c r="I2299" t="s">
        <v>1666</v>
      </c>
      <c r="J2299" t="str">
        <f t="shared" si="74"/>
        <v>10365105 - Condominio Parque Del Sur Torre B-Clientes</v>
      </c>
      <c r="K2299" t="str">
        <f t="shared" si="75"/>
        <v>Proyectos Inmobiliarios</v>
      </c>
    </row>
    <row r="2300" spans="1:11" x14ac:dyDescent="0.25">
      <c r="A2300" s="43">
        <v>10365204</v>
      </c>
      <c r="B2300" t="s">
        <v>1481</v>
      </c>
      <c r="C2300" t="s">
        <v>1670</v>
      </c>
      <c r="D2300" t="s">
        <v>1665</v>
      </c>
      <c r="E2300" t="s">
        <v>1624</v>
      </c>
      <c r="F2300" t="s">
        <v>1476</v>
      </c>
      <c r="G2300" t="s">
        <v>1661</v>
      </c>
      <c r="H2300" s="43" t="s">
        <v>386</v>
      </c>
      <c r="I2300" t="s">
        <v>1666</v>
      </c>
      <c r="J2300" t="str">
        <f t="shared" si="74"/>
        <v>10365204 - Condominio Parque Del Sur Torre B-Proyecto</v>
      </c>
      <c r="K2300" t="str">
        <f t="shared" si="75"/>
        <v>Proyectos Inmobiliarios</v>
      </c>
    </row>
    <row r="2301" spans="1:11" x14ac:dyDescent="0.25">
      <c r="A2301" s="43">
        <v>10365301</v>
      </c>
      <c r="B2301" t="s">
        <v>1482</v>
      </c>
      <c r="C2301" t="s">
        <v>1670</v>
      </c>
      <c r="D2301" t="s">
        <v>1665</v>
      </c>
      <c r="E2301" t="s">
        <v>1643</v>
      </c>
      <c r="F2301" t="s">
        <v>1476</v>
      </c>
      <c r="G2301" t="s">
        <v>1667</v>
      </c>
      <c r="H2301" s="43" t="s">
        <v>386</v>
      </c>
      <c r="I2301" t="s">
        <v>1666</v>
      </c>
      <c r="J2301" t="str">
        <f t="shared" si="74"/>
        <v>10365301 - Condominio Parque Del Sur Torre B-GAF</v>
      </c>
      <c r="K2301" t="str">
        <f t="shared" si="75"/>
        <v>Proyectos Inmobiliarios</v>
      </c>
    </row>
    <row r="2302" spans="1:11" x14ac:dyDescent="0.25">
      <c r="A2302" s="43">
        <v>10365505</v>
      </c>
      <c r="B2302" t="s">
        <v>1483</v>
      </c>
      <c r="C2302" t="s">
        <v>1670</v>
      </c>
      <c r="D2302" t="s">
        <v>66</v>
      </c>
      <c r="E2302" t="s">
        <v>328</v>
      </c>
      <c r="F2302" t="s">
        <v>1476</v>
      </c>
      <c r="G2302" t="s">
        <v>1661</v>
      </c>
      <c r="H2302" s="43" t="s">
        <v>386</v>
      </c>
      <c r="I2302" t="s">
        <v>1666</v>
      </c>
      <c r="J2302" t="str">
        <f t="shared" si="74"/>
        <v>10365505 - Condominio Parque Del Sur Torre B-PV Inmob.</v>
      </c>
      <c r="K2302" t="str">
        <f t="shared" si="75"/>
        <v>Postventa</v>
      </c>
    </row>
    <row r="2303" spans="1:11" x14ac:dyDescent="0.25">
      <c r="A2303" s="43">
        <v>10365506</v>
      </c>
      <c r="B2303" t="s">
        <v>1484</v>
      </c>
      <c r="C2303" t="s">
        <v>1670</v>
      </c>
      <c r="D2303" t="s">
        <v>1665</v>
      </c>
      <c r="E2303" t="s">
        <v>200</v>
      </c>
      <c r="F2303" t="s">
        <v>1476</v>
      </c>
      <c r="G2303" t="s">
        <v>1661</v>
      </c>
      <c r="H2303" s="43" t="s">
        <v>386</v>
      </c>
      <c r="I2303" t="s">
        <v>1666</v>
      </c>
      <c r="J2303" t="str">
        <f t="shared" si="74"/>
        <v>10365506 - Condominio Parque Del Sur Torre B-Depto.Técnico</v>
      </c>
      <c r="K2303" t="str">
        <f t="shared" si="75"/>
        <v>Proyectos Inmobiliarios</v>
      </c>
    </row>
    <row r="2304" spans="1:11" x14ac:dyDescent="0.25">
      <c r="A2304" s="43">
        <v>10366000</v>
      </c>
      <c r="B2304" t="s">
        <v>1485</v>
      </c>
      <c r="C2304" t="s">
        <v>1670</v>
      </c>
      <c r="D2304" t="s">
        <v>1665</v>
      </c>
      <c r="E2304" t="s">
        <v>1585</v>
      </c>
      <c r="F2304" t="s">
        <v>1485</v>
      </c>
      <c r="G2304" t="s">
        <v>1661</v>
      </c>
      <c r="H2304" s="43" t="s">
        <v>386</v>
      </c>
      <c r="I2304" t="s">
        <v>1666</v>
      </c>
      <c r="J2304" t="str">
        <f t="shared" si="74"/>
        <v>10366000 - Condominio Parque Del Sur Torre C</v>
      </c>
      <c r="K2304" t="str">
        <f t="shared" si="75"/>
        <v>Proyectos Inmobiliarios</v>
      </c>
    </row>
    <row r="2305" spans="1:11" x14ac:dyDescent="0.25">
      <c r="A2305" s="43">
        <v>10366102</v>
      </c>
      <c r="B2305" t="s">
        <v>1486</v>
      </c>
      <c r="C2305" t="s">
        <v>1670</v>
      </c>
      <c r="D2305" t="s">
        <v>1665</v>
      </c>
      <c r="E2305" t="s">
        <v>1617</v>
      </c>
      <c r="F2305" t="s">
        <v>1485</v>
      </c>
      <c r="G2305" t="s">
        <v>1661</v>
      </c>
      <c r="H2305" s="43" t="s">
        <v>386</v>
      </c>
      <c r="I2305" t="s">
        <v>1666</v>
      </c>
      <c r="J2305" t="str">
        <f t="shared" si="74"/>
        <v>10366102 - Condominio Parque Del Sur Torre C-Marketing</v>
      </c>
      <c r="K2305" t="str">
        <f t="shared" si="75"/>
        <v>Proyectos Inmobiliarios</v>
      </c>
    </row>
    <row r="2306" spans="1:11" x14ac:dyDescent="0.25">
      <c r="A2306" s="43">
        <v>10366103</v>
      </c>
      <c r="B2306" t="s">
        <v>1487</v>
      </c>
      <c r="C2306" t="s">
        <v>1670</v>
      </c>
      <c r="D2306" t="s">
        <v>1665</v>
      </c>
      <c r="E2306" t="s">
        <v>1618</v>
      </c>
      <c r="F2306" t="s">
        <v>1485</v>
      </c>
      <c r="G2306" t="s">
        <v>1661</v>
      </c>
      <c r="H2306" s="43" t="s">
        <v>386</v>
      </c>
      <c r="I2306" t="s">
        <v>1666</v>
      </c>
      <c r="J2306" t="str">
        <f t="shared" si="74"/>
        <v>10366103 - Condominio Parque Del Sur Torre C-Operaciones</v>
      </c>
      <c r="K2306" t="str">
        <f t="shared" si="75"/>
        <v>Proyectos Inmobiliarios</v>
      </c>
    </row>
    <row r="2307" spans="1:11" x14ac:dyDescent="0.25">
      <c r="A2307" s="43">
        <v>10366104</v>
      </c>
      <c r="B2307" t="s">
        <v>1488</v>
      </c>
      <c r="C2307" t="s">
        <v>1670</v>
      </c>
      <c r="D2307" t="s">
        <v>1665</v>
      </c>
      <c r="E2307" t="s">
        <v>90</v>
      </c>
      <c r="F2307" t="s">
        <v>1485</v>
      </c>
      <c r="G2307" t="s">
        <v>1661</v>
      </c>
      <c r="H2307" s="43" t="s">
        <v>386</v>
      </c>
      <c r="I2307" t="s">
        <v>1666</v>
      </c>
      <c r="J2307" t="str">
        <f t="shared" si="74"/>
        <v>10366104 - Condominio Parque Del Sur Torre C-Ventas</v>
      </c>
      <c r="K2307" t="str">
        <f t="shared" si="75"/>
        <v>Proyectos Inmobiliarios</v>
      </c>
    </row>
    <row r="2308" spans="1:11" x14ac:dyDescent="0.25">
      <c r="A2308" s="43">
        <v>10366105</v>
      </c>
      <c r="B2308" t="s">
        <v>1489</v>
      </c>
      <c r="C2308" t="s">
        <v>1670</v>
      </c>
      <c r="D2308" t="s">
        <v>1665</v>
      </c>
      <c r="E2308" t="s">
        <v>1622</v>
      </c>
      <c r="F2308" t="s">
        <v>1485</v>
      </c>
      <c r="G2308" t="s">
        <v>1661</v>
      </c>
      <c r="H2308" s="43" t="s">
        <v>386</v>
      </c>
      <c r="I2308" t="s">
        <v>1666</v>
      </c>
      <c r="J2308" t="str">
        <f t="shared" si="74"/>
        <v>10366105 - Condominio Parque Del Sur Torre C-Clientes</v>
      </c>
      <c r="K2308" t="str">
        <f t="shared" si="75"/>
        <v>Proyectos Inmobiliarios</v>
      </c>
    </row>
    <row r="2309" spans="1:11" x14ac:dyDescent="0.25">
      <c r="A2309" s="43">
        <v>10366204</v>
      </c>
      <c r="B2309" t="s">
        <v>1490</v>
      </c>
      <c r="C2309" t="s">
        <v>1670</v>
      </c>
      <c r="D2309" t="s">
        <v>1665</v>
      </c>
      <c r="E2309" t="s">
        <v>1624</v>
      </c>
      <c r="F2309" t="s">
        <v>1485</v>
      </c>
      <c r="G2309" t="s">
        <v>1661</v>
      </c>
      <c r="H2309" s="43" t="s">
        <v>386</v>
      </c>
      <c r="I2309" t="s">
        <v>1666</v>
      </c>
      <c r="J2309" t="str">
        <f t="shared" si="74"/>
        <v>10366204 - Condominio Parque Del Sur Torre C-Proyecto</v>
      </c>
      <c r="K2309" t="str">
        <f t="shared" si="75"/>
        <v>Proyectos Inmobiliarios</v>
      </c>
    </row>
    <row r="2310" spans="1:11" x14ac:dyDescent="0.25">
      <c r="A2310" s="43">
        <v>10366301</v>
      </c>
      <c r="B2310" t="s">
        <v>1491</v>
      </c>
      <c r="C2310" t="s">
        <v>1670</v>
      </c>
      <c r="D2310" t="s">
        <v>1665</v>
      </c>
      <c r="E2310" t="s">
        <v>1643</v>
      </c>
      <c r="F2310" t="s">
        <v>1485</v>
      </c>
      <c r="G2310" t="s">
        <v>1667</v>
      </c>
      <c r="H2310" s="43" t="s">
        <v>386</v>
      </c>
      <c r="I2310" t="s">
        <v>1666</v>
      </c>
      <c r="J2310" t="str">
        <f t="shared" si="74"/>
        <v>10366301 - Condominio Parque Del Sur Torre C-GAF</v>
      </c>
      <c r="K2310" t="str">
        <f t="shared" si="75"/>
        <v>Proyectos Inmobiliarios</v>
      </c>
    </row>
    <row r="2311" spans="1:11" x14ac:dyDescent="0.25">
      <c r="A2311" s="43">
        <v>10366505</v>
      </c>
      <c r="B2311" t="s">
        <v>1492</v>
      </c>
      <c r="C2311" t="s">
        <v>1670</v>
      </c>
      <c r="D2311" t="s">
        <v>66</v>
      </c>
      <c r="E2311" t="s">
        <v>328</v>
      </c>
      <c r="F2311" t="s">
        <v>1485</v>
      </c>
      <c r="G2311" t="s">
        <v>1661</v>
      </c>
      <c r="H2311" s="43" t="s">
        <v>386</v>
      </c>
      <c r="I2311" t="s">
        <v>1666</v>
      </c>
      <c r="J2311" t="str">
        <f t="shared" si="74"/>
        <v>10366505 - Condominio Parque Del Sur Torre C-PV Inmob.</v>
      </c>
      <c r="K2311" t="str">
        <f t="shared" si="75"/>
        <v>Postventa</v>
      </c>
    </row>
    <row r="2312" spans="1:11" x14ac:dyDescent="0.25">
      <c r="A2312" s="43">
        <v>10366506</v>
      </c>
      <c r="B2312" t="s">
        <v>1493</v>
      </c>
      <c r="C2312" t="s">
        <v>1670</v>
      </c>
      <c r="D2312" t="s">
        <v>1665</v>
      </c>
      <c r="E2312" t="s">
        <v>200</v>
      </c>
      <c r="F2312" t="s">
        <v>1485</v>
      </c>
      <c r="G2312" t="s">
        <v>1661</v>
      </c>
      <c r="H2312" s="43" t="s">
        <v>386</v>
      </c>
      <c r="I2312" t="s">
        <v>1666</v>
      </c>
      <c r="J2312" t="str">
        <f t="shared" si="74"/>
        <v>10366506 - Condominio Parque Del Sur Torre C-Depto.Técnico</v>
      </c>
      <c r="K2312" t="str">
        <f t="shared" si="75"/>
        <v>Proyectos Inmobiliarios</v>
      </c>
    </row>
    <row r="2313" spans="1:11" x14ac:dyDescent="0.25">
      <c r="A2313" s="43">
        <v>1168202</v>
      </c>
      <c r="B2313" t="s">
        <v>4307</v>
      </c>
      <c r="C2313" t="s">
        <v>1670</v>
      </c>
      <c r="D2313" t="s">
        <v>1578</v>
      </c>
      <c r="E2313" t="s">
        <v>1578</v>
      </c>
      <c r="F2313" t="s">
        <v>4308</v>
      </c>
      <c r="G2313" t="s">
        <v>1661</v>
      </c>
      <c r="H2313" s="43" t="s">
        <v>386</v>
      </c>
      <c r="I2313" t="s">
        <v>1662</v>
      </c>
      <c r="J2313" t="str">
        <f t="shared" si="74"/>
        <v>1168202 - Terreno Del Valle Sur 628 - Inversiones</v>
      </c>
      <c r="K2313" t="str">
        <f t="shared" si="75"/>
        <v>Terreno</v>
      </c>
    </row>
  </sheetData>
  <autoFilter ref="A1:K2313" xr:uid="{F971D702-EC02-49E6-8CE4-6A86928E2A0C}"/>
  <conditionalFormatting sqref="A1">
    <cfRule type="duplicateValues" dxfId="2"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327EF-F9C2-40F8-9BE8-1319A5CCF514}">
  <sheetPr codeName="Hoja3"/>
  <dimension ref="A1:F1656"/>
  <sheetViews>
    <sheetView zoomScale="80" zoomScaleNormal="80" workbookViewId="0">
      <selection activeCell="F1056" sqref="F1056"/>
    </sheetView>
  </sheetViews>
  <sheetFormatPr baseColWidth="10" defaultColWidth="11.42578125" defaultRowHeight="15" x14ac:dyDescent="0.25"/>
  <cols>
    <col min="1" max="1" width="19.5703125" bestFit="1" customWidth="1"/>
    <col min="2" max="2" width="34" bestFit="1" customWidth="1"/>
    <col min="3" max="3" width="11.28515625" bestFit="1" customWidth="1"/>
    <col min="4" max="4" width="25.28515625" bestFit="1" customWidth="1"/>
    <col min="5" max="5" width="52.140625" bestFit="1" customWidth="1"/>
    <col min="6" max="6" width="60.42578125" bestFit="1" customWidth="1"/>
    <col min="7" max="7" width="11.7109375" bestFit="1" customWidth="1"/>
    <col min="8" max="8" width="32.7109375" bestFit="1" customWidth="1"/>
    <col min="9" max="9" width="56" bestFit="1" customWidth="1"/>
    <col min="11" max="11" width="23.7109375" bestFit="1" customWidth="1"/>
    <col min="12" max="12" width="38.28515625" bestFit="1" customWidth="1"/>
    <col min="257" max="257" width="9.140625" bestFit="1" customWidth="1"/>
    <col min="258" max="258" width="38" bestFit="1" customWidth="1"/>
    <col min="259" max="259" width="64.28515625" bestFit="1" customWidth="1"/>
    <col min="260" max="260" width="17.85546875" bestFit="1" customWidth="1"/>
    <col min="261" max="261" width="19.42578125" bestFit="1" customWidth="1"/>
    <col min="262" max="262" width="38" bestFit="1" customWidth="1"/>
    <col min="263" max="263" width="11.7109375" bestFit="1" customWidth="1"/>
    <col min="264" max="264" width="32.7109375" bestFit="1" customWidth="1"/>
    <col min="265" max="265" width="56" bestFit="1" customWidth="1"/>
    <col min="267" max="267" width="23.7109375" bestFit="1" customWidth="1"/>
    <col min="268" max="268" width="38.28515625" bestFit="1" customWidth="1"/>
    <col min="513" max="513" width="9.140625" bestFit="1" customWidth="1"/>
    <col min="514" max="514" width="38" bestFit="1" customWidth="1"/>
    <col min="515" max="515" width="64.28515625" bestFit="1" customWidth="1"/>
    <col min="516" max="516" width="17.85546875" bestFit="1" customWidth="1"/>
    <col min="517" max="517" width="19.42578125" bestFit="1" customWidth="1"/>
    <col min="518" max="518" width="38" bestFit="1" customWidth="1"/>
    <col min="519" max="519" width="11.7109375" bestFit="1" customWidth="1"/>
    <col min="520" max="520" width="32.7109375" bestFit="1" customWidth="1"/>
    <col min="521" max="521" width="56" bestFit="1" customWidth="1"/>
    <col min="523" max="523" width="23.7109375" bestFit="1" customWidth="1"/>
    <col min="524" max="524" width="38.28515625" bestFit="1" customWidth="1"/>
    <col min="769" max="769" width="9.140625" bestFit="1" customWidth="1"/>
    <col min="770" max="770" width="38" bestFit="1" customWidth="1"/>
    <col min="771" max="771" width="64.28515625" bestFit="1" customWidth="1"/>
    <col min="772" max="772" width="17.85546875" bestFit="1" customWidth="1"/>
    <col min="773" max="773" width="19.42578125" bestFit="1" customWidth="1"/>
    <col min="774" max="774" width="38" bestFit="1" customWidth="1"/>
    <col min="775" max="775" width="11.7109375" bestFit="1" customWidth="1"/>
    <col min="776" max="776" width="32.7109375" bestFit="1" customWidth="1"/>
    <col min="777" max="777" width="56" bestFit="1" customWidth="1"/>
    <col min="779" max="779" width="23.7109375" bestFit="1" customWidth="1"/>
    <col min="780" max="780" width="38.28515625" bestFit="1" customWidth="1"/>
    <col min="1025" max="1025" width="9.140625" bestFit="1" customWidth="1"/>
    <col min="1026" max="1026" width="38" bestFit="1" customWidth="1"/>
    <col min="1027" max="1027" width="64.28515625" bestFit="1" customWidth="1"/>
    <col min="1028" max="1028" width="17.85546875" bestFit="1" customWidth="1"/>
    <col min="1029" max="1029" width="19.42578125" bestFit="1" customWidth="1"/>
    <col min="1030" max="1030" width="38" bestFit="1" customWidth="1"/>
    <col min="1031" max="1031" width="11.7109375" bestFit="1" customWidth="1"/>
    <col min="1032" max="1032" width="32.7109375" bestFit="1" customWidth="1"/>
    <col min="1033" max="1033" width="56" bestFit="1" customWidth="1"/>
    <col min="1035" max="1035" width="23.7109375" bestFit="1" customWidth="1"/>
    <col min="1036" max="1036" width="38.28515625" bestFit="1" customWidth="1"/>
    <col min="1281" max="1281" width="9.140625" bestFit="1" customWidth="1"/>
    <col min="1282" max="1282" width="38" bestFit="1" customWidth="1"/>
    <col min="1283" max="1283" width="64.28515625" bestFit="1" customWidth="1"/>
    <col min="1284" max="1284" width="17.85546875" bestFit="1" customWidth="1"/>
    <col min="1285" max="1285" width="19.42578125" bestFit="1" customWidth="1"/>
    <col min="1286" max="1286" width="38" bestFit="1" customWidth="1"/>
    <col min="1287" max="1287" width="11.7109375" bestFit="1" customWidth="1"/>
    <col min="1288" max="1288" width="32.7109375" bestFit="1" customWidth="1"/>
    <col min="1289" max="1289" width="56" bestFit="1" customWidth="1"/>
    <col min="1291" max="1291" width="23.7109375" bestFit="1" customWidth="1"/>
    <col min="1292" max="1292" width="38.28515625" bestFit="1" customWidth="1"/>
    <col min="1537" max="1537" width="9.140625" bestFit="1" customWidth="1"/>
    <col min="1538" max="1538" width="38" bestFit="1" customWidth="1"/>
    <col min="1539" max="1539" width="64.28515625" bestFit="1" customWidth="1"/>
    <col min="1540" max="1540" width="17.85546875" bestFit="1" customWidth="1"/>
    <col min="1541" max="1541" width="19.42578125" bestFit="1" customWidth="1"/>
    <col min="1542" max="1542" width="38" bestFit="1" customWidth="1"/>
    <col min="1543" max="1543" width="11.7109375" bestFit="1" customWidth="1"/>
    <col min="1544" max="1544" width="32.7109375" bestFit="1" customWidth="1"/>
    <col min="1545" max="1545" width="56" bestFit="1" customWidth="1"/>
    <col min="1547" max="1547" width="23.7109375" bestFit="1" customWidth="1"/>
    <col min="1548" max="1548" width="38.28515625" bestFit="1" customWidth="1"/>
    <col min="1793" max="1793" width="9.140625" bestFit="1" customWidth="1"/>
    <col min="1794" max="1794" width="38" bestFit="1" customWidth="1"/>
    <col min="1795" max="1795" width="64.28515625" bestFit="1" customWidth="1"/>
    <col min="1796" max="1796" width="17.85546875" bestFit="1" customWidth="1"/>
    <col min="1797" max="1797" width="19.42578125" bestFit="1" customWidth="1"/>
    <col min="1798" max="1798" width="38" bestFit="1" customWidth="1"/>
    <col min="1799" max="1799" width="11.7109375" bestFit="1" customWidth="1"/>
    <col min="1800" max="1800" width="32.7109375" bestFit="1" customWidth="1"/>
    <col min="1801" max="1801" width="56" bestFit="1" customWidth="1"/>
    <col min="1803" max="1803" width="23.7109375" bestFit="1" customWidth="1"/>
    <col min="1804" max="1804" width="38.28515625" bestFit="1" customWidth="1"/>
    <col min="2049" max="2049" width="9.140625" bestFit="1" customWidth="1"/>
    <col min="2050" max="2050" width="38" bestFit="1" customWidth="1"/>
    <col min="2051" max="2051" width="64.28515625" bestFit="1" customWidth="1"/>
    <col min="2052" max="2052" width="17.85546875" bestFit="1" customWidth="1"/>
    <col min="2053" max="2053" width="19.42578125" bestFit="1" customWidth="1"/>
    <col min="2054" max="2054" width="38" bestFit="1" customWidth="1"/>
    <col min="2055" max="2055" width="11.7109375" bestFit="1" customWidth="1"/>
    <col min="2056" max="2056" width="32.7109375" bestFit="1" customWidth="1"/>
    <col min="2057" max="2057" width="56" bestFit="1" customWidth="1"/>
    <col min="2059" max="2059" width="23.7109375" bestFit="1" customWidth="1"/>
    <col min="2060" max="2060" width="38.28515625" bestFit="1" customWidth="1"/>
    <col min="2305" max="2305" width="9.140625" bestFit="1" customWidth="1"/>
    <col min="2306" max="2306" width="38" bestFit="1" customWidth="1"/>
    <col min="2307" max="2307" width="64.28515625" bestFit="1" customWidth="1"/>
    <col min="2308" max="2308" width="17.85546875" bestFit="1" customWidth="1"/>
    <col min="2309" max="2309" width="19.42578125" bestFit="1" customWidth="1"/>
    <col min="2310" max="2310" width="38" bestFit="1" customWidth="1"/>
    <col min="2311" max="2311" width="11.7109375" bestFit="1" customWidth="1"/>
    <col min="2312" max="2312" width="32.7109375" bestFit="1" customWidth="1"/>
    <col min="2313" max="2313" width="56" bestFit="1" customWidth="1"/>
    <col min="2315" max="2315" width="23.7109375" bestFit="1" customWidth="1"/>
    <col min="2316" max="2316" width="38.28515625" bestFit="1" customWidth="1"/>
    <col min="2561" max="2561" width="9.140625" bestFit="1" customWidth="1"/>
    <col min="2562" max="2562" width="38" bestFit="1" customWidth="1"/>
    <col min="2563" max="2563" width="64.28515625" bestFit="1" customWidth="1"/>
    <col min="2564" max="2564" width="17.85546875" bestFit="1" customWidth="1"/>
    <col min="2565" max="2565" width="19.42578125" bestFit="1" customWidth="1"/>
    <col min="2566" max="2566" width="38" bestFit="1" customWidth="1"/>
    <col min="2567" max="2567" width="11.7109375" bestFit="1" customWidth="1"/>
    <col min="2568" max="2568" width="32.7109375" bestFit="1" customWidth="1"/>
    <col min="2569" max="2569" width="56" bestFit="1" customWidth="1"/>
    <col min="2571" max="2571" width="23.7109375" bestFit="1" customWidth="1"/>
    <col min="2572" max="2572" width="38.28515625" bestFit="1" customWidth="1"/>
    <col min="2817" max="2817" width="9.140625" bestFit="1" customWidth="1"/>
    <col min="2818" max="2818" width="38" bestFit="1" customWidth="1"/>
    <col min="2819" max="2819" width="64.28515625" bestFit="1" customWidth="1"/>
    <col min="2820" max="2820" width="17.85546875" bestFit="1" customWidth="1"/>
    <col min="2821" max="2821" width="19.42578125" bestFit="1" customWidth="1"/>
    <col min="2822" max="2822" width="38" bestFit="1" customWidth="1"/>
    <col min="2823" max="2823" width="11.7109375" bestFit="1" customWidth="1"/>
    <col min="2824" max="2824" width="32.7109375" bestFit="1" customWidth="1"/>
    <col min="2825" max="2825" width="56" bestFit="1" customWidth="1"/>
    <col min="2827" max="2827" width="23.7109375" bestFit="1" customWidth="1"/>
    <col min="2828" max="2828" width="38.28515625" bestFit="1" customWidth="1"/>
    <col min="3073" max="3073" width="9.140625" bestFit="1" customWidth="1"/>
    <col min="3074" max="3074" width="38" bestFit="1" customWidth="1"/>
    <col min="3075" max="3075" width="64.28515625" bestFit="1" customWidth="1"/>
    <col min="3076" max="3076" width="17.85546875" bestFit="1" customWidth="1"/>
    <col min="3077" max="3077" width="19.42578125" bestFit="1" customWidth="1"/>
    <col min="3078" max="3078" width="38" bestFit="1" customWidth="1"/>
    <col min="3079" max="3079" width="11.7109375" bestFit="1" customWidth="1"/>
    <col min="3080" max="3080" width="32.7109375" bestFit="1" customWidth="1"/>
    <col min="3081" max="3081" width="56" bestFit="1" customWidth="1"/>
    <col min="3083" max="3083" width="23.7109375" bestFit="1" customWidth="1"/>
    <col min="3084" max="3084" width="38.28515625" bestFit="1" customWidth="1"/>
    <col min="3329" max="3329" width="9.140625" bestFit="1" customWidth="1"/>
    <col min="3330" max="3330" width="38" bestFit="1" customWidth="1"/>
    <col min="3331" max="3331" width="64.28515625" bestFit="1" customWidth="1"/>
    <col min="3332" max="3332" width="17.85546875" bestFit="1" customWidth="1"/>
    <col min="3333" max="3333" width="19.42578125" bestFit="1" customWidth="1"/>
    <col min="3334" max="3334" width="38" bestFit="1" customWidth="1"/>
    <col min="3335" max="3335" width="11.7109375" bestFit="1" customWidth="1"/>
    <col min="3336" max="3336" width="32.7109375" bestFit="1" customWidth="1"/>
    <col min="3337" max="3337" width="56" bestFit="1" customWidth="1"/>
    <col min="3339" max="3339" width="23.7109375" bestFit="1" customWidth="1"/>
    <col min="3340" max="3340" width="38.28515625" bestFit="1" customWidth="1"/>
    <col min="3585" max="3585" width="9.140625" bestFit="1" customWidth="1"/>
    <col min="3586" max="3586" width="38" bestFit="1" customWidth="1"/>
    <col min="3587" max="3587" width="64.28515625" bestFit="1" customWidth="1"/>
    <col min="3588" max="3588" width="17.85546875" bestFit="1" customWidth="1"/>
    <col min="3589" max="3589" width="19.42578125" bestFit="1" customWidth="1"/>
    <col min="3590" max="3590" width="38" bestFit="1" customWidth="1"/>
    <col min="3591" max="3591" width="11.7109375" bestFit="1" customWidth="1"/>
    <col min="3592" max="3592" width="32.7109375" bestFit="1" customWidth="1"/>
    <col min="3593" max="3593" width="56" bestFit="1" customWidth="1"/>
    <col min="3595" max="3595" width="23.7109375" bestFit="1" customWidth="1"/>
    <col min="3596" max="3596" width="38.28515625" bestFit="1" customWidth="1"/>
    <col min="3841" max="3841" width="9.140625" bestFit="1" customWidth="1"/>
    <col min="3842" max="3842" width="38" bestFit="1" customWidth="1"/>
    <col min="3843" max="3843" width="64.28515625" bestFit="1" customWidth="1"/>
    <col min="3844" max="3844" width="17.85546875" bestFit="1" customWidth="1"/>
    <col min="3845" max="3845" width="19.42578125" bestFit="1" customWidth="1"/>
    <col min="3846" max="3846" width="38" bestFit="1" customWidth="1"/>
    <col min="3847" max="3847" width="11.7109375" bestFit="1" customWidth="1"/>
    <col min="3848" max="3848" width="32.7109375" bestFit="1" customWidth="1"/>
    <col min="3849" max="3849" width="56" bestFit="1" customWidth="1"/>
    <col min="3851" max="3851" width="23.7109375" bestFit="1" customWidth="1"/>
    <col min="3852" max="3852" width="38.28515625" bestFit="1" customWidth="1"/>
    <col min="4097" max="4097" width="9.140625" bestFit="1" customWidth="1"/>
    <col min="4098" max="4098" width="38" bestFit="1" customWidth="1"/>
    <col min="4099" max="4099" width="64.28515625" bestFit="1" customWidth="1"/>
    <col min="4100" max="4100" width="17.85546875" bestFit="1" customWidth="1"/>
    <col min="4101" max="4101" width="19.42578125" bestFit="1" customWidth="1"/>
    <col min="4102" max="4102" width="38" bestFit="1" customWidth="1"/>
    <col min="4103" max="4103" width="11.7109375" bestFit="1" customWidth="1"/>
    <col min="4104" max="4104" width="32.7109375" bestFit="1" customWidth="1"/>
    <col min="4105" max="4105" width="56" bestFit="1" customWidth="1"/>
    <col min="4107" max="4107" width="23.7109375" bestFit="1" customWidth="1"/>
    <col min="4108" max="4108" width="38.28515625" bestFit="1" customWidth="1"/>
    <col min="4353" max="4353" width="9.140625" bestFit="1" customWidth="1"/>
    <col min="4354" max="4354" width="38" bestFit="1" customWidth="1"/>
    <col min="4355" max="4355" width="64.28515625" bestFit="1" customWidth="1"/>
    <col min="4356" max="4356" width="17.85546875" bestFit="1" customWidth="1"/>
    <col min="4357" max="4357" width="19.42578125" bestFit="1" customWidth="1"/>
    <col min="4358" max="4358" width="38" bestFit="1" customWidth="1"/>
    <col min="4359" max="4359" width="11.7109375" bestFit="1" customWidth="1"/>
    <col min="4360" max="4360" width="32.7109375" bestFit="1" customWidth="1"/>
    <col min="4361" max="4361" width="56" bestFit="1" customWidth="1"/>
    <col min="4363" max="4363" width="23.7109375" bestFit="1" customWidth="1"/>
    <col min="4364" max="4364" width="38.28515625" bestFit="1" customWidth="1"/>
    <col min="4609" max="4609" width="9.140625" bestFit="1" customWidth="1"/>
    <col min="4610" max="4610" width="38" bestFit="1" customWidth="1"/>
    <col min="4611" max="4611" width="64.28515625" bestFit="1" customWidth="1"/>
    <col min="4612" max="4612" width="17.85546875" bestFit="1" customWidth="1"/>
    <col min="4613" max="4613" width="19.42578125" bestFit="1" customWidth="1"/>
    <col min="4614" max="4614" width="38" bestFit="1" customWidth="1"/>
    <col min="4615" max="4615" width="11.7109375" bestFit="1" customWidth="1"/>
    <col min="4616" max="4616" width="32.7109375" bestFit="1" customWidth="1"/>
    <col min="4617" max="4617" width="56" bestFit="1" customWidth="1"/>
    <col min="4619" max="4619" width="23.7109375" bestFit="1" customWidth="1"/>
    <col min="4620" max="4620" width="38.28515625" bestFit="1" customWidth="1"/>
    <col min="4865" max="4865" width="9.140625" bestFit="1" customWidth="1"/>
    <col min="4866" max="4866" width="38" bestFit="1" customWidth="1"/>
    <col min="4867" max="4867" width="64.28515625" bestFit="1" customWidth="1"/>
    <col min="4868" max="4868" width="17.85546875" bestFit="1" customWidth="1"/>
    <col min="4869" max="4869" width="19.42578125" bestFit="1" customWidth="1"/>
    <col min="4870" max="4870" width="38" bestFit="1" customWidth="1"/>
    <col min="4871" max="4871" width="11.7109375" bestFit="1" customWidth="1"/>
    <col min="4872" max="4872" width="32.7109375" bestFit="1" customWidth="1"/>
    <col min="4873" max="4873" width="56" bestFit="1" customWidth="1"/>
    <col min="4875" max="4875" width="23.7109375" bestFit="1" customWidth="1"/>
    <col min="4876" max="4876" width="38.28515625" bestFit="1" customWidth="1"/>
    <col min="5121" max="5121" width="9.140625" bestFit="1" customWidth="1"/>
    <col min="5122" max="5122" width="38" bestFit="1" customWidth="1"/>
    <col min="5123" max="5123" width="64.28515625" bestFit="1" customWidth="1"/>
    <col min="5124" max="5124" width="17.85546875" bestFit="1" customWidth="1"/>
    <col min="5125" max="5125" width="19.42578125" bestFit="1" customWidth="1"/>
    <col min="5126" max="5126" width="38" bestFit="1" customWidth="1"/>
    <col min="5127" max="5127" width="11.7109375" bestFit="1" customWidth="1"/>
    <col min="5128" max="5128" width="32.7109375" bestFit="1" customWidth="1"/>
    <col min="5129" max="5129" width="56" bestFit="1" customWidth="1"/>
    <col min="5131" max="5131" width="23.7109375" bestFit="1" customWidth="1"/>
    <col min="5132" max="5132" width="38.28515625" bestFit="1" customWidth="1"/>
    <col min="5377" max="5377" width="9.140625" bestFit="1" customWidth="1"/>
    <col min="5378" max="5378" width="38" bestFit="1" customWidth="1"/>
    <col min="5379" max="5379" width="64.28515625" bestFit="1" customWidth="1"/>
    <col min="5380" max="5380" width="17.85546875" bestFit="1" customWidth="1"/>
    <col min="5381" max="5381" width="19.42578125" bestFit="1" customWidth="1"/>
    <col min="5382" max="5382" width="38" bestFit="1" customWidth="1"/>
    <col min="5383" max="5383" width="11.7109375" bestFit="1" customWidth="1"/>
    <col min="5384" max="5384" width="32.7109375" bestFit="1" customWidth="1"/>
    <col min="5385" max="5385" width="56" bestFit="1" customWidth="1"/>
    <col min="5387" max="5387" width="23.7109375" bestFit="1" customWidth="1"/>
    <col min="5388" max="5388" width="38.28515625" bestFit="1" customWidth="1"/>
    <col min="5633" max="5633" width="9.140625" bestFit="1" customWidth="1"/>
    <col min="5634" max="5634" width="38" bestFit="1" customWidth="1"/>
    <col min="5635" max="5635" width="64.28515625" bestFit="1" customWidth="1"/>
    <col min="5636" max="5636" width="17.85546875" bestFit="1" customWidth="1"/>
    <col min="5637" max="5637" width="19.42578125" bestFit="1" customWidth="1"/>
    <col min="5638" max="5638" width="38" bestFit="1" customWidth="1"/>
    <col min="5639" max="5639" width="11.7109375" bestFit="1" customWidth="1"/>
    <col min="5640" max="5640" width="32.7109375" bestFit="1" customWidth="1"/>
    <col min="5641" max="5641" width="56" bestFit="1" customWidth="1"/>
    <col min="5643" max="5643" width="23.7109375" bestFit="1" customWidth="1"/>
    <col min="5644" max="5644" width="38.28515625" bestFit="1" customWidth="1"/>
    <col min="5889" max="5889" width="9.140625" bestFit="1" customWidth="1"/>
    <col min="5890" max="5890" width="38" bestFit="1" customWidth="1"/>
    <col min="5891" max="5891" width="64.28515625" bestFit="1" customWidth="1"/>
    <col min="5892" max="5892" width="17.85546875" bestFit="1" customWidth="1"/>
    <col min="5893" max="5893" width="19.42578125" bestFit="1" customWidth="1"/>
    <col min="5894" max="5894" width="38" bestFit="1" customWidth="1"/>
    <col min="5895" max="5895" width="11.7109375" bestFit="1" customWidth="1"/>
    <col min="5896" max="5896" width="32.7109375" bestFit="1" customWidth="1"/>
    <col min="5897" max="5897" width="56" bestFit="1" customWidth="1"/>
    <col min="5899" max="5899" width="23.7109375" bestFit="1" customWidth="1"/>
    <col min="5900" max="5900" width="38.28515625" bestFit="1" customWidth="1"/>
    <col min="6145" max="6145" width="9.140625" bestFit="1" customWidth="1"/>
    <col min="6146" max="6146" width="38" bestFit="1" customWidth="1"/>
    <col min="6147" max="6147" width="64.28515625" bestFit="1" customWidth="1"/>
    <col min="6148" max="6148" width="17.85546875" bestFit="1" customWidth="1"/>
    <col min="6149" max="6149" width="19.42578125" bestFit="1" customWidth="1"/>
    <col min="6150" max="6150" width="38" bestFit="1" customWidth="1"/>
    <col min="6151" max="6151" width="11.7109375" bestFit="1" customWidth="1"/>
    <col min="6152" max="6152" width="32.7109375" bestFit="1" customWidth="1"/>
    <col min="6153" max="6153" width="56" bestFit="1" customWidth="1"/>
    <col min="6155" max="6155" width="23.7109375" bestFit="1" customWidth="1"/>
    <col min="6156" max="6156" width="38.28515625" bestFit="1" customWidth="1"/>
    <col min="6401" max="6401" width="9.140625" bestFit="1" customWidth="1"/>
    <col min="6402" max="6402" width="38" bestFit="1" customWidth="1"/>
    <col min="6403" max="6403" width="64.28515625" bestFit="1" customWidth="1"/>
    <col min="6404" max="6404" width="17.85546875" bestFit="1" customWidth="1"/>
    <col min="6405" max="6405" width="19.42578125" bestFit="1" customWidth="1"/>
    <col min="6406" max="6406" width="38" bestFit="1" customWidth="1"/>
    <col min="6407" max="6407" width="11.7109375" bestFit="1" customWidth="1"/>
    <col min="6408" max="6408" width="32.7109375" bestFit="1" customWidth="1"/>
    <col min="6409" max="6409" width="56" bestFit="1" customWidth="1"/>
    <col min="6411" max="6411" width="23.7109375" bestFit="1" customWidth="1"/>
    <col min="6412" max="6412" width="38.28515625" bestFit="1" customWidth="1"/>
    <col min="6657" max="6657" width="9.140625" bestFit="1" customWidth="1"/>
    <col min="6658" max="6658" width="38" bestFit="1" customWidth="1"/>
    <col min="6659" max="6659" width="64.28515625" bestFit="1" customWidth="1"/>
    <col min="6660" max="6660" width="17.85546875" bestFit="1" customWidth="1"/>
    <col min="6661" max="6661" width="19.42578125" bestFit="1" customWidth="1"/>
    <col min="6662" max="6662" width="38" bestFit="1" customWidth="1"/>
    <col min="6663" max="6663" width="11.7109375" bestFit="1" customWidth="1"/>
    <col min="6664" max="6664" width="32.7109375" bestFit="1" customWidth="1"/>
    <col min="6665" max="6665" width="56" bestFit="1" customWidth="1"/>
    <col min="6667" max="6667" width="23.7109375" bestFit="1" customWidth="1"/>
    <col min="6668" max="6668" width="38.28515625" bestFit="1" customWidth="1"/>
    <col min="6913" max="6913" width="9.140625" bestFit="1" customWidth="1"/>
    <col min="6914" max="6914" width="38" bestFit="1" customWidth="1"/>
    <col min="6915" max="6915" width="64.28515625" bestFit="1" customWidth="1"/>
    <col min="6916" max="6916" width="17.85546875" bestFit="1" customWidth="1"/>
    <col min="6917" max="6917" width="19.42578125" bestFit="1" customWidth="1"/>
    <col min="6918" max="6918" width="38" bestFit="1" customWidth="1"/>
    <col min="6919" max="6919" width="11.7109375" bestFit="1" customWidth="1"/>
    <col min="6920" max="6920" width="32.7109375" bestFit="1" customWidth="1"/>
    <col min="6921" max="6921" width="56" bestFit="1" customWidth="1"/>
    <col min="6923" max="6923" width="23.7109375" bestFit="1" customWidth="1"/>
    <col min="6924" max="6924" width="38.28515625" bestFit="1" customWidth="1"/>
    <col min="7169" max="7169" width="9.140625" bestFit="1" customWidth="1"/>
    <col min="7170" max="7170" width="38" bestFit="1" customWidth="1"/>
    <col min="7171" max="7171" width="64.28515625" bestFit="1" customWidth="1"/>
    <col min="7172" max="7172" width="17.85546875" bestFit="1" customWidth="1"/>
    <col min="7173" max="7173" width="19.42578125" bestFit="1" customWidth="1"/>
    <col min="7174" max="7174" width="38" bestFit="1" customWidth="1"/>
    <col min="7175" max="7175" width="11.7109375" bestFit="1" customWidth="1"/>
    <col min="7176" max="7176" width="32.7109375" bestFit="1" customWidth="1"/>
    <col min="7177" max="7177" width="56" bestFit="1" customWidth="1"/>
    <col min="7179" max="7179" width="23.7109375" bestFit="1" customWidth="1"/>
    <col min="7180" max="7180" width="38.28515625" bestFit="1" customWidth="1"/>
    <col min="7425" max="7425" width="9.140625" bestFit="1" customWidth="1"/>
    <col min="7426" max="7426" width="38" bestFit="1" customWidth="1"/>
    <col min="7427" max="7427" width="64.28515625" bestFit="1" customWidth="1"/>
    <col min="7428" max="7428" width="17.85546875" bestFit="1" customWidth="1"/>
    <col min="7429" max="7429" width="19.42578125" bestFit="1" customWidth="1"/>
    <col min="7430" max="7430" width="38" bestFit="1" customWidth="1"/>
    <col min="7431" max="7431" width="11.7109375" bestFit="1" customWidth="1"/>
    <col min="7432" max="7432" width="32.7109375" bestFit="1" customWidth="1"/>
    <col min="7433" max="7433" width="56" bestFit="1" customWidth="1"/>
    <col min="7435" max="7435" width="23.7109375" bestFit="1" customWidth="1"/>
    <col min="7436" max="7436" width="38.28515625" bestFit="1" customWidth="1"/>
    <col min="7681" max="7681" width="9.140625" bestFit="1" customWidth="1"/>
    <col min="7682" max="7682" width="38" bestFit="1" customWidth="1"/>
    <col min="7683" max="7683" width="64.28515625" bestFit="1" customWidth="1"/>
    <col min="7684" max="7684" width="17.85546875" bestFit="1" customWidth="1"/>
    <col min="7685" max="7685" width="19.42578125" bestFit="1" customWidth="1"/>
    <col min="7686" max="7686" width="38" bestFit="1" customWidth="1"/>
    <col min="7687" max="7687" width="11.7109375" bestFit="1" customWidth="1"/>
    <col min="7688" max="7688" width="32.7109375" bestFit="1" customWidth="1"/>
    <col min="7689" max="7689" width="56" bestFit="1" customWidth="1"/>
    <col min="7691" max="7691" width="23.7109375" bestFit="1" customWidth="1"/>
    <col min="7692" max="7692" width="38.28515625" bestFit="1" customWidth="1"/>
    <col min="7937" max="7937" width="9.140625" bestFit="1" customWidth="1"/>
    <col min="7938" max="7938" width="38" bestFit="1" customWidth="1"/>
    <col min="7939" max="7939" width="64.28515625" bestFit="1" customWidth="1"/>
    <col min="7940" max="7940" width="17.85546875" bestFit="1" customWidth="1"/>
    <col min="7941" max="7941" width="19.42578125" bestFit="1" customWidth="1"/>
    <col min="7942" max="7942" width="38" bestFit="1" customWidth="1"/>
    <col min="7943" max="7943" width="11.7109375" bestFit="1" customWidth="1"/>
    <col min="7944" max="7944" width="32.7109375" bestFit="1" customWidth="1"/>
    <col min="7945" max="7945" width="56" bestFit="1" customWidth="1"/>
    <col min="7947" max="7947" width="23.7109375" bestFit="1" customWidth="1"/>
    <col min="7948" max="7948" width="38.28515625" bestFit="1" customWidth="1"/>
    <col min="8193" max="8193" width="9.140625" bestFit="1" customWidth="1"/>
    <col min="8194" max="8194" width="38" bestFit="1" customWidth="1"/>
    <col min="8195" max="8195" width="64.28515625" bestFit="1" customWidth="1"/>
    <col min="8196" max="8196" width="17.85546875" bestFit="1" customWidth="1"/>
    <col min="8197" max="8197" width="19.42578125" bestFit="1" customWidth="1"/>
    <col min="8198" max="8198" width="38" bestFit="1" customWidth="1"/>
    <col min="8199" max="8199" width="11.7109375" bestFit="1" customWidth="1"/>
    <col min="8200" max="8200" width="32.7109375" bestFit="1" customWidth="1"/>
    <col min="8201" max="8201" width="56" bestFit="1" customWidth="1"/>
    <col min="8203" max="8203" width="23.7109375" bestFit="1" customWidth="1"/>
    <col min="8204" max="8204" width="38.28515625" bestFit="1" customWidth="1"/>
    <col min="8449" max="8449" width="9.140625" bestFit="1" customWidth="1"/>
    <col min="8450" max="8450" width="38" bestFit="1" customWidth="1"/>
    <col min="8451" max="8451" width="64.28515625" bestFit="1" customWidth="1"/>
    <col min="8452" max="8452" width="17.85546875" bestFit="1" customWidth="1"/>
    <col min="8453" max="8453" width="19.42578125" bestFit="1" customWidth="1"/>
    <col min="8454" max="8454" width="38" bestFit="1" customWidth="1"/>
    <col min="8455" max="8455" width="11.7109375" bestFit="1" customWidth="1"/>
    <col min="8456" max="8456" width="32.7109375" bestFit="1" customWidth="1"/>
    <col min="8457" max="8457" width="56" bestFit="1" customWidth="1"/>
    <col min="8459" max="8459" width="23.7109375" bestFit="1" customWidth="1"/>
    <col min="8460" max="8460" width="38.28515625" bestFit="1" customWidth="1"/>
    <col min="8705" max="8705" width="9.140625" bestFit="1" customWidth="1"/>
    <col min="8706" max="8706" width="38" bestFit="1" customWidth="1"/>
    <col min="8707" max="8707" width="64.28515625" bestFit="1" customWidth="1"/>
    <col min="8708" max="8708" width="17.85546875" bestFit="1" customWidth="1"/>
    <col min="8709" max="8709" width="19.42578125" bestFit="1" customWidth="1"/>
    <col min="8710" max="8710" width="38" bestFit="1" customWidth="1"/>
    <col min="8711" max="8711" width="11.7109375" bestFit="1" customWidth="1"/>
    <col min="8712" max="8712" width="32.7109375" bestFit="1" customWidth="1"/>
    <col min="8713" max="8713" width="56" bestFit="1" customWidth="1"/>
    <col min="8715" max="8715" width="23.7109375" bestFit="1" customWidth="1"/>
    <col min="8716" max="8716" width="38.28515625" bestFit="1" customWidth="1"/>
    <col min="8961" max="8961" width="9.140625" bestFit="1" customWidth="1"/>
    <col min="8962" max="8962" width="38" bestFit="1" customWidth="1"/>
    <col min="8963" max="8963" width="64.28515625" bestFit="1" customWidth="1"/>
    <col min="8964" max="8964" width="17.85546875" bestFit="1" customWidth="1"/>
    <col min="8965" max="8965" width="19.42578125" bestFit="1" customWidth="1"/>
    <col min="8966" max="8966" width="38" bestFit="1" customWidth="1"/>
    <col min="8967" max="8967" width="11.7109375" bestFit="1" customWidth="1"/>
    <col min="8968" max="8968" width="32.7109375" bestFit="1" customWidth="1"/>
    <col min="8969" max="8969" width="56" bestFit="1" customWidth="1"/>
    <col min="8971" max="8971" width="23.7109375" bestFit="1" customWidth="1"/>
    <col min="8972" max="8972" width="38.28515625" bestFit="1" customWidth="1"/>
    <col min="9217" max="9217" width="9.140625" bestFit="1" customWidth="1"/>
    <col min="9218" max="9218" width="38" bestFit="1" customWidth="1"/>
    <col min="9219" max="9219" width="64.28515625" bestFit="1" customWidth="1"/>
    <col min="9220" max="9220" width="17.85546875" bestFit="1" customWidth="1"/>
    <col min="9221" max="9221" width="19.42578125" bestFit="1" customWidth="1"/>
    <col min="9222" max="9222" width="38" bestFit="1" customWidth="1"/>
    <col min="9223" max="9223" width="11.7109375" bestFit="1" customWidth="1"/>
    <col min="9224" max="9224" width="32.7109375" bestFit="1" customWidth="1"/>
    <col min="9225" max="9225" width="56" bestFit="1" customWidth="1"/>
    <col min="9227" max="9227" width="23.7109375" bestFit="1" customWidth="1"/>
    <col min="9228" max="9228" width="38.28515625" bestFit="1" customWidth="1"/>
    <col min="9473" max="9473" width="9.140625" bestFit="1" customWidth="1"/>
    <col min="9474" max="9474" width="38" bestFit="1" customWidth="1"/>
    <col min="9475" max="9475" width="64.28515625" bestFit="1" customWidth="1"/>
    <col min="9476" max="9476" width="17.85546875" bestFit="1" customWidth="1"/>
    <col min="9477" max="9477" width="19.42578125" bestFit="1" customWidth="1"/>
    <col min="9478" max="9478" width="38" bestFit="1" customWidth="1"/>
    <col min="9479" max="9479" width="11.7109375" bestFit="1" customWidth="1"/>
    <col min="9480" max="9480" width="32.7109375" bestFit="1" customWidth="1"/>
    <col min="9481" max="9481" width="56" bestFit="1" customWidth="1"/>
    <col min="9483" max="9483" width="23.7109375" bestFit="1" customWidth="1"/>
    <col min="9484" max="9484" width="38.28515625" bestFit="1" customWidth="1"/>
    <col min="9729" max="9729" width="9.140625" bestFit="1" customWidth="1"/>
    <col min="9730" max="9730" width="38" bestFit="1" customWidth="1"/>
    <col min="9731" max="9731" width="64.28515625" bestFit="1" customWidth="1"/>
    <col min="9732" max="9732" width="17.85546875" bestFit="1" customWidth="1"/>
    <col min="9733" max="9733" width="19.42578125" bestFit="1" customWidth="1"/>
    <col min="9734" max="9734" width="38" bestFit="1" customWidth="1"/>
    <col min="9735" max="9735" width="11.7109375" bestFit="1" customWidth="1"/>
    <col min="9736" max="9736" width="32.7109375" bestFit="1" customWidth="1"/>
    <col min="9737" max="9737" width="56" bestFit="1" customWidth="1"/>
    <col min="9739" max="9739" width="23.7109375" bestFit="1" customWidth="1"/>
    <col min="9740" max="9740" width="38.28515625" bestFit="1" customWidth="1"/>
    <col min="9985" max="9985" width="9.140625" bestFit="1" customWidth="1"/>
    <col min="9986" max="9986" width="38" bestFit="1" customWidth="1"/>
    <col min="9987" max="9987" width="64.28515625" bestFit="1" customWidth="1"/>
    <col min="9988" max="9988" width="17.85546875" bestFit="1" customWidth="1"/>
    <col min="9989" max="9989" width="19.42578125" bestFit="1" customWidth="1"/>
    <col min="9990" max="9990" width="38" bestFit="1" customWidth="1"/>
    <col min="9991" max="9991" width="11.7109375" bestFit="1" customWidth="1"/>
    <col min="9992" max="9992" width="32.7109375" bestFit="1" customWidth="1"/>
    <col min="9993" max="9993" width="56" bestFit="1" customWidth="1"/>
    <col min="9995" max="9995" width="23.7109375" bestFit="1" customWidth="1"/>
    <col min="9996" max="9996" width="38.28515625" bestFit="1" customWidth="1"/>
    <col min="10241" max="10241" width="9.140625" bestFit="1" customWidth="1"/>
    <col min="10242" max="10242" width="38" bestFit="1" customWidth="1"/>
    <col min="10243" max="10243" width="64.28515625" bestFit="1" customWidth="1"/>
    <col min="10244" max="10244" width="17.85546875" bestFit="1" customWidth="1"/>
    <col min="10245" max="10245" width="19.42578125" bestFit="1" customWidth="1"/>
    <col min="10246" max="10246" width="38" bestFit="1" customWidth="1"/>
    <col min="10247" max="10247" width="11.7109375" bestFit="1" customWidth="1"/>
    <col min="10248" max="10248" width="32.7109375" bestFit="1" customWidth="1"/>
    <col min="10249" max="10249" width="56" bestFit="1" customWidth="1"/>
    <col min="10251" max="10251" width="23.7109375" bestFit="1" customWidth="1"/>
    <col min="10252" max="10252" width="38.28515625" bestFit="1" customWidth="1"/>
    <col min="10497" max="10497" width="9.140625" bestFit="1" customWidth="1"/>
    <col min="10498" max="10498" width="38" bestFit="1" customWidth="1"/>
    <col min="10499" max="10499" width="64.28515625" bestFit="1" customWidth="1"/>
    <col min="10500" max="10500" width="17.85546875" bestFit="1" customWidth="1"/>
    <col min="10501" max="10501" width="19.42578125" bestFit="1" customWidth="1"/>
    <col min="10502" max="10502" width="38" bestFit="1" customWidth="1"/>
    <col min="10503" max="10503" width="11.7109375" bestFit="1" customWidth="1"/>
    <col min="10504" max="10504" width="32.7109375" bestFit="1" customWidth="1"/>
    <col min="10505" max="10505" width="56" bestFit="1" customWidth="1"/>
    <col min="10507" max="10507" width="23.7109375" bestFit="1" customWidth="1"/>
    <col min="10508" max="10508" width="38.28515625" bestFit="1" customWidth="1"/>
    <col min="10753" max="10753" width="9.140625" bestFit="1" customWidth="1"/>
    <col min="10754" max="10754" width="38" bestFit="1" customWidth="1"/>
    <col min="10755" max="10755" width="64.28515625" bestFit="1" customWidth="1"/>
    <col min="10756" max="10756" width="17.85546875" bestFit="1" customWidth="1"/>
    <col min="10757" max="10757" width="19.42578125" bestFit="1" customWidth="1"/>
    <col min="10758" max="10758" width="38" bestFit="1" customWidth="1"/>
    <col min="10759" max="10759" width="11.7109375" bestFit="1" customWidth="1"/>
    <col min="10760" max="10760" width="32.7109375" bestFit="1" customWidth="1"/>
    <col min="10761" max="10761" width="56" bestFit="1" customWidth="1"/>
    <col min="10763" max="10763" width="23.7109375" bestFit="1" customWidth="1"/>
    <col min="10764" max="10764" width="38.28515625" bestFit="1" customWidth="1"/>
    <col min="11009" max="11009" width="9.140625" bestFit="1" customWidth="1"/>
    <col min="11010" max="11010" width="38" bestFit="1" customWidth="1"/>
    <col min="11011" max="11011" width="64.28515625" bestFit="1" customWidth="1"/>
    <col min="11012" max="11012" width="17.85546875" bestFit="1" customWidth="1"/>
    <col min="11013" max="11013" width="19.42578125" bestFit="1" customWidth="1"/>
    <col min="11014" max="11014" width="38" bestFit="1" customWidth="1"/>
    <col min="11015" max="11015" width="11.7109375" bestFit="1" customWidth="1"/>
    <col min="11016" max="11016" width="32.7109375" bestFit="1" customWidth="1"/>
    <col min="11017" max="11017" width="56" bestFit="1" customWidth="1"/>
    <col min="11019" max="11019" width="23.7109375" bestFit="1" customWidth="1"/>
    <col min="11020" max="11020" width="38.28515625" bestFit="1" customWidth="1"/>
    <col min="11265" max="11265" width="9.140625" bestFit="1" customWidth="1"/>
    <col min="11266" max="11266" width="38" bestFit="1" customWidth="1"/>
    <col min="11267" max="11267" width="64.28515625" bestFit="1" customWidth="1"/>
    <col min="11268" max="11268" width="17.85546875" bestFit="1" customWidth="1"/>
    <col min="11269" max="11269" width="19.42578125" bestFit="1" customWidth="1"/>
    <col min="11270" max="11270" width="38" bestFit="1" customWidth="1"/>
    <col min="11271" max="11271" width="11.7109375" bestFit="1" customWidth="1"/>
    <col min="11272" max="11272" width="32.7109375" bestFit="1" customWidth="1"/>
    <col min="11273" max="11273" width="56" bestFit="1" customWidth="1"/>
    <col min="11275" max="11275" width="23.7109375" bestFit="1" customWidth="1"/>
    <col min="11276" max="11276" width="38.28515625" bestFit="1" customWidth="1"/>
    <col min="11521" max="11521" width="9.140625" bestFit="1" customWidth="1"/>
    <col min="11522" max="11522" width="38" bestFit="1" customWidth="1"/>
    <col min="11523" max="11523" width="64.28515625" bestFit="1" customWidth="1"/>
    <col min="11524" max="11524" width="17.85546875" bestFit="1" customWidth="1"/>
    <col min="11525" max="11525" width="19.42578125" bestFit="1" customWidth="1"/>
    <col min="11526" max="11526" width="38" bestFit="1" customWidth="1"/>
    <col min="11527" max="11527" width="11.7109375" bestFit="1" customWidth="1"/>
    <col min="11528" max="11528" width="32.7109375" bestFit="1" customWidth="1"/>
    <col min="11529" max="11529" width="56" bestFit="1" customWidth="1"/>
    <col min="11531" max="11531" width="23.7109375" bestFit="1" customWidth="1"/>
    <col min="11532" max="11532" width="38.28515625" bestFit="1" customWidth="1"/>
    <col min="11777" max="11777" width="9.140625" bestFit="1" customWidth="1"/>
    <col min="11778" max="11778" width="38" bestFit="1" customWidth="1"/>
    <col min="11779" max="11779" width="64.28515625" bestFit="1" customWidth="1"/>
    <col min="11780" max="11780" width="17.85546875" bestFit="1" customWidth="1"/>
    <col min="11781" max="11781" width="19.42578125" bestFit="1" customWidth="1"/>
    <col min="11782" max="11782" width="38" bestFit="1" customWidth="1"/>
    <col min="11783" max="11783" width="11.7109375" bestFit="1" customWidth="1"/>
    <col min="11784" max="11784" width="32.7109375" bestFit="1" customWidth="1"/>
    <col min="11785" max="11785" width="56" bestFit="1" customWidth="1"/>
    <col min="11787" max="11787" width="23.7109375" bestFit="1" customWidth="1"/>
    <col min="11788" max="11788" width="38.28515625" bestFit="1" customWidth="1"/>
    <col min="12033" max="12033" width="9.140625" bestFit="1" customWidth="1"/>
    <col min="12034" max="12034" width="38" bestFit="1" customWidth="1"/>
    <col min="12035" max="12035" width="64.28515625" bestFit="1" customWidth="1"/>
    <col min="12036" max="12036" width="17.85546875" bestFit="1" customWidth="1"/>
    <col min="12037" max="12037" width="19.42578125" bestFit="1" customWidth="1"/>
    <col min="12038" max="12038" width="38" bestFit="1" customWidth="1"/>
    <col min="12039" max="12039" width="11.7109375" bestFit="1" customWidth="1"/>
    <col min="12040" max="12040" width="32.7109375" bestFit="1" customWidth="1"/>
    <col min="12041" max="12041" width="56" bestFit="1" customWidth="1"/>
    <col min="12043" max="12043" width="23.7109375" bestFit="1" customWidth="1"/>
    <col min="12044" max="12044" width="38.28515625" bestFit="1" customWidth="1"/>
    <col min="12289" max="12289" width="9.140625" bestFit="1" customWidth="1"/>
    <col min="12290" max="12290" width="38" bestFit="1" customWidth="1"/>
    <col min="12291" max="12291" width="64.28515625" bestFit="1" customWidth="1"/>
    <col min="12292" max="12292" width="17.85546875" bestFit="1" customWidth="1"/>
    <col min="12293" max="12293" width="19.42578125" bestFit="1" customWidth="1"/>
    <col min="12294" max="12294" width="38" bestFit="1" customWidth="1"/>
    <col min="12295" max="12295" width="11.7109375" bestFit="1" customWidth="1"/>
    <col min="12296" max="12296" width="32.7109375" bestFit="1" customWidth="1"/>
    <col min="12297" max="12297" width="56" bestFit="1" customWidth="1"/>
    <col min="12299" max="12299" width="23.7109375" bestFit="1" customWidth="1"/>
    <col min="12300" max="12300" width="38.28515625" bestFit="1" customWidth="1"/>
    <col min="12545" max="12545" width="9.140625" bestFit="1" customWidth="1"/>
    <col min="12546" max="12546" width="38" bestFit="1" customWidth="1"/>
    <col min="12547" max="12547" width="64.28515625" bestFit="1" customWidth="1"/>
    <col min="12548" max="12548" width="17.85546875" bestFit="1" customWidth="1"/>
    <col min="12549" max="12549" width="19.42578125" bestFit="1" customWidth="1"/>
    <col min="12550" max="12550" width="38" bestFit="1" customWidth="1"/>
    <col min="12551" max="12551" width="11.7109375" bestFit="1" customWidth="1"/>
    <col min="12552" max="12552" width="32.7109375" bestFit="1" customWidth="1"/>
    <col min="12553" max="12553" width="56" bestFit="1" customWidth="1"/>
    <col min="12555" max="12555" width="23.7109375" bestFit="1" customWidth="1"/>
    <col min="12556" max="12556" width="38.28515625" bestFit="1" customWidth="1"/>
    <col min="12801" max="12801" width="9.140625" bestFit="1" customWidth="1"/>
    <col min="12802" max="12802" width="38" bestFit="1" customWidth="1"/>
    <col min="12803" max="12803" width="64.28515625" bestFit="1" customWidth="1"/>
    <col min="12804" max="12804" width="17.85546875" bestFit="1" customWidth="1"/>
    <col min="12805" max="12805" width="19.42578125" bestFit="1" customWidth="1"/>
    <col min="12806" max="12806" width="38" bestFit="1" customWidth="1"/>
    <col min="12807" max="12807" width="11.7109375" bestFit="1" customWidth="1"/>
    <col min="12808" max="12808" width="32.7109375" bestFit="1" customWidth="1"/>
    <col min="12809" max="12809" width="56" bestFit="1" customWidth="1"/>
    <col min="12811" max="12811" width="23.7109375" bestFit="1" customWidth="1"/>
    <col min="12812" max="12812" width="38.28515625" bestFit="1" customWidth="1"/>
    <col min="13057" max="13057" width="9.140625" bestFit="1" customWidth="1"/>
    <col min="13058" max="13058" width="38" bestFit="1" customWidth="1"/>
    <col min="13059" max="13059" width="64.28515625" bestFit="1" customWidth="1"/>
    <col min="13060" max="13060" width="17.85546875" bestFit="1" customWidth="1"/>
    <col min="13061" max="13061" width="19.42578125" bestFit="1" customWidth="1"/>
    <col min="13062" max="13062" width="38" bestFit="1" customWidth="1"/>
    <col min="13063" max="13063" width="11.7109375" bestFit="1" customWidth="1"/>
    <col min="13064" max="13064" width="32.7109375" bestFit="1" customWidth="1"/>
    <col min="13065" max="13065" width="56" bestFit="1" customWidth="1"/>
    <col min="13067" max="13067" width="23.7109375" bestFit="1" customWidth="1"/>
    <col min="13068" max="13068" width="38.28515625" bestFit="1" customWidth="1"/>
    <col min="13313" max="13313" width="9.140625" bestFit="1" customWidth="1"/>
    <col min="13314" max="13314" width="38" bestFit="1" customWidth="1"/>
    <col min="13315" max="13315" width="64.28515625" bestFit="1" customWidth="1"/>
    <col min="13316" max="13316" width="17.85546875" bestFit="1" customWidth="1"/>
    <col min="13317" max="13317" width="19.42578125" bestFit="1" customWidth="1"/>
    <col min="13318" max="13318" width="38" bestFit="1" customWidth="1"/>
    <col min="13319" max="13319" width="11.7109375" bestFit="1" customWidth="1"/>
    <col min="13320" max="13320" width="32.7109375" bestFit="1" customWidth="1"/>
    <col min="13321" max="13321" width="56" bestFit="1" customWidth="1"/>
    <col min="13323" max="13323" width="23.7109375" bestFit="1" customWidth="1"/>
    <col min="13324" max="13324" width="38.28515625" bestFit="1" customWidth="1"/>
    <col min="13569" max="13569" width="9.140625" bestFit="1" customWidth="1"/>
    <col min="13570" max="13570" width="38" bestFit="1" customWidth="1"/>
    <col min="13571" max="13571" width="64.28515625" bestFit="1" customWidth="1"/>
    <col min="13572" max="13572" width="17.85546875" bestFit="1" customWidth="1"/>
    <col min="13573" max="13573" width="19.42578125" bestFit="1" customWidth="1"/>
    <col min="13574" max="13574" width="38" bestFit="1" customWidth="1"/>
    <col min="13575" max="13575" width="11.7109375" bestFit="1" customWidth="1"/>
    <col min="13576" max="13576" width="32.7109375" bestFit="1" customWidth="1"/>
    <col min="13577" max="13577" width="56" bestFit="1" customWidth="1"/>
    <col min="13579" max="13579" width="23.7109375" bestFit="1" customWidth="1"/>
    <col min="13580" max="13580" width="38.28515625" bestFit="1" customWidth="1"/>
    <col min="13825" max="13825" width="9.140625" bestFit="1" customWidth="1"/>
    <col min="13826" max="13826" width="38" bestFit="1" customWidth="1"/>
    <col min="13827" max="13827" width="64.28515625" bestFit="1" customWidth="1"/>
    <col min="13828" max="13828" width="17.85546875" bestFit="1" customWidth="1"/>
    <col min="13829" max="13829" width="19.42578125" bestFit="1" customWidth="1"/>
    <col min="13830" max="13830" width="38" bestFit="1" customWidth="1"/>
    <col min="13831" max="13831" width="11.7109375" bestFit="1" customWidth="1"/>
    <col min="13832" max="13832" width="32.7109375" bestFit="1" customWidth="1"/>
    <col min="13833" max="13833" width="56" bestFit="1" customWidth="1"/>
    <col min="13835" max="13835" width="23.7109375" bestFit="1" customWidth="1"/>
    <col min="13836" max="13836" width="38.28515625" bestFit="1" customWidth="1"/>
    <col min="14081" max="14081" width="9.140625" bestFit="1" customWidth="1"/>
    <col min="14082" max="14082" width="38" bestFit="1" customWidth="1"/>
    <col min="14083" max="14083" width="64.28515625" bestFit="1" customWidth="1"/>
    <col min="14084" max="14084" width="17.85546875" bestFit="1" customWidth="1"/>
    <col min="14085" max="14085" width="19.42578125" bestFit="1" customWidth="1"/>
    <col min="14086" max="14086" width="38" bestFit="1" customWidth="1"/>
    <col min="14087" max="14087" width="11.7109375" bestFit="1" customWidth="1"/>
    <col min="14088" max="14088" width="32.7109375" bestFit="1" customWidth="1"/>
    <col min="14089" max="14089" width="56" bestFit="1" customWidth="1"/>
    <col min="14091" max="14091" width="23.7109375" bestFit="1" customWidth="1"/>
    <col min="14092" max="14092" width="38.28515625" bestFit="1" customWidth="1"/>
    <col min="14337" max="14337" width="9.140625" bestFit="1" customWidth="1"/>
    <col min="14338" max="14338" width="38" bestFit="1" customWidth="1"/>
    <col min="14339" max="14339" width="64.28515625" bestFit="1" customWidth="1"/>
    <col min="14340" max="14340" width="17.85546875" bestFit="1" customWidth="1"/>
    <col min="14341" max="14341" width="19.42578125" bestFit="1" customWidth="1"/>
    <col min="14342" max="14342" width="38" bestFit="1" customWidth="1"/>
    <col min="14343" max="14343" width="11.7109375" bestFit="1" customWidth="1"/>
    <col min="14344" max="14344" width="32.7109375" bestFit="1" customWidth="1"/>
    <col min="14345" max="14345" width="56" bestFit="1" customWidth="1"/>
    <col min="14347" max="14347" width="23.7109375" bestFit="1" customWidth="1"/>
    <col min="14348" max="14348" width="38.28515625" bestFit="1" customWidth="1"/>
    <col min="14593" max="14593" width="9.140625" bestFit="1" customWidth="1"/>
    <col min="14594" max="14594" width="38" bestFit="1" customWidth="1"/>
    <col min="14595" max="14595" width="64.28515625" bestFit="1" customWidth="1"/>
    <col min="14596" max="14596" width="17.85546875" bestFit="1" customWidth="1"/>
    <col min="14597" max="14597" width="19.42578125" bestFit="1" customWidth="1"/>
    <col min="14598" max="14598" width="38" bestFit="1" customWidth="1"/>
    <col min="14599" max="14599" width="11.7109375" bestFit="1" customWidth="1"/>
    <col min="14600" max="14600" width="32.7109375" bestFit="1" customWidth="1"/>
    <col min="14601" max="14601" width="56" bestFit="1" customWidth="1"/>
    <col min="14603" max="14603" width="23.7109375" bestFit="1" customWidth="1"/>
    <col min="14604" max="14604" width="38.28515625" bestFit="1" customWidth="1"/>
    <col min="14849" max="14849" width="9.140625" bestFit="1" customWidth="1"/>
    <col min="14850" max="14850" width="38" bestFit="1" customWidth="1"/>
    <col min="14851" max="14851" width="64.28515625" bestFit="1" customWidth="1"/>
    <col min="14852" max="14852" width="17.85546875" bestFit="1" customWidth="1"/>
    <col min="14853" max="14853" width="19.42578125" bestFit="1" customWidth="1"/>
    <col min="14854" max="14854" width="38" bestFit="1" customWidth="1"/>
    <col min="14855" max="14855" width="11.7109375" bestFit="1" customWidth="1"/>
    <col min="14856" max="14856" width="32.7109375" bestFit="1" customWidth="1"/>
    <col min="14857" max="14857" width="56" bestFit="1" customWidth="1"/>
    <col min="14859" max="14859" width="23.7109375" bestFit="1" customWidth="1"/>
    <col min="14860" max="14860" width="38.28515625" bestFit="1" customWidth="1"/>
    <col min="15105" max="15105" width="9.140625" bestFit="1" customWidth="1"/>
    <col min="15106" max="15106" width="38" bestFit="1" customWidth="1"/>
    <col min="15107" max="15107" width="64.28515625" bestFit="1" customWidth="1"/>
    <col min="15108" max="15108" width="17.85546875" bestFit="1" customWidth="1"/>
    <col min="15109" max="15109" width="19.42578125" bestFit="1" customWidth="1"/>
    <col min="15110" max="15110" width="38" bestFit="1" customWidth="1"/>
    <col min="15111" max="15111" width="11.7109375" bestFit="1" customWidth="1"/>
    <col min="15112" max="15112" width="32.7109375" bestFit="1" customWidth="1"/>
    <col min="15113" max="15113" width="56" bestFit="1" customWidth="1"/>
    <col min="15115" max="15115" width="23.7109375" bestFit="1" customWidth="1"/>
    <col min="15116" max="15116" width="38.28515625" bestFit="1" customWidth="1"/>
    <col min="15361" max="15361" width="9.140625" bestFit="1" customWidth="1"/>
    <col min="15362" max="15362" width="38" bestFit="1" customWidth="1"/>
    <col min="15363" max="15363" width="64.28515625" bestFit="1" customWidth="1"/>
    <col min="15364" max="15364" width="17.85546875" bestFit="1" customWidth="1"/>
    <col min="15365" max="15365" width="19.42578125" bestFit="1" customWidth="1"/>
    <col min="15366" max="15366" width="38" bestFit="1" customWidth="1"/>
    <col min="15367" max="15367" width="11.7109375" bestFit="1" customWidth="1"/>
    <col min="15368" max="15368" width="32.7109375" bestFit="1" customWidth="1"/>
    <col min="15369" max="15369" width="56" bestFit="1" customWidth="1"/>
    <col min="15371" max="15371" width="23.7109375" bestFit="1" customWidth="1"/>
    <col min="15372" max="15372" width="38.28515625" bestFit="1" customWidth="1"/>
    <col min="15617" max="15617" width="9.140625" bestFit="1" customWidth="1"/>
    <col min="15618" max="15618" width="38" bestFit="1" customWidth="1"/>
    <col min="15619" max="15619" width="64.28515625" bestFit="1" customWidth="1"/>
    <col min="15620" max="15620" width="17.85546875" bestFit="1" customWidth="1"/>
    <col min="15621" max="15621" width="19.42578125" bestFit="1" customWidth="1"/>
    <col min="15622" max="15622" width="38" bestFit="1" customWidth="1"/>
    <col min="15623" max="15623" width="11.7109375" bestFit="1" customWidth="1"/>
    <col min="15624" max="15624" width="32.7109375" bestFit="1" customWidth="1"/>
    <col min="15625" max="15625" width="56" bestFit="1" customWidth="1"/>
    <col min="15627" max="15627" width="23.7109375" bestFit="1" customWidth="1"/>
    <col min="15628" max="15628" width="38.28515625" bestFit="1" customWidth="1"/>
    <col min="15873" max="15873" width="9.140625" bestFit="1" customWidth="1"/>
    <col min="15874" max="15874" width="38" bestFit="1" customWidth="1"/>
    <col min="15875" max="15875" width="64.28515625" bestFit="1" customWidth="1"/>
    <col min="15876" max="15876" width="17.85546875" bestFit="1" customWidth="1"/>
    <col min="15877" max="15877" width="19.42578125" bestFit="1" customWidth="1"/>
    <col min="15878" max="15878" width="38" bestFit="1" customWidth="1"/>
    <col min="15879" max="15879" width="11.7109375" bestFit="1" customWidth="1"/>
    <col min="15880" max="15880" width="32.7109375" bestFit="1" customWidth="1"/>
    <col min="15881" max="15881" width="56" bestFit="1" customWidth="1"/>
    <col min="15883" max="15883" width="23.7109375" bestFit="1" customWidth="1"/>
    <col min="15884" max="15884" width="38.28515625" bestFit="1" customWidth="1"/>
    <col min="16129" max="16129" width="9.140625" bestFit="1" customWidth="1"/>
    <col min="16130" max="16130" width="38" bestFit="1" customWidth="1"/>
    <col min="16131" max="16131" width="64.28515625" bestFit="1" customWidth="1"/>
    <col min="16132" max="16132" width="17.85546875" bestFit="1" customWidth="1"/>
    <col min="16133" max="16133" width="19.42578125" bestFit="1" customWidth="1"/>
    <col min="16134" max="16134" width="38" bestFit="1" customWidth="1"/>
    <col min="16135" max="16135" width="11.7109375" bestFit="1" customWidth="1"/>
    <col min="16136" max="16136" width="32.7109375" bestFit="1" customWidth="1"/>
    <col min="16137" max="16137" width="56" bestFit="1" customWidth="1"/>
    <col min="16139" max="16139" width="23.7109375" bestFit="1" customWidth="1"/>
    <col min="16140" max="16140" width="38.28515625" bestFit="1" customWidth="1"/>
  </cols>
  <sheetData>
    <row r="1" spans="1:6" ht="24" customHeight="1" x14ac:dyDescent="0.25">
      <c r="A1" s="42" t="s">
        <v>383</v>
      </c>
      <c r="B1" s="42" t="s">
        <v>384</v>
      </c>
      <c r="C1" s="42" t="s">
        <v>6</v>
      </c>
      <c r="D1" s="42" t="s">
        <v>460</v>
      </c>
      <c r="E1" s="42" t="s">
        <v>461</v>
      </c>
      <c r="F1" s="46" t="s">
        <v>1653</v>
      </c>
    </row>
    <row r="2" spans="1:6" x14ac:dyDescent="0.25">
      <c r="A2" s="43">
        <v>44</v>
      </c>
      <c r="B2" t="s">
        <v>37</v>
      </c>
      <c r="C2" s="43" t="s">
        <v>403</v>
      </c>
      <c r="D2" s="43">
        <v>70309</v>
      </c>
      <c r="E2" t="s">
        <v>252</v>
      </c>
      <c r="F2" s="47" t="str">
        <f>+Empresa_Centro[[#This Row],[Codigo Centro Gestion]]&amp;" - "&amp;Empresa_Centro[[#This Row],[Nombre Centro Gestion]]</f>
        <v>70309 - OFICINA CENTRAL</v>
      </c>
    </row>
    <row r="3" spans="1:6" x14ac:dyDescent="0.25">
      <c r="A3" s="43">
        <v>17</v>
      </c>
      <c r="B3" t="s">
        <v>390</v>
      </c>
      <c r="C3" s="43" t="s">
        <v>391</v>
      </c>
      <c r="D3" s="43">
        <v>70309</v>
      </c>
      <c r="E3" t="s">
        <v>252</v>
      </c>
      <c r="F3" s="47" t="str">
        <f>+Empresa_Centro[[#This Row],[Codigo Centro Gestion]]&amp;" - "&amp;Empresa_Centro[[#This Row],[Nombre Centro Gestion]]</f>
        <v>70309 - OFICINA CENTRAL</v>
      </c>
    </row>
    <row r="4" spans="1:6" x14ac:dyDescent="0.25">
      <c r="A4" s="43">
        <v>92</v>
      </c>
      <c r="B4" t="s">
        <v>444</v>
      </c>
      <c r="C4" s="43" t="s">
        <v>445</v>
      </c>
      <c r="D4" s="43">
        <v>70309</v>
      </c>
      <c r="E4" t="s">
        <v>252</v>
      </c>
      <c r="F4" s="47" t="str">
        <f>+Empresa_Centro[[#This Row],[Codigo Centro Gestion]]&amp;" - "&amp;Empresa_Centro[[#This Row],[Nombre Centro Gestion]]</f>
        <v>70309 - OFICINA CENTRAL</v>
      </c>
    </row>
    <row r="5" spans="1:6" x14ac:dyDescent="0.25">
      <c r="A5" s="43">
        <v>57</v>
      </c>
      <c r="B5" t="s">
        <v>38</v>
      </c>
      <c r="C5" s="43" t="s">
        <v>420</v>
      </c>
      <c r="D5" s="43">
        <v>70309</v>
      </c>
      <c r="E5" t="s">
        <v>252</v>
      </c>
      <c r="F5" s="47" t="str">
        <f>+Empresa_Centro[[#This Row],[Codigo Centro Gestion]]&amp;" - "&amp;Empresa_Centro[[#This Row],[Nombre Centro Gestion]]</f>
        <v>70309 - OFICINA CENTRAL</v>
      </c>
    </row>
    <row r="6" spans="1:6" x14ac:dyDescent="0.25">
      <c r="A6" s="43">
        <v>93</v>
      </c>
      <c r="B6" t="s">
        <v>446</v>
      </c>
      <c r="C6" s="43" t="s">
        <v>447</v>
      </c>
      <c r="D6" s="43">
        <v>10315</v>
      </c>
      <c r="E6" t="s">
        <v>191</v>
      </c>
      <c r="F6" s="47" t="str">
        <f>+Empresa_Centro[[#This Row],[Codigo Centro Gestion]]&amp;" - "&amp;Empresa_Centro[[#This Row],[Nombre Centro Gestion]]</f>
        <v>10315 - Centro General zonal</v>
      </c>
    </row>
    <row r="7" spans="1:6" x14ac:dyDescent="0.25">
      <c r="A7" s="43">
        <v>93</v>
      </c>
      <c r="B7" t="s">
        <v>446</v>
      </c>
      <c r="C7" s="43" t="s">
        <v>447</v>
      </c>
      <c r="D7" s="43">
        <v>70309</v>
      </c>
      <c r="E7" t="s">
        <v>252</v>
      </c>
      <c r="F7" s="47" t="str">
        <f>+Empresa_Centro[[#This Row],[Codigo Centro Gestion]]&amp;" - "&amp;Empresa_Centro[[#This Row],[Nombre Centro Gestion]]</f>
        <v>70309 - OFICINA CENTRAL</v>
      </c>
    </row>
    <row r="8" spans="1:6" x14ac:dyDescent="0.25">
      <c r="A8" s="43">
        <v>93</v>
      </c>
      <c r="B8" t="s">
        <v>446</v>
      </c>
      <c r="C8" s="43" t="s">
        <v>447</v>
      </c>
      <c r="D8" s="43">
        <v>70312</v>
      </c>
      <c r="E8" t="s">
        <v>258</v>
      </c>
      <c r="F8" s="47" t="str">
        <f>+Empresa_Centro[[#This Row],[Codigo Centro Gestion]]&amp;" - "&amp;Empresa_Centro[[#This Row],[Nombre Centro Gestion]]</f>
        <v>70312 - CONTABILIDAD GENERAL</v>
      </c>
    </row>
    <row r="9" spans="1:6" x14ac:dyDescent="0.25">
      <c r="A9" s="43">
        <v>93</v>
      </c>
      <c r="B9" t="s">
        <v>446</v>
      </c>
      <c r="C9" s="43" t="s">
        <v>447</v>
      </c>
      <c r="D9" s="43">
        <v>1082202</v>
      </c>
      <c r="E9" t="s">
        <v>729</v>
      </c>
      <c r="F9" s="47" t="str">
        <f>+Empresa_Centro[[#This Row],[Codigo Centro Gestion]]&amp;" - "&amp;Empresa_Centro[[#This Row],[Nombre Centro Gestion]]</f>
        <v>1082202 - Terreno Edificio Uno Norte - Desarrollo</v>
      </c>
    </row>
    <row r="10" spans="1:6" x14ac:dyDescent="0.25">
      <c r="A10" s="43">
        <v>93</v>
      </c>
      <c r="B10" t="s">
        <v>446</v>
      </c>
      <c r="C10" s="43" t="s">
        <v>447</v>
      </c>
      <c r="D10" s="43">
        <v>1090202</v>
      </c>
      <c r="E10" t="s">
        <v>734</v>
      </c>
      <c r="F10" s="47" t="str">
        <f>+Empresa_Centro[[#This Row],[Codigo Centro Gestion]]&amp;" - "&amp;Empresa_Centro[[#This Row],[Nombre Centro Gestion]]</f>
        <v xml:space="preserve">1090202 - Terreno Edificio Parque Urbano – Inversiones </v>
      </c>
    </row>
    <row r="11" spans="1:6" x14ac:dyDescent="0.25">
      <c r="A11" s="43">
        <v>93</v>
      </c>
      <c r="B11" t="s">
        <v>446</v>
      </c>
      <c r="C11" s="43" t="s">
        <v>447</v>
      </c>
      <c r="D11" s="43">
        <v>1093202</v>
      </c>
      <c r="E11" t="s">
        <v>736</v>
      </c>
      <c r="F11" s="47" t="str">
        <f>+Empresa_Centro[[#This Row],[Codigo Centro Gestion]]&amp;" - "&amp;Empresa_Centro[[#This Row],[Nombre Centro Gestion]]</f>
        <v>1093202 - Terreno Alto Viña I – Inversiones</v>
      </c>
    </row>
    <row r="12" spans="1:6" x14ac:dyDescent="0.25">
      <c r="A12" s="43">
        <v>93</v>
      </c>
      <c r="B12" t="s">
        <v>446</v>
      </c>
      <c r="C12" s="43" t="s">
        <v>447</v>
      </c>
      <c r="D12" s="43">
        <v>1096202</v>
      </c>
      <c r="E12" t="s">
        <v>739</v>
      </c>
      <c r="F12" s="47" t="str">
        <f>+Empresa_Centro[[#This Row],[Codigo Centro Gestion]]&amp;" - "&amp;Empresa_Centro[[#This Row],[Nombre Centro Gestion]]</f>
        <v>1096202 - Terreno Alto Viña II – Inversiones</v>
      </c>
    </row>
    <row r="13" spans="1:6" x14ac:dyDescent="0.25">
      <c r="A13" s="43">
        <v>93</v>
      </c>
      <c r="B13" t="s">
        <v>446</v>
      </c>
      <c r="C13" s="43" t="s">
        <v>447</v>
      </c>
      <c r="D13" s="43">
        <v>1097202</v>
      </c>
      <c r="E13" t="s">
        <v>740</v>
      </c>
      <c r="F13" s="47" t="str">
        <f>+Empresa_Centro[[#This Row],[Codigo Centro Gestion]]&amp;" - "&amp;Empresa_Centro[[#This Row],[Nombre Centro Gestion]]</f>
        <v>1097202 - Terreno Alto Viña III – Inversiones</v>
      </c>
    </row>
    <row r="14" spans="1:6" x14ac:dyDescent="0.25">
      <c r="A14" s="43">
        <v>93</v>
      </c>
      <c r="B14" t="s">
        <v>446</v>
      </c>
      <c r="C14" s="43" t="s">
        <v>447</v>
      </c>
      <c r="D14" s="43">
        <v>1126202</v>
      </c>
      <c r="E14" t="s">
        <v>758</v>
      </c>
      <c r="F14" s="47" t="str">
        <f>+Empresa_Centro[[#This Row],[Codigo Centro Gestion]]&amp;" - "&amp;Empresa_Centro[[#This Row],[Nombre Centro Gestion]]</f>
        <v>1126202 - Terreno Edificio Parque Urbano 1589 – Inversiones</v>
      </c>
    </row>
    <row r="15" spans="1:6" x14ac:dyDescent="0.25">
      <c r="A15" s="43">
        <v>93</v>
      </c>
      <c r="B15" t="s">
        <v>446</v>
      </c>
      <c r="C15" s="43" t="s">
        <v>447</v>
      </c>
      <c r="D15" s="43">
        <v>1133202</v>
      </c>
      <c r="E15" t="s">
        <v>763</v>
      </c>
      <c r="F15" s="47" t="str">
        <f>+Empresa_Centro[[#This Row],[Codigo Centro Gestion]]&amp;" - "&amp;Empresa_Centro[[#This Row],[Nombre Centro Gestion]]</f>
        <v>1133202 - Terreno Blanca Estela 2333 – Inversiones</v>
      </c>
    </row>
    <row r="16" spans="1:6" x14ac:dyDescent="0.25">
      <c r="A16" s="43">
        <v>93</v>
      </c>
      <c r="B16" t="s">
        <v>446</v>
      </c>
      <c r="C16" s="43" t="s">
        <v>447</v>
      </c>
      <c r="D16" s="43">
        <v>1156202</v>
      </c>
      <c r="E16" t="s">
        <v>773</v>
      </c>
      <c r="F16" s="47" t="str">
        <f>+Empresa_Centro[[#This Row],[Codigo Centro Gestion]]&amp;" - "&amp;Empresa_Centro[[#This Row],[Nombre Centro Gestion]]</f>
        <v>1156202 - Terreno Achupallas 499 - Inversiones</v>
      </c>
    </row>
    <row r="17" spans="1:6" x14ac:dyDescent="0.25">
      <c r="A17" s="43">
        <v>93</v>
      </c>
      <c r="B17" t="s">
        <v>446</v>
      </c>
      <c r="C17" s="43" t="s">
        <v>447</v>
      </c>
      <c r="D17" s="43">
        <v>10203000</v>
      </c>
      <c r="E17" t="s">
        <v>898</v>
      </c>
      <c r="F17" s="47" t="str">
        <f>+Empresa_Centro[[#This Row],[Codigo Centro Gestion]]&amp;" - "&amp;Empresa_Centro[[#This Row],[Nombre Centro Gestion]]</f>
        <v>10203000 - Alto Foresta</v>
      </c>
    </row>
    <row r="18" spans="1:6" x14ac:dyDescent="0.25">
      <c r="A18" s="43">
        <v>93</v>
      </c>
      <c r="B18" t="s">
        <v>446</v>
      </c>
      <c r="C18" s="43" t="s">
        <v>447</v>
      </c>
      <c r="D18" s="43">
        <v>10203102</v>
      </c>
      <c r="E18" t="s">
        <v>899</v>
      </c>
      <c r="F18" s="47" t="str">
        <f>+Empresa_Centro[[#This Row],[Codigo Centro Gestion]]&amp;" - "&amp;Empresa_Centro[[#This Row],[Nombre Centro Gestion]]</f>
        <v>10203102 - Alto Foresta-Marketing</v>
      </c>
    </row>
    <row r="19" spans="1:6" x14ac:dyDescent="0.25">
      <c r="A19" s="43">
        <v>93</v>
      </c>
      <c r="B19" t="s">
        <v>446</v>
      </c>
      <c r="C19" s="43" t="s">
        <v>447</v>
      </c>
      <c r="D19" s="43">
        <v>10203103</v>
      </c>
      <c r="E19" t="s">
        <v>900</v>
      </c>
      <c r="F19" s="47" t="str">
        <f>+Empresa_Centro[[#This Row],[Codigo Centro Gestion]]&amp;" - "&amp;Empresa_Centro[[#This Row],[Nombre Centro Gestion]]</f>
        <v>10203103 - Alto Foresta-Operaciones</v>
      </c>
    </row>
    <row r="20" spans="1:6" x14ac:dyDescent="0.25">
      <c r="A20" s="43">
        <v>93</v>
      </c>
      <c r="B20" t="s">
        <v>446</v>
      </c>
      <c r="C20" s="43" t="s">
        <v>447</v>
      </c>
      <c r="D20" s="43">
        <v>10203104</v>
      </c>
      <c r="E20" t="s">
        <v>901</v>
      </c>
      <c r="F20" s="47" t="str">
        <f>+Empresa_Centro[[#This Row],[Codigo Centro Gestion]]&amp;" - "&amp;Empresa_Centro[[#This Row],[Nombre Centro Gestion]]</f>
        <v>10203104 - Alto Foresta-Ventas</v>
      </c>
    </row>
    <row r="21" spans="1:6" x14ac:dyDescent="0.25">
      <c r="A21" s="43">
        <v>93</v>
      </c>
      <c r="B21" t="s">
        <v>446</v>
      </c>
      <c r="C21" s="43" t="s">
        <v>447</v>
      </c>
      <c r="D21" s="43">
        <v>10203105</v>
      </c>
      <c r="E21" t="s">
        <v>902</v>
      </c>
      <c r="F21" s="47" t="str">
        <f>+Empresa_Centro[[#This Row],[Codigo Centro Gestion]]&amp;" - "&amp;Empresa_Centro[[#This Row],[Nombre Centro Gestion]]</f>
        <v>10203105 - Alto Foresta-Clientes</v>
      </c>
    </row>
    <row r="22" spans="1:6" x14ac:dyDescent="0.25">
      <c r="A22" s="43">
        <v>93</v>
      </c>
      <c r="B22" t="s">
        <v>446</v>
      </c>
      <c r="C22" s="43" t="s">
        <v>447</v>
      </c>
      <c r="D22" s="43">
        <v>10203204</v>
      </c>
      <c r="E22" t="s">
        <v>903</v>
      </c>
      <c r="F22" s="47" t="str">
        <f>+Empresa_Centro[[#This Row],[Codigo Centro Gestion]]&amp;" - "&amp;Empresa_Centro[[#This Row],[Nombre Centro Gestion]]</f>
        <v>10203204 - Alto Foresta-Proyecto</v>
      </c>
    </row>
    <row r="23" spans="1:6" x14ac:dyDescent="0.25">
      <c r="A23" s="43">
        <v>93</v>
      </c>
      <c r="B23" t="s">
        <v>446</v>
      </c>
      <c r="C23" s="43" t="s">
        <v>447</v>
      </c>
      <c r="D23" s="43">
        <v>10203301</v>
      </c>
      <c r="E23" t="s">
        <v>904</v>
      </c>
      <c r="F23" s="47" t="str">
        <f>+Empresa_Centro[[#This Row],[Codigo Centro Gestion]]&amp;" - "&amp;Empresa_Centro[[#This Row],[Nombre Centro Gestion]]</f>
        <v>10203301 - Alto Foresta-GAF</v>
      </c>
    </row>
    <row r="24" spans="1:6" x14ac:dyDescent="0.25">
      <c r="A24" s="43">
        <v>93</v>
      </c>
      <c r="B24" t="s">
        <v>446</v>
      </c>
      <c r="C24" s="43" t="s">
        <v>447</v>
      </c>
      <c r="D24" s="43">
        <v>10203505</v>
      </c>
      <c r="E24" t="s">
        <v>905</v>
      </c>
      <c r="F24" s="47" t="str">
        <f>+Empresa_Centro[[#This Row],[Codigo Centro Gestion]]&amp;" - "&amp;Empresa_Centro[[#This Row],[Nombre Centro Gestion]]</f>
        <v>10203505 - Alto Foresta-PV Inmob.</v>
      </c>
    </row>
    <row r="25" spans="1:6" x14ac:dyDescent="0.25">
      <c r="A25" s="43">
        <v>93</v>
      </c>
      <c r="B25" t="s">
        <v>446</v>
      </c>
      <c r="C25" s="43" t="s">
        <v>447</v>
      </c>
      <c r="D25" s="43">
        <v>10203506</v>
      </c>
      <c r="E25" t="s">
        <v>906</v>
      </c>
      <c r="F25" s="47" t="str">
        <f>+Empresa_Centro[[#This Row],[Codigo Centro Gestion]]&amp;" - "&amp;Empresa_Centro[[#This Row],[Nombre Centro Gestion]]</f>
        <v>10203506 - Alto Foresta-Depto.Técnico</v>
      </c>
    </row>
    <row r="26" spans="1:6" x14ac:dyDescent="0.25">
      <c r="A26" s="43">
        <v>93</v>
      </c>
      <c r="B26" t="s">
        <v>446</v>
      </c>
      <c r="C26" s="43" t="s">
        <v>447</v>
      </c>
      <c r="D26" s="43">
        <v>10211000</v>
      </c>
      <c r="E26" t="s">
        <v>952</v>
      </c>
      <c r="F26" s="47" t="str">
        <f>+Empresa_Centro[[#This Row],[Codigo Centro Gestion]]&amp;" - "&amp;Empresa_Centro[[#This Row],[Nombre Centro Gestion]]</f>
        <v>10211000 - Vista del Valle II Edificio B</v>
      </c>
    </row>
    <row r="27" spans="1:6" x14ac:dyDescent="0.25">
      <c r="A27" s="43">
        <v>93</v>
      </c>
      <c r="B27" t="s">
        <v>446</v>
      </c>
      <c r="C27" s="43" t="s">
        <v>447</v>
      </c>
      <c r="D27" s="43">
        <v>10211104</v>
      </c>
      <c r="E27" t="s">
        <v>955</v>
      </c>
      <c r="F27" s="47" t="str">
        <f>+Empresa_Centro[[#This Row],[Codigo Centro Gestion]]&amp;" - "&amp;Empresa_Centro[[#This Row],[Nombre Centro Gestion]]</f>
        <v>10211104 - Vista del Valle II Edificio B-Ventas</v>
      </c>
    </row>
    <row r="28" spans="1:6" x14ac:dyDescent="0.25">
      <c r="A28" s="43">
        <v>93</v>
      </c>
      <c r="B28" t="s">
        <v>446</v>
      </c>
      <c r="C28" s="43" t="s">
        <v>447</v>
      </c>
      <c r="D28" s="43">
        <v>10215000</v>
      </c>
      <c r="E28" t="s">
        <v>988</v>
      </c>
      <c r="F28" s="47" t="str">
        <f>+Empresa_Centro[[#This Row],[Codigo Centro Gestion]]&amp;" - "&amp;Empresa_Centro[[#This Row],[Nombre Centro Gestion]]</f>
        <v>10215000 - Alto Marañon Torre A</v>
      </c>
    </row>
    <row r="29" spans="1:6" x14ac:dyDescent="0.25">
      <c r="A29" s="43">
        <v>93</v>
      </c>
      <c r="B29" t="s">
        <v>446</v>
      </c>
      <c r="C29" s="43" t="s">
        <v>447</v>
      </c>
      <c r="D29" s="43">
        <v>10215102</v>
      </c>
      <c r="E29" t="s">
        <v>989</v>
      </c>
      <c r="F29" s="47" t="str">
        <f>+Empresa_Centro[[#This Row],[Codigo Centro Gestion]]&amp;" - "&amp;Empresa_Centro[[#This Row],[Nombre Centro Gestion]]</f>
        <v>10215102 - Alto Marañon Torre A-Marketing</v>
      </c>
    </row>
    <row r="30" spans="1:6" x14ac:dyDescent="0.25">
      <c r="A30" s="43">
        <v>93</v>
      </c>
      <c r="B30" t="s">
        <v>446</v>
      </c>
      <c r="C30" s="43" t="s">
        <v>447</v>
      </c>
      <c r="D30" s="43">
        <v>10215103</v>
      </c>
      <c r="E30" t="s">
        <v>990</v>
      </c>
      <c r="F30" s="47" t="str">
        <f>+Empresa_Centro[[#This Row],[Codigo Centro Gestion]]&amp;" - "&amp;Empresa_Centro[[#This Row],[Nombre Centro Gestion]]</f>
        <v>10215103 - Alto Marañon Torre A-Operaciones</v>
      </c>
    </row>
    <row r="31" spans="1:6" x14ac:dyDescent="0.25">
      <c r="A31" s="43">
        <v>93</v>
      </c>
      <c r="B31" t="s">
        <v>446</v>
      </c>
      <c r="C31" s="43" t="s">
        <v>447</v>
      </c>
      <c r="D31" s="43">
        <v>10215104</v>
      </c>
      <c r="E31" t="s">
        <v>991</v>
      </c>
      <c r="F31" s="47" t="str">
        <f>+Empresa_Centro[[#This Row],[Codigo Centro Gestion]]&amp;" - "&amp;Empresa_Centro[[#This Row],[Nombre Centro Gestion]]</f>
        <v>10215104 - Alto Marañon Torre A-Ventas</v>
      </c>
    </row>
    <row r="32" spans="1:6" x14ac:dyDescent="0.25">
      <c r="A32" s="43">
        <v>93</v>
      </c>
      <c r="B32" t="s">
        <v>446</v>
      </c>
      <c r="C32" s="43" t="s">
        <v>447</v>
      </c>
      <c r="D32" s="43">
        <v>10215105</v>
      </c>
      <c r="E32" t="s">
        <v>992</v>
      </c>
      <c r="F32" s="47" t="str">
        <f>+Empresa_Centro[[#This Row],[Codigo Centro Gestion]]&amp;" - "&amp;Empresa_Centro[[#This Row],[Nombre Centro Gestion]]</f>
        <v>10215105 - Alto Marañon Torre A-Clientes</v>
      </c>
    </row>
    <row r="33" spans="1:6" x14ac:dyDescent="0.25">
      <c r="A33" s="43">
        <v>93</v>
      </c>
      <c r="B33" t="s">
        <v>446</v>
      </c>
      <c r="C33" s="43" t="s">
        <v>447</v>
      </c>
      <c r="D33" s="43">
        <v>10215204</v>
      </c>
      <c r="E33" t="s">
        <v>993</v>
      </c>
      <c r="F33" s="47" t="str">
        <f>+Empresa_Centro[[#This Row],[Codigo Centro Gestion]]&amp;" - "&amp;Empresa_Centro[[#This Row],[Nombre Centro Gestion]]</f>
        <v>10215204 - Alto Marañon Torre A-Proyecto</v>
      </c>
    </row>
    <row r="34" spans="1:6" x14ac:dyDescent="0.25">
      <c r="A34" s="43">
        <v>93</v>
      </c>
      <c r="B34" t="s">
        <v>446</v>
      </c>
      <c r="C34" s="43" t="s">
        <v>447</v>
      </c>
      <c r="D34" s="43">
        <v>10215301</v>
      </c>
      <c r="E34" t="s">
        <v>994</v>
      </c>
      <c r="F34" s="47" t="str">
        <f>+Empresa_Centro[[#This Row],[Codigo Centro Gestion]]&amp;" - "&amp;Empresa_Centro[[#This Row],[Nombre Centro Gestion]]</f>
        <v>10215301 - Alto Marañon Torre A-GAF</v>
      </c>
    </row>
    <row r="35" spans="1:6" x14ac:dyDescent="0.25">
      <c r="A35" s="43">
        <v>93</v>
      </c>
      <c r="B35" t="s">
        <v>446</v>
      </c>
      <c r="C35" s="43" t="s">
        <v>447</v>
      </c>
      <c r="D35" s="43">
        <v>10215505</v>
      </c>
      <c r="E35" t="s">
        <v>995</v>
      </c>
      <c r="F35" s="47" t="str">
        <f>+Empresa_Centro[[#This Row],[Codigo Centro Gestion]]&amp;" - "&amp;Empresa_Centro[[#This Row],[Nombre Centro Gestion]]</f>
        <v>10215505 - Alto Marañon Torre A-PV Inmob.</v>
      </c>
    </row>
    <row r="36" spans="1:6" x14ac:dyDescent="0.25">
      <c r="A36" s="43">
        <v>93</v>
      </c>
      <c r="B36" t="s">
        <v>446</v>
      </c>
      <c r="C36" s="43" t="s">
        <v>447</v>
      </c>
      <c r="D36" s="43">
        <v>10215506</v>
      </c>
      <c r="E36" t="s">
        <v>996</v>
      </c>
      <c r="F36" s="47" t="str">
        <f>+Empresa_Centro[[#This Row],[Codigo Centro Gestion]]&amp;" - "&amp;Empresa_Centro[[#This Row],[Nombre Centro Gestion]]</f>
        <v>10215506 - Alto Marañon Torre A-Depto.Técnico</v>
      </c>
    </row>
    <row r="37" spans="1:6" x14ac:dyDescent="0.25">
      <c r="A37" s="43">
        <v>93</v>
      </c>
      <c r="B37" t="s">
        <v>446</v>
      </c>
      <c r="C37" s="43" t="s">
        <v>447</v>
      </c>
      <c r="D37" s="43">
        <v>10216000</v>
      </c>
      <c r="E37" t="s">
        <v>997</v>
      </c>
      <c r="F37" s="47" t="str">
        <f>+Empresa_Centro[[#This Row],[Codigo Centro Gestion]]&amp;" - "&amp;Empresa_Centro[[#This Row],[Nombre Centro Gestion]]</f>
        <v>10216000 - Edificio Parque Urbano</v>
      </c>
    </row>
    <row r="38" spans="1:6" x14ac:dyDescent="0.25">
      <c r="A38" s="43">
        <v>93</v>
      </c>
      <c r="B38" t="s">
        <v>446</v>
      </c>
      <c r="C38" s="43" t="s">
        <v>447</v>
      </c>
      <c r="D38" s="43">
        <v>10216102</v>
      </c>
      <c r="E38" t="s">
        <v>998</v>
      </c>
      <c r="F38" s="47" t="str">
        <f>+Empresa_Centro[[#This Row],[Codigo Centro Gestion]]&amp;" - "&amp;Empresa_Centro[[#This Row],[Nombre Centro Gestion]]</f>
        <v>10216102 - Edificio Parque Urbano-Marketing</v>
      </c>
    </row>
    <row r="39" spans="1:6" x14ac:dyDescent="0.25">
      <c r="A39" s="43">
        <v>93</v>
      </c>
      <c r="B39" t="s">
        <v>446</v>
      </c>
      <c r="C39" s="43" t="s">
        <v>447</v>
      </c>
      <c r="D39" s="43">
        <v>10216103</v>
      </c>
      <c r="E39" t="s">
        <v>999</v>
      </c>
      <c r="F39" s="47" t="str">
        <f>+Empresa_Centro[[#This Row],[Codigo Centro Gestion]]&amp;" - "&amp;Empresa_Centro[[#This Row],[Nombre Centro Gestion]]</f>
        <v>10216103 - Edificio Parque Urbano-Operaciones</v>
      </c>
    </row>
    <row r="40" spans="1:6" x14ac:dyDescent="0.25">
      <c r="A40" s="43">
        <v>93</v>
      </c>
      <c r="B40" t="s">
        <v>446</v>
      </c>
      <c r="C40" s="43" t="s">
        <v>447</v>
      </c>
      <c r="D40" s="43">
        <v>10216104</v>
      </c>
      <c r="E40" t="s">
        <v>1000</v>
      </c>
      <c r="F40" s="47" t="str">
        <f>+Empresa_Centro[[#This Row],[Codigo Centro Gestion]]&amp;" - "&amp;Empresa_Centro[[#This Row],[Nombre Centro Gestion]]</f>
        <v>10216104 - Edificio Parque Urbano-Ventas</v>
      </c>
    </row>
    <row r="41" spans="1:6" x14ac:dyDescent="0.25">
      <c r="A41" s="43">
        <v>93</v>
      </c>
      <c r="B41" t="s">
        <v>446</v>
      </c>
      <c r="C41" s="43" t="s">
        <v>447</v>
      </c>
      <c r="D41" s="43">
        <v>10216105</v>
      </c>
      <c r="E41" t="s">
        <v>1001</v>
      </c>
      <c r="F41" s="47" t="str">
        <f>+Empresa_Centro[[#This Row],[Codigo Centro Gestion]]&amp;" - "&amp;Empresa_Centro[[#This Row],[Nombre Centro Gestion]]</f>
        <v>10216105 - Edificio Parque Urbano-Clientes</v>
      </c>
    </row>
    <row r="42" spans="1:6" x14ac:dyDescent="0.25">
      <c r="A42" s="43">
        <v>93</v>
      </c>
      <c r="B42" t="s">
        <v>446</v>
      </c>
      <c r="C42" s="43" t="s">
        <v>447</v>
      </c>
      <c r="D42" s="43">
        <v>10216204</v>
      </c>
      <c r="E42" t="s">
        <v>1002</v>
      </c>
      <c r="F42" s="47" t="str">
        <f>+Empresa_Centro[[#This Row],[Codigo Centro Gestion]]&amp;" - "&amp;Empresa_Centro[[#This Row],[Nombre Centro Gestion]]</f>
        <v>10216204 - Edificio Parque Urbano-Proyecto</v>
      </c>
    </row>
    <row r="43" spans="1:6" x14ac:dyDescent="0.25">
      <c r="A43" s="43">
        <v>93</v>
      </c>
      <c r="B43" t="s">
        <v>446</v>
      </c>
      <c r="C43" s="43" t="s">
        <v>447</v>
      </c>
      <c r="D43" s="43">
        <v>10216301</v>
      </c>
      <c r="E43" t="s">
        <v>1003</v>
      </c>
      <c r="F43" s="47" t="str">
        <f>+Empresa_Centro[[#This Row],[Codigo Centro Gestion]]&amp;" - "&amp;Empresa_Centro[[#This Row],[Nombre Centro Gestion]]</f>
        <v>10216301 - Edificio Parque Urbano-GAF</v>
      </c>
    </row>
    <row r="44" spans="1:6" x14ac:dyDescent="0.25">
      <c r="A44" s="43">
        <v>93</v>
      </c>
      <c r="B44" t="s">
        <v>446</v>
      </c>
      <c r="C44" s="43" t="s">
        <v>447</v>
      </c>
      <c r="D44" s="43">
        <v>10216505</v>
      </c>
      <c r="E44" t="s">
        <v>1004</v>
      </c>
      <c r="F44" s="47" t="str">
        <f>+Empresa_Centro[[#This Row],[Codigo Centro Gestion]]&amp;" - "&amp;Empresa_Centro[[#This Row],[Nombre Centro Gestion]]</f>
        <v>10216505 - Edificio Parque Urbano-PV Inmob.</v>
      </c>
    </row>
    <row r="45" spans="1:6" x14ac:dyDescent="0.25">
      <c r="A45" s="43">
        <v>93</v>
      </c>
      <c r="B45" t="s">
        <v>446</v>
      </c>
      <c r="C45" s="43" t="s">
        <v>447</v>
      </c>
      <c r="D45" s="43">
        <v>10216506</v>
      </c>
      <c r="E45" t="s">
        <v>1005</v>
      </c>
      <c r="F45" s="47" t="str">
        <f>+Empresa_Centro[[#This Row],[Codigo Centro Gestion]]&amp;" - "&amp;Empresa_Centro[[#This Row],[Nombre Centro Gestion]]</f>
        <v>10216506 - Edificio Parque Urbano-Depto.Técnico</v>
      </c>
    </row>
    <row r="46" spans="1:6" x14ac:dyDescent="0.25">
      <c r="A46" s="43">
        <v>93</v>
      </c>
      <c r="B46" t="s">
        <v>446</v>
      </c>
      <c r="C46" s="43" t="s">
        <v>447</v>
      </c>
      <c r="D46" s="43">
        <v>10220000</v>
      </c>
      <c r="E46" t="s">
        <v>1032</v>
      </c>
      <c r="F46" s="47" t="str">
        <f>+Empresa_Centro[[#This Row],[Codigo Centro Gestion]]&amp;" - "&amp;Empresa_Centro[[#This Row],[Nombre Centro Gestion]]</f>
        <v>10220000 - Edificio Uno Norte</v>
      </c>
    </row>
    <row r="47" spans="1:6" x14ac:dyDescent="0.25">
      <c r="A47" s="43">
        <v>93</v>
      </c>
      <c r="B47" t="s">
        <v>446</v>
      </c>
      <c r="C47" s="43" t="s">
        <v>447</v>
      </c>
      <c r="D47" s="43">
        <v>10220102</v>
      </c>
      <c r="E47" t="s">
        <v>1033</v>
      </c>
      <c r="F47" s="47" t="str">
        <f>+Empresa_Centro[[#This Row],[Codigo Centro Gestion]]&amp;" - "&amp;Empresa_Centro[[#This Row],[Nombre Centro Gestion]]</f>
        <v>10220102 - Edificio Uno Norte-Marketing</v>
      </c>
    </row>
    <row r="48" spans="1:6" x14ac:dyDescent="0.25">
      <c r="A48" s="43">
        <v>93</v>
      </c>
      <c r="B48" t="s">
        <v>446</v>
      </c>
      <c r="C48" s="43" t="s">
        <v>447</v>
      </c>
      <c r="D48" s="43">
        <v>10220103</v>
      </c>
      <c r="E48" t="s">
        <v>1034</v>
      </c>
      <c r="F48" s="47" t="str">
        <f>+Empresa_Centro[[#This Row],[Codigo Centro Gestion]]&amp;" - "&amp;Empresa_Centro[[#This Row],[Nombre Centro Gestion]]</f>
        <v>10220103 - Edificio Uno Norte-Operaciones</v>
      </c>
    </row>
    <row r="49" spans="1:6" x14ac:dyDescent="0.25">
      <c r="A49" s="43">
        <v>93</v>
      </c>
      <c r="B49" t="s">
        <v>446</v>
      </c>
      <c r="C49" s="43" t="s">
        <v>447</v>
      </c>
      <c r="D49" s="43">
        <v>10220104</v>
      </c>
      <c r="E49" t="s">
        <v>1035</v>
      </c>
      <c r="F49" s="47" t="str">
        <f>+Empresa_Centro[[#This Row],[Codigo Centro Gestion]]&amp;" - "&amp;Empresa_Centro[[#This Row],[Nombre Centro Gestion]]</f>
        <v>10220104 - Edificio Uno Norte-Ventas</v>
      </c>
    </row>
    <row r="50" spans="1:6" x14ac:dyDescent="0.25">
      <c r="A50" s="43">
        <v>93</v>
      </c>
      <c r="B50" t="s">
        <v>446</v>
      </c>
      <c r="C50" s="43" t="s">
        <v>447</v>
      </c>
      <c r="D50" s="43">
        <v>10220105</v>
      </c>
      <c r="E50" t="s">
        <v>1036</v>
      </c>
      <c r="F50" s="47" t="str">
        <f>+Empresa_Centro[[#This Row],[Codigo Centro Gestion]]&amp;" - "&amp;Empresa_Centro[[#This Row],[Nombre Centro Gestion]]</f>
        <v>10220105 - Edificio Uno Norte-Clientes</v>
      </c>
    </row>
    <row r="51" spans="1:6" x14ac:dyDescent="0.25">
      <c r="A51" s="43">
        <v>93</v>
      </c>
      <c r="B51" t="s">
        <v>446</v>
      </c>
      <c r="C51" s="43" t="s">
        <v>447</v>
      </c>
      <c r="D51" s="43">
        <v>10220204</v>
      </c>
      <c r="E51" t="s">
        <v>1037</v>
      </c>
      <c r="F51" s="47" t="str">
        <f>+Empresa_Centro[[#This Row],[Codigo Centro Gestion]]&amp;" - "&amp;Empresa_Centro[[#This Row],[Nombre Centro Gestion]]</f>
        <v>10220204 - Edificio Uno Norte-Proyecto</v>
      </c>
    </row>
    <row r="52" spans="1:6" x14ac:dyDescent="0.25">
      <c r="A52" s="43">
        <v>93</v>
      </c>
      <c r="B52" t="s">
        <v>446</v>
      </c>
      <c r="C52" s="43" t="s">
        <v>447</v>
      </c>
      <c r="D52" s="43">
        <v>10220301</v>
      </c>
      <c r="E52" t="s">
        <v>1038</v>
      </c>
      <c r="F52" s="47" t="str">
        <f>+Empresa_Centro[[#This Row],[Codigo Centro Gestion]]&amp;" - "&amp;Empresa_Centro[[#This Row],[Nombre Centro Gestion]]</f>
        <v>10220301 - Edificio Uno Norte-GAF</v>
      </c>
    </row>
    <row r="53" spans="1:6" x14ac:dyDescent="0.25">
      <c r="A53" s="43">
        <v>93</v>
      </c>
      <c r="B53" t="s">
        <v>446</v>
      </c>
      <c r="C53" s="43" t="s">
        <v>447</v>
      </c>
      <c r="D53" s="43">
        <v>10220505</v>
      </c>
      <c r="E53" t="s">
        <v>1039</v>
      </c>
      <c r="F53" s="47" t="str">
        <f>+Empresa_Centro[[#This Row],[Codigo Centro Gestion]]&amp;" - "&amp;Empresa_Centro[[#This Row],[Nombre Centro Gestion]]</f>
        <v>10220505 - Edificio Uno Norte-PV Inmob.</v>
      </c>
    </row>
    <row r="54" spans="1:6" x14ac:dyDescent="0.25">
      <c r="A54" s="43">
        <v>93</v>
      </c>
      <c r="B54" t="s">
        <v>446</v>
      </c>
      <c r="C54" s="43" t="s">
        <v>447</v>
      </c>
      <c r="D54" s="43">
        <v>10220506</v>
      </c>
      <c r="E54" t="s">
        <v>1040</v>
      </c>
      <c r="F54" s="47" t="str">
        <f>+Empresa_Centro[[#This Row],[Codigo Centro Gestion]]&amp;" - "&amp;Empresa_Centro[[#This Row],[Nombre Centro Gestion]]</f>
        <v>10220506 - Edificio Uno Norte-Depto.Técnico</v>
      </c>
    </row>
    <row r="55" spans="1:6" x14ac:dyDescent="0.25">
      <c r="A55" s="43">
        <v>93</v>
      </c>
      <c r="B55" t="s">
        <v>446</v>
      </c>
      <c r="C55" s="43" t="s">
        <v>447</v>
      </c>
      <c r="D55" s="43">
        <v>10225000</v>
      </c>
      <c r="E55" t="s">
        <v>1041</v>
      </c>
      <c r="F55" s="47" t="str">
        <f>+Empresa_Centro[[#This Row],[Codigo Centro Gestion]]&amp;" - "&amp;Empresa_Centro[[#This Row],[Nombre Centro Gestion]]</f>
        <v>10225000 - Parque Ingles</v>
      </c>
    </row>
    <row r="56" spans="1:6" x14ac:dyDescent="0.25">
      <c r="A56" s="43">
        <v>93</v>
      </c>
      <c r="B56" t="s">
        <v>446</v>
      </c>
      <c r="C56" s="43" t="s">
        <v>447</v>
      </c>
      <c r="D56" s="43">
        <v>10225102</v>
      </c>
      <c r="E56" t="s">
        <v>1042</v>
      </c>
      <c r="F56" s="47" t="str">
        <f>+Empresa_Centro[[#This Row],[Codigo Centro Gestion]]&amp;" - "&amp;Empresa_Centro[[#This Row],[Nombre Centro Gestion]]</f>
        <v>10225102 - Parque Ingles-Marketing</v>
      </c>
    </row>
    <row r="57" spans="1:6" x14ac:dyDescent="0.25">
      <c r="A57" s="43">
        <v>93</v>
      </c>
      <c r="B57" t="s">
        <v>446</v>
      </c>
      <c r="C57" s="43" t="s">
        <v>447</v>
      </c>
      <c r="D57" s="43">
        <v>10225103</v>
      </c>
      <c r="E57" t="s">
        <v>1043</v>
      </c>
      <c r="F57" s="47" t="str">
        <f>+Empresa_Centro[[#This Row],[Codigo Centro Gestion]]&amp;" - "&amp;Empresa_Centro[[#This Row],[Nombre Centro Gestion]]</f>
        <v>10225103 - Parque Ingles-Operaciones</v>
      </c>
    </row>
    <row r="58" spans="1:6" x14ac:dyDescent="0.25">
      <c r="A58" s="43">
        <v>93</v>
      </c>
      <c r="B58" t="s">
        <v>446</v>
      </c>
      <c r="C58" s="43" t="s">
        <v>447</v>
      </c>
      <c r="D58" s="43">
        <v>10225104</v>
      </c>
      <c r="E58" t="s">
        <v>1044</v>
      </c>
      <c r="F58" s="47" t="str">
        <f>+Empresa_Centro[[#This Row],[Codigo Centro Gestion]]&amp;" - "&amp;Empresa_Centro[[#This Row],[Nombre Centro Gestion]]</f>
        <v>10225104 - Parque Ingles-Ventas</v>
      </c>
    </row>
    <row r="59" spans="1:6" x14ac:dyDescent="0.25">
      <c r="A59" s="43">
        <v>93</v>
      </c>
      <c r="B59" t="s">
        <v>446</v>
      </c>
      <c r="C59" s="43" t="s">
        <v>447</v>
      </c>
      <c r="D59" s="43">
        <v>10225105</v>
      </c>
      <c r="E59" t="s">
        <v>1045</v>
      </c>
      <c r="F59" s="47" t="str">
        <f>+Empresa_Centro[[#This Row],[Codigo Centro Gestion]]&amp;" - "&amp;Empresa_Centro[[#This Row],[Nombre Centro Gestion]]</f>
        <v>10225105 - Parque Ingles-Clientes</v>
      </c>
    </row>
    <row r="60" spans="1:6" x14ac:dyDescent="0.25">
      <c r="A60" s="43">
        <v>93</v>
      </c>
      <c r="B60" t="s">
        <v>446</v>
      </c>
      <c r="C60" s="43" t="s">
        <v>447</v>
      </c>
      <c r="D60" s="43">
        <v>10225204</v>
      </c>
      <c r="E60" t="s">
        <v>1046</v>
      </c>
      <c r="F60" s="47" t="str">
        <f>+Empresa_Centro[[#This Row],[Codigo Centro Gestion]]&amp;" - "&amp;Empresa_Centro[[#This Row],[Nombre Centro Gestion]]</f>
        <v>10225204 - Parque Ingles-Proyecto</v>
      </c>
    </row>
    <row r="61" spans="1:6" x14ac:dyDescent="0.25">
      <c r="A61" s="43">
        <v>93</v>
      </c>
      <c r="B61" t="s">
        <v>446</v>
      </c>
      <c r="C61" s="43" t="s">
        <v>447</v>
      </c>
      <c r="D61" s="43">
        <v>10225301</v>
      </c>
      <c r="E61" t="s">
        <v>1047</v>
      </c>
      <c r="F61" s="47" t="str">
        <f>+Empresa_Centro[[#This Row],[Codigo Centro Gestion]]&amp;" - "&amp;Empresa_Centro[[#This Row],[Nombre Centro Gestion]]</f>
        <v>10225301 - Parque Ingles-GAF</v>
      </c>
    </row>
    <row r="62" spans="1:6" x14ac:dyDescent="0.25">
      <c r="A62" s="43">
        <v>93</v>
      </c>
      <c r="B62" t="s">
        <v>446</v>
      </c>
      <c r="C62" s="43" t="s">
        <v>447</v>
      </c>
      <c r="D62" s="43">
        <v>10225505</v>
      </c>
      <c r="E62" t="s">
        <v>1048</v>
      </c>
      <c r="F62" s="47" t="str">
        <f>+Empresa_Centro[[#This Row],[Codigo Centro Gestion]]&amp;" - "&amp;Empresa_Centro[[#This Row],[Nombre Centro Gestion]]</f>
        <v>10225505 - Parque Ingles-PV Inmob.</v>
      </c>
    </row>
    <row r="63" spans="1:6" x14ac:dyDescent="0.25">
      <c r="A63" s="43">
        <v>93</v>
      </c>
      <c r="B63" t="s">
        <v>446</v>
      </c>
      <c r="C63" s="43" t="s">
        <v>447</v>
      </c>
      <c r="D63" s="43">
        <v>10225506</v>
      </c>
      <c r="E63" t="s">
        <v>1049</v>
      </c>
      <c r="F63" s="47" t="str">
        <f>+Empresa_Centro[[#This Row],[Codigo Centro Gestion]]&amp;" - "&amp;Empresa_Centro[[#This Row],[Nombre Centro Gestion]]</f>
        <v>10225506 - Parque Ingles-Depto.Técnico</v>
      </c>
    </row>
    <row r="64" spans="1:6" x14ac:dyDescent="0.25">
      <c r="A64" s="43">
        <v>93</v>
      </c>
      <c r="B64" t="s">
        <v>446</v>
      </c>
      <c r="C64" s="43" t="s">
        <v>447</v>
      </c>
      <c r="D64" s="43">
        <v>10227000</v>
      </c>
      <c r="E64" t="s">
        <v>1059</v>
      </c>
      <c r="F64" s="47" t="str">
        <f>+Empresa_Centro[[#This Row],[Codigo Centro Gestion]]&amp;" - "&amp;Empresa_Centro[[#This Row],[Nombre Centro Gestion]]</f>
        <v>10227000 - Edificio Alto Foresta 2</v>
      </c>
    </row>
    <row r="65" spans="1:6" x14ac:dyDescent="0.25">
      <c r="A65" s="43">
        <v>93</v>
      </c>
      <c r="B65" t="s">
        <v>446</v>
      </c>
      <c r="C65" s="43" t="s">
        <v>447</v>
      </c>
      <c r="D65" s="43">
        <v>10227102</v>
      </c>
      <c r="E65" t="s">
        <v>1060</v>
      </c>
      <c r="F65" s="47" t="str">
        <f>+Empresa_Centro[[#This Row],[Codigo Centro Gestion]]&amp;" - "&amp;Empresa_Centro[[#This Row],[Nombre Centro Gestion]]</f>
        <v>10227102 - Edificio Alto Foresta 2-Marketing</v>
      </c>
    </row>
    <row r="66" spans="1:6" x14ac:dyDescent="0.25">
      <c r="A66" s="43">
        <v>93</v>
      </c>
      <c r="B66" t="s">
        <v>446</v>
      </c>
      <c r="C66" s="43" t="s">
        <v>447</v>
      </c>
      <c r="D66" s="43">
        <v>10227103</v>
      </c>
      <c r="E66" t="s">
        <v>1061</v>
      </c>
      <c r="F66" s="47" t="str">
        <f>+Empresa_Centro[[#This Row],[Codigo Centro Gestion]]&amp;" - "&amp;Empresa_Centro[[#This Row],[Nombre Centro Gestion]]</f>
        <v>10227103 - Edificio Alto Foresta 2-Operaciones</v>
      </c>
    </row>
    <row r="67" spans="1:6" x14ac:dyDescent="0.25">
      <c r="A67" s="43">
        <v>93</v>
      </c>
      <c r="B67" t="s">
        <v>446</v>
      </c>
      <c r="C67" s="43" t="s">
        <v>447</v>
      </c>
      <c r="D67" s="43">
        <v>10227104</v>
      </c>
      <c r="E67" t="s">
        <v>1062</v>
      </c>
      <c r="F67" s="47" t="str">
        <f>+Empresa_Centro[[#This Row],[Codigo Centro Gestion]]&amp;" - "&amp;Empresa_Centro[[#This Row],[Nombre Centro Gestion]]</f>
        <v>10227104 - Edificio Alto Foresta 2-Ventas</v>
      </c>
    </row>
    <row r="68" spans="1:6" x14ac:dyDescent="0.25">
      <c r="A68" s="43">
        <v>93</v>
      </c>
      <c r="B68" t="s">
        <v>446</v>
      </c>
      <c r="C68" s="43" t="s">
        <v>447</v>
      </c>
      <c r="D68" s="43">
        <v>10227105</v>
      </c>
      <c r="E68" t="s">
        <v>1063</v>
      </c>
      <c r="F68" s="47" t="str">
        <f>+Empresa_Centro[[#This Row],[Codigo Centro Gestion]]&amp;" - "&amp;Empresa_Centro[[#This Row],[Nombre Centro Gestion]]</f>
        <v>10227105 - Edificio Alto Foresta 2-Clientes</v>
      </c>
    </row>
    <row r="69" spans="1:6" x14ac:dyDescent="0.25">
      <c r="A69" s="43">
        <v>93</v>
      </c>
      <c r="B69" t="s">
        <v>446</v>
      </c>
      <c r="C69" s="43" t="s">
        <v>447</v>
      </c>
      <c r="D69" s="43">
        <v>10227204</v>
      </c>
      <c r="E69" t="s">
        <v>1064</v>
      </c>
      <c r="F69" s="47" t="str">
        <f>+Empresa_Centro[[#This Row],[Codigo Centro Gestion]]&amp;" - "&amp;Empresa_Centro[[#This Row],[Nombre Centro Gestion]]</f>
        <v>10227204 - Edificio Alto Foresta 2-Proyecto</v>
      </c>
    </row>
    <row r="70" spans="1:6" x14ac:dyDescent="0.25">
      <c r="A70" s="43">
        <v>93</v>
      </c>
      <c r="B70" t="s">
        <v>446</v>
      </c>
      <c r="C70" s="43" t="s">
        <v>447</v>
      </c>
      <c r="D70" s="43">
        <v>10227301</v>
      </c>
      <c r="E70" t="s">
        <v>1065</v>
      </c>
      <c r="F70" s="47" t="str">
        <f>+Empresa_Centro[[#This Row],[Codigo Centro Gestion]]&amp;" - "&amp;Empresa_Centro[[#This Row],[Nombre Centro Gestion]]</f>
        <v>10227301 - Edificio Alto Foresta 2-GAF</v>
      </c>
    </row>
    <row r="71" spans="1:6" x14ac:dyDescent="0.25">
      <c r="A71" s="43">
        <v>93</v>
      </c>
      <c r="B71" t="s">
        <v>446</v>
      </c>
      <c r="C71" s="43" t="s">
        <v>447</v>
      </c>
      <c r="D71" s="43">
        <v>10227505</v>
      </c>
      <c r="E71" t="s">
        <v>1066</v>
      </c>
      <c r="F71" s="47" t="str">
        <f>+Empresa_Centro[[#This Row],[Codigo Centro Gestion]]&amp;" - "&amp;Empresa_Centro[[#This Row],[Nombre Centro Gestion]]</f>
        <v>10227505 - Edificio Alto Foresta 2-PV Inmob.</v>
      </c>
    </row>
    <row r="72" spans="1:6" x14ac:dyDescent="0.25">
      <c r="A72" s="43">
        <v>93</v>
      </c>
      <c r="B72" t="s">
        <v>446</v>
      </c>
      <c r="C72" s="43" t="s">
        <v>447</v>
      </c>
      <c r="D72" s="43">
        <v>10227506</v>
      </c>
      <c r="E72" t="s">
        <v>1067</v>
      </c>
      <c r="F72" s="47" t="str">
        <f>+Empresa_Centro[[#This Row],[Codigo Centro Gestion]]&amp;" - "&amp;Empresa_Centro[[#This Row],[Nombre Centro Gestion]]</f>
        <v>10227506 - Edificio Alto Foresta 2-Depto.Técnico</v>
      </c>
    </row>
    <row r="73" spans="1:6" x14ac:dyDescent="0.25">
      <c r="A73" s="43">
        <v>93</v>
      </c>
      <c r="B73" t="s">
        <v>446</v>
      </c>
      <c r="C73" s="43" t="s">
        <v>447</v>
      </c>
      <c r="D73" s="43">
        <v>10235000</v>
      </c>
      <c r="E73" t="s">
        <v>1126</v>
      </c>
      <c r="F73" s="47" t="str">
        <f>+Empresa_Centro[[#This Row],[Codigo Centro Gestion]]&amp;" - "&amp;Empresa_Centro[[#This Row],[Nombre Centro Gestion]]</f>
        <v>10235000 - Vista del Valle III</v>
      </c>
    </row>
    <row r="74" spans="1:6" x14ac:dyDescent="0.25">
      <c r="A74" s="43">
        <v>93</v>
      </c>
      <c r="B74" t="s">
        <v>446</v>
      </c>
      <c r="C74" s="43" t="s">
        <v>447</v>
      </c>
      <c r="D74" s="43">
        <v>10235102</v>
      </c>
      <c r="E74" t="s">
        <v>1127</v>
      </c>
      <c r="F74" s="47" t="str">
        <f>+Empresa_Centro[[#This Row],[Codigo Centro Gestion]]&amp;" - "&amp;Empresa_Centro[[#This Row],[Nombre Centro Gestion]]</f>
        <v>10235102 - Vista del Valle III-Marketing</v>
      </c>
    </row>
    <row r="75" spans="1:6" x14ac:dyDescent="0.25">
      <c r="A75" s="43">
        <v>93</v>
      </c>
      <c r="B75" t="s">
        <v>446</v>
      </c>
      <c r="C75" s="43" t="s">
        <v>447</v>
      </c>
      <c r="D75" s="43">
        <v>10235103</v>
      </c>
      <c r="E75" t="s">
        <v>1128</v>
      </c>
      <c r="F75" s="47" t="str">
        <f>+Empresa_Centro[[#This Row],[Codigo Centro Gestion]]&amp;" - "&amp;Empresa_Centro[[#This Row],[Nombre Centro Gestion]]</f>
        <v>10235103 - Vista del Valle III-Operaciones</v>
      </c>
    </row>
    <row r="76" spans="1:6" x14ac:dyDescent="0.25">
      <c r="A76" s="43">
        <v>93</v>
      </c>
      <c r="B76" t="s">
        <v>446</v>
      </c>
      <c r="C76" s="43" t="s">
        <v>447</v>
      </c>
      <c r="D76" s="43">
        <v>10235104</v>
      </c>
      <c r="E76" t="s">
        <v>1129</v>
      </c>
      <c r="F76" s="47" t="str">
        <f>+Empresa_Centro[[#This Row],[Codigo Centro Gestion]]&amp;" - "&amp;Empresa_Centro[[#This Row],[Nombre Centro Gestion]]</f>
        <v>10235104 - Vista del Valle III-Ventas</v>
      </c>
    </row>
    <row r="77" spans="1:6" x14ac:dyDescent="0.25">
      <c r="A77" s="43">
        <v>93</v>
      </c>
      <c r="B77" t="s">
        <v>446</v>
      </c>
      <c r="C77" s="43" t="s">
        <v>447</v>
      </c>
      <c r="D77" s="43">
        <v>10235105</v>
      </c>
      <c r="E77" t="s">
        <v>1130</v>
      </c>
      <c r="F77" s="47" t="str">
        <f>+Empresa_Centro[[#This Row],[Codigo Centro Gestion]]&amp;" - "&amp;Empresa_Centro[[#This Row],[Nombre Centro Gestion]]</f>
        <v>10235105 - Vista del Valle III-Clientes</v>
      </c>
    </row>
    <row r="78" spans="1:6" x14ac:dyDescent="0.25">
      <c r="A78" s="43">
        <v>93</v>
      </c>
      <c r="B78" t="s">
        <v>446</v>
      </c>
      <c r="C78" s="43" t="s">
        <v>447</v>
      </c>
      <c r="D78" s="43">
        <v>10235204</v>
      </c>
      <c r="E78" t="s">
        <v>1131</v>
      </c>
      <c r="F78" s="47" t="str">
        <f>+Empresa_Centro[[#This Row],[Codigo Centro Gestion]]&amp;" - "&amp;Empresa_Centro[[#This Row],[Nombre Centro Gestion]]</f>
        <v>10235204 - Vista del Valle III-Proyecto</v>
      </c>
    </row>
    <row r="79" spans="1:6" x14ac:dyDescent="0.25">
      <c r="A79" s="43">
        <v>93</v>
      </c>
      <c r="B79" t="s">
        <v>446</v>
      </c>
      <c r="C79" s="43" t="s">
        <v>447</v>
      </c>
      <c r="D79" s="43">
        <v>10235301</v>
      </c>
      <c r="E79" t="s">
        <v>1132</v>
      </c>
      <c r="F79" s="47" t="str">
        <f>+Empresa_Centro[[#This Row],[Codigo Centro Gestion]]&amp;" - "&amp;Empresa_Centro[[#This Row],[Nombre Centro Gestion]]</f>
        <v>10235301 - Vista del Valle III-GAF</v>
      </c>
    </row>
    <row r="80" spans="1:6" x14ac:dyDescent="0.25">
      <c r="A80" s="43">
        <v>93</v>
      </c>
      <c r="B80" t="s">
        <v>446</v>
      </c>
      <c r="C80" s="43" t="s">
        <v>447</v>
      </c>
      <c r="D80" s="43">
        <v>10235505</v>
      </c>
      <c r="E80" t="s">
        <v>1133</v>
      </c>
      <c r="F80" s="47" t="str">
        <f>+Empresa_Centro[[#This Row],[Codigo Centro Gestion]]&amp;" - "&amp;Empresa_Centro[[#This Row],[Nombre Centro Gestion]]</f>
        <v>10235505 - Vista del Valle III-PV Inmob.</v>
      </c>
    </row>
    <row r="81" spans="1:6" x14ac:dyDescent="0.25">
      <c r="A81" s="43">
        <v>93</v>
      </c>
      <c r="B81" t="s">
        <v>446</v>
      </c>
      <c r="C81" s="43" t="s">
        <v>447</v>
      </c>
      <c r="D81" s="43">
        <v>10235506</v>
      </c>
      <c r="E81" t="s">
        <v>1134</v>
      </c>
      <c r="F81" s="47" t="str">
        <f>+Empresa_Centro[[#This Row],[Codigo Centro Gestion]]&amp;" - "&amp;Empresa_Centro[[#This Row],[Nombre Centro Gestion]]</f>
        <v>10235506 - Vista del Valle III-Depto.Técnico</v>
      </c>
    </row>
    <row r="82" spans="1:6" x14ac:dyDescent="0.25">
      <c r="A82" s="43">
        <v>93</v>
      </c>
      <c r="B82" t="s">
        <v>446</v>
      </c>
      <c r="C82" s="43" t="s">
        <v>447</v>
      </c>
      <c r="D82" s="43">
        <v>10239000</v>
      </c>
      <c r="E82" t="s">
        <v>466</v>
      </c>
      <c r="F82" s="47" t="str">
        <f>+Empresa_Centro[[#This Row],[Codigo Centro Gestion]]&amp;" - "&amp;Empresa_Centro[[#This Row],[Nombre Centro Gestion]]</f>
        <v>10239000 - Alto Mirador</v>
      </c>
    </row>
    <row r="83" spans="1:6" x14ac:dyDescent="0.25">
      <c r="A83" s="43">
        <v>93</v>
      </c>
      <c r="B83" t="s">
        <v>446</v>
      </c>
      <c r="C83" s="43" t="s">
        <v>447</v>
      </c>
      <c r="D83" s="43">
        <v>10239102</v>
      </c>
      <c r="E83" t="s">
        <v>1144</v>
      </c>
      <c r="F83" s="47" t="str">
        <f>+Empresa_Centro[[#This Row],[Codigo Centro Gestion]]&amp;" - "&amp;Empresa_Centro[[#This Row],[Nombre Centro Gestion]]</f>
        <v>10239102 - Alto Mirador-Marketing</v>
      </c>
    </row>
    <row r="84" spans="1:6" x14ac:dyDescent="0.25">
      <c r="A84" s="43">
        <v>93</v>
      </c>
      <c r="B84" t="s">
        <v>446</v>
      </c>
      <c r="C84" s="43" t="s">
        <v>447</v>
      </c>
      <c r="D84" s="43">
        <v>10239103</v>
      </c>
      <c r="E84" t="s">
        <v>1145</v>
      </c>
      <c r="F84" s="47" t="str">
        <f>+Empresa_Centro[[#This Row],[Codigo Centro Gestion]]&amp;" - "&amp;Empresa_Centro[[#This Row],[Nombre Centro Gestion]]</f>
        <v>10239103 - Alto Mirador-Operaciones</v>
      </c>
    </row>
    <row r="85" spans="1:6" x14ac:dyDescent="0.25">
      <c r="A85" s="43">
        <v>93</v>
      </c>
      <c r="B85" t="s">
        <v>446</v>
      </c>
      <c r="C85" s="43" t="s">
        <v>447</v>
      </c>
      <c r="D85" s="43">
        <v>10239104</v>
      </c>
      <c r="E85" t="s">
        <v>1146</v>
      </c>
      <c r="F85" s="47" t="str">
        <f>+Empresa_Centro[[#This Row],[Codigo Centro Gestion]]&amp;" - "&amp;Empresa_Centro[[#This Row],[Nombre Centro Gestion]]</f>
        <v>10239104 - Alto Mirador-Ventas</v>
      </c>
    </row>
    <row r="86" spans="1:6" x14ac:dyDescent="0.25">
      <c r="A86" s="43">
        <v>93</v>
      </c>
      <c r="B86" t="s">
        <v>446</v>
      </c>
      <c r="C86" s="43" t="s">
        <v>447</v>
      </c>
      <c r="D86" s="43">
        <v>10239105</v>
      </c>
      <c r="E86" t="s">
        <v>1147</v>
      </c>
      <c r="F86" s="47" t="str">
        <f>+Empresa_Centro[[#This Row],[Codigo Centro Gestion]]&amp;" - "&amp;Empresa_Centro[[#This Row],[Nombre Centro Gestion]]</f>
        <v>10239105 - Alto Mirador-Clientes</v>
      </c>
    </row>
    <row r="87" spans="1:6" x14ac:dyDescent="0.25">
      <c r="A87" s="43">
        <v>93</v>
      </c>
      <c r="B87" t="s">
        <v>446</v>
      </c>
      <c r="C87" s="43" t="s">
        <v>447</v>
      </c>
      <c r="D87" s="43">
        <v>10239204</v>
      </c>
      <c r="E87" t="s">
        <v>1148</v>
      </c>
      <c r="F87" s="47" t="str">
        <f>+Empresa_Centro[[#This Row],[Codigo Centro Gestion]]&amp;" - "&amp;Empresa_Centro[[#This Row],[Nombre Centro Gestion]]</f>
        <v>10239204 - Alto Mirador-Proyecto</v>
      </c>
    </row>
    <row r="88" spans="1:6" x14ac:dyDescent="0.25">
      <c r="A88" s="43">
        <v>93</v>
      </c>
      <c r="B88" t="s">
        <v>446</v>
      </c>
      <c r="C88" s="43" t="s">
        <v>447</v>
      </c>
      <c r="D88" s="43">
        <v>10239301</v>
      </c>
      <c r="E88" t="s">
        <v>1149</v>
      </c>
      <c r="F88" s="47" t="str">
        <f>+Empresa_Centro[[#This Row],[Codigo Centro Gestion]]&amp;" - "&amp;Empresa_Centro[[#This Row],[Nombre Centro Gestion]]</f>
        <v>10239301 - Alto Mirador-GAF</v>
      </c>
    </row>
    <row r="89" spans="1:6" x14ac:dyDescent="0.25">
      <c r="A89" s="43">
        <v>93</v>
      </c>
      <c r="B89" t="s">
        <v>446</v>
      </c>
      <c r="C89" s="43" t="s">
        <v>447</v>
      </c>
      <c r="D89" s="43">
        <v>10239505</v>
      </c>
      <c r="E89" t="s">
        <v>1150</v>
      </c>
      <c r="F89" s="47" t="str">
        <f>+Empresa_Centro[[#This Row],[Codigo Centro Gestion]]&amp;" - "&amp;Empresa_Centro[[#This Row],[Nombre Centro Gestion]]</f>
        <v>10239505 - Alto Mirador-PV Inmob.</v>
      </c>
    </row>
    <row r="90" spans="1:6" x14ac:dyDescent="0.25">
      <c r="A90" s="43">
        <v>93</v>
      </c>
      <c r="B90" t="s">
        <v>446</v>
      </c>
      <c r="C90" s="43" t="s">
        <v>447</v>
      </c>
      <c r="D90" s="43">
        <v>10239506</v>
      </c>
      <c r="E90" t="s">
        <v>1151</v>
      </c>
      <c r="F90" s="47" t="str">
        <f>+Empresa_Centro[[#This Row],[Codigo Centro Gestion]]&amp;" - "&amp;Empresa_Centro[[#This Row],[Nombre Centro Gestion]]</f>
        <v>10239506 - Alto Mirador-Depto.Técnico</v>
      </c>
    </row>
    <row r="91" spans="1:6" x14ac:dyDescent="0.25">
      <c r="A91" s="43">
        <v>93</v>
      </c>
      <c r="B91" t="s">
        <v>446</v>
      </c>
      <c r="C91" s="43" t="s">
        <v>447</v>
      </c>
      <c r="D91" s="43">
        <v>10241000</v>
      </c>
      <c r="E91" t="s">
        <v>1160</v>
      </c>
      <c r="F91" s="47" t="str">
        <f>+Empresa_Centro[[#This Row],[Codigo Centro Gestion]]&amp;" - "&amp;Empresa_Centro[[#This Row],[Nombre Centro Gestion]]</f>
        <v>10241000 - Parque Marañon Torre B</v>
      </c>
    </row>
    <row r="92" spans="1:6" x14ac:dyDescent="0.25">
      <c r="A92" s="43">
        <v>93</v>
      </c>
      <c r="B92" t="s">
        <v>446</v>
      </c>
      <c r="C92" s="43" t="s">
        <v>447</v>
      </c>
      <c r="D92" s="43">
        <v>10241102</v>
      </c>
      <c r="E92" t="s">
        <v>1161</v>
      </c>
      <c r="F92" s="47" t="str">
        <f>+Empresa_Centro[[#This Row],[Codigo Centro Gestion]]&amp;" - "&amp;Empresa_Centro[[#This Row],[Nombre Centro Gestion]]</f>
        <v>10241102 - Parque Marañon Torre B-MARKETING</v>
      </c>
    </row>
    <row r="93" spans="1:6" x14ac:dyDescent="0.25">
      <c r="A93" s="43">
        <v>93</v>
      </c>
      <c r="B93" t="s">
        <v>446</v>
      </c>
      <c r="C93" s="43" t="s">
        <v>447</v>
      </c>
      <c r="D93" s="43">
        <v>10241103</v>
      </c>
      <c r="E93" t="s">
        <v>1162</v>
      </c>
      <c r="F93" s="47" t="str">
        <f>+Empresa_Centro[[#This Row],[Codigo Centro Gestion]]&amp;" - "&amp;Empresa_Centro[[#This Row],[Nombre Centro Gestion]]</f>
        <v>10241103 - Parque Marañon Torre B-OPERACIONES</v>
      </c>
    </row>
    <row r="94" spans="1:6" x14ac:dyDescent="0.25">
      <c r="A94" s="43">
        <v>93</v>
      </c>
      <c r="B94" t="s">
        <v>446</v>
      </c>
      <c r="C94" s="43" t="s">
        <v>447</v>
      </c>
      <c r="D94" s="43">
        <v>10241104</v>
      </c>
      <c r="E94" t="s">
        <v>1163</v>
      </c>
      <c r="F94" s="47" t="str">
        <f>+Empresa_Centro[[#This Row],[Codigo Centro Gestion]]&amp;" - "&amp;Empresa_Centro[[#This Row],[Nombre Centro Gestion]]</f>
        <v>10241104 - Parque Marañon Torre B-VENTAS</v>
      </c>
    </row>
    <row r="95" spans="1:6" x14ac:dyDescent="0.25">
      <c r="A95" s="43">
        <v>93</v>
      </c>
      <c r="B95" t="s">
        <v>446</v>
      </c>
      <c r="C95" s="43" t="s">
        <v>447</v>
      </c>
      <c r="D95" s="43">
        <v>10241105</v>
      </c>
      <c r="E95" t="s">
        <v>1164</v>
      </c>
      <c r="F95" s="47" t="str">
        <f>+Empresa_Centro[[#This Row],[Codigo Centro Gestion]]&amp;" - "&amp;Empresa_Centro[[#This Row],[Nombre Centro Gestion]]</f>
        <v>10241105 - Parque Marañon Torre B-CLIENTES</v>
      </c>
    </row>
    <row r="96" spans="1:6" x14ac:dyDescent="0.25">
      <c r="A96" s="43">
        <v>93</v>
      </c>
      <c r="B96" t="s">
        <v>446</v>
      </c>
      <c r="C96" s="43" t="s">
        <v>447</v>
      </c>
      <c r="D96" s="43">
        <v>10241204</v>
      </c>
      <c r="E96" t="s">
        <v>1165</v>
      </c>
      <c r="F96" s="47" t="str">
        <f>+Empresa_Centro[[#This Row],[Codigo Centro Gestion]]&amp;" - "&amp;Empresa_Centro[[#This Row],[Nombre Centro Gestion]]</f>
        <v>10241204 - Parque Marañon Torre B-PROYECTO</v>
      </c>
    </row>
    <row r="97" spans="1:6" x14ac:dyDescent="0.25">
      <c r="A97" s="43">
        <v>93</v>
      </c>
      <c r="B97" t="s">
        <v>446</v>
      </c>
      <c r="C97" s="43" t="s">
        <v>447</v>
      </c>
      <c r="D97" s="43">
        <v>10241301</v>
      </c>
      <c r="E97" t="s">
        <v>1166</v>
      </c>
      <c r="F97" s="47" t="str">
        <f>+Empresa_Centro[[#This Row],[Codigo Centro Gestion]]&amp;" - "&amp;Empresa_Centro[[#This Row],[Nombre Centro Gestion]]</f>
        <v>10241301 - Parque Marañon Torre B-GAF</v>
      </c>
    </row>
    <row r="98" spans="1:6" x14ac:dyDescent="0.25">
      <c r="A98" s="43">
        <v>93</v>
      </c>
      <c r="B98" t="s">
        <v>446</v>
      </c>
      <c r="C98" s="43" t="s">
        <v>447</v>
      </c>
      <c r="D98" s="43">
        <v>10241505</v>
      </c>
      <c r="E98" t="s">
        <v>1167</v>
      </c>
      <c r="F98" s="47" t="str">
        <f>+Empresa_Centro[[#This Row],[Codigo Centro Gestion]]&amp;" - "&amp;Empresa_Centro[[#This Row],[Nombre Centro Gestion]]</f>
        <v>10241505 - Parque Marañon Torre B-PV INMOB.</v>
      </c>
    </row>
    <row r="99" spans="1:6" x14ac:dyDescent="0.25">
      <c r="A99" s="43">
        <v>93</v>
      </c>
      <c r="B99" t="s">
        <v>446</v>
      </c>
      <c r="C99" s="43" t="s">
        <v>447</v>
      </c>
      <c r="D99" s="43">
        <v>10241506</v>
      </c>
      <c r="E99" t="s">
        <v>1168</v>
      </c>
      <c r="F99" s="47" t="str">
        <f>+Empresa_Centro[[#This Row],[Codigo Centro Gestion]]&amp;" - "&amp;Empresa_Centro[[#This Row],[Nombre Centro Gestion]]</f>
        <v>10241506 - Parque Marañon Torre B-DEPTO.TÉCNICO</v>
      </c>
    </row>
    <row r="100" spans="1:6" x14ac:dyDescent="0.25">
      <c r="A100" s="43">
        <v>93</v>
      </c>
      <c r="B100" t="s">
        <v>446</v>
      </c>
      <c r="C100" s="43" t="s">
        <v>447</v>
      </c>
      <c r="D100" s="43">
        <v>10248000</v>
      </c>
      <c r="E100" t="s">
        <v>1201</v>
      </c>
      <c r="F100" s="47" t="str">
        <f>+Empresa_Centro[[#This Row],[Codigo Centro Gestion]]&amp;" - "&amp;Empresa_Centro[[#This Row],[Nombre Centro Gestion]]</f>
        <v>10248000 - Alto Marañon Torre B</v>
      </c>
    </row>
    <row r="101" spans="1:6" x14ac:dyDescent="0.25">
      <c r="A101" s="43">
        <v>93</v>
      </c>
      <c r="B101" t="s">
        <v>446</v>
      </c>
      <c r="C101" s="43" t="s">
        <v>447</v>
      </c>
      <c r="D101" s="43">
        <v>10248102</v>
      </c>
      <c r="E101" t="s">
        <v>1202</v>
      </c>
      <c r="F101" s="47" t="str">
        <f>+Empresa_Centro[[#This Row],[Codigo Centro Gestion]]&amp;" - "&amp;Empresa_Centro[[#This Row],[Nombre Centro Gestion]]</f>
        <v>10248102 - Alto Marañon Torre B-Marketing</v>
      </c>
    </row>
    <row r="102" spans="1:6" x14ac:dyDescent="0.25">
      <c r="A102" s="43">
        <v>93</v>
      </c>
      <c r="B102" t="s">
        <v>446</v>
      </c>
      <c r="C102" s="43" t="s">
        <v>447</v>
      </c>
      <c r="D102" s="43">
        <v>10248103</v>
      </c>
      <c r="E102" t="s">
        <v>1203</v>
      </c>
      <c r="F102" s="47" t="str">
        <f>+Empresa_Centro[[#This Row],[Codigo Centro Gestion]]&amp;" - "&amp;Empresa_Centro[[#This Row],[Nombre Centro Gestion]]</f>
        <v>10248103 - Alto Marañon Torre B-Operaciones</v>
      </c>
    </row>
    <row r="103" spans="1:6" x14ac:dyDescent="0.25">
      <c r="A103" s="43">
        <v>93</v>
      </c>
      <c r="B103" t="s">
        <v>446</v>
      </c>
      <c r="C103" s="43" t="s">
        <v>447</v>
      </c>
      <c r="D103" s="43">
        <v>10248104</v>
      </c>
      <c r="E103" t="s">
        <v>1204</v>
      </c>
      <c r="F103" s="47" t="str">
        <f>+Empresa_Centro[[#This Row],[Codigo Centro Gestion]]&amp;" - "&amp;Empresa_Centro[[#This Row],[Nombre Centro Gestion]]</f>
        <v>10248104 - Alto Marañon Torre B-Ventas</v>
      </c>
    </row>
    <row r="104" spans="1:6" x14ac:dyDescent="0.25">
      <c r="A104" s="43">
        <v>93</v>
      </c>
      <c r="B104" t="s">
        <v>446</v>
      </c>
      <c r="C104" s="43" t="s">
        <v>447</v>
      </c>
      <c r="D104" s="43">
        <v>10248105</v>
      </c>
      <c r="E104" t="s">
        <v>1205</v>
      </c>
      <c r="F104" s="47" t="str">
        <f>+Empresa_Centro[[#This Row],[Codigo Centro Gestion]]&amp;" - "&amp;Empresa_Centro[[#This Row],[Nombre Centro Gestion]]</f>
        <v>10248105 - Alto Marañon Torre B-Clientes</v>
      </c>
    </row>
    <row r="105" spans="1:6" x14ac:dyDescent="0.25">
      <c r="A105" s="43">
        <v>93</v>
      </c>
      <c r="B105" t="s">
        <v>446</v>
      </c>
      <c r="C105" s="43" t="s">
        <v>447</v>
      </c>
      <c r="D105" s="43">
        <v>10248204</v>
      </c>
      <c r="E105" t="s">
        <v>1206</v>
      </c>
      <c r="F105" s="47" t="str">
        <f>+Empresa_Centro[[#This Row],[Codigo Centro Gestion]]&amp;" - "&amp;Empresa_Centro[[#This Row],[Nombre Centro Gestion]]</f>
        <v>10248204 - Alto Marañon Torre B-Proyecto</v>
      </c>
    </row>
    <row r="106" spans="1:6" x14ac:dyDescent="0.25">
      <c r="A106" s="43">
        <v>93</v>
      </c>
      <c r="B106" t="s">
        <v>446</v>
      </c>
      <c r="C106" s="43" t="s">
        <v>447</v>
      </c>
      <c r="D106" s="43">
        <v>10248301</v>
      </c>
      <c r="E106" t="s">
        <v>1207</v>
      </c>
      <c r="F106" s="47" t="str">
        <f>+Empresa_Centro[[#This Row],[Codigo Centro Gestion]]&amp;" - "&amp;Empresa_Centro[[#This Row],[Nombre Centro Gestion]]</f>
        <v>10248301 - Alto Marañon Torre B-GAF</v>
      </c>
    </row>
    <row r="107" spans="1:6" x14ac:dyDescent="0.25">
      <c r="A107" s="43">
        <v>93</v>
      </c>
      <c r="B107" t="s">
        <v>446</v>
      </c>
      <c r="C107" s="43" t="s">
        <v>447</v>
      </c>
      <c r="D107" s="43">
        <v>10248505</v>
      </c>
      <c r="E107" t="s">
        <v>1208</v>
      </c>
      <c r="F107" s="47" t="str">
        <f>+Empresa_Centro[[#This Row],[Codigo Centro Gestion]]&amp;" - "&amp;Empresa_Centro[[#This Row],[Nombre Centro Gestion]]</f>
        <v>10248505 - Alto Marañon Torre B-PV Inmob.</v>
      </c>
    </row>
    <row r="108" spans="1:6" x14ac:dyDescent="0.25">
      <c r="A108" s="43">
        <v>93</v>
      </c>
      <c r="B108" t="s">
        <v>446</v>
      </c>
      <c r="C108" s="43" t="s">
        <v>447</v>
      </c>
      <c r="D108" s="43">
        <v>10248506</v>
      </c>
      <c r="E108" t="s">
        <v>1209</v>
      </c>
      <c r="F108" s="47" t="str">
        <f>+Empresa_Centro[[#This Row],[Codigo Centro Gestion]]&amp;" - "&amp;Empresa_Centro[[#This Row],[Nombre Centro Gestion]]</f>
        <v>10248506 - Alto Marañon Torre B-Depto.Técnico</v>
      </c>
    </row>
    <row r="109" spans="1:6" x14ac:dyDescent="0.25">
      <c r="A109" s="43">
        <v>93</v>
      </c>
      <c r="B109" t="s">
        <v>446</v>
      </c>
      <c r="C109" s="43" t="s">
        <v>447</v>
      </c>
      <c r="D109" s="43">
        <v>10259000</v>
      </c>
      <c r="E109" t="s">
        <v>485</v>
      </c>
      <c r="F109" s="47" t="str">
        <f>+Empresa_Centro[[#This Row],[Codigo Centro Gestion]]&amp;" - "&amp;Empresa_Centro[[#This Row],[Nombre Centro Gestion]]</f>
        <v>10259000 - Blanca Estela I Torre A y B</v>
      </c>
    </row>
    <row r="110" spans="1:6" x14ac:dyDescent="0.25">
      <c r="A110" s="43">
        <v>93</v>
      </c>
      <c r="B110" t="s">
        <v>446</v>
      </c>
      <c r="C110" s="43" t="s">
        <v>447</v>
      </c>
      <c r="D110" s="43">
        <v>10259102</v>
      </c>
      <c r="E110" t="s">
        <v>1278</v>
      </c>
      <c r="F110" s="47" t="str">
        <f>+Empresa_Centro[[#This Row],[Codigo Centro Gestion]]&amp;" - "&amp;Empresa_Centro[[#This Row],[Nombre Centro Gestion]]</f>
        <v>10259102 - Blanca Estela I Torre A y B-Marketing</v>
      </c>
    </row>
    <row r="111" spans="1:6" x14ac:dyDescent="0.25">
      <c r="A111" s="43">
        <v>93</v>
      </c>
      <c r="B111" t="s">
        <v>446</v>
      </c>
      <c r="C111" s="43" t="s">
        <v>447</v>
      </c>
      <c r="D111" s="43">
        <v>10259103</v>
      </c>
      <c r="E111" t="s">
        <v>1279</v>
      </c>
      <c r="F111" s="47" t="str">
        <f>+Empresa_Centro[[#This Row],[Codigo Centro Gestion]]&amp;" - "&amp;Empresa_Centro[[#This Row],[Nombre Centro Gestion]]</f>
        <v>10259103 - Blanca Estela I Torre A y B-Operaciones</v>
      </c>
    </row>
    <row r="112" spans="1:6" x14ac:dyDescent="0.25">
      <c r="A112" s="43">
        <v>93</v>
      </c>
      <c r="B112" t="s">
        <v>446</v>
      </c>
      <c r="C112" s="43" t="s">
        <v>447</v>
      </c>
      <c r="D112" s="43">
        <v>10259104</v>
      </c>
      <c r="E112" t="s">
        <v>1280</v>
      </c>
      <c r="F112" s="47" t="str">
        <f>+Empresa_Centro[[#This Row],[Codigo Centro Gestion]]&amp;" - "&amp;Empresa_Centro[[#This Row],[Nombre Centro Gestion]]</f>
        <v>10259104 - Blanca Estela I Torre A y B-Ventas</v>
      </c>
    </row>
    <row r="113" spans="1:6" x14ac:dyDescent="0.25">
      <c r="A113" s="43">
        <v>93</v>
      </c>
      <c r="B113" t="s">
        <v>446</v>
      </c>
      <c r="C113" s="43" t="s">
        <v>447</v>
      </c>
      <c r="D113" s="43">
        <v>10259105</v>
      </c>
      <c r="E113" t="s">
        <v>1281</v>
      </c>
      <c r="F113" s="47" t="str">
        <f>+Empresa_Centro[[#This Row],[Codigo Centro Gestion]]&amp;" - "&amp;Empresa_Centro[[#This Row],[Nombre Centro Gestion]]</f>
        <v>10259105 - Blanca Estela I Torre A y B-Clientes</v>
      </c>
    </row>
    <row r="114" spans="1:6" x14ac:dyDescent="0.25">
      <c r="A114" s="43">
        <v>93</v>
      </c>
      <c r="B114" t="s">
        <v>446</v>
      </c>
      <c r="C114" s="43" t="s">
        <v>447</v>
      </c>
      <c r="D114" s="43">
        <v>10259204</v>
      </c>
      <c r="E114" t="s">
        <v>1282</v>
      </c>
      <c r="F114" s="47" t="str">
        <f>+Empresa_Centro[[#This Row],[Codigo Centro Gestion]]&amp;" - "&amp;Empresa_Centro[[#This Row],[Nombre Centro Gestion]]</f>
        <v>10259204 - Blanca Estela I Torre A y B-Proyecto</v>
      </c>
    </row>
    <row r="115" spans="1:6" x14ac:dyDescent="0.25">
      <c r="A115" s="43">
        <v>93</v>
      </c>
      <c r="B115" t="s">
        <v>446</v>
      </c>
      <c r="C115" s="43" t="s">
        <v>447</v>
      </c>
      <c r="D115" s="43">
        <v>10259301</v>
      </c>
      <c r="E115" t="s">
        <v>1283</v>
      </c>
      <c r="F115" s="47" t="str">
        <f>+Empresa_Centro[[#This Row],[Codigo Centro Gestion]]&amp;" - "&amp;Empresa_Centro[[#This Row],[Nombre Centro Gestion]]</f>
        <v>10259301 - Blanca Estela I Torre A y B-GAF</v>
      </c>
    </row>
    <row r="116" spans="1:6" x14ac:dyDescent="0.25">
      <c r="A116" s="43">
        <v>93</v>
      </c>
      <c r="B116" t="s">
        <v>446</v>
      </c>
      <c r="C116" s="43" t="s">
        <v>447</v>
      </c>
      <c r="D116" s="43">
        <v>10259505</v>
      </c>
      <c r="E116" t="s">
        <v>1284</v>
      </c>
      <c r="F116" s="47" t="str">
        <f>+Empresa_Centro[[#This Row],[Codigo Centro Gestion]]&amp;" - "&amp;Empresa_Centro[[#This Row],[Nombre Centro Gestion]]</f>
        <v>10259505 - Blanca Estela I Torre A y B-PV Inmob.</v>
      </c>
    </row>
    <row r="117" spans="1:6" x14ac:dyDescent="0.25">
      <c r="A117" s="43">
        <v>93</v>
      </c>
      <c r="B117" t="s">
        <v>446</v>
      </c>
      <c r="C117" s="43" t="s">
        <v>447</v>
      </c>
      <c r="D117" s="43">
        <v>10259506</v>
      </c>
      <c r="E117" t="s">
        <v>1285</v>
      </c>
      <c r="F117" s="47" t="str">
        <f>+Empresa_Centro[[#This Row],[Codigo Centro Gestion]]&amp;" - "&amp;Empresa_Centro[[#This Row],[Nombre Centro Gestion]]</f>
        <v>10259506 - Blanca Estela I Torre A y B-Depto.Técnico</v>
      </c>
    </row>
    <row r="118" spans="1:6" x14ac:dyDescent="0.25">
      <c r="A118" s="43">
        <v>93</v>
      </c>
      <c r="B118" t="s">
        <v>446</v>
      </c>
      <c r="C118" s="43" t="s">
        <v>447</v>
      </c>
      <c r="D118" s="43">
        <v>10260000</v>
      </c>
      <c r="E118" t="s">
        <v>489</v>
      </c>
      <c r="F118" s="47" t="str">
        <f>+Empresa_Centro[[#This Row],[Codigo Centro Gestion]]&amp;" - "&amp;Empresa_Centro[[#This Row],[Nombre Centro Gestion]]</f>
        <v>10260000 - Blanca Estela II Torre A y B</v>
      </c>
    </row>
    <row r="119" spans="1:6" x14ac:dyDescent="0.25">
      <c r="A119" s="43">
        <v>93</v>
      </c>
      <c r="B119" t="s">
        <v>446</v>
      </c>
      <c r="C119" s="43" t="s">
        <v>447</v>
      </c>
      <c r="D119" s="43">
        <v>10260102</v>
      </c>
      <c r="E119" t="s">
        <v>1286</v>
      </c>
      <c r="F119" s="47" t="str">
        <f>+Empresa_Centro[[#This Row],[Codigo Centro Gestion]]&amp;" - "&amp;Empresa_Centro[[#This Row],[Nombre Centro Gestion]]</f>
        <v>10260102 - Blanca Estela II Torre A y B-Marketing</v>
      </c>
    </row>
    <row r="120" spans="1:6" x14ac:dyDescent="0.25">
      <c r="A120" s="43">
        <v>93</v>
      </c>
      <c r="B120" t="s">
        <v>446</v>
      </c>
      <c r="C120" s="43" t="s">
        <v>447</v>
      </c>
      <c r="D120" s="43">
        <v>10260103</v>
      </c>
      <c r="E120" t="s">
        <v>1287</v>
      </c>
      <c r="F120" s="47" t="str">
        <f>+Empresa_Centro[[#This Row],[Codigo Centro Gestion]]&amp;" - "&amp;Empresa_Centro[[#This Row],[Nombre Centro Gestion]]</f>
        <v>10260103 - Blanca Estela II Torre A y B-Operaciones</v>
      </c>
    </row>
    <row r="121" spans="1:6" x14ac:dyDescent="0.25">
      <c r="A121" s="43">
        <v>93</v>
      </c>
      <c r="B121" t="s">
        <v>446</v>
      </c>
      <c r="C121" s="43" t="s">
        <v>447</v>
      </c>
      <c r="D121" s="43">
        <v>10260104</v>
      </c>
      <c r="E121" t="s">
        <v>1288</v>
      </c>
      <c r="F121" s="47" t="str">
        <f>+Empresa_Centro[[#This Row],[Codigo Centro Gestion]]&amp;" - "&amp;Empresa_Centro[[#This Row],[Nombre Centro Gestion]]</f>
        <v>10260104 - Blanca Estela II Torre A y B-Ventas</v>
      </c>
    </row>
    <row r="122" spans="1:6" x14ac:dyDescent="0.25">
      <c r="A122" s="43">
        <v>93</v>
      </c>
      <c r="B122" t="s">
        <v>446</v>
      </c>
      <c r="C122" s="43" t="s">
        <v>447</v>
      </c>
      <c r="D122" s="43">
        <v>10260105</v>
      </c>
      <c r="E122" t="s">
        <v>1289</v>
      </c>
      <c r="F122" s="47" t="str">
        <f>+Empresa_Centro[[#This Row],[Codigo Centro Gestion]]&amp;" - "&amp;Empresa_Centro[[#This Row],[Nombre Centro Gestion]]</f>
        <v>10260105 - Blanca Estela II Torre A y B-Clientes</v>
      </c>
    </row>
    <row r="123" spans="1:6" x14ac:dyDescent="0.25">
      <c r="A123" s="43">
        <v>93</v>
      </c>
      <c r="B123" t="s">
        <v>446</v>
      </c>
      <c r="C123" s="43" t="s">
        <v>447</v>
      </c>
      <c r="D123" s="43">
        <v>10260204</v>
      </c>
      <c r="E123" t="s">
        <v>1290</v>
      </c>
      <c r="F123" s="47" t="str">
        <f>+Empresa_Centro[[#This Row],[Codigo Centro Gestion]]&amp;" - "&amp;Empresa_Centro[[#This Row],[Nombre Centro Gestion]]</f>
        <v>10260204 - Blanca Estela II Torre A y B-Proyecto</v>
      </c>
    </row>
    <row r="124" spans="1:6" x14ac:dyDescent="0.25">
      <c r="A124" s="43">
        <v>93</v>
      </c>
      <c r="B124" t="s">
        <v>446</v>
      </c>
      <c r="C124" s="43" t="s">
        <v>447</v>
      </c>
      <c r="D124" s="43">
        <v>10260301</v>
      </c>
      <c r="E124" t="s">
        <v>1291</v>
      </c>
      <c r="F124" s="47" t="str">
        <f>+Empresa_Centro[[#This Row],[Codigo Centro Gestion]]&amp;" - "&amp;Empresa_Centro[[#This Row],[Nombre Centro Gestion]]</f>
        <v>10260301 - Blanca Estela II Torre A y B-GAF</v>
      </c>
    </row>
    <row r="125" spans="1:6" x14ac:dyDescent="0.25">
      <c r="A125" s="43">
        <v>93</v>
      </c>
      <c r="B125" t="s">
        <v>446</v>
      </c>
      <c r="C125" s="43" t="s">
        <v>447</v>
      </c>
      <c r="D125" s="43">
        <v>10260505</v>
      </c>
      <c r="E125" t="s">
        <v>1292</v>
      </c>
      <c r="F125" s="47" t="str">
        <f>+Empresa_Centro[[#This Row],[Codigo Centro Gestion]]&amp;" - "&amp;Empresa_Centro[[#This Row],[Nombre Centro Gestion]]</f>
        <v>10260505 - Blanca Estela II Torre A y B-PV Inmob.</v>
      </c>
    </row>
    <row r="126" spans="1:6" x14ac:dyDescent="0.25">
      <c r="A126" s="43">
        <v>93</v>
      </c>
      <c r="B126" t="s">
        <v>446</v>
      </c>
      <c r="C126" s="43" t="s">
        <v>447</v>
      </c>
      <c r="D126" s="43">
        <v>10260506</v>
      </c>
      <c r="E126" t="s">
        <v>1293</v>
      </c>
      <c r="F126" s="47" t="str">
        <f>+Empresa_Centro[[#This Row],[Codigo Centro Gestion]]&amp;" - "&amp;Empresa_Centro[[#This Row],[Nombre Centro Gestion]]</f>
        <v>10260506 - Blanca Estela II Torre A y B-Depto.Técnico</v>
      </c>
    </row>
    <row r="127" spans="1:6" x14ac:dyDescent="0.25">
      <c r="A127" s="43">
        <v>93</v>
      </c>
      <c r="B127" t="s">
        <v>446</v>
      </c>
      <c r="C127" s="43" t="s">
        <v>447</v>
      </c>
      <c r="D127" s="43">
        <v>10262000</v>
      </c>
      <c r="E127" t="s">
        <v>478</v>
      </c>
      <c r="F127" s="47" t="str">
        <f>+Empresa_Centro[[#This Row],[Codigo Centro Gestion]]&amp;" - "&amp;Empresa_Centro[[#This Row],[Nombre Centro Gestion]]</f>
        <v>10262000 - Alto Marañon 3</v>
      </c>
    </row>
    <row r="128" spans="1:6" x14ac:dyDescent="0.25">
      <c r="A128" s="43">
        <v>93</v>
      </c>
      <c r="B128" t="s">
        <v>446</v>
      </c>
      <c r="C128" s="43" t="s">
        <v>447</v>
      </c>
      <c r="D128" s="43">
        <v>10262102</v>
      </c>
      <c r="E128" t="s">
        <v>1303</v>
      </c>
      <c r="F128" s="47" t="str">
        <f>+Empresa_Centro[[#This Row],[Codigo Centro Gestion]]&amp;" - "&amp;Empresa_Centro[[#This Row],[Nombre Centro Gestion]]</f>
        <v>10262102 - Alto Marañon 3-Marketing</v>
      </c>
    </row>
    <row r="129" spans="1:6" x14ac:dyDescent="0.25">
      <c r="A129" s="43">
        <v>93</v>
      </c>
      <c r="B129" t="s">
        <v>446</v>
      </c>
      <c r="C129" s="43" t="s">
        <v>447</v>
      </c>
      <c r="D129" s="43">
        <v>10262103</v>
      </c>
      <c r="E129" t="s">
        <v>1304</v>
      </c>
      <c r="F129" s="47" t="str">
        <f>+Empresa_Centro[[#This Row],[Codigo Centro Gestion]]&amp;" - "&amp;Empresa_Centro[[#This Row],[Nombre Centro Gestion]]</f>
        <v>10262103 - Alto Marañon 3-Operaciones</v>
      </c>
    </row>
    <row r="130" spans="1:6" x14ac:dyDescent="0.25">
      <c r="A130" s="43">
        <v>93</v>
      </c>
      <c r="B130" t="s">
        <v>446</v>
      </c>
      <c r="C130" s="43" t="s">
        <v>447</v>
      </c>
      <c r="D130" s="43">
        <v>10262104</v>
      </c>
      <c r="E130" t="s">
        <v>1305</v>
      </c>
      <c r="F130" s="47" t="str">
        <f>+Empresa_Centro[[#This Row],[Codigo Centro Gestion]]&amp;" - "&amp;Empresa_Centro[[#This Row],[Nombre Centro Gestion]]</f>
        <v>10262104 - Alto Marañon 3-Ventas</v>
      </c>
    </row>
    <row r="131" spans="1:6" x14ac:dyDescent="0.25">
      <c r="A131" s="43">
        <v>93</v>
      </c>
      <c r="B131" t="s">
        <v>446</v>
      </c>
      <c r="C131" s="43" t="s">
        <v>447</v>
      </c>
      <c r="D131" s="43">
        <v>10262105</v>
      </c>
      <c r="E131" t="s">
        <v>1306</v>
      </c>
      <c r="F131" s="47" t="str">
        <f>+Empresa_Centro[[#This Row],[Codigo Centro Gestion]]&amp;" - "&amp;Empresa_Centro[[#This Row],[Nombre Centro Gestion]]</f>
        <v>10262105 - Alto Marañon 3-Clientes</v>
      </c>
    </row>
    <row r="132" spans="1:6" x14ac:dyDescent="0.25">
      <c r="A132" s="43">
        <v>93</v>
      </c>
      <c r="B132" t="s">
        <v>446</v>
      </c>
      <c r="C132" s="43" t="s">
        <v>447</v>
      </c>
      <c r="D132" s="43">
        <v>10262204</v>
      </c>
      <c r="E132" t="s">
        <v>1307</v>
      </c>
      <c r="F132" s="47" t="str">
        <f>+Empresa_Centro[[#This Row],[Codigo Centro Gestion]]&amp;" - "&amp;Empresa_Centro[[#This Row],[Nombre Centro Gestion]]</f>
        <v>10262204 - Alto Marañon 3-Proyecto</v>
      </c>
    </row>
    <row r="133" spans="1:6" x14ac:dyDescent="0.25">
      <c r="A133" s="43">
        <v>93</v>
      </c>
      <c r="B133" t="s">
        <v>446</v>
      </c>
      <c r="C133" s="43" t="s">
        <v>447</v>
      </c>
      <c r="D133" s="43">
        <v>10262301</v>
      </c>
      <c r="E133" t="s">
        <v>1308</v>
      </c>
      <c r="F133" s="47" t="str">
        <f>+Empresa_Centro[[#This Row],[Codigo Centro Gestion]]&amp;" - "&amp;Empresa_Centro[[#This Row],[Nombre Centro Gestion]]</f>
        <v>10262301 - Alto Marañon 3-GAF</v>
      </c>
    </row>
    <row r="134" spans="1:6" x14ac:dyDescent="0.25">
      <c r="A134" s="43">
        <v>93</v>
      </c>
      <c r="B134" t="s">
        <v>446</v>
      </c>
      <c r="C134" s="43" t="s">
        <v>447</v>
      </c>
      <c r="D134" s="43">
        <v>10262505</v>
      </c>
      <c r="E134" t="s">
        <v>1309</v>
      </c>
      <c r="F134" s="47" t="str">
        <f>+Empresa_Centro[[#This Row],[Codigo Centro Gestion]]&amp;" - "&amp;Empresa_Centro[[#This Row],[Nombre Centro Gestion]]</f>
        <v>10262505 - Alto Marañon 3-PV Inmob.</v>
      </c>
    </row>
    <row r="135" spans="1:6" x14ac:dyDescent="0.25">
      <c r="A135" s="43">
        <v>93</v>
      </c>
      <c r="B135" t="s">
        <v>446</v>
      </c>
      <c r="C135" s="43" t="s">
        <v>447</v>
      </c>
      <c r="D135" s="43">
        <v>10262506</v>
      </c>
      <c r="E135" t="s">
        <v>1310</v>
      </c>
      <c r="F135" s="47" t="str">
        <f>+Empresa_Centro[[#This Row],[Codigo Centro Gestion]]&amp;" - "&amp;Empresa_Centro[[#This Row],[Nombre Centro Gestion]]</f>
        <v>10262506 - Alto Marañon 3-Depto.Técnico</v>
      </c>
    </row>
    <row r="136" spans="1:6" x14ac:dyDescent="0.25">
      <c r="A136" s="43">
        <v>93</v>
      </c>
      <c r="B136" t="s">
        <v>446</v>
      </c>
      <c r="C136" s="43" t="s">
        <v>447</v>
      </c>
      <c r="D136" s="43">
        <v>10304000</v>
      </c>
      <c r="E136" t="s">
        <v>497</v>
      </c>
      <c r="F136" s="47" t="str">
        <f>+Empresa_Centro[[#This Row],[Codigo Centro Gestion]]&amp;" - "&amp;Empresa_Centro[[#This Row],[Nombre Centro Gestion]]</f>
        <v>10304000 - Parque Marañon Torre A</v>
      </c>
    </row>
    <row r="137" spans="1:6" x14ac:dyDescent="0.25">
      <c r="A137" s="43">
        <v>93</v>
      </c>
      <c r="B137" t="s">
        <v>446</v>
      </c>
      <c r="C137" s="43" t="s">
        <v>447</v>
      </c>
      <c r="D137" s="43">
        <v>10304102</v>
      </c>
      <c r="E137" t="s">
        <v>1379</v>
      </c>
      <c r="F137" s="47" t="str">
        <f>+Empresa_Centro[[#This Row],[Codigo Centro Gestion]]&amp;" - "&amp;Empresa_Centro[[#This Row],[Nombre Centro Gestion]]</f>
        <v>10304102 - Parque Marañon Torre A-Marketing</v>
      </c>
    </row>
    <row r="138" spans="1:6" x14ac:dyDescent="0.25">
      <c r="A138" s="43">
        <v>93</v>
      </c>
      <c r="B138" t="s">
        <v>446</v>
      </c>
      <c r="C138" s="43" t="s">
        <v>447</v>
      </c>
      <c r="D138" s="43">
        <v>10304103</v>
      </c>
      <c r="E138" t="s">
        <v>1380</v>
      </c>
      <c r="F138" s="47" t="str">
        <f>+Empresa_Centro[[#This Row],[Codigo Centro Gestion]]&amp;" - "&amp;Empresa_Centro[[#This Row],[Nombre Centro Gestion]]</f>
        <v>10304103 - Parque Marañon Torre A-Operaciones</v>
      </c>
    </row>
    <row r="139" spans="1:6" x14ac:dyDescent="0.25">
      <c r="A139" s="43">
        <v>93</v>
      </c>
      <c r="B139" t="s">
        <v>446</v>
      </c>
      <c r="C139" s="43" t="s">
        <v>447</v>
      </c>
      <c r="D139" s="43">
        <v>10304104</v>
      </c>
      <c r="E139" t="s">
        <v>1381</v>
      </c>
      <c r="F139" s="47" t="str">
        <f>+Empresa_Centro[[#This Row],[Codigo Centro Gestion]]&amp;" - "&amp;Empresa_Centro[[#This Row],[Nombre Centro Gestion]]</f>
        <v>10304104 - Parque Marañon Torre A-Ventas</v>
      </c>
    </row>
    <row r="140" spans="1:6" x14ac:dyDescent="0.25">
      <c r="A140" s="43">
        <v>93</v>
      </c>
      <c r="B140" t="s">
        <v>446</v>
      </c>
      <c r="C140" s="43" t="s">
        <v>447</v>
      </c>
      <c r="D140" s="43">
        <v>10304105</v>
      </c>
      <c r="E140" t="s">
        <v>1382</v>
      </c>
      <c r="F140" s="47" t="str">
        <f>+Empresa_Centro[[#This Row],[Codigo Centro Gestion]]&amp;" - "&amp;Empresa_Centro[[#This Row],[Nombre Centro Gestion]]</f>
        <v>10304105 - Parque Marañon Torre A-Clientes</v>
      </c>
    </row>
    <row r="141" spans="1:6" x14ac:dyDescent="0.25">
      <c r="A141" s="43">
        <v>93</v>
      </c>
      <c r="B141" t="s">
        <v>446</v>
      </c>
      <c r="C141" s="43" t="s">
        <v>447</v>
      </c>
      <c r="D141" s="43">
        <v>10304204</v>
      </c>
      <c r="E141" t="s">
        <v>1383</v>
      </c>
      <c r="F141" s="47" t="str">
        <f>+Empresa_Centro[[#This Row],[Codigo Centro Gestion]]&amp;" - "&amp;Empresa_Centro[[#This Row],[Nombre Centro Gestion]]</f>
        <v>10304204 - Parque Marañon Torre A-Proyecto</v>
      </c>
    </row>
    <row r="142" spans="1:6" x14ac:dyDescent="0.25">
      <c r="A142" s="43">
        <v>93</v>
      </c>
      <c r="B142" t="s">
        <v>446</v>
      </c>
      <c r="C142" s="43" t="s">
        <v>447</v>
      </c>
      <c r="D142" s="43">
        <v>10304301</v>
      </c>
      <c r="E142" t="s">
        <v>1384</v>
      </c>
      <c r="F142" s="47" t="str">
        <f>+Empresa_Centro[[#This Row],[Codigo Centro Gestion]]&amp;" - "&amp;Empresa_Centro[[#This Row],[Nombre Centro Gestion]]</f>
        <v>10304301 - Parque Marañon Torre A-GAF</v>
      </c>
    </row>
    <row r="143" spans="1:6" x14ac:dyDescent="0.25">
      <c r="A143" s="43">
        <v>93</v>
      </c>
      <c r="B143" t="s">
        <v>446</v>
      </c>
      <c r="C143" s="43" t="s">
        <v>447</v>
      </c>
      <c r="D143" s="43">
        <v>10304505</v>
      </c>
      <c r="E143" t="s">
        <v>1385</v>
      </c>
      <c r="F143" s="47" t="str">
        <f>+Empresa_Centro[[#This Row],[Codigo Centro Gestion]]&amp;" - "&amp;Empresa_Centro[[#This Row],[Nombre Centro Gestion]]</f>
        <v>10304505 - Parque Marañon Torre A-PV Inmob.</v>
      </c>
    </row>
    <row r="144" spans="1:6" x14ac:dyDescent="0.25">
      <c r="A144" s="43">
        <v>93</v>
      </c>
      <c r="B144" t="s">
        <v>446</v>
      </c>
      <c r="C144" s="43" t="s">
        <v>447</v>
      </c>
      <c r="D144" s="43">
        <v>10304506</v>
      </c>
      <c r="E144" t="s">
        <v>1386</v>
      </c>
      <c r="F144" s="47" t="str">
        <f>+Empresa_Centro[[#This Row],[Codigo Centro Gestion]]&amp;" - "&amp;Empresa_Centro[[#This Row],[Nombre Centro Gestion]]</f>
        <v>10304506 - Parque Marañon Torre A-Depto.Técnico</v>
      </c>
    </row>
    <row r="145" spans="1:6" x14ac:dyDescent="0.25">
      <c r="A145" s="43">
        <v>93</v>
      </c>
      <c r="B145" t="s">
        <v>446</v>
      </c>
      <c r="C145" s="43" t="s">
        <v>447</v>
      </c>
      <c r="D145" s="43">
        <v>10353000</v>
      </c>
      <c r="E145" t="s">
        <v>492</v>
      </c>
      <c r="F145" s="47" t="str">
        <f>+Empresa_Centro[[#This Row],[Codigo Centro Gestion]]&amp;" - "&amp;Empresa_Centro[[#This Row],[Nombre Centro Gestion]]</f>
        <v>10353000 - Edificio Alvarez Oriente</v>
      </c>
    </row>
    <row r="146" spans="1:6" x14ac:dyDescent="0.25">
      <c r="A146" s="43">
        <v>93</v>
      </c>
      <c r="B146" t="s">
        <v>446</v>
      </c>
      <c r="C146" s="43" t="s">
        <v>447</v>
      </c>
      <c r="D146" s="43">
        <v>10353102</v>
      </c>
      <c r="E146" t="s">
        <v>1411</v>
      </c>
      <c r="F146" s="47" t="str">
        <f>+Empresa_Centro[[#This Row],[Codigo Centro Gestion]]&amp;" - "&amp;Empresa_Centro[[#This Row],[Nombre Centro Gestion]]</f>
        <v>10353102 - Edificio Alvarez Oriente-Marketing</v>
      </c>
    </row>
    <row r="147" spans="1:6" x14ac:dyDescent="0.25">
      <c r="A147" s="43">
        <v>93</v>
      </c>
      <c r="B147" t="s">
        <v>446</v>
      </c>
      <c r="C147" s="43" t="s">
        <v>447</v>
      </c>
      <c r="D147" s="43">
        <v>10353103</v>
      </c>
      <c r="E147" t="s">
        <v>1412</v>
      </c>
      <c r="F147" s="47" t="str">
        <f>+Empresa_Centro[[#This Row],[Codigo Centro Gestion]]&amp;" - "&amp;Empresa_Centro[[#This Row],[Nombre Centro Gestion]]</f>
        <v>10353103 - Edificio Alvarez Oriente-Operaciones</v>
      </c>
    </row>
    <row r="148" spans="1:6" x14ac:dyDescent="0.25">
      <c r="A148" s="43">
        <v>93</v>
      </c>
      <c r="B148" t="s">
        <v>446</v>
      </c>
      <c r="C148" s="43" t="s">
        <v>447</v>
      </c>
      <c r="D148" s="43">
        <v>10353104</v>
      </c>
      <c r="E148" t="s">
        <v>1413</v>
      </c>
      <c r="F148" s="47" t="str">
        <f>+Empresa_Centro[[#This Row],[Codigo Centro Gestion]]&amp;" - "&amp;Empresa_Centro[[#This Row],[Nombre Centro Gestion]]</f>
        <v>10353104 - Edificio Alvarez Oriente-Ventas</v>
      </c>
    </row>
    <row r="149" spans="1:6" x14ac:dyDescent="0.25">
      <c r="A149" s="43">
        <v>93</v>
      </c>
      <c r="B149" t="s">
        <v>446</v>
      </c>
      <c r="C149" s="43" t="s">
        <v>447</v>
      </c>
      <c r="D149" s="43">
        <v>10353105</v>
      </c>
      <c r="E149" t="s">
        <v>1414</v>
      </c>
      <c r="F149" s="47" t="str">
        <f>+Empresa_Centro[[#This Row],[Codigo Centro Gestion]]&amp;" - "&amp;Empresa_Centro[[#This Row],[Nombre Centro Gestion]]</f>
        <v>10353105 - Edificio Alvarez Oriente-Clientes</v>
      </c>
    </row>
    <row r="150" spans="1:6" x14ac:dyDescent="0.25">
      <c r="A150" s="43">
        <v>93</v>
      </c>
      <c r="B150" t="s">
        <v>446</v>
      </c>
      <c r="C150" s="43" t="s">
        <v>447</v>
      </c>
      <c r="D150" s="43">
        <v>10353204</v>
      </c>
      <c r="E150" t="s">
        <v>1415</v>
      </c>
      <c r="F150" s="47" t="str">
        <f>+Empresa_Centro[[#This Row],[Codigo Centro Gestion]]&amp;" - "&amp;Empresa_Centro[[#This Row],[Nombre Centro Gestion]]</f>
        <v>10353204 - Edificio Alvarez Oriente-Proyecto</v>
      </c>
    </row>
    <row r="151" spans="1:6" x14ac:dyDescent="0.25">
      <c r="A151" s="43">
        <v>93</v>
      </c>
      <c r="B151" t="s">
        <v>446</v>
      </c>
      <c r="C151" s="43" t="s">
        <v>447</v>
      </c>
      <c r="D151" s="43">
        <v>10353301</v>
      </c>
      <c r="E151" t="s">
        <v>1416</v>
      </c>
      <c r="F151" s="47" t="str">
        <f>+Empresa_Centro[[#This Row],[Codigo Centro Gestion]]&amp;" - "&amp;Empresa_Centro[[#This Row],[Nombre Centro Gestion]]</f>
        <v>10353301 - Edificio Alvarez Oriente-GAF</v>
      </c>
    </row>
    <row r="152" spans="1:6" x14ac:dyDescent="0.25">
      <c r="A152" s="43">
        <v>93</v>
      </c>
      <c r="B152" t="s">
        <v>446</v>
      </c>
      <c r="C152" s="43" t="s">
        <v>447</v>
      </c>
      <c r="D152" s="43">
        <v>10353505</v>
      </c>
      <c r="E152" t="s">
        <v>1417</v>
      </c>
      <c r="F152" s="47" t="str">
        <f>+Empresa_Centro[[#This Row],[Codigo Centro Gestion]]&amp;" - "&amp;Empresa_Centro[[#This Row],[Nombre Centro Gestion]]</f>
        <v>10353505 - Edificio Alvarez Oriente-PV Inmob.</v>
      </c>
    </row>
    <row r="153" spans="1:6" x14ac:dyDescent="0.25">
      <c r="A153" s="43">
        <v>93</v>
      </c>
      <c r="B153" t="s">
        <v>446</v>
      </c>
      <c r="C153" s="43" t="s">
        <v>447</v>
      </c>
      <c r="D153" s="43">
        <v>10353506</v>
      </c>
      <c r="E153" t="s">
        <v>1418</v>
      </c>
      <c r="F153" s="47" t="str">
        <f>+Empresa_Centro[[#This Row],[Codigo Centro Gestion]]&amp;" - "&amp;Empresa_Centro[[#This Row],[Nombre Centro Gestion]]</f>
        <v>10353506 - Edificio Alvarez Oriente-Depto.Técnico</v>
      </c>
    </row>
    <row r="154" spans="1:6" x14ac:dyDescent="0.25">
      <c r="A154" s="43">
        <v>111</v>
      </c>
      <c r="B154" t="s">
        <v>458</v>
      </c>
      <c r="C154" s="43" t="s">
        <v>459</v>
      </c>
      <c r="D154" s="43">
        <v>10315</v>
      </c>
      <c r="E154" t="s">
        <v>191</v>
      </c>
      <c r="F154" s="47" t="str">
        <f>+Empresa_Centro[[#This Row],[Codigo Centro Gestion]]&amp;" - "&amp;Empresa_Centro[[#This Row],[Nombre Centro Gestion]]</f>
        <v>10315 - Centro General zonal</v>
      </c>
    </row>
    <row r="155" spans="1:6" x14ac:dyDescent="0.25">
      <c r="A155" s="43">
        <v>111</v>
      </c>
      <c r="B155" t="s">
        <v>458</v>
      </c>
      <c r="C155" s="43" t="s">
        <v>459</v>
      </c>
      <c r="D155" s="43">
        <v>70309</v>
      </c>
      <c r="E155" t="s">
        <v>252</v>
      </c>
      <c r="F155" s="47" t="str">
        <f>+Empresa_Centro[[#This Row],[Codigo Centro Gestion]]&amp;" - "&amp;Empresa_Centro[[#This Row],[Nombre Centro Gestion]]</f>
        <v>70309 - OFICINA CENTRAL</v>
      </c>
    </row>
    <row r="156" spans="1:6" x14ac:dyDescent="0.25">
      <c r="A156" s="43">
        <v>111</v>
      </c>
      <c r="B156" t="s">
        <v>458</v>
      </c>
      <c r="C156" s="43" t="s">
        <v>459</v>
      </c>
      <c r="D156" s="43">
        <v>70312</v>
      </c>
      <c r="E156" t="s">
        <v>258</v>
      </c>
      <c r="F156" s="47" t="str">
        <f>+Empresa_Centro[[#This Row],[Codigo Centro Gestion]]&amp;" - "&amp;Empresa_Centro[[#This Row],[Nombre Centro Gestion]]</f>
        <v>70312 - CONTABILIDAD GENERAL</v>
      </c>
    </row>
    <row r="157" spans="1:6" x14ac:dyDescent="0.25">
      <c r="A157" s="43">
        <v>111</v>
      </c>
      <c r="B157" t="s">
        <v>458</v>
      </c>
      <c r="C157" s="43" t="s">
        <v>459</v>
      </c>
      <c r="D157" s="43">
        <v>10133000</v>
      </c>
      <c r="E157" t="s">
        <v>798</v>
      </c>
      <c r="F157" s="47" t="str">
        <f>+Empresa_Centro[[#This Row],[Codigo Centro Gestion]]&amp;" - "&amp;Empresa_Centro[[#This Row],[Nombre Centro Gestion]]</f>
        <v>10133000 - Vista del Valle II Edificio A</v>
      </c>
    </row>
    <row r="158" spans="1:6" x14ac:dyDescent="0.25">
      <c r="A158" s="43">
        <v>111</v>
      </c>
      <c r="B158" t="s">
        <v>458</v>
      </c>
      <c r="C158" s="43" t="s">
        <v>459</v>
      </c>
      <c r="D158" s="43">
        <v>10133102</v>
      </c>
      <c r="E158" t="s">
        <v>799</v>
      </c>
      <c r="F158" s="47" t="str">
        <f>+Empresa_Centro[[#This Row],[Codigo Centro Gestion]]&amp;" - "&amp;Empresa_Centro[[#This Row],[Nombre Centro Gestion]]</f>
        <v>10133102 - Vista del Valle II Edificio A-Marketing</v>
      </c>
    </row>
    <row r="159" spans="1:6" x14ac:dyDescent="0.25">
      <c r="A159" s="43">
        <v>111</v>
      </c>
      <c r="B159" t="s">
        <v>458</v>
      </c>
      <c r="C159" s="43" t="s">
        <v>459</v>
      </c>
      <c r="D159" s="43">
        <v>10133103</v>
      </c>
      <c r="E159" t="s">
        <v>800</v>
      </c>
      <c r="F159" s="47" t="str">
        <f>+Empresa_Centro[[#This Row],[Codigo Centro Gestion]]&amp;" - "&amp;Empresa_Centro[[#This Row],[Nombre Centro Gestion]]</f>
        <v>10133103 - Vista del Valle II Edificio A-Operaciones</v>
      </c>
    </row>
    <row r="160" spans="1:6" x14ac:dyDescent="0.25">
      <c r="A160" s="43">
        <v>111</v>
      </c>
      <c r="B160" t="s">
        <v>458</v>
      </c>
      <c r="C160" s="43" t="s">
        <v>459</v>
      </c>
      <c r="D160" s="43">
        <v>10133104</v>
      </c>
      <c r="E160" t="s">
        <v>801</v>
      </c>
      <c r="F160" s="47" t="str">
        <f>+Empresa_Centro[[#This Row],[Codigo Centro Gestion]]&amp;" - "&amp;Empresa_Centro[[#This Row],[Nombre Centro Gestion]]</f>
        <v>10133104 - Vista del Valle II Edificio A-Ventas</v>
      </c>
    </row>
    <row r="161" spans="1:6" x14ac:dyDescent="0.25">
      <c r="A161" s="43">
        <v>111</v>
      </c>
      <c r="B161" t="s">
        <v>458</v>
      </c>
      <c r="C161" s="43" t="s">
        <v>459</v>
      </c>
      <c r="D161" s="43">
        <v>10133105</v>
      </c>
      <c r="E161" t="s">
        <v>802</v>
      </c>
      <c r="F161" s="47" t="str">
        <f>+Empresa_Centro[[#This Row],[Codigo Centro Gestion]]&amp;" - "&amp;Empresa_Centro[[#This Row],[Nombre Centro Gestion]]</f>
        <v>10133105 - Vista del Valle II Edificio A-Clientes</v>
      </c>
    </row>
    <row r="162" spans="1:6" x14ac:dyDescent="0.25">
      <c r="A162" s="43">
        <v>111</v>
      </c>
      <c r="B162" t="s">
        <v>458</v>
      </c>
      <c r="C162" s="43" t="s">
        <v>459</v>
      </c>
      <c r="D162" s="43">
        <v>10133205</v>
      </c>
      <c r="E162" t="s">
        <v>803</v>
      </c>
      <c r="F162" s="47" t="str">
        <f>+Empresa_Centro[[#This Row],[Codigo Centro Gestion]]&amp;" - "&amp;Empresa_Centro[[#This Row],[Nombre Centro Gestion]]</f>
        <v>10133205 - Vista del Valle II Edificio A-Proyecto</v>
      </c>
    </row>
    <row r="163" spans="1:6" x14ac:dyDescent="0.25">
      <c r="A163" s="43">
        <v>111</v>
      </c>
      <c r="B163" t="s">
        <v>458</v>
      </c>
      <c r="C163" s="43" t="s">
        <v>459</v>
      </c>
      <c r="D163" s="43">
        <v>10133301</v>
      </c>
      <c r="E163" t="s">
        <v>804</v>
      </c>
      <c r="F163" s="47" t="str">
        <f>+Empresa_Centro[[#This Row],[Codigo Centro Gestion]]&amp;" - "&amp;Empresa_Centro[[#This Row],[Nombre Centro Gestion]]</f>
        <v>10133301 - Vista del Valle II Edificio A-GAF</v>
      </c>
    </row>
    <row r="164" spans="1:6" x14ac:dyDescent="0.25">
      <c r="A164" s="43">
        <v>111</v>
      </c>
      <c r="B164" t="s">
        <v>458</v>
      </c>
      <c r="C164" s="43" t="s">
        <v>459</v>
      </c>
      <c r="D164" s="43">
        <v>10133505</v>
      </c>
      <c r="E164" t="s">
        <v>805</v>
      </c>
      <c r="F164" s="47" t="str">
        <f>+Empresa_Centro[[#This Row],[Codigo Centro Gestion]]&amp;" - "&amp;Empresa_Centro[[#This Row],[Nombre Centro Gestion]]</f>
        <v>10133505 - Vista del Valle II Edificio A-PV Inmob.</v>
      </c>
    </row>
    <row r="165" spans="1:6" x14ac:dyDescent="0.25">
      <c r="A165" s="43">
        <v>111</v>
      </c>
      <c r="B165" t="s">
        <v>458</v>
      </c>
      <c r="C165" s="43" t="s">
        <v>459</v>
      </c>
      <c r="D165" s="43">
        <v>10133506</v>
      </c>
      <c r="E165" t="s">
        <v>806</v>
      </c>
      <c r="F165" s="47" t="str">
        <f>+Empresa_Centro[[#This Row],[Codigo Centro Gestion]]&amp;" - "&amp;Empresa_Centro[[#This Row],[Nombre Centro Gestion]]</f>
        <v>10133506 - Vista del Valle II Edificio A-Depto.Técnico</v>
      </c>
    </row>
    <row r="166" spans="1:6" x14ac:dyDescent="0.25">
      <c r="A166" s="43">
        <v>111</v>
      </c>
      <c r="B166" t="s">
        <v>458</v>
      </c>
      <c r="C166" s="43" t="s">
        <v>459</v>
      </c>
      <c r="D166" s="43">
        <v>10211000</v>
      </c>
      <c r="E166" t="s">
        <v>952</v>
      </c>
      <c r="F166" s="47" t="str">
        <f>+Empresa_Centro[[#This Row],[Codigo Centro Gestion]]&amp;" - "&amp;Empresa_Centro[[#This Row],[Nombre Centro Gestion]]</f>
        <v>10211000 - Vista del Valle II Edificio B</v>
      </c>
    </row>
    <row r="167" spans="1:6" x14ac:dyDescent="0.25">
      <c r="A167" s="43">
        <v>111</v>
      </c>
      <c r="B167" t="s">
        <v>458</v>
      </c>
      <c r="C167" s="43" t="s">
        <v>459</v>
      </c>
      <c r="D167" s="43">
        <v>10211102</v>
      </c>
      <c r="E167" t="s">
        <v>953</v>
      </c>
      <c r="F167" s="47" t="str">
        <f>+Empresa_Centro[[#This Row],[Codigo Centro Gestion]]&amp;" - "&amp;Empresa_Centro[[#This Row],[Nombre Centro Gestion]]</f>
        <v>10211102 - Vista del Valle II Edificio B-Marketing</v>
      </c>
    </row>
    <row r="168" spans="1:6" x14ac:dyDescent="0.25">
      <c r="A168" s="43">
        <v>111</v>
      </c>
      <c r="B168" t="s">
        <v>458</v>
      </c>
      <c r="C168" s="43" t="s">
        <v>459</v>
      </c>
      <c r="D168" s="43">
        <v>10211103</v>
      </c>
      <c r="E168" t="s">
        <v>954</v>
      </c>
      <c r="F168" s="47" t="str">
        <f>+Empresa_Centro[[#This Row],[Codigo Centro Gestion]]&amp;" - "&amp;Empresa_Centro[[#This Row],[Nombre Centro Gestion]]</f>
        <v>10211103 - Vista del Valle II Edificio B-Operaciones</v>
      </c>
    </row>
    <row r="169" spans="1:6" x14ac:dyDescent="0.25">
      <c r="A169" s="43">
        <v>111</v>
      </c>
      <c r="B169" t="s">
        <v>458</v>
      </c>
      <c r="C169" s="43" t="s">
        <v>459</v>
      </c>
      <c r="D169" s="43">
        <v>10211104</v>
      </c>
      <c r="E169" t="s">
        <v>955</v>
      </c>
      <c r="F169" s="47" t="str">
        <f>+Empresa_Centro[[#This Row],[Codigo Centro Gestion]]&amp;" - "&amp;Empresa_Centro[[#This Row],[Nombre Centro Gestion]]</f>
        <v>10211104 - Vista del Valle II Edificio B-Ventas</v>
      </c>
    </row>
    <row r="170" spans="1:6" x14ac:dyDescent="0.25">
      <c r="A170" s="43">
        <v>111</v>
      </c>
      <c r="B170" t="s">
        <v>458</v>
      </c>
      <c r="C170" s="43" t="s">
        <v>459</v>
      </c>
      <c r="D170" s="43">
        <v>10211105</v>
      </c>
      <c r="E170" t="s">
        <v>956</v>
      </c>
      <c r="F170" s="47" t="str">
        <f>+Empresa_Centro[[#This Row],[Codigo Centro Gestion]]&amp;" - "&amp;Empresa_Centro[[#This Row],[Nombre Centro Gestion]]</f>
        <v>10211105 - Vista del Valle II Edificio B-Clientes</v>
      </c>
    </row>
    <row r="171" spans="1:6" x14ac:dyDescent="0.25">
      <c r="A171" s="43">
        <v>111</v>
      </c>
      <c r="B171" t="s">
        <v>458</v>
      </c>
      <c r="C171" s="43" t="s">
        <v>459</v>
      </c>
      <c r="D171" s="43">
        <v>10211204</v>
      </c>
      <c r="E171" t="s">
        <v>957</v>
      </c>
      <c r="F171" s="47" t="str">
        <f>+Empresa_Centro[[#This Row],[Codigo Centro Gestion]]&amp;" - "&amp;Empresa_Centro[[#This Row],[Nombre Centro Gestion]]</f>
        <v>10211204 - Vista del Valle II Edificio B-Proyecto</v>
      </c>
    </row>
    <row r="172" spans="1:6" x14ac:dyDescent="0.25">
      <c r="A172" s="43">
        <v>111</v>
      </c>
      <c r="B172" t="s">
        <v>458</v>
      </c>
      <c r="C172" s="43" t="s">
        <v>459</v>
      </c>
      <c r="D172" s="43">
        <v>10211301</v>
      </c>
      <c r="E172" t="s">
        <v>958</v>
      </c>
      <c r="F172" s="47" t="str">
        <f>+Empresa_Centro[[#This Row],[Codigo Centro Gestion]]&amp;" - "&amp;Empresa_Centro[[#This Row],[Nombre Centro Gestion]]</f>
        <v>10211301 - Vista del Valle II Edificio B-GAF</v>
      </c>
    </row>
    <row r="173" spans="1:6" x14ac:dyDescent="0.25">
      <c r="A173" s="43">
        <v>111</v>
      </c>
      <c r="B173" t="s">
        <v>458</v>
      </c>
      <c r="C173" s="43" t="s">
        <v>459</v>
      </c>
      <c r="D173" s="43">
        <v>10211505</v>
      </c>
      <c r="E173" t="s">
        <v>959</v>
      </c>
      <c r="F173" s="47" t="str">
        <f>+Empresa_Centro[[#This Row],[Codigo Centro Gestion]]&amp;" - "&amp;Empresa_Centro[[#This Row],[Nombre Centro Gestion]]</f>
        <v>10211505 - Vista del Valle II Edificio B-PV Inmob.</v>
      </c>
    </row>
    <row r="174" spans="1:6" x14ac:dyDescent="0.25">
      <c r="A174" s="43">
        <v>111</v>
      </c>
      <c r="B174" t="s">
        <v>458</v>
      </c>
      <c r="C174" s="43" t="s">
        <v>459</v>
      </c>
      <c r="D174" s="43">
        <v>10211506</v>
      </c>
      <c r="E174" t="s">
        <v>960</v>
      </c>
      <c r="F174" s="47" t="str">
        <f>+Empresa_Centro[[#This Row],[Codigo Centro Gestion]]&amp;" - "&amp;Empresa_Centro[[#This Row],[Nombre Centro Gestion]]</f>
        <v>10211506 - Vista del Valle II Edificio B-Depto.Técnico</v>
      </c>
    </row>
    <row r="175" spans="1:6" x14ac:dyDescent="0.25">
      <c r="A175" s="43">
        <v>111</v>
      </c>
      <c r="B175" t="s">
        <v>458</v>
      </c>
      <c r="C175" s="43" t="s">
        <v>459</v>
      </c>
      <c r="D175" s="43">
        <v>10215000</v>
      </c>
      <c r="E175" t="s">
        <v>988</v>
      </c>
      <c r="F175" s="47" t="str">
        <f>+Empresa_Centro[[#This Row],[Codigo Centro Gestion]]&amp;" - "&amp;Empresa_Centro[[#This Row],[Nombre Centro Gestion]]</f>
        <v>10215000 - Alto Marañon Torre A</v>
      </c>
    </row>
    <row r="176" spans="1:6" x14ac:dyDescent="0.25">
      <c r="A176" s="43">
        <v>111</v>
      </c>
      <c r="B176" t="s">
        <v>458</v>
      </c>
      <c r="C176" s="43" t="s">
        <v>459</v>
      </c>
      <c r="D176" s="43">
        <v>10215301</v>
      </c>
      <c r="E176" t="s">
        <v>994</v>
      </c>
      <c r="F176" s="47" t="str">
        <f>+Empresa_Centro[[#This Row],[Codigo Centro Gestion]]&amp;" - "&amp;Empresa_Centro[[#This Row],[Nombre Centro Gestion]]</f>
        <v>10215301 - Alto Marañon Torre A-GAF</v>
      </c>
    </row>
    <row r="177" spans="1:6" x14ac:dyDescent="0.25">
      <c r="A177" s="43">
        <v>111</v>
      </c>
      <c r="B177" t="s">
        <v>458</v>
      </c>
      <c r="C177" s="43" t="s">
        <v>459</v>
      </c>
      <c r="D177" s="43">
        <v>10225000</v>
      </c>
      <c r="E177" t="s">
        <v>1041</v>
      </c>
      <c r="F177" s="47" t="str">
        <f>+Empresa_Centro[[#This Row],[Codigo Centro Gestion]]&amp;" - "&amp;Empresa_Centro[[#This Row],[Nombre Centro Gestion]]</f>
        <v>10225000 - Parque Ingles</v>
      </c>
    </row>
    <row r="178" spans="1:6" x14ac:dyDescent="0.25">
      <c r="A178" s="43">
        <v>111</v>
      </c>
      <c r="B178" t="s">
        <v>458</v>
      </c>
      <c r="C178" s="43" t="s">
        <v>459</v>
      </c>
      <c r="D178" s="43">
        <v>10227000</v>
      </c>
      <c r="E178" t="s">
        <v>1059</v>
      </c>
      <c r="F178" s="47" t="str">
        <f>+Empresa_Centro[[#This Row],[Codigo Centro Gestion]]&amp;" - "&amp;Empresa_Centro[[#This Row],[Nombre Centro Gestion]]</f>
        <v>10227000 - Edificio Alto Foresta 2</v>
      </c>
    </row>
    <row r="179" spans="1:6" x14ac:dyDescent="0.25">
      <c r="A179" s="43">
        <v>111</v>
      </c>
      <c r="B179" t="s">
        <v>458</v>
      </c>
      <c r="C179" s="43" t="s">
        <v>459</v>
      </c>
      <c r="D179" s="43">
        <v>10235000</v>
      </c>
      <c r="E179" t="s">
        <v>1126</v>
      </c>
      <c r="F179" s="47" t="str">
        <f>+Empresa_Centro[[#This Row],[Codigo Centro Gestion]]&amp;" - "&amp;Empresa_Centro[[#This Row],[Nombre Centro Gestion]]</f>
        <v>10235000 - Vista del Valle III</v>
      </c>
    </row>
    <row r="180" spans="1:6" x14ac:dyDescent="0.25">
      <c r="A180" s="43">
        <v>50</v>
      </c>
      <c r="B180" t="s">
        <v>39</v>
      </c>
      <c r="C180" s="43" t="s">
        <v>411</v>
      </c>
      <c r="D180" s="43">
        <v>70309</v>
      </c>
      <c r="E180" t="s">
        <v>252</v>
      </c>
      <c r="F180" s="47" t="str">
        <f>+Empresa_Centro[[#This Row],[Codigo Centro Gestion]]&amp;" - "&amp;Empresa_Centro[[#This Row],[Nombre Centro Gestion]]</f>
        <v>70309 - OFICINA CENTRAL</v>
      </c>
    </row>
    <row r="181" spans="1:6" x14ac:dyDescent="0.25">
      <c r="A181" s="43">
        <v>14</v>
      </c>
      <c r="B181" t="s">
        <v>387</v>
      </c>
      <c r="C181" s="43" t="s">
        <v>388</v>
      </c>
      <c r="D181" s="43">
        <v>10315</v>
      </c>
      <c r="E181" t="s">
        <v>191</v>
      </c>
      <c r="F181" s="47" t="str">
        <f>+Empresa_Centro[[#This Row],[Codigo Centro Gestion]]&amp;" - "&amp;Empresa_Centro[[#This Row],[Nombre Centro Gestion]]</f>
        <v>10315 - Centro General zonal</v>
      </c>
    </row>
    <row r="182" spans="1:6" x14ac:dyDescent="0.25">
      <c r="A182" s="43">
        <v>14</v>
      </c>
      <c r="B182" t="s">
        <v>387</v>
      </c>
      <c r="C182" s="43" t="s">
        <v>388</v>
      </c>
      <c r="D182" s="43">
        <v>10905</v>
      </c>
      <c r="E182" t="s">
        <v>208</v>
      </c>
      <c r="F182" s="47" t="str">
        <f>+Empresa_Centro[[#This Row],[Codigo Centro Gestion]]&amp;" - "&amp;Empresa_Centro[[#This Row],[Nombre Centro Gestion]]</f>
        <v>10905 - Bienestar Obra</v>
      </c>
    </row>
    <row r="183" spans="1:6" x14ac:dyDescent="0.25">
      <c r="A183" s="43">
        <v>14</v>
      </c>
      <c r="B183" t="s">
        <v>387</v>
      </c>
      <c r="C183" s="43" t="s">
        <v>388</v>
      </c>
      <c r="D183" s="43">
        <v>70309</v>
      </c>
      <c r="E183" t="s">
        <v>252</v>
      </c>
      <c r="F183" s="47" t="str">
        <f>+Empresa_Centro[[#This Row],[Codigo Centro Gestion]]&amp;" - "&amp;Empresa_Centro[[#This Row],[Nombre Centro Gestion]]</f>
        <v>70309 - OFICINA CENTRAL</v>
      </c>
    </row>
    <row r="184" spans="1:6" x14ac:dyDescent="0.25">
      <c r="A184" s="43">
        <v>14</v>
      </c>
      <c r="B184" t="s">
        <v>387</v>
      </c>
      <c r="C184" s="43" t="s">
        <v>388</v>
      </c>
      <c r="D184" s="43">
        <v>70312</v>
      </c>
      <c r="E184" t="s">
        <v>258</v>
      </c>
      <c r="F184" s="47" t="str">
        <f>+Empresa_Centro[[#This Row],[Codigo Centro Gestion]]&amp;" - "&amp;Empresa_Centro[[#This Row],[Nombre Centro Gestion]]</f>
        <v>70312 - CONTABILIDAD GENERAL</v>
      </c>
    </row>
    <row r="185" spans="1:6" x14ac:dyDescent="0.25">
      <c r="A185" s="43">
        <v>14</v>
      </c>
      <c r="B185" t="s">
        <v>387</v>
      </c>
      <c r="C185" s="43" t="s">
        <v>388</v>
      </c>
      <c r="D185" s="43">
        <v>70318</v>
      </c>
      <c r="E185" t="s">
        <v>262</v>
      </c>
      <c r="F185" s="47" t="str">
        <f>+Empresa_Centro[[#This Row],[Codigo Centro Gestion]]&amp;" - "&amp;Empresa_Centro[[#This Row],[Nombre Centro Gestion]]</f>
        <v>70318 - OFICINA CENTRAL CAPITAL HUMANO</v>
      </c>
    </row>
    <row r="186" spans="1:6" x14ac:dyDescent="0.25">
      <c r="A186" s="43">
        <v>14</v>
      </c>
      <c r="B186" t="s">
        <v>387</v>
      </c>
      <c r="C186" s="43" t="s">
        <v>388</v>
      </c>
      <c r="D186" s="43">
        <v>70917</v>
      </c>
      <c r="E186" t="s">
        <v>284</v>
      </c>
      <c r="F186" s="47" t="str">
        <f>+Empresa_Centro[[#This Row],[Codigo Centro Gestion]]&amp;" - "&amp;Empresa_Centro[[#This Row],[Nombre Centro Gestion]]</f>
        <v>70917 - OTROS OFICINA CENTRAL</v>
      </c>
    </row>
    <row r="187" spans="1:6" x14ac:dyDescent="0.25">
      <c r="A187" s="43">
        <v>14</v>
      </c>
      <c r="B187" t="s">
        <v>387</v>
      </c>
      <c r="C187" s="43" t="s">
        <v>388</v>
      </c>
      <c r="D187" s="43">
        <v>10062104</v>
      </c>
      <c r="E187" t="s">
        <v>783</v>
      </c>
      <c r="F187" s="47" t="str">
        <f>+Empresa_Centro[[#This Row],[Codigo Centro Gestion]]&amp;" - "&amp;Empresa_Centro[[#This Row],[Nombre Centro Gestion]]</f>
        <v>10062104 - Cumbres del Mar-Ventas</v>
      </c>
    </row>
    <row r="188" spans="1:6" x14ac:dyDescent="0.25">
      <c r="A188" s="43">
        <v>14</v>
      </c>
      <c r="B188" t="s">
        <v>387</v>
      </c>
      <c r="C188" s="43" t="s">
        <v>388</v>
      </c>
      <c r="D188" s="43">
        <v>10106104</v>
      </c>
      <c r="E188" t="s">
        <v>792</v>
      </c>
      <c r="F188" s="47" t="str">
        <f>+Empresa_Centro[[#This Row],[Codigo Centro Gestion]]&amp;" - "&amp;Empresa_Centro[[#This Row],[Nombre Centro Gestion]]</f>
        <v>10106104 - Palmas del Sur 1-Ventas</v>
      </c>
    </row>
    <row r="189" spans="1:6" x14ac:dyDescent="0.25">
      <c r="A189" s="43">
        <v>14</v>
      </c>
      <c r="B189" t="s">
        <v>387</v>
      </c>
      <c r="C189" s="43" t="s">
        <v>388</v>
      </c>
      <c r="D189" s="43">
        <v>10133104</v>
      </c>
      <c r="E189" t="s">
        <v>801</v>
      </c>
      <c r="F189" s="47" t="str">
        <f>+Empresa_Centro[[#This Row],[Codigo Centro Gestion]]&amp;" - "&amp;Empresa_Centro[[#This Row],[Nombre Centro Gestion]]</f>
        <v>10133104 - Vista del Valle II Edificio A-Ventas</v>
      </c>
    </row>
    <row r="190" spans="1:6" x14ac:dyDescent="0.25">
      <c r="A190" s="43">
        <v>14</v>
      </c>
      <c r="B190" t="s">
        <v>387</v>
      </c>
      <c r="C190" s="43" t="s">
        <v>388</v>
      </c>
      <c r="D190" s="43">
        <v>10167104</v>
      </c>
      <c r="E190" t="s">
        <v>809</v>
      </c>
      <c r="F190" s="47" t="str">
        <f>+Empresa_Centro[[#This Row],[Codigo Centro Gestion]]&amp;" - "&amp;Empresa_Centro[[#This Row],[Nombre Centro Gestion]]</f>
        <v>10167104 - Condominio Palmas del Sur II-Ventas</v>
      </c>
    </row>
    <row r="191" spans="1:6" x14ac:dyDescent="0.25">
      <c r="A191" s="43">
        <v>14</v>
      </c>
      <c r="B191" t="s">
        <v>387</v>
      </c>
      <c r="C191" s="43" t="s">
        <v>388</v>
      </c>
      <c r="D191" s="43">
        <v>10178104</v>
      </c>
      <c r="E191" t="s">
        <v>818</v>
      </c>
      <c r="F191" s="47" t="str">
        <f>+Empresa_Centro[[#This Row],[Codigo Centro Gestion]]&amp;" - "&amp;Empresa_Centro[[#This Row],[Nombre Centro Gestion]]</f>
        <v>10178104 - Alto Cavancha-Ventas</v>
      </c>
    </row>
    <row r="192" spans="1:6" x14ac:dyDescent="0.25">
      <c r="A192" s="43">
        <v>14</v>
      </c>
      <c r="B192" t="s">
        <v>387</v>
      </c>
      <c r="C192" s="43" t="s">
        <v>388</v>
      </c>
      <c r="D192" s="43">
        <v>10187104</v>
      </c>
      <c r="E192" t="s">
        <v>827</v>
      </c>
      <c r="F192" s="47" t="str">
        <f>+Empresa_Centro[[#This Row],[Codigo Centro Gestion]]&amp;" - "&amp;Empresa_Centro[[#This Row],[Nombre Centro Gestion]]</f>
        <v>10187104 - Edificio Parque Quinta-Ventas</v>
      </c>
    </row>
    <row r="193" spans="1:6" x14ac:dyDescent="0.25">
      <c r="A193" s="43">
        <v>14</v>
      </c>
      <c r="B193" t="s">
        <v>387</v>
      </c>
      <c r="C193" s="43" t="s">
        <v>388</v>
      </c>
      <c r="D193" s="43">
        <v>10188104</v>
      </c>
      <c r="E193" t="s">
        <v>836</v>
      </c>
      <c r="F193" s="47" t="str">
        <f>+Empresa_Centro[[#This Row],[Codigo Centro Gestion]]&amp;" - "&amp;Empresa_Centro[[#This Row],[Nombre Centro Gestion]]</f>
        <v>10188104 - Vista Macul-Ventas</v>
      </c>
    </row>
    <row r="194" spans="1:6" x14ac:dyDescent="0.25">
      <c r="A194" s="43">
        <v>14</v>
      </c>
      <c r="B194" t="s">
        <v>387</v>
      </c>
      <c r="C194" s="43" t="s">
        <v>388</v>
      </c>
      <c r="D194" s="43">
        <v>10189104</v>
      </c>
      <c r="E194" t="s">
        <v>845</v>
      </c>
      <c r="F194" s="47" t="str">
        <f>+Empresa_Centro[[#This Row],[Codigo Centro Gestion]]&amp;" - "&amp;Empresa_Centro[[#This Row],[Nombre Centro Gestion]]</f>
        <v>10189104 - Vista Azul-Ventas</v>
      </c>
    </row>
    <row r="195" spans="1:6" x14ac:dyDescent="0.25">
      <c r="A195" s="43">
        <v>14</v>
      </c>
      <c r="B195" t="s">
        <v>387</v>
      </c>
      <c r="C195" s="43" t="s">
        <v>388</v>
      </c>
      <c r="D195" s="43">
        <v>10195104</v>
      </c>
      <c r="E195" t="s">
        <v>854</v>
      </c>
      <c r="F195" s="47" t="str">
        <f>+Empresa_Centro[[#This Row],[Codigo Centro Gestion]]&amp;" - "&amp;Empresa_Centro[[#This Row],[Nombre Centro Gestion]]</f>
        <v>10195104 - Vista Macul 2-Ventas</v>
      </c>
    </row>
    <row r="196" spans="1:6" x14ac:dyDescent="0.25">
      <c r="A196" s="43">
        <v>14</v>
      </c>
      <c r="B196" t="s">
        <v>387</v>
      </c>
      <c r="C196" s="43" t="s">
        <v>388</v>
      </c>
      <c r="D196" s="43">
        <v>10199104</v>
      </c>
      <c r="E196" t="s">
        <v>863</v>
      </c>
      <c r="F196" s="47" t="str">
        <f>+Empresa_Centro[[#This Row],[Codigo Centro Gestion]]&amp;" - "&amp;Empresa_Centro[[#This Row],[Nombre Centro Gestion]]</f>
        <v>10199104 - Vista Independencia-Ventas</v>
      </c>
    </row>
    <row r="197" spans="1:6" x14ac:dyDescent="0.25">
      <c r="A197" s="43">
        <v>14</v>
      </c>
      <c r="B197" t="s">
        <v>387</v>
      </c>
      <c r="C197" s="43" t="s">
        <v>388</v>
      </c>
      <c r="D197" s="43">
        <v>10200104</v>
      </c>
      <c r="E197" t="s">
        <v>872</v>
      </c>
      <c r="F197" s="47" t="str">
        <f>+Empresa_Centro[[#This Row],[Codigo Centro Gestion]]&amp;" - "&amp;Empresa_Centro[[#This Row],[Nombre Centro Gestion]]</f>
        <v>10200104 - Edificio Terrazas del Sol-Ventas</v>
      </c>
    </row>
    <row r="198" spans="1:6" x14ac:dyDescent="0.25">
      <c r="A198" s="43">
        <v>14</v>
      </c>
      <c r="B198" t="s">
        <v>387</v>
      </c>
      <c r="C198" s="43" t="s">
        <v>388</v>
      </c>
      <c r="D198" s="43">
        <v>10201104</v>
      </c>
      <c r="E198" t="s">
        <v>881</v>
      </c>
      <c r="F198" s="47" t="str">
        <f>+Empresa_Centro[[#This Row],[Codigo Centro Gestion]]&amp;" - "&amp;Empresa_Centro[[#This Row],[Nombre Centro Gestion]]</f>
        <v>10201104 - Nuevo Ecuador-Ventas</v>
      </c>
    </row>
    <row r="199" spans="1:6" x14ac:dyDescent="0.25">
      <c r="A199" s="43">
        <v>14</v>
      </c>
      <c r="B199" t="s">
        <v>387</v>
      </c>
      <c r="C199" s="43" t="s">
        <v>388</v>
      </c>
      <c r="D199" s="43">
        <v>10202104</v>
      </c>
      <c r="E199" t="s">
        <v>892</v>
      </c>
      <c r="F199" s="47" t="str">
        <f>+Empresa_Centro[[#This Row],[Codigo Centro Gestion]]&amp;" - "&amp;Empresa_Centro[[#This Row],[Nombre Centro Gestion]]</f>
        <v>10202104 - Parque Central-Ventas</v>
      </c>
    </row>
    <row r="200" spans="1:6" x14ac:dyDescent="0.25">
      <c r="A200" s="43">
        <v>14</v>
      </c>
      <c r="B200" t="s">
        <v>387</v>
      </c>
      <c r="C200" s="43" t="s">
        <v>388</v>
      </c>
      <c r="D200" s="43">
        <v>10203104</v>
      </c>
      <c r="E200" t="s">
        <v>901</v>
      </c>
      <c r="F200" s="47" t="str">
        <f>+Empresa_Centro[[#This Row],[Codigo Centro Gestion]]&amp;" - "&amp;Empresa_Centro[[#This Row],[Nombre Centro Gestion]]</f>
        <v>10203104 - Alto Foresta-Ventas</v>
      </c>
    </row>
    <row r="201" spans="1:6" x14ac:dyDescent="0.25">
      <c r="A201" s="43">
        <v>14</v>
      </c>
      <c r="B201" t="s">
        <v>387</v>
      </c>
      <c r="C201" s="43" t="s">
        <v>388</v>
      </c>
      <c r="D201" s="43">
        <v>10205104</v>
      </c>
      <c r="E201" t="s">
        <v>910</v>
      </c>
      <c r="F201" s="47" t="str">
        <f>+Empresa_Centro[[#This Row],[Codigo Centro Gestion]]&amp;" - "&amp;Empresa_Centro[[#This Row],[Nombre Centro Gestion]]</f>
        <v>10205104 - Edificio Santa Elena 1282-Ventas</v>
      </c>
    </row>
    <row r="202" spans="1:6" x14ac:dyDescent="0.25">
      <c r="A202" s="43">
        <v>14</v>
      </c>
      <c r="B202" t="s">
        <v>387</v>
      </c>
      <c r="C202" s="43" t="s">
        <v>388</v>
      </c>
      <c r="D202" s="43">
        <v>10206104</v>
      </c>
      <c r="E202" t="s">
        <v>919</v>
      </c>
      <c r="F202" s="47" t="str">
        <f>+Empresa_Centro[[#This Row],[Codigo Centro Gestion]]&amp;" - "&amp;Empresa_Centro[[#This Row],[Nombre Centro Gestion]]</f>
        <v>10206104 - Novena Avenida 2-Ventas</v>
      </c>
    </row>
    <row r="203" spans="1:6" x14ac:dyDescent="0.25">
      <c r="A203" s="43">
        <v>14</v>
      </c>
      <c r="B203" t="s">
        <v>387</v>
      </c>
      <c r="C203" s="43" t="s">
        <v>388</v>
      </c>
      <c r="D203" s="43">
        <v>10207104</v>
      </c>
      <c r="E203" t="s">
        <v>928</v>
      </c>
      <c r="F203" s="47" t="str">
        <f>+Empresa_Centro[[#This Row],[Codigo Centro Gestion]]&amp;" - "&amp;Empresa_Centro[[#This Row],[Nombre Centro Gestion]]</f>
        <v>10207104 - Edificio Fuenzalida Urrejola 125-Ventas</v>
      </c>
    </row>
    <row r="204" spans="1:6" x14ac:dyDescent="0.25">
      <c r="A204" s="43">
        <v>14</v>
      </c>
      <c r="B204" t="s">
        <v>387</v>
      </c>
      <c r="C204" s="43" t="s">
        <v>388</v>
      </c>
      <c r="D204" s="43">
        <v>10209104</v>
      </c>
      <c r="E204" t="s">
        <v>937</v>
      </c>
      <c r="F204" s="47" t="str">
        <f>+Empresa_Centro[[#This Row],[Codigo Centro Gestion]]&amp;" - "&amp;Empresa_Centro[[#This Row],[Nombre Centro Gestion]]</f>
        <v>10209104 - Edificio Edificio Bulnes Labbe-Ventas</v>
      </c>
    </row>
    <row r="205" spans="1:6" x14ac:dyDescent="0.25">
      <c r="A205" s="43">
        <v>14</v>
      </c>
      <c r="B205" t="s">
        <v>387</v>
      </c>
      <c r="C205" s="43" t="s">
        <v>388</v>
      </c>
      <c r="D205" s="43">
        <v>10210104</v>
      </c>
      <c r="E205" t="s">
        <v>946</v>
      </c>
      <c r="F205" s="47" t="str">
        <f>+Empresa_Centro[[#This Row],[Codigo Centro Gestion]]&amp;" - "&amp;Empresa_Centro[[#This Row],[Nombre Centro Gestion]]</f>
        <v>10210104 - Edificio Fernandez Albano 192-Ventas</v>
      </c>
    </row>
    <row r="206" spans="1:6" x14ac:dyDescent="0.25">
      <c r="A206" s="43">
        <v>14</v>
      </c>
      <c r="B206" t="s">
        <v>387</v>
      </c>
      <c r="C206" s="43" t="s">
        <v>388</v>
      </c>
      <c r="D206" s="43">
        <v>10211104</v>
      </c>
      <c r="E206" t="s">
        <v>955</v>
      </c>
      <c r="F206" s="47" t="str">
        <f>+Empresa_Centro[[#This Row],[Codigo Centro Gestion]]&amp;" - "&amp;Empresa_Centro[[#This Row],[Nombre Centro Gestion]]</f>
        <v>10211104 - Vista del Valle II Edificio B-Ventas</v>
      </c>
    </row>
    <row r="207" spans="1:6" x14ac:dyDescent="0.25">
      <c r="A207" s="43">
        <v>14</v>
      </c>
      <c r="B207" t="s">
        <v>387</v>
      </c>
      <c r="C207" s="43" t="s">
        <v>388</v>
      </c>
      <c r="D207" s="43">
        <v>10212104</v>
      </c>
      <c r="E207" t="s">
        <v>964</v>
      </c>
      <c r="F207" s="47" t="str">
        <f>+Empresa_Centro[[#This Row],[Codigo Centro Gestion]]&amp;" - "&amp;Empresa_Centro[[#This Row],[Nombre Centro Gestion]]</f>
        <v>10212104 - Edificio Constantino 54-Ventas</v>
      </c>
    </row>
    <row r="208" spans="1:6" x14ac:dyDescent="0.25">
      <c r="A208" s="43">
        <v>14</v>
      </c>
      <c r="B208" t="s">
        <v>387</v>
      </c>
      <c r="C208" s="43" t="s">
        <v>388</v>
      </c>
      <c r="D208" s="43">
        <v>10213104</v>
      </c>
      <c r="E208" t="s">
        <v>973</v>
      </c>
      <c r="F208" s="47" t="str">
        <f>+Empresa_Centro[[#This Row],[Codigo Centro Gestion]]&amp;" - "&amp;Empresa_Centro[[#This Row],[Nombre Centro Gestion]]</f>
        <v>10213104 - Edificio Maipu-Ventas</v>
      </c>
    </row>
    <row r="209" spans="1:6" x14ac:dyDescent="0.25">
      <c r="A209" s="43">
        <v>14</v>
      </c>
      <c r="B209" t="s">
        <v>387</v>
      </c>
      <c r="C209" s="43" t="s">
        <v>388</v>
      </c>
      <c r="D209" s="43">
        <v>10214104</v>
      </c>
      <c r="E209" t="s">
        <v>982</v>
      </c>
      <c r="F209" s="47" t="str">
        <f>+Empresa_Centro[[#This Row],[Codigo Centro Gestion]]&amp;" - "&amp;Empresa_Centro[[#This Row],[Nombre Centro Gestion]]</f>
        <v>10214104 - Edificio Recreo 250-Ventas</v>
      </c>
    </row>
    <row r="210" spans="1:6" x14ac:dyDescent="0.25">
      <c r="A210" s="43">
        <v>14</v>
      </c>
      <c r="B210" t="s">
        <v>387</v>
      </c>
      <c r="C210" s="43" t="s">
        <v>388</v>
      </c>
      <c r="D210" s="43">
        <v>10215104</v>
      </c>
      <c r="E210" t="s">
        <v>991</v>
      </c>
      <c r="F210" s="47" t="str">
        <f>+Empresa_Centro[[#This Row],[Codigo Centro Gestion]]&amp;" - "&amp;Empresa_Centro[[#This Row],[Nombre Centro Gestion]]</f>
        <v>10215104 - Alto Marañon Torre A-Ventas</v>
      </c>
    </row>
    <row r="211" spans="1:6" x14ac:dyDescent="0.25">
      <c r="A211" s="43">
        <v>14</v>
      </c>
      <c r="B211" t="s">
        <v>387</v>
      </c>
      <c r="C211" s="43" t="s">
        <v>388</v>
      </c>
      <c r="D211" s="43">
        <v>10216104</v>
      </c>
      <c r="E211" t="s">
        <v>1000</v>
      </c>
      <c r="F211" s="47" t="str">
        <f>+Empresa_Centro[[#This Row],[Codigo Centro Gestion]]&amp;" - "&amp;Empresa_Centro[[#This Row],[Nombre Centro Gestion]]</f>
        <v>10216104 - Edificio Parque Urbano-Ventas</v>
      </c>
    </row>
    <row r="212" spans="1:6" x14ac:dyDescent="0.25">
      <c r="A212" s="43">
        <v>14</v>
      </c>
      <c r="B212" t="s">
        <v>387</v>
      </c>
      <c r="C212" s="43" t="s">
        <v>388</v>
      </c>
      <c r="D212" s="43">
        <v>10217104</v>
      </c>
      <c r="E212" t="s">
        <v>1009</v>
      </c>
      <c r="F212" s="47" t="str">
        <f>+Empresa_Centro[[#This Row],[Codigo Centro Gestion]]&amp;" - "&amp;Empresa_Centro[[#This Row],[Nombre Centro Gestion]]</f>
        <v>10217104 - Edificio Duble Almeyda 2621-Ventas</v>
      </c>
    </row>
    <row r="213" spans="1:6" x14ac:dyDescent="0.25">
      <c r="A213" s="43">
        <v>14</v>
      </c>
      <c r="B213" t="s">
        <v>387</v>
      </c>
      <c r="C213" s="43" t="s">
        <v>388</v>
      </c>
      <c r="D213" s="43">
        <v>10218104</v>
      </c>
      <c r="E213" t="s">
        <v>1018</v>
      </c>
      <c r="F213" s="47" t="str">
        <f>+Empresa_Centro[[#This Row],[Codigo Centro Gestion]]&amp;" - "&amp;Empresa_Centro[[#This Row],[Nombre Centro Gestion]]</f>
        <v>10218104 - Edificio Jose Domingo Cañas 2640-Ventas</v>
      </c>
    </row>
    <row r="214" spans="1:6" x14ac:dyDescent="0.25">
      <c r="A214" s="43">
        <v>14</v>
      </c>
      <c r="B214" t="s">
        <v>387</v>
      </c>
      <c r="C214" s="43" t="s">
        <v>388</v>
      </c>
      <c r="D214" s="43">
        <v>10220104</v>
      </c>
      <c r="E214" t="s">
        <v>1035</v>
      </c>
      <c r="F214" s="47" t="str">
        <f>+Empresa_Centro[[#This Row],[Codigo Centro Gestion]]&amp;" - "&amp;Empresa_Centro[[#This Row],[Nombre Centro Gestion]]</f>
        <v>10220104 - Edificio Uno Norte-Ventas</v>
      </c>
    </row>
    <row r="215" spans="1:6" x14ac:dyDescent="0.25">
      <c r="A215" s="43">
        <v>14</v>
      </c>
      <c r="B215" t="s">
        <v>387</v>
      </c>
      <c r="C215" s="43" t="s">
        <v>388</v>
      </c>
      <c r="D215" s="43">
        <v>10225104</v>
      </c>
      <c r="E215" t="s">
        <v>1044</v>
      </c>
      <c r="F215" s="47" t="str">
        <f>+Empresa_Centro[[#This Row],[Codigo Centro Gestion]]&amp;" - "&amp;Empresa_Centro[[#This Row],[Nombre Centro Gestion]]</f>
        <v>10225104 - Parque Ingles-Ventas</v>
      </c>
    </row>
    <row r="216" spans="1:6" x14ac:dyDescent="0.25">
      <c r="A216" s="43">
        <v>14</v>
      </c>
      <c r="B216" t="s">
        <v>387</v>
      </c>
      <c r="C216" s="43" t="s">
        <v>388</v>
      </c>
      <c r="D216" s="43">
        <v>10226104</v>
      </c>
      <c r="E216" t="s">
        <v>1053</v>
      </c>
      <c r="F216" s="47" t="str">
        <f>+Empresa_Centro[[#This Row],[Codigo Centro Gestion]]&amp;" - "&amp;Empresa_Centro[[#This Row],[Nombre Centro Gestion]]</f>
        <v>10226104 - Conde del Maule 4676-Ventas</v>
      </c>
    </row>
    <row r="217" spans="1:6" x14ac:dyDescent="0.25">
      <c r="A217" s="43">
        <v>14</v>
      </c>
      <c r="B217" t="s">
        <v>387</v>
      </c>
      <c r="C217" s="43" t="s">
        <v>388</v>
      </c>
      <c r="D217" s="43">
        <v>10227104</v>
      </c>
      <c r="E217" t="s">
        <v>1062</v>
      </c>
      <c r="F217" s="47" t="str">
        <f>+Empresa_Centro[[#This Row],[Codigo Centro Gestion]]&amp;" - "&amp;Empresa_Centro[[#This Row],[Nombre Centro Gestion]]</f>
        <v>10227104 - Edificio Alto Foresta 2-Ventas</v>
      </c>
    </row>
    <row r="218" spans="1:6" x14ac:dyDescent="0.25">
      <c r="A218" s="43">
        <v>14</v>
      </c>
      <c r="B218" t="s">
        <v>387</v>
      </c>
      <c r="C218" s="43" t="s">
        <v>388</v>
      </c>
      <c r="D218" s="43">
        <v>10228104</v>
      </c>
      <c r="E218" t="s">
        <v>1070</v>
      </c>
      <c r="F218" s="47" t="str">
        <f>+Empresa_Centro[[#This Row],[Codigo Centro Gestion]]&amp;" - "&amp;Empresa_Centro[[#This Row],[Nombre Centro Gestion]]</f>
        <v>10228104 - Edificio Briones Luco-Ventas</v>
      </c>
    </row>
    <row r="219" spans="1:6" x14ac:dyDescent="0.25">
      <c r="A219" s="43">
        <v>14</v>
      </c>
      <c r="B219" t="s">
        <v>387</v>
      </c>
      <c r="C219" s="43" t="s">
        <v>388</v>
      </c>
      <c r="D219" s="43">
        <v>10229104</v>
      </c>
      <c r="E219" t="s">
        <v>1079</v>
      </c>
      <c r="F219" s="47" t="str">
        <f>+Empresa_Centro[[#This Row],[Codigo Centro Gestion]]&amp;" - "&amp;Empresa_Centro[[#This Row],[Nombre Centro Gestion]]</f>
        <v>10229104 - Vista Las Palmas-Ventas</v>
      </c>
    </row>
    <row r="220" spans="1:6" x14ac:dyDescent="0.25">
      <c r="A220" s="43">
        <v>14</v>
      </c>
      <c r="B220" t="s">
        <v>387</v>
      </c>
      <c r="C220" s="43" t="s">
        <v>388</v>
      </c>
      <c r="D220" s="43">
        <v>10230104</v>
      </c>
      <c r="E220" t="s">
        <v>1088</v>
      </c>
      <c r="F220" s="47" t="str">
        <f>+Empresa_Centro[[#This Row],[Codigo Centro Gestion]]&amp;" - "&amp;Empresa_Centro[[#This Row],[Nombre Centro Gestion]]</f>
        <v>10230104 - Condominio Manuel Jesus Rivera-Ventas</v>
      </c>
    </row>
    <row r="221" spans="1:6" x14ac:dyDescent="0.25">
      <c r="A221" s="43">
        <v>14</v>
      </c>
      <c r="B221" t="s">
        <v>387</v>
      </c>
      <c r="C221" s="43" t="s">
        <v>388</v>
      </c>
      <c r="D221" s="43">
        <v>10231104</v>
      </c>
      <c r="E221" t="s">
        <v>1096</v>
      </c>
      <c r="F221" s="47" t="str">
        <f>+Empresa_Centro[[#This Row],[Codigo Centro Gestion]]&amp;" - "&amp;Empresa_Centro[[#This Row],[Nombre Centro Gestion]]</f>
        <v>10231104 - Edificio Guillermo Mann-Ventas</v>
      </c>
    </row>
    <row r="222" spans="1:6" x14ac:dyDescent="0.25">
      <c r="A222" s="43">
        <v>14</v>
      </c>
      <c r="B222" t="s">
        <v>387</v>
      </c>
      <c r="C222" s="43" t="s">
        <v>388</v>
      </c>
      <c r="D222" s="43">
        <v>10232104</v>
      </c>
      <c r="E222" t="s">
        <v>1104</v>
      </c>
      <c r="F222" s="47" t="str">
        <f>+Empresa_Centro[[#This Row],[Codigo Centro Gestion]]&amp;" - "&amp;Empresa_Centro[[#This Row],[Nombre Centro Gestion]]</f>
        <v>10232104 - Edificio Coronel Souper-Ventas</v>
      </c>
    </row>
    <row r="223" spans="1:6" x14ac:dyDescent="0.25">
      <c r="A223" s="43">
        <v>14</v>
      </c>
      <c r="B223" t="s">
        <v>387</v>
      </c>
      <c r="C223" s="43" t="s">
        <v>388</v>
      </c>
      <c r="D223" s="43">
        <v>10233104</v>
      </c>
      <c r="E223" t="s">
        <v>1112</v>
      </c>
      <c r="F223" s="47" t="str">
        <f>+Empresa_Centro[[#This Row],[Codigo Centro Gestion]]&amp;" - "&amp;Empresa_Centro[[#This Row],[Nombre Centro Gestion]]</f>
        <v>10233104 - Condominio Jorge Cáceres Etapa 1-Ventas</v>
      </c>
    </row>
    <row r="224" spans="1:6" x14ac:dyDescent="0.25">
      <c r="A224" s="43">
        <v>14</v>
      </c>
      <c r="B224" t="s">
        <v>387</v>
      </c>
      <c r="C224" s="43" t="s">
        <v>388</v>
      </c>
      <c r="D224" s="43">
        <v>10234104</v>
      </c>
      <c r="E224" t="s">
        <v>1120</v>
      </c>
      <c r="F224" s="47" t="str">
        <f>+Empresa_Centro[[#This Row],[Codigo Centro Gestion]]&amp;" - "&amp;Empresa_Centro[[#This Row],[Nombre Centro Gestion]]</f>
        <v>10234104 - Edificio La Coruña-Ventas</v>
      </c>
    </row>
    <row r="225" spans="1:6" x14ac:dyDescent="0.25">
      <c r="A225" s="43">
        <v>14</v>
      </c>
      <c r="B225" t="s">
        <v>387</v>
      </c>
      <c r="C225" s="43" t="s">
        <v>388</v>
      </c>
      <c r="D225" s="43">
        <v>10235104</v>
      </c>
      <c r="E225" t="s">
        <v>1129</v>
      </c>
      <c r="F225" s="47" t="str">
        <f>+Empresa_Centro[[#This Row],[Codigo Centro Gestion]]&amp;" - "&amp;Empresa_Centro[[#This Row],[Nombre Centro Gestion]]</f>
        <v>10235104 - Vista del Valle III-Ventas</v>
      </c>
    </row>
    <row r="226" spans="1:6" x14ac:dyDescent="0.25">
      <c r="A226" s="43">
        <v>14</v>
      </c>
      <c r="B226" t="s">
        <v>387</v>
      </c>
      <c r="C226" s="43" t="s">
        <v>388</v>
      </c>
      <c r="D226" s="43">
        <v>10236104</v>
      </c>
      <c r="E226" t="s">
        <v>1138</v>
      </c>
      <c r="F226" s="47" t="str">
        <f>+Empresa_Centro[[#This Row],[Codigo Centro Gestion]]&amp;" - "&amp;Empresa_Centro[[#This Row],[Nombre Centro Gestion]]</f>
        <v>10236104 - Edificio Pedro Prado-VENTAS</v>
      </c>
    </row>
    <row r="227" spans="1:6" x14ac:dyDescent="0.25">
      <c r="A227" s="43">
        <v>14</v>
      </c>
      <c r="B227" t="s">
        <v>387</v>
      </c>
      <c r="C227" s="43" t="s">
        <v>388</v>
      </c>
      <c r="D227" s="43">
        <v>10241104</v>
      </c>
      <c r="E227" t="s">
        <v>1163</v>
      </c>
      <c r="F227" s="47" t="str">
        <f>+Empresa_Centro[[#This Row],[Codigo Centro Gestion]]&amp;" - "&amp;Empresa_Centro[[#This Row],[Nombre Centro Gestion]]</f>
        <v>10241104 - Parque Marañon Torre B-VENTAS</v>
      </c>
    </row>
    <row r="228" spans="1:6" x14ac:dyDescent="0.25">
      <c r="A228" s="43">
        <v>14</v>
      </c>
      <c r="B228" t="s">
        <v>387</v>
      </c>
      <c r="C228" s="43" t="s">
        <v>388</v>
      </c>
      <c r="D228" s="43">
        <v>10242104</v>
      </c>
      <c r="E228" t="s">
        <v>1171</v>
      </c>
      <c r="F228" s="47" t="str">
        <f>+Empresa_Centro[[#This Row],[Codigo Centro Gestion]]&amp;" - "&amp;Empresa_Centro[[#This Row],[Nombre Centro Gestion]]</f>
        <v>10242104 - Edificio Leon Prado-Ventas</v>
      </c>
    </row>
    <row r="229" spans="1:6" x14ac:dyDescent="0.25">
      <c r="A229" s="43">
        <v>14</v>
      </c>
      <c r="B229" t="s">
        <v>387</v>
      </c>
      <c r="C229" s="43" t="s">
        <v>388</v>
      </c>
      <c r="D229" s="43">
        <v>10243104</v>
      </c>
      <c r="E229" t="s">
        <v>1179</v>
      </c>
      <c r="F229" s="47" t="str">
        <f>+Empresa_Centro[[#This Row],[Codigo Centro Gestion]]&amp;" - "&amp;Empresa_Centro[[#This Row],[Nombre Centro Gestion]]</f>
        <v>10243104 - Edificio Garcia Reyes-Ventas</v>
      </c>
    </row>
    <row r="230" spans="1:6" x14ac:dyDescent="0.25">
      <c r="A230" s="43">
        <v>14</v>
      </c>
      <c r="B230" t="s">
        <v>387</v>
      </c>
      <c r="C230" s="43" t="s">
        <v>388</v>
      </c>
      <c r="D230" s="43">
        <v>10248104</v>
      </c>
      <c r="E230" t="s">
        <v>1204</v>
      </c>
      <c r="F230" s="47" t="str">
        <f>+Empresa_Centro[[#This Row],[Codigo Centro Gestion]]&amp;" - "&amp;Empresa_Centro[[#This Row],[Nombre Centro Gestion]]</f>
        <v>10248104 - Alto Marañon Torre B-Ventas</v>
      </c>
    </row>
    <row r="231" spans="1:6" x14ac:dyDescent="0.25">
      <c r="A231" s="43">
        <v>14</v>
      </c>
      <c r="B231" t="s">
        <v>387</v>
      </c>
      <c r="C231" s="43" t="s">
        <v>388</v>
      </c>
      <c r="D231" s="43">
        <v>10251104</v>
      </c>
      <c r="E231" t="s">
        <v>1212</v>
      </c>
      <c r="F231" s="47" t="str">
        <f>+Empresa_Centro[[#This Row],[Codigo Centro Gestion]]&amp;" - "&amp;Empresa_Centro[[#This Row],[Nombre Centro Gestion]]</f>
        <v>10251104 - Edificio Vista Horizonte-Ventas</v>
      </c>
    </row>
    <row r="232" spans="1:6" x14ac:dyDescent="0.25">
      <c r="A232" s="43">
        <v>14</v>
      </c>
      <c r="B232" t="s">
        <v>387</v>
      </c>
      <c r="C232" s="43" t="s">
        <v>388</v>
      </c>
      <c r="D232" s="43">
        <v>10252104</v>
      </c>
      <c r="E232" t="s">
        <v>1220</v>
      </c>
      <c r="F232" s="47" t="str">
        <f>+Empresa_Centro[[#This Row],[Codigo Centro Gestion]]&amp;" - "&amp;Empresa_Centro[[#This Row],[Nombre Centro Gestion]]</f>
        <v>10252104 - Edificio Castillo Urizar-Ventas</v>
      </c>
    </row>
    <row r="233" spans="1:6" x14ac:dyDescent="0.25">
      <c r="A233" s="43">
        <v>14</v>
      </c>
      <c r="B233" t="s">
        <v>387</v>
      </c>
      <c r="C233" s="43" t="s">
        <v>388</v>
      </c>
      <c r="D233" s="43">
        <v>10253104</v>
      </c>
      <c r="E233" t="s">
        <v>1228</v>
      </c>
      <c r="F233" s="47" t="str">
        <f>+Empresa_Centro[[#This Row],[Codigo Centro Gestion]]&amp;" - "&amp;Empresa_Centro[[#This Row],[Nombre Centro Gestion]]</f>
        <v>10253104 - Edificio Lia Aguirre-Ventas</v>
      </c>
    </row>
    <row r="234" spans="1:6" x14ac:dyDescent="0.25">
      <c r="A234" s="43">
        <v>14</v>
      </c>
      <c r="B234" t="s">
        <v>387</v>
      </c>
      <c r="C234" s="43" t="s">
        <v>388</v>
      </c>
      <c r="D234" s="43">
        <v>10254104</v>
      </c>
      <c r="E234" t="s">
        <v>1237</v>
      </c>
      <c r="F234" s="47" t="str">
        <f>+Empresa_Centro[[#This Row],[Codigo Centro Gestion]]&amp;" - "&amp;Empresa_Centro[[#This Row],[Nombre Centro Gestion]]</f>
        <v>10254104 - Trinidad Ramirez-Ventas</v>
      </c>
    </row>
    <row r="235" spans="1:6" x14ac:dyDescent="0.25">
      <c r="A235" s="43">
        <v>14</v>
      </c>
      <c r="B235" t="s">
        <v>387</v>
      </c>
      <c r="C235" s="43" t="s">
        <v>388</v>
      </c>
      <c r="D235" s="43">
        <v>10255104</v>
      </c>
      <c r="E235" t="s">
        <v>1246</v>
      </c>
      <c r="F235" s="47" t="str">
        <f>+Empresa_Centro[[#This Row],[Codigo Centro Gestion]]&amp;" - "&amp;Empresa_Centro[[#This Row],[Nombre Centro Gestion]]</f>
        <v>10255104 - Condominio Lago Ranco-Ventas</v>
      </c>
    </row>
    <row r="236" spans="1:6" x14ac:dyDescent="0.25">
      <c r="A236" s="43">
        <v>14</v>
      </c>
      <c r="B236" t="s">
        <v>387</v>
      </c>
      <c r="C236" s="43" t="s">
        <v>388</v>
      </c>
      <c r="D236" s="43">
        <v>10256104</v>
      </c>
      <c r="E236" t="s">
        <v>1254</v>
      </c>
      <c r="F236" s="47" t="str">
        <f>+Empresa_Centro[[#This Row],[Codigo Centro Gestion]]&amp;" - "&amp;Empresa_Centro[[#This Row],[Nombre Centro Gestion]]</f>
        <v>10256104 - Edificio Lynch-Ventas</v>
      </c>
    </row>
    <row r="237" spans="1:6" x14ac:dyDescent="0.25">
      <c r="A237" s="43">
        <v>14</v>
      </c>
      <c r="B237" t="s">
        <v>387</v>
      </c>
      <c r="C237" s="43" t="s">
        <v>388</v>
      </c>
      <c r="D237" s="43">
        <v>10257104</v>
      </c>
      <c r="E237" t="s">
        <v>1263</v>
      </c>
      <c r="F237" s="47" t="str">
        <f>+Empresa_Centro[[#This Row],[Codigo Centro Gestion]]&amp;" - "&amp;Empresa_Centro[[#This Row],[Nombre Centro Gestion]]</f>
        <v>10257104 - Condominio Manuel Jesus Rivera 2-Ventas</v>
      </c>
    </row>
    <row r="238" spans="1:6" x14ac:dyDescent="0.25">
      <c r="A238" s="43">
        <v>14</v>
      </c>
      <c r="B238" t="s">
        <v>387</v>
      </c>
      <c r="C238" s="43" t="s">
        <v>388</v>
      </c>
      <c r="D238" s="43">
        <v>10262104</v>
      </c>
      <c r="E238" t="s">
        <v>1305</v>
      </c>
      <c r="F238" s="47" t="str">
        <f>+Empresa_Centro[[#This Row],[Codigo Centro Gestion]]&amp;" - "&amp;Empresa_Centro[[#This Row],[Nombre Centro Gestion]]</f>
        <v>10262104 - Alto Marañon 3-Ventas</v>
      </c>
    </row>
    <row r="239" spans="1:6" x14ac:dyDescent="0.25">
      <c r="A239" s="43">
        <v>14</v>
      </c>
      <c r="B239" t="s">
        <v>387</v>
      </c>
      <c r="C239" s="43" t="s">
        <v>388</v>
      </c>
      <c r="D239" s="43">
        <v>10264104</v>
      </c>
      <c r="E239" t="s">
        <v>1321</v>
      </c>
      <c r="F239" s="47" t="str">
        <f>+Empresa_Centro[[#This Row],[Codigo Centro Gestion]]&amp;" - "&amp;Empresa_Centro[[#This Row],[Nombre Centro Gestion]]</f>
        <v>10264104 - Edificio Libertad-Ventas</v>
      </c>
    </row>
    <row r="240" spans="1:6" x14ac:dyDescent="0.25">
      <c r="A240" s="43">
        <v>14</v>
      </c>
      <c r="B240" t="s">
        <v>387</v>
      </c>
      <c r="C240" s="43" t="s">
        <v>388</v>
      </c>
      <c r="D240" s="43">
        <v>10300104</v>
      </c>
      <c r="E240" t="s">
        <v>1364</v>
      </c>
      <c r="F240" s="47" t="str">
        <f>+Empresa_Centro[[#This Row],[Codigo Centro Gestion]]&amp;" - "&amp;Empresa_Centro[[#This Row],[Nombre Centro Gestion]]</f>
        <v>10300104 - Edificio Pedro de la Barra-Ventas</v>
      </c>
    </row>
    <row r="241" spans="1:6" x14ac:dyDescent="0.25">
      <c r="A241" s="43">
        <v>14</v>
      </c>
      <c r="B241" t="s">
        <v>387</v>
      </c>
      <c r="C241" s="43" t="s">
        <v>388</v>
      </c>
      <c r="D241" s="43">
        <v>10301104</v>
      </c>
      <c r="E241" t="s">
        <v>1373</v>
      </c>
      <c r="F241" s="47" t="str">
        <f>+Empresa_Centro[[#This Row],[Codigo Centro Gestion]]&amp;" - "&amp;Empresa_Centro[[#This Row],[Nombre Centro Gestion]]</f>
        <v>10301104 - Condominio Jorge Cáceres Etapa 2-Ventas</v>
      </c>
    </row>
    <row r="242" spans="1:6" x14ac:dyDescent="0.25">
      <c r="A242" s="43">
        <v>14</v>
      </c>
      <c r="B242" t="s">
        <v>387</v>
      </c>
      <c r="C242" s="43" t="s">
        <v>388</v>
      </c>
      <c r="D242" s="43">
        <v>10304104</v>
      </c>
      <c r="E242" t="s">
        <v>1381</v>
      </c>
      <c r="F242" s="47" t="str">
        <f>+Empresa_Centro[[#This Row],[Codigo Centro Gestion]]&amp;" - "&amp;Empresa_Centro[[#This Row],[Nombre Centro Gestion]]</f>
        <v>10304104 - Parque Marañon Torre A-Ventas</v>
      </c>
    </row>
    <row r="243" spans="1:6" x14ac:dyDescent="0.25">
      <c r="A243" s="43">
        <v>14</v>
      </c>
      <c r="B243" t="s">
        <v>387</v>
      </c>
      <c r="C243" s="43" t="s">
        <v>388</v>
      </c>
      <c r="D243" s="43">
        <v>10305104</v>
      </c>
      <c r="E243" t="s">
        <v>1389</v>
      </c>
      <c r="F243" s="47" t="str">
        <f>+Empresa_Centro[[#This Row],[Codigo Centro Gestion]]&amp;" - "&amp;Empresa_Centro[[#This Row],[Nombre Centro Gestion]]</f>
        <v>10305104 - Condominio Parque Del Sur Torre A-Ventas</v>
      </c>
    </row>
    <row r="244" spans="1:6" x14ac:dyDescent="0.25">
      <c r="A244" s="43">
        <v>56</v>
      </c>
      <c r="B244" t="s">
        <v>40</v>
      </c>
      <c r="C244" s="43" t="s">
        <v>419</v>
      </c>
      <c r="D244" s="43">
        <v>70309</v>
      </c>
      <c r="E244" t="s">
        <v>252</v>
      </c>
      <c r="F244" s="47" t="str">
        <f>+Empresa_Centro[[#This Row],[Codigo Centro Gestion]]&amp;" - "&amp;Empresa_Centro[[#This Row],[Nombre Centro Gestion]]</f>
        <v>70309 - OFICINA CENTRAL</v>
      </c>
    </row>
    <row r="245" spans="1:6" x14ac:dyDescent="0.25">
      <c r="A245" s="43">
        <v>56</v>
      </c>
      <c r="B245" t="s">
        <v>40</v>
      </c>
      <c r="C245" s="43" t="s">
        <v>419</v>
      </c>
      <c r="D245" s="43">
        <v>70318</v>
      </c>
      <c r="E245" t="s">
        <v>262</v>
      </c>
      <c r="F245" s="47" t="str">
        <f>+Empresa_Centro[[#This Row],[Codigo Centro Gestion]]&amp;" - "&amp;Empresa_Centro[[#This Row],[Nombre Centro Gestion]]</f>
        <v>70318 - OFICINA CENTRAL CAPITAL HUMANO</v>
      </c>
    </row>
    <row r="246" spans="1:6" x14ac:dyDescent="0.25">
      <c r="A246" s="43">
        <v>51</v>
      </c>
      <c r="B246" t="s">
        <v>41</v>
      </c>
      <c r="C246" s="43" t="s">
        <v>412</v>
      </c>
      <c r="D246" s="43">
        <v>70309</v>
      </c>
      <c r="E246" t="s">
        <v>252</v>
      </c>
      <c r="F246" s="47" t="str">
        <f>+Empresa_Centro[[#This Row],[Codigo Centro Gestion]]&amp;" - "&amp;Empresa_Centro[[#This Row],[Nombre Centro Gestion]]</f>
        <v>70309 - OFICINA CENTRAL</v>
      </c>
    </row>
    <row r="247" spans="1:6" x14ac:dyDescent="0.25">
      <c r="A247" s="43">
        <v>18</v>
      </c>
      <c r="B247" t="s">
        <v>42</v>
      </c>
      <c r="C247" s="43" t="s">
        <v>392</v>
      </c>
      <c r="D247" s="43">
        <v>10315</v>
      </c>
      <c r="E247" t="s">
        <v>191</v>
      </c>
      <c r="F247" s="47" t="str">
        <f>+Empresa_Centro[[#This Row],[Codigo Centro Gestion]]&amp;" - "&amp;Empresa_Centro[[#This Row],[Nombre Centro Gestion]]</f>
        <v>10315 - Centro General zonal</v>
      </c>
    </row>
    <row r="248" spans="1:6" x14ac:dyDescent="0.25">
      <c r="A248" s="43">
        <v>18</v>
      </c>
      <c r="B248" t="s">
        <v>42</v>
      </c>
      <c r="C248" s="43" t="s">
        <v>392</v>
      </c>
      <c r="D248" s="43">
        <v>70309</v>
      </c>
      <c r="E248" t="s">
        <v>252</v>
      </c>
      <c r="F248" s="47" t="str">
        <f>+Empresa_Centro[[#This Row],[Codigo Centro Gestion]]&amp;" - "&amp;Empresa_Centro[[#This Row],[Nombre Centro Gestion]]</f>
        <v>70309 - OFICINA CENTRAL</v>
      </c>
    </row>
    <row r="249" spans="1:6" x14ac:dyDescent="0.25">
      <c r="A249" s="43">
        <v>37</v>
      </c>
      <c r="B249" t="s">
        <v>394</v>
      </c>
      <c r="C249" s="43" t="s">
        <v>395</v>
      </c>
      <c r="D249" s="43">
        <v>70309</v>
      </c>
      <c r="E249" t="s">
        <v>252</v>
      </c>
      <c r="F249" s="47" t="str">
        <f>+Empresa_Centro[[#This Row],[Codigo Centro Gestion]]&amp;" - "&amp;Empresa_Centro[[#This Row],[Nombre Centro Gestion]]</f>
        <v>70309 - OFICINA CENTRAL</v>
      </c>
    </row>
    <row r="250" spans="1:6" x14ac:dyDescent="0.25">
      <c r="A250" s="43">
        <v>68</v>
      </c>
      <c r="B250" t="s">
        <v>43</v>
      </c>
      <c r="C250" s="43" t="s">
        <v>431</v>
      </c>
      <c r="D250" s="43">
        <v>70309</v>
      </c>
      <c r="E250" t="s">
        <v>252</v>
      </c>
      <c r="F250" s="47" t="str">
        <f>+Empresa_Centro[[#This Row],[Codigo Centro Gestion]]&amp;" - "&amp;Empresa_Centro[[#This Row],[Nombre Centro Gestion]]</f>
        <v>70309 - OFICINA CENTRAL</v>
      </c>
    </row>
    <row r="251" spans="1:6" x14ac:dyDescent="0.25">
      <c r="A251" s="43">
        <v>68</v>
      </c>
      <c r="B251" t="s">
        <v>43</v>
      </c>
      <c r="C251" s="43" t="s">
        <v>431</v>
      </c>
      <c r="D251" s="43">
        <v>10178000</v>
      </c>
      <c r="E251" t="s">
        <v>815</v>
      </c>
      <c r="F251" s="47" t="str">
        <f>+Empresa_Centro[[#This Row],[Codigo Centro Gestion]]&amp;" - "&amp;Empresa_Centro[[#This Row],[Nombre Centro Gestion]]</f>
        <v>10178000 - Alto Cavancha</v>
      </c>
    </row>
    <row r="252" spans="1:6" x14ac:dyDescent="0.25">
      <c r="A252" s="43">
        <v>68</v>
      </c>
      <c r="B252" t="s">
        <v>43</v>
      </c>
      <c r="C252" s="43" t="s">
        <v>431</v>
      </c>
      <c r="D252" s="43">
        <v>10178102</v>
      </c>
      <c r="E252" t="s">
        <v>816</v>
      </c>
      <c r="F252" s="47" t="str">
        <f>+Empresa_Centro[[#This Row],[Codigo Centro Gestion]]&amp;" - "&amp;Empresa_Centro[[#This Row],[Nombre Centro Gestion]]</f>
        <v>10178102 - Alto Cavancha-Marketing</v>
      </c>
    </row>
    <row r="253" spans="1:6" x14ac:dyDescent="0.25">
      <c r="A253" s="43">
        <v>68</v>
      </c>
      <c r="B253" t="s">
        <v>43</v>
      </c>
      <c r="C253" s="43" t="s">
        <v>431</v>
      </c>
      <c r="D253" s="43">
        <v>10178103</v>
      </c>
      <c r="E253" t="s">
        <v>817</v>
      </c>
      <c r="F253" s="47" t="str">
        <f>+Empresa_Centro[[#This Row],[Codigo Centro Gestion]]&amp;" - "&amp;Empresa_Centro[[#This Row],[Nombre Centro Gestion]]</f>
        <v>10178103 - Alto Cavancha-Operaciones</v>
      </c>
    </row>
    <row r="254" spans="1:6" x14ac:dyDescent="0.25">
      <c r="A254" s="43">
        <v>68</v>
      </c>
      <c r="B254" t="s">
        <v>43</v>
      </c>
      <c r="C254" s="43" t="s">
        <v>431</v>
      </c>
      <c r="D254" s="43">
        <v>10178104</v>
      </c>
      <c r="E254" t="s">
        <v>818</v>
      </c>
      <c r="F254" s="47" t="str">
        <f>+Empresa_Centro[[#This Row],[Codigo Centro Gestion]]&amp;" - "&amp;Empresa_Centro[[#This Row],[Nombre Centro Gestion]]</f>
        <v>10178104 - Alto Cavancha-Ventas</v>
      </c>
    </row>
    <row r="255" spans="1:6" x14ac:dyDescent="0.25">
      <c r="A255" s="43">
        <v>68</v>
      </c>
      <c r="B255" t="s">
        <v>43</v>
      </c>
      <c r="C255" s="43" t="s">
        <v>431</v>
      </c>
      <c r="D255" s="43">
        <v>10178105</v>
      </c>
      <c r="E255" t="s">
        <v>819</v>
      </c>
      <c r="F255" s="47" t="str">
        <f>+Empresa_Centro[[#This Row],[Codigo Centro Gestion]]&amp;" - "&amp;Empresa_Centro[[#This Row],[Nombre Centro Gestion]]</f>
        <v>10178105 - Alto Cavancha-Clientes</v>
      </c>
    </row>
    <row r="256" spans="1:6" x14ac:dyDescent="0.25">
      <c r="A256" s="43">
        <v>68</v>
      </c>
      <c r="B256" t="s">
        <v>43</v>
      </c>
      <c r="C256" s="43" t="s">
        <v>431</v>
      </c>
      <c r="D256" s="43">
        <v>10178203</v>
      </c>
      <c r="E256" t="s">
        <v>820</v>
      </c>
      <c r="F256" s="47" t="str">
        <f>+Empresa_Centro[[#This Row],[Codigo Centro Gestion]]&amp;" - "&amp;Empresa_Centro[[#This Row],[Nombre Centro Gestion]]</f>
        <v>10178203 - Alto Cavancha-Proyecto</v>
      </c>
    </row>
    <row r="257" spans="1:6" x14ac:dyDescent="0.25">
      <c r="A257" s="43">
        <v>68</v>
      </c>
      <c r="B257" t="s">
        <v>43</v>
      </c>
      <c r="C257" s="43" t="s">
        <v>431</v>
      </c>
      <c r="D257" s="43">
        <v>10178301</v>
      </c>
      <c r="E257" t="s">
        <v>821</v>
      </c>
      <c r="F257" s="47" t="str">
        <f>+Empresa_Centro[[#This Row],[Codigo Centro Gestion]]&amp;" - "&amp;Empresa_Centro[[#This Row],[Nombre Centro Gestion]]</f>
        <v>10178301 - Alto Cavancha-GAF</v>
      </c>
    </row>
    <row r="258" spans="1:6" x14ac:dyDescent="0.25">
      <c r="A258" s="43">
        <v>68</v>
      </c>
      <c r="B258" t="s">
        <v>43</v>
      </c>
      <c r="C258" s="43" t="s">
        <v>431</v>
      </c>
      <c r="D258" s="43">
        <v>10178505</v>
      </c>
      <c r="E258" t="s">
        <v>822</v>
      </c>
      <c r="F258" s="47" t="str">
        <f>+Empresa_Centro[[#This Row],[Codigo Centro Gestion]]&amp;" - "&amp;Empresa_Centro[[#This Row],[Nombre Centro Gestion]]</f>
        <v>10178505 - Alto Cavancha-PV Inmob.</v>
      </c>
    </row>
    <row r="259" spans="1:6" x14ac:dyDescent="0.25">
      <c r="A259" s="43">
        <v>68</v>
      </c>
      <c r="B259" t="s">
        <v>43</v>
      </c>
      <c r="C259" s="43" t="s">
        <v>431</v>
      </c>
      <c r="D259" s="43">
        <v>10178506</v>
      </c>
      <c r="E259" t="s">
        <v>823</v>
      </c>
      <c r="F259" s="47" t="str">
        <f>+Empresa_Centro[[#This Row],[Codigo Centro Gestion]]&amp;" - "&amp;Empresa_Centro[[#This Row],[Nombre Centro Gestion]]</f>
        <v>10178506 - Alto Cavancha-Depto.Técnico</v>
      </c>
    </row>
    <row r="260" spans="1:6" x14ac:dyDescent="0.25">
      <c r="A260" s="43">
        <v>68</v>
      </c>
      <c r="B260" t="s">
        <v>43</v>
      </c>
      <c r="C260" s="43" t="s">
        <v>431</v>
      </c>
      <c r="D260" s="43">
        <v>10189000</v>
      </c>
      <c r="E260" t="s">
        <v>842</v>
      </c>
      <c r="F260" s="47" t="str">
        <f>+Empresa_Centro[[#This Row],[Codigo Centro Gestion]]&amp;" - "&amp;Empresa_Centro[[#This Row],[Nombre Centro Gestion]]</f>
        <v>10189000 - Vista Azul</v>
      </c>
    </row>
    <row r="261" spans="1:6" x14ac:dyDescent="0.25">
      <c r="A261" s="43">
        <v>52</v>
      </c>
      <c r="B261" t="s">
        <v>44</v>
      </c>
      <c r="C261" s="43" t="s">
        <v>413</v>
      </c>
      <c r="D261" s="43">
        <v>10315</v>
      </c>
      <c r="E261" t="s">
        <v>191</v>
      </c>
      <c r="F261" s="47" t="str">
        <f>+Empresa_Centro[[#This Row],[Codigo Centro Gestion]]&amp;" - "&amp;Empresa_Centro[[#This Row],[Nombre Centro Gestion]]</f>
        <v>10315 - Centro General zonal</v>
      </c>
    </row>
    <row r="262" spans="1:6" x14ac:dyDescent="0.25">
      <c r="A262" s="43">
        <v>52</v>
      </c>
      <c r="B262" t="s">
        <v>44</v>
      </c>
      <c r="C262" s="43" t="s">
        <v>413</v>
      </c>
      <c r="D262" s="43">
        <v>70309</v>
      </c>
      <c r="E262" t="s">
        <v>252</v>
      </c>
      <c r="F262" s="47" t="str">
        <f>+Empresa_Centro[[#This Row],[Codigo Centro Gestion]]&amp;" - "&amp;Empresa_Centro[[#This Row],[Nombre Centro Gestion]]</f>
        <v>70309 - OFICINA CENTRAL</v>
      </c>
    </row>
    <row r="263" spans="1:6" x14ac:dyDescent="0.25">
      <c r="A263" s="43">
        <v>19</v>
      </c>
      <c r="B263" t="s">
        <v>45</v>
      </c>
      <c r="C263" s="43" t="s">
        <v>393</v>
      </c>
      <c r="D263" s="43">
        <v>70309</v>
      </c>
      <c r="E263" t="s">
        <v>252</v>
      </c>
      <c r="F263" s="47" t="str">
        <f>+Empresa_Centro[[#This Row],[Codigo Centro Gestion]]&amp;" - "&amp;Empresa_Centro[[#This Row],[Nombre Centro Gestion]]</f>
        <v>70309 - OFICINA CENTRAL</v>
      </c>
    </row>
    <row r="264" spans="1:6" x14ac:dyDescent="0.25">
      <c r="A264" s="43">
        <v>16</v>
      </c>
      <c r="B264" t="s">
        <v>55</v>
      </c>
      <c r="C264" s="43" t="s">
        <v>389</v>
      </c>
      <c r="D264" s="43">
        <v>10315</v>
      </c>
      <c r="E264" t="s">
        <v>191</v>
      </c>
      <c r="F264" s="47" t="str">
        <f>+Empresa_Centro[[#This Row],[Codigo Centro Gestion]]&amp;" - "&amp;Empresa_Centro[[#This Row],[Nombre Centro Gestion]]</f>
        <v>10315 - Centro General zonal</v>
      </c>
    </row>
    <row r="265" spans="1:6" x14ac:dyDescent="0.25">
      <c r="A265" s="43">
        <v>16</v>
      </c>
      <c r="B265" t="s">
        <v>55</v>
      </c>
      <c r="C265" s="43" t="s">
        <v>389</v>
      </c>
      <c r="D265" s="43">
        <v>70309</v>
      </c>
      <c r="E265" t="s">
        <v>252</v>
      </c>
      <c r="F265" s="47" t="str">
        <f>+Empresa_Centro[[#This Row],[Codigo Centro Gestion]]&amp;" - "&amp;Empresa_Centro[[#This Row],[Nombre Centro Gestion]]</f>
        <v>70309 - OFICINA CENTRAL</v>
      </c>
    </row>
    <row r="266" spans="1:6" x14ac:dyDescent="0.25">
      <c r="A266" s="43">
        <v>16</v>
      </c>
      <c r="B266" t="s">
        <v>55</v>
      </c>
      <c r="C266" s="43" t="s">
        <v>389</v>
      </c>
      <c r="D266" s="43">
        <v>70312</v>
      </c>
      <c r="E266" t="s">
        <v>258</v>
      </c>
      <c r="F266" s="47" t="str">
        <f>+Empresa_Centro[[#This Row],[Codigo Centro Gestion]]&amp;" - "&amp;Empresa_Centro[[#This Row],[Nombre Centro Gestion]]</f>
        <v>70312 - CONTABILIDAD GENERAL</v>
      </c>
    </row>
    <row r="267" spans="1:6" x14ac:dyDescent="0.25">
      <c r="A267" s="43">
        <v>16</v>
      </c>
      <c r="B267" t="s">
        <v>55</v>
      </c>
      <c r="C267" s="43" t="s">
        <v>389</v>
      </c>
      <c r="D267" s="43">
        <v>70402</v>
      </c>
      <c r="E267" t="s">
        <v>265</v>
      </c>
      <c r="F267" s="47" t="str">
        <f>+Empresa_Centro[[#This Row],[Codigo Centro Gestion]]&amp;" - "&amp;Empresa_Centro[[#This Row],[Nombre Centro Gestion]]</f>
        <v>70402 - DIRECTORIO</v>
      </c>
    </row>
    <row r="268" spans="1:6" x14ac:dyDescent="0.25">
      <c r="A268" s="43">
        <v>16</v>
      </c>
      <c r="B268" t="s">
        <v>55</v>
      </c>
      <c r="C268" s="43" t="s">
        <v>389</v>
      </c>
      <c r="D268" s="43">
        <v>1096202</v>
      </c>
      <c r="E268" t="s">
        <v>739</v>
      </c>
      <c r="F268" s="47" t="str">
        <f>+Empresa_Centro[[#This Row],[Codigo Centro Gestion]]&amp;" - "&amp;Empresa_Centro[[#This Row],[Nombre Centro Gestion]]</f>
        <v>1096202 - Terreno Alto Viña II – Inversiones</v>
      </c>
    </row>
    <row r="269" spans="1:6" x14ac:dyDescent="0.25">
      <c r="A269" s="43">
        <v>16</v>
      </c>
      <c r="B269" t="s">
        <v>55</v>
      </c>
      <c r="C269" s="43" t="s">
        <v>389</v>
      </c>
      <c r="D269" s="43">
        <v>1097202</v>
      </c>
      <c r="E269" t="s">
        <v>740</v>
      </c>
      <c r="F269" s="47" t="str">
        <f>+Empresa_Centro[[#This Row],[Codigo Centro Gestion]]&amp;" - "&amp;Empresa_Centro[[#This Row],[Nombre Centro Gestion]]</f>
        <v>1097202 - Terreno Alto Viña III – Inversiones</v>
      </c>
    </row>
    <row r="270" spans="1:6" x14ac:dyDescent="0.25">
      <c r="A270" s="43">
        <v>16</v>
      </c>
      <c r="B270" t="s">
        <v>55</v>
      </c>
      <c r="C270" s="43" t="s">
        <v>389</v>
      </c>
      <c r="D270" s="43">
        <v>1114202</v>
      </c>
      <c r="E270" t="s">
        <v>749</v>
      </c>
      <c r="F270" s="47" t="str">
        <f>+Empresa_Centro[[#This Row],[Codigo Centro Gestion]]&amp;" - "&amp;Empresa_Centro[[#This Row],[Nombre Centro Gestion]]</f>
        <v xml:space="preserve">1114202 - Terreno Condominio Manuel Jesús Rivera  – Inversiones </v>
      </c>
    </row>
    <row r="271" spans="1:6" x14ac:dyDescent="0.25">
      <c r="A271" s="43">
        <v>16</v>
      </c>
      <c r="B271" t="s">
        <v>55</v>
      </c>
      <c r="C271" s="43" t="s">
        <v>389</v>
      </c>
      <c r="D271" s="43">
        <v>10214204</v>
      </c>
      <c r="E271" t="s">
        <v>984</v>
      </c>
      <c r="F271" s="47" t="str">
        <f>+Empresa_Centro[[#This Row],[Codigo Centro Gestion]]&amp;" - "&amp;Empresa_Centro[[#This Row],[Nombre Centro Gestion]]</f>
        <v>10214204 - Edificio Recreo 250-Proyecto</v>
      </c>
    </row>
    <row r="272" spans="1:6" x14ac:dyDescent="0.25">
      <c r="A272" s="43">
        <v>16</v>
      </c>
      <c r="B272" t="s">
        <v>55</v>
      </c>
      <c r="C272" s="43" t="s">
        <v>389</v>
      </c>
      <c r="D272" s="43">
        <v>10226204</v>
      </c>
      <c r="E272" t="s">
        <v>1055</v>
      </c>
      <c r="F272" s="47" t="str">
        <f>+Empresa_Centro[[#This Row],[Codigo Centro Gestion]]&amp;" - "&amp;Empresa_Centro[[#This Row],[Nombre Centro Gestion]]</f>
        <v>10226204 - Conde del Maule 4676-Proyecto</v>
      </c>
    </row>
    <row r="273" spans="1:6" x14ac:dyDescent="0.25">
      <c r="A273" s="43">
        <v>73</v>
      </c>
      <c r="B273" t="s">
        <v>433</v>
      </c>
      <c r="C273" s="43" t="s">
        <v>434</v>
      </c>
      <c r="D273" s="43">
        <v>70309</v>
      </c>
      <c r="E273" t="s">
        <v>252</v>
      </c>
      <c r="F273" s="47" t="str">
        <f>+Empresa_Centro[[#This Row],[Codigo Centro Gestion]]&amp;" - "&amp;Empresa_Centro[[#This Row],[Nombre Centro Gestion]]</f>
        <v>70309 - OFICINA CENTRAL</v>
      </c>
    </row>
    <row r="274" spans="1:6" x14ac:dyDescent="0.25">
      <c r="A274" s="43">
        <v>49</v>
      </c>
      <c r="B274" t="s">
        <v>409</v>
      </c>
      <c r="C274" s="43" t="s">
        <v>410</v>
      </c>
      <c r="D274" s="43">
        <v>70309</v>
      </c>
      <c r="E274" t="s">
        <v>252</v>
      </c>
      <c r="F274" s="47" t="str">
        <f>+Empresa_Centro[[#This Row],[Codigo Centro Gestion]]&amp;" - "&amp;Empresa_Centro[[#This Row],[Nombre Centro Gestion]]</f>
        <v>70309 - OFICINA CENTRAL</v>
      </c>
    </row>
    <row r="275" spans="1:6" x14ac:dyDescent="0.25">
      <c r="A275" s="43">
        <v>67</v>
      </c>
      <c r="B275" t="s">
        <v>46</v>
      </c>
      <c r="C275" s="43" t="s">
        <v>430</v>
      </c>
      <c r="D275" s="43">
        <v>10315</v>
      </c>
      <c r="E275" t="s">
        <v>191</v>
      </c>
      <c r="F275" s="47" t="str">
        <f>+Empresa_Centro[[#This Row],[Codigo Centro Gestion]]&amp;" - "&amp;Empresa_Centro[[#This Row],[Nombre Centro Gestion]]</f>
        <v>10315 - Centro General zonal</v>
      </c>
    </row>
    <row r="276" spans="1:6" x14ac:dyDescent="0.25">
      <c r="A276" s="43">
        <v>67</v>
      </c>
      <c r="B276" t="s">
        <v>46</v>
      </c>
      <c r="C276" s="43" t="s">
        <v>430</v>
      </c>
      <c r="D276" s="43">
        <v>70309</v>
      </c>
      <c r="E276" t="s">
        <v>252</v>
      </c>
      <c r="F276" s="47" t="str">
        <f>+Empresa_Centro[[#This Row],[Codigo Centro Gestion]]&amp;" - "&amp;Empresa_Centro[[#This Row],[Nombre Centro Gestion]]</f>
        <v>70309 - OFICINA CENTRAL</v>
      </c>
    </row>
    <row r="277" spans="1:6" x14ac:dyDescent="0.25">
      <c r="A277" s="43">
        <v>67</v>
      </c>
      <c r="B277" t="s">
        <v>46</v>
      </c>
      <c r="C277" s="43" t="s">
        <v>430</v>
      </c>
      <c r="D277" s="43">
        <v>70312</v>
      </c>
      <c r="E277" t="s">
        <v>258</v>
      </c>
      <c r="F277" s="47" t="str">
        <f>+Empresa_Centro[[#This Row],[Codigo Centro Gestion]]&amp;" - "&amp;Empresa_Centro[[#This Row],[Nombre Centro Gestion]]</f>
        <v>70312 - CONTABILIDAD GENERAL</v>
      </c>
    </row>
    <row r="278" spans="1:6" x14ac:dyDescent="0.25">
      <c r="A278" s="43">
        <v>67</v>
      </c>
      <c r="B278" t="s">
        <v>46</v>
      </c>
      <c r="C278" s="43" t="s">
        <v>430</v>
      </c>
      <c r="D278" s="43">
        <v>1138202</v>
      </c>
      <c r="E278" t="s">
        <v>765</v>
      </c>
      <c r="F278" s="47" t="str">
        <f>+Empresa_Centro[[#This Row],[Codigo Centro Gestion]]&amp;" - "&amp;Empresa_Centro[[#This Row],[Nombre Centro Gestion]]</f>
        <v>1138202 - Terreno Pedro de la Barra - Inversiones</v>
      </c>
    </row>
    <row r="279" spans="1:6" x14ac:dyDescent="0.25">
      <c r="A279" s="43">
        <v>67</v>
      </c>
      <c r="B279" t="s">
        <v>46</v>
      </c>
      <c r="C279" s="43" t="s">
        <v>430</v>
      </c>
      <c r="D279" s="43">
        <v>1139202</v>
      </c>
      <c r="E279" t="s">
        <v>766</v>
      </c>
      <c r="F279" s="47" t="str">
        <f>+Empresa_Centro[[#This Row],[Codigo Centro Gestion]]&amp;" - "&amp;Empresa_Centro[[#This Row],[Nombre Centro Gestion]]</f>
        <v>1139202 - Terreno DS49 Valle Alto Placilla - Inversiones</v>
      </c>
    </row>
    <row r="280" spans="1:6" x14ac:dyDescent="0.25">
      <c r="A280" s="43">
        <v>67</v>
      </c>
      <c r="B280" t="s">
        <v>46</v>
      </c>
      <c r="C280" s="43" t="s">
        <v>430</v>
      </c>
      <c r="D280" s="43">
        <v>10261000</v>
      </c>
      <c r="E280" t="s">
        <v>1294</v>
      </c>
      <c r="F280" s="47" t="str">
        <f>+Empresa_Centro[[#This Row],[Codigo Centro Gestion]]&amp;" - "&amp;Empresa_Centro[[#This Row],[Nombre Centro Gestion]]</f>
        <v>10261000 - DS49 Valle Alto Placilla</v>
      </c>
    </row>
    <row r="281" spans="1:6" x14ac:dyDescent="0.25">
      <c r="A281" s="43">
        <v>67</v>
      </c>
      <c r="B281" t="s">
        <v>46</v>
      </c>
      <c r="C281" s="43" t="s">
        <v>430</v>
      </c>
      <c r="D281" s="43">
        <v>10261102</v>
      </c>
      <c r="E281" t="s">
        <v>1295</v>
      </c>
      <c r="F281" s="47" t="str">
        <f>+Empresa_Centro[[#This Row],[Codigo Centro Gestion]]&amp;" - "&amp;Empresa_Centro[[#This Row],[Nombre Centro Gestion]]</f>
        <v>10261102 - DS49 Valle Alto Placilla-Marketing</v>
      </c>
    </row>
    <row r="282" spans="1:6" x14ac:dyDescent="0.25">
      <c r="A282" s="43">
        <v>67</v>
      </c>
      <c r="B282" t="s">
        <v>46</v>
      </c>
      <c r="C282" s="43" t="s">
        <v>430</v>
      </c>
      <c r="D282" s="43">
        <v>10261103</v>
      </c>
      <c r="E282" t="s">
        <v>1296</v>
      </c>
      <c r="F282" s="47" t="str">
        <f>+Empresa_Centro[[#This Row],[Codigo Centro Gestion]]&amp;" - "&amp;Empresa_Centro[[#This Row],[Nombre Centro Gestion]]</f>
        <v>10261103 - DS49 Valle Alto Placilla-Operaciones</v>
      </c>
    </row>
    <row r="283" spans="1:6" x14ac:dyDescent="0.25">
      <c r="A283" s="43">
        <v>67</v>
      </c>
      <c r="B283" t="s">
        <v>46</v>
      </c>
      <c r="C283" s="43" t="s">
        <v>430</v>
      </c>
      <c r="D283" s="43">
        <v>10261104</v>
      </c>
      <c r="E283" t="s">
        <v>1297</v>
      </c>
      <c r="F283" s="47" t="str">
        <f>+Empresa_Centro[[#This Row],[Codigo Centro Gestion]]&amp;" - "&amp;Empresa_Centro[[#This Row],[Nombre Centro Gestion]]</f>
        <v>10261104 - DS49 Valle Alto Placilla-Ventas</v>
      </c>
    </row>
    <row r="284" spans="1:6" x14ac:dyDescent="0.25">
      <c r="A284" s="43">
        <v>67</v>
      </c>
      <c r="B284" t="s">
        <v>46</v>
      </c>
      <c r="C284" s="43" t="s">
        <v>430</v>
      </c>
      <c r="D284" s="43">
        <v>10261105</v>
      </c>
      <c r="E284" t="s">
        <v>1298</v>
      </c>
      <c r="F284" s="47" t="str">
        <f>+Empresa_Centro[[#This Row],[Codigo Centro Gestion]]&amp;" - "&amp;Empresa_Centro[[#This Row],[Nombre Centro Gestion]]</f>
        <v>10261105 - DS49 Valle Alto Placilla-Clientes</v>
      </c>
    </row>
    <row r="285" spans="1:6" x14ac:dyDescent="0.25">
      <c r="A285" s="43">
        <v>67</v>
      </c>
      <c r="B285" t="s">
        <v>46</v>
      </c>
      <c r="C285" s="43" t="s">
        <v>430</v>
      </c>
      <c r="D285" s="43">
        <v>10261204</v>
      </c>
      <c r="E285" t="s">
        <v>1299</v>
      </c>
      <c r="F285" s="47" t="str">
        <f>+Empresa_Centro[[#This Row],[Codigo Centro Gestion]]&amp;" - "&amp;Empresa_Centro[[#This Row],[Nombre Centro Gestion]]</f>
        <v>10261204 - DS49 Valle Alto Placilla-Proyecto</v>
      </c>
    </row>
    <row r="286" spans="1:6" x14ac:dyDescent="0.25">
      <c r="A286" s="43">
        <v>67</v>
      </c>
      <c r="B286" t="s">
        <v>46</v>
      </c>
      <c r="C286" s="43" t="s">
        <v>430</v>
      </c>
      <c r="D286" s="43">
        <v>10261301</v>
      </c>
      <c r="E286" t="s">
        <v>1300</v>
      </c>
      <c r="F286" s="47" t="str">
        <f>+Empresa_Centro[[#This Row],[Codigo Centro Gestion]]&amp;" - "&amp;Empresa_Centro[[#This Row],[Nombre Centro Gestion]]</f>
        <v>10261301 - DS49 Valle Alto Placilla-GAF</v>
      </c>
    </row>
    <row r="287" spans="1:6" x14ac:dyDescent="0.25">
      <c r="A287" s="43">
        <v>67</v>
      </c>
      <c r="B287" t="s">
        <v>46</v>
      </c>
      <c r="C287" s="43" t="s">
        <v>430</v>
      </c>
      <c r="D287" s="43">
        <v>10261505</v>
      </c>
      <c r="E287" t="s">
        <v>1301</v>
      </c>
      <c r="F287" s="47" t="str">
        <f>+Empresa_Centro[[#This Row],[Codigo Centro Gestion]]&amp;" - "&amp;Empresa_Centro[[#This Row],[Nombre Centro Gestion]]</f>
        <v>10261505 - DS49 Valle Alto Placilla-PV Inmob.</v>
      </c>
    </row>
    <row r="288" spans="1:6" x14ac:dyDescent="0.25">
      <c r="A288" s="43">
        <v>67</v>
      </c>
      <c r="B288" t="s">
        <v>46</v>
      </c>
      <c r="C288" s="43" t="s">
        <v>430</v>
      </c>
      <c r="D288" s="43">
        <v>10261506</v>
      </c>
      <c r="E288" t="s">
        <v>1302</v>
      </c>
      <c r="F288" s="47" t="str">
        <f>+Empresa_Centro[[#This Row],[Codigo Centro Gestion]]&amp;" - "&amp;Empresa_Centro[[#This Row],[Nombre Centro Gestion]]</f>
        <v>10261506 - DS49 Valle Alto Placilla-Depto.Técnico</v>
      </c>
    </row>
    <row r="289" spans="1:6" x14ac:dyDescent="0.25">
      <c r="A289" s="43">
        <v>67</v>
      </c>
      <c r="B289" t="s">
        <v>46</v>
      </c>
      <c r="C289" s="43" t="s">
        <v>430</v>
      </c>
      <c r="D289" s="43">
        <v>10300000</v>
      </c>
      <c r="E289" t="s">
        <v>1361</v>
      </c>
      <c r="F289" s="47" t="str">
        <f>+Empresa_Centro[[#This Row],[Codigo Centro Gestion]]&amp;" - "&amp;Empresa_Centro[[#This Row],[Nombre Centro Gestion]]</f>
        <v>10300000 - Edificio Pedro de la Barra</v>
      </c>
    </row>
    <row r="290" spans="1:6" x14ac:dyDescent="0.25">
      <c r="A290" s="43">
        <v>67</v>
      </c>
      <c r="B290" t="s">
        <v>46</v>
      </c>
      <c r="C290" s="43" t="s">
        <v>430</v>
      </c>
      <c r="D290" s="43">
        <v>10300102</v>
      </c>
      <c r="E290" t="s">
        <v>1362</v>
      </c>
      <c r="F290" s="47" t="str">
        <f>+Empresa_Centro[[#This Row],[Codigo Centro Gestion]]&amp;" - "&amp;Empresa_Centro[[#This Row],[Nombre Centro Gestion]]</f>
        <v>10300102 - Edificio Pedro de la Barra-Marketing</v>
      </c>
    </row>
    <row r="291" spans="1:6" x14ac:dyDescent="0.25">
      <c r="A291" s="43">
        <v>67</v>
      </c>
      <c r="B291" t="s">
        <v>46</v>
      </c>
      <c r="C291" s="43" t="s">
        <v>430</v>
      </c>
      <c r="D291" s="43">
        <v>10300103</v>
      </c>
      <c r="E291" t="s">
        <v>1363</v>
      </c>
      <c r="F291" s="47" t="str">
        <f>+Empresa_Centro[[#This Row],[Codigo Centro Gestion]]&amp;" - "&amp;Empresa_Centro[[#This Row],[Nombre Centro Gestion]]</f>
        <v>10300103 - Edificio Pedro de la Barra-Operaciones</v>
      </c>
    </row>
    <row r="292" spans="1:6" x14ac:dyDescent="0.25">
      <c r="A292" s="43">
        <v>67</v>
      </c>
      <c r="B292" t="s">
        <v>46</v>
      </c>
      <c r="C292" s="43" t="s">
        <v>430</v>
      </c>
      <c r="D292" s="43">
        <v>10300104</v>
      </c>
      <c r="E292" t="s">
        <v>1364</v>
      </c>
      <c r="F292" s="47" t="str">
        <f>+Empresa_Centro[[#This Row],[Codigo Centro Gestion]]&amp;" - "&amp;Empresa_Centro[[#This Row],[Nombre Centro Gestion]]</f>
        <v>10300104 - Edificio Pedro de la Barra-Ventas</v>
      </c>
    </row>
    <row r="293" spans="1:6" x14ac:dyDescent="0.25">
      <c r="A293" s="43">
        <v>67</v>
      </c>
      <c r="B293" t="s">
        <v>46</v>
      </c>
      <c r="C293" s="43" t="s">
        <v>430</v>
      </c>
      <c r="D293" s="43">
        <v>10300105</v>
      </c>
      <c r="E293" t="s">
        <v>1365</v>
      </c>
      <c r="F293" s="47" t="str">
        <f>+Empresa_Centro[[#This Row],[Codigo Centro Gestion]]&amp;" - "&amp;Empresa_Centro[[#This Row],[Nombre Centro Gestion]]</f>
        <v>10300105 - Edificio Pedro de la Barra-Clientes</v>
      </c>
    </row>
    <row r="294" spans="1:6" x14ac:dyDescent="0.25">
      <c r="A294" s="43">
        <v>67</v>
      </c>
      <c r="B294" t="s">
        <v>46</v>
      </c>
      <c r="C294" s="43" t="s">
        <v>430</v>
      </c>
      <c r="D294" s="43">
        <v>10300204</v>
      </c>
      <c r="E294" t="s">
        <v>1366</v>
      </c>
      <c r="F294" s="47" t="str">
        <f>+Empresa_Centro[[#This Row],[Codigo Centro Gestion]]&amp;" - "&amp;Empresa_Centro[[#This Row],[Nombre Centro Gestion]]</f>
        <v>10300204 - Edificio Pedro de la Barra-Proyecto</v>
      </c>
    </row>
    <row r="295" spans="1:6" x14ac:dyDescent="0.25">
      <c r="A295" s="43">
        <v>67</v>
      </c>
      <c r="B295" t="s">
        <v>46</v>
      </c>
      <c r="C295" s="43" t="s">
        <v>430</v>
      </c>
      <c r="D295" s="43">
        <v>10300301</v>
      </c>
      <c r="E295" t="s">
        <v>1367</v>
      </c>
      <c r="F295" s="47" t="str">
        <f>+Empresa_Centro[[#This Row],[Codigo Centro Gestion]]&amp;" - "&amp;Empresa_Centro[[#This Row],[Nombre Centro Gestion]]</f>
        <v>10300301 - Edificio Pedro de la Barra-GAF</v>
      </c>
    </row>
    <row r="296" spans="1:6" x14ac:dyDescent="0.25">
      <c r="A296" s="43">
        <v>67</v>
      </c>
      <c r="B296" t="s">
        <v>46</v>
      </c>
      <c r="C296" s="43" t="s">
        <v>430</v>
      </c>
      <c r="D296" s="43">
        <v>10300505</v>
      </c>
      <c r="E296" t="s">
        <v>1368</v>
      </c>
      <c r="F296" s="47" t="str">
        <f>+Empresa_Centro[[#This Row],[Codigo Centro Gestion]]&amp;" - "&amp;Empresa_Centro[[#This Row],[Nombre Centro Gestion]]</f>
        <v>10300505 - Edificio Pedro de la Barra-PV Inmob.</v>
      </c>
    </row>
    <row r="297" spans="1:6" x14ac:dyDescent="0.25">
      <c r="A297" s="43">
        <v>67</v>
      </c>
      <c r="B297" t="s">
        <v>46</v>
      </c>
      <c r="C297" s="43" t="s">
        <v>430</v>
      </c>
      <c r="D297" s="43">
        <v>10300506</v>
      </c>
      <c r="E297" t="s">
        <v>1369</v>
      </c>
      <c r="F297" s="47" t="str">
        <f>+Empresa_Centro[[#This Row],[Codigo Centro Gestion]]&amp;" - "&amp;Empresa_Centro[[#This Row],[Nombre Centro Gestion]]</f>
        <v>10300506 - Edificio Pedro de la Barra-Depto.Técnico</v>
      </c>
    </row>
    <row r="298" spans="1:6" x14ac:dyDescent="0.25">
      <c r="A298" s="43">
        <v>64</v>
      </c>
      <c r="B298" t="s">
        <v>47</v>
      </c>
      <c r="C298" s="43" t="s">
        <v>428</v>
      </c>
      <c r="D298" s="43">
        <v>10315</v>
      </c>
      <c r="E298" t="s">
        <v>191</v>
      </c>
      <c r="F298" s="47" t="str">
        <f>+Empresa_Centro[[#This Row],[Codigo Centro Gestion]]&amp;" - "&amp;Empresa_Centro[[#This Row],[Nombre Centro Gestion]]</f>
        <v>10315 - Centro General zonal</v>
      </c>
    </row>
    <row r="299" spans="1:6" x14ac:dyDescent="0.25">
      <c r="A299" s="43">
        <v>64</v>
      </c>
      <c r="B299" t="s">
        <v>47</v>
      </c>
      <c r="C299" s="43" t="s">
        <v>428</v>
      </c>
      <c r="D299" s="43">
        <v>70309</v>
      </c>
      <c r="E299" t="s">
        <v>252</v>
      </c>
      <c r="F299" s="47" t="str">
        <f>+Empresa_Centro[[#This Row],[Codigo Centro Gestion]]&amp;" - "&amp;Empresa_Centro[[#This Row],[Nombre Centro Gestion]]</f>
        <v>70309 - OFICINA CENTRAL</v>
      </c>
    </row>
    <row r="300" spans="1:6" x14ac:dyDescent="0.25">
      <c r="A300" s="43">
        <v>64</v>
      </c>
      <c r="B300" t="s">
        <v>47</v>
      </c>
      <c r="C300" s="43" t="s">
        <v>428</v>
      </c>
      <c r="D300" s="43">
        <v>70312</v>
      </c>
      <c r="E300" t="s">
        <v>258</v>
      </c>
      <c r="F300" s="47" t="str">
        <f>+Empresa_Centro[[#This Row],[Codigo Centro Gestion]]&amp;" - "&amp;Empresa_Centro[[#This Row],[Nombre Centro Gestion]]</f>
        <v>70312 - CONTABILIDAD GENERAL</v>
      </c>
    </row>
    <row r="301" spans="1:6" x14ac:dyDescent="0.25">
      <c r="A301" s="43">
        <v>64</v>
      </c>
      <c r="B301" t="s">
        <v>47</v>
      </c>
      <c r="C301" s="43" t="s">
        <v>428</v>
      </c>
      <c r="D301" s="43">
        <v>10062000</v>
      </c>
      <c r="E301" t="s">
        <v>780</v>
      </c>
      <c r="F301" s="47" t="str">
        <f>+Empresa_Centro[[#This Row],[Codigo Centro Gestion]]&amp;" - "&amp;Empresa_Centro[[#This Row],[Nombre Centro Gestion]]</f>
        <v>10062000 - Cumbres del Mar</v>
      </c>
    </row>
    <row r="302" spans="1:6" x14ac:dyDescent="0.25">
      <c r="A302" s="43">
        <v>64</v>
      </c>
      <c r="B302" t="s">
        <v>47</v>
      </c>
      <c r="C302" s="43" t="s">
        <v>428</v>
      </c>
      <c r="D302" s="43">
        <v>10106000</v>
      </c>
      <c r="E302" t="s">
        <v>789</v>
      </c>
      <c r="F302" s="47" t="str">
        <f>+Empresa_Centro[[#This Row],[Codigo Centro Gestion]]&amp;" - "&amp;Empresa_Centro[[#This Row],[Nombre Centro Gestion]]</f>
        <v>10106000 - Palmas del Sur 1</v>
      </c>
    </row>
    <row r="303" spans="1:6" x14ac:dyDescent="0.25">
      <c r="A303" s="43">
        <v>64</v>
      </c>
      <c r="B303" t="s">
        <v>47</v>
      </c>
      <c r="C303" s="43" t="s">
        <v>428</v>
      </c>
      <c r="D303" s="43">
        <v>10178000</v>
      </c>
      <c r="E303" t="s">
        <v>815</v>
      </c>
      <c r="F303" s="47" t="str">
        <f>+Empresa_Centro[[#This Row],[Codigo Centro Gestion]]&amp;" - "&amp;Empresa_Centro[[#This Row],[Nombre Centro Gestion]]</f>
        <v>10178000 - Alto Cavancha</v>
      </c>
    </row>
    <row r="304" spans="1:6" x14ac:dyDescent="0.25">
      <c r="A304" s="43">
        <v>64</v>
      </c>
      <c r="B304" t="s">
        <v>47</v>
      </c>
      <c r="C304" s="43" t="s">
        <v>428</v>
      </c>
      <c r="D304" s="43">
        <v>10189000</v>
      </c>
      <c r="E304" t="s">
        <v>842</v>
      </c>
      <c r="F304" s="47" t="str">
        <f>+Empresa_Centro[[#This Row],[Codigo Centro Gestion]]&amp;" - "&amp;Empresa_Centro[[#This Row],[Nombre Centro Gestion]]</f>
        <v>10189000 - Vista Azul</v>
      </c>
    </row>
    <row r="305" spans="1:6" x14ac:dyDescent="0.25">
      <c r="A305" s="43">
        <v>64</v>
      </c>
      <c r="B305" t="s">
        <v>47</v>
      </c>
      <c r="C305" s="43" t="s">
        <v>428</v>
      </c>
      <c r="D305" s="43">
        <v>10200000</v>
      </c>
      <c r="E305" t="s">
        <v>869</v>
      </c>
      <c r="F305" s="47" t="str">
        <f>+Empresa_Centro[[#This Row],[Codigo Centro Gestion]]&amp;" - "&amp;Empresa_Centro[[#This Row],[Nombre Centro Gestion]]</f>
        <v>10200000 - Edificio Terrazas del Sol</v>
      </c>
    </row>
    <row r="306" spans="1:6" x14ac:dyDescent="0.25">
      <c r="A306" s="43">
        <v>64</v>
      </c>
      <c r="B306" t="s">
        <v>47</v>
      </c>
      <c r="C306" s="43" t="s">
        <v>428</v>
      </c>
      <c r="D306" s="43">
        <v>10213000</v>
      </c>
      <c r="E306" t="s">
        <v>970</v>
      </c>
      <c r="F306" s="47" t="str">
        <f>+Empresa_Centro[[#This Row],[Codigo Centro Gestion]]&amp;" - "&amp;Empresa_Centro[[#This Row],[Nombre Centro Gestion]]</f>
        <v>10213000 - Edificio Maipu</v>
      </c>
    </row>
    <row r="307" spans="1:6" x14ac:dyDescent="0.25">
      <c r="A307" s="43">
        <v>64</v>
      </c>
      <c r="B307" t="s">
        <v>47</v>
      </c>
      <c r="C307" s="43" t="s">
        <v>428</v>
      </c>
      <c r="D307" s="43">
        <v>10217000</v>
      </c>
      <c r="E307" t="s">
        <v>1006</v>
      </c>
      <c r="F307" s="47" t="str">
        <f>+Empresa_Centro[[#This Row],[Codigo Centro Gestion]]&amp;" - "&amp;Empresa_Centro[[#This Row],[Nombre Centro Gestion]]</f>
        <v>10217000 - Edificio Duble Almeyda 2621</v>
      </c>
    </row>
    <row r="308" spans="1:6" x14ac:dyDescent="0.25">
      <c r="A308" s="43">
        <v>64</v>
      </c>
      <c r="B308" t="s">
        <v>47</v>
      </c>
      <c r="C308" s="43" t="s">
        <v>428</v>
      </c>
      <c r="D308" s="43">
        <v>10218000</v>
      </c>
      <c r="E308" t="s">
        <v>1015</v>
      </c>
      <c r="F308" s="47" t="str">
        <f>+Empresa_Centro[[#This Row],[Codigo Centro Gestion]]&amp;" - "&amp;Empresa_Centro[[#This Row],[Nombre Centro Gestion]]</f>
        <v>10218000 - Edificio Jose Domingo Cañas 2640</v>
      </c>
    </row>
    <row r="309" spans="1:6" x14ac:dyDescent="0.25">
      <c r="A309" s="43">
        <v>64</v>
      </c>
      <c r="B309" t="s">
        <v>47</v>
      </c>
      <c r="C309" s="43" t="s">
        <v>428</v>
      </c>
      <c r="D309" s="43">
        <v>10252000</v>
      </c>
      <c r="E309" t="s">
        <v>475</v>
      </c>
      <c r="F309" s="47" t="str">
        <f>+Empresa_Centro[[#This Row],[Codigo Centro Gestion]]&amp;" - "&amp;Empresa_Centro[[#This Row],[Nombre Centro Gestion]]</f>
        <v>10252000 - Edificio Castillo Urizar</v>
      </c>
    </row>
    <row r="310" spans="1:6" x14ac:dyDescent="0.25">
      <c r="A310" s="43">
        <v>59</v>
      </c>
      <c r="B310" t="s">
        <v>48</v>
      </c>
      <c r="C310" s="43" t="s">
        <v>422</v>
      </c>
      <c r="D310" s="43">
        <v>70309</v>
      </c>
      <c r="E310" t="s">
        <v>252</v>
      </c>
      <c r="F310" s="47" t="str">
        <f>+Empresa_Centro[[#This Row],[Codigo Centro Gestion]]&amp;" - "&amp;Empresa_Centro[[#This Row],[Nombre Centro Gestion]]</f>
        <v>70309 - OFICINA CENTRAL</v>
      </c>
    </row>
    <row r="311" spans="1:6" x14ac:dyDescent="0.25">
      <c r="A311" s="43">
        <v>60</v>
      </c>
      <c r="B311" t="s">
        <v>49</v>
      </c>
      <c r="C311" s="43" t="s">
        <v>423</v>
      </c>
      <c r="D311" s="43">
        <v>70309</v>
      </c>
      <c r="E311" t="s">
        <v>252</v>
      </c>
      <c r="F311" s="47" t="str">
        <f>+Empresa_Centro[[#This Row],[Codigo Centro Gestion]]&amp;" - "&amp;Empresa_Centro[[#This Row],[Nombre Centro Gestion]]</f>
        <v>70309 - OFICINA CENTRAL</v>
      </c>
    </row>
    <row r="312" spans="1:6" x14ac:dyDescent="0.25">
      <c r="A312" s="43">
        <v>46</v>
      </c>
      <c r="B312" t="s">
        <v>50</v>
      </c>
      <c r="C312" s="43" t="s">
        <v>406</v>
      </c>
      <c r="D312" s="43">
        <v>10315</v>
      </c>
      <c r="E312" t="s">
        <v>191</v>
      </c>
      <c r="F312" s="47" t="str">
        <f>+Empresa_Centro[[#This Row],[Codigo Centro Gestion]]&amp;" - "&amp;Empresa_Centro[[#This Row],[Nombre Centro Gestion]]</f>
        <v>10315 - Centro General zonal</v>
      </c>
    </row>
    <row r="313" spans="1:6" x14ac:dyDescent="0.25">
      <c r="A313" s="43">
        <v>46</v>
      </c>
      <c r="B313" t="s">
        <v>50</v>
      </c>
      <c r="C313" s="43" t="s">
        <v>406</v>
      </c>
      <c r="D313" s="43">
        <v>70309</v>
      </c>
      <c r="E313" t="s">
        <v>252</v>
      </c>
      <c r="F313" s="47" t="str">
        <f>+Empresa_Centro[[#This Row],[Codigo Centro Gestion]]&amp;" - "&amp;Empresa_Centro[[#This Row],[Nombre Centro Gestion]]</f>
        <v>70309 - OFICINA CENTRAL</v>
      </c>
    </row>
    <row r="314" spans="1:6" x14ac:dyDescent="0.25">
      <c r="A314" s="43">
        <v>46</v>
      </c>
      <c r="B314" t="s">
        <v>50</v>
      </c>
      <c r="C314" s="43" t="s">
        <v>406</v>
      </c>
      <c r="D314" s="43">
        <v>70312</v>
      </c>
      <c r="E314" t="s">
        <v>258</v>
      </c>
      <c r="F314" s="47" t="str">
        <f>+Empresa_Centro[[#This Row],[Codigo Centro Gestion]]&amp;" - "&amp;Empresa_Centro[[#This Row],[Nombre Centro Gestion]]</f>
        <v>70312 - CONTABILIDAD GENERAL</v>
      </c>
    </row>
    <row r="315" spans="1:6" x14ac:dyDescent="0.25">
      <c r="A315" s="43">
        <v>46</v>
      </c>
      <c r="B315" t="s">
        <v>50</v>
      </c>
      <c r="C315" s="43" t="s">
        <v>406</v>
      </c>
      <c r="D315" s="43">
        <v>1135202</v>
      </c>
      <c r="E315" t="s">
        <v>764</v>
      </c>
      <c r="F315" s="47" t="str">
        <f>+Empresa_Centro[[#This Row],[Codigo Centro Gestion]]&amp;" - "&amp;Empresa_Centro[[#This Row],[Nombre Centro Gestion]]</f>
        <v>1135202 - Terreno Las Rejas 904 - Inversiones</v>
      </c>
    </row>
    <row r="316" spans="1:6" x14ac:dyDescent="0.25">
      <c r="A316" s="43">
        <v>46</v>
      </c>
      <c r="B316" t="s">
        <v>50</v>
      </c>
      <c r="C316" s="43" t="s">
        <v>406</v>
      </c>
      <c r="D316" s="43">
        <v>10352000</v>
      </c>
      <c r="E316" t="s">
        <v>491</v>
      </c>
      <c r="F316" s="47" t="str">
        <f>+Empresa_Centro[[#This Row],[Codigo Centro Gestion]]&amp;" - "&amp;Empresa_Centro[[#This Row],[Nombre Centro Gestion]]</f>
        <v>10352000 - Miraflores Lote 1 Edificio 1</v>
      </c>
    </row>
    <row r="317" spans="1:6" x14ac:dyDescent="0.25">
      <c r="A317" s="43">
        <v>46</v>
      </c>
      <c r="B317" t="s">
        <v>50</v>
      </c>
      <c r="C317" s="43" t="s">
        <v>406</v>
      </c>
      <c r="D317" s="43">
        <v>10352102</v>
      </c>
      <c r="E317" t="s">
        <v>1403</v>
      </c>
      <c r="F317" s="47" t="str">
        <f>+Empresa_Centro[[#This Row],[Codigo Centro Gestion]]&amp;" - "&amp;Empresa_Centro[[#This Row],[Nombre Centro Gestion]]</f>
        <v>10352102 - Miraflores Lote 1 Edificio 1-Marketing</v>
      </c>
    </row>
    <row r="318" spans="1:6" x14ac:dyDescent="0.25">
      <c r="A318" s="43">
        <v>46</v>
      </c>
      <c r="B318" t="s">
        <v>50</v>
      </c>
      <c r="C318" s="43" t="s">
        <v>406</v>
      </c>
      <c r="D318" s="43">
        <v>10352103</v>
      </c>
      <c r="E318" t="s">
        <v>1404</v>
      </c>
      <c r="F318" s="47" t="str">
        <f>+Empresa_Centro[[#This Row],[Codigo Centro Gestion]]&amp;" - "&amp;Empresa_Centro[[#This Row],[Nombre Centro Gestion]]</f>
        <v>10352103 - Miraflores Lote 1 Edificio 1-Operaciones</v>
      </c>
    </row>
    <row r="319" spans="1:6" x14ac:dyDescent="0.25">
      <c r="A319" s="43">
        <v>46</v>
      </c>
      <c r="B319" t="s">
        <v>50</v>
      </c>
      <c r="C319" s="43" t="s">
        <v>406</v>
      </c>
      <c r="D319" s="43">
        <v>10352104</v>
      </c>
      <c r="E319" t="s">
        <v>1405</v>
      </c>
      <c r="F319" s="47" t="str">
        <f>+Empresa_Centro[[#This Row],[Codigo Centro Gestion]]&amp;" - "&amp;Empresa_Centro[[#This Row],[Nombre Centro Gestion]]</f>
        <v>10352104 - Miraflores Lote 1 Edificio 1-Ventas</v>
      </c>
    </row>
    <row r="320" spans="1:6" x14ac:dyDescent="0.25">
      <c r="A320" s="43">
        <v>46</v>
      </c>
      <c r="B320" t="s">
        <v>50</v>
      </c>
      <c r="C320" s="43" t="s">
        <v>406</v>
      </c>
      <c r="D320" s="43">
        <v>10352105</v>
      </c>
      <c r="E320" t="s">
        <v>1406</v>
      </c>
      <c r="F320" s="47" t="str">
        <f>+Empresa_Centro[[#This Row],[Codigo Centro Gestion]]&amp;" - "&amp;Empresa_Centro[[#This Row],[Nombre Centro Gestion]]</f>
        <v>10352105 - Miraflores Lote 1 Edificio 1-Clientes</v>
      </c>
    </row>
    <row r="321" spans="1:6" x14ac:dyDescent="0.25">
      <c r="A321" s="43">
        <v>46</v>
      </c>
      <c r="B321" t="s">
        <v>50</v>
      </c>
      <c r="C321" s="43" t="s">
        <v>406</v>
      </c>
      <c r="D321" s="43">
        <v>10352204</v>
      </c>
      <c r="E321" t="s">
        <v>1407</v>
      </c>
      <c r="F321" s="47" t="str">
        <f>+Empresa_Centro[[#This Row],[Codigo Centro Gestion]]&amp;" - "&amp;Empresa_Centro[[#This Row],[Nombre Centro Gestion]]</f>
        <v>10352204 - Miraflores Lote 1 Edificio 1-Proyecto</v>
      </c>
    </row>
    <row r="322" spans="1:6" x14ac:dyDescent="0.25">
      <c r="A322" s="43">
        <v>46</v>
      </c>
      <c r="B322" t="s">
        <v>50</v>
      </c>
      <c r="C322" s="43" t="s">
        <v>406</v>
      </c>
      <c r="D322" s="43">
        <v>10352301</v>
      </c>
      <c r="E322" t="s">
        <v>1408</v>
      </c>
      <c r="F322" s="47" t="str">
        <f>+Empresa_Centro[[#This Row],[Codigo Centro Gestion]]&amp;" - "&amp;Empresa_Centro[[#This Row],[Nombre Centro Gestion]]</f>
        <v>10352301 - Miraflores Lote 1 Edificio 1-GAF</v>
      </c>
    </row>
    <row r="323" spans="1:6" x14ac:dyDescent="0.25">
      <c r="A323" s="43">
        <v>46</v>
      </c>
      <c r="B323" t="s">
        <v>50</v>
      </c>
      <c r="C323" s="43" t="s">
        <v>406</v>
      </c>
      <c r="D323" s="43">
        <v>10352505</v>
      </c>
      <c r="E323" t="s">
        <v>1409</v>
      </c>
      <c r="F323" s="47" t="str">
        <f>+Empresa_Centro[[#This Row],[Codigo Centro Gestion]]&amp;" - "&amp;Empresa_Centro[[#This Row],[Nombre Centro Gestion]]</f>
        <v>10352505 - Miraflores Lote 1 Edificio 1-PV Inmob.</v>
      </c>
    </row>
    <row r="324" spans="1:6" x14ac:dyDescent="0.25">
      <c r="A324" s="43">
        <v>46</v>
      </c>
      <c r="B324" t="s">
        <v>50</v>
      </c>
      <c r="C324" s="43" t="s">
        <v>406</v>
      </c>
      <c r="D324" s="43">
        <v>10352506</v>
      </c>
      <c r="E324" t="s">
        <v>1410</v>
      </c>
      <c r="F324" s="47" t="str">
        <f>+Empresa_Centro[[#This Row],[Codigo Centro Gestion]]&amp;" - "&amp;Empresa_Centro[[#This Row],[Nombre Centro Gestion]]</f>
        <v>10352506 - Miraflores Lote 1 Edificio 1-Depto.Técnico</v>
      </c>
    </row>
    <row r="325" spans="1:6" x14ac:dyDescent="0.25">
      <c r="A325" s="43">
        <v>46</v>
      </c>
      <c r="B325" t="s">
        <v>50</v>
      </c>
      <c r="C325" s="43" t="s">
        <v>406</v>
      </c>
      <c r="D325" s="43">
        <v>10356000</v>
      </c>
      <c r="E325" t="s">
        <v>493</v>
      </c>
      <c r="F325" s="47" t="str">
        <f>+Empresa_Centro[[#This Row],[Codigo Centro Gestion]]&amp;" - "&amp;Empresa_Centro[[#This Row],[Nombre Centro Gestion]]</f>
        <v>10356000 - Miraflores Lote 2</v>
      </c>
    </row>
    <row r="326" spans="1:6" x14ac:dyDescent="0.25">
      <c r="A326" s="43">
        <v>46</v>
      </c>
      <c r="B326" t="s">
        <v>50</v>
      </c>
      <c r="C326" s="43" t="s">
        <v>406</v>
      </c>
      <c r="D326" s="43">
        <v>10356102</v>
      </c>
      <c r="E326" t="s">
        <v>1419</v>
      </c>
      <c r="F326" s="47" t="str">
        <f>+Empresa_Centro[[#This Row],[Codigo Centro Gestion]]&amp;" - "&amp;Empresa_Centro[[#This Row],[Nombre Centro Gestion]]</f>
        <v>10356102 - Miraflores Lote 2-Marketing</v>
      </c>
    </row>
    <row r="327" spans="1:6" x14ac:dyDescent="0.25">
      <c r="A327" s="43">
        <v>46</v>
      </c>
      <c r="B327" t="s">
        <v>50</v>
      </c>
      <c r="C327" s="43" t="s">
        <v>406</v>
      </c>
      <c r="D327" s="43">
        <v>10356103</v>
      </c>
      <c r="E327" t="s">
        <v>1420</v>
      </c>
      <c r="F327" s="47" t="str">
        <f>+Empresa_Centro[[#This Row],[Codigo Centro Gestion]]&amp;" - "&amp;Empresa_Centro[[#This Row],[Nombre Centro Gestion]]</f>
        <v>10356103 - Miraflores Lote 2-Operaciones</v>
      </c>
    </row>
    <row r="328" spans="1:6" x14ac:dyDescent="0.25">
      <c r="A328" s="43">
        <v>46</v>
      </c>
      <c r="B328" t="s">
        <v>50</v>
      </c>
      <c r="C328" s="43" t="s">
        <v>406</v>
      </c>
      <c r="D328" s="43">
        <v>10356104</v>
      </c>
      <c r="E328" t="s">
        <v>1421</v>
      </c>
      <c r="F328" s="47" t="str">
        <f>+Empresa_Centro[[#This Row],[Codigo Centro Gestion]]&amp;" - "&amp;Empresa_Centro[[#This Row],[Nombre Centro Gestion]]</f>
        <v>10356104 - Miraflores Lote 2-Ventas</v>
      </c>
    </row>
    <row r="329" spans="1:6" x14ac:dyDescent="0.25">
      <c r="A329" s="43">
        <v>46</v>
      </c>
      <c r="B329" t="s">
        <v>50</v>
      </c>
      <c r="C329" s="43" t="s">
        <v>406</v>
      </c>
      <c r="D329" s="43">
        <v>10356105</v>
      </c>
      <c r="E329" t="s">
        <v>1422</v>
      </c>
      <c r="F329" s="47" t="str">
        <f>+Empresa_Centro[[#This Row],[Codigo Centro Gestion]]&amp;" - "&amp;Empresa_Centro[[#This Row],[Nombre Centro Gestion]]</f>
        <v>10356105 - Miraflores Lote 2-Clientes</v>
      </c>
    </row>
    <row r="330" spans="1:6" x14ac:dyDescent="0.25">
      <c r="A330" s="43">
        <v>46</v>
      </c>
      <c r="B330" t="s">
        <v>50</v>
      </c>
      <c r="C330" s="43" t="s">
        <v>406</v>
      </c>
      <c r="D330" s="43">
        <v>10356204</v>
      </c>
      <c r="E330" t="s">
        <v>1423</v>
      </c>
      <c r="F330" s="47" t="str">
        <f>+Empresa_Centro[[#This Row],[Codigo Centro Gestion]]&amp;" - "&amp;Empresa_Centro[[#This Row],[Nombre Centro Gestion]]</f>
        <v>10356204 - Miraflores Lote 2-Proyecto</v>
      </c>
    </row>
    <row r="331" spans="1:6" x14ac:dyDescent="0.25">
      <c r="A331" s="43">
        <v>46</v>
      </c>
      <c r="B331" t="s">
        <v>50</v>
      </c>
      <c r="C331" s="43" t="s">
        <v>406</v>
      </c>
      <c r="D331" s="43">
        <v>10356301</v>
      </c>
      <c r="E331" t="s">
        <v>1424</v>
      </c>
      <c r="F331" s="47" t="str">
        <f>+Empresa_Centro[[#This Row],[Codigo Centro Gestion]]&amp;" - "&amp;Empresa_Centro[[#This Row],[Nombre Centro Gestion]]</f>
        <v>10356301 - Miraflores Lote 2-GAF</v>
      </c>
    </row>
    <row r="332" spans="1:6" x14ac:dyDescent="0.25">
      <c r="A332" s="43">
        <v>46</v>
      </c>
      <c r="B332" t="s">
        <v>50</v>
      </c>
      <c r="C332" s="43" t="s">
        <v>406</v>
      </c>
      <c r="D332" s="43">
        <v>10356505</v>
      </c>
      <c r="E332" t="s">
        <v>1425</v>
      </c>
      <c r="F332" s="47" t="str">
        <f>+Empresa_Centro[[#This Row],[Codigo Centro Gestion]]&amp;" - "&amp;Empresa_Centro[[#This Row],[Nombre Centro Gestion]]</f>
        <v>10356505 - Miraflores Lote 2-PV Inmob.</v>
      </c>
    </row>
    <row r="333" spans="1:6" x14ac:dyDescent="0.25">
      <c r="A333" s="43">
        <v>46</v>
      </c>
      <c r="B333" t="s">
        <v>50</v>
      </c>
      <c r="C333" s="43" t="s">
        <v>406</v>
      </c>
      <c r="D333" s="43">
        <v>10356506</v>
      </c>
      <c r="E333" t="s">
        <v>1426</v>
      </c>
      <c r="F333" s="47" t="str">
        <f>+Empresa_Centro[[#This Row],[Codigo Centro Gestion]]&amp;" - "&amp;Empresa_Centro[[#This Row],[Nombre Centro Gestion]]</f>
        <v>10356506 - Miraflores Lote 2-Depto.Técnico</v>
      </c>
    </row>
    <row r="334" spans="1:6" x14ac:dyDescent="0.25">
      <c r="A334" s="43">
        <v>38</v>
      </c>
      <c r="B334" t="s">
        <v>396</v>
      </c>
      <c r="C334" s="43" t="s">
        <v>397</v>
      </c>
      <c r="D334" s="43">
        <v>10315</v>
      </c>
      <c r="E334" t="s">
        <v>191</v>
      </c>
      <c r="F334" s="47" t="str">
        <f>+Empresa_Centro[[#This Row],[Codigo Centro Gestion]]&amp;" - "&amp;Empresa_Centro[[#This Row],[Nombre Centro Gestion]]</f>
        <v>10315 - Centro General zonal</v>
      </c>
    </row>
    <row r="335" spans="1:6" x14ac:dyDescent="0.25">
      <c r="A335" s="43">
        <v>38</v>
      </c>
      <c r="B335" t="s">
        <v>396</v>
      </c>
      <c r="C335" s="43" t="s">
        <v>397</v>
      </c>
      <c r="D335" s="43">
        <v>70307</v>
      </c>
      <c r="E335" t="s">
        <v>250</v>
      </c>
      <c r="F335" s="47" t="str">
        <f>+Empresa_Centro[[#This Row],[Codigo Centro Gestion]]&amp;" - "&amp;Empresa_Centro[[#This Row],[Nombre Centro Gestion]]</f>
        <v>70307 - FINANZAS</v>
      </c>
    </row>
    <row r="336" spans="1:6" x14ac:dyDescent="0.25">
      <c r="A336" s="43">
        <v>38</v>
      </c>
      <c r="B336" t="s">
        <v>396</v>
      </c>
      <c r="C336" s="43" t="s">
        <v>397</v>
      </c>
      <c r="D336" s="43">
        <v>70309</v>
      </c>
      <c r="E336" t="s">
        <v>252</v>
      </c>
      <c r="F336" s="47" t="str">
        <f>+Empresa_Centro[[#This Row],[Codigo Centro Gestion]]&amp;" - "&amp;Empresa_Centro[[#This Row],[Nombre Centro Gestion]]</f>
        <v>70309 - OFICINA CENTRAL</v>
      </c>
    </row>
    <row r="337" spans="1:6" x14ac:dyDescent="0.25">
      <c r="A337" s="43">
        <v>38</v>
      </c>
      <c r="B337" t="s">
        <v>396</v>
      </c>
      <c r="C337" s="43" t="s">
        <v>397</v>
      </c>
      <c r="D337" s="43">
        <v>70311</v>
      </c>
      <c r="E337" t="s">
        <v>257</v>
      </c>
      <c r="F337" s="47" t="str">
        <f>+Empresa_Centro[[#This Row],[Codigo Centro Gestion]]&amp;" - "&amp;Empresa_Centro[[#This Row],[Nombre Centro Gestion]]</f>
        <v>70311 - OFICINA CENTRAL CONTABILIDAD</v>
      </c>
    </row>
    <row r="338" spans="1:6" x14ac:dyDescent="0.25">
      <c r="A338" s="43">
        <v>38</v>
      </c>
      <c r="B338" t="s">
        <v>396</v>
      </c>
      <c r="C338" s="43" t="s">
        <v>397</v>
      </c>
      <c r="D338" s="43">
        <v>70312</v>
      </c>
      <c r="E338" t="s">
        <v>258</v>
      </c>
      <c r="F338" s="47" t="str">
        <f>+Empresa_Centro[[#This Row],[Codigo Centro Gestion]]&amp;" - "&amp;Empresa_Centro[[#This Row],[Nombre Centro Gestion]]</f>
        <v>70312 - CONTABILIDAD GENERAL</v>
      </c>
    </row>
    <row r="339" spans="1:6" x14ac:dyDescent="0.25">
      <c r="A339" s="43">
        <v>38</v>
      </c>
      <c r="B339" t="s">
        <v>396</v>
      </c>
      <c r="C339" s="43" t="s">
        <v>397</v>
      </c>
      <c r="D339" s="43">
        <v>1036202</v>
      </c>
      <c r="E339" t="s">
        <v>721</v>
      </c>
      <c r="F339" s="47" t="str">
        <f>+Empresa_Centro[[#This Row],[Codigo Centro Gestion]]&amp;" - "&amp;Empresa_Centro[[#This Row],[Nombre Centro Gestion]]</f>
        <v>1036202 - Terreno Santa Elena-Desarrollo</v>
      </c>
    </row>
    <row r="340" spans="1:6" x14ac:dyDescent="0.25">
      <c r="A340" s="43">
        <v>38</v>
      </c>
      <c r="B340" t="s">
        <v>396</v>
      </c>
      <c r="C340" s="43" t="s">
        <v>397</v>
      </c>
      <c r="D340" s="43">
        <v>1054202</v>
      </c>
      <c r="E340" t="s">
        <v>722</v>
      </c>
      <c r="F340" s="47" t="str">
        <f>+Empresa_Centro[[#This Row],[Codigo Centro Gestion]]&amp;" - "&amp;Empresa_Centro[[#This Row],[Nombre Centro Gestion]]</f>
        <v>1054202 - Terreno Santo Domingo-Desarrollo</v>
      </c>
    </row>
    <row r="341" spans="1:6" x14ac:dyDescent="0.25">
      <c r="A341" s="43">
        <v>38</v>
      </c>
      <c r="B341" t="s">
        <v>396</v>
      </c>
      <c r="C341" s="43" t="s">
        <v>397</v>
      </c>
      <c r="D341" s="43">
        <v>1075202</v>
      </c>
      <c r="E341" t="s">
        <v>725</v>
      </c>
      <c r="F341" s="47" t="str">
        <f>+Empresa_Centro[[#This Row],[Codigo Centro Gestion]]&amp;" - "&amp;Empresa_Centro[[#This Row],[Nombre Centro Gestion]]</f>
        <v>1075202 - Terreno Santa Elena 2015-Desarrollo</v>
      </c>
    </row>
    <row r="342" spans="1:6" x14ac:dyDescent="0.25">
      <c r="A342" s="43">
        <v>38</v>
      </c>
      <c r="B342" t="s">
        <v>396</v>
      </c>
      <c r="C342" s="43" t="s">
        <v>397</v>
      </c>
      <c r="D342" s="43">
        <v>1087202</v>
      </c>
      <c r="E342" t="s">
        <v>731</v>
      </c>
      <c r="F342" s="47" t="str">
        <f>+Empresa_Centro[[#This Row],[Codigo Centro Gestion]]&amp;" - "&amp;Empresa_Centro[[#This Row],[Nombre Centro Gestion]]</f>
        <v>1087202 - Terreno Sanz/Constantino - Desarrollo</v>
      </c>
    </row>
    <row r="343" spans="1:6" x14ac:dyDescent="0.25">
      <c r="A343" s="43">
        <v>38</v>
      </c>
      <c r="B343" t="s">
        <v>396</v>
      </c>
      <c r="C343" s="43" t="s">
        <v>397</v>
      </c>
      <c r="D343" s="43">
        <v>1094202</v>
      </c>
      <c r="E343" t="s">
        <v>737</v>
      </c>
      <c r="F343" s="47" t="str">
        <f>+Empresa_Centro[[#This Row],[Codigo Centro Gestion]]&amp;" - "&amp;Empresa_Centro[[#This Row],[Nombre Centro Gestion]]</f>
        <v>1094202 - Terreno Recreo – Inversiones</v>
      </c>
    </row>
    <row r="344" spans="1:6" x14ac:dyDescent="0.25">
      <c r="A344" s="43">
        <v>38</v>
      </c>
      <c r="B344" t="s">
        <v>396</v>
      </c>
      <c r="C344" s="43" t="s">
        <v>397</v>
      </c>
      <c r="D344" s="43">
        <v>1095202</v>
      </c>
      <c r="E344" t="s">
        <v>738</v>
      </c>
      <c r="F344" s="47" t="str">
        <f>+Empresa_Centro[[#This Row],[Codigo Centro Gestion]]&amp;" - "&amp;Empresa_Centro[[#This Row],[Nombre Centro Gestion]]</f>
        <v>1095202 - Terreno Conde Maule – Inversiones</v>
      </c>
    </row>
    <row r="345" spans="1:6" x14ac:dyDescent="0.25">
      <c r="A345" s="43">
        <v>38</v>
      </c>
      <c r="B345" t="s">
        <v>396</v>
      </c>
      <c r="C345" s="43" t="s">
        <v>397</v>
      </c>
      <c r="D345" s="43">
        <v>1105202</v>
      </c>
      <c r="E345" t="s">
        <v>744</v>
      </c>
      <c r="F345" s="47" t="str">
        <f>+Empresa_Centro[[#This Row],[Codigo Centro Gestion]]&amp;" - "&amp;Empresa_Centro[[#This Row],[Nombre Centro Gestion]]</f>
        <v>1105202 - Terreno Coronel Souper – Estación Central – Inversiones</v>
      </c>
    </row>
    <row r="346" spans="1:6" x14ac:dyDescent="0.25">
      <c r="A346" s="43">
        <v>38</v>
      </c>
      <c r="B346" t="s">
        <v>396</v>
      </c>
      <c r="C346" s="43" t="s">
        <v>397</v>
      </c>
      <c r="D346" s="43">
        <v>1106202</v>
      </c>
      <c r="E346" t="s">
        <v>745</v>
      </c>
      <c r="F346" s="47" t="str">
        <f>+Empresa_Centro[[#This Row],[Codigo Centro Gestion]]&amp;" - "&amp;Empresa_Centro[[#This Row],[Nombre Centro Gestion]]</f>
        <v xml:space="preserve">1106202 - Terreno La Coruña – Inversiones </v>
      </c>
    </row>
    <row r="347" spans="1:6" x14ac:dyDescent="0.25">
      <c r="A347" s="43">
        <v>38</v>
      </c>
      <c r="B347" t="s">
        <v>396</v>
      </c>
      <c r="C347" s="43" t="s">
        <v>397</v>
      </c>
      <c r="D347" s="43">
        <v>1109202</v>
      </c>
      <c r="E347" t="s">
        <v>747</v>
      </c>
      <c r="F347" s="47" t="str">
        <f>+Empresa_Centro[[#This Row],[Codigo Centro Gestion]]&amp;" - "&amp;Empresa_Centro[[#This Row],[Nombre Centro Gestion]]</f>
        <v>1109202 - Terreno Guillermo Mann – Inversiones</v>
      </c>
    </row>
    <row r="348" spans="1:6" x14ac:dyDescent="0.25">
      <c r="A348" s="43">
        <v>38</v>
      </c>
      <c r="B348" t="s">
        <v>396</v>
      </c>
      <c r="C348" s="43" t="s">
        <v>397</v>
      </c>
      <c r="D348" s="43">
        <v>1112202</v>
      </c>
      <c r="E348" t="s">
        <v>748</v>
      </c>
      <c r="F348" s="47" t="str">
        <f>+Empresa_Centro[[#This Row],[Codigo Centro Gestion]]&amp;" - "&amp;Empresa_Centro[[#This Row],[Nombre Centro Gestion]]</f>
        <v>1112202 - Terreno Fco. Zelada 126 – Inversiones</v>
      </c>
    </row>
    <row r="349" spans="1:6" x14ac:dyDescent="0.25">
      <c r="A349" s="43">
        <v>38</v>
      </c>
      <c r="B349" t="s">
        <v>396</v>
      </c>
      <c r="C349" s="43" t="s">
        <v>397</v>
      </c>
      <c r="D349" s="43">
        <v>1114202</v>
      </c>
      <c r="E349" t="s">
        <v>749</v>
      </c>
      <c r="F349" s="47" t="str">
        <f>+Empresa_Centro[[#This Row],[Codigo Centro Gestion]]&amp;" - "&amp;Empresa_Centro[[#This Row],[Nombre Centro Gestion]]</f>
        <v xml:space="preserve">1114202 - Terreno Condominio Manuel Jesús Rivera  – Inversiones </v>
      </c>
    </row>
    <row r="350" spans="1:6" x14ac:dyDescent="0.25">
      <c r="A350" s="43">
        <v>38</v>
      </c>
      <c r="B350" t="s">
        <v>396</v>
      </c>
      <c r="C350" s="43" t="s">
        <v>397</v>
      </c>
      <c r="D350" s="43">
        <v>1119202</v>
      </c>
      <c r="E350" t="s">
        <v>753</v>
      </c>
      <c r="F350" s="47" t="str">
        <f>+Empresa_Centro[[#This Row],[Codigo Centro Gestion]]&amp;" - "&amp;Empresa_Centro[[#This Row],[Nombre Centro Gestion]]</f>
        <v>1119202 - Terreno García Reyes 68 – Inversiones</v>
      </c>
    </row>
    <row r="351" spans="1:6" x14ac:dyDescent="0.25">
      <c r="A351" s="43">
        <v>38</v>
      </c>
      <c r="B351" t="s">
        <v>396</v>
      </c>
      <c r="C351" s="43" t="s">
        <v>397</v>
      </c>
      <c r="D351" s="43">
        <v>1122202</v>
      </c>
      <c r="E351" t="s">
        <v>755</v>
      </c>
      <c r="F351" s="47" t="str">
        <f>+Empresa_Centro[[#This Row],[Codigo Centro Gestion]]&amp;" - "&amp;Empresa_Centro[[#This Row],[Nombre Centro Gestion]]</f>
        <v>1122202 - Terreno Lago Ranco 1890 – Inversiones</v>
      </c>
    </row>
    <row r="352" spans="1:6" x14ac:dyDescent="0.25">
      <c r="A352" s="43">
        <v>38</v>
      </c>
      <c r="B352" t="s">
        <v>396</v>
      </c>
      <c r="C352" s="43" t="s">
        <v>397</v>
      </c>
      <c r="D352" s="43">
        <v>1123202</v>
      </c>
      <c r="E352" t="s">
        <v>756</v>
      </c>
      <c r="F352" s="47" t="str">
        <f>+Empresa_Centro[[#This Row],[Codigo Centro Gestion]]&amp;" - "&amp;Empresa_Centro[[#This Row],[Nombre Centro Gestion]]</f>
        <v>1123202 - Terreno Recoleta 5377– Inversiones</v>
      </c>
    </row>
    <row r="353" spans="1:6" x14ac:dyDescent="0.25">
      <c r="A353" s="43">
        <v>38</v>
      </c>
      <c r="B353" t="s">
        <v>396</v>
      </c>
      <c r="C353" s="43" t="s">
        <v>397</v>
      </c>
      <c r="D353" s="43">
        <v>1141202</v>
      </c>
      <c r="E353" t="s">
        <v>767</v>
      </c>
      <c r="F353" s="47" t="str">
        <f>+Empresa_Centro[[#This Row],[Codigo Centro Gestion]]&amp;" - "&amp;Empresa_Centro[[#This Row],[Nombre Centro Gestion]]</f>
        <v>1141202 - Terreno Vicente Reyes 90 - Inversiones</v>
      </c>
    </row>
    <row r="354" spans="1:6" x14ac:dyDescent="0.25">
      <c r="A354" s="43">
        <v>38</v>
      </c>
      <c r="B354" t="s">
        <v>396</v>
      </c>
      <c r="C354" s="43" t="s">
        <v>397</v>
      </c>
      <c r="D354" s="43">
        <v>1159202</v>
      </c>
      <c r="E354" t="s">
        <v>776</v>
      </c>
      <c r="F354" s="47" t="str">
        <f>+Empresa_Centro[[#This Row],[Codigo Centro Gestion]]&amp;" - "&amp;Empresa_Centro[[#This Row],[Nombre Centro Gestion]]</f>
        <v>1159202 - Terreno Carmen 1879  - Inversiones</v>
      </c>
    </row>
    <row r="355" spans="1:6" x14ac:dyDescent="0.25">
      <c r="A355" s="43">
        <v>38</v>
      </c>
      <c r="B355" t="s">
        <v>396</v>
      </c>
      <c r="C355" s="43" t="s">
        <v>397</v>
      </c>
      <c r="D355" s="43">
        <v>1166202</v>
      </c>
      <c r="E355" t="s">
        <v>778</v>
      </c>
      <c r="F355" s="47" t="str">
        <f>+Empresa_Centro[[#This Row],[Codigo Centro Gestion]]&amp;" - "&amp;Empresa_Centro[[#This Row],[Nombre Centro Gestion]]</f>
        <v>1166202 - Terreno DS19 Gran Avenida Etapa 2 (Torre A-B) – Inversiones</v>
      </c>
    </row>
    <row r="356" spans="1:6" x14ac:dyDescent="0.25">
      <c r="A356" s="43">
        <v>38</v>
      </c>
      <c r="B356" t="s">
        <v>396</v>
      </c>
      <c r="C356" s="43" t="s">
        <v>397</v>
      </c>
      <c r="D356" s="43">
        <v>1167202</v>
      </c>
      <c r="E356" t="s">
        <v>779</v>
      </c>
      <c r="F356" s="47" t="str">
        <f>+Empresa_Centro[[#This Row],[Codigo Centro Gestion]]&amp;" - "&amp;Empresa_Centro[[#This Row],[Nombre Centro Gestion]]</f>
        <v>1167202 - Terreno DS19 Gran Avenida Etapa 1 (Torre C-D) – Inversiones</v>
      </c>
    </row>
    <row r="357" spans="1:6" x14ac:dyDescent="0.25">
      <c r="A357" s="43">
        <v>38</v>
      </c>
      <c r="B357" t="s">
        <v>396</v>
      </c>
      <c r="C357" s="43" t="s">
        <v>397</v>
      </c>
      <c r="D357" s="43">
        <v>10199000</v>
      </c>
      <c r="E357" t="s">
        <v>860</v>
      </c>
      <c r="F357" s="47" t="str">
        <f>+Empresa_Centro[[#This Row],[Codigo Centro Gestion]]&amp;" - "&amp;Empresa_Centro[[#This Row],[Nombre Centro Gestion]]</f>
        <v>10199000 - Vista Independencia</v>
      </c>
    </row>
    <row r="358" spans="1:6" x14ac:dyDescent="0.25">
      <c r="A358" s="43">
        <v>38</v>
      </c>
      <c r="B358" t="s">
        <v>396</v>
      </c>
      <c r="C358" s="43" t="s">
        <v>397</v>
      </c>
      <c r="D358" s="43">
        <v>10199102</v>
      </c>
      <c r="E358" t="s">
        <v>861</v>
      </c>
      <c r="F358" s="47" t="str">
        <f>+Empresa_Centro[[#This Row],[Codigo Centro Gestion]]&amp;" - "&amp;Empresa_Centro[[#This Row],[Nombre Centro Gestion]]</f>
        <v>10199102 - Vista Independencia-Marketing</v>
      </c>
    </row>
    <row r="359" spans="1:6" x14ac:dyDescent="0.25">
      <c r="A359" s="43">
        <v>38</v>
      </c>
      <c r="B359" t="s">
        <v>396</v>
      </c>
      <c r="C359" s="43" t="s">
        <v>397</v>
      </c>
      <c r="D359" s="43">
        <v>10199103</v>
      </c>
      <c r="E359" t="s">
        <v>862</v>
      </c>
      <c r="F359" s="47" t="str">
        <f>+Empresa_Centro[[#This Row],[Codigo Centro Gestion]]&amp;" - "&amp;Empresa_Centro[[#This Row],[Nombre Centro Gestion]]</f>
        <v>10199103 - Vista Independencia-Operaciones</v>
      </c>
    </row>
    <row r="360" spans="1:6" x14ac:dyDescent="0.25">
      <c r="A360" s="43">
        <v>38</v>
      </c>
      <c r="B360" t="s">
        <v>396</v>
      </c>
      <c r="C360" s="43" t="s">
        <v>397</v>
      </c>
      <c r="D360" s="43">
        <v>10199105</v>
      </c>
      <c r="E360" t="s">
        <v>864</v>
      </c>
      <c r="F360" s="47" t="str">
        <f>+Empresa_Centro[[#This Row],[Codigo Centro Gestion]]&amp;" - "&amp;Empresa_Centro[[#This Row],[Nombre Centro Gestion]]</f>
        <v>10199105 - Vista Independencia-Clientes</v>
      </c>
    </row>
    <row r="361" spans="1:6" x14ac:dyDescent="0.25">
      <c r="A361" s="43">
        <v>38</v>
      </c>
      <c r="B361" t="s">
        <v>396</v>
      </c>
      <c r="C361" s="43" t="s">
        <v>397</v>
      </c>
      <c r="D361" s="43">
        <v>10199204</v>
      </c>
      <c r="E361" t="s">
        <v>865</v>
      </c>
      <c r="F361" s="47" t="str">
        <f>+Empresa_Centro[[#This Row],[Codigo Centro Gestion]]&amp;" - "&amp;Empresa_Centro[[#This Row],[Nombre Centro Gestion]]</f>
        <v>10199204 - Vista Independencia-Proyecto</v>
      </c>
    </row>
    <row r="362" spans="1:6" x14ac:dyDescent="0.25">
      <c r="A362" s="43">
        <v>38</v>
      </c>
      <c r="B362" t="s">
        <v>396</v>
      </c>
      <c r="C362" s="43" t="s">
        <v>397</v>
      </c>
      <c r="D362" s="43">
        <v>10199301</v>
      </c>
      <c r="E362" t="s">
        <v>866</v>
      </c>
      <c r="F362" s="47" t="str">
        <f>+Empresa_Centro[[#This Row],[Codigo Centro Gestion]]&amp;" - "&amp;Empresa_Centro[[#This Row],[Nombre Centro Gestion]]</f>
        <v>10199301 - Vista Independencia-GAF</v>
      </c>
    </row>
    <row r="363" spans="1:6" x14ac:dyDescent="0.25">
      <c r="A363" s="43">
        <v>38</v>
      </c>
      <c r="B363" t="s">
        <v>396</v>
      </c>
      <c r="C363" s="43" t="s">
        <v>397</v>
      </c>
      <c r="D363" s="43">
        <v>10199505</v>
      </c>
      <c r="E363" t="s">
        <v>867</v>
      </c>
      <c r="F363" s="47" t="str">
        <f>+Empresa_Centro[[#This Row],[Codigo Centro Gestion]]&amp;" - "&amp;Empresa_Centro[[#This Row],[Nombre Centro Gestion]]</f>
        <v>10199505 - Vista Independencia-PV Inmob.</v>
      </c>
    </row>
    <row r="364" spans="1:6" x14ac:dyDescent="0.25">
      <c r="A364" s="43">
        <v>38</v>
      </c>
      <c r="B364" t="s">
        <v>396</v>
      </c>
      <c r="C364" s="43" t="s">
        <v>397</v>
      </c>
      <c r="D364" s="43">
        <v>10199506</v>
      </c>
      <c r="E364" t="s">
        <v>868</v>
      </c>
      <c r="F364" s="47" t="str">
        <f>+Empresa_Centro[[#This Row],[Codigo Centro Gestion]]&amp;" - "&amp;Empresa_Centro[[#This Row],[Nombre Centro Gestion]]</f>
        <v>10199506 - Vista Independencia-Depto.Técnico</v>
      </c>
    </row>
    <row r="365" spans="1:6" x14ac:dyDescent="0.25">
      <c r="A365" s="43">
        <v>38</v>
      </c>
      <c r="B365" t="s">
        <v>396</v>
      </c>
      <c r="C365" s="43" t="s">
        <v>397</v>
      </c>
      <c r="D365" s="43">
        <v>10201000</v>
      </c>
      <c r="E365" t="s">
        <v>878</v>
      </c>
      <c r="F365" s="47" t="str">
        <f>+Empresa_Centro[[#This Row],[Codigo Centro Gestion]]&amp;" - "&amp;Empresa_Centro[[#This Row],[Nombre Centro Gestion]]</f>
        <v>10201000 - Nuevo Ecuador</v>
      </c>
    </row>
    <row r="366" spans="1:6" x14ac:dyDescent="0.25">
      <c r="A366" s="43">
        <v>38</v>
      </c>
      <c r="B366" t="s">
        <v>396</v>
      </c>
      <c r="C366" s="43" t="s">
        <v>397</v>
      </c>
      <c r="D366" s="43">
        <v>10201102</v>
      </c>
      <c r="E366" t="s">
        <v>879</v>
      </c>
      <c r="F366" s="47" t="str">
        <f>+Empresa_Centro[[#This Row],[Codigo Centro Gestion]]&amp;" - "&amp;Empresa_Centro[[#This Row],[Nombre Centro Gestion]]</f>
        <v>10201102 - Nuevo Ecuador-Marketing</v>
      </c>
    </row>
    <row r="367" spans="1:6" x14ac:dyDescent="0.25">
      <c r="A367" s="43">
        <v>38</v>
      </c>
      <c r="B367" t="s">
        <v>396</v>
      </c>
      <c r="C367" s="43" t="s">
        <v>397</v>
      </c>
      <c r="D367" s="43">
        <v>10201103</v>
      </c>
      <c r="E367" t="s">
        <v>880</v>
      </c>
      <c r="F367" s="47" t="str">
        <f>+Empresa_Centro[[#This Row],[Codigo Centro Gestion]]&amp;" - "&amp;Empresa_Centro[[#This Row],[Nombre Centro Gestion]]</f>
        <v>10201103 - Nuevo Ecuador-Operaciones</v>
      </c>
    </row>
    <row r="368" spans="1:6" x14ac:dyDescent="0.25">
      <c r="A368" s="43">
        <v>38</v>
      </c>
      <c r="B368" t="s">
        <v>396</v>
      </c>
      <c r="C368" s="43" t="s">
        <v>397</v>
      </c>
      <c r="D368" s="43">
        <v>10201104</v>
      </c>
      <c r="E368" t="s">
        <v>881</v>
      </c>
      <c r="F368" s="47" t="str">
        <f>+Empresa_Centro[[#This Row],[Codigo Centro Gestion]]&amp;" - "&amp;Empresa_Centro[[#This Row],[Nombre Centro Gestion]]</f>
        <v>10201104 - Nuevo Ecuador-Ventas</v>
      </c>
    </row>
    <row r="369" spans="1:6" x14ac:dyDescent="0.25">
      <c r="A369" s="43">
        <v>38</v>
      </c>
      <c r="B369" t="s">
        <v>396</v>
      </c>
      <c r="C369" s="43" t="s">
        <v>397</v>
      </c>
      <c r="D369" s="43">
        <v>10201105</v>
      </c>
      <c r="E369" t="s">
        <v>882</v>
      </c>
      <c r="F369" s="47" t="str">
        <f>+Empresa_Centro[[#This Row],[Codigo Centro Gestion]]&amp;" - "&amp;Empresa_Centro[[#This Row],[Nombre Centro Gestion]]</f>
        <v>10201105 - Nuevo Ecuador-Clientes</v>
      </c>
    </row>
    <row r="370" spans="1:6" x14ac:dyDescent="0.25">
      <c r="A370" s="43">
        <v>38</v>
      </c>
      <c r="B370" t="s">
        <v>396</v>
      </c>
      <c r="C370" s="43" t="s">
        <v>397</v>
      </c>
      <c r="D370" s="43">
        <v>10201204</v>
      </c>
      <c r="E370" t="s">
        <v>883</v>
      </c>
      <c r="F370" s="47" t="str">
        <f>+Empresa_Centro[[#This Row],[Codigo Centro Gestion]]&amp;" - "&amp;Empresa_Centro[[#This Row],[Nombre Centro Gestion]]</f>
        <v>10201204 - Nuevo Ecuador-Proyecto</v>
      </c>
    </row>
    <row r="371" spans="1:6" x14ac:dyDescent="0.25">
      <c r="A371" s="43">
        <v>38</v>
      </c>
      <c r="B371" t="s">
        <v>396</v>
      </c>
      <c r="C371" s="43" t="s">
        <v>397</v>
      </c>
      <c r="D371" s="43">
        <v>10201301</v>
      </c>
      <c r="E371" t="s">
        <v>884</v>
      </c>
      <c r="F371" s="47" t="str">
        <f>+Empresa_Centro[[#This Row],[Codigo Centro Gestion]]&amp;" - "&amp;Empresa_Centro[[#This Row],[Nombre Centro Gestion]]</f>
        <v>10201301 - Nuevo Ecuador-GAF</v>
      </c>
    </row>
    <row r="372" spans="1:6" x14ac:dyDescent="0.25">
      <c r="A372" s="43">
        <v>38</v>
      </c>
      <c r="B372" t="s">
        <v>396</v>
      </c>
      <c r="C372" s="43" t="s">
        <v>397</v>
      </c>
      <c r="D372" s="43">
        <v>10201505</v>
      </c>
      <c r="E372" t="s">
        <v>887</v>
      </c>
      <c r="F372" s="47" t="str">
        <f>+Empresa_Centro[[#This Row],[Codigo Centro Gestion]]&amp;" - "&amp;Empresa_Centro[[#This Row],[Nombre Centro Gestion]]</f>
        <v>10201505 - Nuevo Ecuador-PV Inmob.</v>
      </c>
    </row>
    <row r="373" spans="1:6" x14ac:dyDescent="0.25">
      <c r="A373" s="43">
        <v>38</v>
      </c>
      <c r="B373" t="s">
        <v>396</v>
      </c>
      <c r="C373" s="43" t="s">
        <v>397</v>
      </c>
      <c r="D373" s="43">
        <v>10201506</v>
      </c>
      <c r="E373" t="s">
        <v>888</v>
      </c>
      <c r="F373" s="47" t="str">
        <f>+Empresa_Centro[[#This Row],[Codigo Centro Gestion]]&amp;" - "&amp;Empresa_Centro[[#This Row],[Nombre Centro Gestion]]</f>
        <v>10201506 - Nuevo Ecuador-Depto. Técnico</v>
      </c>
    </row>
    <row r="374" spans="1:6" x14ac:dyDescent="0.25">
      <c r="A374" s="43">
        <v>38</v>
      </c>
      <c r="B374" t="s">
        <v>396</v>
      </c>
      <c r="C374" s="43" t="s">
        <v>397</v>
      </c>
      <c r="D374" s="43">
        <v>10202000</v>
      </c>
      <c r="E374" t="s">
        <v>889</v>
      </c>
      <c r="F374" s="47" t="str">
        <f>+Empresa_Centro[[#This Row],[Codigo Centro Gestion]]&amp;" - "&amp;Empresa_Centro[[#This Row],[Nombre Centro Gestion]]</f>
        <v>10202000 - Parque Central</v>
      </c>
    </row>
    <row r="375" spans="1:6" x14ac:dyDescent="0.25">
      <c r="A375" s="43">
        <v>38</v>
      </c>
      <c r="B375" t="s">
        <v>396</v>
      </c>
      <c r="C375" s="43" t="s">
        <v>397</v>
      </c>
      <c r="D375" s="43">
        <v>10202102</v>
      </c>
      <c r="E375" t="s">
        <v>890</v>
      </c>
      <c r="F375" s="47" t="str">
        <f>+Empresa_Centro[[#This Row],[Codigo Centro Gestion]]&amp;" - "&amp;Empresa_Centro[[#This Row],[Nombre Centro Gestion]]</f>
        <v>10202102 - Parque Central-Marketing</v>
      </c>
    </row>
    <row r="376" spans="1:6" x14ac:dyDescent="0.25">
      <c r="A376" s="43">
        <v>38</v>
      </c>
      <c r="B376" t="s">
        <v>396</v>
      </c>
      <c r="C376" s="43" t="s">
        <v>397</v>
      </c>
      <c r="D376" s="43">
        <v>10202103</v>
      </c>
      <c r="E376" t="s">
        <v>891</v>
      </c>
      <c r="F376" s="47" t="str">
        <f>+Empresa_Centro[[#This Row],[Codigo Centro Gestion]]&amp;" - "&amp;Empresa_Centro[[#This Row],[Nombre Centro Gestion]]</f>
        <v>10202103 - Parque Central-Operaciones</v>
      </c>
    </row>
    <row r="377" spans="1:6" x14ac:dyDescent="0.25">
      <c r="A377" s="43">
        <v>38</v>
      </c>
      <c r="B377" t="s">
        <v>396</v>
      </c>
      <c r="C377" s="43" t="s">
        <v>397</v>
      </c>
      <c r="D377" s="43">
        <v>10202104</v>
      </c>
      <c r="E377" t="s">
        <v>892</v>
      </c>
      <c r="F377" s="47" t="str">
        <f>+Empresa_Centro[[#This Row],[Codigo Centro Gestion]]&amp;" - "&amp;Empresa_Centro[[#This Row],[Nombre Centro Gestion]]</f>
        <v>10202104 - Parque Central-Ventas</v>
      </c>
    </row>
    <row r="378" spans="1:6" x14ac:dyDescent="0.25">
      <c r="A378" s="43">
        <v>38</v>
      </c>
      <c r="B378" t="s">
        <v>396</v>
      </c>
      <c r="C378" s="43" t="s">
        <v>397</v>
      </c>
      <c r="D378" s="43">
        <v>10202105</v>
      </c>
      <c r="E378" t="s">
        <v>893</v>
      </c>
      <c r="F378" s="47" t="str">
        <f>+Empresa_Centro[[#This Row],[Codigo Centro Gestion]]&amp;" - "&amp;Empresa_Centro[[#This Row],[Nombre Centro Gestion]]</f>
        <v>10202105 - Parque Central-Clientes</v>
      </c>
    </row>
    <row r="379" spans="1:6" x14ac:dyDescent="0.25">
      <c r="A379" s="43">
        <v>38</v>
      </c>
      <c r="B379" t="s">
        <v>396</v>
      </c>
      <c r="C379" s="43" t="s">
        <v>397</v>
      </c>
      <c r="D379" s="43">
        <v>10202204</v>
      </c>
      <c r="E379" t="s">
        <v>894</v>
      </c>
      <c r="F379" s="47" t="str">
        <f>+Empresa_Centro[[#This Row],[Codigo Centro Gestion]]&amp;" - "&amp;Empresa_Centro[[#This Row],[Nombre Centro Gestion]]</f>
        <v>10202204 - Parque Central-Proyecto</v>
      </c>
    </row>
    <row r="380" spans="1:6" x14ac:dyDescent="0.25">
      <c r="A380" s="43">
        <v>38</v>
      </c>
      <c r="B380" t="s">
        <v>396</v>
      </c>
      <c r="C380" s="43" t="s">
        <v>397</v>
      </c>
      <c r="D380" s="43">
        <v>10202301</v>
      </c>
      <c r="E380" t="s">
        <v>895</v>
      </c>
      <c r="F380" s="47" t="str">
        <f>+Empresa_Centro[[#This Row],[Codigo Centro Gestion]]&amp;" - "&amp;Empresa_Centro[[#This Row],[Nombre Centro Gestion]]</f>
        <v>10202301 - Parque Central-GAF</v>
      </c>
    </row>
    <row r="381" spans="1:6" x14ac:dyDescent="0.25">
      <c r="A381" s="43">
        <v>38</v>
      </c>
      <c r="B381" t="s">
        <v>396</v>
      </c>
      <c r="C381" s="43" t="s">
        <v>397</v>
      </c>
      <c r="D381" s="43">
        <v>10202505</v>
      </c>
      <c r="E381" t="s">
        <v>896</v>
      </c>
      <c r="F381" s="47" t="str">
        <f>+Empresa_Centro[[#This Row],[Codigo Centro Gestion]]&amp;" - "&amp;Empresa_Centro[[#This Row],[Nombre Centro Gestion]]</f>
        <v>10202505 - Parque Central-PV Inmob.</v>
      </c>
    </row>
    <row r="382" spans="1:6" x14ac:dyDescent="0.25">
      <c r="A382" s="43">
        <v>38</v>
      </c>
      <c r="B382" t="s">
        <v>396</v>
      </c>
      <c r="C382" s="43" t="s">
        <v>397</v>
      </c>
      <c r="D382" s="43">
        <v>10202506</v>
      </c>
      <c r="E382" t="s">
        <v>897</v>
      </c>
      <c r="F382" s="47" t="str">
        <f>+Empresa_Centro[[#This Row],[Codigo Centro Gestion]]&amp;" - "&amp;Empresa_Centro[[#This Row],[Nombre Centro Gestion]]</f>
        <v>10202506 - Parque Central-Depto.Técnico</v>
      </c>
    </row>
    <row r="383" spans="1:6" x14ac:dyDescent="0.25">
      <c r="A383" s="43">
        <v>38</v>
      </c>
      <c r="B383" t="s">
        <v>396</v>
      </c>
      <c r="C383" s="43" t="s">
        <v>397</v>
      </c>
      <c r="D383" s="43">
        <v>10203000</v>
      </c>
      <c r="E383" t="s">
        <v>898</v>
      </c>
      <c r="F383" s="47" t="str">
        <f>+Empresa_Centro[[#This Row],[Codigo Centro Gestion]]&amp;" - "&amp;Empresa_Centro[[#This Row],[Nombre Centro Gestion]]</f>
        <v>10203000 - Alto Foresta</v>
      </c>
    </row>
    <row r="384" spans="1:6" x14ac:dyDescent="0.25">
      <c r="A384" s="43">
        <v>38</v>
      </c>
      <c r="B384" t="s">
        <v>396</v>
      </c>
      <c r="C384" s="43" t="s">
        <v>397</v>
      </c>
      <c r="D384" s="43">
        <v>10205000</v>
      </c>
      <c r="E384" t="s">
        <v>907</v>
      </c>
      <c r="F384" s="47" t="str">
        <f>+Empresa_Centro[[#This Row],[Codigo Centro Gestion]]&amp;" - "&amp;Empresa_Centro[[#This Row],[Nombre Centro Gestion]]</f>
        <v>10205000 - Edificio Santa Elena 1282</v>
      </c>
    </row>
    <row r="385" spans="1:6" x14ac:dyDescent="0.25">
      <c r="A385" s="43">
        <v>38</v>
      </c>
      <c r="B385" t="s">
        <v>396</v>
      </c>
      <c r="C385" s="43" t="s">
        <v>397</v>
      </c>
      <c r="D385" s="43">
        <v>10205102</v>
      </c>
      <c r="E385" t="s">
        <v>908</v>
      </c>
      <c r="F385" s="47" t="str">
        <f>+Empresa_Centro[[#This Row],[Codigo Centro Gestion]]&amp;" - "&amp;Empresa_Centro[[#This Row],[Nombre Centro Gestion]]</f>
        <v>10205102 - Edificio Santa Elena 1282-Marketing</v>
      </c>
    </row>
    <row r="386" spans="1:6" x14ac:dyDescent="0.25">
      <c r="A386" s="43">
        <v>38</v>
      </c>
      <c r="B386" t="s">
        <v>396</v>
      </c>
      <c r="C386" s="43" t="s">
        <v>397</v>
      </c>
      <c r="D386" s="43">
        <v>10205103</v>
      </c>
      <c r="E386" t="s">
        <v>909</v>
      </c>
      <c r="F386" s="47" t="str">
        <f>+Empresa_Centro[[#This Row],[Codigo Centro Gestion]]&amp;" - "&amp;Empresa_Centro[[#This Row],[Nombre Centro Gestion]]</f>
        <v>10205103 - Edificio Santa Elena 1282-Operaciones</v>
      </c>
    </row>
    <row r="387" spans="1:6" x14ac:dyDescent="0.25">
      <c r="A387" s="43">
        <v>38</v>
      </c>
      <c r="B387" t="s">
        <v>396</v>
      </c>
      <c r="C387" s="43" t="s">
        <v>397</v>
      </c>
      <c r="D387" s="43">
        <v>10205104</v>
      </c>
      <c r="E387" t="s">
        <v>910</v>
      </c>
      <c r="F387" s="47" t="str">
        <f>+Empresa_Centro[[#This Row],[Codigo Centro Gestion]]&amp;" - "&amp;Empresa_Centro[[#This Row],[Nombre Centro Gestion]]</f>
        <v>10205104 - Edificio Santa Elena 1282-Ventas</v>
      </c>
    </row>
    <row r="388" spans="1:6" x14ac:dyDescent="0.25">
      <c r="A388" s="43">
        <v>38</v>
      </c>
      <c r="B388" t="s">
        <v>396</v>
      </c>
      <c r="C388" s="43" t="s">
        <v>397</v>
      </c>
      <c r="D388" s="43">
        <v>10205105</v>
      </c>
      <c r="E388" t="s">
        <v>911</v>
      </c>
      <c r="F388" s="47" t="str">
        <f>+Empresa_Centro[[#This Row],[Codigo Centro Gestion]]&amp;" - "&amp;Empresa_Centro[[#This Row],[Nombre Centro Gestion]]</f>
        <v>10205105 - Edificio Santa Elena 1282-Clientes</v>
      </c>
    </row>
    <row r="389" spans="1:6" x14ac:dyDescent="0.25">
      <c r="A389" s="43">
        <v>38</v>
      </c>
      <c r="B389" t="s">
        <v>396</v>
      </c>
      <c r="C389" s="43" t="s">
        <v>397</v>
      </c>
      <c r="D389" s="43">
        <v>10205204</v>
      </c>
      <c r="E389" t="s">
        <v>912</v>
      </c>
      <c r="F389" s="47" t="str">
        <f>+Empresa_Centro[[#This Row],[Codigo Centro Gestion]]&amp;" - "&amp;Empresa_Centro[[#This Row],[Nombre Centro Gestion]]</f>
        <v>10205204 - Edificio Santa Elena 1282-Proyecto</v>
      </c>
    </row>
    <row r="390" spans="1:6" x14ac:dyDescent="0.25">
      <c r="A390" s="43">
        <v>38</v>
      </c>
      <c r="B390" t="s">
        <v>396</v>
      </c>
      <c r="C390" s="43" t="s">
        <v>397</v>
      </c>
      <c r="D390" s="43">
        <v>10205301</v>
      </c>
      <c r="E390" t="s">
        <v>913</v>
      </c>
      <c r="F390" s="47" t="str">
        <f>+Empresa_Centro[[#This Row],[Codigo Centro Gestion]]&amp;" - "&amp;Empresa_Centro[[#This Row],[Nombre Centro Gestion]]</f>
        <v>10205301 - Edificio Santa Elena 1282-GAF</v>
      </c>
    </row>
    <row r="391" spans="1:6" x14ac:dyDescent="0.25">
      <c r="A391" s="43">
        <v>38</v>
      </c>
      <c r="B391" t="s">
        <v>396</v>
      </c>
      <c r="C391" s="43" t="s">
        <v>397</v>
      </c>
      <c r="D391" s="43">
        <v>10205505</v>
      </c>
      <c r="E391" t="s">
        <v>914</v>
      </c>
      <c r="F391" s="47" t="str">
        <f>+Empresa_Centro[[#This Row],[Codigo Centro Gestion]]&amp;" - "&amp;Empresa_Centro[[#This Row],[Nombre Centro Gestion]]</f>
        <v>10205505 - Edificio Santa Elena 1282-PV Inmob.</v>
      </c>
    </row>
    <row r="392" spans="1:6" x14ac:dyDescent="0.25">
      <c r="A392" s="43">
        <v>38</v>
      </c>
      <c r="B392" t="s">
        <v>396</v>
      </c>
      <c r="C392" s="43" t="s">
        <v>397</v>
      </c>
      <c r="D392" s="43">
        <v>10205506</v>
      </c>
      <c r="E392" t="s">
        <v>915</v>
      </c>
      <c r="F392" s="47" t="str">
        <f>+Empresa_Centro[[#This Row],[Codigo Centro Gestion]]&amp;" - "&amp;Empresa_Centro[[#This Row],[Nombre Centro Gestion]]</f>
        <v>10205506 - Edificio Santa Elena 1282-Depto.Técnico</v>
      </c>
    </row>
    <row r="393" spans="1:6" x14ac:dyDescent="0.25">
      <c r="A393" s="43">
        <v>38</v>
      </c>
      <c r="B393" t="s">
        <v>396</v>
      </c>
      <c r="C393" s="43" t="s">
        <v>397</v>
      </c>
      <c r="D393" s="43">
        <v>10212000</v>
      </c>
      <c r="E393" t="s">
        <v>961</v>
      </c>
      <c r="F393" s="47" t="str">
        <f>+Empresa_Centro[[#This Row],[Codigo Centro Gestion]]&amp;" - "&amp;Empresa_Centro[[#This Row],[Nombre Centro Gestion]]</f>
        <v>10212000 - Edificio Constantino 54</v>
      </c>
    </row>
    <row r="394" spans="1:6" x14ac:dyDescent="0.25">
      <c r="A394" s="43">
        <v>38</v>
      </c>
      <c r="B394" t="s">
        <v>396</v>
      </c>
      <c r="C394" s="43" t="s">
        <v>397</v>
      </c>
      <c r="D394" s="43">
        <v>10212102</v>
      </c>
      <c r="E394" t="s">
        <v>962</v>
      </c>
      <c r="F394" s="47" t="str">
        <f>+Empresa_Centro[[#This Row],[Codigo Centro Gestion]]&amp;" - "&amp;Empresa_Centro[[#This Row],[Nombre Centro Gestion]]</f>
        <v>10212102 - Edificio Constantino 54-Marketing</v>
      </c>
    </row>
    <row r="395" spans="1:6" x14ac:dyDescent="0.25">
      <c r="A395" s="43">
        <v>38</v>
      </c>
      <c r="B395" t="s">
        <v>396</v>
      </c>
      <c r="C395" s="43" t="s">
        <v>397</v>
      </c>
      <c r="D395" s="43">
        <v>10212103</v>
      </c>
      <c r="E395" t="s">
        <v>963</v>
      </c>
      <c r="F395" s="47" t="str">
        <f>+Empresa_Centro[[#This Row],[Codigo Centro Gestion]]&amp;" - "&amp;Empresa_Centro[[#This Row],[Nombre Centro Gestion]]</f>
        <v>10212103 - Edificio Constantino 54-Operaciones</v>
      </c>
    </row>
    <row r="396" spans="1:6" x14ac:dyDescent="0.25">
      <c r="A396" s="43">
        <v>38</v>
      </c>
      <c r="B396" t="s">
        <v>396</v>
      </c>
      <c r="C396" s="43" t="s">
        <v>397</v>
      </c>
      <c r="D396" s="43">
        <v>10212104</v>
      </c>
      <c r="E396" t="s">
        <v>964</v>
      </c>
      <c r="F396" s="47" t="str">
        <f>+Empresa_Centro[[#This Row],[Codigo Centro Gestion]]&amp;" - "&amp;Empresa_Centro[[#This Row],[Nombre Centro Gestion]]</f>
        <v>10212104 - Edificio Constantino 54-Ventas</v>
      </c>
    </row>
    <row r="397" spans="1:6" x14ac:dyDescent="0.25">
      <c r="A397" s="43">
        <v>38</v>
      </c>
      <c r="B397" t="s">
        <v>396</v>
      </c>
      <c r="C397" s="43" t="s">
        <v>397</v>
      </c>
      <c r="D397" s="43">
        <v>10212105</v>
      </c>
      <c r="E397" t="s">
        <v>965</v>
      </c>
      <c r="F397" s="47" t="str">
        <f>+Empresa_Centro[[#This Row],[Codigo Centro Gestion]]&amp;" - "&amp;Empresa_Centro[[#This Row],[Nombre Centro Gestion]]</f>
        <v>10212105 - Edificio Constantino 54-Clientes</v>
      </c>
    </row>
    <row r="398" spans="1:6" x14ac:dyDescent="0.25">
      <c r="A398" s="43">
        <v>38</v>
      </c>
      <c r="B398" t="s">
        <v>396</v>
      </c>
      <c r="C398" s="43" t="s">
        <v>397</v>
      </c>
      <c r="D398" s="43">
        <v>10212204</v>
      </c>
      <c r="E398" t="s">
        <v>966</v>
      </c>
      <c r="F398" s="47" t="str">
        <f>+Empresa_Centro[[#This Row],[Codigo Centro Gestion]]&amp;" - "&amp;Empresa_Centro[[#This Row],[Nombre Centro Gestion]]</f>
        <v>10212204 - Edificio Constantino 54-Proyecto</v>
      </c>
    </row>
    <row r="399" spans="1:6" x14ac:dyDescent="0.25">
      <c r="A399" s="43">
        <v>38</v>
      </c>
      <c r="B399" t="s">
        <v>396</v>
      </c>
      <c r="C399" s="43" t="s">
        <v>397</v>
      </c>
      <c r="D399" s="43">
        <v>10212301</v>
      </c>
      <c r="E399" t="s">
        <v>967</v>
      </c>
      <c r="F399" s="47" t="str">
        <f>+Empresa_Centro[[#This Row],[Codigo Centro Gestion]]&amp;" - "&amp;Empresa_Centro[[#This Row],[Nombre Centro Gestion]]</f>
        <v>10212301 - Edificio Constantino 54-GAF</v>
      </c>
    </row>
    <row r="400" spans="1:6" x14ac:dyDescent="0.25">
      <c r="A400" s="43">
        <v>38</v>
      </c>
      <c r="B400" t="s">
        <v>396</v>
      </c>
      <c r="C400" s="43" t="s">
        <v>397</v>
      </c>
      <c r="D400" s="43">
        <v>10212505</v>
      </c>
      <c r="E400" t="s">
        <v>968</v>
      </c>
      <c r="F400" s="47" t="str">
        <f>+Empresa_Centro[[#This Row],[Codigo Centro Gestion]]&amp;" - "&amp;Empresa_Centro[[#This Row],[Nombre Centro Gestion]]</f>
        <v>10212505 - Edificio Constantino 54-PV Inmob.</v>
      </c>
    </row>
    <row r="401" spans="1:6" x14ac:dyDescent="0.25">
      <c r="A401" s="43">
        <v>38</v>
      </c>
      <c r="B401" t="s">
        <v>396</v>
      </c>
      <c r="C401" s="43" t="s">
        <v>397</v>
      </c>
      <c r="D401" s="43">
        <v>10212506</v>
      </c>
      <c r="E401" t="s">
        <v>969</v>
      </c>
      <c r="F401" s="47" t="str">
        <f>+Empresa_Centro[[#This Row],[Codigo Centro Gestion]]&amp;" - "&amp;Empresa_Centro[[#This Row],[Nombre Centro Gestion]]</f>
        <v>10212506 - Edificio Constantino 54-Depto.Técnico</v>
      </c>
    </row>
    <row r="402" spans="1:6" x14ac:dyDescent="0.25">
      <c r="A402" s="43">
        <v>38</v>
      </c>
      <c r="B402" t="s">
        <v>396</v>
      </c>
      <c r="C402" s="43" t="s">
        <v>397</v>
      </c>
      <c r="D402" s="43">
        <v>10214000</v>
      </c>
      <c r="E402" t="s">
        <v>979</v>
      </c>
      <c r="F402" s="47" t="str">
        <f>+Empresa_Centro[[#This Row],[Codigo Centro Gestion]]&amp;" - "&amp;Empresa_Centro[[#This Row],[Nombre Centro Gestion]]</f>
        <v>10214000 - Edificio Recreo 250</v>
      </c>
    </row>
    <row r="403" spans="1:6" x14ac:dyDescent="0.25">
      <c r="A403" s="43">
        <v>38</v>
      </c>
      <c r="B403" t="s">
        <v>396</v>
      </c>
      <c r="C403" s="43" t="s">
        <v>397</v>
      </c>
      <c r="D403" s="43">
        <v>10214102</v>
      </c>
      <c r="E403" t="s">
        <v>980</v>
      </c>
      <c r="F403" s="47" t="str">
        <f>+Empresa_Centro[[#This Row],[Codigo Centro Gestion]]&amp;" - "&amp;Empresa_Centro[[#This Row],[Nombre Centro Gestion]]</f>
        <v>10214102 - Edificio Recreo 250-Marketing</v>
      </c>
    </row>
    <row r="404" spans="1:6" x14ac:dyDescent="0.25">
      <c r="A404" s="43">
        <v>38</v>
      </c>
      <c r="B404" t="s">
        <v>396</v>
      </c>
      <c r="C404" s="43" t="s">
        <v>397</v>
      </c>
      <c r="D404" s="43">
        <v>10214103</v>
      </c>
      <c r="E404" t="s">
        <v>981</v>
      </c>
      <c r="F404" s="47" t="str">
        <f>+Empresa_Centro[[#This Row],[Codigo Centro Gestion]]&amp;" - "&amp;Empresa_Centro[[#This Row],[Nombre Centro Gestion]]</f>
        <v>10214103 - Edificio Recreo 250-Operaciones</v>
      </c>
    </row>
    <row r="405" spans="1:6" x14ac:dyDescent="0.25">
      <c r="A405" s="43">
        <v>38</v>
      </c>
      <c r="B405" t="s">
        <v>396</v>
      </c>
      <c r="C405" s="43" t="s">
        <v>397</v>
      </c>
      <c r="D405" s="43">
        <v>10214104</v>
      </c>
      <c r="E405" t="s">
        <v>982</v>
      </c>
      <c r="F405" s="47" t="str">
        <f>+Empresa_Centro[[#This Row],[Codigo Centro Gestion]]&amp;" - "&amp;Empresa_Centro[[#This Row],[Nombre Centro Gestion]]</f>
        <v>10214104 - Edificio Recreo 250-Ventas</v>
      </c>
    </row>
    <row r="406" spans="1:6" x14ac:dyDescent="0.25">
      <c r="A406" s="43">
        <v>38</v>
      </c>
      <c r="B406" t="s">
        <v>396</v>
      </c>
      <c r="C406" s="43" t="s">
        <v>397</v>
      </c>
      <c r="D406" s="43">
        <v>10214105</v>
      </c>
      <c r="E406" t="s">
        <v>983</v>
      </c>
      <c r="F406" s="47" t="str">
        <f>+Empresa_Centro[[#This Row],[Codigo Centro Gestion]]&amp;" - "&amp;Empresa_Centro[[#This Row],[Nombre Centro Gestion]]</f>
        <v>10214105 - Edificio Recreo 250-Clientes</v>
      </c>
    </row>
    <row r="407" spans="1:6" x14ac:dyDescent="0.25">
      <c r="A407" s="43">
        <v>38</v>
      </c>
      <c r="B407" t="s">
        <v>396</v>
      </c>
      <c r="C407" s="43" t="s">
        <v>397</v>
      </c>
      <c r="D407" s="43">
        <v>10214204</v>
      </c>
      <c r="E407" t="s">
        <v>984</v>
      </c>
      <c r="F407" s="47" t="str">
        <f>+Empresa_Centro[[#This Row],[Codigo Centro Gestion]]&amp;" - "&amp;Empresa_Centro[[#This Row],[Nombre Centro Gestion]]</f>
        <v>10214204 - Edificio Recreo 250-Proyecto</v>
      </c>
    </row>
    <row r="408" spans="1:6" x14ac:dyDescent="0.25">
      <c r="A408" s="43">
        <v>38</v>
      </c>
      <c r="B408" t="s">
        <v>396</v>
      </c>
      <c r="C408" s="43" t="s">
        <v>397</v>
      </c>
      <c r="D408" s="43">
        <v>10214301</v>
      </c>
      <c r="E408" t="s">
        <v>985</v>
      </c>
      <c r="F408" s="47" t="str">
        <f>+Empresa_Centro[[#This Row],[Codigo Centro Gestion]]&amp;" - "&amp;Empresa_Centro[[#This Row],[Nombre Centro Gestion]]</f>
        <v>10214301 - Edificio Recreo 250-GAF</v>
      </c>
    </row>
    <row r="409" spans="1:6" x14ac:dyDescent="0.25">
      <c r="A409" s="43">
        <v>38</v>
      </c>
      <c r="B409" t="s">
        <v>396</v>
      </c>
      <c r="C409" s="43" t="s">
        <v>397</v>
      </c>
      <c r="D409" s="43">
        <v>10214505</v>
      </c>
      <c r="E409" t="s">
        <v>986</v>
      </c>
      <c r="F409" s="47" t="str">
        <f>+Empresa_Centro[[#This Row],[Codigo Centro Gestion]]&amp;" - "&amp;Empresa_Centro[[#This Row],[Nombre Centro Gestion]]</f>
        <v>10214505 - Edificio Recreo 250-PV Inmob.</v>
      </c>
    </row>
    <row r="410" spans="1:6" x14ac:dyDescent="0.25">
      <c r="A410" s="43">
        <v>38</v>
      </c>
      <c r="B410" t="s">
        <v>396</v>
      </c>
      <c r="C410" s="43" t="s">
        <v>397</v>
      </c>
      <c r="D410" s="43">
        <v>10214506</v>
      </c>
      <c r="E410" t="s">
        <v>987</v>
      </c>
      <c r="F410" s="47" t="str">
        <f>+Empresa_Centro[[#This Row],[Codigo Centro Gestion]]&amp;" - "&amp;Empresa_Centro[[#This Row],[Nombre Centro Gestion]]</f>
        <v>10214506 - Edificio Recreo 250-Depto.Técnico</v>
      </c>
    </row>
    <row r="411" spans="1:6" x14ac:dyDescent="0.25">
      <c r="A411" s="43">
        <v>38</v>
      </c>
      <c r="B411" t="s">
        <v>396</v>
      </c>
      <c r="C411" s="43" t="s">
        <v>397</v>
      </c>
      <c r="D411" s="43">
        <v>10215000</v>
      </c>
      <c r="E411" t="s">
        <v>988</v>
      </c>
      <c r="F411" s="47" t="str">
        <f>+Empresa_Centro[[#This Row],[Codigo Centro Gestion]]&amp;" - "&amp;Empresa_Centro[[#This Row],[Nombre Centro Gestion]]</f>
        <v>10215000 - Alto Marañon Torre A</v>
      </c>
    </row>
    <row r="412" spans="1:6" x14ac:dyDescent="0.25">
      <c r="A412" s="43">
        <v>38</v>
      </c>
      <c r="B412" t="s">
        <v>396</v>
      </c>
      <c r="C412" s="43" t="s">
        <v>397</v>
      </c>
      <c r="D412" s="43">
        <v>10218000</v>
      </c>
      <c r="E412" t="s">
        <v>1015</v>
      </c>
      <c r="F412" s="47" t="str">
        <f>+Empresa_Centro[[#This Row],[Codigo Centro Gestion]]&amp;" - "&amp;Empresa_Centro[[#This Row],[Nombre Centro Gestion]]</f>
        <v>10218000 - Edificio Jose Domingo Cañas 2640</v>
      </c>
    </row>
    <row r="413" spans="1:6" x14ac:dyDescent="0.25">
      <c r="A413" s="43">
        <v>38</v>
      </c>
      <c r="B413" t="s">
        <v>396</v>
      </c>
      <c r="C413" s="43" t="s">
        <v>397</v>
      </c>
      <c r="D413" s="43">
        <v>10225000</v>
      </c>
      <c r="E413" t="s">
        <v>1041</v>
      </c>
      <c r="F413" s="47" t="str">
        <f>+Empresa_Centro[[#This Row],[Codigo Centro Gestion]]&amp;" - "&amp;Empresa_Centro[[#This Row],[Nombre Centro Gestion]]</f>
        <v>10225000 - Parque Ingles</v>
      </c>
    </row>
    <row r="414" spans="1:6" x14ac:dyDescent="0.25">
      <c r="A414" s="43">
        <v>38</v>
      </c>
      <c r="B414" t="s">
        <v>396</v>
      </c>
      <c r="C414" s="43" t="s">
        <v>397</v>
      </c>
      <c r="D414" s="43">
        <v>10226000</v>
      </c>
      <c r="E414" t="s">
        <v>1050</v>
      </c>
      <c r="F414" s="47" t="str">
        <f>+Empresa_Centro[[#This Row],[Codigo Centro Gestion]]&amp;" - "&amp;Empresa_Centro[[#This Row],[Nombre Centro Gestion]]</f>
        <v>10226000 - Conde del Maule 4676</v>
      </c>
    </row>
    <row r="415" spans="1:6" x14ac:dyDescent="0.25">
      <c r="A415" s="43">
        <v>38</v>
      </c>
      <c r="B415" t="s">
        <v>396</v>
      </c>
      <c r="C415" s="43" t="s">
        <v>397</v>
      </c>
      <c r="D415" s="43">
        <v>10226102</v>
      </c>
      <c r="E415" t="s">
        <v>1051</v>
      </c>
      <c r="F415" s="47" t="str">
        <f>+Empresa_Centro[[#This Row],[Codigo Centro Gestion]]&amp;" - "&amp;Empresa_Centro[[#This Row],[Nombre Centro Gestion]]</f>
        <v>10226102 - Conde del Maule 4676-Marketing</v>
      </c>
    </row>
    <row r="416" spans="1:6" x14ac:dyDescent="0.25">
      <c r="A416" s="43">
        <v>38</v>
      </c>
      <c r="B416" t="s">
        <v>396</v>
      </c>
      <c r="C416" s="43" t="s">
        <v>397</v>
      </c>
      <c r="D416" s="43">
        <v>10226103</v>
      </c>
      <c r="E416" t="s">
        <v>1052</v>
      </c>
      <c r="F416" s="47" t="str">
        <f>+Empresa_Centro[[#This Row],[Codigo Centro Gestion]]&amp;" - "&amp;Empresa_Centro[[#This Row],[Nombre Centro Gestion]]</f>
        <v>10226103 - Conde del Maule 4676-Operaciones</v>
      </c>
    </row>
    <row r="417" spans="1:6" x14ac:dyDescent="0.25">
      <c r="A417" s="43">
        <v>38</v>
      </c>
      <c r="B417" t="s">
        <v>396</v>
      </c>
      <c r="C417" s="43" t="s">
        <v>397</v>
      </c>
      <c r="D417" s="43">
        <v>10226104</v>
      </c>
      <c r="E417" t="s">
        <v>1053</v>
      </c>
      <c r="F417" s="47" t="str">
        <f>+Empresa_Centro[[#This Row],[Codigo Centro Gestion]]&amp;" - "&amp;Empresa_Centro[[#This Row],[Nombre Centro Gestion]]</f>
        <v>10226104 - Conde del Maule 4676-Ventas</v>
      </c>
    </row>
    <row r="418" spans="1:6" x14ac:dyDescent="0.25">
      <c r="A418" s="43">
        <v>38</v>
      </c>
      <c r="B418" t="s">
        <v>396</v>
      </c>
      <c r="C418" s="43" t="s">
        <v>397</v>
      </c>
      <c r="D418" s="43">
        <v>10226105</v>
      </c>
      <c r="E418" t="s">
        <v>1054</v>
      </c>
      <c r="F418" s="47" t="str">
        <f>+Empresa_Centro[[#This Row],[Codigo Centro Gestion]]&amp;" - "&amp;Empresa_Centro[[#This Row],[Nombre Centro Gestion]]</f>
        <v>10226105 - Conde del Maule 4676-Clientes</v>
      </c>
    </row>
    <row r="419" spans="1:6" x14ac:dyDescent="0.25">
      <c r="A419" s="43">
        <v>38</v>
      </c>
      <c r="B419" t="s">
        <v>396</v>
      </c>
      <c r="C419" s="43" t="s">
        <v>397</v>
      </c>
      <c r="D419" s="43">
        <v>10226204</v>
      </c>
      <c r="E419" t="s">
        <v>1055</v>
      </c>
      <c r="F419" s="47" t="str">
        <f>+Empresa_Centro[[#This Row],[Codigo Centro Gestion]]&amp;" - "&amp;Empresa_Centro[[#This Row],[Nombre Centro Gestion]]</f>
        <v>10226204 - Conde del Maule 4676-Proyecto</v>
      </c>
    </row>
    <row r="420" spans="1:6" x14ac:dyDescent="0.25">
      <c r="A420" s="43">
        <v>38</v>
      </c>
      <c r="B420" t="s">
        <v>396</v>
      </c>
      <c r="C420" s="43" t="s">
        <v>397</v>
      </c>
      <c r="D420" s="43">
        <v>10226301</v>
      </c>
      <c r="E420" t="s">
        <v>1056</v>
      </c>
      <c r="F420" s="47" t="str">
        <f>+Empresa_Centro[[#This Row],[Codigo Centro Gestion]]&amp;" - "&amp;Empresa_Centro[[#This Row],[Nombre Centro Gestion]]</f>
        <v>10226301 - Conde del Maule 4676-GAF</v>
      </c>
    </row>
    <row r="421" spans="1:6" x14ac:dyDescent="0.25">
      <c r="A421" s="43">
        <v>38</v>
      </c>
      <c r="B421" t="s">
        <v>396</v>
      </c>
      <c r="C421" s="43" t="s">
        <v>397</v>
      </c>
      <c r="D421" s="43">
        <v>10226505</v>
      </c>
      <c r="E421" t="s">
        <v>1057</v>
      </c>
      <c r="F421" s="47" t="str">
        <f>+Empresa_Centro[[#This Row],[Codigo Centro Gestion]]&amp;" - "&amp;Empresa_Centro[[#This Row],[Nombre Centro Gestion]]</f>
        <v>10226505 - Conde del Maule 4676-PV Inmob.</v>
      </c>
    </row>
    <row r="422" spans="1:6" x14ac:dyDescent="0.25">
      <c r="A422" s="43">
        <v>38</v>
      </c>
      <c r="B422" t="s">
        <v>396</v>
      </c>
      <c r="C422" s="43" t="s">
        <v>397</v>
      </c>
      <c r="D422" s="43">
        <v>10226506</v>
      </c>
      <c r="E422" t="s">
        <v>1058</v>
      </c>
      <c r="F422" s="47" t="str">
        <f>+Empresa_Centro[[#This Row],[Codigo Centro Gestion]]&amp;" - "&amp;Empresa_Centro[[#This Row],[Nombre Centro Gestion]]</f>
        <v>10226506 - Conde del Maule 4676-Depto.Técnico</v>
      </c>
    </row>
    <row r="423" spans="1:6" x14ac:dyDescent="0.25">
      <c r="A423" s="43">
        <v>38</v>
      </c>
      <c r="B423" t="s">
        <v>396</v>
      </c>
      <c r="C423" s="43" t="s">
        <v>397</v>
      </c>
      <c r="D423" s="43">
        <v>10229000</v>
      </c>
      <c r="E423" t="s">
        <v>1076</v>
      </c>
      <c r="F423" s="47" t="str">
        <f>+Empresa_Centro[[#This Row],[Codigo Centro Gestion]]&amp;" - "&amp;Empresa_Centro[[#This Row],[Nombre Centro Gestion]]</f>
        <v>10229000 - Vista Las Palmas</v>
      </c>
    </row>
    <row r="424" spans="1:6" x14ac:dyDescent="0.25">
      <c r="A424" s="43">
        <v>38</v>
      </c>
      <c r="B424" t="s">
        <v>396</v>
      </c>
      <c r="C424" s="43" t="s">
        <v>397</v>
      </c>
      <c r="D424" s="43">
        <v>10230000</v>
      </c>
      <c r="E424" t="s">
        <v>1085</v>
      </c>
      <c r="F424" s="47" t="str">
        <f>+Empresa_Centro[[#This Row],[Codigo Centro Gestion]]&amp;" - "&amp;Empresa_Centro[[#This Row],[Nombre Centro Gestion]]</f>
        <v>10230000 - Condominio Manuel Jesus Rivera</v>
      </c>
    </row>
    <row r="425" spans="1:6" x14ac:dyDescent="0.25">
      <c r="A425" s="43">
        <v>38</v>
      </c>
      <c r="B425" t="s">
        <v>396</v>
      </c>
      <c r="C425" s="43" t="s">
        <v>397</v>
      </c>
      <c r="D425" s="43">
        <v>10230102</v>
      </c>
      <c r="E425" t="s">
        <v>1086</v>
      </c>
      <c r="F425" s="47" t="str">
        <f>+Empresa_Centro[[#This Row],[Codigo Centro Gestion]]&amp;" - "&amp;Empresa_Centro[[#This Row],[Nombre Centro Gestion]]</f>
        <v>10230102 - Condominio Manuel Jesus Rivera-Marketing</v>
      </c>
    </row>
    <row r="426" spans="1:6" x14ac:dyDescent="0.25">
      <c r="A426" s="43">
        <v>38</v>
      </c>
      <c r="B426" t="s">
        <v>396</v>
      </c>
      <c r="C426" s="43" t="s">
        <v>397</v>
      </c>
      <c r="D426" s="43">
        <v>10230103</v>
      </c>
      <c r="E426" t="s">
        <v>1087</v>
      </c>
      <c r="F426" s="47" t="str">
        <f>+Empresa_Centro[[#This Row],[Codigo Centro Gestion]]&amp;" - "&amp;Empresa_Centro[[#This Row],[Nombre Centro Gestion]]</f>
        <v>10230103 - Condominio Manuel Jesus Rivera-Operaciones</v>
      </c>
    </row>
    <row r="427" spans="1:6" x14ac:dyDescent="0.25">
      <c r="A427" s="43">
        <v>38</v>
      </c>
      <c r="B427" t="s">
        <v>396</v>
      </c>
      <c r="C427" s="43" t="s">
        <v>397</v>
      </c>
      <c r="D427" s="43">
        <v>10230104</v>
      </c>
      <c r="E427" t="s">
        <v>1088</v>
      </c>
      <c r="F427" s="47" t="str">
        <f>+Empresa_Centro[[#This Row],[Codigo Centro Gestion]]&amp;" - "&amp;Empresa_Centro[[#This Row],[Nombre Centro Gestion]]</f>
        <v>10230104 - Condominio Manuel Jesus Rivera-Ventas</v>
      </c>
    </row>
    <row r="428" spans="1:6" x14ac:dyDescent="0.25">
      <c r="A428" s="43">
        <v>38</v>
      </c>
      <c r="B428" t="s">
        <v>396</v>
      </c>
      <c r="C428" s="43" t="s">
        <v>397</v>
      </c>
      <c r="D428" s="43">
        <v>10230105</v>
      </c>
      <c r="E428" t="s">
        <v>1089</v>
      </c>
      <c r="F428" s="47" t="str">
        <f>+Empresa_Centro[[#This Row],[Codigo Centro Gestion]]&amp;" - "&amp;Empresa_Centro[[#This Row],[Nombre Centro Gestion]]</f>
        <v>10230105 - Condominio Manuel Jesus Rivera-Clientes</v>
      </c>
    </row>
    <row r="429" spans="1:6" x14ac:dyDescent="0.25">
      <c r="A429" s="43">
        <v>38</v>
      </c>
      <c r="B429" t="s">
        <v>396</v>
      </c>
      <c r="C429" s="43" t="s">
        <v>397</v>
      </c>
      <c r="D429" s="43">
        <v>10230204</v>
      </c>
      <c r="E429" t="s">
        <v>1090</v>
      </c>
      <c r="F429" s="47" t="str">
        <f>+Empresa_Centro[[#This Row],[Codigo Centro Gestion]]&amp;" - "&amp;Empresa_Centro[[#This Row],[Nombre Centro Gestion]]</f>
        <v>10230204 - Condominio Manuel Jesus Rivera-Proyecto</v>
      </c>
    </row>
    <row r="430" spans="1:6" x14ac:dyDescent="0.25">
      <c r="A430" s="43">
        <v>38</v>
      </c>
      <c r="B430" t="s">
        <v>396</v>
      </c>
      <c r="C430" s="43" t="s">
        <v>397</v>
      </c>
      <c r="D430" s="43">
        <v>10230301</v>
      </c>
      <c r="E430" t="s">
        <v>1091</v>
      </c>
      <c r="F430" s="47" t="str">
        <f>+Empresa_Centro[[#This Row],[Codigo Centro Gestion]]&amp;" - "&amp;Empresa_Centro[[#This Row],[Nombre Centro Gestion]]</f>
        <v>10230301 - Condominio Manuel Jesus Rivera-GAF</v>
      </c>
    </row>
    <row r="431" spans="1:6" x14ac:dyDescent="0.25">
      <c r="A431" s="43">
        <v>38</v>
      </c>
      <c r="B431" t="s">
        <v>396</v>
      </c>
      <c r="C431" s="43" t="s">
        <v>397</v>
      </c>
      <c r="D431" s="43">
        <v>10230505</v>
      </c>
      <c r="E431" t="s">
        <v>1092</v>
      </c>
      <c r="F431" s="47" t="str">
        <f>+Empresa_Centro[[#This Row],[Codigo Centro Gestion]]&amp;" - "&amp;Empresa_Centro[[#This Row],[Nombre Centro Gestion]]</f>
        <v>10230505 - Condominio Manuel Jesus Rivera-PV Inmob.</v>
      </c>
    </row>
    <row r="432" spans="1:6" x14ac:dyDescent="0.25">
      <c r="A432" s="43">
        <v>38</v>
      </c>
      <c r="B432" t="s">
        <v>396</v>
      </c>
      <c r="C432" s="43" t="s">
        <v>397</v>
      </c>
      <c r="D432" s="43">
        <v>10230506</v>
      </c>
      <c r="E432" t="s">
        <v>1093</v>
      </c>
      <c r="F432" s="47" t="str">
        <f>+Empresa_Centro[[#This Row],[Codigo Centro Gestion]]&amp;" - "&amp;Empresa_Centro[[#This Row],[Nombre Centro Gestion]]</f>
        <v>10230506 - Condominio Manuel Jesus Rivera-Depto.Técnico</v>
      </c>
    </row>
    <row r="433" spans="1:6" x14ac:dyDescent="0.25">
      <c r="A433" s="43">
        <v>38</v>
      </c>
      <c r="B433" t="s">
        <v>396</v>
      </c>
      <c r="C433" s="43" t="s">
        <v>397</v>
      </c>
      <c r="D433" s="43">
        <v>10231000</v>
      </c>
      <c r="E433" t="s">
        <v>464</v>
      </c>
      <c r="F433" s="47" t="str">
        <f>+Empresa_Centro[[#This Row],[Codigo Centro Gestion]]&amp;" - "&amp;Empresa_Centro[[#This Row],[Nombre Centro Gestion]]</f>
        <v>10231000 - Edificio Guillermo Mann</v>
      </c>
    </row>
    <row r="434" spans="1:6" x14ac:dyDescent="0.25">
      <c r="A434" s="43">
        <v>38</v>
      </c>
      <c r="B434" t="s">
        <v>396</v>
      </c>
      <c r="C434" s="43" t="s">
        <v>397</v>
      </c>
      <c r="D434" s="43">
        <v>10231102</v>
      </c>
      <c r="E434" t="s">
        <v>1094</v>
      </c>
      <c r="F434" s="47" t="str">
        <f>+Empresa_Centro[[#This Row],[Codigo Centro Gestion]]&amp;" - "&amp;Empresa_Centro[[#This Row],[Nombre Centro Gestion]]</f>
        <v>10231102 - Edificio Guillermo Mann-Marketing</v>
      </c>
    </row>
    <row r="435" spans="1:6" x14ac:dyDescent="0.25">
      <c r="A435" s="43">
        <v>38</v>
      </c>
      <c r="B435" t="s">
        <v>396</v>
      </c>
      <c r="C435" s="43" t="s">
        <v>397</v>
      </c>
      <c r="D435" s="43">
        <v>10231103</v>
      </c>
      <c r="E435" t="s">
        <v>1095</v>
      </c>
      <c r="F435" s="47" t="str">
        <f>+Empresa_Centro[[#This Row],[Codigo Centro Gestion]]&amp;" - "&amp;Empresa_Centro[[#This Row],[Nombre Centro Gestion]]</f>
        <v>10231103 - Edificio Guillermo Mann-Operaciones</v>
      </c>
    </row>
    <row r="436" spans="1:6" x14ac:dyDescent="0.25">
      <c r="A436" s="43">
        <v>38</v>
      </c>
      <c r="B436" t="s">
        <v>396</v>
      </c>
      <c r="C436" s="43" t="s">
        <v>397</v>
      </c>
      <c r="D436" s="43">
        <v>10231104</v>
      </c>
      <c r="E436" t="s">
        <v>1096</v>
      </c>
      <c r="F436" s="47" t="str">
        <f>+Empresa_Centro[[#This Row],[Codigo Centro Gestion]]&amp;" - "&amp;Empresa_Centro[[#This Row],[Nombre Centro Gestion]]</f>
        <v>10231104 - Edificio Guillermo Mann-Ventas</v>
      </c>
    </row>
    <row r="437" spans="1:6" x14ac:dyDescent="0.25">
      <c r="A437" s="43">
        <v>38</v>
      </c>
      <c r="B437" t="s">
        <v>396</v>
      </c>
      <c r="C437" s="43" t="s">
        <v>397</v>
      </c>
      <c r="D437" s="43">
        <v>10231105</v>
      </c>
      <c r="E437" t="s">
        <v>1097</v>
      </c>
      <c r="F437" s="47" t="str">
        <f>+Empresa_Centro[[#This Row],[Codigo Centro Gestion]]&amp;" - "&amp;Empresa_Centro[[#This Row],[Nombre Centro Gestion]]</f>
        <v>10231105 - Edificio Guillermo Mann-Clientes</v>
      </c>
    </row>
    <row r="438" spans="1:6" x14ac:dyDescent="0.25">
      <c r="A438" s="43">
        <v>38</v>
      </c>
      <c r="B438" t="s">
        <v>396</v>
      </c>
      <c r="C438" s="43" t="s">
        <v>397</v>
      </c>
      <c r="D438" s="43">
        <v>10231204</v>
      </c>
      <c r="E438" t="s">
        <v>1098</v>
      </c>
      <c r="F438" s="47" t="str">
        <f>+Empresa_Centro[[#This Row],[Codigo Centro Gestion]]&amp;" - "&amp;Empresa_Centro[[#This Row],[Nombre Centro Gestion]]</f>
        <v>10231204 - Edificio Guillermo Mann-Proyecto</v>
      </c>
    </row>
    <row r="439" spans="1:6" x14ac:dyDescent="0.25">
      <c r="A439" s="43">
        <v>38</v>
      </c>
      <c r="B439" t="s">
        <v>396</v>
      </c>
      <c r="C439" s="43" t="s">
        <v>397</v>
      </c>
      <c r="D439" s="43">
        <v>10231301</v>
      </c>
      <c r="E439" t="s">
        <v>1099</v>
      </c>
      <c r="F439" s="47" t="str">
        <f>+Empresa_Centro[[#This Row],[Codigo Centro Gestion]]&amp;" - "&amp;Empresa_Centro[[#This Row],[Nombre Centro Gestion]]</f>
        <v>10231301 - Edificio Guillermo Mann-GAF</v>
      </c>
    </row>
    <row r="440" spans="1:6" x14ac:dyDescent="0.25">
      <c r="A440" s="43">
        <v>38</v>
      </c>
      <c r="B440" t="s">
        <v>396</v>
      </c>
      <c r="C440" s="43" t="s">
        <v>397</v>
      </c>
      <c r="D440" s="43">
        <v>10231505</v>
      </c>
      <c r="E440" t="s">
        <v>1100</v>
      </c>
      <c r="F440" s="47" t="str">
        <f>+Empresa_Centro[[#This Row],[Codigo Centro Gestion]]&amp;" - "&amp;Empresa_Centro[[#This Row],[Nombre Centro Gestion]]</f>
        <v>10231505 - Edificio Guillermo Mann-PV Inmob.</v>
      </c>
    </row>
    <row r="441" spans="1:6" x14ac:dyDescent="0.25">
      <c r="A441" s="43">
        <v>38</v>
      </c>
      <c r="B441" t="s">
        <v>396</v>
      </c>
      <c r="C441" s="43" t="s">
        <v>397</v>
      </c>
      <c r="D441" s="43">
        <v>10231506</v>
      </c>
      <c r="E441" t="s">
        <v>1101</v>
      </c>
      <c r="F441" s="47" t="str">
        <f>+Empresa_Centro[[#This Row],[Codigo Centro Gestion]]&amp;" - "&amp;Empresa_Centro[[#This Row],[Nombre Centro Gestion]]</f>
        <v>10231506 - Edificio Guillermo Mann-Depto.Técnico</v>
      </c>
    </row>
    <row r="442" spans="1:6" x14ac:dyDescent="0.25">
      <c r="A442" s="43">
        <v>38</v>
      </c>
      <c r="B442" t="s">
        <v>396</v>
      </c>
      <c r="C442" s="43" t="s">
        <v>397</v>
      </c>
      <c r="D442" s="43">
        <v>10232000</v>
      </c>
      <c r="E442" t="s">
        <v>465</v>
      </c>
      <c r="F442" s="47" t="str">
        <f>+Empresa_Centro[[#This Row],[Codigo Centro Gestion]]&amp;" - "&amp;Empresa_Centro[[#This Row],[Nombre Centro Gestion]]</f>
        <v>10232000 - Edificio Coronel Souper</v>
      </c>
    </row>
    <row r="443" spans="1:6" x14ac:dyDescent="0.25">
      <c r="A443" s="43">
        <v>38</v>
      </c>
      <c r="B443" t="s">
        <v>396</v>
      </c>
      <c r="C443" s="43" t="s">
        <v>397</v>
      </c>
      <c r="D443" s="43">
        <v>10232102</v>
      </c>
      <c r="E443" t="s">
        <v>1102</v>
      </c>
      <c r="F443" s="47" t="str">
        <f>+Empresa_Centro[[#This Row],[Codigo Centro Gestion]]&amp;" - "&amp;Empresa_Centro[[#This Row],[Nombre Centro Gestion]]</f>
        <v>10232102 - Edificio Coronel Souper-Marketing</v>
      </c>
    </row>
    <row r="444" spans="1:6" x14ac:dyDescent="0.25">
      <c r="A444" s="43">
        <v>38</v>
      </c>
      <c r="B444" t="s">
        <v>396</v>
      </c>
      <c r="C444" s="43" t="s">
        <v>397</v>
      </c>
      <c r="D444" s="43">
        <v>10232103</v>
      </c>
      <c r="E444" t="s">
        <v>1103</v>
      </c>
      <c r="F444" s="47" t="str">
        <f>+Empresa_Centro[[#This Row],[Codigo Centro Gestion]]&amp;" - "&amp;Empresa_Centro[[#This Row],[Nombre Centro Gestion]]</f>
        <v>10232103 - Edificio Coronel Souper-Operaciones</v>
      </c>
    </row>
    <row r="445" spans="1:6" x14ac:dyDescent="0.25">
      <c r="A445" s="43">
        <v>38</v>
      </c>
      <c r="B445" t="s">
        <v>396</v>
      </c>
      <c r="C445" s="43" t="s">
        <v>397</v>
      </c>
      <c r="D445" s="43">
        <v>10232104</v>
      </c>
      <c r="E445" t="s">
        <v>1104</v>
      </c>
      <c r="F445" s="47" t="str">
        <f>+Empresa_Centro[[#This Row],[Codigo Centro Gestion]]&amp;" - "&amp;Empresa_Centro[[#This Row],[Nombre Centro Gestion]]</f>
        <v>10232104 - Edificio Coronel Souper-Ventas</v>
      </c>
    </row>
    <row r="446" spans="1:6" x14ac:dyDescent="0.25">
      <c r="A446" s="43">
        <v>38</v>
      </c>
      <c r="B446" t="s">
        <v>396</v>
      </c>
      <c r="C446" s="43" t="s">
        <v>397</v>
      </c>
      <c r="D446" s="43">
        <v>10232105</v>
      </c>
      <c r="E446" t="s">
        <v>1105</v>
      </c>
      <c r="F446" s="47" t="str">
        <f>+Empresa_Centro[[#This Row],[Codigo Centro Gestion]]&amp;" - "&amp;Empresa_Centro[[#This Row],[Nombre Centro Gestion]]</f>
        <v>10232105 - Edificio Coronel Souper-Clientes</v>
      </c>
    </row>
    <row r="447" spans="1:6" x14ac:dyDescent="0.25">
      <c r="A447" s="43">
        <v>38</v>
      </c>
      <c r="B447" t="s">
        <v>396</v>
      </c>
      <c r="C447" s="43" t="s">
        <v>397</v>
      </c>
      <c r="D447" s="43">
        <v>10232204</v>
      </c>
      <c r="E447" t="s">
        <v>1106</v>
      </c>
      <c r="F447" s="47" t="str">
        <f>+Empresa_Centro[[#This Row],[Codigo Centro Gestion]]&amp;" - "&amp;Empresa_Centro[[#This Row],[Nombre Centro Gestion]]</f>
        <v>10232204 - Edificio Coronel Souper-Proyecto</v>
      </c>
    </row>
    <row r="448" spans="1:6" x14ac:dyDescent="0.25">
      <c r="A448" s="43">
        <v>38</v>
      </c>
      <c r="B448" t="s">
        <v>396</v>
      </c>
      <c r="C448" s="43" t="s">
        <v>397</v>
      </c>
      <c r="D448" s="43">
        <v>10232301</v>
      </c>
      <c r="E448" t="s">
        <v>1107</v>
      </c>
      <c r="F448" s="47" t="str">
        <f>+Empresa_Centro[[#This Row],[Codigo Centro Gestion]]&amp;" - "&amp;Empresa_Centro[[#This Row],[Nombre Centro Gestion]]</f>
        <v>10232301 - Edificio Coronel Souper-GAF</v>
      </c>
    </row>
    <row r="449" spans="1:6" x14ac:dyDescent="0.25">
      <c r="A449" s="43">
        <v>38</v>
      </c>
      <c r="B449" t="s">
        <v>396</v>
      </c>
      <c r="C449" s="43" t="s">
        <v>397</v>
      </c>
      <c r="D449" s="43">
        <v>10232506</v>
      </c>
      <c r="E449" t="s">
        <v>1108</v>
      </c>
      <c r="F449" s="47" t="str">
        <f>+Empresa_Centro[[#This Row],[Codigo Centro Gestion]]&amp;" - "&amp;Empresa_Centro[[#This Row],[Nombre Centro Gestion]]</f>
        <v>10232506 - Edificio Coronel Souper-Depto.Técnico</v>
      </c>
    </row>
    <row r="450" spans="1:6" x14ac:dyDescent="0.25">
      <c r="A450" s="43">
        <v>38</v>
      </c>
      <c r="B450" t="s">
        <v>396</v>
      </c>
      <c r="C450" s="43" t="s">
        <v>397</v>
      </c>
      <c r="D450" s="43">
        <v>10233000</v>
      </c>
      <c r="E450" t="s">
        <v>1109</v>
      </c>
      <c r="F450" s="47" t="str">
        <f>+Empresa_Centro[[#This Row],[Codigo Centro Gestion]]&amp;" - "&amp;Empresa_Centro[[#This Row],[Nombre Centro Gestion]]</f>
        <v>10233000 - Condominio Jorge Cáceres Etapa 1</v>
      </c>
    </row>
    <row r="451" spans="1:6" x14ac:dyDescent="0.25">
      <c r="A451" s="43">
        <v>38</v>
      </c>
      <c r="B451" t="s">
        <v>396</v>
      </c>
      <c r="C451" s="43" t="s">
        <v>397</v>
      </c>
      <c r="D451" s="43">
        <v>10234000</v>
      </c>
      <c r="E451" t="s">
        <v>471</v>
      </c>
      <c r="F451" s="47" t="str">
        <f>+Empresa_Centro[[#This Row],[Codigo Centro Gestion]]&amp;" - "&amp;Empresa_Centro[[#This Row],[Nombre Centro Gestion]]</f>
        <v>10234000 - Edificio La Coruña</v>
      </c>
    </row>
    <row r="452" spans="1:6" x14ac:dyDescent="0.25">
      <c r="A452" s="43">
        <v>38</v>
      </c>
      <c r="B452" t="s">
        <v>396</v>
      </c>
      <c r="C452" s="43" t="s">
        <v>397</v>
      </c>
      <c r="D452" s="43">
        <v>10234102</v>
      </c>
      <c r="E452" t="s">
        <v>1118</v>
      </c>
      <c r="F452" s="47" t="str">
        <f>+Empresa_Centro[[#This Row],[Codigo Centro Gestion]]&amp;" - "&amp;Empresa_Centro[[#This Row],[Nombre Centro Gestion]]</f>
        <v>10234102 - Edificio La Coruña-Marketing</v>
      </c>
    </row>
    <row r="453" spans="1:6" x14ac:dyDescent="0.25">
      <c r="A453" s="43">
        <v>38</v>
      </c>
      <c r="B453" t="s">
        <v>396</v>
      </c>
      <c r="C453" s="43" t="s">
        <v>397</v>
      </c>
      <c r="D453" s="43">
        <v>10234103</v>
      </c>
      <c r="E453" t="s">
        <v>1119</v>
      </c>
      <c r="F453" s="47" t="str">
        <f>+Empresa_Centro[[#This Row],[Codigo Centro Gestion]]&amp;" - "&amp;Empresa_Centro[[#This Row],[Nombre Centro Gestion]]</f>
        <v>10234103 - Edificio La Coruña-Operaciones</v>
      </c>
    </row>
    <row r="454" spans="1:6" x14ac:dyDescent="0.25">
      <c r="A454" s="43">
        <v>38</v>
      </c>
      <c r="B454" t="s">
        <v>396</v>
      </c>
      <c r="C454" s="43" t="s">
        <v>397</v>
      </c>
      <c r="D454" s="43">
        <v>10234104</v>
      </c>
      <c r="E454" t="s">
        <v>1120</v>
      </c>
      <c r="F454" s="47" t="str">
        <f>+Empresa_Centro[[#This Row],[Codigo Centro Gestion]]&amp;" - "&amp;Empresa_Centro[[#This Row],[Nombre Centro Gestion]]</f>
        <v>10234104 - Edificio La Coruña-Ventas</v>
      </c>
    </row>
    <row r="455" spans="1:6" x14ac:dyDescent="0.25">
      <c r="A455" s="43">
        <v>38</v>
      </c>
      <c r="B455" t="s">
        <v>396</v>
      </c>
      <c r="C455" s="43" t="s">
        <v>397</v>
      </c>
      <c r="D455" s="43">
        <v>10234105</v>
      </c>
      <c r="E455" t="s">
        <v>1121</v>
      </c>
      <c r="F455" s="47" t="str">
        <f>+Empresa_Centro[[#This Row],[Codigo Centro Gestion]]&amp;" - "&amp;Empresa_Centro[[#This Row],[Nombre Centro Gestion]]</f>
        <v>10234105 - Edificio La Coruña-Clientes</v>
      </c>
    </row>
    <row r="456" spans="1:6" x14ac:dyDescent="0.25">
      <c r="A456" s="43">
        <v>38</v>
      </c>
      <c r="B456" t="s">
        <v>396</v>
      </c>
      <c r="C456" s="43" t="s">
        <v>397</v>
      </c>
      <c r="D456" s="43">
        <v>10234204</v>
      </c>
      <c r="E456" t="s">
        <v>1122</v>
      </c>
      <c r="F456" s="47" t="str">
        <f>+Empresa_Centro[[#This Row],[Codigo Centro Gestion]]&amp;" - "&amp;Empresa_Centro[[#This Row],[Nombre Centro Gestion]]</f>
        <v>10234204 - Edificio La Coruña-Proyecto</v>
      </c>
    </row>
    <row r="457" spans="1:6" x14ac:dyDescent="0.25">
      <c r="A457" s="43">
        <v>38</v>
      </c>
      <c r="B457" t="s">
        <v>396</v>
      </c>
      <c r="C457" s="43" t="s">
        <v>397</v>
      </c>
      <c r="D457" s="43">
        <v>10234301</v>
      </c>
      <c r="E457" t="s">
        <v>1123</v>
      </c>
      <c r="F457" s="47" t="str">
        <f>+Empresa_Centro[[#This Row],[Codigo Centro Gestion]]&amp;" - "&amp;Empresa_Centro[[#This Row],[Nombre Centro Gestion]]</f>
        <v>10234301 - Edificio La Coruña-GAF</v>
      </c>
    </row>
    <row r="458" spans="1:6" x14ac:dyDescent="0.25">
      <c r="A458" s="43">
        <v>38</v>
      </c>
      <c r="B458" t="s">
        <v>396</v>
      </c>
      <c r="C458" s="43" t="s">
        <v>397</v>
      </c>
      <c r="D458" s="43">
        <v>10234505</v>
      </c>
      <c r="E458" t="s">
        <v>1124</v>
      </c>
      <c r="F458" s="47" t="str">
        <f>+Empresa_Centro[[#This Row],[Codigo Centro Gestion]]&amp;" - "&amp;Empresa_Centro[[#This Row],[Nombre Centro Gestion]]</f>
        <v>10234505 - Edificio La Coruña-PV Inmob.</v>
      </c>
    </row>
    <row r="459" spans="1:6" x14ac:dyDescent="0.25">
      <c r="A459" s="43">
        <v>38</v>
      </c>
      <c r="B459" t="s">
        <v>396</v>
      </c>
      <c r="C459" s="43" t="s">
        <v>397</v>
      </c>
      <c r="D459" s="43">
        <v>10234506</v>
      </c>
      <c r="E459" t="s">
        <v>1125</v>
      </c>
      <c r="F459" s="47" t="str">
        <f>+Empresa_Centro[[#This Row],[Codigo Centro Gestion]]&amp;" - "&amp;Empresa_Centro[[#This Row],[Nombre Centro Gestion]]</f>
        <v>10234506 - Edificio La Coruña-Depto.Técnico</v>
      </c>
    </row>
    <row r="460" spans="1:6" x14ac:dyDescent="0.25">
      <c r="A460" s="43">
        <v>38</v>
      </c>
      <c r="B460" t="s">
        <v>396</v>
      </c>
      <c r="C460" s="43" t="s">
        <v>397</v>
      </c>
      <c r="D460" s="43">
        <v>10235000</v>
      </c>
      <c r="E460" t="s">
        <v>1126</v>
      </c>
      <c r="F460" s="47" t="str">
        <f>+Empresa_Centro[[#This Row],[Codigo Centro Gestion]]&amp;" - "&amp;Empresa_Centro[[#This Row],[Nombre Centro Gestion]]</f>
        <v>10235000 - Vista del Valle III</v>
      </c>
    </row>
    <row r="461" spans="1:6" x14ac:dyDescent="0.25">
      <c r="A461" s="43">
        <v>38</v>
      </c>
      <c r="B461" t="s">
        <v>396</v>
      </c>
      <c r="C461" s="43" t="s">
        <v>397</v>
      </c>
      <c r="D461" s="43">
        <v>10243000</v>
      </c>
      <c r="E461" t="s">
        <v>469</v>
      </c>
      <c r="F461" s="47" t="str">
        <f>+Empresa_Centro[[#This Row],[Codigo Centro Gestion]]&amp;" - "&amp;Empresa_Centro[[#This Row],[Nombre Centro Gestion]]</f>
        <v>10243000 - Edificio Garcia Reyes</v>
      </c>
    </row>
    <row r="462" spans="1:6" x14ac:dyDescent="0.25">
      <c r="A462" s="43">
        <v>38</v>
      </c>
      <c r="B462" t="s">
        <v>396</v>
      </c>
      <c r="C462" s="43" t="s">
        <v>397</v>
      </c>
      <c r="D462" s="43">
        <v>10243102</v>
      </c>
      <c r="E462" t="s">
        <v>1177</v>
      </c>
      <c r="F462" s="47" t="str">
        <f>+Empresa_Centro[[#This Row],[Codigo Centro Gestion]]&amp;" - "&amp;Empresa_Centro[[#This Row],[Nombre Centro Gestion]]</f>
        <v>10243102 - Edificio Garcia Reyes-Marketing</v>
      </c>
    </row>
    <row r="463" spans="1:6" x14ac:dyDescent="0.25">
      <c r="A463" s="43">
        <v>38</v>
      </c>
      <c r="B463" t="s">
        <v>396</v>
      </c>
      <c r="C463" s="43" t="s">
        <v>397</v>
      </c>
      <c r="D463" s="43">
        <v>10243103</v>
      </c>
      <c r="E463" t="s">
        <v>1178</v>
      </c>
      <c r="F463" s="47" t="str">
        <f>+Empresa_Centro[[#This Row],[Codigo Centro Gestion]]&amp;" - "&amp;Empresa_Centro[[#This Row],[Nombre Centro Gestion]]</f>
        <v>10243103 - Edificio Garcia Reyes-Operaciones</v>
      </c>
    </row>
    <row r="464" spans="1:6" x14ac:dyDescent="0.25">
      <c r="A464" s="43">
        <v>38</v>
      </c>
      <c r="B464" t="s">
        <v>396</v>
      </c>
      <c r="C464" s="43" t="s">
        <v>397</v>
      </c>
      <c r="D464" s="43">
        <v>10243104</v>
      </c>
      <c r="E464" t="s">
        <v>1179</v>
      </c>
      <c r="F464" s="47" t="str">
        <f>+Empresa_Centro[[#This Row],[Codigo Centro Gestion]]&amp;" - "&amp;Empresa_Centro[[#This Row],[Nombre Centro Gestion]]</f>
        <v>10243104 - Edificio Garcia Reyes-Ventas</v>
      </c>
    </row>
    <row r="465" spans="1:6" x14ac:dyDescent="0.25">
      <c r="A465" s="43">
        <v>38</v>
      </c>
      <c r="B465" t="s">
        <v>396</v>
      </c>
      <c r="C465" s="43" t="s">
        <v>397</v>
      </c>
      <c r="D465" s="43">
        <v>10243105</v>
      </c>
      <c r="E465" t="s">
        <v>1180</v>
      </c>
      <c r="F465" s="47" t="str">
        <f>+Empresa_Centro[[#This Row],[Codigo Centro Gestion]]&amp;" - "&amp;Empresa_Centro[[#This Row],[Nombre Centro Gestion]]</f>
        <v>10243105 - Edificio Garcia Reyes-Clientes</v>
      </c>
    </row>
    <row r="466" spans="1:6" x14ac:dyDescent="0.25">
      <c r="A466" s="43">
        <v>38</v>
      </c>
      <c r="B466" t="s">
        <v>396</v>
      </c>
      <c r="C466" s="43" t="s">
        <v>397</v>
      </c>
      <c r="D466" s="43">
        <v>10243204</v>
      </c>
      <c r="E466" t="s">
        <v>1181</v>
      </c>
      <c r="F466" s="47" t="str">
        <f>+Empresa_Centro[[#This Row],[Codigo Centro Gestion]]&amp;" - "&amp;Empresa_Centro[[#This Row],[Nombre Centro Gestion]]</f>
        <v>10243204 - Edificio Garcia Reyes-Proyecto</v>
      </c>
    </row>
    <row r="467" spans="1:6" x14ac:dyDescent="0.25">
      <c r="A467" s="43">
        <v>38</v>
      </c>
      <c r="B467" t="s">
        <v>396</v>
      </c>
      <c r="C467" s="43" t="s">
        <v>397</v>
      </c>
      <c r="D467" s="43">
        <v>10243301</v>
      </c>
      <c r="E467" t="s">
        <v>1182</v>
      </c>
      <c r="F467" s="47" t="str">
        <f>+Empresa_Centro[[#This Row],[Codigo Centro Gestion]]&amp;" - "&amp;Empresa_Centro[[#This Row],[Nombre Centro Gestion]]</f>
        <v>10243301 - Edificio Garcia Reyes-GAF</v>
      </c>
    </row>
    <row r="468" spans="1:6" x14ac:dyDescent="0.25">
      <c r="A468" s="43">
        <v>38</v>
      </c>
      <c r="B468" t="s">
        <v>396</v>
      </c>
      <c r="C468" s="43" t="s">
        <v>397</v>
      </c>
      <c r="D468" s="43">
        <v>10243505</v>
      </c>
      <c r="E468" t="s">
        <v>1183</v>
      </c>
      <c r="F468" s="47" t="str">
        <f>+Empresa_Centro[[#This Row],[Codigo Centro Gestion]]&amp;" - "&amp;Empresa_Centro[[#This Row],[Nombre Centro Gestion]]</f>
        <v>10243505 - Edificio Garcia Reyes-PV Inmob.</v>
      </c>
    </row>
    <row r="469" spans="1:6" x14ac:dyDescent="0.25">
      <c r="A469" s="43">
        <v>38</v>
      </c>
      <c r="B469" t="s">
        <v>396</v>
      </c>
      <c r="C469" s="43" t="s">
        <v>397</v>
      </c>
      <c r="D469" s="43">
        <v>10243506</v>
      </c>
      <c r="E469" t="s">
        <v>1184</v>
      </c>
      <c r="F469" s="47" t="str">
        <f>+Empresa_Centro[[#This Row],[Codigo Centro Gestion]]&amp;" - "&amp;Empresa_Centro[[#This Row],[Nombre Centro Gestion]]</f>
        <v>10243506 - Edificio Garcia Reyes-Depto.Técnico</v>
      </c>
    </row>
    <row r="470" spans="1:6" x14ac:dyDescent="0.25">
      <c r="A470" s="43">
        <v>38</v>
      </c>
      <c r="B470" t="s">
        <v>396</v>
      </c>
      <c r="C470" s="43" t="s">
        <v>397</v>
      </c>
      <c r="D470" s="43">
        <v>10244000</v>
      </c>
      <c r="E470" t="s">
        <v>470</v>
      </c>
      <c r="F470" s="47" t="str">
        <f>+Empresa_Centro[[#This Row],[Codigo Centro Gestion]]&amp;" - "&amp;Empresa_Centro[[#This Row],[Nombre Centro Gestion]]</f>
        <v>10244000 - Francisco Zelada Torre B</v>
      </c>
    </row>
    <row r="471" spans="1:6" x14ac:dyDescent="0.25">
      <c r="A471" s="43">
        <v>38</v>
      </c>
      <c r="B471" t="s">
        <v>396</v>
      </c>
      <c r="C471" s="43" t="s">
        <v>397</v>
      </c>
      <c r="D471" s="43">
        <v>10244102</v>
      </c>
      <c r="E471" t="s">
        <v>1185</v>
      </c>
      <c r="F471" s="47" t="str">
        <f>+Empresa_Centro[[#This Row],[Codigo Centro Gestion]]&amp;" - "&amp;Empresa_Centro[[#This Row],[Nombre Centro Gestion]]</f>
        <v>10244102 - Francisco Zelada Torre B-Marketing</v>
      </c>
    </row>
    <row r="472" spans="1:6" x14ac:dyDescent="0.25">
      <c r="A472" s="43">
        <v>38</v>
      </c>
      <c r="B472" t="s">
        <v>396</v>
      </c>
      <c r="C472" s="43" t="s">
        <v>397</v>
      </c>
      <c r="D472" s="43">
        <v>10244103</v>
      </c>
      <c r="E472" t="s">
        <v>1186</v>
      </c>
      <c r="F472" s="47" t="str">
        <f>+Empresa_Centro[[#This Row],[Codigo Centro Gestion]]&amp;" - "&amp;Empresa_Centro[[#This Row],[Nombre Centro Gestion]]</f>
        <v>10244103 - Francisco Zelada Torre B-Operaciones</v>
      </c>
    </row>
    <row r="473" spans="1:6" x14ac:dyDescent="0.25">
      <c r="A473" s="43">
        <v>38</v>
      </c>
      <c r="B473" t="s">
        <v>396</v>
      </c>
      <c r="C473" s="43" t="s">
        <v>397</v>
      </c>
      <c r="D473" s="43">
        <v>10244104</v>
      </c>
      <c r="E473" t="s">
        <v>1187</v>
      </c>
      <c r="F473" s="47" t="str">
        <f>+Empresa_Centro[[#This Row],[Codigo Centro Gestion]]&amp;" - "&amp;Empresa_Centro[[#This Row],[Nombre Centro Gestion]]</f>
        <v>10244104 - Francisco Zelada Torre B-Ventas</v>
      </c>
    </row>
    <row r="474" spans="1:6" x14ac:dyDescent="0.25">
      <c r="A474" s="43">
        <v>38</v>
      </c>
      <c r="B474" t="s">
        <v>396</v>
      </c>
      <c r="C474" s="43" t="s">
        <v>397</v>
      </c>
      <c r="D474" s="43">
        <v>10244105</v>
      </c>
      <c r="E474" t="s">
        <v>1188</v>
      </c>
      <c r="F474" s="47" t="str">
        <f>+Empresa_Centro[[#This Row],[Codigo Centro Gestion]]&amp;" - "&amp;Empresa_Centro[[#This Row],[Nombre Centro Gestion]]</f>
        <v>10244105 - Francisco Zelada Torre B-Clientes</v>
      </c>
    </row>
    <row r="475" spans="1:6" x14ac:dyDescent="0.25">
      <c r="A475" s="43">
        <v>38</v>
      </c>
      <c r="B475" t="s">
        <v>396</v>
      </c>
      <c r="C475" s="43" t="s">
        <v>397</v>
      </c>
      <c r="D475" s="43">
        <v>10244204</v>
      </c>
      <c r="E475" t="s">
        <v>1189</v>
      </c>
      <c r="F475" s="47" t="str">
        <f>+Empresa_Centro[[#This Row],[Codigo Centro Gestion]]&amp;" - "&amp;Empresa_Centro[[#This Row],[Nombre Centro Gestion]]</f>
        <v>10244204 - Francisco Zelada Torre B-Proyecto</v>
      </c>
    </row>
    <row r="476" spans="1:6" x14ac:dyDescent="0.25">
      <c r="A476" s="43">
        <v>38</v>
      </c>
      <c r="B476" t="s">
        <v>396</v>
      </c>
      <c r="C476" s="43" t="s">
        <v>397</v>
      </c>
      <c r="D476" s="43">
        <v>10244301</v>
      </c>
      <c r="E476" t="s">
        <v>1190</v>
      </c>
      <c r="F476" s="47" t="str">
        <f>+Empresa_Centro[[#This Row],[Codigo Centro Gestion]]&amp;" - "&amp;Empresa_Centro[[#This Row],[Nombre Centro Gestion]]</f>
        <v>10244301 - Francisco Zelada Torre B-GAF</v>
      </c>
    </row>
    <row r="477" spans="1:6" x14ac:dyDescent="0.25">
      <c r="A477" s="43">
        <v>38</v>
      </c>
      <c r="B477" t="s">
        <v>396</v>
      </c>
      <c r="C477" s="43" t="s">
        <v>397</v>
      </c>
      <c r="D477" s="43">
        <v>10244505</v>
      </c>
      <c r="E477" t="s">
        <v>1191</v>
      </c>
      <c r="F477" s="47" t="str">
        <f>+Empresa_Centro[[#This Row],[Codigo Centro Gestion]]&amp;" - "&amp;Empresa_Centro[[#This Row],[Nombre Centro Gestion]]</f>
        <v>10244505 - Francisco Zelada Torre B-PV Inmob.</v>
      </c>
    </row>
    <row r="478" spans="1:6" x14ac:dyDescent="0.25">
      <c r="A478" s="43">
        <v>38</v>
      </c>
      <c r="B478" t="s">
        <v>396</v>
      </c>
      <c r="C478" s="43" t="s">
        <v>397</v>
      </c>
      <c r="D478" s="43">
        <v>10244506</v>
      </c>
      <c r="E478" t="s">
        <v>1192</v>
      </c>
      <c r="F478" s="47" t="str">
        <f>+Empresa_Centro[[#This Row],[Codigo Centro Gestion]]&amp;" - "&amp;Empresa_Centro[[#This Row],[Nombre Centro Gestion]]</f>
        <v>10244506 - Francisco Zelada Torre B-Depto.Técnico</v>
      </c>
    </row>
    <row r="479" spans="1:6" x14ac:dyDescent="0.25">
      <c r="A479" s="43">
        <v>38</v>
      </c>
      <c r="B479" t="s">
        <v>396</v>
      </c>
      <c r="C479" s="43" t="s">
        <v>397</v>
      </c>
      <c r="D479" s="43">
        <v>10255000</v>
      </c>
      <c r="E479" t="s">
        <v>1243</v>
      </c>
      <c r="F479" s="47" t="str">
        <f>+Empresa_Centro[[#This Row],[Codigo Centro Gestion]]&amp;" - "&amp;Empresa_Centro[[#This Row],[Nombre Centro Gestion]]</f>
        <v>10255000 - Condominio Lago Ranco</v>
      </c>
    </row>
    <row r="480" spans="1:6" x14ac:dyDescent="0.25">
      <c r="A480" s="43">
        <v>38</v>
      </c>
      <c r="B480" t="s">
        <v>396</v>
      </c>
      <c r="C480" s="43" t="s">
        <v>397</v>
      </c>
      <c r="D480" s="43">
        <v>10255102</v>
      </c>
      <c r="E480" t="s">
        <v>1244</v>
      </c>
      <c r="F480" s="47" t="str">
        <f>+Empresa_Centro[[#This Row],[Codigo Centro Gestion]]&amp;" - "&amp;Empresa_Centro[[#This Row],[Nombre Centro Gestion]]</f>
        <v>10255102 - Condominio Lago Ranco-Marketing</v>
      </c>
    </row>
    <row r="481" spans="1:6" x14ac:dyDescent="0.25">
      <c r="A481" s="43">
        <v>38</v>
      </c>
      <c r="B481" t="s">
        <v>396</v>
      </c>
      <c r="C481" s="43" t="s">
        <v>397</v>
      </c>
      <c r="D481" s="43">
        <v>10255103</v>
      </c>
      <c r="E481" t="s">
        <v>1245</v>
      </c>
      <c r="F481" s="47" t="str">
        <f>+Empresa_Centro[[#This Row],[Codigo Centro Gestion]]&amp;" - "&amp;Empresa_Centro[[#This Row],[Nombre Centro Gestion]]</f>
        <v>10255103 - Condominio Lago Ranco-Operaciones</v>
      </c>
    </row>
    <row r="482" spans="1:6" x14ac:dyDescent="0.25">
      <c r="A482" s="43">
        <v>38</v>
      </c>
      <c r="B482" t="s">
        <v>396</v>
      </c>
      <c r="C482" s="43" t="s">
        <v>397</v>
      </c>
      <c r="D482" s="43">
        <v>10255104</v>
      </c>
      <c r="E482" t="s">
        <v>1246</v>
      </c>
      <c r="F482" s="47" t="str">
        <f>+Empresa_Centro[[#This Row],[Codigo Centro Gestion]]&amp;" - "&amp;Empresa_Centro[[#This Row],[Nombre Centro Gestion]]</f>
        <v>10255104 - Condominio Lago Ranco-Ventas</v>
      </c>
    </row>
    <row r="483" spans="1:6" x14ac:dyDescent="0.25">
      <c r="A483" s="43">
        <v>38</v>
      </c>
      <c r="B483" t="s">
        <v>396</v>
      </c>
      <c r="C483" s="43" t="s">
        <v>397</v>
      </c>
      <c r="D483" s="43">
        <v>10255105</v>
      </c>
      <c r="E483" t="s">
        <v>1247</v>
      </c>
      <c r="F483" s="47" t="str">
        <f>+Empresa_Centro[[#This Row],[Codigo Centro Gestion]]&amp;" - "&amp;Empresa_Centro[[#This Row],[Nombre Centro Gestion]]</f>
        <v>10255105 - Condominio Lago Ranco-Clientes</v>
      </c>
    </row>
    <row r="484" spans="1:6" x14ac:dyDescent="0.25">
      <c r="A484" s="43">
        <v>38</v>
      </c>
      <c r="B484" t="s">
        <v>396</v>
      </c>
      <c r="C484" s="43" t="s">
        <v>397</v>
      </c>
      <c r="D484" s="43">
        <v>10255204</v>
      </c>
      <c r="E484" t="s">
        <v>1248</v>
      </c>
      <c r="F484" s="47" t="str">
        <f>+Empresa_Centro[[#This Row],[Codigo Centro Gestion]]&amp;" - "&amp;Empresa_Centro[[#This Row],[Nombre Centro Gestion]]</f>
        <v>10255204 - Condominio Lago Ranco-Proyecto</v>
      </c>
    </row>
    <row r="485" spans="1:6" x14ac:dyDescent="0.25">
      <c r="A485" s="43">
        <v>38</v>
      </c>
      <c r="B485" t="s">
        <v>396</v>
      </c>
      <c r="C485" s="43" t="s">
        <v>397</v>
      </c>
      <c r="D485" s="43">
        <v>10255301</v>
      </c>
      <c r="E485" t="s">
        <v>1249</v>
      </c>
      <c r="F485" s="47" t="str">
        <f>+Empresa_Centro[[#This Row],[Codigo Centro Gestion]]&amp;" - "&amp;Empresa_Centro[[#This Row],[Nombre Centro Gestion]]</f>
        <v>10255301 - Condominio Lago Ranco-GAF</v>
      </c>
    </row>
    <row r="486" spans="1:6" x14ac:dyDescent="0.25">
      <c r="A486" s="43">
        <v>38</v>
      </c>
      <c r="B486" t="s">
        <v>396</v>
      </c>
      <c r="C486" s="43" t="s">
        <v>397</v>
      </c>
      <c r="D486" s="43">
        <v>10255505</v>
      </c>
      <c r="E486" t="s">
        <v>1250</v>
      </c>
      <c r="F486" s="47" t="str">
        <f>+Empresa_Centro[[#This Row],[Codigo Centro Gestion]]&amp;" - "&amp;Empresa_Centro[[#This Row],[Nombre Centro Gestion]]</f>
        <v>10255505 - Condominio Lago Ranco-PV Inmob.</v>
      </c>
    </row>
    <row r="487" spans="1:6" x14ac:dyDescent="0.25">
      <c r="A487" s="43">
        <v>38</v>
      </c>
      <c r="B487" t="s">
        <v>396</v>
      </c>
      <c r="C487" s="43" t="s">
        <v>397</v>
      </c>
      <c r="D487" s="43">
        <v>10255506</v>
      </c>
      <c r="E487" t="s">
        <v>1251</v>
      </c>
      <c r="F487" s="47" t="str">
        <f>+Empresa_Centro[[#This Row],[Codigo Centro Gestion]]&amp;" - "&amp;Empresa_Centro[[#This Row],[Nombre Centro Gestion]]</f>
        <v>10255506 - Condominio Lago Ranco-Depto.Técnico</v>
      </c>
    </row>
    <row r="488" spans="1:6" x14ac:dyDescent="0.25">
      <c r="A488" s="43">
        <v>38</v>
      </c>
      <c r="B488" t="s">
        <v>396</v>
      </c>
      <c r="C488" s="43" t="s">
        <v>397</v>
      </c>
      <c r="D488" s="43">
        <v>10257000</v>
      </c>
      <c r="E488" t="s">
        <v>1260</v>
      </c>
      <c r="F488" s="47" t="str">
        <f>+Empresa_Centro[[#This Row],[Codigo Centro Gestion]]&amp;" - "&amp;Empresa_Centro[[#This Row],[Nombre Centro Gestion]]</f>
        <v>10257000 - Condominio Manuel Jesus Rivera 2</v>
      </c>
    </row>
    <row r="489" spans="1:6" x14ac:dyDescent="0.25">
      <c r="A489" s="43">
        <v>38</v>
      </c>
      <c r="B489" t="s">
        <v>396</v>
      </c>
      <c r="C489" s="43" t="s">
        <v>397</v>
      </c>
      <c r="D489" s="43">
        <v>10257102</v>
      </c>
      <c r="E489" t="s">
        <v>1261</v>
      </c>
      <c r="F489" s="47" t="str">
        <f>+Empresa_Centro[[#This Row],[Codigo Centro Gestion]]&amp;" - "&amp;Empresa_Centro[[#This Row],[Nombre Centro Gestion]]</f>
        <v>10257102 - Condominio Manuel Jesus Rivera 2-Marketing</v>
      </c>
    </row>
    <row r="490" spans="1:6" x14ac:dyDescent="0.25">
      <c r="A490" s="43">
        <v>38</v>
      </c>
      <c r="B490" t="s">
        <v>396</v>
      </c>
      <c r="C490" s="43" t="s">
        <v>397</v>
      </c>
      <c r="D490" s="43">
        <v>10257103</v>
      </c>
      <c r="E490" t="s">
        <v>1262</v>
      </c>
      <c r="F490" s="47" t="str">
        <f>+Empresa_Centro[[#This Row],[Codigo Centro Gestion]]&amp;" - "&amp;Empresa_Centro[[#This Row],[Nombre Centro Gestion]]</f>
        <v>10257103 - Condominio Manuel Jesus Rivera 2-Operaciones</v>
      </c>
    </row>
    <row r="491" spans="1:6" x14ac:dyDescent="0.25">
      <c r="A491" s="43">
        <v>38</v>
      </c>
      <c r="B491" t="s">
        <v>396</v>
      </c>
      <c r="C491" s="43" t="s">
        <v>397</v>
      </c>
      <c r="D491" s="43">
        <v>10257104</v>
      </c>
      <c r="E491" t="s">
        <v>1263</v>
      </c>
      <c r="F491" s="47" t="str">
        <f>+Empresa_Centro[[#This Row],[Codigo Centro Gestion]]&amp;" - "&amp;Empresa_Centro[[#This Row],[Nombre Centro Gestion]]</f>
        <v>10257104 - Condominio Manuel Jesus Rivera 2-Ventas</v>
      </c>
    </row>
    <row r="492" spans="1:6" x14ac:dyDescent="0.25">
      <c r="A492" s="43">
        <v>38</v>
      </c>
      <c r="B492" t="s">
        <v>396</v>
      </c>
      <c r="C492" s="43" t="s">
        <v>397</v>
      </c>
      <c r="D492" s="43">
        <v>10257105</v>
      </c>
      <c r="E492" t="s">
        <v>1264</v>
      </c>
      <c r="F492" s="47" t="str">
        <f>+Empresa_Centro[[#This Row],[Codigo Centro Gestion]]&amp;" - "&amp;Empresa_Centro[[#This Row],[Nombre Centro Gestion]]</f>
        <v>10257105 - Condominio Manuel Jesus Rivera 2-Clientes</v>
      </c>
    </row>
    <row r="493" spans="1:6" x14ac:dyDescent="0.25">
      <c r="A493" s="43">
        <v>38</v>
      </c>
      <c r="B493" t="s">
        <v>396</v>
      </c>
      <c r="C493" s="43" t="s">
        <v>397</v>
      </c>
      <c r="D493" s="43">
        <v>10257204</v>
      </c>
      <c r="E493" t="s">
        <v>1265</v>
      </c>
      <c r="F493" s="47" t="str">
        <f>+Empresa_Centro[[#This Row],[Codigo Centro Gestion]]&amp;" - "&amp;Empresa_Centro[[#This Row],[Nombre Centro Gestion]]</f>
        <v>10257204 - Condominio Manuel Jesus Rivera 2-Proyecto</v>
      </c>
    </row>
    <row r="494" spans="1:6" x14ac:dyDescent="0.25">
      <c r="A494" s="43">
        <v>38</v>
      </c>
      <c r="B494" t="s">
        <v>396</v>
      </c>
      <c r="C494" s="43" t="s">
        <v>397</v>
      </c>
      <c r="D494" s="43">
        <v>10257301</v>
      </c>
      <c r="E494" t="s">
        <v>1266</v>
      </c>
      <c r="F494" s="47" t="str">
        <f>+Empresa_Centro[[#This Row],[Codigo Centro Gestion]]&amp;" - "&amp;Empresa_Centro[[#This Row],[Nombre Centro Gestion]]</f>
        <v>10257301 - Condominio Manuel Jesus Rivera 2-GAF</v>
      </c>
    </row>
    <row r="495" spans="1:6" x14ac:dyDescent="0.25">
      <c r="A495" s="43">
        <v>38</v>
      </c>
      <c r="B495" t="s">
        <v>396</v>
      </c>
      <c r="C495" s="43" t="s">
        <v>397</v>
      </c>
      <c r="D495" s="43">
        <v>10257505</v>
      </c>
      <c r="E495" t="s">
        <v>1267</v>
      </c>
      <c r="F495" s="47" t="str">
        <f>+Empresa_Centro[[#This Row],[Codigo Centro Gestion]]&amp;" - "&amp;Empresa_Centro[[#This Row],[Nombre Centro Gestion]]</f>
        <v>10257505 - Condominio Manuel Jesus Rivera 2-PV Inmob.</v>
      </c>
    </row>
    <row r="496" spans="1:6" x14ac:dyDescent="0.25">
      <c r="A496" s="43">
        <v>38</v>
      </c>
      <c r="B496" t="s">
        <v>396</v>
      </c>
      <c r="C496" s="43" t="s">
        <v>397</v>
      </c>
      <c r="D496" s="43">
        <v>10257506</v>
      </c>
      <c r="E496" t="s">
        <v>1268</v>
      </c>
      <c r="F496" s="47" t="str">
        <f>+Empresa_Centro[[#This Row],[Codigo Centro Gestion]]&amp;" - "&amp;Empresa_Centro[[#This Row],[Nombre Centro Gestion]]</f>
        <v>10257506 - Condominio Manuel Jesus Rivera 2-Depto.Técnico</v>
      </c>
    </row>
    <row r="497" spans="1:6" x14ac:dyDescent="0.25">
      <c r="A497" s="43">
        <v>38</v>
      </c>
      <c r="B497" t="s">
        <v>396</v>
      </c>
      <c r="C497" s="43" t="s">
        <v>397</v>
      </c>
      <c r="D497" s="43">
        <v>10258000</v>
      </c>
      <c r="E497" t="s">
        <v>1269</v>
      </c>
      <c r="F497" s="47" t="str">
        <f>+Empresa_Centro[[#This Row],[Codigo Centro Gestion]]&amp;" - "&amp;Empresa_Centro[[#This Row],[Nombre Centro Gestion]]</f>
        <v>10258000 - Manuel Jesus Rivera Lote 1</v>
      </c>
    </row>
    <row r="498" spans="1:6" x14ac:dyDescent="0.25">
      <c r="A498" s="43">
        <v>38</v>
      </c>
      <c r="B498" t="s">
        <v>396</v>
      </c>
      <c r="C498" s="43" t="s">
        <v>397</v>
      </c>
      <c r="D498" s="43">
        <v>10258102</v>
      </c>
      <c r="E498" t="s">
        <v>1270</v>
      </c>
      <c r="F498" s="47" t="str">
        <f>+Empresa_Centro[[#This Row],[Codigo Centro Gestion]]&amp;" - "&amp;Empresa_Centro[[#This Row],[Nombre Centro Gestion]]</f>
        <v>10258102 - Manuel Jesus Rivera Lote 1-Marketing</v>
      </c>
    </row>
    <row r="499" spans="1:6" x14ac:dyDescent="0.25">
      <c r="A499" s="43">
        <v>38</v>
      </c>
      <c r="B499" t="s">
        <v>396</v>
      </c>
      <c r="C499" s="43" t="s">
        <v>397</v>
      </c>
      <c r="D499" s="43">
        <v>10258103</v>
      </c>
      <c r="E499" t="s">
        <v>1271</v>
      </c>
      <c r="F499" s="47" t="str">
        <f>+Empresa_Centro[[#This Row],[Codigo Centro Gestion]]&amp;" - "&amp;Empresa_Centro[[#This Row],[Nombre Centro Gestion]]</f>
        <v>10258103 - Manuel Jesus Rivera Lote 1-Operaciones</v>
      </c>
    </row>
    <row r="500" spans="1:6" x14ac:dyDescent="0.25">
      <c r="A500" s="43">
        <v>38</v>
      </c>
      <c r="B500" t="s">
        <v>396</v>
      </c>
      <c r="C500" s="43" t="s">
        <v>397</v>
      </c>
      <c r="D500" s="43">
        <v>10258104</v>
      </c>
      <c r="E500" t="s">
        <v>1272</v>
      </c>
      <c r="F500" s="47" t="str">
        <f>+Empresa_Centro[[#This Row],[Codigo Centro Gestion]]&amp;" - "&amp;Empresa_Centro[[#This Row],[Nombre Centro Gestion]]</f>
        <v>10258104 - Manuel Jesus Rivera Lote 1-Ventas</v>
      </c>
    </row>
    <row r="501" spans="1:6" x14ac:dyDescent="0.25">
      <c r="A501" s="43">
        <v>38</v>
      </c>
      <c r="B501" t="s">
        <v>396</v>
      </c>
      <c r="C501" s="43" t="s">
        <v>397</v>
      </c>
      <c r="D501" s="43">
        <v>10258105</v>
      </c>
      <c r="E501" t="s">
        <v>1273</v>
      </c>
      <c r="F501" s="47" t="str">
        <f>+Empresa_Centro[[#This Row],[Codigo Centro Gestion]]&amp;" - "&amp;Empresa_Centro[[#This Row],[Nombre Centro Gestion]]</f>
        <v>10258105 - Manuel Jesus Rivera Lote 1-Clientes</v>
      </c>
    </row>
    <row r="502" spans="1:6" x14ac:dyDescent="0.25">
      <c r="A502" s="43">
        <v>38</v>
      </c>
      <c r="B502" t="s">
        <v>396</v>
      </c>
      <c r="C502" s="43" t="s">
        <v>397</v>
      </c>
      <c r="D502" s="43">
        <v>10258204</v>
      </c>
      <c r="E502" t="s">
        <v>1274</v>
      </c>
      <c r="F502" s="47" t="str">
        <f>+Empresa_Centro[[#This Row],[Codigo Centro Gestion]]&amp;" - "&amp;Empresa_Centro[[#This Row],[Nombre Centro Gestion]]</f>
        <v>10258204 - Manuel Jesus Rivera Lote 1-Proyecto</v>
      </c>
    </row>
    <row r="503" spans="1:6" x14ac:dyDescent="0.25">
      <c r="A503" s="43">
        <v>38</v>
      </c>
      <c r="B503" t="s">
        <v>396</v>
      </c>
      <c r="C503" s="43" t="s">
        <v>397</v>
      </c>
      <c r="D503" s="43">
        <v>10258301</v>
      </c>
      <c r="E503" t="s">
        <v>1275</v>
      </c>
      <c r="F503" s="47" t="str">
        <f>+Empresa_Centro[[#This Row],[Codigo Centro Gestion]]&amp;" - "&amp;Empresa_Centro[[#This Row],[Nombre Centro Gestion]]</f>
        <v>10258301 - Manuel Jesus Rivera Lote 1-GAF</v>
      </c>
    </row>
    <row r="504" spans="1:6" x14ac:dyDescent="0.25">
      <c r="A504" s="43">
        <v>38</v>
      </c>
      <c r="B504" t="s">
        <v>396</v>
      </c>
      <c r="C504" s="43" t="s">
        <v>397</v>
      </c>
      <c r="D504" s="43">
        <v>10258505</v>
      </c>
      <c r="E504" t="s">
        <v>1276</v>
      </c>
      <c r="F504" s="47" t="str">
        <f>+Empresa_Centro[[#This Row],[Codigo Centro Gestion]]&amp;" - "&amp;Empresa_Centro[[#This Row],[Nombre Centro Gestion]]</f>
        <v>10258505 - Manuel Jesus Rivera Lote 1-PV Inmob.</v>
      </c>
    </row>
    <row r="505" spans="1:6" x14ac:dyDescent="0.25">
      <c r="A505" s="43">
        <v>38</v>
      </c>
      <c r="B505" t="s">
        <v>396</v>
      </c>
      <c r="C505" s="43" t="s">
        <v>397</v>
      </c>
      <c r="D505" s="43">
        <v>10258506</v>
      </c>
      <c r="E505" t="s">
        <v>1277</v>
      </c>
      <c r="F505" s="47" t="str">
        <f>+Empresa_Centro[[#This Row],[Codigo Centro Gestion]]&amp;" - "&amp;Empresa_Centro[[#This Row],[Nombre Centro Gestion]]</f>
        <v>10258506 - Manuel Jesus Rivera Lote 1-Depto.Técnico</v>
      </c>
    </row>
    <row r="506" spans="1:6" x14ac:dyDescent="0.25">
      <c r="A506" s="43">
        <v>38</v>
      </c>
      <c r="B506" t="s">
        <v>396</v>
      </c>
      <c r="C506" s="43" t="s">
        <v>397</v>
      </c>
      <c r="D506" s="43">
        <v>10263000</v>
      </c>
      <c r="E506" t="s">
        <v>479</v>
      </c>
      <c r="F506" s="47" t="str">
        <f>+Empresa_Centro[[#This Row],[Codigo Centro Gestion]]&amp;" - "&amp;Empresa_Centro[[#This Row],[Nombre Centro Gestion]]</f>
        <v>10263000 - Vicente Reyes</v>
      </c>
    </row>
    <row r="507" spans="1:6" x14ac:dyDescent="0.25">
      <c r="A507" s="43">
        <v>38</v>
      </c>
      <c r="B507" t="s">
        <v>396</v>
      </c>
      <c r="C507" s="43" t="s">
        <v>397</v>
      </c>
      <c r="D507" s="43">
        <v>10263102</v>
      </c>
      <c r="E507" t="s">
        <v>1311</v>
      </c>
      <c r="F507" s="47" t="str">
        <f>+Empresa_Centro[[#This Row],[Codigo Centro Gestion]]&amp;" - "&amp;Empresa_Centro[[#This Row],[Nombre Centro Gestion]]</f>
        <v>10263102 - Vicente Reyes-Marketing</v>
      </c>
    </row>
    <row r="508" spans="1:6" x14ac:dyDescent="0.25">
      <c r="A508" s="43">
        <v>38</v>
      </c>
      <c r="B508" t="s">
        <v>396</v>
      </c>
      <c r="C508" s="43" t="s">
        <v>397</v>
      </c>
      <c r="D508" s="43">
        <v>10263103</v>
      </c>
      <c r="E508" t="s">
        <v>1312</v>
      </c>
      <c r="F508" s="47" t="str">
        <f>+Empresa_Centro[[#This Row],[Codigo Centro Gestion]]&amp;" - "&amp;Empresa_Centro[[#This Row],[Nombre Centro Gestion]]</f>
        <v>10263103 - Vicente Reyes-Operaciones</v>
      </c>
    </row>
    <row r="509" spans="1:6" x14ac:dyDescent="0.25">
      <c r="A509" s="43">
        <v>38</v>
      </c>
      <c r="B509" t="s">
        <v>396</v>
      </c>
      <c r="C509" s="43" t="s">
        <v>397</v>
      </c>
      <c r="D509" s="43">
        <v>10263104</v>
      </c>
      <c r="E509" t="s">
        <v>1313</v>
      </c>
      <c r="F509" s="47" t="str">
        <f>+Empresa_Centro[[#This Row],[Codigo Centro Gestion]]&amp;" - "&amp;Empresa_Centro[[#This Row],[Nombre Centro Gestion]]</f>
        <v>10263104 - Vicente Reyes-Ventas</v>
      </c>
    </row>
    <row r="510" spans="1:6" x14ac:dyDescent="0.25">
      <c r="A510" s="43">
        <v>38</v>
      </c>
      <c r="B510" t="s">
        <v>396</v>
      </c>
      <c r="C510" s="43" t="s">
        <v>397</v>
      </c>
      <c r="D510" s="43">
        <v>10263105</v>
      </c>
      <c r="E510" t="s">
        <v>1314</v>
      </c>
      <c r="F510" s="47" t="str">
        <f>+Empresa_Centro[[#This Row],[Codigo Centro Gestion]]&amp;" - "&amp;Empresa_Centro[[#This Row],[Nombre Centro Gestion]]</f>
        <v>10263105 - Vicente Reyes-Clientes</v>
      </c>
    </row>
    <row r="511" spans="1:6" x14ac:dyDescent="0.25">
      <c r="A511" s="43">
        <v>38</v>
      </c>
      <c r="B511" t="s">
        <v>396</v>
      </c>
      <c r="C511" s="43" t="s">
        <v>397</v>
      </c>
      <c r="D511" s="43">
        <v>10263204</v>
      </c>
      <c r="E511" t="s">
        <v>1315</v>
      </c>
      <c r="F511" s="47" t="str">
        <f>+Empresa_Centro[[#This Row],[Codigo Centro Gestion]]&amp;" - "&amp;Empresa_Centro[[#This Row],[Nombre Centro Gestion]]</f>
        <v>10263204 - Vicente Reyes-Proyecto</v>
      </c>
    </row>
    <row r="512" spans="1:6" x14ac:dyDescent="0.25">
      <c r="A512" s="43">
        <v>38</v>
      </c>
      <c r="B512" t="s">
        <v>396</v>
      </c>
      <c r="C512" s="43" t="s">
        <v>397</v>
      </c>
      <c r="D512" s="43">
        <v>10263301</v>
      </c>
      <c r="E512" t="s">
        <v>1316</v>
      </c>
      <c r="F512" s="47" t="str">
        <f>+Empresa_Centro[[#This Row],[Codigo Centro Gestion]]&amp;" - "&amp;Empresa_Centro[[#This Row],[Nombre Centro Gestion]]</f>
        <v>10263301 - Vicente Reyes-GAF</v>
      </c>
    </row>
    <row r="513" spans="1:6" x14ac:dyDescent="0.25">
      <c r="A513" s="43">
        <v>38</v>
      </c>
      <c r="B513" t="s">
        <v>396</v>
      </c>
      <c r="C513" s="43" t="s">
        <v>397</v>
      </c>
      <c r="D513" s="43">
        <v>10263505</v>
      </c>
      <c r="E513" t="s">
        <v>1317</v>
      </c>
      <c r="F513" s="47" t="str">
        <f>+Empresa_Centro[[#This Row],[Codigo Centro Gestion]]&amp;" - "&amp;Empresa_Centro[[#This Row],[Nombre Centro Gestion]]</f>
        <v>10263505 - Vicente Reyes-PV Inmob.</v>
      </c>
    </row>
    <row r="514" spans="1:6" x14ac:dyDescent="0.25">
      <c r="A514" s="43">
        <v>38</v>
      </c>
      <c r="B514" t="s">
        <v>396</v>
      </c>
      <c r="C514" s="43" t="s">
        <v>397</v>
      </c>
      <c r="D514" s="43">
        <v>10263506</v>
      </c>
      <c r="E514" t="s">
        <v>1318</v>
      </c>
      <c r="F514" s="47" t="str">
        <f>+Empresa_Centro[[#This Row],[Codigo Centro Gestion]]&amp;" - "&amp;Empresa_Centro[[#This Row],[Nombre Centro Gestion]]</f>
        <v>10263506 - Vicente Reyes-Depto.Técnico</v>
      </c>
    </row>
    <row r="515" spans="1:6" x14ac:dyDescent="0.25">
      <c r="A515" s="43">
        <v>38</v>
      </c>
      <c r="B515" t="s">
        <v>396</v>
      </c>
      <c r="C515" s="43" t="s">
        <v>397</v>
      </c>
      <c r="D515" s="43">
        <v>10360000</v>
      </c>
      <c r="E515" t="s">
        <v>495</v>
      </c>
      <c r="F515" s="47" t="str">
        <f>+Empresa_Centro[[#This Row],[Codigo Centro Gestion]]&amp;" - "&amp;Empresa_Centro[[#This Row],[Nombre Centro Gestion]]</f>
        <v>10360000 - Francisco Zelada Torre A</v>
      </c>
    </row>
    <row r="516" spans="1:6" x14ac:dyDescent="0.25">
      <c r="A516" s="43">
        <v>38</v>
      </c>
      <c r="B516" t="s">
        <v>396</v>
      </c>
      <c r="C516" s="43" t="s">
        <v>397</v>
      </c>
      <c r="D516" s="43">
        <v>10360102</v>
      </c>
      <c r="E516" t="s">
        <v>1435</v>
      </c>
      <c r="F516" s="47" t="str">
        <f>+Empresa_Centro[[#This Row],[Codigo Centro Gestion]]&amp;" - "&amp;Empresa_Centro[[#This Row],[Nombre Centro Gestion]]</f>
        <v>10360102 - Francisco Zelada Torre A-Marketing</v>
      </c>
    </row>
    <row r="517" spans="1:6" x14ac:dyDescent="0.25">
      <c r="A517" s="43">
        <v>38</v>
      </c>
      <c r="B517" t="s">
        <v>396</v>
      </c>
      <c r="C517" s="43" t="s">
        <v>397</v>
      </c>
      <c r="D517" s="43">
        <v>10360103</v>
      </c>
      <c r="E517" t="s">
        <v>1436</v>
      </c>
      <c r="F517" s="47" t="str">
        <f>+Empresa_Centro[[#This Row],[Codigo Centro Gestion]]&amp;" - "&amp;Empresa_Centro[[#This Row],[Nombre Centro Gestion]]</f>
        <v>10360103 - Francisco Zelada Torre A-Operaciones</v>
      </c>
    </row>
    <row r="518" spans="1:6" x14ac:dyDescent="0.25">
      <c r="A518" s="43">
        <v>38</v>
      </c>
      <c r="B518" t="s">
        <v>396</v>
      </c>
      <c r="C518" s="43" t="s">
        <v>397</v>
      </c>
      <c r="D518" s="43">
        <v>10360104</v>
      </c>
      <c r="E518" t="s">
        <v>1437</v>
      </c>
      <c r="F518" s="47" t="str">
        <f>+Empresa_Centro[[#This Row],[Codigo Centro Gestion]]&amp;" - "&amp;Empresa_Centro[[#This Row],[Nombre Centro Gestion]]</f>
        <v>10360104 - Francisco Zelada Torre A-Ventas</v>
      </c>
    </row>
    <row r="519" spans="1:6" x14ac:dyDescent="0.25">
      <c r="A519" s="43">
        <v>38</v>
      </c>
      <c r="B519" t="s">
        <v>396</v>
      </c>
      <c r="C519" s="43" t="s">
        <v>397</v>
      </c>
      <c r="D519" s="43">
        <v>10360105</v>
      </c>
      <c r="E519" t="s">
        <v>1438</v>
      </c>
      <c r="F519" s="47" t="str">
        <f>+Empresa_Centro[[#This Row],[Codigo Centro Gestion]]&amp;" - "&amp;Empresa_Centro[[#This Row],[Nombre Centro Gestion]]</f>
        <v>10360105 - Francisco Zelada Torre A-Clientes</v>
      </c>
    </row>
    <row r="520" spans="1:6" x14ac:dyDescent="0.25">
      <c r="A520" s="43">
        <v>38</v>
      </c>
      <c r="B520" t="s">
        <v>396</v>
      </c>
      <c r="C520" s="43" t="s">
        <v>397</v>
      </c>
      <c r="D520" s="43">
        <v>10360204</v>
      </c>
      <c r="E520" t="s">
        <v>1439</v>
      </c>
      <c r="F520" s="47" t="str">
        <f>+Empresa_Centro[[#This Row],[Codigo Centro Gestion]]&amp;" - "&amp;Empresa_Centro[[#This Row],[Nombre Centro Gestion]]</f>
        <v>10360204 - Francisco Zelada Torre A-Proyecto</v>
      </c>
    </row>
    <row r="521" spans="1:6" x14ac:dyDescent="0.25">
      <c r="A521" s="43">
        <v>38</v>
      </c>
      <c r="B521" t="s">
        <v>396</v>
      </c>
      <c r="C521" s="43" t="s">
        <v>397</v>
      </c>
      <c r="D521" s="43">
        <v>10360301</v>
      </c>
      <c r="E521" t="s">
        <v>1440</v>
      </c>
      <c r="F521" s="47" t="str">
        <f>+Empresa_Centro[[#This Row],[Codigo Centro Gestion]]&amp;" - "&amp;Empresa_Centro[[#This Row],[Nombre Centro Gestion]]</f>
        <v>10360301 - Francisco Zelada Torre A-GAF</v>
      </c>
    </row>
    <row r="522" spans="1:6" x14ac:dyDescent="0.25">
      <c r="A522" s="43">
        <v>38</v>
      </c>
      <c r="B522" t="s">
        <v>396</v>
      </c>
      <c r="C522" s="43" t="s">
        <v>397</v>
      </c>
      <c r="D522" s="43">
        <v>10360505</v>
      </c>
      <c r="E522" t="s">
        <v>1441</v>
      </c>
      <c r="F522" s="47" t="str">
        <f>+Empresa_Centro[[#This Row],[Codigo Centro Gestion]]&amp;" - "&amp;Empresa_Centro[[#This Row],[Nombre Centro Gestion]]</f>
        <v>10360505 - Francisco Zelada Torre A-PV Inmob.</v>
      </c>
    </row>
    <row r="523" spans="1:6" x14ac:dyDescent="0.25">
      <c r="A523" s="43">
        <v>38</v>
      </c>
      <c r="B523" t="s">
        <v>396</v>
      </c>
      <c r="C523" s="43" t="s">
        <v>397</v>
      </c>
      <c r="D523" s="43">
        <v>10360506</v>
      </c>
      <c r="E523" t="s">
        <v>1442</v>
      </c>
      <c r="F523" s="47" t="str">
        <f>+Empresa_Centro[[#This Row],[Codigo Centro Gestion]]&amp;" - "&amp;Empresa_Centro[[#This Row],[Nombre Centro Gestion]]</f>
        <v>10360506 - Francisco Zelada Torre A-Depto.Técnico</v>
      </c>
    </row>
    <row r="524" spans="1:6" x14ac:dyDescent="0.25">
      <c r="A524" s="43">
        <v>38</v>
      </c>
      <c r="B524" t="s">
        <v>396</v>
      </c>
      <c r="C524" s="43" t="s">
        <v>397</v>
      </c>
      <c r="D524" s="43">
        <v>10361000</v>
      </c>
      <c r="E524" t="s">
        <v>496</v>
      </c>
      <c r="F524" s="47" t="str">
        <f>+Empresa_Centro[[#This Row],[Codigo Centro Gestion]]&amp;" - "&amp;Empresa_Centro[[#This Row],[Nombre Centro Gestion]]</f>
        <v>10361000 - Carmen 1879</v>
      </c>
    </row>
    <row r="525" spans="1:6" x14ac:dyDescent="0.25">
      <c r="A525" s="43">
        <v>38</v>
      </c>
      <c r="B525" t="s">
        <v>396</v>
      </c>
      <c r="C525" s="43" t="s">
        <v>397</v>
      </c>
      <c r="D525" s="43">
        <v>10361102</v>
      </c>
      <c r="E525" t="s">
        <v>1443</v>
      </c>
      <c r="F525" s="47" t="str">
        <f>+Empresa_Centro[[#This Row],[Codigo Centro Gestion]]&amp;" - "&amp;Empresa_Centro[[#This Row],[Nombre Centro Gestion]]</f>
        <v>10361102 - Carmen 1879-Marketing</v>
      </c>
    </row>
    <row r="526" spans="1:6" x14ac:dyDescent="0.25">
      <c r="A526" s="43">
        <v>38</v>
      </c>
      <c r="B526" t="s">
        <v>396</v>
      </c>
      <c r="C526" s="43" t="s">
        <v>397</v>
      </c>
      <c r="D526" s="43">
        <v>10361103</v>
      </c>
      <c r="E526" t="s">
        <v>1444</v>
      </c>
      <c r="F526" s="47" t="str">
        <f>+Empresa_Centro[[#This Row],[Codigo Centro Gestion]]&amp;" - "&amp;Empresa_Centro[[#This Row],[Nombre Centro Gestion]]</f>
        <v>10361103 - Carmen 1879-Operaciones</v>
      </c>
    </row>
    <row r="527" spans="1:6" x14ac:dyDescent="0.25">
      <c r="A527" s="43">
        <v>38</v>
      </c>
      <c r="B527" t="s">
        <v>396</v>
      </c>
      <c r="C527" s="43" t="s">
        <v>397</v>
      </c>
      <c r="D527" s="43">
        <v>10361104</v>
      </c>
      <c r="E527" t="s">
        <v>1445</v>
      </c>
      <c r="F527" s="47" t="str">
        <f>+Empresa_Centro[[#This Row],[Codigo Centro Gestion]]&amp;" - "&amp;Empresa_Centro[[#This Row],[Nombre Centro Gestion]]</f>
        <v>10361104 - Carmen 1879-Ventas</v>
      </c>
    </row>
    <row r="528" spans="1:6" x14ac:dyDescent="0.25">
      <c r="A528" s="43">
        <v>38</v>
      </c>
      <c r="B528" t="s">
        <v>396</v>
      </c>
      <c r="C528" s="43" t="s">
        <v>397</v>
      </c>
      <c r="D528" s="43">
        <v>10361105</v>
      </c>
      <c r="E528" t="s">
        <v>1446</v>
      </c>
      <c r="F528" s="47" t="str">
        <f>+Empresa_Centro[[#This Row],[Codigo Centro Gestion]]&amp;" - "&amp;Empresa_Centro[[#This Row],[Nombre Centro Gestion]]</f>
        <v>10361105 - Carmen 1879-Clientes</v>
      </c>
    </row>
    <row r="529" spans="1:6" x14ac:dyDescent="0.25">
      <c r="A529" s="43">
        <v>38</v>
      </c>
      <c r="B529" t="s">
        <v>396</v>
      </c>
      <c r="C529" s="43" t="s">
        <v>397</v>
      </c>
      <c r="D529" s="43">
        <v>10361204</v>
      </c>
      <c r="E529" t="s">
        <v>1447</v>
      </c>
      <c r="F529" s="47" t="str">
        <f>+Empresa_Centro[[#This Row],[Codigo Centro Gestion]]&amp;" - "&amp;Empresa_Centro[[#This Row],[Nombre Centro Gestion]]</f>
        <v>10361204 - Carmen 1879-Proyecto</v>
      </c>
    </row>
    <row r="530" spans="1:6" x14ac:dyDescent="0.25">
      <c r="A530" s="43">
        <v>38</v>
      </c>
      <c r="B530" t="s">
        <v>396</v>
      </c>
      <c r="C530" s="43" t="s">
        <v>397</v>
      </c>
      <c r="D530" s="43">
        <v>10361301</v>
      </c>
      <c r="E530" t="s">
        <v>1448</v>
      </c>
      <c r="F530" s="47" t="str">
        <f>+Empresa_Centro[[#This Row],[Codigo Centro Gestion]]&amp;" - "&amp;Empresa_Centro[[#This Row],[Nombre Centro Gestion]]</f>
        <v>10361301 - Carmen 1879-GAF</v>
      </c>
    </row>
    <row r="531" spans="1:6" x14ac:dyDescent="0.25">
      <c r="A531" s="43">
        <v>38</v>
      </c>
      <c r="B531" t="s">
        <v>396</v>
      </c>
      <c r="C531" s="43" t="s">
        <v>397</v>
      </c>
      <c r="D531" s="43">
        <v>10361505</v>
      </c>
      <c r="E531" t="s">
        <v>1449</v>
      </c>
      <c r="F531" s="47" t="str">
        <f>+Empresa_Centro[[#This Row],[Codigo Centro Gestion]]&amp;" - "&amp;Empresa_Centro[[#This Row],[Nombre Centro Gestion]]</f>
        <v>10361505 - Carmen 1879-PV Inmob.</v>
      </c>
    </row>
    <row r="532" spans="1:6" x14ac:dyDescent="0.25">
      <c r="A532" s="43">
        <v>38</v>
      </c>
      <c r="B532" t="s">
        <v>396</v>
      </c>
      <c r="C532" s="43" t="s">
        <v>397</v>
      </c>
      <c r="D532" s="43">
        <v>10361506</v>
      </c>
      <c r="E532" t="s">
        <v>1450</v>
      </c>
      <c r="F532" s="47" t="str">
        <f>+Empresa_Centro[[#This Row],[Codigo Centro Gestion]]&amp;" - "&amp;Empresa_Centro[[#This Row],[Nombre Centro Gestion]]</f>
        <v>10361506 - Carmen 1879-Depto.Técnico</v>
      </c>
    </row>
    <row r="533" spans="1:6" x14ac:dyDescent="0.25">
      <c r="A533" s="43">
        <v>38</v>
      </c>
      <c r="B533" t="s">
        <v>396</v>
      </c>
      <c r="C533" s="43" t="s">
        <v>397</v>
      </c>
      <c r="D533" s="43">
        <v>10364000</v>
      </c>
      <c r="E533" t="s">
        <v>1451</v>
      </c>
      <c r="F533" s="47" t="str">
        <f>+Empresa_Centro[[#This Row],[Codigo Centro Gestion]]&amp;" - "&amp;Empresa_Centro[[#This Row],[Nombre Centro Gestion]]</f>
        <v>10364000 - DS19 Gran Avenida Etapa 1 (Torre C-D)</v>
      </c>
    </row>
    <row r="534" spans="1:6" x14ac:dyDescent="0.25">
      <c r="A534" s="43">
        <v>38</v>
      </c>
      <c r="B534" t="s">
        <v>396</v>
      </c>
      <c r="C534" s="43" t="s">
        <v>397</v>
      </c>
      <c r="D534" s="43">
        <v>10364102</v>
      </c>
      <c r="E534" t="s">
        <v>1452</v>
      </c>
      <c r="F534" s="47" t="str">
        <f>+Empresa_Centro[[#This Row],[Codigo Centro Gestion]]&amp;" - "&amp;Empresa_Centro[[#This Row],[Nombre Centro Gestion]]</f>
        <v>10364102 - DS19 Gran Avenida Etapa 1 (Torre C-D)-Marketing</v>
      </c>
    </row>
    <row r="535" spans="1:6" x14ac:dyDescent="0.25">
      <c r="A535" s="43">
        <v>38</v>
      </c>
      <c r="B535" t="s">
        <v>396</v>
      </c>
      <c r="C535" s="43" t="s">
        <v>397</v>
      </c>
      <c r="D535" s="43">
        <v>10364103</v>
      </c>
      <c r="E535" t="s">
        <v>1453</v>
      </c>
      <c r="F535" s="47" t="str">
        <f>+Empresa_Centro[[#This Row],[Codigo Centro Gestion]]&amp;" - "&amp;Empresa_Centro[[#This Row],[Nombre Centro Gestion]]</f>
        <v>10364103 - DS19 Gran Avenida Etapa 1 (Torre C-D)-Operaciones</v>
      </c>
    </row>
    <row r="536" spans="1:6" x14ac:dyDescent="0.25">
      <c r="A536" s="43">
        <v>38</v>
      </c>
      <c r="B536" t="s">
        <v>396</v>
      </c>
      <c r="C536" s="43" t="s">
        <v>397</v>
      </c>
      <c r="D536" s="43">
        <v>10364104</v>
      </c>
      <c r="E536" t="s">
        <v>1454</v>
      </c>
      <c r="F536" s="47" t="str">
        <f>+Empresa_Centro[[#This Row],[Codigo Centro Gestion]]&amp;" - "&amp;Empresa_Centro[[#This Row],[Nombre Centro Gestion]]</f>
        <v>10364104 - DS19 Gran Avenida Etapa 1 (Torre C-D)-Ventas</v>
      </c>
    </row>
    <row r="537" spans="1:6" x14ac:dyDescent="0.25">
      <c r="A537" s="43">
        <v>38</v>
      </c>
      <c r="B537" t="s">
        <v>396</v>
      </c>
      <c r="C537" s="43" t="s">
        <v>397</v>
      </c>
      <c r="D537" s="43">
        <v>10364105</v>
      </c>
      <c r="E537" t="s">
        <v>1455</v>
      </c>
      <c r="F537" s="47" t="str">
        <f>+Empresa_Centro[[#This Row],[Codigo Centro Gestion]]&amp;" - "&amp;Empresa_Centro[[#This Row],[Nombre Centro Gestion]]</f>
        <v>10364105 - DS19 Gran Avenida Etapa 1 (Torre C-D)-Clientes</v>
      </c>
    </row>
    <row r="538" spans="1:6" x14ac:dyDescent="0.25">
      <c r="A538" s="43">
        <v>38</v>
      </c>
      <c r="B538" t="s">
        <v>396</v>
      </c>
      <c r="C538" s="43" t="s">
        <v>397</v>
      </c>
      <c r="D538" s="43">
        <v>10364204</v>
      </c>
      <c r="E538" t="s">
        <v>1456</v>
      </c>
      <c r="F538" s="47" t="str">
        <f>+Empresa_Centro[[#This Row],[Codigo Centro Gestion]]&amp;" - "&amp;Empresa_Centro[[#This Row],[Nombre Centro Gestion]]</f>
        <v>10364204 - DS19 Gran Avenida Etapa 1 (Torre C-D)-Proyecto</v>
      </c>
    </row>
    <row r="539" spans="1:6" x14ac:dyDescent="0.25">
      <c r="A539" s="43">
        <v>38</v>
      </c>
      <c r="B539" t="s">
        <v>396</v>
      </c>
      <c r="C539" s="43" t="s">
        <v>397</v>
      </c>
      <c r="D539" s="43">
        <v>10364301</v>
      </c>
      <c r="E539" t="s">
        <v>1457</v>
      </c>
      <c r="F539" s="47" t="str">
        <f>+Empresa_Centro[[#This Row],[Codigo Centro Gestion]]&amp;" - "&amp;Empresa_Centro[[#This Row],[Nombre Centro Gestion]]</f>
        <v>10364301 - DS19 Gran Avenida Etapa 1 (Torre C-D)-GAF</v>
      </c>
    </row>
    <row r="540" spans="1:6" x14ac:dyDescent="0.25">
      <c r="A540" s="43">
        <v>38</v>
      </c>
      <c r="B540" t="s">
        <v>396</v>
      </c>
      <c r="C540" s="43" t="s">
        <v>397</v>
      </c>
      <c r="D540" s="43">
        <v>10364505</v>
      </c>
      <c r="E540" t="s">
        <v>1458</v>
      </c>
      <c r="F540" s="47" t="str">
        <f>+Empresa_Centro[[#This Row],[Codigo Centro Gestion]]&amp;" - "&amp;Empresa_Centro[[#This Row],[Nombre Centro Gestion]]</f>
        <v>10364505 - DS19 Gran Avenida Etapa 1 (Torre C-D)-PV Inmob.</v>
      </c>
    </row>
    <row r="541" spans="1:6" x14ac:dyDescent="0.25">
      <c r="A541" s="43">
        <v>38</v>
      </c>
      <c r="B541" t="s">
        <v>396</v>
      </c>
      <c r="C541" s="43" t="s">
        <v>397</v>
      </c>
      <c r="D541" s="43">
        <v>10364506</v>
      </c>
      <c r="E541" t="s">
        <v>1459</v>
      </c>
      <c r="F541" s="47" t="str">
        <f>+Empresa_Centro[[#This Row],[Codigo Centro Gestion]]&amp;" - "&amp;Empresa_Centro[[#This Row],[Nombre Centro Gestion]]</f>
        <v>10364506 - DS19 Gran Avenida Etapa 1 (Torre C-D)-Depto.Técnico</v>
      </c>
    </row>
    <row r="542" spans="1:6" x14ac:dyDescent="0.25">
      <c r="A542" s="43">
        <v>38</v>
      </c>
      <c r="B542" t="s">
        <v>396</v>
      </c>
      <c r="C542" s="43" t="s">
        <v>397</v>
      </c>
      <c r="D542" s="43">
        <v>10370000</v>
      </c>
      <c r="E542" t="s">
        <v>1460</v>
      </c>
      <c r="F542" s="47" t="str">
        <f>+Empresa_Centro[[#This Row],[Codigo Centro Gestion]]&amp;" - "&amp;Empresa_Centro[[#This Row],[Nombre Centro Gestion]]</f>
        <v>10370000 - DS19 Gran Avenida Etapa 2 (Torre A-B)</v>
      </c>
    </row>
    <row r="543" spans="1:6" x14ac:dyDescent="0.25">
      <c r="A543" s="43">
        <v>38</v>
      </c>
      <c r="B543" t="s">
        <v>396</v>
      </c>
      <c r="C543" s="43" t="s">
        <v>397</v>
      </c>
      <c r="D543" s="43">
        <v>10370102</v>
      </c>
      <c r="E543" t="s">
        <v>1461</v>
      </c>
      <c r="F543" s="47" t="str">
        <f>+Empresa_Centro[[#This Row],[Codigo Centro Gestion]]&amp;" - "&amp;Empresa_Centro[[#This Row],[Nombre Centro Gestion]]</f>
        <v>10370102 - DS19 Gran Avenida Etapa 2 (Torre A-B)-Marketing</v>
      </c>
    </row>
    <row r="544" spans="1:6" x14ac:dyDescent="0.25">
      <c r="A544" s="43">
        <v>38</v>
      </c>
      <c r="B544" t="s">
        <v>396</v>
      </c>
      <c r="C544" s="43" t="s">
        <v>397</v>
      </c>
      <c r="D544" s="43">
        <v>10370103</v>
      </c>
      <c r="E544" t="s">
        <v>1462</v>
      </c>
      <c r="F544" s="47" t="str">
        <f>+Empresa_Centro[[#This Row],[Codigo Centro Gestion]]&amp;" - "&amp;Empresa_Centro[[#This Row],[Nombre Centro Gestion]]</f>
        <v>10370103 - DS19 Gran Avenida Etapa 2 (Torre A-B)-Operaciones</v>
      </c>
    </row>
    <row r="545" spans="1:6" x14ac:dyDescent="0.25">
      <c r="A545" s="43">
        <v>38</v>
      </c>
      <c r="B545" t="s">
        <v>396</v>
      </c>
      <c r="C545" s="43" t="s">
        <v>397</v>
      </c>
      <c r="D545" s="43">
        <v>10370104</v>
      </c>
      <c r="E545" t="s">
        <v>1463</v>
      </c>
      <c r="F545" s="47" t="str">
        <f>+Empresa_Centro[[#This Row],[Codigo Centro Gestion]]&amp;" - "&amp;Empresa_Centro[[#This Row],[Nombre Centro Gestion]]</f>
        <v>10370104 - DS19 Gran Avenida Etapa 2 (Torre A-B)-Ventas</v>
      </c>
    </row>
    <row r="546" spans="1:6" x14ac:dyDescent="0.25">
      <c r="A546" s="43">
        <v>38</v>
      </c>
      <c r="B546" t="s">
        <v>396</v>
      </c>
      <c r="C546" s="43" t="s">
        <v>397</v>
      </c>
      <c r="D546" s="43">
        <v>10370105</v>
      </c>
      <c r="E546" t="s">
        <v>1464</v>
      </c>
      <c r="F546" s="47" t="str">
        <f>+Empresa_Centro[[#This Row],[Codigo Centro Gestion]]&amp;" - "&amp;Empresa_Centro[[#This Row],[Nombre Centro Gestion]]</f>
        <v>10370105 - DS19 Gran Avenida Etapa 2 (Torre A-B)-Clientes</v>
      </c>
    </row>
    <row r="547" spans="1:6" x14ac:dyDescent="0.25">
      <c r="A547" s="43">
        <v>38</v>
      </c>
      <c r="B547" t="s">
        <v>396</v>
      </c>
      <c r="C547" s="43" t="s">
        <v>397</v>
      </c>
      <c r="D547" s="43">
        <v>10370204</v>
      </c>
      <c r="E547" t="s">
        <v>1465</v>
      </c>
      <c r="F547" s="47" t="str">
        <f>+Empresa_Centro[[#This Row],[Codigo Centro Gestion]]&amp;" - "&amp;Empresa_Centro[[#This Row],[Nombre Centro Gestion]]</f>
        <v>10370204 - DS19 Gran Avenida Etapa 2 (Torre A-B)-Proyecto</v>
      </c>
    </row>
    <row r="548" spans="1:6" x14ac:dyDescent="0.25">
      <c r="A548" s="43">
        <v>38</v>
      </c>
      <c r="B548" t="s">
        <v>396</v>
      </c>
      <c r="C548" s="43" t="s">
        <v>397</v>
      </c>
      <c r="D548" s="43">
        <v>10370301</v>
      </c>
      <c r="E548" t="s">
        <v>1466</v>
      </c>
      <c r="F548" s="47" t="str">
        <f>+Empresa_Centro[[#This Row],[Codigo Centro Gestion]]&amp;" - "&amp;Empresa_Centro[[#This Row],[Nombre Centro Gestion]]</f>
        <v>10370301 - DS19 Gran Avenida Etapa 2 (Torre A-B)-GAF</v>
      </c>
    </row>
    <row r="549" spans="1:6" x14ac:dyDescent="0.25">
      <c r="A549" s="43">
        <v>38</v>
      </c>
      <c r="B549" t="s">
        <v>396</v>
      </c>
      <c r="C549" s="43" t="s">
        <v>397</v>
      </c>
      <c r="D549" s="43">
        <v>10370506</v>
      </c>
      <c r="E549" t="s">
        <v>1467</v>
      </c>
      <c r="F549" s="47" t="str">
        <f>+Empresa_Centro[[#This Row],[Codigo Centro Gestion]]&amp;" - "&amp;Empresa_Centro[[#This Row],[Nombre Centro Gestion]]</f>
        <v>10370506 - DS19 Gran Avenida Etapa 2 (Torre A-B)-Depto.Técnico</v>
      </c>
    </row>
    <row r="550" spans="1:6" x14ac:dyDescent="0.25">
      <c r="A550" s="43">
        <v>58</v>
      </c>
      <c r="B550" t="s">
        <v>51</v>
      </c>
      <c r="C550" s="43" t="s">
        <v>421</v>
      </c>
      <c r="D550" s="43">
        <v>70309</v>
      </c>
      <c r="E550" t="s">
        <v>252</v>
      </c>
      <c r="F550" s="47" t="str">
        <f>+Empresa_Centro[[#This Row],[Codigo Centro Gestion]]&amp;" - "&amp;Empresa_Centro[[#This Row],[Nombre Centro Gestion]]</f>
        <v>70309 - OFICINA CENTRAL</v>
      </c>
    </row>
    <row r="551" spans="1:6" x14ac:dyDescent="0.25">
      <c r="A551" s="43">
        <v>43</v>
      </c>
      <c r="B551" t="s">
        <v>52</v>
      </c>
      <c r="C551" s="43" t="s">
        <v>402</v>
      </c>
      <c r="D551" s="43">
        <v>70309</v>
      </c>
      <c r="E551" t="s">
        <v>252</v>
      </c>
      <c r="F551" s="47" t="str">
        <f>+Empresa_Centro[[#This Row],[Codigo Centro Gestion]]&amp;" - "&amp;Empresa_Centro[[#This Row],[Nombre Centro Gestion]]</f>
        <v>70309 - OFICINA CENTRAL</v>
      </c>
    </row>
    <row r="552" spans="1:6" x14ac:dyDescent="0.25">
      <c r="A552" s="43">
        <v>39</v>
      </c>
      <c r="B552" t="s">
        <v>398</v>
      </c>
      <c r="C552" s="43" t="s">
        <v>399</v>
      </c>
      <c r="D552" s="43">
        <v>70309</v>
      </c>
      <c r="E552" t="s">
        <v>252</v>
      </c>
      <c r="F552" s="47" t="str">
        <f>+Empresa_Centro[[#This Row],[Codigo Centro Gestion]]&amp;" - "&amp;Empresa_Centro[[#This Row],[Nombre Centro Gestion]]</f>
        <v>70309 - OFICINA CENTRAL</v>
      </c>
    </row>
    <row r="553" spans="1:6" x14ac:dyDescent="0.25">
      <c r="A553" s="43">
        <v>90</v>
      </c>
      <c r="B553" t="s">
        <v>442</v>
      </c>
      <c r="C553" s="43" t="s">
        <v>443</v>
      </c>
      <c r="D553" s="43">
        <v>10315</v>
      </c>
      <c r="E553" t="s">
        <v>191</v>
      </c>
      <c r="F553" s="47" t="str">
        <f>+Empresa_Centro[[#This Row],[Codigo Centro Gestion]]&amp;" - "&amp;Empresa_Centro[[#This Row],[Nombre Centro Gestion]]</f>
        <v>10315 - Centro General zonal</v>
      </c>
    </row>
    <row r="554" spans="1:6" x14ac:dyDescent="0.25">
      <c r="A554" s="43">
        <v>90</v>
      </c>
      <c r="B554" t="s">
        <v>442</v>
      </c>
      <c r="C554" s="43" t="s">
        <v>443</v>
      </c>
      <c r="D554" s="43">
        <v>70309</v>
      </c>
      <c r="E554" t="s">
        <v>252</v>
      </c>
      <c r="F554" s="47" t="str">
        <f>+Empresa_Centro[[#This Row],[Codigo Centro Gestion]]&amp;" - "&amp;Empresa_Centro[[#This Row],[Nombre Centro Gestion]]</f>
        <v>70309 - OFICINA CENTRAL</v>
      </c>
    </row>
    <row r="555" spans="1:6" x14ac:dyDescent="0.25">
      <c r="A555" s="43">
        <v>74</v>
      </c>
      <c r="B555" t="s">
        <v>53</v>
      </c>
      <c r="C555" s="43" t="s">
        <v>435</v>
      </c>
      <c r="D555" s="43">
        <v>70309</v>
      </c>
      <c r="E555" t="s">
        <v>252</v>
      </c>
      <c r="F555" s="47" t="str">
        <f>+Empresa_Centro[[#This Row],[Codigo Centro Gestion]]&amp;" - "&amp;Empresa_Centro[[#This Row],[Nombre Centro Gestion]]</f>
        <v>70309 - OFICINA CENTRAL</v>
      </c>
    </row>
    <row r="556" spans="1:6" x14ac:dyDescent="0.25">
      <c r="A556" s="43">
        <v>40</v>
      </c>
      <c r="B556" t="s">
        <v>400</v>
      </c>
      <c r="C556" s="43" t="s">
        <v>401</v>
      </c>
      <c r="D556" s="43">
        <v>70309</v>
      </c>
      <c r="E556" t="s">
        <v>252</v>
      </c>
      <c r="F556" s="47" t="str">
        <f>+Empresa_Centro[[#This Row],[Codigo Centro Gestion]]&amp;" - "&amp;Empresa_Centro[[#This Row],[Nombre Centro Gestion]]</f>
        <v>70309 - OFICINA CENTRAL</v>
      </c>
    </row>
    <row r="557" spans="1:6" x14ac:dyDescent="0.25">
      <c r="A557" s="43">
        <v>40</v>
      </c>
      <c r="B557" t="s">
        <v>400</v>
      </c>
      <c r="C557" s="43" t="s">
        <v>401</v>
      </c>
      <c r="D557" s="43">
        <v>1062202</v>
      </c>
      <c r="E557" t="s">
        <v>723</v>
      </c>
      <c r="F557" s="47" t="str">
        <f>+Empresa_Centro[[#This Row],[Codigo Centro Gestion]]&amp;" - "&amp;Empresa_Centro[[#This Row],[Nombre Centro Gestion]]</f>
        <v>1062202 - Terreno El Yodo-Desarrollo</v>
      </c>
    </row>
    <row r="558" spans="1:6" x14ac:dyDescent="0.25">
      <c r="A558" s="43">
        <v>40</v>
      </c>
      <c r="B558" t="s">
        <v>400</v>
      </c>
      <c r="C558" s="43" t="s">
        <v>401</v>
      </c>
      <c r="D558" s="43">
        <v>10062000</v>
      </c>
      <c r="E558" t="s">
        <v>780</v>
      </c>
      <c r="F558" s="47" t="str">
        <f>+Empresa_Centro[[#This Row],[Codigo Centro Gestion]]&amp;" - "&amp;Empresa_Centro[[#This Row],[Nombre Centro Gestion]]</f>
        <v>10062000 - Cumbres del Mar</v>
      </c>
    </row>
    <row r="559" spans="1:6" x14ac:dyDescent="0.25">
      <c r="A559" s="43">
        <v>40</v>
      </c>
      <c r="B559" t="s">
        <v>400</v>
      </c>
      <c r="C559" s="43" t="s">
        <v>401</v>
      </c>
      <c r="D559" s="43">
        <v>10062105</v>
      </c>
      <c r="E559" t="s">
        <v>784</v>
      </c>
      <c r="F559" s="47" t="str">
        <f>+Empresa_Centro[[#This Row],[Codigo Centro Gestion]]&amp;" - "&amp;Empresa_Centro[[#This Row],[Nombre Centro Gestion]]</f>
        <v>10062105 - Cumbres del Mar-Clientes</v>
      </c>
    </row>
    <row r="560" spans="1:6" x14ac:dyDescent="0.25">
      <c r="A560" s="43">
        <v>40</v>
      </c>
      <c r="B560" t="s">
        <v>400</v>
      </c>
      <c r="C560" s="43" t="s">
        <v>401</v>
      </c>
      <c r="D560" s="43">
        <v>10062204</v>
      </c>
      <c r="E560" t="s">
        <v>785</v>
      </c>
      <c r="F560" s="47" t="str">
        <f>+Empresa_Centro[[#This Row],[Codigo Centro Gestion]]&amp;" - "&amp;Empresa_Centro[[#This Row],[Nombre Centro Gestion]]</f>
        <v>10062204 - Cumbres del Mar-Proyecto</v>
      </c>
    </row>
    <row r="561" spans="1:6" x14ac:dyDescent="0.25">
      <c r="A561" s="43">
        <v>40</v>
      </c>
      <c r="B561" t="s">
        <v>400</v>
      </c>
      <c r="C561" s="43" t="s">
        <v>401</v>
      </c>
      <c r="D561" s="43">
        <v>10062301</v>
      </c>
      <c r="E561" t="s">
        <v>786</v>
      </c>
      <c r="F561" s="47" t="str">
        <f>+Empresa_Centro[[#This Row],[Codigo Centro Gestion]]&amp;" - "&amp;Empresa_Centro[[#This Row],[Nombre Centro Gestion]]</f>
        <v>10062301 - Cumbres del Mar-GAF</v>
      </c>
    </row>
    <row r="562" spans="1:6" x14ac:dyDescent="0.25">
      <c r="A562" s="43">
        <v>40</v>
      </c>
      <c r="B562" t="s">
        <v>400</v>
      </c>
      <c r="C562" s="43" t="s">
        <v>401</v>
      </c>
      <c r="D562" s="43">
        <v>10199301</v>
      </c>
      <c r="E562" t="s">
        <v>866</v>
      </c>
      <c r="F562" s="47" t="str">
        <f>+Empresa_Centro[[#This Row],[Codigo Centro Gestion]]&amp;" - "&amp;Empresa_Centro[[#This Row],[Nombre Centro Gestion]]</f>
        <v>10199301 - Vista Independencia-GAF</v>
      </c>
    </row>
    <row r="563" spans="1:6" x14ac:dyDescent="0.25">
      <c r="A563" s="43">
        <v>40</v>
      </c>
      <c r="B563" t="s">
        <v>400</v>
      </c>
      <c r="C563" s="43" t="s">
        <v>401</v>
      </c>
      <c r="D563" s="43">
        <v>10200301</v>
      </c>
      <c r="E563" t="s">
        <v>875</v>
      </c>
      <c r="F563" s="47" t="str">
        <f>+Empresa_Centro[[#This Row],[Codigo Centro Gestion]]&amp;" - "&amp;Empresa_Centro[[#This Row],[Nombre Centro Gestion]]</f>
        <v>10200301 - Edificio Terrazas del Sol-GAF</v>
      </c>
    </row>
    <row r="564" spans="1:6" x14ac:dyDescent="0.25">
      <c r="A564" s="43">
        <v>40</v>
      </c>
      <c r="B564" t="s">
        <v>400</v>
      </c>
      <c r="C564" s="43" t="s">
        <v>401</v>
      </c>
      <c r="D564" s="43">
        <v>10200506</v>
      </c>
      <c r="E564" t="s">
        <v>877</v>
      </c>
      <c r="F564" s="47" t="str">
        <f>+Empresa_Centro[[#This Row],[Codigo Centro Gestion]]&amp;" - "&amp;Empresa_Centro[[#This Row],[Nombre Centro Gestion]]</f>
        <v>10200506 - Edificio Terrazas del Sol-Depto.Técnico</v>
      </c>
    </row>
    <row r="565" spans="1:6" x14ac:dyDescent="0.25">
      <c r="A565" s="43">
        <v>40</v>
      </c>
      <c r="B565" t="s">
        <v>400</v>
      </c>
      <c r="C565" s="43" t="s">
        <v>401</v>
      </c>
      <c r="D565" s="43">
        <v>10201301</v>
      </c>
      <c r="E565" t="s">
        <v>884</v>
      </c>
      <c r="F565" s="47" t="str">
        <f>+Empresa_Centro[[#This Row],[Codigo Centro Gestion]]&amp;" - "&amp;Empresa_Centro[[#This Row],[Nombre Centro Gestion]]</f>
        <v>10201301 - Nuevo Ecuador-GAF</v>
      </c>
    </row>
    <row r="566" spans="1:6" x14ac:dyDescent="0.25">
      <c r="A566" s="43">
        <v>48</v>
      </c>
      <c r="B566" t="s">
        <v>54</v>
      </c>
      <c r="C566" s="43" t="s">
        <v>408</v>
      </c>
      <c r="D566" s="43">
        <v>10315</v>
      </c>
      <c r="E566" t="s">
        <v>191</v>
      </c>
      <c r="F566" s="47" t="str">
        <f>+Empresa_Centro[[#This Row],[Codigo Centro Gestion]]&amp;" - "&amp;Empresa_Centro[[#This Row],[Nombre Centro Gestion]]</f>
        <v>10315 - Centro General zonal</v>
      </c>
    </row>
    <row r="567" spans="1:6" x14ac:dyDescent="0.25">
      <c r="A567" s="43">
        <v>48</v>
      </c>
      <c r="B567" t="s">
        <v>54</v>
      </c>
      <c r="C567" s="43" t="s">
        <v>408</v>
      </c>
      <c r="D567" s="43">
        <v>70309</v>
      </c>
      <c r="E567" t="s">
        <v>252</v>
      </c>
      <c r="F567" s="47" t="str">
        <f>+Empresa_Centro[[#This Row],[Codigo Centro Gestion]]&amp;" - "&amp;Empresa_Centro[[#This Row],[Nombre Centro Gestion]]</f>
        <v>70309 - OFICINA CENTRAL</v>
      </c>
    </row>
    <row r="568" spans="1:6" x14ac:dyDescent="0.25">
      <c r="A568" s="43">
        <v>53</v>
      </c>
      <c r="B568" t="s">
        <v>56</v>
      </c>
      <c r="C568" s="43" t="s">
        <v>414</v>
      </c>
      <c r="D568" s="43">
        <v>10315</v>
      </c>
      <c r="E568" t="s">
        <v>191</v>
      </c>
      <c r="F568" s="47" t="str">
        <f>+Empresa_Centro[[#This Row],[Codigo Centro Gestion]]&amp;" - "&amp;Empresa_Centro[[#This Row],[Nombre Centro Gestion]]</f>
        <v>10315 - Centro General zonal</v>
      </c>
    </row>
    <row r="569" spans="1:6" x14ac:dyDescent="0.25">
      <c r="A569" s="43">
        <v>53</v>
      </c>
      <c r="B569" t="s">
        <v>56</v>
      </c>
      <c r="C569" s="43" t="s">
        <v>414</v>
      </c>
      <c r="D569" s="43">
        <v>70309</v>
      </c>
      <c r="E569" t="s">
        <v>252</v>
      </c>
      <c r="F569" s="47" t="str">
        <f>+Empresa_Centro[[#This Row],[Codigo Centro Gestion]]&amp;" - "&amp;Empresa_Centro[[#This Row],[Nombre Centro Gestion]]</f>
        <v>70309 - OFICINA CENTRAL</v>
      </c>
    </row>
    <row r="570" spans="1:6" x14ac:dyDescent="0.25">
      <c r="A570" s="43">
        <v>102</v>
      </c>
      <c r="B570" t="s">
        <v>454</v>
      </c>
      <c r="C570" s="43" t="s">
        <v>455</v>
      </c>
      <c r="D570" s="43">
        <v>10315</v>
      </c>
      <c r="E570" t="s">
        <v>191</v>
      </c>
      <c r="F570" s="47" t="str">
        <f>+Empresa_Centro[[#This Row],[Codigo Centro Gestion]]&amp;" - "&amp;Empresa_Centro[[#This Row],[Nombre Centro Gestion]]</f>
        <v>10315 - Centro General zonal</v>
      </c>
    </row>
    <row r="571" spans="1:6" x14ac:dyDescent="0.25">
      <c r="A571" s="43">
        <v>102</v>
      </c>
      <c r="B571" t="s">
        <v>454</v>
      </c>
      <c r="C571" s="43" t="s">
        <v>455</v>
      </c>
      <c r="D571" s="43">
        <v>70309</v>
      </c>
      <c r="E571" t="s">
        <v>252</v>
      </c>
      <c r="F571" s="47" t="str">
        <f>+Empresa_Centro[[#This Row],[Codigo Centro Gestion]]&amp;" - "&amp;Empresa_Centro[[#This Row],[Nombre Centro Gestion]]</f>
        <v>70309 - OFICINA CENTRAL</v>
      </c>
    </row>
    <row r="572" spans="1:6" x14ac:dyDescent="0.25">
      <c r="A572" s="43">
        <v>102</v>
      </c>
      <c r="B572" t="s">
        <v>454</v>
      </c>
      <c r="C572" s="43" t="s">
        <v>455</v>
      </c>
      <c r="D572" s="43">
        <v>10187000</v>
      </c>
      <c r="E572" t="s">
        <v>824</v>
      </c>
      <c r="F572" s="47" t="str">
        <f>+Empresa_Centro[[#This Row],[Codigo Centro Gestion]]&amp;" - "&amp;Empresa_Centro[[#This Row],[Nombre Centro Gestion]]</f>
        <v>10187000 - Edificio Parque Quinta</v>
      </c>
    </row>
    <row r="573" spans="1:6" x14ac:dyDescent="0.25">
      <c r="A573" s="43">
        <v>102</v>
      </c>
      <c r="B573" t="s">
        <v>454</v>
      </c>
      <c r="C573" s="43" t="s">
        <v>455</v>
      </c>
      <c r="D573" s="43">
        <v>10189000</v>
      </c>
      <c r="E573" t="s">
        <v>842</v>
      </c>
      <c r="F573" s="47" t="str">
        <f>+Empresa_Centro[[#This Row],[Codigo Centro Gestion]]&amp;" - "&amp;Empresa_Centro[[#This Row],[Nombre Centro Gestion]]</f>
        <v>10189000 - Vista Azul</v>
      </c>
    </row>
    <row r="574" spans="1:6" x14ac:dyDescent="0.25">
      <c r="A574" s="43">
        <v>102</v>
      </c>
      <c r="B574" t="s">
        <v>454</v>
      </c>
      <c r="C574" s="43" t="s">
        <v>455</v>
      </c>
      <c r="D574" s="43">
        <v>10189102</v>
      </c>
      <c r="E574" t="s">
        <v>843</v>
      </c>
      <c r="F574" s="47" t="str">
        <f>+Empresa_Centro[[#This Row],[Codigo Centro Gestion]]&amp;" - "&amp;Empresa_Centro[[#This Row],[Nombre Centro Gestion]]</f>
        <v>10189102 - Vista Azul-Marketing</v>
      </c>
    </row>
    <row r="575" spans="1:6" x14ac:dyDescent="0.25">
      <c r="A575" s="43">
        <v>102</v>
      </c>
      <c r="B575" t="s">
        <v>454</v>
      </c>
      <c r="C575" s="43" t="s">
        <v>455</v>
      </c>
      <c r="D575" s="43">
        <v>10189103</v>
      </c>
      <c r="E575" t="s">
        <v>844</v>
      </c>
      <c r="F575" s="47" t="str">
        <f>+Empresa_Centro[[#This Row],[Codigo Centro Gestion]]&amp;" - "&amp;Empresa_Centro[[#This Row],[Nombre Centro Gestion]]</f>
        <v>10189103 - Vista Azul-Operaciones</v>
      </c>
    </row>
    <row r="576" spans="1:6" x14ac:dyDescent="0.25">
      <c r="A576" s="43">
        <v>102</v>
      </c>
      <c r="B576" t="s">
        <v>454</v>
      </c>
      <c r="C576" s="43" t="s">
        <v>455</v>
      </c>
      <c r="D576" s="43">
        <v>10189104</v>
      </c>
      <c r="E576" t="s">
        <v>845</v>
      </c>
      <c r="F576" s="47" t="str">
        <f>+Empresa_Centro[[#This Row],[Codigo Centro Gestion]]&amp;" - "&amp;Empresa_Centro[[#This Row],[Nombre Centro Gestion]]</f>
        <v>10189104 - Vista Azul-Ventas</v>
      </c>
    </row>
    <row r="577" spans="1:6" x14ac:dyDescent="0.25">
      <c r="A577" s="43">
        <v>102</v>
      </c>
      <c r="B577" t="s">
        <v>454</v>
      </c>
      <c r="C577" s="43" t="s">
        <v>455</v>
      </c>
      <c r="D577" s="43">
        <v>10189105</v>
      </c>
      <c r="E577" t="s">
        <v>846</v>
      </c>
      <c r="F577" s="47" t="str">
        <f>+Empresa_Centro[[#This Row],[Codigo Centro Gestion]]&amp;" - "&amp;Empresa_Centro[[#This Row],[Nombre Centro Gestion]]</f>
        <v>10189105 - Vista Azul-Clientes</v>
      </c>
    </row>
    <row r="578" spans="1:6" x14ac:dyDescent="0.25">
      <c r="A578" s="43">
        <v>102</v>
      </c>
      <c r="B578" t="s">
        <v>454</v>
      </c>
      <c r="C578" s="43" t="s">
        <v>455</v>
      </c>
      <c r="D578" s="43">
        <v>10189204</v>
      </c>
      <c r="E578" t="s">
        <v>847</v>
      </c>
      <c r="F578" s="47" t="str">
        <f>+Empresa_Centro[[#This Row],[Codigo Centro Gestion]]&amp;" - "&amp;Empresa_Centro[[#This Row],[Nombre Centro Gestion]]</f>
        <v>10189204 - Vista Azul-Proyecto</v>
      </c>
    </row>
    <row r="579" spans="1:6" x14ac:dyDescent="0.25">
      <c r="A579" s="43">
        <v>102</v>
      </c>
      <c r="B579" t="s">
        <v>454</v>
      </c>
      <c r="C579" s="43" t="s">
        <v>455</v>
      </c>
      <c r="D579" s="43">
        <v>10189301</v>
      </c>
      <c r="E579" t="s">
        <v>848</v>
      </c>
      <c r="F579" s="47" t="str">
        <f>+Empresa_Centro[[#This Row],[Codigo Centro Gestion]]&amp;" - "&amp;Empresa_Centro[[#This Row],[Nombre Centro Gestion]]</f>
        <v>10189301 - Vista Azul-GAF</v>
      </c>
    </row>
    <row r="580" spans="1:6" x14ac:dyDescent="0.25">
      <c r="A580" s="43">
        <v>102</v>
      </c>
      <c r="B580" t="s">
        <v>454</v>
      </c>
      <c r="C580" s="43" t="s">
        <v>455</v>
      </c>
      <c r="D580" s="43">
        <v>10189505</v>
      </c>
      <c r="E580" t="s">
        <v>849</v>
      </c>
      <c r="F580" s="47" t="str">
        <f>+Empresa_Centro[[#This Row],[Codigo Centro Gestion]]&amp;" - "&amp;Empresa_Centro[[#This Row],[Nombre Centro Gestion]]</f>
        <v>10189505 - Vista Azul-PV Inmob.</v>
      </c>
    </row>
    <row r="581" spans="1:6" x14ac:dyDescent="0.25">
      <c r="A581" s="43">
        <v>102</v>
      </c>
      <c r="B581" t="s">
        <v>454</v>
      </c>
      <c r="C581" s="43" t="s">
        <v>455</v>
      </c>
      <c r="D581" s="43">
        <v>10189506</v>
      </c>
      <c r="E581" t="s">
        <v>850</v>
      </c>
      <c r="F581" s="47" t="str">
        <f>+Empresa_Centro[[#This Row],[Codigo Centro Gestion]]&amp;" - "&amp;Empresa_Centro[[#This Row],[Nombre Centro Gestion]]</f>
        <v>10189506 - Vista Azul-Depto.Técnico</v>
      </c>
    </row>
    <row r="582" spans="1:6" x14ac:dyDescent="0.25">
      <c r="A582" s="43">
        <v>65</v>
      </c>
      <c r="B582" t="s">
        <v>57</v>
      </c>
      <c r="C582" s="43" t="s">
        <v>429</v>
      </c>
      <c r="D582" s="43">
        <v>10315</v>
      </c>
      <c r="E582" t="s">
        <v>191</v>
      </c>
      <c r="F582" s="47" t="str">
        <f>+Empresa_Centro[[#This Row],[Codigo Centro Gestion]]&amp;" - "&amp;Empresa_Centro[[#This Row],[Nombre Centro Gestion]]</f>
        <v>10315 - Centro General zonal</v>
      </c>
    </row>
    <row r="583" spans="1:6" x14ac:dyDescent="0.25">
      <c r="A583" s="43">
        <v>65</v>
      </c>
      <c r="B583" t="s">
        <v>57</v>
      </c>
      <c r="C583" s="43" t="s">
        <v>429</v>
      </c>
      <c r="D583" s="43">
        <v>70309</v>
      </c>
      <c r="E583" t="s">
        <v>252</v>
      </c>
      <c r="F583" s="47" t="str">
        <f>+Empresa_Centro[[#This Row],[Codigo Centro Gestion]]&amp;" - "&amp;Empresa_Centro[[#This Row],[Nombre Centro Gestion]]</f>
        <v>70309 - OFICINA CENTRAL</v>
      </c>
    </row>
    <row r="584" spans="1:6" x14ac:dyDescent="0.25">
      <c r="A584" s="43">
        <v>65</v>
      </c>
      <c r="B584" t="s">
        <v>57</v>
      </c>
      <c r="C584" s="43" t="s">
        <v>429</v>
      </c>
      <c r="D584" s="43">
        <v>10203000</v>
      </c>
      <c r="E584" t="s">
        <v>898</v>
      </c>
      <c r="F584" s="47" t="str">
        <f>+Empresa_Centro[[#This Row],[Codigo Centro Gestion]]&amp;" - "&amp;Empresa_Centro[[#This Row],[Nombre Centro Gestion]]</f>
        <v>10203000 - Alto Foresta</v>
      </c>
    </row>
    <row r="585" spans="1:6" x14ac:dyDescent="0.25">
      <c r="A585" s="43">
        <v>47</v>
      </c>
      <c r="B585" t="s">
        <v>58</v>
      </c>
      <c r="C585" s="43" t="s">
        <v>407</v>
      </c>
      <c r="D585" s="43">
        <v>70309</v>
      </c>
      <c r="E585" t="s">
        <v>252</v>
      </c>
      <c r="F585" s="47" t="str">
        <f>+Empresa_Centro[[#This Row],[Codigo Centro Gestion]]&amp;" - "&amp;Empresa_Centro[[#This Row],[Nombre Centro Gestion]]</f>
        <v>70309 - OFICINA CENTRAL</v>
      </c>
    </row>
    <row r="586" spans="1:6" x14ac:dyDescent="0.25">
      <c r="A586" s="43">
        <v>76</v>
      </c>
      <c r="B586" t="s">
        <v>59</v>
      </c>
      <c r="C586" s="43" t="s">
        <v>437</v>
      </c>
      <c r="D586" s="43">
        <v>10315</v>
      </c>
      <c r="E586" t="s">
        <v>191</v>
      </c>
      <c r="F586" s="47" t="str">
        <f>+Empresa_Centro[[#This Row],[Codigo Centro Gestion]]&amp;" - "&amp;Empresa_Centro[[#This Row],[Nombre Centro Gestion]]</f>
        <v>10315 - Centro General zonal</v>
      </c>
    </row>
    <row r="587" spans="1:6" x14ac:dyDescent="0.25">
      <c r="A587" s="43">
        <v>76</v>
      </c>
      <c r="B587" t="s">
        <v>59</v>
      </c>
      <c r="C587" s="43" t="s">
        <v>437</v>
      </c>
      <c r="D587" s="43">
        <v>70101</v>
      </c>
      <c r="E587" t="s">
        <v>227</v>
      </c>
      <c r="F587" s="47" t="str">
        <f>+Empresa_Centro[[#This Row],[Codigo Centro Gestion]]&amp;" - "&amp;Empresa_Centro[[#This Row],[Nombre Centro Gestion]]</f>
        <v>70101 - GERENCIA DE CLIENTES</v>
      </c>
    </row>
    <row r="588" spans="1:6" x14ac:dyDescent="0.25">
      <c r="A588" s="43">
        <v>76</v>
      </c>
      <c r="B588" t="s">
        <v>59</v>
      </c>
      <c r="C588" s="43" t="s">
        <v>437</v>
      </c>
      <c r="D588" s="43">
        <v>70102</v>
      </c>
      <c r="E588" t="s">
        <v>229</v>
      </c>
      <c r="F588" s="47" t="str">
        <f>+Empresa_Centro[[#This Row],[Codigo Centro Gestion]]&amp;" - "&amp;Empresa_Centro[[#This Row],[Nombre Centro Gestion]]</f>
        <v>70102 - MARKETING</v>
      </c>
    </row>
    <row r="589" spans="1:6" x14ac:dyDescent="0.25">
      <c r="A589" s="43">
        <v>76</v>
      </c>
      <c r="B589" t="s">
        <v>59</v>
      </c>
      <c r="C589" s="43" t="s">
        <v>437</v>
      </c>
      <c r="D589" s="43">
        <v>70105</v>
      </c>
      <c r="E589" t="s">
        <v>230</v>
      </c>
      <c r="F589" s="47" t="str">
        <f>+Empresa_Centro[[#This Row],[Codigo Centro Gestion]]&amp;" - "&amp;Empresa_Centro[[#This Row],[Nombre Centro Gestion]]</f>
        <v>70105 - SERVICIO AL CLIENTE</v>
      </c>
    </row>
    <row r="590" spans="1:6" x14ac:dyDescent="0.25">
      <c r="A590" s="43">
        <v>76</v>
      </c>
      <c r="B590" t="s">
        <v>59</v>
      </c>
      <c r="C590" s="43" t="s">
        <v>437</v>
      </c>
      <c r="D590" s="43">
        <v>70114</v>
      </c>
      <c r="E590" t="s">
        <v>718</v>
      </c>
      <c r="F590" s="47" t="str">
        <f>+Empresa_Centro[[#This Row],[Codigo Centro Gestion]]&amp;" - "&amp;Empresa_Centro[[#This Row],[Nombre Centro Gestion]]</f>
        <v>70114 - Recuperacion</v>
      </c>
    </row>
    <row r="591" spans="1:6" x14ac:dyDescent="0.25">
      <c r="A591" s="43">
        <v>76</v>
      </c>
      <c r="B591" t="s">
        <v>59</v>
      </c>
      <c r="C591" s="43" t="s">
        <v>437</v>
      </c>
      <c r="D591" s="43">
        <v>70115</v>
      </c>
      <c r="E591" t="s">
        <v>382</v>
      </c>
      <c r="F591" s="47" t="str">
        <f>+Empresa_Centro[[#This Row],[Codigo Centro Gestion]]&amp;" - "&amp;Empresa_Centro[[#This Row],[Nombre Centro Gestion]]</f>
        <v>70115 - Escrituración</v>
      </c>
    </row>
    <row r="592" spans="1:6" x14ac:dyDescent="0.25">
      <c r="A592" s="43">
        <v>76</v>
      </c>
      <c r="B592" t="s">
        <v>59</v>
      </c>
      <c r="C592" s="43" t="s">
        <v>437</v>
      </c>
      <c r="D592" s="43">
        <v>70119</v>
      </c>
      <c r="E592" t="s">
        <v>234</v>
      </c>
      <c r="F592" s="47" t="str">
        <f>+Empresa_Centro[[#This Row],[Codigo Centro Gestion]]&amp;" - "&amp;Empresa_Centro[[#This Row],[Nombre Centro Gestion]]</f>
        <v>70119 - VENTAS ZC1</v>
      </c>
    </row>
    <row r="593" spans="1:6" x14ac:dyDescent="0.25">
      <c r="A593" s="43">
        <v>76</v>
      </c>
      <c r="B593" t="s">
        <v>59</v>
      </c>
      <c r="C593" s="43" t="s">
        <v>437</v>
      </c>
      <c r="D593" s="43">
        <v>70201</v>
      </c>
      <c r="E593" t="s">
        <v>237</v>
      </c>
      <c r="F593" s="47" t="str">
        <f>+Empresa_Centro[[#This Row],[Codigo Centro Gestion]]&amp;" - "&amp;Empresa_Centro[[#This Row],[Nombre Centro Gestion]]</f>
        <v>70201 - GERENCIA INVERSIONES Y DESARROLLO</v>
      </c>
    </row>
    <row r="594" spans="1:6" x14ac:dyDescent="0.25">
      <c r="A594" s="43">
        <v>76</v>
      </c>
      <c r="B594" t="s">
        <v>59</v>
      </c>
      <c r="C594" s="43" t="s">
        <v>437</v>
      </c>
      <c r="D594" s="43">
        <v>70205</v>
      </c>
      <c r="E594" t="s">
        <v>238</v>
      </c>
      <c r="F594" s="47" t="str">
        <f>+Empresa_Centro[[#This Row],[Codigo Centro Gestion]]&amp;" - "&amp;Empresa_Centro[[#This Row],[Nombre Centro Gestion]]</f>
        <v>70205 - DEPTO PROYECTOS ZONAL V REGIÓN</v>
      </c>
    </row>
    <row r="595" spans="1:6" x14ac:dyDescent="0.25">
      <c r="A595" s="43">
        <v>76</v>
      </c>
      <c r="B595" t="s">
        <v>59</v>
      </c>
      <c r="C595" s="43" t="s">
        <v>437</v>
      </c>
      <c r="D595" s="43">
        <v>70206</v>
      </c>
      <c r="E595" t="s">
        <v>239</v>
      </c>
      <c r="F595" s="47" t="str">
        <f>+Empresa_Centro[[#This Row],[Codigo Centro Gestion]]&amp;" - "&amp;Empresa_Centro[[#This Row],[Nombre Centro Gestion]]</f>
        <v>70206 - DEPTO PROYECTOS ZONAL NORTE 1</v>
      </c>
    </row>
    <row r="596" spans="1:6" x14ac:dyDescent="0.25">
      <c r="A596" s="43">
        <v>76</v>
      </c>
      <c r="B596" t="s">
        <v>59</v>
      </c>
      <c r="C596" s="43" t="s">
        <v>437</v>
      </c>
      <c r="D596" s="43">
        <v>70207</v>
      </c>
      <c r="E596" t="s">
        <v>240</v>
      </c>
      <c r="F596" s="47" t="str">
        <f>+Empresa_Centro[[#This Row],[Codigo Centro Gestion]]&amp;" - "&amp;Empresa_Centro[[#This Row],[Nombre Centro Gestion]]</f>
        <v>70207 - DEPTO PROYECTOS ZONAL NORTE 2</v>
      </c>
    </row>
    <row r="597" spans="1:6" x14ac:dyDescent="0.25">
      <c r="A597" s="43">
        <v>76</v>
      </c>
      <c r="B597" t="s">
        <v>59</v>
      </c>
      <c r="C597" s="43" t="s">
        <v>437</v>
      </c>
      <c r="D597" s="43">
        <v>70208</v>
      </c>
      <c r="E597" t="s">
        <v>241</v>
      </c>
      <c r="F597" s="47" t="str">
        <f>+Empresa_Centro[[#This Row],[Codigo Centro Gestion]]&amp;" - "&amp;Empresa_Centro[[#This Row],[Nombre Centro Gestion]]</f>
        <v>70208 - DEPTO PROYECTOS ZONAL ZC 1</v>
      </c>
    </row>
    <row r="598" spans="1:6" x14ac:dyDescent="0.25">
      <c r="A598" s="43">
        <v>76</v>
      </c>
      <c r="B598" t="s">
        <v>59</v>
      </c>
      <c r="C598" s="43" t="s">
        <v>437</v>
      </c>
      <c r="D598" s="43">
        <v>70209</v>
      </c>
      <c r="E598" t="s">
        <v>242</v>
      </c>
      <c r="F598" s="47" t="str">
        <f>+Empresa_Centro[[#This Row],[Codigo Centro Gestion]]&amp;" - "&amp;Empresa_Centro[[#This Row],[Nombre Centro Gestion]]</f>
        <v>70209 - DEPTO PROYECTOS ZONAL ZC 2</v>
      </c>
    </row>
    <row r="599" spans="1:6" x14ac:dyDescent="0.25">
      <c r="A599" s="43">
        <v>76</v>
      </c>
      <c r="B599" t="s">
        <v>59</v>
      </c>
      <c r="C599" s="43" t="s">
        <v>437</v>
      </c>
      <c r="D599" s="43">
        <v>70210</v>
      </c>
      <c r="E599" t="s">
        <v>243</v>
      </c>
      <c r="F599" s="47" t="str">
        <f>+Empresa_Centro[[#This Row],[Codigo Centro Gestion]]&amp;" - "&amp;Empresa_Centro[[#This Row],[Nombre Centro Gestion]]</f>
        <v>70210 - GERENCIA OPERACIONES INMOBILIARIAS</v>
      </c>
    </row>
    <row r="600" spans="1:6" x14ac:dyDescent="0.25">
      <c r="A600" s="43">
        <v>76</v>
      </c>
      <c r="B600" t="s">
        <v>59</v>
      </c>
      <c r="C600" s="43" t="s">
        <v>437</v>
      </c>
      <c r="D600" s="43">
        <v>70211</v>
      </c>
      <c r="E600" t="s">
        <v>719</v>
      </c>
      <c r="F600" s="47" t="str">
        <f>+Empresa_Centro[[#This Row],[Codigo Centro Gestion]]&amp;" - "&amp;Empresa_Centro[[#This Row],[Nombre Centro Gestion]]</f>
        <v>70211 - DEPTO PROYECTOS ZONAL NORTE 3</v>
      </c>
    </row>
    <row r="601" spans="1:6" x14ac:dyDescent="0.25">
      <c r="A601" s="43">
        <v>76</v>
      </c>
      <c r="B601" t="s">
        <v>59</v>
      </c>
      <c r="C601" s="43" t="s">
        <v>437</v>
      </c>
      <c r="D601" s="43">
        <v>70301</v>
      </c>
      <c r="E601" t="s">
        <v>244</v>
      </c>
      <c r="F601" s="47" t="str">
        <f>+Empresa_Centro[[#This Row],[Codigo Centro Gestion]]&amp;" - "&amp;Empresa_Centro[[#This Row],[Nombre Centro Gestion]]</f>
        <v>70301 - GERENCIA ADMINISTRACION Y FINANZAS</v>
      </c>
    </row>
    <row r="602" spans="1:6" x14ac:dyDescent="0.25">
      <c r="A602" s="43">
        <v>76</v>
      </c>
      <c r="B602" t="s">
        <v>59</v>
      </c>
      <c r="C602" s="43" t="s">
        <v>437</v>
      </c>
      <c r="D602" s="43">
        <v>70302</v>
      </c>
      <c r="E602" t="s">
        <v>245</v>
      </c>
      <c r="F602" s="47" t="str">
        <f>+Empresa_Centro[[#This Row],[Codigo Centro Gestion]]&amp;" - "&amp;Empresa_Centro[[#This Row],[Nombre Centro Gestion]]</f>
        <v>70302 - CONTABILIDAD</v>
      </c>
    </row>
    <row r="603" spans="1:6" x14ac:dyDescent="0.25">
      <c r="A603" s="43">
        <v>76</v>
      </c>
      <c r="B603" t="s">
        <v>59</v>
      </c>
      <c r="C603" s="43" t="s">
        <v>437</v>
      </c>
      <c r="D603" s="43">
        <v>70303</v>
      </c>
      <c r="E603" t="s">
        <v>246</v>
      </c>
      <c r="F603" s="47" t="str">
        <f>+Empresa_Centro[[#This Row],[Codigo Centro Gestion]]&amp;" - "&amp;Empresa_Centro[[#This Row],[Nombre Centro Gestion]]</f>
        <v>70303 - CONTROL GESTIÓN</v>
      </c>
    </row>
    <row r="604" spans="1:6" x14ac:dyDescent="0.25">
      <c r="A604" s="43">
        <v>76</v>
      </c>
      <c r="B604" t="s">
        <v>59</v>
      </c>
      <c r="C604" s="43" t="s">
        <v>437</v>
      </c>
      <c r="D604" s="43">
        <v>70305</v>
      </c>
      <c r="E604" t="s">
        <v>248</v>
      </c>
      <c r="F604" s="47" t="str">
        <f>+Empresa_Centro[[#This Row],[Codigo Centro Gestion]]&amp;" - "&amp;Empresa_Centro[[#This Row],[Nombre Centro Gestion]]</f>
        <v>70305 - TECNOLOGÍAS DE INFORMACIÓN</v>
      </c>
    </row>
    <row r="605" spans="1:6" x14ac:dyDescent="0.25">
      <c r="A605" s="43">
        <v>76</v>
      </c>
      <c r="B605" t="s">
        <v>59</v>
      </c>
      <c r="C605" s="43" t="s">
        <v>437</v>
      </c>
      <c r="D605" s="43">
        <v>70306</v>
      </c>
      <c r="E605" t="s">
        <v>249</v>
      </c>
      <c r="F605" s="47" t="str">
        <f>+Empresa_Centro[[#This Row],[Codigo Centro Gestion]]&amp;" - "&amp;Empresa_Centro[[#This Row],[Nombre Centro Gestion]]</f>
        <v>70306 - CAPITAL HUMANO</v>
      </c>
    </row>
    <row r="606" spans="1:6" x14ac:dyDescent="0.25">
      <c r="A606" s="43">
        <v>76</v>
      </c>
      <c r="B606" t="s">
        <v>59</v>
      </c>
      <c r="C606" s="43" t="s">
        <v>437</v>
      </c>
      <c r="D606" s="43">
        <v>70307</v>
      </c>
      <c r="E606" t="s">
        <v>250</v>
      </c>
      <c r="F606" s="47" t="str">
        <f>+Empresa_Centro[[#This Row],[Codigo Centro Gestion]]&amp;" - "&amp;Empresa_Centro[[#This Row],[Nombre Centro Gestion]]</f>
        <v>70307 - FINANZAS</v>
      </c>
    </row>
    <row r="607" spans="1:6" x14ac:dyDescent="0.25">
      <c r="A607" s="43">
        <v>76</v>
      </c>
      <c r="B607" t="s">
        <v>59</v>
      </c>
      <c r="C607" s="43" t="s">
        <v>437</v>
      </c>
      <c r="D607" s="43">
        <v>70308</v>
      </c>
      <c r="E607" t="s">
        <v>251</v>
      </c>
      <c r="F607" s="47" t="str">
        <f>+Empresa_Centro[[#This Row],[Codigo Centro Gestion]]&amp;" - "&amp;Empresa_Centro[[#This Row],[Nombre Centro Gestion]]</f>
        <v>70308 - ADMINISTRACIÓN</v>
      </c>
    </row>
    <row r="608" spans="1:6" x14ac:dyDescent="0.25">
      <c r="A608" s="43">
        <v>76</v>
      </c>
      <c r="B608" t="s">
        <v>59</v>
      </c>
      <c r="C608" s="43" t="s">
        <v>437</v>
      </c>
      <c r="D608" s="43">
        <v>70309</v>
      </c>
      <c r="E608" t="s">
        <v>252</v>
      </c>
      <c r="F608" s="47" t="str">
        <f>+Empresa_Centro[[#This Row],[Codigo Centro Gestion]]&amp;" - "&amp;Empresa_Centro[[#This Row],[Nombre Centro Gestion]]</f>
        <v>70309 - OFICINA CENTRAL</v>
      </c>
    </row>
    <row r="609" spans="1:6" x14ac:dyDescent="0.25">
      <c r="A609" s="43">
        <v>76</v>
      </c>
      <c r="B609" t="s">
        <v>59</v>
      </c>
      <c r="C609" s="43" t="s">
        <v>437</v>
      </c>
      <c r="D609" s="43">
        <v>70310</v>
      </c>
      <c r="E609" t="s">
        <v>256</v>
      </c>
      <c r="F609" s="47" t="str">
        <f>+Empresa_Centro[[#This Row],[Codigo Centro Gestion]]&amp;" - "&amp;Empresa_Centro[[#This Row],[Nombre Centro Gestion]]</f>
        <v>70310 - OFICINA CENTRAL TI</v>
      </c>
    </row>
    <row r="610" spans="1:6" x14ac:dyDescent="0.25">
      <c r="A610" s="43">
        <v>76</v>
      </c>
      <c r="B610" t="s">
        <v>59</v>
      </c>
      <c r="C610" s="43" t="s">
        <v>437</v>
      </c>
      <c r="D610" s="43">
        <v>70311</v>
      </c>
      <c r="E610" t="s">
        <v>257</v>
      </c>
      <c r="F610" s="47" t="str">
        <f>+Empresa_Centro[[#This Row],[Codigo Centro Gestion]]&amp;" - "&amp;Empresa_Centro[[#This Row],[Nombre Centro Gestion]]</f>
        <v>70311 - OFICINA CENTRAL CONTABILIDAD</v>
      </c>
    </row>
    <row r="611" spans="1:6" x14ac:dyDescent="0.25">
      <c r="A611" s="43">
        <v>76</v>
      </c>
      <c r="B611" t="s">
        <v>59</v>
      </c>
      <c r="C611" s="43" t="s">
        <v>437</v>
      </c>
      <c r="D611" s="43">
        <v>70312</v>
      </c>
      <c r="E611" t="s">
        <v>258</v>
      </c>
      <c r="F611" s="47" t="str">
        <f>+Empresa_Centro[[#This Row],[Codigo Centro Gestion]]&amp;" - "&amp;Empresa_Centro[[#This Row],[Nombre Centro Gestion]]</f>
        <v>70312 - CONTABILIDAD GENERAL</v>
      </c>
    </row>
    <row r="612" spans="1:6" x14ac:dyDescent="0.25">
      <c r="A612" s="43">
        <v>76</v>
      </c>
      <c r="B612" t="s">
        <v>59</v>
      </c>
      <c r="C612" s="43" t="s">
        <v>437</v>
      </c>
      <c r="D612" s="43">
        <v>70314</v>
      </c>
      <c r="E612" t="s">
        <v>261</v>
      </c>
      <c r="F612" s="47" t="str">
        <f>+Empresa_Centro[[#This Row],[Codigo Centro Gestion]]&amp;" - "&amp;Empresa_Centro[[#This Row],[Nombre Centro Gestion]]</f>
        <v>70314 - OFICINA CENTRAL PROCESOS</v>
      </c>
    </row>
    <row r="613" spans="1:6" x14ac:dyDescent="0.25">
      <c r="A613" s="43">
        <v>76</v>
      </c>
      <c r="B613" t="s">
        <v>59</v>
      </c>
      <c r="C613" s="43" t="s">
        <v>437</v>
      </c>
      <c r="D613" s="43">
        <v>70318</v>
      </c>
      <c r="E613" t="s">
        <v>262</v>
      </c>
      <c r="F613" s="47" t="str">
        <f>+Empresa_Centro[[#This Row],[Codigo Centro Gestion]]&amp;" - "&amp;Empresa_Centro[[#This Row],[Nombre Centro Gestion]]</f>
        <v>70318 - OFICINA CENTRAL CAPITAL HUMANO</v>
      </c>
    </row>
    <row r="614" spans="1:6" x14ac:dyDescent="0.25">
      <c r="A614" s="43">
        <v>76</v>
      </c>
      <c r="B614" t="s">
        <v>59</v>
      </c>
      <c r="C614" s="43" t="s">
        <v>437</v>
      </c>
      <c r="D614" s="43">
        <v>70401</v>
      </c>
      <c r="E614" t="s">
        <v>263</v>
      </c>
      <c r="F614" s="47" t="str">
        <f>+Empresa_Centro[[#This Row],[Codigo Centro Gestion]]&amp;" - "&amp;Empresa_Centro[[#This Row],[Nombre Centro Gestion]]</f>
        <v>70401 - GERENCIA GENERAL CORP</v>
      </c>
    </row>
    <row r="615" spans="1:6" x14ac:dyDescent="0.25">
      <c r="A615" s="43">
        <v>76</v>
      </c>
      <c r="B615" t="s">
        <v>59</v>
      </c>
      <c r="C615" s="43" t="s">
        <v>437</v>
      </c>
      <c r="D615" s="43">
        <v>70402</v>
      </c>
      <c r="E615" t="s">
        <v>265</v>
      </c>
      <c r="F615" s="47" t="str">
        <f>+Empresa_Centro[[#This Row],[Codigo Centro Gestion]]&amp;" - "&amp;Empresa_Centro[[#This Row],[Nombre Centro Gestion]]</f>
        <v>70402 - DIRECTORIO</v>
      </c>
    </row>
    <row r="616" spans="1:6" x14ac:dyDescent="0.25">
      <c r="A616" s="43">
        <v>76</v>
      </c>
      <c r="B616" t="s">
        <v>59</v>
      </c>
      <c r="C616" s="43" t="s">
        <v>437</v>
      </c>
      <c r="D616" s="43">
        <v>70404</v>
      </c>
      <c r="E616" t="s">
        <v>266</v>
      </c>
      <c r="F616" s="47" t="str">
        <f>+Empresa_Centro[[#This Row],[Codigo Centro Gestion]]&amp;" - "&amp;Empresa_Centro[[#This Row],[Nombre Centro Gestion]]</f>
        <v>70404 - GERENCIA LEGAL</v>
      </c>
    </row>
    <row r="617" spans="1:6" x14ac:dyDescent="0.25">
      <c r="A617" s="43">
        <v>76</v>
      </c>
      <c r="B617" t="s">
        <v>59</v>
      </c>
      <c r="C617" s="43" t="s">
        <v>437</v>
      </c>
      <c r="D617" s="43">
        <v>70502</v>
      </c>
      <c r="E617" t="s">
        <v>267</v>
      </c>
      <c r="F617" s="47" t="str">
        <f>+Empresa_Centro[[#This Row],[Codigo Centro Gestion]]&amp;" - "&amp;Empresa_Centro[[#This Row],[Nombre Centro Gestion]]</f>
        <v>70502 - ADQUISICIONES</v>
      </c>
    </row>
    <row r="618" spans="1:6" x14ac:dyDescent="0.25">
      <c r="A618" s="43">
        <v>76</v>
      </c>
      <c r="B618" t="s">
        <v>59</v>
      </c>
      <c r="C618" s="43" t="s">
        <v>437</v>
      </c>
      <c r="D618" s="43">
        <v>70508</v>
      </c>
      <c r="E618" t="s">
        <v>268</v>
      </c>
      <c r="F618" s="47" t="str">
        <f>+Empresa_Centro[[#This Row],[Codigo Centro Gestion]]&amp;" - "&amp;Empresa_Centro[[#This Row],[Nombre Centro Gestion]]</f>
        <v>70508 - SEGURIDAD</v>
      </c>
    </row>
    <row r="619" spans="1:6" x14ac:dyDescent="0.25">
      <c r="A619" s="43">
        <v>76</v>
      </c>
      <c r="B619" t="s">
        <v>59</v>
      </c>
      <c r="C619" s="43" t="s">
        <v>437</v>
      </c>
      <c r="D619" s="43">
        <v>70509</v>
      </c>
      <c r="E619" t="s">
        <v>269</v>
      </c>
      <c r="F619" s="47" t="str">
        <f>+Empresa_Centro[[#This Row],[Codigo Centro Gestion]]&amp;" - "&amp;Empresa_Centro[[#This Row],[Nombre Centro Gestion]]</f>
        <v>70509 - COORDINACIÓN DE PROYECTOS</v>
      </c>
    </row>
    <row r="620" spans="1:6" x14ac:dyDescent="0.25">
      <c r="A620" s="43">
        <v>76</v>
      </c>
      <c r="B620" t="s">
        <v>59</v>
      </c>
      <c r="C620" s="43" t="s">
        <v>437</v>
      </c>
      <c r="D620" s="43">
        <v>70510</v>
      </c>
      <c r="E620" t="s">
        <v>270</v>
      </c>
      <c r="F620" s="47" t="str">
        <f>+Empresa_Centro[[#This Row],[Codigo Centro Gestion]]&amp;" - "&amp;Empresa_Centro[[#This Row],[Nombre Centro Gestion]]</f>
        <v>70510 - DEPTO TÉCNICO NORTE 1</v>
      </c>
    </row>
    <row r="621" spans="1:6" x14ac:dyDescent="0.25">
      <c r="A621" s="43">
        <v>76</v>
      </c>
      <c r="B621" t="s">
        <v>59</v>
      </c>
      <c r="C621" s="43" t="s">
        <v>437</v>
      </c>
      <c r="D621" s="43">
        <v>70511</v>
      </c>
      <c r="E621" t="s">
        <v>271</v>
      </c>
      <c r="F621" s="47" t="str">
        <f>+Empresa_Centro[[#This Row],[Codigo Centro Gestion]]&amp;" - "&amp;Empresa_Centro[[#This Row],[Nombre Centro Gestion]]</f>
        <v>70511 - DEPTO TÉCNICO NORTE 2</v>
      </c>
    </row>
    <row r="622" spans="1:6" x14ac:dyDescent="0.25">
      <c r="A622" s="43">
        <v>76</v>
      </c>
      <c r="B622" t="s">
        <v>59</v>
      </c>
      <c r="C622" s="43" t="s">
        <v>437</v>
      </c>
      <c r="D622" s="43">
        <v>70512</v>
      </c>
      <c r="E622" t="s">
        <v>272</v>
      </c>
      <c r="F622" s="47" t="str">
        <f>+Empresa_Centro[[#This Row],[Codigo Centro Gestion]]&amp;" - "&amp;Empresa_Centro[[#This Row],[Nombre Centro Gestion]]</f>
        <v>70512 - DEPTO TÉCNICO ZC 1</v>
      </c>
    </row>
    <row r="623" spans="1:6" x14ac:dyDescent="0.25">
      <c r="A623" s="43">
        <v>76</v>
      </c>
      <c r="B623" t="s">
        <v>59</v>
      </c>
      <c r="C623" s="43" t="s">
        <v>437</v>
      </c>
      <c r="D623" s="43">
        <v>70513</v>
      </c>
      <c r="E623" t="s">
        <v>273</v>
      </c>
      <c r="F623" s="47" t="str">
        <f>+Empresa_Centro[[#This Row],[Codigo Centro Gestion]]&amp;" - "&amp;Empresa_Centro[[#This Row],[Nombre Centro Gestion]]</f>
        <v>70513 - DEPTO TÉCNICO ZC 2</v>
      </c>
    </row>
    <row r="624" spans="1:6" x14ac:dyDescent="0.25">
      <c r="A624" s="43">
        <v>76</v>
      </c>
      <c r="B624" t="s">
        <v>59</v>
      </c>
      <c r="C624" s="43" t="s">
        <v>437</v>
      </c>
      <c r="D624" s="43">
        <v>70514</v>
      </c>
      <c r="E624" t="s">
        <v>274</v>
      </c>
      <c r="F624" s="47" t="str">
        <f>+Empresa_Centro[[#This Row],[Codigo Centro Gestion]]&amp;" - "&amp;Empresa_Centro[[#This Row],[Nombre Centro Gestion]]</f>
        <v>70514 - DEPTO TÉCNICO V REGIÓN</v>
      </c>
    </row>
    <row r="625" spans="1:6" x14ac:dyDescent="0.25">
      <c r="A625" s="43">
        <v>76</v>
      </c>
      <c r="B625" t="s">
        <v>59</v>
      </c>
      <c r="C625" s="43" t="s">
        <v>437</v>
      </c>
      <c r="D625" s="43">
        <v>70517</v>
      </c>
      <c r="E625" t="s">
        <v>203</v>
      </c>
      <c r="F625" s="47" t="str">
        <f>+Empresa_Centro[[#This Row],[Codigo Centro Gestion]]&amp;" - "&amp;Empresa_Centro[[#This Row],[Nombre Centro Gestion]]</f>
        <v>70517 - DEPTO.TÉCNICO NORTE 3</v>
      </c>
    </row>
    <row r="626" spans="1:6" x14ac:dyDescent="0.25">
      <c r="A626" s="43">
        <v>76</v>
      </c>
      <c r="B626" t="s">
        <v>59</v>
      </c>
      <c r="C626" s="43" t="s">
        <v>437</v>
      </c>
      <c r="D626" s="43">
        <v>70601</v>
      </c>
      <c r="E626" t="s">
        <v>276</v>
      </c>
      <c r="F626" s="47" t="str">
        <f>+Empresa_Centro[[#This Row],[Codigo Centro Gestion]]&amp;" - "&amp;Empresa_Centro[[#This Row],[Nombre Centro Gestion]]</f>
        <v>70601 - GERENCIA CONSTRUCCIÓN</v>
      </c>
    </row>
    <row r="627" spans="1:6" x14ac:dyDescent="0.25">
      <c r="A627" s="43">
        <v>76</v>
      </c>
      <c r="B627" t="s">
        <v>59</v>
      </c>
      <c r="C627" s="43" t="s">
        <v>437</v>
      </c>
      <c r="D627" s="43">
        <v>70800</v>
      </c>
      <c r="E627" t="s">
        <v>277</v>
      </c>
      <c r="F627" s="47" t="str">
        <f>+Empresa_Centro[[#This Row],[Codigo Centro Gestion]]&amp;" - "&amp;Empresa_Centro[[#This Row],[Nombre Centro Gestion]]</f>
        <v>70800 - REMODELACIÓN OFICINA CENTRAL</v>
      </c>
    </row>
    <row r="628" spans="1:6" x14ac:dyDescent="0.25">
      <c r="A628" s="43">
        <v>76</v>
      </c>
      <c r="B628" t="s">
        <v>59</v>
      </c>
      <c r="C628" s="43" t="s">
        <v>437</v>
      </c>
      <c r="D628" s="43">
        <v>70903</v>
      </c>
      <c r="E628" t="s">
        <v>278</v>
      </c>
      <c r="F628" s="47" t="str">
        <f>+Empresa_Centro[[#This Row],[Codigo Centro Gestion]]&amp;" - "&amp;Empresa_Centro[[#This Row],[Nombre Centro Gestion]]</f>
        <v>70903 - REMODELACIÓN OFICINA</v>
      </c>
    </row>
    <row r="629" spans="1:6" x14ac:dyDescent="0.25">
      <c r="A629" s="43">
        <v>76</v>
      </c>
      <c r="B629" t="s">
        <v>59</v>
      </c>
      <c r="C629" s="43" t="s">
        <v>437</v>
      </c>
      <c r="D629" s="43">
        <v>70904</v>
      </c>
      <c r="E629" t="s">
        <v>279</v>
      </c>
      <c r="F629" s="47" t="str">
        <f>+Empresa_Centro[[#This Row],[Codigo Centro Gestion]]&amp;" - "&amp;Empresa_Centro[[#This Row],[Nombre Centro Gestion]]</f>
        <v>70904 - COMERCIAL</v>
      </c>
    </row>
    <row r="630" spans="1:6" x14ac:dyDescent="0.25">
      <c r="A630" s="43">
        <v>76</v>
      </c>
      <c r="B630" t="s">
        <v>59</v>
      </c>
      <c r="C630" s="43" t="s">
        <v>437</v>
      </c>
      <c r="D630" s="43">
        <v>70907</v>
      </c>
      <c r="E630" t="s">
        <v>280</v>
      </c>
      <c r="F630" s="47" t="str">
        <f>+Empresa_Centro[[#This Row],[Codigo Centro Gestion]]&amp;" - "&amp;Empresa_Centro[[#This Row],[Nombre Centro Gestion]]</f>
        <v>70907 - REMODELACIÓN OFICINA PISO 5</v>
      </c>
    </row>
    <row r="631" spans="1:6" x14ac:dyDescent="0.25">
      <c r="A631" s="43">
        <v>76</v>
      </c>
      <c r="B631" t="s">
        <v>59</v>
      </c>
      <c r="C631" s="43" t="s">
        <v>437</v>
      </c>
      <c r="D631" s="43">
        <v>70912</v>
      </c>
      <c r="E631" t="s">
        <v>281</v>
      </c>
      <c r="F631" s="47" t="str">
        <f>+Empresa_Centro[[#This Row],[Codigo Centro Gestion]]&amp;" - "&amp;Empresa_Centro[[#This Row],[Nombre Centro Gestion]]</f>
        <v>70912 - PRODUCTIVIDAD CONSTRUCTORA</v>
      </c>
    </row>
    <row r="632" spans="1:6" x14ac:dyDescent="0.25">
      <c r="A632" s="43">
        <v>76</v>
      </c>
      <c r="B632" t="s">
        <v>59</v>
      </c>
      <c r="C632" s="43" t="s">
        <v>437</v>
      </c>
      <c r="D632" s="43">
        <v>70914</v>
      </c>
      <c r="E632" t="s">
        <v>282</v>
      </c>
      <c r="F632" s="47" t="str">
        <f>+Empresa_Centro[[#This Row],[Codigo Centro Gestion]]&amp;" - "&amp;Empresa_Centro[[#This Row],[Nombre Centro Gestion]]</f>
        <v>70914 - SUB GERENCIA TÉCNICA</v>
      </c>
    </row>
    <row r="633" spans="1:6" x14ac:dyDescent="0.25">
      <c r="A633" s="43">
        <v>76</v>
      </c>
      <c r="B633" t="s">
        <v>59</v>
      </c>
      <c r="C633" s="43" t="s">
        <v>437</v>
      </c>
      <c r="D633" s="43">
        <v>70916</v>
      </c>
      <c r="E633" t="s">
        <v>283</v>
      </c>
      <c r="F633" s="47" t="str">
        <f>+Empresa_Centro[[#This Row],[Codigo Centro Gestion]]&amp;" - "&amp;Empresa_Centro[[#This Row],[Nombre Centro Gestion]]</f>
        <v>70916 - CALIDAD CONSTRUCTORA</v>
      </c>
    </row>
    <row r="634" spans="1:6" x14ac:dyDescent="0.25">
      <c r="A634" s="43">
        <v>76</v>
      </c>
      <c r="B634" t="s">
        <v>59</v>
      </c>
      <c r="C634" s="43" t="s">
        <v>437</v>
      </c>
      <c r="D634" s="43">
        <v>70917</v>
      </c>
      <c r="E634" t="s">
        <v>284</v>
      </c>
      <c r="F634" s="47" t="str">
        <f>+Empresa_Centro[[#This Row],[Codigo Centro Gestion]]&amp;" - "&amp;Empresa_Centro[[#This Row],[Nombre Centro Gestion]]</f>
        <v>70917 - OTROS OFICINA CENTRAL</v>
      </c>
    </row>
    <row r="635" spans="1:6" x14ac:dyDescent="0.25">
      <c r="A635" s="43">
        <v>76</v>
      </c>
      <c r="B635" t="s">
        <v>59</v>
      </c>
      <c r="C635" s="43" t="s">
        <v>437</v>
      </c>
      <c r="D635" s="43">
        <v>70918</v>
      </c>
      <c r="E635" t="s">
        <v>285</v>
      </c>
      <c r="F635" s="47" t="str">
        <f>+Empresa_Centro[[#This Row],[Codigo Centro Gestion]]&amp;" - "&amp;Empresa_Centro[[#This Row],[Nombre Centro Gestion]]</f>
        <v>70918 - PLANIFICACIÓN Y CONTROL DE OBRAS</v>
      </c>
    </row>
    <row r="636" spans="1:6" x14ac:dyDescent="0.25">
      <c r="A636" s="43">
        <v>76</v>
      </c>
      <c r="B636" t="s">
        <v>59</v>
      </c>
      <c r="C636" s="43" t="s">
        <v>437</v>
      </c>
      <c r="D636" s="43">
        <v>70920</v>
      </c>
      <c r="E636" t="s">
        <v>286</v>
      </c>
      <c r="F636" s="47" t="str">
        <f>+Empresa_Centro[[#This Row],[Codigo Centro Gestion]]&amp;" - "&amp;Empresa_Centro[[#This Row],[Nombre Centro Gestion]]</f>
        <v>70920 - PROYECTOS DE MEJORA</v>
      </c>
    </row>
    <row r="637" spans="1:6" x14ac:dyDescent="0.25">
      <c r="A637" s="43">
        <v>76</v>
      </c>
      <c r="B637" t="s">
        <v>59</v>
      </c>
      <c r="C637" s="43" t="s">
        <v>437</v>
      </c>
      <c r="D637" s="43">
        <v>1032202</v>
      </c>
      <c r="E637" t="s">
        <v>720</v>
      </c>
      <c r="F637" s="47" t="str">
        <f>+Empresa_Centro[[#This Row],[Codigo Centro Gestion]]&amp;" - "&amp;Empresa_Centro[[#This Row],[Nombre Centro Gestion]]</f>
        <v>1032202 - Terreno Palmas del Sur-Desarrollo</v>
      </c>
    </row>
    <row r="638" spans="1:6" x14ac:dyDescent="0.25">
      <c r="A638" s="43">
        <v>76</v>
      </c>
      <c r="B638" t="s">
        <v>59</v>
      </c>
      <c r="C638" s="43" t="s">
        <v>437</v>
      </c>
      <c r="D638" s="43">
        <v>1062202</v>
      </c>
      <c r="E638" t="s">
        <v>723</v>
      </c>
      <c r="F638" s="47" t="str">
        <f>+Empresa_Centro[[#This Row],[Codigo Centro Gestion]]&amp;" - "&amp;Empresa_Centro[[#This Row],[Nombre Centro Gestion]]</f>
        <v>1062202 - Terreno El Yodo-Desarrollo</v>
      </c>
    </row>
    <row r="639" spans="1:6" x14ac:dyDescent="0.25">
      <c r="A639" s="43">
        <v>76</v>
      </c>
      <c r="B639" t="s">
        <v>59</v>
      </c>
      <c r="C639" s="43" t="s">
        <v>437</v>
      </c>
      <c r="D639" s="43">
        <v>1070202</v>
      </c>
      <c r="E639" t="s">
        <v>724</v>
      </c>
      <c r="F639" s="47" t="str">
        <f>+Empresa_Centro[[#This Row],[Codigo Centro Gestion]]&amp;" - "&amp;Empresa_Centro[[#This Row],[Nombre Centro Gestion]]</f>
        <v>1070202 - Terreno Edificio Terrazas del Sol – Desarrollo</v>
      </c>
    </row>
    <row r="640" spans="1:6" x14ac:dyDescent="0.25">
      <c r="A640" s="43">
        <v>76</v>
      </c>
      <c r="B640" t="s">
        <v>59</v>
      </c>
      <c r="C640" s="43" t="s">
        <v>437</v>
      </c>
      <c r="D640" s="43">
        <v>1083202</v>
      </c>
      <c r="E640" t="s">
        <v>730</v>
      </c>
      <c r="F640" s="47" t="str">
        <f>+Empresa_Centro[[#This Row],[Codigo Centro Gestion]]&amp;" - "&amp;Empresa_Centro[[#This Row],[Nombre Centro Gestion]]</f>
        <v>1083202 - Terreno Bulnes Labbe - Desarrollo</v>
      </c>
    </row>
    <row r="641" spans="1:6" x14ac:dyDescent="0.25">
      <c r="A641" s="43">
        <v>76</v>
      </c>
      <c r="B641" t="s">
        <v>59</v>
      </c>
      <c r="C641" s="43" t="s">
        <v>437</v>
      </c>
      <c r="D641" s="43">
        <v>1089202</v>
      </c>
      <c r="E641" t="s">
        <v>733</v>
      </c>
      <c r="F641" s="47" t="str">
        <f>+Empresa_Centro[[#This Row],[Codigo Centro Gestion]]&amp;" - "&amp;Empresa_Centro[[#This Row],[Nombre Centro Gestion]]</f>
        <v>1089202 - Terreno Maipú- Antofagasta– Desarrollo</v>
      </c>
    </row>
    <row r="642" spans="1:6" x14ac:dyDescent="0.25">
      <c r="A642" s="43">
        <v>76</v>
      </c>
      <c r="B642" t="s">
        <v>59</v>
      </c>
      <c r="C642" s="43" t="s">
        <v>437</v>
      </c>
      <c r="D642" s="43">
        <v>1107202</v>
      </c>
      <c r="E642" t="s">
        <v>746</v>
      </c>
      <c r="F642" s="47" t="str">
        <f>+Empresa_Centro[[#This Row],[Codigo Centro Gestion]]&amp;" - "&amp;Empresa_Centro[[#This Row],[Nombre Centro Gestion]]</f>
        <v>1107202 - Terreno Pedro Prado– Inversiones</v>
      </c>
    </row>
    <row r="643" spans="1:6" x14ac:dyDescent="0.25">
      <c r="A643" s="43">
        <v>76</v>
      </c>
      <c r="B643" t="s">
        <v>59</v>
      </c>
      <c r="C643" s="43" t="s">
        <v>437</v>
      </c>
      <c r="D643" s="43">
        <v>1121202</v>
      </c>
      <c r="E643" t="s">
        <v>754</v>
      </c>
      <c r="F643" s="47" t="str">
        <f>+Empresa_Centro[[#This Row],[Codigo Centro Gestion]]&amp;" - "&amp;Empresa_Centro[[#This Row],[Nombre Centro Gestion]]</f>
        <v>1121202 - Terreno 18 de Septiembre– Inversiones</v>
      </c>
    </row>
    <row r="644" spans="1:6" x14ac:dyDescent="0.25">
      <c r="A644" s="43">
        <v>76</v>
      </c>
      <c r="B644" t="s">
        <v>59</v>
      </c>
      <c r="C644" s="43" t="s">
        <v>437</v>
      </c>
      <c r="D644" s="43">
        <v>1125202</v>
      </c>
      <c r="E644" t="s">
        <v>757</v>
      </c>
      <c r="F644" s="47" t="str">
        <f>+Empresa_Centro[[#This Row],[Codigo Centro Gestion]]&amp;" - "&amp;Empresa_Centro[[#This Row],[Nombre Centro Gestion]]</f>
        <v>1125202 - Terreno Edificio Vista Horizonte – Inversiones</v>
      </c>
    </row>
    <row r="645" spans="1:6" x14ac:dyDescent="0.25">
      <c r="A645" s="43">
        <v>76</v>
      </c>
      <c r="B645" t="s">
        <v>59</v>
      </c>
      <c r="C645" s="43" t="s">
        <v>437</v>
      </c>
      <c r="D645" s="43">
        <v>1131202</v>
      </c>
      <c r="E645" t="s">
        <v>761</v>
      </c>
      <c r="F645" s="47" t="str">
        <f>+Empresa_Centro[[#This Row],[Codigo Centro Gestion]]&amp;" - "&amp;Empresa_Centro[[#This Row],[Nombre Centro Gestion]]</f>
        <v xml:space="preserve">1131202 - Terreno Patricio Lynch 160 – Inversiones </v>
      </c>
    </row>
    <row r="646" spans="1:6" x14ac:dyDescent="0.25">
      <c r="A646" s="43">
        <v>76</v>
      </c>
      <c r="B646" t="s">
        <v>59</v>
      </c>
      <c r="C646" s="43" t="s">
        <v>437</v>
      </c>
      <c r="D646" s="43">
        <v>1143202</v>
      </c>
      <c r="E646" t="s">
        <v>768</v>
      </c>
      <c r="F646" s="47" t="str">
        <f>+Empresa_Centro[[#This Row],[Codigo Centro Gestion]]&amp;" - "&amp;Empresa_Centro[[#This Row],[Nombre Centro Gestion]]</f>
        <v>1143202 - Terreno Libertad 1330 - Inversiones</v>
      </c>
    </row>
    <row r="647" spans="1:6" x14ac:dyDescent="0.25">
      <c r="A647" s="43">
        <v>76</v>
      </c>
      <c r="B647" t="s">
        <v>59</v>
      </c>
      <c r="C647" s="43" t="s">
        <v>437</v>
      </c>
      <c r="D647" s="43">
        <v>1144202</v>
      </c>
      <c r="E647" t="s">
        <v>769</v>
      </c>
      <c r="F647" s="47" t="str">
        <f>+Empresa_Centro[[#This Row],[Codigo Centro Gestion]]&amp;" - "&amp;Empresa_Centro[[#This Row],[Nombre Centro Gestion]]</f>
        <v>1144202 - Terreno Latorre 1590 - Inversiones</v>
      </c>
    </row>
    <row r="648" spans="1:6" x14ac:dyDescent="0.25">
      <c r="A648" s="43">
        <v>76</v>
      </c>
      <c r="B648" t="s">
        <v>59</v>
      </c>
      <c r="C648" s="43" t="s">
        <v>437</v>
      </c>
      <c r="D648" s="43">
        <v>1150202</v>
      </c>
      <c r="E648" t="s">
        <v>771</v>
      </c>
      <c r="F648" s="47" t="str">
        <f>+Empresa_Centro[[#This Row],[Codigo Centro Gestion]]&amp;" - "&amp;Empresa_Centro[[#This Row],[Nombre Centro Gestion]]</f>
        <v>1150202 - Terreno Labbé 1172 - Inversiones</v>
      </c>
    </row>
    <row r="649" spans="1:6" x14ac:dyDescent="0.25">
      <c r="A649" s="43">
        <v>76</v>
      </c>
      <c r="B649" t="s">
        <v>59</v>
      </c>
      <c r="C649" s="43" t="s">
        <v>437</v>
      </c>
      <c r="D649" s="43">
        <v>1155202</v>
      </c>
      <c r="E649" t="s">
        <v>772</v>
      </c>
      <c r="F649" s="47" t="str">
        <f>+Empresa_Centro[[#This Row],[Codigo Centro Gestion]]&amp;" - "&amp;Empresa_Centro[[#This Row],[Nombre Centro Gestion]]</f>
        <v>1155202 - Terreno Liparita 260 - Inversiones</v>
      </c>
    </row>
    <row r="650" spans="1:6" x14ac:dyDescent="0.25">
      <c r="A650" s="43">
        <v>76</v>
      </c>
      <c r="B650" t="s">
        <v>59</v>
      </c>
      <c r="C650" s="43" t="s">
        <v>437</v>
      </c>
      <c r="D650" s="43">
        <v>1158202</v>
      </c>
      <c r="E650" t="s">
        <v>775</v>
      </c>
      <c r="F650" s="47" t="str">
        <f>+Empresa_Centro[[#This Row],[Codigo Centro Gestion]]&amp;" - "&amp;Empresa_Centro[[#This Row],[Nombre Centro Gestion]]</f>
        <v>1158202 - El Yodo 8195 - Inversiones</v>
      </c>
    </row>
    <row r="651" spans="1:6" x14ac:dyDescent="0.25">
      <c r="A651" s="43">
        <v>76</v>
      </c>
      <c r="B651" t="s">
        <v>59</v>
      </c>
      <c r="C651" s="43" t="s">
        <v>437</v>
      </c>
      <c r="D651" s="43">
        <v>1162202</v>
      </c>
      <c r="E651" t="s">
        <v>777</v>
      </c>
      <c r="F651" s="47" t="str">
        <f>+Empresa_Centro[[#This Row],[Codigo Centro Gestion]]&amp;" - "&amp;Empresa_Centro[[#This Row],[Nombre Centro Gestion]]</f>
        <v>1162202 - Terreno Palmas del Sur 2 - Inversiones</v>
      </c>
    </row>
    <row r="652" spans="1:6" x14ac:dyDescent="0.25">
      <c r="A652" s="43">
        <v>76</v>
      </c>
      <c r="B652" t="s">
        <v>59</v>
      </c>
      <c r="C652" s="43" t="s">
        <v>437</v>
      </c>
      <c r="D652" s="43">
        <v>10062000</v>
      </c>
      <c r="E652" t="s">
        <v>780</v>
      </c>
      <c r="F652" s="47" t="str">
        <f>+Empresa_Centro[[#This Row],[Codigo Centro Gestion]]&amp;" - "&amp;Empresa_Centro[[#This Row],[Nombre Centro Gestion]]</f>
        <v>10062000 - Cumbres del Mar</v>
      </c>
    </row>
    <row r="653" spans="1:6" x14ac:dyDescent="0.25">
      <c r="A653" s="43">
        <v>76</v>
      </c>
      <c r="B653" t="s">
        <v>59</v>
      </c>
      <c r="C653" s="43" t="s">
        <v>437</v>
      </c>
      <c r="D653" s="43">
        <v>10062102</v>
      </c>
      <c r="E653" t="s">
        <v>781</v>
      </c>
      <c r="F653" s="47" t="str">
        <f>+Empresa_Centro[[#This Row],[Codigo Centro Gestion]]&amp;" - "&amp;Empresa_Centro[[#This Row],[Nombre Centro Gestion]]</f>
        <v>10062102 - Cumbres del Mar-Marketing</v>
      </c>
    </row>
    <row r="654" spans="1:6" x14ac:dyDescent="0.25">
      <c r="A654" s="43">
        <v>76</v>
      </c>
      <c r="B654" t="s">
        <v>59</v>
      </c>
      <c r="C654" s="43" t="s">
        <v>437</v>
      </c>
      <c r="D654" s="43">
        <v>10062103</v>
      </c>
      <c r="E654" t="s">
        <v>782</v>
      </c>
      <c r="F654" s="47" t="str">
        <f>+Empresa_Centro[[#This Row],[Codigo Centro Gestion]]&amp;" - "&amp;Empresa_Centro[[#This Row],[Nombre Centro Gestion]]</f>
        <v>10062103 - Cumbres del Mar-Operaciones</v>
      </c>
    </row>
    <row r="655" spans="1:6" x14ac:dyDescent="0.25">
      <c r="A655" s="43">
        <v>76</v>
      </c>
      <c r="B655" t="s">
        <v>59</v>
      </c>
      <c r="C655" s="43" t="s">
        <v>437</v>
      </c>
      <c r="D655" s="43">
        <v>10062104</v>
      </c>
      <c r="E655" t="s">
        <v>783</v>
      </c>
      <c r="F655" s="47" t="str">
        <f>+Empresa_Centro[[#This Row],[Codigo Centro Gestion]]&amp;" - "&amp;Empresa_Centro[[#This Row],[Nombre Centro Gestion]]</f>
        <v>10062104 - Cumbres del Mar-Ventas</v>
      </c>
    </row>
    <row r="656" spans="1:6" x14ac:dyDescent="0.25">
      <c r="A656" s="43">
        <v>76</v>
      </c>
      <c r="B656" t="s">
        <v>59</v>
      </c>
      <c r="C656" s="43" t="s">
        <v>437</v>
      </c>
      <c r="D656" s="43">
        <v>10062105</v>
      </c>
      <c r="E656" t="s">
        <v>784</v>
      </c>
      <c r="F656" s="47" t="str">
        <f>+Empresa_Centro[[#This Row],[Codigo Centro Gestion]]&amp;" - "&amp;Empresa_Centro[[#This Row],[Nombre Centro Gestion]]</f>
        <v>10062105 - Cumbres del Mar-Clientes</v>
      </c>
    </row>
    <row r="657" spans="1:6" x14ac:dyDescent="0.25">
      <c r="A657" s="43">
        <v>76</v>
      </c>
      <c r="B657" t="s">
        <v>59</v>
      </c>
      <c r="C657" s="43" t="s">
        <v>437</v>
      </c>
      <c r="D657" s="43">
        <v>10062204</v>
      </c>
      <c r="E657" t="s">
        <v>785</v>
      </c>
      <c r="F657" s="47" t="str">
        <f>+Empresa_Centro[[#This Row],[Codigo Centro Gestion]]&amp;" - "&amp;Empresa_Centro[[#This Row],[Nombre Centro Gestion]]</f>
        <v>10062204 - Cumbres del Mar-Proyecto</v>
      </c>
    </row>
    <row r="658" spans="1:6" x14ac:dyDescent="0.25">
      <c r="A658" s="43">
        <v>76</v>
      </c>
      <c r="B658" t="s">
        <v>59</v>
      </c>
      <c r="C658" s="43" t="s">
        <v>437</v>
      </c>
      <c r="D658" s="43">
        <v>10062301</v>
      </c>
      <c r="E658" t="s">
        <v>786</v>
      </c>
      <c r="F658" s="47" t="str">
        <f>+Empresa_Centro[[#This Row],[Codigo Centro Gestion]]&amp;" - "&amp;Empresa_Centro[[#This Row],[Nombre Centro Gestion]]</f>
        <v>10062301 - Cumbres del Mar-GAF</v>
      </c>
    </row>
    <row r="659" spans="1:6" x14ac:dyDescent="0.25">
      <c r="A659" s="43">
        <v>76</v>
      </c>
      <c r="B659" t="s">
        <v>59</v>
      </c>
      <c r="C659" s="43" t="s">
        <v>437</v>
      </c>
      <c r="D659" s="43">
        <v>10062505</v>
      </c>
      <c r="E659" t="s">
        <v>787</v>
      </c>
      <c r="F659" s="47" t="str">
        <f>+Empresa_Centro[[#This Row],[Codigo Centro Gestion]]&amp;" - "&amp;Empresa_Centro[[#This Row],[Nombre Centro Gestion]]</f>
        <v>10062505 - Cumbres del Mar-PV Inmob.</v>
      </c>
    </row>
    <row r="660" spans="1:6" x14ac:dyDescent="0.25">
      <c r="A660" s="43">
        <v>76</v>
      </c>
      <c r="B660" t="s">
        <v>59</v>
      </c>
      <c r="C660" s="43" t="s">
        <v>437</v>
      </c>
      <c r="D660" s="43">
        <v>10062506</v>
      </c>
      <c r="E660" t="s">
        <v>788</v>
      </c>
      <c r="F660" s="47" t="str">
        <f>+Empresa_Centro[[#This Row],[Codigo Centro Gestion]]&amp;" - "&amp;Empresa_Centro[[#This Row],[Nombre Centro Gestion]]</f>
        <v>10062506 - Cumbres del Mar-Depto.Técnico</v>
      </c>
    </row>
    <row r="661" spans="1:6" x14ac:dyDescent="0.25">
      <c r="A661" s="43">
        <v>76</v>
      </c>
      <c r="B661" t="s">
        <v>59</v>
      </c>
      <c r="C661" s="43" t="s">
        <v>437</v>
      </c>
      <c r="D661" s="43">
        <v>10106000</v>
      </c>
      <c r="E661" t="s">
        <v>789</v>
      </c>
      <c r="F661" s="47" t="str">
        <f>+Empresa_Centro[[#This Row],[Codigo Centro Gestion]]&amp;" - "&amp;Empresa_Centro[[#This Row],[Nombre Centro Gestion]]</f>
        <v>10106000 - Palmas del Sur 1</v>
      </c>
    </row>
    <row r="662" spans="1:6" x14ac:dyDescent="0.25">
      <c r="A662" s="43">
        <v>76</v>
      </c>
      <c r="B662" t="s">
        <v>59</v>
      </c>
      <c r="C662" s="43" t="s">
        <v>437</v>
      </c>
      <c r="D662" s="43">
        <v>10106102</v>
      </c>
      <c r="E662" t="s">
        <v>790</v>
      </c>
      <c r="F662" s="47" t="str">
        <f>+Empresa_Centro[[#This Row],[Codigo Centro Gestion]]&amp;" - "&amp;Empresa_Centro[[#This Row],[Nombre Centro Gestion]]</f>
        <v>10106102 - Palmas del Sur 1-Marketing</v>
      </c>
    </row>
    <row r="663" spans="1:6" x14ac:dyDescent="0.25">
      <c r="A663" s="43">
        <v>76</v>
      </c>
      <c r="B663" t="s">
        <v>59</v>
      </c>
      <c r="C663" s="43" t="s">
        <v>437</v>
      </c>
      <c r="D663" s="43">
        <v>10106103</v>
      </c>
      <c r="E663" t="s">
        <v>791</v>
      </c>
      <c r="F663" s="47" t="str">
        <f>+Empresa_Centro[[#This Row],[Codigo Centro Gestion]]&amp;" - "&amp;Empresa_Centro[[#This Row],[Nombre Centro Gestion]]</f>
        <v>10106103 - Palmas del Sur 1-Operaciones</v>
      </c>
    </row>
    <row r="664" spans="1:6" x14ac:dyDescent="0.25">
      <c r="A664" s="43">
        <v>76</v>
      </c>
      <c r="B664" t="s">
        <v>59</v>
      </c>
      <c r="C664" s="43" t="s">
        <v>437</v>
      </c>
      <c r="D664" s="43">
        <v>10106104</v>
      </c>
      <c r="E664" t="s">
        <v>792</v>
      </c>
      <c r="F664" s="47" t="str">
        <f>+Empresa_Centro[[#This Row],[Codigo Centro Gestion]]&amp;" - "&amp;Empresa_Centro[[#This Row],[Nombre Centro Gestion]]</f>
        <v>10106104 - Palmas del Sur 1-Ventas</v>
      </c>
    </row>
    <row r="665" spans="1:6" x14ac:dyDescent="0.25">
      <c r="A665" s="43">
        <v>76</v>
      </c>
      <c r="B665" t="s">
        <v>59</v>
      </c>
      <c r="C665" s="43" t="s">
        <v>437</v>
      </c>
      <c r="D665" s="43">
        <v>10106105</v>
      </c>
      <c r="E665" t="s">
        <v>793</v>
      </c>
      <c r="F665" s="47" t="str">
        <f>+Empresa_Centro[[#This Row],[Codigo Centro Gestion]]&amp;" - "&amp;Empresa_Centro[[#This Row],[Nombre Centro Gestion]]</f>
        <v>10106105 - Palmas del Sur 1-Clientes</v>
      </c>
    </row>
    <row r="666" spans="1:6" x14ac:dyDescent="0.25">
      <c r="A666" s="43">
        <v>76</v>
      </c>
      <c r="B666" t="s">
        <v>59</v>
      </c>
      <c r="C666" s="43" t="s">
        <v>437</v>
      </c>
      <c r="D666" s="43">
        <v>10106203</v>
      </c>
      <c r="E666" t="s">
        <v>794</v>
      </c>
      <c r="F666" s="47" t="str">
        <f>+Empresa_Centro[[#This Row],[Codigo Centro Gestion]]&amp;" - "&amp;Empresa_Centro[[#This Row],[Nombre Centro Gestion]]</f>
        <v>10106203 - Palmas del Sur 1-Proyecto</v>
      </c>
    </row>
    <row r="667" spans="1:6" x14ac:dyDescent="0.25">
      <c r="A667" s="43">
        <v>76</v>
      </c>
      <c r="B667" t="s">
        <v>59</v>
      </c>
      <c r="C667" s="43" t="s">
        <v>437</v>
      </c>
      <c r="D667" s="43">
        <v>10106301</v>
      </c>
      <c r="E667" t="s">
        <v>795</v>
      </c>
      <c r="F667" s="47" t="str">
        <f>+Empresa_Centro[[#This Row],[Codigo Centro Gestion]]&amp;" - "&amp;Empresa_Centro[[#This Row],[Nombre Centro Gestion]]</f>
        <v>10106301 - Palmas del Sur 1-GAF</v>
      </c>
    </row>
    <row r="668" spans="1:6" x14ac:dyDescent="0.25">
      <c r="A668" s="43">
        <v>76</v>
      </c>
      <c r="B668" t="s">
        <v>59</v>
      </c>
      <c r="C668" s="43" t="s">
        <v>437</v>
      </c>
      <c r="D668" s="43">
        <v>10106505</v>
      </c>
      <c r="E668" t="s">
        <v>796</v>
      </c>
      <c r="F668" s="47" t="str">
        <f>+Empresa_Centro[[#This Row],[Codigo Centro Gestion]]&amp;" - "&amp;Empresa_Centro[[#This Row],[Nombre Centro Gestion]]</f>
        <v>10106505 - Palmas del Sur 1-PV Inmob.</v>
      </c>
    </row>
    <row r="669" spans="1:6" x14ac:dyDescent="0.25">
      <c r="A669" s="43">
        <v>76</v>
      </c>
      <c r="B669" t="s">
        <v>59</v>
      </c>
      <c r="C669" s="43" t="s">
        <v>437</v>
      </c>
      <c r="D669" s="43">
        <v>10106506</v>
      </c>
      <c r="E669" t="s">
        <v>797</v>
      </c>
      <c r="F669" s="47" t="str">
        <f>+Empresa_Centro[[#This Row],[Codigo Centro Gestion]]&amp;" - "&amp;Empresa_Centro[[#This Row],[Nombre Centro Gestion]]</f>
        <v>10106506 - Palmas del Sur 1-Depto.Técnico</v>
      </c>
    </row>
    <row r="670" spans="1:6" x14ac:dyDescent="0.25">
      <c r="A670" s="43">
        <v>76</v>
      </c>
      <c r="B670" t="s">
        <v>59</v>
      </c>
      <c r="C670" s="43" t="s">
        <v>437</v>
      </c>
      <c r="D670" s="43">
        <v>10167000</v>
      </c>
      <c r="E670" t="s">
        <v>484</v>
      </c>
      <c r="F670" s="47" t="str">
        <f>+Empresa_Centro[[#This Row],[Codigo Centro Gestion]]&amp;" - "&amp;Empresa_Centro[[#This Row],[Nombre Centro Gestion]]</f>
        <v>10167000 - Condominio Palmas del Sur II</v>
      </c>
    </row>
    <row r="671" spans="1:6" x14ac:dyDescent="0.25">
      <c r="A671" s="43">
        <v>76</v>
      </c>
      <c r="B671" t="s">
        <v>59</v>
      </c>
      <c r="C671" s="43" t="s">
        <v>437</v>
      </c>
      <c r="D671" s="43">
        <v>10167102</v>
      </c>
      <c r="E671" t="s">
        <v>807</v>
      </c>
      <c r="F671" s="47" t="str">
        <f>+Empresa_Centro[[#This Row],[Codigo Centro Gestion]]&amp;" - "&amp;Empresa_Centro[[#This Row],[Nombre Centro Gestion]]</f>
        <v>10167102 - Condominio Palmas del Sur II-Marketing</v>
      </c>
    </row>
    <row r="672" spans="1:6" x14ac:dyDescent="0.25">
      <c r="A672" s="43">
        <v>76</v>
      </c>
      <c r="B672" t="s">
        <v>59</v>
      </c>
      <c r="C672" s="43" t="s">
        <v>437</v>
      </c>
      <c r="D672" s="43">
        <v>10167103</v>
      </c>
      <c r="E672" t="s">
        <v>808</v>
      </c>
      <c r="F672" s="47" t="str">
        <f>+Empresa_Centro[[#This Row],[Codigo Centro Gestion]]&amp;" - "&amp;Empresa_Centro[[#This Row],[Nombre Centro Gestion]]</f>
        <v>10167103 - Condominio Palmas del Sur II-Operaciones</v>
      </c>
    </row>
    <row r="673" spans="1:6" x14ac:dyDescent="0.25">
      <c r="A673" s="43">
        <v>76</v>
      </c>
      <c r="B673" t="s">
        <v>59</v>
      </c>
      <c r="C673" s="43" t="s">
        <v>437</v>
      </c>
      <c r="D673" s="43">
        <v>10167104</v>
      </c>
      <c r="E673" t="s">
        <v>809</v>
      </c>
      <c r="F673" s="47" t="str">
        <f>+Empresa_Centro[[#This Row],[Codigo Centro Gestion]]&amp;" - "&amp;Empresa_Centro[[#This Row],[Nombre Centro Gestion]]</f>
        <v>10167104 - Condominio Palmas del Sur II-Ventas</v>
      </c>
    </row>
    <row r="674" spans="1:6" x14ac:dyDescent="0.25">
      <c r="A674" s="43">
        <v>76</v>
      </c>
      <c r="B674" t="s">
        <v>59</v>
      </c>
      <c r="C674" s="43" t="s">
        <v>437</v>
      </c>
      <c r="D674" s="43">
        <v>10167105</v>
      </c>
      <c r="E674" t="s">
        <v>810</v>
      </c>
      <c r="F674" s="47" t="str">
        <f>+Empresa_Centro[[#This Row],[Codigo Centro Gestion]]&amp;" - "&amp;Empresa_Centro[[#This Row],[Nombre Centro Gestion]]</f>
        <v>10167105 - Condominio Palmas del Sur II-Clientes</v>
      </c>
    </row>
    <row r="675" spans="1:6" x14ac:dyDescent="0.25">
      <c r="A675" s="43">
        <v>76</v>
      </c>
      <c r="B675" t="s">
        <v>59</v>
      </c>
      <c r="C675" s="43" t="s">
        <v>437</v>
      </c>
      <c r="D675" s="43">
        <v>10167203</v>
      </c>
      <c r="E675" t="s">
        <v>811</v>
      </c>
      <c r="F675" s="47" t="str">
        <f>+Empresa_Centro[[#This Row],[Codigo Centro Gestion]]&amp;" - "&amp;Empresa_Centro[[#This Row],[Nombre Centro Gestion]]</f>
        <v>10167203 - Condominio Palmas del Sur II-Proyecto</v>
      </c>
    </row>
    <row r="676" spans="1:6" x14ac:dyDescent="0.25">
      <c r="A676" s="43">
        <v>76</v>
      </c>
      <c r="B676" t="s">
        <v>59</v>
      </c>
      <c r="C676" s="43" t="s">
        <v>437</v>
      </c>
      <c r="D676" s="43">
        <v>10167301</v>
      </c>
      <c r="E676" t="s">
        <v>812</v>
      </c>
      <c r="F676" s="47" t="str">
        <f>+Empresa_Centro[[#This Row],[Codigo Centro Gestion]]&amp;" - "&amp;Empresa_Centro[[#This Row],[Nombre Centro Gestion]]</f>
        <v>10167301 - Condominio Palmas del Sur II-GAF</v>
      </c>
    </row>
    <row r="677" spans="1:6" x14ac:dyDescent="0.25">
      <c r="A677" s="43">
        <v>76</v>
      </c>
      <c r="B677" t="s">
        <v>59</v>
      </c>
      <c r="C677" s="43" t="s">
        <v>437</v>
      </c>
      <c r="D677" s="43">
        <v>10167505</v>
      </c>
      <c r="E677" t="s">
        <v>813</v>
      </c>
      <c r="F677" s="47" t="str">
        <f>+Empresa_Centro[[#This Row],[Codigo Centro Gestion]]&amp;" - "&amp;Empresa_Centro[[#This Row],[Nombre Centro Gestion]]</f>
        <v>10167505 - Condominio Palmas del Sur II-PV Inmob.</v>
      </c>
    </row>
    <row r="678" spans="1:6" x14ac:dyDescent="0.25">
      <c r="A678" s="43">
        <v>76</v>
      </c>
      <c r="B678" t="s">
        <v>59</v>
      </c>
      <c r="C678" s="43" t="s">
        <v>437</v>
      </c>
      <c r="D678" s="43">
        <v>10167506</v>
      </c>
      <c r="E678" t="s">
        <v>814</v>
      </c>
      <c r="F678" s="47" t="str">
        <f>+Empresa_Centro[[#This Row],[Codigo Centro Gestion]]&amp;" - "&amp;Empresa_Centro[[#This Row],[Nombre Centro Gestion]]</f>
        <v>10167506 - Condominio Palmas del Sur II-Depto.Técnico</v>
      </c>
    </row>
    <row r="679" spans="1:6" x14ac:dyDescent="0.25">
      <c r="A679" s="43">
        <v>76</v>
      </c>
      <c r="B679" t="s">
        <v>59</v>
      </c>
      <c r="C679" s="43" t="s">
        <v>437</v>
      </c>
      <c r="D679" s="43">
        <v>10189000</v>
      </c>
      <c r="E679" t="s">
        <v>842</v>
      </c>
      <c r="F679" s="47" t="str">
        <f>+Empresa_Centro[[#This Row],[Codigo Centro Gestion]]&amp;" - "&amp;Empresa_Centro[[#This Row],[Nombre Centro Gestion]]</f>
        <v>10189000 - Vista Azul</v>
      </c>
    </row>
    <row r="680" spans="1:6" x14ac:dyDescent="0.25">
      <c r="A680" s="43">
        <v>76</v>
      </c>
      <c r="B680" t="s">
        <v>59</v>
      </c>
      <c r="C680" s="43" t="s">
        <v>437</v>
      </c>
      <c r="D680" s="43">
        <v>10200000</v>
      </c>
      <c r="E680" t="s">
        <v>869</v>
      </c>
      <c r="F680" s="47" t="str">
        <f>+Empresa_Centro[[#This Row],[Codigo Centro Gestion]]&amp;" - "&amp;Empresa_Centro[[#This Row],[Nombre Centro Gestion]]</f>
        <v>10200000 - Edificio Terrazas del Sol</v>
      </c>
    </row>
    <row r="681" spans="1:6" x14ac:dyDescent="0.25">
      <c r="A681" s="43">
        <v>76</v>
      </c>
      <c r="B681" t="s">
        <v>59</v>
      </c>
      <c r="C681" s="43" t="s">
        <v>437</v>
      </c>
      <c r="D681" s="43">
        <v>10200102</v>
      </c>
      <c r="E681" t="s">
        <v>870</v>
      </c>
      <c r="F681" s="47" t="str">
        <f>+Empresa_Centro[[#This Row],[Codigo Centro Gestion]]&amp;" - "&amp;Empresa_Centro[[#This Row],[Nombre Centro Gestion]]</f>
        <v>10200102 - Edificio Terrazas del Sol-Marketing</v>
      </c>
    </row>
    <row r="682" spans="1:6" x14ac:dyDescent="0.25">
      <c r="A682" s="43">
        <v>76</v>
      </c>
      <c r="B682" t="s">
        <v>59</v>
      </c>
      <c r="C682" s="43" t="s">
        <v>437</v>
      </c>
      <c r="D682" s="43">
        <v>10200103</v>
      </c>
      <c r="E682" t="s">
        <v>871</v>
      </c>
      <c r="F682" s="47" t="str">
        <f>+Empresa_Centro[[#This Row],[Codigo Centro Gestion]]&amp;" - "&amp;Empresa_Centro[[#This Row],[Nombre Centro Gestion]]</f>
        <v>10200103 - Edificio Terrazas del Sol-Operaciones</v>
      </c>
    </row>
    <row r="683" spans="1:6" x14ac:dyDescent="0.25">
      <c r="A683" s="43">
        <v>76</v>
      </c>
      <c r="B683" t="s">
        <v>59</v>
      </c>
      <c r="C683" s="43" t="s">
        <v>437</v>
      </c>
      <c r="D683" s="43">
        <v>10200104</v>
      </c>
      <c r="E683" t="s">
        <v>872</v>
      </c>
      <c r="F683" s="47" t="str">
        <f>+Empresa_Centro[[#This Row],[Codigo Centro Gestion]]&amp;" - "&amp;Empresa_Centro[[#This Row],[Nombre Centro Gestion]]</f>
        <v>10200104 - Edificio Terrazas del Sol-Ventas</v>
      </c>
    </row>
    <row r="684" spans="1:6" x14ac:dyDescent="0.25">
      <c r="A684" s="43">
        <v>76</v>
      </c>
      <c r="B684" t="s">
        <v>59</v>
      </c>
      <c r="C684" s="43" t="s">
        <v>437</v>
      </c>
      <c r="D684" s="43">
        <v>10200105</v>
      </c>
      <c r="E684" t="s">
        <v>873</v>
      </c>
      <c r="F684" s="47" t="str">
        <f>+Empresa_Centro[[#This Row],[Codigo Centro Gestion]]&amp;" - "&amp;Empresa_Centro[[#This Row],[Nombre Centro Gestion]]</f>
        <v>10200105 - Edificio Terrazas del Sol-Clientes</v>
      </c>
    </row>
    <row r="685" spans="1:6" x14ac:dyDescent="0.25">
      <c r="A685" s="43">
        <v>76</v>
      </c>
      <c r="B685" t="s">
        <v>59</v>
      </c>
      <c r="C685" s="43" t="s">
        <v>437</v>
      </c>
      <c r="D685" s="43">
        <v>10200204</v>
      </c>
      <c r="E685" t="s">
        <v>874</v>
      </c>
      <c r="F685" s="47" t="str">
        <f>+Empresa_Centro[[#This Row],[Codigo Centro Gestion]]&amp;" - "&amp;Empresa_Centro[[#This Row],[Nombre Centro Gestion]]</f>
        <v>10200204 - Edificio Terrazas del Sol-Proyecto</v>
      </c>
    </row>
    <row r="686" spans="1:6" x14ac:dyDescent="0.25">
      <c r="A686" s="43">
        <v>76</v>
      </c>
      <c r="B686" t="s">
        <v>59</v>
      </c>
      <c r="C686" s="43" t="s">
        <v>437</v>
      </c>
      <c r="D686" s="43">
        <v>10200301</v>
      </c>
      <c r="E686" t="s">
        <v>875</v>
      </c>
      <c r="F686" s="47" t="str">
        <f>+Empresa_Centro[[#This Row],[Codigo Centro Gestion]]&amp;" - "&amp;Empresa_Centro[[#This Row],[Nombre Centro Gestion]]</f>
        <v>10200301 - Edificio Terrazas del Sol-GAF</v>
      </c>
    </row>
    <row r="687" spans="1:6" x14ac:dyDescent="0.25">
      <c r="A687" s="43">
        <v>76</v>
      </c>
      <c r="B687" t="s">
        <v>59</v>
      </c>
      <c r="C687" s="43" t="s">
        <v>437</v>
      </c>
      <c r="D687" s="43">
        <v>10200505</v>
      </c>
      <c r="E687" t="s">
        <v>876</v>
      </c>
      <c r="F687" s="47" t="str">
        <f>+Empresa_Centro[[#This Row],[Codigo Centro Gestion]]&amp;" - "&amp;Empresa_Centro[[#This Row],[Nombre Centro Gestion]]</f>
        <v>10200505 - Edificio Terrazas del Sol-PV Inmob.</v>
      </c>
    </row>
    <row r="688" spans="1:6" x14ac:dyDescent="0.25">
      <c r="A688" s="43">
        <v>76</v>
      </c>
      <c r="B688" t="s">
        <v>59</v>
      </c>
      <c r="C688" s="43" t="s">
        <v>437</v>
      </c>
      <c r="D688" s="43">
        <v>10200506</v>
      </c>
      <c r="E688" t="s">
        <v>877</v>
      </c>
      <c r="F688" s="47" t="str">
        <f>+Empresa_Centro[[#This Row],[Codigo Centro Gestion]]&amp;" - "&amp;Empresa_Centro[[#This Row],[Nombre Centro Gestion]]</f>
        <v>10200506 - Edificio Terrazas del Sol-Depto.Técnico</v>
      </c>
    </row>
    <row r="689" spans="1:6" x14ac:dyDescent="0.25">
      <c r="A689" s="43">
        <v>76</v>
      </c>
      <c r="B689" t="s">
        <v>59</v>
      </c>
      <c r="C689" s="43" t="s">
        <v>437</v>
      </c>
      <c r="D689" s="43">
        <v>10205000</v>
      </c>
      <c r="E689" t="s">
        <v>907</v>
      </c>
      <c r="F689" s="47" t="str">
        <f>+Empresa_Centro[[#This Row],[Codigo Centro Gestion]]&amp;" - "&amp;Empresa_Centro[[#This Row],[Nombre Centro Gestion]]</f>
        <v>10205000 - Edificio Santa Elena 1282</v>
      </c>
    </row>
    <row r="690" spans="1:6" x14ac:dyDescent="0.25">
      <c r="A690" s="43">
        <v>76</v>
      </c>
      <c r="B690" t="s">
        <v>59</v>
      </c>
      <c r="C690" s="43" t="s">
        <v>437</v>
      </c>
      <c r="D690" s="43">
        <v>10209000</v>
      </c>
      <c r="E690" t="s">
        <v>934</v>
      </c>
      <c r="F690" s="47" t="str">
        <f>+Empresa_Centro[[#This Row],[Codigo Centro Gestion]]&amp;" - "&amp;Empresa_Centro[[#This Row],[Nombre Centro Gestion]]</f>
        <v>10209000 - Edificio Edificio Bulnes Labbe</v>
      </c>
    </row>
    <row r="691" spans="1:6" x14ac:dyDescent="0.25">
      <c r="A691" s="43">
        <v>76</v>
      </c>
      <c r="B691" t="s">
        <v>59</v>
      </c>
      <c r="C691" s="43" t="s">
        <v>437</v>
      </c>
      <c r="D691" s="43">
        <v>10209102</v>
      </c>
      <c r="E691" t="s">
        <v>935</v>
      </c>
      <c r="F691" s="47" t="str">
        <f>+Empresa_Centro[[#This Row],[Codigo Centro Gestion]]&amp;" - "&amp;Empresa_Centro[[#This Row],[Nombre Centro Gestion]]</f>
        <v>10209102 - Edificio Edificio Bulnes Labbe-Marketing</v>
      </c>
    </row>
    <row r="692" spans="1:6" x14ac:dyDescent="0.25">
      <c r="A692" s="43">
        <v>76</v>
      </c>
      <c r="B692" t="s">
        <v>59</v>
      </c>
      <c r="C692" s="43" t="s">
        <v>437</v>
      </c>
      <c r="D692" s="43">
        <v>10209103</v>
      </c>
      <c r="E692" t="s">
        <v>936</v>
      </c>
      <c r="F692" s="47" t="str">
        <f>+Empresa_Centro[[#This Row],[Codigo Centro Gestion]]&amp;" - "&amp;Empresa_Centro[[#This Row],[Nombre Centro Gestion]]</f>
        <v>10209103 - Edificio Edificio Bulnes Labbe-Operaciones</v>
      </c>
    </row>
    <row r="693" spans="1:6" x14ac:dyDescent="0.25">
      <c r="A693" s="43">
        <v>76</v>
      </c>
      <c r="B693" t="s">
        <v>59</v>
      </c>
      <c r="C693" s="43" t="s">
        <v>437</v>
      </c>
      <c r="D693" s="43">
        <v>10209104</v>
      </c>
      <c r="E693" t="s">
        <v>937</v>
      </c>
      <c r="F693" s="47" t="str">
        <f>+Empresa_Centro[[#This Row],[Codigo Centro Gestion]]&amp;" - "&amp;Empresa_Centro[[#This Row],[Nombre Centro Gestion]]</f>
        <v>10209104 - Edificio Edificio Bulnes Labbe-Ventas</v>
      </c>
    </row>
    <row r="694" spans="1:6" x14ac:dyDescent="0.25">
      <c r="A694" s="43">
        <v>76</v>
      </c>
      <c r="B694" t="s">
        <v>59</v>
      </c>
      <c r="C694" s="43" t="s">
        <v>437</v>
      </c>
      <c r="D694" s="43">
        <v>10209105</v>
      </c>
      <c r="E694" t="s">
        <v>938</v>
      </c>
      <c r="F694" s="47" t="str">
        <f>+Empresa_Centro[[#This Row],[Codigo Centro Gestion]]&amp;" - "&amp;Empresa_Centro[[#This Row],[Nombre Centro Gestion]]</f>
        <v>10209105 - Edificio Edificio Bulnes Labbe-Clientes</v>
      </c>
    </row>
    <row r="695" spans="1:6" x14ac:dyDescent="0.25">
      <c r="A695" s="43">
        <v>76</v>
      </c>
      <c r="B695" t="s">
        <v>59</v>
      </c>
      <c r="C695" s="43" t="s">
        <v>437</v>
      </c>
      <c r="D695" s="43">
        <v>10209204</v>
      </c>
      <c r="E695" t="s">
        <v>939</v>
      </c>
      <c r="F695" s="47" t="str">
        <f>+Empresa_Centro[[#This Row],[Codigo Centro Gestion]]&amp;" - "&amp;Empresa_Centro[[#This Row],[Nombre Centro Gestion]]</f>
        <v>10209204 - Edificio Edificio Bulnes Labbe-Proyecto</v>
      </c>
    </row>
    <row r="696" spans="1:6" x14ac:dyDescent="0.25">
      <c r="A696" s="43">
        <v>76</v>
      </c>
      <c r="B696" t="s">
        <v>59</v>
      </c>
      <c r="C696" s="43" t="s">
        <v>437</v>
      </c>
      <c r="D696" s="43">
        <v>10209301</v>
      </c>
      <c r="E696" t="s">
        <v>940</v>
      </c>
      <c r="F696" s="47" t="str">
        <f>+Empresa_Centro[[#This Row],[Codigo Centro Gestion]]&amp;" - "&amp;Empresa_Centro[[#This Row],[Nombre Centro Gestion]]</f>
        <v>10209301 - Edificio Edificio Bulnes Labbe-GAF</v>
      </c>
    </row>
    <row r="697" spans="1:6" x14ac:dyDescent="0.25">
      <c r="A697" s="43">
        <v>76</v>
      </c>
      <c r="B697" t="s">
        <v>59</v>
      </c>
      <c r="C697" s="43" t="s">
        <v>437</v>
      </c>
      <c r="D697" s="43">
        <v>10209505</v>
      </c>
      <c r="E697" t="s">
        <v>941</v>
      </c>
      <c r="F697" s="47" t="str">
        <f>+Empresa_Centro[[#This Row],[Codigo Centro Gestion]]&amp;" - "&amp;Empresa_Centro[[#This Row],[Nombre Centro Gestion]]</f>
        <v>10209505 - Edificio Edificio Bulnes Labbe-PV Inmob.</v>
      </c>
    </row>
    <row r="698" spans="1:6" x14ac:dyDescent="0.25">
      <c r="A698" s="43">
        <v>76</v>
      </c>
      <c r="B698" t="s">
        <v>59</v>
      </c>
      <c r="C698" s="43" t="s">
        <v>437</v>
      </c>
      <c r="D698" s="43">
        <v>10209506</v>
      </c>
      <c r="E698" t="s">
        <v>942</v>
      </c>
      <c r="F698" s="47" t="str">
        <f>+Empresa_Centro[[#This Row],[Codigo Centro Gestion]]&amp;" - "&amp;Empresa_Centro[[#This Row],[Nombre Centro Gestion]]</f>
        <v>10209506 - Edificio Edificio Bulnes Labbe-Depto.Técnico</v>
      </c>
    </row>
    <row r="699" spans="1:6" x14ac:dyDescent="0.25">
      <c r="A699" s="43">
        <v>76</v>
      </c>
      <c r="B699" t="s">
        <v>59</v>
      </c>
      <c r="C699" s="43" t="s">
        <v>437</v>
      </c>
      <c r="D699" s="43">
        <v>10210000</v>
      </c>
      <c r="E699" t="s">
        <v>943</v>
      </c>
      <c r="F699" s="47" t="str">
        <f>+Empresa_Centro[[#This Row],[Codigo Centro Gestion]]&amp;" - "&amp;Empresa_Centro[[#This Row],[Nombre Centro Gestion]]</f>
        <v>10210000 - Edificio Fernandez Albano 192</v>
      </c>
    </row>
    <row r="700" spans="1:6" x14ac:dyDescent="0.25">
      <c r="A700" s="43">
        <v>76</v>
      </c>
      <c r="B700" t="s">
        <v>59</v>
      </c>
      <c r="C700" s="43" t="s">
        <v>437</v>
      </c>
      <c r="D700" s="43">
        <v>10212000</v>
      </c>
      <c r="E700" t="s">
        <v>961</v>
      </c>
      <c r="F700" s="47" t="str">
        <f>+Empresa_Centro[[#This Row],[Codigo Centro Gestion]]&amp;" - "&amp;Empresa_Centro[[#This Row],[Nombre Centro Gestion]]</f>
        <v>10212000 - Edificio Constantino 54</v>
      </c>
    </row>
    <row r="701" spans="1:6" x14ac:dyDescent="0.25">
      <c r="A701" s="43">
        <v>76</v>
      </c>
      <c r="B701" t="s">
        <v>59</v>
      </c>
      <c r="C701" s="43" t="s">
        <v>437</v>
      </c>
      <c r="D701" s="43">
        <v>10213000</v>
      </c>
      <c r="E701" t="s">
        <v>970</v>
      </c>
      <c r="F701" s="47" t="str">
        <f>+Empresa_Centro[[#This Row],[Codigo Centro Gestion]]&amp;" - "&amp;Empresa_Centro[[#This Row],[Nombre Centro Gestion]]</f>
        <v>10213000 - Edificio Maipu</v>
      </c>
    </row>
    <row r="702" spans="1:6" x14ac:dyDescent="0.25">
      <c r="A702" s="43">
        <v>76</v>
      </c>
      <c r="B702" t="s">
        <v>59</v>
      </c>
      <c r="C702" s="43" t="s">
        <v>437</v>
      </c>
      <c r="D702" s="43">
        <v>10213102</v>
      </c>
      <c r="E702" t="s">
        <v>971</v>
      </c>
      <c r="F702" s="47" t="str">
        <f>+Empresa_Centro[[#This Row],[Codigo Centro Gestion]]&amp;" - "&amp;Empresa_Centro[[#This Row],[Nombre Centro Gestion]]</f>
        <v>10213102 - Edificio Maipu-Marketing</v>
      </c>
    </row>
    <row r="703" spans="1:6" x14ac:dyDescent="0.25">
      <c r="A703" s="43">
        <v>76</v>
      </c>
      <c r="B703" t="s">
        <v>59</v>
      </c>
      <c r="C703" s="43" t="s">
        <v>437</v>
      </c>
      <c r="D703" s="43">
        <v>10213103</v>
      </c>
      <c r="E703" t="s">
        <v>972</v>
      </c>
      <c r="F703" s="47" t="str">
        <f>+Empresa_Centro[[#This Row],[Codigo Centro Gestion]]&amp;" - "&amp;Empresa_Centro[[#This Row],[Nombre Centro Gestion]]</f>
        <v>10213103 - Edificio Maipu-Operaciones</v>
      </c>
    </row>
    <row r="704" spans="1:6" x14ac:dyDescent="0.25">
      <c r="A704" s="43">
        <v>76</v>
      </c>
      <c r="B704" t="s">
        <v>59</v>
      </c>
      <c r="C704" s="43" t="s">
        <v>437</v>
      </c>
      <c r="D704" s="43">
        <v>10213104</v>
      </c>
      <c r="E704" t="s">
        <v>973</v>
      </c>
      <c r="F704" s="47" t="str">
        <f>+Empresa_Centro[[#This Row],[Codigo Centro Gestion]]&amp;" - "&amp;Empresa_Centro[[#This Row],[Nombre Centro Gestion]]</f>
        <v>10213104 - Edificio Maipu-Ventas</v>
      </c>
    </row>
    <row r="705" spans="1:6" x14ac:dyDescent="0.25">
      <c r="A705" s="43">
        <v>76</v>
      </c>
      <c r="B705" t="s">
        <v>59</v>
      </c>
      <c r="C705" s="43" t="s">
        <v>437</v>
      </c>
      <c r="D705" s="43">
        <v>10213105</v>
      </c>
      <c r="E705" t="s">
        <v>974</v>
      </c>
      <c r="F705" s="47" t="str">
        <f>+Empresa_Centro[[#This Row],[Codigo Centro Gestion]]&amp;" - "&amp;Empresa_Centro[[#This Row],[Nombre Centro Gestion]]</f>
        <v>10213105 - Edificio Maipu-Clientes</v>
      </c>
    </row>
    <row r="706" spans="1:6" x14ac:dyDescent="0.25">
      <c r="A706" s="43">
        <v>76</v>
      </c>
      <c r="B706" t="s">
        <v>59</v>
      </c>
      <c r="C706" s="43" t="s">
        <v>437</v>
      </c>
      <c r="D706" s="43">
        <v>10213204</v>
      </c>
      <c r="E706" t="s">
        <v>975</v>
      </c>
      <c r="F706" s="47" t="str">
        <f>+Empresa_Centro[[#This Row],[Codigo Centro Gestion]]&amp;" - "&amp;Empresa_Centro[[#This Row],[Nombre Centro Gestion]]</f>
        <v>10213204 - Edificio Maipu-Proyecto</v>
      </c>
    </row>
    <row r="707" spans="1:6" x14ac:dyDescent="0.25">
      <c r="A707" s="43">
        <v>76</v>
      </c>
      <c r="B707" t="s">
        <v>59</v>
      </c>
      <c r="C707" s="43" t="s">
        <v>437</v>
      </c>
      <c r="D707" s="43">
        <v>10213301</v>
      </c>
      <c r="E707" t="s">
        <v>976</v>
      </c>
      <c r="F707" s="47" t="str">
        <f>+Empresa_Centro[[#This Row],[Codigo Centro Gestion]]&amp;" - "&amp;Empresa_Centro[[#This Row],[Nombre Centro Gestion]]</f>
        <v>10213301 - Edificio Maipu-GAF</v>
      </c>
    </row>
    <row r="708" spans="1:6" x14ac:dyDescent="0.25">
      <c r="A708" s="43">
        <v>76</v>
      </c>
      <c r="B708" t="s">
        <v>59</v>
      </c>
      <c r="C708" s="43" t="s">
        <v>437</v>
      </c>
      <c r="D708" s="43">
        <v>10213505</v>
      </c>
      <c r="E708" t="s">
        <v>977</v>
      </c>
      <c r="F708" s="47" t="str">
        <f>+Empresa_Centro[[#This Row],[Codigo Centro Gestion]]&amp;" - "&amp;Empresa_Centro[[#This Row],[Nombre Centro Gestion]]</f>
        <v>10213505 - Edificio Maipu-PV Inmob.</v>
      </c>
    </row>
    <row r="709" spans="1:6" x14ac:dyDescent="0.25">
      <c r="A709" s="43">
        <v>76</v>
      </c>
      <c r="B709" t="s">
        <v>59</v>
      </c>
      <c r="C709" s="43" t="s">
        <v>437</v>
      </c>
      <c r="D709" s="43">
        <v>10213506</v>
      </c>
      <c r="E709" t="s">
        <v>978</v>
      </c>
      <c r="F709" s="47" t="str">
        <f>+Empresa_Centro[[#This Row],[Codigo Centro Gestion]]&amp;" - "&amp;Empresa_Centro[[#This Row],[Nombre Centro Gestion]]</f>
        <v>10213506 - Edificio Maipu-Depto.Técnico</v>
      </c>
    </row>
    <row r="710" spans="1:6" x14ac:dyDescent="0.25">
      <c r="A710" s="43">
        <v>76</v>
      </c>
      <c r="B710" t="s">
        <v>59</v>
      </c>
      <c r="C710" s="43" t="s">
        <v>437</v>
      </c>
      <c r="D710" s="43">
        <v>10236000</v>
      </c>
      <c r="E710" t="s">
        <v>1135</v>
      </c>
      <c r="F710" s="47" t="str">
        <f>+Empresa_Centro[[#This Row],[Codigo Centro Gestion]]&amp;" - "&amp;Empresa_Centro[[#This Row],[Nombre Centro Gestion]]</f>
        <v>10236000 - Edificio Pedro Prado</v>
      </c>
    </row>
    <row r="711" spans="1:6" x14ac:dyDescent="0.25">
      <c r="A711" s="43">
        <v>76</v>
      </c>
      <c r="B711" t="s">
        <v>59</v>
      </c>
      <c r="C711" s="43" t="s">
        <v>437</v>
      </c>
      <c r="D711" s="43">
        <v>10236102</v>
      </c>
      <c r="E711" t="s">
        <v>1136</v>
      </c>
      <c r="F711" s="47" t="str">
        <f>+Empresa_Centro[[#This Row],[Codigo Centro Gestion]]&amp;" - "&amp;Empresa_Centro[[#This Row],[Nombre Centro Gestion]]</f>
        <v>10236102 - Edificio Pedro Prado-MARKETING</v>
      </c>
    </row>
    <row r="712" spans="1:6" x14ac:dyDescent="0.25">
      <c r="A712" s="43">
        <v>76</v>
      </c>
      <c r="B712" t="s">
        <v>59</v>
      </c>
      <c r="C712" s="43" t="s">
        <v>437</v>
      </c>
      <c r="D712" s="43">
        <v>10236103</v>
      </c>
      <c r="E712" t="s">
        <v>1137</v>
      </c>
      <c r="F712" s="47" t="str">
        <f>+Empresa_Centro[[#This Row],[Codigo Centro Gestion]]&amp;" - "&amp;Empresa_Centro[[#This Row],[Nombre Centro Gestion]]</f>
        <v>10236103 - Edificio Pedro Prado-OPERACIONES</v>
      </c>
    </row>
    <row r="713" spans="1:6" x14ac:dyDescent="0.25">
      <c r="A713" s="43">
        <v>76</v>
      </c>
      <c r="B713" t="s">
        <v>59</v>
      </c>
      <c r="C713" s="43" t="s">
        <v>437</v>
      </c>
      <c r="D713" s="43">
        <v>10236104</v>
      </c>
      <c r="E713" t="s">
        <v>1138</v>
      </c>
      <c r="F713" s="47" t="str">
        <f>+Empresa_Centro[[#This Row],[Codigo Centro Gestion]]&amp;" - "&amp;Empresa_Centro[[#This Row],[Nombre Centro Gestion]]</f>
        <v>10236104 - Edificio Pedro Prado-VENTAS</v>
      </c>
    </row>
    <row r="714" spans="1:6" x14ac:dyDescent="0.25">
      <c r="A714" s="43">
        <v>76</v>
      </c>
      <c r="B714" t="s">
        <v>59</v>
      </c>
      <c r="C714" s="43" t="s">
        <v>437</v>
      </c>
      <c r="D714" s="43">
        <v>10236105</v>
      </c>
      <c r="E714" t="s">
        <v>1139</v>
      </c>
      <c r="F714" s="47" t="str">
        <f>+Empresa_Centro[[#This Row],[Codigo Centro Gestion]]&amp;" - "&amp;Empresa_Centro[[#This Row],[Nombre Centro Gestion]]</f>
        <v>10236105 - Edificio Pedro Prado-CLIENTES</v>
      </c>
    </row>
    <row r="715" spans="1:6" x14ac:dyDescent="0.25">
      <c r="A715" s="43">
        <v>76</v>
      </c>
      <c r="B715" t="s">
        <v>59</v>
      </c>
      <c r="C715" s="43" t="s">
        <v>437</v>
      </c>
      <c r="D715" s="43">
        <v>10236204</v>
      </c>
      <c r="E715" t="s">
        <v>1140</v>
      </c>
      <c r="F715" s="47" t="str">
        <f>+Empresa_Centro[[#This Row],[Codigo Centro Gestion]]&amp;" - "&amp;Empresa_Centro[[#This Row],[Nombre Centro Gestion]]</f>
        <v>10236204 - Edificio Pedro Prado-Proyecto</v>
      </c>
    </row>
    <row r="716" spans="1:6" x14ac:dyDescent="0.25">
      <c r="A716" s="43">
        <v>76</v>
      </c>
      <c r="B716" t="s">
        <v>59</v>
      </c>
      <c r="C716" s="43" t="s">
        <v>437</v>
      </c>
      <c r="D716" s="43">
        <v>10236301</v>
      </c>
      <c r="E716" t="s">
        <v>1141</v>
      </c>
      <c r="F716" s="47" t="str">
        <f>+Empresa_Centro[[#This Row],[Codigo Centro Gestion]]&amp;" - "&amp;Empresa_Centro[[#This Row],[Nombre Centro Gestion]]</f>
        <v>10236301 - Edificio Pedro Prado-GAF</v>
      </c>
    </row>
    <row r="717" spans="1:6" x14ac:dyDescent="0.25">
      <c r="A717" s="43">
        <v>76</v>
      </c>
      <c r="B717" t="s">
        <v>59</v>
      </c>
      <c r="C717" s="43" t="s">
        <v>437</v>
      </c>
      <c r="D717" s="43">
        <v>10236505</v>
      </c>
      <c r="E717" t="s">
        <v>1142</v>
      </c>
      <c r="F717" s="47" t="str">
        <f>+Empresa_Centro[[#This Row],[Codigo Centro Gestion]]&amp;" - "&amp;Empresa_Centro[[#This Row],[Nombre Centro Gestion]]</f>
        <v>10236505 - Edificio Pedro Prado-PV INMOB.</v>
      </c>
    </row>
    <row r="718" spans="1:6" x14ac:dyDescent="0.25">
      <c r="A718" s="43">
        <v>76</v>
      </c>
      <c r="B718" t="s">
        <v>59</v>
      </c>
      <c r="C718" s="43" t="s">
        <v>437</v>
      </c>
      <c r="D718" s="43">
        <v>10236506</v>
      </c>
      <c r="E718" t="s">
        <v>1143</v>
      </c>
      <c r="F718" s="47" t="str">
        <f>+Empresa_Centro[[#This Row],[Codigo Centro Gestion]]&amp;" - "&amp;Empresa_Centro[[#This Row],[Nombre Centro Gestion]]</f>
        <v>10236506 - Edificio Pedro Prado-DEPTO.TÉCNICO</v>
      </c>
    </row>
    <row r="719" spans="1:6" x14ac:dyDescent="0.25">
      <c r="A719" s="43">
        <v>76</v>
      </c>
      <c r="B719" t="s">
        <v>59</v>
      </c>
      <c r="C719" s="43" t="s">
        <v>437</v>
      </c>
      <c r="D719" s="43">
        <v>10251000</v>
      </c>
      <c r="E719" t="s">
        <v>474</v>
      </c>
      <c r="F719" s="47" t="str">
        <f>+Empresa_Centro[[#This Row],[Codigo Centro Gestion]]&amp;" - "&amp;Empresa_Centro[[#This Row],[Nombre Centro Gestion]]</f>
        <v>10251000 - Edificio Vista Horizonte</v>
      </c>
    </row>
    <row r="720" spans="1:6" x14ac:dyDescent="0.25">
      <c r="A720" s="43">
        <v>76</v>
      </c>
      <c r="B720" t="s">
        <v>59</v>
      </c>
      <c r="C720" s="43" t="s">
        <v>437</v>
      </c>
      <c r="D720" s="43">
        <v>10251102</v>
      </c>
      <c r="E720" t="s">
        <v>1210</v>
      </c>
      <c r="F720" s="47" t="str">
        <f>+Empresa_Centro[[#This Row],[Codigo Centro Gestion]]&amp;" - "&amp;Empresa_Centro[[#This Row],[Nombre Centro Gestion]]</f>
        <v>10251102 - Edificio Vista Horizonte-Marketing</v>
      </c>
    </row>
    <row r="721" spans="1:6" x14ac:dyDescent="0.25">
      <c r="A721" s="43">
        <v>76</v>
      </c>
      <c r="B721" t="s">
        <v>59</v>
      </c>
      <c r="C721" s="43" t="s">
        <v>437</v>
      </c>
      <c r="D721" s="43">
        <v>10251103</v>
      </c>
      <c r="E721" t="s">
        <v>1211</v>
      </c>
      <c r="F721" s="47" t="str">
        <f>+Empresa_Centro[[#This Row],[Codigo Centro Gestion]]&amp;" - "&amp;Empresa_Centro[[#This Row],[Nombre Centro Gestion]]</f>
        <v>10251103 - Edificio Vista Horizonte-Operaciones</v>
      </c>
    </row>
    <row r="722" spans="1:6" x14ac:dyDescent="0.25">
      <c r="A722" s="43">
        <v>76</v>
      </c>
      <c r="B722" t="s">
        <v>59</v>
      </c>
      <c r="C722" s="43" t="s">
        <v>437</v>
      </c>
      <c r="D722" s="43">
        <v>10251104</v>
      </c>
      <c r="E722" t="s">
        <v>1212</v>
      </c>
      <c r="F722" s="47" t="str">
        <f>+Empresa_Centro[[#This Row],[Codigo Centro Gestion]]&amp;" - "&amp;Empresa_Centro[[#This Row],[Nombre Centro Gestion]]</f>
        <v>10251104 - Edificio Vista Horizonte-Ventas</v>
      </c>
    </row>
    <row r="723" spans="1:6" x14ac:dyDescent="0.25">
      <c r="A723" s="43">
        <v>76</v>
      </c>
      <c r="B723" t="s">
        <v>59</v>
      </c>
      <c r="C723" s="43" t="s">
        <v>437</v>
      </c>
      <c r="D723" s="43">
        <v>10251105</v>
      </c>
      <c r="E723" t="s">
        <v>1213</v>
      </c>
      <c r="F723" s="47" t="str">
        <f>+Empresa_Centro[[#This Row],[Codigo Centro Gestion]]&amp;" - "&amp;Empresa_Centro[[#This Row],[Nombre Centro Gestion]]</f>
        <v>10251105 - Edificio Vista Horizonte-Clientes</v>
      </c>
    </row>
    <row r="724" spans="1:6" x14ac:dyDescent="0.25">
      <c r="A724" s="43">
        <v>76</v>
      </c>
      <c r="B724" t="s">
        <v>59</v>
      </c>
      <c r="C724" s="43" t="s">
        <v>437</v>
      </c>
      <c r="D724" s="43">
        <v>10251204</v>
      </c>
      <c r="E724" t="s">
        <v>1214</v>
      </c>
      <c r="F724" s="47" t="str">
        <f>+Empresa_Centro[[#This Row],[Codigo Centro Gestion]]&amp;" - "&amp;Empresa_Centro[[#This Row],[Nombre Centro Gestion]]</f>
        <v>10251204 - Edificio Vista Horizonte-Proyecto</v>
      </c>
    </row>
    <row r="725" spans="1:6" x14ac:dyDescent="0.25">
      <c r="A725" s="43">
        <v>76</v>
      </c>
      <c r="B725" t="s">
        <v>59</v>
      </c>
      <c r="C725" s="43" t="s">
        <v>437</v>
      </c>
      <c r="D725" s="43">
        <v>10251301</v>
      </c>
      <c r="E725" t="s">
        <v>1215</v>
      </c>
      <c r="F725" s="47" t="str">
        <f>+Empresa_Centro[[#This Row],[Codigo Centro Gestion]]&amp;" - "&amp;Empresa_Centro[[#This Row],[Nombre Centro Gestion]]</f>
        <v>10251301 - Edificio Vista Horizonte-GAF</v>
      </c>
    </row>
    <row r="726" spans="1:6" x14ac:dyDescent="0.25">
      <c r="A726" s="43">
        <v>76</v>
      </c>
      <c r="B726" t="s">
        <v>59</v>
      </c>
      <c r="C726" s="43" t="s">
        <v>437</v>
      </c>
      <c r="D726" s="43">
        <v>10251505</v>
      </c>
      <c r="E726" t="s">
        <v>1216</v>
      </c>
      <c r="F726" s="47" t="str">
        <f>+Empresa_Centro[[#This Row],[Codigo Centro Gestion]]&amp;" - "&amp;Empresa_Centro[[#This Row],[Nombre Centro Gestion]]</f>
        <v>10251505 - Edificio Vista Horizonte-PV Inmob.</v>
      </c>
    </row>
    <row r="727" spans="1:6" x14ac:dyDescent="0.25">
      <c r="A727" s="43">
        <v>76</v>
      </c>
      <c r="B727" t="s">
        <v>59</v>
      </c>
      <c r="C727" s="43" t="s">
        <v>437</v>
      </c>
      <c r="D727" s="43">
        <v>10251506</v>
      </c>
      <c r="E727" t="s">
        <v>1217</v>
      </c>
      <c r="F727" s="47" t="str">
        <f>+Empresa_Centro[[#This Row],[Codigo Centro Gestion]]&amp;" - "&amp;Empresa_Centro[[#This Row],[Nombre Centro Gestion]]</f>
        <v>10251506 - Edificio Vista Horizonte-Depto.Técnico</v>
      </c>
    </row>
    <row r="728" spans="1:6" x14ac:dyDescent="0.25">
      <c r="A728" s="43">
        <v>76</v>
      </c>
      <c r="B728" t="s">
        <v>59</v>
      </c>
      <c r="C728" s="43" t="s">
        <v>437</v>
      </c>
      <c r="D728" s="43">
        <v>10256000</v>
      </c>
      <c r="E728" t="s">
        <v>476</v>
      </c>
      <c r="F728" s="47" t="str">
        <f>+Empresa_Centro[[#This Row],[Codigo Centro Gestion]]&amp;" - "&amp;Empresa_Centro[[#This Row],[Nombre Centro Gestion]]</f>
        <v>10256000 - Edificio Lynch</v>
      </c>
    </row>
    <row r="729" spans="1:6" x14ac:dyDescent="0.25">
      <c r="A729" s="43">
        <v>76</v>
      </c>
      <c r="B729" t="s">
        <v>59</v>
      </c>
      <c r="C729" s="43" t="s">
        <v>437</v>
      </c>
      <c r="D729" s="43">
        <v>10256102</v>
      </c>
      <c r="E729" t="s">
        <v>1252</v>
      </c>
      <c r="F729" s="47" t="str">
        <f>+Empresa_Centro[[#This Row],[Codigo Centro Gestion]]&amp;" - "&amp;Empresa_Centro[[#This Row],[Nombre Centro Gestion]]</f>
        <v>10256102 - Edificio Lynch-Marketing</v>
      </c>
    </row>
    <row r="730" spans="1:6" x14ac:dyDescent="0.25">
      <c r="A730" s="43">
        <v>76</v>
      </c>
      <c r="B730" t="s">
        <v>59</v>
      </c>
      <c r="C730" s="43" t="s">
        <v>437</v>
      </c>
      <c r="D730" s="43">
        <v>10256103</v>
      </c>
      <c r="E730" t="s">
        <v>1253</v>
      </c>
      <c r="F730" s="47" t="str">
        <f>+Empresa_Centro[[#This Row],[Codigo Centro Gestion]]&amp;" - "&amp;Empresa_Centro[[#This Row],[Nombre Centro Gestion]]</f>
        <v>10256103 - Edificio Lynch-Operaciones</v>
      </c>
    </row>
    <row r="731" spans="1:6" x14ac:dyDescent="0.25">
      <c r="A731" s="43">
        <v>76</v>
      </c>
      <c r="B731" t="s">
        <v>59</v>
      </c>
      <c r="C731" s="43" t="s">
        <v>437</v>
      </c>
      <c r="D731" s="43">
        <v>10256104</v>
      </c>
      <c r="E731" t="s">
        <v>1254</v>
      </c>
      <c r="F731" s="47" t="str">
        <f>+Empresa_Centro[[#This Row],[Codigo Centro Gestion]]&amp;" - "&amp;Empresa_Centro[[#This Row],[Nombre Centro Gestion]]</f>
        <v>10256104 - Edificio Lynch-Ventas</v>
      </c>
    </row>
    <row r="732" spans="1:6" x14ac:dyDescent="0.25">
      <c r="A732" s="43">
        <v>76</v>
      </c>
      <c r="B732" t="s">
        <v>59</v>
      </c>
      <c r="C732" s="43" t="s">
        <v>437</v>
      </c>
      <c r="D732" s="43">
        <v>10256105</v>
      </c>
      <c r="E732" t="s">
        <v>1255</v>
      </c>
      <c r="F732" s="47" t="str">
        <f>+Empresa_Centro[[#This Row],[Codigo Centro Gestion]]&amp;" - "&amp;Empresa_Centro[[#This Row],[Nombre Centro Gestion]]</f>
        <v>10256105 - Edificio Lynch-Clientes</v>
      </c>
    </row>
    <row r="733" spans="1:6" x14ac:dyDescent="0.25">
      <c r="A733" s="43">
        <v>76</v>
      </c>
      <c r="B733" t="s">
        <v>59</v>
      </c>
      <c r="C733" s="43" t="s">
        <v>437</v>
      </c>
      <c r="D733" s="43">
        <v>10256204</v>
      </c>
      <c r="E733" t="s">
        <v>1256</v>
      </c>
      <c r="F733" s="47" t="str">
        <f>+Empresa_Centro[[#This Row],[Codigo Centro Gestion]]&amp;" - "&amp;Empresa_Centro[[#This Row],[Nombre Centro Gestion]]</f>
        <v>10256204 - Edificio Lynch-Proyecto</v>
      </c>
    </row>
    <row r="734" spans="1:6" x14ac:dyDescent="0.25">
      <c r="A734" s="43">
        <v>76</v>
      </c>
      <c r="B734" t="s">
        <v>59</v>
      </c>
      <c r="C734" s="43" t="s">
        <v>437</v>
      </c>
      <c r="D734" s="43">
        <v>10256301</v>
      </c>
      <c r="E734" t="s">
        <v>1257</v>
      </c>
      <c r="F734" s="47" t="str">
        <f>+Empresa_Centro[[#This Row],[Codigo Centro Gestion]]&amp;" - "&amp;Empresa_Centro[[#This Row],[Nombre Centro Gestion]]</f>
        <v>10256301 - Edificio Lynch-GAF</v>
      </c>
    </row>
    <row r="735" spans="1:6" x14ac:dyDescent="0.25">
      <c r="A735" s="43">
        <v>76</v>
      </c>
      <c r="B735" t="s">
        <v>59</v>
      </c>
      <c r="C735" s="43" t="s">
        <v>437</v>
      </c>
      <c r="D735" s="43">
        <v>10256505</v>
      </c>
      <c r="E735" t="s">
        <v>1258</v>
      </c>
      <c r="F735" s="47" t="str">
        <f>+Empresa_Centro[[#This Row],[Codigo Centro Gestion]]&amp;" - "&amp;Empresa_Centro[[#This Row],[Nombre Centro Gestion]]</f>
        <v>10256505 - Edificio Lynch-PV Inmob.</v>
      </c>
    </row>
    <row r="736" spans="1:6" x14ac:dyDescent="0.25">
      <c r="A736" s="43">
        <v>76</v>
      </c>
      <c r="B736" t="s">
        <v>59</v>
      </c>
      <c r="C736" s="43" t="s">
        <v>437</v>
      </c>
      <c r="D736" s="43">
        <v>10256506</v>
      </c>
      <c r="E736" t="s">
        <v>1259</v>
      </c>
      <c r="F736" s="47" t="str">
        <f>+Empresa_Centro[[#This Row],[Codigo Centro Gestion]]&amp;" - "&amp;Empresa_Centro[[#This Row],[Nombre Centro Gestion]]</f>
        <v>10256506 - Edificio Lynch-Depto.Técnico</v>
      </c>
    </row>
    <row r="737" spans="1:6" x14ac:dyDescent="0.25">
      <c r="A737" s="43">
        <v>76</v>
      </c>
      <c r="B737" t="s">
        <v>59</v>
      </c>
      <c r="C737" s="43" t="s">
        <v>437</v>
      </c>
      <c r="D737" s="43">
        <v>10264000</v>
      </c>
      <c r="E737" t="s">
        <v>480</v>
      </c>
      <c r="F737" s="47" t="str">
        <f>+Empresa_Centro[[#This Row],[Codigo Centro Gestion]]&amp;" - "&amp;Empresa_Centro[[#This Row],[Nombre Centro Gestion]]</f>
        <v>10264000 - Edificio Libertad</v>
      </c>
    </row>
    <row r="738" spans="1:6" x14ac:dyDescent="0.25">
      <c r="A738" s="43">
        <v>76</v>
      </c>
      <c r="B738" t="s">
        <v>59</v>
      </c>
      <c r="C738" s="43" t="s">
        <v>437</v>
      </c>
      <c r="D738" s="43">
        <v>10264102</v>
      </c>
      <c r="E738" t="s">
        <v>1319</v>
      </c>
      <c r="F738" s="47" t="str">
        <f>+Empresa_Centro[[#This Row],[Codigo Centro Gestion]]&amp;" - "&amp;Empresa_Centro[[#This Row],[Nombre Centro Gestion]]</f>
        <v>10264102 - Edificio Libertad-Marketing</v>
      </c>
    </row>
    <row r="739" spans="1:6" x14ac:dyDescent="0.25">
      <c r="A739" s="43">
        <v>76</v>
      </c>
      <c r="B739" t="s">
        <v>59</v>
      </c>
      <c r="C739" s="43" t="s">
        <v>437</v>
      </c>
      <c r="D739" s="43">
        <v>10264103</v>
      </c>
      <c r="E739" t="s">
        <v>1320</v>
      </c>
      <c r="F739" s="47" t="str">
        <f>+Empresa_Centro[[#This Row],[Codigo Centro Gestion]]&amp;" - "&amp;Empresa_Centro[[#This Row],[Nombre Centro Gestion]]</f>
        <v>10264103 - Edificio Libertad-Operaciones</v>
      </c>
    </row>
    <row r="740" spans="1:6" x14ac:dyDescent="0.25">
      <c r="A740" s="43">
        <v>76</v>
      </c>
      <c r="B740" t="s">
        <v>59</v>
      </c>
      <c r="C740" s="43" t="s">
        <v>437</v>
      </c>
      <c r="D740" s="43">
        <v>10264104</v>
      </c>
      <c r="E740" t="s">
        <v>1321</v>
      </c>
      <c r="F740" s="47" t="str">
        <f>+Empresa_Centro[[#This Row],[Codigo Centro Gestion]]&amp;" - "&amp;Empresa_Centro[[#This Row],[Nombre Centro Gestion]]</f>
        <v>10264104 - Edificio Libertad-Ventas</v>
      </c>
    </row>
    <row r="741" spans="1:6" x14ac:dyDescent="0.25">
      <c r="A741" s="43">
        <v>76</v>
      </c>
      <c r="B741" t="s">
        <v>59</v>
      </c>
      <c r="C741" s="43" t="s">
        <v>437</v>
      </c>
      <c r="D741" s="43">
        <v>10264105</v>
      </c>
      <c r="E741" t="s">
        <v>1322</v>
      </c>
      <c r="F741" s="47" t="str">
        <f>+Empresa_Centro[[#This Row],[Codigo Centro Gestion]]&amp;" - "&amp;Empresa_Centro[[#This Row],[Nombre Centro Gestion]]</f>
        <v>10264105 - Edificio Libertad-Clientes</v>
      </c>
    </row>
    <row r="742" spans="1:6" x14ac:dyDescent="0.25">
      <c r="A742" s="43">
        <v>76</v>
      </c>
      <c r="B742" t="s">
        <v>59</v>
      </c>
      <c r="C742" s="43" t="s">
        <v>437</v>
      </c>
      <c r="D742" s="43">
        <v>10264204</v>
      </c>
      <c r="E742" t="s">
        <v>1323</v>
      </c>
      <c r="F742" s="47" t="str">
        <f>+Empresa_Centro[[#This Row],[Codigo Centro Gestion]]&amp;" - "&amp;Empresa_Centro[[#This Row],[Nombre Centro Gestion]]</f>
        <v>10264204 - Edificio Libertad-Proyecto</v>
      </c>
    </row>
    <row r="743" spans="1:6" x14ac:dyDescent="0.25">
      <c r="A743" s="43">
        <v>76</v>
      </c>
      <c r="B743" t="s">
        <v>59</v>
      </c>
      <c r="C743" s="43" t="s">
        <v>437</v>
      </c>
      <c r="D743" s="43">
        <v>10264301</v>
      </c>
      <c r="E743" t="s">
        <v>1324</v>
      </c>
      <c r="F743" s="47" t="str">
        <f>+Empresa_Centro[[#This Row],[Codigo Centro Gestion]]&amp;" - "&amp;Empresa_Centro[[#This Row],[Nombre Centro Gestion]]</f>
        <v>10264301 - Edificio Libertad-GAF</v>
      </c>
    </row>
    <row r="744" spans="1:6" x14ac:dyDescent="0.25">
      <c r="A744" s="43">
        <v>76</v>
      </c>
      <c r="B744" t="s">
        <v>59</v>
      </c>
      <c r="C744" s="43" t="s">
        <v>437</v>
      </c>
      <c r="D744" s="43">
        <v>10264505</v>
      </c>
      <c r="E744" t="s">
        <v>1325</v>
      </c>
      <c r="F744" s="47" t="str">
        <f>+Empresa_Centro[[#This Row],[Codigo Centro Gestion]]&amp;" - "&amp;Empresa_Centro[[#This Row],[Nombre Centro Gestion]]</f>
        <v>10264505 - Edificio Libertad-PV Inmob.</v>
      </c>
    </row>
    <row r="745" spans="1:6" x14ac:dyDescent="0.25">
      <c r="A745" s="43">
        <v>76</v>
      </c>
      <c r="B745" t="s">
        <v>59</v>
      </c>
      <c r="C745" s="43" t="s">
        <v>437</v>
      </c>
      <c r="D745" s="43">
        <v>10264506</v>
      </c>
      <c r="E745" t="s">
        <v>1326</v>
      </c>
      <c r="F745" s="47" t="str">
        <f>+Empresa_Centro[[#This Row],[Codigo Centro Gestion]]&amp;" - "&amp;Empresa_Centro[[#This Row],[Nombre Centro Gestion]]</f>
        <v>10264506 - Edificio Libertad-Depto.Técnico</v>
      </c>
    </row>
    <row r="746" spans="1:6" x14ac:dyDescent="0.25">
      <c r="A746" s="43">
        <v>76</v>
      </c>
      <c r="B746" t="s">
        <v>59</v>
      </c>
      <c r="C746" s="43" t="s">
        <v>437</v>
      </c>
      <c r="D746" s="43">
        <v>10265000</v>
      </c>
      <c r="E746" t="s">
        <v>487</v>
      </c>
      <c r="F746" s="47" t="str">
        <f>+Empresa_Centro[[#This Row],[Codigo Centro Gestion]]&amp;" - "&amp;Empresa_Centro[[#This Row],[Nombre Centro Gestion]]</f>
        <v>10265000 - Edificio Latorre</v>
      </c>
    </row>
    <row r="747" spans="1:6" x14ac:dyDescent="0.25">
      <c r="A747" s="43">
        <v>76</v>
      </c>
      <c r="B747" t="s">
        <v>59</v>
      </c>
      <c r="C747" s="43" t="s">
        <v>437</v>
      </c>
      <c r="D747" s="43">
        <v>10265102</v>
      </c>
      <c r="E747" t="s">
        <v>1327</v>
      </c>
      <c r="F747" s="47" t="str">
        <f>+Empresa_Centro[[#This Row],[Codigo Centro Gestion]]&amp;" - "&amp;Empresa_Centro[[#This Row],[Nombre Centro Gestion]]</f>
        <v>10265102 - Edificio Latorre-Marketing</v>
      </c>
    </row>
    <row r="748" spans="1:6" x14ac:dyDescent="0.25">
      <c r="A748" s="43">
        <v>76</v>
      </c>
      <c r="B748" t="s">
        <v>59</v>
      </c>
      <c r="C748" s="43" t="s">
        <v>437</v>
      </c>
      <c r="D748" s="43">
        <v>10265103</v>
      </c>
      <c r="E748" t="s">
        <v>1328</v>
      </c>
      <c r="F748" s="47" t="str">
        <f>+Empresa_Centro[[#This Row],[Codigo Centro Gestion]]&amp;" - "&amp;Empresa_Centro[[#This Row],[Nombre Centro Gestion]]</f>
        <v>10265103 - Edificio Latorre-Operaciones</v>
      </c>
    </row>
    <row r="749" spans="1:6" x14ac:dyDescent="0.25">
      <c r="A749" s="43">
        <v>76</v>
      </c>
      <c r="B749" t="s">
        <v>59</v>
      </c>
      <c r="C749" s="43" t="s">
        <v>437</v>
      </c>
      <c r="D749" s="43">
        <v>10265104</v>
      </c>
      <c r="E749" t="s">
        <v>1329</v>
      </c>
      <c r="F749" s="47" t="str">
        <f>+Empresa_Centro[[#This Row],[Codigo Centro Gestion]]&amp;" - "&amp;Empresa_Centro[[#This Row],[Nombre Centro Gestion]]</f>
        <v>10265104 - Edificio Latorre-Ventas</v>
      </c>
    </row>
    <row r="750" spans="1:6" x14ac:dyDescent="0.25">
      <c r="A750" s="43">
        <v>76</v>
      </c>
      <c r="B750" t="s">
        <v>59</v>
      </c>
      <c r="C750" s="43" t="s">
        <v>437</v>
      </c>
      <c r="D750" s="43">
        <v>10265105</v>
      </c>
      <c r="E750" t="s">
        <v>1330</v>
      </c>
      <c r="F750" s="47" t="str">
        <f>+Empresa_Centro[[#This Row],[Codigo Centro Gestion]]&amp;" - "&amp;Empresa_Centro[[#This Row],[Nombre Centro Gestion]]</f>
        <v>10265105 - Edificio Latorre-Clientes</v>
      </c>
    </row>
    <row r="751" spans="1:6" x14ac:dyDescent="0.25">
      <c r="A751" s="43">
        <v>76</v>
      </c>
      <c r="B751" t="s">
        <v>59</v>
      </c>
      <c r="C751" s="43" t="s">
        <v>437</v>
      </c>
      <c r="D751" s="43">
        <v>10265204</v>
      </c>
      <c r="E751" t="s">
        <v>1331</v>
      </c>
      <c r="F751" s="47" t="str">
        <f>+Empresa_Centro[[#This Row],[Codigo Centro Gestion]]&amp;" - "&amp;Empresa_Centro[[#This Row],[Nombre Centro Gestion]]</f>
        <v>10265204 - Edificio Latorre-Proyecto</v>
      </c>
    </row>
    <row r="752" spans="1:6" x14ac:dyDescent="0.25">
      <c r="A752" s="43">
        <v>76</v>
      </c>
      <c r="B752" t="s">
        <v>59</v>
      </c>
      <c r="C752" s="43" t="s">
        <v>437</v>
      </c>
      <c r="D752" s="43">
        <v>10265301</v>
      </c>
      <c r="E752" t="s">
        <v>1332</v>
      </c>
      <c r="F752" s="47" t="str">
        <f>+Empresa_Centro[[#This Row],[Codigo Centro Gestion]]&amp;" - "&amp;Empresa_Centro[[#This Row],[Nombre Centro Gestion]]</f>
        <v>10265301 - Edificio Latorre-GAF</v>
      </c>
    </row>
    <row r="753" spans="1:6" x14ac:dyDescent="0.25">
      <c r="A753" s="43">
        <v>76</v>
      </c>
      <c r="B753" t="s">
        <v>59</v>
      </c>
      <c r="C753" s="43" t="s">
        <v>437</v>
      </c>
      <c r="D753" s="43">
        <v>10265505</v>
      </c>
      <c r="E753" t="s">
        <v>1333</v>
      </c>
      <c r="F753" s="47" t="str">
        <f>+Empresa_Centro[[#This Row],[Codigo Centro Gestion]]&amp;" - "&amp;Empresa_Centro[[#This Row],[Nombre Centro Gestion]]</f>
        <v>10265505 - Edificio Latorre-PV Inmob.</v>
      </c>
    </row>
    <row r="754" spans="1:6" x14ac:dyDescent="0.25">
      <c r="A754" s="43">
        <v>76</v>
      </c>
      <c r="B754" t="s">
        <v>59</v>
      </c>
      <c r="C754" s="43" t="s">
        <v>437</v>
      </c>
      <c r="D754" s="43">
        <v>10265506</v>
      </c>
      <c r="E754" t="s">
        <v>1334</v>
      </c>
      <c r="F754" s="47" t="str">
        <f>+Empresa_Centro[[#This Row],[Codigo Centro Gestion]]&amp;" - "&amp;Empresa_Centro[[#This Row],[Nombre Centro Gestion]]</f>
        <v>10265506 - Edificio Latorre-Depto.Técnico</v>
      </c>
    </row>
    <row r="755" spans="1:6" x14ac:dyDescent="0.25">
      <c r="A755" s="43">
        <v>76</v>
      </c>
      <c r="B755" t="s">
        <v>59</v>
      </c>
      <c r="C755" s="43" t="s">
        <v>437</v>
      </c>
      <c r="D755" s="43">
        <v>10266000</v>
      </c>
      <c r="E755" t="s">
        <v>481</v>
      </c>
      <c r="F755" s="47" t="str">
        <f>+Empresa_Centro[[#This Row],[Codigo Centro Gestion]]&amp;" - "&amp;Empresa_Centro[[#This Row],[Nombre Centro Gestion]]</f>
        <v>10266000 - 18 de Septiembre</v>
      </c>
    </row>
    <row r="756" spans="1:6" x14ac:dyDescent="0.25">
      <c r="A756" s="43">
        <v>76</v>
      </c>
      <c r="B756" t="s">
        <v>59</v>
      </c>
      <c r="C756" s="43" t="s">
        <v>437</v>
      </c>
      <c r="D756" s="43">
        <v>10266102</v>
      </c>
      <c r="E756" t="s">
        <v>1335</v>
      </c>
      <c r="F756" s="47" t="str">
        <f>+Empresa_Centro[[#This Row],[Codigo Centro Gestion]]&amp;" - "&amp;Empresa_Centro[[#This Row],[Nombre Centro Gestion]]</f>
        <v>10266102 - 18 de Septiembre-Marketing</v>
      </c>
    </row>
    <row r="757" spans="1:6" x14ac:dyDescent="0.25">
      <c r="A757" s="43">
        <v>76</v>
      </c>
      <c r="B757" t="s">
        <v>59</v>
      </c>
      <c r="C757" s="43" t="s">
        <v>437</v>
      </c>
      <c r="D757" s="43">
        <v>10266103</v>
      </c>
      <c r="E757" t="s">
        <v>1336</v>
      </c>
      <c r="F757" s="47" t="str">
        <f>+Empresa_Centro[[#This Row],[Codigo Centro Gestion]]&amp;" - "&amp;Empresa_Centro[[#This Row],[Nombre Centro Gestion]]</f>
        <v>10266103 - 18 de Septiembre-Operaciones</v>
      </c>
    </row>
    <row r="758" spans="1:6" x14ac:dyDescent="0.25">
      <c r="A758" s="43">
        <v>76</v>
      </c>
      <c r="B758" t="s">
        <v>59</v>
      </c>
      <c r="C758" s="43" t="s">
        <v>437</v>
      </c>
      <c r="D758" s="43">
        <v>10266104</v>
      </c>
      <c r="E758" t="s">
        <v>1337</v>
      </c>
      <c r="F758" s="47" t="str">
        <f>+Empresa_Centro[[#This Row],[Codigo Centro Gestion]]&amp;" - "&amp;Empresa_Centro[[#This Row],[Nombre Centro Gestion]]</f>
        <v>10266104 - 18 de Septiembre-Ventas</v>
      </c>
    </row>
    <row r="759" spans="1:6" x14ac:dyDescent="0.25">
      <c r="A759" s="43">
        <v>76</v>
      </c>
      <c r="B759" t="s">
        <v>59</v>
      </c>
      <c r="C759" s="43" t="s">
        <v>437</v>
      </c>
      <c r="D759" s="43">
        <v>10266105</v>
      </c>
      <c r="E759" t="s">
        <v>1338</v>
      </c>
      <c r="F759" s="47" t="str">
        <f>+Empresa_Centro[[#This Row],[Codigo Centro Gestion]]&amp;" - "&amp;Empresa_Centro[[#This Row],[Nombre Centro Gestion]]</f>
        <v>10266105 - 18 de Septiembre-Clientes</v>
      </c>
    </row>
    <row r="760" spans="1:6" x14ac:dyDescent="0.25">
      <c r="A760" s="43">
        <v>76</v>
      </c>
      <c r="B760" t="s">
        <v>59</v>
      </c>
      <c r="C760" s="43" t="s">
        <v>437</v>
      </c>
      <c r="D760" s="43">
        <v>10266204</v>
      </c>
      <c r="E760" t="s">
        <v>1339</v>
      </c>
      <c r="F760" s="47" t="str">
        <f>+Empresa_Centro[[#This Row],[Codigo Centro Gestion]]&amp;" - "&amp;Empresa_Centro[[#This Row],[Nombre Centro Gestion]]</f>
        <v>10266204 - 18 de Septiembre-Proyecto</v>
      </c>
    </row>
    <row r="761" spans="1:6" x14ac:dyDescent="0.25">
      <c r="A761" s="43">
        <v>76</v>
      </c>
      <c r="B761" t="s">
        <v>59</v>
      </c>
      <c r="C761" s="43" t="s">
        <v>437</v>
      </c>
      <c r="D761" s="43">
        <v>10266301</v>
      </c>
      <c r="E761" t="s">
        <v>1340</v>
      </c>
      <c r="F761" s="47" t="str">
        <f>+Empresa_Centro[[#This Row],[Codigo Centro Gestion]]&amp;" - "&amp;Empresa_Centro[[#This Row],[Nombre Centro Gestion]]</f>
        <v>10266301 - 18 de Septiembre-GAF</v>
      </c>
    </row>
    <row r="762" spans="1:6" x14ac:dyDescent="0.25">
      <c r="A762" s="43">
        <v>76</v>
      </c>
      <c r="B762" t="s">
        <v>59</v>
      </c>
      <c r="C762" s="43" t="s">
        <v>437</v>
      </c>
      <c r="D762" s="43">
        <v>10266505</v>
      </c>
      <c r="E762" t="s">
        <v>1341</v>
      </c>
      <c r="F762" s="47" t="str">
        <f>+Empresa_Centro[[#This Row],[Codigo Centro Gestion]]&amp;" - "&amp;Empresa_Centro[[#This Row],[Nombre Centro Gestion]]</f>
        <v>10266505 - 18 de Septiembre-PV Inmob.</v>
      </c>
    </row>
    <row r="763" spans="1:6" x14ac:dyDescent="0.25">
      <c r="A763" s="43">
        <v>76</v>
      </c>
      <c r="B763" t="s">
        <v>59</v>
      </c>
      <c r="C763" s="43" t="s">
        <v>437</v>
      </c>
      <c r="D763" s="43">
        <v>10266506</v>
      </c>
      <c r="E763" t="s">
        <v>1342</v>
      </c>
      <c r="F763" s="47" t="str">
        <f>+Empresa_Centro[[#This Row],[Codigo Centro Gestion]]&amp;" - "&amp;Empresa_Centro[[#This Row],[Nombre Centro Gestion]]</f>
        <v>10266506 - 18 de Septiembre-Depto.Técnico</v>
      </c>
    </row>
    <row r="764" spans="1:6" x14ac:dyDescent="0.25">
      <c r="A764" s="43">
        <v>76</v>
      </c>
      <c r="B764" t="s">
        <v>59</v>
      </c>
      <c r="C764" s="43" t="s">
        <v>437</v>
      </c>
      <c r="D764" s="43">
        <v>10267000</v>
      </c>
      <c r="E764" t="s">
        <v>1343</v>
      </c>
      <c r="F764" s="47" t="str">
        <f>+Empresa_Centro[[#This Row],[Codigo Centro Gestion]]&amp;" - "&amp;Empresa_Centro[[#This Row],[Nombre Centro Gestion]]</f>
        <v>10267000 - Condominio Jardines del Sur Etapa 1</v>
      </c>
    </row>
    <row r="765" spans="1:6" x14ac:dyDescent="0.25">
      <c r="A765" s="43">
        <v>76</v>
      </c>
      <c r="B765" t="s">
        <v>59</v>
      </c>
      <c r="C765" s="43" t="s">
        <v>437</v>
      </c>
      <c r="D765" s="43">
        <v>10267102</v>
      </c>
      <c r="E765" t="s">
        <v>1344</v>
      </c>
      <c r="F765" s="47" t="str">
        <f>+Empresa_Centro[[#This Row],[Codigo Centro Gestion]]&amp;" - "&amp;Empresa_Centro[[#This Row],[Nombre Centro Gestion]]</f>
        <v>10267102 - Condominio Jardines del Sur Etapa 1-Marketing</v>
      </c>
    </row>
    <row r="766" spans="1:6" x14ac:dyDescent="0.25">
      <c r="A766" s="43">
        <v>76</v>
      </c>
      <c r="B766" t="s">
        <v>59</v>
      </c>
      <c r="C766" s="43" t="s">
        <v>437</v>
      </c>
      <c r="D766" s="43">
        <v>10267103</v>
      </c>
      <c r="E766" t="s">
        <v>1345</v>
      </c>
      <c r="F766" s="47" t="str">
        <f>+Empresa_Centro[[#This Row],[Codigo Centro Gestion]]&amp;" - "&amp;Empresa_Centro[[#This Row],[Nombre Centro Gestion]]</f>
        <v>10267103 - Condominio Jardines del Sur Etapa 1-Operaciones</v>
      </c>
    </row>
    <row r="767" spans="1:6" x14ac:dyDescent="0.25">
      <c r="A767" s="43">
        <v>76</v>
      </c>
      <c r="B767" t="s">
        <v>59</v>
      </c>
      <c r="C767" s="43" t="s">
        <v>437</v>
      </c>
      <c r="D767" s="43">
        <v>10267104</v>
      </c>
      <c r="E767" t="s">
        <v>1346</v>
      </c>
      <c r="F767" s="47" t="str">
        <f>+Empresa_Centro[[#This Row],[Codigo Centro Gestion]]&amp;" - "&amp;Empresa_Centro[[#This Row],[Nombre Centro Gestion]]</f>
        <v>10267104 - Condominio Jardines del Sur Etapa 1-Ventas</v>
      </c>
    </row>
    <row r="768" spans="1:6" x14ac:dyDescent="0.25">
      <c r="A768" s="43">
        <v>76</v>
      </c>
      <c r="B768" t="s">
        <v>59</v>
      </c>
      <c r="C768" s="43" t="s">
        <v>437</v>
      </c>
      <c r="D768" s="43">
        <v>10267105</v>
      </c>
      <c r="E768" t="s">
        <v>1347</v>
      </c>
      <c r="F768" s="47" t="str">
        <f>+Empresa_Centro[[#This Row],[Codigo Centro Gestion]]&amp;" - "&amp;Empresa_Centro[[#This Row],[Nombre Centro Gestion]]</f>
        <v>10267105 - Condominio Jardines del Sur Etapa 1-Clientes</v>
      </c>
    </row>
    <row r="769" spans="1:6" x14ac:dyDescent="0.25">
      <c r="A769" s="43">
        <v>76</v>
      </c>
      <c r="B769" t="s">
        <v>59</v>
      </c>
      <c r="C769" s="43" t="s">
        <v>437</v>
      </c>
      <c r="D769" s="43">
        <v>10267204</v>
      </c>
      <c r="E769" t="s">
        <v>1348</v>
      </c>
      <c r="F769" s="47" t="str">
        <f>+Empresa_Centro[[#This Row],[Codigo Centro Gestion]]&amp;" - "&amp;Empresa_Centro[[#This Row],[Nombre Centro Gestion]]</f>
        <v>10267204 - Condominio Jardines del Sur Etapa 1-Proyecto</v>
      </c>
    </row>
    <row r="770" spans="1:6" x14ac:dyDescent="0.25">
      <c r="A770" s="43">
        <v>76</v>
      </c>
      <c r="B770" t="s">
        <v>59</v>
      </c>
      <c r="C770" s="43" t="s">
        <v>437</v>
      </c>
      <c r="D770" s="43">
        <v>10267301</v>
      </c>
      <c r="E770" t="s">
        <v>1349</v>
      </c>
      <c r="F770" s="47" t="str">
        <f>+Empresa_Centro[[#This Row],[Codigo Centro Gestion]]&amp;" - "&amp;Empresa_Centro[[#This Row],[Nombre Centro Gestion]]</f>
        <v>10267301 - Condominio Jardines del Sur Etapa 1-GAF</v>
      </c>
    </row>
    <row r="771" spans="1:6" x14ac:dyDescent="0.25">
      <c r="A771" s="43">
        <v>76</v>
      </c>
      <c r="B771" t="s">
        <v>59</v>
      </c>
      <c r="C771" s="43" t="s">
        <v>437</v>
      </c>
      <c r="D771" s="43">
        <v>10267505</v>
      </c>
      <c r="E771" t="s">
        <v>1350</v>
      </c>
      <c r="F771" s="47" t="str">
        <f>+Empresa_Centro[[#This Row],[Codigo Centro Gestion]]&amp;" - "&amp;Empresa_Centro[[#This Row],[Nombre Centro Gestion]]</f>
        <v>10267505 - Condominio Jardines del Sur Etapa 1-PV Inmob.</v>
      </c>
    </row>
    <row r="772" spans="1:6" x14ac:dyDescent="0.25">
      <c r="A772" s="43">
        <v>76</v>
      </c>
      <c r="B772" t="s">
        <v>59</v>
      </c>
      <c r="C772" s="43" t="s">
        <v>437</v>
      </c>
      <c r="D772" s="43">
        <v>10267506</v>
      </c>
      <c r="E772" t="s">
        <v>1351</v>
      </c>
      <c r="F772" s="47" t="str">
        <f>+Empresa_Centro[[#This Row],[Codigo Centro Gestion]]&amp;" - "&amp;Empresa_Centro[[#This Row],[Nombre Centro Gestion]]</f>
        <v>10267506 - Condominio Jardines del Sur Etapa 1-Depto.Técnico</v>
      </c>
    </row>
    <row r="773" spans="1:6" x14ac:dyDescent="0.25">
      <c r="A773" s="43">
        <v>76</v>
      </c>
      <c r="B773" t="s">
        <v>59</v>
      </c>
      <c r="C773" s="43" t="s">
        <v>437</v>
      </c>
      <c r="D773" s="43">
        <v>10268000</v>
      </c>
      <c r="E773" t="s">
        <v>1352</v>
      </c>
      <c r="F773" s="47" t="str">
        <f>+Empresa_Centro[[#This Row],[Codigo Centro Gestion]]&amp;" - "&amp;Empresa_Centro[[#This Row],[Nombre Centro Gestion]]</f>
        <v>10268000 - Condominio Jardines del Sur Etapa 2</v>
      </c>
    </row>
    <row r="774" spans="1:6" x14ac:dyDescent="0.25">
      <c r="A774" s="43">
        <v>76</v>
      </c>
      <c r="B774" t="s">
        <v>59</v>
      </c>
      <c r="C774" s="43" t="s">
        <v>437</v>
      </c>
      <c r="D774" s="43">
        <v>10268102</v>
      </c>
      <c r="E774" t="s">
        <v>1353</v>
      </c>
      <c r="F774" s="47" t="str">
        <f>+Empresa_Centro[[#This Row],[Codigo Centro Gestion]]&amp;" - "&amp;Empresa_Centro[[#This Row],[Nombre Centro Gestion]]</f>
        <v>10268102 - Condominio Jardines del Sur Etapa 2-Marketing</v>
      </c>
    </row>
    <row r="775" spans="1:6" x14ac:dyDescent="0.25">
      <c r="A775" s="43">
        <v>76</v>
      </c>
      <c r="B775" t="s">
        <v>59</v>
      </c>
      <c r="C775" s="43" t="s">
        <v>437</v>
      </c>
      <c r="D775" s="43">
        <v>10268103</v>
      </c>
      <c r="E775" t="s">
        <v>1354</v>
      </c>
      <c r="F775" s="47" t="str">
        <f>+Empresa_Centro[[#This Row],[Codigo Centro Gestion]]&amp;" - "&amp;Empresa_Centro[[#This Row],[Nombre Centro Gestion]]</f>
        <v>10268103 - Condominio Jardines del Sur Etapa 2-Operaciones</v>
      </c>
    </row>
    <row r="776" spans="1:6" x14ac:dyDescent="0.25">
      <c r="A776" s="43">
        <v>76</v>
      </c>
      <c r="B776" t="s">
        <v>59</v>
      </c>
      <c r="C776" s="43" t="s">
        <v>437</v>
      </c>
      <c r="D776" s="43">
        <v>10268104</v>
      </c>
      <c r="E776" t="s">
        <v>1355</v>
      </c>
      <c r="F776" s="47" t="str">
        <f>+Empresa_Centro[[#This Row],[Codigo Centro Gestion]]&amp;" - "&amp;Empresa_Centro[[#This Row],[Nombre Centro Gestion]]</f>
        <v>10268104 - Condominio Jardines del Sur Etapa 2-Ventas</v>
      </c>
    </row>
    <row r="777" spans="1:6" x14ac:dyDescent="0.25">
      <c r="A777" s="43">
        <v>76</v>
      </c>
      <c r="B777" t="s">
        <v>59</v>
      </c>
      <c r="C777" s="43" t="s">
        <v>437</v>
      </c>
      <c r="D777" s="43">
        <v>10268105</v>
      </c>
      <c r="E777" t="s">
        <v>1356</v>
      </c>
      <c r="F777" s="47" t="str">
        <f>+Empresa_Centro[[#This Row],[Codigo Centro Gestion]]&amp;" - "&amp;Empresa_Centro[[#This Row],[Nombre Centro Gestion]]</f>
        <v>10268105 - Condominio Jardines del Sur Etapa 2-Clientes</v>
      </c>
    </row>
    <row r="778" spans="1:6" x14ac:dyDescent="0.25">
      <c r="A778" s="43">
        <v>76</v>
      </c>
      <c r="B778" t="s">
        <v>59</v>
      </c>
      <c r="C778" s="43" t="s">
        <v>437</v>
      </c>
      <c r="D778" s="43">
        <v>10268204</v>
      </c>
      <c r="E778" t="s">
        <v>1357</v>
      </c>
      <c r="F778" s="47" t="str">
        <f>+Empresa_Centro[[#This Row],[Codigo Centro Gestion]]&amp;" - "&amp;Empresa_Centro[[#This Row],[Nombre Centro Gestion]]</f>
        <v>10268204 - Condominio Jardines del Sur Etapa 2-Proyecto</v>
      </c>
    </row>
    <row r="779" spans="1:6" x14ac:dyDescent="0.25">
      <c r="A779" s="43">
        <v>76</v>
      </c>
      <c r="B779" t="s">
        <v>59</v>
      </c>
      <c r="C779" s="43" t="s">
        <v>437</v>
      </c>
      <c r="D779" s="43">
        <v>10268301</v>
      </c>
      <c r="E779" t="s">
        <v>1358</v>
      </c>
      <c r="F779" s="47" t="str">
        <f>+Empresa_Centro[[#This Row],[Codigo Centro Gestion]]&amp;" - "&amp;Empresa_Centro[[#This Row],[Nombre Centro Gestion]]</f>
        <v>10268301 - Condominio Jardines del Sur Etapa 2-GAF</v>
      </c>
    </row>
    <row r="780" spans="1:6" x14ac:dyDescent="0.25">
      <c r="A780" s="43">
        <v>76</v>
      </c>
      <c r="B780" t="s">
        <v>59</v>
      </c>
      <c r="C780" s="43" t="s">
        <v>437</v>
      </c>
      <c r="D780" s="43">
        <v>10268505</v>
      </c>
      <c r="E780" t="s">
        <v>1359</v>
      </c>
      <c r="F780" s="47" t="str">
        <f>+Empresa_Centro[[#This Row],[Codigo Centro Gestion]]&amp;" - "&amp;Empresa_Centro[[#This Row],[Nombre Centro Gestion]]</f>
        <v>10268505 - Condominio Jardines del Sur Etapa 2-PV Inmob.</v>
      </c>
    </row>
    <row r="781" spans="1:6" x14ac:dyDescent="0.25">
      <c r="A781" s="43">
        <v>76</v>
      </c>
      <c r="B781" t="s">
        <v>59</v>
      </c>
      <c r="C781" s="43" t="s">
        <v>437</v>
      </c>
      <c r="D781" s="43">
        <v>10268506</v>
      </c>
      <c r="E781" t="s">
        <v>1360</v>
      </c>
      <c r="F781" s="47" t="str">
        <f>+Empresa_Centro[[#This Row],[Codigo Centro Gestion]]&amp;" - "&amp;Empresa_Centro[[#This Row],[Nombre Centro Gestion]]</f>
        <v>10268506 - Condominio Jardines del Sur Etapa 2-Depto.Técnico</v>
      </c>
    </row>
    <row r="782" spans="1:6" x14ac:dyDescent="0.25">
      <c r="A782" s="43">
        <v>76</v>
      </c>
      <c r="B782" t="s">
        <v>59</v>
      </c>
      <c r="C782" s="43" t="s">
        <v>437</v>
      </c>
      <c r="D782" s="43">
        <v>10307000</v>
      </c>
      <c r="E782" t="s">
        <v>488</v>
      </c>
      <c r="F782" s="47" t="str">
        <f>+Empresa_Centro[[#This Row],[Codigo Centro Gestion]]&amp;" - "&amp;Empresa_Centro[[#This Row],[Nombre Centro Gestion]]</f>
        <v>10307000 - El Yodo</v>
      </c>
    </row>
    <row r="783" spans="1:6" x14ac:dyDescent="0.25">
      <c r="A783" s="43">
        <v>76</v>
      </c>
      <c r="B783" t="s">
        <v>59</v>
      </c>
      <c r="C783" s="43" t="s">
        <v>437</v>
      </c>
      <c r="D783" s="43">
        <v>10307102</v>
      </c>
      <c r="E783" t="s">
        <v>1395</v>
      </c>
      <c r="F783" s="47" t="str">
        <f>+Empresa_Centro[[#This Row],[Codigo Centro Gestion]]&amp;" - "&amp;Empresa_Centro[[#This Row],[Nombre Centro Gestion]]</f>
        <v>10307102 - El Yodo-Marketing</v>
      </c>
    </row>
    <row r="784" spans="1:6" x14ac:dyDescent="0.25">
      <c r="A784" s="43">
        <v>76</v>
      </c>
      <c r="B784" t="s">
        <v>59</v>
      </c>
      <c r="C784" s="43" t="s">
        <v>437</v>
      </c>
      <c r="D784" s="43">
        <v>10307103</v>
      </c>
      <c r="E784" t="s">
        <v>1396</v>
      </c>
      <c r="F784" s="47" t="str">
        <f>+Empresa_Centro[[#This Row],[Codigo Centro Gestion]]&amp;" - "&amp;Empresa_Centro[[#This Row],[Nombre Centro Gestion]]</f>
        <v>10307103 - El Yodo-Operaciones</v>
      </c>
    </row>
    <row r="785" spans="1:6" x14ac:dyDescent="0.25">
      <c r="A785" s="43">
        <v>76</v>
      </c>
      <c r="B785" t="s">
        <v>59</v>
      </c>
      <c r="C785" s="43" t="s">
        <v>437</v>
      </c>
      <c r="D785" s="43">
        <v>10307104</v>
      </c>
      <c r="E785" t="s">
        <v>1397</v>
      </c>
      <c r="F785" s="47" t="str">
        <f>+Empresa_Centro[[#This Row],[Codigo Centro Gestion]]&amp;" - "&amp;Empresa_Centro[[#This Row],[Nombre Centro Gestion]]</f>
        <v>10307104 - El Yodo-Ventas</v>
      </c>
    </row>
    <row r="786" spans="1:6" x14ac:dyDescent="0.25">
      <c r="A786" s="43">
        <v>76</v>
      </c>
      <c r="B786" t="s">
        <v>59</v>
      </c>
      <c r="C786" s="43" t="s">
        <v>437</v>
      </c>
      <c r="D786" s="43">
        <v>10307105</v>
      </c>
      <c r="E786" t="s">
        <v>1398</v>
      </c>
      <c r="F786" s="47" t="str">
        <f>+Empresa_Centro[[#This Row],[Codigo Centro Gestion]]&amp;" - "&amp;Empresa_Centro[[#This Row],[Nombre Centro Gestion]]</f>
        <v>10307105 - El Yodo-Clientes</v>
      </c>
    </row>
    <row r="787" spans="1:6" x14ac:dyDescent="0.25">
      <c r="A787" s="43">
        <v>76</v>
      </c>
      <c r="B787" t="s">
        <v>59</v>
      </c>
      <c r="C787" s="43" t="s">
        <v>437</v>
      </c>
      <c r="D787" s="43">
        <v>10307204</v>
      </c>
      <c r="E787" t="s">
        <v>1399</v>
      </c>
      <c r="F787" s="47" t="str">
        <f>+Empresa_Centro[[#This Row],[Codigo Centro Gestion]]&amp;" - "&amp;Empresa_Centro[[#This Row],[Nombre Centro Gestion]]</f>
        <v>10307204 - El Yodo-Proyecto</v>
      </c>
    </row>
    <row r="788" spans="1:6" x14ac:dyDescent="0.25">
      <c r="A788" s="43">
        <v>76</v>
      </c>
      <c r="B788" t="s">
        <v>59</v>
      </c>
      <c r="C788" s="43" t="s">
        <v>437</v>
      </c>
      <c r="D788" s="43">
        <v>10307301</v>
      </c>
      <c r="E788" t="s">
        <v>1400</v>
      </c>
      <c r="F788" s="47" t="str">
        <f>+Empresa_Centro[[#This Row],[Codigo Centro Gestion]]&amp;" - "&amp;Empresa_Centro[[#This Row],[Nombre Centro Gestion]]</f>
        <v>10307301 - El Yodo-GAF</v>
      </c>
    </row>
    <row r="789" spans="1:6" x14ac:dyDescent="0.25">
      <c r="A789" s="43">
        <v>76</v>
      </c>
      <c r="B789" t="s">
        <v>59</v>
      </c>
      <c r="C789" s="43" t="s">
        <v>437</v>
      </c>
      <c r="D789" s="43">
        <v>10307505</v>
      </c>
      <c r="E789" t="s">
        <v>1401</v>
      </c>
      <c r="F789" s="47" t="str">
        <f>+Empresa_Centro[[#This Row],[Codigo Centro Gestion]]&amp;" - "&amp;Empresa_Centro[[#This Row],[Nombre Centro Gestion]]</f>
        <v>10307505 - El Yodo-PV Inmob.</v>
      </c>
    </row>
    <row r="790" spans="1:6" x14ac:dyDescent="0.25">
      <c r="A790" s="43">
        <v>76</v>
      </c>
      <c r="B790" t="s">
        <v>59</v>
      </c>
      <c r="C790" s="43" t="s">
        <v>437</v>
      </c>
      <c r="D790" s="43">
        <v>10307506</v>
      </c>
      <c r="E790" t="s">
        <v>1402</v>
      </c>
      <c r="F790" s="47" t="str">
        <f>+Empresa_Centro[[#This Row],[Codigo Centro Gestion]]&amp;" - "&amp;Empresa_Centro[[#This Row],[Nombre Centro Gestion]]</f>
        <v>10307506 - El Yodo-Depto.Técnico</v>
      </c>
    </row>
    <row r="791" spans="1:6" x14ac:dyDescent="0.25">
      <c r="A791" s="43">
        <v>76</v>
      </c>
      <c r="B791" t="s">
        <v>59</v>
      </c>
      <c r="C791" s="43" t="s">
        <v>437</v>
      </c>
      <c r="D791" s="43">
        <v>10359000</v>
      </c>
      <c r="E791" t="s">
        <v>494</v>
      </c>
      <c r="F791" s="47" t="str">
        <f>+Empresa_Centro[[#This Row],[Codigo Centro Gestion]]&amp;" - "&amp;Empresa_Centro[[#This Row],[Nombre Centro Gestion]]</f>
        <v>10359000 - Edificio Liparita</v>
      </c>
    </row>
    <row r="792" spans="1:6" x14ac:dyDescent="0.25">
      <c r="A792" s="43">
        <v>76</v>
      </c>
      <c r="B792" t="s">
        <v>59</v>
      </c>
      <c r="C792" s="43" t="s">
        <v>437</v>
      </c>
      <c r="D792" s="43">
        <v>10359102</v>
      </c>
      <c r="E792" t="s">
        <v>1427</v>
      </c>
      <c r="F792" s="47" t="str">
        <f>+Empresa_Centro[[#This Row],[Codigo Centro Gestion]]&amp;" - "&amp;Empresa_Centro[[#This Row],[Nombre Centro Gestion]]</f>
        <v>10359102 - Edificio Liparita-Marketing</v>
      </c>
    </row>
    <row r="793" spans="1:6" x14ac:dyDescent="0.25">
      <c r="A793" s="43">
        <v>76</v>
      </c>
      <c r="B793" t="s">
        <v>59</v>
      </c>
      <c r="C793" s="43" t="s">
        <v>437</v>
      </c>
      <c r="D793" s="43">
        <v>10359103</v>
      </c>
      <c r="E793" t="s">
        <v>1428</v>
      </c>
      <c r="F793" s="47" t="str">
        <f>+Empresa_Centro[[#This Row],[Codigo Centro Gestion]]&amp;" - "&amp;Empresa_Centro[[#This Row],[Nombre Centro Gestion]]</f>
        <v>10359103 - Edificio Liparita-Operaciones</v>
      </c>
    </row>
    <row r="794" spans="1:6" x14ac:dyDescent="0.25">
      <c r="A794" s="43">
        <v>76</v>
      </c>
      <c r="B794" t="s">
        <v>59</v>
      </c>
      <c r="C794" s="43" t="s">
        <v>437</v>
      </c>
      <c r="D794" s="43">
        <v>10359104</v>
      </c>
      <c r="E794" t="s">
        <v>1429</v>
      </c>
      <c r="F794" s="47" t="str">
        <f>+Empresa_Centro[[#This Row],[Codigo Centro Gestion]]&amp;" - "&amp;Empresa_Centro[[#This Row],[Nombre Centro Gestion]]</f>
        <v>10359104 - Edificio Liparita-Ventas</v>
      </c>
    </row>
    <row r="795" spans="1:6" x14ac:dyDescent="0.25">
      <c r="A795" s="43">
        <v>76</v>
      </c>
      <c r="B795" t="s">
        <v>59</v>
      </c>
      <c r="C795" s="43" t="s">
        <v>437</v>
      </c>
      <c r="D795" s="43">
        <v>10359105</v>
      </c>
      <c r="E795" t="s">
        <v>1430</v>
      </c>
      <c r="F795" s="47" t="str">
        <f>+Empresa_Centro[[#This Row],[Codigo Centro Gestion]]&amp;" - "&amp;Empresa_Centro[[#This Row],[Nombre Centro Gestion]]</f>
        <v>10359105 - Edificio Liparita-Clientes</v>
      </c>
    </row>
    <row r="796" spans="1:6" x14ac:dyDescent="0.25">
      <c r="A796" s="43">
        <v>76</v>
      </c>
      <c r="B796" t="s">
        <v>59</v>
      </c>
      <c r="C796" s="43" t="s">
        <v>437</v>
      </c>
      <c r="D796" s="43">
        <v>10359204</v>
      </c>
      <c r="E796" t="s">
        <v>1431</v>
      </c>
      <c r="F796" s="47" t="str">
        <f>+Empresa_Centro[[#This Row],[Codigo Centro Gestion]]&amp;" - "&amp;Empresa_Centro[[#This Row],[Nombre Centro Gestion]]</f>
        <v>10359204 - Edificio Liparita-Proyecto</v>
      </c>
    </row>
    <row r="797" spans="1:6" x14ac:dyDescent="0.25">
      <c r="A797" s="43">
        <v>76</v>
      </c>
      <c r="B797" t="s">
        <v>59</v>
      </c>
      <c r="C797" s="43" t="s">
        <v>437</v>
      </c>
      <c r="D797" s="43">
        <v>10359301</v>
      </c>
      <c r="E797" t="s">
        <v>1432</v>
      </c>
      <c r="F797" s="47" t="str">
        <f>+Empresa_Centro[[#This Row],[Codigo Centro Gestion]]&amp;" - "&amp;Empresa_Centro[[#This Row],[Nombre Centro Gestion]]</f>
        <v>10359301 - Edificio Liparita-GAF</v>
      </c>
    </row>
    <row r="798" spans="1:6" x14ac:dyDescent="0.25">
      <c r="A798" s="43">
        <v>76</v>
      </c>
      <c r="B798" t="s">
        <v>59</v>
      </c>
      <c r="C798" s="43" t="s">
        <v>437</v>
      </c>
      <c r="D798" s="43">
        <v>10359505</v>
      </c>
      <c r="E798" t="s">
        <v>1433</v>
      </c>
      <c r="F798" s="47" t="str">
        <f>+Empresa_Centro[[#This Row],[Codigo Centro Gestion]]&amp;" - "&amp;Empresa_Centro[[#This Row],[Nombre Centro Gestion]]</f>
        <v>10359505 - Edificio Liparita-PV Inmob.</v>
      </c>
    </row>
    <row r="799" spans="1:6" x14ac:dyDescent="0.25">
      <c r="A799" s="43">
        <v>76</v>
      </c>
      <c r="B799" t="s">
        <v>59</v>
      </c>
      <c r="C799" s="43" t="s">
        <v>437</v>
      </c>
      <c r="D799" s="43">
        <v>10359506</v>
      </c>
      <c r="E799" t="s">
        <v>1434</v>
      </c>
      <c r="F799" s="47" t="str">
        <f>+Empresa_Centro[[#This Row],[Codigo Centro Gestion]]&amp;" - "&amp;Empresa_Centro[[#This Row],[Nombre Centro Gestion]]</f>
        <v>10359506 - Edificio Liparita-Depto.Técnico</v>
      </c>
    </row>
    <row r="800" spans="1:6" x14ac:dyDescent="0.25">
      <c r="A800" s="43">
        <v>76</v>
      </c>
      <c r="B800" t="s">
        <v>59</v>
      </c>
      <c r="C800" s="43" t="s">
        <v>437</v>
      </c>
      <c r="D800" s="43">
        <v>10502000</v>
      </c>
      <c r="E800" t="s">
        <v>504</v>
      </c>
      <c r="F800" s="47" t="str">
        <f>+Empresa_Centro[[#This Row],[Codigo Centro Gestion]]&amp;" - "&amp;Empresa_Centro[[#This Row],[Nombre Centro Gestion]]</f>
        <v>10502000 - Labbé 1172</v>
      </c>
    </row>
    <row r="801" spans="1:6" x14ac:dyDescent="0.25">
      <c r="A801" s="43">
        <v>76</v>
      </c>
      <c r="B801" t="s">
        <v>59</v>
      </c>
      <c r="C801" s="43" t="s">
        <v>437</v>
      </c>
      <c r="D801" s="43">
        <v>10502102</v>
      </c>
      <c r="E801" t="s">
        <v>1468</v>
      </c>
      <c r="F801" s="47" t="str">
        <f>+Empresa_Centro[[#This Row],[Codigo Centro Gestion]]&amp;" - "&amp;Empresa_Centro[[#This Row],[Nombre Centro Gestion]]</f>
        <v>10502102 - Labbé 1172-Marketing</v>
      </c>
    </row>
    <row r="802" spans="1:6" x14ac:dyDescent="0.25">
      <c r="A802" s="43">
        <v>76</v>
      </c>
      <c r="B802" t="s">
        <v>59</v>
      </c>
      <c r="C802" s="43" t="s">
        <v>437</v>
      </c>
      <c r="D802" s="43">
        <v>10502103</v>
      </c>
      <c r="E802" t="s">
        <v>1469</v>
      </c>
      <c r="F802" s="47" t="str">
        <f>+Empresa_Centro[[#This Row],[Codigo Centro Gestion]]&amp;" - "&amp;Empresa_Centro[[#This Row],[Nombre Centro Gestion]]</f>
        <v>10502103 - Labbé 1172-Operaciones</v>
      </c>
    </row>
    <row r="803" spans="1:6" x14ac:dyDescent="0.25">
      <c r="A803" s="43">
        <v>76</v>
      </c>
      <c r="B803" t="s">
        <v>59</v>
      </c>
      <c r="C803" s="43" t="s">
        <v>437</v>
      </c>
      <c r="D803" s="43">
        <v>10502104</v>
      </c>
      <c r="E803" t="s">
        <v>1470</v>
      </c>
      <c r="F803" s="47" t="str">
        <f>+Empresa_Centro[[#This Row],[Codigo Centro Gestion]]&amp;" - "&amp;Empresa_Centro[[#This Row],[Nombre Centro Gestion]]</f>
        <v>10502104 - Labbé 1172-Ventas</v>
      </c>
    </row>
    <row r="804" spans="1:6" x14ac:dyDescent="0.25">
      <c r="A804" s="43">
        <v>76</v>
      </c>
      <c r="B804" t="s">
        <v>59</v>
      </c>
      <c r="C804" s="43" t="s">
        <v>437</v>
      </c>
      <c r="D804" s="43">
        <v>10502105</v>
      </c>
      <c r="E804" t="s">
        <v>1471</v>
      </c>
      <c r="F804" s="47" t="str">
        <f>+Empresa_Centro[[#This Row],[Codigo Centro Gestion]]&amp;" - "&amp;Empresa_Centro[[#This Row],[Nombre Centro Gestion]]</f>
        <v>10502105 - Labbé 1172-Clientes</v>
      </c>
    </row>
    <row r="805" spans="1:6" x14ac:dyDescent="0.25">
      <c r="A805" s="43">
        <v>76</v>
      </c>
      <c r="B805" t="s">
        <v>59</v>
      </c>
      <c r="C805" s="43" t="s">
        <v>437</v>
      </c>
      <c r="D805" s="43">
        <v>10502204</v>
      </c>
      <c r="E805" t="s">
        <v>1472</v>
      </c>
      <c r="F805" s="47" t="str">
        <f>+Empresa_Centro[[#This Row],[Codigo Centro Gestion]]&amp;" - "&amp;Empresa_Centro[[#This Row],[Nombre Centro Gestion]]</f>
        <v>10502204 - Labbé 1172-Proyecto</v>
      </c>
    </row>
    <row r="806" spans="1:6" x14ac:dyDescent="0.25">
      <c r="A806" s="43">
        <v>76</v>
      </c>
      <c r="B806" t="s">
        <v>59</v>
      </c>
      <c r="C806" s="43" t="s">
        <v>437</v>
      </c>
      <c r="D806" s="43">
        <v>10502301</v>
      </c>
      <c r="E806" t="s">
        <v>1473</v>
      </c>
      <c r="F806" s="47" t="str">
        <f>+Empresa_Centro[[#This Row],[Codigo Centro Gestion]]&amp;" - "&amp;Empresa_Centro[[#This Row],[Nombre Centro Gestion]]</f>
        <v>10502301 - Labbé 1172-GAF</v>
      </c>
    </row>
    <row r="807" spans="1:6" x14ac:dyDescent="0.25">
      <c r="A807" s="43">
        <v>76</v>
      </c>
      <c r="B807" t="s">
        <v>59</v>
      </c>
      <c r="C807" s="43" t="s">
        <v>437</v>
      </c>
      <c r="D807" s="43">
        <v>10502505</v>
      </c>
      <c r="E807" t="s">
        <v>1474</v>
      </c>
      <c r="F807" s="47" t="str">
        <f>+Empresa_Centro[[#This Row],[Codigo Centro Gestion]]&amp;" - "&amp;Empresa_Centro[[#This Row],[Nombre Centro Gestion]]</f>
        <v>10502505 - Labbé 1172-PV Inmob.</v>
      </c>
    </row>
    <row r="808" spans="1:6" x14ac:dyDescent="0.25">
      <c r="A808" s="43">
        <v>76</v>
      </c>
      <c r="B808" t="s">
        <v>59</v>
      </c>
      <c r="C808" s="43" t="s">
        <v>437</v>
      </c>
      <c r="D808" s="43">
        <v>10502506</v>
      </c>
      <c r="E808" t="s">
        <v>1475</v>
      </c>
      <c r="F808" s="47" t="str">
        <f>+Empresa_Centro[[#This Row],[Codigo Centro Gestion]]&amp;" - "&amp;Empresa_Centro[[#This Row],[Nombre Centro Gestion]]</f>
        <v>10502506 - Labbé 1172-Depto.Técnico</v>
      </c>
    </row>
    <row r="809" spans="1:6" x14ac:dyDescent="0.25">
      <c r="A809" s="43">
        <v>45</v>
      </c>
      <c r="B809" t="s">
        <v>404</v>
      </c>
      <c r="C809" s="43" t="s">
        <v>405</v>
      </c>
      <c r="D809" s="43">
        <v>70309</v>
      </c>
      <c r="E809" t="s">
        <v>252</v>
      </c>
      <c r="F809" s="47" t="str">
        <f>+Empresa_Centro[[#This Row],[Codigo Centro Gestion]]&amp;" - "&amp;Empresa_Centro[[#This Row],[Nombre Centro Gestion]]</f>
        <v>70309 - OFICINA CENTRAL</v>
      </c>
    </row>
    <row r="810" spans="1:6" x14ac:dyDescent="0.25">
      <c r="A810" s="43">
        <v>70</v>
      </c>
      <c r="B810" t="s">
        <v>60</v>
      </c>
      <c r="C810" s="43" t="s">
        <v>432</v>
      </c>
      <c r="D810" s="43">
        <v>296</v>
      </c>
      <c r="E810" t="s">
        <v>482</v>
      </c>
      <c r="F810" s="47" t="str">
        <f>+Empresa_Centro[[#This Row],[Codigo Centro Gestion]]&amp;" - "&amp;Empresa_Centro[[#This Row],[Nombre Centro Gestion]]</f>
        <v>296 - Equipo en Mantención</v>
      </c>
    </row>
    <row r="811" spans="1:6" x14ac:dyDescent="0.25">
      <c r="A811" s="43">
        <v>70</v>
      </c>
      <c r="B811" t="s">
        <v>60</v>
      </c>
      <c r="C811" s="43" t="s">
        <v>432</v>
      </c>
      <c r="D811" s="43">
        <v>367</v>
      </c>
      <c r="E811" t="s">
        <v>498</v>
      </c>
      <c r="F811" s="47" t="str">
        <f>+Empresa_Centro[[#This Row],[Codigo Centro Gestion]]&amp;" - "&amp;Empresa_Centro[[#This Row],[Nombre Centro Gestion]]</f>
        <v>367 - Edificio Pedro de la Barra Ltda</v>
      </c>
    </row>
    <row r="812" spans="1:6" x14ac:dyDescent="0.25">
      <c r="A812" s="43">
        <v>70</v>
      </c>
      <c r="B812" t="s">
        <v>60</v>
      </c>
      <c r="C812" s="43" t="s">
        <v>432</v>
      </c>
      <c r="D812" s="43">
        <v>368</v>
      </c>
      <c r="E812" t="s">
        <v>499</v>
      </c>
      <c r="F812" s="47" t="str">
        <f>+Empresa_Centro[[#This Row],[Codigo Centro Gestion]]&amp;" - "&amp;Empresa_Centro[[#This Row],[Nombre Centro Gestion]]</f>
        <v>368 - Condominio Manuel Jesus Rivera 2 Ltda</v>
      </c>
    </row>
    <row r="813" spans="1:6" x14ac:dyDescent="0.25">
      <c r="A813" s="43">
        <v>70</v>
      </c>
      <c r="B813" t="s">
        <v>60</v>
      </c>
      <c r="C813" s="43" t="s">
        <v>432</v>
      </c>
      <c r="D813" s="43">
        <v>369</v>
      </c>
      <c r="E813" t="s">
        <v>500</v>
      </c>
      <c r="F813" s="47" t="str">
        <f>+Empresa_Centro[[#This Row],[Codigo Centro Gestion]]&amp;" - "&amp;Empresa_Centro[[#This Row],[Nombre Centro Gestion]]</f>
        <v>369 - Carmen Ltda</v>
      </c>
    </row>
    <row r="814" spans="1:6" x14ac:dyDescent="0.25">
      <c r="A814" s="43">
        <v>70</v>
      </c>
      <c r="B814" t="s">
        <v>60</v>
      </c>
      <c r="C814" s="43" t="s">
        <v>432</v>
      </c>
      <c r="D814" s="43">
        <v>371</v>
      </c>
      <c r="E814" t="s">
        <v>502</v>
      </c>
      <c r="F814" s="47" t="str">
        <f>+Empresa_Centro[[#This Row],[Codigo Centro Gestion]]&amp;" - "&amp;Empresa_Centro[[#This Row],[Nombre Centro Gestion]]</f>
        <v>371 - Manuel Jesus Rivera Lote 1 Ltda</v>
      </c>
    </row>
    <row r="815" spans="1:6" x14ac:dyDescent="0.25">
      <c r="A815" s="43">
        <v>70</v>
      </c>
      <c r="B815" t="s">
        <v>60</v>
      </c>
      <c r="C815" s="43" t="s">
        <v>432</v>
      </c>
      <c r="D815" s="43">
        <v>372</v>
      </c>
      <c r="E815" t="s">
        <v>503</v>
      </c>
      <c r="F815" s="47" t="str">
        <f>+Empresa_Centro[[#This Row],[Codigo Centro Gestion]]&amp;" - "&amp;Empresa_Centro[[#This Row],[Nombre Centro Gestion]]</f>
        <v>372 - El Yodo Ltda</v>
      </c>
    </row>
    <row r="816" spans="1:6" x14ac:dyDescent="0.25">
      <c r="A816" s="43">
        <v>70</v>
      </c>
      <c r="B816" t="s">
        <v>60</v>
      </c>
      <c r="C816" s="43" t="s">
        <v>432</v>
      </c>
      <c r="D816" s="43">
        <v>373</v>
      </c>
      <c r="E816" t="s">
        <v>4304</v>
      </c>
      <c r="F816" s="47" t="str">
        <f>+Empresa_Centro[[#This Row],[Codigo Centro Gestion]]&amp;" - "&amp;Empresa_Centro[[#This Row],[Nombre Centro Gestion]]</f>
        <v>373 - Edificio Teresa Vial Ltda</v>
      </c>
    </row>
    <row r="817" spans="1:6" x14ac:dyDescent="0.25">
      <c r="A817" s="43">
        <v>70</v>
      </c>
      <c r="B817" t="s">
        <v>60</v>
      </c>
      <c r="C817" s="43" t="s">
        <v>432</v>
      </c>
      <c r="D817" s="43">
        <v>374</v>
      </c>
      <c r="E817" t="s">
        <v>4310</v>
      </c>
      <c r="F817" s="47" t="str">
        <f>+Empresa_Centro[[#This Row],[Codigo Centro Gestion]]&amp;" - "&amp;Empresa_Centro[[#This Row],[Nombre Centro Gestion]]</f>
        <v>374 - DS49 Valle Alto Placilla Ltda</v>
      </c>
    </row>
    <row r="818" spans="1:6" x14ac:dyDescent="0.25">
      <c r="A818" s="43">
        <v>70</v>
      </c>
      <c r="B818" t="s">
        <v>60</v>
      </c>
      <c r="C818" s="43" t="s">
        <v>432</v>
      </c>
      <c r="D818" s="43">
        <v>8062</v>
      </c>
      <c r="E818" t="s">
        <v>506</v>
      </c>
      <c r="F818" s="47" t="str">
        <f>+Empresa_Centro[[#This Row],[Codigo Centro Gestion]]&amp;" - "&amp;Empresa_Centro[[#This Row],[Nombre Centro Gestion]]</f>
        <v>8062 - Entrega Cumbres del Mar</v>
      </c>
    </row>
    <row r="819" spans="1:6" x14ac:dyDescent="0.25">
      <c r="A819" s="43">
        <v>70</v>
      </c>
      <c r="B819" t="s">
        <v>60</v>
      </c>
      <c r="C819" s="43" t="s">
        <v>432</v>
      </c>
      <c r="D819" s="43">
        <v>8167</v>
      </c>
      <c r="E819" t="s">
        <v>507</v>
      </c>
      <c r="F819" s="47" t="str">
        <f>+Empresa_Centro[[#This Row],[Codigo Centro Gestion]]&amp;" - "&amp;Empresa_Centro[[#This Row],[Nombre Centro Gestion]]</f>
        <v>8167 - Entrega Palmas del Sur 1</v>
      </c>
    </row>
    <row r="820" spans="1:6" x14ac:dyDescent="0.25">
      <c r="A820" s="43">
        <v>70</v>
      </c>
      <c r="B820" t="s">
        <v>60</v>
      </c>
      <c r="C820" s="43" t="s">
        <v>432</v>
      </c>
      <c r="D820" s="43">
        <v>8190</v>
      </c>
      <c r="E820" t="s">
        <v>508</v>
      </c>
      <c r="F820" s="47" t="str">
        <f>+Empresa_Centro[[#This Row],[Codigo Centro Gestion]]&amp;" - "&amp;Empresa_Centro[[#This Row],[Nombre Centro Gestion]]</f>
        <v>8190 - Entrega Altos de Castilla</v>
      </c>
    </row>
    <row r="821" spans="1:6" x14ac:dyDescent="0.25">
      <c r="A821" s="43">
        <v>70</v>
      </c>
      <c r="B821" t="s">
        <v>60</v>
      </c>
      <c r="C821" s="43" t="s">
        <v>432</v>
      </c>
      <c r="D821" s="43">
        <v>8200</v>
      </c>
      <c r="E821" t="s">
        <v>509</v>
      </c>
      <c r="F821" s="47" t="str">
        <f>+Empresa_Centro[[#This Row],[Codigo Centro Gestion]]&amp;" - "&amp;Empresa_Centro[[#This Row],[Nombre Centro Gestion]]</f>
        <v>8200 - Entrega Edificio Terrazas del Sol</v>
      </c>
    </row>
    <row r="822" spans="1:6" x14ac:dyDescent="0.25">
      <c r="A822" s="43">
        <v>70</v>
      </c>
      <c r="B822" t="s">
        <v>60</v>
      </c>
      <c r="C822" s="43" t="s">
        <v>432</v>
      </c>
      <c r="D822" s="43">
        <v>8209</v>
      </c>
      <c r="E822" t="s">
        <v>510</v>
      </c>
      <c r="F822" s="47" t="str">
        <f>+Empresa_Centro[[#This Row],[Codigo Centro Gestion]]&amp;" - "&amp;Empresa_Centro[[#This Row],[Nombre Centro Gestion]]</f>
        <v>8209 - Entrega Edificio Bulnes Labbe</v>
      </c>
    </row>
    <row r="823" spans="1:6" x14ac:dyDescent="0.25">
      <c r="A823" s="43">
        <v>70</v>
      </c>
      <c r="B823" t="s">
        <v>60</v>
      </c>
      <c r="C823" s="43" t="s">
        <v>432</v>
      </c>
      <c r="D823" s="43">
        <v>8211</v>
      </c>
      <c r="E823" t="s">
        <v>511</v>
      </c>
      <c r="F823" s="47" t="str">
        <f>+Empresa_Centro[[#This Row],[Codigo Centro Gestion]]&amp;" - "&amp;Empresa_Centro[[#This Row],[Nombre Centro Gestion]]</f>
        <v>8211 - Entrega Vista del Valle II Edificio B</v>
      </c>
    </row>
    <row r="824" spans="1:6" x14ac:dyDescent="0.25">
      <c r="A824" s="43">
        <v>70</v>
      </c>
      <c r="B824" t="s">
        <v>60</v>
      </c>
      <c r="C824" s="43" t="s">
        <v>432</v>
      </c>
      <c r="D824" s="43">
        <v>8212</v>
      </c>
      <c r="E824" t="s">
        <v>512</v>
      </c>
      <c r="F824" s="47" t="str">
        <f>+Empresa_Centro[[#This Row],[Codigo Centro Gestion]]&amp;" - "&amp;Empresa_Centro[[#This Row],[Nombre Centro Gestion]]</f>
        <v>8212 - Entrega Edificio Constantino 54</v>
      </c>
    </row>
    <row r="825" spans="1:6" x14ac:dyDescent="0.25">
      <c r="A825" s="43">
        <v>70</v>
      </c>
      <c r="B825" t="s">
        <v>60</v>
      </c>
      <c r="C825" s="43" t="s">
        <v>432</v>
      </c>
      <c r="D825" s="43">
        <v>8213</v>
      </c>
      <c r="E825" t="s">
        <v>513</v>
      </c>
      <c r="F825" s="47" t="str">
        <f>+Empresa_Centro[[#This Row],[Codigo Centro Gestion]]&amp;" - "&amp;Empresa_Centro[[#This Row],[Nombre Centro Gestion]]</f>
        <v>8213 - Entrega Edificio Maipu</v>
      </c>
    </row>
    <row r="826" spans="1:6" x14ac:dyDescent="0.25">
      <c r="A826" s="43">
        <v>70</v>
      </c>
      <c r="B826" t="s">
        <v>60</v>
      </c>
      <c r="C826" s="43" t="s">
        <v>432</v>
      </c>
      <c r="D826" s="43">
        <v>8214</v>
      </c>
      <c r="E826" t="s">
        <v>514</v>
      </c>
      <c r="F826" s="47" t="str">
        <f>+Empresa_Centro[[#This Row],[Codigo Centro Gestion]]&amp;" - "&amp;Empresa_Centro[[#This Row],[Nombre Centro Gestion]]</f>
        <v>8214 - Entrega Edificio Recreo 250</v>
      </c>
    </row>
    <row r="827" spans="1:6" x14ac:dyDescent="0.25">
      <c r="A827" s="43">
        <v>70</v>
      </c>
      <c r="B827" t="s">
        <v>60</v>
      </c>
      <c r="C827" s="43" t="s">
        <v>432</v>
      </c>
      <c r="D827" s="43">
        <v>8215</v>
      </c>
      <c r="E827" t="s">
        <v>515</v>
      </c>
      <c r="F827" s="47" t="str">
        <f>+Empresa_Centro[[#This Row],[Codigo Centro Gestion]]&amp;" - "&amp;Empresa_Centro[[#This Row],[Nombre Centro Gestion]]</f>
        <v>8215 - Entrega Alto Marañon Torre A</v>
      </c>
    </row>
    <row r="828" spans="1:6" x14ac:dyDescent="0.25">
      <c r="A828" s="43">
        <v>70</v>
      </c>
      <c r="B828" t="s">
        <v>60</v>
      </c>
      <c r="C828" s="43" t="s">
        <v>432</v>
      </c>
      <c r="D828" s="43">
        <v>8217</v>
      </c>
      <c r="E828" t="s">
        <v>516</v>
      </c>
      <c r="F828" s="47" t="str">
        <f>+Empresa_Centro[[#This Row],[Codigo Centro Gestion]]&amp;" - "&amp;Empresa_Centro[[#This Row],[Nombre Centro Gestion]]</f>
        <v>8217 - Entrega Edificio Duble Almeyda 2621</v>
      </c>
    </row>
    <row r="829" spans="1:6" x14ac:dyDescent="0.25">
      <c r="A829" s="43">
        <v>70</v>
      </c>
      <c r="B829" t="s">
        <v>60</v>
      </c>
      <c r="C829" s="43" t="s">
        <v>432</v>
      </c>
      <c r="D829" s="43">
        <v>8218</v>
      </c>
      <c r="E829" t="s">
        <v>517</v>
      </c>
      <c r="F829" s="47" t="str">
        <f>+Empresa_Centro[[#This Row],[Codigo Centro Gestion]]&amp;" - "&amp;Empresa_Centro[[#This Row],[Nombre Centro Gestion]]</f>
        <v>8218 - Entrega Edificio Jose Domingo Cañas 2640</v>
      </c>
    </row>
    <row r="830" spans="1:6" x14ac:dyDescent="0.25">
      <c r="A830" s="43">
        <v>70</v>
      </c>
      <c r="B830" t="s">
        <v>60</v>
      </c>
      <c r="C830" s="43" t="s">
        <v>432</v>
      </c>
      <c r="D830" s="43">
        <v>8220</v>
      </c>
      <c r="E830" t="s">
        <v>518</v>
      </c>
      <c r="F830" s="47" t="str">
        <f>+Empresa_Centro[[#This Row],[Codigo Centro Gestion]]&amp;" - "&amp;Empresa_Centro[[#This Row],[Nombre Centro Gestion]]</f>
        <v>8220 - Entrega Edificio Uno Norte</v>
      </c>
    </row>
    <row r="831" spans="1:6" x14ac:dyDescent="0.25">
      <c r="A831" s="43">
        <v>70</v>
      </c>
      <c r="B831" t="s">
        <v>60</v>
      </c>
      <c r="C831" s="43" t="s">
        <v>432</v>
      </c>
      <c r="D831" s="43">
        <v>8221</v>
      </c>
      <c r="E831" t="s">
        <v>519</v>
      </c>
      <c r="F831" s="47" t="str">
        <f>+Empresa_Centro[[#This Row],[Codigo Centro Gestion]]&amp;" - "&amp;Empresa_Centro[[#This Row],[Nombre Centro Gestion]]</f>
        <v>8221 - Entrega Edificio Fernandez Albano 192</v>
      </c>
    </row>
    <row r="832" spans="1:6" x14ac:dyDescent="0.25">
      <c r="A832" s="43">
        <v>70</v>
      </c>
      <c r="B832" t="s">
        <v>60</v>
      </c>
      <c r="C832" s="43" t="s">
        <v>432</v>
      </c>
      <c r="D832" s="43">
        <v>8225</v>
      </c>
      <c r="E832" t="s">
        <v>520</v>
      </c>
      <c r="F832" s="47" t="str">
        <f>+Empresa_Centro[[#This Row],[Codigo Centro Gestion]]&amp;" - "&amp;Empresa_Centro[[#This Row],[Nombre Centro Gestion]]</f>
        <v>8225 - Entrega Parque Ingles</v>
      </c>
    </row>
    <row r="833" spans="1:6" x14ac:dyDescent="0.25">
      <c r="A833" s="43">
        <v>70</v>
      </c>
      <c r="B833" t="s">
        <v>60</v>
      </c>
      <c r="C833" s="43" t="s">
        <v>432</v>
      </c>
      <c r="D833" s="43">
        <v>8226</v>
      </c>
      <c r="E833" t="s">
        <v>521</v>
      </c>
      <c r="F833" s="47" t="str">
        <f>+Empresa_Centro[[#This Row],[Codigo Centro Gestion]]&amp;" - "&amp;Empresa_Centro[[#This Row],[Nombre Centro Gestion]]</f>
        <v>8226 - Entrega Conde del Maule 4676</v>
      </c>
    </row>
    <row r="834" spans="1:6" x14ac:dyDescent="0.25">
      <c r="A834" s="43">
        <v>70</v>
      </c>
      <c r="B834" t="s">
        <v>60</v>
      </c>
      <c r="C834" s="43" t="s">
        <v>432</v>
      </c>
      <c r="D834" s="43">
        <v>8228</v>
      </c>
      <c r="E834" t="s">
        <v>522</v>
      </c>
      <c r="F834" s="47" t="str">
        <f>+Empresa_Centro[[#This Row],[Codigo Centro Gestion]]&amp;" - "&amp;Empresa_Centro[[#This Row],[Nombre Centro Gestion]]</f>
        <v>8228 - Entrega Edificio Briones Luco</v>
      </c>
    </row>
    <row r="835" spans="1:6" x14ac:dyDescent="0.25">
      <c r="A835" s="43">
        <v>70</v>
      </c>
      <c r="B835" t="s">
        <v>60</v>
      </c>
      <c r="C835" s="43" t="s">
        <v>432</v>
      </c>
      <c r="D835" s="43">
        <v>8229</v>
      </c>
      <c r="E835" t="s">
        <v>523</v>
      </c>
      <c r="F835" s="47" t="str">
        <f>+Empresa_Centro[[#This Row],[Codigo Centro Gestion]]&amp;" - "&amp;Empresa_Centro[[#This Row],[Nombre Centro Gestion]]</f>
        <v>8229 - Entrega Vista Las Palmas</v>
      </c>
    </row>
    <row r="836" spans="1:6" x14ac:dyDescent="0.25">
      <c r="A836" s="43">
        <v>70</v>
      </c>
      <c r="B836" t="s">
        <v>60</v>
      </c>
      <c r="C836" s="43" t="s">
        <v>432</v>
      </c>
      <c r="D836" s="43">
        <v>8230</v>
      </c>
      <c r="E836" t="s">
        <v>524</v>
      </c>
      <c r="F836" s="47" t="str">
        <f>+Empresa_Centro[[#This Row],[Codigo Centro Gestion]]&amp;" - "&amp;Empresa_Centro[[#This Row],[Nombre Centro Gestion]]</f>
        <v>8230 - Entrega Condominio Manuel Jesus Rivera</v>
      </c>
    </row>
    <row r="837" spans="1:6" x14ac:dyDescent="0.25">
      <c r="A837" s="43">
        <v>70</v>
      </c>
      <c r="B837" t="s">
        <v>60</v>
      </c>
      <c r="C837" s="43" t="s">
        <v>432</v>
      </c>
      <c r="D837" s="43">
        <v>8231</v>
      </c>
      <c r="E837" t="s">
        <v>525</v>
      </c>
      <c r="F837" s="47" t="str">
        <f>+Empresa_Centro[[#This Row],[Codigo Centro Gestion]]&amp;" - "&amp;Empresa_Centro[[#This Row],[Nombre Centro Gestion]]</f>
        <v>8231 - Entrega Edificio Guillermo Mann</v>
      </c>
    </row>
    <row r="838" spans="1:6" x14ac:dyDescent="0.25">
      <c r="A838" s="43">
        <v>70</v>
      </c>
      <c r="B838" t="s">
        <v>60</v>
      </c>
      <c r="C838" s="43" t="s">
        <v>432</v>
      </c>
      <c r="D838" s="43">
        <v>8232</v>
      </c>
      <c r="E838" t="s">
        <v>526</v>
      </c>
      <c r="F838" s="47" t="str">
        <f>+Empresa_Centro[[#This Row],[Codigo Centro Gestion]]&amp;" - "&amp;Empresa_Centro[[#This Row],[Nombre Centro Gestion]]</f>
        <v>8232 - Entrega Edificio Coronel Souper</v>
      </c>
    </row>
    <row r="839" spans="1:6" x14ac:dyDescent="0.25">
      <c r="A839" s="43">
        <v>70</v>
      </c>
      <c r="B839" t="s">
        <v>60</v>
      </c>
      <c r="C839" s="43" t="s">
        <v>432</v>
      </c>
      <c r="D839" s="43">
        <v>8235</v>
      </c>
      <c r="E839" t="s">
        <v>527</v>
      </c>
      <c r="F839" s="47" t="str">
        <f>+Empresa_Centro[[#This Row],[Codigo Centro Gestion]]&amp;" - "&amp;Empresa_Centro[[#This Row],[Nombre Centro Gestion]]</f>
        <v>8235 - Entrega Vista del Valle III</v>
      </c>
    </row>
    <row r="840" spans="1:6" x14ac:dyDescent="0.25">
      <c r="A840" s="43">
        <v>70</v>
      </c>
      <c r="B840" t="s">
        <v>60</v>
      </c>
      <c r="C840" s="43" t="s">
        <v>432</v>
      </c>
      <c r="D840" s="43">
        <v>8236</v>
      </c>
      <c r="E840" t="s">
        <v>528</v>
      </c>
      <c r="F840" s="47" t="str">
        <f>+Empresa_Centro[[#This Row],[Codigo Centro Gestion]]&amp;" - "&amp;Empresa_Centro[[#This Row],[Nombre Centro Gestion]]</f>
        <v>8236 - Entrega Edificio Pedro Prado</v>
      </c>
    </row>
    <row r="841" spans="1:6" x14ac:dyDescent="0.25">
      <c r="A841" s="43">
        <v>70</v>
      </c>
      <c r="B841" t="s">
        <v>60</v>
      </c>
      <c r="C841" s="43" t="s">
        <v>432</v>
      </c>
      <c r="D841" s="43">
        <v>8237</v>
      </c>
      <c r="E841" t="s">
        <v>529</v>
      </c>
      <c r="F841" s="47" t="str">
        <f>+Empresa_Centro[[#This Row],[Codigo Centro Gestion]]&amp;" - "&amp;Empresa_Centro[[#This Row],[Nombre Centro Gestion]]</f>
        <v>8237 - Entrega CUMBRE PLACERES</v>
      </c>
    </row>
    <row r="842" spans="1:6" x14ac:dyDescent="0.25">
      <c r="A842" s="43">
        <v>70</v>
      </c>
      <c r="B842" t="s">
        <v>60</v>
      </c>
      <c r="C842" s="43" t="s">
        <v>432</v>
      </c>
      <c r="D842" s="43">
        <v>8239</v>
      </c>
      <c r="E842" t="s">
        <v>530</v>
      </c>
      <c r="F842" s="47" t="str">
        <f>+Empresa_Centro[[#This Row],[Codigo Centro Gestion]]&amp;" - "&amp;Empresa_Centro[[#This Row],[Nombre Centro Gestion]]</f>
        <v>8239 - Entrega Alto Mirador</v>
      </c>
    </row>
    <row r="843" spans="1:6" x14ac:dyDescent="0.25">
      <c r="A843" s="43">
        <v>70</v>
      </c>
      <c r="B843" t="s">
        <v>60</v>
      </c>
      <c r="C843" s="43" t="s">
        <v>432</v>
      </c>
      <c r="D843" s="43">
        <v>8241</v>
      </c>
      <c r="E843" t="s">
        <v>531</v>
      </c>
      <c r="F843" s="47" t="str">
        <f>+Empresa_Centro[[#This Row],[Codigo Centro Gestion]]&amp;" - "&amp;Empresa_Centro[[#This Row],[Nombre Centro Gestion]]</f>
        <v>8241 - Entrega Parque Marañon Torre B</v>
      </c>
    </row>
    <row r="844" spans="1:6" x14ac:dyDescent="0.25">
      <c r="A844" s="43">
        <v>70</v>
      </c>
      <c r="B844" t="s">
        <v>60</v>
      </c>
      <c r="C844" s="43" t="s">
        <v>432</v>
      </c>
      <c r="D844" s="43">
        <v>8242</v>
      </c>
      <c r="E844" t="s">
        <v>532</v>
      </c>
      <c r="F844" s="47" t="str">
        <f>+Empresa_Centro[[#This Row],[Codigo Centro Gestion]]&amp;" - "&amp;Empresa_Centro[[#This Row],[Nombre Centro Gestion]]</f>
        <v>8242 - Entrega Edificio Leon Prado</v>
      </c>
    </row>
    <row r="845" spans="1:6" x14ac:dyDescent="0.25">
      <c r="A845" s="43">
        <v>70</v>
      </c>
      <c r="B845" t="s">
        <v>60</v>
      </c>
      <c r="C845" s="43" t="s">
        <v>432</v>
      </c>
      <c r="D845" s="43">
        <v>8243</v>
      </c>
      <c r="E845" t="s">
        <v>533</v>
      </c>
      <c r="F845" s="47" t="str">
        <f>+Empresa_Centro[[#This Row],[Codigo Centro Gestion]]&amp;" - "&amp;Empresa_Centro[[#This Row],[Nombre Centro Gestion]]</f>
        <v>8243 - Entrega Edificio Garcia Reyes</v>
      </c>
    </row>
    <row r="846" spans="1:6" x14ac:dyDescent="0.25">
      <c r="A846" s="43">
        <v>70</v>
      </c>
      <c r="B846" t="s">
        <v>60</v>
      </c>
      <c r="C846" s="43" t="s">
        <v>432</v>
      </c>
      <c r="D846" s="43">
        <v>8245</v>
      </c>
      <c r="E846" t="s">
        <v>534</v>
      </c>
      <c r="F846" s="47" t="str">
        <f>+Empresa_Centro[[#This Row],[Codigo Centro Gestion]]&amp;" - "&amp;Empresa_Centro[[#This Row],[Nombre Centro Gestion]]</f>
        <v>8245 - Entrega Edificio La Coruña</v>
      </c>
    </row>
    <row r="847" spans="1:6" x14ac:dyDescent="0.25">
      <c r="A847" s="43">
        <v>70</v>
      </c>
      <c r="B847" t="s">
        <v>60</v>
      </c>
      <c r="C847" s="43" t="s">
        <v>432</v>
      </c>
      <c r="D847" s="43">
        <v>8248</v>
      </c>
      <c r="E847" t="s">
        <v>535</v>
      </c>
      <c r="F847" s="47" t="str">
        <f>+Empresa_Centro[[#This Row],[Codigo Centro Gestion]]&amp;" - "&amp;Empresa_Centro[[#This Row],[Nombre Centro Gestion]]</f>
        <v>8248 - Entrega Alto Marañon Torre B</v>
      </c>
    </row>
    <row r="848" spans="1:6" x14ac:dyDescent="0.25">
      <c r="A848" s="43">
        <v>70</v>
      </c>
      <c r="B848" t="s">
        <v>60</v>
      </c>
      <c r="C848" s="43" t="s">
        <v>432</v>
      </c>
      <c r="D848" s="43">
        <v>8251</v>
      </c>
      <c r="E848" t="s">
        <v>536</v>
      </c>
      <c r="F848" s="47" t="str">
        <f>+Empresa_Centro[[#This Row],[Codigo Centro Gestion]]&amp;" - "&amp;Empresa_Centro[[#This Row],[Nombre Centro Gestion]]</f>
        <v>8251 - Entrega Vista Horizonte</v>
      </c>
    </row>
    <row r="849" spans="1:6" x14ac:dyDescent="0.25">
      <c r="A849" s="43">
        <v>70</v>
      </c>
      <c r="B849" t="s">
        <v>60</v>
      </c>
      <c r="C849" s="43" t="s">
        <v>432</v>
      </c>
      <c r="D849" s="43">
        <v>8252</v>
      </c>
      <c r="E849" t="s">
        <v>537</v>
      </c>
      <c r="F849" s="47" t="str">
        <f>+Empresa_Centro[[#This Row],[Codigo Centro Gestion]]&amp;" - "&amp;Empresa_Centro[[#This Row],[Nombre Centro Gestion]]</f>
        <v>8252 - Entrega Edificio Castillo Urizar</v>
      </c>
    </row>
    <row r="850" spans="1:6" x14ac:dyDescent="0.25">
      <c r="A850" s="43">
        <v>70</v>
      </c>
      <c r="B850" t="s">
        <v>60</v>
      </c>
      <c r="C850" s="43" t="s">
        <v>432</v>
      </c>
      <c r="D850" s="43">
        <v>8254</v>
      </c>
      <c r="E850" t="s">
        <v>538</v>
      </c>
      <c r="F850" s="47" t="str">
        <f>+Empresa_Centro[[#This Row],[Codigo Centro Gestion]]&amp;" - "&amp;Empresa_Centro[[#This Row],[Nombre Centro Gestion]]</f>
        <v>8254 - Entrega Trinidad Ramirez</v>
      </c>
    </row>
    <row r="851" spans="1:6" x14ac:dyDescent="0.25">
      <c r="A851" s="43">
        <v>70</v>
      </c>
      <c r="B851" t="s">
        <v>60</v>
      </c>
      <c r="C851" s="43" t="s">
        <v>432</v>
      </c>
      <c r="D851" s="43">
        <v>8255</v>
      </c>
      <c r="E851" t="s">
        <v>539</v>
      </c>
      <c r="F851" s="47" t="str">
        <f>+Empresa_Centro[[#This Row],[Codigo Centro Gestion]]&amp;" - "&amp;Empresa_Centro[[#This Row],[Nombre Centro Gestion]]</f>
        <v>8255 - Entrega Condominio Lago Ranco</v>
      </c>
    </row>
    <row r="852" spans="1:6" x14ac:dyDescent="0.25">
      <c r="A852" s="43">
        <v>70</v>
      </c>
      <c r="B852" t="s">
        <v>60</v>
      </c>
      <c r="C852" s="43" t="s">
        <v>432</v>
      </c>
      <c r="D852" s="43">
        <v>8256</v>
      </c>
      <c r="E852" t="s">
        <v>540</v>
      </c>
      <c r="F852" s="47" t="str">
        <f>+Empresa_Centro[[#This Row],[Codigo Centro Gestion]]&amp;" - "&amp;Empresa_Centro[[#This Row],[Nombre Centro Gestion]]</f>
        <v>8256 - Entrega Edificio Lynch</v>
      </c>
    </row>
    <row r="853" spans="1:6" x14ac:dyDescent="0.25">
      <c r="A853" s="43">
        <v>70</v>
      </c>
      <c r="B853" t="s">
        <v>60</v>
      </c>
      <c r="C853" s="43" t="s">
        <v>432</v>
      </c>
      <c r="D853" s="43">
        <v>8258</v>
      </c>
      <c r="E853" t="s">
        <v>541</v>
      </c>
      <c r="F853" s="47" t="str">
        <f>+Empresa_Centro[[#This Row],[Codigo Centro Gestion]]&amp;" - "&amp;Empresa_Centro[[#This Row],[Nombre Centro Gestion]]</f>
        <v>8258 - Entrega Condominio Jorge Cáceres Etapa 1</v>
      </c>
    </row>
    <row r="854" spans="1:6" x14ac:dyDescent="0.25">
      <c r="A854" s="43">
        <v>70</v>
      </c>
      <c r="B854" t="s">
        <v>60</v>
      </c>
      <c r="C854" s="43" t="s">
        <v>432</v>
      </c>
      <c r="D854" s="43">
        <v>8259</v>
      </c>
      <c r="E854" t="s">
        <v>542</v>
      </c>
      <c r="F854" s="47" t="str">
        <f>+Empresa_Centro[[#This Row],[Codigo Centro Gestion]]&amp;" - "&amp;Empresa_Centro[[#This Row],[Nombre Centro Gestion]]</f>
        <v>8259 - Entrega Edificio Parque Urbano</v>
      </c>
    </row>
    <row r="855" spans="1:6" x14ac:dyDescent="0.25">
      <c r="A855" s="43">
        <v>70</v>
      </c>
      <c r="B855" t="s">
        <v>60</v>
      </c>
      <c r="C855" s="43" t="s">
        <v>432</v>
      </c>
      <c r="D855" s="43">
        <v>8260</v>
      </c>
      <c r="E855" t="s">
        <v>543</v>
      </c>
      <c r="F855" s="47" t="str">
        <f>+Empresa_Centro[[#This Row],[Codigo Centro Gestion]]&amp;" - "&amp;Empresa_Centro[[#This Row],[Nombre Centro Gestion]]</f>
        <v>8260 - Entrega Edificio Lia Aguirre</v>
      </c>
    </row>
    <row r="856" spans="1:6" x14ac:dyDescent="0.25">
      <c r="A856" s="43">
        <v>70</v>
      </c>
      <c r="B856" t="s">
        <v>60</v>
      </c>
      <c r="C856" s="43" t="s">
        <v>432</v>
      </c>
      <c r="D856" s="43">
        <v>8262</v>
      </c>
      <c r="E856" t="s">
        <v>544</v>
      </c>
      <c r="F856" s="47" t="str">
        <f>+Empresa_Centro[[#This Row],[Codigo Centro Gestion]]&amp;" - "&amp;Empresa_Centro[[#This Row],[Nombre Centro Gestion]]</f>
        <v>8262 - Entrega Alto Marañon 3</v>
      </c>
    </row>
    <row r="857" spans="1:6" x14ac:dyDescent="0.25">
      <c r="A857" s="43">
        <v>70</v>
      </c>
      <c r="B857" t="s">
        <v>60</v>
      </c>
      <c r="C857" s="43" t="s">
        <v>432</v>
      </c>
      <c r="D857" s="43">
        <v>8264</v>
      </c>
      <c r="E857" t="s">
        <v>545</v>
      </c>
      <c r="F857" s="47" t="str">
        <f>+Empresa_Centro[[#This Row],[Codigo Centro Gestion]]&amp;" - "&amp;Empresa_Centro[[#This Row],[Nombre Centro Gestion]]</f>
        <v>8264 - Entrega Edificio Libertad</v>
      </c>
    </row>
    <row r="858" spans="1:6" x14ac:dyDescent="0.25">
      <c r="A858" s="43">
        <v>70</v>
      </c>
      <c r="B858" t="s">
        <v>60</v>
      </c>
      <c r="C858" s="43" t="s">
        <v>432</v>
      </c>
      <c r="D858" s="43">
        <v>8301</v>
      </c>
      <c r="E858" t="s">
        <v>546</v>
      </c>
      <c r="F858" s="47" t="str">
        <f>+Empresa_Centro[[#This Row],[Codigo Centro Gestion]]&amp;" - "&amp;Empresa_Centro[[#This Row],[Nombre Centro Gestion]]</f>
        <v>8301 - Entrega Condominio Jorge Cáceres Etapa 2</v>
      </c>
    </row>
    <row r="859" spans="1:6" x14ac:dyDescent="0.25">
      <c r="A859" s="43">
        <v>70</v>
      </c>
      <c r="B859" t="s">
        <v>60</v>
      </c>
      <c r="C859" s="43" t="s">
        <v>432</v>
      </c>
      <c r="D859" s="43">
        <v>8303</v>
      </c>
      <c r="E859" t="s">
        <v>547</v>
      </c>
      <c r="F859" s="47" t="str">
        <f>+Empresa_Centro[[#This Row],[Codigo Centro Gestion]]&amp;" - "&amp;Empresa_Centro[[#This Row],[Nombre Centro Gestion]]</f>
        <v>8303 - Entrega Condominio Palmas del Sur II</v>
      </c>
    </row>
    <row r="860" spans="1:6" x14ac:dyDescent="0.25">
      <c r="A860" s="43">
        <v>70</v>
      </c>
      <c r="B860" t="s">
        <v>60</v>
      </c>
      <c r="C860" s="43" t="s">
        <v>432</v>
      </c>
      <c r="D860" s="43">
        <v>8304</v>
      </c>
      <c r="E860" t="s">
        <v>548</v>
      </c>
      <c r="F860" s="47" t="str">
        <f>+Empresa_Centro[[#This Row],[Codigo Centro Gestion]]&amp;" - "&amp;Empresa_Centro[[#This Row],[Nombre Centro Gestion]]</f>
        <v>8304 - Entrega Blanca Estela I Torre A y B</v>
      </c>
    </row>
    <row r="861" spans="1:6" x14ac:dyDescent="0.25">
      <c r="A861" s="43">
        <v>70</v>
      </c>
      <c r="B861" t="s">
        <v>60</v>
      </c>
      <c r="C861" s="43" t="s">
        <v>432</v>
      </c>
      <c r="D861" s="43">
        <v>8305</v>
      </c>
      <c r="E861" t="s">
        <v>551</v>
      </c>
      <c r="F861" s="47" t="str">
        <f>+Empresa_Centro[[#This Row],[Codigo Centro Gestion]]&amp;" - "&amp;Empresa_Centro[[#This Row],[Nombre Centro Gestion]]</f>
        <v>8305 - Entrega Condominio Parque del Sur Torre A</v>
      </c>
    </row>
    <row r="862" spans="1:6" x14ac:dyDescent="0.25">
      <c r="A862" s="43">
        <v>70</v>
      </c>
      <c r="B862" t="s">
        <v>60</v>
      </c>
      <c r="C862" s="43" t="s">
        <v>432</v>
      </c>
      <c r="D862" s="43">
        <v>8306</v>
      </c>
      <c r="E862" t="s">
        <v>549</v>
      </c>
      <c r="F862" s="47" t="str">
        <f>+Empresa_Centro[[#This Row],[Codigo Centro Gestion]]&amp;" - "&amp;Empresa_Centro[[#This Row],[Nombre Centro Gestion]]</f>
        <v>8306 - Entrega Edificio Latorre</v>
      </c>
    </row>
    <row r="863" spans="1:6" x14ac:dyDescent="0.25">
      <c r="A863" s="43">
        <v>70</v>
      </c>
      <c r="B863" t="s">
        <v>60</v>
      </c>
      <c r="C863" s="43" t="s">
        <v>432</v>
      </c>
      <c r="D863" s="43">
        <v>8359</v>
      </c>
      <c r="E863" t="s">
        <v>550</v>
      </c>
      <c r="F863" s="47" t="str">
        <f>+Empresa_Centro[[#This Row],[Codigo Centro Gestion]]&amp;" - "&amp;Empresa_Centro[[#This Row],[Nombre Centro Gestion]]</f>
        <v>8359 - Entrega Edificio Liparita</v>
      </c>
    </row>
    <row r="864" spans="1:6" x14ac:dyDescent="0.25">
      <c r="A864" s="43">
        <v>70</v>
      </c>
      <c r="B864" t="s">
        <v>60</v>
      </c>
      <c r="C864" s="43" t="s">
        <v>432</v>
      </c>
      <c r="D864" s="43">
        <v>9000</v>
      </c>
      <c r="E864" t="s">
        <v>552</v>
      </c>
      <c r="F864" s="47" t="str">
        <f>+Empresa_Centro[[#This Row],[Codigo Centro Gestion]]&amp;" - "&amp;Empresa_Centro[[#This Row],[Nombre Centro Gestion]]</f>
        <v>9000 - Postventa Oficina Central</v>
      </c>
    </row>
    <row r="865" spans="1:6" x14ac:dyDescent="0.25">
      <c r="A865" s="43">
        <v>70</v>
      </c>
      <c r="B865" t="s">
        <v>60</v>
      </c>
      <c r="C865" s="43" t="s">
        <v>432</v>
      </c>
      <c r="D865" s="43">
        <v>9001</v>
      </c>
      <c r="E865" t="s">
        <v>553</v>
      </c>
      <c r="F865" s="47" t="str">
        <f>+Empresa_Centro[[#This Row],[Codigo Centro Gestion]]&amp;" - "&amp;Empresa_Centro[[#This Row],[Nombre Centro Gestion]]</f>
        <v>9001 - PV Vistamar II</v>
      </c>
    </row>
    <row r="866" spans="1:6" x14ac:dyDescent="0.25">
      <c r="A866" s="43">
        <v>70</v>
      </c>
      <c r="B866" t="s">
        <v>60</v>
      </c>
      <c r="C866" s="43" t="s">
        <v>432</v>
      </c>
      <c r="D866" s="43">
        <v>9002</v>
      </c>
      <c r="E866" t="s">
        <v>554</v>
      </c>
      <c r="F866" s="47" t="str">
        <f>+Empresa_Centro[[#This Row],[Codigo Centro Gestion]]&amp;" - "&amp;Empresa_Centro[[#This Row],[Nombre Centro Gestion]]</f>
        <v>9002 - PV Placeres I</v>
      </c>
    </row>
    <row r="867" spans="1:6" x14ac:dyDescent="0.25">
      <c r="A867" s="43">
        <v>70</v>
      </c>
      <c r="B867" t="s">
        <v>60</v>
      </c>
      <c r="C867" s="43" t="s">
        <v>432</v>
      </c>
      <c r="D867" s="43">
        <v>9003</v>
      </c>
      <c r="E867" t="s">
        <v>555</v>
      </c>
      <c r="F867" s="47" t="str">
        <f>+Empresa_Centro[[#This Row],[Codigo Centro Gestion]]&amp;" - "&amp;Empresa_Centro[[#This Row],[Nombre Centro Gestion]]</f>
        <v>9003 - PV Placeres II</v>
      </c>
    </row>
    <row r="868" spans="1:6" x14ac:dyDescent="0.25">
      <c r="A868" s="43">
        <v>70</v>
      </c>
      <c r="B868" t="s">
        <v>60</v>
      </c>
      <c r="C868" s="43" t="s">
        <v>432</v>
      </c>
      <c r="D868" s="43">
        <v>9004</v>
      </c>
      <c r="E868" t="s">
        <v>556</v>
      </c>
      <c r="F868" s="47" t="str">
        <f>+Empresa_Centro[[#This Row],[Codigo Centro Gestion]]&amp;" - "&amp;Empresa_Centro[[#This Row],[Nombre Centro Gestion]]</f>
        <v>9004 - PV Meseta Atlántico</v>
      </c>
    </row>
    <row r="869" spans="1:6" x14ac:dyDescent="0.25">
      <c r="A869" s="43">
        <v>70</v>
      </c>
      <c r="B869" t="s">
        <v>60</v>
      </c>
      <c r="C869" s="43" t="s">
        <v>432</v>
      </c>
      <c r="D869" s="43">
        <v>9006</v>
      </c>
      <c r="E869" t="s">
        <v>557</v>
      </c>
      <c r="F869" s="47" t="str">
        <f>+Empresa_Centro[[#This Row],[Codigo Centro Gestion]]&amp;" - "&amp;Empresa_Centro[[#This Row],[Nombre Centro Gestion]]</f>
        <v>9006 - PV Parque Sacramentinos I</v>
      </c>
    </row>
    <row r="870" spans="1:6" x14ac:dyDescent="0.25">
      <c r="A870" s="43">
        <v>70</v>
      </c>
      <c r="B870" t="s">
        <v>60</v>
      </c>
      <c r="C870" s="43" t="s">
        <v>432</v>
      </c>
      <c r="D870" s="43">
        <v>9007</v>
      </c>
      <c r="E870" t="s">
        <v>558</v>
      </c>
      <c r="F870" s="47" t="str">
        <f>+Empresa_Centro[[#This Row],[Codigo Centro Gestion]]&amp;" - "&amp;Empresa_Centro[[#This Row],[Nombre Centro Gestion]]</f>
        <v>9007 - PV Atlanta</v>
      </c>
    </row>
    <row r="871" spans="1:6" x14ac:dyDescent="0.25">
      <c r="A871" s="43">
        <v>70</v>
      </c>
      <c r="B871" t="s">
        <v>60</v>
      </c>
      <c r="C871" s="43" t="s">
        <v>432</v>
      </c>
      <c r="D871" s="43">
        <v>9008</v>
      </c>
      <c r="E871" t="s">
        <v>559</v>
      </c>
      <c r="F871" s="47" t="str">
        <f>+Empresa_Centro[[#This Row],[Codigo Centro Gestion]]&amp;" - "&amp;Empresa_Centro[[#This Row],[Nombre Centro Gestion]]</f>
        <v>9008 - PV Consul. Andes</v>
      </c>
    </row>
    <row r="872" spans="1:6" x14ac:dyDescent="0.25">
      <c r="A872" s="43">
        <v>70</v>
      </c>
      <c r="B872" t="s">
        <v>60</v>
      </c>
      <c r="C872" s="43" t="s">
        <v>432</v>
      </c>
      <c r="D872" s="43">
        <v>9009</v>
      </c>
      <c r="E872" t="s">
        <v>560</v>
      </c>
      <c r="F872" s="47" t="str">
        <f>+Empresa_Centro[[#This Row],[Codigo Centro Gestion]]&amp;" - "&amp;Empresa_Centro[[#This Row],[Nombre Centro Gestion]]</f>
        <v>9009 - PV Consul. San Rafael</v>
      </c>
    </row>
    <row r="873" spans="1:6" x14ac:dyDescent="0.25">
      <c r="A873" s="43">
        <v>70</v>
      </c>
      <c r="B873" t="s">
        <v>60</v>
      </c>
      <c r="C873" s="43" t="s">
        <v>432</v>
      </c>
      <c r="D873" s="43">
        <v>9010</v>
      </c>
      <c r="E873" t="s">
        <v>561</v>
      </c>
      <c r="F873" s="47" t="str">
        <f>+Empresa_Centro[[#This Row],[Codigo Centro Gestion]]&amp;" - "&amp;Empresa_Centro[[#This Row],[Nombre Centro Gestion]]</f>
        <v>9010 - PV Miramar</v>
      </c>
    </row>
    <row r="874" spans="1:6" x14ac:dyDescent="0.25">
      <c r="A874" s="43">
        <v>70</v>
      </c>
      <c r="B874" t="s">
        <v>60</v>
      </c>
      <c r="C874" s="43" t="s">
        <v>432</v>
      </c>
      <c r="D874" s="43">
        <v>9011</v>
      </c>
      <c r="E874" t="s">
        <v>562</v>
      </c>
      <c r="F874" s="47" t="str">
        <f>+Empresa_Centro[[#This Row],[Codigo Centro Gestion]]&amp;" - "&amp;Empresa_Centro[[#This Row],[Nombre Centro Gestion]]</f>
        <v>9011 - PV Parque Sacramentinos II</v>
      </c>
    </row>
    <row r="875" spans="1:6" x14ac:dyDescent="0.25">
      <c r="A875" s="43">
        <v>70</v>
      </c>
      <c r="B875" t="s">
        <v>60</v>
      </c>
      <c r="C875" s="43" t="s">
        <v>432</v>
      </c>
      <c r="D875" s="43">
        <v>9013</v>
      </c>
      <c r="E875" t="s">
        <v>563</v>
      </c>
      <c r="F875" s="47" t="str">
        <f>+Empresa_Centro[[#This Row],[Codigo Centro Gestion]]&amp;" - "&amp;Empresa_Centro[[#This Row],[Nombre Centro Gestion]]</f>
        <v>9013 - PV Altovistamar</v>
      </c>
    </row>
    <row r="876" spans="1:6" x14ac:dyDescent="0.25">
      <c r="A876" s="43">
        <v>70</v>
      </c>
      <c r="B876" t="s">
        <v>60</v>
      </c>
      <c r="C876" s="43" t="s">
        <v>432</v>
      </c>
      <c r="D876" s="43">
        <v>9014</v>
      </c>
      <c r="E876" t="s">
        <v>564</v>
      </c>
      <c r="F876" s="47" t="str">
        <f>+Empresa_Centro[[#This Row],[Codigo Centro Gestion]]&amp;" - "&amp;Empresa_Centro[[#This Row],[Nombre Centro Gestion]]</f>
        <v>9014 - PV Edificio Colon</v>
      </c>
    </row>
    <row r="877" spans="1:6" x14ac:dyDescent="0.25">
      <c r="A877" s="43">
        <v>70</v>
      </c>
      <c r="B877" t="s">
        <v>60</v>
      </c>
      <c r="C877" s="43" t="s">
        <v>432</v>
      </c>
      <c r="D877" s="43">
        <v>9015</v>
      </c>
      <c r="E877" t="s">
        <v>565</v>
      </c>
      <c r="F877" s="47" t="str">
        <f>+Empresa_Centro[[#This Row],[Codigo Centro Gestion]]&amp;" - "&amp;Empresa_Centro[[#This Row],[Nombre Centro Gestion]]</f>
        <v>9015 - PV Estac. U del P</v>
      </c>
    </row>
    <row r="878" spans="1:6" x14ac:dyDescent="0.25">
      <c r="A878" s="43">
        <v>70</v>
      </c>
      <c r="B878" t="s">
        <v>60</v>
      </c>
      <c r="C878" s="43" t="s">
        <v>432</v>
      </c>
      <c r="D878" s="43">
        <v>9016</v>
      </c>
      <c r="E878" t="s">
        <v>566</v>
      </c>
      <c r="F878" s="47" t="str">
        <f>+Empresa_Centro[[#This Row],[Codigo Centro Gestion]]&amp;" - "&amp;Empresa_Centro[[#This Row],[Nombre Centro Gestion]]</f>
        <v>9016 - PV Parque Sacramentinos III</v>
      </c>
    </row>
    <row r="879" spans="1:6" x14ac:dyDescent="0.25">
      <c r="A879" s="43">
        <v>70</v>
      </c>
      <c r="B879" t="s">
        <v>60</v>
      </c>
      <c r="C879" s="43" t="s">
        <v>432</v>
      </c>
      <c r="D879" s="43">
        <v>9017</v>
      </c>
      <c r="E879" t="s">
        <v>567</v>
      </c>
      <c r="F879" s="47" t="str">
        <f>+Empresa_Centro[[#This Row],[Codigo Centro Gestion]]&amp;" - "&amp;Empresa_Centro[[#This Row],[Nombre Centro Gestion]]</f>
        <v>9017 - PV Mirador Sacramentinos</v>
      </c>
    </row>
    <row r="880" spans="1:6" x14ac:dyDescent="0.25">
      <c r="A880" s="43">
        <v>70</v>
      </c>
      <c r="B880" t="s">
        <v>60</v>
      </c>
      <c r="C880" s="43" t="s">
        <v>432</v>
      </c>
      <c r="D880" s="43">
        <v>9018</v>
      </c>
      <c r="E880" t="s">
        <v>568</v>
      </c>
      <c r="F880" s="47" t="str">
        <f>+Empresa_Centro[[#This Row],[Codigo Centro Gestion]]&amp;" - "&amp;Empresa_Centro[[#This Row],[Nombre Centro Gestion]]</f>
        <v>9018 - PV Sacramentinos Oriente</v>
      </c>
    </row>
    <row r="881" spans="1:6" x14ac:dyDescent="0.25">
      <c r="A881" s="43">
        <v>70</v>
      </c>
      <c r="B881" t="s">
        <v>60</v>
      </c>
      <c r="C881" s="43" t="s">
        <v>432</v>
      </c>
      <c r="D881" s="43">
        <v>9019</v>
      </c>
      <c r="E881" t="s">
        <v>569</v>
      </c>
      <c r="F881" s="47" t="str">
        <f>+Empresa_Centro[[#This Row],[Codigo Centro Gestion]]&amp;" - "&amp;Empresa_Centro[[#This Row],[Nombre Centro Gestion]]</f>
        <v>9019 - PV Terra Placeres</v>
      </c>
    </row>
    <row r="882" spans="1:6" x14ac:dyDescent="0.25">
      <c r="A882" s="43">
        <v>70</v>
      </c>
      <c r="B882" t="s">
        <v>60</v>
      </c>
      <c r="C882" s="43" t="s">
        <v>432</v>
      </c>
      <c r="D882" s="43">
        <v>9020</v>
      </c>
      <c r="E882" t="s">
        <v>570</v>
      </c>
      <c r="F882" s="47" t="str">
        <f>+Empresa_Centro[[#This Row],[Codigo Centro Gestion]]&amp;" - "&amp;Empresa_Centro[[#This Row],[Nombre Centro Gestion]]</f>
        <v>9020 - PV Barrio Verde Edif 1</v>
      </c>
    </row>
    <row r="883" spans="1:6" x14ac:dyDescent="0.25">
      <c r="A883" s="43">
        <v>70</v>
      </c>
      <c r="B883" t="s">
        <v>60</v>
      </c>
      <c r="C883" s="43" t="s">
        <v>432</v>
      </c>
      <c r="D883" s="43">
        <v>9021</v>
      </c>
      <c r="E883" t="s">
        <v>571</v>
      </c>
      <c r="F883" s="47" t="str">
        <f>+Empresa_Centro[[#This Row],[Codigo Centro Gestion]]&amp;" - "&amp;Empresa_Centro[[#This Row],[Nombre Centro Gestion]]</f>
        <v>9021 - PV Los Castaños</v>
      </c>
    </row>
    <row r="884" spans="1:6" x14ac:dyDescent="0.25">
      <c r="A884" s="43">
        <v>70</v>
      </c>
      <c r="B884" t="s">
        <v>60</v>
      </c>
      <c r="C884" s="43" t="s">
        <v>432</v>
      </c>
      <c r="D884" s="43">
        <v>9022</v>
      </c>
      <c r="E884" t="s">
        <v>572</v>
      </c>
      <c r="F884" s="47" t="str">
        <f>+Empresa_Centro[[#This Row],[Codigo Centro Gestion]]&amp;" - "&amp;Empresa_Centro[[#This Row],[Nombre Centro Gestion]]</f>
        <v>9022 - PV Hospital de Los Andes</v>
      </c>
    </row>
    <row r="885" spans="1:6" x14ac:dyDescent="0.25">
      <c r="A885" s="43">
        <v>70</v>
      </c>
      <c r="B885" t="s">
        <v>60</v>
      </c>
      <c r="C885" s="43" t="s">
        <v>432</v>
      </c>
      <c r="D885" s="43">
        <v>9024</v>
      </c>
      <c r="E885" t="s">
        <v>573</v>
      </c>
      <c r="F885" s="47" t="str">
        <f>+Empresa_Centro[[#This Row],[Codigo Centro Gestion]]&amp;" - "&amp;Empresa_Centro[[#This Row],[Nombre Centro Gestion]]</f>
        <v>9024 - PV Los Olmos</v>
      </c>
    </row>
    <row r="886" spans="1:6" x14ac:dyDescent="0.25">
      <c r="A886" s="43">
        <v>70</v>
      </c>
      <c r="B886" t="s">
        <v>60</v>
      </c>
      <c r="C886" s="43" t="s">
        <v>432</v>
      </c>
      <c r="D886" s="43">
        <v>9025</v>
      </c>
      <c r="E886" t="s">
        <v>574</v>
      </c>
      <c r="F886" s="47" t="str">
        <f>+Empresa_Centro[[#This Row],[Codigo Centro Gestion]]&amp;" - "&amp;Empresa_Centro[[#This Row],[Nombre Centro Gestion]]</f>
        <v>9025 - PV SSCC</v>
      </c>
    </row>
    <row r="887" spans="1:6" x14ac:dyDescent="0.25">
      <c r="A887" s="43">
        <v>70</v>
      </c>
      <c r="B887" t="s">
        <v>60</v>
      </c>
      <c r="C887" s="43" t="s">
        <v>432</v>
      </c>
      <c r="D887" s="43">
        <v>9026</v>
      </c>
      <c r="E887" t="s">
        <v>575</v>
      </c>
      <c r="F887" s="47" t="str">
        <f>+Empresa_Centro[[#This Row],[Codigo Centro Gestion]]&amp;" - "&amp;Empresa_Centro[[#This Row],[Nombre Centro Gestion]]</f>
        <v>9026 - PV La Tirana</v>
      </c>
    </row>
    <row r="888" spans="1:6" x14ac:dyDescent="0.25">
      <c r="A888" s="43">
        <v>70</v>
      </c>
      <c r="B888" t="s">
        <v>60</v>
      </c>
      <c r="C888" s="43" t="s">
        <v>432</v>
      </c>
      <c r="D888" s="43">
        <v>9027</v>
      </c>
      <c r="E888" t="s">
        <v>576</v>
      </c>
      <c r="F888" s="47" t="str">
        <f>+Empresa_Centro[[#This Row],[Codigo Centro Gestion]]&amp;" - "&amp;Empresa_Centro[[#This Row],[Nombre Centro Gestion]]</f>
        <v>9027 - PV Liceo Eulogio Gordo</v>
      </c>
    </row>
    <row r="889" spans="1:6" x14ac:dyDescent="0.25">
      <c r="A889" s="43">
        <v>70</v>
      </c>
      <c r="B889" t="s">
        <v>60</v>
      </c>
      <c r="C889" s="43" t="s">
        <v>432</v>
      </c>
      <c r="D889" s="43">
        <v>9028</v>
      </c>
      <c r="E889" t="s">
        <v>577</v>
      </c>
      <c r="F889" s="47" t="str">
        <f>+Empresa_Centro[[#This Row],[Codigo Centro Gestion]]&amp;" - "&amp;Empresa_Centro[[#This Row],[Nombre Centro Gestion]]</f>
        <v>9028 - PV Centro Sacramentinos</v>
      </c>
    </row>
    <row r="890" spans="1:6" x14ac:dyDescent="0.25">
      <c r="A890" s="43">
        <v>70</v>
      </c>
      <c r="B890" t="s">
        <v>60</v>
      </c>
      <c r="C890" s="43" t="s">
        <v>432</v>
      </c>
      <c r="D890" s="43">
        <v>9029</v>
      </c>
      <c r="E890" t="s">
        <v>578</v>
      </c>
      <c r="F890" s="47" t="str">
        <f>+Empresa_Centro[[#This Row],[Codigo Centro Gestion]]&amp;" - "&amp;Empresa_Centro[[#This Row],[Nombre Centro Gestion]]</f>
        <v>9029 - PV Hospital de Tocopilla</v>
      </c>
    </row>
    <row r="891" spans="1:6" x14ac:dyDescent="0.25">
      <c r="A891" s="43">
        <v>70</v>
      </c>
      <c r="B891" t="s">
        <v>60</v>
      </c>
      <c r="C891" s="43" t="s">
        <v>432</v>
      </c>
      <c r="D891" s="43">
        <v>9030</v>
      </c>
      <c r="E891" t="s">
        <v>579</v>
      </c>
      <c r="F891" s="47" t="str">
        <f>+Empresa_Centro[[#This Row],[Codigo Centro Gestion]]&amp;" - "&amp;Empresa_Centro[[#This Row],[Nombre Centro Gestion]]</f>
        <v>9030 - PV Consistorial Ma Elena</v>
      </c>
    </row>
    <row r="892" spans="1:6" x14ac:dyDescent="0.25">
      <c r="A892" s="43">
        <v>70</v>
      </c>
      <c r="B892" t="s">
        <v>60</v>
      </c>
      <c r="C892" s="43" t="s">
        <v>432</v>
      </c>
      <c r="D892" s="43">
        <v>9031</v>
      </c>
      <c r="E892" t="s">
        <v>580</v>
      </c>
      <c r="F892" s="47" t="str">
        <f>+Empresa_Centro[[#This Row],[Codigo Centro Gestion]]&amp;" - "&amp;Empresa_Centro[[#This Row],[Nombre Centro Gestion]]</f>
        <v>9031 - PV Edif Alto Placeres</v>
      </c>
    </row>
    <row r="893" spans="1:6" x14ac:dyDescent="0.25">
      <c r="A893" s="43">
        <v>70</v>
      </c>
      <c r="B893" t="s">
        <v>60</v>
      </c>
      <c r="C893" s="43" t="s">
        <v>432</v>
      </c>
      <c r="D893" s="43">
        <v>9032</v>
      </c>
      <c r="E893" t="s">
        <v>581</v>
      </c>
      <c r="F893" s="47" t="str">
        <f>+Empresa_Centro[[#This Row],[Codigo Centro Gestion]]&amp;" - "&amp;Empresa_Centro[[#This Row],[Nombre Centro Gestion]]</f>
        <v>9032 - PV Consultorio Sta Anselma</v>
      </c>
    </row>
    <row r="894" spans="1:6" x14ac:dyDescent="0.25">
      <c r="A894" s="43">
        <v>70</v>
      </c>
      <c r="B894" t="s">
        <v>60</v>
      </c>
      <c r="C894" s="43" t="s">
        <v>432</v>
      </c>
      <c r="D894" s="43">
        <v>9033</v>
      </c>
      <c r="E894" t="s">
        <v>582</v>
      </c>
      <c r="F894" s="47" t="str">
        <f>+Empresa_Centro[[#This Row],[Codigo Centro Gestion]]&amp;" - "&amp;Empresa_Centro[[#This Row],[Nombre Centro Gestion]]</f>
        <v>9033 - PV Consultorio Laurita Vic</v>
      </c>
    </row>
    <row r="895" spans="1:6" x14ac:dyDescent="0.25">
      <c r="A895" s="43">
        <v>70</v>
      </c>
      <c r="B895" t="s">
        <v>60</v>
      </c>
      <c r="C895" s="43" t="s">
        <v>432</v>
      </c>
      <c r="D895" s="43">
        <v>9034</v>
      </c>
      <c r="E895" t="s">
        <v>583</v>
      </c>
      <c r="F895" s="47" t="str">
        <f>+Empresa_Centro[[#This Row],[Codigo Centro Gestion]]&amp;" - "&amp;Empresa_Centro[[#This Row],[Nombre Centro Gestion]]</f>
        <v>9034 - PV Edificio San Francisco</v>
      </c>
    </row>
    <row r="896" spans="1:6" x14ac:dyDescent="0.25">
      <c r="A896" s="43">
        <v>70</v>
      </c>
      <c r="B896" t="s">
        <v>60</v>
      </c>
      <c r="C896" s="43" t="s">
        <v>432</v>
      </c>
      <c r="D896" s="43">
        <v>9035</v>
      </c>
      <c r="E896" t="s">
        <v>584</v>
      </c>
      <c r="F896" s="47" t="str">
        <f>+Empresa_Centro[[#This Row],[Codigo Centro Gestion]]&amp;" - "&amp;Empresa_Centro[[#This Row],[Nombre Centro Gestion]]</f>
        <v>9035 - PV Edificio Novo</v>
      </c>
    </row>
    <row r="897" spans="1:6" x14ac:dyDescent="0.25">
      <c r="A897" s="43">
        <v>70</v>
      </c>
      <c r="B897" t="s">
        <v>60</v>
      </c>
      <c r="C897" s="43" t="s">
        <v>432</v>
      </c>
      <c r="D897" s="43">
        <v>9037</v>
      </c>
      <c r="E897" t="s">
        <v>585</v>
      </c>
      <c r="F897" s="47" t="str">
        <f>+Empresa_Centro[[#This Row],[Codigo Centro Gestion]]&amp;" - "&amp;Empresa_Centro[[#This Row],[Nombre Centro Gestion]]</f>
        <v>9037 - PV Proyecto Rahue</v>
      </c>
    </row>
    <row r="898" spans="1:6" x14ac:dyDescent="0.25">
      <c r="A898" s="43">
        <v>70</v>
      </c>
      <c r="B898" t="s">
        <v>60</v>
      </c>
      <c r="C898" s="43" t="s">
        <v>432</v>
      </c>
      <c r="D898" s="43">
        <v>9039</v>
      </c>
      <c r="E898" t="s">
        <v>586</v>
      </c>
      <c r="F898" s="47" t="str">
        <f>+Empresa_Centro[[#This Row],[Codigo Centro Gestion]]&amp;" - "&amp;Empresa_Centro[[#This Row],[Nombre Centro Gestion]]</f>
        <v>9039 - PV Monte Azul</v>
      </c>
    </row>
    <row r="899" spans="1:6" x14ac:dyDescent="0.25">
      <c r="A899" s="43">
        <v>70</v>
      </c>
      <c r="B899" t="s">
        <v>60</v>
      </c>
      <c r="C899" s="43" t="s">
        <v>432</v>
      </c>
      <c r="D899" s="43">
        <v>9041</v>
      </c>
      <c r="E899" t="s">
        <v>587</v>
      </c>
      <c r="F899" s="47" t="str">
        <f>+Empresa_Centro[[#This Row],[Codigo Centro Gestion]]&amp;" - "&amp;Empresa_Centro[[#This Row],[Nombre Centro Gestion]]</f>
        <v>9041 - PV BBI Etapa II</v>
      </c>
    </row>
    <row r="900" spans="1:6" x14ac:dyDescent="0.25">
      <c r="A900" s="43">
        <v>70</v>
      </c>
      <c r="B900" t="s">
        <v>60</v>
      </c>
      <c r="C900" s="43" t="s">
        <v>432</v>
      </c>
      <c r="D900" s="43">
        <v>9042</v>
      </c>
      <c r="E900" t="s">
        <v>588</v>
      </c>
      <c r="F900" s="47" t="str">
        <f>+Empresa_Centro[[#This Row],[Codigo Centro Gestion]]&amp;" - "&amp;Empresa_Centro[[#This Row],[Nombre Centro Gestion]]</f>
        <v>9042 - PV Argomedo Oriente</v>
      </c>
    </row>
    <row r="901" spans="1:6" x14ac:dyDescent="0.25">
      <c r="A901" s="43">
        <v>70</v>
      </c>
      <c r="B901" t="s">
        <v>60</v>
      </c>
      <c r="C901" s="43" t="s">
        <v>432</v>
      </c>
      <c r="D901" s="43">
        <v>9043</v>
      </c>
      <c r="E901" t="s">
        <v>589</v>
      </c>
      <c r="F901" s="47" t="str">
        <f>+Empresa_Centro[[#This Row],[Codigo Centro Gestion]]&amp;" - "&amp;Empresa_Centro[[#This Row],[Nombre Centro Gestion]]</f>
        <v>9043 - PV Edificio Andrónico Luksic UC</v>
      </c>
    </row>
    <row r="902" spans="1:6" x14ac:dyDescent="0.25">
      <c r="A902" s="43">
        <v>70</v>
      </c>
      <c r="B902" t="s">
        <v>60</v>
      </c>
      <c r="C902" s="43" t="s">
        <v>432</v>
      </c>
      <c r="D902" s="43">
        <v>9044</v>
      </c>
      <c r="E902" t="s">
        <v>590</v>
      </c>
      <c r="F902" s="47" t="str">
        <f>+Empresa_Centro[[#This Row],[Codigo Centro Gestion]]&amp;" - "&amp;Empresa_Centro[[#This Row],[Nombre Centro Gestion]]</f>
        <v>9044 - PV Ecuador</v>
      </c>
    </row>
    <row r="903" spans="1:6" x14ac:dyDescent="0.25">
      <c r="A903" s="43">
        <v>70</v>
      </c>
      <c r="B903" t="s">
        <v>60</v>
      </c>
      <c r="C903" s="43" t="s">
        <v>432</v>
      </c>
      <c r="D903" s="43">
        <v>9045</v>
      </c>
      <c r="E903" t="s">
        <v>591</v>
      </c>
      <c r="F903" s="47" t="str">
        <f>+Empresa_Centro[[#This Row],[Codigo Centro Gestion]]&amp;" - "&amp;Empresa_Centro[[#This Row],[Nombre Centro Gestion]]</f>
        <v>9045 - PV Alto Oriente</v>
      </c>
    </row>
    <row r="904" spans="1:6" x14ac:dyDescent="0.25">
      <c r="A904" s="43">
        <v>70</v>
      </c>
      <c r="B904" t="s">
        <v>60</v>
      </c>
      <c r="C904" s="43" t="s">
        <v>432</v>
      </c>
      <c r="D904" s="43">
        <v>9046</v>
      </c>
      <c r="E904" t="s">
        <v>592</v>
      </c>
      <c r="F904" s="47" t="str">
        <f>+Empresa_Centro[[#This Row],[Codigo Centro Gestion]]&amp;" - "&amp;Empresa_Centro[[#This Row],[Nombre Centro Gestion]]</f>
        <v>9046 - PV Clínica Odontológica</v>
      </c>
    </row>
    <row r="905" spans="1:6" x14ac:dyDescent="0.25">
      <c r="A905" s="43">
        <v>70</v>
      </c>
      <c r="B905" t="s">
        <v>60</v>
      </c>
      <c r="C905" s="43" t="s">
        <v>432</v>
      </c>
      <c r="D905" s="43">
        <v>9047</v>
      </c>
      <c r="E905" t="s">
        <v>593</v>
      </c>
      <c r="F905" s="47" t="str">
        <f>+Empresa_Centro[[#This Row],[Codigo Centro Gestion]]&amp;" - "&amp;Empresa_Centro[[#This Row],[Nombre Centro Gestion]]</f>
        <v>9047 - PV Hospital Traumatologico</v>
      </c>
    </row>
    <row r="906" spans="1:6" x14ac:dyDescent="0.25">
      <c r="A906" s="43">
        <v>70</v>
      </c>
      <c r="B906" t="s">
        <v>60</v>
      </c>
      <c r="C906" s="43" t="s">
        <v>432</v>
      </c>
      <c r="D906" s="43">
        <v>9048</v>
      </c>
      <c r="E906" t="s">
        <v>594</v>
      </c>
      <c r="F906" s="47" t="str">
        <f>+Empresa_Centro[[#This Row],[Codigo Centro Gestion]]&amp;" - "&amp;Empresa_Centro[[#This Row],[Nombre Centro Gestion]]</f>
        <v>9048 - PV Pie Andino              </v>
      </c>
    </row>
    <row r="907" spans="1:6" x14ac:dyDescent="0.25">
      <c r="A907" s="43">
        <v>70</v>
      </c>
      <c r="B907" t="s">
        <v>60</v>
      </c>
      <c r="C907" s="43" t="s">
        <v>432</v>
      </c>
      <c r="D907" s="43">
        <v>9049</v>
      </c>
      <c r="E907" t="s">
        <v>595</v>
      </c>
      <c r="F907" s="47" t="str">
        <f>+Empresa_Centro[[#This Row],[Codigo Centro Gestion]]&amp;" - "&amp;Empresa_Centro[[#This Row],[Nombre Centro Gestion]]</f>
        <v>9049 - PV Boulevard BBI</v>
      </c>
    </row>
    <row r="908" spans="1:6" x14ac:dyDescent="0.25">
      <c r="A908" s="43">
        <v>70</v>
      </c>
      <c r="B908" t="s">
        <v>60</v>
      </c>
      <c r="C908" s="43" t="s">
        <v>432</v>
      </c>
      <c r="D908" s="43">
        <v>9050</v>
      </c>
      <c r="E908" t="s">
        <v>596</v>
      </c>
      <c r="F908" s="47" t="str">
        <f>+Empresa_Centro[[#This Row],[Codigo Centro Gestion]]&amp;" - "&amp;Empresa_Centro[[#This Row],[Nombre Centro Gestion]]</f>
        <v>9050 - PV Carmen 233</v>
      </c>
    </row>
    <row r="909" spans="1:6" x14ac:dyDescent="0.25">
      <c r="A909" s="43">
        <v>70</v>
      </c>
      <c r="B909" t="s">
        <v>60</v>
      </c>
      <c r="C909" s="43" t="s">
        <v>432</v>
      </c>
      <c r="D909" s="43">
        <v>9052</v>
      </c>
      <c r="E909" t="s">
        <v>597</v>
      </c>
      <c r="F909" s="47" t="str">
        <f>+Empresa_Centro[[#This Row],[Codigo Centro Gestion]]&amp;" - "&amp;Empresa_Centro[[#This Row],[Nombre Centro Gestion]]</f>
        <v>9052 - PV Costa El Aguila              </v>
      </c>
    </row>
    <row r="910" spans="1:6" x14ac:dyDescent="0.25">
      <c r="A910" s="43">
        <v>70</v>
      </c>
      <c r="B910" t="s">
        <v>60</v>
      </c>
      <c r="C910" s="43" t="s">
        <v>432</v>
      </c>
      <c r="D910" s="43">
        <v>9053</v>
      </c>
      <c r="E910" t="s">
        <v>598</v>
      </c>
      <c r="F910" s="47" t="str">
        <f>+Empresa_Centro[[#This Row],[Codigo Centro Gestion]]&amp;" - "&amp;Empresa_Centro[[#This Row],[Nombre Centro Gestion]]</f>
        <v>9053 - PV Vista del Valle          </v>
      </c>
    </row>
    <row r="911" spans="1:6" x14ac:dyDescent="0.25">
      <c r="A911" s="43">
        <v>70</v>
      </c>
      <c r="B911" t="s">
        <v>60</v>
      </c>
      <c r="C911" s="43" t="s">
        <v>432</v>
      </c>
      <c r="D911" s="43">
        <v>9054</v>
      </c>
      <c r="E911" t="s">
        <v>599</v>
      </c>
      <c r="F911" s="47" t="str">
        <f>+Empresa_Centro[[#This Row],[Codigo Centro Gestion]]&amp;" - "&amp;Empresa_Centro[[#This Row],[Nombre Centro Gestion]]</f>
        <v>9054 - PV Club La Foresta              </v>
      </c>
    </row>
    <row r="912" spans="1:6" x14ac:dyDescent="0.25">
      <c r="A912" s="43">
        <v>70</v>
      </c>
      <c r="B912" t="s">
        <v>60</v>
      </c>
      <c r="C912" s="43" t="s">
        <v>432</v>
      </c>
      <c r="D912" s="43">
        <v>9057</v>
      </c>
      <c r="E912" t="s">
        <v>600</v>
      </c>
      <c r="F912" s="47" t="str">
        <f>+Empresa_Centro[[#This Row],[Codigo Centro Gestion]]&amp;" - "&amp;Empresa_Centro[[#This Row],[Nombre Centro Gestion]]</f>
        <v>9057 - PV Liceo Bicentenario Santa Maria</v>
      </c>
    </row>
    <row r="913" spans="1:6" x14ac:dyDescent="0.25">
      <c r="A913" s="43">
        <v>70</v>
      </c>
      <c r="B913" t="s">
        <v>60</v>
      </c>
      <c r="C913" s="43" t="s">
        <v>432</v>
      </c>
      <c r="D913" s="43">
        <v>9062</v>
      </c>
      <c r="E913" t="s">
        <v>601</v>
      </c>
      <c r="F913" s="47" t="str">
        <f>+Empresa_Centro[[#This Row],[Codigo Centro Gestion]]&amp;" - "&amp;Empresa_Centro[[#This Row],[Nombre Centro Gestion]]</f>
        <v>9062 - PV Cumbres del Mar</v>
      </c>
    </row>
    <row r="914" spans="1:6" x14ac:dyDescent="0.25">
      <c r="A914" s="43">
        <v>70</v>
      </c>
      <c r="B914" t="s">
        <v>60</v>
      </c>
      <c r="C914" s="43" t="s">
        <v>432</v>
      </c>
      <c r="D914" s="43">
        <v>9110</v>
      </c>
      <c r="E914" t="s">
        <v>602</v>
      </c>
      <c r="F914" s="47" t="str">
        <f>+Empresa_Centro[[#This Row],[Codigo Centro Gestion]]&amp;" - "&amp;Empresa_Centro[[#This Row],[Nombre Centro Gestion]]</f>
        <v>9110 - PV Vista del Parque</v>
      </c>
    </row>
    <row r="915" spans="1:6" x14ac:dyDescent="0.25">
      <c r="A915" s="43">
        <v>70</v>
      </c>
      <c r="B915" t="s">
        <v>60</v>
      </c>
      <c r="C915" s="43" t="s">
        <v>432</v>
      </c>
      <c r="D915" s="43">
        <v>9116</v>
      </c>
      <c r="E915" t="s">
        <v>603</v>
      </c>
      <c r="F915" s="47" t="str">
        <f>+Empresa_Centro[[#This Row],[Codigo Centro Gestion]]&amp;" - "&amp;Empresa_Centro[[#This Row],[Nombre Centro Gestion]]</f>
        <v>9116 - PV Los Leones</v>
      </c>
    </row>
    <row r="916" spans="1:6" x14ac:dyDescent="0.25">
      <c r="A916" s="43">
        <v>70</v>
      </c>
      <c r="B916" t="s">
        <v>60</v>
      </c>
      <c r="C916" s="43" t="s">
        <v>432</v>
      </c>
      <c r="D916" s="43">
        <v>9121</v>
      </c>
      <c r="E916" t="s">
        <v>604</v>
      </c>
      <c r="F916" s="47" t="str">
        <f>+Empresa_Centro[[#This Row],[Codigo Centro Gestion]]&amp;" - "&amp;Empresa_Centro[[#This Row],[Nombre Centro Gestion]]</f>
        <v>9121 - PV Pie Andino Etapa 2</v>
      </c>
    </row>
    <row r="917" spans="1:6" x14ac:dyDescent="0.25">
      <c r="A917" s="43">
        <v>70</v>
      </c>
      <c r="B917" t="s">
        <v>60</v>
      </c>
      <c r="C917" s="43" t="s">
        <v>432</v>
      </c>
      <c r="D917" s="43">
        <v>9122</v>
      </c>
      <c r="E917" t="s">
        <v>605</v>
      </c>
      <c r="F917" s="47" t="str">
        <f>+Empresa_Centro[[#This Row],[Codigo Centro Gestion]]&amp;" - "&amp;Empresa_Centro[[#This Row],[Nombre Centro Gestion]]</f>
        <v>9122 - PV Pie Andino Etapa 3</v>
      </c>
    </row>
    <row r="918" spans="1:6" x14ac:dyDescent="0.25">
      <c r="A918" s="43">
        <v>70</v>
      </c>
      <c r="B918" t="s">
        <v>60</v>
      </c>
      <c r="C918" s="43" t="s">
        <v>432</v>
      </c>
      <c r="D918" s="43">
        <v>9123</v>
      </c>
      <c r="E918" t="s">
        <v>606</v>
      </c>
      <c r="F918" s="47" t="str">
        <f>+Empresa_Centro[[#This Row],[Codigo Centro Gestion]]&amp;" - "&amp;Empresa_Centro[[#This Row],[Nombre Centro Gestion]]</f>
        <v>9123 - PV Pie Andino Etapa 4</v>
      </c>
    </row>
    <row r="919" spans="1:6" x14ac:dyDescent="0.25">
      <c r="A919" s="43">
        <v>70</v>
      </c>
      <c r="B919" t="s">
        <v>60</v>
      </c>
      <c r="C919" s="43" t="s">
        <v>432</v>
      </c>
      <c r="D919" s="43">
        <v>9131</v>
      </c>
      <c r="E919" t="s">
        <v>607</v>
      </c>
      <c r="F919" s="47" t="str">
        <f>+Empresa_Centro[[#This Row],[Codigo Centro Gestion]]&amp;" - "&amp;Empresa_Centro[[#This Row],[Nombre Centro Gestion]]</f>
        <v>9131 - PV Vista Oriente</v>
      </c>
    </row>
    <row r="920" spans="1:6" x14ac:dyDescent="0.25">
      <c r="A920" s="43">
        <v>70</v>
      </c>
      <c r="B920" t="s">
        <v>60</v>
      </c>
      <c r="C920" s="43" t="s">
        <v>432</v>
      </c>
      <c r="D920" s="43">
        <v>9133</v>
      </c>
      <c r="E920" t="s">
        <v>608</v>
      </c>
      <c r="F920" s="47" t="str">
        <f>+Empresa_Centro[[#This Row],[Codigo Centro Gestion]]&amp;" - "&amp;Empresa_Centro[[#This Row],[Nombre Centro Gestion]]</f>
        <v>9133 - PV Vista del Valle II Edificio A</v>
      </c>
    </row>
    <row r="921" spans="1:6" x14ac:dyDescent="0.25">
      <c r="A921" s="43">
        <v>70</v>
      </c>
      <c r="B921" t="s">
        <v>60</v>
      </c>
      <c r="C921" s="43" t="s">
        <v>432</v>
      </c>
      <c r="D921" s="43">
        <v>9134</v>
      </c>
      <c r="E921" t="s">
        <v>609</v>
      </c>
      <c r="F921" s="47" t="str">
        <f>+Empresa_Centro[[#This Row],[Codigo Centro Gestion]]&amp;" - "&amp;Empresa_Centro[[#This Row],[Nombre Centro Gestion]]</f>
        <v>9134 - PV Condominio Castilla Et1</v>
      </c>
    </row>
    <row r="922" spans="1:6" x14ac:dyDescent="0.25">
      <c r="A922" s="43">
        <v>70</v>
      </c>
      <c r="B922" t="s">
        <v>60</v>
      </c>
      <c r="C922" s="43" t="s">
        <v>432</v>
      </c>
      <c r="D922" s="43">
        <v>9140</v>
      </c>
      <c r="E922" t="s">
        <v>610</v>
      </c>
      <c r="F922" s="47" t="str">
        <f>+Empresa_Centro[[#This Row],[Codigo Centro Gestion]]&amp;" - "&amp;Empresa_Centro[[#This Row],[Nombre Centro Gestion]]</f>
        <v>9140 - PV Mirador del Bosque II</v>
      </c>
    </row>
    <row r="923" spans="1:6" x14ac:dyDescent="0.25">
      <c r="A923" s="43">
        <v>70</v>
      </c>
      <c r="B923" t="s">
        <v>60</v>
      </c>
      <c r="C923" s="43" t="s">
        <v>432</v>
      </c>
      <c r="D923" s="43">
        <v>9141</v>
      </c>
      <c r="E923" t="s">
        <v>611</v>
      </c>
      <c r="F923" s="47" t="str">
        <f>+Empresa_Centro[[#This Row],[Codigo Centro Gestion]]&amp;" - "&amp;Empresa_Centro[[#This Row],[Nombre Centro Gestion]]</f>
        <v>9141 - PV Edificio Mirador</v>
      </c>
    </row>
    <row r="924" spans="1:6" x14ac:dyDescent="0.25">
      <c r="A924" s="43">
        <v>70</v>
      </c>
      <c r="B924" t="s">
        <v>60</v>
      </c>
      <c r="C924" s="43" t="s">
        <v>432</v>
      </c>
      <c r="D924" s="43">
        <v>9167</v>
      </c>
      <c r="E924" t="s">
        <v>612</v>
      </c>
      <c r="F924" s="47" t="str">
        <f>+Empresa_Centro[[#This Row],[Codigo Centro Gestion]]&amp;" - "&amp;Empresa_Centro[[#This Row],[Nombre Centro Gestion]]</f>
        <v>9167 - PV Palmas del Sur 1</v>
      </c>
    </row>
    <row r="925" spans="1:6" x14ac:dyDescent="0.25">
      <c r="A925" s="43">
        <v>70</v>
      </c>
      <c r="B925" t="s">
        <v>60</v>
      </c>
      <c r="C925" s="43" t="s">
        <v>432</v>
      </c>
      <c r="D925" s="43">
        <v>9170</v>
      </c>
      <c r="E925" t="s">
        <v>613</v>
      </c>
      <c r="F925" s="47" t="str">
        <f>+Empresa_Centro[[#This Row],[Codigo Centro Gestion]]&amp;" - "&amp;Empresa_Centro[[#This Row],[Nombre Centro Gestion]]</f>
        <v>9170 - PV Pedro Lautaro Ferrer</v>
      </c>
    </row>
    <row r="926" spans="1:6" x14ac:dyDescent="0.25">
      <c r="A926" s="43">
        <v>70</v>
      </c>
      <c r="B926" t="s">
        <v>60</v>
      </c>
      <c r="C926" s="43" t="s">
        <v>432</v>
      </c>
      <c r="D926" s="43">
        <v>9171</v>
      </c>
      <c r="E926" t="s">
        <v>614</v>
      </c>
      <c r="F926" s="47" t="str">
        <f>+Empresa_Centro[[#This Row],[Codigo Centro Gestion]]&amp;" - "&amp;Empresa_Centro[[#This Row],[Nombre Centro Gestion]]</f>
        <v>9171 - PV Arzobispo Fuenzalida-SA</v>
      </c>
    </row>
    <row r="927" spans="1:6" x14ac:dyDescent="0.25">
      <c r="A927" s="43">
        <v>70</v>
      </c>
      <c r="B927" t="s">
        <v>60</v>
      </c>
      <c r="C927" s="43" t="s">
        <v>432</v>
      </c>
      <c r="D927" s="43">
        <v>9172</v>
      </c>
      <c r="E927" t="s">
        <v>615</v>
      </c>
      <c r="F927" s="47" t="str">
        <f>+Empresa_Centro[[#This Row],[Codigo Centro Gestion]]&amp;" - "&amp;Empresa_Centro[[#This Row],[Nombre Centro Gestion]]</f>
        <v>9172 - PV Mirador del Bosque</v>
      </c>
    </row>
    <row r="928" spans="1:6" x14ac:dyDescent="0.25">
      <c r="A928" s="43">
        <v>70</v>
      </c>
      <c r="B928" t="s">
        <v>60</v>
      </c>
      <c r="C928" s="43" t="s">
        <v>432</v>
      </c>
      <c r="D928" s="43">
        <v>9173</v>
      </c>
      <c r="E928" t="s">
        <v>616</v>
      </c>
      <c r="F928" s="47" t="str">
        <f>+Empresa_Centro[[#This Row],[Codigo Centro Gestion]]&amp;" - "&amp;Empresa_Centro[[#This Row],[Nombre Centro Gestion]]</f>
        <v>9173 - PV Edificio Nuevo Centro</v>
      </c>
    </row>
    <row r="929" spans="1:6" x14ac:dyDescent="0.25">
      <c r="A929" s="43">
        <v>70</v>
      </c>
      <c r="B929" t="s">
        <v>60</v>
      </c>
      <c r="C929" s="43" t="s">
        <v>432</v>
      </c>
      <c r="D929" s="43">
        <v>9177</v>
      </c>
      <c r="E929" t="s">
        <v>617</v>
      </c>
      <c r="F929" s="47" t="str">
        <f>+Empresa_Centro[[#This Row],[Codigo Centro Gestion]]&amp;" - "&amp;Empresa_Centro[[#This Row],[Nombre Centro Gestion]]</f>
        <v>9177 - PV San Francisco II</v>
      </c>
    </row>
    <row r="930" spans="1:6" x14ac:dyDescent="0.25">
      <c r="A930" s="43">
        <v>70</v>
      </c>
      <c r="B930" t="s">
        <v>60</v>
      </c>
      <c r="C930" s="43" t="s">
        <v>432</v>
      </c>
      <c r="D930" s="43">
        <v>9184</v>
      </c>
      <c r="E930" t="s">
        <v>618</v>
      </c>
      <c r="F930" s="47" t="str">
        <f>+Empresa_Centro[[#This Row],[Codigo Centro Gestion]]&amp;" - "&amp;Empresa_Centro[[#This Row],[Nombre Centro Gestion]]</f>
        <v>9184 - PV Vista Andina II</v>
      </c>
    </row>
    <row r="931" spans="1:6" x14ac:dyDescent="0.25">
      <c r="A931" s="43">
        <v>70</v>
      </c>
      <c r="B931" t="s">
        <v>60</v>
      </c>
      <c r="C931" s="43" t="s">
        <v>432</v>
      </c>
      <c r="D931" s="43">
        <v>9187</v>
      </c>
      <c r="E931" t="s">
        <v>619</v>
      </c>
      <c r="F931" s="47" t="str">
        <f>+Empresa_Centro[[#This Row],[Codigo Centro Gestion]]&amp;" - "&amp;Empresa_Centro[[#This Row],[Nombre Centro Gestion]]</f>
        <v>9187 - PV Edificio Parque Quinta</v>
      </c>
    </row>
    <row r="932" spans="1:6" x14ac:dyDescent="0.25">
      <c r="A932" s="43">
        <v>70</v>
      </c>
      <c r="B932" t="s">
        <v>60</v>
      </c>
      <c r="C932" s="43" t="s">
        <v>432</v>
      </c>
      <c r="D932" s="43">
        <v>9188</v>
      </c>
      <c r="E932" t="s">
        <v>620</v>
      </c>
      <c r="F932" s="47" t="str">
        <f>+Empresa_Centro[[#This Row],[Codigo Centro Gestion]]&amp;" - "&amp;Empresa_Centro[[#This Row],[Nombre Centro Gestion]]</f>
        <v>9188 - PV Vista Macul</v>
      </c>
    </row>
    <row r="933" spans="1:6" x14ac:dyDescent="0.25">
      <c r="A933" s="43">
        <v>70</v>
      </c>
      <c r="B933" t="s">
        <v>60</v>
      </c>
      <c r="C933" s="43" t="s">
        <v>432</v>
      </c>
      <c r="D933" s="43">
        <v>9189</v>
      </c>
      <c r="E933" t="s">
        <v>621</v>
      </c>
      <c r="F933" s="47" t="str">
        <f>+Empresa_Centro[[#This Row],[Codigo Centro Gestion]]&amp;" - "&amp;Empresa_Centro[[#This Row],[Nombre Centro Gestion]]</f>
        <v>9189 - PV Vista Azul</v>
      </c>
    </row>
    <row r="934" spans="1:6" x14ac:dyDescent="0.25">
      <c r="A934" s="43">
        <v>70</v>
      </c>
      <c r="B934" t="s">
        <v>60</v>
      </c>
      <c r="C934" s="43" t="s">
        <v>432</v>
      </c>
      <c r="D934" s="43">
        <v>9190</v>
      </c>
      <c r="E934" t="s">
        <v>622</v>
      </c>
      <c r="F934" s="47" t="str">
        <f>+Empresa_Centro[[#This Row],[Codigo Centro Gestion]]&amp;" - "&amp;Empresa_Centro[[#This Row],[Nombre Centro Gestion]]</f>
        <v>9190 - PV Altos de Castilla</v>
      </c>
    </row>
    <row r="935" spans="1:6" x14ac:dyDescent="0.25">
      <c r="A935" s="43">
        <v>70</v>
      </c>
      <c r="B935" t="s">
        <v>60</v>
      </c>
      <c r="C935" s="43" t="s">
        <v>432</v>
      </c>
      <c r="D935" s="43">
        <v>9192</v>
      </c>
      <c r="E935" t="s">
        <v>623</v>
      </c>
      <c r="F935" s="47" t="str">
        <f>+Empresa_Centro[[#This Row],[Codigo Centro Gestion]]&amp;" - "&amp;Empresa_Centro[[#This Row],[Nombre Centro Gestion]]</f>
        <v>9192 - PV NOVENA AVENIDA</v>
      </c>
    </row>
    <row r="936" spans="1:6" x14ac:dyDescent="0.25">
      <c r="A936" s="43">
        <v>70</v>
      </c>
      <c r="B936" t="s">
        <v>60</v>
      </c>
      <c r="C936" s="43" t="s">
        <v>432</v>
      </c>
      <c r="D936" s="43">
        <v>9195</v>
      </c>
      <c r="E936" t="s">
        <v>624</v>
      </c>
      <c r="F936" s="47" t="str">
        <f>+Empresa_Centro[[#This Row],[Codigo Centro Gestion]]&amp;" - "&amp;Empresa_Centro[[#This Row],[Nombre Centro Gestion]]</f>
        <v>9195 - PV Vista Macul 2</v>
      </c>
    </row>
    <row r="937" spans="1:6" x14ac:dyDescent="0.25">
      <c r="A937" s="43">
        <v>70</v>
      </c>
      <c r="B937" t="s">
        <v>60</v>
      </c>
      <c r="C937" s="43" t="s">
        <v>432</v>
      </c>
      <c r="D937" s="43">
        <v>9199</v>
      </c>
      <c r="E937" t="s">
        <v>625</v>
      </c>
      <c r="F937" s="47" t="str">
        <f>+Empresa_Centro[[#This Row],[Codigo Centro Gestion]]&amp;" - "&amp;Empresa_Centro[[#This Row],[Nombre Centro Gestion]]</f>
        <v>9199 - PV Vista Independencia</v>
      </c>
    </row>
    <row r="938" spans="1:6" x14ac:dyDescent="0.25">
      <c r="A938" s="43">
        <v>70</v>
      </c>
      <c r="B938" t="s">
        <v>60</v>
      </c>
      <c r="C938" s="43" t="s">
        <v>432</v>
      </c>
      <c r="D938" s="43">
        <v>9200</v>
      </c>
      <c r="E938" t="s">
        <v>626</v>
      </c>
      <c r="F938" s="47" t="str">
        <f>+Empresa_Centro[[#This Row],[Codigo Centro Gestion]]&amp;" - "&amp;Empresa_Centro[[#This Row],[Nombre Centro Gestion]]</f>
        <v>9200 - PV Edificio Terrazas del Sol</v>
      </c>
    </row>
    <row r="939" spans="1:6" x14ac:dyDescent="0.25">
      <c r="A939" s="43">
        <v>70</v>
      </c>
      <c r="B939" t="s">
        <v>60</v>
      </c>
      <c r="C939" s="43" t="s">
        <v>432</v>
      </c>
      <c r="D939" s="43">
        <v>9202</v>
      </c>
      <c r="E939" t="s">
        <v>627</v>
      </c>
      <c r="F939" s="47" t="str">
        <f>+Empresa_Centro[[#This Row],[Codigo Centro Gestion]]&amp;" - "&amp;Empresa_Centro[[#This Row],[Nombre Centro Gestion]]</f>
        <v>9202 - PV Parque Central</v>
      </c>
    </row>
    <row r="940" spans="1:6" x14ac:dyDescent="0.25">
      <c r="A940" s="43">
        <v>70</v>
      </c>
      <c r="B940" t="s">
        <v>60</v>
      </c>
      <c r="C940" s="43" t="s">
        <v>432</v>
      </c>
      <c r="D940" s="43">
        <v>9204</v>
      </c>
      <c r="E940" t="s">
        <v>628</v>
      </c>
      <c r="F940" s="47" t="str">
        <f>+Empresa_Centro[[#This Row],[Codigo Centro Gestion]]&amp;" - "&amp;Empresa_Centro[[#This Row],[Nombre Centro Gestion]]</f>
        <v>9204 - PV Nuevo Ecuador</v>
      </c>
    </row>
    <row r="941" spans="1:6" x14ac:dyDescent="0.25">
      <c r="A941" s="43">
        <v>70</v>
      </c>
      <c r="B941" t="s">
        <v>60</v>
      </c>
      <c r="C941" s="43" t="s">
        <v>432</v>
      </c>
      <c r="D941" s="43">
        <v>9205</v>
      </c>
      <c r="E941" t="s">
        <v>629</v>
      </c>
      <c r="F941" s="47" t="str">
        <f>+Empresa_Centro[[#This Row],[Codigo Centro Gestion]]&amp;" - "&amp;Empresa_Centro[[#This Row],[Nombre Centro Gestion]]</f>
        <v>9205 - PV Edificio Santa Elena 1282</v>
      </c>
    </row>
    <row r="942" spans="1:6" x14ac:dyDescent="0.25">
      <c r="A942" s="43">
        <v>70</v>
      </c>
      <c r="B942" t="s">
        <v>60</v>
      </c>
      <c r="C942" s="43" t="s">
        <v>432</v>
      </c>
      <c r="D942" s="43">
        <v>9206</v>
      </c>
      <c r="E942" t="s">
        <v>630</v>
      </c>
      <c r="F942" s="47" t="str">
        <f>+Empresa_Centro[[#This Row],[Codigo Centro Gestion]]&amp;" - "&amp;Empresa_Centro[[#This Row],[Nombre Centro Gestion]]</f>
        <v>9206 - PV Novena Avenida 2</v>
      </c>
    </row>
    <row r="943" spans="1:6" x14ac:dyDescent="0.25">
      <c r="A943" s="43">
        <v>70</v>
      </c>
      <c r="B943" t="s">
        <v>60</v>
      </c>
      <c r="C943" s="43" t="s">
        <v>432</v>
      </c>
      <c r="D943" s="43">
        <v>9207</v>
      </c>
      <c r="E943" t="s">
        <v>631</v>
      </c>
      <c r="F943" s="47" t="str">
        <f>+Empresa_Centro[[#This Row],[Codigo Centro Gestion]]&amp;" - "&amp;Empresa_Centro[[#This Row],[Nombre Centro Gestion]]</f>
        <v>9207 - PV Edificio Fuenzalida Urrejola 125</v>
      </c>
    </row>
    <row r="944" spans="1:6" x14ac:dyDescent="0.25">
      <c r="A944" s="43">
        <v>70</v>
      </c>
      <c r="B944" t="s">
        <v>60</v>
      </c>
      <c r="C944" s="43" t="s">
        <v>432</v>
      </c>
      <c r="D944" s="43">
        <v>9209</v>
      </c>
      <c r="E944" t="s">
        <v>632</v>
      </c>
      <c r="F944" s="47" t="str">
        <f>+Empresa_Centro[[#This Row],[Codigo Centro Gestion]]&amp;" - "&amp;Empresa_Centro[[#This Row],[Nombre Centro Gestion]]</f>
        <v>9209 - PV Edificio Bulnes Labbe</v>
      </c>
    </row>
    <row r="945" spans="1:6" x14ac:dyDescent="0.25">
      <c r="A945" s="43">
        <v>70</v>
      </c>
      <c r="B945" t="s">
        <v>60</v>
      </c>
      <c r="C945" s="43" t="s">
        <v>432</v>
      </c>
      <c r="D945" s="43">
        <v>9210</v>
      </c>
      <c r="E945" t="s">
        <v>633</v>
      </c>
      <c r="F945" s="47" t="str">
        <f>+Empresa_Centro[[#This Row],[Codigo Centro Gestion]]&amp;" - "&amp;Empresa_Centro[[#This Row],[Nombre Centro Gestion]]</f>
        <v>9210 - PV Alto Foresta</v>
      </c>
    </row>
    <row r="946" spans="1:6" x14ac:dyDescent="0.25">
      <c r="A946" s="43">
        <v>70</v>
      </c>
      <c r="B946" t="s">
        <v>60</v>
      </c>
      <c r="C946" s="43" t="s">
        <v>432</v>
      </c>
      <c r="D946" s="43">
        <v>9211</v>
      </c>
      <c r="E946" t="s">
        <v>634</v>
      </c>
      <c r="F946" s="47" t="str">
        <f>+Empresa_Centro[[#This Row],[Codigo Centro Gestion]]&amp;" - "&amp;Empresa_Centro[[#This Row],[Nombre Centro Gestion]]</f>
        <v>9211 - PV Vista del Valle II Edificio B</v>
      </c>
    </row>
    <row r="947" spans="1:6" x14ac:dyDescent="0.25">
      <c r="A947" s="43">
        <v>70</v>
      </c>
      <c r="B947" t="s">
        <v>60</v>
      </c>
      <c r="C947" s="43" t="s">
        <v>432</v>
      </c>
      <c r="D947" s="43">
        <v>9212</v>
      </c>
      <c r="E947" t="s">
        <v>635</v>
      </c>
      <c r="F947" s="47" t="str">
        <f>+Empresa_Centro[[#This Row],[Codigo Centro Gestion]]&amp;" - "&amp;Empresa_Centro[[#This Row],[Nombre Centro Gestion]]</f>
        <v>9212 - PV Edificio Constantino 54</v>
      </c>
    </row>
    <row r="948" spans="1:6" x14ac:dyDescent="0.25">
      <c r="A948" s="43">
        <v>70</v>
      </c>
      <c r="B948" t="s">
        <v>60</v>
      </c>
      <c r="C948" s="43" t="s">
        <v>432</v>
      </c>
      <c r="D948" s="43">
        <v>9213</v>
      </c>
      <c r="E948" t="s">
        <v>636</v>
      </c>
      <c r="F948" s="47" t="str">
        <f>+Empresa_Centro[[#This Row],[Codigo Centro Gestion]]&amp;" - "&amp;Empresa_Centro[[#This Row],[Nombre Centro Gestion]]</f>
        <v>9213 - PV Edificio Maipu</v>
      </c>
    </row>
    <row r="949" spans="1:6" x14ac:dyDescent="0.25">
      <c r="A949" s="43">
        <v>70</v>
      </c>
      <c r="B949" t="s">
        <v>60</v>
      </c>
      <c r="C949" s="43" t="s">
        <v>432</v>
      </c>
      <c r="D949" s="43">
        <v>9214</v>
      </c>
      <c r="E949" t="s">
        <v>637</v>
      </c>
      <c r="F949" s="47" t="str">
        <f>+Empresa_Centro[[#This Row],[Codigo Centro Gestion]]&amp;" - "&amp;Empresa_Centro[[#This Row],[Nombre Centro Gestion]]</f>
        <v>9214 - PV Edificio Recreo 250</v>
      </c>
    </row>
    <row r="950" spans="1:6" x14ac:dyDescent="0.25">
      <c r="A950" s="43">
        <v>70</v>
      </c>
      <c r="B950" t="s">
        <v>60</v>
      </c>
      <c r="C950" s="43" t="s">
        <v>432</v>
      </c>
      <c r="D950" s="43">
        <v>9215</v>
      </c>
      <c r="E950" t="s">
        <v>638</v>
      </c>
      <c r="F950" s="47" t="str">
        <f>+Empresa_Centro[[#This Row],[Codigo Centro Gestion]]&amp;" - "&amp;Empresa_Centro[[#This Row],[Nombre Centro Gestion]]</f>
        <v>9215 - PV Alto Marañon Torre A</v>
      </c>
    </row>
    <row r="951" spans="1:6" x14ac:dyDescent="0.25">
      <c r="A951" s="43">
        <v>70</v>
      </c>
      <c r="B951" t="s">
        <v>60</v>
      </c>
      <c r="C951" s="43" t="s">
        <v>432</v>
      </c>
      <c r="D951" s="43">
        <v>9217</v>
      </c>
      <c r="E951" t="s">
        <v>639</v>
      </c>
      <c r="F951" s="47" t="str">
        <f>+Empresa_Centro[[#This Row],[Codigo Centro Gestion]]&amp;" - "&amp;Empresa_Centro[[#This Row],[Nombre Centro Gestion]]</f>
        <v>9217 - PV Edificio Duble Almeyda 2621</v>
      </c>
    </row>
    <row r="952" spans="1:6" x14ac:dyDescent="0.25">
      <c r="A952" s="43">
        <v>70</v>
      </c>
      <c r="B952" t="s">
        <v>60</v>
      </c>
      <c r="C952" s="43" t="s">
        <v>432</v>
      </c>
      <c r="D952" s="43">
        <v>9218</v>
      </c>
      <c r="E952" t="s">
        <v>640</v>
      </c>
      <c r="F952" s="47" t="str">
        <f>+Empresa_Centro[[#This Row],[Codigo Centro Gestion]]&amp;" - "&amp;Empresa_Centro[[#This Row],[Nombre Centro Gestion]]</f>
        <v>9218 - PV Edificio Jose Domingo Cañas 2640</v>
      </c>
    </row>
    <row r="953" spans="1:6" x14ac:dyDescent="0.25">
      <c r="A953" s="43">
        <v>70</v>
      </c>
      <c r="B953" t="s">
        <v>60</v>
      </c>
      <c r="C953" s="43" t="s">
        <v>432</v>
      </c>
      <c r="D953" s="43">
        <v>9220</v>
      </c>
      <c r="E953" t="s">
        <v>641</v>
      </c>
      <c r="F953" s="47" t="str">
        <f>+Empresa_Centro[[#This Row],[Codigo Centro Gestion]]&amp;" - "&amp;Empresa_Centro[[#This Row],[Nombre Centro Gestion]]</f>
        <v>9220 - PV Edificio Uno Norte</v>
      </c>
    </row>
    <row r="954" spans="1:6" x14ac:dyDescent="0.25">
      <c r="A954" s="43">
        <v>70</v>
      </c>
      <c r="B954" t="s">
        <v>60</v>
      </c>
      <c r="C954" s="43" t="s">
        <v>432</v>
      </c>
      <c r="D954" s="43">
        <v>9221</v>
      </c>
      <c r="E954" t="s">
        <v>642</v>
      </c>
      <c r="F954" s="47" t="str">
        <f>+Empresa_Centro[[#This Row],[Codigo Centro Gestion]]&amp;" - "&amp;Empresa_Centro[[#This Row],[Nombre Centro Gestion]]</f>
        <v>9221 - PV Edificio Fernandez Albano 192</v>
      </c>
    </row>
    <row r="955" spans="1:6" x14ac:dyDescent="0.25">
      <c r="A955" s="43">
        <v>70</v>
      </c>
      <c r="B955" t="s">
        <v>60</v>
      </c>
      <c r="C955" s="43" t="s">
        <v>432</v>
      </c>
      <c r="D955" s="43">
        <v>9222</v>
      </c>
      <c r="E955" t="s">
        <v>643</v>
      </c>
      <c r="F955" s="47" t="str">
        <f>+Empresa_Centro[[#This Row],[Codigo Centro Gestion]]&amp;" - "&amp;Empresa_Centro[[#This Row],[Nombre Centro Gestion]]</f>
        <v>9222 - PV Condominio Activo</v>
      </c>
    </row>
    <row r="956" spans="1:6" x14ac:dyDescent="0.25">
      <c r="A956" s="43">
        <v>70</v>
      </c>
      <c r="B956" t="s">
        <v>60</v>
      </c>
      <c r="C956" s="43" t="s">
        <v>432</v>
      </c>
      <c r="D956" s="43">
        <v>9223</v>
      </c>
      <c r="E956" t="s">
        <v>644</v>
      </c>
      <c r="F956" s="47" t="str">
        <f>+Empresa_Centro[[#This Row],[Codigo Centro Gestion]]&amp;" - "&amp;Empresa_Centro[[#This Row],[Nombre Centro Gestion]]</f>
        <v>9223 - PV Alto Cavancha</v>
      </c>
    </row>
    <row r="957" spans="1:6" x14ac:dyDescent="0.25">
      <c r="A957" s="43">
        <v>70</v>
      </c>
      <c r="B957" t="s">
        <v>60</v>
      </c>
      <c r="C957" s="43" t="s">
        <v>432</v>
      </c>
      <c r="D957" s="43">
        <v>9225</v>
      </c>
      <c r="E957" t="s">
        <v>645</v>
      </c>
      <c r="F957" s="47" t="str">
        <f>+Empresa_Centro[[#This Row],[Codigo Centro Gestion]]&amp;" - "&amp;Empresa_Centro[[#This Row],[Nombre Centro Gestion]]</f>
        <v>9225 - PV Parque Ingles</v>
      </c>
    </row>
    <row r="958" spans="1:6" x14ac:dyDescent="0.25">
      <c r="A958" s="43">
        <v>70</v>
      </c>
      <c r="B958" t="s">
        <v>60</v>
      </c>
      <c r="C958" s="43" t="s">
        <v>432</v>
      </c>
      <c r="D958" s="43">
        <v>9226</v>
      </c>
      <c r="E958" t="s">
        <v>646</v>
      </c>
      <c r="F958" s="47" t="str">
        <f>+Empresa_Centro[[#This Row],[Codigo Centro Gestion]]&amp;" - "&amp;Empresa_Centro[[#This Row],[Nombre Centro Gestion]]</f>
        <v>9226 - PV Conde del Maule 4676</v>
      </c>
    </row>
    <row r="959" spans="1:6" x14ac:dyDescent="0.25">
      <c r="A959" s="43">
        <v>70</v>
      </c>
      <c r="B959" t="s">
        <v>60</v>
      </c>
      <c r="C959" s="43" t="s">
        <v>432</v>
      </c>
      <c r="D959" s="43">
        <v>9227</v>
      </c>
      <c r="E959" t="s">
        <v>647</v>
      </c>
      <c r="F959" s="47" t="str">
        <f>+Empresa_Centro[[#This Row],[Codigo Centro Gestion]]&amp;" - "&amp;Empresa_Centro[[#This Row],[Nombre Centro Gestion]]</f>
        <v>9227 - PV Edificio Alto Foresta 2</v>
      </c>
    </row>
    <row r="960" spans="1:6" x14ac:dyDescent="0.25">
      <c r="A960" s="43">
        <v>70</v>
      </c>
      <c r="B960" t="s">
        <v>60</v>
      </c>
      <c r="C960" s="43" t="s">
        <v>432</v>
      </c>
      <c r="D960" s="43">
        <v>9228</v>
      </c>
      <c r="E960" t="s">
        <v>648</v>
      </c>
      <c r="F960" s="47" t="str">
        <f>+Empresa_Centro[[#This Row],[Codigo Centro Gestion]]&amp;" - "&amp;Empresa_Centro[[#This Row],[Nombre Centro Gestion]]</f>
        <v>9228 - PV Edificio Briones Luco</v>
      </c>
    </row>
    <row r="961" spans="1:6" x14ac:dyDescent="0.25">
      <c r="A961" s="43">
        <v>70</v>
      </c>
      <c r="B961" t="s">
        <v>60</v>
      </c>
      <c r="C961" s="43" t="s">
        <v>432</v>
      </c>
      <c r="D961" s="43">
        <v>9229</v>
      </c>
      <c r="E961" t="s">
        <v>649</v>
      </c>
      <c r="F961" s="47" t="str">
        <f>+Empresa_Centro[[#This Row],[Codigo Centro Gestion]]&amp;" - "&amp;Empresa_Centro[[#This Row],[Nombre Centro Gestion]]</f>
        <v>9229 - PV Vista Las Palmas</v>
      </c>
    </row>
    <row r="962" spans="1:6" x14ac:dyDescent="0.25">
      <c r="A962" s="43">
        <v>70</v>
      </c>
      <c r="B962" t="s">
        <v>60</v>
      </c>
      <c r="C962" s="43" t="s">
        <v>432</v>
      </c>
      <c r="D962" s="43">
        <v>9230</v>
      </c>
      <c r="E962" t="s">
        <v>650</v>
      </c>
      <c r="F962" s="47" t="str">
        <f>+Empresa_Centro[[#This Row],[Codigo Centro Gestion]]&amp;" - "&amp;Empresa_Centro[[#This Row],[Nombre Centro Gestion]]</f>
        <v>9230 - PV Condominio Manuel Jesus Rivera</v>
      </c>
    </row>
    <row r="963" spans="1:6" x14ac:dyDescent="0.25">
      <c r="A963" s="43">
        <v>70</v>
      </c>
      <c r="B963" t="s">
        <v>60</v>
      </c>
      <c r="C963" s="43" t="s">
        <v>432</v>
      </c>
      <c r="D963" s="43">
        <v>9231</v>
      </c>
      <c r="E963" t="s">
        <v>651</v>
      </c>
      <c r="F963" s="47" t="str">
        <f>+Empresa_Centro[[#This Row],[Codigo Centro Gestion]]&amp;" - "&amp;Empresa_Centro[[#This Row],[Nombre Centro Gestion]]</f>
        <v>9231 - PV Edificio Guillermo Mann</v>
      </c>
    </row>
    <row r="964" spans="1:6" x14ac:dyDescent="0.25">
      <c r="A964" s="43">
        <v>70</v>
      </c>
      <c r="B964" t="s">
        <v>60</v>
      </c>
      <c r="C964" s="43" t="s">
        <v>432</v>
      </c>
      <c r="D964" s="43">
        <v>9232</v>
      </c>
      <c r="E964" t="s">
        <v>652</v>
      </c>
      <c r="F964" s="47" t="str">
        <f>+Empresa_Centro[[#This Row],[Codigo Centro Gestion]]&amp;" - "&amp;Empresa_Centro[[#This Row],[Nombre Centro Gestion]]</f>
        <v>9232 - PV Edificio Coronel Souper</v>
      </c>
    </row>
    <row r="965" spans="1:6" x14ac:dyDescent="0.25">
      <c r="A965" s="43">
        <v>70</v>
      </c>
      <c r="B965" t="s">
        <v>60</v>
      </c>
      <c r="C965" s="43" t="s">
        <v>432</v>
      </c>
      <c r="D965" s="43">
        <v>9235</v>
      </c>
      <c r="E965" t="s">
        <v>653</v>
      </c>
      <c r="F965" s="47" t="str">
        <f>+Empresa_Centro[[#This Row],[Codigo Centro Gestion]]&amp;" - "&amp;Empresa_Centro[[#This Row],[Nombre Centro Gestion]]</f>
        <v>9235 - PV Vista del Valle III</v>
      </c>
    </row>
    <row r="966" spans="1:6" x14ac:dyDescent="0.25">
      <c r="A966" s="43">
        <v>70</v>
      </c>
      <c r="B966" t="s">
        <v>60</v>
      </c>
      <c r="C966" s="43" t="s">
        <v>432</v>
      </c>
      <c r="D966" s="43">
        <v>9236</v>
      </c>
      <c r="E966" t="s">
        <v>654</v>
      </c>
      <c r="F966" s="47" t="str">
        <f>+Empresa_Centro[[#This Row],[Codigo Centro Gestion]]&amp;" - "&amp;Empresa_Centro[[#This Row],[Nombre Centro Gestion]]</f>
        <v>9236 - PV Edificio Pedro Prado</v>
      </c>
    </row>
    <row r="967" spans="1:6" x14ac:dyDescent="0.25">
      <c r="A967" s="43">
        <v>70</v>
      </c>
      <c r="B967" t="s">
        <v>60</v>
      </c>
      <c r="C967" s="43" t="s">
        <v>432</v>
      </c>
      <c r="D967" s="43">
        <v>9237</v>
      </c>
      <c r="E967" t="s">
        <v>655</v>
      </c>
      <c r="F967" s="47" t="str">
        <f>+Empresa_Centro[[#This Row],[Codigo Centro Gestion]]&amp;" - "&amp;Empresa_Centro[[#This Row],[Nombre Centro Gestion]]</f>
        <v>9237 - PV CUMBRE PLACERES</v>
      </c>
    </row>
    <row r="968" spans="1:6" x14ac:dyDescent="0.25">
      <c r="A968" s="43">
        <v>70</v>
      </c>
      <c r="B968" t="s">
        <v>60</v>
      </c>
      <c r="C968" s="43" t="s">
        <v>432</v>
      </c>
      <c r="D968" s="43">
        <v>9239</v>
      </c>
      <c r="E968" t="s">
        <v>656</v>
      </c>
      <c r="F968" s="47" t="str">
        <f>+Empresa_Centro[[#This Row],[Codigo Centro Gestion]]&amp;" - "&amp;Empresa_Centro[[#This Row],[Nombre Centro Gestion]]</f>
        <v>9239 - PV Alto Mirador</v>
      </c>
    </row>
    <row r="969" spans="1:6" x14ac:dyDescent="0.25">
      <c r="A969" s="43">
        <v>70</v>
      </c>
      <c r="B969" t="s">
        <v>60</v>
      </c>
      <c r="C969" s="43" t="s">
        <v>432</v>
      </c>
      <c r="D969" s="43">
        <v>9241</v>
      </c>
      <c r="E969" t="s">
        <v>657</v>
      </c>
      <c r="F969" s="47" t="str">
        <f>+Empresa_Centro[[#This Row],[Codigo Centro Gestion]]&amp;" - "&amp;Empresa_Centro[[#This Row],[Nombre Centro Gestion]]</f>
        <v>9241 - PV Parque Marañon Torre B</v>
      </c>
    </row>
    <row r="970" spans="1:6" x14ac:dyDescent="0.25">
      <c r="A970" s="43">
        <v>70</v>
      </c>
      <c r="B970" t="s">
        <v>60</v>
      </c>
      <c r="C970" s="43" t="s">
        <v>432</v>
      </c>
      <c r="D970" s="43">
        <v>9242</v>
      </c>
      <c r="E970" t="s">
        <v>658</v>
      </c>
      <c r="F970" s="47" t="str">
        <f>+Empresa_Centro[[#This Row],[Codigo Centro Gestion]]&amp;" - "&amp;Empresa_Centro[[#This Row],[Nombre Centro Gestion]]</f>
        <v>9242 - PV Edificio Leon Prado</v>
      </c>
    </row>
    <row r="971" spans="1:6" x14ac:dyDescent="0.25">
      <c r="A971" s="43">
        <v>70</v>
      </c>
      <c r="B971" t="s">
        <v>60</v>
      </c>
      <c r="C971" s="43" t="s">
        <v>432</v>
      </c>
      <c r="D971" s="43">
        <v>9243</v>
      </c>
      <c r="E971" t="s">
        <v>659</v>
      </c>
      <c r="F971" s="47" t="str">
        <f>+Empresa_Centro[[#This Row],[Codigo Centro Gestion]]&amp;" - "&amp;Empresa_Centro[[#This Row],[Nombre Centro Gestion]]</f>
        <v>9243 - PV Edificio Garcia Reyes</v>
      </c>
    </row>
    <row r="972" spans="1:6" x14ac:dyDescent="0.25">
      <c r="A972" s="43">
        <v>70</v>
      </c>
      <c r="B972" t="s">
        <v>60</v>
      </c>
      <c r="C972" s="43" t="s">
        <v>432</v>
      </c>
      <c r="D972" s="43">
        <v>9245</v>
      </c>
      <c r="E972" t="s">
        <v>660</v>
      </c>
      <c r="F972" s="47" t="str">
        <f>+Empresa_Centro[[#This Row],[Codigo Centro Gestion]]&amp;" - "&amp;Empresa_Centro[[#This Row],[Nombre Centro Gestion]]</f>
        <v>9245 - PV Edificio La Coruña</v>
      </c>
    </row>
    <row r="973" spans="1:6" x14ac:dyDescent="0.25">
      <c r="A973" s="43">
        <v>70</v>
      </c>
      <c r="B973" t="s">
        <v>60</v>
      </c>
      <c r="C973" s="43" t="s">
        <v>432</v>
      </c>
      <c r="D973" s="43">
        <v>9248</v>
      </c>
      <c r="E973" t="s">
        <v>661</v>
      </c>
      <c r="F973" s="47" t="str">
        <f>+Empresa_Centro[[#This Row],[Codigo Centro Gestion]]&amp;" - "&amp;Empresa_Centro[[#This Row],[Nombre Centro Gestion]]</f>
        <v>9248 - PV Alto Marañon Torre B</v>
      </c>
    </row>
    <row r="974" spans="1:6" x14ac:dyDescent="0.25">
      <c r="A974" s="43">
        <v>70</v>
      </c>
      <c r="B974" t="s">
        <v>60</v>
      </c>
      <c r="C974" s="43" t="s">
        <v>432</v>
      </c>
      <c r="D974" s="43">
        <v>9251</v>
      </c>
      <c r="E974" t="s">
        <v>662</v>
      </c>
      <c r="F974" s="47" t="str">
        <f>+Empresa_Centro[[#This Row],[Codigo Centro Gestion]]&amp;" - "&amp;Empresa_Centro[[#This Row],[Nombre Centro Gestion]]</f>
        <v>9251 - PV Edificio Vista Horizonte</v>
      </c>
    </row>
    <row r="975" spans="1:6" x14ac:dyDescent="0.25">
      <c r="A975" s="43">
        <v>70</v>
      </c>
      <c r="B975" t="s">
        <v>60</v>
      </c>
      <c r="C975" s="43" t="s">
        <v>432</v>
      </c>
      <c r="D975" s="43">
        <v>9252</v>
      </c>
      <c r="E975" t="s">
        <v>663</v>
      </c>
      <c r="F975" s="47" t="str">
        <f>+Empresa_Centro[[#This Row],[Codigo Centro Gestion]]&amp;" - "&amp;Empresa_Centro[[#This Row],[Nombre Centro Gestion]]</f>
        <v>9252 - PV Edificio Castillo Urizar</v>
      </c>
    </row>
    <row r="976" spans="1:6" x14ac:dyDescent="0.25">
      <c r="A976" s="43">
        <v>70</v>
      </c>
      <c r="B976" t="s">
        <v>60</v>
      </c>
      <c r="C976" s="43" t="s">
        <v>432</v>
      </c>
      <c r="D976" s="43">
        <v>9254</v>
      </c>
      <c r="E976" t="s">
        <v>664</v>
      </c>
      <c r="F976" s="47" t="str">
        <f>+Empresa_Centro[[#This Row],[Codigo Centro Gestion]]&amp;" - "&amp;Empresa_Centro[[#This Row],[Nombre Centro Gestion]]</f>
        <v>9254 - PV Trinidad Ramirez</v>
      </c>
    </row>
    <row r="977" spans="1:6" x14ac:dyDescent="0.25">
      <c r="A977" s="43">
        <v>70</v>
      </c>
      <c r="B977" t="s">
        <v>60</v>
      </c>
      <c r="C977" s="43" t="s">
        <v>432</v>
      </c>
      <c r="D977" s="43">
        <v>9255</v>
      </c>
      <c r="E977" t="s">
        <v>665</v>
      </c>
      <c r="F977" s="47" t="str">
        <f>+Empresa_Centro[[#This Row],[Codigo Centro Gestion]]&amp;" - "&amp;Empresa_Centro[[#This Row],[Nombre Centro Gestion]]</f>
        <v>9255 - PV Condominio Lago Ranco</v>
      </c>
    </row>
    <row r="978" spans="1:6" x14ac:dyDescent="0.25">
      <c r="A978" s="43">
        <v>70</v>
      </c>
      <c r="B978" t="s">
        <v>60</v>
      </c>
      <c r="C978" s="43" t="s">
        <v>432</v>
      </c>
      <c r="D978" s="43">
        <v>9256</v>
      </c>
      <c r="E978" t="s">
        <v>666</v>
      </c>
      <c r="F978" s="47" t="str">
        <f>+Empresa_Centro[[#This Row],[Codigo Centro Gestion]]&amp;" - "&amp;Empresa_Centro[[#This Row],[Nombre Centro Gestion]]</f>
        <v>9256 - PV Edificio Lynch</v>
      </c>
    </row>
    <row r="979" spans="1:6" x14ac:dyDescent="0.25">
      <c r="A979" s="43">
        <v>70</v>
      </c>
      <c r="B979" t="s">
        <v>60</v>
      </c>
      <c r="C979" s="43" t="s">
        <v>432</v>
      </c>
      <c r="D979" s="43">
        <v>9258</v>
      </c>
      <c r="E979" t="s">
        <v>667</v>
      </c>
      <c r="F979" s="47" t="str">
        <f>+Empresa_Centro[[#This Row],[Codigo Centro Gestion]]&amp;" - "&amp;Empresa_Centro[[#This Row],[Nombre Centro Gestion]]</f>
        <v>9258 - PV Condominio Jorge Cáceres Etapa 1</v>
      </c>
    </row>
    <row r="980" spans="1:6" x14ac:dyDescent="0.25">
      <c r="A980" s="43">
        <v>70</v>
      </c>
      <c r="B980" t="s">
        <v>60</v>
      </c>
      <c r="C980" s="43" t="s">
        <v>432</v>
      </c>
      <c r="D980" s="43">
        <v>9259</v>
      </c>
      <c r="E980" t="s">
        <v>668</v>
      </c>
      <c r="F980" s="47" t="str">
        <f>+Empresa_Centro[[#This Row],[Codigo Centro Gestion]]&amp;" - "&amp;Empresa_Centro[[#This Row],[Nombre Centro Gestion]]</f>
        <v>9259 - PV Edificio Parque Urbano</v>
      </c>
    </row>
    <row r="981" spans="1:6" x14ac:dyDescent="0.25">
      <c r="A981" s="43">
        <v>70</v>
      </c>
      <c r="B981" t="s">
        <v>60</v>
      </c>
      <c r="C981" s="43" t="s">
        <v>432</v>
      </c>
      <c r="D981" s="43">
        <v>9260</v>
      </c>
      <c r="E981" t="s">
        <v>669</v>
      </c>
      <c r="F981" s="47" t="str">
        <f>+Empresa_Centro[[#This Row],[Codigo Centro Gestion]]&amp;" - "&amp;Empresa_Centro[[#This Row],[Nombre Centro Gestion]]</f>
        <v>9260 - PV Edificio Lia Aguirre</v>
      </c>
    </row>
    <row r="982" spans="1:6" x14ac:dyDescent="0.25">
      <c r="A982" s="43">
        <v>70</v>
      </c>
      <c r="B982" t="s">
        <v>60</v>
      </c>
      <c r="C982" s="43" t="s">
        <v>432</v>
      </c>
      <c r="D982" s="43">
        <v>9262</v>
      </c>
      <c r="E982" t="s">
        <v>670</v>
      </c>
      <c r="F982" s="47" t="str">
        <f>+Empresa_Centro[[#This Row],[Codigo Centro Gestion]]&amp;" - "&amp;Empresa_Centro[[#This Row],[Nombre Centro Gestion]]</f>
        <v>9262 - PV Alto Marañon 3</v>
      </c>
    </row>
    <row r="983" spans="1:6" x14ac:dyDescent="0.25">
      <c r="A983" s="43">
        <v>70</v>
      </c>
      <c r="B983" t="s">
        <v>60</v>
      </c>
      <c r="C983" s="43" t="s">
        <v>432</v>
      </c>
      <c r="D983" s="43">
        <v>9264</v>
      </c>
      <c r="E983" t="s">
        <v>671</v>
      </c>
      <c r="F983" s="47" t="str">
        <f>+Empresa_Centro[[#This Row],[Codigo Centro Gestion]]&amp;" - "&amp;Empresa_Centro[[#This Row],[Nombre Centro Gestion]]</f>
        <v>9264 - PV Edificio Libertad</v>
      </c>
    </row>
    <row r="984" spans="1:6" x14ac:dyDescent="0.25">
      <c r="A984" s="43">
        <v>70</v>
      </c>
      <c r="B984" t="s">
        <v>60</v>
      </c>
      <c r="C984" s="43" t="s">
        <v>432</v>
      </c>
      <c r="D984" s="43">
        <v>9294</v>
      </c>
      <c r="E984" t="s">
        <v>672</v>
      </c>
      <c r="F984" s="47" t="str">
        <f>+Empresa_Centro[[#This Row],[Codigo Centro Gestion]]&amp;" - "&amp;Empresa_Centro[[#This Row],[Nombre Centro Gestion]]</f>
        <v>9294 - PV JARDINES DEL POLO 2</v>
      </c>
    </row>
    <row r="985" spans="1:6" x14ac:dyDescent="0.25">
      <c r="A985" s="43">
        <v>70</v>
      </c>
      <c r="B985" t="s">
        <v>60</v>
      </c>
      <c r="C985" s="43" t="s">
        <v>432</v>
      </c>
      <c r="D985" s="43">
        <v>9301</v>
      </c>
      <c r="E985" t="s">
        <v>673</v>
      </c>
      <c r="F985" s="47" t="str">
        <f>+Empresa_Centro[[#This Row],[Codigo Centro Gestion]]&amp;" - "&amp;Empresa_Centro[[#This Row],[Nombre Centro Gestion]]</f>
        <v>9301 - PV Condominio Jorge Cáceres Etapa 2</v>
      </c>
    </row>
    <row r="986" spans="1:6" x14ac:dyDescent="0.25">
      <c r="A986" s="43">
        <v>70</v>
      </c>
      <c r="B986" t="s">
        <v>60</v>
      </c>
      <c r="C986" s="43" t="s">
        <v>432</v>
      </c>
      <c r="D986" s="43">
        <v>9303</v>
      </c>
      <c r="E986" t="s">
        <v>674</v>
      </c>
      <c r="F986" s="47" t="str">
        <f>+Empresa_Centro[[#This Row],[Codigo Centro Gestion]]&amp;" - "&amp;Empresa_Centro[[#This Row],[Nombre Centro Gestion]]</f>
        <v>9303 - PV Condominio Palmas del Sur II</v>
      </c>
    </row>
    <row r="987" spans="1:6" x14ac:dyDescent="0.25">
      <c r="A987" s="43">
        <v>70</v>
      </c>
      <c r="B987" t="s">
        <v>60</v>
      </c>
      <c r="C987" s="43" t="s">
        <v>432</v>
      </c>
      <c r="D987" s="43">
        <v>9304</v>
      </c>
      <c r="E987" t="s">
        <v>675</v>
      </c>
      <c r="F987" s="47" t="str">
        <f>+Empresa_Centro[[#This Row],[Codigo Centro Gestion]]&amp;" - "&amp;Empresa_Centro[[#This Row],[Nombre Centro Gestion]]</f>
        <v>9304 - PV Blanca Estela I Torre A y B</v>
      </c>
    </row>
    <row r="988" spans="1:6" x14ac:dyDescent="0.25">
      <c r="A988" s="43">
        <v>70</v>
      </c>
      <c r="B988" t="s">
        <v>60</v>
      </c>
      <c r="C988" s="43" t="s">
        <v>432</v>
      </c>
      <c r="D988" s="43">
        <v>9305</v>
      </c>
      <c r="E988" t="s">
        <v>700</v>
      </c>
      <c r="F988" s="47" t="str">
        <f>+Empresa_Centro[[#This Row],[Codigo Centro Gestion]]&amp;" - "&amp;Empresa_Centro[[#This Row],[Nombre Centro Gestion]]</f>
        <v>9305 - PV Condominio Parque del Sur Torre A</v>
      </c>
    </row>
    <row r="989" spans="1:6" x14ac:dyDescent="0.25">
      <c r="A989" s="43">
        <v>70</v>
      </c>
      <c r="B989" t="s">
        <v>60</v>
      </c>
      <c r="C989" s="43" t="s">
        <v>432</v>
      </c>
      <c r="D989" s="43">
        <v>9306</v>
      </c>
      <c r="E989" t="s">
        <v>676</v>
      </c>
      <c r="F989" s="47" t="str">
        <f>+Empresa_Centro[[#This Row],[Codigo Centro Gestion]]&amp;" - "&amp;Empresa_Centro[[#This Row],[Nombre Centro Gestion]]</f>
        <v>9306 - PV Edificio Latorre</v>
      </c>
    </row>
    <row r="990" spans="1:6" x14ac:dyDescent="0.25">
      <c r="A990" s="43">
        <v>70</v>
      </c>
      <c r="B990" t="s">
        <v>60</v>
      </c>
      <c r="C990" s="43" t="s">
        <v>432</v>
      </c>
      <c r="D990" s="43">
        <v>9359</v>
      </c>
      <c r="E990" t="s">
        <v>677</v>
      </c>
      <c r="F990" s="47" t="str">
        <f>+Empresa_Centro[[#This Row],[Codigo Centro Gestion]]&amp;" - "&amp;Empresa_Centro[[#This Row],[Nombre Centro Gestion]]</f>
        <v>9359 - PV Edificio Liparita</v>
      </c>
    </row>
    <row r="991" spans="1:6" x14ac:dyDescent="0.25">
      <c r="A991" s="43">
        <v>70</v>
      </c>
      <c r="B991" t="s">
        <v>60</v>
      </c>
      <c r="C991" s="43" t="s">
        <v>432</v>
      </c>
      <c r="D991" s="43">
        <v>9900</v>
      </c>
      <c r="E991" t="s">
        <v>678</v>
      </c>
      <c r="F991" s="47" t="str">
        <f>+Empresa_Centro[[#This Row],[Codigo Centro Gestion]]&amp;" - "&amp;Empresa_Centro[[#This Row],[Nombre Centro Gestion]]</f>
        <v>9900 - PV Remodelación don RVC</v>
      </c>
    </row>
    <row r="992" spans="1:6" x14ac:dyDescent="0.25">
      <c r="A992" s="43">
        <v>70</v>
      </c>
      <c r="B992" t="s">
        <v>60</v>
      </c>
      <c r="C992" s="43" t="s">
        <v>432</v>
      </c>
      <c r="D992" s="43">
        <v>9901</v>
      </c>
      <c r="E992" t="s">
        <v>679</v>
      </c>
      <c r="F992" s="47" t="str">
        <f>+Empresa_Centro[[#This Row],[Codigo Centro Gestion]]&amp;" - "&amp;Empresa_Centro[[#This Row],[Nombre Centro Gestion]]</f>
        <v>9901 - PV Vistamar I</v>
      </c>
    </row>
    <row r="993" spans="1:6" x14ac:dyDescent="0.25">
      <c r="A993" s="43">
        <v>70</v>
      </c>
      <c r="B993" t="s">
        <v>60</v>
      </c>
      <c r="C993" s="43" t="s">
        <v>432</v>
      </c>
      <c r="D993" s="43">
        <v>9903</v>
      </c>
      <c r="E993" t="s">
        <v>680</v>
      </c>
      <c r="F993" s="47" t="str">
        <f>+Empresa_Centro[[#This Row],[Codigo Centro Gestion]]&amp;" - "&amp;Empresa_Centro[[#This Row],[Nombre Centro Gestion]]</f>
        <v>9903 - PV Rey del Mar</v>
      </c>
    </row>
    <row r="994" spans="1:6" x14ac:dyDescent="0.25">
      <c r="A994" s="43">
        <v>70</v>
      </c>
      <c r="B994" t="s">
        <v>60</v>
      </c>
      <c r="C994" s="43" t="s">
        <v>432</v>
      </c>
      <c r="D994" s="43">
        <v>9904</v>
      </c>
      <c r="E994" t="s">
        <v>681</v>
      </c>
      <c r="F994" s="47" t="str">
        <f>+Empresa_Centro[[#This Row],[Codigo Centro Gestion]]&amp;" - "&amp;Empresa_Centro[[#This Row],[Nombre Centro Gestion]]</f>
        <v>9904 - PV Edifcio Campanario I</v>
      </c>
    </row>
    <row r="995" spans="1:6" x14ac:dyDescent="0.25">
      <c r="A995" s="43">
        <v>70</v>
      </c>
      <c r="B995" t="s">
        <v>60</v>
      </c>
      <c r="C995" s="43" t="s">
        <v>432</v>
      </c>
      <c r="D995" s="43">
        <v>9905</v>
      </c>
      <c r="E995" t="s">
        <v>682</v>
      </c>
      <c r="F995" s="47" t="str">
        <f>+Empresa_Centro[[#This Row],[Codigo Centro Gestion]]&amp;" - "&amp;Empresa_Centro[[#This Row],[Nombre Centro Gestion]]</f>
        <v>9905 - PV Edifcio Campanario II</v>
      </c>
    </row>
    <row r="996" spans="1:6" x14ac:dyDescent="0.25">
      <c r="A996" s="43">
        <v>70</v>
      </c>
      <c r="B996" t="s">
        <v>60</v>
      </c>
      <c r="C996" s="43" t="s">
        <v>432</v>
      </c>
      <c r="D996" s="43">
        <v>9906</v>
      </c>
      <c r="E996" t="s">
        <v>683</v>
      </c>
      <c r="F996" s="47" t="str">
        <f>+Empresa_Centro[[#This Row],[Codigo Centro Gestion]]&amp;" - "&amp;Empresa_Centro[[#This Row],[Nombre Centro Gestion]]</f>
        <v>9906 - PV Edifcio Campanario III</v>
      </c>
    </row>
    <row r="997" spans="1:6" x14ac:dyDescent="0.25">
      <c r="A997" s="43">
        <v>70</v>
      </c>
      <c r="B997" t="s">
        <v>60</v>
      </c>
      <c r="C997" s="43" t="s">
        <v>432</v>
      </c>
      <c r="D997" s="43">
        <v>9907</v>
      </c>
      <c r="E997" t="s">
        <v>684</v>
      </c>
      <c r="F997" s="47" t="str">
        <f>+Empresa_Centro[[#This Row],[Codigo Centro Gestion]]&amp;" - "&amp;Empresa_Centro[[#This Row],[Nombre Centro Gestion]]</f>
        <v>9907 - PV Edificio Meseta I</v>
      </c>
    </row>
    <row r="998" spans="1:6" x14ac:dyDescent="0.25">
      <c r="A998" s="43">
        <v>70</v>
      </c>
      <c r="B998" t="s">
        <v>60</v>
      </c>
      <c r="C998" s="43" t="s">
        <v>432</v>
      </c>
      <c r="D998" s="43">
        <v>9909</v>
      </c>
      <c r="E998" t="s">
        <v>685</v>
      </c>
      <c r="F998" s="47" t="str">
        <f>+Empresa_Centro[[#This Row],[Codigo Centro Gestion]]&amp;" - "&amp;Empresa_Centro[[#This Row],[Nombre Centro Gestion]]</f>
        <v>9909 - PV Colegio Saint Margaret</v>
      </c>
    </row>
    <row r="999" spans="1:6" x14ac:dyDescent="0.25">
      <c r="A999" s="43">
        <v>70</v>
      </c>
      <c r="B999" t="s">
        <v>60</v>
      </c>
      <c r="C999" s="43" t="s">
        <v>432</v>
      </c>
      <c r="D999" s="43">
        <v>9910</v>
      </c>
      <c r="E999" t="s">
        <v>686</v>
      </c>
      <c r="F999" s="47" t="str">
        <f>+Empresa_Centro[[#This Row],[Codigo Centro Gestion]]&amp;" - "&amp;Empresa_Centro[[#This Row],[Nombre Centro Gestion]]</f>
        <v>9910 - PV Colegio Saint Paul</v>
      </c>
    </row>
    <row r="1000" spans="1:6" x14ac:dyDescent="0.25">
      <c r="A1000" s="43">
        <v>70</v>
      </c>
      <c r="B1000" t="s">
        <v>60</v>
      </c>
      <c r="C1000" s="43" t="s">
        <v>432</v>
      </c>
      <c r="D1000" s="43">
        <v>9911</v>
      </c>
      <c r="E1000" t="s">
        <v>687</v>
      </c>
      <c r="F1000" s="47" t="str">
        <f>+Empresa_Centro[[#This Row],[Codigo Centro Gestion]]&amp;" - "&amp;Empresa_Centro[[#This Row],[Nombre Centro Gestion]]</f>
        <v>9911 - PV Tribunales Valparaiso</v>
      </c>
    </row>
    <row r="1001" spans="1:6" x14ac:dyDescent="0.25">
      <c r="A1001" s="43">
        <v>70</v>
      </c>
      <c r="B1001" t="s">
        <v>60</v>
      </c>
      <c r="C1001" s="43" t="s">
        <v>432</v>
      </c>
      <c r="D1001" s="43">
        <v>9912</v>
      </c>
      <c r="E1001" t="s">
        <v>688</v>
      </c>
      <c r="F1001" s="47" t="str">
        <f>+Empresa_Centro[[#This Row],[Codigo Centro Gestion]]&amp;" - "&amp;Empresa_Centro[[#This Row],[Nombre Centro Gestion]]</f>
        <v>9912 - PV Casa Zapallar</v>
      </c>
    </row>
    <row r="1002" spans="1:6" x14ac:dyDescent="0.25">
      <c r="A1002" s="43">
        <v>70</v>
      </c>
      <c r="B1002" t="s">
        <v>60</v>
      </c>
      <c r="C1002" s="43" t="s">
        <v>432</v>
      </c>
      <c r="D1002" s="43">
        <v>9913</v>
      </c>
      <c r="E1002" t="s">
        <v>689</v>
      </c>
      <c r="F1002" s="47" t="str">
        <f>+Empresa_Centro[[#This Row],[Codigo Centro Gestion]]&amp;" - "&amp;Empresa_Centro[[#This Row],[Nombre Centro Gestion]]</f>
        <v>9913 - PV Edificio Doña Teresa</v>
      </c>
    </row>
    <row r="1003" spans="1:6" x14ac:dyDescent="0.25">
      <c r="A1003" s="43">
        <v>70</v>
      </c>
      <c r="B1003" t="s">
        <v>60</v>
      </c>
      <c r="C1003" s="43" t="s">
        <v>432</v>
      </c>
      <c r="D1003" s="43">
        <v>9914</v>
      </c>
      <c r="E1003" t="s">
        <v>690</v>
      </c>
      <c r="F1003" s="47" t="str">
        <f>+Empresa_Centro[[#This Row],[Codigo Centro Gestion]]&amp;" - "&amp;Empresa_Centro[[#This Row],[Nombre Centro Gestion]]</f>
        <v>9914 - PV Edificio Sacramentinos I</v>
      </c>
    </row>
    <row r="1004" spans="1:6" x14ac:dyDescent="0.25">
      <c r="A1004" s="43">
        <v>70</v>
      </c>
      <c r="B1004" t="s">
        <v>60</v>
      </c>
      <c r="C1004" s="43" t="s">
        <v>432</v>
      </c>
      <c r="D1004" s="43">
        <v>9915</v>
      </c>
      <c r="E1004" t="s">
        <v>691</v>
      </c>
      <c r="F1004" s="47" t="str">
        <f>+Empresa_Centro[[#This Row],[Codigo Centro Gestion]]&amp;" - "&amp;Empresa_Centro[[#This Row],[Nombre Centro Gestion]]</f>
        <v>9915 - PV Edificio Sacramentinos II</v>
      </c>
    </row>
    <row r="1005" spans="1:6" x14ac:dyDescent="0.25">
      <c r="A1005" s="43">
        <v>70</v>
      </c>
      <c r="B1005" t="s">
        <v>60</v>
      </c>
      <c r="C1005" s="43" t="s">
        <v>432</v>
      </c>
      <c r="D1005" s="43">
        <v>9916</v>
      </c>
      <c r="E1005" t="s">
        <v>692</v>
      </c>
      <c r="F1005" s="47" t="str">
        <f>+Empresa_Centro[[#This Row],[Codigo Centro Gestion]]&amp;" - "&amp;Empresa_Centro[[#This Row],[Nombre Centro Gestion]]</f>
        <v>9916 - PV Edificio Sacramentinos III</v>
      </c>
    </row>
    <row r="1006" spans="1:6" x14ac:dyDescent="0.25">
      <c r="A1006" s="43">
        <v>70</v>
      </c>
      <c r="B1006" t="s">
        <v>60</v>
      </c>
      <c r="C1006" s="43" t="s">
        <v>432</v>
      </c>
      <c r="D1006" s="43">
        <v>9917</v>
      </c>
      <c r="E1006" t="s">
        <v>693</v>
      </c>
      <c r="F1006" s="47" t="str">
        <f>+Empresa_Centro[[#This Row],[Codigo Centro Gestion]]&amp;" - "&amp;Empresa_Centro[[#This Row],[Nombre Centro Gestion]]</f>
        <v>9917 - PV Edificio Galvarino Gallardo</v>
      </c>
    </row>
    <row r="1007" spans="1:6" x14ac:dyDescent="0.25">
      <c r="A1007" s="43">
        <v>70</v>
      </c>
      <c r="B1007" t="s">
        <v>60</v>
      </c>
      <c r="C1007" s="43" t="s">
        <v>432</v>
      </c>
      <c r="D1007" s="43">
        <v>9918</v>
      </c>
      <c r="E1007" t="s">
        <v>694</v>
      </c>
      <c r="F1007" s="47" t="str">
        <f>+Empresa_Centro[[#This Row],[Codigo Centro Gestion]]&amp;" - "&amp;Empresa_Centro[[#This Row],[Nombre Centro Gestion]]</f>
        <v>9918 - PV Templo Mormon</v>
      </c>
    </row>
    <row r="1008" spans="1:6" x14ac:dyDescent="0.25">
      <c r="A1008" s="43">
        <v>70</v>
      </c>
      <c r="B1008" t="s">
        <v>60</v>
      </c>
      <c r="C1008" s="43" t="s">
        <v>432</v>
      </c>
      <c r="D1008" s="43">
        <v>9919</v>
      </c>
      <c r="E1008" t="s">
        <v>695</v>
      </c>
      <c r="F1008" s="47" t="str">
        <f>+Empresa_Centro[[#This Row],[Codigo Centro Gestion]]&amp;" - "&amp;Empresa_Centro[[#This Row],[Nombre Centro Gestion]]</f>
        <v>9919 - PV Consultorio Pudahuel</v>
      </c>
    </row>
    <row r="1009" spans="1:6" x14ac:dyDescent="0.25">
      <c r="A1009" s="43">
        <v>70</v>
      </c>
      <c r="B1009" t="s">
        <v>60</v>
      </c>
      <c r="C1009" s="43" t="s">
        <v>432</v>
      </c>
      <c r="D1009" s="43">
        <v>9920</v>
      </c>
      <c r="E1009" t="s">
        <v>696</v>
      </c>
      <c r="F1009" s="47" t="str">
        <f>+Empresa_Centro[[#This Row],[Codigo Centro Gestion]]&amp;" - "&amp;Empresa_Centro[[#This Row],[Nombre Centro Gestion]]</f>
        <v>9920 - PV Consultorio Santa Amalia</v>
      </c>
    </row>
    <row r="1010" spans="1:6" x14ac:dyDescent="0.25">
      <c r="A1010" s="43">
        <v>70</v>
      </c>
      <c r="B1010" t="s">
        <v>60</v>
      </c>
      <c r="C1010" s="43" t="s">
        <v>432</v>
      </c>
      <c r="D1010" s="43">
        <v>9921</v>
      </c>
      <c r="E1010" t="s">
        <v>697</v>
      </c>
      <c r="F1010" s="47" t="str">
        <f>+Empresa_Centro[[#This Row],[Codigo Centro Gestion]]&amp;" - "&amp;Empresa_Centro[[#This Row],[Nombre Centro Gestion]]</f>
        <v>9921 - PV Clinica Los Tiempos</v>
      </c>
    </row>
    <row r="1011" spans="1:6" x14ac:dyDescent="0.25">
      <c r="A1011" s="43">
        <v>70</v>
      </c>
      <c r="B1011" t="s">
        <v>60</v>
      </c>
      <c r="C1011" s="43" t="s">
        <v>432</v>
      </c>
      <c r="D1011" s="43">
        <v>9923</v>
      </c>
      <c r="E1011" t="s">
        <v>698</v>
      </c>
      <c r="F1011" s="47" t="str">
        <f>+Empresa_Centro[[#This Row],[Codigo Centro Gestion]]&amp;" - "&amp;Empresa_Centro[[#This Row],[Nombre Centro Gestion]]</f>
        <v>9923 - PV Casa Los Dominicos</v>
      </c>
    </row>
    <row r="1012" spans="1:6" x14ac:dyDescent="0.25">
      <c r="A1012" s="43">
        <v>70</v>
      </c>
      <c r="B1012" t="s">
        <v>60</v>
      </c>
      <c r="C1012" s="43" t="s">
        <v>432</v>
      </c>
      <c r="D1012" s="43">
        <v>9924</v>
      </c>
      <c r="E1012" t="s">
        <v>699</v>
      </c>
      <c r="F1012" s="47" t="str">
        <f>+Empresa_Centro[[#This Row],[Codigo Centro Gestion]]&amp;" - "&amp;Empresa_Centro[[#This Row],[Nombre Centro Gestion]]</f>
        <v>9924 - PV - Depto. IVM</v>
      </c>
    </row>
    <row r="1013" spans="1:6" x14ac:dyDescent="0.25">
      <c r="A1013" s="43">
        <v>70</v>
      </c>
      <c r="B1013" t="s">
        <v>60</v>
      </c>
      <c r="C1013" s="43" t="s">
        <v>432</v>
      </c>
      <c r="D1013" s="43">
        <v>10126</v>
      </c>
      <c r="E1013" t="s">
        <v>121</v>
      </c>
      <c r="F1013" s="47" t="str">
        <f>+Empresa_Centro[[#This Row],[Codigo Centro Gestion]]&amp;" - "&amp;Empresa_Centro[[#This Row],[Nombre Centro Gestion]]</f>
        <v>10126 - CLIENTES ZONAL NORTE 1</v>
      </c>
    </row>
    <row r="1014" spans="1:6" x14ac:dyDescent="0.25">
      <c r="A1014" s="43">
        <v>70</v>
      </c>
      <c r="B1014" t="s">
        <v>60</v>
      </c>
      <c r="C1014" s="43" t="s">
        <v>432</v>
      </c>
      <c r="D1014" s="43">
        <v>10127</v>
      </c>
      <c r="E1014" t="s">
        <v>123</v>
      </c>
      <c r="F1014" s="47" t="str">
        <f>+Empresa_Centro[[#This Row],[Codigo Centro Gestion]]&amp;" - "&amp;Empresa_Centro[[#This Row],[Nombre Centro Gestion]]</f>
        <v>10127 - CLIENTES ZONAL NORTE 2</v>
      </c>
    </row>
    <row r="1015" spans="1:6" x14ac:dyDescent="0.25">
      <c r="A1015" s="43">
        <v>70</v>
      </c>
      <c r="B1015" t="s">
        <v>60</v>
      </c>
      <c r="C1015" s="43" t="s">
        <v>432</v>
      </c>
      <c r="D1015" s="43">
        <v>10128</v>
      </c>
      <c r="E1015" t="s">
        <v>124</v>
      </c>
      <c r="F1015" s="47" t="str">
        <f>+Empresa_Centro[[#This Row],[Codigo Centro Gestion]]&amp;" - "&amp;Empresa_Centro[[#This Row],[Nombre Centro Gestion]]</f>
        <v>10128 - CLIENTES ZONAL NORTE 3</v>
      </c>
    </row>
    <row r="1016" spans="1:6" x14ac:dyDescent="0.25">
      <c r="A1016" s="43">
        <v>70</v>
      </c>
      <c r="B1016" t="s">
        <v>60</v>
      </c>
      <c r="C1016" s="43" t="s">
        <v>432</v>
      </c>
      <c r="D1016" s="43">
        <v>10129</v>
      </c>
      <c r="E1016" t="s">
        <v>125</v>
      </c>
      <c r="F1016" s="47" t="str">
        <f>+Empresa_Centro[[#This Row],[Codigo Centro Gestion]]&amp;" - "&amp;Empresa_Centro[[#This Row],[Nombre Centro Gestion]]</f>
        <v>10129 - CLIENTES ZONAL V REGIÓN</v>
      </c>
    </row>
    <row r="1017" spans="1:6" x14ac:dyDescent="0.25">
      <c r="A1017" s="43">
        <v>70</v>
      </c>
      <c r="B1017" t="s">
        <v>60</v>
      </c>
      <c r="C1017" s="43" t="s">
        <v>432</v>
      </c>
      <c r="D1017" s="43">
        <v>10130</v>
      </c>
      <c r="E1017" t="s">
        <v>126</v>
      </c>
      <c r="F1017" s="47" t="str">
        <f>+Empresa_Centro[[#This Row],[Codigo Centro Gestion]]&amp;" - "&amp;Empresa_Centro[[#This Row],[Nombre Centro Gestion]]</f>
        <v>10130 - CLIENTES ZONAL ZC1</v>
      </c>
    </row>
    <row r="1018" spans="1:6" x14ac:dyDescent="0.25">
      <c r="A1018" s="43">
        <v>70</v>
      </c>
      <c r="B1018" t="s">
        <v>60</v>
      </c>
      <c r="C1018" s="43" t="s">
        <v>432</v>
      </c>
      <c r="D1018" s="43">
        <v>10131</v>
      </c>
      <c r="E1018" t="s">
        <v>127</v>
      </c>
      <c r="F1018" s="47" t="str">
        <f>+Empresa_Centro[[#This Row],[Codigo Centro Gestion]]&amp;" - "&amp;Empresa_Centro[[#This Row],[Nombre Centro Gestion]]</f>
        <v>10131 - CLIENTES ZONAL ZC2</v>
      </c>
    </row>
    <row r="1019" spans="1:6" x14ac:dyDescent="0.25">
      <c r="A1019" s="43">
        <v>70</v>
      </c>
      <c r="B1019" t="s">
        <v>60</v>
      </c>
      <c r="C1019" s="43" t="s">
        <v>432</v>
      </c>
      <c r="D1019" s="43">
        <v>10132</v>
      </c>
      <c r="E1019" t="s">
        <v>128</v>
      </c>
      <c r="F1019" s="47" t="str">
        <f>+Empresa_Centro[[#This Row],[Codigo Centro Gestion]]&amp;" - "&amp;Empresa_Centro[[#This Row],[Nombre Centro Gestion]]</f>
        <v>10132 - ENTREGA NORTE 1</v>
      </c>
    </row>
    <row r="1020" spans="1:6" x14ac:dyDescent="0.25">
      <c r="A1020" s="43">
        <v>70</v>
      </c>
      <c r="B1020" t="s">
        <v>60</v>
      </c>
      <c r="C1020" s="43" t="s">
        <v>432</v>
      </c>
      <c r="D1020" s="43">
        <v>10133</v>
      </c>
      <c r="E1020" t="s">
        <v>131</v>
      </c>
      <c r="F1020" s="47" t="str">
        <f>+Empresa_Centro[[#This Row],[Codigo Centro Gestion]]&amp;" - "&amp;Empresa_Centro[[#This Row],[Nombre Centro Gestion]]</f>
        <v>10133 - ENTREGA NORTE 2</v>
      </c>
    </row>
    <row r="1021" spans="1:6" x14ac:dyDescent="0.25">
      <c r="A1021" s="43">
        <v>70</v>
      </c>
      <c r="B1021" t="s">
        <v>60</v>
      </c>
      <c r="C1021" s="43" t="s">
        <v>432</v>
      </c>
      <c r="D1021" s="43">
        <v>10134</v>
      </c>
      <c r="E1021" t="s">
        <v>132</v>
      </c>
      <c r="F1021" s="47" t="str">
        <f>+Empresa_Centro[[#This Row],[Codigo Centro Gestion]]&amp;" - "&amp;Empresa_Centro[[#This Row],[Nombre Centro Gestion]]</f>
        <v>10134 - ENTREGA NORTE 3</v>
      </c>
    </row>
    <row r="1022" spans="1:6" x14ac:dyDescent="0.25">
      <c r="A1022" s="43">
        <v>70</v>
      </c>
      <c r="B1022" t="s">
        <v>60</v>
      </c>
      <c r="C1022" s="43" t="s">
        <v>432</v>
      </c>
      <c r="D1022" s="43">
        <v>10135</v>
      </c>
      <c r="E1022" t="s">
        <v>133</v>
      </c>
      <c r="F1022" s="47" t="str">
        <f>+Empresa_Centro[[#This Row],[Codigo Centro Gestion]]&amp;" - "&amp;Empresa_Centro[[#This Row],[Nombre Centro Gestion]]</f>
        <v>10135 - ENTREGA V REGIÓN</v>
      </c>
    </row>
    <row r="1023" spans="1:6" x14ac:dyDescent="0.25">
      <c r="A1023" s="43">
        <v>70</v>
      </c>
      <c r="B1023" t="s">
        <v>60</v>
      </c>
      <c r="C1023" s="43" t="s">
        <v>432</v>
      </c>
      <c r="D1023" s="43">
        <v>10136</v>
      </c>
      <c r="E1023" t="s">
        <v>134</v>
      </c>
      <c r="F1023" s="47" t="str">
        <f>+Empresa_Centro[[#This Row],[Codigo Centro Gestion]]&amp;" - "&amp;Empresa_Centro[[#This Row],[Nombre Centro Gestion]]</f>
        <v>10136 - ENTREGA ZC1</v>
      </c>
    </row>
    <row r="1024" spans="1:6" x14ac:dyDescent="0.25">
      <c r="A1024" s="43">
        <v>70</v>
      </c>
      <c r="B1024" t="s">
        <v>60</v>
      </c>
      <c r="C1024" s="43" t="s">
        <v>432</v>
      </c>
      <c r="D1024" s="43">
        <v>10137</v>
      </c>
      <c r="E1024" t="s">
        <v>135</v>
      </c>
      <c r="F1024" s="47" t="str">
        <f>+Empresa_Centro[[#This Row],[Codigo Centro Gestion]]&amp;" - "&amp;Empresa_Centro[[#This Row],[Nombre Centro Gestion]]</f>
        <v>10137 - ENTREGA ZC2</v>
      </c>
    </row>
    <row r="1025" spans="1:6" x14ac:dyDescent="0.25">
      <c r="A1025" s="43">
        <v>70</v>
      </c>
      <c r="B1025" t="s">
        <v>60</v>
      </c>
      <c r="C1025" s="43" t="s">
        <v>432</v>
      </c>
      <c r="D1025" s="43">
        <v>10138</v>
      </c>
      <c r="E1025" t="s">
        <v>136</v>
      </c>
      <c r="F1025" s="47" t="str">
        <f>+Empresa_Centro[[#This Row],[Codigo Centro Gestion]]&amp;" - "&amp;Empresa_Centro[[#This Row],[Nombre Centro Gestion]]</f>
        <v>10138 - POSTVENTA NORTE 1</v>
      </c>
    </row>
    <row r="1026" spans="1:6" x14ac:dyDescent="0.25">
      <c r="A1026" s="43">
        <v>70</v>
      </c>
      <c r="B1026" t="s">
        <v>60</v>
      </c>
      <c r="C1026" s="43" t="s">
        <v>432</v>
      </c>
      <c r="D1026" s="43">
        <v>10139</v>
      </c>
      <c r="E1026" t="s">
        <v>137</v>
      </c>
      <c r="F1026" s="47" t="str">
        <f>+Empresa_Centro[[#This Row],[Codigo Centro Gestion]]&amp;" - "&amp;Empresa_Centro[[#This Row],[Nombre Centro Gestion]]</f>
        <v>10139 - POSTVENTA NORTE 2</v>
      </c>
    </row>
    <row r="1027" spans="1:6" x14ac:dyDescent="0.25">
      <c r="A1027" s="43">
        <v>70</v>
      </c>
      <c r="B1027" t="s">
        <v>60</v>
      </c>
      <c r="C1027" s="43" t="s">
        <v>432</v>
      </c>
      <c r="D1027" s="43">
        <v>10140</v>
      </c>
      <c r="E1027" t="s">
        <v>138</v>
      </c>
      <c r="F1027" s="47" t="str">
        <f>+Empresa_Centro[[#This Row],[Codigo Centro Gestion]]&amp;" - "&amp;Empresa_Centro[[#This Row],[Nombre Centro Gestion]]</f>
        <v>10140 - POSTVENTA NORTE 3</v>
      </c>
    </row>
    <row r="1028" spans="1:6" x14ac:dyDescent="0.25">
      <c r="A1028" s="43">
        <v>70</v>
      </c>
      <c r="B1028" t="s">
        <v>60</v>
      </c>
      <c r="C1028" s="43" t="s">
        <v>432</v>
      </c>
      <c r="D1028" s="43">
        <v>10141</v>
      </c>
      <c r="E1028" t="s">
        <v>139</v>
      </c>
      <c r="F1028" s="47" t="str">
        <f>+Empresa_Centro[[#This Row],[Codigo Centro Gestion]]&amp;" - "&amp;Empresa_Centro[[#This Row],[Nombre Centro Gestion]]</f>
        <v>10141 - POSTVENTA V REGIÓN</v>
      </c>
    </row>
    <row r="1029" spans="1:6" x14ac:dyDescent="0.25">
      <c r="A1029" s="43">
        <v>70</v>
      </c>
      <c r="B1029" t="s">
        <v>60</v>
      </c>
      <c r="C1029" s="43" t="s">
        <v>432</v>
      </c>
      <c r="D1029" s="43">
        <v>10142</v>
      </c>
      <c r="E1029" t="s">
        <v>140</v>
      </c>
      <c r="F1029" s="47" t="str">
        <f>+Empresa_Centro[[#This Row],[Codigo Centro Gestion]]&amp;" - "&amp;Empresa_Centro[[#This Row],[Nombre Centro Gestion]]</f>
        <v>10142 - POSTVENTA ZC1</v>
      </c>
    </row>
    <row r="1030" spans="1:6" x14ac:dyDescent="0.25">
      <c r="A1030" s="43">
        <v>70</v>
      </c>
      <c r="B1030" t="s">
        <v>60</v>
      </c>
      <c r="C1030" s="43" t="s">
        <v>432</v>
      </c>
      <c r="D1030" s="43">
        <v>10143</v>
      </c>
      <c r="E1030" t="s">
        <v>141</v>
      </c>
      <c r="F1030" s="47" t="str">
        <f>+Empresa_Centro[[#This Row],[Codigo Centro Gestion]]&amp;" - "&amp;Empresa_Centro[[#This Row],[Nombre Centro Gestion]]</f>
        <v>10143 - POSTVENTA ZC2</v>
      </c>
    </row>
    <row r="1031" spans="1:6" x14ac:dyDescent="0.25">
      <c r="A1031" s="43">
        <v>70</v>
      </c>
      <c r="B1031" t="s">
        <v>60</v>
      </c>
      <c r="C1031" s="43" t="s">
        <v>432</v>
      </c>
      <c r="D1031" s="43">
        <v>10315</v>
      </c>
      <c r="E1031" t="s">
        <v>191</v>
      </c>
      <c r="F1031" s="47" t="str">
        <f>+Empresa_Centro[[#This Row],[Codigo Centro Gestion]]&amp;" - "&amp;Empresa_Centro[[#This Row],[Nombre Centro Gestion]]</f>
        <v>10315 - Centro General zonal</v>
      </c>
    </row>
    <row r="1032" spans="1:6" x14ac:dyDescent="0.25">
      <c r="A1032" s="43">
        <v>70</v>
      </c>
      <c r="B1032" t="s">
        <v>60</v>
      </c>
      <c r="C1032" s="43" t="s">
        <v>432</v>
      </c>
      <c r="D1032" s="43">
        <v>70309</v>
      </c>
      <c r="E1032" t="s">
        <v>252</v>
      </c>
      <c r="F1032" s="47" t="str">
        <f>+Empresa_Centro[[#This Row],[Codigo Centro Gestion]]&amp;" - "&amp;Empresa_Centro[[#This Row],[Nombre Centro Gestion]]</f>
        <v>70309 - OFICINA CENTRAL</v>
      </c>
    </row>
    <row r="1033" spans="1:6" x14ac:dyDescent="0.25">
      <c r="A1033" s="43">
        <v>70</v>
      </c>
      <c r="B1033" t="s">
        <v>60</v>
      </c>
      <c r="C1033" s="43" t="s">
        <v>432</v>
      </c>
      <c r="D1033" s="43">
        <v>70312</v>
      </c>
      <c r="E1033" t="s">
        <v>258</v>
      </c>
      <c r="F1033" s="47" t="str">
        <f>+Empresa_Centro[[#This Row],[Codigo Centro Gestion]]&amp;" - "&amp;Empresa_Centro[[#This Row],[Nombre Centro Gestion]]</f>
        <v>70312 - CONTABILIDAD GENERAL</v>
      </c>
    </row>
    <row r="1034" spans="1:6" x14ac:dyDescent="0.25">
      <c r="A1034" s="43">
        <v>70</v>
      </c>
      <c r="B1034" t="s">
        <v>60</v>
      </c>
      <c r="C1034" s="43" t="s">
        <v>432</v>
      </c>
      <c r="D1034" s="43">
        <v>70318</v>
      </c>
      <c r="E1034" t="s">
        <v>262</v>
      </c>
      <c r="F1034" s="47" t="str">
        <f>+Empresa_Centro[[#This Row],[Codigo Centro Gestion]]&amp;" - "&amp;Empresa_Centro[[#This Row],[Nombre Centro Gestion]]</f>
        <v>70318 - OFICINA CENTRAL CAPITAL HUMANO</v>
      </c>
    </row>
    <row r="1035" spans="1:6" x14ac:dyDescent="0.25">
      <c r="A1035" s="43">
        <v>70</v>
      </c>
      <c r="B1035" t="s">
        <v>60</v>
      </c>
      <c r="C1035" s="43" t="s">
        <v>432</v>
      </c>
      <c r="D1035" s="43">
        <v>70401</v>
      </c>
      <c r="E1035" t="s">
        <v>263</v>
      </c>
      <c r="F1035" s="47" t="str">
        <f>+Empresa_Centro[[#This Row],[Codigo Centro Gestion]]&amp;" - "&amp;Empresa_Centro[[#This Row],[Nombre Centro Gestion]]</f>
        <v>70401 - GERENCIA GENERAL CORP</v>
      </c>
    </row>
    <row r="1036" spans="1:6" x14ac:dyDescent="0.25">
      <c r="A1036" s="43">
        <v>70</v>
      </c>
      <c r="B1036" t="s">
        <v>60</v>
      </c>
      <c r="C1036" s="43" t="s">
        <v>432</v>
      </c>
      <c r="D1036" s="43">
        <v>70917</v>
      </c>
      <c r="E1036" t="s">
        <v>284</v>
      </c>
      <c r="F1036" s="47" t="str">
        <f>+Empresa_Centro[[#This Row],[Codigo Centro Gestion]]&amp;" - "&amp;Empresa_Centro[[#This Row],[Nombre Centro Gestion]]</f>
        <v>70917 - OTROS OFICINA CENTRAL</v>
      </c>
    </row>
    <row r="1037" spans="1:6" x14ac:dyDescent="0.25">
      <c r="A1037" s="43">
        <v>63</v>
      </c>
      <c r="B1037" t="s">
        <v>426</v>
      </c>
      <c r="C1037" s="43" t="s">
        <v>427</v>
      </c>
      <c r="D1037" s="43">
        <v>70309</v>
      </c>
      <c r="E1037" t="s">
        <v>252</v>
      </c>
      <c r="F1037" s="47" t="str">
        <f>+Empresa_Centro[[#This Row],[Codigo Centro Gestion]]&amp;" - "&amp;Empresa_Centro[[#This Row],[Nombre Centro Gestion]]</f>
        <v>70309 - OFICINA CENTRAL</v>
      </c>
    </row>
    <row r="1038" spans="1:6" x14ac:dyDescent="0.25">
      <c r="A1038" s="43">
        <v>63</v>
      </c>
      <c r="B1038" t="s">
        <v>426</v>
      </c>
      <c r="C1038" s="43" t="s">
        <v>427</v>
      </c>
      <c r="D1038" s="43">
        <v>70312</v>
      </c>
      <c r="E1038" t="s">
        <v>258</v>
      </c>
      <c r="F1038" s="47" t="str">
        <f>+Empresa_Centro[[#This Row],[Codigo Centro Gestion]]&amp;" - "&amp;Empresa_Centro[[#This Row],[Nombre Centro Gestion]]</f>
        <v>70312 - CONTABILIDAD GENERAL</v>
      </c>
    </row>
    <row r="1039" spans="1:6" x14ac:dyDescent="0.25">
      <c r="A1039" s="43">
        <v>77</v>
      </c>
      <c r="B1039" t="s">
        <v>438</v>
      </c>
      <c r="C1039" s="43" t="s">
        <v>439</v>
      </c>
      <c r="D1039" s="43">
        <v>219</v>
      </c>
      <c r="E1039" t="s">
        <v>462</v>
      </c>
      <c r="F1039" s="47" t="str">
        <f>+Empresa_Centro[[#This Row],[Codigo Centro Gestion]]&amp;" - "&amp;Empresa_Centro[[#This Row],[Nombre Centro Gestion]]</f>
        <v>219 - Edificio Teresa Vial</v>
      </c>
    </row>
    <row r="1040" spans="1:6" x14ac:dyDescent="0.25">
      <c r="A1040" s="43">
        <v>77</v>
      </c>
      <c r="B1040" t="s">
        <v>438</v>
      </c>
      <c r="C1040" s="43" t="s">
        <v>439</v>
      </c>
      <c r="D1040" s="43">
        <v>228</v>
      </c>
      <c r="E1040" t="s">
        <v>463</v>
      </c>
      <c r="F1040" s="47" t="str">
        <f>+Empresa_Centro[[#This Row],[Codigo Centro Gestion]]&amp;" - "&amp;Empresa_Centro[[#This Row],[Nombre Centro Gestion]]</f>
        <v>228 - Edificio Briones Luco</v>
      </c>
    </row>
    <row r="1041" spans="1:6" x14ac:dyDescent="0.25">
      <c r="A1041" s="43">
        <v>77</v>
      </c>
      <c r="B1041" t="s">
        <v>438</v>
      </c>
      <c r="C1041" s="43" t="s">
        <v>439</v>
      </c>
      <c r="D1041" s="43">
        <v>231</v>
      </c>
      <c r="E1041" t="s">
        <v>464</v>
      </c>
      <c r="F1041" s="47" t="str">
        <f>+Empresa_Centro[[#This Row],[Codigo Centro Gestion]]&amp;" - "&amp;Empresa_Centro[[#This Row],[Nombre Centro Gestion]]</f>
        <v>231 - Edificio Guillermo Mann</v>
      </c>
    </row>
    <row r="1042" spans="1:6" x14ac:dyDescent="0.25">
      <c r="A1042" s="43">
        <v>77</v>
      </c>
      <c r="B1042" t="s">
        <v>438</v>
      </c>
      <c r="C1042" s="43" t="s">
        <v>439</v>
      </c>
      <c r="D1042" s="43">
        <v>232</v>
      </c>
      <c r="E1042" t="s">
        <v>465</v>
      </c>
      <c r="F1042" s="47" t="str">
        <f>+Empresa_Centro[[#This Row],[Codigo Centro Gestion]]&amp;" - "&amp;Empresa_Centro[[#This Row],[Nombre Centro Gestion]]</f>
        <v>232 - Edificio Coronel Souper</v>
      </c>
    </row>
    <row r="1043" spans="1:6" x14ac:dyDescent="0.25">
      <c r="A1043" s="43">
        <v>77</v>
      </c>
      <c r="B1043" t="s">
        <v>438</v>
      </c>
      <c r="C1043" s="43" t="s">
        <v>439</v>
      </c>
      <c r="D1043" s="43">
        <v>239</v>
      </c>
      <c r="E1043" t="s">
        <v>466</v>
      </c>
      <c r="F1043" s="47" t="str">
        <f>+Empresa_Centro[[#This Row],[Codigo Centro Gestion]]&amp;" - "&amp;Empresa_Centro[[#This Row],[Nombre Centro Gestion]]</f>
        <v>239 - Alto Mirador</v>
      </c>
    </row>
    <row r="1044" spans="1:6" x14ac:dyDescent="0.25">
      <c r="A1044" s="43">
        <v>77</v>
      </c>
      <c r="B1044" t="s">
        <v>438</v>
      </c>
      <c r="C1044" s="43" t="s">
        <v>439</v>
      </c>
      <c r="D1044" s="43">
        <v>240</v>
      </c>
      <c r="E1044" t="s">
        <v>467</v>
      </c>
      <c r="F1044" s="47" t="str">
        <f>+Empresa_Centro[[#This Row],[Codigo Centro Gestion]]&amp;" - "&amp;Empresa_Centro[[#This Row],[Nombre Centro Gestion]]</f>
        <v>240 - Tranquila</v>
      </c>
    </row>
    <row r="1045" spans="1:6" x14ac:dyDescent="0.25">
      <c r="A1045" s="43">
        <v>77</v>
      </c>
      <c r="B1045" t="s">
        <v>438</v>
      </c>
      <c r="C1045" s="43" t="s">
        <v>439</v>
      </c>
      <c r="D1045" s="43">
        <v>242</v>
      </c>
      <c r="E1045" t="s">
        <v>468</v>
      </c>
      <c r="F1045" s="47" t="str">
        <f>+Empresa_Centro[[#This Row],[Codigo Centro Gestion]]&amp;" - "&amp;Empresa_Centro[[#This Row],[Nombre Centro Gestion]]</f>
        <v>242 - Edificio Leon Prado</v>
      </c>
    </row>
    <row r="1046" spans="1:6" x14ac:dyDescent="0.25">
      <c r="A1046" s="43">
        <v>77</v>
      </c>
      <c r="B1046" t="s">
        <v>438</v>
      </c>
      <c r="C1046" s="43" t="s">
        <v>439</v>
      </c>
      <c r="D1046" s="43">
        <v>243</v>
      </c>
      <c r="E1046" t="s">
        <v>469</v>
      </c>
      <c r="F1046" s="47" t="str">
        <f>+Empresa_Centro[[#This Row],[Codigo Centro Gestion]]&amp;" - "&amp;Empresa_Centro[[#This Row],[Nombre Centro Gestion]]</f>
        <v>243 - Edificio Garcia Reyes</v>
      </c>
    </row>
    <row r="1047" spans="1:6" x14ac:dyDescent="0.25">
      <c r="A1047" s="43">
        <v>77</v>
      </c>
      <c r="B1047" t="s">
        <v>438</v>
      </c>
      <c r="C1047" s="43" t="s">
        <v>439</v>
      </c>
      <c r="D1047" s="43">
        <v>244</v>
      </c>
      <c r="E1047" t="s">
        <v>470</v>
      </c>
      <c r="F1047" s="47" t="str">
        <f>+Empresa_Centro[[#This Row],[Codigo Centro Gestion]]&amp;" - "&amp;Empresa_Centro[[#This Row],[Nombre Centro Gestion]]</f>
        <v>244 - Francisco Zelada Torre B</v>
      </c>
    </row>
    <row r="1048" spans="1:6" x14ac:dyDescent="0.25">
      <c r="A1048" s="43">
        <v>77</v>
      </c>
      <c r="B1048" t="s">
        <v>438</v>
      </c>
      <c r="C1048" s="43" t="s">
        <v>439</v>
      </c>
      <c r="D1048" s="43">
        <v>245</v>
      </c>
      <c r="E1048" t="s">
        <v>471</v>
      </c>
      <c r="F1048" s="47" t="str">
        <f>+Empresa_Centro[[#This Row],[Codigo Centro Gestion]]&amp;" - "&amp;Empresa_Centro[[#This Row],[Nombre Centro Gestion]]</f>
        <v>245 - Edificio La Coruña</v>
      </c>
    </row>
    <row r="1049" spans="1:6" x14ac:dyDescent="0.25">
      <c r="A1049" s="43">
        <v>77</v>
      </c>
      <c r="B1049" t="s">
        <v>438</v>
      </c>
      <c r="C1049" s="43" t="s">
        <v>439</v>
      </c>
      <c r="D1049" s="43">
        <v>246</v>
      </c>
      <c r="E1049" t="s">
        <v>472</v>
      </c>
      <c r="F1049" s="47" t="str">
        <f>+Empresa_Centro[[#This Row],[Codigo Centro Gestion]]&amp;" - "&amp;Empresa_Centro[[#This Row],[Nombre Centro Gestion]]</f>
        <v>246 - Santa Corina</v>
      </c>
    </row>
    <row r="1050" spans="1:6" x14ac:dyDescent="0.25">
      <c r="A1050" s="43">
        <v>77</v>
      </c>
      <c r="B1050" t="s">
        <v>438</v>
      </c>
      <c r="C1050" s="43" t="s">
        <v>439</v>
      </c>
      <c r="D1050" s="43">
        <v>247</v>
      </c>
      <c r="E1050" t="s">
        <v>473</v>
      </c>
      <c r="F1050" s="47" t="str">
        <f>+Empresa_Centro[[#This Row],[Codigo Centro Gestion]]&amp;" - "&amp;Empresa_Centro[[#This Row],[Nombre Centro Gestion]]</f>
        <v>247 - DS19 Gran Avenida Etapa 1 (Torre C-D)</v>
      </c>
    </row>
    <row r="1051" spans="1:6" x14ac:dyDescent="0.25">
      <c r="A1051" s="43">
        <v>77</v>
      </c>
      <c r="B1051" t="s">
        <v>438</v>
      </c>
      <c r="C1051" s="43" t="s">
        <v>439</v>
      </c>
      <c r="D1051" s="43">
        <v>251</v>
      </c>
      <c r="E1051" t="s">
        <v>474</v>
      </c>
      <c r="F1051" s="47" t="str">
        <f>+Empresa_Centro[[#This Row],[Codigo Centro Gestion]]&amp;" - "&amp;Empresa_Centro[[#This Row],[Nombre Centro Gestion]]</f>
        <v>251 - Edificio Vista Horizonte</v>
      </c>
    </row>
    <row r="1052" spans="1:6" x14ac:dyDescent="0.25">
      <c r="A1052" s="43">
        <v>77</v>
      </c>
      <c r="B1052" t="s">
        <v>438</v>
      </c>
      <c r="C1052" s="43" t="s">
        <v>439</v>
      </c>
      <c r="D1052" s="43">
        <v>252</v>
      </c>
      <c r="E1052" t="s">
        <v>475</v>
      </c>
      <c r="F1052" s="47" t="str">
        <f>+Empresa_Centro[[#This Row],[Codigo Centro Gestion]]&amp;" - "&amp;Empresa_Centro[[#This Row],[Nombre Centro Gestion]]</f>
        <v>252 - Edificio Castillo Urizar</v>
      </c>
    </row>
    <row r="1053" spans="1:6" x14ac:dyDescent="0.25">
      <c r="A1053" s="43">
        <v>77</v>
      </c>
      <c r="B1053" t="s">
        <v>438</v>
      </c>
      <c r="C1053" s="43" t="s">
        <v>439</v>
      </c>
      <c r="D1053" s="43">
        <v>256</v>
      </c>
      <c r="E1053" t="s">
        <v>476</v>
      </c>
      <c r="F1053" s="47" t="str">
        <f>+Empresa_Centro[[#This Row],[Codigo Centro Gestion]]&amp;" - "&amp;Empresa_Centro[[#This Row],[Nombre Centro Gestion]]</f>
        <v>256 - Edificio Lynch</v>
      </c>
    </row>
    <row r="1054" spans="1:6" x14ac:dyDescent="0.25">
      <c r="A1054" s="43">
        <v>77</v>
      </c>
      <c r="B1054" t="s">
        <v>438</v>
      </c>
      <c r="C1054" s="43" t="s">
        <v>439</v>
      </c>
      <c r="D1054" s="43">
        <v>258</v>
      </c>
      <c r="E1054" t="s">
        <v>1109</v>
      </c>
      <c r="F1054" s="47" t="str">
        <f>+Empresa_Centro[[#This Row],[Codigo Centro Gestion]]&amp;" - "&amp;Empresa_Centro[[#This Row],[Nombre Centro Gestion]]</f>
        <v>258 - Condominio Jorge Cáceres Etapa 1</v>
      </c>
    </row>
    <row r="1055" spans="1:6" x14ac:dyDescent="0.25">
      <c r="A1055" s="43">
        <v>77</v>
      </c>
      <c r="B1055" t="s">
        <v>438</v>
      </c>
      <c r="C1055" s="43" t="s">
        <v>439</v>
      </c>
      <c r="D1055" s="43">
        <v>260</v>
      </c>
      <c r="E1055" t="s">
        <v>477</v>
      </c>
      <c r="F1055" s="47" t="str">
        <f>+Empresa_Centro[[#This Row],[Codigo Centro Gestion]]&amp;" - "&amp;Empresa_Centro[[#This Row],[Nombre Centro Gestion]]</f>
        <v>260 - Edificio Lia Aguirre</v>
      </c>
    </row>
    <row r="1056" spans="1:6" x14ac:dyDescent="0.25">
      <c r="A1056" s="43">
        <v>77</v>
      </c>
      <c r="B1056" t="s">
        <v>438</v>
      </c>
      <c r="C1056" s="43" t="s">
        <v>439</v>
      </c>
      <c r="D1056" s="43">
        <v>261</v>
      </c>
      <c r="E1056" t="s">
        <v>1294</v>
      </c>
      <c r="F1056" s="47" t="str">
        <f>+Empresa_Centro[[#This Row],[Codigo Centro Gestion]]&amp;" - "&amp;Empresa_Centro[[#This Row],[Nombre Centro Gestion]]</f>
        <v>261 - DS49 Valle Alto Placilla</v>
      </c>
    </row>
    <row r="1057" spans="1:6" x14ac:dyDescent="0.25">
      <c r="A1057" s="43">
        <v>77</v>
      </c>
      <c r="B1057" t="s">
        <v>438</v>
      </c>
      <c r="C1057" s="43" t="s">
        <v>439</v>
      </c>
      <c r="D1057" s="43">
        <v>262</v>
      </c>
      <c r="E1057" t="s">
        <v>478</v>
      </c>
      <c r="F1057" s="47" t="str">
        <f>+Empresa_Centro[[#This Row],[Codigo Centro Gestion]]&amp;" - "&amp;Empresa_Centro[[#This Row],[Nombre Centro Gestion]]</f>
        <v>262 - Alto Marañon 3</v>
      </c>
    </row>
    <row r="1058" spans="1:6" x14ac:dyDescent="0.25">
      <c r="A1058" s="43">
        <v>77</v>
      </c>
      <c r="B1058" t="s">
        <v>438</v>
      </c>
      <c r="C1058" s="43" t="s">
        <v>439</v>
      </c>
      <c r="D1058" s="43">
        <v>263</v>
      </c>
      <c r="E1058" t="s">
        <v>479</v>
      </c>
      <c r="F1058" s="47" t="str">
        <f>+Empresa_Centro[[#This Row],[Codigo Centro Gestion]]&amp;" - "&amp;Empresa_Centro[[#This Row],[Nombre Centro Gestion]]</f>
        <v>263 - Vicente Reyes</v>
      </c>
    </row>
    <row r="1059" spans="1:6" x14ac:dyDescent="0.25">
      <c r="A1059" s="43">
        <v>77</v>
      </c>
      <c r="B1059" t="s">
        <v>438</v>
      </c>
      <c r="C1059" s="43" t="s">
        <v>439</v>
      </c>
      <c r="D1059" s="43">
        <v>264</v>
      </c>
      <c r="E1059" t="s">
        <v>480</v>
      </c>
      <c r="F1059" s="47" t="str">
        <f>+Empresa_Centro[[#This Row],[Codigo Centro Gestion]]&amp;" - "&amp;Empresa_Centro[[#This Row],[Nombre Centro Gestion]]</f>
        <v>264 - Edificio Libertad</v>
      </c>
    </row>
    <row r="1060" spans="1:6" x14ac:dyDescent="0.25">
      <c r="A1060" s="43">
        <v>77</v>
      </c>
      <c r="B1060" t="s">
        <v>438</v>
      </c>
      <c r="C1060" s="43" t="s">
        <v>439</v>
      </c>
      <c r="D1060" s="43">
        <v>266</v>
      </c>
      <c r="E1060" t="s">
        <v>481</v>
      </c>
      <c r="F1060" s="47" t="str">
        <f>+Empresa_Centro[[#This Row],[Codigo Centro Gestion]]&amp;" - "&amp;Empresa_Centro[[#This Row],[Nombre Centro Gestion]]</f>
        <v>266 - 18 de Septiembre</v>
      </c>
    </row>
    <row r="1061" spans="1:6" x14ac:dyDescent="0.25">
      <c r="A1061" s="43">
        <v>77</v>
      </c>
      <c r="B1061" t="s">
        <v>438</v>
      </c>
      <c r="C1061" s="43" t="s">
        <v>439</v>
      </c>
      <c r="D1061" s="43">
        <v>296</v>
      </c>
      <c r="E1061" t="s">
        <v>482</v>
      </c>
      <c r="F1061" s="47" t="str">
        <f>+Empresa_Centro[[#This Row],[Codigo Centro Gestion]]&amp;" - "&amp;Empresa_Centro[[#This Row],[Nombre Centro Gestion]]</f>
        <v>296 - Equipo en Mantención</v>
      </c>
    </row>
    <row r="1062" spans="1:6" x14ac:dyDescent="0.25">
      <c r="A1062" s="43">
        <v>77</v>
      </c>
      <c r="B1062" t="s">
        <v>438</v>
      </c>
      <c r="C1062" s="43" t="s">
        <v>439</v>
      </c>
      <c r="D1062" s="43">
        <v>297</v>
      </c>
      <c r="E1062" t="s">
        <v>483</v>
      </c>
      <c r="F1062" s="47" t="str">
        <f>+Empresa_Centro[[#This Row],[Codigo Centro Gestion]]&amp;" - "&amp;Empresa_Centro[[#This Row],[Nombre Centro Gestion]]</f>
        <v>297 - ADELANTO DE OBRA</v>
      </c>
    </row>
    <row r="1063" spans="1:6" x14ac:dyDescent="0.25">
      <c r="A1063" s="43">
        <v>77</v>
      </c>
      <c r="B1063" t="s">
        <v>438</v>
      </c>
      <c r="C1063" s="43" t="s">
        <v>439</v>
      </c>
      <c r="D1063" s="43">
        <v>301</v>
      </c>
      <c r="E1063" t="s">
        <v>1370</v>
      </c>
      <c r="F1063" s="47" t="str">
        <f>+Empresa_Centro[[#This Row],[Codigo Centro Gestion]]&amp;" - "&amp;Empresa_Centro[[#This Row],[Nombre Centro Gestion]]</f>
        <v>301 - Condominio Jorge Cáceres Etapa 2</v>
      </c>
    </row>
    <row r="1064" spans="1:6" x14ac:dyDescent="0.25">
      <c r="A1064" s="43">
        <v>77</v>
      </c>
      <c r="B1064" t="s">
        <v>438</v>
      </c>
      <c r="C1064" s="43" t="s">
        <v>439</v>
      </c>
      <c r="D1064" s="43">
        <v>303</v>
      </c>
      <c r="E1064" t="s">
        <v>484</v>
      </c>
      <c r="F1064" s="47" t="str">
        <f>+Empresa_Centro[[#This Row],[Codigo Centro Gestion]]&amp;" - "&amp;Empresa_Centro[[#This Row],[Nombre Centro Gestion]]</f>
        <v>303 - Condominio Palmas del Sur II</v>
      </c>
    </row>
    <row r="1065" spans="1:6" x14ac:dyDescent="0.25">
      <c r="A1065" s="43">
        <v>77</v>
      </c>
      <c r="B1065" t="s">
        <v>438</v>
      </c>
      <c r="C1065" s="43" t="s">
        <v>439</v>
      </c>
      <c r="D1065" s="43">
        <v>304</v>
      </c>
      <c r="E1065" t="s">
        <v>485</v>
      </c>
      <c r="F1065" s="47" t="str">
        <f>+Empresa_Centro[[#This Row],[Codigo Centro Gestion]]&amp;" - "&amp;Empresa_Centro[[#This Row],[Nombre Centro Gestion]]</f>
        <v>304 - Blanca Estela I Torre A y B</v>
      </c>
    </row>
    <row r="1066" spans="1:6" x14ac:dyDescent="0.25">
      <c r="A1066" s="43">
        <v>77</v>
      </c>
      <c r="B1066" t="s">
        <v>438</v>
      </c>
      <c r="C1066" s="43" t="s">
        <v>439</v>
      </c>
      <c r="D1066" s="43">
        <v>305</v>
      </c>
      <c r="E1066" t="s">
        <v>486</v>
      </c>
      <c r="F1066" s="47" t="str">
        <f>+Empresa_Centro[[#This Row],[Codigo Centro Gestion]]&amp;" - "&amp;Empresa_Centro[[#This Row],[Nombre Centro Gestion]]</f>
        <v>305 - Condominio Parque Del Sur Torre A</v>
      </c>
    </row>
    <row r="1067" spans="1:6" x14ac:dyDescent="0.25">
      <c r="A1067" s="43">
        <v>77</v>
      </c>
      <c r="B1067" t="s">
        <v>438</v>
      </c>
      <c r="C1067" s="43" t="s">
        <v>439</v>
      </c>
      <c r="D1067" s="43">
        <v>306</v>
      </c>
      <c r="E1067" t="s">
        <v>487</v>
      </c>
      <c r="F1067" s="47" t="str">
        <f>+Empresa_Centro[[#This Row],[Codigo Centro Gestion]]&amp;" - "&amp;Empresa_Centro[[#This Row],[Nombre Centro Gestion]]</f>
        <v>306 - Edificio Latorre</v>
      </c>
    </row>
    <row r="1068" spans="1:6" x14ac:dyDescent="0.25">
      <c r="A1068" s="43">
        <v>77</v>
      </c>
      <c r="B1068" t="s">
        <v>438</v>
      </c>
      <c r="C1068" s="43" t="s">
        <v>439</v>
      </c>
      <c r="D1068" s="43">
        <v>307</v>
      </c>
      <c r="E1068" t="s">
        <v>488</v>
      </c>
      <c r="F1068" s="47" t="str">
        <f>+Empresa_Centro[[#This Row],[Codigo Centro Gestion]]&amp;" - "&amp;Empresa_Centro[[#This Row],[Nombre Centro Gestion]]</f>
        <v>307 - El Yodo</v>
      </c>
    </row>
    <row r="1069" spans="1:6" x14ac:dyDescent="0.25">
      <c r="A1069" s="43">
        <v>77</v>
      </c>
      <c r="B1069" t="s">
        <v>438</v>
      </c>
      <c r="C1069" s="43" t="s">
        <v>439</v>
      </c>
      <c r="D1069" s="43">
        <v>309</v>
      </c>
      <c r="E1069" t="s">
        <v>489</v>
      </c>
      <c r="F1069" s="47" t="str">
        <f>+Empresa_Centro[[#This Row],[Codigo Centro Gestion]]&amp;" - "&amp;Empresa_Centro[[#This Row],[Nombre Centro Gestion]]</f>
        <v>309 - Blanca Estela II Torre A y B</v>
      </c>
    </row>
    <row r="1070" spans="1:6" x14ac:dyDescent="0.25">
      <c r="A1070" s="43">
        <v>77</v>
      </c>
      <c r="B1070" t="s">
        <v>438</v>
      </c>
      <c r="C1070" s="43" t="s">
        <v>439</v>
      </c>
      <c r="D1070" s="43">
        <v>313</v>
      </c>
      <c r="E1070" t="s">
        <v>490</v>
      </c>
      <c r="F1070" s="47" t="str">
        <f>+Empresa_Centro[[#This Row],[Codigo Centro Gestion]]&amp;" - "&amp;Empresa_Centro[[#This Row],[Nombre Centro Gestion]]</f>
        <v>313 - Estacionamientos Proyecto Mirador</v>
      </c>
    </row>
    <row r="1071" spans="1:6" x14ac:dyDescent="0.25">
      <c r="A1071" s="43">
        <v>77</v>
      </c>
      <c r="B1071" t="s">
        <v>438</v>
      </c>
      <c r="C1071" s="43" t="s">
        <v>439</v>
      </c>
      <c r="D1071" s="43">
        <v>352</v>
      </c>
      <c r="E1071" t="s">
        <v>491</v>
      </c>
      <c r="F1071" s="47" t="str">
        <f>+Empresa_Centro[[#This Row],[Codigo Centro Gestion]]&amp;" - "&amp;Empresa_Centro[[#This Row],[Nombre Centro Gestion]]</f>
        <v>352 - Miraflores Lote 1 Edificio 1</v>
      </c>
    </row>
    <row r="1072" spans="1:6" x14ac:dyDescent="0.25">
      <c r="A1072" s="43">
        <v>77</v>
      </c>
      <c r="B1072" t="s">
        <v>438</v>
      </c>
      <c r="C1072" s="43" t="s">
        <v>439</v>
      </c>
      <c r="D1072" s="43">
        <v>353</v>
      </c>
      <c r="E1072" t="s">
        <v>492</v>
      </c>
      <c r="F1072" s="47" t="str">
        <f>+Empresa_Centro[[#This Row],[Codigo Centro Gestion]]&amp;" - "&amp;Empresa_Centro[[#This Row],[Nombre Centro Gestion]]</f>
        <v>353 - Edificio Alvarez Oriente</v>
      </c>
    </row>
    <row r="1073" spans="1:6" x14ac:dyDescent="0.25">
      <c r="A1073" s="43">
        <v>77</v>
      </c>
      <c r="B1073" t="s">
        <v>438</v>
      </c>
      <c r="C1073" s="43" t="s">
        <v>439</v>
      </c>
      <c r="D1073" s="43">
        <v>356</v>
      </c>
      <c r="E1073" t="s">
        <v>493</v>
      </c>
      <c r="F1073" s="47" t="str">
        <f>+Empresa_Centro[[#This Row],[Codigo Centro Gestion]]&amp;" - "&amp;Empresa_Centro[[#This Row],[Nombre Centro Gestion]]</f>
        <v>356 - Miraflores Lote 2</v>
      </c>
    </row>
    <row r="1074" spans="1:6" x14ac:dyDescent="0.25">
      <c r="A1074" s="43">
        <v>77</v>
      </c>
      <c r="B1074" t="s">
        <v>438</v>
      </c>
      <c r="C1074" s="43" t="s">
        <v>439</v>
      </c>
      <c r="D1074" s="43">
        <v>359</v>
      </c>
      <c r="E1074" t="s">
        <v>494</v>
      </c>
      <c r="F1074" s="47" t="str">
        <f>+Empresa_Centro[[#This Row],[Codigo Centro Gestion]]&amp;" - "&amp;Empresa_Centro[[#This Row],[Nombre Centro Gestion]]</f>
        <v>359 - Edificio Liparita</v>
      </c>
    </row>
    <row r="1075" spans="1:6" x14ac:dyDescent="0.25">
      <c r="A1075" s="43">
        <v>77</v>
      </c>
      <c r="B1075" t="s">
        <v>438</v>
      </c>
      <c r="C1075" s="43" t="s">
        <v>439</v>
      </c>
      <c r="D1075" s="43">
        <v>360</v>
      </c>
      <c r="E1075" t="s">
        <v>495</v>
      </c>
      <c r="F1075" s="47" t="str">
        <f>+Empresa_Centro[[#This Row],[Codigo Centro Gestion]]&amp;" - "&amp;Empresa_Centro[[#This Row],[Nombre Centro Gestion]]</f>
        <v>360 - Francisco Zelada Torre A</v>
      </c>
    </row>
    <row r="1076" spans="1:6" x14ac:dyDescent="0.25">
      <c r="A1076" s="43">
        <v>77</v>
      </c>
      <c r="B1076" t="s">
        <v>438</v>
      </c>
      <c r="C1076" s="43" t="s">
        <v>439</v>
      </c>
      <c r="D1076" s="43">
        <v>361</v>
      </c>
      <c r="E1076" t="s">
        <v>496</v>
      </c>
      <c r="F1076" s="47" t="str">
        <f>+Empresa_Centro[[#This Row],[Codigo Centro Gestion]]&amp;" - "&amp;Empresa_Centro[[#This Row],[Nombre Centro Gestion]]</f>
        <v>361 - Carmen 1879</v>
      </c>
    </row>
    <row r="1077" spans="1:6" x14ac:dyDescent="0.25">
      <c r="A1077" s="43">
        <v>77</v>
      </c>
      <c r="B1077" t="s">
        <v>438</v>
      </c>
      <c r="C1077" s="43" t="s">
        <v>439</v>
      </c>
      <c r="D1077" s="43">
        <v>363</v>
      </c>
      <c r="E1077" t="s">
        <v>497</v>
      </c>
      <c r="F1077" s="47" t="str">
        <f>+Empresa_Centro[[#This Row],[Codigo Centro Gestion]]&amp;" - "&amp;Empresa_Centro[[#This Row],[Nombre Centro Gestion]]</f>
        <v>363 - Parque Marañon Torre A</v>
      </c>
    </row>
    <row r="1078" spans="1:6" x14ac:dyDescent="0.25">
      <c r="A1078" s="43">
        <v>77</v>
      </c>
      <c r="B1078" t="s">
        <v>438</v>
      </c>
      <c r="C1078" s="43" t="s">
        <v>439</v>
      </c>
      <c r="D1078" s="43">
        <v>370</v>
      </c>
      <c r="E1078" t="s">
        <v>501</v>
      </c>
      <c r="F1078" s="47" t="str">
        <f>+Empresa_Centro[[#This Row],[Codigo Centro Gestion]]&amp;" - "&amp;Empresa_Centro[[#This Row],[Nombre Centro Gestion]]</f>
        <v>370 - DS19 Gran Avenida Etapa 2 (Torre A-B)</v>
      </c>
    </row>
    <row r="1079" spans="1:6" x14ac:dyDescent="0.25">
      <c r="A1079" s="43">
        <v>77</v>
      </c>
      <c r="B1079" t="s">
        <v>438</v>
      </c>
      <c r="C1079" s="43" t="s">
        <v>439</v>
      </c>
      <c r="D1079" s="43">
        <v>372</v>
      </c>
      <c r="E1079" t="s">
        <v>503</v>
      </c>
      <c r="F1079" s="47" t="str">
        <f>+Empresa_Centro[[#This Row],[Codigo Centro Gestion]]&amp;" - "&amp;Empresa_Centro[[#This Row],[Nombre Centro Gestion]]</f>
        <v>372 - El Yodo Ltda</v>
      </c>
    </row>
    <row r="1080" spans="1:6" x14ac:dyDescent="0.25">
      <c r="A1080" s="43">
        <v>77</v>
      </c>
      <c r="B1080" t="s">
        <v>438</v>
      </c>
      <c r="C1080" s="43" t="s">
        <v>439</v>
      </c>
      <c r="D1080" s="43">
        <v>502</v>
      </c>
      <c r="E1080" t="s">
        <v>504</v>
      </c>
      <c r="F1080" s="47" t="str">
        <f>+Empresa_Centro[[#This Row],[Codigo Centro Gestion]]&amp;" - "&amp;Empresa_Centro[[#This Row],[Nombre Centro Gestion]]</f>
        <v>502 - Labbé 1172</v>
      </c>
    </row>
    <row r="1081" spans="1:6" x14ac:dyDescent="0.25">
      <c r="A1081" s="43">
        <v>77</v>
      </c>
      <c r="B1081" t="s">
        <v>438</v>
      </c>
      <c r="C1081" s="43" t="s">
        <v>439</v>
      </c>
      <c r="D1081" s="43">
        <v>8062</v>
      </c>
      <c r="E1081" t="s">
        <v>506</v>
      </c>
      <c r="F1081" s="47" t="str">
        <f>+Empresa_Centro[[#This Row],[Codigo Centro Gestion]]&amp;" - "&amp;Empresa_Centro[[#This Row],[Nombre Centro Gestion]]</f>
        <v>8062 - Entrega Cumbres del Mar</v>
      </c>
    </row>
    <row r="1082" spans="1:6" x14ac:dyDescent="0.25">
      <c r="A1082" s="43">
        <v>77</v>
      </c>
      <c r="B1082" t="s">
        <v>438</v>
      </c>
      <c r="C1082" s="43" t="s">
        <v>439</v>
      </c>
      <c r="D1082" s="43">
        <v>8167</v>
      </c>
      <c r="E1082" t="s">
        <v>507</v>
      </c>
      <c r="F1082" s="47" t="str">
        <f>+Empresa_Centro[[#This Row],[Codigo Centro Gestion]]&amp;" - "&amp;Empresa_Centro[[#This Row],[Nombre Centro Gestion]]</f>
        <v>8167 - Entrega Palmas del Sur 1</v>
      </c>
    </row>
    <row r="1083" spans="1:6" x14ac:dyDescent="0.25">
      <c r="A1083" s="43">
        <v>77</v>
      </c>
      <c r="B1083" t="s">
        <v>438</v>
      </c>
      <c r="C1083" s="43" t="s">
        <v>439</v>
      </c>
      <c r="D1083" s="43">
        <v>8190</v>
      </c>
      <c r="E1083" t="s">
        <v>508</v>
      </c>
      <c r="F1083" s="47" t="str">
        <f>+Empresa_Centro[[#This Row],[Codigo Centro Gestion]]&amp;" - "&amp;Empresa_Centro[[#This Row],[Nombre Centro Gestion]]</f>
        <v>8190 - Entrega Altos de Castilla</v>
      </c>
    </row>
    <row r="1084" spans="1:6" x14ac:dyDescent="0.25">
      <c r="A1084" s="43">
        <v>77</v>
      </c>
      <c r="B1084" t="s">
        <v>438</v>
      </c>
      <c r="C1084" s="43" t="s">
        <v>439</v>
      </c>
      <c r="D1084" s="43">
        <v>8200</v>
      </c>
      <c r="E1084" t="s">
        <v>509</v>
      </c>
      <c r="F1084" s="47" t="str">
        <f>+Empresa_Centro[[#This Row],[Codigo Centro Gestion]]&amp;" - "&amp;Empresa_Centro[[#This Row],[Nombre Centro Gestion]]</f>
        <v>8200 - Entrega Edificio Terrazas del Sol</v>
      </c>
    </row>
    <row r="1085" spans="1:6" x14ac:dyDescent="0.25">
      <c r="A1085" s="43">
        <v>77</v>
      </c>
      <c r="B1085" t="s">
        <v>438</v>
      </c>
      <c r="C1085" s="43" t="s">
        <v>439</v>
      </c>
      <c r="D1085" s="43">
        <v>8209</v>
      </c>
      <c r="E1085" t="s">
        <v>510</v>
      </c>
      <c r="F1085" s="47" t="str">
        <f>+Empresa_Centro[[#This Row],[Codigo Centro Gestion]]&amp;" - "&amp;Empresa_Centro[[#This Row],[Nombre Centro Gestion]]</f>
        <v>8209 - Entrega Edificio Bulnes Labbe</v>
      </c>
    </row>
    <row r="1086" spans="1:6" x14ac:dyDescent="0.25">
      <c r="A1086" s="43">
        <v>77</v>
      </c>
      <c r="B1086" t="s">
        <v>438</v>
      </c>
      <c r="C1086" s="43" t="s">
        <v>439</v>
      </c>
      <c r="D1086" s="43">
        <v>8211</v>
      </c>
      <c r="E1086" t="s">
        <v>511</v>
      </c>
      <c r="F1086" s="47" t="str">
        <f>+Empresa_Centro[[#This Row],[Codigo Centro Gestion]]&amp;" - "&amp;Empresa_Centro[[#This Row],[Nombre Centro Gestion]]</f>
        <v>8211 - Entrega Vista del Valle II Edificio B</v>
      </c>
    </row>
    <row r="1087" spans="1:6" x14ac:dyDescent="0.25">
      <c r="A1087" s="43">
        <v>77</v>
      </c>
      <c r="B1087" t="s">
        <v>438</v>
      </c>
      <c r="C1087" s="43" t="s">
        <v>439</v>
      </c>
      <c r="D1087" s="43">
        <v>8212</v>
      </c>
      <c r="E1087" t="s">
        <v>512</v>
      </c>
      <c r="F1087" s="47" t="str">
        <f>+Empresa_Centro[[#This Row],[Codigo Centro Gestion]]&amp;" - "&amp;Empresa_Centro[[#This Row],[Nombre Centro Gestion]]</f>
        <v>8212 - Entrega Edificio Constantino 54</v>
      </c>
    </row>
    <row r="1088" spans="1:6" x14ac:dyDescent="0.25">
      <c r="A1088" s="43">
        <v>77</v>
      </c>
      <c r="B1088" t="s">
        <v>438</v>
      </c>
      <c r="C1088" s="43" t="s">
        <v>439</v>
      </c>
      <c r="D1088" s="43">
        <v>8213</v>
      </c>
      <c r="E1088" t="s">
        <v>513</v>
      </c>
      <c r="F1088" s="47" t="str">
        <f>+Empresa_Centro[[#This Row],[Codigo Centro Gestion]]&amp;" - "&amp;Empresa_Centro[[#This Row],[Nombre Centro Gestion]]</f>
        <v>8213 - Entrega Edificio Maipu</v>
      </c>
    </row>
    <row r="1089" spans="1:6" x14ac:dyDescent="0.25">
      <c r="A1089" s="43">
        <v>77</v>
      </c>
      <c r="B1089" t="s">
        <v>438</v>
      </c>
      <c r="C1089" s="43" t="s">
        <v>439</v>
      </c>
      <c r="D1089" s="43">
        <v>8214</v>
      </c>
      <c r="E1089" t="s">
        <v>514</v>
      </c>
      <c r="F1089" s="47" t="str">
        <f>+Empresa_Centro[[#This Row],[Codigo Centro Gestion]]&amp;" - "&amp;Empresa_Centro[[#This Row],[Nombre Centro Gestion]]</f>
        <v>8214 - Entrega Edificio Recreo 250</v>
      </c>
    </row>
    <row r="1090" spans="1:6" x14ac:dyDescent="0.25">
      <c r="A1090" s="43">
        <v>77</v>
      </c>
      <c r="B1090" t="s">
        <v>438</v>
      </c>
      <c r="C1090" s="43" t="s">
        <v>439</v>
      </c>
      <c r="D1090" s="43">
        <v>8215</v>
      </c>
      <c r="E1090" t="s">
        <v>515</v>
      </c>
      <c r="F1090" s="47" t="str">
        <f>+Empresa_Centro[[#This Row],[Codigo Centro Gestion]]&amp;" - "&amp;Empresa_Centro[[#This Row],[Nombre Centro Gestion]]</f>
        <v>8215 - Entrega Alto Marañon Torre A</v>
      </c>
    </row>
    <row r="1091" spans="1:6" x14ac:dyDescent="0.25">
      <c r="A1091" s="43">
        <v>77</v>
      </c>
      <c r="B1091" t="s">
        <v>438</v>
      </c>
      <c r="C1091" s="43" t="s">
        <v>439</v>
      </c>
      <c r="D1091" s="43">
        <v>8217</v>
      </c>
      <c r="E1091" t="s">
        <v>516</v>
      </c>
      <c r="F1091" s="47" t="str">
        <f>+Empresa_Centro[[#This Row],[Codigo Centro Gestion]]&amp;" - "&amp;Empresa_Centro[[#This Row],[Nombre Centro Gestion]]</f>
        <v>8217 - Entrega Edificio Duble Almeyda 2621</v>
      </c>
    </row>
    <row r="1092" spans="1:6" x14ac:dyDescent="0.25">
      <c r="A1092" s="43">
        <v>77</v>
      </c>
      <c r="B1092" t="s">
        <v>438</v>
      </c>
      <c r="C1092" s="43" t="s">
        <v>439</v>
      </c>
      <c r="D1092" s="43">
        <v>8218</v>
      </c>
      <c r="E1092" t="s">
        <v>517</v>
      </c>
      <c r="F1092" s="47" t="str">
        <f>+Empresa_Centro[[#This Row],[Codigo Centro Gestion]]&amp;" - "&amp;Empresa_Centro[[#This Row],[Nombre Centro Gestion]]</f>
        <v>8218 - Entrega Edificio Jose Domingo Cañas 2640</v>
      </c>
    </row>
    <row r="1093" spans="1:6" x14ac:dyDescent="0.25">
      <c r="A1093" s="43">
        <v>77</v>
      </c>
      <c r="B1093" t="s">
        <v>438</v>
      </c>
      <c r="C1093" s="43" t="s">
        <v>439</v>
      </c>
      <c r="D1093" s="43">
        <v>8220</v>
      </c>
      <c r="E1093" t="s">
        <v>518</v>
      </c>
      <c r="F1093" s="47" t="str">
        <f>+Empresa_Centro[[#This Row],[Codigo Centro Gestion]]&amp;" - "&amp;Empresa_Centro[[#This Row],[Nombre Centro Gestion]]</f>
        <v>8220 - Entrega Edificio Uno Norte</v>
      </c>
    </row>
    <row r="1094" spans="1:6" x14ac:dyDescent="0.25">
      <c r="A1094" s="43">
        <v>77</v>
      </c>
      <c r="B1094" t="s">
        <v>438</v>
      </c>
      <c r="C1094" s="43" t="s">
        <v>439</v>
      </c>
      <c r="D1094" s="43">
        <v>8221</v>
      </c>
      <c r="E1094" t="s">
        <v>519</v>
      </c>
      <c r="F1094" s="47" t="str">
        <f>+Empresa_Centro[[#This Row],[Codigo Centro Gestion]]&amp;" - "&amp;Empresa_Centro[[#This Row],[Nombre Centro Gestion]]</f>
        <v>8221 - Entrega Edificio Fernandez Albano 192</v>
      </c>
    </row>
    <row r="1095" spans="1:6" x14ac:dyDescent="0.25">
      <c r="A1095" s="43">
        <v>77</v>
      </c>
      <c r="B1095" t="s">
        <v>438</v>
      </c>
      <c r="C1095" s="43" t="s">
        <v>439</v>
      </c>
      <c r="D1095" s="43">
        <v>8225</v>
      </c>
      <c r="E1095" t="s">
        <v>520</v>
      </c>
      <c r="F1095" s="47" t="str">
        <f>+Empresa_Centro[[#This Row],[Codigo Centro Gestion]]&amp;" - "&amp;Empresa_Centro[[#This Row],[Nombre Centro Gestion]]</f>
        <v>8225 - Entrega Parque Ingles</v>
      </c>
    </row>
    <row r="1096" spans="1:6" x14ac:dyDescent="0.25">
      <c r="A1096" s="43">
        <v>77</v>
      </c>
      <c r="B1096" t="s">
        <v>438</v>
      </c>
      <c r="C1096" s="43" t="s">
        <v>439</v>
      </c>
      <c r="D1096" s="43">
        <v>8226</v>
      </c>
      <c r="E1096" t="s">
        <v>521</v>
      </c>
      <c r="F1096" s="47" t="str">
        <f>+Empresa_Centro[[#This Row],[Codigo Centro Gestion]]&amp;" - "&amp;Empresa_Centro[[#This Row],[Nombre Centro Gestion]]</f>
        <v>8226 - Entrega Conde del Maule 4676</v>
      </c>
    </row>
    <row r="1097" spans="1:6" x14ac:dyDescent="0.25">
      <c r="A1097" s="43">
        <v>77</v>
      </c>
      <c r="B1097" t="s">
        <v>438</v>
      </c>
      <c r="C1097" s="43" t="s">
        <v>439</v>
      </c>
      <c r="D1097" s="43">
        <v>8228</v>
      </c>
      <c r="E1097" t="s">
        <v>522</v>
      </c>
      <c r="F1097" s="47" t="str">
        <f>+Empresa_Centro[[#This Row],[Codigo Centro Gestion]]&amp;" - "&amp;Empresa_Centro[[#This Row],[Nombre Centro Gestion]]</f>
        <v>8228 - Entrega Edificio Briones Luco</v>
      </c>
    </row>
    <row r="1098" spans="1:6" x14ac:dyDescent="0.25">
      <c r="A1098" s="43">
        <v>77</v>
      </c>
      <c r="B1098" t="s">
        <v>438</v>
      </c>
      <c r="C1098" s="43" t="s">
        <v>439</v>
      </c>
      <c r="D1098" s="43">
        <v>8229</v>
      </c>
      <c r="E1098" t="s">
        <v>523</v>
      </c>
      <c r="F1098" s="47" t="str">
        <f>+Empresa_Centro[[#This Row],[Codigo Centro Gestion]]&amp;" - "&amp;Empresa_Centro[[#This Row],[Nombre Centro Gestion]]</f>
        <v>8229 - Entrega Vista Las Palmas</v>
      </c>
    </row>
    <row r="1099" spans="1:6" x14ac:dyDescent="0.25">
      <c r="A1099" s="43">
        <v>77</v>
      </c>
      <c r="B1099" t="s">
        <v>438</v>
      </c>
      <c r="C1099" s="43" t="s">
        <v>439</v>
      </c>
      <c r="D1099" s="43">
        <v>8230</v>
      </c>
      <c r="E1099" t="s">
        <v>524</v>
      </c>
      <c r="F1099" s="47" t="str">
        <f>+Empresa_Centro[[#This Row],[Codigo Centro Gestion]]&amp;" - "&amp;Empresa_Centro[[#This Row],[Nombre Centro Gestion]]</f>
        <v>8230 - Entrega Condominio Manuel Jesus Rivera</v>
      </c>
    </row>
    <row r="1100" spans="1:6" x14ac:dyDescent="0.25">
      <c r="A1100" s="43">
        <v>77</v>
      </c>
      <c r="B1100" t="s">
        <v>438</v>
      </c>
      <c r="C1100" s="43" t="s">
        <v>439</v>
      </c>
      <c r="D1100" s="43">
        <v>8231</v>
      </c>
      <c r="E1100" t="s">
        <v>525</v>
      </c>
      <c r="F1100" s="47" t="str">
        <f>+Empresa_Centro[[#This Row],[Codigo Centro Gestion]]&amp;" - "&amp;Empresa_Centro[[#This Row],[Nombre Centro Gestion]]</f>
        <v>8231 - Entrega Edificio Guillermo Mann</v>
      </c>
    </row>
    <row r="1101" spans="1:6" x14ac:dyDescent="0.25">
      <c r="A1101" s="43">
        <v>77</v>
      </c>
      <c r="B1101" t="s">
        <v>438</v>
      </c>
      <c r="C1101" s="43" t="s">
        <v>439</v>
      </c>
      <c r="D1101" s="43">
        <v>8232</v>
      </c>
      <c r="E1101" t="s">
        <v>526</v>
      </c>
      <c r="F1101" s="47" t="str">
        <f>+Empresa_Centro[[#This Row],[Codigo Centro Gestion]]&amp;" - "&amp;Empresa_Centro[[#This Row],[Nombre Centro Gestion]]</f>
        <v>8232 - Entrega Edificio Coronel Souper</v>
      </c>
    </row>
    <row r="1102" spans="1:6" x14ac:dyDescent="0.25">
      <c r="A1102" s="43">
        <v>77</v>
      </c>
      <c r="B1102" t="s">
        <v>438</v>
      </c>
      <c r="C1102" s="43" t="s">
        <v>439</v>
      </c>
      <c r="D1102" s="43">
        <v>8235</v>
      </c>
      <c r="E1102" t="s">
        <v>527</v>
      </c>
      <c r="F1102" s="47" t="str">
        <f>+Empresa_Centro[[#This Row],[Codigo Centro Gestion]]&amp;" - "&amp;Empresa_Centro[[#This Row],[Nombre Centro Gestion]]</f>
        <v>8235 - Entrega Vista del Valle III</v>
      </c>
    </row>
    <row r="1103" spans="1:6" x14ac:dyDescent="0.25">
      <c r="A1103" s="43">
        <v>77</v>
      </c>
      <c r="B1103" t="s">
        <v>438</v>
      </c>
      <c r="C1103" s="43" t="s">
        <v>439</v>
      </c>
      <c r="D1103" s="43">
        <v>8236</v>
      </c>
      <c r="E1103" t="s">
        <v>528</v>
      </c>
      <c r="F1103" s="47" t="str">
        <f>+Empresa_Centro[[#This Row],[Codigo Centro Gestion]]&amp;" - "&amp;Empresa_Centro[[#This Row],[Nombre Centro Gestion]]</f>
        <v>8236 - Entrega Edificio Pedro Prado</v>
      </c>
    </row>
    <row r="1104" spans="1:6" x14ac:dyDescent="0.25">
      <c r="A1104" s="43">
        <v>77</v>
      </c>
      <c r="B1104" t="s">
        <v>438</v>
      </c>
      <c r="C1104" s="43" t="s">
        <v>439</v>
      </c>
      <c r="D1104" s="43">
        <v>8237</v>
      </c>
      <c r="E1104" t="s">
        <v>529</v>
      </c>
      <c r="F1104" s="47" t="str">
        <f>+Empresa_Centro[[#This Row],[Codigo Centro Gestion]]&amp;" - "&amp;Empresa_Centro[[#This Row],[Nombre Centro Gestion]]</f>
        <v>8237 - Entrega CUMBRE PLACERES</v>
      </c>
    </row>
    <row r="1105" spans="1:6" x14ac:dyDescent="0.25">
      <c r="A1105" s="43">
        <v>77</v>
      </c>
      <c r="B1105" t="s">
        <v>438</v>
      </c>
      <c r="C1105" s="43" t="s">
        <v>439</v>
      </c>
      <c r="D1105" s="43">
        <v>8239</v>
      </c>
      <c r="E1105" t="s">
        <v>530</v>
      </c>
      <c r="F1105" s="47" t="str">
        <f>+Empresa_Centro[[#This Row],[Codigo Centro Gestion]]&amp;" - "&amp;Empresa_Centro[[#This Row],[Nombre Centro Gestion]]</f>
        <v>8239 - Entrega Alto Mirador</v>
      </c>
    </row>
    <row r="1106" spans="1:6" x14ac:dyDescent="0.25">
      <c r="A1106" s="43">
        <v>77</v>
      </c>
      <c r="B1106" t="s">
        <v>438</v>
      </c>
      <c r="C1106" s="43" t="s">
        <v>439</v>
      </c>
      <c r="D1106" s="43">
        <v>8241</v>
      </c>
      <c r="E1106" t="s">
        <v>531</v>
      </c>
      <c r="F1106" s="47" t="str">
        <f>+Empresa_Centro[[#This Row],[Codigo Centro Gestion]]&amp;" - "&amp;Empresa_Centro[[#This Row],[Nombre Centro Gestion]]</f>
        <v>8241 - Entrega Parque Marañon Torre B</v>
      </c>
    </row>
    <row r="1107" spans="1:6" x14ac:dyDescent="0.25">
      <c r="A1107" s="43">
        <v>77</v>
      </c>
      <c r="B1107" t="s">
        <v>438</v>
      </c>
      <c r="C1107" s="43" t="s">
        <v>439</v>
      </c>
      <c r="D1107" s="43">
        <v>8242</v>
      </c>
      <c r="E1107" t="s">
        <v>532</v>
      </c>
      <c r="F1107" s="47" t="str">
        <f>+Empresa_Centro[[#This Row],[Codigo Centro Gestion]]&amp;" - "&amp;Empresa_Centro[[#This Row],[Nombre Centro Gestion]]</f>
        <v>8242 - Entrega Edificio Leon Prado</v>
      </c>
    </row>
    <row r="1108" spans="1:6" x14ac:dyDescent="0.25">
      <c r="A1108" s="43">
        <v>77</v>
      </c>
      <c r="B1108" t="s">
        <v>438</v>
      </c>
      <c r="C1108" s="43" t="s">
        <v>439</v>
      </c>
      <c r="D1108" s="43">
        <v>8243</v>
      </c>
      <c r="E1108" t="s">
        <v>533</v>
      </c>
      <c r="F1108" s="47" t="str">
        <f>+Empresa_Centro[[#This Row],[Codigo Centro Gestion]]&amp;" - "&amp;Empresa_Centro[[#This Row],[Nombre Centro Gestion]]</f>
        <v>8243 - Entrega Edificio Garcia Reyes</v>
      </c>
    </row>
    <row r="1109" spans="1:6" x14ac:dyDescent="0.25">
      <c r="A1109" s="43">
        <v>77</v>
      </c>
      <c r="B1109" t="s">
        <v>438</v>
      </c>
      <c r="C1109" s="43" t="s">
        <v>439</v>
      </c>
      <c r="D1109" s="43">
        <v>8245</v>
      </c>
      <c r="E1109" t="s">
        <v>534</v>
      </c>
      <c r="F1109" s="47" t="str">
        <f>+Empresa_Centro[[#This Row],[Codigo Centro Gestion]]&amp;" - "&amp;Empresa_Centro[[#This Row],[Nombre Centro Gestion]]</f>
        <v>8245 - Entrega Edificio La Coruña</v>
      </c>
    </row>
    <row r="1110" spans="1:6" x14ac:dyDescent="0.25">
      <c r="A1110" s="43">
        <v>77</v>
      </c>
      <c r="B1110" t="s">
        <v>438</v>
      </c>
      <c r="C1110" s="43" t="s">
        <v>439</v>
      </c>
      <c r="D1110" s="43">
        <v>8248</v>
      </c>
      <c r="E1110" t="s">
        <v>535</v>
      </c>
      <c r="F1110" s="47" t="str">
        <f>+Empresa_Centro[[#This Row],[Codigo Centro Gestion]]&amp;" - "&amp;Empresa_Centro[[#This Row],[Nombre Centro Gestion]]</f>
        <v>8248 - Entrega Alto Marañon Torre B</v>
      </c>
    </row>
    <row r="1111" spans="1:6" x14ac:dyDescent="0.25">
      <c r="A1111" s="43">
        <v>77</v>
      </c>
      <c r="B1111" t="s">
        <v>438</v>
      </c>
      <c r="C1111" s="43" t="s">
        <v>439</v>
      </c>
      <c r="D1111" s="43">
        <v>8251</v>
      </c>
      <c r="E1111" t="s">
        <v>536</v>
      </c>
      <c r="F1111" s="47" t="str">
        <f>+Empresa_Centro[[#This Row],[Codigo Centro Gestion]]&amp;" - "&amp;Empresa_Centro[[#This Row],[Nombre Centro Gestion]]</f>
        <v>8251 - Entrega Vista Horizonte</v>
      </c>
    </row>
    <row r="1112" spans="1:6" x14ac:dyDescent="0.25">
      <c r="A1112" s="43">
        <v>77</v>
      </c>
      <c r="B1112" t="s">
        <v>438</v>
      </c>
      <c r="C1112" s="43" t="s">
        <v>439</v>
      </c>
      <c r="D1112" s="43">
        <v>8252</v>
      </c>
      <c r="E1112" t="s">
        <v>537</v>
      </c>
      <c r="F1112" s="47" t="str">
        <f>+Empresa_Centro[[#This Row],[Codigo Centro Gestion]]&amp;" - "&amp;Empresa_Centro[[#This Row],[Nombre Centro Gestion]]</f>
        <v>8252 - Entrega Edificio Castillo Urizar</v>
      </c>
    </row>
    <row r="1113" spans="1:6" x14ac:dyDescent="0.25">
      <c r="A1113" s="43">
        <v>77</v>
      </c>
      <c r="B1113" t="s">
        <v>438</v>
      </c>
      <c r="C1113" s="43" t="s">
        <v>439</v>
      </c>
      <c r="D1113" s="43">
        <v>8254</v>
      </c>
      <c r="E1113" t="s">
        <v>538</v>
      </c>
      <c r="F1113" s="47" t="str">
        <f>+Empresa_Centro[[#This Row],[Codigo Centro Gestion]]&amp;" - "&amp;Empresa_Centro[[#This Row],[Nombre Centro Gestion]]</f>
        <v>8254 - Entrega Trinidad Ramirez</v>
      </c>
    </row>
    <row r="1114" spans="1:6" x14ac:dyDescent="0.25">
      <c r="A1114" s="43">
        <v>77</v>
      </c>
      <c r="B1114" t="s">
        <v>438</v>
      </c>
      <c r="C1114" s="43" t="s">
        <v>439</v>
      </c>
      <c r="D1114" s="43">
        <v>8255</v>
      </c>
      <c r="E1114" t="s">
        <v>539</v>
      </c>
      <c r="F1114" s="47" t="str">
        <f>+Empresa_Centro[[#This Row],[Codigo Centro Gestion]]&amp;" - "&amp;Empresa_Centro[[#This Row],[Nombre Centro Gestion]]</f>
        <v>8255 - Entrega Condominio Lago Ranco</v>
      </c>
    </row>
    <row r="1115" spans="1:6" x14ac:dyDescent="0.25">
      <c r="A1115" s="43">
        <v>77</v>
      </c>
      <c r="B1115" t="s">
        <v>438</v>
      </c>
      <c r="C1115" s="43" t="s">
        <v>439</v>
      </c>
      <c r="D1115" s="43">
        <v>8256</v>
      </c>
      <c r="E1115" t="s">
        <v>540</v>
      </c>
      <c r="F1115" s="47" t="str">
        <f>+Empresa_Centro[[#This Row],[Codigo Centro Gestion]]&amp;" - "&amp;Empresa_Centro[[#This Row],[Nombre Centro Gestion]]</f>
        <v>8256 - Entrega Edificio Lynch</v>
      </c>
    </row>
    <row r="1116" spans="1:6" x14ac:dyDescent="0.25">
      <c r="A1116" s="43">
        <v>77</v>
      </c>
      <c r="B1116" t="s">
        <v>438</v>
      </c>
      <c r="C1116" s="43" t="s">
        <v>439</v>
      </c>
      <c r="D1116" s="43">
        <v>8258</v>
      </c>
      <c r="E1116" t="s">
        <v>541</v>
      </c>
      <c r="F1116" s="47" t="str">
        <f>+Empresa_Centro[[#This Row],[Codigo Centro Gestion]]&amp;" - "&amp;Empresa_Centro[[#This Row],[Nombre Centro Gestion]]</f>
        <v>8258 - Entrega Condominio Jorge Cáceres Etapa 1</v>
      </c>
    </row>
    <row r="1117" spans="1:6" x14ac:dyDescent="0.25">
      <c r="A1117" s="43">
        <v>77</v>
      </c>
      <c r="B1117" t="s">
        <v>438</v>
      </c>
      <c r="C1117" s="43" t="s">
        <v>439</v>
      </c>
      <c r="D1117" s="43">
        <v>8259</v>
      </c>
      <c r="E1117" t="s">
        <v>542</v>
      </c>
      <c r="F1117" s="47" t="str">
        <f>+Empresa_Centro[[#This Row],[Codigo Centro Gestion]]&amp;" - "&amp;Empresa_Centro[[#This Row],[Nombre Centro Gestion]]</f>
        <v>8259 - Entrega Edificio Parque Urbano</v>
      </c>
    </row>
    <row r="1118" spans="1:6" x14ac:dyDescent="0.25">
      <c r="A1118" s="43">
        <v>77</v>
      </c>
      <c r="B1118" t="s">
        <v>438</v>
      </c>
      <c r="C1118" s="43" t="s">
        <v>439</v>
      </c>
      <c r="D1118" s="43">
        <v>8260</v>
      </c>
      <c r="E1118" t="s">
        <v>543</v>
      </c>
      <c r="F1118" s="47" t="str">
        <f>+Empresa_Centro[[#This Row],[Codigo Centro Gestion]]&amp;" - "&amp;Empresa_Centro[[#This Row],[Nombre Centro Gestion]]</f>
        <v>8260 - Entrega Edificio Lia Aguirre</v>
      </c>
    </row>
    <row r="1119" spans="1:6" x14ac:dyDescent="0.25">
      <c r="A1119" s="43">
        <v>77</v>
      </c>
      <c r="B1119" t="s">
        <v>438</v>
      </c>
      <c r="C1119" s="43" t="s">
        <v>439</v>
      </c>
      <c r="D1119" s="43">
        <v>8262</v>
      </c>
      <c r="E1119" t="s">
        <v>544</v>
      </c>
      <c r="F1119" s="47" t="str">
        <f>+Empresa_Centro[[#This Row],[Codigo Centro Gestion]]&amp;" - "&amp;Empresa_Centro[[#This Row],[Nombre Centro Gestion]]</f>
        <v>8262 - Entrega Alto Marañon 3</v>
      </c>
    </row>
    <row r="1120" spans="1:6" x14ac:dyDescent="0.25">
      <c r="A1120" s="43">
        <v>77</v>
      </c>
      <c r="B1120" t="s">
        <v>438</v>
      </c>
      <c r="C1120" s="43" t="s">
        <v>439</v>
      </c>
      <c r="D1120" s="43">
        <v>8264</v>
      </c>
      <c r="E1120" t="s">
        <v>545</v>
      </c>
      <c r="F1120" s="47" t="str">
        <f>+Empresa_Centro[[#This Row],[Codigo Centro Gestion]]&amp;" - "&amp;Empresa_Centro[[#This Row],[Nombre Centro Gestion]]</f>
        <v>8264 - Entrega Edificio Libertad</v>
      </c>
    </row>
    <row r="1121" spans="1:6" x14ac:dyDescent="0.25">
      <c r="A1121" s="43">
        <v>77</v>
      </c>
      <c r="B1121" t="s">
        <v>438</v>
      </c>
      <c r="C1121" s="43" t="s">
        <v>439</v>
      </c>
      <c r="D1121" s="43">
        <v>8301</v>
      </c>
      <c r="E1121" t="s">
        <v>546</v>
      </c>
      <c r="F1121" s="47" t="str">
        <f>+Empresa_Centro[[#This Row],[Codigo Centro Gestion]]&amp;" - "&amp;Empresa_Centro[[#This Row],[Nombre Centro Gestion]]</f>
        <v>8301 - Entrega Condominio Jorge Cáceres Etapa 2</v>
      </c>
    </row>
    <row r="1122" spans="1:6" x14ac:dyDescent="0.25">
      <c r="A1122" s="43">
        <v>77</v>
      </c>
      <c r="B1122" t="s">
        <v>438</v>
      </c>
      <c r="C1122" s="43" t="s">
        <v>439</v>
      </c>
      <c r="D1122" s="43">
        <v>8303</v>
      </c>
      <c r="E1122" t="s">
        <v>547</v>
      </c>
      <c r="F1122" s="47" t="str">
        <f>+Empresa_Centro[[#This Row],[Codigo Centro Gestion]]&amp;" - "&amp;Empresa_Centro[[#This Row],[Nombre Centro Gestion]]</f>
        <v>8303 - Entrega Condominio Palmas del Sur II</v>
      </c>
    </row>
    <row r="1123" spans="1:6" x14ac:dyDescent="0.25">
      <c r="A1123" s="43">
        <v>77</v>
      </c>
      <c r="B1123" t="s">
        <v>438</v>
      </c>
      <c r="C1123" s="43" t="s">
        <v>439</v>
      </c>
      <c r="D1123" s="43">
        <v>8304</v>
      </c>
      <c r="E1123" t="s">
        <v>548</v>
      </c>
      <c r="F1123" s="47" t="str">
        <f>+Empresa_Centro[[#This Row],[Codigo Centro Gestion]]&amp;" - "&amp;Empresa_Centro[[#This Row],[Nombre Centro Gestion]]</f>
        <v>8304 - Entrega Blanca Estela I Torre A y B</v>
      </c>
    </row>
    <row r="1124" spans="1:6" x14ac:dyDescent="0.25">
      <c r="A1124" s="43">
        <v>77</v>
      </c>
      <c r="B1124" t="s">
        <v>438</v>
      </c>
      <c r="C1124" s="43" t="s">
        <v>439</v>
      </c>
      <c r="D1124" s="43">
        <v>8305</v>
      </c>
      <c r="E1124" t="s">
        <v>551</v>
      </c>
      <c r="F1124" s="47" t="str">
        <f>+Empresa_Centro[[#This Row],[Codigo Centro Gestion]]&amp;" - "&amp;Empresa_Centro[[#This Row],[Nombre Centro Gestion]]</f>
        <v>8305 - Entrega Condominio Parque del Sur Torre A</v>
      </c>
    </row>
    <row r="1125" spans="1:6" x14ac:dyDescent="0.25">
      <c r="A1125" s="43">
        <v>77</v>
      </c>
      <c r="B1125" t="s">
        <v>438</v>
      </c>
      <c r="C1125" s="43" t="s">
        <v>439</v>
      </c>
      <c r="D1125" s="43">
        <v>8306</v>
      </c>
      <c r="E1125" t="s">
        <v>549</v>
      </c>
      <c r="F1125" s="47" t="str">
        <f>+Empresa_Centro[[#This Row],[Codigo Centro Gestion]]&amp;" - "&amp;Empresa_Centro[[#This Row],[Nombre Centro Gestion]]</f>
        <v>8306 - Entrega Edificio Latorre</v>
      </c>
    </row>
    <row r="1126" spans="1:6" x14ac:dyDescent="0.25">
      <c r="A1126" s="43">
        <v>77</v>
      </c>
      <c r="B1126" t="s">
        <v>438</v>
      </c>
      <c r="C1126" s="43" t="s">
        <v>439</v>
      </c>
      <c r="D1126" s="43">
        <v>8359</v>
      </c>
      <c r="E1126" t="s">
        <v>550</v>
      </c>
      <c r="F1126" s="47" t="str">
        <f>+Empresa_Centro[[#This Row],[Codigo Centro Gestion]]&amp;" - "&amp;Empresa_Centro[[#This Row],[Nombre Centro Gestion]]</f>
        <v>8359 - Entrega Edificio Liparita</v>
      </c>
    </row>
    <row r="1127" spans="1:6" x14ac:dyDescent="0.25">
      <c r="A1127" s="43">
        <v>77</v>
      </c>
      <c r="B1127" t="s">
        <v>438</v>
      </c>
      <c r="C1127" s="43" t="s">
        <v>439</v>
      </c>
      <c r="D1127" s="43">
        <v>9000</v>
      </c>
      <c r="E1127" t="s">
        <v>552</v>
      </c>
      <c r="F1127" s="47" t="str">
        <f>+Empresa_Centro[[#This Row],[Codigo Centro Gestion]]&amp;" - "&amp;Empresa_Centro[[#This Row],[Nombre Centro Gestion]]</f>
        <v>9000 - Postventa Oficina Central</v>
      </c>
    </row>
    <row r="1128" spans="1:6" x14ac:dyDescent="0.25">
      <c r="A1128" s="43">
        <v>77</v>
      </c>
      <c r="B1128" t="s">
        <v>438</v>
      </c>
      <c r="C1128" s="43" t="s">
        <v>439</v>
      </c>
      <c r="D1128" s="43">
        <v>9001</v>
      </c>
      <c r="E1128" t="s">
        <v>553</v>
      </c>
      <c r="F1128" s="47" t="str">
        <f>+Empresa_Centro[[#This Row],[Codigo Centro Gestion]]&amp;" - "&amp;Empresa_Centro[[#This Row],[Nombre Centro Gestion]]</f>
        <v>9001 - PV Vistamar II</v>
      </c>
    </row>
    <row r="1129" spans="1:6" x14ac:dyDescent="0.25">
      <c r="A1129" s="43">
        <v>77</v>
      </c>
      <c r="B1129" t="s">
        <v>438</v>
      </c>
      <c r="C1129" s="43" t="s">
        <v>439</v>
      </c>
      <c r="D1129" s="43">
        <v>9002</v>
      </c>
      <c r="E1129" t="s">
        <v>554</v>
      </c>
      <c r="F1129" s="47" t="str">
        <f>+Empresa_Centro[[#This Row],[Codigo Centro Gestion]]&amp;" - "&amp;Empresa_Centro[[#This Row],[Nombre Centro Gestion]]</f>
        <v>9002 - PV Placeres I</v>
      </c>
    </row>
    <row r="1130" spans="1:6" x14ac:dyDescent="0.25">
      <c r="A1130" s="43">
        <v>77</v>
      </c>
      <c r="B1130" t="s">
        <v>438</v>
      </c>
      <c r="C1130" s="43" t="s">
        <v>439</v>
      </c>
      <c r="D1130" s="43">
        <v>9003</v>
      </c>
      <c r="E1130" t="s">
        <v>555</v>
      </c>
      <c r="F1130" s="47" t="str">
        <f>+Empresa_Centro[[#This Row],[Codigo Centro Gestion]]&amp;" - "&amp;Empresa_Centro[[#This Row],[Nombre Centro Gestion]]</f>
        <v>9003 - PV Placeres II</v>
      </c>
    </row>
    <row r="1131" spans="1:6" x14ac:dyDescent="0.25">
      <c r="A1131" s="43">
        <v>77</v>
      </c>
      <c r="B1131" t="s">
        <v>438</v>
      </c>
      <c r="C1131" s="43" t="s">
        <v>439</v>
      </c>
      <c r="D1131" s="43">
        <v>9004</v>
      </c>
      <c r="E1131" t="s">
        <v>556</v>
      </c>
      <c r="F1131" s="47" t="str">
        <f>+Empresa_Centro[[#This Row],[Codigo Centro Gestion]]&amp;" - "&amp;Empresa_Centro[[#This Row],[Nombre Centro Gestion]]</f>
        <v>9004 - PV Meseta Atlántico</v>
      </c>
    </row>
    <row r="1132" spans="1:6" x14ac:dyDescent="0.25">
      <c r="A1132" s="43">
        <v>77</v>
      </c>
      <c r="B1132" t="s">
        <v>438</v>
      </c>
      <c r="C1132" s="43" t="s">
        <v>439</v>
      </c>
      <c r="D1132" s="43">
        <v>9006</v>
      </c>
      <c r="E1132" t="s">
        <v>557</v>
      </c>
      <c r="F1132" s="47" t="str">
        <f>+Empresa_Centro[[#This Row],[Codigo Centro Gestion]]&amp;" - "&amp;Empresa_Centro[[#This Row],[Nombre Centro Gestion]]</f>
        <v>9006 - PV Parque Sacramentinos I</v>
      </c>
    </row>
    <row r="1133" spans="1:6" x14ac:dyDescent="0.25">
      <c r="A1133" s="43">
        <v>77</v>
      </c>
      <c r="B1133" t="s">
        <v>438</v>
      </c>
      <c r="C1133" s="43" t="s">
        <v>439</v>
      </c>
      <c r="D1133" s="43">
        <v>9007</v>
      </c>
      <c r="E1133" t="s">
        <v>558</v>
      </c>
      <c r="F1133" s="47" t="str">
        <f>+Empresa_Centro[[#This Row],[Codigo Centro Gestion]]&amp;" - "&amp;Empresa_Centro[[#This Row],[Nombre Centro Gestion]]</f>
        <v>9007 - PV Atlanta</v>
      </c>
    </row>
    <row r="1134" spans="1:6" x14ac:dyDescent="0.25">
      <c r="A1134" s="43">
        <v>77</v>
      </c>
      <c r="B1134" t="s">
        <v>438</v>
      </c>
      <c r="C1134" s="43" t="s">
        <v>439</v>
      </c>
      <c r="D1134" s="43">
        <v>9008</v>
      </c>
      <c r="E1134" t="s">
        <v>559</v>
      </c>
      <c r="F1134" s="47" t="str">
        <f>+Empresa_Centro[[#This Row],[Codigo Centro Gestion]]&amp;" - "&amp;Empresa_Centro[[#This Row],[Nombre Centro Gestion]]</f>
        <v>9008 - PV Consul. Andes</v>
      </c>
    </row>
    <row r="1135" spans="1:6" x14ac:dyDescent="0.25">
      <c r="A1135" s="43">
        <v>77</v>
      </c>
      <c r="B1135" t="s">
        <v>438</v>
      </c>
      <c r="C1135" s="43" t="s">
        <v>439</v>
      </c>
      <c r="D1135" s="43">
        <v>9009</v>
      </c>
      <c r="E1135" t="s">
        <v>560</v>
      </c>
      <c r="F1135" s="47" t="str">
        <f>+Empresa_Centro[[#This Row],[Codigo Centro Gestion]]&amp;" - "&amp;Empresa_Centro[[#This Row],[Nombre Centro Gestion]]</f>
        <v>9009 - PV Consul. San Rafael</v>
      </c>
    </row>
    <row r="1136" spans="1:6" x14ac:dyDescent="0.25">
      <c r="A1136" s="43">
        <v>77</v>
      </c>
      <c r="B1136" t="s">
        <v>438</v>
      </c>
      <c r="C1136" s="43" t="s">
        <v>439</v>
      </c>
      <c r="D1136" s="43">
        <v>9010</v>
      </c>
      <c r="E1136" t="s">
        <v>561</v>
      </c>
      <c r="F1136" s="47" t="str">
        <f>+Empresa_Centro[[#This Row],[Codigo Centro Gestion]]&amp;" - "&amp;Empresa_Centro[[#This Row],[Nombre Centro Gestion]]</f>
        <v>9010 - PV Miramar</v>
      </c>
    </row>
    <row r="1137" spans="1:6" x14ac:dyDescent="0.25">
      <c r="A1137" s="43">
        <v>77</v>
      </c>
      <c r="B1137" t="s">
        <v>438</v>
      </c>
      <c r="C1137" s="43" t="s">
        <v>439</v>
      </c>
      <c r="D1137" s="43">
        <v>9011</v>
      </c>
      <c r="E1137" t="s">
        <v>562</v>
      </c>
      <c r="F1137" s="47" t="str">
        <f>+Empresa_Centro[[#This Row],[Codigo Centro Gestion]]&amp;" - "&amp;Empresa_Centro[[#This Row],[Nombre Centro Gestion]]</f>
        <v>9011 - PV Parque Sacramentinos II</v>
      </c>
    </row>
    <row r="1138" spans="1:6" x14ac:dyDescent="0.25">
      <c r="A1138" s="43">
        <v>77</v>
      </c>
      <c r="B1138" t="s">
        <v>438</v>
      </c>
      <c r="C1138" s="43" t="s">
        <v>439</v>
      </c>
      <c r="D1138" s="43">
        <v>9013</v>
      </c>
      <c r="E1138" t="s">
        <v>563</v>
      </c>
      <c r="F1138" s="47" t="str">
        <f>+Empresa_Centro[[#This Row],[Codigo Centro Gestion]]&amp;" - "&amp;Empresa_Centro[[#This Row],[Nombre Centro Gestion]]</f>
        <v>9013 - PV Altovistamar</v>
      </c>
    </row>
    <row r="1139" spans="1:6" x14ac:dyDescent="0.25">
      <c r="A1139" s="43">
        <v>77</v>
      </c>
      <c r="B1139" t="s">
        <v>438</v>
      </c>
      <c r="C1139" s="43" t="s">
        <v>439</v>
      </c>
      <c r="D1139" s="43">
        <v>9014</v>
      </c>
      <c r="E1139" t="s">
        <v>564</v>
      </c>
      <c r="F1139" s="47" t="str">
        <f>+Empresa_Centro[[#This Row],[Codigo Centro Gestion]]&amp;" - "&amp;Empresa_Centro[[#This Row],[Nombre Centro Gestion]]</f>
        <v>9014 - PV Edificio Colon</v>
      </c>
    </row>
    <row r="1140" spans="1:6" x14ac:dyDescent="0.25">
      <c r="A1140" s="43">
        <v>77</v>
      </c>
      <c r="B1140" t="s">
        <v>438</v>
      </c>
      <c r="C1140" s="43" t="s">
        <v>439</v>
      </c>
      <c r="D1140" s="43">
        <v>9015</v>
      </c>
      <c r="E1140" t="s">
        <v>565</v>
      </c>
      <c r="F1140" s="47" t="str">
        <f>+Empresa_Centro[[#This Row],[Codigo Centro Gestion]]&amp;" - "&amp;Empresa_Centro[[#This Row],[Nombre Centro Gestion]]</f>
        <v>9015 - PV Estac. U del P</v>
      </c>
    </row>
    <row r="1141" spans="1:6" x14ac:dyDescent="0.25">
      <c r="A1141" s="43">
        <v>77</v>
      </c>
      <c r="B1141" t="s">
        <v>438</v>
      </c>
      <c r="C1141" s="43" t="s">
        <v>439</v>
      </c>
      <c r="D1141" s="43">
        <v>9016</v>
      </c>
      <c r="E1141" t="s">
        <v>566</v>
      </c>
      <c r="F1141" s="47" t="str">
        <f>+Empresa_Centro[[#This Row],[Codigo Centro Gestion]]&amp;" - "&amp;Empresa_Centro[[#This Row],[Nombre Centro Gestion]]</f>
        <v>9016 - PV Parque Sacramentinos III</v>
      </c>
    </row>
    <row r="1142" spans="1:6" x14ac:dyDescent="0.25">
      <c r="A1142" s="43">
        <v>77</v>
      </c>
      <c r="B1142" t="s">
        <v>438</v>
      </c>
      <c r="C1142" s="43" t="s">
        <v>439</v>
      </c>
      <c r="D1142" s="43">
        <v>9017</v>
      </c>
      <c r="E1142" t="s">
        <v>567</v>
      </c>
      <c r="F1142" s="47" t="str">
        <f>+Empresa_Centro[[#This Row],[Codigo Centro Gestion]]&amp;" - "&amp;Empresa_Centro[[#This Row],[Nombre Centro Gestion]]</f>
        <v>9017 - PV Mirador Sacramentinos</v>
      </c>
    </row>
    <row r="1143" spans="1:6" x14ac:dyDescent="0.25">
      <c r="A1143" s="43">
        <v>77</v>
      </c>
      <c r="B1143" t="s">
        <v>438</v>
      </c>
      <c r="C1143" s="43" t="s">
        <v>439</v>
      </c>
      <c r="D1143" s="43">
        <v>9018</v>
      </c>
      <c r="E1143" t="s">
        <v>568</v>
      </c>
      <c r="F1143" s="47" t="str">
        <f>+Empresa_Centro[[#This Row],[Codigo Centro Gestion]]&amp;" - "&amp;Empresa_Centro[[#This Row],[Nombre Centro Gestion]]</f>
        <v>9018 - PV Sacramentinos Oriente</v>
      </c>
    </row>
    <row r="1144" spans="1:6" x14ac:dyDescent="0.25">
      <c r="A1144" s="43">
        <v>77</v>
      </c>
      <c r="B1144" t="s">
        <v>438</v>
      </c>
      <c r="C1144" s="43" t="s">
        <v>439</v>
      </c>
      <c r="D1144" s="43">
        <v>9019</v>
      </c>
      <c r="E1144" t="s">
        <v>569</v>
      </c>
      <c r="F1144" s="47" t="str">
        <f>+Empresa_Centro[[#This Row],[Codigo Centro Gestion]]&amp;" - "&amp;Empresa_Centro[[#This Row],[Nombre Centro Gestion]]</f>
        <v>9019 - PV Terra Placeres</v>
      </c>
    </row>
    <row r="1145" spans="1:6" x14ac:dyDescent="0.25">
      <c r="A1145" s="43">
        <v>77</v>
      </c>
      <c r="B1145" t="s">
        <v>438</v>
      </c>
      <c r="C1145" s="43" t="s">
        <v>439</v>
      </c>
      <c r="D1145" s="43">
        <v>9020</v>
      </c>
      <c r="E1145" t="s">
        <v>570</v>
      </c>
      <c r="F1145" s="47" t="str">
        <f>+Empresa_Centro[[#This Row],[Codigo Centro Gestion]]&amp;" - "&amp;Empresa_Centro[[#This Row],[Nombre Centro Gestion]]</f>
        <v>9020 - PV Barrio Verde Edif 1</v>
      </c>
    </row>
    <row r="1146" spans="1:6" x14ac:dyDescent="0.25">
      <c r="A1146" s="43">
        <v>77</v>
      </c>
      <c r="B1146" t="s">
        <v>438</v>
      </c>
      <c r="C1146" s="43" t="s">
        <v>439</v>
      </c>
      <c r="D1146" s="43">
        <v>9021</v>
      </c>
      <c r="E1146" t="s">
        <v>571</v>
      </c>
      <c r="F1146" s="47" t="str">
        <f>+Empresa_Centro[[#This Row],[Codigo Centro Gestion]]&amp;" - "&amp;Empresa_Centro[[#This Row],[Nombre Centro Gestion]]</f>
        <v>9021 - PV Los Castaños</v>
      </c>
    </row>
    <row r="1147" spans="1:6" x14ac:dyDescent="0.25">
      <c r="A1147" s="43">
        <v>77</v>
      </c>
      <c r="B1147" t="s">
        <v>438</v>
      </c>
      <c r="C1147" s="43" t="s">
        <v>439</v>
      </c>
      <c r="D1147" s="43">
        <v>9022</v>
      </c>
      <c r="E1147" t="s">
        <v>572</v>
      </c>
      <c r="F1147" s="47" t="str">
        <f>+Empresa_Centro[[#This Row],[Codigo Centro Gestion]]&amp;" - "&amp;Empresa_Centro[[#This Row],[Nombre Centro Gestion]]</f>
        <v>9022 - PV Hospital de Los Andes</v>
      </c>
    </row>
    <row r="1148" spans="1:6" x14ac:dyDescent="0.25">
      <c r="A1148" s="43">
        <v>77</v>
      </c>
      <c r="B1148" t="s">
        <v>438</v>
      </c>
      <c r="C1148" s="43" t="s">
        <v>439</v>
      </c>
      <c r="D1148" s="43">
        <v>9024</v>
      </c>
      <c r="E1148" t="s">
        <v>573</v>
      </c>
      <c r="F1148" s="47" t="str">
        <f>+Empresa_Centro[[#This Row],[Codigo Centro Gestion]]&amp;" - "&amp;Empresa_Centro[[#This Row],[Nombre Centro Gestion]]</f>
        <v>9024 - PV Los Olmos</v>
      </c>
    </row>
    <row r="1149" spans="1:6" x14ac:dyDescent="0.25">
      <c r="A1149" s="43">
        <v>77</v>
      </c>
      <c r="B1149" t="s">
        <v>438</v>
      </c>
      <c r="C1149" s="43" t="s">
        <v>439</v>
      </c>
      <c r="D1149" s="43">
        <v>9025</v>
      </c>
      <c r="E1149" t="s">
        <v>574</v>
      </c>
      <c r="F1149" s="47" t="str">
        <f>+Empresa_Centro[[#This Row],[Codigo Centro Gestion]]&amp;" - "&amp;Empresa_Centro[[#This Row],[Nombre Centro Gestion]]</f>
        <v>9025 - PV SSCC</v>
      </c>
    </row>
    <row r="1150" spans="1:6" x14ac:dyDescent="0.25">
      <c r="A1150" s="43">
        <v>77</v>
      </c>
      <c r="B1150" t="s">
        <v>438</v>
      </c>
      <c r="C1150" s="43" t="s">
        <v>439</v>
      </c>
      <c r="D1150" s="43">
        <v>9026</v>
      </c>
      <c r="E1150" t="s">
        <v>575</v>
      </c>
      <c r="F1150" s="47" t="str">
        <f>+Empresa_Centro[[#This Row],[Codigo Centro Gestion]]&amp;" - "&amp;Empresa_Centro[[#This Row],[Nombre Centro Gestion]]</f>
        <v>9026 - PV La Tirana</v>
      </c>
    </row>
    <row r="1151" spans="1:6" x14ac:dyDescent="0.25">
      <c r="A1151" s="43">
        <v>77</v>
      </c>
      <c r="B1151" t="s">
        <v>438</v>
      </c>
      <c r="C1151" s="43" t="s">
        <v>439</v>
      </c>
      <c r="D1151" s="43">
        <v>9027</v>
      </c>
      <c r="E1151" t="s">
        <v>576</v>
      </c>
      <c r="F1151" s="47" t="str">
        <f>+Empresa_Centro[[#This Row],[Codigo Centro Gestion]]&amp;" - "&amp;Empresa_Centro[[#This Row],[Nombre Centro Gestion]]</f>
        <v>9027 - PV Liceo Eulogio Gordo</v>
      </c>
    </row>
    <row r="1152" spans="1:6" x14ac:dyDescent="0.25">
      <c r="A1152" s="43">
        <v>77</v>
      </c>
      <c r="B1152" t="s">
        <v>438</v>
      </c>
      <c r="C1152" s="43" t="s">
        <v>439</v>
      </c>
      <c r="D1152" s="43">
        <v>9028</v>
      </c>
      <c r="E1152" t="s">
        <v>577</v>
      </c>
      <c r="F1152" s="47" t="str">
        <f>+Empresa_Centro[[#This Row],[Codigo Centro Gestion]]&amp;" - "&amp;Empresa_Centro[[#This Row],[Nombre Centro Gestion]]</f>
        <v>9028 - PV Centro Sacramentinos</v>
      </c>
    </row>
    <row r="1153" spans="1:6" x14ac:dyDescent="0.25">
      <c r="A1153" s="43">
        <v>77</v>
      </c>
      <c r="B1153" t="s">
        <v>438</v>
      </c>
      <c r="C1153" s="43" t="s">
        <v>439</v>
      </c>
      <c r="D1153" s="43">
        <v>9029</v>
      </c>
      <c r="E1153" t="s">
        <v>578</v>
      </c>
      <c r="F1153" s="47" t="str">
        <f>+Empresa_Centro[[#This Row],[Codigo Centro Gestion]]&amp;" - "&amp;Empresa_Centro[[#This Row],[Nombre Centro Gestion]]</f>
        <v>9029 - PV Hospital de Tocopilla</v>
      </c>
    </row>
    <row r="1154" spans="1:6" x14ac:dyDescent="0.25">
      <c r="A1154" s="43">
        <v>77</v>
      </c>
      <c r="B1154" t="s">
        <v>438</v>
      </c>
      <c r="C1154" s="43" t="s">
        <v>439</v>
      </c>
      <c r="D1154" s="43">
        <v>9030</v>
      </c>
      <c r="E1154" t="s">
        <v>579</v>
      </c>
      <c r="F1154" s="47" t="str">
        <f>+Empresa_Centro[[#This Row],[Codigo Centro Gestion]]&amp;" - "&amp;Empresa_Centro[[#This Row],[Nombre Centro Gestion]]</f>
        <v>9030 - PV Consistorial Ma Elena</v>
      </c>
    </row>
    <row r="1155" spans="1:6" x14ac:dyDescent="0.25">
      <c r="A1155" s="43">
        <v>77</v>
      </c>
      <c r="B1155" t="s">
        <v>438</v>
      </c>
      <c r="C1155" s="43" t="s">
        <v>439</v>
      </c>
      <c r="D1155" s="43">
        <v>9031</v>
      </c>
      <c r="E1155" t="s">
        <v>580</v>
      </c>
      <c r="F1155" s="47" t="str">
        <f>+Empresa_Centro[[#This Row],[Codigo Centro Gestion]]&amp;" - "&amp;Empresa_Centro[[#This Row],[Nombre Centro Gestion]]</f>
        <v>9031 - PV Edif Alto Placeres</v>
      </c>
    </row>
    <row r="1156" spans="1:6" x14ac:dyDescent="0.25">
      <c r="A1156" s="43">
        <v>77</v>
      </c>
      <c r="B1156" t="s">
        <v>438</v>
      </c>
      <c r="C1156" s="43" t="s">
        <v>439</v>
      </c>
      <c r="D1156" s="43">
        <v>9032</v>
      </c>
      <c r="E1156" t="s">
        <v>581</v>
      </c>
      <c r="F1156" s="47" t="str">
        <f>+Empresa_Centro[[#This Row],[Codigo Centro Gestion]]&amp;" - "&amp;Empresa_Centro[[#This Row],[Nombre Centro Gestion]]</f>
        <v>9032 - PV Consultorio Sta Anselma</v>
      </c>
    </row>
    <row r="1157" spans="1:6" x14ac:dyDescent="0.25">
      <c r="A1157" s="43">
        <v>77</v>
      </c>
      <c r="B1157" t="s">
        <v>438</v>
      </c>
      <c r="C1157" s="43" t="s">
        <v>439</v>
      </c>
      <c r="D1157" s="43">
        <v>9033</v>
      </c>
      <c r="E1157" t="s">
        <v>582</v>
      </c>
      <c r="F1157" s="47" t="str">
        <f>+Empresa_Centro[[#This Row],[Codigo Centro Gestion]]&amp;" - "&amp;Empresa_Centro[[#This Row],[Nombre Centro Gestion]]</f>
        <v>9033 - PV Consultorio Laurita Vic</v>
      </c>
    </row>
    <row r="1158" spans="1:6" x14ac:dyDescent="0.25">
      <c r="A1158" s="43">
        <v>77</v>
      </c>
      <c r="B1158" t="s">
        <v>438</v>
      </c>
      <c r="C1158" s="43" t="s">
        <v>439</v>
      </c>
      <c r="D1158" s="43">
        <v>9034</v>
      </c>
      <c r="E1158" t="s">
        <v>583</v>
      </c>
      <c r="F1158" s="47" t="str">
        <f>+Empresa_Centro[[#This Row],[Codigo Centro Gestion]]&amp;" - "&amp;Empresa_Centro[[#This Row],[Nombre Centro Gestion]]</f>
        <v>9034 - PV Edificio San Francisco</v>
      </c>
    </row>
    <row r="1159" spans="1:6" x14ac:dyDescent="0.25">
      <c r="A1159" s="43">
        <v>77</v>
      </c>
      <c r="B1159" t="s">
        <v>438</v>
      </c>
      <c r="C1159" s="43" t="s">
        <v>439</v>
      </c>
      <c r="D1159" s="43">
        <v>9035</v>
      </c>
      <c r="E1159" t="s">
        <v>584</v>
      </c>
      <c r="F1159" s="47" t="str">
        <f>+Empresa_Centro[[#This Row],[Codigo Centro Gestion]]&amp;" - "&amp;Empresa_Centro[[#This Row],[Nombre Centro Gestion]]</f>
        <v>9035 - PV Edificio Novo</v>
      </c>
    </row>
    <row r="1160" spans="1:6" x14ac:dyDescent="0.25">
      <c r="A1160" s="43">
        <v>77</v>
      </c>
      <c r="B1160" t="s">
        <v>438</v>
      </c>
      <c r="C1160" s="43" t="s">
        <v>439</v>
      </c>
      <c r="D1160" s="43">
        <v>9037</v>
      </c>
      <c r="E1160" t="s">
        <v>585</v>
      </c>
      <c r="F1160" s="47" t="str">
        <f>+Empresa_Centro[[#This Row],[Codigo Centro Gestion]]&amp;" - "&amp;Empresa_Centro[[#This Row],[Nombre Centro Gestion]]</f>
        <v>9037 - PV Proyecto Rahue</v>
      </c>
    </row>
    <row r="1161" spans="1:6" x14ac:dyDescent="0.25">
      <c r="A1161" s="43">
        <v>77</v>
      </c>
      <c r="B1161" t="s">
        <v>438</v>
      </c>
      <c r="C1161" s="43" t="s">
        <v>439</v>
      </c>
      <c r="D1161" s="43">
        <v>9039</v>
      </c>
      <c r="E1161" t="s">
        <v>586</v>
      </c>
      <c r="F1161" s="47" t="str">
        <f>+Empresa_Centro[[#This Row],[Codigo Centro Gestion]]&amp;" - "&amp;Empresa_Centro[[#This Row],[Nombre Centro Gestion]]</f>
        <v>9039 - PV Monte Azul</v>
      </c>
    </row>
    <row r="1162" spans="1:6" x14ac:dyDescent="0.25">
      <c r="A1162" s="43">
        <v>77</v>
      </c>
      <c r="B1162" t="s">
        <v>438</v>
      </c>
      <c r="C1162" s="43" t="s">
        <v>439</v>
      </c>
      <c r="D1162" s="43">
        <v>9041</v>
      </c>
      <c r="E1162" t="s">
        <v>587</v>
      </c>
      <c r="F1162" s="47" t="str">
        <f>+Empresa_Centro[[#This Row],[Codigo Centro Gestion]]&amp;" - "&amp;Empresa_Centro[[#This Row],[Nombre Centro Gestion]]</f>
        <v>9041 - PV BBI Etapa II</v>
      </c>
    </row>
    <row r="1163" spans="1:6" x14ac:dyDescent="0.25">
      <c r="A1163" s="43">
        <v>77</v>
      </c>
      <c r="B1163" t="s">
        <v>438</v>
      </c>
      <c r="C1163" s="43" t="s">
        <v>439</v>
      </c>
      <c r="D1163" s="43">
        <v>9042</v>
      </c>
      <c r="E1163" t="s">
        <v>588</v>
      </c>
      <c r="F1163" s="47" t="str">
        <f>+Empresa_Centro[[#This Row],[Codigo Centro Gestion]]&amp;" - "&amp;Empresa_Centro[[#This Row],[Nombre Centro Gestion]]</f>
        <v>9042 - PV Argomedo Oriente</v>
      </c>
    </row>
    <row r="1164" spans="1:6" x14ac:dyDescent="0.25">
      <c r="A1164" s="43">
        <v>77</v>
      </c>
      <c r="B1164" t="s">
        <v>438</v>
      </c>
      <c r="C1164" s="43" t="s">
        <v>439</v>
      </c>
      <c r="D1164" s="43">
        <v>9043</v>
      </c>
      <c r="E1164" t="s">
        <v>589</v>
      </c>
      <c r="F1164" s="47" t="str">
        <f>+Empresa_Centro[[#This Row],[Codigo Centro Gestion]]&amp;" - "&amp;Empresa_Centro[[#This Row],[Nombre Centro Gestion]]</f>
        <v>9043 - PV Edificio Andrónico Luksic UC</v>
      </c>
    </row>
    <row r="1165" spans="1:6" x14ac:dyDescent="0.25">
      <c r="A1165" s="43">
        <v>77</v>
      </c>
      <c r="B1165" t="s">
        <v>438</v>
      </c>
      <c r="C1165" s="43" t="s">
        <v>439</v>
      </c>
      <c r="D1165" s="43">
        <v>9044</v>
      </c>
      <c r="E1165" t="s">
        <v>590</v>
      </c>
      <c r="F1165" s="47" t="str">
        <f>+Empresa_Centro[[#This Row],[Codigo Centro Gestion]]&amp;" - "&amp;Empresa_Centro[[#This Row],[Nombre Centro Gestion]]</f>
        <v>9044 - PV Ecuador</v>
      </c>
    </row>
    <row r="1166" spans="1:6" x14ac:dyDescent="0.25">
      <c r="A1166" s="43">
        <v>77</v>
      </c>
      <c r="B1166" t="s">
        <v>438</v>
      </c>
      <c r="C1166" s="43" t="s">
        <v>439</v>
      </c>
      <c r="D1166" s="43">
        <v>9045</v>
      </c>
      <c r="E1166" t="s">
        <v>591</v>
      </c>
      <c r="F1166" s="47" t="str">
        <f>+Empresa_Centro[[#This Row],[Codigo Centro Gestion]]&amp;" - "&amp;Empresa_Centro[[#This Row],[Nombre Centro Gestion]]</f>
        <v>9045 - PV Alto Oriente</v>
      </c>
    </row>
    <row r="1167" spans="1:6" x14ac:dyDescent="0.25">
      <c r="A1167" s="43">
        <v>77</v>
      </c>
      <c r="B1167" t="s">
        <v>438</v>
      </c>
      <c r="C1167" s="43" t="s">
        <v>439</v>
      </c>
      <c r="D1167" s="43">
        <v>9046</v>
      </c>
      <c r="E1167" t="s">
        <v>592</v>
      </c>
      <c r="F1167" s="47" t="str">
        <f>+Empresa_Centro[[#This Row],[Codigo Centro Gestion]]&amp;" - "&amp;Empresa_Centro[[#This Row],[Nombre Centro Gestion]]</f>
        <v>9046 - PV Clínica Odontológica</v>
      </c>
    </row>
    <row r="1168" spans="1:6" x14ac:dyDescent="0.25">
      <c r="A1168" s="43">
        <v>77</v>
      </c>
      <c r="B1168" t="s">
        <v>438</v>
      </c>
      <c r="C1168" s="43" t="s">
        <v>439</v>
      </c>
      <c r="D1168" s="43">
        <v>9047</v>
      </c>
      <c r="E1168" t="s">
        <v>593</v>
      </c>
      <c r="F1168" s="47" t="str">
        <f>+Empresa_Centro[[#This Row],[Codigo Centro Gestion]]&amp;" - "&amp;Empresa_Centro[[#This Row],[Nombre Centro Gestion]]</f>
        <v>9047 - PV Hospital Traumatologico</v>
      </c>
    </row>
    <row r="1169" spans="1:6" x14ac:dyDescent="0.25">
      <c r="A1169" s="43">
        <v>77</v>
      </c>
      <c r="B1169" t="s">
        <v>438</v>
      </c>
      <c r="C1169" s="43" t="s">
        <v>439</v>
      </c>
      <c r="D1169" s="43">
        <v>9048</v>
      </c>
      <c r="E1169" t="s">
        <v>594</v>
      </c>
      <c r="F1169" s="47" t="str">
        <f>+Empresa_Centro[[#This Row],[Codigo Centro Gestion]]&amp;" - "&amp;Empresa_Centro[[#This Row],[Nombre Centro Gestion]]</f>
        <v>9048 - PV Pie Andino              </v>
      </c>
    </row>
    <row r="1170" spans="1:6" x14ac:dyDescent="0.25">
      <c r="A1170" s="43">
        <v>77</v>
      </c>
      <c r="B1170" t="s">
        <v>438</v>
      </c>
      <c r="C1170" s="43" t="s">
        <v>439</v>
      </c>
      <c r="D1170" s="43">
        <v>9049</v>
      </c>
      <c r="E1170" t="s">
        <v>595</v>
      </c>
      <c r="F1170" s="47" t="str">
        <f>+Empresa_Centro[[#This Row],[Codigo Centro Gestion]]&amp;" - "&amp;Empresa_Centro[[#This Row],[Nombre Centro Gestion]]</f>
        <v>9049 - PV Boulevard BBI</v>
      </c>
    </row>
    <row r="1171" spans="1:6" x14ac:dyDescent="0.25">
      <c r="A1171" s="43">
        <v>77</v>
      </c>
      <c r="B1171" t="s">
        <v>438</v>
      </c>
      <c r="C1171" s="43" t="s">
        <v>439</v>
      </c>
      <c r="D1171" s="43">
        <v>9050</v>
      </c>
      <c r="E1171" t="s">
        <v>596</v>
      </c>
      <c r="F1171" s="47" t="str">
        <f>+Empresa_Centro[[#This Row],[Codigo Centro Gestion]]&amp;" - "&amp;Empresa_Centro[[#This Row],[Nombre Centro Gestion]]</f>
        <v>9050 - PV Carmen 233</v>
      </c>
    </row>
    <row r="1172" spans="1:6" x14ac:dyDescent="0.25">
      <c r="A1172" s="43">
        <v>77</v>
      </c>
      <c r="B1172" t="s">
        <v>438</v>
      </c>
      <c r="C1172" s="43" t="s">
        <v>439</v>
      </c>
      <c r="D1172" s="43">
        <v>9052</v>
      </c>
      <c r="E1172" t="s">
        <v>597</v>
      </c>
      <c r="F1172" s="47" t="str">
        <f>+Empresa_Centro[[#This Row],[Codigo Centro Gestion]]&amp;" - "&amp;Empresa_Centro[[#This Row],[Nombre Centro Gestion]]</f>
        <v>9052 - PV Costa El Aguila              </v>
      </c>
    </row>
    <row r="1173" spans="1:6" x14ac:dyDescent="0.25">
      <c r="A1173" s="43">
        <v>77</v>
      </c>
      <c r="B1173" t="s">
        <v>438</v>
      </c>
      <c r="C1173" s="43" t="s">
        <v>439</v>
      </c>
      <c r="D1173" s="43">
        <v>9053</v>
      </c>
      <c r="E1173" t="s">
        <v>598</v>
      </c>
      <c r="F1173" s="47" t="str">
        <f>+Empresa_Centro[[#This Row],[Codigo Centro Gestion]]&amp;" - "&amp;Empresa_Centro[[#This Row],[Nombre Centro Gestion]]</f>
        <v>9053 - PV Vista del Valle          </v>
      </c>
    </row>
    <row r="1174" spans="1:6" x14ac:dyDescent="0.25">
      <c r="A1174" s="43">
        <v>77</v>
      </c>
      <c r="B1174" t="s">
        <v>438</v>
      </c>
      <c r="C1174" s="43" t="s">
        <v>439</v>
      </c>
      <c r="D1174" s="43">
        <v>9054</v>
      </c>
      <c r="E1174" t="s">
        <v>599</v>
      </c>
      <c r="F1174" s="47" t="str">
        <f>+Empresa_Centro[[#This Row],[Codigo Centro Gestion]]&amp;" - "&amp;Empresa_Centro[[#This Row],[Nombre Centro Gestion]]</f>
        <v>9054 - PV Club La Foresta              </v>
      </c>
    </row>
    <row r="1175" spans="1:6" x14ac:dyDescent="0.25">
      <c r="A1175" s="43">
        <v>77</v>
      </c>
      <c r="B1175" t="s">
        <v>438</v>
      </c>
      <c r="C1175" s="43" t="s">
        <v>439</v>
      </c>
      <c r="D1175" s="43">
        <v>9057</v>
      </c>
      <c r="E1175" t="s">
        <v>600</v>
      </c>
      <c r="F1175" s="47" t="str">
        <f>+Empresa_Centro[[#This Row],[Codigo Centro Gestion]]&amp;" - "&amp;Empresa_Centro[[#This Row],[Nombre Centro Gestion]]</f>
        <v>9057 - PV Liceo Bicentenario Santa Maria</v>
      </c>
    </row>
    <row r="1176" spans="1:6" x14ac:dyDescent="0.25">
      <c r="A1176" s="43">
        <v>77</v>
      </c>
      <c r="B1176" t="s">
        <v>438</v>
      </c>
      <c r="C1176" s="43" t="s">
        <v>439</v>
      </c>
      <c r="D1176" s="43">
        <v>9062</v>
      </c>
      <c r="E1176" t="s">
        <v>601</v>
      </c>
      <c r="F1176" s="47" t="str">
        <f>+Empresa_Centro[[#This Row],[Codigo Centro Gestion]]&amp;" - "&amp;Empresa_Centro[[#This Row],[Nombre Centro Gestion]]</f>
        <v>9062 - PV Cumbres del Mar</v>
      </c>
    </row>
    <row r="1177" spans="1:6" x14ac:dyDescent="0.25">
      <c r="A1177" s="43">
        <v>77</v>
      </c>
      <c r="B1177" t="s">
        <v>438</v>
      </c>
      <c r="C1177" s="43" t="s">
        <v>439</v>
      </c>
      <c r="D1177" s="43">
        <v>9110</v>
      </c>
      <c r="E1177" t="s">
        <v>602</v>
      </c>
      <c r="F1177" s="47" t="str">
        <f>+Empresa_Centro[[#This Row],[Codigo Centro Gestion]]&amp;" - "&amp;Empresa_Centro[[#This Row],[Nombre Centro Gestion]]</f>
        <v>9110 - PV Vista del Parque</v>
      </c>
    </row>
    <row r="1178" spans="1:6" x14ac:dyDescent="0.25">
      <c r="A1178" s="43">
        <v>77</v>
      </c>
      <c r="B1178" t="s">
        <v>438</v>
      </c>
      <c r="C1178" s="43" t="s">
        <v>439</v>
      </c>
      <c r="D1178" s="43">
        <v>9116</v>
      </c>
      <c r="E1178" t="s">
        <v>603</v>
      </c>
      <c r="F1178" s="47" t="str">
        <f>+Empresa_Centro[[#This Row],[Codigo Centro Gestion]]&amp;" - "&amp;Empresa_Centro[[#This Row],[Nombre Centro Gestion]]</f>
        <v>9116 - PV Los Leones</v>
      </c>
    </row>
    <row r="1179" spans="1:6" x14ac:dyDescent="0.25">
      <c r="A1179" s="43">
        <v>77</v>
      </c>
      <c r="B1179" t="s">
        <v>438</v>
      </c>
      <c r="C1179" s="43" t="s">
        <v>439</v>
      </c>
      <c r="D1179" s="43">
        <v>9121</v>
      </c>
      <c r="E1179" t="s">
        <v>604</v>
      </c>
      <c r="F1179" s="47" t="str">
        <f>+Empresa_Centro[[#This Row],[Codigo Centro Gestion]]&amp;" - "&amp;Empresa_Centro[[#This Row],[Nombre Centro Gestion]]</f>
        <v>9121 - PV Pie Andino Etapa 2</v>
      </c>
    </row>
    <row r="1180" spans="1:6" x14ac:dyDescent="0.25">
      <c r="A1180" s="43">
        <v>77</v>
      </c>
      <c r="B1180" t="s">
        <v>438</v>
      </c>
      <c r="C1180" s="43" t="s">
        <v>439</v>
      </c>
      <c r="D1180" s="43">
        <v>9122</v>
      </c>
      <c r="E1180" t="s">
        <v>605</v>
      </c>
      <c r="F1180" s="47" t="str">
        <f>+Empresa_Centro[[#This Row],[Codigo Centro Gestion]]&amp;" - "&amp;Empresa_Centro[[#This Row],[Nombre Centro Gestion]]</f>
        <v>9122 - PV Pie Andino Etapa 3</v>
      </c>
    </row>
    <row r="1181" spans="1:6" x14ac:dyDescent="0.25">
      <c r="A1181" s="43">
        <v>77</v>
      </c>
      <c r="B1181" t="s">
        <v>438</v>
      </c>
      <c r="C1181" s="43" t="s">
        <v>439</v>
      </c>
      <c r="D1181" s="43">
        <v>9123</v>
      </c>
      <c r="E1181" t="s">
        <v>606</v>
      </c>
      <c r="F1181" s="47" t="str">
        <f>+Empresa_Centro[[#This Row],[Codigo Centro Gestion]]&amp;" - "&amp;Empresa_Centro[[#This Row],[Nombre Centro Gestion]]</f>
        <v>9123 - PV Pie Andino Etapa 4</v>
      </c>
    </row>
    <row r="1182" spans="1:6" x14ac:dyDescent="0.25">
      <c r="A1182" s="43">
        <v>77</v>
      </c>
      <c r="B1182" t="s">
        <v>438</v>
      </c>
      <c r="C1182" s="43" t="s">
        <v>439</v>
      </c>
      <c r="D1182" s="43">
        <v>9131</v>
      </c>
      <c r="E1182" t="s">
        <v>607</v>
      </c>
      <c r="F1182" s="47" t="str">
        <f>+Empresa_Centro[[#This Row],[Codigo Centro Gestion]]&amp;" - "&amp;Empresa_Centro[[#This Row],[Nombre Centro Gestion]]</f>
        <v>9131 - PV Vista Oriente</v>
      </c>
    </row>
    <row r="1183" spans="1:6" x14ac:dyDescent="0.25">
      <c r="A1183" s="43">
        <v>77</v>
      </c>
      <c r="B1183" t="s">
        <v>438</v>
      </c>
      <c r="C1183" s="43" t="s">
        <v>439</v>
      </c>
      <c r="D1183" s="43">
        <v>9133</v>
      </c>
      <c r="E1183" t="s">
        <v>608</v>
      </c>
      <c r="F1183" s="47" t="str">
        <f>+Empresa_Centro[[#This Row],[Codigo Centro Gestion]]&amp;" - "&amp;Empresa_Centro[[#This Row],[Nombre Centro Gestion]]</f>
        <v>9133 - PV Vista del Valle II Edificio A</v>
      </c>
    </row>
    <row r="1184" spans="1:6" x14ac:dyDescent="0.25">
      <c r="A1184" s="43">
        <v>77</v>
      </c>
      <c r="B1184" t="s">
        <v>438</v>
      </c>
      <c r="C1184" s="43" t="s">
        <v>439</v>
      </c>
      <c r="D1184" s="43">
        <v>9134</v>
      </c>
      <c r="E1184" t="s">
        <v>609</v>
      </c>
      <c r="F1184" s="47" t="str">
        <f>+Empresa_Centro[[#This Row],[Codigo Centro Gestion]]&amp;" - "&amp;Empresa_Centro[[#This Row],[Nombre Centro Gestion]]</f>
        <v>9134 - PV Condominio Castilla Et1</v>
      </c>
    </row>
    <row r="1185" spans="1:6" x14ac:dyDescent="0.25">
      <c r="A1185" s="43">
        <v>77</v>
      </c>
      <c r="B1185" t="s">
        <v>438</v>
      </c>
      <c r="C1185" s="43" t="s">
        <v>439</v>
      </c>
      <c r="D1185" s="43">
        <v>9140</v>
      </c>
      <c r="E1185" t="s">
        <v>610</v>
      </c>
      <c r="F1185" s="47" t="str">
        <f>+Empresa_Centro[[#This Row],[Codigo Centro Gestion]]&amp;" - "&amp;Empresa_Centro[[#This Row],[Nombre Centro Gestion]]</f>
        <v>9140 - PV Mirador del Bosque II</v>
      </c>
    </row>
    <row r="1186" spans="1:6" x14ac:dyDescent="0.25">
      <c r="A1186" s="43">
        <v>77</v>
      </c>
      <c r="B1186" t="s">
        <v>438</v>
      </c>
      <c r="C1186" s="43" t="s">
        <v>439</v>
      </c>
      <c r="D1186" s="43">
        <v>9141</v>
      </c>
      <c r="E1186" t="s">
        <v>611</v>
      </c>
      <c r="F1186" s="47" t="str">
        <f>+Empresa_Centro[[#This Row],[Codigo Centro Gestion]]&amp;" - "&amp;Empresa_Centro[[#This Row],[Nombre Centro Gestion]]</f>
        <v>9141 - PV Edificio Mirador</v>
      </c>
    </row>
    <row r="1187" spans="1:6" x14ac:dyDescent="0.25">
      <c r="A1187" s="43">
        <v>77</v>
      </c>
      <c r="B1187" t="s">
        <v>438</v>
      </c>
      <c r="C1187" s="43" t="s">
        <v>439</v>
      </c>
      <c r="D1187" s="43">
        <v>9167</v>
      </c>
      <c r="E1187" t="s">
        <v>612</v>
      </c>
      <c r="F1187" s="47" t="str">
        <f>+Empresa_Centro[[#This Row],[Codigo Centro Gestion]]&amp;" - "&amp;Empresa_Centro[[#This Row],[Nombre Centro Gestion]]</f>
        <v>9167 - PV Palmas del Sur 1</v>
      </c>
    </row>
    <row r="1188" spans="1:6" x14ac:dyDescent="0.25">
      <c r="A1188" s="43">
        <v>77</v>
      </c>
      <c r="B1188" t="s">
        <v>438</v>
      </c>
      <c r="C1188" s="43" t="s">
        <v>439</v>
      </c>
      <c r="D1188" s="43">
        <v>9170</v>
      </c>
      <c r="E1188" t="s">
        <v>613</v>
      </c>
      <c r="F1188" s="47" t="str">
        <f>+Empresa_Centro[[#This Row],[Codigo Centro Gestion]]&amp;" - "&amp;Empresa_Centro[[#This Row],[Nombre Centro Gestion]]</f>
        <v>9170 - PV Pedro Lautaro Ferrer</v>
      </c>
    </row>
    <row r="1189" spans="1:6" x14ac:dyDescent="0.25">
      <c r="A1189" s="43">
        <v>77</v>
      </c>
      <c r="B1189" t="s">
        <v>438</v>
      </c>
      <c r="C1189" s="43" t="s">
        <v>439</v>
      </c>
      <c r="D1189" s="43">
        <v>9171</v>
      </c>
      <c r="E1189" t="s">
        <v>614</v>
      </c>
      <c r="F1189" s="47" t="str">
        <f>+Empresa_Centro[[#This Row],[Codigo Centro Gestion]]&amp;" - "&amp;Empresa_Centro[[#This Row],[Nombre Centro Gestion]]</f>
        <v>9171 - PV Arzobispo Fuenzalida-SA</v>
      </c>
    </row>
    <row r="1190" spans="1:6" x14ac:dyDescent="0.25">
      <c r="A1190" s="43">
        <v>77</v>
      </c>
      <c r="B1190" t="s">
        <v>438</v>
      </c>
      <c r="C1190" s="43" t="s">
        <v>439</v>
      </c>
      <c r="D1190" s="43">
        <v>9172</v>
      </c>
      <c r="E1190" t="s">
        <v>615</v>
      </c>
      <c r="F1190" s="47" t="str">
        <f>+Empresa_Centro[[#This Row],[Codigo Centro Gestion]]&amp;" - "&amp;Empresa_Centro[[#This Row],[Nombre Centro Gestion]]</f>
        <v>9172 - PV Mirador del Bosque</v>
      </c>
    </row>
    <row r="1191" spans="1:6" x14ac:dyDescent="0.25">
      <c r="A1191" s="43">
        <v>77</v>
      </c>
      <c r="B1191" t="s">
        <v>438</v>
      </c>
      <c r="C1191" s="43" t="s">
        <v>439</v>
      </c>
      <c r="D1191" s="43">
        <v>9173</v>
      </c>
      <c r="E1191" t="s">
        <v>616</v>
      </c>
      <c r="F1191" s="47" t="str">
        <f>+Empresa_Centro[[#This Row],[Codigo Centro Gestion]]&amp;" - "&amp;Empresa_Centro[[#This Row],[Nombre Centro Gestion]]</f>
        <v>9173 - PV Edificio Nuevo Centro</v>
      </c>
    </row>
    <row r="1192" spans="1:6" x14ac:dyDescent="0.25">
      <c r="A1192" s="43">
        <v>77</v>
      </c>
      <c r="B1192" t="s">
        <v>438</v>
      </c>
      <c r="C1192" s="43" t="s">
        <v>439</v>
      </c>
      <c r="D1192" s="43">
        <v>9177</v>
      </c>
      <c r="E1192" t="s">
        <v>617</v>
      </c>
      <c r="F1192" s="47" t="str">
        <f>+Empresa_Centro[[#This Row],[Codigo Centro Gestion]]&amp;" - "&amp;Empresa_Centro[[#This Row],[Nombre Centro Gestion]]</f>
        <v>9177 - PV San Francisco II</v>
      </c>
    </row>
    <row r="1193" spans="1:6" x14ac:dyDescent="0.25">
      <c r="A1193" s="43">
        <v>77</v>
      </c>
      <c r="B1193" t="s">
        <v>438</v>
      </c>
      <c r="C1193" s="43" t="s">
        <v>439</v>
      </c>
      <c r="D1193" s="43">
        <v>9184</v>
      </c>
      <c r="E1193" t="s">
        <v>618</v>
      </c>
      <c r="F1193" s="47" t="str">
        <f>+Empresa_Centro[[#This Row],[Codigo Centro Gestion]]&amp;" - "&amp;Empresa_Centro[[#This Row],[Nombre Centro Gestion]]</f>
        <v>9184 - PV Vista Andina II</v>
      </c>
    </row>
    <row r="1194" spans="1:6" x14ac:dyDescent="0.25">
      <c r="A1194" s="43">
        <v>77</v>
      </c>
      <c r="B1194" t="s">
        <v>438</v>
      </c>
      <c r="C1194" s="43" t="s">
        <v>439</v>
      </c>
      <c r="D1194" s="43">
        <v>9187</v>
      </c>
      <c r="E1194" t="s">
        <v>619</v>
      </c>
      <c r="F1194" s="47" t="str">
        <f>+Empresa_Centro[[#This Row],[Codigo Centro Gestion]]&amp;" - "&amp;Empresa_Centro[[#This Row],[Nombre Centro Gestion]]</f>
        <v>9187 - PV Edificio Parque Quinta</v>
      </c>
    </row>
    <row r="1195" spans="1:6" x14ac:dyDescent="0.25">
      <c r="A1195" s="43">
        <v>77</v>
      </c>
      <c r="B1195" t="s">
        <v>438</v>
      </c>
      <c r="C1195" s="43" t="s">
        <v>439</v>
      </c>
      <c r="D1195" s="43">
        <v>9188</v>
      </c>
      <c r="E1195" t="s">
        <v>620</v>
      </c>
      <c r="F1195" s="47" t="str">
        <f>+Empresa_Centro[[#This Row],[Codigo Centro Gestion]]&amp;" - "&amp;Empresa_Centro[[#This Row],[Nombre Centro Gestion]]</f>
        <v>9188 - PV Vista Macul</v>
      </c>
    </row>
    <row r="1196" spans="1:6" x14ac:dyDescent="0.25">
      <c r="A1196" s="43">
        <v>77</v>
      </c>
      <c r="B1196" t="s">
        <v>438</v>
      </c>
      <c r="C1196" s="43" t="s">
        <v>439</v>
      </c>
      <c r="D1196" s="43">
        <v>9189</v>
      </c>
      <c r="E1196" t="s">
        <v>621</v>
      </c>
      <c r="F1196" s="47" t="str">
        <f>+Empresa_Centro[[#This Row],[Codigo Centro Gestion]]&amp;" - "&amp;Empresa_Centro[[#This Row],[Nombre Centro Gestion]]</f>
        <v>9189 - PV Vista Azul</v>
      </c>
    </row>
    <row r="1197" spans="1:6" x14ac:dyDescent="0.25">
      <c r="A1197" s="43">
        <v>77</v>
      </c>
      <c r="B1197" t="s">
        <v>438</v>
      </c>
      <c r="C1197" s="43" t="s">
        <v>439</v>
      </c>
      <c r="D1197" s="43">
        <v>9190</v>
      </c>
      <c r="E1197" t="s">
        <v>622</v>
      </c>
      <c r="F1197" s="47" t="str">
        <f>+Empresa_Centro[[#This Row],[Codigo Centro Gestion]]&amp;" - "&amp;Empresa_Centro[[#This Row],[Nombre Centro Gestion]]</f>
        <v>9190 - PV Altos de Castilla</v>
      </c>
    </row>
    <row r="1198" spans="1:6" x14ac:dyDescent="0.25">
      <c r="A1198" s="43">
        <v>77</v>
      </c>
      <c r="B1198" t="s">
        <v>438</v>
      </c>
      <c r="C1198" s="43" t="s">
        <v>439</v>
      </c>
      <c r="D1198" s="43">
        <v>9192</v>
      </c>
      <c r="E1198" t="s">
        <v>623</v>
      </c>
      <c r="F1198" s="47" t="str">
        <f>+Empresa_Centro[[#This Row],[Codigo Centro Gestion]]&amp;" - "&amp;Empresa_Centro[[#This Row],[Nombre Centro Gestion]]</f>
        <v>9192 - PV NOVENA AVENIDA</v>
      </c>
    </row>
    <row r="1199" spans="1:6" x14ac:dyDescent="0.25">
      <c r="A1199" s="43">
        <v>77</v>
      </c>
      <c r="B1199" t="s">
        <v>438</v>
      </c>
      <c r="C1199" s="43" t="s">
        <v>439</v>
      </c>
      <c r="D1199" s="43">
        <v>9195</v>
      </c>
      <c r="E1199" t="s">
        <v>624</v>
      </c>
      <c r="F1199" s="47" t="str">
        <f>+Empresa_Centro[[#This Row],[Codigo Centro Gestion]]&amp;" - "&amp;Empresa_Centro[[#This Row],[Nombre Centro Gestion]]</f>
        <v>9195 - PV Vista Macul 2</v>
      </c>
    </row>
    <row r="1200" spans="1:6" x14ac:dyDescent="0.25">
      <c r="A1200" s="43">
        <v>77</v>
      </c>
      <c r="B1200" t="s">
        <v>438</v>
      </c>
      <c r="C1200" s="43" t="s">
        <v>439</v>
      </c>
      <c r="D1200" s="43">
        <v>9199</v>
      </c>
      <c r="E1200" t="s">
        <v>625</v>
      </c>
      <c r="F1200" s="47" t="str">
        <f>+Empresa_Centro[[#This Row],[Codigo Centro Gestion]]&amp;" - "&amp;Empresa_Centro[[#This Row],[Nombre Centro Gestion]]</f>
        <v>9199 - PV Vista Independencia</v>
      </c>
    </row>
    <row r="1201" spans="1:6" x14ac:dyDescent="0.25">
      <c r="A1201" s="43">
        <v>77</v>
      </c>
      <c r="B1201" t="s">
        <v>438</v>
      </c>
      <c r="C1201" s="43" t="s">
        <v>439</v>
      </c>
      <c r="D1201" s="43">
        <v>9200</v>
      </c>
      <c r="E1201" t="s">
        <v>626</v>
      </c>
      <c r="F1201" s="47" t="str">
        <f>+Empresa_Centro[[#This Row],[Codigo Centro Gestion]]&amp;" - "&amp;Empresa_Centro[[#This Row],[Nombre Centro Gestion]]</f>
        <v>9200 - PV Edificio Terrazas del Sol</v>
      </c>
    </row>
    <row r="1202" spans="1:6" x14ac:dyDescent="0.25">
      <c r="A1202" s="43">
        <v>77</v>
      </c>
      <c r="B1202" t="s">
        <v>438</v>
      </c>
      <c r="C1202" s="43" t="s">
        <v>439</v>
      </c>
      <c r="D1202" s="43">
        <v>9202</v>
      </c>
      <c r="E1202" t="s">
        <v>627</v>
      </c>
      <c r="F1202" s="47" t="str">
        <f>+Empresa_Centro[[#This Row],[Codigo Centro Gestion]]&amp;" - "&amp;Empresa_Centro[[#This Row],[Nombre Centro Gestion]]</f>
        <v>9202 - PV Parque Central</v>
      </c>
    </row>
    <row r="1203" spans="1:6" x14ac:dyDescent="0.25">
      <c r="A1203" s="43">
        <v>77</v>
      </c>
      <c r="B1203" t="s">
        <v>438</v>
      </c>
      <c r="C1203" s="43" t="s">
        <v>439</v>
      </c>
      <c r="D1203" s="43">
        <v>9204</v>
      </c>
      <c r="E1203" t="s">
        <v>628</v>
      </c>
      <c r="F1203" s="47" t="str">
        <f>+Empresa_Centro[[#This Row],[Codigo Centro Gestion]]&amp;" - "&amp;Empresa_Centro[[#This Row],[Nombre Centro Gestion]]</f>
        <v>9204 - PV Nuevo Ecuador</v>
      </c>
    </row>
    <row r="1204" spans="1:6" x14ac:dyDescent="0.25">
      <c r="A1204" s="43">
        <v>77</v>
      </c>
      <c r="B1204" t="s">
        <v>438</v>
      </c>
      <c r="C1204" s="43" t="s">
        <v>439</v>
      </c>
      <c r="D1204" s="43">
        <v>9205</v>
      </c>
      <c r="E1204" t="s">
        <v>629</v>
      </c>
      <c r="F1204" s="47" t="str">
        <f>+Empresa_Centro[[#This Row],[Codigo Centro Gestion]]&amp;" - "&amp;Empresa_Centro[[#This Row],[Nombre Centro Gestion]]</f>
        <v>9205 - PV Edificio Santa Elena 1282</v>
      </c>
    </row>
    <row r="1205" spans="1:6" x14ac:dyDescent="0.25">
      <c r="A1205" s="43">
        <v>77</v>
      </c>
      <c r="B1205" t="s">
        <v>438</v>
      </c>
      <c r="C1205" s="43" t="s">
        <v>439</v>
      </c>
      <c r="D1205" s="43">
        <v>9206</v>
      </c>
      <c r="E1205" t="s">
        <v>630</v>
      </c>
      <c r="F1205" s="47" t="str">
        <f>+Empresa_Centro[[#This Row],[Codigo Centro Gestion]]&amp;" - "&amp;Empresa_Centro[[#This Row],[Nombre Centro Gestion]]</f>
        <v>9206 - PV Novena Avenida 2</v>
      </c>
    </row>
    <row r="1206" spans="1:6" x14ac:dyDescent="0.25">
      <c r="A1206" s="43">
        <v>77</v>
      </c>
      <c r="B1206" t="s">
        <v>438</v>
      </c>
      <c r="C1206" s="43" t="s">
        <v>439</v>
      </c>
      <c r="D1206" s="43">
        <v>9207</v>
      </c>
      <c r="E1206" t="s">
        <v>631</v>
      </c>
      <c r="F1206" s="47" t="str">
        <f>+Empresa_Centro[[#This Row],[Codigo Centro Gestion]]&amp;" - "&amp;Empresa_Centro[[#This Row],[Nombre Centro Gestion]]</f>
        <v>9207 - PV Edificio Fuenzalida Urrejola 125</v>
      </c>
    </row>
    <row r="1207" spans="1:6" x14ac:dyDescent="0.25">
      <c r="A1207" s="43">
        <v>77</v>
      </c>
      <c r="B1207" t="s">
        <v>438</v>
      </c>
      <c r="C1207" s="43" t="s">
        <v>439</v>
      </c>
      <c r="D1207" s="43">
        <v>9209</v>
      </c>
      <c r="E1207" t="s">
        <v>632</v>
      </c>
      <c r="F1207" s="47" t="str">
        <f>+Empresa_Centro[[#This Row],[Codigo Centro Gestion]]&amp;" - "&amp;Empresa_Centro[[#This Row],[Nombre Centro Gestion]]</f>
        <v>9209 - PV Edificio Bulnes Labbe</v>
      </c>
    </row>
    <row r="1208" spans="1:6" x14ac:dyDescent="0.25">
      <c r="A1208" s="43">
        <v>77</v>
      </c>
      <c r="B1208" t="s">
        <v>438</v>
      </c>
      <c r="C1208" s="43" t="s">
        <v>439</v>
      </c>
      <c r="D1208" s="43">
        <v>9210</v>
      </c>
      <c r="E1208" t="s">
        <v>633</v>
      </c>
      <c r="F1208" s="47" t="str">
        <f>+Empresa_Centro[[#This Row],[Codigo Centro Gestion]]&amp;" - "&amp;Empresa_Centro[[#This Row],[Nombre Centro Gestion]]</f>
        <v>9210 - PV Alto Foresta</v>
      </c>
    </row>
    <row r="1209" spans="1:6" x14ac:dyDescent="0.25">
      <c r="A1209" s="43">
        <v>77</v>
      </c>
      <c r="B1209" t="s">
        <v>438</v>
      </c>
      <c r="C1209" s="43" t="s">
        <v>439</v>
      </c>
      <c r="D1209" s="43">
        <v>9211</v>
      </c>
      <c r="E1209" t="s">
        <v>634</v>
      </c>
      <c r="F1209" s="47" t="str">
        <f>+Empresa_Centro[[#This Row],[Codigo Centro Gestion]]&amp;" - "&amp;Empresa_Centro[[#This Row],[Nombre Centro Gestion]]</f>
        <v>9211 - PV Vista del Valle II Edificio B</v>
      </c>
    </row>
    <row r="1210" spans="1:6" x14ac:dyDescent="0.25">
      <c r="A1210" s="43">
        <v>77</v>
      </c>
      <c r="B1210" t="s">
        <v>438</v>
      </c>
      <c r="C1210" s="43" t="s">
        <v>439</v>
      </c>
      <c r="D1210" s="43">
        <v>9212</v>
      </c>
      <c r="E1210" t="s">
        <v>635</v>
      </c>
      <c r="F1210" s="47" t="str">
        <f>+Empresa_Centro[[#This Row],[Codigo Centro Gestion]]&amp;" - "&amp;Empresa_Centro[[#This Row],[Nombre Centro Gestion]]</f>
        <v>9212 - PV Edificio Constantino 54</v>
      </c>
    </row>
    <row r="1211" spans="1:6" x14ac:dyDescent="0.25">
      <c r="A1211" s="43">
        <v>77</v>
      </c>
      <c r="B1211" t="s">
        <v>438</v>
      </c>
      <c r="C1211" s="43" t="s">
        <v>439</v>
      </c>
      <c r="D1211" s="43">
        <v>9213</v>
      </c>
      <c r="E1211" t="s">
        <v>636</v>
      </c>
      <c r="F1211" s="47" t="str">
        <f>+Empresa_Centro[[#This Row],[Codigo Centro Gestion]]&amp;" - "&amp;Empresa_Centro[[#This Row],[Nombre Centro Gestion]]</f>
        <v>9213 - PV Edificio Maipu</v>
      </c>
    </row>
    <row r="1212" spans="1:6" x14ac:dyDescent="0.25">
      <c r="A1212" s="43">
        <v>77</v>
      </c>
      <c r="B1212" t="s">
        <v>438</v>
      </c>
      <c r="C1212" s="43" t="s">
        <v>439</v>
      </c>
      <c r="D1212" s="43">
        <v>9214</v>
      </c>
      <c r="E1212" t="s">
        <v>637</v>
      </c>
      <c r="F1212" s="47" t="str">
        <f>+Empresa_Centro[[#This Row],[Codigo Centro Gestion]]&amp;" - "&amp;Empresa_Centro[[#This Row],[Nombre Centro Gestion]]</f>
        <v>9214 - PV Edificio Recreo 250</v>
      </c>
    </row>
    <row r="1213" spans="1:6" x14ac:dyDescent="0.25">
      <c r="A1213" s="43">
        <v>77</v>
      </c>
      <c r="B1213" t="s">
        <v>438</v>
      </c>
      <c r="C1213" s="43" t="s">
        <v>439</v>
      </c>
      <c r="D1213" s="43">
        <v>9215</v>
      </c>
      <c r="E1213" t="s">
        <v>638</v>
      </c>
      <c r="F1213" s="47" t="str">
        <f>+Empresa_Centro[[#This Row],[Codigo Centro Gestion]]&amp;" - "&amp;Empresa_Centro[[#This Row],[Nombre Centro Gestion]]</f>
        <v>9215 - PV Alto Marañon Torre A</v>
      </c>
    </row>
    <row r="1214" spans="1:6" x14ac:dyDescent="0.25">
      <c r="A1214" s="43">
        <v>77</v>
      </c>
      <c r="B1214" t="s">
        <v>438</v>
      </c>
      <c r="C1214" s="43" t="s">
        <v>439</v>
      </c>
      <c r="D1214" s="43">
        <v>9217</v>
      </c>
      <c r="E1214" t="s">
        <v>639</v>
      </c>
      <c r="F1214" s="47" t="str">
        <f>+Empresa_Centro[[#This Row],[Codigo Centro Gestion]]&amp;" - "&amp;Empresa_Centro[[#This Row],[Nombre Centro Gestion]]</f>
        <v>9217 - PV Edificio Duble Almeyda 2621</v>
      </c>
    </row>
    <row r="1215" spans="1:6" x14ac:dyDescent="0.25">
      <c r="A1215" s="43">
        <v>77</v>
      </c>
      <c r="B1215" t="s">
        <v>438</v>
      </c>
      <c r="C1215" s="43" t="s">
        <v>439</v>
      </c>
      <c r="D1215" s="43">
        <v>9218</v>
      </c>
      <c r="E1215" t="s">
        <v>640</v>
      </c>
      <c r="F1215" s="47" t="str">
        <f>+Empresa_Centro[[#This Row],[Codigo Centro Gestion]]&amp;" - "&amp;Empresa_Centro[[#This Row],[Nombre Centro Gestion]]</f>
        <v>9218 - PV Edificio Jose Domingo Cañas 2640</v>
      </c>
    </row>
    <row r="1216" spans="1:6" x14ac:dyDescent="0.25">
      <c r="A1216" s="43">
        <v>77</v>
      </c>
      <c r="B1216" t="s">
        <v>438</v>
      </c>
      <c r="C1216" s="43" t="s">
        <v>439</v>
      </c>
      <c r="D1216" s="43">
        <v>9220</v>
      </c>
      <c r="E1216" t="s">
        <v>641</v>
      </c>
      <c r="F1216" s="47" t="str">
        <f>+Empresa_Centro[[#This Row],[Codigo Centro Gestion]]&amp;" - "&amp;Empresa_Centro[[#This Row],[Nombre Centro Gestion]]</f>
        <v>9220 - PV Edificio Uno Norte</v>
      </c>
    </row>
    <row r="1217" spans="1:6" x14ac:dyDescent="0.25">
      <c r="A1217" s="43">
        <v>77</v>
      </c>
      <c r="B1217" t="s">
        <v>438</v>
      </c>
      <c r="C1217" s="43" t="s">
        <v>439</v>
      </c>
      <c r="D1217" s="43">
        <v>9221</v>
      </c>
      <c r="E1217" t="s">
        <v>642</v>
      </c>
      <c r="F1217" s="47" t="str">
        <f>+Empresa_Centro[[#This Row],[Codigo Centro Gestion]]&amp;" - "&amp;Empresa_Centro[[#This Row],[Nombre Centro Gestion]]</f>
        <v>9221 - PV Edificio Fernandez Albano 192</v>
      </c>
    </row>
    <row r="1218" spans="1:6" x14ac:dyDescent="0.25">
      <c r="A1218" s="43">
        <v>77</v>
      </c>
      <c r="B1218" t="s">
        <v>438</v>
      </c>
      <c r="C1218" s="43" t="s">
        <v>439</v>
      </c>
      <c r="D1218" s="43">
        <v>9222</v>
      </c>
      <c r="E1218" t="s">
        <v>643</v>
      </c>
      <c r="F1218" s="47" t="str">
        <f>+Empresa_Centro[[#This Row],[Codigo Centro Gestion]]&amp;" - "&amp;Empresa_Centro[[#This Row],[Nombre Centro Gestion]]</f>
        <v>9222 - PV Condominio Activo</v>
      </c>
    </row>
    <row r="1219" spans="1:6" x14ac:dyDescent="0.25">
      <c r="A1219" s="43">
        <v>77</v>
      </c>
      <c r="B1219" t="s">
        <v>438</v>
      </c>
      <c r="C1219" s="43" t="s">
        <v>439</v>
      </c>
      <c r="D1219" s="43">
        <v>9223</v>
      </c>
      <c r="E1219" t="s">
        <v>644</v>
      </c>
      <c r="F1219" s="47" t="str">
        <f>+Empresa_Centro[[#This Row],[Codigo Centro Gestion]]&amp;" - "&amp;Empresa_Centro[[#This Row],[Nombre Centro Gestion]]</f>
        <v>9223 - PV Alto Cavancha</v>
      </c>
    </row>
    <row r="1220" spans="1:6" x14ac:dyDescent="0.25">
      <c r="A1220" s="43">
        <v>77</v>
      </c>
      <c r="B1220" t="s">
        <v>438</v>
      </c>
      <c r="C1220" s="43" t="s">
        <v>439</v>
      </c>
      <c r="D1220" s="43">
        <v>9225</v>
      </c>
      <c r="E1220" t="s">
        <v>645</v>
      </c>
      <c r="F1220" s="47" t="str">
        <f>+Empresa_Centro[[#This Row],[Codigo Centro Gestion]]&amp;" - "&amp;Empresa_Centro[[#This Row],[Nombre Centro Gestion]]</f>
        <v>9225 - PV Parque Ingles</v>
      </c>
    </row>
    <row r="1221" spans="1:6" x14ac:dyDescent="0.25">
      <c r="A1221" s="43">
        <v>77</v>
      </c>
      <c r="B1221" t="s">
        <v>438</v>
      </c>
      <c r="C1221" s="43" t="s">
        <v>439</v>
      </c>
      <c r="D1221" s="43">
        <v>9226</v>
      </c>
      <c r="E1221" t="s">
        <v>646</v>
      </c>
      <c r="F1221" s="47" t="str">
        <f>+Empresa_Centro[[#This Row],[Codigo Centro Gestion]]&amp;" - "&amp;Empresa_Centro[[#This Row],[Nombre Centro Gestion]]</f>
        <v>9226 - PV Conde del Maule 4676</v>
      </c>
    </row>
    <row r="1222" spans="1:6" x14ac:dyDescent="0.25">
      <c r="A1222" s="43">
        <v>77</v>
      </c>
      <c r="B1222" t="s">
        <v>438</v>
      </c>
      <c r="C1222" s="43" t="s">
        <v>439</v>
      </c>
      <c r="D1222" s="43">
        <v>9227</v>
      </c>
      <c r="E1222" t="s">
        <v>647</v>
      </c>
      <c r="F1222" s="47" t="str">
        <f>+Empresa_Centro[[#This Row],[Codigo Centro Gestion]]&amp;" - "&amp;Empresa_Centro[[#This Row],[Nombre Centro Gestion]]</f>
        <v>9227 - PV Edificio Alto Foresta 2</v>
      </c>
    </row>
    <row r="1223" spans="1:6" x14ac:dyDescent="0.25">
      <c r="A1223" s="43">
        <v>77</v>
      </c>
      <c r="B1223" t="s">
        <v>438</v>
      </c>
      <c r="C1223" s="43" t="s">
        <v>439</v>
      </c>
      <c r="D1223" s="43">
        <v>9228</v>
      </c>
      <c r="E1223" t="s">
        <v>648</v>
      </c>
      <c r="F1223" s="47" t="str">
        <f>+Empresa_Centro[[#This Row],[Codigo Centro Gestion]]&amp;" - "&amp;Empresa_Centro[[#This Row],[Nombre Centro Gestion]]</f>
        <v>9228 - PV Edificio Briones Luco</v>
      </c>
    </row>
    <row r="1224" spans="1:6" x14ac:dyDescent="0.25">
      <c r="A1224" s="43">
        <v>77</v>
      </c>
      <c r="B1224" t="s">
        <v>438</v>
      </c>
      <c r="C1224" s="43" t="s">
        <v>439</v>
      </c>
      <c r="D1224" s="43">
        <v>9229</v>
      </c>
      <c r="E1224" t="s">
        <v>649</v>
      </c>
      <c r="F1224" s="47" t="str">
        <f>+Empresa_Centro[[#This Row],[Codigo Centro Gestion]]&amp;" - "&amp;Empresa_Centro[[#This Row],[Nombre Centro Gestion]]</f>
        <v>9229 - PV Vista Las Palmas</v>
      </c>
    </row>
    <row r="1225" spans="1:6" x14ac:dyDescent="0.25">
      <c r="A1225" s="43">
        <v>77</v>
      </c>
      <c r="B1225" t="s">
        <v>438</v>
      </c>
      <c r="C1225" s="43" t="s">
        <v>439</v>
      </c>
      <c r="D1225" s="43">
        <v>9230</v>
      </c>
      <c r="E1225" t="s">
        <v>650</v>
      </c>
      <c r="F1225" s="47" t="str">
        <f>+Empresa_Centro[[#This Row],[Codigo Centro Gestion]]&amp;" - "&amp;Empresa_Centro[[#This Row],[Nombre Centro Gestion]]</f>
        <v>9230 - PV Condominio Manuel Jesus Rivera</v>
      </c>
    </row>
    <row r="1226" spans="1:6" x14ac:dyDescent="0.25">
      <c r="A1226" s="43">
        <v>77</v>
      </c>
      <c r="B1226" t="s">
        <v>438</v>
      </c>
      <c r="C1226" s="43" t="s">
        <v>439</v>
      </c>
      <c r="D1226" s="43">
        <v>9231</v>
      </c>
      <c r="E1226" t="s">
        <v>651</v>
      </c>
      <c r="F1226" s="47" t="str">
        <f>+Empresa_Centro[[#This Row],[Codigo Centro Gestion]]&amp;" - "&amp;Empresa_Centro[[#This Row],[Nombre Centro Gestion]]</f>
        <v>9231 - PV Edificio Guillermo Mann</v>
      </c>
    </row>
    <row r="1227" spans="1:6" x14ac:dyDescent="0.25">
      <c r="A1227" s="43">
        <v>77</v>
      </c>
      <c r="B1227" t="s">
        <v>438</v>
      </c>
      <c r="C1227" s="43" t="s">
        <v>439</v>
      </c>
      <c r="D1227" s="43">
        <v>9232</v>
      </c>
      <c r="E1227" t="s">
        <v>652</v>
      </c>
      <c r="F1227" s="47" t="str">
        <f>+Empresa_Centro[[#This Row],[Codigo Centro Gestion]]&amp;" - "&amp;Empresa_Centro[[#This Row],[Nombre Centro Gestion]]</f>
        <v>9232 - PV Edificio Coronel Souper</v>
      </c>
    </row>
    <row r="1228" spans="1:6" x14ac:dyDescent="0.25">
      <c r="A1228" s="43">
        <v>77</v>
      </c>
      <c r="B1228" t="s">
        <v>438</v>
      </c>
      <c r="C1228" s="43" t="s">
        <v>439</v>
      </c>
      <c r="D1228" s="43">
        <v>9235</v>
      </c>
      <c r="E1228" t="s">
        <v>653</v>
      </c>
      <c r="F1228" s="47" t="str">
        <f>+Empresa_Centro[[#This Row],[Codigo Centro Gestion]]&amp;" - "&amp;Empresa_Centro[[#This Row],[Nombre Centro Gestion]]</f>
        <v>9235 - PV Vista del Valle III</v>
      </c>
    </row>
    <row r="1229" spans="1:6" x14ac:dyDescent="0.25">
      <c r="A1229" s="43">
        <v>77</v>
      </c>
      <c r="B1229" t="s">
        <v>438</v>
      </c>
      <c r="C1229" s="43" t="s">
        <v>439</v>
      </c>
      <c r="D1229" s="43">
        <v>9236</v>
      </c>
      <c r="E1229" t="s">
        <v>654</v>
      </c>
      <c r="F1229" s="47" t="str">
        <f>+Empresa_Centro[[#This Row],[Codigo Centro Gestion]]&amp;" - "&amp;Empresa_Centro[[#This Row],[Nombre Centro Gestion]]</f>
        <v>9236 - PV Edificio Pedro Prado</v>
      </c>
    </row>
    <row r="1230" spans="1:6" x14ac:dyDescent="0.25">
      <c r="A1230" s="43">
        <v>77</v>
      </c>
      <c r="B1230" t="s">
        <v>438</v>
      </c>
      <c r="C1230" s="43" t="s">
        <v>439</v>
      </c>
      <c r="D1230" s="43">
        <v>9237</v>
      </c>
      <c r="E1230" t="s">
        <v>655</v>
      </c>
      <c r="F1230" s="47" t="str">
        <f>+Empresa_Centro[[#This Row],[Codigo Centro Gestion]]&amp;" - "&amp;Empresa_Centro[[#This Row],[Nombre Centro Gestion]]</f>
        <v>9237 - PV CUMBRE PLACERES</v>
      </c>
    </row>
    <row r="1231" spans="1:6" x14ac:dyDescent="0.25">
      <c r="A1231" s="43">
        <v>77</v>
      </c>
      <c r="B1231" t="s">
        <v>438</v>
      </c>
      <c r="C1231" s="43" t="s">
        <v>439</v>
      </c>
      <c r="D1231" s="43">
        <v>9239</v>
      </c>
      <c r="E1231" t="s">
        <v>656</v>
      </c>
      <c r="F1231" s="47" t="str">
        <f>+Empresa_Centro[[#This Row],[Codigo Centro Gestion]]&amp;" - "&amp;Empresa_Centro[[#This Row],[Nombre Centro Gestion]]</f>
        <v>9239 - PV Alto Mirador</v>
      </c>
    </row>
    <row r="1232" spans="1:6" x14ac:dyDescent="0.25">
      <c r="A1232" s="43">
        <v>77</v>
      </c>
      <c r="B1232" t="s">
        <v>438</v>
      </c>
      <c r="C1232" s="43" t="s">
        <v>439</v>
      </c>
      <c r="D1232" s="43">
        <v>9241</v>
      </c>
      <c r="E1232" t="s">
        <v>657</v>
      </c>
      <c r="F1232" s="47" t="str">
        <f>+Empresa_Centro[[#This Row],[Codigo Centro Gestion]]&amp;" - "&amp;Empresa_Centro[[#This Row],[Nombre Centro Gestion]]</f>
        <v>9241 - PV Parque Marañon Torre B</v>
      </c>
    </row>
    <row r="1233" spans="1:6" x14ac:dyDescent="0.25">
      <c r="A1233" s="43">
        <v>77</v>
      </c>
      <c r="B1233" t="s">
        <v>438</v>
      </c>
      <c r="C1233" s="43" t="s">
        <v>439</v>
      </c>
      <c r="D1233" s="43">
        <v>9242</v>
      </c>
      <c r="E1233" t="s">
        <v>658</v>
      </c>
      <c r="F1233" s="47" t="str">
        <f>+Empresa_Centro[[#This Row],[Codigo Centro Gestion]]&amp;" - "&amp;Empresa_Centro[[#This Row],[Nombre Centro Gestion]]</f>
        <v>9242 - PV Edificio Leon Prado</v>
      </c>
    </row>
    <row r="1234" spans="1:6" x14ac:dyDescent="0.25">
      <c r="A1234" s="43">
        <v>77</v>
      </c>
      <c r="B1234" t="s">
        <v>438</v>
      </c>
      <c r="C1234" s="43" t="s">
        <v>439</v>
      </c>
      <c r="D1234" s="43">
        <v>9243</v>
      </c>
      <c r="E1234" t="s">
        <v>659</v>
      </c>
      <c r="F1234" s="47" t="str">
        <f>+Empresa_Centro[[#This Row],[Codigo Centro Gestion]]&amp;" - "&amp;Empresa_Centro[[#This Row],[Nombre Centro Gestion]]</f>
        <v>9243 - PV Edificio Garcia Reyes</v>
      </c>
    </row>
    <row r="1235" spans="1:6" x14ac:dyDescent="0.25">
      <c r="A1235" s="43">
        <v>77</v>
      </c>
      <c r="B1235" t="s">
        <v>438</v>
      </c>
      <c r="C1235" s="43" t="s">
        <v>439</v>
      </c>
      <c r="D1235" s="43">
        <v>9245</v>
      </c>
      <c r="E1235" t="s">
        <v>660</v>
      </c>
      <c r="F1235" s="47" t="str">
        <f>+Empresa_Centro[[#This Row],[Codigo Centro Gestion]]&amp;" - "&amp;Empresa_Centro[[#This Row],[Nombre Centro Gestion]]</f>
        <v>9245 - PV Edificio La Coruña</v>
      </c>
    </row>
    <row r="1236" spans="1:6" x14ac:dyDescent="0.25">
      <c r="A1236" s="43">
        <v>77</v>
      </c>
      <c r="B1236" t="s">
        <v>438</v>
      </c>
      <c r="C1236" s="43" t="s">
        <v>439</v>
      </c>
      <c r="D1236" s="43">
        <v>9248</v>
      </c>
      <c r="E1236" t="s">
        <v>661</v>
      </c>
      <c r="F1236" s="47" t="str">
        <f>+Empresa_Centro[[#This Row],[Codigo Centro Gestion]]&amp;" - "&amp;Empresa_Centro[[#This Row],[Nombre Centro Gestion]]</f>
        <v>9248 - PV Alto Marañon Torre B</v>
      </c>
    </row>
    <row r="1237" spans="1:6" x14ac:dyDescent="0.25">
      <c r="A1237" s="43">
        <v>77</v>
      </c>
      <c r="B1237" t="s">
        <v>438</v>
      </c>
      <c r="C1237" s="43" t="s">
        <v>439</v>
      </c>
      <c r="D1237" s="43">
        <v>9251</v>
      </c>
      <c r="E1237" t="s">
        <v>662</v>
      </c>
      <c r="F1237" s="47" t="str">
        <f>+Empresa_Centro[[#This Row],[Codigo Centro Gestion]]&amp;" - "&amp;Empresa_Centro[[#This Row],[Nombre Centro Gestion]]</f>
        <v>9251 - PV Edificio Vista Horizonte</v>
      </c>
    </row>
    <row r="1238" spans="1:6" x14ac:dyDescent="0.25">
      <c r="A1238" s="43">
        <v>77</v>
      </c>
      <c r="B1238" t="s">
        <v>438</v>
      </c>
      <c r="C1238" s="43" t="s">
        <v>439</v>
      </c>
      <c r="D1238" s="43">
        <v>9252</v>
      </c>
      <c r="E1238" t="s">
        <v>663</v>
      </c>
      <c r="F1238" s="47" t="str">
        <f>+Empresa_Centro[[#This Row],[Codigo Centro Gestion]]&amp;" - "&amp;Empresa_Centro[[#This Row],[Nombre Centro Gestion]]</f>
        <v>9252 - PV Edificio Castillo Urizar</v>
      </c>
    </row>
    <row r="1239" spans="1:6" x14ac:dyDescent="0.25">
      <c r="A1239" s="43">
        <v>77</v>
      </c>
      <c r="B1239" t="s">
        <v>438</v>
      </c>
      <c r="C1239" s="43" t="s">
        <v>439</v>
      </c>
      <c r="D1239" s="43">
        <v>9254</v>
      </c>
      <c r="E1239" t="s">
        <v>664</v>
      </c>
      <c r="F1239" s="47" t="str">
        <f>+Empresa_Centro[[#This Row],[Codigo Centro Gestion]]&amp;" - "&amp;Empresa_Centro[[#This Row],[Nombre Centro Gestion]]</f>
        <v>9254 - PV Trinidad Ramirez</v>
      </c>
    </row>
    <row r="1240" spans="1:6" x14ac:dyDescent="0.25">
      <c r="A1240" s="43">
        <v>77</v>
      </c>
      <c r="B1240" t="s">
        <v>438</v>
      </c>
      <c r="C1240" s="43" t="s">
        <v>439</v>
      </c>
      <c r="D1240" s="43">
        <v>9255</v>
      </c>
      <c r="E1240" t="s">
        <v>665</v>
      </c>
      <c r="F1240" s="47" t="str">
        <f>+Empresa_Centro[[#This Row],[Codigo Centro Gestion]]&amp;" - "&amp;Empresa_Centro[[#This Row],[Nombre Centro Gestion]]</f>
        <v>9255 - PV Condominio Lago Ranco</v>
      </c>
    </row>
    <row r="1241" spans="1:6" x14ac:dyDescent="0.25">
      <c r="A1241" s="43">
        <v>77</v>
      </c>
      <c r="B1241" t="s">
        <v>438</v>
      </c>
      <c r="C1241" s="43" t="s">
        <v>439</v>
      </c>
      <c r="D1241" s="43">
        <v>9256</v>
      </c>
      <c r="E1241" t="s">
        <v>666</v>
      </c>
      <c r="F1241" s="47" t="str">
        <f>+Empresa_Centro[[#This Row],[Codigo Centro Gestion]]&amp;" - "&amp;Empresa_Centro[[#This Row],[Nombre Centro Gestion]]</f>
        <v>9256 - PV Edificio Lynch</v>
      </c>
    </row>
    <row r="1242" spans="1:6" x14ac:dyDescent="0.25">
      <c r="A1242" s="43">
        <v>77</v>
      </c>
      <c r="B1242" t="s">
        <v>438</v>
      </c>
      <c r="C1242" s="43" t="s">
        <v>439</v>
      </c>
      <c r="D1242" s="43">
        <v>9258</v>
      </c>
      <c r="E1242" t="s">
        <v>667</v>
      </c>
      <c r="F1242" s="47" t="str">
        <f>+Empresa_Centro[[#This Row],[Codigo Centro Gestion]]&amp;" - "&amp;Empresa_Centro[[#This Row],[Nombre Centro Gestion]]</f>
        <v>9258 - PV Condominio Jorge Cáceres Etapa 1</v>
      </c>
    </row>
    <row r="1243" spans="1:6" x14ac:dyDescent="0.25">
      <c r="A1243" s="43">
        <v>77</v>
      </c>
      <c r="B1243" t="s">
        <v>438</v>
      </c>
      <c r="C1243" s="43" t="s">
        <v>439</v>
      </c>
      <c r="D1243" s="43">
        <v>9259</v>
      </c>
      <c r="E1243" t="s">
        <v>668</v>
      </c>
      <c r="F1243" s="47" t="str">
        <f>+Empresa_Centro[[#This Row],[Codigo Centro Gestion]]&amp;" - "&amp;Empresa_Centro[[#This Row],[Nombre Centro Gestion]]</f>
        <v>9259 - PV Edificio Parque Urbano</v>
      </c>
    </row>
    <row r="1244" spans="1:6" x14ac:dyDescent="0.25">
      <c r="A1244" s="43">
        <v>77</v>
      </c>
      <c r="B1244" t="s">
        <v>438</v>
      </c>
      <c r="C1244" s="43" t="s">
        <v>439</v>
      </c>
      <c r="D1244" s="43">
        <v>9260</v>
      </c>
      <c r="E1244" t="s">
        <v>669</v>
      </c>
      <c r="F1244" s="47" t="str">
        <f>+Empresa_Centro[[#This Row],[Codigo Centro Gestion]]&amp;" - "&amp;Empresa_Centro[[#This Row],[Nombre Centro Gestion]]</f>
        <v>9260 - PV Edificio Lia Aguirre</v>
      </c>
    </row>
    <row r="1245" spans="1:6" x14ac:dyDescent="0.25">
      <c r="A1245" s="43">
        <v>77</v>
      </c>
      <c r="B1245" t="s">
        <v>438</v>
      </c>
      <c r="C1245" s="43" t="s">
        <v>439</v>
      </c>
      <c r="D1245" s="43">
        <v>9262</v>
      </c>
      <c r="E1245" t="s">
        <v>670</v>
      </c>
      <c r="F1245" s="47" t="str">
        <f>+Empresa_Centro[[#This Row],[Codigo Centro Gestion]]&amp;" - "&amp;Empresa_Centro[[#This Row],[Nombre Centro Gestion]]</f>
        <v>9262 - PV Alto Marañon 3</v>
      </c>
    </row>
    <row r="1246" spans="1:6" x14ac:dyDescent="0.25">
      <c r="A1246" s="43">
        <v>77</v>
      </c>
      <c r="B1246" t="s">
        <v>438</v>
      </c>
      <c r="C1246" s="43" t="s">
        <v>439</v>
      </c>
      <c r="D1246" s="43">
        <v>9264</v>
      </c>
      <c r="E1246" t="s">
        <v>671</v>
      </c>
      <c r="F1246" s="47" t="str">
        <f>+Empresa_Centro[[#This Row],[Codigo Centro Gestion]]&amp;" - "&amp;Empresa_Centro[[#This Row],[Nombre Centro Gestion]]</f>
        <v>9264 - PV Edificio Libertad</v>
      </c>
    </row>
    <row r="1247" spans="1:6" x14ac:dyDescent="0.25">
      <c r="A1247" s="43">
        <v>77</v>
      </c>
      <c r="B1247" t="s">
        <v>438</v>
      </c>
      <c r="C1247" s="43" t="s">
        <v>439</v>
      </c>
      <c r="D1247" s="43">
        <v>9294</v>
      </c>
      <c r="E1247" t="s">
        <v>672</v>
      </c>
      <c r="F1247" s="47" t="str">
        <f>+Empresa_Centro[[#This Row],[Codigo Centro Gestion]]&amp;" - "&amp;Empresa_Centro[[#This Row],[Nombre Centro Gestion]]</f>
        <v>9294 - PV JARDINES DEL POLO 2</v>
      </c>
    </row>
    <row r="1248" spans="1:6" x14ac:dyDescent="0.25">
      <c r="A1248" s="43">
        <v>77</v>
      </c>
      <c r="B1248" t="s">
        <v>438</v>
      </c>
      <c r="C1248" s="43" t="s">
        <v>439</v>
      </c>
      <c r="D1248" s="43">
        <v>9301</v>
      </c>
      <c r="E1248" t="s">
        <v>673</v>
      </c>
      <c r="F1248" s="47" t="str">
        <f>+Empresa_Centro[[#This Row],[Codigo Centro Gestion]]&amp;" - "&amp;Empresa_Centro[[#This Row],[Nombre Centro Gestion]]</f>
        <v>9301 - PV Condominio Jorge Cáceres Etapa 2</v>
      </c>
    </row>
    <row r="1249" spans="1:6" x14ac:dyDescent="0.25">
      <c r="A1249" s="43">
        <v>77</v>
      </c>
      <c r="B1249" t="s">
        <v>438</v>
      </c>
      <c r="C1249" s="43" t="s">
        <v>439</v>
      </c>
      <c r="D1249" s="43">
        <v>9303</v>
      </c>
      <c r="E1249" t="s">
        <v>674</v>
      </c>
      <c r="F1249" s="47" t="str">
        <f>+Empresa_Centro[[#This Row],[Codigo Centro Gestion]]&amp;" - "&amp;Empresa_Centro[[#This Row],[Nombre Centro Gestion]]</f>
        <v>9303 - PV Condominio Palmas del Sur II</v>
      </c>
    </row>
    <row r="1250" spans="1:6" x14ac:dyDescent="0.25">
      <c r="A1250" s="43">
        <v>77</v>
      </c>
      <c r="B1250" t="s">
        <v>438</v>
      </c>
      <c r="C1250" s="43" t="s">
        <v>439</v>
      </c>
      <c r="D1250" s="43">
        <v>9304</v>
      </c>
      <c r="E1250" t="s">
        <v>675</v>
      </c>
      <c r="F1250" s="47" t="str">
        <f>+Empresa_Centro[[#This Row],[Codigo Centro Gestion]]&amp;" - "&amp;Empresa_Centro[[#This Row],[Nombre Centro Gestion]]</f>
        <v>9304 - PV Blanca Estela I Torre A y B</v>
      </c>
    </row>
    <row r="1251" spans="1:6" x14ac:dyDescent="0.25">
      <c r="A1251" s="43">
        <v>77</v>
      </c>
      <c r="B1251" t="s">
        <v>438</v>
      </c>
      <c r="C1251" s="43" t="s">
        <v>439</v>
      </c>
      <c r="D1251" s="43">
        <v>9305</v>
      </c>
      <c r="E1251" t="s">
        <v>700</v>
      </c>
      <c r="F1251" s="47" t="str">
        <f>+Empresa_Centro[[#This Row],[Codigo Centro Gestion]]&amp;" - "&amp;Empresa_Centro[[#This Row],[Nombre Centro Gestion]]</f>
        <v>9305 - PV Condominio Parque del Sur Torre A</v>
      </c>
    </row>
    <row r="1252" spans="1:6" x14ac:dyDescent="0.25">
      <c r="A1252" s="43">
        <v>77</v>
      </c>
      <c r="B1252" t="s">
        <v>438</v>
      </c>
      <c r="C1252" s="43" t="s">
        <v>439</v>
      </c>
      <c r="D1252" s="43">
        <v>9306</v>
      </c>
      <c r="E1252" t="s">
        <v>676</v>
      </c>
      <c r="F1252" s="47" t="str">
        <f>+Empresa_Centro[[#This Row],[Codigo Centro Gestion]]&amp;" - "&amp;Empresa_Centro[[#This Row],[Nombre Centro Gestion]]</f>
        <v>9306 - PV Edificio Latorre</v>
      </c>
    </row>
    <row r="1253" spans="1:6" x14ac:dyDescent="0.25">
      <c r="A1253" s="43">
        <v>77</v>
      </c>
      <c r="B1253" t="s">
        <v>438</v>
      </c>
      <c r="C1253" s="43" t="s">
        <v>439</v>
      </c>
      <c r="D1253" s="43">
        <v>9359</v>
      </c>
      <c r="E1253" t="s">
        <v>677</v>
      </c>
      <c r="F1253" s="47" t="str">
        <f>+Empresa_Centro[[#This Row],[Codigo Centro Gestion]]&amp;" - "&amp;Empresa_Centro[[#This Row],[Nombre Centro Gestion]]</f>
        <v>9359 - PV Edificio Liparita</v>
      </c>
    </row>
    <row r="1254" spans="1:6" x14ac:dyDescent="0.25">
      <c r="A1254" s="43">
        <v>77</v>
      </c>
      <c r="B1254" t="s">
        <v>438</v>
      </c>
      <c r="C1254" s="43" t="s">
        <v>439</v>
      </c>
      <c r="D1254" s="43">
        <v>9900</v>
      </c>
      <c r="E1254" t="s">
        <v>678</v>
      </c>
      <c r="F1254" s="47" t="str">
        <f>+Empresa_Centro[[#This Row],[Codigo Centro Gestion]]&amp;" - "&amp;Empresa_Centro[[#This Row],[Nombre Centro Gestion]]</f>
        <v>9900 - PV Remodelación don RVC</v>
      </c>
    </row>
    <row r="1255" spans="1:6" x14ac:dyDescent="0.25">
      <c r="A1255" s="43">
        <v>77</v>
      </c>
      <c r="B1255" t="s">
        <v>438</v>
      </c>
      <c r="C1255" s="43" t="s">
        <v>439</v>
      </c>
      <c r="D1255" s="43">
        <v>9901</v>
      </c>
      <c r="E1255" t="s">
        <v>679</v>
      </c>
      <c r="F1255" s="47" t="str">
        <f>+Empresa_Centro[[#This Row],[Codigo Centro Gestion]]&amp;" - "&amp;Empresa_Centro[[#This Row],[Nombre Centro Gestion]]</f>
        <v>9901 - PV Vistamar I</v>
      </c>
    </row>
    <row r="1256" spans="1:6" x14ac:dyDescent="0.25">
      <c r="A1256" s="43">
        <v>77</v>
      </c>
      <c r="B1256" t="s">
        <v>438</v>
      </c>
      <c r="C1256" s="43" t="s">
        <v>439</v>
      </c>
      <c r="D1256" s="43">
        <v>9903</v>
      </c>
      <c r="E1256" t="s">
        <v>680</v>
      </c>
      <c r="F1256" s="47" t="str">
        <f>+Empresa_Centro[[#This Row],[Codigo Centro Gestion]]&amp;" - "&amp;Empresa_Centro[[#This Row],[Nombre Centro Gestion]]</f>
        <v>9903 - PV Rey del Mar</v>
      </c>
    </row>
    <row r="1257" spans="1:6" x14ac:dyDescent="0.25">
      <c r="A1257" s="43">
        <v>77</v>
      </c>
      <c r="B1257" t="s">
        <v>438</v>
      </c>
      <c r="C1257" s="43" t="s">
        <v>439</v>
      </c>
      <c r="D1257" s="43">
        <v>9904</v>
      </c>
      <c r="E1257" t="s">
        <v>681</v>
      </c>
      <c r="F1257" s="47" t="str">
        <f>+Empresa_Centro[[#This Row],[Codigo Centro Gestion]]&amp;" - "&amp;Empresa_Centro[[#This Row],[Nombre Centro Gestion]]</f>
        <v>9904 - PV Edifcio Campanario I</v>
      </c>
    </row>
    <row r="1258" spans="1:6" x14ac:dyDescent="0.25">
      <c r="A1258" s="43">
        <v>77</v>
      </c>
      <c r="B1258" t="s">
        <v>438</v>
      </c>
      <c r="C1258" s="43" t="s">
        <v>439</v>
      </c>
      <c r="D1258" s="43">
        <v>9905</v>
      </c>
      <c r="E1258" t="s">
        <v>682</v>
      </c>
      <c r="F1258" s="47" t="str">
        <f>+Empresa_Centro[[#This Row],[Codigo Centro Gestion]]&amp;" - "&amp;Empresa_Centro[[#This Row],[Nombre Centro Gestion]]</f>
        <v>9905 - PV Edifcio Campanario II</v>
      </c>
    </row>
    <row r="1259" spans="1:6" x14ac:dyDescent="0.25">
      <c r="A1259" s="43">
        <v>77</v>
      </c>
      <c r="B1259" t="s">
        <v>438</v>
      </c>
      <c r="C1259" s="43" t="s">
        <v>439</v>
      </c>
      <c r="D1259" s="43">
        <v>9906</v>
      </c>
      <c r="E1259" t="s">
        <v>683</v>
      </c>
      <c r="F1259" s="47" t="str">
        <f>+Empresa_Centro[[#This Row],[Codigo Centro Gestion]]&amp;" - "&amp;Empresa_Centro[[#This Row],[Nombre Centro Gestion]]</f>
        <v>9906 - PV Edifcio Campanario III</v>
      </c>
    </row>
    <row r="1260" spans="1:6" x14ac:dyDescent="0.25">
      <c r="A1260" s="43">
        <v>77</v>
      </c>
      <c r="B1260" t="s">
        <v>438</v>
      </c>
      <c r="C1260" s="43" t="s">
        <v>439</v>
      </c>
      <c r="D1260" s="43">
        <v>9907</v>
      </c>
      <c r="E1260" t="s">
        <v>684</v>
      </c>
      <c r="F1260" s="47" t="str">
        <f>+Empresa_Centro[[#This Row],[Codigo Centro Gestion]]&amp;" - "&amp;Empresa_Centro[[#This Row],[Nombre Centro Gestion]]</f>
        <v>9907 - PV Edificio Meseta I</v>
      </c>
    </row>
    <row r="1261" spans="1:6" x14ac:dyDescent="0.25">
      <c r="A1261" s="43">
        <v>77</v>
      </c>
      <c r="B1261" t="s">
        <v>438</v>
      </c>
      <c r="C1261" s="43" t="s">
        <v>439</v>
      </c>
      <c r="D1261" s="43">
        <v>9909</v>
      </c>
      <c r="E1261" t="s">
        <v>685</v>
      </c>
      <c r="F1261" s="47" t="str">
        <f>+Empresa_Centro[[#This Row],[Codigo Centro Gestion]]&amp;" - "&amp;Empresa_Centro[[#This Row],[Nombre Centro Gestion]]</f>
        <v>9909 - PV Colegio Saint Margaret</v>
      </c>
    </row>
    <row r="1262" spans="1:6" x14ac:dyDescent="0.25">
      <c r="A1262" s="43">
        <v>77</v>
      </c>
      <c r="B1262" t="s">
        <v>438</v>
      </c>
      <c r="C1262" s="43" t="s">
        <v>439</v>
      </c>
      <c r="D1262" s="43">
        <v>9910</v>
      </c>
      <c r="E1262" t="s">
        <v>686</v>
      </c>
      <c r="F1262" s="47" t="str">
        <f>+Empresa_Centro[[#This Row],[Codigo Centro Gestion]]&amp;" - "&amp;Empresa_Centro[[#This Row],[Nombre Centro Gestion]]</f>
        <v>9910 - PV Colegio Saint Paul</v>
      </c>
    </row>
    <row r="1263" spans="1:6" x14ac:dyDescent="0.25">
      <c r="A1263" s="43">
        <v>77</v>
      </c>
      <c r="B1263" t="s">
        <v>438</v>
      </c>
      <c r="C1263" s="43" t="s">
        <v>439</v>
      </c>
      <c r="D1263" s="43">
        <v>9911</v>
      </c>
      <c r="E1263" t="s">
        <v>687</v>
      </c>
      <c r="F1263" s="47" t="str">
        <f>+Empresa_Centro[[#This Row],[Codigo Centro Gestion]]&amp;" - "&amp;Empresa_Centro[[#This Row],[Nombre Centro Gestion]]</f>
        <v>9911 - PV Tribunales Valparaiso</v>
      </c>
    </row>
    <row r="1264" spans="1:6" x14ac:dyDescent="0.25">
      <c r="A1264" s="43">
        <v>77</v>
      </c>
      <c r="B1264" t="s">
        <v>438</v>
      </c>
      <c r="C1264" s="43" t="s">
        <v>439</v>
      </c>
      <c r="D1264" s="43">
        <v>9912</v>
      </c>
      <c r="E1264" t="s">
        <v>688</v>
      </c>
      <c r="F1264" s="47" t="str">
        <f>+Empresa_Centro[[#This Row],[Codigo Centro Gestion]]&amp;" - "&amp;Empresa_Centro[[#This Row],[Nombre Centro Gestion]]</f>
        <v>9912 - PV Casa Zapallar</v>
      </c>
    </row>
    <row r="1265" spans="1:6" x14ac:dyDescent="0.25">
      <c r="A1265" s="43">
        <v>77</v>
      </c>
      <c r="B1265" t="s">
        <v>438</v>
      </c>
      <c r="C1265" s="43" t="s">
        <v>439</v>
      </c>
      <c r="D1265" s="43">
        <v>9913</v>
      </c>
      <c r="E1265" t="s">
        <v>689</v>
      </c>
      <c r="F1265" s="47" t="str">
        <f>+Empresa_Centro[[#This Row],[Codigo Centro Gestion]]&amp;" - "&amp;Empresa_Centro[[#This Row],[Nombre Centro Gestion]]</f>
        <v>9913 - PV Edificio Doña Teresa</v>
      </c>
    </row>
    <row r="1266" spans="1:6" x14ac:dyDescent="0.25">
      <c r="A1266" s="43">
        <v>77</v>
      </c>
      <c r="B1266" t="s">
        <v>438</v>
      </c>
      <c r="C1266" s="43" t="s">
        <v>439</v>
      </c>
      <c r="D1266" s="43">
        <v>9914</v>
      </c>
      <c r="E1266" t="s">
        <v>690</v>
      </c>
      <c r="F1266" s="47" t="str">
        <f>+Empresa_Centro[[#This Row],[Codigo Centro Gestion]]&amp;" - "&amp;Empresa_Centro[[#This Row],[Nombre Centro Gestion]]</f>
        <v>9914 - PV Edificio Sacramentinos I</v>
      </c>
    </row>
    <row r="1267" spans="1:6" x14ac:dyDescent="0.25">
      <c r="A1267" s="43">
        <v>77</v>
      </c>
      <c r="B1267" t="s">
        <v>438</v>
      </c>
      <c r="C1267" s="43" t="s">
        <v>439</v>
      </c>
      <c r="D1267" s="43">
        <v>9915</v>
      </c>
      <c r="E1267" t="s">
        <v>691</v>
      </c>
      <c r="F1267" s="47" t="str">
        <f>+Empresa_Centro[[#This Row],[Codigo Centro Gestion]]&amp;" - "&amp;Empresa_Centro[[#This Row],[Nombre Centro Gestion]]</f>
        <v>9915 - PV Edificio Sacramentinos II</v>
      </c>
    </row>
    <row r="1268" spans="1:6" x14ac:dyDescent="0.25">
      <c r="A1268" s="43">
        <v>77</v>
      </c>
      <c r="B1268" t="s">
        <v>438</v>
      </c>
      <c r="C1268" s="43" t="s">
        <v>439</v>
      </c>
      <c r="D1268" s="43">
        <v>9916</v>
      </c>
      <c r="E1268" t="s">
        <v>692</v>
      </c>
      <c r="F1268" s="47" t="str">
        <f>+Empresa_Centro[[#This Row],[Codigo Centro Gestion]]&amp;" - "&amp;Empresa_Centro[[#This Row],[Nombre Centro Gestion]]</f>
        <v>9916 - PV Edificio Sacramentinos III</v>
      </c>
    </row>
    <row r="1269" spans="1:6" x14ac:dyDescent="0.25">
      <c r="A1269" s="43">
        <v>77</v>
      </c>
      <c r="B1269" t="s">
        <v>438</v>
      </c>
      <c r="C1269" s="43" t="s">
        <v>439</v>
      </c>
      <c r="D1269" s="43">
        <v>9917</v>
      </c>
      <c r="E1269" t="s">
        <v>693</v>
      </c>
      <c r="F1269" s="47" t="str">
        <f>+Empresa_Centro[[#This Row],[Codigo Centro Gestion]]&amp;" - "&amp;Empresa_Centro[[#This Row],[Nombre Centro Gestion]]</f>
        <v>9917 - PV Edificio Galvarino Gallardo</v>
      </c>
    </row>
    <row r="1270" spans="1:6" x14ac:dyDescent="0.25">
      <c r="A1270" s="43">
        <v>77</v>
      </c>
      <c r="B1270" t="s">
        <v>438</v>
      </c>
      <c r="C1270" s="43" t="s">
        <v>439</v>
      </c>
      <c r="D1270" s="43">
        <v>9918</v>
      </c>
      <c r="E1270" t="s">
        <v>694</v>
      </c>
      <c r="F1270" s="47" t="str">
        <f>+Empresa_Centro[[#This Row],[Codigo Centro Gestion]]&amp;" - "&amp;Empresa_Centro[[#This Row],[Nombre Centro Gestion]]</f>
        <v>9918 - PV Templo Mormon</v>
      </c>
    </row>
    <row r="1271" spans="1:6" x14ac:dyDescent="0.25">
      <c r="A1271" s="43">
        <v>77</v>
      </c>
      <c r="B1271" t="s">
        <v>438</v>
      </c>
      <c r="C1271" s="43" t="s">
        <v>439</v>
      </c>
      <c r="D1271" s="43">
        <v>9919</v>
      </c>
      <c r="E1271" t="s">
        <v>695</v>
      </c>
      <c r="F1271" s="47" t="str">
        <f>+Empresa_Centro[[#This Row],[Codigo Centro Gestion]]&amp;" - "&amp;Empresa_Centro[[#This Row],[Nombre Centro Gestion]]</f>
        <v>9919 - PV Consultorio Pudahuel</v>
      </c>
    </row>
    <row r="1272" spans="1:6" x14ac:dyDescent="0.25">
      <c r="A1272" s="43">
        <v>77</v>
      </c>
      <c r="B1272" t="s">
        <v>438</v>
      </c>
      <c r="C1272" s="43" t="s">
        <v>439</v>
      </c>
      <c r="D1272" s="43">
        <v>9920</v>
      </c>
      <c r="E1272" t="s">
        <v>696</v>
      </c>
      <c r="F1272" s="47" t="str">
        <f>+Empresa_Centro[[#This Row],[Codigo Centro Gestion]]&amp;" - "&amp;Empresa_Centro[[#This Row],[Nombre Centro Gestion]]</f>
        <v>9920 - PV Consultorio Santa Amalia</v>
      </c>
    </row>
    <row r="1273" spans="1:6" x14ac:dyDescent="0.25">
      <c r="A1273" s="43">
        <v>77</v>
      </c>
      <c r="B1273" t="s">
        <v>438</v>
      </c>
      <c r="C1273" s="43" t="s">
        <v>439</v>
      </c>
      <c r="D1273" s="43">
        <v>9921</v>
      </c>
      <c r="E1273" t="s">
        <v>697</v>
      </c>
      <c r="F1273" s="47" t="str">
        <f>+Empresa_Centro[[#This Row],[Codigo Centro Gestion]]&amp;" - "&amp;Empresa_Centro[[#This Row],[Nombre Centro Gestion]]</f>
        <v>9921 - PV Clinica Los Tiempos</v>
      </c>
    </row>
    <row r="1274" spans="1:6" x14ac:dyDescent="0.25">
      <c r="A1274" s="43">
        <v>77</v>
      </c>
      <c r="B1274" t="s">
        <v>438</v>
      </c>
      <c r="C1274" s="43" t="s">
        <v>439</v>
      </c>
      <c r="D1274" s="43">
        <v>9923</v>
      </c>
      <c r="E1274" t="s">
        <v>698</v>
      </c>
      <c r="F1274" s="47" t="str">
        <f>+Empresa_Centro[[#This Row],[Codigo Centro Gestion]]&amp;" - "&amp;Empresa_Centro[[#This Row],[Nombre Centro Gestion]]</f>
        <v>9923 - PV Casa Los Dominicos</v>
      </c>
    </row>
    <row r="1275" spans="1:6" x14ac:dyDescent="0.25">
      <c r="A1275" s="43">
        <v>77</v>
      </c>
      <c r="B1275" t="s">
        <v>438</v>
      </c>
      <c r="C1275" s="43" t="s">
        <v>439</v>
      </c>
      <c r="D1275" s="43">
        <v>9924</v>
      </c>
      <c r="E1275" t="s">
        <v>699</v>
      </c>
      <c r="F1275" s="47" t="str">
        <f>+Empresa_Centro[[#This Row],[Codigo Centro Gestion]]&amp;" - "&amp;Empresa_Centro[[#This Row],[Nombre Centro Gestion]]</f>
        <v>9924 - PV - Depto. IVM</v>
      </c>
    </row>
    <row r="1276" spans="1:6" x14ac:dyDescent="0.25">
      <c r="A1276" s="43">
        <v>77</v>
      </c>
      <c r="B1276" t="s">
        <v>438</v>
      </c>
      <c r="C1276" s="43" t="s">
        <v>439</v>
      </c>
      <c r="D1276" s="43">
        <v>10126</v>
      </c>
      <c r="E1276" t="s">
        <v>121</v>
      </c>
      <c r="F1276" s="47" t="str">
        <f>+Empresa_Centro[[#This Row],[Codigo Centro Gestion]]&amp;" - "&amp;Empresa_Centro[[#This Row],[Nombre Centro Gestion]]</f>
        <v>10126 - CLIENTES ZONAL NORTE 1</v>
      </c>
    </row>
    <row r="1277" spans="1:6" x14ac:dyDescent="0.25">
      <c r="A1277" s="43">
        <v>77</v>
      </c>
      <c r="B1277" t="s">
        <v>438</v>
      </c>
      <c r="C1277" s="43" t="s">
        <v>439</v>
      </c>
      <c r="D1277" s="43">
        <v>10127</v>
      </c>
      <c r="E1277" t="s">
        <v>123</v>
      </c>
      <c r="F1277" s="47" t="str">
        <f>+Empresa_Centro[[#This Row],[Codigo Centro Gestion]]&amp;" - "&amp;Empresa_Centro[[#This Row],[Nombre Centro Gestion]]</f>
        <v>10127 - CLIENTES ZONAL NORTE 2</v>
      </c>
    </row>
    <row r="1278" spans="1:6" x14ac:dyDescent="0.25">
      <c r="A1278" s="43">
        <v>77</v>
      </c>
      <c r="B1278" t="s">
        <v>438</v>
      </c>
      <c r="C1278" s="43" t="s">
        <v>439</v>
      </c>
      <c r="D1278" s="43">
        <v>10128</v>
      </c>
      <c r="E1278" t="s">
        <v>124</v>
      </c>
      <c r="F1278" s="47" t="str">
        <f>+Empresa_Centro[[#This Row],[Codigo Centro Gestion]]&amp;" - "&amp;Empresa_Centro[[#This Row],[Nombre Centro Gestion]]</f>
        <v>10128 - CLIENTES ZONAL NORTE 3</v>
      </c>
    </row>
    <row r="1279" spans="1:6" x14ac:dyDescent="0.25">
      <c r="A1279" s="43">
        <v>77</v>
      </c>
      <c r="B1279" t="s">
        <v>438</v>
      </c>
      <c r="C1279" s="43" t="s">
        <v>439</v>
      </c>
      <c r="D1279" s="43">
        <v>10129</v>
      </c>
      <c r="E1279" t="s">
        <v>125</v>
      </c>
      <c r="F1279" s="47" t="str">
        <f>+Empresa_Centro[[#This Row],[Codigo Centro Gestion]]&amp;" - "&amp;Empresa_Centro[[#This Row],[Nombre Centro Gestion]]</f>
        <v>10129 - CLIENTES ZONAL V REGIÓN</v>
      </c>
    </row>
    <row r="1280" spans="1:6" x14ac:dyDescent="0.25">
      <c r="A1280" s="43">
        <v>77</v>
      </c>
      <c r="B1280" t="s">
        <v>438</v>
      </c>
      <c r="C1280" s="43" t="s">
        <v>439</v>
      </c>
      <c r="D1280" s="43">
        <v>10130</v>
      </c>
      <c r="E1280" t="s">
        <v>126</v>
      </c>
      <c r="F1280" s="47" t="str">
        <f>+Empresa_Centro[[#This Row],[Codigo Centro Gestion]]&amp;" - "&amp;Empresa_Centro[[#This Row],[Nombre Centro Gestion]]</f>
        <v>10130 - CLIENTES ZONAL ZC1</v>
      </c>
    </row>
    <row r="1281" spans="1:6" x14ac:dyDescent="0.25">
      <c r="A1281" s="43">
        <v>77</v>
      </c>
      <c r="B1281" t="s">
        <v>438</v>
      </c>
      <c r="C1281" s="43" t="s">
        <v>439</v>
      </c>
      <c r="D1281" s="43">
        <v>10131</v>
      </c>
      <c r="E1281" t="s">
        <v>127</v>
      </c>
      <c r="F1281" s="47" t="str">
        <f>+Empresa_Centro[[#This Row],[Codigo Centro Gestion]]&amp;" - "&amp;Empresa_Centro[[#This Row],[Nombre Centro Gestion]]</f>
        <v>10131 - CLIENTES ZONAL ZC2</v>
      </c>
    </row>
    <row r="1282" spans="1:6" x14ac:dyDescent="0.25">
      <c r="A1282" s="43">
        <v>77</v>
      </c>
      <c r="B1282" t="s">
        <v>438</v>
      </c>
      <c r="C1282" s="43" t="s">
        <v>439</v>
      </c>
      <c r="D1282" s="43">
        <v>10132</v>
      </c>
      <c r="E1282" t="s">
        <v>128</v>
      </c>
      <c r="F1282" s="47" t="str">
        <f>+Empresa_Centro[[#This Row],[Codigo Centro Gestion]]&amp;" - "&amp;Empresa_Centro[[#This Row],[Nombre Centro Gestion]]</f>
        <v>10132 - ENTREGA NORTE 1</v>
      </c>
    </row>
    <row r="1283" spans="1:6" x14ac:dyDescent="0.25">
      <c r="A1283" s="43">
        <v>77</v>
      </c>
      <c r="B1283" t="s">
        <v>438</v>
      </c>
      <c r="C1283" s="43" t="s">
        <v>439</v>
      </c>
      <c r="D1283" s="43">
        <v>10133</v>
      </c>
      <c r="E1283" t="s">
        <v>131</v>
      </c>
      <c r="F1283" s="47" t="str">
        <f>+Empresa_Centro[[#This Row],[Codigo Centro Gestion]]&amp;" - "&amp;Empresa_Centro[[#This Row],[Nombre Centro Gestion]]</f>
        <v>10133 - ENTREGA NORTE 2</v>
      </c>
    </row>
    <row r="1284" spans="1:6" x14ac:dyDescent="0.25">
      <c r="A1284" s="43">
        <v>77</v>
      </c>
      <c r="B1284" t="s">
        <v>438</v>
      </c>
      <c r="C1284" s="43" t="s">
        <v>439</v>
      </c>
      <c r="D1284" s="43">
        <v>10134</v>
      </c>
      <c r="E1284" t="s">
        <v>132</v>
      </c>
      <c r="F1284" s="47" t="str">
        <f>+Empresa_Centro[[#This Row],[Codigo Centro Gestion]]&amp;" - "&amp;Empresa_Centro[[#This Row],[Nombre Centro Gestion]]</f>
        <v>10134 - ENTREGA NORTE 3</v>
      </c>
    </row>
    <row r="1285" spans="1:6" x14ac:dyDescent="0.25">
      <c r="A1285" s="43">
        <v>77</v>
      </c>
      <c r="B1285" t="s">
        <v>438</v>
      </c>
      <c r="C1285" s="43" t="s">
        <v>439</v>
      </c>
      <c r="D1285" s="43">
        <v>10135</v>
      </c>
      <c r="E1285" t="s">
        <v>133</v>
      </c>
      <c r="F1285" s="47" t="str">
        <f>+Empresa_Centro[[#This Row],[Codigo Centro Gestion]]&amp;" - "&amp;Empresa_Centro[[#This Row],[Nombre Centro Gestion]]</f>
        <v>10135 - ENTREGA V REGIÓN</v>
      </c>
    </row>
    <row r="1286" spans="1:6" x14ac:dyDescent="0.25">
      <c r="A1286" s="43">
        <v>77</v>
      </c>
      <c r="B1286" t="s">
        <v>438</v>
      </c>
      <c r="C1286" s="43" t="s">
        <v>439</v>
      </c>
      <c r="D1286" s="43">
        <v>10136</v>
      </c>
      <c r="E1286" t="s">
        <v>134</v>
      </c>
      <c r="F1286" s="47" t="str">
        <f>+Empresa_Centro[[#This Row],[Codigo Centro Gestion]]&amp;" - "&amp;Empresa_Centro[[#This Row],[Nombre Centro Gestion]]</f>
        <v>10136 - ENTREGA ZC1</v>
      </c>
    </row>
    <row r="1287" spans="1:6" x14ac:dyDescent="0.25">
      <c r="A1287" s="43">
        <v>77</v>
      </c>
      <c r="B1287" t="s">
        <v>438</v>
      </c>
      <c r="C1287" s="43" t="s">
        <v>439</v>
      </c>
      <c r="D1287" s="43">
        <v>10137</v>
      </c>
      <c r="E1287" t="s">
        <v>135</v>
      </c>
      <c r="F1287" s="47" t="str">
        <f>+Empresa_Centro[[#This Row],[Codigo Centro Gestion]]&amp;" - "&amp;Empresa_Centro[[#This Row],[Nombre Centro Gestion]]</f>
        <v>10137 - ENTREGA ZC2</v>
      </c>
    </row>
    <row r="1288" spans="1:6" x14ac:dyDescent="0.25">
      <c r="A1288" s="43">
        <v>77</v>
      </c>
      <c r="B1288" t="s">
        <v>438</v>
      </c>
      <c r="C1288" s="43" t="s">
        <v>439</v>
      </c>
      <c r="D1288" s="43">
        <v>10138</v>
      </c>
      <c r="E1288" t="s">
        <v>136</v>
      </c>
      <c r="F1288" s="47" t="str">
        <f>+Empresa_Centro[[#This Row],[Codigo Centro Gestion]]&amp;" - "&amp;Empresa_Centro[[#This Row],[Nombre Centro Gestion]]</f>
        <v>10138 - POSTVENTA NORTE 1</v>
      </c>
    </row>
    <row r="1289" spans="1:6" x14ac:dyDescent="0.25">
      <c r="A1289" s="43">
        <v>77</v>
      </c>
      <c r="B1289" t="s">
        <v>438</v>
      </c>
      <c r="C1289" s="43" t="s">
        <v>439</v>
      </c>
      <c r="D1289" s="43">
        <v>10139</v>
      </c>
      <c r="E1289" t="s">
        <v>137</v>
      </c>
      <c r="F1289" s="47" t="str">
        <f>+Empresa_Centro[[#This Row],[Codigo Centro Gestion]]&amp;" - "&amp;Empresa_Centro[[#This Row],[Nombre Centro Gestion]]</f>
        <v>10139 - POSTVENTA NORTE 2</v>
      </c>
    </row>
    <row r="1290" spans="1:6" x14ac:dyDescent="0.25">
      <c r="A1290" s="43">
        <v>77</v>
      </c>
      <c r="B1290" t="s">
        <v>438</v>
      </c>
      <c r="C1290" s="43" t="s">
        <v>439</v>
      </c>
      <c r="D1290" s="43">
        <v>10140</v>
      </c>
      <c r="E1290" t="s">
        <v>138</v>
      </c>
      <c r="F1290" s="47" t="str">
        <f>+Empresa_Centro[[#This Row],[Codigo Centro Gestion]]&amp;" - "&amp;Empresa_Centro[[#This Row],[Nombre Centro Gestion]]</f>
        <v>10140 - POSTVENTA NORTE 3</v>
      </c>
    </row>
    <row r="1291" spans="1:6" x14ac:dyDescent="0.25">
      <c r="A1291" s="43">
        <v>77</v>
      </c>
      <c r="B1291" t="s">
        <v>438</v>
      </c>
      <c r="C1291" s="43" t="s">
        <v>439</v>
      </c>
      <c r="D1291" s="43">
        <v>10141</v>
      </c>
      <c r="E1291" t="s">
        <v>139</v>
      </c>
      <c r="F1291" s="47" t="str">
        <f>+Empresa_Centro[[#This Row],[Codigo Centro Gestion]]&amp;" - "&amp;Empresa_Centro[[#This Row],[Nombre Centro Gestion]]</f>
        <v>10141 - POSTVENTA V REGIÓN</v>
      </c>
    </row>
    <row r="1292" spans="1:6" x14ac:dyDescent="0.25">
      <c r="A1292" s="43">
        <v>77</v>
      </c>
      <c r="B1292" t="s">
        <v>438</v>
      </c>
      <c r="C1292" s="43" t="s">
        <v>439</v>
      </c>
      <c r="D1292" s="43">
        <v>10142</v>
      </c>
      <c r="E1292" t="s">
        <v>140</v>
      </c>
      <c r="F1292" s="47" t="str">
        <f>+Empresa_Centro[[#This Row],[Codigo Centro Gestion]]&amp;" - "&amp;Empresa_Centro[[#This Row],[Nombre Centro Gestion]]</f>
        <v>10142 - POSTVENTA ZC1</v>
      </c>
    </row>
    <row r="1293" spans="1:6" x14ac:dyDescent="0.25">
      <c r="A1293" s="43">
        <v>77</v>
      </c>
      <c r="B1293" t="s">
        <v>438</v>
      </c>
      <c r="C1293" s="43" t="s">
        <v>439</v>
      </c>
      <c r="D1293" s="43">
        <v>10143</v>
      </c>
      <c r="E1293" t="s">
        <v>141</v>
      </c>
      <c r="F1293" s="47" t="str">
        <f>+Empresa_Centro[[#This Row],[Codigo Centro Gestion]]&amp;" - "&amp;Empresa_Centro[[#This Row],[Nombre Centro Gestion]]</f>
        <v>10143 - POSTVENTA ZC2</v>
      </c>
    </row>
    <row r="1294" spans="1:6" x14ac:dyDescent="0.25">
      <c r="A1294" s="43">
        <v>77</v>
      </c>
      <c r="B1294" t="s">
        <v>438</v>
      </c>
      <c r="C1294" s="43" t="s">
        <v>439</v>
      </c>
      <c r="D1294" s="43">
        <v>10315</v>
      </c>
      <c r="E1294" t="s">
        <v>191</v>
      </c>
      <c r="F1294" s="47" t="str">
        <f>+Empresa_Centro[[#This Row],[Codigo Centro Gestion]]&amp;" - "&amp;Empresa_Centro[[#This Row],[Nombre Centro Gestion]]</f>
        <v>10315 - Centro General zonal</v>
      </c>
    </row>
    <row r="1295" spans="1:6" x14ac:dyDescent="0.25">
      <c r="A1295" s="43">
        <v>77</v>
      </c>
      <c r="B1295" t="s">
        <v>438</v>
      </c>
      <c r="C1295" s="43" t="s">
        <v>439</v>
      </c>
      <c r="D1295" s="43">
        <v>50001</v>
      </c>
      <c r="E1295" t="s">
        <v>217</v>
      </c>
      <c r="F1295" s="47" t="str">
        <f>+Empresa_Centro[[#This Row],[Codigo Centro Gestion]]&amp;" - "&amp;Empresa_Centro[[#This Row],[Nombre Centro Gestion]]</f>
        <v>50001 - Bodega Central y Maquinaria</v>
      </c>
    </row>
    <row r="1296" spans="1:6" x14ac:dyDescent="0.25">
      <c r="A1296" s="43">
        <v>77</v>
      </c>
      <c r="B1296" t="s">
        <v>438</v>
      </c>
      <c r="C1296" s="43" t="s">
        <v>439</v>
      </c>
      <c r="D1296" s="43">
        <v>70117</v>
      </c>
      <c r="E1296" t="s">
        <v>231</v>
      </c>
      <c r="F1296" s="47" t="str">
        <f>+Empresa_Centro[[#This Row],[Codigo Centro Gestion]]&amp;" - "&amp;Empresa_Centro[[#This Row],[Nombre Centro Gestion]]</f>
        <v>70117 - VENTAS NORTE 1</v>
      </c>
    </row>
    <row r="1297" spans="1:6" x14ac:dyDescent="0.25">
      <c r="A1297" s="43">
        <v>77</v>
      </c>
      <c r="B1297" t="s">
        <v>438</v>
      </c>
      <c r="C1297" s="43" t="s">
        <v>439</v>
      </c>
      <c r="D1297" s="43">
        <v>70118</v>
      </c>
      <c r="E1297" t="s">
        <v>233</v>
      </c>
      <c r="F1297" s="47" t="str">
        <f>+Empresa_Centro[[#This Row],[Codigo Centro Gestion]]&amp;" - "&amp;Empresa_Centro[[#This Row],[Nombre Centro Gestion]]</f>
        <v>70118 - VENTAS NORTE 2</v>
      </c>
    </row>
    <row r="1298" spans="1:6" x14ac:dyDescent="0.25">
      <c r="A1298" s="43">
        <v>77</v>
      </c>
      <c r="B1298" t="s">
        <v>438</v>
      </c>
      <c r="C1298" s="43" t="s">
        <v>439</v>
      </c>
      <c r="D1298" s="43">
        <v>70119</v>
      </c>
      <c r="E1298" t="s">
        <v>234</v>
      </c>
      <c r="F1298" s="47" t="str">
        <f>+Empresa_Centro[[#This Row],[Codigo Centro Gestion]]&amp;" - "&amp;Empresa_Centro[[#This Row],[Nombre Centro Gestion]]</f>
        <v>70119 - VENTAS ZC1</v>
      </c>
    </row>
    <row r="1299" spans="1:6" x14ac:dyDescent="0.25">
      <c r="A1299" s="43">
        <v>77</v>
      </c>
      <c r="B1299" t="s">
        <v>438</v>
      </c>
      <c r="C1299" s="43" t="s">
        <v>439</v>
      </c>
      <c r="D1299" s="43">
        <v>70120</v>
      </c>
      <c r="E1299" t="s">
        <v>235</v>
      </c>
      <c r="F1299" s="47" t="str">
        <f>+Empresa_Centro[[#This Row],[Codigo Centro Gestion]]&amp;" - "&amp;Empresa_Centro[[#This Row],[Nombre Centro Gestion]]</f>
        <v>70120 - VENTAS ZC2</v>
      </c>
    </row>
    <row r="1300" spans="1:6" x14ac:dyDescent="0.25">
      <c r="A1300" s="43">
        <v>77</v>
      </c>
      <c r="B1300" t="s">
        <v>438</v>
      </c>
      <c r="C1300" s="43" t="s">
        <v>439</v>
      </c>
      <c r="D1300" s="43">
        <v>70121</v>
      </c>
      <c r="E1300" t="s">
        <v>236</v>
      </c>
      <c r="F1300" s="47" t="str">
        <f>+Empresa_Centro[[#This Row],[Codigo Centro Gestion]]&amp;" - "&amp;Empresa_Centro[[#This Row],[Nombre Centro Gestion]]</f>
        <v>70121 - VENTAS V REGIÓN</v>
      </c>
    </row>
    <row r="1301" spans="1:6" x14ac:dyDescent="0.25">
      <c r="A1301" s="43">
        <v>77</v>
      </c>
      <c r="B1301" t="s">
        <v>438</v>
      </c>
      <c r="C1301" s="43" t="s">
        <v>439</v>
      </c>
      <c r="D1301" s="43">
        <v>70125</v>
      </c>
      <c r="E1301" t="s">
        <v>120</v>
      </c>
      <c r="F1301" s="47" t="str">
        <f>+Empresa_Centro[[#This Row],[Codigo Centro Gestion]]&amp;" - "&amp;Empresa_Centro[[#This Row],[Nombre Centro Gestion]]</f>
        <v>70125 - VENTAS NORTE 3</v>
      </c>
    </row>
    <row r="1302" spans="1:6" x14ac:dyDescent="0.25">
      <c r="A1302" s="43">
        <v>77</v>
      </c>
      <c r="B1302" t="s">
        <v>438</v>
      </c>
      <c r="C1302" s="43" t="s">
        <v>439</v>
      </c>
      <c r="D1302" s="43">
        <v>70307</v>
      </c>
      <c r="E1302" t="s">
        <v>250</v>
      </c>
      <c r="F1302" s="47" t="str">
        <f>+Empresa_Centro[[#This Row],[Codigo Centro Gestion]]&amp;" - "&amp;Empresa_Centro[[#This Row],[Nombre Centro Gestion]]</f>
        <v>70307 - FINANZAS</v>
      </c>
    </row>
    <row r="1303" spans="1:6" x14ac:dyDescent="0.25">
      <c r="A1303" s="43">
        <v>77</v>
      </c>
      <c r="B1303" t="s">
        <v>438</v>
      </c>
      <c r="C1303" s="43" t="s">
        <v>439</v>
      </c>
      <c r="D1303" s="43">
        <v>70308</v>
      </c>
      <c r="E1303" t="s">
        <v>251</v>
      </c>
      <c r="F1303" s="47" t="str">
        <f>+Empresa_Centro[[#This Row],[Codigo Centro Gestion]]&amp;" - "&amp;Empresa_Centro[[#This Row],[Nombre Centro Gestion]]</f>
        <v>70308 - ADMINISTRACIÓN</v>
      </c>
    </row>
    <row r="1304" spans="1:6" x14ac:dyDescent="0.25">
      <c r="A1304" s="43">
        <v>77</v>
      </c>
      <c r="B1304" t="s">
        <v>438</v>
      </c>
      <c r="C1304" s="43" t="s">
        <v>439</v>
      </c>
      <c r="D1304" s="43">
        <v>70309</v>
      </c>
      <c r="E1304" t="s">
        <v>252</v>
      </c>
      <c r="F1304" s="47" t="str">
        <f>+Empresa_Centro[[#This Row],[Codigo Centro Gestion]]&amp;" - "&amp;Empresa_Centro[[#This Row],[Nombre Centro Gestion]]</f>
        <v>70309 - OFICINA CENTRAL</v>
      </c>
    </row>
    <row r="1305" spans="1:6" x14ac:dyDescent="0.25">
      <c r="A1305" s="43">
        <v>77</v>
      </c>
      <c r="B1305" t="s">
        <v>438</v>
      </c>
      <c r="C1305" s="43" t="s">
        <v>439</v>
      </c>
      <c r="D1305" s="43">
        <v>70310</v>
      </c>
      <c r="E1305" t="s">
        <v>256</v>
      </c>
      <c r="F1305" s="47" t="str">
        <f>+Empresa_Centro[[#This Row],[Codigo Centro Gestion]]&amp;" - "&amp;Empresa_Centro[[#This Row],[Nombre Centro Gestion]]</f>
        <v>70310 - OFICINA CENTRAL TI</v>
      </c>
    </row>
    <row r="1306" spans="1:6" x14ac:dyDescent="0.25">
      <c r="A1306" s="43">
        <v>77</v>
      </c>
      <c r="B1306" t="s">
        <v>438</v>
      </c>
      <c r="C1306" s="43" t="s">
        <v>439</v>
      </c>
      <c r="D1306" s="43">
        <v>70312</v>
      </c>
      <c r="E1306" t="s">
        <v>258</v>
      </c>
      <c r="F1306" s="47" t="str">
        <f>+Empresa_Centro[[#This Row],[Codigo Centro Gestion]]&amp;" - "&amp;Empresa_Centro[[#This Row],[Nombre Centro Gestion]]</f>
        <v>70312 - CONTABILIDAD GENERAL</v>
      </c>
    </row>
    <row r="1307" spans="1:6" x14ac:dyDescent="0.25">
      <c r="A1307" s="43">
        <v>77</v>
      </c>
      <c r="B1307" t="s">
        <v>438</v>
      </c>
      <c r="C1307" s="43" t="s">
        <v>439</v>
      </c>
      <c r="D1307" s="43">
        <v>70314</v>
      </c>
      <c r="E1307" t="s">
        <v>261</v>
      </c>
      <c r="F1307" s="47" t="str">
        <f>+Empresa_Centro[[#This Row],[Codigo Centro Gestion]]&amp;" - "&amp;Empresa_Centro[[#This Row],[Nombre Centro Gestion]]</f>
        <v>70314 - OFICINA CENTRAL PROCESOS</v>
      </c>
    </row>
    <row r="1308" spans="1:6" x14ac:dyDescent="0.25">
      <c r="A1308" s="43">
        <v>77</v>
      </c>
      <c r="B1308" t="s">
        <v>438</v>
      </c>
      <c r="C1308" s="43" t="s">
        <v>439</v>
      </c>
      <c r="D1308" s="43">
        <v>70318</v>
      </c>
      <c r="E1308" t="s">
        <v>262</v>
      </c>
      <c r="F1308" s="47" t="str">
        <f>+Empresa_Centro[[#This Row],[Codigo Centro Gestion]]&amp;" - "&amp;Empresa_Centro[[#This Row],[Nombre Centro Gestion]]</f>
        <v>70318 - OFICINA CENTRAL CAPITAL HUMANO</v>
      </c>
    </row>
    <row r="1309" spans="1:6" x14ac:dyDescent="0.25">
      <c r="A1309" s="43">
        <v>77</v>
      </c>
      <c r="B1309" t="s">
        <v>438</v>
      </c>
      <c r="C1309" s="43" t="s">
        <v>439</v>
      </c>
      <c r="D1309" s="43">
        <v>70401</v>
      </c>
      <c r="E1309" t="s">
        <v>263</v>
      </c>
      <c r="F1309" s="47" t="str">
        <f>+Empresa_Centro[[#This Row],[Codigo Centro Gestion]]&amp;" - "&amp;Empresa_Centro[[#This Row],[Nombre Centro Gestion]]</f>
        <v>70401 - GERENCIA GENERAL CORP</v>
      </c>
    </row>
    <row r="1310" spans="1:6" x14ac:dyDescent="0.25">
      <c r="A1310" s="43">
        <v>77</v>
      </c>
      <c r="B1310" t="s">
        <v>438</v>
      </c>
      <c r="C1310" s="43" t="s">
        <v>439</v>
      </c>
      <c r="D1310" s="43">
        <v>70508</v>
      </c>
      <c r="E1310" t="s">
        <v>268</v>
      </c>
      <c r="F1310" s="47" t="str">
        <f>+Empresa_Centro[[#This Row],[Codigo Centro Gestion]]&amp;" - "&amp;Empresa_Centro[[#This Row],[Nombre Centro Gestion]]</f>
        <v>70508 - SEGURIDAD</v>
      </c>
    </row>
    <row r="1311" spans="1:6" x14ac:dyDescent="0.25">
      <c r="A1311" s="43">
        <v>77</v>
      </c>
      <c r="B1311" t="s">
        <v>438</v>
      </c>
      <c r="C1311" s="43" t="s">
        <v>439</v>
      </c>
      <c r="D1311" s="43">
        <v>70513</v>
      </c>
      <c r="E1311" t="s">
        <v>273</v>
      </c>
      <c r="F1311" s="47" t="str">
        <f>+Empresa_Centro[[#This Row],[Codigo Centro Gestion]]&amp;" - "&amp;Empresa_Centro[[#This Row],[Nombre Centro Gestion]]</f>
        <v>70513 - DEPTO TÉCNICO ZC 2</v>
      </c>
    </row>
    <row r="1312" spans="1:6" x14ac:dyDescent="0.25">
      <c r="A1312" s="43">
        <v>77</v>
      </c>
      <c r="B1312" t="s">
        <v>438</v>
      </c>
      <c r="C1312" s="43" t="s">
        <v>439</v>
      </c>
      <c r="D1312" s="43">
        <v>70601</v>
      </c>
      <c r="E1312" t="s">
        <v>276</v>
      </c>
      <c r="F1312" s="47" t="str">
        <f>+Empresa_Centro[[#This Row],[Codigo Centro Gestion]]&amp;" - "&amp;Empresa_Centro[[#This Row],[Nombre Centro Gestion]]</f>
        <v>70601 - GERENCIA CONSTRUCCIÓN</v>
      </c>
    </row>
    <row r="1313" spans="1:6" x14ac:dyDescent="0.25">
      <c r="A1313" s="43">
        <v>77</v>
      </c>
      <c r="B1313" t="s">
        <v>438</v>
      </c>
      <c r="C1313" s="43" t="s">
        <v>439</v>
      </c>
      <c r="D1313" s="43">
        <v>70904</v>
      </c>
      <c r="E1313" t="s">
        <v>279</v>
      </c>
      <c r="F1313" s="47" t="str">
        <f>+Empresa_Centro[[#This Row],[Codigo Centro Gestion]]&amp;" - "&amp;Empresa_Centro[[#This Row],[Nombre Centro Gestion]]</f>
        <v>70904 - COMERCIAL</v>
      </c>
    </row>
    <row r="1314" spans="1:6" x14ac:dyDescent="0.25">
      <c r="A1314" s="43">
        <v>77</v>
      </c>
      <c r="B1314" t="s">
        <v>438</v>
      </c>
      <c r="C1314" s="43" t="s">
        <v>439</v>
      </c>
      <c r="D1314" s="43">
        <v>70917</v>
      </c>
      <c r="E1314" t="s">
        <v>284</v>
      </c>
      <c r="F1314" s="47" t="str">
        <f>+Empresa_Centro[[#This Row],[Codigo Centro Gestion]]&amp;" - "&amp;Empresa_Centro[[#This Row],[Nombre Centro Gestion]]</f>
        <v>70917 - OTROS OFICINA CENTRAL</v>
      </c>
    </row>
    <row r="1315" spans="1:6" x14ac:dyDescent="0.25">
      <c r="A1315" s="43">
        <v>61</v>
      </c>
      <c r="B1315" t="s">
        <v>61</v>
      </c>
      <c r="C1315" s="43" t="s">
        <v>424</v>
      </c>
      <c r="D1315" s="43">
        <v>10315</v>
      </c>
      <c r="E1315" t="s">
        <v>191</v>
      </c>
      <c r="F1315" s="47" t="str">
        <f>+Empresa_Centro[[#This Row],[Codigo Centro Gestion]]&amp;" - "&amp;Empresa_Centro[[#This Row],[Nombre Centro Gestion]]</f>
        <v>10315 - Centro General zonal</v>
      </c>
    </row>
    <row r="1316" spans="1:6" x14ac:dyDescent="0.25">
      <c r="A1316" s="43">
        <v>61</v>
      </c>
      <c r="B1316" t="s">
        <v>61</v>
      </c>
      <c r="C1316" s="43" t="s">
        <v>424</v>
      </c>
      <c r="D1316" s="43">
        <v>70309</v>
      </c>
      <c r="E1316" t="s">
        <v>252</v>
      </c>
      <c r="F1316" s="47" t="str">
        <f>+Empresa_Centro[[#This Row],[Codigo Centro Gestion]]&amp;" - "&amp;Empresa_Centro[[#This Row],[Nombre Centro Gestion]]</f>
        <v>70309 - OFICINA CENTRAL</v>
      </c>
    </row>
    <row r="1317" spans="1:6" x14ac:dyDescent="0.25">
      <c r="A1317" s="43">
        <v>61</v>
      </c>
      <c r="B1317" t="s">
        <v>61</v>
      </c>
      <c r="C1317" s="43" t="s">
        <v>424</v>
      </c>
      <c r="D1317" s="43">
        <v>10062204</v>
      </c>
      <c r="E1317" t="s">
        <v>785</v>
      </c>
      <c r="F1317" s="47" t="str">
        <f>+Empresa_Centro[[#This Row],[Codigo Centro Gestion]]&amp;" - "&amp;Empresa_Centro[[#This Row],[Nombre Centro Gestion]]</f>
        <v>10062204 - Cumbres del Mar-Proyecto</v>
      </c>
    </row>
    <row r="1318" spans="1:6" x14ac:dyDescent="0.25">
      <c r="A1318" s="43">
        <v>61</v>
      </c>
      <c r="B1318" t="s">
        <v>61</v>
      </c>
      <c r="C1318" s="43" t="s">
        <v>424</v>
      </c>
      <c r="D1318" s="43">
        <v>10178203</v>
      </c>
      <c r="E1318" t="s">
        <v>820</v>
      </c>
      <c r="F1318" s="47" t="str">
        <f>+Empresa_Centro[[#This Row],[Codigo Centro Gestion]]&amp;" - "&amp;Empresa_Centro[[#This Row],[Nombre Centro Gestion]]</f>
        <v>10178203 - Alto Cavancha-Proyecto</v>
      </c>
    </row>
    <row r="1319" spans="1:6" x14ac:dyDescent="0.25">
      <c r="A1319" s="43">
        <v>61</v>
      </c>
      <c r="B1319" t="s">
        <v>61</v>
      </c>
      <c r="C1319" s="43" t="s">
        <v>424</v>
      </c>
      <c r="D1319" s="43">
        <v>10199506</v>
      </c>
      <c r="E1319" t="s">
        <v>868</v>
      </c>
      <c r="F1319" s="47" t="str">
        <f>+Empresa_Centro[[#This Row],[Codigo Centro Gestion]]&amp;" - "&amp;Empresa_Centro[[#This Row],[Nombre Centro Gestion]]</f>
        <v>10199506 - Vista Independencia-Depto.Técnico</v>
      </c>
    </row>
    <row r="1320" spans="1:6" x14ac:dyDescent="0.25">
      <c r="A1320" s="43">
        <v>61</v>
      </c>
      <c r="B1320" t="s">
        <v>61</v>
      </c>
      <c r="C1320" s="43" t="s">
        <v>424</v>
      </c>
      <c r="D1320" s="43">
        <v>10207204</v>
      </c>
      <c r="E1320" t="s">
        <v>930</v>
      </c>
      <c r="F1320" s="47" t="str">
        <f>+Empresa_Centro[[#This Row],[Codigo Centro Gestion]]&amp;" - "&amp;Empresa_Centro[[#This Row],[Nombre Centro Gestion]]</f>
        <v>10207204 - Edificio Fuenzalida Urrejola 125-Proyecto</v>
      </c>
    </row>
    <row r="1321" spans="1:6" x14ac:dyDescent="0.25">
      <c r="A1321" s="43">
        <v>61</v>
      </c>
      <c r="B1321" t="s">
        <v>61</v>
      </c>
      <c r="C1321" s="43" t="s">
        <v>424</v>
      </c>
      <c r="D1321" s="43">
        <v>10210204</v>
      </c>
      <c r="E1321" t="s">
        <v>948</v>
      </c>
      <c r="F1321" s="47" t="str">
        <f>+Empresa_Centro[[#This Row],[Codigo Centro Gestion]]&amp;" - "&amp;Empresa_Centro[[#This Row],[Nombre Centro Gestion]]</f>
        <v>10210204 - Edificio Fernandez Albano 192-Proyecto</v>
      </c>
    </row>
    <row r="1322" spans="1:6" x14ac:dyDescent="0.25">
      <c r="A1322" s="43">
        <v>75</v>
      </c>
      <c r="B1322" t="s">
        <v>62</v>
      </c>
      <c r="C1322" s="43" t="s">
        <v>436</v>
      </c>
      <c r="D1322" s="43">
        <v>10315</v>
      </c>
      <c r="E1322" t="s">
        <v>191</v>
      </c>
      <c r="F1322" s="47" t="str">
        <f>+Empresa_Centro[[#This Row],[Codigo Centro Gestion]]&amp;" - "&amp;Empresa_Centro[[#This Row],[Nombre Centro Gestion]]</f>
        <v>10315 - Centro General zonal</v>
      </c>
    </row>
    <row r="1323" spans="1:6" x14ac:dyDescent="0.25">
      <c r="A1323" s="43">
        <v>75</v>
      </c>
      <c r="B1323" t="s">
        <v>62</v>
      </c>
      <c r="C1323" s="43" t="s">
        <v>436</v>
      </c>
      <c r="D1323" s="43">
        <v>10905</v>
      </c>
      <c r="E1323" t="s">
        <v>208</v>
      </c>
      <c r="F1323" s="47" t="str">
        <f>+Empresa_Centro[[#This Row],[Codigo Centro Gestion]]&amp;" - "&amp;Empresa_Centro[[#This Row],[Nombre Centro Gestion]]</f>
        <v>10905 - Bienestar Obra</v>
      </c>
    </row>
    <row r="1324" spans="1:6" x14ac:dyDescent="0.25">
      <c r="A1324" s="43">
        <v>75</v>
      </c>
      <c r="B1324" t="s">
        <v>62</v>
      </c>
      <c r="C1324" s="43" t="s">
        <v>436</v>
      </c>
      <c r="D1324" s="43">
        <v>70309</v>
      </c>
      <c r="E1324" t="s">
        <v>252</v>
      </c>
      <c r="F1324" s="47" t="str">
        <f>+Empresa_Centro[[#This Row],[Codigo Centro Gestion]]&amp;" - "&amp;Empresa_Centro[[#This Row],[Nombre Centro Gestion]]</f>
        <v>70309 - OFICINA CENTRAL</v>
      </c>
    </row>
    <row r="1325" spans="1:6" x14ac:dyDescent="0.25">
      <c r="A1325" s="43">
        <v>75</v>
      </c>
      <c r="B1325" t="s">
        <v>62</v>
      </c>
      <c r="C1325" s="43" t="s">
        <v>436</v>
      </c>
      <c r="D1325" s="43">
        <v>70311</v>
      </c>
      <c r="E1325" t="s">
        <v>257</v>
      </c>
      <c r="F1325" s="47" t="str">
        <f>+Empresa_Centro[[#This Row],[Codigo Centro Gestion]]&amp;" - "&amp;Empresa_Centro[[#This Row],[Nombre Centro Gestion]]</f>
        <v>70311 - OFICINA CENTRAL CONTABILIDAD</v>
      </c>
    </row>
    <row r="1326" spans="1:6" x14ac:dyDescent="0.25">
      <c r="A1326" s="43">
        <v>75</v>
      </c>
      <c r="B1326" t="s">
        <v>62</v>
      </c>
      <c r="C1326" s="43" t="s">
        <v>436</v>
      </c>
      <c r="D1326" s="43">
        <v>70917</v>
      </c>
      <c r="E1326" t="s">
        <v>284</v>
      </c>
      <c r="F1326" s="47" t="str">
        <f>+Empresa_Centro[[#This Row],[Codigo Centro Gestion]]&amp;" - "&amp;Empresa_Centro[[#This Row],[Nombre Centro Gestion]]</f>
        <v>70917 - OTROS OFICINA CENTRAL</v>
      </c>
    </row>
    <row r="1327" spans="1:6" x14ac:dyDescent="0.25">
      <c r="A1327" s="43">
        <v>75</v>
      </c>
      <c r="B1327" t="s">
        <v>62</v>
      </c>
      <c r="C1327" s="43" t="s">
        <v>436</v>
      </c>
      <c r="D1327" s="43">
        <v>1106202</v>
      </c>
      <c r="E1327" t="s">
        <v>745</v>
      </c>
      <c r="F1327" s="47" t="str">
        <f>+Empresa_Centro[[#This Row],[Codigo Centro Gestion]]&amp;" - "&amp;Empresa_Centro[[#This Row],[Nombre Centro Gestion]]</f>
        <v xml:space="preserve">1106202 - Terreno La Coruña – Inversiones </v>
      </c>
    </row>
    <row r="1328" spans="1:6" x14ac:dyDescent="0.25">
      <c r="A1328" s="43">
        <v>75</v>
      </c>
      <c r="B1328" t="s">
        <v>62</v>
      </c>
      <c r="C1328" s="43" t="s">
        <v>436</v>
      </c>
      <c r="D1328" s="43">
        <v>1127202</v>
      </c>
      <c r="E1328" t="s">
        <v>759</v>
      </c>
      <c r="F1328" s="47" t="str">
        <f>+Empresa_Centro[[#This Row],[Codigo Centro Gestion]]&amp;" - "&amp;Empresa_Centro[[#This Row],[Nombre Centro Gestion]]</f>
        <v>1127202 - Terreno Castillo Urízar 1845 – Inversiones</v>
      </c>
    </row>
    <row r="1329" spans="1:6" x14ac:dyDescent="0.25">
      <c r="A1329" s="43">
        <v>75</v>
      </c>
      <c r="B1329" t="s">
        <v>62</v>
      </c>
      <c r="C1329" s="43" t="s">
        <v>436</v>
      </c>
      <c r="D1329" s="43">
        <v>10062104</v>
      </c>
      <c r="E1329" t="s">
        <v>783</v>
      </c>
      <c r="F1329" s="47" t="str">
        <f>+Empresa_Centro[[#This Row],[Codigo Centro Gestion]]&amp;" - "&amp;Empresa_Centro[[#This Row],[Nombre Centro Gestion]]</f>
        <v>10062104 - Cumbres del Mar-Ventas</v>
      </c>
    </row>
    <row r="1330" spans="1:6" x14ac:dyDescent="0.25">
      <c r="A1330" s="43">
        <v>75</v>
      </c>
      <c r="B1330" t="s">
        <v>62</v>
      </c>
      <c r="C1330" s="43" t="s">
        <v>436</v>
      </c>
      <c r="D1330" s="43">
        <v>10106104</v>
      </c>
      <c r="E1330" t="s">
        <v>792</v>
      </c>
      <c r="F1330" s="47" t="str">
        <f>+Empresa_Centro[[#This Row],[Codigo Centro Gestion]]&amp;" - "&amp;Empresa_Centro[[#This Row],[Nombre Centro Gestion]]</f>
        <v>10106104 - Palmas del Sur 1-Ventas</v>
      </c>
    </row>
    <row r="1331" spans="1:6" x14ac:dyDescent="0.25">
      <c r="A1331" s="43">
        <v>75</v>
      </c>
      <c r="B1331" t="s">
        <v>62</v>
      </c>
      <c r="C1331" s="43" t="s">
        <v>436</v>
      </c>
      <c r="D1331" s="43">
        <v>10133104</v>
      </c>
      <c r="E1331" t="s">
        <v>801</v>
      </c>
      <c r="F1331" s="47" t="str">
        <f>+Empresa_Centro[[#This Row],[Codigo Centro Gestion]]&amp;" - "&amp;Empresa_Centro[[#This Row],[Nombre Centro Gestion]]</f>
        <v>10133104 - Vista del Valle II Edificio A-Ventas</v>
      </c>
    </row>
    <row r="1332" spans="1:6" x14ac:dyDescent="0.25">
      <c r="A1332" s="43">
        <v>75</v>
      </c>
      <c r="B1332" t="s">
        <v>62</v>
      </c>
      <c r="C1332" s="43" t="s">
        <v>436</v>
      </c>
      <c r="D1332" s="43">
        <v>10167104</v>
      </c>
      <c r="E1332" t="s">
        <v>809</v>
      </c>
      <c r="F1332" s="47" t="str">
        <f>+Empresa_Centro[[#This Row],[Codigo Centro Gestion]]&amp;" - "&amp;Empresa_Centro[[#This Row],[Nombre Centro Gestion]]</f>
        <v>10167104 - Condominio Palmas del Sur II-Ventas</v>
      </c>
    </row>
    <row r="1333" spans="1:6" x14ac:dyDescent="0.25">
      <c r="A1333" s="43">
        <v>75</v>
      </c>
      <c r="B1333" t="s">
        <v>62</v>
      </c>
      <c r="C1333" s="43" t="s">
        <v>436</v>
      </c>
      <c r="D1333" s="43">
        <v>10178104</v>
      </c>
      <c r="E1333" t="s">
        <v>818</v>
      </c>
      <c r="F1333" s="47" t="str">
        <f>+Empresa_Centro[[#This Row],[Codigo Centro Gestion]]&amp;" - "&amp;Empresa_Centro[[#This Row],[Nombre Centro Gestion]]</f>
        <v>10178104 - Alto Cavancha-Ventas</v>
      </c>
    </row>
    <row r="1334" spans="1:6" x14ac:dyDescent="0.25">
      <c r="A1334" s="43">
        <v>75</v>
      </c>
      <c r="B1334" t="s">
        <v>62</v>
      </c>
      <c r="C1334" s="43" t="s">
        <v>436</v>
      </c>
      <c r="D1334" s="43">
        <v>10187104</v>
      </c>
      <c r="E1334" t="s">
        <v>827</v>
      </c>
      <c r="F1334" s="47" t="str">
        <f>+Empresa_Centro[[#This Row],[Codigo Centro Gestion]]&amp;" - "&amp;Empresa_Centro[[#This Row],[Nombre Centro Gestion]]</f>
        <v>10187104 - Edificio Parque Quinta-Ventas</v>
      </c>
    </row>
    <row r="1335" spans="1:6" x14ac:dyDescent="0.25">
      <c r="A1335" s="43">
        <v>75</v>
      </c>
      <c r="B1335" t="s">
        <v>62</v>
      </c>
      <c r="C1335" s="43" t="s">
        <v>436</v>
      </c>
      <c r="D1335" s="43">
        <v>10188104</v>
      </c>
      <c r="E1335" t="s">
        <v>836</v>
      </c>
      <c r="F1335" s="47" t="str">
        <f>+Empresa_Centro[[#This Row],[Codigo Centro Gestion]]&amp;" - "&amp;Empresa_Centro[[#This Row],[Nombre Centro Gestion]]</f>
        <v>10188104 - Vista Macul-Ventas</v>
      </c>
    </row>
    <row r="1336" spans="1:6" x14ac:dyDescent="0.25">
      <c r="A1336" s="43">
        <v>75</v>
      </c>
      <c r="B1336" t="s">
        <v>62</v>
      </c>
      <c r="C1336" s="43" t="s">
        <v>436</v>
      </c>
      <c r="D1336" s="43">
        <v>10189104</v>
      </c>
      <c r="E1336" t="s">
        <v>845</v>
      </c>
      <c r="F1336" s="47" t="str">
        <f>+Empresa_Centro[[#This Row],[Codigo Centro Gestion]]&amp;" - "&amp;Empresa_Centro[[#This Row],[Nombre Centro Gestion]]</f>
        <v>10189104 - Vista Azul-Ventas</v>
      </c>
    </row>
    <row r="1337" spans="1:6" x14ac:dyDescent="0.25">
      <c r="A1337" s="43">
        <v>75</v>
      </c>
      <c r="B1337" t="s">
        <v>62</v>
      </c>
      <c r="C1337" s="43" t="s">
        <v>436</v>
      </c>
      <c r="D1337" s="43">
        <v>10195104</v>
      </c>
      <c r="E1337" t="s">
        <v>854</v>
      </c>
      <c r="F1337" s="47" t="str">
        <f>+Empresa_Centro[[#This Row],[Codigo Centro Gestion]]&amp;" - "&amp;Empresa_Centro[[#This Row],[Nombre Centro Gestion]]</f>
        <v>10195104 - Vista Macul 2-Ventas</v>
      </c>
    </row>
    <row r="1338" spans="1:6" x14ac:dyDescent="0.25">
      <c r="A1338" s="43">
        <v>75</v>
      </c>
      <c r="B1338" t="s">
        <v>62</v>
      </c>
      <c r="C1338" s="43" t="s">
        <v>436</v>
      </c>
      <c r="D1338" s="43">
        <v>10199104</v>
      </c>
      <c r="E1338" t="s">
        <v>863</v>
      </c>
      <c r="F1338" s="47" t="str">
        <f>+Empresa_Centro[[#This Row],[Codigo Centro Gestion]]&amp;" - "&amp;Empresa_Centro[[#This Row],[Nombre Centro Gestion]]</f>
        <v>10199104 - Vista Independencia-Ventas</v>
      </c>
    </row>
    <row r="1339" spans="1:6" x14ac:dyDescent="0.25">
      <c r="A1339" s="43">
        <v>75</v>
      </c>
      <c r="B1339" t="s">
        <v>62</v>
      </c>
      <c r="C1339" s="43" t="s">
        <v>436</v>
      </c>
      <c r="D1339" s="43">
        <v>10200104</v>
      </c>
      <c r="E1339" t="s">
        <v>872</v>
      </c>
      <c r="F1339" s="47" t="str">
        <f>+Empresa_Centro[[#This Row],[Codigo Centro Gestion]]&amp;" - "&amp;Empresa_Centro[[#This Row],[Nombre Centro Gestion]]</f>
        <v>10200104 - Edificio Terrazas del Sol-Ventas</v>
      </c>
    </row>
    <row r="1340" spans="1:6" x14ac:dyDescent="0.25">
      <c r="A1340" s="43">
        <v>75</v>
      </c>
      <c r="B1340" t="s">
        <v>62</v>
      </c>
      <c r="C1340" s="43" t="s">
        <v>436</v>
      </c>
      <c r="D1340" s="43">
        <v>10201104</v>
      </c>
      <c r="E1340" t="s">
        <v>881</v>
      </c>
      <c r="F1340" s="47" t="str">
        <f>+Empresa_Centro[[#This Row],[Codigo Centro Gestion]]&amp;" - "&amp;Empresa_Centro[[#This Row],[Nombre Centro Gestion]]</f>
        <v>10201104 - Nuevo Ecuador-Ventas</v>
      </c>
    </row>
    <row r="1341" spans="1:6" x14ac:dyDescent="0.25">
      <c r="A1341" s="43">
        <v>75</v>
      </c>
      <c r="B1341" t="s">
        <v>62</v>
      </c>
      <c r="C1341" s="43" t="s">
        <v>436</v>
      </c>
      <c r="D1341" s="43">
        <v>10202104</v>
      </c>
      <c r="E1341" t="s">
        <v>892</v>
      </c>
      <c r="F1341" s="47" t="str">
        <f>+Empresa_Centro[[#This Row],[Codigo Centro Gestion]]&amp;" - "&amp;Empresa_Centro[[#This Row],[Nombre Centro Gestion]]</f>
        <v>10202104 - Parque Central-Ventas</v>
      </c>
    </row>
    <row r="1342" spans="1:6" x14ac:dyDescent="0.25">
      <c r="A1342" s="43">
        <v>75</v>
      </c>
      <c r="B1342" t="s">
        <v>62</v>
      </c>
      <c r="C1342" s="43" t="s">
        <v>436</v>
      </c>
      <c r="D1342" s="43">
        <v>10203104</v>
      </c>
      <c r="E1342" t="s">
        <v>901</v>
      </c>
      <c r="F1342" s="47" t="str">
        <f>+Empresa_Centro[[#This Row],[Codigo Centro Gestion]]&amp;" - "&amp;Empresa_Centro[[#This Row],[Nombre Centro Gestion]]</f>
        <v>10203104 - Alto Foresta-Ventas</v>
      </c>
    </row>
    <row r="1343" spans="1:6" x14ac:dyDescent="0.25">
      <c r="A1343" s="43">
        <v>75</v>
      </c>
      <c r="B1343" t="s">
        <v>62</v>
      </c>
      <c r="C1343" s="43" t="s">
        <v>436</v>
      </c>
      <c r="D1343" s="43">
        <v>10205104</v>
      </c>
      <c r="E1343" t="s">
        <v>910</v>
      </c>
      <c r="F1343" s="47" t="str">
        <f>+Empresa_Centro[[#This Row],[Codigo Centro Gestion]]&amp;" - "&amp;Empresa_Centro[[#This Row],[Nombre Centro Gestion]]</f>
        <v>10205104 - Edificio Santa Elena 1282-Ventas</v>
      </c>
    </row>
    <row r="1344" spans="1:6" x14ac:dyDescent="0.25">
      <c r="A1344" s="43">
        <v>75</v>
      </c>
      <c r="B1344" t="s">
        <v>62</v>
      </c>
      <c r="C1344" s="43" t="s">
        <v>436</v>
      </c>
      <c r="D1344" s="43">
        <v>10206104</v>
      </c>
      <c r="E1344" t="s">
        <v>919</v>
      </c>
      <c r="F1344" s="47" t="str">
        <f>+Empresa_Centro[[#This Row],[Codigo Centro Gestion]]&amp;" - "&amp;Empresa_Centro[[#This Row],[Nombre Centro Gestion]]</f>
        <v>10206104 - Novena Avenida 2-Ventas</v>
      </c>
    </row>
    <row r="1345" spans="1:6" x14ac:dyDescent="0.25">
      <c r="A1345" s="43">
        <v>75</v>
      </c>
      <c r="B1345" t="s">
        <v>62</v>
      </c>
      <c r="C1345" s="43" t="s">
        <v>436</v>
      </c>
      <c r="D1345" s="43">
        <v>10207104</v>
      </c>
      <c r="E1345" t="s">
        <v>928</v>
      </c>
      <c r="F1345" s="47" t="str">
        <f>+Empresa_Centro[[#This Row],[Codigo Centro Gestion]]&amp;" - "&amp;Empresa_Centro[[#This Row],[Nombre Centro Gestion]]</f>
        <v>10207104 - Edificio Fuenzalida Urrejola 125-Ventas</v>
      </c>
    </row>
    <row r="1346" spans="1:6" x14ac:dyDescent="0.25">
      <c r="A1346" s="43">
        <v>75</v>
      </c>
      <c r="B1346" t="s">
        <v>62</v>
      </c>
      <c r="C1346" s="43" t="s">
        <v>436</v>
      </c>
      <c r="D1346" s="43">
        <v>10209104</v>
      </c>
      <c r="E1346" t="s">
        <v>937</v>
      </c>
      <c r="F1346" s="47" t="str">
        <f>+Empresa_Centro[[#This Row],[Codigo Centro Gestion]]&amp;" - "&amp;Empresa_Centro[[#This Row],[Nombre Centro Gestion]]</f>
        <v>10209104 - Edificio Edificio Bulnes Labbe-Ventas</v>
      </c>
    </row>
    <row r="1347" spans="1:6" x14ac:dyDescent="0.25">
      <c r="A1347" s="43">
        <v>75</v>
      </c>
      <c r="B1347" t="s">
        <v>62</v>
      </c>
      <c r="C1347" s="43" t="s">
        <v>436</v>
      </c>
      <c r="D1347" s="43">
        <v>10210104</v>
      </c>
      <c r="E1347" t="s">
        <v>946</v>
      </c>
      <c r="F1347" s="47" t="str">
        <f>+Empresa_Centro[[#This Row],[Codigo Centro Gestion]]&amp;" - "&amp;Empresa_Centro[[#This Row],[Nombre Centro Gestion]]</f>
        <v>10210104 - Edificio Fernandez Albano 192-Ventas</v>
      </c>
    </row>
    <row r="1348" spans="1:6" x14ac:dyDescent="0.25">
      <c r="A1348" s="43">
        <v>75</v>
      </c>
      <c r="B1348" t="s">
        <v>62</v>
      </c>
      <c r="C1348" s="43" t="s">
        <v>436</v>
      </c>
      <c r="D1348" s="43">
        <v>10211104</v>
      </c>
      <c r="E1348" t="s">
        <v>955</v>
      </c>
      <c r="F1348" s="47" t="str">
        <f>+Empresa_Centro[[#This Row],[Codigo Centro Gestion]]&amp;" - "&amp;Empresa_Centro[[#This Row],[Nombre Centro Gestion]]</f>
        <v>10211104 - Vista del Valle II Edificio B-Ventas</v>
      </c>
    </row>
    <row r="1349" spans="1:6" x14ac:dyDescent="0.25">
      <c r="A1349" s="43">
        <v>75</v>
      </c>
      <c r="B1349" t="s">
        <v>62</v>
      </c>
      <c r="C1349" s="43" t="s">
        <v>436</v>
      </c>
      <c r="D1349" s="43">
        <v>10212104</v>
      </c>
      <c r="E1349" t="s">
        <v>964</v>
      </c>
      <c r="F1349" s="47" t="str">
        <f>+Empresa_Centro[[#This Row],[Codigo Centro Gestion]]&amp;" - "&amp;Empresa_Centro[[#This Row],[Nombre Centro Gestion]]</f>
        <v>10212104 - Edificio Constantino 54-Ventas</v>
      </c>
    </row>
    <row r="1350" spans="1:6" x14ac:dyDescent="0.25">
      <c r="A1350" s="43">
        <v>75</v>
      </c>
      <c r="B1350" t="s">
        <v>62</v>
      </c>
      <c r="C1350" s="43" t="s">
        <v>436</v>
      </c>
      <c r="D1350" s="43">
        <v>10213104</v>
      </c>
      <c r="E1350" t="s">
        <v>973</v>
      </c>
      <c r="F1350" s="47" t="str">
        <f>+Empresa_Centro[[#This Row],[Codigo Centro Gestion]]&amp;" - "&amp;Empresa_Centro[[#This Row],[Nombre Centro Gestion]]</f>
        <v>10213104 - Edificio Maipu-Ventas</v>
      </c>
    </row>
    <row r="1351" spans="1:6" x14ac:dyDescent="0.25">
      <c r="A1351" s="43">
        <v>75</v>
      </c>
      <c r="B1351" t="s">
        <v>62</v>
      </c>
      <c r="C1351" s="43" t="s">
        <v>436</v>
      </c>
      <c r="D1351" s="43">
        <v>10214104</v>
      </c>
      <c r="E1351" t="s">
        <v>982</v>
      </c>
      <c r="F1351" s="47" t="str">
        <f>+Empresa_Centro[[#This Row],[Codigo Centro Gestion]]&amp;" - "&amp;Empresa_Centro[[#This Row],[Nombre Centro Gestion]]</f>
        <v>10214104 - Edificio Recreo 250-Ventas</v>
      </c>
    </row>
    <row r="1352" spans="1:6" x14ac:dyDescent="0.25">
      <c r="A1352" s="43">
        <v>75</v>
      </c>
      <c r="B1352" t="s">
        <v>62</v>
      </c>
      <c r="C1352" s="43" t="s">
        <v>436</v>
      </c>
      <c r="D1352" s="43">
        <v>10215104</v>
      </c>
      <c r="E1352" t="s">
        <v>991</v>
      </c>
      <c r="F1352" s="47" t="str">
        <f>+Empresa_Centro[[#This Row],[Codigo Centro Gestion]]&amp;" - "&amp;Empresa_Centro[[#This Row],[Nombre Centro Gestion]]</f>
        <v>10215104 - Alto Marañon Torre A-Ventas</v>
      </c>
    </row>
    <row r="1353" spans="1:6" x14ac:dyDescent="0.25">
      <c r="A1353" s="43">
        <v>75</v>
      </c>
      <c r="B1353" t="s">
        <v>62</v>
      </c>
      <c r="C1353" s="43" t="s">
        <v>436</v>
      </c>
      <c r="D1353" s="43">
        <v>10217104</v>
      </c>
      <c r="E1353" t="s">
        <v>1009</v>
      </c>
      <c r="F1353" s="47" t="str">
        <f>+Empresa_Centro[[#This Row],[Codigo Centro Gestion]]&amp;" - "&amp;Empresa_Centro[[#This Row],[Nombre Centro Gestion]]</f>
        <v>10217104 - Edificio Duble Almeyda 2621-Ventas</v>
      </c>
    </row>
    <row r="1354" spans="1:6" x14ac:dyDescent="0.25">
      <c r="A1354" s="43">
        <v>75</v>
      </c>
      <c r="B1354" t="s">
        <v>62</v>
      </c>
      <c r="C1354" s="43" t="s">
        <v>436</v>
      </c>
      <c r="D1354" s="43">
        <v>10218104</v>
      </c>
      <c r="E1354" t="s">
        <v>1018</v>
      </c>
      <c r="F1354" s="47" t="str">
        <f>+Empresa_Centro[[#This Row],[Codigo Centro Gestion]]&amp;" - "&amp;Empresa_Centro[[#This Row],[Nombre Centro Gestion]]</f>
        <v>10218104 - Edificio Jose Domingo Cañas 2640-Ventas</v>
      </c>
    </row>
    <row r="1355" spans="1:6" x14ac:dyDescent="0.25">
      <c r="A1355" s="43">
        <v>75</v>
      </c>
      <c r="B1355" t="s">
        <v>62</v>
      </c>
      <c r="C1355" s="43" t="s">
        <v>436</v>
      </c>
      <c r="D1355" s="43">
        <v>10220104</v>
      </c>
      <c r="E1355" t="s">
        <v>1035</v>
      </c>
      <c r="F1355" s="47" t="str">
        <f>+Empresa_Centro[[#This Row],[Codigo Centro Gestion]]&amp;" - "&amp;Empresa_Centro[[#This Row],[Nombre Centro Gestion]]</f>
        <v>10220104 - Edificio Uno Norte-Ventas</v>
      </c>
    </row>
    <row r="1356" spans="1:6" x14ac:dyDescent="0.25">
      <c r="A1356" s="43">
        <v>75</v>
      </c>
      <c r="B1356" t="s">
        <v>62</v>
      </c>
      <c r="C1356" s="43" t="s">
        <v>436</v>
      </c>
      <c r="D1356" s="43">
        <v>10225104</v>
      </c>
      <c r="E1356" t="s">
        <v>1044</v>
      </c>
      <c r="F1356" s="47" t="str">
        <f>+Empresa_Centro[[#This Row],[Codigo Centro Gestion]]&amp;" - "&amp;Empresa_Centro[[#This Row],[Nombre Centro Gestion]]</f>
        <v>10225104 - Parque Ingles-Ventas</v>
      </c>
    </row>
    <row r="1357" spans="1:6" x14ac:dyDescent="0.25">
      <c r="A1357" s="43">
        <v>75</v>
      </c>
      <c r="B1357" t="s">
        <v>62</v>
      </c>
      <c r="C1357" s="43" t="s">
        <v>436</v>
      </c>
      <c r="D1357" s="43">
        <v>10226104</v>
      </c>
      <c r="E1357" t="s">
        <v>1053</v>
      </c>
      <c r="F1357" s="47" t="str">
        <f>+Empresa_Centro[[#This Row],[Codigo Centro Gestion]]&amp;" - "&amp;Empresa_Centro[[#This Row],[Nombre Centro Gestion]]</f>
        <v>10226104 - Conde del Maule 4676-Ventas</v>
      </c>
    </row>
    <row r="1358" spans="1:6" x14ac:dyDescent="0.25">
      <c r="A1358" s="43">
        <v>75</v>
      </c>
      <c r="B1358" t="s">
        <v>62</v>
      </c>
      <c r="C1358" s="43" t="s">
        <v>436</v>
      </c>
      <c r="D1358" s="43">
        <v>10227104</v>
      </c>
      <c r="E1358" t="s">
        <v>1062</v>
      </c>
      <c r="F1358" s="47" t="str">
        <f>+Empresa_Centro[[#This Row],[Codigo Centro Gestion]]&amp;" - "&amp;Empresa_Centro[[#This Row],[Nombre Centro Gestion]]</f>
        <v>10227104 - Edificio Alto Foresta 2-Ventas</v>
      </c>
    </row>
    <row r="1359" spans="1:6" x14ac:dyDescent="0.25">
      <c r="A1359" s="43">
        <v>75</v>
      </c>
      <c r="B1359" t="s">
        <v>62</v>
      </c>
      <c r="C1359" s="43" t="s">
        <v>436</v>
      </c>
      <c r="D1359" s="43">
        <v>10228104</v>
      </c>
      <c r="E1359" t="s">
        <v>1070</v>
      </c>
      <c r="F1359" s="47" t="str">
        <f>+Empresa_Centro[[#This Row],[Codigo Centro Gestion]]&amp;" - "&amp;Empresa_Centro[[#This Row],[Nombre Centro Gestion]]</f>
        <v>10228104 - Edificio Briones Luco-Ventas</v>
      </c>
    </row>
    <row r="1360" spans="1:6" x14ac:dyDescent="0.25">
      <c r="A1360" s="43">
        <v>75</v>
      </c>
      <c r="B1360" t="s">
        <v>62</v>
      </c>
      <c r="C1360" s="43" t="s">
        <v>436</v>
      </c>
      <c r="D1360" s="43">
        <v>10229104</v>
      </c>
      <c r="E1360" t="s">
        <v>1079</v>
      </c>
      <c r="F1360" s="47" t="str">
        <f>+Empresa_Centro[[#This Row],[Codigo Centro Gestion]]&amp;" - "&amp;Empresa_Centro[[#This Row],[Nombre Centro Gestion]]</f>
        <v>10229104 - Vista Las Palmas-Ventas</v>
      </c>
    </row>
    <row r="1361" spans="1:6" x14ac:dyDescent="0.25">
      <c r="A1361" s="43">
        <v>75</v>
      </c>
      <c r="B1361" t="s">
        <v>62</v>
      </c>
      <c r="C1361" s="43" t="s">
        <v>436</v>
      </c>
      <c r="D1361" s="43">
        <v>10230104</v>
      </c>
      <c r="E1361" t="s">
        <v>1088</v>
      </c>
      <c r="F1361" s="47" t="str">
        <f>+Empresa_Centro[[#This Row],[Codigo Centro Gestion]]&amp;" - "&amp;Empresa_Centro[[#This Row],[Nombre Centro Gestion]]</f>
        <v>10230104 - Condominio Manuel Jesus Rivera-Ventas</v>
      </c>
    </row>
    <row r="1362" spans="1:6" x14ac:dyDescent="0.25">
      <c r="A1362" s="43">
        <v>75</v>
      </c>
      <c r="B1362" t="s">
        <v>62</v>
      </c>
      <c r="C1362" s="43" t="s">
        <v>436</v>
      </c>
      <c r="D1362" s="43">
        <v>10231104</v>
      </c>
      <c r="E1362" t="s">
        <v>1096</v>
      </c>
      <c r="F1362" s="47" t="str">
        <f>+Empresa_Centro[[#This Row],[Codigo Centro Gestion]]&amp;" - "&amp;Empresa_Centro[[#This Row],[Nombre Centro Gestion]]</f>
        <v>10231104 - Edificio Guillermo Mann-Ventas</v>
      </c>
    </row>
    <row r="1363" spans="1:6" x14ac:dyDescent="0.25">
      <c r="A1363" s="43">
        <v>75</v>
      </c>
      <c r="B1363" t="s">
        <v>62</v>
      </c>
      <c r="C1363" s="43" t="s">
        <v>436</v>
      </c>
      <c r="D1363" s="43">
        <v>10234104</v>
      </c>
      <c r="E1363" t="s">
        <v>1120</v>
      </c>
      <c r="F1363" s="47" t="str">
        <f>+Empresa_Centro[[#This Row],[Codigo Centro Gestion]]&amp;" - "&amp;Empresa_Centro[[#This Row],[Nombre Centro Gestion]]</f>
        <v>10234104 - Edificio La Coruña-Ventas</v>
      </c>
    </row>
    <row r="1364" spans="1:6" x14ac:dyDescent="0.25">
      <c r="A1364" s="43">
        <v>75</v>
      </c>
      <c r="B1364" t="s">
        <v>62</v>
      </c>
      <c r="C1364" s="43" t="s">
        <v>436</v>
      </c>
      <c r="D1364" s="43">
        <v>10236104</v>
      </c>
      <c r="E1364" t="s">
        <v>1138</v>
      </c>
      <c r="F1364" s="47" t="str">
        <f>+Empresa_Centro[[#This Row],[Codigo Centro Gestion]]&amp;" - "&amp;Empresa_Centro[[#This Row],[Nombre Centro Gestion]]</f>
        <v>10236104 - Edificio Pedro Prado-VENTAS</v>
      </c>
    </row>
    <row r="1365" spans="1:6" x14ac:dyDescent="0.25">
      <c r="A1365" s="43">
        <v>94</v>
      </c>
      <c r="B1365" t="s">
        <v>448</v>
      </c>
      <c r="C1365" s="43" t="s">
        <v>449</v>
      </c>
      <c r="D1365" s="43">
        <v>70309</v>
      </c>
      <c r="E1365" t="s">
        <v>252</v>
      </c>
      <c r="F1365" s="47" t="str">
        <f>+Empresa_Centro[[#This Row],[Codigo Centro Gestion]]&amp;" - "&amp;Empresa_Centro[[#This Row],[Nombre Centro Gestion]]</f>
        <v>70309 - OFICINA CENTRAL</v>
      </c>
    </row>
    <row r="1366" spans="1:6" x14ac:dyDescent="0.25">
      <c r="A1366" s="43">
        <v>94</v>
      </c>
      <c r="B1366" t="s">
        <v>448</v>
      </c>
      <c r="C1366" s="43" t="s">
        <v>449</v>
      </c>
      <c r="D1366" s="43">
        <v>10187000</v>
      </c>
      <c r="E1366" t="s">
        <v>824</v>
      </c>
      <c r="F1366" s="47" t="str">
        <f>+Empresa_Centro[[#This Row],[Codigo Centro Gestion]]&amp;" - "&amp;Empresa_Centro[[#This Row],[Nombre Centro Gestion]]</f>
        <v>10187000 - Edificio Parque Quinta</v>
      </c>
    </row>
    <row r="1367" spans="1:6" x14ac:dyDescent="0.25">
      <c r="A1367" s="43">
        <v>94</v>
      </c>
      <c r="B1367" t="s">
        <v>448</v>
      </c>
      <c r="C1367" s="43" t="s">
        <v>449</v>
      </c>
      <c r="D1367" s="43">
        <v>10187102</v>
      </c>
      <c r="E1367" t="s">
        <v>825</v>
      </c>
      <c r="F1367" s="47" t="str">
        <f>+Empresa_Centro[[#This Row],[Codigo Centro Gestion]]&amp;" - "&amp;Empresa_Centro[[#This Row],[Nombre Centro Gestion]]</f>
        <v>10187102 - Edificio Parque Quinta-Marketing</v>
      </c>
    </row>
    <row r="1368" spans="1:6" x14ac:dyDescent="0.25">
      <c r="A1368" s="43">
        <v>94</v>
      </c>
      <c r="B1368" t="s">
        <v>448</v>
      </c>
      <c r="C1368" s="43" t="s">
        <v>449</v>
      </c>
      <c r="D1368" s="43">
        <v>10187103</v>
      </c>
      <c r="E1368" t="s">
        <v>826</v>
      </c>
      <c r="F1368" s="47" t="str">
        <f>+Empresa_Centro[[#This Row],[Codigo Centro Gestion]]&amp;" - "&amp;Empresa_Centro[[#This Row],[Nombre Centro Gestion]]</f>
        <v>10187103 - Edificio Parque Quinta-Operaciones</v>
      </c>
    </row>
    <row r="1369" spans="1:6" x14ac:dyDescent="0.25">
      <c r="A1369" s="43">
        <v>94</v>
      </c>
      <c r="B1369" t="s">
        <v>448</v>
      </c>
      <c r="C1369" s="43" t="s">
        <v>449</v>
      </c>
      <c r="D1369" s="43">
        <v>10187105</v>
      </c>
      <c r="E1369" t="s">
        <v>828</v>
      </c>
      <c r="F1369" s="47" t="str">
        <f>+Empresa_Centro[[#This Row],[Codigo Centro Gestion]]&amp;" - "&amp;Empresa_Centro[[#This Row],[Nombre Centro Gestion]]</f>
        <v>10187105 - Edificio Parque Quinta-Clientes</v>
      </c>
    </row>
    <row r="1370" spans="1:6" x14ac:dyDescent="0.25">
      <c r="A1370" s="43">
        <v>94</v>
      </c>
      <c r="B1370" t="s">
        <v>448</v>
      </c>
      <c r="C1370" s="43" t="s">
        <v>449</v>
      </c>
      <c r="D1370" s="43">
        <v>10187204</v>
      </c>
      <c r="E1370" t="s">
        <v>829</v>
      </c>
      <c r="F1370" s="47" t="str">
        <f>+Empresa_Centro[[#This Row],[Codigo Centro Gestion]]&amp;" - "&amp;Empresa_Centro[[#This Row],[Nombre Centro Gestion]]</f>
        <v>10187204 - Edificio Parque Quinta-Proyecto</v>
      </c>
    </row>
    <row r="1371" spans="1:6" x14ac:dyDescent="0.25">
      <c r="A1371" s="43">
        <v>94</v>
      </c>
      <c r="B1371" t="s">
        <v>448</v>
      </c>
      <c r="C1371" s="43" t="s">
        <v>449</v>
      </c>
      <c r="D1371" s="43">
        <v>10187301</v>
      </c>
      <c r="E1371" t="s">
        <v>830</v>
      </c>
      <c r="F1371" s="47" t="str">
        <f>+Empresa_Centro[[#This Row],[Codigo Centro Gestion]]&amp;" - "&amp;Empresa_Centro[[#This Row],[Nombre Centro Gestion]]</f>
        <v>10187301 - Edificio Parque Quinta-GAF</v>
      </c>
    </row>
    <row r="1372" spans="1:6" x14ac:dyDescent="0.25">
      <c r="A1372" s="43">
        <v>94</v>
      </c>
      <c r="B1372" t="s">
        <v>448</v>
      </c>
      <c r="C1372" s="43" t="s">
        <v>449</v>
      </c>
      <c r="D1372" s="43">
        <v>10187505</v>
      </c>
      <c r="E1372" t="s">
        <v>831</v>
      </c>
      <c r="F1372" s="47" t="str">
        <f>+Empresa_Centro[[#This Row],[Codigo Centro Gestion]]&amp;" - "&amp;Empresa_Centro[[#This Row],[Nombre Centro Gestion]]</f>
        <v>10187505 - Edificio Parque Quinta-PV Inmob.</v>
      </c>
    </row>
    <row r="1373" spans="1:6" x14ac:dyDescent="0.25">
      <c r="A1373" s="43">
        <v>94</v>
      </c>
      <c r="B1373" t="s">
        <v>448</v>
      </c>
      <c r="C1373" s="43" t="s">
        <v>449</v>
      </c>
      <c r="D1373" s="43">
        <v>10187506</v>
      </c>
      <c r="E1373" t="s">
        <v>832</v>
      </c>
      <c r="F1373" s="47" t="str">
        <f>+Empresa_Centro[[#This Row],[Codigo Centro Gestion]]&amp;" - "&amp;Empresa_Centro[[#This Row],[Nombre Centro Gestion]]</f>
        <v>10187506 - Edificio Parque Quinta-Depto.Técnico</v>
      </c>
    </row>
    <row r="1374" spans="1:6" x14ac:dyDescent="0.25">
      <c r="A1374" s="43">
        <v>94</v>
      </c>
      <c r="B1374" t="s">
        <v>448</v>
      </c>
      <c r="C1374" s="43" t="s">
        <v>449</v>
      </c>
      <c r="D1374" s="43">
        <v>10199000</v>
      </c>
      <c r="E1374" t="s">
        <v>860</v>
      </c>
      <c r="F1374" s="47" t="str">
        <f>+Empresa_Centro[[#This Row],[Codigo Centro Gestion]]&amp;" - "&amp;Empresa_Centro[[#This Row],[Nombre Centro Gestion]]</f>
        <v>10199000 - Vista Independencia</v>
      </c>
    </row>
    <row r="1375" spans="1:6" x14ac:dyDescent="0.25">
      <c r="A1375" s="43">
        <v>94</v>
      </c>
      <c r="B1375" t="s">
        <v>448</v>
      </c>
      <c r="C1375" s="43" t="s">
        <v>449</v>
      </c>
      <c r="D1375" s="43">
        <v>10202000</v>
      </c>
      <c r="E1375" t="s">
        <v>889</v>
      </c>
      <c r="F1375" s="47" t="str">
        <f>+Empresa_Centro[[#This Row],[Codigo Centro Gestion]]&amp;" - "&amp;Empresa_Centro[[#This Row],[Nombre Centro Gestion]]</f>
        <v>10202000 - Parque Central</v>
      </c>
    </row>
    <row r="1376" spans="1:6" x14ac:dyDescent="0.25">
      <c r="A1376" s="43">
        <v>109</v>
      </c>
      <c r="B1376" t="s">
        <v>456</v>
      </c>
      <c r="C1376" s="43" t="s">
        <v>457</v>
      </c>
      <c r="D1376" s="43">
        <v>70309</v>
      </c>
      <c r="E1376" t="s">
        <v>252</v>
      </c>
      <c r="F1376" s="47" t="str">
        <f>+Empresa_Centro[[#This Row],[Codigo Centro Gestion]]&amp;" - "&amp;Empresa_Centro[[#This Row],[Nombre Centro Gestion]]</f>
        <v>70309 - OFICINA CENTRAL</v>
      </c>
    </row>
    <row r="1377" spans="1:6" x14ac:dyDescent="0.25">
      <c r="A1377" s="43">
        <v>109</v>
      </c>
      <c r="B1377" t="s">
        <v>456</v>
      </c>
      <c r="C1377" s="43" t="s">
        <v>457</v>
      </c>
      <c r="D1377" s="43">
        <v>10201000</v>
      </c>
      <c r="E1377" t="s">
        <v>878</v>
      </c>
      <c r="F1377" s="47" t="str">
        <f>+Empresa_Centro[[#This Row],[Codigo Centro Gestion]]&amp;" - "&amp;Empresa_Centro[[#This Row],[Nombre Centro Gestion]]</f>
        <v>10201000 - Nuevo Ecuador</v>
      </c>
    </row>
    <row r="1378" spans="1:6" x14ac:dyDescent="0.25">
      <c r="A1378" s="43">
        <v>109</v>
      </c>
      <c r="B1378" t="s">
        <v>456</v>
      </c>
      <c r="C1378" s="43" t="s">
        <v>457</v>
      </c>
      <c r="D1378" s="43">
        <v>10206000</v>
      </c>
      <c r="E1378" t="s">
        <v>916</v>
      </c>
      <c r="F1378" s="47" t="str">
        <f>+Empresa_Centro[[#This Row],[Codigo Centro Gestion]]&amp;" - "&amp;Empresa_Centro[[#This Row],[Nombre Centro Gestion]]</f>
        <v>10206000 - Novena Avenida 2</v>
      </c>
    </row>
    <row r="1379" spans="1:6" x14ac:dyDescent="0.25">
      <c r="A1379" s="43">
        <v>100</v>
      </c>
      <c r="B1379" t="s">
        <v>452</v>
      </c>
      <c r="C1379" s="43" t="s">
        <v>453</v>
      </c>
      <c r="D1379" s="43">
        <v>70309</v>
      </c>
      <c r="E1379" t="s">
        <v>252</v>
      </c>
      <c r="F1379" s="47" t="str">
        <f>+Empresa_Centro[[#This Row],[Codigo Centro Gestion]]&amp;" - "&amp;Empresa_Centro[[#This Row],[Nombre Centro Gestion]]</f>
        <v>70309 - OFICINA CENTRAL</v>
      </c>
    </row>
    <row r="1380" spans="1:6" x14ac:dyDescent="0.25">
      <c r="A1380" s="43">
        <v>100</v>
      </c>
      <c r="B1380" t="s">
        <v>452</v>
      </c>
      <c r="C1380" s="43" t="s">
        <v>453</v>
      </c>
      <c r="D1380" s="43">
        <v>10187000</v>
      </c>
      <c r="E1380" t="s">
        <v>824</v>
      </c>
      <c r="F1380" s="47" t="str">
        <f>+Empresa_Centro[[#This Row],[Codigo Centro Gestion]]&amp;" - "&amp;Empresa_Centro[[#This Row],[Nombre Centro Gestion]]</f>
        <v>10187000 - Edificio Parque Quinta</v>
      </c>
    </row>
    <row r="1381" spans="1:6" x14ac:dyDescent="0.25">
      <c r="A1381" s="43">
        <v>100</v>
      </c>
      <c r="B1381" t="s">
        <v>452</v>
      </c>
      <c r="C1381" s="43" t="s">
        <v>453</v>
      </c>
      <c r="D1381" s="43">
        <v>10199000</v>
      </c>
      <c r="E1381" t="s">
        <v>860</v>
      </c>
      <c r="F1381" s="47" t="str">
        <f>+Empresa_Centro[[#This Row],[Codigo Centro Gestion]]&amp;" - "&amp;Empresa_Centro[[#This Row],[Nombre Centro Gestion]]</f>
        <v>10199000 - Vista Independencia</v>
      </c>
    </row>
    <row r="1382" spans="1:6" x14ac:dyDescent="0.25">
      <c r="A1382" s="43">
        <v>100</v>
      </c>
      <c r="B1382" t="s">
        <v>452</v>
      </c>
      <c r="C1382" s="43" t="s">
        <v>453</v>
      </c>
      <c r="D1382" s="43">
        <v>10201000</v>
      </c>
      <c r="E1382" t="s">
        <v>878</v>
      </c>
      <c r="F1382" s="47" t="str">
        <f>+Empresa_Centro[[#This Row],[Codigo Centro Gestion]]&amp;" - "&amp;Empresa_Centro[[#This Row],[Nombre Centro Gestion]]</f>
        <v>10201000 - Nuevo Ecuador</v>
      </c>
    </row>
    <row r="1383" spans="1:6" x14ac:dyDescent="0.25">
      <c r="A1383" s="43">
        <v>100</v>
      </c>
      <c r="B1383" t="s">
        <v>452</v>
      </c>
      <c r="C1383" s="43" t="s">
        <v>453</v>
      </c>
      <c r="D1383" s="43">
        <v>10202000</v>
      </c>
      <c r="E1383" t="s">
        <v>889</v>
      </c>
      <c r="F1383" s="47" t="str">
        <f>+Empresa_Centro[[#This Row],[Codigo Centro Gestion]]&amp;" - "&amp;Empresa_Centro[[#This Row],[Nombre Centro Gestion]]</f>
        <v>10202000 - Parque Central</v>
      </c>
    </row>
    <row r="1384" spans="1:6" x14ac:dyDescent="0.25">
      <c r="A1384" s="43">
        <v>110</v>
      </c>
      <c r="B1384" t="s">
        <v>885</v>
      </c>
      <c r="C1384" s="43" t="s">
        <v>886</v>
      </c>
      <c r="D1384" s="43">
        <v>10201301</v>
      </c>
      <c r="E1384" t="s">
        <v>884</v>
      </c>
      <c r="F1384" s="47" t="str">
        <f>+Empresa_Centro[[#This Row],[Codigo Centro Gestion]]&amp;" - "&amp;Empresa_Centro[[#This Row],[Nombre Centro Gestion]]</f>
        <v>10201301 - Nuevo Ecuador-GAF</v>
      </c>
    </row>
    <row r="1385" spans="1:6" x14ac:dyDescent="0.25">
      <c r="A1385" s="43">
        <v>99</v>
      </c>
      <c r="B1385" t="s">
        <v>450</v>
      </c>
      <c r="C1385" s="43" t="s">
        <v>451</v>
      </c>
      <c r="D1385" s="43">
        <v>10315</v>
      </c>
      <c r="E1385" t="s">
        <v>191</v>
      </c>
      <c r="F1385" s="47" t="str">
        <f>+Empresa_Centro[[#This Row],[Codigo Centro Gestion]]&amp;" - "&amp;Empresa_Centro[[#This Row],[Nombre Centro Gestion]]</f>
        <v>10315 - Centro General zonal</v>
      </c>
    </row>
    <row r="1386" spans="1:6" x14ac:dyDescent="0.25">
      <c r="A1386" s="43">
        <v>99</v>
      </c>
      <c r="B1386" t="s">
        <v>450</v>
      </c>
      <c r="C1386" s="43" t="s">
        <v>451</v>
      </c>
      <c r="D1386" s="43">
        <v>70117</v>
      </c>
      <c r="E1386" t="s">
        <v>231</v>
      </c>
      <c r="F1386" s="47" t="str">
        <f>+Empresa_Centro[[#This Row],[Codigo Centro Gestion]]&amp;" - "&amp;Empresa_Centro[[#This Row],[Nombre Centro Gestion]]</f>
        <v>70117 - VENTAS NORTE 1</v>
      </c>
    </row>
    <row r="1387" spans="1:6" x14ac:dyDescent="0.25">
      <c r="A1387" s="43">
        <v>99</v>
      </c>
      <c r="B1387" t="s">
        <v>450</v>
      </c>
      <c r="C1387" s="43" t="s">
        <v>451</v>
      </c>
      <c r="D1387" s="43">
        <v>70118</v>
      </c>
      <c r="E1387" t="s">
        <v>233</v>
      </c>
      <c r="F1387" s="47" t="str">
        <f>+Empresa_Centro[[#This Row],[Codigo Centro Gestion]]&amp;" - "&amp;Empresa_Centro[[#This Row],[Nombre Centro Gestion]]</f>
        <v>70118 - VENTAS NORTE 2</v>
      </c>
    </row>
    <row r="1388" spans="1:6" x14ac:dyDescent="0.25">
      <c r="A1388" s="43">
        <v>99</v>
      </c>
      <c r="B1388" t="s">
        <v>450</v>
      </c>
      <c r="C1388" s="43" t="s">
        <v>451</v>
      </c>
      <c r="D1388" s="43">
        <v>70120</v>
      </c>
      <c r="E1388" t="s">
        <v>235</v>
      </c>
      <c r="F1388" s="47" t="str">
        <f>+Empresa_Centro[[#This Row],[Codigo Centro Gestion]]&amp;" - "&amp;Empresa_Centro[[#This Row],[Nombre Centro Gestion]]</f>
        <v>70120 - VENTAS ZC2</v>
      </c>
    </row>
    <row r="1389" spans="1:6" x14ac:dyDescent="0.25">
      <c r="A1389" s="43">
        <v>99</v>
      </c>
      <c r="B1389" t="s">
        <v>450</v>
      </c>
      <c r="C1389" s="43" t="s">
        <v>451</v>
      </c>
      <c r="D1389" s="43">
        <v>70121</v>
      </c>
      <c r="E1389" t="s">
        <v>236</v>
      </c>
      <c r="F1389" s="47" t="str">
        <f>+Empresa_Centro[[#This Row],[Codigo Centro Gestion]]&amp;" - "&amp;Empresa_Centro[[#This Row],[Nombre Centro Gestion]]</f>
        <v>70121 - VENTAS V REGIÓN</v>
      </c>
    </row>
    <row r="1390" spans="1:6" x14ac:dyDescent="0.25">
      <c r="A1390" s="43">
        <v>99</v>
      </c>
      <c r="B1390" t="s">
        <v>450</v>
      </c>
      <c r="C1390" s="43" t="s">
        <v>451</v>
      </c>
      <c r="D1390" s="43">
        <v>70125</v>
      </c>
      <c r="E1390" t="s">
        <v>120</v>
      </c>
      <c r="F1390" s="47" t="str">
        <f>+Empresa_Centro[[#This Row],[Codigo Centro Gestion]]&amp;" - "&amp;Empresa_Centro[[#This Row],[Nombre Centro Gestion]]</f>
        <v>70125 - VENTAS NORTE 3</v>
      </c>
    </row>
    <row r="1391" spans="1:6" x14ac:dyDescent="0.25">
      <c r="A1391" s="43">
        <v>99</v>
      </c>
      <c r="B1391" t="s">
        <v>450</v>
      </c>
      <c r="C1391" s="43" t="s">
        <v>451</v>
      </c>
      <c r="D1391" s="43">
        <v>70307</v>
      </c>
      <c r="E1391" t="s">
        <v>250</v>
      </c>
      <c r="F1391" s="47" t="str">
        <f>+Empresa_Centro[[#This Row],[Codigo Centro Gestion]]&amp;" - "&amp;Empresa_Centro[[#This Row],[Nombre Centro Gestion]]</f>
        <v>70307 - FINANZAS</v>
      </c>
    </row>
    <row r="1392" spans="1:6" x14ac:dyDescent="0.25">
      <c r="A1392" s="43">
        <v>99</v>
      </c>
      <c r="B1392" t="s">
        <v>450</v>
      </c>
      <c r="C1392" s="43" t="s">
        <v>451</v>
      </c>
      <c r="D1392" s="43">
        <v>70309</v>
      </c>
      <c r="E1392" t="s">
        <v>252</v>
      </c>
      <c r="F1392" s="47" t="str">
        <f>+Empresa_Centro[[#This Row],[Codigo Centro Gestion]]&amp;" - "&amp;Empresa_Centro[[#This Row],[Nombre Centro Gestion]]</f>
        <v>70309 - OFICINA CENTRAL</v>
      </c>
    </row>
    <row r="1393" spans="1:6" x14ac:dyDescent="0.25">
      <c r="A1393" s="43">
        <v>99</v>
      </c>
      <c r="B1393" t="s">
        <v>450</v>
      </c>
      <c r="C1393" s="43" t="s">
        <v>451</v>
      </c>
      <c r="D1393" s="43">
        <v>70312</v>
      </c>
      <c r="E1393" t="s">
        <v>258</v>
      </c>
      <c r="F1393" s="47" t="str">
        <f>+Empresa_Centro[[#This Row],[Codigo Centro Gestion]]&amp;" - "&amp;Empresa_Centro[[#This Row],[Nombre Centro Gestion]]</f>
        <v>70312 - CONTABILIDAD GENERAL</v>
      </c>
    </row>
    <row r="1394" spans="1:6" x14ac:dyDescent="0.25">
      <c r="A1394" s="43">
        <v>99</v>
      </c>
      <c r="B1394" t="s">
        <v>450</v>
      </c>
      <c r="C1394" s="43" t="s">
        <v>451</v>
      </c>
      <c r="D1394" s="43">
        <v>70318</v>
      </c>
      <c r="E1394" t="s">
        <v>262</v>
      </c>
      <c r="F1394" s="47" t="str">
        <f>+Empresa_Centro[[#This Row],[Codigo Centro Gestion]]&amp;" - "&amp;Empresa_Centro[[#This Row],[Nombre Centro Gestion]]</f>
        <v>70318 - OFICINA CENTRAL CAPITAL HUMANO</v>
      </c>
    </row>
    <row r="1395" spans="1:6" x14ac:dyDescent="0.25">
      <c r="A1395" s="43">
        <v>99</v>
      </c>
      <c r="B1395" t="s">
        <v>450</v>
      </c>
      <c r="C1395" s="43" t="s">
        <v>451</v>
      </c>
      <c r="D1395" s="43">
        <v>70401</v>
      </c>
      <c r="E1395" t="s">
        <v>263</v>
      </c>
      <c r="F1395" s="47" t="str">
        <f>+Empresa_Centro[[#This Row],[Codigo Centro Gestion]]&amp;" - "&amp;Empresa_Centro[[#This Row],[Nombre Centro Gestion]]</f>
        <v>70401 - GERENCIA GENERAL CORP</v>
      </c>
    </row>
    <row r="1396" spans="1:6" x14ac:dyDescent="0.25">
      <c r="A1396" s="43">
        <v>99</v>
      </c>
      <c r="B1396" t="s">
        <v>450</v>
      </c>
      <c r="C1396" s="43" t="s">
        <v>451</v>
      </c>
      <c r="D1396" s="43">
        <v>70402</v>
      </c>
      <c r="E1396" t="s">
        <v>265</v>
      </c>
      <c r="F1396" s="47" t="str">
        <f>+Empresa_Centro[[#This Row],[Codigo Centro Gestion]]&amp;" - "&amp;Empresa_Centro[[#This Row],[Nombre Centro Gestion]]</f>
        <v>70402 - DIRECTORIO</v>
      </c>
    </row>
    <row r="1397" spans="1:6" x14ac:dyDescent="0.25">
      <c r="A1397" s="43">
        <v>99</v>
      </c>
      <c r="B1397" t="s">
        <v>450</v>
      </c>
      <c r="C1397" s="43" t="s">
        <v>451</v>
      </c>
      <c r="D1397" s="43">
        <v>70904</v>
      </c>
      <c r="E1397" t="s">
        <v>279</v>
      </c>
      <c r="F1397" s="47" t="str">
        <f>+Empresa_Centro[[#This Row],[Codigo Centro Gestion]]&amp;" - "&amp;Empresa_Centro[[#This Row],[Nombre Centro Gestion]]</f>
        <v>70904 - COMERCIAL</v>
      </c>
    </row>
    <row r="1398" spans="1:6" x14ac:dyDescent="0.25">
      <c r="A1398" s="43">
        <v>99</v>
      </c>
      <c r="B1398" t="s">
        <v>450</v>
      </c>
      <c r="C1398" s="43" t="s">
        <v>451</v>
      </c>
      <c r="D1398" s="43">
        <v>70917</v>
      </c>
      <c r="E1398" t="s">
        <v>284</v>
      </c>
      <c r="F1398" s="47" t="str">
        <f>+Empresa_Centro[[#This Row],[Codigo Centro Gestion]]&amp;" - "&amp;Empresa_Centro[[#This Row],[Nombre Centro Gestion]]</f>
        <v>70917 - OTROS OFICINA CENTRAL</v>
      </c>
    </row>
    <row r="1399" spans="1:6" x14ac:dyDescent="0.25">
      <c r="A1399" s="43">
        <v>99</v>
      </c>
      <c r="B1399" t="s">
        <v>450</v>
      </c>
      <c r="C1399" s="43" t="s">
        <v>451</v>
      </c>
      <c r="D1399" s="43">
        <v>1077202</v>
      </c>
      <c r="E1399" t="s">
        <v>726</v>
      </c>
      <c r="F1399" s="47" t="str">
        <f>+Empresa_Centro[[#This Row],[Codigo Centro Gestion]]&amp;" - "&amp;Empresa_Centro[[#This Row],[Nombre Centro Gestion]]</f>
        <v>1077202 - Terreno Fuenzalida Urrejola - Desarrollo</v>
      </c>
    </row>
    <row r="1400" spans="1:6" x14ac:dyDescent="0.25">
      <c r="A1400" s="43">
        <v>99</v>
      </c>
      <c r="B1400" t="s">
        <v>450</v>
      </c>
      <c r="C1400" s="43" t="s">
        <v>451</v>
      </c>
      <c r="D1400" s="43">
        <v>1080202</v>
      </c>
      <c r="E1400" t="s">
        <v>727</v>
      </c>
      <c r="F1400" s="47" t="str">
        <f>+Empresa_Centro[[#This Row],[Codigo Centro Gestion]]&amp;" - "&amp;Empresa_Centro[[#This Row],[Nombre Centro Gestion]]</f>
        <v>1080202 - Terreno Fernández Albano - Desarrollo</v>
      </c>
    </row>
    <row r="1401" spans="1:6" x14ac:dyDescent="0.25">
      <c r="A1401" s="43">
        <v>99</v>
      </c>
      <c r="B1401" t="s">
        <v>450</v>
      </c>
      <c r="C1401" s="43" t="s">
        <v>451</v>
      </c>
      <c r="D1401" s="43">
        <v>1081202</v>
      </c>
      <c r="E1401" t="s">
        <v>728</v>
      </c>
      <c r="F1401" s="47" t="str">
        <f>+Empresa_Centro[[#This Row],[Codigo Centro Gestion]]&amp;" - "&amp;Empresa_Centro[[#This Row],[Nombre Centro Gestion]]</f>
        <v>1081202 - Terreno Novena Avenida II – Desarrollo</v>
      </c>
    </row>
    <row r="1402" spans="1:6" x14ac:dyDescent="0.25">
      <c r="A1402" s="43">
        <v>99</v>
      </c>
      <c r="B1402" t="s">
        <v>450</v>
      </c>
      <c r="C1402" s="43" t="s">
        <v>451</v>
      </c>
      <c r="D1402" s="43">
        <v>1088202</v>
      </c>
      <c r="E1402" t="s">
        <v>732</v>
      </c>
      <c r="F1402" s="47" t="str">
        <f>+Empresa_Centro[[#This Row],[Codigo Centro Gestion]]&amp;" - "&amp;Empresa_Centro[[#This Row],[Nombre Centro Gestion]]</f>
        <v>1088202 - Terreno Vista Las Palmas – Desarrollo</v>
      </c>
    </row>
    <row r="1403" spans="1:6" x14ac:dyDescent="0.25">
      <c r="A1403" s="43">
        <v>99</v>
      </c>
      <c r="B1403" t="s">
        <v>450</v>
      </c>
      <c r="C1403" s="43" t="s">
        <v>451</v>
      </c>
      <c r="D1403" s="43">
        <v>1092202</v>
      </c>
      <c r="E1403" t="s">
        <v>735</v>
      </c>
      <c r="F1403" s="47" t="str">
        <f>+Empresa_Centro[[#This Row],[Codigo Centro Gestion]]&amp;" - "&amp;Empresa_Centro[[#This Row],[Nombre Centro Gestion]]</f>
        <v>1092202 - Terreno Briones Luco - Inversiones</v>
      </c>
    </row>
    <row r="1404" spans="1:6" x14ac:dyDescent="0.25">
      <c r="A1404" s="43">
        <v>99</v>
      </c>
      <c r="B1404" t="s">
        <v>450</v>
      </c>
      <c r="C1404" s="43" t="s">
        <v>451</v>
      </c>
      <c r="D1404" s="43">
        <v>1098202</v>
      </c>
      <c r="E1404" t="s">
        <v>741</v>
      </c>
      <c r="F1404" s="47" t="str">
        <f>+Empresa_Centro[[#This Row],[Codigo Centro Gestion]]&amp;" - "&amp;Empresa_Centro[[#This Row],[Nombre Centro Gestion]]</f>
        <v>1098202 - Terreno Teresa Vial – Inversiones</v>
      </c>
    </row>
    <row r="1405" spans="1:6" x14ac:dyDescent="0.25">
      <c r="A1405" s="43">
        <v>99</v>
      </c>
      <c r="B1405" t="s">
        <v>450</v>
      </c>
      <c r="C1405" s="43" t="s">
        <v>451</v>
      </c>
      <c r="D1405" s="43">
        <v>1099202</v>
      </c>
      <c r="E1405" t="s">
        <v>742</v>
      </c>
      <c r="F1405" s="47" t="str">
        <f>+Empresa_Centro[[#This Row],[Codigo Centro Gestion]]&amp;" - "&amp;Empresa_Centro[[#This Row],[Nombre Centro Gestion]]</f>
        <v>1099202 - Terreno Dublé Almeyda – Inversiones</v>
      </c>
    </row>
    <row r="1406" spans="1:6" x14ac:dyDescent="0.25">
      <c r="A1406" s="43">
        <v>99</v>
      </c>
      <c r="B1406" t="s">
        <v>450</v>
      </c>
      <c r="C1406" s="43" t="s">
        <v>451</v>
      </c>
      <c r="D1406" s="43">
        <v>1100202</v>
      </c>
      <c r="E1406" t="s">
        <v>743</v>
      </c>
      <c r="F1406" s="47" t="str">
        <f>+Empresa_Centro[[#This Row],[Codigo Centro Gestion]]&amp;" - "&amp;Empresa_Centro[[#This Row],[Nombre Centro Gestion]]</f>
        <v>1100202 - Terreno Condominio Jorge Cáceres – Inversiones</v>
      </c>
    </row>
    <row r="1407" spans="1:6" x14ac:dyDescent="0.25">
      <c r="A1407" s="43">
        <v>99</v>
      </c>
      <c r="B1407" t="s">
        <v>450</v>
      </c>
      <c r="C1407" s="43" t="s">
        <v>451</v>
      </c>
      <c r="D1407" s="43">
        <v>1115202</v>
      </c>
      <c r="E1407" t="s">
        <v>750</v>
      </c>
      <c r="F1407" s="47" t="str">
        <f>+Empresa_Centro[[#This Row],[Codigo Centro Gestion]]&amp;" - "&amp;Empresa_Centro[[#This Row],[Nombre Centro Gestion]]</f>
        <v xml:space="preserve">1115202 - Terreno Tranquila – Inversiones </v>
      </c>
    </row>
    <row r="1408" spans="1:6" x14ac:dyDescent="0.25">
      <c r="A1408" s="43">
        <v>99</v>
      </c>
      <c r="B1408" t="s">
        <v>450</v>
      </c>
      <c r="C1408" s="43" t="s">
        <v>451</v>
      </c>
      <c r="D1408" s="43">
        <v>1117202</v>
      </c>
      <c r="E1408" t="s">
        <v>751</v>
      </c>
      <c r="F1408" s="47" t="str">
        <f>+Empresa_Centro[[#This Row],[Codigo Centro Gestion]]&amp;" - "&amp;Empresa_Centro[[#This Row],[Nombre Centro Gestion]]</f>
        <v xml:space="preserve">1117202 - Terreno Santa Corina – Inversiones </v>
      </c>
    </row>
    <row r="1409" spans="1:6" x14ac:dyDescent="0.25">
      <c r="A1409" s="43">
        <v>99</v>
      </c>
      <c r="B1409" t="s">
        <v>450</v>
      </c>
      <c r="C1409" s="43" t="s">
        <v>451</v>
      </c>
      <c r="D1409" s="43">
        <v>1118202</v>
      </c>
      <c r="E1409" t="s">
        <v>752</v>
      </c>
      <c r="F1409" s="47" t="str">
        <f>+Empresa_Centro[[#This Row],[Codigo Centro Gestion]]&amp;" - "&amp;Empresa_Centro[[#This Row],[Nombre Centro Gestion]]</f>
        <v xml:space="preserve">1118202 - Terreno Lia Aguirre - Inversiones </v>
      </c>
    </row>
    <row r="1410" spans="1:6" x14ac:dyDescent="0.25">
      <c r="A1410" s="43">
        <v>99</v>
      </c>
      <c r="B1410" t="s">
        <v>450</v>
      </c>
      <c r="C1410" s="43" t="s">
        <v>451</v>
      </c>
      <c r="D1410" s="43">
        <v>1127202</v>
      </c>
      <c r="E1410" t="s">
        <v>759</v>
      </c>
      <c r="F1410" s="47" t="str">
        <f>+Empresa_Centro[[#This Row],[Codigo Centro Gestion]]&amp;" - "&amp;Empresa_Centro[[#This Row],[Nombre Centro Gestion]]</f>
        <v>1127202 - Terreno Castillo Urízar 1845 – Inversiones</v>
      </c>
    </row>
    <row r="1411" spans="1:6" x14ac:dyDescent="0.25">
      <c r="A1411" s="43">
        <v>99</v>
      </c>
      <c r="B1411" t="s">
        <v>450</v>
      </c>
      <c r="C1411" s="43" t="s">
        <v>451</v>
      </c>
      <c r="D1411" s="43">
        <v>1130202</v>
      </c>
      <c r="E1411" t="s">
        <v>760</v>
      </c>
      <c r="F1411" s="47" t="str">
        <f>+Empresa_Centro[[#This Row],[Codigo Centro Gestion]]&amp;" - "&amp;Empresa_Centro[[#This Row],[Nombre Centro Gestion]]</f>
        <v xml:space="preserve">1130202 - Terreno Departamental 960 – Inversiones </v>
      </c>
    </row>
    <row r="1412" spans="1:6" x14ac:dyDescent="0.25">
      <c r="A1412" s="43">
        <v>99</v>
      </c>
      <c r="B1412" t="s">
        <v>450</v>
      </c>
      <c r="C1412" s="43" t="s">
        <v>451</v>
      </c>
      <c r="D1412" s="43">
        <v>1132202</v>
      </c>
      <c r="E1412" t="s">
        <v>762</v>
      </c>
      <c r="F1412" s="47" t="str">
        <f>+Empresa_Centro[[#This Row],[Codigo Centro Gestion]]&amp;" - "&amp;Empresa_Centro[[#This Row],[Nombre Centro Gestion]]</f>
        <v xml:space="preserve">1132202 - Terreno Trinidad Ramirez 24 – Inversiones </v>
      </c>
    </row>
    <row r="1413" spans="1:6" x14ac:dyDescent="0.25">
      <c r="A1413" s="43">
        <v>99</v>
      </c>
      <c r="B1413" t="s">
        <v>450</v>
      </c>
      <c r="C1413" s="43" t="s">
        <v>451</v>
      </c>
      <c r="D1413" s="43">
        <v>1148202</v>
      </c>
      <c r="E1413" t="s">
        <v>770</v>
      </c>
      <c r="F1413" s="47" t="str">
        <f>+Empresa_Centro[[#This Row],[Codigo Centro Gestion]]&amp;" - "&amp;Empresa_Centro[[#This Row],[Nombre Centro Gestion]]</f>
        <v>1148202 - Terreno Jorge Cáceres Etapa 2 - Inversiones</v>
      </c>
    </row>
    <row r="1414" spans="1:6" x14ac:dyDescent="0.25">
      <c r="A1414" s="43">
        <v>99</v>
      </c>
      <c r="B1414" t="s">
        <v>450</v>
      </c>
      <c r="C1414" s="43" t="s">
        <v>451</v>
      </c>
      <c r="D1414" s="43">
        <v>1157202</v>
      </c>
      <c r="E1414" t="s">
        <v>774</v>
      </c>
      <c r="F1414" s="47" t="str">
        <f>+Empresa_Centro[[#This Row],[Codigo Centro Gestion]]&amp;" - "&amp;Empresa_Centro[[#This Row],[Nombre Centro Gestion]]</f>
        <v>1157202 - Terreno Condominio Parque Del Sur Torre A 145 - Inversiones</v>
      </c>
    </row>
    <row r="1415" spans="1:6" x14ac:dyDescent="0.25">
      <c r="A1415" s="43">
        <v>99</v>
      </c>
      <c r="B1415" t="s">
        <v>450</v>
      </c>
      <c r="C1415" s="43" t="s">
        <v>451</v>
      </c>
      <c r="D1415" s="43">
        <v>1168202</v>
      </c>
      <c r="E1415" t="s">
        <v>4309</v>
      </c>
      <c r="F1415" s="47" t="str">
        <f>+Empresa_Centro[[#This Row],[Codigo Centro Gestion]]&amp;" - "&amp;Empresa_Centro[[#This Row],[Nombre Centro Gestion]]</f>
        <v>1168202 - Terrreno Del Valle Sur 628 - Inversiones</v>
      </c>
    </row>
    <row r="1416" spans="1:6" x14ac:dyDescent="0.25">
      <c r="A1416" s="43">
        <v>99</v>
      </c>
      <c r="B1416" t="s">
        <v>450</v>
      </c>
      <c r="C1416" s="43" t="s">
        <v>451</v>
      </c>
      <c r="D1416" s="43">
        <v>10167104</v>
      </c>
      <c r="E1416" t="s">
        <v>809</v>
      </c>
      <c r="F1416" s="47" t="str">
        <f>+Empresa_Centro[[#This Row],[Codigo Centro Gestion]]&amp;" - "&amp;Empresa_Centro[[#This Row],[Nombre Centro Gestion]]</f>
        <v>10167104 - Condominio Palmas del Sur II-Ventas</v>
      </c>
    </row>
    <row r="1417" spans="1:6" x14ac:dyDescent="0.25">
      <c r="A1417" s="43">
        <v>99</v>
      </c>
      <c r="B1417" t="s">
        <v>450</v>
      </c>
      <c r="C1417" s="43" t="s">
        <v>451</v>
      </c>
      <c r="D1417" s="43">
        <v>10188000</v>
      </c>
      <c r="E1417" t="s">
        <v>833</v>
      </c>
      <c r="F1417" s="47" t="str">
        <f>+Empresa_Centro[[#This Row],[Codigo Centro Gestion]]&amp;" - "&amp;Empresa_Centro[[#This Row],[Nombre Centro Gestion]]</f>
        <v>10188000 - Vista Macul</v>
      </c>
    </row>
    <row r="1418" spans="1:6" x14ac:dyDescent="0.25">
      <c r="A1418" s="43">
        <v>99</v>
      </c>
      <c r="B1418" t="s">
        <v>450</v>
      </c>
      <c r="C1418" s="43" t="s">
        <v>451</v>
      </c>
      <c r="D1418" s="43">
        <v>10188102</v>
      </c>
      <c r="E1418" t="s">
        <v>834</v>
      </c>
      <c r="F1418" s="47" t="str">
        <f>+Empresa_Centro[[#This Row],[Codigo Centro Gestion]]&amp;" - "&amp;Empresa_Centro[[#This Row],[Nombre Centro Gestion]]</f>
        <v>10188102 - Vista Macul-Marketing</v>
      </c>
    </row>
    <row r="1419" spans="1:6" x14ac:dyDescent="0.25">
      <c r="A1419" s="43">
        <v>99</v>
      </c>
      <c r="B1419" t="s">
        <v>450</v>
      </c>
      <c r="C1419" s="43" t="s">
        <v>451</v>
      </c>
      <c r="D1419" s="43">
        <v>10188103</v>
      </c>
      <c r="E1419" t="s">
        <v>835</v>
      </c>
      <c r="F1419" s="47" t="str">
        <f>+Empresa_Centro[[#This Row],[Codigo Centro Gestion]]&amp;" - "&amp;Empresa_Centro[[#This Row],[Nombre Centro Gestion]]</f>
        <v>10188103 - Vista Macul-Operaciones</v>
      </c>
    </row>
    <row r="1420" spans="1:6" x14ac:dyDescent="0.25">
      <c r="A1420" s="43">
        <v>99</v>
      </c>
      <c r="B1420" t="s">
        <v>450</v>
      </c>
      <c r="C1420" s="43" t="s">
        <v>451</v>
      </c>
      <c r="D1420" s="43">
        <v>10188104</v>
      </c>
      <c r="E1420" t="s">
        <v>836</v>
      </c>
      <c r="F1420" s="47" t="str">
        <f>+Empresa_Centro[[#This Row],[Codigo Centro Gestion]]&amp;" - "&amp;Empresa_Centro[[#This Row],[Nombre Centro Gestion]]</f>
        <v>10188104 - Vista Macul-Ventas</v>
      </c>
    </row>
    <row r="1421" spans="1:6" x14ac:dyDescent="0.25">
      <c r="A1421" s="43">
        <v>99</v>
      </c>
      <c r="B1421" t="s">
        <v>450</v>
      </c>
      <c r="C1421" s="43" t="s">
        <v>451</v>
      </c>
      <c r="D1421" s="43">
        <v>10188105</v>
      </c>
      <c r="E1421" t="s">
        <v>837</v>
      </c>
      <c r="F1421" s="47" t="str">
        <f>+Empresa_Centro[[#This Row],[Codigo Centro Gestion]]&amp;" - "&amp;Empresa_Centro[[#This Row],[Nombre Centro Gestion]]</f>
        <v>10188105 - Vista Macul-Clientes</v>
      </c>
    </row>
    <row r="1422" spans="1:6" x14ac:dyDescent="0.25">
      <c r="A1422" s="43">
        <v>99</v>
      </c>
      <c r="B1422" t="s">
        <v>450</v>
      </c>
      <c r="C1422" s="43" t="s">
        <v>451</v>
      </c>
      <c r="D1422" s="43">
        <v>10188204</v>
      </c>
      <c r="E1422" t="s">
        <v>838</v>
      </c>
      <c r="F1422" s="47" t="str">
        <f>+Empresa_Centro[[#This Row],[Codigo Centro Gestion]]&amp;" - "&amp;Empresa_Centro[[#This Row],[Nombre Centro Gestion]]</f>
        <v>10188204 - Vista Macul-Proyecto</v>
      </c>
    </row>
    <row r="1423" spans="1:6" x14ac:dyDescent="0.25">
      <c r="A1423" s="43">
        <v>99</v>
      </c>
      <c r="B1423" t="s">
        <v>450</v>
      </c>
      <c r="C1423" s="43" t="s">
        <v>451</v>
      </c>
      <c r="D1423" s="43">
        <v>10188301</v>
      </c>
      <c r="E1423" t="s">
        <v>839</v>
      </c>
      <c r="F1423" s="47" t="str">
        <f>+Empresa_Centro[[#This Row],[Codigo Centro Gestion]]&amp;" - "&amp;Empresa_Centro[[#This Row],[Nombre Centro Gestion]]</f>
        <v>10188301 - Vista Macul-GAF</v>
      </c>
    </row>
    <row r="1424" spans="1:6" x14ac:dyDescent="0.25">
      <c r="A1424" s="43">
        <v>99</v>
      </c>
      <c r="B1424" t="s">
        <v>450</v>
      </c>
      <c r="C1424" s="43" t="s">
        <v>451</v>
      </c>
      <c r="D1424" s="43">
        <v>10188505</v>
      </c>
      <c r="E1424" t="s">
        <v>840</v>
      </c>
      <c r="F1424" s="47" t="str">
        <f>+Empresa_Centro[[#This Row],[Codigo Centro Gestion]]&amp;" - "&amp;Empresa_Centro[[#This Row],[Nombre Centro Gestion]]</f>
        <v>10188505 - Vista Macul-PV Inmob.</v>
      </c>
    </row>
    <row r="1425" spans="1:6" x14ac:dyDescent="0.25">
      <c r="A1425" s="43">
        <v>99</v>
      </c>
      <c r="B1425" t="s">
        <v>450</v>
      </c>
      <c r="C1425" s="43" t="s">
        <v>451</v>
      </c>
      <c r="D1425" s="43">
        <v>10188506</v>
      </c>
      <c r="E1425" t="s">
        <v>841</v>
      </c>
      <c r="F1425" s="47" t="str">
        <f>+Empresa_Centro[[#This Row],[Codigo Centro Gestion]]&amp;" - "&amp;Empresa_Centro[[#This Row],[Nombre Centro Gestion]]</f>
        <v>10188506 - Vista Macul-Depto.Técnico</v>
      </c>
    </row>
    <row r="1426" spans="1:6" x14ac:dyDescent="0.25">
      <c r="A1426" s="43">
        <v>99</v>
      </c>
      <c r="B1426" t="s">
        <v>450</v>
      </c>
      <c r="C1426" s="43" t="s">
        <v>451</v>
      </c>
      <c r="D1426" s="43">
        <v>10195000</v>
      </c>
      <c r="E1426" t="s">
        <v>851</v>
      </c>
      <c r="F1426" s="47" t="str">
        <f>+Empresa_Centro[[#This Row],[Codigo Centro Gestion]]&amp;" - "&amp;Empresa_Centro[[#This Row],[Nombre Centro Gestion]]</f>
        <v>10195000 - Vista Macul 2</v>
      </c>
    </row>
    <row r="1427" spans="1:6" x14ac:dyDescent="0.25">
      <c r="A1427" s="43">
        <v>99</v>
      </c>
      <c r="B1427" t="s">
        <v>450</v>
      </c>
      <c r="C1427" s="43" t="s">
        <v>451</v>
      </c>
      <c r="D1427" s="43">
        <v>10195102</v>
      </c>
      <c r="E1427" t="s">
        <v>852</v>
      </c>
      <c r="F1427" s="47" t="str">
        <f>+Empresa_Centro[[#This Row],[Codigo Centro Gestion]]&amp;" - "&amp;Empresa_Centro[[#This Row],[Nombre Centro Gestion]]</f>
        <v>10195102 - Vista Macul 2-Marketing</v>
      </c>
    </row>
    <row r="1428" spans="1:6" x14ac:dyDescent="0.25">
      <c r="A1428" s="43">
        <v>99</v>
      </c>
      <c r="B1428" t="s">
        <v>450</v>
      </c>
      <c r="C1428" s="43" t="s">
        <v>451</v>
      </c>
      <c r="D1428" s="43">
        <v>10195103</v>
      </c>
      <c r="E1428" t="s">
        <v>853</v>
      </c>
      <c r="F1428" s="47" t="str">
        <f>+Empresa_Centro[[#This Row],[Codigo Centro Gestion]]&amp;" - "&amp;Empresa_Centro[[#This Row],[Nombre Centro Gestion]]</f>
        <v>10195103 - Vista Macul 2-Operaciones</v>
      </c>
    </row>
    <row r="1429" spans="1:6" x14ac:dyDescent="0.25">
      <c r="A1429" s="43">
        <v>99</v>
      </c>
      <c r="B1429" t="s">
        <v>450</v>
      </c>
      <c r="C1429" s="43" t="s">
        <v>451</v>
      </c>
      <c r="D1429" s="43">
        <v>10195104</v>
      </c>
      <c r="E1429" t="s">
        <v>854</v>
      </c>
      <c r="F1429" s="47" t="str">
        <f>+Empresa_Centro[[#This Row],[Codigo Centro Gestion]]&amp;" - "&amp;Empresa_Centro[[#This Row],[Nombre Centro Gestion]]</f>
        <v>10195104 - Vista Macul 2-Ventas</v>
      </c>
    </row>
    <row r="1430" spans="1:6" x14ac:dyDescent="0.25">
      <c r="A1430" s="43">
        <v>99</v>
      </c>
      <c r="B1430" t="s">
        <v>450</v>
      </c>
      <c r="C1430" s="43" t="s">
        <v>451</v>
      </c>
      <c r="D1430" s="43">
        <v>10195105</v>
      </c>
      <c r="E1430" t="s">
        <v>855</v>
      </c>
      <c r="F1430" s="47" t="str">
        <f>+Empresa_Centro[[#This Row],[Codigo Centro Gestion]]&amp;" - "&amp;Empresa_Centro[[#This Row],[Nombre Centro Gestion]]</f>
        <v>10195105 - Vista Macul 2-Clientes</v>
      </c>
    </row>
    <row r="1431" spans="1:6" x14ac:dyDescent="0.25">
      <c r="A1431" s="43">
        <v>99</v>
      </c>
      <c r="B1431" t="s">
        <v>450</v>
      </c>
      <c r="C1431" s="43" t="s">
        <v>451</v>
      </c>
      <c r="D1431" s="43">
        <v>10195204</v>
      </c>
      <c r="E1431" t="s">
        <v>856</v>
      </c>
      <c r="F1431" s="47" t="str">
        <f>+Empresa_Centro[[#This Row],[Codigo Centro Gestion]]&amp;" - "&amp;Empresa_Centro[[#This Row],[Nombre Centro Gestion]]</f>
        <v>10195204 - Vista Macul 2-Proyecto</v>
      </c>
    </row>
    <row r="1432" spans="1:6" x14ac:dyDescent="0.25">
      <c r="A1432" s="43">
        <v>99</v>
      </c>
      <c r="B1432" t="s">
        <v>450</v>
      </c>
      <c r="C1432" s="43" t="s">
        <v>451</v>
      </c>
      <c r="D1432" s="43">
        <v>10195301</v>
      </c>
      <c r="E1432" t="s">
        <v>857</v>
      </c>
      <c r="F1432" s="47" t="str">
        <f>+Empresa_Centro[[#This Row],[Codigo Centro Gestion]]&amp;" - "&amp;Empresa_Centro[[#This Row],[Nombre Centro Gestion]]</f>
        <v>10195301 - Vista Macul 2-GAF</v>
      </c>
    </row>
    <row r="1433" spans="1:6" x14ac:dyDescent="0.25">
      <c r="A1433" s="43">
        <v>99</v>
      </c>
      <c r="B1433" t="s">
        <v>450</v>
      </c>
      <c r="C1433" s="43" t="s">
        <v>451</v>
      </c>
      <c r="D1433" s="43">
        <v>10195505</v>
      </c>
      <c r="E1433" t="s">
        <v>858</v>
      </c>
      <c r="F1433" s="47" t="str">
        <f>+Empresa_Centro[[#This Row],[Codigo Centro Gestion]]&amp;" - "&amp;Empresa_Centro[[#This Row],[Nombre Centro Gestion]]</f>
        <v>10195505 - Vista Macul 2-PV Inmob.</v>
      </c>
    </row>
    <row r="1434" spans="1:6" x14ac:dyDescent="0.25">
      <c r="A1434" s="43">
        <v>99</v>
      </c>
      <c r="B1434" t="s">
        <v>450</v>
      </c>
      <c r="C1434" s="43" t="s">
        <v>451</v>
      </c>
      <c r="D1434" s="43">
        <v>10195506</v>
      </c>
      <c r="E1434" t="s">
        <v>859</v>
      </c>
      <c r="F1434" s="47" t="str">
        <f>+Empresa_Centro[[#This Row],[Codigo Centro Gestion]]&amp;" - "&amp;Empresa_Centro[[#This Row],[Nombre Centro Gestion]]</f>
        <v>10195506 - Vista Macul 2-Depto.Técnico</v>
      </c>
    </row>
    <row r="1435" spans="1:6" x14ac:dyDescent="0.25">
      <c r="A1435" s="43">
        <v>99</v>
      </c>
      <c r="B1435" t="s">
        <v>450</v>
      </c>
      <c r="C1435" s="43" t="s">
        <v>451</v>
      </c>
      <c r="D1435" s="43">
        <v>10202000</v>
      </c>
      <c r="E1435" t="s">
        <v>889</v>
      </c>
      <c r="F1435" s="47" t="str">
        <f>+Empresa_Centro[[#This Row],[Codigo Centro Gestion]]&amp;" - "&amp;Empresa_Centro[[#This Row],[Nombre Centro Gestion]]</f>
        <v>10202000 - Parque Central</v>
      </c>
    </row>
    <row r="1436" spans="1:6" x14ac:dyDescent="0.25">
      <c r="A1436" s="43">
        <v>99</v>
      </c>
      <c r="B1436" t="s">
        <v>450</v>
      </c>
      <c r="C1436" s="43" t="s">
        <v>451</v>
      </c>
      <c r="D1436" s="43">
        <v>10206000</v>
      </c>
      <c r="E1436" t="s">
        <v>916</v>
      </c>
      <c r="F1436" s="47" t="str">
        <f>+Empresa_Centro[[#This Row],[Codigo Centro Gestion]]&amp;" - "&amp;Empresa_Centro[[#This Row],[Nombre Centro Gestion]]</f>
        <v>10206000 - Novena Avenida 2</v>
      </c>
    </row>
    <row r="1437" spans="1:6" x14ac:dyDescent="0.25">
      <c r="A1437" s="43">
        <v>99</v>
      </c>
      <c r="B1437" t="s">
        <v>450</v>
      </c>
      <c r="C1437" s="43" t="s">
        <v>451</v>
      </c>
      <c r="D1437" s="43">
        <v>10206102</v>
      </c>
      <c r="E1437" t="s">
        <v>917</v>
      </c>
      <c r="F1437" s="47" t="str">
        <f>+Empresa_Centro[[#This Row],[Codigo Centro Gestion]]&amp;" - "&amp;Empresa_Centro[[#This Row],[Nombre Centro Gestion]]</f>
        <v>10206102 - Novena Avenida 2-Marketing</v>
      </c>
    </row>
    <row r="1438" spans="1:6" x14ac:dyDescent="0.25">
      <c r="A1438" s="43">
        <v>99</v>
      </c>
      <c r="B1438" t="s">
        <v>450</v>
      </c>
      <c r="C1438" s="43" t="s">
        <v>451</v>
      </c>
      <c r="D1438" s="43">
        <v>10206103</v>
      </c>
      <c r="E1438" t="s">
        <v>918</v>
      </c>
      <c r="F1438" s="47" t="str">
        <f>+Empresa_Centro[[#This Row],[Codigo Centro Gestion]]&amp;" - "&amp;Empresa_Centro[[#This Row],[Nombre Centro Gestion]]</f>
        <v>10206103 - Novena Avenida 2-Operaciones</v>
      </c>
    </row>
    <row r="1439" spans="1:6" x14ac:dyDescent="0.25">
      <c r="A1439" s="43">
        <v>99</v>
      </c>
      <c r="B1439" t="s">
        <v>450</v>
      </c>
      <c r="C1439" s="43" t="s">
        <v>451</v>
      </c>
      <c r="D1439" s="43">
        <v>10206104</v>
      </c>
      <c r="E1439" t="s">
        <v>919</v>
      </c>
      <c r="F1439" s="47" t="str">
        <f>+Empresa_Centro[[#This Row],[Codigo Centro Gestion]]&amp;" - "&amp;Empresa_Centro[[#This Row],[Nombre Centro Gestion]]</f>
        <v>10206104 - Novena Avenida 2-Ventas</v>
      </c>
    </row>
    <row r="1440" spans="1:6" x14ac:dyDescent="0.25">
      <c r="A1440" s="43">
        <v>99</v>
      </c>
      <c r="B1440" t="s">
        <v>450</v>
      </c>
      <c r="C1440" s="43" t="s">
        <v>451</v>
      </c>
      <c r="D1440" s="43">
        <v>10206105</v>
      </c>
      <c r="E1440" t="s">
        <v>920</v>
      </c>
      <c r="F1440" s="47" t="str">
        <f>+Empresa_Centro[[#This Row],[Codigo Centro Gestion]]&amp;" - "&amp;Empresa_Centro[[#This Row],[Nombre Centro Gestion]]</f>
        <v>10206105 - Novena Avenida 2-Clientes</v>
      </c>
    </row>
    <row r="1441" spans="1:6" x14ac:dyDescent="0.25">
      <c r="A1441" s="43">
        <v>99</v>
      </c>
      <c r="B1441" t="s">
        <v>450</v>
      </c>
      <c r="C1441" s="43" t="s">
        <v>451</v>
      </c>
      <c r="D1441" s="43">
        <v>10206204</v>
      </c>
      <c r="E1441" t="s">
        <v>921</v>
      </c>
      <c r="F1441" s="47" t="str">
        <f>+Empresa_Centro[[#This Row],[Codigo Centro Gestion]]&amp;" - "&amp;Empresa_Centro[[#This Row],[Nombre Centro Gestion]]</f>
        <v>10206204 - Novena Avenida 2-Proyecto</v>
      </c>
    </row>
    <row r="1442" spans="1:6" x14ac:dyDescent="0.25">
      <c r="A1442" s="43">
        <v>99</v>
      </c>
      <c r="B1442" t="s">
        <v>450</v>
      </c>
      <c r="C1442" s="43" t="s">
        <v>451</v>
      </c>
      <c r="D1442" s="43">
        <v>10206301</v>
      </c>
      <c r="E1442" t="s">
        <v>922</v>
      </c>
      <c r="F1442" s="47" t="str">
        <f>+Empresa_Centro[[#This Row],[Codigo Centro Gestion]]&amp;" - "&amp;Empresa_Centro[[#This Row],[Nombre Centro Gestion]]</f>
        <v>10206301 - Novena Avenida 2-GAF</v>
      </c>
    </row>
    <row r="1443" spans="1:6" x14ac:dyDescent="0.25">
      <c r="A1443" s="43">
        <v>99</v>
      </c>
      <c r="B1443" t="s">
        <v>450</v>
      </c>
      <c r="C1443" s="43" t="s">
        <v>451</v>
      </c>
      <c r="D1443" s="43">
        <v>10206505</v>
      </c>
      <c r="E1443" t="s">
        <v>923</v>
      </c>
      <c r="F1443" s="47" t="str">
        <f>+Empresa_Centro[[#This Row],[Codigo Centro Gestion]]&amp;" - "&amp;Empresa_Centro[[#This Row],[Nombre Centro Gestion]]</f>
        <v>10206505 - Novena Avenida 2-PV Inmob.</v>
      </c>
    </row>
    <row r="1444" spans="1:6" x14ac:dyDescent="0.25">
      <c r="A1444" s="43">
        <v>99</v>
      </c>
      <c r="B1444" t="s">
        <v>450</v>
      </c>
      <c r="C1444" s="43" t="s">
        <v>451</v>
      </c>
      <c r="D1444" s="43">
        <v>10206506</v>
      </c>
      <c r="E1444" t="s">
        <v>924</v>
      </c>
      <c r="F1444" s="47" t="str">
        <f>+Empresa_Centro[[#This Row],[Codigo Centro Gestion]]&amp;" - "&amp;Empresa_Centro[[#This Row],[Nombre Centro Gestion]]</f>
        <v>10206506 - Novena Avenida 2-Depto.Técnico</v>
      </c>
    </row>
    <row r="1445" spans="1:6" x14ac:dyDescent="0.25">
      <c r="A1445" s="43">
        <v>99</v>
      </c>
      <c r="B1445" t="s">
        <v>450</v>
      </c>
      <c r="C1445" s="43" t="s">
        <v>451</v>
      </c>
      <c r="D1445" s="43">
        <v>10207000</v>
      </c>
      <c r="E1445" t="s">
        <v>925</v>
      </c>
      <c r="F1445" s="47" t="str">
        <f>+Empresa_Centro[[#This Row],[Codigo Centro Gestion]]&amp;" - "&amp;Empresa_Centro[[#This Row],[Nombre Centro Gestion]]</f>
        <v>10207000 - Edificio Fuenzalida Urrejola 125</v>
      </c>
    </row>
    <row r="1446" spans="1:6" x14ac:dyDescent="0.25">
      <c r="A1446" s="43">
        <v>99</v>
      </c>
      <c r="B1446" t="s">
        <v>450</v>
      </c>
      <c r="C1446" s="43" t="s">
        <v>451</v>
      </c>
      <c r="D1446" s="43">
        <v>10207102</v>
      </c>
      <c r="E1446" t="s">
        <v>926</v>
      </c>
      <c r="F1446" s="47" t="str">
        <f>+Empresa_Centro[[#This Row],[Codigo Centro Gestion]]&amp;" - "&amp;Empresa_Centro[[#This Row],[Nombre Centro Gestion]]</f>
        <v>10207102 - Edificio Fuenzalida Urrejola 125-Marketing</v>
      </c>
    </row>
    <row r="1447" spans="1:6" x14ac:dyDescent="0.25">
      <c r="A1447" s="43">
        <v>99</v>
      </c>
      <c r="B1447" t="s">
        <v>450</v>
      </c>
      <c r="C1447" s="43" t="s">
        <v>451</v>
      </c>
      <c r="D1447" s="43">
        <v>10207103</v>
      </c>
      <c r="E1447" t="s">
        <v>927</v>
      </c>
      <c r="F1447" s="47" t="str">
        <f>+Empresa_Centro[[#This Row],[Codigo Centro Gestion]]&amp;" - "&amp;Empresa_Centro[[#This Row],[Nombre Centro Gestion]]</f>
        <v>10207103 - Edificio Fuenzalida Urrejola 125-Operaciones</v>
      </c>
    </row>
    <row r="1448" spans="1:6" x14ac:dyDescent="0.25">
      <c r="A1448" s="43">
        <v>99</v>
      </c>
      <c r="B1448" t="s">
        <v>450</v>
      </c>
      <c r="C1448" s="43" t="s">
        <v>451</v>
      </c>
      <c r="D1448" s="43">
        <v>10207104</v>
      </c>
      <c r="E1448" t="s">
        <v>928</v>
      </c>
      <c r="F1448" s="47" t="str">
        <f>+Empresa_Centro[[#This Row],[Codigo Centro Gestion]]&amp;" - "&amp;Empresa_Centro[[#This Row],[Nombre Centro Gestion]]</f>
        <v>10207104 - Edificio Fuenzalida Urrejola 125-Ventas</v>
      </c>
    </row>
    <row r="1449" spans="1:6" x14ac:dyDescent="0.25">
      <c r="A1449" s="43">
        <v>99</v>
      </c>
      <c r="B1449" t="s">
        <v>450</v>
      </c>
      <c r="C1449" s="43" t="s">
        <v>451</v>
      </c>
      <c r="D1449" s="43">
        <v>10207105</v>
      </c>
      <c r="E1449" t="s">
        <v>929</v>
      </c>
      <c r="F1449" s="47" t="str">
        <f>+Empresa_Centro[[#This Row],[Codigo Centro Gestion]]&amp;" - "&amp;Empresa_Centro[[#This Row],[Nombre Centro Gestion]]</f>
        <v>10207105 - Edificio Fuenzalida Urrejola 125-Clientes</v>
      </c>
    </row>
    <row r="1450" spans="1:6" x14ac:dyDescent="0.25">
      <c r="A1450" s="43">
        <v>99</v>
      </c>
      <c r="B1450" t="s">
        <v>450</v>
      </c>
      <c r="C1450" s="43" t="s">
        <v>451</v>
      </c>
      <c r="D1450" s="43">
        <v>10207204</v>
      </c>
      <c r="E1450" t="s">
        <v>930</v>
      </c>
      <c r="F1450" s="47" t="str">
        <f>+Empresa_Centro[[#This Row],[Codigo Centro Gestion]]&amp;" - "&amp;Empresa_Centro[[#This Row],[Nombre Centro Gestion]]</f>
        <v>10207204 - Edificio Fuenzalida Urrejola 125-Proyecto</v>
      </c>
    </row>
    <row r="1451" spans="1:6" x14ac:dyDescent="0.25">
      <c r="A1451" s="43">
        <v>99</v>
      </c>
      <c r="B1451" t="s">
        <v>450</v>
      </c>
      <c r="C1451" s="43" t="s">
        <v>451</v>
      </c>
      <c r="D1451" s="43">
        <v>10207301</v>
      </c>
      <c r="E1451" t="s">
        <v>931</v>
      </c>
      <c r="F1451" s="47" t="str">
        <f>+Empresa_Centro[[#This Row],[Codigo Centro Gestion]]&amp;" - "&amp;Empresa_Centro[[#This Row],[Nombre Centro Gestion]]</f>
        <v>10207301 - Edificio Fuenzalida Urrejola 125-GAF</v>
      </c>
    </row>
    <row r="1452" spans="1:6" x14ac:dyDescent="0.25">
      <c r="A1452" s="43">
        <v>99</v>
      </c>
      <c r="B1452" t="s">
        <v>450</v>
      </c>
      <c r="C1452" s="43" t="s">
        <v>451</v>
      </c>
      <c r="D1452" s="43">
        <v>10207505</v>
      </c>
      <c r="E1452" t="s">
        <v>932</v>
      </c>
      <c r="F1452" s="47" t="str">
        <f>+Empresa_Centro[[#This Row],[Codigo Centro Gestion]]&amp;" - "&amp;Empresa_Centro[[#This Row],[Nombre Centro Gestion]]</f>
        <v>10207505 - Edificio Fuenzalida Urrejola 125-PV Inmob.</v>
      </c>
    </row>
    <row r="1453" spans="1:6" x14ac:dyDescent="0.25">
      <c r="A1453" s="43">
        <v>99</v>
      </c>
      <c r="B1453" t="s">
        <v>450</v>
      </c>
      <c r="C1453" s="43" t="s">
        <v>451</v>
      </c>
      <c r="D1453" s="43">
        <v>10207506</v>
      </c>
      <c r="E1453" t="s">
        <v>933</v>
      </c>
      <c r="F1453" s="47" t="str">
        <f>+Empresa_Centro[[#This Row],[Codigo Centro Gestion]]&amp;" - "&amp;Empresa_Centro[[#This Row],[Nombre Centro Gestion]]</f>
        <v>10207506 - Edificio Fuenzalida Urrejola 125-Depto.Técnico</v>
      </c>
    </row>
    <row r="1454" spans="1:6" x14ac:dyDescent="0.25">
      <c r="A1454" s="43">
        <v>99</v>
      </c>
      <c r="B1454" t="s">
        <v>450</v>
      </c>
      <c r="C1454" s="43" t="s">
        <v>451</v>
      </c>
      <c r="D1454" s="43">
        <v>10210000</v>
      </c>
      <c r="E1454" t="s">
        <v>943</v>
      </c>
      <c r="F1454" s="47" t="str">
        <f>+Empresa_Centro[[#This Row],[Codigo Centro Gestion]]&amp;" - "&amp;Empresa_Centro[[#This Row],[Nombre Centro Gestion]]</f>
        <v>10210000 - Edificio Fernandez Albano 192</v>
      </c>
    </row>
    <row r="1455" spans="1:6" x14ac:dyDescent="0.25">
      <c r="A1455" s="43">
        <v>99</v>
      </c>
      <c r="B1455" t="s">
        <v>450</v>
      </c>
      <c r="C1455" s="43" t="s">
        <v>451</v>
      </c>
      <c r="D1455" s="43">
        <v>10210102</v>
      </c>
      <c r="E1455" t="s">
        <v>944</v>
      </c>
      <c r="F1455" s="47" t="str">
        <f>+Empresa_Centro[[#This Row],[Codigo Centro Gestion]]&amp;" - "&amp;Empresa_Centro[[#This Row],[Nombre Centro Gestion]]</f>
        <v>10210102 - Edificio Fernandez Albano 192-Marketing</v>
      </c>
    </row>
    <row r="1456" spans="1:6" x14ac:dyDescent="0.25">
      <c r="A1456" s="43">
        <v>99</v>
      </c>
      <c r="B1456" t="s">
        <v>450</v>
      </c>
      <c r="C1456" s="43" t="s">
        <v>451</v>
      </c>
      <c r="D1456" s="43">
        <v>10210103</v>
      </c>
      <c r="E1456" t="s">
        <v>945</v>
      </c>
      <c r="F1456" s="47" t="str">
        <f>+Empresa_Centro[[#This Row],[Codigo Centro Gestion]]&amp;" - "&amp;Empresa_Centro[[#This Row],[Nombre Centro Gestion]]</f>
        <v>10210103 - Edificio Fernandez Albano 192-Operaciones</v>
      </c>
    </row>
    <row r="1457" spans="1:6" x14ac:dyDescent="0.25">
      <c r="A1457" s="43">
        <v>99</v>
      </c>
      <c r="B1457" t="s">
        <v>450</v>
      </c>
      <c r="C1457" s="43" t="s">
        <v>451</v>
      </c>
      <c r="D1457" s="43">
        <v>10210104</v>
      </c>
      <c r="E1457" t="s">
        <v>946</v>
      </c>
      <c r="F1457" s="47" t="str">
        <f>+Empresa_Centro[[#This Row],[Codigo Centro Gestion]]&amp;" - "&amp;Empresa_Centro[[#This Row],[Nombre Centro Gestion]]</f>
        <v>10210104 - Edificio Fernandez Albano 192-Ventas</v>
      </c>
    </row>
    <row r="1458" spans="1:6" x14ac:dyDescent="0.25">
      <c r="A1458" s="43">
        <v>99</v>
      </c>
      <c r="B1458" t="s">
        <v>450</v>
      </c>
      <c r="C1458" s="43" t="s">
        <v>451</v>
      </c>
      <c r="D1458" s="43">
        <v>10210105</v>
      </c>
      <c r="E1458" t="s">
        <v>947</v>
      </c>
      <c r="F1458" s="47" t="str">
        <f>+Empresa_Centro[[#This Row],[Codigo Centro Gestion]]&amp;" - "&amp;Empresa_Centro[[#This Row],[Nombre Centro Gestion]]</f>
        <v>10210105 - Edificio Fernandez Albano 192-Clientes</v>
      </c>
    </row>
    <row r="1459" spans="1:6" x14ac:dyDescent="0.25">
      <c r="A1459" s="43">
        <v>99</v>
      </c>
      <c r="B1459" t="s">
        <v>450</v>
      </c>
      <c r="C1459" s="43" t="s">
        <v>451</v>
      </c>
      <c r="D1459" s="43">
        <v>10210204</v>
      </c>
      <c r="E1459" t="s">
        <v>948</v>
      </c>
      <c r="F1459" s="47" t="str">
        <f>+Empresa_Centro[[#This Row],[Codigo Centro Gestion]]&amp;" - "&amp;Empresa_Centro[[#This Row],[Nombre Centro Gestion]]</f>
        <v>10210204 - Edificio Fernandez Albano 192-Proyecto</v>
      </c>
    </row>
    <row r="1460" spans="1:6" x14ac:dyDescent="0.25">
      <c r="A1460" s="43">
        <v>99</v>
      </c>
      <c r="B1460" t="s">
        <v>450</v>
      </c>
      <c r="C1460" s="43" t="s">
        <v>451</v>
      </c>
      <c r="D1460" s="43">
        <v>10210301</v>
      </c>
      <c r="E1460" t="s">
        <v>949</v>
      </c>
      <c r="F1460" s="47" t="str">
        <f>+Empresa_Centro[[#This Row],[Codigo Centro Gestion]]&amp;" - "&amp;Empresa_Centro[[#This Row],[Nombre Centro Gestion]]</f>
        <v>10210301 - Edificio Fernandez Albano 192-GAF</v>
      </c>
    </row>
    <row r="1461" spans="1:6" x14ac:dyDescent="0.25">
      <c r="A1461" s="43">
        <v>99</v>
      </c>
      <c r="B1461" t="s">
        <v>450</v>
      </c>
      <c r="C1461" s="43" t="s">
        <v>451</v>
      </c>
      <c r="D1461" s="43">
        <v>10210505</v>
      </c>
      <c r="E1461" t="s">
        <v>950</v>
      </c>
      <c r="F1461" s="47" t="str">
        <f>+Empresa_Centro[[#This Row],[Codigo Centro Gestion]]&amp;" - "&amp;Empresa_Centro[[#This Row],[Nombre Centro Gestion]]</f>
        <v>10210505 - Edificio Fernandez Albano 192-PV Inmob.</v>
      </c>
    </row>
    <row r="1462" spans="1:6" x14ac:dyDescent="0.25">
      <c r="A1462" s="43">
        <v>99</v>
      </c>
      <c r="B1462" t="s">
        <v>450</v>
      </c>
      <c r="C1462" s="43" t="s">
        <v>451</v>
      </c>
      <c r="D1462" s="43">
        <v>10210506</v>
      </c>
      <c r="E1462" t="s">
        <v>951</v>
      </c>
      <c r="F1462" s="47" t="str">
        <f>+Empresa_Centro[[#This Row],[Codigo Centro Gestion]]&amp;" - "&amp;Empresa_Centro[[#This Row],[Nombre Centro Gestion]]</f>
        <v>10210506 - Edificio Fernandez Albano 192-Depto.Técnico</v>
      </c>
    </row>
    <row r="1463" spans="1:6" x14ac:dyDescent="0.25">
      <c r="A1463" s="43">
        <v>99</v>
      </c>
      <c r="B1463" t="s">
        <v>450</v>
      </c>
      <c r="C1463" s="43" t="s">
        <v>451</v>
      </c>
      <c r="D1463" s="43">
        <v>10214000</v>
      </c>
      <c r="E1463" t="s">
        <v>979</v>
      </c>
      <c r="F1463" s="47" t="str">
        <f>+Empresa_Centro[[#This Row],[Codigo Centro Gestion]]&amp;" - "&amp;Empresa_Centro[[#This Row],[Nombre Centro Gestion]]</f>
        <v>10214000 - Edificio Recreo 250</v>
      </c>
    </row>
    <row r="1464" spans="1:6" x14ac:dyDescent="0.25">
      <c r="A1464" s="43">
        <v>99</v>
      </c>
      <c r="B1464" t="s">
        <v>450</v>
      </c>
      <c r="C1464" s="43" t="s">
        <v>451</v>
      </c>
      <c r="D1464" s="43">
        <v>10215000</v>
      </c>
      <c r="E1464" t="s">
        <v>988</v>
      </c>
      <c r="F1464" s="47" t="str">
        <f>+Empresa_Centro[[#This Row],[Codigo Centro Gestion]]&amp;" - "&amp;Empresa_Centro[[#This Row],[Nombre Centro Gestion]]</f>
        <v>10215000 - Alto Marañon Torre A</v>
      </c>
    </row>
    <row r="1465" spans="1:6" x14ac:dyDescent="0.25">
      <c r="A1465" s="43">
        <v>99</v>
      </c>
      <c r="B1465" t="s">
        <v>450</v>
      </c>
      <c r="C1465" s="43" t="s">
        <v>451</v>
      </c>
      <c r="D1465" s="43">
        <v>10216104</v>
      </c>
      <c r="E1465" t="s">
        <v>1000</v>
      </c>
      <c r="F1465" s="47" t="str">
        <f>+Empresa_Centro[[#This Row],[Codigo Centro Gestion]]&amp;" - "&amp;Empresa_Centro[[#This Row],[Nombre Centro Gestion]]</f>
        <v>10216104 - Edificio Parque Urbano-Ventas</v>
      </c>
    </row>
    <row r="1466" spans="1:6" x14ac:dyDescent="0.25">
      <c r="A1466" s="43">
        <v>99</v>
      </c>
      <c r="B1466" t="s">
        <v>450</v>
      </c>
      <c r="C1466" s="43" t="s">
        <v>451</v>
      </c>
      <c r="D1466" s="43">
        <v>10217000</v>
      </c>
      <c r="E1466" t="s">
        <v>1006</v>
      </c>
      <c r="F1466" s="47" t="str">
        <f>+Empresa_Centro[[#This Row],[Codigo Centro Gestion]]&amp;" - "&amp;Empresa_Centro[[#This Row],[Nombre Centro Gestion]]</f>
        <v>10217000 - Edificio Duble Almeyda 2621</v>
      </c>
    </row>
    <row r="1467" spans="1:6" x14ac:dyDescent="0.25">
      <c r="A1467" s="43">
        <v>99</v>
      </c>
      <c r="B1467" t="s">
        <v>450</v>
      </c>
      <c r="C1467" s="43" t="s">
        <v>451</v>
      </c>
      <c r="D1467" s="43">
        <v>10217102</v>
      </c>
      <c r="E1467" t="s">
        <v>1007</v>
      </c>
      <c r="F1467" s="47" t="str">
        <f>+Empresa_Centro[[#This Row],[Codigo Centro Gestion]]&amp;" - "&amp;Empresa_Centro[[#This Row],[Nombre Centro Gestion]]</f>
        <v>10217102 - Edificio Duble Almeyda 2621-Marketing</v>
      </c>
    </row>
    <row r="1468" spans="1:6" x14ac:dyDescent="0.25">
      <c r="A1468" s="43">
        <v>99</v>
      </c>
      <c r="B1468" t="s">
        <v>450</v>
      </c>
      <c r="C1468" s="43" t="s">
        <v>451</v>
      </c>
      <c r="D1468" s="43">
        <v>10217103</v>
      </c>
      <c r="E1468" t="s">
        <v>1008</v>
      </c>
      <c r="F1468" s="47" t="str">
        <f>+Empresa_Centro[[#This Row],[Codigo Centro Gestion]]&amp;" - "&amp;Empresa_Centro[[#This Row],[Nombre Centro Gestion]]</f>
        <v>10217103 - Edificio Duble Almeyda 2621-Operaciones</v>
      </c>
    </row>
    <row r="1469" spans="1:6" x14ac:dyDescent="0.25">
      <c r="A1469" s="43">
        <v>99</v>
      </c>
      <c r="B1469" t="s">
        <v>450</v>
      </c>
      <c r="C1469" s="43" t="s">
        <v>451</v>
      </c>
      <c r="D1469" s="43">
        <v>10217104</v>
      </c>
      <c r="E1469" t="s">
        <v>1009</v>
      </c>
      <c r="F1469" s="47" t="str">
        <f>+Empresa_Centro[[#This Row],[Codigo Centro Gestion]]&amp;" - "&amp;Empresa_Centro[[#This Row],[Nombre Centro Gestion]]</f>
        <v>10217104 - Edificio Duble Almeyda 2621-Ventas</v>
      </c>
    </row>
    <row r="1470" spans="1:6" x14ac:dyDescent="0.25">
      <c r="A1470" s="43">
        <v>99</v>
      </c>
      <c r="B1470" t="s">
        <v>450</v>
      </c>
      <c r="C1470" s="43" t="s">
        <v>451</v>
      </c>
      <c r="D1470" s="43">
        <v>10217105</v>
      </c>
      <c r="E1470" t="s">
        <v>1010</v>
      </c>
      <c r="F1470" s="47" t="str">
        <f>+Empresa_Centro[[#This Row],[Codigo Centro Gestion]]&amp;" - "&amp;Empresa_Centro[[#This Row],[Nombre Centro Gestion]]</f>
        <v>10217105 - Edificio Duble Almeyda 2621-Clientes</v>
      </c>
    </row>
    <row r="1471" spans="1:6" x14ac:dyDescent="0.25">
      <c r="A1471" s="43">
        <v>99</v>
      </c>
      <c r="B1471" t="s">
        <v>450</v>
      </c>
      <c r="C1471" s="43" t="s">
        <v>451</v>
      </c>
      <c r="D1471" s="43">
        <v>10217204</v>
      </c>
      <c r="E1471" t="s">
        <v>1011</v>
      </c>
      <c r="F1471" s="47" t="str">
        <f>+Empresa_Centro[[#This Row],[Codigo Centro Gestion]]&amp;" - "&amp;Empresa_Centro[[#This Row],[Nombre Centro Gestion]]</f>
        <v>10217204 - Edificio Duble Almeyda 2621-Proyecto</v>
      </c>
    </row>
    <row r="1472" spans="1:6" x14ac:dyDescent="0.25">
      <c r="A1472" s="43">
        <v>99</v>
      </c>
      <c r="B1472" t="s">
        <v>450</v>
      </c>
      <c r="C1472" s="43" t="s">
        <v>451</v>
      </c>
      <c r="D1472" s="43">
        <v>10217301</v>
      </c>
      <c r="E1472" t="s">
        <v>1012</v>
      </c>
      <c r="F1472" s="47" t="str">
        <f>+Empresa_Centro[[#This Row],[Codigo Centro Gestion]]&amp;" - "&amp;Empresa_Centro[[#This Row],[Nombre Centro Gestion]]</f>
        <v>10217301 - Edificio Duble Almeyda 2621-GAF</v>
      </c>
    </row>
    <row r="1473" spans="1:6" x14ac:dyDescent="0.25">
      <c r="A1473" s="43">
        <v>99</v>
      </c>
      <c r="B1473" t="s">
        <v>450</v>
      </c>
      <c r="C1473" s="43" t="s">
        <v>451</v>
      </c>
      <c r="D1473" s="43">
        <v>10217505</v>
      </c>
      <c r="E1473" t="s">
        <v>1013</v>
      </c>
      <c r="F1473" s="47" t="str">
        <f>+Empresa_Centro[[#This Row],[Codigo Centro Gestion]]&amp;" - "&amp;Empresa_Centro[[#This Row],[Nombre Centro Gestion]]</f>
        <v>10217505 - Edificio Duble Almeyda 2621-PV Inmob.</v>
      </c>
    </row>
    <row r="1474" spans="1:6" x14ac:dyDescent="0.25">
      <c r="A1474" s="43">
        <v>99</v>
      </c>
      <c r="B1474" t="s">
        <v>450</v>
      </c>
      <c r="C1474" s="43" t="s">
        <v>451</v>
      </c>
      <c r="D1474" s="43">
        <v>10217506</v>
      </c>
      <c r="E1474" t="s">
        <v>1014</v>
      </c>
      <c r="F1474" s="47" t="str">
        <f>+Empresa_Centro[[#This Row],[Codigo Centro Gestion]]&amp;" - "&amp;Empresa_Centro[[#This Row],[Nombre Centro Gestion]]</f>
        <v>10217506 - Edificio Duble Almeyda 2621-Depto.Técnico</v>
      </c>
    </row>
    <row r="1475" spans="1:6" x14ac:dyDescent="0.25">
      <c r="A1475" s="43">
        <v>99</v>
      </c>
      <c r="B1475" t="s">
        <v>450</v>
      </c>
      <c r="C1475" s="43" t="s">
        <v>451</v>
      </c>
      <c r="D1475" s="43">
        <v>10218000</v>
      </c>
      <c r="E1475" t="s">
        <v>1015</v>
      </c>
      <c r="F1475" s="47" t="str">
        <f>+Empresa_Centro[[#This Row],[Codigo Centro Gestion]]&amp;" - "&amp;Empresa_Centro[[#This Row],[Nombre Centro Gestion]]</f>
        <v>10218000 - Edificio Jose Domingo Cañas 2640</v>
      </c>
    </row>
    <row r="1476" spans="1:6" x14ac:dyDescent="0.25">
      <c r="A1476" s="43">
        <v>99</v>
      </c>
      <c r="B1476" t="s">
        <v>450</v>
      </c>
      <c r="C1476" s="43" t="s">
        <v>451</v>
      </c>
      <c r="D1476" s="43">
        <v>10218102</v>
      </c>
      <c r="E1476" t="s">
        <v>1016</v>
      </c>
      <c r="F1476" s="47" t="str">
        <f>+Empresa_Centro[[#This Row],[Codigo Centro Gestion]]&amp;" - "&amp;Empresa_Centro[[#This Row],[Nombre Centro Gestion]]</f>
        <v>10218102 - Edificio Jose Domingo Cañas 2640-Marketing</v>
      </c>
    </row>
    <row r="1477" spans="1:6" x14ac:dyDescent="0.25">
      <c r="A1477" s="43">
        <v>99</v>
      </c>
      <c r="B1477" t="s">
        <v>450</v>
      </c>
      <c r="C1477" s="43" t="s">
        <v>451</v>
      </c>
      <c r="D1477" s="43">
        <v>10218103</v>
      </c>
      <c r="E1477" t="s">
        <v>1017</v>
      </c>
      <c r="F1477" s="47" t="str">
        <f>+Empresa_Centro[[#This Row],[Codigo Centro Gestion]]&amp;" - "&amp;Empresa_Centro[[#This Row],[Nombre Centro Gestion]]</f>
        <v>10218103 - Edificio Jose Domingo Cañas 2640-Operaciones</v>
      </c>
    </row>
    <row r="1478" spans="1:6" x14ac:dyDescent="0.25">
      <c r="A1478" s="43">
        <v>99</v>
      </c>
      <c r="B1478" t="s">
        <v>450</v>
      </c>
      <c r="C1478" s="43" t="s">
        <v>451</v>
      </c>
      <c r="D1478" s="43">
        <v>10218104</v>
      </c>
      <c r="E1478" t="s">
        <v>1018</v>
      </c>
      <c r="F1478" s="47" t="str">
        <f>+Empresa_Centro[[#This Row],[Codigo Centro Gestion]]&amp;" - "&amp;Empresa_Centro[[#This Row],[Nombre Centro Gestion]]</f>
        <v>10218104 - Edificio Jose Domingo Cañas 2640-Ventas</v>
      </c>
    </row>
    <row r="1479" spans="1:6" x14ac:dyDescent="0.25">
      <c r="A1479" s="43">
        <v>99</v>
      </c>
      <c r="B1479" t="s">
        <v>450</v>
      </c>
      <c r="C1479" s="43" t="s">
        <v>451</v>
      </c>
      <c r="D1479" s="43">
        <v>10218105</v>
      </c>
      <c r="E1479" t="s">
        <v>1019</v>
      </c>
      <c r="F1479" s="47" t="str">
        <f>+Empresa_Centro[[#This Row],[Codigo Centro Gestion]]&amp;" - "&amp;Empresa_Centro[[#This Row],[Nombre Centro Gestion]]</f>
        <v>10218105 - Edificio Jose Domingo Cañas 2640-Clientes</v>
      </c>
    </row>
    <row r="1480" spans="1:6" x14ac:dyDescent="0.25">
      <c r="A1480" s="43">
        <v>99</v>
      </c>
      <c r="B1480" t="s">
        <v>450</v>
      </c>
      <c r="C1480" s="43" t="s">
        <v>451</v>
      </c>
      <c r="D1480" s="43">
        <v>10218204</v>
      </c>
      <c r="E1480" t="s">
        <v>1020</v>
      </c>
      <c r="F1480" s="47" t="str">
        <f>+Empresa_Centro[[#This Row],[Codigo Centro Gestion]]&amp;" - "&amp;Empresa_Centro[[#This Row],[Nombre Centro Gestion]]</f>
        <v>10218204 - Edificio Jose Domingo Cañas 2640-Proyecto</v>
      </c>
    </row>
    <row r="1481" spans="1:6" x14ac:dyDescent="0.25">
      <c r="A1481" s="43">
        <v>99</v>
      </c>
      <c r="B1481" t="s">
        <v>450</v>
      </c>
      <c r="C1481" s="43" t="s">
        <v>451</v>
      </c>
      <c r="D1481" s="43">
        <v>10218301</v>
      </c>
      <c r="E1481" t="s">
        <v>1021</v>
      </c>
      <c r="F1481" s="47" t="str">
        <f>+Empresa_Centro[[#This Row],[Codigo Centro Gestion]]&amp;" - "&amp;Empresa_Centro[[#This Row],[Nombre Centro Gestion]]</f>
        <v>10218301 - Edificio Jose Domingo Cañas 2640-GAF</v>
      </c>
    </row>
    <row r="1482" spans="1:6" x14ac:dyDescent="0.25">
      <c r="A1482" s="43">
        <v>99</v>
      </c>
      <c r="B1482" t="s">
        <v>450</v>
      </c>
      <c r="C1482" s="43" t="s">
        <v>451</v>
      </c>
      <c r="D1482" s="43">
        <v>10218505</v>
      </c>
      <c r="E1482" t="s">
        <v>1022</v>
      </c>
      <c r="F1482" s="47" t="str">
        <f>+Empresa_Centro[[#This Row],[Codigo Centro Gestion]]&amp;" - "&amp;Empresa_Centro[[#This Row],[Nombre Centro Gestion]]</f>
        <v>10218505 - Edificio Jose Domingo Cañas 2640-PV Inmob.</v>
      </c>
    </row>
    <row r="1483" spans="1:6" x14ac:dyDescent="0.25">
      <c r="A1483" s="43">
        <v>99</v>
      </c>
      <c r="B1483" t="s">
        <v>450</v>
      </c>
      <c r="C1483" s="43" t="s">
        <v>451</v>
      </c>
      <c r="D1483" s="43">
        <v>10218506</v>
      </c>
      <c r="E1483" t="s">
        <v>1023</v>
      </c>
      <c r="F1483" s="47" t="str">
        <f>+Empresa_Centro[[#This Row],[Codigo Centro Gestion]]&amp;" - "&amp;Empresa_Centro[[#This Row],[Nombre Centro Gestion]]</f>
        <v>10218506 - Edificio Jose Domingo Cañas 2640-Depto.Técnico</v>
      </c>
    </row>
    <row r="1484" spans="1:6" x14ac:dyDescent="0.25">
      <c r="A1484" s="43">
        <v>99</v>
      </c>
      <c r="B1484" t="s">
        <v>450</v>
      </c>
      <c r="C1484" s="43" t="s">
        <v>451</v>
      </c>
      <c r="D1484" s="43">
        <v>10219000</v>
      </c>
      <c r="E1484" t="s">
        <v>462</v>
      </c>
      <c r="F1484" s="47" t="str">
        <f>+Empresa_Centro[[#This Row],[Codigo Centro Gestion]]&amp;" - "&amp;Empresa_Centro[[#This Row],[Nombre Centro Gestion]]</f>
        <v>10219000 - Edificio Teresa Vial</v>
      </c>
    </row>
    <row r="1485" spans="1:6" x14ac:dyDescent="0.25">
      <c r="A1485" s="43">
        <v>99</v>
      </c>
      <c r="B1485" t="s">
        <v>450</v>
      </c>
      <c r="C1485" s="43" t="s">
        <v>451</v>
      </c>
      <c r="D1485" s="43">
        <v>10219102</v>
      </c>
      <c r="E1485" t="s">
        <v>1024</v>
      </c>
      <c r="F1485" s="47" t="str">
        <f>+Empresa_Centro[[#This Row],[Codigo Centro Gestion]]&amp;" - "&amp;Empresa_Centro[[#This Row],[Nombre Centro Gestion]]</f>
        <v>10219102 - Edificio Teresa Vial-Marketing</v>
      </c>
    </row>
    <row r="1486" spans="1:6" x14ac:dyDescent="0.25">
      <c r="A1486" s="43">
        <v>99</v>
      </c>
      <c r="B1486" t="s">
        <v>450</v>
      </c>
      <c r="C1486" s="43" t="s">
        <v>451</v>
      </c>
      <c r="D1486" s="43">
        <v>10219103</v>
      </c>
      <c r="E1486" t="s">
        <v>1025</v>
      </c>
      <c r="F1486" s="47" t="str">
        <f>+Empresa_Centro[[#This Row],[Codigo Centro Gestion]]&amp;" - "&amp;Empresa_Centro[[#This Row],[Nombre Centro Gestion]]</f>
        <v>10219103 - Edificio Teresa Vial-Operaciones</v>
      </c>
    </row>
    <row r="1487" spans="1:6" x14ac:dyDescent="0.25">
      <c r="A1487" s="43">
        <v>99</v>
      </c>
      <c r="B1487" t="s">
        <v>450</v>
      </c>
      <c r="C1487" s="43" t="s">
        <v>451</v>
      </c>
      <c r="D1487" s="43">
        <v>10219104</v>
      </c>
      <c r="E1487" t="s">
        <v>1026</v>
      </c>
      <c r="F1487" s="47" t="str">
        <f>+Empresa_Centro[[#This Row],[Codigo Centro Gestion]]&amp;" - "&amp;Empresa_Centro[[#This Row],[Nombre Centro Gestion]]</f>
        <v>10219104 - Edificio Teresa Vial-Ventas</v>
      </c>
    </row>
    <row r="1488" spans="1:6" x14ac:dyDescent="0.25">
      <c r="A1488" s="43">
        <v>99</v>
      </c>
      <c r="B1488" t="s">
        <v>450</v>
      </c>
      <c r="C1488" s="43" t="s">
        <v>451</v>
      </c>
      <c r="D1488" s="43">
        <v>10219105</v>
      </c>
      <c r="E1488" t="s">
        <v>1027</v>
      </c>
      <c r="F1488" s="47" t="str">
        <f>+Empresa_Centro[[#This Row],[Codigo Centro Gestion]]&amp;" - "&amp;Empresa_Centro[[#This Row],[Nombre Centro Gestion]]</f>
        <v>10219105 - Edificio Teresa Vial-Clientes</v>
      </c>
    </row>
    <row r="1489" spans="1:6" x14ac:dyDescent="0.25">
      <c r="A1489" s="43">
        <v>99</v>
      </c>
      <c r="B1489" t="s">
        <v>450</v>
      </c>
      <c r="C1489" s="43" t="s">
        <v>451</v>
      </c>
      <c r="D1489" s="43">
        <v>10219204</v>
      </c>
      <c r="E1489" t="s">
        <v>1028</v>
      </c>
      <c r="F1489" s="47" t="str">
        <f>+Empresa_Centro[[#This Row],[Codigo Centro Gestion]]&amp;" - "&amp;Empresa_Centro[[#This Row],[Nombre Centro Gestion]]</f>
        <v>10219204 - Edificio Teresa Vial-Proyecto</v>
      </c>
    </row>
    <row r="1490" spans="1:6" x14ac:dyDescent="0.25">
      <c r="A1490" s="43">
        <v>99</v>
      </c>
      <c r="B1490" t="s">
        <v>450</v>
      </c>
      <c r="C1490" s="43" t="s">
        <v>451</v>
      </c>
      <c r="D1490" s="43">
        <v>10219301</v>
      </c>
      <c r="E1490" t="s">
        <v>1029</v>
      </c>
      <c r="F1490" s="47" t="str">
        <f>+Empresa_Centro[[#This Row],[Codigo Centro Gestion]]&amp;" - "&amp;Empresa_Centro[[#This Row],[Nombre Centro Gestion]]</f>
        <v>10219301 - Edificio Teresa Vial-GAF</v>
      </c>
    </row>
    <row r="1491" spans="1:6" x14ac:dyDescent="0.25">
      <c r="A1491" s="43">
        <v>99</v>
      </c>
      <c r="B1491" t="s">
        <v>450</v>
      </c>
      <c r="C1491" s="43" t="s">
        <v>451</v>
      </c>
      <c r="D1491" s="43">
        <v>10219505</v>
      </c>
      <c r="E1491" t="s">
        <v>1030</v>
      </c>
      <c r="F1491" s="47" t="str">
        <f>+Empresa_Centro[[#This Row],[Codigo Centro Gestion]]&amp;" - "&amp;Empresa_Centro[[#This Row],[Nombre Centro Gestion]]</f>
        <v>10219505 - Edificio Teresa Vial-PV Inmob.</v>
      </c>
    </row>
    <row r="1492" spans="1:6" x14ac:dyDescent="0.25">
      <c r="A1492" s="43">
        <v>99</v>
      </c>
      <c r="B1492" t="s">
        <v>450</v>
      </c>
      <c r="C1492" s="43" t="s">
        <v>451</v>
      </c>
      <c r="D1492" s="43">
        <v>10219506</v>
      </c>
      <c r="E1492" t="s">
        <v>1031</v>
      </c>
      <c r="F1492" s="47" t="str">
        <f>+Empresa_Centro[[#This Row],[Codigo Centro Gestion]]&amp;" - "&amp;Empresa_Centro[[#This Row],[Nombre Centro Gestion]]</f>
        <v>10219506 - Edificio Teresa Vial-Depto.Técnico</v>
      </c>
    </row>
    <row r="1493" spans="1:6" x14ac:dyDescent="0.25">
      <c r="A1493" s="43">
        <v>99</v>
      </c>
      <c r="B1493" t="s">
        <v>450</v>
      </c>
      <c r="C1493" s="43" t="s">
        <v>451</v>
      </c>
      <c r="D1493" s="43">
        <v>10220104</v>
      </c>
      <c r="E1493" t="s">
        <v>1035</v>
      </c>
      <c r="F1493" s="47" t="str">
        <f>+Empresa_Centro[[#This Row],[Codigo Centro Gestion]]&amp;" - "&amp;Empresa_Centro[[#This Row],[Nombre Centro Gestion]]</f>
        <v>10220104 - Edificio Uno Norte-Ventas</v>
      </c>
    </row>
    <row r="1494" spans="1:6" x14ac:dyDescent="0.25">
      <c r="A1494" s="43">
        <v>99</v>
      </c>
      <c r="B1494" t="s">
        <v>450</v>
      </c>
      <c r="C1494" s="43" t="s">
        <v>451</v>
      </c>
      <c r="D1494" s="43">
        <v>10228000</v>
      </c>
      <c r="E1494" t="s">
        <v>463</v>
      </c>
      <c r="F1494" s="47" t="str">
        <f>+Empresa_Centro[[#This Row],[Codigo Centro Gestion]]&amp;" - "&amp;Empresa_Centro[[#This Row],[Nombre Centro Gestion]]</f>
        <v>10228000 - Edificio Briones Luco</v>
      </c>
    </row>
    <row r="1495" spans="1:6" x14ac:dyDescent="0.25">
      <c r="A1495" s="43">
        <v>99</v>
      </c>
      <c r="B1495" t="s">
        <v>450</v>
      </c>
      <c r="C1495" s="43" t="s">
        <v>451</v>
      </c>
      <c r="D1495" s="43">
        <v>10228102</v>
      </c>
      <c r="E1495" t="s">
        <v>1068</v>
      </c>
      <c r="F1495" s="47" t="str">
        <f>+Empresa_Centro[[#This Row],[Codigo Centro Gestion]]&amp;" - "&amp;Empresa_Centro[[#This Row],[Nombre Centro Gestion]]</f>
        <v>10228102 - Edificio Briones Luco-Marketing</v>
      </c>
    </row>
    <row r="1496" spans="1:6" x14ac:dyDescent="0.25">
      <c r="A1496" s="43">
        <v>99</v>
      </c>
      <c r="B1496" t="s">
        <v>450</v>
      </c>
      <c r="C1496" s="43" t="s">
        <v>451</v>
      </c>
      <c r="D1496" s="43">
        <v>10228103</v>
      </c>
      <c r="E1496" t="s">
        <v>1069</v>
      </c>
      <c r="F1496" s="47" t="str">
        <f>+Empresa_Centro[[#This Row],[Codigo Centro Gestion]]&amp;" - "&amp;Empresa_Centro[[#This Row],[Nombre Centro Gestion]]</f>
        <v>10228103 - Edificio Briones Luco-Operaciones</v>
      </c>
    </row>
    <row r="1497" spans="1:6" x14ac:dyDescent="0.25">
      <c r="A1497" s="43">
        <v>99</v>
      </c>
      <c r="B1497" t="s">
        <v>450</v>
      </c>
      <c r="C1497" s="43" t="s">
        <v>451</v>
      </c>
      <c r="D1497" s="43">
        <v>10228104</v>
      </c>
      <c r="E1497" t="s">
        <v>1070</v>
      </c>
      <c r="F1497" s="47" t="str">
        <f>+Empresa_Centro[[#This Row],[Codigo Centro Gestion]]&amp;" - "&amp;Empresa_Centro[[#This Row],[Nombre Centro Gestion]]</f>
        <v>10228104 - Edificio Briones Luco-Ventas</v>
      </c>
    </row>
    <row r="1498" spans="1:6" x14ac:dyDescent="0.25">
      <c r="A1498" s="43">
        <v>99</v>
      </c>
      <c r="B1498" t="s">
        <v>450</v>
      </c>
      <c r="C1498" s="43" t="s">
        <v>451</v>
      </c>
      <c r="D1498" s="43">
        <v>10228105</v>
      </c>
      <c r="E1498" t="s">
        <v>1071</v>
      </c>
      <c r="F1498" s="47" t="str">
        <f>+Empresa_Centro[[#This Row],[Codigo Centro Gestion]]&amp;" - "&amp;Empresa_Centro[[#This Row],[Nombre Centro Gestion]]</f>
        <v>10228105 - Edificio Briones Luco-Clientes</v>
      </c>
    </row>
    <row r="1499" spans="1:6" x14ac:dyDescent="0.25">
      <c r="A1499" s="43">
        <v>99</v>
      </c>
      <c r="B1499" t="s">
        <v>450</v>
      </c>
      <c r="C1499" s="43" t="s">
        <v>451</v>
      </c>
      <c r="D1499" s="43">
        <v>10228204</v>
      </c>
      <c r="E1499" t="s">
        <v>1072</v>
      </c>
      <c r="F1499" s="47" t="str">
        <f>+Empresa_Centro[[#This Row],[Codigo Centro Gestion]]&amp;" - "&amp;Empresa_Centro[[#This Row],[Nombre Centro Gestion]]</f>
        <v>10228204 - Edificio Briones Luco-Proyecto</v>
      </c>
    </row>
    <row r="1500" spans="1:6" x14ac:dyDescent="0.25">
      <c r="A1500" s="43">
        <v>99</v>
      </c>
      <c r="B1500" t="s">
        <v>450</v>
      </c>
      <c r="C1500" s="43" t="s">
        <v>451</v>
      </c>
      <c r="D1500" s="43">
        <v>10228301</v>
      </c>
      <c r="E1500" t="s">
        <v>1073</v>
      </c>
      <c r="F1500" s="47" t="str">
        <f>+Empresa_Centro[[#This Row],[Codigo Centro Gestion]]&amp;" - "&amp;Empresa_Centro[[#This Row],[Nombre Centro Gestion]]</f>
        <v>10228301 - Edificio Briones Luco-GAF</v>
      </c>
    </row>
    <row r="1501" spans="1:6" x14ac:dyDescent="0.25">
      <c r="A1501" s="43">
        <v>99</v>
      </c>
      <c r="B1501" t="s">
        <v>450</v>
      </c>
      <c r="C1501" s="43" t="s">
        <v>451</v>
      </c>
      <c r="D1501" s="43">
        <v>10228505</v>
      </c>
      <c r="E1501" t="s">
        <v>1074</v>
      </c>
      <c r="F1501" s="47" t="str">
        <f>+Empresa_Centro[[#This Row],[Codigo Centro Gestion]]&amp;" - "&amp;Empresa_Centro[[#This Row],[Nombre Centro Gestion]]</f>
        <v>10228505 - Edificio Briones Luco-PV Inmob.</v>
      </c>
    </row>
    <row r="1502" spans="1:6" x14ac:dyDescent="0.25">
      <c r="A1502" s="43">
        <v>99</v>
      </c>
      <c r="B1502" t="s">
        <v>450</v>
      </c>
      <c r="C1502" s="43" t="s">
        <v>451</v>
      </c>
      <c r="D1502" s="43">
        <v>10228506</v>
      </c>
      <c r="E1502" t="s">
        <v>1075</v>
      </c>
      <c r="F1502" s="47" t="str">
        <f>+Empresa_Centro[[#This Row],[Codigo Centro Gestion]]&amp;" - "&amp;Empresa_Centro[[#This Row],[Nombre Centro Gestion]]</f>
        <v>10228506 - Edificio Briones Luco-Depto.Técnico</v>
      </c>
    </row>
    <row r="1503" spans="1:6" x14ac:dyDescent="0.25">
      <c r="A1503" s="43">
        <v>99</v>
      </c>
      <c r="B1503" t="s">
        <v>450</v>
      </c>
      <c r="C1503" s="43" t="s">
        <v>451</v>
      </c>
      <c r="D1503" s="43">
        <v>10229000</v>
      </c>
      <c r="E1503" t="s">
        <v>1076</v>
      </c>
      <c r="F1503" s="47" t="str">
        <f>+Empresa_Centro[[#This Row],[Codigo Centro Gestion]]&amp;" - "&amp;Empresa_Centro[[#This Row],[Nombre Centro Gestion]]</f>
        <v>10229000 - Vista Las Palmas</v>
      </c>
    </row>
    <row r="1504" spans="1:6" x14ac:dyDescent="0.25">
      <c r="A1504" s="43">
        <v>99</v>
      </c>
      <c r="B1504" t="s">
        <v>450</v>
      </c>
      <c r="C1504" s="43" t="s">
        <v>451</v>
      </c>
      <c r="D1504" s="43">
        <v>10229102</v>
      </c>
      <c r="E1504" t="s">
        <v>1077</v>
      </c>
      <c r="F1504" s="47" t="str">
        <f>+Empresa_Centro[[#This Row],[Codigo Centro Gestion]]&amp;" - "&amp;Empresa_Centro[[#This Row],[Nombre Centro Gestion]]</f>
        <v>10229102 - Vista Las Palmas-Marketing</v>
      </c>
    </row>
    <row r="1505" spans="1:6" x14ac:dyDescent="0.25">
      <c r="A1505" s="43">
        <v>99</v>
      </c>
      <c r="B1505" t="s">
        <v>450</v>
      </c>
      <c r="C1505" s="43" t="s">
        <v>451</v>
      </c>
      <c r="D1505" s="43">
        <v>10229103</v>
      </c>
      <c r="E1505" t="s">
        <v>1078</v>
      </c>
      <c r="F1505" s="47" t="str">
        <f>+Empresa_Centro[[#This Row],[Codigo Centro Gestion]]&amp;" - "&amp;Empresa_Centro[[#This Row],[Nombre Centro Gestion]]</f>
        <v>10229103 - Vista Las Palmas-Operaciones</v>
      </c>
    </row>
    <row r="1506" spans="1:6" x14ac:dyDescent="0.25">
      <c r="A1506" s="43">
        <v>99</v>
      </c>
      <c r="B1506" t="s">
        <v>450</v>
      </c>
      <c r="C1506" s="43" t="s">
        <v>451</v>
      </c>
      <c r="D1506" s="43">
        <v>10229104</v>
      </c>
      <c r="E1506" t="s">
        <v>1079</v>
      </c>
      <c r="F1506" s="47" t="str">
        <f>+Empresa_Centro[[#This Row],[Codigo Centro Gestion]]&amp;" - "&amp;Empresa_Centro[[#This Row],[Nombre Centro Gestion]]</f>
        <v>10229104 - Vista Las Palmas-Ventas</v>
      </c>
    </row>
    <row r="1507" spans="1:6" x14ac:dyDescent="0.25">
      <c r="A1507" s="43">
        <v>99</v>
      </c>
      <c r="B1507" t="s">
        <v>450</v>
      </c>
      <c r="C1507" s="43" t="s">
        <v>451</v>
      </c>
      <c r="D1507" s="43">
        <v>10229105</v>
      </c>
      <c r="E1507" t="s">
        <v>1080</v>
      </c>
      <c r="F1507" s="47" t="str">
        <f>+Empresa_Centro[[#This Row],[Codigo Centro Gestion]]&amp;" - "&amp;Empresa_Centro[[#This Row],[Nombre Centro Gestion]]</f>
        <v>10229105 - Vista Las Palmas-Clientes</v>
      </c>
    </row>
    <row r="1508" spans="1:6" x14ac:dyDescent="0.25">
      <c r="A1508" s="43">
        <v>99</v>
      </c>
      <c r="B1508" t="s">
        <v>450</v>
      </c>
      <c r="C1508" s="43" t="s">
        <v>451</v>
      </c>
      <c r="D1508" s="43">
        <v>10229204</v>
      </c>
      <c r="E1508" t="s">
        <v>1081</v>
      </c>
      <c r="F1508" s="47" t="str">
        <f>+Empresa_Centro[[#This Row],[Codigo Centro Gestion]]&amp;" - "&amp;Empresa_Centro[[#This Row],[Nombre Centro Gestion]]</f>
        <v>10229204 - Vista Las Palmas-Proyecto</v>
      </c>
    </row>
    <row r="1509" spans="1:6" x14ac:dyDescent="0.25">
      <c r="A1509" s="43">
        <v>99</v>
      </c>
      <c r="B1509" t="s">
        <v>450</v>
      </c>
      <c r="C1509" s="43" t="s">
        <v>451</v>
      </c>
      <c r="D1509" s="43">
        <v>10229301</v>
      </c>
      <c r="E1509" t="s">
        <v>1082</v>
      </c>
      <c r="F1509" s="47" t="str">
        <f>+Empresa_Centro[[#This Row],[Codigo Centro Gestion]]&amp;" - "&amp;Empresa_Centro[[#This Row],[Nombre Centro Gestion]]</f>
        <v>10229301 - Vista Las Palmas-GAF</v>
      </c>
    </row>
    <row r="1510" spans="1:6" x14ac:dyDescent="0.25">
      <c r="A1510" s="43">
        <v>99</v>
      </c>
      <c r="B1510" t="s">
        <v>450</v>
      </c>
      <c r="C1510" s="43" t="s">
        <v>451</v>
      </c>
      <c r="D1510" s="43">
        <v>10229505</v>
      </c>
      <c r="E1510" t="s">
        <v>1083</v>
      </c>
      <c r="F1510" s="47" t="str">
        <f>+Empresa_Centro[[#This Row],[Codigo Centro Gestion]]&amp;" - "&amp;Empresa_Centro[[#This Row],[Nombre Centro Gestion]]</f>
        <v>10229505 - Vista Las Palmas-PV Inmob.</v>
      </c>
    </row>
    <row r="1511" spans="1:6" x14ac:dyDescent="0.25">
      <c r="A1511" s="43">
        <v>99</v>
      </c>
      <c r="B1511" t="s">
        <v>450</v>
      </c>
      <c r="C1511" s="43" t="s">
        <v>451</v>
      </c>
      <c r="D1511" s="43">
        <v>10229506</v>
      </c>
      <c r="E1511" t="s">
        <v>1084</v>
      </c>
      <c r="F1511" s="47" t="str">
        <f>+Empresa_Centro[[#This Row],[Codigo Centro Gestion]]&amp;" - "&amp;Empresa_Centro[[#This Row],[Nombre Centro Gestion]]</f>
        <v>10229506 - Vista Las Palmas-Depto.Técnico</v>
      </c>
    </row>
    <row r="1512" spans="1:6" x14ac:dyDescent="0.25">
      <c r="A1512" s="43">
        <v>99</v>
      </c>
      <c r="B1512" t="s">
        <v>450</v>
      </c>
      <c r="C1512" s="43" t="s">
        <v>451</v>
      </c>
      <c r="D1512" s="43">
        <v>10230104</v>
      </c>
      <c r="E1512" t="s">
        <v>1088</v>
      </c>
      <c r="F1512" s="47" t="str">
        <f>+Empresa_Centro[[#This Row],[Codigo Centro Gestion]]&amp;" - "&amp;Empresa_Centro[[#This Row],[Nombre Centro Gestion]]</f>
        <v>10230104 - Condominio Manuel Jesus Rivera-Ventas</v>
      </c>
    </row>
    <row r="1513" spans="1:6" x14ac:dyDescent="0.25">
      <c r="A1513" s="43">
        <v>99</v>
      </c>
      <c r="B1513" t="s">
        <v>450</v>
      </c>
      <c r="C1513" s="43" t="s">
        <v>451</v>
      </c>
      <c r="D1513" s="43">
        <v>10231104</v>
      </c>
      <c r="E1513" t="s">
        <v>1096</v>
      </c>
      <c r="F1513" s="47" t="str">
        <f>+Empresa_Centro[[#This Row],[Codigo Centro Gestion]]&amp;" - "&amp;Empresa_Centro[[#This Row],[Nombre Centro Gestion]]</f>
        <v>10231104 - Edificio Guillermo Mann-Ventas</v>
      </c>
    </row>
    <row r="1514" spans="1:6" x14ac:dyDescent="0.25">
      <c r="A1514" s="43">
        <v>99</v>
      </c>
      <c r="B1514" t="s">
        <v>450</v>
      </c>
      <c r="C1514" s="43" t="s">
        <v>451</v>
      </c>
      <c r="D1514" s="43">
        <v>10232104</v>
      </c>
      <c r="E1514" t="s">
        <v>1104</v>
      </c>
      <c r="F1514" s="47" t="str">
        <f>+Empresa_Centro[[#This Row],[Codigo Centro Gestion]]&amp;" - "&amp;Empresa_Centro[[#This Row],[Nombre Centro Gestion]]</f>
        <v>10232104 - Edificio Coronel Souper-Ventas</v>
      </c>
    </row>
    <row r="1515" spans="1:6" x14ac:dyDescent="0.25">
      <c r="A1515" s="43">
        <v>99</v>
      </c>
      <c r="B1515" t="s">
        <v>450</v>
      </c>
      <c r="C1515" s="43" t="s">
        <v>451</v>
      </c>
      <c r="D1515" s="43">
        <v>10233000</v>
      </c>
      <c r="E1515" t="s">
        <v>1109</v>
      </c>
      <c r="F1515" s="47" t="str">
        <f>+Empresa_Centro[[#This Row],[Codigo Centro Gestion]]&amp;" - "&amp;Empresa_Centro[[#This Row],[Nombre Centro Gestion]]</f>
        <v>10233000 - Condominio Jorge Cáceres Etapa 1</v>
      </c>
    </row>
    <row r="1516" spans="1:6" x14ac:dyDescent="0.25">
      <c r="A1516" s="43">
        <v>99</v>
      </c>
      <c r="B1516" t="s">
        <v>450</v>
      </c>
      <c r="C1516" s="43" t="s">
        <v>451</v>
      </c>
      <c r="D1516" s="43">
        <v>10233102</v>
      </c>
      <c r="E1516" t="s">
        <v>1110</v>
      </c>
      <c r="F1516" s="47" t="str">
        <f>+Empresa_Centro[[#This Row],[Codigo Centro Gestion]]&amp;" - "&amp;Empresa_Centro[[#This Row],[Nombre Centro Gestion]]</f>
        <v>10233102 - Condominio Jorge Cáceres Etapa 1-Marketing</v>
      </c>
    </row>
    <row r="1517" spans="1:6" x14ac:dyDescent="0.25">
      <c r="A1517" s="43">
        <v>99</v>
      </c>
      <c r="B1517" t="s">
        <v>450</v>
      </c>
      <c r="C1517" s="43" t="s">
        <v>451</v>
      </c>
      <c r="D1517" s="43">
        <v>10233103</v>
      </c>
      <c r="E1517" t="s">
        <v>1111</v>
      </c>
      <c r="F1517" s="47" t="str">
        <f>+Empresa_Centro[[#This Row],[Codigo Centro Gestion]]&amp;" - "&amp;Empresa_Centro[[#This Row],[Nombre Centro Gestion]]</f>
        <v>10233103 - Condominio Jorge Cáceres Etapa 1-Operaciones</v>
      </c>
    </row>
    <row r="1518" spans="1:6" x14ac:dyDescent="0.25">
      <c r="A1518" s="43">
        <v>99</v>
      </c>
      <c r="B1518" t="s">
        <v>450</v>
      </c>
      <c r="C1518" s="43" t="s">
        <v>451</v>
      </c>
      <c r="D1518" s="43">
        <v>10233104</v>
      </c>
      <c r="E1518" t="s">
        <v>1112</v>
      </c>
      <c r="F1518" s="47" t="str">
        <f>+Empresa_Centro[[#This Row],[Codigo Centro Gestion]]&amp;" - "&amp;Empresa_Centro[[#This Row],[Nombre Centro Gestion]]</f>
        <v>10233104 - Condominio Jorge Cáceres Etapa 1-Ventas</v>
      </c>
    </row>
    <row r="1519" spans="1:6" x14ac:dyDescent="0.25">
      <c r="A1519" s="43">
        <v>99</v>
      </c>
      <c r="B1519" t="s">
        <v>450</v>
      </c>
      <c r="C1519" s="43" t="s">
        <v>451</v>
      </c>
      <c r="D1519" s="43">
        <v>10233105</v>
      </c>
      <c r="E1519" t="s">
        <v>1113</v>
      </c>
      <c r="F1519" s="47" t="str">
        <f>+Empresa_Centro[[#This Row],[Codigo Centro Gestion]]&amp;" - "&amp;Empresa_Centro[[#This Row],[Nombre Centro Gestion]]</f>
        <v>10233105 - Condominio Jorge Cáceres Etapa 1-Clientes</v>
      </c>
    </row>
    <row r="1520" spans="1:6" x14ac:dyDescent="0.25">
      <c r="A1520" s="43">
        <v>99</v>
      </c>
      <c r="B1520" t="s">
        <v>450</v>
      </c>
      <c r="C1520" s="43" t="s">
        <v>451</v>
      </c>
      <c r="D1520" s="43">
        <v>10233204</v>
      </c>
      <c r="E1520" t="s">
        <v>1114</v>
      </c>
      <c r="F1520" s="47" t="str">
        <f>+Empresa_Centro[[#This Row],[Codigo Centro Gestion]]&amp;" - "&amp;Empresa_Centro[[#This Row],[Nombre Centro Gestion]]</f>
        <v>10233204 - Condominio Jorge Cáceres Etapa 1-Proyecto</v>
      </c>
    </row>
    <row r="1521" spans="1:6" x14ac:dyDescent="0.25">
      <c r="A1521" s="43">
        <v>99</v>
      </c>
      <c r="B1521" t="s">
        <v>450</v>
      </c>
      <c r="C1521" s="43" t="s">
        <v>451</v>
      </c>
      <c r="D1521" s="43">
        <v>10233301</v>
      </c>
      <c r="E1521" t="s">
        <v>1115</v>
      </c>
      <c r="F1521" s="47" t="str">
        <f>+Empresa_Centro[[#This Row],[Codigo Centro Gestion]]&amp;" - "&amp;Empresa_Centro[[#This Row],[Nombre Centro Gestion]]</f>
        <v>10233301 - Condominio Jorge Cáceres Etapa 1-GAF</v>
      </c>
    </row>
    <row r="1522" spans="1:6" x14ac:dyDescent="0.25">
      <c r="A1522" s="43">
        <v>99</v>
      </c>
      <c r="B1522" t="s">
        <v>450</v>
      </c>
      <c r="C1522" s="43" t="s">
        <v>451</v>
      </c>
      <c r="D1522" s="43">
        <v>10233505</v>
      </c>
      <c r="E1522" t="s">
        <v>1116</v>
      </c>
      <c r="F1522" s="47" t="str">
        <f>+Empresa_Centro[[#This Row],[Codigo Centro Gestion]]&amp;" - "&amp;Empresa_Centro[[#This Row],[Nombre Centro Gestion]]</f>
        <v>10233505 - Condominio Jorge Cáceres Etapa 1-PV Inmob.</v>
      </c>
    </row>
    <row r="1523" spans="1:6" x14ac:dyDescent="0.25">
      <c r="A1523" s="43">
        <v>99</v>
      </c>
      <c r="B1523" t="s">
        <v>450</v>
      </c>
      <c r="C1523" s="43" t="s">
        <v>451</v>
      </c>
      <c r="D1523" s="43">
        <v>10233506</v>
      </c>
      <c r="E1523" t="s">
        <v>1117</v>
      </c>
      <c r="F1523" s="47" t="str">
        <f>+Empresa_Centro[[#This Row],[Codigo Centro Gestion]]&amp;" - "&amp;Empresa_Centro[[#This Row],[Nombre Centro Gestion]]</f>
        <v>10233506 - Condominio Jorge Cáceres Etapa 1-Depto.Técnico</v>
      </c>
    </row>
    <row r="1524" spans="1:6" x14ac:dyDescent="0.25">
      <c r="A1524" s="43">
        <v>99</v>
      </c>
      <c r="B1524" t="s">
        <v>450</v>
      </c>
      <c r="C1524" s="43" t="s">
        <v>451</v>
      </c>
      <c r="D1524" s="43">
        <v>10239104</v>
      </c>
      <c r="E1524" t="s">
        <v>1146</v>
      </c>
      <c r="F1524" s="47" t="str">
        <f>+Empresa_Centro[[#This Row],[Codigo Centro Gestion]]&amp;" - "&amp;Empresa_Centro[[#This Row],[Nombre Centro Gestion]]</f>
        <v>10239104 - Alto Mirador-Ventas</v>
      </c>
    </row>
    <row r="1525" spans="1:6" x14ac:dyDescent="0.25">
      <c r="A1525" s="43">
        <v>99</v>
      </c>
      <c r="B1525" t="s">
        <v>450</v>
      </c>
      <c r="C1525" s="43" t="s">
        <v>451</v>
      </c>
      <c r="D1525" s="43">
        <v>10240000</v>
      </c>
      <c r="E1525" t="s">
        <v>467</v>
      </c>
      <c r="F1525" s="47" t="str">
        <f>+Empresa_Centro[[#This Row],[Codigo Centro Gestion]]&amp;" - "&amp;Empresa_Centro[[#This Row],[Nombre Centro Gestion]]</f>
        <v>10240000 - Tranquila</v>
      </c>
    </row>
    <row r="1526" spans="1:6" x14ac:dyDescent="0.25">
      <c r="A1526" s="43">
        <v>99</v>
      </c>
      <c r="B1526" t="s">
        <v>450</v>
      </c>
      <c r="C1526" s="43" t="s">
        <v>451</v>
      </c>
      <c r="D1526" s="43">
        <v>10240102</v>
      </c>
      <c r="E1526" t="s">
        <v>1152</v>
      </c>
      <c r="F1526" s="47" t="str">
        <f>+Empresa_Centro[[#This Row],[Codigo Centro Gestion]]&amp;" - "&amp;Empresa_Centro[[#This Row],[Nombre Centro Gestion]]</f>
        <v>10240102 - Tranquila-Marketing</v>
      </c>
    </row>
    <row r="1527" spans="1:6" x14ac:dyDescent="0.25">
      <c r="A1527" s="43">
        <v>99</v>
      </c>
      <c r="B1527" t="s">
        <v>450</v>
      </c>
      <c r="C1527" s="43" t="s">
        <v>451</v>
      </c>
      <c r="D1527" s="43">
        <v>10240103</v>
      </c>
      <c r="E1527" t="s">
        <v>1153</v>
      </c>
      <c r="F1527" s="47" t="str">
        <f>+Empresa_Centro[[#This Row],[Codigo Centro Gestion]]&amp;" - "&amp;Empresa_Centro[[#This Row],[Nombre Centro Gestion]]</f>
        <v>10240103 - Tranquila-Operaciones</v>
      </c>
    </row>
    <row r="1528" spans="1:6" x14ac:dyDescent="0.25">
      <c r="A1528" s="43">
        <v>99</v>
      </c>
      <c r="B1528" t="s">
        <v>450</v>
      </c>
      <c r="C1528" s="43" t="s">
        <v>451</v>
      </c>
      <c r="D1528" s="43">
        <v>10240104</v>
      </c>
      <c r="E1528" t="s">
        <v>1154</v>
      </c>
      <c r="F1528" s="47" t="str">
        <f>+Empresa_Centro[[#This Row],[Codigo Centro Gestion]]&amp;" - "&amp;Empresa_Centro[[#This Row],[Nombre Centro Gestion]]</f>
        <v>10240104 - Tranquila-Ventas</v>
      </c>
    </row>
    <row r="1529" spans="1:6" x14ac:dyDescent="0.25">
      <c r="A1529" s="43">
        <v>99</v>
      </c>
      <c r="B1529" t="s">
        <v>450</v>
      </c>
      <c r="C1529" s="43" t="s">
        <v>451</v>
      </c>
      <c r="D1529" s="43">
        <v>10240105</v>
      </c>
      <c r="E1529" t="s">
        <v>1155</v>
      </c>
      <c r="F1529" s="47" t="str">
        <f>+Empresa_Centro[[#This Row],[Codigo Centro Gestion]]&amp;" - "&amp;Empresa_Centro[[#This Row],[Nombre Centro Gestion]]</f>
        <v>10240105 - Tranquila-Clientes</v>
      </c>
    </row>
    <row r="1530" spans="1:6" x14ac:dyDescent="0.25">
      <c r="A1530" s="43">
        <v>99</v>
      </c>
      <c r="B1530" t="s">
        <v>450</v>
      </c>
      <c r="C1530" s="43" t="s">
        <v>451</v>
      </c>
      <c r="D1530" s="43">
        <v>10240204</v>
      </c>
      <c r="E1530" t="s">
        <v>1156</v>
      </c>
      <c r="F1530" s="47" t="str">
        <f>+Empresa_Centro[[#This Row],[Codigo Centro Gestion]]&amp;" - "&amp;Empresa_Centro[[#This Row],[Nombre Centro Gestion]]</f>
        <v>10240204 - Tranquila-Proyecto</v>
      </c>
    </row>
    <row r="1531" spans="1:6" x14ac:dyDescent="0.25">
      <c r="A1531" s="43">
        <v>99</v>
      </c>
      <c r="B1531" t="s">
        <v>450</v>
      </c>
      <c r="C1531" s="43" t="s">
        <v>451</v>
      </c>
      <c r="D1531" s="43">
        <v>10240301</v>
      </c>
      <c r="E1531" t="s">
        <v>1157</v>
      </c>
      <c r="F1531" s="47" t="str">
        <f>+Empresa_Centro[[#This Row],[Codigo Centro Gestion]]&amp;" - "&amp;Empresa_Centro[[#This Row],[Nombre Centro Gestion]]</f>
        <v>10240301 - Tranquila-GAF</v>
      </c>
    </row>
    <row r="1532" spans="1:6" x14ac:dyDescent="0.25">
      <c r="A1532" s="43">
        <v>99</v>
      </c>
      <c r="B1532" t="s">
        <v>450</v>
      </c>
      <c r="C1532" s="43" t="s">
        <v>451</v>
      </c>
      <c r="D1532" s="43">
        <v>10240505</v>
      </c>
      <c r="E1532" t="s">
        <v>1158</v>
      </c>
      <c r="F1532" s="47" t="str">
        <f>+Empresa_Centro[[#This Row],[Codigo Centro Gestion]]&amp;" - "&amp;Empresa_Centro[[#This Row],[Nombre Centro Gestion]]</f>
        <v>10240505 - Tranquila-PV Inmob.</v>
      </c>
    </row>
    <row r="1533" spans="1:6" x14ac:dyDescent="0.25">
      <c r="A1533" s="43">
        <v>99</v>
      </c>
      <c r="B1533" t="s">
        <v>450</v>
      </c>
      <c r="C1533" s="43" t="s">
        <v>451</v>
      </c>
      <c r="D1533" s="43">
        <v>10240506</v>
      </c>
      <c r="E1533" t="s">
        <v>1159</v>
      </c>
      <c r="F1533" s="47" t="str">
        <f>+Empresa_Centro[[#This Row],[Codigo Centro Gestion]]&amp;" - "&amp;Empresa_Centro[[#This Row],[Nombre Centro Gestion]]</f>
        <v>10240506 - Tranquila-Depto.Técnico</v>
      </c>
    </row>
    <row r="1534" spans="1:6" x14ac:dyDescent="0.25">
      <c r="A1534" s="43">
        <v>99</v>
      </c>
      <c r="B1534" t="s">
        <v>450</v>
      </c>
      <c r="C1534" s="43" t="s">
        <v>451</v>
      </c>
      <c r="D1534" s="43">
        <v>10241104</v>
      </c>
      <c r="E1534" t="s">
        <v>1163</v>
      </c>
      <c r="F1534" s="47" t="str">
        <f>+Empresa_Centro[[#This Row],[Codigo Centro Gestion]]&amp;" - "&amp;Empresa_Centro[[#This Row],[Nombre Centro Gestion]]</f>
        <v>10241104 - Parque Marañon Torre B-VENTAS</v>
      </c>
    </row>
    <row r="1535" spans="1:6" x14ac:dyDescent="0.25">
      <c r="A1535" s="43">
        <v>99</v>
      </c>
      <c r="B1535" t="s">
        <v>450</v>
      </c>
      <c r="C1535" s="43" t="s">
        <v>451</v>
      </c>
      <c r="D1535" s="43">
        <v>10242000</v>
      </c>
      <c r="E1535" t="s">
        <v>468</v>
      </c>
      <c r="F1535" s="47" t="str">
        <f>+Empresa_Centro[[#This Row],[Codigo Centro Gestion]]&amp;" - "&amp;Empresa_Centro[[#This Row],[Nombre Centro Gestion]]</f>
        <v>10242000 - Edificio Leon Prado</v>
      </c>
    </row>
    <row r="1536" spans="1:6" x14ac:dyDescent="0.25">
      <c r="A1536" s="43">
        <v>99</v>
      </c>
      <c r="B1536" t="s">
        <v>450</v>
      </c>
      <c r="C1536" s="43" t="s">
        <v>451</v>
      </c>
      <c r="D1536" s="43">
        <v>10242102</v>
      </c>
      <c r="E1536" t="s">
        <v>1169</v>
      </c>
      <c r="F1536" s="47" t="str">
        <f>+Empresa_Centro[[#This Row],[Codigo Centro Gestion]]&amp;" - "&amp;Empresa_Centro[[#This Row],[Nombre Centro Gestion]]</f>
        <v>10242102 - Edificio Leon Prado-Marketing</v>
      </c>
    </row>
    <row r="1537" spans="1:6" x14ac:dyDescent="0.25">
      <c r="A1537" s="43">
        <v>99</v>
      </c>
      <c r="B1537" t="s">
        <v>450</v>
      </c>
      <c r="C1537" s="43" t="s">
        <v>451</v>
      </c>
      <c r="D1537" s="43">
        <v>10242103</v>
      </c>
      <c r="E1537" t="s">
        <v>1170</v>
      </c>
      <c r="F1537" s="47" t="str">
        <f>+Empresa_Centro[[#This Row],[Codigo Centro Gestion]]&amp;" - "&amp;Empresa_Centro[[#This Row],[Nombre Centro Gestion]]</f>
        <v>10242103 - Edificio Leon Prado-Operaciones</v>
      </c>
    </row>
    <row r="1538" spans="1:6" x14ac:dyDescent="0.25">
      <c r="A1538" s="43">
        <v>99</v>
      </c>
      <c r="B1538" t="s">
        <v>450</v>
      </c>
      <c r="C1538" s="43" t="s">
        <v>451</v>
      </c>
      <c r="D1538" s="43">
        <v>10242104</v>
      </c>
      <c r="E1538" t="s">
        <v>1171</v>
      </c>
      <c r="F1538" s="47" t="str">
        <f>+Empresa_Centro[[#This Row],[Codigo Centro Gestion]]&amp;" - "&amp;Empresa_Centro[[#This Row],[Nombre Centro Gestion]]</f>
        <v>10242104 - Edificio Leon Prado-Ventas</v>
      </c>
    </row>
    <row r="1539" spans="1:6" x14ac:dyDescent="0.25">
      <c r="A1539" s="43">
        <v>99</v>
      </c>
      <c r="B1539" t="s">
        <v>450</v>
      </c>
      <c r="C1539" s="43" t="s">
        <v>451</v>
      </c>
      <c r="D1539" s="43">
        <v>10242104</v>
      </c>
      <c r="E1539" t="s">
        <v>1171</v>
      </c>
      <c r="F1539" s="47" t="str">
        <f>+Empresa_Centro[[#This Row],[Codigo Centro Gestion]]&amp;" - "&amp;Empresa_Centro[[#This Row],[Nombre Centro Gestion]]</f>
        <v>10242104 - Edificio Leon Prado-Ventas</v>
      </c>
    </row>
    <row r="1540" spans="1:6" x14ac:dyDescent="0.25">
      <c r="A1540" s="43">
        <v>99</v>
      </c>
      <c r="B1540" t="s">
        <v>450</v>
      </c>
      <c r="C1540" s="43" t="s">
        <v>451</v>
      </c>
      <c r="D1540" s="43">
        <v>10242105</v>
      </c>
      <c r="E1540" t="s">
        <v>1172</v>
      </c>
      <c r="F1540" s="47" t="str">
        <f>+Empresa_Centro[[#This Row],[Codigo Centro Gestion]]&amp;" - "&amp;Empresa_Centro[[#This Row],[Nombre Centro Gestion]]</f>
        <v>10242105 - Edificio Leon Prado-Clientes</v>
      </c>
    </row>
    <row r="1541" spans="1:6" x14ac:dyDescent="0.25">
      <c r="A1541" s="43">
        <v>99</v>
      </c>
      <c r="B1541" t="s">
        <v>450</v>
      </c>
      <c r="C1541" s="43" t="s">
        <v>451</v>
      </c>
      <c r="D1541" s="43">
        <v>10242204</v>
      </c>
      <c r="E1541" t="s">
        <v>1173</v>
      </c>
      <c r="F1541" s="47" t="str">
        <f>+Empresa_Centro[[#This Row],[Codigo Centro Gestion]]&amp;" - "&amp;Empresa_Centro[[#This Row],[Nombre Centro Gestion]]</f>
        <v>10242204 - Edificio Leon Prado-Proyecto</v>
      </c>
    </row>
    <row r="1542" spans="1:6" x14ac:dyDescent="0.25">
      <c r="A1542" s="43">
        <v>99</v>
      </c>
      <c r="B1542" t="s">
        <v>450</v>
      </c>
      <c r="C1542" s="43" t="s">
        <v>451</v>
      </c>
      <c r="D1542" s="43">
        <v>10242301</v>
      </c>
      <c r="E1542" t="s">
        <v>1174</v>
      </c>
      <c r="F1542" s="47" t="str">
        <f>+Empresa_Centro[[#This Row],[Codigo Centro Gestion]]&amp;" - "&amp;Empresa_Centro[[#This Row],[Nombre Centro Gestion]]</f>
        <v>10242301 - Edificio Leon Prado-GAF</v>
      </c>
    </row>
    <row r="1543" spans="1:6" x14ac:dyDescent="0.25">
      <c r="A1543" s="43">
        <v>99</v>
      </c>
      <c r="B1543" t="s">
        <v>450</v>
      </c>
      <c r="C1543" s="43" t="s">
        <v>451</v>
      </c>
      <c r="D1543" s="43">
        <v>10242505</v>
      </c>
      <c r="E1543" t="s">
        <v>1175</v>
      </c>
      <c r="F1543" s="47" t="str">
        <f>+Empresa_Centro[[#This Row],[Codigo Centro Gestion]]&amp;" - "&amp;Empresa_Centro[[#This Row],[Nombre Centro Gestion]]</f>
        <v>10242505 - Edificio Leon Prado-PV Inmob.</v>
      </c>
    </row>
    <row r="1544" spans="1:6" x14ac:dyDescent="0.25">
      <c r="A1544" s="43">
        <v>99</v>
      </c>
      <c r="B1544" t="s">
        <v>450</v>
      </c>
      <c r="C1544" s="43" t="s">
        <v>451</v>
      </c>
      <c r="D1544" s="43">
        <v>10242506</v>
      </c>
      <c r="E1544" t="s">
        <v>1176</v>
      </c>
      <c r="F1544" s="47" t="str">
        <f>+Empresa_Centro[[#This Row],[Codigo Centro Gestion]]&amp;" - "&amp;Empresa_Centro[[#This Row],[Nombre Centro Gestion]]</f>
        <v>10242506 - Edificio Leon Prado-Depto.Técnico</v>
      </c>
    </row>
    <row r="1545" spans="1:6" x14ac:dyDescent="0.25">
      <c r="A1545" s="43">
        <v>99</v>
      </c>
      <c r="B1545" t="s">
        <v>450</v>
      </c>
      <c r="C1545" s="43" t="s">
        <v>451</v>
      </c>
      <c r="D1545" s="43">
        <v>10243104</v>
      </c>
      <c r="E1545" t="s">
        <v>1179</v>
      </c>
      <c r="F1545" s="47" t="str">
        <f>+Empresa_Centro[[#This Row],[Codigo Centro Gestion]]&amp;" - "&amp;Empresa_Centro[[#This Row],[Nombre Centro Gestion]]</f>
        <v>10243104 - Edificio Garcia Reyes-Ventas</v>
      </c>
    </row>
    <row r="1546" spans="1:6" x14ac:dyDescent="0.25">
      <c r="A1546" s="43">
        <v>99</v>
      </c>
      <c r="B1546" t="s">
        <v>450</v>
      </c>
      <c r="C1546" s="43" t="s">
        <v>451</v>
      </c>
      <c r="D1546" s="43">
        <v>10244104</v>
      </c>
      <c r="E1546" t="s">
        <v>1187</v>
      </c>
      <c r="F1546" s="47" t="str">
        <f>+Empresa_Centro[[#This Row],[Codigo Centro Gestion]]&amp;" - "&amp;Empresa_Centro[[#This Row],[Nombre Centro Gestion]]</f>
        <v>10244104 - Francisco Zelada Torre B-Ventas</v>
      </c>
    </row>
    <row r="1547" spans="1:6" x14ac:dyDescent="0.25">
      <c r="A1547" s="43">
        <v>99</v>
      </c>
      <c r="B1547" t="s">
        <v>450</v>
      </c>
      <c r="C1547" s="43" t="s">
        <v>451</v>
      </c>
      <c r="D1547" s="43">
        <v>10246000</v>
      </c>
      <c r="E1547" t="s">
        <v>472</v>
      </c>
      <c r="F1547" s="47" t="str">
        <f>+Empresa_Centro[[#This Row],[Codigo Centro Gestion]]&amp;" - "&amp;Empresa_Centro[[#This Row],[Nombre Centro Gestion]]</f>
        <v>10246000 - Santa Corina</v>
      </c>
    </row>
    <row r="1548" spans="1:6" x14ac:dyDescent="0.25">
      <c r="A1548" s="43">
        <v>99</v>
      </c>
      <c r="B1548" t="s">
        <v>450</v>
      </c>
      <c r="C1548" s="43" t="s">
        <v>451</v>
      </c>
      <c r="D1548" s="43">
        <v>10246102</v>
      </c>
      <c r="E1548" t="s">
        <v>1193</v>
      </c>
      <c r="F1548" s="47" t="str">
        <f>+Empresa_Centro[[#This Row],[Codigo Centro Gestion]]&amp;" - "&amp;Empresa_Centro[[#This Row],[Nombre Centro Gestion]]</f>
        <v>10246102 - Santa Corina-Marketing</v>
      </c>
    </row>
    <row r="1549" spans="1:6" x14ac:dyDescent="0.25">
      <c r="A1549" s="43">
        <v>99</v>
      </c>
      <c r="B1549" t="s">
        <v>450</v>
      </c>
      <c r="C1549" s="43" t="s">
        <v>451</v>
      </c>
      <c r="D1549" s="43">
        <v>10246103</v>
      </c>
      <c r="E1549" t="s">
        <v>1194</v>
      </c>
      <c r="F1549" s="47" t="str">
        <f>+Empresa_Centro[[#This Row],[Codigo Centro Gestion]]&amp;" - "&amp;Empresa_Centro[[#This Row],[Nombre Centro Gestion]]</f>
        <v>10246103 - Santa Corina-Operaciones</v>
      </c>
    </row>
    <row r="1550" spans="1:6" x14ac:dyDescent="0.25">
      <c r="A1550" s="43">
        <v>99</v>
      </c>
      <c r="B1550" t="s">
        <v>450</v>
      </c>
      <c r="C1550" s="43" t="s">
        <v>451</v>
      </c>
      <c r="D1550" s="43">
        <v>10246104</v>
      </c>
      <c r="E1550" t="s">
        <v>1195</v>
      </c>
      <c r="F1550" s="47" t="str">
        <f>+Empresa_Centro[[#This Row],[Codigo Centro Gestion]]&amp;" - "&amp;Empresa_Centro[[#This Row],[Nombre Centro Gestion]]</f>
        <v>10246104 - Santa Corina-Ventas</v>
      </c>
    </row>
    <row r="1551" spans="1:6" x14ac:dyDescent="0.25">
      <c r="A1551" s="43">
        <v>99</v>
      </c>
      <c r="B1551" t="s">
        <v>450</v>
      </c>
      <c r="C1551" s="43" t="s">
        <v>451</v>
      </c>
      <c r="D1551" s="43">
        <v>10246105</v>
      </c>
      <c r="E1551" t="s">
        <v>1196</v>
      </c>
      <c r="F1551" s="47" t="str">
        <f>+Empresa_Centro[[#This Row],[Codigo Centro Gestion]]&amp;" - "&amp;Empresa_Centro[[#This Row],[Nombre Centro Gestion]]</f>
        <v>10246105 - Santa Corina-Clientes</v>
      </c>
    </row>
    <row r="1552" spans="1:6" x14ac:dyDescent="0.25">
      <c r="A1552" s="43">
        <v>99</v>
      </c>
      <c r="B1552" t="s">
        <v>450</v>
      </c>
      <c r="C1552" s="43" t="s">
        <v>451</v>
      </c>
      <c r="D1552" s="43">
        <v>10246204</v>
      </c>
      <c r="E1552" t="s">
        <v>1197</v>
      </c>
      <c r="F1552" s="47" t="str">
        <f>+Empresa_Centro[[#This Row],[Codigo Centro Gestion]]&amp;" - "&amp;Empresa_Centro[[#This Row],[Nombre Centro Gestion]]</f>
        <v>10246204 - Santa Corina-Proyecto</v>
      </c>
    </row>
    <row r="1553" spans="1:6" x14ac:dyDescent="0.25">
      <c r="A1553" s="43">
        <v>99</v>
      </c>
      <c r="B1553" t="s">
        <v>450</v>
      </c>
      <c r="C1553" s="43" t="s">
        <v>451</v>
      </c>
      <c r="D1553" s="43">
        <v>10246301</v>
      </c>
      <c r="E1553" t="s">
        <v>1198</v>
      </c>
      <c r="F1553" s="47" t="str">
        <f>+Empresa_Centro[[#This Row],[Codigo Centro Gestion]]&amp;" - "&amp;Empresa_Centro[[#This Row],[Nombre Centro Gestion]]</f>
        <v>10246301 - Santa Corina-GAF</v>
      </c>
    </row>
    <row r="1554" spans="1:6" x14ac:dyDescent="0.25">
      <c r="A1554" s="43">
        <v>99</v>
      </c>
      <c r="B1554" t="s">
        <v>450</v>
      </c>
      <c r="C1554" s="43" t="s">
        <v>451</v>
      </c>
      <c r="D1554" s="43">
        <v>10246505</v>
      </c>
      <c r="E1554" t="s">
        <v>1199</v>
      </c>
      <c r="F1554" s="47" t="str">
        <f>+Empresa_Centro[[#This Row],[Codigo Centro Gestion]]&amp;" - "&amp;Empresa_Centro[[#This Row],[Nombre Centro Gestion]]</f>
        <v>10246505 - Santa Corina-PV Inmob.</v>
      </c>
    </row>
    <row r="1555" spans="1:6" x14ac:dyDescent="0.25">
      <c r="A1555" s="43">
        <v>99</v>
      </c>
      <c r="B1555" t="s">
        <v>450</v>
      </c>
      <c r="C1555" s="43" t="s">
        <v>451</v>
      </c>
      <c r="D1555" s="43">
        <v>10246506</v>
      </c>
      <c r="E1555" t="s">
        <v>1200</v>
      </c>
      <c r="F1555" s="47" t="str">
        <f>+Empresa_Centro[[#This Row],[Codigo Centro Gestion]]&amp;" - "&amp;Empresa_Centro[[#This Row],[Nombre Centro Gestion]]</f>
        <v>10246506 - Santa Corina-Depto.Técnico</v>
      </c>
    </row>
    <row r="1556" spans="1:6" x14ac:dyDescent="0.25">
      <c r="A1556" s="43">
        <v>99</v>
      </c>
      <c r="B1556" t="s">
        <v>450</v>
      </c>
      <c r="C1556" s="43" t="s">
        <v>451</v>
      </c>
      <c r="D1556" s="43">
        <v>10248104</v>
      </c>
      <c r="E1556" t="s">
        <v>1204</v>
      </c>
      <c r="F1556" s="47" t="str">
        <f>+Empresa_Centro[[#This Row],[Codigo Centro Gestion]]&amp;" - "&amp;Empresa_Centro[[#This Row],[Nombre Centro Gestion]]</f>
        <v>10248104 - Alto Marañon Torre B-Ventas</v>
      </c>
    </row>
    <row r="1557" spans="1:6" x14ac:dyDescent="0.25">
      <c r="A1557" s="43">
        <v>99</v>
      </c>
      <c r="B1557" t="s">
        <v>450</v>
      </c>
      <c r="C1557" s="43" t="s">
        <v>451</v>
      </c>
      <c r="D1557" s="43">
        <v>10251104</v>
      </c>
      <c r="E1557" t="s">
        <v>1212</v>
      </c>
      <c r="F1557" s="47" t="str">
        <f>+Empresa_Centro[[#This Row],[Codigo Centro Gestion]]&amp;" - "&amp;Empresa_Centro[[#This Row],[Nombre Centro Gestion]]</f>
        <v>10251104 - Edificio Vista Horizonte-Ventas</v>
      </c>
    </row>
    <row r="1558" spans="1:6" x14ac:dyDescent="0.25">
      <c r="A1558" s="43">
        <v>99</v>
      </c>
      <c r="B1558" t="s">
        <v>450</v>
      </c>
      <c r="C1558" s="43" t="s">
        <v>451</v>
      </c>
      <c r="D1558" s="43">
        <v>10252000</v>
      </c>
      <c r="E1558" t="s">
        <v>475</v>
      </c>
      <c r="F1558" s="47" t="str">
        <f>+Empresa_Centro[[#This Row],[Codigo Centro Gestion]]&amp;" - "&amp;Empresa_Centro[[#This Row],[Nombre Centro Gestion]]</f>
        <v>10252000 - Edificio Castillo Urizar</v>
      </c>
    </row>
    <row r="1559" spans="1:6" x14ac:dyDescent="0.25">
      <c r="A1559" s="43">
        <v>99</v>
      </c>
      <c r="B1559" t="s">
        <v>450</v>
      </c>
      <c r="C1559" s="43" t="s">
        <v>451</v>
      </c>
      <c r="D1559" s="43">
        <v>10252102</v>
      </c>
      <c r="E1559" t="s">
        <v>1218</v>
      </c>
      <c r="F1559" s="47" t="str">
        <f>+Empresa_Centro[[#This Row],[Codigo Centro Gestion]]&amp;" - "&amp;Empresa_Centro[[#This Row],[Nombre Centro Gestion]]</f>
        <v>10252102 - Edificio Castillo Urizar-Marketing</v>
      </c>
    </row>
    <row r="1560" spans="1:6" x14ac:dyDescent="0.25">
      <c r="A1560" s="43">
        <v>99</v>
      </c>
      <c r="B1560" t="s">
        <v>450</v>
      </c>
      <c r="C1560" s="43" t="s">
        <v>451</v>
      </c>
      <c r="D1560" s="43">
        <v>10252103</v>
      </c>
      <c r="E1560" t="s">
        <v>1219</v>
      </c>
      <c r="F1560" s="47" t="str">
        <f>+Empresa_Centro[[#This Row],[Codigo Centro Gestion]]&amp;" - "&amp;Empresa_Centro[[#This Row],[Nombre Centro Gestion]]</f>
        <v>10252103 - Edificio Castillo Urizar-Operaciones</v>
      </c>
    </row>
    <row r="1561" spans="1:6" x14ac:dyDescent="0.25">
      <c r="A1561" s="43">
        <v>99</v>
      </c>
      <c r="B1561" t="s">
        <v>450</v>
      </c>
      <c r="C1561" s="43" t="s">
        <v>451</v>
      </c>
      <c r="D1561" s="43">
        <v>10252104</v>
      </c>
      <c r="E1561" t="s">
        <v>1220</v>
      </c>
      <c r="F1561" s="47" t="str">
        <f>+Empresa_Centro[[#This Row],[Codigo Centro Gestion]]&amp;" - "&amp;Empresa_Centro[[#This Row],[Nombre Centro Gestion]]</f>
        <v>10252104 - Edificio Castillo Urizar-Ventas</v>
      </c>
    </row>
    <row r="1562" spans="1:6" x14ac:dyDescent="0.25">
      <c r="A1562" s="43">
        <v>99</v>
      </c>
      <c r="B1562" t="s">
        <v>450</v>
      </c>
      <c r="C1562" s="43" t="s">
        <v>451</v>
      </c>
      <c r="D1562" s="43">
        <v>10252105</v>
      </c>
      <c r="E1562" t="s">
        <v>1221</v>
      </c>
      <c r="F1562" s="47" t="str">
        <f>+Empresa_Centro[[#This Row],[Codigo Centro Gestion]]&amp;" - "&amp;Empresa_Centro[[#This Row],[Nombre Centro Gestion]]</f>
        <v>10252105 - Edificio Castillo Urizar-Clientes</v>
      </c>
    </row>
    <row r="1563" spans="1:6" x14ac:dyDescent="0.25">
      <c r="A1563" s="43">
        <v>99</v>
      </c>
      <c r="B1563" t="s">
        <v>450</v>
      </c>
      <c r="C1563" s="43" t="s">
        <v>451</v>
      </c>
      <c r="D1563" s="43">
        <v>10252204</v>
      </c>
      <c r="E1563" t="s">
        <v>1222</v>
      </c>
      <c r="F1563" s="47" t="str">
        <f>+Empresa_Centro[[#This Row],[Codigo Centro Gestion]]&amp;" - "&amp;Empresa_Centro[[#This Row],[Nombre Centro Gestion]]</f>
        <v>10252204 - Edificio Castillo Urizar-Proyecto</v>
      </c>
    </row>
    <row r="1564" spans="1:6" x14ac:dyDescent="0.25">
      <c r="A1564" s="43">
        <v>99</v>
      </c>
      <c r="B1564" t="s">
        <v>450</v>
      </c>
      <c r="C1564" s="43" t="s">
        <v>451</v>
      </c>
      <c r="D1564" s="43">
        <v>10252301</v>
      </c>
      <c r="E1564" t="s">
        <v>1223</v>
      </c>
      <c r="F1564" s="47" t="str">
        <f>+Empresa_Centro[[#This Row],[Codigo Centro Gestion]]&amp;" - "&amp;Empresa_Centro[[#This Row],[Nombre Centro Gestion]]</f>
        <v>10252301 - Edificio Castillo Urizar-GAF</v>
      </c>
    </row>
    <row r="1565" spans="1:6" x14ac:dyDescent="0.25">
      <c r="A1565" s="43">
        <v>99</v>
      </c>
      <c r="B1565" t="s">
        <v>450</v>
      </c>
      <c r="C1565" s="43" t="s">
        <v>451</v>
      </c>
      <c r="D1565" s="43">
        <v>10252505</v>
      </c>
      <c r="E1565" t="s">
        <v>1224</v>
      </c>
      <c r="F1565" s="47" t="str">
        <f>+Empresa_Centro[[#This Row],[Codigo Centro Gestion]]&amp;" - "&amp;Empresa_Centro[[#This Row],[Nombre Centro Gestion]]</f>
        <v>10252505 - Edificio Castillo Urizar-PV Inmob.</v>
      </c>
    </row>
    <row r="1566" spans="1:6" x14ac:dyDescent="0.25">
      <c r="A1566" s="43">
        <v>99</v>
      </c>
      <c r="B1566" t="s">
        <v>450</v>
      </c>
      <c r="C1566" s="43" t="s">
        <v>451</v>
      </c>
      <c r="D1566" s="43">
        <v>10252506</v>
      </c>
      <c r="E1566" t="s">
        <v>1225</v>
      </c>
      <c r="F1566" s="47" t="str">
        <f>+Empresa_Centro[[#This Row],[Codigo Centro Gestion]]&amp;" - "&amp;Empresa_Centro[[#This Row],[Nombre Centro Gestion]]</f>
        <v>10252506 - Edificio Castillo Urizar-Depto.Técnico</v>
      </c>
    </row>
    <row r="1567" spans="1:6" x14ac:dyDescent="0.25">
      <c r="A1567" s="43">
        <v>99</v>
      </c>
      <c r="B1567" t="s">
        <v>450</v>
      </c>
      <c r="C1567" s="43" t="s">
        <v>451</v>
      </c>
      <c r="D1567" s="43">
        <v>10253000</v>
      </c>
      <c r="E1567" t="s">
        <v>477</v>
      </c>
      <c r="F1567" s="47" t="str">
        <f>+Empresa_Centro[[#This Row],[Codigo Centro Gestion]]&amp;" - "&amp;Empresa_Centro[[#This Row],[Nombre Centro Gestion]]</f>
        <v>10253000 - Edificio Lia Aguirre</v>
      </c>
    </row>
    <row r="1568" spans="1:6" x14ac:dyDescent="0.25">
      <c r="A1568" s="43">
        <v>99</v>
      </c>
      <c r="B1568" t="s">
        <v>450</v>
      </c>
      <c r="C1568" s="43" t="s">
        <v>451</v>
      </c>
      <c r="D1568" s="43">
        <v>10253102</v>
      </c>
      <c r="E1568" t="s">
        <v>1226</v>
      </c>
      <c r="F1568" s="47" t="str">
        <f>+Empresa_Centro[[#This Row],[Codigo Centro Gestion]]&amp;" - "&amp;Empresa_Centro[[#This Row],[Nombre Centro Gestion]]</f>
        <v>10253102 - Edificio Lia Aguirre-Marketing</v>
      </c>
    </row>
    <row r="1569" spans="1:6" x14ac:dyDescent="0.25">
      <c r="A1569" s="43">
        <v>99</v>
      </c>
      <c r="B1569" t="s">
        <v>450</v>
      </c>
      <c r="C1569" s="43" t="s">
        <v>451</v>
      </c>
      <c r="D1569" s="43">
        <v>10253103</v>
      </c>
      <c r="E1569" t="s">
        <v>1227</v>
      </c>
      <c r="F1569" s="47" t="str">
        <f>+Empresa_Centro[[#This Row],[Codigo Centro Gestion]]&amp;" - "&amp;Empresa_Centro[[#This Row],[Nombre Centro Gestion]]</f>
        <v>10253103 - Edificio Lia Aguirre-Operaciones</v>
      </c>
    </row>
    <row r="1570" spans="1:6" x14ac:dyDescent="0.25">
      <c r="A1570" s="43">
        <v>99</v>
      </c>
      <c r="B1570" t="s">
        <v>450</v>
      </c>
      <c r="C1570" s="43" t="s">
        <v>451</v>
      </c>
      <c r="D1570" s="43">
        <v>10253104</v>
      </c>
      <c r="E1570" t="s">
        <v>1228</v>
      </c>
      <c r="F1570" s="47" t="str">
        <f>+Empresa_Centro[[#This Row],[Codigo Centro Gestion]]&amp;" - "&amp;Empresa_Centro[[#This Row],[Nombre Centro Gestion]]</f>
        <v>10253104 - Edificio Lia Aguirre-Ventas</v>
      </c>
    </row>
    <row r="1571" spans="1:6" x14ac:dyDescent="0.25">
      <c r="A1571" s="43">
        <v>99</v>
      </c>
      <c r="B1571" t="s">
        <v>450</v>
      </c>
      <c r="C1571" s="43" t="s">
        <v>451</v>
      </c>
      <c r="D1571" s="43">
        <v>10253105</v>
      </c>
      <c r="E1571" t="s">
        <v>1229</v>
      </c>
      <c r="F1571" s="47" t="str">
        <f>+Empresa_Centro[[#This Row],[Codigo Centro Gestion]]&amp;" - "&amp;Empresa_Centro[[#This Row],[Nombre Centro Gestion]]</f>
        <v>10253105 - Edificio Lia Aguirre-Clientes</v>
      </c>
    </row>
    <row r="1572" spans="1:6" x14ac:dyDescent="0.25">
      <c r="A1572" s="43">
        <v>99</v>
      </c>
      <c r="B1572" t="s">
        <v>450</v>
      </c>
      <c r="C1572" s="43" t="s">
        <v>451</v>
      </c>
      <c r="D1572" s="43">
        <v>10253204</v>
      </c>
      <c r="E1572" t="s">
        <v>1230</v>
      </c>
      <c r="F1572" s="47" t="str">
        <f>+Empresa_Centro[[#This Row],[Codigo Centro Gestion]]&amp;" - "&amp;Empresa_Centro[[#This Row],[Nombre Centro Gestion]]</f>
        <v>10253204 - Edificio Lia Aguirre-Proyecto</v>
      </c>
    </row>
    <row r="1573" spans="1:6" x14ac:dyDescent="0.25">
      <c r="A1573" s="43">
        <v>99</v>
      </c>
      <c r="B1573" t="s">
        <v>450</v>
      </c>
      <c r="C1573" s="43" t="s">
        <v>451</v>
      </c>
      <c r="D1573" s="43">
        <v>10253301</v>
      </c>
      <c r="E1573" t="s">
        <v>1231</v>
      </c>
      <c r="F1573" s="47" t="str">
        <f>+Empresa_Centro[[#This Row],[Codigo Centro Gestion]]&amp;" - "&amp;Empresa_Centro[[#This Row],[Nombre Centro Gestion]]</f>
        <v>10253301 - Edificio Lia Aguirre-GAF</v>
      </c>
    </row>
    <row r="1574" spans="1:6" x14ac:dyDescent="0.25">
      <c r="A1574" s="43">
        <v>99</v>
      </c>
      <c r="B1574" t="s">
        <v>450</v>
      </c>
      <c r="C1574" s="43" t="s">
        <v>451</v>
      </c>
      <c r="D1574" s="43">
        <v>10253505</v>
      </c>
      <c r="E1574" t="s">
        <v>1232</v>
      </c>
      <c r="F1574" s="47" t="str">
        <f>+Empresa_Centro[[#This Row],[Codigo Centro Gestion]]&amp;" - "&amp;Empresa_Centro[[#This Row],[Nombre Centro Gestion]]</f>
        <v>10253505 - Edificio Lia Aguirre-PV Inmob.</v>
      </c>
    </row>
    <row r="1575" spans="1:6" x14ac:dyDescent="0.25">
      <c r="A1575" s="43">
        <v>99</v>
      </c>
      <c r="B1575" t="s">
        <v>450</v>
      </c>
      <c r="C1575" s="43" t="s">
        <v>451</v>
      </c>
      <c r="D1575" s="43">
        <v>10253506</v>
      </c>
      <c r="E1575" t="s">
        <v>1233</v>
      </c>
      <c r="F1575" s="47" t="str">
        <f>+Empresa_Centro[[#This Row],[Codigo Centro Gestion]]&amp;" - "&amp;Empresa_Centro[[#This Row],[Nombre Centro Gestion]]</f>
        <v>10253506 - Edificio Lia Aguirre-Depto.Técnico</v>
      </c>
    </row>
    <row r="1576" spans="1:6" x14ac:dyDescent="0.25">
      <c r="A1576" s="43">
        <v>99</v>
      </c>
      <c r="B1576" t="s">
        <v>450</v>
      </c>
      <c r="C1576" s="43" t="s">
        <v>451</v>
      </c>
      <c r="D1576" s="43">
        <v>10254000</v>
      </c>
      <c r="E1576" t="s">
        <v>1234</v>
      </c>
      <c r="F1576" s="47" t="str">
        <f>+Empresa_Centro[[#This Row],[Codigo Centro Gestion]]&amp;" - "&amp;Empresa_Centro[[#This Row],[Nombre Centro Gestion]]</f>
        <v>10254000 - Trinidad Ramirez</v>
      </c>
    </row>
    <row r="1577" spans="1:6" x14ac:dyDescent="0.25">
      <c r="A1577" s="43">
        <v>99</v>
      </c>
      <c r="B1577" t="s">
        <v>450</v>
      </c>
      <c r="C1577" s="43" t="s">
        <v>451</v>
      </c>
      <c r="D1577" s="43">
        <v>10254102</v>
      </c>
      <c r="E1577" t="s">
        <v>1235</v>
      </c>
      <c r="F1577" s="47" t="str">
        <f>+Empresa_Centro[[#This Row],[Codigo Centro Gestion]]&amp;" - "&amp;Empresa_Centro[[#This Row],[Nombre Centro Gestion]]</f>
        <v>10254102 - Trinidad Ramirez-Marketing</v>
      </c>
    </row>
    <row r="1578" spans="1:6" x14ac:dyDescent="0.25">
      <c r="A1578" s="43">
        <v>99</v>
      </c>
      <c r="B1578" t="s">
        <v>450</v>
      </c>
      <c r="C1578" s="43" t="s">
        <v>451</v>
      </c>
      <c r="D1578" s="43">
        <v>10254103</v>
      </c>
      <c r="E1578" t="s">
        <v>1236</v>
      </c>
      <c r="F1578" s="47" t="str">
        <f>+Empresa_Centro[[#This Row],[Codigo Centro Gestion]]&amp;" - "&amp;Empresa_Centro[[#This Row],[Nombre Centro Gestion]]</f>
        <v>10254103 - Trinidad Ramirez-Operaciones</v>
      </c>
    </row>
    <row r="1579" spans="1:6" x14ac:dyDescent="0.25">
      <c r="A1579" s="43">
        <v>99</v>
      </c>
      <c r="B1579" t="s">
        <v>450</v>
      </c>
      <c r="C1579" s="43" t="s">
        <v>451</v>
      </c>
      <c r="D1579" s="43">
        <v>10254104</v>
      </c>
      <c r="E1579" t="s">
        <v>1237</v>
      </c>
      <c r="F1579" s="47" t="str">
        <f>+Empresa_Centro[[#This Row],[Codigo Centro Gestion]]&amp;" - "&amp;Empresa_Centro[[#This Row],[Nombre Centro Gestion]]</f>
        <v>10254104 - Trinidad Ramirez-Ventas</v>
      </c>
    </row>
    <row r="1580" spans="1:6" x14ac:dyDescent="0.25">
      <c r="A1580" s="43">
        <v>99</v>
      </c>
      <c r="B1580" t="s">
        <v>450</v>
      </c>
      <c r="C1580" s="43" t="s">
        <v>451</v>
      </c>
      <c r="D1580" s="43">
        <v>10254105</v>
      </c>
      <c r="E1580" t="s">
        <v>1238</v>
      </c>
      <c r="F1580" s="47" t="str">
        <f>+Empresa_Centro[[#This Row],[Codigo Centro Gestion]]&amp;" - "&amp;Empresa_Centro[[#This Row],[Nombre Centro Gestion]]</f>
        <v>10254105 - Trinidad Ramirez-Clientes</v>
      </c>
    </row>
    <row r="1581" spans="1:6" x14ac:dyDescent="0.25">
      <c r="A1581" s="43">
        <v>99</v>
      </c>
      <c r="B1581" t="s">
        <v>450</v>
      </c>
      <c r="C1581" s="43" t="s">
        <v>451</v>
      </c>
      <c r="D1581" s="43">
        <v>10254204</v>
      </c>
      <c r="E1581" t="s">
        <v>1239</v>
      </c>
      <c r="F1581" s="47" t="str">
        <f>+Empresa_Centro[[#This Row],[Codigo Centro Gestion]]&amp;" - "&amp;Empresa_Centro[[#This Row],[Nombre Centro Gestion]]</f>
        <v>10254204 - Trinidad Ramirez-Proyecto</v>
      </c>
    </row>
    <row r="1582" spans="1:6" x14ac:dyDescent="0.25">
      <c r="A1582" s="43">
        <v>99</v>
      </c>
      <c r="B1582" t="s">
        <v>450</v>
      </c>
      <c r="C1582" s="43" t="s">
        <v>451</v>
      </c>
      <c r="D1582" s="43">
        <v>10254301</v>
      </c>
      <c r="E1582" t="s">
        <v>1240</v>
      </c>
      <c r="F1582" s="47" t="str">
        <f>+Empresa_Centro[[#This Row],[Codigo Centro Gestion]]&amp;" - "&amp;Empresa_Centro[[#This Row],[Nombre Centro Gestion]]</f>
        <v>10254301 - Trinidad Ramirez-GAF</v>
      </c>
    </row>
    <row r="1583" spans="1:6" x14ac:dyDescent="0.25">
      <c r="A1583" s="43">
        <v>99</v>
      </c>
      <c r="B1583" t="s">
        <v>450</v>
      </c>
      <c r="C1583" s="43" t="s">
        <v>451</v>
      </c>
      <c r="D1583" s="43">
        <v>10254505</v>
      </c>
      <c r="E1583" t="s">
        <v>1241</v>
      </c>
      <c r="F1583" s="47" t="str">
        <f>+Empresa_Centro[[#This Row],[Codigo Centro Gestion]]&amp;" - "&amp;Empresa_Centro[[#This Row],[Nombre Centro Gestion]]</f>
        <v>10254505 - Trinidad Ramirez-PV Inmob.</v>
      </c>
    </row>
    <row r="1584" spans="1:6" x14ac:dyDescent="0.25">
      <c r="A1584" s="43">
        <v>99</v>
      </c>
      <c r="B1584" t="s">
        <v>450</v>
      </c>
      <c r="C1584" s="43" t="s">
        <v>451</v>
      </c>
      <c r="D1584" s="43">
        <v>10254506</v>
      </c>
      <c r="E1584" t="s">
        <v>1242</v>
      </c>
      <c r="F1584" s="47" t="str">
        <f>+Empresa_Centro[[#This Row],[Codigo Centro Gestion]]&amp;" - "&amp;Empresa_Centro[[#This Row],[Nombre Centro Gestion]]</f>
        <v>10254506 - Trinidad Ramirez-Depto.Técnico</v>
      </c>
    </row>
    <row r="1585" spans="1:6" x14ac:dyDescent="0.25">
      <c r="A1585" s="43">
        <v>99</v>
      </c>
      <c r="B1585" t="s">
        <v>450</v>
      </c>
      <c r="C1585" s="43" t="s">
        <v>451</v>
      </c>
      <c r="D1585" s="43">
        <v>10255104</v>
      </c>
      <c r="E1585" t="s">
        <v>1246</v>
      </c>
      <c r="F1585" s="47" t="str">
        <f>+Empresa_Centro[[#This Row],[Codigo Centro Gestion]]&amp;" - "&amp;Empresa_Centro[[#This Row],[Nombre Centro Gestion]]</f>
        <v>10255104 - Condominio Lago Ranco-Ventas</v>
      </c>
    </row>
    <row r="1586" spans="1:6" x14ac:dyDescent="0.25">
      <c r="A1586" s="43">
        <v>99</v>
      </c>
      <c r="B1586" t="s">
        <v>450</v>
      </c>
      <c r="C1586" s="43" t="s">
        <v>451</v>
      </c>
      <c r="D1586" s="43">
        <v>10256104</v>
      </c>
      <c r="E1586" t="s">
        <v>1254</v>
      </c>
      <c r="F1586" s="47" t="str">
        <f>+Empresa_Centro[[#This Row],[Codigo Centro Gestion]]&amp;" - "&amp;Empresa_Centro[[#This Row],[Nombre Centro Gestion]]</f>
        <v>10256104 - Edificio Lynch-Ventas</v>
      </c>
    </row>
    <row r="1587" spans="1:6" x14ac:dyDescent="0.25">
      <c r="A1587" s="43">
        <v>99</v>
      </c>
      <c r="B1587" t="s">
        <v>450</v>
      </c>
      <c r="C1587" s="43" t="s">
        <v>451</v>
      </c>
      <c r="D1587" s="43">
        <v>10257104</v>
      </c>
      <c r="E1587" t="s">
        <v>1263</v>
      </c>
      <c r="F1587" s="47" t="str">
        <f>+Empresa_Centro[[#This Row],[Codigo Centro Gestion]]&amp;" - "&amp;Empresa_Centro[[#This Row],[Nombre Centro Gestion]]</f>
        <v>10257104 - Condominio Manuel Jesus Rivera 2-Ventas</v>
      </c>
    </row>
    <row r="1588" spans="1:6" x14ac:dyDescent="0.25">
      <c r="A1588" s="43">
        <v>99</v>
      </c>
      <c r="B1588" t="s">
        <v>450</v>
      </c>
      <c r="C1588" s="43" t="s">
        <v>451</v>
      </c>
      <c r="D1588" s="43">
        <v>10258104</v>
      </c>
      <c r="E1588" t="s">
        <v>1272</v>
      </c>
      <c r="F1588" s="47" t="str">
        <f>+Empresa_Centro[[#This Row],[Codigo Centro Gestion]]&amp;" - "&amp;Empresa_Centro[[#This Row],[Nombre Centro Gestion]]</f>
        <v>10258104 - Manuel Jesus Rivera Lote 1-Ventas</v>
      </c>
    </row>
    <row r="1589" spans="1:6" x14ac:dyDescent="0.25">
      <c r="A1589" s="43">
        <v>99</v>
      </c>
      <c r="B1589" t="s">
        <v>450</v>
      </c>
      <c r="C1589" s="43" t="s">
        <v>451</v>
      </c>
      <c r="D1589" s="43">
        <v>10259104</v>
      </c>
      <c r="E1589" t="s">
        <v>1280</v>
      </c>
      <c r="F1589" s="47" t="str">
        <f>+Empresa_Centro[[#This Row],[Codigo Centro Gestion]]&amp;" - "&amp;Empresa_Centro[[#This Row],[Nombre Centro Gestion]]</f>
        <v>10259104 - Blanca Estela I Torre A y B-Ventas</v>
      </c>
    </row>
    <row r="1590" spans="1:6" x14ac:dyDescent="0.25">
      <c r="A1590" s="43">
        <v>99</v>
      </c>
      <c r="B1590" t="s">
        <v>450</v>
      </c>
      <c r="C1590" s="43" t="s">
        <v>451</v>
      </c>
      <c r="D1590" s="43">
        <v>10259104</v>
      </c>
      <c r="E1590" t="s">
        <v>1280</v>
      </c>
      <c r="F1590" s="47" t="str">
        <f>+Empresa_Centro[[#This Row],[Codigo Centro Gestion]]&amp;" - "&amp;Empresa_Centro[[#This Row],[Nombre Centro Gestion]]</f>
        <v>10259104 - Blanca Estela I Torre A y B-Ventas</v>
      </c>
    </row>
    <row r="1591" spans="1:6" x14ac:dyDescent="0.25">
      <c r="A1591" s="43">
        <v>99</v>
      </c>
      <c r="B1591" t="s">
        <v>450</v>
      </c>
      <c r="C1591" s="43" t="s">
        <v>451</v>
      </c>
      <c r="D1591" s="43">
        <v>10260104</v>
      </c>
      <c r="E1591" t="s">
        <v>1288</v>
      </c>
      <c r="F1591" s="47" t="str">
        <f>+Empresa_Centro[[#This Row],[Codigo Centro Gestion]]&amp;" - "&amp;Empresa_Centro[[#This Row],[Nombre Centro Gestion]]</f>
        <v>10260104 - Blanca Estela II Torre A y B-Ventas</v>
      </c>
    </row>
    <row r="1592" spans="1:6" x14ac:dyDescent="0.25">
      <c r="A1592" s="43">
        <v>99</v>
      </c>
      <c r="B1592" t="s">
        <v>450</v>
      </c>
      <c r="C1592" s="43" t="s">
        <v>451</v>
      </c>
      <c r="D1592" s="43">
        <v>10261104</v>
      </c>
      <c r="E1592" t="s">
        <v>1297</v>
      </c>
      <c r="F1592" s="47" t="str">
        <f>+Empresa_Centro[[#This Row],[Codigo Centro Gestion]]&amp;" - "&amp;Empresa_Centro[[#This Row],[Nombre Centro Gestion]]</f>
        <v>10261104 - DS49 Valle Alto Placilla-Ventas</v>
      </c>
    </row>
    <row r="1593" spans="1:6" x14ac:dyDescent="0.25">
      <c r="A1593" s="43">
        <v>99</v>
      </c>
      <c r="B1593" t="s">
        <v>450</v>
      </c>
      <c r="C1593" s="43" t="s">
        <v>451</v>
      </c>
      <c r="D1593" s="43">
        <v>10262104</v>
      </c>
      <c r="E1593" t="s">
        <v>1305</v>
      </c>
      <c r="F1593" s="47" t="str">
        <f>+Empresa_Centro[[#This Row],[Codigo Centro Gestion]]&amp;" - "&amp;Empresa_Centro[[#This Row],[Nombre Centro Gestion]]</f>
        <v>10262104 - Alto Marañon 3-Ventas</v>
      </c>
    </row>
    <row r="1594" spans="1:6" x14ac:dyDescent="0.25">
      <c r="A1594" s="43">
        <v>99</v>
      </c>
      <c r="B1594" t="s">
        <v>450</v>
      </c>
      <c r="C1594" s="43" t="s">
        <v>451</v>
      </c>
      <c r="D1594" s="43">
        <v>10262104</v>
      </c>
      <c r="E1594" t="s">
        <v>1305</v>
      </c>
      <c r="F1594" s="47" t="str">
        <f>+Empresa_Centro[[#This Row],[Codigo Centro Gestion]]&amp;" - "&amp;Empresa_Centro[[#This Row],[Nombre Centro Gestion]]</f>
        <v>10262104 - Alto Marañon 3-Ventas</v>
      </c>
    </row>
    <row r="1595" spans="1:6" x14ac:dyDescent="0.25">
      <c r="A1595" s="43">
        <v>99</v>
      </c>
      <c r="B1595" t="s">
        <v>450</v>
      </c>
      <c r="C1595" s="43" t="s">
        <v>451</v>
      </c>
      <c r="D1595" s="43">
        <v>10263104</v>
      </c>
      <c r="E1595" t="s">
        <v>1313</v>
      </c>
      <c r="F1595" s="47" t="str">
        <f>+Empresa_Centro[[#This Row],[Codigo Centro Gestion]]&amp;" - "&amp;Empresa_Centro[[#This Row],[Nombre Centro Gestion]]</f>
        <v>10263104 - Vicente Reyes-Ventas</v>
      </c>
    </row>
    <row r="1596" spans="1:6" x14ac:dyDescent="0.25">
      <c r="A1596" s="43">
        <v>99</v>
      </c>
      <c r="B1596" t="s">
        <v>450</v>
      </c>
      <c r="C1596" s="43" t="s">
        <v>451</v>
      </c>
      <c r="D1596" s="43">
        <v>10264104</v>
      </c>
      <c r="E1596" t="s">
        <v>1321</v>
      </c>
      <c r="F1596" s="47" t="str">
        <f>+Empresa_Centro[[#This Row],[Codigo Centro Gestion]]&amp;" - "&amp;Empresa_Centro[[#This Row],[Nombre Centro Gestion]]</f>
        <v>10264104 - Edificio Libertad-Ventas</v>
      </c>
    </row>
    <row r="1597" spans="1:6" x14ac:dyDescent="0.25">
      <c r="A1597" s="43">
        <v>99</v>
      </c>
      <c r="B1597" t="s">
        <v>450</v>
      </c>
      <c r="C1597" s="43" t="s">
        <v>451</v>
      </c>
      <c r="D1597" s="43">
        <v>10265104</v>
      </c>
      <c r="E1597" t="s">
        <v>1329</v>
      </c>
      <c r="F1597" s="47" t="str">
        <f>+Empresa_Centro[[#This Row],[Codigo Centro Gestion]]&amp;" - "&amp;Empresa_Centro[[#This Row],[Nombre Centro Gestion]]</f>
        <v>10265104 - Edificio Latorre-Ventas</v>
      </c>
    </row>
    <row r="1598" spans="1:6" x14ac:dyDescent="0.25">
      <c r="A1598" s="43">
        <v>99</v>
      </c>
      <c r="B1598" t="s">
        <v>450</v>
      </c>
      <c r="C1598" s="43" t="s">
        <v>451</v>
      </c>
      <c r="D1598" s="43">
        <v>10266104</v>
      </c>
      <c r="E1598" t="s">
        <v>1337</v>
      </c>
      <c r="F1598" s="47" t="str">
        <f>+Empresa_Centro[[#This Row],[Codigo Centro Gestion]]&amp;" - "&amp;Empresa_Centro[[#This Row],[Nombre Centro Gestion]]</f>
        <v>10266104 - 18 de Septiembre-Ventas</v>
      </c>
    </row>
    <row r="1599" spans="1:6" x14ac:dyDescent="0.25">
      <c r="A1599" s="43">
        <v>99</v>
      </c>
      <c r="B1599" t="s">
        <v>450</v>
      </c>
      <c r="C1599" s="43" t="s">
        <v>451</v>
      </c>
      <c r="D1599" s="43">
        <v>10267104</v>
      </c>
      <c r="E1599" t="s">
        <v>1346</v>
      </c>
      <c r="F1599" s="47" t="str">
        <f>+Empresa_Centro[[#This Row],[Codigo Centro Gestion]]&amp;" - "&amp;Empresa_Centro[[#This Row],[Nombre Centro Gestion]]</f>
        <v>10267104 - Condominio Jardines del Sur Etapa 1-Ventas</v>
      </c>
    </row>
    <row r="1600" spans="1:6" x14ac:dyDescent="0.25">
      <c r="A1600" s="43">
        <v>99</v>
      </c>
      <c r="B1600" t="s">
        <v>450</v>
      </c>
      <c r="C1600" s="43" t="s">
        <v>451</v>
      </c>
      <c r="D1600" s="43">
        <v>10268104</v>
      </c>
      <c r="E1600" t="s">
        <v>1355</v>
      </c>
      <c r="F1600" s="47" t="str">
        <f>+Empresa_Centro[[#This Row],[Codigo Centro Gestion]]&amp;" - "&amp;Empresa_Centro[[#This Row],[Nombre Centro Gestion]]</f>
        <v>10268104 - Condominio Jardines del Sur Etapa 2-Ventas</v>
      </c>
    </row>
    <row r="1601" spans="1:6" x14ac:dyDescent="0.25">
      <c r="A1601" s="43">
        <v>99</v>
      </c>
      <c r="B1601" t="s">
        <v>450</v>
      </c>
      <c r="C1601" s="43" t="s">
        <v>451</v>
      </c>
      <c r="D1601" s="43">
        <v>10300104</v>
      </c>
      <c r="E1601" t="s">
        <v>1364</v>
      </c>
      <c r="F1601" s="47" t="str">
        <f>+Empresa_Centro[[#This Row],[Codigo Centro Gestion]]&amp;" - "&amp;Empresa_Centro[[#This Row],[Nombre Centro Gestion]]</f>
        <v>10300104 - Edificio Pedro de la Barra-Ventas</v>
      </c>
    </row>
    <row r="1602" spans="1:6" x14ac:dyDescent="0.25">
      <c r="A1602" s="43">
        <v>99</v>
      </c>
      <c r="B1602" t="s">
        <v>450</v>
      </c>
      <c r="C1602" s="43" t="s">
        <v>451</v>
      </c>
      <c r="D1602" s="43">
        <v>10301000</v>
      </c>
      <c r="E1602" t="s">
        <v>1370</v>
      </c>
      <c r="F1602" s="47" t="str">
        <f>+Empresa_Centro[[#This Row],[Codigo Centro Gestion]]&amp;" - "&amp;Empresa_Centro[[#This Row],[Nombre Centro Gestion]]</f>
        <v>10301000 - Condominio Jorge Cáceres Etapa 2</v>
      </c>
    </row>
    <row r="1603" spans="1:6" x14ac:dyDescent="0.25">
      <c r="A1603" s="43">
        <v>99</v>
      </c>
      <c r="B1603" t="s">
        <v>450</v>
      </c>
      <c r="C1603" s="43" t="s">
        <v>451</v>
      </c>
      <c r="D1603" s="43">
        <v>10301102</v>
      </c>
      <c r="E1603" t="s">
        <v>1371</v>
      </c>
      <c r="F1603" s="47" t="str">
        <f>+Empresa_Centro[[#This Row],[Codigo Centro Gestion]]&amp;" - "&amp;Empresa_Centro[[#This Row],[Nombre Centro Gestion]]</f>
        <v>10301102 - Condominio Jorge Cáceres Etapa 2-Marketing</v>
      </c>
    </row>
    <row r="1604" spans="1:6" x14ac:dyDescent="0.25">
      <c r="A1604" s="43">
        <v>99</v>
      </c>
      <c r="B1604" t="s">
        <v>450</v>
      </c>
      <c r="C1604" s="43" t="s">
        <v>451</v>
      </c>
      <c r="D1604" s="43">
        <v>10301103</v>
      </c>
      <c r="E1604" t="s">
        <v>1372</v>
      </c>
      <c r="F1604" s="47" t="str">
        <f>+Empresa_Centro[[#This Row],[Codigo Centro Gestion]]&amp;" - "&amp;Empresa_Centro[[#This Row],[Nombre Centro Gestion]]</f>
        <v>10301103 - Condominio Jorge Cáceres Etapa 2-Operaciones</v>
      </c>
    </row>
    <row r="1605" spans="1:6" x14ac:dyDescent="0.25">
      <c r="A1605" s="43">
        <v>99</v>
      </c>
      <c r="B1605" t="s">
        <v>450</v>
      </c>
      <c r="C1605" s="43" t="s">
        <v>451</v>
      </c>
      <c r="D1605" s="43">
        <v>10301104</v>
      </c>
      <c r="E1605" t="s">
        <v>1373</v>
      </c>
      <c r="F1605" s="47" t="str">
        <f>+Empresa_Centro[[#This Row],[Codigo Centro Gestion]]&amp;" - "&amp;Empresa_Centro[[#This Row],[Nombre Centro Gestion]]</f>
        <v>10301104 - Condominio Jorge Cáceres Etapa 2-Ventas</v>
      </c>
    </row>
    <row r="1606" spans="1:6" x14ac:dyDescent="0.25">
      <c r="A1606" s="43">
        <v>99</v>
      </c>
      <c r="B1606" t="s">
        <v>450</v>
      </c>
      <c r="C1606" s="43" t="s">
        <v>451</v>
      </c>
      <c r="D1606" s="43">
        <v>10301105</v>
      </c>
      <c r="E1606" t="s">
        <v>1374</v>
      </c>
      <c r="F1606" s="47" t="str">
        <f>+Empresa_Centro[[#This Row],[Codigo Centro Gestion]]&amp;" - "&amp;Empresa_Centro[[#This Row],[Nombre Centro Gestion]]</f>
        <v>10301105 - Condominio Jorge Cáceres Etapa 2-Clientes</v>
      </c>
    </row>
    <row r="1607" spans="1:6" x14ac:dyDescent="0.25">
      <c r="A1607" s="43">
        <v>99</v>
      </c>
      <c r="B1607" t="s">
        <v>450</v>
      </c>
      <c r="C1607" s="43" t="s">
        <v>451</v>
      </c>
      <c r="D1607" s="43">
        <v>10301204</v>
      </c>
      <c r="E1607" t="s">
        <v>1375</v>
      </c>
      <c r="F1607" s="47" t="str">
        <f>+Empresa_Centro[[#This Row],[Codigo Centro Gestion]]&amp;" - "&amp;Empresa_Centro[[#This Row],[Nombre Centro Gestion]]</f>
        <v>10301204 - Condominio Jorge Cáceres Etapa 2-Proyecto</v>
      </c>
    </row>
    <row r="1608" spans="1:6" x14ac:dyDescent="0.25">
      <c r="A1608" s="43">
        <v>99</v>
      </c>
      <c r="B1608" t="s">
        <v>450</v>
      </c>
      <c r="C1608" s="43" t="s">
        <v>451</v>
      </c>
      <c r="D1608" s="43">
        <v>10301301</v>
      </c>
      <c r="E1608" t="s">
        <v>1376</v>
      </c>
      <c r="F1608" s="47" t="str">
        <f>+Empresa_Centro[[#This Row],[Codigo Centro Gestion]]&amp;" - "&amp;Empresa_Centro[[#This Row],[Nombre Centro Gestion]]</f>
        <v>10301301 - Condominio Jorge Cáceres Etapa 2-GAF</v>
      </c>
    </row>
    <row r="1609" spans="1:6" x14ac:dyDescent="0.25">
      <c r="A1609" s="43">
        <v>99</v>
      </c>
      <c r="B1609" t="s">
        <v>450</v>
      </c>
      <c r="C1609" s="43" t="s">
        <v>451</v>
      </c>
      <c r="D1609" s="43">
        <v>10301505</v>
      </c>
      <c r="E1609" t="s">
        <v>1377</v>
      </c>
      <c r="F1609" s="47" t="str">
        <f>+Empresa_Centro[[#This Row],[Codigo Centro Gestion]]&amp;" - "&amp;Empresa_Centro[[#This Row],[Nombre Centro Gestion]]</f>
        <v>10301505 - Condominio Jorge Cáceres Etapa 2-PV Inmob.</v>
      </c>
    </row>
    <row r="1610" spans="1:6" x14ac:dyDescent="0.25">
      <c r="A1610" s="43">
        <v>99</v>
      </c>
      <c r="B1610" t="s">
        <v>450</v>
      </c>
      <c r="C1610" s="43" t="s">
        <v>451</v>
      </c>
      <c r="D1610" s="43">
        <v>10301506</v>
      </c>
      <c r="E1610" t="s">
        <v>1378</v>
      </c>
      <c r="F1610" s="47" t="str">
        <f>+Empresa_Centro[[#This Row],[Codigo Centro Gestion]]&amp;" - "&amp;Empresa_Centro[[#This Row],[Nombre Centro Gestion]]</f>
        <v>10301506 - Condominio Jorge Cáceres Etapa 2-Depto.Técnico</v>
      </c>
    </row>
    <row r="1611" spans="1:6" x14ac:dyDescent="0.25">
      <c r="A1611" s="43">
        <v>99</v>
      </c>
      <c r="B1611" t="s">
        <v>450</v>
      </c>
      <c r="C1611" s="43" t="s">
        <v>451</v>
      </c>
      <c r="D1611" s="43">
        <v>10304104</v>
      </c>
      <c r="E1611" t="s">
        <v>1381</v>
      </c>
      <c r="F1611" s="47" t="str">
        <f>+Empresa_Centro[[#This Row],[Codigo Centro Gestion]]&amp;" - "&amp;Empresa_Centro[[#This Row],[Nombre Centro Gestion]]</f>
        <v>10304104 - Parque Marañon Torre A-Ventas</v>
      </c>
    </row>
    <row r="1612" spans="1:6" x14ac:dyDescent="0.25">
      <c r="A1612" s="43">
        <v>99</v>
      </c>
      <c r="B1612" t="s">
        <v>450</v>
      </c>
      <c r="C1612" s="43" t="s">
        <v>451</v>
      </c>
      <c r="D1612" s="43">
        <v>10305000</v>
      </c>
      <c r="E1612" t="s">
        <v>486</v>
      </c>
      <c r="F1612" s="47" t="str">
        <f>+Empresa_Centro[[#This Row],[Codigo Centro Gestion]]&amp;" - "&amp;Empresa_Centro[[#This Row],[Nombre Centro Gestion]]</f>
        <v>10305000 - Condominio Parque Del Sur Torre A</v>
      </c>
    </row>
    <row r="1613" spans="1:6" x14ac:dyDescent="0.25">
      <c r="A1613" s="43">
        <v>99</v>
      </c>
      <c r="B1613" t="s">
        <v>450</v>
      </c>
      <c r="C1613" s="43" t="s">
        <v>451</v>
      </c>
      <c r="D1613" s="43">
        <v>10305102</v>
      </c>
      <c r="E1613" t="s">
        <v>1387</v>
      </c>
      <c r="F1613" s="47" t="str">
        <f>+Empresa_Centro[[#This Row],[Codigo Centro Gestion]]&amp;" - "&amp;Empresa_Centro[[#This Row],[Nombre Centro Gestion]]</f>
        <v>10305102 - Condominio Parque Del Sur Torre A-Marketing</v>
      </c>
    </row>
    <row r="1614" spans="1:6" x14ac:dyDescent="0.25">
      <c r="A1614" s="43">
        <v>99</v>
      </c>
      <c r="B1614" t="s">
        <v>450</v>
      </c>
      <c r="C1614" s="43" t="s">
        <v>451</v>
      </c>
      <c r="D1614" s="43">
        <v>10305103</v>
      </c>
      <c r="E1614" t="s">
        <v>1388</v>
      </c>
      <c r="F1614" s="47" t="str">
        <f>+Empresa_Centro[[#This Row],[Codigo Centro Gestion]]&amp;" - "&amp;Empresa_Centro[[#This Row],[Nombre Centro Gestion]]</f>
        <v>10305103 - Condominio Parque Del Sur Torre A-Operaciones</v>
      </c>
    </row>
    <row r="1615" spans="1:6" x14ac:dyDescent="0.25">
      <c r="A1615" s="43">
        <v>99</v>
      </c>
      <c r="B1615" t="s">
        <v>450</v>
      </c>
      <c r="C1615" s="43" t="s">
        <v>451</v>
      </c>
      <c r="D1615" s="43">
        <v>10305104</v>
      </c>
      <c r="E1615" t="s">
        <v>1389</v>
      </c>
      <c r="F1615" s="47" t="str">
        <f>+Empresa_Centro[[#This Row],[Codigo Centro Gestion]]&amp;" - "&amp;Empresa_Centro[[#This Row],[Nombre Centro Gestion]]</f>
        <v>10305104 - Condominio Parque Del Sur Torre A-Ventas</v>
      </c>
    </row>
    <row r="1616" spans="1:6" x14ac:dyDescent="0.25">
      <c r="A1616" s="43">
        <v>99</v>
      </c>
      <c r="B1616" t="s">
        <v>450</v>
      </c>
      <c r="C1616" s="43" t="s">
        <v>451</v>
      </c>
      <c r="D1616" s="43">
        <v>10305105</v>
      </c>
      <c r="E1616" t="s">
        <v>1390</v>
      </c>
      <c r="F1616" s="47" t="str">
        <f>+Empresa_Centro[[#This Row],[Codigo Centro Gestion]]&amp;" - "&amp;Empresa_Centro[[#This Row],[Nombre Centro Gestion]]</f>
        <v>10305105 - Condominio Parque Del Sur Torre A-Clientes</v>
      </c>
    </row>
    <row r="1617" spans="1:6" x14ac:dyDescent="0.25">
      <c r="A1617" s="43">
        <v>99</v>
      </c>
      <c r="B1617" t="s">
        <v>450</v>
      </c>
      <c r="C1617" s="43" t="s">
        <v>451</v>
      </c>
      <c r="D1617" s="43">
        <v>10305204</v>
      </c>
      <c r="E1617" t="s">
        <v>1391</v>
      </c>
      <c r="F1617" s="47" t="str">
        <f>+Empresa_Centro[[#This Row],[Codigo Centro Gestion]]&amp;" - "&amp;Empresa_Centro[[#This Row],[Nombre Centro Gestion]]</f>
        <v>10305204 - Condominio Parque Del Sur Torre A-Proyecto</v>
      </c>
    </row>
    <row r="1618" spans="1:6" x14ac:dyDescent="0.25">
      <c r="A1618" s="43">
        <v>99</v>
      </c>
      <c r="B1618" t="s">
        <v>450</v>
      </c>
      <c r="C1618" s="43" t="s">
        <v>451</v>
      </c>
      <c r="D1618" s="43">
        <v>10305301</v>
      </c>
      <c r="E1618" t="s">
        <v>1392</v>
      </c>
      <c r="F1618" s="47" t="str">
        <f>+Empresa_Centro[[#This Row],[Codigo Centro Gestion]]&amp;" - "&amp;Empresa_Centro[[#This Row],[Nombre Centro Gestion]]</f>
        <v>10305301 - Condominio Parque Del Sur Torre A-GAF</v>
      </c>
    </row>
    <row r="1619" spans="1:6" x14ac:dyDescent="0.25">
      <c r="A1619" s="43">
        <v>99</v>
      </c>
      <c r="B1619" t="s">
        <v>450</v>
      </c>
      <c r="C1619" s="43" t="s">
        <v>451</v>
      </c>
      <c r="D1619" s="43">
        <v>10305505</v>
      </c>
      <c r="E1619" t="s">
        <v>1393</v>
      </c>
      <c r="F1619" s="47" t="str">
        <f>+Empresa_Centro[[#This Row],[Codigo Centro Gestion]]&amp;" - "&amp;Empresa_Centro[[#This Row],[Nombre Centro Gestion]]</f>
        <v>10305505 - Condominio Parque Del Sur Torre A-PV Inmob.</v>
      </c>
    </row>
    <row r="1620" spans="1:6" x14ac:dyDescent="0.25">
      <c r="A1620" s="43">
        <v>99</v>
      </c>
      <c r="B1620" t="s">
        <v>450</v>
      </c>
      <c r="C1620" s="43" t="s">
        <v>451</v>
      </c>
      <c r="D1620" s="43">
        <v>10305506</v>
      </c>
      <c r="E1620" t="s">
        <v>1394</v>
      </c>
      <c r="F1620" s="47" t="str">
        <f>+Empresa_Centro[[#This Row],[Codigo Centro Gestion]]&amp;" - "&amp;Empresa_Centro[[#This Row],[Nombre Centro Gestion]]</f>
        <v>10305506 - Condominio Parque Del Sur Torre A-Depto.Técnico</v>
      </c>
    </row>
    <row r="1621" spans="1:6" x14ac:dyDescent="0.25">
      <c r="A1621" s="43">
        <v>99</v>
      </c>
      <c r="B1621" t="s">
        <v>450</v>
      </c>
      <c r="C1621" s="43" t="s">
        <v>451</v>
      </c>
      <c r="D1621" s="43">
        <v>10307104</v>
      </c>
      <c r="E1621" t="s">
        <v>1397</v>
      </c>
      <c r="F1621" s="47" t="str">
        <f>+Empresa_Centro[[#This Row],[Codigo Centro Gestion]]&amp;" - "&amp;Empresa_Centro[[#This Row],[Nombre Centro Gestion]]</f>
        <v>10307104 - El Yodo-Ventas</v>
      </c>
    </row>
    <row r="1622" spans="1:6" x14ac:dyDescent="0.25">
      <c r="A1622" s="43">
        <v>99</v>
      </c>
      <c r="B1622" t="s">
        <v>450</v>
      </c>
      <c r="C1622" s="43" t="s">
        <v>451</v>
      </c>
      <c r="D1622" s="43">
        <v>10352104</v>
      </c>
      <c r="E1622" t="s">
        <v>1405</v>
      </c>
      <c r="F1622" s="47" t="str">
        <f>+Empresa_Centro[[#This Row],[Codigo Centro Gestion]]&amp;" - "&amp;Empresa_Centro[[#This Row],[Nombre Centro Gestion]]</f>
        <v>10352104 - Miraflores Lote 1 Edificio 1-Ventas</v>
      </c>
    </row>
    <row r="1623" spans="1:6" x14ac:dyDescent="0.25">
      <c r="A1623" s="43">
        <v>99</v>
      </c>
      <c r="B1623" t="s">
        <v>450</v>
      </c>
      <c r="C1623" s="43" t="s">
        <v>451</v>
      </c>
      <c r="D1623" s="43">
        <v>10353104</v>
      </c>
      <c r="E1623" t="s">
        <v>1413</v>
      </c>
      <c r="F1623" s="47" t="str">
        <f>+Empresa_Centro[[#This Row],[Codigo Centro Gestion]]&amp;" - "&amp;Empresa_Centro[[#This Row],[Nombre Centro Gestion]]</f>
        <v>10353104 - Edificio Alvarez Oriente-Ventas</v>
      </c>
    </row>
    <row r="1624" spans="1:6" x14ac:dyDescent="0.25">
      <c r="A1624" s="43">
        <v>99</v>
      </c>
      <c r="B1624" t="s">
        <v>450</v>
      </c>
      <c r="C1624" s="43" t="s">
        <v>451</v>
      </c>
      <c r="D1624" s="43">
        <v>10356104</v>
      </c>
      <c r="E1624" t="s">
        <v>1421</v>
      </c>
      <c r="F1624" s="47" t="str">
        <f>+Empresa_Centro[[#This Row],[Codigo Centro Gestion]]&amp;" - "&amp;Empresa_Centro[[#This Row],[Nombre Centro Gestion]]</f>
        <v>10356104 - Miraflores Lote 2-Ventas</v>
      </c>
    </row>
    <row r="1625" spans="1:6" x14ac:dyDescent="0.25">
      <c r="A1625" s="43">
        <v>99</v>
      </c>
      <c r="B1625" t="s">
        <v>450</v>
      </c>
      <c r="C1625" s="43" t="s">
        <v>451</v>
      </c>
      <c r="D1625" s="43">
        <v>10359104</v>
      </c>
      <c r="E1625" t="s">
        <v>1429</v>
      </c>
      <c r="F1625" s="47" t="str">
        <f>+Empresa_Centro[[#This Row],[Codigo Centro Gestion]]&amp;" - "&amp;Empresa_Centro[[#This Row],[Nombre Centro Gestion]]</f>
        <v>10359104 - Edificio Liparita-Ventas</v>
      </c>
    </row>
    <row r="1626" spans="1:6" x14ac:dyDescent="0.25">
      <c r="A1626" s="43">
        <v>99</v>
      </c>
      <c r="B1626" t="s">
        <v>450</v>
      </c>
      <c r="C1626" s="43" t="s">
        <v>451</v>
      </c>
      <c r="D1626" s="43">
        <v>10360104</v>
      </c>
      <c r="E1626" t="s">
        <v>1437</v>
      </c>
      <c r="F1626" s="47" t="str">
        <f>+Empresa_Centro[[#This Row],[Codigo Centro Gestion]]&amp;" - "&amp;Empresa_Centro[[#This Row],[Nombre Centro Gestion]]</f>
        <v>10360104 - Francisco Zelada Torre A-Ventas</v>
      </c>
    </row>
    <row r="1627" spans="1:6" x14ac:dyDescent="0.25">
      <c r="A1627" s="43">
        <v>99</v>
      </c>
      <c r="B1627" t="s">
        <v>450</v>
      </c>
      <c r="C1627" s="43" t="s">
        <v>451</v>
      </c>
      <c r="D1627" s="43">
        <v>10361104</v>
      </c>
      <c r="E1627" t="s">
        <v>1445</v>
      </c>
      <c r="F1627" s="47" t="str">
        <f>+Empresa_Centro[[#This Row],[Codigo Centro Gestion]]&amp;" - "&amp;Empresa_Centro[[#This Row],[Nombre Centro Gestion]]</f>
        <v>10361104 - Carmen 1879-Ventas</v>
      </c>
    </row>
    <row r="1628" spans="1:6" x14ac:dyDescent="0.25">
      <c r="A1628" s="43">
        <v>99</v>
      </c>
      <c r="B1628" t="s">
        <v>450</v>
      </c>
      <c r="C1628" s="43" t="s">
        <v>451</v>
      </c>
      <c r="D1628" s="43">
        <v>10364104</v>
      </c>
      <c r="E1628" t="s">
        <v>1454</v>
      </c>
      <c r="F1628" s="47" t="str">
        <f>+Empresa_Centro[[#This Row],[Codigo Centro Gestion]]&amp;" - "&amp;Empresa_Centro[[#This Row],[Nombre Centro Gestion]]</f>
        <v>10364104 - DS19 Gran Avenida Etapa 1 (Torre C-D)-Ventas</v>
      </c>
    </row>
    <row r="1629" spans="1:6" x14ac:dyDescent="0.25">
      <c r="A1629" s="43">
        <v>99</v>
      </c>
      <c r="B1629" t="s">
        <v>450</v>
      </c>
      <c r="C1629" s="43" t="s">
        <v>451</v>
      </c>
      <c r="D1629" s="43">
        <v>10365000</v>
      </c>
      <c r="E1629" t="s">
        <v>1476</v>
      </c>
      <c r="F1629" s="47" t="str">
        <f>+Empresa_Centro[[#This Row],[Codigo Centro Gestion]]&amp;" - "&amp;Empresa_Centro[[#This Row],[Nombre Centro Gestion]]</f>
        <v>10365000 - Condominio Parque Del Sur Torre B</v>
      </c>
    </row>
    <row r="1630" spans="1:6" x14ac:dyDescent="0.25">
      <c r="A1630" s="43">
        <v>99</v>
      </c>
      <c r="B1630" t="s">
        <v>450</v>
      </c>
      <c r="C1630" s="43" t="s">
        <v>451</v>
      </c>
      <c r="D1630" s="43">
        <v>10365102</v>
      </c>
      <c r="E1630" t="s">
        <v>1477</v>
      </c>
      <c r="F1630" s="47" t="str">
        <f>+Empresa_Centro[[#This Row],[Codigo Centro Gestion]]&amp;" - "&amp;Empresa_Centro[[#This Row],[Nombre Centro Gestion]]</f>
        <v>10365102 - Condominio Parque Del Sur Torre B-Marketing</v>
      </c>
    </row>
    <row r="1631" spans="1:6" x14ac:dyDescent="0.25">
      <c r="A1631" s="43">
        <v>99</v>
      </c>
      <c r="B1631" t="s">
        <v>450</v>
      </c>
      <c r="C1631" s="43" t="s">
        <v>451</v>
      </c>
      <c r="D1631" s="43">
        <v>10365103</v>
      </c>
      <c r="E1631" t="s">
        <v>1478</v>
      </c>
      <c r="F1631" s="47" t="str">
        <f>+Empresa_Centro[[#This Row],[Codigo Centro Gestion]]&amp;" - "&amp;Empresa_Centro[[#This Row],[Nombre Centro Gestion]]</f>
        <v>10365103 - Condominio Parque Del Sur Torre B-Operaciones</v>
      </c>
    </row>
    <row r="1632" spans="1:6" x14ac:dyDescent="0.25">
      <c r="A1632" s="43">
        <v>99</v>
      </c>
      <c r="B1632" t="s">
        <v>450</v>
      </c>
      <c r="C1632" s="43" t="s">
        <v>451</v>
      </c>
      <c r="D1632" s="43">
        <v>10365104</v>
      </c>
      <c r="E1632" t="s">
        <v>1479</v>
      </c>
      <c r="F1632" s="47" t="str">
        <f>+Empresa_Centro[[#This Row],[Codigo Centro Gestion]]&amp;" - "&amp;Empresa_Centro[[#This Row],[Nombre Centro Gestion]]</f>
        <v>10365104 - Condominio Parque Del Sur Torre B-Ventas</v>
      </c>
    </row>
    <row r="1633" spans="1:6" x14ac:dyDescent="0.25">
      <c r="A1633" s="43">
        <v>99</v>
      </c>
      <c r="B1633" t="s">
        <v>450</v>
      </c>
      <c r="C1633" s="43" t="s">
        <v>451</v>
      </c>
      <c r="D1633" s="43">
        <v>10365105</v>
      </c>
      <c r="E1633" t="s">
        <v>1480</v>
      </c>
      <c r="F1633" s="47" t="str">
        <f>+Empresa_Centro[[#This Row],[Codigo Centro Gestion]]&amp;" - "&amp;Empresa_Centro[[#This Row],[Nombre Centro Gestion]]</f>
        <v>10365105 - Condominio Parque Del Sur Torre B-Clientes</v>
      </c>
    </row>
    <row r="1634" spans="1:6" x14ac:dyDescent="0.25">
      <c r="A1634" s="43">
        <v>99</v>
      </c>
      <c r="B1634" t="s">
        <v>450</v>
      </c>
      <c r="C1634" s="43" t="s">
        <v>451</v>
      </c>
      <c r="D1634" s="43">
        <v>10365204</v>
      </c>
      <c r="E1634" t="s">
        <v>1481</v>
      </c>
      <c r="F1634" s="47" t="str">
        <f>+Empresa_Centro[[#This Row],[Codigo Centro Gestion]]&amp;" - "&amp;Empresa_Centro[[#This Row],[Nombre Centro Gestion]]</f>
        <v>10365204 - Condominio Parque Del Sur Torre B-Proyecto</v>
      </c>
    </row>
    <row r="1635" spans="1:6" x14ac:dyDescent="0.25">
      <c r="A1635" s="43">
        <v>99</v>
      </c>
      <c r="B1635" t="s">
        <v>450</v>
      </c>
      <c r="C1635" s="43" t="s">
        <v>451</v>
      </c>
      <c r="D1635" s="43">
        <v>10365301</v>
      </c>
      <c r="E1635" t="s">
        <v>1482</v>
      </c>
      <c r="F1635" s="47" t="str">
        <f>+Empresa_Centro[[#This Row],[Codigo Centro Gestion]]&amp;" - "&amp;Empresa_Centro[[#This Row],[Nombre Centro Gestion]]</f>
        <v>10365301 - Condominio Parque Del Sur Torre B-GAF</v>
      </c>
    </row>
    <row r="1636" spans="1:6" x14ac:dyDescent="0.25">
      <c r="A1636" s="43">
        <v>99</v>
      </c>
      <c r="B1636" t="s">
        <v>450</v>
      </c>
      <c r="C1636" s="43" t="s">
        <v>451</v>
      </c>
      <c r="D1636" s="43">
        <v>10365505</v>
      </c>
      <c r="E1636" t="s">
        <v>1483</v>
      </c>
      <c r="F1636" s="47" t="str">
        <f>+Empresa_Centro[[#This Row],[Codigo Centro Gestion]]&amp;" - "&amp;Empresa_Centro[[#This Row],[Nombre Centro Gestion]]</f>
        <v>10365505 - Condominio Parque Del Sur Torre B-PV Inmob.</v>
      </c>
    </row>
    <row r="1637" spans="1:6" x14ac:dyDescent="0.25">
      <c r="A1637" s="43">
        <v>99</v>
      </c>
      <c r="B1637" t="s">
        <v>450</v>
      </c>
      <c r="C1637" s="43" t="s">
        <v>451</v>
      </c>
      <c r="D1637" s="43">
        <v>10365506</v>
      </c>
      <c r="E1637" t="s">
        <v>1484</v>
      </c>
      <c r="F1637" s="47" t="str">
        <f>+Empresa_Centro[[#This Row],[Codigo Centro Gestion]]&amp;" - "&amp;Empresa_Centro[[#This Row],[Nombre Centro Gestion]]</f>
        <v>10365506 - Condominio Parque Del Sur Torre B-Depto.Técnico</v>
      </c>
    </row>
    <row r="1638" spans="1:6" x14ac:dyDescent="0.25">
      <c r="A1638" s="43">
        <v>99</v>
      </c>
      <c r="B1638" t="s">
        <v>450</v>
      </c>
      <c r="C1638" s="43" t="s">
        <v>451</v>
      </c>
      <c r="D1638" s="43">
        <v>10366000</v>
      </c>
      <c r="E1638" t="s">
        <v>1485</v>
      </c>
      <c r="F1638" s="47" t="str">
        <f>+Empresa_Centro[[#This Row],[Codigo Centro Gestion]]&amp;" - "&amp;Empresa_Centro[[#This Row],[Nombre Centro Gestion]]</f>
        <v>10366000 - Condominio Parque Del Sur Torre C</v>
      </c>
    </row>
    <row r="1639" spans="1:6" x14ac:dyDescent="0.25">
      <c r="A1639" s="43">
        <v>99</v>
      </c>
      <c r="B1639" t="s">
        <v>450</v>
      </c>
      <c r="C1639" s="43" t="s">
        <v>451</v>
      </c>
      <c r="D1639" s="43">
        <v>10366102</v>
      </c>
      <c r="E1639" t="s">
        <v>1486</v>
      </c>
      <c r="F1639" s="47" t="str">
        <f>+Empresa_Centro[[#This Row],[Codigo Centro Gestion]]&amp;" - "&amp;Empresa_Centro[[#This Row],[Nombre Centro Gestion]]</f>
        <v>10366102 - Condominio Parque Del Sur Torre C-Marketing</v>
      </c>
    </row>
    <row r="1640" spans="1:6" x14ac:dyDescent="0.25">
      <c r="A1640" s="43">
        <v>99</v>
      </c>
      <c r="B1640" t="s">
        <v>450</v>
      </c>
      <c r="C1640" s="43" t="s">
        <v>451</v>
      </c>
      <c r="D1640" s="43">
        <v>10366103</v>
      </c>
      <c r="E1640" t="s">
        <v>1487</v>
      </c>
      <c r="F1640" s="47" t="str">
        <f>+Empresa_Centro[[#This Row],[Codigo Centro Gestion]]&amp;" - "&amp;Empresa_Centro[[#This Row],[Nombre Centro Gestion]]</f>
        <v>10366103 - Condominio Parque Del Sur Torre C-Operaciones</v>
      </c>
    </row>
    <row r="1641" spans="1:6" x14ac:dyDescent="0.25">
      <c r="A1641" s="43">
        <v>99</v>
      </c>
      <c r="B1641" t="s">
        <v>450</v>
      </c>
      <c r="C1641" s="43" t="s">
        <v>451</v>
      </c>
      <c r="D1641" s="43">
        <v>10366104</v>
      </c>
      <c r="E1641" t="s">
        <v>1488</v>
      </c>
      <c r="F1641" s="47" t="str">
        <f>+Empresa_Centro[[#This Row],[Codigo Centro Gestion]]&amp;" - "&amp;Empresa_Centro[[#This Row],[Nombre Centro Gestion]]</f>
        <v>10366104 - Condominio Parque Del Sur Torre C-Ventas</v>
      </c>
    </row>
    <row r="1642" spans="1:6" x14ac:dyDescent="0.25">
      <c r="A1642" s="43">
        <v>99</v>
      </c>
      <c r="B1642" t="s">
        <v>450</v>
      </c>
      <c r="C1642" s="43" t="s">
        <v>451</v>
      </c>
      <c r="D1642" s="43">
        <v>10366105</v>
      </c>
      <c r="E1642" t="s">
        <v>1489</v>
      </c>
      <c r="F1642" s="47" t="str">
        <f>+Empresa_Centro[[#This Row],[Codigo Centro Gestion]]&amp;" - "&amp;Empresa_Centro[[#This Row],[Nombre Centro Gestion]]</f>
        <v>10366105 - Condominio Parque Del Sur Torre C-Clientes</v>
      </c>
    </row>
    <row r="1643" spans="1:6" x14ac:dyDescent="0.25">
      <c r="A1643" s="43">
        <v>99</v>
      </c>
      <c r="B1643" t="s">
        <v>450</v>
      </c>
      <c r="C1643" s="43" t="s">
        <v>451</v>
      </c>
      <c r="D1643" s="43">
        <v>10366204</v>
      </c>
      <c r="E1643" t="s">
        <v>1490</v>
      </c>
      <c r="F1643" s="47" t="str">
        <f>+Empresa_Centro[[#This Row],[Codigo Centro Gestion]]&amp;" - "&amp;Empresa_Centro[[#This Row],[Nombre Centro Gestion]]</f>
        <v>10366204 - Condominio Parque Del Sur Torre C-Proyecto</v>
      </c>
    </row>
    <row r="1644" spans="1:6" x14ac:dyDescent="0.25">
      <c r="A1644" s="43">
        <v>99</v>
      </c>
      <c r="B1644" t="s">
        <v>450</v>
      </c>
      <c r="C1644" s="43" t="s">
        <v>451</v>
      </c>
      <c r="D1644" s="43">
        <v>10366301</v>
      </c>
      <c r="E1644" t="s">
        <v>1491</v>
      </c>
      <c r="F1644" s="47" t="str">
        <f>+Empresa_Centro[[#This Row],[Codigo Centro Gestion]]&amp;" - "&amp;Empresa_Centro[[#This Row],[Nombre Centro Gestion]]</f>
        <v>10366301 - Condominio Parque Del Sur Torre C-GAF</v>
      </c>
    </row>
    <row r="1645" spans="1:6" x14ac:dyDescent="0.25">
      <c r="A1645" s="43">
        <v>99</v>
      </c>
      <c r="B1645" t="s">
        <v>450</v>
      </c>
      <c r="C1645" s="43" t="s">
        <v>451</v>
      </c>
      <c r="D1645" s="43">
        <v>10366505</v>
      </c>
      <c r="E1645" t="s">
        <v>1492</v>
      </c>
      <c r="F1645" s="47" t="str">
        <f>+Empresa_Centro[[#This Row],[Codigo Centro Gestion]]&amp;" - "&amp;Empresa_Centro[[#This Row],[Nombre Centro Gestion]]</f>
        <v>10366505 - Condominio Parque Del Sur Torre C-PV Inmob.</v>
      </c>
    </row>
    <row r="1646" spans="1:6" x14ac:dyDescent="0.25">
      <c r="A1646" s="43">
        <v>99</v>
      </c>
      <c r="B1646" t="s">
        <v>450</v>
      </c>
      <c r="C1646" s="43" t="s">
        <v>451</v>
      </c>
      <c r="D1646" s="43">
        <v>10366506</v>
      </c>
      <c r="E1646" t="s">
        <v>1493</v>
      </c>
      <c r="F1646" s="47" t="str">
        <f>+Empresa_Centro[[#This Row],[Codigo Centro Gestion]]&amp;" - "&amp;Empresa_Centro[[#This Row],[Nombre Centro Gestion]]</f>
        <v>10366506 - Condominio Parque Del Sur Torre C-Depto.Técnico</v>
      </c>
    </row>
    <row r="1647" spans="1:6" x14ac:dyDescent="0.25">
      <c r="A1647" s="43">
        <v>99</v>
      </c>
      <c r="B1647" t="s">
        <v>450</v>
      </c>
      <c r="C1647" s="43" t="s">
        <v>451</v>
      </c>
      <c r="D1647" s="43">
        <v>10370104</v>
      </c>
      <c r="E1647" t="s">
        <v>1463</v>
      </c>
      <c r="F1647" s="47" t="str">
        <f>+Empresa_Centro[[#This Row],[Codigo Centro Gestion]]&amp;" - "&amp;Empresa_Centro[[#This Row],[Nombre Centro Gestion]]</f>
        <v>10370104 - DS19 Gran Avenida Etapa 2 (Torre A-B)-Ventas</v>
      </c>
    </row>
    <row r="1648" spans="1:6" x14ac:dyDescent="0.25">
      <c r="A1648" s="43">
        <v>99</v>
      </c>
      <c r="B1648" t="s">
        <v>450</v>
      </c>
      <c r="C1648" s="43" t="s">
        <v>451</v>
      </c>
      <c r="D1648" s="43">
        <v>10502104</v>
      </c>
      <c r="E1648" t="s">
        <v>1470</v>
      </c>
      <c r="F1648" s="47" t="str">
        <f>+Empresa_Centro[[#This Row],[Codigo Centro Gestion]]&amp;" - "&amp;Empresa_Centro[[#This Row],[Nombre Centro Gestion]]</f>
        <v>10502104 - Labbé 1172-Ventas</v>
      </c>
    </row>
    <row r="1649" spans="1:6" x14ac:dyDescent="0.25">
      <c r="A1649" s="43">
        <v>89</v>
      </c>
      <c r="B1649" t="s">
        <v>440</v>
      </c>
      <c r="C1649" s="43" t="s">
        <v>441</v>
      </c>
      <c r="D1649" s="43">
        <v>70309</v>
      </c>
      <c r="E1649" t="s">
        <v>252</v>
      </c>
      <c r="F1649" s="47" t="str">
        <f>+Empresa_Centro[[#This Row],[Codigo Centro Gestion]]&amp;" - "&amp;Empresa_Centro[[#This Row],[Nombre Centro Gestion]]</f>
        <v>70309 - OFICINA CENTRAL</v>
      </c>
    </row>
    <row r="1650" spans="1:6" x14ac:dyDescent="0.25">
      <c r="A1650" s="43">
        <v>54</v>
      </c>
      <c r="B1650" t="s">
        <v>415</v>
      </c>
      <c r="C1650" s="43" t="s">
        <v>416</v>
      </c>
      <c r="D1650" s="43">
        <v>70309</v>
      </c>
      <c r="E1650" t="s">
        <v>252</v>
      </c>
      <c r="F1650" s="47" t="str">
        <f>+Empresa_Centro[[#This Row],[Codigo Centro Gestion]]&amp;" - "&amp;Empresa_Centro[[#This Row],[Nombre Centro Gestion]]</f>
        <v>70309 - OFICINA CENTRAL</v>
      </c>
    </row>
    <row r="1651" spans="1:6" x14ac:dyDescent="0.25">
      <c r="A1651" s="43">
        <v>54</v>
      </c>
      <c r="B1651" t="s">
        <v>415</v>
      </c>
      <c r="C1651" s="43" t="s">
        <v>416</v>
      </c>
      <c r="D1651" s="43">
        <v>1088202</v>
      </c>
      <c r="E1651" t="s">
        <v>732</v>
      </c>
      <c r="F1651" s="47" t="str">
        <f>+Empresa_Centro[[#This Row],[Codigo Centro Gestion]]&amp;" - "&amp;Empresa_Centro[[#This Row],[Nombre Centro Gestion]]</f>
        <v>1088202 - Terreno Vista Las Palmas – Desarrollo</v>
      </c>
    </row>
    <row r="1652" spans="1:6" x14ac:dyDescent="0.25">
      <c r="A1652" s="43">
        <v>54</v>
      </c>
      <c r="B1652" t="s">
        <v>415</v>
      </c>
      <c r="C1652" s="43" t="s">
        <v>416</v>
      </c>
      <c r="D1652" s="43">
        <v>10062204</v>
      </c>
      <c r="E1652" t="s">
        <v>785</v>
      </c>
      <c r="F1652" s="47" t="str">
        <f>+Empresa_Centro[[#This Row],[Codigo Centro Gestion]]&amp;" - "&amp;Empresa_Centro[[#This Row],[Nombre Centro Gestion]]</f>
        <v>10062204 - Cumbres del Mar-Proyecto</v>
      </c>
    </row>
    <row r="1653" spans="1:6" x14ac:dyDescent="0.25">
      <c r="A1653" s="43">
        <v>54</v>
      </c>
      <c r="B1653" t="s">
        <v>415</v>
      </c>
      <c r="C1653" s="43" t="s">
        <v>416</v>
      </c>
      <c r="D1653" s="43">
        <v>10212000</v>
      </c>
      <c r="E1653" t="s">
        <v>961</v>
      </c>
      <c r="F1653" s="47" t="str">
        <f>+Empresa_Centro[[#This Row],[Codigo Centro Gestion]]&amp;" - "&amp;Empresa_Centro[[#This Row],[Nombre Centro Gestion]]</f>
        <v>10212000 - Edificio Constantino 54</v>
      </c>
    </row>
    <row r="1654" spans="1:6" x14ac:dyDescent="0.25">
      <c r="A1654" s="43">
        <v>55</v>
      </c>
      <c r="B1654" t="s">
        <v>417</v>
      </c>
      <c r="C1654" s="43" t="s">
        <v>418</v>
      </c>
      <c r="D1654" s="43">
        <v>70309</v>
      </c>
      <c r="E1654" t="s">
        <v>252</v>
      </c>
      <c r="F1654" s="47" t="str">
        <f>+Empresa_Centro[[#This Row],[Codigo Centro Gestion]]&amp;" - "&amp;Empresa_Centro[[#This Row],[Nombre Centro Gestion]]</f>
        <v>70309 - OFICINA CENTRAL</v>
      </c>
    </row>
    <row r="1655" spans="1:6" x14ac:dyDescent="0.25">
      <c r="A1655" s="43">
        <v>62</v>
      </c>
      <c r="B1655" t="s">
        <v>63</v>
      </c>
      <c r="C1655" s="43" t="s">
        <v>425</v>
      </c>
      <c r="D1655" s="43">
        <v>70309</v>
      </c>
      <c r="E1655" t="s">
        <v>252</v>
      </c>
      <c r="F1655" s="47" t="str">
        <f>+Empresa_Centro[[#This Row],[Codigo Centro Gestion]]&amp;" - "&amp;Empresa_Centro[[#This Row],[Nombre Centro Gestion]]</f>
        <v>70309 - OFICINA CENTRAL</v>
      </c>
    </row>
    <row r="1656" spans="1:6" x14ac:dyDescent="0.25">
      <c r="A1656" s="43">
        <v>62</v>
      </c>
      <c r="B1656" t="s">
        <v>63</v>
      </c>
      <c r="C1656" s="43" t="s">
        <v>425</v>
      </c>
      <c r="D1656" s="43">
        <v>10062000</v>
      </c>
      <c r="E1656" t="s">
        <v>780</v>
      </c>
      <c r="F1656" s="47" t="str">
        <f>+Empresa_Centro[[#This Row],[Codigo Centro Gestion]]&amp;" - "&amp;Empresa_Centro[[#This Row],[Nombre Centro Gestion]]</f>
        <v>10062000 - Cumbres del Mar</v>
      </c>
    </row>
  </sheetData>
  <phoneticPr fontId="13" type="noConversion"/>
  <conditionalFormatting sqref="D1">
    <cfRule type="duplicateValues" dxfId="1" priority="1"/>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38E2D48F-C796-42A4-9EB7-27970196005B}">
          <x14:formula1>
            <xm:f>OFFSET(A1,MATCH(Formulario!$D$19,A:A,0)-1,1,COUNTIF(A:A,Formulario!$D$19),1)</xm:f>
          </x14:formula1>
          <xm:sqref>D1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96B898-A2ED-435E-A7A0-C2772342F11F}">
  <sheetPr codeName="Hoja6"/>
  <dimension ref="A1:H3749"/>
  <sheetViews>
    <sheetView zoomScale="80" zoomScaleNormal="80" workbookViewId="0">
      <selection activeCell="C2996" sqref="C2996:E2999"/>
    </sheetView>
  </sheetViews>
  <sheetFormatPr baseColWidth="10" defaultColWidth="11.42578125" defaultRowHeight="15" x14ac:dyDescent="0.25"/>
  <cols>
    <col min="1" max="1" width="23.42578125" bestFit="1" customWidth="1"/>
    <col min="2" max="2" width="36.42578125" customWidth="1"/>
    <col min="3" max="3" width="33.5703125" customWidth="1"/>
    <col min="4" max="4" width="15.85546875" customWidth="1"/>
    <col min="5" max="5" width="47.7109375" customWidth="1"/>
    <col min="6" max="6" width="60.42578125" bestFit="1" customWidth="1"/>
    <col min="7" max="7" width="48.140625" customWidth="1"/>
    <col min="8" max="8" width="14.85546875" bestFit="1" customWidth="1"/>
    <col min="9" max="9" width="52.28515625" bestFit="1" customWidth="1"/>
    <col min="10" max="10" width="37.42578125" bestFit="1" customWidth="1"/>
    <col min="11" max="11" width="47.7109375" bestFit="1" customWidth="1"/>
    <col min="12" max="12" width="32.28515625" bestFit="1" customWidth="1"/>
  </cols>
  <sheetData>
    <row r="1" spans="1:8" ht="30.75" thickBot="1" x14ac:dyDescent="0.3">
      <c r="A1" s="42" t="s">
        <v>460</v>
      </c>
      <c r="B1" s="42" t="s">
        <v>461</v>
      </c>
      <c r="C1" s="42" t="s">
        <v>1494</v>
      </c>
      <c r="D1" s="44" t="s">
        <v>348</v>
      </c>
      <c r="E1" s="44" t="s">
        <v>1495</v>
      </c>
      <c r="F1" s="46" t="s">
        <v>1653</v>
      </c>
      <c r="G1" s="46" t="s">
        <v>1654</v>
      </c>
      <c r="H1" s="46" t="s">
        <v>4278</v>
      </c>
    </row>
    <row r="2" spans="1:8" x14ac:dyDescent="0.25">
      <c r="A2" s="43">
        <v>10062102</v>
      </c>
      <c r="B2" t="s">
        <v>781</v>
      </c>
      <c r="C2" s="43" t="s">
        <v>1617</v>
      </c>
      <c r="D2" s="43">
        <v>4204010</v>
      </c>
      <c r="E2" t="s">
        <v>313</v>
      </c>
      <c r="F2" s="47" t="str">
        <f>+Centro_Cuenta8[[#This Row],[Codigo Centro Gestion]]&amp;" - "&amp;Centro_Cuenta8[[#This Row],[Nombre Centro Gestion]]</f>
        <v>10062102 - Cumbres del Mar-Marketing</v>
      </c>
      <c r="G2" s="47" t="str">
        <f>+Centro_Cuenta8[[#This Row],[Código Cuenta Contable]]&amp;" - "&amp;Centro_Cuenta8[[#This Row],[Nombre de Cuenta Contable]]</f>
        <v>4204010 - Publicidad Punto Venta</v>
      </c>
      <c r="H2" s="146" t="str">
        <f>+VLOOKUP(D2,'3. Cuentas'!A:F,6,0)</f>
        <v>SI</v>
      </c>
    </row>
    <row r="3" spans="1:8" x14ac:dyDescent="0.25">
      <c r="A3" s="43">
        <v>10062102</v>
      </c>
      <c r="B3" t="s">
        <v>781</v>
      </c>
      <c r="C3" s="43" t="s">
        <v>1617</v>
      </c>
      <c r="D3" s="43">
        <v>4204021</v>
      </c>
      <c r="E3" t="s">
        <v>329</v>
      </c>
      <c r="F3" s="47" t="str">
        <f>+Centro_Cuenta8[[#This Row],[Codigo Centro Gestion]]&amp;" - "&amp;Centro_Cuenta8[[#This Row],[Nombre Centro Gestion]]</f>
        <v>10062102 - Cumbres del Mar-Marketing</v>
      </c>
      <c r="G3" s="47" t="str">
        <f>+Centro_Cuenta8[[#This Row],[Código Cuenta Contable]]&amp;" - "&amp;Centro_Cuenta8[[#This Row],[Nombre de Cuenta Contable]]</f>
        <v>4204021 - Publicidad Ferias Y Eventos</v>
      </c>
      <c r="H3" s="146" t="str">
        <f>+VLOOKUP(D3,'3. Cuentas'!A:F,6,0)</f>
        <v>SI</v>
      </c>
    </row>
    <row r="4" spans="1:8" x14ac:dyDescent="0.25">
      <c r="A4" s="43">
        <v>10062103</v>
      </c>
      <c r="B4" t="s">
        <v>782</v>
      </c>
      <c r="C4" s="43" t="s">
        <v>1618</v>
      </c>
      <c r="D4" s="43">
        <v>4203060</v>
      </c>
      <c r="E4" t="s">
        <v>321</v>
      </c>
      <c r="F4" s="47" t="str">
        <f>+Centro_Cuenta8[[#This Row],[Codigo Centro Gestion]]&amp;" - "&amp;Centro_Cuenta8[[#This Row],[Nombre Centro Gestion]]</f>
        <v>10062103 - Cumbres del Mar-Operaciones</v>
      </c>
      <c r="G4" s="47" t="str">
        <f>+Centro_Cuenta8[[#This Row],[Código Cuenta Contable]]&amp;" - "&amp;Centro_Cuenta8[[#This Row],[Nombre de Cuenta Contable]]</f>
        <v>4203060 - Gastos Operacionales De Clientes</v>
      </c>
      <c r="H4" s="146" t="str">
        <f>+VLOOKUP(D4,'3. Cuentas'!A:F,6,0)</f>
        <v>SI</v>
      </c>
    </row>
    <row r="5" spans="1:8" x14ac:dyDescent="0.25">
      <c r="A5" s="43">
        <v>10062103</v>
      </c>
      <c r="B5" t="s">
        <v>782</v>
      </c>
      <c r="C5" s="43" t="s">
        <v>1618</v>
      </c>
      <c r="D5" s="43">
        <v>4203090</v>
      </c>
      <c r="E5" t="s">
        <v>192</v>
      </c>
      <c r="F5" s="47" t="str">
        <f>+Centro_Cuenta8[[#This Row],[Codigo Centro Gestion]]&amp;" - "&amp;Centro_Cuenta8[[#This Row],[Nombre Centro Gestion]]</f>
        <v>10062103 - Cumbres del Mar-Operaciones</v>
      </c>
      <c r="G5" s="47" t="str">
        <f>+Centro_Cuenta8[[#This Row],[Código Cuenta Contable]]&amp;" - "&amp;Centro_Cuenta8[[#This Row],[Nombre de Cuenta Contable]]</f>
        <v>4203090 - Gastos Legales Y Notariales Proyecto</v>
      </c>
      <c r="H5" s="146" t="str">
        <f>+VLOOKUP(D5,'3. Cuentas'!A:F,6,0)</f>
        <v>SI</v>
      </c>
    </row>
    <row r="6" spans="1:8" x14ac:dyDescent="0.25">
      <c r="A6" s="43">
        <v>10062104</v>
      </c>
      <c r="B6" t="s">
        <v>783</v>
      </c>
      <c r="C6" s="43" t="s">
        <v>90</v>
      </c>
      <c r="D6" s="43">
        <v>1110040</v>
      </c>
      <c r="E6" t="s">
        <v>1505</v>
      </c>
      <c r="F6" s="47" t="str">
        <f>+Centro_Cuenta8[[#This Row],[Codigo Centro Gestion]]&amp;" - "&amp;Centro_Cuenta8[[#This Row],[Nombre Centro Gestion]]</f>
        <v>10062104 - Cumbres del Mar-Ventas</v>
      </c>
      <c r="G6" s="47" t="str">
        <f>+Centro_Cuenta8[[#This Row],[Código Cuenta Contable]]&amp;" - "&amp;Centro_Cuenta8[[#This Row],[Nombre de Cuenta Contable]]</f>
        <v>1110040 - Garantía Pagadas</v>
      </c>
      <c r="H6" s="146" t="str">
        <f>+VLOOKUP(D6,'3. Cuentas'!A:F,6,0)</f>
        <v>SI</v>
      </c>
    </row>
    <row r="7" spans="1:8" x14ac:dyDescent="0.25">
      <c r="A7" s="43">
        <v>10062104</v>
      </c>
      <c r="B7" t="s">
        <v>783</v>
      </c>
      <c r="C7" s="43" t="s">
        <v>90</v>
      </c>
      <c r="D7" s="43">
        <v>4202003</v>
      </c>
      <c r="E7" t="s">
        <v>106</v>
      </c>
      <c r="F7" s="47" t="str">
        <f>+Centro_Cuenta8[[#This Row],[Codigo Centro Gestion]]&amp;" - "&amp;Centro_Cuenta8[[#This Row],[Nombre Centro Gestion]]</f>
        <v>10062104 - Cumbres del Mar-Ventas</v>
      </c>
      <c r="G7" s="47" t="str">
        <f>+Centro_Cuenta8[[#This Row],[Código Cuenta Contable]]&amp;" - "&amp;Centro_Cuenta8[[#This Row],[Nombre de Cuenta Contable]]</f>
        <v>4202003 - Serv.Basic.Luz.Agua.Tel Of.C</v>
      </c>
      <c r="H7" s="146" t="str">
        <f>+VLOOKUP(D7,'3. Cuentas'!A:F,6,0)</f>
        <v>SI</v>
      </c>
    </row>
    <row r="8" spans="1:8" x14ac:dyDescent="0.25">
      <c r="A8" s="43">
        <v>10062104</v>
      </c>
      <c r="B8" t="s">
        <v>783</v>
      </c>
      <c r="C8" s="43" t="s">
        <v>90</v>
      </c>
      <c r="D8" s="43">
        <v>4202010</v>
      </c>
      <c r="E8" t="s">
        <v>87</v>
      </c>
      <c r="F8" s="47" t="str">
        <f>+Centro_Cuenta8[[#This Row],[Codigo Centro Gestion]]&amp;" - "&amp;Centro_Cuenta8[[#This Row],[Nombre Centro Gestion]]</f>
        <v>10062104 - Cumbres del Mar-Ventas</v>
      </c>
      <c r="G8" s="47" t="str">
        <f>+Centro_Cuenta8[[#This Row],[Código Cuenta Contable]]&amp;" - "&amp;Centro_Cuenta8[[#This Row],[Nombre de Cuenta Contable]]</f>
        <v>4202010 - Artic. Ofic. Fotocop.Papelería</v>
      </c>
      <c r="H8" s="146" t="str">
        <f>+VLOOKUP(D8,'3. Cuentas'!A:F,6,0)</f>
        <v>SI</v>
      </c>
    </row>
    <row r="9" spans="1:8" x14ac:dyDescent="0.25">
      <c r="A9" s="43">
        <v>10062104</v>
      </c>
      <c r="B9" t="s">
        <v>783</v>
      </c>
      <c r="C9" s="43" t="s">
        <v>90</v>
      </c>
      <c r="D9" s="43">
        <v>4202019</v>
      </c>
      <c r="E9" t="s">
        <v>81</v>
      </c>
      <c r="F9" s="47" t="str">
        <f>+Centro_Cuenta8[[#This Row],[Codigo Centro Gestion]]&amp;" - "&amp;Centro_Cuenta8[[#This Row],[Nombre Centro Gestion]]</f>
        <v>10062104 - Cumbres del Mar-Ventas</v>
      </c>
      <c r="G9" s="47" t="str">
        <f>+Centro_Cuenta8[[#This Row],[Código Cuenta Contable]]&amp;" - "&amp;Centro_Cuenta8[[#This Row],[Nombre de Cuenta Contable]]</f>
        <v>4202019 - Gasto General Oficina</v>
      </c>
      <c r="H9" s="146" t="str">
        <f>+VLOOKUP(D9,'3. Cuentas'!A:F,6,0)</f>
        <v>SI</v>
      </c>
    </row>
    <row r="10" spans="1:8" x14ac:dyDescent="0.25">
      <c r="A10" s="43">
        <v>10062104</v>
      </c>
      <c r="B10" t="s">
        <v>783</v>
      </c>
      <c r="C10" s="43" t="s">
        <v>90</v>
      </c>
      <c r="D10" s="43">
        <v>4202023</v>
      </c>
      <c r="E10" t="s">
        <v>82</v>
      </c>
      <c r="F10" s="47" t="str">
        <f>+Centro_Cuenta8[[#This Row],[Codigo Centro Gestion]]&amp;" - "&amp;Centro_Cuenta8[[#This Row],[Nombre Centro Gestion]]</f>
        <v>10062104 - Cumbres del Mar-Ventas</v>
      </c>
      <c r="G10" s="47" t="str">
        <f>+Centro_Cuenta8[[#This Row],[Código Cuenta Contable]]&amp;" - "&amp;Centro_Cuenta8[[#This Row],[Nombre de Cuenta Contable]]</f>
        <v>4202023 - Honorarios Por Asesorías</v>
      </c>
      <c r="H10" s="146" t="str">
        <f>+VLOOKUP(D10,'3. Cuentas'!A:F,6,0)</f>
        <v>SI</v>
      </c>
    </row>
    <row r="11" spans="1:8" x14ac:dyDescent="0.25">
      <c r="A11" s="43">
        <v>10062104</v>
      </c>
      <c r="B11" t="s">
        <v>783</v>
      </c>
      <c r="C11" s="43" t="s">
        <v>90</v>
      </c>
      <c r="D11" s="43">
        <v>4202029</v>
      </c>
      <c r="E11" t="s">
        <v>83</v>
      </c>
      <c r="F11" s="47" t="str">
        <f>+Centro_Cuenta8[[#This Row],[Codigo Centro Gestion]]&amp;" - "&amp;Centro_Cuenta8[[#This Row],[Nombre Centro Gestion]]</f>
        <v>10062104 - Cumbres del Mar-Ventas</v>
      </c>
      <c r="G11" s="47" t="str">
        <f>+Centro_Cuenta8[[#This Row],[Código Cuenta Contable]]&amp;" - "&amp;Centro_Cuenta8[[#This Row],[Nombre de Cuenta Contable]]</f>
        <v>4202029 - Insumos Y Gastos Informáticos</v>
      </c>
      <c r="H11" s="146" t="str">
        <f>+VLOOKUP(D11,'3. Cuentas'!A:F,6,0)</f>
        <v>SI</v>
      </c>
    </row>
    <row r="12" spans="1:8" x14ac:dyDescent="0.25">
      <c r="A12" s="43">
        <v>10062104</v>
      </c>
      <c r="B12" t="s">
        <v>783</v>
      </c>
      <c r="C12" s="43" t="s">
        <v>90</v>
      </c>
      <c r="D12" s="43">
        <v>4204021</v>
      </c>
      <c r="E12" t="s">
        <v>329</v>
      </c>
      <c r="F12" s="47" t="str">
        <f>+Centro_Cuenta8[[#This Row],[Codigo Centro Gestion]]&amp;" - "&amp;Centro_Cuenta8[[#This Row],[Nombre Centro Gestion]]</f>
        <v>10062104 - Cumbres del Mar-Ventas</v>
      </c>
      <c r="G12" s="47" t="str">
        <f>+Centro_Cuenta8[[#This Row],[Código Cuenta Contable]]&amp;" - "&amp;Centro_Cuenta8[[#This Row],[Nombre de Cuenta Contable]]</f>
        <v>4204021 - Publicidad Ferias Y Eventos</v>
      </c>
      <c r="H12" s="146" t="str">
        <f>+VLOOKUP(D12,'3. Cuentas'!A:F,6,0)</f>
        <v>SI</v>
      </c>
    </row>
    <row r="13" spans="1:8" x14ac:dyDescent="0.25">
      <c r="A13" s="43">
        <v>10062105</v>
      </c>
      <c r="B13" t="s">
        <v>784</v>
      </c>
      <c r="C13" s="43" t="s">
        <v>1622</v>
      </c>
      <c r="D13" s="43">
        <v>4203020</v>
      </c>
      <c r="E13" t="s">
        <v>295</v>
      </c>
      <c r="F13" s="47" t="str">
        <f>+Centro_Cuenta8[[#This Row],[Codigo Centro Gestion]]&amp;" - "&amp;Centro_Cuenta8[[#This Row],[Nombre Centro Gestion]]</f>
        <v>10062105 - Cumbres del Mar-Clientes</v>
      </c>
      <c r="G13" s="47" t="str">
        <f>+Centro_Cuenta8[[#This Row],[Código Cuenta Contable]]&amp;" - "&amp;Centro_Cuenta8[[#This Row],[Nombre de Cuenta Contable]]</f>
        <v>4203020 - Mant. y Consum. Viv Stock</v>
      </c>
      <c r="H13" s="146" t="str">
        <f>+VLOOKUP(D13,'3. Cuentas'!A:F,6,0)</f>
        <v>SI</v>
      </c>
    </row>
    <row r="14" spans="1:8" x14ac:dyDescent="0.25">
      <c r="A14" s="43">
        <v>10062105</v>
      </c>
      <c r="B14" t="s">
        <v>784</v>
      </c>
      <c r="C14" s="43" t="s">
        <v>1622</v>
      </c>
      <c r="D14" s="43">
        <v>4203120</v>
      </c>
      <c r="E14" t="s">
        <v>108</v>
      </c>
      <c r="F14" s="47" t="str">
        <f>+Centro_Cuenta8[[#This Row],[Codigo Centro Gestion]]&amp;" - "&amp;Centro_Cuenta8[[#This Row],[Nombre Centro Gestion]]</f>
        <v>10062105 - Cumbres del Mar-Clientes</v>
      </c>
      <c r="G14" s="47" t="str">
        <f>+Centro_Cuenta8[[#This Row],[Código Cuenta Contable]]&amp;" - "&amp;Centro_Cuenta8[[#This Row],[Nombre de Cuenta Contable]]</f>
        <v>4203120 - Gastos Comunes</v>
      </c>
      <c r="H14" s="146" t="str">
        <f>+VLOOKUP(D14,'3. Cuentas'!A:F,6,0)</f>
        <v>SI</v>
      </c>
    </row>
    <row r="15" spans="1:8" x14ac:dyDescent="0.25">
      <c r="A15" s="43">
        <v>10062105</v>
      </c>
      <c r="B15" t="s">
        <v>784</v>
      </c>
      <c r="C15" s="43" t="s">
        <v>1622</v>
      </c>
      <c r="D15" s="43">
        <v>4203140</v>
      </c>
      <c r="E15" t="s">
        <v>109</v>
      </c>
      <c r="F15" s="47" t="str">
        <f>+Centro_Cuenta8[[#This Row],[Codigo Centro Gestion]]&amp;" - "&amp;Centro_Cuenta8[[#This Row],[Nombre Centro Gestion]]</f>
        <v>10062105 - Cumbres del Mar-Clientes</v>
      </c>
      <c r="G15" s="47" t="str">
        <f>+Centro_Cuenta8[[#This Row],[Código Cuenta Contable]]&amp;" - "&amp;Centro_Cuenta8[[#This Row],[Nombre de Cuenta Contable]]</f>
        <v>4203140 - Contribuciones</v>
      </c>
      <c r="H15" s="146" t="str">
        <f>+VLOOKUP(D15,'3. Cuentas'!A:F,6,0)</f>
        <v>SI</v>
      </c>
    </row>
    <row r="16" spans="1:8" x14ac:dyDescent="0.25">
      <c r="A16" s="43">
        <v>10062204</v>
      </c>
      <c r="B16" t="s">
        <v>785</v>
      </c>
      <c r="C16" s="43" t="s">
        <v>1624</v>
      </c>
      <c r="D16" s="43">
        <v>1103045</v>
      </c>
      <c r="E16" t="s">
        <v>323</v>
      </c>
      <c r="F16" s="47" t="str">
        <f>+Centro_Cuenta8[[#This Row],[Codigo Centro Gestion]]&amp;" - "&amp;Centro_Cuenta8[[#This Row],[Nombre Centro Gestion]]</f>
        <v>10062204 - Cumbres del Mar-Proyecto</v>
      </c>
      <c r="G16" s="47" t="str">
        <f>+Centro_Cuenta8[[#This Row],[Código Cuenta Contable]]&amp;" - "&amp;Centro_Cuenta8[[#This Row],[Nombre de Cuenta Contable]]</f>
        <v>1103045 - Aportes reembolsables (electricidad y agua)</v>
      </c>
      <c r="H16" s="146" t="str">
        <f>+VLOOKUP(D16,'3. Cuentas'!A:F,6,0)</f>
        <v>SI</v>
      </c>
    </row>
    <row r="17" spans="1:8" x14ac:dyDescent="0.25">
      <c r="A17" s="43">
        <v>10062204</v>
      </c>
      <c r="B17" t="s">
        <v>785</v>
      </c>
      <c r="C17" s="43" t="s">
        <v>1624</v>
      </c>
      <c r="D17" s="43">
        <v>1109020</v>
      </c>
      <c r="E17" t="s">
        <v>302</v>
      </c>
      <c r="F17" s="47" t="str">
        <f>+Centro_Cuenta8[[#This Row],[Codigo Centro Gestion]]&amp;" - "&amp;Centro_Cuenta8[[#This Row],[Nombre Centro Gestion]]</f>
        <v>10062204 - Cumbres del Mar-Proyecto</v>
      </c>
      <c r="G17" s="47" t="str">
        <f>+Centro_Cuenta8[[#This Row],[Código Cuenta Contable]]&amp;" - "&amp;Centro_Cuenta8[[#This Row],[Nombre de Cuenta Contable]]</f>
        <v>1109020 - Mobiliario</v>
      </c>
      <c r="H17" s="146" t="str">
        <f>+VLOOKUP(D17,'3. Cuentas'!A:F,6,0)</f>
        <v>SI</v>
      </c>
    </row>
    <row r="18" spans="1:8" x14ac:dyDescent="0.25">
      <c r="A18" s="43">
        <v>10062204</v>
      </c>
      <c r="B18" t="s">
        <v>785</v>
      </c>
      <c r="C18" s="43" t="s">
        <v>1624</v>
      </c>
      <c r="D18" s="43">
        <v>1110040</v>
      </c>
      <c r="E18" t="s">
        <v>1505</v>
      </c>
      <c r="F18" s="47" t="str">
        <f>+Centro_Cuenta8[[#This Row],[Codigo Centro Gestion]]&amp;" - "&amp;Centro_Cuenta8[[#This Row],[Nombre Centro Gestion]]</f>
        <v>10062204 - Cumbres del Mar-Proyecto</v>
      </c>
      <c r="G18" s="47" t="str">
        <f>+Centro_Cuenta8[[#This Row],[Código Cuenta Contable]]&amp;" - "&amp;Centro_Cuenta8[[#This Row],[Nombre de Cuenta Contable]]</f>
        <v>1110040 - Garantía Pagadas</v>
      </c>
      <c r="H18" s="146" t="str">
        <f>+VLOOKUP(D18,'3. Cuentas'!A:F,6,0)</f>
        <v>SI</v>
      </c>
    </row>
    <row r="19" spans="1:8" x14ac:dyDescent="0.25">
      <c r="A19" s="43">
        <v>10062204</v>
      </c>
      <c r="B19" t="s">
        <v>785</v>
      </c>
      <c r="C19" s="43" t="s">
        <v>1624</v>
      </c>
      <c r="D19" s="43">
        <v>1115040</v>
      </c>
      <c r="E19" t="s">
        <v>291</v>
      </c>
      <c r="F19" s="47" t="str">
        <f>+Centro_Cuenta8[[#This Row],[Codigo Centro Gestion]]&amp;" - "&amp;Centro_Cuenta8[[#This Row],[Nombre Centro Gestion]]</f>
        <v>10062204 - Cumbres del Mar-Proyecto</v>
      </c>
      <c r="G19" s="47" t="str">
        <f>+Centro_Cuenta8[[#This Row],[Código Cuenta Contable]]&amp;" - "&amp;Centro_Cuenta8[[#This Row],[Nombre de Cuenta Contable]]</f>
        <v>1115040 - Saneamiento De Terreno</v>
      </c>
      <c r="H19" s="146" t="str">
        <f>+VLOOKUP(D19,'3. Cuentas'!A:F,6,0)</f>
        <v>SI</v>
      </c>
    </row>
    <row r="20" spans="1:8" x14ac:dyDescent="0.25">
      <c r="A20" s="43">
        <v>10062204</v>
      </c>
      <c r="B20" t="s">
        <v>785</v>
      </c>
      <c r="C20" s="43" t="s">
        <v>1624</v>
      </c>
      <c r="D20" s="43">
        <v>1115050</v>
      </c>
      <c r="E20" t="s">
        <v>1628</v>
      </c>
      <c r="F20" s="47" t="str">
        <f>+Centro_Cuenta8[[#This Row],[Codigo Centro Gestion]]&amp;" - "&amp;Centro_Cuenta8[[#This Row],[Nombre Centro Gestion]]</f>
        <v>10062204 - Cumbres del Mar-Proyecto</v>
      </c>
      <c r="G20" s="47" t="str">
        <f>+Centro_Cuenta8[[#This Row],[Código Cuenta Contable]]&amp;" - "&amp;Centro_Cuenta8[[#This Row],[Nombre de Cuenta Contable]]</f>
        <v>1115050 - Demolición</v>
      </c>
      <c r="H20" s="146" t="str">
        <f>+VLOOKUP(D20,'3. Cuentas'!A:F,6,0)</f>
        <v>SI</v>
      </c>
    </row>
    <row r="21" spans="1:8" x14ac:dyDescent="0.25">
      <c r="A21" s="43">
        <v>10062204</v>
      </c>
      <c r="B21" t="s">
        <v>785</v>
      </c>
      <c r="C21" s="43" t="s">
        <v>1624</v>
      </c>
      <c r="D21" s="43">
        <v>1115100</v>
      </c>
      <c r="E21" t="s">
        <v>292</v>
      </c>
      <c r="F21" s="47" t="str">
        <f>+Centro_Cuenta8[[#This Row],[Codigo Centro Gestion]]&amp;" - "&amp;Centro_Cuenta8[[#This Row],[Nombre Centro Gestion]]</f>
        <v>10062204 - Cumbres del Mar-Proyecto</v>
      </c>
      <c r="G21" s="47" t="str">
        <f>+Centro_Cuenta8[[#This Row],[Código Cuenta Contable]]&amp;" - "&amp;Centro_Cuenta8[[#This Row],[Nombre de Cuenta Contable]]</f>
        <v>1115100 - Proyectos Y Especialidades</v>
      </c>
      <c r="H21" s="146" t="str">
        <f>+VLOOKUP(D21,'3. Cuentas'!A:F,6,0)</f>
        <v>SI</v>
      </c>
    </row>
    <row r="22" spans="1:8" x14ac:dyDescent="0.25">
      <c r="A22" s="43">
        <v>10062204</v>
      </c>
      <c r="B22" t="s">
        <v>785</v>
      </c>
      <c r="C22" s="43" t="s">
        <v>1624</v>
      </c>
      <c r="D22" s="43">
        <v>1115120</v>
      </c>
      <c r="E22" t="s">
        <v>1633</v>
      </c>
      <c r="F22" s="47" t="str">
        <f>+Centro_Cuenta8[[#This Row],[Codigo Centro Gestion]]&amp;" - "&amp;Centro_Cuenta8[[#This Row],[Nombre Centro Gestion]]</f>
        <v>10062204 - Cumbres del Mar-Proyecto</v>
      </c>
      <c r="G22" s="47" t="str">
        <f>+Centro_Cuenta8[[#This Row],[Código Cuenta Contable]]&amp;" - "&amp;Centro_Cuenta8[[#This Row],[Nombre de Cuenta Contable]]</f>
        <v>1115120 - Instalación Empalmes</v>
      </c>
      <c r="H22" s="146" t="str">
        <f>+VLOOKUP(D22,'3. Cuentas'!A:F,6,0)</f>
        <v>SI</v>
      </c>
    </row>
    <row r="23" spans="1:8" x14ac:dyDescent="0.25">
      <c r="A23" s="43">
        <v>10062204</v>
      </c>
      <c r="B23" t="s">
        <v>785</v>
      </c>
      <c r="C23" s="43" t="s">
        <v>1624</v>
      </c>
      <c r="D23" s="43">
        <v>1115170</v>
      </c>
      <c r="E23" t="s">
        <v>293</v>
      </c>
      <c r="F23" s="47" t="str">
        <f>+Centro_Cuenta8[[#This Row],[Codigo Centro Gestion]]&amp;" - "&amp;Centro_Cuenta8[[#This Row],[Nombre Centro Gestion]]</f>
        <v>10062204 - Cumbres del Mar-Proyecto</v>
      </c>
      <c r="G23" s="47" t="str">
        <f>+Centro_Cuenta8[[#This Row],[Código Cuenta Contable]]&amp;" - "&amp;Centro_Cuenta8[[#This Row],[Nombre de Cuenta Contable]]</f>
        <v>1115170 - Permisos Y Otros Gastos Municipales</v>
      </c>
      <c r="H23" s="146" t="str">
        <f>+VLOOKUP(D23,'3. Cuentas'!A:F,6,0)</f>
        <v>SI</v>
      </c>
    </row>
    <row r="24" spans="1:8" x14ac:dyDescent="0.25">
      <c r="A24" s="43">
        <v>10062204</v>
      </c>
      <c r="B24" t="s">
        <v>785</v>
      </c>
      <c r="C24" s="43" t="s">
        <v>1624</v>
      </c>
      <c r="D24" s="43">
        <v>1115240</v>
      </c>
      <c r="E24" t="s">
        <v>294</v>
      </c>
      <c r="F24" s="47" t="str">
        <f>+Centro_Cuenta8[[#This Row],[Codigo Centro Gestion]]&amp;" - "&amp;Centro_Cuenta8[[#This Row],[Nombre Centro Gestion]]</f>
        <v>10062204 - Cumbres del Mar-Proyecto</v>
      </c>
      <c r="G24" s="47" t="str">
        <f>+Centro_Cuenta8[[#This Row],[Código Cuenta Contable]]&amp;" - "&amp;Centro_Cuenta8[[#This Row],[Nombre de Cuenta Contable]]</f>
        <v>1115240 - Estudios Y Asesorias Técnicas</v>
      </c>
      <c r="H24" s="146" t="str">
        <f>+VLOOKUP(D24,'3. Cuentas'!A:F,6,0)</f>
        <v>SI</v>
      </c>
    </row>
    <row r="25" spans="1:8" x14ac:dyDescent="0.25">
      <c r="A25" s="43">
        <v>10062204</v>
      </c>
      <c r="B25" t="s">
        <v>785</v>
      </c>
      <c r="C25" s="43" t="s">
        <v>1624</v>
      </c>
      <c r="D25" s="43">
        <v>4203090</v>
      </c>
      <c r="E25" t="s">
        <v>192</v>
      </c>
      <c r="F25" s="47" t="str">
        <f>+Centro_Cuenta8[[#This Row],[Codigo Centro Gestion]]&amp;" - "&amp;Centro_Cuenta8[[#This Row],[Nombre Centro Gestion]]</f>
        <v>10062204 - Cumbres del Mar-Proyecto</v>
      </c>
      <c r="G25" s="47" t="str">
        <f>+Centro_Cuenta8[[#This Row],[Código Cuenta Contable]]&amp;" - "&amp;Centro_Cuenta8[[#This Row],[Nombre de Cuenta Contable]]</f>
        <v>4203090 - Gastos Legales Y Notariales Proyecto</v>
      </c>
      <c r="H25" s="146" t="str">
        <f>+VLOOKUP(D25,'3. Cuentas'!A:F,6,0)</f>
        <v>SI</v>
      </c>
    </row>
    <row r="26" spans="1:8" x14ac:dyDescent="0.25">
      <c r="A26" s="43">
        <v>10062204</v>
      </c>
      <c r="B26" t="s">
        <v>785</v>
      </c>
      <c r="C26" s="43" t="s">
        <v>1624</v>
      </c>
      <c r="D26" s="43">
        <v>4203140</v>
      </c>
      <c r="E26" t="s">
        <v>109</v>
      </c>
      <c r="F26" s="47" t="str">
        <f>+Centro_Cuenta8[[#This Row],[Codigo Centro Gestion]]&amp;" - "&amp;Centro_Cuenta8[[#This Row],[Nombre Centro Gestion]]</f>
        <v>10062204 - Cumbres del Mar-Proyecto</v>
      </c>
      <c r="G26" s="47" t="str">
        <f>+Centro_Cuenta8[[#This Row],[Código Cuenta Contable]]&amp;" - "&amp;Centro_Cuenta8[[#This Row],[Nombre de Cuenta Contable]]</f>
        <v>4203140 - Contribuciones</v>
      </c>
      <c r="H26" s="146" t="str">
        <f>+VLOOKUP(D26,'3. Cuentas'!A:F,6,0)</f>
        <v>SI</v>
      </c>
    </row>
    <row r="27" spans="1:8" x14ac:dyDescent="0.25">
      <c r="A27" s="43">
        <v>10062204</v>
      </c>
      <c r="B27" t="s">
        <v>785</v>
      </c>
      <c r="C27" s="43" t="s">
        <v>1624</v>
      </c>
      <c r="D27" s="43">
        <v>4203150</v>
      </c>
      <c r="E27" t="s">
        <v>156</v>
      </c>
      <c r="F27" s="47" t="str">
        <f>+Centro_Cuenta8[[#This Row],[Codigo Centro Gestion]]&amp;" - "&amp;Centro_Cuenta8[[#This Row],[Nombre Centro Gestion]]</f>
        <v>10062204 - Cumbres del Mar-Proyecto</v>
      </c>
      <c r="G27" s="47" t="str">
        <f>+Centro_Cuenta8[[#This Row],[Código Cuenta Contable]]&amp;" - "&amp;Centro_Cuenta8[[#This Row],[Nombre de Cuenta Contable]]</f>
        <v>4203150 - Gastos CBR</v>
      </c>
      <c r="H27" s="146" t="str">
        <f>+VLOOKUP(D27,'3. Cuentas'!A:F,6,0)</f>
        <v>SI</v>
      </c>
    </row>
    <row r="28" spans="1:8" x14ac:dyDescent="0.25">
      <c r="A28" s="43">
        <v>10062204</v>
      </c>
      <c r="B28" t="s">
        <v>785</v>
      </c>
      <c r="C28" s="43" t="s">
        <v>1624</v>
      </c>
      <c r="D28" s="43">
        <v>4203160</v>
      </c>
      <c r="E28" t="s">
        <v>1639</v>
      </c>
      <c r="F28" s="47" t="str">
        <f>+Centro_Cuenta8[[#This Row],[Codigo Centro Gestion]]&amp;" - "&amp;Centro_Cuenta8[[#This Row],[Nombre Centro Gestion]]</f>
        <v>10062204 - Cumbres del Mar-Proyecto</v>
      </c>
      <c r="G28" s="47" t="str">
        <f>+Centro_Cuenta8[[#This Row],[Código Cuenta Contable]]&amp;" - "&amp;Centro_Cuenta8[[#This Row],[Nombre de Cuenta Contable]]</f>
        <v>4203160 - PAPELERIA Y FOTOCOPIADO</v>
      </c>
      <c r="H28" s="146" t="str">
        <f>+VLOOKUP(D28,'3. Cuentas'!A:F,6,0)</f>
        <v>SI</v>
      </c>
    </row>
    <row r="29" spans="1:8" x14ac:dyDescent="0.25">
      <c r="A29" s="43">
        <v>10062204</v>
      </c>
      <c r="B29" t="s">
        <v>785</v>
      </c>
      <c r="C29" s="43" t="s">
        <v>1624</v>
      </c>
      <c r="D29" s="43">
        <v>4203180</v>
      </c>
      <c r="E29" t="s">
        <v>1640</v>
      </c>
      <c r="F29" s="47" t="str">
        <f>+Centro_Cuenta8[[#This Row],[Codigo Centro Gestion]]&amp;" - "&amp;Centro_Cuenta8[[#This Row],[Nombre Centro Gestion]]</f>
        <v>10062204 - Cumbres del Mar-Proyecto</v>
      </c>
      <c r="G29" s="47" t="str">
        <f>+Centro_Cuenta8[[#This Row],[Código Cuenta Contable]]&amp;" - "&amp;Centro_Cuenta8[[#This Row],[Nombre de Cuenta Contable]]</f>
        <v>4203180 - Otros Gastos y Aseso Proy</v>
      </c>
      <c r="H29" s="146" t="str">
        <f>+VLOOKUP(D29,'3. Cuentas'!A:F,6,0)</f>
        <v>SI</v>
      </c>
    </row>
    <row r="30" spans="1:8" x14ac:dyDescent="0.25">
      <c r="A30" s="43">
        <v>10062301</v>
      </c>
      <c r="B30" t="s">
        <v>786</v>
      </c>
      <c r="C30" s="43" t="s">
        <v>1643</v>
      </c>
      <c r="D30" s="43">
        <v>4203090</v>
      </c>
      <c r="E30" t="s">
        <v>192</v>
      </c>
      <c r="F30" s="47" t="str">
        <f>+Centro_Cuenta8[[#This Row],[Codigo Centro Gestion]]&amp;" - "&amp;Centro_Cuenta8[[#This Row],[Nombre Centro Gestion]]</f>
        <v>10062301 - Cumbres del Mar-GAF</v>
      </c>
      <c r="G30" s="47" t="str">
        <f>+Centro_Cuenta8[[#This Row],[Código Cuenta Contable]]&amp;" - "&amp;Centro_Cuenta8[[#This Row],[Nombre de Cuenta Contable]]</f>
        <v>4203090 - Gastos Legales Y Notariales Proyecto</v>
      </c>
      <c r="H30" s="146" t="str">
        <f>+VLOOKUP(D30,'3. Cuentas'!A:F,6,0)</f>
        <v>SI</v>
      </c>
    </row>
    <row r="31" spans="1:8" x14ac:dyDescent="0.25">
      <c r="A31" s="43">
        <v>10062301</v>
      </c>
      <c r="B31" t="s">
        <v>786</v>
      </c>
      <c r="C31" s="43" t="s">
        <v>1643</v>
      </c>
      <c r="D31" s="43">
        <v>4203140</v>
      </c>
      <c r="E31" t="s">
        <v>109</v>
      </c>
      <c r="F31" s="47" t="str">
        <f>+Centro_Cuenta8[[#This Row],[Codigo Centro Gestion]]&amp;" - "&amp;Centro_Cuenta8[[#This Row],[Nombre Centro Gestion]]</f>
        <v>10062301 - Cumbres del Mar-GAF</v>
      </c>
      <c r="G31" s="47" t="str">
        <f>+Centro_Cuenta8[[#This Row],[Código Cuenta Contable]]&amp;" - "&amp;Centro_Cuenta8[[#This Row],[Nombre de Cuenta Contable]]</f>
        <v>4203140 - Contribuciones</v>
      </c>
      <c r="H31" s="146" t="str">
        <f>+VLOOKUP(D31,'3. Cuentas'!A:F,6,0)</f>
        <v>SI</v>
      </c>
    </row>
    <row r="32" spans="1:8" x14ac:dyDescent="0.25">
      <c r="A32" s="43">
        <v>10062506</v>
      </c>
      <c r="B32" t="s">
        <v>788</v>
      </c>
      <c r="C32" s="43" t="s">
        <v>200</v>
      </c>
      <c r="D32" s="43">
        <v>1115100</v>
      </c>
      <c r="E32" t="s">
        <v>292</v>
      </c>
      <c r="F32" s="47" t="str">
        <f>+Centro_Cuenta8[[#This Row],[Codigo Centro Gestion]]&amp;" - "&amp;Centro_Cuenta8[[#This Row],[Nombre Centro Gestion]]</f>
        <v>10062506 - Cumbres del Mar-Depto.Técnico</v>
      </c>
      <c r="G32" s="47" t="str">
        <f>+Centro_Cuenta8[[#This Row],[Código Cuenta Contable]]&amp;" - "&amp;Centro_Cuenta8[[#This Row],[Nombre de Cuenta Contable]]</f>
        <v>1115100 - Proyectos Y Especialidades</v>
      </c>
      <c r="H32" s="146" t="str">
        <f>+VLOOKUP(D32,'3. Cuentas'!A:F,6,0)</f>
        <v>SI</v>
      </c>
    </row>
    <row r="33" spans="1:8" x14ac:dyDescent="0.25">
      <c r="A33" s="43">
        <v>10101</v>
      </c>
      <c r="B33" t="s">
        <v>701</v>
      </c>
      <c r="C33" s="43" t="s">
        <v>1507</v>
      </c>
      <c r="D33" s="43">
        <v>4202009</v>
      </c>
      <c r="E33" t="s">
        <v>80</v>
      </c>
      <c r="F33" s="47" t="str">
        <f>+Centro_Cuenta8[[#This Row],[Codigo Centro Gestion]]&amp;" - "&amp;Centro_Cuenta8[[#This Row],[Nombre Centro Gestion]]</f>
        <v>10101 - GERENCIA DE CLIENTES (NO VIGENTE)</v>
      </c>
      <c r="G33" s="47" t="str">
        <f>+Centro_Cuenta8[[#This Row],[Código Cuenta Contable]]&amp;" - "&amp;Centro_Cuenta8[[#This Row],[Nombre de Cuenta Contable]]</f>
        <v>4202009 - Gastos Viajes Y Traslados</v>
      </c>
      <c r="H33" s="146" t="str">
        <f>+VLOOKUP(D33,'3. Cuentas'!A:F,6,0)</f>
        <v>SI</v>
      </c>
    </row>
    <row r="34" spans="1:8" x14ac:dyDescent="0.25">
      <c r="A34" s="43">
        <v>10101</v>
      </c>
      <c r="B34" t="s">
        <v>701</v>
      </c>
      <c r="C34" s="43" t="s">
        <v>1507</v>
      </c>
      <c r="D34" s="43">
        <v>4202019</v>
      </c>
      <c r="E34" t="s">
        <v>81</v>
      </c>
      <c r="F34" s="47" t="str">
        <f>+Centro_Cuenta8[[#This Row],[Codigo Centro Gestion]]&amp;" - "&amp;Centro_Cuenta8[[#This Row],[Nombre Centro Gestion]]</f>
        <v>10101 - GERENCIA DE CLIENTES (NO VIGENTE)</v>
      </c>
      <c r="G34" s="47" t="str">
        <f>+Centro_Cuenta8[[#This Row],[Código Cuenta Contable]]&amp;" - "&amp;Centro_Cuenta8[[#This Row],[Nombre de Cuenta Contable]]</f>
        <v>4202019 - Gasto General Oficina</v>
      </c>
      <c r="H34" s="146" t="str">
        <f>+VLOOKUP(D34,'3. Cuentas'!A:F,6,0)</f>
        <v>SI</v>
      </c>
    </row>
    <row r="35" spans="1:8" x14ac:dyDescent="0.25">
      <c r="A35" s="43">
        <v>10101</v>
      </c>
      <c r="B35" t="s">
        <v>701</v>
      </c>
      <c r="C35" s="43" t="s">
        <v>1507</v>
      </c>
      <c r="D35" s="43">
        <v>4202023</v>
      </c>
      <c r="E35" t="s">
        <v>82</v>
      </c>
      <c r="F35" s="47" t="str">
        <f>+Centro_Cuenta8[[#This Row],[Codigo Centro Gestion]]&amp;" - "&amp;Centro_Cuenta8[[#This Row],[Nombre Centro Gestion]]</f>
        <v>10101 - GERENCIA DE CLIENTES (NO VIGENTE)</v>
      </c>
      <c r="G35" s="47" t="str">
        <f>+Centro_Cuenta8[[#This Row],[Código Cuenta Contable]]&amp;" - "&amp;Centro_Cuenta8[[#This Row],[Nombre de Cuenta Contable]]</f>
        <v>4202023 - Honorarios Por Asesorías</v>
      </c>
      <c r="H35" s="146" t="str">
        <f>+VLOOKUP(D35,'3. Cuentas'!A:F,6,0)</f>
        <v>SI</v>
      </c>
    </row>
    <row r="36" spans="1:8" x14ac:dyDescent="0.25">
      <c r="A36" s="43">
        <v>10102</v>
      </c>
      <c r="B36" t="s">
        <v>702</v>
      </c>
      <c r="C36" s="43" t="s">
        <v>1508</v>
      </c>
      <c r="D36" s="43">
        <v>4202009</v>
      </c>
      <c r="E36" t="s">
        <v>80</v>
      </c>
      <c r="F36" s="47" t="str">
        <f>+Centro_Cuenta8[[#This Row],[Codigo Centro Gestion]]&amp;" - "&amp;Centro_Cuenta8[[#This Row],[Nombre Centro Gestion]]</f>
        <v>10102 - MARKETING (NO VIGENTE)</v>
      </c>
      <c r="G36" s="47" t="str">
        <f>+Centro_Cuenta8[[#This Row],[Código Cuenta Contable]]&amp;" - "&amp;Centro_Cuenta8[[#This Row],[Nombre de Cuenta Contable]]</f>
        <v>4202009 - Gastos Viajes Y Traslados</v>
      </c>
      <c r="H36" s="146" t="str">
        <f>+VLOOKUP(D36,'3. Cuentas'!A:F,6,0)</f>
        <v>SI</v>
      </c>
    </row>
    <row r="37" spans="1:8" x14ac:dyDescent="0.25">
      <c r="A37" s="43">
        <v>10102</v>
      </c>
      <c r="B37" t="s">
        <v>702</v>
      </c>
      <c r="C37" s="43" t="s">
        <v>1508</v>
      </c>
      <c r="D37" s="43">
        <v>4202019</v>
      </c>
      <c r="E37" t="s">
        <v>81</v>
      </c>
      <c r="F37" s="47" t="str">
        <f>+Centro_Cuenta8[[#This Row],[Codigo Centro Gestion]]&amp;" - "&amp;Centro_Cuenta8[[#This Row],[Nombre Centro Gestion]]</f>
        <v>10102 - MARKETING (NO VIGENTE)</v>
      </c>
      <c r="G37" s="47" t="str">
        <f>+Centro_Cuenta8[[#This Row],[Código Cuenta Contable]]&amp;" - "&amp;Centro_Cuenta8[[#This Row],[Nombre de Cuenta Contable]]</f>
        <v>4202019 - Gasto General Oficina</v>
      </c>
      <c r="H37" s="146" t="str">
        <f>+VLOOKUP(D37,'3. Cuentas'!A:F,6,0)</f>
        <v>SI</v>
      </c>
    </row>
    <row r="38" spans="1:8" x14ac:dyDescent="0.25">
      <c r="A38" s="43">
        <v>10106102</v>
      </c>
      <c r="B38" t="s">
        <v>790</v>
      </c>
      <c r="C38" s="43" t="s">
        <v>1617</v>
      </c>
      <c r="D38" s="43">
        <v>4204010</v>
      </c>
      <c r="E38" t="s">
        <v>313</v>
      </c>
      <c r="F38" s="47" t="str">
        <f>+Centro_Cuenta8[[#This Row],[Codigo Centro Gestion]]&amp;" - "&amp;Centro_Cuenta8[[#This Row],[Nombre Centro Gestion]]</f>
        <v>10106102 - Palmas del Sur 1-Marketing</v>
      </c>
      <c r="G38" s="47" t="str">
        <f>+Centro_Cuenta8[[#This Row],[Código Cuenta Contable]]&amp;" - "&amp;Centro_Cuenta8[[#This Row],[Nombre de Cuenta Contable]]</f>
        <v>4204010 - Publicidad Punto Venta</v>
      </c>
      <c r="H38" s="146" t="str">
        <f>+VLOOKUP(D38,'3. Cuentas'!A:F,6,0)</f>
        <v>SI</v>
      </c>
    </row>
    <row r="39" spans="1:8" x14ac:dyDescent="0.25">
      <c r="A39" s="43">
        <v>10106102</v>
      </c>
      <c r="B39" t="s">
        <v>790</v>
      </c>
      <c r="C39" s="43" t="s">
        <v>1617</v>
      </c>
      <c r="D39" s="43">
        <v>4204021</v>
      </c>
      <c r="E39" t="s">
        <v>329</v>
      </c>
      <c r="F39" s="47" t="str">
        <f>+Centro_Cuenta8[[#This Row],[Codigo Centro Gestion]]&amp;" - "&amp;Centro_Cuenta8[[#This Row],[Nombre Centro Gestion]]</f>
        <v>10106102 - Palmas del Sur 1-Marketing</v>
      </c>
      <c r="G39" s="47" t="str">
        <f>+Centro_Cuenta8[[#This Row],[Código Cuenta Contable]]&amp;" - "&amp;Centro_Cuenta8[[#This Row],[Nombre de Cuenta Contable]]</f>
        <v>4204021 - Publicidad Ferias Y Eventos</v>
      </c>
      <c r="H39" s="146" t="str">
        <f>+VLOOKUP(D39,'3. Cuentas'!A:F,6,0)</f>
        <v>SI</v>
      </c>
    </row>
    <row r="40" spans="1:8" x14ac:dyDescent="0.25">
      <c r="A40" s="43">
        <v>10106103</v>
      </c>
      <c r="B40" t="s">
        <v>791</v>
      </c>
      <c r="C40" s="43" t="s">
        <v>1618</v>
      </c>
      <c r="D40" s="43">
        <v>4203060</v>
      </c>
      <c r="E40" t="s">
        <v>321</v>
      </c>
      <c r="F40" s="47" t="str">
        <f>+Centro_Cuenta8[[#This Row],[Codigo Centro Gestion]]&amp;" - "&amp;Centro_Cuenta8[[#This Row],[Nombre Centro Gestion]]</f>
        <v>10106103 - Palmas del Sur 1-Operaciones</v>
      </c>
      <c r="G40" s="47" t="str">
        <f>+Centro_Cuenta8[[#This Row],[Código Cuenta Contable]]&amp;" - "&amp;Centro_Cuenta8[[#This Row],[Nombre de Cuenta Contable]]</f>
        <v>4203060 - Gastos Operacionales De Clientes</v>
      </c>
      <c r="H40" s="146" t="str">
        <f>+VLOOKUP(D40,'3. Cuentas'!A:F,6,0)</f>
        <v>SI</v>
      </c>
    </row>
    <row r="41" spans="1:8" x14ac:dyDescent="0.25">
      <c r="A41" s="43">
        <v>10106103</v>
      </c>
      <c r="B41" t="s">
        <v>791</v>
      </c>
      <c r="C41" s="43" t="s">
        <v>1618</v>
      </c>
      <c r="D41" s="43">
        <v>4203090</v>
      </c>
      <c r="E41" t="s">
        <v>192</v>
      </c>
      <c r="F41" s="47" t="str">
        <f>+Centro_Cuenta8[[#This Row],[Codigo Centro Gestion]]&amp;" - "&amp;Centro_Cuenta8[[#This Row],[Nombre Centro Gestion]]</f>
        <v>10106103 - Palmas del Sur 1-Operaciones</v>
      </c>
      <c r="G41" s="47" t="str">
        <f>+Centro_Cuenta8[[#This Row],[Código Cuenta Contable]]&amp;" - "&amp;Centro_Cuenta8[[#This Row],[Nombre de Cuenta Contable]]</f>
        <v>4203090 - Gastos Legales Y Notariales Proyecto</v>
      </c>
      <c r="H41" s="146" t="str">
        <f>+VLOOKUP(D41,'3. Cuentas'!A:F,6,0)</f>
        <v>SI</v>
      </c>
    </row>
    <row r="42" spans="1:8" x14ac:dyDescent="0.25">
      <c r="A42" s="43">
        <v>10106104</v>
      </c>
      <c r="B42" t="s">
        <v>792</v>
      </c>
      <c r="C42" s="43" t="s">
        <v>90</v>
      </c>
      <c r="D42" s="43">
        <v>1110040</v>
      </c>
      <c r="E42" t="s">
        <v>1505</v>
      </c>
      <c r="F42" s="47" t="str">
        <f>+Centro_Cuenta8[[#This Row],[Codigo Centro Gestion]]&amp;" - "&amp;Centro_Cuenta8[[#This Row],[Nombre Centro Gestion]]</f>
        <v>10106104 - Palmas del Sur 1-Ventas</v>
      </c>
      <c r="G42" s="47" t="str">
        <f>+Centro_Cuenta8[[#This Row],[Código Cuenta Contable]]&amp;" - "&amp;Centro_Cuenta8[[#This Row],[Nombre de Cuenta Contable]]</f>
        <v>1110040 - Garantía Pagadas</v>
      </c>
      <c r="H42" s="146" t="str">
        <f>+VLOOKUP(D42,'3. Cuentas'!A:F,6,0)</f>
        <v>SI</v>
      </c>
    </row>
    <row r="43" spans="1:8" x14ac:dyDescent="0.25">
      <c r="A43" s="43">
        <v>10106104</v>
      </c>
      <c r="B43" t="s">
        <v>792</v>
      </c>
      <c r="C43" s="43" t="s">
        <v>90</v>
      </c>
      <c r="D43" s="43">
        <v>4202003</v>
      </c>
      <c r="E43" t="s">
        <v>106</v>
      </c>
      <c r="F43" s="47" t="str">
        <f>+Centro_Cuenta8[[#This Row],[Codigo Centro Gestion]]&amp;" - "&amp;Centro_Cuenta8[[#This Row],[Nombre Centro Gestion]]</f>
        <v>10106104 - Palmas del Sur 1-Ventas</v>
      </c>
      <c r="G43" s="47" t="str">
        <f>+Centro_Cuenta8[[#This Row],[Código Cuenta Contable]]&amp;" - "&amp;Centro_Cuenta8[[#This Row],[Nombre de Cuenta Contable]]</f>
        <v>4202003 - Serv.Basic.Luz.Agua.Tel Of.C</v>
      </c>
      <c r="H43" s="146" t="str">
        <f>+VLOOKUP(D43,'3. Cuentas'!A:F,6,0)</f>
        <v>SI</v>
      </c>
    </row>
    <row r="44" spans="1:8" x14ac:dyDescent="0.25">
      <c r="A44" s="43">
        <v>10106104</v>
      </c>
      <c r="B44" t="s">
        <v>792</v>
      </c>
      <c r="C44" s="43" t="s">
        <v>90</v>
      </c>
      <c r="D44" s="43">
        <v>4202010</v>
      </c>
      <c r="E44" t="s">
        <v>87</v>
      </c>
      <c r="F44" s="47" t="str">
        <f>+Centro_Cuenta8[[#This Row],[Codigo Centro Gestion]]&amp;" - "&amp;Centro_Cuenta8[[#This Row],[Nombre Centro Gestion]]</f>
        <v>10106104 - Palmas del Sur 1-Ventas</v>
      </c>
      <c r="G44" s="47" t="str">
        <f>+Centro_Cuenta8[[#This Row],[Código Cuenta Contable]]&amp;" - "&amp;Centro_Cuenta8[[#This Row],[Nombre de Cuenta Contable]]</f>
        <v>4202010 - Artic. Ofic. Fotocop.Papelería</v>
      </c>
      <c r="H44" s="146" t="str">
        <f>+VLOOKUP(D44,'3. Cuentas'!A:F,6,0)</f>
        <v>SI</v>
      </c>
    </row>
    <row r="45" spans="1:8" x14ac:dyDescent="0.25">
      <c r="A45" s="43">
        <v>10106104</v>
      </c>
      <c r="B45" t="s">
        <v>792</v>
      </c>
      <c r="C45" s="43" t="s">
        <v>90</v>
      </c>
      <c r="D45" s="43">
        <v>4202019</v>
      </c>
      <c r="E45" t="s">
        <v>81</v>
      </c>
      <c r="F45" s="47" t="str">
        <f>+Centro_Cuenta8[[#This Row],[Codigo Centro Gestion]]&amp;" - "&amp;Centro_Cuenta8[[#This Row],[Nombre Centro Gestion]]</f>
        <v>10106104 - Palmas del Sur 1-Ventas</v>
      </c>
      <c r="G45" s="47" t="str">
        <f>+Centro_Cuenta8[[#This Row],[Código Cuenta Contable]]&amp;" - "&amp;Centro_Cuenta8[[#This Row],[Nombre de Cuenta Contable]]</f>
        <v>4202019 - Gasto General Oficina</v>
      </c>
      <c r="H45" s="146" t="str">
        <f>+VLOOKUP(D45,'3. Cuentas'!A:F,6,0)</f>
        <v>SI</v>
      </c>
    </row>
    <row r="46" spans="1:8" x14ac:dyDescent="0.25">
      <c r="A46" s="43">
        <v>10106104</v>
      </c>
      <c r="B46" t="s">
        <v>792</v>
      </c>
      <c r="C46" s="43" t="s">
        <v>90</v>
      </c>
      <c r="D46" s="43">
        <v>4202023</v>
      </c>
      <c r="E46" t="s">
        <v>82</v>
      </c>
      <c r="F46" s="47" t="str">
        <f>+Centro_Cuenta8[[#This Row],[Codigo Centro Gestion]]&amp;" - "&amp;Centro_Cuenta8[[#This Row],[Nombre Centro Gestion]]</f>
        <v>10106104 - Palmas del Sur 1-Ventas</v>
      </c>
      <c r="G46" s="47" t="str">
        <f>+Centro_Cuenta8[[#This Row],[Código Cuenta Contable]]&amp;" - "&amp;Centro_Cuenta8[[#This Row],[Nombre de Cuenta Contable]]</f>
        <v>4202023 - Honorarios Por Asesorías</v>
      </c>
      <c r="H46" s="146" t="str">
        <f>+VLOOKUP(D46,'3. Cuentas'!A:F,6,0)</f>
        <v>SI</v>
      </c>
    </row>
    <row r="47" spans="1:8" x14ac:dyDescent="0.25">
      <c r="A47" s="43">
        <v>10106104</v>
      </c>
      <c r="B47" t="s">
        <v>792</v>
      </c>
      <c r="C47" s="43" t="s">
        <v>90</v>
      </c>
      <c r="D47" s="43">
        <v>4202029</v>
      </c>
      <c r="E47" t="s">
        <v>83</v>
      </c>
      <c r="F47" s="47" t="str">
        <f>+Centro_Cuenta8[[#This Row],[Codigo Centro Gestion]]&amp;" - "&amp;Centro_Cuenta8[[#This Row],[Nombre Centro Gestion]]</f>
        <v>10106104 - Palmas del Sur 1-Ventas</v>
      </c>
      <c r="G47" s="47" t="str">
        <f>+Centro_Cuenta8[[#This Row],[Código Cuenta Contable]]&amp;" - "&amp;Centro_Cuenta8[[#This Row],[Nombre de Cuenta Contable]]</f>
        <v>4202029 - Insumos Y Gastos Informáticos</v>
      </c>
      <c r="H47" s="146" t="str">
        <f>+VLOOKUP(D47,'3. Cuentas'!A:F,6,0)</f>
        <v>SI</v>
      </c>
    </row>
    <row r="48" spans="1:8" x14ac:dyDescent="0.25">
      <c r="A48" s="43">
        <v>10106104</v>
      </c>
      <c r="B48" t="s">
        <v>792</v>
      </c>
      <c r="C48" s="43" t="s">
        <v>90</v>
      </c>
      <c r="D48" s="43">
        <v>4204021</v>
      </c>
      <c r="E48" t="s">
        <v>329</v>
      </c>
      <c r="F48" s="47" t="str">
        <f>+Centro_Cuenta8[[#This Row],[Codigo Centro Gestion]]&amp;" - "&amp;Centro_Cuenta8[[#This Row],[Nombre Centro Gestion]]</f>
        <v>10106104 - Palmas del Sur 1-Ventas</v>
      </c>
      <c r="G48" s="47" t="str">
        <f>+Centro_Cuenta8[[#This Row],[Código Cuenta Contable]]&amp;" - "&amp;Centro_Cuenta8[[#This Row],[Nombre de Cuenta Contable]]</f>
        <v>4204021 - Publicidad Ferias Y Eventos</v>
      </c>
      <c r="H48" s="146" t="str">
        <f>+VLOOKUP(D48,'3. Cuentas'!A:F,6,0)</f>
        <v>SI</v>
      </c>
    </row>
    <row r="49" spans="1:8" x14ac:dyDescent="0.25">
      <c r="A49" s="43">
        <v>10106105</v>
      </c>
      <c r="B49" t="s">
        <v>793</v>
      </c>
      <c r="C49" s="43" t="s">
        <v>1622</v>
      </c>
      <c r="D49" s="43">
        <v>4203020</v>
      </c>
      <c r="E49" t="s">
        <v>295</v>
      </c>
      <c r="F49" s="47" t="str">
        <f>+Centro_Cuenta8[[#This Row],[Codigo Centro Gestion]]&amp;" - "&amp;Centro_Cuenta8[[#This Row],[Nombre Centro Gestion]]</f>
        <v>10106105 - Palmas del Sur 1-Clientes</v>
      </c>
      <c r="G49" s="47" t="str">
        <f>+Centro_Cuenta8[[#This Row],[Código Cuenta Contable]]&amp;" - "&amp;Centro_Cuenta8[[#This Row],[Nombre de Cuenta Contable]]</f>
        <v>4203020 - Mant. y Consum. Viv Stock</v>
      </c>
      <c r="H49" s="146" t="str">
        <f>+VLOOKUP(D49,'3. Cuentas'!A:F,6,0)</f>
        <v>SI</v>
      </c>
    </row>
    <row r="50" spans="1:8" x14ac:dyDescent="0.25">
      <c r="A50" s="43">
        <v>10106105</v>
      </c>
      <c r="B50" t="s">
        <v>793</v>
      </c>
      <c r="C50" s="43" t="s">
        <v>1622</v>
      </c>
      <c r="D50" s="43">
        <v>4203120</v>
      </c>
      <c r="E50" t="s">
        <v>108</v>
      </c>
      <c r="F50" s="47" t="str">
        <f>+Centro_Cuenta8[[#This Row],[Codigo Centro Gestion]]&amp;" - "&amp;Centro_Cuenta8[[#This Row],[Nombre Centro Gestion]]</f>
        <v>10106105 - Palmas del Sur 1-Clientes</v>
      </c>
      <c r="G50" s="47" t="str">
        <f>+Centro_Cuenta8[[#This Row],[Código Cuenta Contable]]&amp;" - "&amp;Centro_Cuenta8[[#This Row],[Nombre de Cuenta Contable]]</f>
        <v>4203120 - Gastos Comunes</v>
      </c>
      <c r="H50" s="146" t="str">
        <f>+VLOOKUP(D50,'3. Cuentas'!A:F,6,0)</f>
        <v>SI</v>
      </c>
    </row>
    <row r="51" spans="1:8" x14ac:dyDescent="0.25">
      <c r="A51" s="43">
        <v>10106105</v>
      </c>
      <c r="B51" t="s">
        <v>793</v>
      </c>
      <c r="C51" s="43" t="s">
        <v>1622</v>
      </c>
      <c r="D51" s="43">
        <v>4203140</v>
      </c>
      <c r="E51" t="s">
        <v>109</v>
      </c>
      <c r="F51" s="47" t="str">
        <f>+Centro_Cuenta8[[#This Row],[Codigo Centro Gestion]]&amp;" - "&amp;Centro_Cuenta8[[#This Row],[Nombre Centro Gestion]]</f>
        <v>10106105 - Palmas del Sur 1-Clientes</v>
      </c>
      <c r="G51" s="47" t="str">
        <f>+Centro_Cuenta8[[#This Row],[Código Cuenta Contable]]&amp;" - "&amp;Centro_Cuenta8[[#This Row],[Nombre de Cuenta Contable]]</f>
        <v>4203140 - Contribuciones</v>
      </c>
      <c r="H51" s="146" t="str">
        <f>+VLOOKUP(D51,'3. Cuentas'!A:F,6,0)</f>
        <v>SI</v>
      </c>
    </row>
    <row r="52" spans="1:8" x14ac:dyDescent="0.25">
      <c r="A52" s="43">
        <v>10106203</v>
      </c>
      <c r="B52" t="s">
        <v>794</v>
      </c>
      <c r="C52" s="43" t="s">
        <v>1624</v>
      </c>
      <c r="D52" s="43">
        <v>1103045</v>
      </c>
      <c r="E52" t="s">
        <v>323</v>
      </c>
      <c r="F52" s="47" t="str">
        <f>+Centro_Cuenta8[[#This Row],[Codigo Centro Gestion]]&amp;" - "&amp;Centro_Cuenta8[[#This Row],[Nombre Centro Gestion]]</f>
        <v>10106203 - Palmas del Sur 1-Proyecto</v>
      </c>
      <c r="G52" s="47" t="str">
        <f>+Centro_Cuenta8[[#This Row],[Código Cuenta Contable]]&amp;" - "&amp;Centro_Cuenta8[[#This Row],[Nombre de Cuenta Contable]]</f>
        <v>1103045 - Aportes reembolsables (electricidad y agua)</v>
      </c>
      <c r="H52" s="146" t="str">
        <f>+VLOOKUP(D52,'3. Cuentas'!A:F,6,0)</f>
        <v>SI</v>
      </c>
    </row>
    <row r="53" spans="1:8" x14ac:dyDescent="0.25">
      <c r="A53" s="43">
        <v>10106203</v>
      </c>
      <c r="B53" t="s">
        <v>794</v>
      </c>
      <c r="C53" s="43" t="s">
        <v>1624</v>
      </c>
      <c r="D53" s="43">
        <v>1109020</v>
      </c>
      <c r="E53" t="s">
        <v>302</v>
      </c>
      <c r="F53" s="47" t="str">
        <f>+Centro_Cuenta8[[#This Row],[Codigo Centro Gestion]]&amp;" - "&amp;Centro_Cuenta8[[#This Row],[Nombre Centro Gestion]]</f>
        <v>10106203 - Palmas del Sur 1-Proyecto</v>
      </c>
      <c r="G53" s="47" t="str">
        <f>+Centro_Cuenta8[[#This Row],[Código Cuenta Contable]]&amp;" - "&amp;Centro_Cuenta8[[#This Row],[Nombre de Cuenta Contable]]</f>
        <v>1109020 - Mobiliario</v>
      </c>
      <c r="H53" s="146" t="str">
        <f>+VLOOKUP(D53,'3. Cuentas'!A:F,6,0)</f>
        <v>SI</v>
      </c>
    </row>
    <row r="54" spans="1:8" x14ac:dyDescent="0.25">
      <c r="A54" s="43">
        <v>10106203</v>
      </c>
      <c r="B54" t="s">
        <v>794</v>
      </c>
      <c r="C54" s="43" t="s">
        <v>1624</v>
      </c>
      <c r="D54" s="43">
        <v>1110040</v>
      </c>
      <c r="E54" t="s">
        <v>1505</v>
      </c>
      <c r="F54" s="47" t="str">
        <f>+Centro_Cuenta8[[#This Row],[Codigo Centro Gestion]]&amp;" - "&amp;Centro_Cuenta8[[#This Row],[Nombre Centro Gestion]]</f>
        <v>10106203 - Palmas del Sur 1-Proyecto</v>
      </c>
      <c r="G54" s="47" t="str">
        <f>+Centro_Cuenta8[[#This Row],[Código Cuenta Contable]]&amp;" - "&amp;Centro_Cuenta8[[#This Row],[Nombre de Cuenta Contable]]</f>
        <v>1110040 - Garantía Pagadas</v>
      </c>
      <c r="H54" s="146" t="str">
        <f>+VLOOKUP(D54,'3. Cuentas'!A:F,6,0)</f>
        <v>SI</v>
      </c>
    </row>
    <row r="55" spans="1:8" x14ac:dyDescent="0.25">
      <c r="A55" s="43">
        <v>10106203</v>
      </c>
      <c r="B55" t="s">
        <v>794</v>
      </c>
      <c r="C55" s="43" t="s">
        <v>1624</v>
      </c>
      <c r="D55" s="43">
        <v>1115040</v>
      </c>
      <c r="E55" t="s">
        <v>291</v>
      </c>
      <c r="F55" s="47" t="str">
        <f>+Centro_Cuenta8[[#This Row],[Codigo Centro Gestion]]&amp;" - "&amp;Centro_Cuenta8[[#This Row],[Nombre Centro Gestion]]</f>
        <v>10106203 - Palmas del Sur 1-Proyecto</v>
      </c>
      <c r="G55" s="47" t="str">
        <f>+Centro_Cuenta8[[#This Row],[Código Cuenta Contable]]&amp;" - "&amp;Centro_Cuenta8[[#This Row],[Nombre de Cuenta Contable]]</f>
        <v>1115040 - Saneamiento De Terreno</v>
      </c>
      <c r="H55" s="146" t="str">
        <f>+VLOOKUP(D55,'3. Cuentas'!A:F,6,0)</f>
        <v>SI</v>
      </c>
    </row>
    <row r="56" spans="1:8" x14ac:dyDescent="0.25">
      <c r="A56" s="43">
        <v>10106203</v>
      </c>
      <c r="B56" t="s">
        <v>794</v>
      </c>
      <c r="C56" s="43" t="s">
        <v>1624</v>
      </c>
      <c r="D56" s="43">
        <v>1115050</v>
      </c>
      <c r="E56" t="s">
        <v>1628</v>
      </c>
      <c r="F56" s="47" t="str">
        <f>+Centro_Cuenta8[[#This Row],[Codigo Centro Gestion]]&amp;" - "&amp;Centro_Cuenta8[[#This Row],[Nombre Centro Gestion]]</f>
        <v>10106203 - Palmas del Sur 1-Proyecto</v>
      </c>
      <c r="G56" s="47" t="str">
        <f>+Centro_Cuenta8[[#This Row],[Código Cuenta Contable]]&amp;" - "&amp;Centro_Cuenta8[[#This Row],[Nombre de Cuenta Contable]]</f>
        <v>1115050 - Demolición</v>
      </c>
      <c r="H56" s="146" t="str">
        <f>+VLOOKUP(D56,'3. Cuentas'!A:F,6,0)</f>
        <v>SI</v>
      </c>
    </row>
    <row r="57" spans="1:8" x14ac:dyDescent="0.25">
      <c r="A57" s="43">
        <v>10106203</v>
      </c>
      <c r="B57" t="s">
        <v>794</v>
      </c>
      <c r="C57" s="43" t="s">
        <v>1624</v>
      </c>
      <c r="D57" s="43">
        <v>1115100</v>
      </c>
      <c r="E57" t="s">
        <v>292</v>
      </c>
      <c r="F57" s="47" t="str">
        <f>+Centro_Cuenta8[[#This Row],[Codigo Centro Gestion]]&amp;" - "&amp;Centro_Cuenta8[[#This Row],[Nombre Centro Gestion]]</f>
        <v>10106203 - Palmas del Sur 1-Proyecto</v>
      </c>
      <c r="G57" s="47" t="str">
        <f>+Centro_Cuenta8[[#This Row],[Código Cuenta Contable]]&amp;" - "&amp;Centro_Cuenta8[[#This Row],[Nombre de Cuenta Contable]]</f>
        <v>1115100 - Proyectos Y Especialidades</v>
      </c>
      <c r="H57" s="146" t="str">
        <f>+VLOOKUP(D57,'3. Cuentas'!A:F,6,0)</f>
        <v>SI</v>
      </c>
    </row>
    <row r="58" spans="1:8" x14ac:dyDescent="0.25">
      <c r="A58" s="43">
        <v>10106203</v>
      </c>
      <c r="B58" t="s">
        <v>794</v>
      </c>
      <c r="C58" s="43" t="s">
        <v>1624</v>
      </c>
      <c r="D58" s="43">
        <v>1115120</v>
      </c>
      <c r="E58" t="s">
        <v>1633</v>
      </c>
      <c r="F58" s="47" t="str">
        <f>+Centro_Cuenta8[[#This Row],[Codigo Centro Gestion]]&amp;" - "&amp;Centro_Cuenta8[[#This Row],[Nombre Centro Gestion]]</f>
        <v>10106203 - Palmas del Sur 1-Proyecto</v>
      </c>
      <c r="G58" s="47" t="str">
        <f>+Centro_Cuenta8[[#This Row],[Código Cuenta Contable]]&amp;" - "&amp;Centro_Cuenta8[[#This Row],[Nombre de Cuenta Contable]]</f>
        <v>1115120 - Instalación Empalmes</v>
      </c>
      <c r="H58" s="146" t="str">
        <f>+VLOOKUP(D58,'3. Cuentas'!A:F,6,0)</f>
        <v>SI</v>
      </c>
    </row>
    <row r="59" spans="1:8" x14ac:dyDescent="0.25">
      <c r="A59" s="43">
        <v>10106203</v>
      </c>
      <c r="B59" t="s">
        <v>794</v>
      </c>
      <c r="C59" s="43" t="s">
        <v>1624</v>
      </c>
      <c r="D59" s="43">
        <v>1115170</v>
      </c>
      <c r="E59" t="s">
        <v>293</v>
      </c>
      <c r="F59" s="47" t="str">
        <f>+Centro_Cuenta8[[#This Row],[Codigo Centro Gestion]]&amp;" - "&amp;Centro_Cuenta8[[#This Row],[Nombre Centro Gestion]]</f>
        <v>10106203 - Palmas del Sur 1-Proyecto</v>
      </c>
      <c r="G59" s="47" t="str">
        <f>+Centro_Cuenta8[[#This Row],[Código Cuenta Contable]]&amp;" - "&amp;Centro_Cuenta8[[#This Row],[Nombre de Cuenta Contable]]</f>
        <v>1115170 - Permisos Y Otros Gastos Municipales</v>
      </c>
      <c r="H59" s="146" t="str">
        <f>+VLOOKUP(D59,'3. Cuentas'!A:F,6,0)</f>
        <v>SI</v>
      </c>
    </row>
    <row r="60" spans="1:8" x14ac:dyDescent="0.25">
      <c r="A60" s="43">
        <v>10106203</v>
      </c>
      <c r="B60" t="s">
        <v>794</v>
      </c>
      <c r="C60" s="43" t="s">
        <v>1624</v>
      </c>
      <c r="D60" s="43">
        <v>1115240</v>
      </c>
      <c r="E60" t="s">
        <v>294</v>
      </c>
      <c r="F60" s="47" t="str">
        <f>+Centro_Cuenta8[[#This Row],[Codigo Centro Gestion]]&amp;" - "&amp;Centro_Cuenta8[[#This Row],[Nombre Centro Gestion]]</f>
        <v>10106203 - Palmas del Sur 1-Proyecto</v>
      </c>
      <c r="G60" s="47" t="str">
        <f>+Centro_Cuenta8[[#This Row],[Código Cuenta Contable]]&amp;" - "&amp;Centro_Cuenta8[[#This Row],[Nombre de Cuenta Contable]]</f>
        <v>1115240 - Estudios Y Asesorias Técnicas</v>
      </c>
      <c r="H60" s="146" t="str">
        <f>+VLOOKUP(D60,'3. Cuentas'!A:F,6,0)</f>
        <v>SI</v>
      </c>
    </row>
    <row r="61" spans="1:8" x14ac:dyDescent="0.25">
      <c r="A61" s="43">
        <v>10106203</v>
      </c>
      <c r="B61" t="s">
        <v>794</v>
      </c>
      <c r="C61" s="43" t="s">
        <v>1624</v>
      </c>
      <c r="D61" s="43">
        <v>4203090</v>
      </c>
      <c r="E61" t="s">
        <v>192</v>
      </c>
      <c r="F61" s="47" t="str">
        <f>+Centro_Cuenta8[[#This Row],[Codigo Centro Gestion]]&amp;" - "&amp;Centro_Cuenta8[[#This Row],[Nombre Centro Gestion]]</f>
        <v>10106203 - Palmas del Sur 1-Proyecto</v>
      </c>
      <c r="G61" s="47" t="str">
        <f>+Centro_Cuenta8[[#This Row],[Código Cuenta Contable]]&amp;" - "&amp;Centro_Cuenta8[[#This Row],[Nombre de Cuenta Contable]]</f>
        <v>4203090 - Gastos Legales Y Notariales Proyecto</v>
      </c>
      <c r="H61" s="146" t="str">
        <f>+VLOOKUP(D61,'3. Cuentas'!A:F,6,0)</f>
        <v>SI</v>
      </c>
    </row>
    <row r="62" spans="1:8" x14ac:dyDescent="0.25">
      <c r="A62" s="43">
        <v>10106203</v>
      </c>
      <c r="B62" t="s">
        <v>794</v>
      </c>
      <c r="C62" s="43" t="s">
        <v>1624</v>
      </c>
      <c r="D62" s="43">
        <v>4203140</v>
      </c>
      <c r="E62" t="s">
        <v>109</v>
      </c>
      <c r="F62" s="47" t="str">
        <f>+Centro_Cuenta8[[#This Row],[Codigo Centro Gestion]]&amp;" - "&amp;Centro_Cuenta8[[#This Row],[Nombre Centro Gestion]]</f>
        <v>10106203 - Palmas del Sur 1-Proyecto</v>
      </c>
      <c r="G62" s="47" t="str">
        <f>+Centro_Cuenta8[[#This Row],[Código Cuenta Contable]]&amp;" - "&amp;Centro_Cuenta8[[#This Row],[Nombre de Cuenta Contable]]</f>
        <v>4203140 - Contribuciones</v>
      </c>
      <c r="H62" s="146" t="str">
        <f>+VLOOKUP(D62,'3. Cuentas'!A:F,6,0)</f>
        <v>SI</v>
      </c>
    </row>
    <row r="63" spans="1:8" x14ac:dyDescent="0.25">
      <c r="A63" s="43">
        <v>10106203</v>
      </c>
      <c r="B63" t="s">
        <v>794</v>
      </c>
      <c r="C63" s="43" t="s">
        <v>1624</v>
      </c>
      <c r="D63" s="43">
        <v>4203150</v>
      </c>
      <c r="E63" t="s">
        <v>156</v>
      </c>
      <c r="F63" s="47" t="str">
        <f>+Centro_Cuenta8[[#This Row],[Codigo Centro Gestion]]&amp;" - "&amp;Centro_Cuenta8[[#This Row],[Nombre Centro Gestion]]</f>
        <v>10106203 - Palmas del Sur 1-Proyecto</v>
      </c>
      <c r="G63" s="47" t="str">
        <f>+Centro_Cuenta8[[#This Row],[Código Cuenta Contable]]&amp;" - "&amp;Centro_Cuenta8[[#This Row],[Nombre de Cuenta Contable]]</f>
        <v>4203150 - Gastos CBR</v>
      </c>
      <c r="H63" s="146" t="str">
        <f>+VLOOKUP(D63,'3. Cuentas'!A:F,6,0)</f>
        <v>SI</v>
      </c>
    </row>
    <row r="64" spans="1:8" x14ac:dyDescent="0.25">
      <c r="A64" s="43">
        <v>10106203</v>
      </c>
      <c r="B64" t="s">
        <v>794</v>
      </c>
      <c r="C64" s="43" t="s">
        <v>1624</v>
      </c>
      <c r="D64" s="43">
        <v>4203160</v>
      </c>
      <c r="E64" t="s">
        <v>1639</v>
      </c>
      <c r="F64" s="47" t="str">
        <f>+Centro_Cuenta8[[#This Row],[Codigo Centro Gestion]]&amp;" - "&amp;Centro_Cuenta8[[#This Row],[Nombre Centro Gestion]]</f>
        <v>10106203 - Palmas del Sur 1-Proyecto</v>
      </c>
      <c r="G64" s="47" t="str">
        <f>+Centro_Cuenta8[[#This Row],[Código Cuenta Contable]]&amp;" - "&amp;Centro_Cuenta8[[#This Row],[Nombre de Cuenta Contable]]</f>
        <v>4203160 - PAPELERIA Y FOTOCOPIADO</v>
      </c>
      <c r="H64" s="146" t="str">
        <f>+VLOOKUP(D64,'3. Cuentas'!A:F,6,0)</f>
        <v>SI</v>
      </c>
    </row>
    <row r="65" spans="1:8" x14ac:dyDescent="0.25">
      <c r="A65" s="43">
        <v>10106203</v>
      </c>
      <c r="B65" t="s">
        <v>794</v>
      </c>
      <c r="C65" s="43" t="s">
        <v>1624</v>
      </c>
      <c r="D65" s="43">
        <v>4203180</v>
      </c>
      <c r="E65" t="s">
        <v>1640</v>
      </c>
      <c r="F65" s="47" t="str">
        <f>+Centro_Cuenta8[[#This Row],[Codigo Centro Gestion]]&amp;" - "&amp;Centro_Cuenta8[[#This Row],[Nombre Centro Gestion]]</f>
        <v>10106203 - Palmas del Sur 1-Proyecto</v>
      </c>
      <c r="G65" s="47" t="str">
        <f>+Centro_Cuenta8[[#This Row],[Código Cuenta Contable]]&amp;" - "&amp;Centro_Cuenta8[[#This Row],[Nombre de Cuenta Contable]]</f>
        <v>4203180 - Otros Gastos y Aseso Proy</v>
      </c>
      <c r="H65" s="146" t="str">
        <f>+VLOOKUP(D65,'3. Cuentas'!A:F,6,0)</f>
        <v>SI</v>
      </c>
    </row>
    <row r="66" spans="1:8" x14ac:dyDescent="0.25">
      <c r="A66" s="43">
        <v>10106301</v>
      </c>
      <c r="B66" t="s">
        <v>795</v>
      </c>
      <c r="C66" s="43" t="s">
        <v>1643</v>
      </c>
      <c r="D66" s="43">
        <v>4203090</v>
      </c>
      <c r="E66" t="s">
        <v>192</v>
      </c>
      <c r="F66" s="47" t="str">
        <f>+Centro_Cuenta8[[#This Row],[Codigo Centro Gestion]]&amp;" - "&amp;Centro_Cuenta8[[#This Row],[Nombre Centro Gestion]]</f>
        <v>10106301 - Palmas del Sur 1-GAF</v>
      </c>
      <c r="G66" s="47" t="str">
        <f>+Centro_Cuenta8[[#This Row],[Código Cuenta Contable]]&amp;" - "&amp;Centro_Cuenta8[[#This Row],[Nombre de Cuenta Contable]]</f>
        <v>4203090 - Gastos Legales Y Notariales Proyecto</v>
      </c>
      <c r="H66" s="146" t="str">
        <f>+VLOOKUP(D66,'3. Cuentas'!A:F,6,0)</f>
        <v>SI</v>
      </c>
    </row>
    <row r="67" spans="1:8" x14ac:dyDescent="0.25">
      <c r="A67" s="43">
        <v>10106301</v>
      </c>
      <c r="B67" t="s">
        <v>795</v>
      </c>
      <c r="C67" s="43" t="s">
        <v>1643</v>
      </c>
      <c r="D67" s="43">
        <v>4203140</v>
      </c>
      <c r="E67" t="s">
        <v>109</v>
      </c>
      <c r="F67" s="47" t="str">
        <f>+Centro_Cuenta8[[#This Row],[Codigo Centro Gestion]]&amp;" - "&amp;Centro_Cuenta8[[#This Row],[Nombre Centro Gestion]]</f>
        <v>10106301 - Palmas del Sur 1-GAF</v>
      </c>
      <c r="G67" s="47" t="str">
        <f>+Centro_Cuenta8[[#This Row],[Código Cuenta Contable]]&amp;" - "&amp;Centro_Cuenta8[[#This Row],[Nombre de Cuenta Contable]]</f>
        <v>4203140 - Contribuciones</v>
      </c>
      <c r="H67" s="146" t="str">
        <f>+VLOOKUP(D67,'3. Cuentas'!A:F,6,0)</f>
        <v>SI</v>
      </c>
    </row>
    <row r="68" spans="1:8" x14ac:dyDescent="0.25">
      <c r="A68" s="43">
        <v>10106506</v>
      </c>
      <c r="B68" t="s">
        <v>797</v>
      </c>
      <c r="C68" s="43" t="s">
        <v>200</v>
      </c>
      <c r="D68" s="43">
        <v>1115100</v>
      </c>
      <c r="E68" t="s">
        <v>292</v>
      </c>
      <c r="F68" s="47" t="str">
        <f>+Centro_Cuenta8[[#This Row],[Codigo Centro Gestion]]&amp;" - "&amp;Centro_Cuenta8[[#This Row],[Nombre Centro Gestion]]</f>
        <v>10106506 - Palmas del Sur 1-Depto.Técnico</v>
      </c>
      <c r="G68" s="47" t="str">
        <f>+Centro_Cuenta8[[#This Row],[Código Cuenta Contable]]&amp;" - "&amp;Centro_Cuenta8[[#This Row],[Nombre de Cuenta Contable]]</f>
        <v>1115100 - Proyectos Y Especialidades</v>
      </c>
      <c r="H68" s="146" t="str">
        <f>+VLOOKUP(D68,'3. Cuentas'!A:F,6,0)</f>
        <v>SI</v>
      </c>
    </row>
    <row r="69" spans="1:8" x14ac:dyDescent="0.25">
      <c r="A69" s="43">
        <v>10115</v>
      </c>
      <c r="B69" t="s">
        <v>703</v>
      </c>
      <c r="C69" s="43" t="s">
        <v>1509</v>
      </c>
      <c r="D69" s="43">
        <v>4202003</v>
      </c>
      <c r="E69" t="s">
        <v>106</v>
      </c>
      <c r="F69" s="47" t="str">
        <f>+Centro_Cuenta8[[#This Row],[Codigo Centro Gestion]]&amp;" - "&amp;Centro_Cuenta8[[#This Row],[Nombre Centro Gestion]]</f>
        <v>10115 - Escrituración (NO VIGENTE)</v>
      </c>
      <c r="G69" s="47" t="str">
        <f>+Centro_Cuenta8[[#This Row],[Código Cuenta Contable]]&amp;" - "&amp;Centro_Cuenta8[[#This Row],[Nombre de Cuenta Contable]]</f>
        <v>4202003 - Serv.Basic.Luz.Agua.Tel Of.C</v>
      </c>
      <c r="H69" s="146" t="str">
        <f>+VLOOKUP(D69,'3. Cuentas'!A:F,6,0)</f>
        <v>SI</v>
      </c>
    </row>
    <row r="70" spans="1:8" x14ac:dyDescent="0.25">
      <c r="A70" s="43">
        <v>10115</v>
      </c>
      <c r="B70" t="s">
        <v>703</v>
      </c>
      <c r="C70" s="43" t="s">
        <v>1509</v>
      </c>
      <c r="D70" s="43">
        <v>4202009</v>
      </c>
      <c r="E70" t="s">
        <v>80</v>
      </c>
      <c r="F70" s="47" t="str">
        <f>+Centro_Cuenta8[[#This Row],[Codigo Centro Gestion]]&amp;" - "&amp;Centro_Cuenta8[[#This Row],[Nombre Centro Gestion]]</f>
        <v>10115 - Escrituración (NO VIGENTE)</v>
      </c>
      <c r="G70" s="47" t="str">
        <f>+Centro_Cuenta8[[#This Row],[Código Cuenta Contable]]&amp;" - "&amp;Centro_Cuenta8[[#This Row],[Nombre de Cuenta Contable]]</f>
        <v>4202009 - Gastos Viajes Y Traslados</v>
      </c>
      <c r="H70" s="146" t="str">
        <f>+VLOOKUP(D70,'3. Cuentas'!A:F,6,0)</f>
        <v>SI</v>
      </c>
    </row>
    <row r="71" spans="1:8" x14ac:dyDescent="0.25">
      <c r="A71" s="43">
        <v>10115</v>
      </c>
      <c r="B71" t="s">
        <v>703</v>
      </c>
      <c r="C71" s="43" t="s">
        <v>1509</v>
      </c>
      <c r="D71" s="43">
        <v>4202010</v>
      </c>
      <c r="E71" t="s">
        <v>87</v>
      </c>
      <c r="F71" s="47" t="str">
        <f>+Centro_Cuenta8[[#This Row],[Codigo Centro Gestion]]&amp;" - "&amp;Centro_Cuenta8[[#This Row],[Nombre Centro Gestion]]</f>
        <v>10115 - Escrituración (NO VIGENTE)</v>
      </c>
      <c r="G71" s="47" t="str">
        <f>+Centro_Cuenta8[[#This Row],[Código Cuenta Contable]]&amp;" - "&amp;Centro_Cuenta8[[#This Row],[Nombre de Cuenta Contable]]</f>
        <v>4202010 - Artic. Ofic. Fotocop.Papelería</v>
      </c>
      <c r="H71" s="146" t="str">
        <f>+VLOOKUP(D71,'3. Cuentas'!A:F,6,0)</f>
        <v>SI</v>
      </c>
    </row>
    <row r="72" spans="1:8" x14ac:dyDescent="0.25">
      <c r="A72" s="43">
        <v>10115</v>
      </c>
      <c r="B72" t="s">
        <v>703</v>
      </c>
      <c r="C72" s="43" t="s">
        <v>1509</v>
      </c>
      <c r="D72" s="43">
        <v>4202019</v>
      </c>
      <c r="E72" t="s">
        <v>81</v>
      </c>
      <c r="F72" s="47" t="str">
        <f>+Centro_Cuenta8[[#This Row],[Codigo Centro Gestion]]&amp;" - "&amp;Centro_Cuenta8[[#This Row],[Nombre Centro Gestion]]</f>
        <v>10115 - Escrituración (NO VIGENTE)</v>
      </c>
      <c r="G72" s="47" t="str">
        <f>+Centro_Cuenta8[[#This Row],[Código Cuenta Contable]]&amp;" - "&amp;Centro_Cuenta8[[#This Row],[Nombre de Cuenta Contable]]</f>
        <v>4202019 - Gasto General Oficina</v>
      </c>
      <c r="H72" s="146" t="str">
        <f>+VLOOKUP(D72,'3. Cuentas'!A:F,6,0)</f>
        <v>SI</v>
      </c>
    </row>
    <row r="73" spans="1:8" x14ac:dyDescent="0.25">
      <c r="A73" s="43">
        <v>10115</v>
      </c>
      <c r="B73" t="s">
        <v>703</v>
      </c>
      <c r="C73" s="43" t="s">
        <v>1509</v>
      </c>
      <c r="D73" s="43">
        <v>4202029</v>
      </c>
      <c r="E73" t="s">
        <v>83</v>
      </c>
      <c r="F73" s="47" t="str">
        <f>+Centro_Cuenta8[[#This Row],[Codigo Centro Gestion]]&amp;" - "&amp;Centro_Cuenta8[[#This Row],[Nombre Centro Gestion]]</f>
        <v>10115 - Escrituración (NO VIGENTE)</v>
      </c>
      <c r="G73" s="47" t="str">
        <f>+Centro_Cuenta8[[#This Row],[Código Cuenta Contable]]&amp;" - "&amp;Centro_Cuenta8[[#This Row],[Nombre de Cuenta Contable]]</f>
        <v>4202029 - Insumos Y Gastos Informáticos</v>
      </c>
      <c r="H73" s="146" t="str">
        <f>+VLOOKUP(D73,'3. Cuentas'!A:F,6,0)</f>
        <v>SI</v>
      </c>
    </row>
    <row r="74" spans="1:8" x14ac:dyDescent="0.25">
      <c r="A74" s="43">
        <v>10117</v>
      </c>
      <c r="B74" t="s">
        <v>704</v>
      </c>
      <c r="C74" s="43" t="s">
        <v>1510</v>
      </c>
      <c r="D74" s="43">
        <v>4202009</v>
      </c>
      <c r="E74" t="s">
        <v>80</v>
      </c>
      <c r="F74" s="47" t="str">
        <f>+Centro_Cuenta8[[#This Row],[Codigo Centro Gestion]]&amp;" - "&amp;Centro_Cuenta8[[#This Row],[Nombre Centro Gestion]]</f>
        <v>10117 - VENTAS NORTE 1 (NO VIGENTE)</v>
      </c>
      <c r="G74" s="47" t="str">
        <f>+Centro_Cuenta8[[#This Row],[Código Cuenta Contable]]&amp;" - "&amp;Centro_Cuenta8[[#This Row],[Nombre de Cuenta Contable]]</f>
        <v>4202009 - Gastos Viajes Y Traslados</v>
      </c>
      <c r="H74" s="146" t="str">
        <f>+VLOOKUP(D74,'3. Cuentas'!A:F,6,0)</f>
        <v>SI</v>
      </c>
    </row>
    <row r="75" spans="1:8" x14ac:dyDescent="0.25">
      <c r="A75" s="43">
        <v>10117</v>
      </c>
      <c r="B75" t="s">
        <v>704</v>
      </c>
      <c r="C75" s="43" t="s">
        <v>1510</v>
      </c>
      <c r="D75" s="43">
        <v>4202013</v>
      </c>
      <c r="E75" t="s">
        <v>147</v>
      </c>
      <c r="F75" s="47" t="str">
        <f>+Centro_Cuenta8[[#This Row],[Codigo Centro Gestion]]&amp;" - "&amp;Centro_Cuenta8[[#This Row],[Nombre Centro Gestion]]</f>
        <v>10117 - VENTAS NORTE 1 (NO VIGENTE)</v>
      </c>
      <c r="G75" s="47" t="str">
        <f>+Centro_Cuenta8[[#This Row],[Código Cuenta Contable]]&amp;" - "&amp;Centro_Cuenta8[[#This Row],[Nombre de Cuenta Contable]]</f>
        <v>4202013 - Multas E Intereses</v>
      </c>
      <c r="H75" s="146" t="str">
        <f>+VLOOKUP(D75,'3. Cuentas'!A:F,6,0)</f>
        <v>SI</v>
      </c>
    </row>
    <row r="76" spans="1:8" x14ac:dyDescent="0.25">
      <c r="A76" s="43">
        <v>10117</v>
      </c>
      <c r="B76" t="s">
        <v>704</v>
      </c>
      <c r="C76" s="43" t="s">
        <v>1510</v>
      </c>
      <c r="D76" s="43">
        <v>4202019</v>
      </c>
      <c r="E76" t="s">
        <v>81</v>
      </c>
      <c r="F76" s="47" t="str">
        <f>+Centro_Cuenta8[[#This Row],[Codigo Centro Gestion]]&amp;" - "&amp;Centro_Cuenta8[[#This Row],[Nombre Centro Gestion]]</f>
        <v>10117 - VENTAS NORTE 1 (NO VIGENTE)</v>
      </c>
      <c r="G76" s="47" t="str">
        <f>+Centro_Cuenta8[[#This Row],[Código Cuenta Contable]]&amp;" - "&amp;Centro_Cuenta8[[#This Row],[Nombre de Cuenta Contable]]</f>
        <v>4202019 - Gasto General Oficina</v>
      </c>
      <c r="H76" s="146" t="str">
        <f>+VLOOKUP(D76,'3. Cuentas'!A:F,6,0)</f>
        <v>SI</v>
      </c>
    </row>
    <row r="77" spans="1:8" x14ac:dyDescent="0.25">
      <c r="A77" s="43">
        <v>10117</v>
      </c>
      <c r="B77" t="s">
        <v>704</v>
      </c>
      <c r="C77" s="43" t="s">
        <v>1510</v>
      </c>
      <c r="D77" s="43">
        <v>4202023</v>
      </c>
      <c r="E77" t="s">
        <v>82</v>
      </c>
      <c r="F77" s="47" t="str">
        <f>+Centro_Cuenta8[[#This Row],[Codigo Centro Gestion]]&amp;" - "&amp;Centro_Cuenta8[[#This Row],[Nombre Centro Gestion]]</f>
        <v>10117 - VENTAS NORTE 1 (NO VIGENTE)</v>
      </c>
      <c r="G77" s="47" t="str">
        <f>+Centro_Cuenta8[[#This Row],[Código Cuenta Contable]]&amp;" - "&amp;Centro_Cuenta8[[#This Row],[Nombre de Cuenta Contable]]</f>
        <v>4202023 - Honorarios Por Asesorías</v>
      </c>
      <c r="H77" s="146" t="str">
        <f>+VLOOKUP(D77,'3. Cuentas'!A:F,6,0)</f>
        <v>SI</v>
      </c>
    </row>
    <row r="78" spans="1:8" x14ac:dyDescent="0.25">
      <c r="A78" s="43">
        <v>10119</v>
      </c>
      <c r="B78" t="s">
        <v>116</v>
      </c>
      <c r="C78" s="43" t="s">
        <v>1511</v>
      </c>
      <c r="D78" s="43">
        <v>4202009</v>
      </c>
      <c r="E78" t="s">
        <v>80</v>
      </c>
      <c r="F78" s="47" t="str">
        <f>+Centro_Cuenta8[[#This Row],[Codigo Centro Gestion]]&amp;" - "&amp;Centro_Cuenta8[[#This Row],[Nombre Centro Gestion]]</f>
        <v>10119 - VENTAS ZC1 (NO VIGENTE)</v>
      </c>
      <c r="G78" s="47" t="str">
        <f>+Centro_Cuenta8[[#This Row],[Código Cuenta Contable]]&amp;" - "&amp;Centro_Cuenta8[[#This Row],[Nombre de Cuenta Contable]]</f>
        <v>4202009 - Gastos Viajes Y Traslados</v>
      </c>
      <c r="H78" s="146" t="str">
        <f>+VLOOKUP(D78,'3. Cuentas'!A:F,6,0)</f>
        <v>SI</v>
      </c>
    </row>
    <row r="79" spans="1:8" x14ac:dyDescent="0.25">
      <c r="A79" s="43">
        <v>10119</v>
      </c>
      <c r="B79" t="s">
        <v>116</v>
      </c>
      <c r="C79" s="43" t="s">
        <v>1511</v>
      </c>
      <c r="D79" s="43">
        <v>4202010</v>
      </c>
      <c r="E79" t="s">
        <v>87</v>
      </c>
      <c r="F79" s="47" t="str">
        <f>+Centro_Cuenta8[[#This Row],[Codigo Centro Gestion]]&amp;" - "&amp;Centro_Cuenta8[[#This Row],[Nombre Centro Gestion]]</f>
        <v>10119 - VENTAS ZC1 (NO VIGENTE)</v>
      </c>
      <c r="G79" s="47" t="str">
        <f>+Centro_Cuenta8[[#This Row],[Código Cuenta Contable]]&amp;" - "&amp;Centro_Cuenta8[[#This Row],[Nombre de Cuenta Contable]]</f>
        <v>4202010 - Artic. Ofic. Fotocop.Papelería</v>
      </c>
      <c r="H79" s="146" t="str">
        <f>+VLOOKUP(D79,'3. Cuentas'!A:F,6,0)</f>
        <v>SI</v>
      </c>
    </row>
    <row r="80" spans="1:8" x14ac:dyDescent="0.25">
      <c r="A80" s="43">
        <v>10119</v>
      </c>
      <c r="B80" t="s">
        <v>116</v>
      </c>
      <c r="C80" s="43" t="s">
        <v>1511</v>
      </c>
      <c r="D80" s="43">
        <v>4202013</v>
      </c>
      <c r="E80" t="s">
        <v>147</v>
      </c>
      <c r="F80" s="47" t="str">
        <f>+Centro_Cuenta8[[#This Row],[Codigo Centro Gestion]]&amp;" - "&amp;Centro_Cuenta8[[#This Row],[Nombre Centro Gestion]]</f>
        <v>10119 - VENTAS ZC1 (NO VIGENTE)</v>
      </c>
      <c r="G80" s="47" t="str">
        <f>+Centro_Cuenta8[[#This Row],[Código Cuenta Contable]]&amp;" - "&amp;Centro_Cuenta8[[#This Row],[Nombre de Cuenta Contable]]</f>
        <v>4202013 - Multas E Intereses</v>
      </c>
      <c r="H80" s="146" t="str">
        <f>+VLOOKUP(D80,'3. Cuentas'!A:F,6,0)</f>
        <v>SI</v>
      </c>
    </row>
    <row r="81" spans="1:8" x14ac:dyDescent="0.25">
      <c r="A81" s="43">
        <v>10120</v>
      </c>
      <c r="B81" t="s">
        <v>705</v>
      </c>
      <c r="C81" s="43" t="s">
        <v>1511</v>
      </c>
      <c r="D81" s="43">
        <v>4202009</v>
      </c>
      <c r="E81" t="s">
        <v>80</v>
      </c>
      <c r="F81" s="47" t="str">
        <f>+Centro_Cuenta8[[#This Row],[Codigo Centro Gestion]]&amp;" - "&amp;Centro_Cuenta8[[#This Row],[Nombre Centro Gestion]]</f>
        <v>10120 - VENTAS ZC2 (NO VIGENTE)</v>
      </c>
      <c r="G81" s="47" t="str">
        <f>+Centro_Cuenta8[[#This Row],[Código Cuenta Contable]]&amp;" - "&amp;Centro_Cuenta8[[#This Row],[Nombre de Cuenta Contable]]</f>
        <v>4202009 - Gastos Viajes Y Traslados</v>
      </c>
      <c r="H81" s="146" t="str">
        <f>+VLOOKUP(D81,'3. Cuentas'!A:F,6,0)</f>
        <v>SI</v>
      </c>
    </row>
    <row r="82" spans="1:8" x14ac:dyDescent="0.25">
      <c r="A82" s="43">
        <v>10120</v>
      </c>
      <c r="B82" t="s">
        <v>705</v>
      </c>
      <c r="C82" s="43" t="s">
        <v>1511</v>
      </c>
      <c r="D82" s="43">
        <v>4202013</v>
      </c>
      <c r="E82" t="s">
        <v>147</v>
      </c>
      <c r="F82" s="47" t="str">
        <f>+Centro_Cuenta8[[#This Row],[Codigo Centro Gestion]]&amp;" - "&amp;Centro_Cuenta8[[#This Row],[Nombre Centro Gestion]]</f>
        <v>10120 - VENTAS ZC2 (NO VIGENTE)</v>
      </c>
      <c r="G82" s="47" t="str">
        <f>+Centro_Cuenta8[[#This Row],[Código Cuenta Contable]]&amp;" - "&amp;Centro_Cuenta8[[#This Row],[Nombre de Cuenta Contable]]</f>
        <v>4202013 - Multas E Intereses</v>
      </c>
      <c r="H82" s="146" t="str">
        <f>+VLOOKUP(D82,'3. Cuentas'!A:F,6,0)</f>
        <v>SI</v>
      </c>
    </row>
    <row r="83" spans="1:8" x14ac:dyDescent="0.25">
      <c r="A83" s="43">
        <v>10120</v>
      </c>
      <c r="B83" t="s">
        <v>705</v>
      </c>
      <c r="C83" s="43" t="s">
        <v>1511</v>
      </c>
      <c r="D83" s="43">
        <v>4202019</v>
      </c>
      <c r="E83" t="s">
        <v>81</v>
      </c>
      <c r="F83" s="47" t="str">
        <f>+Centro_Cuenta8[[#This Row],[Codigo Centro Gestion]]&amp;" - "&amp;Centro_Cuenta8[[#This Row],[Nombre Centro Gestion]]</f>
        <v>10120 - VENTAS ZC2 (NO VIGENTE)</v>
      </c>
      <c r="G83" s="47" t="str">
        <f>+Centro_Cuenta8[[#This Row],[Código Cuenta Contable]]&amp;" - "&amp;Centro_Cuenta8[[#This Row],[Nombre de Cuenta Contable]]</f>
        <v>4202019 - Gasto General Oficina</v>
      </c>
      <c r="H83" s="146" t="str">
        <f>+VLOOKUP(D83,'3. Cuentas'!A:F,6,0)</f>
        <v>SI</v>
      </c>
    </row>
    <row r="84" spans="1:8" x14ac:dyDescent="0.25">
      <c r="A84" s="43">
        <v>10120</v>
      </c>
      <c r="B84" t="s">
        <v>705</v>
      </c>
      <c r="C84" s="43" t="s">
        <v>1511</v>
      </c>
      <c r="D84" s="43">
        <v>4202023</v>
      </c>
      <c r="E84" t="s">
        <v>82</v>
      </c>
      <c r="F84" s="47" t="str">
        <f>+Centro_Cuenta8[[#This Row],[Codigo Centro Gestion]]&amp;" - "&amp;Centro_Cuenta8[[#This Row],[Nombre Centro Gestion]]</f>
        <v>10120 - VENTAS ZC2 (NO VIGENTE)</v>
      </c>
      <c r="G84" s="47" t="str">
        <f>+Centro_Cuenta8[[#This Row],[Código Cuenta Contable]]&amp;" - "&amp;Centro_Cuenta8[[#This Row],[Nombre de Cuenta Contable]]</f>
        <v>4202023 - Honorarios Por Asesorías</v>
      </c>
      <c r="H84" s="146" t="str">
        <f>+VLOOKUP(D84,'3. Cuentas'!A:F,6,0)</f>
        <v>SI</v>
      </c>
    </row>
    <row r="85" spans="1:8" x14ac:dyDescent="0.25">
      <c r="A85" s="43">
        <v>10120</v>
      </c>
      <c r="B85" t="s">
        <v>705</v>
      </c>
      <c r="C85" s="43" t="s">
        <v>1511</v>
      </c>
      <c r="D85" s="43">
        <v>4202029</v>
      </c>
      <c r="E85" t="s">
        <v>83</v>
      </c>
      <c r="F85" s="47" t="str">
        <f>+Centro_Cuenta8[[#This Row],[Codigo Centro Gestion]]&amp;" - "&amp;Centro_Cuenta8[[#This Row],[Nombre Centro Gestion]]</f>
        <v>10120 - VENTAS ZC2 (NO VIGENTE)</v>
      </c>
      <c r="G85" s="47" t="str">
        <f>+Centro_Cuenta8[[#This Row],[Código Cuenta Contable]]&amp;" - "&amp;Centro_Cuenta8[[#This Row],[Nombre de Cuenta Contable]]</f>
        <v>4202029 - Insumos Y Gastos Informáticos</v>
      </c>
      <c r="H85" s="146" t="str">
        <f>+VLOOKUP(D85,'3. Cuentas'!A:F,6,0)</f>
        <v>SI</v>
      </c>
    </row>
    <row r="86" spans="1:8" x14ac:dyDescent="0.25">
      <c r="A86" s="43">
        <v>10121</v>
      </c>
      <c r="B86" t="s">
        <v>706</v>
      </c>
      <c r="C86" s="43" t="s">
        <v>1512</v>
      </c>
      <c r="D86" s="43">
        <v>4202003</v>
      </c>
      <c r="E86" t="s">
        <v>106</v>
      </c>
      <c r="F86" s="47" t="str">
        <f>+Centro_Cuenta8[[#This Row],[Codigo Centro Gestion]]&amp;" - "&amp;Centro_Cuenta8[[#This Row],[Nombre Centro Gestion]]</f>
        <v>10121 - VENTAS V REGIÓN (NO VIGENTE)</v>
      </c>
      <c r="G86" s="47" t="str">
        <f>+Centro_Cuenta8[[#This Row],[Código Cuenta Contable]]&amp;" - "&amp;Centro_Cuenta8[[#This Row],[Nombre de Cuenta Contable]]</f>
        <v>4202003 - Serv.Basic.Luz.Agua.Tel Of.C</v>
      </c>
      <c r="H86" s="146" t="str">
        <f>+VLOOKUP(D86,'3. Cuentas'!A:F,6,0)</f>
        <v>SI</v>
      </c>
    </row>
    <row r="87" spans="1:8" x14ac:dyDescent="0.25">
      <c r="A87" s="43">
        <v>10121</v>
      </c>
      <c r="B87" t="s">
        <v>706</v>
      </c>
      <c r="C87" s="43" t="s">
        <v>1512</v>
      </c>
      <c r="D87" s="43">
        <v>4202009</v>
      </c>
      <c r="E87" t="s">
        <v>80</v>
      </c>
      <c r="F87" s="47" t="str">
        <f>+Centro_Cuenta8[[#This Row],[Codigo Centro Gestion]]&amp;" - "&amp;Centro_Cuenta8[[#This Row],[Nombre Centro Gestion]]</f>
        <v>10121 - VENTAS V REGIÓN (NO VIGENTE)</v>
      </c>
      <c r="G87" s="47" t="str">
        <f>+Centro_Cuenta8[[#This Row],[Código Cuenta Contable]]&amp;" - "&amp;Centro_Cuenta8[[#This Row],[Nombre de Cuenta Contable]]</f>
        <v>4202009 - Gastos Viajes Y Traslados</v>
      </c>
      <c r="H87" s="146" t="str">
        <f>+VLOOKUP(D87,'3. Cuentas'!A:F,6,0)</f>
        <v>SI</v>
      </c>
    </row>
    <row r="88" spans="1:8" x14ac:dyDescent="0.25">
      <c r="A88" s="43">
        <v>10121</v>
      </c>
      <c r="B88" t="s">
        <v>706</v>
      </c>
      <c r="C88" s="43" t="s">
        <v>1512</v>
      </c>
      <c r="D88" s="43">
        <v>4202010</v>
      </c>
      <c r="E88" t="s">
        <v>87</v>
      </c>
      <c r="F88" s="47" t="str">
        <f>+Centro_Cuenta8[[#This Row],[Codigo Centro Gestion]]&amp;" - "&amp;Centro_Cuenta8[[#This Row],[Nombre Centro Gestion]]</f>
        <v>10121 - VENTAS V REGIÓN (NO VIGENTE)</v>
      </c>
      <c r="G88" s="47" t="str">
        <f>+Centro_Cuenta8[[#This Row],[Código Cuenta Contable]]&amp;" - "&amp;Centro_Cuenta8[[#This Row],[Nombre de Cuenta Contable]]</f>
        <v>4202010 - Artic. Ofic. Fotocop.Papelería</v>
      </c>
      <c r="H88" s="146" t="str">
        <f>+VLOOKUP(D88,'3. Cuentas'!A:F,6,0)</f>
        <v>SI</v>
      </c>
    </row>
    <row r="89" spans="1:8" x14ac:dyDescent="0.25">
      <c r="A89" s="43">
        <v>10121</v>
      </c>
      <c r="B89" t="s">
        <v>706</v>
      </c>
      <c r="C89" s="43" t="s">
        <v>1512</v>
      </c>
      <c r="D89" s="43">
        <v>4202013</v>
      </c>
      <c r="E89" t="s">
        <v>147</v>
      </c>
      <c r="F89" s="47" t="str">
        <f>+Centro_Cuenta8[[#This Row],[Codigo Centro Gestion]]&amp;" - "&amp;Centro_Cuenta8[[#This Row],[Nombre Centro Gestion]]</f>
        <v>10121 - VENTAS V REGIÓN (NO VIGENTE)</v>
      </c>
      <c r="G89" s="47" t="str">
        <f>+Centro_Cuenta8[[#This Row],[Código Cuenta Contable]]&amp;" - "&amp;Centro_Cuenta8[[#This Row],[Nombre de Cuenta Contable]]</f>
        <v>4202013 - Multas E Intereses</v>
      </c>
      <c r="H89" s="146" t="str">
        <f>+VLOOKUP(D89,'3. Cuentas'!A:F,6,0)</f>
        <v>SI</v>
      </c>
    </row>
    <row r="90" spans="1:8" x14ac:dyDescent="0.25">
      <c r="A90" s="43">
        <v>10121</v>
      </c>
      <c r="B90" t="s">
        <v>706</v>
      </c>
      <c r="C90" s="43" t="s">
        <v>1512</v>
      </c>
      <c r="D90" s="43">
        <v>4202019</v>
      </c>
      <c r="E90" t="s">
        <v>81</v>
      </c>
      <c r="F90" s="47" t="str">
        <f>+Centro_Cuenta8[[#This Row],[Codigo Centro Gestion]]&amp;" - "&amp;Centro_Cuenta8[[#This Row],[Nombre Centro Gestion]]</f>
        <v>10121 - VENTAS V REGIÓN (NO VIGENTE)</v>
      </c>
      <c r="G90" s="47" t="str">
        <f>+Centro_Cuenta8[[#This Row],[Código Cuenta Contable]]&amp;" - "&amp;Centro_Cuenta8[[#This Row],[Nombre de Cuenta Contable]]</f>
        <v>4202019 - Gasto General Oficina</v>
      </c>
      <c r="H90" s="146" t="str">
        <f>+VLOOKUP(D90,'3. Cuentas'!A:F,6,0)</f>
        <v>SI</v>
      </c>
    </row>
    <row r="91" spans="1:8" x14ac:dyDescent="0.25">
      <c r="A91" s="43">
        <v>10126</v>
      </c>
      <c r="B91" t="s">
        <v>121</v>
      </c>
      <c r="C91" s="43" t="s">
        <v>1513</v>
      </c>
      <c r="D91" s="43">
        <v>4202003</v>
      </c>
      <c r="E91" t="s">
        <v>106</v>
      </c>
      <c r="F91" s="47" t="str">
        <f>+Centro_Cuenta8[[#This Row],[Codigo Centro Gestion]]&amp;" - "&amp;Centro_Cuenta8[[#This Row],[Nombre Centro Gestion]]</f>
        <v>10126 - CLIENTES ZONAL NORTE 1</v>
      </c>
      <c r="G91" s="47" t="str">
        <f>+Centro_Cuenta8[[#This Row],[Código Cuenta Contable]]&amp;" - "&amp;Centro_Cuenta8[[#This Row],[Nombre de Cuenta Contable]]</f>
        <v>4202003 - Serv.Basic.Luz.Agua.Tel Of.C</v>
      </c>
      <c r="H91" s="146" t="str">
        <f>+VLOOKUP(D91,'3. Cuentas'!A:F,6,0)</f>
        <v>SI</v>
      </c>
    </row>
    <row r="92" spans="1:8" x14ac:dyDescent="0.25">
      <c r="A92" s="43">
        <v>10126</v>
      </c>
      <c r="B92" t="s">
        <v>121</v>
      </c>
      <c r="C92" s="43" t="s">
        <v>1513</v>
      </c>
      <c r="D92" s="43">
        <v>4202009</v>
      </c>
      <c r="E92" t="s">
        <v>80</v>
      </c>
      <c r="F92" s="47" t="str">
        <f>+Centro_Cuenta8[[#This Row],[Codigo Centro Gestion]]&amp;" - "&amp;Centro_Cuenta8[[#This Row],[Nombre Centro Gestion]]</f>
        <v>10126 - CLIENTES ZONAL NORTE 1</v>
      </c>
      <c r="G92" s="47" t="str">
        <f>+Centro_Cuenta8[[#This Row],[Código Cuenta Contable]]&amp;" - "&amp;Centro_Cuenta8[[#This Row],[Nombre de Cuenta Contable]]</f>
        <v>4202009 - Gastos Viajes Y Traslados</v>
      </c>
      <c r="H92" s="146" t="str">
        <f>+VLOOKUP(D92,'3. Cuentas'!A:F,6,0)</f>
        <v>SI</v>
      </c>
    </row>
    <row r="93" spans="1:8" x14ac:dyDescent="0.25">
      <c r="A93" s="43">
        <v>10126</v>
      </c>
      <c r="B93" t="s">
        <v>121</v>
      </c>
      <c r="C93" s="43" t="s">
        <v>1513</v>
      </c>
      <c r="D93" s="43">
        <v>4202019</v>
      </c>
      <c r="E93" t="s">
        <v>81</v>
      </c>
      <c r="F93" s="47" t="str">
        <f>+Centro_Cuenta8[[#This Row],[Codigo Centro Gestion]]&amp;" - "&amp;Centro_Cuenta8[[#This Row],[Nombre Centro Gestion]]</f>
        <v>10126 - CLIENTES ZONAL NORTE 1</v>
      </c>
      <c r="G93" s="47" t="str">
        <f>+Centro_Cuenta8[[#This Row],[Código Cuenta Contable]]&amp;" - "&amp;Centro_Cuenta8[[#This Row],[Nombre de Cuenta Contable]]</f>
        <v>4202019 - Gasto General Oficina</v>
      </c>
      <c r="H93" s="146" t="str">
        <f>+VLOOKUP(D93,'3. Cuentas'!A:F,6,0)</f>
        <v>SI</v>
      </c>
    </row>
    <row r="94" spans="1:8" x14ac:dyDescent="0.25">
      <c r="A94" s="43">
        <v>10126</v>
      </c>
      <c r="B94" t="s">
        <v>121</v>
      </c>
      <c r="C94" s="43" t="s">
        <v>1513</v>
      </c>
      <c r="D94" s="43">
        <v>4202029</v>
      </c>
      <c r="E94" t="s">
        <v>83</v>
      </c>
      <c r="F94" s="47" t="str">
        <f>+Centro_Cuenta8[[#This Row],[Codigo Centro Gestion]]&amp;" - "&amp;Centro_Cuenta8[[#This Row],[Nombre Centro Gestion]]</f>
        <v>10126 - CLIENTES ZONAL NORTE 1</v>
      </c>
      <c r="G94" s="47" t="str">
        <f>+Centro_Cuenta8[[#This Row],[Código Cuenta Contable]]&amp;" - "&amp;Centro_Cuenta8[[#This Row],[Nombre de Cuenta Contable]]</f>
        <v>4202029 - Insumos Y Gastos Informáticos</v>
      </c>
      <c r="H94" s="146" t="str">
        <f>+VLOOKUP(D94,'3. Cuentas'!A:F,6,0)</f>
        <v>SI</v>
      </c>
    </row>
    <row r="95" spans="1:8" x14ac:dyDescent="0.25">
      <c r="A95" s="43">
        <v>10127</v>
      </c>
      <c r="B95" t="s">
        <v>123</v>
      </c>
      <c r="C95" s="43" t="s">
        <v>1513</v>
      </c>
      <c r="D95" s="43">
        <v>4202003</v>
      </c>
      <c r="E95" t="s">
        <v>106</v>
      </c>
      <c r="F95" s="47" t="str">
        <f>+Centro_Cuenta8[[#This Row],[Codigo Centro Gestion]]&amp;" - "&amp;Centro_Cuenta8[[#This Row],[Nombre Centro Gestion]]</f>
        <v>10127 - CLIENTES ZONAL NORTE 2</v>
      </c>
      <c r="G95" s="47" t="str">
        <f>+Centro_Cuenta8[[#This Row],[Código Cuenta Contable]]&amp;" - "&amp;Centro_Cuenta8[[#This Row],[Nombre de Cuenta Contable]]</f>
        <v>4202003 - Serv.Basic.Luz.Agua.Tel Of.C</v>
      </c>
      <c r="H95" s="146" t="str">
        <f>+VLOOKUP(D95,'3. Cuentas'!A:F,6,0)</f>
        <v>SI</v>
      </c>
    </row>
    <row r="96" spans="1:8" x14ac:dyDescent="0.25">
      <c r="A96" s="43">
        <v>10127</v>
      </c>
      <c r="B96" t="s">
        <v>123</v>
      </c>
      <c r="C96" s="43" t="s">
        <v>1513</v>
      </c>
      <c r="D96" s="43">
        <v>4202009</v>
      </c>
      <c r="E96" t="s">
        <v>80</v>
      </c>
      <c r="F96" s="47" t="str">
        <f>+Centro_Cuenta8[[#This Row],[Codigo Centro Gestion]]&amp;" - "&amp;Centro_Cuenta8[[#This Row],[Nombre Centro Gestion]]</f>
        <v>10127 - CLIENTES ZONAL NORTE 2</v>
      </c>
      <c r="G96" s="47" t="str">
        <f>+Centro_Cuenta8[[#This Row],[Código Cuenta Contable]]&amp;" - "&amp;Centro_Cuenta8[[#This Row],[Nombre de Cuenta Contable]]</f>
        <v>4202009 - Gastos Viajes Y Traslados</v>
      </c>
      <c r="H96" s="146" t="str">
        <f>+VLOOKUP(D96,'3. Cuentas'!A:F,6,0)</f>
        <v>SI</v>
      </c>
    </row>
    <row r="97" spans="1:8" x14ac:dyDescent="0.25">
      <c r="A97" s="43">
        <v>10127</v>
      </c>
      <c r="B97" t="s">
        <v>123</v>
      </c>
      <c r="C97" s="43" t="s">
        <v>1513</v>
      </c>
      <c r="D97" s="43">
        <v>4202019</v>
      </c>
      <c r="E97" t="s">
        <v>81</v>
      </c>
      <c r="F97" s="47" t="str">
        <f>+Centro_Cuenta8[[#This Row],[Codigo Centro Gestion]]&amp;" - "&amp;Centro_Cuenta8[[#This Row],[Nombre Centro Gestion]]</f>
        <v>10127 - CLIENTES ZONAL NORTE 2</v>
      </c>
      <c r="G97" s="47" t="str">
        <f>+Centro_Cuenta8[[#This Row],[Código Cuenta Contable]]&amp;" - "&amp;Centro_Cuenta8[[#This Row],[Nombre de Cuenta Contable]]</f>
        <v>4202019 - Gasto General Oficina</v>
      </c>
      <c r="H97" s="146" t="str">
        <f>+VLOOKUP(D97,'3. Cuentas'!A:F,6,0)</f>
        <v>SI</v>
      </c>
    </row>
    <row r="98" spans="1:8" x14ac:dyDescent="0.25">
      <c r="A98" s="43">
        <v>10127</v>
      </c>
      <c r="B98" t="s">
        <v>123</v>
      </c>
      <c r="C98" s="43" t="s">
        <v>1513</v>
      </c>
      <c r="D98" s="43">
        <v>4202029</v>
      </c>
      <c r="E98" t="s">
        <v>83</v>
      </c>
      <c r="F98" s="47" t="str">
        <f>+Centro_Cuenta8[[#This Row],[Codigo Centro Gestion]]&amp;" - "&amp;Centro_Cuenta8[[#This Row],[Nombre Centro Gestion]]</f>
        <v>10127 - CLIENTES ZONAL NORTE 2</v>
      </c>
      <c r="G98" s="47" t="str">
        <f>+Centro_Cuenta8[[#This Row],[Código Cuenta Contable]]&amp;" - "&amp;Centro_Cuenta8[[#This Row],[Nombre de Cuenta Contable]]</f>
        <v>4202029 - Insumos Y Gastos Informáticos</v>
      </c>
      <c r="H98" s="146" t="str">
        <f>+VLOOKUP(D98,'3. Cuentas'!A:F,6,0)</f>
        <v>SI</v>
      </c>
    </row>
    <row r="99" spans="1:8" x14ac:dyDescent="0.25">
      <c r="A99" s="43">
        <v>10128</v>
      </c>
      <c r="B99" t="s">
        <v>124</v>
      </c>
      <c r="C99" s="43" t="s">
        <v>1513</v>
      </c>
      <c r="D99" s="43">
        <v>4202003</v>
      </c>
      <c r="E99" t="s">
        <v>106</v>
      </c>
      <c r="F99" s="47" t="str">
        <f>+Centro_Cuenta8[[#This Row],[Codigo Centro Gestion]]&amp;" - "&amp;Centro_Cuenta8[[#This Row],[Nombre Centro Gestion]]</f>
        <v>10128 - CLIENTES ZONAL NORTE 3</v>
      </c>
      <c r="G99" s="47" t="str">
        <f>+Centro_Cuenta8[[#This Row],[Código Cuenta Contable]]&amp;" - "&amp;Centro_Cuenta8[[#This Row],[Nombre de Cuenta Contable]]</f>
        <v>4202003 - Serv.Basic.Luz.Agua.Tel Of.C</v>
      </c>
      <c r="H99" s="146" t="str">
        <f>+VLOOKUP(D99,'3. Cuentas'!A:F,6,0)</f>
        <v>SI</v>
      </c>
    </row>
    <row r="100" spans="1:8" x14ac:dyDescent="0.25">
      <c r="A100" s="43">
        <v>10128</v>
      </c>
      <c r="B100" t="s">
        <v>124</v>
      </c>
      <c r="C100" s="43" t="s">
        <v>1513</v>
      </c>
      <c r="D100" s="43">
        <v>4202009</v>
      </c>
      <c r="E100" t="s">
        <v>80</v>
      </c>
      <c r="F100" s="47" t="str">
        <f>+Centro_Cuenta8[[#This Row],[Codigo Centro Gestion]]&amp;" - "&amp;Centro_Cuenta8[[#This Row],[Nombre Centro Gestion]]</f>
        <v>10128 - CLIENTES ZONAL NORTE 3</v>
      </c>
      <c r="G100" s="47" t="str">
        <f>+Centro_Cuenta8[[#This Row],[Código Cuenta Contable]]&amp;" - "&amp;Centro_Cuenta8[[#This Row],[Nombre de Cuenta Contable]]</f>
        <v>4202009 - Gastos Viajes Y Traslados</v>
      </c>
      <c r="H100" s="146" t="str">
        <f>+VLOOKUP(D100,'3. Cuentas'!A:F,6,0)</f>
        <v>SI</v>
      </c>
    </row>
    <row r="101" spans="1:8" x14ac:dyDescent="0.25">
      <c r="A101" s="43">
        <v>10128</v>
      </c>
      <c r="B101" t="s">
        <v>124</v>
      </c>
      <c r="C101" s="43" t="s">
        <v>1513</v>
      </c>
      <c r="D101" s="43">
        <v>4202019</v>
      </c>
      <c r="E101" t="s">
        <v>81</v>
      </c>
      <c r="F101" s="47" t="str">
        <f>+Centro_Cuenta8[[#This Row],[Codigo Centro Gestion]]&amp;" - "&amp;Centro_Cuenta8[[#This Row],[Nombre Centro Gestion]]</f>
        <v>10128 - CLIENTES ZONAL NORTE 3</v>
      </c>
      <c r="G101" s="47" t="str">
        <f>+Centro_Cuenta8[[#This Row],[Código Cuenta Contable]]&amp;" - "&amp;Centro_Cuenta8[[#This Row],[Nombre de Cuenta Contable]]</f>
        <v>4202019 - Gasto General Oficina</v>
      </c>
      <c r="H101" s="146" t="str">
        <f>+VLOOKUP(D101,'3. Cuentas'!A:F,6,0)</f>
        <v>SI</v>
      </c>
    </row>
    <row r="102" spans="1:8" x14ac:dyDescent="0.25">
      <c r="A102" s="43">
        <v>10128</v>
      </c>
      <c r="B102" t="s">
        <v>124</v>
      </c>
      <c r="C102" s="43" t="s">
        <v>1513</v>
      </c>
      <c r="D102" s="43">
        <v>4202029</v>
      </c>
      <c r="E102" t="s">
        <v>83</v>
      </c>
      <c r="F102" s="47" t="str">
        <f>+Centro_Cuenta8[[#This Row],[Codigo Centro Gestion]]&amp;" - "&amp;Centro_Cuenta8[[#This Row],[Nombre Centro Gestion]]</f>
        <v>10128 - CLIENTES ZONAL NORTE 3</v>
      </c>
      <c r="G102" s="47" t="str">
        <f>+Centro_Cuenta8[[#This Row],[Código Cuenta Contable]]&amp;" - "&amp;Centro_Cuenta8[[#This Row],[Nombre de Cuenta Contable]]</f>
        <v>4202029 - Insumos Y Gastos Informáticos</v>
      </c>
      <c r="H102" s="146" t="str">
        <f>+VLOOKUP(D102,'3. Cuentas'!A:F,6,0)</f>
        <v>SI</v>
      </c>
    </row>
    <row r="103" spans="1:8" x14ac:dyDescent="0.25">
      <c r="A103" s="43">
        <v>10129</v>
      </c>
      <c r="B103" t="s">
        <v>125</v>
      </c>
      <c r="C103" s="43" t="s">
        <v>1514</v>
      </c>
      <c r="D103" s="43">
        <v>4202003</v>
      </c>
      <c r="E103" t="s">
        <v>106</v>
      </c>
      <c r="F103" s="47" t="str">
        <f>+Centro_Cuenta8[[#This Row],[Codigo Centro Gestion]]&amp;" - "&amp;Centro_Cuenta8[[#This Row],[Nombre Centro Gestion]]</f>
        <v>10129 - CLIENTES ZONAL V REGIÓN</v>
      </c>
      <c r="G103" s="47" t="str">
        <f>+Centro_Cuenta8[[#This Row],[Código Cuenta Contable]]&amp;" - "&amp;Centro_Cuenta8[[#This Row],[Nombre de Cuenta Contable]]</f>
        <v>4202003 - Serv.Basic.Luz.Agua.Tel Of.C</v>
      </c>
      <c r="H103" s="146" t="str">
        <f>+VLOOKUP(D103,'3. Cuentas'!A:F,6,0)</f>
        <v>SI</v>
      </c>
    </row>
    <row r="104" spans="1:8" x14ac:dyDescent="0.25">
      <c r="A104" s="43">
        <v>10129</v>
      </c>
      <c r="B104" t="s">
        <v>125</v>
      </c>
      <c r="C104" s="43" t="s">
        <v>1514</v>
      </c>
      <c r="D104" s="43">
        <v>4202009</v>
      </c>
      <c r="E104" t="s">
        <v>80</v>
      </c>
      <c r="F104" s="47" t="str">
        <f>+Centro_Cuenta8[[#This Row],[Codigo Centro Gestion]]&amp;" - "&amp;Centro_Cuenta8[[#This Row],[Nombre Centro Gestion]]</f>
        <v>10129 - CLIENTES ZONAL V REGIÓN</v>
      </c>
      <c r="G104" s="47" t="str">
        <f>+Centro_Cuenta8[[#This Row],[Código Cuenta Contable]]&amp;" - "&amp;Centro_Cuenta8[[#This Row],[Nombre de Cuenta Contable]]</f>
        <v>4202009 - Gastos Viajes Y Traslados</v>
      </c>
      <c r="H104" s="146" t="str">
        <f>+VLOOKUP(D104,'3. Cuentas'!A:F,6,0)</f>
        <v>SI</v>
      </c>
    </row>
    <row r="105" spans="1:8" x14ac:dyDescent="0.25">
      <c r="A105" s="43">
        <v>10129</v>
      </c>
      <c r="B105" t="s">
        <v>125</v>
      </c>
      <c r="C105" s="43" t="s">
        <v>1514</v>
      </c>
      <c r="D105" s="43">
        <v>4202019</v>
      </c>
      <c r="E105" t="s">
        <v>81</v>
      </c>
      <c r="F105" s="47" t="str">
        <f>+Centro_Cuenta8[[#This Row],[Codigo Centro Gestion]]&amp;" - "&amp;Centro_Cuenta8[[#This Row],[Nombre Centro Gestion]]</f>
        <v>10129 - CLIENTES ZONAL V REGIÓN</v>
      </c>
      <c r="G105" s="47" t="str">
        <f>+Centro_Cuenta8[[#This Row],[Código Cuenta Contable]]&amp;" - "&amp;Centro_Cuenta8[[#This Row],[Nombre de Cuenta Contable]]</f>
        <v>4202019 - Gasto General Oficina</v>
      </c>
      <c r="H105" s="146" t="str">
        <f>+VLOOKUP(D105,'3. Cuentas'!A:F,6,0)</f>
        <v>SI</v>
      </c>
    </row>
    <row r="106" spans="1:8" x14ac:dyDescent="0.25">
      <c r="A106" s="43">
        <v>10129</v>
      </c>
      <c r="B106" t="s">
        <v>125</v>
      </c>
      <c r="C106" s="43" t="s">
        <v>1514</v>
      </c>
      <c r="D106" s="43">
        <v>4202029</v>
      </c>
      <c r="E106" t="s">
        <v>83</v>
      </c>
      <c r="F106" s="47" t="str">
        <f>+Centro_Cuenta8[[#This Row],[Codigo Centro Gestion]]&amp;" - "&amp;Centro_Cuenta8[[#This Row],[Nombre Centro Gestion]]</f>
        <v>10129 - CLIENTES ZONAL V REGIÓN</v>
      </c>
      <c r="G106" s="47" t="str">
        <f>+Centro_Cuenta8[[#This Row],[Código Cuenta Contable]]&amp;" - "&amp;Centro_Cuenta8[[#This Row],[Nombre de Cuenta Contable]]</f>
        <v>4202029 - Insumos Y Gastos Informáticos</v>
      </c>
      <c r="H106" s="146" t="str">
        <f>+VLOOKUP(D106,'3. Cuentas'!A:F,6,0)</f>
        <v>SI</v>
      </c>
    </row>
    <row r="107" spans="1:8" x14ac:dyDescent="0.25">
      <c r="A107" s="43">
        <v>10130</v>
      </c>
      <c r="B107" t="s">
        <v>126</v>
      </c>
      <c r="C107" s="43" t="s">
        <v>1515</v>
      </c>
      <c r="D107" s="43">
        <v>4202003</v>
      </c>
      <c r="E107" t="s">
        <v>106</v>
      </c>
      <c r="F107" s="47" t="str">
        <f>+Centro_Cuenta8[[#This Row],[Codigo Centro Gestion]]&amp;" - "&amp;Centro_Cuenta8[[#This Row],[Nombre Centro Gestion]]</f>
        <v>10130 - CLIENTES ZONAL ZC1</v>
      </c>
      <c r="G107" s="47" t="str">
        <f>+Centro_Cuenta8[[#This Row],[Código Cuenta Contable]]&amp;" - "&amp;Centro_Cuenta8[[#This Row],[Nombre de Cuenta Contable]]</f>
        <v>4202003 - Serv.Basic.Luz.Agua.Tel Of.C</v>
      </c>
      <c r="H107" s="146" t="str">
        <f>+VLOOKUP(D107,'3. Cuentas'!A:F,6,0)</f>
        <v>SI</v>
      </c>
    </row>
    <row r="108" spans="1:8" x14ac:dyDescent="0.25">
      <c r="A108" s="43">
        <v>10130</v>
      </c>
      <c r="B108" t="s">
        <v>126</v>
      </c>
      <c r="C108" s="43" t="s">
        <v>1515</v>
      </c>
      <c r="D108" s="43">
        <v>4202009</v>
      </c>
      <c r="E108" t="s">
        <v>80</v>
      </c>
      <c r="F108" s="47" t="str">
        <f>+Centro_Cuenta8[[#This Row],[Codigo Centro Gestion]]&amp;" - "&amp;Centro_Cuenta8[[#This Row],[Nombre Centro Gestion]]</f>
        <v>10130 - CLIENTES ZONAL ZC1</v>
      </c>
      <c r="G108" s="47" t="str">
        <f>+Centro_Cuenta8[[#This Row],[Código Cuenta Contable]]&amp;" - "&amp;Centro_Cuenta8[[#This Row],[Nombre de Cuenta Contable]]</f>
        <v>4202009 - Gastos Viajes Y Traslados</v>
      </c>
      <c r="H108" s="146" t="str">
        <f>+VLOOKUP(D108,'3. Cuentas'!A:F,6,0)</f>
        <v>SI</v>
      </c>
    </row>
    <row r="109" spans="1:8" x14ac:dyDescent="0.25">
      <c r="A109" s="43">
        <v>10130</v>
      </c>
      <c r="B109" t="s">
        <v>126</v>
      </c>
      <c r="C109" s="43" t="s">
        <v>1515</v>
      </c>
      <c r="D109" s="43">
        <v>4202019</v>
      </c>
      <c r="E109" t="s">
        <v>81</v>
      </c>
      <c r="F109" s="47" t="str">
        <f>+Centro_Cuenta8[[#This Row],[Codigo Centro Gestion]]&amp;" - "&amp;Centro_Cuenta8[[#This Row],[Nombre Centro Gestion]]</f>
        <v>10130 - CLIENTES ZONAL ZC1</v>
      </c>
      <c r="G109" s="47" t="str">
        <f>+Centro_Cuenta8[[#This Row],[Código Cuenta Contable]]&amp;" - "&amp;Centro_Cuenta8[[#This Row],[Nombre de Cuenta Contable]]</f>
        <v>4202019 - Gasto General Oficina</v>
      </c>
      <c r="H109" s="146" t="str">
        <f>+VLOOKUP(D109,'3. Cuentas'!A:F,6,0)</f>
        <v>SI</v>
      </c>
    </row>
    <row r="110" spans="1:8" x14ac:dyDescent="0.25">
      <c r="A110" s="43">
        <v>10130</v>
      </c>
      <c r="B110" t="s">
        <v>126</v>
      </c>
      <c r="C110" s="43" t="s">
        <v>1515</v>
      </c>
      <c r="D110" s="43">
        <v>4202029</v>
      </c>
      <c r="E110" t="s">
        <v>83</v>
      </c>
      <c r="F110" s="47" t="str">
        <f>+Centro_Cuenta8[[#This Row],[Codigo Centro Gestion]]&amp;" - "&amp;Centro_Cuenta8[[#This Row],[Nombre Centro Gestion]]</f>
        <v>10130 - CLIENTES ZONAL ZC1</v>
      </c>
      <c r="G110" s="47" t="str">
        <f>+Centro_Cuenta8[[#This Row],[Código Cuenta Contable]]&amp;" - "&amp;Centro_Cuenta8[[#This Row],[Nombre de Cuenta Contable]]</f>
        <v>4202029 - Insumos Y Gastos Informáticos</v>
      </c>
      <c r="H110" s="146" t="str">
        <f>+VLOOKUP(D110,'3. Cuentas'!A:F,6,0)</f>
        <v>SI</v>
      </c>
    </row>
    <row r="111" spans="1:8" x14ac:dyDescent="0.25">
      <c r="A111" s="43">
        <v>10131</v>
      </c>
      <c r="B111" t="s">
        <v>127</v>
      </c>
      <c r="C111" s="43" t="s">
        <v>1515</v>
      </c>
      <c r="D111" s="43">
        <v>4202003</v>
      </c>
      <c r="E111" t="s">
        <v>106</v>
      </c>
      <c r="F111" s="47" t="str">
        <f>+Centro_Cuenta8[[#This Row],[Codigo Centro Gestion]]&amp;" - "&amp;Centro_Cuenta8[[#This Row],[Nombre Centro Gestion]]</f>
        <v>10131 - CLIENTES ZONAL ZC2</v>
      </c>
      <c r="G111" s="47" t="str">
        <f>+Centro_Cuenta8[[#This Row],[Código Cuenta Contable]]&amp;" - "&amp;Centro_Cuenta8[[#This Row],[Nombre de Cuenta Contable]]</f>
        <v>4202003 - Serv.Basic.Luz.Agua.Tel Of.C</v>
      </c>
      <c r="H111" s="146" t="str">
        <f>+VLOOKUP(D111,'3. Cuentas'!A:F,6,0)</f>
        <v>SI</v>
      </c>
    </row>
    <row r="112" spans="1:8" x14ac:dyDescent="0.25">
      <c r="A112" s="43">
        <v>10131</v>
      </c>
      <c r="B112" t="s">
        <v>127</v>
      </c>
      <c r="C112" s="43" t="s">
        <v>1515</v>
      </c>
      <c r="D112" s="43">
        <v>4202009</v>
      </c>
      <c r="E112" t="s">
        <v>80</v>
      </c>
      <c r="F112" s="47" t="str">
        <f>+Centro_Cuenta8[[#This Row],[Codigo Centro Gestion]]&amp;" - "&amp;Centro_Cuenta8[[#This Row],[Nombre Centro Gestion]]</f>
        <v>10131 - CLIENTES ZONAL ZC2</v>
      </c>
      <c r="G112" s="47" t="str">
        <f>+Centro_Cuenta8[[#This Row],[Código Cuenta Contable]]&amp;" - "&amp;Centro_Cuenta8[[#This Row],[Nombre de Cuenta Contable]]</f>
        <v>4202009 - Gastos Viajes Y Traslados</v>
      </c>
      <c r="H112" s="146" t="str">
        <f>+VLOOKUP(D112,'3. Cuentas'!A:F,6,0)</f>
        <v>SI</v>
      </c>
    </row>
    <row r="113" spans="1:8" x14ac:dyDescent="0.25">
      <c r="A113" s="43">
        <v>10131</v>
      </c>
      <c r="B113" t="s">
        <v>127</v>
      </c>
      <c r="C113" s="43" t="s">
        <v>1515</v>
      </c>
      <c r="D113" s="43">
        <v>4202019</v>
      </c>
      <c r="E113" t="s">
        <v>81</v>
      </c>
      <c r="F113" s="47" t="str">
        <f>+Centro_Cuenta8[[#This Row],[Codigo Centro Gestion]]&amp;" - "&amp;Centro_Cuenta8[[#This Row],[Nombre Centro Gestion]]</f>
        <v>10131 - CLIENTES ZONAL ZC2</v>
      </c>
      <c r="G113" s="47" t="str">
        <f>+Centro_Cuenta8[[#This Row],[Código Cuenta Contable]]&amp;" - "&amp;Centro_Cuenta8[[#This Row],[Nombre de Cuenta Contable]]</f>
        <v>4202019 - Gasto General Oficina</v>
      </c>
      <c r="H113" s="146" t="str">
        <f>+VLOOKUP(D113,'3. Cuentas'!A:F,6,0)</f>
        <v>SI</v>
      </c>
    </row>
    <row r="114" spans="1:8" x14ac:dyDescent="0.25">
      <c r="A114" s="43">
        <v>10131</v>
      </c>
      <c r="B114" t="s">
        <v>127</v>
      </c>
      <c r="C114" s="43" t="s">
        <v>1515</v>
      </c>
      <c r="D114" s="43">
        <v>4202029</v>
      </c>
      <c r="E114" t="s">
        <v>83</v>
      </c>
      <c r="F114" s="47" t="str">
        <f>+Centro_Cuenta8[[#This Row],[Codigo Centro Gestion]]&amp;" - "&amp;Centro_Cuenta8[[#This Row],[Nombre Centro Gestion]]</f>
        <v>10131 - CLIENTES ZONAL ZC2</v>
      </c>
      <c r="G114" s="47" t="str">
        <f>+Centro_Cuenta8[[#This Row],[Código Cuenta Contable]]&amp;" - "&amp;Centro_Cuenta8[[#This Row],[Nombre de Cuenta Contable]]</f>
        <v>4202029 - Insumos Y Gastos Informáticos</v>
      </c>
      <c r="H114" s="146" t="str">
        <f>+VLOOKUP(D114,'3. Cuentas'!A:F,6,0)</f>
        <v>SI</v>
      </c>
    </row>
    <row r="115" spans="1:8" x14ac:dyDescent="0.25">
      <c r="A115" s="43">
        <v>10132</v>
      </c>
      <c r="B115" t="s">
        <v>128</v>
      </c>
      <c r="C115" s="43" t="s">
        <v>1513</v>
      </c>
      <c r="D115" s="43">
        <v>4202009</v>
      </c>
      <c r="E115" t="s">
        <v>80</v>
      </c>
      <c r="F115" s="47" t="str">
        <f>+Centro_Cuenta8[[#This Row],[Codigo Centro Gestion]]&amp;" - "&amp;Centro_Cuenta8[[#This Row],[Nombre Centro Gestion]]</f>
        <v>10132 - ENTREGA NORTE 1</v>
      </c>
      <c r="G115" s="47" t="str">
        <f>+Centro_Cuenta8[[#This Row],[Código Cuenta Contable]]&amp;" - "&amp;Centro_Cuenta8[[#This Row],[Nombre de Cuenta Contable]]</f>
        <v>4202009 - Gastos Viajes Y Traslados</v>
      </c>
      <c r="H115" s="146" t="str">
        <f>+VLOOKUP(D115,'3. Cuentas'!A:F,6,0)</f>
        <v>SI</v>
      </c>
    </row>
    <row r="116" spans="1:8" x14ac:dyDescent="0.25">
      <c r="A116" s="43">
        <v>10132</v>
      </c>
      <c r="B116" t="s">
        <v>128</v>
      </c>
      <c r="C116" s="43" t="s">
        <v>1513</v>
      </c>
      <c r="D116" s="43">
        <v>4202019</v>
      </c>
      <c r="E116" t="s">
        <v>81</v>
      </c>
      <c r="F116" s="47" t="str">
        <f>+Centro_Cuenta8[[#This Row],[Codigo Centro Gestion]]&amp;" - "&amp;Centro_Cuenta8[[#This Row],[Nombre Centro Gestion]]</f>
        <v>10132 - ENTREGA NORTE 1</v>
      </c>
      <c r="G116" s="47" t="str">
        <f>+Centro_Cuenta8[[#This Row],[Código Cuenta Contable]]&amp;" - "&amp;Centro_Cuenta8[[#This Row],[Nombre de Cuenta Contable]]</f>
        <v>4202019 - Gasto General Oficina</v>
      </c>
      <c r="H116" s="146" t="str">
        <f>+VLOOKUP(D116,'3. Cuentas'!A:F,6,0)</f>
        <v>SI</v>
      </c>
    </row>
    <row r="117" spans="1:8" x14ac:dyDescent="0.25">
      <c r="A117" s="43">
        <v>10132</v>
      </c>
      <c r="B117" t="s">
        <v>128</v>
      </c>
      <c r="C117" s="43" t="s">
        <v>1513</v>
      </c>
      <c r="D117" s="43">
        <v>4202029</v>
      </c>
      <c r="E117" t="s">
        <v>83</v>
      </c>
      <c r="F117" s="47" t="str">
        <f>+Centro_Cuenta8[[#This Row],[Codigo Centro Gestion]]&amp;" - "&amp;Centro_Cuenta8[[#This Row],[Nombre Centro Gestion]]</f>
        <v>10132 - ENTREGA NORTE 1</v>
      </c>
      <c r="G117" s="47" t="str">
        <f>+Centro_Cuenta8[[#This Row],[Código Cuenta Contable]]&amp;" - "&amp;Centro_Cuenta8[[#This Row],[Nombre de Cuenta Contable]]</f>
        <v>4202029 - Insumos Y Gastos Informáticos</v>
      </c>
      <c r="H117" s="146" t="str">
        <f>+VLOOKUP(D117,'3. Cuentas'!A:F,6,0)</f>
        <v>SI</v>
      </c>
    </row>
    <row r="118" spans="1:8" x14ac:dyDescent="0.25">
      <c r="A118" s="43">
        <v>10133</v>
      </c>
      <c r="B118" t="s">
        <v>131</v>
      </c>
      <c r="C118" s="43" t="s">
        <v>1513</v>
      </c>
      <c r="D118" s="43">
        <v>4202009</v>
      </c>
      <c r="E118" t="s">
        <v>80</v>
      </c>
      <c r="F118" s="47" t="str">
        <f>+Centro_Cuenta8[[#This Row],[Codigo Centro Gestion]]&amp;" - "&amp;Centro_Cuenta8[[#This Row],[Nombre Centro Gestion]]</f>
        <v>10133 - ENTREGA NORTE 2</v>
      </c>
      <c r="G118" s="47" t="str">
        <f>+Centro_Cuenta8[[#This Row],[Código Cuenta Contable]]&amp;" - "&amp;Centro_Cuenta8[[#This Row],[Nombre de Cuenta Contable]]</f>
        <v>4202009 - Gastos Viajes Y Traslados</v>
      </c>
      <c r="H118" s="146" t="str">
        <f>+VLOOKUP(D118,'3. Cuentas'!A:F,6,0)</f>
        <v>SI</v>
      </c>
    </row>
    <row r="119" spans="1:8" x14ac:dyDescent="0.25">
      <c r="A119" s="43">
        <v>10133</v>
      </c>
      <c r="B119" t="s">
        <v>131</v>
      </c>
      <c r="C119" s="43" t="s">
        <v>1513</v>
      </c>
      <c r="D119" s="43">
        <v>4202019</v>
      </c>
      <c r="E119" t="s">
        <v>81</v>
      </c>
      <c r="F119" s="47" t="str">
        <f>+Centro_Cuenta8[[#This Row],[Codigo Centro Gestion]]&amp;" - "&amp;Centro_Cuenta8[[#This Row],[Nombre Centro Gestion]]</f>
        <v>10133 - ENTREGA NORTE 2</v>
      </c>
      <c r="G119" s="47" t="str">
        <f>+Centro_Cuenta8[[#This Row],[Código Cuenta Contable]]&amp;" - "&amp;Centro_Cuenta8[[#This Row],[Nombre de Cuenta Contable]]</f>
        <v>4202019 - Gasto General Oficina</v>
      </c>
      <c r="H119" s="146" t="str">
        <f>+VLOOKUP(D119,'3. Cuentas'!A:F,6,0)</f>
        <v>SI</v>
      </c>
    </row>
    <row r="120" spans="1:8" x14ac:dyDescent="0.25">
      <c r="A120" s="43">
        <v>10133</v>
      </c>
      <c r="B120" t="s">
        <v>131</v>
      </c>
      <c r="C120" s="43" t="s">
        <v>1513</v>
      </c>
      <c r="D120" s="43">
        <v>4202029</v>
      </c>
      <c r="E120" t="s">
        <v>83</v>
      </c>
      <c r="F120" s="47" t="str">
        <f>+Centro_Cuenta8[[#This Row],[Codigo Centro Gestion]]&amp;" - "&amp;Centro_Cuenta8[[#This Row],[Nombre Centro Gestion]]</f>
        <v>10133 - ENTREGA NORTE 2</v>
      </c>
      <c r="G120" s="47" t="str">
        <f>+Centro_Cuenta8[[#This Row],[Código Cuenta Contable]]&amp;" - "&amp;Centro_Cuenta8[[#This Row],[Nombre de Cuenta Contable]]</f>
        <v>4202029 - Insumos Y Gastos Informáticos</v>
      </c>
      <c r="H120" s="146" t="str">
        <f>+VLOOKUP(D120,'3. Cuentas'!A:F,6,0)</f>
        <v>SI</v>
      </c>
    </row>
    <row r="121" spans="1:8" x14ac:dyDescent="0.25">
      <c r="A121" s="43">
        <v>10133102</v>
      </c>
      <c r="B121" t="s">
        <v>799</v>
      </c>
      <c r="C121" s="43" t="s">
        <v>1617</v>
      </c>
      <c r="D121" s="43">
        <v>4204010</v>
      </c>
      <c r="E121" t="s">
        <v>313</v>
      </c>
      <c r="F121" s="47" t="str">
        <f>+Centro_Cuenta8[[#This Row],[Codigo Centro Gestion]]&amp;" - "&amp;Centro_Cuenta8[[#This Row],[Nombre Centro Gestion]]</f>
        <v>10133102 - Vista del Valle II Edificio A-Marketing</v>
      </c>
      <c r="G121" s="47" t="str">
        <f>+Centro_Cuenta8[[#This Row],[Código Cuenta Contable]]&amp;" - "&amp;Centro_Cuenta8[[#This Row],[Nombre de Cuenta Contable]]</f>
        <v>4204010 - Publicidad Punto Venta</v>
      </c>
      <c r="H121" s="146" t="str">
        <f>+VLOOKUP(D121,'3. Cuentas'!A:F,6,0)</f>
        <v>SI</v>
      </c>
    </row>
    <row r="122" spans="1:8" x14ac:dyDescent="0.25">
      <c r="A122" s="43">
        <v>10133102</v>
      </c>
      <c r="B122" t="s">
        <v>799</v>
      </c>
      <c r="C122" s="43" t="s">
        <v>1617</v>
      </c>
      <c r="D122" s="43">
        <v>4204021</v>
      </c>
      <c r="E122" t="s">
        <v>329</v>
      </c>
      <c r="F122" s="47" t="str">
        <f>+Centro_Cuenta8[[#This Row],[Codigo Centro Gestion]]&amp;" - "&amp;Centro_Cuenta8[[#This Row],[Nombre Centro Gestion]]</f>
        <v>10133102 - Vista del Valle II Edificio A-Marketing</v>
      </c>
      <c r="G122" s="47" t="str">
        <f>+Centro_Cuenta8[[#This Row],[Código Cuenta Contable]]&amp;" - "&amp;Centro_Cuenta8[[#This Row],[Nombre de Cuenta Contable]]</f>
        <v>4204021 - Publicidad Ferias Y Eventos</v>
      </c>
      <c r="H122" s="146" t="str">
        <f>+VLOOKUP(D122,'3. Cuentas'!A:F,6,0)</f>
        <v>SI</v>
      </c>
    </row>
    <row r="123" spans="1:8" x14ac:dyDescent="0.25">
      <c r="A123" s="43">
        <v>10133103</v>
      </c>
      <c r="B123" t="s">
        <v>800</v>
      </c>
      <c r="C123" s="43" t="s">
        <v>1618</v>
      </c>
      <c r="D123" s="43">
        <v>4203060</v>
      </c>
      <c r="E123" t="s">
        <v>321</v>
      </c>
      <c r="F123" s="47" t="str">
        <f>+Centro_Cuenta8[[#This Row],[Codigo Centro Gestion]]&amp;" - "&amp;Centro_Cuenta8[[#This Row],[Nombre Centro Gestion]]</f>
        <v>10133103 - Vista del Valle II Edificio A-Operaciones</v>
      </c>
      <c r="G123" s="47" t="str">
        <f>+Centro_Cuenta8[[#This Row],[Código Cuenta Contable]]&amp;" - "&amp;Centro_Cuenta8[[#This Row],[Nombre de Cuenta Contable]]</f>
        <v>4203060 - Gastos Operacionales De Clientes</v>
      </c>
      <c r="H123" s="146" t="str">
        <f>+VLOOKUP(D123,'3. Cuentas'!A:F,6,0)</f>
        <v>SI</v>
      </c>
    </row>
    <row r="124" spans="1:8" x14ac:dyDescent="0.25">
      <c r="A124" s="43">
        <v>10133103</v>
      </c>
      <c r="B124" t="s">
        <v>800</v>
      </c>
      <c r="C124" s="43" t="s">
        <v>1618</v>
      </c>
      <c r="D124" s="43">
        <v>4203090</v>
      </c>
      <c r="E124" t="s">
        <v>192</v>
      </c>
      <c r="F124" s="47" t="str">
        <f>+Centro_Cuenta8[[#This Row],[Codigo Centro Gestion]]&amp;" - "&amp;Centro_Cuenta8[[#This Row],[Nombre Centro Gestion]]</f>
        <v>10133103 - Vista del Valle II Edificio A-Operaciones</v>
      </c>
      <c r="G124" s="47" t="str">
        <f>+Centro_Cuenta8[[#This Row],[Código Cuenta Contable]]&amp;" - "&amp;Centro_Cuenta8[[#This Row],[Nombre de Cuenta Contable]]</f>
        <v>4203090 - Gastos Legales Y Notariales Proyecto</v>
      </c>
      <c r="H124" s="146" t="str">
        <f>+VLOOKUP(D124,'3. Cuentas'!A:F,6,0)</f>
        <v>SI</v>
      </c>
    </row>
    <row r="125" spans="1:8" x14ac:dyDescent="0.25">
      <c r="A125" s="43">
        <v>10133104</v>
      </c>
      <c r="B125" t="s">
        <v>801</v>
      </c>
      <c r="C125" s="43" t="s">
        <v>90</v>
      </c>
      <c r="D125" s="43">
        <v>1110040</v>
      </c>
      <c r="E125" t="s">
        <v>1505</v>
      </c>
      <c r="F125" s="47" t="str">
        <f>+Centro_Cuenta8[[#This Row],[Codigo Centro Gestion]]&amp;" - "&amp;Centro_Cuenta8[[#This Row],[Nombre Centro Gestion]]</f>
        <v>10133104 - Vista del Valle II Edificio A-Ventas</v>
      </c>
      <c r="G125" s="47" t="str">
        <f>+Centro_Cuenta8[[#This Row],[Código Cuenta Contable]]&amp;" - "&amp;Centro_Cuenta8[[#This Row],[Nombre de Cuenta Contable]]</f>
        <v>1110040 - Garantía Pagadas</v>
      </c>
      <c r="H125" s="146" t="str">
        <f>+VLOOKUP(D125,'3. Cuentas'!A:F,6,0)</f>
        <v>SI</v>
      </c>
    </row>
    <row r="126" spans="1:8" x14ac:dyDescent="0.25">
      <c r="A126" s="43">
        <v>10133104</v>
      </c>
      <c r="B126" t="s">
        <v>801</v>
      </c>
      <c r="C126" s="43" t="s">
        <v>90</v>
      </c>
      <c r="D126" s="43">
        <v>4202003</v>
      </c>
      <c r="E126" t="s">
        <v>106</v>
      </c>
      <c r="F126" s="47" t="str">
        <f>+Centro_Cuenta8[[#This Row],[Codigo Centro Gestion]]&amp;" - "&amp;Centro_Cuenta8[[#This Row],[Nombre Centro Gestion]]</f>
        <v>10133104 - Vista del Valle II Edificio A-Ventas</v>
      </c>
      <c r="G126" s="47" t="str">
        <f>+Centro_Cuenta8[[#This Row],[Código Cuenta Contable]]&amp;" - "&amp;Centro_Cuenta8[[#This Row],[Nombre de Cuenta Contable]]</f>
        <v>4202003 - Serv.Basic.Luz.Agua.Tel Of.C</v>
      </c>
      <c r="H126" s="146" t="str">
        <f>+VLOOKUP(D126,'3. Cuentas'!A:F,6,0)</f>
        <v>SI</v>
      </c>
    </row>
    <row r="127" spans="1:8" x14ac:dyDescent="0.25">
      <c r="A127" s="43">
        <v>10133104</v>
      </c>
      <c r="B127" t="s">
        <v>801</v>
      </c>
      <c r="C127" s="43" t="s">
        <v>90</v>
      </c>
      <c r="D127" s="43">
        <v>4202010</v>
      </c>
      <c r="E127" t="s">
        <v>87</v>
      </c>
      <c r="F127" s="47" t="str">
        <f>+Centro_Cuenta8[[#This Row],[Codigo Centro Gestion]]&amp;" - "&amp;Centro_Cuenta8[[#This Row],[Nombre Centro Gestion]]</f>
        <v>10133104 - Vista del Valle II Edificio A-Ventas</v>
      </c>
      <c r="G127" s="47" t="str">
        <f>+Centro_Cuenta8[[#This Row],[Código Cuenta Contable]]&amp;" - "&amp;Centro_Cuenta8[[#This Row],[Nombre de Cuenta Contable]]</f>
        <v>4202010 - Artic. Ofic. Fotocop.Papelería</v>
      </c>
      <c r="H127" s="146" t="str">
        <f>+VLOOKUP(D127,'3. Cuentas'!A:F,6,0)</f>
        <v>SI</v>
      </c>
    </row>
    <row r="128" spans="1:8" x14ac:dyDescent="0.25">
      <c r="A128" s="43">
        <v>10133104</v>
      </c>
      <c r="B128" t="s">
        <v>801</v>
      </c>
      <c r="C128" s="43" t="s">
        <v>90</v>
      </c>
      <c r="D128" s="43">
        <v>4202019</v>
      </c>
      <c r="E128" t="s">
        <v>81</v>
      </c>
      <c r="F128" s="47" t="str">
        <f>+Centro_Cuenta8[[#This Row],[Codigo Centro Gestion]]&amp;" - "&amp;Centro_Cuenta8[[#This Row],[Nombre Centro Gestion]]</f>
        <v>10133104 - Vista del Valle II Edificio A-Ventas</v>
      </c>
      <c r="G128" s="47" t="str">
        <f>+Centro_Cuenta8[[#This Row],[Código Cuenta Contable]]&amp;" - "&amp;Centro_Cuenta8[[#This Row],[Nombre de Cuenta Contable]]</f>
        <v>4202019 - Gasto General Oficina</v>
      </c>
      <c r="H128" s="146" t="str">
        <f>+VLOOKUP(D128,'3. Cuentas'!A:F,6,0)</f>
        <v>SI</v>
      </c>
    </row>
    <row r="129" spans="1:8" x14ac:dyDescent="0.25">
      <c r="A129" s="43">
        <v>10133104</v>
      </c>
      <c r="B129" t="s">
        <v>801</v>
      </c>
      <c r="C129" s="43" t="s">
        <v>90</v>
      </c>
      <c r="D129" s="43">
        <v>4202023</v>
      </c>
      <c r="E129" t="s">
        <v>82</v>
      </c>
      <c r="F129" s="47" t="str">
        <f>+Centro_Cuenta8[[#This Row],[Codigo Centro Gestion]]&amp;" - "&amp;Centro_Cuenta8[[#This Row],[Nombre Centro Gestion]]</f>
        <v>10133104 - Vista del Valle II Edificio A-Ventas</v>
      </c>
      <c r="G129" s="47" t="str">
        <f>+Centro_Cuenta8[[#This Row],[Código Cuenta Contable]]&amp;" - "&amp;Centro_Cuenta8[[#This Row],[Nombre de Cuenta Contable]]</f>
        <v>4202023 - Honorarios Por Asesorías</v>
      </c>
      <c r="H129" s="146" t="str">
        <f>+VLOOKUP(D129,'3. Cuentas'!A:F,6,0)</f>
        <v>SI</v>
      </c>
    </row>
    <row r="130" spans="1:8" x14ac:dyDescent="0.25">
      <c r="A130" s="43">
        <v>10133104</v>
      </c>
      <c r="B130" t="s">
        <v>801</v>
      </c>
      <c r="C130" s="43" t="s">
        <v>90</v>
      </c>
      <c r="D130" s="43">
        <v>4202029</v>
      </c>
      <c r="E130" t="s">
        <v>83</v>
      </c>
      <c r="F130" s="47" t="str">
        <f>+Centro_Cuenta8[[#This Row],[Codigo Centro Gestion]]&amp;" - "&amp;Centro_Cuenta8[[#This Row],[Nombre Centro Gestion]]</f>
        <v>10133104 - Vista del Valle II Edificio A-Ventas</v>
      </c>
      <c r="G130" s="47" t="str">
        <f>+Centro_Cuenta8[[#This Row],[Código Cuenta Contable]]&amp;" - "&amp;Centro_Cuenta8[[#This Row],[Nombre de Cuenta Contable]]</f>
        <v>4202029 - Insumos Y Gastos Informáticos</v>
      </c>
      <c r="H130" s="146" t="str">
        <f>+VLOOKUP(D130,'3. Cuentas'!A:F,6,0)</f>
        <v>SI</v>
      </c>
    </row>
    <row r="131" spans="1:8" x14ac:dyDescent="0.25">
      <c r="A131" s="43">
        <v>10133104</v>
      </c>
      <c r="B131" t="s">
        <v>801</v>
      </c>
      <c r="C131" s="43" t="s">
        <v>90</v>
      </c>
      <c r="D131" s="43">
        <v>4204021</v>
      </c>
      <c r="E131" t="s">
        <v>329</v>
      </c>
      <c r="F131" s="47" t="str">
        <f>+Centro_Cuenta8[[#This Row],[Codigo Centro Gestion]]&amp;" - "&amp;Centro_Cuenta8[[#This Row],[Nombre Centro Gestion]]</f>
        <v>10133104 - Vista del Valle II Edificio A-Ventas</v>
      </c>
      <c r="G131" s="47" t="str">
        <f>+Centro_Cuenta8[[#This Row],[Código Cuenta Contable]]&amp;" - "&amp;Centro_Cuenta8[[#This Row],[Nombre de Cuenta Contable]]</f>
        <v>4204021 - Publicidad Ferias Y Eventos</v>
      </c>
      <c r="H131" s="146" t="str">
        <f>+VLOOKUP(D131,'3. Cuentas'!A:F,6,0)</f>
        <v>SI</v>
      </c>
    </row>
    <row r="132" spans="1:8" x14ac:dyDescent="0.25">
      <c r="A132" s="43">
        <v>10133105</v>
      </c>
      <c r="B132" t="s">
        <v>802</v>
      </c>
      <c r="C132" s="43" t="s">
        <v>1622</v>
      </c>
      <c r="D132" s="43">
        <v>4203020</v>
      </c>
      <c r="E132" t="s">
        <v>295</v>
      </c>
      <c r="F132" s="47" t="str">
        <f>+Centro_Cuenta8[[#This Row],[Codigo Centro Gestion]]&amp;" - "&amp;Centro_Cuenta8[[#This Row],[Nombre Centro Gestion]]</f>
        <v>10133105 - Vista del Valle II Edificio A-Clientes</v>
      </c>
      <c r="G132" s="47" t="str">
        <f>+Centro_Cuenta8[[#This Row],[Código Cuenta Contable]]&amp;" - "&amp;Centro_Cuenta8[[#This Row],[Nombre de Cuenta Contable]]</f>
        <v>4203020 - Mant. y Consum. Viv Stock</v>
      </c>
      <c r="H132" s="146" t="str">
        <f>+VLOOKUP(D132,'3. Cuentas'!A:F,6,0)</f>
        <v>SI</v>
      </c>
    </row>
    <row r="133" spans="1:8" x14ac:dyDescent="0.25">
      <c r="A133" s="43">
        <v>10133105</v>
      </c>
      <c r="B133" t="s">
        <v>802</v>
      </c>
      <c r="C133" s="43" t="s">
        <v>1622</v>
      </c>
      <c r="D133" s="43">
        <v>4203120</v>
      </c>
      <c r="E133" t="s">
        <v>108</v>
      </c>
      <c r="F133" s="47" t="str">
        <f>+Centro_Cuenta8[[#This Row],[Codigo Centro Gestion]]&amp;" - "&amp;Centro_Cuenta8[[#This Row],[Nombre Centro Gestion]]</f>
        <v>10133105 - Vista del Valle II Edificio A-Clientes</v>
      </c>
      <c r="G133" s="47" t="str">
        <f>+Centro_Cuenta8[[#This Row],[Código Cuenta Contable]]&amp;" - "&amp;Centro_Cuenta8[[#This Row],[Nombre de Cuenta Contable]]</f>
        <v>4203120 - Gastos Comunes</v>
      </c>
      <c r="H133" s="146" t="str">
        <f>+VLOOKUP(D133,'3. Cuentas'!A:F,6,0)</f>
        <v>SI</v>
      </c>
    </row>
    <row r="134" spans="1:8" x14ac:dyDescent="0.25">
      <c r="A134" s="43">
        <v>10133105</v>
      </c>
      <c r="B134" t="s">
        <v>802</v>
      </c>
      <c r="C134" s="43" t="s">
        <v>1622</v>
      </c>
      <c r="D134" s="43">
        <v>4203140</v>
      </c>
      <c r="E134" t="s">
        <v>109</v>
      </c>
      <c r="F134" s="47" t="str">
        <f>+Centro_Cuenta8[[#This Row],[Codigo Centro Gestion]]&amp;" - "&amp;Centro_Cuenta8[[#This Row],[Nombre Centro Gestion]]</f>
        <v>10133105 - Vista del Valle II Edificio A-Clientes</v>
      </c>
      <c r="G134" s="47" t="str">
        <f>+Centro_Cuenta8[[#This Row],[Código Cuenta Contable]]&amp;" - "&amp;Centro_Cuenta8[[#This Row],[Nombre de Cuenta Contable]]</f>
        <v>4203140 - Contribuciones</v>
      </c>
      <c r="H134" s="146" t="str">
        <f>+VLOOKUP(D134,'3. Cuentas'!A:F,6,0)</f>
        <v>SI</v>
      </c>
    </row>
    <row r="135" spans="1:8" x14ac:dyDescent="0.25">
      <c r="A135" s="43">
        <v>10133205</v>
      </c>
      <c r="B135" t="s">
        <v>803</v>
      </c>
      <c r="C135" s="43" t="s">
        <v>1624</v>
      </c>
      <c r="D135" s="43">
        <v>1103045</v>
      </c>
      <c r="E135" t="s">
        <v>323</v>
      </c>
      <c r="F135" s="47" t="str">
        <f>+Centro_Cuenta8[[#This Row],[Codigo Centro Gestion]]&amp;" - "&amp;Centro_Cuenta8[[#This Row],[Nombre Centro Gestion]]</f>
        <v>10133205 - Vista del Valle II Edificio A-Proyecto</v>
      </c>
      <c r="G135" s="47" t="str">
        <f>+Centro_Cuenta8[[#This Row],[Código Cuenta Contable]]&amp;" - "&amp;Centro_Cuenta8[[#This Row],[Nombre de Cuenta Contable]]</f>
        <v>1103045 - Aportes reembolsables (electricidad y agua)</v>
      </c>
      <c r="H135" s="146" t="str">
        <f>+VLOOKUP(D135,'3. Cuentas'!A:F,6,0)</f>
        <v>SI</v>
      </c>
    </row>
    <row r="136" spans="1:8" x14ac:dyDescent="0.25">
      <c r="A136" s="43">
        <v>10133205</v>
      </c>
      <c r="B136" t="s">
        <v>803</v>
      </c>
      <c r="C136" s="43" t="s">
        <v>1624</v>
      </c>
      <c r="D136" s="43">
        <v>1109020</v>
      </c>
      <c r="E136" t="s">
        <v>302</v>
      </c>
      <c r="F136" s="47" t="str">
        <f>+Centro_Cuenta8[[#This Row],[Codigo Centro Gestion]]&amp;" - "&amp;Centro_Cuenta8[[#This Row],[Nombre Centro Gestion]]</f>
        <v>10133205 - Vista del Valle II Edificio A-Proyecto</v>
      </c>
      <c r="G136" s="47" t="str">
        <f>+Centro_Cuenta8[[#This Row],[Código Cuenta Contable]]&amp;" - "&amp;Centro_Cuenta8[[#This Row],[Nombre de Cuenta Contable]]</f>
        <v>1109020 - Mobiliario</v>
      </c>
      <c r="H136" s="146" t="str">
        <f>+VLOOKUP(D136,'3. Cuentas'!A:F,6,0)</f>
        <v>SI</v>
      </c>
    </row>
    <row r="137" spans="1:8" x14ac:dyDescent="0.25">
      <c r="A137" s="43">
        <v>10133205</v>
      </c>
      <c r="B137" t="s">
        <v>803</v>
      </c>
      <c r="C137" s="43" t="s">
        <v>1624</v>
      </c>
      <c r="D137" s="43">
        <v>1110040</v>
      </c>
      <c r="E137" t="s">
        <v>1505</v>
      </c>
      <c r="F137" s="47" t="str">
        <f>+Centro_Cuenta8[[#This Row],[Codigo Centro Gestion]]&amp;" - "&amp;Centro_Cuenta8[[#This Row],[Nombre Centro Gestion]]</f>
        <v>10133205 - Vista del Valle II Edificio A-Proyecto</v>
      </c>
      <c r="G137" s="47" t="str">
        <f>+Centro_Cuenta8[[#This Row],[Código Cuenta Contable]]&amp;" - "&amp;Centro_Cuenta8[[#This Row],[Nombre de Cuenta Contable]]</f>
        <v>1110040 - Garantía Pagadas</v>
      </c>
      <c r="H137" s="146" t="str">
        <f>+VLOOKUP(D137,'3. Cuentas'!A:F,6,0)</f>
        <v>SI</v>
      </c>
    </row>
    <row r="138" spans="1:8" x14ac:dyDescent="0.25">
      <c r="A138" s="43">
        <v>10133205</v>
      </c>
      <c r="B138" t="s">
        <v>803</v>
      </c>
      <c r="C138" s="43" t="s">
        <v>1624</v>
      </c>
      <c r="D138" s="43">
        <v>1115040</v>
      </c>
      <c r="E138" t="s">
        <v>291</v>
      </c>
      <c r="F138" s="47" t="str">
        <f>+Centro_Cuenta8[[#This Row],[Codigo Centro Gestion]]&amp;" - "&amp;Centro_Cuenta8[[#This Row],[Nombre Centro Gestion]]</f>
        <v>10133205 - Vista del Valle II Edificio A-Proyecto</v>
      </c>
      <c r="G138" s="47" t="str">
        <f>+Centro_Cuenta8[[#This Row],[Código Cuenta Contable]]&amp;" - "&amp;Centro_Cuenta8[[#This Row],[Nombre de Cuenta Contable]]</f>
        <v>1115040 - Saneamiento De Terreno</v>
      </c>
      <c r="H138" s="146" t="str">
        <f>+VLOOKUP(D138,'3. Cuentas'!A:F,6,0)</f>
        <v>SI</v>
      </c>
    </row>
    <row r="139" spans="1:8" x14ac:dyDescent="0.25">
      <c r="A139" s="43">
        <v>10133205</v>
      </c>
      <c r="B139" t="s">
        <v>803</v>
      </c>
      <c r="C139" s="43" t="s">
        <v>1624</v>
      </c>
      <c r="D139" s="43">
        <v>1115050</v>
      </c>
      <c r="E139" t="s">
        <v>1628</v>
      </c>
      <c r="F139" s="47" t="str">
        <f>+Centro_Cuenta8[[#This Row],[Codigo Centro Gestion]]&amp;" - "&amp;Centro_Cuenta8[[#This Row],[Nombre Centro Gestion]]</f>
        <v>10133205 - Vista del Valle II Edificio A-Proyecto</v>
      </c>
      <c r="G139" s="47" t="str">
        <f>+Centro_Cuenta8[[#This Row],[Código Cuenta Contable]]&amp;" - "&amp;Centro_Cuenta8[[#This Row],[Nombre de Cuenta Contable]]</f>
        <v>1115050 - Demolición</v>
      </c>
      <c r="H139" s="146" t="str">
        <f>+VLOOKUP(D139,'3. Cuentas'!A:F,6,0)</f>
        <v>SI</v>
      </c>
    </row>
    <row r="140" spans="1:8" x14ac:dyDescent="0.25">
      <c r="A140" s="43">
        <v>10133205</v>
      </c>
      <c r="B140" t="s">
        <v>803</v>
      </c>
      <c r="C140" s="43" t="s">
        <v>1624</v>
      </c>
      <c r="D140" s="43">
        <v>1115100</v>
      </c>
      <c r="E140" t="s">
        <v>292</v>
      </c>
      <c r="F140" s="47" t="str">
        <f>+Centro_Cuenta8[[#This Row],[Codigo Centro Gestion]]&amp;" - "&amp;Centro_Cuenta8[[#This Row],[Nombre Centro Gestion]]</f>
        <v>10133205 - Vista del Valle II Edificio A-Proyecto</v>
      </c>
      <c r="G140" s="47" t="str">
        <f>+Centro_Cuenta8[[#This Row],[Código Cuenta Contable]]&amp;" - "&amp;Centro_Cuenta8[[#This Row],[Nombre de Cuenta Contable]]</f>
        <v>1115100 - Proyectos Y Especialidades</v>
      </c>
      <c r="H140" s="146" t="str">
        <f>+VLOOKUP(D140,'3. Cuentas'!A:F,6,0)</f>
        <v>SI</v>
      </c>
    </row>
    <row r="141" spans="1:8" x14ac:dyDescent="0.25">
      <c r="A141" s="43">
        <v>10133205</v>
      </c>
      <c r="B141" t="s">
        <v>803</v>
      </c>
      <c r="C141" s="43" t="s">
        <v>1624</v>
      </c>
      <c r="D141" s="43">
        <v>1115120</v>
      </c>
      <c r="E141" t="s">
        <v>1633</v>
      </c>
      <c r="F141" s="47" t="str">
        <f>+Centro_Cuenta8[[#This Row],[Codigo Centro Gestion]]&amp;" - "&amp;Centro_Cuenta8[[#This Row],[Nombre Centro Gestion]]</f>
        <v>10133205 - Vista del Valle II Edificio A-Proyecto</v>
      </c>
      <c r="G141" s="47" t="str">
        <f>+Centro_Cuenta8[[#This Row],[Código Cuenta Contable]]&amp;" - "&amp;Centro_Cuenta8[[#This Row],[Nombre de Cuenta Contable]]</f>
        <v>1115120 - Instalación Empalmes</v>
      </c>
      <c r="H141" s="146" t="str">
        <f>+VLOOKUP(D141,'3. Cuentas'!A:F,6,0)</f>
        <v>SI</v>
      </c>
    </row>
    <row r="142" spans="1:8" x14ac:dyDescent="0.25">
      <c r="A142" s="43">
        <v>10133205</v>
      </c>
      <c r="B142" t="s">
        <v>803</v>
      </c>
      <c r="C142" s="43" t="s">
        <v>1624</v>
      </c>
      <c r="D142" s="43">
        <v>1115170</v>
      </c>
      <c r="E142" t="s">
        <v>293</v>
      </c>
      <c r="F142" s="47" t="str">
        <f>+Centro_Cuenta8[[#This Row],[Codigo Centro Gestion]]&amp;" - "&amp;Centro_Cuenta8[[#This Row],[Nombre Centro Gestion]]</f>
        <v>10133205 - Vista del Valle II Edificio A-Proyecto</v>
      </c>
      <c r="G142" s="47" t="str">
        <f>+Centro_Cuenta8[[#This Row],[Código Cuenta Contable]]&amp;" - "&amp;Centro_Cuenta8[[#This Row],[Nombre de Cuenta Contable]]</f>
        <v>1115170 - Permisos Y Otros Gastos Municipales</v>
      </c>
      <c r="H142" s="146" t="str">
        <f>+VLOOKUP(D142,'3. Cuentas'!A:F,6,0)</f>
        <v>SI</v>
      </c>
    </row>
    <row r="143" spans="1:8" x14ac:dyDescent="0.25">
      <c r="A143" s="43">
        <v>10133205</v>
      </c>
      <c r="B143" t="s">
        <v>803</v>
      </c>
      <c r="C143" s="43" t="s">
        <v>1624</v>
      </c>
      <c r="D143" s="43">
        <v>1115240</v>
      </c>
      <c r="E143" t="s">
        <v>294</v>
      </c>
      <c r="F143" s="47" t="str">
        <f>+Centro_Cuenta8[[#This Row],[Codigo Centro Gestion]]&amp;" - "&amp;Centro_Cuenta8[[#This Row],[Nombre Centro Gestion]]</f>
        <v>10133205 - Vista del Valle II Edificio A-Proyecto</v>
      </c>
      <c r="G143" s="47" t="str">
        <f>+Centro_Cuenta8[[#This Row],[Código Cuenta Contable]]&amp;" - "&amp;Centro_Cuenta8[[#This Row],[Nombre de Cuenta Contable]]</f>
        <v>1115240 - Estudios Y Asesorias Técnicas</v>
      </c>
      <c r="H143" s="146" t="str">
        <f>+VLOOKUP(D143,'3. Cuentas'!A:F,6,0)</f>
        <v>SI</v>
      </c>
    </row>
    <row r="144" spans="1:8" x14ac:dyDescent="0.25">
      <c r="A144" s="43">
        <v>10133205</v>
      </c>
      <c r="B144" t="s">
        <v>803</v>
      </c>
      <c r="C144" s="43" t="s">
        <v>1624</v>
      </c>
      <c r="D144" s="43">
        <v>4203090</v>
      </c>
      <c r="E144" t="s">
        <v>192</v>
      </c>
      <c r="F144" s="47" t="str">
        <f>+Centro_Cuenta8[[#This Row],[Codigo Centro Gestion]]&amp;" - "&amp;Centro_Cuenta8[[#This Row],[Nombre Centro Gestion]]</f>
        <v>10133205 - Vista del Valle II Edificio A-Proyecto</v>
      </c>
      <c r="G144" s="47" t="str">
        <f>+Centro_Cuenta8[[#This Row],[Código Cuenta Contable]]&amp;" - "&amp;Centro_Cuenta8[[#This Row],[Nombre de Cuenta Contable]]</f>
        <v>4203090 - Gastos Legales Y Notariales Proyecto</v>
      </c>
      <c r="H144" s="146" t="str">
        <f>+VLOOKUP(D144,'3. Cuentas'!A:F,6,0)</f>
        <v>SI</v>
      </c>
    </row>
    <row r="145" spans="1:8" x14ac:dyDescent="0.25">
      <c r="A145" s="43">
        <v>10133205</v>
      </c>
      <c r="B145" t="s">
        <v>803</v>
      </c>
      <c r="C145" s="43" t="s">
        <v>1624</v>
      </c>
      <c r="D145" s="43">
        <v>4203140</v>
      </c>
      <c r="E145" t="s">
        <v>109</v>
      </c>
      <c r="F145" s="47" t="str">
        <f>+Centro_Cuenta8[[#This Row],[Codigo Centro Gestion]]&amp;" - "&amp;Centro_Cuenta8[[#This Row],[Nombre Centro Gestion]]</f>
        <v>10133205 - Vista del Valle II Edificio A-Proyecto</v>
      </c>
      <c r="G145" s="47" t="str">
        <f>+Centro_Cuenta8[[#This Row],[Código Cuenta Contable]]&amp;" - "&amp;Centro_Cuenta8[[#This Row],[Nombre de Cuenta Contable]]</f>
        <v>4203140 - Contribuciones</v>
      </c>
      <c r="H145" s="146" t="str">
        <f>+VLOOKUP(D145,'3. Cuentas'!A:F,6,0)</f>
        <v>SI</v>
      </c>
    </row>
    <row r="146" spans="1:8" x14ac:dyDescent="0.25">
      <c r="A146" s="43">
        <v>10133205</v>
      </c>
      <c r="B146" t="s">
        <v>803</v>
      </c>
      <c r="C146" s="43" t="s">
        <v>1624</v>
      </c>
      <c r="D146" s="43">
        <v>4203150</v>
      </c>
      <c r="E146" t="s">
        <v>156</v>
      </c>
      <c r="F146" s="47" t="str">
        <f>+Centro_Cuenta8[[#This Row],[Codigo Centro Gestion]]&amp;" - "&amp;Centro_Cuenta8[[#This Row],[Nombre Centro Gestion]]</f>
        <v>10133205 - Vista del Valle II Edificio A-Proyecto</v>
      </c>
      <c r="G146" s="47" t="str">
        <f>+Centro_Cuenta8[[#This Row],[Código Cuenta Contable]]&amp;" - "&amp;Centro_Cuenta8[[#This Row],[Nombre de Cuenta Contable]]</f>
        <v>4203150 - Gastos CBR</v>
      </c>
      <c r="H146" s="146" t="str">
        <f>+VLOOKUP(D146,'3. Cuentas'!A:F,6,0)</f>
        <v>SI</v>
      </c>
    </row>
    <row r="147" spans="1:8" x14ac:dyDescent="0.25">
      <c r="A147" s="43">
        <v>10133205</v>
      </c>
      <c r="B147" t="s">
        <v>803</v>
      </c>
      <c r="C147" s="43" t="s">
        <v>1624</v>
      </c>
      <c r="D147" s="43">
        <v>4203160</v>
      </c>
      <c r="E147" t="s">
        <v>1639</v>
      </c>
      <c r="F147" s="47" t="str">
        <f>+Centro_Cuenta8[[#This Row],[Codigo Centro Gestion]]&amp;" - "&amp;Centro_Cuenta8[[#This Row],[Nombre Centro Gestion]]</f>
        <v>10133205 - Vista del Valle II Edificio A-Proyecto</v>
      </c>
      <c r="G147" s="47" t="str">
        <f>+Centro_Cuenta8[[#This Row],[Código Cuenta Contable]]&amp;" - "&amp;Centro_Cuenta8[[#This Row],[Nombre de Cuenta Contable]]</f>
        <v>4203160 - PAPELERIA Y FOTOCOPIADO</v>
      </c>
      <c r="H147" s="146" t="str">
        <f>+VLOOKUP(D147,'3. Cuentas'!A:F,6,0)</f>
        <v>SI</v>
      </c>
    </row>
    <row r="148" spans="1:8" x14ac:dyDescent="0.25">
      <c r="A148" s="43">
        <v>10133205</v>
      </c>
      <c r="B148" t="s">
        <v>803</v>
      </c>
      <c r="C148" s="43" t="s">
        <v>1624</v>
      </c>
      <c r="D148" s="43">
        <v>4203180</v>
      </c>
      <c r="E148" t="s">
        <v>1640</v>
      </c>
      <c r="F148" s="47" t="str">
        <f>+Centro_Cuenta8[[#This Row],[Codigo Centro Gestion]]&amp;" - "&amp;Centro_Cuenta8[[#This Row],[Nombre Centro Gestion]]</f>
        <v>10133205 - Vista del Valle II Edificio A-Proyecto</v>
      </c>
      <c r="G148" s="47" t="str">
        <f>+Centro_Cuenta8[[#This Row],[Código Cuenta Contable]]&amp;" - "&amp;Centro_Cuenta8[[#This Row],[Nombre de Cuenta Contable]]</f>
        <v>4203180 - Otros Gastos y Aseso Proy</v>
      </c>
      <c r="H148" s="146" t="str">
        <f>+VLOOKUP(D148,'3. Cuentas'!A:F,6,0)</f>
        <v>SI</v>
      </c>
    </row>
    <row r="149" spans="1:8" x14ac:dyDescent="0.25">
      <c r="A149" s="43">
        <v>10133301</v>
      </c>
      <c r="B149" t="s">
        <v>804</v>
      </c>
      <c r="C149" s="43" t="s">
        <v>1643</v>
      </c>
      <c r="D149" s="43">
        <v>4203090</v>
      </c>
      <c r="E149" t="s">
        <v>192</v>
      </c>
      <c r="F149" s="47" t="str">
        <f>+Centro_Cuenta8[[#This Row],[Codigo Centro Gestion]]&amp;" - "&amp;Centro_Cuenta8[[#This Row],[Nombre Centro Gestion]]</f>
        <v>10133301 - Vista del Valle II Edificio A-GAF</v>
      </c>
      <c r="G149" s="47" t="str">
        <f>+Centro_Cuenta8[[#This Row],[Código Cuenta Contable]]&amp;" - "&amp;Centro_Cuenta8[[#This Row],[Nombre de Cuenta Contable]]</f>
        <v>4203090 - Gastos Legales Y Notariales Proyecto</v>
      </c>
      <c r="H149" s="146" t="str">
        <f>+VLOOKUP(D149,'3. Cuentas'!A:F,6,0)</f>
        <v>SI</v>
      </c>
    </row>
    <row r="150" spans="1:8" x14ac:dyDescent="0.25">
      <c r="A150" s="43">
        <v>10133301</v>
      </c>
      <c r="B150" t="s">
        <v>804</v>
      </c>
      <c r="C150" s="43" t="s">
        <v>1643</v>
      </c>
      <c r="D150" s="43">
        <v>4203140</v>
      </c>
      <c r="E150" t="s">
        <v>109</v>
      </c>
      <c r="F150" s="47" t="str">
        <f>+Centro_Cuenta8[[#This Row],[Codigo Centro Gestion]]&amp;" - "&amp;Centro_Cuenta8[[#This Row],[Nombre Centro Gestion]]</f>
        <v>10133301 - Vista del Valle II Edificio A-GAF</v>
      </c>
      <c r="G150" s="47" t="str">
        <f>+Centro_Cuenta8[[#This Row],[Código Cuenta Contable]]&amp;" - "&amp;Centro_Cuenta8[[#This Row],[Nombre de Cuenta Contable]]</f>
        <v>4203140 - Contribuciones</v>
      </c>
      <c r="H150" s="146" t="str">
        <f>+VLOOKUP(D150,'3. Cuentas'!A:F,6,0)</f>
        <v>SI</v>
      </c>
    </row>
    <row r="151" spans="1:8" x14ac:dyDescent="0.25">
      <c r="A151" s="43">
        <v>10133506</v>
      </c>
      <c r="B151" t="s">
        <v>806</v>
      </c>
      <c r="C151" s="43" t="s">
        <v>200</v>
      </c>
      <c r="D151" s="43">
        <v>1115100</v>
      </c>
      <c r="E151" t="s">
        <v>292</v>
      </c>
      <c r="F151" s="47" t="str">
        <f>+Centro_Cuenta8[[#This Row],[Codigo Centro Gestion]]&amp;" - "&amp;Centro_Cuenta8[[#This Row],[Nombre Centro Gestion]]</f>
        <v>10133506 - Vista del Valle II Edificio A-Depto.Técnico</v>
      </c>
      <c r="G151" s="47" t="str">
        <f>+Centro_Cuenta8[[#This Row],[Código Cuenta Contable]]&amp;" - "&amp;Centro_Cuenta8[[#This Row],[Nombre de Cuenta Contable]]</f>
        <v>1115100 - Proyectos Y Especialidades</v>
      </c>
      <c r="H151" s="146" t="str">
        <f>+VLOOKUP(D151,'3. Cuentas'!A:F,6,0)</f>
        <v>SI</v>
      </c>
    </row>
    <row r="152" spans="1:8" x14ac:dyDescent="0.25">
      <c r="A152" s="43">
        <v>10134</v>
      </c>
      <c r="B152" t="s">
        <v>132</v>
      </c>
      <c r="C152" s="43" t="s">
        <v>1513</v>
      </c>
      <c r="D152" s="43">
        <v>4202009</v>
      </c>
      <c r="E152" t="s">
        <v>80</v>
      </c>
      <c r="F152" s="47" t="str">
        <f>+Centro_Cuenta8[[#This Row],[Codigo Centro Gestion]]&amp;" - "&amp;Centro_Cuenta8[[#This Row],[Nombre Centro Gestion]]</f>
        <v>10134 - ENTREGA NORTE 3</v>
      </c>
      <c r="G152" s="47" t="str">
        <f>+Centro_Cuenta8[[#This Row],[Código Cuenta Contable]]&amp;" - "&amp;Centro_Cuenta8[[#This Row],[Nombre de Cuenta Contable]]</f>
        <v>4202009 - Gastos Viajes Y Traslados</v>
      </c>
      <c r="H152" s="146" t="str">
        <f>+VLOOKUP(D152,'3. Cuentas'!A:F,6,0)</f>
        <v>SI</v>
      </c>
    </row>
    <row r="153" spans="1:8" x14ac:dyDescent="0.25">
      <c r="A153" s="43">
        <v>10134</v>
      </c>
      <c r="B153" t="s">
        <v>132</v>
      </c>
      <c r="C153" s="43" t="s">
        <v>1513</v>
      </c>
      <c r="D153" s="43">
        <v>4202019</v>
      </c>
      <c r="E153" t="s">
        <v>81</v>
      </c>
      <c r="F153" s="47" t="str">
        <f>+Centro_Cuenta8[[#This Row],[Codigo Centro Gestion]]&amp;" - "&amp;Centro_Cuenta8[[#This Row],[Nombre Centro Gestion]]</f>
        <v>10134 - ENTREGA NORTE 3</v>
      </c>
      <c r="G153" s="47" t="str">
        <f>+Centro_Cuenta8[[#This Row],[Código Cuenta Contable]]&amp;" - "&amp;Centro_Cuenta8[[#This Row],[Nombre de Cuenta Contable]]</f>
        <v>4202019 - Gasto General Oficina</v>
      </c>
      <c r="H153" s="146" t="str">
        <f>+VLOOKUP(D153,'3. Cuentas'!A:F,6,0)</f>
        <v>SI</v>
      </c>
    </row>
    <row r="154" spans="1:8" x14ac:dyDescent="0.25">
      <c r="A154" s="43">
        <v>10134</v>
      </c>
      <c r="B154" t="s">
        <v>132</v>
      </c>
      <c r="C154" s="43" t="s">
        <v>1513</v>
      </c>
      <c r="D154" s="43">
        <v>4202029</v>
      </c>
      <c r="E154" t="s">
        <v>83</v>
      </c>
      <c r="F154" s="47" t="str">
        <f>+Centro_Cuenta8[[#This Row],[Codigo Centro Gestion]]&amp;" - "&amp;Centro_Cuenta8[[#This Row],[Nombre Centro Gestion]]</f>
        <v>10134 - ENTREGA NORTE 3</v>
      </c>
      <c r="G154" s="47" t="str">
        <f>+Centro_Cuenta8[[#This Row],[Código Cuenta Contable]]&amp;" - "&amp;Centro_Cuenta8[[#This Row],[Nombre de Cuenta Contable]]</f>
        <v>4202029 - Insumos Y Gastos Informáticos</v>
      </c>
      <c r="H154" s="146" t="str">
        <f>+VLOOKUP(D154,'3. Cuentas'!A:F,6,0)</f>
        <v>SI</v>
      </c>
    </row>
    <row r="155" spans="1:8" x14ac:dyDescent="0.25">
      <c r="A155" s="43">
        <v>10135</v>
      </c>
      <c r="B155" t="s">
        <v>133</v>
      </c>
      <c r="C155" s="43" t="s">
        <v>1514</v>
      </c>
      <c r="D155" s="43">
        <v>4202009</v>
      </c>
      <c r="E155" t="s">
        <v>80</v>
      </c>
      <c r="F155" s="47" t="str">
        <f>+Centro_Cuenta8[[#This Row],[Codigo Centro Gestion]]&amp;" - "&amp;Centro_Cuenta8[[#This Row],[Nombre Centro Gestion]]</f>
        <v>10135 - ENTREGA V REGIÓN</v>
      </c>
      <c r="G155" s="47" t="str">
        <f>+Centro_Cuenta8[[#This Row],[Código Cuenta Contable]]&amp;" - "&amp;Centro_Cuenta8[[#This Row],[Nombre de Cuenta Contable]]</f>
        <v>4202009 - Gastos Viajes Y Traslados</v>
      </c>
      <c r="H155" s="146" t="str">
        <f>+VLOOKUP(D155,'3. Cuentas'!A:F,6,0)</f>
        <v>SI</v>
      </c>
    </row>
    <row r="156" spans="1:8" x14ac:dyDescent="0.25">
      <c r="A156" s="43">
        <v>10135</v>
      </c>
      <c r="B156" t="s">
        <v>133</v>
      </c>
      <c r="C156" s="43" t="s">
        <v>1514</v>
      </c>
      <c r="D156" s="43">
        <v>4202019</v>
      </c>
      <c r="E156" t="s">
        <v>81</v>
      </c>
      <c r="F156" s="47" t="str">
        <f>+Centro_Cuenta8[[#This Row],[Codigo Centro Gestion]]&amp;" - "&amp;Centro_Cuenta8[[#This Row],[Nombre Centro Gestion]]</f>
        <v>10135 - ENTREGA V REGIÓN</v>
      </c>
      <c r="G156" s="47" t="str">
        <f>+Centro_Cuenta8[[#This Row],[Código Cuenta Contable]]&amp;" - "&amp;Centro_Cuenta8[[#This Row],[Nombre de Cuenta Contable]]</f>
        <v>4202019 - Gasto General Oficina</v>
      </c>
      <c r="H156" s="146" t="str">
        <f>+VLOOKUP(D156,'3. Cuentas'!A:F,6,0)</f>
        <v>SI</v>
      </c>
    </row>
    <row r="157" spans="1:8" x14ac:dyDescent="0.25">
      <c r="A157" s="43">
        <v>10135</v>
      </c>
      <c r="B157" t="s">
        <v>133</v>
      </c>
      <c r="C157" s="43" t="s">
        <v>1514</v>
      </c>
      <c r="D157" s="43">
        <v>4202029</v>
      </c>
      <c r="E157" t="s">
        <v>83</v>
      </c>
      <c r="F157" s="47" t="str">
        <f>+Centro_Cuenta8[[#This Row],[Codigo Centro Gestion]]&amp;" - "&amp;Centro_Cuenta8[[#This Row],[Nombre Centro Gestion]]</f>
        <v>10135 - ENTREGA V REGIÓN</v>
      </c>
      <c r="G157" s="47" t="str">
        <f>+Centro_Cuenta8[[#This Row],[Código Cuenta Contable]]&amp;" - "&amp;Centro_Cuenta8[[#This Row],[Nombre de Cuenta Contable]]</f>
        <v>4202029 - Insumos Y Gastos Informáticos</v>
      </c>
      <c r="H157" s="146" t="str">
        <f>+VLOOKUP(D157,'3. Cuentas'!A:F,6,0)</f>
        <v>SI</v>
      </c>
    </row>
    <row r="158" spans="1:8" x14ac:dyDescent="0.25">
      <c r="A158" s="43">
        <v>10136</v>
      </c>
      <c r="B158" t="s">
        <v>134</v>
      </c>
      <c r="C158" s="43" t="s">
        <v>1515</v>
      </c>
      <c r="D158" s="43">
        <v>4202009</v>
      </c>
      <c r="E158" t="s">
        <v>80</v>
      </c>
      <c r="F158" s="47" t="str">
        <f>+Centro_Cuenta8[[#This Row],[Codigo Centro Gestion]]&amp;" - "&amp;Centro_Cuenta8[[#This Row],[Nombre Centro Gestion]]</f>
        <v>10136 - ENTREGA ZC1</v>
      </c>
      <c r="G158" s="47" t="str">
        <f>+Centro_Cuenta8[[#This Row],[Código Cuenta Contable]]&amp;" - "&amp;Centro_Cuenta8[[#This Row],[Nombre de Cuenta Contable]]</f>
        <v>4202009 - Gastos Viajes Y Traslados</v>
      </c>
      <c r="H158" s="146" t="str">
        <f>+VLOOKUP(D158,'3. Cuentas'!A:F,6,0)</f>
        <v>SI</v>
      </c>
    </row>
    <row r="159" spans="1:8" x14ac:dyDescent="0.25">
      <c r="A159" s="43">
        <v>10136</v>
      </c>
      <c r="B159" t="s">
        <v>134</v>
      </c>
      <c r="C159" s="43" t="s">
        <v>1515</v>
      </c>
      <c r="D159" s="43">
        <v>4202019</v>
      </c>
      <c r="E159" t="s">
        <v>81</v>
      </c>
      <c r="F159" s="47" t="str">
        <f>+Centro_Cuenta8[[#This Row],[Codigo Centro Gestion]]&amp;" - "&amp;Centro_Cuenta8[[#This Row],[Nombre Centro Gestion]]</f>
        <v>10136 - ENTREGA ZC1</v>
      </c>
      <c r="G159" s="47" t="str">
        <f>+Centro_Cuenta8[[#This Row],[Código Cuenta Contable]]&amp;" - "&amp;Centro_Cuenta8[[#This Row],[Nombre de Cuenta Contable]]</f>
        <v>4202019 - Gasto General Oficina</v>
      </c>
      <c r="H159" s="146" t="str">
        <f>+VLOOKUP(D159,'3. Cuentas'!A:F,6,0)</f>
        <v>SI</v>
      </c>
    </row>
    <row r="160" spans="1:8" x14ac:dyDescent="0.25">
      <c r="A160" s="43">
        <v>10136</v>
      </c>
      <c r="B160" t="s">
        <v>134</v>
      </c>
      <c r="C160" s="43" t="s">
        <v>1515</v>
      </c>
      <c r="D160" s="43">
        <v>4202029</v>
      </c>
      <c r="E160" t="s">
        <v>83</v>
      </c>
      <c r="F160" s="47" t="str">
        <f>+Centro_Cuenta8[[#This Row],[Codigo Centro Gestion]]&amp;" - "&amp;Centro_Cuenta8[[#This Row],[Nombre Centro Gestion]]</f>
        <v>10136 - ENTREGA ZC1</v>
      </c>
      <c r="G160" s="47" t="str">
        <f>+Centro_Cuenta8[[#This Row],[Código Cuenta Contable]]&amp;" - "&amp;Centro_Cuenta8[[#This Row],[Nombre de Cuenta Contable]]</f>
        <v>4202029 - Insumos Y Gastos Informáticos</v>
      </c>
      <c r="H160" s="146" t="str">
        <f>+VLOOKUP(D160,'3. Cuentas'!A:F,6,0)</f>
        <v>SI</v>
      </c>
    </row>
    <row r="161" spans="1:8" x14ac:dyDescent="0.25">
      <c r="A161" s="43">
        <v>10137</v>
      </c>
      <c r="B161" t="s">
        <v>135</v>
      </c>
      <c r="C161" s="43" t="s">
        <v>1515</v>
      </c>
      <c r="D161" s="43">
        <v>4202009</v>
      </c>
      <c r="E161" t="s">
        <v>80</v>
      </c>
      <c r="F161" s="47" t="str">
        <f>+Centro_Cuenta8[[#This Row],[Codigo Centro Gestion]]&amp;" - "&amp;Centro_Cuenta8[[#This Row],[Nombre Centro Gestion]]</f>
        <v>10137 - ENTREGA ZC2</v>
      </c>
      <c r="G161" s="47" t="str">
        <f>+Centro_Cuenta8[[#This Row],[Código Cuenta Contable]]&amp;" - "&amp;Centro_Cuenta8[[#This Row],[Nombre de Cuenta Contable]]</f>
        <v>4202009 - Gastos Viajes Y Traslados</v>
      </c>
      <c r="H161" s="146" t="str">
        <f>+VLOOKUP(D161,'3. Cuentas'!A:F,6,0)</f>
        <v>SI</v>
      </c>
    </row>
    <row r="162" spans="1:8" x14ac:dyDescent="0.25">
      <c r="A162" s="43">
        <v>10137</v>
      </c>
      <c r="B162" t="s">
        <v>135</v>
      </c>
      <c r="C162" s="43" t="s">
        <v>1515</v>
      </c>
      <c r="D162" s="43">
        <v>4202019</v>
      </c>
      <c r="E162" t="s">
        <v>81</v>
      </c>
      <c r="F162" s="47" t="str">
        <f>+Centro_Cuenta8[[#This Row],[Codigo Centro Gestion]]&amp;" - "&amp;Centro_Cuenta8[[#This Row],[Nombre Centro Gestion]]</f>
        <v>10137 - ENTREGA ZC2</v>
      </c>
      <c r="G162" s="47" t="str">
        <f>+Centro_Cuenta8[[#This Row],[Código Cuenta Contable]]&amp;" - "&amp;Centro_Cuenta8[[#This Row],[Nombre de Cuenta Contable]]</f>
        <v>4202019 - Gasto General Oficina</v>
      </c>
      <c r="H162" s="146" t="str">
        <f>+VLOOKUP(D162,'3. Cuentas'!A:F,6,0)</f>
        <v>SI</v>
      </c>
    </row>
    <row r="163" spans="1:8" x14ac:dyDescent="0.25">
      <c r="A163" s="43">
        <v>10137</v>
      </c>
      <c r="B163" t="s">
        <v>135</v>
      </c>
      <c r="C163" s="43" t="s">
        <v>1515</v>
      </c>
      <c r="D163" s="43">
        <v>4202029</v>
      </c>
      <c r="E163" t="s">
        <v>83</v>
      </c>
      <c r="F163" s="47" t="str">
        <f>+Centro_Cuenta8[[#This Row],[Codigo Centro Gestion]]&amp;" - "&amp;Centro_Cuenta8[[#This Row],[Nombre Centro Gestion]]</f>
        <v>10137 - ENTREGA ZC2</v>
      </c>
      <c r="G163" s="47" t="str">
        <f>+Centro_Cuenta8[[#This Row],[Código Cuenta Contable]]&amp;" - "&amp;Centro_Cuenta8[[#This Row],[Nombre de Cuenta Contable]]</f>
        <v>4202029 - Insumos Y Gastos Informáticos</v>
      </c>
      <c r="H163" s="146" t="str">
        <f>+VLOOKUP(D163,'3. Cuentas'!A:F,6,0)</f>
        <v>SI</v>
      </c>
    </row>
    <row r="164" spans="1:8" x14ac:dyDescent="0.25">
      <c r="A164" s="43">
        <v>10138</v>
      </c>
      <c r="B164" t="s">
        <v>136</v>
      </c>
      <c r="C164" s="43" t="s">
        <v>1513</v>
      </c>
      <c r="D164" s="43">
        <v>4202009</v>
      </c>
      <c r="E164" t="s">
        <v>80</v>
      </c>
      <c r="F164" s="47" t="str">
        <f>+Centro_Cuenta8[[#This Row],[Codigo Centro Gestion]]&amp;" - "&amp;Centro_Cuenta8[[#This Row],[Nombre Centro Gestion]]</f>
        <v>10138 - POSTVENTA NORTE 1</v>
      </c>
      <c r="G164" s="47" t="str">
        <f>+Centro_Cuenta8[[#This Row],[Código Cuenta Contable]]&amp;" - "&amp;Centro_Cuenta8[[#This Row],[Nombre de Cuenta Contable]]</f>
        <v>4202009 - Gastos Viajes Y Traslados</v>
      </c>
      <c r="H164" s="146" t="str">
        <f>+VLOOKUP(D164,'3. Cuentas'!A:F,6,0)</f>
        <v>SI</v>
      </c>
    </row>
    <row r="165" spans="1:8" x14ac:dyDescent="0.25">
      <c r="A165" s="43">
        <v>10138</v>
      </c>
      <c r="B165" t="s">
        <v>136</v>
      </c>
      <c r="C165" s="43" t="s">
        <v>1513</v>
      </c>
      <c r="D165" s="43">
        <v>4202029</v>
      </c>
      <c r="E165" t="s">
        <v>83</v>
      </c>
      <c r="F165" s="47" t="str">
        <f>+Centro_Cuenta8[[#This Row],[Codigo Centro Gestion]]&amp;" - "&amp;Centro_Cuenta8[[#This Row],[Nombre Centro Gestion]]</f>
        <v>10138 - POSTVENTA NORTE 1</v>
      </c>
      <c r="G165" s="47" t="str">
        <f>+Centro_Cuenta8[[#This Row],[Código Cuenta Contable]]&amp;" - "&amp;Centro_Cuenta8[[#This Row],[Nombre de Cuenta Contable]]</f>
        <v>4202029 - Insumos Y Gastos Informáticos</v>
      </c>
      <c r="H165" s="146" t="str">
        <f>+VLOOKUP(D165,'3. Cuentas'!A:F,6,0)</f>
        <v>SI</v>
      </c>
    </row>
    <row r="166" spans="1:8" x14ac:dyDescent="0.25">
      <c r="A166" s="43">
        <v>10139</v>
      </c>
      <c r="B166" t="s">
        <v>137</v>
      </c>
      <c r="C166" s="43" t="s">
        <v>1513</v>
      </c>
      <c r="D166" s="43">
        <v>4202009</v>
      </c>
      <c r="E166" t="s">
        <v>80</v>
      </c>
      <c r="F166" s="47" t="str">
        <f>+Centro_Cuenta8[[#This Row],[Codigo Centro Gestion]]&amp;" - "&amp;Centro_Cuenta8[[#This Row],[Nombre Centro Gestion]]</f>
        <v>10139 - POSTVENTA NORTE 2</v>
      </c>
      <c r="G166" s="47" t="str">
        <f>+Centro_Cuenta8[[#This Row],[Código Cuenta Contable]]&amp;" - "&amp;Centro_Cuenta8[[#This Row],[Nombre de Cuenta Contable]]</f>
        <v>4202009 - Gastos Viajes Y Traslados</v>
      </c>
      <c r="H166" s="146" t="str">
        <f>+VLOOKUP(D166,'3. Cuentas'!A:F,6,0)</f>
        <v>SI</v>
      </c>
    </row>
    <row r="167" spans="1:8" x14ac:dyDescent="0.25">
      <c r="A167" s="43">
        <v>10139</v>
      </c>
      <c r="B167" t="s">
        <v>137</v>
      </c>
      <c r="C167" s="43" t="s">
        <v>1513</v>
      </c>
      <c r="D167" s="43">
        <v>4202029</v>
      </c>
      <c r="E167" t="s">
        <v>83</v>
      </c>
      <c r="F167" s="47" t="str">
        <f>+Centro_Cuenta8[[#This Row],[Codigo Centro Gestion]]&amp;" - "&amp;Centro_Cuenta8[[#This Row],[Nombre Centro Gestion]]</f>
        <v>10139 - POSTVENTA NORTE 2</v>
      </c>
      <c r="G167" s="47" t="str">
        <f>+Centro_Cuenta8[[#This Row],[Código Cuenta Contable]]&amp;" - "&amp;Centro_Cuenta8[[#This Row],[Nombre de Cuenta Contable]]</f>
        <v>4202029 - Insumos Y Gastos Informáticos</v>
      </c>
      <c r="H167" s="146" t="str">
        <f>+VLOOKUP(D167,'3. Cuentas'!A:F,6,0)</f>
        <v>SI</v>
      </c>
    </row>
    <row r="168" spans="1:8" x14ac:dyDescent="0.25">
      <c r="A168" s="43">
        <v>10140</v>
      </c>
      <c r="B168" t="s">
        <v>138</v>
      </c>
      <c r="C168" s="43" t="s">
        <v>1513</v>
      </c>
      <c r="D168" s="43">
        <v>4202009</v>
      </c>
      <c r="E168" t="s">
        <v>80</v>
      </c>
      <c r="F168" s="47" t="str">
        <f>+Centro_Cuenta8[[#This Row],[Codigo Centro Gestion]]&amp;" - "&amp;Centro_Cuenta8[[#This Row],[Nombre Centro Gestion]]</f>
        <v>10140 - POSTVENTA NORTE 3</v>
      </c>
      <c r="G168" s="47" t="str">
        <f>+Centro_Cuenta8[[#This Row],[Código Cuenta Contable]]&amp;" - "&amp;Centro_Cuenta8[[#This Row],[Nombre de Cuenta Contable]]</f>
        <v>4202009 - Gastos Viajes Y Traslados</v>
      </c>
      <c r="H168" s="146" t="str">
        <f>+VLOOKUP(D168,'3. Cuentas'!A:F,6,0)</f>
        <v>SI</v>
      </c>
    </row>
    <row r="169" spans="1:8" x14ac:dyDescent="0.25">
      <c r="A169" s="43">
        <v>10140</v>
      </c>
      <c r="B169" t="s">
        <v>138</v>
      </c>
      <c r="C169" s="43" t="s">
        <v>1513</v>
      </c>
      <c r="D169" s="43">
        <v>4202029</v>
      </c>
      <c r="E169" t="s">
        <v>83</v>
      </c>
      <c r="F169" s="47" t="str">
        <f>+Centro_Cuenta8[[#This Row],[Codigo Centro Gestion]]&amp;" - "&amp;Centro_Cuenta8[[#This Row],[Nombre Centro Gestion]]</f>
        <v>10140 - POSTVENTA NORTE 3</v>
      </c>
      <c r="G169" s="47" t="str">
        <f>+Centro_Cuenta8[[#This Row],[Código Cuenta Contable]]&amp;" - "&amp;Centro_Cuenta8[[#This Row],[Nombre de Cuenta Contable]]</f>
        <v>4202029 - Insumos Y Gastos Informáticos</v>
      </c>
      <c r="H169" s="146" t="str">
        <f>+VLOOKUP(D169,'3. Cuentas'!A:F,6,0)</f>
        <v>SI</v>
      </c>
    </row>
    <row r="170" spans="1:8" x14ac:dyDescent="0.25">
      <c r="A170" s="43">
        <v>10141</v>
      </c>
      <c r="B170" t="s">
        <v>139</v>
      </c>
      <c r="C170" s="43" t="s">
        <v>1514</v>
      </c>
      <c r="D170" s="43">
        <v>4202009</v>
      </c>
      <c r="E170" t="s">
        <v>80</v>
      </c>
      <c r="F170" s="47" t="str">
        <f>+Centro_Cuenta8[[#This Row],[Codigo Centro Gestion]]&amp;" - "&amp;Centro_Cuenta8[[#This Row],[Nombre Centro Gestion]]</f>
        <v>10141 - POSTVENTA V REGIÓN</v>
      </c>
      <c r="G170" s="47" t="str">
        <f>+Centro_Cuenta8[[#This Row],[Código Cuenta Contable]]&amp;" - "&amp;Centro_Cuenta8[[#This Row],[Nombre de Cuenta Contable]]</f>
        <v>4202009 - Gastos Viajes Y Traslados</v>
      </c>
      <c r="H170" s="146" t="str">
        <f>+VLOOKUP(D170,'3. Cuentas'!A:F,6,0)</f>
        <v>SI</v>
      </c>
    </row>
    <row r="171" spans="1:8" x14ac:dyDescent="0.25">
      <c r="A171" s="43">
        <v>10141</v>
      </c>
      <c r="B171" t="s">
        <v>139</v>
      </c>
      <c r="C171" s="43" t="s">
        <v>1514</v>
      </c>
      <c r="D171" s="43">
        <v>4202029</v>
      </c>
      <c r="E171" t="s">
        <v>83</v>
      </c>
      <c r="F171" s="47" t="str">
        <f>+Centro_Cuenta8[[#This Row],[Codigo Centro Gestion]]&amp;" - "&amp;Centro_Cuenta8[[#This Row],[Nombre Centro Gestion]]</f>
        <v>10141 - POSTVENTA V REGIÓN</v>
      </c>
      <c r="G171" s="47" t="str">
        <f>+Centro_Cuenta8[[#This Row],[Código Cuenta Contable]]&amp;" - "&amp;Centro_Cuenta8[[#This Row],[Nombre de Cuenta Contable]]</f>
        <v>4202029 - Insumos Y Gastos Informáticos</v>
      </c>
      <c r="H171" s="146" t="str">
        <f>+VLOOKUP(D171,'3. Cuentas'!A:F,6,0)</f>
        <v>SI</v>
      </c>
    </row>
    <row r="172" spans="1:8" x14ac:dyDescent="0.25">
      <c r="A172" s="43">
        <v>10142</v>
      </c>
      <c r="B172" t="s">
        <v>140</v>
      </c>
      <c r="C172" s="43" t="s">
        <v>1515</v>
      </c>
      <c r="D172" s="43">
        <v>4202009</v>
      </c>
      <c r="E172" t="s">
        <v>80</v>
      </c>
      <c r="F172" s="47" t="str">
        <f>+Centro_Cuenta8[[#This Row],[Codigo Centro Gestion]]&amp;" - "&amp;Centro_Cuenta8[[#This Row],[Nombre Centro Gestion]]</f>
        <v>10142 - POSTVENTA ZC1</v>
      </c>
      <c r="G172" s="47" t="str">
        <f>+Centro_Cuenta8[[#This Row],[Código Cuenta Contable]]&amp;" - "&amp;Centro_Cuenta8[[#This Row],[Nombre de Cuenta Contable]]</f>
        <v>4202009 - Gastos Viajes Y Traslados</v>
      </c>
      <c r="H172" s="146" t="str">
        <f>+VLOOKUP(D172,'3. Cuentas'!A:F,6,0)</f>
        <v>SI</v>
      </c>
    </row>
    <row r="173" spans="1:8" x14ac:dyDescent="0.25">
      <c r="A173" s="43">
        <v>10142</v>
      </c>
      <c r="B173" t="s">
        <v>140</v>
      </c>
      <c r="C173" s="43" t="s">
        <v>1515</v>
      </c>
      <c r="D173" s="43">
        <v>4202029</v>
      </c>
      <c r="E173" t="s">
        <v>83</v>
      </c>
      <c r="F173" s="47" t="str">
        <f>+Centro_Cuenta8[[#This Row],[Codigo Centro Gestion]]&amp;" - "&amp;Centro_Cuenta8[[#This Row],[Nombre Centro Gestion]]</f>
        <v>10142 - POSTVENTA ZC1</v>
      </c>
      <c r="G173" s="47" t="str">
        <f>+Centro_Cuenta8[[#This Row],[Código Cuenta Contable]]&amp;" - "&amp;Centro_Cuenta8[[#This Row],[Nombre de Cuenta Contable]]</f>
        <v>4202029 - Insumos Y Gastos Informáticos</v>
      </c>
      <c r="H173" s="146" t="str">
        <f>+VLOOKUP(D173,'3. Cuentas'!A:F,6,0)</f>
        <v>SI</v>
      </c>
    </row>
    <row r="174" spans="1:8" x14ac:dyDescent="0.25">
      <c r="A174" s="43">
        <v>10143</v>
      </c>
      <c r="B174" t="s">
        <v>141</v>
      </c>
      <c r="C174" s="43" t="s">
        <v>1515</v>
      </c>
      <c r="D174" s="43">
        <v>4202009</v>
      </c>
      <c r="E174" t="s">
        <v>80</v>
      </c>
      <c r="F174" s="47" t="str">
        <f>+Centro_Cuenta8[[#This Row],[Codigo Centro Gestion]]&amp;" - "&amp;Centro_Cuenta8[[#This Row],[Nombre Centro Gestion]]</f>
        <v>10143 - POSTVENTA ZC2</v>
      </c>
      <c r="G174" s="47" t="str">
        <f>+Centro_Cuenta8[[#This Row],[Código Cuenta Contable]]&amp;" - "&amp;Centro_Cuenta8[[#This Row],[Nombre de Cuenta Contable]]</f>
        <v>4202009 - Gastos Viajes Y Traslados</v>
      </c>
      <c r="H174" s="146" t="str">
        <f>+VLOOKUP(D174,'3. Cuentas'!A:F,6,0)</f>
        <v>SI</v>
      </c>
    </row>
    <row r="175" spans="1:8" x14ac:dyDescent="0.25">
      <c r="A175" s="43">
        <v>10143</v>
      </c>
      <c r="B175" t="s">
        <v>141</v>
      </c>
      <c r="C175" s="43" t="s">
        <v>1515</v>
      </c>
      <c r="D175" s="43">
        <v>4202029</v>
      </c>
      <c r="E175" t="s">
        <v>83</v>
      </c>
      <c r="F175" s="47" t="str">
        <f>+Centro_Cuenta8[[#This Row],[Codigo Centro Gestion]]&amp;" - "&amp;Centro_Cuenta8[[#This Row],[Nombre Centro Gestion]]</f>
        <v>10143 - POSTVENTA ZC2</v>
      </c>
      <c r="G175" s="47" t="str">
        <f>+Centro_Cuenta8[[#This Row],[Código Cuenta Contable]]&amp;" - "&amp;Centro_Cuenta8[[#This Row],[Nombre de Cuenta Contable]]</f>
        <v>4202029 - Insumos Y Gastos Informáticos</v>
      </c>
      <c r="H175" s="146" t="str">
        <f>+VLOOKUP(D175,'3. Cuentas'!A:F,6,0)</f>
        <v>SI</v>
      </c>
    </row>
    <row r="176" spans="1:8" x14ac:dyDescent="0.25">
      <c r="A176" s="43">
        <v>10167102</v>
      </c>
      <c r="B176" t="s">
        <v>807</v>
      </c>
      <c r="C176" s="43" t="s">
        <v>1617</v>
      </c>
      <c r="D176" s="43">
        <v>4204010</v>
      </c>
      <c r="E176" t="s">
        <v>313</v>
      </c>
      <c r="F176" s="47" t="str">
        <f>+Centro_Cuenta8[[#This Row],[Codigo Centro Gestion]]&amp;" - "&amp;Centro_Cuenta8[[#This Row],[Nombre Centro Gestion]]</f>
        <v>10167102 - Condominio Palmas del Sur II-Marketing</v>
      </c>
      <c r="G176" s="47" t="str">
        <f>+Centro_Cuenta8[[#This Row],[Código Cuenta Contable]]&amp;" - "&amp;Centro_Cuenta8[[#This Row],[Nombre de Cuenta Contable]]</f>
        <v>4204010 - Publicidad Punto Venta</v>
      </c>
      <c r="H176" s="146" t="str">
        <f>+VLOOKUP(D176,'3. Cuentas'!A:F,6,0)</f>
        <v>SI</v>
      </c>
    </row>
    <row r="177" spans="1:8" x14ac:dyDescent="0.25">
      <c r="A177" s="43">
        <v>10167102</v>
      </c>
      <c r="B177" t="s">
        <v>807</v>
      </c>
      <c r="C177" s="43" t="s">
        <v>1617</v>
      </c>
      <c r="D177" s="43">
        <v>4204021</v>
      </c>
      <c r="E177" t="s">
        <v>329</v>
      </c>
      <c r="F177" s="47" t="str">
        <f>+Centro_Cuenta8[[#This Row],[Codigo Centro Gestion]]&amp;" - "&amp;Centro_Cuenta8[[#This Row],[Nombre Centro Gestion]]</f>
        <v>10167102 - Condominio Palmas del Sur II-Marketing</v>
      </c>
      <c r="G177" s="47" t="str">
        <f>+Centro_Cuenta8[[#This Row],[Código Cuenta Contable]]&amp;" - "&amp;Centro_Cuenta8[[#This Row],[Nombre de Cuenta Contable]]</f>
        <v>4204021 - Publicidad Ferias Y Eventos</v>
      </c>
      <c r="H177" s="146" t="str">
        <f>+VLOOKUP(D177,'3. Cuentas'!A:F,6,0)</f>
        <v>SI</v>
      </c>
    </row>
    <row r="178" spans="1:8" x14ac:dyDescent="0.25">
      <c r="A178" s="43">
        <v>10167103</v>
      </c>
      <c r="B178" t="s">
        <v>808</v>
      </c>
      <c r="C178" s="43" t="s">
        <v>1618</v>
      </c>
      <c r="D178" s="43">
        <v>4203060</v>
      </c>
      <c r="E178" t="s">
        <v>321</v>
      </c>
      <c r="F178" s="47" t="str">
        <f>+Centro_Cuenta8[[#This Row],[Codigo Centro Gestion]]&amp;" - "&amp;Centro_Cuenta8[[#This Row],[Nombre Centro Gestion]]</f>
        <v>10167103 - Condominio Palmas del Sur II-Operaciones</v>
      </c>
      <c r="G178" s="47" t="str">
        <f>+Centro_Cuenta8[[#This Row],[Código Cuenta Contable]]&amp;" - "&amp;Centro_Cuenta8[[#This Row],[Nombre de Cuenta Contable]]</f>
        <v>4203060 - Gastos Operacionales De Clientes</v>
      </c>
      <c r="H178" s="146" t="str">
        <f>+VLOOKUP(D178,'3. Cuentas'!A:F,6,0)</f>
        <v>SI</v>
      </c>
    </row>
    <row r="179" spans="1:8" x14ac:dyDescent="0.25">
      <c r="A179" s="43">
        <v>10167103</v>
      </c>
      <c r="B179" t="s">
        <v>808</v>
      </c>
      <c r="C179" s="43" t="s">
        <v>1618</v>
      </c>
      <c r="D179" s="43">
        <v>4203090</v>
      </c>
      <c r="E179" t="s">
        <v>192</v>
      </c>
      <c r="F179" s="47" t="str">
        <f>+Centro_Cuenta8[[#This Row],[Codigo Centro Gestion]]&amp;" - "&amp;Centro_Cuenta8[[#This Row],[Nombre Centro Gestion]]</f>
        <v>10167103 - Condominio Palmas del Sur II-Operaciones</v>
      </c>
      <c r="G179" s="47" t="str">
        <f>+Centro_Cuenta8[[#This Row],[Código Cuenta Contable]]&amp;" - "&amp;Centro_Cuenta8[[#This Row],[Nombre de Cuenta Contable]]</f>
        <v>4203090 - Gastos Legales Y Notariales Proyecto</v>
      </c>
      <c r="H179" s="146" t="str">
        <f>+VLOOKUP(D179,'3. Cuentas'!A:F,6,0)</f>
        <v>SI</v>
      </c>
    </row>
    <row r="180" spans="1:8" x14ac:dyDescent="0.25">
      <c r="A180" s="43">
        <v>10167104</v>
      </c>
      <c r="B180" t="s">
        <v>809</v>
      </c>
      <c r="C180" s="43" t="s">
        <v>90</v>
      </c>
      <c r="D180" s="43">
        <v>1110040</v>
      </c>
      <c r="E180" t="s">
        <v>1505</v>
      </c>
      <c r="F180" s="47" t="str">
        <f>+Centro_Cuenta8[[#This Row],[Codigo Centro Gestion]]&amp;" - "&amp;Centro_Cuenta8[[#This Row],[Nombre Centro Gestion]]</f>
        <v>10167104 - Condominio Palmas del Sur II-Ventas</v>
      </c>
      <c r="G180" s="47" t="str">
        <f>+Centro_Cuenta8[[#This Row],[Código Cuenta Contable]]&amp;" - "&amp;Centro_Cuenta8[[#This Row],[Nombre de Cuenta Contable]]</f>
        <v>1110040 - Garantía Pagadas</v>
      </c>
      <c r="H180" s="146" t="str">
        <f>+VLOOKUP(D180,'3. Cuentas'!A:F,6,0)</f>
        <v>SI</v>
      </c>
    </row>
    <row r="181" spans="1:8" x14ac:dyDescent="0.25">
      <c r="A181" s="43">
        <v>10167104</v>
      </c>
      <c r="B181" t="s">
        <v>809</v>
      </c>
      <c r="C181" s="43" t="s">
        <v>90</v>
      </c>
      <c r="D181" s="43">
        <v>4202003</v>
      </c>
      <c r="E181" t="s">
        <v>106</v>
      </c>
      <c r="F181" s="47" t="str">
        <f>+Centro_Cuenta8[[#This Row],[Codigo Centro Gestion]]&amp;" - "&amp;Centro_Cuenta8[[#This Row],[Nombre Centro Gestion]]</f>
        <v>10167104 - Condominio Palmas del Sur II-Ventas</v>
      </c>
      <c r="G181" s="47" t="str">
        <f>+Centro_Cuenta8[[#This Row],[Código Cuenta Contable]]&amp;" - "&amp;Centro_Cuenta8[[#This Row],[Nombre de Cuenta Contable]]</f>
        <v>4202003 - Serv.Basic.Luz.Agua.Tel Of.C</v>
      </c>
      <c r="H181" s="146" t="str">
        <f>+VLOOKUP(D181,'3. Cuentas'!A:F,6,0)</f>
        <v>SI</v>
      </c>
    </row>
    <row r="182" spans="1:8" x14ac:dyDescent="0.25">
      <c r="A182" s="43">
        <v>10167104</v>
      </c>
      <c r="B182" t="s">
        <v>809</v>
      </c>
      <c r="C182" s="43" t="s">
        <v>90</v>
      </c>
      <c r="D182" s="43">
        <v>4202010</v>
      </c>
      <c r="E182" t="s">
        <v>87</v>
      </c>
      <c r="F182" s="47" t="str">
        <f>+Centro_Cuenta8[[#This Row],[Codigo Centro Gestion]]&amp;" - "&amp;Centro_Cuenta8[[#This Row],[Nombre Centro Gestion]]</f>
        <v>10167104 - Condominio Palmas del Sur II-Ventas</v>
      </c>
      <c r="G182" s="47" t="str">
        <f>+Centro_Cuenta8[[#This Row],[Código Cuenta Contable]]&amp;" - "&amp;Centro_Cuenta8[[#This Row],[Nombre de Cuenta Contable]]</f>
        <v>4202010 - Artic. Ofic. Fotocop.Papelería</v>
      </c>
      <c r="H182" s="146" t="str">
        <f>+VLOOKUP(D182,'3. Cuentas'!A:F,6,0)</f>
        <v>SI</v>
      </c>
    </row>
    <row r="183" spans="1:8" x14ac:dyDescent="0.25">
      <c r="A183" s="43">
        <v>10167104</v>
      </c>
      <c r="B183" t="s">
        <v>809</v>
      </c>
      <c r="C183" s="43" t="s">
        <v>90</v>
      </c>
      <c r="D183" s="43">
        <v>4202019</v>
      </c>
      <c r="E183" t="s">
        <v>81</v>
      </c>
      <c r="F183" s="47" t="str">
        <f>+Centro_Cuenta8[[#This Row],[Codigo Centro Gestion]]&amp;" - "&amp;Centro_Cuenta8[[#This Row],[Nombre Centro Gestion]]</f>
        <v>10167104 - Condominio Palmas del Sur II-Ventas</v>
      </c>
      <c r="G183" s="47" t="str">
        <f>+Centro_Cuenta8[[#This Row],[Código Cuenta Contable]]&amp;" - "&amp;Centro_Cuenta8[[#This Row],[Nombre de Cuenta Contable]]</f>
        <v>4202019 - Gasto General Oficina</v>
      </c>
      <c r="H183" s="146" t="str">
        <f>+VLOOKUP(D183,'3. Cuentas'!A:F,6,0)</f>
        <v>SI</v>
      </c>
    </row>
    <row r="184" spans="1:8" x14ac:dyDescent="0.25">
      <c r="A184" s="43">
        <v>10167104</v>
      </c>
      <c r="B184" t="s">
        <v>809</v>
      </c>
      <c r="C184" s="43" t="s">
        <v>90</v>
      </c>
      <c r="D184" s="43">
        <v>4202023</v>
      </c>
      <c r="E184" t="s">
        <v>82</v>
      </c>
      <c r="F184" s="47" t="str">
        <f>+Centro_Cuenta8[[#This Row],[Codigo Centro Gestion]]&amp;" - "&amp;Centro_Cuenta8[[#This Row],[Nombre Centro Gestion]]</f>
        <v>10167104 - Condominio Palmas del Sur II-Ventas</v>
      </c>
      <c r="G184" s="47" t="str">
        <f>+Centro_Cuenta8[[#This Row],[Código Cuenta Contable]]&amp;" - "&amp;Centro_Cuenta8[[#This Row],[Nombre de Cuenta Contable]]</f>
        <v>4202023 - Honorarios Por Asesorías</v>
      </c>
      <c r="H184" s="146" t="str">
        <f>+VLOOKUP(D184,'3. Cuentas'!A:F,6,0)</f>
        <v>SI</v>
      </c>
    </row>
    <row r="185" spans="1:8" x14ac:dyDescent="0.25">
      <c r="A185" s="43">
        <v>10167104</v>
      </c>
      <c r="B185" t="s">
        <v>809</v>
      </c>
      <c r="C185" s="43" t="s">
        <v>90</v>
      </c>
      <c r="D185" s="43">
        <v>4202029</v>
      </c>
      <c r="E185" t="s">
        <v>83</v>
      </c>
      <c r="F185" s="47" t="str">
        <f>+Centro_Cuenta8[[#This Row],[Codigo Centro Gestion]]&amp;" - "&amp;Centro_Cuenta8[[#This Row],[Nombre Centro Gestion]]</f>
        <v>10167104 - Condominio Palmas del Sur II-Ventas</v>
      </c>
      <c r="G185" s="47" t="str">
        <f>+Centro_Cuenta8[[#This Row],[Código Cuenta Contable]]&amp;" - "&amp;Centro_Cuenta8[[#This Row],[Nombre de Cuenta Contable]]</f>
        <v>4202029 - Insumos Y Gastos Informáticos</v>
      </c>
      <c r="H185" s="146" t="str">
        <f>+VLOOKUP(D185,'3. Cuentas'!A:F,6,0)</f>
        <v>SI</v>
      </c>
    </row>
    <row r="186" spans="1:8" x14ac:dyDescent="0.25">
      <c r="A186" s="43">
        <v>10167104</v>
      </c>
      <c r="B186" t="s">
        <v>809</v>
      </c>
      <c r="C186" s="43" t="s">
        <v>90</v>
      </c>
      <c r="D186" s="43">
        <v>4204021</v>
      </c>
      <c r="E186" t="s">
        <v>329</v>
      </c>
      <c r="F186" s="47" t="str">
        <f>+Centro_Cuenta8[[#This Row],[Codigo Centro Gestion]]&amp;" - "&amp;Centro_Cuenta8[[#This Row],[Nombre Centro Gestion]]</f>
        <v>10167104 - Condominio Palmas del Sur II-Ventas</v>
      </c>
      <c r="G186" s="47" t="str">
        <f>+Centro_Cuenta8[[#This Row],[Código Cuenta Contable]]&amp;" - "&amp;Centro_Cuenta8[[#This Row],[Nombre de Cuenta Contable]]</f>
        <v>4204021 - Publicidad Ferias Y Eventos</v>
      </c>
      <c r="H186" s="146" t="str">
        <f>+VLOOKUP(D186,'3. Cuentas'!A:F,6,0)</f>
        <v>SI</v>
      </c>
    </row>
    <row r="187" spans="1:8" x14ac:dyDescent="0.25">
      <c r="A187" s="43">
        <v>10167105</v>
      </c>
      <c r="B187" t="s">
        <v>810</v>
      </c>
      <c r="C187" s="43" t="s">
        <v>1622</v>
      </c>
      <c r="D187" s="43">
        <v>4203020</v>
      </c>
      <c r="E187" t="s">
        <v>295</v>
      </c>
      <c r="F187" s="47" t="str">
        <f>+Centro_Cuenta8[[#This Row],[Codigo Centro Gestion]]&amp;" - "&amp;Centro_Cuenta8[[#This Row],[Nombre Centro Gestion]]</f>
        <v>10167105 - Condominio Palmas del Sur II-Clientes</v>
      </c>
      <c r="G187" s="47" t="str">
        <f>+Centro_Cuenta8[[#This Row],[Código Cuenta Contable]]&amp;" - "&amp;Centro_Cuenta8[[#This Row],[Nombre de Cuenta Contable]]</f>
        <v>4203020 - Mant. y Consum. Viv Stock</v>
      </c>
      <c r="H187" s="146" t="str">
        <f>+VLOOKUP(D187,'3. Cuentas'!A:F,6,0)</f>
        <v>SI</v>
      </c>
    </row>
    <row r="188" spans="1:8" x14ac:dyDescent="0.25">
      <c r="A188" s="43">
        <v>10167105</v>
      </c>
      <c r="B188" t="s">
        <v>810</v>
      </c>
      <c r="C188" s="43" t="s">
        <v>1622</v>
      </c>
      <c r="D188" s="43">
        <v>4203120</v>
      </c>
      <c r="E188" t="s">
        <v>108</v>
      </c>
      <c r="F188" s="47" t="str">
        <f>+Centro_Cuenta8[[#This Row],[Codigo Centro Gestion]]&amp;" - "&amp;Centro_Cuenta8[[#This Row],[Nombre Centro Gestion]]</f>
        <v>10167105 - Condominio Palmas del Sur II-Clientes</v>
      </c>
      <c r="G188" s="47" t="str">
        <f>+Centro_Cuenta8[[#This Row],[Código Cuenta Contable]]&amp;" - "&amp;Centro_Cuenta8[[#This Row],[Nombre de Cuenta Contable]]</f>
        <v>4203120 - Gastos Comunes</v>
      </c>
      <c r="H188" s="146" t="str">
        <f>+VLOOKUP(D188,'3. Cuentas'!A:F,6,0)</f>
        <v>SI</v>
      </c>
    </row>
    <row r="189" spans="1:8" x14ac:dyDescent="0.25">
      <c r="A189" s="43">
        <v>10167105</v>
      </c>
      <c r="B189" t="s">
        <v>810</v>
      </c>
      <c r="C189" s="43" t="s">
        <v>1622</v>
      </c>
      <c r="D189" s="43">
        <v>4203140</v>
      </c>
      <c r="E189" t="s">
        <v>109</v>
      </c>
      <c r="F189" s="47" t="str">
        <f>+Centro_Cuenta8[[#This Row],[Codigo Centro Gestion]]&amp;" - "&amp;Centro_Cuenta8[[#This Row],[Nombre Centro Gestion]]</f>
        <v>10167105 - Condominio Palmas del Sur II-Clientes</v>
      </c>
      <c r="G189" s="47" t="str">
        <f>+Centro_Cuenta8[[#This Row],[Código Cuenta Contable]]&amp;" - "&amp;Centro_Cuenta8[[#This Row],[Nombre de Cuenta Contable]]</f>
        <v>4203140 - Contribuciones</v>
      </c>
      <c r="H189" s="146" t="str">
        <f>+VLOOKUP(D189,'3. Cuentas'!A:F,6,0)</f>
        <v>SI</v>
      </c>
    </row>
    <row r="190" spans="1:8" x14ac:dyDescent="0.25">
      <c r="A190" s="43">
        <v>10167203</v>
      </c>
      <c r="B190" t="s">
        <v>811</v>
      </c>
      <c r="C190" s="43" t="s">
        <v>1624</v>
      </c>
      <c r="D190" s="43">
        <v>1103045</v>
      </c>
      <c r="E190" t="s">
        <v>323</v>
      </c>
      <c r="F190" s="47" t="str">
        <f>+Centro_Cuenta8[[#This Row],[Codigo Centro Gestion]]&amp;" - "&amp;Centro_Cuenta8[[#This Row],[Nombre Centro Gestion]]</f>
        <v>10167203 - Condominio Palmas del Sur II-Proyecto</v>
      </c>
      <c r="G190" s="47" t="str">
        <f>+Centro_Cuenta8[[#This Row],[Código Cuenta Contable]]&amp;" - "&amp;Centro_Cuenta8[[#This Row],[Nombre de Cuenta Contable]]</f>
        <v>1103045 - Aportes reembolsables (electricidad y agua)</v>
      </c>
      <c r="H190" s="146" t="str">
        <f>+VLOOKUP(D190,'3. Cuentas'!A:F,6,0)</f>
        <v>SI</v>
      </c>
    </row>
    <row r="191" spans="1:8" x14ac:dyDescent="0.25">
      <c r="A191" s="43">
        <v>10167203</v>
      </c>
      <c r="B191" t="s">
        <v>811</v>
      </c>
      <c r="C191" s="43" t="s">
        <v>1624</v>
      </c>
      <c r="D191" s="43">
        <v>1109020</v>
      </c>
      <c r="E191" t="s">
        <v>302</v>
      </c>
      <c r="F191" s="47" t="str">
        <f>+Centro_Cuenta8[[#This Row],[Codigo Centro Gestion]]&amp;" - "&amp;Centro_Cuenta8[[#This Row],[Nombre Centro Gestion]]</f>
        <v>10167203 - Condominio Palmas del Sur II-Proyecto</v>
      </c>
      <c r="G191" s="47" t="str">
        <f>+Centro_Cuenta8[[#This Row],[Código Cuenta Contable]]&amp;" - "&amp;Centro_Cuenta8[[#This Row],[Nombre de Cuenta Contable]]</f>
        <v>1109020 - Mobiliario</v>
      </c>
      <c r="H191" s="146" t="str">
        <f>+VLOOKUP(D191,'3. Cuentas'!A:F,6,0)</f>
        <v>SI</v>
      </c>
    </row>
    <row r="192" spans="1:8" x14ac:dyDescent="0.25">
      <c r="A192" s="43">
        <v>10167203</v>
      </c>
      <c r="B192" t="s">
        <v>811</v>
      </c>
      <c r="C192" s="43" t="s">
        <v>1624</v>
      </c>
      <c r="D192" s="43">
        <v>1110040</v>
      </c>
      <c r="E192" t="s">
        <v>1505</v>
      </c>
      <c r="F192" s="47" t="str">
        <f>+Centro_Cuenta8[[#This Row],[Codigo Centro Gestion]]&amp;" - "&amp;Centro_Cuenta8[[#This Row],[Nombre Centro Gestion]]</f>
        <v>10167203 - Condominio Palmas del Sur II-Proyecto</v>
      </c>
      <c r="G192" s="47" t="str">
        <f>+Centro_Cuenta8[[#This Row],[Código Cuenta Contable]]&amp;" - "&amp;Centro_Cuenta8[[#This Row],[Nombre de Cuenta Contable]]</f>
        <v>1110040 - Garantía Pagadas</v>
      </c>
      <c r="H192" s="146" t="str">
        <f>+VLOOKUP(D192,'3. Cuentas'!A:F,6,0)</f>
        <v>SI</v>
      </c>
    </row>
    <row r="193" spans="1:8" x14ac:dyDescent="0.25">
      <c r="A193" s="43">
        <v>10167203</v>
      </c>
      <c r="B193" t="s">
        <v>811</v>
      </c>
      <c r="C193" s="43" t="s">
        <v>1624</v>
      </c>
      <c r="D193" s="43">
        <v>1115040</v>
      </c>
      <c r="E193" t="s">
        <v>291</v>
      </c>
      <c r="F193" s="47" t="str">
        <f>+Centro_Cuenta8[[#This Row],[Codigo Centro Gestion]]&amp;" - "&amp;Centro_Cuenta8[[#This Row],[Nombre Centro Gestion]]</f>
        <v>10167203 - Condominio Palmas del Sur II-Proyecto</v>
      </c>
      <c r="G193" s="47" t="str">
        <f>+Centro_Cuenta8[[#This Row],[Código Cuenta Contable]]&amp;" - "&amp;Centro_Cuenta8[[#This Row],[Nombre de Cuenta Contable]]</f>
        <v>1115040 - Saneamiento De Terreno</v>
      </c>
      <c r="H193" s="146" t="str">
        <f>+VLOOKUP(D193,'3. Cuentas'!A:F,6,0)</f>
        <v>SI</v>
      </c>
    </row>
    <row r="194" spans="1:8" x14ac:dyDescent="0.25">
      <c r="A194" s="43">
        <v>10167203</v>
      </c>
      <c r="B194" t="s">
        <v>811</v>
      </c>
      <c r="C194" s="43" t="s">
        <v>1624</v>
      </c>
      <c r="D194" s="43">
        <v>1115050</v>
      </c>
      <c r="E194" t="s">
        <v>1628</v>
      </c>
      <c r="F194" s="47" t="str">
        <f>+Centro_Cuenta8[[#This Row],[Codigo Centro Gestion]]&amp;" - "&amp;Centro_Cuenta8[[#This Row],[Nombre Centro Gestion]]</f>
        <v>10167203 - Condominio Palmas del Sur II-Proyecto</v>
      </c>
      <c r="G194" s="47" t="str">
        <f>+Centro_Cuenta8[[#This Row],[Código Cuenta Contable]]&amp;" - "&amp;Centro_Cuenta8[[#This Row],[Nombre de Cuenta Contable]]</f>
        <v>1115050 - Demolición</v>
      </c>
      <c r="H194" s="146" t="str">
        <f>+VLOOKUP(D194,'3. Cuentas'!A:F,6,0)</f>
        <v>SI</v>
      </c>
    </row>
    <row r="195" spans="1:8" x14ac:dyDescent="0.25">
      <c r="A195" s="43">
        <v>10167203</v>
      </c>
      <c r="B195" t="s">
        <v>811</v>
      </c>
      <c r="C195" s="43" t="s">
        <v>1624</v>
      </c>
      <c r="D195" s="43">
        <v>1115100</v>
      </c>
      <c r="E195" t="s">
        <v>292</v>
      </c>
      <c r="F195" s="47" t="str">
        <f>+Centro_Cuenta8[[#This Row],[Codigo Centro Gestion]]&amp;" - "&amp;Centro_Cuenta8[[#This Row],[Nombre Centro Gestion]]</f>
        <v>10167203 - Condominio Palmas del Sur II-Proyecto</v>
      </c>
      <c r="G195" s="47" t="str">
        <f>+Centro_Cuenta8[[#This Row],[Código Cuenta Contable]]&amp;" - "&amp;Centro_Cuenta8[[#This Row],[Nombre de Cuenta Contable]]</f>
        <v>1115100 - Proyectos Y Especialidades</v>
      </c>
      <c r="H195" s="146" t="str">
        <f>+VLOOKUP(D195,'3. Cuentas'!A:F,6,0)</f>
        <v>SI</v>
      </c>
    </row>
    <row r="196" spans="1:8" x14ac:dyDescent="0.25">
      <c r="A196" s="43">
        <v>10167203</v>
      </c>
      <c r="B196" t="s">
        <v>811</v>
      </c>
      <c r="C196" s="43" t="s">
        <v>1624</v>
      </c>
      <c r="D196" s="43">
        <v>1115120</v>
      </c>
      <c r="E196" t="s">
        <v>1633</v>
      </c>
      <c r="F196" s="47" t="str">
        <f>+Centro_Cuenta8[[#This Row],[Codigo Centro Gestion]]&amp;" - "&amp;Centro_Cuenta8[[#This Row],[Nombre Centro Gestion]]</f>
        <v>10167203 - Condominio Palmas del Sur II-Proyecto</v>
      </c>
      <c r="G196" s="47" t="str">
        <f>+Centro_Cuenta8[[#This Row],[Código Cuenta Contable]]&amp;" - "&amp;Centro_Cuenta8[[#This Row],[Nombre de Cuenta Contable]]</f>
        <v>1115120 - Instalación Empalmes</v>
      </c>
      <c r="H196" s="146" t="str">
        <f>+VLOOKUP(D196,'3. Cuentas'!A:F,6,0)</f>
        <v>SI</v>
      </c>
    </row>
    <row r="197" spans="1:8" x14ac:dyDescent="0.25">
      <c r="A197" s="43">
        <v>10167203</v>
      </c>
      <c r="B197" t="s">
        <v>811</v>
      </c>
      <c r="C197" s="43" t="s">
        <v>1624</v>
      </c>
      <c r="D197" s="43">
        <v>1115170</v>
      </c>
      <c r="E197" t="s">
        <v>293</v>
      </c>
      <c r="F197" s="47" t="str">
        <f>+Centro_Cuenta8[[#This Row],[Codigo Centro Gestion]]&amp;" - "&amp;Centro_Cuenta8[[#This Row],[Nombre Centro Gestion]]</f>
        <v>10167203 - Condominio Palmas del Sur II-Proyecto</v>
      </c>
      <c r="G197" s="47" t="str">
        <f>+Centro_Cuenta8[[#This Row],[Código Cuenta Contable]]&amp;" - "&amp;Centro_Cuenta8[[#This Row],[Nombre de Cuenta Contable]]</f>
        <v>1115170 - Permisos Y Otros Gastos Municipales</v>
      </c>
      <c r="H197" s="146" t="str">
        <f>+VLOOKUP(D197,'3. Cuentas'!A:F,6,0)</f>
        <v>SI</v>
      </c>
    </row>
    <row r="198" spans="1:8" x14ac:dyDescent="0.25">
      <c r="A198" s="43">
        <v>10167203</v>
      </c>
      <c r="B198" t="s">
        <v>811</v>
      </c>
      <c r="C198" s="43" t="s">
        <v>1624</v>
      </c>
      <c r="D198" s="43">
        <v>1115240</v>
      </c>
      <c r="E198" t="s">
        <v>294</v>
      </c>
      <c r="F198" s="47" t="str">
        <f>+Centro_Cuenta8[[#This Row],[Codigo Centro Gestion]]&amp;" - "&amp;Centro_Cuenta8[[#This Row],[Nombre Centro Gestion]]</f>
        <v>10167203 - Condominio Palmas del Sur II-Proyecto</v>
      </c>
      <c r="G198" s="47" t="str">
        <f>+Centro_Cuenta8[[#This Row],[Código Cuenta Contable]]&amp;" - "&amp;Centro_Cuenta8[[#This Row],[Nombre de Cuenta Contable]]</f>
        <v>1115240 - Estudios Y Asesorias Técnicas</v>
      </c>
      <c r="H198" s="146" t="str">
        <f>+VLOOKUP(D198,'3. Cuentas'!A:F,6,0)</f>
        <v>SI</v>
      </c>
    </row>
    <row r="199" spans="1:8" x14ac:dyDescent="0.25">
      <c r="A199" s="43">
        <v>10167203</v>
      </c>
      <c r="B199" t="s">
        <v>811</v>
      </c>
      <c r="C199" s="43" t="s">
        <v>1624</v>
      </c>
      <c r="D199" s="43">
        <v>4203090</v>
      </c>
      <c r="E199" t="s">
        <v>192</v>
      </c>
      <c r="F199" s="47" t="str">
        <f>+Centro_Cuenta8[[#This Row],[Codigo Centro Gestion]]&amp;" - "&amp;Centro_Cuenta8[[#This Row],[Nombre Centro Gestion]]</f>
        <v>10167203 - Condominio Palmas del Sur II-Proyecto</v>
      </c>
      <c r="G199" s="47" t="str">
        <f>+Centro_Cuenta8[[#This Row],[Código Cuenta Contable]]&amp;" - "&amp;Centro_Cuenta8[[#This Row],[Nombre de Cuenta Contable]]</f>
        <v>4203090 - Gastos Legales Y Notariales Proyecto</v>
      </c>
      <c r="H199" s="146" t="str">
        <f>+VLOOKUP(D199,'3. Cuentas'!A:F,6,0)</f>
        <v>SI</v>
      </c>
    </row>
    <row r="200" spans="1:8" x14ac:dyDescent="0.25">
      <c r="A200" s="43">
        <v>10167203</v>
      </c>
      <c r="B200" t="s">
        <v>811</v>
      </c>
      <c r="C200" s="43" t="s">
        <v>1624</v>
      </c>
      <c r="D200" s="43">
        <v>4203140</v>
      </c>
      <c r="E200" t="s">
        <v>109</v>
      </c>
      <c r="F200" s="47" t="str">
        <f>+Centro_Cuenta8[[#This Row],[Codigo Centro Gestion]]&amp;" - "&amp;Centro_Cuenta8[[#This Row],[Nombre Centro Gestion]]</f>
        <v>10167203 - Condominio Palmas del Sur II-Proyecto</v>
      </c>
      <c r="G200" s="47" t="str">
        <f>+Centro_Cuenta8[[#This Row],[Código Cuenta Contable]]&amp;" - "&amp;Centro_Cuenta8[[#This Row],[Nombre de Cuenta Contable]]</f>
        <v>4203140 - Contribuciones</v>
      </c>
      <c r="H200" s="146" t="str">
        <f>+VLOOKUP(D200,'3. Cuentas'!A:F,6,0)</f>
        <v>SI</v>
      </c>
    </row>
    <row r="201" spans="1:8" x14ac:dyDescent="0.25">
      <c r="A201" s="43">
        <v>10167203</v>
      </c>
      <c r="B201" t="s">
        <v>811</v>
      </c>
      <c r="C201" s="43" t="s">
        <v>1624</v>
      </c>
      <c r="D201" s="43">
        <v>4203150</v>
      </c>
      <c r="E201" t="s">
        <v>156</v>
      </c>
      <c r="F201" s="47" t="str">
        <f>+Centro_Cuenta8[[#This Row],[Codigo Centro Gestion]]&amp;" - "&amp;Centro_Cuenta8[[#This Row],[Nombre Centro Gestion]]</f>
        <v>10167203 - Condominio Palmas del Sur II-Proyecto</v>
      </c>
      <c r="G201" s="47" t="str">
        <f>+Centro_Cuenta8[[#This Row],[Código Cuenta Contable]]&amp;" - "&amp;Centro_Cuenta8[[#This Row],[Nombre de Cuenta Contable]]</f>
        <v>4203150 - Gastos CBR</v>
      </c>
      <c r="H201" s="146" t="str">
        <f>+VLOOKUP(D201,'3. Cuentas'!A:F,6,0)</f>
        <v>SI</v>
      </c>
    </row>
    <row r="202" spans="1:8" x14ac:dyDescent="0.25">
      <c r="A202" s="43">
        <v>10167203</v>
      </c>
      <c r="B202" t="s">
        <v>811</v>
      </c>
      <c r="C202" s="43" t="s">
        <v>1624</v>
      </c>
      <c r="D202" s="43">
        <v>4203160</v>
      </c>
      <c r="E202" t="s">
        <v>1639</v>
      </c>
      <c r="F202" s="47" t="str">
        <f>+Centro_Cuenta8[[#This Row],[Codigo Centro Gestion]]&amp;" - "&amp;Centro_Cuenta8[[#This Row],[Nombre Centro Gestion]]</f>
        <v>10167203 - Condominio Palmas del Sur II-Proyecto</v>
      </c>
      <c r="G202" s="47" t="str">
        <f>+Centro_Cuenta8[[#This Row],[Código Cuenta Contable]]&amp;" - "&amp;Centro_Cuenta8[[#This Row],[Nombre de Cuenta Contable]]</f>
        <v>4203160 - PAPELERIA Y FOTOCOPIADO</v>
      </c>
      <c r="H202" s="146" t="str">
        <f>+VLOOKUP(D202,'3. Cuentas'!A:F,6,0)</f>
        <v>SI</v>
      </c>
    </row>
    <row r="203" spans="1:8" x14ac:dyDescent="0.25">
      <c r="A203" s="43">
        <v>10167203</v>
      </c>
      <c r="B203" t="s">
        <v>811</v>
      </c>
      <c r="C203" s="43" t="s">
        <v>1624</v>
      </c>
      <c r="D203" s="43">
        <v>4203180</v>
      </c>
      <c r="E203" t="s">
        <v>1640</v>
      </c>
      <c r="F203" s="47" t="str">
        <f>+Centro_Cuenta8[[#This Row],[Codigo Centro Gestion]]&amp;" - "&amp;Centro_Cuenta8[[#This Row],[Nombre Centro Gestion]]</f>
        <v>10167203 - Condominio Palmas del Sur II-Proyecto</v>
      </c>
      <c r="G203" s="47" t="str">
        <f>+Centro_Cuenta8[[#This Row],[Código Cuenta Contable]]&amp;" - "&amp;Centro_Cuenta8[[#This Row],[Nombre de Cuenta Contable]]</f>
        <v>4203180 - Otros Gastos y Aseso Proy</v>
      </c>
      <c r="H203" s="146" t="str">
        <f>+VLOOKUP(D203,'3. Cuentas'!A:F,6,0)</f>
        <v>SI</v>
      </c>
    </row>
    <row r="204" spans="1:8" x14ac:dyDescent="0.25">
      <c r="A204" s="43">
        <v>10167301</v>
      </c>
      <c r="B204" t="s">
        <v>812</v>
      </c>
      <c r="C204" s="43" t="s">
        <v>1643</v>
      </c>
      <c r="D204" s="43">
        <v>4203090</v>
      </c>
      <c r="E204" t="s">
        <v>192</v>
      </c>
      <c r="F204" s="47" t="str">
        <f>+Centro_Cuenta8[[#This Row],[Codigo Centro Gestion]]&amp;" - "&amp;Centro_Cuenta8[[#This Row],[Nombre Centro Gestion]]</f>
        <v>10167301 - Condominio Palmas del Sur II-GAF</v>
      </c>
      <c r="G204" s="47" t="str">
        <f>+Centro_Cuenta8[[#This Row],[Código Cuenta Contable]]&amp;" - "&amp;Centro_Cuenta8[[#This Row],[Nombre de Cuenta Contable]]</f>
        <v>4203090 - Gastos Legales Y Notariales Proyecto</v>
      </c>
      <c r="H204" s="146" t="str">
        <f>+VLOOKUP(D204,'3. Cuentas'!A:F,6,0)</f>
        <v>SI</v>
      </c>
    </row>
    <row r="205" spans="1:8" x14ac:dyDescent="0.25">
      <c r="A205" s="43">
        <v>10167301</v>
      </c>
      <c r="B205" t="s">
        <v>812</v>
      </c>
      <c r="C205" s="43" t="s">
        <v>1643</v>
      </c>
      <c r="D205" s="43">
        <v>4203140</v>
      </c>
      <c r="E205" t="s">
        <v>109</v>
      </c>
      <c r="F205" s="47" t="str">
        <f>+Centro_Cuenta8[[#This Row],[Codigo Centro Gestion]]&amp;" - "&amp;Centro_Cuenta8[[#This Row],[Nombre Centro Gestion]]</f>
        <v>10167301 - Condominio Palmas del Sur II-GAF</v>
      </c>
      <c r="G205" s="47" t="str">
        <f>+Centro_Cuenta8[[#This Row],[Código Cuenta Contable]]&amp;" - "&amp;Centro_Cuenta8[[#This Row],[Nombre de Cuenta Contable]]</f>
        <v>4203140 - Contribuciones</v>
      </c>
      <c r="H205" s="146" t="str">
        <f>+VLOOKUP(D205,'3. Cuentas'!A:F,6,0)</f>
        <v>SI</v>
      </c>
    </row>
    <row r="206" spans="1:8" x14ac:dyDescent="0.25">
      <c r="A206" s="43">
        <v>10167506</v>
      </c>
      <c r="B206" t="s">
        <v>814</v>
      </c>
      <c r="C206" s="43" t="s">
        <v>200</v>
      </c>
      <c r="D206" s="43">
        <v>1115100</v>
      </c>
      <c r="E206" t="s">
        <v>292</v>
      </c>
      <c r="F206" s="47" t="str">
        <f>+Centro_Cuenta8[[#This Row],[Codigo Centro Gestion]]&amp;" - "&amp;Centro_Cuenta8[[#This Row],[Nombre Centro Gestion]]</f>
        <v>10167506 - Condominio Palmas del Sur II-Depto.Técnico</v>
      </c>
      <c r="G206" s="47" t="str">
        <f>+Centro_Cuenta8[[#This Row],[Código Cuenta Contable]]&amp;" - "&amp;Centro_Cuenta8[[#This Row],[Nombre de Cuenta Contable]]</f>
        <v>1115100 - Proyectos Y Especialidades</v>
      </c>
      <c r="H206" s="146" t="str">
        <f>+VLOOKUP(D206,'3. Cuentas'!A:F,6,0)</f>
        <v>SI</v>
      </c>
    </row>
    <row r="207" spans="1:8" x14ac:dyDescent="0.25">
      <c r="A207" s="43">
        <v>10178102</v>
      </c>
      <c r="B207" t="s">
        <v>816</v>
      </c>
      <c r="C207" s="43" t="s">
        <v>1617</v>
      </c>
      <c r="D207" s="43">
        <v>4204010</v>
      </c>
      <c r="E207" t="s">
        <v>313</v>
      </c>
      <c r="F207" s="47" t="str">
        <f>+Centro_Cuenta8[[#This Row],[Codigo Centro Gestion]]&amp;" - "&amp;Centro_Cuenta8[[#This Row],[Nombre Centro Gestion]]</f>
        <v>10178102 - Alto Cavancha-Marketing</v>
      </c>
      <c r="G207" s="47" t="str">
        <f>+Centro_Cuenta8[[#This Row],[Código Cuenta Contable]]&amp;" - "&amp;Centro_Cuenta8[[#This Row],[Nombre de Cuenta Contable]]</f>
        <v>4204010 - Publicidad Punto Venta</v>
      </c>
      <c r="H207" s="146" t="str">
        <f>+VLOOKUP(D207,'3. Cuentas'!A:F,6,0)</f>
        <v>SI</v>
      </c>
    </row>
    <row r="208" spans="1:8" x14ac:dyDescent="0.25">
      <c r="A208" s="43">
        <v>10178102</v>
      </c>
      <c r="B208" t="s">
        <v>816</v>
      </c>
      <c r="C208" s="43" t="s">
        <v>1617</v>
      </c>
      <c r="D208" s="43">
        <v>4204021</v>
      </c>
      <c r="E208" t="s">
        <v>329</v>
      </c>
      <c r="F208" s="47" t="str">
        <f>+Centro_Cuenta8[[#This Row],[Codigo Centro Gestion]]&amp;" - "&amp;Centro_Cuenta8[[#This Row],[Nombre Centro Gestion]]</f>
        <v>10178102 - Alto Cavancha-Marketing</v>
      </c>
      <c r="G208" s="47" t="str">
        <f>+Centro_Cuenta8[[#This Row],[Código Cuenta Contable]]&amp;" - "&amp;Centro_Cuenta8[[#This Row],[Nombre de Cuenta Contable]]</f>
        <v>4204021 - Publicidad Ferias Y Eventos</v>
      </c>
      <c r="H208" s="146" t="str">
        <f>+VLOOKUP(D208,'3. Cuentas'!A:F,6,0)</f>
        <v>SI</v>
      </c>
    </row>
    <row r="209" spans="1:8" x14ac:dyDescent="0.25">
      <c r="A209" s="43">
        <v>10178103</v>
      </c>
      <c r="B209" t="s">
        <v>817</v>
      </c>
      <c r="C209" s="43" t="s">
        <v>1618</v>
      </c>
      <c r="D209" s="43">
        <v>4203060</v>
      </c>
      <c r="E209" t="s">
        <v>321</v>
      </c>
      <c r="F209" s="47" t="str">
        <f>+Centro_Cuenta8[[#This Row],[Codigo Centro Gestion]]&amp;" - "&amp;Centro_Cuenta8[[#This Row],[Nombre Centro Gestion]]</f>
        <v>10178103 - Alto Cavancha-Operaciones</v>
      </c>
      <c r="G209" s="47" t="str">
        <f>+Centro_Cuenta8[[#This Row],[Código Cuenta Contable]]&amp;" - "&amp;Centro_Cuenta8[[#This Row],[Nombre de Cuenta Contable]]</f>
        <v>4203060 - Gastos Operacionales De Clientes</v>
      </c>
      <c r="H209" s="146" t="str">
        <f>+VLOOKUP(D209,'3. Cuentas'!A:F,6,0)</f>
        <v>SI</v>
      </c>
    </row>
    <row r="210" spans="1:8" x14ac:dyDescent="0.25">
      <c r="A210" s="43">
        <v>10178103</v>
      </c>
      <c r="B210" t="s">
        <v>817</v>
      </c>
      <c r="C210" s="43" t="s">
        <v>1618</v>
      </c>
      <c r="D210" s="43">
        <v>4203090</v>
      </c>
      <c r="E210" t="s">
        <v>192</v>
      </c>
      <c r="F210" s="47" t="str">
        <f>+Centro_Cuenta8[[#This Row],[Codigo Centro Gestion]]&amp;" - "&amp;Centro_Cuenta8[[#This Row],[Nombre Centro Gestion]]</f>
        <v>10178103 - Alto Cavancha-Operaciones</v>
      </c>
      <c r="G210" s="47" t="str">
        <f>+Centro_Cuenta8[[#This Row],[Código Cuenta Contable]]&amp;" - "&amp;Centro_Cuenta8[[#This Row],[Nombre de Cuenta Contable]]</f>
        <v>4203090 - Gastos Legales Y Notariales Proyecto</v>
      </c>
      <c r="H210" s="146" t="str">
        <f>+VLOOKUP(D210,'3. Cuentas'!A:F,6,0)</f>
        <v>SI</v>
      </c>
    </row>
    <row r="211" spans="1:8" x14ac:dyDescent="0.25">
      <c r="A211" s="43">
        <v>10178104</v>
      </c>
      <c r="B211" t="s">
        <v>818</v>
      </c>
      <c r="C211" s="43" t="s">
        <v>90</v>
      </c>
      <c r="D211" s="43">
        <v>1110040</v>
      </c>
      <c r="E211" t="s">
        <v>1505</v>
      </c>
      <c r="F211" s="47" t="str">
        <f>+Centro_Cuenta8[[#This Row],[Codigo Centro Gestion]]&amp;" - "&amp;Centro_Cuenta8[[#This Row],[Nombre Centro Gestion]]</f>
        <v>10178104 - Alto Cavancha-Ventas</v>
      </c>
      <c r="G211" s="47" t="str">
        <f>+Centro_Cuenta8[[#This Row],[Código Cuenta Contable]]&amp;" - "&amp;Centro_Cuenta8[[#This Row],[Nombre de Cuenta Contable]]</f>
        <v>1110040 - Garantía Pagadas</v>
      </c>
      <c r="H211" s="146" t="str">
        <f>+VLOOKUP(D211,'3. Cuentas'!A:F,6,0)</f>
        <v>SI</v>
      </c>
    </row>
    <row r="212" spans="1:8" x14ac:dyDescent="0.25">
      <c r="A212" s="43">
        <v>10178104</v>
      </c>
      <c r="B212" t="s">
        <v>818</v>
      </c>
      <c r="C212" s="43" t="s">
        <v>90</v>
      </c>
      <c r="D212" s="43">
        <v>4202003</v>
      </c>
      <c r="E212" t="s">
        <v>106</v>
      </c>
      <c r="F212" s="47" t="str">
        <f>+Centro_Cuenta8[[#This Row],[Codigo Centro Gestion]]&amp;" - "&amp;Centro_Cuenta8[[#This Row],[Nombre Centro Gestion]]</f>
        <v>10178104 - Alto Cavancha-Ventas</v>
      </c>
      <c r="G212" s="47" t="str">
        <f>+Centro_Cuenta8[[#This Row],[Código Cuenta Contable]]&amp;" - "&amp;Centro_Cuenta8[[#This Row],[Nombre de Cuenta Contable]]</f>
        <v>4202003 - Serv.Basic.Luz.Agua.Tel Of.C</v>
      </c>
      <c r="H212" s="146" t="str">
        <f>+VLOOKUP(D212,'3. Cuentas'!A:F,6,0)</f>
        <v>SI</v>
      </c>
    </row>
    <row r="213" spans="1:8" x14ac:dyDescent="0.25">
      <c r="A213" s="43">
        <v>10178104</v>
      </c>
      <c r="B213" t="s">
        <v>818</v>
      </c>
      <c r="C213" s="43" t="s">
        <v>90</v>
      </c>
      <c r="D213" s="43">
        <v>4202010</v>
      </c>
      <c r="E213" t="s">
        <v>87</v>
      </c>
      <c r="F213" s="47" t="str">
        <f>+Centro_Cuenta8[[#This Row],[Codigo Centro Gestion]]&amp;" - "&amp;Centro_Cuenta8[[#This Row],[Nombre Centro Gestion]]</f>
        <v>10178104 - Alto Cavancha-Ventas</v>
      </c>
      <c r="G213" s="47" t="str">
        <f>+Centro_Cuenta8[[#This Row],[Código Cuenta Contable]]&amp;" - "&amp;Centro_Cuenta8[[#This Row],[Nombre de Cuenta Contable]]</f>
        <v>4202010 - Artic. Ofic. Fotocop.Papelería</v>
      </c>
      <c r="H213" s="146" t="str">
        <f>+VLOOKUP(D213,'3. Cuentas'!A:F,6,0)</f>
        <v>SI</v>
      </c>
    </row>
    <row r="214" spans="1:8" x14ac:dyDescent="0.25">
      <c r="A214" s="43">
        <v>10178104</v>
      </c>
      <c r="B214" t="s">
        <v>818</v>
      </c>
      <c r="C214" s="43" t="s">
        <v>90</v>
      </c>
      <c r="D214" s="43">
        <v>4202019</v>
      </c>
      <c r="E214" t="s">
        <v>81</v>
      </c>
      <c r="F214" s="47" t="str">
        <f>+Centro_Cuenta8[[#This Row],[Codigo Centro Gestion]]&amp;" - "&amp;Centro_Cuenta8[[#This Row],[Nombre Centro Gestion]]</f>
        <v>10178104 - Alto Cavancha-Ventas</v>
      </c>
      <c r="G214" s="47" t="str">
        <f>+Centro_Cuenta8[[#This Row],[Código Cuenta Contable]]&amp;" - "&amp;Centro_Cuenta8[[#This Row],[Nombre de Cuenta Contable]]</f>
        <v>4202019 - Gasto General Oficina</v>
      </c>
      <c r="H214" s="146" t="str">
        <f>+VLOOKUP(D214,'3. Cuentas'!A:F,6,0)</f>
        <v>SI</v>
      </c>
    </row>
    <row r="215" spans="1:8" x14ac:dyDescent="0.25">
      <c r="A215" s="43">
        <v>10178104</v>
      </c>
      <c r="B215" t="s">
        <v>818</v>
      </c>
      <c r="C215" s="43" t="s">
        <v>90</v>
      </c>
      <c r="D215" s="43">
        <v>4202023</v>
      </c>
      <c r="E215" t="s">
        <v>82</v>
      </c>
      <c r="F215" s="47" t="str">
        <f>+Centro_Cuenta8[[#This Row],[Codigo Centro Gestion]]&amp;" - "&amp;Centro_Cuenta8[[#This Row],[Nombre Centro Gestion]]</f>
        <v>10178104 - Alto Cavancha-Ventas</v>
      </c>
      <c r="G215" s="47" t="str">
        <f>+Centro_Cuenta8[[#This Row],[Código Cuenta Contable]]&amp;" - "&amp;Centro_Cuenta8[[#This Row],[Nombre de Cuenta Contable]]</f>
        <v>4202023 - Honorarios Por Asesorías</v>
      </c>
      <c r="H215" s="146" t="str">
        <f>+VLOOKUP(D215,'3. Cuentas'!A:F,6,0)</f>
        <v>SI</v>
      </c>
    </row>
    <row r="216" spans="1:8" x14ac:dyDescent="0.25">
      <c r="A216" s="43">
        <v>10178104</v>
      </c>
      <c r="B216" t="s">
        <v>818</v>
      </c>
      <c r="C216" s="43" t="s">
        <v>90</v>
      </c>
      <c r="D216" s="43">
        <v>4202029</v>
      </c>
      <c r="E216" t="s">
        <v>83</v>
      </c>
      <c r="F216" s="47" t="str">
        <f>+Centro_Cuenta8[[#This Row],[Codigo Centro Gestion]]&amp;" - "&amp;Centro_Cuenta8[[#This Row],[Nombre Centro Gestion]]</f>
        <v>10178104 - Alto Cavancha-Ventas</v>
      </c>
      <c r="G216" s="47" t="str">
        <f>+Centro_Cuenta8[[#This Row],[Código Cuenta Contable]]&amp;" - "&amp;Centro_Cuenta8[[#This Row],[Nombre de Cuenta Contable]]</f>
        <v>4202029 - Insumos Y Gastos Informáticos</v>
      </c>
      <c r="H216" s="146" t="str">
        <f>+VLOOKUP(D216,'3. Cuentas'!A:F,6,0)</f>
        <v>SI</v>
      </c>
    </row>
    <row r="217" spans="1:8" x14ac:dyDescent="0.25">
      <c r="A217" s="43">
        <v>10178104</v>
      </c>
      <c r="B217" t="s">
        <v>818</v>
      </c>
      <c r="C217" s="43" t="s">
        <v>90</v>
      </c>
      <c r="D217" s="43">
        <v>4204021</v>
      </c>
      <c r="E217" t="s">
        <v>329</v>
      </c>
      <c r="F217" s="47" t="str">
        <f>+Centro_Cuenta8[[#This Row],[Codigo Centro Gestion]]&amp;" - "&amp;Centro_Cuenta8[[#This Row],[Nombre Centro Gestion]]</f>
        <v>10178104 - Alto Cavancha-Ventas</v>
      </c>
      <c r="G217" s="47" t="str">
        <f>+Centro_Cuenta8[[#This Row],[Código Cuenta Contable]]&amp;" - "&amp;Centro_Cuenta8[[#This Row],[Nombre de Cuenta Contable]]</f>
        <v>4204021 - Publicidad Ferias Y Eventos</v>
      </c>
      <c r="H217" s="146" t="str">
        <f>+VLOOKUP(D217,'3. Cuentas'!A:F,6,0)</f>
        <v>SI</v>
      </c>
    </row>
    <row r="218" spans="1:8" x14ac:dyDescent="0.25">
      <c r="A218" s="43">
        <v>10178105</v>
      </c>
      <c r="B218" t="s">
        <v>819</v>
      </c>
      <c r="C218" s="43" t="s">
        <v>1622</v>
      </c>
      <c r="D218" s="43">
        <v>4203020</v>
      </c>
      <c r="E218" t="s">
        <v>295</v>
      </c>
      <c r="F218" s="47" t="str">
        <f>+Centro_Cuenta8[[#This Row],[Codigo Centro Gestion]]&amp;" - "&amp;Centro_Cuenta8[[#This Row],[Nombre Centro Gestion]]</f>
        <v>10178105 - Alto Cavancha-Clientes</v>
      </c>
      <c r="G218" s="47" t="str">
        <f>+Centro_Cuenta8[[#This Row],[Código Cuenta Contable]]&amp;" - "&amp;Centro_Cuenta8[[#This Row],[Nombre de Cuenta Contable]]</f>
        <v>4203020 - Mant. y Consum. Viv Stock</v>
      </c>
      <c r="H218" s="146" t="str">
        <f>+VLOOKUP(D218,'3. Cuentas'!A:F,6,0)</f>
        <v>SI</v>
      </c>
    </row>
    <row r="219" spans="1:8" x14ac:dyDescent="0.25">
      <c r="A219" s="43">
        <v>10178105</v>
      </c>
      <c r="B219" t="s">
        <v>819</v>
      </c>
      <c r="C219" s="43" t="s">
        <v>1622</v>
      </c>
      <c r="D219" s="43">
        <v>4203120</v>
      </c>
      <c r="E219" t="s">
        <v>108</v>
      </c>
      <c r="F219" s="47" t="str">
        <f>+Centro_Cuenta8[[#This Row],[Codigo Centro Gestion]]&amp;" - "&amp;Centro_Cuenta8[[#This Row],[Nombre Centro Gestion]]</f>
        <v>10178105 - Alto Cavancha-Clientes</v>
      </c>
      <c r="G219" s="47" t="str">
        <f>+Centro_Cuenta8[[#This Row],[Código Cuenta Contable]]&amp;" - "&amp;Centro_Cuenta8[[#This Row],[Nombre de Cuenta Contable]]</f>
        <v>4203120 - Gastos Comunes</v>
      </c>
      <c r="H219" s="146" t="str">
        <f>+VLOOKUP(D219,'3. Cuentas'!A:F,6,0)</f>
        <v>SI</v>
      </c>
    </row>
    <row r="220" spans="1:8" x14ac:dyDescent="0.25">
      <c r="A220" s="43">
        <v>10178105</v>
      </c>
      <c r="B220" t="s">
        <v>819</v>
      </c>
      <c r="C220" s="43" t="s">
        <v>1622</v>
      </c>
      <c r="D220" s="43">
        <v>4203140</v>
      </c>
      <c r="E220" t="s">
        <v>109</v>
      </c>
      <c r="F220" s="47" t="str">
        <f>+Centro_Cuenta8[[#This Row],[Codigo Centro Gestion]]&amp;" - "&amp;Centro_Cuenta8[[#This Row],[Nombre Centro Gestion]]</f>
        <v>10178105 - Alto Cavancha-Clientes</v>
      </c>
      <c r="G220" s="47" t="str">
        <f>+Centro_Cuenta8[[#This Row],[Código Cuenta Contable]]&amp;" - "&amp;Centro_Cuenta8[[#This Row],[Nombre de Cuenta Contable]]</f>
        <v>4203140 - Contribuciones</v>
      </c>
      <c r="H220" s="146" t="str">
        <f>+VLOOKUP(D220,'3. Cuentas'!A:F,6,0)</f>
        <v>SI</v>
      </c>
    </row>
    <row r="221" spans="1:8" x14ac:dyDescent="0.25">
      <c r="A221" s="43">
        <v>10178203</v>
      </c>
      <c r="B221" t="s">
        <v>820</v>
      </c>
      <c r="C221" s="43" t="s">
        <v>1624</v>
      </c>
      <c r="D221" s="43">
        <v>1103045</v>
      </c>
      <c r="E221" t="s">
        <v>323</v>
      </c>
      <c r="F221" s="47" t="str">
        <f>+Centro_Cuenta8[[#This Row],[Codigo Centro Gestion]]&amp;" - "&amp;Centro_Cuenta8[[#This Row],[Nombre Centro Gestion]]</f>
        <v>10178203 - Alto Cavancha-Proyecto</v>
      </c>
      <c r="G221" s="47" t="str">
        <f>+Centro_Cuenta8[[#This Row],[Código Cuenta Contable]]&amp;" - "&amp;Centro_Cuenta8[[#This Row],[Nombre de Cuenta Contable]]</f>
        <v>1103045 - Aportes reembolsables (electricidad y agua)</v>
      </c>
      <c r="H221" s="146" t="str">
        <f>+VLOOKUP(D221,'3. Cuentas'!A:F,6,0)</f>
        <v>SI</v>
      </c>
    </row>
    <row r="222" spans="1:8" x14ac:dyDescent="0.25">
      <c r="A222" s="43">
        <v>10178203</v>
      </c>
      <c r="B222" t="s">
        <v>820</v>
      </c>
      <c r="C222" s="43" t="s">
        <v>1624</v>
      </c>
      <c r="D222" s="43">
        <v>1109020</v>
      </c>
      <c r="E222" t="s">
        <v>302</v>
      </c>
      <c r="F222" s="47" t="str">
        <f>+Centro_Cuenta8[[#This Row],[Codigo Centro Gestion]]&amp;" - "&amp;Centro_Cuenta8[[#This Row],[Nombre Centro Gestion]]</f>
        <v>10178203 - Alto Cavancha-Proyecto</v>
      </c>
      <c r="G222" s="47" t="str">
        <f>+Centro_Cuenta8[[#This Row],[Código Cuenta Contable]]&amp;" - "&amp;Centro_Cuenta8[[#This Row],[Nombre de Cuenta Contable]]</f>
        <v>1109020 - Mobiliario</v>
      </c>
      <c r="H222" s="146" t="str">
        <f>+VLOOKUP(D222,'3. Cuentas'!A:F,6,0)</f>
        <v>SI</v>
      </c>
    </row>
    <row r="223" spans="1:8" x14ac:dyDescent="0.25">
      <c r="A223" s="43">
        <v>10178203</v>
      </c>
      <c r="B223" t="s">
        <v>820</v>
      </c>
      <c r="C223" s="43" t="s">
        <v>1624</v>
      </c>
      <c r="D223" s="43">
        <v>1110040</v>
      </c>
      <c r="E223" t="s">
        <v>1505</v>
      </c>
      <c r="F223" s="47" t="str">
        <f>+Centro_Cuenta8[[#This Row],[Codigo Centro Gestion]]&amp;" - "&amp;Centro_Cuenta8[[#This Row],[Nombre Centro Gestion]]</f>
        <v>10178203 - Alto Cavancha-Proyecto</v>
      </c>
      <c r="G223" s="47" t="str">
        <f>+Centro_Cuenta8[[#This Row],[Código Cuenta Contable]]&amp;" - "&amp;Centro_Cuenta8[[#This Row],[Nombre de Cuenta Contable]]</f>
        <v>1110040 - Garantía Pagadas</v>
      </c>
      <c r="H223" s="146" t="str">
        <f>+VLOOKUP(D223,'3. Cuentas'!A:F,6,0)</f>
        <v>SI</v>
      </c>
    </row>
    <row r="224" spans="1:8" x14ac:dyDescent="0.25">
      <c r="A224" s="43">
        <v>10178203</v>
      </c>
      <c r="B224" t="s">
        <v>820</v>
      </c>
      <c r="C224" s="43" t="s">
        <v>1624</v>
      </c>
      <c r="D224" s="43">
        <v>1115040</v>
      </c>
      <c r="E224" t="s">
        <v>291</v>
      </c>
      <c r="F224" s="47" t="str">
        <f>+Centro_Cuenta8[[#This Row],[Codigo Centro Gestion]]&amp;" - "&amp;Centro_Cuenta8[[#This Row],[Nombre Centro Gestion]]</f>
        <v>10178203 - Alto Cavancha-Proyecto</v>
      </c>
      <c r="G224" s="47" t="str">
        <f>+Centro_Cuenta8[[#This Row],[Código Cuenta Contable]]&amp;" - "&amp;Centro_Cuenta8[[#This Row],[Nombre de Cuenta Contable]]</f>
        <v>1115040 - Saneamiento De Terreno</v>
      </c>
      <c r="H224" s="146" t="str">
        <f>+VLOOKUP(D224,'3. Cuentas'!A:F,6,0)</f>
        <v>SI</v>
      </c>
    </row>
    <row r="225" spans="1:8" x14ac:dyDescent="0.25">
      <c r="A225" s="43">
        <v>10178203</v>
      </c>
      <c r="B225" t="s">
        <v>820</v>
      </c>
      <c r="C225" s="43" t="s">
        <v>1624</v>
      </c>
      <c r="D225" s="43">
        <v>1115050</v>
      </c>
      <c r="E225" t="s">
        <v>1628</v>
      </c>
      <c r="F225" s="47" t="str">
        <f>+Centro_Cuenta8[[#This Row],[Codigo Centro Gestion]]&amp;" - "&amp;Centro_Cuenta8[[#This Row],[Nombre Centro Gestion]]</f>
        <v>10178203 - Alto Cavancha-Proyecto</v>
      </c>
      <c r="G225" s="47" t="str">
        <f>+Centro_Cuenta8[[#This Row],[Código Cuenta Contable]]&amp;" - "&amp;Centro_Cuenta8[[#This Row],[Nombre de Cuenta Contable]]</f>
        <v>1115050 - Demolición</v>
      </c>
      <c r="H225" s="146" t="str">
        <f>+VLOOKUP(D225,'3. Cuentas'!A:F,6,0)</f>
        <v>SI</v>
      </c>
    </row>
    <row r="226" spans="1:8" x14ac:dyDescent="0.25">
      <c r="A226" s="43">
        <v>10178203</v>
      </c>
      <c r="B226" t="s">
        <v>820</v>
      </c>
      <c r="C226" s="43" t="s">
        <v>1624</v>
      </c>
      <c r="D226" s="43">
        <v>1115100</v>
      </c>
      <c r="E226" t="s">
        <v>292</v>
      </c>
      <c r="F226" s="47" t="str">
        <f>+Centro_Cuenta8[[#This Row],[Codigo Centro Gestion]]&amp;" - "&amp;Centro_Cuenta8[[#This Row],[Nombre Centro Gestion]]</f>
        <v>10178203 - Alto Cavancha-Proyecto</v>
      </c>
      <c r="G226" s="47" t="str">
        <f>+Centro_Cuenta8[[#This Row],[Código Cuenta Contable]]&amp;" - "&amp;Centro_Cuenta8[[#This Row],[Nombre de Cuenta Contable]]</f>
        <v>1115100 - Proyectos Y Especialidades</v>
      </c>
      <c r="H226" s="146" t="str">
        <f>+VLOOKUP(D226,'3. Cuentas'!A:F,6,0)</f>
        <v>SI</v>
      </c>
    </row>
    <row r="227" spans="1:8" x14ac:dyDescent="0.25">
      <c r="A227" s="43">
        <v>10178203</v>
      </c>
      <c r="B227" t="s">
        <v>820</v>
      </c>
      <c r="C227" s="43" t="s">
        <v>1624</v>
      </c>
      <c r="D227" s="43">
        <v>1115120</v>
      </c>
      <c r="E227" t="s">
        <v>1633</v>
      </c>
      <c r="F227" s="47" t="str">
        <f>+Centro_Cuenta8[[#This Row],[Codigo Centro Gestion]]&amp;" - "&amp;Centro_Cuenta8[[#This Row],[Nombre Centro Gestion]]</f>
        <v>10178203 - Alto Cavancha-Proyecto</v>
      </c>
      <c r="G227" s="47" t="str">
        <f>+Centro_Cuenta8[[#This Row],[Código Cuenta Contable]]&amp;" - "&amp;Centro_Cuenta8[[#This Row],[Nombre de Cuenta Contable]]</f>
        <v>1115120 - Instalación Empalmes</v>
      </c>
      <c r="H227" s="146" t="str">
        <f>+VLOOKUP(D227,'3. Cuentas'!A:F,6,0)</f>
        <v>SI</v>
      </c>
    </row>
    <row r="228" spans="1:8" x14ac:dyDescent="0.25">
      <c r="A228" s="43">
        <v>10178203</v>
      </c>
      <c r="B228" t="s">
        <v>820</v>
      </c>
      <c r="C228" s="43" t="s">
        <v>1624</v>
      </c>
      <c r="D228" s="43">
        <v>1115170</v>
      </c>
      <c r="E228" t="s">
        <v>293</v>
      </c>
      <c r="F228" s="47" t="str">
        <f>+Centro_Cuenta8[[#This Row],[Codigo Centro Gestion]]&amp;" - "&amp;Centro_Cuenta8[[#This Row],[Nombre Centro Gestion]]</f>
        <v>10178203 - Alto Cavancha-Proyecto</v>
      </c>
      <c r="G228" s="47" t="str">
        <f>+Centro_Cuenta8[[#This Row],[Código Cuenta Contable]]&amp;" - "&amp;Centro_Cuenta8[[#This Row],[Nombre de Cuenta Contable]]</f>
        <v>1115170 - Permisos Y Otros Gastos Municipales</v>
      </c>
      <c r="H228" s="146" t="str">
        <f>+VLOOKUP(D228,'3. Cuentas'!A:F,6,0)</f>
        <v>SI</v>
      </c>
    </row>
    <row r="229" spans="1:8" x14ac:dyDescent="0.25">
      <c r="A229" s="43">
        <v>10178203</v>
      </c>
      <c r="B229" t="s">
        <v>820</v>
      </c>
      <c r="C229" s="43" t="s">
        <v>1624</v>
      </c>
      <c r="D229" s="43">
        <v>1115240</v>
      </c>
      <c r="E229" t="s">
        <v>294</v>
      </c>
      <c r="F229" s="47" t="str">
        <f>+Centro_Cuenta8[[#This Row],[Codigo Centro Gestion]]&amp;" - "&amp;Centro_Cuenta8[[#This Row],[Nombre Centro Gestion]]</f>
        <v>10178203 - Alto Cavancha-Proyecto</v>
      </c>
      <c r="G229" s="47" t="str">
        <f>+Centro_Cuenta8[[#This Row],[Código Cuenta Contable]]&amp;" - "&amp;Centro_Cuenta8[[#This Row],[Nombre de Cuenta Contable]]</f>
        <v>1115240 - Estudios Y Asesorias Técnicas</v>
      </c>
      <c r="H229" s="146" t="str">
        <f>+VLOOKUP(D229,'3. Cuentas'!A:F,6,0)</f>
        <v>SI</v>
      </c>
    </row>
    <row r="230" spans="1:8" x14ac:dyDescent="0.25">
      <c r="A230" s="43">
        <v>10178203</v>
      </c>
      <c r="B230" t="s">
        <v>820</v>
      </c>
      <c r="C230" s="43" t="s">
        <v>1624</v>
      </c>
      <c r="D230" s="43">
        <v>4203090</v>
      </c>
      <c r="E230" t="s">
        <v>192</v>
      </c>
      <c r="F230" s="47" t="str">
        <f>+Centro_Cuenta8[[#This Row],[Codigo Centro Gestion]]&amp;" - "&amp;Centro_Cuenta8[[#This Row],[Nombre Centro Gestion]]</f>
        <v>10178203 - Alto Cavancha-Proyecto</v>
      </c>
      <c r="G230" s="47" t="str">
        <f>+Centro_Cuenta8[[#This Row],[Código Cuenta Contable]]&amp;" - "&amp;Centro_Cuenta8[[#This Row],[Nombre de Cuenta Contable]]</f>
        <v>4203090 - Gastos Legales Y Notariales Proyecto</v>
      </c>
      <c r="H230" s="146" t="str">
        <f>+VLOOKUP(D230,'3. Cuentas'!A:F,6,0)</f>
        <v>SI</v>
      </c>
    </row>
    <row r="231" spans="1:8" x14ac:dyDescent="0.25">
      <c r="A231" s="43">
        <v>10178203</v>
      </c>
      <c r="B231" t="s">
        <v>820</v>
      </c>
      <c r="C231" s="43" t="s">
        <v>1624</v>
      </c>
      <c r="D231" s="43">
        <v>4203140</v>
      </c>
      <c r="E231" t="s">
        <v>109</v>
      </c>
      <c r="F231" s="47" t="str">
        <f>+Centro_Cuenta8[[#This Row],[Codigo Centro Gestion]]&amp;" - "&amp;Centro_Cuenta8[[#This Row],[Nombre Centro Gestion]]</f>
        <v>10178203 - Alto Cavancha-Proyecto</v>
      </c>
      <c r="G231" s="47" t="str">
        <f>+Centro_Cuenta8[[#This Row],[Código Cuenta Contable]]&amp;" - "&amp;Centro_Cuenta8[[#This Row],[Nombre de Cuenta Contable]]</f>
        <v>4203140 - Contribuciones</v>
      </c>
      <c r="H231" s="146" t="str">
        <f>+VLOOKUP(D231,'3. Cuentas'!A:F,6,0)</f>
        <v>SI</v>
      </c>
    </row>
    <row r="232" spans="1:8" x14ac:dyDescent="0.25">
      <c r="A232" s="43">
        <v>10178203</v>
      </c>
      <c r="B232" t="s">
        <v>820</v>
      </c>
      <c r="C232" s="43" t="s">
        <v>1624</v>
      </c>
      <c r="D232" s="43">
        <v>4203150</v>
      </c>
      <c r="E232" t="s">
        <v>156</v>
      </c>
      <c r="F232" s="47" t="str">
        <f>+Centro_Cuenta8[[#This Row],[Codigo Centro Gestion]]&amp;" - "&amp;Centro_Cuenta8[[#This Row],[Nombre Centro Gestion]]</f>
        <v>10178203 - Alto Cavancha-Proyecto</v>
      </c>
      <c r="G232" s="47" t="str">
        <f>+Centro_Cuenta8[[#This Row],[Código Cuenta Contable]]&amp;" - "&amp;Centro_Cuenta8[[#This Row],[Nombre de Cuenta Contable]]</f>
        <v>4203150 - Gastos CBR</v>
      </c>
      <c r="H232" s="146" t="str">
        <f>+VLOOKUP(D232,'3. Cuentas'!A:F,6,0)</f>
        <v>SI</v>
      </c>
    </row>
    <row r="233" spans="1:8" x14ac:dyDescent="0.25">
      <c r="A233" s="43">
        <v>10178203</v>
      </c>
      <c r="B233" t="s">
        <v>820</v>
      </c>
      <c r="C233" s="43" t="s">
        <v>1624</v>
      </c>
      <c r="D233" s="43">
        <v>4203160</v>
      </c>
      <c r="E233" t="s">
        <v>1639</v>
      </c>
      <c r="F233" s="47" t="str">
        <f>+Centro_Cuenta8[[#This Row],[Codigo Centro Gestion]]&amp;" - "&amp;Centro_Cuenta8[[#This Row],[Nombre Centro Gestion]]</f>
        <v>10178203 - Alto Cavancha-Proyecto</v>
      </c>
      <c r="G233" s="47" t="str">
        <f>+Centro_Cuenta8[[#This Row],[Código Cuenta Contable]]&amp;" - "&amp;Centro_Cuenta8[[#This Row],[Nombre de Cuenta Contable]]</f>
        <v>4203160 - PAPELERIA Y FOTOCOPIADO</v>
      </c>
      <c r="H233" s="146" t="str">
        <f>+VLOOKUP(D233,'3. Cuentas'!A:F,6,0)</f>
        <v>SI</v>
      </c>
    </row>
    <row r="234" spans="1:8" x14ac:dyDescent="0.25">
      <c r="A234" s="43">
        <v>10178203</v>
      </c>
      <c r="B234" t="s">
        <v>820</v>
      </c>
      <c r="C234" s="43" t="s">
        <v>1624</v>
      </c>
      <c r="D234" s="43">
        <v>4203180</v>
      </c>
      <c r="E234" t="s">
        <v>1640</v>
      </c>
      <c r="F234" s="47" t="str">
        <f>+Centro_Cuenta8[[#This Row],[Codigo Centro Gestion]]&amp;" - "&amp;Centro_Cuenta8[[#This Row],[Nombre Centro Gestion]]</f>
        <v>10178203 - Alto Cavancha-Proyecto</v>
      </c>
      <c r="G234" s="47" t="str">
        <f>+Centro_Cuenta8[[#This Row],[Código Cuenta Contable]]&amp;" - "&amp;Centro_Cuenta8[[#This Row],[Nombre de Cuenta Contable]]</f>
        <v>4203180 - Otros Gastos y Aseso Proy</v>
      </c>
      <c r="H234" s="146" t="str">
        <f>+VLOOKUP(D234,'3. Cuentas'!A:F,6,0)</f>
        <v>SI</v>
      </c>
    </row>
    <row r="235" spans="1:8" x14ac:dyDescent="0.25">
      <c r="A235" s="43">
        <v>10178301</v>
      </c>
      <c r="B235" t="s">
        <v>821</v>
      </c>
      <c r="C235" s="43" t="s">
        <v>1643</v>
      </c>
      <c r="D235" s="43">
        <v>4203090</v>
      </c>
      <c r="E235" t="s">
        <v>192</v>
      </c>
      <c r="F235" s="47" t="str">
        <f>+Centro_Cuenta8[[#This Row],[Codigo Centro Gestion]]&amp;" - "&amp;Centro_Cuenta8[[#This Row],[Nombre Centro Gestion]]</f>
        <v>10178301 - Alto Cavancha-GAF</v>
      </c>
      <c r="G235" s="47" t="str">
        <f>+Centro_Cuenta8[[#This Row],[Código Cuenta Contable]]&amp;" - "&amp;Centro_Cuenta8[[#This Row],[Nombre de Cuenta Contable]]</f>
        <v>4203090 - Gastos Legales Y Notariales Proyecto</v>
      </c>
      <c r="H235" s="146" t="str">
        <f>+VLOOKUP(D235,'3. Cuentas'!A:F,6,0)</f>
        <v>SI</v>
      </c>
    </row>
    <row r="236" spans="1:8" x14ac:dyDescent="0.25">
      <c r="A236" s="43">
        <v>10178301</v>
      </c>
      <c r="B236" t="s">
        <v>821</v>
      </c>
      <c r="C236" s="43" t="s">
        <v>1643</v>
      </c>
      <c r="D236" s="43">
        <v>4203140</v>
      </c>
      <c r="E236" t="s">
        <v>109</v>
      </c>
      <c r="F236" s="47" t="str">
        <f>+Centro_Cuenta8[[#This Row],[Codigo Centro Gestion]]&amp;" - "&amp;Centro_Cuenta8[[#This Row],[Nombre Centro Gestion]]</f>
        <v>10178301 - Alto Cavancha-GAF</v>
      </c>
      <c r="G236" s="47" t="str">
        <f>+Centro_Cuenta8[[#This Row],[Código Cuenta Contable]]&amp;" - "&amp;Centro_Cuenta8[[#This Row],[Nombre de Cuenta Contable]]</f>
        <v>4203140 - Contribuciones</v>
      </c>
      <c r="H236" s="146" t="str">
        <f>+VLOOKUP(D236,'3. Cuentas'!A:F,6,0)</f>
        <v>SI</v>
      </c>
    </row>
    <row r="237" spans="1:8" x14ac:dyDescent="0.25">
      <c r="A237" s="43">
        <v>10178506</v>
      </c>
      <c r="B237" t="s">
        <v>823</v>
      </c>
      <c r="C237" s="43" t="s">
        <v>200</v>
      </c>
      <c r="D237" s="43">
        <v>1115100</v>
      </c>
      <c r="E237" t="s">
        <v>292</v>
      </c>
      <c r="F237" s="47" t="str">
        <f>+Centro_Cuenta8[[#This Row],[Codigo Centro Gestion]]&amp;" - "&amp;Centro_Cuenta8[[#This Row],[Nombre Centro Gestion]]</f>
        <v>10178506 - Alto Cavancha-Depto.Técnico</v>
      </c>
      <c r="G237" s="47" t="str">
        <f>+Centro_Cuenta8[[#This Row],[Código Cuenta Contable]]&amp;" - "&amp;Centro_Cuenta8[[#This Row],[Nombre de Cuenta Contable]]</f>
        <v>1115100 - Proyectos Y Especialidades</v>
      </c>
      <c r="H237" s="146" t="str">
        <f>+VLOOKUP(D237,'3. Cuentas'!A:F,6,0)</f>
        <v>SI</v>
      </c>
    </row>
    <row r="238" spans="1:8" x14ac:dyDescent="0.25">
      <c r="A238" s="43">
        <v>10187102</v>
      </c>
      <c r="B238" t="s">
        <v>825</v>
      </c>
      <c r="C238" s="43" t="s">
        <v>1617</v>
      </c>
      <c r="D238" s="43">
        <v>4204010</v>
      </c>
      <c r="E238" t="s">
        <v>313</v>
      </c>
      <c r="F238" s="47" t="str">
        <f>+Centro_Cuenta8[[#This Row],[Codigo Centro Gestion]]&amp;" - "&amp;Centro_Cuenta8[[#This Row],[Nombre Centro Gestion]]</f>
        <v>10187102 - Edificio Parque Quinta-Marketing</v>
      </c>
      <c r="G238" s="47" t="str">
        <f>+Centro_Cuenta8[[#This Row],[Código Cuenta Contable]]&amp;" - "&amp;Centro_Cuenta8[[#This Row],[Nombre de Cuenta Contable]]</f>
        <v>4204010 - Publicidad Punto Venta</v>
      </c>
      <c r="H238" s="146" t="str">
        <f>+VLOOKUP(D238,'3. Cuentas'!A:F,6,0)</f>
        <v>SI</v>
      </c>
    </row>
    <row r="239" spans="1:8" x14ac:dyDescent="0.25">
      <c r="A239" s="43">
        <v>10187102</v>
      </c>
      <c r="B239" t="s">
        <v>825</v>
      </c>
      <c r="C239" s="43" t="s">
        <v>1617</v>
      </c>
      <c r="D239" s="43">
        <v>4204021</v>
      </c>
      <c r="E239" t="s">
        <v>329</v>
      </c>
      <c r="F239" s="47" t="str">
        <f>+Centro_Cuenta8[[#This Row],[Codigo Centro Gestion]]&amp;" - "&amp;Centro_Cuenta8[[#This Row],[Nombre Centro Gestion]]</f>
        <v>10187102 - Edificio Parque Quinta-Marketing</v>
      </c>
      <c r="G239" s="47" t="str">
        <f>+Centro_Cuenta8[[#This Row],[Código Cuenta Contable]]&amp;" - "&amp;Centro_Cuenta8[[#This Row],[Nombre de Cuenta Contable]]</f>
        <v>4204021 - Publicidad Ferias Y Eventos</v>
      </c>
      <c r="H239" s="146" t="str">
        <f>+VLOOKUP(D239,'3. Cuentas'!A:F,6,0)</f>
        <v>SI</v>
      </c>
    </row>
    <row r="240" spans="1:8" x14ac:dyDescent="0.25">
      <c r="A240" s="43">
        <v>10187103</v>
      </c>
      <c r="B240" t="s">
        <v>826</v>
      </c>
      <c r="C240" s="43" t="s">
        <v>1618</v>
      </c>
      <c r="D240" s="43">
        <v>4203060</v>
      </c>
      <c r="E240" t="s">
        <v>321</v>
      </c>
      <c r="F240" s="47" t="str">
        <f>+Centro_Cuenta8[[#This Row],[Codigo Centro Gestion]]&amp;" - "&amp;Centro_Cuenta8[[#This Row],[Nombre Centro Gestion]]</f>
        <v>10187103 - Edificio Parque Quinta-Operaciones</v>
      </c>
      <c r="G240" s="47" t="str">
        <f>+Centro_Cuenta8[[#This Row],[Código Cuenta Contable]]&amp;" - "&amp;Centro_Cuenta8[[#This Row],[Nombre de Cuenta Contable]]</f>
        <v>4203060 - Gastos Operacionales De Clientes</v>
      </c>
      <c r="H240" s="146" t="str">
        <f>+VLOOKUP(D240,'3. Cuentas'!A:F,6,0)</f>
        <v>SI</v>
      </c>
    </row>
    <row r="241" spans="1:8" x14ac:dyDescent="0.25">
      <c r="A241" s="43">
        <v>10187103</v>
      </c>
      <c r="B241" t="s">
        <v>826</v>
      </c>
      <c r="C241" s="43" t="s">
        <v>1618</v>
      </c>
      <c r="D241" s="43">
        <v>4203090</v>
      </c>
      <c r="E241" t="s">
        <v>192</v>
      </c>
      <c r="F241" s="47" t="str">
        <f>+Centro_Cuenta8[[#This Row],[Codigo Centro Gestion]]&amp;" - "&amp;Centro_Cuenta8[[#This Row],[Nombre Centro Gestion]]</f>
        <v>10187103 - Edificio Parque Quinta-Operaciones</v>
      </c>
      <c r="G241" s="47" t="str">
        <f>+Centro_Cuenta8[[#This Row],[Código Cuenta Contable]]&amp;" - "&amp;Centro_Cuenta8[[#This Row],[Nombre de Cuenta Contable]]</f>
        <v>4203090 - Gastos Legales Y Notariales Proyecto</v>
      </c>
      <c r="H241" s="146" t="str">
        <f>+VLOOKUP(D241,'3. Cuentas'!A:F,6,0)</f>
        <v>SI</v>
      </c>
    </row>
    <row r="242" spans="1:8" x14ac:dyDescent="0.25">
      <c r="A242" s="43">
        <v>10187104</v>
      </c>
      <c r="B242" t="s">
        <v>827</v>
      </c>
      <c r="C242" s="43" t="s">
        <v>90</v>
      </c>
      <c r="D242" s="43">
        <v>1110040</v>
      </c>
      <c r="E242" t="s">
        <v>1505</v>
      </c>
      <c r="F242" s="47" t="str">
        <f>+Centro_Cuenta8[[#This Row],[Codigo Centro Gestion]]&amp;" - "&amp;Centro_Cuenta8[[#This Row],[Nombre Centro Gestion]]</f>
        <v>10187104 - Edificio Parque Quinta-Ventas</v>
      </c>
      <c r="G242" s="47" t="str">
        <f>+Centro_Cuenta8[[#This Row],[Código Cuenta Contable]]&amp;" - "&amp;Centro_Cuenta8[[#This Row],[Nombre de Cuenta Contable]]</f>
        <v>1110040 - Garantía Pagadas</v>
      </c>
      <c r="H242" s="146" t="str">
        <f>+VLOOKUP(D242,'3. Cuentas'!A:F,6,0)</f>
        <v>SI</v>
      </c>
    </row>
    <row r="243" spans="1:8" x14ac:dyDescent="0.25">
      <c r="A243" s="43">
        <v>10187104</v>
      </c>
      <c r="B243" t="s">
        <v>827</v>
      </c>
      <c r="C243" s="43" t="s">
        <v>90</v>
      </c>
      <c r="D243" s="43">
        <v>4202003</v>
      </c>
      <c r="E243" t="s">
        <v>106</v>
      </c>
      <c r="F243" s="47" t="str">
        <f>+Centro_Cuenta8[[#This Row],[Codigo Centro Gestion]]&amp;" - "&amp;Centro_Cuenta8[[#This Row],[Nombre Centro Gestion]]</f>
        <v>10187104 - Edificio Parque Quinta-Ventas</v>
      </c>
      <c r="G243" s="47" t="str">
        <f>+Centro_Cuenta8[[#This Row],[Código Cuenta Contable]]&amp;" - "&amp;Centro_Cuenta8[[#This Row],[Nombre de Cuenta Contable]]</f>
        <v>4202003 - Serv.Basic.Luz.Agua.Tel Of.C</v>
      </c>
      <c r="H243" s="146" t="str">
        <f>+VLOOKUP(D243,'3. Cuentas'!A:F,6,0)</f>
        <v>SI</v>
      </c>
    </row>
    <row r="244" spans="1:8" x14ac:dyDescent="0.25">
      <c r="A244" s="43">
        <v>10187104</v>
      </c>
      <c r="B244" t="s">
        <v>827</v>
      </c>
      <c r="C244" s="43" t="s">
        <v>90</v>
      </c>
      <c r="D244" s="43">
        <v>4202010</v>
      </c>
      <c r="E244" t="s">
        <v>87</v>
      </c>
      <c r="F244" s="47" t="str">
        <f>+Centro_Cuenta8[[#This Row],[Codigo Centro Gestion]]&amp;" - "&amp;Centro_Cuenta8[[#This Row],[Nombre Centro Gestion]]</f>
        <v>10187104 - Edificio Parque Quinta-Ventas</v>
      </c>
      <c r="G244" s="47" t="str">
        <f>+Centro_Cuenta8[[#This Row],[Código Cuenta Contable]]&amp;" - "&amp;Centro_Cuenta8[[#This Row],[Nombre de Cuenta Contable]]</f>
        <v>4202010 - Artic. Ofic. Fotocop.Papelería</v>
      </c>
      <c r="H244" s="146" t="str">
        <f>+VLOOKUP(D244,'3. Cuentas'!A:F,6,0)</f>
        <v>SI</v>
      </c>
    </row>
    <row r="245" spans="1:8" x14ac:dyDescent="0.25">
      <c r="A245" s="43">
        <v>10187104</v>
      </c>
      <c r="B245" t="s">
        <v>827</v>
      </c>
      <c r="C245" s="43" t="s">
        <v>90</v>
      </c>
      <c r="D245" s="43">
        <v>4202019</v>
      </c>
      <c r="E245" t="s">
        <v>81</v>
      </c>
      <c r="F245" s="47" t="str">
        <f>+Centro_Cuenta8[[#This Row],[Codigo Centro Gestion]]&amp;" - "&amp;Centro_Cuenta8[[#This Row],[Nombre Centro Gestion]]</f>
        <v>10187104 - Edificio Parque Quinta-Ventas</v>
      </c>
      <c r="G245" s="47" t="str">
        <f>+Centro_Cuenta8[[#This Row],[Código Cuenta Contable]]&amp;" - "&amp;Centro_Cuenta8[[#This Row],[Nombre de Cuenta Contable]]</f>
        <v>4202019 - Gasto General Oficina</v>
      </c>
      <c r="H245" s="146" t="str">
        <f>+VLOOKUP(D245,'3. Cuentas'!A:F,6,0)</f>
        <v>SI</v>
      </c>
    </row>
    <row r="246" spans="1:8" x14ac:dyDescent="0.25">
      <c r="A246" s="43">
        <v>10187104</v>
      </c>
      <c r="B246" t="s">
        <v>827</v>
      </c>
      <c r="C246" s="43" t="s">
        <v>90</v>
      </c>
      <c r="D246" s="43">
        <v>4202023</v>
      </c>
      <c r="E246" t="s">
        <v>82</v>
      </c>
      <c r="F246" s="47" t="str">
        <f>+Centro_Cuenta8[[#This Row],[Codigo Centro Gestion]]&amp;" - "&amp;Centro_Cuenta8[[#This Row],[Nombre Centro Gestion]]</f>
        <v>10187104 - Edificio Parque Quinta-Ventas</v>
      </c>
      <c r="G246" s="47" t="str">
        <f>+Centro_Cuenta8[[#This Row],[Código Cuenta Contable]]&amp;" - "&amp;Centro_Cuenta8[[#This Row],[Nombre de Cuenta Contable]]</f>
        <v>4202023 - Honorarios Por Asesorías</v>
      </c>
      <c r="H246" s="146" t="str">
        <f>+VLOOKUP(D246,'3. Cuentas'!A:F,6,0)</f>
        <v>SI</v>
      </c>
    </row>
    <row r="247" spans="1:8" x14ac:dyDescent="0.25">
      <c r="A247" s="43">
        <v>10187104</v>
      </c>
      <c r="B247" t="s">
        <v>827</v>
      </c>
      <c r="C247" s="43" t="s">
        <v>90</v>
      </c>
      <c r="D247" s="43">
        <v>4202029</v>
      </c>
      <c r="E247" t="s">
        <v>83</v>
      </c>
      <c r="F247" s="47" t="str">
        <f>+Centro_Cuenta8[[#This Row],[Codigo Centro Gestion]]&amp;" - "&amp;Centro_Cuenta8[[#This Row],[Nombre Centro Gestion]]</f>
        <v>10187104 - Edificio Parque Quinta-Ventas</v>
      </c>
      <c r="G247" s="47" t="str">
        <f>+Centro_Cuenta8[[#This Row],[Código Cuenta Contable]]&amp;" - "&amp;Centro_Cuenta8[[#This Row],[Nombre de Cuenta Contable]]</f>
        <v>4202029 - Insumos Y Gastos Informáticos</v>
      </c>
      <c r="H247" s="146" t="str">
        <f>+VLOOKUP(D247,'3. Cuentas'!A:F,6,0)</f>
        <v>SI</v>
      </c>
    </row>
    <row r="248" spans="1:8" x14ac:dyDescent="0.25">
      <c r="A248" s="43">
        <v>10187104</v>
      </c>
      <c r="B248" t="s">
        <v>827</v>
      </c>
      <c r="C248" s="43" t="s">
        <v>90</v>
      </c>
      <c r="D248" s="43">
        <v>4204021</v>
      </c>
      <c r="E248" t="s">
        <v>329</v>
      </c>
      <c r="F248" s="47" t="str">
        <f>+Centro_Cuenta8[[#This Row],[Codigo Centro Gestion]]&amp;" - "&amp;Centro_Cuenta8[[#This Row],[Nombre Centro Gestion]]</f>
        <v>10187104 - Edificio Parque Quinta-Ventas</v>
      </c>
      <c r="G248" s="47" t="str">
        <f>+Centro_Cuenta8[[#This Row],[Código Cuenta Contable]]&amp;" - "&amp;Centro_Cuenta8[[#This Row],[Nombre de Cuenta Contable]]</f>
        <v>4204021 - Publicidad Ferias Y Eventos</v>
      </c>
      <c r="H248" s="146" t="str">
        <f>+VLOOKUP(D248,'3. Cuentas'!A:F,6,0)</f>
        <v>SI</v>
      </c>
    </row>
    <row r="249" spans="1:8" x14ac:dyDescent="0.25">
      <c r="A249" s="43">
        <v>10187105</v>
      </c>
      <c r="B249" t="s">
        <v>828</v>
      </c>
      <c r="C249" s="43" t="s">
        <v>1622</v>
      </c>
      <c r="D249" s="43">
        <v>4203020</v>
      </c>
      <c r="E249" t="s">
        <v>295</v>
      </c>
      <c r="F249" s="47" t="str">
        <f>+Centro_Cuenta8[[#This Row],[Codigo Centro Gestion]]&amp;" - "&amp;Centro_Cuenta8[[#This Row],[Nombre Centro Gestion]]</f>
        <v>10187105 - Edificio Parque Quinta-Clientes</v>
      </c>
      <c r="G249" s="47" t="str">
        <f>+Centro_Cuenta8[[#This Row],[Código Cuenta Contable]]&amp;" - "&amp;Centro_Cuenta8[[#This Row],[Nombre de Cuenta Contable]]</f>
        <v>4203020 - Mant. y Consum. Viv Stock</v>
      </c>
      <c r="H249" s="146" t="str">
        <f>+VLOOKUP(D249,'3. Cuentas'!A:F,6,0)</f>
        <v>SI</v>
      </c>
    </row>
    <row r="250" spans="1:8" x14ac:dyDescent="0.25">
      <c r="A250" s="43">
        <v>10187105</v>
      </c>
      <c r="B250" t="s">
        <v>828</v>
      </c>
      <c r="C250" s="43" t="s">
        <v>1622</v>
      </c>
      <c r="D250" s="43">
        <v>4203120</v>
      </c>
      <c r="E250" t="s">
        <v>108</v>
      </c>
      <c r="F250" s="47" t="str">
        <f>+Centro_Cuenta8[[#This Row],[Codigo Centro Gestion]]&amp;" - "&amp;Centro_Cuenta8[[#This Row],[Nombre Centro Gestion]]</f>
        <v>10187105 - Edificio Parque Quinta-Clientes</v>
      </c>
      <c r="G250" s="47" t="str">
        <f>+Centro_Cuenta8[[#This Row],[Código Cuenta Contable]]&amp;" - "&amp;Centro_Cuenta8[[#This Row],[Nombre de Cuenta Contable]]</f>
        <v>4203120 - Gastos Comunes</v>
      </c>
      <c r="H250" s="146" t="str">
        <f>+VLOOKUP(D250,'3. Cuentas'!A:F,6,0)</f>
        <v>SI</v>
      </c>
    </row>
    <row r="251" spans="1:8" x14ac:dyDescent="0.25">
      <c r="A251" s="43">
        <v>10187105</v>
      </c>
      <c r="B251" t="s">
        <v>828</v>
      </c>
      <c r="C251" s="43" t="s">
        <v>1622</v>
      </c>
      <c r="D251" s="43">
        <v>4203140</v>
      </c>
      <c r="E251" t="s">
        <v>109</v>
      </c>
      <c r="F251" s="47" t="str">
        <f>+Centro_Cuenta8[[#This Row],[Codigo Centro Gestion]]&amp;" - "&amp;Centro_Cuenta8[[#This Row],[Nombre Centro Gestion]]</f>
        <v>10187105 - Edificio Parque Quinta-Clientes</v>
      </c>
      <c r="G251" s="47" t="str">
        <f>+Centro_Cuenta8[[#This Row],[Código Cuenta Contable]]&amp;" - "&amp;Centro_Cuenta8[[#This Row],[Nombre de Cuenta Contable]]</f>
        <v>4203140 - Contribuciones</v>
      </c>
      <c r="H251" s="146" t="str">
        <f>+VLOOKUP(D251,'3. Cuentas'!A:F,6,0)</f>
        <v>SI</v>
      </c>
    </row>
    <row r="252" spans="1:8" x14ac:dyDescent="0.25">
      <c r="A252" s="43">
        <v>10187204</v>
      </c>
      <c r="B252" t="s">
        <v>829</v>
      </c>
      <c r="C252" s="43" t="s">
        <v>1624</v>
      </c>
      <c r="D252" s="43">
        <v>1103045</v>
      </c>
      <c r="E252" t="s">
        <v>323</v>
      </c>
      <c r="F252" s="47" t="str">
        <f>+Centro_Cuenta8[[#This Row],[Codigo Centro Gestion]]&amp;" - "&amp;Centro_Cuenta8[[#This Row],[Nombre Centro Gestion]]</f>
        <v>10187204 - Edificio Parque Quinta-Proyecto</v>
      </c>
      <c r="G252" s="47" t="str">
        <f>+Centro_Cuenta8[[#This Row],[Código Cuenta Contable]]&amp;" - "&amp;Centro_Cuenta8[[#This Row],[Nombre de Cuenta Contable]]</f>
        <v>1103045 - Aportes reembolsables (electricidad y agua)</v>
      </c>
      <c r="H252" s="146" t="str">
        <f>+VLOOKUP(D252,'3. Cuentas'!A:F,6,0)</f>
        <v>SI</v>
      </c>
    </row>
    <row r="253" spans="1:8" x14ac:dyDescent="0.25">
      <c r="A253" s="43">
        <v>10187204</v>
      </c>
      <c r="B253" t="s">
        <v>829</v>
      </c>
      <c r="C253" s="43" t="s">
        <v>1624</v>
      </c>
      <c r="D253" s="43">
        <v>1109020</v>
      </c>
      <c r="E253" t="s">
        <v>302</v>
      </c>
      <c r="F253" s="47" t="str">
        <f>+Centro_Cuenta8[[#This Row],[Codigo Centro Gestion]]&amp;" - "&amp;Centro_Cuenta8[[#This Row],[Nombre Centro Gestion]]</f>
        <v>10187204 - Edificio Parque Quinta-Proyecto</v>
      </c>
      <c r="G253" s="47" t="str">
        <f>+Centro_Cuenta8[[#This Row],[Código Cuenta Contable]]&amp;" - "&amp;Centro_Cuenta8[[#This Row],[Nombre de Cuenta Contable]]</f>
        <v>1109020 - Mobiliario</v>
      </c>
      <c r="H253" s="146" t="str">
        <f>+VLOOKUP(D253,'3. Cuentas'!A:F,6,0)</f>
        <v>SI</v>
      </c>
    </row>
    <row r="254" spans="1:8" x14ac:dyDescent="0.25">
      <c r="A254" s="43">
        <v>10187204</v>
      </c>
      <c r="B254" t="s">
        <v>829</v>
      </c>
      <c r="C254" s="43" t="s">
        <v>1624</v>
      </c>
      <c r="D254" s="43">
        <v>1110040</v>
      </c>
      <c r="E254" t="s">
        <v>1505</v>
      </c>
      <c r="F254" s="47" t="str">
        <f>+Centro_Cuenta8[[#This Row],[Codigo Centro Gestion]]&amp;" - "&amp;Centro_Cuenta8[[#This Row],[Nombre Centro Gestion]]</f>
        <v>10187204 - Edificio Parque Quinta-Proyecto</v>
      </c>
      <c r="G254" s="47" t="str">
        <f>+Centro_Cuenta8[[#This Row],[Código Cuenta Contable]]&amp;" - "&amp;Centro_Cuenta8[[#This Row],[Nombre de Cuenta Contable]]</f>
        <v>1110040 - Garantía Pagadas</v>
      </c>
      <c r="H254" s="146" t="str">
        <f>+VLOOKUP(D254,'3. Cuentas'!A:F,6,0)</f>
        <v>SI</v>
      </c>
    </row>
    <row r="255" spans="1:8" x14ac:dyDescent="0.25">
      <c r="A255" s="43">
        <v>10187204</v>
      </c>
      <c r="B255" t="s">
        <v>829</v>
      </c>
      <c r="C255" s="43" t="s">
        <v>1624</v>
      </c>
      <c r="D255" s="43">
        <v>1115040</v>
      </c>
      <c r="E255" t="s">
        <v>291</v>
      </c>
      <c r="F255" s="47" t="str">
        <f>+Centro_Cuenta8[[#This Row],[Codigo Centro Gestion]]&amp;" - "&amp;Centro_Cuenta8[[#This Row],[Nombre Centro Gestion]]</f>
        <v>10187204 - Edificio Parque Quinta-Proyecto</v>
      </c>
      <c r="G255" s="47" t="str">
        <f>+Centro_Cuenta8[[#This Row],[Código Cuenta Contable]]&amp;" - "&amp;Centro_Cuenta8[[#This Row],[Nombre de Cuenta Contable]]</f>
        <v>1115040 - Saneamiento De Terreno</v>
      </c>
      <c r="H255" s="146" t="str">
        <f>+VLOOKUP(D255,'3. Cuentas'!A:F,6,0)</f>
        <v>SI</v>
      </c>
    </row>
    <row r="256" spans="1:8" x14ac:dyDescent="0.25">
      <c r="A256" s="43">
        <v>10187204</v>
      </c>
      <c r="B256" t="s">
        <v>829</v>
      </c>
      <c r="C256" s="43" t="s">
        <v>1624</v>
      </c>
      <c r="D256" s="43">
        <v>1115050</v>
      </c>
      <c r="E256" t="s">
        <v>1628</v>
      </c>
      <c r="F256" s="47" t="str">
        <f>+Centro_Cuenta8[[#This Row],[Codigo Centro Gestion]]&amp;" - "&amp;Centro_Cuenta8[[#This Row],[Nombre Centro Gestion]]</f>
        <v>10187204 - Edificio Parque Quinta-Proyecto</v>
      </c>
      <c r="G256" s="47" t="str">
        <f>+Centro_Cuenta8[[#This Row],[Código Cuenta Contable]]&amp;" - "&amp;Centro_Cuenta8[[#This Row],[Nombre de Cuenta Contable]]</f>
        <v>1115050 - Demolición</v>
      </c>
      <c r="H256" s="146" t="str">
        <f>+VLOOKUP(D256,'3. Cuentas'!A:F,6,0)</f>
        <v>SI</v>
      </c>
    </row>
    <row r="257" spans="1:8" x14ac:dyDescent="0.25">
      <c r="A257" s="43">
        <v>10187204</v>
      </c>
      <c r="B257" t="s">
        <v>829</v>
      </c>
      <c r="C257" s="43" t="s">
        <v>1624</v>
      </c>
      <c r="D257" s="43">
        <v>1115100</v>
      </c>
      <c r="E257" t="s">
        <v>292</v>
      </c>
      <c r="F257" s="47" t="str">
        <f>+Centro_Cuenta8[[#This Row],[Codigo Centro Gestion]]&amp;" - "&amp;Centro_Cuenta8[[#This Row],[Nombre Centro Gestion]]</f>
        <v>10187204 - Edificio Parque Quinta-Proyecto</v>
      </c>
      <c r="G257" s="47" t="str">
        <f>+Centro_Cuenta8[[#This Row],[Código Cuenta Contable]]&amp;" - "&amp;Centro_Cuenta8[[#This Row],[Nombre de Cuenta Contable]]</f>
        <v>1115100 - Proyectos Y Especialidades</v>
      </c>
      <c r="H257" s="146" t="str">
        <f>+VLOOKUP(D257,'3. Cuentas'!A:F,6,0)</f>
        <v>SI</v>
      </c>
    </row>
    <row r="258" spans="1:8" x14ac:dyDescent="0.25">
      <c r="A258" s="43">
        <v>10187204</v>
      </c>
      <c r="B258" t="s">
        <v>829</v>
      </c>
      <c r="C258" s="43" t="s">
        <v>1624</v>
      </c>
      <c r="D258" s="43">
        <v>1115120</v>
      </c>
      <c r="E258" t="s">
        <v>1633</v>
      </c>
      <c r="F258" s="47" t="str">
        <f>+Centro_Cuenta8[[#This Row],[Codigo Centro Gestion]]&amp;" - "&amp;Centro_Cuenta8[[#This Row],[Nombre Centro Gestion]]</f>
        <v>10187204 - Edificio Parque Quinta-Proyecto</v>
      </c>
      <c r="G258" s="47" t="str">
        <f>+Centro_Cuenta8[[#This Row],[Código Cuenta Contable]]&amp;" - "&amp;Centro_Cuenta8[[#This Row],[Nombre de Cuenta Contable]]</f>
        <v>1115120 - Instalación Empalmes</v>
      </c>
      <c r="H258" s="146" t="str">
        <f>+VLOOKUP(D258,'3. Cuentas'!A:F,6,0)</f>
        <v>SI</v>
      </c>
    </row>
    <row r="259" spans="1:8" x14ac:dyDescent="0.25">
      <c r="A259" s="43">
        <v>10187204</v>
      </c>
      <c r="B259" t="s">
        <v>829</v>
      </c>
      <c r="C259" s="43" t="s">
        <v>1624</v>
      </c>
      <c r="D259" s="43">
        <v>1115170</v>
      </c>
      <c r="E259" t="s">
        <v>293</v>
      </c>
      <c r="F259" s="47" t="str">
        <f>+Centro_Cuenta8[[#This Row],[Codigo Centro Gestion]]&amp;" - "&amp;Centro_Cuenta8[[#This Row],[Nombre Centro Gestion]]</f>
        <v>10187204 - Edificio Parque Quinta-Proyecto</v>
      </c>
      <c r="G259" s="47" t="str">
        <f>+Centro_Cuenta8[[#This Row],[Código Cuenta Contable]]&amp;" - "&amp;Centro_Cuenta8[[#This Row],[Nombre de Cuenta Contable]]</f>
        <v>1115170 - Permisos Y Otros Gastos Municipales</v>
      </c>
      <c r="H259" s="146" t="str">
        <f>+VLOOKUP(D259,'3. Cuentas'!A:F,6,0)</f>
        <v>SI</v>
      </c>
    </row>
    <row r="260" spans="1:8" x14ac:dyDescent="0.25">
      <c r="A260" s="43">
        <v>10187204</v>
      </c>
      <c r="B260" t="s">
        <v>829</v>
      </c>
      <c r="C260" s="43" t="s">
        <v>1624</v>
      </c>
      <c r="D260" s="43">
        <v>1115240</v>
      </c>
      <c r="E260" t="s">
        <v>294</v>
      </c>
      <c r="F260" s="47" t="str">
        <f>+Centro_Cuenta8[[#This Row],[Codigo Centro Gestion]]&amp;" - "&amp;Centro_Cuenta8[[#This Row],[Nombre Centro Gestion]]</f>
        <v>10187204 - Edificio Parque Quinta-Proyecto</v>
      </c>
      <c r="G260" s="47" t="str">
        <f>+Centro_Cuenta8[[#This Row],[Código Cuenta Contable]]&amp;" - "&amp;Centro_Cuenta8[[#This Row],[Nombre de Cuenta Contable]]</f>
        <v>1115240 - Estudios Y Asesorias Técnicas</v>
      </c>
      <c r="H260" s="146" t="str">
        <f>+VLOOKUP(D260,'3. Cuentas'!A:F,6,0)</f>
        <v>SI</v>
      </c>
    </row>
    <row r="261" spans="1:8" x14ac:dyDescent="0.25">
      <c r="A261" s="43">
        <v>10187204</v>
      </c>
      <c r="B261" t="s">
        <v>829</v>
      </c>
      <c r="C261" s="43" t="s">
        <v>1624</v>
      </c>
      <c r="D261" s="43">
        <v>4203090</v>
      </c>
      <c r="E261" t="s">
        <v>192</v>
      </c>
      <c r="F261" s="47" t="str">
        <f>+Centro_Cuenta8[[#This Row],[Codigo Centro Gestion]]&amp;" - "&amp;Centro_Cuenta8[[#This Row],[Nombre Centro Gestion]]</f>
        <v>10187204 - Edificio Parque Quinta-Proyecto</v>
      </c>
      <c r="G261" s="47" t="str">
        <f>+Centro_Cuenta8[[#This Row],[Código Cuenta Contable]]&amp;" - "&amp;Centro_Cuenta8[[#This Row],[Nombre de Cuenta Contable]]</f>
        <v>4203090 - Gastos Legales Y Notariales Proyecto</v>
      </c>
      <c r="H261" s="146" t="str">
        <f>+VLOOKUP(D261,'3. Cuentas'!A:F,6,0)</f>
        <v>SI</v>
      </c>
    </row>
    <row r="262" spans="1:8" x14ac:dyDescent="0.25">
      <c r="A262" s="43">
        <v>10187204</v>
      </c>
      <c r="B262" t="s">
        <v>829</v>
      </c>
      <c r="C262" s="43" t="s">
        <v>1624</v>
      </c>
      <c r="D262" s="43">
        <v>4203140</v>
      </c>
      <c r="E262" t="s">
        <v>109</v>
      </c>
      <c r="F262" s="47" t="str">
        <f>+Centro_Cuenta8[[#This Row],[Codigo Centro Gestion]]&amp;" - "&amp;Centro_Cuenta8[[#This Row],[Nombre Centro Gestion]]</f>
        <v>10187204 - Edificio Parque Quinta-Proyecto</v>
      </c>
      <c r="G262" s="47" t="str">
        <f>+Centro_Cuenta8[[#This Row],[Código Cuenta Contable]]&amp;" - "&amp;Centro_Cuenta8[[#This Row],[Nombre de Cuenta Contable]]</f>
        <v>4203140 - Contribuciones</v>
      </c>
      <c r="H262" s="146" t="str">
        <f>+VLOOKUP(D262,'3. Cuentas'!A:F,6,0)</f>
        <v>SI</v>
      </c>
    </row>
    <row r="263" spans="1:8" x14ac:dyDescent="0.25">
      <c r="A263" s="43">
        <v>10187204</v>
      </c>
      <c r="B263" t="s">
        <v>829</v>
      </c>
      <c r="C263" s="43" t="s">
        <v>1624</v>
      </c>
      <c r="D263" s="43">
        <v>4203150</v>
      </c>
      <c r="E263" t="s">
        <v>156</v>
      </c>
      <c r="F263" s="47" t="str">
        <f>+Centro_Cuenta8[[#This Row],[Codigo Centro Gestion]]&amp;" - "&amp;Centro_Cuenta8[[#This Row],[Nombre Centro Gestion]]</f>
        <v>10187204 - Edificio Parque Quinta-Proyecto</v>
      </c>
      <c r="G263" s="47" t="str">
        <f>+Centro_Cuenta8[[#This Row],[Código Cuenta Contable]]&amp;" - "&amp;Centro_Cuenta8[[#This Row],[Nombre de Cuenta Contable]]</f>
        <v>4203150 - Gastos CBR</v>
      </c>
      <c r="H263" s="146" t="str">
        <f>+VLOOKUP(D263,'3. Cuentas'!A:F,6,0)</f>
        <v>SI</v>
      </c>
    </row>
    <row r="264" spans="1:8" x14ac:dyDescent="0.25">
      <c r="A264" s="43">
        <v>10187204</v>
      </c>
      <c r="B264" t="s">
        <v>829</v>
      </c>
      <c r="C264" s="43" t="s">
        <v>1624</v>
      </c>
      <c r="D264" s="43">
        <v>4203160</v>
      </c>
      <c r="E264" t="s">
        <v>1639</v>
      </c>
      <c r="F264" s="47" t="str">
        <f>+Centro_Cuenta8[[#This Row],[Codigo Centro Gestion]]&amp;" - "&amp;Centro_Cuenta8[[#This Row],[Nombre Centro Gestion]]</f>
        <v>10187204 - Edificio Parque Quinta-Proyecto</v>
      </c>
      <c r="G264" s="47" t="str">
        <f>+Centro_Cuenta8[[#This Row],[Código Cuenta Contable]]&amp;" - "&amp;Centro_Cuenta8[[#This Row],[Nombre de Cuenta Contable]]</f>
        <v>4203160 - PAPELERIA Y FOTOCOPIADO</v>
      </c>
      <c r="H264" s="146" t="str">
        <f>+VLOOKUP(D264,'3. Cuentas'!A:F,6,0)</f>
        <v>SI</v>
      </c>
    </row>
    <row r="265" spans="1:8" x14ac:dyDescent="0.25">
      <c r="A265" s="43">
        <v>10187204</v>
      </c>
      <c r="B265" t="s">
        <v>829</v>
      </c>
      <c r="C265" s="43" t="s">
        <v>1624</v>
      </c>
      <c r="D265" s="43">
        <v>4203180</v>
      </c>
      <c r="E265" t="s">
        <v>1640</v>
      </c>
      <c r="F265" s="47" t="str">
        <f>+Centro_Cuenta8[[#This Row],[Codigo Centro Gestion]]&amp;" - "&amp;Centro_Cuenta8[[#This Row],[Nombre Centro Gestion]]</f>
        <v>10187204 - Edificio Parque Quinta-Proyecto</v>
      </c>
      <c r="G265" s="47" t="str">
        <f>+Centro_Cuenta8[[#This Row],[Código Cuenta Contable]]&amp;" - "&amp;Centro_Cuenta8[[#This Row],[Nombre de Cuenta Contable]]</f>
        <v>4203180 - Otros Gastos y Aseso Proy</v>
      </c>
      <c r="H265" s="146" t="str">
        <f>+VLOOKUP(D265,'3. Cuentas'!A:F,6,0)</f>
        <v>SI</v>
      </c>
    </row>
    <row r="266" spans="1:8" x14ac:dyDescent="0.25">
      <c r="A266" s="43">
        <v>10187301</v>
      </c>
      <c r="B266" t="s">
        <v>830</v>
      </c>
      <c r="C266" s="43" t="s">
        <v>1643</v>
      </c>
      <c r="D266" s="43">
        <v>4203090</v>
      </c>
      <c r="E266" t="s">
        <v>192</v>
      </c>
      <c r="F266" s="47" t="str">
        <f>+Centro_Cuenta8[[#This Row],[Codigo Centro Gestion]]&amp;" - "&amp;Centro_Cuenta8[[#This Row],[Nombre Centro Gestion]]</f>
        <v>10187301 - Edificio Parque Quinta-GAF</v>
      </c>
      <c r="G266" s="47" t="str">
        <f>+Centro_Cuenta8[[#This Row],[Código Cuenta Contable]]&amp;" - "&amp;Centro_Cuenta8[[#This Row],[Nombre de Cuenta Contable]]</f>
        <v>4203090 - Gastos Legales Y Notariales Proyecto</v>
      </c>
      <c r="H266" s="146" t="str">
        <f>+VLOOKUP(D266,'3. Cuentas'!A:F,6,0)</f>
        <v>SI</v>
      </c>
    </row>
    <row r="267" spans="1:8" x14ac:dyDescent="0.25">
      <c r="A267" s="43">
        <v>10187301</v>
      </c>
      <c r="B267" t="s">
        <v>830</v>
      </c>
      <c r="C267" s="43" t="s">
        <v>1643</v>
      </c>
      <c r="D267" s="43">
        <v>4203140</v>
      </c>
      <c r="E267" t="s">
        <v>109</v>
      </c>
      <c r="F267" s="47" t="str">
        <f>+Centro_Cuenta8[[#This Row],[Codigo Centro Gestion]]&amp;" - "&amp;Centro_Cuenta8[[#This Row],[Nombre Centro Gestion]]</f>
        <v>10187301 - Edificio Parque Quinta-GAF</v>
      </c>
      <c r="G267" s="47" t="str">
        <f>+Centro_Cuenta8[[#This Row],[Código Cuenta Contable]]&amp;" - "&amp;Centro_Cuenta8[[#This Row],[Nombre de Cuenta Contable]]</f>
        <v>4203140 - Contribuciones</v>
      </c>
      <c r="H267" s="146" t="str">
        <f>+VLOOKUP(D267,'3. Cuentas'!A:F,6,0)</f>
        <v>SI</v>
      </c>
    </row>
    <row r="268" spans="1:8" x14ac:dyDescent="0.25">
      <c r="A268" s="43">
        <v>10187506</v>
      </c>
      <c r="B268" t="s">
        <v>832</v>
      </c>
      <c r="C268" s="43" t="s">
        <v>200</v>
      </c>
      <c r="D268" s="43">
        <v>1115100</v>
      </c>
      <c r="E268" t="s">
        <v>292</v>
      </c>
      <c r="F268" s="47" t="str">
        <f>+Centro_Cuenta8[[#This Row],[Codigo Centro Gestion]]&amp;" - "&amp;Centro_Cuenta8[[#This Row],[Nombre Centro Gestion]]</f>
        <v>10187506 - Edificio Parque Quinta-Depto.Técnico</v>
      </c>
      <c r="G268" s="47" t="str">
        <f>+Centro_Cuenta8[[#This Row],[Código Cuenta Contable]]&amp;" - "&amp;Centro_Cuenta8[[#This Row],[Nombre de Cuenta Contable]]</f>
        <v>1115100 - Proyectos Y Especialidades</v>
      </c>
      <c r="H268" s="146" t="str">
        <f>+VLOOKUP(D268,'3. Cuentas'!A:F,6,0)</f>
        <v>SI</v>
      </c>
    </row>
    <row r="269" spans="1:8" x14ac:dyDescent="0.25">
      <c r="A269" s="43">
        <v>10188102</v>
      </c>
      <c r="B269" t="s">
        <v>834</v>
      </c>
      <c r="C269" s="43" t="s">
        <v>1617</v>
      </c>
      <c r="D269" s="43">
        <v>4204010</v>
      </c>
      <c r="E269" t="s">
        <v>313</v>
      </c>
      <c r="F269" s="47" t="str">
        <f>+Centro_Cuenta8[[#This Row],[Codigo Centro Gestion]]&amp;" - "&amp;Centro_Cuenta8[[#This Row],[Nombre Centro Gestion]]</f>
        <v>10188102 - Vista Macul-Marketing</v>
      </c>
      <c r="G269" s="47" t="str">
        <f>+Centro_Cuenta8[[#This Row],[Código Cuenta Contable]]&amp;" - "&amp;Centro_Cuenta8[[#This Row],[Nombre de Cuenta Contable]]</f>
        <v>4204010 - Publicidad Punto Venta</v>
      </c>
      <c r="H269" s="146" t="str">
        <f>+VLOOKUP(D269,'3. Cuentas'!A:F,6,0)</f>
        <v>SI</v>
      </c>
    </row>
    <row r="270" spans="1:8" x14ac:dyDescent="0.25">
      <c r="A270" s="43">
        <v>10188102</v>
      </c>
      <c r="B270" t="s">
        <v>834</v>
      </c>
      <c r="C270" s="43" t="s">
        <v>1617</v>
      </c>
      <c r="D270" s="43">
        <v>4204021</v>
      </c>
      <c r="E270" t="s">
        <v>329</v>
      </c>
      <c r="F270" s="47" t="str">
        <f>+Centro_Cuenta8[[#This Row],[Codigo Centro Gestion]]&amp;" - "&amp;Centro_Cuenta8[[#This Row],[Nombre Centro Gestion]]</f>
        <v>10188102 - Vista Macul-Marketing</v>
      </c>
      <c r="G270" s="47" t="str">
        <f>+Centro_Cuenta8[[#This Row],[Código Cuenta Contable]]&amp;" - "&amp;Centro_Cuenta8[[#This Row],[Nombre de Cuenta Contable]]</f>
        <v>4204021 - Publicidad Ferias Y Eventos</v>
      </c>
      <c r="H270" s="146" t="str">
        <f>+VLOOKUP(D270,'3. Cuentas'!A:F,6,0)</f>
        <v>SI</v>
      </c>
    </row>
    <row r="271" spans="1:8" x14ac:dyDescent="0.25">
      <c r="A271" s="43">
        <v>10188103</v>
      </c>
      <c r="B271" t="s">
        <v>835</v>
      </c>
      <c r="C271" s="43" t="s">
        <v>1618</v>
      </c>
      <c r="D271" s="43">
        <v>4203060</v>
      </c>
      <c r="E271" t="s">
        <v>321</v>
      </c>
      <c r="F271" s="47" t="str">
        <f>+Centro_Cuenta8[[#This Row],[Codigo Centro Gestion]]&amp;" - "&amp;Centro_Cuenta8[[#This Row],[Nombre Centro Gestion]]</f>
        <v>10188103 - Vista Macul-Operaciones</v>
      </c>
      <c r="G271" s="47" t="str">
        <f>+Centro_Cuenta8[[#This Row],[Código Cuenta Contable]]&amp;" - "&amp;Centro_Cuenta8[[#This Row],[Nombre de Cuenta Contable]]</f>
        <v>4203060 - Gastos Operacionales De Clientes</v>
      </c>
      <c r="H271" s="146" t="str">
        <f>+VLOOKUP(D271,'3. Cuentas'!A:F,6,0)</f>
        <v>SI</v>
      </c>
    </row>
    <row r="272" spans="1:8" x14ac:dyDescent="0.25">
      <c r="A272" s="43">
        <v>10188103</v>
      </c>
      <c r="B272" t="s">
        <v>835</v>
      </c>
      <c r="C272" s="43" t="s">
        <v>1618</v>
      </c>
      <c r="D272" s="43">
        <v>4203090</v>
      </c>
      <c r="E272" t="s">
        <v>192</v>
      </c>
      <c r="F272" s="47" t="str">
        <f>+Centro_Cuenta8[[#This Row],[Codigo Centro Gestion]]&amp;" - "&amp;Centro_Cuenta8[[#This Row],[Nombre Centro Gestion]]</f>
        <v>10188103 - Vista Macul-Operaciones</v>
      </c>
      <c r="G272" s="47" t="str">
        <f>+Centro_Cuenta8[[#This Row],[Código Cuenta Contable]]&amp;" - "&amp;Centro_Cuenta8[[#This Row],[Nombre de Cuenta Contable]]</f>
        <v>4203090 - Gastos Legales Y Notariales Proyecto</v>
      </c>
      <c r="H272" s="146" t="str">
        <f>+VLOOKUP(D272,'3. Cuentas'!A:F,6,0)</f>
        <v>SI</v>
      </c>
    </row>
    <row r="273" spans="1:8" x14ac:dyDescent="0.25">
      <c r="A273" s="43">
        <v>10188104</v>
      </c>
      <c r="B273" t="s">
        <v>836</v>
      </c>
      <c r="C273" s="43" t="s">
        <v>90</v>
      </c>
      <c r="D273" s="43">
        <v>1110040</v>
      </c>
      <c r="E273" t="s">
        <v>1505</v>
      </c>
      <c r="F273" s="47" t="str">
        <f>+Centro_Cuenta8[[#This Row],[Codigo Centro Gestion]]&amp;" - "&amp;Centro_Cuenta8[[#This Row],[Nombre Centro Gestion]]</f>
        <v>10188104 - Vista Macul-Ventas</v>
      </c>
      <c r="G273" s="47" t="str">
        <f>+Centro_Cuenta8[[#This Row],[Código Cuenta Contable]]&amp;" - "&amp;Centro_Cuenta8[[#This Row],[Nombre de Cuenta Contable]]</f>
        <v>1110040 - Garantía Pagadas</v>
      </c>
      <c r="H273" s="146" t="str">
        <f>+VLOOKUP(D273,'3. Cuentas'!A:F,6,0)</f>
        <v>SI</v>
      </c>
    </row>
    <row r="274" spans="1:8" x14ac:dyDescent="0.25">
      <c r="A274" s="43">
        <v>10188104</v>
      </c>
      <c r="B274" t="s">
        <v>836</v>
      </c>
      <c r="C274" s="43" t="s">
        <v>90</v>
      </c>
      <c r="D274" s="43">
        <v>4202003</v>
      </c>
      <c r="E274" t="s">
        <v>106</v>
      </c>
      <c r="F274" s="47" t="str">
        <f>+Centro_Cuenta8[[#This Row],[Codigo Centro Gestion]]&amp;" - "&amp;Centro_Cuenta8[[#This Row],[Nombre Centro Gestion]]</f>
        <v>10188104 - Vista Macul-Ventas</v>
      </c>
      <c r="G274" s="47" t="str">
        <f>+Centro_Cuenta8[[#This Row],[Código Cuenta Contable]]&amp;" - "&amp;Centro_Cuenta8[[#This Row],[Nombre de Cuenta Contable]]</f>
        <v>4202003 - Serv.Basic.Luz.Agua.Tel Of.C</v>
      </c>
      <c r="H274" s="146" t="str">
        <f>+VLOOKUP(D274,'3. Cuentas'!A:F,6,0)</f>
        <v>SI</v>
      </c>
    </row>
    <row r="275" spans="1:8" x14ac:dyDescent="0.25">
      <c r="A275" s="43">
        <v>10188104</v>
      </c>
      <c r="B275" t="s">
        <v>836</v>
      </c>
      <c r="C275" s="43" t="s">
        <v>90</v>
      </c>
      <c r="D275" s="43">
        <v>4202010</v>
      </c>
      <c r="E275" t="s">
        <v>87</v>
      </c>
      <c r="F275" s="47" t="str">
        <f>+Centro_Cuenta8[[#This Row],[Codigo Centro Gestion]]&amp;" - "&amp;Centro_Cuenta8[[#This Row],[Nombre Centro Gestion]]</f>
        <v>10188104 - Vista Macul-Ventas</v>
      </c>
      <c r="G275" s="47" t="str">
        <f>+Centro_Cuenta8[[#This Row],[Código Cuenta Contable]]&amp;" - "&amp;Centro_Cuenta8[[#This Row],[Nombre de Cuenta Contable]]</f>
        <v>4202010 - Artic. Ofic. Fotocop.Papelería</v>
      </c>
      <c r="H275" s="146" t="str">
        <f>+VLOOKUP(D275,'3. Cuentas'!A:F,6,0)</f>
        <v>SI</v>
      </c>
    </row>
    <row r="276" spans="1:8" x14ac:dyDescent="0.25">
      <c r="A276" s="43">
        <v>10188104</v>
      </c>
      <c r="B276" t="s">
        <v>836</v>
      </c>
      <c r="C276" s="43" t="s">
        <v>90</v>
      </c>
      <c r="D276" s="43">
        <v>4202019</v>
      </c>
      <c r="E276" t="s">
        <v>81</v>
      </c>
      <c r="F276" s="47" t="str">
        <f>+Centro_Cuenta8[[#This Row],[Codigo Centro Gestion]]&amp;" - "&amp;Centro_Cuenta8[[#This Row],[Nombre Centro Gestion]]</f>
        <v>10188104 - Vista Macul-Ventas</v>
      </c>
      <c r="G276" s="47" t="str">
        <f>+Centro_Cuenta8[[#This Row],[Código Cuenta Contable]]&amp;" - "&amp;Centro_Cuenta8[[#This Row],[Nombre de Cuenta Contable]]</f>
        <v>4202019 - Gasto General Oficina</v>
      </c>
      <c r="H276" s="146" t="str">
        <f>+VLOOKUP(D276,'3. Cuentas'!A:F,6,0)</f>
        <v>SI</v>
      </c>
    </row>
    <row r="277" spans="1:8" x14ac:dyDescent="0.25">
      <c r="A277" s="43">
        <v>10188104</v>
      </c>
      <c r="B277" t="s">
        <v>836</v>
      </c>
      <c r="C277" s="43" t="s">
        <v>90</v>
      </c>
      <c r="D277" s="43">
        <v>4202023</v>
      </c>
      <c r="E277" t="s">
        <v>82</v>
      </c>
      <c r="F277" s="47" t="str">
        <f>+Centro_Cuenta8[[#This Row],[Codigo Centro Gestion]]&amp;" - "&amp;Centro_Cuenta8[[#This Row],[Nombre Centro Gestion]]</f>
        <v>10188104 - Vista Macul-Ventas</v>
      </c>
      <c r="G277" s="47" t="str">
        <f>+Centro_Cuenta8[[#This Row],[Código Cuenta Contable]]&amp;" - "&amp;Centro_Cuenta8[[#This Row],[Nombre de Cuenta Contable]]</f>
        <v>4202023 - Honorarios Por Asesorías</v>
      </c>
      <c r="H277" s="146" t="str">
        <f>+VLOOKUP(D277,'3. Cuentas'!A:F,6,0)</f>
        <v>SI</v>
      </c>
    </row>
    <row r="278" spans="1:8" x14ac:dyDescent="0.25">
      <c r="A278" s="43">
        <v>10188104</v>
      </c>
      <c r="B278" t="s">
        <v>836</v>
      </c>
      <c r="C278" s="43" t="s">
        <v>90</v>
      </c>
      <c r="D278" s="43">
        <v>4202029</v>
      </c>
      <c r="E278" t="s">
        <v>83</v>
      </c>
      <c r="F278" s="47" t="str">
        <f>+Centro_Cuenta8[[#This Row],[Codigo Centro Gestion]]&amp;" - "&amp;Centro_Cuenta8[[#This Row],[Nombre Centro Gestion]]</f>
        <v>10188104 - Vista Macul-Ventas</v>
      </c>
      <c r="G278" s="47" t="str">
        <f>+Centro_Cuenta8[[#This Row],[Código Cuenta Contable]]&amp;" - "&amp;Centro_Cuenta8[[#This Row],[Nombre de Cuenta Contable]]</f>
        <v>4202029 - Insumos Y Gastos Informáticos</v>
      </c>
      <c r="H278" s="146" t="str">
        <f>+VLOOKUP(D278,'3. Cuentas'!A:F,6,0)</f>
        <v>SI</v>
      </c>
    </row>
    <row r="279" spans="1:8" x14ac:dyDescent="0.25">
      <c r="A279" s="43">
        <v>10188104</v>
      </c>
      <c r="B279" t="s">
        <v>836</v>
      </c>
      <c r="C279" s="43" t="s">
        <v>90</v>
      </c>
      <c r="D279" s="43">
        <v>4204021</v>
      </c>
      <c r="E279" t="s">
        <v>329</v>
      </c>
      <c r="F279" s="47" t="str">
        <f>+Centro_Cuenta8[[#This Row],[Codigo Centro Gestion]]&amp;" - "&amp;Centro_Cuenta8[[#This Row],[Nombre Centro Gestion]]</f>
        <v>10188104 - Vista Macul-Ventas</v>
      </c>
      <c r="G279" s="47" t="str">
        <f>+Centro_Cuenta8[[#This Row],[Código Cuenta Contable]]&amp;" - "&amp;Centro_Cuenta8[[#This Row],[Nombre de Cuenta Contable]]</f>
        <v>4204021 - Publicidad Ferias Y Eventos</v>
      </c>
      <c r="H279" s="146" t="str">
        <f>+VLOOKUP(D279,'3. Cuentas'!A:F,6,0)</f>
        <v>SI</v>
      </c>
    </row>
    <row r="280" spans="1:8" x14ac:dyDescent="0.25">
      <c r="A280" s="43">
        <v>10188105</v>
      </c>
      <c r="B280" t="s">
        <v>837</v>
      </c>
      <c r="C280" s="43" t="s">
        <v>1622</v>
      </c>
      <c r="D280" s="43">
        <v>4203020</v>
      </c>
      <c r="E280" t="s">
        <v>295</v>
      </c>
      <c r="F280" s="47" t="str">
        <f>+Centro_Cuenta8[[#This Row],[Codigo Centro Gestion]]&amp;" - "&amp;Centro_Cuenta8[[#This Row],[Nombre Centro Gestion]]</f>
        <v>10188105 - Vista Macul-Clientes</v>
      </c>
      <c r="G280" s="47" t="str">
        <f>+Centro_Cuenta8[[#This Row],[Código Cuenta Contable]]&amp;" - "&amp;Centro_Cuenta8[[#This Row],[Nombre de Cuenta Contable]]</f>
        <v>4203020 - Mant. y Consum. Viv Stock</v>
      </c>
      <c r="H280" s="146" t="str">
        <f>+VLOOKUP(D280,'3. Cuentas'!A:F,6,0)</f>
        <v>SI</v>
      </c>
    </row>
    <row r="281" spans="1:8" x14ac:dyDescent="0.25">
      <c r="A281" s="43">
        <v>10188105</v>
      </c>
      <c r="B281" t="s">
        <v>837</v>
      </c>
      <c r="C281" s="43" t="s">
        <v>1622</v>
      </c>
      <c r="D281" s="43">
        <v>4203120</v>
      </c>
      <c r="E281" t="s">
        <v>108</v>
      </c>
      <c r="F281" s="47" t="str">
        <f>+Centro_Cuenta8[[#This Row],[Codigo Centro Gestion]]&amp;" - "&amp;Centro_Cuenta8[[#This Row],[Nombre Centro Gestion]]</f>
        <v>10188105 - Vista Macul-Clientes</v>
      </c>
      <c r="G281" s="47" t="str">
        <f>+Centro_Cuenta8[[#This Row],[Código Cuenta Contable]]&amp;" - "&amp;Centro_Cuenta8[[#This Row],[Nombre de Cuenta Contable]]</f>
        <v>4203120 - Gastos Comunes</v>
      </c>
      <c r="H281" s="146" t="str">
        <f>+VLOOKUP(D281,'3. Cuentas'!A:F,6,0)</f>
        <v>SI</v>
      </c>
    </row>
    <row r="282" spans="1:8" x14ac:dyDescent="0.25">
      <c r="A282" s="43">
        <v>10188105</v>
      </c>
      <c r="B282" t="s">
        <v>837</v>
      </c>
      <c r="C282" s="43" t="s">
        <v>1622</v>
      </c>
      <c r="D282" s="43">
        <v>4203140</v>
      </c>
      <c r="E282" t="s">
        <v>109</v>
      </c>
      <c r="F282" s="47" t="str">
        <f>+Centro_Cuenta8[[#This Row],[Codigo Centro Gestion]]&amp;" - "&amp;Centro_Cuenta8[[#This Row],[Nombre Centro Gestion]]</f>
        <v>10188105 - Vista Macul-Clientes</v>
      </c>
      <c r="G282" s="47" t="str">
        <f>+Centro_Cuenta8[[#This Row],[Código Cuenta Contable]]&amp;" - "&amp;Centro_Cuenta8[[#This Row],[Nombre de Cuenta Contable]]</f>
        <v>4203140 - Contribuciones</v>
      </c>
      <c r="H282" s="146" t="str">
        <f>+VLOOKUP(D282,'3. Cuentas'!A:F,6,0)</f>
        <v>SI</v>
      </c>
    </row>
    <row r="283" spans="1:8" x14ac:dyDescent="0.25">
      <c r="A283" s="43">
        <v>10188204</v>
      </c>
      <c r="B283" t="s">
        <v>838</v>
      </c>
      <c r="C283" s="43" t="s">
        <v>1624</v>
      </c>
      <c r="D283" s="43">
        <v>1103045</v>
      </c>
      <c r="E283" t="s">
        <v>323</v>
      </c>
      <c r="F283" s="47" t="str">
        <f>+Centro_Cuenta8[[#This Row],[Codigo Centro Gestion]]&amp;" - "&amp;Centro_Cuenta8[[#This Row],[Nombre Centro Gestion]]</f>
        <v>10188204 - Vista Macul-Proyecto</v>
      </c>
      <c r="G283" s="47" t="str">
        <f>+Centro_Cuenta8[[#This Row],[Código Cuenta Contable]]&amp;" - "&amp;Centro_Cuenta8[[#This Row],[Nombre de Cuenta Contable]]</f>
        <v>1103045 - Aportes reembolsables (electricidad y agua)</v>
      </c>
      <c r="H283" s="146" t="str">
        <f>+VLOOKUP(D283,'3. Cuentas'!A:F,6,0)</f>
        <v>SI</v>
      </c>
    </row>
    <row r="284" spans="1:8" x14ac:dyDescent="0.25">
      <c r="A284" s="43">
        <v>10188204</v>
      </c>
      <c r="B284" t="s">
        <v>838</v>
      </c>
      <c r="C284" s="43" t="s">
        <v>1624</v>
      </c>
      <c r="D284" s="43">
        <v>1109020</v>
      </c>
      <c r="E284" t="s">
        <v>302</v>
      </c>
      <c r="F284" s="47" t="str">
        <f>+Centro_Cuenta8[[#This Row],[Codigo Centro Gestion]]&amp;" - "&amp;Centro_Cuenta8[[#This Row],[Nombre Centro Gestion]]</f>
        <v>10188204 - Vista Macul-Proyecto</v>
      </c>
      <c r="G284" s="47" t="str">
        <f>+Centro_Cuenta8[[#This Row],[Código Cuenta Contable]]&amp;" - "&amp;Centro_Cuenta8[[#This Row],[Nombre de Cuenta Contable]]</f>
        <v>1109020 - Mobiliario</v>
      </c>
      <c r="H284" s="146" t="str">
        <f>+VLOOKUP(D284,'3. Cuentas'!A:F,6,0)</f>
        <v>SI</v>
      </c>
    </row>
    <row r="285" spans="1:8" x14ac:dyDescent="0.25">
      <c r="A285" s="43">
        <v>10188204</v>
      </c>
      <c r="B285" t="s">
        <v>838</v>
      </c>
      <c r="C285" s="43" t="s">
        <v>1624</v>
      </c>
      <c r="D285" s="43">
        <v>1110040</v>
      </c>
      <c r="E285" t="s">
        <v>1505</v>
      </c>
      <c r="F285" s="47" t="str">
        <f>+Centro_Cuenta8[[#This Row],[Codigo Centro Gestion]]&amp;" - "&amp;Centro_Cuenta8[[#This Row],[Nombre Centro Gestion]]</f>
        <v>10188204 - Vista Macul-Proyecto</v>
      </c>
      <c r="G285" s="47" t="str">
        <f>+Centro_Cuenta8[[#This Row],[Código Cuenta Contable]]&amp;" - "&amp;Centro_Cuenta8[[#This Row],[Nombre de Cuenta Contable]]</f>
        <v>1110040 - Garantía Pagadas</v>
      </c>
      <c r="H285" s="146" t="str">
        <f>+VLOOKUP(D285,'3. Cuentas'!A:F,6,0)</f>
        <v>SI</v>
      </c>
    </row>
    <row r="286" spans="1:8" x14ac:dyDescent="0.25">
      <c r="A286" s="43">
        <v>10188204</v>
      </c>
      <c r="B286" t="s">
        <v>838</v>
      </c>
      <c r="C286" s="43" t="s">
        <v>1624</v>
      </c>
      <c r="D286" s="43">
        <v>1115040</v>
      </c>
      <c r="E286" t="s">
        <v>291</v>
      </c>
      <c r="F286" s="47" t="str">
        <f>+Centro_Cuenta8[[#This Row],[Codigo Centro Gestion]]&amp;" - "&amp;Centro_Cuenta8[[#This Row],[Nombre Centro Gestion]]</f>
        <v>10188204 - Vista Macul-Proyecto</v>
      </c>
      <c r="G286" s="47" t="str">
        <f>+Centro_Cuenta8[[#This Row],[Código Cuenta Contable]]&amp;" - "&amp;Centro_Cuenta8[[#This Row],[Nombre de Cuenta Contable]]</f>
        <v>1115040 - Saneamiento De Terreno</v>
      </c>
      <c r="H286" s="146" t="str">
        <f>+VLOOKUP(D286,'3. Cuentas'!A:F,6,0)</f>
        <v>SI</v>
      </c>
    </row>
    <row r="287" spans="1:8" x14ac:dyDescent="0.25">
      <c r="A287" s="43">
        <v>10188204</v>
      </c>
      <c r="B287" t="s">
        <v>838</v>
      </c>
      <c r="C287" s="43" t="s">
        <v>1624</v>
      </c>
      <c r="D287" s="43">
        <v>1115050</v>
      </c>
      <c r="E287" t="s">
        <v>1628</v>
      </c>
      <c r="F287" s="47" t="str">
        <f>+Centro_Cuenta8[[#This Row],[Codigo Centro Gestion]]&amp;" - "&amp;Centro_Cuenta8[[#This Row],[Nombre Centro Gestion]]</f>
        <v>10188204 - Vista Macul-Proyecto</v>
      </c>
      <c r="G287" s="47" t="str">
        <f>+Centro_Cuenta8[[#This Row],[Código Cuenta Contable]]&amp;" - "&amp;Centro_Cuenta8[[#This Row],[Nombre de Cuenta Contable]]</f>
        <v>1115050 - Demolición</v>
      </c>
      <c r="H287" s="146" t="str">
        <f>+VLOOKUP(D287,'3. Cuentas'!A:F,6,0)</f>
        <v>SI</v>
      </c>
    </row>
    <row r="288" spans="1:8" x14ac:dyDescent="0.25">
      <c r="A288" s="43">
        <v>10188204</v>
      </c>
      <c r="B288" t="s">
        <v>838</v>
      </c>
      <c r="C288" s="43" t="s">
        <v>1624</v>
      </c>
      <c r="D288" s="43">
        <v>1115100</v>
      </c>
      <c r="E288" t="s">
        <v>292</v>
      </c>
      <c r="F288" s="47" t="str">
        <f>+Centro_Cuenta8[[#This Row],[Codigo Centro Gestion]]&amp;" - "&amp;Centro_Cuenta8[[#This Row],[Nombre Centro Gestion]]</f>
        <v>10188204 - Vista Macul-Proyecto</v>
      </c>
      <c r="G288" s="47" t="str">
        <f>+Centro_Cuenta8[[#This Row],[Código Cuenta Contable]]&amp;" - "&amp;Centro_Cuenta8[[#This Row],[Nombre de Cuenta Contable]]</f>
        <v>1115100 - Proyectos Y Especialidades</v>
      </c>
      <c r="H288" s="146" t="str">
        <f>+VLOOKUP(D288,'3. Cuentas'!A:F,6,0)</f>
        <v>SI</v>
      </c>
    </row>
    <row r="289" spans="1:8" x14ac:dyDescent="0.25">
      <c r="A289" s="43">
        <v>10188204</v>
      </c>
      <c r="B289" t="s">
        <v>838</v>
      </c>
      <c r="C289" s="43" t="s">
        <v>1624</v>
      </c>
      <c r="D289" s="43">
        <v>1115120</v>
      </c>
      <c r="E289" t="s">
        <v>1633</v>
      </c>
      <c r="F289" s="47" t="str">
        <f>+Centro_Cuenta8[[#This Row],[Codigo Centro Gestion]]&amp;" - "&amp;Centro_Cuenta8[[#This Row],[Nombre Centro Gestion]]</f>
        <v>10188204 - Vista Macul-Proyecto</v>
      </c>
      <c r="G289" s="47" t="str">
        <f>+Centro_Cuenta8[[#This Row],[Código Cuenta Contable]]&amp;" - "&amp;Centro_Cuenta8[[#This Row],[Nombre de Cuenta Contable]]</f>
        <v>1115120 - Instalación Empalmes</v>
      </c>
      <c r="H289" s="146" t="str">
        <f>+VLOOKUP(D289,'3. Cuentas'!A:F,6,0)</f>
        <v>SI</v>
      </c>
    </row>
    <row r="290" spans="1:8" x14ac:dyDescent="0.25">
      <c r="A290" s="43">
        <v>10188204</v>
      </c>
      <c r="B290" t="s">
        <v>838</v>
      </c>
      <c r="C290" s="43" t="s">
        <v>1624</v>
      </c>
      <c r="D290" s="43">
        <v>1115170</v>
      </c>
      <c r="E290" t="s">
        <v>293</v>
      </c>
      <c r="F290" s="47" t="str">
        <f>+Centro_Cuenta8[[#This Row],[Codigo Centro Gestion]]&amp;" - "&amp;Centro_Cuenta8[[#This Row],[Nombre Centro Gestion]]</f>
        <v>10188204 - Vista Macul-Proyecto</v>
      </c>
      <c r="G290" s="47" t="str">
        <f>+Centro_Cuenta8[[#This Row],[Código Cuenta Contable]]&amp;" - "&amp;Centro_Cuenta8[[#This Row],[Nombre de Cuenta Contable]]</f>
        <v>1115170 - Permisos Y Otros Gastos Municipales</v>
      </c>
      <c r="H290" s="146" t="str">
        <f>+VLOOKUP(D290,'3. Cuentas'!A:F,6,0)</f>
        <v>SI</v>
      </c>
    </row>
    <row r="291" spans="1:8" x14ac:dyDescent="0.25">
      <c r="A291" s="43">
        <v>10188204</v>
      </c>
      <c r="B291" t="s">
        <v>838</v>
      </c>
      <c r="C291" s="43" t="s">
        <v>1624</v>
      </c>
      <c r="D291" s="43">
        <v>1115240</v>
      </c>
      <c r="E291" t="s">
        <v>294</v>
      </c>
      <c r="F291" s="47" t="str">
        <f>+Centro_Cuenta8[[#This Row],[Codigo Centro Gestion]]&amp;" - "&amp;Centro_Cuenta8[[#This Row],[Nombre Centro Gestion]]</f>
        <v>10188204 - Vista Macul-Proyecto</v>
      </c>
      <c r="G291" s="47" t="str">
        <f>+Centro_Cuenta8[[#This Row],[Código Cuenta Contable]]&amp;" - "&amp;Centro_Cuenta8[[#This Row],[Nombre de Cuenta Contable]]</f>
        <v>1115240 - Estudios Y Asesorias Técnicas</v>
      </c>
      <c r="H291" s="146" t="str">
        <f>+VLOOKUP(D291,'3. Cuentas'!A:F,6,0)</f>
        <v>SI</v>
      </c>
    </row>
    <row r="292" spans="1:8" x14ac:dyDescent="0.25">
      <c r="A292" s="43">
        <v>10188204</v>
      </c>
      <c r="B292" t="s">
        <v>838</v>
      </c>
      <c r="C292" s="43" t="s">
        <v>1624</v>
      </c>
      <c r="D292" s="43">
        <v>4203090</v>
      </c>
      <c r="E292" t="s">
        <v>192</v>
      </c>
      <c r="F292" s="47" t="str">
        <f>+Centro_Cuenta8[[#This Row],[Codigo Centro Gestion]]&amp;" - "&amp;Centro_Cuenta8[[#This Row],[Nombre Centro Gestion]]</f>
        <v>10188204 - Vista Macul-Proyecto</v>
      </c>
      <c r="G292" s="47" t="str">
        <f>+Centro_Cuenta8[[#This Row],[Código Cuenta Contable]]&amp;" - "&amp;Centro_Cuenta8[[#This Row],[Nombre de Cuenta Contable]]</f>
        <v>4203090 - Gastos Legales Y Notariales Proyecto</v>
      </c>
      <c r="H292" s="146" t="str">
        <f>+VLOOKUP(D292,'3. Cuentas'!A:F,6,0)</f>
        <v>SI</v>
      </c>
    </row>
    <row r="293" spans="1:8" x14ac:dyDescent="0.25">
      <c r="A293" s="43">
        <v>10188204</v>
      </c>
      <c r="B293" t="s">
        <v>838</v>
      </c>
      <c r="C293" s="43" t="s">
        <v>1624</v>
      </c>
      <c r="D293" s="43">
        <v>4203140</v>
      </c>
      <c r="E293" t="s">
        <v>109</v>
      </c>
      <c r="F293" s="47" t="str">
        <f>+Centro_Cuenta8[[#This Row],[Codigo Centro Gestion]]&amp;" - "&amp;Centro_Cuenta8[[#This Row],[Nombre Centro Gestion]]</f>
        <v>10188204 - Vista Macul-Proyecto</v>
      </c>
      <c r="G293" s="47" t="str">
        <f>+Centro_Cuenta8[[#This Row],[Código Cuenta Contable]]&amp;" - "&amp;Centro_Cuenta8[[#This Row],[Nombre de Cuenta Contable]]</f>
        <v>4203140 - Contribuciones</v>
      </c>
      <c r="H293" s="146" t="str">
        <f>+VLOOKUP(D293,'3. Cuentas'!A:F,6,0)</f>
        <v>SI</v>
      </c>
    </row>
    <row r="294" spans="1:8" x14ac:dyDescent="0.25">
      <c r="A294" s="43">
        <v>10188204</v>
      </c>
      <c r="B294" t="s">
        <v>838</v>
      </c>
      <c r="C294" s="43" t="s">
        <v>1624</v>
      </c>
      <c r="D294" s="43">
        <v>4203150</v>
      </c>
      <c r="E294" t="s">
        <v>156</v>
      </c>
      <c r="F294" s="47" t="str">
        <f>+Centro_Cuenta8[[#This Row],[Codigo Centro Gestion]]&amp;" - "&amp;Centro_Cuenta8[[#This Row],[Nombre Centro Gestion]]</f>
        <v>10188204 - Vista Macul-Proyecto</v>
      </c>
      <c r="G294" s="47" t="str">
        <f>+Centro_Cuenta8[[#This Row],[Código Cuenta Contable]]&amp;" - "&amp;Centro_Cuenta8[[#This Row],[Nombre de Cuenta Contable]]</f>
        <v>4203150 - Gastos CBR</v>
      </c>
      <c r="H294" s="146" t="str">
        <f>+VLOOKUP(D294,'3. Cuentas'!A:F,6,0)</f>
        <v>SI</v>
      </c>
    </row>
    <row r="295" spans="1:8" x14ac:dyDescent="0.25">
      <c r="A295" s="43">
        <v>10188204</v>
      </c>
      <c r="B295" t="s">
        <v>838</v>
      </c>
      <c r="C295" s="43" t="s">
        <v>1624</v>
      </c>
      <c r="D295" s="43">
        <v>4203160</v>
      </c>
      <c r="E295" t="s">
        <v>1639</v>
      </c>
      <c r="F295" s="47" t="str">
        <f>+Centro_Cuenta8[[#This Row],[Codigo Centro Gestion]]&amp;" - "&amp;Centro_Cuenta8[[#This Row],[Nombre Centro Gestion]]</f>
        <v>10188204 - Vista Macul-Proyecto</v>
      </c>
      <c r="G295" s="47" t="str">
        <f>+Centro_Cuenta8[[#This Row],[Código Cuenta Contable]]&amp;" - "&amp;Centro_Cuenta8[[#This Row],[Nombre de Cuenta Contable]]</f>
        <v>4203160 - PAPELERIA Y FOTOCOPIADO</v>
      </c>
      <c r="H295" s="146" t="str">
        <f>+VLOOKUP(D295,'3. Cuentas'!A:F,6,0)</f>
        <v>SI</v>
      </c>
    </row>
    <row r="296" spans="1:8" x14ac:dyDescent="0.25">
      <c r="A296" s="43">
        <v>10188204</v>
      </c>
      <c r="B296" t="s">
        <v>838</v>
      </c>
      <c r="C296" s="43" t="s">
        <v>1624</v>
      </c>
      <c r="D296" s="43">
        <v>4203180</v>
      </c>
      <c r="E296" t="s">
        <v>1640</v>
      </c>
      <c r="F296" s="47" t="str">
        <f>+Centro_Cuenta8[[#This Row],[Codigo Centro Gestion]]&amp;" - "&amp;Centro_Cuenta8[[#This Row],[Nombre Centro Gestion]]</f>
        <v>10188204 - Vista Macul-Proyecto</v>
      </c>
      <c r="G296" s="47" t="str">
        <f>+Centro_Cuenta8[[#This Row],[Código Cuenta Contable]]&amp;" - "&amp;Centro_Cuenta8[[#This Row],[Nombre de Cuenta Contable]]</f>
        <v>4203180 - Otros Gastos y Aseso Proy</v>
      </c>
      <c r="H296" s="146" t="str">
        <f>+VLOOKUP(D296,'3. Cuentas'!A:F,6,0)</f>
        <v>SI</v>
      </c>
    </row>
    <row r="297" spans="1:8" x14ac:dyDescent="0.25">
      <c r="A297" s="43">
        <v>10188301</v>
      </c>
      <c r="B297" t="s">
        <v>839</v>
      </c>
      <c r="C297" s="43" t="s">
        <v>1643</v>
      </c>
      <c r="D297" s="43">
        <v>4203090</v>
      </c>
      <c r="E297" t="s">
        <v>192</v>
      </c>
      <c r="F297" s="47" t="str">
        <f>+Centro_Cuenta8[[#This Row],[Codigo Centro Gestion]]&amp;" - "&amp;Centro_Cuenta8[[#This Row],[Nombre Centro Gestion]]</f>
        <v>10188301 - Vista Macul-GAF</v>
      </c>
      <c r="G297" s="47" t="str">
        <f>+Centro_Cuenta8[[#This Row],[Código Cuenta Contable]]&amp;" - "&amp;Centro_Cuenta8[[#This Row],[Nombre de Cuenta Contable]]</f>
        <v>4203090 - Gastos Legales Y Notariales Proyecto</v>
      </c>
      <c r="H297" s="146" t="str">
        <f>+VLOOKUP(D297,'3. Cuentas'!A:F,6,0)</f>
        <v>SI</v>
      </c>
    </row>
    <row r="298" spans="1:8" x14ac:dyDescent="0.25">
      <c r="A298" s="43">
        <v>10188301</v>
      </c>
      <c r="B298" t="s">
        <v>839</v>
      </c>
      <c r="C298" s="43" t="s">
        <v>1643</v>
      </c>
      <c r="D298" s="43">
        <v>4203140</v>
      </c>
      <c r="E298" t="s">
        <v>109</v>
      </c>
      <c r="F298" s="47" t="str">
        <f>+Centro_Cuenta8[[#This Row],[Codigo Centro Gestion]]&amp;" - "&amp;Centro_Cuenta8[[#This Row],[Nombre Centro Gestion]]</f>
        <v>10188301 - Vista Macul-GAF</v>
      </c>
      <c r="G298" s="47" t="str">
        <f>+Centro_Cuenta8[[#This Row],[Código Cuenta Contable]]&amp;" - "&amp;Centro_Cuenta8[[#This Row],[Nombre de Cuenta Contable]]</f>
        <v>4203140 - Contribuciones</v>
      </c>
      <c r="H298" s="146" t="str">
        <f>+VLOOKUP(D298,'3. Cuentas'!A:F,6,0)</f>
        <v>SI</v>
      </c>
    </row>
    <row r="299" spans="1:8" x14ac:dyDescent="0.25">
      <c r="A299" s="43">
        <v>10188506</v>
      </c>
      <c r="B299" t="s">
        <v>841</v>
      </c>
      <c r="C299" s="43" t="s">
        <v>200</v>
      </c>
      <c r="D299" s="43">
        <v>1115100</v>
      </c>
      <c r="E299" t="s">
        <v>292</v>
      </c>
      <c r="F299" s="47" t="str">
        <f>+Centro_Cuenta8[[#This Row],[Codigo Centro Gestion]]&amp;" - "&amp;Centro_Cuenta8[[#This Row],[Nombre Centro Gestion]]</f>
        <v>10188506 - Vista Macul-Depto.Técnico</v>
      </c>
      <c r="G299" s="47" t="str">
        <f>+Centro_Cuenta8[[#This Row],[Código Cuenta Contable]]&amp;" - "&amp;Centro_Cuenta8[[#This Row],[Nombre de Cuenta Contable]]</f>
        <v>1115100 - Proyectos Y Especialidades</v>
      </c>
      <c r="H299" s="146" t="str">
        <f>+VLOOKUP(D299,'3. Cuentas'!A:F,6,0)</f>
        <v>SI</v>
      </c>
    </row>
    <row r="300" spans="1:8" x14ac:dyDescent="0.25">
      <c r="A300" s="43">
        <v>10189102</v>
      </c>
      <c r="B300" t="s">
        <v>843</v>
      </c>
      <c r="C300" s="43" t="s">
        <v>1617</v>
      </c>
      <c r="D300" s="43">
        <v>4204010</v>
      </c>
      <c r="E300" t="s">
        <v>313</v>
      </c>
      <c r="F300" s="47" t="str">
        <f>+Centro_Cuenta8[[#This Row],[Codigo Centro Gestion]]&amp;" - "&amp;Centro_Cuenta8[[#This Row],[Nombre Centro Gestion]]</f>
        <v>10189102 - Vista Azul-Marketing</v>
      </c>
      <c r="G300" s="47" t="str">
        <f>+Centro_Cuenta8[[#This Row],[Código Cuenta Contable]]&amp;" - "&amp;Centro_Cuenta8[[#This Row],[Nombre de Cuenta Contable]]</f>
        <v>4204010 - Publicidad Punto Venta</v>
      </c>
      <c r="H300" s="146" t="str">
        <f>+VLOOKUP(D300,'3. Cuentas'!A:F,6,0)</f>
        <v>SI</v>
      </c>
    </row>
    <row r="301" spans="1:8" x14ac:dyDescent="0.25">
      <c r="A301" s="43">
        <v>10189102</v>
      </c>
      <c r="B301" t="s">
        <v>843</v>
      </c>
      <c r="C301" s="43" t="s">
        <v>1617</v>
      </c>
      <c r="D301" s="43">
        <v>4204021</v>
      </c>
      <c r="E301" t="s">
        <v>329</v>
      </c>
      <c r="F301" s="47" t="str">
        <f>+Centro_Cuenta8[[#This Row],[Codigo Centro Gestion]]&amp;" - "&amp;Centro_Cuenta8[[#This Row],[Nombre Centro Gestion]]</f>
        <v>10189102 - Vista Azul-Marketing</v>
      </c>
      <c r="G301" s="47" t="str">
        <f>+Centro_Cuenta8[[#This Row],[Código Cuenta Contable]]&amp;" - "&amp;Centro_Cuenta8[[#This Row],[Nombre de Cuenta Contable]]</f>
        <v>4204021 - Publicidad Ferias Y Eventos</v>
      </c>
      <c r="H301" s="146" t="str">
        <f>+VLOOKUP(D301,'3. Cuentas'!A:F,6,0)</f>
        <v>SI</v>
      </c>
    </row>
    <row r="302" spans="1:8" x14ac:dyDescent="0.25">
      <c r="A302" s="43">
        <v>10189103</v>
      </c>
      <c r="B302" t="s">
        <v>844</v>
      </c>
      <c r="C302" s="43" t="s">
        <v>1618</v>
      </c>
      <c r="D302" s="43">
        <v>4203060</v>
      </c>
      <c r="E302" t="s">
        <v>321</v>
      </c>
      <c r="F302" s="47" t="str">
        <f>+Centro_Cuenta8[[#This Row],[Codigo Centro Gestion]]&amp;" - "&amp;Centro_Cuenta8[[#This Row],[Nombre Centro Gestion]]</f>
        <v>10189103 - Vista Azul-Operaciones</v>
      </c>
      <c r="G302" s="47" t="str">
        <f>+Centro_Cuenta8[[#This Row],[Código Cuenta Contable]]&amp;" - "&amp;Centro_Cuenta8[[#This Row],[Nombre de Cuenta Contable]]</f>
        <v>4203060 - Gastos Operacionales De Clientes</v>
      </c>
      <c r="H302" s="146" t="str">
        <f>+VLOOKUP(D302,'3. Cuentas'!A:F,6,0)</f>
        <v>SI</v>
      </c>
    </row>
    <row r="303" spans="1:8" x14ac:dyDescent="0.25">
      <c r="A303" s="43">
        <v>10189103</v>
      </c>
      <c r="B303" t="s">
        <v>844</v>
      </c>
      <c r="C303" s="43" t="s">
        <v>1618</v>
      </c>
      <c r="D303" s="43">
        <v>4203090</v>
      </c>
      <c r="E303" t="s">
        <v>192</v>
      </c>
      <c r="F303" s="47" t="str">
        <f>+Centro_Cuenta8[[#This Row],[Codigo Centro Gestion]]&amp;" - "&amp;Centro_Cuenta8[[#This Row],[Nombre Centro Gestion]]</f>
        <v>10189103 - Vista Azul-Operaciones</v>
      </c>
      <c r="G303" s="47" t="str">
        <f>+Centro_Cuenta8[[#This Row],[Código Cuenta Contable]]&amp;" - "&amp;Centro_Cuenta8[[#This Row],[Nombre de Cuenta Contable]]</f>
        <v>4203090 - Gastos Legales Y Notariales Proyecto</v>
      </c>
      <c r="H303" s="146" t="str">
        <f>+VLOOKUP(D303,'3. Cuentas'!A:F,6,0)</f>
        <v>SI</v>
      </c>
    </row>
    <row r="304" spans="1:8" x14ac:dyDescent="0.25">
      <c r="A304" s="43">
        <v>10189104</v>
      </c>
      <c r="B304" t="s">
        <v>845</v>
      </c>
      <c r="C304" s="43" t="s">
        <v>90</v>
      </c>
      <c r="D304" s="43">
        <v>1110040</v>
      </c>
      <c r="E304" t="s">
        <v>1505</v>
      </c>
      <c r="F304" s="47" t="str">
        <f>+Centro_Cuenta8[[#This Row],[Codigo Centro Gestion]]&amp;" - "&amp;Centro_Cuenta8[[#This Row],[Nombre Centro Gestion]]</f>
        <v>10189104 - Vista Azul-Ventas</v>
      </c>
      <c r="G304" s="47" t="str">
        <f>+Centro_Cuenta8[[#This Row],[Código Cuenta Contable]]&amp;" - "&amp;Centro_Cuenta8[[#This Row],[Nombre de Cuenta Contable]]</f>
        <v>1110040 - Garantía Pagadas</v>
      </c>
      <c r="H304" s="146" t="str">
        <f>+VLOOKUP(D304,'3. Cuentas'!A:F,6,0)</f>
        <v>SI</v>
      </c>
    </row>
    <row r="305" spans="1:8" x14ac:dyDescent="0.25">
      <c r="A305" s="43">
        <v>10189104</v>
      </c>
      <c r="B305" t="s">
        <v>845</v>
      </c>
      <c r="C305" s="43" t="s">
        <v>90</v>
      </c>
      <c r="D305" s="43">
        <v>4202003</v>
      </c>
      <c r="E305" t="s">
        <v>106</v>
      </c>
      <c r="F305" s="47" t="str">
        <f>+Centro_Cuenta8[[#This Row],[Codigo Centro Gestion]]&amp;" - "&amp;Centro_Cuenta8[[#This Row],[Nombre Centro Gestion]]</f>
        <v>10189104 - Vista Azul-Ventas</v>
      </c>
      <c r="G305" s="47" t="str">
        <f>+Centro_Cuenta8[[#This Row],[Código Cuenta Contable]]&amp;" - "&amp;Centro_Cuenta8[[#This Row],[Nombre de Cuenta Contable]]</f>
        <v>4202003 - Serv.Basic.Luz.Agua.Tel Of.C</v>
      </c>
      <c r="H305" s="146" t="str">
        <f>+VLOOKUP(D305,'3. Cuentas'!A:F,6,0)</f>
        <v>SI</v>
      </c>
    </row>
    <row r="306" spans="1:8" x14ac:dyDescent="0.25">
      <c r="A306" s="43">
        <v>10189104</v>
      </c>
      <c r="B306" t="s">
        <v>845</v>
      </c>
      <c r="C306" s="43" t="s">
        <v>90</v>
      </c>
      <c r="D306" s="43">
        <v>4202010</v>
      </c>
      <c r="E306" t="s">
        <v>87</v>
      </c>
      <c r="F306" s="47" t="str">
        <f>+Centro_Cuenta8[[#This Row],[Codigo Centro Gestion]]&amp;" - "&amp;Centro_Cuenta8[[#This Row],[Nombre Centro Gestion]]</f>
        <v>10189104 - Vista Azul-Ventas</v>
      </c>
      <c r="G306" s="47" t="str">
        <f>+Centro_Cuenta8[[#This Row],[Código Cuenta Contable]]&amp;" - "&amp;Centro_Cuenta8[[#This Row],[Nombre de Cuenta Contable]]</f>
        <v>4202010 - Artic. Ofic. Fotocop.Papelería</v>
      </c>
      <c r="H306" s="146" t="str">
        <f>+VLOOKUP(D306,'3. Cuentas'!A:F,6,0)</f>
        <v>SI</v>
      </c>
    </row>
    <row r="307" spans="1:8" x14ac:dyDescent="0.25">
      <c r="A307" s="43">
        <v>10189104</v>
      </c>
      <c r="B307" t="s">
        <v>845</v>
      </c>
      <c r="C307" s="43" t="s">
        <v>90</v>
      </c>
      <c r="D307" s="43">
        <v>4202019</v>
      </c>
      <c r="E307" t="s">
        <v>81</v>
      </c>
      <c r="F307" s="47" t="str">
        <f>+Centro_Cuenta8[[#This Row],[Codigo Centro Gestion]]&amp;" - "&amp;Centro_Cuenta8[[#This Row],[Nombre Centro Gestion]]</f>
        <v>10189104 - Vista Azul-Ventas</v>
      </c>
      <c r="G307" s="47" t="str">
        <f>+Centro_Cuenta8[[#This Row],[Código Cuenta Contable]]&amp;" - "&amp;Centro_Cuenta8[[#This Row],[Nombre de Cuenta Contable]]</f>
        <v>4202019 - Gasto General Oficina</v>
      </c>
      <c r="H307" s="146" t="str">
        <f>+VLOOKUP(D307,'3. Cuentas'!A:F,6,0)</f>
        <v>SI</v>
      </c>
    </row>
    <row r="308" spans="1:8" x14ac:dyDescent="0.25">
      <c r="A308" s="43">
        <v>10189104</v>
      </c>
      <c r="B308" t="s">
        <v>845</v>
      </c>
      <c r="C308" s="43" t="s">
        <v>90</v>
      </c>
      <c r="D308" s="43">
        <v>4202023</v>
      </c>
      <c r="E308" t="s">
        <v>82</v>
      </c>
      <c r="F308" s="47" t="str">
        <f>+Centro_Cuenta8[[#This Row],[Codigo Centro Gestion]]&amp;" - "&amp;Centro_Cuenta8[[#This Row],[Nombre Centro Gestion]]</f>
        <v>10189104 - Vista Azul-Ventas</v>
      </c>
      <c r="G308" s="47" t="str">
        <f>+Centro_Cuenta8[[#This Row],[Código Cuenta Contable]]&amp;" - "&amp;Centro_Cuenta8[[#This Row],[Nombre de Cuenta Contable]]</f>
        <v>4202023 - Honorarios Por Asesorías</v>
      </c>
      <c r="H308" s="146" t="str">
        <f>+VLOOKUP(D308,'3. Cuentas'!A:F,6,0)</f>
        <v>SI</v>
      </c>
    </row>
    <row r="309" spans="1:8" x14ac:dyDescent="0.25">
      <c r="A309" s="43">
        <v>10189104</v>
      </c>
      <c r="B309" t="s">
        <v>845</v>
      </c>
      <c r="C309" s="43" t="s">
        <v>90</v>
      </c>
      <c r="D309" s="43">
        <v>4202029</v>
      </c>
      <c r="E309" t="s">
        <v>83</v>
      </c>
      <c r="F309" s="47" t="str">
        <f>+Centro_Cuenta8[[#This Row],[Codigo Centro Gestion]]&amp;" - "&amp;Centro_Cuenta8[[#This Row],[Nombre Centro Gestion]]</f>
        <v>10189104 - Vista Azul-Ventas</v>
      </c>
      <c r="G309" s="47" t="str">
        <f>+Centro_Cuenta8[[#This Row],[Código Cuenta Contable]]&amp;" - "&amp;Centro_Cuenta8[[#This Row],[Nombre de Cuenta Contable]]</f>
        <v>4202029 - Insumos Y Gastos Informáticos</v>
      </c>
      <c r="H309" s="146" t="str">
        <f>+VLOOKUP(D309,'3. Cuentas'!A:F,6,0)</f>
        <v>SI</v>
      </c>
    </row>
    <row r="310" spans="1:8" x14ac:dyDescent="0.25">
      <c r="A310" s="43">
        <v>10189104</v>
      </c>
      <c r="B310" t="s">
        <v>845</v>
      </c>
      <c r="C310" s="43" t="s">
        <v>90</v>
      </c>
      <c r="D310" s="43">
        <v>4204021</v>
      </c>
      <c r="E310" t="s">
        <v>329</v>
      </c>
      <c r="F310" s="47" t="str">
        <f>+Centro_Cuenta8[[#This Row],[Codigo Centro Gestion]]&amp;" - "&amp;Centro_Cuenta8[[#This Row],[Nombre Centro Gestion]]</f>
        <v>10189104 - Vista Azul-Ventas</v>
      </c>
      <c r="G310" s="47" t="str">
        <f>+Centro_Cuenta8[[#This Row],[Código Cuenta Contable]]&amp;" - "&amp;Centro_Cuenta8[[#This Row],[Nombre de Cuenta Contable]]</f>
        <v>4204021 - Publicidad Ferias Y Eventos</v>
      </c>
      <c r="H310" s="146" t="str">
        <f>+VLOOKUP(D310,'3. Cuentas'!A:F,6,0)</f>
        <v>SI</v>
      </c>
    </row>
    <row r="311" spans="1:8" x14ac:dyDescent="0.25">
      <c r="A311" s="43">
        <v>10189105</v>
      </c>
      <c r="B311" t="s">
        <v>846</v>
      </c>
      <c r="C311" s="43" t="s">
        <v>1622</v>
      </c>
      <c r="D311" s="43">
        <v>4203020</v>
      </c>
      <c r="E311" t="s">
        <v>295</v>
      </c>
      <c r="F311" s="47" t="str">
        <f>+Centro_Cuenta8[[#This Row],[Codigo Centro Gestion]]&amp;" - "&amp;Centro_Cuenta8[[#This Row],[Nombre Centro Gestion]]</f>
        <v>10189105 - Vista Azul-Clientes</v>
      </c>
      <c r="G311" s="47" t="str">
        <f>+Centro_Cuenta8[[#This Row],[Código Cuenta Contable]]&amp;" - "&amp;Centro_Cuenta8[[#This Row],[Nombre de Cuenta Contable]]</f>
        <v>4203020 - Mant. y Consum. Viv Stock</v>
      </c>
      <c r="H311" s="146" t="str">
        <f>+VLOOKUP(D311,'3. Cuentas'!A:F,6,0)</f>
        <v>SI</v>
      </c>
    </row>
    <row r="312" spans="1:8" x14ac:dyDescent="0.25">
      <c r="A312" s="43">
        <v>10189105</v>
      </c>
      <c r="B312" t="s">
        <v>846</v>
      </c>
      <c r="C312" s="43" t="s">
        <v>1622</v>
      </c>
      <c r="D312" s="43">
        <v>4203120</v>
      </c>
      <c r="E312" t="s">
        <v>108</v>
      </c>
      <c r="F312" s="47" t="str">
        <f>+Centro_Cuenta8[[#This Row],[Codigo Centro Gestion]]&amp;" - "&amp;Centro_Cuenta8[[#This Row],[Nombre Centro Gestion]]</f>
        <v>10189105 - Vista Azul-Clientes</v>
      </c>
      <c r="G312" s="47" t="str">
        <f>+Centro_Cuenta8[[#This Row],[Código Cuenta Contable]]&amp;" - "&amp;Centro_Cuenta8[[#This Row],[Nombre de Cuenta Contable]]</f>
        <v>4203120 - Gastos Comunes</v>
      </c>
      <c r="H312" s="146" t="str">
        <f>+VLOOKUP(D312,'3. Cuentas'!A:F,6,0)</f>
        <v>SI</v>
      </c>
    </row>
    <row r="313" spans="1:8" x14ac:dyDescent="0.25">
      <c r="A313" s="43">
        <v>10189105</v>
      </c>
      <c r="B313" t="s">
        <v>846</v>
      </c>
      <c r="C313" s="43" t="s">
        <v>1622</v>
      </c>
      <c r="D313" s="43">
        <v>4203140</v>
      </c>
      <c r="E313" t="s">
        <v>109</v>
      </c>
      <c r="F313" s="47" t="str">
        <f>+Centro_Cuenta8[[#This Row],[Codigo Centro Gestion]]&amp;" - "&amp;Centro_Cuenta8[[#This Row],[Nombre Centro Gestion]]</f>
        <v>10189105 - Vista Azul-Clientes</v>
      </c>
      <c r="G313" s="47" t="str">
        <f>+Centro_Cuenta8[[#This Row],[Código Cuenta Contable]]&amp;" - "&amp;Centro_Cuenta8[[#This Row],[Nombre de Cuenta Contable]]</f>
        <v>4203140 - Contribuciones</v>
      </c>
      <c r="H313" s="146" t="str">
        <f>+VLOOKUP(D313,'3. Cuentas'!A:F,6,0)</f>
        <v>SI</v>
      </c>
    </row>
    <row r="314" spans="1:8" x14ac:dyDescent="0.25">
      <c r="A314" s="43">
        <v>10189204</v>
      </c>
      <c r="B314" t="s">
        <v>847</v>
      </c>
      <c r="C314" s="43" t="s">
        <v>1624</v>
      </c>
      <c r="D314" s="43">
        <v>1103045</v>
      </c>
      <c r="E314" t="s">
        <v>323</v>
      </c>
      <c r="F314" s="47" t="str">
        <f>+Centro_Cuenta8[[#This Row],[Codigo Centro Gestion]]&amp;" - "&amp;Centro_Cuenta8[[#This Row],[Nombre Centro Gestion]]</f>
        <v>10189204 - Vista Azul-Proyecto</v>
      </c>
      <c r="G314" s="47" t="str">
        <f>+Centro_Cuenta8[[#This Row],[Código Cuenta Contable]]&amp;" - "&amp;Centro_Cuenta8[[#This Row],[Nombre de Cuenta Contable]]</f>
        <v>1103045 - Aportes reembolsables (electricidad y agua)</v>
      </c>
      <c r="H314" s="146" t="str">
        <f>+VLOOKUP(D314,'3. Cuentas'!A:F,6,0)</f>
        <v>SI</v>
      </c>
    </row>
    <row r="315" spans="1:8" x14ac:dyDescent="0.25">
      <c r="A315" s="43">
        <v>10189204</v>
      </c>
      <c r="B315" t="s">
        <v>847</v>
      </c>
      <c r="C315" s="43" t="s">
        <v>1624</v>
      </c>
      <c r="D315" s="43">
        <v>1109020</v>
      </c>
      <c r="E315" t="s">
        <v>302</v>
      </c>
      <c r="F315" s="47" t="str">
        <f>+Centro_Cuenta8[[#This Row],[Codigo Centro Gestion]]&amp;" - "&amp;Centro_Cuenta8[[#This Row],[Nombre Centro Gestion]]</f>
        <v>10189204 - Vista Azul-Proyecto</v>
      </c>
      <c r="G315" s="47" t="str">
        <f>+Centro_Cuenta8[[#This Row],[Código Cuenta Contable]]&amp;" - "&amp;Centro_Cuenta8[[#This Row],[Nombre de Cuenta Contable]]</f>
        <v>1109020 - Mobiliario</v>
      </c>
      <c r="H315" s="146" t="str">
        <f>+VLOOKUP(D315,'3. Cuentas'!A:F,6,0)</f>
        <v>SI</v>
      </c>
    </row>
    <row r="316" spans="1:8" x14ac:dyDescent="0.25">
      <c r="A316" s="43">
        <v>10189204</v>
      </c>
      <c r="B316" t="s">
        <v>847</v>
      </c>
      <c r="C316" s="43" t="s">
        <v>1624</v>
      </c>
      <c r="D316" s="43">
        <v>1110040</v>
      </c>
      <c r="E316" t="s">
        <v>1505</v>
      </c>
      <c r="F316" s="47" t="str">
        <f>+Centro_Cuenta8[[#This Row],[Codigo Centro Gestion]]&amp;" - "&amp;Centro_Cuenta8[[#This Row],[Nombre Centro Gestion]]</f>
        <v>10189204 - Vista Azul-Proyecto</v>
      </c>
      <c r="G316" s="47" t="str">
        <f>+Centro_Cuenta8[[#This Row],[Código Cuenta Contable]]&amp;" - "&amp;Centro_Cuenta8[[#This Row],[Nombre de Cuenta Contable]]</f>
        <v>1110040 - Garantía Pagadas</v>
      </c>
      <c r="H316" s="146" t="str">
        <f>+VLOOKUP(D316,'3. Cuentas'!A:F,6,0)</f>
        <v>SI</v>
      </c>
    </row>
    <row r="317" spans="1:8" x14ac:dyDescent="0.25">
      <c r="A317" s="43">
        <v>10189204</v>
      </c>
      <c r="B317" t="s">
        <v>847</v>
      </c>
      <c r="C317" s="43" t="s">
        <v>1624</v>
      </c>
      <c r="D317" s="43">
        <v>1115040</v>
      </c>
      <c r="E317" t="s">
        <v>291</v>
      </c>
      <c r="F317" s="47" t="str">
        <f>+Centro_Cuenta8[[#This Row],[Codigo Centro Gestion]]&amp;" - "&amp;Centro_Cuenta8[[#This Row],[Nombre Centro Gestion]]</f>
        <v>10189204 - Vista Azul-Proyecto</v>
      </c>
      <c r="G317" s="47" t="str">
        <f>+Centro_Cuenta8[[#This Row],[Código Cuenta Contable]]&amp;" - "&amp;Centro_Cuenta8[[#This Row],[Nombre de Cuenta Contable]]</f>
        <v>1115040 - Saneamiento De Terreno</v>
      </c>
      <c r="H317" s="146" t="str">
        <f>+VLOOKUP(D317,'3. Cuentas'!A:F,6,0)</f>
        <v>SI</v>
      </c>
    </row>
    <row r="318" spans="1:8" x14ac:dyDescent="0.25">
      <c r="A318" s="43">
        <v>10189204</v>
      </c>
      <c r="B318" t="s">
        <v>847</v>
      </c>
      <c r="C318" s="43" t="s">
        <v>1624</v>
      </c>
      <c r="D318" s="43">
        <v>1115050</v>
      </c>
      <c r="E318" t="s">
        <v>1628</v>
      </c>
      <c r="F318" s="47" t="str">
        <f>+Centro_Cuenta8[[#This Row],[Codigo Centro Gestion]]&amp;" - "&amp;Centro_Cuenta8[[#This Row],[Nombre Centro Gestion]]</f>
        <v>10189204 - Vista Azul-Proyecto</v>
      </c>
      <c r="G318" s="47" t="str">
        <f>+Centro_Cuenta8[[#This Row],[Código Cuenta Contable]]&amp;" - "&amp;Centro_Cuenta8[[#This Row],[Nombre de Cuenta Contable]]</f>
        <v>1115050 - Demolición</v>
      </c>
      <c r="H318" s="146" t="str">
        <f>+VLOOKUP(D318,'3. Cuentas'!A:F,6,0)</f>
        <v>SI</v>
      </c>
    </row>
    <row r="319" spans="1:8" x14ac:dyDescent="0.25">
      <c r="A319" s="43">
        <v>10189204</v>
      </c>
      <c r="B319" t="s">
        <v>847</v>
      </c>
      <c r="C319" s="43" t="s">
        <v>1624</v>
      </c>
      <c r="D319" s="43">
        <v>1115100</v>
      </c>
      <c r="E319" t="s">
        <v>292</v>
      </c>
      <c r="F319" s="47" t="str">
        <f>+Centro_Cuenta8[[#This Row],[Codigo Centro Gestion]]&amp;" - "&amp;Centro_Cuenta8[[#This Row],[Nombre Centro Gestion]]</f>
        <v>10189204 - Vista Azul-Proyecto</v>
      </c>
      <c r="G319" s="47" t="str">
        <f>+Centro_Cuenta8[[#This Row],[Código Cuenta Contable]]&amp;" - "&amp;Centro_Cuenta8[[#This Row],[Nombre de Cuenta Contable]]</f>
        <v>1115100 - Proyectos Y Especialidades</v>
      </c>
      <c r="H319" s="146" t="str">
        <f>+VLOOKUP(D319,'3. Cuentas'!A:F,6,0)</f>
        <v>SI</v>
      </c>
    </row>
    <row r="320" spans="1:8" x14ac:dyDescent="0.25">
      <c r="A320" s="43">
        <v>10189204</v>
      </c>
      <c r="B320" t="s">
        <v>847</v>
      </c>
      <c r="C320" s="43" t="s">
        <v>1624</v>
      </c>
      <c r="D320" s="43">
        <v>1115120</v>
      </c>
      <c r="E320" t="s">
        <v>1633</v>
      </c>
      <c r="F320" s="47" t="str">
        <f>+Centro_Cuenta8[[#This Row],[Codigo Centro Gestion]]&amp;" - "&amp;Centro_Cuenta8[[#This Row],[Nombre Centro Gestion]]</f>
        <v>10189204 - Vista Azul-Proyecto</v>
      </c>
      <c r="G320" s="47" t="str">
        <f>+Centro_Cuenta8[[#This Row],[Código Cuenta Contable]]&amp;" - "&amp;Centro_Cuenta8[[#This Row],[Nombre de Cuenta Contable]]</f>
        <v>1115120 - Instalación Empalmes</v>
      </c>
      <c r="H320" s="146" t="str">
        <f>+VLOOKUP(D320,'3. Cuentas'!A:F,6,0)</f>
        <v>SI</v>
      </c>
    </row>
    <row r="321" spans="1:8" x14ac:dyDescent="0.25">
      <c r="A321" s="43">
        <v>10189204</v>
      </c>
      <c r="B321" t="s">
        <v>847</v>
      </c>
      <c r="C321" s="43" t="s">
        <v>1624</v>
      </c>
      <c r="D321" s="43">
        <v>1115170</v>
      </c>
      <c r="E321" t="s">
        <v>293</v>
      </c>
      <c r="F321" s="47" t="str">
        <f>+Centro_Cuenta8[[#This Row],[Codigo Centro Gestion]]&amp;" - "&amp;Centro_Cuenta8[[#This Row],[Nombre Centro Gestion]]</f>
        <v>10189204 - Vista Azul-Proyecto</v>
      </c>
      <c r="G321" s="47" t="str">
        <f>+Centro_Cuenta8[[#This Row],[Código Cuenta Contable]]&amp;" - "&amp;Centro_Cuenta8[[#This Row],[Nombre de Cuenta Contable]]</f>
        <v>1115170 - Permisos Y Otros Gastos Municipales</v>
      </c>
      <c r="H321" s="146" t="str">
        <f>+VLOOKUP(D321,'3. Cuentas'!A:F,6,0)</f>
        <v>SI</v>
      </c>
    </row>
    <row r="322" spans="1:8" x14ac:dyDescent="0.25">
      <c r="A322" s="43">
        <v>10189204</v>
      </c>
      <c r="B322" t="s">
        <v>847</v>
      </c>
      <c r="C322" s="43" t="s">
        <v>1624</v>
      </c>
      <c r="D322" s="43">
        <v>1115240</v>
      </c>
      <c r="E322" t="s">
        <v>294</v>
      </c>
      <c r="F322" s="47" t="str">
        <f>+Centro_Cuenta8[[#This Row],[Codigo Centro Gestion]]&amp;" - "&amp;Centro_Cuenta8[[#This Row],[Nombre Centro Gestion]]</f>
        <v>10189204 - Vista Azul-Proyecto</v>
      </c>
      <c r="G322" s="47" t="str">
        <f>+Centro_Cuenta8[[#This Row],[Código Cuenta Contable]]&amp;" - "&amp;Centro_Cuenta8[[#This Row],[Nombre de Cuenta Contable]]</f>
        <v>1115240 - Estudios Y Asesorias Técnicas</v>
      </c>
      <c r="H322" s="146" t="str">
        <f>+VLOOKUP(D322,'3. Cuentas'!A:F,6,0)</f>
        <v>SI</v>
      </c>
    </row>
    <row r="323" spans="1:8" x14ac:dyDescent="0.25">
      <c r="A323" s="43">
        <v>10189204</v>
      </c>
      <c r="B323" t="s">
        <v>847</v>
      </c>
      <c r="C323" s="43" t="s">
        <v>1624</v>
      </c>
      <c r="D323" s="43">
        <v>4203090</v>
      </c>
      <c r="E323" t="s">
        <v>192</v>
      </c>
      <c r="F323" s="47" t="str">
        <f>+Centro_Cuenta8[[#This Row],[Codigo Centro Gestion]]&amp;" - "&amp;Centro_Cuenta8[[#This Row],[Nombre Centro Gestion]]</f>
        <v>10189204 - Vista Azul-Proyecto</v>
      </c>
      <c r="G323" s="47" t="str">
        <f>+Centro_Cuenta8[[#This Row],[Código Cuenta Contable]]&amp;" - "&amp;Centro_Cuenta8[[#This Row],[Nombre de Cuenta Contable]]</f>
        <v>4203090 - Gastos Legales Y Notariales Proyecto</v>
      </c>
      <c r="H323" s="146" t="str">
        <f>+VLOOKUP(D323,'3. Cuentas'!A:F,6,0)</f>
        <v>SI</v>
      </c>
    </row>
    <row r="324" spans="1:8" x14ac:dyDescent="0.25">
      <c r="A324" s="43">
        <v>10189204</v>
      </c>
      <c r="B324" t="s">
        <v>847</v>
      </c>
      <c r="C324" s="43" t="s">
        <v>1624</v>
      </c>
      <c r="D324" s="43">
        <v>4203140</v>
      </c>
      <c r="E324" t="s">
        <v>109</v>
      </c>
      <c r="F324" s="47" t="str">
        <f>+Centro_Cuenta8[[#This Row],[Codigo Centro Gestion]]&amp;" - "&amp;Centro_Cuenta8[[#This Row],[Nombre Centro Gestion]]</f>
        <v>10189204 - Vista Azul-Proyecto</v>
      </c>
      <c r="G324" s="47" t="str">
        <f>+Centro_Cuenta8[[#This Row],[Código Cuenta Contable]]&amp;" - "&amp;Centro_Cuenta8[[#This Row],[Nombre de Cuenta Contable]]</f>
        <v>4203140 - Contribuciones</v>
      </c>
      <c r="H324" s="146" t="str">
        <f>+VLOOKUP(D324,'3. Cuentas'!A:F,6,0)</f>
        <v>SI</v>
      </c>
    </row>
    <row r="325" spans="1:8" x14ac:dyDescent="0.25">
      <c r="A325" s="43">
        <v>10189204</v>
      </c>
      <c r="B325" t="s">
        <v>847</v>
      </c>
      <c r="C325" s="43" t="s">
        <v>1624</v>
      </c>
      <c r="D325" s="43">
        <v>4203150</v>
      </c>
      <c r="E325" t="s">
        <v>156</v>
      </c>
      <c r="F325" s="47" t="str">
        <f>+Centro_Cuenta8[[#This Row],[Codigo Centro Gestion]]&amp;" - "&amp;Centro_Cuenta8[[#This Row],[Nombre Centro Gestion]]</f>
        <v>10189204 - Vista Azul-Proyecto</v>
      </c>
      <c r="G325" s="47" t="str">
        <f>+Centro_Cuenta8[[#This Row],[Código Cuenta Contable]]&amp;" - "&amp;Centro_Cuenta8[[#This Row],[Nombre de Cuenta Contable]]</f>
        <v>4203150 - Gastos CBR</v>
      </c>
      <c r="H325" s="146" t="str">
        <f>+VLOOKUP(D325,'3. Cuentas'!A:F,6,0)</f>
        <v>SI</v>
      </c>
    </row>
    <row r="326" spans="1:8" x14ac:dyDescent="0.25">
      <c r="A326" s="43">
        <v>10189204</v>
      </c>
      <c r="B326" t="s">
        <v>847</v>
      </c>
      <c r="C326" s="43" t="s">
        <v>1624</v>
      </c>
      <c r="D326" s="43">
        <v>4203160</v>
      </c>
      <c r="E326" t="s">
        <v>1639</v>
      </c>
      <c r="F326" s="47" t="str">
        <f>+Centro_Cuenta8[[#This Row],[Codigo Centro Gestion]]&amp;" - "&amp;Centro_Cuenta8[[#This Row],[Nombre Centro Gestion]]</f>
        <v>10189204 - Vista Azul-Proyecto</v>
      </c>
      <c r="G326" s="47" t="str">
        <f>+Centro_Cuenta8[[#This Row],[Código Cuenta Contable]]&amp;" - "&amp;Centro_Cuenta8[[#This Row],[Nombre de Cuenta Contable]]</f>
        <v>4203160 - PAPELERIA Y FOTOCOPIADO</v>
      </c>
      <c r="H326" s="146" t="str">
        <f>+VLOOKUP(D326,'3. Cuentas'!A:F,6,0)</f>
        <v>SI</v>
      </c>
    </row>
    <row r="327" spans="1:8" x14ac:dyDescent="0.25">
      <c r="A327" s="43">
        <v>10189204</v>
      </c>
      <c r="B327" t="s">
        <v>847</v>
      </c>
      <c r="C327" s="43" t="s">
        <v>1624</v>
      </c>
      <c r="D327" s="43">
        <v>4203180</v>
      </c>
      <c r="E327" t="s">
        <v>1640</v>
      </c>
      <c r="F327" s="47" t="str">
        <f>+Centro_Cuenta8[[#This Row],[Codigo Centro Gestion]]&amp;" - "&amp;Centro_Cuenta8[[#This Row],[Nombre Centro Gestion]]</f>
        <v>10189204 - Vista Azul-Proyecto</v>
      </c>
      <c r="G327" s="47" t="str">
        <f>+Centro_Cuenta8[[#This Row],[Código Cuenta Contable]]&amp;" - "&amp;Centro_Cuenta8[[#This Row],[Nombre de Cuenta Contable]]</f>
        <v>4203180 - Otros Gastos y Aseso Proy</v>
      </c>
      <c r="H327" s="146" t="str">
        <f>+VLOOKUP(D327,'3. Cuentas'!A:F,6,0)</f>
        <v>SI</v>
      </c>
    </row>
    <row r="328" spans="1:8" x14ac:dyDescent="0.25">
      <c r="A328" s="43">
        <v>10189301</v>
      </c>
      <c r="B328" t="s">
        <v>848</v>
      </c>
      <c r="C328" s="43" t="s">
        <v>1643</v>
      </c>
      <c r="D328" s="43">
        <v>4203090</v>
      </c>
      <c r="E328" t="s">
        <v>192</v>
      </c>
      <c r="F328" s="47" t="str">
        <f>+Centro_Cuenta8[[#This Row],[Codigo Centro Gestion]]&amp;" - "&amp;Centro_Cuenta8[[#This Row],[Nombre Centro Gestion]]</f>
        <v>10189301 - Vista Azul-GAF</v>
      </c>
      <c r="G328" s="47" t="str">
        <f>+Centro_Cuenta8[[#This Row],[Código Cuenta Contable]]&amp;" - "&amp;Centro_Cuenta8[[#This Row],[Nombre de Cuenta Contable]]</f>
        <v>4203090 - Gastos Legales Y Notariales Proyecto</v>
      </c>
      <c r="H328" s="146" t="str">
        <f>+VLOOKUP(D328,'3. Cuentas'!A:F,6,0)</f>
        <v>SI</v>
      </c>
    </row>
    <row r="329" spans="1:8" x14ac:dyDescent="0.25">
      <c r="A329" s="43">
        <v>10189301</v>
      </c>
      <c r="B329" t="s">
        <v>848</v>
      </c>
      <c r="C329" s="43" t="s">
        <v>1643</v>
      </c>
      <c r="D329" s="43">
        <v>4203140</v>
      </c>
      <c r="E329" t="s">
        <v>109</v>
      </c>
      <c r="F329" s="47" t="str">
        <f>+Centro_Cuenta8[[#This Row],[Codigo Centro Gestion]]&amp;" - "&amp;Centro_Cuenta8[[#This Row],[Nombre Centro Gestion]]</f>
        <v>10189301 - Vista Azul-GAF</v>
      </c>
      <c r="G329" s="47" t="str">
        <f>+Centro_Cuenta8[[#This Row],[Código Cuenta Contable]]&amp;" - "&amp;Centro_Cuenta8[[#This Row],[Nombre de Cuenta Contable]]</f>
        <v>4203140 - Contribuciones</v>
      </c>
      <c r="H329" s="146" t="str">
        <f>+VLOOKUP(D329,'3. Cuentas'!A:F,6,0)</f>
        <v>SI</v>
      </c>
    </row>
    <row r="330" spans="1:8" x14ac:dyDescent="0.25">
      <c r="A330" s="43">
        <v>10189506</v>
      </c>
      <c r="B330" t="s">
        <v>850</v>
      </c>
      <c r="C330" s="43" t="s">
        <v>200</v>
      </c>
      <c r="D330" s="43">
        <v>1115100</v>
      </c>
      <c r="E330" t="s">
        <v>292</v>
      </c>
      <c r="F330" s="47" t="str">
        <f>+Centro_Cuenta8[[#This Row],[Codigo Centro Gestion]]&amp;" - "&amp;Centro_Cuenta8[[#This Row],[Nombre Centro Gestion]]</f>
        <v>10189506 - Vista Azul-Depto.Técnico</v>
      </c>
      <c r="G330" s="47" t="str">
        <f>+Centro_Cuenta8[[#This Row],[Código Cuenta Contable]]&amp;" - "&amp;Centro_Cuenta8[[#This Row],[Nombre de Cuenta Contable]]</f>
        <v>1115100 - Proyectos Y Especialidades</v>
      </c>
      <c r="H330" s="146" t="str">
        <f>+VLOOKUP(D330,'3. Cuentas'!A:F,6,0)</f>
        <v>SI</v>
      </c>
    </row>
    <row r="331" spans="1:8" x14ac:dyDescent="0.25">
      <c r="A331" s="43">
        <v>10195102</v>
      </c>
      <c r="B331" t="s">
        <v>852</v>
      </c>
      <c r="C331" s="43" t="s">
        <v>1617</v>
      </c>
      <c r="D331" s="43">
        <v>4204010</v>
      </c>
      <c r="E331" t="s">
        <v>313</v>
      </c>
      <c r="F331" s="47" t="str">
        <f>+Centro_Cuenta8[[#This Row],[Codigo Centro Gestion]]&amp;" - "&amp;Centro_Cuenta8[[#This Row],[Nombre Centro Gestion]]</f>
        <v>10195102 - Vista Macul 2-Marketing</v>
      </c>
      <c r="G331" s="47" t="str">
        <f>+Centro_Cuenta8[[#This Row],[Código Cuenta Contable]]&amp;" - "&amp;Centro_Cuenta8[[#This Row],[Nombre de Cuenta Contable]]</f>
        <v>4204010 - Publicidad Punto Venta</v>
      </c>
      <c r="H331" s="146" t="str">
        <f>+VLOOKUP(D331,'3. Cuentas'!A:F,6,0)</f>
        <v>SI</v>
      </c>
    </row>
    <row r="332" spans="1:8" x14ac:dyDescent="0.25">
      <c r="A332" s="43">
        <v>10195102</v>
      </c>
      <c r="B332" t="s">
        <v>852</v>
      </c>
      <c r="C332" s="43" t="s">
        <v>1617</v>
      </c>
      <c r="D332" s="43">
        <v>4204021</v>
      </c>
      <c r="E332" t="s">
        <v>329</v>
      </c>
      <c r="F332" s="47" t="str">
        <f>+Centro_Cuenta8[[#This Row],[Codigo Centro Gestion]]&amp;" - "&amp;Centro_Cuenta8[[#This Row],[Nombre Centro Gestion]]</f>
        <v>10195102 - Vista Macul 2-Marketing</v>
      </c>
      <c r="G332" s="47" t="str">
        <f>+Centro_Cuenta8[[#This Row],[Código Cuenta Contable]]&amp;" - "&amp;Centro_Cuenta8[[#This Row],[Nombre de Cuenta Contable]]</f>
        <v>4204021 - Publicidad Ferias Y Eventos</v>
      </c>
      <c r="H332" s="146" t="str">
        <f>+VLOOKUP(D332,'3. Cuentas'!A:F,6,0)</f>
        <v>SI</v>
      </c>
    </row>
    <row r="333" spans="1:8" x14ac:dyDescent="0.25">
      <c r="A333" s="43">
        <v>10195103</v>
      </c>
      <c r="B333" t="s">
        <v>853</v>
      </c>
      <c r="C333" s="43" t="s">
        <v>1618</v>
      </c>
      <c r="D333" s="43">
        <v>4203060</v>
      </c>
      <c r="E333" t="s">
        <v>321</v>
      </c>
      <c r="F333" s="47" t="str">
        <f>+Centro_Cuenta8[[#This Row],[Codigo Centro Gestion]]&amp;" - "&amp;Centro_Cuenta8[[#This Row],[Nombre Centro Gestion]]</f>
        <v>10195103 - Vista Macul 2-Operaciones</v>
      </c>
      <c r="G333" s="47" t="str">
        <f>+Centro_Cuenta8[[#This Row],[Código Cuenta Contable]]&amp;" - "&amp;Centro_Cuenta8[[#This Row],[Nombre de Cuenta Contable]]</f>
        <v>4203060 - Gastos Operacionales De Clientes</v>
      </c>
      <c r="H333" s="146" t="str">
        <f>+VLOOKUP(D333,'3. Cuentas'!A:F,6,0)</f>
        <v>SI</v>
      </c>
    </row>
    <row r="334" spans="1:8" x14ac:dyDescent="0.25">
      <c r="A334" s="43">
        <v>10195103</v>
      </c>
      <c r="B334" t="s">
        <v>853</v>
      </c>
      <c r="C334" s="43" t="s">
        <v>1618</v>
      </c>
      <c r="D334" s="43">
        <v>4203090</v>
      </c>
      <c r="E334" t="s">
        <v>192</v>
      </c>
      <c r="F334" s="47" t="str">
        <f>+Centro_Cuenta8[[#This Row],[Codigo Centro Gestion]]&amp;" - "&amp;Centro_Cuenta8[[#This Row],[Nombre Centro Gestion]]</f>
        <v>10195103 - Vista Macul 2-Operaciones</v>
      </c>
      <c r="G334" s="47" t="str">
        <f>+Centro_Cuenta8[[#This Row],[Código Cuenta Contable]]&amp;" - "&amp;Centro_Cuenta8[[#This Row],[Nombre de Cuenta Contable]]</f>
        <v>4203090 - Gastos Legales Y Notariales Proyecto</v>
      </c>
      <c r="H334" s="146" t="str">
        <f>+VLOOKUP(D334,'3. Cuentas'!A:F,6,0)</f>
        <v>SI</v>
      </c>
    </row>
    <row r="335" spans="1:8" x14ac:dyDescent="0.25">
      <c r="A335" s="43">
        <v>10195104</v>
      </c>
      <c r="B335" t="s">
        <v>854</v>
      </c>
      <c r="C335" s="43" t="s">
        <v>90</v>
      </c>
      <c r="D335" s="43">
        <v>1110040</v>
      </c>
      <c r="E335" t="s">
        <v>1505</v>
      </c>
      <c r="F335" s="47" t="str">
        <f>+Centro_Cuenta8[[#This Row],[Codigo Centro Gestion]]&amp;" - "&amp;Centro_Cuenta8[[#This Row],[Nombre Centro Gestion]]</f>
        <v>10195104 - Vista Macul 2-Ventas</v>
      </c>
      <c r="G335" s="47" t="str">
        <f>+Centro_Cuenta8[[#This Row],[Código Cuenta Contable]]&amp;" - "&amp;Centro_Cuenta8[[#This Row],[Nombre de Cuenta Contable]]</f>
        <v>1110040 - Garantía Pagadas</v>
      </c>
      <c r="H335" s="146" t="str">
        <f>+VLOOKUP(D335,'3. Cuentas'!A:F,6,0)</f>
        <v>SI</v>
      </c>
    </row>
    <row r="336" spans="1:8" x14ac:dyDescent="0.25">
      <c r="A336" s="43">
        <v>10195104</v>
      </c>
      <c r="B336" t="s">
        <v>854</v>
      </c>
      <c r="C336" s="43" t="s">
        <v>90</v>
      </c>
      <c r="D336" s="43">
        <v>4202003</v>
      </c>
      <c r="E336" t="s">
        <v>106</v>
      </c>
      <c r="F336" s="47" t="str">
        <f>+Centro_Cuenta8[[#This Row],[Codigo Centro Gestion]]&amp;" - "&amp;Centro_Cuenta8[[#This Row],[Nombre Centro Gestion]]</f>
        <v>10195104 - Vista Macul 2-Ventas</v>
      </c>
      <c r="G336" s="47" t="str">
        <f>+Centro_Cuenta8[[#This Row],[Código Cuenta Contable]]&amp;" - "&amp;Centro_Cuenta8[[#This Row],[Nombre de Cuenta Contable]]</f>
        <v>4202003 - Serv.Basic.Luz.Agua.Tel Of.C</v>
      </c>
      <c r="H336" s="146" t="str">
        <f>+VLOOKUP(D336,'3. Cuentas'!A:F,6,0)</f>
        <v>SI</v>
      </c>
    </row>
    <row r="337" spans="1:8" x14ac:dyDescent="0.25">
      <c r="A337" s="43">
        <v>10195104</v>
      </c>
      <c r="B337" t="s">
        <v>854</v>
      </c>
      <c r="C337" s="43" t="s">
        <v>90</v>
      </c>
      <c r="D337" s="43">
        <v>4202010</v>
      </c>
      <c r="E337" t="s">
        <v>87</v>
      </c>
      <c r="F337" s="47" t="str">
        <f>+Centro_Cuenta8[[#This Row],[Codigo Centro Gestion]]&amp;" - "&amp;Centro_Cuenta8[[#This Row],[Nombre Centro Gestion]]</f>
        <v>10195104 - Vista Macul 2-Ventas</v>
      </c>
      <c r="G337" s="47" t="str">
        <f>+Centro_Cuenta8[[#This Row],[Código Cuenta Contable]]&amp;" - "&amp;Centro_Cuenta8[[#This Row],[Nombre de Cuenta Contable]]</f>
        <v>4202010 - Artic. Ofic. Fotocop.Papelería</v>
      </c>
      <c r="H337" s="146" t="str">
        <f>+VLOOKUP(D337,'3. Cuentas'!A:F,6,0)</f>
        <v>SI</v>
      </c>
    </row>
    <row r="338" spans="1:8" x14ac:dyDescent="0.25">
      <c r="A338" s="43">
        <v>10195104</v>
      </c>
      <c r="B338" t="s">
        <v>854</v>
      </c>
      <c r="C338" s="43" t="s">
        <v>90</v>
      </c>
      <c r="D338" s="43">
        <v>4202019</v>
      </c>
      <c r="E338" t="s">
        <v>81</v>
      </c>
      <c r="F338" s="47" t="str">
        <f>+Centro_Cuenta8[[#This Row],[Codigo Centro Gestion]]&amp;" - "&amp;Centro_Cuenta8[[#This Row],[Nombre Centro Gestion]]</f>
        <v>10195104 - Vista Macul 2-Ventas</v>
      </c>
      <c r="G338" s="47" t="str">
        <f>+Centro_Cuenta8[[#This Row],[Código Cuenta Contable]]&amp;" - "&amp;Centro_Cuenta8[[#This Row],[Nombre de Cuenta Contable]]</f>
        <v>4202019 - Gasto General Oficina</v>
      </c>
      <c r="H338" s="146" t="str">
        <f>+VLOOKUP(D338,'3. Cuentas'!A:F,6,0)</f>
        <v>SI</v>
      </c>
    </row>
    <row r="339" spans="1:8" x14ac:dyDescent="0.25">
      <c r="A339" s="43">
        <v>10195104</v>
      </c>
      <c r="B339" t="s">
        <v>854</v>
      </c>
      <c r="C339" s="43" t="s">
        <v>90</v>
      </c>
      <c r="D339" s="43">
        <v>4202023</v>
      </c>
      <c r="E339" t="s">
        <v>82</v>
      </c>
      <c r="F339" s="47" t="str">
        <f>+Centro_Cuenta8[[#This Row],[Codigo Centro Gestion]]&amp;" - "&amp;Centro_Cuenta8[[#This Row],[Nombre Centro Gestion]]</f>
        <v>10195104 - Vista Macul 2-Ventas</v>
      </c>
      <c r="G339" s="47" t="str">
        <f>+Centro_Cuenta8[[#This Row],[Código Cuenta Contable]]&amp;" - "&amp;Centro_Cuenta8[[#This Row],[Nombre de Cuenta Contable]]</f>
        <v>4202023 - Honorarios Por Asesorías</v>
      </c>
      <c r="H339" s="146" t="str">
        <f>+VLOOKUP(D339,'3. Cuentas'!A:F,6,0)</f>
        <v>SI</v>
      </c>
    </row>
    <row r="340" spans="1:8" x14ac:dyDescent="0.25">
      <c r="A340" s="43">
        <v>10195104</v>
      </c>
      <c r="B340" t="s">
        <v>854</v>
      </c>
      <c r="C340" s="43" t="s">
        <v>90</v>
      </c>
      <c r="D340" s="43">
        <v>4202029</v>
      </c>
      <c r="E340" t="s">
        <v>83</v>
      </c>
      <c r="F340" s="47" t="str">
        <f>+Centro_Cuenta8[[#This Row],[Codigo Centro Gestion]]&amp;" - "&amp;Centro_Cuenta8[[#This Row],[Nombre Centro Gestion]]</f>
        <v>10195104 - Vista Macul 2-Ventas</v>
      </c>
      <c r="G340" s="47" t="str">
        <f>+Centro_Cuenta8[[#This Row],[Código Cuenta Contable]]&amp;" - "&amp;Centro_Cuenta8[[#This Row],[Nombre de Cuenta Contable]]</f>
        <v>4202029 - Insumos Y Gastos Informáticos</v>
      </c>
      <c r="H340" s="146" t="str">
        <f>+VLOOKUP(D340,'3. Cuentas'!A:F,6,0)</f>
        <v>SI</v>
      </c>
    </row>
    <row r="341" spans="1:8" x14ac:dyDescent="0.25">
      <c r="A341" s="43">
        <v>10195104</v>
      </c>
      <c r="B341" t="s">
        <v>854</v>
      </c>
      <c r="C341" s="43" t="s">
        <v>90</v>
      </c>
      <c r="D341" s="43">
        <v>4204021</v>
      </c>
      <c r="E341" t="s">
        <v>329</v>
      </c>
      <c r="F341" s="47" t="str">
        <f>+Centro_Cuenta8[[#This Row],[Codigo Centro Gestion]]&amp;" - "&amp;Centro_Cuenta8[[#This Row],[Nombre Centro Gestion]]</f>
        <v>10195104 - Vista Macul 2-Ventas</v>
      </c>
      <c r="G341" s="47" t="str">
        <f>+Centro_Cuenta8[[#This Row],[Código Cuenta Contable]]&amp;" - "&amp;Centro_Cuenta8[[#This Row],[Nombre de Cuenta Contable]]</f>
        <v>4204021 - Publicidad Ferias Y Eventos</v>
      </c>
      <c r="H341" s="146" t="str">
        <f>+VLOOKUP(D341,'3. Cuentas'!A:F,6,0)</f>
        <v>SI</v>
      </c>
    </row>
    <row r="342" spans="1:8" x14ac:dyDescent="0.25">
      <c r="A342" s="43">
        <v>10195105</v>
      </c>
      <c r="B342" t="s">
        <v>855</v>
      </c>
      <c r="C342" s="43" t="s">
        <v>1622</v>
      </c>
      <c r="D342" s="43">
        <v>4203020</v>
      </c>
      <c r="E342" t="s">
        <v>295</v>
      </c>
      <c r="F342" s="47" t="str">
        <f>+Centro_Cuenta8[[#This Row],[Codigo Centro Gestion]]&amp;" - "&amp;Centro_Cuenta8[[#This Row],[Nombre Centro Gestion]]</f>
        <v>10195105 - Vista Macul 2-Clientes</v>
      </c>
      <c r="G342" s="47" t="str">
        <f>+Centro_Cuenta8[[#This Row],[Código Cuenta Contable]]&amp;" - "&amp;Centro_Cuenta8[[#This Row],[Nombre de Cuenta Contable]]</f>
        <v>4203020 - Mant. y Consum. Viv Stock</v>
      </c>
      <c r="H342" s="146" t="str">
        <f>+VLOOKUP(D342,'3. Cuentas'!A:F,6,0)</f>
        <v>SI</v>
      </c>
    </row>
    <row r="343" spans="1:8" x14ac:dyDescent="0.25">
      <c r="A343" s="43">
        <v>10195105</v>
      </c>
      <c r="B343" t="s">
        <v>855</v>
      </c>
      <c r="C343" s="43" t="s">
        <v>1622</v>
      </c>
      <c r="D343" s="43">
        <v>4203120</v>
      </c>
      <c r="E343" t="s">
        <v>108</v>
      </c>
      <c r="F343" s="47" t="str">
        <f>+Centro_Cuenta8[[#This Row],[Codigo Centro Gestion]]&amp;" - "&amp;Centro_Cuenta8[[#This Row],[Nombre Centro Gestion]]</f>
        <v>10195105 - Vista Macul 2-Clientes</v>
      </c>
      <c r="G343" s="47" t="str">
        <f>+Centro_Cuenta8[[#This Row],[Código Cuenta Contable]]&amp;" - "&amp;Centro_Cuenta8[[#This Row],[Nombre de Cuenta Contable]]</f>
        <v>4203120 - Gastos Comunes</v>
      </c>
      <c r="H343" s="146" t="str">
        <f>+VLOOKUP(D343,'3. Cuentas'!A:F,6,0)</f>
        <v>SI</v>
      </c>
    </row>
    <row r="344" spans="1:8" x14ac:dyDescent="0.25">
      <c r="A344" s="43">
        <v>10195105</v>
      </c>
      <c r="B344" t="s">
        <v>855</v>
      </c>
      <c r="C344" s="43" t="s">
        <v>1622</v>
      </c>
      <c r="D344" s="43">
        <v>4203140</v>
      </c>
      <c r="E344" t="s">
        <v>109</v>
      </c>
      <c r="F344" s="47" t="str">
        <f>+Centro_Cuenta8[[#This Row],[Codigo Centro Gestion]]&amp;" - "&amp;Centro_Cuenta8[[#This Row],[Nombre Centro Gestion]]</f>
        <v>10195105 - Vista Macul 2-Clientes</v>
      </c>
      <c r="G344" s="47" t="str">
        <f>+Centro_Cuenta8[[#This Row],[Código Cuenta Contable]]&amp;" - "&amp;Centro_Cuenta8[[#This Row],[Nombre de Cuenta Contable]]</f>
        <v>4203140 - Contribuciones</v>
      </c>
      <c r="H344" s="146" t="str">
        <f>+VLOOKUP(D344,'3. Cuentas'!A:F,6,0)</f>
        <v>SI</v>
      </c>
    </row>
    <row r="345" spans="1:8" x14ac:dyDescent="0.25">
      <c r="A345" s="43">
        <v>10195204</v>
      </c>
      <c r="B345" t="s">
        <v>856</v>
      </c>
      <c r="C345" s="43" t="s">
        <v>1624</v>
      </c>
      <c r="D345" s="43">
        <v>1103045</v>
      </c>
      <c r="E345" t="s">
        <v>323</v>
      </c>
      <c r="F345" s="47" t="str">
        <f>+Centro_Cuenta8[[#This Row],[Codigo Centro Gestion]]&amp;" - "&amp;Centro_Cuenta8[[#This Row],[Nombre Centro Gestion]]</f>
        <v>10195204 - Vista Macul 2-Proyecto</v>
      </c>
      <c r="G345" s="47" t="str">
        <f>+Centro_Cuenta8[[#This Row],[Código Cuenta Contable]]&amp;" - "&amp;Centro_Cuenta8[[#This Row],[Nombre de Cuenta Contable]]</f>
        <v>1103045 - Aportes reembolsables (electricidad y agua)</v>
      </c>
      <c r="H345" s="146" t="str">
        <f>+VLOOKUP(D345,'3. Cuentas'!A:F,6,0)</f>
        <v>SI</v>
      </c>
    </row>
    <row r="346" spans="1:8" x14ac:dyDescent="0.25">
      <c r="A346" s="43">
        <v>10195204</v>
      </c>
      <c r="B346" t="s">
        <v>856</v>
      </c>
      <c r="C346" s="43" t="s">
        <v>1624</v>
      </c>
      <c r="D346" s="43">
        <v>1109020</v>
      </c>
      <c r="E346" t="s">
        <v>302</v>
      </c>
      <c r="F346" s="47" t="str">
        <f>+Centro_Cuenta8[[#This Row],[Codigo Centro Gestion]]&amp;" - "&amp;Centro_Cuenta8[[#This Row],[Nombre Centro Gestion]]</f>
        <v>10195204 - Vista Macul 2-Proyecto</v>
      </c>
      <c r="G346" s="47" t="str">
        <f>+Centro_Cuenta8[[#This Row],[Código Cuenta Contable]]&amp;" - "&amp;Centro_Cuenta8[[#This Row],[Nombre de Cuenta Contable]]</f>
        <v>1109020 - Mobiliario</v>
      </c>
      <c r="H346" s="146" t="str">
        <f>+VLOOKUP(D346,'3. Cuentas'!A:F,6,0)</f>
        <v>SI</v>
      </c>
    </row>
    <row r="347" spans="1:8" x14ac:dyDescent="0.25">
      <c r="A347" s="43">
        <v>10195204</v>
      </c>
      <c r="B347" t="s">
        <v>856</v>
      </c>
      <c r="C347" s="43" t="s">
        <v>1624</v>
      </c>
      <c r="D347" s="43">
        <v>1110040</v>
      </c>
      <c r="E347" t="s">
        <v>1505</v>
      </c>
      <c r="F347" s="47" t="str">
        <f>+Centro_Cuenta8[[#This Row],[Codigo Centro Gestion]]&amp;" - "&amp;Centro_Cuenta8[[#This Row],[Nombre Centro Gestion]]</f>
        <v>10195204 - Vista Macul 2-Proyecto</v>
      </c>
      <c r="G347" s="47" t="str">
        <f>+Centro_Cuenta8[[#This Row],[Código Cuenta Contable]]&amp;" - "&amp;Centro_Cuenta8[[#This Row],[Nombre de Cuenta Contable]]</f>
        <v>1110040 - Garantía Pagadas</v>
      </c>
      <c r="H347" s="146" t="str">
        <f>+VLOOKUP(D347,'3. Cuentas'!A:F,6,0)</f>
        <v>SI</v>
      </c>
    </row>
    <row r="348" spans="1:8" x14ac:dyDescent="0.25">
      <c r="A348" s="43">
        <v>10195204</v>
      </c>
      <c r="B348" t="s">
        <v>856</v>
      </c>
      <c r="C348" s="43" t="s">
        <v>1624</v>
      </c>
      <c r="D348" s="43">
        <v>1115040</v>
      </c>
      <c r="E348" t="s">
        <v>291</v>
      </c>
      <c r="F348" s="47" t="str">
        <f>+Centro_Cuenta8[[#This Row],[Codigo Centro Gestion]]&amp;" - "&amp;Centro_Cuenta8[[#This Row],[Nombre Centro Gestion]]</f>
        <v>10195204 - Vista Macul 2-Proyecto</v>
      </c>
      <c r="G348" s="47" t="str">
        <f>+Centro_Cuenta8[[#This Row],[Código Cuenta Contable]]&amp;" - "&amp;Centro_Cuenta8[[#This Row],[Nombre de Cuenta Contable]]</f>
        <v>1115040 - Saneamiento De Terreno</v>
      </c>
      <c r="H348" s="146" t="str">
        <f>+VLOOKUP(D348,'3. Cuentas'!A:F,6,0)</f>
        <v>SI</v>
      </c>
    </row>
    <row r="349" spans="1:8" x14ac:dyDescent="0.25">
      <c r="A349" s="43">
        <v>10195204</v>
      </c>
      <c r="B349" t="s">
        <v>856</v>
      </c>
      <c r="C349" s="43" t="s">
        <v>1624</v>
      </c>
      <c r="D349" s="43">
        <v>1115050</v>
      </c>
      <c r="E349" t="s">
        <v>1628</v>
      </c>
      <c r="F349" s="47" t="str">
        <f>+Centro_Cuenta8[[#This Row],[Codigo Centro Gestion]]&amp;" - "&amp;Centro_Cuenta8[[#This Row],[Nombre Centro Gestion]]</f>
        <v>10195204 - Vista Macul 2-Proyecto</v>
      </c>
      <c r="G349" s="47" t="str">
        <f>+Centro_Cuenta8[[#This Row],[Código Cuenta Contable]]&amp;" - "&amp;Centro_Cuenta8[[#This Row],[Nombre de Cuenta Contable]]</f>
        <v>1115050 - Demolición</v>
      </c>
      <c r="H349" s="146" t="str">
        <f>+VLOOKUP(D349,'3. Cuentas'!A:F,6,0)</f>
        <v>SI</v>
      </c>
    </row>
    <row r="350" spans="1:8" x14ac:dyDescent="0.25">
      <c r="A350" s="43">
        <v>10195204</v>
      </c>
      <c r="B350" t="s">
        <v>856</v>
      </c>
      <c r="C350" s="43" t="s">
        <v>1624</v>
      </c>
      <c r="D350" s="43">
        <v>1115100</v>
      </c>
      <c r="E350" t="s">
        <v>292</v>
      </c>
      <c r="F350" s="47" t="str">
        <f>+Centro_Cuenta8[[#This Row],[Codigo Centro Gestion]]&amp;" - "&amp;Centro_Cuenta8[[#This Row],[Nombre Centro Gestion]]</f>
        <v>10195204 - Vista Macul 2-Proyecto</v>
      </c>
      <c r="G350" s="47" t="str">
        <f>+Centro_Cuenta8[[#This Row],[Código Cuenta Contable]]&amp;" - "&amp;Centro_Cuenta8[[#This Row],[Nombre de Cuenta Contable]]</f>
        <v>1115100 - Proyectos Y Especialidades</v>
      </c>
      <c r="H350" s="146" t="str">
        <f>+VLOOKUP(D350,'3. Cuentas'!A:F,6,0)</f>
        <v>SI</v>
      </c>
    </row>
    <row r="351" spans="1:8" x14ac:dyDescent="0.25">
      <c r="A351" s="43">
        <v>10195204</v>
      </c>
      <c r="B351" t="s">
        <v>856</v>
      </c>
      <c r="C351" s="43" t="s">
        <v>1624</v>
      </c>
      <c r="D351" s="43">
        <v>1115120</v>
      </c>
      <c r="E351" t="s">
        <v>1633</v>
      </c>
      <c r="F351" s="47" t="str">
        <f>+Centro_Cuenta8[[#This Row],[Codigo Centro Gestion]]&amp;" - "&amp;Centro_Cuenta8[[#This Row],[Nombre Centro Gestion]]</f>
        <v>10195204 - Vista Macul 2-Proyecto</v>
      </c>
      <c r="G351" s="47" t="str">
        <f>+Centro_Cuenta8[[#This Row],[Código Cuenta Contable]]&amp;" - "&amp;Centro_Cuenta8[[#This Row],[Nombre de Cuenta Contable]]</f>
        <v>1115120 - Instalación Empalmes</v>
      </c>
      <c r="H351" s="146" t="str">
        <f>+VLOOKUP(D351,'3. Cuentas'!A:F,6,0)</f>
        <v>SI</v>
      </c>
    </row>
    <row r="352" spans="1:8" x14ac:dyDescent="0.25">
      <c r="A352" s="43">
        <v>10195204</v>
      </c>
      <c r="B352" t="s">
        <v>856</v>
      </c>
      <c r="C352" s="43" t="s">
        <v>1624</v>
      </c>
      <c r="D352" s="43">
        <v>1115170</v>
      </c>
      <c r="E352" t="s">
        <v>293</v>
      </c>
      <c r="F352" s="47" t="str">
        <f>+Centro_Cuenta8[[#This Row],[Codigo Centro Gestion]]&amp;" - "&amp;Centro_Cuenta8[[#This Row],[Nombre Centro Gestion]]</f>
        <v>10195204 - Vista Macul 2-Proyecto</v>
      </c>
      <c r="G352" s="47" t="str">
        <f>+Centro_Cuenta8[[#This Row],[Código Cuenta Contable]]&amp;" - "&amp;Centro_Cuenta8[[#This Row],[Nombre de Cuenta Contable]]</f>
        <v>1115170 - Permisos Y Otros Gastos Municipales</v>
      </c>
      <c r="H352" s="146" t="str">
        <f>+VLOOKUP(D352,'3. Cuentas'!A:F,6,0)</f>
        <v>SI</v>
      </c>
    </row>
    <row r="353" spans="1:8" x14ac:dyDescent="0.25">
      <c r="A353" s="43">
        <v>10195204</v>
      </c>
      <c r="B353" t="s">
        <v>856</v>
      </c>
      <c r="C353" s="43" t="s">
        <v>1624</v>
      </c>
      <c r="D353" s="43">
        <v>1115240</v>
      </c>
      <c r="E353" t="s">
        <v>294</v>
      </c>
      <c r="F353" s="47" t="str">
        <f>+Centro_Cuenta8[[#This Row],[Codigo Centro Gestion]]&amp;" - "&amp;Centro_Cuenta8[[#This Row],[Nombre Centro Gestion]]</f>
        <v>10195204 - Vista Macul 2-Proyecto</v>
      </c>
      <c r="G353" s="47" t="str">
        <f>+Centro_Cuenta8[[#This Row],[Código Cuenta Contable]]&amp;" - "&amp;Centro_Cuenta8[[#This Row],[Nombre de Cuenta Contable]]</f>
        <v>1115240 - Estudios Y Asesorias Técnicas</v>
      </c>
      <c r="H353" s="146" t="str">
        <f>+VLOOKUP(D353,'3. Cuentas'!A:F,6,0)</f>
        <v>SI</v>
      </c>
    </row>
    <row r="354" spans="1:8" x14ac:dyDescent="0.25">
      <c r="A354" s="43">
        <v>10195204</v>
      </c>
      <c r="B354" t="s">
        <v>856</v>
      </c>
      <c r="C354" s="43" t="s">
        <v>1624</v>
      </c>
      <c r="D354" s="43">
        <v>4203090</v>
      </c>
      <c r="E354" t="s">
        <v>192</v>
      </c>
      <c r="F354" s="47" t="str">
        <f>+Centro_Cuenta8[[#This Row],[Codigo Centro Gestion]]&amp;" - "&amp;Centro_Cuenta8[[#This Row],[Nombre Centro Gestion]]</f>
        <v>10195204 - Vista Macul 2-Proyecto</v>
      </c>
      <c r="G354" s="47" t="str">
        <f>+Centro_Cuenta8[[#This Row],[Código Cuenta Contable]]&amp;" - "&amp;Centro_Cuenta8[[#This Row],[Nombre de Cuenta Contable]]</f>
        <v>4203090 - Gastos Legales Y Notariales Proyecto</v>
      </c>
      <c r="H354" s="146" t="str">
        <f>+VLOOKUP(D354,'3. Cuentas'!A:F,6,0)</f>
        <v>SI</v>
      </c>
    </row>
    <row r="355" spans="1:8" x14ac:dyDescent="0.25">
      <c r="A355" s="43">
        <v>10195204</v>
      </c>
      <c r="B355" t="s">
        <v>856</v>
      </c>
      <c r="C355" s="43" t="s">
        <v>1624</v>
      </c>
      <c r="D355" s="43">
        <v>4203140</v>
      </c>
      <c r="E355" t="s">
        <v>109</v>
      </c>
      <c r="F355" s="47" t="str">
        <f>+Centro_Cuenta8[[#This Row],[Codigo Centro Gestion]]&amp;" - "&amp;Centro_Cuenta8[[#This Row],[Nombre Centro Gestion]]</f>
        <v>10195204 - Vista Macul 2-Proyecto</v>
      </c>
      <c r="G355" s="47" t="str">
        <f>+Centro_Cuenta8[[#This Row],[Código Cuenta Contable]]&amp;" - "&amp;Centro_Cuenta8[[#This Row],[Nombre de Cuenta Contable]]</f>
        <v>4203140 - Contribuciones</v>
      </c>
      <c r="H355" s="146" t="str">
        <f>+VLOOKUP(D355,'3. Cuentas'!A:F,6,0)</f>
        <v>SI</v>
      </c>
    </row>
    <row r="356" spans="1:8" x14ac:dyDescent="0.25">
      <c r="A356" s="43">
        <v>10195204</v>
      </c>
      <c r="B356" t="s">
        <v>856</v>
      </c>
      <c r="C356" s="43" t="s">
        <v>1624</v>
      </c>
      <c r="D356" s="43">
        <v>4203150</v>
      </c>
      <c r="E356" t="s">
        <v>156</v>
      </c>
      <c r="F356" s="47" t="str">
        <f>+Centro_Cuenta8[[#This Row],[Codigo Centro Gestion]]&amp;" - "&amp;Centro_Cuenta8[[#This Row],[Nombre Centro Gestion]]</f>
        <v>10195204 - Vista Macul 2-Proyecto</v>
      </c>
      <c r="G356" s="47" t="str">
        <f>+Centro_Cuenta8[[#This Row],[Código Cuenta Contable]]&amp;" - "&amp;Centro_Cuenta8[[#This Row],[Nombre de Cuenta Contable]]</f>
        <v>4203150 - Gastos CBR</v>
      </c>
      <c r="H356" s="146" t="str">
        <f>+VLOOKUP(D356,'3. Cuentas'!A:F,6,0)</f>
        <v>SI</v>
      </c>
    </row>
    <row r="357" spans="1:8" x14ac:dyDescent="0.25">
      <c r="A357" s="43">
        <v>10195204</v>
      </c>
      <c r="B357" t="s">
        <v>856</v>
      </c>
      <c r="C357" s="43" t="s">
        <v>1624</v>
      </c>
      <c r="D357" s="43">
        <v>4203160</v>
      </c>
      <c r="E357" t="s">
        <v>1639</v>
      </c>
      <c r="F357" s="47" t="str">
        <f>+Centro_Cuenta8[[#This Row],[Codigo Centro Gestion]]&amp;" - "&amp;Centro_Cuenta8[[#This Row],[Nombre Centro Gestion]]</f>
        <v>10195204 - Vista Macul 2-Proyecto</v>
      </c>
      <c r="G357" s="47" t="str">
        <f>+Centro_Cuenta8[[#This Row],[Código Cuenta Contable]]&amp;" - "&amp;Centro_Cuenta8[[#This Row],[Nombre de Cuenta Contable]]</f>
        <v>4203160 - PAPELERIA Y FOTOCOPIADO</v>
      </c>
      <c r="H357" s="146" t="str">
        <f>+VLOOKUP(D357,'3. Cuentas'!A:F,6,0)</f>
        <v>SI</v>
      </c>
    </row>
    <row r="358" spans="1:8" x14ac:dyDescent="0.25">
      <c r="A358" s="43">
        <v>10195204</v>
      </c>
      <c r="B358" t="s">
        <v>856</v>
      </c>
      <c r="C358" s="43" t="s">
        <v>1624</v>
      </c>
      <c r="D358" s="43">
        <v>4203180</v>
      </c>
      <c r="E358" t="s">
        <v>1640</v>
      </c>
      <c r="F358" s="47" t="str">
        <f>+Centro_Cuenta8[[#This Row],[Codigo Centro Gestion]]&amp;" - "&amp;Centro_Cuenta8[[#This Row],[Nombre Centro Gestion]]</f>
        <v>10195204 - Vista Macul 2-Proyecto</v>
      </c>
      <c r="G358" s="47" t="str">
        <f>+Centro_Cuenta8[[#This Row],[Código Cuenta Contable]]&amp;" - "&amp;Centro_Cuenta8[[#This Row],[Nombre de Cuenta Contable]]</f>
        <v>4203180 - Otros Gastos y Aseso Proy</v>
      </c>
      <c r="H358" s="146" t="str">
        <f>+VLOOKUP(D358,'3. Cuentas'!A:F,6,0)</f>
        <v>SI</v>
      </c>
    </row>
    <row r="359" spans="1:8" x14ac:dyDescent="0.25">
      <c r="A359" s="43">
        <v>10195301</v>
      </c>
      <c r="B359" t="s">
        <v>857</v>
      </c>
      <c r="C359" s="43" t="s">
        <v>1643</v>
      </c>
      <c r="D359" s="43">
        <v>4203090</v>
      </c>
      <c r="E359" t="s">
        <v>192</v>
      </c>
      <c r="F359" s="47" t="str">
        <f>+Centro_Cuenta8[[#This Row],[Codigo Centro Gestion]]&amp;" - "&amp;Centro_Cuenta8[[#This Row],[Nombre Centro Gestion]]</f>
        <v>10195301 - Vista Macul 2-GAF</v>
      </c>
      <c r="G359" s="47" t="str">
        <f>+Centro_Cuenta8[[#This Row],[Código Cuenta Contable]]&amp;" - "&amp;Centro_Cuenta8[[#This Row],[Nombre de Cuenta Contable]]</f>
        <v>4203090 - Gastos Legales Y Notariales Proyecto</v>
      </c>
      <c r="H359" s="146" t="str">
        <f>+VLOOKUP(D359,'3. Cuentas'!A:F,6,0)</f>
        <v>SI</v>
      </c>
    </row>
    <row r="360" spans="1:8" x14ac:dyDescent="0.25">
      <c r="A360" s="43">
        <v>10195301</v>
      </c>
      <c r="B360" t="s">
        <v>857</v>
      </c>
      <c r="C360" s="43" t="s">
        <v>1643</v>
      </c>
      <c r="D360" s="43">
        <v>4203140</v>
      </c>
      <c r="E360" t="s">
        <v>109</v>
      </c>
      <c r="F360" s="47" t="str">
        <f>+Centro_Cuenta8[[#This Row],[Codigo Centro Gestion]]&amp;" - "&amp;Centro_Cuenta8[[#This Row],[Nombre Centro Gestion]]</f>
        <v>10195301 - Vista Macul 2-GAF</v>
      </c>
      <c r="G360" s="47" t="str">
        <f>+Centro_Cuenta8[[#This Row],[Código Cuenta Contable]]&amp;" - "&amp;Centro_Cuenta8[[#This Row],[Nombre de Cuenta Contable]]</f>
        <v>4203140 - Contribuciones</v>
      </c>
      <c r="H360" s="146" t="str">
        <f>+VLOOKUP(D360,'3. Cuentas'!A:F,6,0)</f>
        <v>SI</v>
      </c>
    </row>
    <row r="361" spans="1:8" x14ac:dyDescent="0.25">
      <c r="A361" s="43">
        <v>10195506</v>
      </c>
      <c r="B361" t="s">
        <v>859</v>
      </c>
      <c r="C361" s="43" t="s">
        <v>200</v>
      </c>
      <c r="D361" s="43">
        <v>1115100</v>
      </c>
      <c r="E361" t="s">
        <v>292</v>
      </c>
      <c r="F361" s="47" t="str">
        <f>+Centro_Cuenta8[[#This Row],[Codigo Centro Gestion]]&amp;" - "&amp;Centro_Cuenta8[[#This Row],[Nombre Centro Gestion]]</f>
        <v>10195506 - Vista Macul 2-Depto.Técnico</v>
      </c>
      <c r="G361" s="47" t="str">
        <f>+Centro_Cuenta8[[#This Row],[Código Cuenta Contable]]&amp;" - "&amp;Centro_Cuenta8[[#This Row],[Nombre de Cuenta Contable]]</f>
        <v>1115100 - Proyectos Y Especialidades</v>
      </c>
      <c r="H361" s="146" t="str">
        <f>+VLOOKUP(D361,'3. Cuentas'!A:F,6,0)</f>
        <v>SI</v>
      </c>
    </row>
    <row r="362" spans="1:8" x14ac:dyDescent="0.25">
      <c r="A362" s="43">
        <v>10199102</v>
      </c>
      <c r="B362" t="s">
        <v>861</v>
      </c>
      <c r="C362" s="43" t="s">
        <v>1617</v>
      </c>
      <c r="D362" s="43">
        <v>4204010</v>
      </c>
      <c r="E362" t="s">
        <v>313</v>
      </c>
      <c r="F362" s="47" t="str">
        <f>+Centro_Cuenta8[[#This Row],[Codigo Centro Gestion]]&amp;" - "&amp;Centro_Cuenta8[[#This Row],[Nombre Centro Gestion]]</f>
        <v>10199102 - Vista Independencia-Marketing</v>
      </c>
      <c r="G362" s="47" t="str">
        <f>+Centro_Cuenta8[[#This Row],[Código Cuenta Contable]]&amp;" - "&amp;Centro_Cuenta8[[#This Row],[Nombre de Cuenta Contable]]</f>
        <v>4204010 - Publicidad Punto Venta</v>
      </c>
      <c r="H362" s="146" t="str">
        <f>+VLOOKUP(D362,'3. Cuentas'!A:F,6,0)</f>
        <v>SI</v>
      </c>
    </row>
    <row r="363" spans="1:8" x14ac:dyDescent="0.25">
      <c r="A363" s="43">
        <v>10199102</v>
      </c>
      <c r="B363" t="s">
        <v>861</v>
      </c>
      <c r="C363" s="43" t="s">
        <v>1617</v>
      </c>
      <c r="D363" s="43">
        <v>4204021</v>
      </c>
      <c r="E363" t="s">
        <v>329</v>
      </c>
      <c r="F363" s="47" t="str">
        <f>+Centro_Cuenta8[[#This Row],[Codigo Centro Gestion]]&amp;" - "&amp;Centro_Cuenta8[[#This Row],[Nombre Centro Gestion]]</f>
        <v>10199102 - Vista Independencia-Marketing</v>
      </c>
      <c r="G363" s="47" t="str">
        <f>+Centro_Cuenta8[[#This Row],[Código Cuenta Contable]]&amp;" - "&amp;Centro_Cuenta8[[#This Row],[Nombre de Cuenta Contable]]</f>
        <v>4204021 - Publicidad Ferias Y Eventos</v>
      </c>
      <c r="H363" s="146" t="str">
        <f>+VLOOKUP(D363,'3. Cuentas'!A:F,6,0)</f>
        <v>SI</v>
      </c>
    </row>
    <row r="364" spans="1:8" x14ac:dyDescent="0.25">
      <c r="A364" s="43">
        <v>10199103</v>
      </c>
      <c r="B364" t="s">
        <v>862</v>
      </c>
      <c r="C364" s="43" t="s">
        <v>1618</v>
      </c>
      <c r="D364" s="43">
        <v>4203060</v>
      </c>
      <c r="E364" t="s">
        <v>321</v>
      </c>
      <c r="F364" s="47" t="str">
        <f>+Centro_Cuenta8[[#This Row],[Codigo Centro Gestion]]&amp;" - "&amp;Centro_Cuenta8[[#This Row],[Nombre Centro Gestion]]</f>
        <v>10199103 - Vista Independencia-Operaciones</v>
      </c>
      <c r="G364" s="47" t="str">
        <f>+Centro_Cuenta8[[#This Row],[Código Cuenta Contable]]&amp;" - "&amp;Centro_Cuenta8[[#This Row],[Nombre de Cuenta Contable]]</f>
        <v>4203060 - Gastos Operacionales De Clientes</v>
      </c>
      <c r="H364" s="146" t="str">
        <f>+VLOOKUP(D364,'3. Cuentas'!A:F,6,0)</f>
        <v>SI</v>
      </c>
    </row>
    <row r="365" spans="1:8" x14ac:dyDescent="0.25">
      <c r="A365" s="43">
        <v>10199103</v>
      </c>
      <c r="B365" t="s">
        <v>862</v>
      </c>
      <c r="C365" s="43" t="s">
        <v>1618</v>
      </c>
      <c r="D365" s="43">
        <v>4203090</v>
      </c>
      <c r="E365" t="s">
        <v>192</v>
      </c>
      <c r="F365" s="47" t="str">
        <f>+Centro_Cuenta8[[#This Row],[Codigo Centro Gestion]]&amp;" - "&amp;Centro_Cuenta8[[#This Row],[Nombre Centro Gestion]]</f>
        <v>10199103 - Vista Independencia-Operaciones</v>
      </c>
      <c r="G365" s="47" t="str">
        <f>+Centro_Cuenta8[[#This Row],[Código Cuenta Contable]]&amp;" - "&amp;Centro_Cuenta8[[#This Row],[Nombre de Cuenta Contable]]</f>
        <v>4203090 - Gastos Legales Y Notariales Proyecto</v>
      </c>
      <c r="H365" s="146" t="str">
        <f>+VLOOKUP(D365,'3. Cuentas'!A:F,6,0)</f>
        <v>SI</v>
      </c>
    </row>
    <row r="366" spans="1:8" x14ac:dyDescent="0.25">
      <c r="A366" s="43">
        <v>10199104</v>
      </c>
      <c r="B366" t="s">
        <v>863</v>
      </c>
      <c r="C366" s="43" t="s">
        <v>90</v>
      </c>
      <c r="D366" s="43">
        <v>1110040</v>
      </c>
      <c r="E366" t="s">
        <v>1505</v>
      </c>
      <c r="F366" s="47" t="str">
        <f>+Centro_Cuenta8[[#This Row],[Codigo Centro Gestion]]&amp;" - "&amp;Centro_Cuenta8[[#This Row],[Nombre Centro Gestion]]</f>
        <v>10199104 - Vista Independencia-Ventas</v>
      </c>
      <c r="G366" s="47" t="str">
        <f>+Centro_Cuenta8[[#This Row],[Código Cuenta Contable]]&amp;" - "&amp;Centro_Cuenta8[[#This Row],[Nombre de Cuenta Contable]]</f>
        <v>1110040 - Garantía Pagadas</v>
      </c>
      <c r="H366" s="146" t="str">
        <f>+VLOOKUP(D366,'3. Cuentas'!A:F,6,0)</f>
        <v>SI</v>
      </c>
    </row>
    <row r="367" spans="1:8" x14ac:dyDescent="0.25">
      <c r="A367" s="43">
        <v>10199104</v>
      </c>
      <c r="B367" t="s">
        <v>863</v>
      </c>
      <c r="C367" s="43" t="s">
        <v>90</v>
      </c>
      <c r="D367" s="43">
        <v>4202003</v>
      </c>
      <c r="E367" t="s">
        <v>106</v>
      </c>
      <c r="F367" s="47" t="str">
        <f>+Centro_Cuenta8[[#This Row],[Codigo Centro Gestion]]&amp;" - "&amp;Centro_Cuenta8[[#This Row],[Nombre Centro Gestion]]</f>
        <v>10199104 - Vista Independencia-Ventas</v>
      </c>
      <c r="G367" s="47" t="str">
        <f>+Centro_Cuenta8[[#This Row],[Código Cuenta Contable]]&amp;" - "&amp;Centro_Cuenta8[[#This Row],[Nombre de Cuenta Contable]]</f>
        <v>4202003 - Serv.Basic.Luz.Agua.Tel Of.C</v>
      </c>
      <c r="H367" s="146" t="str">
        <f>+VLOOKUP(D367,'3. Cuentas'!A:F,6,0)</f>
        <v>SI</v>
      </c>
    </row>
    <row r="368" spans="1:8" x14ac:dyDescent="0.25">
      <c r="A368" s="43">
        <v>10199104</v>
      </c>
      <c r="B368" t="s">
        <v>863</v>
      </c>
      <c r="C368" s="43" t="s">
        <v>90</v>
      </c>
      <c r="D368" s="43">
        <v>4202010</v>
      </c>
      <c r="E368" t="s">
        <v>87</v>
      </c>
      <c r="F368" s="47" t="str">
        <f>+Centro_Cuenta8[[#This Row],[Codigo Centro Gestion]]&amp;" - "&amp;Centro_Cuenta8[[#This Row],[Nombre Centro Gestion]]</f>
        <v>10199104 - Vista Independencia-Ventas</v>
      </c>
      <c r="G368" s="47" t="str">
        <f>+Centro_Cuenta8[[#This Row],[Código Cuenta Contable]]&amp;" - "&amp;Centro_Cuenta8[[#This Row],[Nombre de Cuenta Contable]]</f>
        <v>4202010 - Artic. Ofic. Fotocop.Papelería</v>
      </c>
      <c r="H368" s="146" t="str">
        <f>+VLOOKUP(D368,'3. Cuentas'!A:F,6,0)</f>
        <v>SI</v>
      </c>
    </row>
    <row r="369" spans="1:8" x14ac:dyDescent="0.25">
      <c r="A369" s="43">
        <v>10199104</v>
      </c>
      <c r="B369" t="s">
        <v>863</v>
      </c>
      <c r="C369" s="43" t="s">
        <v>90</v>
      </c>
      <c r="D369" s="43">
        <v>4202019</v>
      </c>
      <c r="E369" t="s">
        <v>81</v>
      </c>
      <c r="F369" s="47" t="str">
        <f>+Centro_Cuenta8[[#This Row],[Codigo Centro Gestion]]&amp;" - "&amp;Centro_Cuenta8[[#This Row],[Nombre Centro Gestion]]</f>
        <v>10199104 - Vista Independencia-Ventas</v>
      </c>
      <c r="G369" s="47" t="str">
        <f>+Centro_Cuenta8[[#This Row],[Código Cuenta Contable]]&amp;" - "&amp;Centro_Cuenta8[[#This Row],[Nombre de Cuenta Contable]]</f>
        <v>4202019 - Gasto General Oficina</v>
      </c>
      <c r="H369" s="146" t="str">
        <f>+VLOOKUP(D369,'3. Cuentas'!A:F,6,0)</f>
        <v>SI</v>
      </c>
    </row>
    <row r="370" spans="1:8" x14ac:dyDescent="0.25">
      <c r="A370" s="43">
        <v>10199104</v>
      </c>
      <c r="B370" t="s">
        <v>863</v>
      </c>
      <c r="C370" s="43" t="s">
        <v>90</v>
      </c>
      <c r="D370" s="43">
        <v>4202023</v>
      </c>
      <c r="E370" t="s">
        <v>82</v>
      </c>
      <c r="F370" s="47" t="str">
        <f>+Centro_Cuenta8[[#This Row],[Codigo Centro Gestion]]&amp;" - "&amp;Centro_Cuenta8[[#This Row],[Nombre Centro Gestion]]</f>
        <v>10199104 - Vista Independencia-Ventas</v>
      </c>
      <c r="G370" s="47" t="str">
        <f>+Centro_Cuenta8[[#This Row],[Código Cuenta Contable]]&amp;" - "&amp;Centro_Cuenta8[[#This Row],[Nombre de Cuenta Contable]]</f>
        <v>4202023 - Honorarios Por Asesorías</v>
      </c>
      <c r="H370" s="146" t="str">
        <f>+VLOOKUP(D370,'3. Cuentas'!A:F,6,0)</f>
        <v>SI</v>
      </c>
    </row>
    <row r="371" spans="1:8" x14ac:dyDescent="0.25">
      <c r="A371" s="43">
        <v>10199104</v>
      </c>
      <c r="B371" t="s">
        <v>863</v>
      </c>
      <c r="C371" s="43" t="s">
        <v>90</v>
      </c>
      <c r="D371" s="43">
        <v>4202029</v>
      </c>
      <c r="E371" t="s">
        <v>83</v>
      </c>
      <c r="F371" s="47" t="str">
        <f>+Centro_Cuenta8[[#This Row],[Codigo Centro Gestion]]&amp;" - "&amp;Centro_Cuenta8[[#This Row],[Nombre Centro Gestion]]</f>
        <v>10199104 - Vista Independencia-Ventas</v>
      </c>
      <c r="G371" s="47" t="str">
        <f>+Centro_Cuenta8[[#This Row],[Código Cuenta Contable]]&amp;" - "&amp;Centro_Cuenta8[[#This Row],[Nombre de Cuenta Contable]]</f>
        <v>4202029 - Insumos Y Gastos Informáticos</v>
      </c>
      <c r="H371" s="146" t="str">
        <f>+VLOOKUP(D371,'3. Cuentas'!A:F,6,0)</f>
        <v>SI</v>
      </c>
    </row>
    <row r="372" spans="1:8" x14ac:dyDescent="0.25">
      <c r="A372" s="43">
        <v>10199104</v>
      </c>
      <c r="B372" t="s">
        <v>863</v>
      </c>
      <c r="C372" s="43" t="s">
        <v>90</v>
      </c>
      <c r="D372" s="43">
        <v>4204021</v>
      </c>
      <c r="E372" t="s">
        <v>329</v>
      </c>
      <c r="F372" s="47" t="str">
        <f>+Centro_Cuenta8[[#This Row],[Codigo Centro Gestion]]&amp;" - "&amp;Centro_Cuenta8[[#This Row],[Nombre Centro Gestion]]</f>
        <v>10199104 - Vista Independencia-Ventas</v>
      </c>
      <c r="G372" s="47" t="str">
        <f>+Centro_Cuenta8[[#This Row],[Código Cuenta Contable]]&amp;" - "&amp;Centro_Cuenta8[[#This Row],[Nombre de Cuenta Contable]]</f>
        <v>4204021 - Publicidad Ferias Y Eventos</v>
      </c>
      <c r="H372" s="146" t="str">
        <f>+VLOOKUP(D372,'3. Cuentas'!A:F,6,0)</f>
        <v>SI</v>
      </c>
    </row>
    <row r="373" spans="1:8" x14ac:dyDescent="0.25">
      <c r="A373" s="43">
        <v>10199105</v>
      </c>
      <c r="B373" t="s">
        <v>864</v>
      </c>
      <c r="C373" s="43" t="s">
        <v>1622</v>
      </c>
      <c r="D373" s="43">
        <v>4203020</v>
      </c>
      <c r="E373" t="s">
        <v>295</v>
      </c>
      <c r="F373" s="47" t="str">
        <f>+Centro_Cuenta8[[#This Row],[Codigo Centro Gestion]]&amp;" - "&amp;Centro_Cuenta8[[#This Row],[Nombre Centro Gestion]]</f>
        <v>10199105 - Vista Independencia-Clientes</v>
      </c>
      <c r="G373" s="47" t="str">
        <f>+Centro_Cuenta8[[#This Row],[Código Cuenta Contable]]&amp;" - "&amp;Centro_Cuenta8[[#This Row],[Nombre de Cuenta Contable]]</f>
        <v>4203020 - Mant. y Consum. Viv Stock</v>
      </c>
      <c r="H373" s="146" t="str">
        <f>+VLOOKUP(D373,'3. Cuentas'!A:F,6,0)</f>
        <v>SI</v>
      </c>
    </row>
    <row r="374" spans="1:8" x14ac:dyDescent="0.25">
      <c r="A374" s="43">
        <v>10199105</v>
      </c>
      <c r="B374" t="s">
        <v>864</v>
      </c>
      <c r="C374" s="43" t="s">
        <v>1622</v>
      </c>
      <c r="D374" s="43">
        <v>4203120</v>
      </c>
      <c r="E374" t="s">
        <v>108</v>
      </c>
      <c r="F374" s="47" t="str">
        <f>+Centro_Cuenta8[[#This Row],[Codigo Centro Gestion]]&amp;" - "&amp;Centro_Cuenta8[[#This Row],[Nombre Centro Gestion]]</f>
        <v>10199105 - Vista Independencia-Clientes</v>
      </c>
      <c r="G374" s="47" t="str">
        <f>+Centro_Cuenta8[[#This Row],[Código Cuenta Contable]]&amp;" - "&amp;Centro_Cuenta8[[#This Row],[Nombre de Cuenta Contable]]</f>
        <v>4203120 - Gastos Comunes</v>
      </c>
      <c r="H374" s="146" t="str">
        <f>+VLOOKUP(D374,'3. Cuentas'!A:F,6,0)</f>
        <v>SI</v>
      </c>
    </row>
    <row r="375" spans="1:8" x14ac:dyDescent="0.25">
      <c r="A375" s="43">
        <v>10199105</v>
      </c>
      <c r="B375" t="s">
        <v>864</v>
      </c>
      <c r="C375" s="43" t="s">
        <v>1622</v>
      </c>
      <c r="D375" s="43">
        <v>4203140</v>
      </c>
      <c r="E375" t="s">
        <v>109</v>
      </c>
      <c r="F375" s="47" t="str">
        <f>+Centro_Cuenta8[[#This Row],[Codigo Centro Gestion]]&amp;" - "&amp;Centro_Cuenta8[[#This Row],[Nombre Centro Gestion]]</f>
        <v>10199105 - Vista Independencia-Clientes</v>
      </c>
      <c r="G375" s="47" t="str">
        <f>+Centro_Cuenta8[[#This Row],[Código Cuenta Contable]]&amp;" - "&amp;Centro_Cuenta8[[#This Row],[Nombre de Cuenta Contable]]</f>
        <v>4203140 - Contribuciones</v>
      </c>
      <c r="H375" s="146" t="str">
        <f>+VLOOKUP(D375,'3. Cuentas'!A:F,6,0)</f>
        <v>SI</v>
      </c>
    </row>
    <row r="376" spans="1:8" x14ac:dyDescent="0.25">
      <c r="A376" s="43">
        <v>10199204</v>
      </c>
      <c r="B376" t="s">
        <v>865</v>
      </c>
      <c r="C376" s="43" t="s">
        <v>1624</v>
      </c>
      <c r="D376" s="43">
        <v>1103045</v>
      </c>
      <c r="E376" t="s">
        <v>323</v>
      </c>
      <c r="F376" s="47" t="str">
        <f>+Centro_Cuenta8[[#This Row],[Codigo Centro Gestion]]&amp;" - "&amp;Centro_Cuenta8[[#This Row],[Nombre Centro Gestion]]</f>
        <v>10199204 - Vista Independencia-Proyecto</v>
      </c>
      <c r="G376" s="47" t="str">
        <f>+Centro_Cuenta8[[#This Row],[Código Cuenta Contable]]&amp;" - "&amp;Centro_Cuenta8[[#This Row],[Nombre de Cuenta Contable]]</f>
        <v>1103045 - Aportes reembolsables (electricidad y agua)</v>
      </c>
      <c r="H376" s="146" t="str">
        <f>+VLOOKUP(D376,'3. Cuentas'!A:F,6,0)</f>
        <v>SI</v>
      </c>
    </row>
    <row r="377" spans="1:8" x14ac:dyDescent="0.25">
      <c r="A377" s="43">
        <v>10199204</v>
      </c>
      <c r="B377" t="s">
        <v>865</v>
      </c>
      <c r="C377" s="43" t="s">
        <v>1624</v>
      </c>
      <c r="D377" s="43">
        <v>1109020</v>
      </c>
      <c r="E377" t="s">
        <v>302</v>
      </c>
      <c r="F377" s="47" t="str">
        <f>+Centro_Cuenta8[[#This Row],[Codigo Centro Gestion]]&amp;" - "&amp;Centro_Cuenta8[[#This Row],[Nombre Centro Gestion]]</f>
        <v>10199204 - Vista Independencia-Proyecto</v>
      </c>
      <c r="G377" s="47" t="str">
        <f>+Centro_Cuenta8[[#This Row],[Código Cuenta Contable]]&amp;" - "&amp;Centro_Cuenta8[[#This Row],[Nombre de Cuenta Contable]]</f>
        <v>1109020 - Mobiliario</v>
      </c>
      <c r="H377" s="146" t="str">
        <f>+VLOOKUP(D377,'3. Cuentas'!A:F,6,0)</f>
        <v>SI</v>
      </c>
    </row>
    <row r="378" spans="1:8" x14ac:dyDescent="0.25">
      <c r="A378" s="43">
        <v>10199204</v>
      </c>
      <c r="B378" t="s">
        <v>865</v>
      </c>
      <c r="C378" s="43" t="s">
        <v>1624</v>
      </c>
      <c r="D378" s="43">
        <v>1110040</v>
      </c>
      <c r="E378" t="s">
        <v>1505</v>
      </c>
      <c r="F378" s="47" t="str">
        <f>+Centro_Cuenta8[[#This Row],[Codigo Centro Gestion]]&amp;" - "&amp;Centro_Cuenta8[[#This Row],[Nombre Centro Gestion]]</f>
        <v>10199204 - Vista Independencia-Proyecto</v>
      </c>
      <c r="G378" s="47" t="str">
        <f>+Centro_Cuenta8[[#This Row],[Código Cuenta Contable]]&amp;" - "&amp;Centro_Cuenta8[[#This Row],[Nombre de Cuenta Contable]]</f>
        <v>1110040 - Garantía Pagadas</v>
      </c>
      <c r="H378" s="146" t="str">
        <f>+VLOOKUP(D378,'3. Cuentas'!A:F,6,0)</f>
        <v>SI</v>
      </c>
    </row>
    <row r="379" spans="1:8" x14ac:dyDescent="0.25">
      <c r="A379" s="43">
        <v>10199204</v>
      </c>
      <c r="B379" t="s">
        <v>865</v>
      </c>
      <c r="C379" s="43" t="s">
        <v>1624</v>
      </c>
      <c r="D379" s="43">
        <v>1115040</v>
      </c>
      <c r="E379" t="s">
        <v>291</v>
      </c>
      <c r="F379" s="47" t="str">
        <f>+Centro_Cuenta8[[#This Row],[Codigo Centro Gestion]]&amp;" - "&amp;Centro_Cuenta8[[#This Row],[Nombre Centro Gestion]]</f>
        <v>10199204 - Vista Independencia-Proyecto</v>
      </c>
      <c r="G379" s="47" t="str">
        <f>+Centro_Cuenta8[[#This Row],[Código Cuenta Contable]]&amp;" - "&amp;Centro_Cuenta8[[#This Row],[Nombre de Cuenta Contable]]</f>
        <v>1115040 - Saneamiento De Terreno</v>
      </c>
      <c r="H379" s="146" t="str">
        <f>+VLOOKUP(D379,'3. Cuentas'!A:F,6,0)</f>
        <v>SI</v>
      </c>
    </row>
    <row r="380" spans="1:8" x14ac:dyDescent="0.25">
      <c r="A380" s="43">
        <v>10199204</v>
      </c>
      <c r="B380" t="s">
        <v>865</v>
      </c>
      <c r="C380" s="43" t="s">
        <v>1624</v>
      </c>
      <c r="D380" s="43">
        <v>1115050</v>
      </c>
      <c r="E380" t="s">
        <v>1628</v>
      </c>
      <c r="F380" s="47" t="str">
        <f>+Centro_Cuenta8[[#This Row],[Codigo Centro Gestion]]&amp;" - "&amp;Centro_Cuenta8[[#This Row],[Nombre Centro Gestion]]</f>
        <v>10199204 - Vista Independencia-Proyecto</v>
      </c>
      <c r="G380" s="47" t="str">
        <f>+Centro_Cuenta8[[#This Row],[Código Cuenta Contable]]&amp;" - "&amp;Centro_Cuenta8[[#This Row],[Nombre de Cuenta Contable]]</f>
        <v>1115050 - Demolición</v>
      </c>
      <c r="H380" s="146" t="str">
        <f>+VLOOKUP(D380,'3. Cuentas'!A:F,6,0)</f>
        <v>SI</v>
      </c>
    </row>
    <row r="381" spans="1:8" x14ac:dyDescent="0.25">
      <c r="A381" s="43">
        <v>10199204</v>
      </c>
      <c r="B381" t="s">
        <v>865</v>
      </c>
      <c r="C381" s="43" t="s">
        <v>1624</v>
      </c>
      <c r="D381" s="43">
        <v>1115100</v>
      </c>
      <c r="E381" t="s">
        <v>292</v>
      </c>
      <c r="F381" s="47" t="str">
        <f>+Centro_Cuenta8[[#This Row],[Codigo Centro Gestion]]&amp;" - "&amp;Centro_Cuenta8[[#This Row],[Nombre Centro Gestion]]</f>
        <v>10199204 - Vista Independencia-Proyecto</v>
      </c>
      <c r="G381" s="47" t="str">
        <f>+Centro_Cuenta8[[#This Row],[Código Cuenta Contable]]&amp;" - "&amp;Centro_Cuenta8[[#This Row],[Nombre de Cuenta Contable]]</f>
        <v>1115100 - Proyectos Y Especialidades</v>
      </c>
      <c r="H381" s="146" t="str">
        <f>+VLOOKUP(D381,'3. Cuentas'!A:F,6,0)</f>
        <v>SI</v>
      </c>
    </row>
    <row r="382" spans="1:8" x14ac:dyDescent="0.25">
      <c r="A382" s="43">
        <v>10199204</v>
      </c>
      <c r="B382" t="s">
        <v>865</v>
      </c>
      <c r="C382" s="43" t="s">
        <v>1624</v>
      </c>
      <c r="D382" s="43">
        <v>1115120</v>
      </c>
      <c r="E382" t="s">
        <v>1633</v>
      </c>
      <c r="F382" s="47" t="str">
        <f>+Centro_Cuenta8[[#This Row],[Codigo Centro Gestion]]&amp;" - "&amp;Centro_Cuenta8[[#This Row],[Nombre Centro Gestion]]</f>
        <v>10199204 - Vista Independencia-Proyecto</v>
      </c>
      <c r="G382" s="47" t="str">
        <f>+Centro_Cuenta8[[#This Row],[Código Cuenta Contable]]&amp;" - "&amp;Centro_Cuenta8[[#This Row],[Nombre de Cuenta Contable]]</f>
        <v>1115120 - Instalación Empalmes</v>
      </c>
      <c r="H382" s="146" t="str">
        <f>+VLOOKUP(D382,'3. Cuentas'!A:F,6,0)</f>
        <v>SI</v>
      </c>
    </row>
    <row r="383" spans="1:8" x14ac:dyDescent="0.25">
      <c r="A383" s="43">
        <v>10199204</v>
      </c>
      <c r="B383" t="s">
        <v>865</v>
      </c>
      <c r="C383" s="43" t="s">
        <v>1624</v>
      </c>
      <c r="D383" s="43">
        <v>1115170</v>
      </c>
      <c r="E383" t="s">
        <v>293</v>
      </c>
      <c r="F383" s="47" t="str">
        <f>+Centro_Cuenta8[[#This Row],[Codigo Centro Gestion]]&amp;" - "&amp;Centro_Cuenta8[[#This Row],[Nombre Centro Gestion]]</f>
        <v>10199204 - Vista Independencia-Proyecto</v>
      </c>
      <c r="G383" s="47" t="str">
        <f>+Centro_Cuenta8[[#This Row],[Código Cuenta Contable]]&amp;" - "&amp;Centro_Cuenta8[[#This Row],[Nombre de Cuenta Contable]]</f>
        <v>1115170 - Permisos Y Otros Gastos Municipales</v>
      </c>
      <c r="H383" s="146" t="str">
        <f>+VLOOKUP(D383,'3. Cuentas'!A:F,6,0)</f>
        <v>SI</v>
      </c>
    </row>
    <row r="384" spans="1:8" x14ac:dyDescent="0.25">
      <c r="A384" s="43">
        <v>10199204</v>
      </c>
      <c r="B384" t="s">
        <v>865</v>
      </c>
      <c r="C384" s="43" t="s">
        <v>1624</v>
      </c>
      <c r="D384" s="43">
        <v>1115240</v>
      </c>
      <c r="E384" t="s">
        <v>294</v>
      </c>
      <c r="F384" s="47" t="str">
        <f>+Centro_Cuenta8[[#This Row],[Codigo Centro Gestion]]&amp;" - "&amp;Centro_Cuenta8[[#This Row],[Nombre Centro Gestion]]</f>
        <v>10199204 - Vista Independencia-Proyecto</v>
      </c>
      <c r="G384" s="47" t="str">
        <f>+Centro_Cuenta8[[#This Row],[Código Cuenta Contable]]&amp;" - "&amp;Centro_Cuenta8[[#This Row],[Nombre de Cuenta Contable]]</f>
        <v>1115240 - Estudios Y Asesorias Técnicas</v>
      </c>
      <c r="H384" s="146" t="str">
        <f>+VLOOKUP(D384,'3. Cuentas'!A:F,6,0)</f>
        <v>SI</v>
      </c>
    </row>
    <row r="385" spans="1:8" x14ac:dyDescent="0.25">
      <c r="A385" s="43">
        <v>10199204</v>
      </c>
      <c r="B385" t="s">
        <v>865</v>
      </c>
      <c r="C385" s="43" t="s">
        <v>1624</v>
      </c>
      <c r="D385" s="43">
        <v>4203090</v>
      </c>
      <c r="E385" t="s">
        <v>192</v>
      </c>
      <c r="F385" s="47" t="str">
        <f>+Centro_Cuenta8[[#This Row],[Codigo Centro Gestion]]&amp;" - "&amp;Centro_Cuenta8[[#This Row],[Nombre Centro Gestion]]</f>
        <v>10199204 - Vista Independencia-Proyecto</v>
      </c>
      <c r="G385" s="47" t="str">
        <f>+Centro_Cuenta8[[#This Row],[Código Cuenta Contable]]&amp;" - "&amp;Centro_Cuenta8[[#This Row],[Nombre de Cuenta Contable]]</f>
        <v>4203090 - Gastos Legales Y Notariales Proyecto</v>
      </c>
      <c r="H385" s="146" t="str">
        <f>+VLOOKUP(D385,'3. Cuentas'!A:F,6,0)</f>
        <v>SI</v>
      </c>
    </row>
    <row r="386" spans="1:8" x14ac:dyDescent="0.25">
      <c r="A386" s="43">
        <v>10199204</v>
      </c>
      <c r="B386" t="s">
        <v>865</v>
      </c>
      <c r="C386" s="43" t="s">
        <v>1624</v>
      </c>
      <c r="D386" s="43">
        <v>4203140</v>
      </c>
      <c r="E386" t="s">
        <v>109</v>
      </c>
      <c r="F386" s="47" t="str">
        <f>+Centro_Cuenta8[[#This Row],[Codigo Centro Gestion]]&amp;" - "&amp;Centro_Cuenta8[[#This Row],[Nombre Centro Gestion]]</f>
        <v>10199204 - Vista Independencia-Proyecto</v>
      </c>
      <c r="G386" s="47" t="str">
        <f>+Centro_Cuenta8[[#This Row],[Código Cuenta Contable]]&amp;" - "&amp;Centro_Cuenta8[[#This Row],[Nombre de Cuenta Contable]]</f>
        <v>4203140 - Contribuciones</v>
      </c>
      <c r="H386" s="146" t="str">
        <f>+VLOOKUP(D386,'3. Cuentas'!A:F,6,0)</f>
        <v>SI</v>
      </c>
    </row>
    <row r="387" spans="1:8" x14ac:dyDescent="0.25">
      <c r="A387" s="43">
        <v>10199204</v>
      </c>
      <c r="B387" t="s">
        <v>865</v>
      </c>
      <c r="C387" s="43" t="s">
        <v>1624</v>
      </c>
      <c r="D387" s="43">
        <v>4203150</v>
      </c>
      <c r="E387" t="s">
        <v>156</v>
      </c>
      <c r="F387" s="47" t="str">
        <f>+Centro_Cuenta8[[#This Row],[Codigo Centro Gestion]]&amp;" - "&amp;Centro_Cuenta8[[#This Row],[Nombre Centro Gestion]]</f>
        <v>10199204 - Vista Independencia-Proyecto</v>
      </c>
      <c r="G387" s="47" t="str">
        <f>+Centro_Cuenta8[[#This Row],[Código Cuenta Contable]]&amp;" - "&amp;Centro_Cuenta8[[#This Row],[Nombre de Cuenta Contable]]</f>
        <v>4203150 - Gastos CBR</v>
      </c>
      <c r="H387" s="146" t="str">
        <f>+VLOOKUP(D387,'3. Cuentas'!A:F,6,0)</f>
        <v>SI</v>
      </c>
    </row>
    <row r="388" spans="1:8" x14ac:dyDescent="0.25">
      <c r="A388" s="43">
        <v>10199204</v>
      </c>
      <c r="B388" t="s">
        <v>865</v>
      </c>
      <c r="C388" s="43" t="s">
        <v>1624</v>
      </c>
      <c r="D388" s="43">
        <v>4203160</v>
      </c>
      <c r="E388" t="s">
        <v>1639</v>
      </c>
      <c r="F388" s="47" t="str">
        <f>+Centro_Cuenta8[[#This Row],[Codigo Centro Gestion]]&amp;" - "&amp;Centro_Cuenta8[[#This Row],[Nombre Centro Gestion]]</f>
        <v>10199204 - Vista Independencia-Proyecto</v>
      </c>
      <c r="G388" s="47" t="str">
        <f>+Centro_Cuenta8[[#This Row],[Código Cuenta Contable]]&amp;" - "&amp;Centro_Cuenta8[[#This Row],[Nombre de Cuenta Contable]]</f>
        <v>4203160 - PAPELERIA Y FOTOCOPIADO</v>
      </c>
      <c r="H388" s="146" t="str">
        <f>+VLOOKUP(D388,'3. Cuentas'!A:F,6,0)</f>
        <v>SI</v>
      </c>
    </row>
    <row r="389" spans="1:8" x14ac:dyDescent="0.25">
      <c r="A389" s="43">
        <v>10199204</v>
      </c>
      <c r="B389" t="s">
        <v>865</v>
      </c>
      <c r="C389" s="43" t="s">
        <v>1624</v>
      </c>
      <c r="D389" s="43">
        <v>4203180</v>
      </c>
      <c r="E389" t="s">
        <v>1640</v>
      </c>
      <c r="F389" s="47" t="str">
        <f>+Centro_Cuenta8[[#This Row],[Codigo Centro Gestion]]&amp;" - "&amp;Centro_Cuenta8[[#This Row],[Nombre Centro Gestion]]</f>
        <v>10199204 - Vista Independencia-Proyecto</v>
      </c>
      <c r="G389" s="47" t="str">
        <f>+Centro_Cuenta8[[#This Row],[Código Cuenta Contable]]&amp;" - "&amp;Centro_Cuenta8[[#This Row],[Nombre de Cuenta Contable]]</f>
        <v>4203180 - Otros Gastos y Aseso Proy</v>
      </c>
      <c r="H389" s="146" t="str">
        <f>+VLOOKUP(D389,'3. Cuentas'!A:F,6,0)</f>
        <v>SI</v>
      </c>
    </row>
    <row r="390" spans="1:8" x14ac:dyDescent="0.25">
      <c r="A390" s="43">
        <v>10199301</v>
      </c>
      <c r="B390" t="s">
        <v>866</v>
      </c>
      <c r="C390" s="43" t="s">
        <v>1643</v>
      </c>
      <c r="D390" s="43">
        <v>4203090</v>
      </c>
      <c r="E390" t="s">
        <v>192</v>
      </c>
      <c r="F390" s="47" t="str">
        <f>+Centro_Cuenta8[[#This Row],[Codigo Centro Gestion]]&amp;" - "&amp;Centro_Cuenta8[[#This Row],[Nombre Centro Gestion]]</f>
        <v>10199301 - Vista Independencia-GAF</v>
      </c>
      <c r="G390" s="47" t="str">
        <f>+Centro_Cuenta8[[#This Row],[Código Cuenta Contable]]&amp;" - "&amp;Centro_Cuenta8[[#This Row],[Nombre de Cuenta Contable]]</f>
        <v>4203090 - Gastos Legales Y Notariales Proyecto</v>
      </c>
      <c r="H390" s="146" t="str">
        <f>+VLOOKUP(D390,'3. Cuentas'!A:F,6,0)</f>
        <v>SI</v>
      </c>
    </row>
    <row r="391" spans="1:8" x14ac:dyDescent="0.25">
      <c r="A391" s="43">
        <v>10199301</v>
      </c>
      <c r="B391" t="s">
        <v>866</v>
      </c>
      <c r="C391" s="43" t="s">
        <v>1643</v>
      </c>
      <c r="D391" s="43">
        <v>4203140</v>
      </c>
      <c r="E391" t="s">
        <v>109</v>
      </c>
      <c r="F391" s="47" t="str">
        <f>+Centro_Cuenta8[[#This Row],[Codigo Centro Gestion]]&amp;" - "&amp;Centro_Cuenta8[[#This Row],[Nombre Centro Gestion]]</f>
        <v>10199301 - Vista Independencia-GAF</v>
      </c>
      <c r="G391" s="47" t="str">
        <f>+Centro_Cuenta8[[#This Row],[Código Cuenta Contable]]&amp;" - "&amp;Centro_Cuenta8[[#This Row],[Nombre de Cuenta Contable]]</f>
        <v>4203140 - Contribuciones</v>
      </c>
      <c r="H391" s="146" t="str">
        <f>+VLOOKUP(D391,'3. Cuentas'!A:F,6,0)</f>
        <v>SI</v>
      </c>
    </row>
    <row r="392" spans="1:8" x14ac:dyDescent="0.25">
      <c r="A392" s="43">
        <v>10199506</v>
      </c>
      <c r="B392" t="s">
        <v>868</v>
      </c>
      <c r="C392" s="43" t="s">
        <v>200</v>
      </c>
      <c r="D392" s="43">
        <v>1115100</v>
      </c>
      <c r="E392" t="s">
        <v>292</v>
      </c>
      <c r="F392" s="47" t="str">
        <f>+Centro_Cuenta8[[#This Row],[Codigo Centro Gestion]]&amp;" - "&amp;Centro_Cuenta8[[#This Row],[Nombre Centro Gestion]]</f>
        <v>10199506 - Vista Independencia-Depto.Técnico</v>
      </c>
      <c r="G392" s="47" t="str">
        <f>+Centro_Cuenta8[[#This Row],[Código Cuenta Contable]]&amp;" - "&amp;Centro_Cuenta8[[#This Row],[Nombre de Cuenta Contable]]</f>
        <v>1115100 - Proyectos Y Especialidades</v>
      </c>
      <c r="H392" s="146" t="str">
        <f>+VLOOKUP(D392,'3. Cuentas'!A:F,6,0)</f>
        <v>SI</v>
      </c>
    </row>
    <row r="393" spans="1:8" x14ac:dyDescent="0.25">
      <c r="A393" s="43">
        <v>10200102</v>
      </c>
      <c r="B393" t="s">
        <v>870</v>
      </c>
      <c r="C393" s="43" t="s">
        <v>1617</v>
      </c>
      <c r="D393" s="43">
        <v>4204010</v>
      </c>
      <c r="E393" t="s">
        <v>313</v>
      </c>
      <c r="F393" s="47" t="str">
        <f>+Centro_Cuenta8[[#This Row],[Codigo Centro Gestion]]&amp;" - "&amp;Centro_Cuenta8[[#This Row],[Nombre Centro Gestion]]</f>
        <v>10200102 - Edificio Terrazas del Sol-Marketing</v>
      </c>
      <c r="G393" s="47" t="str">
        <f>+Centro_Cuenta8[[#This Row],[Código Cuenta Contable]]&amp;" - "&amp;Centro_Cuenta8[[#This Row],[Nombre de Cuenta Contable]]</f>
        <v>4204010 - Publicidad Punto Venta</v>
      </c>
      <c r="H393" s="146" t="str">
        <f>+VLOOKUP(D393,'3. Cuentas'!A:F,6,0)</f>
        <v>SI</v>
      </c>
    </row>
    <row r="394" spans="1:8" x14ac:dyDescent="0.25">
      <c r="A394" s="43">
        <v>10200102</v>
      </c>
      <c r="B394" t="s">
        <v>870</v>
      </c>
      <c r="C394" s="43" t="s">
        <v>1617</v>
      </c>
      <c r="D394" s="43">
        <v>4204021</v>
      </c>
      <c r="E394" t="s">
        <v>329</v>
      </c>
      <c r="F394" s="47" t="str">
        <f>+Centro_Cuenta8[[#This Row],[Codigo Centro Gestion]]&amp;" - "&amp;Centro_Cuenta8[[#This Row],[Nombre Centro Gestion]]</f>
        <v>10200102 - Edificio Terrazas del Sol-Marketing</v>
      </c>
      <c r="G394" s="47" t="str">
        <f>+Centro_Cuenta8[[#This Row],[Código Cuenta Contable]]&amp;" - "&amp;Centro_Cuenta8[[#This Row],[Nombre de Cuenta Contable]]</f>
        <v>4204021 - Publicidad Ferias Y Eventos</v>
      </c>
      <c r="H394" s="146" t="str">
        <f>+VLOOKUP(D394,'3. Cuentas'!A:F,6,0)</f>
        <v>SI</v>
      </c>
    </row>
    <row r="395" spans="1:8" x14ac:dyDescent="0.25">
      <c r="A395" s="43">
        <v>10200103</v>
      </c>
      <c r="B395" t="s">
        <v>871</v>
      </c>
      <c r="C395" s="43" t="s">
        <v>1618</v>
      </c>
      <c r="D395" s="43">
        <v>4203060</v>
      </c>
      <c r="E395" t="s">
        <v>321</v>
      </c>
      <c r="F395" s="47" t="str">
        <f>+Centro_Cuenta8[[#This Row],[Codigo Centro Gestion]]&amp;" - "&amp;Centro_Cuenta8[[#This Row],[Nombre Centro Gestion]]</f>
        <v>10200103 - Edificio Terrazas del Sol-Operaciones</v>
      </c>
      <c r="G395" s="47" t="str">
        <f>+Centro_Cuenta8[[#This Row],[Código Cuenta Contable]]&amp;" - "&amp;Centro_Cuenta8[[#This Row],[Nombre de Cuenta Contable]]</f>
        <v>4203060 - Gastos Operacionales De Clientes</v>
      </c>
      <c r="H395" s="146" t="str">
        <f>+VLOOKUP(D395,'3. Cuentas'!A:F,6,0)</f>
        <v>SI</v>
      </c>
    </row>
    <row r="396" spans="1:8" x14ac:dyDescent="0.25">
      <c r="A396" s="43">
        <v>10200103</v>
      </c>
      <c r="B396" t="s">
        <v>871</v>
      </c>
      <c r="C396" s="43" t="s">
        <v>1618</v>
      </c>
      <c r="D396" s="43">
        <v>4203090</v>
      </c>
      <c r="E396" t="s">
        <v>192</v>
      </c>
      <c r="F396" s="47" t="str">
        <f>+Centro_Cuenta8[[#This Row],[Codigo Centro Gestion]]&amp;" - "&amp;Centro_Cuenta8[[#This Row],[Nombre Centro Gestion]]</f>
        <v>10200103 - Edificio Terrazas del Sol-Operaciones</v>
      </c>
      <c r="G396" s="47" t="str">
        <f>+Centro_Cuenta8[[#This Row],[Código Cuenta Contable]]&amp;" - "&amp;Centro_Cuenta8[[#This Row],[Nombre de Cuenta Contable]]</f>
        <v>4203090 - Gastos Legales Y Notariales Proyecto</v>
      </c>
      <c r="H396" s="146" t="str">
        <f>+VLOOKUP(D396,'3. Cuentas'!A:F,6,0)</f>
        <v>SI</v>
      </c>
    </row>
    <row r="397" spans="1:8" x14ac:dyDescent="0.25">
      <c r="A397" s="43">
        <v>10200104</v>
      </c>
      <c r="B397" t="s">
        <v>872</v>
      </c>
      <c r="C397" s="43" t="s">
        <v>90</v>
      </c>
      <c r="D397" s="43">
        <v>1110040</v>
      </c>
      <c r="E397" t="s">
        <v>1505</v>
      </c>
      <c r="F397" s="47" t="str">
        <f>+Centro_Cuenta8[[#This Row],[Codigo Centro Gestion]]&amp;" - "&amp;Centro_Cuenta8[[#This Row],[Nombre Centro Gestion]]</f>
        <v>10200104 - Edificio Terrazas del Sol-Ventas</v>
      </c>
      <c r="G397" s="47" t="str">
        <f>+Centro_Cuenta8[[#This Row],[Código Cuenta Contable]]&amp;" - "&amp;Centro_Cuenta8[[#This Row],[Nombre de Cuenta Contable]]</f>
        <v>1110040 - Garantía Pagadas</v>
      </c>
      <c r="H397" s="146" t="str">
        <f>+VLOOKUP(D397,'3. Cuentas'!A:F,6,0)</f>
        <v>SI</v>
      </c>
    </row>
    <row r="398" spans="1:8" x14ac:dyDescent="0.25">
      <c r="A398" s="43">
        <v>10200104</v>
      </c>
      <c r="B398" t="s">
        <v>872</v>
      </c>
      <c r="C398" s="43" t="s">
        <v>90</v>
      </c>
      <c r="D398" s="43">
        <v>4202003</v>
      </c>
      <c r="E398" t="s">
        <v>106</v>
      </c>
      <c r="F398" s="47" t="str">
        <f>+Centro_Cuenta8[[#This Row],[Codigo Centro Gestion]]&amp;" - "&amp;Centro_Cuenta8[[#This Row],[Nombre Centro Gestion]]</f>
        <v>10200104 - Edificio Terrazas del Sol-Ventas</v>
      </c>
      <c r="G398" s="47" t="str">
        <f>+Centro_Cuenta8[[#This Row],[Código Cuenta Contable]]&amp;" - "&amp;Centro_Cuenta8[[#This Row],[Nombre de Cuenta Contable]]</f>
        <v>4202003 - Serv.Basic.Luz.Agua.Tel Of.C</v>
      </c>
      <c r="H398" s="146" t="str">
        <f>+VLOOKUP(D398,'3. Cuentas'!A:F,6,0)</f>
        <v>SI</v>
      </c>
    </row>
    <row r="399" spans="1:8" x14ac:dyDescent="0.25">
      <c r="A399" s="43">
        <v>10200104</v>
      </c>
      <c r="B399" t="s">
        <v>872</v>
      </c>
      <c r="C399" s="43" t="s">
        <v>90</v>
      </c>
      <c r="D399" s="43">
        <v>4202010</v>
      </c>
      <c r="E399" t="s">
        <v>87</v>
      </c>
      <c r="F399" s="47" t="str">
        <f>+Centro_Cuenta8[[#This Row],[Codigo Centro Gestion]]&amp;" - "&amp;Centro_Cuenta8[[#This Row],[Nombre Centro Gestion]]</f>
        <v>10200104 - Edificio Terrazas del Sol-Ventas</v>
      </c>
      <c r="G399" s="47" t="str">
        <f>+Centro_Cuenta8[[#This Row],[Código Cuenta Contable]]&amp;" - "&amp;Centro_Cuenta8[[#This Row],[Nombre de Cuenta Contable]]</f>
        <v>4202010 - Artic. Ofic. Fotocop.Papelería</v>
      </c>
      <c r="H399" s="146" t="str">
        <f>+VLOOKUP(D399,'3. Cuentas'!A:F,6,0)</f>
        <v>SI</v>
      </c>
    </row>
    <row r="400" spans="1:8" x14ac:dyDescent="0.25">
      <c r="A400" s="43">
        <v>10200104</v>
      </c>
      <c r="B400" t="s">
        <v>872</v>
      </c>
      <c r="C400" s="43" t="s">
        <v>90</v>
      </c>
      <c r="D400" s="43">
        <v>4202019</v>
      </c>
      <c r="E400" t="s">
        <v>81</v>
      </c>
      <c r="F400" s="47" t="str">
        <f>+Centro_Cuenta8[[#This Row],[Codigo Centro Gestion]]&amp;" - "&amp;Centro_Cuenta8[[#This Row],[Nombre Centro Gestion]]</f>
        <v>10200104 - Edificio Terrazas del Sol-Ventas</v>
      </c>
      <c r="G400" s="47" t="str">
        <f>+Centro_Cuenta8[[#This Row],[Código Cuenta Contable]]&amp;" - "&amp;Centro_Cuenta8[[#This Row],[Nombre de Cuenta Contable]]</f>
        <v>4202019 - Gasto General Oficina</v>
      </c>
      <c r="H400" s="146" t="str">
        <f>+VLOOKUP(D400,'3. Cuentas'!A:F,6,0)</f>
        <v>SI</v>
      </c>
    </row>
    <row r="401" spans="1:8" x14ac:dyDescent="0.25">
      <c r="A401" s="43">
        <v>10200104</v>
      </c>
      <c r="B401" t="s">
        <v>872</v>
      </c>
      <c r="C401" s="43" t="s">
        <v>90</v>
      </c>
      <c r="D401" s="43">
        <v>4202023</v>
      </c>
      <c r="E401" t="s">
        <v>82</v>
      </c>
      <c r="F401" s="47" t="str">
        <f>+Centro_Cuenta8[[#This Row],[Codigo Centro Gestion]]&amp;" - "&amp;Centro_Cuenta8[[#This Row],[Nombre Centro Gestion]]</f>
        <v>10200104 - Edificio Terrazas del Sol-Ventas</v>
      </c>
      <c r="G401" s="47" t="str">
        <f>+Centro_Cuenta8[[#This Row],[Código Cuenta Contable]]&amp;" - "&amp;Centro_Cuenta8[[#This Row],[Nombre de Cuenta Contable]]</f>
        <v>4202023 - Honorarios Por Asesorías</v>
      </c>
      <c r="H401" s="146" t="str">
        <f>+VLOOKUP(D401,'3. Cuentas'!A:F,6,0)</f>
        <v>SI</v>
      </c>
    </row>
    <row r="402" spans="1:8" x14ac:dyDescent="0.25">
      <c r="A402" s="43">
        <v>10200104</v>
      </c>
      <c r="B402" t="s">
        <v>872</v>
      </c>
      <c r="C402" s="43" t="s">
        <v>90</v>
      </c>
      <c r="D402" s="43">
        <v>4202029</v>
      </c>
      <c r="E402" t="s">
        <v>83</v>
      </c>
      <c r="F402" s="47" t="str">
        <f>+Centro_Cuenta8[[#This Row],[Codigo Centro Gestion]]&amp;" - "&amp;Centro_Cuenta8[[#This Row],[Nombre Centro Gestion]]</f>
        <v>10200104 - Edificio Terrazas del Sol-Ventas</v>
      </c>
      <c r="G402" s="47" t="str">
        <f>+Centro_Cuenta8[[#This Row],[Código Cuenta Contable]]&amp;" - "&amp;Centro_Cuenta8[[#This Row],[Nombre de Cuenta Contable]]</f>
        <v>4202029 - Insumos Y Gastos Informáticos</v>
      </c>
      <c r="H402" s="146" t="str">
        <f>+VLOOKUP(D402,'3. Cuentas'!A:F,6,0)</f>
        <v>SI</v>
      </c>
    </row>
    <row r="403" spans="1:8" x14ac:dyDescent="0.25">
      <c r="A403" s="43">
        <v>10200104</v>
      </c>
      <c r="B403" t="s">
        <v>872</v>
      </c>
      <c r="C403" s="43" t="s">
        <v>90</v>
      </c>
      <c r="D403" s="43">
        <v>4204021</v>
      </c>
      <c r="E403" t="s">
        <v>329</v>
      </c>
      <c r="F403" s="47" t="str">
        <f>+Centro_Cuenta8[[#This Row],[Codigo Centro Gestion]]&amp;" - "&amp;Centro_Cuenta8[[#This Row],[Nombre Centro Gestion]]</f>
        <v>10200104 - Edificio Terrazas del Sol-Ventas</v>
      </c>
      <c r="G403" s="47" t="str">
        <f>+Centro_Cuenta8[[#This Row],[Código Cuenta Contable]]&amp;" - "&amp;Centro_Cuenta8[[#This Row],[Nombre de Cuenta Contable]]</f>
        <v>4204021 - Publicidad Ferias Y Eventos</v>
      </c>
      <c r="H403" s="146" t="str">
        <f>+VLOOKUP(D403,'3. Cuentas'!A:F,6,0)</f>
        <v>SI</v>
      </c>
    </row>
    <row r="404" spans="1:8" x14ac:dyDescent="0.25">
      <c r="A404" s="43">
        <v>10200105</v>
      </c>
      <c r="B404" t="s">
        <v>873</v>
      </c>
      <c r="C404" s="43" t="s">
        <v>1622</v>
      </c>
      <c r="D404" s="43">
        <v>4203020</v>
      </c>
      <c r="E404" t="s">
        <v>295</v>
      </c>
      <c r="F404" s="47" t="str">
        <f>+Centro_Cuenta8[[#This Row],[Codigo Centro Gestion]]&amp;" - "&amp;Centro_Cuenta8[[#This Row],[Nombre Centro Gestion]]</f>
        <v>10200105 - Edificio Terrazas del Sol-Clientes</v>
      </c>
      <c r="G404" s="47" t="str">
        <f>+Centro_Cuenta8[[#This Row],[Código Cuenta Contable]]&amp;" - "&amp;Centro_Cuenta8[[#This Row],[Nombre de Cuenta Contable]]</f>
        <v>4203020 - Mant. y Consum. Viv Stock</v>
      </c>
      <c r="H404" s="146" t="str">
        <f>+VLOOKUP(D404,'3. Cuentas'!A:F,6,0)</f>
        <v>SI</v>
      </c>
    </row>
    <row r="405" spans="1:8" x14ac:dyDescent="0.25">
      <c r="A405" s="43">
        <v>10200105</v>
      </c>
      <c r="B405" t="s">
        <v>873</v>
      </c>
      <c r="C405" s="43" t="s">
        <v>1622</v>
      </c>
      <c r="D405" s="43">
        <v>4203120</v>
      </c>
      <c r="E405" t="s">
        <v>108</v>
      </c>
      <c r="F405" s="47" t="str">
        <f>+Centro_Cuenta8[[#This Row],[Codigo Centro Gestion]]&amp;" - "&amp;Centro_Cuenta8[[#This Row],[Nombre Centro Gestion]]</f>
        <v>10200105 - Edificio Terrazas del Sol-Clientes</v>
      </c>
      <c r="G405" s="47" t="str">
        <f>+Centro_Cuenta8[[#This Row],[Código Cuenta Contable]]&amp;" - "&amp;Centro_Cuenta8[[#This Row],[Nombre de Cuenta Contable]]</f>
        <v>4203120 - Gastos Comunes</v>
      </c>
      <c r="H405" s="146" t="str">
        <f>+VLOOKUP(D405,'3. Cuentas'!A:F,6,0)</f>
        <v>SI</v>
      </c>
    </row>
    <row r="406" spans="1:8" x14ac:dyDescent="0.25">
      <c r="A406" s="43">
        <v>10200105</v>
      </c>
      <c r="B406" t="s">
        <v>873</v>
      </c>
      <c r="C406" s="43" t="s">
        <v>1622</v>
      </c>
      <c r="D406" s="43">
        <v>4203140</v>
      </c>
      <c r="E406" t="s">
        <v>109</v>
      </c>
      <c r="F406" s="47" t="str">
        <f>+Centro_Cuenta8[[#This Row],[Codigo Centro Gestion]]&amp;" - "&amp;Centro_Cuenta8[[#This Row],[Nombre Centro Gestion]]</f>
        <v>10200105 - Edificio Terrazas del Sol-Clientes</v>
      </c>
      <c r="G406" s="47" t="str">
        <f>+Centro_Cuenta8[[#This Row],[Código Cuenta Contable]]&amp;" - "&amp;Centro_Cuenta8[[#This Row],[Nombre de Cuenta Contable]]</f>
        <v>4203140 - Contribuciones</v>
      </c>
      <c r="H406" s="146" t="str">
        <f>+VLOOKUP(D406,'3. Cuentas'!A:F,6,0)</f>
        <v>SI</v>
      </c>
    </row>
    <row r="407" spans="1:8" x14ac:dyDescent="0.25">
      <c r="A407" s="43">
        <v>10200204</v>
      </c>
      <c r="B407" t="s">
        <v>874</v>
      </c>
      <c r="C407" s="43" t="s">
        <v>1624</v>
      </c>
      <c r="D407" s="43">
        <v>1103045</v>
      </c>
      <c r="E407" t="s">
        <v>323</v>
      </c>
      <c r="F407" s="47" t="str">
        <f>+Centro_Cuenta8[[#This Row],[Codigo Centro Gestion]]&amp;" - "&amp;Centro_Cuenta8[[#This Row],[Nombre Centro Gestion]]</f>
        <v>10200204 - Edificio Terrazas del Sol-Proyecto</v>
      </c>
      <c r="G407" s="47" t="str">
        <f>+Centro_Cuenta8[[#This Row],[Código Cuenta Contable]]&amp;" - "&amp;Centro_Cuenta8[[#This Row],[Nombre de Cuenta Contable]]</f>
        <v>1103045 - Aportes reembolsables (electricidad y agua)</v>
      </c>
      <c r="H407" s="146" t="str">
        <f>+VLOOKUP(D407,'3. Cuentas'!A:F,6,0)</f>
        <v>SI</v>
      </c>
    </row>
    <row r="408" spans="1:8" x14ac:dyDescent="0.25">
      <c r="A408" s="43">
        <v>10200204</v>
      </c>
      <c r="B408" t="s">
        <v>874</v>
      </c>
      <c r="C408" s="43" t="s">
        <v>1624</v>
      </c>
      <c r="D408" s="43">
        <v>1109020</v>
      </c>
      <c r="E408" t="s">
        <v>302</v>
      </c>
      <c r="F408" s="47" t="str">
        <f>+Centro_Cuenta8[[#This Row],[Codigo Centro Gestion]]&amp;" - "&amp;Centro_Cuenta8[[#This Row],[Nombre Centro Gestion]]</f>
        <v>10200204 - Edificio Terrazas del Sol-Proyecto</v>
      </c>
      <c r="G408" s="47" t="str">
        <f>+Centro_Cuenta8[[#This Row],[Código Cuenta Contable]]&amp;" - "&amp;Centro_Cuenta8[[#This Row],[Nombre de Cuenta Contable]]</f>
        <v>1109020 - Mobiliario</v>
      </c>
      <c r="H408" s="146" t="str">
        <f>+VLOOKUP(D408,'3. Cuentas'!A:F,6,0)</f>
        <v>SI</v>
      </c>
    </row>
    <row r="409" spans="1:8" x14ac:dyDescent="0.25">
      <c r="A409" s="43">
        <v>10200204</v>
      </c>
      <c r="B409" t="s">
        <v>874</v>
      </c>
      <c r="C409" s="43" t="s">
        <v>1624</v>
      </c>
      <c r="D409" s="43">
        <v>1110040</v>
      </c>
      <c r="E409" t="s">
        <v>1505</v>
      </c>
      <c r="F409" s="47" t="str">
        <f>+Centro_Cuenta8[[#This Row],[Codigo Centro Gestion]]&amp;" - "&amp;Centro_Cuenta8[[#This Row],[Nombre Centro Gestion]]</f>
        <v>10200204 - Edificio Terrazas del Sol-Proyecto</v>
      </c>
      <c r="G409" s="47" t="str">
        <f>+Centro_Cuenta8[[#This Row],[Código Cuenta Contable]]&amp;" - "&amp;Centro_Cuenta8[[#This Row],[Nombre de Cuenta Contable]]</f>
        <v>1110040 - Garantía Pagadas</v>
      </c>
      <c r="H409" s="146" t="str">
        <f>+VLOOKUP(D409,'3. Cuentas'!A:F,6,0)</f>
        <v>SI</v>
      </c>
    </row>
    <row r="410" spans="1:8" x14ac:dyDescent="0.25">
      <c r="A410" s="43">
        <v>10200204</v>
      </c>
      <c r="B410" t="s">
        <v>874</v>
      </c>
      <c r="C410" s="43" t="s">
        <v>1624</v>
      </c>
      <c r="D410" s="43">
        <v>1115040</v>
      </c>
      <c r="E410" t="s">
        <v>291</v>
      </c>
      <c r="F410" s="47" t="str">
        <f>+Centro_Cuenta8[[#This Row],[Codigo Centro Gestion]]&amp;" - "&amp;Centro_Cuenta8[[#This Row],[Nombre Centro Gestion]]</f>
        <v>10200204 - Edificio Terrazas del Sol-Proyecto</v>
      </c>
      <c r="G410" s="47" t="str">
        <f>+Centro_Cuenta8[[#This Row],[Código Cuenta Contable]]&amp;" - "&amp;Centro_Cuenta8[[#This Row],[Nombre de Cuenta Contable]]</f>
        <v>1115040 - Saneamiento De Terreno</v>
      </c>
      <c r="H410" s="146" t="str">
        <f>+VLOOKUP(D410,'3. Cuentas'!A:F,6,0)</f>
        <v>SI</v>
      </c>
    </row>
    <row r="411" spans="1:8" x14ac:dyDescent="0.25">
      <c r="A411" s="43">
        <v>10200204</v>
      </c>
      <c r="B411" t="s">
        <v>874</v>
      </c>
      <c r="C411" s="43" t="s">
        <v>1624</v>
      </c>
      <c r="D411" s="43">
        <v>1115050</v>
      </c>
      <c r="E411" t="s">
        <v>1628</v>
      </c>
      <c r="F411" s="47" t="str">
        <f>+Centro_Cuenta8[[#This Row],[Codigo Centro Gestion]]&amp;" - "&amp;Centro_Cuenta8[[#This Row],[Nombre Centro Gestion]]</f>
        <v>10200204 - Edificio Terrazas del Sol-Proyecto</v>
      </c>
      <c r="G411" s="47" t="str">
        <f>+Centro_Cuenta8[[#This Row],[Código Cuenta Contable]]&amp;" - "&amp;Centro_Cuenta8[[#This Row],[Nombre de Cuenta Contable]]</f>
        <v>1115050 - Demolición</v>
      </c>
      <c r="H411" s="146" t="str">
        <f>+VLOOKUP(D411,'3. Cuentas'!A:F,6,0)</f>
        <v>SI</v>
      </c>
    </row>
    <row r="412" spans="1:8" x14ac:dyDescent="0.25">
      <c r="A412" s="43">
        <v>10200204</v>
      </c>
      <c r="B412" t="s">
        <v>874</v>
      </c>
      <c r="C412" s="43" t="s">
        <v>1624</v>
      </c>
      <c r="D412" s="43">
        <v>1115100</v>
      </c>
      <c r="E412" t="s">
        <v>292</v>
      </c>
      <c r="F412" s="47" t="str">
        <f>+Centro_Cuenta8[[#This Row],[Codigo Centro Gestion]]&amp;" - "&amp;Centro_Cuenta8[[#This Row],[Nombre Centro Gestion]]</f>
        <v>10200204 - Edificio Terrazas del Sol-Proyecto</v>
      </c>
      <c r="G412" s="47" t="str">
        <f>+Centro_Cuenta8[[#This Row],[Código Cuenta Contable]]&amp;" - "&amp;Centro_Cuenta8[[#This Row],[Nombre de Cuenta Contable]]</f>
        <v>1115100 - Proyectos Y Especialidades</v>
      </c>
      <c r="H412" s="146" t="str">
        <f>+VLOOKUP(D412,'3. Cuentas'!A:F,6,0)</f>
        <v>SI</v>
      </c>
    </row>
    <row r="413" spans="1:8" x14ac:dyDescent="0.25">
      <c r="A413" s="43">
        <v>10200204</v>
      </c>
      <c r="B413" t="s">
        <v>874</v>
      </c>
      <c r="C413" s="43" t="s">
        <v>1624</v>
      </c>
      <c r="D413" s="43">
        <v>1115120</v>
      </c>
      <c r="E413" t="s">
        <v>1633</v>
      </c>
      <c r="F413" s="47" t="str">
        <f>+Centro_Cuenta8[[#This Row],[Codigo Centro Gestion]]&amp;" - "&amp;Centro_Cuenta8[[#This Row],[Nombre Centro Gestion]]</f>
        <v>10200204 - Edificio Terrazas del Sol-Proyecto</v>
      </c>
      <c r="G413" s="47" t="str">
        <f>+Centro_Cuenta8[[#This Row],[Código Cuenta Contable]]&amp;" - "&amp;Centro_Cuenta8[[#This Row],[Nombre de Cuenta Contable]]</f>
        <v>1115120 - Instalación Empalmes</v>
      </c>
      <c r="H413" s="146" t="str">
        <f>+VLOOKUP(D413,'3. Cuentas'!A:F,6,0)</f>
        <v>SI</v>
      </c>
    </row>
    <row r="414" spans="1:8" x14ac:dyDescent="0.25">
      <c r="A414" s="43">
        <v>10200204</v>
      </c>
      <c r="B414" t="s">
        <v>874</v>
      </c>
      <c r="C414" s="43" t="s">
        <v>1624</v>
      </c>
      <c r="D414" s="43">
        <v>1115170</v>
      </c>
      <c r="E414" t="s">
        <v>293</v>
      </c>
      <c r="F414" s="47" t="str">
        <f>+Centro_Cuenta8[[#This Row],[Codigo Centro Gestion]]&amp;" - "&amp;Centro_Cuenta8[[#This Row],[Nombre Centro Gestion]]</f>
        <v>10200204 - Edificio Terrazas del Sol-Proyecto</v>
      </c>
      <c r="G414" s="47" t="str">
        <f>+Centro_Cuenta8[[#This Row],[Código Cuenta Contable]]&amp;" - "&amp;Centro_Cuenta8[[#This Row],[Nombre de Cuenta Contable]]</f>
        <v>1115170 - Permisos Y Otros Gastos Municipales</v>
      </c>
      <c r="H414" s="146" t="str">
        <f>+VLOOKUP(D414,'3. Cuentas'!A:F,6,0)</f>
        <v>SI</v>
      </c>
    </row>
    <row r="415" spans="1:8" x14ac:dyDescent="0.25">
      <c r="A415" s="43">
        <v>10200204</v>
      </c>
      <c r="B415" t="s">
        <v>874</v>
      </c>
      <c r="C415" s="43" t="s">
        <v>1624</v>
      </c>
      <c r="D415" s="43">
        <v>1115240</v>
      </c>
      <c r="E415" t="s">
        <v>294</v>
      </c>
      <c r="F415" s="47" t="str">
        <f>+Centro_Cuenta8[[#This Row],[Codigo Centro Gestion]]&amp;" - "&amp;Centro_Cuenta8[[#This Row],[Nombre Centro Gestion]]</f>
        <v>10200204 - Edificio Terrazas del Sol-Proyecto</v>
      </c>
      <c r="G415" s="47" t="str">
        <f>+Centro_Cuenta8[[#This Row],[Código Cuenta Contable]]&amp;" - "&amp;Centro_Cuenta8[[#This Row],[Nombre de Cuenta Contable]]</f>
        <v>1115240 - Estudios Y Asesorias Técnicas</v>
      </c>
      <c r="H415" s="146" t="str">
        <f>+VLOOKUP(D415,'3. Cuentas'!A:F,6,0)</f>
        <v>SI</v>
      </c>
    </row>
    <row r="416" spans="1:8" x14ac:dyDescent="0.25">
      <c r="A416" s="43">
        <v>10200204</v>
      </c>
      <c r="B416" t="s">
        <v>874</v>
      </c>
      <c r="C416" s="43" t="s">
        <v>1624</v>
      </c>
      <c r="D416" s="43">
        <v>4203090</v>
      </c>
      <c r="E416" t="s">
        <v>192</v>
      </c>
      <c r="F416" s="47" t="str">
        <f>+Centro_Cuenta8[[#This Row],[Codigo Centro Gestion]]&amp;" - "&amp;Centro_Cuenta8[[#This Row],[Nombre Centro Gestion]]</f>
        <v>10200204 - Edificio Terrazas del Sol-Proyecto</v>
      </c>
      <c r="G416" s="47" t="str">
        <f>+Centro_Cuenta8[[#This Row],[Código Cuenta Contable]]&amp;" - "&amp;Centro_Cuenta8[[#This Row],[Nombre de Cuenta Contable]]</f>
        <v>4203090 - Gastos Legales Y Notariales Proyecto</v>
      </c>
      <c r="H416" s="146" t="str">
        <f>+VLOOKUP(D416,'3. Cuentas'!A:F,6,0)</f>
        <v>SI</v>
      </c>
    </row>
    <row r="417" spans="1:8" x14ac:dyDescent="0.25">
      <c r="A417" s="43">
        <v>10200204</v>
      </c>
      <c r="B417" t="s">
        <v>874</v>
      </c>
      <c r="C417" s="43" t="s">
        <v>1624</v>
      </c>
      <c r="D417" s="43">
        <v>4203140</v>
      </c>
      <c r="E417" t="s">
        <v>109</v>
      </c>
      <c r="F417" s="47" t="str">
        <f>+Centro_Cuenta8[[#This Row],[Codigo Centro Gestion]]&amp;" - "&amp;Centro_Cuenta8[[#This Row],[Nombre Centro Gestion]]</f>
        <v>10200204 - Edificio Terrazas del Sol-Proyecto</v>
      </c>
      <c r="G417" s="47" t="str">
        <f>+Centro_Cuenta8[[#This Row],[Código Cuenta Contable]]&amp;" - "&amp;Centro_Cuenta8[[#This Row],[Nombre de Cuenta Contable]]</f>
        <v>4203140 - Contribuciones</v>
      </c>
      <c r="H417" s="146" t="str">
        <f>+VLOOKUP(D417,'3. Cuentas'!A:F,6,0)</f>
        <v>SI</v>
      </c>
    </row>
    <row r="418" spans="1:8" x14ac:dyDescent="0.25">
      <c r="A418" s="43">
        <v>10200204</v>
      </c>
      <c r="B418" t="s">
        <v>874</v>
      </c>
      <c r="C418" s="43" t="s">
        <v>1624</v>
      </c>
      <c r="D418" s="43">
        <v>4203150</v>
      </c>
      <c r="E418" t="s">
        <v>156</v>
      </c>
      <c r="F418" s="47" t="str">
        <f>+Centro_Cuenta8[[#This Row],[Codigo Centro Gestion]]&amp;" - "&amp;Centro_Cuenta8[[#This Row],[Nombre Centro Gestion]]</f>
        <v>10200204 - Edificio Terrazas del Sol-Proyecto</v>
      </c>
      <c r="G418" s="47" t="str">
        <f>+Centro_Cuenta8[[#This Row],[Código Cuenta Contable]]&amp;" - "&amp;Centro_Cuenta8[[#This Row],[Nombre de Cuenta Contable]]</f>
        <v>4203150 - Gastos CBR</v>
      </c>
      <c r="H418" s="146" t="str">
        <f>+VLOOKUP(D418,'3. Cuentas'!A:F,6,0)</f>
        <v>SI</v>
      </c>
    </row>
    <row r="419" spans="1:8" x14ac:dyDescent="0.25">
      <c r="A419" s="43">
        <v>10200204</v>
      </c>
      <c r="B419" t="s">
        <v>874</v>
      </c>
      <c r="C419" s="43" t="s">
        <v>1624</v>
      </c>
      <c r="D419" s="43">
        <v>4203160</v>
      </c>
      <c r="E419" t="s">
        <v>1639</v>
      </c>
      <c r="F419" s="47" t="str">
        <f>+Centro_Cuenta8[[#This Row],[Codigo Centro Gestion]]&amp;" - "&amp;Centro_Cuenta8[[#This Row],[Nombre Centro Gestion]]</f>
        <v>10200204 - Edificio Terrazas del Sol-Proyecto</v>
      </c>
      <c r="G419" s="47" t="str">
        <f>+Centro_Cuenta8[[#This Row],[Código Cuenta Contable]]&amp;" - "&amp;Centro_Cuenta8[[#This Row],[Nombre de Cuenta Contable]]</f>
        <v>4203160 - PAPELERIA Y FOTOCOPIADO</v>
      </c>
      <c r="H419" s="146" t="str">
        <f>+VLOOKUP(D419,'3. Cuentas'!A:F,6,0)</f>
        <v>SI</v>
      </c>
    </row>
    <row r="420" spans="1:8" x14ac:dyDescent="0.25">
      <c r="A420" s="43">
        <v>10200204</v>
      </c>
      <c r="B420" t="s">
        <v>874</v>
      </c>
      <c r="C420" s="43" t="s">
        <v>1624</v>
      </c>
      <c r="D420" s="43">
        <v>4203180</v>
      </c>
      <c r="E420" t="s">
        <v>1640</v>
      </c>
      <c r="F420" s="47" t="str">
        <f>+Centro_Cuenta8[[#This Row],[Codigo Centro Gestion]]&amp;" - "&amp;Centro_Cuenta8[[#This Row],[Nombre Centro Gestion]]</f>
        <v>10200204 - Edificio Terrazas del Sol-Proyecto</v>
      </c>
      <c r="G420" s="47" t="str">
        <f>+Centro_Cuenta8[[#This Row],[Código Cuenta Contable]]&amp;" - "&amp;Centro_Cuenta8[[#This Row],[Nombre de Cuenta Contable]]</f>
        <v>4203180 - Otros Gastos y Aseso Proy</v>
      </c>
      <c r="H420" s="146" t="str">
        <f>+VLOOKUP(D420,'3. Cuentas'!A:F,6,0)</f>
        <v>SI</v>
      </c>
    </row>
    <row r="421" spans="1:8" x14ac:dyDescent="0.25">
      <c r="A421" s="43">
        <v>10200301</v>
      </c>
      <c r="B421" t="s">
        <v>875</v>
      </c>
      <c r="C421" s="43" t="s">
        <v>1643</v>
      </c>
      <c r="D421" s="43">
        <v>4203090</v>
      </c>
      <c r="E421" t="s">
        <v>192</v>
      </c>
      <c r="F421" s="47" t="str">
        <f>+Centro_Cuenta8[[#This Row],[Codigo Centro Gestion]]&amp;" - "&amp;Centro_Cuenta8[[#This Row],[Nombre Centro Gestion]]</f>
        <v>10200301 - Edificio Terrazas del Sol-GAF</v>
      </c>
      <c r="G421" s="47" t="str">
        <f>+Centro_Cuenta8[[#This Row],[Código Cuenta Contable]]&amp;" - "&amp;Centro_Cuenta8[[#This Row],[Nombre de Cuenta Contable]]</f>
        <v>4203090 - Gastos Legales Y Notariales Proyecto</v>
      </c>
      <c r="H421" s="146" t="str">
        <f>+VLOOKUP(D421,'3. Cuentas'!A:F,6,0)</f>
        <v>SI</v>
      </c>
    </row>
    <row r="422" spans="1:8" x14ac:dyDescent="0.25">
      <c r="A422" s="43">
        <v>10200301</v>
      </c>
      <c r="B422" t="s">
        <v>875</v>
      </c>
      <c r="C422" s="43" t="s">
        <v>1643</v>
      </c>
      <c r="D422" s="43">
        <v>4203140</v>
      </c>
      <c r="E422" t="s">
        <v>109</v>
      </c>
      <c r="F422" s="47" t="str">
        <f>+Centro_Cuenta8[[#This Row],[Codigo Centro Gestion]]&amp;" - "&amp;Centro_Cuenta8[[#This Row],[Nombre Centro Gestion]]</f>
        <v>10200301 - Edificio Terrazas del Sol-GAF</v>
      </c>
      <c r="G422" s="47" t="str">
        <f>+Centro_Cuenta8[[#This Row],[Código Cuenta Contable]]&amp;" - "&amp;Centro_Cuenta8[[#This Row],[Nombre de Cuenta Contable]]</f>
        <v>4203140 - Contribuciones</v>
      </c>
      <c r="H422" s="146" t="str">
        <f>+VLOOKUP(D422,'3. Cuentas'!A:F,6,0)</f>
        <v>SI</v>
      </c>
    </row>
    <row r="423" spans="1:8" x14ac:dyDescent="0.25">
      <c r="A423" s="43">
        <v>10200506</v>
      </c>
      <c r="B423" t="s">
        <v>877</v>
      </c>
      <c r="C423" s="43" t="s">
        <v>200</v>
      </c>
      <c r="D423" s="43">
        <v>1115100</v>
      </c>
      <c r="E423" t="s">
        <v>292</v>
      </c>
      <c r="F423" s="47" t="str">
        <f>+Centro_Cuenta8[[#This Row],[Codigo Centro Gestion]]&amp;" - "&amp;Centro_Cuenta8[[#This Row],[Nombre Centro Gestion]]</f>
        <v>10200506 - Edificio Terrazas del Sol-Depto.Técnico</v>
      </c>
      <c r="G423" s="47" t="str">
        <f>+Centro_Cuenta8[[#This Row],[Código Cuenta Contable]]&amp;" - "&amp;Centro_Cuenta8[[#This Row],[Nombre de Cuenta Contable]]</f>
        <v>1115100 - Proyectos Y Especialidades</v>
      </c>
      <c r="H423" s="146" t="str">
        <f>+VLOOKUP(D423,'3. Cuentas'!A:F,6,0)</f>
        <v>SI</v>
      </c>
    </row>
    <row r="424" spans="1:8" x14ac:dyDescent="0.25">
      <c r="A424" s="43">
        <v>10201102</v>
      </c>
      <c r="B424" t="s">
        <v>879</v>
      </c>
      <c r="C424" s="43" t="s">
        <v>1617</v>
      </c>
      <c r="D424" s="43">
        <v>4204010</v>
      </c>
      <c r="E424" t="s">
        <v>313</v>
      </c>
      <c r="F424" s="47" t="str">
        <f>+Centro_Cuenta8[[#This Row],[Codigo Centro Gestion]]&amp;" - "&amp;Centro_Cuenta8[[#This Row],[Nombre Centro Gestion]]</f>
        <v>10201102 - Nuevo Ecuador-Marketing</v>
      </c>
      <c r="G424" s="47" t="str">
        <f>+Centro_Cuenta8[[#This Row],[Código Cuenta Contable]]&amp;" - "&amp;Centro_Cuenta8[[#This Row],[Nombre de Cuenta Contable]]</f>
        <v>4204010 - Publicidad Punto Venta</v>
      </c>
      <c r="H424" s="146" t="str">
        <f>+VLOOKUP(D424,'3. Cuentas'!A:F,6,0)</f>
        <v>SI</v>
      </c>
    </row>
    <row r="425" spans="1:8" x14ac:dyDescent="0.25">
      <c r="A425" s="43">
        <v>10201102</v>
      </c>
      <c r="B425" t="s">
        <v>879</v>
      </c>
      <c r="C425" s="43" t="s">
        <v>1617</v>
      </c>
      <c r="D425" s="43">
        <v>4204021</v>
      </c>
      <c r="E425" t="s">
        <v>329</v>
      </c>
      <c r="F425" s="47" t="str">
        <f>+Centro_Cuenta8[[#This Row],[Codigo Centro Gestion]]&amp;" - "&amp;Centro_Cuenta8[[#This Row],[Nombre Centro Gestion]]</f>
        <v>10201102 - Nuevo Ecuador-Marketing</v>
      </c>
      <c r="G425" s="47" t="str">
        <f>+Centro_Cuenta8[[#This Row],[Código Cuenta Contable]]&amp;" - "&amp;Centro_Cuenta8[[#This Row],[Nombre de Cuenta Contable]]</f>
        <v>4204021 - Publicidad Ferias Y Eventos</v>
      </c>
      <c r="H425" s="146" t="str">
        <f>+VLOOKUP(D425,'3. Cuentas'!A:F,6,0)</f>
        <v>SI</v>
      </c>
    </row>
    <row r="426" spans="1:8" x14ac:dyDescent="0.25">
      <c r="A426" s="43">
        <v>10201103</v>
      </c>
      <c r="B426" t="s">
        <v>880</v>
      </c>
      <c r="C426" s="43" t="s">
        <v>1618</v>
      </c>
      <c r="D426" s="43">
        <v>4203060</v>
      </c>
      <c r="E426" t="s">
        <v>321</v>
      </c>
      <c r="F426" s="47" t="str">
        <f>+Centro_Cuenta8[[#This Row],[Codigo Centro Gestion]]&amp;" - "&amp;Centro_Cuenta8[[#This Row],[Nombre Centro Gestion]]</f>
        <v>10201103 - Nuevo Ecuador-Operaciones</v>
      </c>
      <c r="G426" s="47" t="str">
        <f>+Centro_Cuenta8[[#This Row],[Código Cuenta Contable]]&amp;" - "&amp;Centro_Cuenta8[[#This Row],[Nombre de Cuenta Contable]]</f>
        <v>4203060 - Gastos Operacionales De Clientes</v>
      </c>
      <c r="H426" s="146" t="str">
        <f>+VLOOKUP(D426,'3. Cuentas'!A:F,6,0)</f>
        <v>SI</v>
      </c>
    </row>
    <row r="427" spans="1:8" x14ac:dyDescent="0.25">
      <c r="A427" s="43">
        <v>10201103</v>
      </c>
      <c r="B427" t="s">
        <v>880</v>
      </c>
      <c r="C427" s="43" t="s">
        <v>1618</v>
      </c>
      <c r="D427" s="43">
        <v>4203090</v>
      </c>
      <c r="E427" t="s">
        <v>192</v>
      </c>
      <c r="F427" s="47" t="str">
        <f>+Centro_Cuenta8[[#This Row],[Codigo Centro Gestion]]&amp;" - "&amp;Centro_Cuenta8[[#This Row],[Nombre Centro Gestion]]</f>
        <v>10201103 - Nuevo Ecuador-Operaciones</v>
      </c>
      <c r="G427" s="47" t="str">
        <f>+Centro_Cuenta8[[#This Row],[Código Cuenta Contable]]&amp;" - "&amp;Centro_Cuenta8[[#This Row],[Nombre de Cuenta Contable]]</f>
        <v>4203090 - Gastos Legales Y Notariales Proyecto</v>
      </c>
      <c r="H427" s="146" t="str">
        <f>+VLOOKUP(D427,'3. Cuentas'!A:F,6,0)</f>
        <v>SI</v>
      </c>
    </row>
    <row r="428" spans="1:8" x14ac:dyDescent="0.25">
      <c r="A428" s="43">
        <v>10201104</v>
      </c>
      <c r="B428" t="s">
        <v>881</v>
      </c>
      <c r="C428" s="43" t="s">
        <v>90</v>
      </c>
      <c r="D428" s="43">
        <v>1110040</v>
      </c>
      <c r="E428" t="s">
        <v>1505</v>
      </c>
      <c r="F428" s="47" t="str">
        <f>+Centro_Cuenta8[[#This Row],[Codigo Centro Gestion]]&amp;" - "&amp;Centro_Cuenta8[[#This Row],[Nombre Centro Gestion]]</f>
        <v>10201104 - Nuevo Ecuador-Ventas</v>
      </c>
      <c r="G428" s="47" t="str">
        <f>+Centro_Cuenta8[[#This Row],[Código Cuenta Contable]]&amp;" - "&amp;Centro_Cuenta8[[#This Row],[Nombre de Cuenta Contable]]</f>
        <v>1110040 - Garantía Pagadas</v>
      </c>
      <c r="H428" s="146" t="str">
        <f>+VLOOKUP(D428,'3. Cuentas'!A:F,6,0)</f>
        <v>SI</v>
      </c>
    </row>
    <row r="429" spans="1:8" x14ac:dyDescent="0.25">
      <c r="A429" s="43">
        <v>10201104</v>
      </c>
      <c r="B429" t="s">
        <v>881</v>
      </c>
      <c r="C429" s="43" t="s">
        <v>90</v>
      </c>
      <c r="D429" s="43">
        <v>4202003</v>
      </c>
      <c r="E429" t="s">
        <v>106</v>
      </c>
      <c r="F429" s="47" t="str">
        <f>+Centro_Cuenta8[[#This Row],[Codigo Centro Gestion]]&amp;" - "&amp;Centro_Cuenta8[[#This Row],[Nombre Centro Gestion]]</f>
        <v>10201104 - Nuevo Ecuador-Ventas</v>
      </c>
      <c r="G429" s="47" t="str">
        <f>+Centro_Cuenta8[[#This Row],[Código Cuenta Contable]]&amp;" - "&amp;Centro_Cuenta8[[#This Row],[Nombre de Cuenta Contable]]</f>
        <v>4202003 - Serv.Basic.Luz.Agua.Tel Of.C</v>
      </c>
      <c r="H429" s="146" t="str">
        <f>+VLOOKUP(D429,'3. Cuentas'!A:F,6,0)</f>
        <v>SI</v>
      </c>
    </row>
    <row r="430" spans="1:8" x14ac:dyDescent="0.25">
      <c r="A430" s="43">
        <v>10201104</v>
      </c>
      <c r="B430" t="s">
        <v>881</v>
      </c>
      <c r="C430" s="43" t="s">
        <v>90</v>
      </c>
      <c r="D430" s="43">
        <v>4202010</v>
      </c>
      <c r="E430" t="s">
        <v>87</v>
      </c>
      <c r="F430" s="47" t="str">
        <f>+Centro_Cuenta8[[#This Row],[Codigo Centro Gestion]]&amp;" - "&amp;Centro_Cuenta8[[#This Row],[Nombre Centro Gestion]]</f>
        <v>10201104 - Nuevo Ecuador-Ventas</v>
      </c>
      <c r="G430" s="47" t="str">
        <f>+Centro_Cuenta8[[#This Row],[Código Cuenta Contable]]&amp;" - "&amp;Centro_Cuenta8[[#This Row],[Nombre de Cuenta Contable]]</f>
        <v>4202010 - Artic. Ofic. Fotocop.Papelería</v>
      </c>
      <c r="H430" s="146" t="str">
        <f>+VLOOKUP(D430,'3. Cuentas'!A:F,6,0)</f>
        <v>SI</v>
      </c>
    </row>
    <row r="431" spans="1:8" x14ac:dyDescent="0.25">
      <c r="A431" s="43">
        <v>10201104</v>
      </c>
      <c r="B431" t="s">
        <v>881</v>
      </c>
      <c r="C431" s="43" t="s">
        <v>90</v>
      </c>
      <c r="D431" s="43">
        <v>4202019</v>
      </c>
      <c r="E431" t="s">
        <v>81</v>
      </c>
      <c r="F431" s="47" t="str">
        <f>+Centro_Cuenta8[[#This Row],[Codigo Centro Gestion]]&amp;" - "&amp;Centro_Cuenta8[[#This Row],[Nombre Centro Gestion]]</f>
        <v>10201104 - Nuevo Ecuador-Ventas</v>
      </c>
      <c r="G431" s="47" t="str">
        <f>+Centro_Cuenta8[[#This Row],[Código Cuenta Contable]]&amp;" - "&amp;Centro_Cuenta8[[#This Row],[Nombre de Cuenta Contable]]</f>
        <v>4202019 - Gasto General Oficina</v>
      </c>
      <c r="H431" s="146" t="str">
        <f>+VLOOKUP(D431,'3. Cuentas'!A:F,6,0)</f>
        <v>SI</v>
      </c>
    </row>
    <row r="432" spans="1:8" x14ac:dyDescent="0.25">
      <c r="A432" s="43">
        <v>10201104</v>
      </c>
      <c r="B432" t="s">
        <v>881</v>
      </c>
      <c r="C432" s="43" t="s">
        <v>90</v>
      </c>
      <c r="D432" s="43">
        <v>4202023</v>
      </c>
      <c r="E432" t="s">
        <v>82</v>
      </c>
      <c r="F432" s="47" t="str">
        <f>+Centro_Cuenta8[[#This Row],[Codigo Centro Gestion]]&amp;" - "&amp;Centro_Cuenta8[[#This Row],[Nombre Centro Gestion]]</f>
        <v>10201104 - Nuevo Ecuador-Ventas</v>
      </c>
      <c r="G432" s="47" t="str">
        <f>+Centro_Cuenta8[[#This Row],[Código Cuenta Contable]]&amp;" - "&amp;Centro_Cuenta8[[#This Row],[Nombre de Cuenta Contable]]</f>
        <v>4202023 - Honorarios Por Asesorías</v>
      </c>
      <c r="H432" s="146" t="str">
        <f>+VLOOKUP(D432,'3. Cuentas'!A:F,6,0)</f>
        <v>SI</v>
      </c>
    </row>
    <row r="433" spans="1:8" x14ac:dyDescent="0.25">
      <c r="A433" s="43">
        <v>10201104</v>
      </c>
      <c r="B433" t="s">
        <v>881</v>
      </c>
      <c r="C433" s="43" t="s">
        <v>90</v>
      </c>
      <c r="D433" s="43">
        <v>4202029</v>
      </c>
      <c r="E433" t="s">
        <v>83</v>
      </c>
      <c r="F433" s="47" t="str">
        <f>+Centro_Cuenta8[[#This Row],[Codigo Centro Gestion]]&amp;" - "&amp;Centro_Cuenta8[[#This Row],[Nombre Centro Gestion]]</f>
        <v>10201104 - Nuevo Ecuador-Ventas</v>
      </c>
      <c r="G433" s="47" t="str">
        <f>+Centro_Cuenta8[[#This Row],[Código Cuenta Contable]]&amp;" - "&amp;Centro_Cuenta8[[#This Row],[Nombre de Cuenta Contable]]</f>
        <v>4202029 - Insumos Y Gastos Informáticos</v>
      </c>
      <c r="H433" s="146" t="str">
        <f>+VLOOKUP(D433,'3. Cuentas'!A:F,6,0)</f>
        <v>SI</v>
      </c>
    </row>
    <row r="434" spans="1:8" x14ac:dyDescent="0.25">
      <c r="A434" s="43">
        <v>10201104</v>
      </c>
      <c r="B434" t="s">
        <v>881</v>
      </c>
      <c r="C434" s="43" t="s">
        <v>90</v>
      </c>
      <c r="D434" s="43">
        <v>4204021</v>
      </c>
      <c r="E434" t="s">
        <v>329</v>
      </c>
      <c r="F434" s="47" t="str">
        <f>+Centro_Cuenta8[[#This Row],[Codigo Centro Gestion]]&amp;" - "&amp;Centro_Cuenta8[[#This Row],[Nombre Centro Gestion]]</f>
        <v>10201104 - Nuevo Ecuador-Ventas</v>
      </c>
      <c r="G434" s="47" t="str">
        <f>+Centro_Cuenta8[[#This Row],[Código Cuenta Contable]]&amp;" - "&amp;Centro_Cuenta8[[#This Row],[Nombre de Cuenta Contable]]</f>
        <v>4204021 - Publicidad Ferias Y Eventos</v>
      </c>
      <c r="H434" s="146" t="str">
        <f>+VLOOKUP(D434,'3. Cuentas'!A:F,6,0)</f>
        <v>SI</v>
      </c>
    </row>
    <row r="435" spans="1:8" x14ac:dyDescent="0.25">
      <c r="A435" s="43">
        <v>10201105</v>
      </c>
      <c r="B435" t="s">
        <v>882</v>
      </c>
      <c r="C435" s="43" t="s">
        <v>1622</v>
      </c>
      <c r="D435" s="43">
        <v>4203020</v>
      </c>
      <c r="E435" t="s">
        <v>295</v>
      </c>
      <c r="F435" s="47" t="str">
        <f>+Centro_Cuenta8[[#This Row],[Codigo Centro Gestion]]&amp;" - "&amp;Centro_Cuenta8[[#This Row],[Nombre Centro Gestion]]</f>
        <v>10201105 - Nuevo Ecuador-Clientes</v>
      </c>
      <c r="G435" s="47" t="str">
        <f>+Centro_Cuenta8[[#This Row],[Código Cuenta Contable]]&amp;" - "&amp;Centro_Cuenta8[[#This Row],[Nombre de Cuenta Contable]]</f>
        <v>4203020 - Mant. y Consum. Viv Stock</v>
      </c>
      <c r="H435" s="146" t="str">
        <f>+VLOOKUP(D435,'3. Cuentas'!A:F,6,0)</f>
        <v>SI</v>
      </c>
    </row>
    <row r="436" spans="1:8" x14ac:dyDescent="0.25">
      <c r="A436" s="43">
        <v>10201105</v>
      </c>
      <c r="B436" t="s">
        <v>882</v>
      </c>
      <c r="C436" s="43" t="s">
        <v>1622</v>
      </c>
      <c r="D436" s="43">
        <v>4203120</v>
      </c>
      <c r="E436" t="s">
        <v>108</v>
      </c>
      <c r="F436" s="47" t="str">
        <f>+Centro_Cuenta8[[#This Row],[Codigo Centro Gestion]]&amp;" - "&amp;Centro_Cuenta8[[#This Row],[Nombre Centro Gestion]]</f>
        <v>10201105 - Nuevo Ecuador-Clientes</v>
      </c>
      <c r="G436" s="47" t="str">
        <f>+Centro_Cuenta8[[#This Row],[Código Cuenta Contable]]&amp;" - "&amp;Centro_Cuenta8[[#This Row],[Nombre de Cuenta Contable]]</f>
        <v>4203120 - Gastos Comunes</v>
      </c>
      <c r="H436" s="146" t="str">
        <f>+VLOOKUP(D436,'3. Cuentas'!A:F,6,0)</f>
        <v>SI</v>
      </c>
    </row>
    <row r="437" spans="1:8" x14ac:dyDescent="0.25">
      <c r="A437" s="43">
        <v>10201105</v>
      </c>
      <c r="B437" t="s">
        <v>882</v>
      </c>
      <c r="C437" s="43" t="s">
        <v>1622</v>
      </c>
      <c r="D437" s="43">
        <v>4203140</v>
      </c>
      <c r="E437" t="s">
        <v>109</v>
      </c>
      <c r="F437" s="47" t="str">
        <f>+Centro_Cuenta8[[#This Row],[Codigo Centro Gestion]]&amp;" - "&amp;Centro_Cuenta8[[#This Row],[Nombre Centro Gestion]]</f>
        <v>10201105 - Nuevo Ecuador-Clientes</v>
      </c>
      <c r="G437" s="47" t="str">
        <f>+Centro_Cuenta8[[#This Row],[Código Cuenta Contable]]&amp;" - "&amp;Centro_Cuenta8[[#This Row],[Nombre de Cuenta Contable]]</f>
        <v>4203140 - Contribuciones</v>
      </c>
      <c r="H437" s="146" t="str">
        <f>+VLOOKUP(D437,'3. Cuentas'!A:F,6,0)</f>
        <v>SI</v>
      </c>
    </row>
    <row r="438" spans="1:8" x14ac:dyDescent="0.25">
      <c r="A438" s="43">
        <v>10201204</v>
      </c>
      <c r="B438" t="s">
        <v>883</v>
      </c>
      <c r="C438" s="43" t="s">
        <v>1624</v>
      </c>
      <c r="D438" s="43">
        <v>1103045</v>
      </c>
      <c r="E438" t="s">
        <v>323</v>
      </c>
      <c r="F438" s="47" t="str">
        <f>+Centro_Cuenta8[[#This Row],[Codigo Centro Gestion]]&amp;" - "&amp;Centro_Cuenta8[[#This Row],[Nombre Centro Gestion]]</f>
        <v>10201204 - Nuevo Ecuador-Proyecto</v>
      </c>
      <c r="G438" s="47" t="str">
        <f>+Centro_Cuenta8[[#This Row],[Código Cuenta Contable]]&amp;" - "&amp;Centro_Cuenta8[[#This Row],[Nombre de Cuenta Contable]]</f>
        <v>1103045 - Aportes reembolsables (electricidad y agua)</v>
      </c>
      <c r="H438" s="146" t="str">
        <f>+VLOOKUP(D438,'3. Cuentas'!A:F,6,0)</f>
        <v>SI</v>
      </c>
    </row>
    <row r="439" spans="1:8" x14ac:dyDescent="0.25">
      <c r="A439" s="43">
        <v>10201204</v>
      </c>
      <c r="B439" t="s">
        <v>883</v>
      </c>
      <c r="C439" s="43" t="s">
        <v>1624</v>
      </c>
      <c r="D439" s="43">
        <v>1109020</v>
      </c>
      <c r="E439" t="s">
        <v>302</v>
      </c>
      <c r="F439" s="47" t="str">
        <f>+Centro_Cuenta8[[#This Row],[Codigo Centro Gestion]]&amp;" - "&amp;Centro_Cuenta8[[#This Row],[Nombre Centro Gestion]]</f>
        <v>10201204 - Nuevo Ecuador-Proyecto</v>
      </c>
      <c r="G439" s="47" t="str">
        <f>+Centro_Cuenta8[[#This Row],[Código Cuenta Contable]]&amp;" - "&amp;Centro_Cuenta8[[#This Row],[Nombre de Cuenta Contable]]</f>
        <v>1109020 - Mobiliario</v>
      </c>
      <c r="H439" s="146" t="str">
        <f>+VLOOKUP(D439,'3. Cuentas'!A:F,6,0)</f>
        <v>SI</v>
      </c>
    </row>
    <row r="440" spans="1:8" x14ac:dyDescent="0.25">
      <c r="A440" s="43">
        <v>10201204</v>
      </c>
      <c r="B440" t="s">
        <v>883</v>
      </c>
      <c r="C440" s="43" t="s">
        <v>1624</v>
      </c>
      <c r="D440" s="43">
        <v>1110040</v>
      </c>
      <c r="E440" t="s">
        <v>1505</v>
      </c>
      <c r="F440" s="47" t="str">
        <f>+Centro_Cuenta8[[#This Row],[Codigo Centro Gestion]]&amp;" - "&amp;Centro_Cuenta8[[#This Row],[Nombre Centro Gestion]]</f>
        <v>10201204 - Nuevo Ecuador-Proyecto</v>
      </c>
      <c r="G440" s="47" t="str">
        <f>+Centro_Cuenta8[[#This Row],[Código Cuenta Contable]]&amp;" - "&amp;Centro_Cuenta8[[#This Row],[Nombre de Cuenta Contable]]</f>
        <v>1110040 - Garantía Pagadas</v>
      </c>
      <c r="H440" s="146" t="str">
        <f>+VLOOKUP(D440,'3. Cuentas'!A:F,6,0)</f>
        <v>SI</v>
      </c>
    </row>
    <row r="441" spans="1:8" x14ac:dyDescent="0.25">
      <c r="A441" s="43">
        <v>10201204</v>
      </c>
      <c r="B441" t="s">
        <v>883</v>
      </c>
      <c r="C441" s="43" t="s">
        <v>1624</v>
      </c>
      <c r="D441" s="43">
        <v>1115040</v>
      </c>
      <c r="E441" t="s">
        <v>291</v>
      </c>
      <c r="F441" s="47" t="str">
        <f>+Centro_Cuenta8[[#This Row],[Codigo Centro Gestion]]&amp;" - "&amp;Centro_Cuenta8[[#This Row],[Nombre Centro Gestion]]</f>
        <v>10201204 - Nuevo Ecuador-Proyecto</v>
      </c>
      <c r="G441" s="47" t="str">
        <f>+Centro_Cuenta8[[#This Row],[Código Cuenta Contable]]&amp;" - "&amp;Centro_Cuenta8[[#This Row],[Nombre de Cuenta Contable]]</f>
        <v>1115040 - Saneamiento De Terreno</v>
      </c>
      <c r="H441" s="146" t="str">
        <f>+VLOOKUP(D441,'3. Cuentas'!A:F,6,0)</f>
        <v>SI</v>
      </c>
    </row>
    <row r="442" spans="1:8" x14ac:dyDescent="0.25">
      <c r="A442" s="43">
        <v>10201204</v>
      </c>
      <c r="B442" t="s">
        <v>883</v>
      </c>
      <c r="C442" s="43" t="s">
        <v>1624</v>
      </c>
      <c r="D442" s="43">
        <v>1115050</v>
      </c>
      <c r="E442" t="s">
        <v>1628</v>
      </c>
      <c r="F442" s="47" t="str">
        <f>+Centro_Cuenta8[[#This Row],[Codigo Centro Gestion]]&amp;" - "&amp;Centro_Cuenta8[[#This Row],[Nombre Centro Gestion]]</f>
        <v>10201204 - Nuevo Ecuador-Proyecto</v>
      </c>
      <c r="G442" s="47" t="str">
        <f>+Centro_Cuenta8[[#This Row],[Código Cuenta Contable]]&amp;" - "&amp;Centro_Cuenta8[[#This Row],[Nombre de Cuenta Contable]]</f>
        <v>1115050 - Demolición</v>
      </c>
      <c r="H442" s="146" t="str">
        <f>+VLOOKUP(D442,'3. Cuentas'!A:F,6,0)</f>
        <v>SI</v>
      </c>
    </row>
    <row r="443" spans="1:8" x14ac:dyDescent="0.25">
      <c r="A443" s="43">
        <v>10201204</v>
      </c>
      <c r="B443" t="s">
        <v>883</v>
      </c>
      <c r="C443" s="43" t="s">
        <v>1624</v>
      </c>
      <c r="D443" s="43">
        <v>1115100</v>
      </c>
      <c r="E443" t="s">
        <v>292</v>
      </c>
      <c r="F443" s="47" t="str">
        <f>+Centro_Cuenta8[[#This Row],[Codigo Centro Gestion]]&amp;" - "&amp;Centro_Cuenta8[[#This Row],[Nombre Centro Gestion]]</f>
        <v>10201204 - Nuevo Ecuador-Proyecto</v>
      </c>
      <c r="G443" s="47" t="str">
        <f>+Centro_Cuenta8[[#This Row],[Código Cuenta Contable]]&amp;" - "&amp;Centro_Cuenta8[[#This Row],[Nombre de Cuenta Contable]]</f>
        <v>1115100 - Proyectos Y Especialidades</v>
      </c>
      <c r="H443" s="146" t="str">
        <f>+VLOOKUP(D443,'3. Cuentas'!A:F,6,0)</f>
        <v>SI</v>
      </c>
    </row>
    <row r="444" spans="1:8" x14ac:dyDescent="0.25">
      <c r="A444" s="43">
        <v>10201204</v>
      </c>
      <c r="B444" t="s">
        <v>883</v>
      </c>
      <c r="C444" s="43" t="s">
        <v>1624</v>
      </c>
      <c r="D444" s="43">
        <v>1115120</v>
      </c>
      <c r="E444" t="s">
        <v>1633</v>
      </c>
      <c r="F444" s="47" t="str">
        <f>+Centro_Cuenta8[[#This Row],[Codigo Centro Gestion]]&amp;" - "&amp;Centro_Cuenta8[[#This Row],[Nombre Centro Gestion]]</f>
        <v>10201204 - Nuevo Ecuador-Proyecto</v>
      </c>
      <c r="G444" s="47" t="str">
        <f>+Centro_Cuenta8[[#This Row],[Código Cuenta Contable]]&amp;" - "&amp;Centro_Cuenta8[[#This Row],[Nombre de Cuenta Contable]]</f>
        <v>1115120 - Instalación Empalmes</v>
      </c>
      <c r="H444" s="146" t="str">
        <f>+VLOOKUP(D444,'3. Cuentas'!A:F,6,0)</f>
        <v>SI</v>
      </c>
    </row>
    <row r="445" spans="1:8" x14ac:dyDescent="0.25">
      <c r="A445" s="43">
        <v>10201204</v>
      </c>
      <c r="B445" t="s">
        <v>883</v>
      </c>
      <c r="C445" s="43" t="s">
        <v>1624</v>
      </c>
      <c r="D445" s="43">
        <v>1115170</v>
      </c>
      <c r="E445" t="s">
        <v>293</v>
      </c>
      <c r="F445" s="47" t="str">
        <f>+Centro_Cuenta8[[#This Row],[Codigo Centro Gestion]]&amp;" - "&amp;Centro_Cuenta8[[#This Row],[Nombre Centro Gestion]]</f>
        <v>10201204 - Nuevo Ecuador-Proyecto</v>
      </c>
      <c r="G445" s="47" t="str">
        <f>+Centro_Cuenta8[[#This Row],[Código Cuenta Contable]]&amp;" - "&amp;Centro_Cuenta8[[#This Row],[Nombre de Cuenta Contable]]</f>
        <v>1115170 - Permisos Y Otros Gastos Municipales</v>
      </c>
      <c r="H445" s="146" t="str">
        <f>+VLOOKUP(D445,'3. Cuentas'!A:F,6,0)</f>
        <v>SI</v>
      </c>
    </row>
    <row r="446" spans="1:8" x14ac:dyDescent="0.25">
      <c r="A446" s="43">
        <v>10201204</v>
      </c>
      <c r="B446" t="s">
        <v>883</v>
      </c>
      <c r="C446" s="43" t="s">
        <v>1624</v>
      </c>
      <c r="D446" s="43">
        <v>1115240</v>
      </c>
      <c r="E446" t="s">
        <v>294</v>
      </c>
      <c r="F446" s="47" t="str">
        <f>+Centro_Cuenta8[[#This Row],[Codigo Centro Gestion]]&amp;" - "&amp;Centro_Cuenta8[[#This Row],[Nombre Centro Gestion]]</f>
        <v>10201204 - Nuevo Ecuador-Proyecto</v>
      </c>
      <c r="G446" s="47" t="str">
        <f>+Centro_Cuenta8[[#This Row],[Código Cuenta Contable]]&amp;" - "&amp;Centro_Cuenta8[[#This Row],[Nombre de Cuenta Contable]]</f>
        <v>1115240 - Estudios Y Asesorias Técnicas</v>
      </c>
      <c r="H446" s="146" t="str">
        <f>+VLOOKUP(D446,'3. Cuentas'!A:F,6,0)</f>
        <v>SI</v>
      </c>
    </row>
    <row r="447" spans="1:8" x14ac:dyDescent="0.25">
      <c r="A447" s="43">
        <v>10201204</v>
      </c>
      <c r="B447" t="s">
        <v>883</v>
      </c>
      <c r="C447" s="43" t="s">
        <v>1624</v>
      </c>
      <c r="D447" s="43">
        <v>4203090</v>
      </c>
      <c r="E447" t="s">
        <v>192</v>
      </c>
      <c r="F447" s="47" t="str">
        <f>+Centro_Cuenta8[[#This Row],[Codigo Centro Gestion]]&amp;" - "&amp;Centro_Cuenta8[[#This Row],[Nombre Centro Gestion]]</f>
        <v>10201204 - Nuevo Ecuador-Proyecto</v>
      </c>
      <c r="G447" s="47" t="str">
        <f>+Centro_Cuenta8[[#This Row],[Código Cuenta Contable]]&amp;" - "&amp;Centro_Cuenta8[[#This Row],[Nombre de Cuenta Contable]]</f>
        <v>4203090 - Gastos Legales Y Notariales Proyecto</v>
      </c>
      <c r="H447" s="146" t="str">
        <f>+VLOOKUP(D447,'3. Cuentas'!A:F,6,0)</f>
        <v>SI</v>
      </c>
    </row>
    <row r="448" spans="1:8" x14ac:dyDescent="0.25">
      <c r="A448" s="43">
        <v>10201204</v>
      </c>
      <c r="B448" t="s">
        <v>883</v>
      </c>
      <c r="C448" s="43" t="s">
        <v>1624</v>
      </c>
      <c r="D448" s="43">
        <v>4203140</v>
      </c>
      <c r="E448" t="s">
        <v>109</v>
      </c>
      <c r="F448" s="47" t="str">
        <f>+Centro_Cuenta8[[#This Row],[Codigo Centro Gestion]]&amp;" - "&amp;Centro_Cuenta8[[#This Row],[Nombre Centro Gestion]]</f>
        <v>10201204 - Nuevo Ecuador-Proyecto</v>
      </c>
      <c r="G448" s="47" t="str">
        <f>+Centro_Cuenta8[[#This Row],[Código Cuenta Contable]]&amp;" - "&amp;Centro_Cuenta8[[#This Row],[Nombre de Cuenta Contable]]</f>
        <v>4203140 - Contribuciones</v>
      </c>
      <c r="H448" s="146" t="str">
        <f>+VLOOKUP(D448,'3. Cuentas'!A:F,6,0)</f>
        <v>SI</v>
      </c>
    </row>
    <row r="449" spans="1:8" x14ac:dyDescent="0.25">
      <c r="A449" s="43">
        <v>10201204</v>
      </c>
      <c r="B449" t="s">
        <v>883</v>
      </c>
      <c r="C449" s="43" t="s">
        <v>1624</v>
      </c>
      <c r="D449" s="43">
        <v>4203150</v>
      </c>
      <c r="E449" t="s">
        <v>156</v>
      </c>
      <c r="F449" s="47" t="str">
        <f>+Centro_Cuenta8[[#This Row],[Codigo Centro Gestion]]&amp;" - "&amp;Centro_Cuenta8[[#This Row],[Nombre Centro Gestion]]</f>
        <v>10201204 - Nuevo Ecuador-Proyecto</v>
      </c>
      <c r="G449" s="47" t="str">
        <f>+Centro_Cuenta8[[#This Row],[Código Cuenta Contable]]&amp;" - "&amp;Centro_Cuenta8[[#This Row],[Nombre de Cuenta Contable]]</f>
        <v>4203150 - Gastos CBR</v>
      </c>
      <c r="H449" s="146" t="str">
        <f>+VLOOKUP(D449,'3. Cuentas'!A:F,6,0)</f>
        <v>SI</v>
      </c>
    </row>
    <row r="450" spans="1:8" x14ac:dyDescent="0.25">
      <c r="A450" s="43">
        <v>10201204</v>
      </c>
      <c r="B450" t="s">
        <v>883</v>
      </c>
      <c r="C450" s="43" t="s">
        <v>1624</v>
      </c>
      <c r="D450" s="43">
        <v>4203160</v>
      </c>
      <c r="E450" t="s">
        <v>1639</v>
      </c>
      <c r="F450" s="47" t="str">
        <f>+Centro_Cuenta8[[#This Row],[Codigo Centro Gestion]]&amp;" - "&amp;Centro_Cuenta8[[#This Row],[Nombre Centro Gestion]]</f>
        <v>10201204 - Nuevo Ecuador-Proyecto</v>
      </c>
      <c r="G450" s="47" t="str">
        <f>+Centro_Cuenta8[[#This Row],[Código Cuenta Contable]]&amp;" - "&amp;Centro_Cuenta8[[#This Row],[Nombre de Cuenta Contable]]</f>
        <v>4203160 - PAPELERIA Y FOTOCOPIADO</v>
      </c>
      <c r="H450" s="146" t="str">
        <f>+VLOOKUP(D450,'3. Cuentas'!A:F,6,0)</f>
        <v>SI</v>
      </c>
    </row>
    <row r="451" spans="1:8" x14ac:dyDescent="0.25">
      <c r="A451" s="43">
        <v>10201204</v>
      </c>
      <c r="B451" t="s">
        <v>883</v>
      </c>
      <c r="C451" s="43" t="s">
        <v>1624</v>
      </c>
      <c r="D451" s="43">
        <v>4203180</v>
      </c>
      <c r="E451" t="s">
        <v>1640</v>
      </c>
      <c r="F451" s="47" t="str">
        <f>+Centro_Cuenta8[[#This Row],[Codigo Centro Gestion]]&amp;" - "&amp;Centro_Cuenta8[[#This Row],[Nombre Centro Gestion]]</f>
        <v>10201204 - Nuevo Ecuador-Proyecto</v>
      </c>
      <c r="G451" s="47" t="str">
        <f>+Centro_Cuenta8[[#This Row],[Código Cuenta Contable]]&amp;" - "&amp;Centro_Cuenta8[[#This Row],[Nombre de Cuenta Contable]]</f>
        <v>4203180 - Otros Gastos y Aseso Proy</v>
      </c>
      <c r="H451" s="146" t="str">
        <f>+VLOOKUP(D451,'3. Cuentas'!A:F,6,0)</f>
        <v>SI</v>
      </c>
    </row>
    <row r="452" spans="1:8" x14ac:dyDescent="0.25">
      <c r="A452" s="43">
        <v>10201301</v>
      </c>
      <c r="B452" t="s">
        <v>884</v>
      </c>
      <c r="C452" s="43" t="s">
        <v>1643</v>
      </c>
      <c r="D452" s="43">
        <v>4203090</v>
      </c>
      <c r="E452" t="s">
        <v>192</v>
      </c>
      <c r="F452" s="47" t="str">
        <f>+Centro_Cuenta8[[#This Row],[Codigo Centro Gestion]]&amp;" - "&amp;Centro_Cuenta8[[#This Row],[Nombre Centro Gestion]]</f>
        <v>10201301 - Nuevo Ecuador-GAF</v>
      </c>
      <c r="G452" s="47" t="str">
        <f>+Centro_Cuenta8[[#This Row],[Código Cuenta Contable]]&amp;" - "&amp;Centro_Cuenta8[[#This Row],[Nombre de Cuenta Contable]]</f>
        <v>4203090 - Gastos Legales Y Notariales Proyecto</v>
      </c>
      <c r="H452" s="146" t="str">
        <f>+VLOOKUP(D452,'3. Cuentas'!A:F,6,0)</f>
        <v>SI</v>
      </c>
    </row>
    <row r="453" spans="1:8" x14ac:dyDescent="0.25">
      <c r="A453" s="43">
        <v>10201301</v>
      </c>
      <c r="B453" t="s">
        <v>884</v>
      </c>
      <c r="C453" s="43" t="s">
        <v>1643</v>
      </c>
      <c r="D453" s="43">
        <v>4203140</v>
      </c>
      <c r="E453" t="s">
        <v>109</v>
      </c>
      <c r="F453" s="47" t="str">
        <f>+Centro_Cuenta8[[#This Row],[Codigo Centro Gestion]]&amp;" - "&amp;Centro_Cuenta8[[#This Row],[Nombre Centro Gestion]]</f>
        <v>10201301 - Nuevo Ecuador-GAF</v>
      </c>
      <c r="G453" s="47" t="str">
        <f>+Centro_Cuenta8[[#This Row],[Código Cuenta Contable]]&amp;" - "&amp;Centro_Cuenta8[[#This Row],[Nombre de Cuenta Contable]]</f>
        <v>4203140 - Contribuciones</v>
      </c>
      <c r="H453" s="146" t="str">
        <f>+VLOOKUP(D453,'3. Cuentas'!A:F,6,0)</f>
        <v>SI</v>
      </c>
    </row>
    <row r="454" spans="1:8" x14ac:dyDescent="0.25">
      <c r="A454" s="43">
        <v>10201506</v>
      </c>
      <c r="B454" t="s">
        <v>888</v>
      </c>
      <c r="C454" s="43" t="s">
        <v>200</v>
      </c>
      <c r="D454" s="43">
        <v>1115100</v>
      </c>
      <c r="E454" t="s">
        <v>292</v>
      </c>
      <c r="F454" s="47" t="str">
        <f>+Centro_Cuenta8[[#This Row],[Codigo Centro Gestion]]&amp;" - "&amp;Centro_Cuenta8[[#This Row],[Nombre Centro Gestion]]</f>
        <v>10201506 - Nuevo Ecuador-Depto. Técnico</v>
      </c>
      <c r="G454" s="47" t="str">
        <f>+Centro_Cuenta8[[#This Row],[Código Cuenta Contable]]&amp;" - "&amp;Centro_Cuenta8[[#This Row],[Nombre de Cuenta Contable]]</f>
        <v>1115100 - Proyectos Y Especialidades</v>
      </c>
      <c r="H454" s="146" t="str">
        <f>+VLOOKUP(D454,'3. Cuentas'!A:F,6,0)</f>
        <v>SI</v>
      </c>
    </row>
    <row r="455" spans="1:8" x14ac:dyDescent="0.25">
      <c r="A455" s="43">
        <v>10202102</v>
      </c>
      <c r="B455" t="s">
        <v>890</v>
      </c>
      <c r="C455" s="43" t="s">
        <v>1617</v>
      </c>
      <c r="D455" s="43">
        <v>4204010</v>
      </c>
      <c r="E455" t="s">
        <v>313</v>
      </c>
      <c r="F455" s="47" t="str">
        <f>+Centro_Cuenta8[[#This Row],[Codigo Centro Gestion]]&amp;" - "&amp;Centro_Cuenta8[[#This Row],[Nombre Centro Gestion]]</f>
        <v>10202102 - Parque Central-Marketing</v>
      </c>
      <c r="G455" s="47" t="str">
        <f>+Centro_Cuenta8[[#This Row],[Código Cuenta Contable]]&amp;" - "&amp;Centro_Cuenta8[[#This Row],[Nombre de Cuenta Contable]]</f>
        <v>4204010 - Publicidad Punto Venta</v>
      </c>
      <c r="H455" s="146" t="str">
        <f>+VLOOKUP(D455,'3. Cuentas'!A:F,6,0)</f>
        <v>SI</v>
      </c>
    </row>
    <row r="456" spans="1:8" x14ac:dyDescent="0.25">
      <c r="A456" s="43">
        <v>10202102</v>
      </c>
      <c r="B456" t="s">
        <v>890</v>
      </c>
      <c r="C456" s="43" t="s">
        <v>1617</v>
      </c>
      <c r="D456" s="43">
        <v>4204021</v>
      </c>
      <c r="E456" t="s">
        <v>329</v>
      </c>
      <c r="F456" s="47" t="str">
        <f>+Centro_Cuenta8[[#This Row],[Codigo Centro Gestion]]&amp;" - "&amp;Centro_Cuenta8[[#This Row],[Nombre Centro Gestion]]</f>
        <v>10202102 - Parque Central-Marketing</v>
      </c>
      <c r="G456" s="47" t="str">
        <f>+Centro_Cuenta8[[#This Row],[Código Cuenta Contable]]&amp;" - "&amp;Centro_Cuenta8[[#This Row],[Nombre de Cuenta Contable]]</f>
        <v>4204021 - Publicidad Ferias Y Eventos</v>
      </c>
      <c r="H456" s="146" t="str">
        <f>+VLOOKUP(D456,'3. Cuentas'!A:F,6,0)</f>
        <v>SI</v>
      </c>
    </row>
    <row r="457" spans="1:8" x14ac:dyDescent="0.25">
      <c r="A457" s="43">
        <v>10202103</v>
      </c>
      <c r="B457" t="s">
        <v>891</v>
      </c>
      <c r="C457" s="43" t="s">
        <v>1618</v>
      </c>
      <c r="D457" s="43">
        <v>4203060</v>
      </c>
      <c r="E457" t="s">
        <v>321</v>
      </c>
      <c r="F457" s="47" t="str">
        <f>+Centro_Cuenta8[[#This Row],[Codigo Centro Gestion]]&amp;" - "&amp;Centro_Cuenta8[[#This Row],[Nombre Centro Gestion]]</f>
        <v>10202103 - Parque Central-Operaciones</v>
      </c>
      <c r="G457" s="47" t="str">
        <f>+Centro_Cuenta8[[#This Row],[Código Cuenta Contable]]&amp;" - "&amp;Centro_Cuenta8[[#This Row],[Nombre de Cuenta Contable]]</f>
        <v>4203060 - Gastos Operacionales De Clientes</v>
      </c>
      <c r="H457" s="146" t="str">
        <f>+VLOOKUP(D457,'3. Cuentas'!A:F,6,0)</f>
        <v>SI</v>
      </c>
    </row>
    <row r="458" spans="1:8" x14ac:dyDescent="0.25">
      <c r="A458" s="43">
        <v>10202103</v>
      </c>
      <c r="B458" t="s">
        <v>891</v>
      </c>
      <c r="C458" s="43" t="s">
        <v>1618</v>
      </c>
      <c r="D458" s="43">
        <v>4203090</v>
      </c>
      <c r="E458" t="s">
        <v>192</v>
      </c>
      <c r="F458" s="47" t="str">
        <f>+Centro_Cuenta8[[#This Row],[Codigo Centro Gestion]]&amp;" - "&amp;Centro_Cuenta8[[#This Row],[Nombre Centro Gestion]]</f>
        <v>10202103 - Parque Central-Operaciones</v>
      </c>
      <c r="G458" s="47" t="str">
        <f>+Centro_Cuenta8[[#This Row],[Código Cuenta Contable]]&amp;" - "&amp;Centro_Cuenta8[[#This Row],[Nombre de Cuenta Contable]]</f>
        <v>4203090 - Gastos Legales Y Notariales Proyecto</v>
      </c>
      <c r="H458" s="146" t="str">
        <f>+VLOOKUP(D458,'3. Cuentas'!A:F,6,0)</f>
        <v>SI</v>
      </c>
    </row>
    <row r="459" spans="1:8" x14ac:dyDescent="0.25">
      <c r="A459" s="43">
        <v>10202104</v>
      </c>
      <c r="B459" t="s">
        <v>892</v>
      </c>
      <c r="C459" s="43" t="s">
        <v>90</v>
      </c>
      <c r="D459" s="43">
        <v>1110040</v>
      </c>
      <c r="E459" t="s">
        <v>1505</v>
      </c>
      <c r="F459" s="47" t="str">
        <f>+Centro_Cuenta8[[#This Row],[Codigo Centro Gestion]]&amp;" - "&amp;Centro_Cuenta8[[#This Row],[Nombre Centro Gestion]]</f>
        <v>10202104 - Parque Central-Ventas</v>
      </c>
      <c r="G459" s="47" t="str">
        <f>+Centro_Cuenta8[[#This Row],[Código Cuenta Contable]]&amp;" - "&amp;Centro_Cuenta8[[#This Row],[Nombre de Cuenta Contable]]</f>
        <v>1110040 - Garantía Pagadas</v>
      </c>
      <c r="H459" s="146" t="str">
        <f>+VLOOKUP(D459,'3. Cuentas'!A:F,6,0)</f>
        <v>SI</v>
      </c>
    </row>
    <row r="460" spans="1:8" x14ac:dyDescent="0.25">
      <c r="A460" s="43">
        <v>10202104</v>
      </c>
      <c r="B460" t="s">
        <v>892</v>
      </c>
      <c r="C460" s="43" t="s">
        <v>90</v>
      </c>
      <c r="D460" s="43">
        <v>4202003</v>
      </c>
      <c r="E460" t="s">
        <v>106</v>
      </c>
      <c r="F460" s="47" t="str">
        <f>+Centro_Cuenta8[[#This Row],[Codigo Centro Gestion]]&amp;" - "&amp;Centro_Cuenta8[[#This Row],[Nombre Centro Gestion]]</f>
        <v>10202104 - Parque Central-Ventas</v>
      </c>
      <c r="G460" s="47" t="str">
        <f>+Centro_Cuenta8[[#This Row],[Código Cuenta Contable]]&amp;" - "&amp;Centro_Cuenta8[[#This Row],[Nombre de Cuenta Contable]]</f>
        <v>4202003 - Serv.Basic.Luz.Agua.Tel Of.C</v>
      </c>
      <c r="H460" s="146" t="str">
        <f>+VLOOKUP(D460,'3. Cuentas'!A:F,6,0)</f>
        <v>SI</v>
      </c>
    </row>
    <row r="461" spans="1:8" x14ac:dyDescent="0.25">
      <c r="A461" s="43">
        <v>10202104</v>
      </c>
      <c r="B461" t="s">
        <v>892</v>
      </c>
      <c r="C461" s="43" t="s">
        <v>90</v>
      </c>
      <c r="D461" s="43">
        <v>4202010</v>
      </c>
      <c r="E461" t="s">
        <v>87</v>
      </c>
      <c r="F461" s="47" t="str">
        <f>+Centro_Cuenta8[[#This Row],[Codigo Centro Gestion]]&amp;" - "&amp;Centro_Cuenta8[[#This Row],[Nombre Centro Gestion]]</f>
        <v>10202104 - Parque Central-Ventas</v>
      </c>
      <c r="G461" s="47" t="str">
        <f>+Centro_Cuenta8[[#This Row],[Código Cuenta Contable]]&amp;" - "&amp;Centro_Cuenta8[[#This Row],[Nombre de Cuenta Contable]]</f>
        <v>4202010 - Artic. Ofic. Fotocop.Papelería</v>
      </c>
      <c r="H461" s="146" t="str">
        <f>+VLOOKUP(D461,'3. Cuentas'!A:F,6,0)</f>
        <v>SI</v>
      </c>
    </row>
    <row r="462" spans="1:8" x14ac:dyDescent="0.25">
      <c r="A462" s="43">
        <v>10202104</v>
      </c>
      <c r="B462" t="s">
        <v>892</v>
      </c>
      <c r="C462" s="43" t="s">
        <v>90</v>
      </c>
      <c r="D462" s="43">
        <v>4202019</v>
      </c>
      <c r="E462" t="s">
        <v>81</v>
      </c>
      <c r="F462" s="47" t="str">
        <f>+Centro_Cuenta8[[#This Row],[Codigo Centro Gestion]]&amp;" - "&amp;Centro_Cuenta8[[#This Row],[Nombre Centro Gestion]]</f>
        <v>10202104 - Parque Central-Ventas</v>
      </c>
      <c r="G462" s="47" t="str">
        <f>+Centro_Cuenta8[[#This Row],[Código Cuenta Contable]]&amp;" - "&amp;Centro_Cuenta8[[#This Row],[Nombre de Cuenta Contable]]</f>
        <v>4202019 - Gasto General Oficina</v>
      </c>
      <c r="H462" s="146" t="str">
        <f>+VLOOKUP(D462,'3. Cuentas'!A:F,6,0)</f>
        <v>SI</v>
      </c>
    </row>
    <row r="463" spans="1:8" x14ac:dyDescent="0.25">
      <c r="A463" s="43">
        <v>10202104</v>
      </c>
      <c r="B463" t="s">
        <v>892</v>
      </c>
      <c r="C463" s="43" t="s">
        <v>90</v>
      </c>
      <c r="D463" s="43">
        <v>4202023</v>
      </c>
      <c r="E463" t="s">
        <v>82</v>
      </c>
      <c r="F463" s="47" t="str">
        <f>+Centro_Cuenta8[[#This Row],[Codigo Centro Gestion]]&amp;" - "&amp;Centro_Cuenta8[[#This Row],[Nombre Centro Gestion]]</f>
        <v>10202104 - Parque Central-Ventas</v>
      </c>
      <c r="G463" s="47" t="str">
        <f>+Centro_Cuenta8[[#This Row],[Código Cuenta Contable]]&amp;" - "&amp;Centro_Cuenta8[[#This Row],[Nombre de Cuenta Contable]]</f>
        <v>4202023 - Honorarios Por Asesorías</v>
      </c>
      <c r="H463" s="146" t="str">
        <f>+VLOOKUP(D463,'3. Cuentas'!A:F,6,0)</f>
        <v>SI</v>
      </c>
    </row>
    <row r="464" spans="1:8" x14ac:dyDescent="0.25">
      <c r="A464" s="43">
        <v>10202104</v>
      </c>
      <c r="B464" t="s">
        <v>892</v>
      </c>
      <c r="C464" s="43" t="s">
        <v>90</v>
      </c>
      <c r="D464" s="43">
        <v>4202029</v>
      </c>
      <c r="E464" t="s">
        <v>83</v>
      </c>
      <c r="F464" s="47" t="str">
        <f>+Centro_Cuenta8[[#This Row],[Codigo Centro Gestion]]&amp;" - "&amp;Centro_Cuenta8[[#This Row],[Nombre Centro Gestion]]</f>
        <v>10202104 - Parque Central-Ventas</v>
      </c>
      <c r="G464" s="47" t="str">
        <f>+Centro_Cuenta8[[#This Row],[Código Cuenta Contable]]&amp;" - "&amp;Centro_Cuenta8[[#This Row],[Nombre de Cuenta Contable]]</f>
        <v>4202029 - Insumos Y Gastos Informáticos</v>
      </c>
      <c r="H464" s="146" t="str">
        <f>+VLOOKUP(D464,'3. Cuentas'!A:F,6,0)</f>
        <v>SI</v>
      </c>
    </row>
    <row r="465" spans="1:8" x14ac:dyDescent="0.25">
      <c r="A465" s="43">
        <v>10202104</v>
      </c>
      <c r="B465" t="s">
        <v>892</v>
      </c>
      <c r="C465" s="43" t="s">
        <v>90</v>
      </c>
      <c r="D465" s="43">
        <v>4204021</v>
      </c>
      <c r="E465" t="s">
        <v>329</v>
      </c>
      <c r="F465" s="47" t="str">
        <f>+Centro_Cuenta8[[#This Row],[Codigo Centro Gestion]]&amp;" - "&amp;Centro_Cuenta8[[#This Row],[Nombre Centro Gestion]]</f>
        <v>10202104 - Parque Central-Ventas</v>
      </c>
      <c r="G465" s="47" t="str">
        <f>+Centro_Cuenta8[[#This Row],[Código Cuenta Contable]]&amp;" - "&amp;Centro_Cuenta8[[#This Row],[Nombre de Cuenta Contable]]</f>
        <v>4204021 - Publicidad Ferias Y Eventos</v>
      </c>
      <c r="H465" s="146" t="str">
        <f>+VLOOKUP(D465,'3. Cuentas'!A:F,6,0)</f>
        <v>SI</v>
      </c>
    </row>
    <row r="466" spans="1:8" x14ac:dyDescent="0.25">
      <c r="A466" s="43">
        <v>10202105</v>
      </c>
      <c r="B466" t="s">
        <v>893</v>
      </c>
      <c r="C466" s="43" t="s">
        <v>1622</v>
      </c>
      <c r="D466" s="43">
        <v>4203020</v>
      </c>
      <c r="E466" t="s">
        <v>295</v>
      </c>
      <c r="F466" s="47" t="str">
        <f>+Centro_Cuenta8[[#This Row],[Codigo Centro Gestion]]&amp;" - "&amp;Centro_Cuenta8[[#This Row],[Nombre Centro Gestion]]</f>
        <v>10202105 - Parque Central-Clientes</v>
      </c>
      <c r="G466" s="47" t="str">
        <f>+Centro_Cuenta8[[#This Row],[Código Cuenta Contable]]&amp;" - "&amp;Centro_Cuenta8[[#This Row],[Nombre de Cuenta Contable]]</f>
        <v>4203020 - Mant. y Consum. Viv Stock</v>
      </c>
      <c r="H466" s="146" t="str">
        <f>+VLOOKUP(D466,'3. Cuentas'!A:F,6,0)</f>
        <v>SI</v>
      </c>
    </row>
    <row r="467" spans="1:8" x14ac:dyDescent="0.25">
      <c r="A467" s="43">
        <v>10202105</v>
      </c>
      <c r="B467" t="s">
        <v>893</v>
      </c>
      <c r="C467" s="43" t="s">
        <v>1622</v>
      </c>
      <c r="D467" s="43">
        <v>4203120</v>
      </c>
      <c r="E467" t="s">
        <v>108</v>
      </c>
      <c r="F467" s="47" t="str">
        <f>+Centro_Cuenta8[[#This Row],[Codigo Centro Gestion]]&amp;" - "&amp;Centro_Cuenta8[[#This Row],[Nombre Centro Gestion]]</f>
        <v>10202105 - Parque Central-Clientes</v>
      </c>
      <c r="G467" s="47" t="str">
        <f>+Centro_Cuenta8[[#This Row],[Código Cuenta Contable]]&amp;" - "&amp;Centro_Cuenta8[[#This Row],[Nombre de Cuenta Contable]]</f>
        <v>4203120 - Gastos Comunes</v>
      </c>
      <c r="H467" s="146" t="str">
        <f>+VLOOKUP(D467,'3. Cuentas'!A:F,6,0)</f>
        <v>SI</v>
      </c>
    </row>
    <row r="468" spans="1:8" x14ac:dyDescent="0.25">
      <c r="A468" s="43">
        <v>10202105</v>
      </c>
      <c r="B468" t="s">
        <v>893</v>
      </c>
      <c r="C468" s="43" t="s">
        <v>1622</v>
      </c>
      <c r="D468" s="43">
        <v>4203140</v>
      </c>
      <c r="E468" t="s">
        <v>109</v>
      </c>
      <c r="F468" s="47" t="str">
        <f>+Centro_Cuenta8[[#This Row],[Codigo Centro Gestion]]&amp;" - "&amp;Centro_Cuenta8[[#This Row],[Nombre Centro Gestion]]</f>
        <v>10202105 - Parque Central-Clientes</v>
      </c>
      <c r="G468" s="47" t="str">
        <f>+Centro_Cuenta8[[#This Row],[Código Cuenta Contable]]&amp;" - "&amp;Centro_Cuenta8[[#This Row],[Nombre de Cuenta Contable]]</f>
        <v>4203140 - Contribuciones</v>
      </c>
      <c r="H468" s="146" t="str">
        <f>+VLOOKUP(D468,'3. Cuentas'!A:F,6,0)</f>
        <v>SI</v>
      </c>
    </row>
    <row r="469" spans="1:8" x14ac:dyDescent="0.25">
      <c r="A469" s="43">
        <v>10202204</v>
      </c>
      <c r="B469" t="s">
        <v>894</v>
      </c>
      <c r="C469" s="43" t="s">
        <v>1624</v>
      </c>
      <c r="D469" s="43">
        <v>1103045</v>
      </c>
      <c r="E469" t="s">
        <v>323</v>
      </c>
      <c r="F469" s="47" t="str">
        <f>+Centro_Cuenta8[[#This Row],[Codigo Centro Gestion]]&amp;" - "&amp;Centro_Cuenta8[[#This Row],[Nombre Centro Gestion]]</f>
        <v>10202204 - Parque Central-Proyecto</v>
      </c>
      <c r="G469" s="47" t="str">
        <f>+Centro_Cuenta8[[#This Row],[Código Cuenta Contable]]&amp;" - "&amp;Centro_Cuenta8[[#This Row],[Nombre de Cuenta Contable]]</f>
        <v>1103045 - Aportes reembolsables (electricidad y agua)</v>
      </c>
      <c r="H469" s="146" t="str">
        <f>+VLOOKUP(D469,'3. Cuentas'!A:F,6,0)</f>
        <v>SI</v>
      </c>
    </row>
    <row r="470" spans="1:8" x14ac:dyDescent="0.25">
      <c r="A470" s="43">
        <v>10202204</v>
      </c>
      <c r="B470" t="s">
        <v>894</v>
      </c>
      <c r="C470" s="43" t="s">
        <v>1624</v>
      </c>
      <c r="D470" s="43">
        <v>1109020</v>
      </c>
      <c r="E470" t="s">
        <v>302</v>
      </c>
      <c r="F470" s="47" t="str">
        <f>+Centro_Cuenta8[[#This Row],[Codigo Centro Gestion]]&amp;" - "&amp;Centro_Cuenta8[[#This Row],[Nombre Centro Gestion]]</f>
        <v>10202204 - Parque Central-Proyecto</v>
      </c>
      <c r="G470" s="47" t="str">
        <f>+Centro_Cuenta8[[#This Row],[Código Cuenta Contable]]&amp;" - "&amp;Centro_Cuenta8[[#This Row],[Nombre de Cuenta Contable]]</f>
        <v>1109020 - Mobiliario</v>
      </c>
      <c r="H470" s="146" t="str">
        <f>+VLOOKUP(D470,'3. Cuentas'!A:F,6,0)</f>
        <v>SI</v>
      </c>
    </row>
    <row r="471" spans="1:8" x14ac:dyDescent="0.25">
      <c r="A471" s="43">
        <v>10202204</v>
      </c>
      <c r="B471" t="s">
        <v>894</v>
      </c>
      <c r="C471" s="43" t="s">
        <v>1624</v>
      </c>
      <c r="D471" s="43">
        <v>1110040</v>
      </c>
      <c r="E471" t="s">
        <v>1505</v>
      </c>
      <c r="F471" s="47" t="str">
        <f>+Centro_Cuenta8[[#This Row],[Codigo Centro Gestion]]&amp;" - "&amp;Centro_Cuenta8[[#This Row],[Nombre Centro Gestion]]</f>
        <v>10202204 - Parque Central-Proyecto</v>
      </c>
      <c r="G471" s="47" t="str">
        <f>+Centro_Cuenta8[[#This Row],[Código Cuenta Contable]]&amp;" - "&amp;Centro_Cuenta8[[#This Row],[Nombre de Cuenta Contable]]</f>
        <v>1110040 - Garantía Pagadas</v>
      </c>
      <c r="H471" s="146" t="str">
        <f>+VLOOKUP(D471,'3. Cuentas'!A:F,6,0)</f>
        <v>SI</v>
      </c>
    </row>
    <row r="472" spans="1:8" x14ac:dyDescent="0.25">
      <c r="A472" s="43">
        <v>10202204</v>
      </c>
      <c r="B472" t="s">
        <v>894</v>
      </c>
      <c r="C472" s="43" t="s">
        <v>1624</v>
      </c>
      <c r="D472" s="43">
        <v>1115040</v>
      </c>
      <c r="E472" t="s">
        <v>291</v>
      </c>
      <c r="F472" s="47" t="str">
        <f>+Centro_Cuenta8[[#This Row],[Codigo Centro Gestion]]&amp;" - "&amp;Centro_Cuenta8[[#This Row],[Nombre Centro Gestion]]</f>
        <v>10202204 - Parque Central-Proyecto</v>
      </c>
      <c r="G472" s="47" t="str">
        <f>+Centro_Cuenta8[[#This Row],[Código Cuenta Contable]]&amp;" - "&amp;Centro_Cuenta8[[#This Row],[Nombre de Cuenta Contable]]</f>
        <v>1115040 - Saneamiento De Terreno</v>
      </c>
      <c r="H472" s="146" t="str">
        <f>+VLOOKUP(D472,'3. Cuentas'!A:F,6,0)</f>
        <v>SI</v>
      </c>
    </row>
    <row r="473" spans="1:8" x14ac:dyDescent="0.25">
      <c r="A473" s="43">
        <v>10202204</v>
      </c>
      <c r="B473" t="s">
        <v>894</v>
      </c>
      <c r="C473" s="43" t="s">
        <v>1624</v>
      </c>
      <c r="D473" s="43">
        <v>1115050</v>
      </c>
      <c r="E473" t="s">
        <v>1628</v>
      </c>
      <c r="F473" s="47" t="str">
        <f>+Centro_Cuenta8[[#This Row],[Codigo Centro Gestion]]&amp;" - "&amp;Centro_Cuenta8[[#This Row],[Nombre Centro Gestion]]</f>
        <v>10202204 - Parque Central-Proyecto</v>
      </c>
      <c r="G473" s="47" t="str">
        <f>+Centro_Cuenta8[[#This Row],[Código Cuenta Contable]]&amp;" - "&amp;Centro_Cuenta8[[#This Row],[Nombre de Cuenta Contable]]</f>
        <v>1115050 - Demolición</v>
      </c>
      <c r="H473" s="146" t="str">
        <f>+VLOOKUP(D473,'3. Cuentas'!A:F,6,0)</f>
        <v>SI</v>
      </c>
    </row>
    <row r="474" spans="1:8" x14ac:dyDescent="0.25">
      <c r="A474" s="43">
        <v>10202204</v>
      </c>
      <c r="B474" t="s">
        <v>894</v>
      </c>
      <c r="C474" s="43" t="s">
        <v>1624</v>
      </c>
      <c r="D474" s="43">
        <v>1115100</v>
      </c>
      <c r="E474" t="s">
        <v>292</v>
      </c>
      <c r="F474" s="47" t="str">
        <f>+Centro_Cuenta8[[#This Row],[Codigo Centro Gestion]]&amp;" - "&amp;Centro_Cuenta8[[#This Row],[Nombre Centro Gestion]]</f>
        <v>10202204 - Parque Central-Proyecto</v>
      </c>
      <c r="G474" s="47" t="str">
        <f>+Centro_Cuenta8[[#This Row],[Código Cuenta Contable]]&amp;" - "&amp;Centro_Cuenta8[[#This Row],[Nombre de Cuenta Contable]]</f>
        <v>1115100 - Proyectos Y Especialidades</v>
      </c>
      <c r="H474" s="146" t="str">
        <f>+VLOOKUP(D474,'3. Cuentas'!A:F,6,0)</f>
        <v>SI</v>
      </c>
    </row>
    <row r="475" spans="1:8" x14ac:dyDescent="0.25">
      <c r="A475" s="43">
        <v>10202204</v>
      </c>
      <c r="B475" t="s">
        <v>894</v>
      </c>
      <c r="C475" s="43" t="s">
        <v>1624</v>
      </c>
      <c r="D475" s="43">
        <v>1115120</v>
      </c>
      <c r="E475" t="s">
        <v>1633</v>
      </c>
      <c r="F475" s="47" t="str">
        <f>+Centro_Cuenta8[[#This Row],[Codigo Centro Gestion]]&amp;" - "&amp;Centro_Cuenta8[[#This Row],[Nombre Centro Gestion]]</f>
        <v>10202204 - Parque Central-Proyecto</v>
      </c>
      <c r="G475" s="47" t="str">
        <f>+Centro_Cuenta8[[#This Row],[Código Cuenta Contable]]&amp;" - "&amp;Centro_Cuenta8[[#This Row],[Nombre de Cuenta Contable]]</f>
        <v>1115120 - Instalación Empalmes</v>
      </c>
      <c r="H475" s="146" t="str">
        <f>+VLOOKUP(D475,'3. Cuentas'!A:F,6,0)</f>
        <v>SI</v>
      </c>
    </row>
    <row r="476" spans="1:8" x14ac:dyDescent="0.25">
      <c r="A476" s="43">
        <v>10202204</v>
      </c>
      <c r="B476" t="s">
        <v>894</v>
      </c>
      <c r="C476" s="43" t="s">
        <v>1624</v>
      </c>
      <c r="D476" s="43">
        <v>1115170</v>
      </c>
      <c r="E476" t="s">
        <v>293</v>
      </c>
      <c r="F476" s="47" t="str">
        <f>+Centro_Cuenta8[[#This Row],[Codigo Centro Gestion]]&amp;" - "&amp;Centro_Cuenta8[[#This Row],[Nombre Centro Gestion]]</f>
        <v>10202204 - Parque Central-Proyecto</v>
      </c>
      <c r="G476" s="47" t="str">
        <f>+Centro_Cuenta8[[#This Row],[Código Cuenta Contable]]&amp;" - "&amp;Centro_Cuenta8[[#This Row],[Nombre de Cuenta Contable]]</f>
        <v>1115170 - Permisos Y Otros Gastos Municipales</v>
      </c>
      <c r="H476" s="146" t="str">
        <f>+VLOOKUP(D476,'3. Cuentas'!A:F,6,0)</f>
        <v>SI</v>
      </c>
    </row>
    <row r="477" spans="1:8" x14ac:dyDescent="0.25">
      <c r="A477" s="43">
        <v>10202204</v>
      </c>
      <c r="B477" t="s">
        <v>894</v>
      </c>
      <c r="C477" s="43" t="s">
        <v>1624</v>
      </c>
      <c r="D477" s="43">
        <v>1115240</v>
      </c>
      <c r="E477" t="s">
        <v>294</v>
      </c>
      <c r="F477" s="47" t="str">
        <f>+Centro_Cuenta8[[#This Row],[Codigo Centro Gestion]]&amp;" - "&amp;Centro_Cuenta8[[#This Row],[Nombre Centro Gestion]]</f>
        <v>10202204 - Parque Central-Proyecto</v>
      </c>
      <c r="G477" s="47" t="str">
        <f>+Centro_Cuenta8[[#This Row],[Código Cuenta Contable]]&amp;" - "&amp;Centro_Cuenta8[[#This Row],[Nombre de Cuenta Contable]]</f>
        <v>1115240 - Estudios Y Asesorias Técnicas</v>
      </c>
      <c r="H477" s="146" t="str">
        <f>+VLOOKUP(D477,'3. Cuentas'!A:F,6,0)</f>
        <v>SI</v>
      </c>
    </row>
    <row r="478" spans="1:8" x14ac:dyDescent="0.25">
      <c r="A478" s="43">
        <v>10202204</v>
      </c>
      <c r="B478" t="s">
        <v>894</v>
      </c>
      <c r="C478" s="43" t="s">
        <v>1624</v>
      </c>
      <c r="D478" s="43">
        <v>4203090</v>
      </c>
      <c r="E478" t="s">
        <v>192</v>
      </c>
      <c r="F478" s="47" t="str">
        <f>+Centro_Cuenta8[[#This Row],[Codigo Centro Gestion]]&amp;" - "&amp;Centro_Cuenta8[[#This Row],[Nombre Centro Gestion]]</f>
        <v>10202204 - Parque Central-Proyecto</v>
      </c>
      <c r="G478" s="47" t="str">
        <f>+Centro_Cuenta8[[#This Row],[Código Cuenta Contable]]&amp;" - "&amp;Centro_Cuenta8[[#This Row],[Nombre de Cuenta Contable]]</f>
        <v>4203090 - Gastos Legales Y Notariales Proyecto</v>
      </c>
      <c r="H478" s="146" t="str">
        <f>+VLOOKUP(D478,'3. Cuentas'!A:F,6,0)</f>
        <v>SI</v>
      </c>
    </row>
    <row r="479" spans="1:8" x14ac:dyDescent="0.25">
      <c r="A479" s="43">
        <v>10202204</v>
      </c>
      <c r="B479" t="s">
        <v>894</v>
      </c>
      <c r="C479" s="43" t="s">
        <v>1624</v>
      </c>
      <c r="D479" s="43">
        <v>4203140</v>
      </c>
      <c r="E479" t="s">
        <v>109</v>
      </c>
      <c r="F479" s="47" t="str">
        <f>+Centro_Cuenta8[[#This Row],[Codigo Centro Gestion]]&amp;" - "&amp;Centro_Cuenta8[[#This Row],[Nombre Centro Gestion]]</f>
        <v>10202204 - Parque Central-Proyecto</v>
      </c>
      <c r="G479" s="47" t="str">
        <f>+Centro_Cuenta8[[#This Row],[Código Cuenta Contable]]&amp;" - "&amp;Centro_Cuenta8[[#This Row],[Nombre de Cuenta Contable]]</f>
        <v>4203140 - Contribuciones</v>
      </c>
      <c r="H479" s="146" t="str">
        <f>+VLOOKUP(D479,'3. Cuentas'!A:F,6,0)</f>
        <v>SI</v>
      </c>
    </row>
    <row r="480" spans="1:8" x14ac:dyDescent="0.25">
      <c r="A480" s="43">
        <v>10202204</v>
      </c>
      <c r="B480" t="s">
        <v>894</v>
      </c>
      <c r="C480" s="43" t="s">
        <v>1624</v>
      </c>
      <c r="D480" s="43">
        <v>4203150</v>
      </c>
      <c r="E480" t="s">
        <v>156</v>
      </c>
      <c r="F480" s="47" t="str">
        <f>+Centro_Cuenta8[[#This Row],[Codigo Centro Gestion]]&amp;" - "&amp;Centro_Cuenta8[[#This Row],[Nombre Centro Gestion]]</f>
        <v>10202204 - Parque Central-Proyecto</v>
      </c>
      <c r="G480" s="47" t="str">
        <f>+Centro_Cuenta8[[#This Row],[Código Cuenta Contable]]&amp;" - "&amp;Centro_Cuenta8[[#This Row],[Nombre de Cuenta Contable]]</f>
        <v>4203150 - Gastos CBR</v>
      </c>
      <c r="H480" s="146" t="str">
        <f>+VLOOKUP(D480,'3. Cuentas'!A:F,6,0)</f>
        <v>SI</v>
      </c>
    </row>
    <row r="481" spans="1:8" x14ac:dyDescent="0.25">
      <c r="A481" s="43">
        <v>10202204</v>
      </c>
      <c r="B481" t="s">
        <v>894</v>
      </c>
      <c r="C481" s="43" t="s">
        <v>1624</v>
      </c>
      <c r="D481" s="43">
        <v>4203160</v>
      </c>
      <c r="E481" t="s">
        <v>1639</v>
      </c>
      <c r="F481" s="47" t="str">
        <f>+Centro_Cuenta8[[#This Row],[Codigo Centro Gestion]]&amp;" - "&amp;Centro_Cuenta8[[#This Row],[Nombre Centro Gestion]]</f>
        <v>10202204 - Parque Central-Proyecto</v>
      </c>
      <c r="G481" s="47" t="str">
        <f>+Centro_Cuenta8[[#This Row],[Código Cuenta Contable]]&amp;" - "&amp;Centro_Cuenta8[[#This Row],[Nombre de Cuenta Contable]]</f>
        <v>4203160 - PAPELERIA Y FOTOCOPIADO</v>
      </c>
      <c r="H481" s="146" t="str">
        <f>+VLOOKUP(D481,'3. Cuentas'!A:F,6,0)</f>
        <v>SI</v>
      </c>
    </row>
    <row r="482" spans="1:8" x14ac:dyDescent="0.25">
      <c r="A482" s="43">
        <v>10202204</v>
      </c>
      <c r="B482" t="s">
        <v>894</v>
      </c>
      <c r="C482" s="43" t="s">
        <v>1624</v>
      </c>
      <c r="D482" s="43">
        <v>4203180</v>
      </c>
      <c r="E482" t="s">
        <v>1640</v>
      </c>
      <c r="F482" s="47" t="str">
        <f>+Centro_Cuenta8[[#This Row],[Codigo Centro Gestion]]&amp;" - "&amp;Centro_Cuenta8[[#This Row],[Nombre Centro Gestion]]</f>
        <v>10202204 - Parque Central-Proyecto</v>
      </c>
      <c r="G482" s="47" t="str">
        <f>+Centro_Cuenta8[[#This Row],[Código Cuenta Contable]]&amp;" - "&amp;Centro_Cuenta8[[#This Row],[Nombre de Cuenta Contable]]</f>
        <v>4203180 - Otros Gastos y Aseso Proy</v>
      </c>
      <c r="H482" s="146" t="str">
        <f>+VLOOKUP(D482,'3. Cuentas'!A:F,6,0)</f>
        <v>SI</v>
      </c>
    </row>
    <row r="483" spans="1:8" x14ac:dyDescent="0.25">
      <c r="A483" s="43">
        <v>10202301</v>
      </c>
      <c r="B483" t="s">
        <v>895</v>
      </c>
      <c r="C483" s="43" t="s">
        <v>1643</v>
      </c>
      <c r="D483" s="43">
        <v>4203090</v>
      </c>
      <c r="E483" t="s">
        <v>192</v>
      </c>
      <c r="F483" s="47" t="str">
        <f>+Centro_Cuenta8[[#This Row],[Codigo Centro Gestion]]&amp;" - "&amp;Centro_Cuenta8[[#This Row],[Nombre Centro Gestion]]</f>
        <v>10202301 - Parque Central-GAF</v>
      </c>
      <c r="G483" s="47" t="str">
        <f>+Centro_Cuenta8[[#This Row],[Código Cuenta Contable]]&amp;" - "&amp;Centro_Cuenta8[[#This Row],[Nombre de Cuenta Contable]]</f>
        <v>4203090 - Gastos Legales Y Notariales Proyecto</v>
      </c>
      <c r="H483" s="146" t="str">
        <f>+VLOOKUP(D483,'3. Cuentas'!A:F,6,0)</f>
        <v>SI</v>
      </c>
    </row>
    <row r="484" spans="1:8" x14ac:dyDescent="0.25">
      <c r="A484" s="43">
        <v>10202301</v>
      </c>
      <c r="B484" t="s">
        <v>895</v>
      </c>
      <c r="C484" s="43" t="s">
        <v>1643</v>
      </c>
      <c r="D484" s="43">
        <v>4203140</v>
      </c>
      <c r="E484" t="s">
        <v>109</v>
      </c>
      <c r="F484" s="47" t="str">
        <f>+Centro_Cuenta8[[#This Row],[Codigo Centro Gestion]]&amp;" - "&amp;Centro_Cuenta8[[#This Row],[Nombre Centro Gestion]]</f>
        <v>10202301 - Parque Central-GAF</v>
      </c>
      <c r="G484" s="47" t="str">
        <f>+Centro_Cuenta8[[#This Row],[Código Cuenta Contable]]&amp;" - "&amp;Centro_Cuenta8[[#This Row],[Nombre de Cuenta Contable]]</f>
        <v>4203140 - Contribuciones</v>
      </c>
      <c r="H484" s="146" t="str">
        <f>+VLOOKUP(D484,'3. Cuentas'!A:F,6,0)</f>
        <v>SI</v>
      </c>
    </row>
    <row r="485" spans="1:8" x14ac:dyDescent="0.25">
      <c r="A485" s="43">
        <v>10202506</v>
      </c>
      <c r="B485" t="s">
        <v>897</v>
      </c>
      <c r="C485" s="43" t="s">
        <v>200</v>
      </c>
      <c r="D485" s="43">
        <v>1115100</v>
      </c>
      <c r="E485" t="s">
        <v>292</v>
      </c>
      <c r="F485" s="47" t="str">
        <f>+Centro_Cuenta8[[#This Row],[Codigo Centro Gestion]]&amp;" - "&amp;Centro_Cuenta8[[#This Row],[Nombre Centro Gestion]]</f>
        <v>10202506 - Parque Central-Depto.Técnico</v>
      </c>
      <c r="G485" s="47" t="str">
        <f>+Centro_Cuenta8[[#This Row],[Código Cuenta Contable]]&amp;" - "&amp;Centro_Cuenta8[[#This Row],[Nombre de Cuenta Contable]]</f>
        <v>1115100 - Proyectos Y Especialidades</v>
      </c>
      <c r="H485" s="146" t="str">
        <f>+VLOOKUP(D485,'3. Cuentas'!A:F,6,0)</f>
        <v>SI</v>
      </c>
    </row>
    <row r="486" spans="1:8" x14ac:dyDescent="0.25">
      <c r="A486" s="43">
        <v>10203102</v>
      </c>
      <c r="B486" t="s">
        <v>899</v>
      </c>
      <c r="C486" s="43" t="s">
        <v>1617</v>
      </c>
      <c r="D486" s="43">
        <v>4204010</v>
      </c>
      <c r="E486" t="s">
        <v>313</v>
      </c>
      <c r="F486" s="47" t="str">
        <f>+Centro_Cuenta8[[#This Row],[Codigo Centro Gestion]]&amp;" - "&amp;Centro_Cuenta8[[#This Row],[Nombre Centro Gestion]]</f>
        <v>10203102 - Alto Foresta-Marketing</v>
      </c>
      <c r="G486" s="47" t="str">
        <f>+Centro_Cuenta8[[#This Row],[Código Cuenta Contable]]&amp;" - "&amp;Centro_Cuenta8[[#This Row],[Nombre de Cuenta Contable]]</f>
        <v>4204010 - Publicidad Punto Venta</v>
      </c>
      <c r="H486" s="146" t="str">
        <f>+VLOOKUP(D486,'3. Cuentas'!A:F,6,0)</f>
        <v>SI</v>
      </c>
    </row>
    <row r="487" spans="1:8" x14ac:dyDescent="0.25">
      <c r="A487" s="43">
        <v>10203102</v>
      </c>
      <c r="B487" t="s">
        <v>899</v>
      </c>
      <c r="C487" s="43" t="s">
        <v>1617</v>
      </c>
      <c r="D487" s="43">
        <v>4204021</v>
      </c>
      <c r="E487" t="s">
        <v>329</v>
      </c>
      <c r="F487" s="47" t="str">
        <f>+Centro_Cuenta8[[#This Row],[Codigo Centro Gestion]]&amp;" - "&amp;Centro_Cuenta8[[#This Row],[Nombre Centro Gestion]]</f>
        <v>10203102 - Alto Foresta-Marketing</v>
      </c>
      <c r="G487" s="47" t="str">
        <f>+Centro_Cuenta8[[#This Row],[Código Cuenta Contable]]&amp;" - "&amp;Centro_Cuenta8[[#This Row],[Nombre de Cuenta Contable]]</f>
        <v>4204021 - Publicidad Ferias Y Eventos</v>
      </c>
      <c r="H487" s="146" t="str">
        <f>+VLOOKUP(D487,'3. Cuentas'!A:F,6,0)</f>
        <v>SI</v>
      </c>
    </row>
    <row r="488" spans="1:8" x14ac:dyDescent="0.25">
      <c r="A488" s="43">
        <v>10203103</v>
      </c>
      <c r="B488" t="s">
        <v>900</v>
      </c>
      <c r="C488" s="43" t="s">
        <v>1618</v>
      </c>
      <c r="D488" s="43">
        <v>4203060</v>
      </c>
      <c r="E488" t="s">
        <v>321</v>
      </c>
      <c r="F488" s="47" t="str">
        <f>+Centro_Cuenta8[[#This Row],[Codigo Centro Gestion]]&amp;" - "&amp;Centro_Cuenta8[[#This Row],[Nombre Centro Gestion]]</f>
        <v>10203103 - Alto Foresta-Operaciones</v>
      </c>
      <c r="G488" s="47" t="str">
        <f>+Centro_Cuenta8[[#This Row],[Código Cuenta Contable]]&amp;" - "&amp;Centro_Cuenta8[[#This Row],[Nombre de Cuenta Contable]]</f>
        <v>4203060 - Gastos Operacionales De Clientes</v>
      </c>
      <c r="H488" s="146" t="str">
        <f>+VLOOKUP(D488,'3. Cuentas'!A:F,6,0)</f>
        <v>SI</v>
      </c>
    </row>
    <row r="489" spans="1:8" x14ac:dyDescent="0.25">
      <c r="A489" s="43">
        <v>10203103</v>
      </c>
      <c r="B489" t="s">
        <v>900</v>
      </c>
      <c r="C489" s="43" t="s">
        <v>1618</v>
      </c>
      <c r="D489" s="43">
        <v>4203090</v>
      </c>
      <c r="E489" t="s">
        <v>192</v>
      </c>
      <c r="F489" s="47" t="str">
        <f>+Centro_Cuenta8[[#This Row],[Codigo Centro Gestion]]&amp;" - "&amp;Centro_Cuenta8[[#This Row],[Nombre Centro Gestion]]</f>
        <v>10203103 - Alto Foresta-Operaciones</v>
      </c>
      <c r="G489" s="47" t="str">
        <f>+Centro_Cuenta8[[#This Row],[Código Cuenta Contable]]&amp;" - "&amp;Centro_Cuenta8[[#This Row],[Nombre de Cuenta Contable]]</f>
        <v>4203090 - Gastos Legales Y Notariales Proyecto</v>
      </c>
      <c r="H489" s="146" t="str">
        <f>+VLOOKUP(D489,'3. Cuentas'!A:F,6,0)</f>
        <v>SI</v>
      </c>
    </row>
    <row r="490" spans="1:8" x14ac:dyDescent="0.25">
      <c r="A490" s="43">
        <v>10203104</v>
      </c>
      <c r="B490" t="s">
        <v>901</v>
      </c>
      <c r="C490" s="43" t="s">
        <v>90</v>
      </c>
      <c r="D490" s="43">
        <v>1110040</v>
      </c>
      <c r="E490" t="s">
        <v>1505</v>
      </c>
      <c r="F490" s="47" t="str">
        <f>+Centro_Cuenta8[[#This Row],[Codigo Centro Gestion]]&amp;" - "&amp;Centro_Cuenta8[[#This Row],[Nombre Centro Gestion]]</f>
        <v>10203104 - Alto Foresta-Ventas</v>
      </c>
      <c r="G490" s="47" t="str">
        <f>+Centro_Cuenta8[[#This Row],[Código Cuenta Contable]]&amp;" - "&amp;Centro_Cuenta8[[#This Row],[Nombre de Cuenta Contable]]</f>
        <v>1110040 - Garantía Pagadas</v>
      </c>
      <c r="H490" s="146" t="str">
        <f>+VLOOKUP(D490,'3. Cuentas'!A:F,6,0)</f>
        <v>SI</v>
      </c>
    </row>
    <row r="491" spans="1:8" x14ac:dyDescent="0.25">
      <c r="A491" s="43">
        <v>10203104</v>
      </c>
      <c r="B491" t="s">
        <v>901</v>
      </c>
      <c r="C491" s="43" t="s">
        <v>90</v>
      </c>
      <c r="D491" s="43">
        <v>4202003</v>
      </c>
      <c r="E491" t="s">
        <v>106</v>
      </c>
      <c r="F491" s="47" t="str">
        <f>+Centro_Cuenta8[[#This Row],[Codigo Centro Gestion]]&amp;" - "&amp;Centro_Cuenta8[[#This Row],[Nombre Centro Gestion]]</f>
        <v>10203104 - Alto Foresta-Ventas</v>
      </c>
      <c r="G491" s="47" t="str">
        <f>+Centro_Cuenta8[[#This Row],[Código Cuenta Contable]]&amp;" - "&amp;Centro_Cuenta8[[#This Row],[Nombre de Cuenta Contable]]</f>
        <v>4202003 - Serv.Basic.Luz.Agua.Tel Of.C</v>
      </c>
      <c r="H491" s="146" t="str">
        <f>+VLOOKUP(D491,'3. Cuentas'!A:F,6,0)</f>
        <v>SI</v>
      </c>
    </row>
    <row r="492" spans="1:8" x14ac:dyDescent="0.25">
      <c r="A492" s="43">
        <v>10203104</v>
      </c>
      <c r="B492" t="s">
        <v>901</v>
      </c>
      <c r="C492" s="43" t="s">
        <v>90</v>
      </c>
      <c r="D492" s="43">
        <v>4202010</v>
      </c>
      <c r="E492" t="s">
        <v>87</v>
      </c>
      <c r="F492" s="47" t="str">
        <f>+Centro_Cuenta8[[#This Row],[Codigo Centro Gestion]]&amp;" - "&amp;Centro_Cuenta8[[#This Row],[Nombre Centro Gestion]]</f>
        <v>10203104 - Alto Foresta-Ventas</v>
      </c>
      <c r="G492" s="47" t="str">
        <f>+Centro_Cuenta8[[#This Row],[Código Cuenta Contable]]&amp;" - "&amp;Centro_Cuenta8[[#This Row],[Nombre de Cuenta Contable]]</f>
        <v>4202010 - Artic. Ofic. Fotocop.Papelería</v>
      </c>
      <c r="H492" s="146" t="str">
        <f>+VLOOKUP(D492,'3. Cuentas'!A:F,6,0)</f>
        <v>SI</v>
      </c>
    </row>
    <row r="493" spans="1:8" x14ac:dyDescent="0.25">
      <c r="A493" s="43">
        <v>10203104</v>
      </c>
      <c r="B493" t="s">
        <v>901</v>
      </c>
      <c r="C493" s="43" t="s">
        <v>90</v>
      </c>
      <c r="D493" s="43">
        <v>4202019</v>
      </c>
      <c r="E493" t="s">
        <v>81</v>
      </c>
      <c r="F493" s="47" t="str">
        <f>+Centro_Cuenta8[[#This Row],[Codigo Centro Gestion]]&amp;" - "&amp;Centro_Cuenta8[[#This Row],[Nombre Centro Gestion]]</f>
        <v>10203104 - Alto Foresta-Ventas</v>
      </c>
      <c r="G493" s="47" t="str">
        <f>+Centro_Cuenta8[[#This Row],[Código Cuenta Contable]]&amp;" - "&amp;Centro_Cuenta8[[#This Row],[Nombre de Cuenta Contable]]</f>
        <v>4202019 - Gasto General Oficina</v>
      </c>
      <c r="H493" s="146" t="str">
        <f>+VLOOKUP(D493,'3. Cuentas'!A:F,6,0)</f>
        <v>SI</v>
      </c>
    </row>
    <row r="494" spans="1:8" x14ac:dyDescent="0.25">
      <c r="A494" s="43">
        <v>10203104</v>
      </c>
      <c r="B494" t="s">
        <v>901</v>
      </c>
      <c r="C494" s="43" t="s">
        <v>90</v>
      </c>
      <c r="D494" s="43">
        <v>4202023</v>
      </c>
      <c r="E494" t="s">
        <v>82</v>
      </c>
      <c r="F494" s="47" t="str">
        <f>+Centro_Cuenta8[[#This Row],[Codigo Centro Gestion]]&amp;" - "&amp;Centro_Cuenta8[[#This Row],[Nombre Centro Gestion]]</f>
        <v>10203104 - Alto Foresta-Ventas</v>
      </c>
      <c r="G494" s="47" t="str">
        <f>+Centro_Cuenta8[[#This Row],[Código Cuenta Contable]]&amp;" - "&amp;Centro_Cuenta8[[#This Row],[Nombre de Cuenta Contable]]</f>
        <v>4202023 - Honorarios Por Asesorías</v>
      </c>
      <c r="H494" s="146" t="str">
        <f>+VLOOKUP(D494,'3. Cuentas'!A:F,6,0)</f>
        <v>SI</v>
      </c>
    </row>
    <row r="495" spans="1:8" x14ac:dyDescent="0.25">
      <c r="A495" s="43">
        <v>10203104</v>
      </c>
      <c r="B495" t="s">
        <v>901</v>
      </c>
      <c r="C495" s="43" t="s">
        <v>90</v>
      </c>
      <c r="D495" s="43">
        <v>4202029</v>
      </c>
      <c r="E495" t="s">
        <v>83</v>
      </c>
      <c r="F495" s="47" t="str">
        <f>+Centro_Cuenta8[[#This Row],[Codigo Centro Gestion]]&amp;" - "&amp;Centro_Cuenta8[[#This Row],[Nombre Centro Gestion]]</f>
        <v>10203104 - Alto Foresta-Ventas</v>
      </c>
      <c r="G495" s="47" t="str">
        <f>+Centro_Cuenta8[[#This Row],[Código Cuenta Contable]]&amp;" - "&amp;Centro_Cuenta8[[#This Row],[Nombre de Cuenta Contable]]</f>
        <v>4202029 - Insumos Y Gastos Informáticos</v>
      </c>
      <c r="H495" s="146" t="str">
        <f>+VLOOKUP(D495,'3. Cuentas'!A:F,6,0)</f>
        <v>SI</v>
      </c>
    </row>
    <row r="496" spans="1:8" x14ac:dyDescent="0.25">
      <c r="A496" s="43">
        <v>10203104</v>
      </c>
      <c r="B496" t="s">
        <v>901</v>
      </c>
      <c r="C496" s="43" t="s">
        <v>90</v>
      </c>
      <c r="D496" s="43">
        <v>4204021</v>
      </c>
      <c r="E496" t="s">
        <v>329</v>
      </c>
      <c r="F496" s="47" t="str">
        <f>+Centro_Cuenta8[[#This Row],[Codigo Centro Gestion]]&amp;" - "&amp;Centro_Cuenta8[[#This Row],[Nombre Centro Gestion]]</f>
        <v>10203104 - Alto Foresta-Ventas</v>
      </c>
      <c r="G496" s="47" t="str">
        <f>+Centro_Cuenta8[[#This Row],[Código Cuenta Contable]]&amp;" - "&amp;Centro_Cuenta8[[#This Row],[Nombre de Cuenta Contable]]</f>
        <v>4204021 - Publicidad Ferias Y Eventos</v>
      </c>
      <c r="H496" s="146" t="str">
        <f>+VLOOKUP(D496,'3. Cuentas'!A:F,6,0)</f>
        <v>SI</v>
      </c>
    </row>
    <row r="497" spans="1:8" x14ac:dyDescent="0.25">
      <c r="A497" s="43">
        <v>10203105</v>
      </c>
      <c r="B497" t="s">
        <v>902</v>
      </c>
      <c r="C497" s="43" t="s">
        <v>1622</v>
      </c>
      <c r="D497" s="43">
        <v>4203020</v>
      </c>
      <c r="E497" t="s">
        <v>295</v>
      </c>
      <c r="F497" s="47" t="str">
        <f>+Centro_Cuenta8[[#This Row],[Codigo Centro Gestion]]&amp;" - "&amp;Centro_Cuenta8[[#This Row],[Nombre Centro Gestion]]</f>
        <v>10203105 - Alto Foresta-Clientes</v>
      </c>
      <c r="G497" s="47" t="str">
        <f>+Centro_Cuenta8[[#This Row],[Código Cuenta Contable]]&amp;" - "&amp;Centro_Cuenta8[[#This Row],[Nombre de Cuenta Contable]]</f>
        <v>4203020 - Mant. y Consum. Viv Stock</v>
      </c>
      <c r="H497" s="146" t="str">
        <f>+VLOOKUP(D497,'3. Cuentas'!A:F,6,0)</f>
        <v>SI</v>
      </c>
    </row>
    <row r="498" spans="1:8" x14ac:dyDescent="0.25">
      <c r="A498" s="43">
        <v>10203105</v>
      </c>
      <c r="B498" t="s">
        <v>902</v>
      </c>
      <c r="C498" s="43" t="s">
        <v>1622</v>
      </c>
      <c r="D498" s="43">
        <v>4203120</v>
      </c>
      <c r="E498" t="s">
        <v>108</v>
      </c>
      <c r="F498" s="47" t="str">
        <f>+Centro_Cuenta8[[#This Row],[Codigo Centro Gestion]]&amp;" - "&amp;Centro_Cuenta8[[#This Row],[Nombre Centro Gestion]]</f>
        <v>10203105 - Alto Foresta-Clientes</v>
      </c>
      <c r="G498" s="47" t="str">
        <f>+Centro_Cuenta8[[#This Row],[Código Cuenta Contable]]&amp;" - "&amp;Centro_Cuenta8[[#This Row],[Nombre de Cuenta Contable]]</f>
        <v>4203120 - Gastos Comunes</v>
      </c>
      <c r="H498" s="146" t="str">
        <f>+VLOOKUP(D498,'3. Cuentas'!A:F,6,0)</f>
        <v>SI</v>
      </c>
    </row>
    <row r="499" spans="1:8" x14ac:dyDescent="0.25">
      <c r="A499" s="43">
        <v>10203105</v>
      </c>
      <c r="B499" t="s">
        <v>902</v>
      </c>
      <c r="C499" s="43" t="s">
        <v>1622</v>
      </c>
      <c r="D499" s="43">
        <v>4203140</v>
      </c>
      <c r="E499" t="s">
        <v>109</v>
      </c>
      <c r="F499" s="47" t="str">
        <f>+Centro_Cuenta8[[#This Row],[Codigo Centro Gestion]]&amp;" - "&amp;Centro_Cuenta8[[#This Row],[Nombre Centro Gestion]]</f>
        <v>10203105 - Alto Foresta-Clientes</v>
      </c>
      <c r="G499" s="47" t="str">
        <f>+Centro_Cuenta8[[#This Row],[Código Cuenta Contable]]&amp;" - "&amp;Centro_Cuenta8[[#This Row],[Nombre de Cuenta Contable]]</f>
        <v>4203140 - Contribuciones</v>
      </c>
      <c r="H499" s="146" t="str">
        <f>+VLOOKUP(D499,'3. Cuentas'!A:F,6,0)</f>
        <v>SI</v>
      </c>
    </row>
    <row r="500" spans="1:8" x14ac:dyDescent="0.25">
      <c r="A500" s="43">
        <v>10203204</v>
      </c>
      <c r="B500" t="s">
        <v>903</v>
      </c>
      <c r="C500" s="43" t="s">
        <v>1624</v>
      </c>
      <c r="D500" s="43">
        <v>1103045</v>
      </c>
      <c r="E500" t="s">
        <v>323</v>
      </c>
      <c r="F500" s="47" t="str">
        <f>+Centro_Cuenta8[[#This Row],[Codigo Centro Gestion]]&amp;" - "&amp;Centro_Cuenta8[[#This Row],[Nombre Centro Gestion]]</f>
        <v>10203204 - Alto Foresta-Proyecto</v>
      </c>
      <c r="G500" s="47" t="str">
        <f>+Centro_Cuenta8[[#This Row],[Código Cuenta Contable]]&amp;" - "&amp;Centro_Cuenta8[[#This Row],[Nombre de Cuenta Contable]]</f>
        <v>1103045 - Aportes reembolsables (electricidad y agua)</v>
      </c>
      <c r="H500" s="146" t="str">
        <f>+VLOOKUP(D500,'3. Cuentas'!A:F,6,0)</f>
        <v>SI</v>
      </c>
    </row>
    <row r="501" spans="1:8" x14ac:dyDescent="0.25">
      <c r="A501" s="43">
        <v>10203204</v>
      </c>
      <c r="B501" t="s">
        <v>903</v>
      </c>
      <c r="C501" s="43" t="s">
        <v>1624</v>
      </c>
      <c r="D501" s="43">
        <v>1109020</v>
      </c>
      <c r="E501" t="s">
        <v>302</v>
      </c>
      <c r="F501" s="47" t="str">
        <f>+Centro_Cuenta8[[#This Row],[Codigo Centro Gestion]]&amp;" - "&amp;Centro_Cuenta8[[#This Row],[Nombre Centro Gestion]]</f>
        <v>10203204 - Alto Foresta-Proyecto</v>
      </c>
      <c r="G501" s="47" t="str">
        <f>+Centro_Cuenta8[[#This Row],[Código Cuenta Contable]]&amp;" - "&amp;Centro_Cuenta8[[#This Row],[Nombre de Cuenta Contable]]</f>
        <v>1109020 - Mobiliario</v>
      </c>
      <c r="H501" s="146" t="str">
        <f>+VLOOKUP(D501,'3. Cuentas'!A:F,6,0)</f>
        <v>SI</v>
      </c>
    </row>
    <row r="502" spans="1:8" x14ac:dyDescent="0.25">
      <c r="A502" s="43">
        <v>10203204</v>
      </c>
      <c r="B502" t="s">
        <v>903</v>
      </c>
      <c r="C502" s="43" t="s">
        <v>1624</v>
      </c>
      <c r="D502" s="43">
        <v>1110040</v>
      </c>
      <c r="E502" t="s">
        <v>1505</v>
      </c>
      <c r="F502" s="47" t="str">
        <f>+Centro_Cuenta8[[#This Row],[Codigo Centro Gestion]]&amp;" - "&amp;Centro_Cuenta8[[#This Row],[Nombre Centro Gestion]]</f>
        <v>10203204 - Alto Foresta-Proyecto</v>
      </c>
      <c r="G502" s="47" t="str">
        <f>+Centro_Cuenta8[[#This Row],[Código Cuenta Contable]]&amp;" - "&amp;Centro_Cuenta8[[#This Row],[Nombre de Cuenta Contable]]</f>
        <v>1110040 - Garantía Pagadas</v>
      </c>
      <c r="H502" s="146" t="str">
        <f>+VLOOKUP(D502,'3. Cuentas'!A:F,6,0)</f>
        <v>SI</v>
      </c>
    </row>
    <row r="503" spans="1:8" x14ac:dyDescent="0.25">
      <c r="A503" s="43">
        <v>10203204</v>
      </c>
      <c r="B503" t="s">
        <v>903</v>
      </c>
      <c r="C503" s="43" t="s">
        <v>1624</v>
      </c>
      <c r="D503" s="43">
        <v>1115040</v>
      </c>
      <c r="E503" t="s">
        <v>291</v>
      </c>
      <c r="F503" s="47" t="str">
        <f>+Centro_Cuenta8[[#This Row],[Codigo Centro Gestion]]&amp;" - "&amp;Centro_Cuenta8[[#This Row],[Nombre Centro Gestion]]</f>
        <v>10203204 - Alto Foresta-Proyecto</v>
      </c>
      <c r="G503" s="47" t="str">
        <f>+Centro_Cuenta8[[#This Row],[Código Cuenta Contable]]&amp;" - "&amp;Centro_Cuenta8[[#This Row],[Nombre de Cuenta Contable]]</f>
        <v>1115040 - Saneamiento De Terreno</v>
      </c>
      <c r="H503" s="146" t="str">
        <f>+VLOOKUP(D503,'3. Cuentas'!A:F,6,0)</f>
        <v>SI</v>
      </c>
    </row>
    <row r="504" spans="1:8" x14ac:dyDescent="0.25">
      <c r="A504" s="43">
        <v>10203204</v>
      </c>
      <c r="B504" t="s">
        <v>903</v>
      </c>
      <c r="C504" s="43" t="s">
        <v>1624</v>
      </c>
      <c r="D504" s="43">
        <v>1115050</v>
      </c>
      <c r="E504" t="s">
        <v>1628</v>
      </c>
      <c r="F504" s="47" t="str">
        <f>+Centro_Cuenta8[[#This Row],[Codigo Centro Gestion]]&amp;" - "&amp;Centro_Cuenta8[[#This Row],[Nombre Centro Gestion]]</f>
        <v>10203204 - Alto Foresta-Proyecto</v>
      </c>
      <c r="G504" s="47" t="str">
        <f>+Centro_Cuenta8[[#This Row],[Código Cuenta Contable]]&amp;" - "&amp;Centro_Cuenta8[[#This Row],[Nombre de Cuenta Contable]]</f>
        <v>1115050 - Demolición</v>
      </c>
      <c r="H504" s="146" t="str">
        <f>+VLOOKUP(D504,'3. Cuentas'!A:F,6,0)</f>
        <v>SI</v>
      </c>
    </row>
    <row r="505" spans="1:8" x14ac:dyDescent="0.25">
      <c r="A505" s="43">
        <v>10203204</v>
      </c>
      <c r="B505" t="s">
        <v>903</v>
      </c>
      <c r="C505" s="43" t="s">
        <v>1624</v>
      </c>
      <c r="D505" s="43">
        <v>1115100</v>
      </c>
      <c r="E505" t="s">
        <v>292</v>
      </c>
      <c r="F505" s="47" t="str">
        <f>+Centro_Cuenta8[[#This Row],[Codigo Centro Gestion]]&amp;" - "&amp;Centro_Cuenta8[[#This Row],[Nombre Centro Gestion]]</f>
        <v>10203204 - Alto Foresta-Proyecto</v>
      </c>
      <c r="G505" s="47" t="str">
        <f>+Centro_Cuenta8[[#This Row],[Código Cuenta Contable]]&amp;" - "&amp;Centro_Cuenta8[[#This Row],[Nombre de Cuenta Contable]]</f>
        <v>1115100 - Proyectos Y Especialidades</v>
      </c>
      <c r="H505" s="146" t="str">
        <f>+VLOOKUP(D505,'3. Cuentas'!A:F,6,0)</f>
        <v>SI</v>
      </c>
    </row>
    <row r="506" spans="1:8" x14ac:dyDescent="0.25">
      <c r="A506" s="43">
        <v>10203204</v>
      </c>
      <c r="B506" t="s">
        <v>903</v>
      </c>
      <c r="C506" s="43" t="s">
        <v>1624</v>
      </c>
      <c r="D506" s="43">
        <v>1115120</v>
      </c>
      <c r="E506" t="s">
        <v>1633</v>
      </c>
      <c r="F506" s="47" t="str">
        <f>+Centro_Cuenta8[[#This Row],[Codigo Centro Gestion]]&amp;" - "&amp;Centro_Cuenta8[[#This Row],[Nombre Centro Gestion]]</f>
        <v>10203204 - Alto Foresta-Proyecto</v>
      </c>
      <c r="G506" s="47" t="str">
        <f>+Centro_Cuenta8[[#This Row],[Código Cuenta Contable]]&amp;" - "&amp;Centro_Cuenta8[[#This Row],[Nombre de Cuenta Contable]]</f>
        <v>1115120 - Instalación Empalmes</v>
      </c>
      <c r="H506" s="146" t="str">
        <f>+VLOOKUP(D506,'3. Cuentas'!A:F,6,0)</f>
        <v>SI</v>
      </c>
    </row>
    <row r="507" spans="1:8" x14ac:dyDescent="0.25">
      <c r="A507" s="43">
        <v>10203204</v>
      </c>
      <c r="B507" t="s">
        <v>903</v>
      </c>
      <c r="C507" s="43" t="s">
        <v>1624</v>
      </c>
      <c r="D507" s="43">
        <v>1115170</v>
      </c>
      <c r="E507" t="s">
        <v>293</v>
      </c>
      <c r="F507" s="47" t="str">
        <f>+Centro_Cuenta8[[#This Row],[Codigo Centro Gestion]]&amp;" - "&amp;Centro_Cuenta8[[#This Row],[Nombre Centro Gestion]]</f>
        <v>10203204 - Alto Foresta-Proyecto</v>
      </c>
      <c r="G507" s="47" t="str">
        <f>+Centro_Cuenta8[[#This Row],[Código Cuenta Contable]]&amp;" - "&amp;Centro_Cuenta8[[#This Row],[Nombre de Cuenta Contable]]</f>
        <v>1115170 - Permisos Y Otros Gastos Municipales</v>
      </c>
      <c r="H507" s="146" t="str">
        <f>+VLOOKUP(D507,'3. Cuentas'!A:F,6,0)</f>
        <v>SI</v>
      </c>
    </row>
    <row r="508" spans="1:8" x14ac:dyDescent="0.25">
      <c r="A508" s="43">
        <v>10203204</v>
      </c>
      <c r="B508" t="s">
        <v>903</v>
      </c>
      <c r="C508" s="43" t="s">
        <v>1624</v>
      </c>
      <c r="D508" s="43">
        <v>1115240</v>
      </c>
      <c r="E508" t="s">
        <v>294</v>
      </c>
      <c r="F508" s="47" t="str">
        <f>+Centro_Cuenta8[[#This Row],[Codigo Centro Gestion]]&amp;" - "&amp;Centro_Cuenta8[[#This Row],[Nombre Centro Gestion]]</f>
        <v>10203204 - Alto Foresta-Proyecto</v>
      </c>
      <c r="G508" s="47" t="str">
        <f>+Centro_Cuenta8[[#This Row],[Código Cuenta Contable]]&amp;" - "&amp;Centro_Cuenta8[[#This Row],[Nombre de Cuenta Contable]]</f>
        <v>1115240 - Estudios Y Asesorias Técnicas</v>
      </c>
      <c r="H508" s="146" t="str">
        <f>+VLOOKUP(D508,'3. Cuentas'!A:F,6,0)</f>
        <v>SI</v>
      </c>
    </row>
    <row r="509" spans="1:8" x14ac:dyDescent="0.25">
      <c r="A509" s="43">
        <v>10203204</v>
      </c>
      <c r="B509" t="s">
        <v>903</v>
      </c>
      <c r="C509" s="43" t="s">
        <v>1624</v>
      </c>
      <c r="D509" s="43">
        <v>4203090</v>
      </c>
      <c r="E509" t="s">
        <v>192</v>
      </c>
      <c r="F509" s="47" t="str">
        <f>+Centro_Cuenta8[[#This Row],[Codigo Centro Gestion]]&amp;" - "&amp;Centro_Cuenta8[[#This Row],[Nombre Centro Gestion]]</f>
        <v>10203204 - Alto Foresta-Proyecto</v>
      </c>
      <c r="G509" s="47" t="str">
        <f>+Centro_Cuenta8[[#This Row],[Código Cuenta Contable]]&amp;" - "&amp;Centro_Cuenta8[[#This Row],[Nombre de Cuenta Contable]]</f>
        <v>4203090 - Gastos Legales Y Notariales Proyecto</v>
      </c>
      <c r="H509" s="146" t="str">
        <f>+VLOOKUP(D509,'3. Cuentas'!A:F,6,0)</f>
        <v>SI</v>
      </c>
    </row>
    <row r="510" spans="1:8" x14ac:dyDescent="0.25">
      <c r="A510" s="43">
        <v>10203204</v>
      </c>
      <c r="B510" t="s">
        <v>903</v>
      </c>
      <c r="C510" s="43" t="s">
        <v>1624</v>
      </c>
      <c r="D510" s="43">
        <v>4203140</v>
      </c>
      <c r="E510" t="s">
        <v>109</v>
      </c>
      <c r="F510" s="47" t="str">
        <f>+Centro_Cuenta8[[#This Row],[Codigo Centro Gestion]]&amp;" - "&amp;Centro_Cuenta8[[#This Row],[Nombre Centro Gestion]]</f>
        <v>10203204 - Alto Foresta-Proyecto</v>
      </c>
      <c r="G510" s="47" t="str">
        <f>+Centro_Cuenta8[[#This Row],[Código Cuenta Contable]]&amp;" - "&amp;Centro_Cuenta8[[#This Row],[Nombre de Cuenta Contable]]</f>
        <v>4203140 - Contribuciones</v>
      </c>
      <c r="H510" s="146" t="str">
        <f>+VLOOKUP(D510,'3. Cuentas'!A:F,6,0)</f>
        <v>SI</v>
      </c>
    </row>
    <row r="511" spans="1:8" x14ac:dyDescent="0.25">
      <c r="A511" s="43">
        <v>10203204</v>
      </c>
      <c r="B511" t="s">
        <v>903</v>
      </c>
      <c r="C511" s="43" t="s">
        <v>1624</v>
      </c>
      <c r="D511" s="43">
        <v>4203150</v>
      </c>
      <c r="E511" t="s">
        <v>156</v>
      </c>
      <c r="F511" s="47" t="str">
        <f>+Centro_Cuenta8[[#This Row],[Codigo Centro Gestion]]&amp;" - "&amp;Centro_Cuenta8[[#This Row],[Nombre Centro Gestion]]</f>
        <v>10203204 - Alto Foresta-Proyecto</v>
      </c>
      <c r="G511" s="47" t="str">
        <f>+Centro_Cuenta8[[#This Row],[Código Cuenta Contable]]&amp;" - "&amp;Centro_Cuenta8[[#This Row],[Nombre de Cuenta Contable]]</f>
        <v>4203150 - Gastos CBR</v>
      </c>
      <c r="H511" s="146" t="str">
        <f>+VLOOKUP(D511,'3. Cuentas'!A:F,6,0)</f>
        <v>SI</v>
      </c>
    </row>
    <row r="512" spans="1:8" x14ac:dyDescent="0.25">
      <c r="A512" s="43">
        <v>10203204</v>
      </c>
      <c r="B512" t="s">
        <v>903</v>
      </c>
      <c r="C512" s="43" t="s">
        <v>1624</v>
      </c>
      <c r="D512" s="43">
        <v>4203160</v>
      </c>
      <c r="E512" t="s">
        <v>1639</v>
      </c>
      <c r="F512" s="47" t="str">
        <f>+Centro_Cuenta8[[#This Row],[Codigo Centro Gestion]]&amp;" - "&amp;Centro_Cuenta8[[#This Row],[Nombre Centro Gestion]]</f>
        <v>10203204 - Alto Foresta-Proyecto</v>
      </c>
      <c r="G512" s="47" t="str">
        <f>+Centro_Cuenta8[[#This Row],[Código Cuenta Contable]]&amp;" - "&amp;Centro_Cuenta8[[#This Row],[Nombre de Cuenta Contable]]</f>
        <v>4203160 - PAPELERIA Y FOTOCOPIADO</v>
      </c>
      <c r="H512" s="146" t="str">
        <f>+VLOOKUP(D512,'3. Cuentas'!A:F,6,0)</f>
        <v>SI</v>
      </c>
    </row>
    <row r="513" spans="1:8" x14ac:dyDescent="0.25">
      <c r="A513" s="43">
        <v>10203204</v>
      </c>
      <c r="B513" t="s">
        <v>903</v>
      </c>
      <c r="C513" s="43" t="s">
        <v>1624</v>
      </c>
      <c r="D513" s="43">
        <v>4203180</v>
      </c>
      <c r="E513" t="s">
        <v>1640</v>
      </c>
      <c r="F513" s="47" t="str">
        <f>+Centro_Cuenta8[[#This Row],[Codigo Centro Gestion]]&amp;" - "&amp;Centro_Cuenta8[[#This Row],[Nombre Centro Gestion]]</f>
        <v>10203204 - Alto Foresta-Proyecto</v>
      </c>
      <c r="G513" s="47" t="str">
        <f>+Centro_Cuenta8[[#This Row],[Código Cuenta Contable]]&amp;" - "&amp;Centro_Cuenta8[[#This Row],[Nombre de Cuenta Contable]]</f>
        <v>4203180 - Otros Gastos y Aseso Proy</v>
      </c>
      <c r="H513" s="146" t="str">
        <f>+VLOOKUP(D513,'3. Cuentas'!A:F,6,0)</f>
        <v>SI</v>
      </c>
    </row>
    <row r="514" spans="1:8" x14ac:dyDescent="0.25">
      <c r="A514" s="43">
        <v>10203301</v>
      </c>
      <c r="B514" t="s">
        <v>904</v>
      </c>
      <c r="C514" s="43" t="s">
        <v>1643</v>
      </c>
      <c r="D514" s="43">
        <v>4203090</v>
      </c>
      <c r="E514" t="s">
        <v>192</v>
      </c>
      <c r="F514" s="47" t="str">
        <f>+Centro_Cuenta8[[#This Row],[Codigo Centro Gestion]]&amp;" - "&amp;Centro_Cuenta8[[#This Row],[Nombre Centro Gestion]]</f>
        <v>10203301 - Alto Foresta-GAF</v>
      </c>
      <c r="G514" s="47" t="str">
        <f>+Centro_Cuenta8[[#This Row],[Código Cuenta Contable]]&amp;" - "&amp;Centro_Cuenta8[[#This Row],[Nombre de Cuenta Contable]]</f>
        <v>4203090 - Gastos Legales Y Notariales Proyecto</v>
      </c>
      <c r="H514" s="146" t="str">
        <f>+VLOOKUP(D514,'3. Cuentas'!A:F,6,0)</f>
        <v>SI</v>
      </c>
    </row>
    <row r="515" spans="1:8" x14ac:dyDescent="0.25">
      <c r="A515" s="43">
        <v>10203301</v>
      </c>
      <c r="B515" t="s">
        <v>904</v>
      </c>
      <c r="C515" s="43" t="s">
        <v>1643</v>
      </c>
      <c r="D515" s="43">
        <v>4203140</v>
      </c>
      <c r="E515" t="s">
        <v>109</v>
      </c>
      <c r="F515" s="47" t="str">
        <f>+Centro_Cuenta8[[#This Row],[Codigo Centro Gestion]]&amp;" - "&amp;Centro_Cuenta8[[#This Row],[Nombre Centro Gestion]]</f>
        <v>10203301 - Alto Foresta-GAF</v>
      </c>
      <c r="G515" s="47" t="str">
        <f>+Centro_Cuenta8[[#This Row],[Código Cuenta Contable]]&amp;" - "&amp;Centro_Cuenta8[[#This Row],[Nombre de Cuenta Contable]]</f>
        <v>4203140 - Contribuciones</v>
      </c>
      <c r="H515" s="146" t="str">
        <f>+VLOOKUP(D515,'3. Cuentas'!A:F,6,0)</f>
        <v>SI</v>
      </c>
    </row>
    <row r="516" spans="1:8" x14ac:dyDescent="0.25">
      <c r="A516" s="43">
        <v>10203506</v>
      </c>
      <c r="B516" t="s">
        <v>906</v>
      </c>
      <c r="C516" s="43" t="s">
        <v>200</v>
      </c>
      <c r="D516" s="43">
        <v>1115100</v>
      </c>
      <c r="E516" t="s">
        <v>292</v>
      </c>
      <c r="F516" s="47" t="str">
        <f>+Centro_Cuenta8[[#This Row],[Codigo Centro Gestion]]&amp;" - "&amp;Centro_Cuenta8[[#This Row],[Nombre Centro Gestion]]</f>
        <v>10203506 - Alto Foresta-Depto.Técnico</v>
      </c>
      <c r="G516" s="47" t="str">
        <f>+Centro_Cuenta8[[#This Row],[Código Cuenta Contable]]&amp;" - "&amp;Centro_Cuenta8[[#This Row],[Nombre de Cuenta Contable]]</f>
        <v>1115100 - Proyectos Y Especialidades</v>
      </c>
      <c r="H516" s="146" t="str">
        <f>+VLOOKUP(D516,'3. Cuentas'!A:F,6,0)</f>
        <v>SI</v>
      </c>
    </row>
    <row r="517" spans="1:8" x14ac:dyDescent="0.25">
      <c r="A517" s="43">
        <v>10205</v>
      </c>
      <c r="B517" t="s">
        <v>707</v>
      </c>
      <c r="C517" s="43" t="s">
        <v>1516</v>
      </c>
      <c r="D517" s="43">
        <v>4202003</v>
      </c>
      <c r="E517" t="s">
        <v>106</v>
      </c>
      <c r="F517" s="47" t="str">
        <f>+Centro_Cuenta8[[#This Row],[Codigo Centro Gestion]]&amp;" - "&amp;Centro_Cuenta8[[#This Row],[Nombre Centro Gestion]]</f>
        <v>10205 - DEPTO PROYECTOS ZONAL V REGIÓN (NO VIGENTE)</v>
      </c>
      <c r="G517" s="47" t="str">
        <f>+Centro_Cuenta8[[#This Row],[Código Cuenta Contable]]&amp;" - "&amp;Centro_Cuenta8[[#This Row],[Nombre de Cuenta Contable]]</f>
        <v>4202003 - Serv.Basic.Luz.Agua.Tel Of.C</v>
      </c>
      <c r="H517" s="146" t="str">
        <f>+VLOOKUP(D517,'3. Cuentas'!A:F,6,0)</f>
        <v>SI</v>
      </c>
    </row>
    <row r="518" spans="1:8" x14ac:dyDescent="0.25">
      <c r="A518" s="43">
        <v>10205</v>
      </c>
      <c r="B518" t="s">
        <v>707</v>
      </c>
      <c r="C518" s="43" t="s">
        <v>1516</v>
      </c>
      <c r="D518" s="43">
        <v>4202019</v>
      </c>
      <c r="E518" t="s">
        <v>81</v>
      </c>
      <c r="F518" s="47" t="str">
        <f>+Centro_Cuenta8[[#This Row],[Codigo Centro Gestion]]&amp;" - "&amp;Centro_Cuenta8[[#This Row],[Nombre Centro Gestion]]</f>
        <v>10205 - DEPTO PROYECTOS ZONAL V REGIÓN (NO VIGENTE)</v>
      </c>
      <c r="G518" s="47" t="str">
        <f>+Centro_Cuenta8[[#This Row],[Código Cuenta Contable]]&amp;" - "&amp;Centro_Cuenta8[[#This Row],[Nombre de Cuenta Contable]]</f>
        <v>4202019 - Gasto General Oficina</v>
      </c>
      <c r="H518" s="146" t="str">
        <f>+VLOOKUP(D518,'3. Cuentas'!A:F,6,0)</f>
        <v>SI</v>
      </c>
    </row>
    <row r="519" spans="1:8" x14ac:dyDescent="0.25">
      <c r="A519" s="43">
        <v>10205102</v>
      </c>
      <c r="B519" t="s">
        <v>908</v>
      </c>
      <c r="C519" s="43" t="s">
        <v>1617</v>
      </c>
      <c r="D519" s="43">
        <v>4204010</v>
      </c>
      <c r="E519" t="s">
        <v>313</v>
      </c>
      <c r="F519" s="47" t="str">
        <f>+Centro_Cuenta8[[#This Row],[Codigo Centro Gestion]]&amp;" - "&amp;Centro_Cuenta8[[#This Row],[Nombre Centro Gestion]]</f>
        <v>10205102 - Edificio Santa Elena 1282-Marketing</v>
      </c>
      <c r="G519" s="47" t="str">
        <f>+Centro_Cuenta8[[#This Row],[Código Cuenta Contable]]&amp;" - "&amp;Centro_Cuenta8[[#This Row],[Nombre de Cuenta Contable]]</f>
        <v>4204010 - Publicidad Punto Venta</v>
      </c>
      <c r="H519" s="146" t="str">
        <f>+VLOOKUP(D519,'3. Cuentas'!A:F,6,0)</f>
        <v>SI</v>
      </c>
    </row>
    <row r="520" spans="1:8" x14ac:dyDescent="0.25">
      <c r="A520" s="43">
        <v>10205102</v>
      </c>
      <c r="B520" t="s">
        <v>908</v>
      </c>
      <c r="C520" s="43" t="s">
        <v>1617</v>
      </c>
      <c r="D520" s="43">
        <v>4204021</v>
      </c>
      <c r="E520" t="s">
        <v>329</v>
      </c>
      <c r="F520" s="47" t="str">
        <f>+Centro_Cuenta8[[#This Row],[Codigo Centro Gestion]]&amp;" - "&amp;Centro_Cuenta8[[#This Row],[Nombre Centro Gestion]]</f>
        <v>10205102 - Edificio Santa Elena 1282-Marketing</v>
      </c>
      <c r="G520" s="47" t="str">
        <f>+Centro_Cuenta8[[#This Row],[Código Cuenta Contable]]&amp;" - "&amp;Centro_Cuenta8[[#This Row],[Nombre de Cuenta Contable]]</f>
        <v>4204021 - Publicidad Ferias Y Eventos</v>
      </c>
      <c r="H520" s="146" t="str">
        <f>+VLOOKUP(D520,'3. Cuentas'!A:F,6,0)</f>
        <v>SI</v>
      </c>
    </row>
    <row r="521" spans="1:8" x14ac:dyDescent="0.25">
      <c r="A521" s="43">
        <v>10205103</v>
      </c>
      <c r="B521" t="s">
        <v>909</v>
      </c>
      <c r="C521" s="43" t="s">
        <v>1618</v>
      </c>
      <c r="D521" s="43">
        <v>4203060</v>
      </c>
      <c r="E521" t="s">
        <v>321</v>
      </c>
      <c r="F521" s="47" t="str">
        <f>+Centro_Cuenta8[[#This Row],[Codigo Centro Gestion]]&amp;" - "&amp;Centro_Cuenta8[[#This Row],[Nombre Centro Gestion]]</f>
        <v>10205103 - Edificio Santa Elena 1282-Operaciones</v>
      </c>
      <c r="G521" s="47" t="str">
        <f>+Centro_Cuenta8[[#This Row],[Código Cuenta Contable]]&amp;" - "&amp;Centro_Cuenta8[[#This Row],[Nombre de Cuenta Contable]]</f>
        <v>4203060 - Gastos Operacionales De Clientes</v>
      </c>
      <c r="H521" s="146" t="str">
        <f>+VLOOKUP(D521,'3. Cuentas'!A:F,6,0)</f>
        <v>SI</v>
      </c>
    </row>
    <row r="522" spans="1:8" x14ac:dyDescent="0.25">
      <c r="A522" s="43">
        <v>10205103</v>
      </c>
      <c r="B522" t="s">
        <v>909</v>
      </c>
      <c r="C522" s="43" t="s">
        <v>1618</v>
      </c>
      <c r="D522" s="43">
        <v>4203090</v>
      </c>
      <c r="E522" t="s">
        <v>192</v>
      </c>
      <c r="F522" s="47" t="str">
        <f>+Centro_Cuenta8[[#This Row],[Codigo Centro Gestion]]&amp;" - "&amp;Centro_Cuenta8[[#This Row],[Nombre Centro Gestion]]</f>
        <v>10205103 - Edificio Santa Elena 1282-Operaciones</v>
      </c>
      <c r="G522" s="47" t="str">
        <f>+Centro_Cuenta8[[#This Row],[Código Cuenta Contable]]&amp;" - "&amp;Centro_Cuenta8[[#This Row],[Nombre de Cuenta Contable]]</f>
        <v>4203090 - Gastos Legales Y Notariales Proyecto</v>
      </c>
      <c r="H522" s="146" t="str">
        <f>+VLOOKUP(D522,'3. Cuentas'!A:F,6,0)</f>
        <v>SI</v>
      </c>
    </row>
    <row r="523" spans="1:8" x14ac:dyDescent="0.25">
      <c r="A523" s="43">
        <v>10205104</v>
      </c>
      <c r="B523" t="s">
        <v>910</v>
      </c>
      <c r="C523" s="43" t="s">
        <v>90</v>
      </c>
      <c r="D523" s="43">
        <v>1110040</v>
      </c>
      <c r="E523" t="s">
        <v>1505</v>
      </c>
      <c r="F523" s="47" t="str">
        <f>+Centro_Cuenta8[[#This Row],[Codigo Centro Gestion]]&amp;" - "&amp;Centro_Cuenta8[[#This Row],[Nombre Centro Gestion]]</f>
        <v>10205104 - Edificio Santa Elena 1282-Ventas</v>
      </c>
      <c r="G523" s="47" t="str">
        <f>+Centro_Cuenta8[[#This Row],[Código Cuenta Contable]]&amp;" - "&amp;Centro_Cuenta8[[#This Row],[Nombre de Cuenta Contable]]</f>
        <v>1110040 - Garantía Pagadas</v>
      </c>
      <c r="H523" s="146" t="str">
        <f>+VLOOKUP(D523,'3. Cuentas'!A:F,6,0)</f>
        <v>SI</v>
      </c>
    </row>
    <row r="524" spans="1:8" x14ac:dyDescent="0.25">
      <c r="A524" s="43">
        <v>10205104</v>
      </c>
      <c r="B524" t="s">
        <v>910</v>
      </c>
      <c r="C524" s="43" t="s">
        <v>90</v>
      </c>
      <c r="D524" s="43">
        <v>4202003</v>
      </c>
      <c r="E524" t="s">
        <v>106</v>
      </c>
      <c r="F524" s="47" t="str">
        <f>+Centro_Cuenta8[[#This Row],[Codigo Centro Gestion]]&amp;" - "&amp;Centro_Cuenta8[[#This Row],[Nombre Centro Gestion]]</f>
        <v>10205104 - Edificio Santa Elena 1282-Ventas</v>
      </c>
      <c r="G524" s="47" t="str">
        <f>+Centro_Cuenta8[[#This Row],[Código Cuenta Contable]]&amp;" - "&amp;Centro_Cuenta8[[#This Row],[Nombre de Cuenta Contable]]</f>
        <v>4202003 - Serv.Basic.Luz.Agua.Tel Of.C</v>
      </c>
      <c r="H524" s="146" t="str">
        <f>+VLOOKUP(D524,'3. Cuentas'!A:F,6,0)</f>
        <v>SI</v>
      </c>
    </row>
    <row r="525" spans="1:8" x14ac:dyDescent="0.25">
      <c r="A525" s="43">
        <v>10205104</v>
      </c>
      <c r="B525" t="s">
        <v>910</v>
      </c>
      <c r="C525" s="43" t="s">
        <v>90</v>
      </c>
      <c r="D525" s="43">
        <v>4202010</v>
      </c>
      <c r="E525" t="s">
        <v>87</v>
      </c>
      <c r="F525" s="47" t="str">
        <f>+Centro_Cuenta8[[#This Row],[Codigo Centro Gestion]]&amp;" - "&amp;Centro_Cuenta8[[#This Row],[Nombre Centro Gestion]]</f>
        <v>10205104 - Edificio Santa Elena 1282-Ventas</v>
      </c>
      <c r="G525" s="47" t="str">
        <f>+Centro_Cuenta8[[#This Row],[Código Cuenta Contable]]&amp;" - "&amp;Centro_Cuenta8[[#This Row],[Nombre de Cuenta Contable]]</f>
        <v>4202010 - Artic. Ofic. Fotocop.Papelería</v>
      </c>
      <c r="H525" s="146" t="str">
        <f>+VLOOKUP(D525,'3. Cuentas'!A:F,6,0)</f>
        <v>SI</v>
      </c>
    </row>
    <row r="526" spans="1:8" x14ac:dyDescent="0.25">
      <c r="A526" s="43">
        <v>10205104</v>
      </c>
      <c r="B526" t="s">
        <v>910</v>
      </c>
      <c r="C526" s="43" t="s">
        <v>90</v>
      </c>
      <c r="D526" s="43">
        <v>4202019</v>
      </c>
      <c r="E526" t="s">
        <v>81</v>
      </c>
      <c r="F526" s="47" t="str">
        <f>+Centro_Cuenta8[[#This Row],[Codigo Centro Gestion]]&amp;" - "&amp;Centro_Cuenta8[[#This Row],[Nombre Centro Gestion]]</f>
        <v>10205104 - Edificio Santa Elena 1282-Ventas</v>
      </c>
      <c r="G526" s="47" t="str">
        <f>+Centro_Cuenta8[[#This Row],[Código Cuenta Contable]]&amp;" - "&amp;Centro_Cuenta8[[#This Row],[Nombre de Cuenta Contable]]</f>
        <v>4202019 - Gasto General Oficina</v>
      </c>
      <c r="H526" s="146" t="str">
        <f>+VLOOKUP(D526,'3. Cuentas'!A:F,6,0)</f>
        <v>SI</v>
      </c>
    </row>
    <row r="527" spans="1:8" x14ac:dyDescent="0.25">
      <c r="A527" s="43">
        <v>10205104</v>
      </c>
      <c r="B527" t="s">
        <v>910</v>
      </c>
      <c r="C527" s="43" t="s">
        <v>90</v>
      </c>
      <c r="D527" s="43">
        <v>4202023</v>
      </c>
      <c r="E527" t="s">
        <v>82</v>
      </c>
      <c r="F527" s="47" t="str">
        <f>+Centro_Cuenta8[[#This Row],[Codigo Centro Gestion]]&amp;" - "&amp;Centro_Cuenta8[[#This Row],[Nombre Centro Gestion]]</f>
        <v>10205104 - Edificio Santa Elena 1282-Ventas</v>
      </c>
      <c r="G527" s="47" t="str">
        <f>+Centro_Cuenta8[[#This Row],[Código Cuenta Contable]]&amp;" - "&amp;Centro_Cuenta8[[#This Row],[Nombre de Cuenta Contable]]</f>
        <v>4202023 - Honorarios Por Asesorías</v>
      </c>
      <c r="H527" s="146" t="str">
        <f>+VLOOKUP(D527,'3. Cuentas'!A:F,6,0)</f>
        <v>SI</v>
      </c>
    </row>
    <row r="528" spans="1:8" x14ac:dyDescent="0.25">
      <c r="A528" s="43">
        <v>10205104</v>
      </c>
      <c r="B528" t="s">
        <v>910</v>
      </c>
      <c r="C528" s="43" t="s">
        <v>90</v>
      </c>
      <c r="D528" s="43">
        <v>4202029</v>
      </c>
      <c r="E528" t="s">
        <v>83</v>
      </c>
      <c r="F528" s="47" t="str">
        <f>+Centro_Cuenta8[[#This Row],[Codigo Centro Gestion]]&amp;" - "&amp;Centro_Cuenta8[[#This Row],[Nombre Centro Gestion]]</f>
        <v>10205104 - Edificio Santa Elena 1282-Ventas</v>
      </c>
      <c r="G528" s="47" t="str">
        <f>+Centro_Cuenta8[[#This Row],[Código Cuenta Contable]]&amp;" - "&amp;Centro_Cuenta8[[#This Row],[Nombre de Cuenta Contable]]</f>
        <v>4202029 - Insumos Y Gastos Informáticos</v>
      </c>
      <c r="H528" s="146" t="str">
        <f>+VLOOKUP(D528,'3. Cuentas'!A:F,6,0)</f>
        <v>SI</v>
      </c>
    </row>
    <row r="529" spans="1:8" x14ac:dyDescent="0.25">
      <c r="A529" s="43">
        <v>10205104</v>
      </c>
      <c r="B529" t="s">
        <v>910</v>
      </c>
      <c r="C529" s="43" t="s">
        <v>90</v>
      </c>
      <c r="D529" s="43">
        <v>4204021</v>
      </c>
      <c r="E529" t="s">
        <v>329</v>
      </c>
      <c r="F529" s="47" t="str">
        <f>+Centro_Cuenta8[[#This Row],[Codigo Centro Gestion]]&amp;" - "&amp;Centro_Cuenta8[[#This Row],[Nombre Centro Gestion]]</f>
        <v>10205104 - Edificio Santa Elena 1282-Ventas</v>
      </c>
      <c r="G529" s="47" t="str">
        <f>+Centro_Cuenta8[[#This Row],[Código Cuenta Contable]]&amp;" - "&amp;Centro_Cuenta8[[#This Row],[Nombre de Cuenta Contable]]</f>
        <v>4204021 - Publicidad Ferias Y Eventos</v>
      </c>
      <c r="H529" s="146" t="str">
        <f>+VLOOKUP(D529,'3. Cuentas'!A:F,6,0)</f>
        <v>SI</v>
      </c>
    </row>
    <row r="530" spans="1:8" x14ac:dyDescent="0.25">
      <c r="A530" s="43">
        <v>10205105</v>
      </c>
      <c r="B530" t="s">
        <v>911</v>
      </c>
      <c r="C530" s="43" t="s">
        <v>1622</v>
      </c>
      <c r="D530" s="43">
        <v>4203020</v>
      </c>
      <c r="E530" t="s">
        <v>295</v>
      </c>
      <c r="F530" s="47" t="str">
        <f>+Centro_Cuenta8[[#This Row],[Codigo Centro Gestion]]&amp;" - "&amp;Centro_Cuenta8[[#This Row],[Nombre Centro Gestion]]</f>
        <v>10205105 - Edificio Santa Elena 1282-Clientes</v>
      </c>
      <c r="G530" s="47" t="str">
        <f>+Centro_Cuenta8[[#This Row],[Código Cuenta Contable]]&amp;" - "&amp;Centro_Cuenta8[[#This Row],[Nombre de Cuenta Contable]]</f>
        <v>4203020 - Mant. y Consum. Viv Stock</v>
      </c>
      <c r="H530" s="146" t="str">
        <f>+VLOOKUP(D530,'3. Cuentas'!A:F,6,0)</f>
        <v>SI</v>
      </c>
    </row>
    <row r="531" spans="1:8" x14ac:dyDescent="0.25">
      <c r="A531" s="43">
        <v>10205105</v>
      </c>
      <c r="B531" t="s">
        <v>911</v>
      </c>
      <c r="C531" s="43" t="s">
        <v>1622</v>
      </c>
      <c r="D531" s="43">
        <v>4203120</v>
      </c>
      <c r="E531" t="s">
        <v>108</v>
      </c>
      <c r="F531" s="47" t="str">
        <f>+Centro_Cuenta8[[#This Row],[Codigo Centro Gestion]]&amp;" - "&amp;Centro_Cuenta8[[#This Row],[Nombre Centro Gestion]]</f>
        <v>10205105 - Edificio Santa Elena 1282-Clientes</v>
      </c>
      <c r="G531" s="47" t="str">
        <f>+Centro_Cuenta8[[#This Row],[Código Cuenta Contable]]&amp;" - "&amp;Centro_Cuenta8[[#This Row],[Nombre de Cuenta Contable]]</f>
        <v>4203120 - Gastos Comunes</v>
      </c>
      <c r="H531" s="146" t="str">
        <f>+VLOOKUP(D531,'3. Cuentas'!A:F,6,0)</f>
        <v>SI</v>
      </c>
    </row>
    <row r="532" spans="1:8" x14ac:dyDescent="0.25">
      <c r="A532" s="43">
        <v>10205105</v>
      </c>
      <c r="B532" t="s">
        <v>911</v>
      </c>
      <c r="C532" s="43" t="s">
        <v>1622</v>
      </c>
      <c r="D532" s="43">
        <v>4203140</v>
      </c>
      <c r="E532" t="s">
        <v>109</v>
      </c>
      <c r="F532" s="47" t="str">
        <f>+Centro_Cuenta8[[#This Row],[Codigo Centro Gestion]]&amp;" - "&amp;Centro_Cuenta8[[#This Row],[Nombre Centro Gestion]]</f>
        <v>10205105 - Edificio Santa Elena 1282-Clientes</v>
      </c>
      <c r="G532" s="47" t="str">
        <f>+Centro_Cuenta8[[#This Row],[Código Cuenta Contable]]&amp;" - "&amp;Centro_Cuenta8[[#This Row],[Nombre de Cuenta Contable]]</f>
        <v>4203140 - Contribuciones</v>
      </c>
      <c r="H532" s="146" t="str">
        <f>+VLOOKUP(D532,'3. Cuentas'!A:F,6,0)</f>
        <v>SI</v>
      </c>
    </row>
    <row r="533" spans="1:8" x14ac:dyDescent="0.25">
      <c r="A533" s="43">
        <v>10205204</v>
      </c>
      <c r="B533" t="s">
        <v>912</v>
      </c>
      <c r="C533" s="43" t="s">
        <v>1624</v>
      </c>
      <c r="D533" s="43">
        <v>1103045</v>
      </c>
      <c r="E533" t="s">
        <v>323</v>
      </c>
      <c r="F533" s="47" t="str">
        <f>+Centro_Cuenta8[[#This Row],[Codigo Centro Gestion]]&amp;" - "&amp;Centro_Cuenta8[[#This Row],[Nombre Centro Gestion]]</f>
        <v>10205204 - Edificio Santa Elena 1282-Proyecto</v>
      </c>
      <c r="G533" s="47" t="str">
        <f>+Centro_Cuenta8[[#This Row],[Código Cuenta Contable]]&amp;" - "&amp;Centro_Cuenta8[[#This Row],[Nombre de Cuenta Contable]]</f>
        <v>1103045 - Aportes reembolsables (electricidad y agua)</v>
      </c>
      <c r="H533" s="146" t="str">
        <f>+VLOOKUP(D533,'3. Cuentas'!A:F,6,0)</f>
        <v>SI</v>
      </c>
    </row>
    <row r="534" spans="1:8" x14ac:dyDescent="0.25">
      <c r="A534" s="43">
        <v>10205204</v>
      </c>
      <c r="B534" t="s">
        <v>912</v>
      </c>
      <c r="C534" s="43" t="s">
        <v>1624</v>
      </c>
      <c r="D534" s="43">
        <v>1109020</v>
      </c>
      <c r="E534" t="s">
        <v>302</v>
      </c>
      <c r="F534" s="47" t="str">
        <f>+Centro_Cuenta8[[#This Row],[Codigo Centro Gestion]]&amp;" - "&amp;Centro_Cuenta8[[#This Row],[Nombre Centro Gestion]]</f>
        <v>10205204 - Edificio Santa Elena 1282-Proyecto</v>
      </c>
      <c r="G534" s="47" t="str">
        <f>+Centro_Cuenta8[[#This Row],[Código Cuenta Contable]]&amp;" - "&amp;Centro_Cuenta8[[#This Row],[Nombre de Cuenta Contable]]</f>
        <v>1109020 - Mobiliario</v>
      </c>
      <c r="H534" s="146" t="str">
        <f>+VLOOKUP(D534,'3. Cuentas'!A:F,6,0)</f>
        <v>SI</v>
      </c>
    </row>
    <row r="535" spans="1:8" x14ac:dyDescent="0.25">
      <c r="A535" s="43">
        <v>10205204</v>
      </c>
      <c r="B535" t="s">
        <v>912</v>
      </c>
      <c r="C535" s="43" t="s">
        <v>1624</v>
      </c>
      <c r="D535" s="43">
        <v>1110040</v>
      </c>
      <c r="E535" t="s">
        <v>1505</v>
      </c>
      <c r="F535" s="47" t="str">
        <f>+Centro_Cuenta8[[#This Row],[Codigo Centro Gestion]]&amp;" - "&amp;Centro_Cuenta8[[#This Row],[Nombre Centro Gestion]]</f>
        <v>10205204 - Edificio Santa Elena 1282-Proyecto</v>
      </c>
      <c r="G535" s="47" t="str">
        <f>+Centro_Cuenta8[[#This Row],[Código Cuenta Contable]]&amp;" - "&amp;Centro_Cuenta8[[#This Row],[Nombre de Cuenta Contable]]</f>
        <v>1110040 - Garantía Pagadas</v>
      </c>
      <c r="H535" s="146" t="str">
        <f>+VLOOKUP(D535,'3. Cuentas'!A:F,6,0)</f>
        <v>SI</v>
      </c>
    </row>
    <row r="536" spans="1:8" x14ac:dyDescent="0.25">
      <c r="A536" s="43">
        <v>10205204</v>
      </c>
      <c r="B536" t="s">
        <v>912</v>
      </c>
      <c r="C536" s="43" t="s">
        <v>1624</v>
      </c>
      <c r="D536" s="43">
        <v>1115040</v>
      </c>
      <c r="E536" t="s">
        <v>291</v>
      </c>
      <c r="F536" s="47" t="str">
        <f>+Centro_Cuenta8[[#This Row],[Codigo Centro Gestion]]&amp;" - "&amp;Centro_Cuenta8[[#This Row],[Nombre Centro Gestion]]</f>
        <v>10205204 - Edificio Santa Elena 1282-Proyecto</v>
      </c>
      <c r="G536" s="47" t="str">
        <f>+Centro_Cuenta8[[#This Row],[Código Cuenta Contable]]&amp;" - "&amp;Centro_Cuenta8[[#This Row],[Nombre de Cuenta Contable]]</f>
        <v>1115040 - Saneamiento De Terreno</v>
      </c>
      <c r="H536" s="146" t="str">
        <f>+VLOOKUP(D536,'3. Cuentas'!A:F,6,0)</f>
        <v>SI</v>
      </c>
    </row>
    <row r="537" spans="1:8" x14ac:dyDescent="0.25">
      <c r="A537" s="43">
        <v>10205204</v>
      </c>
      <c r="B537" t="s">
        <v>912</v>
      </c>
      <c r="C537" s="43" t="s">
        <v>1624</v>
      </c>
      <c r="D537" s="43">
        <v>1115050</v>
      </c>
      <c r="E537" t="s">
        <v>1628</v>
      </c>
      <c r="F537" s="47" t="str">
        <f>+Centro_Cuenta8[[#This Row],[Codigo Centro Gestion]]&amp;" - "&amp;Centro_Cuenta8[[#This Row],[Nombre Centro Gestion]]</f>
        <v>10205204 - Edificio Santa Elena 1282-Proyecto</v>
      </c>
      <c r="G537" s="47" t="str">
        <f>+Centro_Cuenta8[[#This Row],[Código Cuenta Contable]]&amp;" - "&amp;Centro_Cuenta8[[#This Row],[Nombre de Cuenta Contable]]</f>
        <v>1115050 - Demolición</v>
      </c>
      <c r="H537" s="146" t="str">
        <f>+VLOOKUP(D537,'3. Cuentas'!A:F,6,0)</f>
        <v>SI</v>
      </c>
    </row>
    <row r="538" spans="1:8" x14ac:dyDescent="0.25">
      <c r="A538" s="43">
        <v>10205204</v>
      </c>
      <c r="B538" t="s">
        <v>912</v>
      </c>
      <c r="C538" s="43" t="s">
        <v>1624</v>
      </c>
      <c r="D538" s="43">
        <v>1115100</v>
      </c>
      <c r="E538" t="s">
        <v>292</v>
      </c>
      <c r="F538" s="47" t="str">
        <f>+Centro_Cuenta8[[#This Row],[Codigo Centro Gestion]]&amp;" - "&amp;Centro_Cuenta8[[#This Row],[Nombre Centro Gestion]]</f>
        <v>10205204 - Edificio Santa Elena 1282-Proyecto</v>
      </c>
      <c r="G538" s="47" t="str">
        <f>+Centro_Cuenta8[[#This Row],[Código Cuenta Contable]]&amp;" - "&amp;Centro_Cuenta8[[#This Row],[Nombre de Cuenta Contable]]</f>
        <v>1115100 - Proyectos Y Especialidades</v>
      </c>
      <c r="H538" s="146" t="str">
        <f>+VLOOKUP(D538,'3. Cuentas'!A:F,6,0)</f>
        <v>SI</v>
      </c>
    </row>
    <row r="539" spans="1:8" x14ac:dyDescent="0.25">
      <c r="A539" s="43">
        <v>10205204</v>
      </c>
      <c r="B539" t="s">
        <v>912</v>
      </c>
      <c r="C539" s="43" t="s">
        <v>1624</v>
      </c>
      <c r="D539" s="43">
        <v>1115120</v>
      </c>
      <c r="E539" t="s">
        <v>1633</v>
      </c>
      <c r="F539" s="47" t="str">
        <f>+Centro_Cuenta8[[#This Row],[Codigo Centro Gestion]]&amp;" - "&amp;Centro_Cuenta8[[#This Row],[Nombre Centro Gestion]]</f>
        <v>10205204 - Edificio Santa Elena 1282-Proyecto</v>
      </c>
      <c r="G539" s="47" t="str">
        <f>+Centro_Cuenta8[[#This Row],[Código Cuenta Contable]]&amp;" - "&amp;Centro_Cuenta8[[#This Row],[Nombre de Cuenta Contable]]</f>
        <v>1115120 - Instalación Empalmes</v>
      </c>
      <c r="H539" s="146" t="str">
        <f>+VLOOKUP(D539,'3. Cuentas'!A:F,6,0)</f>
        <v>SI</v>
      </c>
    </row>
    <row r="540" spans="1:8" x14ac:dyDescent="0.25">
      <c r="A540" s="43">
        <v>10205204</v>
      </c>
      <c r="B540" t="s">
        <v>912</v>
      </c>
      <c r="C540" s="43" t="s">
        <v>1624</v>
      </c>
      <c r="D540" s="43">
        <v>1115170</v>
      </c>
      <c r="E540" t="s">
        <v>293</v>
      </c>
      <c r="F540" s="47" t="str">
        <f>+Centro_Cuenta8[[#This Row],[Codigo Centro Gestion]]&amp;" - "&amp;Centro_Cuenta8[[#This Row],[Nombre Centro Gestion]]</f>
        <v>10205204 - Edificio Santa Elena 1282-Proyecto</v>
      </c>
      <c r="G540" s="47" t="str">
        <f>+Centro_Cuenta8[[#This Row],[Código Cuenta Contable]]&amp;" - "&amp;Centro_Cuenta8[[#This Row],[Nombre de Cuenta Contable]]</f>
        <v>1115170 - Permisos Y Otros Gastos Municipales</v>
      </c>
      <c r="H540" s="146" t="str">
        <f>+VLOOKUP(D540,'3. Cuentas'!A:F,6,0)</f>
        <v>SI</v>
      </c>
    </row>
    <row r="541" spans="1:8" x14ac:dyDescent="0.25">
      <c r="A541" s="43">
        <v>10205204</v>
      </c>
      <c r="B541" t="s">
        <v>912</v>
      </c>
      <c r="C541" s="43" t="s">
        <v>1624</v>
      </c>
      <c r="D541" s="43">
        <v>1115240</v>
      </c>
      <c r="E541" t="s">
        <v>294</v>
      </c>
      <c r="F541" s="47" t="str">
        <f>+Centro_Cuenta8[[#This Row],[Codigo Centro Gestion]]&amp;" - "&amp;Centro_Cuenta8[[#This Row],[Nombre Centro Gestion]]</f>
        <v>10205204 - Edificio Santa Elena 1282-Proyecto</v>
      </c>
      <c r="G541" s="47" t="str">
        <f>+Centro_Cuenta8[[#This Row],[Código Cuenta Contable]]&amp;" - "&amp;Centro_Cuenta8[[#This Row],[Nombre de Cuenta Contable]]</f>
        <v>1115240 - Estudios Y Asesorias Técnicas</v>
      </c>
      <c r="H541" s="146" t="str">
        <f>+VLOOKUP(D541,'3. Cuentas'!A:F,6,0)</f>
        <v>SI</v>
      </c>
    </row>
    <row r="542" spans="1:8" x14ac:dyDescent="0.25">
      <c r="A542" s="43">
        <v>10205204</v>
      </c>
      <c r="B542" t="s">
        <v>912</v>
      </c>
      <c r="C542" s="43" t="s">
        <v>1624</v>
      </c>
      <c r="D542" s="43">
        <v>4203090</v>
      </c>
      <c r="E542" t="s">
        <v>192</v>
      </c>
      <c r="F542" s="47" t="str">
        <f>+Centro_Cuenta8[[#This Row],[Codigo Centro Gestion]]&amp;" - "&amp;Centro_Cuenta8[[#This Row],[Nombre Centro Gestion]]</f>
        <v>10205204 - Edificio Santa Elena 1282-Proyecto</v>
      </c>
      <c r="G542" s="47" t="str">
        <f>+Centro_Cuenta8[[#This Row],[Código Cuenta Contable]]&amp;" - "&amp;Centro_Cuenta8[[#This Row],[Nombre de Cuenta Contable]]</f>
        <v>4203090 - Gastos Legales Y Notariales Proyecto</v>
      </c>
      <c r="H542" s="146" t="str">
        <f>+VLOOKUP(D542,'3. Cuentas'!A:F,6,0)</f>
        <v>SI</v>
      </c>
    </row>
    <row r="543" spans="1:8" x14ac:dyDescent="0.25">
      <c r="A543" s="43">
        <v>10205204</v>
      </c>
      <c r="B543" t="s">
        <v>912</v>
      </c>
      <c r="C543" s="43" t="s">
        <v>1624</v>
      </c>
      <c r="D543" s="43">
        <v>4203140</v>
      </c>
      <c r="E543" t="s">
        <v>109</v>
      </c>
      <c r="F543" s="47" t="str">
        <f>+Centro_Cuenta8[[#This Row],[Codigo Centro Gestion]]&amp;" - "&amp;Centro_Cuenta8[[#This Row],[Nombre Centro Gestion]]</f>
        <v>10205204 - Edificio Santa Elena 1282-Proyecto</v>
      </c>
      <c r="G543" s="47" t="str">
        <f>+Centro_Cuenta8[[#This Row],[Código Cuenta Contable]]&amp;" - "&amp;Centro_Cuenta8[[#This Row],[Nombre de Cuenta Contable]]</f>
        <v>4203140 - Contribuciones</v>
      </c>
      <c r="H543" s="146" t="str">
        <f>+VLOOKUP(D543,'3. Cuentas'!A:F,6,0)</f>
        <v>SI</v>
      </c>
    </row>
    <row r="544" spans="1:8" x14ac:dyDescent="0.25">
      <c r="A544" s="43">
        <v>10205204</v>
      </c>
      <c r="B544" t="s">
        <v>912</v>
      </c>
      <c r="C544" s="43" t="s">
        <v>1624</v>
      </c>
      <c r="D544" s="43">
        <v>4203150</v>
      </c>
      <c r="E544" t="s">
        <v>156</v>
      </c>
      <c r="F544" s="47" t="str">
        <f>+Centro_Cuenta8[[#This Row],[Codigo Centro Gestion]]&amp;" - "&amp;Centro_Cuenta8[[#This Row],[Nombre Centro Gestion]]</f>
        <v>10205204 - Edificio Santa Elena 1282-Proyecto</v>
      </c>
      <c r="G544" s="47" t="str">
        <f>+Centro_Cuenta8[[#This Row],[Código Cuenta Contable]]&amp;" - "&amp;Centro_Cuenta8[[#This Row],[Nombre de Cuenta Contable]]</f>
        <v>4203150 - Gastos CBR</v>
      </c>
      <c r="H544" s="146" t="str">
        <f>+VLOOKUP(D544,'3. Cuentas'!A:F,6,0)</f>
        <v>SI</v>
      </c>
    </row>
    <row r="545" spans="1:8" x14ac:dyDescent="0.25">
      <c r="A545" s="43">
        <v>10205204</v>
      </c>
      <c r="B545" t="s">
        <v>912</v>
      </c>
      <c r="C545" s="43" t="s">
        <v>1624</v>
      </c>
      <c r="D545" s="43">
        <v>4203160</v>
      </c>
      <c r="E545" t="s">
        <v>1639</v>
      </c>
      <c r="F545" s="47" t="str">
        <f>+Centro_Cuenta8[[#This Row],[Codigo Centro Gestion]]&amp;" - "&amp;Centro_Cuenta8[[#This Row],[Nombre Centro Gestion]]</f>
        <v>10205204 - Edificio Santa Elena 1282-Proyecto</v>
      </c>
      <c r="G545" s="47" t="str">
        <f>+Centro_Cuenta8[[#This Row],[Código Cuenta Contable]]&amp;" - "&amp;Centro_Cuenta8[[#This Row],[Nombre de Cuenta Contable]]</f>
        <v>4203160 - PAPELERIA Y FOTOCOPIADO</v>
      </c>
      <c r="H545" s="146" t="str">
        <f>+VLOOKUP(D545,'3. Cuentas'!A:F,6,0)</f>
        <v>SI</v>
      </c>
    </row>
    <row r="546" spans="1:8" x14ac:dyDescent="0.25">
      <c r="A546" s="43">
        <v>10205204</v>
      </c>
      <c r="B546" t="s">
        <v>912</v>
      </c>
      <c r="C546" s="43" t="s">
        <v>1624</v>
      </c>
      <c r="D546" s="43">
        <v>4203180</v>
      </c>
      <c r="E546" t="s">
        <v>1640</v>
      </c>
      <c r="F546" s="47" t="str">
        <f>+Centro_Cuenta8[[#This Row],[Codigo Centro Gestion]]&amp;" - "&amp;Centro_Cuenta8[[#This Row],[Nombre Centro Gestion]]</f>
        <v>10205204 - Edificio Santa Elena 1282-Proyecto</v>
      </c>
      <c r="G546" s="47" t="str">
        <f>+Centro_Cuenta8[[#This Row],[Código Cuenta Contable]]&amp;" - "&amp;Centro_Cuenta8[[#This Row],[Nombre de Cuenta Contable]]</f>
        <v>4203180 - Otros Gastos y Aseso Proy</v>
      </c>
      <c r="H546" s="146" t="str">
        <f>+VLOOKUP(D546,'3. Cuentas'!A:F,6,0)</f>
        <v>SI</v>
      </c>
    </row>
    <row r="547" spans="1:8" x14ac:dyDescent="0.25">
      <c r="A547" s="43">
        <v>10205301</v>
      </c>
      <c r="B547" t="s">
        <v>913</v>
      </c>
      <c r="C547" s="43" t="s">
        <v>1643</v>
      </c>
      <c r="D547" s="43">
        <v>4203090</v>
      </c>
      <c r="E547" t="s">
        <v>192</v>
      </c>
      <c r="F547" s="47" t="str">
        <f>+Centro_Cuenta8[[#This Row],[Codigo Centro Gestion]]&amp;" - "&amp;Centro_Cuenta8[[#This Row],[Nombre Centro Gestion]]</f>
        <v>10205301 - Edificio Santa Elena 1282-GAF</v>
      </c>
      <c r="G547" s="47" t="str">
        <f>+Centro_Cuenta8[[#This Row],[Código Cuenta Contable]]&amp;" - "&amp;Centro_Cuenta8[[#This Row],[Nombre de Cuenta Contable]]</f>
        <v>4203090 - Gastos Legales Y Notariales Proyecto</v>
      </c>
      <c r="H547" s="146" t="str">
        <f>+VLOOKUP(D547,'3. Cuentas'!A:F,6,0)</f>
        <v>SI</v>
      </c>
    </row>
    <row r="548" spans="1:8" x14ac:dyDescent="0.25">
      <c r="A548" s="43">
        <v>10205301</v>
      </c>
      <c r="B548" t="s">
        <v>913</v>
      </c>
      <c r="C548" s="43" t="s">
        <v>1643</v>
      </c>
      <c r="D548" s="43">
        <v>4203140</v>
      </c>
      <c r="E548" t="s">
        <v>109</v>
      </c>
      <c r="F548" s="47" t="str">
        <f>+Centro_Cuenta8[[#This Row],[Codigo Centro Gestion]]&amp;" - "&amp;Centro_Cuenta8[[#This Row],[Nombre Centro Gestion]]</f>
        <v>10205301 - Edificio Santa Elena 1282-GAF</v>
      </c>
      <c r="G548" s="47" t="str">
        <f>+Centro_Cuenta8[[#This Row],[Código Cuenta Contable]]&amp;" - "&amp;Centro_Cuenta8[[#This Row],[Nombre de Cuenta Contable]]</f>
        <v>4203140 - Contribuciones</v>
      </c>
      <c r="H548" s="146" t="str">
        <f>+VLOOKUP(D548,'3. Cuentas'!A:F,6,0)</f>
        <v>SI</v>
      </c>
    </row>
    <row r="549" spans="1:8" x14ac:dyDescent="0.25">
      <c r="A549" s="43">
        <v>10205506</v>
      </c>
      <c r="B549" t="s">
        <v>915</v>
      </c>
      <c r="C549" s="43" t="s">
        <v>200</v>
      </c>
      <c r="D549" s="43">
        <v>1115100</v>
      </c>
      <c r="E549" t="s">
        <v>292</v>
      </c>
      <c r="F549" s="47" t="str">
        <f>+Centro_Cuenta8[[#This Row],[Codigo Centro Gestion]]&amp;" - "&amp;Centro_Cuenta8[[#This Row],[Nombre Centro Gestion]]</f>
        <v>10205506 - Edificio Santa Elena 1282-Depto.Técnico</v>
      </c>
      <c r="G549" s="47" t="str">
        <f>+Centro_Cuenta8[[#This Row],[Código Cuenta Contable]]&amp;" - "&amp;Centro_Cuenta8[[#This Row],[Nombre de Cuenta Contable]]</f>
        <v>1115100 - Proyectos Y Especialidades</v>
      </c>
      <c r="H549" s="146" t="str">
        <f>+VLOOKUP(D549,'3. Cuentas'!A:F,6,0)</f>
        <v>SI</v>
      </c>
    </row>
    <row r="550" spans="1:8" x14ac:dyDescent="0.25">
      <c r="A550" s="43">
        <v>10206</v>
      </c>
      <c r="B550" t="s">
        <v>708</v>
      </c>
      <c r="C550" s="43" t="s">
        <v>1517</v>
      </c>
      <c r="D550" s="43">
        <v>4202003</v>
      </c>
      <c r="E550" t="s">
        <v>106</v>
      </c>
      <c r="F550" s="47" t="str">
        <f>+Centro_Cuenta8[[#This Row],[Codigo Centro Gestion]]&amp;" - "&amp;Centro_Cuenta8[[#This Row],[Nombre Centro Gestion]]</f>
        <v>10206 - DEPTO PROYECTOS ZONAL NORTE 1 (NO VIGENTE)</v>
      </c>
      <c r="G550" s="47" t="str">
        <f>+Centro_Cuenta8[[#This Row],[Código Cuenta Contable]]&amp;" - "&amp;Centro_Cuenta8[[#This Row],[Nombre de Cuenta Contable]]</f>
        <v>4202003 - Serv.Basic.Luz.Agua.Tel Of.C</v>
      </c>
      <c r="H550" s="146" t="str">
        <f>+VLOOKUP(D550,'3. Cuentas'!A:F,6,0)</f>
        <v>SI</v>
      </c>
    </row>
    <row r="551" spans="1:8" x14ac:dyDescent="0.25">
      <c r="A551" s="43">
        <v>10206</v>
      </c>
      <c r="B551" t="s">
        <v>708</v>
      </c>
      <c r="C551" s="43" t="s">
        <v>1517</v>
      </c>
      <c r="D551" s="43">
        <v>4202019</v>
      </c>
      <c r="E551" t="s">
        <v>81</v>
      </c>
      <c r="F551" s="47" t="str">
        <f>+Centro_Cuenta8[[#This Row],[Codigo Centro Gestion]]&amp;" - "&amp;Centro_Cuenta8[[#This Row],[Nombre Centro Gestion]]</f>
        <v>10206 - DEPTO PROYECTOS ZONAL NORTE 1 (NO VIGENTE)</v>
      </c>
      <c r="G551" s="47" t="str">
        <f>+Centro_Cuenta8[[#This Row],[Código Cuenta Contable]]&amp;" - "&amp;Centro_Cuenta8[[#This Row],[Nombre de Cuenta Contable]]</f>
        <v>4202019 - Gasto General Oficina</v>
      </c>
      <c r="H551" s="146" t="str">
        <f>+VLOOKUP(D551,'3. Cuentas'!A:F,6,0)</f>
        <v>SI</v>
      </c>
    </row>
    <row r="552" spans="1:8" x14ac:dyDescent="0.25">
      <c r="A552" s="43">
        <v>10206102</v>
      </c>
      <c r="B552" t="s">
        <v>917</v>
      </c>
      <c r="C552" s="43" t="s">
        <v>1617</v>
      </c>
      <c r="D552" s="43">
        <v>4204010</v>
      </c>
      <c r="E552" t="s">
        <v>313</v>
      </c>
      <c r="F552" s="47" t="str">
        <f>+Centro_Cuenta8[[#This Row],[Codigo Centro Gestion]]&amp;" - "&amp;Centro_Cuenta8[[#This Row],[Nombre Centro Gestion]]</f>
        <v>10206102 - Novena Avenida 2-Marketing</v>
      </c>
      <c r="G552" s="47" t="str">
        <f>+Centro_Cuenta8[[#This Row],[Código Cuenta Contable]]&amp;" - "&amp;Centro_Cuenta8[[#This Row],[Nombre de Cuenta Contable]]</f>
        <v>4204010 - Publicidad Punto Venta</v>
      </c>
      <c r="H552" s="146" t="str">
        <f>+VLOOKUP(D552,'3. Cuentas'!A:F,6,0)</f>
        <v>SI</v>
      </c>
    </row>
    <row r="553" spans="1:8" x14ac:dyDescent="0.25">
      <c r="A553" s="43">
        <v>10206102</v>
      </c>
      <c r="B553" t="s">
        <v>917</v>
      </c>
      <c r="C553" s="43" t="s">
        <v>1617</v>
      </c>
      <c r="D553" s="43">
        <v>4204021</v>
      </c>
      <c r="E553" t="s">
        <v>329</v>
      </c>
      <c r="F553" s="47" t="str">
        <f>+Centro_Cuenta8[[#This Row],[Codigo Centro Gestion]]&amp;" - "&amp;Centro_Cuenta8[[#This Row],[Nombre Centro Gestion]]</f>
        <v>10206102 - Novena Avenida 2-Marketing</v>
      </c>
      <c r="G553" s="47" t="str">
        <f>+Centro_Cuenta8[[#This Row],[Código Cuenta Contable]]&amp;" - "&amp;Centro_Cuenta8[[#This Row],[Nombre de Cuenta Contable]]</f>
        <v>4204021 - Publicidad Ferias Y Eventos</v>
      </c>
      <c r="H553" s="146" t="str">
        <f>+VLOOKUP(D553,'3. Cuentas'!A:F,6,0)</f>
        <v>SI</v>
      </c>
    </row>
    <row r="554" spans="1:8" x14ac:dyDescent="0.25">
      <c r="A554" s="43">
        <v>10206103</v>
      </c>
      <c r="B554" t="s">
        <v>918</v>
      </c>
      <c r="C554" s="43" t="s">
        <v>1618</v>
      </c>
      <c r="D554" s="43">
        <v>4203060</v>
      </c>
      <c r="E554" t="s">
        <v>321</v>
      </c>
      <c r="F554" s="47" t="str">
        <f>+Centro_Cuenta8[[#This Row],[Codigo Centro Gestion]]&amp;" - "&amp;Centro_Cuenta8[[#This Row],[Nombre Centro Gestion]]</f>
        <v>10206103 - Novena Avenida 2-Operaciones</v>
      </c>
      <c r="G554" s="47" t="str">
        <f>+Centro_Cuenta8[[#This Row],[Código Cuenta Contable]]&amp;" - "&amp;Centro_Cuenta8[[#This Row],[Nombre de Cuenta Contable]]</f>
        <v>4203060 - Gastos Operacionales De Clientes</v>
      </c>
      <c r="H554" s="146" t="str">
        <f>+VLOOKUP(D554,'3. Cuentas'!A:F,6,0)</f>
        <v>SI</v>
      </c>
    </row>
    <row r="555" spans="1:8" x14ac:dyDescent="0.25">
      <c r="A555" s="43">
        <v>10206103</v>
      </c>
      <c r="B555" t="s">
        <v>918</v>
      </c>
      <c r="C555" s="43" t="s">
        <v>1618</v>
      </c>
      <c r="D555" s="43">
        <v>4203090</v>
      </c>
      <c r="E555" t="s">
        <v>192</v>
      </c>
      <c r="F555" s="47" t="str">
        <f>+Centro_Cuenta8[[#This Row],[Codigo Centro Gestion]]&amp;" - "&amp;Centro_Cuenta8[[#This Row],[Nombre Centro Gestion]]</f>
        <v>10206103 - Novena Avenida 2-Operaciones</v>
      </c>
      <c r="G555" s="47" t="str">
        <f>+Centro_Cuenta8[[#This Row],[Código Cuenta Contable]]&amp;" - "&amp;Centro_Cuenta8[[#This Row],[Nombre de Cuenta Contable]]</f>
        <v>4203090 - Gastos Legales Y Notariales Proyecto</v>
      </c>
      <c r="H555" s="146" t="str">
        <f>+VLOOKUP(D555,'3. Cuentas'!A:F,6,0)</f>
        <v>SI</v>
      </c>
    </row>
    <row r="556" spans="1:8" x14ac:dyDescent="0.25">
      <c r="A556" s="43">
        <v>10206104</v>
      </c>
      <c r="B556" t="s">
        <v>919</v>
      </c>
      <c r="C556" s="43" t="s">
        <v>90</v>
      </c>
      <c r="D556" s="43">
        <v>1110040</v>
      </c>
      <c r="E556" t="s">
        <v>1505</v>
      </c>
      <c r="F556" s="47" t="str">
        <f>+Centro_Cuenta8[[#This Row],[Codigo Centro Gestion]]&amp;" - "&amp;Centro_Cuenta8[[#This Row],[Nombre Centro Gestion]]</f>
        <v>10206104 - Novena Avenida 2-Ventas</v>
      </c>
      <c r="G556" s="47" t="str">
        <f>+Centro_Cuenta8[[#This Row],[Código Cuenta Contable]]&amp;" - "&amp;Centro_Cuenta8[[#This Row],[Nombre de Cuenta Contable]]</f>
        <v>1110040 - Garantía Pagadas</v>
      </c>
      <c r="H556" s="146" t="str">
        <f>+VLOOKUP(D556,'3. Cuentas'!A:F,6,0)</f>
        <v>SI</v>
      </c>
    </row>
    <row r="557" spans="1:8" x14ac:dyDescent="0.25">
      <c r="A557" s="43">
        <v>10206104</v>
      </c>
      <c r="B557" t="s">
        <v>919</v>
      </c>
      <c r="C557" s="43" t="s">
        <v>90</v>
      </c>
      <c r="D557" s="43">
        <v>4202003</v>
      </c>
      <c r="E557" t="s">
        <v>106</v>
      </c>
      <c r="F557" s="47" t="str">
        <f>+Centro_Cuenta8[[#This Row],[Codigo Centro Gestion]]&amp;" - "&amp;Centro_Cuenta8[[#This Row],[Nombre Centro Gestion]]</f>
        <v>10206104 - Novena Avenida 2-Ventas</v>
      </c>
      <c r="G557" s="47" t="str">
        <f>+Centro_Cuenta8[[#This Row],[Código Cuenta Contable]]&amp;" - "&amp;Centro_Cuenta8[[#This Row],[Nombre de Cuenta Contable]]</f>
        <v>4202003 - Serv.Basic.Luz.Agua.Tel Of.C</v>
      </c>
      <c r="H557" s="146" t="str">
        <f>+VLOOKUP(D557,'3. Cuentas'!A:F,6,0)</f>
        <v>SI</v>
      </c>
    </row>
    <row r="558" spans="1:8" x14ac:dyDescent="0.25">
      <c r="A558" s="43">
        <v>10206104</v>
      </c>
      <c r="B558" t="s">
        <v>919</v>
      </c>
      <c r="C558" s="43" t="s">
        <v>90</v>
      </c>
      <c r="D558" s="43">
        <v>4202010</v>
      </c>
      <c r="E558" t="s">
        <v>87</v>
      </c>
      <c r="F558" s="47" t="str">
        <f>+Centro_Cuenta8[[#This Row],[Codigo Centro Gestion]]&amp;" - "&amp;Centro_Cuenta8[[#This Row],[Nombre Centro Gestion]]</f>
        <v>10206104 - Novena Avenida 2-Ventas</v>
      </c>
      <c r="G558" s="47" t="str">
        <f>+Centro_Cuenta8[[#This Row],[Código Cuenta Contable]]&amp;" - "&amp;Centro_Cuenta8[[#This Row],[Nombre de Cuenta Contable]]</f>
        <v>4202010 - Artic. Ofic. Fotocop.Papelería</v>
      </c>
      <c r="H558" s="146" t="str">
        <f>+VLOOKUP(D558,'3. Cuentas'!A:F,6,0)</f>
        <v>SI</v>
      </c>
    </row>
    <row r="559" spans="1:8" x14ac:dyDescent="0.25">
      <c r="A559" s="43">
        <v>10206104</v>
      </c>
      <c r="B559" t="s">
        <v>919</v>
      </c>
      <c r="C559" s="43" t="s">
        <v>90</v>
      </c>
      <c r="D559" s="43">
        <v>4202019</v>
      </c>
      <c r="E559" t="s">
        <v>81</v>
      </c>
      <c r="F559" s="47" t="str">
        <f>+Centro_Cuenta8[[#This Row],[Codigo Centro Gestion]]&amp;" - "&amp;Centro_Cuenta8[[#This Row],[Nombre Centro Gestion]]</f>
        <v>10206104 - Novena Avenida 2-Ventas</v>
      </c>
      <c r="G559" s="47" t="str">
        <f>+Centro_Cuenta8[[#This Row],[Código Cuenta Contable]]&amp;" - "&amp;Centro_Cuenta8[[#This Row],[Nombre de Cuenta Contable]]</f>
        <v>4202019 - Gasto General Oficina</v>
      </c>
      <c r="H559" s="146" t="str">
        <f>+VLOOKUP(D559,'3. Cuentas'!A:F,6,0)</f>
        <v>SI</v>
      </c>
    </row>
    <row r="560" spans="1:8" x14ac:dyDescent="0.25">
      <c r="A560" s="43">
        <v>10206104</v>
      </c>
      <c r="B560" t="s">
        <v>919</v>
      </c>
      <c r="C560" s="43" t="s">
        <v>90</v>
      </c>
      <c r="D560" s="43">
        <v>4202023</v>
      </c>
      <c r="E560" t="s">
        <v>82</v>
      </c>
      <c r="F560" s="47" t="str">
        <f>+Centro_Cuenta8[[#This Row],[Codigo Centro Gestion]]&amp;" - "&amp;Centro_Cuenta8[[#This Row],[Nombre Centro Gestion]]</f>
        <v>10206104 - Novena Avenida 2-Ventas</v>
      </c>
      <c r="G560" s="47" t="str">
        <f>+Centro_Cuenta8[[#This Row],[Código Cuenta Contable]]&amp;" - "&amp;Centro_Cuenta8[[#This Row],[Nombre de Cuenta Contable]]</f>
        <v>4202023 - Honorarios Por Asesorías</v>
      </c>
      <c r="H560" s="146" t="str">
        <f>+VLOOKUP(D560,'3. Cuentas'!A:F,6,0)</f>
        <v>SI</v>
      </c>
    </row>
    <row r="561" spans="1:8" x14ac:dyDescent="0.25">
      <c r="A561" s="43">
        <v>10206104</v>
      </c>
      <c r="B561" t="s">
        <v>919</v>
      </c>
      <c r="C561" s="43" t="s">
        <v>90</v>
      </c>
      <c r="D561" s="43">
        <v>4202029</v>
      </c>
      <c r="E561" t="s">
        <v>83</v>
      </c>
      <c r="F561" s="47" t="str">
        <f>+Centro_Cuenta8[[#This Row],[Codigo Centro Gestion]]&amp;" - "&amp;Centro_Cuenta8[[#This Row],[Nombre Centro Gestion]]</f>
        <v>10206104 - Novena Avenida 2-Ventas</v>
      </c>
      <c r="G561" s="47" t="str">
        <f>+Centro_Cuenta8[[#This Row],[Código Cuenta Contable]]&amp;" - "&amp;Centro_Cuenta8[[#This Row],[Nombre de Cuenta Contable]]</f>
        <v>4202029 - Insumos Y Gastos Informáticos</v>
      </c>
      <c r="H561" s="146" t="str">
        <f>+VLOOKUP(D561,'3. Cuentas'!A:F,6,0)</f>
        <v>SI</v>
      </c>
    </row>
    <row r="562" spans="1:8" x14ac:dyDescent="0.25">
      <c r="A562" s="43">
        <v>10206104</v>
      </c>
      <c r="B562" t="s">
        <v>919</v>
      </c>
      <c r="C562" s="43" t="s">
        <v>90</v>
      </c>
      <c r="D562" s="43">
        <v>4204021</v>
      </c>
      <c r="E562" t="s">
        <v>329</v>
      </c>
      <c r="F562" s="47" t="str">
        <f>+Centro_Cuenta8[[#This Row],[Codigo Centro Gestion]]&amp;" - "&amp;Centro_Cuenta8[[#This Row],[Nombre Centro Gestion]]</f>
        <v>10206104 - Novena Avenida 2-Ventas</v>
      </c>
      <c r="G562" s="47" t="str">
        <f>+Centro_Cuenta8[[#This Row],[Código Cuenta Contable]]&amp;" - "&amp;Centro_Cuenta8[[#This Row],[Nombre de Cuenta Contable]]</f>
        <v>4204021 - Publicidad Ferias Y Eventos</v>
      </c>
      <c r="H562" s="146" t="str">
        <f>+VLOOKUP(D562,'3. Cuentas'!A:F,6,0)</f>
        <v>SI</v>
      </c>
    </row>
    <row r="563" spans="1:8" x14ac:dyDescent="0.25">
      <c r="A563" s="43">
        <v>10206105</v>
      </c>
      <c r="B563" t="s">
        <v>920</v>
      </c>
      <c r="C563" s="43" t="s">
        <v>1622</v>
      </c>
      <c r="D563" s="43">
        <v>4203020</v>
      </c>
      <c r="E563" t="s">
        <v>295</v>
      </c>
      <c r="F563" s="47" t="str">
        <f>+Centro_Cuenta8[[#This Row],[Codigo Centro Gestion]]&amp;" - "&amp;Centro_Cuenta8[[#This Row],[Nombre Centro Gestion]]</f>
        <v>10206105 - Novena Avenida 2-Clientes</v>
      </c>
      <c r="G563" s="47" t="str">
        <f>+Centro_Cuenta8[[#This Row],[Código Cuenta Contable]]&amp;" - "&amp;Centro_Cuenta8[[#This Row],[Nombre de Cuenta Contable]]</f>
        <v>4203020 - Mant. y Consum. Viv Stock</v>
      </c>
      <c r="H563" s="146" t="str">
        <f>+VLOOKUP(D563,'3. Cuentas'!A:F,6,0)</f>
        <v>SI</v>
      </c>
    </row>
    <row r="564" spans="1:8" x14ac:dyDescent="0.25">
      <c r="A564" s="43">
        <v>10206105</v>
      </c>
      <c r="B564" t="s">
        <v>920</v>
      </c>
      <c r="C564" s="43" t="s">
        <v>1622</v>
      </c>
      <c r="D564" s="43">
        <v>4203120</v>
      </c>
      <c r="E564" t="s">
        <v>108</v>
      </c>
      <c r="F564" s="47" t="str">
        <f>+Centro_Cuenta8[[#This Row],[Codigo Centro Gestion]]&amp;" - "&amp;Centro_Cuenta8[[#This Row],[Nombre Centro Gestion]]</f>
        <v>10206105 - Novena Avenida 2-Clientes</v>
      </c>
      <c r="G564" s="47" t="str">
        <f>+Centro_Cuenta8[[#This Row],[Código Cuenta Contable]]&amp;" - "&amp;Centro_Cuenta8[[#This Row],[Nombre de Cuenta Contable]]</f>
        <v>4203120 - Gastos Comunes</v>
      </c>
      <c r="H564" s="146" t="str">
        <f>+VLOOKUP(D564,'3. Cuentas'!A:F,6,0)</f>
        <v>SI</v>
      </c>
    </row>
    <row r="565" spans="1:8" x14ac:dyDescent="0.25">
      <c r="A565" s="43">
        <v>10206105</v>
      </c>
      <c r="B565" t="s">
        <v>920</v>
      </c>
      <c r="C565" s="43" t="s">
        <v>1622</v>
      </c>
      <c r="D565" s="43">
        <v>4203140</v>
      </c>
      <c r="E565" t="s">
        <v>109</v>
      </c>
      <c r="F565" s="47" t="str">
        <f>+Centro_Cuenta8[[#This Row],[Codigo Centro Gestion]]&amp;" - "&amp;Centro_Cuenta8[[#This Row],[Nombre Centro Gestion]]</f>
        <v>10206105 - Novena Avenida 2-Clientes</v>
      </c>
      <c r="G565" s="47" t="str">
        <f>+Centro_Cuenta8[[#This Row],[Código Cuenta Contable]]&amp;" - "&amp;Centro_Cuenta8[[#This Row],[Nombre de Cuenta Contable]]</f>
        <v>4203140 - Contribuciones</v>
      </c>
      <c r="H565" s="146" t="str">
        <f>+VLOOKUP(D565,'3. Cuentas'!A:F,6,0)</f>
        <v>SI</v>
      </c>
    </row>
    <row r="566" spans="1:8" x14ac:dyDescent="0.25">
      <c r="A566" s="43">
        <v>10206204</v>
      </c>
      <c r="B566" t="s">
        <v>921</v>
      </c>
      <c r="C566" s="43" t="s">
        <v>1624</v>
      </c>
      <c r="D566" s="43">
        <v>1103045</v>
      </c>
      <c r="E566" t="s">
        <v>323</v>
      </c>
      <c r="F566" s="47" t="str">
        <f>+Centro_Cuenta8[[#This Row],[Codigo Centro Gestion]]&amp;" - "&amp;Centro_Cuenta8[[#This Row],[Nombre Centro Gestion]]</f>
        <v>10206204 - Novena Avenida 2-Proyecto</v>
      </c>
      <c r="G566" s="47" t="str">
        <f>+Centro_Cuenta8[[#This Row],[Código Cuenta Contable]]&amp;" - "&amp;Centro_Cuenta8[[#This Row],[Nombre de Cuenta Contable]]</f>
        <v>1103045 - Aportes reembolsables (electricidad y agua)</v>
      </c>
      <c r="H566" s="146" t="str">
        <f>+VLOOKUP(D566,'3. Cuentas'!A:F,6,0)</f>
        <v>SI</v>
      </c>
    </row>
    <row r="567" spans="1:8" x14ac:dyDescent="0.25">
      <c r="A567" s="43">
        <v>10206204</v>
      </c>
      <c r="B567" t="s">
        <v>921</v>
      </c>
      <c r="C567" s="43" t="s">
        <v>1624</v>
      </c>
      <c r="D567" s="43">
        <v>1109020</v>
      </c>
      <c r="E567" t="s">
        <v>302</v>
      </c>
      <c r="F567" s="47" t="str">
        <f>+Centro_Cuenta8[[#This Row],[Codigo Centro Gestion]]&amp;" - "&amp;Centro_Cuenta8[[#This Row],[Nombre Centro Gestion]]</f>
        <v>10206204 - Novena Avenida 2-Proyecto</v>
      </c>
      <c r="G567" s="47" t="str">
        <f>+Centro_Cuenta8[[#This Row],[Código Cuenta Contable]]&amp;" - "&amp;Centro_Cuenta8[[#This Row],[Nombre de Cuenta Contable]]</f>
        <v>1109020 - Mobiliario</v>
      </c>
      <c r="H567" s="146" t="str">
        <f>+VLOOKUP(D567,'3. Cuentas'!A:F,6,0)</f>
        <v>SI</v>
      </c>
    </row>
    <row r="568" spans="1:8" x14ac:dyDescent="0.25">
      <c r="A568" s="43">
        <v>10206204</v>
      </c>
      <c r="B568" t="s">
        <v>921</v>
      </c>
      <c r="C568" s="43" t="s">
        <v>1624</v>
      </c>
      <c r="D568" s="43">
        <v>1110040</v>
      </c>
      <c r="E568" t="s">
        <v>1505</v>
      </c>
      <c r="F568" s="47" t="str">
        <f>+Centro_Cuenta8[[#This Row],[Codigo Centro Gestion]]&amp;" - "&amp;Centro_Cuenta8[[#This Row],[Nombre Centro Gestion]]</f>
        <v>10206204 - Novena Avenida 2-Proyecto</v>
      </c>
      <c r="G568" s="47" t="str">
        <f>+Centro_Cuenta8[[#This Row],[Código Cuenta Contable]]&amp;" - "&amp;Centro_Cuenta8[[#This Row],[Nombre de Cuenta Contable]]</f>
        <v>1110040 - Garantía Pagadas</v>
      </c>
      <c r="H568" s="146" t="str">
        <f>+VLOOKUP(D568,'3. Cuentas'!A:F,6,0)</f>
        <v>SI</v>
      </c>
    </row>
    <row r="569" spans="1:8" x14ac:dyDescent="0.25">
      <c r="A569" s="43">
        <v>10206204</v>
      </c>
      <c r="B569" t="s">
        <v>921</v>
      </c>
      <c r="C569" s="43" t="s">
        <v>1624</v>
      </c>
      <c r="D569" s="43">
        <v>1115040</v>
      </c>
      <c r="E569" t="s">
        <v>291</v>
      </c>
      <c r="F569" s="47" t="str">
        <f>+Centro_Cuenta8[[#This Row],[Codigo Centro Gestion]]&amp;" - "&amp;Centro_Cuenta8[[#This Row],[Nombre Centro Gestion]]</f>
        <v>10206204 - Novena Avenida 2-Proyecto</v>
      </c>
      <c r="G569" s="47" t="str">
        <f>+Centro_Cuenta8[[#This Row],[Código Cuenta Contable]]&amp;" - "&amp;Centro_Cuenta8[[#This Row],[Nombre de Cuenta Contable]]</f>
        <v>1115040 - Saneamiento De Terreno</v>
      </c>
      <c r="H569" s="146" t="str">
        <f>+VLOOKUP(D569,'3. Cuentas'!A:F,6,0)</f>
        <v>SI</v>
      </c>
    </row>
    <row r="570" spans="1:8" x14ac:dyDescent="0.25">
      <c r="A570" s="43">
        <v>10206204</v>
      </c>
      <c r="B570" t="s">
        <v>921</v>
      </c>
      <c r="C570" s="43" t="s">
        <v>1624</v>
      </c>
      <c r="D570" s="43">
        <v>1115050</v>
      </c>
      <c r="E570" t="s">
        <v>1628</v>
      </c>
      <c r="F570" s="47" t="str">
        <f>+Centro_Cuenta8[[#This Row],[Codigo Centro Gestion]]&amp;" - "&amp;Centro_Cuenta8[[#This Row],[Nombre Centro Gestion]]</f>
        <v>10206204 - Novena Avenida 2-Proyecto</v>
      </c>
      <c r="G570" s="47" t="str">
        <f>+Centro_Cuenta8[[#This Row],[Código Cuenta Contable]]&amp;" - "&amp;Centro_Cuenta8[[#This Row],[Nombre de Cuenta Contable]]</f>
        <v>1115050 - Demolición</v>
      </c>
      <c r="H570" s="146" t="str">
        <f>+VLOOKUP(D570,'3. Cuentas'!A:F,6,0)</f>
        <v>SI</v>
      </c>
    </row>
    <row r="571" spans="1:8" x14ac:dyDescent="0.25">
      <c r="A571" s="43">
        <v>10206204</v>
      </c>
      <c r="B571" t="s">
        <v>921</v>
      </c>
      <c r="C571" s="43" t="s">
        <v>1624</v>
      </c>
      <c r="D571" s="43">
        <v>1115100</v>
      </c>
      <c r="E571" t="s">
        <v>292</v>
      </c>
      <c r="F571" s="47" t="str">
        <f>+Centro_Cuenta8[[#This Row],[Codigo Centro Gestion]]&amp;" - "&amp;Centro_Cuenta8[[#This Row],[Nombre Centro Gestion]]</f>
        <v>10206204 - Novena Avenida 2-Proyecto</v>
      </c>
      <c r="G571" s="47" t="str">
        <f>+Centro_Cuenta8[[#This Row],[Código Cuenta Contable]]&amp;" - "&amp;Centro_Cuenta8[[#This Row],[Nombre de Cuenta Contable]]</f>
        <v>1115100 - Proyectos Y Especialidades</v>
      </c>
      <c r="H571" s="146" t="str">
        <f>+VLOOKUP(D571,'3. Cuentas'!A:F,6,0)</f>
        <v>SI</v>
      </c>
    </row>
    <row r="572" spans="1:8" x14ac:dyDescent="0.25">
      <c r="A572" s="43">
        <v>10206204</v>
      </c>
      <c r="B572" t="s">
        <v>921</v>
      </c>
      <c r="C572" s="43" t="s">
        <v>1624</v>
      </c>
      <c r="D572" s="43">
        <v>1115120</v>
      </c>
      <c r="E572" t="s">
        <v>1633</v>
      </c>
      <c r="F572" s="47" t="str">
        <f>+Centro_Cuenta8[[#This Row],[Codigo Centro Gestion]]&amp;" - "&amp;Centro_Cuenta8[[#This Row],[Nombre Centro Gestion]]</f>
        <v>10206204 - Novena Avenida 2-Proyecto</v>
      </c>
      <c r="G572" s="47" t="str">
        <f>+Centro_Cuenta8[[#This Row],[Código Cuenta Contable]]&amp;" - "&amp;Centro_Cuenta8[[#This Row],[Nombre de Cuenta Contable]]</f>
        <v>1115120 - Instalación Empalmes</v>
      </c>
      <c r="H572" s="146" t="str">
        <f>+VLOOKUP(D572,'3. Cuentas'!A:F,6,0)</f>
        <v>SI</v>
      </c>
    </row>
    <row r="573" spans="1:8" x14ac:dyDescent="0.25">
      <c r="A573" s="43">
        <v>10206204</v>
      </c>
      <c r="B573" t="s">
        <v>921</v>
      </c>
      <c r="C573" s="43" t="s">
        <v>1624</v>
      </c>
      <c r="D573" s="43">
        <v>1115170</v>
      </c>
      <c r="E573" t="s">
        <v>293</v>
      </c>
      <c r="F573" s="47" t="str">
        <f>+Centro_Cuenta8[[#This Row],[Codigo Centro Gestion]]&amp;" - "&amp;Centro_Cuenta8[[#This Row],[Nombre Centro Gestion]]</f>
        <v>10206204 - Novena Avenida 2-Proyecto</v>
      </c>
      <c r="G573" s="47" t="str">
        <f>+Centro_Cuenta8[[#This Row],[Código Cuenta Contable]]&amp;" - "&amp;Centro_Cuenta8[[#This Row],[Nombre de Cuenta Contable]]</f>
        <v>1115170 - Permisos Y Otros Gastos Municipales</v>
      </c>
      <c r="H573" s="146" t="str">
        <f>+VLOOKUP(D573,'3. Cuentas'!A:F,6,0)</f>
        <v>SI</v>
      </c>
    </row>
    <row r="574" spans="1:8" x14ac:dyDescent="0.25">
      <c r="A574" s="43">
        <v>10206204</v>
      </c>
      <c r="B574" t="s">
        <v>921</v>
      </c>
      <c r="C574" s="43" t="s">
        <v>1624</v>
      </c>
      <c r="D574" s="43">
        <v>1115240</v>
      </c>
      <c r="E574" t="s">
        <v>294</v>
      </c>
      <c r="F574" s="47" t="str">
        <f>+Centro_Cuenta8[[#This Row],[Codigo Centro Gestion]]&amp;" - "&amp;Centro_Cuenta8[[#This Row],[Nombre Centro Gestion]]</f>
        <v>10206204 - Novena Avenida 2-Proyecto</v>
      </c>
      <c r="G574" s="47" t="str">
        <f>+Centro_Cuenta8[[#This Row],[Código Cuenta Contable]]&amp;" - "&amp;Centro_Cuenta8[[#This Row],[Nombre de Cuenta Contable]]</f>
        <v>1115240 - Estudios Y Asesorias Técnicas</v>
      </c>
      <c r="H574" s="146" t="str">
        <f>+VLOOKUP(D574,'3. Cuentas'!A:F,6,0)</f>
        <v>SI</v>
      </c>
    </row>
    <row r="575" spans="1:8" x14ac:dyDescent="0.25">
      <c r="A575" s="43">
        <v>10206204</v>
      </c>
      <c r="B575" t="s">
        <v>921</v>
      </c>
      <c r="C575" s="43" t="s">
        <v>1624</v>
      </c>
      <c r="D575" s="43">
        <v>4203090</v>
      </c>
      <c r="E575" t="s">
        <v>192</v>
      </c>
      <c r="F575" s="47" t="str">
        <f>+Centro_Cuenta8[[#This Row],[Codigo Centro Gestion]]&amp;" - "&amp;Centro_Cuenta8[[#This Row],[Nombre Centro Gestion]]</f>
        <v>10206204 - Novena Avenida 2-Proyecto</v>
      </c>
      <c r="G575" s="47" t="str">
        <f>+Centro_Cuenta8[[#This Row],[Código Cuenta Contable]]&amp;" - "&amp;Centro_Cuenta8[[#This Row],[Nombre de Cuenta Contable]]</f>
        <v>4203090 - Gastos Legales Y Notariales Proyecto</v>
      </c>
      <c r="H575" s="146" t="str">
        <f>+VLOOKUP(D575,'3. Cuentas'!A:F,6,0)</f>
        <v>SI</v>
      </c>
    </row>
    <row r="576" spans="1:8" x14ac:dyDescent="0.25">
      <c r="A576" s="43">
        <v>10206204</v>
      </c>
      <c r="B576" t="s">
        <v>921</v>
      </c>
      <c r="C576" s="43" t="s">
        <v>1624</v>
      </c>
      <c r="D576" s="43">
        <v>4203140</v>
      </c>
      <c r="E576" t="s">
        <v>109</v>
      </c>
      <c r="F576" s="47" t="str">
        <f>+Centro_Cuenta8[[#This Row],[Codigo Centro Gestion]]&amp;" - "&amp;Centro_Cuenta8[[#This Row],[Nombre Centro Gestion]]</f>
        <v>10206204 - Novena Avenida 2-Proyecto</v>
      </c>
      <c r="G576" s="47" t="str">
        <f>+Centro_Cuenta8[[#This Row],[Código Cuenta Contable]]&amp;" - "&amp;Centro_Cuenta8[[#This Row],[Nombre de Cuenta Contable]]</f>
        <v>4203140 - Contribuciones</v>
      </c>
      <c r="H576" s="146" t="str">
        <f>+VLOOKUP(D576,'3. Cuentas'!A:F,6,0)</f>
        <v>SI</v>
      </c>
    </row>
    <row r="577" spans="1:8" x14ac:dyDescent="0.25">
      <c r="A577" s="43">
        <v>10206204</v>
      </c>
      <c r="B577" t="s">
        <v>921</v>
      </c>
      <c r="C577" s="43" t="s">
        <v>1624</v>
      </c>
      <c r="D577" s="43">
        <v>4203150</v>
      </c>
      <c r="E577" t="s">
        <v>156</v>
      </c>
      <c r="F577" s="47" t="str">
        <f>+Centro_Cuenta8[[#This Row],[Codigo Centro Gestion]]&amp;" - "&amp;Centro_Cuenta8[[#This Row],[Nombre Centro Gestion]]</f>
        <v>10206204 - Novena Avenida 2-Proyecto</v>
      </c>
      <c r="G577" s="47" t="str">
        <f>+Centro_Cuenta8[[#This Row],[Código Cuenta Contable]]&amp;" - "&amp;Centro_Cuenta8[[#This Row],[Nombre de Cuenta Contable]]</f>
        <v>4203150 - Gastos CBR</v>
      </c>
      <c r="H577" s="146" t="str">
        <f>+VLOOKUP(D577,'3. Cuentas'!A:F,6,0)</f>
        <v>SI</v>
      </c>
    </row>
    <row r="578" spans="1:8" x14ac:dyDescent="0.25">
      <c r="A578" s="43">
        <v>10206204</v>
      </c>
      <c r="B578" t="s">
        <v>921</v>
      </c>
      <c r="C578" s="43" t="s">
        <v>1624</v>
      </c>
      <c r="D578" s="43">
        <v>4203160</v>
      </c>
      <c r="E578" t="s">
        <v>1639</v>
      </c>
      <c r="F578" s="47" t="str">
        <f>+Centro_Cuenta8[[#This Row],[Codigo Centro Gestion]]&amp;" - "&amp;Centro_Cuenta8[[#This Row],[Nombre Centro Gestion]]</f>
        <v>10206204 - Novena Avenida 2-Proyecto</v>
      </c>
      <c r="G578" s="47" t="str">
        <f>+Centro_Cuenta8[[#This Row],[Código Cuenta Contable]]&amp;" - "&amp;Centro_Cuenta8[[#This Row],[Nombre de Cuenta Contable]]</f>
        <v>4203160 - PAPELERIA Y FOTOCOPIADO</v>
      </c>
      <c r="H578" s="146" t="str">
        <f>+VLOOKUP(D578,'3. Cuentas'!A:F,6,0)</f>
        <v>SI</v>
      </c>
    </row>
    <row r="579" spans="1:8" x14ac:dyDescent="0.25">
      <c r="A579" s="43">
        <v>10206204</v>
      </c>
      <c r="B579" t="s">
        <v>921</v>
      </c>
      <c r="C579" s="43" t="s">
        <v>1624</v>
      </c>
      <c r="D579" s="43">
        <v>4203180</v>
      </c>
      <c r="E579" t="s">
        <v>1640</v>
      </c>
      <c r="F579" s="47" t="str">
        <f>+Centro_Cuenta8[[#This Row],[Codigo Centro Gestion]]&amp;" - "&amp;Centro_Cuenta8[[#This Row],[Nombre Centro Gestion]]</f>
        <v>10206204 - Novena Avenida 2-Proyecto</v>
      </c>
      <c r="G579" s="47" t="str">
        <f>+Centro_Cuenta8[[#This Row],[Código Cuenta Contable]]&amp;" - "&amp;Centro_Cuenta8[[#This Row],[Nombre de Cuenta Contable]]</f>
        <v>4203180 - Otros Gastos y Aseso Proy</v>
      </c>
      <c r="H579" s="146" t="str">
        <f>+VLOOKUP(D579,'3. Cuentas'!A:F,6,0)</f>
        <v>SI</v>
      </c>
    </row>
    <row r="580" spans="1:8" x14ac:dyDescent="0.25">
      <c r="A580" s="43">
        <v>10206301</v>
      </c>
      <c r="B580" t="s">
        <v>922</v>
      </c>
      <c r="C580" s="43" t="s">
        <v>1643</v>
      </c>
      <c r="D580" s="43">
        <v>4203090</v>
      </c>
      <c r="E580" t="s">
        <v>192</v>
      </c>
      <c r="F580" s="47" t="str">
        <f>+Centro_Cuenta8[[#This Row],[Codigo Centro Gestion]]&amp;" - "&amp;Centro_Cuenta8[[#This Row],[Nombre Centro Gestion]]</f>
        <v>10206301 - Novena Avenida 2-GAF</v>
      </c>
      <c r="G580" s="47" t="str">
        <f>+Centro_Cuenta8[[#This Row],[Código Cuenta Contable]]&amp;" - "&amp;Centro_Cuenta8[[#This Row],[Nombre de Cuenta Contable]]</f>
        <v>4203090 - Gastos Legales Y Notariales Proyecto</v>
      </c>
      <c r="H580" s="146" t="str">
        <f>+VLOOKUP(D580,'3. Cuentas'!A:F,6,0)</f>
        <v>SI</v>
      </c>
    </row>
    <row r="581" spans="1:8" x14ac:dyDescent="0.25">
      <c r="A581" s="43">
        <v>10206301</v>
      </c>
      <c r="B581" t="s">
        <v>922</v>
      </c>
      <c r="C581" s="43" t="s">
        <v>1643</v>
      </c>
      <c r="D581" s="43">
        <v>4203140</v>
      </c>
      <c r="E581" t="s">
        <v>109</v>
      </c>
      <c r="F581" s="47" t="str">
        <f>+Centro_Cuenta8[[#This Row],[Codigo Centro Gestion]]&amp;" - "&amp;Centro_Cuenta8[[#This Row],[Nombre Centro Gestion]]</f>
        <v>10206301 - Novena Avenida 2-GAF</v>
      </c>
      <c r="G581" s="47" t="str">
        <f>+Centro_Cuenta8[[#This Row],[Código Cuenta Contable]]&amp;" - "&amp;Centro_Cuenta8[[#This Row],[Nombre de Cuenta Contable]]</f>
        <v>4203140 - Contribuciones</v>
      </c>
      <c r="H581" s="146" t="str">
        <f>+VLOOKUP(D581,'3. Cuentas'!A:F,6,0)</f>
        <v>SI</v>
      </c>
    </row>
    <row r="582" spans="1:8" x14ac:dyDescent="0.25">
      <c r="A582" s="43">
        <v>10206506</v>
      </c>
      <c r="B582" t="s">
        <v>924</v>
      </c>
      <c r="C582" s="43" t="s">
        <v>200</v>
      </c>
      <c r="D582" s="43">
        <v>1115100</v>
      </c>
      <c r="E582" t="s">
        <v>292</v>
      </c>
      <c r="F582" s="47" t="str">
        <f>+Centro_Cuenta8[[#This Row],[Codigo Centro Gestion]]&amp;" - "&amp;Centro_Cuenta8[[#This Row],[Nombre Centro Gestion]]</f>
        <v>10206506 - Novena Avenida 2-Depto.Técnico</v>
      </c>
      <c r="G582" s="47" t="str">
        <f>+Centro_Cuenta8[[#This Row],[Código Cuenta Contable]]&amp;" - "&amp;Centro_Cuenta8[[#This Row],[Nombre de Cuenta Contable]]</f>
        <v>1115100 - Proyectos Y Especialidades</v>
      </c>
      <c r="H582" s="146" t="str">
        <f>+VLOOKUP(D582,'3. Cuentas'!A:F,6,0)</f>
        <v>SI</v>
      </c>
    </row>
    <row r="583" spans="1:8" x14ac:dyDescent="0.25">
      <c r="A583" s="43">
        <v>10207</v>
      </c>
      <c r="B583" t="s">
        <v>709</v>
      </c>
      <c r="C583" s="43" t="s">
        <v>1518</v>
      </c>
      <c r="D583" s="43">
        <v>4202003</v>
      </c>
      <c r="E583" t="s">
        <v>106</v>
      </c>
      <c r="F583" s="47" t="str">
        <f>+Centro_Cuenta8[[#This Row],[Codigo Centro Gestion]]&amp;" - "&amp;Centro_Cuenta8[[#This Row],[Nombre Centro Gestion]]</f>
        <v>10207 - DEPTO PROYECTOS ZONAL NORTE 2 (NO VIGENTE)</v>
      </c>
      <c r="G583" s="47" t="str">
        <f>+Centro_Cuenta8[[#This Row],[Código Cuenta Contable]]&amp;" - "&amp;Centro_Cuenta8[[#This Row],[Nombre de Cuenta Contable]]</f>
        <v>4202003 - Serv.Basic.Luz.Agua.Tel Of.C</v>
      </c>
      <c r="H583" s="146" t="str">
        <f>+VLOOKUP(D583,'3. Cuentas'!A:F,6,0)</f>
        <v>SI</v>
      </c>
    </row>
    <row r="584" spans="1:8" x14ac:dyDescent="0.25">
      <c r="A584" s="43">
        <v>10207</v>
      </c>
      <c r="B584" t="s">
        <v>709</v>
      </c>
      <c r="C584" s="43" t="s">
        <v>1518</v>
      </c>
      <c r="D584" s="43">
        <v>4202019</v>
      </c>
      <c r="E584" t="s">
        <v>81</v>
      </c>
      <c r="F584" s="47" t="str">
        <f>+Centro_Cuenta8[[#This Row],[Codigo Centro Gestion]]&amp;" - "&amp;Centro_Cuenta8[[#This Row],[Nombre Centro Gestion]]</f>
        <v>10207 - DEPTO PROYECTOS ZONAL NORTE 2 (NO VIGENTE)</v>
      </c>
      <c r="G584" s="47" t="str">
        <f>+Centro_Cuenta8[[#This Row],[Código Cuenta Contable]]&amp;" - "&amp;Centro_Cuenta8[[#This Row],[Nombre de Cuenta Contable]]</f>
        <v>4202019 - Gasto General Oficina</v>
      </c>
      <c r="H584" s="146" t="str">
        <f>+VLOOKUP(D584,'3. Cuentas'!A:F,6,0)</f>
        <v>SI</v>
      </c>
    </row>
    <row r="585" spans="1:8" x14ac:dyDescent="0.25">
      <c r="A585" s="43">
        <v>10207102</v>
      </c>
      <c r="B585" t="s">
        <v>926</v>
      </c>
      <c r="C585" s="43" t="s">
        <v>1617</v>
      </c>
      <c r="D585" s="43">
        <v>4204010</v>
      </c>
      <c r="E585" t="s">
        <v>313</v>
      </c>
      <c r="F585" s="47" t="str">
        <f>+Centro_Cuenta8[[#This Row],[Codigo Centro Gestion]]&amp;" - "&amp;Centro_Cuenta8[[#This Row],[Nombre Centro Gestion]]</f>
        <v>10207102 - Edificio Fuenzalida Urrejola 125-Marketing</v>
      </c>
      <c r="G585" s="47" t="str">
        <f>+Centro_Cuenta8[[#This Row],[Código Cuenta Contable]]&amp;" - "&amp;Centro_Cuenta8[[#This Row],[Nombre de Cuenta Contable]]</f>
        <v>4204010 - Publicidad Punto Venta</v>
      </c>
      <c r="H585" s="146" t="str">
        <f>+VLOOKUP(D585,'3. Cuentas'!A:F,6,0)</f>
        <v>SI</v>
      </c>
    </row>
    <row r="586" spans="1:8" x14ac:dyDescent="0.25">
      <c r="A586" s="43">
        <v>10207102</v>
      </c>
      <c r="B586" t="s">
        <v>926</v>
      </c>
      <c r="C586" s="43" t="s">
        <v>1617</v>
      </c>
      <c r="D586" s="43">
        <v>4204021</v>
      </c>
      <c r="E586" t="s">
        <v>329</v>
      </c>
      <c r="F586" s="47" t="str">
        <f>+Centro_Cuenta8[[#This Row],[Codigo Centro Gestion]]&amp;" - "&amp;Centro_Cuenta8[[#This Row],[Nombre Centro Gestion]]</f>
        <v>10207102 - Edificio Fuenzalida Urrejola 125-Marketing</v>
      </c>
      <c r="G586" s="47" t="str">
        <f>+Centro_Cuenta8[[#This Row],[Código Cuenta Contable]]&amp;" - "&amp;Centro_Cuenta8[[#This Row],[Nombre de Cuenta Contable]]</f>
        <v>4204021 - Publicidad Ferias Y Eventos</v>
      </c>
      <c r="H586" s="146" t="str">
        <f>+VLOOKUP(D586,'3. Cuentas'!A:F,6,0)</f>
        <v>SI</v>
      </c>
    </row>
    <row r="587" spans="1:8" x14ac:dyDescent="0.25">
      <c r="A587" s="43">
        <v>10207103</v>
      </c>
      <c r="B587" t="s">
        <v>927</v>
      </c>
      <c r="C587" s="43" t="s">
        <v>1618</v>
      </c>
      <c r="D587" s="43">
        <v>4203060</v>
      </c>
      <c r="E587" t="s">
        <v>321</v>
      </c>
      <c r="F587" s="47" t="str">
        <f>+Centro_Cuenta8[[#This Row],[Codigo Centro Gestion]]&amp;" - "&amp;Centro_Cuenta8[[#This Row],[Nombre Centro Gestion]]</f>
        <v>10207103 - Edificio Fuenzalida Urrejola 125-Operaciones</v>
      </c>
      <c r="G587" s="47" t="str">
        <f>+Centro_Cuenta8[[#This Row],[Código Cuenta Contable]]&amp;" - "&amp;Centro_Cuenta8[[#This Row],[Nombre de Cuenta Contable]]</f>
        <v>4203060 - Gastos Operacionales De Clientes</v>
      </c>
      <c r="H587" s="146" t="str">
        <f>+VLOOKUP(D587,'3. Cuentas'!A:F,6,0)</f>
        <v>SI</v>
      </c>
    </row>
    <row r="588" spans="1:8" x14ac:dyDescent="0.25">
      <c r="A588" s="43">
        <v>10207103</v>
      </c>
      <c r="B588" t="s">
        <v>927</v>
      </c>
      <c r="C588" s="43" t="s">
        <v>1618</v>
      </c>
      <c r="D588" s="43">
        <v>4203090</v>
      </c>
      <c r="E588" t="s">
        <v>192</v>
      </c>
      <c r="F588" s="47" t="str">
        <f>+Centro_Cuenta8[[#This Row],[Codigo Centro Gestion]]&amp;" - "&amp;Centro_Cuenta8[[#This Row],[Nombre Centro Gestion]]</f>
        <v>10207103 - Edificio Fuenzalida Urrejola 125-Operaciones</v>
      </c>
      <c r="G588" s="47" t="str">
        <f>+Centro_Cuenta8[[#This Row],[Código Cuenta Contable]]&amp;" - "&amp;Centro_Cuenta8[[#This Row],[Nombre de Cuenta Contable]]</f>
        <v>4203090 - Gastos Legales Y Notariales Proyecto</v>
      </c>
      <c r="H588" s="146" t="str">
        <f>+VLOOKUP(D588,'3. Cuentas'!A:F,6,0)</f>
        <v>SI</v>
      </c>
    </row>
    <row r="589" spans="1:8" x14ac:dyDescent="0.25">
      <c r="A589" s="43">
        <v>10207104</v>
      </c>
      <c r="B589" t="s">
        <v>928</v>
      </c>
      <c r="C589" s="43" t="s">
        <v>90</v>
      </c>
      <c r="D589" s="43">
        <v>1110040</v>
      </c>
      <c r="E589" t="s">
        <v>1505</v>
      </c>
      <c r="F589" s="47" t="str">
        <f>+Centro_Cuenta8[[#This Row],[Codigo Centro Gestion]]&amp;" - "&amp;Centro_Cuenta8[[#This Row],[Nombre Centro Gestion]]</f>
        <v>10207104 - Edificio Fuenzalida Urrejola 125-Ventas</v>
      </c>
      <c r="G589" s="47" t="str">
        <f>+Centro_Cuenta8[[#This Row],[Código Cuenta Contable]]&amp;" - "&amp;Centro_Cuenta8[[#This Row],[Nombre de Cuenta Contable]]</f>
        <v>1110040 - Garantía Pagadas</v>
      </c>
      <c r="H589" s="146" t="str">
        <f>+VLOOKUP(D589,'3. Cuentas'!A:F,6,0)</f>
        <v>SI</v>
      </c>
    </row>
    <row r="590" spans="1:8" x14ac:dyDescent="0.25">
      <c r="A590" s="43">
        <v>10207104</v>
      </c>
      <c r="B590" t="s">
        <v>928</v>
      </c>
      <c r="C590" s="43" t="s">
        <v>90</v>
      </c>
      <c r="D590" s="43">
        <v>4202003</v>
      </c>
      <c r="E590" t="s">
        <v>106</v>
      </c>
      <c r="F590" s="47" t="str">
        <f>+Centro_Cuenta8[[#This Row],[Codigo Centro Gestion]]&amp;" - "&amp;Centro_Cuenta8[[#This Row],[Nombre Centro Gestion]]</f>
        <v>10207104 - Edificio Fuenzalida Urrejola 125-Ventas</v>
      </c>
      <c r="G590" s="47" t="str">
        <f>+Centro_Cuenta8[[#This Row],[Código Cuenta Contable]]&amp;" - "&amp;Centro_Cuenta8[[#This Row],[Nombre de Cuenta Contable]]</f>
        <v>4202003 - Serv.Basic.Luz.Agua.Tel Of.C</v>
      </c>
      <c r="H590" s="146" t="str">
        <f>+VLOOKUP(D590,'3. Cuentas'!A:F,6,0)</f>
        <v>SI</v>
      </c>
    </row>
    <row r="591" spans="1:8" x14ac:dyDescent="0.25">
      <c r="A591" s="43">
        <v>10207104</v>
      </c>
      <c r="B591" t="s">
        <v>928</v>
      </c>
      <c r="C591" s="43" t="s">
        <v>90</v>
      </c>
      <c r="D591" s="43">
        <v>4202010</v>
      </c>
      <c r="E591" t="s">
        <v>87</v>
      </c>
      <c r="F591" s="47" t="str">
        <f>+Centro_Cuenta8[[#This Row],[Codigo Centro Gestion]]&amp;" - "&amp;Centro_Cuenta8[[#This Row],[Nombre Centro Gestion]]</f>
        <v>10207104 - Edificio Fuenzalida Urrejola 125-Ventas</v>
      </c>
      <c r="G591" s="47" t="str">
        <f>+Centro_Cuenta8[[#This Row],[Código Cuenta Contable]]&amp;" - "&amp;Centro_Cuenta8[[#This Row],[Nombre de Cuenta Contable]]</f>
        <v>4202010 - Artic. Ofic. Fotocop.Papelería</v>
      </c>
      <c r="H591" s="146" t="str">
        <f>+VLOOKUP(D591,'3. Cuentas'!A:F,6,0)</f>
        <v>SI</v>
      </c>
    </row>
    <row r="592" spans="1:8" x14ac:dyDescent="0.25">
      <c r="A592" s="43">
        <v>10207104</v>
      </c>
      <c r="B592" t="s">
        <v>928</v>
      </c>
      <c r="C592" s="43" t="s">
        <v>90</v>
      </c>
      <c r="D592" s="43">
        <v>4202019</v>
      </c>
      <c r="E592" t="s">
        <v>81</v>
      </c>
      <c r="F592" s="47" t="str">
        <f>+Centro_Cuenta8[[#This Row],[Codigo Centro Gestion]]&amp;" - "&amp;Centro_Cuenta8[[#This Row],[Nombre Centro Gestion]]</f>
        <v>10207104 - Edificio Fuenzalida Urrejola 125-Ventas</v>
      </c>
      <c r="G592" s="47" t="str">
        <f>+Centro_Cuenta8[[#This Row],[Código Cuenta Contable]]&amp;" - "&amp;Centro_Cuenta8[[#This Row],[Nombre de Cuenta Contable]]</f>
        <v>4202019 - Gasto General Oficina</v>
      </c>
      <c r="H592" s="146" t="str">
        <f>+VLOOKUP(D592,'3. Cuentas'!A:F,6,0)</f>
        <v>SI</v>
      </c>
    </row>
    <row r="593" spans="1:8" x14ac:dyDescent="0.25">
      <c r="A593" s="43">
        <v>10207104</v>
      </c>
      <c r="B593" t="s">
        <v>928</v>
      </c>
      <c r="C593" s="43" t="s">
        <v>90</v>
      </c>
      <c r="D593" s="43">
        <v>4202023</v>
      </c>
      <c r="E593" t="s">
        <v>82</v>
      </c>
      <c r="F593" s="47" t="str">
        <f>+Centro_Cuenta8[[#This Row],[Codigo Centro Gestion]]&amp;" - "&amp;Centro_Cuenta8[[#This Row],[Nombre Centro Gestion]]</f>
        <v>10207104 - Edificio Fuenzalida Urrejola 125-Ventas</v>
      </c>
      <c r="G593" s="47" t="str">
        <f>+Centro_Cuenta8[[#This Row],[Código Cuenta Contable]]&amp;" - "&amp;Centro_Cuenta8[[#This Row],[Nombre de Cuenta Contable]]</f>
        <v>4202023 - Honorarios Por Asesorías</v>
      </c>
      <c r="H593" s="146" t="str">
        <f>+VLOOKUP(D593,'3. Cuentas'!A:F,6,0)</f>
        <v>SI</v>
      </c>
    </row>
    <row r="594" spans="1:8" x14ac:dyDescent="0.25">
      <c r="A594" s="43">
        <v>10207104</v>
      </c>
      <c r="B594" t="s">
        <v>928</v>
      </c>
      <c r="C594" s="43" t="s">
        <v>90</v>
      </c>
      <c r="D594" s="43">
        <v>4202029</v>
      </c>
      <c r="E594" t="s">
        <v>83</v>
      </c>
      <c r="F594" s="47" t="str">
        <f>+Centro_Cuenta8[[#This Row],[Codigo Centro Gestion]]&amp;" - "&amp;Centro_Cuenta8[[#This Row],[Nombre Centro Gestion]]</f>
        <v>10207104 - Edificio Fuenzalida Urrejola 125-Ventas</v>
      </c>
      <c r="G594" s="47" t="str">
        <f>+Centro_Cuenta8[[#This Row],[Código Cuenta Contable]]&amp;" - "&amp;Centro_Cuenta8[[#This Row],[Nombre de Cuenta Contable]]</f>
        <v>4202029 - Insumos Y Gastos Informáticos</v>
      </c>
      <c r="H594" s="146" t="str">
        <f>+VLOOKUP(D594,'3. Cuentas'!A:F,6,0)</f>
        <v>SI</v>
      </c>
    </row>
    <row r="595" spans="1:8" x14ac:dyDescent="0.25">
      <c r="A595" s="43">
        <v>10207104</v>
      </c>
      <c r="B595" t="s">
        <v>928</v>
      </c>
      <c r="C595" s="43" t="s">
        <v>90</v>
      </c>
      <c r="D595" s="43">
        <v>4204021</v>
      </c>
      <c r="E595" t="s">
        <v>329</v>
      </c>
      <c r="F595" s="47" t="str">
        <f>+Centro_Cuenta8[[#This Row],[Codigo Centro Gestion]]&amp;" - "&amp;Centro_Cuenta8[[#This Row],[Nombre Centro Gestion]]</f>
        <v>10207104 - Edificio Fuenzalida Urrejola 125-Ventas</v>
      </c>
      <c r="G595" s="47" t="str">
        <f>+Centro_Cuenta8[[#This Row],[Código Cuenta Contable]]&amp;" - "&amp;Centro_Cuenta8[[#This Row],[Nombre de Cuenta Contable]]</f>
        <v>4204021 - Publicidad Ferias Y Eventos</v>
      </c>
      <c r="H595" s="146" t="str">
        <f>+VLOOKUP(D595,'3. Cuentas'!A:F,6,0)</f>
        <v>SI</v>
      </c>
    </row>
    <row r="596" spans="1:8" x14ac:dyDescent="0.25">
      <c r="A596" s="43">
        <v>10207105</v>
      </c>
      <c r="B596" t="s">
        <v>929</v>
      </c>
      <c r="C596" s="43" t="s">
        <v>1622</v>
      </c>
      <c r="D596" s="43">
        <v>4203020</v>
      </c>
      <c r="E596" t="s">
        <v>295</v>
      </c>
      <c r="F596" s="47" t="str">
        <f>+Centro_Cuenta8[[#This Row],[Codigo Centro Gestion]]&amp;" - "&amp;Centro_Cuenta8[[#This Row],[Nombre Centro Gestion]]</f>
        <v>10207105 - Edificio Fuenzalida Urrejola 125-Clientes</v>
      </c>
      <c r="G596" s="47" t="str">
        <f>+Centro_Cuenta8[[#This Row],[Código Cuenta Contable]]&amp;" - "&amp;Centro_Cuenta8[[#This Row],[Nombre de Cuenta Contable]]</f>
        <v>4203020 - Mant. y Consum. Viv Stock</v>
      </c>
      <c r="H596" s="146" t="str">
        <f>+VLOOKUP(D596,'3. Cuentas'!A:F,6,0)</f>
        <v>SI</v>
      </c>
    </row>
    <row r="597" spans="1:8" x14ac:dyDescent="0.25">
      <c r="A597" s="43">
        <v>10207105</v>
      </c>
      <c r="B597" t="s">
        <v>929</v>
      </c>
      <c r="C597" s="43" t="s">
        <v>1622</v>
      </c>
      <c r="D597" s="43">
        <v>4203120</v>
      </c>
      <c r="E597" t="s">
        <v>108</v>
      </c>
      <c r="F597" s="47" t="str">
        <f>+Centro_Cuenta8[[#This Row],[Codigo Centro Gestion]]&amp;" - "&amp;Centro_Cuenta8[[#This Row],[Nombre Centro Gestion]]</f>
        <v>10207105 - Edificio Fuenzalida Urrejola 125-Clientes</v>
      </c>
      <c r="G597" s="47" t="str">
        <f>+Centro_Cuenta8[[#This Row],[Código Cuenta Contable]]&amp;" - "&amp;Centro_Cuenta8[[#This Row],[Nombre de Cuenta Contable]]</f>
        <v>4203120 - Gastos Comunes</v>
      </c>
      <c r="H597" s="146" t="str">
        <f>+VLOOKUP(D597,'3. Cuentas'!A:F,6,0)</f>
        <v>SI</v>
      </c>
    </row>
    <row r="598" spans="1:8" x14ac:dyDescent="0.25">
      <c r="A598" s="43">
        <v>10207105</v>
      </c>
      <c r="B598" t="s">
        <v>929</v>
      </c>
      <c r="C598" s="43" t="s">
        <v>1622</v>
      </c>
      <c r="D598" s="43">
        <v>4203140</v>
      </c>
      <c r="E598" t="s">
        <v>109</v>
      </c>
      <c r="F598" s="47" t="str">
        <f>+Centro_Cuenta8[[#This Row],[Codigo Centro Gestion]]&amp;" - "&amp;Centro_Cuenta8[[#This Row],[Nombre Centro Gestion]]</f>
        <v>10207105 - Edificio Fuenzalida Urrejola 125-Clientes</v>
      </c>
      <c r="G598" s="47" t="str">
        <f>+Centro_Cuenta8[[#This Row],[Código Cuenta Contable]]&amp;" - "&amp;Centro_Cuenta8[[#This Row],[Nombre de Cuenta Contable]]</f>
        <v>4203140 - Contribuciones</v>
      </c>
      <c r="H598" s="146" t="str">
        <f>+VLOOKUP(D598,'3. Cuentas'!A:F,6,0)</f>
        <v>SI</v>
      </c>
    </row>
    <row r="599" spans="1:8" x14ac:dyDescent="0.25">
      <c r="A599" s="43">
        <v>10207204</v>
      </c>
      <c r="B599" t="s">
        <v>930</v>
      </c>
      <c r="C599" s="43" t="s">
        <v>1624</v>
      </c>
      <c r="D599" s="43">
        <v>1103045</v>
      </c>
      <c r="E599" t="s">
        <v>323</v>
      </c>
      <c r="F599" s="47" t="str">
        <f>+Centro_Cuenta8[[#This Row],[Codigo Centro Gestion]]&amp;" - "&amp;Centro_Cuenta8[[#This Row],[Nombre Centro Gestion]]</f>
        <v>10207204 - Edificio Fuenzalida Urrejola 125-Proyecto</v>
      </c>
      <c r="G599" s="47" t="str">
        <f>+Centro_Cuenta8[[#This Row],[Código Cuenta Contable]]&amp;" - "&amp;Centro_Cuenta8[[#This Row],[Nombre de Cuenta Contable]]</f>
        <v>1103045 - Aportes reembolsables (electricidad y agua)</v>
      </c>
      <c r="H599" s="146" t="str">
        <f>+VLOOKUP(D599,'3. Cuentas'!A:F,6,0)</f>
        <v>SI</v>
      </c>
    </row>
    <row r="600" spans="1:8" x14ac:dyDescent="0.25">
      <c r="A600" s="43">
        <v>10207204</v>
      </c>
      <c r="B600" t="s">
        <v>930</v>
      </c>
      <c r="C600" s="43" t="s">
        <v>1624</v>
      </c>
      <c r="D600" s="43">
        <v>1109020</v>
      </c>
      <c r="E600" t="s">
        <v>302</v>
      </c>
      <c r="F600" s="47" t="str">
        <f>+Centro_Cuenta8[[#This Row],[Codigo Centro Gestion]]&amp;" - "&amp;Centro_Cuenta8[[#This Row],[Nombre Centro Gestion]]</f>
        <v>10207204 - Edificio Fuenzalida Urrejola 125-Proyecto</v>
      </c>
      <c r="G600" s="47" t="str">
        <f>+Centro_Cuenta8[[#This Row],[Código Cuenta Contable]]&amp;" - "&amp;Centro_Cuenta8[[#This Row],[Nombre de Cuenta Contable]]</f>
        <v>1109020 - Mobiliario</v>
      </c>
      <c r="H600" s="146" t="str">
        <f>+VLOOKUP(D600,'3. Cuentas'!A:F,6,0)</f>
        <v>SI</v>
      </c>
    </row>
    <row r="601" spans="1:8" x14ac:dyDescent="0.25">
      <c r="A601" s="43">
        <v>10207204</v>
      </c>
      <c r="B601" t="s">
        <v>930</v>
      </c>
      <c r="C601" s="43" t="s">
        <v>1624</v>
      </c>
      <c r="D601" s="43">
        <v>1110040</v>
      </c>
      <c r="E601" t="s">
        <v>1505</v>
      </c>
      <c r="F601" s="47" t="str">
        <f>+Centro_Cuenta8[[#This Row],[Codigo Centro Gestion]]&amp;" - "&amp;Centro_Cuenta8[[#This Row],[Nombre Centro Gestion]]</f>
        <v>10207204 - Edificio Fuenzalida Urrejola 125-Proyecto</v>
      </c>
      <c r="G601" s="47" t="str">
        <f>+Centro_Cuenta8[[#This Row],[Código Cuenta Contable]]&amp;" - "&amp;Centro_Cuenta8[[#This Row],[Nombre de Cuenta Contable]]</f>
        <v>1110040 - Garantía Pagadas</v>
      </c>
      <c r="H601" s="146" t="str">
        <f>+VLOOKUP(D601,'3. Cuentas'!A:F,6,0)</f>
        <v>SI</v>
      </c>
    </row>
    <row r="602" spans="1:8" x14ac:dyDescent="0.25">
      <c r="A602" s="43">
        <v>10207204</v>
      </c>
      <c r="B602" t="s">
        <v>930</v>
      </c>
      <c r="C602" s="43" t="s">
        <v>1624</v>
      </c>
      <c r="D602" s="43">
        <v>1115040</v>
      </c>
      <c r="E602" t="s">
        <v>291</v>
      </c>
      <c r="F602" s="47" t="str">
        <f>+Centro_Cuenta8[[#This Row],[Codigo Centro Gestion]]&amp;" - "&amp;Centro_Cuenta8[[#This Row],[Nombre Centro Gestion]]</f>
        <v>10207204 - Edificio Fuenzalida Urrejola 125-Proyecto</v>
      </c>
      <c r="G602" s="47" t="str">
        <f>+Centro_Cuenta8[[#This Row],[Código Cuenta Contable]]&amp;" - "&amp;Centro_Cuenta8[[#This Row],[Nombre de Cuenta Contable]]</f>
        <v>1115040 - Saneamiento De Terreno</v>
      </c>
      <c r="H602" s="146" t="str">
        <f>+VLOOKUP(D602,'3. Cuentas'!A:F,6,0)</f>
        <v>SI</v>
      </c>
    </row>
    <row r="603" spans="1:8" x14ac:dyDescent="0.25">
      <c r="A603" s="43">
        <v>10207204</v>
      </c>
      <c r="B603" t="s">
        <v>930</v>
      </c>
      <c r="C603" s="43" t="s">
        <v>1624</v>
      </c>
      <c r="D603" s="43">
        <v>1115050</v>
      </c>
      <c r="E603" t="s">
        <v>1628</v>
      </c>
      <c r="F603" s="47" t="str">
        <f>+Centro_Cuenta8[[#This Row],[Codigo Centro Gestion]]&amp;" - "&amp;Centro_Cuenta8[[#This Row],[Nombre Centro Gestion]]</f>
        <v>10207204 - Edificio Fuenzalida Urrejola 125-Proyecto</v>
      </c>
      <c r="G603" s="47" t="str">
        <f>+Centro_Cuenta8[[#This Row],[Código Cuenta Contable]]&amp;" - "&amp;Centro_Cuenta8[[#This Row],[Nombre de Cuenta Contable]]</f>
        <v>1115050 - Demolición</v>
      </c>
      <c r="H603" s="146" t="str">
        <f>+VLOOKUP(D603,'3. Cuentas'!A:F,6,0)</f>
        <v>SI</v>
      </c>
    </row>
    <row r="604" spans="1:8" x14ac:dyDescent="0.25">
      <c r="A604" s="43">
        <v>10207204</v>
      </c>
      <c r="B604" t="s">
        <v>930</v>
      </c>
      <c r="C604" s="43" t="s">
        <v>1624</v>
      </c>
      <c r="D604" s="43">
        <v>1115100</v>
      </c>
      <c r="E604" t="s">
        <v>292</v>
      </c>
      <c r="F604" s="47" t="str">
        <f>+Centro_Cuenta8[[#This Row],[Codigo Centro Gestion]]&amp;" - "&amp;Centro_Cuenta8[[#This Row],[Nombre Centro Gestion]]</f>
        <v>10207204 - Edificio Fuenzalida Urrejola 125-Proyecto</v>
      </c>
      <c r="G604" s="47" t="str">
        <f>+Centro_Cuenta8[[#This Row],[Código Cuenta Contable]]&amp;" - "&amp;Centro_Cuenta8[[#This Row],[Nombre de Cuenta Contable]]</f>
        <v>1115100 - Proyectos Y Especialidades</v>
      </c>
      <c r="H604" s="146" t="str">
        <f>+VLOOKUP(D604,'3. Cuentas'!A:F,6,0)</f>
        <v>SI</v>
      </c>
    </row>
    <row r="605" spans="1:8" x14ac:dyDescent="0.25">
      <c r="A605" s="43">
        <v>10207204</v>
      </c>
      <c r="B605" t="s">
        <v>930</v>
      </c>
      <c r="C605" s="43" t="s">
        <v>1624</v>
      </c>
      <c r="D605" s="43">
        <v>1115120</v>
      </c>
      <c r="E605" t="s">
        <v>1633</v>
      </c>
      <c r="F605" s="47" t="str">
        <f>+Centro_Cuenta8[[#This Row],[Codigo Centro Gestion]]&amp;" - "&amp;Centro_Cuenta8[[#This Row],[Nombre Centro Gestion]]</f>
        <v>10207204 - Edificio Fuenzalida Urrejola 125-Proyecto</v>
      </c>
      <c r="G605" s="47" t="str">
        <f>+Centro_Cuenta8[[#This Row],[Código Cuenta Contable]]&amp;" - "&amp;Centro_Cuenta8[[#This Row],[Nombre de Cuenta Contable]]</f>
        <v>1115120 - Instalación Empalmes</v>
      </c>
      <c r="H605" s="146" t="str">
        <f>+VLOOKUP(D605,'3. Cuentas'!A:F,6,0)</f>
        <v>SI</v>
      </c>
    </row>
    <row r="606" spans="1:8" x14ac:dyDescent="0.25">
      <c r="A606" s="43">
        <v>10207204</v>
      </c>
      <c r="B606" t="s">
        <v>930</v>
      </c>
      <c r="C606" s="43" t="s">
        <v>1624</v>
      </c>
      <c r="D606" s="43">
        <v>1115170</v>
      </c>
      <c r="E606" t="s">
        <v>293</v>
      </c>
      <c r="F606" s="47" t="str">
        <f>+Centro_Cuenta8[[#This Row],[Codigo Centro Gestion]]&amp;" - "&amp;Centro_Cuenta8[[#This Row],[Nombre Centro Gestion]]</f>
        <v>10207204 - Edificio Fuenzalida Urrejola 125-Proyecto</v>
      </c>
      <c r="G606" s="47" t="str">
        <f>+Centro_Cuenta8[[#This Row],[Código Cuenta Contable]]&amp;" - "&amp;Centro_Cuenta8[[#This Row],[Nombre de Cuenta Contable]]</f>
        <v>1115170 - Permisos Y Otros Gastos Municipales</v>
      </c>
      <c r="H606" s="146" t="str">
        <f>+VLOOKUP(D606,'3. Cuentas'!A:F,6,0)</f>
        <v>SI</v>
      </c>
    </row>
    <row r="607" spans="1:8" x14ac:dyDescent="0.25">
      <c r="A607" s="43">
        <v>10207204</v>
      </c>
      <c r="B607" t="s">
        <v>930</v>
      </c>
      <c r="C607" s="43" t="s">
        <v>1624</v>
      </c>
      <c r="D607" s="43">
        <v>1115240</v>
      </c>
      <c r="E607" t="s">
        <v>294</v>
      </c>
      <c r="F607" s="47" t="str">
        <f>+Centro_Cuenta8[[#This Row],[Codigo Centro Gestion]]&amp;" - "&amp;Centro_Cuenta8[[#This Row],[Nombre Centro Gestion]]</f>
        <v>10207204 - Edificio Fuenzalida Urrejola 125-Proyecto</v>
      </c>
      <c r="G607" s="47" t="str">
        <f>+Centro_Cuenta8[[#This Row],[Código Cuenta Contable]]&amp;" - "&amp;Centro_Cuenta8[[#This Row],[Nombre de Cuenta Contable]]</f>
        <v>1115240 - Estudios Y Asesorias Técnicas</v>
      </c>
      <c r="H607" s="146" t="str">
        <f>+VLOOKUP(D607,'3. Cuentas'!A:F,6,0)</f>
        <v>SI</v>
      </c>
    </row>
    <row r="608" spans="1:8" x14ac:dyDescent="0.25">
      <c r="A608" s="43">
        <v>10207204</v>
      </c>
      <c r="B608" t="s">
        <v>930</v>
      </c>
      <c r="C608" s="43" t="s">
        <v>1624</v>
      </c>
      <c r="D608" s="43">
        <v>4203090</v>
      </c>
      <c r="E608" t="s">
        <v>192</v>
      </c>
      <c r="F608" s="47" t="str">
        <f>+Centro_Cuenta8[[#This Row],[Codigo Centro Gestion]]&amp;" - "&amp;Centro_Cuenta8[[#This Row],[Nombre Centro Gestion]]</f>
        <v>10207204 - Edificio Fuenzalida Urrejola 125-Proyecto</v>
      </c>
      <c r="G608" s="47" t="str">
        <f>+Centro_Cuenta8[[#This Row],[Código Cuenta Contable]]&amp;" - "&amp;Centro_Cuenta8[[#This Row],[Nombre de Cuenta Contable]]</f>
        <v>4203090 - Gastos Legales Y Notariales Proyecto</v>
      </c>
      <c r="H608" s="146" t="str">
        <f>+VLOOKUP(D608,'3. Cuentas'!A:F,6,0)</f>
        <v>SI</v>
      </c>
    </row>
    <row r="609" spans="1:8" x14ac:dyDescent="0.25">
      <c r="A609" s="43">
        <v>10207204</v>
      </c>
      <c r="B609" t="s">
        <v>930</v>
      </c>
      <c r="C609" s="43" t="s">
        <v>1624</v>
      </c>
      <c r="D609" s="43">
        <v>4203140</v>
      </c>
      <c r="E609" t="s">
        <v>109</v>
      </c>
      <c r="F609" s="47" t="str">
        <f>+Centro_Cuenta8[[#This Row],[Codigo Centro Gestion]]&amp;" - "&amp;Centro_Cuenta8[[#This Row],[Nombre Centro Gestion]]</f>
        <v>10207204 - Edificio Fuenzalida Urrejola 125-Proyecto</v>
      </c>
      <c r="G609" s="47" t="str">
        <f>+Centro_Cuenta8[[#This Row],[Código Cuenta Contable]]&amp;" - "&amp;Centro_Cuenta8[[#This Row],[Nombre de Cuenta Contable]]</f>
        <v>4203140 - Contribuciones</v>
      </c>
      <c r="H609" s="146" t="str">
        <f>+VLOOKUP(D609,'3. Cuentas'!A:F,6,0)</f>
        <v>SI</v>
      </c>
    </row>
    <row r="610" spans="1:8" x14ac:dyDescent="0.25">
      <c r="A610" s="43">
        <v>10207204</v>
      </c>
      <c r="B610" t="s">
        <v>930</v>
      </c>
      <c r="C610" s="43" t="s">
        <v>1624</v>
      </c>
      <c r="D610" s="43">
        <v>4203150</v>
      </c>
      <c r="E610" t="s">
        <v>156</v>
      </c>
      <c r="F610" s="47" t="str">
        <f>+Centro_Cuenta8[[#This Row],[Codigo Centro Gestion]]&amp;" - "&amp;Centro_Cuenta8[[#This Row],[Nombre Centro Gestion]]</f>
        <v>10207204 - Edificio Fuenzalida Urrejola 125-Proyecto</v>
      </c>
      <c r="G610" s="47" t="str">
        <f>+Centro_Cuenta8[[#This Row],[Código Cuenta Contable]]&amp;" - "&amp;Centro_Cuenta8[[#This Row],[Nombre de Cuenta Contable]]</f>
        <v>4203150 - Gastos CBR</v>
      </c>
      <c r="H610" s="146" t="str">
        <f>+VLOOKUP(D610,'3. Cuentas'!A:F,6,0)</f>
        <v>SI</v>
      </c>
    </row>
    <row r="611" spans="1:8" x14ac:dyDescent="0.25">
      <c r="A611" s="43">
        <v>10207204</v>
      </c>
      <c r="B611" t="s">
        <v>930</v>
      </c>
      <c r="C611" s="43" t="s">
        <v>1624</v>
      </c>
      <c r="D611" s="43">
        <v>4203160</v>
      </c>
      <c r="E611" t="s">
        <v>1639</v>
      </c>
      <c r="F611" s="47" t="str">
        <f>+Centro_Cuenta8[[#This Row],[Codigo Centro Gestion]]&amp;" - "&amp;Centro_Cuenta8[[#This Row],[Nombre Centro Gestion]]</f>
        <v>10207204 - Edificio Fuenzalida Urrejola 125-Proyecto</v>
      </c>
      <c r="G611" s="47" t="str">
        <f>+Centro_Cuenta8[[#This Row],[Código Cuenta Contable]]&amp;" - "&amp;Centro_Cuenta8[[#This Row],[Nombre de Cuenta Contable]]</f>
        <v>4203160 - PAPELERIA Y FOTOCOPIADO</v>
      </c>
      <c r="H611" s="146" t="str">
        <f>+VLOOKUP(D611,'3. Cuentas'!A:F,6,0)</f>
        <v>SI</v>
      </c>
    </row>
    <row r="612" spans="1:8" x14ac:dyDescent="0.25">
      <c r="A612" s="43">
        <v>10207204</v>
      </c>
      <c r="B612" t="s">
        <v>930</v>
      </c>
      <c r="C612" s="43" t="s">
        <v>1624</v>
      </c>
      <c r="D612" s="43">
        <v>4203180</v>
      </c>
      <c r="E612" t="s">
        <v>1640</v>
      </c>
      <c r="F612" s="47" t="str">
        <f>+Centro_Cuenta8[[#This Row],[Codigo Centro Gestion]]&amp;" - "&amp;Centro_Cuenta8[[#This Row],[Nombre Centro Gestion]]</f>
        <v>10207204 - Edificio Fuenzalida Urrejola 125-Proyecto</v>
      </c>
      <c r="G612" s="47" t="str">
        <f>+Centro_Cuenta8[[#This Row],[Código Cuenta Contable]]&amp;" - "&amp;Centro_Cuenta8[[#This Row],[Nombre de Cuenta Contable]]</f>
        <v>4203180 - Otros Gastos y Aseso Proy</v>
      </c>
      <c r="H612" s="146" t="str">
        <f>+VLOOKUP(D612,'3. Cuentas'!A:F,6,0)</f>
        <v>SI</v>
      </c>
    </row>
    <row r="613" spans="1:8" x14ac:dyDescent="0.25">
      <c r="A613" s="43">
        <v>10207301</v>
      </c>
      <c r="B613" t="s">
        <v>931</v>
      </c>
      <c r="C613" s="43" t="s">
        <v>1643</v>
      </c>
      <c r="D613" s="43">
        <v>4203090</v>
      </c>
      <c r="E613" t="s">
        <v>192</v>
      </c>
      <c r="F613" s="47" t="str">
        <f>+Centro_Cuenta8[[#This Row],[Codigo Centro Gestion]]&amp;" - "&amp;Centro_Cuenta8[[#This Row],[Nombre Centro Gestion]]</f>
        <v>10207301 - Edificio Fuenzalida Urrejola 125-GAF</v>
      </c>
      <c r="G613" s="47" t="str">
        <f>+Centro_Cuenta8[[#This Row],[Código Cuenta Contable]]&amp;" - "&amp;Centro_Cuenta8[[#This Row],[Nombre de Cuenta Contable]]</f>
        <v>4203090 - Gastos Legales Y Notariales Proyecto</v>
      </c>
      <c r="H613" s="146" t="str">
        <f>+VLOOKUP(D613,'3. Cuentas'!A:F,6,0)</f>
        <v>SI</v>
      </c>
    </row>
    <row r="614" spans="1:8" x14ac:dyDescent="0.25">
      <c r="A614" s="43">
        <v>10207301</v>
      </c>
      <c r="B614" t="s">
        <v>931</v>
      </c>
      <c r="C614" s="43" t="s">
        <v>1643</v>
      </c>
      <c r="D614" s="43">
        <v>4203140</v>
      </c>
      <c r="E614" t="s">
        <v>109</v>
      </c>
      <c r="F614" s="47" t="str">
        <f>+Centro_Cuenta8[[#This Row],[Codigo Centro Gestion]]&amp;" - "&amp;Centro_Cuenta8[[#This Row],[Nombre Centro Gestion]]</f>
        <v>10207301 - Edificio Fuenzalida Urrejola 125-GAF</v>
      </c>
      <c r="G614" s="47" t="str">
        <f>+Centro_Cuenta8[[#This Row],[Código Cuenta Contable]]&amp;" - "&amp;Centro_Cuenta8[[#This Row],[Nombre de Cuenta Contable]]</f>
        <v>4203140 - Contribuciones</v>
      </c>
      <c r="H614" s="146" t="str">
        <f>+VLOOKUP(D614,'3. Cuentas'!A:F,6,0)</f>
        <v>SI</v>
      </c>
    </row>
    <row r="615" spans="1:8" x14ac:dyDescent="0.25">
      <c r="A615" s="43">
        <v>10207506</v>
      </c>
      <c r="B615" t="s">
        <v>933</v>
      </c>
      <c r="C615" s="43" t="s">
        <v>200</v>
      </c>
      <c r="D615" s="43">
        <v>1115100</v>
      </c>
      <c r="E615" t="s">
        <v>292</v>
      </c>
      <c r="F615" s="47" t="str">
        <f>+Centro_Cuenta8[[#This Row],[Codigo Centro Gestion]]&amp;" - "&amp;Centro_Cuenta8[[#This Row],[Nombre Centro Gestion]]</f>
        <v>10207506 - Edificio Fuenzalida Urrejola 125-Depto.Técnico</v>
      </c>
      <c r="G615" s="47" t="str">
        <f>+Centro_Cuenta8[[#This Row],[Código Cuenta Contable]]&amp;" - "&amp;Centro_Cuenta8[[#This Row],[Nombre de Cuenta Contable]]</f>
        <v>1115100 - Proyectos Y Especialidades</v>
      </c>
      <c r="H615" s="146" t="str">
        <f>+VLOOKUP(D615,'3. Cuentas'!A:F,6,0)</f>
        <v>SI</v>
      </c>
    </row>
    <row r="616" spans="1:8" x14ac:dyDescent="0.25">
      <c r="A616" s="43">
        <v>10209</v>
      </c>
      <c r="B616" t="s">
        <v>710</v>
      </c>
      <c r="C616" s="43" t="s">
        <v>1519</v>
      </c>
      <c r="D616" s="43">
        <v>4202003</v>
      </c>
      <c r="E616" t="s">
        <v>106</v>
      </c>
      <c r="F616" s="47" t="str">
        <f>+Centro_Cuenta8[[#This Row],[Codigo Centro Gestion]]&amp;" - "&amp;Centro_Cuenta8[[#This Row],[Nombre Centro Gestion]]</f>
        <v>10209 - DEPTO PROYECTOS ZONAL ZC 2 (NO VIGENTE)</v>
      </c>
      <c r="G616" s="47" t="str">
        <f>+Centro_Cuenta8[[#This Row],[Código Cuenta Contable]]&amp;" - "&amp;Centro_Cuenta8[[#This Row],[Nombre de Cuenta Contable]]</f>
        <v>4202003 - Serv.Basic.Luz.Agua.Tel Of.C</v>
      </c>
      <c r="H616" s="146" t="str">
        <f>+VLOOKUP(D616,'3. Cuentas'!A:F,6,0)</f>
        <v>SI</v>
      </c>
    </row>
    <row r="617" spans="1:8" x14ac:dyDescent="0.25">
      <c r="A617" s="43">
        <v>10209</v>
      </c>
      <c r="B617" t="s">
        <v>710</v>
      </c>
      <c r="C617" s="43" t="s">
        <v>1519</v>
      </c>
      <c r="D617" s="43">
        <v>4202019</v>
      </c>
      <c r="E617" t="s">
        <v>81</v>
      </c>
      <c r="F617" s="47" t="str">
        <f>+Centro_Cuenta8[[#This Row],[Codigo Centro Gestion]]&amp;" - "&amp;Centro_Cuenta8[[#This Row],[Nombre Centro Gestion]]</f>
        <v>10209 - DEPTO PROYECTOS ZONAL ZC 2 (NO VIGENTE)</v>
      </c>
      <c r="G617" s="47" t="str">
        <f>+Centro_Cuenta8[[#This Row],[Código Cuenta Contable]]&amp;" - "&amp;Centro_Cuenta8[[#This Row],[Nombre de Cuenta Contable]]</f>
        <v>4202019 - Gasto General Oficina</v>
      </c>
      <c r="H617" s="146" t="str">
        <f>+VLOOKUP(D617,'3. Cuentas'!A:F,6,0)</f>
        <v>SI</v>
      </c>
    </row>
    <row r="618" spans="1:8" x14ac:dyDescent="0.25">
      <c r="A618" s="43">
        <v>10209102</v>
      </c>
      <c r="B618" t="s">
        <v>935</v>
      </c>
      <c r="C618" s="43" t="s">
        <v>1617</v>
      </c>
      <c r="D618" s="43">
        <v>4204010</v>
      </c>
      <c r="E618" t="s">
        <v>313</v>
      </c>
      <c r="F618" s="47" t="str">
        <f>+Centro_Cuenta8[[#This Row],[Codigo Centro Gestion]]&amp;" - "&amp;Centro_Cuenta8[[#This Row],[Nombre Centro Gestion]]</f>
        <v>10209102 - Edificio Edificio Bulnes Labbe-Marketing</v>
      </c>
      <c r="G618" s="47" t="str">
        <f>+Centro_Cuenta8[[#This Row],[Código Cuenta Contable]]&amp;" - "&amp;Centro_Cuenta8[[#This Row],[Nombre de Cuenta Contable]]</f>
        <v>4204010 - Publicidad Punto Venta</v>
      </c>
      <c r="H618" s="146" t="str">
        <f>+VLOOKUP(D618,'3. Cuentas'!A:F,6,0)</f>
        <v>SI</v>
      </c>
    </row>
    <row r="619" spans="1:8" x14ac:dyDescent="0.25">
      <c r="A619" s="43">
        <v>10209102</v>
      </c>
      <c r="B619" t="s">
        <v>935</v>
      </c>
      <c r="C619" s="43" t="s">
        <v>1617</v>
      </c>
      <c r="D619" s="43">
        <v>4204021</v>
      </c>
      <c r="E619" t="s">
        <v>329</v>
      </c>
      <c r="F619" s="47" t="str">
        <f>+Centro_Cuenta8[[#This Row],[Codigo Centro Gestion]]&amp;" - "&amp;Centro_Cuenta8[[#This Row],[Nombre Centro Gestion]]</f>
        <v>10209102 - Edificio Edificio Bulnes Labbe-Marketing</v>
      </c>
      <c r="G619" s="47" t="str">
        <f>+Centro_Cuenta8[[#This Row],[Código Cuenta Contable]]&amp;" - "&amp;Centro_Cuenta8[[#This Row],[Nombre de Cuenta Contable]]</f>
        <v>4204021 - Publicidad Ferias Y Eventos</v>
      </c>
      <c r="H619" s="146" t="str">
        <f>+VLOOKUP(D619,'3. Cuentas'!A:F,6,0)</f>
        <v>SI</v>
      </c>
    </row>
    <row r="620" spans="1:8" x14ac:dyDescent="0.25">
      <c r="A620" s="43">
        <v>10209103</v>
      </c>
      <c r="B620" t="s">
        <v>936</v>
      </c>
      <c r="C620" s="43" t="s">
        <v>1618</v>
      </c>
      <c r="D620" s="43">
        <v>4203060</v>
      </c>
      <c r="E620" t="s">
        <v>321</v>
      </c>
      <c r="F620" s="47" t="str">
        <f>+Centro_Cuenta8[[#This Row],[Codigo Centro Gestion]]&amp;" - "&amp;Centro_Cuenta8[[#This Row],[Nombre Centro Gestion]]</f>
        <v>10209103 - Edificio Edificio Bulnes Labbe-Operaciones</v>
      </c>
      <c r="G620" s="47" t="str">
        <f>+Centro_Cuenta8[[#This Row],[Código Cuenta Contable]]&amp;" - "&amp;Centro_Cuenta8[[#This Row],[Nombre de Cuenta Contable]]</f>
        <v>4203060 - Gastos Operacionales De Clientes</v>
      </c>
      <c r="H620" s="146" t="str">
        <f>+VLOOKUP(D620,'3. Cuentas'!A:F,6,0)</f>
        <v>SI</v>
      </c>
    </row>
    <row r="621" spans="1:8" x14ac:dyDescent="0.25">
      <c r="A621" s="43">
        <v>10209103</v>
      </c>
      <c r="B621" t="s">
        <v>936</v>
      </c>
      <c r="C621" s="43" t="s">
        <v>1618</v>
      </c>
      <c r="D621" s="43">
        <v>4203090</v>
      </c>
      <c r="E621" t="s">
        <v>192</v>
      </c>
      <c r="F621" s="47" t="str">
        <f>+Centro_Cuenta8[[#This Row],[Codigo Centro Gestion]]&amp;" - "&amp;Centro_Cuenta8[[#This Row],[Nombre Centro Gestion]]</f>
        <v>10209103 - Edificio Edificio Bulnes Labbe-Operaciones</v>
      </c>
      <c r="G621" s="47" t="str">
        <f>+Centro_Cuenta8[[#This Row],[Código Cuenta Contable]]&amp;" - "&amp;Centro_Cuenta8[[#This Row],[Nombre de Cuenta Contable]]</f>
        <v>4203090 - Gastos Legales Y Notariales Proyecto</v>
      </c>
      <c r="H621" s="146" t="str">
        <f>+VLOOKUP(D621,'3. Cuentas'!A:F,6,0)</f>
        <v>SI</v>
      </c>
    </row>
    <row r="622" spans="1:8" x14ac:dyDescent="0.25">
      <c r="A622" s="43">
        <v>10209104</v>
      </c>
      <c r="B622" t="s">
        <v>937</v>
      </c>
      <c r="C622" s="43" t="s">
        <v>90</v>
      </c>
      <c r="D622" s="43">
        <v>1110040</v>
      </c>
      <c r="E622" t="s">
        <v>1505</v>
      </c>
      <c r="F622" s="47" t="str">
        <f>+Centro_Cuenta8[[#This Row],[Codigo Centro Gestion]]&amp;" - "&amp;Centro_Cuenta8[[#This Row],[Nombre Centro Gestion]]</f>
        <v>10209104 - Edificio Edificio Bulnes Labbe-Ventas</v>
      </c>
      <c r="G622" s="47" t="str">
        <f>+Centro_Cuenta8[[#This Row],[Código Cuenta Contable]]&amp;" - "&amp;Centro_Cuenta8[[#This Row],[Nombre de Cuenta Contable]]</f>
        <v>1110040 - Garantía Pagadas</v>
      </c>
      <c r="H622" s="146" t="str">
        <f>+VLOOKUP(D622,'3. Cuentas'!A:F,6,0)</f>
        <v>SI</v>
      </c>
    </row>
    <row r="623" spans="1:8" x14ac:dyDescent="0.25">
      <c r="A623" s="43">
        <v>10209104</v>
      </c>
      <c r="B623" t="s">
        <v>937</v>
      </c>
      <c r="C623" s="43" t="s">
        <v>90</v>
      </c>
      <c r="D623" s="43">
        <v>4202003</v>
      </c>
      <c r="E623" t="s">
        <v>106</v>
      </c>
      <c r="F623" s="47" t="str">
        <f>+Centro_Cuenta8[[#This Row],[Codigo Centro Gestion]]&amp;" - "&amp;Centro_Cuenta8[[#This Row],[Nombre Centro Gestion]]</f>
        <v>10209104 - Edificio Edificio Bulnes Labbe-Ventas</v>
      </c>
      <c r="G623" s="47" t="str">
        <f>+Centro_Cuenta8[[#This Row],[Código Cuenta Contable]]&amp;" - "&amp;Centro_Cuenta8[[#This Row],[Nombre de Cuenta Contable]]</f>
        <v>4202003 - Serv.Basic.Luz.Agua.Tel Of.C</v>
      </c>
      <c r="H623" s="146" t="str">
        <f>+VLOOKUP(D623,'3. Cuentas'!A:F,6,0)</f>
        <v>SI</v>
      </c>
    </row>
    <row r="624" spans="1:8" x14ac:dyDescent="0.25">
      <c r="A624" s="43">
        <v>10209104</v>
      </c>
      <c r="B624" t="s">
        <v>937</v>
      </c>
      <c r="C624" s="43" t="s">
        <v>90</v>
      </c>
      <c r="D624" s="43">
        <v>4202010</v>
      </c>
      <c r="E624" t="s">
        <v>87</v>
      </c>
      <c r="F624" s="47" t="str">
        <f>+Centro_Cuenta8[[#This Row],[Codigo Centro Gestion]]&amp;" - "&amp;Centro_Cuenta8[[#This Row],[Nombre Centro Gestion]]</f>
        <v>10209104 - Edificio Edificio Bulnes Labbe-Ventas</v>
      </c>
      <c r="G624" s="47" t="str">
        <f>+Centro_Cuenta8[[#This Row],[Código Cuenta Contable]]&amp;" - "&amp;Centro_Cuenta8[[#This Row],[Nombre de Cuenta Contable]]</f>
        <v>4202010 - Artic. Ofic. Fotocop.Papelería</v>
      </c>
      <c r="H624" s="146" t="str">
        <f>+VLOOKUP(D624,'3. Cuentas'!A:F,6,0)</f>
        <v>SI</v>
      </c>
    </row>
    <row r="625" spans="1:8" x14ac:dyDescent="0.25">
      <c r="A625" s="43">
        <v>10209104</v>
      </c>
      <c r="B625" t="s">
        <v>937</v>
      </c>
      <c r="C625" s="43" t="s">
        <v>90</v>
      </c>
      <c r="D625" s="43">
        <v>4202019</v>
      </c>
      <c r="E625" t="s">
        <v>81</v>
      </c>
      <c r="F625" s="47" t="str">
        <f>+Centro_Cuenta8[[#This Row],[Codigo Centro Gestion]]&amp;" - "&amp;Centro_Cuenta8[[#This Row],[Nombre Centro Gestion]]</f>
        <v>10209104 - Edificio Edificio Bulnes Labbe-Ventas</v>
      </c>
      <c r="G625" s="47" t="str">
        <f>+Centro_Cuenta8[[#This Row],[Código Cuenta Contable]]&amp;" - "&amp;Centro_Cuenta8[[#This Row],[Nombre de Cuenta Contable]]</f>
        <v>4202019 - Gasto General Oficina</v>
      </c>
      <c r="H625" s="146" t="str">
        <f>+VLOOKUP(D625,'3. Cuentas'!A:F,6,0)</f>
        <v>SI</v>
      </c>
    </row>
    <row r="626" spans="1:8" x14ac:dyDescent="0.25">
      <c r="A626" s="43">
        <v>10209104</v>
      </c>
      <c r="B626" t="s">
        <v>937</v>
      </c>
      <c r="C626" s="43" t="s">
        <v>90</v>
      </c>
      <c r="D626" s="43">
        <v>4202023</v>
      </c>
      <c r="E626" t="s">
        <v>82</v>
      </c>
      <c r="F626" s="47" t="str">
        <f>+Centro_Cuenta8[[#This Row],[Codigo Centro Gestion]]&amp;" - "&amp;Centro_Cuenta8[[#This Row],[Nombre Centro Gestion]]</f>
        <v>10209104 - Edificio Edificio Bulnes Labbe-Ventas</v>
      </c>
      <c r="G626" s="47" t="str">
        <f>+Centro_Cuenta8[[#This Row],[Código Cuenta Contable]]&amp;" - "&amp;Centro_Cuenta8[[#This Row],[Nombre de Cuenta Contable]]</f>
        <v>4202023 - Honorarios Por Asesorías</v>
      </c>
      <c r="H626" s="146" t="str">
        <f>+VLOOKUP(D626,'3. Cuentas'!A:F,6,0)</f>
        <v>SI</v>
      </c>
    </row>
    <row r="627" spans="1:8" x14ac:dyDescent="0.25">
      <c r="A627" s="43">
        <v>10209104</v>
      </c>
      <c r="B627" t="s">
        <v>937</v>
      </c>
      <c r="C627" s="43" t="s">
        <v>90</v>
      </c>
      <c r="D627" s="43">
        <v>4202029</v>
      </c>
      <c r="E627" t="s">
        <v>83</v>
      </c>
      <c r="F627" s="47" t="str">
        <f>+Centro_Cuenta8[[#This Row],[Codigo Centro Gestion]]&amp;" - "&amp;Centro_Cuenta8[[#This Row],[Nombre Centro Gestion]]</f>
        <v>10209104 - Edificio Edificio Bulnes Labbe-Ventas</v>
      </c>
      <c r="G627" s="47" t="str">
        <f>+Centro_Cuenta8[[#This Row],[Código Cuenta Contable]]&amp;" - "&amp;Centro_Cuenta8[[#This Row],[Nombre de Cuenta Contable]]</f>
        <v>4202029 - Insumos Y Gastos Informáticos</v>
      </c>
      <c r="H627" s="146" t="str">
        <f>+VLOOKUP(D627,'3. Cuentas'!A:F,6,0)</f>
        <v>SI</v>
      </c>
    </row>
    <row r="628" spans="1:8" x14ac:dyDescent="0.25">
      <c r="A628" s="43">
        <v>10209104</v>
      </c>
      <c r="B628" t="s">
        <v>937</v>
      </c>
      <c r="C628" s="43" t="s">
        <v>90</v>
      </c>
      <c r="D628" s="43">
        <v>4204021</v>
      </c>
      <c r="E628" t="s">
        <v>329</v>
      </c>
      <c r="F628" s="47" t="str">
        <f>+Centro_Cuenta8[[#This Row],[Codigo Centro Gestion]]&amp;" - "&amp;Centro_Cuenta8[[#This Row],[Nombre Centro Gestion]]</f>
        <v>10209104 - Edificio Edificio Bulnes Labbe-Ventas</v>
      </c>
      <c r="G628" s="47" t="str">
        <f>+Centro_Cuenta8[[#This Row],[Código Cuenta Contable]]&amp;" - "&amp;Centro_Cuenta8[[#This Row],[Nombre de Cuenta Contable]]</f>
        <v>4204021 - Publicidad Ferias Y Eventos</v>
      </c>
      <c r="H628" s="146" t="str">
        <f>+VLOOKUP(D628,'3. Cuentas'!A:F,6,0)</f>
        <v>SI</v>
      </c>
    </row>
    <row r="629" spans="1:8" x14ac:dyDescent="0.25">
      <c r="A629" s="43">
        <v>10209105</v>
      </c>
      <c r="B629" t="s">
        <v>938</v>
      </c>
      <c r="C629" s="43" t="s">
        <v>1622</v>
      </c>
      <c r="D629" s="43">
        <v>4203020</v>
      </c>
      <c r="E629" t="s">
        <v>295</v>
      </c>
      <c r="F629" s="47" t="str">
        <f>+Centro_Cuenta8[[#This Row],[Codigo Centro Gestion]]&amp;" - "&amp;Centro_Cuenta8[[#This Row],[Nombre Centro Gestion]]</f>
        <v>10209105 - Edificio Edificio Bulnes Labbe-Clientes</v>
      </c>
      <c r="G629" s="47" t="str">
        <f>+Centro_Cuenta8[[#This Row],[Código Cuenta Contable]]&amp;" - "&amp;Centro_Cuenta8[[#This Row],[Nombre de Cuenta Contable]]</f>
        <v>4203020 - Mant. y Consum. Viv Stock</v>
      </c>
      <c r="H629" s="146" t="str">
        <f>+VLOOKUP(D629,'3. Cuentas'!A:F,6,0)</f>
        <v>SI</v>
      </c>
    </row>
    <row r="630" spans="1:8" x14ac:dyDescent="0.25">
      <c r="A630" s="43">
        <v>10209105</v>
      </c>
      <c r="B630" t="s">
        <v>938</v>
      </c>
      <c r="C630" s="43" t="s">
        <v>1622</v>
      </c>
      <c r="D630" s="43">
        <v>4203120</v>
      </c>
      <c r="E630" t="s">
        <v>108</v>
      </c>
      <c r="F630" s="47" t="str">
        <f>+Centro_Cuenta8[[#This Row],[Codigo Centro Gestion]]&amp;" - "&amp;Centro_Cuenta8[[#This Row],[Nombre Centro Gestion]]</f>
        <v>10209105 - Edificio Edificio Bulnes Labbe-Clientes</v>
      </c>
      <c r="G630" s="47" t="str">
        <f>+Centro_Cuenta8[[#This Row],[Código Cuenta Contable]]&amp;" - "&amp;Centro_Cuenta8[[#This Row],[Nombre de Cuenta Contable]]</f>
        <v>4203120 - Gastos Comunes</v>
      </c>
      <c r="H630" s="146" t="str">
        <f>+VLOOKUP(D630,'3. Cuentas'!A:F,6,0)</f>
        <v>SI</v>
      </c>
    </row>
    <row r="631" spans="1:8" x14ac:dyDescent="0.25">
      <c r="A631" s="43">
        <v>10209105</v>
      </c>
      <c r="B631" t="s">
        <v>938</v>
      </c>
      <c r="C631" s="43" t="s">
        <v>1622</v>
      </c>
      <c r="D631" s="43">
        <v>4203140</v>
      </c>
      <c r="E631" t="s">
        <v>109</v>
      </c>
      <c r="F631" s="47" t="str">
        <f>+Centro_Cuenta8[[#This Row],[Codigo Centro Gestion]]&amp;" - "&amp;Centro_Cuenta8[[#This Row],[Nombre Centro Gestion]]</f>
        <v>10209105 - Edificio Edificio Bulnes Labbe-Clientes</v>
      </c>
      <c r="G631" s="47" t="str">
        <f>+Centro_Cuenta8[[#This Row],[Código Cuenta Contable]]&amp;" - "&amp;Centro_Cuenta8[[#This Row],[Nombre de Cuenta Contable]]</f>
        <v>4203140 - Contribuciones</v>
      </c>
      <c r="H631" s="146" t="str">
        <f>+VLOOKUP(D631,'3. Cuentas'!A:F,6,0)</f>
        <v>SI</v>
      </c>
    </row>
    <row r="632" spans="1:8" x14ac:dyDescent="0.25">
      <c r="A632" s="43">
        <v>10209204</v>
      </c>
      <c r="B632" t="s">
        <v>939</v>
      </c>
      <c r="C632" s="43" t="s">
        <v>1624</v>
      </c>
      <c r="D632" s="43">
        <v>1103045</v>
      </c>
      <c r="E632" t="s">
        <v>323</v>
      </c>
      <c r="F632" s="47" t="str">
        <f>+Centro_Cuenta8[[#This Row],[Codigo Centro Gestion]]&amp;" - "&amp;Centro_Cuenta8[[#This Row],[Nombre Centro Gestion]]</f>
        <v>10209204 - Edificio Edificio Bulnes Labbe-Proyecto</v>
      </c>
      <c r="G632" s="47" t="str">
        <f>+Centro_Cuenta8[[#This Row],[Código Cuenta Contable]]&amp;" - "&amp;Centro_Cuenta8[[#This Row],[Nombre de Cuenta Contable]]</f>
        <v>1103045 - Aportes reembolsables (electricidad y agua)</v>
      </c>
      <c r="H632" s="146" t="str">
        <f>+VLOOKUP(D632,'3. Cuentas'!A:F,6,0)</f>
        <v>SI</v>
      </c>
    </row>
    <row r="633" spans="1:8" x14ac:dyDescent="0.25">
      <c r="A633" s="43">
        <v>10209204</v>
      </c>
      <c r="B633" t="s">
        <v>939</v>
      </c>
      <c r="C633" s="43" t="s">
        <v>1624</v>
      </c>
      <c r="D633" s="43">
        <v>1109020</v>
      </c>
      <c r="E633" t="s">
        <v>302</v>
      </c>
      <c r="F633" s="47" t="str">
        <f>+Centro_Cuenta8[[#This Row],[Codigo Centro Gestion]]&amp;" - "&amp;Centro_Cuenta8[[#This Row],[Nombre Centro Gestion]]</f>
        <v>10209204 - Edificio Edificio Bulnes Labbe-Proyecto</v>
      </c>
      <c r="G633" s="47" t="str">
        <f>+Centro_Cuenta8[[#This Row],[Código Cuenta Contable]]&amp;" - "&amp;Centro_Cuenta8[[#This Row],[Nombre de Cuenta Contable]]</f>
        <v>1109020 - Mobiliario</v>
      </c>
      <c r="H633" s="146" t="str">
        <f>+VLOOKUP(D633,'3. Cuentas'!A:F,6,0)</f>
        <v>SI</v>
      </c>
    </row>
    <row r="634" spans="1:8" x14ac:dyDescent="0.25">
      <c r="A634" s="43">
        <v>10209204</v>
      </c>
      <c r="B634" t="s">
        <v>939</v>
      </c>
      <c r="C634" s="43" t="s">
        <v>1624</v>
      </c>
      <c r="D634" s="43">
        <v>1110040</v>
      </c>
      <c r="E634" t="s">
        <v>1505</v>
      </c>
      <c r="F634" s="47" t="str">
        <f>+Centro_Cuenta8[[#This Row],[Codigo Centro Gestion]]&amp;" - "&amp;Centro_Cuenta8[[#This Row],[Nombre Centro Gestion]]</f>
        <v>10209204 - Edificio Edificio Bulnes Labbe-Proyecto</v>
      </c>
      <c r="G634" s="47" t="str">
        <f>+Centro_Cuenta8[[#This Row],[Código Cuenta Contable]]&amp;" - "&amp;Centro_Cuenta8[[#This Row],[Nombre de Cuenta Contable]]</f>
        <v>1110040 - Garantía Pagadas</v>
      </c>
      <c r="H634" s="146" t="str">
        <f>+VLOOKUP(D634,'3. Cuentas'!A:F,6,0)</f>
        <v>SI</v>
      </c>
    </row>
    <row r="635" spans="1:8" x14ac:dyDescent="0.25">
      <c r="A635" s="43">
        <v>10209204</v>
      </c>
      <c r="B635" t="s">
        <v>939</v>
      </c>
      <c r="C635" s="43" t="s">
        <v>1624</v>
      </c>
      <c r="D635" s="43">
        <v>1115040</v>
      </c>
      <c r="E635" t="s">
        <v>291</v>
      </c>
      <c r="F635" s="47" t="str">
        <f>+Centro_Cuenta8[[#This Row],[Codigo Centro Gestion]]&amp;" - "&amp;Centro_Cuenta8[[#This Row],[Nombre Centro Gestion]]</f>
        <v>10209204 - Edificio Edificio Bulnes Labbe-Proyecto</v>
      </c>
      <c r="G635" s="47" t="str">
        <f>+Centro_Cuenta8[[#This Row],[Código Cuenta Contable]]&amp;" - "&amp;Centro_Cuenta8[[#This Row],[Nombre de Cuenta Contable]]</f>
        <v>1115040 - Saneamiento De Terreno</v>
      </c>
      <c r="H635" s="146" t="str">
        <f>+VLOOKUP(D635,'3. Cuentas'!A:F,6,0)</f>
        <v>SI</v>
      </c>
    </row>
    <row r="636" spans="1:8" x14ac:dyDescent="0.25">
      <c r="A636" s="43">
        <v>10209204</v>
      </c>
      <c r="B636" t="s">
        <v>939</v>
      </c>
      <c r="C636" s="43" t="s">
        <v>1624</v>
      </c>
      <c r="D636" s="43">
        <v>1115050</v>
      </c>
      <c r="E636" t="s">
        <v>1628</v>
      </c>
      <c r="F636" s="47" t="str">
        <f>+Centro_Cuenta8[[#This Row],[Codigo Centro Gestion]]&amp;" - "&amp;Centro_Cuenta8[[#This Row],[Nombre Centro Gestion]]</f>
        <v>10209204 - Edificio Edificio Bulnes Labbe-Proyecto</v>
      </c>
      <c r="G636" s="47" t="str">
        <f>+Centro_Cuenta8[[#This Row],[Código Cuenta Contable]]&amp;" - "&amp;Centro_Cuenta8[[#This Row],[Nombre de Cuenta Contable]]</f>
        <v>1115050 - Demolición</v>
      </c>
      <c r="H636" s="146" t="str">
        <f>+VLOOKUP(D636,'3. Cuentas'!A:F,6,0)</f>
        <v>SI</v>
      </c>
    </row>
    <row r="637" spans="1:8" x14ac:dyDescent="0.25">
      <c r="A637" s="43">
        <v>10209204</v>
      </c>
      <c r="B637" t="s">
        <v>939</v>
      </c>
      <c r="C637" s="43" t="s">
        <v>1624</v>
      </c>
      <c r="D637" s="43">
        <v>1115100</v>
      </c>
      <c r="E637" t="s">
        <v>292</v>
      </c>
      <c r="F637" s="47" t="str">
        <f>+Centro_Cuenta8[[#This Row],[Codigo Centro Gestion]]&amp;" - "&amp;Centro_Cuenta8[[#This Row],[Nombre Centro Gestion]]</f>
        <v>10209204 - Edificio Edificio Bulnes Labbe-Proyecto</v>
      </c>
      <c r="G637" s="47" t="str">
        <f>+Centro_Cuenta8[[#This Row],[Código Cuenta Contable]]&amp;" - "&amp;Centro_Cuenta8[[#This Row],[Nombre de Cuenta Contable]]</f>
        <v>1115100 - Proyectos Y Especialidades</v>
      </c>
      <c r="H637" s="146" t="str">
        <f>+VLOOKUP(D637,'3. Cuentas'!A:F,6,0)</f>
        <v>SI</v>
      </c>
    </row>
    <row r="638" spans="1:8" x14ac:dyDescent="0.25">
      <c r="A638" s="43">
        <v>10209204</v>
      </c>
      <c r="B638" t="s">
        <v>939</v>
      </c>
      <c r="C638" s="43" t="s">
        <v>1624</v>
      </c>
      <c r="D638" s="43">
        <v>1115120</v>
      </c>
      <c r="E638" t="s">
        <v>1633</v>
      </c>
      <c r="F638" s="47" t="str">
        <f>+Centro_Cuenta8[[#This Row],[Codigo Centro Gestion]]&amp;" - "&amp;Centro_Cuenta8[[#This Row],[Nombre Centro Gestion]]</f>
        <v>10209204 - Edificio Edificio Bulnes Labbe-Proyecto</v>
      </c>
      <c r="G638" s="47" t="str">
        <f>+Centro_Cuenta8[[#This Row],[Código Cuenta Contable]]&amp;" - "&amp;Centro_Cuenta8[[#This Row],[Nombre de Cuenta Contable]]</f>
        <v>1115120 - Instalación Empalmes</v>
      </c>
      <c r="H638" s="146" t="str">
        <f>+VLOOKUP(D638,'3. Cuentas'!A:F,6,0)</f>
        <v>SI</v>
      </c>
    </row>
    <row r="639" spans="1:8" x14ac:dyDescent="0.25">
      <c r="A639" s="43">
        <v>10209204</v>
      </c>
      <c r="B639" t="s">
        <v>939</v>
      </c>
      <c r="C639" s="43" t="s">
        <v>1624</v>
      </c>
      <c r="D639" s="43">
        <v>1115170</v>
      </c>
      <c r="E639" t="s">
        <v>293</v>
      </c>
      <c r="F639" s="47" t="str">
        <f>+Centro_Cuenta8[[#This Row],[Codigo Centro Gestion]]&amp;" - "&amp;Centro_Cuenta8[[#This Row],[Nombre Centro Gestion]]</f>
        <v>10209204 - Edificio Edificio Bulnes Labbe-Proyecto</v>
      </c>
      <c r="G639" s="47" t="str">
        <f>+Centro_Cuenta8[[#This Row],[Código Cuenta Contable]]&amp;" - "&amp;Centro_Cuenta8[[#This Row],[Nombre de Cuenta Contable]]</f>
        <v>1115170 - Permisos Y Otros Gastos Municipales</v>
      </c>
      <c r="H639" s="146" t="str">
        <f>+VLOOKUP(D639,'3. Cuentas'!A:F,6,0)</f>
        <v>SI</v>
      </c>
    </row>
    <row r="640" spans="1:8" x14ac:dyDescent="0.25">
      <c r="A640" s="43">
        <v>10209204</v>
      </c>
      <c r="B640" t="s">
        <v>939</v>
      </c>
      <c r="C640" s="43" t="s">
        <v>1624</v>
      </c>
      <c r="D640" s="43">
        <v>1115240</v>
      </c>
      <c r="E640" t="s">
        <v>294</v>
      </c>
      <c r="F640" s="47" t="str">
        <f>+Centro_Cuenta8[[#This Row],[Codigo Centro Gestion]]&amp;" - "&amp;Centro_Cuenta8[[#This Row],[Nombre Centro Gestion]]</f>
        <v>10209204 - Edificio Edificio Bulnes Labbe-Proyecto</v>
      </c>
      <c r="G640" s="47" t="str">
        <f>+Centro_Cuenta8[[#This Row],[Código Cuenta Contable]]&amp;" - "&amp;Centro_Cuenta8[[#This Row],[Nombre de Cuenta Contable]]</f>
        <v>1115240 - Estudios Y Asesorias Técnicas</v>
      </c>
      <c r="H640" s="146" t="str">
        <f>+VLOOKUP(D640,'3. Cuentas'!A:F,6,0)</f>
        <v>SI</v>
      </c>
    </row>
    <row r="641" spans="1:8" x14ac:dyDescent="0.25">
      <c r="A641" s="43">
        <v>10209204</v>
      </c>
      <c r="B641" t="s">
        <v>939</v>
      </c>
      <c r="C641" s="43" t="s">
        <v>1624</v>
      </c>
      <c r="D641" s="43">
        <v>4203090</v>
      </c>
      <c r="E641" t="s">
        <v>192</v>
      </c>
      <c r="F641" s="47" t="str">
        <f>+Centro_Cuenta8[[#This Row],[Codigo Centro Gestion]]&amp;" - "&amp;Centro_Cuenta8[[#This Row],[Nombre Centro Gestion]]</f>
        <v>10209204 - Edificio Edificio Bulnes Labbe-Proyecto</v>
      </c>
      <c r="G641" s="47" t="str">
        <f>+Centro_Cuenta8[[#This Row],[Código Cuenta Contable]]&amp;" - "&amp;Centro_Cuenta8[[#This Row],[Nombre de Cuenta Contable]]</f>
        <v>4203090 - Gastos Legales Y Notariales Proyecto</v>
      </c>
      <c r="H641" s="146" t="str">
        <f>+VLOOKUP(D641,'3. Cuentas'!A:F,6,0)</f>
        <v>SI</v>
      </c>
    </row>
    <row r="642" spans="1:8" x14ac:dyDescent="0.25">
      <c r="A642" s="43">
        <v>10209204</v>
      </c>
      <c r="B642" t="s">
        <v>939</v>
      </c>
      <c r="C642" s="43" t="s">
        <v>1624</v>
      </c>
      <c r="D642" s="43">
        <v>4203140</v>
      </c>
      <c r="E642" t="s">
        <v>109</v>
      </c>
      <c r="F642" s="47" t="str">
        <f>+Centro_Cuenta8[[#This Row],[Codigo Centro Gestion]]&amp;" - "&amp;Centro_Cuenta8[[#This Row],[Nombre Centro Gestion]]</f>
        <v>10209204 - Edificio Edificio Bulnes Labbe-Proyecto</v>
      </c>
      <c r="G642" s="47" t="str">
        <f>+Centro_Cuenta8[[#This Row],[Código Cuenta Contable]]&amp;" - "&amp;Centro_Cuenta8[[#This Row],[Nombre de Cuenta Contable]]</f>
        <v>4203140 - Contribuciones</v>
      </c>
      <c r="H642" s="146" t="str">
        <f>+VLOOKUP(D642,'3. Cuentas'!A:F,6,0)</f>
        <v>SI</v>
      </c>
    </row>
    <row r="643" spans="1:8" x14ac:dyDescent="0.25">
      <c r="A643" s="43">
        <v>10209204</v>
      </c>
      <c r="B643" t="s">
        <v>939</v>
      </c>
      <c r="C643" s="43" t="s">
        <v>1624</v>
      </c>
      <c r="D643" s="43">
        <v>4203150</v>
      </c>
      <c r="E643" t="s">
        <v>156</v>
      </c>
      <c r="F643" s="47" t="str">
        <f>+Centro_Cuenta8[[#This Row],[Codigo Centro Gestion]]&amp;" - "&amp;Centro_Cuenta8[[#This Row],[Nombre Centro Gestion]]</f>
        <v>10209204 - Edificio Edificio Bulnes Labbe-Proyecto</v>
      </c>
      <c r="G643" s="47" t="str">
        <f>+Centro_Cuenta8[[#This Row],[Código Cuenta Contable]]&amp;" - "&amp;Centro_Cuenta8[[#This Row],[Nombre de Cuenta Contable]]</f>
        <v>4203150 - Gastos CBR</v>
      </c>
      <c r="H643" s="146" t="str">
        <f>+VLOOKUP(D643,'3. Cuentas'!A:F,6,0)</f>
        <v>SI</v>
      </c>
    </row>
    <row r="644" spans="1:8" x14ac:dyDescent="0.25">
      <c r="A644" s="43">
        <v>10209204</v>
      </c>
      <c r="B644" t="s">
        <v>939</v>
      </c>
      <c r="C644" s="43" t="s">
        <v>1624</v>
      </c>
      <c r="D644" s="43">
        <v>4203160</v>
      </c>
      <c r="E644" t="s">
        <v>1639</v>
      </c>
      <c r="F644" s="47" t="str">
        <f>+Centro_Cuenta8[[#This Row],[Codigo Centro Gestion]]&amp;" - "&amp;Centro_Cuenta8[[#This Row],[Nombre Centro Gestion]]</f>
        <v>10209204 - Edificio Edificio Bulnes Labbe-Proyecto</v>
      </c>
      <c r="G644" s="47" t="str">
        <f>+Centro_Cuenta8[[#This Row],[Código Cuenta Contable]]&amp;" - "&amp;Centro_Cuenta8[[#This Row],[Nombre de Cuenta Contable]]</f>
        <v>4203160 - PAPELERIA Y FOTOCOPIADO</v>
      </c>
      <c r="H644" s="146" t="str">
        <f>+VLOOKUP(D644,'3. Cuentas'!A:F,6,0)</f>
        <v>SI</v>
      </c>
    </row>
    <row r="645" spans="1:8" x14ac:dyDescent="0.25">
      <c r="A645" s="43">
        <v>10209204</v>
      </c>
      <c r="B645" t="s">
        <v>939</v>
      </c>
      <c r="C645" s="43" t="s">
        <v>1624</v>
      </c>
      <c r="D645" s="43">
        <v>4203180</v>
      </c>
      <c r="E645" t="s">
        <v>1640</v>
      </c>
      <c r="F645" s="47" t="str">
        <f>+Centro_Cuenta8[[#This Row],[Codigo Centro Gestion]]&amp;" - "&amp;Centro_Cuenta8[[#This Row],[Nombre Centro Gestion]]</f>
        <v>10209204 - Edificio Edificio Bulnes Labbe-Proyecto</v>
      </c>
      <c r="G645" s="47" t="str">
        <f>+Centro_Cuenta8[[#This Row],[Código Cuenta Contable]]&amp;" - "&amp;Centro_Cuenta8[[#This Row],[Nombre de Cuenta Contable]]</f>
        <v>4203180 - Otros Gastos y Aseso Proy</v>
      </c>
      <c r="H645" s="146" t="str">
        <f>+VLOOKUP(D645,'3. Cuentas'!A:F,6,0)</f>
        <v>SI</v>
      </c>
    </row>
    <row r="646" spans="1:8" x14ac:dyDescent="0.25">
      <c r="A646" s="43">
        <v>10209301</v>
      </c>
      <c r="B646" t="s">
        <v>940</v>
      </c>
      <c r="C646" s="43" t="s">
        <v>1643</v>
      </c>
      <c r="D646" s="43">
        <v>4203090</v>
      </c>
      <c r="E646" t="s">
        <v>192</v>
      </c>
      <c r="F646" s="47" t="str">
        <f>+Centro_Cuenta8[[#This Row],[Codigo Centro Gestion]]&amp;" - "&amp;Centro_Cuenta8[[#This Row],[Nombre Centro Gestion]]</f>
        <v>10209301 - Edificio Edificio Bulnes Labbe-GAF</v>
      </c>
      <c r="G646" s="47" t="str">
        <f>+Centro_Cuenta8[[#This Row],[Código Cuenta Contable]]&amp;" - "&amp;Centro_Cuenta8[[#This Row],[Nombre de Cuenta Contable]]</f>
        <v>4203090 - Gastos Legales Y Notariales Proyecto</v>
      </c>
      <c r="H646" s="146" t="str">
        <f>+VLOOKUP(D646,'3. Cuentas'!A:F,6,0)</f>
        <v>SI</v>
      </c>
    </row>
    <row r="647" spans="1:8" x14ac:dyDescent="0.25">
      <c r="A647" s="43">
        <v>10209301</v>
      </c>
      <c r="B647" t="s">
        <v>940</v>
      </c>
      <c r="C647" s="43" t="s">
        <v>1643</v>
      </c>
      <c r="D647" s="43">
        <v>4203140</v>
      </c>
      <c r="E647" t="s">
        <v>109</v>
      </c>
      <c r="F647" s="47" t="str">
        <f>+Centro_Cuenta8[[#This Row],[Codigo Centro Gestion]]&amp;" - "&amp;Centro_Cuenta8[[#This Row],[Nombre Centro Gestion]]</f>
        <v>10209301 - Edificio Edificio Bulnes Labbe-GAF</v>
      </c>
      <c r="G647" s="47" t="str">
        <f>+Centro_Cuenta8[[#This Row],[Código Cuenta Contable]]&amp;" - "&amp;Centro_Cuenta8[[#This Row],[Nombre de Cuenta Contable]]</f>
        <v>4203140 - Contribuciones</v>
      </c>
      <c r="H647" s="146" t="str">
        <f>+VLOOKUP(D647,'3. Cuentas'!A:F,6,0)</f>
        <v>SI</v>
      </c>
    </row>
    <row r="648" spans="1:8" x14ac:dyDescent="0.25">
      <c r="A648" s="43">
        <v>10209506</v>
      </c>
      <c r="B648" t="s">
        <v>942</v>
      </c>
      <c r="C648" s="43" t="s">
        <v>200</v>
      </c>
      <c r="D648" s="43">
        <v>1115100</v>
      </c>
      <c r="E648" t="s">
        <v>292</v>
      </c>
      <c r="F648" s="47" t="str">
        <f>+Centro_Cuenta8[[#This Row],[Codigo Centro Gestion]]&amp;" - "&amp;Centro_Cuenta8[[#This Row],[Nombre Centro Gestion]]</f>
        <v>10209506 - Edificio Edificio Bulnes Labbe-Depto.Técnico</v>
      </c>
      <c r="G648" s="47" t="str">
        <f>+Centro_Cuenta8[[#This Row],[Código Cuenta Contable]]&amp;" - "&amp;Centro_Cuenta8[[#This Row],[Nombre de Cuenta Contable]]</f>
        <v>1115100 - Proyectos Y Especialidades</v>
      </c>
      <c r="H648" s="146" t="str">
        <f>+VLOOKUP(D648,'3. Cuentas'!A:F,6,0)</f>
        <v>SI</v>
      </c>
    </row>
    <row r="649" spans="1:8" x14ac:dyDescent="0.25">
      <c r="A649" s="43">
        <v>10210102</v>
      </c>
      <c r="B649" t="s">
        <v>944</v>
      </c>
      <c r="C649" s="43" t="s">
        <v>1617</v>
      </c>
      <c r="D649" s="43">
        <v>4204010</v>
      </c>
      <c r="E649" t="s">
        <v>313</v>
      </c>
      <c r="F649" s="47" t="str">
        <f>+Centro_Cuenta8[[#This Row],[Codigo Centro Gestion]]&amp;" - "&amp;Centro_Cuenta8[[#This Row],[Nombre Centro Gestion]]</f>
        <v>10210102 - Edificio Fernandez Albano 192-Marketing</v>
      </c>
      <c r="G649" s="47" t="str">
        <f>+Centro_Cuenta8[[#This Row],[Código Cuenta Contable]]&amp;" - "&amp;Centro_Cuenta8[[#This Row],[Nombre de Cuenta Contable]]</f>
        <v>4204010 - Publicidad Punto Venta</v>
      </c>
      <c r="H649" s="146" t="str">
        <f>+VLOOKUP(D649,'3. Cuentas'!A:F,6,0)</f>
        <v>SI</v>
      </c>
    </row>
    <row r="650" spans="1:8" x14ac:dyDescent="0.25">
      <c r="A650" s="43">
        <v>10210102</v>
      </c>
      <c r="B650" t="s">
        <v>944</v>
      </c>
      <c r="C650" s="43" t="s">
        <v>1617</v>
      </c>
      <c r="D650" s="43">
        <v>4204021</v>
      </c>
      <c r="E650" t="s">
        <v>329</v>
      </c>
      <c r="F650" s="47" t="str">
        <f>+Centro_Cuenta8[[#This Row],[Codigo Centro Gestion]]&amp;" - "&amp;Centro_Cuenta8[[#This Row],[Nombre Centro Gestion]]</f>
        <v>10210102 - Edificio Fernandez Albano 192-Marketing</v>
      </c>
      <c r="G650" s="47" t="str">
        <f>+Centro_Cuenta8[[#This Row],[Código Cuenta Contable]]&amp;" - "&amp;Centro_Cuenta8[[#This Row],[Nombre de Cuenta Contable]]</f>
        <v>4204021 - Publicidad Ferias Y Eventos</v>
      </c>
      <c r="H650" s="146" t="str">
        <f>+VLOOKUP(D650,'3. Cuentas'!A:F,6,0)</f>
        <v>SI</v>
      </c>
    </row>
    <row r="651" spans="1:8" x14ac:dyDescent="0.25">
      <c r="A651" s="43">
        <v>10210103</v>
      </c>
      <c r="B651" t="s">
        <v>945</v>
      </c>
      <c r="C651" s="43" t="s">
        <v>1618</v>
      </c>
      <c r="D651" s="43">
        <v>4203060</v>
      </c>
      <c r="E651" t="s">
        <v>321</v>
      </c>
      <c r="F651" s="47" t="str">
        <f>+Centro_Cuenta8[[#This Row],[Codigo Centro Gestion]]&amp;" - "&amp;Centro_Cuenta8[[#This Row],[Nombre Centro Gestion]]</f>
        <v>10210103 - Edificio Fernandez Albano 192-Operaciones</v>
      </c>
      <c r="G651" s="47" t="str">
        <f>+Centro_Cuenta8[[#This Row],[Código Cuenta Contable]]&amp;" - "&amp;Centro_Cuenta8[[#This Row],[Nombre de Cuenta Contable]]</f>
        <v>4203060 - Gastos Operacionales De Clientes</v>
      </c>
      <c r="H651" s="146" t="str">
        <f>+VLOOKUP(D651,'3. Cuentas'!A:F,6,0)</f>
        <v>SI</v>
      </c>
    </row>
    <row r="652" spans="1:8" x14ac:dyDescent="0.25">
      <c r="A652" s="43">
        <v>10210103</v>
      </c>
      <c r="B652" t="s">
        <v>945</v>
      </c>
      <c r="C652" s="43" t="s">
        <v>1618</v>
      </c>
      <c r="D652" s="43">
        <v>4203090</v>
      </c>
      <c r="E652" t="s">
        <v>192</v>
      </c>
      <c r="F652" s="47" t="str">
        <f>+Centro_Cuenta8[[#This Row],[Codigo Centro Gestion]]&amp;" - "&amp;Centro_Cuenta8[[#This Row],[Nombre Centro Gestion]]</f>
        <v>10210103 - Edificio Fernandez Albano 192-Operaciones</v>
      </c>
      <c r="G652" s="47" t="str">
        <f>+Centro_Cuenta8[[#This Row],[Código Cuenta Contable]]&amp;" - "&amp;Centro_Cuenta8[[#This Row],[Nombre de Cuenta Contable]]</f>
        <v>4203090 - Gastos Legales Y Notariales Proyecto</v>
      </c>
      <c r="H652" s="146" t="str">
        <f>+VLOOKUP(D652,'3. Cuentas'!A:F,6,0)</f>
        <v>SI</v>
      </c>
    </row>
    <row r="653" spans="1:8" x14ac:dyDescent="0.25">
      <c r="A653" s="43">
        <v>10210104</v>
      </c>
      <c r="B653" t="s">
        <v>946</v>
      </c>
      <c r="C653" s="43" t="s">
        <v>90</v>
      </c>
      <c r="D653" s="43">
        <v>1110040</v>
      </c>
      <c r="E653" t="s">
        <v>1505</v>
      </c>
      <c r="F653" s="47" t="str">
        <f>+Centro_Cuenta8[[#This Row],[Codigo Centro Gestion]]&amp;" - "&amp;Centro_Cuenta8[[#This Row],[Nombre Centro Gestion]]</f>
        <v>10210104 - Edificio Fernandez Albano 192-Ventas</v>
      </c>
      <c r="G653" s="47" t="str">
        <f>+Centro_Cuenta8[[#This Row],[Código Cuenta Contable]]&amp;" - "&amp;Centro_Cuenta8[[#This Row],[Nombre de Cuenta Contable]]</f>
        <v>1110040 - Garantía Pagadas</v>
      </c>
      <c r="H653" s="146" t="str">
        <f>+VLOOKUP(D653,'3. Cuentas'!A:F,6,0)</f>
        <v>SI</v>
      </c>
    </row>
    <row r="654" spans="1:8" x14ac:dyDescent="0.25">
      <c r="A654" s="43">
        <v>10210104</v>
      </c>
      <c r="B654" t="s">
        <v>946</v>
      </c>
      <c r="C654" s="43" t="s">
        <v>90</v>
      </c>
      <c r="D654" s="43">
        <v>4202003</v>
      </c>
      <c r="E654" t="s">
        <v>106</v>
      </c>
      <c r="F654" s="47" t="str">
        <f>+Centro_Cuenta8[[#This Row],[Codigo Centro Gestion]]&amp;" - "&amp;Centro_Cuenta8[[#This Row],[Nombre Centro Gestion]]</f>
        <v>10210104 - Edificio Fernandez Albano 192-Ventas</v>
      </c>
      <c r="G654" s="47" t="str">
        <f>+Centro_Cuenta8[[#This Row],[Código Cuenta Contable]]&amp;" - "&amp;Centro_Cuenta8[[#This Row],[Nombre de Cuenta Contable]]</f>
        <v>4202003 - Serv.Basic.Luz.Agua.Tel Of.C</v>
      </c>
      <c r="H654" s="146" t="str">
        <f>+VLOOKUP(D654,'3. Cuentas'!A:F,6,0)</f>
        <v>SI</v>
      </c>
    </row>
    <row r="655" spans="1:8" x14ac:dyDescent="0.25">
      <c r="A655" s="43">
        <v>10210104</v>
      </c>
      <c r="B655" t="s">
        <v>946</v>
      </c>
      <c r="C655" s="43" t="s">
        <v>90</v>
      </c>
      <c r="D655" s="43">
        <v>4202010</v>
      </c>
      <c r="E655" t="s">
        <v>87</v>
      </c>
      <c r="F655" s="47" t="str">
        <f>+Centro_Cuenta8[[#This Row],[Codigo Centro Gestion]]&amp;" - "&amp;Centro_Cuenta8[[#This Row],[Nombre Centro Gestion]]</f>
        <v>10210104 - Edificio Fernandez Albano 192-Ventas</v>
      </c>
      <c r="G655" s="47" t="str">
        <f>+Centro_Cuenta8[[#This Row],[Código Cuenta Contable]]&amp;" - "&amp;Centro_Cuenta8[[#This Row],[Nombre de Cuenta Contable]]</f>
        <v>4202010 - Artic. Ofic. Fotocop.Papelería</v>
      </c>
      <c r="H655" s="146" t="str">
        <f>+VLOOKUP(D655,'3. Cuentas'!A:F,6,0)</f>
        <v>SI</v>
      </c>
    </row>
    <row r="656" spans="1:8" x14ac:dyDescent="0.25">
      <c r="A656" s="43">
        <v>10210104</v>
      </c>
      <c r="B656" t="s">
        <v>946</v>
      </c>
      <c r="C656" s="43" t="s">
        <v>90</v>
      </c>
      <c r="D656" s="43">
        <v>4202019</v>
      </c>
      <c r="E656" t="s">
        <v>81</v>
      </c>
      <c r="F656" s="47" t="str">
        <f>+Centro_Cuenta8[[#This Row],[Codigo Centro Gestion]]&amp;" - "&amp;Centro_Cuenta8[[#This Row],[Nombre Centro Gestion]]</f>
        <v>10210104 - Edificio Fernandez Albano 192-Ventas</v>
      </c>
      <c r="G656" s="47" t="str">
        <f>+Centro_Cuenta8[[#This Row],[Código Cuenta Contable]]&amp;" - "&amp;Centro_Cuenta8[[#This Row],[Nombre de Cuenta Contable]]</f>
        <v>4202019 - Gasto General Oficina</v>
      </c>
      <c r="H656" s="146" t="str">
        <f>+VLOOKUP(D656,'3. Cuentas'!A:F,6,0)</f>
        <v>SI</v>
      </c>
    </row>
    <row r="657" spans="1:8" x14ac:dyDescent="0.25">
      <c r="A657" s="43">
        <v>10210104</v>
      </c>
      <c r="B657" t="s">
        <v>946</v>
      </c>
      <c r="C657" s="43" t="s">
        <v>90</v>
      </c>
      <c r="D657" s="43">
        <v>4202023</v>
      </c>
      <c r="E657" t="s">
        <v>82</v>
      </c>
      <c r="F657" s="47" t="str">
        <f>+Centro_Cuenta8[[#This Row],[Codigo Centro Gestion]]&amp;" - "&amp;Centro_Cuenta8[[#This Row],[Nombre Centro Gestion]]</f>
        <v>10210104 - Edificio Fernandez Albano 192-Ventas</v>
      </c>
      <c r="G657" s="47" t="str">
        <f>+Centro_Cuenta8[[#This Row],[Código Cuenta Contable]]&amp;" - "&amp;Centro_Cuenta8[[#This Row],[Nombre de Cuenta Contable]]</f>
        <v>4202023 - Honorarios Por Asesorías</v>
      </c>
      <c r="H657" s="146" t="str">
        <f>+VLOOKUP(D657,'3. Cuentas'!A:F,6,0)</f>
        <v>SI</v>
      </c>
    </row>
    <row r="658" spans="1:8" x14ac:dyDescent="0.25">
      <c r="A658" s="43">
        <v>10210104</v>
      </c>
      <c r="B658" t="s">
        <v>946</v>
      </c>
      <c r="C658" s="43" t="s">
        <v>90</v>
      </c>
      <c r="D658" s="43">
        <v>4202029</v>
      </c>
      <c r="E658" t="s">
        <v>83</v>
      </c>
      <c r="F658" s="47" t="str">
        <f>+Centro_Cuenta8[[#This Row],[Codigo Centro Gestion]]&amp;" - "&amp;Centro_Cuenta8[[#This Row],[Nombre Centro Gestion]]</f>
        <v>10210104 - Edificio Fernandez Albano 192-Ventas</v>
      </c>
      <c r="G658" s="47" t="str">
        <f>+Centro_Cuenta8[[#This Row],[Código Cuenta Contable]]&amp;" - "&amp;Centro_Cuenta8[[#This Row],[Nombre de Cuenta Contable]]</f>
        <v>4202029 - Insumos Y Gastos Informáticos</v>
      </c>
      <c r="H658" s="146" t="str">
        <f>+VLOOKUP(D658,'3. Cuentas'!A:F,6,0)</f>
        <v>SI</v>
      </c>
    </row>
    <row r="659" spans="1:8" x14ac:dyDescent="0.25">
      <c r="A659" s="43">
        <v>10210104</v>
      </c>
      <c r="B659" t="s">
        <v>946</v>
      </c>
      <c r="C659" s="43" t="s">
        <v>90</v>
      </c>
      <c r="D659" s="43">
        <v>4204021</v>
      </c>
      <c r="E659" t="s">
        <v>329</v>
      </c>
      <c r="F659" s="47" t="str">
        <f>+Centro_Cuenta8[[#This Row],[Codigo Centro Gestion]]&amp;" - "&amp;Centro_Cuenta8[[#This Row],[Nombre Centro Gestion]]</f>
        <v>10210104 - Edificio Fernandez Albano 192-Ventas</v>
      </c>
      <c r="G659" s="47" t="str">
        <f>+Centro_Cuenta8[[#This Row],[Código Cuenta Contable]]&amp;" - "&amp;Centro_Cuenta8[[#This Row],[Nombre de Cuenta Contable]]</f>
        <v>4204021 - Publicidad Ferias Y Eventos</v>
      </c>
      <c r="H659" s="146" t="str">
        <f>+VLOOKUP(D659,'3. Cuentas'!A:F,6,0)</f>
        <v>SI</v>
      </c>
    </row>
    <row r="660" spans="1:8" x14ac:dyDescent="0.25">
      <c r="A660" s="43">
        <v>10210105</v>
      </c>
      <c r="B660" t="s">
        <v>947</v>
      </c>
      <c r="C660" s="43" t="s">
        <v>1622</v>
      </c>
      <c r="D660" s="43">
        <v>4203020</v>
      </c>
      <c r="E660" t="s">
        <v>295</v>
      </c>
      <c r="F660" s="47" t="str">
        <f>+Centro_Cuenta8[[#This Row],[Codigo Centro Gestion]]&amp;" - "&amp;Centro_Cuenta8[[#This Row],[Nombre Centro Gestion]]</f>
        <v>10210105 - Edificio Fernandez Albano 192-Clientes</v>
      </c>
      <c r="G660" s="47" t="str">
        <f>+Centro_Cuenta8[[#This Row],[Código Cuenta Contable]]&amp;" - "&amp;Centro_Cuenta8[[#This Row],[Nombre de Cuenta Contable]]</f>
        <v>4203020 - Mant. y Consum. Viv Stock</v>
      </c>
      <c r="H660" s="146" t="str">
        <f>+VLOOKUP(D660,'3. Cuentas'!A:F,6,0)</f>
        <v>SI</v>
      </c>
    </row>
    <row r="661" spans="1:8" x14ac:dyDescent="0.25">
      <c r="A661" s="43">
        <v>10210105</v>
      </c>
      <c r="B661" t="s">
        <v>947</v>
      </c>
      <c r="C661" s="43" t="s">
        <v>1622</v>
      </c>
      <c r="D661" s="43">
        <v>4203120</v>
      </c>
      <c r="E661" t="s">
        <v>108</v>
      </c>
      <c r="F661" s="47" t="str">
        <f>+Centro_Cuenta8[[#This Row],[Codigo Centro Gestion]]&amp;" - "&amp;Centro_Cuenta8[[#This Row],[Nombre Centro Gestion]]</f>
        <v>10210105 - Edificio Fernandez Albano 192-Clientes</v>
      </c>
      <c r="G661" s="47" t="str">
        <f>+Centro_Cuenta8[[#This Row],[Código Cuenta Contable]]&amp;" - "&amp;Centro_Cuenta8[[#This Row],[Nombre de Cuenta Contable]]</f>
        <v>4203120 - Gastos Comunes</v>
      </c>
      <c r="H661" s="146" t="str">
        <f>+VLOOKUP(D661,'3. Cuentas'!A:F,6,0)</f>
        <v>SI</v>
      </c>
    </row>
    <row r="662" spans="1:8" x14ac:dyDescent="0.25">
      <c r="A662" s="43">
        <v>10210105</v>
      </c>
      <c r="B662" t="s">
        <v>947</v>
      </c>
      <c r="C662" s="43" t="s">
        <v>1622</v>
      </c>
      <c r="D662" s="43">
        <v>4203140</v>
      </c>
      <c r="E662" t="s">
        <v>109</v>
      </c>
      <c r="F662" s="47" t="str">
        <f>+Centro_Cuenta8[[#This Row],[Codigo Centro Gestion]]&amp;" - "&amp;Centro_Cuenta8[[#This Row],[Nombre Centro Gestion]]</f>
        <v>10210105 - Edificio Fernandez Albano 192-Clientes</v>
      </c>
      <c r="G662" s="47" t="str">
        <f>+Centro_Cuenta8[[#This Row],[Código Cuenta Contable]]&amp;" - "&amp;Centro_Cuenta8[[#This Row],[Nombre de Cuenta Contable]]</f>
        <v>4203140 - Contribuciones</v>
      </c>
      <c r="H662" s="146" t="str">
        <f>+VLOOKUP(D662,'3. Cuentas'!A:F,6,0)</f>
        <v>SI</v>
      </c>
    </row>
    <row r="663" spans="1:8" x14ac:dyDescent="0.25">
      <c r="A663" s="43">
        <v>10210204</v>
      </c>
      <c r="B663" t="s">
        <v>948</v>
      </c>
      <c r="C663" s="43" t="s">
        <v>1624</v>
      </c>
      <c r="D663" s="43">
        <v>1103045</v>
      </c>
      <c r="E663" t="s">
        <v>323</v>
      </c>
      <c r="F663" s="47" t="str">
        <f>+Centro_Cuenta8[[#This Row],[Codigo Centro Gestion]]&amp;" - "&amp;Centro_Cuenta8[[#This Row],[Nombre Centro Gestion]]</f>
        <v>10210204 - Edificio Fernandez Albano 192-Proyecto</v>
      </c>
      <c r="G663" s="47" t="str">
        <f>+Centro_Cuenta8[[#This Row],[Código Cuenta Contable]]&amp;" - "&amp;Centro_Cuenta8[[#This Row],[Nombre de Cuenta Contable]]</f>
        <v>1103045 - Aportes reembolsables (electricidad y agua)</v>
      </c>
      <c r="H663" s="146" t="str">
        <f>+VLOOKUP(D663,'3. Cuentas'!A:F,6,0)</f>
        <v>SI</v>
      </c>
    </row>
    <row r="664" spans="1:8" x14ac:dyDescent="0.25">
      <c r="A664" s="43">
        <v>10210204</v>
      </c>
      <c r="B664" t="s">
        <v>948</v>
      </c>
      <c r="C664" s="43" t="s">
        <v>1624</v>
      </c>
      <c r="D664" s="43">
        <v>1109020</v>
      </c>
      <c r="E664" t="s">
        <v>302</v>
      </c>
      <c r="F664" s="47" t="str">
        <f>+Centro_Cuenta8[[#This Row],[Codigo Centro Gestion]]&amp;" - "&amp;Centro_Cuenta8[[#This Row],[Nombre Centro Gestion]]</f>
        <v>10210204 - Edificio Fernandez Albano 192-Proyecto</v>
      </c>
      <c r="G664" s="47" t="str">
        <f>+Centro_Cuenta8[[#This Row],[Código Cuenta Contable]]&amp;" - "&amp;Centro_Cuenta8[[#This Row],[Nombre de Cuenta Contable]]</f>
        <v>1109020 - Mobiliario</v>
      </c>
      <c r="H664" s="146" t="str">
        <f>+VLOOKUP(D664,'3. Cuentas'!A:F,6,0)</f>
        <v>SI</v>
      </c>
    </row>
    <row r="665" spans="1:8" x14ac:dyDescent="0.25">
      <c r="A665" s="43">
        <v>10210204</v>
      </c>
      <c r="B665" t="s">
        <v>948</v>
      </c>
      <c r="C665" s="43" t="s">
        <v>1624</v>
      </c>
      <c r="D665" s="43">
        <v>1110040</v>
      </c>
      <c r="E665" t="s">
        <v>1505</v>
      </c>
      <c r="F665" s="47" t="str">
        <f>+Centro_Cuenta8[[#This Row],[Codigo Centro Gestion]]&amp;" - "&amp;Centro_Cuenta8[[#This Row],[Nombre Centro Gestion]]</f>
        <v>10210204 - Edificio Fernandez Albano 192-Proyecto</v>
      </c>
      <c r="G665" s="47" t="str">
        <f>+Centro_Cuenta8[[#This Row],[Código Cuenta Contable]]&amp;" - "&amp;Centro_Cuenta8[[#This Row],[Nombre de Cuenta Contable]]</f>
        <v>1110040 - Garantía Pagadas</v>
      </c>
      <c r="H665" s="146" t="str">
        <f>+VLOOKUP(D665,'3. Cuentas'!A:F,6,0)</f>
        <v>SI</v>
      </c>
    </row>
    <row r="666" spans="1:8" x14ac:dyDescent="0.25">
      <c r="A666" s="43">
        <v>10210204</v>
      </c>
      <c r="B666" t="s">
        <v>948</v>
      </c>
      <c r="C666" s="43" t="s">
        <v>1624</v>
      </c>
      <c r="D666" s="43">
        <v>1115040</v>
      </c>
      <c r="E666" t="s">
        <v>291</v>
      </c>
      <c r="F666" s="47" t="str">
        <f>+Centro_Cuenta8[[#This Row],[Codigo Centro Gestion]]&amp;" - "&amp;Centro_Cuenta8[[#This Row],[Nombre Centro Gestion]]</f>
        <v>10210204 - Edificio Fernandez Albano 192-Proyecto</v>
      </c>
      <c r="G666" s="47" t="str">
        <f>+Centro_Cuenta8[[#This Row],[Código Cuenta Contable]]&amp;" - "&amp;Centro_Cuenta8[[#This Row],[Nombre de Cuenta Contable]]</f>
        <v>1115040 - Saneamiento De Terreno</v>
      </c>
      <c r="H666" s="146" t="str">
        <f>+VLOOKUP(D666,'3. Cuentas'!A:F,6,0)</f>
        <v>SI</v>
      </c>
    </row>
    <row r="667" spans="1:8" x14ac:dyDescent="0.25">
      <c r="A667" s="43">
        <v>10210204</v>
      </c>
      <c r="B667" t="s">
        <v>948</v>
      </c>
      <c r="C667" s="43" t="s">
        <v>1624</v>
      </c>
      <c r="D667" s="43">
        <v>1115050</v>
      </c>
      <c r="E667" t="s">
        <v>1628</v>
      </c>
      <c r="F667" s="47" t="str">
        <f>+Centro_Cuenta8[[#This Row],[Codigo Centro Gestion]]&amp;" - "&amp;Centro_Cuenta8[[#This Row],[Nombre Centro Gestion]]</f>
        <v>10210204 - Edificio Fernandez Albano 192-Proyecto</v>
      </c>
      <c r="G667" s="47" t="str">
        <f>+Centro_Cuenta8[[#This Row],[Código Cuenta Contable]]&amp;" - "&amp;Centro_Cuenta8[[#This Row],[Nombre de Cuenta Contable]]</f>
        <v>1115050 - Demolición</v>
      </c>
      <c r="H667" s="146" t="str">
        <f>+VLOOKUP(D667,'3. Cuentas'!A:F,6,0)</f>
        <v>SI</v>
      </c>
    </row>
    <row r="668" spans="1:8" x14ac:dyDescent="0.25">
      <c r="A668" s="43">
        <v>10210204</v>
      </c>
      <c r="B668" t="s">
        <v>948</v>
      </c>
      <c r="C668" s="43" t="s">
        <v>1624</v>
      </c>
      <c r="D668" s="43">
        <v>1115100</v>
      </c>
      <c r="E668" t="s">
        <v>292</v>
      </c>
      <c r="F668" s="47" t="str">
        <f>+Centro_Cuenta8[[#This Row],[Codigo Centro Gestion]]&amp;" - "&amp;Centro_Cuenta8[[#This Row],[Nombre Centro Gestion]]</f>
        <v>10210204 - Edificio Fernandez Albano 192-Proyecto</v>
      </c>
      <c r="G668" s="47" t="str">
        <f>+Centro_Cuenta8[[#This Row],[Código Cuenta Contable]]&amp;" - "&amp;Centro_Cuenta8[[#This Row],[Nombre de Cuenta Contable]]</f>
        <v>1115100 - Proyectos Y Especialidades</v>
      </c>
      <c r="H668" s="146" t="str">
        <f>+VLOOKUP(D668,'3. Cuentas'!A:F,6,0)</f>
        <v>SI</v>
      </c>
    </row>
    <row r="669" spans="1:8" x14ac:dyDescent="0.25">
      <c r="A669" s="43">
        <v>10210204</v>
      </c>
      <c r="B669" t="s">
        <v>948</v>
      </c>
      <c r="C669" s="43" t="s">
        <v>1624</v>
      </c>
      <c r="D669" s="43">
        <v>1115120</v>
      </c>
      <c r="E669" t="s">
        <v>1633</v>
      </c>
      <c r="F669" s="47" t="str">
        <f>+Centro_Cuenta8[[#This Row],[Codigo Centro Gestion]]&amp;" - "&amp;Centro_Cuenta8[[#This Row],[Nombre Centro Gestion]]</f>
        <v>10210204 - Edificio Fernandez Albano 192-Proyecto</v>
      </c>
      <c r="G669" s="47" t="str">
        <f>+Centro_Cuenta8[[#This Row],[Código Cuenta Contable]]&amp;" - "&amp;Centro_Cuenta8[[#This Row],[Nombre de Cuenta Contable]]</f>
        <v>1115120 - Instalación Empalmes</v>
      </c>
      <c r="H669" s="146" t="str">
        <f>+VLOOKUP(D669,'3. Cuentas'!A:F,6,0)</f>
        <v>SI</v>
      </c>
    </row>
    <row r="670" spans="1:8" x14ac:dyDescent="0.25">
      <c r="A670" s="43">
        <v>10210204</v>
      </c>
      <c r="B670" t="s">
        <v>948</v>
      </c>
      <c r="C670" s="43" t="s">
        <v>1624</v>
      </c>
      <c r="D670" s="43">
        <v>1115170</v>
      </c>
      <c r="E670" t="s">
        <v>293</v>
      </c>
      <c r="F670" s="47" t="str">
        <f>+Centro_Cuenta8[[#This Row],[Codigo Centro Gestion]]&amp;" - "&amp;Centro_Cuenta8[[#This Row],[Nombre Centro Gestion]]</f>
        <v>10210204 - Edificio Fernandez Albano 192-Proyecto</v>
      </c>
      <c r="G670" s="47" t="str">
        <f>+Centro_Cuenta8[[#This Row],[Código Cuenta Contable]]&amp;" - "&amp;Centro_Cuenta8[[#This Row],[Nombre de Cuenta Contable]]</f>
        <v>1115170 - Permisos Y Otros Gastos Municipales</v>
      </c>
      <c r="H670" s="146" t="str">
        <f>+VLOOKUP(D670,'3. Cuentas'!A:F,6,0)</f>
        <v>SI</v>
      </c>
    </row>
    <row r="671" spans="1:8" x14ac:dyDescent="0.25">
      <c r="A671" s="43">
        <v>10210204</v>
      </c>
      <c r="B671" t="s">
        <v>948</v>
      </c>
      <c r="C671" s="43" t="s">
        <v>1624</v>
      </c>
      <c r="D671" s="43">
        <v>1115240</v>
      </c>
      <c r="E671" t="s">
        <v>294</v>
      </c>
      <c r="F671" s="47" t="str">
        <f>+Centro_Cuenta8[[#This Row],[Codigo Centro Gestion]]&amp;" - "&amp;Centro_Cuenta8[[#This Row],[Nombre Centro Gestion]]</f>
        <v>10210204 - Edificio Fernandez Albano 192-Proyecto</v>
      </c>
      <c r="G671" s="47" t="str">
        <f>+Centro_Cuenta8[[#This Row],[Código Cuenta Contable]]&amp;" - "&amp;Centro_Cuenta8[[#This Row],[Nombre de Cuenta Contable]]</f>
        <v>1115240 - Estudios Y Asesorias Técnicas</v>
      </c>
      <c r="H671" s="146" t="str">
        <f>+VLOOKUP(D671,'3. Cuentas'!A:F,6,0)</f>
        <v>SI</v>
      </c>
    </row>
    <row r="672" spans="1:8" x14ac:dyDescent="0.25">
      <c r="A672" s="43">
        <v>10210204</v>
      </c>
      <c r="B672" t="s">
        <v>948</v>
      </c>
      <c r="C672" s="43" t="s">
        <v>1624</v>
      </c>
      <c r="D672" s="43">
        <v>4203090</v>
      </c>
      <c r="E672" t="s">
        <v>192</v>
      </c>
      <c r="F672" s="47" t="str">
        <f>+Centro_Cuenta8[[#This Row],[Codigo Centro Gestion]]&amp;" - "&amp;Centro_Cuenta8[[#This Row],[Nombre Centro Gestion]]</f>
        <v>10210204 - Edificio Fernandez Albano 192-Proyecto</v>
      </c>
      <c r="G672" s="47" t="str">
        <f>+Centro_Cuenta8[[#This Row],[Código Cuenta Contable]]&amp;" - "&amp;Centro_Cuenta8[[#This Row],[Nombre de Cuenta Contable]]</f>
        <v>4203090 - Gastos Legales Y Notariales Proyecto</v>
      </c>
      <c r="H672" s="146" t="str">
        <f>+VLOOKUP(D672,'3. Cuentas'!A:F,6,0)</f>
        <v>SI</v>
      </c>
    </row>
    <row r="673" spans="1:8" x14ac:dyDescent="0.25">
      <c r="A673" s="43">
        <v>10210204</v>
      </c>
      <c r="B673" t="s">
        <v>948</v>
      </c>
      <c r="C673" s="43" t="s">
        <v>1624</v>
      </c>
      <c r="D673" s="43">
        <v>4203140</v>
      </c>
      <c r="E673" t="s">
        <v>109</v>
      </c>
      <c r="F673" s="47" t="str">
        <f>+Centro_Cuenta8[[#This Row],[Codigo Centro Gestion]]&amp;" - "&amp;Centro_Cuenta8[[#This Row],[Nombre Centro Gestion]]</f>
        <v>10210204 - Edificio Fernandez Albano 192-Proyecto</v>
      </c>
      <c r="G673" s="47" t="str">
        <f>+Centro_Cuenta8[[#This Row],[Código Cuenta Contable]]&amp;" - "&amp;Centro_Cuenta8[[#This Row],[Nombre de Cuenta Contable]]</f>
        <v>4203140 - Contribuciones</v>
      </c>
      <c r="H673" s="146" t="str">
        <f>+VLOOKUP(D673,'3. Cuentas'!A:F,6,0)</f>
        <v>SI</v>
      </c>
    </row>
    <row r="674" spans="1:8" x14ac:dyDescent="0.25">
      <c r="A674" s="43">
        <v>10210204</v>
      </c>
      <c r="B674" t="s">
        <v>948</v>
      </c>
      <c r="C674" s="43" t="s">
        <v>1624</v>
      </c>
      <c r="D674" s="43">
        <v>4203150</v>
      </c>
      <c r="E674" t="s">
        <v>156</v>
      </c>
      <c r="F674" s="47" t="str">
        <f>+Centro_Cuenta8[[#This Row],[Codigo Centro Gestion]]&amp;" - "&amp;Centro_Cuenta8[[#This Row],[Nombre Centro Gestion]]</f>
        <v>10210204 - Edificio Fernandez Albano 192-Proyecto</v>
      </c>
      <c r="G674" s="47" t="str">
        <f>+Centro_Cuenta8[[#This Row],[Código Cuenta Contable]]&amp;" - "&amp;Centro_Cuenta8[[#This Row],[Nombre de Cuenta Contable]]</f>
        <v>4203150 - Gastos CBR</v>
      </c>
      <c r="H674" s="146" t="str">
        <f>+VLOOKUP(D674,'3. Cuentas'!A:F,6,0)</f>
        <v>SI</v>
      </c>
    </row>
    <row r="675" spans="1:8" x14ac:dyDescent="0.25">
      <c r="A675" s="43">
        <v>10210204</v>
      </c>
      <c r="B675" t="s">
        <v>948</v>
      </c>
      <c r="C675" s="43" t="s">
        <v>1624</v>
      </c>
      <c r="D675" s="43">
        <v>4203160</v>
      </c>
      <c r="E675" t="s">
        <v>1639</v>
      </c>
      <c r="F675" s="47" t="str">
        <f>+Centro_Cuenta8[[#This Row],[Codigo Centro Gestion]]&amp;" - "&amp;Centro_Cuenta8[[#This Row],[Nombre Centro Gestion]]</f>
        <v>10210204 - Edificio Fernandez Albano 192-Proyecto</v>
      </c>
      <c r="G675" s="47" t="str">
        <f>+Centro_Cuenta8[[#This Row],[Código Cuenta Contable]]&amp;" - "&amp;Centro_Cuenta8[[#This Row],[Nombre de Cuenta Contable]]</f>
        <v>4203160 - PAPELERIA Y FOTOCOPIADO</v>
      </c>
      <c r="H675" s="146" t="str">
        <f>+VLOOKUP(D675,'3. Cuentas'!A:F,6,0)</f>
        <v>SI</v>
      </c>
    </row>
    <row r="676" spans="1:8" x14ac:dyDescent="0.25">
      <c r="A676" s="43">
        <v>10210204</v>
      </c>
      <c r="B676" t="s">
        <v>948</v>
      </c>
      <c r="C676" s="43" t="s">
        <v>1624</v>
      </c>
      <c r="D676" s="43">
        <v>4203180</v>
      </c>
      <c r="E676" t="s">
        <v>1640</v>
      </c>
      <c r="F676" s="47" t="str">
        <f>+Centro_Cuenta8[[#This Row],[Codigo Centro Gestion]]&amp;" - "&amp;Centro_Cuenta8[[#This Row],[Nombre Centro Gestion]]</f>
        <v>10210204 - Edificio Fernandez Albano 192-Proyecto</v>
      </c>
      <c r="G676" s="47" t="str">
        <f>+Centro_Cuenta8[[#This Row],[Código Cuenta Contable]]&amp;" - "&amp;Centro_Cuenta8[[#This Row],[Nombre de Cuenta Contable]]</f>
        <v>4203180 - Otros Gastos y Aseso Proy</v>
      </c>
      <c r="H676" s="146" t="str">
        <f>+VLOOKUP(D676,'3. Cuentas'!A:F,6,0)</f>
        <v>SI</v>
      </c>
    </row>
    <row r="677" spans="1:8" x14ac:dyDescent="0.25">
      <c r="A677" s="43">
        <v>10210301</v>
      </c>
      <c r="B677" t="s">
        <v>949</v>
      </c>
      <c r="C677" s="43" t="s">
        <v>1643</v>
      </c>
      <c r="D677" s="43">
        <v>4203090</v>
      </c>
      <c r="E677" t="s">
        <v>192</v>
      </c>
      <c r="F677" s="47" t="str">
        <f>+Centro_Cuenta8[[#This Row],[Codigo Centro Gestion]]&amp;" - "&amp;Centro_Cuenta8[[#This Row],[Nombre Centro Gestion]]</f>
        <v>10210301 - Edificio Fernandez Albano 192-GAF</v>
      </c>
      <c r="G677" s="47" t="str">
        <f>+Centro_Cuenta8[[#This Row],[Código Cuenta Contable]]&amp;" - "&amp;Centro_Cuenta8[[#This Row],[Nombre de Cuenta Contable]]</f>
        <v>4203090 - Gastos Legales Y Notariales Proyecto</v>
      </c>
      <c r="H677" s="146" t="str">
        <f>+VLOOKUP(D677,'3. Cuentas'!A:F,6,0)</f>
        <v>SI</v>
      </c>
    </row>
    <row r="678" spans="1:8" x14ac:dyDescent="0.25">
      <c r="A678" s="43">
        <v>10210301</v>
      </c>
      <c r="B678" t="s">
        <v>949</v>
      </c>
      <c r="C678" s="43" t="s">
        <v>1643</v>
      </c>
      <c r="D678" s="43">
        <v>4203140</v>
      </c>
      <c r="E678" t="s">
        <v>109</v>
      </c>
      <c r="F678" s="47" t="str">
        <f>+Centro_Cuenta8[[#This Row],[Codigo Centro Gestion]]&amp;" - "&amp;Centro_Cuenta8[[#This Row],[Nombre Centro Gestion]]</f>
        <v>10210301 - Edificio Fernandez Albano 192-GAF</v>
      </c>
      <c r="G678" s="47" t="str">
        <f>+Centro_Cuenta8[[#This Row],[Código Cuenta Contable]]&amp;" - "&amp;Centro_Cuenta8[[#This Row],[Nombre de Cuenta Contable]]</f>
        <v>4203140 - Contribuciones</v>
      </c>
      <c r="H678" s="146" t="str">
        <f>+VLOOKUP(D678,'3. Cuentas'!A:F,6,0)</f>
        <v>SI</v>
      </c>
    </row>
    <row r="679" spans="1:8" x14ac:dyDescent="0.25">
      <c r="A679" s="43">
        <v>10210506</v>
      </c>
      <c r="B679" t="s">
        <v>951</v>
      </c>
      <c r="C679" s="43" t="s">
        <v>200</v>
      </c>
      <c r="D679" s="43">
        <v>1115100</v>
      </c>
      <c r="E679" t="s">
        <v>292</v>
      </c>
      <c r="F679" s="47" t="str">
        <f>+Centro_Cuenta8[[#This Row],[Codigo Centro Gestion]]&amp;" - "&amp;Centro_Cuenta8[[#This Row],[Nombre Centro Gestion]]</f>
        <v>10210506 - Edificio Fernandez Albano 192-Depto.Técnico</v>
      </c>
      <c r="G679" s="47" t="str">
        <f>+Centro_Cuenta8[[#This Row],[Código Cuenta Contable]]&amp;" - "&amp;Centro_Cuenta8[[#This Row],[Nombre de Cuenta Contable]]</f>
        <v>1115100 - Proyectos Y Especialidades</v>
      </c>
      <c r="H679" s="146" t="str">
        <f>+VLOOKUP(D679,'3. Cuentas'!A:F,6,0)</f>
        <v>SI</v>
      </c>
    </row>
    <row r="680" spans="1:8" x14ac:dyDescent="0.25">
      <c r="A680" s="43">
        <v>10211</v>
      </c>
      <c r="B680" t="s">
        <v>711</v>
      </c>
      <c r="C680" s="43" t="s">
        <v>1520</v>
      </c>
      <c r="D680" s="43">
        <v>4202003</v>
      </c>
      <c r="E680" t="s">
        <v>106</v>
      </c>
      <c r="F680" s="47" t="str">
        <f>+Centro_Cuenta8[[#This Row],[Codigo Centro Gestion]]&amp;" - "&amp;Centro_Cuenta8[[#This Row],[Nombre Centro Gestion]]</f>
        <v>10211 - DEPTO PROYECTOS ZONAL NORTE 3 (NO VIGENTE)</v>
      </c>
      <c r="G680" s="47" t="str">
        <f>+Centro_Cuenta8[[#This Row],[Código Cuenta Contable]]&amp;" - "&amp;Centro_Cuenta8[[#This Row],[Nombre de Cuenta Contable]]</f>
        <v>4202003 - Serv.Basic.Luz.Agua.Tel Of.C</v>
      </c>
      <c r="H680" s="146" t="str">
        <f>+VLOOKUP(D680,'3. Cuentas'!A:F,6,0)</f>
        <v>SI</v>
      </c>
    </row>
    <row r="681" spans="1:8" x14ac:dyDescent="0.25">
      <c r="A681" s="43">
        <v>10211</v>
      </c>
      <c r="B681" t="s">
        <v>711</v>
      </c>
      <c r="C681" s="43" t="s">
        <v>1520</v>
      </c>
      <c r="D681" s="43">
        <v>4202019</v>
      </c>
      <c r="E681" t="s">
        <v>81</v>
      </c>
      <c r="F681" s="47" t="str">
        <f>+Centro_Cuenta8[[#This Row],[Codigo Centro Gestion]]&amp;" - "&amp;Centro_Cuenta8[[#This Row],[Nombre Centro Gestion]]</f>
        <v>10211 - DEPTO PROYECTOS ZONAL NORTE 3 (NO VIGENTE)</v>
      </c>
      <c r="G681" s="47" t="str">
        <f>+Centro_Cuenta8[[#This Row],[Código Cuenta Contable]]&amp;" - "&amp;Centro_Cuenta8[[#This Row],[Nombre de Cuenta Contable]]</f>
        <v>4202019 - Gasto General Oficina</v>
      </c>
      <c r="H681" s="146" t="str">
        <f>+VLOOKUP(D681,'3. Cuentas'!A:F,6,0)</f>
        <v>SI</v>
      </c>
    </row>
    <row r="682" spans="1:8" x14ac:dyDescent="0.25">
      <c r="A682" s="43">
        <v>10211102</v>
      </c>
      <c r="B682" t="s">
        <v>953</v>
      </c>
      <c r="C682" s="43" t="s">
        <v>1617</v>
      </c>
      <c r="D682" s="43">
        <v>4204010</v>
      </c>
      <c r="E682" t="s">
        <v>313</v>
      </c>
      <c r="F682" s="47" t="str">
        <f>+Centro_Cuenta8[[#This Row],[Codigo Centro Gestion]]&amp;" - "&amp;Centro_Cuenta8[[#This Row],[Nombre Centro Gestion]]</f>
        <v>10211102 - Vista del Valle II Edificio B-Marketing</v>
      </c>
      <c r="G682" s="47" t="str">
        <f>+Centro_Cuenta8[[#This Row],[Código Cuenta Contable]]&amp;" - "&amp;Centro_Cuenta8[[#This Row],[Nombre de Cuenta Contable]]</f>
        <v>4204010 - Publicidad Punto Venta</v>
      </c>
      <c r="H682" s="146" t="str">
        <f>+VLOOKUP(D682,'3. Cuentas'!A:F,6,0)</f>
        <v>SI</v>
      </c>
    </row>
    <row r="683" spans="1:8" x14ac:dyDescent="0.25">
      <c r="A683" s="43">
        <v>10211102</v>
      </c>
      <c r="B683" t="s">
        <v>953</v>
      </c>
      <c r="C683" s="43" t="s">
        <v>1617</v>
      </c>
      <c r="D683" s="43">
        <v>4204021</v>
      </c>
      <c r="E683" t="s">
        <v>329</v>
      </c>
      <c r="F683" s="47" t="str">
        <f>+Centro_Cuenta8[[#This Row],[Codigo Centro Gestion]]&amp;" - "&amp;Centro_Cuenta8[[#This Row],[Nombre Centro Gestion]]</f>
        <v>10211102 - Vista del Valle II Edificio B-Marketing</v>
      </c>
      <c r="G683" s="47" t="str">
        <f>+Centro_Cuenta8[[#This Row],[Código Cuenta Contable]]&amp;" - "&amp;Centro_Cuenta8[[#This Row],[Nombre de Cuenta Contable]]</f>
        <v>4204021 - Publicidad Ferias Y Eventos</v>
      </c>
      <c r="H683" s="146" t="str">
        <f>+VLOOKUP(D683,'3. Cuentas'!A:F,6,0)</f>
        <v>SI</v>
      </c>
    </row>
    <row r="684" spans="1:8" x14ac:dyDescent="0.25">
      <c r="A684" s="43">
        <v>10211103</v>
      </c>
      <c r="B684" t="s">
        <v>954</v>
      </c>
      <c r="C684" s="43" t="s">
        <v>1618</v>
      </c>
      <c r="D684" s="43">
        <v>4203060</v>
      </c>
      <c r="E684" t="s">
        <v>321</v>
      </c>
      <c r="F684" s="47" t="str">
        <f>+Centro_Cuenta8[[#This Row],[Codigo Centro Gestion]]&amp;" - "&amp;Centro_Cuenta8[[#This Row],[Nombre Centro Gestion]]</f>
        <v>10211103 - Vista del Valle II Edificio B-Operaciones</v>
      </c>
      <c r="G684" s="47" t="str">
        <f>+Centro_Cuenta8[[#This Row],[Código Cuenta Contable]]&amp;" - "&amp;Centro_Cuenta8[[#This Row],[Nombre de Cuenta Contable]]</f>
        <v>4203060 - Gastos Operacionales De Clientes</v>
      </c>
      <c r="H684" s="146" t="str">
        <f>+VLOOKUP(D684,'3. Cuentas'!A:F,6,0)</f>
        <v>SI</v>
      </c>
    </row>
    <row r="685" spans="1:8" x14ac:dyDescent="0.25">
      <c r="A685" s="43">
        <v>10211103</v>
      </c>
      <c r="B685" t="s">
        <v>954</v>
      </c>
      <c r="C685" s="43" t="s">
        <v>1618</v>
      </c>
      <c r="D685" s="43">
        <v>4203090</v>
      </c>
      <c r="E685" t="s">
        <v>192</v>
      </c>
      <c r="F685" s="47" t="str">
        <f>+Centro_Cuenta8[[#This Row],[Codigo Centro Gestion]]&amp;" - "&amp;Centro_Cuenta8[[#This Row],[Nombre Centro Gestion]]</f>
        <v>10211103 - Vista del Valle II Edificio B-Operaciones</v>
      </c>
      <c r="G685" s="47" t="str">
        <f>+Centro_Cuenta8[[#This Row],[Código Cuenta Contable]]&amp;" - "&amp;Centro_Cuenta8[[#This Row],[Nombre de Cuenta Contable]]</f>
        <v>4203090 - Gastos Legales Y Notariales Proyecto</v>
      </c>
      <c r="H685" s="146" t="str">
        <f>+VLOOKUP(D685,'3. Cuentas'!A:F,6,0)</f>
        <v>SI</v>
      </c>
    </row>
    <row r="686" spans="1:8" x14ac:dyDescent="0.25">
      <c r="A686" s="43">
        <v>10211104</v>
      </c>
      <c r="B686" t="s">
        <v>955</v>
      </c>
      <c r="C686" s="43" t="s">
        <v>90</v>
      </c>
      <c r="D686" s="43">
        <v>1110040</v>
      </c>
      <c r="E686" t="s">
        <v>1505</v>
      </c>
      <c r="F686" s="47" t="str">
        <f>+Centro_Cuenta8[[#This Row],[Codigo Centro Gestion]]&amp;" - "&amp;Centro_Cuenta8[[#This Row],[Nombre Centro Gestion]]</f>
        <v>10211104 - Vista del Valle II Edificio B-Ventas</v>
      </c>
      <c r="G686" s="47" t="str">
        <f>+Centro_Cuenta8[[#This Row],[Código Cuenta Contable]]&amp;" - "&amp;Centro_Cuenta8[[#This Row],[Nombre de Cuenta Contable]]</f>
        <v>1110040 - Garantía Pagadas</v>
      </c>
      <c r="H686" s="146" t="str">
        <f>+VLOOKUP(D686,'3. Cuentas'!A:F,6,0)</f>
        <v>SI</v>
      </c>
    </row>
    <row r="687" spans="1:8" x14ac:dyDescent="0.25">
      <c r="A687" s="43">
        <v>10211104</v>
      </c>
      <c r="B687" t="s">
        <v>955</v>
      </c>
      <c r="C687" s="43" t="s">
        <v>90</v>
      </c>
      <c r="D687" s="43">
        <v>4202003</v>
      </c>
      <c r="E687" t="s">
        <v>106</v>
      </c>
      <c r="F687" s="47" t="str">
        <f>+Centro_Cuenta8[[#This Row],[Codigo Centro Gestion]]&amp;" - "&amp;Centro_Cuenta8[[#This Row],[Nombre Centro Gestion]]</f>
        <v>10211104 - Vista del Valle II Edificio B-Ventas</v>
      </c>
      <c r="G687" s="47" t="str">
        <f>+Centro_Cuenta8[[#This Row],[Código Cuenta Contable]]&amp;" - "&amp;Centro_Cuenta8[[#This Row],[Nombre de Cuenta Contable]]</f>
        <v>4202003 - Serv.Basic.Luz.Agua.Tel Of.C</v>
      </c>
      <c r="H687" s="146" t="str">
        <f>+VLOOKUP(D687,'3. Cuentas'!A:F,6,0)</f>
        <v>SI</v>
      </c>
    </row>
    <row r="688" spans="1:8" x14ac:dyDescent="0.25">
      <c r="A688" s="43">
        <v>10211104</v>
      </c>
      <c r="B688" t="s">
        <v>955</v>
      </c>
      <c r="C688" s="43" t="s">
        <v>90</v>
      </c>
      <c r="D688" s="43">
        <v>4202010</v>
      </c>
      <c r="E688" t="s">
        <v>87</v>
      </c>
      <c r="F688" s="47" t="str">
        <f>+Centro_Cuenta8[[#This Row],[Codigo Centro Gestion]]&amp;" - "&amp;Centro_Cuenta8[[#This Row],[Nombre Centro Gestion]]</f>
        <v>10211104 - Vista del Valle II Edificio B-Ventas</v>
      </c>
      <c r="G688" s="47" t="str">
        <f>+Centro_Cuenta8[[#This Row],[Código Cuenta Contable]]&amp;" - "&amp;Centro_Cuenta8[[#This Row],[Nombre de Cuenta Contable]]</f>
        <v>4202010 - Artic. Ofic. Fotocop.Papelería</v>
      </c>
      <c r="H688" s="146" t="str">
        <f>+VLOOKUP(D688,'3. Cuentas'!A:F,6,0)</f>
        <v>SI</v>
      </c>
    </row>
    <row r="689" spans="1:8" x14ac:dyDescent="0.25">
      <c r="A689" s="43">
        <v>10211104</v>
      </c>
      <c r="B689" t="s">
        <v>955</v>
      </c>
      <c r="C689" s="43" t="s">
        <v>90</v>
      </c>
      <c r="D689" s="43">
        <v>4202019</v>
      </c>
      <c r="E689" t="s">
        <v>81</v>
      </c>
      <c r="F689" s="47" t="str">
        <f>+Centro_Cuenta8[[#This Row],[Codigo Centro Gestion]]&amp;" - "&amp;Centro_Cuenta8[[#This Row],[Nombre Centro Gestion]]</f>
        <v>10211104 - Vista del Valle II Edificio B-Ventas</v>
      </c>
      <c r="G689" s="47" t="str">
        <f>+Centro_Cuenta8[[#This Row],[Código Cuenta Contable]]&amp;" - "&amp;Centro_Cuenta8[[#This Row],[Nombre de Cuenta Contable]]</f>
        <v>4202019 - Gasto General Oficina</v>
      </c>
      <c r="H689" s="146" t="str">
        <f>+VLOOKUP(D689,'3. Cuentas'!A:F,6,0)</f>
        <v>SI</v>
      </c>
    </row>
    <row r="690" spans="1:8" x14ac:dyDescent="0.25">
      <c r="A690" s="43">
        <v>10211104</v>
      </c>
      <c r="B690" t="s">
        <v>955</v>
      </c>
      <c r="C690" s="43" t="s">
        <v>90</v>
      </c>
      <c r="D690" s="43">
        <v>4202023</v>
      </c>
      <c r="E690" t="s">
        <v>82</v>
      </c>
      <c r="F690" s="47" t="str">
        <f>+Centro_Cuenta8[[#This Row],[Codigo Centro Gestion]]&amp;" - "&amp;Centro_Cuenta8[[#This Row],[Nombre Centro Gestion]]</f>
        <v>10211104 - Vista del Valle II Edificio B-Ventas</v>
      </c>
      <c r="G690" s="47" t="str">
        <f>+Centro_Cuenta8[[#This Row],[Código Cuenta Contable]]&amp;" - "&amp;Centro_Cuenta8[[#This Row],[Nombre de Cuenta Contable]]</f>
        <v>4202023 - Honorarios Por Asesorías</v>
      </c>
      <c r="H690" s="146" t="str">
        <f>+VLOOKUP(D690,'3. Cuentas'!A:F,6,0)</f>
        <v>SI</v>
      </c>
    </row>
    <row r="691" spans="1:8" x14ac:dyDescent="0.25">
      <c r="A691" s="43">
        <v>10211104</v>
      </c>
      <c r="B691" t="s">
        <v>955</v>
      </c>
      <c r="C691" s="43" t="s">
        <v>90</v>
      </c>
      <c r="D691" s="43">
        <v>4202029</v>
      </c>
      <c r="E691" t="s">
        <v>83</v>
      </c>
      <c r="F691" s="47" t="str">
        <f>+Centro_Cuenta8[[#This Row],[Codigo Centro Gestion]]&amp;" - "&amp;Centro_Cuenta8[[#This Row],[Nombre Centro Gestion]]</f>
        <v>10211104 - Vista del Valle II Edificio B-Ventas</v>
      </c>
      <c r="G691" s="47" t="str">
        <f>+Centro_Cuenta8[[#This Row],[Código Cuenta Contable]]&amp;" - "&amp;Centro_Cuenta8[[#This Row],[Nombre de Cuenta Contable]]</f>
        <v>4202029 - Insumos Y Gastos Informáticos</v>
      </c>
      <c r="H691" s="146" t="str">
        <f>+VLOOKUP(D691,'3. Cuentas'!A:F,6,0)</f>
        <v>SI</v>
      </c>
    </row>
    <row r="692" spans="1:8" x14ac:dyDescent="0.25">
      <c r="A692" s="43">
        <v>10211104</v>
      </c>
      <c r="B692" t="s">
        <v>955</v>
      </c>
      <c r="C692" s="43" t="s">
        <v>90</v>
      </c>
      <c r="D692" s="43">
        <v>4204021</v>
      </c>
      <c r="E692" t="s">
        <v>329</v>
      </c>
      <c r="F692" s="47" t="str">
        <f>+Centro_Cuenta8[[#This Row],[Codigo Centro Gestion]]&amp;" - "&amp;Centro_Cuenta8[[#This Row],[Nombre Centro Gestion]]</f>
        <v>10211104 - Vista del Valle II Edificio B-Ventas</v>
      </c>
      <c r="G692" s="47" t="str">
        <f>+Centro_Cuenta8[[#This Row],[Código Cuenta Contable]]&amp;" - "&amp;Centro_Cuenta8[[#This Row],[Nombre de Cuenta Contable]]</f>
        <v>4204021 - Publicidad Ferias Y Eventos</v>
      </c>
      <c r="H692" s="146" t="str">
        <f>+VLOOKUP(D692,'3. Cuentas'!A:F,6,0)</f>
        <v>SI</v>
      </c>
    </row>
    <row r="693" spans="1:8" x14ac:dyDescent="0.25">
      <c r="A693" s="43">
        <v>10211105</v>
      </c>
      <c r="B693" t="s">
        <v>956</v>
      </c>
      <c r="C693" s="43" t="s">
        <v>1622</v>
      </c>
      <c r="D693" s="43">
        <v>4203020</v>
      </c>
      <c r="E693" t="s">
        <v>295</v>
      </c>
      <c r="F693" s="47" t="str">
        <f>+Centro_Cuenta8[[#This Row],[Codigo Centro Gestion]]&amp;" - "&amp;Centro_Cuenta8[[#This Row],[Nombre Centro Gestion]]</f>
        <v>10211105 - Vista del Valle II Edificio B-Clientes</v>
      </c>
      <c r="G693" s="47" t="str">
        <f>+Centro_Cuenta8[[#This Row],[Código Cuenta Contable]]&amp;" - "&amp;Centro_Cuenta8[[#This Row],[Nombre de Cuenta Contable]]</f>
        <v>4203020 - Mant. y Consum. Viv Stock</v>
      </c>
      <c r="H693" s="146" t="str">
        <f>+VLOOKUP(D693,'3. Cuentas'!A:F,6,0)</f>
        <v>SI</v>
      </c>
    </row>
    <row r="694" spans="1:8" x14ac:dyDescent="0.25">
      <c r="A694" s="43">
        <v>10211105</v>
      </c>
      <c r="B694" t="s">
        <v>956</v>
      </c>
      <c r="C694" s="43" t="s">
        <v>1622</v>
      </c>
      <c r="D694" s="43">
        <v>4203120</v>
      </c>
      <c r="E694" t="s">
        <v>108</v>
      </c>
      <c r="F694" s="47" t="str">
        <f>+Centro_Cuenta8[[#This Row],[Codigo Centro Gestion]]&amp;" - "&amp;Centro_Cuenta8[[#This Row],[Nombre Centro Gestion]]</f>
        <v>10211105 - Vista del Valle II Edificio B-Clientes</v>
      </c>
      <c r="G694" s="47" t="str">
        <f>+Centro_Cuenta8[[#This Row],[Código Cuenta Contable]]&amp;" - "&amp;Centro_Cuenta8[[#This Row],[Nombre de Cuenta Contable]]</f>
        <v>4203120 - Gastos Comunes</v>
      </c>
      <c r="H694" s="146" t="str">
        <f>+VLOOKUP(D694,'3. Cuentas'!A:F,6,0)</f>
        <v>SI</v>
      </c>
    </row>
    <row r="695" spans="1:8" x14ac:dyDescent="0.25">
      <c r="A695" s="43">
        <v>10211105</v>
      </c>
      <c r="B695" t="s">
        <v>956</v>
      </c>
      <c r="C695" s="43" t="s">
        <v>1622</v>
      </c>
      <c r="D695" s="43">
        <v>4203140</v>
      </c>
      <c r="E695" t="s">
        <v>109</v>
      </c>
      <c r="F695" s="47" t="str">
        <f>+Centro_Cuenta8[[#This Row],[Codigo Centro Gestion]]&amp;" - "&amp;Centro_Cuenta8[[#This Row],[Nombre Centro Gestion]]</f>
        <v>10211105 - Vista del Valle II Edificio B-Clientes</v>
      </c>
      <c r="G695" s="47" t="str">
        <f>+Centro_Cuenta8[[#This Row],[Código Cuenta Contable]]&amp;" - "&amp;Centro_Cuenta8[[#This Row],[Nombre de Cuenta Contable]]</f>
        <v>4203140 - Contribuciones</v>
      </c>
      <c r="H695" s="146" t="str">
        <f>+VLOOKUP(D695,'3. Cuentas'!A:F,6,0)</f>
        <v>SI</v>
      </c>
    </row>
    <row r="696" spans="1:8" x14ac:dyDescent="0.25">
      <c r="A696" s="43">
        <v>10211204</v>
      </c>
      <c r="B696" t="s">
        <v>957</v>
      </c>
      <c r="C696" s="43" t="s">
        <v>1624</v>
      </c>
      <c r="D696" s="43">
        <v>1103045</v>
      </c>
      <c r="E696" t="s">
        <v>323</v>
      </c>
      <c r="F696" s="47" t="str">
        <f>+Centro_Cuenta8[[#This Row],[Codigo Centro Gestion]]&amp;" - "&amp;Centro_Cuenta8[[#This Row],[Nombre Centro Gestion]]</f>
        <v>10211204 - Vista del Valle II Edificio B-Proyecto</v>
      </c>
      <c r="G696" s="47" t="str">
        <f>+Centro_Cuenta8[[#This Row],[Código Cuenta Contable]]&amp;" - "&amp;Centro_Cuenta8[[#This Row],[Nombre de Cuenta Contable]]</f>
        <v>1103045 - Aportes reembolsables (electricidad y agua)</v>
      </c>
      <c r="H696" s="146" t="str">
        <f>+VLOOKUP(D696,'3. Cuentas'!A:F,6,0)</f>
        <v>SI</v>
      </c>
    </row>
    <row r="697" spans="1:8" x14ac:dyDescent="0.25">
      <c r="A697" s="43">
        <v>10211204</v>
      </c>
      <c r="B697" t="s">
        <v>957</v>
      </c>
      <c r="C697" s="43" t="s">
        <v>1624</v>
      </c>
      <c r="D697" s="43">
        <v>1109020</v>
      </c>
      <c r="E697" t="s">
        <v>302</v>
      </c>
      <c r="F697" s="47" t="str">
        <f>+Centro_Cuenta8[[#This Row],[Codigo Centro Gestion]]&amp;" - "&amp;Centro_Cuenta8[[#This Row],[Nombre Centro Gestion]]</f>
        <v>10211204 - Vista del Valle II Edificio B-Proyecto</v>
      </c>
      <c r="G697" s="47" t="str">
        <f>+Centro_Cuenta8[[#This Row],[Código Cuenta Contable]]&amp;" - "&amp;Centro_Cuenta8[[#This Row],[Nombre de Cuenta Contable]]</f>
        <v>1109020 - Mobiliario</v>
      </c>
      <c r="H697" s="146" t="str">
        <f>+VLOOKUP(D697,'3. Cuentas'!A:F,6,0)</f>
        <v>SI</v>
      </c>
    </row>
    <row r="698" spans="1:8" x14ac:dyDescent="0.25">
      <c r="A698" s="43">
        <v>10211204</v>
      </c>
      <c r="B698" t="s">
        <v>957</v>
      </c>
      <c r="C698" s="43" t="s">
        <v>1624</v>
      </c>
      <c r="D698" s="43">
        <v>1110040</v>
      </c>
      <c r="E698" t="s">
        <v>1505</v>
      </c>
      <c r="F698" s="47" t="str">
        <f>+Centro_Cuenta8[[#This Row],[Codigo Centro Gestion]]&amp;" - "&amp;Centro_Cuenta8[[#This Row],[Nombre Centro Gestion]]</f>
        <v>10211204 - Vista del Valle II Edificio B-Proyecto</v>
      </c>
      <c r="G698" s="47" t="str">
        <f>+Centro_Cuenta8[[#This Row],[Código Cuenta Contable]]&amp;" - "&amp;Centro_Cuenta8[[#This Row],[Nombre de Cuenta Contable]]</f>
        <v>1110040 - Garantía Pagadas</v>
      </c>
      <c r="H698" s="146" t="str">
        <f>+VLOOKUP(D698,'3. Cuentas'!A:F,6,0)</f>
        <v>SI</v>
      </c>
    </row>
    <row r="699" spans="1:8" x14ac:dyDescent="0.25">
      <c r="A699" s="43">
        <v>10211204</v>
      </c>
      <c r="B699" t="s">
        <v>957</v>
      </c>
      <c r="C699" s="43" t="s">
        <v>1624</v>
      </c>
      <c r="D699" s="43">
        <v>1115040</v>
      </c>
      <c r="E699" t="s">
        <v>291</v>
      </c>
      <c r="F699" s="47" t="str">
        <f>+Centro_Cuenta8[[#This Row],[Codigo Centro Gestion]]&amp;" - "&amp;Centro_Cuenta8[[#This Row],[Nombre Centro Gestion]]</f>
        <v>10211204 - Vista del Valle II Edificio B-Proyecto</v>
      </c>
      <c r="G699" s="47" t="str">
        <f>+Centro_Cuenta8[[#This Row],[Código Cuenta Contable]]&amp;" - "&amp;Centro_Cuenta8[[#This Row],[Nombre de Cuenta Contable]]</f>
        <v>1115040 - Saneamiento De Terreno</v>
      </c>
      <c r="H699" s="146" t="str">
        <f>+VLOOKUP(D699,'3. Cuentas'!A:F,6,0)</f>
        <v>SI</v>
      </c>
    </row>
    <row r="700" spans="1:8" x14ac:dyDescent="0.25">
      <c r="A700" s="43">
        <v>10211204</v>
      </c>
      <c r="B700" t="s">
        <v>957</v>
      </c>
      <c r="C700" s="43" t="s">
        <v>1624</v>
      </c>
      <c r="D700" s="43">
        <v>1115050</v>
      </c>
      <c r="E700" t="s">
        <v>1628</v>
      </c>
      <c r="F700" s="47" t="str">
        <f>+Centro_Cuenta8[[#This Row],[Codigo Centro Gestion]]&amp;" - "&amp;Centro_Cuenta8[[#This Row],[Nombre Centro Gestion]]</f>
        <v>10211204 - Vista del Valle II Edificio B-Proyecto</v>
      </c>
      <c r="G700" s="47" t="str">
        <f>+Centro_Cuenta8[[#This Row],[Código Cuenta Contable]]&amp;" - "&amp;Centro_Cuenta8[[#This Row],[Nombre de Cuenta Contable]]</f>
        <v>1115050 - Demolición</v>
      </c>
      <c r="H700" s="146" t="str">
        <f>+VLOOKUP(D700,'3. Cuentas'!A:F,6,0)</f>
        <v>SI</v>
      </c>
    </row>
    <row r="701" spans="1:8" x14ac:dyDescent="0.25">
      <c r="A701" s="43">
        <v>10211204</v>
      </c>
      <c r="B701" t="s">
        <v>957</v>
      </c>
      <c r="C701" s="43" t="s">
        <v>1624</v>
      </c>
      <c r="D701" s="43">
        <v>1115100</v>
      </c>
      <c r="E701" t="s">
        <v>292</v>
      </c>
      <c r="F701" s="47" t="str">
        <f>+Centro_Cuenta8[[#This Row],[Codigo Centro Gestion]]&amp;" - "&amp;Centro_Cuenta8[[#This Row],[Nombre Centro Gestion]]</f>
        <v>10211204 - Vista del Valle II Edificio B-Proyecto</v>
      </c>
      <c r="G701" s="47" t="str">
        <f>+Centro_Cuenta8[[#This Row],[Código Cuenta Contable]]&amp;" - "&amp;Centro_Cuenta8[[#This Row],[Nombre de Cuenta Contable]]</f>
        <v>1115100 - Proyectos Y Especialidades</v>
      </c>
      <c r="H701" s="146" t="str">
        <f>+VLOOKUP(D701,'3. Cuentas'!A:F,6,0)</f>
        <v>SI</v>
      </c>
    </row>
    <row r="702" spans="1:8" x14ac:dyDescent="0.25">
      <c r="A702" s="43">
        <v>10211204</v>
      </c>
      <c r="B702" t="s">
        <v>957</v>
      </c>
      <c r="C702" s="43" t="s">
        <v>1624</v>
      </c>
      <c r="D702" s="43">
        <v>1115120</v>
      </c>
      <c r="E702" t="s">
        <v>1633</v>
      </c>
      <c r="F702" s="47" t="str">
        <f>+Centro_Cuenta8[[#This Row],[Codigo Centro Gestion]]&amp;" - "&amp;Centro_Cuenta8[[#This Row],[Nombre Centro Gestion]]</f>
        <v>10211204 - Vista del Valle II Edificio B-Proyecto</v>
      </c>
      <c r="G702" s="47" t="str">
        <f>+Centro_Cuenta8[[#This Row],[Código Cuenta Contable]]&amp;" - "&amp;Centro_Cuenta8[[#This Row],[Nombre de Cuenta Contable]]</f>
        <v>1115120 - Instalación Empalmes</v>
      </c>
      <c r="H702" s="146" t="str">
        <f>+VLOOKUP(D702,'3. Cuentas'!A:F,6,0)</f>
        <v>SI</v>
      </c>
    </row>
    <row r="703" spans="1:8" x14ac:dyDescent="0.25">
      <c r="A703" s="43">
        <v>10211204</v>
      </c>
      <c r="B703" t="s">
        <v>957</v>
      </c>
      <c r="C703" s="43" t="s">
        <v>1624</v>
      </c>
      <c r="D703" s="43">
        <v>1115170</v>
      </c>
      <c r="E703" t="s">
        <v>293</v>
      </c>
      <c r="F703" s="47" t="str">
        <f>+Centro_Cuenta8[[#This Row],[Codigo Centro Gestion]]&amp;" - "&amp;Centro_Cuenta8[[#This Row],[Nombre Centro Gestion]]</f>
        <v>10211204 - Vista del Valle II Edificio B-Proyecto</v>
      </c>
      <c r="G703" s="47" t="str">
        <f>+Centro_Cuenta8[[#This Row],[Código Cuenta Contable]]&amp;" - "&amp;Centro_Cuenta8[[#This Row],[Nombre de Cuenta Contable]]</f>
        <v>1115170 - Permisos Y Otros Gastos Municipales</v>
      </c>
      <c r="H703" s="146" t="str">
        <f>+VLOOKUP(D703,'3. Cuentas'!A:F,6,0)</f>
        <v>SI</v>
      </c>
    </row>
    <row r="704" spans="1:8" x14ac:dyDescent="0.25">
      <c r="A704" s="43">
        <v>10211204</v>
      </c>
      <c r="B704" t="s">
        <v>957</v>
      </c>
      <c r="C704" s="43" t="s">
        <v>1624</v>
      </c>
      <c r="D704" s="43">
        <v>1115240</v>
      </c>
      <c r="E704" t="s">
        <v>294</v>
      </c>
      <c r="F704" s="47" t="str">
        <f>+Centro_Cuenta8[[#This Row],[Codigo Centro Gestion]]&amp;" - "&amp;Centro_Cuenta8[[#This Row],[Nombre Centro Gestion]]</f>
        <v>10211204 - Vista del Valle II Edificio B-Proyecto</v>
      </c>
      <c r="G704" s="47" t="str">
        <f>+Centro_Cuenta8[[#This Row],[Código Cuenta Contable]]&amp;" - "&amp;Centro_Cuenta8[[#This Row],[Nombre de Cuenta Contable]]</f>
        <v>1115240 - Estudios Y Asesorias Técnicas</v>
      </c>
      <c r="H704" s="146" t="str">
        <f>+VLOOKUP(D704,'3. Cuentas'!A:F,6,0)</f>
        <v>SI</v>
      </c>
    </row>
    <row r="705" spans="1:8" x14ac:dyDescent="0.25">
      <c r="A705" s="43">
        <v>10211204</v>
      </c>
      <c r="B705" t="s">
        <v>957</v>
      </c>
      <c r="C705" s="43" t="s">
        <v>1624</v>
      </c>
      <c r="D705" s="43">
        <v>4203090</v>
      </c>
      <c r="E705" t="s">
        <v>192</v>
      </c>
      <c r="F705" s="47" t="str">
        <f>+Centro_Cuenta8[[#This Row],[Codigo Centro Gestion]]&amp;" - "&amp;Centro_Cuenta8[[#This Row],[Nombre Centro Gestion]]</f>
        <v>10211204 - Vista del Valle II Edificio B-Proyecto</v>
      </c>
      <c r="G705" s="47" t="str">
        <f>+Centro_Cuenta8[[#This Row],[Código Cuenta Contable]]&amp;" - "&amp;Centro_Cuenta8[[#This Row],[Nombre de Cuenta Contable]]</f>
        <v>4203090 - Gastos Legales Y Notariales Proyecto</v>
      </c>
      <c r="H705" s="146" t="str">
        <f>+VLOOKUP(D705,'3. Cuentas'!A:F,6,0)</f>
        <v>SI</v>
      </c>
    </row>
    <row r="706" spans="1:8" x14ac:dyDescent="0.25">
      <c r="A706" s="43">
        <v>10211204</v>
      </c>
      <c r="B706" t="s">
        <v>957</v>
      </c>
      <c r="C706" s="43" t="s">
        <v>1624</v>
      </c>
      <c r="D706" s="43">
        <v>4203140</v>
      </c>
      <c r="E706" t="s">
        <v>109</v>
      </c>
      <c r="F706" s="47" t="str">
        <f>+Centro_Cuenta8[[#This Row],[Codigo Centro Gestion]]&amp;" - "&amp;Centro_Cuenta8[[#This Row],[Nombre Centro Gestion]]</f>
        <v>10211204 - Vista del Valle II Edificio B-Proyecto</v>
      </c>
      <c r="G706" s="47" t="str">
        <f>+Centro_Cuenta8[[#This Row],[Código Cuenta Contable]]&amp;" - "&amp;Centro_Cuenta8[[#This Row],[Nombre de Cuenta Contable]]</f>
        <v>4203140 - Contribuciones</v>
      </c>
      <c r="H706" s="146" t="str">
        <f>+VLOOKUP(D706,'3. Cuentas'!A:F,6,0)</f>
        <v>SI</v>
      </c>
    </row>
    <row r="707" spans="1:8" x14ac:dyDescent="0.25">
      <c r="A707" s="43">
        <v>10211204</v>
      </c>
      <c r="B707" t="s">
        <v>957</v>
      </c>
      <c r="C707" s="43" t="s">
        <v>1624</v>
      </c>
      <c r="D707" s="43">
        <v>4203150</v>
      </c>
      <c r="E707" t="s">
        <v>156</v>
      </c>
      <c r="F707" s="47" t="str">
        <f>+Centro_Cuenta8[[#This Row],[Codigo Centro Gestion]]&amp;" - "&amp;Centro_Cuenta8[[#This Row],[Nombre Centro Gestion]]</f>
        <v>10211204 - Vista del Valle II Edificio B-Proyecto</v>
      </c>
      <c r="G707" s="47" t="str">
        <f>+Centro_Cuenta8[[#This Row],[Código Cuenta Contable]]&amp;" - "&amp;Centro_Cuenta8[[#This Row],[Nombre de Cuenta Contable]]</f>
        <v>4203150 - Gastos CBR</v>
      </c>
      <c r="H707" s="146" t="str">
        <f>+VLOOKUP(D707,'3. Cuentas'!A:F,6,0)</f>
        <v>SI</v>
      </c>
    </row>
    <row r="708" spans="1:8" x14ac:dyDescent="0.25">
      <c r="A708" s="43">
        <v>10211204</v>
      </c>
      <c r="B708" t="s">
        <v>957</v>
      </c>
      <c r="C708" s="43" t="s">
        <v>1624</v>
      </c>
      <c r="D708" s="43">
        <v>4203160</v>
      </c>
      <c r="E708" t="s">
        <v>1639</v>
      </c>
      <c r="F708" s="47" t="str">
        <f>+Centro_Cuenta8[[#This Row],[Codigo Centro Gestion]]&amp;" - "&amp;Centro_Cuenta8[[#This Row],[Nombre Centro Gestion]]</f>
        <v>10211204 - Vista del Valle II Edificio B-Proyecto</v>
      </c>
      <c r="G708" s="47" t="str">
        <f>+Centro_Cuenta8[[#This Row],[Código Cuenta Contable]]&amp;" - "&amp;Centro_Cuenta8[[#This Row],[Nombre de Cuenta Contable]]</f>
        <v>4203160 - PAPELERIA Y FOTOCOPIADO</v>
      </c>
      <c r="H708" s="146" t="str">
        <f>+VLOOKUP(D708,'3. Cuentas'!A:F,6,0)</f>
        <v>SI</v>
      </c>
    </row>
    <row r="709" spans="1:8" x14ac:dyDescent="0.25">
      <c r="A709" s="43">
        <v>10211204</v>
      </c>
      <c r="B709" t="s">
        <v>957</v>
      </c>
      <c r="C709" s="43" t="s">
        <v>1624</v>
      </c>
      <c r="D709" s="43">
        <v>4203180</v>
      </c>
      <c r="E709" t="s">
        <v>1640</v>
      </c>
      <c r="F709" s="47" t="str">
        <f>+Centro_Cuenta8[[#This Row],[Codigo Centro Gestion]]&amp;" - "&amp;Centro_Cuenta8[[#This Row],[Nombre Centro Gestion]]</f>
        <v>10211204 - Vista del Valle II Edificio B-Proyecto</v>
      </c>
      <c r="G709" s="47" t="str">
        <f>+Centro_Cuenta8[[#This Row],[Código Cuenta Contable]]&amp;" - "&amp;Centro_Cuenta8[[#This Row],[Nombre de Cuenta Contable]]</f>
        <v>4203180 - Otros Gastos y Aseso Proy</v>
      </c>
      <c r="H709" s="146" t="str">
        <f>+VLOOKUP(D709,'3. Cuentas'!A:F,6,0)</f>
        <v>SI</v>
      </c>
    </row>
    <row r="710" spans="1:8" x14ac:dyDescent="0.25">
      <c r="A710" s="43">
        <v>10211301</v>
      </c>
      <c r="B710" t="s">
        <v>958</v>
      </c>
      <c r="C710" s="43" t="s">
        <v>1643</v>
      </c>
      <c r="D710" s="43">
        <v>4203090</v>
      </c>
      <c r="E710" t="s">
        <v>192</v>
      </c>
      <c r="F710" s="47" t="str">
        <f>+Centro_Cuenta8[[#This Row],[Codigo Centro Gestion]]&amp;" - "&amp;Centro_Cuenta8[[#This Row],[Nombre Centro Gestion]]</f>
        <v>10211301 - Vista del Valle II Edificio B-GAF</v>
      </c>
      <c r="G710" s="47" t="str">
        <f>+Centro_Cuenta8[[#This Row],[Código Cuenta Contable]]&amp;" - "&amp;Centro_Cuenta8[[#This Row],[Nombre de Cuenta Contable]]</f>
        <v>4203090 - Gastos Legales Y Notariales Proyecto</v>
      </c>
      <c r="H710" s="146" t="str">
        <f>+VLOOKUP(D710,'3. Cuentas'!A:F,6,0)</f>
        <v>SI</v>
      </c>
    </row>
    <row r="711" spans="1:8" x14ac:dyDescent="0.25">
      <c r="A711" s="43">
        <v>10211301</v>
      </c>
      <c r="B711" t="s">
        <v>958</v>
      </c>
      <c r="C711" s="43" t="s">
        <v>1643</v>
      </c>
      <c r="D711" s="43">
        <v>4203140</v>
      </c>
      <c r="E711" t="s">
        <v>109</v>
      </c>
      <c r="F711" s="47" t="str">
        <f>+Centro_Cuenta8[[#This Row],[Codigo Centro Gestion]]&amp;" - "&amp;Centro_Cuenta8[[#This Row],[Nombre Centro Gestion]]</f>
        <v>10211301 - Vista del Valle II Edificio B-GAF</v>
      </c>
      <c r="G711" s="47" t="str">
        <f>+Centro_Cuenta8[[#This Row],[Código Cuenta Contable]]&amp;" - "&amp;Centro_Cuenta8[[#This Row],[Nombre de Cuenta Contable]]</f>
        <v>4203140 - Contribuciones</v>
      </c>
      <c r="H711" s="146" t="str">
        <f>+VLOOKUP(D711,'3. Cuentas'!A:F,6,0)</f>
        <v>SI</v>
      </c>
    </row>
    <row r="712" spans="1:8" x14ac:dyDescent="0.25">
      <c r="A712" s="43">
        <v>10211506</v>
      </c>
      <c r="B712" t="s">
        <v>960</v>
      </c>
      <c r="C712" s="43" t="s">
        <v>200</v>
      </c>
      <c r="D712" s="43">
        <v>1115100</v>
      </c>
      <c r="E712" t="s">
        <v>292</v>
      </c>
      <c r="F712" s="47" t="str">
        <f>+Centro_Cuenta8[[#This Row],[Codigo Centro Gestion]]&amp;" - "&amp;Centro_Cuenta8[[#This Row],[Nombre Centro Gestion]]</f>
        <v>10211506 - Vista del Valle II Edificio B-Depto.Técnico</v>
      </c>
      <c r="G712" s="47" t="str">
        <f>+Centro_Cuenta8[[#This Row],[Código Cuenta Contable]]&amp;" - "&amp;Centro_Cuenta8[[#This Row],[Nombre de Cuenta Contable]]</f>
        <v>1115100 - Proyectos Y Especialidades</v>
      </c>
      <c r="H712" s="146" t="str">
        <f>+VLOOKUP(D712,'3. Cuentas'!A:F,6,0)</f>
        <v>SI</v>
      </c>
    </row>
    <row r="713" spans="1:8" x14ac:dyDescent="0.25">
      <c r="A713" s="43">
        <v>10212102</v>
      </c>
      <c r="B713" t="s">
        <v>962</v>
      </c>
      <c r="C713" s="43" t="s">
        <v>1617</v>
      </c>
      <c r="D713" s="43">
        <v>4204010</v>
      </c>
      <c r="E713" t="s">
        <v>313</v>
      </c>
      <c r="F713" s="47" t="str">
        <f>+Centro_Cuenta8[[#This Row],[Codigo Centro Gestion]]&amp;" - "&amp;Centro_Cuenta8[[#This Row],[Nombre Centro Gestion]]</f>
        <v>10212102 - Edificio Constantino 54-Marketing</v>
      </c>
      <c r="G713" s="47" t="str">
        <f>+Centro_Cuenta8[[#This Row],[Código Cuenta Contable]]&amp;" - "&amp;Centro_Cuenta8[[#This Row],[Nombre de Cuenta Contable]]</f>
        <v>4204010 - Publicidad Punto Venta</v>
      </c>
      <c r="H713" s="146" t="str">
        <f>+VLOOKUP(D713,'3. Cuentas'!A:F,6,0)</f>
        <v>SI</v>
      </c>
    </row>
    <row r="714" spans="1:8" x14ac:dyDescent="0.25">
      <c r="A714" s="43">
        <v>10212102</v>
      </c>
      <c r="B714" t="s">
        <v>962</v>
      </c>
      <c r="C714" s="43" t="s">
        <v>1617</v>
      </c>
      <c r="D714" s="43">
        <v>4204021</v>
      </c>
      <c r="E714" t="s">
        <v>329</v>
      </c>
      <c r="F714" s="47" t="str">
        <f>+Centro_Cuenta8[[#This Row],[Codigo Centro Gestion]]&amp;" - "&amp;Centro_Cuenta8[[#This Row],[Nombre Centro Gestion]]</f>
        <v>10212102 - Edificio Constantino 54-Marketing</v>
      </c>
      <c r="G714" s="47" t="str">
        <f>+Centro_Cuenta8[[#This Row],[Código Cuenta Contable]]&amp;" - "&amp;Centro_Cuenta8[[#This Row],[Nombre de Cuenta Contable]]</f>
        <v>4204021 - Publicidad Ferias Y Eventos</v>
      </c>
      <c r="H714" s="146" t="str">
        <f>+VLOOKUP(D714,'3. Cuentas'!A:F,6,0)</f>
        <v>SI</v>
      </c>
    </row>
    <row r="715" spans="1:8" x14ac:dyDescent="0.25">
      <c r="A715" s="43">
        <v>10212103</v>
      </c>
      <c r="B715" t="s">
        <v>963</v>
      </c>
      <c r="C715" s="43" t="s">
        <v>1618</v>
      </c>
      <c r="D715" s="43">
        <v>4203060</v>
      </c>
      <c r="E715" t="s">
        <v>321</v>
      </c>
      <c r="F715" s="47" t="str">
        <f>+Centro_Cuenta8[[#This Row],[Codigo Centro Gestion]]&amp;" - "&amp;Centro_Cuenta8[[#This Row],[Nombre Centro Gestion]]</f>
        <v>10212103 - Edificio Constantino 54-Operaciones</v>
      </c>
      <c r="G715" s="47" t="str">
        <f>+Centro_Cuenta8[[#This Row],[Código Cuenta Contable]]&amp;" - "&amp;Centro_Cuenta8[[#This Row],[Nombre de Cuenta Contable]]</f>
        <v>4203060 - Gastos Operacionales De Clientes</v>
      </c>
      <c r="H715" s="146" t="str">
        <f>+VLOOKUP(D715,'3. Cuentas'!A:F,6,0)</f>
        <v>SI</v>
      </c>
    </row>
    <row r="716" spans="1:8" x14ac:dyDescent="0.25">
      <c r="A716" s="43">
        <v>10212103</v>
      </c>
      <c r="B716" t="s">
        <v>963</v>
      </c>
      <c r="C716" s="43" t="s">
        <v>1618</v>
      </c>
      <c r="D716" s="43">
        <v>4203090</v>
      </c>
      <c r="E716" t="s">
        <v>192</v>
      </c>
      <c r="F716" s="47" t="str">
        <f>+Centro_Cuenta8[[#This Row],[Codigo Centro Gestion]]&amp;" - "&amp;Centro_Cuenta8[[#This Row],[Nombre Centro Gestion]]</f>
        <v>10212103 - Edificio Constantino 54-Operaciones</v>
      </c>
      <c r="G716" s="47" t="str">
        <f>+Centro_Cuenta8[[#This Row],[Código Cuenta Contable]]&amp;" - "&amp;Centro_Cuenta8[[#This Row],[Nombre de Cuenta Contable]]</f>
        <v>4203090 - Gastos Legales Y Notariales Proyecto</v>
      </c>
      <c r="H716" s="146" t="str">
        <f>+VLOOKUP(D716,'3. Cuentas'!A:F,6,0)</f>
        <v>SI</v>
      </c>
    </row>
    <row r="717" spans="1:8" x14ac:dyDescent="0.25">
      <c r="A717" s="43">
        <v>10212104</v>
      </c>
      <c r="B717" t="s">
        <v>964</v>
      </c>
      <c r="C717" s="43" t="s">
        <v>90</v>
      </c>
      <c r="D717" s="43">
        <v>1110040</v>
      </c>
      <c r="E717" t="s">
        <v>1505</v>
      </c>
      <c r="F717" s="47" t="str">
        <f>+Centro_Cuenta8[[#This Row],[Codigo Centro Gestion]]&amp;" - "&amp;Centro_Cuenta8[[#This Row],[Nombre Centro Gestion]]</f>
        <v>10212104 - Edificio Constantino 54-Ventas</v>
      </c>
      <c r="G717" s="47" t="str">
        <f>+Centro_Cuenta8[[#This Row],[Código Cuenta Contable]]&amp;" - "&amp;Centro_Cuenta8[[#This Row],[Nombre de Cuenta Contable]]</f>
        <v>1110040 - Garantía Pagadas</v>
      </c>
      <c r="H717" s="146" t="str">
        <f>+VLOOKUP(D717,'3. Cuentas'!A:F,6,0)</f>
        <v>SI</v>
      </c>
    </row>
    <row r="718" spans="1:8" x14ac:dyDescent="0.25">
      <c r="A718" s="43">
        <v>10212104</v>
      </c>
      <c r="B718" t="s">
        <v>964</v>
      </c>
      <c r="C718" s="43" t="s">
        <v>90</v>
      </c>
      <c r="D718" s="43">
        <v>4202003</v>
      </c>
      <c r="E718" t="s">
        <v>106</v>
      </c>
      <c r="F718" s="47" t="str">
        <f>+Centro_Cuenta8[[#This Row],[Codigo Centro Gestion]]&amp;" - "&amp;Centro_Cuenta8[[#This Row],[Nombre Centro Gestion]]</f>
        <v>10212104 - Edificio Constantino 54-Ventas</v>
      </c>
      <c r="G718" s="47" t="str">
        <f>+Centro_Cuenta8[[#This Row],[Código Cuenta Contable]]&amp;" - "&amp;Centro_Cuenta8[[#This Row],[Nombre de Cuenta Contable]]</f>
        <v>4202003 - Serv.Basic.Luz.Agua.Tel Of.C</v>
      </c>
      <c r="H718" s="146" t="str">
        <f>+VLOOKUP(D718,'3. Cuentas'!A:F,6,0)</f>
        <v>SI</v>
      </c>
    </row>
    <row r="719" spans="1:8" x14ac:dyDescent="0.25">
      <c r="A719" s="43">
        <v>10212104</v>
      </c>
      <c r="B719" t="s">
        <v>964</v>
      </c>
      <c r="C719" s="43" t="s">
        <v>90</v>
      </c>
      <c r="D719" s="43">
        <v>4202010</v>
      </c>
      <c r="E719" t="s">
        <v>87</v>
      </c>
      <c r="F719" s="47" t="str">
        <f>+Centro_Cuenta8[[#This Row],[Codigo Centro Gestion]]&amp;" - "&amp;Centro_Cuenta8[[#This Row],[Nombre Centro Gestion]]</f>
        <v>10212104 - Edificio Constantino 54-Ventas</v>
      </c>
      <c r="G719" s="47" t="str">
        <f>+Centro_Cuenta8[[#This Row],[Código Cuenta Contable]]&amp;" - "&amp;Centro_Cuenta8[[#This Row],[Nombre de Cuenta Contable]]</f>
        <v>4202010 - Artic. Ofic. Fotocop.Papelería</v>
      </c>
      <c r="H719" s="146" t="str">
        <f>+VLOOKUP(D719,'3. Cuentas'!A:F,6,0)</f>
        <v>SI</v>
      </c>
    </row>
    <row r="720" spans="1:8" x14ac:dyDescent="0.25">
      <c r="A720" s="43">
        <v>10212104</v>
      </c>
      <c r="B720" t="s">
        <v>964</v>
      </c>
      <c r="C720" s="43" t="s">
        <v>90</v>
      </c>
      <c r="D720" s="43">
        <v>4202019</v>
      </c>
      <c r="E720" t="s">
        <v>81</v>
      </c>
      <c r="F720" s="47" t="str">
        <f>+Centro_Cuenta8[[#This Row],[Codigo Centro Gestion]]&amp;" - "&amp;Centro_Cuenta8[[#This Row],[Nombre Centro Gestion]]</f>
        <v>10212104 - Edificio Constantino 54-Ventas</v>
      </c>
      <c r="G720" s="47" t="str">
        <f>+Centro_Cuenta8[[#This Row],[Código Cuenta Contable]]&amp;" - "&amp;Centro_Cuenta8[[#This Row],[Nombre de Cuenta Contable]]</f>
        <v>4202019 - Gasto General Oficina</v>
      </c>
      <c r="H720" s="146" t="str">
        <f>+VLOOKUP(D720,'3. Cuentas'!A:F,6,0)</f>
        <v>SI</v>
      </c>
    </row>
    <row r="721" spans="1:8" x14ac:dyDescent="0.25">
      <c r="A721" s="43">
        <v>10212104</v>
      </c>
      <c r="B721" t="s">
        <v>964</v>
      </c>
      <c r="C721" s="43" t="s">
        <v>90</v>
      </c>
      <c r="D721" s="43">
        <v>4202023</v>
      </c>
      <c r="E721" t="s">
        <v>82</v>
      </c>
      <c r="F721" s="47" t="str">
        <f>+Centro_Cuenta8[[#This Row],[Codigo Centro Gestion]]&amp;" - "&amp;Centro_Cuenta8[[#This Row],[Nombre Centro Gestion]]</f>
        <v>10212104 - Edificio Constantino 54-Ventas</v>
      </c>
      <c r="G721" s="47" t="str">
        <f>+Centro_Cuenta8[[#This Row],[Código Cuenta Contable]]&amp;" - "&amp;Centro_Cuenta8[[#This Row],[Nombre de Cuenta Contable]]</f>
        <v>4202023 - Honorarios Por Asesorías</v>
      </c>
      <c r="H721" s="146" t="str">
        <f>+VLOOKUP(D721,'3. Cuentas'!A:F,6,0)</f>
        <v>SI</v>
      </c>
    </row>
    <row r="722" spans="1:8" x14ac:dyDescent="0.25">
      <c r="A722" s="43">
        <v>10212104</v>
      </c>
      <c r="B722" t="s">
        <v>964</v>
      </c>
      <c r="C722" s="43" t="s">
        <v>90</v>
      </c>
      <c r="D722" s="43">
        <v>4202029</v>
      </c>
      <c r="E722" t="s">
        <v>83</v>
      </c>
      <c r="F722" s="47" t="str">
        <f>+Centro_Cuenta8[[#This Row],[Codigo Centro Gestion]]&amp;" - "&amp;Centro_Cuenta8[[#This Row],[Nombre Centro Gestion]]</f>
        <v>10212104 - Edificio Constantino 54-Ventas</v>
      </c>
      <c r="G722" s="47" t="str">
        <f>+Centro_Cuenta8[[#This Row],[Código Cuenta Contable]]&amp;" - "&amp;Centro_Cuenta8[[#This Row],[Nombre de Cuenta Contable]]</f>
        <v>4202029 - Insumos Y Gastos Informáticos</v>
      </c>
      <c r="H722" s="146" t="str">
        <f>+VLOOKUP(D722,'3. Cuentas'!A:F,6,0)</f>
        <v>SI</v>
      </c>
    </row>
    <row r="723" spans="1:8" x14ac:dyDescent="0.25">
      <c r="A723" s="43">
        <v>10212104</v>
      </c>
      <c r="B723" t="s">
        <v>964</v>
      </c>
      <c r="C723" s="43" t="s">
        <v>90</v>
      </c>
      <c r="D723" s="43">
        <v>4204021</v>
      </c>
      <c r="E723" t="s">
        <v>329</v>
      </c>
      <c r="F723" s="47" t="str">
        <f>+Centro_Cuenta8[[#This Row],[Codigo Centro Gestion]]&amp;" - "&amp;Centro_Cuenta8[[#This Row],[Nombre Centro Gestion]]</f>
        <v>10212104 - Edificio Constantino 54-Ventas</v>
      </c>
      <c r="G723" s="47" t="str">
        <f>+Centro_Cuenta8[[#This Row],[Código Cuenta Contable]]&amp;" - "&amp;Centro_Cuenta8[[#This Row],[Nombre de Cuenta Contable]]</f>
        <v>4204021 - Publicidad Ferias Y Eventos</v>
      </c>
      <c r="H723" s="146" t="str">
        <f>+VLOOKUP(D723,'3. Cuentas'!A:F,6,0)</f>
        <v>SI</v>
      </c>
    </row>
    <row r="724" spans="1:8" x14ac:dyDescent="0.25">
      <c r="A724" s="43">
        <v>10212105</v>
      </c>
      <c r="B724" t="s">
        <v>965</v>
      </c>
      <c r="C724" s="43" t="s">
        <v>1622</v>
      </c>
      <c r="D724" s="43">
        <v>4203020</v>
      </c>
      <c r="E724" t="s">
        <v>295</v>
      </c>
      <c r="F724" s="47" t="str">
        <f>+Centro_Cuenta8[[#This Row],[Codigo Centro Gestion]]&amp;" - "&amp;Centro_Cuenta8[[#This Row],[Nombre Centro Gestion]]</f>
        <v>10212105 - Edificio Constantino 54-Clientes</v>
      </c>
      <c r="G724" s="47" t="str">
        <f>+Centro_Cuenta8[[#This Row],[Código Cuenta Contable]]&amp;" - "&amp;Centro_Cuenta8[[#This Row],[Nombre de Cuenta Contable]]</f>
        <v>4203020 - Mant. y Consum. Viv Stock</v>
      </c>
      <c r="H724" s="146" t="str">
        <f>+VLOOKUP(D724,'3. Cuentas'!A:F,6,0)</f>
        <v>SI</v>
      </c>
    </row>
    <row r="725" spans="1:8" x14ac:dyDescent="0.25">
      <c r="A725" s="43">
        <v>10212105</v>
      </c>
      <c r="B725" t="s">
        <v>965</v>
      </c>
      <c r="C725" s="43" t="s">
        <v>1622</v>
      </c>
      <c r="D725" s="43">
        <v>4203120</v>
      </c>
      <c r="E725" t="s">
        <v>108</v>
      </c>
      <c r="F725" s="47" t="str">
        <f>+Centro_Cuenta8[[#This Row],[Codigo Centro Gestion]]&amp;" - "&amp;Centro_Cuenta8[[#This Row],[Nombre Centro Gestion]]</f>
        <v>10212105 - Edificio Constantino 54-Clientes</v>
      </c>
      <c r="G725" s="47" t="str">
        <f>+Centro_Cuenta8[[#This Row],[Código Cuenta Contable]]&amp;" - "&amp;Centro_Cuenta8[[#This Row],[Nombre de Cuenta Contable]]</f>
        <v>4203120 - Gastos Comunes</v>
      </c>
      <c r="H725" s="146" t="str">
        <f>+VLOOKUP(D725,'3. Cuentas'!A:F,6,0)</f>
        <v>SI</v>
      </c>
    </row>
    <row r="726" spans="1:8" x14ac:dyDescent="0.25">
      <c r="A726" s="43">
        <v>10212105</v>
      </c>
      <c r="B726" t="s">
        <v>965</v>
      </c>
      <c r="C726" s="43" t="s">
        <v>1622</v>
      </c>
      <c r="D726" s="43">
        <v>4203140</v>
      </c>
      <c r="E726" t="s">
        <v>109</v>
      </c>
      <c r="F726" s="47" t="str">
        <f>+Centro_Cuenta8[[#This Row],[Codigo Centro Gestion]]&amp;" - "&amp;Centro_Cuenta8[[#This Row],[Nombre Centro Gestion]]</f>
        <v>10212105 - Edificio Constantino 54-Clientes</v>
      </c>
      <c r="G726" s="47" t="str">
        <f>+Centro_Cuenta8[[#This Row],[Código Cuenta Contable]]&amp;" - "&amp;Centro_Cuenta8[[#This Row],[Nombre de Cuenta Contable]]</f>
        <v>4203140 - Contribuciones</v>
      </c>
      <c r="H726" s="146" t="str">
        <f>+VLOOKUP(D726,'3. Cuentas'!A:F,6,0)</f>
        <v>SI</v>
      </c>
    </row>
    <row r="727" spans="1:8" x14ac:dyDescent="0.25">
      <c r="A727" s="43">
        <v>10212204</v>
      </c>
      <c r="B727" t="s">
        <v>966</v>
      </c>
      <c r="C727" s="43" t="s">
        <v>1624</v>
      </c>
      <c r="D727" s="43">
        <v>1103045</v>
      </c>
      <c r="E727" t="s">
        <v>323</v>
      </c>
      <c r="F727" s="47" t="str">
        <f>+Centro_Cuenta8[[#This Row],[Codigo Centro Gestion]]&amp;" - "&amp;Centro_Cuenta8[[#This Row],[Nombre Centro Gestion]]</f>
        <v>10212204 - Edificio Constantino 54-Proyecto</v>
      </c>
      <c r="G727" s="47" t="str">
        <f>+Centro_Cuenta8[[#This Row],[Código Cuenta Contable]]&amp;" - "&amp;Centro_Cuenta8[[#This Row],[Nombre de Cuenta Contable]]</f>
        <v>1103045 - Aportes reembolsables (electricidad y agua)</v>
      </c>
      <c r="H727" s="146" t="str">
        <f>+VLOOKUP(D727,'3. Cuentas'!A:F,6,0)</f>
        <v>SI</v>
      </c>
    </row>
    <row r="728" spans="1:8" x14ac:dyDescent="0.25">
      <c r="A728" s="43">
        <v>10212204</v>
      </c>
      <c r="B728" t="s">
        <v>966</v>
      </c>
      <c r="C728" s="43" t="s">
        <v>1624</v>
      </c>
      <c r="D728" s="43">
        <v>1109020</v>
      </c>
      <c r="E728" t="s">
        <v>302</v>
      </c>
      <c r="F728" s="47" t="str">
        <f>+Centro_Cuenta8[[#This Row],[Codigo Centro Gestion]]&amp;" - "&amp;Centro_Cuenta8[[#This Row],[Nombre Centro Gestion]]</f>
        <v>10212204 - Edificio Constantino 54-Proyecto</v>
      </c>
      <c r="G728" s="47" t="str">
        <f>+Centro_Cuenta8[[#This Row],[Código Cuenta Contable]]&amp;" - "&amp;Centro_Cuenta8[[#This Row],[Nombre de Cuenta Contable]]</f>
        <v>1109020 - Mobiliario</v>
      </c>
      <c r="H728" s="146" t="str">
        <f>+VLOOKUP(D728,'3. Cuentas'!A:F,6,0)</f>
        <v>SI</v>
      </c>
    </row>
    <row r="729" spans="1:8" x14ac:dyDescent="0.25">
      <c r="A729" s="43">
        <v>10212204</v>
      </c>
      <c r="B729" t="s">
        <v>966</v>
      </c>
      <c r="C729" s="43" t="s">
        <v>1624</v>
      </c>
      <c r="D729" s="43">
        <v>1110040</v>
      </c>
      <c r="E729" t="s">
        <v>1505</v>
      </c>
      <c r="F729" s="47" t="str">
        <f>+Centro_Cuenta8[[#This Row],[Codigo Centro Gestion]]&amp;" - "&amp;Centro_Cuenta8[[#This Row],[Nombre Centro Gestion]]</f>
        <v>10212204 - Edificio Constantino 54-Proyecto</v>
      </c>
      <c r="G729" s="47" t="str">
        <f>+Centro_Cuenta8[[#This Row],[Código Cuenta Contable]]&amp;" - "&amp;Centro_Cuenta8[[#This Row],[Nombre de Cuenta Contable]]</f>
        <v>1110040 - Garantía Pagadas</v>
      </c>
      <c r="H729" s="146" t="str">
        <f>+VLOOKUP(D729,'3. Cuentas'!A:F,6,0)</f>
        <v>SI</v>
      </c>
    </row>
    <row r="730" spans="1:8" x14ac:dyDescent="0.25">
      <c r="A730" s="43">
        <v>10212204</v>
      </c>
      <c r="B730" t="s">
        <v>966</v>
      </c>
      <c r="C730" s="43" t="s">
        <v>1624</v>
      </c>
      <c r="D730" s="43">
        <v>1115040</v>
      </c>
      <c r="E730" t="s">
        <v>291</v>
      </c>
      <c r="F730" s="47" t="str">
        <f>+Centro_Cuenta8[[#This Row],[Codigo Centro Gestion]]&amp;" - "&amp;Centro_Cuenta8[[#This Row],[Nombre Centro Gestion]]</f>
        <v>10212204 - Edificio Constantino 54-Proyecto</v>
      </c>
      <c r="G730" s="47" t="str">
        <f>+Centro_Cuenta8[[#This Row],[Código Cuenta Contable]]&amp;" - "&amp;Centro_Cuenta8[[#This Row],[Nombre de Cuenta Contable]]</f>
        <v>1115040 - Saneamiento De Terreno</v>
      </c>
      <c r="H730" s="146" t="str">
        <f>+VLOOKUP(D730,'3. Cuentas'!A:F,6,0)</f>
        <v>SI</v>
      </c>
    </row>
    <row r="731" spans="1:8" x14ac:dyDescent="0.25">
      <c r="A731" s="43">
        <v>10212204</v>
      </c>
      <c r="B731" t="s">
        <v>966</v>
      </c>
      <c r="C731" s="43" t="s">
        <v>1624</v>
      </c>
      <c r="D731" s="43">
        <v>1115050</v>
      </c>
      <c r="E731" t="s">
        <v>1628</v>
      </c>
      <c r="F731" s="47" t="str">
        <f>+Centro_Cuenta8[[#This Row],[Codigo Centro Gestion]]&amp;" - "&amp;Centro_Cuenta8[[#This Row],[Nombre Centro Gestion]]</f>
        <v>10212204 - Edificio Constantino 54-Proyecto</v>
      </c>
      <c r="G731" s="47" t="str">
        <f>+Centro_Cuenta8[[#This Row],[Código Cuenta Contable]]&amp;" - "&amp;Centro_Cuenta8[[#This Row],[Nombre de Cuenta Contable]]</f>
        <v>1115050 - Demolición</v>
      </c>
      <c r="H731" s="146" t="str">
        <f>+VLOOKUP(D731,'3. Cuentas'!A:F,6,0)</f>
        <v>SI</v>
      </c>
    </row>
    <row r="732" spans="1:8" x14ac:dyDescent="0.25">
      <c r="A732" s="43">
        <v>10212204</v>
      </c>
      <c r="B732" t="s">
        <v>966</v>
      </c>
      <c r="C732" s="43" t="s">
        <v>1624</v>
      </c>
      <c r="D732" s="43">
        <v>1115100</v>
      </c>
      <c r="E732" t="s">
        <v>292</v>
      </c>
      <c r="F732" s="47" t="str">
        <f>+Centro_Cuenta8[[#This Row],[Codigo Centro Gestion]]&amp;" - "&amp;Centro_Cuenta8[[#This Row],[Nombre Centro Gestion]]</f>
        <v>10212204 - Edificio Constantino 54-Proyecto</v>
      </c>
      <c r="G732" s="47" t="str">
        <f>+Centro_Cuenta8[[#This Row],[Código Cuenta Contable]]&amp;" - "&amp;Centro_Cuenta8[[#This Row],[Nombre de Cuenta Contable]]</f>
        <v>1115100 - Proyectos Y Especialidades</v>
      </c>
      <c r="H732" s="146" t="str">
        <f>+VLOOKUP(D732,'3. Cuentas'!A:F,6,0)</f>
        <v>SI</v>
      </c>
    </row>
    <row r="733" spans="1:8" x14ac:dyDescent="0.25">
      <c r="A733" s="43">
        <v>10212204</v>
      </c>
      <c r="B733" t="s">
        <v>966</v>
      </c>
      <c r="C733" s="43" t="s">
        <v>1624</v>
      </c>
      <c r="D733" s="43">
        <v>1115120</v>
      </c>
      <c r="E733" t="s">
        <v>1633</v>
      </c>
      <c r="F733" s="47" t="str">
        <f>+Centro_Cuenta8[[#This Row],[Codigo Centro Gestion]]&amp;" - "&amp;Centro_Cuenta8[[#This Row],[Nombre Centro Gestion]]</f>
        <v>10212204 - Edificio Constantino 54-Proyecto</v>
      </c>
      <c r="G733" s="47" t="str">
        <f>+Centro_Cuenta8[[#This Row],[Código Cuenta Contable]]&amp;" - "&amp;Centro_Cuenta8[[#This Row],[Nombre de Cuenta Contable]]</f>
        <v>1115120 - Instalación Empalmes</v>
      </c>
      <c r="H733" s="146" t="str">
        <f>+VLOOKUP(D733,'3. Cuentas'!A:F,6,0)</f>
        <v>SI</v>
      </c>
    </row>
    <row r="734" spans="1:8" x14ac:dyDescent="0.25">
      <c r="A734" s="43">
        <v>10212204</v>
      </c>
      <c r="B734" t="s">
        <v>966</v>
      </c>
      <c r="C734" s="43" t="s">
        <v>1624</v>
      </c>
      <c r="D734" s="43">
        <v>1115170</v>
      </c>
      <c r="E734" t="s">
        <v>293</v>
      </c>
      <c r="F734" s="47" t="str">
        <f>+Centro_Cuenta8[[#This Row],[Codigo Centro Gestion]]&amp;" - "&amp;Centro_Cuenta8[[#This Row],[Nombre Centro Gestion]]</f>
        <v>10212204 - Edificio Constantino 54-Proyecto</v>
      </c>
      <c r="G734" s="47" t="str">
        <f>+Centro_Cuenta8[[#This Row],[Código Cuenta Contable]]&amp;" - "&amp;Centro_Cuenta8[[#This Row],[Nombre de Cuenta Contable]]</f>
        <v>1115170 - Permisos Y Otros Gastos Municipales</v>
      </c>
      <c r="H734" s="146" t="str">
        <f>+VLOOKUP(D734,'3. Cuentas'!A:F,6,0)</f>
        <v>SI</v>
      </c>
    </row>
    <row r="735" spans="1:8" x14ac:dyDescent="0.25">
      <c r="A735" s="43">
        <v>10212204</v>
      </c>
      <c r="B735" t="s">
        <v>966</v>
      </c>
      <c r="C735" s="43" t="s">
        <v>1624</v>
      </c>
      <c r="D735" s="43">
        <v>1115240</v>
      </c>
      <c r="E735" t="s">
        <v>294</v>
      </c>
      <c r="F735" s="47" t="str">
        <f>+Centro_Cuenta8[[#This Row],[Codigo Centro Gestion]]&amp;" - "&amp;Centro_Cuenta8[[#This Row],[Nombre Centro Gestion]]</f>
        <v>10212204 - Edificio Constantino 54-Proyecto</v>
      </c>
      <c r="G735" s="47" t="str">
        <f>+Centro_Cuenta8[[#This Row],[Código Cuenta Contable]]&amp;" - "&amp;Centro_Cuenta8[[#This Row],[Nombre de Cuenta Contable]]</f>
        <v>1115240 - Estudios Y Asesorias Técnicas</v>
      </c>
      <c r="H735" s="146" t="str">
        <f>+VLOOKUP(D735,'3. Cuentas'!A:F,6,0)</f>
        <v>SI</v>
      </c>
    </row>
    <row r="736" spans="1:8" x14ac:dyDescent="0.25">
      <c r="A736" s="43">
        <v>10212204</v>
      </c>
      <c r="B736" t="s">
        <v>966</v>
      </c>
      <c r="C736" s="43" t="s">
        <v>1624</v>
      </c>
      <c r="D736" s="43">
        <v>4203090</v>
      </c>
      <c r="E736" t="s">
        <v>192</v>
      </c>
      <c r="F736" s="47" t="str">
        <f>+Centro_Cuenta8[[#This Row],[Codigo Centro Gestion]]&amp;" - "&amp;Centro_Cuenta8[[#This Row],[Nombre Centro Gestion]]</f>
        <v>10212204 - Edificio Constantino 54-Proyecto</v>
      </c>
      <c r="G736" s="47" t="str">
        <f>+Centro_Cuenta8[[#This Row],[Código Cuenta Contable]]&amp;" - "&amp;Centro_Cuenta8[[#This Row],[Nombre de Cuenta Contable]]</f>
        <v>4203090 - Gastos Legales Y Notariales Proyecto</v>
      </c>
      <c r="H736" s="146" t="str">
        <f>+VLOOKUP(D736,'3. Cuentas'!A:F,6,0)</f>
        <v>SI</v>
      </c>
    </row>
    <row r="737" spans="1:8" x14ac:dyDescent="0.25">
      <c r="A737" s="43">
        <v>10212204</v>
      </c>
      <c r="B737" t="s">
        <v>966</v>
      </c>
      <c r="C737" s="43" t="s">
        <v>1624</v>
      </c>
      <c r="D737" s="43">
        <v>4203140</v>
      </c>
      <c r="E737" t="s">
        <v>109</v>
      </c>
      <c r="F737" s="47" t="str">
        <f>+Centro_Cuenta8[[#This Row],[Codigo Centro Gestion]]&amp;" - "&amp;Centro_Cuenta8[[#This Row],[Nombre Centro Gestion]]</f>
        <v>10212204 - Edificio Constantino 54-Proyecto</v>
      </c>
      <c r="G737" s="47" t="str">
        <f>+Centro_Cuenta8[[#This Row],[Código Cuenta Contable]]&amp;" - "&amp;Centro_Cuenta8[[#This Row],[Nombre de Cuenta Contable]]</f>
        <v>4203140 - Contribuciones</v>
      </c>
      <c r="H737" s="146" t="str">
        <f>+VLOOKUP(D737,'3. Cuentas'!A:F,6,0)</f>
        <v>SI</v>
      </c>
    </row>
    <row r="738" spans="1:8" x14ac:dyDescent="0.25">
      <c r="A738" s="43">
        <v>10212204</v>
      </c>
      <c r="B738" t="s">
        <v>966</v>
      </c>
      <c r="C738" s="43" t="s">
        <v>1624</v>
      </c>
      <c r="D738" s="43">
        <v>4203150</v>
      </c>
      <c r="E738" t="s">
        <v>156</v>
      </c>
      <c r="F738" s="47" t="str">
        <f>+Centro_Cuenta8[[#This Row],[Codigo Centro Gestion]]&amp;" - "&amp;Centro_Cuenta8[[#This Row],[Nombre Centro Gestion]]</f>
        <v>10212204 - Edificio Constantino 54-Proyecto</v>
      </c>
      <c r="G738" s="47" t="str">
        <f>+Centro_Cuenta8[[#This Row],[Código Cuenta Contable]]&amp;" - "&amp;Centro_Cuenta8[[#This Row],[Nombre de Cuenta Contable]]</f>
        <v>4203150 - Gastos CBR</v>
      </c>
      <c r="H738" s="146" t="str">
        <f>+VLOOKUP(D738,'3. Cuentas'!A:F,6,0)</f>
        <v>SI</v>
      </c>
    </row>
    <row r="739" spans="1:8" x14ac:dyDescent="0.25">
      <c r="A739" s="43">
        <v>10212204</v>
      </c>
      <c r="B739" t="s">
        <v>966</v>
      </c>
      <c r="C739" s="43" t="s">
        <v>1624</v>
      </c>
      <c r="D739" s="43">
        <v>4203160</v>
      </c>
      <c r="E739" t="s">
        <v>1639</v>
      </c>
      <c r="F739" s="47" t="str">
        <f>+Centro_Cuenta8[[#This Row],[Codigo Centro Gestion]]&amp;" - "&amp;Centro_Cuenta8[[#This Row],[Nombre Centro Gestion]]</f>
        <v>10212204 - Edificio Constantino 54-Proyecto</v>
      </c>
      <c r="G739" s="47" t="str">
        <f>+Centro_Cuenta8[[#This Row],[Código Cuenta Contable]]&amp;" - "&amp;Centro_Cuenta8[[#This Row],[Nombre de Cuenta Contable]]</f>
        <v>4203160 - PAPELERIA Y FOTOCOPIADO</v>
      </c>
      <c r="H739" s="146" t="str">
        <f>+VLOOKUP(D739,'3. Cuentas'!A:F,6,0)</f>
        <v>SI</v>
      </c>
    </row>
    <row r="740" spans="1:8" x14ac:dyDescent="0.25">
      <c r="A740" s="43">
        <v>10212204</v>
      </c>
      <c r="B740" t="s">
        <v>966</v>
      </c>
      <c r="C740" s="43" t="s">
        <v>1624</v>
      </c>
      <c r="D740" s="43">
        <v>4203180</v>
      </c>
      <c r="E740" t="s">
        <v>1640</v>
      </c>
      <c r="F740" s="47" t="str">
        <f>+Centro_Cuenta8[[#This Row],[Codigo Centro Gestion]]&amp;" - "&amp;Centro_Cuenta8[[#This Row],[Nombre Centro Gestion]]</f>
        <v>10212204 - Edificio Constantino 54-Proyecto</v>
      </c>
      <c r="G740" s="47" t="str">
        <f>+Centro_Cuenta8[[#This Row],[Código Cuenta Contable]]&amp;" - "&amp;Centro_Cuenta8[[#This Row],[Nombre de Cuenta Contable]]</f>
        <v>4203180 - Otros Gastos y Aseso Proy</v>
      </c>
      <c r="H740" s="146" t="str">
        <f>+VLOOKUP(D740,'3. Cuentas'!A:F,6,0)</f>
        <v>SI</v>
      </c>
    </row>
    <row r="741" spans="1:8" x14ac:dyDescent="0.25">
      <c r="A741" s="43">
        <v>10212301</v>
      </c>
      <c r="B741" t="s">
        <v>967</v>
      </c>
      <c r="C741" s="43" t="s">
        <v>1643</v>
      </c>
      <c r="D741" s="43">
        <v>4203090</v>
      </c>
      <c r="E741" t="s">
        <v>192</v>
      </c>
      <c r="F741" s="47" t="str">
        <f>+Centro_Cuenta8[[#This Row],[Codigo Centro Gestion]]&amp;" - "&amp;Centro_Cuenta8[[#This Row],[Nombre Centro Gestion]]</f>
        <v>10212301 - Edificio Constantino 54-GAF</v>
      </c>
      <c r="G741" s="47" t="str">
        <f>+Centro_Cuenta8[[#This Row],[Código Cuenta Contable]]&amp;" - "&amp;Centro_Cuenta8[[#This Row],[Nombre de Cuenta Contable]]</f>
        <v>4203090 - Gastos Legales Y Notariales Proyecto</v>
      </c>
      <c r="H741" s="146" t="str">
        <f>+VLOOKUP(D741,'3. Cuentas'!A:F,6,0)</f>
        <v>SI</v>
      </c>
    </row>
    <row r="742" spans="1:8" x14ac:dyDescent="0.25">
      <c r="A742" s="43">
        <v>10212301</v>
      </c>
      <c r="B742" t="s">
        <v>967</v>
      </c>
      <c r="C742" s="43" t="s">
        <v>1643</v>
      </c>
      <c r="D742" s="43">
        <v>4203140</v>
      </c>
      <c r="E742" t="s">
        <v>109</v>
      </c>
      <c r="F742" s="47" t="str">
        <f>+Centro_Cuenta8[[#This Row],[Codigo Centro Gestion]]&amp;" - "&amp;Centro_Cuenta8[[#This Row],[Nombre Centro Gestion]]</f>
        <v>10212301 - Edificio Constantino 54-GAF</v>
      </c>
      <c r="G742" s="47" t="str">
        <f>+Centro_Cuenta8[[#This Row],[Código Cuenta Contable]]&amp;" - "&amp;Centro_Cuenta8[[#This Row],[Nombre de Cuenta Contable]]</f>
        <v>4203140 - Contribuciones</v>
      </c>
      <c r="H742" s="146" t="str">
        <f>+VLOOKUP(D742,'3. Cuentas'!A:F,6,0)</f>
        <v>SI</v>
      </c>
    </row>
    <row r="743" spans="1:8" x14ac:dyDescent="0.25">
      <c r="A743" s="43">
        <v>10212506</v>
      </c>
      <c r="B743" t="s">
        <v>969</v>
      </c>
      <c r="C743" s="43" t="s">
        <v>200</v>
      </c>
      <c r="D743" s="43">
        <v>1115100</v>
      </c>
      <c r="E743" t="s">
        <v>292</v>
      </c>
      <c r="F743" s="47" t="str">
        <f>+Centro_Cuenta8[[#This Row],[Codigo Centro Gestion]]&amp;" - "&amp;Centro_Cuenta8[[#This Row],[Nombre Centro Gestion]]</f>
        <v>10212506 - Edificio Constantino 54-Depto.Técnico</v>
      </c>
      <c r="G743" s="47" t="str">
        <f>+Centro_Cuenta8[[#This Row],[Código Cuenta Contable]]&amp;" - "&amp;Centro_Cuenta8[[#This Row],[Nombre de Cuenta Contable]]</f>
        <v>1115100 - Proyectos Y Especialidades</v>
      </c>
      <c r="H743" s="146" t="str">
        <f>+VLOOKUP(D743,'3. Cuentas'!A:F,6,0)</f>
        <v>SI</v>
      </c>
    </row>
    <row r="744" spans="1:8" x14ac:dyDescent="0.25">
      <c r="A744" s="43">
        <v>10213102</v>
      </c>
      <c r="B744" t="s">
        <v>971</v>
      </c>
      <c r="C744" s="43" t="s">
        <v>1617</v>
      </c>
      <c r="D744" s="43">
        <v>4204010</v>
      </c>
      <c r="E744" t="s">
        <v>313</v>
      </c>
      <c r="F744" s="47" t="str">
        <f>+Centro_Cuenta8[[#This Row],[Codigo Centro Gestion]]&amp;" - "&amp;Centro_Cuenta8[[#This Row],[Nombre Centro Gestion]]</f>
        <v>10213102 - Edificio Maipu-Marketing</v>
      </c>
      <c r="G744" s="47" t="str">
        <f>+Centro_Cuenta8[[#This Row],[Código Cuenta Contable]]&amp;" - "&amp;Centro_Cuenta8[[#This Row],[Nombre de Cuenta Contable]]</f>
        <v>4204010 - Publicidad Punto Venta</v>
      </c>
      <c r="H744" s="146" t="str">
        <f>+VLOOKUP(D744,'3. Cuentas'!A:F,6,0)</f>
        <v>SI</v>
      </c>
    </row>
    <row r="745" spans="1:8" x14ac:dyDescent="0.25">
      <c r="A745" s="43">
        <v>10213102</v>
      </c>
      <c r="B745" t="s">
        <v>971</v>
      </c>
      <c r="C745" s="43" t="s">
        <v>1617</v>
      </c>
      <c r="D745" s="43">
        <v>4204021</v>
      </c>
      <c r="E745" t="s">
        <v>329</v>
      </c>
      <c r="F745" s="47" t="str">
        <f>+Centro_Cuenta8[[#This Row],[Codigo Centro Gestion]]&amp;" - "&amp;Centro_Cuenta8[[#This Row],[Nombre Centro Gestion]]</f>
        <v>10213102 - Edificio Maipu-Marketing</v>
      </c>
      <c r="G745" s="47" t="str">
        <f>+Centro_Cuenta8[[#This Row],[Código Cuenta Contable]]&amp;" - "&amp;Centro_Cuenta8[[#This Row],[Nombre de Cuenta Contable]]</f>
        <v>4204021 - Publicidad Ferias Y Eventos</v>
      </c>
      <c r="H745" s="146" t="str">
        <f>+VLOOKUP(D745,'3. Cuentas'!A:F,6,0)</f>
        <v>SI</v>
      </c>
    </row>
    <row r="746" spans="1:8" x14ac:dyDescent="0.25">
      <c r="A746" s="43">
        <v>10213103</v>
      </c>
      <c r="B746" t="s">
        <v>972</v>
      </c>
      <c r="C746" s="43" t="s">
        <v>1618</v>
      </c>
      <c r="D746" s="43">
        <v>4203060</v>
      </c>
      <c r="E746" t="s">
        <v>321</v>
      </c>
      <c r="F746" s="47" t="str">
        <f>+Centro_Cuenta8[[#This Row],[Codigo Centro Gestion]]&amp;" - "&amp;Centro_Cuenta8[[#This Row],[Nombre Centro Gestion]]</f>
        <v>10213103 - Edificio Maipu-Operaciones</v>
      </c>
      <c r="G746" s="47" t="str">
        <f>+Centro_Cuenta8[[#This Row],[Código Cuenta Contable]]&amp;" - "&amp;Centro_Cuenta8[[#This Row],[Nombre de Cuenta Contable]]</f>
        <v>4203060 - Gastos Operacionales De Clientes</v>
      </c>
      <c r="H746" s="146" t="str">
        <f>+VLOOKUP(D746,'3. Cuentas'!A:F,6,0)</f>
        <v>SI</v>
      </c>
    </row>
    <row r="747" spans="1:8" x14ac:dyDescent="0.25">
      <c r="A747" s="43">
        <v>10213103</v>
      </c>
      <c r="B747" t="s">
        <v>972</v>
      </c>
      <c r="C747" s="43" t="s">
        <v>1618</v>
      </c>
      <c r="D747" s="43">
        <v>4203090</v>
      </c>
      <c r="E747" t="s">
        <v>192</v>
      </c>
      <c r="F747" s="47" t="str">
        <f>+Centro_Cuenta8[[#This Row],[Codigo Centro Gestion]]&amp;" - "&amp;Centro_Cuenta8[[#This Row],[Nombre Centro Gestion]]</f>
        <v>10213103 - Edificio Maipu-Operaciones</v>
      </c>
      <c r="G747" s="47" t="str">
        <f>+Centro_Cuenta8[[#This Row],[Código Cuenta Contable]]&amp;" - "&amp;Centro_Cuenta8[[#This Row],[Nombre de Cuenta Contable]]</f>
        <v>4203090 - Gastos Legales Y Notariales Proyecto</v>
      </c>
      <c r="H747" s="146" t="str">
        <f>+VLOOKUP(D747,'3. Cuentas'!A:F,6,0)</f>
        <v>SI</v>
      </c>
    </row>
    <row r="748" spans="1:8" x14ac:dyDescent="0.25">
      <c r="A748" s="43">
        <v>10213104</v>
      </c>
      <c r="B748" t="s">
        <v>973</v>
      </c>
      <c r="C748" s="43" t="s">
        <v>90</v>
      </c>
      <c r="D748" s="43">
        <v>1110040</v>
      </c>
      <c r="E748" t="s">
        <v>1505</v>
      </c>
      <c r="F748" s="47" t="str">
        <f>+Centro_Cuenta8[[#This Row],[Codigo Centro Gestion]]&amp;" - "&amp;Centro_Cuenta8[[#This Row],[Nombre Centro Gestion]]</f>
        <v>10213104 - Edificio Maipu-Ventas</v>
      </c>
      <c r="G748" s="47" t="str">
        <f>+Centro_Cuenta8[[#This Row],[Código Cuenta Contable]]&amp;" - "&amp;Centro_Cuenta8[[#This Row],[Nombre de Cuenta Contable]]</f>
        <v>1110040 - Garantía Pagadas</v>
      </c>
      <c r="H748" s="146" t="str">
        <f>+VLOOKUP(D748,'3. Cuentas'!A:F,6,0)</f>
        <v>SI</v>
      </c>
    </row>
    <row r="749" spans="1:8" x14ac:dyDescent="0.25">
      <c r="A749" s="43">
        <v>10213104</v>
      </c>
      <c r="B749" t="s">
        <v>973</v>
      </c>
      <c r="C749" s="43" t="s">
        <v>90</v>
      </c>
      <c r="D749" s="43">
        <v>4202003</v>
      </c>
      <c r="E749" t="s">
        <v>106</v>
      </c>
      <c r="F749" s="47" t="str">
        <f>+Centro_Cuenta8[[#This Row],[Codigo Centro Gestion]]&amp;" - "&amp;Centro_Cuenta8[[#This Row],[Nombre Centro Gestion]]</f>
        <v>10213104 - Edificio Maipu-Ventas</v>
      </c>
      <c r="G749" s="47" t="str">
        <f>+Centro_Cuenta8[[#This Row],[Código Cuenta Contable]]&amp;" - "&amp;Centro_Cuenta8[[#This Row],[Nombre de Cuenta Contable]]</f>
        <v>4202003 - Serv.Basic.Luz.Agua.Tel Of.C</v>
      </c>
      <c r="H749" s="146" t="str">
        <f>+VLOOKUP(D749,'3. Cuentas'!A:F,6,0)</f>
        <v>SI</v>
      </c>
    </row>
    <row r="750" spans="1:8" x14ac:dyDescent="0.25">
      <c r="A750" s="43">
        <v>10213104</v>
      </c>
      <c r="B750" t="s">
        <v>973</v>
      </c>
      <c r="C750" s="43" t="s">
        <v>90</v>
      </c>
      <c r="D750" s="43">
        <v>4202010</v>
      </c>
      <c r="E750" t="s">
        <v>87</v>
      </c>
      <c r="F750" s="47" t="str">
        <f>+Centro_Cuenta8[[#This Row],[Codigo Centro Gestion]]&amp;" - "&amp;Centro_Cuenta8[[#This Row],[Nombre Centro Gestion]]</f>
        <v>10213104 - Edificio Maipu-Ventas</v>
      </c>
      <c r="G750" s="47" t="str">
        <f>+Centro_Cuenta8[[#This Row],[Código Cuenta Contable]]&amp;" - "&amp;Centro_Cuenta8[[#This Row],[Nombre de Cuenta Contable]]</f>
        <v>4202010 - Artic. Ofic. Fotocop.Papelería</v>
      </c>
      <c r="H750" s="146" t="str">
        <f>+VLOOKUP(D750,'3. Cuentas'!A:F,6,0)</f>
        <v>SI</v>
      </c>
    </row>
    <row r="751" spans="1:8" x14ac:dyDescent="0.25">
      <c r="A751" s="43">
        <v>10213104</v>
      </c>
      <c r="B751" t="s">
        <v>973</v>
      </c>
      <c r="C751" s="43" t="s">
        <v>90</v>
      </c>
      <c r="D751" s="43">
        <v>4202019</v>
      </c>
      <c r="E751" t="s">
        <v>81</v>
      </c>
      <c r="F751" s="47" t="str">
        <f>+Centro_Cuenta8[[#This Row],[Codigo Centro Gestion]]&amp;" - "&amp;Centro_Cuenta8[[#This Row],[Nombre Centro Gestion]]</f>
        <v>10213104 - Edificio Maipu-Ventas</v>
      </c>
      <c r="G751" s="47" t="str">
        <f>+Centro_Cuenta8[[#This Row],[Código Cuenta Contable]]&amp;" - "&amp;Centro_Cuenta8[[#This Row],[Nombre de Cuenta Contable]]</f>
        <v>4202019 - Gasto General Oficina</v>
      </c>
      <c r="H751" s="146" t="str">
        <f>+VLOOKUP(D751,'3. Cuentas'!A:F,6,0)</f>
        <v>SI</v>
      </c>
    </row>
    <row r="752" spans="1:8" x14ac:dyDescent="0.25">
      <c r="A752" s="43">
        <v>10213104</v>
      </c>
      <c r="B752" t="s">
        <v>973</v>
      </c>
      <c r="C752" s="43" t="s">
        <v>90</v>
      </c>
      <c r="D752" s="43">
        <v>4202023</v>
      </c>
      <c r="E752" t="s">
        <v>82</v>
      </c>
      <c r="F752" s="47" t="str">
        <f>+Centro_Cuenta8[[#This Row],[Codigo Centro Gestion]]&amp;" - "&amp;Centro_Cuenta8[[#This Row],[Nombre Centro Gestion]]</f>
        <v>10213104 - Edificio Maipu-Ventas</v>
      </c>
      <c r="G752" s="47" t="str">
        <f>+Centro_Cuenta8[[#This Row],[Código Cuenta Contable]]&amp;" - "&amp;Centro_Cuenta8[[#This Row],[Nombre de Cuenta Contable]]</f>
        <v>4202023 - Honorarios Por Asesorías</v>
      </c>
      <c r="H752" s="146" t="str">
        <f>+VLOOKUP(D752,'3. Cuentas'!A:F,6,0)</f>
        <v>SI</v>
      </c>
    </row>
    <row r="753" spans="1:8" x14ac:dyDescent="0.25">
      <c r="A753" s="43">
        <v>10213104</v>
      </c>
      <c r="B753" t="s">
        <v>973</v>
      </c>
      <c r="C753" s="43" t="s">
        <v>90</v>
      </c>
      <c r="D753" s="43">
        <v>4202029</v>
      </c>
      <c r="E753" t="s">
        <v>83</v>
      </c>
      <c r="F753" s="47" t="str">
        <f>+Centro_Cuenta8[[#This Row],[Codigo Centro Gestion]]&amp;" - "&amp;Centro_Cuenta8[[#This Row],[Nombre Centro Gestion]]</f>
        <v>10213104 - Edificio Maipu-Ventas</v>
      </c>
      <c r="G753" s="47" t="str">
        <f>+Centro_Cuenta8[[#This Row],[Código Cuenta Contable]]&amp;" - "&amp;Centro_Cuenta8[[#This Row],[Nombre de Cuenta Contable]]</f>
        <v>4202029 - Insumos Y Gastos Informáticos</v>
      </c>
      <c r="H753" s="146" t="str">
        <f>+VLOOKUP(D753,'3. Cuentas'!A:F,6,0)</f>
        <v>SI</v>
      </c>
    </row>
    <row r="754" spans="1:8" x14ac:dyDescent="0.25">
      <c r="A754" s="43">
        <v>10213104</v>
      </c>
      <c r="B754" t="s">
        <v>973</v>
      </c>
      <c r="C754" s="43" t="s">
        <v>90</v>
      </c>
      <c r="D754" s="43">
        <v>4204021</v>
      </c>
      <c r="E754" t="s">
        <v>329</v>
      </c>
      <c r="F754" s="47" t="str">
        <f>+Centro_Cuenta8[[#This Row],[Codigo Centro Gestion]]&amp;" - "&amp;Centro_Cuenta8[[#This Row],[Nombre Centro Gestion]]</f>
        <v>10213104 - Edificio Maipu-Ventas</v>
      </c>
      <c r="G754" s="47" t="str">
        <f>+Centro_Cuenta8[[#This Row],[Código Cuenta Contable]]&amp;" - "&amp;Centro_Cuenta8[[#This Row],[Nombre de Cuenta Contable]]</f>
        <v>4204021 - Publicidad Ferias Y Eventos</v>
      </c>
      <c r="H754" s="146" t="str">
        <f>+VLOOKUP(D754,'3. Cuentas'!A:F,6,0)</f>
        <v>SI</v>
      </c>
    </row>
    <row r="755" spans="1:8" x14ac:dyDescent="0.25">
      <c r="A755" s="43">
        <v>10213105</v>
      </c>
      <c r="B755" t="s">
        <v>974</v>
      </c>
      <c r="C755" s="43" t="s">
        <v>1622</v>
      </c>
      <c r="D755" s="43">
        <v>4203020</v>
      </c>
      <c r="E755" t="s">
        <v>295</v>
      </c>
      <c r="F755" s="47" t="str">
        <f>+Centro_Cuenta8[[#This Row],[Codigo Centro Gestion]]&amp;" - "&amp;Centro_Cuenta8[[#This Row],[Nombre Centro Gestion]]</f>
        <v>10213105 - Edificio Maipu-Clientes</v>
      </c>
      <c r="G755" s="47" t="str">
        <f>+Centro_Cuenta8[[#This Row],[Código Cuenta Contable]]&amp;" - "&amp;Centro_Cuenta8[[#This Row],[Nombre de Cuenta Contable]]</f>
        <v>4203020 - Mant. y Consum. Viv Stock</v>
      </c>
      <c r="H755" s="146" t="str">
        <f>+VLOOKUP(D755,'3. Cuentas'!A:F,6,0)</f>
        <v>SI</v>
      </c>
    </row>
    <row r="756" spans="1:8" x14ac:dyDescent="0.25">
      <c r="A756" s="43">
        <v>10213105</v>
      </c>
      <c r="B756" t="s">
        <v>974</v>
      </c>
      <c r="C756" s="43" t="s">
        <v>1622</v>
      </c>
      <c r="D756" s="43">
        <v>4203120</v>
      </c>
      <c r="E756" t="s">
        <v>108</v>
      </c>
      <c r="F756" s="47" t="str">
        <f>+Centro_Cuenta8[[#This Row],[Codigo Centro Gestion]]&amp;" - "&amp;Centro_Cuenta8[[#This Row],[Nombre Centro Gestion]]</f>
        <v>10213105 - Edificio Maipu-Clientes</v>
      </c>
      <c r="G756" s="47" t="str">
        <f>+Centro_Cuenta8[[#This Row],[Código Cuenta Contable]]&amp;" - "&amp;Centro_Cuenta8[[#This Row],[Nombre de Cuenta Contable]]</f>
        <v>4203120 - Gastos Comunes</v>
      </c>
      <c r="H756" s="146" t="str">
        <f>+VLOOKUP(D756,'3. Cuentas'!A:F,6,0)</f>
        <v>SI</v>
      </c>
    </row>
    <row r="757" spans="1:8" x14ac:dyDescent="0.25">
      <c r="A757" s="43">
        <v>10213105</v>
      </c>
      <c r="B757" t="s">
        <v>974</v>
      </c>
      <c r="C757" s="43" t="s">
        <v>1622</v>
      </c>
      <c r="D757" s="43">
        <v>4203140</v>
      </c>
      <c r="E757" t="s">
        <v>109</v>
      </c>
      <c r="F757" s="47" t="str">
        <f>+Centro_Cuenta8[[#This Row],[Codigo Centro Gestion]]&amp;" - "&amp;Centro_Cuenta8[[#This Row],[Nombre Centro Gestion]]</f>
        <v>10213105 - Edificio Maipu-Clientes</v>
      </c>
      <c r="G757" s="47" t="str">
        <f>+Centro_Cuenta8[[#This Row],[Código Cuenta Contable]]&amp;" - "&amp;Centro_Cuenta8[[#This Row],[Nombre de Cuenta Contable]]</f>
        <v>4203140 - Contribuciones</v>
      </c>
      <c r="H757" s="146" t="str">
        <f>+VLOOKUP(D757,'3. Cuentas'!A:F,6,0)</f>
        <v>SI</v>
      </c>
    </row>
    <row r="758" spans="1:8" x14ac:dyDescent="0.25">
      <c r="A758" s="43">
        <v>10213204</v>
      </c>
      <c r="B758" t="s">
        <v>975</v>
      </c>
      <c r="C758" s="43" t="s">
        <v>1624</v>
      </c>
      <c r="D758" s="43">
        <v>1103045</v>
      </c>
      <c r="E758" t="s">
        <v>323</v>
      </c>
      <c r="F758" s="47" t="str">
        <f>+Centro_Cuenta8[[#This Row],[Codigo Centro Gestion]]&amp;" - "&amp;Centro_Cuenta8[[#This Row],[Nombre Centro Gestion]]</f>
        <v>10213204 - Edificio Maipu-Proyecto</v>
      </c>
      <c r="G758" s="47" t="str">
        <f>+Centro_Cuenta8[[#This Row],[Código Cuenta Contable]]&amp;" - "&amp;Centro_Cuenta8[[#This Row],[Nombre de Cuenta Contable]]</f>
        <v>1103045 - Aportes reembolsables (electricidad y agua)</v>
      </c>
      <c r="H758" s="146" t="str">
        <f>+VLOOKUP(D758,'3. Cuentas'!A:F,6,0)</f>
        <v>SI</v>
      </c>
    </row>
    <row r="759" spans="1:8" x14ac:dyDescent="0.25">
      <c r="A759" s="43">
        <v>10213204</v>
      </c>
      <c r="B759" t="s">
        <v>975</v>
      </c>
      <c r="C759" s="43" t="s">
        <v>1624</v>
      </c>
      <c r="D759" s="43">
        <v>1109020</v>
      </c>
      <c r="E759" t="s">
        <v>302</v>
      </c>
      <c r="F759" s="47" t="str">
        <f>+Centro_Cuenta8[[#This Row],[Codigo Centro Gestion]]&amp;" - "&amp;Centro_Cuenta8[[#This Row],[Nombre Centro Gestion]]</f>
        <v>10213204 - Edificio Maipu-Proyecto</v>
      </c>
      <c r="G759" s="47" t="str">
        <f>+Centro_Cuenta8[[#This Row],[Código Cuenta Contable]]&amp;" - "&amp;Centro_Cuenta8[[#This Row],[Nombre de Cuenta Contable]]</f>
        <v>1109020 - Mobiliario</v>
      </c>
      <c r="H759" s="146" t="str">
        <f>+VLOOKUP(D759,'3. Cuentas'!A:F,6,0)</f>
        <v>SI</v>
      </c>
    </row>
    <row r="760" spans="1:8" x14ac:dyDescent="0.25">
      <c r="A760" s="43">
        <v>10213204</v>
      </c>
      <c r="B760" t="s">
        <v>975</v>
      </c>
      <c r="C760" s="43" t="s">
        <v>1624</v>
      </c>
      <c r="D760" s="43">
        <v>1110040</v>
      </c>
      <c r="E760" t="s">
        <v>1505</v>
      </c>
      <c r="F760" s="47" t="str">
        <f>+Centro_Cuenta8[[#This Row],[Codigo Centro Gestion]]&amp;" - "&amp;Centro_Cuenta8[[#This Row],[Nombre Centro Gestion]]</f>
        <v>10213204 - Edificio Maipu-Proyecto</v>
      </c>
      <c r="G760" s="47" t="str">
        <f>+Centro_Cuenta8[[#This Row],[Código Cuenta Contable]]&amp;" - "&amp;Centro_Cuenta8[[#This Row],[Nombre de Cuenta Contable]]</f>
        <v>1110040 - Garantía Pagadas</v>
      </c>
      <c r="H760" s="146" t="str">
        <f>+VLOOKUP(D760,'3. Cuentas'!A:F,6,0)</f>
        <v>SI</v>
      </c>
    </row>
    <row r="761" spans="1:8" x14ac:dyDescent="0.25">
      <c r="A761" s="43">
        <v>10213204</v>
      </c>
      <c r="B761" t="s">
        <v>975</v>
      </c>
      <c r="C761" s="43" t="s">
        <v>1624</v>
      </c>
      <c r="D761" s="43">
        <v>1115040</v>
      </c>
      <c r="E761" t="s">
        <v>291</v>
      </c>
      <c r="F761" s="47" t="str">
        <f>+Centro_Cuenta8[[#This Row],[Codigo Centro Gestion]]&amp;" - "&amp;Centro_Cuenta8[[#This Row],[Nombre Centro Gestion]]</f>
        <v>10213204 - Edificio Maipu-Proyecto</v>
      </c>
      <c r="G761" s="47" t="str">
        <f>+Centro_Cuenta8[[#This Row],[Código Cuenta Contable]]&amp;" - "&amp;Centro_Cuenta8[[#This Row],[Nombre de Cuenta Contable]]</f>
        <v>1115040 - Saneamiento De Terreno</v>
      </c>
      <c r="H761" s="146" t="str">
        <f>+VLOOKUP(D761,'3. Cuentas'!A:F,6,0)</f>
        <v>SI</v>
      </c>
    </row>
    <row r="762" spans="1:8" x14ac:dyDescent="0.25">
      <c r="A762" s="43">
        <v>10213204</v>
      </c>
      <c r="B762" t="s">
        <v>975</v>
      </c>
      <c r="C762" s="43" t="s">
        <v>1624</v>
      </c>
      <c r="D762" s="43">
        <v>1115050</v>
      </c>
      <c r="E762" t="s">
        <v>1628</v>
      </c>
      <c r="F762" s="47" t="str">
        <f>+Centro_Cuenta8[[#This Row],[Codigo Centro Gestion]]&amp;" - "&amp;Centro_Cuenta8[[#This Row],[Nombre Centro Gestion]]</f>
        <v>10213204 - Edificio Maipu-Proyecto</v>
      </c>
      <c r="G762" s="47" t="str">
        <f>+Centro_Cuenta8[[#This Row],[Código Cuenta Contable]]&amp;" - "&amp;Centro_Cuenta8[[#This Row],[Nombre de Cuenta Contable]]</f>
        <v>1115050 - Demolición</v>
      </c>
      <c r="H762" s="146" t="str">
        <f>+VLOOKUP(D762,'3. Cuentas'!A:F,6,0)</f>
        <v>SI</v>
      </c>
    </row>
    <row r="763" spans="1:8" x14ac:dyDescent="0.25">
      <c r="A763" s="43">
        <v>10213204</v>
      </c>
      <c r="B763" t="s">
        <v>975</v>
      </c>
      <c r="C763" s="43" t="s">
        <v>1624</v>
      </c>
      <c r="D763" s="43">
        <v>1115100</v>
      </c>
      <c r="E763" t="s">
        <v>292</v>
      </c>
      <c r="F763" s="47" t="str">
        <f>+Centro_Cuenta8[[#This Row],[Codigo Centro Gestion]]&amp;" - "&amp;Centro_Cuenta8[[#This Row],[Nombre Centro Gestion]]</f>
        <v>10213204 - Edificio Maipu-Proyecto</v>
      </c>
      <c r="G763" s="47" t="str">
        <f>+Centro_Cuenta8[[#This Row],[Código Cuenta Contable]]&amp;" - "&amp;Centro_Cuenta8[[#This Row],[Nombre de Cuenta Contable]]</f>
        <v>1115100 - Proyectos Y Especialidades</v>
      </c>
      <c r="H763" s="146" t="str">
        <f>+VLOOKUP(D763,'3. Cuentas'!A:F,6,0)</f>
        <v>SI</v>
      </c>
    </row>
    <row r="764" spans="1:8" x14ac:dyDescent="0.25">
      <c r="A764" s="43">
        <v>10213204</v>
      </c>
      <c r="B764" t="s">
        <v>975</v>
      </c>
      <c r="C764" s="43" t="s">
        <v>1624</v>
      </c>
      <c r="D764" s="43">
        <v>1115120</v>
      </c>
      <c r="E764" t="s">
        <v>1633</v>
      </c>
      <c r="F764" s="47" t="str">
        <f>+Centro_Cuenta8[[#This Row],[Codigo Centro Gestion]]&amp;" - "&amp;Centro_Cuenta8[[#This Row],[Nombre Centro Gestion]]</f>
        <v>10213204 - Edificio Maipu-Proyecto</v>
      </c>
      <c r="G764" s="47" t="str">
        <f>+Centro_Cuenta8[[#This Row],[Código Cuenta Contable]]&amp;" - "&amp;Centro_Cuenta8[[#This Row],[Nombre de Cuenta Contable]]</f>
        <v>1115120 - Instalación Empalmes</v>
      </c>
      <c r="H764" s="146" t="str">
        <f>+VLOOKUP(D764,'3. Cuentas'!A:F,6,0)</f>
        <v>SI</v>
      </c>
    </row>
    <row r="765" spans="1:8" x14ac:dyDescent="0.25">
      <c r="A765" s="43">
        <v>10213204</v>
      </c>
      <c r="B765" t="s">
        <v>975</v>
      </c>
      <c r="C765" s="43" t="s">
        <v>1624</v>
      </c>
      <c r="D765" s="43">
        <v>1115170</v>
      </c>
      <c r="E765" t="s">
        <v>293</v>
      </c>
      <c r="F765" s="47" t="str">
        <f>+Centro_Cuenta8[[#This Row],[Codigo Centro Gestion]]&amp;" - "&amp;Centro_Cuenta8[[#This Row],[Nombre Centro Gestion]]</f>
        <v>10213204 - Edificio Maipu-Proyecto</v>
      </c>
      <c r="G765" s="47" t="str">
        <f>+Centro_Cuenta8[[#This Row],[Código Cuenta Contable]]&amp;" - "&amp;Centro_Cuenta8[[#This Row],[Nombre de Cuenta Contable]]</f>
        <v>1115170 - Permisos Y Otros Gastos Municipales</v>
      </c>
      <c r="H765" s="146" t="str">
        <f>+VLOOKUP(D765,'3. Cuentas'!A:F,6,0)</f>
        <v>SI</v>
      </c>
    </row>
    <row r="766" spans="1:8" x14ac:dyDescent="0.25">
      <c r="A766" s="43">
        <v>10213204</v>
      </c>
      <c r="B766" t="s">
        <v>975</v>
      </c>
      <c r="C766" s="43" t="s">
        <v>1624</v>
      </c>
      <c r="D766" s="43">
        <v>1115240</v>
      </c>
      <c r="E766" t="s">
        <v>294</v>
      </c>
      <c r="F766" s="47" t="str">
        <f>+Centro_Cuenta8[[#This Row],[Codigo Centro Gestion]]&amp;" - "&amp;Centro_Cuenta8[[#This Row],[Nombre Centro Gestion]]</f>
        <v>10213204 - Edificio Maipu-Proyecto</v>
      </c>
      <c r="G766" s="47" t="str">
        <f>+Centro_Cuenta8[[#This Row],[Código Cuenta Contable]]&amp;" - "&amp;Centro_Cuenta8[[#This Row],[Nombre de Cuenta Contable]]</f>
        <v>1115240 - Estudios Y Asesorias Técnicas</v>
      </c>
      <c r="H766" s="146" t="str">
        <f>+VLOOKUP(D766,'3. Cuentas'!A:F,6,0)</f>
        <v>SI</v>
      </c>
    </row>
    <row r="767" spans="1:8" x14ac:dyDescent="0.25">
      <c r="A767" s="43">
        <v>10213204</v>
      </c>
      <c r="B767" t="s">
        <v>975</v>
      </c>
      <c r="C767" s="43" t="s">
        <v>1624</v>
      </c>
      <c r="D767" s="43">
        <v>4203090</v>
      </c>
      <c r="E767" t="s">
        <v>192</v>
      </c>
      <c r="F767" s="47" t="str">
        <f>+Centro_Cuenta8[[#This Row],[Codigo Centro Gestion]]&amp;" - "&amp;Centro_Cuenta8[[#This Row],[Nombre Centro Gestion]]</f>
        <v>10213204 - Edificio Maipu-Proyecto</v>
      </c>
      <c r="G767" s="47" t="str">
        <f>+Centro_Cuenta8[[#This Row],[Código Cuenta Contable]]&amp;" - "&amp;Centro_Cuenta8[[#This Row],[Nombre de Cuenta Contable]]</f>
        <v>4203090 - Gastos Legales Y Notariales Proyecto</v>
      </c>
      <c r="H767" s="146" t="str">
        <f>+VLOOKUP(D767,'3. Cuentas'!A:F,6,0)</f>
        <v>SI</v>
      </c>
    </row>
    <row r="768" spans="1:8" x14ac:dyDescent="0.25">
      <c r="A768" s="43">
        <v>10213204</v>
      </c>
      <c r="B768" t="s">
        <v>975</v>
      </c>
      <c r="C768" s="43" t="s">
        <v>1624</v>
      </c>
      <c r="D768" s="43">
        <v>4203140</v>
      </c>
      <c r="E768" t="s">
        <v>109</v>
      </c>
      <c r="F768" s="47" t="str">
        <f>+Centro_Cuenta8[[#This Row],[Codigo Centro Gestion]]&amp;" - "&amp;Centro_Cuenta8[[#This Row],[Nombre Centro Gestion]]</f>
        <v>10213204 - Edificio Maipu-Proyecto</v>
      </c>
      <c r="G768" s="47" t="str">
        <f>+Centro_Cuenta8[[#This Row],[Código Cuenta Contable]]&amp;" - "&amp;Centro_Cuenta8[[#This Row],[Nombre de Cuenta Contable]]</f>
        <v>4203140 - Contribuciones</v>
      </c>
      <c r="H768" s="146" t="str">
        <f>+VLOOKUP(D768,'3. Cuentas'!A:F,6,0)</f>
        <v>SI</v>
      </c>
    </row>
    <row r="769" spans="1:8" x14ac:dyDescent="0.25">
      <c r="A769" s="43">
        <v>10213204</v>
      </c>
      <c r="B769" t="s">
        <v>975</v>
      </c>
      <c r="C769" s="43" t="s">
        <v>1624</v>
      </c>
      <c r="D769" s="43">
        <v>4203150</v>
      </c>
      <c r="E769" t="s">
        <v>156</v>
      </c>
      <c r="F769" s="47" t="str">
        <f>+Centro_Cuenta8[[#This Row],[Codigo Centro Gestion]]&amp;" - "&amp;Centro_Cuenta8[[#This Row],[Nombre Centro Gestion]]</f>
        <v>10213204 - Edificio Maipu-Proyecto</v>
      </c>
      <c r="G769" s="47" t="str">
        <f>+Centro_Cuenta8[[#This Row],[Código Cuenta Contable]]&amp;" - "&amp;Centro_Cuenta8[[#This Row],[Nombre de Cuenta Contable]]</f>
        <v>4203150 - Gastos CBR</v>
      </c>
      <c r="H769" s="146" t="str">
        <f>+VLOOKUP(D769,'3. Cuentas'!A:F,6,0)</f>
        <v>SI</v>
      </c>
    </row>
    <row r="770" spans="1:8" x14ac:dyDescent="0.25">
      <c r="A770" s="43">
        <v>10213204</v>
      </c>
      <c r="B770" t="s">
        <v>975</v>
      </c>
      <c r="C770" s="43" t="s">
        <v>1624</v>
      </c>
      <c r="D770" s="43">
        <v>4203160</v>
      </c>
      <c r="E770" t="s">
        <v>1639</v>
      </c>
      <c r="F770" s="47" t="str">
        <f>+Centro_Cuenta8[[#This Row],[Codigo Centro Gestion]]&amp;" - "&amp;Centro_Cuenta8[[#This Row],[Nombre Centro Gestion]]</f>
        <v>10213204 - Edificio Maipu-Proyecto</v>
      </c>
      <c r="G770" s="47" t="str">
        <f>+Centro_Cuenta8[[#This Row],[Código Cuenta Contable]]&amp;" - "&amp;Centro_Cuenta8[[#This Row],[Nombre de Cuenta Contable]]</f>
        <v>4203160 - PAPELERIA Y FOTOCOPIADO</v>
      </c>
      <c r="H770" s="146" t="str">
        <f>+VLOOKUP(D770,'3. Cuentas'!A:F,6,0)</f>
        <v>SI</v>
      </c>
    </row>
    <row r="771" spans="1:8" x14ac:dyDescent="0.25">
      <c r="A771" s="43">
        <v>10213204</v>
      </c>
      <c r="B771" t="s">
        <v>975</v>
      </c>
      <c r="C771" s="43" t="s">
        <v>1624</v>
      </c>
      <c r="D771" s="43">
        <v>4203180</v>
      </c>
      <c r="E771" t="s">
        <v>1640</v>
      </c>
      <c r="F771" s="47" t="str">
        <f>+Centro_Cuenta8[[#This Row],[Codigo Centro Gestion]]&amp;" - "&amp;Centro_Cuenta8[[#This Row],[Nombre Centro Gestion]]</f>
        <v>10213204 - Edificio Maipu-Proyecto</v>
      </c>
      <c r="G771" s="47" t="str">
        <f>+Centro_Cuenta8[[#This Row],[Código Cuenta Contable]]&amp;" - "&amp;Centro_Cuenta8[[#This Row],[Nombre de Cuenta Contable]]</f>
        <v>4203180 - Otros Gastos y Aseso Proy</v>
      </c>
      <c r="H771" s="146" t="str">
        <f>+VLOOKUP(D771,'3. Cuentas'!A:F,6,0)</f>
        <v>SI</v>
      </c>
    </row>
    <row r="772" spans="1:8" x14ac:dyDescent="0.25">
      <c r="A772" s="43">
        <v>10213301</v>
      </c>
      <c r="B772" t="s">
        <v>976</v>
      </c>
      <c r="C772" s="43" t="s">
        <v>1643</v>
      </c>
      <c r="D772" s="43">
        <v>4203090</v>
      </c>
      <c r="E772" t="s">
        <v>192</v>
      </c>
      <c r="F772" s="47" t="str">
        <f>+Centro_Cuenta8[[#This Row],[Codigo Centro Gestion]]&amp;" - "&amp;Centro_Cuenta8[[#This Row],[Nombre Centro Gestion]]</f>
        <v>10213301 - Edificio Maipu-GAF</v>
      </c>
      <c r="G772" s="47" t="str">
        <f>+Centro_Cuenta8[[#This Row],[Código Cuenta Contable]]&amp;" - "&amp;Centro_Cuenta8[[#This Row],[Nombre de Cuenta Contable]]</f>
        <v>4203090 - Gastos Legales Y Notariales Proyecto</v>
      </c>
      <c r="H772" s="146" t="str">
        <f>+VLOOKUP(D772,'3. Cuentas'!A:F,6,0)</f>
        <v>SI</v>
      </c>
    </row>
    <row r="773" spans="1:8" x14ac:dyDescent="0.25">
      <c r="A773" s="43">
        <v>10213301</v>
      </c>
      <c r="B773" t="s">
        <v>976</v>
      </c>
      <c r="C773" s="43" t="s">
        <v>1643</v>
      </c>
      <c r="D773" s="43">
        <v>4203140</v>
      </c>
      <c r="E773" t="s">
        <v>109</v>
      </c>
      <c r="F773" s="47" t="str">
        <f>+Centro_Cuenta8[[#This Row],[Codigo Centro Gestion]]&amp;" - "&amp;Centro_Cuenta8[[#This Row],[Nombre Centro Gestion]]</f>
        <v>10213301 - Edificio Maipu-GAF</v>
      </c>
      <c r="G773" s="47" t="str">
        <f>+Centro_Cuenta8[[#This Row],[Código Cuenta Contable]]&amp;" - "&amp;Centro_Cuenta8[[#This Row],[Nombre de Cuenta Contable]]</f>
        <v>4203140 - Contribuciones</v>
      </c>
      <c r="H773" s="146" t="str">
        <f>+VLOOKUP(D773,'3. Cuentas'!A:F,6,0)</f>
        <v>SI</v>
      </c>
    </row>
    <row r="774" spans="1:8" x14ac:dyDescent="0.25">
      <c r="A774" s="43">
        <v>10213506</v>
      </c>
      <c r="B774" t="s">
        <v>978</v>
      </c>
      <c r="C774" s="43" t="s">
        <v>200</v>
      </c>
      <c r="D774" s="43">
        <v>1115100</v>
      </c>
      <c r="E774" t="s">
        <v>292</v>
      </c>
      <c r="F774" s="47" t="str">
        <f>+Centro_Cuenta8[[#This Row],[Codigo Centro Gestion]]&amp;" - "&amp;Centro_Cuenta8[[#This Row],[Nombre Centro Gestion]]</f>
        <v>10213506 - Edificio Maipu-Depto.Técnico</v>
      </c>
      <c r="G774" s="47" t="str">
        <f>+Centro_Cuenta8[[#This Row],[Código Cuenta Contable]]&amp;" - "&amp;Centro_Cuenta8[[#This Row],[Nombre de Cuenta Contable]]</f>
        <v>1115100 - Proyectos Y Especialidades</v>
      </c>
      <c r="H774" s="146" t="str">
        <f>+VLOOKUP(D774,'3. Cuentas'!A:F,6,0)</f>
        <v>SI</v>
      </c>
    </row>
    <row r="775" spans="1:8" x14ac:dyDescent="0.25">
      <c r="A775" s="43">
        <v>10214102</v>
      </c>
      <c r="B775" t="s">
        <v>980</v>
      </c>
      <c r="C775" s="43" t="s">
        <v>1617</v>
      </c>
      <c r="D775" s="43">
        <v>4204010</v>
      </c>
      <c r="E775" t="s">
        <v>313</v>
      </c>
      <c r="F775" s="47" t="str">
        <f>+Centro_Cuenta8[[#This Row],[Codigo Centro Gestion]]&amp;" - "&amp;Centro_Cuenta8[[#This Row],[Nombre Centro Gestion]]</f>
        <v>10214102 - Edificio Recreo 250-Marketing</v>
      </c>
      <c r="G775" s="47" t="str">
        <f>+Centro_Cuenta8[[#This Row],[Código Cuenta Contable]]&amp;" - "&amp;Centro_Cuenta8[[#This Row],[Nombre de Cuenta Contable]]</f>
        <v>4204010 - Publicidad Punto Venta</v>
      </c>
      <c r="H775" s="146" t="str">
        <f>+VLOOKUP(D775,'3. Cuentas'!A:F,6,0)</f>
        <v>SI</v>
      </c>
    </row>
    <row r="776" spans="1:8" x14ac:dyDescent="0.25">
      <c r="A776" s="43">
        <v>10214102</v>
      </c>
      <c r="B776" t="s">
        <v>980</v>
      </c>
      <c r="C776" s="43" t="s">
        <v>1617</v>
      </c>
      <c r="D776" s="43">
        <v>4204021</v>
      </c>
      <c r="E776" t="s">
        <v>329</v>
      </c>
      <c r="F776" s="47" t="str">
        <f>+Centro_Cuenta8[[#This Row],[Codigo Centro Gestion]]&amp;" - "&amp;Centro_Cuenta8[[#This Row],[Nombre Centro Gestion]]</f>
        <v>10214102 - Edificio Recreo 250-Marketing</v>
      </c>
      <c r="G776" s="47" t="str">
        <f>+Centro_Cuenta8[[#This Row],[Código Cuenta Contable]]&amp;" - "&amp;Centro_Cuenta8[[#This Row],[Nombre de Cuenta Contable]]</f>
        <v>4204021 - Publicidad Ferias Y Eventos</v>
      </c>
      <c r="H776" s="146" t="str">
        <f>+VLOOKUP(D776,'3. Cuentas'!A:F,6,0)</f>
        <v>SI</v>
      </c>
    </row>
    <row r="777" spans="1:8" x14ac:dyDescent="0.25">
      <c r="A777" s="43">
        <v>10214103</v>
      </c>
      <c r="B777" t="s">
        <v>981</v>
      </c>
      <c r="C777" s="43" t="s">
        <v>1618</v>
      </c>
      <c r="D777" s="43">
        <v>4203060</v>
      </c>
      <c r="E777" t="s">
        <v>321</v>
      </c>
      <c r="F777" s="47" t="str">
        <f>+Centro_Cuenta8[[#This Row],[Codigo Centro Gestion]]&amp;" - "&amp;Centro_Cuenta8[[#This Row],[Nombre Centro Gestion]]</f>
        <v>10214103 - Edificio Recreo 250-Operaciones</v>
      </c>
      <c r="G777" s="47" t="str">
        <f>+Centro_Cuenta8[[#This Row],[Código Cuenta Contable]]&amp;" - "&amp;Centro_Cuenta8[[#This Row],[Nombre de Cuenta Contable]]</f>
        <v>4203060 - Gastos Operacionales De Clientes</v>
      </c>
      <c r="H777" s="146" t="str">
        <f>+VLOOKUP(D777,'3. Cuentas'!A:F,6,0)</f>
        <v>SI</v>
      </c>
    </row>
    <row r="778" spans="1:8" x14ac:dyDescent="0.25">
      <c r="A778" s="43">
        <v>10214103</v>
      </c>
      <c r="B778" t="s">
        <v>981</v>
      </c>
      <c r="C778" s="43" t="s">
        <v>1618</v>
      </c>
      <c r="D778" s="43">
        <v>4203090</v>
      </c>
      <c r="E778" t="s">
        <v>192</v>
      </c>
      <c r="F778" s="47" t="str">
        <f>+Centro_Cuenta8[[#This Row],[Codigo Centro Gestion]]&amp;" - "&amp;Centro_Cuenta8[[#This Row],[Nombre Centro Gestion]]</f>
        <v>10214103 - Edificio Recreo 250-Operaciones</v>
      </c>
      <c r="G778" s="47" t="str">
        <f>+Centro_Cuenta8[[#This Row],[Código Cuenta Contable]]&amp;" - "&amp;Centro_Cuenta8[[#This Row],[Nombre de Cuenta Contable]]</f>
        <v>4203090 - Gastos Legales Y Notariales Proyecto</v>
      </c>
      <c r="H778" s="146" t="str">
        <f>+VLOOKUP(D778,'3. Cuentas'!A:F,6,0)</f>
        <v>SI</v>
      </c>
    </row>
    <row r="779" spans="1:8" x14ac:dyDescent="0.25">
      <c r="A779" s="43">
        <v>10214104</v>
      </c>
      <c r="B779" t="s">
        <v>982</v>
      </c>
      <c r="C779" s="43" t="s">
        <v>90</v>
      </c>
      <c r="D779" s="43">
        <v>1110040</v>
      </c>
      <c r="E779" t="s">
        <v>1505</v>
      </c>
      <c r="F779" s="47" t="str">
        <f>+Centro_Cuenta8[[#This Row],[Codigo Centro Gestion]]&amp;" - "&amp;Centro_Cuenta8[[#This Row],[Nombre Centro Gestion]]</f>
        <v>10214104 - Edificio Recreo 250-Ventas</v>
      </c>
      <c r="G779" s="47" t="str">
        <f>+Centro_Cuenta8[[#This Row],[Código Cuenta Contable]]&amp;" - "&amp;Centro_Cuenta8[[#This Row],[Nombre de Cuenta Contable]]</f>
        <v>1110040 - Garantía Pagadas</v>
      </c>
      <c r="H779" s="146" t="str">
        <f>+VLOOKUP(D779,'3. Cuentas'!A:F,6,0)</f>
        <v>SI</v>
      </c>
    </row>
    <row r="780" spans="1:8" x14ac:dyDescent="0.25">
      <c r="A780" s="43">
        <v>10214104</v>
      </c>
      <c r="B780" t="s">
        <v>982</v>
      </c>
      <c r="C780" s="43" t="s">
        <v>90</v>
      </c>
      <c r="D780" s="43">
        <v>4202003</v>
      </c>
      <c r="E780" t="s">
        <v>106</v>
      </c>
      <c r="F780" s="47" t="str">
        <f>+Centro_Cuenta8[[#This Row],[Codigo Centro Gestion]]&amp;" - "&amp;Centro_Cuenta8[[#This Row],[Nombre Centro Gestion]]</f>
        <v>10214104 - Edificio Recreo 250-Ventas</v>
      </c>
      <c r="G780" s="47" t="str">
        <f>+Centro_Cuenta8[[#This Row],[Código Cuenta Contable]]&amp;" - "&amp;Centro_Cuenta8[[#This Row],[Nombre de Cuenta Contable]]</f>
        <v>4202003 - Serv.Basic.Luz.Agua.Tel Of.C</v>
      </c>
      <c r="H780" s="146" t="str">
        <f>+VLOOKUP(D780,'3. Cuentas'!A:F,6,0)</f>
        <v>SI</v>
      </c>
    </row>
    <row r="781" spans="1:8" x14ac:dyDescent="0.25">
      <c r="A781" s="43">
        <v>10214104</v>
      </c>
      <c r="B781" t="s">
        <v>982</v>
      </c>
      <c r="C781" s="43" t="s">
        <v>90</v>
      </c>
      <c r="D781" s="43">
        <v>4202010</v>
      </c>
      <c r="E781" t="s">
        <v>87</v>
      </c>
      <c r="F781" s="47" t="str">
        <f>+Centro_Cuenta8[[#This Row],[Codigo Centro Gestion]]&amp;" - "&amp;Centro_Cuenta8[[#This Row],[Nombre Centro Gestion]]</f>
        <v>10214104 - Edificio Recreo 250-Ventas</v>
      </c>
      <c r="G781" s="47" t="str">
        <f>+Centro_Cuenta8[[#This Row],[Código Cuenta Contable]]&amp;" - "&amp;Centro_Cuenta8[[#This Row],[Nombre de Cuenta Contable]]</f>
        <v>4202010 - Artic. Ofic. Fotocop.Papelería</v>
      </c>
      <c r="H781" s="146" t="str">
        <f>+VLOOKUP(D781,'3. Cuentas'!A:F,6,0)</f>
        <v>SI</v>
      </c>
    </row>
    <row r="782" spans="1:8" x14ac:dyDescent="0.25">
      <c r="A782" s="43">
        <v>10214104</v>
      </c>
      <c r="B782" t="s">
        <v>982</v>
      </c>
      <c r="C782" s="43" t="s">
        <v>90</v>
      </c>
      <c r="D782" s="43">
        <v>4202019</v>
      </c>
      <c r="E782" t="s">
        <v>81</v>
      </c>
      <c r="F782" s="47" t="str">
        <f>+Centro_Cuenta8[[#This Row],[Codigo Centro Gestion]]&amp;" - "&amp;Centro_Cuenta8[[#This Row],[Nombre Centro Gestion]]</f>
        <v>10214104 - Edificio Recreo 250-Ventas</v>
      </c>
      <c r="G782" s="47" t="str">
        <f>+Centro_Cuenta8[[#This Row],[Código Cuenta Contable]]&amp;" - "&amp;Centro_Cuenta8[[#This Row],[Nombre de Cuenta Contable]]</f>
        <v>4202019 - Gasto General Oficina</v>
      </c>
      <c r="H782" s="146" t="str">
        <f>+VLOOKUP(D782,'3. Cuentas'!A:F,6,0)</f>
        <v>SI</v>
      </c>
    </row>
    <row r="783" spans="1:8" x14ac:dyDescent="0.25">
      <c r="A783" s="43">
        <v>10214104</v>
      </c>
      <c r="B783" t="s">
        <v>982</v>
      </c>
      <c r="C783" s="43" t="s">
        <v>90</v>
      </c>
      <c r="D783" s="43">
        <v>4202023</v>
      </c>
      <c r="E783" t="s">
        <v>82</v>
      </c>
      <c r="F783" s="47" t="str">
        <f>+Centro_Cuenta8[[#This Row],[Codigo Centro Gestion]]&amp;" - "&amp;Centro_Cuenta8[[#This Row],[Nombre Centro Gestion]]</f>
        <v>10214104 - Edificio Recreo 250-Ventas</v>
      </c>
      <c r="G783" s="47" t="str">
        <f>+Centro_Cuenta8[[#This Row],[Código Cuenta Contable]]&amp;" - "&amp;Centro_Cuenta8[[#This Row],[Nombre de Cuenta Contable]]</f>
        <v>4202023 - Honorarios Por Asesorías</v>
      </c>
      <c r="H783" s="146" t="str">
        <f>+VLOOKUP(D783,'3. Cuentas'!A:F,6,0)</f>
        <v>SI</v>
      </c>
    </row>
    <row r="784" spans="1:8" x14ac:dyDescent="0.25">
      <c r="A784" s="43">
        <v>10214104</v>
      </c>
      <c r="B784" t="s">
        <v>982</v>
      </c>
      <c r="C784" s="43" t="s">
        <v>90</v>
      </c>
      <c r="D784" s="43">
        <v>4202029</v>
      </c>
      <c r="E784" t="s">
        <v>83</v>
      </c>
      <c r="F784" s="47" t="str">
        <f>+Centro_Cuenta8[[#This Row],[Codigo Centro Gestion]]&amp;" - "&amp;Centro_Cuenta8[[#This Row],[Nombre Centro Gestion]]</f>
        <v>10214104 - Edificio Recreo 250-Ventas</v>
      </c>
      <c r="G784" s="47" t="str">
        <f>+Centro_Cuenta8[[#This Row],[Código Cuenta Contable]]&amp;" - "&amp;Centro_Cuenta8[[#This Row],[Nombre de Cuenta Contable]]</f>
        <v>4202029 - Insumos Y Gastos Informáticos</v>
      </c>
      <c r="H784" s="146" t="str">
        <f>+VLOOKUP(D784,'3. Cuentas'!A:F,6,0)</f>
        <v>SI</v>
      </c>
    </row>
    <row r="785" spans="1:8" x14ac:dyDescent="0.25">
      <c r="A785" s="43">
        <v>10214104</v>
      </c>
      <c r="B785" t="s">
        <v>982</v>
      </c>
      <c r="C785" s="43" t="s">
        <v>90</v>
      </c>
      <c r="D785" s="43">
        <v>4204021</v>
      </c>
      <c r="E785" t="s">
        <v>329</v>
      </c>
      <c r="F785" s="47" t="str">
        <f>+Centro_Cuenta8[[#This Row],[Codigo Centro Gestion]]&amp;" - "&amp;Centro_Cuenta8[[#This Row],[Nombre Centro Gestion]]</f>
        <v>10214104 - Edificio Recreo 250-Ventas</v>
      </c>
      <c r="G785" s="47" t="str">
        <f>+Centro_Cuenta8[[#This Row],[Código Cuenta Contable]]&amp;" - "&amp;Centro_Cuenta8[[#This Row],[Nombre de Cuenta Contable]]</f>
        <v>4204021 - Publicidad Ferias Y Eventos</v>
      </c>
      <c r="H785" s="146" t="str">
        <f>+VLOOKUP(D785,'3. Cuentas'!A:F,6,0)</f>
        <v>SI</v>
      </c>
    </row>
    <row r="786" spans="1:8" x14ac:dyDescent="0.25">
      <c r="A786" s="43">
        <v>10214105</v>
      </c>
      <c r="B786" t="s">
        <v>983</v>
      </c>
      <c r="C786" s="43" t="s">
        <v>1622</v>
      </c>
      <c r="D786" s="43">
        <v>4203020</v>
      </c>
      <c r="E786" t="s">
        <v>295</v>
      </c>
      <c r="F786" s="47" t="str">
        <f>+Centro_Cuenta8[[#This Row],[Codigo Centro Gestion]]&amp;" - "&amp;Centro_Cuenta8[[#This Row],[Nombre Centro Gestion]]</f>
        <v>10214105 - Edificio Recreo 250-Clientes</v>
      </c>
      <c r="G786" s="47" t="str">
        <f>+Centro_Cuenta8[[#This Row],[Código Cuenta Contable]]&amp;" - "&amp;Centro_Cuenta8[[#This Row],[Nombre de Cuenta Contable]]</f>
        <v>4203020 - Mant. y Consum. Viv Stock</v>
      </c>
      <c r="H786" s="146" t="str">
        <f>+VLOOKUP(D786,'3. Cuentas'!A:F,6,0)</f>
        <v>SI</v>
      </c>
    </row>
    <row r="787" spans="1:8" x14ac:dyDescent="0.25">
      <c r="A787" s="43">
        <v>10214105</v>
      </c>
      <c r="B787" t="s">
        <v>983</v>
      </c>
      <c r="C787" s="43" t="s">
        <v>1622</v>
      </c>
      <c r="D787" s="43">
        <v>4203120</v>
      </c>
      <c r="E787" t="s">
        <v>108</v>
      </c>
      <c r="F787" s="47" t="str">
        <f>+Centro_Cuenta8[[#This Row],[Codigo Centro Gestion]]&amp;" - "&amp;Centro_Cuenta8[[#This Row],[Nombre Centro Gestion]]</f>
        <v>10214105 - Edificio Recreo 250-Clientes</v>
      </c>
      <c r="G787" s="47" t="str">
        <f>+Centro_Cuenta8[[#This Row],[Código Cuenta Contable]]&amp;" - "&amp;Centro_Cuenta8[[#This Row],[Nombre de Cuenta Contable]]</f>
        <v>4203120 - Gastos Comunes</v>
      </c>
      <c r="H787" s="146" t="str">
        <f>+VLOOKUP(D787,'3. Cuentas'!A:F,6,0)</f>
        <v>SI</v>
      </c>
    </row>
    <row r="788" spans="1:8" x14ac:dyDescent="0.25">
      <c r="A788" s="43">
        <v>10214105</v>
      </c>
      <c r="B788" t="s">
        <v>983</v>
      </c>
      <c r="C788" s="43" t="s">
        <v>1622</v>
      </c>
      <c r="D788" s="43">
        <v>4203140</v>
      </c>
      <c r="E788" t="s">
        <v>109</v>
      </c>
      <c r="F788" s="47" t="str">
        <f>+Centro_Cuenta8[[#This Row],[Codigo Centro Gestion]]&amp;" - "&amp;Centro_Cuenta8[[#This Row],[Nombre Centro Gestion]]</f>
        <v>10214105 - Edificio Recreo 250-Clientes</v>
      </c>
      <c r="G788" s="47" t="str">
        <f>+Centro_Cuenta8[[#This Row],[Código Cuenta Contable]]&amp;" - "&amp;Centro_Cuenta8[[#This Row],[Nombre de Cuenta Contable]]</f>
        <v>4203140 - Contribuciones</v>
      </c>
      <c r="H788" s="146" t="str">
        <f>+VLOOKUP(D788,'3. Cuentas'!A:F,6,0)</f>
        <v>SI</v>
      </c>
    </row>
    <row r="789" spans="1:8" x14ac:dyDescent="0.25">
      <c r="A789" s="43">
        <v>10214204</v>
      </c>
      <c r="B789" t="s">
        <v>984</v>
      </c>
      <c r="C789" s="43" t="s">
        <v>1624</v>
      </c>
      <c r="D789" s="43">
        <v>1103045</v>
      </c>
      <c r="E789" t="s">
        <v>323</v>
      </c>
      <c r="F789" s="47" t="str">
        <f>+Centro_Cuenta8[[#This Row],[Codigo Centro Gestion]]&amp;" - "&amp;Centro_Cuenta8[[#This Row],[Nombre Centro Gestion]]</f>
        <v>10214204 - Edificio Recreo 250-Proyecto</v>
      </c>
      <c r="G789" s="47" t="str">
        <f>+Centro_Cuenta8[[#This Row],[Código Cuenta Contable]]&amp;" - "&amp;Centro_Cuenta8[[#This Row],[Nombre de Cuenta Contable]]</f>
        <v>1103045 - Aportes reembolsables (electricidad y agua)</v>
      </c>
      <c r="H789" s="146" t="str">
        <f>+VLOOKUP(D789,'3. Cuentas'!A:F,6,0)</f>
        <v>SI</v>
      </c>
    </row>
    <row r="790" spans="1:8" x14ac:dyDescent="0.25">
      <c r="A790" s="43">
        <v>10214204</v>
      </c>
      <c r="B790" t="s">
        <v>984</v>
      </c>
      <c r="C790" s="43" t="s">
        <v>1624</v>
      </c>
      <c r="D790" s="43">
        <v>1109020</v>
      </c>
      <c r="E790" t="s">
        <v>302</v>
      </c>
      <c r="F790" s="47" t="str">
        <f>+Centro_Cuenta8[[#This Row],[Codigo Centro Gestion]]&amp;" - "&amp;Centro_Cuenta8[[#This Row],[Nombre Centro Gestion]]</f>
        <v>10214204 - Edificio Recreo 250-Proyecto</v>
      </c>
      <c r="G790" s="47" t="str">
        <f>+Centro_Cuenta8[[#This Row],[Código Cuenta Contable]]&amp;" - "&amp;Centro_Cuenta8[[#This Row],[Nombre de Cuenta Contable]]</f>
        <v>1109020 - Mobiliario</v>
      </c>
      <c r="H790" s="146" t="str">
        <f>+VLOOKUP(D790,'3. Cuentas'!A:F,6,0)</f>
        <v>SI</v>
      </c>
    </row>
    <row r="791" spans="1:8" x14ac:dyDescent="0.25">
      <c r="A791" s="43">
        <v>10214204</v>
      </c>
      <c r="B791" t="s">
        <v>984</v>
      </c>
      <c r="C791" s="43" t="s">
        <v>1624</v>
      </c>
      <c r="D791" s="43">
        <v>1110040</v>
      </c>
      <c r="E791" t="s">
        <v>1505</v>
      </c>
      <c r="F791" s="47" t="str">
        <f>+Centro_Cuenta8[[#This Row],[Codigo Centro Gestion]]&amp;" - "&amp;Centro_Cuenta8[[#This Row],[Nombre Centro Gestion]]</f>
        <v>10214204 - Edificio Recreo 250-Proyecto</v>
      </c>
      <c r="G791" s="47" t="str">
        <f>+Centro_Cuenta8[[#This Row],[Código Cuenta Contable]]&amp;" - "&amp;Centro_Cuenta8[[#This Row],[Nombre de Cuenta Contable]]</f>
        <v>1110040 - Garantía Pagadas</v>
      </c>
      <c r="H791" s="146" t="str">
        <f>+VLOOKUP(D791,'3. Cuentas'!A:F,6,0)</f>
        <v>SI</v>
      </c>
    </row>
    <row r="792" spans="1:8" x14ac:dyDescent="0.25">
      <c r="A792" s="43">
        <v>10214204</v>
      </c>
      <c r="B792" t="s">
        <v>984</v>
      </c>
      <c r="C792" s="43" t="s">
        <v>1624</v>
      </c>
      <c r="D792" s="43">
        <v>1115040</v>
      </c>
      <c r="E792" t="s">
        <v>291</v>
      </c>
      <c r="F792" s="47" t="str">
        <f>+Centro_Cuenta8[[#This Row],[Codigo Centro Gestion]]&amp;" - "&amp;Centro_Cuenta8[[#This Row],[Nombre Centro Gestion]]</f>
        <v>10214204 - Edificio Recreo 250-Proyecto</v>
      </c>
      <c r="G792" s="47" t="str">
        <f>+Centro_Cuenta8[[#This Row],[Código Cuenta Contable]]&amp;" - "&amp;Centro_Cuenta8[[#This Row],[Nombre de Cuenta Contable]]</f>
        <v>1115040 - Saneamiento De Terreno</v>
      </c>
      <c r="H792" s="146" t="str">
        <f>+VLOOKUP(D792,'3. Cuentas'!A:F,6,0)</f>
        <v>SI</v>
      </c>
    </row>
    <row r="793" spans="1:8" x14ac:dyDescent="0.25">
      <c r="A793" s="43">
        <v>10214204</v>
      </c>
      <c r="B793" t="s">
        <v>984</v>
      </c>
      <c r="C793" s="43" t="s">
        <v>1624</v>
      </c>
      <c r="D793" s="43">
        <v>1115050</v>
      </c>
      <c r="E793" t="s">
        <v>1628</v>
      </c>
      <c r="F793" s="47" t="str">
        <f>+Centro_Cuenta8[[#This Row],[Codigo Centro Gestion]]&amp;" - "&amp;Centro_Cuenta8[[#This Row],[Nombre Centro Gestion]]</f>
        <v>10214204 - Edificio Recreo 250-Proyecto</v>
      </c>
      <c r="G793" s="47" t="str">
        <f>+Centro_Cuenta8[[#This Row],[Código Cuenta Contable]]&amp;" - "&amp;Centro_Cuenta8[[#This Row],[Nombre de Cuenta Contable]]</f>
        <v>1115050 - Demolición</v>
      </c>
      <c r="H793" s="146" t="str">
        <f>+VLOOKUP(D793,'3. Cuentas'!A:F,6,0)</f>
        <v>SI</v>
      </c>
    </row>
    <row r="794" spans="1:8" x14ac:dyDescent="0.25">
      <c r="A794" s="43">
        <v>10214204</v>
      </c>
      <c r="B794" t="s">
        <v>984</v>
      </c>
      <c r="C794" s="43" t="s">
        <v>1624</v>
      </c>
      <c r="D794" s="43">
        <v>1115100</v>
      </c>
      <c r="E794" t="s">
        <v>292</v>
      </c>
      <c r="F794" s="47" t="str">
        <f>+Centro_Cuenta8[[#This Row],[Codigo Centro Gestion]]&amp;" - "&amp;Centro_Cuenta8[[#This Row],[Nombre Centro Gestion]]</f>
        <v>10214204 - Edificio Recreo 250-Proyecto</v>
      </c>
      <c r="G794" s="47" t="str">
        <f>+Centro_Cuenta8[[#This Row],[Código Cuenta Contable]]&amp;" - "&amp;Centro_Cuenta8[[#This Row],[Nombre de Cuenta Contable]]</f>
        <v>1115100 - Proyectos Y Especialidades</v>
      </c>
      <c r="H794" s="146" t="str">
        <f>+VLOOKUP(D794,'3. Cuentas'!A:F,6,0)</f>
        <v>SI</v>
      </c>
    </row>
    <row r="795" spans="1:8" x14ac:dyDescent="0.25">
      <c r="A795" s="43">
        <v>10214204</v>
      </c>
      <c r="B795" t="s">
        <v>984</v>
      </c>
      <c r="C795" s="43" t="s">
        <v>1624</v>
      </c>
      <c r="D795" s="43">
        <v>1115120</v>
      </c>
      <c r="E795" t="s">
        <v>1633</v>
      </c>
      <c r="F795" s="47" t="str">
        <f>+Centro_Cuenta8[[#This Row],[Codigo Centro Gestion]]&amp;" - "&amp;Centro_Cuenta8[[#This Row],[Nombre Centro Gestion]]</f>
        <v>10214204 - Edificio Recreo 250-Proyecto</v>
      </c>
      <c r="G795" s="47" t="str">
        <f>+Centro_Cuenta8[[#This Row],[Código Cuenta Contable]]&amp;" - "&amp;Centro_Cuenta8[[#This Row],[Nombre de Cuenta Contable]]</f>
        <v>1115120 - Instalación Empalmes</v>
      </c>
      <c r="H795" s="146" t="str">
        <f>+VLOOKUP(D795,'3. Cuentas'!A:F,6,0)</f>
        <v>SI</v>
      </c>
    </row>
    <row r="796" spans="1:8" x14ac:dyDescent="0.25">
      <c r="A796" s="43">
        <v>10214204</v>
      </c>
      <c r="B796" t="s">
        <v>984</v>
      </c>
      <c r="C796" s="43" t="s">
        <v>1624</v>
      </c>
      <c r="D796" s="43">
        <v>1115170</v>
      </c>
      <c r="E796" t="s">
        <v>293</v>
      </c>
      <c r="F796" s="47" t="str">
        <f>+Centro_Cuenta8[[#This Row],[Codigo Centro Gestion]]&amp;" - "&amp;Centro_Cuenta8[[#This Row],[Nombre Centro Gestion]]</f>
        <v>10214204 - Edificio Recreo 250-Proyecto</v>
      </c>
      <c r="G796" s="47" t="str">
        <f>+Centro_Cuenta8[[#This Row],[Código Cuenta Contable]]&amp;" - "&amp;Centro_Cuenta8[[#This Row],[Nombre de Cuenta Contable]]</f>
        <v>1115170 - Permisos Y Otros Gastos Municipales</v>
      </c>
      <c r="H796" s="146" t="str">
        <f>+VLOOKUP(D796,'3. Cuentas'!A:F,6,0)</f>
        <v>SI</v>
      </c>
    </row>
    <row r="797" spans="1:8" x14ac:dyDescent="0.25">
      <c r="A797" s="43">
        <v>10214204</v>
      </c>
      <c r="B797" t="s">
        <v>984</v>
      </c>
      <c r="C797" s="43" t="s">
        <v>1624</v>
      </c>
      <c r="D797" s="43">
        <v>1115240</v>
      </c>
      <c r="E797" t="s">
        <v>294</v>
      </c>
      <c r="F797" s="47" t="str">
        <f>+Centro_Cuenta8[[#This Row],[Codigo Centro Gestion]]&amp;" - "&amp;Centro_Cuenta8[[#This Row],[Nombre Centro Gestion]]</f>
        <v>10214204 - Edificio Recreo 250-Proyecto</v>
      </c>
      <c r="G797" s="47" t="str">
        <f>+Centro_Cuenta8[[#This Row],[Código Cuenta Contable]]&amp;" - "&amp;Centro_Cuenta8[[#This Row],[Nombre de Cuenta Contable]]</f>
        <v>1115240 - Estudios Y Asesorias Técnicas</v>
      </c>
      <c r="H797" s="146" t="str">
        <f>+VLOOKUP(D797,'3. Cuentas'!A:F,6,0)</f>
        <v>SI</v>
      </c>
    </row>
    <row r="798" spans="1:8" x14ac:dyDescent="0.25">
      <c r="A798" s="43">
        <v>10214204</v>
      </c>
      <c r="B798" t="s">
        <v>984</v>
      </c>
      <c r="C798" s="43" t="s">
        <v>1624</v>
      </c>
      <c r="D798" s="43">
        <v>4203090</v>
      </c>
      <c r="E798" t="s">
        <v>192</v>
      </c>
      <c r="F798" s="47" t="str">
        <f>+Centro_Cuenta8[[#This Row],[Codigo Centro Gestion]]&amp;" - "&amp;Centro_Cuenta8[[#This Row],[Nombre Centro Gestion]]</f>
        <v>10214204 - Edificio Recreo 250-Proyecto</v>
      </c>
      <c r="G798" s="47" t="str">
        <f>+Centro_Cuenta8[[#This Row],[Código Cuenta Contable]]&amp;" - "&amp;Centro_Cuenta8[[#This Row],[Nombre de Cuenta Contable]]</f>
        <v>4203090 - Gastos Legales Y Notariales Proyecto</v>
      </c>
      <c r="H798" s="146" t="str">
        <f>+VLOOKUP(D798,'3. Cuentas'!A:F,6,0)</f>
        <v>SI</v>
      </c>
    </row>
    <row r="799" spans="1:8" x14ac:dyDescent="0.25">
      <c r="A799" s="43">
        <v>10214204</v>
      </c>
      <c r="B799" t="s">
        <v>984</v>
      </c>
      <c r="C799" s="43" t="s">
        <v>1624</v>
      </c>
      <c r="D799" s="43">
        <v>4203140</v>
      </c>
      <c r="E799" t="s">
        <v>109</v>
      </c>
      <c r="F799" s="47" t="str">
        <f>+Centro_Cuenta8[[#This Row],[Codigo Centro Gestion]]&amp;" - "&amp;Centro_Cuenta8[[#This Row],[Nombre Centro Gestion]]</f>
        <v>10214204 - Edificio Recreo 250-Proyecto</v>
      </c>
      <c r="G799" s="47" t="str">
        <f>+Centro_Cuenta8[[#This Row],[Código Cuenta Contable]]&amp;" - "&amp;Centro_Cuenta8[[#This Row],[Nombre de Cuenta Contable]]</f>
        <v>4203140 - Contribuciones</v>
      </c>
      <c r="H799" s="146" t="str">
        <f>+VLOOKUP(D799,'3. Cuentas'!A:F,6,0)</f>
        <v>SI</v>
      </c>
    </row>
    <row r="800" spans="1:8" x14ac:dyDescent="0.25">
      <c r="A800" s="43">
        <v>10214204</v>
      </c>
      <c r="B800" t="s">
        <v>984</v>
      </c>
      <c r="C800" s="43" t="s">
        <v>1624</v>
      </c>
      <c r="D800" s="43">
        <v>4203150</v>
      </c>
      <c r="E800" t="s">
        <v>156</v>
      </c>
      <c r="F800" s="47" t="str">
        <f>+Centro_Cuenta8[[#This Row],[Codigo Centro Gestion]]&amp;" - "&amp;Centro_Cuenta8[[#This Row],[Nombre Centro Gestion]]</f>
        <v>10214204 - Edificio Recreo 250-Proyecto</v>
      </c>
      <c r="G800" s="47" t="str">
        <f>+Centro_Cuenta8[[#This Row],[Código Cuenta Contable]]&amp;" - "&amp;Centro_Cuenta8[[#This Row],[Nombre de Cuenta Contable]]</f>
        <v>4203150 - Gastos CBR</v>
      </c>
      <c r="H800" s="146" t="str">
        <f>+VLOOKUP(D800,'3. Cuentas'!A:F,6,0)</f>
        <v>SI</v>
      </c>
    </row>
    <row r="801" spans="1:8" x14ac:dyDescent="0.25">
      <c r="A801" s="43">
        <v>10214204</v>
      </c>
      <c r="B801" t="s">
        <v>984</v>
      </c>
      <c r="C801" s="43" t="s">
        <v>1624</v>
      </c>
      <c r="D801" s="43">
        <v>4203160</v>
      </c>
      <c r="E801" t="s">
        <v>1639</v>
      </c>
      <c r="F801" s="47" t="str">
        <f>+Centro_Cuenta8[[#This Row],[Codigo Centro Gestion]]&amp;" - "&amp;Centro_Cuenta8[[#This Row],[Nombre Centro Gestion]]</f>
        <v>10214204 - Edificio Recreo 250-Proyecto</v>
      </c>
      <c r="G801" s="47" t="str">
        <f>+Centro_Cuenta8[[#This Row],[Código Cuenta Contable]]&amp;" - "&amp;Centro_Cuenta8[[#This Row],[Nombre de Cuenta Contable]]</f>
        <v>4203160 - PAPELERIA Y FOTOCOPIADO</v>
      </c>
      <c r="H801" s="146" t="str">
        <f>+VLOOKUP(D801,'3. Cuentas'!A:F,6,0)</f>
        <v>SI</v>
      </c>
    </row>
    <row r="802" spans="1:8" x14ac:dyDescent="0.25">
      <c r="A802" s="43">
        <v>10214204</v>
      </c>
      <c r="B802" t="s">
        <v>984</v>
      </c>
      <c r="C802" s="43" t="s">
        <v>1624</v>
      </c>
      <c r="D802" s="43">
        <v>4203180</v>
      </c>
      <c r="E802" t="s">
        <v>1640</v>
      </c>
      <c r="F802" s="47" t="str">
        <f>+Centro_Cuenta8[[#This Row],[Codigo Centro Gestion]]&amp;" - "&amp;Centro_Cuenta8[[#This Row],[Nombre Centro Gestion]]</f>
        <v>10214204 - Edificio Recreo 250-Proyecto</v>
      </c>
      <c r="G802" s="47" t="str">
        <f>+Centro_Cuenta8[[#This Row],[Código Cuenta Contable]]&amp;" - "&amp;Centro_Cuenta8[[#This Row],[Nombre de Cuenta Contable]]</f>
        <v>4203180 - Otros Gastos y Aseso Proy</v>
      </c>
      <c r="H802" s="146" t="str">
        <f>+VLOOKUP(D802,'3. Cuentas'!A:F,6,0)</f>
        <v>SI</v>
      </c>
    </row>
    <row r="803" spans="1:8" x14ac:dyDescent="0.25">
      <c r="A803" s="43">
        <v>10214301</v>
      </c>
      <c r="B803" t="s">
        <v>985</v>
      </c>
      <c r="C803" s="43" t="s">
        <v>1643</v>
      </c>
      <c r="D803" s="43">
        <v>4203090</v>
      </c>
      <c r="E803" t="s">
        <v>192</v>
      </c>
      <c r="F803" s="47" t="str">
        <f>+Centro_Cuenta8[[#This Row],[Codigo Centro Gestion]]&amp;" - "&amp;Centro_Cuenta8[[#This Row],[Nombre Centro Gestion]]</f>
        <v>10214301 - Edificio Recreo 250-GAF</v>
      </c>
      <c r="G803" s="47" t="str">
        <f>+Centro_Cuenta8[[#This Row],[Código Cuenta Contable]]&amp;" - "&amp;Centro_Cuenta8[[#This Row],[Nombre de Cuenta Contable]]</f>
        <v>4203090 - Gastos Legales Y Notariales Proyecto</v>
      </c>
      <c r="H803" s="146" t="str">
        <f>+VLOOKUP(D803,'3. Cuentas'!A:F,6,0)</f>
        <v>SI</v>
      </c>
    </row>
    <row r="804" spans="1:8" x14ac:dyDescent="0.25">
      <c r="A804" s="43">
        <v>10214301</v>
      </c>
      <c r="B804" t="s">
        <v>985</v>
      </c>
      <c r="C804" s="43" t="s">
        <v>1643</v>
      </c>
      <c r="D804" s="43">
        <v>4203140</v>
      </c>
      <c r="E804" t="s">
        <v>109</v>
      </c>
      <c r="F804" s="47" t="str">
        <f>+Centro_Cuenta8[[#This Row],[Codigo Centro Gestion]]&amp;" - "&amp;Centro_Cuenta8[[#This Row],[Nombre Centro Gestion]]</f>
        <v>10214301 - Edificio Recreo 250-GAF</v>
      </c>
      <c r="G804" s="47" t="str">
        <f>+Centro_Cuenta8[[#This Row],[Código Cuenta Contable]]&amp;" - "&amp;Centro_Cuenta8[[#This Row],[Nombre de Cuenta Contable]]</f>
        <v>4203140 - Contribuciones</v>
      </c>
      <c r="H804" s="146" t="str">
        <f>+VLOOKUP(D804,'3. Cuentas'!A:F,6,0)</f>
        <v>SI</v>
      </c>
    </row>
    <row r="805" spans="1:8" x14ac:dyDescent="0.25">
      <c r="A805" s="43">
        <v>10214506</v>
      </c>
      <c r="B805" t="s">
        <v>987</v>
      </c>
      <c r="C805" s="43" t="s">
        <v>200</v>
      </c>
      <c r="D805" s="43">
        <v>1115100</v>
      </c>
      <c r="E805" t="s">
        <v>292</v>
      </c>
      <c r="F805" s="47" t="str">
        <f>+Centro_Cuenta8[[#This Row],[Codigo Centro Gestion]]&amp;" - "&amp;Centro_Cuenta8[[#This Row],[Nombre Centro Gestion]]</f>
        <v>10214506 - Edificio Recreo 250-Depto.Técnico</v>
      </c>
      <c r="G805" s="47" t="str">
        <f>+Centro_Cuenta8[[#This Row],[Código Cuenta Contable]]&amp;" - "&amp;Centro_Cuenta8[[#This Row],[Nombre de Cuenta Contable]]</f>
        <v>1115100 - Proyectos Y Especialidades</v>
      </c>
      <c r="H805" s="146" t="str">
        <f>+VLOOKUP(D805,'3. Cuentas'!A:F,6,0)</f>
        <v>SI</v>
      </c>
    </row>
    <row r="806" spans="1:8" x14ac:dyDescent="0.25">
      <c r="A806" s="43">
        <v>10215102</v>
      </c>
      <c r="B806" t="s">
        <v>989</v>
      </c>
      <c r="C806" s="43" t="s">
        <v>1617</v>
      </c>
      <c r="D806" s="43">
        <v>4204010</v>
      </c>
      <c r="E806" t="s">
        <v>313</v>
      </c>
      <c r="F806" s="47" t="str">
        <f>+Centro_Cuenta8[[#This Row],[Codigo Centro Gestion]]&amp;" - "&amp;Centro_Cuenta8[[#This Row],[Nombre Centro Gestion]]</f>
        <v>10215102 - Alto Marañon Torre A-Marketing</v>
      </c>
      <c r="G806" s="47" t="str">
        <f>+Centro_Cuenta8[[#This Row],[Código Cuenta Contable]]&amp;" - "&amp;Centro_Cuenta8[[#This Row],[Nombre de Cuenta Contable]]</f>
        <v>4204010 - Publicidad Punto Venta</v>
      </c>
      <c r="H806" s="146" t="str">
        <f>+VLOOKUP(D806,'3. Cuentas'!A:F,6,0)</f>
        <v>SI</v>
      </c>
    </row>
    <row r="807" spans="1:8" x14ac:dyDescent="0.25">
      <c r="A807" s="43">
        <v>10215102</v>
      </c>
      <c r="B807" t="s">
        <v>989</v>
      </c>
      <c r="C807" s="43" t="s">
        <v>1617</v>
      </c>
      <c r="D807" s="43">
        <v>4204021</v>
      </c>
      <c r="E807" t="s">
        <v>329</v>
      </c>
      <c r="F807" s="47" t="str">
        <f>+Centro_Cuenta8[[#This Row],[Codigo Centro Gestion]]&amp;" - "&amp;Centro_Cuenta8[[#This Row],[Nombre Centro Gestion]]</f>
        <v>10215102 - Alto Marañon Torre A-Marketing</v>
      </c>
      <c r="G807" s="47" t="str">
        <f>+Centro_Cuenta8[[#This Row],[Código Cuenta Contable]]&amp;" - "&amp;Centro_Cuenta8[[#This Row],[Nombre de Cuenta Contable]]</f>
        <v>4204021 - Publicidad Ferias Y Eventos</v>
      </c>
      <c r="H807" s="146" t="str">
        <f>+VLOOKUP(D807,'3. Cuentas'!A:F,6,0)</f>
        <v>SI</v>
      </c>
    </row>
    <row r="808" spans="1:8" x14ac:dyDescent="0.25">
      <c r="A808" s="43">
        <v>10215103</v>
      </c>
      <c r="B808" t="s">
        <v>990</v>
      </c>
      <c r="C808" s="43" t="s">
        <v>1618</v>
      </c>
      <c r="D808" s="43">
        <v>4203060</v>
      </c>
      <c r="E808" t="s">
        <v>321</v>
      </c>
      <c r="F808" s="47" t="str">
        <f>+Centro_Cuenta8[[#This Row],[Codigo Centro Gestion]]&amp;" - "&amp;Centro_Cuenta8[[#This Row],[Nombre Centro Gestion]]</f>
        <v>10215103 - Alto Marañon Torre A-Operaciones</v>
      </c>
      <c r="G808" s="47" t="str">
        <f>+Centro_Cuenta8[[#This Row],[Código Cuenta Contable]]&amp;" - "&amp;Centro_Cuenta8[[#This Row],[Nombre de Cuenta Contable]]</f>
        <v>4203060 - Gastos Operacionales De Clientes</v>
      </c>
      <c r="H808" s="146" t="str">
        <f>+VLOOKUP(D808,'3. Cuentas'!A:F,6,0)</f>
        <v>SI</v>
      </c>
    </row>
    <row r="809" spans="1:8" x14ac:dyDescent="0.25">
      <c r="A809" s="43">
        <v>10215103</v>
      </c>
      <c r="B809" t="s">
        <v>990</v>
      </c>
      <c r="C809" s="43" t="s">
        <v>1618</v>
      </c>
      <c r="D809" s="43">
        <v>4203090</v>
      </c>
      <c r="E809" t="s">
        <v>192</v>
      </c>
      <c r="F809" s="47" t="str">
        <f>+Centro_Cuenta8[[#This Row],[Codigo Centro Gestion]]&amp;" - "&amp;Centro_Cuenta8[[#This Row],[Nombre Centro Gestion]]</f>
        <v>10215103 - Alto Marañon Torre A-Operaciones</v>
      </c>
      <c r="G809" s="47" t="str">
        <f>+Centro_Cuenta8[[#This Row],[Código Cuenta Contable]]&amp;" - "&amp;Centro_Cuenta8[[#This Row],[Nombre de Cuenta Contable]]</f>
        <v>4203090 - Gastos Legales Y Notariales Proyecto</v>
      </c>
      <c r="H809" s="146" t="str">
        <f>+VLOOKUP(D809,'3. Cuentas'!A:F,6,0)</f>
        <v>SI</v>
      </c>
    </row>
    <row r="810" spans="1:8" x14ac:dyDescent="0.25">
      <c r="A810" s="43">
        <v>10215104</v>
      </c>
      <c r="B810" t="s">
        <v>991</v>
      </c>
      <c r="C810" s="43" t="s">
        <v>90</v>
      </c>
      <c r="D810" s="43">
        <v>1110040</v>
      </c>
      <c r="E810" t="s">
        <v>1505</v>
      </c>
      <c r="F810" s="47" t="str">
        <f>+Centro_Cuenta8[[#This Row],[Codigo Centro Gestion]]&amp;" - "&amp;Centro_Cuenta8[[#This Row],[Nombre Centro Gestion]]</f>
        <v>10215104 - Alto Marañon Torre A-Ventas</v>
      </c>
      <c r="G810" s="47" t="str">
        <f>+Centro_Cuenta8[[#This Row],[Código Cuenta Contable]]&amp;" - "&amp;Centro_Cuenta8[[#This Row],[Nombre de Cuenta Contable]]</f>
        <v>1110040 - Garantía Pagadas</v>
      </c>
      <c r="H810" s="146" t="str">
        <f>+VLOOKUP(D810,'3. Cuentas'!A:F,6,0)</f>
        <v>SI</v>
      </c>
    </row>
    <row r="811" spans="1:8" x14ac:dyDescent="0.25">
      <c r="A811" s="43">
        <v>10215104</v>
      </c>
      <c r="B811" t="s">
        <v>991</v>
      </c>
      <c r="C811" s="43" t="s">
        <v>90</v>
      </c>
      <c r="D811" s="43">
        <v>4202003</v>
      </c>
      <c r="E811" t="s">
        <v>106</v>
      </c>
      <c r="F811" s="47" t="str">
        <f>+Centro_Cuenta8[[#This Row],[Codigo Centro Gestion]]&amp;" - "&amp;Centro_Cuenta8[[#This Row],[Nombre Centro Gestion]]</f>
        <v>10215104 - Alto Marañon Torre A-Ventas</v>
      </c>
      <c r="G811" s="47" t="str">
        <f>+Centro_Cuenta8[[#This Row],[Código Cuenta Contable]]&amp;" - "&amp;Centro_Cuenta8[[#This Row],[Nombre de Cuenta Contable]]</f>
        <v>4202003 - Serv.Basic.Luz.Agua.Tel Of.C</v>
      </c>
      <c r="H811" s="146" t="str">
        <f>+VLOOKUP(D811,'3. Cuentas'!A:F,6,0)</f>
        <v>SI</v>
      </c>
    </row>
    <row r="812" spans="1:8" x14ac:dyDescent="0.25">
      <c r="A812" s="43">
        <v>10215104</v>
      </c>
      <c r="B812" t="s">
        <v>991</v>
      </c>
      <c r="C812" s="43" t="s">
        <v>90</v>
      </c>
      <c r="D812" s="43">
        <v>4202010</v>
      </c>
      <c r="E812" t="s">
        <v>87</v>
      </c>
      <c r="F812" s="47" t="str">
        <f>+Centro_Cuenta8[[#This Row],[Codigo Centro Gestion]]&amp;" - "&amp;Centro_Cuenta8[[#This Row],[Nombre Centro Gestion]]</f>
        <v>10215104 - Alto Marañon Torre A-Ventas</v>
      </c>
      <c r="G812" s="47" t="str">
        <f>+Centro_Cuenta8[[#This Row],[Código Cuenta Contable]]&amp;" - "&amp;Centro_Cuenta8[[#This Row],[Nombre de Cuenta Contable]]</f>
        <v>4202010 - Artic. Ofic. Fotocop.Papelería</v>
      </c>
      <c r="H812" s="146" t="str">
        <f>+VLOOKUP(D812,'3. Cuentas'!A:F,6,0)</f>
        <v>SI</v>
      </c>
    </row>
    <row r="813" spans="1:8" x14ac:dyDescent="0.25">
      <c r="A813" s="43">
        <v>10215104</v>
      </c>
      <c r="B813" t="s">
        <v>991</v>
      </c>
      <c r="C813" s="43" t="s">
        <v>90</v>
      </c>
      <c r="D813" s="43">
        <v>4202019</v>
      </c>
      <c r="E813" t="s">
        <v>81</v>
      </c>
      <c r="F813" s="47" t="str">
        <f>+Centro_Cuenta8[[#This Row],[Codigo Centro Gestion]]&amp;" - "&amp;Centro_Cuenta8[[#This Row],[Nombre Centro Gestion]]</f>
        <v>10215104 - Alto Marañon Torre A-Ventas</v>
      </c>
      <c r="G813" s="47" t="str">
        <f>+Centro_Cuenta8[[#This Row],[Código Cuenta Contable]]&amp;" - "&amp;Centro_Cuenta8[[#This Row],[Nombre de Cuenta Contable]]</f>
        <v>4202019 - Gasto General Oficina</v>
      </c>
      <c r="H813" s="146" t="str">
        <f>+VLOOKUP(D813,'3. Cuentas'!A:F,6,0)</f>
        <v>SI</v>
      </c>
    </row>
    <row r="814" spans="1:8" x14ac:dyDescent="0.25">
      <c r="A814" s="43">
        <v>10215104</v>
      </c>
      <c r="B814" t="s">
        <v>991</v>
      </c>
      <c r="C814" s="43" t="s">
        <v>90</v>
      </c>
      <c r="D814" s="43">
        <v>4202023</v>
      </c>
      <c r="E814" t="s">
        <v>82</v>
      </c>
      <c r="F814" s="47" t="str">
        <f>+Centro_Cuenta8[[#This Row],[Codigo Centro Gestion]]&amp;" - "&amp;Centro_Cuenta8[[#This Row],[Nombre Centro Gestion]]</f>
        <v>10215104 - Alto Marañon Torre A-Ventas</v>
      </c>
      <c r="G814" s="47" t="str">
        <f>+Centro_Cuenta8[[#This Row],[Código Cuenta Contable]]&amp;" - "&amp;Centro_Cuenta8[[#This Row],[Nombre de Cuenta Contable]]</f>
        <v>4202023 - Honorarios Por Asesorías</v>
      </c>
      <c r="H814" s="146" t="str">
        <f>+VLOOKUP(D814,'3. Cuentas'!A:F,6,0)</f>
        <v>SI</v>
      </c>
    </row>
    <row r="815" spans="1:8" x14ac:dyDescent="0.25">
      <c r="A815" s="43">
        <v>10215104</v>
      </c>
      <c r="B815" t="s">
        <v>991</v>
      </c>
      <c r="C815" s="43" t="s">
        <v>90</v>
      </c>
      <c r="D815" s="43">
        <v>4202029</v>
      </c>
      <c r="E815" t="s">
        <v>83</v>
      </c>
      <c r="F815" s="47" t="str">
        <f>+Centro_Cuenta8[[#This Row],[Codigo Centro Gestion]]&amp;" - "&amp;Centro_Cuenta8[[#This Row],[Nombre Centro Gestion]]</f>
        <v>10215104 - Alto Marañon Torre A-Ventas</v>
      </c>
      <c r="G815" s="47" t="str">
        <f>+Centro_Cuenta8[[#This Row],[Código Cuenta Contable]]&amp;" - "&amp;Centro_Cuenta8[[#This Row],[Nombre de Cuenta Contable]]</f>
        <v>4202029 - Insumos Y Gastos Informáticos</v>
      </c>
      <c r="H815" s="146" t="str">
        <f>+VLOOKUP(D815,'3. Cuentas'!A:F,6,0)</f>
        <v>SI</v>
      </c>
    </row>
    <row r="816" spans="1:8" x14ac:dyDescent="0.25">
      <c r="A816" s="43">
        <v>10215104</v>
      </c>
      <c r="B816" t="s">
        <v>991</v>
      </c>
      <c r="C816" s="43" t="s">
        <v>90</v>
      </c>
      <c r="D816" s="43">
        <v>4204021</v>
      </c>
      <c r="E816" t="s">
        <v>329</v>
      </c>
      <c r="F816" s="47" t="str">
        <f>+Centro_Cuenta8[[#This Row],[Codigo Centro Gestion]]&amp;" - "&amp;Centro_Cuenta8[[#This Row],[Nombre Centro Gestion]]</f>
        <v>10215104 - Alto Marañon Torre A-Ventas</v>
      </c>
      <c r="G816" s="47" t="str">
        <f>+Centro_Cuenta8[[#This Row],[Código Cuenta Contable]]&amp;" - "&amp;Centro_Cuenta8[[#This Row],[Nombre de Cuenta Contable]]</f>
        <v>4204021 - Publicidad Ferias Y Eventos</v>
      </c>
      <c r="H816" s="146" t="str">
        <f>+VLOOKUP(D816,'3. Cuentas'!A:F,6,0)</f>
        <v>SI</v>
      </c>
    </row>
    <row r="817" spans="1:8" x14ac:dyDescent="0.25">
      <c r="A817" s="43">
        <v>10215105</v>
      </c>
      <c r="B817" t="s">
        <v>992</v>
      </c>
      <c r="C817" s="43" t="s">
        <v>1622</v>
      </c>
      <c r="D817" s="43">
        <v>4203020</v>
      </c>
      <c r="E817" t="s">
        <v>295</v>
      </c>
      <c r="F817" s="47" t="str">
        <f>+Centro_Cuenta8[[#This Row],[Codigo Centro Gestion]]&amp;" - "&amp;Centro_Cuenta8[[#This Row],[Nombre Centro Gestion]]</f>
        <v>10215105 - Alto Marañon Torre A-Clientes</v>
      </c>
      <c r="G817" s="47" t="str">
        <f>+Centro_Cuenta8[[#This Row],[Código Cuenta Contable]]&amp;" - "&amp;Centro_Cuenta8[[#This Row],[Nombre de Cuenta Contable]]</f>
        <v>4203020 - Mant. y Consum. Viv Stock</v>
      </c>
      <c r="H817" s="146" t="str">
        <f>+VLOOKUP(D817,'3. Cuentas'!A:F,6,0)</f>
        <v>SI</v>
      </c>
    </row>
    <row r="818" spans="1:8" x14ac:dyDescent="0.25">
      <c r="A818" s="43">
        <v>10215105</v>
      </c>
      <c r="B818" t="s">
        <v>992</v>
      </c>
      <c r="C818" s="43" t="s">
        <v>1622</v>
      </c>
      <c r="D818" s="43">
        <v>4203120</v>
      </c>
      <c r="E818" t="s">
        <v>108</v>
      </c>
      <c r="F818" s="47" t="str">
        <f>+Centro_Cuenta8[[#This Row],[Codigo Centro Gestion]]&amp;" - "&amp;Centro_Cuenta8[[#This Row],[Nombre Centro Gestion]]</f>
        <v>10215105 - Alto Marañon Torre A-Clientes</v>
      </c>
      <c r="G818" s="47" t="str">
        <f>+Centro_Cuenta8[[#This Row],[Código Cuenta Contable]]&amp;" - "&amp;Centro_Cuenta8[[#This Row],[Nombre de Cuenta Contable]]</f>
        <v>4203120 - Gastos Comunes</v>
      </c>
      <c r="H818" s="146" t="str">
        <f>+VLOOKUP(D818,'3. Cuentas'!A:F,6,0)</f>
        <v>SI</v>
      </c>
    </row>
    <row r="819" spans="1:8" x14ac:dyDescent="0.25">
      <c r="A819" s="43">
        <v>10215105</v>
      </c>
      <c r="B819" t="s">
        <v>992</v>
      </c>
      <c r="C819" s="43" t="s">
        <v>1622</v>
      </c>
      <c r="D819" s="43">
        <v>4203140</v>
      </c>
      <c r="E819" t="s">
        <v>109</v>
      </c>
      <c r="F819" s="47" t="str">
        <f>+Centro_Cuenta8[[#This Row],[Codigo Centro Gestion]]&amp;" - "&amp;Centro_Cuenta8[[#This Row],[Nombre Centro Gestion]]</f>
        <v>10215105 - Alto Marañon Torre A-Clientes</v>
      </c>
      <c r="G819" s="47" t="str">
        <f>+Centro_Cuenta8[[#This Row],[Código Cuenta Contable]]&amp;" - "&amp;Centro_Cuenta8[[#This Row],[Nombre de Cuenta Contable]]</f>
        <v>4203140 - Contribuciones</v>
      </c>
      <c r="H819" s="146" t="str">
        <f>+VLOOKUP(D819,'3. Cuentas'!A:F,6,0)</f>
        <v>SI</v>
      </c>
    </row>
    <row r="820" spans="1:8" x14ac:dyDescent="0.25">
      <c r="A820" s="43">
        <v>10215204</v>
      </c>
      <c r="B820" t="s">
        <v>993</v>
      </c>
      <c r="C820" s="43" t="s">
        <v>1624</v>
      </c>
      <c r="D820" s="43">
        <v>1103045</v>
      </c>
      <c r="E820" t="s">
        <v>323</v>
      </c>
      <c r="F820" s="47" t="str">
        <f>+Centro_Cuenta8[[#This Row],[Codigo Centro Gestion]]&amp;" - "&amp;Centro_Cuenta8[[#This Row],[Nombre Centro Gestion]]</f>
        <v>10215204 - Alto Marañon Torre A-Proyecto</v>
      </c>
      <c r="G820" s="47" t="str">
        <f>+Centro_Cuenta8[[#This Row],[Código Cuenta Contable]]&amp;" - "&amp;Centro_Cuenta8[[#This Row],[Nombre de Cuenta Contable]]</f>
        <v>1103045 - Aportes reembolsables (electricidad y agua)</v>
      </c>
      <c r="H820" s="146" t="str">
        <f>+VLOOKUP(D820,'3. Cuentas'!A:F,6,0)</f>
        <v>SI</v>
      </c>
    </row>
    <row r="821" spans="1:8" x14ac:dyDescent="0.25">
      <c r="A821" s="43">
        <v>10215204</v>
      </c>
      <c r="B821" t="s">
        <v>993</v>
      </c>
      <c r="C821" s="43" t="s">
        <v>1624</v>
      </c>
      <c r="D821" s="43">
        <v>1109020</v>
      </c>
      <c r="E821" t="s">
        <v>302</v>
      </c>
      <c r="F821" s="47" t="str">
        <f>+Centro_Cuenta8[[#This Row],[Codigo Centro Gestion]]&amp;" - "&amp;Centro_Cuenta8[[#This Row],[Nombre Centro Gestion]]</f>
        <v>10215204 - Alto Marañon Torre A-Proyecto</v>
      </c>
      <c r="G821" s="47" t="str">
        <f>+Centro_Cuenta8[[#This Row],[Código Cuenta Contable]]&amp;" - "&amp;Centro_Cuenta8[[#This Row],[Nombre de Cuenta Contable]]</f>
        <v>1109020 - Mobiliario</v>
      </c>
      <c r="H821" s="146" t="str">
        <f>+VLOOKUP(D821,'3. Cuentas'!A:F,6,0)</f>
        <v>SI</v>
      </c>
    </row>
    <row r="822" spans="1:8" x14ac:dyDescent="0.25">
      <c r="A822" s="43">
        <v>10215204</v>
      </c>
      <c r="B822" t="s">
        <v>993</v>
      </c>
      <c r="C822" s="43" t="s">
        <v>1624</v>
      </c>
      <c r="D822" s="43">
        <v>1110040</v>
      </c>
      <c r="E822" t="s">
        <v>1505</v>
      </c>
      <c r="F822" s="47" t="str">
        <f>+Centro_Cuenta8[[#This Row],[Codigo Centro Gestion]]&amp;" - "&amp;Centro_Cuenta8[[#This Row],[Nombre Centro Gestion]]</f>
        <v>10215204 - Alto Marañon Torre A-Proyecto</v>
      </c>
      <c r="G822" s="47" t="str">
        <f>+Centro_Cuenta8[[#This Row],[Código Cuenta Contable]]&amp;" - "&amp;Centro_Cuenta8[[#This Row],[Nombre de Cuenta Contable]]</f>
        <v>1110040 - Garantía Pagadas</v>
      </c>
      <c r="H822" s="146" t="str">
        <f>+VLOOKUP(D822,'3. Cuentas'!A:F,6,0)</f>
        <v>SI</v>
      </c>
    </row>
    <row r="823" spans="1:8" x14ac:dyDescent="0.25">
      <c r="A823" s="43">
        <v>10215204</v>
      </c>
      <c r="B823" t="s">
        <v>993</v>
      </c>
      <c r="C823" s="43" t="s">
        <v>1624</v>
      </c>
      <c r="D823" s="43">
        <v>1115040</v>
      </c>
      <c r="E823" t="s">
        <v>291</v>
      </c>
      <c r="F823" s="47" t="str">
        <f>+Centro_Cuenta8[[#This Row],[Codigo Centro Gestion]]&amp;" - "&amp;Centro_Cuenta8[[#This Row],[Nombre Centro Gestion]]</f>
        <v>10215204 - Alto Marañon Torre A-Proyecto</v>
      </c>
      <c r="G823" s="47" t="str">
        <f>+Centro_Cuenta8[[#This Row],[Código Cuenta Contable]]&amp;" - "&amp;Centro_Cuenta8[[#This Row],[Nombre de Cuenta Contable]]</f>
        <v>1115040 - Saneamiento De Terreno</v>
      </c>
      <c r="H823" s="146" t="str">
        <f>+VLOOKUP(D823,'3. Cuentas'!A:F,6,0)</f>
        <v>SI</v>
      </c>
    </row>
    <row r="824" spans="1:8" x14ac:dyDescent="0.25">
      <c r="A824" s="43">
        <v>10215204</v>
      </c>
      <c r="B824" t="s">
        <v>993</v>
      </c>
      <c r="C824" s="43" t="s">
        <v>1624</v>
      </c>
      <c r="D824" s="43">
        <v>1115050</v>
      </c>
      <c r="E824" t="s">
        <v>1628</v>
      </c>
      <c r="F824" s="47" t="str">
        <f>+Centro_Cuenta8[[#This Row],[Codigo Centro Gestion]]&amp;" - "&amp;Centro_Cuenta8[[#This Row],[Nombre Centro Gestion]]</f>
        <v>10215204 - Alto Marañon Torre A-Proyecto</v>
      </c>
      <c r="G824" s="47" t="str">
        <f>+Centro_Cuenta8[[#This Row],[Código Cuenta Contable]]&amp;" - "&amp;Centro_Cuenta8[[#This Row],[Nombre de Cuenta Contable]]</f>
        <v>1115050 - Demolición</v>
      </c>
      <c r="H824" s="146" t="str">
        <f>+VLOOKUP(D824,'3. Cuentas'!A:F,6,0)</f>
        <v>SI</v>
      </c>
    </row>
    <row r="825" spans="1:8" x14ac:dyDescent="0.25">
      <c r="A825" s="43">
        <v>10215204</v>
      </c>
      <c r="B825" t="s">
        <v>993</v>
      </c>
      <c r="C825" s="43" t="s">
        <v>1624</v>
      </c>
      <c r="D825" s="43">
        <v>1115100</v>
      </c>
      <c r="E825" t="s">
        <v>292</v>
      </c>
      <c r="F825" s="47" t="str">
        <f>+Centro_Cuenta8[[#This Row],[Codigo Centro Gestion]]&amp;" - "&amp;Centro_Cuenta8[[#This Row],[Nombre Centro Gestion]]</f>
        <v>10215204 - Alto Marañon Torre A-Proyecto</v>
      </c>
      <c r="G825" s="47" t="str">
        <f>+Centro_Cuenta8[[#This Row],[Código Cuenta Contable]]&amp;" - "&amp;Centro_Cuenta8[[#This Row],[Nombre de Cuenta Contable]]</f>
        <v>1115100 - Proyectos Y Especialidades</v>
      </c>
      <c r="H825" s="146" t="str">
        <f>+VLOOKUP(D825,'3. Cuentas'!A:F,6,0)</f>
        <v>SI</v>
      </c>
    </row>
    <row r="826" spans="1:8" x14ac:dyDescent="0.25">
      <c r="A826" s="43">
        <v>10215204</v>
      </c>
      <c r="B826" t="s">
        <v>993</v>
      </c>
      <c r="C826" s="43" t="s">
        <v>1624</v>
      </c>
      <c r="D826" s="43">
        <v>1115120</v>
      </c>
      <c r="E826" t="s">
        <v>1633</v>
      </c>
      <c r="F826" s="47" t="str">
        <f>+Centro_Cuenta8[[#This Row],[Codigo Centro Gestion]]&amp;" - "&amp;Centro_Cuenta8[[#This Row],[Nombre Centro Gestion]]</f>
        <v>10215204 - Alto Marañon Torre A-Proyecto</v>
      </c>
      <c r="G826" s="47" t="str">
        <f>+Centro_Cuenta8[[#This Row],[Código Cuenta Contable]]&amp;" - "&amp;Centro_Cuenta8[[#This Row],[Nombre de Cuenta Contable]]</f>
        <v>1115120 - Instalación Empalmes</v>
      </c>
      <c r="H826" s="146" t="str">
        <f>+VLOOKUP(D826,'3. Cuentas'!A:F,6,0)</f>
        <v>SI</v>
      </c>
    </row>
    <row r="827" spans="1:8" x14ac:dyDescent="0.25">
      <c r="A827" s="43">
        <v>10215204</v>
      </c>
      <c r="B827" t="s">
        <v>993</v>
      </c>
      <c r="C827" s="43" t="s">
        <v>1624</v>
      </c>
      <c r="D827" s="43">
        <v>1115170</v>
      </c>
      <c r="E827" t="s">
        <v>293</v>
      </c>
      <c r="F827" s="47" t="str">
        <f>+Centro_Cuenta8[[#This Row],[Codigo Centro Gestion]]&amp;" - "&amp;Centro_Cuenta8[[#This Row],[Nombre Centro Gestion]]</f>
        <v>10215204 - Alto Marañon Torre A-Proyecto</v>
      </c>
      <c r="G827" s="47" t="str">
        <f>+Centro_Cuenta8[[#This Row],[Código Cuenta Contable]]&amp;" - "&amp;Centro_Cuenta8[[#This Row],[Nombre de Cuenta Contable]]</f>
        <v>1115170 - Permisos Y Otros Gastos Municipales</v>
      </c>
      <c r="H827" s="146" t="str">
        <f>+VLOOKUP(D827,'3. Cuentas'!A:F,6,0)</f>
        <v>SI</v>
      </c>
    </row>
    <row r="828" spans="1:8" x14ac:dyDescent="0.25">
      <c r="A828" s="43">
        <v>10215204</v>
      </c>
      <c r="B828" t="s">
        <v>993</v>
      </c>
      <c r="C828" s="43" t="s">
        <v>1624</v>
      </c>
      <c r="D828" s="43">
        <v>1115240</v>
      </c>
      <c r="E828" t="s">
        <v>294</v>
      </c>
      <c r="F828" s="47" t="str">
        <f>+Centro_Cuenta8[[#This Row],[Codigo Centro Gestion]]&amp;" - "&amp;Centro_Cuenta8[[#This Row],[Nombre Centro Gestion]]</f>
        <v>10215204 - Alto Marañon Torre A-Proyecto</v>
      </c>
      <c r="G828" s="47" t="str">
        <f>+Centro_Cuenta8[[#This Row],[Código Cuenta Contable]]&amp;" - "&amp;Centro_Cuenta8[[#This Row],[Nombre de Cuenta Contable]]</f>
        <v>1115240 - Estudios Y Asesorias Técnicas</v>
      </c>
      <c r="H828" s="146" t="str">
        <f>+VLOOKUP(D828,'3. Cuentas'!A:F,6,0)</f>
        <v>SI</v>
      </c>
    </row>
    <row r="829" spans="1:8" x14ac:dyDescent="0.25">
      <c r="A829" s="43">
        <v>10215204</v>
      </c>
      <c r="B829" t="s">
        <v>993</v>
      </c>
      <c r="C829" s="43" t="s">
        <v>1624</v>
      </c>
      <c r="D829" s="43">
        <v>4203090</v>
      </c>
      <c r="E829" t="s">
        <v>192</v>
      </c>
      <c r="F829" s="47" t="str">
        <f>+Centro_Cuenta8[[#This Row],[Codigo Centro Gestion]]&amp;" - "&amp;Centro_Cuenta8[[#This Row],[Nombre Centro Gestion]]</f>
        <v>10215204 - Alto Marañon Torre A-Proyecto</v>
      </c>
      <c r="G829" s="47" t="str">
        <f>+Centro_Cuenta8[[#This Row],[Código Cuenta Contable]]&amp;" - "&amp;Centro_Cuenta8[[#This Row],[Nombre de Cuenta Contable]]</f>
        <v>4203090 - Gastos Legales Y Notariales Proyecto</v>
      </c>
      <c r="H829" s="146" t="str">
        <f>+VLOOKUP(D829,'3. Cuentas'!A:F,6,0)</f>
        <v>SI</v>
      </c>
    </row>
    <row r="830" spans="1:8" x14ac:dyDescent="0.25">
      <c r="A830" s="43">
        <v>10215204</v>
      </c>
      <c r="B830" t="s">
        <v>993</v>
      </c>
      <c r="C830" s="43" t="s">
        <v>1624</v>
      </c>
      <c r="D830" s="43">
        <v>4203140</v>
      </c>
      <c r="E830" t="s">
        <v>109</v>
      </c>
      <c r="F830" s="47" t="str">
        <f>+Centro_Cuenta8[[#This Row],[Codigo Centro Gestion]]&amp;" - "&amp;Centro_Cuenta8[[#This Row],[Nombre Centro Gestion]]</f>
        <v>10215204 - Alto Marañon Torre A-Proyecto</v>
      </c>
      <c r="G830" s="47" t="str">
        <f>+Centro_Cuenta8[[#This Row],[Código Cuenta Contable]]&amp;" - "&amp;Centro_Cuenta8[[#This Row],[Nombre de Cuenta Contable]]</f>
        <v>4203140 - Contribuciones</v>
      </c>
      <c r="H830" s="146" t="str">
        <f>+VLOOKUP(D830,'3. Cuentas'!A:F,6,0)</f>
        <v>SI</v>
      </c>
    </row>
    <row r="831" spans="1:8" x14ac:dyDescent="0.25">
      <c r="A831" s="43">
        <v>10215204</v>
      </c>
      <c r="B831" t="s">
        <v>993</v>
      </c>
      <c r="C831" s="43" t="s">
        <v>1624</v>
      </c>
      <c r="D831" s="43">
        <v>4203150</v>
      </c>
      <c r="E831" t="s">
        <v>156</v>
      </c>
      <c r="F831" s="47" t="str">
        <f>+Centro_Cuenta8[[#This Row],[Codigo Centro Gestion]]&amp;" - "&amp;Centro_Cuenta8[[#This Row],[Nombre Centro Gestion]]</f>
        <v>10215204 - Alto Marañon Torre A-Proyecto</v>
      </c>
      <c r="G831" s="47" t="str">
        <f>+Centro_Cuenta8[[#This Row],[Código Cuenta Contable]]&amp;" - "&amp;Centro_Cuenta8[[#This Row],[Nombre de Cuenta Contable]]</f>
        <v>4203150 - Gastos CBR</v>
      </c>
      <c r="H831" s="146" t="str">
        <f>+VLOOKUP(D831,'3. Cuentas'!A:F,6,0)</f>
        <v>SI</v>
      </c>
    </row>
    <row r="832" spans="1:8" x14ac:dyDescent="0.25">
      <c r="A832" s="43">
        <v>10215204</v>
      </c>
      <c r="B832" t="s">
        <v>993</v>
      </c>
      <c r="C832" s="43" t="s">
        <v>1624</v>
      </c>
      <c r="D832" s="43">
        <v>4203160</v>
      </c>
      <c r="E832" t="s">
        <v>1639</v>
      </c>
      <c r="F832" s="47" t="str">
        <f>+Centro_Cuenta8[[#This Row],[Codigo Centro Gestion]]&amp;" - "&amp;Centro_Cuenta8[[#This Row],[Nombre Centro Gestion]]</f>
        <v>10215204 - Alto Marañon Torre A-Proyecto</v>
      </c>
      <c r="G832" s="47" t="str">
        <f>+Centro_Cuenta8[[#This Row],[Código Cuenta Contable]]&amp;" - "&amp;Centro_Cuenta8[[#This Row],[Nombre de Cuenta Contable]]</f>
        <v>4203160 - PAPELERIA Y FOTOCOPIADO</v>
      </c>
      <c r="H832" s="146" t="str">
        <f>+VLOOKUP(D832,'3. Cuentas'!A:F,6,0)</f>
        <v>SI</v>
      </c>
    </row>
    <row r="833" spans="1:8" x14ac:dyDescent="0.25">
      <c r="A833" s="43">
        <v>10215204</v>
      </c>
      <c r="B833" t="s">
        <v>993</v>
      </c>
      <c r="C833" s="43" t="s">
        <v>1624</v>
      </c>
      <c r="D833" s="43">
        <v>4203180</v>
      </c>
      <c r="E833" t="s">
        <v>1640</v>
      </c>
      <c r="F833" s="47" t="str">
        <f>+Centro_Cuenta8[[#This Row],[Codigo Centro Gestion]]&amp;" - "&amp;Centro_Cuenta8[[#This Row],[Nombre Centro Gestion]]</f>
        <v>10215204 - Alto Marañon Torre A-Proyecto</v>
      </c>
      <c r="G833" s="47" t="str">
        <f>+Centro_Cuenta8[[#This Row],[Código Cuenta Contable]]&amp;" - "&amp;Centro_Cuenta8[[#This Row],[Nombre de Cuenta Contable]]</f>
        <v>4203180 - Otros Gastos y Aseso Proy</v>
      </c>
      <c r="H833" s="146" t="str">
        <f>+VLOOKUP(D833,'3. Cuentas'!A:F,6,0)</f>
        <v>SI</v>
      </c>
    </row>
    <row r="834" spans="1:8" x14ac:dyDescent="0.25">
      <c r="A834" s="43">
        <v>10215301</v>
      </c>
      <c r="B834" t="s">
        <v>994</v>
      </c>
      <c r="C834" s="43" t="s">
        <v>1643</v>
      </c>
      <c r="D834" s="43">
        <v>4203090</v>
      </c>
      <c r="E834" t="s">
        <v>192</v>
      </c>
      <c r="F834" s="47" t="str">
        <f>+Centro_Cuenta8[[#This Row],[Codigo Centro Gestion]]&amp;" - "&amp;Centro_Cuenta8[[#This Row],[Nombre Centro Gestion]]</f>
        <v>10215301 - Alto Marañon Torre A-GAF</v>
      </c>
      <c r="G834" s="47" t="str">
        <f>+Centro_Cuenta8[[#This Row],[Código Cuenta Contable]]&amp;" - "&amp;Centro_Cuenta8[[#This Row],[Nombre de Cuenta Contable]]</f>
        <v>4203090 - Gastos Legales Y Notariales Proyecto</v>
      </c>
      <c r="H834" s="146" t="str">
        <f>+VLOOKUP(D834,'3. Cuentas'!A:F,6,0)</f>
        <v>SI</v>
      </c>
    </row>
    <row r="835" spans="1:8" x14ac:dyDescent="0.25">
      <c r="A835" s="43">
        <v>10215301</v>
      </c>
      <c r="B835" t="s">
        <v>994</v>
      </c>
      <c r="C835" s="43" t="s">
        <v>1643</v>
      </c>
      <c r="D835" s="43">
        <v>4203140</v>
      </c>
      <c r="E835" t="s">
        <v>109</v>
      </c>
      <c r="F835" s="47" t="str">
        <f>+Centro_Cuenta8[[#This Row],[Codigo Centro Gestion]]&amp;" - "&amp;Centro_Cuenta8[[#This Row],[Nombre Centro Gestion]]</f>
        <v>10215301 - Alto Marañon Torre A-GAF</v>
      </c>
      <c r="G835" s="47" t="str">
        <f>+Centro_Cuenta8[[#This Row],[Código Cuenta Contable]]&amp;" - "&amp;Centro_Cuenta8[[#This Row],[Nombre de Cuenta Contable]]</f>
        <v>4203140 - Contribuciones</v>
      </c>
      <c r="H835" s="146" t="str">
        <f>+VLOOKUP(D835,'3. Cuentas'!A:F,6,0)</f>
        <v>SI</v>
      </c>
    </row>
    <row r="836" spans="1:8" x14ac:dyDescent="0.25">
      <c r="A836" s="43">
        <v>10215506</v>
      </c>
      <c r="B836" t="s">
        <v>996</v>
      </c>
      <c r="C836" s="43" t="s">
        <v>200</v>
      </c>
      <c r="D836" s="43">
        <v>1115100</v>
      </c>
      <c r="E836" t="s">
        <v>292</v>
      </c>
      <c r="F836" s="47" t="str">
        <f>+Centro_Cuenta8[[#This Row],[Codigo Centro Gestion]]&amp;" - "&amp;Centro_Cuenta8[[#This Row],[Nombre Centro Gestion]]</f>
        <v>10215506 - Alto Marañon Torre A-Depto.Técnico</v>
      </c>
      <c r="G836" s="47" t="str">
        <f>+Centro_Cuenta8[[#This Row],[Código Cuenta Contable]]&amp;" - "&amp;Centro_Cuenta8[[#This Row],[Nombre de Cuenta Contable]]</f>
        <v>1115100 - Proyectos Y Especialidades</v>
      </c>
      <c r="H836" s="146" t="str">
        <f>+VLOOKUP(D836,'3. Cuentas'!A:F,6,0)</f>
        <v>SI</v>
      </c>
    </row>
    <row r="837" spans="1:8" x14ac:dyDescent="0.25">
      <c r="A837" s="43">
        <v>10216102</v>
      </c>
      <c r="B837" t="s">
        <v>998</v>
      </c>
      <c r="C837" s="43" t="s">
        <v>1617</v>
      </c>
      <c r="D837" s="43">
        <v>4204010</v>
      </c>
      <c r="E837" t="s">
        <v>313</v>
      </c>
      <c r="F837" s="47" t="str">
        <f>+Centro_Cuenta8[[#This Row],[Codigo Centro Gestion]]&amp;" - "&amp;Centro_Cuenta8[[#This Row],[Nombre Centro Gestion]]</f>
        <v>10216102 - Edificio Parque Urbano-Marketing</v>
      </c>
      <c r="G837" s="47" t="str">
        <f>+Centro_Cuenta8[[#This Row],[Código Cuenta Contable]]&amp;" - "&amp;Centro_Cuenta8[[#This Row],[Nombre de Cuenta Contable]]</f>
        <v>4204010 - Publicidad Punto Venta</v>
      </c>
      <c r="H837" s="146" t="str">
        <f>+VLOOKUP(D837,'3. Cuentas'!A:F,6,0)</f>
        <v>SI</v>
      </c>
    </row>
    <row r="838" spans="1:8" x14ac:dyDescent="0.25">
      <c r="A838" s="43">
        <v>10216102</v>
      </c>
      <c r="B838" t="s">
        <v>998</v>
      </c>
      <c r="C838" s="43" t="s">
        <v>1617</v>
      </c>
      <c r="D838" s="43">
        <v>4204021</v>
      </c>
      <c r="E838" t="s">
        <v>329</v>
      </c>
      <c r="F838" s="47" t="str">
        <f>+Centro_Cuenta8[[#This Row],[Codigo Centro Gestion]]&amp;" - "&amp;Centro_Cuenta8[[#This Row],[Nombre Centro Gestion]]</f>
        <v>10216102 - Edificio Parque Urbano-Marketing</v>
      </c>
      <c r="G838" s="47" t="str">
        <f>+Centro_Cuenta8[[#This Row],[Código Cuenta Contable]]&amp;" - "&amp;Centro_Cuenta8[[#This Row],[Nombre de Cuenta Contable]]</f>
        <v>4204021 - Publicidad Ferias Y Eventos</v>
      </c>
      <c r="H838" s="146" t="str">
        <f>+VLOOKUP(D838,'3. Cuentas'!A:F,6,0)</f>
        <v>SI</v>
      </c>
    </row>
    <row r="839" spans="1:8" x14ac:dyDescent="0.25">
      <c r="A839" s="43">
        <v>10216103</v>
      </c>
      <c r="B839" t="s">
        <v>999</v>
      </c>
      <c r="C839" s="43" t="s">
        <v>1618</v>
      </c>
      <c r="D839" s="43">
        <v>4203060</v>
      </c>
      <c r="E839" t="s">
        <v>321</v>
      </c>
      <c r="F839" s="47" t="str">
        <f>+Centro_Cuenta8[[#This Row],[Codigo Centro Gestion]]&amp;" - "&amp;Centro_Cuenta8[[#This Row],[Nombre Centro Gestion]]</f>
        <v>10216103 - Edificio Parque Urbano-Operaciones</v>
      </c>
      <c r="G839" s="47" t="str">
        <f>+Centro_Cuenta8[[#This Row],[Código Cuenta Contable]]&amp;" - "&amp;Centro_Cuenta8[[#This Row],[Nombre de Cuenta Contable]]</f>
        <v>4203060 - Gastos Operacionales De Clientes</v>
      </c>
      <c r="H839" s="146" t="str">
        <f>+VLOOKUP(D839,'3. Cuentas'!A:F,6,0)</f>
        <v>SI</v>
      </c>
    </row>
    <row r="840" spans="1:8" x14ac:dyDescent="0.25">
      <c r="A840" s="43">
        <v>10216103</v>
      </c>
      <c r="B840" t="s">
        <v>999</v>
      </c>
      <c r="C840" s="43" t="s">
        <v>1618</v>
      </c>
      <c r="D840" s="43">
        <v>4203090</v>
      </c>
      <c r="E840" t="s">
        <v>192</v>
      </c>
      <c r="F840" s="47" t="str">
        <f>+Centro_Cuenta8[[#This Row],[Codigo Centro Gestion]]&amp;" - "&amp;Centro_Cuenta8[[#This Row],[Nombre Centro Gestion]]</f>
        <v>10216103 - Edificio Parque Urbano-Operaciones</v>
      </c>
      <c r="G840" s="47" t="str">
        <f>+Centro_Cuenta8[[#This Row],[Código Cuenta Contable]]&amp;" - "&amp;Centro_Cuenta8[[#This Row],[Nombre de Cuenta Contable]]</f>
        <v>4203090 - Gastos Legales Y Notariales Proyecto</v>
      </c>
      <c r="H840" s="146" t="str">
        <f>+VLOOKUP(D840,'3. Cuentas'!A:F,6,0)</f>
        <v>SI</v>
      </c>
    </row>
    <row r="841" spans="1:8" x14ac:dyDescent="0.25">
      <c r="A841" s="43">
        <v>10216104</v>
      </c>
      <c r="B841" t="s">
        <v>1000</v>
      </c>
      <c r="C841" s="43" t="s">
        <v>90</v>
      </c>
      <c r="D841" s="43">
        <v>1110040</v>
      </c>
      <c r="E841" t="s">
        <v>1505</v>
      </c>
      <c r="F841" s="47" t="str">
        <f>+Centro_Cuenta8[[#This Row],[Codigo Centro Gestion]]&amp;" - "&amp;Centro_Cuenta8[[#This Row],[Nombre Centro Gestion]]</f>
        <v>10216104 - Edificio Parque Urbano-Ventas</v>
      </c>
      <c r="G841" s="47" t="str">
        <f>+Centro_Cuenta8[[#This Row],[Código Cuenta Contable]]&amp;" - "&amp;Centro_Cuenta8[[#This Row],[Nombre de Cuenta Contable]]</f>
        <v>1110040 - Garantía Pagadas</v>
      </c>
      <c r="H841" s="146" t="str">
        <f>+VLOOKUP(D841,'3. Cuentas'!A:F,6,0)</f>
        <v>SI</v>
      </c>
    </row>
    <row r="842" spans="1:8" x14ac:dyDescent="0.25">
      <c r="A842" s="43">
        <v>10216104</v>
      </c>
      <c r="B842" t="s">
        <v>1000</v>
      </c>
      <c r="C842" s="43" t="s">
        <v>90</v>
      </c>
      <c r="D842" s="43">
        <v>4202003</v>
      </c>
      <c r="E842" t="s">
        <v>106</v>
      </c>
      <c r="F842" s="47" t="str">
        <f>+Centro_Cuenta8[[#This Row],[Codigo Centro Gestion]]&amp;" - "&amp;Centro_Cuenta8[[#This Row],[Nombre Centro Gestion]]</f>
        <v>10216104 - Edificio Parque Urbano-Ventas</v>
      </c>
      <c r="G842" s="47" t="str">
        <f>+Centro_Cuenta8[[#This Row],[Código Cuenta Contable]]&amp;" - "&amp;Centro_Cuenta8[[#This Row],[Nombre de Cuenta Contable]]</f>
        <v>4202003 - Serv.Basic.Luz.Agua.Tel Of.C</v>
      </c>
      <c r="H842" s="146" t="str">
        <f>+VLOOKUP(D842,'3. Cuentas'!A:F,6,0)</f>
        <v>SI</v>
      </c>
    </row>
    <row r="843" spans="1:8" x14ac:dyDescent="0.25">
      <c r="A843" s="43">
        <v>10216104</v>
      </c>
      <c r="B843" t="s">
        <v>1000</v>
      </c>
      <c r="C843" s="43" t="s">
        <v>90</v>
      </c>
      <c r="D843" s="43">
        <v>4202010</v>
      </c>
      <c r="E843" t="s">
        <v>87</v>
      </c>
      <c r="F843" s="47" t="str">
        <f>+Centro_Cuenta8[[#This Row],[Codigo Centro Gestion]]&amp;" - "&amp;Centro_Cuenta8[[#This Row],[Nombre Centro Gestion]]</f>
        <v>10216104 - Edificio Parque Urbano-Ventas</v>
      </c>
      <c r="G843" s="47" t="str">
        <f>+Centro_Cuenta8[[#This Row],[Código Cuenta Contable]]&amp;" - "&amp;Centro_Cuenta8[[#This Row],[Nombre de Cuenta Contable]]</f>
        <v>4202010 - Artic. Ofic. Fotocop.Papelería</v>
      </c>
      <c r="H843" s="146" t="str">
        <f>+VLOOKUP(D843,'3. Cuentas'!A:F,6,0)</f>
        <v>SI</v>
      </c>
    </row>
    <row r="844" spans="1:8" x14ac:dyDescent="0.25">
      <c r="A844" s="43">
        <v>10216104</v>
      </c>
      <c r="B844" t="s">
        <v>1000</v>
      </c>
      <c r="C844" s="43" t="s">
        <v>90</v>
      </c>
      <c r="D844" s="43">
        <v>4202019</v>
      </c>
      <c r="E844" t="s">
        <v>81</v>
      </c>
      <c r="F844" s="47" t="str">
        <f>+Centro_Cuenta8[[#This Row],[Codigo Centro Gestion]]&amp;" - "&amp;Centro_Cuenta8[[#This Row],[Nombre Centro Gestion]]</f>
        <v>10216104 - Edificio Parque Urbano-Ventas</v>
      </c>
      <c r="G844" s="47" t="str">
        <f>+Centro_Cuenta8[[#This Row],[Código Cuenta Contable]]&amp;" - "&amp;Centro_Cuenta8[[#This Row],[Nombre de Cuenta Contable]]</f>
        <v>4202019 - Gasto General Oficina</v>
      </c>
      <c r="H844" s="146" t="str">
        <f>+VLOOKUP(D844,'3. Cuentas'!A:F,6,0)</f>
        <v>SI</v>
      </c>
    </row>
    <row r="845" spans="1:8" x14ac:dyDescent="0.25">
      <c r="A845" s="43">
        <v>10216104</v>
      </c>
      <c r="B845" t="s">
        <v>1000</v>
      </c>
      <c r="C845" s="43" t="s">
        <v>90</v>
      </c>
      <c r="D845" s="43">
        <v>4202023</v>
      </c>
      <c r="E845" t="s">
        <v>82</v>
      </c>
      <c r="F845" s="47" t="str">
        <f>+Centro_Cuenta8[[#This Row],[Codigo Centro Gestion]]&amp;" - "&amp;Centro_Cuenta8[[#This Row],[Nombre Centro Gestion]]</f>
        <v>10216104 - Edificio Parque Urbano-Ventas</v>
      </c>
      <c r="G845" s="47" t="str">
        <f>+Centro_Cuenta8[[#This Row],[Código Cuenta Contable]]&amp;" - "&amp;Centro_Cuenta8[[#This Row],[Nombre de Cuenta Contable]]</f>
        <v>4202023 - Honorarios Por Asesorías</v>
      </c>
      <c r="H845" s="146" t="str">
        <f>+VLOOKUP(D845,'3. Cuentas'!A:F,6,0)</f>
        <v>SI</v>
      </c>
    </row>
    <row r="846" spans="1:8" x14ac:dyDescent="0.25">
      <c r="A846" s="43">
        <v>10216104</v>
      </c>
      <c r="B846" t="s">
        <v>1000</v>
      </c>
      <c r="C846" s="43" t="s">
        <v>90</v>
      </c>
      <c r="D846" s="43">
        <v>4202029</v>
      </c>
      <c r="E846" t="s">
        <v>83</v>
      </c>
      <c r="F846" s="47" t="str">
        <f>+Centro_Cuenta8[[#This Row],[Codigo Centro Gestion]]&amp;" - "&amp;Centro_Cuenta8[[#This Row],[Nombre Centro Gestion]]</f>
        <v>10216104 - Edificio Parque Urbano-Ventas</v>
      </c>
      <c r="G846" s="47" t="str">
        <f>+Centro_Cuenta8[[#This Row],[Código Cuenta Contable]]&amp;" - "&amp;Centro_Cuenta8[[#This Row],[Nombre de Cuenta Contable]]</f>
        <v>4202029 - Insumos Y Gastos Informáticos</v>
      </c>
      <c r="H846" s="146" t="str">
        <f>+VLOOKUP(D846,'3. Cuentas'!A:F,6,0)</f>
        <v>SI</v>
      </c>
    </row>
    <row r="847" spans="1:8" x14ac:dyDescent="0.25">
      <c r="A847" s="43">
        <v>10216104</v>
      </c>
      <c r="B847" t="s">
        <v>1000</v>
      </c>
      <c r="C847" s="43" t="s">
        <v>90</v>
      </c>
      <c r="D847" s="43">
        <v>4204021</v>
      </c>
      <c r="E847" t="s">
        <v>329</v>
      </c>
      <c r="F847" s="47" t="str">
        <f>+Centro_Cuenta8[[#This Row],[Codigo Centro Gestion]]&amp;" - "&amp;Centro_Cuenta8[[#This Row],[Nombre Centro Gestion]]</f>
        <v>10216104 - Edificio Parque Urbano-Ventas</v>
      </c>
      <c r="G847" s="47" t="str">
        <f>+Centro_Cuenta8[[#This Row],[Código Cuenta Contable]]&amp;" - "&amp;Centro_Cuenta8[[#This Row],[Nombre de Cuenta Contable]]</f>
        <v>4204021 - Publicidad Ferias Y Eventos</v>
      </c>
      <c r="H847" s="146" t="str">
        <f>+VLOOKUP(D847,'3. Cuentas'!A:F,6,0)</f>
        <v>SI</v>
      </c>
    </row>
    <row r="848" spans="1:8" x14ac:dyDescent="0.25">
      <c r="A848" s="43">
        <v>10216105</v>
      </c>
      <c r="B848" t="s">
        <v>1001</v>
      </c>
      <c r="C848" s="43" t="s">
        <v>1622</v>
      </c>
      <c r="D848" s="43">
        <v>4203020</v>
      </c>
      <c r="E848" t="s">
        <v>295</v>
      </c>
      <c r="F848" s="47" t="str">
        <f>+Centro_Cuenta8[[#This Row],[Codigo Centro Gestion]]&amp;" - "&amp;Centro_Cuenta8[[#This Row],[Nombre Centro Gestion]]</f>
        <v>10216105 - Edificio Parque Urbano-Clientes</v>
      </c>
      <c r="G848" s="47" t="str">
        <f>+Centro_Cuenta8[[#This Row],[Código Cuenta Contable]]&amp;" - "&amp;Centro_Cuenta8[[#This Row],[Nombre de Cuenta Contable]]</f>
        <v>4203020 - Mant. y Consum. Viv Stock</v>
      </c>
      <c r="H848" s="146" t="str">
        <f>+VLOOKUP(D848,'3. Cuentas'!A:F,6,0)</f>
        <v>SI</v>
      </c>
    </row>
    <row r="849" spans="1:8" x14ac:dyDescent="0.25">
      <c r="A849" s="43">
        <v>10216105</v>
      </c>
      <c r="B849" t="s">
        <v>1001</v>
      </c>
      <c r="C849" s="43" t="s">
        <v>1622</v>
      </c>
      <c r="D849" s="43">
        <v>4203120</v>
      </c>
      <c r="E849" t="s">
        <v>108</v>
      </c>
      <c r="F849" s="47" t="str">
        <f>+Centro_Cuenta8[[#This Row],[Codigo Centro Gestion]]&amp;" - "&amp;Centro_Cuenta8[[#This Row],[Nombre Centro Gestion]]</f>
        <v>10216105 - Edificio Parque Urbano-Clientes</v>
      </c>
      <c r="G849" s="47" t="str">
        <f>+Centro_Cuenta8[[#This Row],[Código Cuenta Contable]]&amp;" - "&amp;Centro_Cuenta8[[#This Row],[Nombre de Cuenta Contable]]</f>
        <v>4203120 - Gastos Comunes</v>
      </c>
      <c r="H849" s="146" t="str">
        <f>+VLOOKUP(D849,'3. Cuentas'!A:F,6,0)</f>
        <v>SI</v>
      </c>
    </row>
    <row r="850" spans="1:8" x14ac:dyDescent="0.25">
      <c r="A850" s="43">
        <v>10216105</v>
      </c>
      <c r="B850" t="s">
        <v>1001</v>
      </c>
      <c r="C850" s="43" t="s">
        <v>1622</v>
      </c>
      <c r="D850" s="43">
        <v>4203140</v>
      </c>
      <c r="E850" t="s">
        <v>109</v>
      </c>
      <c r="F850" s="47" t="str">
        <f>+Centro_Cuenta8[[#This Row],[Codigo Centro Gestion]]&amp;" - "&amp;Centro_Cuenta8[[#This Row],[Nombre Centro Gestion]]</f>
        <v>10216105 - Edificio Parque Urbano-Clientes</v>
      </c>
      <c r="G850" s="47" t="str">
        <f>+Centro_Cuenta8[[#This Row],[Código Cuenta Contable]]&amp;" - "&amp;Centro_Cuenta8[[#This Row],[Nombre de Cuenta Contable]]</f>
        <v>4203140 - Contribuciones</v>
      </c>
      <c r="H850" s="146" t="str">
        <f>+VLOOKUP(D850,'3. Cuentas'!A:F,6,0)</f>
        <v>SI</v>
      </c>
    </row>
    <row r="851" spans="1:8" x14ac:dyDescent="0.25">
      <c r="A851" s="43">
        <v>10216204</v>
      </c>
      <c r="B851" t="s">
        <v>1002</v>
      </c>
      <c r="C851" s="43" t="s">
        <v>1624</v>
      </c>
      <c r="D851" s="43">
        <v>1103045</v>
      </c>
      <c r="E851" t="s">
        <v>323</v>
      </c>
      <c r="F851" s="47" t="str">
        <f>+Centro_Cuenta8[[#This Row],[Codigo Centro Gestion]]&amp;" - "&amp;Centro_Cuenta8[[#This Row],[Nombre Centro Gestion]]</f>
        <v>10216204 - Edificio Parque Urbano-Proyecto</v>
      </c>
      <c r="G851" s="47" t="str">
        <f>+Centro_Cuenta8[[#This Row],[Código Cuenta Contable]]&amp;" - "&amp;Centro_Cuenta8[[#This Row],[Nombre de Cuenta Contable]]</f>
        <v>1103045 - Aportes reembolsables (electricidad y agua)</v>
      </c>
      <c r="H851" s="146" t="str">
        <f>+VLOOKUP(D851,'3. Cuentas'!A:F,6,0)</f>
        <v>SI</v>
      </c>
    </row>
    <row r="852" spans="1:8" x14ac:dyDescent="0.25">
      <c r="A852" s="43">
        <v>10216204</v>
      </c>
      <c r="B852" t="s">
        <v>1002</v>
      </c>
      <c r="C852" s="43" t="s">
        <v>1624</v>
      </c>
      <c r="D852" s="43">
        <v>1109020</v>
      </c>
      <c r="E852" t="s">
        <v>302</v>
      </c>
      <c r="F852" s="47" t="str">
        <f>+Centro_Cuenta8[[#This Row],[Codigo Centro Gestion]]&amp;" - "&amp;Centro_Cuenta8[[#This Row],[Nombre Centro Gestion]]</f>
        <v>10216204 - Edificio Parque Urbano-Proyecto</v>
      </c>
      <c r="G852" s="47" t="str">
        <f>+Centro_Cuenta8[[#This Row],[Código Cuenta Contable]]&amp;" - "&amp;Centro_Cuenta8[[#This Row],[Nombre de Cuenta Contable]]</f>
        <v>1109020 - Mobiliario</v>
      </c>
      <c r="H852" s="146" t="str">
        <f>+VLOOKUP(D852,'3. Cuentas'!A:F,6,0)</f>
        <v>SI</v>
      </c>
    </row>
    <row r="853" spans="1:8" x14ac:dyDescent="0.25">
      <c r="A853" s="43">
        <v>10216204</v>
      </c>
      <c r="B853" t="s">
        <v>1002</v>
      </c>
      <c r="C853" s="43" t="s">
        <v>1624</v>
      </c>
      <c r="D853" s="43">
        <v>1110040</v>
      </c>
      <c r="E853" t="s">
        <v>1505</v>
      </c>
      <c r="F853" s="47" t="str">
        <f>+Centro_Cuenta8[[#This Row],[Codigo Centro Gestion]]&amp;" - "&amp;Centro_Cuenta8[[#This Row],[Nombre Centro Gestion]]</f>
        <v>10216204 - Edificio Parque Urbano-Proyecto</v>
      </c>
      <c r="G853" s="47" t="str">
        <f>+Centro_Cuenta8[[#This Row],[Código Cuenta Contable]]&amp;" - "&amp;Centro_Cuenta8[[#This Row],[Nombre de Cuenta Contable]]</f>
        <v>1110040 - Garantía Pagadas</v>
      </c>
      <c r="H853" s="146" t="str">
        <f>+VLOOKUP(D853,'3. Cuentas'!A:F,6,0)</f>
        <v>SI</v>
      </c>
    </row>
    <row r="854" spans="1:8" x14ac:dyDescent="0.25">
      <c r="A854" s="43">
        <v>10216204</v>
      </c>
      <c r="B854" t="s">
        <v>1002</v>
      </c>
      <c r="C854" s="43" t="s">
        <v>1624</v>
      </c>
      <c r="D854" s="43">
        <v>1115040</v>
      </c>
      <c r="E854" t="s">
        <v>291</v>
      </c>
      <c r="F854" s="47" t="str">
        <f>+Centro_Cuenta8[[#This Row],[Codigo Centro Gestion]]&amp;" - "&amp;Centro_Cuenta8[[#This Row],[Nombre Centro Gestion]]</f>
        <v>10216204 - Edificio Parque Urbano-Proyecto</v>
      </c>
      <c r="G854" s="47" t="str">
        <f>+Centro_Cuenta8[[#This Row],[Código Cuenta Contable]]&amp;" - "&amp;Centro_Cuenta8[[#This Row],[Nombre de Cuenta Contable]]</f>
        <v>1115040 - Saneamiento De Terreno</v>
      </c>
      <c r="H854" s="146" t="str">
        <f>+VLOOKUP(D854,'3. Cuentas'!A:F,6,0)</f>
        <v>SI</v>
      </c>
    </row>
    <row r="855" spans="1:8" x14ac:dyDescent="0.25">
      <c r="A855" s="43">
        <v>10216204</v>
      </c>
      <c r="B855" t="s">
        <v>1002</v>
      </c>
      <c r="C855" s="43" t="s">
        <v>1624</v>
      </c>
      <c r="D855" s="43">
        <v>1115050</v>
      </c>
      <c r="E855" t="s">
        <v>1628</v>
      </c>
      <c r="F855" s="47" t="str">
        <f>+Centro_Cuenta8[[#This Row],[Codigo Centro Gestion]]&amp;" - "&amp;Centro_Cuenta8[[#This Row],[Nombre Centro Gestion]]</f>
        <v>10216204 - Edificio Parque Urbano-Proyecto</v>
      </c>
      <c r="G855" s="47" t="str">
        <f>+Centro_Cuenta8[[#This Row],[Código Cuenta Contable]]&amp;" - "&amp;Centro_Cuenta8[[#This Row],[Nombre de Cuenta Contable]]</f>
        <v>1115050 - Demolición</v>
      </c>
      <c r="H855" s="146" t="str">
        <f>+VLOOKUP(D855,'3. Cuentas'!A:F,6,0)</f>
        <v>SI</v>
      </c>
    </row>
    <row r="856" spans="1:8" x14ac:dyDescent="0.25">
      <c r="A856" s="43">
        <v>10216204</v>
      </c>
      <c r="B856" t="s">
        <v>1002</v>
      </c>
      <c r="C856" s="43" t="s">
        <v>1624</v>
      </c>
      <c r="D856" s="43">
        <v>1115100</v>
      </c>
      <c r="E856" t="s">
        <v>292</v>
      </c>
      <c r="F856" s="47" t="str">
        <f>+Centro_Cuenta8[[#This Row],[Codigo Centro Gestion]]&amp;" - "&amp;Centro_Cuenta8[[#This Row],[Nombre Centro Gestion]]</f>
        <v>10216204 - Edificio Parque Urbano-Proyecto</v>
      </c>
      <c r="G856" s="47" t="str">
        <f>+Centro_Cuenta8[[#This Row],[Código Cuenta Contable]]&amp;" - "&amp;Centro_Cuenta8[[#This Row],[Nombre de Cuenta Contable]]</f>
        <v>1115100 - Proyectos Y Especialidades</v>
      </c>
      <c r="H856" s="146" t="str">
        <f>+VLOOKUP(D856,'3. Cuentas'!A:F,6,0)</f>
        <v>SI</v>
      </c>
    </row>
    <row r="857" spans="1:8" x14ac:dyDescent="0.25">
      <c r="A857" s="43">
        <v>10216204</v>
      </c>
      <c r="B857" t="s">
        <v>1002</v>
      </c>
      <c r="C857" s="43" t="s">
        <v>1624</v>
      </c>
      <c r="D857" s="43">
        <v>1115120</v>
      </c>
      <c r="E857" t="s">
        <v>1633</v>
      </c>
      <c r="F857" s="47" t="str">
        <f>+Centro_Cuenta8[[#This Row],[Codigo Centro Gestion]]&amp;" - "&amp;Centro_Cuenta8[[#This Row],[Nombre Centro Gestion]]</f>
        <v>10216204 - Edificio Parque Urbano-Proyecto</v>
      </c>
      <c r="G857" s="47" t="str">
        <f>+Centro_Cuenta8[[#This Row],[Código Cuenta Contable]]&amp;" - "&amp;Centro_Cuenta8[[#This Row],[Nombre de Cuenta Contable]]</f>
        <v>1115120 - Instalación Empalmes</v>
      </c>
      <c r="H857" s="146" t="str">
        <f>+VLOOKUP(D857,'3. Cuentas'!A:F,6,0)</f>
        <v>SI</v>
      </c>
    </row>
    <row r="858" spans="1:8" x14ac:dyDescent="0.25">
      <c r="A858" s="43">
        <v>10216204</v>
      </c>
      <c r="B858" t="s">
        <v>1002</v>
      </c>
      <c r="C858" s="43" t="s">
        <v>1624</v>
      </c>
      <c r="D858" s="43">
        <v>1115170</v>
      </c>
      <c r="E858" t="s">
        <v>293</v>
      </c>
      <c r="F858" s="47" t="str">
        <f>+Centro_Cuenta8[[#This Row],[Codigo Centro Gestion]]&amp;" - "&amp;Centro_Cuenta8[[#This Row],[Nombre Centro Gestion]]</f>
        <v>10216204 - Edificio Parque Urbano-Proyecto</v>
      </c>
      <c r="G858" s="47" t="str">
        <f>+Centro_Cuenta8[[#This Row],[Código Cuenta Contable]]&amp;" - "&amp;Centro_Cuenta8[[#This Row],[Nombre de Cuenta Contable]]</f>
        <v>1115170 - Permisos Y Otros Gastos Municipales</v>
      </c>
      <c r="H858" s="146" t="str">
        <f>+VLOOKUP(D858,'3. Cuentas'!A:F,6,0)</f>
        <v>SI</v>
      </c>
    </row>
    <row r="859" spans="1:8" x14ac:dyDescent="0.25">
      <c r="A859" s="43">
        <v>10216204</v>
      </c>
      <c r="B859" t="s">
        <v>1002</v>
      </c>
      <c r="C859" s="43" t="s">
        <v>1624</v>
      </c>
      <c r="D859" s="43">
        <v>1115240</v>
      </c>
      <c r="E859" t="s">
        <v>294</v>
      </c>
      <c r="F859" s="47" t="str">
        <f>+Centro_Cuenta8[[#This Row],[Codigo Centro Gestion]]&amp;" - "&amp;Centro_Cuenta8[[#This Row],[Nombre Centro Gestion]]</f>
        <v>10216204 - Edificio Parque Urbano-Proyecto</v>
      </c>
      <c r="G859" s="47" t="str">
        <f>+Centro_Cuenta8[[#This Row],[Código Cuenta Contable]]&amp;" - "&amp;Centro_Cuenta8[[#This Row],[Nombre de Cuenta Contable]]</f>
        <v>1115240 - Estudios Y Asesorias Técnicas</v>
      </c>
      <c r="H859" s="146" t="str">
        <f>+VLOOKUP(D859,'3. Cuentas'!A:F,6,0)</f>
        <v>SI</v>
      </c>
    </row>
    <row r="860" spans="1:8" x14ac:dyDescent="0.25">
      <c r="A860" s="43">
        <v>10216204</v>
      </c>
      <c r="B860" t="s">
        <v>1002</v>
      </c>
      <c r="C860" s="43" t="s">
        <v>1624</v>
      </c>
      <c r="D860" s="43">
        <v>4203090</v>
      </c>
      <c r="E860" t="s">
        <v>192</v>
      </c>
      <c r="F860" s="47" t="str">
        <f>+Centro_Cuenta8[[#This Row],[Codigo Centro Gestion]]&amp;" - "&amp;Centro_Cuenta8[[#This Row],[Nombre Centro Gestion]]</f>
        <v>10216204 - Edificio Parque Urbano-Proyecto</v>
      </c>
      <c r="G860" s="47" t="str">
        <f>+Centro_Cuenta8[[#This Row],[Código Cuenta Contable]]&amp;" - "&amp;Centro_Cuenta8[[#This Row],[Nombre de Cuenta Contable]]</f>
        <v>4203090 - Gastos Legales Y Notariales Proyecto</v>
      </c>
      <c r="H860" s="146" t="str">
        <f>+VLOOKUP(D860,'3. Cuentas'!A:F,6,0)</f>
        <v>SI</v>
      </c>
    </row>
    <row r="861" spans="1:8" x14ac:dyDescent="0.25">
      <c r="A861" s="43">
        <v>10216204</v>
      </c>
      <c r="B861" t="s">
        <v>1002</v>
      </c>
      <c r="C861" s="43" t="s">
        <v>1624</v>
      </c>
      <c r="D861" s="43">
        <v>4203140</v>
      </c>
      <c r="E861" t="s">
        <v>109</v>
      </c>
      <c r="F861" s="47" t="str">
        <f>+Centro_Cuenta8[[#This Row],[Codigo Centro Gestion]]&amp;" - "&amp;Centro_Cuenta8[[#This Row],[Nombre Centro Gestion]]</f>
        <v>10216204 - Edificio Parque Urbano-Proyecto</v>
      </c>
      <c r="G861" s="47" t="str">
        <f>+Centro_Cuenta8[[#This Row],[Código Cuenta Contable]]&amp;" - "&amp;Centro_Cuenta8[[#This Row],[Nombre de Cuenta Contable]]</f>
        <v>4203140 - Contribuciones</v>
      </c>
      <c r="H861" s="146" t="str">
        <f>+VLOOKUP(D861,'3. Cuentas'!A:F,6,0)</f>
        <v>SI</v>
      </c>
    </row>
    <row r="862" spans="1:8" x14ac:dyDescent="0.25">
      <c r="A862" s="43">
        <v>10216204</v>
      </c>
      <c r="B862" t="s">
        <v>1002</v>
      </c>
      <c r="C862" s="43" t="s">
        <v>1624</v>
      </c>
      <c r="D862" s="43">
        <v>4203150</v>
      </c>
      <c r="E862" t="s">
        <v>156</v>
      </c>
      <c r="F862" s="47" t="str">
        <f>+Centro_Cuenta8[[#This Row],[Codigo Centro Gestion]]&amp;" - "&amp;Centro_Cuenta8[[#This Row],[Nombre Centro Gestion]]</f>
        <v>10216204 - Edificio Parque Urbano-Proyecto</v>
      </c>
      <c r="G862" s="47" t="str">
        <f>+Centro_Cuenta8[[#This Row],[Código Cuenta Contable]]&amp;" - "&amp;Centro_Cuenta8[[#This Row],[Nombre de Cuenta Contable]]</f>
        <v>4203150 - Gastos CBR</v>
      </c>
      <c r="H862" s="146" t="str">
        <f>+VLOOKUP(D862,'3. Cuentas'!A:F,6,0)</f>
        <v>SI</v>
      </c>
    </row>
    <row r="863" spans="1:8" x14ac:dyDescent="0.25">
      <c r="A863" s="43">
        <v>10216204</v>
      </c>
      <c r="B863" t="s">
        <v>1002</v>
      </c>
      <c r="C863" s="43" t="s">
        <v>1624</v>
      </c>
      <c r="D863" s="43">
        <v>4203160</v>
      </c>
      <c r="E863" t="s">
        <v>1639</v>
      </c>
      <c r="F863" s="47" t="str">
        <f>+Centro_Cuenta8[[#This Row],[Codigo Centro Gestion]]&amp;" - "&amp;Centro_Cuenta8[[#This Row],[Nombre Centro Gestion]]</f>
        <v>10216204 - Edificio Parque Urbano-Proyecto</v>
      </c>
      <c r="G863" s="47" t="str">
        <f>+Centro_Cuenta8[[#This Row],[Código Cuenta Contable]]&amp;" - "&amp;Centro_Cuenta8[[#This Row],[Nombre de Cuenta Contable]]</f>
        <v>4203160 - PAPELERIA Y FOTOCOPIADO</v>
      </c>
      <c r="H863" s="146" t="str">
        <f>+VLOOKUP(D863,'3. Cuentas'!A:F,6,0)</f>
        <v>SI</v>
      </c>
    </row>
    <row r="864" spans="1:8" x14ac:dyDescent="0.25">
      <c r="A864" s="43">
        <v>10216204</v>
      </c>
      <c r="B864" t="s">
        <v>1002</v>
      </c>
      <c r="C864" s="43" t="s">
        <v>1624</v>
      </c>
      <c r="D864" s="43">
        <v>4203180</v>
      </c>
      <c r="E864" t="s">
        <v>1640</v>
      </c>
      <c r="F864" s="47" t="str">
        <f>+Centro_Cuenta8[[#This Row],[Codigo Centro Gestion]]&amp;" - "&amp;Centro_Cuenta8[[#This Row],[Nombre Centro Gestion]]</f>
        <v>10216204 - Edificio Parque Urbano-Proyecto</v>
      </c>
      <c r="G864" s="47" t="str">
        <f>+Centro_Cuenta8[[#This Row],[Código Cuenta Contable]]&amp;" - "&amp;Centro_Cuenta8[[#This Row],[Nombre de Cuenta Contable]]</f>
        <v>4203180 - Otros Gastos y Aseso Proy</v>
      </c>
      <c r="H864" s="146" t="str">
        <f>+VLOOKUP(D864,'3. Cuentas'!A:F,6,0)</f>
        <v>SI</v>
      </c>
    </row>
    <row r="865" spans="1:8" x14ac:dyDescent="0.25">
      <c r="A865" s="43">
        <v>10216301</v>
      </c>
      <c r="B865" t="s">
        <v>1003</v>
      </c>
      <c r="C865" s="43" t="s">
        <v>1643</v>
      </c>
      <c r="D865" s="43">
        <v>4203090</v>
      </c>
      <c r="E865" t="s">
        <v>192</v>
      </c>
      <c r="F865" s="47" t="str">
        <f>+Centro_Cuenta8[[#This Row],[Codigo Centro Gestion]]&amp;" - "&amp;Centro_Cuenta8[[#This Row],[Nombre Centro Gestion]]</f>
        <v>10216301 - Edificio Parque Urbano-GAF</v>
      </c>
      <c r="G865" s="47" t="str">
        <f>+Centro_Cuenta8[[#This Row],[Código Cuenta Contable]]&amp;" - "&amp;Centro_Cuenta8[[#This Row],[Nombre de Cuenta Contable]]</f>
        <v>4203090 - Gastos Legales Y Notariales Proyecto</v>
      </c>
      <c r="H865" s="146" t="str">
        <f>+VLOOKUP(D865,'3. Cuentas'!A:F,6,0)</f>
        <v>SI</v>
      </c>
    </row>
    <row r="866" spans="1:8" x14ac:dyDescent="0.25">
      <c r="A866" s="43">
        <v>10216301</v>
      </c>
      <c r="B866" t="s">
        <v>1003</v>
      </c>
      <c r="C866" s="43" t="s">
        <v>1643</v>
      </c>
      <c r="D866" s="43">
        <v>4203140</v>
      </c>
      <c r="E866" t="s">
        <v>109</v>
      </c>
      <c r="F866" s="47" t="str">
        <f>+Centro_Cuenta8[[#This Row],[Codigo Centro Gestion]]&amp;" - "&amp;Centro_Cuenta8[[#This Row],[Nombre Centro Gestion]]</f>
        <v>10216301 - Edificio Parque Urbano-GAF</v>
      </c>
      <c r="G866" s="47" t="str">
        <f>+Centro_Cuenta8[[#This Row],[Código Cuenta Contable]]&amp;" - "&amp;Centro_Cuenta8[[#This Row],[Nombre de Cuenta Contable]]</f>
        <v>4203140 - Contribuciones</v>
      </c>
      <c r="H866" s="146" t="str">
        <f>+VLOOKUP(D866,'3. Cuentas'!A:F,6,0)</f>
        <v>SI</v>
      </c>
    </row>
    <row r="867" spans="1:8" x14ac:dyDescent="0.25">
      <c r="A867" s="43">
        <v>10216506</v>
      </c>
      <c r="B867" t="s">
        <v>1005</v>
      </c>
      <c r="C867" s="43" t="s">
        <v>200</v>
      </c>
      <c r="D867" s="43">
        <v>1115100</v>
      </c>
      <c r="E867" t="s">
        <v>292</v>
      </c>
      <c r="F867" s="47" t="str">
        <f>+Centro_Cuenta8[[#This Row],[Codigo Centro Gestion]]&amp;" - "&amp;Centro_Cuenta8[[#This Row],[Nombre Centro Gestion]]</f>
        <v>10216506 - Edificio Parque Urbano-Depto.Técnico</v>
      </c>
      <c r="G867" s="47" t="str">
        <f>+Centro_Cuenta8[[#This Row],[Código Cuenta Contable]]&amp;" - "&amp;Centro_Cuenta8[[#This Row],[Nombre de Cuenta Contable]]</f>
        <v>1115100 - Proyectos Y Especialidades</v>
      </c>
      <c r="H867" s="146" t="str">
        <f>+VLOOKUP(D867,'3. Cuentas'!A:F,6,0)</f>
        <v>SI</v>
      </c>
    </row>
    <row r="868" spans="1:8" x14ac:dyDescent="0.25">
      <c r="A868" s="43">
        <v>10217102</v>
      </c>
      <c r="B868" t="s">
        <v>1007</v>
      </c>
      <c r="C868" s="43" t="s">
        <v>1617</v>
      </c>
      <c r="D868" s="43">
        <v>4204010</v>
      </c>
      <c r="E868" t="s">
        <v>313</v>
      </c>
      <c r="F868" s="47" t="str">
        <f>+Centro_Cuenta8[[#This Row],[Codigo Centro Gestion]]&amp;" - "&amp;Centro_Cuenta8[[#This Row],[Nombre Centro Gestion]]</f>
        <v>10217102 - Edificio Duble Almeyda 2621-Marketing</v>
      </c>
      <c r="G868" s="47" t="str">
        <f>+Centro_Cuenta8[[#This Row],[Código Cuenta Contable]]&amp;" - "&amp;Centro_Cuenta8[[#This Row],[Nombre de Cuenta Contable]]</f>
        <v>4204010 - Publicidad Punto Venta</v>
      </c>
      <c r="H868" s="146" t="str">
        <f>+VLOOKUP(D868,'3. Cuentas'!A:F,6,0)</f>
        <v>SI</v>
      </c>
    </row>
    <row r="869" spans="1:8" x14ac:dyDescent="0.25">
      <c r="A869" s="43">
        <v>10217102</v>
      </c>
      <c r="B869" t="s">
        <v>1007</v>
      </c>
      <c r="C869" s="43" t="s">
        <v>1617</v>
      </c>
      <c r="D869" s="43">
        <v>4204021</v>
      </c>
      <c r="E869" t="s">
        <v>329</v>
      </c>
      <c r="F869" s="47" t="str">
        <f>+Centro_Cuenta8[[#This Row],[Codigo Centro Gestion]]&amp;" - "&amp;Centro_Cuenta8[[#This Row],[Nombre Centro Gestion]]</f>
        <v>10217102 - Edificio Duble Almeyda 2621-Marketing</v>
      </c>
      <c r="G869" s="47" t="str">
        <f>+Centro_Cuenta8[[#This Row],[Código Cuenta Contable]]&amp;" - "&amp;Centro_Cuenta8[[#This Row],[Nombre de Cuenta Contable]]</f>
        <v>4204021 - Publicidad Ferias Y Eventos</v>
      </c>
      <c r="H869" s="146" t="str">
        <f>+VLOOKUP(D869,'3. Cuentas'!A:F,6,0)</f>
        <v>SI</v>
      </c>
    </row>
    <row r="870" spans="1:8" x14ac:dyDescent="0.25">
      <c r="A870" s="43">
        <v>10217103</v>
      </c>
      <c r="B870" t="s">
        <v>1008</v>
      </c>
      <c r="C870" s="43" t="s">
        <v>1618</v>
      </c>
      <c r="D870" s="43">
        <v>4203060</v>
      </c>
      <c r="E870" t="s">
        <v>321</v>
      </c>
      <c r="F870" s="47" t="str">
        <f>+Centro_Cuenta8[[#This Row],[Codigo Centro Gestion]]&amp;" - "&amp;Centro_Cuenta8[[#This Row],[Nombre Centro Gestion]]</f>
        <v>10217103 - Edificio Duble Almeyda 2621-Operaciones</v>
      </c>
      <c r="G870" s="47" t="str">
        <f>+Centro_Cuenta8[[#This Row],[Código Cuenta Contable]]&amp;" - "&amp;Centro_Cuenta8[[#This Row],[Nombre de Cuenta Contable]]</f>
        <v>4203060 - Gastos Operacionales De Clientes</v>
      </c>
      <c r="H870" s="146" t="str">
        <f>+VLOOKUP(D870,'3. Cuentas'!A:F,6,0)</f>
        <v>SI</v>
      </c>
    </row>
    <row r="871" spans="1:8" x14ac:dyDescent="0.25">
      <c r="A871" s="43">
        <v>10217103</v>
      </c>
      <c r="B871" t="s">
        <v>1008</v>
      </c>
      <c r="C871" s="43" t="s">
        <v>1618</v>
      </c>
      <c r="D871" s="43">
        <v>4203090</v>
      </c>
      <c r="E871" t="s">
        <v>192</v>
      </c>
      <c r="F871" s="47" t="str">
        <f>+Centro_Cuenta8[[#This Row],[Codigo Centro Gestion]]&amp;" - "&amp;Centro_Cuenta8[[#This Row],[Nombre Centro Gestion]]</f>
        <v>10217103 - Edificio Duble Almeyda 2621-Operaciones</v>
      </c>
      <c r="G871" s="47" t="str">
        <f>+Centro_Cuenta8[[#This Row],[Código Cuenta Contable]]&amp;" - "&amp;Centro_Cuenta8[[#This Row],[Nombre de Cuenta Contable]]</f>
        <v>4203090 - Gastos Legales Y Notariales Proyecto</v>
      </c>
      <c r="H871" s="146" t="str">
        <f>+VLOOKUP(D871,'3. Cuentas'!A:F,6,0)</f>
        <v>SI</v>
      </c>
    </row>
    <row r="872" spans="1:8" x14ac:dyDescent="0.25">
      <c r="A872" s="43">
        <v>10217104</v>
      </c>
      <c r="B872" t="s">
        <v>1009</v>
      </c>
      <c r="C872" s="43" t="s">
        <v>90</v>
      </c>
      <c r="D872" s="43">
        <v>1110040</v>
      </c>
      <c r="E872" t="s">
        <v>1505</v>
      </c>
      <c r="F872" s="47" t="str">
        <f>+Centro_Cuenta8[[#This Row],[Codigo Centro Gestion]]&amp;" - "&amp;Centro_Cuenta8[[#This Row],[Nombre Centro Gestion]]</f>
        <v>10217104 - Edificio Duble Almeyda 2621-Ventas</v>
      </c>
      <c r="G872" s="47" t="str">
        <f>+Centro_Cuenta8[[#This Row],[Código Cuenta Contable]]&amp;" - "&amp;Centro_Cuenta8[[#This Row],[Nombre de Cuenta Contable]]</f>
        <v>1110040 - Garantía Pagadas</v>
      </c>
      <c r="H872" s="146" t="str">
        <f>+VLOOKUP(D872,'3. Cuentas'!A:F,6,0)</f>
        <v>SI</v>
      </c>
    </row>
    <row r="873" spans="1:8" x14ac:dyDescent="0.25">
      <c r="A873" s="43">
        <v>10217104</v>
      </c>
      <c r="B873" t="s">
        <v>1009</v>
      </c>
      <c r="C873" s="43" t="s">
        <v>90</v>
      </c>
      <c r="D873" s="43">
        <v>4202003</v>
      </c>
      <c r="E873" t="s">
        <v>106</v>
      </c>
      <c r="F873" s="47" t="str">
        <f>+Centro_Cuenta8[[#This Row],[Codigo Centro Gestion]]&amp;" - "&amp;Centro_Cuenta8[[#This Row],[Nombre Centro Gestion]]</f>
        <v>10217104 - Edificio Duble Almeyda 2621-Ventas</v>
      </c>
      <c r="G873" s="47" t="str">
        <f>+Centro_Cuenta8[[#This Row],[Código Cuenta Contable]]&amp;" - "&amp;Centro_Cuenta8[[#This Row],[Nombre de Cuenta Contable]]</f>
        <v>4202003 - Serv.Basic.Luz.Agua.Tel Of.C</v>
      </c>
      <c r="H873" s="146" t="str">
        <f>+VLOOKUP(D873,'3. Cuentas'!A:F,6,0)</f>
        <v>SI</v>
      </c>
    </row>
    <row r="874" spans="1:8" x14ac:dyDescent="0.25">
      <c r="A874" s="43">
        <v>10217104</v>
      </c>
      <c r="B874" t="s">
        <v>1009</v>
      </c>
      <c r="C874" s="43" t="s">
        <v>90</v>
      </c>
      <c r="D874" s="43">
        <v>4202010</v>
      </c>
      <c r="E874" t="s">
        <v>87</v>
      </c>
      <c r="F874" s="47" t="str">
        <f>+Centro_Cuenta8[[#This Row],[Codigo Centro Gestion]]&amp;" - "&amp;Centro_Cuenta8[[#This Row],[Nombre Centro Gestion]]</f>
        <v>10217104 - Edificio Duble Almeyda 2621-Ventas</v>
      </c>
      <c r="G874" s="47" t="str">
        <f>+Centro_Cuenta8[[#This Row],[Código Cuenta Contable]]&amp;" - "&amp;Centro_Cuenta8[[#This Row],[Nombre de Cuenta Contable]]</f>
        <v>4202010 - Artic. Ofic. Fotocop.Papelería</v>
      </c>
      <c r="H874" s="146" t="str">
        <f>+VLOOKUP(D874,'3. Cuentas'!A:F,6,0)</f>
        <v>SI</v>
      </c>
    </row>
    <row r="875" spans="1:8" x14ac:dyDescent="0.25">
      <c r="A875" s="43">
        <v>10217104</v>
      </c>
      <c r="B875" t="s">
        <v>1009</v>
      </c>
      <c r="C875" s="43" t="s">
        <v>90</v>
      </c>
      <c r="D875" s="43">
        <v>4202019</v>
      </c>
      <c r="E875" t="s">
        <v>81</v>
      </c>
      <c r="F875" s="47" t="str">
        <f>+Centro_Cuenta8[[#This Row],[Codigo Centro Gestion]]&amp;" - "&amp;Centro_Cuenta8[[#This Row],[Nombre Centro Gestion]]</f>
        <v>10217104 - Edificio Duble Almeyda 2621-Ventas</v>
      </c>
      <c r="G875" s="47" t="str">
        <f>+Centro_Cuenta8[[#This Row],[Código Cuenta Contable]]&amp;" - "&amp;Centro_Cuenta8[[#This Row],[Nombre de Cuenta Contable]]</f>
        <v>4202019 - Gasto General Oficina</v>
      </c>
      <c r="H875" s="146" t="str">
        <f>+VLOOKUP(D875,'3. Cuentas'!A:F,6,0)</f>
        <v>SI</v>
      </c>
    </row>
    <row r="876" spans="1:8" x14ac:dyDescent="0.25">
      <c r="A876" s="43">
        <v>10217104</v>
      </c>
      <c r="B876" t="s">
        <v>1009</v>
      </c>
      <c r="C876" s="43" t="s">
        <v>90</v>
      </c>
      <c r="D876" s="43">
        <v>4202023</v>
      </c>
      <c r="E876" t="s">
        <v>82</v>
      </c>
      <c r="F876" s="47" t="str">
        <f>+Centro_Cuenta8[[#This Row],[Codigo Centro Gestion]]&amp;" - "&amp;Centro_Cuenta8[[#This Row],[Nombre Centro Gestion]]</f>
        <v>10217104 - Edificio Duble Almeyda 2621-Ventas</v>
      </c>
      <c r="G876" s="47" t="str">
        <f>+Centro_Cuenta8[[#This Row],[Código Cuenta Contable]]&amp;" - "&amp;Centro_Cuenta8[[#This Row],[Nombre de Cuenta Contable]]</f>
        <v>4202023 - Honorarios Por Asesorías</v>
      </c>
      <c r="H876" s="146" t="str">
        <f>+VLOOKUP(D876,'3. Cuentas'!A:F,6,0)</f>
        <v>SI</v>
      </c>
    </row>
    <row r="877" spans="1:8" x14ac:dyDescent="0.25">
      <c r="A877" s="43">
        <v>10217104</v>
      </c>
      <c r="B877" t="s">
        <v>1009</v>
      </c>
      <c r="C877" s="43" t="s">
        <v>90</v>
      </c>
      <c r="D877" s="43">
        <v>4202029</v>
      </c>
      <c r="E877" t="s">
        <v>83</v>
      </c>
      <c r="F877" s="47" t="str">
        <f>+Centro_Cuenta8[[#This Row],[Codigo Centro Gestion]]&amp;" - "&amp;Centro_Cuenta8[[#This Row],[Nombre Centro Gestion]]</f>
        <v>10217104 - Edificio Duble Almeyda 2621-Ventas</v>
      </c>
      <c r="G877" s="47" t="str">
        <f>+Centro_Cuenta8[[#This Row],[Código Cuenta Contable]]&amp;" - "&amp;Centro_Cuenta8[[#This Row],[Nombre de Cuenta Contable]]</f>
        <v>4202029 - Insumos Y Gastos Informáticos</v>
      </c>
      <c r="H877" s="146" t="str">
        <f>+VLOOKUP(D877,'3. Cuentas'!A:F,6,0)</f>
        <v>SI</v>
      </c>
    </row>
    <row r="878" spans="1:8" x14ac:dyDescent="0.25">
      <c r="A878" s="43">
        <v>10217104</v>
      </c>
      <c r="B878" t="s">
        <v>1009</v>
      </c>
      <c r="C878" s="43" t="s">
        <v>90</v>
      </c>
      <c r="D878" s="43">
        <v>4204021</v>
      </c>
      <c r="E878" t="s">
        <v>329</v>
      </c>
      <c r="F878" s="47" t="str">
        <f>+Centro_Cuenta8[[#This Row],[Codigo Centro Gestion]]&amp;" - "&amp;Centro_Cuenta8[[#This Row],[Nombre Centro Gestion]]</f>
        <v>10217104 - Edificio Duble Almeyda 2621-Ventas</v>
      </c>
      <c r="G878" s="47" t="str">
        <f>+Centro_Cuenta8[[#This Row],[Código Cuenta Contable]]&amp;" - "&amp;Centro_Cuenta8[[#This Row],[Nombre de Cuenta Contable]]</f>
        <v>4204021 - Publicidad Ferias Y Eventos</v>
      </c>
      <c r="H878" s="146" t="str">
        <f>+VLOOKUP(D878,'3. Cuentas'!A:F,6,0)</f>
        <v>SI</v>
      </c>
    </row>
    <row r="879" spans="1:8" x14ac:dyDescent="0.25">
      <c r="A879" s="43">
        <v>10217105</v>
      </c>
      <c r="B879" t="s">
        <v>1010</v>
      </c>
      <c r="C879" s="43" t="s">
        <v>1622</v>
      </c>
      <c r="D879" s="43">
        <v>4203020</v>
      </c>
      <c r="E879" t="s">
        <v>295</v>
      </c>
      <c r="F879" s="47" t="str">
        <f>+Centro_Cuenta8[[#This Row],[Codigo Centro Gestion]]&amp;" - "&amp;Centro_Cuenta8[[#This Row],[Nombre Centro Gestion]]</f>
        <v>10217105 - Edificio Duble Almeyda 2621-Clientes</v>
      </c>
      <c r="G879" s="47" t="str">
        <f>+Centro_Cuenta8[[#This Row],[Código Cuenta Contable]]&amp;" - "&amp;Centro_Cuenta8[[#This Row],[Nombre de Cuenta Contable]]</f>
        <v>4203020 - Mant. y Consum. Viv Stock</v>
      </c>
      <c r="H879" s="146" t="str">
        <f>+VLOOKUP(D879,'3. Cuentas'!A:F,6,0)</f>
        <v>SI</v>
      </c>
    </row>
    <row r="880" spans="1:8" x14ac:dyDescent="0.25">
      <c r="A880" s="43">
        <v>10217105</v>
      </c>
      <c r="B880" t="s">
        <v>1010</v>
      </c>
      <c r="C880" s="43" t="s">
        <v>1622</v>
      </c>
      <c r="D880" s="43">
        <v>4203120</v>
      </c>
      <c r="E880" t="s">
        <v>108</v>
      </c>
      <c r="F880" s="47" t="str">
        <f>+Centro_Cuenta8[[#This Row],[Codigo Centro Gestion]]&amp;" - "&amp;Centro_Cuenta8[[#This Row],[Nombre Centro Gestion]]</f>
        <v>10217105 - Edificio Duble Almeyda 2621-Clientes</v>
      </c>
      <c r="G880" s="47" t="str">
        <f>+Centro_Cuenta8[[#This Row],[Código Cuenta Contable]]&amp;" - "&amp;Centro_Cuenta8[[#This Row],[Nombre de Cuenta Contable]]</f>
        <v>4203120 - Gastos Comunes</v>
      </c>
      <c r="H880" s="146" t="str">
        <f>+VLOOKUP(D880,'3. Cuentas'!A:F,6,0)</f>
        <v>SI</v>
      </c>
    </row>
    <row r="881" spans="1:8" x14ac:dyDescent="0.25">
      <c r="A881" s="43">
        <v>10217105</v>
      </c>
      <c r="B881" t="s">
        <v>1010</v>
      </c>
      <c r="C881" s="43" t="s">
        <v>1622</v>
      </c>
      <c r="D881" s="43">
        <v>4203140</v>
      </c>
      <c r="E881" t="s">
        <v>109</v>
      </c>
      <c r="F881" s="47" t="str">
        <f>+Centro_Cuenta8[[#This Row],[Codigo Centro Gestion]]&amp;" - "&amp;Centro_Cuenta8[[#This Row],[Nombre Centro Gestion]]</f>
        <v>10217105 - Edificio Duble Almeyda 2621-Clientes</v>
      </c>
      <c r="G881" s="47" t="str">
        <f>+Centro_Cuenta8[[#This Row],[Código Cuenta Contable]]&amp;" - "&amp;Centro_Cuenta8[[#This Row],[Nombre de Cuenta Contable]]</f>
        <v>4203140 - Contribuciones</v>
      </c>
      <c r="H881" s="146" t="str">
        <f>+VLOOKUP(D881,'3. Cuentas'!A:F,6,0)</f>
        <v>SI</v>
      </c>
    </row>
    <row r="882" spans="1:8" x14ac:dyDescent="0.25">
      <c r="A882" s="43">
        <v>10217204</v>
      </c>
      <c r="B882" t="s">
        <v>1011</v>
      </c>
      <c r="C882" s="43" t="s">
        <v>1624</v>
      </c>
      <c r="D882" s="43">
        <v>1103045</v>
      </c>
      <c r="E882" t="s">
        <v>323</v>
      </c>
      <c r="F882" s="47" t="str">
        <f>+Centro_Cuenta8[[#This Row],[Codigo Centro Gestion]]&amp;" - "&amp;Centro_Cuenta8[[#This Row],[Nombre Centro Gestion]]</f>
        <v>10217204 - Edificio Duble Almeyda 2621-Proyecto</v>
      </c>
      <c r="G882" s="47" t="str">
        <f>+Centro_Cuenta8[[#This Row],[Código Cuenta Contable]]&amp;" - "&amp;Centro_Cuenta8[[#This Row],[Nombre de Cuenta Contable]]</f>
        <v>1103045 - Aportes reembolsables (electricidad y agua)</v>
      </c>
      <c r="H882" s="146" t="str">
        <f>+VLOOKUP(D882,'3. Cuentas'!A:F,6,0)</f>
        <v>SI</v>
      </c>
    </row>
    <row r="883" spans="1:8" x14ac:dyDescent="0.25">
      <c r="A883" s="43">
        <v>10217204</v>
      </c>
      <c r="B883" t="s">
        <v>1011</v>
      </c>
      <c r="C883" s="43" t="s">
        <v>1624</v>
      </c>
      <c r="D883" s="43">
        <v>1109020</v>
      </c>
      <c r="E883" t="s">
        <v>302</v>
      </c>
      <c r="F883" s="47" t="str">
        <f>+Centro_Cuenta8[[#This Row],[Codigo Centro Gestion]]&amp;" - "&amp;Centro_Cuenta8[[#This Row],[Nombre Centro Gestion]]</f>
        <v>10217204 - Edificio Duble Almeyda 2621-Proyecto</v>
      </c>
      <c r="G883" s="47" t="str">
        <f>+Centro_Cuenta8[[#This Row],[Código Cuenta Contable]]&amp;" - "&amp;Centro_Cuenta8[[#This Row],[Nombre de Cuenta Contable]]</f>
        <v>1109020 - Mobiliario</v>
      </c>
      <c r="H883" s="146" t="str">
        <f>+VLOOKUP(D883,'3. Cuentas'!A:F,6,0)</f>
        <v>SI</v>
      </c>
    </row>
    <row r="884" spans="1:8" x14ac:dyDescent="0.25">
      <c r="A884" s="43">
        <v>10217204</v>
      </c>
      <c r="B884" t="s">
        <v>1011</v>
      </c>
      <c r="C884" s="43" t="s">
        <v>1624</v>
      </c>
      <c r="D884" s="43">
        <v>1110040</v>
      </c>
      <c r="E884" t="s">
        <v>1505</v>
      </c>
      <c r="F884" s="47" t="str">
        <f>+Centro_Cuenta8[[#This Row],[Codigo Centro Gestion]]&amp;" - "&amp;Centro_Cuenta8[[#This Row],[Nombre Centro Gestion]]</f>
        <v>10217204 - Edificio Duble Almeyda 2621-Proyecto</v>
      </c>
      <c r="G884" s="47" t="str">
        <f>+Centro_Cuenta8[[#This Row],[Código Cuenta Contable]]&amp;" - "&amp;Centro_Cuenta8[[#This Row],[Nombre de Cuenta Contable]]</f>
        <v>1110040 - Garantía Pagadas</v>
      </c>
      <c r="H884" s="146" t="str">
        <f>+VLOOKUP(D884,'3. Cuentas'!A:F,6,0)</f>
        <v>SI</v>
      </c>
    </row>
    <row r="885" spans="1:8" x14ac:dyDescent="0.25">
      <c r="A885" s="43">
        <v>10217204</v>
      </c>
      <c r="B885" t="s">
        <v>1011</v>
      </c>
      <c r="C885" s="43" t="s">
        <v>1624</v>
      </c>
      <c r="D885" s="43">
        <v>1115040</v>
      </c>
      <c r="E885" t="s">
        <v>291</v>
      </c>
      <c r="F885" s="47" t="str">
        <f>+Centro_Cuenta8[[#This Row],[Codigo Centro Gestion]]&amp;" - "&amp;Centro_Cuenta8[[#This Row],[Nombre Centro Gestion]]</f>
        <v>10217204 - Edificio Duble Almeyda 2621-Proyecto</v>
      </c>
      <c r="G885" s="47" t="str">
        <f>+Centro_Cuenta8[[#This Row],[Código Cuenta Contable]]&amp;" - "&amp;Centro_Cuenta8[[#This Row],[Nombre de Cuenta Contable]]</f>
        <v>1115040 - Saneamiento De Terreno</v>
      </c>
      <c r="H885" s="146" t="str">
        <f>+VLOOKUP(D885,'3. Cuentas'!A:F,6,0)</f>
        <v>SI</v>
      </c>
    </row>
    <row r="886" spans="1:8" x14ac:dyDescent="0.25">
      <c r="A886" s="43">
        <v>10217204</v>
      </c>
      <c r="B886" t="s">
        <v>1011</v>
      </c>
      <c r="C886" s="43" t="s">
        <v>1624</v>
      </c>
      <c r="D886" s="43">
        <v>1115050</v>
      </c>
      <c r="E886" t="s">
        <v>1628</v>
      </c>
      <c r="F886" s="47" t="str">
        <f>+Centro_Cuenta8[[#This Row],[Codigo Centro Gestion]]&amp;" - "&amp;Centro_Cuenta8[[#This Row],[Nombre Centro Gestion]]</f>
        <v>10217204 - Edificio Duble Almeyda 2621-Proyecto</v>
      </c>
      <c r="G886" s="47" t="str">
        <f>+Centro_Cuenta8[[#This Row],[Código Cuenta Contable]]&amp;" - "&amp;Centro_Cuenta8[[#This Row],[Nombre de Cuenta Contable]]</f>
        <v>1115050 - Demolición</v>
      </c>
      <c r="H886" s="146" t="str">
        <f>+VLOOKUP(D886,'3. Cuentas'!A:F,6,0)</f>
        <v>SI</v>
      </c>
    </row>
    <row r="887" spans="1:8" x14ac:dyDescent="0.25">
      <c r="A887" s="43">
        <v>10217204</v>
      </c>
      <c r="B887" t="s">
        <v>1011</v>
      </c>
      <c r="C887" s="43" t="s">
        <v>1624</v>
      </c>
      <c r="D887" s="43">
        <v>1115100</v>
      </c>
      <c r="E887" t="s">
        <v>292</v>
      </c>
      <c r="F887" s="47" t="str">
        <f>+Centro_Cuenta8[[#This Row],[Codigo Centro Gestion]]&amp;" - "&amp;Centro_Cuenta8[[#This Row],[Nombre Centro Gestion]]</f>
        <v>10217204 - Edificio Duble Almeyda 2621-Proyecto</v>
      </c>
      <c r="G887" s="47" t="str">
        <f>+Centro_Cuenta8[[#This Row],[Código Cuenta Contable]]&amp;" - "&amp;Centro_Cuenta8[[#This Row],[Nombre de Cuenta Contable]]</f>
        <v>1115100 - Proyectos Y Especialidades</v>
      </c>
      <c r="H887" s="146" t="str">
        <f>+VLOOKUP(D887,'3. Cuentas'!A:F,6,0)</f>
        <v>SI</v>
      </c>
    </row>
    <row r="888" spans="1:8" x14ac:dyDescent="0.25">
      <c r="A888" s="43">
        <v>10217204</v>
      </c>
      <c r="B888" t="s">
        <v>1011</v>
      </c>
      <c r="C888" s="43" t="s">
        <v>1624</v>
      </c>
      <c r="D888" s="43">
        <v>1115120</v>
      </c>
      <c r="E888" t="s">
        <v>1633</v>
      </c>
      <c r="F888" s="47" t="str">
        <f>+Centro_Cuenta8[[#This Row],[Codigo Centro Gestion]]&amp;" - "&amp;Centro_Cuenta8[[#This Row],[Nombre Centro Gestion]]</f>
        <v>10217204 - Edificio Duble Almeyda 2621-Proyecto</v>
      </c>
      <c r="G888" s="47" t="str">
        <f>+Centro_Cuenta8[[#This Row],[Código Cuenta Contable]]&amp;" - "&amp;Centro_Cuenta8[[#This Row],[Nombre de Cuenta Contable]]</f>
        <v>1115120 - Instalación Empalmes</v>
      </c>
      <c r="H888" s="146" t="str">
        <f>+VLOOKUP(D888,'3. Cuentas'!A:F,6,0)</f>
        <v>SI</v>
      </c>
    </row>
    <row r="889" spans="1:8" x14ac:dyDescent="0.25">
      <c r="A889" s="43">
        <v>10217204</v>
      </c>
      <c r="B889" t="s">
        <v>1011</v>
      </c>
      <c r="C889" s="43" t="s">
        <v>1624</v>
      </c>
      <c r="D889" s="43">
        <v>1115170</v>
      </c>
      <c r="E889" t="s">
        <v>293</v>
      </c>
      <c r="F889" s="47" t="str">
        <f>+Centro_Cuenta8[[#This Row],[Codigo Centro Gestion]]&amp;" - "&amp;Centro_Cuenta8[[#This Row],[Nombre Centro Gestion]]</f>
        <v>10217204 - Edificio Duble Almeyda 2621-Proyecto</v>
      </c>
      <c r="G889" s="47" t="str">
        <f>+Centro_Cuenta8[[#This Row],[Código Cuenta Contable]]&amp;" - "&amp;Centro_Cuenta8[[#This Row],[Nombre de Cuenta Contable]]</f>
        <v>1115170 - Permisos Y Otros Gastos Municipales</v>
      </c>
      <c r="H889" s="146" t="str">
        <f>+VLOOKUP(D889,'3. Cuentas'!A:F,6,0)</f>
        <v>SI</v>
      </c>
    </row>
    <row r="890" spans="1:8" x14ac:dyDescent="0.25">
      <c r="A890" s="43">
        <v>10217204</v>
      </c>
      <c r="B890" t="s">
        <v>1011</v>
      </c>
      <c r="C890" s="43" t="s">
        <v>1624</v>
      </c>
      <c r="D890" s="43">
        <v>1115240</v>
      </c>
      <c r="E890" t="s">
        <v>294</v>
      </c>
      <c r="F890" s="47" t="str">
        <f>+Centro_Cuenta8[[#This Row],[Codigo Centro Gestion]]&amp;" - "&amp;Centro_Cuenta8[[#This Row],[Nombre Centro Gestion]]</f>
        <v>10217204 - Edificio Duble Almeyda 2621-Proyecto</v>
      </c>
      <c r="G890" s="47" t="str">
        <f>+Centro_Cuenta8[[#This Row],[Código Cuenta Contable]]&amp;" - "&amp;Centro_Cuenta8[[#This Row],[Nombre de Cuenta Contable]]</f>
        <v>1115240 - Estudios Y Asesorias Técnicas</v>
      </c>
      <c r="H890" s="146" t="str">
        <f>+VLOOKUP(D890,'3. Cuentas'!A:F,6,0)</f>
        <v>SI</v>
      </c>
    </row>
    <row r="891" spans="1:8" x14ac:dyDescent="0.25">
      <c r="A891" s="43">
        <v>10217204</v>
      </c>
      <c r="B891" t="s">
        <v>1011</v>
      </c>
      <c r="C891" s="43" t="s">
        <v>1624</v>
      </c>
      <c r="D891" s="43">
        <v>4203090</v>
      </c>
      <c r="E891" t="s">
        <v>192</v>
      </c>
      <c r="F891" s="47" t="str">
        <f>+Centro_Cuenta8[[#This Row],[Codigo Centro Gestion]]&amp;" - "&amp;Centro_Cuenta8[[#This Row],[Nombre Centro Gestion]]</f>
        <v>10217204 - Edificio Duble Almeyda 2621-Proyecto</v>
      </c>
      <c r="G891" s="47" t="str">
        <f>+Centro_Cuenta8[[#This Row],[Código Cuenta Contable]]&amp;" - "&amp;Centro_Cuenta8[[#This Row],[Nombre de Cuenta Contable]]</f>
        <v>4203090 - Gastos Legales Y Notariales Proyecto</v>
      </c>
      <c r="H891" s="146" t="str">
        <f>+VLOOKUP(D891,'3. Cuentas'!A:F,6,0)</f>
        <v>SI</v>
      </c>
    </row>
    <row r="892" spans="1:8" x14ac:dyDescent="0.25">
      <c r="A892" s="43">
        <v>10217204</v>
      </c>
      <c r="B892" t="s">
        <v>1011</v>
      </c>
      <c r="C892" s="43" t="s">
        <v>1624</v>
      </c>
      <c r="D892" s="43">
        <v>4203140</v>
      </c>
      <c r="E892" t="s">
        <v>109</v>
      </c>
      <c r="F892" s="47" t="str">
        <f>+Centro_Cuenta8[[#This Row],[Codigo Centro Gestion]]&amp;" - "&amp;Centro_Cuenta8[[#This Row],[Nombre Centro Gestion]]</f>
        <v>10217204 - Edificio Duble Almeyda 2621-Proyecto</v>
      </c>
      <c r="G892" s="47" t="str">
        <f>+Centro_Cuenta8[[#This Row],[Código Cuenta Contable]]&amp;" - "&amp;Centro_Cuenta8[[#This Row],[Nombre de Cuenta Contable]]</f>
        <v>4203140 - Contribuciones</v>
      </c>
      <c r="H892" s="146" t="str">
        <f>+VLOOKUP(D892,'3. Cuentas'!A:F,6,0)</f>
        <v>SI</v>
      </c>
    </row>
    <row r="893" spans="1:8" x14ac:dyDescent="0.25">
      <c r="A893" s="43">
        <v>10217204</v>
      </c>
      <c r="B893" t="s">
        <v>1011</v>
      </c>
      <c r="C893" s="43" t="s">
        <v>1624</v>
      </c>
      <c r="D893" s="43">
        <v>4203150</v>
      </c>
      <c r="E893" t="s">
        <v>156</v>
      </c>
      <c r="F893" s="47" t="str">
        <f>+Centro_Cuenta8[[#This Row],[Codigo Centro Gestion]]&amp;" - "&amp;Centro_Cuenta8[[#This Row],[Nombre Centro Gestion]]</f>
        <v>10217204 - Edificio Duble Almeyda 2621-Proyecto</v>
      </c>
      <c r="G893" s="47" t="str">
        <f>+Centro_Cuenta8[[#This Row],[Código Cuenta Contable]]&amp;" - "&amp;Centro_Cuenta8[[#This Row],[Nombre de Cuenta Contable]]</f>
        <v>4203150 - Gastos CBR</v>
      </c>
      <c r="H893" s="146" t="str">
        <f>+VLOOKUP(D893,'3. Cuentas'!A:F,6,0)</f>
        <v>SI</v>
      </c>
    </row>
    <row r="894" spans="1:8" x14ac:dyDescent="0.25">
      <c r="A894" s="43">
        <v>10217204</v>
      </c>
      <c r="B894" t="s">
        <v>1011</v>
      </c>
      <c r="C894" s="43" t="s">
        <v>1624</v>
      </c>
      <c r="D894" s="43">
        <v>4203160</v>
      </c>
      <c r="E894" t="s">
        <v>1639</v>
      </c>
      <c r="F894" s="47" t="str">
        <f>+Centro_Cuenta8[[#This Row],[Codigo Centro Gestion]]&amp;" - "&amp;Centro_Cuenta8[[#This Row],[Nombre Centro Gestion]]</f>
        <v>10217204 - Edificio Duble Almeyda 2621-Proyecto</v>
      </c>
      <c r="G894" s="47" t="str">
        <f>+Centro_Cuenta8[[#This Row],[Código Cuenta Contable]]&amp;" - "&amp;Centro_Cuenta8[[#This Row],[Nombre de Cuenta Contable]]</f>
        <v>4203160 - PAPELERIA Y FOTOCOPIADO</v>
      </c>
      <c r="H894" s="146" t="str">
        <f>+VLOOKUP(D894,'3. Cuentas'!A:F,6,0)</f>
        <v>SI</v>
      </c>
    </row>
    <row r="895" spans="1:8" x14ac:dyDescent="0.25">
      <c r="A895" s="43">
        <v>10217204</v>
      </c>
      <c r="B895" t="s">
        <v>1011</v>
      </c>
      <c r="C895" s="43" t="s">
        <v>1624</v>
      </c>
      <c r="D895" s="43">
        <v>4203180</v>
      </c>
      <c r="E895" t="s">
        <v>1640</v>
      </c>
      <c r="F895" s="47" t="str">
        <f>+Centro_Cuenta8[[#This Row],[Codigo Centro Gestion]]&amp;" - "&amp;Centro_Cuenta8[[#This Row],[Nombre Centro Gestion]]</f>
        <v>10217204 - Edificio Duble Almeyda 2621-Proyecto</v>
      </c>
      <c r="G895" s="47" t="str">
        <f>+Centro_Cuenta8[[#This Row],[Código Cuenta Contable]]&amp;" - "&amp;Centro_Cuenta8[[#This Row],[Nombre de Cuenta Contable]]</f>
        <v>4203180 - Otros Gastos y Aseso Proy</v>
      </c>
      <c r="H895" s="146" t="str">
        <f>+VLOOKUP(D895,'3. Cuentas'!A:F,6,0)</f>
        <v>SI</v>
      </c>
    </row>
    <row r="896" spans="1:8" x14ac:dyDescent="0.25">
      <c r="A896" s="43">
        <v>10217301</v>
      </c>
      <c r="B896" t="s">
        <v>1012</v>
      </c>
      <c r="C896" s="43" t="s">
        <v>1643</v>
      </c>
      <c r="D896" s="43">
        <v>4203090</v>
      </c>
      <c r="E896" t="s">
        <v>192</v>
      </c>
      <c r="F896" s="47" t="str">
        <f>+Centro_Cuenta8[[#This Row],[Codigo Centro Gestion]]&amp;" - "&amp;Centro_Cuenta8[[#This Row],[Nombre Centro Gestion]]</f>
        <v>10217301 - Edificio Duble Almeyda 2621-GAF</v>
      </c>
      <c r="G896" s="47" t="str">
        <f>+Centro_Cuenta8[[#This Row],[Código Cuenta Contable]]&amp;" - "&amp;Centro_Cuenta8[[#This Row],[Nombre de Cuenta Contable]]</f>
        <v>4203090 - Gastos Legales Y Notariales Proyecto</v>
      </c>
      <c r="H896" s="146" t="str">
        <f>+VLOOKUP(D896,'3. Cuentas'!A:F,6,0)</f>
        <v>SI</v>
      </c>
    </row>
    <row r="897" spans="1:8" x14ac:dyDescent="0.25">
      <c r="A897" s="43">
        <v>10217301</v>
      </c>
      <c r="B897" t="s">
        <v>1012</v>
      </c>
      <c r="C897" s="43" t="s">
        <v>1643</v>
      </c>
      <c r="D897" s="43">
        <v>4203140</v>
      </c>
      <c r="E897" t="s">
        <v>109</v>
      </c>
      <c r="F897" s="47" t="str">
        <f>+Centro_Cuenta8[[#This Row],[Codigo Centro Gestion]]&amp;" - "&amp;Centro_Cuenta8[[#This Row],[Nombre Centro Gestion]]</f>
        <v>10217301 - Edificio Duble Almeyda 2621-GAF</v>
      </c>
      <c r="G897" s="47" t="str">
        <f>+Centro_Cuenta8[[#This Row],[Código Cuenta Contable]]&amp;" - "&amp;Centro_Cuenta8[[#This Row],[Nombre de Cuenta Contable]]</f>
        <v>4203140 - Contribuciones</v>
      </c>
      <c r="H897" s="146" t="str">
        <f>+VLOOKUP(D897,'3. Cuentas'!A:F,6,0)</f>
        <v>SI</v>
      </c>
    </row>
    <row r="898" spans="1:8" x14ac:dyDescent="0.25">
      <c r="A898" s="43">
        <v>10217506</v>
      </c>
      <c r="B898" t="s">
        <v>1014</v>
      </c>
      <c r="C898" s="43" t="s">
        <v>200</v>
      </c>
      <c r="D898" s="43">
        <v>1115100</v>
      </c>
      <c r="E898" t="s">
        <v>292</v>
      </c>
      <c r="F898" s="47" t="str">
        <f>+Centro_Cuenta8[[#This Row],[Codigo Centro Gestion]]&amp;" - "&amp;Centro_Cuenta8[[#This Row],[Nombre Centro Gestion]]</f>
        <v>10217506 - Edificio Duble Almeyda 2621-Depto.Técnico</v>
      </c>
      <c r="G898" s="47" t="str">
        <f>+Centro_Cuenta8[[#This Row],[Código Cuenta Contable]]&amp;" - "&amp;Centro_Cuenta8[[#This Row],[Nombre de Cuenta Contable]]</f>
        <v>1115100 - Proyectos Y Especialidades</v>
      </c>
      <c r="H898" s="146" t="str">
        <f>+VLOOKUP(D898,'3. Cuentas'!A:F,6,0)</f>
        <v>SI</v>
      </c>
    </row>
    <row r="899" spans="1:8" x14ac:dyDescent="0.25">
      <c r="A899" s="43">
        <v>10218102</v>
      </c>
      <c r="B899" t="s">
        <v>1016</v>
      </c>
      <c r="C899" s="43" t="s">
        <v>1617</v>
      </c>
      <c r="D899" s="43">
        <v>4204010</v>
      </c>
      <c r="E899" t="s">
        <v>313</v>
      </c>
      <c r="F899" s="47" t="str">
        <f>+Centro_Cuenta8[[#This Row],[Codigo Centro Gestion]]&amp;" - "&amp;Centro_Cuenta8[[#This Row],[Nombre Centro Gestion]]</f>
        <v>10218102 - Edificio Jose Domingo Cañas 2640-Marketing</v>
      </c>
      <c r="G899" s="47" t="str">
        <f>+Centro_Cuenta8[[#This Row],[Código Cuenta Contable]]&amp;" - "&amp;Centro_Cuenta8[[#This Row],[Nombre de Cuenta Contable]]</f>
        <v>4204010 - Publicidad Punto Venta</v>
      </c>
      <c r="H899" s="146" t="str">
        <f>+VLOOKUP(D899,'3. Cuentas'!A:F,6,0)</f>
        <v>SI</v>
      </c>
    </row>
    <row r="900" spans="1:8" x14ac:dyDescent="0.25">
      <c r="A900" s="43">
        <v>10218102</v>
      </c>
      <c r="B900" t="s">
        <v>1016</v>
      </c>
      <c r="C900" s="43" t="s">
        <v>1617</v>
      </c>
      <c r="D900" s="43">
        <v>4204021</v>
      </c>
      <c r="E900" t="s">
        <v>329</v>
      </c>
      <c r="F900" s="47" t="str">
        <f>+Centro_Cuenta8[[#This Row],[Codigo Centro Gestion]]&amp;" - "&amp;Centro_Cuenta8[[#This Row],[Nombre Centro Gestion]]</f>
        <v>10218102 - Edificio Jose Domingo Cañas 2640-Marketing</v>
      </c>
      <c r="G900" s="47" t="str">
        <f>+Centro_Cuenta8[[#This Row],[Código Cuenta Contable]]&amp;" - "&amp;Centro_Cuenta8[[#This Row],[Nombre de Cuenta Contable]]</f>
        <v>4204021 - Publicidad Ferias Y Eventos</v>
      </c>
      <c r="H900" s="146" t="str">
        <f>+VLOOKUP(D900,'3. Cuentas'!A:F,6,0)</f>
        <v>SI</v>
      </c>
    </row>
    <row r="901" spans="1:8" x14ac:dyDescent="0.25">
      <c r="A901" s="43">
        <v>10218103</v>
      </c>
      <c r="B901" t="s">
        <v>1017</v>
      </c>
      <c r="C901" s="43" t="s">
        <v>1618</v>
      </c>
      <c r="D901" s="43">
        <v>4203060</v>
      </c>
      <c r="E901" t="s">
        <v>321</v>
      </c>
      <c r="F901" s="47" t="str">
        <f>+Centro_Cuenta8[[#This Row],[Codigo Centro Gestion]]&amp;" - "&amp;Centro_Cuenta8[[#This Row],[Nombre Centro Gestion]]</f>
        <v>10218103 - Edificio Jose Domingo Cañas 2640-Operaciones</v>
      </c>
      <c r="G901" s="47" t="str">
        <f>+Centro_Cuenta8[[#This Row],[Código Cuenta Contable]]&amp;" - "&amp;Centro_Cuenta8[[#This Row],[Nombre de Cuenta Contable]]</f>
        <v>4203060 - Gastos Operacionales De Clientes</v>
      </c>
      <c r="H901" s="146" t="str">
        <f>+VLOOKUP(D901,'3. Cuentas'!A:F,6,0)</f>
        <v>SI</v>
      </c>
    </row>
    <row r="902" spans="1:8" x14ac:dyDescent="0.25">
      <c r="A902" s="43">
        <v>10218103</v>
      </c>
      <c r="B902" t="s">
        <v>1017</v>
      </c>
      <c r="C902" s="43" t="s">
        <v>1618</v>
      </c>
      <c r="D902" s="43">
        <v>4203090</v>
      </c>
      <c r="E902" t="s">
        <v>192</v>
      </c>
      <c r="F902" s="47" t="str">
        <f>+Centro_Cuenta8[[#This Row],[Codigo Centro Gestion]]&amp;" - "&amp;Centro_Cuenta8[[#This Row],[Nombre Centro Gestion]]</f>
        <v>10218103 - Edificio Jose Domingo Cañas 2640-Operaciones</v>
      </c>
      <c r="G902" s="47" t="str">
        <f>+Centro_Cuenta8[[#This Row],[Código Cuenta Contable]]&amp;" - "&amp;Centro_Cuenta8[[#This Row],[Nombre de Cuenta Contable]]</f>
        <v>4203090 - Gastos Legales Y Notariales Proyecto</v>
      </c>
      <c r="H902" s="146" t="str">
        <f>+VLOOKUP(D902,'3. Cuentas'!A:F,6,0)</f>
        <v>SI</v>
      </c>
    </row>
    <row r="903" spans="1:8" x14ac:dyDescent="0.25">
      <c r="A903" s="43">
        <v>10218104</v>
      </c>
      <c r="B903" t="s">
        <v>1018</v>
      </c>
      <c r="C903" s="43" t="s">
        <v>90</v>
      </c>
      <c r="D903" s="43">
        <v>1110040</v>
      </c>
      <c r="E903" t="s">
        <v>1505</v>
      </c>
      <c r="F903" s="47" t="str">
        <f>+Centro_Cuenta8[[#This Row],[Codigo Centro Gestion]]&amp;" - "&amp;Centro_Cuenta8[[#This Row],[Nombre Centro Gestion]]</f>
        <v>10218104 - Edificio Jose Domingo Cañas 2640-Ventas</v>
      </c>
      <c r="G903" s="47" t="str">
        <f>+Centro_Cuenta8[[#This Row],[Código Cuenta Contable]]&amp;" - "&amp;Centro_Cuenta8[[#This Row],[Nombre de Cuenta Contable]]</f>
        <v>1110040 - Garantía Pagadas</v>
      </c>
      <c r="H903" s="146" t="str">
        <f>+VLOOKUP(D903,'3. Cuentas'!A:F,6,0)</f>
        <v>SI</v>
      </c>
    </row>
    <row r="904" spans="1:8" x14ac:dyDescent="0.25">
      <c r="A904" s="43">
        <v>10218104</v>
      </c>
      <c r="B904" t="s">
        <v>1018</v>
      </c>
      <c r="C904" s="43" t="s">
        <v>90</v>
      </c>
      <c r="D904" s="43">
        <v>4202003</v>
      </c>
      <c r="E904" t="s">
        <v>106</v>
      </c>
      <c r="F904" s="47" t="str">
        <f>+Centro_Cuenta8[[#This Row],[Codigo Centro Gestion]]&amp;" - "&amp;Centro_Cuenta8[[#This Row],[Nombre Centro Gestion]]</f>
        <v>10218104 - Edificio Jose Domingo Cañas 2640-Ventas</v>
      </c>
      <c r="G904" s="47" t="str">
        <f>+Centro_Cuenta8[[#This Row],[Código Cuenta Contable]]&amp;" - "&amp;Centro_Cuenta8[[#This Row],[Nombre de Cuenta Contable]]</f>
        <v>4202003 - Serv.Basic.Luz.Agua.Tel Of.C</v>
      </c>
      <c r="H904" s="146" t="str">
        <f>+VLOOKUP(D904,'3. Cuentas'!A:F,6,0)</f>
        <v>SI</v>
      </c>
    </row>
    <row r="905" spans="1:8" x14ac:dyDescent="0.25">
      <c r="A905" s="43">
        <v>10218104</v>
      </c>
      <c r="B905" t="s">
        <v>1018</v>
      </c>
      <c r="C905" s="43" t="s">
        <v>90</v>
      </c>
      <c r="D905" s="43">
        <v>4202010</v>
      </c>
      <c r="E905" t="s">
        <v>87</v>
      </c>
      <c r="F905" s="47" t="str">
        <f>+Centro_Cuenta8[[#This Row],[Codigo Centro Gestion]]&amp;" - "&amp;Centro_Cuenta8[[#This Row],[Nombre Centro Gestion]]</f>
        <v>10218104 - Edificio Jose Domingo Cañas 2640-Ventas</v>
      </c>
      <c r="G905" s="47" t="str">
        <f>+Centro_Cuenta8[[#This Row],[Código Cuenta Contable]]&amp;" - "&amp;Centro_Cuenta8[[#This Row],[Nombre de Cuenta Contable]]</f>
        <v>4202010 - Artic. Ofic. Fotocop.Papelería</v>
      </c>
      <c r="H905" s="146" t="str">
        <f>+VLOOKUP(D905,'3. Cuentas'!A:F,6,0)</f>
        <v>SI</v>
      </c>
    </row>
    <row r="906" spans="1:8" x14ac:dyDescent="0.25">
      <c r="A906" s="43">
        <v>10218104</v>
      </c>
      <c r="B906" t="s">
        <v>1018</v>
      </c>
      <c r="C906" s="43" t="s">
        <v>90</v>
      </c>
      <c r="D906" s="43">
        <v>4202019</v>
      </c>
      <c r="E906" t="s">
        <v>81</v>
      </c>
      <c r="F906" s="47" t="str">
        <f>+Centro_Cuenta8[[#This Row],[Codigo Centro Gestion]]&amp;" - "&amp;Centro_Cuenta8[[#This Row],[Nombre Centro Gestion]]</f>
        <v>10218104 - Edificio Jose Domingo Cañas 2640-Ventas</v>
      </c>
      <c r="G906" s="47" t="str">
        <f>+Centro_Cuenta8[[#This Row],[Código Cuenta Contable]]&amp;" - "&amp;Centro_Cuenta8[[#This Row],[Nombre de Cuenta Contable]]</f>
        <v>4202019 - Gasto General Oficina</v>
      </c>
      <c r="H906" s="146" t="str">
        <f>+VLOOKUP(D906,'3. Cuentas'!A:F,6,0)</f>
        <v>SI</v>
      </c>
    </row>
    <row r="907" spans="1:8" x14ac:dyDescent="0.25">
      <c r="A907" s="43">
        <v>10218104</v>
      </c>
      <c r="B907" t="s">
        <v>1018</v>
      </c>
      <c r="C907" s="43" t="s">
        <v>90</v>
      </c>
      <c r="D907" s="43">
        <v>4202023</v>
      </c>
      <c r="E907" t="s">
        <v>82</v>
      </c>
      <c r="F907" s="47" t="str">
        <f>+Centro_Cuenta8[[#This Row],[Codigo Centro Gestion]]&amp;" - "&amp;Centro_Cuenta8[[#This Row],[Nombre Centro Gestion]]</f>
        <v>10218104 - Edificio Jose Domingo Cañas 2640-Ventas</v>
      </c>
      <c r="G907" s="47" t="str">
        <f>+Centro_Cuenta8[[#This Row],[Código Cuenta Contable]]&amp;" - "&amp;Centro_Cuenta8[[#This Row],[Nombre de Cuenta Contable]]</f>
        <v>4202023 - Honorarios Por Asesorías</v>
      </c>
      <c r="H907" s="146" t="str">
        <f>+VLOOKUP(D907,'3. Cuentas'!A:F,6,0)</f>
        <v>SI</v>
      </c>
    </row>
    <row r="908" spans="1:8" x14ac:dyDescent="0.25">
      <c r="A908" s="43">
        <v>10218104</v>
      </c>
      <c r="B908" t="s">
        <v>1018</v>
      </c>
      <c r="C908" s="43" t="s">
        <v>90</v>
      </c>
      <c r="D908" s="43">
        <v>4202029</v>
      </c>
      <c r="E908" t="s">
        <v>83</v>
      </c>
      <c r="F908" s="47" t="str">
        <f>+Centro_Cuenta8[[#This Row],[Codigo Centro Gestion]]&amp;" - "&amp;Centro_Cuenta8[[#This Row],[Nombre Centro Gestion]]</f>
        <v>10218104 - Edificio Jose Domingo Cañas 2640-Ventas</v>
      </c>
      <c r="G908" s="47" t="str">
        <f>+Centro_Cuenta8[[#This Row],[Código Cuenta Contable]]&amp;" - "&amp;Centro_Cuenta8[[#This Row],[Nombre de Cuenta Contable]]</f>
        <v>4202029 - Insumos Y Gastos Informáticos</v>
      </c>
      <c r="H908" s="146" t="str">
        <f>+VLOOKUP(D908,'3. Cuentas'!A:F,6,0)</f>
        <v>SI</v>
      </c>
    </row>
    <row r="909" spans="1:8" x14ac:dyDescent="0.25">
      <c r="A909" s="43">
        <v>10218104</v>
      </c>
      <c r="B909" t="s">
        <v>1018</v>
      </c>
      <c r="C909" s="43" t="s">
        <v>90</v>
      </c>
      <c r="D909" s="43">
        <v>4204021</v>
      </c>
      <c r="E909" t="s">
        <v>329</v>
      </c>
      <c r="F909" s="47" t="str">
        <f>+Centro_Cuenta8[[#This Row],[Codigo Centro Gestion]]&amp;" - "&amp;Centro_Cuenta8[[#This Row],[Nombre Centro Gestion]]</f>
        <v>10218104 - Edificio Jose Domingo Cañas 2640-Ventas</v>
      </c>
      <c r="G909" s="47" t="str">
        <f>+Centro_Cuenta8[[#This Row],[Código Cuenta Contable]]&amp;" - "&amp;Centro_Cuenta8[[#This Row],[Nombre de Cuenta Contable]]</f>
        <v>4204021 - Publicidad Ferias Y Eventos</v>
      </c>
      <c r="H909" s="146" t="str">
        <f>+VLOOKUP(D909,'3. Cuentas'!A:F,6,0)</f>
        <v>SI</v>
      </c>
    </row>
    <row r="910" spans="1:8" x14ac:dyDescent="0.25">
      <c r="A910" s="43">
        <v>10218105</v>
      </c>
      <c r="B910" t="s">
        <v>1019</v>
      </c>
      <c r="C910" s="43" t="s">
        <v>1622</v>
      </c>
      <c r="D910" s="43">
        <v>4203020</v>
      </c>
      <c r="E910" t="s">
        <v>295</v>
      </c>
      <c r="F910" s="47" t="str">
        <f>+Centro_Cuenta8[[#This Row],[Codigo Centro Gestion]]&amp;" - "&amp;Centro_Cuenta8[[#This Row],[Nombre Centro Gestion]]</f>
        <v>10218105 - Edificio Jose Domingo Cañas 2640-Clientes</v>
      </c>
      <c r="G910" s="47" t="str">
        <f>+Centro_Cuenta8[[#This Row],[Código Cuenta Contable]]&amp;" - "&amp;Centro_Cuenta8[[#This Row],[Nombre de Cuenta Contable]]</f>
        <v>4203020 - Mant. y Consum. Viv Stock</v>
      </c>
      <c r="H910" s="146" t="str">
        <f>+VLOOKUP(D910,'3. Cuentas'!A:F,6,0)</f>
        <v>SI</v>
      </c>
    </row>
    <row r="911" spans="1:8" x14ac:dyDescent="0.25">
      <c r="A911" s="43">
        <v>10218105</v>
      </c>
      <c r="B911" t="s">
        <v>1019</v>
      </c>
      <c r="C911" s="43" t="s">
        <v>1622</v>
      </c>
      <c r="D911" s="43">
        <v>4203120</v>
      </c>
      <c r="E911" t="s">
        <v>108</v>
      </c>
      <c r="F911" s="47" t="str">
        <f>+Centro_Cuenta8[[#This Row],[Codigo Centro Gestion]]&amp;" - "&amp;Centro_Cuenta8[[#This Row],[Nombre Centro Gestion]]</f>
        <v>10218105 - Edificio Jose Domingo Cañas 2640-Clientes</v>
      </c>
      <c r="G911" s="47" t="str">
        <f>+Centro_Cuenta8[[#This Row],[Código Cuenta Contable]]&amp;" - "&amp;Centro_Cuenta8[[#This Row],[Nombre de Cuenta Contable]]</f>
        <v>4203120 - Gastos Comunes</v>
      </c>
      <c r="H911" s="146" t="str">
        <f>+VLOOKUP(D911,'3. Cuentas'!A:F,6,0)</f>
        <v>SI</v>
      </c>
    </row>
    <row r="912" spans="1:8" x14ac:dyDescent="0.25">
      <c r="A912" s="43">
        <v>10218105</v>
      </c>
      <c r="B912" t="s">
        <v>1019</v>
      </c>
      <c r="C912" s="43" t="s">
        <v>1622</v>
      </c>
      <c r="D912" s="43">
        <v>4203140</v>
      </c>
      <c r="E912" t="s">
        <v>109</v>
      </c>
      <c r="F912" s="47" t="str">
        <f>+Centro_Cuenta8[[#This Row],[Codigo Centro Gestion]]&amp;" - "&amp;Centro_Cuenta8[[#This Row],[Nombre Centro Gestion]]</f>
        <v>10218105 - Edificio Jose Domingo Cañas 2640-Clientes</v>
      </c>
      <c r="G912" s="47" t="str">
        <f>+Centro_Cuenta8[[#This Row],[Código Cuenta Contable]]&amp;" - "&amp;Centro_Cuenta8[[#This Row],[Nombre de Cuenta Contable]]</f>
        <v>4203140 - Contribuciones</v>
      </c>
      <c r="H912" s="146" t="str">
        <f>+VLOOKUP(D912,'3. Cuentas'!A:F,6,0)</f>
        <v>SI</v>
      </c>
    </row>
    <row r="913" spans="1:8" x14ac:dyDescent="0.25">
      <c r="A913" s="43">
        <v>10218204</v>
      </c>
      <c r="B913" t="s">
        <v>1020</v>
      </c>
      <c r="C913" s="43" t="s">
        <v>1624</v>
      </c>
      <c r="D913" s="43">
        <v>1103045</v>
      </c>
      <c r="E913" t="s">
        <v>323</v>
      </c>
      <c r="F913" s="47" t="str">
        <f>+Centro_Cuenta8[[#This Row],[Codigo Centro Gestion]]&amp;" - "&amp;Centro_Cuenta8[[#This Row],[Nombre Centro Gestion]]</f>
        <v>10218204 - Edificio Jose Domingo Cañas 2640-Proyecto</v>
      </c>
      <c r="G913" s="47" t="str">
        <f>+Centro_Cuenta8[[#This Row],[Código Cuenta Contable]]&amp;" - "&amp;Centro_Cuenta8[[#This Row],[Nombre de Cuenta Contable]]</f>
        <v>1103045 - Aportes reembolsables (electricidad y agua)</v>
      </c>
      <c r="H913" s="146" t="str">
        <f>+VLOOKUP(D913,'3. Cuentas'!A:F,6,0)</f>
        <v>SI</v>
      </c>
    </row>
    <row r="914" spans="1:8" x14ac:dyDescent="0.25">
      <c r="A914" s="43">
        <v>10218204</v>
      </c>
      <c r="B914" t="s">
        <v>1020</v>
      </c>
      <c r="C914" s="43" t="s">
        <v>1624</v>
      </c>
      <c r="D914" s="43">
        <v>1109020</v>
      </c>
      <c r="E914" t="s">
        <v>302</v>
      </c>
      <c r="F914" s="47" t="str">
        <f>+Centro_Cuenta8[[#This Row],[Codigo Centro Gestion]]&amp;" - "&amp;Centro_Cuenta8[[#This Row],[Nombre Centro Gestion]]</f>
        <v>10218204 - Edificio Jose Domingo Cañas 2640-Proyecto</v>
      </c>
      <c r="G914" s="47" t="str">
        <f>+Centro_Cuenta8[[#This Row],[Código Cuenta Contable]]&amp;" - "&amp;Centro_Cuenta8[[#This Row],[Nombre de Cuenta Contable]]</f>
        <v>1109020 - Mobiliario</v>
      </c>
      <c r="H914" s="146" t="str">
        <f>+VLOOKUP(D914,'3. Cuentas'!A:F,6,0)</f>
        <v>SI</v>
      </c>
    </row>
    <row r="915" spans="1:8" x14ac:dyDescent="0.25">
      <c r="A915" s="43">
        <v>10218204</v>
      </c>
      <c r="B915" t="s">
        <v>1020</v>
      </c>
      <c r="C915" s="43" t="s">
        <v>1624</v>
      </c>
      <c r="D915" s="43">
        <v>1110040</v>
      </c>
      <c r="E915" t="s">
        <v>1505</v>
      </c>
      <c r="F915" s="47" t="str">
        <f>+Centro_Cuenta8[[#This Row],[Codigo Centro Gestion]]&amp;" - "&amp;Centro_Cuenta8[[#This Row],[Nombre Centro Gestion]]</f>
        <v>10218204 - Edificio Jose Domingo Cañas 2640-Proyecto</v>
      </c>
      <c r="G915" s="47" t="str">
        <f>+Centro_Cuenta8[[#This Row],[Código Cuenta Contable]]&amp;" - "&amp;Centro_Cuenta8[[#This Row],[Nombre de Cuenta Contable]]</f>
        <v>1110040 - Garantía Pagadas</v>
      </c>
      <c r="H915" s="146" t="str">
        <f>+VLOOKUP(D915,'3. Cuentas'!A:F,6,0)</f>
        <v>SI</v>
      </c>
    </row>
    <row r="916" spans="1:8" x14ac:dyDescent="0.25">
      <c r="A916" s="43">
        <v>10218204</v>
      </c>
      <c r="B916" t="s">
        <v>1020</v>
      </c>
      <c r="C916" s="43" t="s">
        <v>1624</v>
      </c>
      <c r="D916" s="43">
        <v>1115040</v>
      </c>
      <c r="E916" t="s">
        <v>291</v>
      </c>
      <c r="F916" s="47" t="str">
        <f>+Centro_Cuenta8[[#This Row],[Codigo Centro Gestion]]&amp;" - "&amp;Centro_Cuenta8[[#This Row],[Nombre Centro Gestion]]</f>
        <v>10218204 - Edificio Jose Domingo Cañas 2640-Proyecto</v>
      </c>
      <c r="G916" s="47" t="str">
        <f>+Centro_Cuenta8[[#This Row],[Código Cuenta Contable]]&amp;" - "&amp;Centro_Cuenta8[[#This Row],[Nombre de Cuenta Contable]]</f>
        <v>1115040 - Saneamiento De Terreno</v>
      </c>
      <c r="H916" s="146" t="str">
        <f>+VLOOKUP(D916,'3. Cuentas'!A:F,6,0)</f>
        <v>SI</v>
      </c>
    </row>
    <row r="917" spans="1:8" x14ac:dyDescent="0.25">
      <c r="A917" s="43">
        <v>10218204</v>
      </c>
      <c r="B917" t="s">
        <v>1020</v>
      </c>
      <c r="C917" s="43" t="s">
        <v>1624</v>
      </c>
      <c r="D917" s="43">
        <v>1115050</v>
      </c>
      <c r="E917" t="s">
        <v>1628</v>
      </c>
      <c r="F917" s="47" t="str">
        <f>+Centro_Cuenta8[[#This Row],[Codigo Centro Gestion]]&amp;" - "&amp;Centro_Cuenta8[[#This Row],[Nombre Centro Gestion]]</f>
        <v>10218204 - Edificio Jose Domingo Cañas 2640-Proyecto</v>
      </c>
      <c r="G917" s="47" t="str">
        <f>+Centro_Cuenta8[[#This Row],[Código Cuenta Contable]]&amp;" - "&amp;Centro_Cuenta8[[#This Row],[Nombre de Cuenta Contable]]</f>
        <v>1115050 - Demolición</v>
      </c>
      <c r="H917" s="146" t="str">
        <f>+VLOOKUP(D917,'3. Cuentas'!A:F,6,0)</f>
        <v>SI</v>
      </c>
    </row>
    <row r="918" spans="1:8" x14ac:dyDescent="0.25">
      <c r="A918" s="43">
        <v>10218204</v>
      </c>
      <c r="B918" t="s">
        <v>1020</v>
      </c>
      <c r="C918" s="43" t="s">
        <v>1624</v>
      </c>
      <c r="D918" s="43">
        <v>1115100</v>
      </c>
      <c r="E918" t="s">
        <v>292</v>
      </c>
      <c r="F918" s="47" t="str">
        <f>+Centro_Cuenta8[[#This Row],[Codigo Centro Gestion]]&amp;" - "&amp;Centro_Cuenta8[[#This Row],[Nombre Centro Gestion]]</f>
        <v>10218204 - Edificio Jose Domingo Cañas 2640-Proyecto</v>
      </c>
      <c r="G918" s="47" t="str">
        <f>+Centro_Cuenta8[[#This Row],[Código Cuenta Contable]]&amp;" - "&amp;Centro_Cuenta8[[#This Row],[Nombre de Cuenta Contable]]</f>
        <v>1115100 - Proyectos Y Especialidades</v>
      </c>
      <c r="H918" s="146" t="str">
        <f>+VLOOKUP(D918,'3. Cuentas'!A:F,6,0)</f>
        <v>SI</v>
      </c>
    </row>
    <row r="919" spans="1:8" x14ac:dyDescent="0.25">
      <c r="A919" s="43">
        <v>10218204</v>
      </c>
      <c r="B919" t="s">
        <v>1020</v>
      </c>
      <c r="C919" s="43" t="s">
        <v>1624</v>
      </c>
      <c r="D919" s="43">
        <v>1115120</v>
      </c>
      <c r="E919" t="s">
        <v>1633</v>
      </c>
      <c r="F919" s="47" t="str">
        <f>+Centro_Cuenta8[[#This Row],[Codigo Centro Gestion]]&amp;" - "&amp;Centro_Cuenta8[[#This Row],[Nombre Centro Gestion]]</f>
        <v>10218204 - Edificio Jose Domingo Cañas 2640-Proyecto</v>
      </c>
      <c r="G919" s="47" t="str">
        <f>+Centro_Cuenta8[[#This Row],[Código Cuenta Contable]]&amp;" - "&amp;Centro_Cuenta8[[#This Row],[Nombre de Cuenta Contable]]</f>
        <v>1115120 - Instalación Empalmes</v>
      </c>
      <c r="H919" s="146" t="str">
        <f>+VLOOKUP(D919,'3. Cuentas'!A:F,6,0)</f>
        <v>SI</v>
      </c>
    </row>
    <row r="920" spans="1:8" x14ac:dyDescent="0.25">
      <c r="A920" s="43">
        <v>10218204</v>
      </c>
      <c r="B920" t="s">
        <v>1020</v>
      </c>
      <c r="C920" s="43" t="s">
        <v>1624</v>
      </c>
      <c r="D920" s="43">
        <v>1115170</v>
      </c>
      <c r="E920" t="s">
        <v>293</v>
      </c>
      <c r="F920" s="47" t="str">
        <f>+Centro_Cuenta8[[#This Row],[Codigo Centro Gestion]]&amp;" - "&amp;Centro_Cuenta8[[#This Row],[Nombre Centro Gestion]]</f>
        <v>10218204 - Edificio Jose Domingo Cañas 2640-Proyecto</v>
      </c>
      <c r="G920" s="47" t="str">
        <f>+Centro_Cuenta8[[#This Row],[Código Cuenta Contable]]&amp;" - "&amp;Centro_Cuenta8[[#This Row],[Nombre de Cuenta Contable]]</f>
        <v>1115170 - Permisos Y Otros Gastos Municipales</v>
      </c>
      <c r="H920" s="146" t="str">
        <f>+VLOOKUP(D920,'3. Cuentas'!A:F,6,0)</f>
        <v>SI</v>
      </c>
    </row>
    <row r="921" spans="1:8" x14ac:dyDescent="0.25">
      <c r="A921" s="43">
        <v>10218204</v>
      </c>
      <c r="B921" t="s">
        <v>1020</v>
      </c>
      <c r="C921" s="43" t="s">
        <v>1624</v>
      </c>
      <c r="D921" s="43">
        <v>1115240</v>
      </c>
      <c r="E921" t="s">
        <v>294</v>
      </c>
      <c r="F921" s="47" t="str">
        <f>+Centro_Cuenta8[[#This Row],[Codigo Centro Gestion]]&amp;" - "&amp;Centro_Cuenta8[[#This Row],[Nombre Centro Gestion]]</f>
        <v>10218204 - Edificio Jose Domingo Cañas 2640-Proyecto</v>
      </c>
      <c r="G921" s="47" t="str">
        <f>+Centro_Cuenta8[[#This Row],[Código Cuenta Contable]]&amp;" - "&amp;Centro_Cuenta8[[#This Row],[Nombre de Cuenta Contable]]</f>
        <v>1115240 - Estudios Y Asesorias Técnicas</v>
      </c>
      <c r="H921" s="146" t="str">
        <f>+VLOOKUP(D921,'3. Cuentas'!A:F,6,0)</f>
        <v>SI</v>
      </c>
    </row>
    <row r="922" spans="1:8" x14ac:dyDescent="0.25">
      <c r="A922" s="43">
        <v>10218204</v>
      </c>
      <c r="B922" t="s">
        <v>1020</v>
      </c>
      <c r="C922" s="43" t="s">
        <v>1624</v>
      </c>
      <c r="D922" s="43">
        <v>4203090</v>
      </c>
      <c r="E922" t="s">
        <v>192</v>
      </c>
      <c r="F922" s="47" t="str">
        <f>+Centro_Cuenta8[[#This Row],[Codigo Centro Gestion]]&amp;" - "&amp;Centro_Cuenta8[[#This Row],[Nombre Centro Gestion]]</f>
        <v>10218204 - Edificio Jose Domingo Cañas 2640-Proyecto</v>
      </c>
      <c r="G922" s="47" t="str">
        <f>+Centro_Cuenta8[[#This Row],[Código Cuenta Contable]]&amp;" - "&amp;Centro_Cuenta8[[#This Row],[Nombre de Cuenta Contable]]</f>
        <v>4203090 - Gastos Legales Y Notariales Proyecto</v>
      </c>
      <c r="H922" s="146" t="str">
        <f>+VLOOKUP(D922,'3. Cuentas'!A:F,6,0)</f>
        <v>SI</v>
      </c>
    </row>
    <row r="923" spans="1:8" x14ac:dyDescent="0.25">
      <c r="A923" s="43">
        <v>10218204</v>
      </c>
      <c r="B923" t="s">
        <v>1020</v>
      </c>
      <c r="C923" s="43" t="s">
        <v>1624</v>
      </c>
      <c r="D923" s="43">
        <v>4203140</v>
      </c>
      <c r="E923" t="s">
        <v>109</v>
      </c>
      <c r="F923" s="47" t="str">
        <f>+Centro_Cuenta8[[#This Row],[Codigo Centro Gestion]]&amp;" - "&amp;Centro_Cuenta8[[#This Row],[Nombre Centro Gestion]]</f>
        <v>10218204 - Edificio Jose Domingo Cañas 2640-Proyecto</v>
      </c>
      <c r="G923" s="47" t="str">
        <f>+Centro_Cuenta8[[#This Row],[Código Cuenta Contable]]&amp;" - "&amp;Centro_Cuenta8[[#This Row],[Nombre de Cuenta Contable]]</f>
        <v>4203140 - Contribuciones</v>
      </c>
      <c r="H923" s="146" t="str">
        <f>+VLOOKUP(D923,'3. Cuentas'!A:F,6,0)</f>
        <v>SI</v>
      </c>
    </row>
    <row r="924" spans="1:8" x14ac:dyDescent="0.25">
      <c r="A924" s="43">
        <v>10218204</v>
      </c>
      <c r="B924" t="s">
        <v>1020</v>
      </c>
      <c r="C924" s="43" t="s">
        <v>1624</v>
      </c>
      <c r="D924" s="43">
        <v>4203150</v>
      </c>
      <c r="E924" t="s">
        <v>156</v>
      </c>
      <c r="F924" s="47" t="str">
        <f>+Centro_Cuenta8[[#This Row],[Codigo Centro Gestion]]&amp;" - "&amp;Centro_Cuenta8[[#This Row],[Nombre Centro Gestion]]</f>
        <v>10218204 - Edificio Jose Domingo Cañas 2640-Proyecto</v>
      </c>
      <c r="G924" s="47" t="str">
        <f>+Centro_Cuenta8[[#This Row],[Código Cuenta Contable]]&amp;" - "&amp;Centro_Cuenta8[[#This Row],[Nombre de Cuenta Contable]]</f>
        <v>4203150 - Gastos CBR</v>
      </c>
      <c r="H924" s="146" t="str">
        <f>+VLOOKUP(D924,'3. Cuentas'!A:F,6,0)</f>
        <v>SI</v>
      </c>
    </row>
    <row r="925" spans="1:8" x14ac:dyDescent="0.25">
      <c r="A925" s="43">
        <v>10218204</v>
      </c>
      <c r="B925" t="s">
        <v>1020</v>
      </c>
      <c r="C925" s="43" t="s">
        <v>1624</v>
      </c>
      <c r="D925" s="43">
        <v>4203160</v>
      </c>
      <c r="E925" t="s">
        <v>1639</v>
      </c>
      <c r="F925" s="47" t="str">
        <f>+Centro_Cuenta8[[#This Row],[Codigo Centro Gestion]]&amp;" - "&amp;Centro_Cuenta8[[#This Row],[Nombre Centro Gestion]]</f>
        <v>10218204 - Edificio Jose Domingo Cañas 2640-Proyecto</v>
      </c>
      <c r="G925" s="47" t="str">
        <f>+Centro_Cuenta8[[#This Row],[Código Cuenta Contable]]&amp;" - "&amp;Centro_Cuenta8[[#This Row],[Nombre de Cuenta Contable]]</f>
        <v>4203160 - PAPELERIA Y FOTOCOPIADO</v>
      </c>
      <c r="H925" s="146" t="str">
        <f>+VLOOKUP(D925,'3. Cuentas'!A:F,6,0)</f>
        <v>SI</v>
      </c>
    </row>
    <row r="926" spans="1:8" x14ac:dyDescent="0.25">
      <c r="A926" s="43">
        <v>10218204</v>
      </c>
      <c r="B926" t="s">
        <v>1020</v>
      </c>
      <c r="C926" s="43" t="s">
        <v>1624</v>
      </c>
      <c r="D926" s="43">
        <v>4203180</v>
      </c>
      <c r="E926" t="s">
        <v>1640</v>
      </c>
      <c r="F926" s="47" t="str">
        <f>+Centro_Cuenta8[[#This Row],[Codigo Centro Gestion]]&amp;" - "&amp;Centro_Cuenta8[[#This Row],[Nombre Centro Gestion]]</f>
        <v>10218204 - Edificio Jose Domingo Cañas 2640-Proyecto</v>
      </c>
      <c r="G926" s="47" t="str">
        <f>+Centro_Cuenta8[[#This Row],[Código Cuenta Contable]]&amp;" - "&amp;Centro_Cuenta8[[#This Row],[Nombre de Cuenta Contable]]</f>
        <v>4203180 - Otros Gastos y Aseso Proy</v>
      </c>
      <c r="H926" s="146" t="str">
        <f>+VLOOKUP(D926,'3. Cuentas'!A:F,6,0)</f>
        <v>SI</v>
      </c>
    </row>
    <row r="927" spans="1:8" x14ac:dyDescent="0.25">
      <c r="A927" s="43">
        <v>10218301</v>
      </c>
      <c r="B927" t="s">
        <v>1021</v>
      </c>
      <c r="C927" s="43" t="s">
        <v>1643</v>
      </c>
      <c r="D927" s="43">
        <v>4203090</v>
      </c>
      <c r="E927" t="s">
        <v>192</v>
      </c>
      <c r="F927" s="47" t="str">
        <f>+Centro_Cuenta8[[#This Row],[Codigo Centro Gestion]]&amp;" - "&amp;Centro_Cuenta8[[#This Row],[Nombre Centro Gestion]]</f>
        <v>10218301 - Edificio Jose Domingo Cañas 2640-GAF</v>
      </c>
      <c r="G927" s="47" t="str">
        <f>+Centro_Cuenta8[[#This Row],[Código Cuenta Contable]]&amp;" - "&amp;Centro_Cuenta8[[#This Row],[Nombre de Cuenta Contable]]</f>
        <v>4203090 - Gastos Legales Y Notariales Proyecto</v>
      </c>
      <c r="H927" s="146" t="str">
        <f>+VLOOKUP(D927,'3. Cuentas'!A:F,6,0)</f>
        <v>SI</v>
      </c>
    </row>
    <row r="928" spans="1:8" x14ac:dyDescent="0.25">
      <c r="A928" s="43">
        <v>10218301</v>
      </c>
      <c r="B928" t="s">
        <v>1021</v>
      </c>
      <c r="C928" s="43" t="s">
        <v>1643</v>
      </c>
      <c r="D928" s="43">
        <v>4203140</v>
      </c>
      <c r="E928" t="s">
        <v>109</v>
      </c>
      <c r="F928" s="47" t="str">
        <f>+Centro_Cuenta8[[#This Row],[Codigo Centro Gestion]]&amp;" - "&amp;Centro_Cuenta8[[#This Row],[Nombre Centro Gestion]]</f>
        <v>10218301 - Edificio Jose Domingo Cañas 2640-GAF</v>
      </c>
      <c r="G928" s="47" t="str">
        <f>+Centro_Cuenta8[[#This Row],[Código Cuenta Contable]]&amp;" - "&amp;Centro_Cuenta8[[#This Row],[Nombre de Cuenta Contable]]</f>
        <v>4203140 - Contribuciones</v>
      </c>
      <c r="H928" s="146" t="str">
        <f>+VLOOKUP(D928,'3. Cuentas'!A:F,6,0)</f>
        <v>SI</v>
      </c>
    </row>
    <row r="929" spans="1:8" x14ac:dyDescent="0.25">
      <c r="A929" s="43">
        <v>10218506</v>
      </c>
      <c r="B929" t="s">
        <v>1023</v>
      </c>
      <c r="C929" s="43" t="s">
        <v>200</v>
      </c>
      <c r="D929" s="43">
        <v>1115100</v>
      </c>
      <c r="E929" t="s">
        <v>292</v>
      </c>
      <c r="F929" s="47" t="str">
        <f>+Centro_Cuenta8[[#This Row],[Codigo Centro Gestion]]&amp;" - "&amp;Centro_Cuenta8[[#This Row],[Nombre Centro Gestion]]</f>
        <v>10218506 - Edificio Jose Domingo Cañas 2640-Depto.Técnico</v>
      </c>
      <c r="G929" s="47" t="str">
        <f>+Centro_Cuenta8[[#This Row],[Código Cuenta Contable]]&amp;" - "&amp;Centro_Cuenta8[[#This Row],[Nombre de Cuenta Contable]]</f>
        <v>1115100 - Proyectos Y Especialidades</v>
      </c>
      <c r="H929" s="146" t="str">
        <f>+VLOOKUP(D929,'3. Cuentas'!A:F,6,0)</f>
        <v>SI</v>
      </c>
    </row>
    <row r="930" spans="1:8" x14ac:dyDescent="0.25">
      <c r="A930" s="43">
        <v>10219102</v>
      </c>
      <c r="B930" t="s">
        <v>1024</v>
      </c>
      <c r="C930" s="43" t="s">
        <v>1617</v>
      </c>
      <c r="D930" s="43">
        <v>4204010</v>
      </c>
      <c r="E930" t="s">
        <v>313</v>
      </c>
      <c r="F930" s="47" t="str">
        <f>+Centro_Cuenta8[[#This Row],[Codigo Centro Gestion]]&amp;" - "&amp;Centro_Cuenta8[[#This Row],[Nombre Centro Gestion]]</f>
        <v>10219102 - Edificio Teresa Vial-Marketing</v>
      </c>
      <c r="G930" s="47" t="str">
        <f>+Centro_Cuenta8[[#This Row],[Código Cuenta Contable]]&amp;" - "&amp;Centro_Cuenta8[[#This Row],[Nombre de Cuenta Contable]]</f>
        <v>4204010 - Publicidad Punto Venta</v>
      </c>
      <c r="H930" s="146" t="str">
        <f>+VLOOKUP(D930,'3. Cuentas'!A:F,6,0)</f>
        <v>SI</v>
      </c>
    </row>
    <row r="931" spans="1:8" x14ac:dyDescent="0.25">
      <c r="A931" s="43">
        <v>10219102</v>
      </c>
      <c r="B931" t="s">
        <v>1024</v>
      </c>
      <c r="C931" s="43" t="s">
        <v>1617</v>
      </c>
      <c r="D931" s="43">
        <v>4204021</v>
      </c>
      <c r="E931" t="s">
        <v>329</v>
      </c>
      <c r="F931" s="47" t="str">
        <f>+Centro_Cuenta8[[#This Row],[Codigo Centro Gestion]]&amp;" - "&amp;Centro_Cuenta8[[#This Row],[Nombre Centro Gestion]]</f>
        <v>10219102 - Edificio Teresa Vial-Marketing</v>
      </c>
      <c r="G931" s="47" t="str">
        <f>+Centro_Cuenta8[[#This Row],[Código Cuenta Contable]]&amp;" - "&amp;Centro_Cuenta8[[#This Row],[Nombre de Cuenta Contable]]</f>
        <v>4204021 - Publicidad Ferias Y Eventos</v>
      </c>
      <c r="H931" s="146" t="str">
        <f>+VLOOKUP(D931,'3. Cuentas'!A:F,6,0)</f>
        <v>SI</v>
      </c>
    </row>
    <row r="932" spans="1:8" x14ac:dyDescent="0.25">
      <c r="A932" s="43">
        <v>10219103</v>
      </c>
      <c r="B932" t="s">
        <v>1025</v>
      </c>
      <c r="C932" s="43" t="s">
        <v>1618</v>
      </c>
      <c r="D932" s="43">
        <v>4203060</v>
      </c>
      <c r="E932" t="s">
        <v>321</v>
      </c>
      <c r="F932" s="47" t="str">
        <f>+Centro_Cuenta8[[#This Row],[Codigo Centro Gestion]]&amp;" - "&amp;Centro_Cuenta8[[#This Row],[Nombre Centro Gestion]]</f>
        <v>10219103 - Edificio Teresa Vial-Operaciones</v>
      </c>
      <c r="G932" s="47" t="str">
        <f>+Centro_Cuenta8[[#This Row],[Código Cuenta Contable]]&amp;" - "&amp;Centro_Cuenta8[[#This Row],[Nombre de Cuenta Contable]]</f>
        <v>4203060 - Gastos Operacionales De Clientes</v>
      </c>
      <c r="H932" s="146" t="str">
        <f>+VLOOKUP(D932,'3. Cuentas'!A:F,6,0)</f>
        <v>SI</v>
      </c>
    </row>
    <row r="933" spans="1:8" x14ac:dyDescent="0.25">
      <c r="A933" s="43">
        <v>10219103</v>
      </c>
      <c r="B933" t="s">
        <v>1025</v>
      </c>
      <c r="C933" s="43" t="s">
        <v>1618</v>
      </c>
      <c r="D933" s="43">
        <v>4203090</v>
      </c>
      <c r="E933" t="s">
        <v>192</v>
      </c>
      <c r="F933" s="47" t="str">
        <f>+Centro_Cuenta8[[#This Row],[Codigo Centro Gestion]]&amp;" - "&amp;Centro_Cuenta8[[#This Row],[Nombre Centro Gestion]]</f>
        <v>10219103 - Edificio Teresa Vial-Operaciones</v>
      </c>
      <c r="G933" s="47" t="str">
        <f>+Centro_Cuenta8[[#This Row],[Código Cuenta Contable]]&amp;" - "&amp;Centro_Cuenta8[[#This Row],[Nombre de Cuenta Contable]]</f>
        <v>4203090 - Gastos Legales Y Notariales Proyecto</v>
      </c>
      <c r="H933" s="146" t="str">
        <f>+VLOOKUP(D933,'3. Cuentas'!A:F,6,0)</f>
        <v>SI</v>
      </c>
    </row>
    <row r="934" spans="1:8" x14ac:dyDescent="0.25">
      <c r="A934" s="43">
        <v>10219104</v>
      </c>
      <c r="B934" t="s">
        <v>1026</v>
      </c>
      <c r="C934" s="43" t="s">
        <v>90</v>
      </c>
      <c r="D934" s="43">
        <v>1110040</v>
      </c>
      <c r="E934" t="s">
        <v>1505</v>
      </c>
      <c r="F934" s="47" t="str">
        <f>+Centro_Cuenta8[[#This Row],[Codigo Centro Gestion]]&amp;" - "&amp;Centro_Cuenta8[[#This Row],[Nombre Centro Gestion]]</f>
        <v>10219104 - Edificio Teresa Vial-Ventas</v>
      </c>
      <c r="G934" s="47" t="str">
        <f>+Centro_Cuenta8[[#This Row],[Código Cuenta Contable]]&amp;" - "&amp;Centro_Cuenta8[[#This Row],[Nombre de Cuenta Contable]]</f>
        <v>1110040 - Garantía Pagadas</v>
      </c>
      <c r="H934" s="146" t="str">
        <f>+VLOOKUP(D934,'3. Cuentas'!A:F,6,0)</f>
        <v>SI</v>
      </c>
    </row>
    <row r="935" spans="1:8" x14ac:dyDescent="0.25">
      <c r="A935" s="43">
        <v>10219104</v>
      </c>
      <c r="B935" t="s">
        <v>1026</v>
      </c>
      <c r="C935" s="43" t="s">
        <v>90</v>
      </c>
      <c r="D935" s="43">
        <v>4202003</v>
      </c>
      <c r="E935" t="s">
        <v>106</v>
      </c>
      <c r="F935" s="47" t="str">
        <f>+Centro_Cuenta8[[#This Row],[Codigo Centro Gestion]]&amp;" - "&amp;Centro_Cuenta8[[#This Row],[Nombre Centro Gestion]]</f>
        <v>10219104 - Edificio Teresa Vial-Ventas</v>
      </c>
      <c r="G935" s="47" t="str">
        <f>+Centro_Cuenta8[[#This Row],[Código Cuenta Contable]]&amp;" - "&amp;Centro_Cuenta8[[#This Row],[Nombre de Cuenta Contable]]</f>
        <v>4202003 - Serv.Basic.Luz.Agua.Tel Of.C</v>
      </c>
      <c r="H935" s="146" t="str">
        <f>+VLOOKUP(D935,'3. Cuentas'!A:F,6,0)</f>
        <v>SI</v>
      </c>
    </row>
    <row r="936" spans="1:8" x14ac:dyDescent="0.25">
      <c r="A936" s="43">
        <v>10219104</v>
      </c>
      <c r="B936" t="s">
        <v>1026</v>
      </c>
      <c r="C936" s="43" t="s">
        <v>90</v>
      </c>
      <c r="D936" s="43">
        <v>4202010</v>
      </c>
      <c r="E936" t="s">
        <v>87</v>
      </c>
      <c r="F936" s="47" t="str">
        <f>+Centro_Cuenta8[[#This Row],[Codigo Centro Gestion]]&amp;" - "&amp;Centro_Cuenta8[[#This Row],[Nombre Centro Gestion]]</f>
        <v>10219104 - Edificio Teresa Vial-Ventas</v>
      </c>
      <c r="G936" s="47" t="str">
        <f>+Centro_Cuenta8[[#This Row],[Código Cuenta Contable]]&amp;" - "&amp;Centro_Cuenta8[[#This Row],[Nombre de Cuenta Contable]]</f>
        <v>4202010 - Artic. Ofic. Fotocop.Papelería</v>
      </c>
      <c r="H936" s="146" t="str">
        <f>+VLOOKUP(D936,'3. Cuentas'!A:F,6,0)</f>
        <v>SI</v>
      </c>
    </row>
    <row r="937" spans="1:8" x14ac:dyDescent="0.25">
      <c r="A937" s="43">
        <v>10219104</v>
      </c>
      <c r="B937" t="s">
        <v>1026</v>
      </c>
      <c r="C937" s="43" t="s">
        <v>90</v>
      </c>
      <c r="D937" s="43">
        <v>4202019</v>
      </c>
      <c r="E937" t="s">
        <v>81</v>
      </c>
      <c r="F937" s="47" t="str">
        <f>+Centro_Cuenta8[[#This Row],[Codigo Centro Gestion]]&amp;" - "&amp;Centro_Cuenta8[[#This Row],[Nombre Centro Gestion]]</f>
        <v>10219104 - Edificio Teresa Vial-Ventas</v>
      </c>
      <c r="G937" s="47" t="str">
        <f>+Centro_Cuenta8[[#This Row],[Código Cuenta Contable]]&amp;" - "&amp;Centro_Cuenta8[[#This Row],[Nombre de Cuenta Contable]]</f>
        <v>4202019 - Gasto General Oficina</v>
      </c>
      <c r="H937" s="146" t="str">
        <f>+VLOOKUP(D937,'3. Cuentas'!A:F,6,0)</f>
        <v>SI</v>
      </c>
    </row>
    <row r="938" spans="1:8" x14ac:dyDescent="0.25">
      <c r="A938" s="43">
        <v>10219104</v>
      </c>
      <c r="B938" t="s">
        <v>1026</v>
      </c>
      <c r="C938" s="43" t="s">
        <v>90</v>
      </c>
      <c r="D938" s="43">
        <v>4202023</v>
      </c>
      <c r="E938" t="s">
        <v>82</v>
      </c>
      <c r="F938" s="47" t="str">
        <f>+Centro_Cuenta8[[#This Row],[Codigo Centro Gestion]]&amp;" - "&amp;Centro_Cuenta8[[#This Row],[Nombre Centro Gestion]]</f>
        <v>10219104 - Edificio Teresa Vial-Ventas</v>
      </c>
      <c r="G938" s="47" t="str">
        <f>+Centro_Cuenta8[[#This Row],[Código Cuenta Contable]]&amp;" - "&amp;Centro_Cuenta8[[#This Row],[Nombre de Cuenta Contable]]</f>
        <v>4202023 - Honorarios Por Asesorías</v>
      </c>
      <c r="H938" s="146" t="str">
        <f>+VLOOKUP(D938,'3. Cuentas'!A:F,6,0)</f>
        <v>SI</v>
      </c>
    </row>
    <row r="939" spans="1:8" x14ac:dyDescent="0.25">
      <c r="A939" s="43">
        <v>10219104</v>
      </c>
      <c r="B939" t="s">
        <v>1026</v>
      </c>
      <c r="C939" s="43" t="s">
        <v>90</v>
      </c>
      <c r="D939" s="43">
        <v>4202029</v>
      </c>
      <c r="E939" t="s">
        <v>83</v>
      </c>
      <c r="F939" s="47" t="str">
        <f>+Centro_Cuenta8[[#This Row],[Codigo Centro Gestion]]&amp;" - "&amp;Centro_Cuenta8[[#This Row],[Nombre Centro Gestion]]</f>
        <v>10219104 - Edificio Teresa Vial-Ventas</v>
      </c>
      <c r="G939" s="47" t="str">
        <f>+Centro_Cuenta8[[#This Row],[Código Cuenta Contable]]&amp;" - "&amp;Centro_Cuenta8[[#This Row],[Nombre de Cuenta Contable]]</f>
        <v>4202029 - Insumos Y Gastos Informáticos</v>
      </c>
      <c r="H939" s="146" t="str">
        <f>+VLOOKUP(D939,'3. Cuentas'!A:F,6,0)</f>
        <v>SI</v>
      </c>
    </row>
    <row r="940" spans="1:8" x14ac:dyDescent="0.25">
      <c r="A940" s="43">
        <v>10219104</v>
      </c>
      <c r="B940" t="s">
        <v>1026</v>
      </c>
      <c r="C940" s="43" t="s">
        <v>90</v>
      </c>
      <c r="D940" s="43">
        <v>4204021</v>
      </c>
      <c r="E940" t="s">
        <v>329</v>
      </c>
      <c r="F940" s="47" t="str">
        <f>+Centro_Cuenta8[[#This Row],[Codigo Centro Gestion]]&amp;" - "&amp;Centro_Cuenta8[[#This Row],[Nombre Centro Gestion]]</f>
        <v>10219104 - Edificio Teresa Vial-Ventas</v>
      </c>
      <c r="G940" s="47" t="str">
        <f>+Centro_Cuenta8[[#This Row],[Código Cuenta Contable]]&amp;" - "&amp;Centro_Cuenta8[[#This Row],[Nombre de Cuenta Contable]]</f>
        <v>4204021 - Publicidad Ferias Y Eventos</v>
      </c>
      <c r="H940" s="146" t="str">
        <f>+VLOOKUP(D940,'3. Cuentas'!A:F,6,0)</f>
        <v>SI</v>
      </c>
    </row>
    <row r="941" spans="1:8" x14ac:dyDescent="0.25">
      <c r="A941" s="43">
        <v>10219105</v>
      </c>
      <c r="B941" t="s">
        <v>1027</v>
      </c>
      <c r="C941" s="43" t="s">
        <v>1622</v>
      </c>
      <c r="D941" s="43">
        <v>4203020</v>
      </c>
      <c r="E941" t="s">
        <v>295</v>
      </c>
      <c r="F941" s="47" t="str">
        <f>+Centro_Cuenta8[[#This Row],[Codigo Centro Gestion]]&amp;" - "&amp;Centro_Cuenta8[[#This Row],[Nombre Centro Gestion]]</f>
        <v>10219105 - Edificio Teresa Vial-Clientes</v>
      </c>
      <c r="G941" s="47" t="str">
        <f>+Centro_Cuenta8[[#This Row],[Código Cuenta Contable]]&amp;" - "&amp;Centro_Cuenta8[[#This Row],[Nombre de Cuenta Contable]]</f>
        <v>4203020 - Mant. y Consum. Viv Stock</v>
      </c>
      <c r="H941" s="146" t="str">
        <f>+VLOOKUP(D941,'3. Cuentas'!A:F,6,0)</f>
        <v>SI</v>
      </c>
    </row>
    <row r="942" spans="1:8" x14ac:dyDescent="0.25">
      <c r="A942" s="43">
        <v>10219105</v>
      </c>
      <c r="B942" t="s">
        <v>1027</v>
      </c>
      <c r="C942" s="43" t="s">
        <v>1622</v>
      </c>
      <c r="D942" s="43">
        <v>4203120</v>
      </c>
      <c r="E942" t="s">
        <v>108</v>
      </c>
      <c r="F942" s="47" t="str">
        <f>+Centro_Cuenta8[[#This Row],[Codigo Centro Gestion]]&amp;" - "&amp;Centro_Cuenta8[[#This Row],[Nombre Centro Gestion]]</f>
        <v>10219105 - Edificio Teresa Vial-Clientes</v>
      </c>
      <c r="G942" s="47" t="str">
        <f>+Centro_Cuenta8[[#This Row],[Código Cuenta Contable]]&amp;" - "&amp;Centro_Cuenta8[[#This Row],[Nombre de Cuenta Contable]]</f>
        <v>4203120 - Gastos Comunes</v>
      </c>
      <c r="H942" s="146" t="str">
        <f>+VLOOKUP(D942,'3. Cuentas'!A:F,6,0)</f>
        <v>SI</v>
      </c>
    </row>
    <row r="943" spans="1:8" x14ac:dyDescent="0.25">
      <c r="A943" s="43">
        <v>10219105</v>
      </c>
      <c r="B943" t="s">
        <v>1027</v>
      </c>
      <c r="C943" s="43" t="s">
        <v>1622</v>
      </c>
      <c r="D943" s="43">
        <v>4203140</v>
      </c>
      <c r="E943" t="s">
        <v>109</v>
      </c>
      <c r="F943" s="47" t="str">
        <f>+Centro_Cuenta8[[#This Row],[Codigo Centro Gestion]]&amp;" - "&amp;Centro_Cuenta8[[#This Row],[Nombre Centro Gestion]]</f>
        <v>10219105 - Edificio Teresa Vial-Clientes</v>
      </c>
      <c r="G943" s="47" t="str">
        <f>+Centro_Cuenta8[[#This Row],[Código Cuenta Contable]]&amp;" - "&amp;Centro_Cuenta8[[#This Row],[Nombre de Cuenta Contable]]</f>
        <v>4203140 - Contribuciones</v>
      </c>
      <c r="H943" s="146" t="str">
        <f>+VLOOKUP(D943,'3. Cuentas'!A:F,6,0)</f>
        <v>SI</v>
      </c>
    </row>
    <row r="944" spans="1:8" x14ac:dyDescent="0.25">
      <c r="A944" s="43">
        <v>10219204</v>
      </c>
      <c r="B944" t="s">
        <v>1028</v>
      </c>
      <c r="C944" s="43" t="s">
        <v>1624</v>
      </c>
      <c r="D944" s="43">
        <v>1103045</v>
      </c>
      <c r="E944" t="s">
        <v>323</v>
      </c>
      <c r="F944" s="47" t="str">
        <f>+Centro_Cuenta8[[#This Row],[Codigo Centro Gestion]]&amp;" - "&amp;Centro_Cuenta8[[#This Row],[Nombre Centro Gestion]]</f>
        <v>10219204 - Edificio Teresa Vial-Proyecto</v>
      </c>
      <c r="G944" s="47" t="str">
        <f>+Centro_Cuenta8[[#This Row],[Código Cuenta Contable]]&amp;" - "&amp;Centro_Cuenta8[[#This Row],[Nombre de Cuenta Contable]]</f>
        <v>1103045 - Aportes reembolsables (electricidad y agua)</v>
      </c>
      <c r="H944" s="146" t="str">
        <f>+VLOOKUP(D944,'3. Cuentas'!A:F,6,0)</f>
        <v>SI</v>
      </c>
    </row>
    <row r="945" spans="1:8" x14ac:dyDescent="0.25">
      <c r="A945" s="43">
        <v>10219204</v>
      </c>
      <c r="B945" t="s">
        <v>1028</v>
      </c>
      <c r="C945" s="43" t="s">
        <v>1624</v>
      </c>
      <c r="D945" s="43">
        <v>1109020</v>
      </c>
      <c r="E945" t="s">
        <v>302</v>
      </c>
      <c r="F945" s="47" t="str">
        <f>+Centro_Cuenta8[[#This Row],[Codigo Centro Gestion]]&amp;" - "&amp;Centro_Cuenta8[[#This Row],[Nombre Centro Gestion]]</f>
        <v>10219204 - Edificio Teresa Vial-Proyecto</v>
      </c>
      <c r="G945" s="47" t="str">
        <f>+Centro_Cuenta8[[#This Row],[Código Cuenta Contable]]&amp;" - "&amp;Centro_Cuenta8[[#This Row],[Nombre de Cuenta Contable]]</f>
        <v>1109020 - Mobiliario</v>
      </c>
      <c r="H945" s="146" t="str">
        <f>+VLOOKUP(D945,'3. Cuentas'!A:F,6,0)</f>
        <v>SI</v>
      </c>
    </row>
    <row r="946" spans="1:8" x14ac:dyDescent="0.25">
      <c r="A946" s="43">
        <v>10219204</v>
      </c>
      <c r="B946" t="s">
        <v>1028</v>
      </c>
      <c r="C946" s="43" t="s">
        <v>1624</v>
      </c>
      <c r="D946" s="43">
        <v>1110040</v>
      </c>
      <c r="E946" t="s">
        <v>1505</v>
      </c>
      <c r="F946" s="47" t="str">
        <f>+Centro_Cuenta8[[#This Row],[Codigo Centro Gestion]]&amp;" - "&amp;Centro_Cuenta8[[#This Row],[Nombre Centro Gestion]]</f>
        <v>10219204 - Edificio Teresa Vial-Proyecto</v>
      </c>
      <c r="G946" s="47" t="str">
        <f>+Centro_Cuenta8[[#This Row],[Código Cuenta Contable]]&amp;" - "&amp;Centro_Cuenta8[[#This Row],[Nombre de Cuenta Contable]]</f>
        <v>1110040 - Garantía Pagadas</v>
      </c>
      <c r="H946" s="146" t="str">
        <f>+VLOOKUP(D946,'3. Cuentas'!A:F,6,0)</f>
        <v>SI</v>
      </c>
    </row>
    <row r="947" spans="1:8" x14ac:dyDescent="0.25">
      <c r="A947" s="43">
        <v>10219204</v>
      </c>
      <c r="B947" t="s">
        <v>1028</v>
      </c>
      <c r="C947" s="43" t="s">
        <v>1624</v>
      </c>
      <c r="D947" s="43">
        <v>1115040</v>
      </c>
      <c r="E947" t="s">
        <v>291</v>
      </c>
      <c r="F947" s="47" t="str">
        <f>+Centro_Cuenta8[[#This Row],[Codigo Centro Gestion]]&amp;" - "&amp;Centro_Cuenta8[[#This Row],[Nombre Centro Gestion]]</f>
        <v>10219204 - Edificio Teresa Vial-Proyecto</v>
      </c>
      <c r="G947" s="47" t="str">
        <f>+Centro_Cuenta8[[#This Row],[Código Cuenta Contable]]&amp;" - "&amp;Centro_Cuenta8[[#This Row],[Nombre de Cuenta Contable]]</f>
        <v>1115040 - Saneamiento De Terreno</v>
      </c>
      <c r="H947" s="146" t="str">
        <f>+VLOOKUP(D947,'3. Cuentas'!A:F,6,0)</f>
        <v>SI</v>
      </c>
    </row>
    <row r="948" spans="1:8" x14ac:dyDescent="0.25">
      <c r="A948" s="43">
        <v>10219204</v>
      </c>
      <c r="B948" t="s">
        <v>1028</v>
      </c>
      <c r="C948" s="43" t="s">
        <v>1624</v>
      </c>
      <c r="D948" s="43">
        <v>1115050</v>
      </c>
      <c r="E948" t="s">
        <v>1628</v>
      </c>
      <c r="F948" s="47" t="str">
        <f>+Centro_Cuenta8[[#This Row],[Codigo Centro Gestion]]&amp;" - "&amp;Centro_Cuenta8[[#This Row],[Nombre Centro Gestion]]</f>
        <v>10219204 - Edificio Teresa Vial-Proyecto</v>
      </c>
      <c r="G948" s="47" t="str">
        <f>+Centro_Cuenta8[[#This Row],[Código Cuenta Contable]]&amp;" - "&amp;Centro_Cuenta8[[#This Row],[Nombre de Cuenta Contable]]</f>
        <v>1115050 - Demolición</v>
      </c>
      <c r="H948" s="146" t="str">
        <f>+VLOOKUP(D948,'3. Cuentas'!A:F,6,0)</f>
        <v>SI</v>
      </c>
    </row>
    <row r="949" spans="1:8" x14ac:dyDescent="0.25">
      <c r="A949" s="43">
        <v>10219204</v>
      </c>
      <c r="B949" t="s">
        <v>1028</v>
      </c>
      <c r="C949" s="43" t="s">
        <v>1624</v>
      </c>
      <c r="D949" s="43">
        <v>1115100</v>
      </c>
      <c r="E949" t="s">
        <v>292</v>
      </c>
      <c r="F949" s="47" t="str">
        <f>+Centro_Cuenta8[[#This Row],[Codigo Centro Gestion]]&amp;" - "&amp;Centro_Cuenta8[[#This Row],[Nombre Centro Gestion]]</f>
        <v>10219204 - Edificio Teresa Vial-Proyecto</v>
      </c>
      <c r="G949" s="47" t="str">
        <f>+Centro_Cuenta8[[#This Row],[Código Cuenta Contable]]&amp;" - "&amp;Centro_Cuenta8[[#This Row],[Nombre de Cuenta Contable]]</f>
        <v>1115100 - Proyectos Y Especialidades</v>
      </c>
      <c r="H949" s="146" t="str">
        <f>+VLOOKUP(D949,'3. Cuentas'!A:F,6,0)</f>
        <v>SI</v>
      </c>
    </row>
    <row r="950" spans="1:8" x14ac:dyDescent="0.25">
      <c r="A950" s="43">
        <v>10219204</v>
      </c>
      <c r="B950" t="s">
        <v>1028</v>
      </c>
      <c r="C950" s="43" t="s">
        <v>1624</v>
      </c>
      <c r="D950" s="43">
        <v>1115120</v>
      </c>
      <c r="E950" t="s">
        <v>1633</v>
      </c>
      <c r="F950" s="47" t="str">
        <f>+Centro_Cuenta8[[#This Row],[Codigo Centro Gestion]]&amp;" - "&amp;Centro_Cuenta8[[#This Row],[Nombre Centro Gestion]]</f>
        <v>10219204 - Edificio Teresa Vial-Proyecto</v>
      </c>
      <c r="G950" s="47" t="str">
        <f>+Centro_Cuenta8[[#This Row],[Código Cuenta Contable]]&amp;" - "&amp;Centro_Cuenta8[[#This Row],[Nombre de Cuenta Contable]]</f>
        <v>1115120 - Instalación Empalmes</v>
      </c>
      <c r="H950" s="146" t="str">
        <f>+VLOOKUP(D950,'3. Cuentas'!A:F,6,0)</f>
        <v>SI</v>
      </c>
    </row>
    <row r="951" spans="1:8" x14ac:dyDescent="0.25">
      <c r="A951" s="43">
        <v>10219204</v>
      </c>
      <c r="B951" t="s">
        <v>1028</v>
      </c>
      <c r="C951" s="43" t="s">
        <v>1624</v>
      </c>
      <c r="D951" s="43">
        <v>1115170</v>
      </c>
      <c r="E951" t="s">
        <v>293</v>
      </c>
      <c r="F951" s="47" t="str">
        <f>+Centro_Cuenta8[[#This Row],[Codigo Centro Gestion]]&amp;" - "&amp;Centro_Cuenta8[[#This Row],[Nombre Centro Gestion]]</f>
        <v>10219204 - Edificio Teresa Vial-Proyecto</v>
      </c>
      <c r="G951" s="47" t="str">
        <f>+Centro_Cuenta8[[#This Row],[Código Cuenta Contable]]&amp;" - "&amp;Centro_Cuenta8[[#This Row],[Nombre de Cuenta Contable]]</f>
        <v>1115170 - Permisos Y Otros Gastos Municipales</v>
      </c>
      <c r="H951" s="146" t="str">
        <f>+VLOOKUP(D951,'3. Cuentas'!A:F,6,0)</f>
        <v>SI</v>
      </c>
    </row>
    <row r="952" spans="1:8" x14ac:dyDescent="0.25">
      <c r="A952" s="43">
        <v>10219204</v>
      </c>
      <c r="B952" t="s">
        <v>1028</v>
      </c>
      <c r="C952" s="43" t="s">
        <v>1624</v>
      </c>
      <c r="D952" s="43">
        <v>1115240</v>
      </c>
      <c r="E952" t="s">
        <v>294</v>
      </c>
      <c r="F952" s="47" t="str">
        <f>+Centro_Cuenta8[[#This Row],[Codigo Centro Gestion]]&amp;" - "&amp;Centro_Cuenta8[[#This Row],[Nombre Centro Gestion]]</f>
        <v>10219204 - Edificio Teresa Vial-Proyecto</v>
      </c>
      <c r="G952" s="47" t="str">
        <f>+Centro_Cuenta8[[#This Row],[Código Cuenta Contable]]&amp;" - "&amp;Centro_Cuenta8[[#This Row],[Nombre de Cuenta Contable]]</f>
        <v>1115240 - Estudios Y Asesorias Técnicas</v>
      </c>
      <c r="H952" s="146" t="str">
        <f>+VLOOKUP(D952,'3. Cuentas'!A:F,6,0)</f>
        <v>SI</v>
      </c>
    </row>
    <row r="953" spans="1:8" x14ac:dyDescent="0.25">
      <c r="A953" s="43">
        <v>10219204</v>
      </c>
      <c r="B953" t="s">
        <v>1028</v>
      </c>
      <c r="C953" s="43" t="s">
        <v>1624</v>
      </c>
      <c r="D953" s="43">
        <v>4203090</v>
      </c>
      <c r="E953" t="s">
        <v>192</v>
      </c>
      <c r="F953" s="47" t="str">
        <f>+Centro_Cuenta8[[#This Row],[Codigo Centro Gestion]]&amp;" - "&amp;Centro_Cuenta8[[#This Row],[Nombre Centro Gestion]]</f>
        <v>10219204 - Edificio Teresa Vial-Proyecto</v>
      </c>
      <c r="G953" s="47" t="str">
        <f>+Centro_Cuenta8[[#This Row],[Código Cuenta Contable]]&amp;" - "&amp;Centro_Cuenta8[[#This Row],[Nombre de Cuenta Contable]]</f>
        <v>4203090 - Gastos Legales Y Notariales Proyecto</v>
      </c>
      <c r="H953" s="146" t="str">
        <f>+VLOOKUP(D953,'3. Cuentas'!A:F,6,0)</f>
        <v>SI</v>
      </c>
    </row>
    <row r="954" spans="1:8" x14ac:dyDescent="0.25">
      <c r="A954" s="43">
        <v>10219204</v>
      </c>
      <c r="B954" t="s">
        <v>1028</v>
      </c>
      <c r="C954" s="43" t="s">
        <v>1624</v>
      </c>
      <c r="D954" s="43">
        <v>4203140</v>
      </c>
      <c r="E954" t="s">
        <v>109</v>
      </c>
      <c r="F954" s="47" t="str">
        <f>+Centro_Cuenta8[[#This Row],[Codigo Centro Gestion]]&amp;" - "&amp;Centro_Cuenta8[[#This Row],[Nombre Centro Gestion]]</f>
        <v>10219204 - Edificio Teresa Vial-Proyecto</v>
      </c>
      <c r="G954" s="47" t="str">
        <f>+Centro_Cuenta8[[#This Row],[Código Cuenta Contable]]&amp;" - "&amp;Centro_Cuenta8[[#This Row],[Nombre de Cuenta Contable]]</f>
        <v>4203140 - Contribuciones</v>
      </c>
      <c r="H954" s="146" t="str">
        <f>+VLOOKUP(D954,'3. Cuentas'!A:F,6,0)</f>
        <v>SI</v>
      </c>
    </row>
    <row r="955" spans="1:8" x14ac:dyDescent="0.25">
      <c r="A955" s="43">
        <v>10219204</v>
      </c>
      <c r="B955" t="s">
        <v>1028</v>
      </c>
      <c r="C955" s="43" t="s">
        <v>1624</v>
      </c>
      <c r="D955" s="43">
        <v>4203150</v>
      </c>
      <c r="E955" t="s">
        <v>156</v>
      </c>
      <c r="F955" s="47" t="str">
        <f>+Centro_Cuenta8[[#This Row],[Codigo Centro Gestion]]&amp;" - "&amp;Centro_Cuenta8[[#This Row],[Nombre Centro Gestion]]</f>
        <v>10219204 - Edificio Teresa Vial-Proyecto</v>
      </c>
      <c r="G955" s="47" t="str">
        <f>+Centro_Cuenta8[[#This Row],[Código Cuenta Contable]]&amp;" - "&amp;Centro_Cuenta8[[#This Row],[Nombre de Cuenta Contable]]</f>
        <v>4203150 - Gastos CBR</v>
      </c>
      <c r="H955" s="146" t="str">
        <f>+VLOOKUP(D955,'3. Cuentas'!A:F,6,0)</f>
        <v>SI</v>
      </c>
    </row>
    <row r="956" spans="1:8" x14ac:dyDescent="0.25">
      <c r="A956" s="43">
        <v>10219204</v>
      </c>
      <c r="B956" t="s">
        <v>1028</v>
      </c>
      <c r="C956" s="43" t="s">
        <v>1624</v>
      </c>
      <c r="D956" s="43">
        <v>4203160</v>
      </c>
      <c r="E956" t="s">
        <v>1639</v>
      </c>
      <c r="F956" s="47" t="str">
        <f>+Centro_Cuenta8[[#This Row],[Codigo Centro Gestion]]&amp;" - "&amp;Centro_Cuenta8[[#This Row],[Nombre Centro Gestion]]</f>
        <v>10219204 - Edificio Teresa Vial-Proyecto</v>
      </c>
      <c r="G956" s="47" t="str">
        <f>+Centro_Cuenta8[[#This Row],[Código Cuenta Contable]]&amp;" - "&amp;Centro_Cuenta8[[#This Row],[Nombre de Cuenta Contable]]</f>
        <v>4203160 - PAPELERIA Y FOTOCOPIADO</v>
      </c>
      <c r="H956" s="146" t="str">
        <f>+VLOOKUP(D956,'3. Cuentas'!A:F,6,0)</f>
        <v>SI</v>
      </c>
    </row>
    <row r="957" spans="1:8" x14ac:dyDescent="0.25">
      <c r="A957" s="43">
        <v>10219204</v>
      </c>
      <c r="B957" t="s">
        <v>1028</v>
      </c>
      <c r="C957" s="43" t="s">
        <v>1624</v>
      </c>
      <c r="D957" s="43">
        <v>4203180</v>
      </c>
      <c r="E957" t="s">
        <v>1640</v>
      </c>
      <c r="F957" s="47" t="str">
        <f>+Centro_Cuenta8[[#This Row],[Codigo Centro Gestion]]&amp;" - "&amp;Centro_Cuenta8[[#This Row],[Nombre Centro Gestion]]</f>
        <v>10219204 - Edificio Teresa Vial-Proyecto</v>
      </c>
      <c r="G957" s="47" t="str">
        <f>+Centro_Cuenta8[[#This Row],[Código Cuenta Contable]]&amp;" - "&amp;Centro_Cuenta8[[#This Row],[Nombre de Cuenta Contable]]</f>
        <v>4203180 - Otros Gastos y Aseso Proy</v>
      </c>
      <c r="H957" s="146" t="str">
        <f>+VLOOKUP(D957,'3. Cuentas'!A:F,6,0)</f>
        <v>SI</v>
      </c>
    </row>
    <row r="958" spans="1:8" x14ac:dyDescent="0.25">
      <c r="A958" s="43">
        <v>10219301</v>
      </c>
      <c r="B958" t="s">
        <v>1029</v>
      </c>
      <c r="C958" s="43" t="s">
        <v>1643</v>
      </c>
      <c r="D958" s="43">
        <v>4203090</v>
      </c>
      <c r="E958" t="s">
        <v>192</v>
      </c>
      <c r="F958" s="47" t="str">
        <f>+Centro_Cuenta8[[#This Row],[Codigo Centro Gestion]]&amp;" - "&amp;Centro_Cuenta8[[#This Row],[Nombre Centro Gestion]]</f>
        <v>10219301 - Edificio Teresa Vial-GAF</v>
      </c>
      <c r="G958" s="47" t="str">
        <f>+Centro_Cuenta8[[#This Row],[Código Cuenta Contable]]&amp;" - "&amp;Centro_Cuenta8[[#This Row],[Nombre de Cuenta Contable]]</f>
        <v>4203090 - Gastos Legales Y Notariales Proyecto</v>
      </c>
      <c r="H958" s="146" t="str">
        <f>+VLOOKUP(D958,'3. Cuentas'!A:F,6,0)</f>
        <v>SI</v>
      </c>
    </row>
    <row r="959" spans="1:8" x14ac:dyDescent="0.25">
      <c r="A959" s="43">
        <v>10219301</v>
      </c>
      <c r="B959" t="s">
        <v>1029</v>
      </c>
      <c r="C959" s="43" t="s">
        <v>1643</v>
      </c>
      <c r="D959" s="43">
        <v>4203140</v>
      </c>
      <c r="E959" t="s">
        <v>109</v>
      </c>
      <c r="F959" s="47" t="str">
        <f>+Centro_Cuenta8[[#This Row],[Codigo Centro Gestion]]&amp;" - "&amp;Centro_Cuenta8[[#This Row],[Nombre Centro Gestion]]</f>
        <v>10219301 - Edificio Teresa Vial-GAF</v>
      </c>
      <c r="G959" s="47" t="str">
        <f>+Centro_Cuenta8[[#This Row],[Código Cuenta Contable]]&amp;" - "&amp;Centro_Cuenta8[[#This Row],[Nombre de Cuenta Contable]]</f>
        <v>4203140 - Contribuciones</v>
      </c>
      <c r="H959" s="146" t="str">
        <f>+VLOOKUP(D959,'3. Cuentas'!A:F,6,0)</f>
        <v>SI</v>
      </c>
    </row>
    <row r="960" spans="1:8" x14ac:dyDescent="0.25">
      <c r="A960" s="43">
        <v>10219506</v>
      </c>
      <c r="B960" t="s">
        <v>1031</v>
      </c>
      <c r="C960" s="43" t="s">
        <v>200</v>
      </c>
      <c r="D960" s="43">
        <v>1115100</v>
      </c>
      <c r="E960" t="s">
        <v>292</v>
      </c>
      <c r="F960" s="47" t="str">
        <f>+Centro_Cuenta8[[#This Row],[Codigo Centro Gestion]]&amp;" - "&amp;Centro_Cuenta8[[#This Row],[Nombre Centro Gestion]]</f>
        <v>10219506 - Edificio Teresa Vial-Depto.Técnico</v>
      </c>
      <c r="G960" s="47" t="str">
        <f>+Centro_Cuenta8[[#This Row],[Código Cuenta Contable]]&amp;" - "&amp;Centro_Cuenta8[[#This Row],[Nombre de Cuenta Contable]]</f>
        <v>1115100 - Proyectos Y Especialidades</v>
      </c>
      <c r="H960" s="146" t="str">
        <f>+VLOOKUP(D960,'3. Cuentas'!A:F,6,0)</f>
        <v>SI</v>
      </c>
    </row>
    <row r="961" spans="1:8" x14ac:dyDescent="0.25">
      <c r="A961" s="43">
        <v>10220102</v>
      </c>
      <c r="B961" t="s">
        <v>1033</v>
      </c>
      <c r="C961" s="43" t="s">
        <v>1617</v>
      </c>
      <c r="D961" s="43">
        <v>4204010</v>
      </c>
      <c r="E961" t="s">
        <v>313</v>
      </c>
      <c r="F961" s="47" t="str">
        <f>+Centro_Cuenta8[[#This Row],[Codigo Centro Gestion]]&amp;" - "&amp;Centro_Cuenta8[[#This Row],[Nombre Centro Gestion]]</f>
        <v>10220102 - Edificio Uno Norte-Marketing</v>
      </c>
      <c r="G961" s="47" t="str">
        <f>+Centro_Cuenta8[[#This Row],[Código Cuenta Contable]]&amp;" - "&amp;Centro_Cuenta8[[#This Row],[Nombre de Cuenta Contable]]</f>
        <v>4204010 - Publicidad Punto Venta</v>
      </c>
      <c r="H961" s="146" t="str">
        <f>+VLOOKUP(D961,'3. Cuentas'!A:F,6,0)</f>
        <v>SI</v>
      </c>
    </row>
    <row r="962" spans="1:8" x14ac:dyDescent="0.25">
      <c r="A962" s="43">
        <v>10220102</v>
      </c>
      <c r="B962" t="s">
        <v>1033</v>
      </c>
      <c r="C962" s="43" t="s">
        <v>1617</v>
      </c>
      <c r="D962" s="43">
        <v>4204021</v>
      </c>
      <c r="E962" t="s">
        <v>329</v>
      </c>
      <c r="F962" s="47" t="str">
        <f>+Centro_Cuenta8[[#This Row],[Codigo Centro Gestion]]&amp;" - "&amp;Centro_Cuenta8[[#This Row],[Nombre Centro Gestion]]</f>
        <v>10220102 - Edificio Uno Norte-Marketing</v>
      </c>
      <c r="G962" s="47" t="str">
        <f>+Centro_Cuenta8[[#This Row],[Código Cuenta Contable]]&amp;" - "&amp;Centro_Cuenta8[[#This Row],[Nombre de Cuenta Contable]]</f>
        <v>4204021 - Publicidad Ferias Y Eventos</v>
      </c>
      <c r="H962" s="146" t="str">
        <f>+VLOOKUP(D962,'3. Cuentas'!A:F,6,0)</f>
        <v>SI</v>
      </c>
    </row>
    <row r="963" spans="1:8" x14ac:dyDescent="0.25">
      <c r="A963" s="43">
        <v>10220103</v>
      </c>
      <c r="B963" t="s">
        <v>1034</v>
      </c>
      <c r="C963" s="43" t="s">
        <v>1618</v>
      </c>
      <c r="D963" s="43">
        <v>4203060</v>
      </c>
      <c r="E963" t="s">
        <v>321</v>
      </c>
      <c r="F963" s="47" t="str">
        <f>+Centro_Cuenta8[[#This Row],[Codigo Centro Gestion]]&amp;" - "&amp;Centro_Cuenta8[[#This Row],[Nombre Centro Gestion]]</f>
        <v>10220103 - Edificio Uno Norte-Operaciones</v>
      </c>
      <c r="G963" s="47" t="str">
        <f>+Centro_Cuenta8[[#This Row],[Código Cuenta Contable]]&amp;" - "&amp;Centro_Cuenta8[[#This Row],[Nombre de Cuenta Contable]]</f>
        <v>4203060 - Gastos Operacionales De Clientes</v>
      </c>
      <c r="H963" s="146" t="str">
        <f>+VLOOKUP(D963,'3. Cuentas'!A:F,6,0)</f>
        <v>SI</v>
      </c>
    </row>
    <row r="964" spans="1:8" x14ac:dyDescent="0.25">
      <c r="A964" s="43">
        <v>10220103</v>
      </c>
      <c r="B964" t="s">
        <v>1034</v>
      </c>
      <c r="C964" s="43" t="s">
        <v>1618</v>
      </c>
      <c r="D964" s="43">
        <v>4203090</v>
      </c>
      <c r="E964" t="s">
        <v>192</v>
      </c>
      <c r="F964" s="47" t="str">
        <f>+Centro_Cuenta8[[#This Row],[Codigo Centro Gestion]]&amp;" - "&amp;Centro_Cuenta8[[#This Row],[Nombre Centro Gestion]]</f>
        <v>10220103 - Edificio Uno Norte-Operaciones</v>
      </c>
      <c r="G964" s="47" t="str">
        <f>+Centro_Cuenta8[[#This Row],[Código Cuenta Contable]]&amp;" - "&amp;Centro_Cuenta8[[#This Row],[Nombre de Cuenta Contable]]</f>
        <v>4203090 - Gastos Legales Y Notariales Proyecto</v>
      </c>
      <c r="H964" s="146" t="str">
        <f>+VLOOKUP(D964,'3. Cuentas'!A:F,6,0)</f>
        <v>SI</v>
      </c>
    </row>
    <row r="965" spans="1:8" x14ac:dyDescent="0.25">
      <c r="A965" s="43">
        <v>10220104</v>
      </c>
      <c r="B965" t="s">
        <v>1035</v>
      </c>
      <c r="C965" s="43" t="s">
        <v>90</v>
      </c>
      <c r="D965" s="43">
        <v>1110040</v>
      </c>
      <c r="E965" t="s">
        <v>1505</v>
      </c>
      <c r="F965" s="47" t="str">
        <f>+Centro_Cuenta8[[#This Row],[Codigo Centro Gestion]]&amp;" - "&amp;Centro_Cuenta8[[#This Row],[Nombre Centro Gestion]]</f>
        <v>10220104 - Edificio Uno Norte-Ventas</v>
      </c>
      <c r="G965" s="47" t="str">
        <f>+Centro_Cuenta8[[#This Row],[Código Cuenta Contable]]&amp;" - "&amp;Centro_Cuenta8[[#This Row],[Nombre de Cuenta Contable]]</f>
        <v>1110040 - Garantía Pagadas</v>
      </c>
      <c r="H965" s="146" t="str">
        <f>+VLOOKUP(D965,'3. Cuentas'!A:F,6,0)</f>
        <v>SI</v>
      </c>
    </row>
    <row r="966" spans="1:8" x14ac:dyDescent="0.25">
      <c r="A966" s="43">
        <v>10220104</v>
      </c>
      <c r="B966" t="s">
        <v>1035</v>
      </c>
      <c r="C966" s="43" t="s">
        <v>90</v>
      </c>
      <c r="D966" s="43">
        <v>4202003</v>
      </c>
      <c r="E966" t="s">
        <v>106</v>
      </c>
      <c r="F966" s="47" t="str">
        <f>+Centro_Cuenta8[[#This Row],[Codigo Centro Gestion]]&amp;" - "&amp;Centro_Cuenta8[[#This Row],[Nombre Centro Gestion]]</f>
        <v>10220104 - Edificio Uno Norte-Ventas</v>
      </c>
      <c r="G966" s="47" t="str">
        <f>+Centro_Cuenta8[[#This Row],[Código Cuenta Contable]]&amp;" - "&amp;Centro_Cuenta8[[#This Row],[Nombre de Cuenta Contable]]</f>
        <v>4202003 - Serv.Basic.Luz.Agua.Tel Of.C</v>
      </c>
      <c r="H966" s="146" t="str">
        <f>+VLOOKUP(D966,'3. Cuentas'!A:F,6,0)</f>
        <v>SI</v>
      </c>
    </row>
    <row r="967" spans="1:8" x14ac:dyDescent="0.25">
      <c r="A967" s="43">
        <v>10220104</v>
      </c>
      <c r="B967" t="s">
        <v>1035</v>
      </c>
      <c r="C967" s="43" t="s">
        <v>90</v>
      </c>
      <c r="D967" s="43">
        <v>4202010</v>
      </c>
      <c r="E967" t="s">
        <v>87</v>
      </c>
      <c r="F967" s="47" t="str">
        <f>+Centro_Cuenta8[[#This Row],[Codigo Centro Gestion]]&amp;" - "&amp;Centro_Cuenta8[[#This Row],[Nombre Centro Gestion]]</f>
        <v>10220104 - Edificio Uno Norte-Ventas</v>
      </c>
      <c r="G967" s="47" t="str">
        <f>+Centro_Cuenta8[[#This Row],[Código Cuenta Contable]]&amp;" - "&amp;Centro_Cuenta8[[#This Row],[Nombre de Cuenta Contable]]</f>
        <v>4202010 - Artic. Ofic. Fotocop.Papelería</v>
      </c>
      <c r="H967" s="146" t="str">
        <f>+VLOOKUP(D967,'3. Cuentas'!A:F,6,0)</f>
        <v>SI</v>
      </c>
    </row>
    <row r="968" spans="1:8" x14ac:dyDescent="0.25">
      <c r="A968" s="43">
        <v>10220104</v>
      </c>
      <c r="B968" t="s">
        <v>1035</v>
      </c>
      <c r="C968" s="43" t="s">
        <v>90</v>
      </c>
      <c r="D968" s="43">
        <v>4202019</v>
      </c>
      <c r="E968" t="s">
        <v>81</v>
      </c>
      <c r="F968" s="47" t="str">
        <f>+Centro_Cuenta8[[#This Row],[Codigo Centro Gestion]]&amp;" - "&amp;Centro_Cuenta8[[#This Row],[Nombre Centro Gestion]]</f>
        <v>10220104 - Edificio Uno Norte-Ventas</v>
      </c>
      <c r="G968" s="47" t="str">
        <f>+Centro_Cuenta8[[#This Row],[Código Cuenta Contable]]&amp;" - "&amp;Centro_Cuenta8[[#This Row],[Nombre de Cuenta Contable]]</f>
        <v>4202019 - Gasto General Oficina</v>
      </c>
      <c r="H968" s="146" t="str">
        <f>+VLOOKUP(D968,'3. Cuentas'!A:F,6,0)</f>
        <v>SI</v>
      </c>
    </row>
    <row r="969" spans="1:8" x14ac:dyDescent="0.25">
      <c r="A969" s="43">
        <v>10220104</v>
      </c>
      <c r="B969" t="s">
        <v>1035</v>
      </c>
      <c r="C969" s="43" t="s">
        <v>90</v>
      </c>
      <c r="D969" s="43">
        <v>4202023</v>
      </c>
      <c r="E969" t="s">
        <v>82</v>
      </c>
      <c r="F969" s="47" t="str">
        <f>+Centro_Cuenta8[[#This Row],[Codigo Centro Gestion]]&amp;" - "&amp;Centro_Cuenta8[[#This Row],[Nombre Centro Gestion]]</f>
        <v>10220104 - Edificio Uno Norte-Ventas</v>
      </c>
      <c r="G969" s="47" t="str">
        <f>+Centro_Cuenta8[[#This Row],[Código Cuenta Contable]]&amp;" - "&amp;Centro_Cuenta8[[#This Row],[Nombre de Cuenta Contable]]</f>
        <v>4202023 - Honorarios Por Asesorías</v>
      </c>
      <c r="H969" s="146" t="str">
        <f>+VLOOKUP(D969,'3. Cuentas'!A:F,6,0)</f>
        <v>SI</v>
      </c>
    </row>
    <row r="970" spans="1:8" x14ac:dyDescent="0.25">
      <c r="A970" s="43">
        <v>10220104</v>
      </c>
      <c r="B970" t="s">
        <v>1035</v>
      </c>
      <c r="C970" s="43" t="s">
        <v>90</v>
      </c>
      <c r="D970" s="43">
        <v>4202029</v>
      </c>
      <c r="E970" t="s">
        <v>83</v>
      </c>
      <c r="F970" s="47" t="str">
        <f>+Centro_Cuenta8[[#This Row],[Codigo Centro Gestion]]&amp;" - "&amp;Centro_Cuenta8[[#This Row],[Nombre Centro Gestion]]</f>
        <v>10220104 - Edificio Uno Norte-Ventas</v>
      </c>
      <c r="G970" s="47" t="str">
        <f>+Centro_Cuenta8[[#This Row],[Código Cuenta Contable]]&amp;" - "&amp;Centro_Cuenta8[[#This Row],[Nombre de Cuenta Contable]]</f>
        <v>4202029 - Insumos Y Gastos Informáticos</v>
      </c>
      <c r="H970" s="146" t="str">
        <f>+VLOOKUP(D970,'3. Cuentas'!A:F,6,0)</f>
        <v>SI</v>
      </c>
    </row>
    <row r="971" spans="1:8" x14ac:dyDescent="0.25">
      <c r="A971" s="43">
        <v>10220104</v>
      </c>
      <c r="B971" t="s">
        <v>1035</v>
      </c>
      <c r="C971" s="43" t="s">
        <v>90</v>
      </c>
      <c r="D971" s="43">
        <v>4204021</v>
      </c>
      <c r="E971" t="s">
        <v>329</v>
      </c>
      <c r="F971" s="47" t="str">
        <f>+Centro_Cuenta8[[#This Row],[Codigo Centro Gestion]]&amp;" - "&amp;Centro_Cuenta8[[#This Row],[Nombre Centro Gestion]]</f>
        <v>10220104 - Edificio Uno Norte-Ventas</v>
      </c>
      <c r="G971" s="47" t="str">
        <f>+Centro_Cuenta8[[#This Row],[Código Cuenta Contable]]&amp;" - "&amp;Centro_Cuenta8[[#This Row],[Nombre de Cuenta Contable]]</f>
        <v>4204021 - Publicidad Ferias Y Eventos</v>
      </c>
      <c r="H971" s="146" t="str">
        <f>+VLOOKUP(D971,'3. Cuentas'!A:F,6,0)</f>
        <v>SI</v>
      </c>
    </row>
    <row r="972" spans="1:8" x14ac:dyDescent="0.25">
      <c r="A972" s="43">
        <v>10220105</v>
      </c>
      <c r="B972" t="s">
        <v>1036</v>
      </c>
      <c r="C972" s="43" t="s">
        <v>1622</v>
      </c>
      <c r="D972" s="43">
        <v>4203020</v>
      </c>
      <c r="E972" t="s">
        <v>295</v>
      </c>
      <c r="F972" s="47" t="str">
        <f>+Centro_Cuenta8[[#This Row],[Codigo Centro Gestion]]&amp;" - "&amp;Centro_Cuenta8[[#This Row],[Nombre Centro Gestion]]</f>
        <v>10220105 - Edificio Uno Norte-Clientes</v>
      </c>
      <c r="G972" s="47" t="str">
        <f>+Centro_Cuenta8[[#This Row],[Código Cuenta Contable]]&amp;" - "&amp;Centro_Cuenta8[[#This Row],[Nombre de Cuenta Contable]]</f>
        <v>4203020 - Mant. y Consum. Viv Stock</v>
      </c>
      <c r="H972" s="146" t="str">
        <f>+VLOOKUP(D972,'3. Cuentas'!A:F,6,0)</f>
        <v>SI</v>
      </c>
    </row>
    <row r="973" spans="1:8" x14ac:dyDescent="0.25">
      <c r="A973" s="43">
        <v>10220105</v>
      </c>
      <c r="B973" t="s">
        <v>1036</v>
      </c>
      <c r="C973" s="43" t="s">
        <v>1622</v>
      </c>
      <c r="D973" s="43">
        <v>4203120</v>
      </c>
      <c r="E973" t="s">
        <v>108</v>
      </c>
      <c r="F973" s="47" t="str">
        <f>+Centro_Cuenta8[[#This Row],[Codigo Centro Gestion]]&amp;" - "&amp;Centro_Cuenta8[[#This Row],[Nombre Centro Gestion]]</f>
        <v>10220105 - Edificio Uno Norte-Clientes</v>
      </c>
      <c r="G973" s="47" t="str">
        <f>+Centro_Cuenta8[[#This Row],[Código Cuenta Contable]]&amp;" - "&amp;Centro_Cuenta8[[#This Row],[Nombre de Cuenta Contable]]</f>
        <v>4203120 - Gastos Comunes</v>
      </c>
      <c r="H973" s="146" t="str">
        <f>+VLOOKUP(D973,'3. Cuentas'!A:F,6,0)</f>
        <v>SI</v>
      </c>
    </row>
    <row r="974" spans="1:8" x14ac:dyDescent="0.25">
      <c r="A974" s="43">
        <v>10220105</v>
      </c>
      <c r="B974" t="s">
        <v>1036</v>
      </c>
      <c r="C974" s="43" t="s">
        <v>1622</v>
      </c>
      <c r="D974" s="43">
        <v>4203140</v>
      </c>
      <c r="E974" t="s">
        <v>109</v>
      </c>
      <c r="F974" s="47" t="str">
        <f>+Centro_Cuenta8[[#This Row],[Codigo Centro Gestion]]&amp;" - "&amp;Centro_Cuenta8[[#This Row],[Nombre Centro Gestion]]</f>
        <v>10220105 - Edificio Uno Norte-Clientes</v>
      </c>
      <c r="G974" s="47" t="str">
        <f>+Centro_Cuenta8[[#This Row],[Código Cuenta Contable]]&amp;" - "&amp;Centro_Cuenta8[[#This Row],[Nombre de Cuenta Contable]]</f>
        <v>4203140 - Contribuciones</v>
      </c>
      <c r="H974" s="146" t="str">
        <f>+VLOOKUP(D974,'3. Cuentas'!A:F,6,0)</f>
        <v>SI</v>
      </c>
    </row>
    <row r="975" spans="1:8" x14ac:dyDescent="0.25">
      <c r="A975" s="43">
        <v>10220204</v>
      </c>
      <c r="B975" t="s">
        <v>1037</v>
      </c>
      <c r="C975" s="43" t="s">
        <v>1624</v>
      </c>
      <c r="D975" s="43">
        <v>1103045</v>
      </c>
      <c r="E975" t="s">
        <v>323</v>
      </c>
      <c r="F975" s="47" t="str">
        <f>+Centro_Cuenta8[[#This Row],[Codigo Centro Gestion]]&amp;" - "&amp;Centro_Cuenta8[[#This Row],[Nombre Centro Gestion]]</f>
        <v>10220204 - Edificio Uno Norte-Proyecto</v>
      </c>
      <c r="G975" s="47" t="str">
        <f>+Centro_Cuenta8[[#This Row],[Código Cuenta Contable]]&amp;" - "&amp;Centro_Cuenta8[[#This Row],[Nombre de Cuenta Contable]]</f>
        <v>1103045 - Aportes reembolsables (electricidad y agua)</v>
      </c>
      <c r="H975" s="146" t="str">
        <f>+VLOOKUP(D975,'3. Cuentas'!A:F,6,0)</f>
        <v>SI</v>
      </c>
    </row>
    <row r="976" spans="1:8" x14ac:dyDescent="0.25">
      <c r="A976" s="43">
        <v>10220204</v>
      </c>
      <c r="B976" t="s">
        <v>1037</v>
      </c>
      <c r="C976" s="43" t="s">
        <v>1624</v>
      </c>
      <c r="D976" s="43">
        <v>1109020</v>
      </c>
      <c r="E976" t="s">
        <v>302</v>
      </c>
      <c r="F976" s="47" t="str">
        <f>+Centro_Cuenta8[[#This Row],[Codigo Centro Gestion]]&amp;" - "&amp;Centro_Cuenta8[[#This Row],[Nombre Centro Gestion]]</f>
        <v>10220204 - Edificio Uno Norte-Proyecto</v>
      </c>
      <c r="G976" s="47" t="str">
        <f>+Centro_Cuenta8[[#This Row],[Código Cuenta Contable]]&amp;" - "&amp;Centro_Cuenta8[[#This Row],[Nombre de Cuenta Contable]]</f>
        <v>1109020 - Mobiliario</v>
      </c>
      <c r="H976" s="146" t="str">
        <f>+VLOOKUP(D976,'3. Cuentas'!A:F,6,0)</f>
        <v>SI</v>
      </c>
    </row>
    <row r="977" spans="1:8" x14ac:dyDescent="0.25">
      <c r="A977" s="43">
        <v>10220204</v>
      </c>
      <c r="B977" t="s">
        <v>1037</v>
      </c>
      <c r="C977" s="43" t="s">
        <v>1624</v>
      </c>
      <c r="D977" s="43">
        <v>1110040</v>
      </c>
      <c r="E977" t="s">
        <v>1505</v>
      </c>
      <c r="F977" s="47" t="str">
        <f>+Centro_Cuenta8[[#This Row],[Codigo Centro Gestion]]&amp;" - "&amp;Centro_Cuenta8[[#This Row],[Nombre Centro Gestion]]</f>
        <v>10220204 - Edificio Uno Norte-Proyecto</v>
      </c>
      <c r="G977" s="47" t="str">
        <f>+Centro_Cuenta8[[#This Row],[Código Cuenta Contable]]&amp;" - "&amp;Centro_Cuenta8[[#This Row],[Nombre de Cuenta Contable]]</f>
        <v>1110040 - Garantía Pagadas</v>
      </c>
      <c r="H977" s="146" t="str">
        <f>+VLOOKUP(D977,'3. Cuentas'!A:F,6,0)</f>
        <v>SI</v>
      </c>
    </row>
    <row r="978" spans="1:8" x14ac:dyDescent="0.25">
      <c r="A978" s="43">
        <v>10220204</v>
      </c>
      <c r="B978" t="s">
        <v>1037</v>
      </c>
      <c r="C978" s="43" t="s">
        <v>1624</v>
      </c>
      <c r="D978" s="43">
        <v>1115040</v>
      </c>
      <c r="E978" t="s">
        <v>291</v>
      </c>
      <c r="F978" s="47" t="str">
        <f>+Centro_Cuenta8[[#This Row],[Codigo Centro Gestion]]&amp;" - "&amp;Centro_Cuenta8[[#This Row],[Nombre Centro Gestion]]</f>
        <v>10220204 - Edificio Uno Norte-Proyecto</v>
      </c>
      <c r="G978" s="47" t="str">
        <f>+Centro_Cuenta8[[#This Row],[Código Cuenta Contable]]&amp;" - "&amp;Centro_Cuenta8[[#This Row],[Nombre de Cuenta Contable]]</f>
        <v>1115040 - Saneamiento De Terreno</v>
      </c>
      <c r="H978" s="146" t="str">
        <f>+VLOOKUP(D978,'3. Cuentas'!A:F,6,0)</f>
        <v>SI</v>
      </c>
    </row>
    <row r="979" spans="1:8" x14ac:dyDescent="0.25">
      <c r="A979" s="43">
        <v>10220204</v>
      </c>
      <c r="B979" t="s">
        <v>1037</v>
      </c>
      <c r="C979" s="43" t="s">
        <v>1624</v>
      </c>
      <c r="D979" s="43">
        <v>1115050</v>
      </c>
      <c r="E979" t="s">
        <v>1628</v>
      </c>
      <c r="F979" s="47" t="str">
        <f>+Centro_Cuenta8[[#This Row],[Codigo Centro Gestion]]&amp;" - "&amp;Centro_Cuenta8[[#This Row],[Nombre Centro Gestion]]</f>
        <v>10220204 - Edificio Uno Norte-Proyecto</v>
      </c>
      <c r="G979" s="47" t="str">
        <f>+Centro_Cuenta8[[#This Row],[Código Cuenta Contable]]&amp;" - "&amp;Centro_Cuenta8[[#This Row],[Nombre de Cuenta Contable]]</f>
        <v>1115050 - Demolición</v>
      </c>
      <c r="H979" s="146" t="str">
        <f>+VLOOKUP(D979,'3. Cuentas'!A:F,6,0)</f>
        <v>SI</v>
      </c>
    </row>
    <row r="980" spans="1:8" x14ac:dyDescent="0.25">
      <c r="A980" s="43">
        <v>10220204</v>
      </c>
      <c r="B980" t="s">
        <v>1037</v>
      </c>
      <c r="C980" s="43" t="s">
        <v>1624</v>
      </c>
      <c r="D980" s="43">
        <v>1115100</v>
      </c>
      <c r="E980" t="s">
        <v>292</v>
      </c>
      <c r="F980" s="47" t="str">
        <f>+Centro_Cuenta8[[#This Row],[Codigo Centro Gestion]]&amp;" - "&amp;Centro_Cuenta8[[#This Row],[Nombre Centro Gestion]]</f>
        <v>10220204 - Edificio Uno Norte-Proyecto</v>
      </c>
      <c r="G980" s="47" t="str">
        <f>+Centro_Cuenta8[[#This Row],[Código Cuenta Contable]]&amp;" - "&amp;Centro_Cuenta8[[#This Row],[Nombre de Cuenta Contable]]</f>
        <v>1115100 - Proyectos Y Especialidades</v>
      </c>
      <c r="H980" s="146" t="str">
        <f>+VLOOKUP(D980,'3. Cuentas'!A:F,6,0)</f>
        <v>SI</v>
      </c>
    </row>
    <row r="981" spans="1:8" x14ac:dyDescent="0.25">
      <c r="A981" s="43">
        <v>10220204</v>
      </c>
      <c r="B981" t="s">
        <v>1037</v>
      </c>
      <c r="C981" s="43" t="s">
        <v>1624</v>
      </c>
      <c r="D981" s="43">
        <v>1115120</v>
      </c>
      <c r="E981" t="s">
        <v>1633</v>
      </c>
      <c r="F981" s="47" t="str">
        <f>+Centro_Cuenta8[[#This Row],[Codigo Centro Gestion]]&amp;" - "&amp;Centro_Cuenta8[[#This Row],[Nombre Centro Gestion]]</f>
        <v>10220204 - Edificio Uno Norte-Proyecto</v>
      </c>
      <c r="G981" s="47" t="str">
        <f>+Centro_Cuenta8[[#This Row],[Código Cuenta Contable]]&amp;" - "&amp;Centro_Cuenta8[[#This Row],[Nombre de Cuenta Contable]]</f>
        <v>1115120 - Instalación Empalmes</v>
      </c>
      <c r="H981" s="146" t="str">
        <f>+VLOOKUP(D981,'3. Cuentas'!A:F,6,0)</f>
        <v>SI</v>
      </c>
    </row>
    <row r="982" spans="1:8" x14ac:dyDescent="0.25">
      <c r="A982" s="43">
        <v>10220204</v>
      </c>
      <c r="B982" t="s">
        <v>1037</v>
      </c>
      <c r="C982" s="43" t="s">
        <v>1624</v>
      </c>
      <c r="D982" s="43">
        <v>1115170</v>
      </c>
      <c r="E982" t="s">
        <v>293</v>
      </c>
      <c r="F982" s="47" t="str">
        <f>+Centro_Cuenta8[[#This Row],[Codigo Centro Gestion]]&amp;" - "&amp;Centro_Cuenta8[[#This Row],[Nombre Centro Gestion]]</f>
        <v>10220204 - Edificio Uno Norte-Proyecto</v>
      </c>
      <c r="G982" s="47" t="str">
        <f>+Centro_Cuenta8[[#This Row],[Código Cuenta Contable]]&amp;" - "&amp;Centro_Cuenta8[[#This Row],[Nombre de Cuenta Contable]]</f>
        <v>1115170 - Permisos Y Otros Gastos Municipales</v>
      </c>
      <c r="H982" s="146" t="str">
        <f>+VLOOKUP(D982,'3. Cuentas'!A:F,6,0)</f>
        <v>SI</v>
      </c>
    </row>
    <row r="983" spans="1:8" x14ac:dyDescent="0.25">
      <c r="A983" s="43">
        <v>10220204</v>
      </c>
      <c r="B983" t="s">
        <v>1037</v>
      </c>
      <c r="C983" s="43" t="s">
        <v>1624</v>
      </c>
      <c r="D983" s="43">
        <v>1115240</v>
      </c>
      <c r="E983" t="s">
        <v>294</v>
      </c>
      <c r="F983" s="47" t="str">
        <f>+Centro_Cuenta8[[#This Row],[Codigo Centro Gestion]]&amp;" - "&amp;Centro_Cuenta8[[#This Row],[Nombre Centro Gestion]]</f>
        <v>10220204 - Edificio Uno Norte-Proyecto</v>
      </c>
      <c r="G983" s="47" t="str">
        <f>+Centro_Cuenta8[[#This Row],[Código Cuenta Contable]]&amp;" - "&amp;Centro_Cuenta8[[#This Row],[Nombre de Cuenta Contable]]</f>
        <v>1115240 - Estudios Y Asesorias Técnicas</v>
      </c>
      <c r="H983" s="146" t="str">
        <f>+VLOOKUP(D983,'3. Cuentas'!A:F,6,0)</f>
        <v>SI</v>
      </c>
    </row>
    <row r="984" spans="1:8" x14ac:dyDescent="0.25">
      <c r="A984" s="43">
        <v>10220204</v>
      </c>
      <c r="B984" t="s">
        <v>1037</v>
      </c>
      <c r="C984" s="43" t="s">
        <v>1624</v>
      </c>
      <c r="D984" s="43">
        <v>4203090</v>
      </c>
      <c r="E984" t="s">
        <v>192</v>
      </c>
      <c r="F984" s="47" t="str">
        <f>+Centro_Cuenta8[[#This Row],[Codigo Centro Gestion]]&amp;" - "&amp;Centro_Cuenta8[[#This Row],[Nombre Centro Gestion]]</f>
        <v>10220204 - Edificio Uno Norte-Proyecto</v>
      </c>
      <c r="G984" s="47" t="str">
        <f>+Centro_Cuenta8[[#This Row],[Código Cuenta Contable]]&amp;" - "&amp;Centro_Cuenta8[[#This Row],[Nombre de Cuenta Contable]]</f>
        <v>4203090 - Gastos Legales Y Notariales Proyecto</v>
      </c>
      <c r="H984" s="146" t="str">
        <f>+VLOOKUP(D984,'3. Cuentas'!A:F,6,0)</f>
        <v>SI</v>
      </c>
    </row>
    <row r="985" spans="1:8" x14ac:dyDescent="0.25">
      <c r="A985" s="43">
        <v>10220204</v>
      </c>
      <c r="B985" t="s">
        <v>1037</v>
      </c>
      <c r="C985" s="43" t="s">
        <v>1624</v>
      </c>
      <c r="D985" s="43">
        <v>4203140</v>
      </c>
      <c r="E985" t="s">
        <v>109</v>
      </c>
      <c r="F985" s="47" t="str">
        <f>+Centro_Cuenta8[[#This Row],[Codigo Centro Gestion]]&amp;" - "&amp;Centro_Cuenta8[[#This Row],[Nombre Centro Gestion]]</f>
        <v>10220204 - Edificio Uno Norte-Proyecto</v>
      </c>
      <c r="G985" s="47" t="str">
        <f>+Centro_Cuenta8[[#This Row],[Código Cuenta Contable]]&amp;" - "&amp;Centro_Cuenta8[[#This Row],[Nombre de Cuenta Contable]]</f>
        <v>4203140 - Contribuciones</v>
      </c>
      <c r="H985" s="146" t="str">
        <f>+VLOOKUP(D985,'3. Cuentas'!A:F,6,0)</f>
        <v>SI</v>
      </c>
    </row>
    <row r="986" spans="1:8" x14ac:dyDescent="0.25">
      <c r="A986" s="43">
        <v>10220204</v>
      </c>
      <c r="B986" t="s">
        <v>1037</v>
      </c>
      <c r="C986" s="43" t="s">
        <v>1624</v>
      </c>
      <c r="D986" s="43">
        <v>4203150</v>
      </c>
      <c r="E986" t="s">
        <v>156</v>
      </c>
      <c r="F986" s="47" t="str">
        <f>+Centro_Cuenta8[[#This Row],[Codigo Centro Gestion]]&amp;" - "&amp;Centro_Cuenta8[[#This Row],[Nombre Centro Gestion]]</f>
        <v>10220204 - Edificio Uno Norte-Proyecto</v>
      </c>
      <c r="G986" s="47" t="str">
        <f>+Centro_Cuenta8[[#This Row],[Código Cuenta Contable]]&amp;" - "&amp;Centro_Cuenta8[[#This Row],[Nombre de Cuenta Contable]]</f>
        <v>4203150 - Gastos CBR</v>
      </c>
      <c r="H986" s="146" t="str">
        <f>+VLOOKUP(D986,'3. Cuentas'!A:F,6,0)</f>
        <v>SI</v>
      </c>
    </row>
    <row r="987" spans="1:8" x14ac:dyDescent="0.25">
      <c r="A987" s="43">
        <v>10220204</v>
      </c>
      <c r="B987" t="s">
        <v>1037</v>
      </c>
      <c r="C987" s="43" t="s">
        <v>1624</v>
      </c>
      <c r="D987" s="43">
        <v>4203160</v>
      </c>
      <c r="E987" t="s">
        <v>1639</v>
      </c>
      <c r="F987" s="47" t="str">
        <f>+Centro_Cuenta8[[#This Row],[Codigo Centro Gestion]]&amp;" - "&amp;Centro_Cuenta8[[#This Row],[Nombre Centro Gestion]]</f>
        <v>10220204 - Edificio Uno Norte-Proyecto</v>
      </c>
      <c r="G987" s="47" t="str">
        <f>+Centro_Cuenta8[[#This Row],[Código Cuenta Contable]]&amp;" - "&amp;Centro_Cuenta8[[#This Row],[Nombre de Cuenta Contable]]</f>
        <v>4203160 - PAPELERIA Y FOTOCOPIADO</v>
      </c>
      <c r="H987" s="146" t="str">
        <f>+VLOOKUP(D987,'3. Cuentas'!A:F,6,0)</f>
        <v>SI</v>
      </c>
    </row>
    <row r="988" spans="1:8" x14ac:dyDescent="0.25">
      <c r="A988" s="43">
        <v>10220204</v>
      </c>
      <c r="B988" t="s">
        <v>1037</v>
      </c>
      <c r="C988" s="43" t="s">
        <v>1624</v>
      </c>
      <c r="D988" s="43">
        <v>4203180</v>
      </c>
      <c r="E988" t="s">
        <v>1640</v>
      </c>
      <c r="F988" s="47" t="str">
        <f>+Centro_Cuenta8[[#This Row],[Codigo Centro Gestion]]&amp;" - "&amp;Centro_Cuenta8[[#This Row],[Nombre Centro Gestion]]</f>
        <v>10220204 - Edificio Uno Norte-Proyecto</v>
      </c>
      <c r="G988" s="47" t="str">
        <f>+Centro_Cuenta8[[#This Row],[Código Cuenta Contable]]&amp;" - "&amp;Centro_Cuenta8[[#This Row],[Nombre de Cuenta Contable]]</f>
        <v>4203180 - Otros Gastos y Aseso Proy</v>
      </c>
      <c r="H988" s="146" t="str">
        <f>+VLOOKUP(D988,'3. Cuentas'!A:F,6,0)</f>
        <v>SI</v>
      </c>
    </row>
    <row r="989" spans="1:8" x14ac:dyDescent="0.25">
      <c r="A989" s="43">
        <v>10220301</v>
      </c>
      <c r="B989" t="s">
        <v>1038</v>
      </c>
      <c r="C989" s="43" t="s">
        <v>1643</v>
      </c>
      <c r="D989" s="43">
        <v>4203090</v>
      </c>
      <c r="E989" t="s">
        <v>192</v>
      </c>
      <c r="F989" s="47" t="str">
        <f>+Centro_Cuenta8[[#This Row],[Codigo Centro Gestion]]&amp;" - "&amp;Centro_Cuenta8[[#This Row],[Nombre Centro Gestion]]</f>
        <v>10220301 - Edificio Uno Norte-GAF</v>
      </c>
      <c r="G989" s="47" t="str">
        <f>+Centro_Cuenta8[[#This Row],[Código Cuenta Contable]]&amp;" - "&amp;Centro_Cuenta8[[#This Row],[Nombre de Cuenta Contable]]</f>
        <v>4203090 - Gastos Legales Y Notariales Proyecto</v>
      </c>
      <c r="H989" s="146" t="str">
        <f>+VLOOKUP(D989,'3. Cuentas'!A:F,6,0)</f>
        <v>SI</v>
      </c>
    </row>
    <row r="990" spans="1:8" x14ac:dyDescent="0.25">
      <c r="A990" s="43">
        <v>10220301</v>
      </c>
      <c r="B990" t="s">
        <v>1038</v>
      </c>
      <c r="C990" s="43" t="s">
        <v>1643</v>
      </c>
      <c r="D990" s="43">
        <v>4203140</v>
      </c>
      <c r="E990" t="s">
        <v>109</v>
      </c>
      <c r="F990" s="47" t="str">
        <f>+Centro_Cuenta8[[#This Row],[Codigo Centro Gestion]]&amp;" - "&amp;Centro_Cuenta8[[#This Row],[Nombre Centro Gestion]]</f>
        <v>10220301 - Edificio Uno Norte-GAF</v>
      </c>
      <c r="G990" s="47" t="str">
        <f>+Centro_Cuenta8[[#This Row],[Código Cuenta Contable]]&amp;" - "&amp;Centro_Cuenta8[[#This Row],[Nombre de Cuenta Contable]]</f>
        <v>4203140 - Contribuciones</v>
      </c>
      <c r="H990" s="146" t="str">
        <f>+VLOOKUP(D990,'3. Cuentas'!A:F,6,0)</f>
        <v>SI</v>
      </c>
    </row>
    <row r="991" spans="1:8" x14ac:dyDescent="0.25">
      <c r="A991" s="43">
        <v>10220506</v>
      </c>
      <c r="B991" t="s">
        <v>1040</v>
      </c>
      <c r="C991" s="43" t="s">
        <v>200</v>
      </c>
      <c r="D991" s="43">
        <v>1115100</v>
      </c>
      <c r="E991" t="s">
        <v>292</v>
      </c>
      <c r="F991" s="47" t="str">
        <f>+Centro_Cuenta8[[#This Row],[Codigo Centro Gestion]]&amp;" - "&amp;Centro_Cuenta8[[#This Row],[Nombre Centro Gestion]]</f>
        <v>10220506 - Edificio Uno Norte-Depto.Técnico</v>
      </c>
      <c r="G991" s="47" t="str">
        <f>+Centro_Cuenta8[[#This Row],[Código Cuenta Contable]]&amp;" - "&amp;Centro_Cuenta8[[#This Row],[Nombre de Cuenta Contable]]</f>
        <v>1115100 - Proyectos Y Especialidades</v>
      </c>
      <c r="H991" s="146" t="str">
        <f>+VLOOKUP(D991,'3. Cuentas'!A:F,6,0)</f>
        <v>SI</v>
      </c>
    </row>
    <row r="992" spans="1:8" x14ac:dyDescent="0.25">
      <c r="A992" s="43">
        <v>10225102</v>
      </c>
      <c r="B992" t="s">
        <v>1042</v>
      </c>
      <c r="C992" s="43" t="s">
        <v>1617</v>
      </c>
      <c r="D992" s="43">
        <v>4204010</v>
      </c>
      <c r="E992" t="s">
        <v>313</v>
      </c>
      <c r="F992" s="47" t="str">
        <f>+Centro_Cuenta8[[#This Row],[Codigo Centro Gestion]]&amp;" - "&amp;Centro_Cuenta8[[#This Row],[Nombre Centro Gestion]]</f>
        <v>10225102 - Parque Ingles-Marketing</v>
      </c>
      <c r="G992" s="47" t="str">
        <f>+Centro_Cuenta8[[#This Row],[Código Cuenta Contable]]&amp;" - "&amp;Centro_Cuenta8[[#This Row],[Nombre de Cuenta Contable]]</f>
        <v>4204010 - Publicidad Punto Venta</v>
      </c>
      <c r="H992" s="146" t="str">
        <f>+VLOOKUP(D992,'3. Cuentas'!A:F,6,0)</f>
        <v>SI</v>
      </c>
    </row>
    <row r="993" spans="1:8" x14ac:dyDescent="0.25">
      <c r="A993" s="43">
        <v>10225102</v>
      </c>
      <c r="B993" t="s">
        <v>1042</v>
      </c>
      <c r="C993" s="43" t="s">
        <v>1617</v>
      </c>
      <c r="D993" s="43">
        <v>4204021</v>
      </c>
      <c r="E993" t="s">
        <v>329</v>
      </c>
      <c r="F993" s="47" t="str">
        <f>+Centro_Cuenta8[[#This Row],[Codigo Centro Gestion]]&amp;" - "&amp;Centro_Cuenta8[[#This Row],[Nombre Centro Gestion]]</f>
        <v>10225102 - Parque Ingles-Marketing</v>
      </c>
      <c r="G993" s="47" t="str">
        <f>+Centro_Cuenta8[[#This Row],[Código Cuenta Contable]]&amp;" - "&amp;Centro_Cuenta8[[#This Row],[Nombre de Cuenta Contable]]</f>
        <v>4204021 - Publicidad Ferias Y Eventos</v>
      </c>
      <c r="H993" s="146" t="str">
        <f>+VLOOKUP(D993,'3. Cuentas'!A:F,6,0)</f>
        <v>SI</v>
      </c>
    </row>
    <row r="994" spans="1:8" x14ac:dyDescent="0.25">
      <c r="A994" s="43">
        <v>10225103</v>
      </c>
      <c r="B994" t="s">
        <v>1043</v>
      </c>
      <c r="C994" s="43" t="s">
        <v>1618</v>
      </c>
      <c r="D994" s="43">
        <v>4203060</v>
      </c>
      <c r="E994" t="s">
        <v>321</v>
      </c>
      <c r="F994" s="47" t="str">
        <f>+Centro_Cuenta8[[#This Row],[Codigo Centro Gestion]]&amp;" - "&amp;Centro_Cuenta8[[#This Row],[Nombre Centro Gestion]]</f>
        <v>10225103 - Parque Ingles-Operaciones</v>
      </c>
      <c r="G994" s="47" t="str">
        <f>+Centro_Cuenta8[[#This Row],[Código Cuenta Contable]]&amp;" - "&amp;Centro_Cuenta8[[#This Row],[Nombre de Cuenta Contable]]</f>
        <v>4203060 - Gastos Operacionales De Clientes</v>
      </c>
      <c r="H994" s="146" t="str">
        <f>+VLOOKUP(D994,'3. Cuentas'!A:F,6,0)</f>
        <v>SI</v>
      </c>
    </row>
    <row r="995" spans="1:8" x14ac:dyDescent="0.25">
      <c r="A995" s="43">
        <v>10225103</v>
      </c>
      <c r="B995" t="s">
        <v>1043</v>
      </c>
      <c r="C995" s="43" t="s">
        <v>1618</v>
      </c>
      <c r="D995" s="43">
        <v>4203090</v>
      </c>
      <c r="E995" t="s">
        <v>192</v>
      </c>
      <c r="F995" s="47" t="str">
        <f>+Centro_Cuenta8[[#This Row],[Codigo Centro Gestion]]&amp;" - "&amp;Centro_Cuenta8[[#This Row],[Nombre Centro Gestion]]</f>
        <v>10225103 - Parque Ingles-Operaciones</v>
      </c>
      <c r="G995" s="47" t="str">
        <f>+Centro_Cuenta8[[#This Row],[Código Cuenta Contable]]&amp;" - "&amp;Centro_Cuenta8[[#This Row],[Nombre de Cuenta Contable]]</f>
        <v>4203090 - Gastos Legales Y Notariales Proyecto</v>
      </c>
      <c r="H995" s="146" t="str">
        <f>+VLOOKUP(D995,'3. Cuentas'!A:F,6,0)</f>
        <v>SI</v>
      </c>
    </row>
    <row r="996" spans="1:8" x14ac:dyDescent="0.25">
      <c r="A996" s="43">
        <v>10225104</v>
      </c>
      <c r="B996" t="s">
        <v>1044</v>
      </c>
      <c r="C996" s="43" t="s">
        <v>90</v>
      </c>
      <c r="D996" s="43">
        <v>1110040</v>
      </c>
      <c r="E996" t="s">
        <v>1505</v>
      </c>
      <c r="F996" s="47" t="str">
        <f>+Centro_Cuenta8[[#This Row],[Codigo Centro Gestion]]&amp;" - "&amp;Centro_Cuenta8[[#This Row],[Nombre Centro Gestion]]</f>
        <v>10225104 - Parque Ingles-Ventas</v>
      </c>
      <c r="G996" s="47" t="str">
        <f>+Centro_Cuenta8[[#This Row],[Código Cuenta Contable]]&amp;" - "&amp;Centro_Cuenta8[[#This Row],[Nombre de Cuenta Contable]]</f>
        <v>1110040 - Garantía Pagadas</v>
      </c>
      <c r="H996" s="146" t="str">
        <f>+VLOOKUP(D996,'3. Cuentas'!A:F,6,0)</f>
        <v>SI</v>
      </c>
    </row>
    <row r="997" spans="1:8" x14ac:dyDescent="0.25">
      <c r="A997" s="43">
        <v>10225104</v>
      </c>
      <c r="B997" t="s">
        <v>1044</v>
      </c>
      <c r="C997" s="43" t="s">
        <v>90</v>
      </c>
      <c r="D997" s="43">
        <v>4202003</v>
      </c>
      <c r="E997" t="s">
        <v>106</v>
      </c>
      <c r="F997" s="47" t="str">
        <f>+Centro_Cuenta8[[#This Row],[Codigo Centro Gestion]]&amp;" - "&amp;Centro_Cuenta8[[#This Row],[Nombre Centro Gestion]]</f>
        <v>10225104 - Parque Ingles-Ventas</v>
      </c>
      <c r="G997" s="47" t="str">
        <f>+Centro_Cuenta8[[#This Row],[Código Cuenta Contable]]&amp;" - "&amp;Centro_Cuenta8[[#This Row],[Nombre de Cuenta Contable]]</f>
        <v>4202003 - Serv.Basic.Luz.Agua.Tel Of.C</v>
      </c>
      <c r="H997" s="146" t="str">
        <f>+VLOOKUP(D997,'3. Cuentas'!A:F,6,0)</f>
        <v>SI</v>
      </c>
    </row>
    <row r="998" spans="1:8" x14ac:dyDescent="0.25">
      <c r="A998" s="43">
        <v>10225104</v>
      </c>
      <c r="B998" t="s">
        <v>1044</v>
      </c>
      <c r="C998" s="43" t="s">
        <v>90</v>
      </c>
      <c r="D998" s="43">
        <v>4202010</v>
      </c>
      <c r="E998" t="s">
        <v>87</v>
      </c>
      <c r="F998" s="47" t="str">
        <f>+Centro_Cuenta8[[#This Row],[Codigo Centro Gestion]]&amp;" - "&amp;Centro_Cuenta8[[#This Row],[Nombre Centro Gestion]]</f>
        <v>10225104 - Parque Ingles-Ventas</v>
      </c>
      <c r="G998" s="47" t="str">
        <f>+Centro_Cuenta8[[#This Row],[Código Cuenta Contable]]&amp;" - "&amp;Centro_Cuenta8[[#This Row],[Nombre de Cuenta Contable]]</f>
        <v>4202010 - Artic. Ofic. Fotocop.Papelería</v>
      </c>
      <c r="H998" s="146" t="str">
        <f>+VLOOKUP(D998,'3. Cuentas'!A:F,6,0)</f>
        <v>SI</v>
      </c>
    </row>
    <row r="999" spans="1:8" x14ac:dyDescent="0.25">
      <c r="A999" s="43">
        <v>10225104</v>
      </c>
      <c r="B999" t="s">
        <v>1044</v>
      </c>
      <c r="C999" s="43" t="s">
        <v>90</v>
      </c>
      <c r="D999" s="43">
        <v>4202019</v>
      </c>
      <c r="E999" t="s">
        <v>81</v>
      </c>
      <c r="F999" s="47" t="str">
        <f>+Centro_Cuenta8[[#This Row],[Codigo Centro Gestion]]&amp;" - "&amp;Centro_Cuenta8[[#This Row],[Nombre Centro Gestion]]</f>
        <v>10225104 - Parque Ingles-Ventas</v>
      </c>
      <c r="G999" s="47" t="str">
        <f>+Centro_Cuenta8[[#This Row],[Código Cuenta Contable]]&amp;" - "&amp;Centro_Cuenta8[[#This Row],[Nombre de Cuenta Contable]]</f>
        <v>4202019 - Gasto General Oficina</v>
      </c>
      <c r="H999" s="146" t="str">
        <f>+VLOOKUP(D999,'3. Cuentas'!A:F,6,0)</f>
        <v>SI</v>
      </c>
    </row>
    <row r="1000" spans="1:8" x14ac:dyDescent="0.25">
      <c r="A1000" s="43">
        <v>10225104</v>
      </c>
      <c r="B1000" t="s">
        <v>1044</v>
      </c>
      <c r="C1000" s="43" t="s">
        <v>90</v>
      </c>
      <c r="D1000" s="43">
        <v>4202023</v>
      </c>
      <c r="E1000" t="s">
        <v>82</v>
      </c>
      <c r="F1000" s="47" t="str">
        <f>+Centro_Cuenta8[[#This Row],[Codigo Centro Gestion]]&amp;" - "&amp;Centro_Cuenta8[[#This Row],[Nombre Centro Gestion]]</f>
        <v>10225104 - Parque Ingles-Ventas</v>
      </c>
      <c r="G1000" s="47" t="str">
        <f>+Centro_Cuenta8[[#This Row],[Código Cuenta Contable]]&amp;" - "&amp;Centro_Cuenta8[[#This Row],[Nombre de Cuenta Contable]]</f>
        <v>4202023 - Honorarios Por Asesorías</v>
      </c>
      <c r="H1000" s="146" t="str">
        <f>+VLOOKUP(D1000,'3. Cuentas'!A:F,6,0)</f>
        <v>SI</v>
      </c>
    </row>
    <row r="1001" spans="1:8" x14ac:dyDescent="0.25">
      <c r="A1001" s="43">
        <v>10225104</v>
      </c>
      <c r="B1001" t="s">
        <v>1044</v>
      </c>
      <c r="C1001" s="43" t="s">
        <v>90</v>
      </c>
      <c r="D1001" s="43">
        <v>4202029</v>
      </c>
      <c r="E1001" t="s">
        <v>83</v>
      </c>
      <c r="F1001" s="47" t="str">
        <f>+Centro_Cuenta8[[#This Row],[Codigo Centro Gestion]]&amp;" - "&amp;Centro_Cuenta8[[#This Row],[Nombre Centro Gestion]]</f>
        <v>10225104 - Parque Ingles-Ventas</v>
      </c>
      <c r="G1001" s="47" t="str">
        <f>+Centro_Cuenta8[[#This Row],[Código Cuenta Contable]]&amp;" - "&amp;Centro_Cuenta8[[#This Row],[Nombre de Cuenta Contable]]</f>
        <v>4202029 - Insumos Y Gastos Informáticos</v>
      </c>
      <c r="H1001" s="146" t="str">
        <f>+VLOOKUP(D1001,'3. Cuentas'!A:F,6,0)</f>
        <v>SI</v>
      </c>
    </row>
    <row r="1002" spans="1:8" x14ac:dyDescent="0.25">
      <c r="A1002" s="43">
        <v>10225104</v>
      </c>
      <c r="B1002" t="s">
        <v>1044</v>
      </c>
      <c r="C1002" s="43" t="s">
        <v>90</v>
      </c>
      <c r="D1002" s="43">
        <v>4204021</v>
      </c>
      <c r="E1002" t="s">
        <v>329</v>
      </c>
      <c r="F1002" s="47" t="str">
        <f>+Centro_Cuenta8[[#This Row],[Codigo Centro Gestion]]&amp;" - "&amp;Centro_Cuenta8[[#This Row],[Nombre Centro Gestion]]</f>
        <v>10225104 - Parque Ingles-Ventas</v>
      </c>
      <c r="G1002" s="47" t="str">
        <f>+Centro_Cuenta8[[#This Row],[Código Cuenta Contable]]&amp;" - "&amp;Centro_Cuenta8[[#This Row],[Nombre de Cuenta Contable]]</f>
        <v>4204021 - Publicidad Ferias Y Eventos</v>
      </c>
      <c r="H1002" s="146" t="str">
        <f>+VLOOKUP(D1002,'3. Cuentas'!A:F,6,0)</f>
        <v>SI</v>
      </c>
    </row>
    <row r="1003" spans="1:8" x14ac:dyDescent="0.25">
      <c r="A1003" s="43">
        <v>10225105</v>
      </c>
      <c r="B1003" t="s">
        <v>1045</v>
      </c>
      <c r="C1003" s="43" t="s">
        <v>1622</v>
      </c>
      <c r="D1003" s="43">
        <v>4203020</v>
      </c>
      <c r="E1003" t="s">
        <v>295</v>
      </c>
      <c r="F1003" s="47" t="str">
        <f>+Centro_Cuenta8[[#This Row],[Codigo Centro Gestion]]&amp;" - "&amp;Centro_Cuenta8[[#This Row],[Nombre Centro Gestion]]</f>
        <v>10225105 - Parque Ingles-Clientes</v>
      </c>
      <c r="G1003" s="47" t="str">
        <f>+Centro_Cuenta8[[#This Row],[Código Cuenta Contable]]&amp;" - "&amp;Centro_Cuenta8[[#This Row],[Nombre de Cuenta Contable]]</f>
        <v>4203020 - Mant. y Consum. Viv Stock</v>
      </c>
      <c r="H1003" s="146" t="str">
        <f>+VLOOKUP(D1003,'3. Cuentas'!A:F,6,0)</f>
        <v>SI</v>
      </c>
    </row>
    <row r="1004" spans="1:8" x14ac:dyDescent="0.25">
      <c r="A1004" s="43">
        <v>10225105</v>
      </c>
      <c r="B1004" t="s">
        <v>1045</v>
      </c>
      <c r="C1004" s="43" t="s">
        <v>1622</v>
      </c>
      <c r="D1004" s="43">
        <v>4203120</v>
      </c>
      <c r="E1004" t="s">
        <v>108</v>
      </c>
      <c r="F1004" s="47" t="str">
        <f>+Centro_Cuenta8[[#This Row],[Codigo Centro Gestion]]&amp;" - "&amp;Centro_Cuenta8[[#This Row],[Nombre Centro Gestion]]</f>
        <v>10225105 - Parque Ingles-Clientes</v>
      </c>
      <c r="G1004" s="47" t="str">
        <f>+Centro_Cuenta8[[#This Row],[Código Cuenta Contable]]&amp;" - "&amp;Centro_Cuenta8[[#This Row],[Nombre de Cuenta Contable]]</f>
        <v>4203120 - Gastos Comunes</v>
      </c>
      <c r="H1004" s="146" t="str">
        <f>+VLOOKUP(D1004,'3. Cuentas'!A:F,6,0)</f>
        <v>SI</v>
      </c>
    </row>
    <row r="1005" spans="1:8" x14ac:dyDescent="0.25">
      <c r="A1005" s="43">
        <v>10225105</v>
      </c>
      <c r="B1005" t="s">
        <v>1045</v>
      </c>
      <c r="C1005" s="43" t="s">
        <v>1622</v>
      </c>
      <c r="D1005" s="43">
        <v>4203140</v>
      </c>
      <c r="E1005" t="s">
        <v>109</v>
      </c>
      <c r="F1005" s="47" t="str">
        <f>+Centro_Cuenta8[[#This Row],[Codigo Centro Gestion]]&amp;" - "&amp;Centro_Cuenta8[[#This Row],[Nombre Centro Gestion]]</f>
        <v>10225105 - Parque Ingles-Clientes</v>
      </c>
      <c r="G1005" s="47" t="str">
        <f>+Centro_Cuenta8[[#This Row],[Código Cuenta Contable]]&amp;" - "&amp;Centro_Cuenta8[[#This Row],[Nombre de Cuenta Contable]]</f>
        <v>4203140 - Contribuciones</v>
      </c>
      <c r="H1005" s="146" t="str">
        <f>+VLOOKUP(D1005,'3. Cuentas'!A:F,6,0)</f>
        <v>SI</v>
      </c>
    </row>
    <row r="1006" spans="1:8" x14ac:dyDescent="0.25">
      <c r="A1006" s="43">
        <v>10225204</v>
      </c>
      <c r="B1006" t="s">
        <v>1046</v>
      </c>
      <c r="C1006" s="43" t="s">
        <v>1624</v>
      </c>
      <c r="D1006" s="43">
        <v>1103045</v>
      </c>
      <c r="E1006" t="s">
        <v>323</v>
      </c>
      <c r="F1006" s="47" t="str">
        <f>+Centro_Cuenta8[[#This Row],[Codigo Centro Gestion]]&amp;" - "&amp;Centro_Cuenta8[[#This Row],[Nombre Centro Gestion]]</f>
        <v>10225204 - Parque Ingles-Proyecto</v>
      </c>
      <c r="G1006" s="47" t="str">
        <f>+Centro_Cuenta8[[#This Row],[Código Cuenta Contable]]&amp;" - "&amp;Centro_Cuenta8[[#This Row],[Nombre de Cuenta Contable]]</f>
        <v>1103045 - Aportes reembolsables (electricidad y agua)</v>
      </c>
      <c r="H1006" s="146" t="str">
        <f>+VLOOKUP(D1006,'3. Cuentas'!A:F,6,0)</f>
        <v>SI</v>
      </c>
    </row>
    <row r="1007" spans="1:8" x14ac:dyDescent="0.25">
      <c r="A1007" s="43">
        <v>10225204</v>
      </c>
      <c r="B1007" t="s">
        <v>1046</v>
      </c>
      <c r="C1007" s="43" t="s">
        <v>1624</v>
      </c>
      <c r="D1007" s="43">
        <v>1109020</v>
      </c>
      <c r="E1007" t="s">
        <v>302</v>
      </c>
      <c r="F1007" s="47" t="str">
        <f>+Centro_Cuenta8[[#This Row],[Codigo Centro Gestion]]&amp;" - "&amp;Centro_Cuenta8[[#This Row],[Nombre Centro Gestion]]</f>
        <v>10225204 - Parque Ingles-Proyecto</v>
      </c>
      <c r="G1007" s="47" t="str">
        <f>+Centro_Cuenta8[[#This Row],[Código Cuenta Contable]]&amp;" - "&amp;Centro_Cuenta8[[#This Row],[Nombre de Cuenta Contable]]</f>
        <v>1109020 - Mobiliario</v>
      </c>
      <c r="H1007" s="146" t="str">
        <f>+VLOOKUP(D1007,'3. Cuentas'!A:F,6,0)</f>
        <v>SI</v>
      </c>
    </row>
    <row r="1008" spans="1:8" x14ac:dyDescent="0.25">
      <c r="A1008" s="43">
        <v>10225204</v>
      </c>
      <c r="B1008" t="s">
        <v>1046</v>
      </c>
      <c r="C1008" s="43" t="s">
        <v>1624</v>
      </c>
      <c r="D1008" s="43">
        <v>1110040</v>
      </c>
      <c r="E1008" t="s">
        <v>1505</v>
      </c>
      <c r="F1008" s="47" t="str">
        <f>+Centro_Cuenta8[[#This Row],[Codigo Centro Gestion]]&amp;" - "&amp;Centro_Cuenta8[[#This Row],[Nombre Centro Gestion]]</f>
        <v>10225204 - Parque Ingles-Proyecto</v>
      </c>
      <c r="G1008" s="47" t="str">
        <f>+Centro_Cuenta8[[#This Row],[Código Cuenta Contable]]&amp;" - "&amp;Centro_Cuenta8[[#This Row],[Nombre de Cuenta Contable]]</f>
        <v>1110040 - Garantía Pagadas</v>
      </c>
      <c r="H1008" s="146" t="str">
        <f>+VLOOKUP(D1008,'3. Cuentas'!A:F,6,0)</f>
        <v>SI</v>
      </c>
    </row>
    <row r="1009" spans="1:8" x14ac:dyDescent="0.25">
      <c r="A1009" s="43">
        <v>10225204</v>
      </c>
      <c r="B1009" t="s">
        <v>1046</v>
      </c>
      <c r="C1009" s="43" t="s">
        <v>1624</v>
      </c>
      <c r="D1009" s="43">
        <v>1115040</v>
      </c>
      <c r="E1009" t="s">
        <v>291</v>
      </c>
      <c r="F1009" s="47" t="str">
        <f>+Centro_Cuenta8[[#This Row],[Codigo Centro Gestion]]&amp;" - "&amp;Centro_Cuenta8[[#This Row],[Nombre Centro Gestion]]</f>
        <v>10225204 - Parque Ingles-Proyecto</v>
      </c>
      <c r="G1009" s="47" t="str">
        <f>+Centro_Cuenta8[[#This Row],[Código Cuenta Contable]]&amp;" - "&amp;Centro_Cuenta8[[#This Row],[Nombre de Cuenta Contable]]</f>
        <v>1115040 - Saneamiento De Terreno</v>
      </c>
      <c r="H1009" s="146" t="str">
        <f>+VLOOKUP(D1009,'3. Cuentas'!A:F,6,0)</f>
        <v>SI</v>
      </c>
    </row>
    <row r="1010" spans="1:8" x14ac:dyDescent="0.25">
      <c r="A1010" s="43">
        <v>10225204</v>
      </c>
      <c r="B1010" t="s">
        <v>1046</v>
      </c>
      <c r="C1010" s="43" t="s">
        <v>1624</v>
      </c>
      <c r="D1010" s="43">
        <v>1115050</v>
      </c>
      <c r="E1010" t="s">
        <v>1628</v>
      </c>
      <c r="F1010" s="47" t="str">
        <f>+Centro_Cuenta8[[#This Row],[Codigo Centro Gestion]]&amp;" - "&amp;Centro_Cuenta8[[#This Row],[Nombre Centro Gestion]]</f>
        <v>10225204 - Parque Ingles-Proyecto</v>
      </c>
      <c r="G1010" s="47" t="str">
        <f>+Centro_Cuenta8[[#This Row],[Código Cuenta Contable]]&amp;" - "&amp;Centro_Cuenta8[[#This Row],[Nombre de Cuenta Contable]]</f>
        <v>1115050 - Demolición</v>
      </c>
      <c r="H1010" s="146" t="str">
        <f>+VLOOKUP(D1010,'3. Cuentas'!A:F,6,0)</f>
        <v>SI</v>
      </c>
    </row>
    <row r="1011" spans="1:8" x14ac:dyDescent="0.25">
      <c r="A1011" s="43">
        <v>10225204</v>
      </c>
      <c r="B1011" t="s">
        <v>1046</v>
      </c>
      <c r="C1011" s="43" t="s">
        <v>1624</v>
      </c>
      <c r="D1011" s="43">
        <v>1115100</v>
      </c>
      <c r="E1011" t="s">
        <v>292</v>
      </c>
      <c r="F1011" s="47" t="str">
        <f>+Centro_Cuenta8[[#This Row],[Codigo Centro Gestion]]&amp;" - "&amp;Centro_Cuenta8[[#This Row],[Nombre Centro Gestion]]</f>
        <v>10225204 - Parque Ingles-Proyecto</v>
      </c>
      <c r="G1011" s="47" t="str">
        <f>+Centro_Cuenta8[[#This Row],[Código Cuenta Contable]]&amp;" - "&amp;Centro_Cuenta8[[#This Row],[Nombre de Cuenta Contable]]</f>
        <v>1115100 - Proyectos Y Especialidades</v>
      </c>
      <c r="H1011" s="146" t="str">
        <f>+VLOOKUP(D1011,'3. Cuentas'!A:F,6,0)</f>
        <v>SI</v>
      </c>
    </row>
    <row r="1012" spans="1:8" x14ac:dyDescent="0.25">
      <c r="A1012" s="43">
        <v>10225204</v>
      </c>
      <c r="B1012" t="s">
        <v>1046</v>
      </c>
      <c r="C1012" s="43" t="s">
        <v>1624</v>
      </c>
      <c r="D1012" s="43">
        <v>1115120</v>
      </c>
      <c r="E1012" t="s">
        <v>1633</v>
      </c>
      <c r="F1012" s="47" t="str">
        <f>+Centro_Cuenta8[[#This Row],[Codigo Centro Gestion]]&amp;" - "&amp;Centro_Cuenta8[[#This Row],[Nombre Centro Gestion]]</f>
        <v>10225204 - Parque Ingles-Proyecto</v>
      </c>
      <c r="G1012" s="47" t="str">
        <f>+Centro_Cuenta8[[#This Row],[Código Cuenta Contable]]&amp;" - "&amp;Centro_Cuenta8[[#This Row],[Nombre de Cuenta Contable]]</f>
        <v>1115120 - Instalación Empalmes</v>
      </c>
      <c r="H1012" s="146" t="str">
        <f>+VLOOKUP(D1012,'3. Cuentas'!A:F,6,0)</f>
        <v>SI</v>
      </c>
    </row>
    <row r="1013" spans="1:8" x14ac:dyDescent="0.25">
      <c r="A1013" s="43">
        <v>10225204</v>
      </c>
      <c r="B1013" t="s">
        <v>1046</v>
      </c>
      <c r="C1013" s="43" t="s">
        <v>1624</v>
      </c>
      <c r="D1013" s="43">
        <v>1115170</v>
      </c>
      <c r="E1013" t="s">
        <v>293</v>
      </c>
      <c r="F1013" s="47" t="str">
        <f>+Centro_Cuenta8[[#This Row],[Codigo Centro Gestion]]&amp;" - "&amp;Centro_Cuenta8[[#This Row],[Nombre Centro Gestion]]</f>
        <v>10225204 - Parque Ingles-Proyecto</v>
      </c>
      <c r="G1013" s="47" t="str">
        <f>+Centro_Cuenta8[[#This Row],[Código Cuenta Contable]]&amp;" - "&amp;Centro_Cuenta8[[#This Row],[Nombre de Cuenta Contable]]</f>
        <v>1115170 - Permisos Y Otros Gastos Municipales</v>
      </c>
      <c r="H1013" s="146" t="str">
        <f>+VLOOKUP(D1013,'3. Cuentas'!A:F,6,0)</f>
        <v>SI</v>
      </c>
    </row>
    <row r="1014" spans="1:8" x14ac:dyDescent="0.25">
      <c r="A1014" s="43">
        <v>10225204</v>
      </c>
      <c r="B1014" t="s">
        <v>1046</v>
      </c>
      <c r="C1014" s="43" t="s">
        <v>1624</v>
      </c>
      <c r="D1014" s="43">
        <v>1115240</v>
      </c>
      <c r="E1014" t="s">
        <v>294</v>
      </c>
      <c r="F1014" s="47" t="str">
        <f>+Centro_Cuenta8[[#This Row],[Codigo Centro Gestion]]&amp;" - "&amp;Centro_Cuenta8[[#This Row],[Nombre Centro Gestion]]</f>
        <v>10225204 - Parque Ingles-Proyecto</v>
      </c>
      <c r="G1014" s="47" t="str">
        <f>+Centro_Cuenta8[[#This Row],[Código Cuenta Contable]]&amp;" - "&amp;Centro_Cuenta8[[#This Row],[Nombre de Cuenta Contable]]</f>
        <v>1115240 - Estudios Y Asesorias Técnicas</v>
      </c>
      <c r="H1014" s="146" t="str">
        <f>+VLOOKUP(D1014,'3. Cuentas'!A:F,6,0)</f>
        <v>SI</v>
      </c>
    </row>
    <row r="1015" spans="1:8" x14ac:dyDescent="0.25">
      <c r="A1015" s="43">
        <v>10225204</v>
      </c>
      <c r="B1015" t="s">
        <v>1046</v>
      </c>
      <c r="C1015" s="43" t="s">
        <v>1624</v>
      </c>
      <c r="D1015" s="43">
        <v>4203090</v>
      </c>
      <c r="E1015" t="s">
        <v>192</v>
      </c>
      <c r="F1015" s="47" t="str">
        <f>+Centro_Cuenta8[[#This Row],[Codigo Centro Gestion]]&amp;" - "&amp;Centro_Cuenta8[[#This Row],[Nombre Centro Gestion]]</f>
        <v>10225204 - Parque Ingles-Proyecto</v>
      </c>
      <c r="G1015" s="47" t="str">
        <f>+Centro_Cuenta8[[#This Row],[Código Cuenta Contable]]&amp;" - "&amp;Centro_Cuenta8[[#This Row],[Nombre de Cuenta Contable]]</f>
        <v>4203090 - Gastos Legales Y Notariales Proyecto</v>
      </c>
      <c r="H1015" s="146" t="str">
        <f>+VLOOKUP(D1015,'3. Cuentas'!A:F,6,0)</f>
        <v>SI</v>
      </c>
    </row>
    <row r="1016" spans="1:8" x14ac:dyDescent="0.25">
      <c r="A1016" s="43">
        <v>10225204</v>
      </c>
      <c r="B1016" t="s">
        <v>1046</v>
      </c>
      <c r="C1016" s="43" t="s">
        <v>1624</v>
      </c>
      <c r="D1016" s="43">
        <v>4203140</v>
      </c>
      <c r="E1016" t="s">
        <v>109</v>
      </c>
      <c r="F1016" s="47" t="str">
        <f>+Centro_Cuenta8[[#This Row],[Codigo Centro Gestion]]&amp;" - "&amp;Centro_Cuenta8[[#This Row],[Nombre Centro Gestion]]</f>
        <v>10225204 - Parque Ingles-Proyecto</v>
      </c>
      <c r="G1016" s="47" t="str">
        <f>+Centro_Cuenta8[[#This Row],[Código Cuenta Contable]]&amp;" - "&amp;Centro_Cuenta8[[#This Row],[Nombre de Cuenta Contable]]</f>
        <v>4203140 - Contribuciones</v>
      </c>
      <c r="H1016" s="146" t="str">
        <f>+VLOOKUP(D1016,'3. Cuentas'!A:F,6,0)</f>
        <v>SI</v>
      </c>
    </row>
    <row r="1017" spans="1:8" x14ac:dyDescent="0.25">
      <c r="A1017" s="43">
        <v>10225204</v>
      </c>
      <c r="B1017" t="s">
        <v>1046</v>
      </c>
      <c r="C1017" s="43" t="s">
        <v>1624</v>
      </c>
      <c r="D1017" s="43">
        <v>4203150</v>
      </c>
      <c r="E1017" t="s">
        <v>156</v>
      </c>
      <c r="F1017" s="47" t="str">
        <f>+Centro_Cuenta8[[#This Row],[Codigo Centro Gestion]]&amp;" - "&amp;Centro_Cuenta8[[#This Row],[Nombre Centro Gestion]]</f>
        <v>10225204 - Parque Ingles-Proyecto</v>
      </c>
      <c r="G1017" s="47" t="str">
        <f>+Centro_Cuenta8[[#This Row],[Código Cuenta Contable]]&amp;" - "&amp;Centro_Cuenta8[[#This Row],[Nombre de Cuenta Contable]]</f>
        <v>4203150 - Gastos CBR</v>
      </c>
      <c r="H1017" s="146" t="str">
        <f>+VLOOKUP(D1017,'3. Cuentas'!A:F,6,0)</f>
        <v>SI</v>
      </c>
    </row>
    <row r="1018" spans="1:8" x14ac:dyDescent="0.25">
      <c r="A1018" s="43">
        <v>10225204</v>
      </c>
      <c r="B1018" t="s">
        <v>1046</v>
      </c>
      <c r="C1018" s="43" t="s">
        <v>1624</v>
      </c>
      <c r="D1018" s="43">
        <v>4203160</v>
      </c>
      <c r="E1018" t="s">
        <v>1639</v>
      </c>
      <c r="F1018" s="47" t="str">
        <f>+Centro_Cuenta8[[#This Row],[Codigo Centro Gestion]]&amp;" - "&amp;Centro_Cuenta8[[#This Row],[Nombre Centro Gestion]]</f>
        <v>10225204 - Parque Ingles-Proyecto</v>
      </c>
      <c r="G1018" s="47" t="str">
        <f>+Centro_Cuenta8[[#This Row],[Código Cuenta Contable]]&amp;" - "&amp;Centro_Cuenta8[[#This Row],[Nombre de Cuenta Contable]]</f>
        <v>4203160 - PAPELERIA Y FOTOCOPIADO</v>
      </c>
      <c r="H1018" s="146" t="str">
        <f>+VLOOKUP(D1018,'3. Cuentas'!A:F,6,0)</f>
        <v>SI</v>
      </c>
    </row>
    <row r="1019" spans="1:8" x14ac:dyDescent="0.25">
      <c r="A1019" s="43">
        <v>10225204</v>
      </c>
      <c r="B1019" t="s">
        <v>1046</v>
      </c>
      <c r="C1019" s="43" t="s">
        <v>1624</v>
      </c>
      <c r="D1019" s="43">
        <v>4203180</v>
      </c>
      <c r="E1019" t="s">
        <v>1640</v>
      </c>
      <c r="F1019" s="47" t="str">
        <f>+Centro_Cuenta8[[#This Row],[Codigo Centro Gestion]]&amp;" - "&amp;Centro_Cuenta8[[#This Row],[Nombre Centro Gestion]]</f>
        <v>10225204 - Parque Ingles-Proyecto</v>
      </c>
      <c r="G1019" s="47" t="str">
        <f>+Centro_Cuenta8[[#This Row],[Código Cuenta Contable]]&amp;" - "&amp;Centro_Cuenta8[[#This Row],[Nombre de Cuenta Contable]]</f>
        <v>4203180 - Otros Gastos y Aseso Proy</v>
      </c>
      <c r="H1019" s="146" t="str">
        <f>+VLOOKUP(D1019,'3. Cuentas'!A:F,6,0)</f>
        <v>SI</v>
      </c>
    </row>
    <row r="1020" spans="1:8" x14ac:dyDescent="0.25">
      <c r="A1020" s="43">
        <v>10225301</v>
      </c>
      <c r="B1020" t="s">
        <v>1047</v>
      </c>
      <c r="C1020" s="43" t="s">
        <v>1643</v>
      </c>
      <c r="D1020" s="43">
        <v>4203090</v>
      </c>
      <c r="E1020" t="s">
        <v>192</v>
      </c>
      <c r="F1020" s="47" t="str">
        <f>+Centro_Cuenta8[[#This Row],[Codigo Centro Gestion]]&amp;" - "&amp;Centro_Cuenta8[[#This Row],[Nombre Centro Gestion]]</f>
        <v>10225301 - Parque Ingles-GAF</v>
      </c>
      <c r="G1020" s="47" t="str">
        <f>+Centro_Cuenta8[[#This Row],[Código Cuenta Contable]]&amp;" - "&amp;Centro_Cuenta8[[#This Row],[Nombre de Cuenta Contable]]</f>
        <v>4203090 - Gastos Legales Y Notariales Proyecto</v>
      </c>
      <c r="H1020" s="146" t="str">
        <f>+VLOOKUP(D1020,'3. Cuentas'!A:F,6,0)</f>
        <v>SI</v>
      </c>
    </row>
    <row r="1021" spans="1:8" x14ac:dyDescent="0.25">
      <c r="A1021" s="43">
        <v>10225301</v>
      </c>
      <c r="B1021" t="s">
        <v>1047</v>
      </c>
      <c r="C1021" s="43" t="s">
        <v>1643</v>
      </c>
      <c r="D1021" s="43">
        <v>4203140</v>
      </c>
      <c r="E1021" t="s">
        <v>109</v>
      </c>
      <c r="F1021" s="47" t="str">
        <f>+Centro_Cuenta8[[#This Row],[Codigo Centro Gestion]]&amp;" - "&amp;Centro_Cuenta8[[#This Row],[Nombre Centro Gestion]]</f>
        <v>10225301 - Parque Ingles-GAF</v>
      </c>
      <c r="G1021" s="47" t="str">
        <f>+Centro_Cuenta8[[#This Row],[Código Cuenta Contable]]&amp;" - "&amp;Centro_Cuenta8[[#This Row],[Nombre de Cuenta Contable]]</f>
        <v>4203140 - Contribuciones</v>
      </c>
      <c r="H1021" s="146" t="str">
        <f>+VLOOKUP(D1021,'3. Cuentas'!A:F,6,0)</f>
        <v>SI</v>
      </c>
    </row>
    <row r="1022" spans="1:8" x14ac:dyDescent="0.25">
      <c r="A1022" s="43">
        <v>10225506</v>
      </c>
      <c r="B1022" t="s">
        <v>1049</v>
      </c>
      <c r="C1022" s="43" t="s">
        <v>200</v>
      </c>
      <c r="D1022" s="43">
        <v>1115100</v>
      </c>
      <c r="E1022" t="s">
        <v>292</v>
      </c>
      <c r="F1022" s="47" t="str">
        <f>+Centro_Cuenta8[[#This Row],[Codigo Centro Gestion]]&amp;" - "&amp;Centro_Cuenta8[[#This Row],[Nombre Centro Gestion]]</f>
        <v>10225506 - Parque Ingles-Depto.Técnico</v>
      </c>
      <c r="G1022" s="47" t="str">
        <f>+Centro_Cuenta8[[#This Row],[Código Cuenta Contable]]&amp;" - "&amp;Centro_Cuenta8[[#This Row],[Nombre de Cuenta Contable]]</f>
        <v>1115100 - Proyectos Y Especialidades</v>
      </c>
      <c r="H1022" s="146" t="str">
        <f>+VLOOKUP(D1022,'3. Cuentas'!A:F,6,0)</f>
        <v>SI</v>
      </c>
    </row>
    <row r="1023" spans="1:8" x14ac:dyDescent="0.25">
      <c r="A1023" s="43">
        <v>10226102</v>
      </c>
      <c r="B1023" t="s">
        <v>1051</v>
      </c>
      <c r="C1023" s="43" t="s">
        <v>1617</v>
      </c>
      <c r="D1023" s="43">
        <v>4204010</v>
      </c>
      <c r="E1023" t="s">
        <v>313</v>
      </c>
      <c r="F1023" s="47" t="str">
        <f>+Centro_Cuenta8[[#This Row],[Codigo Centro Gestion]]&amp;" - "&amp;Centro_Cuenta8[[#This Row],[Nombre Centro Gestion]]</f>
        <v>10226102 - Conde del Maule 4676-Marketing</v>
      </c>
      <c r="G1023" s="47" t="str">
        <f>+Centro_Cuenta8[[#This Row],[Código Cuenta Contable]]&amp;" - "&amp;Centro_Cuenta8[[#This Row],[Nombre de Cuenta Contable]]</f>
        <v>4204010 - Publicidad Punto Venta</v>
      </c>
      <c r="H1023" s="146" t="str">
        <f>+VLOOKUP(D1023,'3. Cuentas'!A:F,6,0)</f>
        <v>SI</v>
      </c>
    </row>
    <row r="1024" spans="1:8" x14ac:dyDescent="0.25">
      <c r="A1024" s="43">
        <v>10226102</v>
      </c>
      <c r="B1024" t="s">
        <v>1051</v>
      </c>
      <c r="C1024" s="43" t="s">
        <v>1617</v>
      </c>
      <c r="D1024" s="43">
        <v>4204021</v>
      </c>
      <c r="E1024" t="s">
        <v>329</v>
      </c>
      <c r="F1024" s="47" t="str">
        <f>+Centro_Cuenta8[[#This Row],[Codigo Centro Gestion]]&amp;" - "&amp;Centro_Cuenta8[[#This Row],[Nombre Centro Gestion]]</f>
        <v>10226102 - Conde del Maule 4676-Marketing</v>
      </c>
      <c r="G1024" s="47" t="str">
        <f>+Centro_Cuenta8[[#This Row],[Código Cuenta Contable]]&amp;" - "&amp;Centro_Cuenta8[[#This Row],[Nombre de Cuenta Contable]]</f>
        <v>4204021 - Publicidad Ferias Y Eventos</v>
      </c>
      <c r="H1024" s="146" t="str">
        <f>+VLOOKUP(D1024,'3. Cuentas'!A:F,6,0)</f>
        <v>SI</v>
      </c>
    </row>
    <row r="1025" spans="1:8" x14ac:dyDescent="0.25">
      <c r="A1025" s="43">
        <v>10226103</v>
      </c>
      <c r="B1025" t="s">
        <v>1052</v>
      </c>
      <c r="C1025" s="43" t="s">
        <v>1618</v>
      </c>
      <c r="D1025" s="43">
        <v>4203060</v>
      </c>
      <c r="E1025" t="s">
        <v>321</v>
      </c>
      <c r="F1025" s="47" t="str">
        <f>+Centro_Cuenta8[[#This Row],[Codigo Centro Gestion]]&amp;" - "&amp;Centro_Cuenta8[[#This Row],[Nombre Centro Gestion]]</f>
        <v>10226103 - Conde del Maule 4676-Operaciones</v>
      </c>
      <c r="G1025" s="47" t="str">
        <f>+Centro_Cuenta8[[#This Row],[Código Cuenta Contable]]&amp;" - "&amp;Centro_Cuenta8[[#This Row],[Nombre de Cuenta Contable]]</f>
        <v>4203060 - Gastos Operacionales De Clientes</v>
      </c>
      <c r="H1025" s="146" t="str">
        <f>+VLOOKUP(D1025,'3. Cuentas'!A:F,6,0)</f>
        <v>SI</v>
      </c>
    </row>
    <row r="1026" spans="1:8" x14ac:dyDescent="0.25">
      <c r="A1026" s="43">
        <v>10226103</v>
      </c>
      <c r="B1026" t="s">
        <v>1052</v>
      </c>
      <c r="C1026" s="43" t="s">
        <v>1618</v>
      </c>
      <c r="D1026" s="43">
        <v>4203090</v>
      </c>
      <c r="E1026" t="s">
        <v>192</v>
      </c>
      <c r="F1026" s="47" t="str">
        <f>+Centro_Cuenta8[[#This Row],[Codigo Centro Gestion]]&amp;" - "&amp;Centro_Cuenta8[[#This Row],[Nombre Centro Gestion]]</f>
        <v>10226103 - Conde del Maule 4676-Operaciones</v>
      </c>
      <c r="G1026" s="47" t="str">
        <f>+Centro_Cuenta8[[#This Row],[Código Cuenta Contable]]&amp;" - "&amp;Centro_Cuenta8[[#This Row],[Nombre de Cuenta Contable]]</f>
        <v>4203090 - Gastos Legales Y Notariales Proyecto</v>
      </c>
      <c r="H1026" s="146" t="str">
        <f>+VLOOKUP(D1026,'3. Cuentas'!A:F,6,0)</f>
        <v>SI</v>
      </c>
    </row>
    <row r="1027" spans="1:8" x14ac:dyDescent="0.25">
      <c r="A1027" s="43">
        <v>10226104</v>
      </c>
      <c r="B1027" t="s">
        <v>1053</v>
      </c>
      <c r="C1027" s="43" t="s">
        <v>90</v>
      </c>
      <c r="D1027" s="43">
        <v>1110040</v>
      </c>
      <c r="E1027" t="s">
        <v>1505</v>
      </c>
      <c r="F1027" s="47" t="str">
        <f>+Centro_Cuenta8[[#This Row],[Codigo Centro Gestion]]&amp;" - "&amp;Centro_Cuenta8[[#This Row],[Nombre Centro Gestion]]</f>
        <v>10226104 - Conde del Maule 4676-Ventas</v>
      </c>
      <c r="G1027" s="47" t="str">
        <f>+Centro_Cuenta8[[#This Row],[Código Cuenta Contable]]&amp;" - "&amp;Centro_Cuenta8[[#This Row],[Nombre de Cuenta Contable]]</f>
        <v>1110040 - Garantía Pagadas</v>
      </c>
      <c r="H1027" s="146" t="str">
        <f>+VLOOKUP(D1027,'3. Cuentas'!A:F,6,0)</f>
        <v>SI</v>
      </c>
    </row>
    <row r="1028" spans="1:8" x14ac:dyDescent="0.25">
      <c r="A1028" s="43">
        <v>10226104</v>
      </c>
      <c r="B1028" t="s">
        <v>1053</v>
      </c>
      <c r="C1028" s="43" t="s">
        <v>90</v>
      </c>
      <c r="D1028" s="43">
        <v>4202003</v>
      </c>
      <c r="E1028" t="s">
        <v>106</v>
      </c>
      <c r="F1028" s="47" t="str">
        <f>+Centro_Cuenta8[[#This Row],[Codigo Centro Gestion]]&amp;" - "&amp;Centro_Cuenta8[[#This Row],[Nombre Centro Gestion]]</f>
        <v>10226104 - Conde del Maule 4676-Ventas</v>
      </c>
      <c r="G1028" s="47" t="str">
        <f>+Centro_Cuenta8[[#This Row],[Código Cuenta Contable]]&amp;" - "&amp;Centro_Cuenta8[[#This Row],[Nombre de Cuenta Contable]]</f>
        <v>4202003 - Serv.Basic.Luz.Agua.Tel Of.C</v>
      </c>
      <c r="H1028" s="146" t="str">
        <f>+VLOOKUP(D1028,'3. Cuentas'!A:F,6,0)</f>
        <v>SI</v>
      </c>
    </row>
    <row r="1029" spans="1:8" x14ac:dyDescent="0.25">
      <c r="A1029" s="43">
        <v>10226104</v>
      </c>
      <c r="B1029" t="s">
        <v>1053</v>
      </c>
      <c r="C1029" s="43" t="s">
        <v>90</v>
      </c>
      <c r="D1029" s="43">
        <v>4202010</v>
      </c>
      <c r="E1029" t="s">
        <v>87</v>
      </c>
      <c r="F1029" s="47" t="str">
        <f>+Centro_Cuenta8[[#This Row],[Codigo Centro Gestion]]&amp;" - "&amp;Centro_Cuenta8[[#This Row],[Nombre Centro Gestion]]</f>
        <v>10226104 - Conde del Maule 4676-Ventas</v>
      </c>
      <c r="G1029" s="47" t="str">
        <f>+Centro_Cuenta8[[#This Row],[Código Cuenta Contable]]&amp;" - "&amp;Centro_Cuenta8[[#This Row],[Nombre de Cuenta Contable]]</f>
        <v>4202010 - Artic. Ofic. Fotocop.Papelería</v>
      </c>
      <c r="H1029" s="146" t="str">
        <f>+VLOOKUP(D1029,'3. Cuentas'!A:F,6,0)</f>
        <v>SI</v>
      </c>
    </row>
    <row r="1030" spans="1:8" x14ac:dyDescent="0.25">
      <c r="A1030" s="43">
        <v>10226104</v>
      </c>
      <c r="B1030" t="s">
        <v>1053</v>
      </c>
      <c r="C1030" s="43" t="s">
        <v>90</v>
      </c>
      <c r="D1030" s="43">
        <v>4202019</v>
      </c>
      <c r="E1030" t="s">
        <v>81</v>
      </c>
      <c r="F1030" s="47" t="str">
        <f>+Centro_Cuenta8[[#This Row],[Codigo Centro Gestion]]&amp;" - "&amp;Centro_Cuenta8[[#This Row],[Nombre Centro Gestion]]</f>
        <v>10226104 - Conde del Maule 4676-Ventas</v>
      </c>
      <c r="G1030" s="47" t="str">
        <f>+Centro_Cuenta8[[#This Row],[Código Cuenta Contable]]&amp;" - "&amp;Centro_Cuenta8[[#This Row],[Nombre de Cuenta Contable]]</f>
        <v>4202019 - Gasto General Oficina</v>
      </c>
      <c r="H1030" s="146" t="str">
        <f>+VLOOKUP(D1030,'3. Cuentas'!A:F,6,0)</f>
        <v>SI</v>
      </c>
    </row>
    <row r="1031" spans="1:8" x14ac:dyDescent="0.25">
      <c r="A1031" s="43">
        <v>10226104</v>
      </c>
      <c r="B1031" t="s">
        <v>1053</v>
      </c>
      <c r="C1031" s="43" t="s">
        <v>90</v>
      </c>
      <c r="D1031" s="43">
        <v>4202023</v>
      </c>
      <c r="E1031" t="s">
        <v>82</v>
      </c>
      <c r="F1031" s="47" t="str">
        <f>+Centro_Cuenta8[[#This Row],[Codigo Centro Gestion]]&amp;" - "&amp;Centro_Cuenta8[[#This Row],[Nombre Centro Gestion]]</f>
        <v>10226104 - Conde del Maule 4676-Ventas</v>
      </c>
      <c r="G1031" s="47" t="str">
        <f>+Centro_Cuenta8[[#This Row],[Código Cuenta Contable]]&amp;" - "&amp;Centro_Cuenta8[[#This Row],[Nombre de Cuenta Contable]]</f>
        <v>4202023 - Honorarios Por Asesorías</v>
      </c>
      <c r="H1031" s="146" t="str">
        <f>+VLOOKUP(D1031,'3. Cuentas'!A:F,6,0)</f>
        <v>SI</v>
      </c>
    </row>
    <row r="1032" spans="1:8" x14ac:dyDescent="0.25">
      <c r="A1032" s="43">
        <v>10226104</v>
      </c>
      <c r="B1032" t="s">
        <v>1053</v>
      </c>
      <c r="C1032" s="43" t="s">
        <v>90</v>
      </c>
      <c r="D1032" s="43">
        <v>4202029</v>
      </c>
      <c r="E1032" t="s">
        <v>83</v>
      </c>
      <c r="F1032" s="47" t="str">
        <f>+Centro_Cuenta8[[#This Row],[Codigo Centro Gestion]]&amp;" - "&amp;Centro_Cuenta8[[#This Row],[Nombre Centro Gestion]]</f>
        <v>10226104 - Conde del Maule 4676-Ventas</v>
      </c>
      <c r="G1032" s="47" t="str">
        <f>+Centro_Cuenta8[[#This Row],[Código Cuenta Contable]]&amp;" - "&amp;Centro_Cuenta8[[#This Row],[Nombre de Cuenta Contable]]</f>
        <v>4202029 - Insumos Y Gastos Informáticos</v>
      </c>
      <c r="H1032" s="146" t="str">
        <f>+VLOOKUP(D1032,'3. Cuentas'!A:F,6,0)</f>
        <v>SI</v>
      </c>
    </row>
    <row r="1033" spans="1:8" x14ac:dyDescent="0.25">
      <c r="A1033" s="43">
        <v>10226104</v>
      </c>
      <c r="B1033" t="s">
        <v>1053</v>
      </c>
      <c r="C1033" s="43" t="s">
        <v>90</v>
      </c>
      <c r="D1033" s="43">
        <v>4204021</v>
      </c>
      <c r="E1033" t="s">
        <v>329</v>
      </c>
      <c r="F1033" s="47" t="str">
        <f>+Centro_Cuenta8[[#This Row],[Codigo Centro Gestion]]&amp;" - "&amp;Centro_Cuenta8[[#This Row],[Nombre Centro Gestion]]</f>
        <v>10226104 - Conde del Maule 4676-Ventas</v>
      </c>
      <c r="G1033" s="47" t="str">
        <f>+Centro_Cuenta8[[#This Row],[Código Cuenta Contable]]&amp;" - "&amp;Centro_Cuenta8[[#This Row],[Nombre de Cuenta Contable]]</f>
        <v>4204021 - Publicidad Ferias Y Eventos</v>
      </c>
      <c r="H1033" s="146" t="str">
        <f>+VLOOKUP(D1033,'3. Cuentas'!A:F,6,0)</f>
        <v>SI</v>
      </c>
    </row>
    <row r="1034" spans="1:8" x14ac:dyDescent="0.25">
      <c r="A1034" s="43">
        <v>10226105</v>
      </c>
      <c r="B1034" t="s">
        <v>1054</v>
      </c>
      <c r="C1034" s="43" t="s">
        <v>1622</v>
      </c>
      <c r="D1034" s="43">
        <v>4203020</v>
      </c>
      <c r="E1034" t="s">
        <v>295</v>
      </c>
      <c r="F1034" s="47" t="str">
        <f>+Centro_Cuenta8[[#This Row],[Codigo Centro Gestion]]&amp;" - "&amp;Centro_Cuenta8[[#This Row],[Nombre Centro Gestion]]</f>
        <v>10226105 - Conde del Maule 4676-Clientes</v>
      </c>
      <c r="G1034" s="47" t="str">
        <f>+Centro_Cuenta8[[#This Row],[Código Cuenta Contable]]&amp;" - "&amp;Centro_Cuenta8[[#This Row],[Nombre de Cuenta Contable]]</f>
        <v>4203020 - Mant. y Consum. Viv Stock</v>
      </c>
      <c r="H1034" s="146" t="str">
        <f>+VLOOKUP(D1034,'3. Cuentas'!A:F,6,0)</f>
        <v>SI</v>
      </c>
    </row>
    <row r="1035" spans="1:8" x14ac:dyDescent="0.25">
      <c r="A1035" s="43">
        <v>10226105</v>
      </c>
      <c r="B1035" t="s">
        <v>1054</v>
      </c>
      <c r="C1035" s="43" t="s">
        <v>1622</v>
      </c>
      <c r="D1035" s="43">
        <v>4203120</v>
      </c>
      <c r="E1035" t="s">
        <v>108</v>
      </c>
      <c r="F1035" s="47" t="str">
        <f>+Centro_Cuenta8[[#This Row],[Codigo Centro Gestion]]&amp;" - "&amp;Centro_Cuenta8[[#This Row],[Nombre Centro Gestion]]</f>
        <v>10226105 - Conde del Maule 4676-Clientes</v>
      </c>
      <c r="G1035" s="47" t="str">
        <f>+Centro_Cuenta8[[#This Row],[Código Cuenta Contable]]&amp;" - "&amp;Centro_Cuenta8[[#This Row],[Nombre de Cuenta Contable]]</f>
        <v>4203120 - Gastos Comunes</v>
      </c>
      <c r="H1035" s="146" t="str">
        <f>+VLOOKUP(D1035,'3. Cuentas'!A:F,6,0)</f>
        <v>SI</v>
      </c>
    </row>
    <row r="1036" spans="1:8" x14ac:dyDescent="0.25">
      <c r="A1036" s="43">
        <v>10226105</v>
      </c>
      <c r="B1036" t="s">
        <v>1054</v>
      </c>
      <c r="C1036" s="43" t="s">
        <v>1622</v>
      </c>
      <c r="D1036" s="43">
        <v>4203140</v>
      </c>
      <c r="E1036" t="s">
        <v>109</v>
      </c>
      <c r="F1036" s="47" t="str">
        <f>+Centro_Cuenta8[[#This Row],[Codigo Centro Gestion]]&amp;" - "&amp;Centro_Cuenta8[[#This Row],[Nombre Centro Gestion]]</f>
        <v>10226105 - Conde del Maule 4676-Clientes</v>
      </c>
      <c r="G1036" s="47" t="str">
        <f>+Centro_Cuenta8[[#This Row],[Código Cuenta Contable]]&amp;" - "&amp;Centro_Cuenta8[[#This Row],[Nombre de Cuenta Contable]]</f>
        <v>4203140 - Contribuciones</v>
      </c>
      <c r="H1036" s="146" t="str">
        <f>+VLOOKUP(D1036,'3. Cuentas'!A:F,6,0)</f>
        <v>SI</v>
      </c>
    </row>
    <row r="1037" spans="1:8" x14ac:dyDescent="0.25">
      <c r="A1037" s="43">
        <v>10226204</v>
      </c>
      <c r="B1037" t="s">
        <v>1055</v>
      </c>
      <c r="C1037" s="43" t="s">
        <v>1624</v>
      </c>
      <c r="D1037" s="43">
        <v>1103045</v>
      </c>
      <c r="E1037" t="s">
        <v>323</v>
      </c>
      <c r="F1037" s="47" t="str">
        <f>+Centro_Cuenta8[[#This Row],[Codigo Centro Gestion]]&amp;" - "&amp;Centro_Cuenta8[[#This Row],[Nombre Centro Gestion]]</f>
        <v>10226204 - Conde del Maule 4676-Proyecto</v>
      </c>
      <c r="G1037" s="47" t="str">
        <f>+Centro_Cuenta8[[#This Row],[Código Cuenta Contable]]&amp;" - "&amp;Centro_Cuenta8[[#This Row],[Nombre de Cuenta Contable]]</f>
        <v>1103045 - Aportes reembolsables (electricidad y agua)</v>
      </c>
      <c r="H1037" s="146" t="str">
        <f>+VLOOKUP(D1037,'3. Cuentas'!A:F,6,0)</f>
        <v>SI</v>
      </c>
    </row>
    <row r="1038" spans="1:8" x14ac:dyDescent="0.25">
      <c r="A1038" s="43">
        <v>10226204</v>
      </c>
      <c r="B1038" t="s">
        <v>1055</v>
      </c>
      <c r="C1038" s="43" t="s">
        <v>1624</v>
      </c>
      <c r="D1038" s="43">
        <v>1109020</v>
      </c>
      <c r="E1038" t="s">
        <v>302</v>
      </c>
      <c r="F1038" s="47" t="str">
        <f>+Centro_Cuenta8[[#This Row],[Codigo Centro Gestion]]&amp;" - "&amp;Centro_Cuenta8[[#This Row],[Nombre Centro Gestion]]</f>
        <v>10226204 - Conde del Maule 4676-Proyecto</v>
      </c>
      <c r="G1038" s="47" t="str">
        <f>+Centro_Cuenta8[[#This Row],[Código Cuenta Contable]]&amp;" - "&amp;Centro_Cuenta8[[#This Row],[Nombre de Cuenta Contable]]</f>
        <v>1109020 - Mobiliario</v>
      </c>
      <c r="H1038" s="146" t="str">
        <f>+VLOOKUP(D1038,'3. Cuentas'!A:F,6,0)</f>
        <v>SI</v>
      </c>
    </row>
    <row r="1039" spans="1:8" x14ac:dyDescent="0.25">
      <c r="A1039" s="43">
        <v>10226204</v>
      </c>
      <c r="B1039" t="s">
        <v>1055</v>
      </c>
      <c r="C1039" s="43" t="s">
        <v>1624</v>
      </c>
      <c r="D1039" s="43">
        <v>1110040</v>
      </c>
      <c r="E1039" t="s">
        <v>1505</v>
      </c>
      <c r="F1039" s="47" t="str">
        <f>+Centro_Cuenta8[[#This Row],[Codigo Centro Gestion]]&amp;" - "&amp;Centro_Cuenta8[[#This Row],[Nombre Centro Gestion]]</f>
        <v>10226204 - Conde del Maule 4676-Proyecto</v>
      </c>
      <c r="G1039" s="47" t="str">
        <f>+Centro_Cuenta8[[#This Row],[Código Cuenta Contable]]&amp;" - "&amp;Centro_Cuenta8[[#This Row],[Nombre de Cuenta Contable]]</f>
        <v>1110040 - Garantía Pagadas</v>
      </c>
      <c r="H1039" s="146" t="str">
        <f>+VLOOKUP(D1039,'3. Cuentas'!A:F,6,0)</f>
        <v>SI</v>
      </c>
    </row>
    <row r="1040" spans="1:8" x14ac:dyDescent="0.25">
      <c r="A1040" s="43">
        <v>10226204</v>
      </c>
      <c r="B1040" t="s">
        <v>1055</v>
      </c>
      <c r="C1040" s="43" t="s">
        <v>1624</v>
      </c>
      <c r="D1040" s="43">
        <v>1115040</v>
      </c>
      <c r="E1040" t="s">
        <v>291</v>
      </c>
      <c r="F1040" s="47" t="str">
        <f>+Centro_Cuenta8[[#This Row],[Codigo Centro Gestion]]&amp;" - "&amp;Centro_Cuenta8[[#This Row],[Nombre Centro Gestion]]</f>
        <v>10226204 - Conde del Maule 4676-Proyecto</v>
      </c>
      <c r="G1040" s="47" t="str">
        <f>+Centro_Cuenta8[[#This Row],[Código Cuenta Contable]]&amp;" - "&amp;Centro_Cuenta8[[#This Row],[Nombre de Cuenta Contable]]</f>
        <v>1115040 - Saneamiento De Terreno</v>
      </c>
      <c r="H1040" s="146" t="str">
        <f>+VLOOKUP(D1040,'3. Cuentas'!A:F,6,0)</f>
        <v>SI</v>
      </c>
    </row>
    <row r="1041" spans="1:8" x14ac:dyDescent="0.25">
      <c r="A1041" s="43">
        <v>10226204</v>
      </c>
      <c r="B1041" t="s">
        <v>1055</v>
      </c>
      <c r="C1041" s="43" t="s">
        <v>1624</v>
      </c>
      <c r="D1041" s="43">
        <v>1115050</v>
      </c>
      <c r="E1041" t="s">
        <v>1628</v>
      </c>
      <c r="F1041" s="47" t="str">
        <f>+Centro_Cuenta8[[#This Row],[Codigo Centro Gestion]]&amp;" - "&amp;Centro_Cuenta8[[#This Row],[Nombre Centro Gestion]]</f>
        <v>10226204 - Conde del Maule 4676-Proyecto</v>
      </c>
      <c r="G1041" s="47" t="str">
        <f>+Centro_Cuenta8[[#This Row],[Código Cuenta Contable]]&amp;" - "&amp;Centro_Cuenta8[[#This Row],[Nombre de Cuenta Contable]]</f>
        <v>1115050 - Demolición</v>
      </c>
      <c r="H1041" s="146" t="str">
        <f>+VLOOKUP(D1041,'3. Cuentas'!A:F,6,0)</f>
        <v>SI</v>
      </c>
    </row>
    <row r="1042" spans="1:8" x14ac:dyDescent="0.25">
      <c r="A1042" s="43">
        <v>10226204</v>
      </c>
      <c r="B1042" t="s">
        <v>1055</v>
      </c>
      <c r="C1042" s="43" t="s">
        <v>1624</v>
      </c>
      <c r="D1042" s="43">
        <v>1115100</v>
      </c>
      <c r="E1042" t="s">
        <v>292</v>
      </c>
      <c r="F1042" s="47" t="str">
        <f>+Centro_Cuenta8[[#This Row],[Codigo Centro Gestion]]&amp;" - "&amp;Centro_Cuenta8[[#This Row],[Nombre Centro Gestion]]</f>
        <v>10226204 - Conde del Maule 4676-Proyecto</v>
      </c>
      <c r="G1042" s="47" t="str">
        <f>+Centro_Cuenta8[[#This Row],[Código Cuenta Contable]]&amp;" - "&amp;Centro_Cuenta8[[#This Row],[Nombre de Cuenta Contable]]</f>
        <v>1115100 - Proyectos Y Especialidades</v>
      </c>
      <c r="H1042" s="146" t="str">
        <f>+VLOOKUP(D1042,'3. Cuentas'!A:F,6,0)</f>
        <v>SI</v>
      </c>
    </row>
    <row r="1043" spans="1:8" x14ac:dyDescent="0.25">
      <c r="A1043" s="43">
        <v>10226204</v>
      </c>
      <c r="B1043" t="s">
        <v>1055</v>
      </c>
      <c r="C1043" s="43" t="s">
        <v>1624</v>
      </c>
      <c r="D1043" s="43">
        <v>1115120</v>
      </c>
      <c r="E1043" t="s">
        <v>1633</v>
      </c>
      <c r="F1043" s="47" t="str">
        <f>+Centro_Cuenta8[[#This Row],[Codigo Centro Gestion]]&amp;" - "&amp;Centro_Cuenta8[[#This Row],[Nombre Centro Gestion]]</f>
        <v>10226204 - Conde del Maule 4676-Proyecto</v>
      </c>
      <c r="G1043" s="47" t="str">
        <f>+Centro_Cuenta8[[#This Row],[Código Cuenta Contable]]&amp;" - "&amp;Centro_Cuenta8[[#This Row],[Nombre de Cuenta Contable]]</f>
        <v>1115120 - Instalación Empalmes</v>
      </c>
      <c r="H1043" s="146" t="str">
        <f>+VLOOKUP(D1043,'3. Cuentas'!A:F,6,0)</f>
        <v>SI</v>
      </c>
    </row>
    <row r="1044" spans="1:8" x14ac:dyDescent="0.25">
      <c r="A1044" s="43">
        <v>10226204</v>
      </c>
      <c r="B1044" t="s">
        <v>1055</v>
      </c>
      <c r="C1044" s="43" t="s">
        <v>1624</v>
      </c>
      <c r="D1044" s="43">
        <v>1115170</v>
      </c>
      <c r="E1044" t="s">
        <v>293</v>
      </c>
      <c r="F1044" s="47" t="str">
        <f>+Centro_Cuenta8[[#This Row],[Codigo Centro Gestion]]&amp;" - "&amp;Centro_Cuenta8[[#This Row],[Nombre Centro Gestion]]</f>
        <v>10226204 - Conde del Maule 4676-Proyecto</v>
      </c>
      <c r="G1044" s="47" t="str">
        <f>+Centro_Cuenta8[[#This Row],[Código Cuenta Contable]]&amp;" - "&amp;Centro_Cuenta8[[#This Row],[Nombre de Cuenta Contable]]</f>
        <v>1115170 - Permisos Y Otros Gastos Municipales</v>
      </c>
      <c r="H1044" s="146" t="str">
        <f>+VLOOKUP(D1044,'3. Cuentas'!A:F,6,0)</f>
        <v>SI</v>
      </c>
    </row>
    <row r="1045" spans="1:8" x14ac:dyDescent="0.25">
      <c r="A1045" s="43">
        <v>10226204</v>
      </c>
      <c r="B1045" t="s">
        <v>1055</v>
      </c>
      <c r="C1045" s="43" t="s">
        <v>1624</v>
      </c>
      <c r="D1045" s="43">
        <v>1115240</v>
      </c>
      <c r="E1045" t="s">
        <v>294</v>
      </c>
      <c r="F1045" s="47" t="str">
        <f>+Centro_Cuenta8[[#This Row],[Codigo Centro Gestion]]&amp;" - "&amp;Centro_Cuenta8[[#This Row],[Nombre Centro Gestion]]</f>
        <v>10226204 - Conde del Maule 4676-Proyecto</v>
      </c>
      <c r="G1045" s="47" t="str">
        <f>+Centro_Cuenta8[[#This Row],[Código Cuenta Contable]]&amp;" - "&amp;Centro_Cuenta8[[#This Row],[Nombre de Cuenta Contable]]</f>
        <v>1115240 - Estudios Y Asesorias Técnicas</v>
      </c>
      <c r="H1045" s="146" t="str">
        <f>+VLOOKUP(D1045,'3. Cuentas'!A:F,6,0)</f>
        <v>SI</v>
      </c>
    </row>
    <row r="1046" spans="1:8" x14ac:dyDescent="0.25">
      <c r="A1046" s="43">
        <v>10226204</v>
      </c>
      <c r="B1046" t="s">
        <v>1055</v>
      </c>
      <c r="C1046" s="43" t="s">
        <v>1624</v>
      </c>
      <c r="D1046" s="43">
        <v>4203090</v>
      </c>
      <c r="E1046" t="s">
        <v>192</v>
      </c>
      <c r="F1046" s="47" t="str">
        <f>+Centro_Cuenta8[[#This Row],[Codigo Centro Gestion]]&amp;" - "&amp;Centro_Cuenta8[[#This Row],[Nombre Centro Gestion]]</f>
        <v>10226204 - Conde del Maule 4676-Proyecto</v>
      </c>
      <c r="G1046" s="47" t="str">
        <f>+Centro_Cuenta8[[#This Row],[Código Cuenta Contable]]&amp;" - "&amp;Centro_Cuenta8[[#This Row],[Nombre de Cuenta Contable]]</f>
        <v>4203090 - Gastos Legales Y Notariales Proyecto</v>
      </c>
      <c r="H1046" s="146" t="str">
        <f>+VLOOKUP(D1046,'3. Cuentas'!A:F,6,0)</f>
        <v>SI</v>
      </c>
    </row>
    <row r="1047" spans="1:8" x14ac:dyDescent="0.25">
      <c r="A1047" s="43">
        <v>10226204</v>
      </c>
      <c r="B1047" t="s">
        <v>1055</v>
      </c>
      <c r="C1047" s="43" t="s">
        <v>1624</v>
      </c>
      <c r="D1047" s="43">
        <v>4203140</v>
      </c>
      <c r="E1047" t="s">
        <v>109</v>
      </c>
      <c r="F1047" s="47" t="str">
        <f>+Centro_Cuenta8[[#This Row],[Codigo Centro Gestion]]&amp;" - "&amp;Centro_Cuenta8[[#This Row],[Nombre Centro Gestion]]</f>
        <v>10226204 - Conde del Maule 4676-Proyecto</v>
      </c>
      <c r="G1047" s="47" t="str">
        <f>+Centro_Cuenta8[[#This Row],[Código Cuenta Contable]]&amp;" - "&amp;Centro_Cuenta8[[#This Row],[Nombre de Cuenta Contable]]</f>
        <v>4203140 - Contribuciones</v>
      </c>
      <c r="H1047" s="146" t="str">
        <f>+VLOOKUP(D1047,'3. Cuentas'!A:F,6,0)</f>
        <v>SI</v>
      </c>
    </row>
    <row r="1048" spans="1:8" x14ac:dyDescent="0.25">
      <c r="A1048" s="43">
        <v>10226204</v>
      </c>
      <c r="B1048" t="s">
        <v>1055</v>
      </c>
      <c r="C1048" s="43" t="s">
        <v>1624</v>
      </c>
      <c r="D1048" s="43">
        <v>4203150</v>
      </c>
      <c r="E1048" t="s">
        <v>156</v>
      </c>
      <c r="F1048" s="47" t="str">
        <f>+Centro_Cuenta8[[#This Row],[Codigo Centro Gestion]]&amp;" - "&amp;Centro_Cuenta8[[#This Row],[Nombre Centro Gestion]]</f>
        <v>10226204 - Conde del Maule 4676-Proyecto</v>
      </c>
      <c r="G1048" s="47" t="str">
        <f>+Centro_Cuenta8[[#This Row],[Código Cuenta Contable]]&amp;" - "&amp;Centro_Cuenta8[[#This Row],[Nombre de Cuenta Contable]]</f>
        <v>4203150 - Gastos CBR</v>
      </c>
      <c r="H1048" s="146" t="str">
        <f>+VLOOKUP(D1048,'3. Cuentas'!A:F,6,0)</f>
        <v>SI</v>
      </c>
    </row>
    <row r="1049" spans="1:8" x14ac:dyDescent="0.25">
      <c r="A1049" s="43">
        <v>10226204</v>
      </c>
      <c r="B1049" t="s">
        <v>1055</v>
      </c>
      <c r="C1049" s="43" t="s">
        <v>1624</v>
      </c>
      <c r="D1049" s="43">
        <v>4203160</v>
      </c>
      <c r="E1049" t="s">
        <v>1639</v>
      </c>
      <c r="F1049" s="47" t="str">
        <f>+Centro_Cuenta8[[#This Row],[Codigo Centro Gestion]]&amp;" - "&amp;Centro_Cuenta8[[#This Row],[Nombre Centro Gestion]]</f>
        <v>10226204 - Conde del Maule 4676-Proyecto</v>
      </c>
      <c r="G1049" s="47" t="str">
        <f>+Centro_Cuenta8[[#This Row],[Código Cuenta Contable]]&amp;" - "&amp;Centro_Cuenta8[[#This Row],[Nombre de Cuenta Contable]]</f>
        <v>4203160 - PAPELERIA Y FOTOCOPIADO</v>
      </c>
      <c r="H1049" s="146" t="str">
        <f>+VLOOKUP(D1049,'3. Cuentas'!A:F,6,0)</f>
        <v>SI</v>
      </c>
    </row>
    <row r="1050" spans="1:8" x14ac:dyDescent="0.25">
      <c r="A1050" s="43">
        <v>10226204</v>
      </c>
      <c r="B1050" t="s">
        <v>1055</v>
      </c>
      <c r="C1050" s="43" t="s">
        <v>1624</v>
      </c>
      <c r="D1050" s="43">
        <v>4203180</v>
      </c>
      <c r="E1050" t="s">
        <v>1640</v>
      </c>
      <c r="F1050" s="47" t="str">
        <f>+Centro_Cuenta8[[#This Row],[Codigo Centro Gestion]]&amp;" - "&amp;Centro_Cuenta8[[#This Row],[Nombre Centro Gestion]]</f>
        <v>10226204 - Conde del Maule 4676-Proyecto</v>
      </c>
      <c r="G1050" s="47" t="str">
        <f>+Centro_Cuenta8[[#This Row],[Código Cuenta Contable]]&amp;" - "&amp;Centro_Cuenta8[[#This Row],[Nombre de Cuenta Contable]]</f>
        <v>4203180 - Otros Gastos y Aseso Proy</v>
      </c>
      <c r="H1050" s="146" t="str">
        <f>+VLOOKUP(D1050,'3. Cuentas'!A:F,6,0)</f>
        <v>SI</v>
      </c>
    </row>
    <row r="1051" spans="1:8" x14ac:dyDescent="0.25">
      <c r="A1051" s="43">
        <v>10226301</v>
      </c>
      <c r="B1051" t="s">
        <v>1056</v>
      </c>
      <c r="C1051" s="43" t="s">
        <v>1643</v>
      </c>
      <c r="D1051" s="43">
        <v>4203090</v>
      </c>
      <c r="E1051" t="s">
        <v>192</v>
      </c>
      <c r="F1051" s="47" t="str">
        <f>+Centro_Cuenta8[[#This Row],[Codigo Centro Gestion]]&amp;" - "&amp;Centro_Cuenta8[[#This Row],[Nombre Centro Gestion]]</f>
        <v>10226301 - Conde del Maule 4676-GAF</v>
      </c>
      <c r="G1051" s="47" t="str">
        <f>+Centro_Cuenta8[[#This Row],[Código Cuenta Contable]]&amp;" - "&amp;Centro_Cuenta8[[#This Row],[Nombre de Cuenta Contable]]</f>
        <v>4203090 - Gastos Legales Y Notariales Proyecto</v>
      </c>
      <c r="H1051" s="146" t="str">
        <f>+VLOOKUP(D1051,'3. Cuentas'!A:F,6,0)</f>
        <v>SI</v>
      </c>
    </row>
    <row r="1052" spans="1:8" x14ac:dyDescent="0.25">
      <c r="A1052" s="43">
        <v>10226301</v>
      </c>
      <c r="B1052" t="s">
        <v>1056</v>
      </c>
      <c r="C1052" s="43" t="s">
        <v>1643</v>
      </c>
      <c r="D1052" s="43">
        <v>4203140</v>
      </c>
      <c r="E1052" t="s">
        <v>109</v>
      </c>
      <c r="F1052" s="47" t="str">
        <f>+Centro_Cuenta8[[#This Row],[Codigo Centro Gestion]]&amp;" - "&amp;Centro_Cuenta8[[#This Row],[Nombre Centro Gestion]]</f>
        <v>10226301 - Conde del Maule 4676-GAF</v>
      </c>
      <c r="G1052" s="47" t="str">
        <f>+Centro_Cuenta8[[#This Row],[Código Cuenta Contable]]&amp;" - "&amp;Centro_Cuenta8[[#This Row],[Nombre de Cuenta Contable]]</f>
        <v>4203140 - Contribuciones</v>
      </c>
      <c r="H1052" s="146" t="str">
        <f>+VLOOKUP(D1052,'3. Cuentas'!A:F,6,0)</f>
        <v>SI</v>
      </c>
    </row>
    <row r="1053" spans="1:8" x14ac:dyDescent="0.25">
      <c r="A1053" s="43">
        <v>10226506</v>
      </c>
      <c r="B1053" t="s">
        <v>1058</v>
      </c>
      <c r="C1053" s="43" t="s">
        <v>200</v>
      </c>
      <c r="D1053" s="43">
        <v>1115100</v>
      </c>
      <c r="E1053" t="s">
        <v>292</v>
      </c>
      <c r="F1053" s="47" t="str">
        <f>+Centro_Cuenta8[[#This Row],[Codigo Centro Gestion]]&amp;" - "&amp;Centro_Cuenta8[[#This Row],[Nombre Centro Gestion]]</f>
        <v>10226506 - Conde del Maule 4676-Depto.Técnico</v>
      </c>
      <c r="G1053" s="47" t="str">
        <f>+Centro_Cuenta8[[#This Row],[Código Cuenta Contable]]&amp;" - "&amp;Centro_Cuenta8[[#This Row],[Nombre de Cuenta Contable]]</f>
        <v>1115100 - Proyectos Y Especialidades</v>
      </c>
      <c r="H1053" s="146" t="str">
        <f>+VLOOKUP(D1053,'3. Cuentas'!A:F,6,0)</f>
        <v>SI</v>
      </c>
    </row>
    <row r="1054" spans="1:8" x14ac:dyDescent="0.25">
      <c r="A1054" s="43">
        <v>10227102</v>
      </c>
      <c r="B1054" t="s">
        <v>1060</v>
      </c>
      <c r="C1054" s="43" t="s">
        <v>1617</v>
      </c>
      <c r="D1054" s="43">
        <v>4204010</v>
      </c>
      <c r="E1054" t="s">
        <v>313</v>
      </c>
      <c r="F1054" s="47" t="str">
        <f>+Centro_Cuenta8[[#This Row],[Codigo Centro Gestion]]&amp;" - "&amp;Centro_Cuenta8[[#This Row],[Nombre Centro Gestion]]</f>
        <v>10227102 - Edificio Alto Foresta 2-Marketing</v>
      </c>
      <c r="G1054" s="47" t="str">
        <f>+Centro_Cuenta8[[#This Row],[Código Cuenta Contable]]&amp;" - "&amp;Centro_Cuenta8[[#This Row],[Nombre de Cuenta Contable]]</f>
        <v>4204010 - Publicidad Punto Venta</v>
      </c>
      <c r="H1054" s="146" t="str">
        <f>+VLOOKUP(D1054,'3. Cuentas'!A:F,6,0)</f>
        <v>SI</v>
      </c>
    </row>
    <row r="1055" spans="1:8" x14ac:dyDescent="0.25">
      <c r="A1055" s="43">
        <v>10227102</v>
      </c>
      <c r="B1055" t="s">
        <v>1060</v>
      </c>
      <c r="C1055" s="43" t="s">
        <v>1617</v>
      </c>
      <c r="D1055" s="43">
        <v>4204021</v>
      </c>
      <c r="E1055" t="s">
        <v>329</v>
      </c>
      <c r="F1055" s="47" t="str">
        <f>+Centro_Cuenta8[[#This Row],[Codigo Centro Gestion]]&amp;" - "&amp;Centro_Cuenta8[[#This Row],[Nombre Centro Gestion]]</f>
        <v>10227102 - Edificio Alto Foresta 2-Marketing</v>
      </c>
      <c r="G1055" s="47" t="str">
        <f>+Centro_Cuenta8[[#This Row],[Código Cuenta Contable]]&amp;" - "&amp;Centro_Cuenta8[[#This Row],[Nombre de Cuenta Contable]]</f>
        <v>4204021 - Publicidad Ferias Y Eventos</v>
      </c>
      <c r="H1055" s="146" t="str">
        <f>+VLOOKUP(D1055,'3. Cuentas'!A:F,6,0)</f>
        <v>SI</v>
      </c>
    </row>
    <row r="1056" spans="1:8" x14ac:dyDescent="0.25">
      <c r="A1056" s="43">
        <v>10227103</v>
      </c>
      <c r="B1056" t="s">
        <v>1061</v>
      </c>
      <c r="C1056" s="43" t="s">
        <v>1618</v>
      </c>
      <c r="D1056" s="43">
        <v>4203060</v>
      </c>
      <c r="E1056" t="s">
        <v>321</v>
      </c>
      <c r="F1056" s="47" t="str">
        <f>+Centro_Cuenta8[[#This Row],[Codigo Centro Gestion]]&amp;" - "&amp;Centro_Cuenta8[[#This Row],[Nombre Centro Gestion]]</f>
        <v>10227103 - Edificio Alto Foresta 2-Operaciones</v>
      </c>
      <c r="G1056" s="47" t="str">
        <f>+Centro_Cuenta8[[#This Row],[Código Cuenta Contable]]&amp;" - "&amp;Centro_Cuenta8[[#This Row],[Nombre de Cuenta Contable]]</f>
        <v>4203060 - Gastos Operacionales De Clientes</v>
      </c>
      <c r="H1056" s="146" t="str">
        <f>+VLOOKUP(D1056,'3. Cuentas'!A:F,6,0)</f>
        <v>SI</v>
      </c>
    </row>
    <row r="1057" spans="1:8" x14ac:dyDescent="0.25">
      <c r="A1057" s="43">
        <v>10227103</v>
      </c>
      <c r="B1057" t="s">
        <v>1061</v>
      </c>
      <c r="C1057" s="43" t="s">
        <v>1618</v>
      </c>
      <c r="D1057" s="43">
        <v>4203090</v>
      </c>
      <c r="E1057" t="s">
        <v>192</v>
      </c>
      <c r="F1057" s="47" t="str">
        <f>+Centro_Cuenta8[[#This Row],[Codigo Centro Gestion]]&amp;" - "&amp;Centro_Cuenta8[[#This Row],[Nombre Centro Gestion]]</f>
        <v>10227103 - Edificio Alto Foresta 2-Operaciones</v>
      </c>
      <c r="G1057" s="47" t="str">
        <f>+Centro_Cuenta8[[#This Row],[Código Cuenta Contable]]&amp;" - "&amp;Centro_Cuenta8[[#This Row],[Nombre de Cuenta Contable]]</f>
        <v>4203090 - Gastos Legales Y Notariales Proyecto</v>
      </c>
      <c r="H1057" s="146" t="str">
        <f>+VLOOKUP(D1057,'3. Cuentas'!A:F,6,0)</f>
        <v>SI</v>
      </c>
    </row>
    <row r="1058" spans="1:8" x14ac:dyDescent="0.25">
      <c r="A1058" s="43">
        <v>10227104</v>
      </c>
      <c r="B1058" t="s">
        <v>1062</v>
      </c>
      <c r="C1058" s="43" t="s">
        <v>90</v>
      </c>
      <c r="D1058" s="43">
        <v>1110040</v>
      </c>
      <c r="E1058" t="s">
        <v>1505</v>
      </c>
      <c r="F1058" s="47" t="str">
        <f>+Centro_Cuenta8[[#This Row],[Codigo Centro Gestion]]&amp;" - "&amp;Centro_Cuenta8[[#This Row],[Nombre Centro Gestion]]</f>
        <v>10227104 - Edificio Alto Foresta 2-Ventas</v>
      </c>
      <c r="G1058" s="47" t="str">
        <f>+Centro_Cuenta8[[#This Row],[Código Cuenta Contable]]&amp;" - "&amp;Centro_Cuenta8[[#This Row],[Nombre de Cuenta Contable]]</f>
        <v>1110040 - Garantía Pagadas</v>
      </c>
      <c r="H1058" s="146" t="str">
        <f>+VLOOKUP(D1058,'3. Cuentas'!A:F,6,0)</f>
        <v>SI</v>
      </c>
    </row>
    <row r="1059" spans="1:8" x14ac:dyDescent="0.25">
      <c r="A1059" s="43">
        <v>10227104</v>
      </c>
      <c r="B1059" t="s">
        <v>1062</v>
      </c>
      <c r="C1059" s="43" t="s">
        <v>90</v>
      </c>
      <c r="D1059" s="43">
        <v>4202003</v>
      </c>
      <c r="E1059" t="s">
        <v>106</v>
      </c>
      <c r="F1059" s="47" t="str">
        <f>+Centro_Cuenta8[[#This Row],[Codigo Centro Gestion]]&amp;" - "&amp;Centro_Cuenta8[[#This Row],[Nombre Centro Gestion]]</f>
        <v>10227104 - Edificio Alto Foresta 2-Ventas</v>
      </c>
      <c r="G1059" s="47" t="str">
        <f>+Centro_Cuenta8[[#This Row],[Código Cuenta Contable]]&amp;" - "&amp;Centro_Cuenta8[[#This Row],[Nombre de Cuenta Contable]]</f>
        <v>4202003 - Serv.Basic.Luz.Agua.Tel Of.C</v>
      </c>
      <c r="H1059" s="146" t="str">
        <f>+VLOOKUP(D1059,'3. Cuentas'!A:F,6,0)</f>
        <v>SI</v>
      </c>
    </row>
    <row r="1060" spans="1:8" x14ac:dyDescent="0.25">
      <c r="A1060" s="43">
        <v>10227104</v>
      </c>
      <c r="B1060" t="s">
        <v>1062</v>
      </c>
      <c r="C1060" s="43" t="s">
        <v>90</v>
      </c>
      <c r="D1060" s="43">
        <v>4202010</v>
      </c>
      <c r="E1060" t="s">
        <v>87</v>
      </c>
      <c r="F1060" s="47" t="str">
        <f>+Centro_Cuenta8[[#This Row],[Codigo Centro Gestion]]&amp;" - "&amp;Centro_Cuenta8[[#This Row],[Nombre Centro Gestion]]</f>
        <v>10227104 - Edificio Alto Foresta 2-Ventas</v>
      </c>
      <c r="G1060" s="47" t="str">
        <f>+Centro_Cuenta8[[#This Row],[Código Cuenta Contable]]&amp;" - "&amp;Centro_Cuenta8[[#This Row],[Nombre de Cuenta Contable]]</f>
        <v>4202010 - Artic. Ofic. Fotocop.Papelería</v>
      </c>
      <c r="H1060" s="146" t="str">
        <f>+VLOOKUP(D1060,'3. Cuentas'!A:F,6,0)</f>
        <v>SI</v>
      </c>
    </row>
    <row r="1061" spans="1:8" x14ac:dyDescent="0.25">
      <c r="A1061" s="43">
        <v>10227104</v>
      </c>
      <c r="B1061" t="s">
        <v>1062</v>
      </c>
      <c r="C1061" s="43" t="s">
        <v>90</v>
      </c>
      <c r="D1061" s="43">
        <v>4202019</v>
      </c>
      <c r="E1061" t="s">
        <v>81</v>
      </c>
      <c r="F1061" s="47" t="str">
        <f>+Centro_Cuenta8[[#This Row],[Codigo Centro Gestion]]&amp;" - "&amp;Centro_Cuenta8[[#This Row],[Nombre Centro Gestion]]</f>
        <v>10227104 - Edificio Alto Foresta 2-Ventas</v>
      </c>
      <c r="G1061" s="47" t="str">
        <f>+Centro_Cuenta8[[#This Row],[Código Cuenta Contable]]&amp;" - "&amp;Centro_Cuenta8[[#This Row],[Nombre de Cuenta Contable]]</f>
        <v>4202019 - Gasto General Oficina</v>
      </c>
      <c r="H1061" s="146" t="str">
        <f>+VLOOKUP(D1061,'3. Cuentas'!A:F,6,0)</f>
        <v>SI</v>
      </c>
    </row>
    <row r="1062" spans="1:8" x14ac:dyDescent="0.25">
      <c r="A1062" s="43">
        <v>10227104</v>
      </c>
      <c r="B1062" t="s">
        <v>1062</v>
      </c>
      <c r="C1062" s="43" t="s">
        <v>90</v>
      </c>
      <c r="D1062" s="43">
        <v>4202023</v>
      </c>
      <c r="E1062" t="s">
        <v>82</v>
      </c>
      <c r="F1062" s="47" t="str">
        <f>+Centro_Cuenta8[[#This Row],[Codigo Centro Gestion]]&amp;" - "&amp;Centro_Cuenta8[[#This Row],[Nombre Centro Gestion]]</f>
        <v>10227104 - Edificio Alto Foresta 2-Ventas</v>
      </c>
      <c r="G1062" s="47" t="str">
        <f>+Centro_Cuenta8[[#This Row],[Código Cuenta Contable]]&amp;" - "&amp;Centro_Cuenta8[[#This Row],[Nombre de Cuenta Contable]]</f>
        <v>4202023 - Honorarios Por Asesorías</v>
      </c>
      <c r="H1062" s="146" t="str">
        <f>+VLOOKUP(D1062,'3. Cuentas'!A:F,6,0)</f>
        <v>SI</v>
      </c>
    </row>
    <row r="1063" spans="1:8" x14ac:dyDescent="0.25">
      <c r="A1063" s="43">
        <v>10227104</v>
      </c>
      <c r="B1063" t="s">
        <v>1062</v>
      </c>
      <c r="C1063" s="43" t="s">
        <v>90</v>
      </c>
      <c r="D1063" s="43">
        <v>4202029</v>
      </c>
      <c r="E1063" t="s">
        <v>83</v>
      </c>
      <c r="F1063" s="47" t="str">
        <f>+Centro_Cuenta8[[#This Row],[Codigo Centro Gestion]]&amp;" - "&amp;Centro_Cuenta8[[#This Row],[Nombre Centro Gestion]]</f>
        <v>10227104 - Edificio Alto Foresta 2-Ventas</v>
      </c>
      <c r="G1063" s="47" t="str">
        <f>+Centro_Cuenta8[[#This Row],[Código Cuenta Contable]]&amp;" - "&amp;Centro_Cuenta8[[#This Row],[Nombre de Cuenta Contable]]</f>
        <v>4202029 - Insumos Y Gastos Informáticos</v>
      </c>
      <c r="H1063" s="146" t="str">
        <f>+VLOOKUP(D1063,'3. Cuentas'!A:F,6,0)</f>
        <v>SI</v>
      </c>
    </row>
    <row r="1064" spans="1:8" x14ac:dyDescent="0.25">
      <c r="A1064" s="43">
        <v>10227104</v>
      </c>
      <c r="B1064" t="s">
        <v>1062</v>
      </c>
      <c r="C1064" s="43" t="s">
        <v>90</v>
      </c>
      <c r="D1064" s="43">
        <v>4204021</v>
      </c>
      <c r="E1064" t="s">
        <v>329</v>
      </c>
      <c r="F1064" s="47" t="str">
        <f>+Centro_Cuenta8[[#This Row],[Codigo Centro Gestion]]&amp;" - "&amp;Centro_Cuenta8[[#This Row],[Nombre Centro Gestion]]</f>
        <v>10227104 - Edificio Alto Foresta 2-Ventas</v>
      </c>
      <c r="G1064" s="47" t="str">
        <f>+Centro_Cuenta8[[#This Row],[Código Cuenta Contable]]&amp;" - "&amp;Centro_Cuenta8[[#This Row],[Nombre de Cuenta Contable]]</f>
        <v>4204021 - Publicidad Ferias Y Eventos</v>
      </c>
      <c r="H1064" s="146" t="str">
        <f>+VLOOKUP(D1064,'3. Cuentas'!A:F,6,0)</f>
        <v>SI</v>
      </c>
    </row>
    <row r="1065" spans="1:8" x14ac:dyDescent="0.25">
      <c r="A1065" s="43">
        <v>10227105</v>
      </c>
      <c r="B1065" t="s">
        <v>1063</v>
      </c>
      <c r="C1065" s="43" t="s">
        <v>1622</v>
      </c>
      <c r="D1065" s="43">
        <v>4203020</v>
      </c>
      <c r="E1065" t="s">
        <v>295</v>
      </c>
      <c r="F1065" s="47" t="str">
        <f>+Centro_Cuenta8[[#This Row],[Codigo Centro Gestion]]&amp;" - "&amp;Centro_Cuenta8[[#This Row],[Nombre Centro Gestion]]</f>
        <v>10227105 - Edificio Alto Foresta 2-Clientes</v>
      </c>
      <c r="G1065" s="47" t="str">
        <f>+Centro_Cuenta8[[#This Row],[Código Cuenta Contable]]&amp;" - "&amp;Centro_Cuenta8[[#This Row],[Nombre de Cuenta Contable]]</f>
        <v>4203020 - Mant. y Consum. Viv Stock</v>
      </c>
      <c r="H1065" s="146" t="str">
        <f>+VLOOKUP(D1065,'3. Cuentas'!A:F,6,0)</f>
        <v>SI</v>
      </c>
    </row>
    <row r="1066" spans="1:8" x14ac:dyDescent="0.25">
      <c r="A1066" s="43">
        <v>10227105</v>
      </c>
      <c r="B1066" t="s">
        <v>1063</v>
      </c>
      <c r="C1066" s="43" t="s">
        <v>1622</v>
      </c>
      <c r="D1066" s="43">
        <v>4203120</v>
      </c>
      <c r="E1066" t="s">
        <v>108</v>
      </c>
      <c r="F1066" s="47" t="str">
        <f>+Centro_Cuenta8[[#This Row],[Codigo Centro Gestion]]&amp;" - "&amp;Centro_Cuenta8[[#This Row],[Nombre Centro Gestion]]</f>
        <v>10227105 - Edificio Alto Foresta 2-Clientes</v>
      </c>
      <c r="G1066" s="47" t="str">
        <f>+Centro_Cuenta8[[#This Row],[Código Cuenta Contable]]&amp;" - "&amp;Centro_Cuenta8[[#This Row],[Nombre de Cuenta Contable]]</f>
        <v>4203120 - Gastos Comunes</v>
      </c>
      <c r="H1066" s="146" t="str">
        <f>+VLOOKUP(D1066,'3. Cuentas'!A:F,6,0)</f>
        <v>SI</v>
      </c>
    </row>
    <row r="1067" spans="1:8" x14ac:dyDescent="0.25">
      <c r="A1067" s="43">
        <v>10227105</v>
      </c>
      <c r="B1067" t="s">
        <v>1063</v>
      </c>
      <c r="C1067" s="43" t="s">
        <v>1622</v>
      </c>
      <c r="D1067" s="43">
        <v>4203140</v>
      </c>
      <c r="E1067" t="s">
        <v>109</v>
      </c>
      <c r="F1067" s="47" t="str">
        <f>+Centro_Cuenta8[[#This Row],[Codigo Centro Gestion]]&amp;" - "&amp;Centro_Cuenta8[[#This Row],[Nombre Centro Gestion]]</f>
        <v>10227105 - Edificio Alto Foresta 2-Clientes</v>
      </c>
      <c r="G1067" s="47" t="str">
        <f>+Centro_Cuenta8[[#This Row],[Código Cuenta Contable]]&amp;" - "&amp;Centro_Cuenta8[[#This Row],[Nombre de Cuenta Contable]]</f>
        <v>4203140 - Contribuciones</v>
      </c>
      <c r="H1067" s="146" t="str">
        <f>+VLOOKUP(D1067,'3. Cuentas'!A:F,6,0)</f>
        <v>SI</v>
      </c>
    </row>
    <row r="1068" spans="1:8" x14ac:dyDescent="0.25">
      <c r="A1068" s="43">
        <v>10227204</v>
      </c>
      <c r="B1068" t="s">
        <v>1064</v>
      </c>
      <c r="C1068" s="43" t="s">
        <v>1624</v>
      </c>
      <c r="D1068" s="43">
        <v>1103045</v>
      </c>
      <c r="E1068" t="s">
        <v>323</v>
      </c>
      <c r="F1068" s="47" t="str">
        <f>+Centro_Cuenta8[[#This Row],[Codigo Centro Gestion]]&amp;" - "&amp;Centro_Cuenta8[[#This Row],[Nombre Centro Gestion]]</f>
        <v>10227204 - Edificio Alto Foresta 2-Proyecto</v>
      </c>
      <c r="G1068" s="47" t="str">
        <f>+Centro_Cuenta8[[#This Row],[Código Cuenta Contable]]&amp;" - "&amp;Centro_Cuenta8[[#This Row],[Nombre de Cuenta Contable]]</f>
        <v>1103045 - Aportes reembolsables (electricidad y agua)</v>
      </c>
      <c r="H1068" s="146" t="str">
        <f>+VLOOKUP(D1068,'3. Cuentas'!A:F,6,0)</f>
        <v>SI</v>
      </c>
    </row>
    <row r="1069" spans="1:8" x14ac:dyDescent="0.25">
      <c r="A1069" s="43">
        <v>10227204</v>
      </c>
      <c r="B1069" t="s">
        <v>1064</v>
      </c>
      <c r="C1069" s="43" t="s">
        <v>1624</v>
      </c>
      <c r="D1069" s="43">
        <v>1109020</v>
      </c>
      <c r="E1069" t="s">
        <v>302</v>
      </c>
      <c r="F1069" s="47" t="str">
        <f>+Centro_Cuenta8[[#This Row],[Codigo Centro Gestion]]&amp;" - "&amp;Centro_Cuenta8[[#This Row],[Nombre Centro Gestion]]</f>
        <v>10227204 - Edificio Alto Foresta 2-Proyecto</v>
      </c>
      <c r="G1069" s="47" t="str">
        <f>+Centro_Cuenta8[[#This Row],[Código Cuenta Contable]]&amp;" - "&amp;Centro_Cuenta8[[#This Row],[Nombre de Cuenta Contable]]</f>
        <v>1109020 - Mobiliario</v>
      </c>
      <c r="H1069" s="146" t="str">
        <f>+VLOOKUP(D1069,'3. Cuentas'!A:F,6,0)</f>
        <v>SI</v>
      </c>
    </row>
    <row r="1070" spans="1:8" x14ac:dyDescent="0.25">
      <c r="A1070" s="43">
        <v>10227204</v>
      </c>
      <c r="B1070" t="s">
        <v>1064</v>
      </c>
      <c r="C1070" s="43" t="s">
        <v>1624</v>
      </c>
      <c r="D1070" s="43">
        <v>1110040</v>
      </c>
      <c r="E1070" t="s">
        <v>1505</v>
      </c>
      <c r="F1070" s="47" t="str">
        <f>+Centro_Cuenta8[[#This Row],[Codigo Centro Gestion]]&amp;" - "&amp;Centro_Cuenta8[[#This Row],[Nombre Centro Gestion]]</f>
        <v>10227204 - Edificio Alto Foresta 2-Proyecto</v>
      </c>
      <c r="G1070" s="47" t="str">
        <f>+Centro_Cuenta8[[#This Row],[Código Cuenta Contable]]&amp;" - "&amp;Centro_Cuenta8[[#This Row],[Nombre de Cuenta Contable]]</f>
        <v>1110040 - Garantía Pagadas</v>
      </c>
      <c r="H1070" s="146" t="str">
        <f>+VLOOKUP(D1070,'3. Cuentas'!A:F,6,0)</f>
        <v>SI</v>
      </c>
    </row>
    <row r="1071" spans="1:8" x14ac:dyDescent="0.25">
      <c r="A1071" s="43">
        <v>10227204</v>
      </c>
      <c r="B1071" t="s">
        <v>1064</v>
      </c>
      <c r="C1071" s="43" t="s">
        <v>1624</v>
      </c>
      <c r="D1071" s="43">
        <v>1115040</v>
      </c>
      <c r="E1071" t="s">
        <v>291</v>
      </c>
      <c r="F1071" s="47" t="str">
        <f>+Centro_Cuenta8[[#This Row],[Codigo Centro Gestion]]&amp;" - "&amp;Centro_Cuenta8[[#This Row],[Nombre Centro Gestion]]</f>
        <v>10227204 - Edificio Alto Foresta 2-Proyecto</v>
      </c>
      <c r="G1071" s="47" t="str">
        <f>+Centro_Cuenta8[[#This Row],[Código Cuenta Contable]]&amp;" - "&amp;Centro_Cuenta8[[#This Row],[Nombre de Cuenta Contable]]</f>
        <v>1115040 - Saneamiento De Terreno</v>
      </c>
      <c r="H1071" s="146" t="str">
        <f>+VLOOKUP(D1071,'3. Cuentas'!A:F,6,0)</f>
        <v>SI</v>
      </c>
    </row>
    <row r="1072" spans="1:8" x14ac:dyDescent="0.25">
      <c r="A1072" s="43">
        <v>10227204</v>
      </c>
      <c r="B1072" t="s">
        <v>1064</v>
      </c>
      <c r="C1072" s="43" t="s">
        <v>1624</v>
      </c>
      <c r="D1072" s="43">
        <v>1115050</v>
      </c>
      <c r="E1072" t="s">
        <v>1628</v>
      </c>
      <c r="F1072" s="47" t="str">
        <f>+Centro_Cuenta8[[#This Row],[Codigo Centro Gestion]]&amp;" - "&amp;Centro_Cuenta8[[#This Row],[Nombre Centro Gestion]]</f>
        <v>10227204 - Edificio Alto Foresta 2-Proyecto</v>
      </c>
      <c r="G1072" s="47" t="str">
        <f>+Centro_Cuenta8[[#This Row],[Código Cuenta Contable]]&amp;" - "&amp;Centro_Cuenta8[[#This Row],[Nombre de Cuenta Contable]]</f>
        <v>1115050 - Demolición</v>
      </c>
      <c r="H1072" s="146" t="str">
        <f>+VLOOKUP(D1072,'3. Cuentas'!A:F,6,0)</f>
        <v>SI</v>
      </c>
    </row>
    <row r="1073" spans="1:8" x14ac:dyDescent="0.25">
      <c r="A1073" s="43">
        <v>10227204</v>
      </c>
      <c r="B1073" t="s">
        <v>1064</v>
      </c>
      <c r="C1073" s="43" t="s">
        <v>1624</v>
      </c>
      <c r="D1073" s="43">
        <v>1115100</v>
      </c>
      <c r="E1073" t="s">
        <v>292</v>
      </c>
      <c r="F1073" s="47" t="str">
        <f>+Centro_Cuenta8[[#This Row],[Codigo Centro Gestion]]&amp;" - "&amp;Centro_Cuenta8[[#This Row],[Nombre Centro Gestion]]</f>
        <v>10227204 - Edificio Alto Foresta 2-Proyecto</v>
      </c>
      <c r="G1073" s="47" t="str">
        <f>+Centro_Cuenta8[[#This Row],[Código Cuenta Contable]]&amp;" - "&amp;Centro_Cuenta8[[#This Row],[Nombre de Cuenta Contable]]</f>
        <v>1115100 - Proyectos Y Especialidades</v>
      </c>
      <c r="H1073" s="146" t="str">
        <f>+VLOOKUP(D1073,'3. Cuentas'!A:F,6,0)</f>
        <v>SI</v>
      </c>
    </row>
    <row r="1074" spans="1:8" x14ac:dyDescent="0.25">
      <c r="A1074" s="43">
        <v>10227204</v>
      </c>
      <c r="B1074" t="s">
        <v>1064</v>
      </c>
      <c r="C1074" s="43" t="s">
        <v>1624</v>
      </c>
      <c r="D1074" s="43">
        <v>1115120</v>
      </c>
      <c r="E1074" t="s">
        <v>1633</v>
      </c>
      <c r="F1074" s="47" t="str">
        <f>+Centro_Cuenta8[[#This Row],[Codigo Centro Gestion]]&amp;" - "&amp;Centro_Cuenta8[[#This Row],[Nombre Centro Gestion]]</f>
        <v>10227204 - Edificio Alto Foresta 2-Proyecto</v>
      </c>
      <c r="G1074" s="47" t="str">
        <f>+Centro_Cuenta8[[#This Row],[Código Cuenta Contable]]&amp;" - "&amp;Centro_Cuenta8[[#This Row],[Nombre de Cuenta Contable]]</f>
        <v>1115120 - Instalación Empalmes</v>
      </c>
      <c r="H1074" s="146" t="str">
        <f>+VLOOKUP(D1074,'3. Cuentas'!A:F,6,0)</f>
        <v>SI</v>
      </c>
    </row>
    <row r="1075" spans="1:8" x14ac:dyDescent="0.25">
      <c r="A1075" s="43">
        <v>10227204</v>
      </c>
      <c r="B1075" t="s">
        <v>1064</v>
      </c>
      <c r="C1075" s="43" t="s">
        <v>1624</v>
      </c>
      <c r="D1075" s="43">
        <v>1115170</v>
      </c>
      <c r="E1075" t="s">
        <v>293</v>
      </c>
      <c r="F1075" s="47" t="str">
        <f>+Centro_Cuenta8[[#This Row],[Codigo Centro Gestion]]&amp;" - "&amp;Centro_Cuenta8[[#This Row],[Nombre Centro Gestion]]</f>
        <v>10227204 - Edificio Alto Foresta 2-Proyecto</v>
      </c>
      <c r="G1075" s="47" t="str">
        <f>+Centro_Cuenta8[[#This Row],[Código Cuenta Contable]]&amp;" - "&amp;Centro_Cuenta8[[#This Row],[Nombre de Cuenta Contable]]</f>
        <v>1115170 - Permisos Y Otros Gastos Municipales</v>
      </c>
      <c r="H1075" s="146" t="str">
        <f>+VLOOKUP(D1075,'3. Cuentas'!A:F,6,0)</f>
        <v>SI</v>
      </c>
    </row>
    <row r="1076" spans="1:8" x14ac:dyDescent="0.25">
      <c r="A1076" s="43">
        <v>10227204</v>
      </c>
      <c r="B1076" t="s">
        <v>1064</v>
      </c>
      <c r="C1076" s="43" t="s">
        <v>1624</v>
      </c>
      <c r="D1076" s="43">
        <v>1115240</v>
      </c>
      <c r="E1076" t="s">
        <v>294</v>
      </c>
      <c r="F1076" s="47" t="str">
        <f>+Centro_Cuenta8[[#This Row],[Codigo Centro Gestion]]&amp;" - "&amp;Centro_Cuenta8[[#This Row],[Nombre Centro Gestion]]</f>
        <v>10227204 - Edificio Alto Foresta 2-Proyecto</v>
      </c>
      <c r="G1076" s="47" t="str">
        <f>+Centro_Cuenta8[[#This Row],[Código Cuenta Contable]]&amp;" - "&amp;Centro_Cuenta8[[#This Row],[Nombre de Cuenta Contable]]</f>
        <v>1115240 - Estudios Y Asesorias Técnicas</v>
      </c>
      <c r="H1076" s="146" t="str">
        <f>+VLOOKUP(D1076,'3. Cuentas'!A:F,6,0)</f>
        <v>SI</v>
      </c>
    </row>
    <row r="1077" spans="1:8" x14ac:dyDescent="0.25">
      <c r="A1077" s="43">
        <v>10227204</v>
      </c>
      <c r="B1077" t="s">
        <v>1064</v>
      </c>
      <c r="C1077" s="43" t="s">
        <v>1624</v>
      </c>
      <c r="D1077" s="43">
        <v>4203090</v>
      </c>
      <c r="E1077" t="s">
        <v>192</v>
      </c>
      <c r="F1077" s="47" t="str">
        <f>+Centro_Cuenta8[[#This Row],[Codigo Centro Gestion]]&amp;" - "&amp;Centro_Cuenta8[[#This Row],[Nombre Centro Gestion]]</f>
        <v>10227204 - Edificio Alto Foresta 2-Proyecto</v>
      </c>
      <c r="G1077" s="47" t="str">
        <f>+Centro_Cuenta8[[#This Row],[Código Cuenta Contable]]&amp;" - "&amp;Centro_Cuenta8[[#This Row],[Nombre de Cuenta Contable]]</f>
        <v>4203090 - Gastos Legales Y Notariales Proyecto</v>
      </c>
      <c r="H1077" s="146" t="str">
        <f>+VLOOKUP(D1077,'3. Cuentas'!A:F,6,0)</f>
        <v>SI</v>
      </c>
    </row>
    <row r="1078" spans="1:8" x14ac:dyDescent="0.25">
      <c r="A1078" s="43">
        <v>10227204</v>
      </c>
      <c r="B1078" t="s">
        <v>1064</v>
      </c>
      <c r="C1078" s="43" t="s">
        <v>1624</v>
      </c>
      <c r="D1078" s="43">
        <v>4203140</v>
      </c>
      <c r="E1078" t="s">
        <v>109</v>
      </c>
      <c r="F1078" s="47" t="str">
        <f>+Centro_Cuenta8[[#This Row],[Codigo Centro Gestion]]&amp;" - "&amp;Centro_Cuenta8[[#This Row],[Nombre Centro Gestion]]</f>
        <v>10227204 - Edificio Alto Foresta 2-Proyecto</v>
      </c>
      <c r="G1078" s="47" t="str">
        <f>+Centro_Cuenta8[[#This Row],[Código Cuenta Contable]]&amp;" - "&amp;Centro_Cuenta8[[#This Row],[Nombre de Cuenta Contable]]</f>
        <v>4203140 - Contribuciones</v>
      </c>
      <c r="H1078" s="146" t="str">
        <f>+VLOOKUP(D1078,'3. Cuentas'!A:F,6,0)</f>
        <v>SI</v>
      </c>
    </row>
    <row r="1079" spans="1:8" x14ac:dyDescent="0.25">
      <c r="A1079" s="43">
        <v>10227204</v>
      </c>
      <c r="B1079" t="s">
        <v>1064</v>
      </c>
      <c r="C1079" s="43" t="s">
        <v>1624</v>
      </c>
      <c r="D1079" s="43">
        <v>4203150</v>
      </c>
      <c r="E1079" t="s">
        <v>156</v>
      </c>
      <c r="F1079" s="47" t="str">
        <f>+Centro_Cuenta8[[#This Row],[Codigo Centro Gestion]]&amp;" - "&amp;Centro_Cuenta8[[#This Row],[Nombre Centro Gestion]]</f>
        <v>10227204 - Edificio Alto Foresta 2-Proyecto</v>
      </c>
      <c r="G1079" s="47" t="str">
        <f>+Centro_Cuenta8[[#This Row],[Código Cuenta Contable]]&amp;" - "&amp;Centro_Cuenta8[[#This Row],[Nombre de Cuenta Contable]]</f>
        <v>4203150 - Gastos CBR</v>
      </c>
      <c r="H1079" s="146" t="str">
        <f>+VLOOKUP(D1079,'3. Cuentas'!A:F,6,0)</f>
        <v>SI</v>
      </c>
    </row>
    <row r="1080" spans="1:8" x14ac:dyDescent="0.25">
      <c r="A1080" s="43">
        <v>10227204</v>
      </c>
      <c r="B1080" t="s">
        <v>1064</v>
      </c>
      <c r="C1080" s="43" t="s">
        <v>1624</v>
      </c>
      <c r="D1080" s="43">
        <v>4203160</v>
      </c>
      <c r="E1080" t="s">
        <v>1639</v>
      </c>
      <c r="F1080" s="47" t="str">
        <f>+Centro_Cuenta8[[#This Row],[Codigo Centro Gestion]]&amp;" - "&amp;Centro_Cuenta8[[#This Row],[Nombre Centro Gestion]]</f>
        <v>10227204 - Edificio Alto Foresta 2-Proyecto</v>
      </c>
      <c r="G1080" s="47" t="str">
        <f>+Centro_Cuenta8[[#This Row],[Código Cuenta Contable]]&amp;" - "&amp;Centro_Cuenta8[[#This Row],[Nombre de Cuenta Contable]]</f>
        <v>4203160 - PAPELERIA Y FOTOCOPIADO</v>
      </c>
      <c r="H1080" s="146" t="str">
        <f>+VLOOKUP(D1080,'3. Cuentas'!A:F,6,0)</f>
        <v>SI</v>
      </c>
    </row>
    <row r="1081" spans="1:8" x14ac:dyDescent="0.25">
      <c r="A1081" s="43">
        <v>10227204</v>
      </c>
      <c r="B1081" t="s">
        <v>1064</v>
      </c>
      <c r="C1081" s="43" t="s">
        <v>1624</v>
      </c>
      <c r="D1081" s="43">
        <v>4203180</v>
      </c>
      <c r="E1081" t="s">
        <v>1640</v>
      </c>
      <c r="F1081" s="47" t="str">
        <f>+Centro_Cuenta8[[#This Row],[Codigo Centro Gestion]]&amp;" - "&amp;Centro_Cuenta8[[#This Row],[Nombre Centro Gestion]]</f>
        <v>10227204 - Edificio Alto Foresta 2-Proyecto</v>
      </c>
      <c r="G1081" s="47" t="str">
        <f>+Centro_Cuenta8[[#This Row],[Código Cuenta Contable]]&amp;" - "&amp;Centro_Cuenta8[[#This Row],[Nombre de Cuenta Contable]]</f>
        <v>4203180 - Otros Gastos y Aseso Proy</v>
      </c>
      <c r="H1081" s="146" t="str">
        <f>+VLOOKUP(D1081,'3. Cuentas'!A:F,6,0)</f>
        <v>SI</v>
      </c>
    </row>
    <row r="1082" spans="1:8" x14ac:dyDescent="0.25">
      <c r="A1082" s="43">
        <v>10227301</v>
      </c>
      <c r="B1082" t="s">
        <v>1065</v>
      </c>
      <c r="C1082" s="43" t="s">
        <v>1643</v>
      </c>
      <c r="D1082" s="43">
        <v>4203090</v>
      </c>
      <c r="E1082" t="s">
        <v>192</v>
      </c>
      <c r="F1082" s="47" t="str">
        <f>+Centro_Cuenta8[[#This Row],[Codigo Centro Gestion]]&amp;" - "&amp;Centro_Cuenta8[[#This Row],[Nombre Centro Gestion]]</f>
        <v>10227301 - Edificio Alto Foresta 2-GAF</v>
      </c>
      <c r="G1082" s="47" t="str">
        <f>+Centro_Cuenta8[[#This Row],[Código Cuenta Contable]]&amp;" - "&amp;Centro_Cuenta8[[#This Row],[Nombre de Cuenta Contable]]</f>
        <v>4203090 - Gastos Legales Y Notariales Proyecto</v>
      </c>
      <c r="H1082" s="146" t="str">
        <f>+VLOOKUP(D1082,'3. Cuentas'!A:F,6,0)</f>
        <v>SI</v>
      </c>
    </row>
    <row r="1083" spans="1:8" x14ac:dyDescent="0.25">
      <c r="A1083" s="43">
        <v>10227301</v>
      </c>
      <c r="B1083" t="s">
        <v>1065</v>
      </c>
      <c r="C1083" s="43" t="s">
        <v>1643</v>
      </c>
      <c r="D1083" s="43">
        <v>4203140</v>
      </c>
      <c r="E1083" t="s">
        <v>109</v>
      </c>
      <c r="F1083" s="47" t="str">
        <f>+Centro_Cuenta8[[#This Row],[Codigo Centro Gestion]]&amp;" - "&amp;Centro_Cuenta8[[#This Row],[Nombre Centro Gestion]]</f>
        <v>10227301 - Edificio Alto Foresta 2-GAF</v>
      </c>
      <c r="G1083" s="47" t="str">
        <f>+Centro_Cuenta8[[#This Row],[Código Cuenta Contable]]&amp;" - "&amp;Centro_Cuenta8[[#This Row],[Nombre de Cuenta Contable]]</f>
        <v>4203140 - Contribuciones</v>
      </c>
      <c r="H1083" s="146" t="str">
        <f>+VLOOKUP(D1083,'3. Cuentas'!A:F,6,0)</f>
        <v>SI</v>
      </c>
    </row>
    <row r="1084" spans="1:8" x14ac:dyDescent="0.25">
      <c r="A1084" s="43">
        <v>10227506</v>
      </c>
      <c r="B1084" t="s">
        <v>1067</v>
      </c>
      <c r="C1084" s="43" t="s">
        <v>200</v>
      </c>
      <c r="D1084" s="43">
        <v>1115100</v>
      </c>
      <c r="E1084" t="s">
        <v>292</v>
      </c>
      <c r="F1084" s="47" t="str">
        <f>+Centro_Cuenta8[[#This Row],[Codigo Centro Gestion]]&amp;" - "&amp;Centro_Cuenta8[[#This Row],[Nombre Centro Gestion]]</f>
        <v>10227506 - Edificio Alto Foresta 2-Depto.Técnico</v>
      </c>
      <c r="G1084" s="47" t="str">
        <f>+Centro_Cuenta8[[#This Row],[Código Cuenta Contable]]&amp;" - "&amp;Centro_Cuenta8[[#This Row],[Nombre de Cuenta Contable]]</f>
        <v>1115100 - Proyectos Y Especialidades</v>
      </c>
      <c r="H1084" s="146" t="str">
        <f>+VLOOKUP(D1084,'3. Cuentas'!A:F,6,0)</f>
        <v>SI</v>
      </c>
    </row>
    <row r="1085" spans="1:8" x14ac:dyDescent="0.25">
      <c r="A1085" s="43">
        <v>10228102</v>
      </c>
      <c r="B1085" t="s">
        <v>1068</v>
      </c>
      <c r="C1085" s="43" t="s">
        <v>1617</v>
      </c>
      <c r="D1085" s="43">
        <v>4204010</v>
      </c>
      <c r="E1085" t="s">
        <v>313</v>
      </c>
      <c r="F1085" s="47" t="str">
        <f>+Centro_Cuenta8[[#This Row],[Codigo Centro Gestion]]&amp;" - "&amp;Centro_Cuenta8[[#This Row],[Nombre Centro Gestion]]</f>
        <v>10228102 - Edificio Briones Luco-Marketing</v>
      </c>
      <c r="G1085" s="47" t="str">
        <f>+Centro_Cuenta8[[#This Row],[Código Cuenta Contable]]&amp;" - "&amp;Centro_Cuenta8[[#This Row],[Nombre de Cuenta Contable]]</f>
        <v>4204010 - Publicidad Punto Venta</v>
      </c>
      <c r="H1085" s="146" t="str">
        <f>+VLOOKUP(D1085,'3. Cuentas'!A:F,6,0)</f>
        <v>SI</v>
      </c>
    </row>
    <row r="1086" spans="1:8" x14ac:dyDescent="0.25">
      <c r="A1086" s="43">
        <v>10228102</v>
      </c>
      <c r="B1086" t="s">
        <v>1068</v>
      </c>
      <c r="C1086" s="43" t="s">
        <v>1617</v>
      </c>
      <c r="D1086" s="43">
        <v>4204021</v>
      </c>
      <c r="E1086" t="s">
        <v>329</v>
      </c>
      <c r="F1086" s="47" t="str">
        <f>+Centro_Cuenta8[[#This Row],[Codigo Centro Gestion]]&amp;" - "&amp;Centro_Cuenta8[[#This Row],[Nombre Centro Gestion]]</f>
        <v>10228102 - Edificio Briones Luco-Marketing</v>
      </c>
      <c r="G1086" s="47" t="str">
        <f>+Centro_Cuenta8[[#This Row],[Código Cuenta Contable]]&amp;" - "&amp;Centro_Cuenta8[[#This Row],[Nombre de Cuenta Contable]]</f>
        <v>4204021 - Publicidad Ferias Y Eventos</v>
      </c>
      <c r="H1086" s="146" t="str">
        <f>+VLOOKUP(D1086,'3. Cuentas'!A:F,6,0)</f>
        <v>SI</v>
      </c>
    </row>
    <row r="1087" spans="1:8" x14ac:dyDescent="0.25">
      <c r="A1087" s="43">
        <v>10228103</v>
      </c>
      <c r="B1087" t="s">
        <v>1069</v>
      </c>
      <c r="C1087" s="43" t="s">
        <v>1618</v>
      </c>
      <c r="D1087" s="43">
        <v>4203060</v>
      </c>
      <c r="E1087" t="s">
        <v>321</v>
      </c>
      <c r="F1087" s="47" t="str">
        <f>+Centro_Cuenta8[[#This Row],[Codigo Centro Gestion]]&amp;" - "&amp;Centro_Cuenta8[[#This Row],[Nombre Centro Gestion]]</f>
        <v>10228103 - Edificio Briones Luco-Operaciones</v>
      </c>
      <c r="G1087" s="47" t="str">
        <f>+Centro_Cuenta8[[#This Row],[Código Cuenta Contable]]&amp;" - "&amp;Centro_Cuenta8[[#This Row],[Nombre de Cuenta Contable]]</f>
        <v>4203060 - Gastos Operacionales De Clientes</v>
      </c>
      <c r="H1087" s="146" t="str">
        <f>+VLOOKUP(D1087,'3. Cuentas'!A:F,6,0)</f>
        <v>SI</v>
      </c>
    </row>
    <row r="1088" spans="1:8" x14ac:dyDescent="0.25">
      <c r="A1088" s="43">
        <v>10228103</v>
      </c>
      <c r="B1088" t="s">
        <v>1069</v>
      </c>
      <c r="C1088" s="43" t="s">
        <v>1618</v>
      </c>
      <c r="D1088" s="43">
        <v>4203090</v>
      </c>
      <c r="E1088" t="s">
        <v>192</v>
      </c>
      <c r="F1088" s="47" t="str">
        <f>+Centro_Cuenta8[[#This Row],[Codigo Centro Gestion]]&amp;" - "&amp;Centro_Cuenta8[[#This Row],[Nombre Centro Gestion]]</f>
        <v>10228103 - Edificio Briones Luco-Operaciones</v>
      </c>
      <c r="G1088" s="47" t="str">
        <f>+Centro_Cuenta8[[#This Row],[Código Cuenta Contable]]&amp;" - "&amp;Centro_Cuenta8[[#This Row],[Nombre de Cuenta Contable]]</f>
        <v>4203090 - Gastos Legales Y Notariales Proyecto</v>
      </c>
      <c r="H1088" s="146" t="str">
        <f>+VLOOKUP(D1088,'3. Cuentas'!A:F,6,0)</f>
        <v>SI</v>
      </c>
    </row>
    <row r="1089" spans="1:8" x14ac:dyDescent="0.25">
      <c r="A1089" s="43">
        <v>10228104</v>
      </c>
      <c r="B1089" t="s">
        <v>1070</v>
      </c>
      <c r="C1089" s="43" t="s">
        <v>90</v>
      </c>
      <c r="D1089" s="43">
        <v>1110040</v>
      </c>
      <c r="E1089" t="s">
        <v>1505</v>
      </c>
      <c r="F1089" s="47" t="str">
        <f>+Centro_Cuenta8[[#This Row],[Codigo Centro Gestion]]&amp;" - "&amp;Centro_Cuenta8[[#This Row],[Nombre Centro Gestion]]</f>
        <v>10228104 - Edificio Briones Luco-Ventas</v>
      </c>
      <c r="G1089" s="47" t="str">
        <f>+Centro_Cuenta8[[#This Row],[Código Cuenta Contable]]&amp;" - "&amp;Centro_Cuenta8[[#This Row],[Nombre de Cuenta Contable]]</f>
        <v>1110040 - Garantía Pagadas</v>
      </c>
      <c r="H1089" s="146" t="str">
        <f>+VLOOKUP(D1089,'3. Cuentas'!A:F,6,0)</f>
        <v>SI</v>
      </c>
    </row>
    <row r="1090" spans="1:8" x14ac:dyDescent="0.25">
      <c r="A1090" s="43">
        <v>10228104</v>
      </c>
      <c r="B1090" t="s">
        <v>1070</v>
      </c>
      <c r="C1090" s="43" t="s">
        <v>90</v>
      </c>
      <c r="D1090" s="43">
        <v>4202003</v>
      </c>
      <c r="E1090" t="s">
        <v>106</v>
      </c>
      <c r="F1090" s="47" t="str">
        <f>+Centro_Cuenta8[[#This Row],[Codigo Centro Gestion]]&amp;" - "&amp;Centro_Cuenta8[[#This Row],[Nombre Centro Gestion]]</f>
        <v>10228104 - Edificio Briones Luco-Ventas</v>
      </c>
      <c r="G1090" s="47" t="str">
        <f>+Centro_Cuenta8[[#This Row],[Código Cuenta Contable]]&amp;" - "&amp;Centro_Cuenta8[[#This Row],[Nombre de Cuenta Contable]]</f>
        <v>4202003 - Serv.Basic.Luz.Agua.Tel Of.C</v>
      </c>
      <c r="H1090" s="146" t="str">
        <f>+VLOOKUP(D1090,'3. Cuentas'!A:F,6,0)</f>
        <v>SI</v>
      </c>
    </row>
    <row r="1091" spans="1:8" x14ac:dyDescent="0.25">
      <c r="A1091" s="43">
        <v>10228104</v>
      </c>
      <c r="B1091" t="s">
        <v>1070</v>
      </c>
      <c r="C1091" s="43" t="s">
        <v>90</v>
      </c>
      <c r="D1091" s="43">
        <v>4202010</v>
      </c>
      <c r="E1091" t="s">
        <v>87</v>
      </c>
      <c r="F1091" s="47" t="str">
        <f>+Centro_Cuenta8[[#This Row],[Codigo Centro Gestion]]&amp;" - "&amp;Centro_Cuenta8[[#This Row],[Nombre Centro Gestion]]</f>
        <v>10228104 - Edificio Briones Luco-Ventas</v>
      </c>
      <c r="G1091" s="47" t="str">
        <f>+Centro_Cuenta8[[#This Row],[Código Cuenta Contable]]&amp;" - "&amp;Centro_Cuenta8[[#This Row],[Nombre de Cuenta Contable]]</f>
        <v>4202010 - Artic. Ofic. Fotocop.Papelería</v>
      </c>
      <c r="H1091" s="146" t="str">
        <f>+VLOOKUP(D1091,'3. Cuentas'!A:F,6,0)</f>
        <v>SI</v>
      </c>
    </row>
    <row r="1092" spans="1:8" x14ac:dyDescent="0.25">
      <c r="A1092" s="43">
        <v>10228104</v>
      </c>
      <c r="B1092" t="s">
        <v>1070</v>
      </c>
      <c r="C1092" s="43" t="s">
        <v>90</v>
      </c>
      <c r="D1092" s="43">
        <v>4202019</v>
      </c>
      <c r="E1092" t="s">
        <v>81</v>
      </c>
      <c r="F1092" s="47" t="str">
        <f>+Centro_Cuenta8[[#This Row],[Codigo Centro Gestion]]&amp;" - "&amp;Centro_Cuenta8[[#This Row],[Nombre Centro Gestion]]</f>
        <v>10228104 - Edificio Briones Luco-Ventas</v>
      </c>
      <c r="G1092" s="47" t="str">
        <f>+Centro_Cuenta8[[#This Row],[Código Cuenta Contable]]&amp;" - "&amp;Centro_Cuenta8[[#This Row],[Nombre de Cuenta Contable]]</f>
        <v>4202019 - Gasto General Oficina</v>
      </c>
      <c r="H1092" s="146" t="str">
        <f>+VLOOKUP(D1092,'3. Cuentas'!A:F,6,0)</f>
        <v>SI</v>
      </c>
    </row>
    <row r="1093" spans="1:8" x14ac:dyDescent="0.25">
      <c r="A1093" s="43">
        <v>10228104</v>
      </c>
      <c r="B1093" t="s">
        <v>1070</v>
      </c>
      <c r="C1093" s="43" t="s">
        <v>90</v>
      </c>
      <c r="D1093" s="43">
        <v>4202023</v>
      </c>
      <c r="E1093" t="s">
        <v>82</v>
      </c>
      <c r="F1093" s="47" t="str">
        <f>+Centro_Cuenta8[[#This Row],[Codigo Centro Gestion]]&amp;" - "&amp;Centro_Cuenta8[[#This Row],[Nombre Centro Gestion]]</f>
        <v>10228104 - Edificio Briones Luco-Ventas</v>
      </c>
      <c r="G1093" s="47" t="str">
        <f>+Centro_Cuenta8[[#This Row],[Código Cuenta Contable]]&amp;" - "&amp;Centro_Cuenta8[[#This Row],[Nombre de Cuenta Contable]]</f>
        <v>4202023 - Honorarios Por Asesorías</v>
      </c>
      <c r="H1093" s="146" t="str">
        <f>+VLOOKUP(D1093,'3. Cuentas'!A:F,6,0)</f>
        <v>SI</v>
      </c>
    </row>
    <row r="1094" spans="1:8" x14ac:dyDescent="0.25">
      <c r="A1094" s="43">
        <v>10228104</v>
      </c>
      <c r="B1094" t="s">
        <v>1070</v>
      </c>
      <c r="C1094" s="43" t="s">
        <v>90</v>
      </c>
      <c r="D1094" s="43">
        <v>4202029</v>
      </c>
      <c r="E1094" t="s">
        <v>83</v>
      </c>
      <c r="F1094" s="47" t="str">
        <f>+Centro_Cuenta8[[#This Row],[Codigo Centro Gestion]]&amp;" - "&amp;Centro_Cuenta8[[#This Row],[Nombre Centro Gestion]]</f>
        <v>10228104 - Edificio Briones Luco-Ventas</v>
      </c>
      <c r="G1094" s="47" t="str">
        <f>+Centro_Cuenta8[[#This Row],[Código Cuenta Contable]]&amp;" - "&amp;Centro_Cuenta8[[#This Row],[Nombre de Cuenta Contable]]</f>
        <v>4202029 - Insumos Y Gastos Informáticos</v>
      </c>
      <c r="H1094" s="146" t="str">
        <f>+VLOOKUP(D1094,'3. Cuentas'!A:F,6,0)</f>
        <v>SI</v>
      </c>
    </row>
    <row r="1095" spans="1:8" x14ac:dyDescent="0.25">
      <c r="A1095" s="43">
        <v>10228104</v>
      </c>
      <c r="B1095" t="s">
        <v>1070</v>
      </c>
      <c r="C1095" s="43" t="s">
        <v>90</v>
      </c>
      <c r="D1095" s="43">
        <v>4204021</v>
      </c>
      <c r="E1095" t="s">
        <v>329</v>
      </c>
      <c r="F1095" s="47" t="str">
        <f>+Centro_Cuenta8[[#This Row],[Codigo Centro Gestion]]&amp;" - "&amp;Centro_Cuenta8[[#This Row],[Nombre Centro Gestion]]</f>
        <v>10228104 - Edificio Briones Luco-Ventas</v>
      </c>
      <c r="G1095" s="47" t="str">
        <f>+Centro_Cuenta8[[#This Row],[Código Cuenta Contable]]&amp;" - "&amp;Centro_Cuenta8[[#This Row],[Nombre de Cuenta Contable]]</f>
        <v>4204021 - Publicidad Ferias Y Eventos</v>
      </c>
      <c r="H1095" s="146" t="str">
        <f>+VLOOKUP(D1095,'3. Cuentas'!A:F,6,0)</f>
        <v>SI</v>
      </c>
    </row>
    <row r="1096" spans="1:8" x14ac:dyDescent="0.25">
      <c r="A1096" s="43">
        <v>10228105</v>
      </c>
      <c r="B1096" t="s">
        <v>1071</v>
      </c>
      <c r="C1096" s="43" t="s">
        <v>1622</v>
      </c>
      <c r="D1096" s="43">
        <v>4203020</v>
      </c>
      <c r="E1096" t="s">
        <v>295</v>
      </c>
      <c r="F1096" s="47" t="str">
        <f>+Centro_Cuenta8[[#This Row],[Codigo Centro Gestion]]&amp;" - "&amp;Centro_Cuenta8[[#This Row],[Nombre Centro Gestion]]</f>
        <v>10228105 - Edificio Briones Luco-Clientes</v>
      </c>
      <c r="G1096" s="47" t="str">
        <f>+Centro_Cuenta8[[#This Row],[Código Cuenta Contable]]&amp;" - "&amp;Centro_Cuenta8[[#This Row],[Nombre de Cuenta Contable]]</f>
        <v>4203020 - Mant. y Consum. Viv Stock</v>
      </c>
      <c r="H1096" s="146" t="str">
        <f>+VLOOKUP(D1096,'3. Cuentas'!A:F,6,0)</f>
        <v>SI</v>
      </c>
    </row>
    <row r="1097" spans="1:8" x14ac:dyDescent="0.25">
      <c r="A1097" s="43">
        <v>10228105</v>
      </c>
      <c r="B1097" t="s">
        <v>1071</v>
      </c>
      <c r="C1097" s="43" t="s">
        <v>1622</v>
      </c>
      <c r="D1097" s="43">
        <v>4203120</v>
      </c>
      <c r="E1097" t="s">
        <v>108</v>
      </c>
      <c r="F1097" s="47" t="str">
        <f>+Centro_Cuenta8[[#This Row],[Codigo Centro Gestion]]&amp;" - "&amp;Centro_Cuenta8[[#This Row],[Nombre Centro Gestion]]</f>
        <v>10228105 - Edificio Briones Luco-Clientes</v>
      </c>
      <c r="G1097" s="47" t="str">
        <f>+Centro_Cuenta8[[#This Row],[Código Cuenta Contable]]&amp;" - "&amp;Centro_Cuenta8[[#This Row],[Nombre de Cuenta Contable]]</f>
        <v>4203120 - Gastos Comunes</v>
      </c>
      <c r="H1097" s="146" t="str">
        <f>+VLOOKUP(D1097,'3. Cuentas'!A:F,6,0)</f>
        <v>SI</v>
      </c>
    </row>
    <row r="1098" spans="1:8" x14ac:dyDescent="0.25">
      <c r="A1098" s="43">
        <v>10228105</v>
      </c>
      <c r="B1098" t="s">
        <v>1071</v>
      </c>
      <c r="C1098" s="43" t="s">
        <v>1622</v>
      </c>
      <c r="D1098" s="43">
        <v>4203140</v>
      </c>
      <c r="E1098" t="s">
        <v>109</v>
      </c>
      <c r="F1098" s="47" t="str">
        <f>+Centro_Cuenta8[[#This Row],[Codigo Centro Gestion]]&amp;" - "&amp;Centro_Cuenta8[[#This Row],[Nombre Centro Gestion]]</f>
        <v>10228105 - Edificio Briones Luco-Clientes</v>
      </c>
      <c r="G1098" s="47" t="str">
        <f>+Centro_Cuenta8[[#This Row],[Código Cuenta Contable]]&amp;" - "&amp;Centro_Cuenta8[[#This Row],[Nombre de Cuenta Contable]]</f>
        <v>4203140 - Contribuciones</v>
      </c>
      <c r="H1098" s="146" t="str">
        <f>+VLOOKUP(D1098,'3. Cuentas'!A:F,6,0)</f>
        <v>SI</v>
      </c>
    </row>
    <row r="1099" spans="1:8" x14ac:dyDescent="0.25">
      <c r="A1099" s="43">
        <v>10228204</v>
      </c>
      <c r="B1099" t="s">
        <v>1072</v>
      </c>
      <c r="C1099" s="43" t="s">
        <v>1624</v>
      </c>
      <c r="D1099" s="43">
        <v>1103045</v>
      </c>
      <c r="E1099" t="s">
        <v>323</v>
      </c>
      <c r="F1099" s="47" t="str">
        <f>+Centro_Cuenta8[[#This Row],[Codigo Centro Gestion]]&amp;" - "&amp;Centro_Cuenta8[[#This Row],[Nombre Centro Gestion]]</f>
        <v>10228204 - Edificio Briones Luco-Proyecto</v>
      </c>
      <c r="G1099" s="47" t="str">
        <f>+Centro_Cuenta8[[#This Row],[Código Cuenta Contable]]&amp;" - "&amp;Centro_Cuenta8[[#This Row],[Nombre de Cuenta Contable]]</f>
        <v>1103045 - Aportes reembolsables (electricidad y agua)</v>
      </c>
      <c r="H1099" s="146" t="str">
        <f>+VLOOKUP(D1099,'3. Cuentas'!A:F,6,0)</f>
        <v>SI</v>
      </c>
    </row>
    <row r="1100" spans="1:8" x14ac:dyDescent="0.25">
      <c r="A1100" s="43">
        <v>10228204</v>
      </c>
      <c r="B1100" t="s">
        <v>1072</v>
      </c>
      <c r="C1100" s="43" t="s">
        <v>1624</v>
      </c>
      <c r="D1100" s="43">
        <v>1109020</v>
      </c>
      <c r="E1100" t="s">
        <v>302</v>
      </c>
      <c r="F1100" s="47" t="str">
        <f>+Centro_Cuenta8[[#This Row],[Codigo Centro Gestion]]&amp;" - "&amp;Centro_Cuenta8[[#This Row],[Nombre Centro Gestion]]</f>
        <v>10228204 - Edificio Briones Luco-Proyecto</v>
      </c>
      <c r="G1100" s="47" t="str">
        <f>+Centro_Cuenta8[[#This Row],[Código Cuenta Contable]]&amp;" - "&amp;Centro_Cuenta8[[#This Row],[Nombre de Cuenta Contable]]</f>
        <v>1109020 - Mobiliario</v>
      </c>
      <c r="H1100" s="146" t="str">
        <f>+VLOOKUP(D1100,'3. Cuentas'!A:F,6,0)</f>
        <v>SI</v>
      </c>
    </row>
    <row r="1101" spans="1:8" x14ac:dyDescent="0.25">
      <c r="A1101" s="43">
        <v>10228204</v>
      </c>
      <c r="B1101" t="s">
        <v>1072</v>
      </c>
      <c r="C1101" s="43" t="s">
        <v>1624</v>
      </c>
      <c r="D1101" s="43">
        <v>1110040</v>
      </c>
      <c r="E1101" t="s">
        <v>1505</v>
      </c>
      <c r="F1101" s="47" t="str">
        <f>+Centro_Cuenta8[[#This Row],[Codigo Centro Gestion]]&amp;" - "&amp;Centro_Cuenta8[[#This Row],[Nombre Centro Gestion]]</f>
        <v>10228204 - Edificio Briones Luco-Proyecto</v>
      </c>
      <c r="G1101" s="47" t="str">
        <f>+Centro_Cuenta8[[#This Row],[Código Cuenta Contable]]&amp;" - "&amp;Centro_Cuenta8[[#This Row],[Nombre de Cuenta Contable]]</f>
        <v>1110040 - Garantía Pagadas</v>
      </c>
      <c r="H1101" s="146" t="str">
        <f>+VLOOKUP(D1101,'3. Cuentas'!A:F,6,0)</f>
        <v>SI</v>
      </c>
    </row>
    <row r="1102" spans="1:8" x14ac:dyDescent="0.25">
      <c r="A1102" s="43">
        <v>10228204</v>
      </c>
      <c r="B1102" t="s">
        <v>1072</v>
      </c>
      <c r="C1102" s="43" t="s">
        <v>1624</v>
      </c>
      <c r="D1102" s="43">
        <v>1115040</v>
      </c>
      <c r="E1102" t="s">
        <v>291</v>
      </c>
      <c r="F1102" s="47" t="str">
        <f>+Centro_Cuenta8[[#This Row],[Codigo Centro Gestion]]&amp;" - "&amp;Centro_Cuenta8[[#This Row],[Nombre Centro Gestion]]</f>
        <v>10228204 - Edificio Briones Luco-Proyecto</v>
      </c>
      <c r="G1102" s="47" t="str">
        <f>+Centro_Cuenta8[[#This Row],[Código Cuenta Contable]]&amp;" - "&amp;Centro_Cuenta8[[#This Row],[Nombre de Cuenta Contable]]</f>
        <v>1115040 - Saneamiento De Terreno</v>
      </c>
      <c r="H1102" s="146" t="str">
        <f>+VLOOKUP(D1102,'3. Cuentas'!A:F,6,0)</f>
        <v>SI</v>
      </c>
    </row>
    <row r="1103" spans="1:8" x14ac:dyDescent="0.25">
      <c r="A1103" s="43">
        <v>10228204</v>
      </c>
      <c r="B1103" t="s">
        <v>1072</v>
      </c>
      <c r="C1103" s="43" t="s">
        <v>1624</v>
      </c>
      <c r="D1103" s="43">
        <v>1115050</v>
      </c>
      <c r="E1103" t="s">
        <v>1628</v>
      </c>
      <c r="F1103" s="47" t="str">
        <f>+Centro_Cuenta8[[#This Row],[Codigo Centro Gestion]]&amp;" - "&amp;Centro_Cuenta8[[#This Row],[Nombre Centro Gestion]]</f>
        <v>10228204 - Edificio Briones Luco-Proyecto</v>
      </c>
      <c r="G1103" s="47" t="str">
        <f>+Centro_Cuenta8[[#This Row],[Código Cuenta Contable]]&amp;" - "&amp;Centro_Cuenta8[[#This Row],[Nombre de Cuenta Contable]]</f>
        <v>1115050 - Demolición</v>
      </c>
      <c r="H1103" s="146" t="str">
        <f>+VLOOKUP(D1103,'3. Cuentas'!A:F,6,0)</f>
        <v>SI</v>
      </c>
    </row>
    <row r="1104" spans="1:8" x14ac:dyDescent="0.25">
      <c r="A1104" s="43">
        <v>10228204</v>
      </c>
      <c r="B1104" t="s">
        <v>1072</v>
      </c>
      <c r="C1104" s="43" t="s">
        <v>1624</v>
      </c>
      <c r="D1104" s="43">
        <v>1115100</v>
      </c>
      <c r="E1104" t="s">
        <v>292</v>
      </c>
      <c r="F1104" s="47" t="str">
        <f>+Centro_Cuenta8[[#This Row],[Codigo Centro Gestion]]&amp;" - "&amp;Centro_Cuenta8[[#This Row],[Nombre Centro Gestion]]</f>
        <v>10228204 - Edificio Briones Luco-Proyecto</v>
      </c>
      <c r="G1104" s="47" t="str">
        <f>+Centro_Cuenta8[[#This Row],[Código Cuenta Contable]]&amp;" - "&amp;Centro_Cuenta8[[#This Row],[Nombre de Cuenta Contable]]</f>
        <v>1115100 - Proyectos Y Especialidades</v>
      </c>
      <c r="H1104" s="146" t="str">
        <f>+VLOOKUP(D1104,'3. Cuentas'!A:F,6,0)</f>
        <v>SI</v>
      </c>
    </row>
    <row r="1105" spans="1:8" x14ac:dyDescent="0.25">
      <c r="A1105" s="43">
        <v>10228204</v>
      </c>
      <c r="B1105" t="s">
        <v>1072</v>
      </c>
      <c r="C1105" s="43" t="s">
        <v>1624</v>
      </c>
      <c r="D1105" s="43">
        <v>1115120</v>
      </c>
      <c r="E1105" t="s">
        <v>1633</v>
      </c>
      <c r="F1105" s="47" t="str">
        <f>+Centro_Cuenta8[[#This Row],[Codigo Centro Gestion]]&amp;" - "&amp;Centro_Cuenta8[[#This Row],[Nombre Centro Gestion]]</f>
        <v>10228204 - Edificio Briones Luco-Proyecto</v>
      </c>
      <c r="G1105" s="47" t="str">
        <f>+Centro_Cuenta8[[#This Row],[Código Cuenta Contable]]&amp;" - "&amp;Centro_Cuenta8[[#This Row],[Nombre de Cuenta Contable]]</f>
        <v>1115120 - Instalación Empalmes</v>
      </c>
      <c r="H1105" s="146" t="str">
        <f>+VLOOKUP(D1105,'3. Cuentas'!A:F,6,0)</f>
        <v>SI</v>
      </c>
    </row>
    <row r="1106" spans="1:8" x14ac:dyDescent="0.25">
      <c r="A1106" s="43">
        <v>10228204</v>
      </c>
      <c r="B1106" t="s">
        <v>1072</v>
      </c>
      <c r="C1106" s="43" t="s">
        <v>1624</v>
      </c>
      <c r="D1106" s="43">
        <v>1115170</v>
      </c>
      <c r="E1106" t="s">
        <v>293</v>
      </c>
      <c r="F1106" s="47" t="str">
        <f>+Centro_Cuenta8[[#This Row],[Codigo Centro Gestion]]&amp;" - "&amp;Centro_Cuenta8[[#This Row],[Nombre Centro Gestion]]</f>
        <v>10228204 - Edificio Briones Luco-Proyecto</v>
      </c>
      <c r="G1106" s="47" t="str">
        <f>+Centro_Cuenta8[[#This Row],[Código Cuenta Contable]]&amp;" - "&amp;Centro_Cuenta8[[#This Row],[Nombre de Cuenta Contable]]</f>
        <v>1115170 - Permisos Y Otros Gastos Municipales</v>
      </c>
      <c r="H1106" s="146" t="str">
        <f>+VLOOKUP(D1106,'3. Cuentas'!A:F,6,0)</f>
        <v>SI</v>
      </c>
    </row>
    <row r="1107" spans="1:8" x14ac:dyDescent="0.25">
      <c r="A1107" s="43">
        <v>10228204</v>
      </c>
      <c r="B1107" t="s">
        <v>1072</v>
      </c>
      <c r="C1107" s="43" t="s">
        <v>1624</v>
      </c>
      <c r="D1107" s="43">
        <v>1115240</v>
      </c>
      <c r="E1107" t="s">
        <v>294</v>
      </c>
      <c r="F1107" s="47" t="str">
        <f>+Centro_Cuenta8[[#This Row],[Codigo Centro Gestion]]&amp;" - "&amp;Centro_Cuenta8[[#This Row],[Nombre Centro Gestion]]</f>
        <v>10228204 - Edificio Briones Luco-Proyecto</v>
      </c>
      <c r="G1107" s="47" t="str">
        <f>+Centro_Cuenta8[[#This Row],[Código Cuenta Contable]]&amp;" - "&amp;Centro_Cuenta8[[#This Row],[Nombre de Cuenta Contable]]</f>
        <v>1115240 - Estudios Y Asesorias Técnicas</v>
      </c>
      <c r="H1107" s="146" t="str">
        <f>+VLOOKUP(D1107,'3. Cuentas'!A:F,6,0)</f>
        <v>SI</v>
      </c>
    </row>
    <row r="1108" spans="1:8" x14ac:dyDescent="0.25">
      <c r="A1108" s="43">
        <v>10228204</v>
      </c>
      <c r="B1108" t="s">
        <v>1072</v>
      </c>
      <c r="C1108" s="43" t="s">
        <v>1624</v>
      </c>
      <c r="D1108" s="43">
        <v>4203090</v>
      </c>
      <c r="E1108" t="s">
        <v>192</v>
      </c>
      <c r="F1108" s="47" t="str">
        <f>+Centro_Cuenta8[[#This Row],[Codigo Centro Gestion]]&amp;" - "&amp;Centro_Cuenta8[[#This Row],[Nombre Centro Gestion]]</f>
        <v>10228204 - Edificio Briones Luco-Proyecto</v>
      </c>
      <c r="G1108" s="47" t="str">
        <f>+Centro_Cuenta8[[#This Row],[Código Cuenta Contable]]&amp;" - "&amp;Centro_Cuenta8[[#This Row],[Nombre de Cuenta Contable]]</f>
        <v>4203090 - Gastos Legales Y Notariales Proyecto</v>
      </c>
      <c r="H1108" s="146" t="str">
        <f>+VLOOKUP(D1108,'3. Cuentas'!A:F,6,0)</f>
        <v>SI</v>
      </c>
    </row>
    <row r="1109" spans="1:8" x14ac:dyDescent="0.25">
      <c r="A1109" s="43">
        <v>10228204</v>
      </c>
      <c r="B1109" t="s">
        <v>1072</v>
      </c>
      <c r="C1109" s="43" t="s">
        <v>1624</v>
      </c>
      <c r="D1109" s="43">
        <v>4203140</v>
      </c>
      <c r="E1109" t="s">
        <v>109</v>
      </c>
      <c r="F1109" s="47" t="str">
        <f>+Centro_Cuenta8[[#This Row],[Codigo Centro Gestion]]&amp;" - "&amp;Centro_Cuenta8[[#This Row],[Nombre Centro Gestion]]</f>
        <v>10228204 - Edificio Briones Luco-Proyecto</v>
      </c>
      <c r="G1109" s="47" t="str">
        <f>+Centro_Cuenta8[[#This Row],[Código Cuenta Contable]]&amp;" - "&amp;Centro_Cuenta8[[#This Row],[Nombre de Cuenta Contable]]</f>
        <v>4203140 - Contribuciones</v>
      </c>
      <c r="H1109" s="146" t="str">
        <f>+VLOOKUP(D1109,'3. Cuentas'!A:F,6,0)</f>
        <v>SI</v>
      </c>
    </row>
    <row r="1110" spans="1:8" x14ac:dyDescent="0.25">
      <c r="A1110" s="43">
        <v>10228204</v>
      </c>
      <c r="B1110" t="s">
        <v>1072</v>
      </c>
      <c r="C1110" s="43" t="s">
        <v>1624</v>
      </c>
      <c r="D1110" s="43">
        <v>4203150</v>
      </c>
      <c r="E1110" t="s">
        <v>156</v>
      </c>
      <c r="F1110" s="47" t="str">
        <f>+Centro_Cuenta8[[#This Row],[Codigo Centro Gestion]]&amp;" - "&amp;Centro_Cuenta8[[#This Row],[Nombre Centro Gestion]]</f>
        <v>10228204 - Edificio Briones Luco-Proyecto</v>
      </c>
      <c r="G1110" s="47" t="str">
        <f>+Centro_Cuenta8[[#This Row],[Código Cuenta Contable]]&amp;" - "&amp;Centro_Cuenta8[[#This Row],[Nombre de Cuenta Contable]]</f>
        <v>4203150 - Gastos CBR</v>
      </c>
      <c r="H1110" s="146" t="str">
        <f>+VLOOKUP(D1110,'3. Cuentas'!A:F,6,0)</f>
        <v>SI</v>
      </c>
    </row>
    <row r="1111" spans="1:8" x14ac:dyDescent="0.25">
      <c r="A1111" s="43">
        <v>10228204</v>
      </c>
      <c r="B1111" t="s">
        <v>1072</v>
      </c>
      <c r="C1111" s="43" t="s">
        <v>1624</v>
      </c>
      <c r="D1111" s="43">
        <v>4203160</v>
      </c>
      <c r="E1111" t="s">
        <v>1639</v>
      </c>
      <c r="F1111" s="47" t="str">
        <f>+Centro_Cuenta8[[#This Row],[Codigo Centro Gestion]]&amp;" - "&amp;Centro_Cuenta8[[#This Row],[Nombre Centro Gestion]]</f>
        <v>10228204 - Edificio Briones Luco-Proyecto</v>
      </c>
      <c r="G1111" s="47" t="str">
        <f>+Centro_Cuenta8[[#This Row],[Código Cuenta Contable]]&amp;" - "&amp;Centro_Cuenta8[[#This Row],[Nombre de Cuenta Contable]]</f>
        <v>4203160 - PAPELERIA Y FOTOCOPIADO</v>
      </c>
      <c r="H1111" s="146" t="str">
        <f>+VLOOKUP(D1111,'3. Cuentas'!A:F,6,0)</f>
        <v>SI</v>
      </c>
    </row>
    <row r="1112" spans="1:8" x14ac:dyDescent="0.25">
      <c r="A1112" s="43">
        <v>10228204</v>
      </c>
      <c r="B1112" t="s">
        <v>1072</v>
      </c>
      <c r="C1112" s="43" t="s">
        <v>1624</v>
      </c>
      <c r="D1112" s="43">
        <v>4203180</v>
      </c>
      <c r="E1112" t="s">
        <v>1640</v>
      </c>
      <c r="F1112" s="47" t="str">
        <f>+Centro_Cuenta8[[#This Row],[Codigo Centro Gestion]]&amp;" - "&amp;Centro_Cuenta8[[#This Row],[Nombre Centro Gestion]]</f>
        <v>10228204 - Edificio Briones Luco-Proyecto</v>
      </c>
      <c r="G1112" s="47" t="str">
        <f>+Centro_Cuenta8[[#This Row],[Código Cuenta Contable]]&amp;" - "&amp;Centro_Cuenta8[[#This Row],[Nombre de Cuenta Contable]]</f>
        <v>4203180 - Otros Gastos y Aseso Proy</v>
      </c>
      <c r="H1112" s="146" t="str">
        <f>+VLOOKUP(D1112,'3. Cuentas'!A:F,6,0)</f>
        <v>SI</v>
      </c>
    </row>
    <row r="1113" spans="1:8" x14ac:dyDescent="0.25">
      <c r="A1113" s="43">
        <v>10228301</v>
      </c>
      <c r="B1113" t="s">
        <v>1073</v>
      </c>
      <c r="C1113" s="43" t="s">
        <v>1643</v>
      </c>
      <c r="D1113" s="43">
        <v>4203090</v>
      </c>
      <c r="E1113" t="s">
        <v>192</v>
      </c>
      <c r="F1113" s="47" t="str">
        <f>+Centro_Cuenta8[[#This Row],[Codigo Centro Gestion]]&amp;" - "&amp;Centro_Cuenta8[[#This Row],[Nombre Centro Gestion]]</f>
        <v>10228301 - Edificio Briones Luco-GAF</v>
      </c>
      <c r="G1113" s="47" t="str">
        <f>+Centro_Cuenta8[[#This Row],[Código Cuenta Contable]]&amp;" - "&amp;Centro_Cuenta8[[#This Row],[Nombre de Cuenta Contable]]</f>
        <v>4203090 - Gastos Legales Y Notariales Proyecto</v>
      </c>
      <c r="H1113" s="146" t="str">
        <f>+VLOOKUP(D1113,'3. Cuentas'!A:F,6,0)</f>
        <v>SI</v>
      </c>
    </row>
    <row r="1114" spans="1:8" x14ac:dyDescent="0.25">
      <c r="A1114" s="43">
        <v>10228301</v>
      </c>
      <c r="B1114" t="s">
        <v>1073</v>
      </c>
      <c r="C1114" s="43" t="s">
        <v>1643</v>
      </c>
      <c r="D1114" s="43">
        <v>4203140</v>
      </c>
      <c r="E1114" t="s">
        <v>109</v>
      </c>
      <c r="F1114" s="47" t="str">
        <f>+Centro_Cuenta8[[#This Row],[Codigo Centro Gestion]]&amp;" - "&amp;Centro_Cuenta8[[#This Row],[Nombre Centro Gestion]]</f>
        <v>10228301 - Edificio Briones Luco-GAF</v>
      </c>
      <c r="G1114" s="47" t="str">
        <f>+Centro_Cuenta8[[#This Row],[Código Cuenta Contable]]&amp;" - "&amp;Centro_Cuenta8[[#This Row],[Nombre de Cuenta Contable]]</f>
        <v>4203140 - Contribuciones</v>
      </c>
      <c r="H1114" s="146" t="str">
        <f>+VLOOKUP(D1114,'3. Cuentas'!A:F,6,0)</f>
        <v>SI</v>
      </c>
    </row>
    <row r="1115" spans="1:8" x14ac:dyDescent="0.25">
      <c r="A1115" s="43">
        <v>10228506</v>
      </c>
      <c r="B1115" t="s">
        <v>1075</v>
      </c>
      <c r="C1115" s="43" t="s">
        <v>200</v>
      </c>
      <c r="D1115" s="43">
        <v>1115100</v>
      </c>
      <c r="E1115" t="s">
        <v>292</v>
      </c>
      <c r="F1115" s="47" t="str">
        <f>+Centro_Cuenta8[[#This Row],[Codigo Centro Gestion]]&amp;" - "&amp;Centro_Cuenta8[[#This Row],[Nombre Centro Gestion]]</f>
        <v>10228506 - Edificio Briones Luco-Depto.Técnico</v>
      </c>
      <c r="G1115" s="47" t="str">
        <f>+Centro_Cuenta8[[#This Row],[Código Cuenta Contable]]&amp;" - "&amp;Centro_Cuenta8[[#This Row],[Nombre de Cuenta Contable]]</f>
        <v>1115100 - Proyectos Y Especialidades</v>
      </c>
      <c r="H1115" s="146" t="str">
        <f>+VLOOKUP(D1115,'3. Cuentas'!A:F,6,0)</f>
        <v>SI</v>
      </c>
    </row>
    <row r="1116" spans="1:8" x14ac:dyDescent="0.25">
      <c r="A1116" s="43">
        <v>10229102</v>
      </c>
      <c r="B1116" t="s">
        <v>1077</v>
      </c>
      <c r="C1116" s="43" t="s">
        <v>1617</v>
      </c>
      <c r="D1116" s="43">
        <v>4204010</v>
      </c>
      <c r="E1116" t="s">
        <v>313</v>
      </c>
      <c r="F1116" s="47" t="str">
        <f>+Centro_Cuenta8[[#This Row],[Codigo Centro Gestion]]&amp;" - "&amp;Centro_Cuenta8[[#This Row],[Nombre Centro Gestion]]</f>
        <v>10229102 - Vista Las Palmas-Marketing</v>
      </c>
      <c r="G1116" s="47" t="str">
        <f>+Centro_Cuenta8[[#This Row],[Código Cuenta Contable]]&amp;" - "&amp;Centro_Cuenta8[[#This Row],[Nombre de Cuenta Contable]]</f>
        <v>4204010 - Publicidad Punto Venta</v>
      </c>
      <c r="H1116" s="146" t="str">
        <f>+VLOOKUP(D1116,'3. Cuentas'!A:F,6,0)</f>
        <v>SI</v>
      </c>
    </row>
    <row r="1117" spans="1:8" x14ac:dyDescent="0.25">
      <c r="A1117" s="43">
        <v>10229102</v>
      </c>
      <c r="B1117" t="s">
        <v>1077</v>
      </c>
      <c r="C1117" s="43" t="s">
        <v>1617</v>
      </c>
      <c r="D1117" s="43">
        <v>4204021</v>
      </c>
      <c r="E1117" t="s">
        <v>329</v>
      </c>
      <c r="F1117" s="47" t="str">
        <f>+Centro_Cuenta8[[#This Row],[Codigo Centro Gestion]]&amp;" - "&amp;Centro_Cuenta8[[#This Row],[Nombre Centro Gestion]]</f>
        <v>10229102 - Vista Las Palmas-Marketing</v>
      </c>
      <c r="G1117" s="47" t="str">
        <f>+Centro_Cuenta8[[#This Row],[Código Cuenta Contable]]&amp;" - "&amp;Centro_Cuenta8[[#This Row],[Nombre de Cuenta Contable]]</f>
        <v>4204021 - Publicidad Ferias Y Eventos</v>
      </c>
      <c r="H1117" s="146" t="str">
        <f>+VLOOKUP(D1117,'3. Cuentas'!A:F,6,0)</f>
        <v>SI</v>
      </c>
    </row>
    <row r="1118" spans="1:8" x14ac:dyDescent="0.25">
      <c r="A1118" s="43">
        <v>10229103</v>
      </c>
      <c r="B1118" t="s">
        <v>1078</v>
      </c>
      <c r="C1118" s="43" t="s">
        <v>1618</v>
      </c>
      <c r="D1118" s="43">
        <v>4203060</v>
      </c>
      <c r="E1118" t="s">
        <v>321</v>
      </c>
      <c r="F1118" s="47" t="str">
        <f>+Centro_Cuenta8[[#This Row],[Codigo Centro Gestion]]&amp;" - "&amp;Centro_Cuenta8[[#This Row],[Nombre Centro Gestion]]</f>
        <v>10229103 - Vista Las Palmas-Operaciones</v>
      </c>
      <c r="G1118" s="47" t="str">
        <f>+Centro_Cuenta8[[#This Row],[Código Cuenta Contable]]&amp;" - "&amp;Centro_Cuenta8[[#This Row],[Nombre de Cuenta Contable]]</f>
        <v>4203060 - Gastos Operacionales De Clientes</v>
      </c>
      <c r="H1118" s="146" t="str">
        <f>+VLOOKUP(D1118,'3. Cuentas'!A:F,6,0)</f>
        <v>SI</v>
      </c>
    </row>
    <row r="1119" spans="1:8" x14ac:dyDescent="0.25">
      <c r="A1119" s="43">
        <v>10229103</v>
      </c>
      <c r="B1119" t="s">
        <v>1078</v>
      </c>
      <c r="C1119" s="43" t="s">
        <v>1618</v>
      </c>
      <c r="D1119" s="43">
        <v>4203090</v>
      </c>
      <c r="E1119" t="s">
        <v>192</v>
      </c>
      <c r="F1119" s="47" t="str">
        <f>+Centro_Cuenta8[[#This Row],[Codigo Centro Gestion]]&amp;" - "&amp;Centro_Cuenta8[[#This Row],[Nombre Centro Gestion]]</f>
        <v>10229103 - Vista Las Palmas-Operaciones</v>
      </c>
      <c r="G1119" s="47" t="str">
        <f>+Centro_Cuenta8[[#This Row],[Código Cuenta Contable]]&amp;" - "&amp;Centro_Cuenta8[[#This Row],[Nombre de Cuenta Contable]]</f>
        <v>4203090 - Gastos Legales Y Notariales Proyecto</v>
      </c>
      <c r="H1119" s="146" t="str">
        <f>+VLOOKUP(D1119,'3. Cuentas'!A:F,6,0)</f>
        <v>SI</v>
      </c>
    </row>
    <row r="1120" spans="1:8" x14ac:dyDescent="0.25">
      <c r="A1120" s="43">
        <v>10229104</v>
      </c>
      <c r="B1120" t="s">
        <v>1079</v>
      </c>
      <c r="C1120" s="43" t="s">
        <v>90</v>
      </c>
      <c r="D1120" s="43">
        <v>1110040</v>
      </c>
      <c r="E1120" t="s">
        <v>1505</v>
      </c>
      <c r="F1120" s="47" t="str">
        <f>+Centro_Cuenta8[[#This Row],[Codigo Centro Gestion]]&amp;" - "&amp;Centro_Cuenta8[[#This Row],[Nombre Centro Gestion]]</f>
        <v>10229104 - Vista Las Palmas-Ventas</v>
      </c>
      <c r="G1120" s="47" t="str">
        <f>+Centro_Cuenta8[[#This Row],[Código Cuenta Contable]]&amp;" - "&amp;Centro_Cuenta8[[#This Row],[Nombre de Cuenta Contable]]</f>
        <v>1110040 - Garantía Pagadas</v>
      </c>
      <c r="H1120" s="146" t="str">
        <f>+VLOOKUP(D1120,'3. Cuentas'!A:F,6,0)</f>
        <v>SI</v>
      </c>
    </row>
    <row r="1121" spans="1:8" x14ac:dyDescent="0.25">
      <c r="A1121" s="43">
        <v>10229104</v>
      </c>
      <c r="B1121" t="s">
        <v>1079</v>
      </c>
      <c r="C1121" s="43" t="s">
        <v>90</v>
      </c>
      <c r="D1121" s="43">
        <v>4202003</v>
      </c>
      <c r="E1121" t="s">
        <v>106</v>
      </c>
      <c r="F1121" s="47" t="str">
        <f>+Centro_Cuenta8[[#This Row],[Codigo Centro Gestion]]&amp;" - "&amp;Centro_Cuenta8[[#This Row],[Nombre Centro Gestion]]</f>
        <v>10229104 - Vista Las Palmas-Ventas</v>
      </c>
      <c r="G1121" s="47" t="str">
        <f>+Centro_Cuenta8[[#This Row],[Código Cuenta Contable]]&amp;" - "&amp;Centro_Cuenta8[[#This Row],[Nombre de Cuenta Contable]]</f>
        <v>4202003 - Serv.Basic.Luz.Agua.Tel Of.C</v>
      </c>
      <c r="H1121" s="146" t="str">
        <f>+VLOOKUP(D1121,'3. Cuentas'!A:F,6,0)</f>
        <v>SI</v>
      </c>
    </row>
    <row r="1122" spans="1:8" x14ac:dyDescent="0.25">
      <c r="A1122" s="43">
        <v>10229104</v>
      </c>
      <c r="B1122" t="s">
        <v>1079</v>
      </c>
      <c r="C1122" s="43" t="s">
        <v>90</v>
      </c>
      <c r="D1122" s="43">
        <v>4202010</v>
      </c>
      <c r="E1122" t="s">
        <v>87</v>
      </c>
      <c r="F1122" s="47" t="str">
        <f>+Centro_Cuenta8[[#This Row],[Codigo Centro Gestion]]&amp;" - "&amp;Centro_Cuenta8[[#This Row],[Nombre Centro Gestion]]</f>
        <v>10229104 - Vista Las Palmas-Ventas</v>
      </c>
      <c r="G1122" s="47" t="str">
        <f>+Centro_Cuenta8[[#This Row],[Código Cuenta Contable]]&amp;" - "&amp;Centro_Cuenta8[[#This Row],[Nombre de Cuenta Contable]]</f>
        <v>4202010 - Artic. Ofic. Fotocop.Papelería</v>
      </c>
      <c r="H1122" s="146" t="str">
        <f>+VLOOKUP(D1122,'3. Cuentas'!A:F,6,0)</f>
        <v>SI</v>
      </c>
    </row>
    <row r="1123" spans="1:8" x14ac:dyDescent="0.25">
      <c r="A1123" s="43">
        <v>10229104</v>
      </c>
      <c r="B1123" t="s">
        <v>1079</v>
      </c>
      <c r="C1123" s="43" t="s">
        <v>90</v>
      </c>
      <c r="D1123" s="43">
        <v>4202019</v>
      </c>
      <c r="E1123" t="s">
        <v>81</v>
      </c>
      <c r="F1123" s="47" t="str">
        <f>+Centro_Cuenta8[[#This Row],[Codigo Centro Gestion]]&amp;" - "&amp;Centro_Cuenta8[[#This Row],[Nombre Centro Gestion]]</f>
        <v>10229104 - Vista Las Palmas-Ventas</v>
      </c>
      <c r="G1123" s="47" t="str">
        <f>+Centro_Cuenta8[[#This Row],[Código Cuenta Contable]]&amp;" - "&amp;Centro_Cuenta8[[#This Row],[Nombre de Cuenta Contable]]</f>
        <v>4202019 - Gasto General Oficina</v>
      </c>
      <c r="H1123" s="146" t="str">
        <f>+VLOOKUP(D1123,'3. Cuentas'!A:F,6,0)</f>
        <v>SI</v>
      </c>
    </row>
    <row r="1124" spans="1:8" x14ac:dyDescent="0.25">
      <c r="A1124" s="43">
        <v>10229104</v>
      </c>
      <c r="B1124" t="s">
        <v>1079</v>
      </c>
      <c r="C1124" s="43" t="s">
        <v>90</v>
      </c>
      <c r="D1124" s="43">
        <v>4202023</v>
      </c>
      <c r="E1124" t="s">
        <v>82</v>
      </c>
      <c r="F1124" s="47" t="str">
        <f>+Centro_Cuenta8[[#This Row],[Codigo Centro Gestion]]&amp;" - "&amp;Centro_Cuenta8[[#This Row],[Nombre Centro Gestion]]</f>
        <v>10229104 - Vista Las Palmas-Ventas</v>
      </c>
      <c r="G1124" s="47" t="str">
        <f>+Centro_Cuenta8[[#This Row],[Código Cuenta Contable]]&amp;" - "&amp;Centro_Cuenta8[[#This Row],[Nombre de Cuenta Contable]]</f>
        <v>4202023 - Honorarios Por Asesorías</v>
      </c>
      <c r="H1124" s="146" t="str">
        <f>+VLOOKUP(D1124,'3. Cuentas'!A:F,6,0)</f>
        <v>SI</v>
      </c>
    </row>
    <row r="1125" spans="1:8" x14ac:dyDescent="0.25">
      <c r="A1125" s="43">
        <v>10229104</v>
      </c>
      <c r="B1125" t="s">
        <v>1079</v>
      </c>
      <c r="C1125" s="43" t="s">
        <v>90</v>
      </c>
      <c r="D1125" s="43">
        <v>4202029</v>
      </c>
      <c r="E1125" t="s">
        <v>83</v>
      </c>
      <c r="F1125" s="47" t="str">
        <f>+Centro_Cuenta8[[#This Row],[Codigo Centro Gestion]]&amp;" - "&amp;Centro_Cuenta8[[#This Row],[Nombre Centro Gestion]]</f>
        <v>10229104 - Vista Las Palmas-Ventas</v>
      </c>
      <c r="G1125" s="47" t="str">
        <f>+Centro_Cuenta8[[#This Row],[Código Cuenta Contable]]&amp;" - "&amp;Centro_Cuenta8[[#This Row],[Nombre de Cuenta Contable]]</f>
        <v>4202029 - Insumos Y Gastos Informáticos</v>
      </c>
      <c r="H1125" s="146" t="str">
        <f>+VLOOKUP(D1125,'3. Cuentas'!A:F,6,0)</f>
        <v>SI</v>
      </c>
    </row>
    <row r="1126" spans="1:8" x14ac:dyDescent="0.25">
      <c r="A1126" s="43">
        <v>10229104</v>
      </c>
      <c r="B1126" t="s">
        <v>1079</v>
      </c>
      <c r="C1126" s="43" t="s">
        <v>90</v>
      </c>
      <c r="D1126" s="43">
        <v>4204021</v>
      </c>
      <c r="E1126" t="s">
        <v>329</v>
      </c>
      <c r="F1126" s="47" t="str">
        <f>+Centro_Cuenta8[[#This Row],[Codigo Centro Gestion]]&amp;" - "&amp;Centro_Cuenta8[[#This Row],[Nombre Centro Gestion]]</f>
        <v>10229104 - Vista Las Palmas-Ventas</v>
      </c>
      <c r="G1126" s="47" t="str">
        <f>+Centro_Cuenta8[[#This Row],[Código Cuenta Contable]]&amp;" - "&amp;Centro_Cuenta8[[#This Row],[Nombre de Cuenta Contable]]</f>
        <v>4204021 - Publicidad Ferias Y Eventos</v>
      </c>
      <c r="H1126" s="146" t="str">
        <f>+VLOOKUP(D1126,'3. Cuentas'!A:F,6,0)</f>
        <v>SI</v>
      </c>
    </row>
    <row r="1127" spans="1:8" x14ac:dyDescent="0.25">
      <c r="A1127" s="43">
        <v>10229105</v>
      </c>
      <c r="B1127" t="s">
        <v>1080</v>
      </c>
      <c r="C1127" s="43" t="s">
        <v>1622</v>
      </c>
      <c r="D1127" s="43">
        <v>4203020</v>
      </c>
      <c r="E1127" t="s">
        <v>295</v>
      </c>
      <c r="F1127" s="47" t="str">
        <f>+Centro_Cuenta8[[#This Row],[Codigo Centro Gestion]]&amp;" - "&amp;Centro_Cuenta8[[#This Row],[Nombre Centro Gestion]]</f>
        <v>10229105 - Vista Las Palmas-Clientes</v>
      </c>
      <c r="G1127" s="47" t="str">
        <f>+Centro_Cuenta8[[#This Row],[Código Cuenta Contable]]&amp;" - "&amp;Centro_Cuenta8[[#This Row],[Nombre de Cuenta Contable]]</f>
        <v>4203020 - Mant. y Consum. Viv Stock</v>
      </c>
      <c r="H1127" s="146" t="str">
        <f>+VLOOKUP(D1127,'3. Cuentas'!A:F,6,0)</f>
        <v>SI</v>
      </c>
    </row>
    <row r="1128" spans="1:8" x14ac:dyDescent="0.25">
      <c r="A1128" s="43">
        <v>10229105</v>
      </c>
      <c r="B1128" t="s">
        <v>1080</v>
      </c>
      <c r="C1128" s="43" t="s">
        <v>1622</v>
      </c>
      <c r="D1128" s="43">
        <v>4203120</v>
      </c>
      <c r="E1128" t="s">
        <v>108</v>
      </c>
      <c r="F1128" s="47" t="str">
        <f>+Centro_Cuenta8[[#This Row],[Codigo Centro Gestion]]&amp;" - "&amp;Centro_Cuenta8[[#This Row],[Nombre Centro Gestion]]</f>
        <v>10229105 - Vista Las Palmas-Clientes</v>
      </c>
      <c r="G1128" s="47" t="str">
        <f>+Centro_Cuenta8[[#This Row],[Código Cuenta Contable]]&amp;" - "&amp;Centro_Cuenta8[[#This Row],[Nombre de Cuenta Contable]]</f>
        <v>4203120 - Gastos Comunes</v>
      </c>
      <c r="H1128" s="146" t="str">
        <f>+VLOOKUP(D1128,'3. Cuentas'!A:F,6,0)</f>
        <v>SI</v>
      </c>
    </row>
    <row r="1129" spans="1:8" x14ac:dyDescent="0.25">
      <c r="A1129" s="43">
        <v>10229105</v>
      </c>
      <c r="B1129" t="s">
        <v>1080</v>
      </c>
      <c r="C1129" s="43" t="s">
        <v>1622</v>
      </c>
      <c r="D1129" s="43">
        <v>4203140</v>
      </c>
      <c r="E1129" t="s">
        <v>109</v>
      </c>
      <c r="F1129" s="47" t="str">
        <f>+Centro_Cuenta8[[#This Row],[Codigo Centro Gestion]]&amp;" - "&amp;Centro_Cuenta8[[#This Row],[Nombre Centro Gestion]]</f>
        <v>10229105 - Vista Las Palmas-Clientes</v>
      </c>
      <c r="G1129" s="47" t="str">
        <f>+Centro_Cuenta8[[#This Row],[Código Cuenta Contable]]&amp;" - "&amp;Centro_Cuenta8[[#This Row],[Nombre de Cuenta Contable]]</f>
        <v>4203140 - Contribuciones</v>
      </c>
      <c r="H1129" s="146" t="str">
        <f>+VLOOKUP(D1129,'3. Cuentas'!A:F,6,0)</f>
        <v>SI</v>
      </c>
    </row>
    <row r="1130" spans="1:8" x14ac:dyDescent="0.25">
      <c r="A1130" s="43">
        <v>10229204</v>
      </c>
      <c r="B1130" t="s">
        <v>1081</v>
      </c>
      <c r="C1130" s="43" t="s">
        <v>1624</v>
      </c>
      <c r="D1130" s="43">
        <v>1103045</v>
      </c>
      <c r="E1130" t="s">
        <v>323</v>
      </c>
      <c r="F1130" s="47" t="str">
        <f>+Centro_Cuenta8[[#This Row],[Codigo Centro Gestion]]&amp;" - "&amp;Centro_Cuenta8[[#This Row],[Nombre Centro Gestion]]</f>
        <v>10229204 - Vista Las Palmas-Proyecto</v>
      </c>
      <c r="G1130" s="47" t="str">
        <f>+Centro_Cuenta8[[#This Row],[Código Cuenta Contable]]&amp;" - "&amp;Centro_Cuenta8[[#This Row],[Nombre de Cuenta Contable]]</f>
        <v>1103045 - Aportes reembolsables (electricidad y agua)</v>
      </c>
      <c r="H1130" s="146" t="str">
        <f>+VLOOKUP(D1130,'3. Cuentas'!A:F,6,0)</f>
        <v>SI</v>
      </c>
    </row>
    <row r="1131" spans="1:8" x14ac:dyDescent="0.25">
      <c r="A1131" s="43">
        <v>10229204</v>
      </c>
      <c r="B1131" t="s">
        <v>1081</v>
      </c>
      <c r="C1131" s="43" t="s">
        <v>1624</v>
      </c>
      <c r="D1131" s="43">
        <v>1109020</v>
      </c>
      <c r="E1131" t="s">
        <v>302</v>
      </c>
      <c r="F1131" s="47" t="str">
        <f>+Centro_Cuenta8[[#This Row],[Codigo Centro Gestion]]&amp;" - "&amp;Centro_Cuenta8[[#This Row],[Nombre Centro Gestion]]</f>
        <v>10229204 - Vista Las Palmas-Proyecto</v>
      </c>
      <c r="G1131" s="47" t="str">
        <f>+Centro_Cuenta8[[#This Row],[Código Cuenta Contable]]&amp;" - "&amp;Centro_Cuenta8[[#This Row],[Nombre de Cuenta Contable]]</f>
        <v>1109020 - Mobiliario</v>
      </c>
      <c r="H1131" s="146" t="str">
        <f>+VLOOKUP(D1131,'3. Cuentas'!A:F,6,0)</f>
        <v>SI</v>
      </c>
    </row>
    <row r="1132" spans="1:8" x14ac:dyDescent="0.25">
      <c r="A1132" s="43">
        <v>10229204</v>
      </c>
      <c r="B1132" t="s">
        <v>1081</v>
      </c>
      <c r="C1132" s="43" t="s">
        <v>1624</v>
      </c>
      <c r="D1132" s="43">
        <v>1110040</v>
      </c>
      <c r="E1132" t="s">
        <v>1505</v>
      </c>
      <c r="F1132" s="47" t="str">
        <f>+Centro_Cuenta8[[#This Row],[Codigo Centro Gestion]]&amp;" - "&amp;Centro_Cuenta8[[#This Row],[Nombre Centro Gestion]]</f>
        <v>10229204 - Vista Las Palmas-Proyecto</v>
      </c>
      <c r="G1132" s="47" t="str">
        <f>+Centro_Cuenta8[[#This Row],[Código Cuenta Contable]]&amp;" - "&amp;Centro_Cuenta8[[#This Row],[Nombre de Cuenta Contable]]</f>
        <v>1110040 - Garantía Pagadas</v>
      </c>
      <c r="H1132" s="146" t="str">
        <f>+VLOOKUP(D1132,'3. Cuentas'!A:F,6,0)</f>
        <v>SI</v>
      </c>
    </row>
    <row r="1133" spans="1:8" x14ac:dyDescent="0.25">
      <c r="A1133" s="43">
        <v>10229204</v>
      </c>
      <c r="B1133" t="s">
        <v>1081</v>
      </c>
      <c r="C1133" s="43" t="s">
        <v>1624</v>
      </c>
      <c r="D1133" s="43">
        <v>1115040</v>
      </c>
      <c r="E1133" t="s">
        <v>291</v>
      </c>
      <c r="F1133" s="47" t="str">
        <f>+Centro_Cuenta8[[#This Row],[Codigo Centro Gestion]]&amp;" - "&amp;Centro_Cuenta8[[#This Row],[Nombre Centro Gestion]]</f>
        <v>10229204 - Vista Las Palmas-Proyecto</v>
      </c>
      <c r="G1133" s="47" t="str">
        <f>+Centro_Cuenta8[[#This Row],[Código Cuenta Contable]]&amp;" - "&amp;Centro_Cuenta8[[#This Row],[Nombre de Cuenta Contable]]</f>
        <v>1115040 - Saneamiento De Terreno</v>
      </c>
      <c r="H1133" s="146" t="str">
        <f>+VLOOKUP(D1133,'3. Cuentas'!A:F,6,0)</f>
        <v>SI</v>
      </c>
    </row>
    <row r="1134" spans="1:8" x14ac:dyDescent="0.25">
      <c r="A1134" s="43">
        <v>10229204</v>
      </c>
      <c r="B1134" t="s">
        <v>1081</v>
      </c>
      <c r="C1134" s="43" t="s">
        <v>1624</v>
      </c>
      <c r="D1134" s="43">
        <v>1115050</v>
      </c>
      <c r="E1134" t="s">
        <v>1628</v>
      </c>
      <c r="F1134" s="47" t="str">
        <f>+Centro_Cuenta8[[#This Row],[Codigo Centro Gestion]]&amp;" - "&amp;Centro_Cuenta8[[#This Row],[Nombre Centro Gestion]]</f>
        <v>10229204 - Vista Las Palmas-Proyecto</v>
      </c>
      <c r="G1134" s="47" t="str">
        <f>+Centro_Cuenta8[[#This Row],[Código Cuenta Contable]]&amp;" - "&amp;Centro_Cuenta8[[#This Row],[Nombre de Cuenta Contable]]</f>
        <v>1115050 - Demolición</v>
      </c>
      <c r="H1134" s="146" t="str">
        <f>+VLOOKUP(D1134,'3. Cuentas'!A:F,6,0)</f>
        <v>SI</v>
      </c>
    </row>
    <row r="1135" spans="1:8" x14ac:dyDescent="0.25">
      <c r="A1135" s="43">
        <v>10229204</v>
      </c>
      <c r="B1135" t="s">
        <v>1081</v>
      </c>
      <c r="C1135" s="43" t="s">
        <v>1624</v>
      </c>
      <c r="D1135" s="43">
        <v>1115100</v>
      </c>
      <c r="E1135" t="s">
        <v>292</v>
      </c>
      <c r="F1135" s="47" t="str">
        <f>+Centro_Cuenta8[[#This Row],[Codigo Centro Gestion]]&amp;" - "&amp;Centro_Cuenta8[[#This Row],[Nombre Centro Gestion]]</f>
        <v>10229204 - Vista Las Palmas-Proyecto</v>
      </c>
      <c r="G1135" s="47" t="str">
        <f>+Centro_Cuenta8[[#This Row],[Código Cuenta Contable]]&amp;" - "&amp;Centro_Cuenta8[[#This Row],[Nombre de Cuenta Contable]]</f>
        <v>1115100 - Proyectos Y Especialidades</v>
      </c>
      <c r="H1135" s="146" t="str">
        <f>+VLOOKUP(D1135,'3. Cuentas'!A:F,6,0)</f>
        <v>SI</v>
      </c>
    </row>
    <row r="1136" spans="1:8" x14ac:dyDescent="0.25">
      <c r="A1136" s="43">
        <v>10229204</v>
      </c>
      <c r="B1136" t="s">
        <v>1081</v>
      </c>
      <c r="C1136" s="43" t="s">
        <v>1624</v>
      </c>
      <c r="D1136" s="43">
        <v>1115120</v>
      </c>
      <c r="E1136" t="s">
        <v>1633</v>
      </c>
      <c r="F1136" s="47" t="str">
        <f>+Centro_Cuenta8[[#This Row],[Codigo Centro Gestion]]&amp;" - "&amp;Centro_Cuenta8[[#This Row],[Nombre Centro Gestion]]</f>
        <v>10229204 - Vista Las Palmas-Proyecto</v>
      </c>
      <c r="G1136" s="47" t="str">
        <f>+Centro_Cuenta8[[#This Row],[Código Cuenta Contable]]&amp;" - "&amp;Centro_Cuenta8[[#This Row],[Nombre de Cuenta Contable]]</f>
        <v>1115120 - Instalación Empalmes</v>
      </c>
      <c r="H1136" s="146" t="str">
        <f>+VLOOKUP(D1136,'3. Cuentas'!A:F,6,0)</f>
        <v>SI</v>
      </c>
    </row>
    <row r="1137" spans="1:8" x14ac:dyDescent="0.25">
      <c r="A1137" s="43">
        <v>10229204</v>
      </c>
      <c r="B1137" t="s">
        <v>1081</v>
      </c>
      <c r="C1137" s="43" t="s">
        <v>1624</v>
      </c>
      <c r="D1137" s="43">
        <v>1115170</v>
      </c>
      <c r="E1137" t="s">
        <v>293</v>
      </c>
      <c r="F1137" s="47" t="str">
        <f>+Centro_Cuenta8[[#This Row],[Codigo Centro Gestion]]&amp;" - "&amp;Centro_Cuenta8[[#This Row],[Nombre Centro Gestion]]</f>
        <v>10229204 - Vista Las Palmas-Proyecto</v>
      </c>
      <c r="G1137" s="47" t="str">
        <f>+Centro_Cuenta8[[#This Row],[Código Cuenta Contable]]&amp;" - "&amp;Centro_Cuenta8[[#This Row],[Nombre de Cuenta Contable]]</f>
        <v>1115170 - Permisos Y Otros Gastos Municipales</v>
      </c>
      <c r="H1137" s="146" t="str">
        <f>+VLOOKUP(D1137,'3. Cuentas'!A:F,6,0)</f>
        <v>SI</v>
      </c>
    </row>
    <row r="1138" spans="1:8" x14ac:dyDescent="0.25">
      <c r="A1138" s="43">
        <v>10229204</v>
      </c>
      <c r="B1138" t="s">
        <v>1081</v>
      </c>
      <c r="C1138" s="43" t="s">
        <v>1624</v>
      </c>
      <c r="D1138" s="43">
        <v>1115240</v>
      </c>
      <c r="E1138" t="s">
        <v>294</v>
      </c>
      <c r="F1138" s="47" t="str">
        <f>+Centro_Cuenta8[[#This Row],[Codigo Centro Gestion]]&amp;" - "&amp;Centro_Cuenta8[[#This Row],[Nombre Centro Gestion]]</f>
        <v>10229204 - Vista Las Palmas-Proyecto</v>
      </c>
      <c r="G1138" s="47" t="str">
        <f>+Centro_Cuenta8[[#This Row],[Código Cuenta Contable]]&amp;" - "&amp;Centro_Cuenta8[[#This Row],[Nombre de Cuenta Contable]]</f>
        <v>1115240 - Estudios Y Asesorias Técnicas</v>
      </c>
      <c r="H1138" s="146" t="str">
        <f>+VLOOKUP(D1138,'3. Cuentas'!A:F,6,0)</f>
        <v>SI</v>
      </c>
    </row>
    <row r="1139" spans="1:8" x14ac:dyDescent="0.25">
      <c r="A1139" s="43">
        <v>10229204</v>
      </c>
      <c r="B1139" t="s">
        <v>1081</v>
      </c>
      <c r="C1139" s="43" t="s">
        <v>1624</v>
      </c>
      <c r="D1139" s="43">
        <v>4203090</v>
      </c>
      <c r="E1139" t="s">
        <v>192</v>
      </c>
      <c r="F1139" s="47" t="str">
        <f>+Centro_Cuenta8[[#This Row],[Codigo Centro Gestion]]&amp;" - "&amp;Centro_Cuenta8[[#This Row],[Nombre Centro Gestion]]</f>
        <v>10229204 - Vista Las Palmas-Proyecto</v>
      </c>
      <c r="G1139" s="47" t="str">
        <f>+Centro_Cuenta8[[#This Row],[Código Cuenta Contable]]&amp;" - "&amp;Centro_Cuenta8[[#This Row],[Nombre de Cuenta Contable]]</f>
        <v>4203090 - Gastos Legales Y Notariales Proyecto</v>
      </c>
      <c r="H1139" s="146" t="str">
        <f>+VLOOKUP(D1139,'3. Cuentas'!A:F,6,0)</f>
        <v>SI</v>
      </c>
    </row>
    <row r="1140" spans="1:8" x14ac:dyDescent="0.25">
      <c r="A1140" s="43">
        <v>10229204</v>
      </c>
      <c r="B1140" t="s">
        <v>1081</v>
      </c>
      <c r="C1140" s="43" t="s">
        <v>1624</v>
      </c>
      <c r="D1140" s="43">
        <v>4203140</v>
      </c>
      <c r="E1140" t="s">
        <v>109</v>
      </c>
      <c r="F1140" s="47" t="str">
        <f>+Centro_Cuenta8[[#This Row],[Codigo Centro Gestion]]&amp;" - "&amp;Centro_Cuenta8[[#This Row],[Nombre Centro Gestion]]</f>
        <v>10229204 - Vista Las Palmas-Proyecto</v>
      </c>
      <c r="G1140" s="47" t="str">
        <f>+Centro_Cuenta8[[#This Row],[Código Cuenta Contable]]&amp;" - "&amp;Centro_Cuenta8[[#This Row],[Nombre de Cuenta Contable]]</f>
        <v>4203140 - Contribuciones</v>
      </c>
      <c r="H1140" s="146" t="str">
        <f>+VLOOKUP(D1140,'3. Cuentas'!A:F,6,0)</f>
        <v>SI</v>
      </c>
    </row>
    <row r="1141" spans="1:8" x14ac:dyDescent="0.25">
      <c r="A1141" s="43">
        <v>10229204</v>
      </c>
      <c r="B1141" t="s">
        <v>1081</v>
      </c>
      <c r="C1141" s="43" t="s">
        <v>1624</v>
      </c>
      <c r="D1141" s="43">
        <v>4203150</v>
      </c>
      <c r="E1141" t="s">
        <v>156</v>
      </c>
      <c r="F1141" s="47" t="str">
        <f>+Centro_Cuenta8[[#This Row],[Codigo Centro Gestion]]&amp;" - "&amp;Centro_Cuenta8[[#This Row],[Nombre Centro Gestion]]</f>
        <v>10229204 - Vista Las Palmas-Proyecto</v>
      </c>
      <c r="G1141" s="47" t="str">
        <f>+Centro_Cuenta8[[#This Row],[Código Cuenta Contable]]&amp;" - "&amp;Centro_Cuenta8[[#This Row],[Nombre de Cuenta Contable]]</f>
        <v>4203150 - Gastos CBR</v>
      </c>
      <c r="H1141" s="146" t="str">
        <f>+VLOOKUP(D1141,'3. Cuentas'!A:F,6,0)</f>
        <v>SI</v>
      </c>
    </row>
    <row r="1142" spans="1:8" x14ac:dyDescent="0.25">
      <c r="A1142" s="43">
        <v>10229204</v>
      </c>
      <c r="B1142" t="s">
        <v>1081</v>
      </c>
      <c r="C1142" s="43" t="s">
        <v>1624</v>
      </c>
      <c r="D1142" s="43">
        <v>4203160</v>
      </c>
      <c r="E1142" t="s">
        <v>1639</v>
      </c>
      <c r="F1142" s="47" t="str">
        <f>+Centro_Cuenta8[[#This Row],[Codigo Centro Gestion]]&amp;" - "&amp;Centro_Cuenta8[[#This Row],[Nombre Centro Gestion]]</f>
        <v>10229204 - Vista Las Palmas-Proyecto</v>
      </c>
      <c r="G1142" s="47" t="str">
        <f>+Centro_Cuenta8[[#This Row],[Código Cuenta Contable]]&amp;" - "&amp;Centro_Cuenta8[[#This Row],[Nombre de Cuenta Contable]]</f>
        <v>4203160 - PAPELERIA Y FOTOCOPIADO</v>
      </c>
      <c r="H1142" s="146" t="str">
        <f>+VLOOKUP(D1142,'3. Cuentas'!A:F,6,0)</f>
        <v>SI</v>
      </c>
    </row>
    <row r="1143" spans="1:8" x14ac:dyDescent="0.25">
      <c r="A1143" s="43">
        <v>10229204</v>
      </c>
      <c r="B1143" t="s">
        <v>1081</v>
      </c>
      <c r="C1143" s="43" t="s">
        <v>1624</v>
      </c>
      <c r="D1143" s="43">
        <v>4203180</v>
      </c>
      <c r="E1143" t="s">
        <v>1640</v>
      </c>
      <c r="F1143" s="47" t="str">
        <f>+Centro_Cuenta8[[#This Row],[Codigo Centro Gestion]]&amp;" - "&amp;Centro_Cuenta8[[#This Row],[Nombre Centro Gestion]]</f>
        <v>10229204 - Vista Las Palmas-Proyecto</v>
      </c>
      <c r="G1143" s="47" t="str">
        <f>+Centro_Cuenta8[[#This Row],[Código Cuenta Contable]]&amp;" - "&amp;Centro_Cuenta8[[#This Row],[Nombre de Cuenta Contable]]</f>
        <v>4203180 - Otros Gastos y Aseso Proy</v>
      </c>
      <c r="H1143" s="146" t="str">
        <f>+VLOOKUP(D1143,'3. Cuentas'!A:F,6,0)</f>
        <v>SI</v>
      </c>
    </row>
    <row r="1144" spans="1:8" x14ac:dyDescent="0.25">
      <c r="A1144" s="43">
        <v>10229301</v>
      </c>
      <c r="B1144" t="s">
        <v>1082</v>
      </c>
      <c r="C1144" s="43" t="s">
        <v>1643</v>
      </c>
      <c r="D1144" s="43">
        <v>4203090</v>
      </c>
      <c r="E1144" t="s">
        <v>192</v>
      </c>
      <c r="F1144" s="47" t="str">
        <f>+Centro_Cuenta8[[#This Row],[Codigo Centro Gestion]]&amp;" - "&amp;Centro_Cuenta8[[#This Row],[Nombre Centro Gestion]]</f>
        <v>10229301 - Vista Las Palmas-GAF</v>
      </c>
      <c r="G1144" s="47" t="str">
        <f>+Centro_Cuenta8[[#This Row],[Código Cuenta Contable]]&amp;" - "&amp;Centro_Cuenta8[[#This Row],[Nombre de Cuenta Contable]]</f>
        <v>4203090 - Gastos Legales Y Notariales Proyecto</v>
      </c>
      <c r="H1144" s="146" t="str">
        <f>+VLOOKUP(D1144,'3. Cuentas'!A:F,6,0)</f>
        <v>SI</v>
      </c>
    </row>
    <row r="1145" spans="1:8" x14ac:dyDescent="0.25">
      <c r="A1145" s="43">
        <v>10229301</v>
      </c>
      <c r="B1145" t="s">
        <v>1082</v>
      </c>
      <c r="C1145" s="43" t="s">
        <v>1643</v>
      </c>
      <c r="D1145" s="43">
        <v>4203140</v>
      </c>
      <c r="E1145" t="s">
        <v>109</v>
      </c>
      <c r="F1145" s="47" t="str">
        <f>+Centro_Cuenta8[[#This Row],[Codigo Centro Gestion]]&amp;" - "&amp;Centro_Cuenta8[[#This Row],[Nombre Centro Gestion]]</f>
        <v>10229301 - Vista Las Palmas-GAF</v>
      </c>
      <c r="G1145" s="47" t="str">
        <f>+Centro_Cuenta8[[#This Row],[Código Cuenta Contable]]&amp;" - "&amp;Centro_Cuenta8[[#This Row],[Nombre de Cuenta Contable]]</f>
        <v>4203140 - Contribuciones</v>
      </c>
      <c r="H1145" s="146" t="str">
        <f>+VLOOKUP(D1145,'3. Cuentas'!A:F,6,0)</f>
        <v>SI</v>
      </c>
    </row>
    <row r="1146" spans="1:8" x14ac:dyDescent="0.25">
      <c r="A1146" s="43">
        <v>10229506</v>
      </c>
      <c r="B1146" t="s">
        <v>1084</v>
      </c>
      <c r="C1146" s="43" t="s">
        <v>200</v>
      </c>
      <c r="D1146" s="43">
        <v>1115100</v>
      </c>
      <c r="E1146" t="s">
        <v>292</v>
      </c>
      <c r="F1146" s="47" t="str">
        <f>+Centro_Cuenta8[[#This Row],[Codigo Centro Gestion]]&amp;" - "&amp;Centro_Cuenta8[[#This Row],[Nombre Centro Gestion]]</f>
        <v>10229506 - Vista Las Palmas-Depto.Técnico</v>
      </c>
      <c r="G1146" s="47" t="str">
        <f>+Centro_Cuenta8[[#This Row],[Código Cuenta Contable]]&amp;" - "&amp;Centro_Cuenta8[[#This Row],[Nombre de Cuenta Contable]]</f>
        <v>1115100 - Proyectos Y Especialidades</v>
      </c>
      <c r="H1146" s="146" t="str">
        <f>+VLOOKUP(D1146,'3. Cuentas'!A:F,6,0)</f>
        <v>SI</v>
      </c>
    </row>
    <row r="1147" spans="1:8" x14ac:dyDescent="0.25">
      <c r="A1147" s="43">
        <v>10230102</v>
      </c>
      <c r="B1147" t="s">
        <v>1086</v>
      </c>
      <c r="C1147" s="43" t="s">
        <v>1617</v>
      </c>
      <c r="D1147" s="43">
        <v>4204010</v>
      </c>
      <c r="E1147" t="s">
        <v>313</v>
      </c>
      <c r="F1147" s="47" t="str">
        <f>+Centro_Cuenta8[[#This Row],[Codigo Centro Gestion]]&amp;" - "&amp;Centro_Cuenta8[[#This Row],[Nombre Centro Gestion]]</f>
        <v>10230102 - Condominio Manuel Jesus Rivera-Marketing</v>
      </c>
      <c r="G1147" s="47" t="str">
        <f>+Centro_Cuenta8[[#This Row],[Código Cuenta Contable]]&amp;" - "&amp;Centro_Cuenta8[[#This Row],[Nombre de Cuenta Contable]]</f>
        <v>4204010 - Publicidad Punto Venta</v>
      </c>
      <c r="H1147" s="146" t="str">
        <f>+VLOOKUP(D1147,'3. Cuentas'!A:F,6,0)</f>
        <v>SI</v>
      </c>
    </row>
    <row r="1148" spans="1:8" x14ac:dyDescent="0.25">
      <c r="A1148" s="43">
        <v>10230102</v>
      </c>
      <c r="B1148" t="s">
        <v>1086</v>
      </c>
      <c r="C1148" s="43" t="s">
        <v>1617</v>
      </c>
      <c r="D1148" s="43">
        <v>4204021</v>
      </c>
      <c r="E1148" t="s">
        <v>329</v>
      </c>
      <c r="F1148" s="47" t="str">
        <f>+Centro_Cuenta8[[#This Row],[Codigo Centro Gestion]]&amp;" - "&amp;Centro_Cuenta8[[#This Row],[Nombre Centro Gestion]]</f>
        <v>10230102 - Condominio Manuel Jesus Rivera-Marketing</v>
      </c>
      <c r="G1148" s="47" t="str">
        <f>+Centro_Cuenta8[[#This Row],[Código Cuenta Contable]]&amp;" - "&amp;Centro_Cuenta8[[#This Row],[Nombre de Cuenta Contable]]</f>
        <v>4204021 - Publicidad Ferias Y Eventos</v>
      </c>
      <c r="H1148" s="146" t="str">
        <f>+VLOOKUP(D1148,'3. Cuentas'!A:F,6,0)</f>
        <v>SI</v>
      </c>
    </row>
    <row r="1149" spans="1:8" x14ac:dyDescent="0.25">
      <c r="A1149" s="43">
        <v>10230103</v>
      </c>
      <c r="B1149" t="s">
        <v>1087</v>
      </c>
      <c r="C1149" s="43" t="s">
        <v>1618</v>
      </c>
      <c r="D1149" s="43">
        <v>4203060</v>
      </c>
      <c r="E1149" t="s">
        <v>321</v>
      </c>
      <c r="F1149" s="47" t="str">
        <f>+Centro_Cuenta8[[#This Row],[Codigo Centro Gestion]]&amp;" - "&amp;Centro_Cuenta8[[#This Row],[Nombre Centro Gestion]]</f>
        <v>10230103 - Condominio Manuel Jesus Rivera-Operaciones</v>
      </c>
      <c r="G1149" s="47" t="str">
        <f>+Centro_Cuenta8[[#This Row],[Código Cuenta Contable]]&amp;" - "&amp;Centro_Cuenta8[[#This Row],[Nombre de Cuenta Contable]]</f>
        <v>4203060 - Gastos Operacionales De Clientes</v>
      </c>
      <c r="H1149" s="146" t="str">
        <f>+VLOOKUP(D1149,'3. Cuentas'!A:F,6,0)</f>
        <v>SI</v>
      </c>
    </row>
    <row r="1150" spans="1:8" x14ac:dyDescent="0.25">
      <c r="A1150" s="43">
        <v>10230103</v>
      </c>
      <c r="B1150" t="s">
        <v>1087</v>
      </c>
      <c r="C1150" s="43" t="s">
        <v>1618</v>
      </c>
      <c r="D1150" s="43">
        <v>4203090</v>
      </c>
      <c r="E1150" t="s">
        <v>192</v>
      </c>
      <c r="F1150" s="47" t="str">
        <f>+Centro_Cuenta8[[#This Row],[Codigo Centro Gestion]]&amp;" - "&amp;Centro_Cuenta8[[#This Row],[Nombre Centro Gestion]]</f>
        <v>10230103 - Condominio Manuel Jesus Rivera-Operaciones</v>
      </c>
      <c r="G1150" s="47" t="str">
        <f>+Centro_Cuenta8[[#This Row],[Código Cuenta Contable]]&amp;" - "&amp;Centro_Cuenta8[[#This Row],[Nombre de Cuenta Contable]]</f>
        <v>4203090 - Gastos Legales Y Notariales Proyecto</v>
      </c>
      <c r="H1150" s="146" t="str">
        <f>+VLOOKUP(D1150,'3. Cuentas'!A:F,6,0)</f>
        <v>SI</v>
      </c>
    </row>
    <row r="1151" spans="1:8" x14ac:dyDescent="0.25">
      <c r="A1151" s="43">
        <v>10230104</v>
      </c>
      <c r="B1151" t="s">
        <v>1088</v>
      </c>
      <c r="C1151" s="43" t="s">
        <v>90</v>
      </c>
      <c r="D1151" s="43">
        <v>1110040</v>
      </c>
      <c r="E1151" t="s">
        <v>1505</v>
      </c>
      <c r="F1151" s="47" t="str">
        <f>+Centro_Cuenta8[[#This Row],[Codigo Centro Gestion]]&amp;" - "&amp;Centro_Cuenta8[[#This Row],[Nombre Centro Gestion]]</f>
        <v>10230104 - Condominio Manuel Jesus Rivera-Ventas</v>
      </c>
      <c r="G1151" s="47" t="str">
        <f>+Centro_Cuenta8[[#This Row],[Código Cuenta Contable]]&amp;" - "&amp;Centro_Cuenta8[[#This Row],[Nombre de Cuenta Contable]]</f>
        <v>1110040 - Garantía Pagadas</v>
      </c>
      <c r="H1151" s="146" t="str">
        <f>+VLOOKUP(D1151,'3. Cuentas'!A:F,6,0)</f>
        <v>SI</v>
      </c>
    </row>
    <row r="1152" spans="1:8" x14ac:dyDescent="0.25">
      <c r="A1152" s="43">
        <v>10230104</v>
      </c>
      <c r="B1152" t="s">
        <v>1088</v>
      </c>
      <c r="C1152" s="43" t="s">
        <v>90</v>
      </c>
      <c r="D1152" s="43">
        <v>4202003</v>
      </c>
      <c r="E1152" t="s">
        <v>106</v>
      </c>
      <c r="F1152" s="47" t="str">
        <f>+Centro_Cuenta8[[#This Row],[Codigo Centro Gestion]]&amp;" - "&amp;Centro_Cuenta8[[#This Row],[Nombre Centro Gestion]]</f>
        <v>10230104 - Condominio Manuel Jesus Rivera-Ventas</v>
      </c>
      <c r="G1152" s="47" t="str">
        <f>+Centro_Cuenta8[[#This Row],[Código Cuenta Contable]]&amp;" - "&amp;Centro_Cuenta8[[#This Row],[Nombre de Cuenta Contable]]</f>
        <v>4202003 - Serv.Basic.Luz.Agua.Tel Of.C</v>
      </c>
      <c r="H1152" s="146" t="str">
        <f>+VLOOKUP(D1152,'3. Cuentas'!A:F,6,0)</f>
        <v>SI</v>
      </c>
    </row>
    <row r="1153" spans="1:8" x14ac:dyDescent="0.25">
      <c r="A1153" s="43">
        <v>10230104</v>
      </c>
      <c r="B1153" t="s">
        <v>1088</v>
      </c>
      <c r="C1153" s="43" t="s">
        <v>90</v>
      </c>
      <c r="D1153" s="43">
        <v>4202010</v>
      </c>
      <c r="E1153" t="s">
        <v>87</v>
      </c>
      <c r="F1153" s="47" t="str">
        <f>+Centro_Cuenta8[[#This Row],[Codigo Centro Gestion]]&amp;" - "&amp;Centro_Cuenta8[[#This Row],[Nombre Centro Gestion]]</f>
        <v>10230104 - Condominio Manuel Jesus Rivera-Ventas</v>
      </c>
      <c r="G1153" s="47" t="str">
        <f>+Centro_Cuenta8[[#This Row],[Código Cuenta Contable]]&amp;" - "&amp;Centro_Cuenta8[[#This Row],[Nombre de Cuenta Contable]]</f>
        <v>4202010 - Artic. Ofic. Fotocop.Papelería</v>
      </c>
      <c r="H1153" s="146" t="str">
        <f>+VLOOKUP(D1153,'3. Cuentas'!A:F,6,0)</f>
        <v>SI</v>
      </c>
    </row>
    <row r="1154" spans="1:8" x14ac:dyDescent="0.25">
      <c r="A1154" s="43">
        <v>10230104</v>
      </c>
      <c r="B1154" t="s">
        <v>1088</v>
      </c>
      <c r="C1154" s="43" t="s">
        <v>90</v>
      </c>
      <c r="D1154" s="43">
        <v>4202019</v>
      </c>
      <c r="E1154" t="s">
        <v>81</v>
      </c>
      <c r="F1154" s="47" t="str">
        <f>+Centro_Cuenta8[[#This Row],[Codigo Centro Gestion]]&amp;" - "&amp;Centro_Cuenta8[[#This Row],[Nombre Centro Gestion]]</f>
        <v>10230104 - Condominio Manuel Jesus Rivera-Ventas</v>
      </c>
      <c r="G1154" s="47" t="str">
        <f>+Centro_Cuenta8[[#This Row],[Código Cuenta Contable]]&amp;" - "&amp;Centro_Cuenta8[[#This Row],[Nombre de Cuenta Contable]]</f>
        <v>4202019 - Gasto General Oficina</v>
      </c>
      <c r="H1154" s="146" t="str">
        <f>+VLOOKUP(D1154,'3. Cuentas'!A:F,6,0)</f>
        <v>SI</v>
      </c>
    </row>
    <row r="1155" spans="1:8" x14ac:dyDescent="0.25">
      <c r="A1155" s="43">
        <v>10230104</v>
      </c>
      <c r="B1155" t="s">
        <v>1088</v>
      </c>
      <c r="C1155" s="43" t="s">
        <v>90</v>
      </c>
      <c r="D1155" s="43">
        <v>4202023</v>
      </c>
      <c r="E1155" t="s">
        <v>82</v>
      </c>
      <c r="F1155" s="47" t="str">
        <f>+Centro_Cuenta8[[#This Row],[Codigo Centro Gestion]]&amp;" - "&amp;Centro_Cuenta8[[#This Row],[Nombre Centro Gestion]]</f>
        <v>10230104 - Condominio Manuel Jesus Rivera-Ventas</v>
      </c>
      <c r="G1155" s="47" t="str">
        <f>+Centro_Cuenta8[[#This Row],[Código Cuenta Contable]]&amp;" - "&amp;Centro_Cuenta8[[#This Row],[Nombre de Cuenta Contable]]</f>
        <v>4202023 - Honorarios Por Asesorías</v>
      </c>
      <c r="H1155" s="146" t="str">
        <f>+VLOOKUP(D1155,'3. Cuentas'!A:F,6,0)</f>
        <v>SI</v>
      </c>
    </row>
    <row r="1156" spans="1:8" x14ac:dyDescent="0.25">
      <c r="A1156" s="43">
        <v>10230104</v>
      </c>
      <c r="B1156" t="s">
        <v>1088</v>
      </c>
      <c r="C1156" s="43" t="s">
        <v>90</v>
      </c>
      <c r="D1156" s="43">
        <v>4202029</v>
      </c>
      <c r="E1156" t="s">
        <v>83</v>
      </c>
      <c r="F1156" s="47" t="str">
        <f>+Centro_Cuenta8[[#This Row],[Codigo Centro Gestion]]&amp;" - "&amp;Centro_Cuenta8[[#This Row],[Nombre Centro Gestion]]</f>
        <v>10230104 - Condominio Manuel Jesus Rivera-Ventas</v>
      </c>
      <c r="G1156" s="47" t="str">
        <f>+Centro_Cuenta8[[#This Row],[Código Cuenta Contable]]&amp;" - "&amp;Centro_Cuenta8[[#This Row],[Nombre de Cuenta Contable]]</f>
        <v>4202029 - Insumos Y Gastos Informáticos</v>
      </c>
      <c r="H1156" s="146" t="str">
        <f>+VLOOKUP(D1156,'3. Cuentas'!A:F,6,0)</f>
        <v>SI</v>
      </c>
    </row>
    <row r="1157" spans="1:8" x14ac:dyDescent="0.25">
      <c r="A1157" s="43">
        <v>10230104</v>
      </c>
      <c r="B1157" t="s">
        <v>1088</v>
      </c>
      <c r="C1157" s="43" t="s">
        <v>90</v>
      </c>
      <c r="D1157" s="43">
        <v>4204021</v>
      </c>
      <c r="E1157" t="s">
        <v>329</v>
      </c>
      <c r="F1157" s="47" t="str">
        <f>+Centro_Cuenta8[[#This Row],[Codigo Centro Gestion]]&amp;" - "&amp;Centro_Cuenta8[[#This Row],[Nombre Centro Gestion]]</f>
        <v>10230104 - Condominio Manuel Jesus Rivera-Ventas</v>
      </c>
      <c r="G1157" s="47" t="str">
        <f>+Centro_Cuenta8[[#This Row],[Código Cuenta Contable]]&amp;" - "&amp;Centro_Cuenta8[[#This Row],[Nombre de Cuenta Contable]]</f>
        <v>4204021 - Publicidad Ferias Y Eventos</v>
      </c>
      <c r="H1157" s="146" t="str">
        <f>+VLOOKUP(D1157,'3. Cuentas'!A:F,6,0)</f>
        <v>SI</v>
      </c>
    </row>
    <row r="1158" spans="1:8" x14ac:dyDescent="0.25">
      <c r="A1158" s="43">
        <v>10230105</v>
      </c>
      <c r="B1158" t="s">
        <v>1089</v>
      </c>
      <c r="C1158" s="43" t="s">
        <v>1622</v>
      </c>
      <c r="D1158" s="43">
        <v>4203020</v>
      </c>
      <c r="E1158" t="s">
        <v>295</v>
      </c>
      <c r="F1158" s="47" t="str">
        <f>+Centro_Cuenta8[[#This Row],[Codigo Centro Gestion]]&amp;" - "&amp;Centro_Cuenta8[[#This Row],[Nombre Centro Gestion]]</f>
        <v>10230105 - Condominio Manuel Jesus Rivera-Clientes</v>
      </c>
      <c r="G1158" s="47" t="str">
        <f>+Centro_Cuenta8[[#This Row],[Código Cuenta Contable]]&amp;" - "&amp;Centro_Cuenta8[[#This Row],[Nombre de Cuenta Contable]]</f>
        <v>4203020 - Mant. y Consum. Viv Stock</v>
      </c>
      <c r="H1158" s="146" t="str">
        <f>+VLOOKUP(D1158,'3. Cuentas'!A:F,6,0)</f>
        <v>SI</v>
      </c>
    </row>
    <row r="1159" spans="1:8" x14ac:dyDescent="0.25">
      <c r="A1159" s="43">
        <v>10230105</v>
      </c>
      <c r="B1159" t="s">
        <v>1089</v>
      </c>
      <c r="C1159" s="43" t="s">
        <v>1622</v>
      </c>
      <c r="D1159" s="43">
        <v>4203120</v>
      </c>
      <c r="E1159" t="s">
        <v>108</v>
      </c>
      <c r="F1159" s="47" t="str">
        <f>+Centro_Cuenta8[[#This Row],[Codigo Centro Gestion]]&amp;" - "&amp;Centro_Cuenta8[[#This Row],[Nombre Centro Gestion]]</f>
        <v>10230105 - Condominio Manuel Jesus Rivera-Clientes</v>
      </c>
      <c r="G1159" s="47" t="str">
        <f>+Centro_Cuenta8[[#This Row],[Código Cuenta Contable]]&amp;" - "&amp;Centro_Cuenta8[[#This Row],[Nombre de Cuenta Contable]]</f>
        <v>4203120 - Gastos Comunes</v>
      </c>
      <c r="H1159" s="146" t="str">
        <f>+VLOOKUP(D1159,'3. Cuentas'!A:F,6,0)</f>
        <v>SI</v>
      </c>
    </row>
    <row r="1160" spans="1:8" x14ac:dyDescent="0.25">
      <c r="A1160" s="43">
        <v>10230105</v>
      </c>
      <c r="B1160" t="s">
        <v>1089</v>
      </c>
      <c r="C1160" s="43" t="s">
        <v>1622</v>
      </c>
      <c r="D1160" s="43">
        <v>4203140</v>
      </c>
      <c r="E1160" t="s">
        <v>109</v>
      </c>
      <c r="F1160" s="47" t="str">
        <f>+Centro_Cuenta8[[#This Row],[Codigo Centro Gestion]]&amp;" - "&amp;Centro_Cuenta8[[#This Row],[Nombre Centro Gestion]]</f>
        <v>10230105 - Condominio Manuel Jesus Rivera-Clientes</v>
      </c>
      <c r="G1160" s="47" t="str">
        <f>+Centro_Cuenta8[[#This Row],[Código Cuenta Contable]]&amp;" - "&amp;Centro_Cuenta8[[#This Row],[Nombre de Cuenta Contable]]</f>
        <v>4203140 - Contribuciones</v>
      </c>
      <c r="H1160" s="146" t="str">
        <f>+VLOOKUP(D1160,'3. Cuentas'!A:F,6,0)</f>
        <v>SI</v>
      </c>
    </row>
    <row r="1161" spans="1:8" x14ac:dyDescent="0.25">
      <c r="A1161" s="43">
        <v>10230204</v>
      </c>
      <c r="B1161" t="s">
        <v>1090</v>
      </c>
      <c r="C1161" s="43" t="s">
        <v>1624</v>
      </c>
      <c r="D1161" s="43">
        <v>1103045</v>
      </c>
      <c r="E1161" t="s">
        <v>323</v>
      </c>
      <c r="F1161" s="47" t="str">
        <f>+Centro_Cuenta8[[#This Row],[Codigo Centro Gestion]]&amp;" - "&amp;Centro_Cuenta8[[#This Row],[Nombre Centro Gestion]]</f>
        <v>10230204 - Condominio Manuel Jesus Rivera-Proyecto</v>
      </c>
      <c r="G1161" s="47" t="str">
        <f>+Centro_Cuenta8[[#This Row],[Código Cuenta Contable]]&amp;" - "&amp;Centro_Cuenta8[[#This Row],[Nombre de Cuenta Contable]]</f>
        <v>1103045 - Aportes reembolsables (electricidad y agua)</v>
      </c>
      <c r="H1161" s="146" t="str">
        <f>+VLOOKUP(D1161,'3. Cuentas'!A:F,6,0)</f>
        <v>SI</v>
      </c>
    </row>
    <row r="1162" spans="1:8" x14ac:dyDescent="0.25">
      <c r="A1162" s="43">
        <v>10230204</v>
      </c>
      <c r="B1162" t="s">
        <v>1090</v>
      </c>
      <c r="C1162" s="43" t="s">
        <v>1624</v>
      </c>
      <c r="D1162" s="43">
        <v>1109020</v>
      </c>
      <c r="E1162" t="s">
        <v>302</v>
      </c>
      <c r="F1162" s="47" t="str">
        <f>+Centro_Cuenta8[[#This Row],[Codigo Centro Gestion]]&amp;" - "&amp;Centro_Cuenta8[[#This Row],[Nombre Centro Gestion]]</f>
        <v>10230204 - Condominio Manuel Jesus Rivera-Proyecto</v>
      </c>
      <c r="G1162" s="47" t="str">
        <f>+Centro_Cuenta8[[#This Row],[Código Cuenta Contable]]&amp;" - "&amp;Centro_Cuenta8[[#This Row],[Nombre de Cuenta Contable]]</f>
        <v>1109020 - Mobiliario</v>
      </c>
      <c r="H1162" s="146" t="str">
        <f>+VLOOKUP(D1162,'3. Cuentas'!A:F,6,0)</f>
        <v>SI</v>
      </c>
    </row>
    <row r="1163" spans="1:8" x14ac:dyDescent="0.25">
      <c r="A1163" s="43">
        <v>10230204</v>
      </c>
      <c r="B1163" t="s">
        <v>1090</v>
      </c>
      <c r="C1163" s="43" t="s">
        <v>1624</v>
      </c>
      <c r="D1163" s="43">
        <v>1110040</v>
      </c>
      <c r="E1163" t="s">
        <v>1505</v>
      </c>
      <c r="F1163" s="47" t="str">
        <f>+Centro_Cuenta8[[#This Row],[Codigo Centro Gestion]]&amp;" - "&amp;Centro_Cuenta8[[#This Row],[Nombre Centro Gestion]]</f>
        <v>10230204 - Condominio Manuel Jesus Rivera-Proyecto</v>
      </c>
      <c r="G1163" s="47" t="str">
        <f>+Centro_Cuenta8[[#This Row],[Código Cuenta Contable]]&amp;" - "&amp;Centro_Cuenta8[[#This Row],[Nombre de Cuenta Contable]]</f>
        <v>1110040 - Garantía Pagadas</v>
      </c>
      <c r="H1163" s="146" t="str">
        <f>+VLOOKUP(D1163,'3. Cuentas'!A:F,6,0)</f>
        <v>SI</v>
      </c>
    </row>
    <row r="1164" spans="1:8" x14ac:dyDescent="0.25">
      <c r="A1164" s="43">
        <v>10230204</v>
      </c>
      <c r="B1164" t="s">
        <v>1090</v>
      </c>
      <c r="C1164" s="43" t="s">
        <v>1624</v>
      </c>
      <c r="D1164" s="43">
        <v>1115040</v>
      </c>
      <c r="E1164" t="s">
        <v>291</v>
      </c>
      <c r="F1164" s="47" t="str">
        <f>+Centro_Cuenta8[[#This Row],[Codigo Centro Gestion]]&amp;" - "&amp;Centro_Cuenta8[[#This Row],[Nombre Centro Gestion]]</f>
        <v>10230204 - Condominio Manuel Jesus Rivera-Proyecto</v>
      </c>
      <c r="G1164" s="47" t="str">
        <f>+Centro_Cuenta8[[#This Row],[Código Cuenta Contable]]&amp;" - "&amp;Centro_Cuenta8[[#This Row],[Nombre de Cuenta Contable]]</f>
        <v>1115040 - Saneamiento De Terreno</v>
      </c>
      <c r="H1164" s="146" t="str">
        <f>+VLOOKUP(D1164,'3. Cuentas'!A:F,6,0)</f>
        <v>SI</v>
      </c>
    </row>
    <row r="1165" spans="1:8" x14ac:dyDescent="0.25">
      <c r="A1165" s="43">
        <v>10230204</v>
      </c>
      <c r="B1165" t="s">
        <v>1090</v>
      </c>
      <c r="C1165" s="43" t="s">
        <v>1624</v>
      </c>
      <c r="D1165" s="43">
        <v>1115050</v>
      </c>
      <c r="E1165" t="s">
        <v>1628</v>
      </c>
      <c r="F1165" s="47" t="str">
        <f>+Centro_Cuenta8[[#This Row],[Codigo Centro Gestion]]&amp;" - "&amp;Centro_Cuenta8[[#This Row],[Nombre Centro Gestion]]</f>
        <v>10230204 - Condominio Manuel Jesus Rivera-Proyecto</v>
      </c>
      <c r="G1165" s="47" t="str">
        <f>+Centro_Cuenta8[[#This Row],[Código Cuenta Contable]]&amp;" - "&amp;Centro_Cuenta8[[#This Row],[Nombre de Cuenta Contable]]</f>
        <v>1115050 - Demolición</v>
      </c>
      <c r="H1165" s="146" t="str">
        <f>+VLOOKUP(D1165,'3. Cuentas'!A:F,6,0)</f>
        <v>SI</v>
      </c>
    </row>
    <row r="1166" spans="1:8" x14ac:dyDescent="0.25">
      <c r="A1166" s="43">
        <v>10230204</v>
      </c>
      <c r="B1166" t="s">
        <v>1090</v>
      </c>
      <c r="C1166" s="43" t="s">
        <v>1624</v>
      </c>
      <c r="D1166" s="43">
        <v>1115100</v>
      </c>
      <c r="E1166" t="s">
        <v>292</v>
      </c>
      <c r="F1166" s="47" t="str">
        <f>+Centro_Cuenta8[[#This Row],[Codigo Centro Gestion]]&amp;" - "&amp;Centro_Cuenta8[[#This Row],[Nombre Centro Gestion]]</f>
        <v>10230204 - Condominio Manuel Jesus Rivera-Proyecto</v>
      </c>
      <c r="G1166" s="47" t="str">
        <f>+Centro_Cuenta8[[#This Row],[Código Cuenta Contable]]&amp;" - "&amp;Centro_Cuenta8[[#This Row],[Nombre de Cuenta Contable]]</f>
        <v>1115100 - Proyectos Y Especialidades</v>
      </c>
      <c r="H1166" s="146" t="str">
        <f>+VLOOKUP(D1166,'3. Cuentas'!A:F,6,0)</f>
        <v>SI</v>
      </c>
    </row>
    <row r="1167" spans="1:8" x14ac:dyDescent="0.25">
      <c r="A1167" s="43">
        <v>10230204</v>
      </c>
      <c r="B1167" t="s">
        <v>1090</v>
      </c>
      <c r="C1167" s="43" t="s">
        <v>1624</v>
      </c>
      <c r="D1167" s="43">
        <v>1115120</v>
      </c>
      <c r="E1167" t="s">
        <v>1633</v>
      </c>
      <c r="F1167" s="47" t="str">
        <f>+Centro_Cuenta8[[#This Row],[Codigo Centro Gestion]]&amp;" - "&amp;Centro_Cuenta8[[#This Row],[Nombre Centro Gestion]]</f>
        <v>10230204 - Condominio Manuel Jesus Rivera-Proyecto</v>
      </c>
      <c r="G1167" s="47" t="str">
        <f>+Centro_Cuenta8[[#This Row],[Código Cuenta Contable]]&amp;" - "&amp;Centro_Cuenta8[[#This Row],[Nombre de Cuenta Contable]]</f>
        <v>1115120 - Instalación Empalmes</v>
      </c>
      <c r="H1167" s="146" t="str">
        <f>+VLOOKUP(D1167,'3. Cuentas'!A:F,6,0)</f>
        <v>SI</v>
      </c>
    </row>
    <row r="1168" spans="1:8" x14ac:dyDescent="0.25">
      <c r="A1168" s="43">
        <v>10230204</v>
      </c>
      <c r="B1168" t="s">
        <v>1090</v>
      </c>
      <c r="C1168" s="43" t="s">
        <v>1624</v>
      </c>
      <c r="D1168" s="43">
        <v>1115170</v>
      </c>
      <c r="E1168" t="s">
        <v>293</v>
      </c>
      <c r="F1168" s="47" t="str">
        <f>+Centro_Cuenta8[[#This Row],[Codigo Centro Gestion]]&amp;" - "&amp;Centro_Cuenta8[[#This Row],[Nombre Centro Gestion]]</f>
        <v>10230204 - Condominio Manuel Jesus Rivera-Proyecto</v>
      </c>
      <c r="G1168" s="47" t="str">
        <f>+Centro_Cuenta8[[#This Row],[Código Cuenta Contable]]&amp;" - "&amp;Centro_Cuenta8[[#This Row],[Nombre de Cuenta Contable]]</f>
        <v>1115170 - Permisos Y Otros Gastos Municipales</v>
      </c>
      <c r="H1168" s="146" t="str">
        <f>+VLOOKUP(D1168,'3. Cuentas'!A:F,6,0)</f>
        <v>SI</v>
      </c>
    </row>
    <row r="1169" spans="1:8" x14ac:dyDescent="0.25">
      <c r="A1169" s="43">
        <v>10230204</v>
      </c>
      <c r="B1169" t="s">
        <v>1090</v>
      </c>
      <c r="C1169" s="43" t="s">
        <v>1624</v>
      </c>
      <c r="D1169" s="43">
        <v>1115240</v>
      </c>
      <c r="E1169" t="s">
        <v>294</v>
      </c>
      <c r="F1169" s="47" t="str">
        <f>+Centro_Cuenta8[[#This Row],[Codigo Centro Gestion]]&amp;" - "&amp;Centro_Cuenta8[[#This Row],[Nombre Centro Gestion]]</f>
        <v>10230204 - Condominio Manuel Jesus Rivera-Proyecto</v>
      </c>
      <c r="G1169" s="47" t="str">
        <f>+Centro_Cuenta8[[#This Row],[Código Cuenta Contable]]&amp;" - "&amp;Centro_Cuenta8[[#This Row],[Nombre de Cuenta Contable]]</f>
        <v>1115240 - Estudios Y Asesorias Técnicas</v>
      </c>
      <c r="H1169" s="146" t="str">
        <f>+VLOOKUP(D1169,'3. Cuentas'!A:F,6,0)</f>
        <v>SI</v>
      </c>
    </row>
    <row r="1170" spans="1:8" x14ac:dyDescent="0.25">
      <c r="A1170" s="43">
        <v>10230204</v>
      </c>
      <c r="B1170" t="s">
        <v>1090</v>
      </c>
      <c r="C1170" s="43" t="s">
        <v>1624</v>
      </c>
      <c r="D1170" s="43">
        <v>4203090</v>
      </c>
      <c r="E1170" t="s">
        <v>192</v>
      </c>
      <c r="F1170" s="47" t="str">
        <f>+Centro_Cuenta8[[#This Row],[Codigo Centro Gestion]]&amp;" - "&amp;Centro_Cuenta8[[#This Row],[Nombre Centro Gestion]]</f>
        <v>10230204 - Condominio Manuel Jesus Rivera-Proyecto</v>
      </c>
      <c r="G1170" s="47" t="str">
        <f>+Centro_Cuenta8[[#This Row],[Código Cuenta Contable]]&amp;" - "&amp;Centro_Cuenta8[[#This Row],[Nombre de Cuenta Contable]]</f>
        <v>4203090 - Gastos Legales Y Notariales Proyecto</v>
      </c>
      <c r="H1170" s="146" t="str">
        <f>+VLOOKUP(D1170,'3. Cuentas'!A:F,6,0)</f>
        <v>SI</v>
      </c>
    </row>
    <row r="1171" spans="1:8" x14ac:dyDescent="0.25">
      <c r="A1171" s="43">
        <v>10230204</v>
      </c>
      <c r="B1171" t="s">
        <v>1090</v>
      </c>
      <c r="C1171" s="43" t="s">
        <v>1624</v>
      </c>
      <c r="D1171" s="43">
        <v>4203140</v>
      </c>
      <c r="E1171" t="s">
        <v>109</v>
      </c>
      <c r="F1171" s="47" t="str">
        <f>+Centro_Cuenta8[[#This Row],[Codigo Centro Gestion]]&amp;" - "&amp;Centro_Cuenta8[[#This Row],[Nombre Centro Gestion]]</f>
        <v>10230204 - Condominio Manuel Jesus Rivera-Proyecto</v>
      </c>
      <c r="G1171" s="47" t="str">
        <f>+Centro_Cuenta8[[#This Row],[Código Cuenta Contable]]&amp;" - "&amp;Centro_Cuenta8[[#This Row],[Nombre de Cuenta Contable]]</f>
        <v>4203140 - Contribuciones</v>
      </c>
      <c r="H1171" s="146" t="str">
        <f>+VLOOKUP(D1171,'3. Cuentas'!A:F,6,0)</f>
        <v>SI</v>
      </c>
    </row>
    <row r="1172" spans="1:8" x14ac:dyDescent="0.25">
      <c r="A1172" s="43">
        <v>10230204</v>
      </c>
      <c r="B1172" t="s">
        <v>1090</v>
      </c>
      <c r="C1172" s="43" t="s">
        <v>1624</v>
      </c>
      <c r="D1172" s="43">
        <v>4203150</v>
      </c>
      <c r="E1172" t="s">
        <v>156</v>
      </c>
      <c r="F1172" s="47" t="str">
        <f>+Centro_Cuenta8[[#This Row],[Codigo Centro Gestion]]&amp;" - "&amp;Centro_Cuenta8[[#This Row],[Nombre Centro Gestion]]</f>
        <v>10230204 - Condominio Manuel Jesus Rivera-Proyecto</v>
      </c>
      <c r="G1172" s="47" t="str">
        <f>+Centro_Cuenta8[[#This Row],[Código Cuenta Contable]]&amp;" - "&amp;Centro_Cuenta8[[#This Row],[Nombre de Cuenta Contable]]</f>
        <v>4203150 - Gastos CBR</v>
      </c>
      <c r="H1172" s="146" t="str">
        <f>+VLOOKUP(D1172,'3. Cuentas'!A:F,6,0)</f>
        <v>SI</v>
      </c>
    </row>
    <row r="1173" spans="1:8" x14ac:dyDescent="0.25">
      <c r="A1173" s="43">
        <v>10230204</v>
      </c>
      <c r="B1173" t="s">
        <v>1090</v>
      </c>
      <c r="C1173" s="43" t="s">
        <v>1624</v>
      </c>
      <c r="D1173" s="43">
        <v>4203160</v>
      </c>
      <c r="E1173" t="s">
        <v>1639</v>
      </c>
      <c r="F1173" s="47" t="str">
        <f>+Centro_Cuenta8[[#This Row],[Codigo Centro Gestion]]&amp;" - "&amp;Centro_Cuenta8[[#This Row],[Nombre Centro Gestion]]</f>
        <v>10230204 - Condominio Manuel Jesus Rivera-Proyecto</v>
      </c>
      <c r="G1173" s="47" t="str">
        <f>+Centro_Cuenta8[[#This Row],[Código Cuenta Contable]]&amp;" - "&amp;Centro_Cuenta8[[#This Row],[Nombre de Cuenta Contable]]</f>
        <v>4203160 - PAPELERIA Y FOTOCOPIADO</v>
      </c>
      <c r="H1173" s="146" t="str">
        <f>+VLOOKUP(D1173,'3. Cuentas'!A:F,6,0)</f>
        <v>SI</v>
      </c>
    </row>
    <row r="1174" spans="1:8" x14ac:dyDescent="0.25">
      <c r="A1174" s="43">
        <v>10230204</v>
      </c>
      <c r="B1174" t="s">
        <v>1090</v>
      </c>
      <c r="C1174" s="43" t="s">
        <v>1624</v>
      </c>
      <c r="D1174" s="43">
        <v>4203180</v>
      </c>
      <c r="E1174" t="s">
        <v>1640</v>
      </c>
      <c r="F1174" s="47" t="str">
        <f>+Centro_Cuenta8[[#This Row],[Codigo Centro Gestion]]&amp;" - "&amp;Centro_Cuenta8[[#This Row],[Nombre Centro Gestion]]</f>
        <v>10230204 - Condominio Manuel Jesus Rivera-Proyecto</v>
      </c>
      <c r="G1174" s="47" t="str">
        <f>+Centro_Cuenta8[[#This Row],[Código Cuenta Contable]]&amp;" - "&amp;Centro_Cuenta8[[#This Row],[Nombre de Cuenta Contable]]</f>
        <v>4203180 - Otros Gastos y Aseso Proy</v>
      </c>
      <c r="H1174" s="146" t="str">
        <f>+VLOOKUP(D1174,'3. Cuentas'!A:F,6,0)</f>
        <v>SI</v>
      </c>
    </row>
    <row r="1175" spans="1:8" x14ac:dyDescent="0.25">
      <c r="A1175" s="43">
        <v>10230301</v>
      </c>
      <c r="B1175" t="s">
        <v>1091</v>
      </c>
      <c r="C1175" s="43" t="s">
        <v>1643</v>
      </c>
      <c r="D1175" s="43">
        <v>4203090</v>
      </c>
      <c r="E1175" t="s">
        <v>192</v>
      </c>
      <c r="F1175" s="47" t="str">
        <f>+Centro_Cuenta8[[#This Row],[Codigo Centro Gestion]]&amp;" - "&amp;Centro_Cuenta8[[#This Row],[Nombre Centro Gestion]]</f>
        <v>10230301 - Condominio Manuel Jesus Rivera-GAF</v>
      </c>
      <c r="G1175" s="47" t="str">
        <f>+Centro_Cuenta8[[#This Row],[Código Cuenta Contable]]&amp;" - "&amp;Centro_Cuenta8[[#This Row],[Nombre de Cuenta Contable]]</f>
        <v>4203090 - Gastos Legales Y Notariales Proyecto</v>
      </c>
      <c r="H1175" s="146" t="str">
        <f>+VLOOKUP(D1175,'3. Cuentas'!A:F,6,0)</f>
        <v>SI</v>
      </c>
    </row>
    <row r="1176" spans="1:8" x14ac:dyDescent="0.25">
      <c r="A1176" s="43">
        <v>10230301</v>
      </c>
      <c r="B1176" t="s">
        <v>1091</v>
      </c>
      <c r="C1176" s="43" t="s">
        <v>1643</v>
      </c>
      <c r="D1176" s="43">
        <v>4203140</v>
      </c>
      <c r="E1176" t="s">
        <v>109</v>
      </c>
      <c r="F1176" s="47" t="str">
        <f>+Centro_Cuenta8[[#This Row],[Codigo Centro Gestion]]&amp;" - "&amp;Centro_Cuenta8[[#This Row],[Nombre Centro Gestion]]</f>
        <v>10230301 - Condominio Manuel Jesus Rivera-GAF</v>
      </c>
      <c r="G1176" s="47" t="str">
        <f>+Centro_Cuenta8[[#This Row],[Código Cuenta Contable]]&amp;" - "&amp;Centro_Cuenta8[[#This Row],[Nombre de Cuenta Contable]]</f>
        <v>4203140 - Contribuciones</v>
      </c>
      <c r="H1176" s="146" t="str">
        <f>+VLOOKUP(D1176,'3. Cuentas'!A:F,6,0)</f>
        <v>SI</v>
      </c>
    </row>
    <row r="1177" spans="1:8" x14ac:dyDescent="0.25">
      <c r="A1177" s="43">
        <v>10230506</v>
      </c>
      <c r="B1177" t="s">
        <v>1093</v>
      </c>
      <c r="C1177" s="43" t="s">
        <v>200</v>
      </c>
      <c r="D1177" s="43">
        <v>1115100</v>
      </c>
      <c r="E1177" t="s">
        <v>292</v>
      </c>
      <c r="F1177" s="47" t="str">
        <f>+Centro_Cuenta8[[#This Row],[Codigo Centro Gestion]]&amp;" - "&amp;Centro_Cuenta8[[#This Row],[Nombre Centro Gestion]]</f>
        <v>10230506 - Condominio Manuel Jesus Rivera-Depto.Técnico</v>
      </c>
      <c r="G1177" s="47" t="str">
        <f>+Centro_Cuenta8[[#This Row],[Código Cuenta Contable]]&amp;" - "&amp;Centro_Cuenta8[[#This Row],[Nombre de Cuenta Contable]]</f>
        <v>1115100 - Proyectos Y Especialidades</v>
      </c>
      <c r="H1177" s="146" t="str">
        <f>+VLOOKUP(D1177,'3. Cuentas'!A:F,6,0)</f>
        <v>SI</v>
      </c>
    </row>
    <row r="1178" spans="1:8" x14ac:dyDescent="0.25">
      <c r="A1178" s="43">
        <v>10231102</v>
      </c>
      <c r="B1178" t="s">
        <v>1094</v>
      </c>
      <c r="C1178" s="43" t="s">
        <v>1617</v>
      </c>
      <c r="D1178" s="43">
        <v>4204010</v>
      </c>
      <c r="E1178" t="s">
        <v>313</v>
      </c>
      <c r="F1178" s="47" t="str">
        <f>+Centro_Cuenta8[[#This Row],[Codigo Centro Gestion]]&amp;" - "&amp;Centro_Cuenta8[[#This Row],[Nombre Centro Gestion]]</f>
        <v>10231102 - Edificio Guillermo Mann-Marketing</v>
      </c>
      <c r="G1178" s="47" t="str">
        <f>+Centro_Cuenta8[[#This Row],[Código Cuenta Contable]]&amp;" - "&amp;Centro_Cuenta8[[#This Row],[Nombre de Cuenta Contable]]</f>
        <v>4204010 - Publicidad Punto Venta</v>
      </c>
      <c r="H1178" s="146" t="str">
        <f>+VLOOKUP(D1178,'3. Cuentas'!A:F,6,0)</f>
        <v>SI</v>
      </c>
    </row>
    <row r="1179" spans="1:8" x14ac:dyDescent="0.25">
      <c r="A1179" s="43">
        <v>10231102</v>
      </c>
      <c r="B1179" t="s">
        <v>1094</v>
      </c>
      <c r="C1179" s="43" t="s">
        <v>1617</v>
      </c>
      <c r="D1179" s="43">
        <v>4204021</v>
      </c>
      <c r="E1179" t="s">
        <v>329</v>
      </c>
      <c r="F1179" s="47" t="str">
        <f>+Centro_Cuenta8[[#This Row],[Codigo Centro Gestion]]&amp;" - "&amp;Centro_Cuenta8[[#This Row],[Nombre Centro Gestion]]</f>
        <v>10231102 - Edificio Guillermo Mann-Marketing</v>
      </c>
      <c r="G1179" s="47" t="str">
        <f>+Centro_Cuenta8[[#This Row],[Código Cuenta Contable]]&amp;" - "&amp;Centro_Cuenta8[[#This Row],[Nombre de Cuenta Contable]]</f>
        <v>4204021 - Publicidad Ferias Y Eventos</v>
      </c>
      <c r="H1179" s="146" t="str">
        <f>+VLOOKUP(D1179,'3. Cuentas'!A:F,6,0)</f>
        <v>SI</v>
      </c>
    </row>
    <row r="1180" spans="1:8" x14ac:dyDescent="0.25">
      <c r="A1180" s="43">
        <v>10231103</v>
      </c>
      <c r="B1180" t="s">
        <v>1095</v>
      </c>
      <c r="C1180" s="43" t="s">
        <v>1618</v>
      </c>
      <c r="D1180" s="43">
        <v>4203060</v>
      </c>
      <c r="E1180" t="s">
        <v>321</v>
      </c>
      <c r="F1180" s="47" t="str">
        <f>+Centro_Cuenta8[[#This Row],[Codigo Centro Gestion]]&amp;" - "&amp;Centro_Cuenta8[[#This Row],[Nombre Centro Gestion]]</f>
        <v>10231103 - Edificio Guillermo Mann-Operaciones</v>
      </c>
      <c r="G1180" s="47" t="str">
        <f>+Centro_Cuenta8[[#This Row],[Código Cuenta Contable]]&amp;" - "&amp;Centro_Cuenta8[[#This Row],[Nombre de Cuenta Contable]]</f>
        <v>4203060 - Gastos Operacionales De Clientes</v>
      </c>
      <c r="H1180" s="146" t="str">
        <f>+VLOOKUP(D1180,'3. Cuentas'!A:F,6,0)</f>
        <v>SI</v>
      </c>
    </row>
    <row r="1181" spans="1:8" x14ac:dyDescent="0.25">
      <c r="A1181" s="43">
        <v>10231103</v>
      </c>
      <c r="B1181" t="s">
        <v>1095</v>
      </c>
      <c r="C1181" s="43" t="s">
        <v>1618</v>
      </c>
      <c r="D1181" s="43">
        <v>4203090</v>
      </c>
      <c r="E1181" t="s">
        <v>192</v>
      </c>
      <c r="F1181" s="47" t="str">
        <f>+Centro_Cuenta8[[#This Row],[Codigo Centro Gestion]]&amp;" - "&amp;Centro_Cuenta8[[#This Row],[Nombre Centro Gestion]]</f>
        <v>10231103 - Edificio Guillermo Mann-Operaciones</v>
      </c>
      <c r="G1181" s="47" t="str">
        <f>+Centro_Cuenta8[[#This Row],[Código Cuenta Contable]]&amp;" - "&amp;Centro_Cuenta8[[#This Row],[Nombre de Cuenta Contable]]</f>
        <v>4203090 - Gastos Legales Y Notariales Proyecto</v>
      </c>
      <c r="H1181" s="146" t="str">
        <f>+VLOOKUP(D1181,'3. Cuentas'!A:F,6,0)</f>
        <v>SI</v>
      </c>
    </row>
    <row r="1182" spans="1:8" x14ac:dyDescent="0.25">
      <c r="A1182" s="43">
        <v>10231104</v>
      </c>
      <c r="B1182" t="s">
        <v>1096</v>
      </c>
      <c r="C1182" s="43" t="s">
        <v>90</v>
      </c>
      <c r="D1182" s="43">
        <v>1110040</v>
      </c>
      <c r="E1182" t="s">
        <v>1505</v>
      </c>
      <c r="F1182" s="47" t="str">
        <f>+Centro_Cuenta8[[#This Row],[Codigo Centro Gestion]]&amp;" - "&amp;Centro_Cuenta8[[#This Row],[Nombre Centro Gestion]]</f>
        <v>10231104 - Edificio Guillermo Mann-Ventas</v>
      </c>
      <c r="G1182" s="47" t="str">
        <f>+Centro_Cuenta8[[#This Row],[Código Cuenta Contable]]&amp;" - "&amp;Centro_Cuenta8[[#This Row],[Nombre de Cuenta Contable]]</f>
        <v>1110040 - Garantía Pagadas</v>
      </c>
      <c r="H1182" s="146" t="str">
        <f>+VLOOKUP(D1182,'3. Cuentas'!A:F,6,0)</f>
        <v>SI</v>
      </c>
    </row>
    <row r="1183" spans="1:8" x14ac:dyDescent="0.25">
      <c r="A1183" s="43">
        <v>10231104</v>
      </c>
      <c r="B1183" t="s">
        <v>1096</v>
      </c>
      <c r="C1183" s="43" t="s">
        <v>90</v>
      </c>
      <c r="D1183" s="43">
        <v>4202003</v>
      </c>
      <c r="E1183" t="s">
        <v>106</v>
      </c>
      <c r="F1183" s="47" t="str">
        <f>+Centro_Cuenta8[[#This Row],[Codigo Centro Gestion]]&amp;" - "&amp;Centro_Cuenta8[[#This Row],[Nombre Centro Gestion]]</f>
        <v>10231104 - Edificio Guillermo Mann-Ventas</v>
      </c>
      <c r="G1183" s="47" t="str">
        <f>+Centro_Cuenta8[[#This Row],[Código Cuenta Contable]]&amp;" - "&amp;Centro_Cuenta8[[#This Row],[Nombre de Cuenta Contable]]</f>
        <v>4202003 - Serv.Basic.Luz.Agua.Tel Of.C</v>
      </c>
      <c r="H1183" s="146" t="str">
        <f>+VLOOKUP(D1183,'3. Cuentas'!A:F,6,0)</f>
        <v>SI</v>
      </c>
    </row>
    <row r="1184" spans="1:8" x14ac:dyDescent="0.25">
      <c r="A1184" s="43">
        <v>10231104</v>
      </c>
      <c r="B1184" t="s">
        <v>1096</v>
      </c>
      <c r="C1184" s="43" t="s">
        <v>90</v>
      </c>
      <c r="D1184" s="43">
        <v>4202010</v>
      </c>
      <c r="E1184" t="s">
        <v>87</v>
      </c>
      <c r="F1184" s="47" t="str">
        <f>+Centro_Cuenta8[[#This Row],[Codigo Centro Gestion]]&amp;" - "&amp;Centro_Cuenta8[[#This Row],[Nombre Centro Gestion]]</f>
        <v>10231104 - Edificio Guillermo Mann-Ventas</v>
      </c>
      <c r="G1184" s="47" t="str">
        <f>+Centro_Cuenta8[[#This Row],[Código Cuenta Contable]]&amp;" - "&amp;Centro_Cuenta8[[#This Row],[Nombre de Cuenta Contable]]</f>
        <v>4202010 - Artic. Ofic. Fotocop.Papelería</v>
      </c>
      <c r="H1184" s="146" t="str">
        <f>+VLOOKUP(D1184,'3. Cuentas'!A:F,6,0)</f>
        <v>SI</v>
      </c>
    </row>
    <row r="1185" spans="1:8" x14ac:dyDescent="0.25">
      <c r="A1185" s="43">
        <v>10231104</v>
      </c>
      <c r="B1185" t="s">
        <v>1096</v>
      </c>
      <c r="C1185" s="43" t="s">
        <v>90</v>
      </c>
      <c r="D1185" s="43">
        <v>4202019</v>
      </c>
      <c r="E1185" t="s">
        <v>81</v>
      </c>
      <c r="F1185" s="47" t="str">
        <f>+Centro_Cuenta8[[#This Row],[Codigo Centro Gestion]]&amp;" - "&amp;Centro_Cuenta8[[#This Row],[Nombre Centro Gestion]]</f>
        <v>10231104 - Edificio Guillermo Mann-Ventas</v>
      </c>
      <c r="G1185" s="47" t="str">
        <f>+Centro_Cuenta8[[#This Row],[Código Cuenta Contable]]&amp;" - "&amp;Centro_Cuenta8[[#This Row],[Nombre de Cuenta Contable]]</f>
        <v>4202019 - Gasto General Oficina</v>
      </c>
      <c r="H1185" s="146" t="str">
        <f>+VLOOKUP(D1185,'3. Cuentas'!A:F,6,0)</f>
        <v>SI</v>
      </c>
    </row>
    <row r="1186" spans="1:8" x14ac:dyDescent="0.25">
      <c r="A1186" s="43">
        <v>10231104</v>
      </c>
      <c r="B1186" t="s">
        <v>1096</v>
      </c>
      <c r="C1186" s="43" t="s">
        <v>90</v>
      </c>
      <c r="D1186" s="43">
        <v>4202023</v>
      </c>
      <c r="E1186" t="s">
        <v>82</v>
      </c>
      <c r="F1186" s="47" t="str">
        <f>+Centro_Cuenta8[[#This Row],[Codigo Centro Gestion]]&amp;" - "&amp;Centro_Cuenta8[[#This Row],[Nombre Centro Gestion]]</f>
        <v>10231104 - Edificio Guillermo Mann-Ventas</v>
      </c>
      <c r="G1186" s="47" t="str">
        <f>+Centro_Cuenta8[[#This Row],[Código Cuenta Contable]]&amp;" - "&amp;Centro_Cuenta8[[#This Row],[Nombre de Cuenta Contable]]</f>
        <v>4202023 - Honorarios Por Asesorías</v>
      </c>
      <c r="H1186" s="146" t="str">
        <f>+VLOOKUP(D1186,'3. Cuentas'!A:F,6,0)</f>
        <v>SI</v>
      </c>
    </row>
    <row r="1187" spans="1:8" x14ac:dyDescent="0.25">
      <c r="A1187" s="43">
        <v>10231104</v>
      </c>
      <c r="B1187" t="s">
        <v>1096</v>
      </c>
      <c r="C1187" s="43" t="s">
        <v>90</v>
      </c>
      <c r="D1187" s="43">
        <v>4202029</v>
      </c>
      <c r="E1187" t="s">
        <v>83</v>
      </c>
      <c r="F1187" s="47" t="str">
        <f>+Centro_Cuenta8[[#This Row],[Codigo Centro Gestion]]&amp;" - "&amp;Centro_Cuenta8[[#This Row],[Nombre Centro Gestion]]</f>
        <v>10231104 - Edificio Guillermo Mann-Ventas</v>
      </c>
      <c r="G1187" s="47" t="str">
        <f>+Centro_Cuenta8[[#This Row],[Código Cuenta Contable]]&amp;" - "&amp;Centro_Cuenta8[[#This Row],[Nombre de Cuenta Contable]]</f>
        <v>4202029 - Insumos Y Gastos Informáticos</v>
      </c>
      <c r="H1187" s="146" t="str">
        <f>+VLOOKUP(D1187,'3. Cuentas'!A:F,6,0)</f>
        <v>SI</v>
      </c>
    </row>
    <row r="1188" spans="1:8" x14ac:dyDescent="0.25">
      <c r="A1188" s="43">
        <v>10231104</v>
      </c>
      <c r="B1188" t="s">
        <v>1096</v>
      </c>
      <c r="C1188" s="43" t="s">
        <v>90</v>
      </c>
      <c r="D1188" s="43">
        <v>4204021</v>
      </c>
      <c r="E1188" t="s">
        <v>329</v>
      </c>
      <c r="F1188" s="47" t="str">
        <f>+Centro_Cuenta8[[#This Row],[Codigo Centro Gestion]]&amp;" - "&amp;Centro_Cuenta8[[#This Row],[Nombre Centro Gestion]]</f>
        <v>10231104 - Edificio Guillermo Mann-Ventas</v>
      </c>
      <c r="G1188" s="47" t="str">
        <f>+Centro_Cuenta8[[#This Row],[Código Cuenta Contable]]&amp;" - "&amp;Centro_Cuenta8[[#This Row],[Nombre de Cuenta Contable]]</f>
        <v>4204021 - Publicidad Ferias Y Eventos</v>
      </c>
      <c r="H1188" s="146" t="str">
        <f>+VLOOKUP(D1188,'3. Cuentas'!A:F,6,0)</f>
        <v>SI</v>
      </c>
    </row>
    <row r="1189" spans="1:8" x14ac:dyDescent="0.25">
      <c r="A1189" s="43">
        <v>10231105</v>
      </c>
      <c r="B1189" t="s">
        <v>1097</v>
      </c>
      <c r="C1189" s="43" t="s">
        <v>1622</v>
      </c>
      <c r="D1189" s="43">
        <v>4203020</v>
      </c>
      <c r="E1189" t="s">
        <v>295</v>
      </c>
      <c r="F1189" s="47" t="str">
        <f>+Centro_Cuenta8[[#This Row],[Codigo Centro Gestion]]&amp;" - "&amp;Centro_Cuenta8[[#This Row],[Nombre Centro Gestion]]</f>
        <v>10231105 - Edificio Guillermo Mann-Clientes</v>
      </c>
      <c r="G1189" s="47" t="str">
        <f>+Centro_Cuenta8[[#This Row],[Código Cuenta Contable]]&amp;" - "&amp;Centro_Cuenta8[[#This Row],[Nombre de Cuenta Contable]]</f>
        <v>4203020 - Mant. y Consum. Viv Stock</v>
      </c>
      <c r="H1189" s="146" t="str">
        <f>+VLOOKUP(D1189,'3. Cuentas'!A:F,6,0)</f>
        <v>SI</v>
      </c>
    </row>
    <row r="1190" spans="1:8" x14ac:dyDescent="0.25">
      <c r="A1190" s="43">
        <v>10231105</v>
      </c>
      <c r="B1190" t="s">
        <v>1097</v>
      </c>
      <c r="C1190" s="43" t="s">
        <v>1622</v>
      </c>
      <c r="D1190" s="43">
        <v>4203120</v>
      </c>
      <c r="E1190" t="s">
        <v>108</v>
      </c>
      <c r="F1190" s="47" t="str">
        <f>+Centro_Cuenta8[[#This Row],[Codigo Centro Gestion]]&amp;" - "&amp;Centro_Cuenta8[[#This Row],[Nombre Centro Gestion]]</f>
        <v>10231105 - Edificio Guillermo Mann-Clientes</v>
      </c>
      <c r="G1190" s="47" t="str">
        <f>+Centro_Cuenta8[[#This Row],[Código Cuenta Contable]]&amp;" - "&amp;Centro_Cuenta8[[#This Row],[Nombre de Cuenta Contable]]</f>
        <v>4203120 - Gastos Comunes</v>
      </c>
      <c r="H1190" s="146" t="str">
        <f>+VLOOKUP(D1190,'3. Cuentas'!A:F,6,0)</f>
        <v>SI</v>
      </c>
    </row>
    <row r="1191" spans="1:8" x14ac:dyDescent="0.25">
      <c r="A1191" s="43">
        <v>10231105</v>
      </c>
      <c r="B1191" t="s">
        <v>1097</v>
      </c>
      <c r="C1191" s="43" t="s">
        <v>1622</v>
      </c>
      <c r="D1191" s="43">
        <v>4203140</v>
      </c>
      <c r="E1191" t="s">
        <v>109</v>
      </c>
      <c r="F1191" s="47" t="str">
        <f>+Centro_Cuenta8[[#This Row],[Codigo Centro Gestion]]&amp;" - "&amp;Centro_Cuenta8[[#This Row],[Nombre Centro Gestion]]</f>
        <v>10231105 - Edificio Guillermo Mann-Clientes</v>
      </c>
      <c r="G1191" s="47" t="str">
        <f>+Centro_Cuenta8[[#This Row],[Código Cuenta Contable]]&amp;" - "&amp;Centro_Cuenta8[[#This Row],[Nombre de Cuenta Contable]]</f>
        <v>4203140 - Contribuciones</v>
      </c>
      <c r="H1191" s="146" t="str">
        <f>+VLOOKUP(D1191,'3. Cuentas'!A:F,6,0)</f>
        <v>SI</v>
      </c>
    </row>
    <row r="1192" spans="1:8" x14ac:dyDescent="0.25">
      <c r="A1192" s="43">
        <v>10231204</v>
      </c>
      <c r="B1192" t="s">
        <v>1098</v>
      </c>
      <c r="C1192" s="43" t="s">
        <v>1624</v>
      </c>
      <c r="D1192" s="43">
        <v>1103045</v>
      </c>
      <c r="E1192" t="s">
        <v>323</v>
      </c>
      <c r="F1192" s="47" t="str">
        <f>+Centro_Cuenta8[[#This Row],[Codigo Centro Gestion]]&amp;" - "&amp;Centro_Cuenta8[[#This Row],[Nombre Centro Gestion]]</f>
        <v>10231204 - Edificio Guillermo Mann-Proyecto</v>
      </c>
      <c r="G1192" s="47" t="str">
        <f>+Centro_Cuenta8[[#This Row],[Código Cuenta Contable]]&amp;" - "&amp;Centro_Cuenta8[[#This Row],[Nombre de Cuenta Contable]]</f>
        <v>1103045 - Aportes reembolsables (electricidad y agua)</v>
      </c>
      <c r="H1192" s="146" t="str">
        <f>+VLOOKUP(D1192,'3. Cuentas'!A:F,6,0)</f>
        <v>SI</v>
      </c>
    </row>
    <row r="1193" spans="1:8" x14ac:dyDescent="0.25">
      <c r="A1193" s="43">
        <v>10231204</v>
      </c>
      <c r="B1193" t="s">
        <v>1098</v>
      </c>
      <c r="C1193" s="43" t="s">
        <v>1624</v>
      </c>
      <c r="D1193" s="43">
        <v>1109020</v>
      </c>
      <c r="E1193" t="s">
        <v>302</v>
      </c>
      <c r="F1193" s="47" t="str">
        <f>+Centro_Cuenta8[[#This Row],[Codigo Centro Gestion]]&amp;" - "&amp;Centro_Cuenta8[[#This Row],[Nombre Centro Gestion]]</f>
        <v>10231204 - Edificio Guillermo Mann-Proyecto</v>
      </c>
      <c r="G1193" s="47" t="str">
        <f>+Centro_Cuenta8[[#This Row],[Código Cuenta Contable]]&amp;" - "&amp;Centro_Cuenta8[[#This Row],[Nombre de Cuenta Contable]]</f>
        <v>1109020 - Mobiliario</v>
      </c>
      <c r="H1193" s="146" t="str">
        <f>+VLOOKUP(D1193,'3. Cuentas'!A:F,6,0)</f>
        <v>SI</v>
      </c>
    </row>
    <row r="1194" spans="1:8" x14ac:dyDescent="0.25">
      <c r="A1194" s="43">
        <v>10231204</v>
      </c>
      <c r="B1194" t="s">
        <v>1098</v>
      </c>
      <c r="C1194" s="43" t="s">
        <v>1624</v>
      </c>
      <c r="D1194" s="43">
        <v>1110040</v>
      </c>
      <c r="E1194" t="s">
        <v>1505</v>
      </c>
      <c r="F1194" s="47" t="str">
        <f>+Centro_Cuenta8[[#This Row],[Codigo Centro Gestion]]&amp;" - "&amp;Centro_Cuenta8[[#This Row],[Nombre Centro Gestion]]</f>
        <v>10231204 - Edificio Guillermo Mann-Proyecto</v>
      </c>
      <c r="G1194" s="47" t="str">
        <f>+Centro_Cuenta8[[#This Row],[Código Cuenta Contable]]&amp;" - "&amp;Centro_Cuenta8[[#This Row],[Nombre de Cuenta Contable]]</f>
        <v>1110040 - Garantía Pagadas</v>
      </c>
      <c r="H1194" s="146" t="str">
        <f>+VLOOKUP(D1194,'3. Cuentas'!A:F,6,0)</f>
        <v>SI</v>
      </c>
    </row>
    <row r="1195" spans="1:8" x14ac:dyDescent="0.25">
      <c r="A1195" s="43">
        <v>10231204</v>
      </c>
      <c r="B1195" t="s">
        <v>1098</v>
      </c>
      <c r="C1195" s="43" t="s">
        <v>1624</v>
      </c>
      <c r="D1195" s="43">
        <v>1115040</v>
      </c>
      <c r="E1195" t="s">
        <v>291</v>
      </c>
      <c r="F1195" s="47" t="str">
        <f>+Centro_Cuenta8[[#This Row],[Codigo Centro Gestion]]&amp;" - "&amp;Centro_Cuenta8[[#This Row],[Nombre Centro Gestion]]</f>
        <v>10231204 - Edificio Guillermo Mann-Proyecto</v>
      </c>
      <c r="G1195" s="47" t="str">
        <f>+Centro_Cuenta8[[#This Row],[Código Cuenta Contable]]&amp;" - "&amp;Centro_Cuenta8[[#This Row],[Nombre de Cuenta Contable]]</f>
        <v>1115040 - Saneamiento De Terreno</v>
      </c>
      <c r="H1195" s="146" t="str">
        <f>+VLOOKUP(D1195,'3. Cuentas'!A:F,6,0)</f>
        <v>SI</v>
      </c>
    </row>
    <row r="1196" spans="1:8" x14ac:dyDescent="0.25">
      <c r="A1196" s="43">
        <v>10231204</v>
      </c>
      <c r="B1196" t="s">
        <v>1098</v>
      </c>
      <c r="C1196" s="43" t="s">
        <v>1624</v>
      </c>
      <c r="D1196" s="43">
        <v>1115050</v>
      </c>
      <c r="E1196" t="s">
        <v>1628</v>
      </c>
      <c r="F1196" s="47" t="str">
        <f>+Centro_Cuenta8[[#This Row],[Codigo Centro Gestion]]&amp;" - "&amp;Centro_Cuenta8[[#This Row],[Nombre Centro Gestion]]</f>
        <v>10231204 - Edificio Guillermo Mann-Proyecto</v>
      </c>
      <c r="G1196" s="47" t="str">
        <f>+Centro_Cuenta8[[#This Row],[Código Cuenta Contable]]&amp;" - "&amp;Centro_Cuenta8[[#This Row],[Nombre de Cuenta Contable]]</f>
        <v>1115050 - Demolición</v>
      </c>
      <c r="H1196" s="146" t="str">
        <f>+VLOOKUP(D1196,'3. Cuentas'!A:F,6,0)</f>
        <v>SI</v>
      </c>
    </row>
    <row r="1197" spans="1:8" x14ac:dyDescent="0.25">
      <c r="A1197" s="43">
        <v>10231204</v>
      </c>
      <c r="B1197" t="s">
        <v>1098</v>
      </c>
      <c r="C1197" s="43" t="s">
        <v>1624</v>
      </c>
      <c r="D1197" s="43">
        <v>1115100</v>
      </c>
      <c r="E1197" t="s">
        <v>292</v>
      </c>
      <c r="F1197" s="47" t="str">
        <f>+Centro_Cuenta8[[#This Row],[Codigo Centro Gestion]]&amp;" - "&amp;Centro_Cuenta8[[#This Row],[Nombre Centro Gestion]]</f>
        <v>10231204 - Edificio Guillermo Mann-Proyecto</v>
      </c>
      <c r="G1197" s="47" t="str">
        <f>+Centro_Cuenta8[[#This Row],[Código Cuenta Contable]]&amp;" - "&amp;Centro_Cuenta8[[#This Row],[Nombre de Cuenta Contable]]</f>
        <v>1115100 - Proyectos Y Especialidades</v>
      </c>
      <c r="H1197" s="146" t="str">
        <f>+VLOOKUP(D1197,'3. Cuentas'!A:F,6,0)</f>
        <v>SI</v>
      </c>
    </row>
    <row r="1198" spans="1:8" x14ac:dyDescent="0.25">
      <c r="A1198" s="43">
        <v>10231204</v>
      </c>
      <c r="B1198" t="s">
        <v>1098</v>
      </c>
      <c r="C1198" s="43" t="s">
        <v>1624</v>
      </c>
      <c r="D1198" s="43">
        <v>1115120</v>
      </c>
      <c r="E1198" t="s">
        <v>1633</v>
      </c>
      <c r="F1198" s="47" t="str">
        <f>+Centro_Cuenta8[[#This Row],[Codigo Centro Gestion]]&amp;" - "&amp;Centro_Cuenta8[[#This Row],[Nombre Centro Gestion]]</f>
        <v>10231204 - Edificio Guillermo Mann-Proyecto</v>
      </c>
      <c r="G1198" s="47" t="str">
        <f>+Centro_Cuenta8[[#This Row],[Código Cuenta Contable]]&amp;" - "&amp;Centro_Cuenta8[[#This Row],[Nombre de Cuenta Contable]]</f>
        <v>1115120 - Instalación Empalmes</v>
      </c>
      <c r="H1198" s="146" t="str">
        <f>+VLOOKUP(D1198,'3. Cuentas'!A:F,6,0)</f>
        <v>SI</v>
      </c>
    </row>
    <row r="1199" spans="1:8" x14ac:dyDescent="0.25">
      <c r="A1199" s="43">
        <v>10231204</v>
      </c>
      <c r="B1199" t="s">
        <v>1098</v>
      </c>
      <c r="C1199" s="43" t="s">
        <v>1624</v>
      </c>
      <c r="D1199" s="43">
        <v>1115170</v>
      </c>
      <c r="E1199" t="s">
        <v>293</v>
      </c>
      <c r="F1199" s="47" t="str">
        <f>+Centro_Cuenta8[[#This Row],[Codigo Centro Gestion]]&amp;" - "&amp;Centro_Cuenta8[[#This Row],[Nombre Centro Gestion]]</f>
        <v>10231204 - Edificio Guillermo Mann-Proyecto</v>
      </c>
      <c r="G1199" s="47" t="str">
        <f>+Centro_Cuenta8[[#This Row],[Código Cuenta Contable]]&amp;" - "&amp;Centro_Cuenta8[[#This Row],[Nombre de Cuenta Contable]]</f>
        <v>1115170 - Permisos Y Otros Gastos Municipales</v>
      </c>
      <c r="H1199" s="146" t="str">
        <f>+VLOOKUP(D1199,'3. Cuentas'!A:F,6,0)</f>
        <v>SI</v>
      </c>
    </row>
    <row r="1200" spans="1:8" x14ac:dyDescent="0.25">
      <c r="A1200" s="43">
        <v>10231204</v>
      </c>
      <c r="B1200" t="s">
        <v>1098</v>
      </c>
      <c r="C1200" s="43" t="s">
        <v>1624</v>
      </c>
      <c r="D1200" s="43">
        <v>1115240</v>
      </c>
      <c r="E1200" t="s">
        <v>294</v>
      </c>
      <c r="F1200" s="47" t="str">
        <f>+Centro_Cuenta8[[#This Row],[Codigo Centro Gestion]]&amp;" - "&amp;Centro_Cuenta8[[#This Row],[Nombre Centro Gestion]]</f>
        <v>10231204 - Edificio Guillermo Mann-Proyecto</v>
      </c>
      <c r="G1200" s="47" t="str">
        <f>+Centro_Cuenta8[[#This Row],[Código Cuenta Contable]]&amp;" - "&amp;Centro_Cuenta8[[#This Row],[Nombre de Cuenta Contable]]</f>
        <v>1115240 - Estudios Y Asesorias Técnicas</v>
      </c>
      <c r="H1200" s="146" t="str">
        <f>+VLOOKUP(D1200,'3. Cuentas'!A:F,6,0)</f>
        <v>SI</v>
      </c>
    </row>
    <row r="1201" spans="1:8" x14ac:dyDescent="0.25">
      <c r="A1201" s="43">
        <v>10231204</v>
      </c>
      <c r="B1201" t="s">
        <v>1098</v>
      </c>
      <c r="C1201" s="43" t="s">
        <v>1624</v>
      </c>
      <c r="D1201" s="43">
        <v>4203090</v>
      </c>
      <c r="E1201" t="s">
        <v>192</v>
      </c>
      <c r="F1201" s="47" t="str">
        <f>+Centro_Cuenta8[[#This Row],[Codigo Centro Gestion]]&amp;" - "&amp;Centro_Cuenta8[[#This Row],[Nombre Centro Gestion]]</f>
        <v>10231204 - Edificio Guillermo Mann-Proyecto</v>
      </c>
      <c r="G1201" s="47" t="str">
        <f>+Centro_Cuenta8[[#This Row],[Código Cuenta Contable]]&amp;" - "&amp;Centro_Cuenta8[[#This Row],[Nombre de Cuenta Contable]]</f>
        <v>4203090 - Gastos Legales Y Notariales Proyecto</v>
      </c>
      <c r="H1201" s="146" t="str">
        <f>+VLOOKUP(D1201,'3. Cuentas'!A:F,6,0)</f>
        <v>SI</v>
      </c>
    </row>
    <row r="1202" spans="1:8" x14ac:dyDescent="0.25">
      <c r="A1202" s="43">
        <v>10231204</v>
      </c>
      <c r="B1202" t="s">
        <v>1098</v>
      </c>
      <c r="C1202" s="43" t="s">
        <v>1624</v>
      </c>
      <c r="D1202" s="43">
        <v>4203140</v>
      </c>
      <c r="E1202" t="s">
        <v>109</v>
      </c>
      <c r="F1202" s="47" t="str">
        <f>+Centro_Cuenta8[[#This Row],[Codigo Centro Gestion]]&amp;" - "&amp;Centro_Cuenta8[[#This Row],[Nombre Centro Gestion]]</f>
        <v>10231204 - Edificio Guillermo Mann-Proyecto</v>
      </c>
      <c r="G1202" s="47" t="str">
        <f>+Centro_Cuenta8[[#This Row],[Código Cuenta Contable]]&amp;" - "&amp;Centro_Cuenta8[[#This Row],[Nombre de Cuenta Contable]]</f>
        <v>4203140 - Contribuciones</v>
      </c>
      <c r="H1202" s="146" t="str">
        <f>+VLOOKUP(D1202,'3. Cuentas'!A:F,6,0)</f>
        <v>SI</v>
      </c>
    </row>
    <row r="1203" spans="1:8" x14ac:dyDescent="0.25">
      <c r="A1203" s="43">
        <v>10231204</v>
      </c>
      <c r="B1203" t="s">
        <v>1098</v>
      </c>
      <c r="C1203" s="43" t="s">
        <v>1624</v>
      </c>
      <c r="D1203" s="43">
        <v>4203150</v>
      </c>
      <c r="E1203" t="s">
        <v>156</v>
      </c>
      <c r="F1203" s="47" t="str">
        <f>+Centro_Cuenta8[[#This Row],[Codigo Centro Gestion]]&amp;" - "&amp;Centro_Cuenta8[[#This Row],[Nombre Centro Gestion]]</f>
        <v>10231204 - Edificio Guillermo Mann-Proyecto</v>
      </c>
      <c r="G1203" s="47" t="str">
        <f>+Centro_Cuenta8[[#This Row],[Código Cuenta Contable]]&amp;" - "&amp;Centro_Cuenta8[[#This Row],[Nombre de Cuenta Contable]]</f>
        <v>4203150 - Gastos CBR</v>
      </c>
      <c r="H1203" s="146" t="str">
        <f>+VLOOKUP(D1203,'3. Cuentas'!A:F,6,0)</f>
        <v>SI</v>
      </c>
    </row>
    <row r="1204" spans="1:8" x14ac:dyDescent="0.25">
      <c r="A1204" s="43">
        <v>10231204</v>
      </c>
      <c r="B1204" t="s">
        <v>1098</v>
      </c>
      <c r="C1204" s="43" t="s">
        <v>1624</v>
      </c>
      <c r="D1204" s="43">
        <v>4203160</v>
      </c>
      <c r="E1204" t="s">
        <v>1639</v>
      </c>
      <c r="F1204" s="47" t="str">
        <f>+Centro_Cuenta8[[#This Row],[Codigo Centro Gestion]]&amp;" - "&amp;Centro_Cuenta8[[#This Row],[Nombre Centro Gestion]]</f>
        <v>10231204 - Edificio Guillermo Mann-Proyecto</v>
      </c>
      <c r="G1204" s="47" t="str">
        <f>+Centro_Cuenta8[[#This Row],[Código Cuenta Contable]]&amp;" - "&amp;Centro_Cuenta8[[#This Row],[Nombre de Cuenta Contable]]</f>
        <v>4203160 - PAPELERIA Y FOTOCOPIADO</v>
      </c>
      <c r="H1204" s="146" t="str">
        <f>+VLOOKUP(D1204,'3. Cuentas'!A:F,6,0)</f>
        <v>SI</v>
      </c>
    </row>
    <row r="1205" spans="1:8" x14ac:dyDescent="0.25">
      <c r="A1205" s="43">
        <v>10231204</v>
      </c>
      <c r="B1205" t="s">
        <v>1098</v>
      </c>
      <c r="C1205" s="43" t="s">
        <v>1624</v>
      </c>
      <c r="D1205" s="43">
        <v>4203180</v>
      </c>
      <c r="E1205" t="s">
        <v>1640</v>
      </c>
      <c r="F1205" s="47" t="str">
        <f>+Centro_Cuenta8[[#This Row],[Codigo Centro Gestion]]&amp;" - "&amp;Centro_Cuenta8[[#This Row],[Nombre Centro Gestion]]</f>
        <v>10231204 - Edificio Guillermo Mann-Proyecto</v>
      </c>
      <c r="G1205" s="47" t="str">
        <f>+Centro_Cuenta8[[#This Row],[Código Cuenta Contable]]&amp;" - "&amp;Centro_Cuenta8[[#This Row],[Nombre de Cuenta Contable]]</f>
        <v>4203180 - Otros Gastos y Aseso Proy</v>
      </c>
      <c r="H1205" s="146" t="str">
        <f>+VLOOKUP(D1205,'3. Cuentas'!A:F,6,0)</f>
        <v>SI</v>
      </c>
    </row>
    <row r="1206" spans="1:8" x14ac:dyDescent="0.25">
      <c r="A1206" s="43">
        <v>10231301</v>
      </c>
      <c r="B1206" t="s">
        <v>1099</v>
      </c>
      <c r="C1206" s="43" t="s">
        <v>1643</v>
      </c>
      <c r="D1206" s="43">
        <v>4203090</v>
      </c>
      <c r="E1206" t="s">
        <v>192</v>
      </c>
      <c r="F1206" s="47" t="str">
        <f>+Centro_Cuenta8[[#This Row],[Codigo Centro Gestion]]&amp;" - "&amp;Centro_Cuenta8[[#This Row],[Nombre Centro Gestion]]</f>
        <v>10231301 - Edificio Guillermo Mann-GAF</v>
      </c>
      <c r="G1206" s="47" t="str">
        <f>+Centro_Cuenta8[[#This Row],[Código Cuenta Contable]]&amp;" - "&amp;Centro_Cuenta8[[#This Row],[Nombre de Cuenta Contable]]</f>
        <v>4203090 - Gastos Legales Y Notariales Proyecto</v>
      </c>
      <c r="H1206" s="146" t="str">
        <f>+VLOOKUP(D1206,'3. Cuentas'!A:F,6,0)</f>
        <v>SI</v>
      </c>
    </row>
    <row r="1207" spans="1:8" x14ac:dyDescent="0.25">
      <c r="A1207" s="43">
        <v>10231301</v>
      </c>
      <c r="B1207" t="s">
        <v>1099</v>
      </c>
      <c r="C1207" s="43" t="s">
        <v>1643</v>
      </c>
      <c r="D1207" s="43">
        <v>4203140</v>
      </c>
      <c r="E1207" t="s">
        <v>109</v>
      </c>
      <c r="F1207" s="47" t="str">
        <f>+Centro_Cuenta8[[#This Row],[Codigo Centro Gestion]]&amp;" - "&amp;Centro_Cuenta8[[#This Row],[Nombre Centro Gestion]]</f>
        <v>10231301 - Edificio Guillermo Mann-GAF</v>
      </c>
      <c r="G1207" s="47" t="str">
        <f>+Centro_Cuenta8[[#This Row],[Código Cuenta Contable]]&amp;" - "&amp;Centro_Cuenta8[[#This Row],[Nombre de Cuenta Contable]]</f>
        <v>4203140 - Contribuciones</v>
      </c>
      <c r="H1207" s="146" t="str">
        <f>+VLOOKUP(D1207,'3. Cuentas'!A:F,6,0)</f>
        <v>SI</v>
      </c>
    </row>
    <row r="1208" spans="1:8" x14ac:dyDescent="0.25">
      <c r="A1208" s="43">
        <v>10231506</v>
      </c>
      <c r="B1208" t="s">
        <v>1101</v>
      </c>
      <c r="C1208" s="43" t="s">
        <v>200</v>
      </c>
      <c r="D1208" s="43">
        <v>1115100</v>
      </c>
      <c r="E1208" t="s">
        <v>292</v>
      </c>
      <c r="F1208" s="47" t="str">
        <f>+Centro_Cuenta8[[#This Row],[Codigo Centro Gestion]]&amp;" - "&amp;Centro_Cuenta8[[#This Row],[Nombre Centro Gestion]]</f>
        <v>10231506 - Edificio Guillermo Mann-Depto.Técnico</v>
      </c>
      <c r="G1208" s="47" t="str">
        <f>+Centro_Cuenta8[[#This Row],[Código Cuenta Contable]]&amp;" - "&amp;Centro_Cuenta8[[#This Row],[Nombre de Cuenta Contable]]</f>
        <v>1115100 - Proyectos Y Especialidades</v>
      </c>
      <c r="H1208" s="146" t="str">
        <f>+VLOOKUP(D1208,'3. Cuentas'!A:F,6,0)</f>
        <v>SI</v>
      </c>
    </row>
    <row r="1209" spans="1:8" x14ac:dyDescent="0.25">
      <c r="A1209" s="43">
        <v>10232102</v>
      </c>
      <c r="B1209" t="s">
        <v>1102</v>
      </c>
      <c r="C1209" s="43" t="s">
        <v>1617</v>
      </c>
      <c r="D1209" s="43">
        <v>4204010</v>
      </c>
      <c r="E1209" t="s">
        <v>313</v>
      </c>
      <c r="F1209" s="47" t="str">
        <f>+Centro_Cuenta8[[#This Row],[Codigo Centro Gestion]]&amp;" - "&amp;Centro_Cuenta8[[#This Row],[Nombre Centro Gestion]]</f>
        <v>10232102 - Edificio Coronel Souper-Marketing</v>
      </c>
      <c r="G1209" s="47" t="str">
        <f>+Centro_Cuenta8[[#This Row],[Código Cuenta Contable]]&amp;" - "&amp;Centro_Cuenta8[[#This Row],[Nombre de Cuenta Contable]]</f>
        <v>4204010 - Publicidad Punto Venta</v>
      </c>
      <c r="H1209" s="146" t="str">
        <f>+VLOOKUP(D1209,'3. Cuentas'!A:F,6,0)</f>
        <v>SI</v>
      </c>
    </row>
    <row r="1210" spans="1:8" x14ac:dyDescent="0.25">
      <c r="A1210" s="43">
        <v>10232102</v>
      </c>
      <c r="B1210" t="s">
        <v>1102</v>
      </c>
      <c r="C1210" s="43" t="s">
        <v>1617</v>
      </c>
      <c r="D1210" s="43">
        <v>4204021</v>
      </c>
      <c r="E1210" t="s">
        <v>329</v>
      </c>
      <c r="F1210" s="47" t="str">
        <f>+Centro_Cuenta8[[#This Row],[Codigo Centro Gestion]]&amp;" - "&amp;Centro_Cuenta8[[#This Row],[Nombre Centro Gestion]]</f>
        <v>10232102 - Edificio Coronel Souper-Marketing</v>
      </c>
      <c r="G1210" s="47" t="str">
        <f>+Centro_Cuenta8[[#This Row],[Código Cuenta Contable]]&amp;" - "&amp;Centro_Cuenta8[[#This Row],[Nombre de Cuenta Contable]]</f>
        <v>4204021 - Publicidad Ferias Y Eventos</v>
      </c>
      <c r="H1210" s="146" t="str">
        <f>+VLOOKUP(D1210,'3. Cuentas'!A:F,6,0)</f>
        <v>SI</v>
      </c>
    </row>
    <row r="1211" spans="1:8" x14ac:dyDescent="0.25">
      <c r="A1211" s="43">
        <v>10232103</v>
      </c>
      <c r="B1211" t="s">
        <v>1103</v>
      </c>
      <c r="C1211" s="43" t="s">
        <v>1618</v>
      </c>
      <c r="D1211" s="43">
        <v>4203060</v>
      </c>
      <c r="E1211" t="s">
        <v>321</v>
      </c>
      <c r="F1211" s="47" t="str">
        <f>+Centro_Cuenta8[[#This Row],[Codigo Centro Gestion]]&amp;" - "&amp;Centro_Cuenta8[[#This Row],[Nombre Centro Gestion]]</f>
        <v>10232103 - Edificio Coronel Souper-Operaciones</v>
      </c>
      <c r="G1211" s="47" t="str">
        <f>+Centro_Cuenta8[[#This Row],[Código Cuenta Contable]]&amp;" - "&amp;Centro_Cuenta8[[#This Row],[Nombre de Cuenta Contable]]</f>
        <v>4203060 - Gastos Operacionales De Clientes</v>
      </c>
      <c r="H1211" s="146" t="str">
        <f>+VLOOKUP(D1211,'3. Cuentas'!A:F,6,0)</f>
        <v>SI</v>
      </c>
    </row>
    <row r="1212" spans="1:8" x14ac:dyDescent="0.25">
      <c r="A1212" s="43">
        <v>10232103</v>
      </c>
      <c r="B1212" t="s">
        <v>1103</v>
      </c>
      <c r="C1212" s="43" t="s">
        <v>1618</v>
      </c>
      <c r="D1212" s="43">
        <v>4203090</v>
      </c>
      <c r="E1212" t="s">
        <v>192</v>
      </c>
      <c r="F1212" s="47" t="str">
        <f>+Centro_Cuenta8[[#This Row],[Codigo Centro Gestion]]&amp;" - "&amp;Centro_Cuenta8[[#This Row],[Nombre Centro Gestion]]</f>
        <v>10232103 - Edificio Coronel Souper-Operaciones</v>
      </c>
      <c r="G1212" s="47" t="str">
        <f>+Centro_Cuenta8[[#This Row],[Código Cuenta Contable]]&amp;" - "&amp;Centro_Cuenta8[[#This Row],[Nombre de Cuenta Contable]]</f>
        <v>4203090 - Gastos Legales Y Notariales Proyecto</v>
      </c>
      <c r="H1212" s="146" t="str">
        <f>+VLOOKUP(D1212,'3. Cuentas'!A:F,6,0)</f>
        <v>SI</v>
      </c>
    </row>
    <row r="1213" spans="1:8" x14ac:dyDescent="0.25">
      <c r="A1213" s="43">
        <v>10232104</v>
      </c>
      <c r="B1213" t="s">
        <v>1104</v>
      </c>
      <c r="C1213" s="43" t="s">
        <v>90</v>
      </c>
      <c r="D1213" s="43">
        <v>1110040</v>
      </c>
      <c r="E1213" t="s">
        <v>1505</v>
      </c>
      <c r="F1213" s="47" t="str">
        <f>+Centro_Cuenta8[[#This Row],[Codigo Centro Gestion]]&amp;" - "&amp;Centro_Cuenta8[[#This Row],[Nombre Centro Gestion]]</f>
        <v>10232104 - Edificio Coronel Souper-Ventas</v>
      </c>
      <c r="G1213" s="47" t="str">
        <f>+Centro_Cuenta8[[#This Row],[Código Cuenta Contable]]&amp;" - "&amp;Centro_Cuenta8[[#This Row],[Nombre de Cuenta Contable]]</f>
        <v>1110040 - Garantía Pagadas</v>
      </c>
      <c r="H1213" s="146" t="str">
        <f>+VLOOKUP(D1213,'3. Cuentas'!A:F,6,0)</f>
        <v>SI</v>
      </c>
    </row>
    <row r="1214" spans="1:8" x14ac:dyDescent="0.25">
      <c r="A1214" s="43">
        <v>10232104</v>
      </c>
      <c r="B1214" t="s">
        <v>1104</v>
      </c>
      <c r="C1214" s="43" t="s">
        <v>90</v>
      </c>
      <c r="D1214" s="43">
        <v>4202003</v>
      </c>
      <c r="E1214" t="s">
        <v>106</v>
      </c>
      <c r="F1214" s="47" t="str">
        <f>+Centro_Cuenta8[[#This Row],[Codigo Centro Gestion]]&amp;" - "&amp;Centro_Cuenta8[[#This Row],[Nombre Centro Gestion]]</f>
        <v>10232104 - Edificio Coronel Souper-Ventas</v>
      </c>
      <c r="G1214" s="47" t="str">
        <f>+Centro_Cuenta8[[#This Row],[Código Cuenta Contable]]&amp;" - "&amp;Centro_Cuenta8[[#This Row],[Nombre de Cuenta Contable]]</f>
        <v>4202003 - Serv.Basic.Luz.Agua.Tel Of.C</v>
      </c>
      <c r="H1214" s="146" t="str">
        <f>+VLOOKUP(D1214,'3. Cuentas'!A:F,6,0)</f>
        <v>SI</v>
      </c>
    </row>
    <row r="1215" spans="1:8" x14ac:dyDescent="0.25">
      <c r="A1215" s="43">
        <v>10232104</v>
      </c>
      <c r="B1215" t="s">
        <v>1104</v>
      </c>
      <c r="C1215" s="43" t="s">
        <v>90</v>
      </c>
      <c r="D1215" s="43">
        <v>4202010</v>
      </c>
      <c r="E1215" t="s">
        <v>87</v>
      </c>
      <c r="F1215" s="47" t="str">
        <f>+Centro_Cuenta8[[#This Row],[Codigo Centro Gestion]]&amp;" - "&amp;Centro_Cuenta8[[#This Row],[Nombre Centro Gestion]]</f>
        <v>10232104 - Edificio Coronel Souper-Ventas</v>
      </c>
      <c r="G1215" s="47" t="str">
        <f>+Centro_Cuenta8[[#This Row],[Código Cuenta Contable]]&amp;" - "&amp;Centro_Cuenta8[[#This Row],[Nombre de Cuenta Contable]]</f>
        <v>4202010 - Artic. Ofic. Fotocop.Papelería</v>
      </c>
      <c r="H1215" s="146" t="str">
        <f>+VLOOKUP(D1215,'3. Cuentas'!A:F,6,0)</f>
        <v>SI</v>
      </c>
    </row>
    <row r="1216" spans="1:8" x14ac:dyDescent="0.25">
      <c r="A1216" s="43">
        <v>10232104</v>
      </c>
      <c r="B1216" t="s">
        <v>1104</v>
      </c>
      <c r="C1216" s="43" t="s">
        <v>90</v>
      </c>
      <c r="D1216" s="43">
        <v>4202019</v>
      </c>
      <c r="E1216" t="s">
        <v>81</v>
      </c>
      <c r="F1216" s="47" t="str">
        <f>+Centro_Cuenta8[[#This Row],[Codigo Centro Gestion]]&amp;" - "&amp;Centro_Cuenta8[[#This Row],[Nombre Centro Gestion]]</f>
        <v>10232104 - Edificio Coronel Souper-Ventas</v>
      </c>
      <c r="G1216" s="47" t="str">
        <f>+Centro_Cuenta8[[#This Row],[Código Cuenta Contable]]&amp;" - "&amp;Centro_Cuenta8[[#This Row],[Nombre de Cuenta Contable]]</f>
        <v>4202019 - Gasto General Oficina</v>
      </c>
      <c r="H1216" s="146" t="str">
        <f>+VLOOKUP(D1216,'3. Cuentas'!A:F,6,0)</f>
        <v>SI</v>
      </c>
    </row>
    <row r="1217" spans="1:8" x14ac:dyDescent="0.25">
      <c r="A1217" s="43">
        <v>10232104</v>
      </c>
      <c r="B1217" t="s">
        <v>1104</v>
      </c>
      <c r="C1217" s="43" t="s">
        <v>90</v>
      </c>
      <c r="D1217" s="43">
        <v>4202023</v>
      </c>
      <c r="E1217" t="s">
        <v>82</v>
      </c>
      <c r="F1217" s="47" t="str">
        <f>+Centro_Cuenta8[[#This Row],[Codigo Centro Gestion]]&amp;" - "&amp;Centro_Cuenta8[[#This Row],[Nombre Centro Gestion]]</f>
        <v>10232104 - Edificio Coronel Souper-Ventas</v>
      </c>
      <c r="G1217" s="47" t="str">
        <f>+Centro_Cuenta8[[#This Row],[Código Cuenta Contable]]&amp;" - "&amp;Centro_Cuenta8[[#This Row],[Nombre de Cuenta Contable]]</f>
        <v>4202023 - Honorarios Por Asesorías</v>
      </c>
      <c r="H1217" s="146" t="str">
        <f>+VLOOKUP(D1217,'3. Cuentas'!A:F,6,0)</f>
        <v>SI</v>
      </c>
    </row>
    <row r="1218" spans="1:8" x14ac:dyDescent="0.25">
      <c r="A1218" s="43">
        <v>10232104</v>
      </c>
      <c r="B1218" t="s">
        <v>1104</v>
      </c>
      <c r="C1218" s="43" t="s">
        <v>90</v>
      </c>
      <c r="D1218" s="43">
        <v>4202029</v>
      </c>
      <c r="E1218" t="s">
        <v>83</v>
      </c>
      <c r="F1218" s="47" t="str">
        <f>+Centro_Cuenta8[[#This Row],[Codigo Centro Gestion]]&amp;" - "&amp;Centro_Cuenta8[[#This Row],[Nombre Centro Gestion]]</f>
        <v>10232104 - Edificio Coronel Souper-Ventas</v>
      </c>
      <c r="G1218" s="47" t="str">
        <f>+Centro_Cuenta8[[#This Row],[Código Cuenta Contable]]&amp;" - "&amp;Centro_Cuenta8[[#This Row],[Nombre de Cuenta Contable]]</f>
        <v>4202029 - Insumos Y Gastos Informáticos</v>
      </c>
      <c r="H1218" s="146" t="str">
        <f>+VLOOKUP(D1218,'3. Cuentas'!A:F,6,0)</f>
        <v>SI</v>
      </c>
    </row>
    <row r="1219" spans="1:8" x14ac:dyDescent="0.25">
      <c r="A1219" s="43">
        <v>10232104</v>
      </c>
      <c r="B1219" t="s">
        <v>1104</v>
      </c>
      <c r="C1219" s="43" t="s">
        <v>90</v>
      </c>
      <c r="D1219" s="43">
        <v>4204021</v>
      </c>
      <c r="E1219" t="s">
        <v>329</v>
      </c>
      <c r="F1219" s="47" t="str">
        <f>+Centro_Cuenta8[[#This Row],[Codigo Centro Gestion]]&amp;" - "&amp;Centro_Cuenta8[[#This Row],[Nombre Centro Gestion]]</f>
        <v>10232104 - Edificio Coronel Souper-Ventas</v>
      </c>
      <c r="G1219" s="47" t="str">
        <f>+Centro_Cuenta8[[#This Row],[Código Cuenta Contable]]&amp;" - "&amp;Centro_Cuenta8[[#This Row],[Nombre de Cuenta Contable]]</f>
        <v>4204021 - Publicidad Ferias Y Eventos</v>
      </c>
      <c r="H1219" s="146" t="str">
        <f>+VLOOKUP(D1219,'3. Cuentas'!A:F,6,0)</f>
        <v>SI</v>
      </c>
    </row>
    <row r="1220" spans="1:8" x14ac:dyDescent="0.25">
      <c r="A1220" s="43">
        <v>10232105</v>
      </c>
      <c r="B1220" t="s">
        <v>1105</v>
      </c>
      <c r="C1220" s="43" t="s">
        <v>1622</v>
      </c>
      <c r="D1220" s="43">
        <v>4203020</v>
      </c>
      <c r="E1220" t="s">
        <v>295</v>
      </c>
      <c r="F1220" s="47" t="str">
        <f>+Centro_Cuenta8[[#This Row],[Codigo Centro Gestion]]&amp;" - "&amp;Centro_Cuenta8[[#This Row],[Nombre Centro Gestion]]</f>
        <v>10232105 - Edificio Coronel Souper-Clientes</v>
      </c>
      <c r="G1220" s="47" t="str">
        <f>+Centro_Cuenta8[[#This Row],[Código Cuenta Contable]]&amp;" - "&amp;Centro_Cuenta8[[#This Row],[Nombre de Cuenta Contable]]</f>
        <v>4203020 - Mant. y Consum. Viv Stock</v>
      </c>
      <c r="H1220" s="146" t="str">
        <f>+VLOOKUP(D1220,'3. Cuentas'!A:F,6,0)</f>
        <v>SI</v>
      </c>
    </row>
    <row r="1221" spans="1:8" x14ac:dyDescent="0.25">
      <c r="A1221" s="43">
        <v>10232105</v>
      </c>
      <c r="B1221" t="s">
        <v>1105</v>
      </c>
      <c r="C1221" s="43" t="s">
        <v>1622</v>
      </c>
      <c r="D1221" s="43">
        <v>4203120</v>
      </c>
      <c r="E1221" t="s">
        <v>108</v>
      </c>
      <c r="F1221" s="47" t="str">
        <f>+Centro_Cuenta8[[#This Row],[Codigo Centro Gestion]]&amp;" - "&amp;Centro_Cuenta8[[#This Row],[Nombre Centro Gestion]]</f>
        <v>10232105 - Edificio Coronel Souper-Clientes</v>
      </c>
      <c r="G1221" s="47" t="str">
        <f>+Centro_Cuenta8[[#This Row],[Código Cuenta Contable]]&amp;" - "&amp;Centro_Cuenta8[[#This Row],[Nombre de Cuenta Contable]]</f>
        <v>4203120 - Gastos Comunes</v>
      </c>
      <c r="H1221" s="146" t="str">
        <f>+VLOOKUP(D1221,'3. Cuentas'!A:F,6,0)</f>
        <v>SI</v>
      </c>
    </row>
    <row r="1222" spans="1:8" x14ac:dyDescent="0.25">
      <c r="A1222" s="43">
        <v>10232105</v>
      </c>
      <c r="B1222" t="s">
        <v>1105</v>
      </c>
      <c r="C1222" s="43" t="s">
        <v>1622</v>
      </c>
      <c r="D1222" s="43">
        <v>4203140</v>
      </c>
      <c r="E1222" t="s">
        <v>109</v>
      </c>
      <c r="F1222" s="47" t="str">
        <f>+Centro_Cuenta8[[#This Row],[Codigo Centro Gestion]]&amp;" - "&amp;Centro_Cuenta8[[#This Row],[Nombre Centro Gestion]]</f>
        <v>10232105 - Edificio Coronel Souper-Clientes</v>
      </c>
      <c r="G1222" s="47" t="str">
        <f>+Centro_Cuenta8[[#This Row],[Código Cuenta Contable]]&amp;" - "&amp;Centro_Cuenta8[[#This Row],[Nombre de Cuenta Contable]]</f>
        <v>4203140 - Contribuciones</v>
      </c>
      <c r="H1222" s="146" t="str">
        <f>+VLOOKUP(D1222,'3. Cuentas'!A:F,6,0)</f>
        <v>SI</v>
      </c>
    </row>
    <row r="1223" spans="1:8" x14ac:dyDescent="0.25">
      <c r="A1223" s="43">
        <v>10232204</v>
      </c>
      <c r="B1223" t="s">
        <v>1106</v>
      </c>
      <c r="C1223" s="43" t="s">
        <v>1624</v>
      </c>
      <c r="D1223" s="43">
        <v>1103045</v>
      </c>
      <c r="E1223" t="s">
        <v>323</v>
      </c>
      <c r="F1223" s="47" t="str">
        <f>+Centro_Cuenta8[[#This Row],[Codigo Centro Gestion]]&amp;" - "&amp;Centro_Cuenta8[[#This Row],[Nombre Centro Gestion]]</f>
        <v>10232204 - Edificio Coronel Souper-Proyecto</v>
      </c>
      <c r="G1223" s="47" t="str">
        <f>+Centro_Cuenta8[[#This Row],[Código Cuenta Contable]]&amp;" - "&amp;Centro_Cuenta8[[#This Row],[Nombre de Cuenta Contable]]</f>
        <v>1103045 - Aportes reembolsables (electricidad y agua)</v>
      </c>
      <c r="H1223" s="146" t="str">
        <f>+VLOOKUP(D1223,'3. Cuentas'!A:F,6,0)</f>
        <v>SI</v>
      </c>
    </row>
    <row r="1224" spans="1:8" x14ac:dyDescent="0.25">
      <c r="A1224" s="43">
        <v>10232204</v>
      </c>
      <c r="B1224" t="s">
        <v>1106</v>
      </c>
      <c r="C1224" s="43" t="s">
        <v>1624</v>
      </c>
      <c r="D1224" s="43">
        <v>1109020</v>
      </c>
      <c r="E1224" t="s">
        <v>302</v>
      </c>
      <c r="F1224" s="47" t="str">
        <f>+Centro_Cuenta8[[#This Row],[Codigo Centro Gestion]]&amp;" - "&amp;Centro_Cuenta8[[#This Row],[Nombre Centro Gestion]]</f>
        <v>10232204 - Edificio Coronel Souper-Proyecto</v>
      </c>
      <c r="G1224" s="47" t="str">
        <f>+Centro_Cuenta8[[#This Row],[Código Cuenta Contable]]&amp;" - "&amp;Centro_Cuenta8[[#This Row],[Nombre de Cuenta Contable]]</f>
        <v>1109020 - Mobiliario</v>
      </c>
      <c r="H1224" s="146" t="str">
        <f>+VLOOKUP(D1224,'3. Cuentas'!A:F,6,0)</f>
        <v>SI</v>
      </c>
    </row>
    <row r="1225" spans="1:8" x14ac:dyDescent="0.25">
      <c r="A1225" s="43">
        <v>10232204</v>
      </c>
      <c r="B1225" t="s">
        <v>1106</v>
      </c>
      <c r="C1225" s="43" t="s">
        <v>1624</v>
      </c>
      <c r="D1225" s="43">
        <v>1110040</v>
      </c>
      <c r="E1225" t="s">
        <v>1505</v>
      </c>
      <c r="F1225" s="47" t="str">
        <f>+Centro_Cuenta8[[#This Row],[Codigo Centro Gestion]]&amp;" - "&amp;Centro_Cuenta8[[#This Row],[Nombre Centro Gestion]]</f>
        <v>10232204 - Edificio Coronel Souper-Proyecto</v>
      </c>
      <c r="G1225" s="47" t="str">
        <f>+Centro_Cuenta8[[#This Row],[Código Cuenta Contable]]&amp;" - "&amp;Centro_Cuenta8[[#This Row],[Nombre de Cuenta Contable]]</f>
        <v>1110040 - Garantía Pagadas</v>
      </c>
      <c r="H1225" s="146" t="str">
        <f>+VLOOKUP(D1225,'3. Cuentas'!A:F,6,0)</f>
        <v>SI</v>
      </c>
    </row>
    <row r="1226" spans="1:8" x14ac:dyDescent="0.25">
      <c r="A1226" s="43">
        <v>10232204</v>
      </c>
      <c r="B1226" t="s">
        <v>1106</v>
      </c>
      <c r="C1226" s="43" t="s">
        <v>1624</v>
      </c>
      <c r="D1226" s="43">
        <v>1115040</v>
      </c>
      <c r="E1226" t="s">
        <v>291</v>
      </c>
      <c r="F1226" s="47" t="str">
        <f>+Centro_Cuenta8[[#This Row],[Codigo Centro Gestion]]&amp;" - "&amp;Centro_Cuenta8[[#This Row],[Nombre Centro Gestion]]</f>
        <v>10232204 - Edificio Coronel Souper-Proyecto</v>
      </c>
      <c r="G1226" s="47" t="str">
        <f>+Centro_Cuenta8[[#This Row],[Código Cuenta Contable]]&amp;" - "&amp;Centro_Cuenta8[[#This Row],[Nombre de Cuenta Contable]]</f>
        <v>1115040 - Saneamiento De Terreno</v>
      </c>
      <c r="H1226" s="146" t="str">
        <f>+VLOOKUP(D1226,'3. Cuentas'!A:F,6,0)</f>
        <v>SI</v>
      </c>
    </row>
    <row r="1227" spans="1:8" x14ac:dyDescent="0.25">
      <c r="A1227" s="43">
        <v>10232204</v>
      </c>
      <c r="B1227" t="s">
        <v>1106</v>
      </c>
      <c r="C1227" s="43" t="s">
        <v>1624</v>
      </c>
      <c r="D1227" s="43">
        <v>1115050</v>
      </c>
      <c r="E1227" t="s">
        <v>1628</v>
      </c>
      <c r="F1227" s="47" t="str">
        <f>+Centro_Cuenta8[[#This Row],[Codigo Centro Gestion]]&amp;" - "&amp;Centro_Cuenta8[[#This Row],[Nombre Centro Gestion]]</f>
        <v>10232204 - Edificio Coronel Souper-Proyecto</v>
      </c>
      <c r="G1227" s="47" t="str">
        <f>+Centro_Cuenta8[[#This Row],[Código Cuenta Contable]]&amp;" - "&amp;Centro_Cuenta8[[#This Row],[Nombre de Cuenta Contable]]</f>
        <v>1115050 - Demolición</v>
      </c>
      <c r="H1227" s="146" t="str">
        <f>+VLOOKUP(D1227,'3. Cuentas'!A:F,6,0)</f>
        <v>SI</v>
      </c>
    </row>
    <row r="1228" spans="1:8" x14ac:dyDescent="0.25">
      <c r="A1228" s="43">
        <v>10232204</v>
      </c>
      <c r="B1228" t="s">
        <v>1106</v>
      </c>
      <c r="C1228" s="43" t="s">
        <v>1624</v>
      </c>
      <c r="D1228" s="43">
        <v>1115100</v>
      </c>
      <c r="E1228" t="s">
        <v>292</v>
      </c>
      <c r="F1228" s="47" t="str">
        <f>+Centro_Cuenta8[[#This Row],[Codigo Centro Gestion]]&amp;" - "&amp;Centro_Cuenta8[[#This Row],[Nombre Centro Gestion]]</f>
        <v>10232204 - Edificio Coronel Souper-Proyecto</v>
      </c>
      <c r="G1228" s="47" t="str">
        <f>+Centro_Cuenta8[[#This Row],[Código Cuenta Contable]]&amp;" - "&amp;Centro_Cuenta8[[#This Row],[Nombre de Cuenta Contable]]</f>
        <v>1115100 - Proyectos Y Especialidades</v>
      </c>
      <c r="H1228" s="146" t="str">
        <f>+VLOOKUP(D1228,'3. Cuentas'!A:F,6,0)</f>
        <v>SI</v>
      </c>
    </row>
    <row r="1229" spans="1:8" x14ac:dyDescent="0.25">
      <c r="A1229" s="43">
        <v>10232204</v>
      </c>
      <c r="B1229" t="s">
        <v>1106</v>
      </c>
      <c r="C1229" s="43" t="s">
        <v>1624</v>
      </c>
      <c r="D1229" s="43">
        <v>1115120</v>
      </c>
      <c r="E1229" t="s">
        <v>1633</v>
      </c>
      <c r="F1229" s="47" t="str">
        <f>+Centro_Cuenta8[[#This Row],[Codigo Centro Gestion]]&amp;" - "&amp;Centro_Cuenta8[[#This Row],[Nombre Centro Gestion]]</f>
        <v>10232204 - Edificio Coronel Souper-Proyecto</v>
      </c>
      <c r="G1229" s="47" t="str">
        <f>+Centro_Cuenta8[[#This Row],[Código Cuenta Contable]]&amp;" - "&amp;Centro_Cuenta8[[#This Row],[Nombre de Cuenta Contable]]</f>
        <v>1115120 - Instalación Empalmes</v>
      </c>
      <c r="H1229" s="146" t="str">
        <f>+VLOOKUP(D1229,'3. Cuentas'!A:F,6,0)</f>
        <v>SI</v>
      </c>
    </row>
    <row r="1230" spans="1:8" x14ac:dyDescent="0.25">
      <c r="A1230" s="43">
        <v>10232204</v>
      </c>
      <c r="B1230" t="s">
        <v>1106</v>
      </c>
      <c r="C1230" s="43" t="s">
        <v>1624</v>
      </c>
      <c r="D1230" s="43">
        <v>1115170</v>
      </c>
      <c r="E1230" t="s">
        <v>293</v>
      </c>
      <c r="F1230" s="47" t="str">
        <f>+Centro_Cuenta8[[#This Row],[Codigo Centro Gestion]]&amp;" - "&amp;Centro_Cuenta8[[#This Row],[Nombre Centro Gestion]]</f>
        <v>10232204 - Edificio Coronel Souper-Proyecto</v>
      </c>
      <c r="G1230" s="47" t="str">
        <f>+Centro_Cuenta8[[#This Row],[Código Cuenta Contable]]&amp;" - "&amp;Centro_Cuenta8[[#This Row],[Nombre de Cuenta Contable]]</f>
        <v>1115170 - Permisos Y Otros Gastos Municipales</v>
      </c>
      <c r="H1230" s="146" t="str">
        <f>+VLOOKUP(D1230,'3. Cuentas'!A:F,6,0)</f>
        <v>SI</v>
      </c>
    </row>
    <row r="1231" spans="1:8" x14ac:dyDescent="0.25">
      <c r="A1231" s="43">
        <v>10232204</v>
      </c>
      <c r="B1231" t="s">
        <v>1106</v>
      </c>
      <c r="C1231" s="43" t="s">
        <v>1624</v>
      </c>
      <c r="D1231" s="43">
        <v>1115240</v>
      </c>
      <c r="E1231" t="s">
        <v>294</v>
      </c>
      <c r="F1231" s="47" t="str">
        <f>+Centro_Cuenta8[[#This Row],[Codigo Centro Gestion]]&amp;" - "&amp;Centro_Cuenta8[[#This Row],[Nombre Centro Gestion]]</f>
        <v>10232204 - Edificio Coronel Souper-Proyecto</v>
      </c>
      <c r="G1231" s="47" t="str">
        <f>+Centro_Cuenta8[[#This Row],[Código Cuenta Contable]]&amp;" - "&amp;Centro_Cuenta8[[#This Row],[Nombre de Cuenta Contable]]</f>
        <v>1115240 - Estudios Y Asesorias Técnicas</v>
      </c>
      <c r="H1231" s="146" t="str">
        <f>+VLOOKUP(D1231,'3. Cuentas'!A:F,6,0)</f>
        <v>SI</v>
      </c>
    </row>
    <row r="1232" spans="1:8" x14ac:dyDescent="0.25">
      <c r="A1232" s="43">
        <v>10232204</v>
      </c>
      <c r="B1232" t="s">
        <v>1106</v>
      </c>
      <c r="C1232" s="43" t="s">
        <v>1624</v>
      </c>
      <c r="D1232" s="43">
        <v>4203090</v>
      </c>
      <c r="E1232" t="s">
        <v>192</v>
      </c>
      <c r="F1232" s="47" t="str">
        <f>+Centro_Cuenta8[[#This Row],[Codigo Centro Gestion]]&amp;" - "&amp;Centro_Cuenta8[[#This Row],[Nombre Centro Gestion]]</f>
        <v>10232204 - Edificio Coronel Souper-Proyecto</v>
      </c>
      <c r="G1232" s="47" t="str">
        <f>+Centro_Cuenta8[[#This Row],[Código Cuenta Contable]]&amp;" - "&amp;Centro_Cuenta8[[#This Row],[Nombre de Cuenta Contable]]</f>
        <v>4203090 - Gastos Legales Y Notariales Proyecto</v>
      </c>
      <c r="H1232" s="146" t="str">
        <f>+VLOOKUP(D1232,'3. Cuentas'!A:F,6,0)</f>
        <v>SI</v>
      </c>
    </row>
    <row r="1233" spans="1:8" x14ac:dyDescent="0.25">
      <c r="A1233" s="43">
        <v>10232204</v>
      </c>
      <c r="B1233" t="s">
        <v>1106</v>
      </c>
      <c r="C1233" s="43" t="s">
        <v>1624</v>
      </c>
      <c r="D1233" s="43">
        <v>4203140</v>
      </c>
      <c r="E1233" t="s">
        <v>109</v>
      </c>
      <c r="F1233" s="47" t="str">
        <f>+Centro_Cuenta8[[#This Row],[Codigo Centro Gestion]]&amp;" - "&amp;Centro_Cuenta8[[#This Row],[Nombre Centro Gestion]]</f>
        <v>10232204 - Edificio Coronel Souper-Proyecto</v>
      </c>
      <c r="G1233" s="47" t="str">
        <f>+Centro_Cuenta8[[#This Row],[Código Cuenta Contable]]&amp;" - "&amp;Centro_Cuenta8[[#This Row],[Nombre de Cuenta Contable]]</f>
        <v>4203140 - Contribuciones</v>
      </c>
      <c r="H1233" s="146" t="str">
        <f>+VLOOKUP(D1233,'3. Cuentas'!A:F,6,0)</f>
        <v>SI</v>
      </c>
    </row>
    <row r="1234" spans="1:8" x14ac:dyDescent="0.25">
      <c r="A1234" s="43">
        <v>10232204</v>
      </c>
      <c r="B1234" t="s">
        <v>1106</v>
      </c>
      <c r="C1234" s="43" t="s">
        <v>1624</v>
      </c>
      <c r="D1234" s="43">
        <v>4203150</v>
      </c>
      <c r="E1234" t="s">
        <v>156</v>
      </c>
      <c r="F1234" s="47" t="str">
        <f>+Centro_Cuenta8[[#This Row],[Codigo Centro Gestion]]&amp;" - "&amp;Centro_Cuenta8[[#This Row],[Nombre Centro Gestion]]</f>
        <v>10232204 - Edificio Coronel Souper-Proyecto</v>
      </c>
      <c r="G1234" s="47" t="str">
        <f>+Centro_Cuenta8[[#This Row],[Código Cuenta Contable]]&amp;" - "&amp;Centro_Cuenta8[[#This Row],[Nombre de Cuenta Contable]]</f>
        <v>4203150 - Gastos CBR</v>
      </c>
      <c r="H1234" s="146" t="str">
        <f>+VLOOKUP(D1234,'3. Cuentas'!A:F,6,0)</f>
        <v>SI</v>
      </c>
    </row>
    <row r="1235" spans="1:8" x14ac:dyDescent="0.25">
      <c r="A1235" s="43">
        <v>10232204</v>
      </c>
      <c r="B1235" t="s">
        <v>1106</v>
      </c>
      <c r="C1235" s="43" t="s">
        <v>1624</v>
      </c>
      <c r="D1235" s="43">
        <v>4203160</v>
      </c>
      <c r="E1235" t="s">
        <v>1639</v>
      </c>
      <c r="F1235" s="47" t="str">
        <f>+Centro_Cuenta8[[#This Row],[Codigo Centro Gestion]]&amp;" - "&amp;Centro_Cuenta8[[#This Row],[Nombre Centro Gestion]]</f>
        <v>10232204 - Edificio Coronel Souper-Proyecto</v>
      </c>
      <c r="G1235" s="47" t="str">
        <f>+Centro_Cuenta8[[#This Row],[Código Cuenta Contable]]&amp;" - "&amp;Centro_Cuenta8[[#This Row],[Nombre de Cuenta Contable]]</f>
        <v>4203160 - PAPELERIA Y FOTOCOPIADO</v>
      </c>
      <c r="H1235" s="146" t="str">
        <f>+VLOOKUP(D1235,'3. Cuentas'!A:F,6,0)</f>
        <v>SI</v>
      </c>
    </row>
    <row r="1236" spans="1:8" x14ac:dyDescent="0.25">
      <c r="A1236" s="43">
        <v>10232204</v>
      </c>
      <c r="B1236" t="s">
        <v>1106</v>
      </c>
      <c r="C1236" s="43" t="s">
        <v>1624</v>
      </c>
      <c r="D1236" s="43">
        <v>4203180</v>
      </c>
      <c r="E1236" t="s">
        <v>1640</v>
      </c>
      <c r="F1236" s="47" t="str">
        <f>+Centro_Cuenta8[[#This Row],[Codigo Centro Gestion]]&amp;" - "&amp;Centro_Cuenta8[[#This Row],[Nombre Centro Gestion]]</f>
        <v>10232204 - Edificio Coronel Souper-Proyecto</v>
      </c>
      <c r="G1236" s="47" t="str">
        <f>+Centro_Cuenta8[[#This Row],[Código Cuenta Contable]]&amp;" - "&amp;Centro_Cuenta8[[#This Row],[Nombre de Cuenta Contable]]</f>
        <v>4203180 - Otros Gastos y Aseso Proy</v>
      </c>
      <c r="H1236" s="146" t="str">
        <f>+VLOOKUP(D1236,'3. Cuentas'!A:F,6,0)</f>
        <v>SI</v>
      </c>
    </row>
    <row r="1237" spans="1:8" x14ac:dyDescent="0.25">
      <c r="A1237" s="43">
        <v>10232301</v>
      </c>
      <c r="B1237" t="s">
        <v>1107</v>
      </c>
      <c r="C1237" s="43" t="s">
        <v>1643</v>
      </c>
      <c r="D1237" s="43">
        <v>4203090</v>
      </c>
      <c r="E1237" t="s">
        <v>192</v>
      </c>
      <c r="F1237" s="47" t="str">
        <f>+Centro_Cuenta8[[#This Row],[Codigo Centro Gestion]]&amp;" - "&amp;Centro_Cuenta8[[#This Row],[Nombre Centro Gestion]]</f>
        <v>10232301 - Edificio Coronel Souper-GAF</v>
      </c>
      <c r="G1237" s="47" t="str">
        <f>+Centro_Cuenta8[[#This Row],[Código Cuenta Contable]]&amp;" - "&amp;Centro_Cuenta8[[#This Row],[Nombre de Cuenta Contable]]</f>
        <v>4203090 - Gastos Legales Y Notariales Proyecto</v>
      </c>
      <c r="H1237" s="146" t="str">
        <f>+VLOOKUP(D1237,'3. Cuentas'!A:F,6,0)</f>
        <v>SI</v>
      </c>
    </row>
    <row r="1238" spans="1:8" x14ac:dyDescent="0.25">
      <c r="A1238" s="43">
        <v>10232301</v>
      </c>
      <c r="B1238" t="s">
        <v>1107</v>
      </c>
      <c r="C1238" s="43" t="s">
        <v>1643</v>
      </c>
      <c r="D1238" s="43">
        <v>4203140</v>
      </c>
      <c r="E1238" t="s">
        <v>109</v>
      </c>
      <c r="F1238" s="47" t="str">
        <f>+Centro_Cuenta8[[#This Row],[Codigo Centro Gestion]]&amp;" - "&amp;Centro_Cuenta8[[#This Row],[Nombre Centro Gestion]]</f>
        <v>10232301 - Edificio Coronel Souper-GAF</v>
      </c>
      <c r="G1238" s="47" t="str">
        <f>+Centro_Cuenta8[[#This Row],[Código Cuenta Contable]]&amp;" - "&amp;Centro_Cuenta8[[#This Row],[Nombre de Cuenta Contable]]</f>
        <v>4203140 - Contribuciones</v>
      </c>
      <c r="H1238" s="146" t="str">
        <f>+VLOOKUP(D1238,'3. Cuentas'!A:F,6,0)</f>
        <v>SI</v>
      </c>
    </row>
    <row r="1239" spans="1:8" x14ac:dyDescent="0.25">
      <c r="A1239" s="43">
        <v>10232506</v>
      </c>
      <c r="B1239" t="s">
        <v>1108</v>
      </c>
      <c r="C1239" s="43" t="s">
        <v>200</v>
      </c>
      <c r="D1239" s="43">
        <v>1115100</v>
      </c>
      <c r="E1239" t="s">
        <v>292</v>
      </c>
      <c r="F1239" s="47" t="str">
        <f>+Centro_Cuenta8[[#This Row],[Codigo Centro Gestion]]&amp;" - "&amp;Centro_Cuenta8[[#This Row],[Nombre Centro Gestion]]</f>
        <v>10232506 - Edificio Coronel Souper-Depto.Técnico</v>
      </c>
      <c r="G1239" s="47" t="str">
        <f>+Centro_Cuenta8[[#This Row],[Código Cuenta Contable]]&amp;" - "&amp;Centro_Cuenta8[[#This Row],[Nombre de Cuenta Contable]]</f>
        <v>1115100 - Proyectos Y Especialidades</v>
      </c>
      <c r="H1239" s="146" t="str">
        <f>+VLOOKUP(D1239,'3. Cuentas'!A:F,6,0)</f>
        <v>SI</v>
      </c>
    </row>
    <row r="1240" spans="1:8" x14ac:dyDescent="0.25">
      <c r="A1240" s="43">
        <v>10233102</v>
      </c>
      <c r="B1240" t="s">
        <v>1110</v>
      </c>
      <c r="C1240" s="43" t="s">
        <v>1617</v>
      </c>
      <c r="D1240" s="43">
        <v>4204010</v>
      </c>
      <c r="E1240" t="s">
        <v>313</v>
      </c>
      <c r="F1240" s="47" t="str">
        <f>+Centro_Cuenta8[[#This Row],[Codigo Centro Gestion]]&amp;" - "&amp;Centro_Cuenta8[[#This Row],[Nombre Centro Gestion]]</f>
        <v>10233102 - Condominio Jorge Cáceres Etapa 1-Marketing</v>
      </c>
      <c r="G1240" s="47" t="str">
        <f>+Centro_Cuenta8[[#This Row],[Código Cuenta Contable]]&amp;" - "&amp;Centro_Cuenta8[[#This Row],[Nombre de Cuenta Contable]]</f>
        <v>4204010 - Publicidad Punto Venta</v>
      </c>
      <c r="H1240" s="146" t="str">
        <f>+VLOOKUP(D1240,'3. Cuentas'!A:F,6,0)</f>
        <v>SI</v>
      </c>
    </row>
    <row r="1241" spans="1:8" x14ac:dyDescent="0.25">
      <c r="A1241" s="43">
        <v>10233102</v>
      </c>
      <c r="B1241" t="s">
        <v>1110</v>
      </c>
      <c r="C1241" s="43" t="s">
        <v>1617</v>
      </c>
      <c r="D1241" s="43">
        <v>4204021</v>
      </c>
      <c r="E1241" t="s">
        <v>329</v>
      </c>
      <c r="F1241" s="47" t="str">
        <f>+Centro_Cuenta8[[#This Row],[Codigo Centro Gestion]]&amp;" - "&amp;Centro_Cuenta8[[#This Row],[Nombre Centro Gestion]]</f>
        <v>10233102 - Condominio Jorge Cáceres Etapa 1-Marketing</v>
      </c>
      <c r="G1241" s="47" t="str">
        <f>+Centro_Cuenta8[[#This Row],[Código Cuenta Contable]]&amp;" - "&amp;Centro_Cuenta8[[#This Row],[Nombre de Cuenta Contable]]</f>
        <v>4204021 - Publicidad Ferias Y Eventos</v>
      </c>
      <c r="H1241" s="146" t="str">
        <f>+VLOOKUP(D1241,'3. Cuentas'!A:F,6,0)</f>
        <v>SI</v>
      </c>
    </row>
    <row r="1242" spans="1:8" x14ac:dyDescent="0.25">
      <c r="A1242" s="43">
        <v>10233103</v>
      </c>
      <c r="B1242" t="s">
        <v>1111</v>
      </c>
      <c r="C1242" s="43" t="s">
        <v>1618</v>
      </c>
      <c r="D1242" s="43">
        <v>4203060</v>
      </c>
      <c r="E1242" t="s">
        <v>321</v>
      </c>
      <c r="F1242" s="47" t="str">
        <f>+Centro_Cuenta8[[#This Row],[Codigo Centro Gestion]]&amp;" - "&amp;Centro_Cuenta8[[#This Row],[Nombre Centro Gestion]]</f>
        <v>10233103 - Condominio Jorge Cáceres Etapa 1-Operaciones</v>
      </c>
      <c r="G1242" s="47" t="str">
        <f>+Centro_Cuenta8[[#This Row],[Código Cuenta Contable]]&amp;" - "&amp;Centro_Cuenta8[[#This Row],[Nombre de Cuenta Contable]]</f>
        <v>4203060 - Gastos Operacionales De Clientes</v>
      </c>
      <c r="H1242" s="146" t="str">
        <f>+VLOOKUP(D1242,'3. Cuentas'!A:F,6,0)</f>
        <v>SI</v>
      </c>
    </row>
    <row r="1243" spans="1:8" x14ac:dyDescent="0.25">
      <c r="A1243" s="43">
        <v>10233103</v>
      </c>
      <c r="B1243" t="s">
        <v>1111</v>
      </c>
      <c r="C1243" s="43" t="s">
        <v>1618</v>
      </c>
      <c r="D1243" s="43">
        <v>4203090</v>
      </c>
      <c r="E1243" t="s">
        <v>192</v>
      </c>
      <c r="F1243" s="47" t="str">
        <f>+Centro_Cuenta8[[#This Row],[Codigo Centro Gestion]]&amp;" - "&amp;Centro_Cuenta8[[#This Row],[Nombre Centro Gestion]]</f>
        <v>10233103 - Condominio Jorge Cáceres Etapa 1-Operaciones</v>
      </c>
      <c r="G1243" s="47" t="str">
        <f>+Centro_Cuenta8[[#This Row],[Código Cuenta Contable]]&amp;" - "&amp;Centro_Cuenta8[[#This Row],[Nombre de Cuenta Contable]]</f>
        <v>4203090 - Gastos Legales Y Notariales Proyecto</v>
      </c>
      <c r="H1243" s="146" t="str">
        <f>+VLOOKUP(D1243,'3. Cuentas'!A:F,6,0)</f>
        <v>SI</v>
      </c>
    </row>
    <row r="1244" spans="1:8" x14ac:dyDescent="0.25">
      <c r="A1244" s="43">
        <v>10233104</v>
      </c>
      <c r="B1244" t="s">
        <v>1112</v>
      </c>
      <c r="C1244" s="43" t="s">
        <v>90</v>
      </c>
      <c r="D1244" s="43">
        <v>1110040</v>
      </c>
      <c r="E1244" t="s">
        <v>1505</v>
      </c>
      <c r="F1244" s="47" t="str">
        <f>+Centro_Cuenta8[[#This Row],[Codigo Centro Gestion]]&amp;" - "&amp;Centro_Cuenta8[[#This Row],[Nombre Centro Gestion]]</f>
        <v>10233104 - Condominio Jorge Cáceres Etapa 1-Ventas</v>
      </c>
      <c r="G1244" s="47" t="str">
        <f>+Centro_Cuenta8[[#This Row],[Código Cuenta Contable]]&amp;" - "&amp;Centro_Cuenta8[[#This Row],[Nombre de Cuenta Contable]]</f>
        <v>1110040 - Garantía Pagadas</v>
      </c>
      <c r="H1244" s="146" t="str">
        <f>+VLOOKUP(D1244,'3. Cuentas'!A:F,6,0)</f>
        <v>SI</v>
      </c>
    </row>
    <row r="1245" spans="1:8" x14ac:dyDescent="0.25">
      <c r="A1245" s="43">
        <v>10233104</v>
      </c>
      <c r="B1245" t="s">
        <v>1112</v>
      </c>
      <c r="C1245" s="43" t="s">
        <v>90</v>
      </c>
      <c r="D1245" s="43">
        <v>4202003</v>
      </c>
      <c r="E1245" t="s">
        <v>106</v>
      </c>
      <c r="F1245" s="47" t="str">
        <f>+Centro_Cuenta8[[#This Row],[Codigo Centro Gestion]]&amp;" - "&amp;Centro_Cuenta8[[#This Row],[Nombre Centro Gestion]]</f>
        <v>10233104 - Condominio Jorge Cáceres Etapa 1-Ventas</v>
      </c>
      <c r="G1245" s="47" t="str">
        <f>+Centro_Cuenta8[[#This Row],[Código Cuenta Contable]]&amp;" - "&amp;Centro_Cuenta8[[#This Row],[Nombre de Cuenta Contable]]</f>
        <v>4202003 - Serv.Basic.Luz.Agua.Tel Of.C</v>
      </c>
      <c r="H1245" s="146" t="str">
        <f>+VLOOKUP(D1245,'3. Cuentas'!A:F,6,0)</f>
        <v>SI</v>
      </c>
    </row>
    <row r="1246" spans="1:8" x14ac:dyDescent="0.25">
      <c r="A1246" s="43">
        <v>10233104</v>
      </c>
      <c r="B1246" t="s">
        <v>1112</v>
      </c>
      <c r="C1246" s="43" t="s">
        <v>90</v>
      </c>
      <c r="D1246" s="43">
        <v>4202010</v>
      </c>
      <c r="E1246" t="s">
        <v>87</v>
      </c>
      <c r="F1246" s="47" t="str">
        <f>+Centro_Cuenta8[[#This Row],[Codigo Centro Gestion]]&amp;" - "&amp;Centro_Cuenta8[[#This Row],[Nombre Centro Gestion]]</f>
        <v>10233104 - Condominio Jorge Cáceres Etapa 1-Ventas</v>
      </c>
      <c r="G1246" s="47" t="str">
        <f>+Centro_Cuenta8[[#This Row],[Código Cuenta Contable]]&amp;" - "&amp;Centro_Cuenta8[[#This Row],[Nombre de Cuenta Contable]]</f>
        <v>4202010 - Artic. Ofic. Fotocop.Papelería</v>
      </c>
      <c r="H1246" s="146" t="str">
        <f>+VLOOKUP(D1246,'3. Cuentas'!A:F,6,0)</f>
        <v>SI</v>
      </c>
    </row>
    <row r="1247" spans="1:8" x14ac:dyDescent="0.25">
      <c r="A1247" s="43">
        <v>10233104</v>
      </c>
      <c r="B1247" t="s">
        <v>1112</v>
      </c>
      <c r="C1247" s="43" t="s">
        <v>90</v>
      </c>
      <c r="D1247" s="43">
        <v>4202019</v>
      </c>
      <c r="E1247" t="s">
        <v>81</v>
      </c>
      <c r="F1247" s="47" t="str">
        <f>+Centro_Cuenta8[[#This Row],[Codigo Centro Gestion]]&amp;" - "&amp;Centro_Cuenta8[[#This Row],[Nombre Centro Gestion]]</f>
        <v>10233104 - Condominio Jorge Cáceres Etapa 1-Ventas</v>
      </c>
      <c r="G1247" s="47" t="str">
        <f>+Centro_Cuenta8[[#This Row],[Código Cuenta Contable]]&amp;" - "&amp;Centro_Cuenta8[[#This Row],[Nombre de Cuenta Contable]]</f>
        <v>4202019 - Gasto General Oficina</v>
      </c>
      <c r="H1247" s="146" t="str">
        <f>+VLOOKUP(D1247,'3. Cuentas'!A:F,6,0)</f>
        <v>SI</v>
      </c>
    </row>
    <row r="1248" spans="1:8" x14ac:dyDescent="0.25">
      <c r="A1248" s="43">
        <v>10233104</v>
      </c>
      <c r="B1248" t="s">
        <v>1112</v>
      </c>
      <c r="C1248" s="43" t="s">
        <v>90</v>
      </c>
      <c r="D1248" s="43">
        <v>4202023</v>
      </c>
      <c r="E1248" t="s">
        <v>82</v>
      </c>
      <c r="F1248" s="47" t="str">
        <f>+Centro_Cuenta8[[#This Row],[Codigo Centro Gestion]]&amp;" - "&amp;Centro_Cuenta8[[#This Row],[Nombre Centro Gestion]]</f>
        <v>10233104 - Condominio Jorge Cáceres Etapa 1-Ventas</v>
      </c>
      <c r="G1248" s="47" t="str">
        <f>+Centro_Cuenta8[[#This Row],[Código Cuenta Contable]]&amp;" - "&amp;Centro_Cuenta8[[#This Row],[Nombre de Cuenta Contable]]</f>
        <v>4202023 - Honorarios Por Asesorías</v>
      </c>
      <c r="H1248" s="146" t="str">
        <f>+VLOOKUP(D1248,'3. Cuentas'!A:F,6,0)</f>
        <v>SI</v>
      </c>
    </row>
    <row r="1249" spans="1:8" x14ac:dyDescent="0.25">
      <c r="A1249" s="43">
        <v>10233104</v>
      </c>
      <c r="B1249" t="s">
        <v>1112</v>
      </c>
      <c r="C1249" s="43" t="s">
        <v>90</v>
      </c>
      <c r="D1249" s="43">
        <v>4202029</v>
      </c>
      <c r="E1249" t="s">
        <v>83</v>
      </c>
      <c r="F1249" s="47" t="str">
        <f>+Centro_Cuenta8[[#This Row],[Codigo Centro Gestion]]&amp;" - "&amp;Centro_Cuenta8[[#This Row],[Nombre Centro Gestion]]</f>
        <v>10233104 - Condominio Jorge Cáceres Etapa 1-Ventas</v>
      </c>
      <c r="G1249" s="47" t="str">
        <f>+Centro_Cuenta8[[#This Row],[Código Cuenta Contable]]&amp;" - "&amp;Centro_Cuenta8[[#This Row],[Nombre de Cuenta Contable]]</f>
        <v>4202029 - Insumos Y Gastos Informáticos</v>
      </c>
      <c r="H1249" s="146" t="str">
        <f>+VLOOKUP(D1249,'3. Cuentas'!A:F,6,0)</f>
        <v>SI</v>
      </c>
    </row>
    <row r="1250" spans="1:8" x14ac:dyDescent="0.25">
      <c r="A1250" s="43">
        <v>10233104</v>
      </c>
      <c r="B1250" t="s">
        <v>1112</v>
      </c>
      <c r="C1250" s="43" t="s">
        <v>90</v>
      </c>
      <c r="D1250" s="43">
        <v>4204021</v>
      </c>
      <c r="E1250" t="s">
        <v>329</v>
      </c>
      <c r="F1250" s="47" t="str">
        <f>+Centro_Cuenta8[[#This Row],[Codigo Centro Gestion]]&amp;" - "&amp;Centro_Cuenta8[[#This Row],[Nombre Centro Gestion]]</f>
        <v>10233104 - Condominio Jorge Cáceres Etapa 1-Ventas</v>
      </c>
      <c r="G1250" s="47" t="str">
        <f>+Centro_Cuenta8[[#This Row],[Código Cuenta Contable]]&amp;" - "&amp;Centro_Cuenta8[[#This Row],[Nombre de Cuenta Contable]]</f>
        <v>4204021 - Publicidad Ferias Y Eventos</v>
      </c>
      <c r="H1250" s="146" t="str">
        <f>+VLOOKUP(D1250,'3. Cuentas'!A:F,6,0)</f>
        <v>SI</v>
      </c>
    </row>
    <row r="1251" spans="1:8" x14ac:dyDescent="0.25">
      <c r="A1251" s="43">
        <v>10233105</v>
      </c>
      <c r="B1251" t="s">
        <v>1113</v>
      </c>
      <c r="C1251" s="43" t="s">
        <v>1622</v>
      </c>
      <c r="D1251" s="43">
        <v>4203020</v>
      </c>
      <c r="E1251" t="s">
        <v>295</v>
      </c>
      <c r="F1251" s="47" t="str">
        <f>+Centro_Cuenta8[[#This Row],[Codigo Centro Gestion]]&amp;" - "&amp;Centro_Cuenta8[[#This Row],[Nombre Centro Gestion]]</f>
        <v>10233105 - Condominio Jorge Cáceres Etapa 1-Clientes</v>
      </c>
      <c r="G1251" s="47" t="str">
        <f>+Centro_Cuenta8[[#This Row],[Código Cuenta Contable]]&amp;" - "&amp;Centro_Cuenta8[[#This Row],[Nombre de Cuenta Contable]]</f>
        <v>4203020 - Mant. y Consum. Viv Stock</v>
      </c>
      <c r="H1251" s="146" t="str">
        <f>+VLOOKUP(D1251,'3. Cuentas'!A:F,6,0)</f>
        <v>SI</v>
      </c>
    </row>
    <row r="1252" spans="1:8" x14ac:dyDescent="0.25">
      <c r="A1252" s="43">
        <v>10233105</v>
      </c>
      <c r="B1252" t="s">
        <v>1113</v>
      </c>
      <c r="C1252" s="43" t="s">
        <v>1622</v>
      </c>
      <c r="D1252" s="43">
        <v>4203120</v>
      </c>
      <c r="E1252" t="s">
        <v>108</v>
      </c>
      <c r="F1252" s="47" t="str">
        <f>+Centro_Cuenta8[[#This Row],[Codigo Centro Gestion]]&amp;" - "&amp;Centro_Cuenta8[[#This Row],[Nombre Centro Gestion]]</f>
        <v>10233105 - Condominio Jorge Cáceres Etapa 1-Clientes</v>
      </c>
      <c r="G1252" s="47" t="str">
        <f>+Centro_Cuenta8[[#This Row],[Código Cuenta Contable]]&amp;" - "&amp;Centro_Cuenta8[[#This Row],[Nombre de Cuenta Contable]]</f>
        <v>4203120 - Gastos Comunes</v>
      </c>
      <c r="H1252" s="146" t="str">
        <f>+VLOOKUP(D1252,'3. Cuentas'!A:F,6,0)</f>
        <v>SI</v>
      </c>
    </row>
    <row r="1253" spans="1:8" x14ac:dyDescent="0.25">
      <c r="A1253" s="43">
        <v>10233105</v>
      </c>
      <c r="B1253" t="s">
        <v>1113</v>
      </c>
      <c r="C1253" s="43" t="s">
        <v>1622</v>
      </c>
      <c r="D1253" s="43">
        <v>4203140</v>
      </c>
      <c r="E1253" t="s">
        <v>109</v>
      </c>
      <c r="F1253" s="47" t="str">
        <f>+Centro_Cuenta8[[#This Row],[Codigo Centro Gestion]]&amp;" - "&amp;Centro_Cuenta8[[#This Row],[Nombre Centro Gestion]]</f>
        <v>10233105 - Condominio Jorge Cáceres Etapa 1-Clientes</v>
      </c>
      <c r="G1253" s="47" t="str">
        <f>+Centro_Cuenta8[[#This Row],[Código Cuenta Contable]]&amp;" - "&amp;Centro_Cuenta8[[#This Row],[Nombre de Cuenta Contable]]</f>
        <v>4203140 - Contribuciones</v>
      </c>
      <c r="H1253" s="146" t="str">
        <f>+VLOOKUP(D1253,'3. Cuentas'!A:F,6,0)</f>
        <v>SI</v>
      </c>
    </row>
    <row r="1254" spans="1:8" x14ac:dyDescent="0.25">
      <c r="A1254" s="43">
        <v>10233204</v>
      </c>
      <c r="B1254" t="s">
        <v>1114</v>
      </c>
      <c r="C1254" s="43" t="s">
        <v>1624</v>
      </c>
      <c r="D1254" s="43">
        <v>1103045</v>
      </c>
      <c r="E1254" t="s">
        <v>323</v>
      </c>
      <c r="F1254" s="47" t="str">
        <f>+Centro_Cuenta8[[#This Row],[Codigo Centro Gestion]]&amp;" - "&amp;Centro_Cuenta8[[#This Row],[Nombre Centro Gestion]]</f>
        <v>10233204 - Condominio Jorge Cáceres Etapa 1-Proyecto</v>
      </c>
      <c r="G1254" s="47" t="str">
        <f>+Centro_Cuenta8[[#This Row],[Código Cuenta Contable]]&amp;" - "&amp;Centro_Cuenta8[[#This Row],[Nombre de Cuenta Contable]]</f>
        <v>1103045 - Aportes reembolsables (electricidad y agua)</v>
      </c>
      <c r="H1254" s="146" t="str">
        <f>+VLOOKUP(D1254,'3. Cuentas'!A:F,6,0)</f>
        <v>SI</v>
      </c>
    </row>
    <row r="1255" spans="1:8" x14ac:dyDescent="0.25">
      <c r="A1255" s="43">
        <v>10233204</v>
      </c>
      <c r="B1255" t="s">
        <v>1114</v>
      </c>
      <c r="C1255" s="43" t="s">
        <v>1624</v>
      </c>
      <c r="D1255" s="43">
        <v>1109020</v>
      </c>
      <c r="E1255" t="s">
        <v>302</v>
      </c>
      <c r="F1255" s="47" t="str">
        <f>+Centro_Cuenta8[[#This Row],[Codigo Centro Gestion]]&amp;" - "&amp;Centro_Cuenta8[[#This Row],[Nombre Centro Gestion]]</f>
        <v>10233204 - Condominio Jorge Cáceres Etapa 1-Proyecto</v>
      </c>
      <c r="G1255" s="47" t="str">
        <f>+Centro_Cuenta8[[#This Row],[Código Cuenta Contable]]&amp;" - "&amp;Centro_Cuenta8[[#This Row],[Nombre de Cuenta Contable]]</f>
        <v>1109020 - Mobiliario</v>
      </c>
      <c r="H1255" s="146" t="str">
        <f>+VLOOKUP(D1255,'3. Cuentas'!A:F,6,0)</f>
        <v>SI</v>
      </c>
    </row>
    <row r="1256" spans="1:8" x14ac:dyDescent="0.25">
      <c r="A1256" s="43">
        <v>10233204</v>
      </c>
      <c r="B1256" t="s">
        <v>1114</v>
      </c>
      <c r="C1256" s="43" t="s">
        <v>1624</v>
      </c>
      <c r="D1256" s="43">
        <v>1110040</v>
      </c>
      <c r="E1256" t="s">
        <v>1505</v>
      </c>
      <c r="F1256" s="47" t="str">
        <f>+Centro_Cuenta8[[#This Row],[Codigo Centro Gestion]]&amp;" - "&amp;Centro_Cuenta8[[#This Row],[Nombre Centro Gestion]]</f>
        <v>10233204 - Condominio Jorge Cáceres Etapa 1-Proyecto</v>
      </c>
      <c r="G1256" s="47" t="str">
        <f>+Centro_Cuenta8[[#This Row],[Código Cuenta Contable]]&amp;" - "&amp;Centro_Cuenta8[[#This Row],[Nombre de Cuenta Contable]]</f>
        <v>1110040 - Garantía Pagadas</v>
      </c>
      <c r="H1256" s="146" t="str">
        <f>+VLOOKUP(D1256,'3. Cuentas'!A:F,6,0)</f>
        <v>SI</v>
      </c>
    </row>
    <row r="1257" spans="1:8" x14ac:dyDescent="0.25">
      <c r="A1257" s="43">
        <v>10233204</v>
      </c>
      <c r="B1257" t="s">
        <v>1114</v>
      </c>
      <c r="C1257" s="43" t="s">
        <v>1624</v>
      </c>
      <c r="D1257" s="43">
        <v>1115040</v>
      </c>
      <c r="E1257" t="s">
        <v>291</v>
      </c>
      <c r="F1257" s="47" t="str">
        <f>+Centro_Cuenta8[[#This Row],[Codigo Centro Gestion]]&amp;" - "&amp;Centro_Cuenta8[[#This Row],[Nombre Centro Gestion]]</f>
        <v>10233204 - Condominio Jorge Cáceres Etapa 1-Proyecto</v>
      </c>
      <c r="G1257" s="47" t="str">
        <f>+Centro_Cuenta8[[#This Row],[Código Cuenta Contable]]&amp;" - "&amp;Centro_Cuenta8[[#This Row],[Nombre de Cuenta Contable]]</f>
        <v>1115040 - Saneamiento De Terreno</v>
      </c>
      <c r="H1257" s="146" t="str">
        <f>+VLOOKUP(D1257,'3. Cuentas'!A:F,6,0)</f>
        <v>SI</v>
      </c>
    </row>
    <row r="1258" spans="1:8" x14ac:dyDescent="0.25">
      <c r="A1258" s="43">
        <v>10233204</v>
      </c>
      <c r="B1258" t="s">
        <v>1114</v>
      </c>
      <c r="C1258" s="43" t="s">
        <v>1624</v>
      </c>
      <c r="D1258" s="43">
        <v>1115050</v>
      </c>
      <c r="E1258" t="s">
        <v>1628</v>
      </c>
      <c r="F1258" s="47" t="str">
        <f>+Centro_Cuenta8[[#This Row],[Codigo Centro Gestion]]&amp;" - "&amp;Centro_Cuenta8[[#This Row],[Nombre Centro Gestion]]</f>
        <v>10233204 - Condominio Jorge Cáceres Etapa 1-Proyecto</v>
      </c>
      <c r="G1258" s="47" t="str">
        <f>+Centro_Cuenta8[[#This Row],[Código Cuenta Contable]]&amp;" - "&amp;Centro_Cuenta8[[#This Row],[Nombre de Cuenta Contable]]</f>
        <v>1115050 - Demolición</v>
      </c>
      <c r="H1258" s="146" t="str">
        <f>+VLOOKUP(D1258,'3. Cuentas'!A:F,6,0)</f>
        <v>SI</v>
      </c>
    </row>
    <row r="1259" spans="1:8" x14ac:dyDescent="0.25">
      <c r="A1259" s="43">
        <v>10233204</v>
      </c>
      <c r="B1259" t="s">
        <v>1114</v>
      </c>
      <c r="C1259" s="43" t="s">
        <v>1624</v>
      </c>
      <c r="D1259" s="43">
        <v>1115100</v>
      </c>
      <c r="E1259" t="s">
        <v>292</v>
      </c>
      <c r="F1259" s="47" t="str">
        <f>+Centro_Cuenta8[[#This Row],[Codigo Centro Gestion]]&amp;" - "&amp;Centro_Cuenta8[[#This Row],[Nombre Centro Gestion]]</f>
        <v>10233204 - Condominio Jorge Cáceres Etapa 1-Proyecto</v>
      </c>
      <c r="G1259" s="47" t="str">
        <f>+Centro_Cuenta8[[#This Row],[Código Cuenta Contable]]&amp;" - "&amp;Centro_Cuenta8[[#This Row],[Nombre de Cuenta Contable]]</f>
        <v>1115100 - Proyectos Y Especialidades</v>
      </c>
      <c r="H1259" s="146" t="str">
        <f>+VLOOKUP(D1259,'3. Cuentas'!A:F,6,0)</f>
        <v>SI</v>
      </c>
    </row>
    <row r="1260" spans="1:8" x14ac:dyDescent="0.25">
      <c r="A1260" s="43">
        <v>10233204</v>
      </c>
      <c r="B1260" t="s">
        <v>1114</v>
      </c>
      <c r="C1260" s="43" t="s">
        <v>1624</v>
      </c>
      <c r="D1260" s="43">
        <v>1115120</v>
      </c>
      <c r="E1260" t="s">
        <v>1633</v>
      </c>
      <c r="F1260" s="47" t="str">
        <f>+Centro_Cuenta8[[#This Row],[Codigo Centro Gestion]]&amp;" - "&amp;Centro_Cuenta8[[#This Row],[Nombre Centro Gestion]]</f>
        <v>10233204 - Condominio Jorge Cáceres Etapa 1-Proyecto</v>
      </c>
      <c r="G1260" s="47" t="str">
        <f>+Centro_Cuenta8[[#This Row],[Código Cuenta Contable]]&amp;" - "&amp;Centro_Cuenta8[[#This Row],[Nombre de Cuenta Contable]]</f>
        <v>1115120 - Instalación Empalmes</v>
      </c>
      <c r="H1260" s="146" t="str">
        <f>+VLOOKUP(D1260,'3. Cuentas'!A:F,6,0)</f>
        <v>SI</v>
      </c>
    </row>
    <row r="1261" spans="1:8" x14ac:dyDescent="0.25">
      <c r="A1261" s="43">
        <v>10233204</v>
      </c>
      <c r="B1261" t="s">
        <v>1114</v>
      </c>
      <c r="C1261" s="43" t="s">
        <v>1624</v>
      </c>
      <c r="D1261" s="43">
        <v>1115170</v>
      </c>
      <c r="E1261" t="s">
        <v>293</v>
      </c>
      <c r="F1261" s="47" t="str">
        <f>+Centro_Cuenta8[[#This Row],[Codigo Centro Gestion]]&amp;" - "&amp;Centro_Cuenta8[[#This Row],[Nombre Centro Gestion]]</f>
        <v>10233204 - Condominio Jorge Cáceres Etapa 1-Proyecto</v>
      </c>
      <c r="G1261" s="47" t="str">
        <f>+Centro_Cuenta8[[#This Row],[Código Cuenta Contable]]&amp;" - "&amp;Centro_Cuenta8[[#This Row],[Nombre de Cuenta Contable]]</f>
        <v>1115170 - Permisos Y Otros Gastos Municipales</v>
      </c>
      <c r="H1261" s="146" t="str">
        <f>+VLOOKUP(D1261,'3. Cuentas'!A:F,6,0)</f>
        <v>SI</v>
      </c>
    </row>
    <row r="1262" spans="1:8" x14ac:dyDescent="0.25">
      <c r="A1262" s="43">
        <v>10233204</v>
      </c>
      <c r="B1262" t="s">
        <v>1114</v>
      </c>
      <c r="C1262" s="43" t="s">
        <v>1624</v>
      </c>
      <c r="D1262" s="43">
        <v>1115240</v>
      </c>
      <c r="E1262" t="s">
        <v>294</v>
      </c>
      <c r="F1262" s="47" t="str">
        <f>+Centro_Cuenta8[[#This Row],[Codigo Centro Gestion]]&amp;" - "&amp;Centro_Cuenta8[[#This Row],[Nombre Centro Gestion]]</f>
        <v>10233204 - Condominio Jorge Cáceres Etapa 1-Proyecto</v>
      </c>
      <c r="G1262" s="47" t="str">
        <f>+Centro_Cuenta8[[#This Row],[Código Cuenta Contable]]&amp;" - "&amp;Centro_Cuenta8[[#This Row],[Nombre de Cuenta Contable]]</f>
        <v>1115240 - Estudios Y Asesorias Técnicas</v>
      </c>
      <c r="H1262" s="146" t="str">
        <f>+VLOOKUP(D1262,'3. Cuentas'!A:F,6,0)</f>
        <v>SI</v>
      </c>
    </row>
    <row r="1263" spans="1:8" x14ac:dyDescent="0.25">
      <c r="A1263" s="43">
        <v>10233204</v>
      </c>
      <c r="B1263" t="s">
        <v>1114</v>
      </c>
      <c r="C1263" s="43" t="s">
        <v>1624</v>
      </c>
      <c r="D1263" s="43">
        <v>4203090</v>
      </c>
      <c r="E1263" t="s">
        <v>192</v>
      </c>
      <c r="F1263" s="47" t="str">
        <f>+Centro_Cuenta8[[#This Row],[Codigo Centro Gestion]]&amp;" - "&amp;Centro_Cuenta8[[#This Row],[Nombre Centro Gestion]]</f>
        <v>10233204 - Condominio Jorge Cáceres Etapa 1-Proyecto</v>
      </c>
      <c r="G1263" s="47" t="str">
        <f>+Centro_Cuenta8[[#This Row],[Código Cuenta Contable]]&amp;" - "&amp;Centro_Cuenta8[[#This Row],[Nombre de Cuenta Contable]]</f>
        <v>4203090 - Gastos Legales Y Notariales Proyecto</v>
      </c>
      <c r="H1263" s="146" t="str">
        <f>+VLOOKUP(D1263,'3. Cuentas'!A:F,6,0)</f>
        <v>SI</v>
      </c>
    </row>
    <row r="1264" spans="1:8" x14ac:dyDescent="0.25">
      <c r="A1264" s="43">
        <v>10233204</v>
      </c>
      <c r="B1264" t="s">
        <v>1114</v>
      </c>
      <c r="C1264" s="43" t="s">
        <v>1624</v>
      </c>
      <c r="D1264" s="43">
        <v>4203140</v>
      </c>
      <c r="E1264" t="s">
        <v>109</v>
      </c>
      <c r="F1264" s="47" t="str">
        <f>+Centro_Cuenta8[[#This Row],[Codigo Centro Gestion]]&amp;" - "&amp;Centro_Cuenta8[[#This Row],[Nombre Centro Gestion]]</f>
        <v>10233204 - Condominio Jorge Cáceres Etapa 1-Proyecto</v>
      </c>
      <c r="G1264" s="47" t="str">
        <f>+Centro_Cuenta8[[#This Row],[Código Cuenta Contable]]&amp;" - "&amp;Centro_Cuenta8[[#This Row],[Nombre de Cuenta Contable]]</f>
        <v>4203140 - Contribuciones</v>
      </c>
      <c r="H1264" s="146" t="str">
        <f>+VLOOKUP(D1264,'3. Cuentas'!A:F,6,0)</f>
        <v>SI</v>
      </c>
    </row>
    <row r="1265" spans="1:8" x14ac:dyDescent="0.25">
      <c r="A1265" s="43">
        <v>10233204</v>
      </c>
      <c r="B1265" t="s">
        <v>1114</v>
      </c>
      <c r="C1265" s="43" t="s">
        <v>1624</v>
      </c>
      <c r="D1265" s="43">
        <v>4203150</v>
      </c>
      <c r="E1265" t="s">
        <v>156</v>
      </c>
      <c r="F1265" s="47" t="str">
        <f>+Centro_Cuenta8[[#This Row],[Codigo Centro Gestion]]&amp;" - "&amp;Centro_Cuenta8[[#This Row],[Nombre Centro Gestion]]</f>
        <v>10233204 - Condominio Jorge Cáceres Etapa 1-Proyecto</v>
      </c>
      <c r="G1265" s="47" t="str">
        <f>+Centro_Cuenta8[[#This Row],[Código Cuenta Contable]]&amp;" - "&amp;Centro_Cuenta8[[#This Row],[Nombre de Cuenta Contable]]</f>
        <v>4203150 - Gastos CBR</v>
      </c>
      <c r="H1265" s="146" t="str">
        <f>+VLOOKUP(D1265,'3. Cuentas'!A:F,6,0)</f>
        <v>SI</v>
      </c>
    </row>
    <row r="1266" spans="1:8" x14ac:dyDescent="0.25">
      <c r="A1266" s="43">
        <v>10233204</v>
      </c>
      <c r="B1266" t="s">
        <v>1114</v>
      </c>
      <c r="C1266" s="43" t="s">
        <v>1624</v>
      </c>
      <c r="D1266" s="43">
        <v>4203160</v>
      </c>
      <c r="E1266" t="s">
        <v>1639</v>
      </c>
      <c r="F1266" s="47" t="str">
        <f>+Centro_Cuenta8[[#This Row],[Codigo Centro Gestion]]&amp;" - "&amp;Centro_Cuenta8[[#This Row],[Nombre Centro Gestion]]</f>
        <v>10233204 - Condominio Jorge Cáceres Etapa 1-Proyecto</v>
      </c>
      <c r="G1266" s="47" t="str">
        <f>+Centro_Cuenta8[[#This Row],[Código Cuenta Contable]]&amp;" - "&amp;Centro_Cuenta8[[#This Row],[Nombre de Cuenta Contable]]</f>
        <v>4203160 - PAPELERIA Y FOTOCOPIADO</v>
      </c>
      <c r="H1266" s="146" t="str">
        <f>+VLOOKUP(D1266,'3. Cuentas'!A:F,6,0)</f>
        <v>SI</v>
      </c>
    </row>
    <row r="1267" spans="1:8" x14ac:dyDescent="0.25">
      <c r="A1267" s="43">
        <v>10233204</v>
      </c>
      <c r="B1267" t="s">
        <v>1114</v>
      </c>
      <c r="C1267" s="43" t="s">
        <v>1624</v>
      </c>
      <c r="D1267" s="43">
        <v>4203180</v>
      </c>
      <c r="E1267" t="s">
        <v>1640</v>
      </c>
      <c r="F1267" s="47" t="str">
        <f>+Centro_Cuenta8[[#This Row],[Codigo Centro Gestion]]&amp;" - "&amp;Centro_Cuenta8[[#This Row],[Nombre Centro Gestion]]</f>
        <v>10233204 - Condominio Jorge Cáceres Etapa 1-Proyecto</v>
      </c>
      <c r="G1267" s="47" t="str">
        <f>+Centro_Cuenta8[[#This Row],[Código Cuenta Contable]]&amp;" - "&amp;Centro_Cuenta8[[#This Row],[Nombre de Cuenta Contable]]</f>
        <v>4203180 - Otros Gastos y Aseso Proy</v>
      </c>
      <c r="H1267" s="146" t="str">
        <f>+VLOOKUP(D1267,'3. Cuentas'!A:F,6,0)</f>
        <v>SI</v>
      </c>
    </row>
    <row r="1268" spans="1:8" x14ac:dyDescent="0.25">
      <c r="A1268" s="43">
        <v>10233301</v>
      </c>
      <c r="B1268" t="s">
        <v>1115</v>
      </c>
      <c r="C1268" s="43" t="s">
        <v>1643</v>
      </c>
      <c r="D1268" s="43">
        <v>4203090</v>
      </c>
      <c r="E1268" t="s">
        <v>192</v>
      </c>
      <c r="F1268" s="47" t="str">
        <f>+Centro_Cuenta8[[#This Row],[Codigo Centro Gestion]]&amp;" - "&amp;Centro_Cuenta8[[#This Row],[Nombre Centro Gestion]]</f>
        <v>10233301 - Condominio Jorge Cáceres Etapa 1-GAF</v>
      </c>
      <c r="G1268" s="47" t="str">
        <f>+Centro_Cuenta8[[#This Row],[Código Cuenta Contable]]&amp;" - "&amp;Centro_Cuenta8[[#This Row],[Nombre de Cuenta Contable]]</f>
        <v>4203090 - Gastos Legales Y Notariales Proyecto</v>
      </c>
      <c r="H1268" s="146" t="str">
        <f>+VLOOKUP(D1268,'3. Cuentas'!A:F,6,0)</f>
        <v>SI</v>
      </c>
    </row>
    <row r="1269" spans="1:8" x14ac:dyDescent="0.25">
      <c r="A1269" s="43">
        <v>10233301</v>
      </c>
      <c r="B1269" t="s">
        <v>1115</v>
      </c>
      <c r="C1269" s="43" t="s">
        <v>1643</v>
      </c>
      <c r="D1269" s="43">
        <v>4203140</v>
      </c>
      <c r="E1269" t="s">
        <v>109</v>
      </c>
      <c r="F1269" s="47" t="str">
        <f>+Centro_Cuenta8[[#This Row],[Codigo Centro Gestion]]&amp;" - "&amp;Centro_Cuenta8[[#This Row],[Nombre Centro Gestion]]</f>
        <v>10233301 - Condominio Jorge Cáceres Etapa 1-GAF</v>
      </c>
      <c r="G1269" s="47" t="str">
        <f>+Centro_Cuenta8[[#This Row],[Código Cuenta Contable]]&amp;" - "&amp;Centro_Cuenta8[[#This Row],[Nombre de Cuenta Contable]]</f>
        <v>4203140 - Contribuciones</v>
      </c>
      <c r="H1269" s="146" t="str">
        <f>+VLOOKUP(D1269,'3. Cuentas'!A:F,6,0)</f>
        <v>SI</v>
      </c>
    </row>
    <row r="1270" spans="1:8" x14ac:dyDescent="0.25">
      <c r="A1270" s="43">
        <v>10233506</v>
      </c>
      <c r="B1270" t="s">
        <v>1117</v>
      </c>
      <c r="C1270" s="43" t="s">
        <v>200</v>
      </c>
      <c r="D1270" s="43">
        <v>1115100</v>
      </c>
      <c r="E1270" t="s">
        <v>292</v>
      </c>
      <c r="F1270" s="47" t="str">
        <f>+Centro_Cuenta8[[#This Row],[Codigo Centro Gestion]]&amp;" - "&amp;Centro_Cuenta8[[#This Row],[Nombre Centro Gestion]]</f>
        <v>10233506 - Condominio Jorge Cáceres Etapa 1-Depto.Técnico</v>
      </c>
      <c r="G1270" s="47" t="str">
        <f>+Centro_Cuenta8[[#This Row],[Código Cuenta Contable]]&amp;" - "&amp;Centro_Cuenta8[[#This Row],[Nombre de Cuenta Contable]]</f>
        <v>1115100 - Proyectos Y Especialidades</v>
      </c>
      <c r="H1270" s="146" t="str">
        <f>+VLOOKUP(D1270,'3. Cuentas'!A:F,6,0)</f>
        <v>SI</v>
      </c>
    </row>
    <row r="1271" spans="1:8" x14ac:dyDescent="0.25">
      <c r="A1271" s="43">
        <v>10234102</v>
      </c>
      <c r="B1271" t="s">
        <v>1118</v>
      </c>
      <c r="C1271" s="43" t="s">
        <v>1617</v>
      </c>
      <c r="D1271" s="43">
        <v>4204010</v>
      </c>
      <c r="E1271" t="s">
        <v>313</v>
      </c>
      <c r="F1271" s="47" t="str">
        <f>+Centro_Cuenta8[[#This Row],[Codigo Centro Gestion]]&amp;" - "&amp;Centro_Cuenta8[[#This Row],[Nombre Centro Gestion]]</f>
        <v>10234102 - Edificio La Coruña-Marketing</v>
      </c>
      <c r="G1271" s="47" t="str">
        <f>+Centro_Cuenta8[[#This Row],[Código Cuenta Contable]]&amp;" - "&amp;Centro_Cuenta8[[#This Row],[Nombre de Cuenta Contable]]</f>
        <v>4204010 - Publicidad Punto Venta</v>
      </c>
      <c r="H1271" s="146" t="str">
        <f>+VLOOKUP(D1271,'3. Cuentas'!A:F,6,0)</f>
        <v>SI</v>
      </c>
    </row>
    <row r="1272" spans="1:8" x14ac:dyDescent="0.25">
      <c r="A1272" s="43">
        <v>10234102</v>
      </c>
      <c r="B1272" t="s">
        <v>1118</v>
      </c>
      <c r="C1272" s="43" t="s">
        <v>1617</v>
      </c>
      <c r="D1272" s="43">
        <v>4204021</v>
      </c>
      <c r="E1272" t="s">
        <v>329</v>
      </c>
      <c r="F1272" s="47" t="str">
        <f>+Centro_Cuenta8[[#This Row],[Codigo Centro Gestion]]&amp;" - "&amp;Centro_Cuenta8[[#This Row],[Nombre Centro Gestion]]</f>
        <v>10234102 - Edificio La Coruña-Marketing</v>
      </c>
      <c r="G1272" s="47" t="str">
        <f>+Centro_Cuenta8[[#This Row],[Código Cuenta Contable]]&amp;" - "&amp;Centro_Cuenta8[[#This Row],[Nombre de Cuenta Contable]]</f>
        <v>4204021 - Publicidad Ferias Y Eventos</v>
      </c>
      <c r="H1272" s="146" t="str">
        <f>+VLOOKUP(D1272,'3. Cuentas'!A:F,6,0)</f>
        <v>SI</v>
      </c>
    </row>
    <row r="1273" spans="1:8" x14ac:dyDescent="0.25">
      <c r="A1273" s="43">
        <v>10234103</v>
      </c>
      <c r="B1273" t="s">
        <v>1119</v>
      </c>
      <c r="C1273" s="43" t="s">
        <v>1618</v>
      </c>
      <c r="D1273" s="43">
        <v>4203060</v>
      </c>
      <c r="E1273" t="s">
        <v>321</v>
      </c>
      <c r="F1273" s="47" t="str">
        <f>+Centro_Cuenta8[[#This Row],[Codigo Centro Gestion]]&amp;" - "&amp;Centro_Cuenta8[[#This Row],[Nombre Centro Gestion]]</f>
        <v>10234103 - Edificio La Coruña-Operaciones</v>
      </c>
      <c r="G1273" s="47" t="str">
        <f>+Centro_Cuenta8[[#This Row],[Código Cuenta Contable]]&amp;" - "&amp;Centro_Cuenta8[[#This Row],[Nombre de Cuenta Contable]]</f>
        <v>4203060 - Gastos Operacionales De Clientes</v>
      </c>
      <c r="H1273" s="146" t="str">
        <f>+VLOOKUP(D1273,'3. Cuentas'!A:F,6,0)</f>
        <v>SI</v>
      </c>
    </row>
    <row r="1274" spans="1:8" x14ac:dyDescent="0.25">
      <c r="A1274" s="43">
        <v>10234103</v>
      </c>
      <c r="B1274" t="s">
        <v>1119</v>
      </c>
      <c r="C1274" s="43" t="s">
        <v>1618</v>
      </c>
      <c r="D1274" s="43">
        <v>4203090</v>
      </c>
      <c r="E1274" t="s">
        <v>192</v>
      </c>
      <c r="F1274" s="47" t="str">
        <f>+Centro_Cuenta8[[#This Row],[Codigo Centro Gestion]]&amp;" - "&amp;Centro_Cuenta8[[#This Row],[Nombre Centro Gestion]]</f>
        <v>10234103 - Edificio La Coruña-Operaciones</v>
      </c>
      <c r="G1274" s="47" t="str">
        <f>+Centro_Cuenta8[[#This Row],[Código Cuenta Contable]]&amp;" - "&amp;Centro_Cuenta8[[#This Row],[Nombre de Cuenta Contable]]</f>
        <v>4203090 - Gastos Legales Y Notariales Proyecto</v>
      </c>
      <c r="H1274" s="146" t="str">
        <f>+VLOOKUP(D1274,'3. Cuentas'!A:F,6,0)</f>
        <v>SI</v>
      </c>
    </row>
    <row r="1275" spans="1:8" x14ac:dyDescent="0.25">
      <c r="A1275" s="43">
        <v>10234104</v>
      </c>
      <c r="B1275" t="s">
        <v>1120</v>
      </c>
      <c r="C1275" s="43" t="s">
        <v>90</v>
      </c>
      <c r="D1275" s="43">
        <v>1110040</v>
      </c>
      <c r="E1275" t="s">
        <v>1505</v>
      </c>
      <c r="F1275" s="47" t="str">
        <f>+Centro_Cuenta8[[#This Row],[Codigo Centro Gestion]]&amp;" - "&amp;Centro_Cuenta8[[#This Row],[Nombre Centro Gestion]]</f>
        <v>10234104 - Edificio La Coruña-Ventas</v>
      </c>
      <c r="G1275" s="47" t="str">
        <f>+Centro_Cuenta8[[#This Row],[Código Cuenta Contable]]&amp;" - "&amp;Centro_Cuenta8[[#This Row],[Nombre de Cuenta Contable]]</f>
        <v>1110040 - Garantía Pagadas</v>
      </c>
      <c r="H1275" s="146" t="str">
        <f>+VLOOKUP(D1275,'3. Cuentas'!A:F,6,0)</f>
        <v>SI</v>
      </c>
    </row>
    <row r="1276" spans="1:8" x14ac:dyDescent="0.25">
      <c r="A1276" s="43">
        <v>10234104</v>
      </c>
      <c r="B1276" t="s">
        <v>1120</v>
      </c>
      <c r="C1276" s="43" t="s">
        <v>90</v>
      </c>
      <c r="D1276" s="43">
        <v>4202003</v>
      </c>
      <c r="E1276" t="s">
        <v>106</v>
      </c>
      <c r="F1276" s="47" t="str">
        <f>+Centro_Cuenta8[[#This Row],[Codigo Centro Gestion]]&amp;" - "&amp;Centro_Cuenta8[[#This Row],[Nombre Centro Gestion]]</f>
        <v>10234104 - Edificio La Coruña-Ventas</v>
      </c>
      <c r="G1276" s="47" t="str">
        <f>+Centro_Cuenta8[[#This Row],[Código Cuenta Contable]]&amp;" - "&amp;Centro_Cuenta8[[#This Row],[Nombre de Cuenta Contable]]</f>
        <v>4202003 - Serv.Basic.Luz.Agua.Tel Of.C</v>
      </c>
      <c r="H1276" s="146" t="str">
        <f>+VLOOKUP(D1276,'3. Cuentas'!A:F,6,0)</f>
        <v>SI</v>
      </c>
    </row>
    <row r="1277" spans="1:8" x14ac:dyDescent="0.25">
      <c r="A1277" s="43">
        <v>10234104</v>
      </c>
      <c r="B1277" t="s">
        <v>1120</v>
      </c>
      <c r="C1277" s="43" t="s">
        <v>90</v>
      </c>
      <c r="D1277" s="43">
        <v>4202010</v>
      </c>
      <c r="E1277" t="s">
        <v>87</v>
      </c>
      <c r="F1277" s="47" t="str">
        <f>+Centro_Cuenta8[[#This Row],[Codigo Centro Gestion]]&amp;" - "&amp;Centro_Cuenta8[[#This Row],[Nombre Centro Gestion]]</f>
        <v>10234104 - Edificio La Coruña-Ventas</v>
      </c>
      <c r="G1277" s="47" t="str">
        <f>+Centro_Cuenta8[[#This Row],[Código Cuenta Contable]]&amp;" - "&amp;Centro_Cuenta8[[#This Row],[Nombre de Cuenta Contable]]</f>
        <v>4202010 - Artic. Ofic. Fotocop.Papelería</v>
      </c>
      <c r="H1277" s="146" t="str">
        <f>+VLOOKUP(D1277,'3. Cuentas'!A:F,6,0)</f>
        <v>SI</v>
      </c>
    </row>
    <row r="1278" spans="1:8" x14ac:dyDescent="0.25">
      <c r="A1278" s="43">
        <v>10234104</v>
      </c>
      <c r="B1278" t="s">
        <v>1120</v>
      </c>
      <c r="C1278" s="43" t="s">
        <v>90</v>
      </c>
      <c r="D1278" s="43">
        <v>4202019</v>
      </c>
      <c r="E1278" t="s">
        <v>81</v>
      </c>
      <c r="F1278" s="47" t="str">
        <f>+Centro_Cuenta8[[#This Row],[Codigo Centro Gestion]]&amp;" - "&amp;Centro_Cuenta8[[#This Row],[Nombre Centro Gestion]]</f>
        <v>10234104 - Edificio La Coruña-Ventas</v>
      </c>
      <c r="G1278" s="47" t="str">
        <f>+Centro_Cuenta8[[#This Row],[Código Cuenta Contable]]&amp;" - "&amp;Centro_Cuenta8[[#This Row],[Nombre de Cuenta Contable]]</f>
        <v>4202019 - Gasto General Oficina</v>
      </c>
      <c r="H1278" s="146" t="str">
        <f>+VLOOKUP(D1278,'3. Cuentas'!A:F,6,0)</f>
        <v>SI</v>
      </c>
    </row>
    <row r="1279" spans="1:8" x14ac:dyDescent="0.25">
      <c r="A1279" s="43">
        <v>10234104</v>
      </c>
      <c r="B1279" t="s">
        <v>1120</v>
      </c>
      <c r="C1279" s="43" t="s">
        <v>90</v>
      </c>
      <c r="D1279" s="43">
        <v>4202023</v>
      </c>
      <c r="E1279" t="s">
        <v>82</v>
      </c>
      <c r="F1279" s="47" t="str">
        <f>+Centro_Cuenta8[[#This Row],[Codigo Centro Gestion]]&amp;" - "&amp;Centro_Cuenta8[[#This Row],[Nombre Centro Gestion]]</f>
        <v>10234104 - Edificio La Coruña-Ventas</v>
      </c>
      <c r="G1279" s="47" t="str">
        <f>+Centro_Cuenta8[[#This Row],[Código Cuenta Contable]]&amp;" - "&amp;Centro_Cuenta8[[#This Row],[Nombre de Cuenta Contable]]</f>
        <v>4202023 - Honorarios Por Asesorías</v>
      </c>
      <c r="H1279" s="146" t="str">
        <f>+VLOOKUP(D1279,'3. Cuentas'!A:F,6,0)</f>
        <v>SI</v>
      </c>
    </row>
    <row r="1280" spans="1:8" x14ac:dyDescent="0.25">
      <c r="A1280" s="43">
        <v>10234104</v>
      </c>
      <c r="B1280" t="s">
        <v>1120</v>
      </c>
      <c r="C1280" s="43" t="s">
        <v>90</v>
      </c>
      <c r="D1280" s="43">
        <v>4202029</v>
      </c>
      <c r="E1280" t="s">
        <v>83</v>
      </c>
      <c r="F1280" s="47" t="str">
        <f>+Centro_Cuenta8[[#This Row],[Codigo Centro Gestion]]&amp;" - "&amp;Centro_Cuenta8[[#This Row],[Nombre Centro Gestion]]</f>
        <v>10234104 - Edificio La Coruña-Ventas</v>
      </c>
      <c r="G1280" s="47" t="str">
        <f>+Centro_Cuenta8[[#This Row],[Código Cuenta Contable]]&amp;" - "&amp;Centro_Cuenta8[[#This Row],[Nombre de Cuenta Contable]]</f>
        <v>4202029 - Insumos Y Gastos Informáticos</v>
      </c>
      <c r="H1280" s="146" t="str">
        <f>+VLOOKUP(D1280,'3. Cuentas'!A:F,6,0)</f>
        <v>SI</v>
      </c>
    </row>
    <row r="1281" spans="1:8" x14ac:dyDescent="0.25">
      <c r="A1281" s="43">
        <v>10234104</v>
      </c>
      <c r="B1281" t="s">
        <v>1120</v>
      </c>
      <c r="C1281" s="43" t="s">
        <v>90</v>
      </c>
      <c r="D1281" s="43">
        <v>4204021</v>
      </c>
      <c r="E1281" t="s">
        <v>329</v>
      </c>
      <c r="F1281" s="47" t="str">
        <f>+Centro_Cuenta8[[#This Row],[Codigo Centro Gestion]]&amp;" - "&amp;Centro_Cuenta8[[#This Row],[Nombre Centro Gestion]]</f>
        <v>10234104 - Edificio La Coruña-Ventas</v>
      </c>
      <c r="G1281" s="47" t="str">
        <f>+Centro_Cuenta8[[#This Row],[Código Cuenta Contable]]&amp;" - "&amp;Centro_Cuenta8[[#This Row],[Nombre de Cuenta Contable]]</f>
        <v>4204021 - Publicidad Ferias Y Eventos</v>
      </c>
      <c r="H1281" s="146" t="str">
        <f>+VLOOKUP(D1281,'3. Cuentas'!A:F,6,0)</f>
        <v>SI</v>
      </c>
    </row>
    <row r="1282" spans="1:8" x14ac:dyDescent="0.25">
      <c r="A1282" s="43">
        <v>10234105</v>
      </c>
      <c r="B1282" t="s">
        <v>1121</v>
      </c>
      <c r="C1282" s="43" t="s">
        <v>1622</v>
      </c>
      <c r="D1282" s="43">
        <v>4203020</v>
      </c>
      <c r="E1282" t="s">
        <v>295</v>
      </c>
      <c r="F1282" s="47" t="str">
        <f>+Centro_Cuenta8[[#This Row],[Codigo Centro Gestion]]&amp;" - "&amp;Centro_Cuenta8[[#This Row],[Nombre Centro Gestion]]</f>
        <v>10234105 - Edificio La Coruña-Clientes</v>
      </c>
      <c r="G1282" s="47" t="str">
        <f>+Centro_Cuenta8[[#This Row],[Código Cuenta Contable]]&amp;" - "&amp;Centro_Cuenta8[[#This Row],[Nombre de Cuenta Contable]]</f>
        <v>4203020 - Mant. y Consum. Viv Stock</v>
      </c>
      <c r="H1282" s="146" t="str">
        <f>+VLOOKUP(D1282,'3. Cuentas'!A:F,6,0)</f>
        <v>SI</v>
      </c>
    </row>
    <row r="1283" spans="1:8" x14ac:dyDescent="0.25">
      <c r="A1283" s="43">
        <v>10234105</v>
      </c>
      <c r="B1283" t="s">
        <v>1121</v>
      </c>
      <c r="C1283" s="43" t="s">
        <v>1622</v>
      </c>
      <c r="D1283" s="43">
        <v>4203120</v>
      </c>
      <c r="E1283" t="s">
        <v>108</v>
      </c>
      <c r="F1283" s="47" t="str">
        <f>+Centro_Cuenta8[[#This Row],[Codigo Centro Gestion]]&amp;" - "&amp;Centro_Cuenta8[[#This Row],[Nombre Centro Gestion]]</f>
        <v>10234105 - Edificio La Coruña-Clientes</v>
      </c>
      <c r="G1283" s="47" t="str">
        <f>+Centro_Cuenta8[[#This Row],[Código Cuenta Contable]]&amp;" - "&amp;Centro_Cuenta8[[#This Row],[Nombre de Cuenta Contable]]</f>
        <v>4203120 - Gastos Comunes</v>
      </c>
      <c r="H1283" s="146" t="str">
        <f>+VLOOKUP(D1283,'3. Cuentas'!A:F,6,0)</f>
        <v>SI</v>
      </c>
    </row>
    <row r="1284" spans="1:8" x14ac:dyDescent="0.25">
      <c r="A1284" s="43">
        <v>10234105</v>
      </c>
      <c r="B1284" t="s">
        <v>1121</v>
      </c>
      <c r="C1284" s="43" t="s">
        <v>1622</v>
      </c>
      <c r="D1284" s="43">
        <v>4203140</v>
      </c>
      <c r="E1284" t="s">
        <v>109</v>
      </c>
      <c r="F1284" s="47" t="str">
        <f>+Centro_Cuenta8[[#This Row],[Codigo Centro Gestion]]&amp;" - "&amp;Centro_Cuenta8[[#This Row],[Nombre Centro Gestion]]</f>
        <v>10234105 - Edificio La Coruña-Clientes</v>
      </c>
      <c r="G1284" s="47" t="str">
        <f>+Centro_Cuenta8[[#This Row],[Código Cuenta Contable]]&amp;" - "&amp;Centro_Cuenta8[[#This Row],[Nombre de Cuenta Contable]]</f>
        <v>4203140 - Contribuciones</v>
      </c>
      <c r="H1284" s="146" t="str">
        <f>+VLOOKUP(D1284,'3. Cuentas'!A:F,6,0)</f>
        <v>SI</v>
      </c>
    </row>
    <row r="1285" spans="1:8" x14ac:dyDescent="0.25">
      <c r="A1285" s="43">
        <v>10234204</v>
      </c>
      <c r="B1285" t="s">
        <v>1122</v>
      </c>
      <c r="C1285" s="43" t="s">
        <v>1624</v>
      </c>
      <c r="D1285" s="43">
        <v>1103045</v>
      </c>
      <c r="E1285" t="s">
        <v>323</v>
      </c>
      <c r="F1285" s="47" t="str">
        <f>+Centro_Cuenta8[[#This Row],[Codigo Centro Gestion]]&amp;" - "&amp;Centro_Cuenta8[[#This Row],[Nombre Centro Gestion]]</f>
        <v>10234204 - Edificio La Coruña-Proyecto</v>
      </c>
      <c r="G1285" s="47" t="str">
        <f>+Centro_Cuenta8[[#This Row],[Código Cuenta Contable]]&amp;" - "&amp;Centro_Cuenta8[[#This Row],[Nombre de Cuenta Contable]]</f>
        <v>1103045 - Aportes reembolsables (electricidad y agua)</v>
      </c>
      <c r="H1285" s="146" t="str">
        <f>+VLOOKUP(D1285,'3. Cuentas'!A:F,6,0)</f>
        <v>SI</v>
      </c>
    </row>
    <row r="1286" spans="1:8" x14ac:dyDescent="0.25">
      <c r="A1286" s="43">
        <v>10234204</v>
      </c>
      <c r="B1286" t="s">
        <v>1122</v>
      </c>
      <c r="C1286" s="43" t="s">
        <v>1624</v>
      </c>
      <c r="D1286" s="43">
        <v>1109020</v>
      </c>
      <c r="E1286" t="s">
        <v>302</v>
      </c>
      <c r="F1286" s="47" t="str">
        <f>+Centro_Cuenta8[[#This Row],[Codigo Centro Gestion]]&amp;" - "&amp;Centro_Cuenta8[[#This Row],[Nombre Centro Gestion]]</f>
        <v>10234204 - Edificio La Coruña-Proyecto</v>
      </c>
      <c r="G1286" s="47" t="str">
        <f>+Centro_Cuenta8[[#This Row],[Código Cuenta Contable]]&amp;" - "&amp;Centro_Cuenta8[[#This Row],[Nombre de Cuenta Contable]]</f>
        <v>1109020 - Mobiliario</v>
      </c>
      <c r="H1286" s="146" t="str">
        <f>+VLOOKUP(D1286,'3. Cuentas'!A:F,6,0)</f>
        <v>SI</v>
      </c>
    </row>
    <row r="1287" spans="1:8" x14ac:dyDescent="0.25">
      <c r="A1287" s="43">
        <v>10234204</v>
      </c>
      <c r="B1287" t="s">
        <v>1122</v>
      </c>
      <c r="C1287" s="43" t="s">
        <v>1624</v>
      </c>
      <c r="D1287" s="43">
        <v>1110040</v>
      </c>
      <c r="E1287" t="s">
        <v>1505</v>
      </c>
      <c r="F1287" s="47" t="str">
        <f>+Centro_Cuenta8[[#This Row],[Codigo Centro Gestion]]&amp;" - "&amp;Centro_Cuenta8[[#This Row],[Nombre Centro Gestion]]</f>
        <v>10234204 - Edificio La Coruña-Proyecto</v>
      </c>
      <c r="G1287" s="47" t="str">
        <f>+Centro_Cuenta8[[#This Row],[Código Cuenta Contable]]&amp;" - "&amp;Centro_Cuenta8[[#This Row],[Nombre de Cuenta Contable]]</f>
        <v>1110040 - Garantía Pagadas</v>
      </c>
      <c r="H1287" s="146" t="str">
        <f>+VLOOKUP(D1287,'3. Cuentas'!A:F,6,0)</f>
        <v>SI</v>
      </c>
    </row>
    <row r="1288" spans="1:8" x14ac:dyDescent="0.25">
      <c r="A1288" s="43">
        <v>10234204</v>
      </c>
      <c r="B1288" t="s">
        <v>1122</v>
      </c>
      <c r="C1288" s="43" t="s">
        <v>1624</v>
      </c>
      <c r="D1288" s="43">
        <v>1115040</v>
      </c>
      <c r="E1288" t="s">
        <v>291</v>
      </c>
      <c r="F1288" s="47" t="str">
        <f>+Centro_Cuenta8[[#This Row],[Codigo Centro Gestion]]&amp;" - "&amp;Centro_Cuenta8[[#This Row],[Nombre Centro Gestion]]</f>
        <v>10234204 - Edificio La Coruña-Proyecto</v>
      </c>
      <c r="G1288" s="47" t="str">
        <f>+Centro_Cuenta8[[#This Row],[Código Cuenta Contable]]&amp;" - "&amp;Centro_Cuenta8[[#This Row],[Nombre de Cuenta Contable]]</f>
        <v>1115040 - Saneamiento De Terreno</v>
      </c>
      <c r="H1288" s="146" t="str">
        <f>+VLOOKUP(D1288,'3. Cuentas'!A:F,6,0)</f>
        <v>SI</v>
      </c>
    </row>
    <row r="1289" spans="1:8" x14ac:dyDescent="0.25">
      <c r="A1289" s="43">
        <v>10234204</v>
      </c>
      <c r="B1289" t="s">
        <v>1122</v>
      </c>
      <c r="C1289" s="43" t="s">
        <v>1624</v>
      </c>
      <c r="D1289" s="43">
        <v>1115050</v>
      </c>
      <c r="E1289" t="s">
        <v>1628</v>
      </c>
      <c r="F1289" s="47" t="str">
        <f>+Centro_Cuenta8[[#This Row],[Codigo Centro Gestion]]&amp;" - "&amp;Centro_Cuenta8[[#This Row],[Nombre Centro Gestion]]</f>
        <v>10234204 - Edificio La Coruña-Proyecto</v>
      </c>
      <c r="G1289" s="47" t="str">
        <f>+Centro_Cuenta8[[#This Row],[Código Cuenta Contable]]&amp;" - "&amp;Centro_Cuenta8[[#This Row],[Nombre de Cuenta Contable]]</f>
        <v>1115050 - Demolición</v>
      </c>
      <c r="H1289" s="146" t="str">
        <f>+VLOOKUP(D1289,'3. Cuentas'!A:F,6,0)</f>
        <v>SI</v>
      </c>
    </row>
    <row r="1290" spans="1:8" x14ac:dyDescent="0.25">
      <c r="A1290" s="43">
        <v>10234204</v>
      </c>
      <c r="B1290" t="s">
        <v>1122</v>
      </c>
      <c r="C1290" s="43" t="s">
        <v>1624</v>
      </c>
      <c r="D1290" s="43">
        <v>1115100</v>
      </c>
      <c r="E1290" t="s">
        <v>292</v>
      </c>
      <c r="F1290" s="47" t="str">
        <f>+Centro_Cuenta8[[#This Row],[Codigo Centro Gestion]]&amp;" - "&amp;Centro_Cuenta8[[#This Row],[Nombre Centro Gestion]]</f>
        <v>10234204 - Edificio La Coruña-Proyecto</v>
      </c>
      <c r="G1290" s="47" t="str">
        <f>+Centro_Cuenta8[[#This Row],[Código Cuenta Contable]]&amp;" - "&amp;Centro_Cuenta8[[#This Row],[Nombre de Cuenta Contable]]</f>
        <v>1115100 - Proyectos Y Especialidades</v>
      </c>
      <c r="H1290" s="146" t="str">
        <f>+VLOOKUP(D1290,'3. Cuentas'!A:F,6,0)</f>
        <v>SI</v>
      </c>
    </row>
    <row r="1291" spans="1:8" x14ac:dyDescent="0.25">
      <c r="A1291" s="43">
        <v>10234204</v>
      </c>
      <c r="B1291" t="s">
        <v>1122</v>
      </c>
      <c r="C1291" s="43" t="s">
        <v>1624</v>
      </c>
      <c r="D1291" s="43">
        <v>1115120</v>
      </c>
      <c r="E1291" t="s">
        <v>1633</v>
      </c>
      <c r="F1291" s="47" t="str">
        <f>+Centro_Cuenta8[[#This Row],[Codigo Centro Gestion]]&amp;" - "&amp;Centro_Cuenta8[[#This Row],[Nombre Centro Gestion]]</f>
        <v>10234204 - Edificio La Coruña-Proyecto</v>
      </c>
      <c r="G1291" s="47" t="str">
        <f>+Centro_Cuenta8[[#This Row],[Código Cuenta Contable]]&amp;" - "&amp;Centro_Cuenta8[[#This Row],[Nombre de Cuenta Contable]]</f>
        <v>1115120 - Instalación Empalmes</v>
      </c>
      <c r="H1291" s="146" t="str">
        <f>+VLOOKUP(D1291,'3. Cuentas'!A:F,6,0)</f>
        <v>SI</v>
      </c>
    </row>
    <row r="1292" spans="1:8" x14ac:dyDescent="0.25">
      <c r="A1292" s="43">
        <v>10234204</v>
      </c>
      <c r="B1292" t="s">
        <v>1122</v>
      </c>
      <c r="C1292" s="43" t="s">
        <v>1624</v>
      </c>
      <c r="D1292" s="43">
        <v>1115170</v>
      </c>
      <c r="E1292" t="s">
        <v>293</v>
      </c>
      <c r="F1292" s="47" t="str">
        <f>+Centro_Cuenta8[[#This Row],[Codigo Centro Gestion]]&amp;" - "&amp;Centro_Cuenta8[[#This Row],[Nombre Centro Gestion]]</f>
        <v>10234204 - Edificio La Coruña-Proyecto</v>
      </c>
      <c r="G1292" s="47" t="str">
        <f>+Centro_Cuenta8[[#This Row],[Código Cuenta Contable]]&amp;" - "&amp;Centro_Cuenta8[[#This Row],[Nombre de Cuenta Contable]]</f>
        <v>1115170 - Permisos Y Otros Gastos Municipales</v>
      </c>
      <c r="H1292" s="146" t="str">
        <f>+VLOOKUP(D1292,'3. Cuentas'!A:F,6,0)</f>
        <v>SI</v>
      </c>
    </row>
    <row r="1293" spans="1:8" x14ac:dyDescent="0.25">
      <c r="A1293" s="43">
        <v>10234204</v>
      </c>
      <c r="B1293" t="s">
        <v>1122</v>
      </c>
      <c r="C1293" s="43" t="s">
        <v>1624</v>
      </c>
      <c r="D1293" s="43">
        <v>1115240</v>
      </c>
      <c r="E1293" t="s">
        <v>294</v>
      </c>
      <c r="F1293" s="47" t="str">
        <f>+Centro_Cuenta8[[#This Row],[Codigo Centro Gestion]]&amp;" - "&amp;Centro_Cuenta8[[#This Row],[Nombre Centro Gestion]]</f>
        <v>10234204 - Edificio La Coruña-Proyecto</v>
      </c>
      <c r="G1293" s="47" t="str">
        <f>+Centro_Cuenta8[[#This Row],[Código Cuenta Contable]]&amp;" - "&amp;Centro_Cuenta8[[#This Row],[Nombre de Cuenta Contable]]</f>
        <v>1115240 - Estudios Y Asesorias Técnicas</v>
      </c>
      <c r="H1293" s="146" t="str">
        <f>+VLOOKUP(D1293,'3. Cuentas'!A:F,6,0)</f>
        <v>SI</v>
      </c>
    </row>
    <row r="1294" spans="1:8" x14ac:dyDescent="0.25">
      <c r="A1294" s="43">
        <v>10234204</v>
      </c>
      <c r="B1294" t="s">
        <v>1122</v>
      </c>
      <c r="C1294" s="43" t="s">
        <v>1624</v>
      </c>
      <c r="D1294" s="43">
        <v>4203090</v>
      </c>
      <c r="E1294" t="s">
        <v>192</v>
      </c>
      <c r="F1294" s="47" t="str">
        <f>+Centro_Cuenta8[[#This Row],[Codigo Centro Gestion]]&amp;" - "&amp;Centro_Cuenta8[[#This Row],[Nombre Centro Gestion]]</f>
        <v>10234204 - Edificio La Coruña-Proyecto</v>
      </c>
      <c r="G1294" s="47" t="str">
        <f>+Centro_Cuenta8[[#This Row],[Código Cuenta Contable]]&amp;" - "&amp;Centro_Cuenta8[[#This Row],[Nombre de Cuenta Contable]]</f>
        <v>4203090 - Gastos Legales Y Notariales Proyecto</v>
      </c>
      <c r="H1294" s="146" t="str">
        <f>+VLOOKUP(D1294,'3. Cuentas'!A:F,6,0)</f>
        <v>SI</v>
      </c>
    </row>
    <row r="1295" spans="1:8" x14ac:dyDescent="0.25">
      <c r="A1295" s="43">
        <v>10234204</v>
      </c>
      <c r="B1295" t="s">
        <v>1122</v>
      </c>
      <c r="C1295" s="43" t="s">
        <v>1624</v>
      </c>
      <c r="D1295" s="43">
        <v>4203140</v>
      </c>
      <c r="E1295" t="s">
        <v>109</v>
      </c>
      <c r="F1295" s="47" t="str">
        <f>+Centro_Cuenta8[[#This Row],[Codigo Centro Gestion]]&amp;" - "&amp;Centro_Cuenta8[[#This Row],[Nombre Centro Gestion]]</f>
        <v>10234204 - Edificio La Coruña-Proyecto</v>
      </c>
      <c r="G1295" s="47" t="str">
        <f>+Centro_Cuenta8[[#This Row],[Código Cuenta Contable]]&amp;" - "&amp;Centro_Cuenta8[[#This Row],[Nombre de Cuenta Contable]]</f>
        <v>4203140 - Contribuciones</v>
      </c>
      <c r="H1295" s="146" t="str">
        <f>+VLOOKUP(D1295,'3. Cuentas'!A:F,6,0)</f>
        <v>SI</v>
      </c>
    </row>
    <row r="1296" spans="1:8" x14ac:dyDescent="0.25">
      <c r="A1296" s="43">
        <v>10234204</v>
      </c>
      <c r="B1296" t="s">
        <v>1122</v>
      </c>
      <c r="C1296" s="43" t="s">
        <v>1624</v>
      </c>
      <c r="D1296" s="43">
        <v>4203150</v>
      </c>
      <c r="E1296" t="s">
        <v>156</v>
      </c>
      <c r="F1296" s="47" t="str">
        <f>+Centro_Cuenta8[[#This Row],[Codigo Centro Gestion]]&amp;" - "&amp;Centro_Cuenta8[[#This Row],[Nombre Centro Gestion]]</f>
        <v>10234204 - Edificio La Coruña-Proyecto</v>
      </c>
      <c r="G1296" s="47" t="str">
        <f>+Centro_Cuenta8[[#This Row],[Código Cuenta Contable]]&amp;" - "&amp;Centro_Cuenta8[[#This Row],[Nombre de Cuenta Contable]]</f>
        <v>4203150 - Gastos CBR</v>
      </c>
      <c r="H1296" s="146" t="str">
        <f>+VLOOKUP(D1296,'3. Cuentas'!A:F,6,0)</f>
        <v>SI</v>
      </c>
    </row>
    <row r="1297" spans="1:8" x14ac:dyDescent="0.25">
      <c r="A1297" s="43">
        <v>10234204</v>
      </c>
      <c r="B1297" t="s">
        <v>1122</v>
      </c>
      <c r="C1297" s="43" t="s">
        <v>1624</v>
      </c>
      <c r="D1297" s="43">
        <v>4203160</v>
      </c>
      <c r="E1297" t="s">
        <v>1639</v>
      </c>
      <c r="F1297" s="47" t="str">
        <f>+Centro_Cuenta8[[#This Row],[Codigo Centro Gestion]]&amp;" - "&amp;Centro_Cuenta8[[#This Row],[Nombre Centro Gestion]]</f>
        <v>10234204 - Edificio La Coruña-Proyecto</v>
      </c>
      <c r="G1297" s="47" t="str">
        <f>+Centro_Cuenta8[[#This Row],[Código Cuenta Contable]]&amp;" - "&amp;Centro_Cuenta8[[#This Row],[Nombre de Cuenta Contable]]</f>
        <v>4203160 - PAPELERIA Y FOTOCOPIADO</v>
      </c>
      <c r="H1297" s="146" t="str">
        <f>+VLOOKUP(D1297,'3. Cuentas'!A:F,6,0)</f>
        <v>SI</v>
      </c>
    </row>
    <row r="1298" spans="1:8" x14ac:dyDescent="0.25">
      <c r="A1298" s="43">
        <v>10234204</v>
      </c>
      <c r="B1298" t="s">
        <v>1122</v>
      </c>
      <c r="C1298" s="43" t="s">
        <v>1624</v>
      </c>
      <c r="D1298" s="43">
        <v>4203180</v>
      </c>
      <c r="E1298" t="s">
        <v>1640</v>
      </c>
      <c r="F1298" s="47" t="str">
        <f>+Centro_Cuenta8[[#This Row],[Codigo Centro Gestion]]&amp;" - "&amp;Centro_Cuenta8[[#This Row],[Nombre Centro Gestion]]</f>
        <v>10234204 - Edificio La Coruña-Proyecto</v>
      </c>
      <c r="G1298" s="47" t="str">
        <f>+Centro_Cuenta8[[#This Row],[Código Cuenta Contable]]&amp;" - "&amp;Centro_Cuenta8[[#This Row],[Nombre de Cuenta Contable]]</f>
        <v>4203180 - Otros Gastos y Aseso Proy</v>
      </c>
      <c r="H1298" s="146" t="str">
        <f>+VLOOKUP(D1298,'3. Cuentas'!A:F,6,0)</f>
        <v>SI</v>
      </c>
    </row>
    <row r="1299" spans="1:8" x14ac:dyDescent="0.25">
      <c r="A1299" s="43">
        <v>10234301</v>
      </c>
      <c r="B1299" t="s">
        <v>1123</v>
      </c>
      <c r="C1299" s="43" t="s">
        <v>1643</v>
      </c>
      <c r="D1299" s="43">
        <v>4203090</v>
      </c>
      <c r="E1299" t="s">
        <v>192</v>
      </c>
      <c r="F1299" s="47" t="str">
        <f>+Centro_Cuenta8[[#This Row],[Codigo Centro Gestion]]&amp;" - "&amp;Centro_Cuenta8[[#This Row],[Nombre Centro Gestion]]</f>
        <v>10234301 - Edificio La Coruña-GAF</v>
      </c>
      <c r="G1299" s="47" t="str">
        <f>+Centro_Cuenta8[[#This Row],[Código Cuenta Contable]]&amp;" - "&amp;Centro_Cuenta8[[#This Row],[Nombre de Cuenta Contable]]</f>
        <v>4203090 - Gastos Legales Y Notariales Proyecto</v>
      </c>
      <c r="H1299" s="146" t="str">
        <f>+VLOOKUP(D1299,'3. Cuentas'!A:F,6,0)</f>
        <v>SI</v>
      </c>
    </row>
    <row r="1300" spans="1:8" x14ac:dyDescent="0.25">
      <c r="A1300" s="43">
        <v>10234301</v>
      </c>
      <c r="B1300" t="s">
        <v>1123</v>
      </c>
      <c r="C1300" s="43" t="s">
        <v>1643</v>
      </c>
      <c r="D1300" s="43">
        <v>4203140</v>
      </c>
      <c r="E1300" t="s">
        <v>109</v>
      </c>
      <c r="F1300" s="47" t="str">
        <f>+Centro_Cuenta8[[#This Row],[Codigo Centro Gestion]]&amp;" - "&amp;Centro_Cuenta8[[#This Row],[Nombre Centro Gestion]]</f>
        <v>10234301 - Edificio La Coruña-GAF</v>
      </c>
      <c r="G1300" s="47" t="str">
        <f>+Centro_Cuenta8[[#This Row],[Código Cuenta Contable]]&amp;" - "&amp;Centro_Cuenta8[[#This Row],[Nombre de Cuenta Contable]]</f>
        <v>4203140 - Contribuciones</v>
      </c>
      <c r="H1300" s="146" t="str">
        <f>+VLOOKUP(D1300,'3. Cuentas'!A:F,6,0)</f>
        <v>SI</v>
      </c>
    </row>
    <row r="1301" spans="1:8" x14ac:dyDescent="0.25">
      <c r="A1301" s="43">
        <v>10234506</v>
      </c>
      <c r="B1301" t="s">
        <v>1125</v>
      </c>
      <c r="C1301" s="43" t="s">
        <v>200</v>
      </c>
      <c r="D1301" s="43">
        <v>1115100</v>
      </c>
      <c r="E1301" t="s">
        <v>292</v>
      </c>
      <c r="F1301" s="47" t="str">
        <f>+Centro_Cuenta8[[#This Row],[Codigo Centro Gestion]]&amp;" - "&amp;Centro_Cuenta8[[#This Row],[Nombre Centro Gestion]]</f>
        <v>10234506 - Edificio La Coruña-Depto.Técnico</v>
      </c>
      <c r="G1301" s="47" t="str">
        <f>+Centro_Cuenta8[[#This Row],[Código Cuenta Contable]]&amp;" - "&amp;Centro_Cuenta8[[#This Row],[Nombre de Cuenta Contable]]</f>
        <v>1115100 - Proyectos Y Especialidades</v>
      </c>
      <c r="H1301" s="146" t="str">
        <f>+VLOOKUP(D1301,'3. Cuentas'!A:F,6,0)</f>
        <v>SI</v>
      </c>
    </row>
    <row r="1302" spans="1:8" x14ac:dyDescent="0.25">
      <c r="A1302" s="43">
        <v>10235102</v>
      </c>
      <c r="B1302" t="s">
        <v>1127</v>
      </c>
      <c r="C1302" s="43" t="s">
        <v>1617</v>
      </c>
      <c r="D1302" s="43">
        <v>4204010</v>
      </c>
      <c r="E1302" t="s">
        <v>313</v>
      </c>
      <c r="F1302" s="47" t="str">
        <f>+Centro_Cuenta8[[#This Row],[Codigo Centro Gestion]]&amp;" - "&amp;Centro_Cuenta8[[#This Row],[Nombre Centro Gestion]]</f>
        <v>10235102 - Vista del Valle III-Marketing</v>
      </c>
      <c r="G1302" s="47" t="str">
        <f>+Centro_Cuenta8[[#This Row],[Código Cuenta Contable]]&amp;" - "&amp;Centro_Cuenta8[[#This Row],[Nombre de Cuenta Contable]]</f>
        <v>4204010 - Publicidad Punto Venta</v>
      </c>
      <c r="H1302" s="146" t="str">
        <f>+VLOOKUP(D1302,'3. Cuentas'!A:F,6,0)</f>
        <v>SI</v>
      </c>
    </row>
    <row r="1303" spans="1:8" x14ac:dyDescent="0.25">
      <c r="A1303" s="43">
        <v>10235102</v>
      </c>
      <c r="B1303" t="s">
        <v>1127</v>
      </c>
      <c r="C1303" s="43" t="s">
        <v>1617</v>
      </c>
      <c r="D1303" s="43">
        <v>4204021</v>
      </c>
      <c r="E1303" t="s">
        <v>329</v>
      </c>
      <c r="F1303" s="47" t="str">
        <f>+Centro_Cuenta8[[#This Row],[Codigo Centro Gestion]]&amp;" - "&amp;Centro_Cuenta8[[#This Row],[Nombre Centro Gestion]]</f>
        <v>10235102 - Vista del Valle III-Marketing</v>
      </c>
      <c r="G1303" s="47" t="str">
        <f>+Centro_Cuenta8[[#This Row],[Código Cuenta Contable]]&amp;" - "&amp;Centro_Cuenta8[[#This Row],[Nombre de Cuenta Contable]]</f>
        <v>4204021 - Publicidad Ferias Y Eventos</v>
      </c>
      <c r="H1303" s="146" t="str">
        <f>+VLOOKUP(D1303,'3. Cuentas'!A:F,6,0)</f>
        <v>SI</v>
      </c>
    </row>
    <row r="1304" spans="1:8" x14ac:dyDescent="0.25">
      <c r="A1304" s="43">
        <v>10235103</v>
      </c>
      <c r="B1304" t="s">
        <v>1128</v>
      </c>
      <c r="C1304" s="43" t="s">
        <v>1618</v>
      </c>
      <c r="D1304" s="43">
        <v>4203060</v>
      </c>
      <c r="E1304" t="s">
        <v>321</v>
      </c>
      <c r="F1304" s="47" t="str">
        <f>+Centro_Cuenta8[[#This Row],[Codigo Centro Gestion]]&amp;" - "&amp;Centro_Cuenta8[[#This Row],[Nombre Centro Gestion]]</f>
        <v>10235103 - Vista del Valle III-Operaciones</v>
      </c>
      <c r="G1304" s="47" t="str">
        <f>+Centro_Cuenta8[[#This Row],[Código Cuenta Contable]]&amp;" - "&amp;Centro_Cuenta8[[#This Row],[Nombre de Cuenta Contable]]</f>
        <v>4203060 - Gastos Operacionales De Clientes</v>
      </c>
      <c r="H1304" s="146" t="str">
        <f>+VLOOKUP(D1304,'3. Cuentas'!A:F,6,0)</f>
        <v>SI</v>
      </c>
    </row>
    <row r="1305" spans="1:8" x14ac:dyDescent="0.25">
      <c r="A1305" s="43">
        <v>10235103</v>
      </c>
      <c r="B1305" t="s">
        <v>1128</v>
      </c>
      <c r="C1305" s="43" t="s">
        <v>1618</v>
      </c>
      <c r="D1305" s="43">
        <v>4203090</v>
      </c>
      <c r="E1305" t="s">
        <v>192</v>
      </c>
      <c r="F1305" s="47" t="str">
        <f>+Centro_Cuenta8[[#This Row],[Codigo Centro Gestion]]&amp;" - "&amp;Centro_Cuenta8[[#This Row],[Nombre Centro Gestion]]</f>
        <v>10235103 - Vista del Valle III-Operaciones</v>
      </c>
      <c r="G1305" s="47" t="str">
        <f>+Centro_Cuenta8[[#This Row],[Código Cuenta Contable]]&amp;" - "&amp;Centro_Cuenta8[[#This Row],[Nombre de Cuenta Contable]]</f>
        <v>4203090 - Gastos Legales Y Notariales Proyecto</v>
      </c>
      <c r="H1305" s="146" t="str">
        <f>+VLOOKUP(D1305,'3. Cuentas'!A:F,6,0)</f>
        <v>SI</v>
      </c>
    </row>
    <row r="1306" spans="1:8" x14ac:dyDescent="0.25">
      <c r="A1306" s="43">
        <v>10235104</v>
      </c>
      <c r="B1306" t="s">
        <v>1129</v>
      </c>
      <c r="C1306" s="43" t="s">
        <v>90</v>
      </c>
      <c r="D1306" s="43">
        <v>1110040</v>
      </c>
      <c r="E1306" t="s">
        <v>1505</v>
      </c>
      <c r="F1306" s="47" t="str">
        <f>+Centro_Cuenta8[[#This Row],[Codigo Centro Gestion]]&amp;" - "&amp;Centro_Cuenta8[[#This Row],[Nombre Centro Gestion]]</f>
        <v>10235104 - Vista del Valle III-Ventas</v>
      </c>
      <c r="G1306" s="47" t="str">
        <f>+Centro_Cuenta8[[#This Row],[Código Cuenta Contable]]&amp;" - "&amp;Centro_Cuenta8[[#This Row],[Nombre de Cuenta Contable]]</f>
        <v>1110040 - Garantía Pagadas</v>
      </c>
      <c r="H1306" s="146" t="str">
        <f>+VLOOKUP(D1306,'3. Cuentas'!A:F,6,0)</f>
        <v>SI</v>
      </c>
    </row>
    <row r="1307" spans="1:8" x14ac:dyDescent="0.25">
      <c r="A1307" s="43">
        <v>10235104</v>
      </c>
      <c r="B1307" t="s">
        <v>1129</v>
      </c>
      <c r="C1307" s="43" t="s">
        <v>90</v>
      </c>
      <c r="D1307" s="43">
        <v>4202003</v>
      </c>
      <c r="E1307" t="s">
        <v>106</v>
      </c>
      <c r="F1307" s="47" t="str">
        <f>+Centro_Cuenta8[[#This Row],[Codigo Centro Gestion]]&amp;" - "&amp;Centro_Cuenta8[[#This Row],[Nombre Centro Gestion]]</f>
        <v>10235104 - Vista del Valle III-Ventas</v>
      </c>
      <c r="G1307" s="47" t="str">
        <f>+Centro_Cuenta8[[#This Row],[Código Cuenta Contable]]&amp;" - "&amp;Centro_Cuenta8[[#This Row],[Nombre de Cuenta Contable]]</f>
        <v>4202003 - Serv.Basic.Luz.Agua.Tel Of.C</v>
      </c>
      <c r="H1307" s="146" t="str">
        <f>+VLOOKUP(D1307,'3. Cuentas'!A:F,6,0)</f>
        <v>SI</v>
      </c>
    </row>
    <row r="1308" spans="1:8" x14ac:dyDescent="0.25">
      <c r="A1308" s="43">
        <v>10235104</v>
      </c>
      <c r="B1308" t="s">
        <v>1129</v>
      </c>
      <c r="C1308" s="43" t="s">
        <v>90</v>
      </c>
      <c r="D1308" s="43">
        <v>4202010</v>
      </c>
      <c r="E1308" t="s">
        <v>87</v>
      </c>
      <c r="F1308" s="47" t="str">
        <f>+Centro_Cuenta8[[#This Row],[Codigo Centro Gestion]]&amp;" - "&amp;Centro_Cuenta8[[#This Row],[Nombre Centro Gestion]]</f>
        <v>10235104 - Vista del Valle III-Ventas</v>
      </c>
      <c r="G1308" s="47" t="str">
        <f>+Centro_Cuenta8[[#This Row],[Código Cuenta Contable]]&amp;" - "&amp;Centro_Cuenta8[[#This Row],[Nombre de Cuenta Contable]]</f>
        <v>4202010 - Artic. Ofic. Fotocop.Papelería</v>
      </c>
      <c r="H1308" s="146" t="str">
        <f>+VLOOKUP(D1308,'3. Cuentas'!A:F,6,0)</f>
        <v>SI</v>
      </c>
    </row>
    <row r="1309" spans="1:8" x14ac:dyDescent="0.25">
      <c r="A1309" s="43">
        <v>10235104</v>
      </c>
      <c r="B1309" t="s">
        <v>1129</v>
      </c>
      <c r="C1309" s="43" t="s">
        <v>90</v>
      </c>
      <c r="D1309" s="43">
        <v>4202019</v>
      </c>
      <c r="E1309" t="s">
        <v>81</v>
      </c>
      <c r="F1309" s="47" t="str">
        <f>+Centro_Cuenta8[[#This Row],[Codigo Centro Gestion]]&amp;" - "&amp;Centro_Cuenta8[[#This Row],[Nombre Centro Gestion]]</f>
        <v>10235104 - Vista del Valle III-Ventas</v>
      </c>
      <c r="G1309" s="47" t="str">
        <f>+Centro_Cuenta8[[#This Row],[Código Cuenta Contable]]&amp;" - "&amp;Centro_Cuenta8[[#This Row],[Nombre de Cuenta Contable]]</f>
        <v>4202019 - Gasto General Oficina</v>
      </c>
      <c r="H1309" s="146" t="str">
        <f>+VLOOKUP(D1309,'3. Cuentas'!A:F,6,0)</f>
        <v>SI</v>
      </c>
    </row>
    <row r="1310" spans="1:8" x14ac:dyDescent="0.25">
      <c r="A1310" s="43">
        <v>10235104</v>
      </c>
      <c r="B1310" t="s">
        <v>1129</v>
      </c>
      <c r="C1310" s="43" t="s">
        <v>90</v>
      </c>
      <c r="D1310" s="43">
        <v>4202023</v>
      </c>
      <c r="E1310" t="s">
        <v>82</v>
      </c>
      <c r="F1310" s="47" t="str">
        <f>+Centro_Cuenta8[[#This Row],[Codigo Centro Gestion]]&amp;" - "&amp;Centro_Cuenta8[[#This Row],[Nombre Centro Gestion]]</f>
        <v>10235104 - Vista del Valle III-Ventas</v>
      </c>
      <c r="G1310" s="47" t="str">
        <f>+Centro_Cuenta8[[#This Row],[Código Cuenta Contable]]&amp;" - "&amp;Centro_Cuenta8[[#This Row],[Nombre de Cuenta Contable]]</f>
        <v>4202023 - Honorarios Por Asesorías</v>
      </c>
      <c r="H1310" s="146" t="str">
        <f>+VLOOKUP(D1310,'3. Cuentas'!A:F,6,0)</f>
        <v>SI</v>
      </c>
    </row>
    <row r="1311" spans="1:8" x14ac:dyDescent="0.25">
      <c r="A1311" s="43">
        <v>10235104</v>
      </c>
      <c r="B1311" t="s">
        <v>1129</v>
      </c>
      <c r="C1311" s="43" t="s">
        <v>90</v>
      </c>
      <c r="D1311" s="43">
        <v>4202029</v>
      </c>
      <c r="E1311" t="s">
        <v>83</v>
      </c>
      <c r="F1311" s="47" t="str">
        <f>+Centro_Cuenta8[[#This Row],[Codigo Centro Gestion]]&amp;" - "&amp;Centro_Cuenta8[[#This Row],[Nombre Centro Gestion]]</f>
        <v>10235104 - Vista del Valle III-Ventas</v>
      </c>
      <c r="G1311" s="47" t="str">
        <f>+Centro_Cuenta8[[#This Row],[Código Cuenta Contable]]&amp;" - "&amp;Centro_Cuenta8[[#This Row],[Nombre de Cuenta Contable]]</f>
        <v>4202029 - Insumos Y Gastos Informáticos</v>
      </c>
      <c r="H1311" s="146" t="str">
        <f>+VLOOKUP(D1311,'3. Cuentas'!A:F,6,0)</f>
        <v>SI</v>
      </c>
    </row>
    <row r="1312" spans="1:8" x14ac:dyDescent="0.25">
      <c r="A1312" s="43">
        <v>10235104</v>
      </c>
      <c r="B1312" t="s">
        <v>1129</v>
      </c>
      <c r="C1312" s="43" t="s">
        <v>90</v>
      </c>
      <c r="D1312" s="43">
        <v>4204021</v>
      </c>
      <c r="E1312" t="s">
        <v>329</v>
      </c>
      <c r="F1312" s="47" t="str">
        <f>+Centro_Cuenta8[[#This Row],[Codigo Centro Gestion]]&amp;" - "&amp;Centro_Cuenta8[[#This Row],[Nombre Centro Gestion]]</f>
        <v>10235104 - Vista del Valle III-Ventas</v>
      </c>
      <c r="G1312" s="47" t="str">
        <f>+Centro_Cuenta8[[#This Row],[Código Cuenta Contable]]&amp;" - "&amp;Centro_Cuenta8[[#This Row],[Nombre de Cuenta Contable]]</f>
        <v>4204021 - Publicidad Ferias Y Eventos</v>
      </c>
      <c r="H1312" s="146" t="str">
        <f>+VLOOKUP(D1312,'3. Cuentas'!A:F,6,0)</f>
        <v>SI</v>
      </c>
    </row>
    <row r="1313" spans="1:8" x14ac:dyDescent="0.25">
      <c r="A1313" s="43">
        <v>10235105</v>
      </c>
      <c r="B1313" t="s">
        <v>1130</v>
      </c>
      <c r="C1313" s="43" t="s">
        <v>1622</v>
      </c>
      <c r="D1313" s="43">
        <v>4203020</v>
      </c>
      <c r="E1313" t="s">
        <v>295</v>
      </c>
      <c r="F1313" s="47" t="str">
        <f>+Centro_Cuenta8[[#This Row],[Codigo Centro Gestion]]&amp;" - "&amp;Centro_Cuenta8[[#This Row],[Nombre Centro Gestion]]</f>
        <v>10235105 - Vista del Valle III-Clientes</v>
      </c>
      <c r="G1313" s="47" t="str">
        <f>+Centro_Cuenta8[[#This Row],[Código Cuenta Contable]]&amp;" - "&amp;Centro_Cuenta8[[#This Row],[Nombre de Cuenta Contable]]</f>
        <v>4203020 - Mant. y Consum. Viv Stock</v>
      </c>
      <c r="H1313" s="146" t="str">
        <f>+VLOOKUP(D1313,'3. Cuentas'!A:F,6,0)</f>
        <v>SI</v>
      </c>
    </row>
    <row r="1314" spans="1:8" x14ac:dyDescent="0.25">
      <c r="A1314" s="43">
        <v>10235105</v>
      </c>
      <c r="B1314" t="s">
        <v>1130</v>
      </c>
      <c r="C1314" s="43" t="s">
        <v>1622</v>
      </c>
      <c r="D1314" s="43">
        <v>4203120</v>
      </c>
      <c r="E1314" t="s">
        <v>108</v>
      </c>
      <c r="F1314" s="47" t="str">
        <f>+Centro_Cuenta8[[#This Row],[Codigo Centro Gestion]]&amp;" - "&amp;Centro_Cuenta8[[#This Row],[Nombre Centro Gestion]]</f>
        <v>10235105 - Vista del Valle III-Clientes</v>
      </c>
      <c r="G1314" s="47" t="str">
        <f>+Centro_Cuenta8[[#This Row],[Código Cuenta Contable]]&amp;" - "&amp;Centro_Cuenta8[[#This Row],[Nombre de Cuenta Contable]]</f>
        <v>4203120 - Gastos Comunes</v>
      </c>
      <c r="H1314" s="146" t="str">
        <f>+VLOOKUP(D1314,'3. Cuentas'!A:F,6,0)</f>
        <v>SI</v>
      </c>
    </row>
    <row r="1315" spans="1:8" x14ac:dyDescent="0.25">
      <c r="A1315" s="43">
        <v>10235105</v>
      </c>
      <c r="B1315" t="s">
        <v>1130</v>
      </c>
      <c r="C1315" s="43" t="s">
        <v>1622</v>
      </c>
      <c r="D1315" s="43">
        <v>4203140</v>
      </c>
      <c r="E1315" t="s">
        <v>109</v>
      </c>
      <c r="F1315" s="47" t="str">
        <f>+Centro_Cuenta8[[#This Row],[Codigo Centro Gestion]]&amp;" - "&amp;Centro_Cuenta8[[#This Row],[Nombre Centro Gestion]]</f>
        <v>10235105 - Vista del Valle III-Clientes</v>
      </c>
      <c r="G1315" s="47" t="str">
        <f>+Centro_Cuenta8[[#This Row],[Código Cuenta Contable]]&amp;" - "&amp;Centro_Cuenta8[[#This Row],[Nombre de Cuenta Contable]]</f>
        <v>4203140 - Contribuciones</v>
      </c>
      <c r="H1315" s="146" t="str">
        <f>+VLOOKUP(D1315,'3. Cuentas'!A:F,6,0)</f>
        <v>SI</v>
      </c>
    </row>
    <row r="1316" spans="1:8" x14ac:dyDescent="0.25">
      <c r="A1316" s="43">
        <v>10235204</v>
      </c>
      <c r="B1316" t="s">
        <v>1131</v>
      </c>
      <c r="C1316" s="43" t="s">
        <v>1624</v>
      </c>
      <c r="D1316" s="43">
        <v>1103045</v>
      </c>
      <c r="E1316" t="s">
        <v>323</v>
      </c>
      <c r="F1316" s="47" t="str">
        <f>+Centro_Cuenta8[[#This Row],[Codigo Centro Gestion]]&amp;" - "&amp;Centro_Cuenta8[[#This Row],[Nombre Centro Gestion]]</f>
        <v>10235204 - Vista del Valle III-Proyecto</v>
      </c>
      <c r="G1316" s="47" t="str">
        <f>+Centro_Cuenta8[[#This Row],[Código Cuenta Contable]]&amp;" - "&amp;Centro_Cuenta8[[#This Row],[Nombre de Cuenta Contable]]</f>
        <v>1103045 - Aportes reembolsables (electricidad y agua)</v>
      </c>
      <c r="H1316" s="146" t="str">
        <f>+VLOOKUP(D1316,'3. Cuentas'!A:F,6,0)</f>
        <v>SI</v>
      </c>
    </row>
    <row r="1317" spans="1:8" x14ac:dyDescent="0.25">
      <c r="A1317" s="43">
        <v>10235204</v>
      </c>
      <c r="B1317" t="s">
        <v>1131</v>
      </c>
      <c r="C1317" s="43" t="s">
        <v>1624</v>
      </c>
      <c r="D1317" s="43">
        <v>1109020</v>
      </c>
      <c r="E1317" t="s">
        <v>302</v>
      </c>
      <c r="F1317" s="47" t="str">
        <f>+Centro_Cuenta8[[#This Row],[Codigo Centro Gestion]]&amp;" - "&amp;Centro_Cuenta8[[#This Row],[Nombre Centro Gestion]]</f>
        <v>10235204 - Vista del Valle III-Proyecto</v>
      </c>
      <c r="G1317" s="47" t="str">
        <f>+Centro_Cuenta8[[#This Row],[Código Cuenta Contable]]&amp;" - "&amp;Centro_Cuenta8[[#This Row],[Nombre de Cuenta Contable]]</f>
        <v>1109020 - Mobiliario</v>
      </c>
      <c r="H1317" s="146" t="str">
        <f>+VLOOKUP(D1317,'3. Cuentas'!A:F,6,0)</f>
        <v>SI</v>
      </c>
    </row>
    <row r="1318" spans="1:8" x14ac:dyDescent="0.25">
      <c r="A1318" s="43">
        <v>10235204</v>
      </c>
      <c r="B1318" t="s">
        <v>1131</v>
      </c>
      <c r="C1318" s="43" t="s">
        <v>1624</v>
      </c>
      <c r="D1318" s="43">
        <v>1110040</v>
      </c>
      <c r="E1318" t="s">
        <v>1505</v>
      </c>
      <c r="F1318" s="47" t="str">
        <f>+Centro_Cuenta8[[#This Row],[Codigo Centro Gestion]]&amp;" - "&amp;Centro_Cuenta8[[#This Row],[Nombre Centro Gestion]]</f>
        <v>10235204 - Vista del Valle III-Proyecto</v>
      </c>
      <c r="G1318" s="47" t="str">
        <f>+Centro_Cuenta8[[#This Row],[Código Cuenta Contable]]&amp;" - "&amp;Centro_Cuenta8[[#This Row],[Nombre de Cuenta Contable]]</f>
        <v>1110040 - Garantía Pagadas</v>
      </c>
      <c r="H1318" s="146" t="str">
        <f>+VLOOKUP(D1318,'3. Cuentas'!A:F,6,0)</f>
        <v>SI</v>
      </c>
    </row>
    <row r="1319" spans="1:8" x14ac:dyDescent="0.25">
      <c r="A1319" s="43">
        <v>10235204</v>
      </c>
      <c r="B1319" t="s">
        <v>1131</v>
      </c>
      <c r="C1319" s="43" t="s">
        <v>1624</v>
      </c>
      <c r="D1319" s="43">
        <v>1115040</v>
      </c>
      <c r="E1319" t="s">
        <v>291</v>
      </c>
      <c r="F1319" s="47" t="str">
        <f>+Centro_Cuenta8[[#This Row],[Codigo Centro Gestion]]&amp;" - "&amp;Centro_Cuenta8[[#This Row],[Nombre Centro Gestion]]</f>
        <v>10235204 - Vista del Valle III-Proyecto</v>
      </c>
      <c r="G1319" s="47" t="str">
        <f>+Centro_Cuenta8[[#This Row],[Código Cuenta Contable]]&amp;" - "&amp;Centro_Cuenta8[[#This Row],[Nombre de Cuenta Contable]]</f>
        <v>1115040 - Saneamiento De Terreno</v>
      </c>
      <c r="H1319" s="146" t="str">
        <f>+VLOOKUP(D1319,'3. Cuentas'!A:F,6,0)</f>
        <v>SI</v>
      </c>
    </row>
    <row r="1320" spans="1:8" x14ac:dyDescent="0.25">
      <c r="A1320" s="43">
        <v>10235204</v>
      </c>
      <c r="B1320" t="s">
        <v>1131</v>
      </c>
      <c r="C1320" s="43" t="s">
        <v>1624</v>
      </c>
      <c r="D1320" s="43">
        <v>1115050</v>
      </c>
      <c r="E1320" t="s">
        <v>1628</v>
      </c>
      <c r="F1320" s="47" t="str">
        <f>+Centro_Cuenta8[[#This Row],[Codigo Centro Gestion]]&amp;" - "&amp;Centro_Cuenta8[[#This Row],[Nombre Centro Gestion]]</f>
        <v>10235204 - Vista del Valle III-Proyecto</v>
      </c>
      <c r="G1320" s="47" t="str">
        <f>+Centro_Cuenta8[[#This Row],[Código Cuenta Contable]]&amp;" - "&amp;Centro_Cuenta8[[#This Row],[Nombre de Cuenta Contable]]</f>
        <v>1115050 - Demolición</v>
      </c>
      <c r="H1320" s="146" t="str">
        <f>+VLOOKUP(D1320,'3. Cuentas'!A:F,6,0)</f>
        <v>SI</v>
      </c>
    </row>
    <row r="1321" spans="1:8" x14ac:dyDescent="0.25">
      <c r="A1321" s="43">
        <v>10235204</v>
      </c>
      <c r="B1321" t="s">
        <v>1131</v>
      </c>
      <c r="C1321" s="43" t="s">
        <v>1624</v>
      </c>
      <c r="D1321" s="43">
        <v>1115100</v>
      </c>
      <c r="E1321" t="s">
        <v>292</v>
      </c>
      <c r="F1321" s="47" t="str">
        <f>+Centro_Cuenta8[[#This Row],[Codigo Centro Gestion]]&amp;" - "&amp;Centro_Cuenta8[[#This Row],[Nombre Centro Gestion]]</f>
        <v>10235204 - Vista del Valle III-Proyecto</v>
      </c>
      <c r="G1321" s="47" t="str">
        <f>+Centro_Cuenta8[[#This Row],[Código Cuenta Contable]]&amp;" - "&amp;Centro_Cuenta8[[#This Row],[Nombre de Cuenta Contable]]</f>
        <v>1115100 - Proyectos Y Especialidades</v>
      </c>
      <c r="H1321" s="146" t="str">
        <f>+VLOOKUP(D1321,'3. Cuentas'!A:F,6,0)</f>
        <v>SI</v>
      </c>
    </row>
    <row r="1322" spans="1:8" x14ac:dyDescent="0.25">
      <c r="A1322" s="43">
        <v>10235204</v>
      </c>
      <c r="B1322" t="s">
        <v>1131</v>
      </c>
      <c r="C1322" s="43" t="s">
        <v>1624</v>
      </c>
      <c r="D1322" s="43">
        <v>1115120</v>
      </c>
      <c r="E1322" t="s">
        <v>1633</v>
      </c>
      <c r="F1322" s="47" t="str">
        <f>+Centro_Cuenta8[[#This Row],[Codigo Centro Gestion]]&amp;" - "&amp;Centro_Cuenta8[[#This Row],[Nombre Centro Gestion]]</f>
        <v>10235204 - Vista del Valle III-Proyecto</v>
      </c>
      <c r="G1322" s="47" t="str">
        <f>+Centro_Cuenta8[[#This Row],[Código Cuenta Contable]]&amp;" - "&amp;Centro_Cuenta8[[#This Row],[Nombre de Cuenta Contable]]</f>
        <v>1115120 - Instalación Empalmes</v>
      </c>
      <c r="H1322" s="146" t="str">
        <f>+VLOOKUP(D1322,'3. Cuentas'!A:F,6,0)</f>
        <v>SI</v>
      </c>
    </row>
    <row r="1323" spans="1:8" x14ac:dyDescent="0.25">
      <c r="A1323" s="43">
        <v>10235204</v>
      </c>
      <c r="B1323" t="s">
        <v>1131</v>
      </c>
      <c r="C1323" s="43" t="s">
        <v>1624</v>
      </c>
      <c r="D1323" s="43">
        <v>1115170</v>
      </c>
      <c r="E1323" t="s">
        <v>293</v>
      </c>
      <c r="F1323" s="47" t="str">
        <f>+Centro_Cuenta8[[#This Row],[Codigo Centro Gestion]]&amp;" - "&amp;Centro_Cuenta8[[#This Row],[Nombre Centro Gestion]]</f>
        <v>10235204 - Vista del Valle III-Proyecto</v>
      </c>
      <c r="G1323" s="47" t="str">
        <f>+Centro_Cuenta8[[#This Row],[Código Cuenta Contable]]&amp;" - "&amp;Centro_Cuenta8[[#This Row],[Nombre de Cuenta Contable]]</f>
        <v>1115170 - Permisos Y Otros Gastos Municipales</v>
      </c>
      <c r="H1323" s="146" t="str">
        <f>+VLOOKUP(D1323,'3. Cuentas'!A:F,6,0)</f>
        <v>SI</v>
      </c>
    </row>
    <row r="1324" spans="1:8" x14ac:dyDescent="0.25">
      <c r="A1324" s="43">
        <v>10235204</v>
      </c>
      <c r="B1324" t="s">
        <v>1131</v>
      </c>
      <c r="C1324" s="43" t="s">
        <v>1624</v>
      </c>
      <c r="D1324" s="43">
        <v>1115240</v>
      </c>
      <c r="E1324" t="s">
        <v>294</v>
      </c>
      <c r="F1324" s="47" t="str">
        <f>+Centro_Cuenta8[[#This Row],[Codigo Centro Gestion]]&amp;" - "&amp;Centro_Cuenta8[[#This Row],[Nombre Centro Gestion]]</f>
        <v>10235204 - Vista del Valle III-Proyecto</v>
      </c>
      <c r="G1324" s="47" t="str">
        <f>+Centro_Cuenta8[[#This Row],[Código Cuenta Contable]]&amp;" - "&amp;Centro_Cuenta8[[#This Row],[Nombre de Cuenta Contable]]</f>
        <v>1115240 - Estudios Y Asesorias Técnicas</v>
      </c>
      <c r="H1324" s="146" t="str">
        <f>+VLOOKUP(D1324,'3. Cuentas'!A:F,6,0)</f>
        <v>SI</v>
      </c>
    </row>
    <row r="1325" spans="1:8" x14ac:dyDescent="0.25">
      <c r="A1325" s="43">
        <v>10235204</v>
      </c>
      <c r="B1325" t="s">
        <v>1131</v>
      </c>
      <c r="C1325" s="43" t="s">
        <v>1624</v>
      </c>
      <c r="D1325" s="43">
        <v>4203090</v>
      </c>
      <c r="E1325" t="s">
        <v>192</v>
      </c>
      <c r="F1325" s="47" t="str">
        <f>+Centro_Cuenta8[[#This Row],[Codigo Centro Gestion]]&amp;" - "&amp;Centro_Cuenta8[[#This Row],[Nombre Centro Gestion]]</f>
        <v>10235204 - Vista del Valle III-Proyecto</v>
      </c>
      <c r="G1325" s="47" t="str">
        <f>+Centro_Cuenta8[[#This Row],[Código Cuenta Contable]]&amp;" - "&amp;Centro_Cuenta8[[#This Row],[Nombre de Cuenta Contable]]</f>
        <v>4203090 - Gastos Legales Y Notariales Proyecto</v>
      </c>
      <c r="H1325" s="146" t="str">
        <f>+VLOOKUP(D1325,'3. Cuentas'!A:F,6,0)</f>
        <v>SI</v>
      </c>
    </row>
    <row r="1326" spans="1:8" x14ac:dyDescent="0.25">
      <c r="A1326" s="43">
        <v>10235204</v>
      </c>
      <c r="B1326" t="s">
        <v>1131</v>
      </c>
      <c r="C1326" s="43" t="s">
        <v>1624</v>
      </c>
      <c r="D1326" s="43">
        <v>4203140</v>
      </c>
      <c r="E1326" t="s">
        <v>109</v>
      </c>
      <c r="F1326" s="47" t="str">
        <f>+Centro_Cuenta8[[#This Row],[Codigo Centro Gestion]]&amp;" - "&amp;Centro_Cuenta8[[#This Row],[Nombre Centro Gestion]]</f>
        <v>10235204 - Vista del Valle III-Proyecto</v>
      </c>
      <c r="G1326" s="47" t="str">
        <f>+Centro_Cuenta8[[#This Row],[Código Cuenta Contable]]&amp;" - "&amp;Centro_Cuenta8[[#This Row],[Nombre de Cuenta Contable]]</f>
        <v>4203140 - Contribuciones</v>
      </c>
      <c r="H1326" s="146" t="str">
        <f>+VLOOKUP(D1326,'3. Cuentas'!A:F,6,0)</f>
        <v>SI</v>
      </c>
    </row>
    <row r="1327" spans="1:8" x14ac:dyDescent="0.25">
      <c r="A1327" s="43">
        <v>10235204</v>
      </c>
      <c r="B1327" t="s">
        <v>1131</v>
      </c>
      <c r="C1327" s="43" t="s">
        <v>1624</v>
      </c>
      <c r="D1327" s="43">
        <v>4203150</v>
      </c>
      <c r="E1327" t="s">
        <v>156</v>
      </c>
      <c r="F1327" s="47" t="str">
        <f>+Centro_Cuenta8[[#This Row],[Codigo Centro Gestion]]&amp;" - "&amp;Centro_Cuenta8[[#This Row],[Nombre Centro Gestion]]</f>
        <v>10235204 - Vista del Valle III-Proyecto</v>
      </c>
      <c r="G1327" s="47" t="str">
        <f>+Centro_Cuenta8[[#This Row],[Código Cuenta Contable]]&amp;" - "&amp;Centro_Cuenta8[[#This Row],[Nombre de Cuenta Contable]]</f>
        <v>4203150 - Gastos CBR</v>
      </c>
      <c r="H1327" s="146" t="str">
        <f>+VLOOKUP(D1327,'3. Cuentas'!A:F,6,0)</f>
        <v>SI</v>
      </c>
    </row>
    <row r="1328" spans="1:8" x14ac:dyDescent="0.25">
      <c r="A1328" s="43">
        <v>10235204</v>
      </c>
      <c r="B1328" t="s">
        <v>1131</v>
      </c>
      <c r="C1328" s="43" t="s">
        <v>1624</v>
      </c>
      <c r="D1328" s="43">
        <v>4203160</v>
      </c>
      <c r="E1328" t="s">
        <v>1639</v>
      </c>
      <c r="F1328" s="47" t="str">
        <f>+Centro_Cuenta8[[#This Row],[Codigo Centro Gestion]]&amp;" - "&amp;Centro_Cuenta8[[#This Row],[Nombre Centro Gestion]]</f>
        <v>10235204 - Vista del Valle III-Proyecto</v>
      </c>
      <c r="G1328" s="47" t="str">
        <f>+Centro_Cuenta8[[#This Row],[Código Cuenta Contable]]&amp;" - "&amp;Centro_Cuenta8[[#This Row],[Nombre de Cuenta Contable]]</f>
        <v>4203160 - PAPELERIA Y FOTOCOPIADO</v>
      </c>
      <c r="H1328" s="146" t="str">
        <f>+VLOOKUP(D1328,'3. Cuentas'!A:F,6,0)</f>
        <v>SI</v>
      </c>
    </row>
    <row r="1329" spans="1:8" x14ac:dyDescent="0.25">
      <c r="A1329" s="43">
        <v>10235204</v>
      </c>
      <c r="B1329" t="s">
        <v>1131</v>
      </c>
      <c r="C1329" s="43" t="s">
        <v>1624</v>
      </c>
      <c r="D1329" s="43">
        <v>4203180</v>
      </c>
      <c r="E1329" t="s">
        <v>1640</v>
      </c>
      <c r="F1329" s="47" t="str">
        <f>+Centro_Cuenta8[[#This Row],[Codigo Centro Gestion]]&amp;" - "&amp;Centro_Cuenta8[[#This Row],[Nombre Centro Gestion]]</f>
        <v>10235204 - Vista del Valle III-Proyecto</v>
      </c>
      <c r="G1329" s="47" t="str">
        <f>+Centro_Cuenta8[[#This Row],[Código Cuenta Contable]]&amp;" - "&amp;Centro_Cuenta8[[#This Row],[Nombre de Cuenta Contable]]</f>
        <v>4203180 - Otros Gastos y Aseso Proy</v>
      </c>
      <c r="H1329" s="146" t="str">
        <f>+VLOOKUP(D1329,'3. Cuentas'!A:F,6,0)</f>
        <v>SI</v>
      </c>
    </row>
    <row r="1330" spans="1:8" x14ac:dyDescent="0.25">
      <c r="A1330" s="43">
        <v>10235301</v>
      </c>
      <c r="B1330" t="s">
        <v>1132</v>
      </c>
      <c r="C1330" s="43" t="s">
        <v>1643</v>
      </c>
      <c r="D1330" s="43">
        <v>4203090</v>
      </c>
      <c r="E1330" t="s">
        <v>192</v>
      </c>
      <c r="F1330" s="47" t="str">
        <f>+Centro_Cuenta8[[#This Row],[Codigo Centro Gestion]]&amp;" - "&amp;Centro_Cuenta8[[#This Row],[Nombre Centro Gestion]]</f>
        <v>10235301 - Vista del Valle III-GAF</v>
      </c>
      <c r="G1330" s="47" t="str">
        <f>+Centro_Cuenta8[[#This Row],[Código Cuenta Contable]]&amp;" - "&amp;Centro_Cuenta8[[#This Row],[Nombre de Cuenta Contable]]</f>
        <v>4203090 - Gastos Legales Y Notariales Proyecto</v>
      </c>
      <c r="H1330" s="146" t="str">
        <f>+VLOOKUP(D1330,'3. Cuentas'!A:F,6,0)</f>
        <v>SI</v>
      </c>
    </row>
    <row r="1331" spans="1:8" x14ac:dyDescent="0.25">
      <c r="A1331" s="43">
        <v>10235301</v>
      </c>
      <c r="B1331" t="s">
        <v>1132</v>
      </c>
      <c r="C1331" s="43" t="s">
        <v>1643</v>
      </c>
      <c r="D1331" s="43">
        <v>4203140</v>
      </c>
      <c r="E1331" t="s">
        <v>109</v>
      </c>
      <c r="F1331" s="47" t="str">
        <f>+Centro_Cuenta8[[#This Row],[Codigo Centro Gestion]]&amp;" - "&amp;Centro_Cuenta8[[#This Row],[Nombre Centro Gestion]]</f>
        <v>10235301 - Vista del Valle III-GAF</v>
      </c>
      <c r="G1331" s="47" t="str">
        <f>+Centro_Cuenta8[[#This Row],[Código Cuenta Contable]]&amp;" - "&amp;Centro_Cuenta8[[#This Row],[Nombre de Cuenta Contable]]</f>
        <v>4203140 - Contribuciones</v>
      </c>
      <c r="H1331" s="146" t="str">
        <f>+VLOOKUP(D1331,'3. Cuentas'!A:F,6,0)</f>
        <v>SI</v>
      </c>
    </row>
    <row r="1332" spans="1:8" x14ac:dyDescent="0.25">
      <c r="A1332" s="43">
        <v>10235506</v>
      </c>
      <c r="B1332" t="s">
        <v>1134</v>
      </c>
      <c r="C1332" s="43" t="s">
        <v>200</v>
      </c>
      <c r="D1332" s="43">
        <v>1115100</v>
      </c>
      <c r="E1332" t="s">
        <v>292</v>
      </c>
      <c r="F1332" s="47" t="str">
        <f>+Centro_Cuenta8[[#This Row],[Codigo Centro Gestion]]&amp;" - "&amp;Centro_Cuenta8[[#This Row],[Nombre Centro Gestion]]</f>
        <v>10235506 - Vista del Valle III-Depto.Técnico</v>
      </c>
      <c r="G1332" s="47" t="str">
        <f>+Centro_Cuenta8[[#This Row],[Código Cuenta Contable]]&amp;" - "&amp;Centro_Cuenta8[[#This Row],[Nombre de Cuenta Contable]]</f>
        <v>1115100 - Proyectos Y Especialidades</v>
      </c>
      <c r="H1332" s="146" t="str">
        <f>+VLOOKUP(D1332,'3. Cuentas'!A:F,6,0)</f>
        <v>SI</v>
      </c>
    </row>
    <row r="1333" spans="1:8" x14ac:dyDescent="0.25">
      <c r="A1333" s="43">
        <v>10236102</v>
      </c>
      <c r="B1333" t="s">
        <v>1136</v>
      </c>
      <c r="C1333" s="43" t="s">
        <v>1617</v>
      </c>
      <c r="D1333" s="43">
        <v>4204010</v>
      </c>
      <c r="E1333" t="s">
        <v>313</v>
      </c>
      <c r="F1333" s="47" t="str">
        <f>+Centro_Cuenta8[[#This Row],[Codigo Centro Gestion]]&amp;" - "&amp;Centro_Cuenta8[[#This Row],[Nombre Centro Gestion]]</f>
        <v>10236102 - Edificio Pedro Prado-MARKETING</v>
      </c>
      <c r="G1333" s="47" t="str">
        <f>+Centro_Cuenta8[[#This Row],[Código Cuenta Contable]]&amp;" - "&amp;Centro_Cuenta8[[#This Row],[Nombre de Cuenta Contable]]</f>
        <v>4204010 - Publicidad Punto Venta</v>
      </c>
      <c r="H1333" s="146" t="str">
        <f>+VLOOKUP(D1333,'3. Cuentas'!A:F,6,0)</f>
        <v>SI</v>
      </c>
    </row>
    <row r="1334" spans="1:8" x14ac:dyDescent="0.25">
      <c r="A1334" s="43">
        <v>10236102</v>
      </c>
      <c r="B1334" t="s">
        <v>1136</v>
      </c>
      <c r="C1334" s="43" t="s">
        <v>1617</v>
      </c>
      <c r="D1334" s="43">
        <v>4204021</v>
      </c>
      <c r="E1334" t="s">
        <v>329</v>
      </c>
      <c r="F1334" s="47" t="str">
        <f>+Centro_Cuenta8[[#This Row],[Codigo Centro Gestion]]&amp;" - "&amp;Centro_Cuenta8[[#This Row],[Nombre Centro Gestion]]</f>
        <v>10236102 - Edificio Pedro Prado-MARKETING</v>
      </c>
      <c r="G1334" s="47" t="str">
        <f>+Centro_Cuenta8[[#This Row],[Código Cuenta Contable]]&amp;" - "&amp;Centro_Cuenta8[[#This Row],[Nombre de Cuenta Contable]]</f>
        <v>4204021 - Publicidad Ferias Y Eventos</v>
      </c>
      <c r="H1334" s="146" t="str">
        <f>+VLOOKUP(D1334,'3. Cuentas'!A:F,6,0)</f>
        <v>SI</v>
      </c>
    </row>
    <row r="1335" spans="1:8" x14ac:dyDescent="0.25">
      <c r="A1335" s="43">
        <v>10236103</v>
      </c>
      <c r="B1335" t="s">
        <v>1137</v>
      </c>
      <c r="C1335" s="43" t="s">
        <v>1618</v>
      </c>
      <c r="D1335" s="43">
        <v>4203060</v>
      </c>
      <c r="E1335" t="s">
        <v>321</v>
      </c>
      <c r="F1335" s="47" t="str">
        <f>+Centro_Cuenta8[[#This Row],[Codigo Centro Gestion]]&amp;" - "&amp;Centro_Cuenta8[[#This Row],[Nombre Centro Gestion]]</f>
        <v>10236103 - Edificio Pedro Prado-OPERACIONES</v>
      </c>
      <c r="G1335" s="47" t="str">
        <f>+Centro_Cuenta8[[#This Row],[Código Cuenta Contable]]&amp;" - "&amp;Centro_Cuenta8[[#This Row],[Nombre de Cuenta Contable]]</f>
        <v>4203060 - Gastos Operacionales De Clientes</v>
      </c>
      <c r="H1335" s="146" t="str">
        <f>+VLOOKUP(D1335,'3. Cuentas'!A:F,6,0)</f>
        <v>SI</v>
      </c>
    </row>
    <row r="1336" spans="1:8" x14ac:dyDescent="0.25">
      <c r="A1336" s="43">
        <v>10236103</v>
      </c>
      <c r="B1336" t="s">
        <v>1137</v>
      </c>
      <c r="C1336" s="43" t="s">
        <v>1618</v>
      </c>
      <c r="D1336" s="43">
        <v>4203090</v>
      </c>
      <c r="E1336" t="s">
        <v>192</v>
      </c>
      <c r="F1336" s="47" t="str">
        <f>+Centro_Cuenta8[[#This Row],[Codigo Centro Gestion]]&amp;" - "&amp;Centro_Cuenta8[[#This Row],[Nombre Centro Gestion]]</f>
        <v>10236103 - Edificio Pedro Prado-OPERACIONES</v>
      </c>
      <c r="G1336" s="47" t="str">
        <f>+Centro_Cuenta8[[#This Row],[Código Cuenta Contable]]&amp;" - "&amp;Centro_Cuenta8[[#This Row],[Nombre de Cuenta Contable]]</f>
        <v>4203090 - Gastos Legales Y Notariales Proyecto</v>
      </c>
      <c r="H1336" s="146" t="str">
        <f>+VLOOKUP(D1336,'3. Cuentas'!A:F,6,0)</f>
        <v>SI</v>
      </c>
    </row>
    <row r="1337" spans="1:8" x14ac:dyDescent="0.25">
      <c r="A1337" s="43">
        <v>10236104</v>
      </c>
      <c r="B1337" t="s">
        <v>1138</v>
      </c>
      <c r="C1337" s="43" t="s">
        <v>90</v>
      </c>
      <c r="D1337" s="43">
        <v>1110040</v>
      </c>
      <c r="E1337" t="s">
        <v>1505</v>
      </c>
      <c r="F1337" s="47" t="str">
        <f>+Centro_Cuenta8[[#This Row],[Codigo Centro Gestion]]&amp;" - "&amp;Centro_Cuenta8[[#This Row],[Nombre Centro Gestion]]</f>
        <v>10236104 - Edificio Pedro Prado-VENTAS</v>
      </c>
      <c r="G1337" s="47" t="str">
        <f>+Centro_Cuenta8[[#This Row],[Código Cuenta Contable]]&amp;" - "&amp;Centro_Cuenta8[[#This Row],[Nombre de Cuenta Contable]]</f>
        <v>1110040 - Garantía Pagadas</v>
      </c>
      <c r="H1337" s="146" t="str">
        <f>+VLOOKUP(D1337,'3. Cuentas'!A:F,6,0)</f>
        <v>SI</v>
      </c>
    </row>
    <row r="1338" spans="1:8" x14ac:dyDescent="0.25">
      <c r="A1338" s="43">
        <v>10236104</v>
      </c>
      <c r="B1338" t="s">
        <v>1138</v>
      </c>
      <c r="C1338" s="43" t="s">
        <v>90</v>
      </c>
      <c r="D1338" s="43">
        <v>4202003</v>
      </c>
      <c r="E1338" t="s">
        <v>106</v>
      </c>
      <c r="F1338" s="47" t="str">
        <f>+Centro_Cuenta8[[#This Row],[Codigo Centro Gestion]]&amp;" - "&amp;Centro_Cuenta8[[#This Row],[Nombre Centro Gestion]]</f>
        <v>10236104 - Edificio Pedro Prado-VENTAS</v>
      </c>
      <c r="G1338" s="47" t="str">
        <f>+Centro_Cuenta8[[#This Row],[Código Cuenta Contable]]&amp;" - "&amp;Centro_Cuenta8[[#This Row],[Nombre de Cuenta Contable]]</f>
        <v>4202003 - Serv.Basic.Luz.Agua.Tel Of.C</v>
      </c>
      <c r="H1338" s="146" t="str">
        <f>+VLOOKUP(D1338,'3. Cuentas'!A:F,6,0)</f>
        <v>SI</v>
      </c>
    </row>
    <row r="1339" spans="1:8" x14ac:dyDescent="0.25">
      <c r="A1339" s="43">
        <v>10236104</v>
      </c>
      <c r="B1339" t="s">
        <v>1138</v>
      </c>
      <c r="C1339" s="43" t="s">
        <v>90</v>
      </c>
      <c r="D1339" s="43">
        <v>4202010</v>
      </c>
      <c r="E1339" t="s">
        <v>87</v>
      </c>
      <c r="F1339" s="47" t="str">
        <f>+Centro_Cuenta8[[#This Row],[Codigo Centro Gestion]]&amp;" - "&amp;Centro_Cuenta8[[#This Row],[Nombre Centro Gestion]]</f>
        <v>10236104 - Edificio Pedro Prado-VENTAS</v>
      </c>
      <c r="G1339" s="47" t="str">
        <f>+Centro_Cuenta8[[#This Row],[Código Cuenta Contable]]&amp;" - "&amp;Centro_Cuenta8[[#This Row],[Nombre de Cuenta Contable]]</f>
        <v>4202010 - Artic. Ofic. Fotocop.Papelería</v>
      </c>
      <c r="H1339" s="146" t="str">
        <f>+VLOOKUP(D1339,'3. Cuentas'!A:F,6,0)</f>
        <v>SI</v>
      </c>
    </row>
    <row r="1340" spans="1:8" x14ac:dyDescent="0.25">
      <c r="A1340" s="43">
        <v>10236104</v>
      </c>
      <c r="B1340" t="s">
        <v>1138</v>
      </c>
      <c r="C1340" s="43" t="s">
        <v>90</v>
      </c>
      <c r="D1340" s="43">
        <v>4202019</v>
      </c>
      <c r="E1340" t="s">
        <v>81</v>
      </c>
      <c r="F1340" s="47" t="str">
        <f>+Centro_Cuenta8[[#This Row],[Codigo Centro Gestion]]&amp;" - "&amp;Centro_Cuenta8[[#This Row],[Nombre Centro Gestion]]</f>
        <v>10236104 - Edificio Pedro Prado-VENTAS</v>
      </c>
      <c r="G1340" s="47" t="str">
        <f>+Centro_Cuenta8[[#This Row],[Código Cuenta Contable]]&amp;" - "&amp;Centro_Cuenta8[[#This Row],[Nombre de Cuenta Contable]]</f>
        <v>4202019 - Gasto General Oficina</v>
      </c>
      <c r="H1340" s="146" t="str">
        <f>+VLOOKUP(D1340,'3. Cuentas'!A:F,6,0)</f>
        <v>SI</v>
      </c>
    </row>
    <row r="1341" spans="1:8" x14ac:dyDescent="0.25">
      <c r="A1341" s="43">
        <v>10236104</v>
      </c>
      <c r="B1341" t="s">
        <v>1138</v>
      </c>
      <c r="C1341" s="43" t="s">
        <v>90</v>
      </c>
      <c r="D1341" s="43">
        <v>4202023</v>
      </c>
      <c r="E1341" t="s">
        <v>82</v>
      </c>
      <c r="F1341" s="47" t="str">
        <f>+Centro_Cuenta8[[#This Row],[Codigo Centro Gestion]]&amp;" - "&amp;Centro_Cuenta8[[#This Row],[Nombre Centro Gestion]]</f>
        <v>10236104 - Edificio Pedro Prado-VENTAS</v>
      </c>
      <c r="G1341" s="47" t="str">
        <f>+Centro_Cuenta8[[#This Row],[Código Cuenta Contable]]&amp;" - "&amp;Centro_Cuenta8[[#This Row],[Nombre de Cuenta Contable]]</f>
        <v>4202023 - Honorarios Por Asesorías</v>
      </c>
      <c r="H1341" s="146" t="str">
        <f>+VLOOKUP(D1341,'3. Cuentas'!A:F,6,0)</f>
        <v>SI</v>
      </c>
    </row>
    <row r="1342" spans="1:8" x14ac:dyDescent="0.25">
      <c r="A1342" s="43">
        <v>10236104</v>
      </c>
      <c r="B1342" t="s">
        <v>1138</v>
      </c>
      <c r="C1342" s="43" t="s">
        <v>90</v>
      </c>
      <c r="D1342" s="43">
        <v>4202029</v>
      </c>
      <c r="E1342" t="s">
        <v>83</v>
      </c>
      <c r="F1342" s="47" t="str">
        <f>+Centro_Cuenta8[[#This Row],[Codigo Centro Gestion]]&amp;" - "&amp;Centro_Cuenta8[[#This Row],[Nombre Centro Gestion]]</f>
        <v>10236104 - Edificio Pedro Prado-VENTAS</v>
      </c>
      <c r="G1342" s="47" t="str">
        <f>+Centro_Cuenta8[[#This Row],[Código Cuenta Contable]]&amp;" - "&amp;Centro_Cuenta8[[#This Row],[Nombre de Cuenta Contable]]</f>
        <v>4202029 - Insumos Y Gastos Informáticos</v>
      </c>
      <c r="H1342" s="146" t="str">
        <f>+VLOOKUP(D1342,'3. Cuentas'!A:F,6,0)</f>
        <v>SI</v>
      </c>
    </row>
    <row r="1343" spans="1:8" x14ac:dyDescent="0.25">
      <c r="A1343" s="43">
        <v>10236104</v>
      </c>
      <c r="B1343" t="s">
        <v>1138</v>
      </c>
      <c r="C1343" s="43" t="s">
        <v>90</v>
      </c>
      <c r="D1343" s="43">
        <v>4204021</v>
      </c>
      <c r="E1343" t="s">
        <v>329</v>
      </c>
      <c r="F1343" s="47" t="str">
        <f>+Centro_Cuenta8[[#This Row],[Codigo Centro Gestion]]&amp;" - "&amp;Centro_Cuenta8[[#This Row],[Nombre Centro Gestion]]</f>
        <v>10236104 - Edificio Pedro Prado-VENTAS</v>
      </c>
      <c r="G1343" s="47" t="str">
        <f>+Centro_Cuenta8[[#This Row],[Código Cuenta Contable]]&amp;" - "&amp;Centro_Cuenta8[[#This Row],[Nombre de Cuenta Contable]]</f>
        <v>4204021 - Publicidad Ferias Y Eventos</v>
      </c>
      <c r="H1343" s="146" t="str">
        <f>+VLOOKUP(D1343,'3. Cuentas'!A:F,6,0)</f>
        <v>SI</v>
      </c>
    </row>
    <row r="1344" spans="1:8" x14ac:dyDescent="0.25">
      <c r="A1344" s="43">
        <v>10236105</v>
      </c>
      <c r="B1344" t="s">
        <v>1139</v>
      </c>
      <c r="C1344" s="43" t="s">
        <v>1622</v>
      </c>
      <c r="D1344" s="43">
        <v>4203020</v>
      </c>
      <c r="E1344" t="s">
        <v>295</v>
      </c>
      <c r="F1344" s="47" t="str">
        <f>+Centro_Cuenta8[[#This Row],[Codigo Centro Gestion]]&amp;" - "&amp;Centro_Cuenta8[[#This Row],[Nombre Centro Gestion]]</f>
        <v>10236105 - Edificio Pedro Prado-CLIENTES</v>
      </c>
      <c r="G1344" s="47" t="str">
        <f>+Centro_Cuenta8[[#This Row],[Código Cuenta Contable]]&amp;" - "&amp;Centro_Cuenta8[[#This Row],[Nombre de Cuenta Contable]]</f>
        <v>4203020 - Mant. y Consum. Viv Stock</v>
      </c>
      <c r="H1344" s="146" t="str">
        <f>+VLOOKUP(D1344,'3. Cuentas'!A:F,6,0)</f>
        <v>SI</v>
      </c>
    </row>
    <row r="1345" spans="1:8" x14ac:dyDescent="0.25">
      <c r="A1345" s="43">
        <v>10236105</v>
      </c>
      <c r="B1345" t="s">
        <v>1139</v>
      </c>
      <c r="C1345" s="43" t="s">
        <v>1622</v>
      </c>
      <c r="D1345" s="43">
        <v>4203120</v>
      </c>
      <c r="E1345" t="s">
        <v>108</v>
      </c>
      <c r="F1345" s="47" t="str">
        <f>+Centro_Cuenta8[[#This Row],[Codigo Centro Gestion]]&amp;" - "&amp;Centro_Cuenta8[[#This Row],[Nombre Centro Gestion]]</f>
        <v>10236105 - Edificio Pedro Prado-CLIENTES</v>
      </c>
      <c r="G1345" s="47" t="str">
        <f>+Centro_Cuenta8[[#This Row],[Código Cuenta Contable]]&amp;" - "&amp;Centro_Cuenta8[[#This Row],[Nombre de Cuenta Contable]]</f>
        <v>4203120 - Gastos Comunes</v>
      </c>
      <c r="H1345" s="146" t="str">
        <f>+VLOOKUP(D1345,'3. Cuentas'!A:F,6,0)</f>
        <v>SI</v>
      </c>
    </row>
    <row r="1346" spans="1:8" x14ac:dyDescent="0.25">
      <c r="A1346" s="43">
        <v>10236105</v>
      </c>
      <c r="B1346" t="s">
        <v>1139</v>
      </c>
      <c r="C1346" s="43" t="s">
        <v>1622</v>
      </c>
      <c r="D1346" s="43">
        <v>4203140</v>
      </c>
      <c r="E1346" t="s">
        <v>109</v>
      </c>
      <c r="F1346" s="47" t="str">
        <f>+Centro_Cuenta8[[#This Row],[Codigo Centro Gestion]]&amp;" - "&amp;Centro_Cuenta8[[#This Row],[Nombre Centro Gestion]]</f>
        <v>10236105 - Edificio Pedro Prado-CLIENTES</v>
      </c>
      <c r="G1346" s="47" t="str">
        <f>+Centro_Cuenta8[[#This Row],[Código Cuenta Contable]]&amp;" - "&amp;Centro_Cuenta8[[#This Row],[Nombre de Cuenta Contable]]</f>
        <v>4203140 - Contribuciones</v>
      </c>
      <c r="H1346" s="146" t="str">
        <f>+VLOOKUP(D1346,'3. Cuentas'!A:F,6,0)</f>
        <v>SI</v>
      </c>
    </row>
    <row r="1347" spans="1:8" x14ac:dyDescent="0.25">
      <c r="A1347" s="43">
        <v>10236204</v>
      </c>
      <c r="B1347" t="s">
        <v>1140</v>
      </c>
      <c r="C1347" s="43" t="s">
        <v>1624</v>
      </c>
      <c r="D1347" s="43">
        <v>1103045</v>
      </c>
      <c r="E1347" t="s">
        <v>323</v>
      </c>
      <c r="F1347" s="47" t="str">
        <f>+Centro_Cuenta8[[#This Row],[Codigo Centro Gestion]]&amp;" - "&amp;Centro_Cuenta8[[#This Row],[Nombre Centro Gestion]]</f>
        <v>10236204 - Edificio Pedro Prado-Proyecto</v>
      </c>
      <c r="G1347" s="47" t="str">
        <f>+Centro_Cuenta8[[#This Row],[Código Cuenta Contable]]&amp;" - "&amp;Centro_Cuenta8[[#This Row],[Nombre de Cuenta Contable]]</f>
        <v>1103045 - Aportes reembolsables (electricidad y agua)</v>
      </c>
      <c r="H1347" s="146" t="str">
        <f>+VLOOKUP(D1347,'3. Cuentas'!A:F,6,0)</f>
        <v>SI</v>
      </c>
    </row>
    <row r="1348" spans="1:8" x14ac:dyDescent="0.25">
      <c r="A1348" s="43">
        <v>10236204</v>
      </c>
      <c r="B1348" t="s">
        <v>1140</v>
      </c>
      <c r="C1348" s="43" t="s">
        <v>1624</v>
      </c>
      <c r="D1348" s="43">
        <v>1109020</v>
      </c>
      <c r="E1348" t="s">
        <v>302</v>
      </c>
      <c r="F1348" s="47" t="str">
        <f>+Centro_Cuenta8[[#This Row],[Codigo Centro Gestion]]&amp;" - "&amp;Centro_Cuenta8[[#This Row],[Nombre Centro Gestion]]</f>
        <v>10236204 - Edificio Pedro Prado-Proyecto</v>
      </c>
      <c r="G1348" s="47" t="str">
        <f>+Centro_Cuenta8[[#This Row],[Código Cuenta Contable]]&amp;" - "&amp;Centro_Cuenta8[[#This Row],[Nombre de Cuenta Contable]]</f>
        <v>1109020 - Mobiliario</v>
      </c>
      <c r="H1348" s="146" t="str">
        <f>+VLOOKUP(D1348,'3. Cuentas'!A:F,6,0)</f>
        <v>SI</v>
      </c>
    </row>
    <row r="1349" spans="1:8" x14ac:dyDescent="0.25">
      <c r="A1349" s="43">
        <v>10236204</v>
      </c>
      <c r="B1349" t="s">
        <v>1140</v>
      </c>
      <c r="C1349" s="43" t="s">
        <v>1624</v>
      </c>
      <c r="D1349" s="43">
        <v>1110040</v>
      </c>
      <c r="E1349" t="s">
        <v>1505</v>
      </c>
      <c r="F1349" s="47" t="str">
        <f>+Centro_Cuenta8[[#This Row],[Codigo Centro Gestion]]&amp;" - "&amp;Centro_Cuenta8[[#This Row],[Nombre Centro Gestion]]</f>
        <v>10236204 - Edificio Pedro Prado-Proyecto</v>
      </c>
      <c r="G1349" s="47" t="str">
        <f>+Centro_Cuenta8[[#This Row],[Código Cuenta Contable]]&amp;" - "&amp;Centro_Cuenta8[[#This Row],[Nombre de Cuenta Contable]]</f>
        <v>1110040 - Garantía Pagadas</v>
      </c>
      <c r="H1349" s="146" t="str">
        <f>+VLOOKUP(D1349,'3. Cuentas'!A:F,6,0)</f>
        <v>SI</v>
      </c>
    </row>
    <row r="1350" spans="1:8" x14ac:dyDescent="0.25">
      <c r="A1350" s="43">
        <v>10236204</v>
      </c>
      <c r="B1350" t="s">
        <v>1140</v>
      </c>
      <c r="C1350" s="43" t="s">
        <v>1624</v>
      </c>
      <c r="D1350" s="43">
        <v>1115040</v>
      </c>
      <c r="E1350" t="s">
        <v>291</v>
      </c>
      <c r="F1350" s="47" t="str">
        <f>+Centro_Cuenta8[[#This Row],[Codigo Centro Gestion]]&amp;" - "&amp;Centro_Cuenta8[[#This Row],[Nombre Centro Gestion]]</f>
        <v>10236204 - Edificio Pedro Prado-Proyecto</v>
      </c>
      <c r="G1350" s="47" t="str">
        <f>+Centro_Cuenta8[[#This Row],[Código Cuenta Contable]]&amp;" - "&amp;Centro_Cuenta8[[#This Row],[Nombre de Cuenta Contable]]</f>
        <v>1115040 - Saneamiento De Terreno</v>
      </c>
      <c r="H1350" s="146" t="str">
        <f>+VLOOKUP(D1350,'3. Cuentas'!A:F,6,0)</f>
        <v>SI</v>
      </c>
    </row>
    <row r="1351" spans="1:8" x14ac:dyDescent="0.25">
      <c r="A1351" s="43">
        <v>10236204</v>
      </c>
      <c r="B1351" t="s">
        <v>1140</v>
      </c>
      <c r="C1351" s="43" t="s">
        <v>1624</v>
      </c>
      <c r="D1351" s="43">
        <v>1115050</v>
      </c>
      <c r="E1351" t="s">
        <v>1628</v>
      </c>
      <c r="F1351" s="47" t="str">
        <f>+Centro_Cuenta8[[#This Row],[Codigo Centro Gestion]]&amp;" - "&amp;Centro_Cuenta8[[#This Row],[Nombre Centro Gestion]]</f>
        <v>10236204 - Edificio Pedro Prado-Proyecto</v>
      </c>
      <c r="G1351" s="47" t="str">
        <f>+Centro_Cuenta8[[#This Row],[Código Cuenta Contable]]&amp;" - "&amp;Centro_Cuenta8[[#This Row],[Nombre de Cuenta Contable]]</f>
        <v>1115050 - Demolición</v>
      </c>
      <c r="H1351" s="146" t="str">
        <f>+VLOOKUP(D1351,'3. Cuentas'!A:F,6,0)</f>
        <v>SI</v>
      </c>
    </row>
    <row r="1352" spans="1:8" x14ac:dyDescent="0.25">
      <c r="A1352" s="43">
        <v>10236204</v>
      </c>
      <c r="B1352" t="s">
        <v>1140</v>
      </c>
      <c r="C1352" s="43" t="s">
        <v>1624</v>
      </c>
      <c r="D1352" s="43">
        <v>1115100</v>
      </c>
      <c r="E1352" t="s">
        <v>292</v>
      </c>
      <c r="F1352" s="47" t="str">
        <f>+Centro_Cuenta8[[#This Row],[Codigo Centro Gestion]]&amp;" - "&amp;Centro_Cuenta8[[#This Row],[Nombre Centro Gestion]]</f>
        <v>10236204 - Edificio Pedro Prado-Proyecto</v>
      </c>
      <c r="G1352" s="47" t="str">
        <f>+Centro_Cuenta8[[#This Row],[Código Cuenta Contable]]&amp;" - "&amp;Centro_Cuenta8[[#This Row],[Nombre de Cuenta Contable]]</f>
        <v>1115100 - Proyectos Y Especialidades</v>
      </c>
      <c r="H1352" s="146" t="str">
        <f>+VLOOKUP(D1352,'3. Cuentas'!A:F,6,0)</f>
        <v>SI</v>
      </c>
    </row>
    <row r="1353" spans="1:8" x14ac:dyDescent="0.25">
      <c r="A1353" s="43">
        <v>10236204</v>
      </c>
      <c r="B1353" t="s">
        <v>1140</v>
      </c>
      <c r="C1353" s="43" t="s">
        <v>1624</v>
      </c>
      <c r="D1353" s="43">
        <v>1115120</v>
      </c>
      <c r="E1353" t="s">
        <v>1633</v>
      </c>
      <c r="F1353" s="47" t="str">
        <f>+Centro_Cuenta8[[#This Row],[Codigo Centro Gestion]]&amp;" - "&amp;Centro_Cuenta8[[#This Row],[Nombre Centro Gestion]]</f>
        <v>10236204 - Edificio Pedro Prado-Proyecto</v>
      </c>
      <c r="G1353" s="47" t="str">
        <f>+Centro_Cuenta8[[#This Row],[Código Cuenta Contable]]&amp;" - "&amp;Centro_Cuenta8[[#This Row],[Nombre de Cuenta Contable]]</f>
        <v>1115120 - Instalación Empalmes</v>
      </c>
      <c r="H1353" s="146" t="str">
        <f>+VLOOKUP(D1353,'3. Cuentas'!A:F,6,0)</f>
        <v>SI</v>
      </c>
    </row>
    <row r="1354" spans="1:8" x14ac:dyDescent="0.25">
      <c r="A1354" s="43">
        <v>10236204</v>
      </c>
      <c r="B1354" t="s">
        <v>1140</v>
      </c>
      <c r="C1354" s="43" t="s">
        <v>1624</v>
      </c>
      <c r="D1354" s="43">
        <v>1115170</v>
      </c>
      <c r="E1354" t="s">
        <v>293</v>
      </c>
      <c r="F1354" s="47" t="str">
        <f>+Centro_Cuenta8[[#This Row],[Codigo Centro Gestion]]&amp;" - "&amp;Centro_Cuenta8[[#This Row],[Nombre Centro Gestion]]</f>
        <v>10236204 - Edificio Pedro Prado-Proyecto</v>
      </c>
      <c r="G1354" s="47" t="str">
        <f>+Centro_Cuenta8[[#This Row],[Código Cuenta Contable]]&amp;" - "&amp;Centro_Cuenta8[[#This Row],[Nombre de Cuenta Contable]]</f>
        <v>1115170 - Permisos Y Otros Gastos Municipales</v>
      </c>
      <c r="H1354" s="146" t="str">
        <f>+VLOOKUP(D1354,'3. Cuentas'!A:F,6,0)</f>
        <v>SI</v>
      </c>
    </row>
    <row r="1355" spans="1:8" x14ac:dyDescent="0.25">
      <c r="A1355" s="43">
        <v>10236204</v>
      </c>
      <c r="B1355" t="s">
        <v>1140</v>
      </c>
      <c r="C1355" s="43" t="s">
        <v>1624</v>
      </c>
      <c r="D1355" s="43">
        <v>1115240</v>
      </c>
      <c r="E1355" t="s">
        <v>294</v>
      </c>
      <c r="F1355" s="47" t="str">
        <f>+Centro_Cuenta8[[#This Row],[Codigo Centro Gestion]]&amp;" - "&amp;Centro_Cuenta8[[#This Row],[Nombre Centro Gestion]]</f>
        <v>10236204 - Edificio Pedro Prado-Proyecto</v>
      </c>
      <c r="G1355" s="47" t="str">
        <f>+Centro_Cuenta8[[#This Row],[Código Cuenta Contable]]&amp;" - "&amp;Centro_Cuenta8[[#This Row],[Nombre de Cuenta Contable]]</f>
        <v>1115240 - Estudios Y Asesorias Técnicas</v>
      </c>
      <c r="H1355" s="146" t="str">
        <f>+VLOOKUP(D1355,'3. Cuentas'!A:F,6,0)</f>
        <v>SI</v>
      </c>
    </row>
    <row r="1356" spans="1:8" x14ac:dyDescent="0.25">
      <c r="A1356" s="43">
        <v>10236204</v>
      </c>
      <c r="B1356" t="s">
        <v>1140</v>
      </c>
      <c r="C1356" s="43" t="s">
        <v>1624</v>
      </c>
      <c r="D1356" s="43">
        <v>4203090</v>
      </c>
      <c r="E1356" t="s">
        <v>192</v>
      </c>
      <c r="F1356" s="47" t="str">
        <f>+Centro_Cuenta8[[#This Row],[Codigo Centro Gestion]]&amp;" - "&amp;Centro_Cuenta8[[#This Row],[Nombre Centro Gestion]]</f>
        <v>10236204 - Edificio Pedro Prado-Proyecto</v>
      </c>
      <c r="G1356" s="47" t="str">
        <f>+Centro_Cuenta8[[#This Row],[Código Cuenta Contable]]&amp;" - "&amp;Centro_Cuenta8[[#This Row],[Nombre de Cuenta Contable]]</f>
        <v>4203090 - Gastos Legales Y Notariales Proyecto</v>
      </c>
      <c r="H1356" s="146" t="str">
        <f>+VLOOKUP(D1356,'3. Cuentas'!A:F,6,0)</f>
        <v>SI</v>
      </c>
    </row>
    <row r="1357" spans="1:8" x14ac:dyDescent="0.25">
      <c r="A1357" s="43">
        <v>10236204</v>
      </c>
      <c r="B1357" t="s">
        <v>1140</v>
      </c>
      <c r="C1357" s="43" t="s">
        <v>1624</v>
      </c>
      <c r="D1357" s="43">
        <v>4203140</v>
      </c>
      <c r="E1357" t="s">
        <v>109</v>
      </c>
      <c r="F1357" s="47" t="str">
        <f>+Centro_Cuenta8[[#This Row],[Codigo Centro Gestion]]&amp;" - "&amp;Centro_Cuenta8[[#This Row],[Nombre Centro Gestion]]</f>
        <v>10236204 - Edificio Pedro Prado-Proyecto</v>
      </c>
      <c r="G1357" s="47" t="str">
        <f>+Centro_Cuenta8[[#This Row],[Código Cuenta Contable]]&amp;" - "&amp;Centro_Cuenta8[[#This Row],[Nombre de Cuenta Contable]]</f>
        <v>4203140 - Contribuciones</v>
      </c>
      <c r="H1357" s="146" t="str">
        <f>+VLOOKUP(D1357,'3. Cuentas'!A:F,6,0)</f>
        <v>SI</v>
      </c>
    </row>
    <row r="1358" spans="1:8" x14ac:dyDescent="0.25">
      <c r="A1358" s="43">
        <v>10236204</v>
      </c>
      <c r="B1358" t="s">
        <v>1140</v>
      </c>
      <c r="C1358" s="43" t="s">
        <v>1624</v>
      </c>
      <c r="D1358" s="43">
        <v>4203150</v>
      </c>
      <c r="E1358" t="s">
        <v>156</v>
      </c>
      <c r="F1358" s="47" t="str">
        <f>+Centro_Cuenta8[[#This Row],[Codigo Centro Gestion]]&amp;" - "&amp;Centro_Cuenta8[[#This Row],[Nombre Centro Gestion]]</f>
        <v>10236204 - Edificio Pedro Prado-Proyecto</v>
      </c>
      <c r="G1358" s="47" t="str">
        <f>+Centro_Cuenta8[[#This Row],[Código Cuenta Contable]]&amp;" - "&amp;Centro_Cuenta8[[#This Row],[Nombre de Cuenta Contable]]</f>
        <v>4203150 - Gastos CBR</v>
      </c>
      <c r="H1358" s="146" t="str">
        <f>+VLOOKUP(D1358,'3. Cuentas'!A:F,6,0)</f>
        <v>SI</v>
      </c>
    </row>
    <row r="1359" spans="1:8" x14ac:dyDescent="0.25">
      <c r="A1359" s="43">
        <v>10236204</v>
      </c>
      <c r="B1359" t="s">
        <v>1140</v>
      </c>
      <c r="C1359" s="43" t="s">
        <v>1624</v>
      </c>
      <c r="D1359" s="43">
        <v>4203160</v>
      </c>
      <c r="E1359" t="s">
        <v>1639</v>
      </c>
      <c r="F1359" s="47" t="str">
        <f>+Centro_Cuenta8[[#This Row],[Codigo Centro Gestion]]&amp;" - "&amp;Centro_Cuenta8[[#This Row],[Nombre Centro Gestion]]</f>
        <v>10236204 - Edificio Pedro Prado-Proyecto</v>
      </c>
      <c r="G1359" s="47" t="str">
        <f>+Centro_Cuenta8[[#This Row],[Código Cuenta Contable]]&amp;" - "&amp;Centro_Cuenta8[[#This Row],[Nombre de Cuenta Contable]]</f>
        <v>4203160 - PAPELERIA Y FOTOCOPIADO</v>
      </c>
      <c r="H1359" s="146" t="str">
        <f>+VLOOKUP(D1359,'3. Cuentas'!A:F,6,0)</f>
        <v>SI</v>
      </c>
    </row>
    <row r="1360" spans="1:8" x14ac:dyDescent="0.25">
      <c r="A1360" s="43">
        <v>10236204</v>
      </c>
      <c r="B1360" t="s">
        <v>1140</v>
      </c>
      <c r="C1360" s="43" t="s">
        <v>1624</v>
      </c>
      <c r="D1360" s="43">
        <v>4203180</v>
      </c>
      <c r="E1360" t="s">
        <v>1640</v>
      </c>
      <c r="F1360" s="47" t="str">
        <f>+Centro_Cuenta8[[#This Row],[Codigo Centro Gestion]]&amp;" - "&amp;Centro_Cuenta8[[#This Row],[Nombre Centro Gestion]]</f>
        <v>10236204 - Edificio Pedro Prado-Proyecto</v>
      </c>
      <c r="G1360" s="47" t="str">
        <f>+Centro_Cuenta8[[#This Row],[Código Cuenta Contable]]&amp;" - "&amp;Centro_Cuenta8[[#This Row],[Nombre de Cuenta Contable]]</f>
        <v>4203180 - Otros Gastos y Aseso Proy</v>
      </c>
      <c r="H1360" s="146" t="str">
        <f>+VLOOKUP(D1360,'3. Cuentas'!A:F,6,0)</f>
        <v>SI</v>
      </c>
    </row>
    <row r="1361" spans="1:8" x14ac:dyDescent="0.25">
      <c r="A1361" s="43">
        <v>10236301</v>
      </c>
      <c r="B1361" t="s">
        <v>1141</v>
      </c>
      <c r="C1361" s="43" t="s">
        <v>1643</v>
      </c>
      <c r="D1361" s="43">
        <v>4203090</v>
      </c>
      <c r="E1361" t="s">
        <v>192</v>
      </c>
      <c r="F1361" s="47" t="str">
        <f>+Centro_Cuenta8[[#This Row],[Codigo Centro Gestion]]&amp;" - "&amp;Centro_Cuenta8[[#This Row],[Nombre Centro Gestion]]</f>
        <v>10236301 - Edificio Pedro Prado-GAF</v>
      </c>
      <c r="G1361" s="47" t="str">
        <f>+Centro_Cuenta8[[#This Row],[Código Cuenta Contable]]&amp;" - "&amp;Centro_Cuenta8[[#This Row],[Nombre de Cuenta Contable]]</f>
        <v>4203090 - Gastos Legales Y Notariales Proyecto</v>
      </c>
      <c r="H1361" s="146" t="str">
        <f>+VLOOKUP(D1361,'3. Cuentas'!A:F,6,0)</f>
        <v>SI</v>
      </c>
    </row>
    <row r="1362" spans="1:8" x14ac:dyDescent="0.25">
      <c r="A1362" s="43">
        <v>10236301</v>
      </c>
      <c r="B1362" t="s">
        <v>1141</v>
      </c>
      <c r="C1362" s="43" t="s">
        <v>1643</v>
      </c>
      <c r="D1362" s="43">
        <v>4203140</v>
      </c>
      <c r="E1362" t="s">
        <v>109</v>
      </c>
      <c r="F1362" s="47" t="str">
        <f>+Centro_Cuenta8[[#This Row],[Codigo Centro Gestion]]&amp;" - "&amp;Centro_Cuenta8[[#This Row],[Nombre Centro Gestion]]</f>
        <v>10236301 - Edificio Pedro Prado-GAF</v>
      </c>
      <c r="G1362" s="47" t="str">
        <f>+Centro_Cuenta8[[#This Row],[Código Cuenta Contable]]&amp;" - "&amp;Centro_Cuenta8[[#This Row],[Nombre de Cuenta Contable]]</f>
        <v>4203140 - Contribuciones</v>
      </c>
      <c r="H1362" s="146" t="str">
        <f>+VLOOKUP(D1362,'3. Cuentas'!A:F,6,0)</f>
        <v>SI</v>
      </c>
    </row>
    <row r="1363" spans="1:8" x14ac:dyDescent="0.25">
      <c r="A1363" s="43">
        <v>10236506</v>
      </c>
      <c r="B1363" t="s">
        <v>1143</v>
      </c>
      <c r="C1363" s="43" t="s">
        <v>200</v>
      </c>
      <c r="D1363" s="43">
        <v>1115100</v>
      </c>
      <c r="E1363" t="s">
        <v>292</v>
      </c>
      <c r="F1363" s="47" t="str">
        <f>+Centro_Cuenta8[[#This Row],[Codigo Centro Gestion]]&amp;" - "&amp;Centro_Cuenta8[[#This Row],[Nombre Centro Gestion]]</f>
        <v>10236506 - Edificio Pedro Prado-DEPTO.TÉCNICO</v>
      </c>
      <c r="G1363" s="47" t="str">
        <f>+Centro_Cuenta8[[#This Row],[Código Cuenta Contable]]&amp;" - "&amp;Centro_Cuenta8[[#This Row],[Nombre de Cuenta Contable]]</f>
        <v>1115100 - Proyectos Y Especialidades</v>
      </c>
      <c r="H1363" s="146" t="str">
        <f>+VLOOKUP(D1363,'3. Cuentas'!A:F,6,0)</f>
        <v>SI</v>
      </c>
    </row>
    <row r="1364" spans="1:8" x14ac:dyDescent="0.25">
      <c r="A1364" s="43">
        <v>10239102</v>
      </c>
      <c r="B1364" t="s">
        <v>1144</v>
      </c>
      <c r="C1364" s="43" t="s">
        <v>1617</v>
      </c>
      <c r="D1364" s="43">
        <v>4204010</v>
      </c>
      <c r="E1364" t="s">
        <v>313</v>
      </c>
      <c r="F1364" s="47" t="str">
        <f>+Centro_Cuenta8[[#This Row],[Codigo Centro Gestion]]&amp;" - "&amp;Centro_Cuenta8[[#This Row],[Nombre Centro Gestion]]</f>
        <v>10239102 - Alto Mirador-Marketing</v>
      </c>
      <c r="G1364" s="47" t="str">
        <f>+Centro_Cuenta8[[#This Row],[Código Cuenta Contable]]&amp;" - "&amp;Centro_Cuenta8[[#This Row],[Nombre de Cuenta Contable]]</f>
        <v>4204010 - Publicidad Punto Venta</v>
      </c>
      <c r="H1364" s="146" t="str">
        <f>+VLOOKUP(D1364,'3. Cuentas'!A:F,6,0)</f>
        <v>SI</v>
      </c>
    </row>
    <row r="1365" spans="1:8" x14ac:dyDescent="0.25">
      <c r="A1365" s="43">
        <v>10239102</v>
      </c>
      <c r="B1365" t="s">
        <v>1144</v>
      </c>
      <c r="C1365" s="43" t="s">
        <v>1617</v>
      </c>
      <c r="D1365" s="43">
        <v>4204021</v>
      </c>
      <c r="E1365" t="s">
        <v>329</v>
      </c>
      <c r="F1365" s="47" t="str">
        <f>+Centro_Cuenta8[[#This Row],[Codigo Centro Gestion]]&amp;" - "&amp;Centro_Cuenta8[[#This Row],[Nombre Centro Gestion]]</f>
        <v>10239102 - Alto Mirador-Marketing</v>
      </c>
      <c r="G1365" s="47" t="str">
        <f>+Centro_Cuenta8[[#This Row],[Código Cuenta Contable]]&amp;" - "&amp;Centro_Cuenta8[[#This Row],[Nombre de Cuenta Contable]]</f>
        <v>4204021 - Publicidad Ferias Y Eventos</v>
      </c>
      <c r="H1365" s="146" t="str">
        <f>+VLOOKUP(D1365,'3. Cuentas'!A:F,6,0)</f>
        <v>SI</v>
      </c>
    </row>
    <row r="1366" spans="1:8" x14ac:dyDescent="0.25">
      <c r="A1366" s="43">
        <v>10239103</v>
      </c>
      <c r="B1366" t="s">
        <v>1145</v>
      </c>
      <c r="C1366" s="43" t="s">
        <v>1618</v>
      </c>
      <c r="D1366" s="43">
        <v>4203060</v>
      </c>
      <c r="E1366" t="s">
        <v>321</v>
      </c>
      <c r="F1366" s="47" t="str">
        <f>+Centro_Cuenta8[[#This Row],[Codigo Centro Gestion]]&amp;" - "&amp;Centro_Cuenta8[[#This Row],[Nombre Centro Gestion]]</f>
        <v>10239103 - Alto Mirador-Operaciones</v>
      </c>
      <c r="G1366" s="47" t="str">
        <f>+Centro_Cuenta8[[#This Row],[Código Cuenta Contable]]&amp;" - "&amp;Centro_Cuenta8[[#This Row],[Nombre de Cuenta Contable]]</f>
        <v>4203060 - Gastos Operacionales De Clientes</v>
      </c>
      <c r="H1366" s="146" t="str">
        <f>+VLOOKUP(D1366,'3. Cuentas'!A:F,6,0)</f>
        <v>SI</v>
      </c>
    </row>
    <row r="1367" spans="1:8" x14ac:dyDescent="0.25">
      <c r="A1367" s="43">
        <v>10239103</v>
      </c>
      <c r="B1367" t="s">
        <v>1145</v>
      </c>
      <c r="C1367" s="43" t="s">
        <v>1618</v>
      </c>
      <c r="D1367" s="43">
        <v>4203090</v>
      </c>
      <c r="E1367" t="s">
        <v>192</v>
      </c>
      <c r="F1367" s="47" t="str">
        <f>+Centro_Cuenta8[[#This Row],[Codigo Centro Gestion]]&amp;" - "&amp;Centro_Cuenta8[[#This Row],[Nombre Centro Gestion]]</f>
        <v>10239103 - Alto Mirador-Operaciones</v>
      </c>
      <c r="G1367" s="47" t="str">
        <f>+Centro_Cuenta8[[#This Row],[Código Cuenta Contable]]&amp;" - "&amp;Centro_Cuenta8[[#This Row],[Nombre de Cuenta Contable]]</f>
        <v>4203090 - Gastos Legales Y Notariales Proyecto</v>
      </c>
      <c r="H1367" s="146" t="str">
        <f>+VLOOKUP(D1367,'3. Cuentas'!A:F,6,0)</f>
        <v>SI</v>
      </c>
    </row>
    <row r="1368" spans="1:8" x14ac:dyDescent="0.25">
      <c r="A1368" s="43">
        <v>10239104</v>
      </c>
      <c r="B1368" t="s">
        <v>1146</v>
      </c>
      <c r="C1368" s="43" t="s">
        <v>90</v>
      </c>
      <c r="D1368" s="43">
        <v>1110040</v>
      </c>
      <c r="E1368" t="s">
        <v>1505</v>
      </c>
      <c r="F1368" s="47" t="str">
        <f>+Centro_Cuenta8[[#This Row],[Codigo Centro Gestion]]&amp;" - "&amp;Centro_Cuenta8[[#This Row],[Nombre Centro Gestion]]</f>
        <v>10239104 - Alto Mirador-Ventas</v>
      </c>
      <c r="G1368" s="47" t="str">
        <f>+Centro_Cuenta8[[#This Row],[Código Cuenta Contable]]&amp;" - "&amp;Centro_Cuenta8[[#This Row],[Nombre de Cuenta Contable]]</f>
        <v>1110040 - Garantía Pagadas</v>
      </c>
      <c r="H1368" s="146" t="str">
        <f>+VLOOKUP(D1368,'3. Cuentas'!A:F,6,0)</f>
        <v>SI</v>
      </c>
    </row>
    <row r="1369" spans="1:8" x14ac:dyDescent="0.25">
      <c r="A1369" s="43">
        <v>10239104</v>
      </c>
      <c r="B1369" t="s">
        <v>1146</v>
      </c>
      <c r="C1369" s="43" t="s">
        <v>90</v>
      </c>
      <c r="D1369" s="43">
        <v>4202003</v>
      </c>
      <c r="E1369" t="s">
        <v>106</v>
      </c>
      <c r="F1369" s="47" t="str">
        <f>+Centro_Cuenta8[[#This Row],[Codigo Centro Gestion]]&amp;" - "&amp;Centro_Cuenta8[[#This Row],[Nombre Centro Gestion]]</f>
        <v>10239104 - Alto Mirador-Ventas</v>
      </c>
      <c r="G1369" s="47" t="str">
        <f>+Centro_Cuenta8[[#This Row],[Código Cuenta Contable]]&amp;" - "&amp;Centro_Cuenta8[[#This Row],[Nombre de Cuenta Contable]]</f>
        <v>4202003 - Serv.Basic.Luz.Agua.Tel Of.C</v>
      </c>
      <c r="H1369" s="146" t="str">
        <f>+VLOOKUP(D1369,'3. Cuentas'!A:F,6,0)</f>
        <v>SI</v>
      </c>
    </row>
    <row r="1370" spans="1:8" x14ac:dyDescent="0.25">
      <c r="A1370" s="43">
        <v>10239104</v>
      </c>
      <c r="B1370" t="s">
        <v>1146</v>
      </c>
      <c r="C1370" s="43" t="s">
        <v>90</v>
      </c>
      <c r="D1370" s="43">
        <v>4202010</v>
      </c>
      <c r="E1370" t="s">
        <v>87</v>
      </c>
      <c r="F1370" s="47" t="str">
        <f>+Centro_Cuenta8[[#This Row],[Codigo Centro Gestion]]&amp;" - "&amp;Centro_Cuenta8[[#This Row],[Nombre Centro Gestion]]</f>
        <v>10239104 - Alto Mirador-Ventas</v>
      </c>
      <c r="G1370" s="47" t="str">
        <f>+Centro_Cuenta8[[#This Row],[Código Cuenta Contable]]&amp;" - "&amp;Centro_Cuenta8[[#This Row],[Nombre de Cuenta Contable]]</f>
        <v>4202010 - Artic. Ofic. Fotocop.Papelería</v>
      </c>
      <c r="H1370" s="146" t="str">
        <f>+VLOOKUP(D1370,'3. Cuentas'!A:F,6,0)</f>
        <v>SI</v>
      </c>
    </row>
    <row r="1371" spans="1:8" x14ac:dyDescent="0.25">
      <c r="A1371" s="43">
        <v>10239104</v>
      </c>
      <c r="B1371" t="s">
        <v>1146</v>
      </c>
      <c r="C1371" s="43" t="s">
        <v>90</v>
      </c>
      <c r="D1371" s="43">
        <v>4202019</v>
      </c>
      <c r="E1371" t="s">
        <v>81</v>
      </c>
      <c r="F1371" s="47" t="str">
        <f>+Centro_Cuenta8[[#This Row],[Codigo Centro Gestion]]&amp;" - "&amp;Centro_Cuenta8[[#This Row],[Nombre Centro Gestion]]</f>
        <v>10239104 - Alto Mirador-Ventas</v>
      </c>
      <c r="G1371" s="47" t="str">
        <f>+Centro_Cuenta8[[#This Row],[Código Cuenta Contable]]&amp;" - "&amp;Centro_Cuenta8[[#This Row],[Nombre de Cuenta Contable]]</f>
        <v>4202019 - Gasto General Oficina</v>
      </c>
      <c r="H1371" s="146" t="str">
        <f>+VLOOKUP(D1371,'3. Cuentas'!A:F,6,0)</f>
        <v>SI</v>
      </c>
    </row>
    <row r="1372" spans="1:8" x14ac:dyDescent="0.25">
      <c r="A1372" s="43">
        <v>10239104</v>
      </c>
      <c r="B1372" t="s">
        <v>1146</v>
      </c>
      <c r="C1372" s="43" t="s">
        <v>90</v>
      </c>
      <c r="D1372" s="43">
        <v>4202023</v>
      </c>
      <c r="E1372" t="s">
        <v>82</v>
      </c>
      <c r="F1372" s="47" t="str">
        <f>+Centro_Cuenta8[[#This Row],[Codigo Centro Gestion]]&amp;" - "&amp;Centro_Cuenta8[[#This Row],[Nombre Centro Gestion]]</f>
        <v>10239104 - Alto Mirador-Ventas</v>
      </c>
      <c r="G1372" s="47" t="str">
        <f>+Centro_Cuenta8[[#This Row],[Código Cuenta Contable]]&amp;" - "&amp;Centro_Cuenta8[[#This Row],[Nombre de Cuenta Contable]]</f>
        <v>4202023 - Honorarios Por Asesorías</v>
      </c>
      <c r="H1372" s="146" t="str">
        <f>+VLOOKUP(D1372,'3. Cuentas'!A:F,6,0)</f>
        <v>SI</v>
      </c>
    </row>
    <row r="1373" spans="1:8" x14ac:dyDescent="0.25">
      <c r="A1373" s="43">
        <v>10239104</v>
      </c>
      <c r="B1373" t="s">
        <v>1146</v>
      </c>
      <c r="C1373" s="43" t="s">
        <v>90</v>
      </c>
      <c r="D1373" s="43">
        <v>4202029</v>
      </c>
      <c r="E1373" t="s">
        <v>83</v>
      </c>
      <c r="F1373" s="47" t="str">
        <f>+Centro_Cuenta8[[#This Row],[Codigo Centro Gestion]]&amp;" - "&amp;Centro_Cuenta8[[#This Row],[Nombre Centro Gestion]]</f>
        <v>10239104 - Alto Mirador-Ventas</v>
      </c>
      <c r="G1373" s="47" t="str">
        <f>+Centro_Cuenta8[[#This Row],[Código Cuenta Contable]]&amp;" - "&amp;Centro_Cuenta8[[#This Row],[Nombre de Cuenta Contable]]</f>
        <v>4202029 - Insumos Y Gastos Informáticos</v>
      </c>
      <c r="H1373" s="146" t="str">
        <f>+VLOOKUP(D1373,'3. Cuentas'!A:F,6,0)</f>
        <v>SI</v>
      </c>
    </row>
    <row r="1374" spans="1:8" x14ac:dyDescent="0.25">
      <c r="A1374" s="43">
        <v>10239104</v>
      </c>
      <c r="B1374" t="s">
        <v>1146</v>
      </c>
      <c r="C1374" s="43" t="s">
        <v>90</v>
      </c>
      <c r="D1374" s="43">
        <v>4204021</v>
      </c>
      <c r="E1374" t="s">
        <v>329</v>
      </c>
      <c r="F1374" s="47" t="str">
        <f>+Centro_Cuenta8[[#This Row],[Codigo Centro Gestion]]&amp;" - "&amp;Centro_Cuenta8[[#This Row],[Nombre Centro Gestion]]</f>
        <v>10239104 - Alto Mirador-Ventas</v>
      </c>
      <c r="G1374" s="47" t="str">
        <f>+Centro_Cuenta8[[#This Row],[Código Cuenta Contable]]&amp;" - "&amp;Centro_Cuenta8[[#This Row],[Nombre de Cuenta Contable]]</f>
        <v>4204021 - Publicidad Ferias Y Eventos</v>
      </c>
      <c r="H1374" s="146" t="str">
        <f>+VLOOKUP(D1374,'3. Cuentas'!A:F,6,0)</f>
        <v>SI</v>
      </c>
    </row>
    <row r="1375" spans="1:8" x14ac:dyDescent="0.25">
      <c r="A1375" s="43">
        <v>10239105</v>
      </c>
      <c r="B1375" t="s">
        <v>1147</v>
      </c>
      <c r="C1375" s="43" t="s">
        <v>1622</v>
      </c>
      <c r="D1375" s="43">
        <v>4203020</v>
      </c>
      <c r="E1375" t="s">
        <v>295</v>
      </c>
      <c r="F1375" s="47" t="str">
        <f>+Centro_Cuenta8[[#This Row],[Codigo Centro Gestion]]&amp;" - "&amp;Centro_Cuenta8[[#This Row],[Nombre Centro Gestion]]</f>
        <v>10239105 - Alto Mirador-Clientes</v>
      </c>
      <c r="G1375" s="47" t="str">
        <f>+Centro_Cuenta8[[#This Row],[Código Cuenta Contable]]&amp;" - "&amp;Centro_Cuenta8[[#This Row],[Nombre de Cuenta Contable]]</f>
        <v>4203020 - Mant. y Consum. Viv Stock</v>
      </c>
      <c r="H1375" s="146" t="str">
        <f>+VLOOKUP(D1375,'3. Cuentas'!A:F,6,0)</f>
        <v>SI</v>
      </c>
    </row>
    <row r="1376" spans="1:8" x14ac:dyDescent="0.25">
      <c r="A1376" s="43">
        <v>10239105</v>
      </c>
      <c r="B1376" t="s">
        <v>1147</v>
      </c>
      <c r="C1376" s="43" t="s">
        <v>1622</v>
      </c>
      <c r="D1376" s="43">
        <v>4203120</v>
      </c>
      <c r="E1376" t="s">
        <v>108</v>
      </c>
      <c r="F1376" s="47" t="str">
        <f>+Centro_Cuenta8[[#This Row],[Codigo Centro Gestion]]&amp;" - "&amp;Centro_Cuenta8[[#This Row],[Nombre Centro Gestion]]</f>
        <v>10239105 - Alto Mirador-Clientes</v>
      </c>
      <c r="G1376" s="47" t="str">
        <f>+Centro_Cuenta8[[#This Row],[Código Cuenta Contable]]&amp;" - "&amp;Centro_Cuenta8[[#This Row],[Nombre de Cuenta Contable]]</f>
        <v>4203120 - Gastos Comunes</v>
      </c>
      <c r="H1376" s="146" t="str">
        <f>+VLOOKUP(D1376,'3. Cuentas'!A:F,6,0)</f>
        <v>SI</v>
      </c>
    </row>
    <row r="1377" spans="1:8" x14ac:dyDescent="0.25">
      <c r="A1377" s="43">
        <v>10239105</v>
      </c>
      <c r="B1377" t="s">
        <v>1147</v>
      </c>
      <c r="C1377" s="43" t="s">
        <v>1622</v>
      </c>
      <c r="D1377" s="43">
        <v>4203140</v>
      </c>
      <c r="E1377" t="s">
        <v>109</v>
      </c>
      <c r="F1377" s="47" t="str">
        <f>+Centro_Cuenta8[[#This Row],[Codigo Centro Gestion]]&amp;" - "&amp;Centro_Cuenta8[[#This Row],[Nombre Centro Gestion]]</f>
        <v>10239105 - Alto Mirador-Clientes</v>
      </c>
      <c r="G1377" s="47" t="str">
        <f>+Centro_Cuenta8[[#This Row],[Código Cuenta Contable]]&amp;" - "&amp;Centro_Cuenta8[[#This Row],[Nombre de Cuenta Contable]]</f>
        <v>4203140 - Contribuciones</v>
      </c>
      <c r="H1377" s="146" t="str">
        <f>+VLOOKUP(D1377,'3. Cuentas'!A:F,6,0)</f>
        <v>SI</v>
      </c>
    </row>
    <row r="1378" spans="1:8" x14ac:dyDescent="0.25">
      <c r="A1378" s="43">
        <v>10239204</v>
      </c>
      <c r="B1378" t="s">
        <v>1148</v>
      </c>
      <c r="C1378" s="43" t="s">
        <v>1624</v>
      </c>
      <c r="D1378" s="43">
        <v>1103045</v>
      </c>
      <c r="E1378" t="s">
        <v>323</v>
      </c>
      <c r="F1378" s="47" t="str">
        <f>+Centro_Cuenta8[[#This Row],[Codigo Centro Gestion]]&amp;" - "&amp;Centro_Cuenta8[[#This Row],[Nombre Centro Gestion]]</f>
        <v>10239204 - Alto Mirador-Proyecto</v>
      </c>
      <c r="G1378" s="47" t="str">
        <f>+Centro_Cuenta8[[#This Row],[Código Cuenta Contable]]&amp;" - "&amp;Centro_Cuenta8[[#This Row],[Nombre de Cuenta Contable]]</f>
        <v>1103045 - Aportes reembolsables (electricidad y agua)</v>
      </c>
      <c r="H1378" s="146" t="str">
        <f>+VLOOKUP(D1378,'3. Cuentas'!A:F,6,0)</f>
        <v>SI</v>
      </c>
    </row>
    <row r="1379" spans="1:8" x14ac:dyDescent="0.25">
      <c r="A1379" s="43">
        <v>10239204</v>
      </c>
      <c r="B1379" t="s">
        <v>1148</v>
      </c>
      <c r="C1379" s="43" t="s">
        <v>1624</v>
      </c>
      <c r="D1379" s="43">
        <v>1109020</v>
      </c>
      <c r="E1379" t="s">
        <v>302</v>
      </c>
      <c r="F1379" s="47" t="str">
        <f>+Centro_Cuenta8[[#This Row],[Codigo Centro Gestion]]&amp;" - "&amp;Centro_Cuenta8[[#This Row],[Nombre Centro Gestion]]</f>
        <v>10239204 - Alto Mirador-Proyecto</v>
      </c>
      <c r="G1379" s="47" t="str">
        <f>+Centro_Cuenta8[[#This Row],[Código Cuenta Contable]]&amp;" - "&amp;Centro_Cuenta8[[#This Row],[Nombre de Cuenta Contable]]</f>
        <v>1109020 - Mobiliario</v>
      </c>
      <c r="H1379" s="146" t="str">
        <f>+VLOOKUP(D1379,'3. Cuentas'!A:F,6,0)</f>
        <v>SI</v>
      </c>
    </row>
    <row r="1380" spans="1:8" x14ac:dyDescent="0.25">
      <c r="A1380" s="43">
        <v>10239204</v>
      </c>
      <c r="B1380" t="s">
        <v>1148</v>
      </c>
      <c r="C1380" s="43" t="s">
        <v>1624</v>
      </c>
      <c r="D1380" s="43">
        <v>1110040</v>
      </c>
      <c r="E1380" t="s">
        <v>1505</v>
      </c>
      <c r="F1380" s="47" t="str">
        <f>+Centro_Cuenta8[[#This Row],[Codigo Centro Gestion]]&amp;" - "&amp;Centro_Cuenta8[[#This Row],[Nombre Centro Gestion]]</f>
        <v>10239204 - Alto Mirador-Proyecto</v>
      </c>
      <c r="G1380" s="47" t="str">
        <f>+Centro_Cuenta8[[#This Row],[Código Cuenta Contable]]&amp;" - "&amp;Centro_Cuenta8[[#This Row],[Nombre de Cuenta Contable]]</f>
        <v>1110040 - Garantía Pagadas</v>
      </c>
      <c r="H1380" s="146" t="str">
        <f>+VLOOKUP(D1380,'3. Cuentas'!A:F,6,0)</f>
        <v>SI</v>
      </c>
    </row>
    <row r="1381" spans="1:8" x14ac:dyDescent="0.25">
      <c r="A1381" s="43">
        <v>10239204</v>
      </c>
      <c r="B1381" t="s">
        <v>1148</v>
      </c>
      <c r="C1381" s="43" t="s">
        <v>1624</v>
      </c>
      <c r="D1381" s="43">
        <v>1115040</v>
      </c>
      <c r="E1381" t="s">
        <v>291</v>
      </c>
      <c r="F1381" s="47" t="str">
        <f>+Centro_Cuenta8[[#This Row],[Codigo Centro Gestion]]&amp;" - "&amp;Centro_Cuenta8[[#This Row],[Nombre Centro Gestion]]</f>
        <v>10239204 - Alto Mirador-Proyecto</v>
      </c>
      <c r="G1381" s="47" t="str">
        <f>+Centro_Cuenta8[[#This Row],[Código Cuenta Contable]]&amp;" - "&amp;Centro_Cuenta8[[#This Row],[Nombre de Cuenta Contable]]</f>
        <v>1115040 - Saneamiento De Terreno</v>
      </c>
      <c r="H1381" s="146" t="str">
        <f>+VLOOKUP(D1381,'3. Cuentas'!A:F,6,0)</f>
        <v>SI</v>
      </c>
    </row>
    <row r="1382" spans="1:8" x14ac:dyDescent="0.25">
      <c r="A1382" s="43">
        <v>10239204</v>
      </c>
      <c r="B1382" t="s">
        <v>1148</v>
      </c>
      <c r="C1382" s="43" t="s">
        <v>1624</v>
      </c>
      <c r="D1382" s="43">
        <v>1115050</v>
      </c>
      <c r="E1382" t="s">
        <v>1628</v>
      </c>
      <c r="F1382" s="47" t="str">
        <f>+Centro_Cuenta8[[#This Row],[Codigo Centro Gestion]]&amp;" - "&amp;Centro_Cuenta8[[#This Row],[Nombre Centro Gestion]]</f>
        <v>10239204 - Alto Mirador-Proyecto</v>
      </c>
      <c r="G1382" s="47" t="str">
        <f>+Centro_Cuenta8[[#This Row],[Código Cuenta Contable]]&amp;" - "&amp;Centro_Cuenta8[[#This Row],[Nombre de Cuenta Contable]]</f>
        <v>1115050 - Demolición</v>
      </c>
      <c r="H1382" s="146" t="str">
        <f>+VLOOKUP(D1382,'3. Cuentas'!A:F,6,0)</f>
        <v>SI</v>
      </c>
    </row>
    <row r="1383" spans="1:8" x14ac:dyDescent="0.25">
      <c r="A1383" s="43">
        <v>10239204</v>
      </c>
      <c r="B1383" t="s">
        <v>1148</v>
      </c>
      <c r="C1383" s="43" t="s">
        <v>1624</v>
      </c>
      <c r="D1383" s="43">
        <v>1115100</v>
      </c>
      <c r="E1383" t="s">
        <v>292</v>
      </c>
      <c r="F1383" s="47" t="str">
        <f>+Centro_Cuenta8[[#This Row],[Codigo Centro Gestion]]&amp;" - "&amp;Centro_Cuenta8[[#This Row],[Nombre Centro Gestion]]</f>
        <v>10239204 - Alto Mirador-Proyecto</v>
      </c>
      <c r="G1383" s="47" t="str">
        <f>+Centro_Cuenta8[[#This Row],[Código Cuenta Contable]]&amp;" - "&amp;Centro_Cuenta8[[#This Row],[Nombre de Cuenta Contable]]</f>
        <v>1115100 - Proyectos Y Especialidades</v>
      </c>
      <c r="H1383" s="146" t="str">
        <f>+VLOOKUP(D1383,'3. Cuentas'!A:F,6,0)</f>
        <v>SI</v>
      </c>
    </row>
    <row r="1384" spans="1:8" x14ac:dyDescent="0.25">
      <c r="A1384" s="43">
        <v>10239204</v>
      </c>
      <c r="B1384" t="s">
        <v>1148</v>
      </c>
      <c r="C1384" s="43" t="s">
        <v>1624</v>
      </c>
      <c r="D1384" s="43">
        <v>1115120</v>
      </c>
      <c r="E1384" t="s">
        <v>1633</v>
      </c>
      <c r="F1384" s="47" t="str">
        <f>+Centro_Cuenta8[[#This Row],[Codigo Centro Gestion]]&amp;" - "&amp;Centro_Cuenta8[[#This Row],[Nombre Centro Gestion]]</f>
        <v>10239204 - Alto Mirador-Proyecto</v>
      </c>
      <c r="G1384" s="47" t="str">
        <f>+Centro_Cuenta8[[#This Row],[Código Cuenta Contable]]&amp;" - "&amp;Centro_Cuenta8[[#This Row],[Nombre de Cuenta Contable]]</f>
        <v>1115120 - Instalación Empalmes</v>
      </c>
      <c r="H1384" s="146" t="str">
        <f>+VLOOKUP(D1384,'3. Cuentas'!A:F,6,0)</f>
        <v>SI</v>
      </c>
    </row>
    <row r="1385" spans="1:8" x14ac:dyDescent="0.25">
      <c r="A1385" s="43">
        <v>10239204</v>
      </c>
      <c r="B1385" t="s">
        <v>1148</v>
      </c>
      <c r="C1385" s="43" t="s">
        <v>1624</v>
      </c>
      <c r="D1385" s="43">
        <v>1115170</v>
      </c>
      <c r="E1385" t="s">
        <v>293</v>
      </c>
      <c r="F1385" s="47" t="str">
        <f>+Centro_Cuenta8[[#This Row],[Codigo Centro Gestion]]&amp;" - "&amp;Centro_Cuenta8[[#This Row],[Nombre Centro Gestion]]</f>
        <v>10239204 - Alto Mirador-Proyecto</v>
      </c>
      <c r="G1385" s="47" t="str">
        <f>+Centro_Cuenta8[[#This Row],[Código Cuenta Contable]]&amp;" - "&amp;Centro_Cuenta8[[#This Row],[Nombre de Cuenta Contable]]</f>
        <v>1115170 - Permisos Y Otros Gastos Municipales</v>
      </c>
      <c r="H1385" s="146" t="str">
        <f>+VLOOKUP(D1385,'3. Cuentas'!A:F,6,0)</f>
        <v>SI</v>
      </c>
    </row>
    <row r="1386" spans="1:8" x14ac:dyDescent="0.25">
      <c r="A1386" s="43">
        <v>10239204</v>
      </c>
      <c r="B1386" t="s">
        <v>1148</v>
      </c>
      <c r="C1386" s="43" t="s">
        <v>1624</v>
      </c>
      <c r="D1386" s="43">
        <v>1115240</v>
      </c>
      <c r="E1386" t="s">
        <v>294</v>
      </c>
      <c r="F1386" s="47" t="str">
        <f>+Centro_Cuenta8[[#This Row],[Codigo Centro Gestion]]&amp;" - "&amp;Centro_Cuenta8[[#This Row],[Nombre Centro Gestion]]</f>
        <v>10239204 - Alto Mirador-Proyecto</v>
      </c>
      <c r="G1386" s="47" t="str">
        <f>+Centro_Cuenta8[[#This Row],[Código Cuenta Contable]]&amp;" - "&amp;Centro_Cuenta8[[#This Row],[Nombre de Cuenta Contable]]</f>
        <v>1115240 - Estudios Y Asesorias Técnicas</v>
      </c>
      <c r="H1386" s="146" t="str">
        <f>+VLOOKUP(D1386,'3. Cuentas'!A:F,6,0)</f>
        <v>SI</v>
      </c>
    </row>
    <row r="1387" spans="1:8" x14ac:dyDescent="0.25">
      <c r="A1387" s="43">
        <v>10239204</v>
      </c>
      <c r="B1387" t="s">
        <v>1148</v>
      </c>
      <c r="C1387" s="43" t="s">
        <v>1624</v>
      </c>
      <c r="D1387" s="43">
        <v>4203090</v>
      </c>
      <c r="E1387" t="s">
        <v>192</v>
      </c>
      <c r="F1387" s="47" t="str">
        <f>+Centro_Cuenta8[[#This Row],[Codigo Centro Gestion]]&amp;" - "&amp;Centro_Cuenta8[[#This Row],[Nombre Centro Gestion]]</f>
        <v>10239204 - Alto Mirador-Proyecto</v>
      </c>
      <c r="G1387" s="47" t="str">
        <f>+Centro_Cuenta8[[#This Row],[Código Cuenta Contable]]&amp;" - "&amp;Centro_Cuenta8[[#This Row],[Nombre de Cuenta Contable]]</f>
        <v>4203090 - Gastos Legales Y Notariales Proyecto</v>
      </c>
      <c r="H1387" s="146" t="str">
        <f>+VLOOKUP(D1387,'3. Cuentas'!A:F,6,0)</f>
        <v>SI</v>
      </c>
    </row>
    <row r="1388" spans="1:8" x14ac:dyDescent="0.25">
      <c r="A1388" s="43">
        <v>10239204</v>
      </c>
      <c r="B1388" t="s">
        <v>1148</v>
      </c>
      <c r="C1388" s="43" t="s">
        <v>1624</v>
      </c>
      <c r="D1388" s="43">
        <v>4203140</v>
      </c>
      <c r="E1388" t="s">
        <v>109</v>
      </c>
      <c r="F1388" s="47" t="str">
        <f>+Centro_Cuenta8[[#This Row],[Codigo Centro Gestion]]&amp;" - "&amp;Centro_Cuenta8[[#This Row],[Nombre Centro Gestion]]</f>
        <v>10239204 - Alto Mirador-Proyecto</v>
      </c>
      <c r="G1388" s="47" t="str">
        <f>+Centro_Cuenta8[[#This Row],[Código Cuenta Contable]]&amp;" - "&amp;Centro_Cuenta8[[#This Row],[Nombre de Cuenta Contable]]</f>
        <v>4203140 - Contribuciones</v>
      </c>
      <c r="H1388" s="146" t="str">
        <f>+VLOOKUP(D1388,'3. Cuentas'!A:F,6,0)</f>
        <v>SI</v>
      </c>
    </row>
    <row r="1389" spans="1:8" x14ac:dyDescent="0.25">
      <c r="A1389" s="43">
        <v>10239204</v>
      </c>
      <c r="B1389" t="s">
        <v>1148</v>
      </c>
      <c r="C1389" s="43" t="s">
        <v>1624</v>
      </c>
      <c r="D1389" s="43">
        <v>4203150</v>
      </c>
      <c r="E1389" t="s">
        <v>156</v>
      </c>
      <c r="F1389" s="47" t="str">
        <f>+Centro_Cuenta8[[#This Row],[Codigo Centro Gestion]]&amp;" - "&amp;Centro_Cuenta8[[#This Row],[Nombre Centro Gestion]]</f>
        <v>10239204 - Alto Mirador-Proyecto</v>
      </c>
      <c r="G1389" s="47" t="str">
        <f>+Centro_Cuenta8[[#This Row],[Código Cuenta Contable]]&amp;" - "&amp;Centro_Cuenta8[[#This Row],[Nombre de Cuenta Contable]]</f>
        <v>4203150 - Gastos CBR</v>
      </c>
      <c r="H1389" s="146" t="str">
        <f>+VLOOKUP(D1389,'3. Cuentas'!A:F,6,0)</f>
        <v>SI</v>
      </c>
    </row>
    <row r="1390" spans="1:8" x14ac:dyDescent="0.25">
      <c r="A1390" s="43">
        <v>10239204</v>
      </c>
      <c r="B1390" t="s">
        <v>1148</v>
      </c>
      <c r="C1390" s="43" t="s">
        <v>1624</v>
      </c>
      <c r="D1390" s="43">
        <v>4203160</v>
      </c>
      <c r="E1390" t="s">
        <v>1639</v>
      </c>
      <c r="F1390" s="47" t="str">
        <f>+Centro_Cuenta8[[#This Row],[Codigo Centro Gestion]]&amp;" - "&amp;Centro_Cuenta8[[#This Row],[Nombre Centro Gestion]]</f>
        <v>10239204 - Alto Mirador-Proyecto</v>
      </c>
      <c r="G1390" s="47" t="str">
        <f>+Centro_Cuenta8[[#This Row],[Código Cuenta Contable]]&amp;" - "&amp;Centro_Cuenta8[[#This Row],[Nombre de Cuenta Contable]]</f>
        <v>4203160 - PAPELERIA Y FOTOCOPIADO</v>
      </c>
      <c r="H1390" s="146" t="str">
        <f>+VLOOKUP(D1390,'3. Cuentas'!A:F,6,0)</f>
        <v>SI</v>
      </c>
    </row>
    <row r="1391" spans="1:8" x14ac:dyDescent="0.25">
      <c r="A1391" s="43">
        <v>10239204</v>
      </c>
      <c r="B1391" t="s">
        <v>1148</v>
      </c>
      <c r="C1391" s="43" t="s">
        <v>1624</v>
      </c>
      <c r="D1391" s="43">
        <v>4203180</v>
      </c>
      <c r="E1391" t="s">
        <v>1640</v>
      </c>
      <c r="F1391" s="47" t="str">
        <f>+Centro_Cuenta8[[#This Row],[Codigo Centro Gestion]]&amp;" - "&amp;Centro_Cuenta8[[#This Row],[Nombre Centro Gestion]]</f>
        <v>10239204 - Alto Mirador-Proyecto</v>
      </c>
      <c r="G1391" s="47" t="str">
        <f>+Centro_Cuenta8[[#This Row],[Código Cuenta Contable]]&amp;" - "&amp;Centro_Cuenta8[[#This Row],[Nombre de Cuenta Contable]]</f>
        <v>4203180 - Otros Gastos y Aseso Proy</v>
      </c>
      <c r="H1391" s="146" t="str">
        <f>+VLOOKUP(D1391,'3. Cuentas'!A:F,6,0)</f>
        <v>SI</v>
      </c>
    </row>
    <row r="1392" spans="1:8" x14ac:dyDescent="0.25">
      <c r="A1392" s="43">
        <v>10239301</v>
      </c>
      <c r="B1392" t="s">
        <v>1149</v>
      </c>
      <c r="C1392" s="43" t="s">
        <v>1643</v>
      </c>
      <c r="D1392" s="43">
        <v>4203090</v>
      </c>
      <c r="E1392" t="s">
        <v>192</v>
      </c>
      <c r="F1392" s="47" t="str">
        <f>+Centro_Cuenta8[[#This Row],[Codigo Centro Gestion]]&amp;" - "&amp;Centro_Cuenta8[[#This Row],[Nombre Centro Gestion]]</f>
        <v>10239301 - Alto Mirador-GAF</v>
      </c>
      <c r="G1392" s="47" t="str">
        <f>+Centro_Cuenta8[[#This Row],[Código Cuenta Contable]]&amp;" - "&amp;Centro_Cuenta8[[#This Row],[Nombre de Cuenta Contable]]</f>
        <v>4203090 - Gastos Legales Y Notariales Proyecto</v>
      </c>
      <c r="H1392" s="146" t="str">
        <f>+VLOOKUP(D1392,'3. Cuentas'!A:F,6,0)</f>
        <v>SI</v>
      </c>
    </row>
    <row r="1393" spans="1:8" x14ac:dyDescent="0.25">
      <c r="A1393" s="43">
        <v>10239301</v>
      </c>
      <c r="B1393" t="s">
        <v>1149</v>
      </c>
      <c r="C1393" s="43" t="s">
        <v>1643</v>
      </c>
      <c r="D1393" s="43">
        <v>4203140</v>
      </c>
      <c r="E1393" t="s">
        <v>109</v>
      </c>
      <c r="F1393" s="47" t="str">
        <f>+Centro_Cuenta8[[#This Row],[Codigo Centro Gestion]]&amp;" - "&amp;Centro_Cuenta8[[#This Row],[Nombre Centro Gestion]]</f>
        <v>10239301 - Alto Mirador-GAF</v>
      </c>
      <c r="G1393" s="47" t="str">
        <f>+Centro_Cuenta8[[#This Row],[Código Cuenta Contable]]&amp;" - "&amp;Centro_Cuenta8[[#This Row],[Nombre de Cuenta Contable]]</f>
        <v>4203140 - Contribuciones</v>
      </c>
      <c r="H1393" s="146" t="str">
        <f>+VLOOKUP(D1393,'3. Cuentas'!A:F,6,0)</f>
        <v>SI</v>
      </c>
    </row>
    <row r="1394" spans="1:8" x14ac:dyDescent="0.25">
      <c r="A1394" s="43">
        <v>10239506</v>
      </c>
      <c r="B1394" t="s">
        <v>1151</v>
      </c>
      <c r="C1394" s="43" t="s">
        <v>200</v>
      </c>
      <c r="D1394" s="43">
        <v>1115100</v>
      </c>
      <c r="E1394" t="s">
        <v>292</v>
      </c>
      <c r="F1394" s="47" t="str">
        <f>+Centro_Cuenta8[[#This Row],[Codigo Centro Gestion]]&amp;" - "&amp;Centro_Cuenta8[[#This Row],[Nombre Centro Gestion]]</f>
        <v>10239506 - Alto Mirador-Depto.Técnico</v>
      </c>
      <c r="G1394" s="47" t="str">
        <f>+Centro_Cuenta8[[#This Row],[Código Cuenta Contable]]&amp;" - "&amp;Centro_Cuenta8[[#This Row],[Nombre de Cuenta Contable]]</f>
        <v>1115100 - Proyectos Y Especialidades</v>
      </c>
      <c r="H1394" s="146" t="str">
        <f>+VLOOKUP(D1394,'3. Cuentas'!A:F,6,0)</f>
        <v>SI</v>
      </c>
    </row>
    <row r="1395" spans="1:8" x14ac:dyDescent="0.25">
      <c r="A1395" s="43">
        <v>10240102</v>
      </c>
      <c r="B1395" t="s">
        <v>1152</v>
      </c>
      <c r="C1395" s="43" t="s">
        <v>1617</v>
      </c>
      <c r="D1395" s="43">
        <v>4204010</v>
      </c>
      <c r="E1395" t="s">
        <v>313</v>
      </c>
      <c r="F1395" s="47" t="str">
        <f>+Centro_Cuenta8[[#This Row],[Codigo Centro Gestion]]&amp;" - "&amp;Centro_Cuenta8[[#This Row],[Nombre Centro Gestion]]</f>
        <v>10240102 - Tranquila-Marketing</v>
      </c>
      <c r="G1395" s="47" t="str">
        <f>+Centro_Cuenta8[[#This Row],[Código Cuenta Contable]]&amp;" - "&amp;Centro_Cuenta8[[#This Row],[Nombre de Cuenta Contable]]</f>
        <v>4204010 - Publicidad Punto Venta</v>
      </c>
      <c r="H1395" s="146" t="str">
        <f>+VLOOKUP(D1395,'3. Cuentas'!A:F,6,0)</f>
        <v>SI</v>
      </c>
    </row>
    <row r="1396" spans="1:8" x14ac:dyDescent="0.25">
      <c r="A1396" s="43">
        <v>10240102</v>
      </c>
      <c r="B1396" t="s">
        <v>1152</v>
      </c>
      <c r="C1396" s="43" t="s">
        <v>1617</v>
      </c>
      <c r="D1396" s="43">
        <v>4204021</v>
      </c>
      <c r="E1396" t="s">
        <v>329</v>
      </c>
      <c r="F1396" s="47" t="str">
        <f>+Centro_Cuenta8[[#This Row],[Codigo Centro Gestion]]&amp;" - "&amp;Centro_Cuenta8[[#This Row],[Nombre Centro Gestion]]</f>
        <v>10240102 - Tranquila-Marketing</v>
      </c>
      <c r="G1396" s="47" t="str">
        <f>+Centro_Cuenta8[[#This Row],[Código Cuenta Contable]]&amp;" - "&amp;Centro_Cuenta8[[#This Row],[Nombre de Cuenta Contable]]</f>
        <v>4204021 - Publicidad Ferias Y Eventos</v>
      </c>
      <c r="H1396" s="146" t="str">
        <f>+VLOOKUP(D1396,'3. Cuentas'!A:F,6,0)</f>
        <v>SI</v>
      </c>
    </row>
    <row r="1397" spans="1:8" x14ac:dyDescent="0.25">
      <c r="A1397" s="43">
        <v>10240103</v>
      </c>
      <c r="B1397" t="s">
        <v>1153</v>
      </c>
      <c r="C1397" s="43" t="s">
        <v>1618</v>
      </c>
      <c r="D1397" s="43">
        <v>4203060</v>
      </c>
      <c r="E1397" t="s">
        <v>321</v>
      </c>
      <c r="F1397" s="47" t="str">
        <f>+Centro_Cuenta8[[#This Row],[Codigo Centro Gestion]]&amp;" - "&amp;Centro_Cuenta8[[#This Row],[Nombre Centro Gestion]]</f>
        <v>10240103 - Tranquila-Operaciones</v>
      </c>
      <c r="G1397" s="47" t="str">
        <f>+Centro_Cuenta8[[#This Row],[Código Cuenta Contable]]&amp;" - "&amp;Centro_Cuenta8[[#This Row],[Nombre de Cuenta Contable]]</f>
        <v>4203060 - Gastos Operacionales De Clientes</v>
      </c>
      <c r="H1397" s="146" t="str">
        <f>+VLOOKUP(D1397,'3. Cuentas'!A:F,6,0)</f>
        <v>SI</v>
      </c>
    </row>
    <row r="1398" spans="1:8" x14ac:dyDescent="0.25">
      <c r="A1398" s="43">
        <v>10240103</v>
      </c>
      <c r="B1398" t="s">
        <v>1153</v>
      </c>
      <c r="C1398" s="43" t="s">
        <v>1618</v>
      </c>
      <c r="D1398" s="43">
        <v>4203090</v>
      </c>
      <c r="E1398" t="s">
        <v>192</v>
      </c>
      <c r="F1398" s="47" t="str">
        <f>+Centro_Cuenta8[[#This Row],[Codigo Centro Gestion]]&amp;" - "&amp;Centro_Cuenta8[[#This Row],[Nombre Centro Gestion]]</f>
        <v>10240103 - Tranquila-Operaciones</v>
      </c>
      <c r="G1398" s="47" t="str">
        <f>+Centro_Cuenta8[[#This Row],[Código Cuenta Contable]]&amp;" - "&amp;Centro_Cuenta8[[#This Row],[Nombre de Cuenta Contable]]</f>
        <v>4203090 - Gastos Legales Y Notariales Proyecto</v>
      </c>
      <c r="H1398" s="146" t="str">
        <f>+VLOOKUP(D1398,'3. Cuentas'!A:F,6,0)</f>
        <v>SI</v>
      </c>
    </row>
    <row r="1399" spans="1:8" x14ac:dyDescent="0.25">
      <c r="A1399" s="43">
        <v>10240104</v>
      </c>
      <c r="B1399" t="s">
        <v>1154</v>
      </c>
      <c r="C1399" s="43" t="s">
        <v>90</v>
      </c>
      <c r="D1399" s="43">
        <v>1110040</v>
      </c>
      <c r="E1399" t="s">
        <v>1505</v>
      </c>
      <c r="F1399" s="47" t="str">
        <f>+Centro_Cuenta8[[#This Row],[Codigo Centro Gestion]]&amp;" - "&amp;Centro_Cuenta8[[#This Row],[Nombre Centro Gestion]]</f>
        <v>10240104 - Tranquila-Ventas</v>
      </c>
      <c r="G1399" s="47" t="str">
        <f>+Centro_Cuenta8[[#This Row],[Código Cuenta Contable]]&amp;" - "&amp;Centro_Cuenta8[[#This Row],[Nombre de Cuenta Contable]]</f>
        <v>1110040 - Garantía Pagadas</v>
      </c>
      <c r="H1399" s="146" t="str">
        <f>+VLOOKUP(D1399,'3. Cuentas'!A:F,6,0)</f>
        <v>SI</v>
      </c>
    </row>
    <row r="1400" spans="1:8" x14ac:dyDescent="0.25">
      <c r="A1400" s="43">
        <v>10240104</v>
      </c>
      <c r="B1400" t="s">
        <v>1154</v>
      </c>
      <c r="C1400" s="43" t="s">
        <v>90</v>
      </c>
      <c r="D1400" s="43">
        <v>4202003</v>
      </c>
      <c r="E1400" t="s">
        <v>106</v>
      </c>
      <c r="F1400" s="47" t="str">
        <f>+Centro_Cuenta8[[#This Row],[Codigo Centro Gestion]]&amp;" - "&amp;Centro_Cuenta8[[#This Row],[Nombre Centro Gestion]]</f>
        <v>10240104 - Tranquila-Ventas</v>
      </c>
      <c r="G1400" s="47" t="str">
        <f>+Centro_Cuenta8[[#This Row],[Código Cuenta Contable]]&amp;" - "&amp;Centro_Cuenta8[[#This Row],[Nombre de Cuenta Contable]]</f>
        <v>4202003 - Serv.Basic.Luz.Agua.Tel Of.C</v>
      </c>
      <c r="H1400" s="146" t="str">
        <f>+VLOOKUP(D1400,'3. Cuentas'!A:F,6,0)</f>
        <v>SI</v>
      </c>
    </row>
    <row r="1401" spans="1:8" x14ac:dyDescent="0.25">
      <c r="A1401" s="43">
        <v>10240104</v>
      </c>
      <c r="B1401" t="s">
        <v>1154</v>
      </c>
      <c r="C1401" s="43" t="s">
        <v>90</v>
      </c>
      <c r="D1401" s="43">
        <v>4202010</v>
      </c>
      <c r="E1401" t="s">
        <v>87</v>
      </c>
      <c r="F1401" s="47" t="str">
        <f>+Centro_Cuenta8[[#This Row],[Codigo Centro Gestion]]&amp;" - "&amp;Centro_Cuenta8[[#This Row],[Nombre Centro Gestion]]</f>
        <v>10240104 - Tranquila-Ventas</v>
      </c>
      <c r="G1401" s="47" t="str">
        <f>+Centro_Cuenta8[[#This Row],[Código Cuenta Contable]]&amp;" - "&amp;Centro_Cuenta8[[#This Row],[Nombre de Cuenta Contable]]</f>
        <v>4202010 - Artic. Ofic. Fotocop.Papelería</v>
      </c>
      <c r="H1401" s="146" t="str">
        <f>+VLOOKUP(D1401,'3. Cuentas'!A:F,6,0)</f>
        <v>SI</v>
      </c>
    </row>
    <row r="1402" spans="1:8" x14ac:dyDescent="0.25">
      <c r="A1402" s="43">
        <v>10240104</v>
      </c>
      <c r="B1402" t="s">
        <v>1154</v>
      </c>
      <c r="C1402" s="43" t="s">
        <v>90</v>
      </c>
      <c r="D1402" s="43">
        <v>4202019</v>
      </c>
      <c r="E1402" t="s">
        <v>81</v>
      </c>
      <c r="F1402" s="47" t="str">
        <f>+Centro_Cuenta8[[#This Row],[Codigo Centro Gestion]]&amp;" - "&amp;Centro_Cuenta8[[#This Row],[Nombre Centro Gestion]]</f>
        <v>10240104 - Tranquila-Ventas</v>
      </c>
      <c r="G1402" s="47" t="str">
        <f>+Centro_Cuenta8[[#This Row],[Código Cuenta Contable]]&amp;" - "&amp;Centro_Cuenta8[[#This Row],[Nombre de Cuenta Contable]]</f>
        <v>4202019 - Gasto General Oficina</v>
      </c>
      <c r="H1402" s="146" t="str">
        <f>+VLOOKUP(D1402,'3. Cuentas'!A:F,6,0)</f>
        <v>SI</v>
      </c>
    </row>
    <row r="1403" spans="1:8" x14ac:dyDescent="0.25">
      <c r="A1403" s="43">
        <v>10240104</v>
      </c>
      <c r="B1403" t="s">
        <v>1154</v>
      </c>
      <c r="C1403" s="43" t="s">
        <v>90</v>
      </c>
      <c r="D1403" s="43">
        <v>4202023</v>
      </c>
      <c r="E1403" t="s">
        <v>82</v>
      </c>
      <c r="F1403" s="47" t="str">
        <f>+Centro_Cuenta8[[#This Row],[Codigo Centro Gestion]]&amp;" - "&amp;Centro_Cuenta8[[#This Row],[Nombre Centro Gestion]]</f>
        <v>10240104 - Tranquila-Ventas</v>
      </c>
      <c r="G1403" s="47" t="str">
        <f>+Centro_Cuenta8[[#This Row],[Código Cuenta Contable]]&amp;" - "&amp;Centro_Cuenta8[[#This Row],[Nombre de Cuenta Contable]]</f>
        <v>4202023 - Honorarios Por Asesorías</v>
      </c>
      <c r="H1403" s="146" t="str">
        <f>+VLOOKUP(D1403,'3. Cuentas'!A:F,6,0)</f>
        <v>SI</v>
      </c>
    </row>
    <row r="1404" spans="1:8" x14ac:dyDescent="0.25">
      <c r="A1404" s="43">
        <v>10240104</v>
      </c>
      <c r="B1404" t="s">
        <v>1154</v>
      </c>
      <c r="C1404" s="43" t="s">
        <v>90</v>
      </c>
      <c r="D1404" s="43">
        <v>4202029</v>
      </c>
      <c r="E1404" t="s">
        <v>83</v>
      </c>
      <c r="F1404" s="47" t="str">
        <f>+Centro_Cuenta8[[#This Row],[Codigo Centro Gestion]]&amp;" - "&amp;Centro_Cuenta8[[#This Row],[Nombre Centro Gestion]]</f>
        <v>10240104 - Tranquila-Ventas</v>
      </c>
      <c r="G1404" s="47" t="str">
        <f>+Centro_Cuenta8[[#This Row],[Código Cuenta Contable]]&amp;" - "&amp;Centro_Cuenta8[[#This Row],[Nombre de Cuenta Contable]]</f>
        <v>4202029 - Insumos Y Gastos Informáticos</v>
      </c>
      <c r="H1404" s="146" t="str">
        <f>+VLOOKUP(D1404,'3. Cuentas'!A:F,6,0)</f>
        <v>SI</v>
      </c>
    </row>
    <row r="1405" spans="1:8" x14ac:dyDescent="0.25">
      <c r="A1405" s="43">
        <v>10240104</v>
      </c>
      <c r="B1405" t="s">
        <v>1154</v>
      </c>
      <c r="C1405" s="43" t="s">
        <v>90</v>
      </c>
      <c r="D1405" s="43">
        <v>4204021</v>
      </c>
      <c r="E1405" t="s">
        <v>329</v>
      </c>
      <c r="F1405" s="47" t="str">
        <f>+Centro_Cuenta8[[#This Row],[Codigo Centro Gestion]]&amp;" - "&amp;Centro_Cuenta8[[#This Row],[Nombre Centro Gestion]]</f>
        <v>10240104 - Tranquila-Ventas</v>
      </c>
      <c r="G1405" s="47" t="str">
        <f>+Centro_Cuenta8[[#This Row],[Código Cuenta Contable]]&amp;" - "&amp;Centro_Cuenta8[[#This Row],[Nombre de Cuenta Contable]]</f>
        <v>4204021 - Publicidad Ferias Y Eventos</v>
      </c>
      <c r="H1405" s="146" t="str">
        <f>+VLOOKUP(D1405,'3. Cuentas'!A:F,6,0)</f>
        <v>SI</v>
      </c>
    </row>
    <row r="1406" spans="1:8" x14ac:dyDescent="0.25">
      <c r="A1406" s="43">
        <v>10240105</v>
      </c>
      <c r="B1406" t="s">
        <v>1155</v>
      </c>
      <c r="C1406" s="43" t="s">
        <v>1622</v>
      </c>
      <c r="D1406" s="43">
        <v>4203020</v>
      </c>
      <c r="E1406" t="s">
        <v>295</v>
      </c>
      <c r="F1406" s="47" t="str">
        <f>+Centro_Cuenta8[[#This Row],[Codigo Centro Gestion]]&amp;" - "&amp;Centro_Cuenta8[[#This Row],[Nombre Centro Gestion]]</f>
        <v>10240105 - Tranquila-Clientes</v>
      </c>
      <c r="G1406" s="47" t="str">
        <f>+Centro_Cuenta8[[#This Row],[Código Cuenta Contable]]&amp;" - "&amp;Centro_Cuenta8[[#This Row],[Nombre de Cuenta Contable]]</f>
        <v>4203020 - Mant. y Consum. Viv Stock</v>
      </c>
      <c r="H1406" s="146" t="str">
        <f>+VLOOKUP(D1406,'3. Cuentas'!A:F,6,0)</f>
        <v>SI</v>
      </c>
    </row>
    <row r="1407" spans="1:8" x14ac:dyDescent="0.25">
      <c r="A1407" s="43">
        <v>10240105</v>
      </c>
      <c r="B1407" t="s">
        <v>1155</v>
      </c>
      <c r="C1407" s="43" t="s">
        <v>1622</v>
      </c>
      <c r="D1407" s="43">
        <v>4203120</v>
      </c>
      <c r="E1407" t="s">
        <v>108</v>
      </c>
      <c r="F1407" s="47" t="str">
        <f>+Centro_Cuenta8[[#This Row],[Codigo Centro Gestion]]&amp;" - "&amp;Centro_Cuenta8[[#This Row],[Nombre Centro Gestion]]</f>
        <v>10240105 - Tranquila-Clientes</v>
      </c>
      <c r="G1407" s="47" t="str">
        <f>+Centro_Cuenta8[[#This Row],[Código Cuenta Contable]]&amp;" - "&amp;Centro_Cuenta8[[#This Row],[Nombre de Cuenta Contable]]</f>
        <v>4203120 - Gastos Comunes</v>
      </c>
      <c r="H1407" s="146" t="str">
        <f>+VLOOKUP(D1407,'3. Cuentas'!A:F,6,0)</f>
        <v>SI</v>
      </c>
    </row>
    <row r="1408" spans="1:8" x14ac:dyDescent="0.25">
      <c r="A1408" s="43">
        <v>10240105</v>
      </c>
      <c r="B1408" t="s">
        <v>1155</v>
      </c>
      <c r="C1408" s="43" t="s">
        <v>1622</v>
      </c>
      <c r="D1408" s="43">
        <v>4203140</v>
      </c>
      <c r="E1408" t="s">
        <v>109</v>
      </c>
      <c r="F1408" s="47" t="str">
        <f>+Centro_Cuenta8[[#This Row],[Codigo Centro Gestion]]&amp;" - "&amp;Centro_Cuenta8[[#This Row],[Nombre Centro Gestion]]</f>
        <v>10240105 - Tranquila-Clientes</v>
      </c>
      <c r="G1408" s="47" t="str">
        <f>+Centro_Cuenta8[[#This Row],[Código Cuenta Contable]]&amp;" - "&amp;Centro_Cuenta8[[#This Row],[Nombre de Cuenta Contable]]</f>
        <v>4203140 - Contribuciones</v>
      </c>
      <c r="H1408" s="146" t="str">
        <f>+VLOOKUP(D1408,'3. Cuentas'!A:F,6,0)</f>
        <v>SI</v>
      </c>
    </row>
    <row r="1409" spans="1:8" x14ac:dyDescent="0.25">
      <c r="A1409" s="43">
        <v>10240204</v>
      </c>
      <c r="B1409" t="s">
        <v>1156</v>
      </c>
      <c r="C1409" s="43" t="s">
        <v>1624</v>
      </c>
      <c r="D1409" s="43">
        <v>1103045</v>
      </c>
      <c r="E1409" t="s">
        <v>323</v>
      </c>
      <c r="F1409" s="47" t="str">
        <f>+Centro_Cuenta8[[#This Row],[Codigo Centro Gestion]]&amp;" - "&amp;Centro_Cuenta8[[#This Row],[Nombre Centro Gestion]]</f>
        <v>10240204 - Tranquila-Proyecto</v>
      </c>
      <c r="G1409" s="47" t="str">
        <f>+Centro_Cuenta8[[#This Row],[Código Cuenta Contable]]&amp;" - "&amp;Centro_Cuenta8[[#This Row],[Nombre de Cuenta Contable]]</f>
        <v>1103045 - Aportes reembolsables (electricidad y agua)</v>
      </c>
      <c r="H1409" s="146" t="str">
        <f>+VLOOKUP(D1409,'3. Cuentas'!A:F,6,0)</f>
        <v>SI</v>
      </c>
    </row>
    <row r="1410" spans="1:8" x14ac:dyDescent="0.25">
      <c r="A1410" s="43">
        <v>10240204</v>
      </c>
      <c r="B1410" t="s">
        <v>1156</v>
      </c>
      <c r="C1410" s="43" t="s">
        <v>1624</v>
      </c>
      <c r="D1410" s="43">
        <v>1109020</v>
      </c>
      <c r="E1410" t="s">
        <v>302</v>
      </c>
      <c r="F1410" s="47" t="str">
        <f>+Centro_Cuenta8[[#This Row],[Codigo Centro Gestion]]&amp;" - "&amp;Centro_Cuenta8[[#This Row],[Nombre Centro Gestion]]</f>
        <v>10240204 - Tranquila-Proyecto</v>
      </c>
      <c r="G1410" s="47" t="str">
        <f>+Centro_Cuenta8[[#This Row],[Código Cuenta Contable]]&amp;" - "&amp;Centro_Cuenta8[[#This Row],[Nombre de Cuenta Contable]]</f>
        <v>1109020 - Mobiliario</v>
      </c>
      <c r="H1410" s="146" t="str">
        <f>+VLOOKUP(D1410,'3. Cuentas'!A:F,6,0)</f>
        <v>SI</v>
      </c>
    </row>
    <row r="1411" spans="1:8" x14ac:dyDescent="0.25">
      <c r="A1411" s="43">
        <v>10240204</v>
      </c>
      <c r="B1411" t="s">
        <v>1156</v>
      </c>
      <c r="C1411" s="43" t="s">
        <v>1624</v>
      </c>
      <c r="D1411" s="43">
        <v>1110040</v>
      </c>
      <c r="E1411" t="s">
        <v>1505</v>
      </c>
      <c r="F1411" s="47" t="str">
        <f>+Centro_Cuenta8[[#This Row],[Codigo Centro Gestion]]&amp;" - "&amp;Centro_Cuenta8[[#This Row],[Nombre Centro Gestion]]</f>
        <v>10240204 - Tranquila-Proyecto</v>
      </c>
      <c r="G1411" s="47" t="str">
        <f>+Centro_Cuenta8[[#This Row],[Código Cuenta Contable]]&amp;" - "&amp;Centro_Cuenta8[[#This Row],[Nombre de Cuenta Contable]]</f>
        <v>1110040 - Garantía Pagadas</v>
      </c>
      <c r="H1411" s="146" t="str">
        <f>+VLOOKUP(D1411,'3. Cuentas'!A:F,6,0)</f>
        <v>SI</v>
      </c>
    </row>
    <row r="1412" spans="1:8" x14ac:dyDescent="0.25">
      <c r="A1412" s="43">
        <v>10240204</v>
      </c>
      <c r="B1412" t="s">
        <v>1156</v>
      </c>
      <c r="C1412" s="43" t="s">
        <v>1624</v>
      </c>
      <c r="D1412" s="43">
        <v>1115040</v>
      </c>
      <c r="E1412" t="s">
        <v>291</v>
      </c>
      <c r="F1412" s="47" t="str">
        <f>+Centro_Cuenta8[[#This Row],[Codigo Centro Gestion]]&amp;" - "&amp;Centro_Cuenta8[[#This Row],[Nombre Centro Gestion]]</f>
        <v>10240204 - Tranquila-Proyecto</v>
      </c>
      <c r="G1412" s="47" t="str">
        <f>+Centro_Cuenta8[[#This Row],[Código Cuenta Contable]]&amp;" - "&amp;Centro_Cuenta8[[#This Row],[Nombre de Cuenta Contable]]</f>
        <v>1115040 - Saneamiento De Terreno</v>
      </c>
      <c r="H1412" s="146" t="str">
        <f>+VLOOKUP(D1412,'3. Cuentas'!A:F,6,0)</f>
        <v>SI</v>
      </c>
    </row>
    <row r="1413" spans="1:8" x14ac:dyDescent="0.25">
      <c r="A1413" s="43">
        <v>10240204</v>
      </c>
      <c r="B1413" t="s">
        <v>1156</v>
      </c>
      <c r="C1413" s="43" t="s">
        <v>1624</v>
      </c>
      <c r="D1413" s="43">
        <v>1115050</v>
      </c>
      <c r="E1413" t="s">
        <v>1628</v>
      </c>
      <c r="F1413" s="47" t="str">
        <f>+Centro_Cuenta8[[#This Row],[Codigo Centro Gestion]]&amp;" - "&amp;Centro_Cuenta8[[#This Row],[Nombre Centro Gestion]]</f>
        <v>10240204 - Tranquila-Proyecto</v>
      </c>
      <c r="G1413" s="47" t="str">
        <f>+Centro_Cuenta8[[#This Row],[Código Cuenta Contable]]&amp;" - "&amp;Centro_Cuenta8[[#This Row],[Nombre de Cuenta Contable]]</f>
        <v>1115050 - Demolición</v>
      </c>
      <c r="H1413" s="146" t="str">
        <f>+VLOOKUP(D1413,'3. Cuentas'!A:F,6,0)</f>
        <v>SI</v>
      </c>
    </row>
    <row r="1414" spans="1:8" x14ac:dyDescent="0.25">
      <c r="A1414" s="43">
        <v>10240204</v>
      </c>
      <c r="B1414" t="s">
        <v>1156</v>
      </c>
      <c r="C1414" s="43" t="s">
        <v>1624</v>
      </c>
      <c r="D1414" s="43">
        <v>1115100</v>
      </c>
      <c r="E1414" t="s">
        <v>292</v>
      </c>
      <c r="F1414" s="47" t="str">
        <f>+Centro_Cuenta8[[#This Row],[Codigo Centro Gestion]]&amp;" - "&amp;Centro_Cuenta8[[#This Row],[Nombre Centro Gestion]]</f>
        <v>10240204 - Tranquila-Proyecto</v>
      </c>
      <c r="G1414" s="47" t="str">
        <f>+Centro_Cuenta8[[#This Row],[Código Cuenta Contable]]&amp;" - "&amp;Centro_Cuenta8[[#This Row],[Nombre de Cuenta Contable]]</f>
        <v>1115100 - Proyectos Y Especialidades</v>
      </c>
      <c r="H1414" s="146" t="str">
        <f>+VLOOKUP(D1414,'3. Cuentas'!A:F,6,0)</f>
        <v>SI</v>
      </c>
    </row>
    <row r="1415" spans="1:8" x14ac:dyDescent="0.25">
      <c r="A1415" s="43">
        <v>10240204</v>
      </c>
      <c r="B1415" t="s">
        <v>1156</v>
      </c>
      <c r="C1415" s="43" t="s">
        <v>1624</v>
      </c>
      <c r="D1415" s="43">
        <v>1115120</v>
      </c>
      <c r="E1415" t="s">
        <v>1633</v>
      </c>
      <c r="F1415" s="47" t="str">
        <f>+Centro_Cuenta8[[#This Row],[Codigo Centro Gestion]]&amp;" - "&amp;Centro_Cuenta8[[#This Row],[Nombre Centro Gestion]]</f>
        <v>10240204 - Tranquila-Proyecto</v>
      </c>
      <c r="G1415" s="47" t="str">
        <f>+Centro_Cuenta8[[#This Row],[Código Cuenta Contable]]&amp;" - "&amp;Centro_Cuenta8[[#This Row],[Nombre de Cuenta Contable]]</f>
        <v>1115120 - Instalación Empalmes</v>
      </c>
      <c r="H1415" s="146" t="str">
        <f>+VLOOKUP(D1415,'3. Cuentas'!A:F,6,0)</f>
        <v>SI</v>
      </c>
    </row>
    <row r="1416" spans="1:8" x14ac:dyDescent="0.25">
      <c r="A1416" s="43">
        <v>10240204</v>
      </c>
      <c r="B1416" t="s">
        <v>1156</v>
      </c>
      <c r="C1416" s="43" t="s">
        <v>1624</v>
      </c>
      <c r="D1416" s="43">
        <v>1115170</v>
      </c>
      <c r="E1416" t="s">
        <v>293</v>
      </c>
      <c r="F1416" s="47" t="str">
        <f>+Centro_Cuenta8[[#This Row],[Codigo Centro Gestion]]&amp;" - "&amp;Centro_Cuenta8[[#This Row],[Nombre Centro Gestion]]</f>
        <v>10240204 - Tranquila-Proyecto</v>
      </c>
      <c r="G1416" s="47" t="str">
        <f>+Centro_Cuenta8[[#This Row],[Código Cuenta Contable]]&amp;" - "&amp;Centro_Cuenta8[[#This Row],[Nombre de Cuenta Contable]]</f>
        <v>1115170 - Permisos Y Otros Gastos Municipales</v>
      </c>
      <c r="H1416" s="146" t="str">
        <f>+VLOOKUP(D1416,'3. Cuentas'!A:F,6,0)</f>
        <v>SI</v>
      </c>
    </row>
    <row r="1417" spans="1:8" x14ac:dyDescent="0.25">
      <c r="A1417" s="43">
        <v>10240204</v>
      </c>
      <c r="B1417" t="s">
        <v>1156</v>
      </c>
      <c r="C1417" s="43" t="s">
        <v>1624</v>
      </c>
      <c r="D1417" s="43">
        <v>1115240</v>
      </c>
      <c r="E1417" t="s">
        <v>294</v>
      </c>
      <c r="F1417" s="47" t="str">
        <f>+Centro_Cuenta8[[#This Row],[Codigo Centro Gestion]]&amp;" - "&amp;Centro_Cuenta8[[#This Row],[Nombre Centro Gestion]]</f>
        <v>10240204 - Tranquila-Proyecto</v>
      </c>
      <c r="G1417" s="47" t="str">
        <f>+Centro_Cuenta8[[#This Row],[Código Cuenta Contable]]&amp;" - "&amp;Centro_Cuenta8[[#This Row],[Nombre de Cuenta Contable]]</f>
        <v>1115240 - Estudios Y Asesorias Técnicas</v>
      </c>
      <c r="H1417" s="146" t="str">
        <f>+VLOOKUP(D1417,'3. Cuentas'!A:F,6,0)</f>
        <v>SI</v>
      </c>
    </row>
    <row r="1418" spans="1:8" x14ac:dyDescent="0.25">
      <c r="A1418" s="43">
        <v>10240204</v>
      </c>
      <c r="B1418" t="s">
        <v>1156</v>
      </c>
      <c r="C1418" s="43" t="s">
        <v>1624</v>
      </c>
      <c r="D1418" s="43">
        <v>4203090</v>
      </c>
      <c r="E1418" t="s">
        <v>192</v>
      </c>
      <c r="F1418" s="47" t="str">
        <f>+Centro_Cuenta8[[#This Row],[Codigo Centro Gestion]]&amp;" - "&amp;Centro_Cuenta8[[#This Row],[Nombre Centro Gestion]]</f>
        <v>10240204 - Tranquila-Proyecto</v>
      </c>
      <c r="G1418" s="47" t="str">
        <f>+Centro_Cuenta8[[#This Row],[Código Cuenta Contable]]&amp;" - "&amp;Centro_Cuenta8[[#This Row],[Nombre de Cuenta Contable]]</f>
        <v>4203090 - Gastos Legales Y Notariales Proyecto</v>
      </c>
      <c r="H1418" s="146" t="str">
        <f>+VLOOKUP(D1418,'3. Cuentas'!A:F,6,0)</f>
        <v>SI</v>
      </c>
    </row>
    <row r="1419" spans="1:8" x14ac:dyDescent="0.25">
      <c r="A1419" s="43">
        <v>10240204</v>
      </c>
      <c r="B1419" t="s">
        <v>1156</v>
      </c>
      <c r="C1419" s="43" t="s">
        <v>1624</v>
      </c>
      <c r="D1419" s="43">
        <v>4203140</v>
      </c>
      <c r="E1419" t="s">
        <v>109</v>
      </c>
      <c r="F1419" s="47" t="str">
        <f>+Centro_Cuenta8[[#This Row],[Codigo Centro Gestion]]&amp;" - "&amp;Centro_Cuenta8[[#This Row],[Nombre Centro Gestion]]</f>
        <v>10240204 - Tranquila-Proyecto</v>
      </c>
      <c r="G1419" s="47" t="str">
        <f>+Centro_Cuenta8[[#This Row],[Código Cuenta Contable]]&amp;" - "&amp;Centro_Cuenta8[[#This Row],[Nombre de Cuenta Contable]]</f>
        <v>4203140 - Contribuciones</v>
      </c>
      <c r="H1419" s="146" t="str">
        <f>+VLOOKUP(D1419,'3. Cuentas'!A:F,6,0)</f>
        <v>SI</v>
      </c>
    </row>
    <row r="1420" spans="1:8" x14ac:dyDescent="0.25">
      <c r="A1420" s="43">
        <v>10240204</v>
      </c>
      <c r="B1420" t="s">
        <v>1156</v>
      </c>
      <c r="C1420" s="43" t="s">
        <v>1624</v>
      </c>
      <c r="D1420" s="43">
        <v>4203150</v>
      </c>
      <c r="E1420" t="s">
        <v>156</v>
      </c>
      <c r="F1420" s="47" t="str">
        <f>+Centro_Cuenta8[[#This Row],[Codigo Centro Gestion]]&amp;" - "&amp;Centro_Cuenta8[[#This Row],[Nombre Centro Gestion]]</f>
        <v>10240204 - Tranquila-Proyecto</v>
      </c>
      <c r="G1420" s="47" t="str">
        <f>+Centro_Cuenta8[[#This Row],[Código Cuenta Contable]]&amp;" - "&amp;Centro_Cuenta8[[#This Row],[Nombre de Cuenta Contable]]</f>
        <v>4203150 - Gastos CBR</v>
      </c>
      <c r="H1420" s="146" t="str">
        <f>+VLOOKUP(D1420,'3. Cuentas'!A:F,6,0)</f>
        <v>SI</v>
      </c>
    </row>
    <row r="1421" spans="1:8" x14ac:dyDescent="0.25">
      <c r="A1421" s="43">
        <v>10240204</v>
      </c>
      <c r="B1421" t="s">
        <v>1156</v>
      </c>
      <c r="C1421" s="43" t="s">
        <v>1624</v>
      </c>
      <c r="D1421" s="43">
        <v>4203160</v>
      </c>
      <c r="E1421" t="s">
        <v>1639</v>
      </c>
      <c r="F1421" s="47" t="str">
        <f>+Centro_Cuenta8[[#This Row],[Codigo Centro Gestion]]&amp;" - "&amp;Centro_Cuenta8[[#This Row],[Nombre Centro Gestion]]</f>
        <v>10240204 - Tranquila-Proyecto</v>
      </c>
      <c r="G1421" s="47" t="str">
        <f>+Centro_Cuenta8[[#This Row],[Código Cuenta Contable]]&amp;" - "&amp;Centro_Cuenta8[[#This Row],[Nombre de Cuenta Contable]]</f>
        <v>4203160 - PAPELERIA Y FOTOCOPIADO</v>
      </c>
      <c r="H1421" s="146" t="str">
        <f>+VLOOKUP(D1421,'3. Cuentas'!A:F,6,0)</f>
        <v>SI</v>
      </c>
    </row>
    <row r="1422" spans="1:8" x14ac:dyDescent="0.25">
      <c r="A1422" s="43">
        <v>10240204</v>
      </c>
      <c r="B1422" t="s">
        <v>1156</v>
      </c>
      <c r="C1422" s="43" t="s">
        <v>1624</v>
      </c>
      <c r="D1422" s="43">
        <v>4203180</v>
      </c>
      <c r="E1422" t="s">
        <v>1640</v>
      </c>
      <c r="F1422" s="47" t="str">
        <f>+Centro_Cuenta8[[#This Row],[Codigo Centro Gestion]]&amp;" - "&amp;Centro_Cuenta8[[#This Row],[Nombre Centro Gestion]]</f>
        <v>10240204 - Tranquila-Proyecto</v>
      </c>
      <c r="G1422" s="47" t="str">
        <f>+Centro_Cuenta8[[#This Row],[Código Cuenta Contable]]&amp;" - "&amp;Centro_Cuenta8[[#This Row],[Nombre de Cuenta Contable]]</f>
        <v>4203180 - Otros Gastos y Aseso Proy</v>
      </c>
      <c r="H1422" s="146" t="str">
        <f>+VLOOKUP(D1422,'3. Cuentas'!A:F,6,0)</f>
        <v>SI</v>
      </c>
    </row>
    <row r="1423" spans="1:8" x14ac:dyDescent="0.25">
      <c r="A1423" s="43">
        <v>10240301</v>
      </c>
      <c r="B1423" t="s">
        <v>1157</v>
      </c>
      <c r="C1423" s="43" t="s">
        <v>1643</v>
      </c>
      <c r="D1423" s="43">
        <v>4203090</v>
      </c>
      <c r="E1423" t="s">
        <v>192</v>
      </c>
      <c r="F1423" s="47" t="str">
        <f>+Centro_Cuenta8[[#This Row],[Codigo Centro Gestion]]&amp;" - "&amp;Centro_Cuenta8[[#This Row],[Nombre Centro Gestion]]</f>
        <v>10240301 - Tranquila-GAF</v>
      </c>
      <c r="G1423" s="47" t="str">
        <f>+Centro_Cuenta8[[#This Row],[Código Cuenta Contable]]&amp;" - "&amp;Centro_Cuenta8[[#This Row],[Nombre de Cuenta Contable]]</f>
        <v>4203090 - Gastos Legales Y Notariales Proyecto</v>
      </c>
      <c r="H1423" s="146" t="str">
        <f>+VLOOKUP(D1423,'3. Cuentas'!A:F,6,0)</f>
        <v>SI</v>
      </c>
    </row>
    <row r="1424" spans="1:8" x14ac:dyDescent="0.25">
      <c r="A1424" s="43">
        <v>10240301</v>
      </c>
      <c r="B1424" t="s">
        <v>1157</v>
      </c>
      <c r="C1424" s="43" t="s">
        <v>1643</v>
      </c>
      <c r="D1424" s="43">
        <v>4203140</v>
      </c>
      <c r="E1424" t="s">
        <v>109</v>
      </c>
      <c r="F1424" s="47" t="str">
        <f>+Centro_Cuenta8[[#This Row],[Codigo Centro Gestion]]&amp;" - "&amp;Centro_Cuenta8[[#This Row],[Nombre Centro Gestion]]</f>
        <v>10240301 - Tranquila-GAF</v>
      </c>
      <c r="G1424" s="47" t="str">
        <f>+Centro_Cuenta8[[#This Row],[Código Cuenta Contable]]&amp;" - "&amp;Centro_Cuenta8[[#This Row],[Nombre de Cuenta Contable]]</f>
        <v>4203140 - Contribuciones</v>
      </c>
      <c r="H1424" s="146" t="str">
        <f>+VLOOKUP(D1424,'3. Cuentas'!A:F,6,0)</f>
        <v>SI</v>
      </c>
    </row>
    <row r="1425" spans="1:8" x14ac:dyDescent="0.25">
      <c r="A1425" s="43">
        <v>10240506</v>
      </c>
      <c r="B1425" t="s">
        <v>1159</v>
      </c>
      <c r="C1425" s="43" t="s">
        <v>200</v>
      </c>
      <c r="D1425" s="43">
        <v>1115100</v>
      </c>
      <c r="E1425" t="s">
        <v>292</v>
      </c>
      <c r="F1425" s="47" t="str">
        <f>+Centro_Cuenta8[[#This Row],[Codigo Centro Gestion]]&amp;" - "&amp;Centro_Cuenta8[[#This Row],[Nombre Centro Gestion]]</f>
        <v>10240506 - Tranquila-Depto.Técnico</v>
      </c>
      <c r="G1425" s="47" t="str">
        <f>+Centro_Cuenta8[[#This Row],[Código Cuenta Contable]]&amp;" - "&amp;Centro_Cuenta8[[#This Row],[Nombre de Cuenta Contable]]</f>
        <v>1115100 - Proyectos Y Especialidades</v>
      </c>
      <c r="H1425" s="146" t="str">
        <f>+VLOOKUP(D1425,'3. Cuentas'!A:F,6,0)</f>
        <v>SI</v>
      </c>
    </row>
    <row r="1426" spans="1:8" x14ac:dyDescent="0.25">
      <c r="A1426" s="43">
        <v>10241102</v>
      </c>
      <c r="B1426" t="s">
        <v>1161</v>
      </c>
      <c r="C1426" s="43" t="s">
        <v>1617</v>
      </c>
      <c r="D1426" s="43">
        <v>4204010</v>
      </c>
      <c r="E1426" t="s">
        <v>313</v>
      </c>
      <c r="F1426" s="47" t="str">
        <f>+Centro_Cuenta8[[#This Row],[Codigo Centro Gestion]]&amp;" - "&amp;Centro_Cuenta8[[#This Row],[Nombre Centro Gestion]]</f>
        <v>10241102 - Parque Marañon Torre B-MARKETING</v>
      </c>
      <c r="G1426" s="47" t="str">
        <f>+Centro_Cuenta8[[#This Row],[Código Cuenta Contable]]&amp;" - "&amp;Centro_Cuenta8[[#This Row],[Nombre de Cuenta Contable]]</f>
        <v>4204010 - Publicidad Punto Venta</v>
      </c>
      <c r="H1426" s="146" t="str">
        <f>+VLOOKUP(D1426,'3. Cuentas'!A:F,6,0)</f>
        <v>SI</v>
      </c>
    </row>
    <row r="1427" spans="1:8" x14ac:dyDescent="0.25">
      <c r="A1427" s="43">
        <v>10241102</v>
      </c>
      <c r="B1427" t="s">
        <v>1161</v>
      </c>
      <c r="C1427" s="43" t="s">
        <v>1617</v>
      </c>
      <c r="D1427" s="43">
        <v>4204021</v>
      </c>
      <c r="E1427" t="s">
        <v>329</v>
      </c>
      <c r="F1427" s="47" t="str">
        <f>+Centro_Cuenta8[[#This Row],[Codigo Centro Gestion]]&amp;" - "&amp;Centro_Cuenta8[[#This Row],[Nombre Centro Gestion]]</f>
        <v>10241102 - Parque Marañon Torre B-MARKETING</v>
      </c>
      <c r="G1427" s="47" t="str">
        <f>+Centro_Cuenta8[[#This Row],[Código Cuenta Contable]]&amp;" - "&amp;Centro_Cuenta8[[#This Row],[Nombre de Cuenta Contable]]</f>
        <v>4204021 - Publicidad Ferias Y Eventos</v>
      </c>
      <c r="H1427" s="146" t="str">
        <f>+VLOOKUP(D1427,'3. Cuentas'!A:F,6,0)</f>
        <v>SI</v>
      </c>
    </row>
    <row r="1428" spans="1:8" x14ac:dyDescent="0.25">
      <c r="A1428" s="43">
        <v>10241103</v>
      </c>
      <c r="B1428" t="s">
        <v>1162</v>
      </c>
      <c r="C1428" s="43" t="s">
        <v>1618</v>
      </c>
      <c r="D1428" s="43">
        <v>4203060</v>
      </c>
      <c r="E1428" t="s">
        <v>321</v>
      </c>
      <c r="F1428" s="47" t="str">
        <f>+Centro_Cuenta8[[#This Row],[Codigo Centro Gestion]]&amp;" - "&amp;Centro_Cuenta8[[#This Row],[Nombre Centro Gestion]]</f>
        <v>10241103 - Parque Marañon Torre B-OPERACIONES</v>
      </c>
      <c r="G1428" s="47" t="str">
        <f>+Centro_Cuenta8[[#This Row],[Código Cuenta Contable]]&amp;" - "&amp;Centro_Cuenta8[[#This Row],[Nombre de Cuenta Contable]]</f>
        <v>4203060 - Gastos Operacionales De Clientes</v>
      </c>
      <c r="H1428" s="146" t="str">
        <f>+VLOOKUP(D1428,'3. Cuentas'!A:F,6,0)</f>
        <v>SI</v>
      </c>
    </row>
    <row r="1429" spans="1:8" x14ac:dyDescent="0.25">
      <c r="A1429" s="43">
        <v>10241103</v>
      </c>
      <c r="B1429" t="s">
        <v>1162</v>
      </c>
      <c r="C1429" s="43" t="s">
        <v>1618</v>
      </c>
      <c r="D1429" s="43">
        <v>4203090</v>
      </c>
      <c r="E1429" t="s">
        <v>192</v>
      </c>
      <c r="F1429" s="47" t="str">
        <f>+Centro_Cuenta8[[#This Row],[Codigo Centro Gestion]]&amp;" - "&amp;Centro_Cuenta8[[#This Row],[Nombre Centro Gestion]]</f>
        <v>10241103 - Parque Marañon Torre B-OPERACIONES</v>
      </c>
      <c r="G1429" s="47" t="str">
        <f>+Centro_Cuenta8[[#This Row],[Código Cuenta Contable]]&amp;" - "&amp;Centro_Cuenta8[[#This Row],[Nombre de Cuenta Contable]]</f>
        <v>4203090 - Gastos Legales Y Notariales Proyecto</v>
      </c>
      <c r="H1429" s="146" t="str">
        <f>+VLOOKUP(D1429,'3. Cuentas'!A:F,6,0)</f>
        <v>SI</v>
      </c>
    </row>
    <row r="1430" spans="1:8" x14ac:dyDescent="0.25">
      <c r="A1430" s="43">
        <v>10241104</v>
      </c>
      <c r="B1430" t="s">
        <v>1163</v>
      </c>
      <c r="C1430" s="43" t="s">
        <v>90</v>
      </c>
      <c r="D1430" s="43">
        <v>1110040</v>
      </c>
      <c r="E1430" t="s">
        <v>1505</v>
      </c>
      <c r="F1430" s="47" t="str">
        <f>+Centro_Cuenta8[[#This Row],[Codigo Centro Gestion]]&amp;" - "&amp;Centro_Cuenta8[[#This Row],[Nombre Centro Gestion]]</f>
        <v>10241104 - Parque Marañon Torre B-VENTAS</v>
      </c>
      <c r="G1430" s="47" t="str">
        <f>+Centro_Cuenta8[[#This Row],[Código Cuenta Contable]]&amp;" - "&amp;Centro_Cuenta8[[#This Row],[Nombre de Cuenta Contable]]</f>
        <v>1110040 - Garantía Pagadas</v>
      </c>
      <c r="H1430" s="146" t="str">
        <f>+VLOOKUP(D1430,'3. Cuentas'!A:F,6,0)</f>
        <v>SI</v>
      </c>
    </row>
    <row r="1431" spans="1:8" x14ac:dyDescent="0.25">
      <c r="A1431" s="43">
        <v>10241104</v>
      </c>
      <c r="B1431" t="s">
        <v>1163</v>
      </c>
      <c r="C1431" s="43" t="s">
        <v>90</v>
      </c>
      <c r="D1431" s="43">
        <v>4202003</v>
      </c>
      <c r="E1431" t="s">
        <v>106</v>
      </c>
      <c r="F1431" s="47" t="str">
        <f>+Centro_Cuenta8[[#This Row],[Codigo Centro Gestion]]&amp;" - "&amp;Centro_Cuenta8[[#This Row],[Nombre Centro Gestion]]</f>
        <v>10241104 - Parque Marañon Torre B-VENTAS</v>
      </c>
      <c r="G1431" s="47" t="str">
        <f>+Centro_Cuenta8[[#This Row],[Código Cuenta Contable]]&amp;" - "&amp;Centro_Cuenta8[[#This Row],[Nombre de Cuenta Contable]]</f>
        <v>4202003 - Serv.Basic.Luz.Agua.Tel Of.C</v>
      </c>
      <c r="H1431" s="146" t="str">
        <f>+VLOOKUP(D1431,'3. Cuentas'!A:F,6,0)</f>
        <v>SI</v>
      </c>
    </row>
    <row r="1432" spans="1:8" x14ac:dyDescent="0.25">
      <c r="A1432" s="43">
        <v>10241104</v>
      </c>
      <c r="B1432" t="s">
        <v>1163</v>
      </c>
      <c r="C1432" s="43" t="s">
        <v>90</v>
      </c>
      <c r="D1432" s="43">
        <v>4202010</v>
      </c>
      <c r="E1432" t="s">
        <v>87</v>
      </c>
      <c r="F1432" s="47" t="str">
        <f>+Centro_Cuenta8[[#This Row],[Codigo Centro Gestion]]&amp;" - "&amp;Centro_Cuenta8[[#This Row],[Nombre Centro Gestion]]</f>
        <v>10241104 - Parque Marañon Torre B-VENTAS</v>
      </c>
      <c r="G1432" s="47" t="str">
        <f>+Centro_Cuenta8[[#This Row],[Código Cuenta Contable]]&amp;" - "&amp;Centro_Cuenta8[[#This Row],[Nombre de Cuenta Contable]]</f>
        <v>4202010 - Artic. Ofic. Fotocop.Papelería</v>
      </c>
      <c r="H1432" s="146" t="str">
        <f>+VLOOKUP(D1432,'3. Cuentas'!A:F,6,0)</f>
        <v>SI</v>
      </c>
    </row>
    <row r="1433" spans="1:8" x14ac:dyDescent="0.25">
      <c r="A1433" s="43">
        <v>10241104</v>
      </c>
      <c r="B1433" t="s">
        <v>1163</v>
      </c>
      <c r="C1433" s="43" t="s">
        <v>90</v>
      </c>
      <c r="D1433" s="43">
        <v>4202019</v>
      </c>
      <c r="E1433" t="s">
        <v>81</v>
      </c>
      <c r="F1433" s="47" t="str">
        <f>+Centro_Cuenta8[[#This Row],[Codigo Centro Gestion]]&amp;" - "&amp;Centro_Cuenta8[[#This Row],[Nombre Centro Gestion]]</f>
        <v>10241104 - Parque Marañon Torre B-VENTAS</v>
      </c>
      <c r="G1433" s="47" t="str">
        <f>+Centro_Cuenta8[[#This Row],[Código Cuenta Contable]]&amp;" - "&amp;Centro_Cuenta8[[#This Row],[Nombre de Cuenta Contable]]</f>
        <v>4202019 - Gasto General Oficina</v>
      </c>
      <c r="H1433" s="146" t="str">
        <f>+VLOOKUP(D1433,'3. Cuentas'!A:F,6,0)</f>
        <v>SI</v>
      </c>
    </row>
    <row r="1434" spans="1:8" x14ac:dyDescent="0.25">
      <c r="A1434" s="43">
        <v>10241104</v>
      </c>
      <c r="B1434" t="s">
        <v>1163</v>
      </c>
      <c r="C1434" s="43" t="s">
        <v>90</v>
      </c>
      <c r="D1434" s="43">
        <v>4202023</v>
      </c>
      <c r="E1434" t="s">
        <v>82</v>
      </c>
      <c r="F1434" s="47" t="str">
        <f>+Centro_Cuenta8[[#This Row],[Codigo Centro Gestion]]&amp;" - "&amp;Centro_Cuenta8[[#This Row],[Nombre Centro Gestion]]</f>
        <v>10241104 - Parque Marañon Torre B-VENTAS</v>
      </c>
      <c r="G1434" s="47" t="str">
        <f>+Centro_Cuenta8[[#This Row],[Código Cuenta Contable]]&amp;" - "&amp;Centro_Cuenta8[[#This Row],[Nombre de Cuenta Contable]]</f>
        <v>4202023 - Honorarios Por Asesorías</v>
      </c>
      <c r="H1434" s="146" t="str">
        <f>+VLOOKUP(D1434,'3. Cuentas'!A:F,6,0)</f>
        <v>SI</v>
      </c>
    </row>
    <row r="1435" spans="1:8" x14ac:dyDescent="0.25">
      <c r="A1435" s="43">
        <v>10241104</v>
      </c>
      <c r="B1435" t="s">
        <v>1163</v>
      </c>
      <c r="C1435" s="43" t="s">
        <v>90</v>
      </c>
      <c r="D1435" s="43">
        <v>4202029</v>
      </c>
      <c r="E1435" t="s">
        <v>83</v>
      </c>
      <c r="F1435" s="47" t="str">
        <f>+Centro_Cuenta8[[#This Row],[Codigo Centro Gestion]]&amp;" - "&amp;Centro_Cuenta8[[#This Row],[Nombre Centro Gestion]]</f>
        <v>10241104 - Parque Marañon Torre B-VENTAS</v>
      </c>
      <c r="G1435" s="47" t="str">
        <f>+Centro_Cuenta8[[#This Row],[Código Cuenta Contable]]&amp;" - "&amp;Centro_Cuenta8[[#This Row],[Nombre de Cuenta Contable]]</f>
        <v>4202029 - Insumos Y Gastos Informáticos</v>
      </c>
      <c r="H1435" s="146" t="str">
        <f>+VLOOKUP(D1435,'3. Cuentas'!A:F,6,0)</f>
        <v>SI</v>
      </c>
    </row>
    <row r="1436" spans="1:8" x14ac:dyDescent="0.25">
      <c r="A1436" s="43">
        <v>10241104</v>
      </c>
      <c r="B1436" t="s">
        <v>1163</v>
      </c>
      <c r="C1436" s="43" t="s">
        <v>90</v>
      </c>
      <c r="D1436" s="43">
        <v>4204021</v>
      </c>
      <c r="E1436" t="s">
        <v>329</v>
      </c>
      <c r="F1436" s="47" t="str">
        <f>+Centro_Cuenta8[[#This Row],[Codigo Centro Gestion]]&amp;" - "&amp;Centro_Cuenta8[[#This Row],[Nombre Centro Gestion]]</f>
        <v>10241104 - Parque Marañon Torre B-VENTAS</v>
      </c>
      <c r="G1436" s="47" t="str">
        <f>+Centro_Cuenta8[[#This Row],[Código Cuenta Contable]]&amp;" - "&amp;Centro_Cuenta8[[#This Row],[Nombre de Cuenta Contable]]</f>
        <v>4204021 - Publicidad Ferias Y Eventos</v>
      </c>
      <c r="H1436" s="146" t="str">
        <f>+VLOOKUP(D1436,'3. Cuentas'!A:F,6,0)</f>
        <v>SI</v>
      </c>
    </row>
    <row r="1437" spans="1:8" x14ac:dyDescent="0.25">
      <c r="A1437" s="43">
        <v>10241105</v>
      </c>
      <c r="B1437" t="s">
        <v>1164</v>
      </c>
      <c r="C1437" s="43" t="s">
        <v>1622</v>
      </c>
      <c r="D1437" s="43">
        <v>4203020</v>
      </c>
      <c r="E1437" t="s">
        <v>295</v>
      </c>
      <c r="F1437" s="47" t="str">
        <f>+Centro_Cuenta8[[#This Row],[Codigo Centro Gestion]]&amp;" - "&amp;Centro_Cuenta8[[#This Row],[Nombre Centro Gestion]]</f>
        <v>10241105 - Parque Marañon Torre B-CLIENTES</v>
      </c>
      <c r="G1437" s="47" t="str">
        <f>+Centro_Cuenta8[[#This Row],[Código Cuenta Contable]]&amp;" - "&amp;Centro_Cuenta8[[#This Row],[Nombre de Cuenta Contable]]</f>
        <v>4203020 - Mant. y Consum. Viv Stock</v>
      </c>
      <c r="H1437" s="146" t="str">
        <f>+VLOOKUP(D1437,'3. Cuentas'!A:F,6,0)</f>
        <v>SI</v>
      </c>
    </row>
    <row r="1438" spans="1:8" x14ac:dyDescent="0.25">
      <c r="A1438" s="43">
        <v>10241105</v>
      </c>
      <c r="B1438" t="s">
        <v>1164</v>
      </c>
      <c r="C1438" s="43" t="s">
        <v>1622</v>
      </c>
      <c r="D1438" s="43">
        <v>4203120</v>
      </c>
      <c r="E1438" t="s">
        <v>108</v>
      </c>
      <c r="F1438" s="47" t="str">
        <f>+Centro_Cuenta8[[#This Row],[Codigo Centro Gestion]]&amp;" - "&amp;Centro_Cuenta8[[#This Row],[Nombre Centro Gestion]]</f>
        <v>10241105 - Parque Marañon Torre B-CLIENTES</v>
      </c>
      <c r="G1438" s="47" t="str">
        <f>+Centro_Cuenta8[[#This Row],[Código Cuenta Contable]]&amp;" - "&amp;Centro_Cuenta8[[#This Row],[Nombre de Cuenta Contable]]</f>
        <v>4203120 - Gastos Comunes</v>
      </c>
      <c r="H1438" s="146" t="str">
        <f>+VLOOKUP(D1438,'3. Cuentas'!A:F,6,0)</f>
        <v>SI</v>
      </c>
    </row>
    <row r="1439" spans="1:8" x14ac:dyDescent="0.25">
      <c r="A1439" s="43">
        <v>10241105</v>
      </c>
      <c r="B1439" t="s">
        <v>1164</v>
      </c>
      <c r="C1439" s="43" t="s">
        <v>1622</v>
      </c>
      <c r="D1439" s="43">
        <v>4203140</v>
      </c>
      <c r="E1439" t="s">
        <v>109</v>
      </c>
      <c r="F1439" s="47" t="str">
        <f>+Centro_Cuenta8[[#This Row],[Codigo Centro Gestion]]&amp;" - "&amp;Centro_Cuenta8[[#This Row],[Nombre Centro Gestion]]</f>
        <v>10241105 - Parque Marañon Torre B-CLIENTES</v>
      </c>
      <c r="G1439" s="47" t="str">
        <f>+Centro_Cuenta8[[#This Row],[Código Cuenta Contable]]&amp;" - "&amp;Centro_Cuenta8[[#This Row],[Nombre de Cuenta Contable]]</f>
        <v>4203140 - Contribuciones</v>
      </c>
      <c r="H1439" s="146" t="str">
        <f>+VLOOKUP(D1439,'3. Cuentas'!A:F,6,0)</f>
        <v>SI</v>
      </c>
    </row>
    <row r="1440" spans="1:8" x14ac:dyDescent="0.25">
      <c r="A1440" s="43">
        <v>10241204</v>
      </c>
      <c r="B1440" t="s">
        <v>1165</v>
      </c>
      <c r="C1440" s="43" t="s">
        <v>1624</v>
      </c>
      <c r="D1440" s="43">
        <v>1103045</v>
      </c>
      <c r="E1440" t="s">
        <v>323</v>
      </c>
      <c r="F1440" s="47" t="str">
        <f>+Centro_Cuenta8[[#This Row],[Codigo Centro Gestion]]&amp;" - "&amp;Centro_Cuenta8[[#This Row],[Nombre Centro Gestion]]</f>
        <v>10241204 - Parque Marañon Torre B-PROYECTO</v>
      </c>
      <c r="G1440" s="47" t="str">
        <f>+Centro_Cuenta8[[#This Row],[Código Cuenta Contable]]&amp;" - "&amp;Centro_Cuenta8[[#This Row],[Nombre de Cuenta Contable]]</f>
        <v>1103045 - Aportes reembolsables (electricidad y agua)</v>
      </c>
      <c r="H1440" s="146" t="str">
        <f>+VLOOKUP(D1440,'3. Cuentas'!A:F,6,0)</f>
        <v>SI</v>
      </c>
    </row>
    <row r="1441" spans="1:8" x14ac:dyDescent="0.25">
      <c r="A1441" s="43">
        <v>10241204</v>
      </c>
      <c r="B1441" t="s">
        <v>1165</v>
      </c>
      <c r="C1441" s="43" t="s">
        <v>1624</v>
      </c>
      <c r="D1441" s="43">
        <v>1109020</v>
      </c>
      <c r="E1441" t="s">
        <v>302</v>
      </c>
      <c r="F1441" s="47" t="str">
        <f>+Centro_Cuenta8[[#This Row],[Codigo Centro Gestion]]&amp;" - "&amp;Centro_Cuenta8[[#This Row],[Nombre Centro Gestion]]</f>
        <v>10241204 - Parque Marañon Torre B-PROYECTO</v>
      </c>
      <c r="G1441" s="47" t="str">
        <f>+Centro_Cuenta8[[#This Row],[Código Cuenta Contable]]&amp;" - "&amp;Centro_Cuenta8[[#This Row],[Nombre de Cuenta Contable]]</f>
        <v>1109020 - Mobiliario</v>
      </c>
      <c r="H1441" s="146" t="str">
        <f>+VLOOKUP(D1441,'3. Cuentas'!A:F,6,0)</f>
        <v>SI</v>
      </c>
    </row>
    <row r="1442" spans="1:8" x14ac:dyDescent="0.25">
      <c r="A1442" s="43">
        <v>10241204</v>
      </c>
      <c r="B1442" t="s">
        <v>1165</v>
      </c>
      <c r="C1442" s="43" t="s">
        <v>1624</v>
      </c>
      <c r="D1442" s="43">
        <v>1110040</v>
      </c>
      <c r="E1442" t="s">
        <v>1505</v>
      </c>
      <c r="F1442" s="47" t="str">
        <f>+Centro_Cuenta8[[#This Row],[Codigo Centro Gestion]]&amp;" - "&amp;Centro_Cuenta8[[#This Row],[Nombre Centro Gestion]]</f>
        <v>10241204 - Parque Marañon Torre B-PROYECTO</v>
      </c>
      <c r="G1442" s="47" t="str">
        <f>+Centro_Cuenta8[[#This Row],[Código Cuenta Contable]]&amp;" - "&amp;Centro_Cuenta8[[#This Row],[Nombre de Cuenta Contable]]</f>
        <v>1110040 - Garantía Pagadas</v>
      </c>
      <c r="H1442" s="146" t="str">
        <f>+VLOOKUP(D1442,'3. Cuentas'!A:F,6,0)</f>
        <v>SI</v>
      </c>
    </row>
    <row r="1443" spans="1:8" x14ac:dyDescent="0.25">
      <c r="A1443" s="43">
        <v>10241204</v>
      </c>
      <c r="B1443" t="s">
        <v>1165</v>
      </c>
      <c r="C1443" s="43" t="s">
        <v>1624</v>
      </c>
      <c r="D1443" s="43">
        <v>1115040</v>
      </c>
      <c r="E1443" t="s">
        <v>291</v>
      </c>
      <c r="F1443" s="47" t="str">
        <f>+Centro_Cuenta8[[#This Row],[Codigo Centro Gestion]]&amp;" - "&amp;Centro_Cuenta8[[#This Row],[Nombre Centro Gestion]]</f>
        <v>10241204 - Parque Marañon Torre B-PROYECTO</v>
      </c>
      <c r="G1443" s="47" t="str">
        <f>+Centro_Cuenta8[[#This Row],[Código Cuenta Contable]]&amp;" - "&amp;Centro_Cuenta8[[#This Row],[Nombre de Cuenta Contable]]</f>
        <v>1115040 - Saneamiento De Terreno</v>
      </c>
      <c r="H1443" s="146" t="str">
        <f>+VLOOKUP(D1443,'3. Cuentas'!A:F,6,0)</f>
        <v>SI</v>
      </c>
    </row>
    <row r="1444" spans="1:8" x14ac:dyDescent="0.25">
      <c r="A1444" s="43">
        <v>10241204</v>
      </c>
      <c r="B1444" t="s">
        <v>1165</v>
      </c>
      <c r="C1444" s="43" t="s">
        <v>1624</v>
      </c>
      <c r="D1444" s="43">
        <v>1115050</v>
      </c>
      <c r="E1444" t="s">
        <v>1628</v>
      </c>
      <c r="F1444" s="47" t="str">
        <f>+Centro_Cuenta8[[#This Row],[Codigo Centro Gestion]]&amp;" - "&amp;Centro_Cuenta8[[#This Row],[Nombre Centro Gestion]]</f>
        <v>10241204 - Parque Marañon Torre B-PROYECTO</v>
      </c>
      <c r="G1444" s="47" t="str">
        <f>+Centro_Cuenta8[[#This Row],[Código Cuenta Contable]]&amp;" - "&amp;Centro_Cuenta8[[#This Row],[Nombre de Cuenta Contable]]</f>
        <v>1115050 - Demolición</v>
      </c>
      <c r="H1444" s="146" t="str">
        <f>+VLOOKUP(D1444,'3. Cuentas'!A:F,6,0)</f>
        <v>SI</v>
      </c>
    </row>
    <row r="1445" spans="1:8" x14ac:dyDescent="0.25">
      <c r="A1445" s="43">
        <v>10241204</v>
      </c>
      <c r="B1445" t="s">
        <v>1165</v>
      </c>
      <c r="C1445" s="43" t="s">
        <v>1624</v>
      </c>
      <c r="D1445" s="43">
        <v>1115100</v>
      </c>
      <c r="E1445" t="s">
        <v>292</v>
      </c>
      <c r="F1445" s="47" t="str">
        <f>+Centro_Cuenta8[[#This Row],[Codigo Centro Gestion]]&amp;" - "&amp;Centro_Cuenta8[[#This Row],[Nombre Centro Gestion]]</f>
        <v>10241204 - Parque Marañon Torre B-PROYECTO</v>
      </c>
      <c r="G1445" s="47" t="str">
        <f>+Centro_Cuenta8[[#This Row],[Código Cuenta Contable]]&amp;" - "&amp;Centro_Cuenta8[[#This Row],[Nombre de Cuenta Contable]]</f>
        <v>1115100 - Proyectos Y Especialidades</v>
      </c>
      <c r="H1445" s="146" t="str">
        <f>+VLOOKUP(D1445,'3. Cuentas'!A:F,6,0)</f>
        <v>SI</v>
      </c>
    </row>
    <row r="1446" spans="1:8" x14ac:dyDescent="0.25">
      <c r="A1446" s="43">
        <v>10241204</v>
      </c>
      <c r="B1446" t="s">
        <v>1165</v>
      </c>
      <c r="C1446" s="43" t="s">
        <v>1624</v>
      </c>
      <c r="D1446" s="43">
        <v>1115120</v>
      </c>
      <c r="E1446" t="s">
        <v>1633</v>
      </c>
      <c r="F1446" s="47" t="str">
        <f>+Centro_Cuenta8[[#This Row],[Codigo Centro Gestion]]&amp;" - "&amp;Centro_Cuenta8[[#This Row],[Nombre Centro Gestion]]</f>
        <v>10241204 - Parque Marañon Torre B-PROYECTO</v>
      </c>
      <c r="G1446" s="47" t="str">
        <f>+Centro_Cuenta8[[#This Row],[Código Cuenta Contable]]&amp;" - "&amp;Centro_Cuenta8[[#This Row],[Nombre de Cuenta Contable]]</f>
        <v>1115120 - Instalación Empalmes</v>
      </c>
      <c r="H1446" s="146" t="str">
        <f>+VLOOKUP(D1446,'3. Cuentas'!A:F,6,0)</f>
        <v>SI</v>
      </c>
    </row>
    <row r="1447" spans="1:8" x14ac:dyDescent="0.25">
      <c r="A1447" s="43">
        <v>10241204</v>
      </c>
      <c r="B1447" t="s">
        <v>1165</v>
      </c>
      <c r="C1447" s="43" t="s">
        <v>1624</v>
      </c>
      <c r="D1447" s="43">
        <v>1115170</v>
      </c>
      <c r="E1447" t="s">
        <v>293</v>
      </c>
      <c r="F1447" s="47" t="str">
        <f>+Centro_Cuenta8[[#This Row],[Codigo Centro Gestion]]&amp;" - "&amp;Centro_Cuenta8[[#This Row],[Nombre Centro Gestion]]</f>
        <v>10241204 - Parque Marañon Torre B-PROYECTO</v>
      </c>
      <c r="G1447" s="47" t="str">
        <f>+Centro_Cuenta8[[#This Row],[Código Cuenta Contable]]&amp;" - "&amp;Centro_Cuenta8[[#This Row],[Nombre de Cuenta Contable]]</f>
        <v>1115170 - Permisos Y Otros Gastos Municipales</v>
      </c>
      <c r="H1447" s="146" t="str">
        <f>+VLOOKUP(D1447,'3. Cuentas'!A:F,6,0)</f>
        <v>SI</v>
      </c>
    </row>
    <row r="1448" spans="1:8" x14ac:dyDescent="0.25">
      <c r="A1448" s="43">
        <v>10241204</v>
      </c>
      <c r="B1448" t="s">
        <v>1165</v>
      </c>
      <c r="C1448" s="43" t="s">
        <v>1624</v>
      </c>
      <c r="D1448" s="43">
        <v>1115240</v>
      </c>
      <c r="E1448" t="s">
        <v>294</v>
      </c>
      <c r="F1448" s="47" t="str">
        <f>+Centro_Cuenta8[[#This Row],[Codigo Centro Gestion]]&amp;" - "&amp;Centro_Cuenta8[[#This Row],[Nombre Centro Gestion]]</f>
        <v>10241204 - Parque Marañon Torre B-PROYECTO</v>
      </c>
      <c r="G1448" s="47" t="str">
        <f>+Centro_Cuenta8[[#This Row],[Código Cuenta Contable]]&amp;" - "&amp;Centro_Cuenta8[[#This Row],[Nombre de Cuenta Contable]]</f>
        <v>1115240 - Estudios Y Asesorias Técnicas</v>
      </c>
      <c r="H1448" s="146" t="str">
        <f>+VLOOKUP(D1448,'3. Cuentas'!A:F,6,0)</f>
        <v>SI</v>
      </c>
    </row>
    <row r="1449" spans="1:8" x14ac:dyDescent="0.25">
      <c r="A1449" s="43">
        <v>10241204</v>
      </c>
      <c r="B1449" t="s">
        <v>1165</v>
      </c>
      <c r="C1449" s="43" t="s">
        <v>1624</v>
      </c>
      <c r="D1449" s="43">
        <v>4203090</v>
      </c>
      <c r="E1449" t="s">
        <v>192</v>
      </c>
      <c r="F1449" s="47" t="str">
        <f>+Centro_Cuenta8[[#This Row],[Codigo Centro Gestion]]&amp;" - "&amp;Centro_Cuenta8[[#This Row],[Nombre Centro Gestion]]</f>
        <v>10241204 - Parque Marañon Torre B-PROYECTO</v>
      </c>
      <c r="G1449" s="47" t="str">
        <f>+Centro_Cuenta8[[#This Row],[Código Cuenta Contable]]&amp;" - "&amp;Centro_Cuenta8[[#This Row],[Nombre de Cuenta Contable]]</f>
        <v>4203090 - Gastos Legales Y Notariales Proyecto</v>
      </c>
      <c r="H1449" s="146" t="str">
        <f>+VLOOKUP(D1449,'3. Cuentas'!A:F,6,0)</f>
        <v>SI</v>
      </c>
    </row>
    <row r="1450" spans="1:8" x14ac:dyDescent="0.25">
      <c r="A1450" s="43">
        <v>10241204</v>
      </c>
      <c r="B1450" t="s">
        <v>1165</v>
      </c>
      <c r="C1450" s="43" t="s">
        <v>1624</v>
      </c>
      <c r="D1450" s="43">
        <v>4203140</v>
      </c>
      <c r="E1450" t="s">
        <v>109</v>
      </c>
      <c r="F1450" s="47" t="str">
        <f>+Centro_Cuenta8[[#This Row],[Codigo Centro Gestion]]&amp;" - "&amp;Centro_Cuenta8[[#This Row],[Nombre Centro Gestion]]</f>
        <v>10241204 - Parque Marañon Torre B-PROYECTO</v>
      </c>
      <c r="G1450" s="47" t="str">
        <f>+Centro_Cuenta8[[#This Row],[Código Cuenta Contable]]&amp;" - "&amp;Centro_Cuenta8[[#This Row],[Nombre de Cuenta Contable]]</f>
        <v>4203140 - Contribuciones</v>
      </c>
      <c r="H1450" s="146" t="str">
        <f>+VLOOKUP(D1450,'3. Cuentas'!A:F,6,0)</f>
        <v>SI</v>
      </c>
    </row>
    <row r="1451" spans="1:8" x14ac:dyDescent="0.25">
      <c r="A1451" s="43">
        <v>10241204</v>
      </c>
      <c r="B1451" t="s">
        <v>1165</v>
      </c>
      <c r="C1451" s="43" t="s">
        <v>1624</v>
      </c>
      <c r="D1451" s="43">
        <v>4203150</v>
      </c>
      <c r="E1451" t="s">
        <v>156</v>
      </c>
      <c r="F1451" s="47" t="str">
        <f>+Centro_Cuenta8[[#This Row],[Codigo Centro Gestion]]&amp;" - "&amp;Centro_Cuenta8[[#This Row],[Nombre Centro Gestion]]</f>
        <v>10241204 - Parque Marañon Torre B-PROYECTO</v>
      </c>
      <c r="G1451" s="47" t="str">
        <f>+Centro_Cuenta8[[#This Row],[Código Cuenta Contable]]&amp;" - "&amp;Centro_Cuenta8[[#This Row],[Nombre de Cuenta Contable]]</f>
        <v>4203150 - Gastos CBR</v>
      </c>
      <c r="H1451" s="146" t="str">
        <f>+VLOOKUP(D1451,'3. Cuentas'!A:F,6,0)</f>
        <v>SI</v>
      </c>
    </row>
    <row r="1452" spans="1:8" x14ac:dyDescent="0.25">
      <c r="A1452" s="43">
        <v>10241204</v>
      </c>
      <c r="B1452" t="s">
        <v>1165</v>
      </c>
      <c r="C1452" s="43" t="s">
        <v>1624</v>
      </c>
      <c r="D1452" s="43">
        <v>4203160</v>
      </c>
      <c r="E1452" t="s">
        <v>1639</v>
      </c>
      <c r="F1452" s="47" t="str">
        <f>+Centro_Cuenta8[[#This Row],[Codigo Centro Gestion]]&amp;" - "&amp;Centro_Cuenta8[[#This Row],[Nombre Centro Gestion]]</f>
        <v>10241204 - Parque Marañon Torre B-PROYECTO</v>
      </c>
      <c r="G1452" s="47" t="str">
        <f>+Centro_Cuenta8[[#This Row],[Código Cuenta Contable]]&amp;" - "&amp;Centro_Cuenta8[[#This Row],[Nombre de Cuenta Contable]]</f>
        <v>4203160 - PAPELERIA Y FOTOCOPIADO</v>
      </c>
      <c r="H1452" s="146" t="str">
        <f>+VLOOKUP(D1452,'3. Cuentas'!A:F,6,0)</f>
        <v>SI</v>
      </c>
    </row>
    <row r="1453" spans="1:8" x14ac:dyDescent="0.25">
      <c r="A1453" s="43">
        <v>10241204</v>
      </c>
      <c r="B1453" t="s">
        <v>1165</v>
      </c>
      <c r="C1453" s="43" t="s">
        <v>1624</v>
      </c>
      <c r="D1453" s="43">
        <v>4203180</v>
      </c>
      <c r="E1453" t="s">
        <v>1640</v>
      </c>
      <c r="F1453" s="47" t="str">
        <f>+Centro_Cuenta8[[#This Row],[Codigo Centro Gestion]]&amp;" - "&amp;Centro_Cuenta8[[#This Row],[Nombre Centro Gestion]]</f>
        <v>10241204 - Parque Marañon Torre B-PROYECTO</v>
      </c>
      <c r="G1453" s="47" t="str">
        <f>+Centro_Cuenta8[[#This Row],[Código Cuenta Contable]]&amp;" - "&amp;Centro_Cuenta8[[#This Row],[Nombre de Cuenta Contable]]</f>
        <v>4203180 - Otros Gastos y Aseso Proy</v>
      </c>
      <c r="H1453" s="146" t="str">
        <f>+VLOOKUP(D1453,'3. Cuentas'!A:F,6,0)</f>
        <v>SI</v>
      </c>
    </row>
    <row r="1454" spans="1:8" x14ac:dyDescent="0.25">
      <c r="A1454" s="43">
        <v>10241301</v>
      </c>
      <c r="B1454" t="s">
        <v>1166</v>
      </c>
      <c r="C1454" s="43" t="s">
        <v>1643</v>
      </c>
      <c r="D1454" s="43">
        <v>4203090</v>
      </c>
      <c r="E1454" t="s">
        <v>192</v>
      </c>
      <c r="F1454" s="47" t="str">
        <f>+Centro_Cuenta8[[#This Row],[Codigo Centro Gestion]]&amp;" - "&amp;Centro_Cuenta8[[#This Row],[Nombre Centro Gestion]]</f>
        <v>10241301 - Parque Marañon Torre B-GAF</v>
      </c>
      <c r="G1454" s="47" t="str">
        <f>+Centro_Cuenta8[[#This Row],[Código Cuenta Contable]]&amp;" - "&amp;Centro_Cuenta8[[#This Row],[Nombre de Cuenta Contable]]</f>
        <v>4203090 - Gastos Legales Y Notariales Proyecto</v>
      </c>
      <c r="H1454" s="146" t="str">
        <f>+VLOOKUP(D1454,'3. Cuentas'!A:F,6,0)</f>
        <v>SI</v>
      </c>
    </row>
    <row r="1455" spans="1:8" x14ac:dyDescent="0.25">
      <c r="A1455" s="43">
        <v>10241301</v>
      </c>
      <c r="B1455" t="s">
        <v>1166</v>
      </c>
      <c r="C1455" s="43" t="s">
        <v>1643</v>
      </c>
      <c r="D1455" s="43">
        <v>4203140</v>
      </c>
      <c r="E1455" t="s">
        <v>109</v>
      </c>
      <c r="F1455" s="47" t="str">
        <f>+Centro_Cuenta8[[#This Row],[Codigo Centro Gestion]]&amp;" - "&amp;Centro_Cuenta8[[#This Row],[Nombre Centro Gestion]]</f>
        <v>10241301 - Parque Marañon Torre B-GAF</v>
      </c>
      <c r="G1455" s="47" t="str">
        <f>+Centro_Cuenta8[[#This Row],[Código Cuenta Contable]]&amp;" - "&amp;Centro_Cuenta8[[#This Row],[Nombre de Cuenta Contable]]</f>
        <v>4203140 - Contribuciones</v>
      </c>
      <c r="H1455" s="146" t="str">
        <f>+VLOOKUP(D1455,'3. Cuentas'!A:F,6,0)</f>
        <v>SI</v>
      </c>
    </row>
    <row r="1456" spans="1:8" x14ac:dyDescent="0.25">
      <c r="A1456" s="43">
        <v>10241506</v>
      </c>
      <c r="B1456" t="s">
        <v>1168</v>
      </c>
      <c r="C1456" s="43" t="s">
        <v>200</v>
      </c>
      <c r="D1456" s="43">
        <v>1115100</v>
      </c>
      <c r="E1456" t="s">
        <v>292</v>
      </c>
      <c r="F1456" s="47" t="str">
        <f>+Centro_Cuenta8[[#This Row],[Codigo Centro Gestion]]&amp;" - "&amp;Centro_Cuenta8[[#This Row],[Nombre Centro Gestion]]</f>
        <v>10241506 - Parque Marañon Torre B-DEPTO.TÉCNICO</v>
      </c>
      <c r="G1456" s="47" t="str">
        <f>+Centro_Cuenta8[[#This Row],[Código Cuenta Contable]]&amp;" - "&amp;Centro_Cuenta8[[#This Row],[Nombre de Cuenta Contable]]</f>
        <v>1115100 - Proyectos Y Especialidades</v>
      </c>
      <c r="H1456" s="146" t="str">
        <f>+VLOOKUP(D1456,'3. Cuentas'!A:F,6,0)</f>
        <v>SI</v>
      </c>
    </row>
    <row r="1457" spans="1:8" x14ac:dyDescent="0.25">
      <c r="A1457" s="43">
        <v>10242102</v>
      </c>
      <c r="B1457" t="s">
        <v>1169</v>
      </c>
      <c r="C1457" s="43" t="s">
        <v>1617</v>
      </c>
      <c r="D1457" s="43">
        <v>4204010</v>
      </c>
      <c r="E1457" t="s">
        <v>313</v>
      </c>
      <c r="F1457" s="47" t="str">
        <f>+Centro_Cuenta8[[#This Row],[Codigo Centro Gestion]]&amp;" - "&amp;Centro_Cuenta8[[#This Row],[Nombre Centro Gestion]]</f>
        <v>10242102 - Edificio Leon Prado-Marketing</v>
      </c>
      <c r="G1457" s="47" t="str">
        <f>+Centro_Cuenta8[[#This Row],[Código Cuenta Contable]]&amp;" - "&amp;Centro_Cuenta8[[#This Row],[Nombre de Cuenta Contable]]</f>
        <v>4204010 - Publicidad Punto Venta</v>
      </c>
      <c r="H1457" s="146" t="str">
        <f>+VLOOKUP(D1457,'3. Cuentas'!A:F,6,0)</f>
        <v>SI</v>
      </c>
    </row>
    <row r="1458" spans="1:8" x14ac:dyDescent="0.25">
      <c r="A1458" s="43">
        <v>10242102</v>
      </c>
      <c r="B1458" t="s">
        <v>1169</v>
      </c>
      <c r="C1458" s="43" t="s">
        <v>1617</v>
      </c>
      <c r="D1458" s="43">
        <v>4204021</v>
      </c>
      <c r="E1458" t="s">
        <v>329</v>
      </c>
      <c r="F1458" s="47" t="str">
        <f>+Centro_Cuenta8[[#This Row],[Codigo Centro Gestion]]&amp;" - "&amp;Centro_Cuenta8[[#This Row],[Nombre Centro Gestion]]</f>
        <v>10242102 - Edificio Leon Prado-Marketing</v>
      </c>
      <c r="G1458" s="47" t="str">
        <f>+Centro_Cuenta8[[#This Row],[Código Cuenta Contable]]&amp;" - "&amp;Centro_Cuenta8[[#This Row],[Nombre de Cuenta Contable]]</f>
        <v>4204021 - Publicidad Ferias Y Eventos</v>
      </c>
      <c r="H1458" s="146" t="str">
        <f>+VLOOKUP(D1458,'3. Cuentas'!A:F,6,0)</f>
        <v>SI</v>
      </c>
    </row>
    <row r="1459" spans="1:8" x14ac:dyDescent="0.25">
      <c r="A1459" s="43">
        <v>10242103</v>
      </c>
      <c r="B1459" t="s">
        <v>1170</v>
      </c>
      <c r="C1459" s="43" t="s">
        <v>1618</v>
      </c>
      <c r="D1459" s="43">
        <v>4203060</v>
      </c>
      <c r="E1459" t="s">
        <v>321</v>
      </c>
      <c r="F1459" s="47" t="str">
        <f>+Centro_Cuenta8[[#This Row],[Codigo Centro Gestion]]&amp;" - "&amp;Centro_Cuenta8[[#This Row],[Nombre Centro Gestion]]</f>
        <v>10242103 - Edificio Leon Prado-Operaciones</v>
      </c>
      <c r="G1459" s="47" t="str">
        <f>+Centro_Cuenta8[[#This Row],[Código Cuenta Contable]]&amp;" - "&amp;Centro_Cuenta8[[#This Row],[Nombre de Cuenta Contable]]</f>
        <v>4203060 - Gastos Operacionales De Clientes</v>
      </c>
      <c r="H1459" s="146" t="str">
        <f>+VLOOKUP(D1459,'3. Cuentas'!A:F,6,0)</f>
        <v>SI</v>
      </c>
    </row>
    <row r="1460" spans="1:8" x14ac:dyDescent="0.25">
      <c r="A1460" s="43">
        <v>10242103</v>
      </c>
      <c r="B1460" t="s">
        <v>1170</v>
      </c>
      <c r="C1460" s="43" t="s">
        <v>1618</v>
      </c>
      <c r="D1460" s="43">
        <v>4203090</v>
      </c>
      <c r="E1460" t="s">
        <v>192</v>
      </c>
      <c r="F1460" s="47" t="str">
        <f>+Centro_Cuenta8[[#This Row],[Codigo Centro Gestion]]&amp;" - "&amp;Centro_Cuenta8[[#This Row],[Nombre Centro Gestion]]</f>
        <v>10242103 - Edificio Leon Prado-Operaciones</v>
      </c>
      <c r="G1460" s="47" t="str">
        <f>+Centro_Cuenta8[[#This Row],[Código Cuenta Contable]]&amp;" - "&amp;Centro_Cuenta8[[#This Row],[Nombre de Cuenta Contable]]</f>
        <v>4203090 - Gastos Legales Y Notariales Proyecto</v>
      </c>
      <c r="H1460" s="146" t="str">
        <f>+VLOOKUP(D1460,'3. Cuentas'!A:F,6,0)</f>
        <v>SI</v>
      </c>
    </row>
    <row r="1461" spans="1:8" x14ac:dyDescent="0.25">
      <c r="A1461" s="43">
        <v>10242104</v>
      </c>
      <c r="B1461" t="s">
        <v>1171</v>
      </c>
      <c r="C1461" s="43" t="s">
        <v>90</v>
      </c>
      <c r="D1461" s="43">
        <v>1110040</v>
      </c>
      <c r="E1461" t="s">
        <v>1505</v>
      </c>
      <c r="F1461" s="47" t="str">
        <f>+Centro_Cuenta8[[#This Row],[Codigo Centro Gestion]]&amp;" - "&amp;Centro_Cuenta8[[#This Row],[Nombre Centro Gestion]]</f>
        <v>10242104 - Edificio Leon Prado-Ventas</v>
      </c>
      <c r="G1461" s="47" t="str">
        <f>+Centro_Cuenta8[[#This Row],[Código Cuenta Contable]]&amp;" - "&amp;Centro_Cuenta8[[#This Row],[Nombre de Cuenta Contable]]</f>
        <v>1110040 - Garantía Pagadas</v>
      </c>
      <c r="H1461" s="146" t="str">
        <f>+VLOOKUP(D1461,'3. Cuentas'!A:F,6,0)</f>
        <v>SI</v>
      </c>
    </row>
    <row r="1462" spans="1:8" x14ac:dyDescent="0.25">
      <c r="A1462" s="43">
        <v>10242104</v>
      </c>
      <c r="B1462" t="s">
        <v>1171</v>
      </c>
      <c r="C1462" s="43" t="s">
        <v>90</v>
      </c>
      <c r="D1462" s="43">
        <v>4202003</v>
      </c>
      <c r="E1462" t="s">
        <v>106</v>
      </c>
      <c r="F1462" s="47" t="str">
        <f>+Centro_Cuenta8[[#This Row],[Codigo Centro Gestion]]&amp;" - "&amp;Centro_Cuenta8[[#This Row],[Nombre Centro Gestion]]</f>
        <v>10242104 - Edificio Leon Prado-Ventas</v>
      </c>
      <c r="G1462" s="47" t="str">
        <f>+Centro_Cuenta8[[#This Row],[Código Cuenta Contable]]&amp;" - "&amp;Centro_Cuenta8[[#This Row],[Nombre de Cuenta Contable]]</f>
        <v>4202003 - Serv.Basic.Luz.Agua.Tel Of.C</v>
      </c>
      <c r="H1462" s="146" t="str">
        <f>+VLOOKUP(D1462,'3. Cuentas'!A:F,6,0)</f>
        <v>SI</v>
      </c>
    </row>
    <row r="1463" spans="1:8" x14ac:dyDescent="0.25">
      <c r="A1463" s="43">
        <v>10242104</v>
      </c>
      <c r="B1463" t="s">
        <v>1171</v>
      </c>
      <c r="C1463" s="43" t="s">
        <v>90</v>
      </c>
      <c r="D1463" s="43">
        <v>4202010</v>
      </c>
      <c r="E1463" t="s">
        <v>87</v>
      </c>
      <c r="F1463" s="47" t="str">
        <f>+Centro_Cuenta8[[#This Row],[Codigo Centro Gestion]]&amp;" - "&amp;Centro_Cuenta8[[#This Row],[Nombre Centro Gestion]]</f>
        <v>10242104 - Edificio Leon Prado-Ventas</v>
      </c>
      <c r="G1463" s="47" t="str">
        <f>+Centro_Cuenta8[[#This Row],[Código Cuenta Contable]]&amp;" - "&amp;Centro_Cuenta8[[#This Row],[Nombre de Cuenta Contable]]</f>
        <v>4202010 - Artic. Ofic. Fotocop.Papelería</v>
      </c>
      <c r="H1463" s="146" t="str">
        <f>+VLOOKUP(D1463,'3. Cuentas'!A:F,6,0)</f>
        <v>SI</v>
      </c>
    </row>
    <row r="1464" spans="1:8" x14ac:dyDescent="0.25">
      <c r="A1464" s="43">
        <v>10242104</v>
      </c>
      <c r="B1464" t="s">
        <v>1171</v>
      </c>
      <c r="C1464" s="43" t="s">
        <v>90</v>
      </c>
      <c r="D1464" s="43">
        <v>4202019</v>
      </c>
      <c r="E1464" t="s">
        <v>81</v>
      </c>
      <c r="F1464" s="47" t="str">
        <f>+Centro_Cuenta8[[#This Row],[Codigo Centro Gestion]]&amp;" - "&amp;Centro_Cuenta8[[#This Row],[Nombre Centro Gestion]]</f>
        <v>10242104 - Edificio Leon Prado-Ventas</v>
      </c>
      <c r="G1464" s="47" t="str">
        <f>+Centro_Cuenta8[[#This Row],[Código Cuenta Contable]]&amp;" - "&amp;Centro_Cuenta8[[#This Row],[Nombre de Cuenta Contable]]</f>
        <v>4202019 - Gasto General Oficina</v>
      </c>
      <c r="H1464" s="146" t="str">
        <f>+VLOOKUP(D1464,'3. Cuentas'!A:F,6,0)</f>
        <v>SI</v>
      </c>
    </row>
    <row r="1465" spans="1:8" x14ac:dyDescent="0.25">
      <c r="A1465" s="43">
        <v>10242104</v>
      </c>
      <c r="B1465" t="s">
        <v>1171</v>
      </c>
      <c r="C1465" s="43" t="s">
        <v>90</v>
      </c>
      <c r="D1465" s="43">
        <v>4202023</v>
      </c>
      <c r="E1465" t="s">
        <v>82</v>
      </c>
      <c r="F1465" s="47" t="str">
        <f>+Centro_Cuenta8[[#This Row],[Codigo Centro Gestion]]&amp;" - "&amp;Centro_Cuenta8[[#This Row],[Nombre Centro Gestion]]</f>
        <v>10242104 - Edificio Leon Prado-Ventas</v>
      </c>
      <c r="G1465" s="47" t="str">
        <f>+Centro_Cuenta8[[#This Row],[Código Cuenta Contable]]&amp;" - "&amp;Centro_Cuenta8[[#This Row],[Nombre de Cuenta Contable]]</f>
        <v>4202023 - Honorarios Por Asesorías</v>
      </c>
      <c r="H1465" s="146" t="str">
        <f>+VLOOKUP(D1465,'3. Cuentas'!A:F,6,0)</f>
        <v>SI</v>
      </c>
    </row>
    <row r="1466" spans="1:8" x14ac:dyDescent="0.25">
      <c r="A1466" s="43">
        <v>10242104</v>
      </c>
      <c r="B1466" t="s">
        <v>1171</v>
      </c>
      <c r="C1466" s="43" t="s">
        <v>90</v>
      </c>
      <c r="D1466" s="43">
        <v>4202029</v>
      </c>
      <c r="E1466" t="s">
        <v>83</v>
      </c>
      <c r="F1466" s="47" t="str">
        <f>+Centro_Cuenta8[[#This Row],[Codigo Centro Gestion]]&amp;" - "&amp;Centro_Cuenta8[[#This Row],[Nombre Centro Gestion]]</f>
        <v>10242104 - Edificio Leon Prado-Ventas</v>
      </c>
      <c r="G1466" s="47" t="str">
        <f>+Centro_Cuenta8[[#This Row],[Código Cuenta Contable]]&amp;" - "&amp;Centro_Cuenta8[[#This Row],[Nombre de Cuenta Contable]]</f>
        <v>4202029 - Insumos Y Gastos Informáticos</v>
      </c>
      <c r="H1466" s="146" t="str">
        <f>+VLOOKUP(D1466,'3. Cuentas'!A:F,6,0)</f>
        <v>SI</v>
      </c>
    </row>
    <row r="1467" spans="1:8" x14ac:dyDescent="0.25">
      <c r="A1467" s="43">
        <v>10242104</v>
      </c>
      <c r="B1467" t="s">
        <v>1171</v>
      </c>
      <c r="C1467" s="43" t="s">
        <v>90</v>
      </c>
      <c r="D1467" s="43">
        <v>4204021</v>
      </c>
      <c r="E1467" t="s">
        <v>329</v>
      </c>
      <c r="F1467" s="47" t="str">
        <f>+Centro_Cuenta8[[#This Row],[Codigo Centro Gestion]]&amp;" - "&amp;Centro_Cuenta8[[#This Row],[Nombre Centro Gestion]]</f>
        <v>10242104 - Edificio Leon Prado-Ventas</v>
      </c>
      <c r="G1467" s="47" t="str">
        <f>+Centro_Cuenta8[[#This Row],[Código Cuenta Contable]]&amp;" - "&amp;Centro_Cuenta8[[#This Row],[Nombre de Cuenta Contable]]</f>
        <v>4204021 - Publicidad Ferias Y Eventos</v>
      </c>
      <c r="H1467" s="146" t="str">
        <f>+VLOOKUP(D1467,'3. Cuentas'!A:F,6,0)</f>
        <v>SI</v>
      </c>
    </row>
    <row r="1468" spans="1:8" x14ac:dyDescent="0.25">
      <c r="A1468" s="43">
        <v>10242105</v>
      </c>
      <c r="B1468" t="s">
        <v>1172</v>
      </c>
      <c r="C1468" s="43" t="s">
        <v>1622</v>
      </c>
      <c r="D1468" s="43">
        <v>4203020</v>
      </c>
      <c r="E1468" t="s">
        <v>295</v>
      </c>
      <c r="F1468" s="47" t="str">
        <f>+Centro_Cuenta8[[#This Row],[Codigo Centro Gestion]]&amp;" - "&amp;Centro_Cuenta8[[#This Row],[Nombre Centro Gestion]]</f>
        <v>10242105 - Edificio Leon Prado-Clientes</v>
      </c>
      <c r="G1468" s="47" t="str">
        <f>+Centro_Cuenta8[[#This Row],[Código Cuenta Contable]]&amp;" - "&amp;Centro_Cuenta8[[#This Row],[Nombre de Cuenta Contable]]</f>
        <v>4203020 - Mant. y Consum. Viv Stock</v>
      </c>
      <c r="H1468" s="146" t="str">
        <f>+VLOOKUP(D1468,'3. Cuentas'!A:F,6,0)</f>
        <v>SI</v>
      </c>
    </row>
    <row r="1469" spans="1:8" x14ac:dyDescent="0.25">
      <c r="A1469" s="43">
        <v>10242105</v>
      </c>
      <c r="B1469" t="s">
        <v>1172</v>
      </c>
      <c r="C1469" s="43" t="s">
        <v>1622</v>
      </c>
      <c r="D1469" s="43">
        <v>4203120</v>
      </c>
      <c r="E1469" t="s">
        <v>108</v>
      </c>
      <c r="F1469" s="47" t="str">
        <f>+Centro_Cuenta8[[#This Row],[Codigo Centro Gestion]]&amp;" - "&amp;Centro_Cuenta8[[#This Row],[Nombre Centro Gestion]]</f>
        <v>10242105 - Edificio Leon Prado-Clientes</v>
      </c>
      <c r="G1469" s="47" t="str">
        <f>+Centro_Cuenta8[[#This Row],[Código Cuenta Contable]]&amp;" - "&amp;Centro_Cuenta8[[#This Row],[Nombre de Cuenta Contable]]</f>
        <v>4203120 - Gastos Comunes</v>
      </c>
      <c r="H1469" s="146" t="str">
        <f>+VLOOKUP(D1469,'3. Cuentas'!A:F,6,0)</f>
        <v>SI</v>
      </c>
    </row>
    <row r="1470" spans="1:8" x14ac:dyDescent="0.25">
      <c r="A1470" s="43">
        <v>10242105</v>
      </c>
      <c r="B1470" t="s">
        <v>1172</v>
      </c>
      <c r="C1470" s="43" t="s">
        <v>1622</v>
      </c>
      <c r="D1470" s="43">
        <v>4203140</v>
      </c>
      <c r="E1470" t="s">
        <v>109</v>
      </c>
      <c r="F1470" s="47" t="str">
        <f>+Centro_Cuenta8[[#This Row],[Codigo Centro Gestion]]&amp;" - "&amp;Centro_Cuenta8[[#This Row],[Nombre Centro Gestion]]</f>
        <v>10242105 - Edificio Leon Prado-Clientes</v>
      </c>
      <c r="G1470" s="47" t="str">
        <f>+Centro_Cuenta8[[#This Row],[Código Cuenta Contable]]&amp;" - "&amp;Centro_Cuenta8[[#This Row],[Nombre de Cuenta Contable]]</f>
        <v>4203140 - Contribuciones</v>
      </c>
      <c r="H1470" s="146" t="str">
        <f>+VLOOKUP(D1470,'3. Cuentas'!A:F,6,0)</f>
        <v>SI</v>
      </c>
    </row>
    <row r="1471" spans="1:8" x14ac:dyDescent="0.25">
      <c r="A1471" s="43">
        <v>10242204</v>
      </c>
      <c r="B1471" t="s">
        <v>1173</v>
      </c>
      <c r="C1471" s="43" t="s">
        <v>1624</v>
      </c>
      <c r="D1471" s="43">
        <v>1103045</v>
      </c>
      <c r="E1471" t="s">
        <v>323</v>
      </c>
      <c r="F1471" s="47" t="str">
        <f>+Centro_Cuenta8[[#This Row],[Codigo Centro Gestion]]&amp;" - "&amp;Centro_Cuenta8[[#This Row],[Nombre Centro Gestion]]</f>
        <v>10242204 - Edificio Leon Prado-Proyecto</v>
      </c>
      <c r="G1471" s="47" t="str">
        <f>+Centro_Cuenta8[[#This Row],[Código Cuenta Contable]]&amp;" - "&amp;Centro_Cuenta8[[#This Row],[Nombre de Cuenta Contable]]</f>
        <v>1103045 - Aportes reembolsables (electricidad y agua)</v>
      </c>
      <c r="H1471" s="146" t="str">
        <f>+VLOOKUP(D1471,'3. Cuentas'!A:F,6,0)</f>
        <v>SI</v>
      </c>
    </row>
    <row r="1472" spans="1:8" x14ac:dyDescent="0.25">
      <c r="A1472" s="43">
        <v>10242204</v>
      </c>
      <c r="B1472" t="s">
        <v>1173</v>
      </c>
      <c r="C1472" s="43" t="s">
        <v>1624</v>
      </c>
      <c r="D1472" s="43">
        <v>1109020</v>
      </c>
      <c r="E1472" t="s">
        <v>302</v>
      </c>
      <c r="F1472" s="47" t="str">
        <f>+Centro_Cuenta8[[#This Row],[Codigo Centro Gestion]]&amp;" - "&amp;Centro_Cuenta8[[#This Row],[Nombre Centro Gestion]]</f>
        <v>10242204 - Edificio Leon Prado-Proyecto</v>
      </c>
      <c r="G1472" s="47" t="str">
        <f>+Centro_Cuenta8[[#This Row],[Código Cuenta Contable]]&amp;" - "&amp;Centro_Cuenta8[[#This Row],[Nombre de Cuenta Contable]]</f>
        <v>1109020 - Mobiliario</v>
      </c>
      <c r="H1472" s="146" t="str">
        <f>+VLOOKUP(D1472,'3. Cuentas'!A:F,6,0)</f>
        <v>SI</v>
      </c>
    </row>
    <row r="1473" spans="1:8" x14ac:dyDescent="0.25">
      <c r="A1473" s="43">
        <v>10242204</v>
      </c>
      <c r="B1473" t="s">
        <v>1173</v>
      </c>
      <c r="C1473" s="43" t="s">
        <v>1624</v>
      </c>
      <c r="D1473" s="43">
        <v>1110040</v>
      </c>
      <c r="E1473" t="s">
        <v>1505</v>
      </c>
      <c r="F1473" s="47" t="str">
        <f>+Centro_Cuenta8[[#This Row],[Codigo Centro Gestion]]&amp;" - "&amp;Centro_Cuenta8[[#This Row],[Nombre Centro Gestion]]</f>
        <v>10242204 - Edificio Leon Prado-Proyecto</v>
      </c>
      <c r="G1473" s="47" t="str">
        <f>+Centro_Cuenta8[[#This Row],[Código Cuenta Contable]]&amp;" - "&amp;Centro_Cuenta8[[#This Row],[Nombre de Cuenta Contable]]</f>
        <v>1110040 - Garantía Pagadas</v>
      </c>
      <c r="H1473" s="146" t="str">
        <f>+VLOOKUP(D1473,'3. Cuentas'!A:F,6,0)</f>
        <v>SI</v>
      </c>
    </row>
    <row r="1474" spans="1:8" x14ac:dyDescent="0.25">
      <c r="A1474" s="43">
        <v>10242204</v>
      </c>
      <c r="B1474" t="s">
        <v>1173</v>
      </c>
      <c r="C1474" s="43" t="s">
        <v>1624</v>
      </c>
      <c r="D1474" s="43">
        <v>1115040</v>
      </c>
      <c r="E1474" t="s">
        <v>291</v>
      </c>
      <c r="F1474" s="47" t="str">
        <f>+Centro_Cuenta8[[#This Row],[Codigo Centro Gestion]]&amp;" - "&amp;Centro_Cuenta8[[#This Row],[Nombre Centro Gestion]]</f>
        <v>10242204 - Edificio Leon Prado-Proyecto</v>
      </c>
      <c r="G1474" s="47" t="str">
        <f>+Centro_Cuenta8[[#This Row],[Código Cuenta Contable]]&amp;" - "&amp;Centro_Cuenta8[[#This Row],[Nombre de Cuenta Contable]]</f>
        <v>1115040 - Saneamiento De Terreno</v>
      </c>
      <c r="H1474" s="146" t="str">
        <f>+VLOOKUP(D1474,'3. Cuentas'!A:F,6,0)</f>
        <v>SI</v>
      </c>
    </row>
    <row r="1475" spans="1:8" x14ac:dyDescent="0.25">
      <c r="A1475" s="43">
        <v>10242204</v>
      </c>
      <c r="B1475" t="s">
        <v>1173</v>
      </c>
      <c r="C1475" s="43" t="s">
        <v>1624</v>
      </c>
      <c r="D1475" s="43">
        <v>1115050</v>
      </c>
      <c r="E1475" t="s">
        <v>1628</v>
      </c>
      <c r="F1475" s="47" t="str">
        <f>+Centro_Cuenta8[[#This Row],[Codigo Centro Gestion]]&amp;" - "&amp;Centro_Cuenta8[[#This Row],[Nombre Centro Gestion]]</f>
        <v>10242204 - Edificio Leon Prado-Proyecto</v>
      </c>
      <c r="G1475" s="47" t="str">
        <f>+Centro_Cuenta8[[#This Row],[Código Cuenta Contable]]&amp;" - "&amp;Centro_Cuenta8[[#This Row],[Nombre de Cuenta Contable]]</f>
        <v>1115050 - Demolición</v>
      </c>
      <c r="H1475" s="146" t="str">
        <f>+VLOOKUP(D1475,'3. Cuentas'!A:F,6,0)</f>
        <v>SI</v>
      </c>
    </row>
    <row r="1476" spans="1:8" x14ac:dyDescent="0.25">
      <c r="A1476" s="43">
        <v>10242204</v>
      </c>
      <c r="B1476" t="s">
        <v>1173</v>
      </c>
      <c r="C1476" s="43" t="s">
        <v>1624</v>
      </c>
      <c r="D1476" s="43">
        <v>1115100</v>
      </c>
      <c r="E1476" t="s">
        <v>292</v>
      </c>
      <c r="F1476" s="47" t="str">
        <f>+Centro_Cuenta8[[#This Row],[Codigo Centro Gestion]]&amp;" - "&amp;Centro_Cuenta8[[#This Row],[Nombre Centro Gestion]]</f>
        <v>10242204 - Edificio Leon Prado-Proyecto</v>
      </c>
      <c r="G1476" s="47" t="str">
        <f>+Centro_Cuenta8[[#This Row],[Código Cuenta Contable]]&amp;" - "&amp;Centro_Cuenta8[[#This Row],[Nombre de Cuenta Contable]]</f>
        <v>1115100 - Proyectos Y Especialidades</v>
      </c>
      <c r="H1476" s="146" t="str">
        <f>+VLOOKUP(D1476,'3. Cuentas'!A:F,6,0)</f>
        <v>SI</v>
      </c>
    </row>
    <row r="1477" spans="1:8" x14ac:dyDescent="0.25">
      <c r="A1477" s="43">
        <v>10242204</v>
      </c>
      <c r="B1477" t="s">
        <v>1173</v>
      </c>
      <c r="C1477" s="43" t="s">
        <v>1624</v>
      </c>
      <c r="D1477" s="43">
        <v>1115120</v>
      </c>
      <c r="E1477" t="s">
        <v>1633</v>
      </c>
      <c r="F1477" s="47" t="str">
        <f>+Centro_Cuenta8[[#This Row],[Codigo Centro Gestion]]&amp;" - "&amp;Centro_Cuenta8[[#This Row],[Nombre Centro Gestion]]</f>
        <v>10242204 - Edificio Leon Prado-Proyecto</v>
      </c>
      <c r="G1477" s="47" t="str">
        <f>+Centro_Cuenta8[[#This Row],[Código Cuenta Contable]]&amp;" - "&amp;Centro_Cuenta8[[#This Row],[Nombre de Cuenta Contable]]</f>
        <v>1115120 - Instalación Empalmes</v>
      </c>
      <c r="H1477" s="146" t="str">
        <f>+VLOOKUP(D1477,'3. Cuentas'!A:F,6,0)</f>
        <v>SI</v>
      </c>
    </row>
    <row r="1478" spans="1:8" x14ac:dyDescent="0.25">
      <c r="A1478" s="43">
        <v>10242204</v>
      </c>
      <c r="B1478" t="s">
        <v>1173</v>
      </c>
      <c r="C1478" s="43" t="s">
        <v>1624</v>
      </c>
      <c r="D1478" s="43">
        <v>1115170</v>
      </c>
      <c r="E1478" t="s">
        <v>293</v>
      </c>
      <c r="F1478" s="47" t="str">
        <f>+Centro_Cuenta8[[#This Row],[Codigo Centro Gestion]]&amp;" - "&amp;Centro_Cuenta8[[#This Row],[Nombre Centro Gestion]]</f>
        <v>10242204 - Edificio Leon Prado-Proyecto</v>
      </c>
      <c r="G1478" s="47" t="str">
        <f>+Centro_Cuenta8[[#This Row],[Código Cuenta Contable]]&amp;" - "&amp;Centro_Cuenta8[[#This Row],[Nombre de Cuenta Contable]]</f>
        <v>1115170 - Permisos Y Otros Gastos Municipales</v>
      </c>
      <c r="H1478" s="146" t="str">
        <f>+VLOOKUP(D1478,'3. Cuentas'!A:F,6,0)</f>
        <v>SI</v>
      </c>
    </row>
    <row r="1479" spans="1:8" x14ac:dyDescent="0.25">
      <c r="A1479" s="43">
        <v>10242204</v>
      </c>
      <c r="B1479" t="s">
        <v>1173</v>
      </c>
      <c r="C1479" s="43" t="s">
        <v>1624</v>
      </c>
      <c r="D1479" s="43">
        <v>1115240</v>
      </c>
      <c r="E1479" t="s">
        <v>294</v>
      </c>
      <c r="F1479" s="47" t="str">
        <f>+Centro_Cuenta8[[#This Row],[Codigo Centro Gestion]]&amp;" - "&amp;Centro_Cuenta8[[#This Row],[Nombre Centro Gestion]]</f>
        <v>10242204 - Edificio Leon Prado-Proyecto</v>
      </c>
      <c r="G1479" s="47" t="str">
        <f>+Centro_Cuenta8[[#This Row],[Código Cuenta Contable]]&amp;" - "&amp;Centro_Cuenta8[[#This Row],[Nombre de Cuenta Contable]]</f>
        <v>1115240 - Estudios Y Asesorias Técnicas</v>
      </c>
      <c r="H1479" s="146" t="str">
        <f>+VLOOKUP(D1479,'3. Cuentas'!A:F,6,0)</f>
        <v>SI</v>
      </c>
    </row>
    <row r="1480" spans="1:8" x14ac:dyDescent="0.25">
      <c r="A1480" s="43">
        <v>10242204</v>
      </c>
      <c r="B1480" t="s">
        <v>1173</v>
      </c>
      <c r="C1480" s="43" t="s">
        <v>1624</v>
      </c>
      <c r="D1480" s="43">
        <v>4203090</v>
      </c>
      <c r="E1480" t="s">
        <v>192</v>
      </c>
      <c r="F1480" s="47" t="str">
        <f>+Centro_Cuenta8[[#This Row],[Codigo Centro Gestion]]&amp;" - "&amp;Centro_Cuenta8[[#This Row],[Nombre Centro Gestion]]</f>
        <v>10242204 - Edificio Leon Prado-Proyecto</v>
      </c>
      <c r="G1480" s="47" t="str">
        <f>+Centro_Cuenta8[[#This Row],[Código Cuenta Contable]]&amp;" - "&amp;Centro_Cuenta8[[#This Row],[Nombre de Cuenta Contable]]</f>
        <v>4203090 - Gastos Legales Y Notariales Proyecto</v>
      </c>
      <c r="H1480" s="146" t="str">
        <f>+VLOOKUP(D1480,'3. Cuentas'!A:F,6,0)</f>
        <v>SI</v>
      </c>
    </row>
    <row r="1481" spans="1:8" x14ac:dyDescent="0.25">
      <c r="A1481" s="43">
        <v>10242204</v>
      </c>
      <c r="B1481" t="s">
        <v>1173</v>
      </c>
      <c r="C1481" s="43" t="s">
        <v>1624</v>
      </c>
      <c r="D1481" s="43">
        <v>4203140</v>
      </c>
      <c r="E1481" t="s">
        <v>109</v>
      </c>
      <c r="F1481" s="47" t="str">
        <f>+Centro_Cuenta8[[#This Row],[Codigo Centro Gestion]]&amp;" - "&amp;Centro_Cuenta8[[#This Row],[Nombre Centro Gestion]]</f>
        <v>10242204 - Edificio Leon Prado-Proyecto</v>
      </c>
      <c r="G1481" s="47" t="str">
        <f>+Centro_Cuenta8[[#This Row],[Código Cuenta Contable]]&amp;" - "&amp;Centro_Cuenta8[[#This Row],[Nombre de Cuenta Contable]]</f>
        <v>4203140 - Contribuciones</v>
      </c>
      <c r="H1481" s="146" t="str">
        <f>+VLOOKUP(D1481,'3. Cuentas'!A:F,6,0)</f>
        <v>SI</v>
      </c>
    </row>
    <row r="1482" spans="1:8" x14ac:dyDescent="0.25">
      <c r="A1482" s="43">
        <v>10242204</v>
      </c>
      <c r="B1482" t="s">
        <v>1173</v>
      </c>
      <c r="C1482" s="43" t="s">
        <v>1624</v>
      </c>
      <c r="D1482" s="43">
        <v>4203150</v>
      </c>
      <c r="E1482" t="s">
        <v>156</v>
      </c>
      <c r="F1482" s="47" t="str">
        <f>+Centro_Cuenta8[[#This Row],[Codigo Centro Gestion]]&amp;" - "&amp;Centro_Cuenta8[[#This Row],[Nombre Centro Gestion]]</f>
        <v>10242204 - Edificio Leon Prado-Proyecto</v>
      </c>
      <c r="G1482" s="47" t="str">
        <f>+Centro_Cuenta8[[#This Row],[Código Cuenta Contable]]&amp;" - "&amp;Centro_Cuenta8[[#This Row],[Nombre de Cuenta Contable]]</f>
        <v>4203150 - Gastos CBR</v>
      </c>
      <c r="H1482" s="146" t="str">
        <f>+VLOOKUP(D1482,'3. Cuentas'!A:F,6,0)</f>
        <v>SI</v>
      </c>
    </row>
    <row r="1483" spans="1:8" x14ac:dyDescent="0.25">
      <c r="A1483" s="43">
        <v>10242204</v>
      </c>
      <c r="B1483" t="s">
        <v>1173</v>
      </c>
      <c r="C1483" s="43" t="s">
        <v>1624</v>
      </c>
      <c r="D1483" s="43">
        <v>4203160</v>
      </c>
      <c r="E1483" t="s">
        <v>1639</v>
      </c>
      <c r="F1483" s="47" t="str">
        <f>+Centro_Cuenta8[[#This Row],[Codigo Centro Gestion]]&amp;" - "&amp;Centro_Cuenta8[[#This Row],[Nombre Centro Gestion]]</f>
        <v>10242204 - Edificio Leon Prado-Proyecto</v>
      </c>
      <c r="G1483" s="47" t="str">
        <f>+Centro_Cuenta8[[#This Row],[Código Cuenta Contable]]&amp;" - "&amp;Centro_Cuenta8[[#This Row],[Nombre de Cuenta Contable]]</f>
        <v>4203160 - PAPELERIA Y FOTOCOPIADO</v>
      </c>
      <c r="H1483" s="146" t="str">
        <f>+VLOOKUP(D1483,'3. Cuentas'!A:F,6,0)</f>
        <v>SI</v>
      </c>
    </row>
    <row r="1484" spans="1:8" x14ac:dyDescent="0.25">
      <c r="A1484" s="43">
        <v>10242204</v>
      </c>
      <c r="B1484" t="s">
        <v>1173</v>
      </c>
      <c r="C1484" s="43" t="s">
        <v>1624</v>
      </c>
      <c r="D1484" s="43">
        <v>4203180</v>
      </c>
      <c r="E1484" t="s">
        <v>1640</v>
      </c>
      <c r="F1484" s="47" t="str">
        <f>+Centro_Cuenta8[[#This Row],[Codigo Centro Gestion]]&amp;" - "&amp;Centro_Cuenta8[[#This Row],[Nombre Centro Gestion]]</f>
        <v>10242204 - Edificio Leon Prado-Proyecto</v>
      </c>
      <c r="G1484" s="47" t="str">
        <f>+Centro_Cuenta8[[#This Row],[Código Cuenta Contable]]&amp;" - "&amp;Centro_Cuenta8[[#This Row],[Nombre de Cuenta Contable]]</f>
        <v>4203180 - Otros Gastos y Aseso Proy</v>
      </c>
      <c r="H1484" s="146" t="str">
        <f>+VLOOKUP(D1484,'3. Cuentas'!A:F,6,0)</f>
        <v>SI</v>
      </c>
    </row>
    <row r="1485" spans="1:8" x14ac:dyDescent="0.25">
      <c r="A1485" s="43">
        <v>10242301</v>
      </c>
      <c r="B1485" t="s">
        <v>1174</v>
      </c>
      <c r="C1485" s="43" t="s">
        <v>1643</v>
      </c>
      <c r="D1485" s="43">
        <v>4203090</v>
      </c>
      <c r="E1485" t="s">
        <v>192</v>
      </c>
      <c r="F1485" s="47" t="str">
        <f>+Centro_Cuenta8[[#This Row],[Codigo Centro Gestion]]&amp;" - "&amp;Centro_Cuenta8[[#This Row],[Nombre Centro Gestion]]</f>
        <v>10242301 - Edificio Leon Prado-GAF</v>
      </c>
      <c r="G1485" s="47" t="str">
        <f>+Centro_Cuenta8[[#This Row],[Código Cuenta Contable]]&amp;" - "&amp;Centro_Cuenta8[[#This Row],[Nombre de Cuenta Contable]]</f>
        <v>4203090 - Gastos Legales Y Notariales Proyecto</v>
      </c>
      <c r="H1485" s="146" t="str">
        <f>+VLOOKUP(D1485,'3. Cuentas'!A:F,6,0)</f>
        <v>SI</v>
      </c>
    </row>
    <row r="1486" spans="1:8" x14ac:dyDescent="0.25">
      <c r="A1486" s="43">
        <v>10242301</v>
      </c>
      <c r="B1486" t="s">
        <v>1174</v>
      </c>
      <c r="C1486" s="43" t="s">
        <v>1643</v>
      </c>
      <c r="D1486" s="43">
        <v>4203140</v>
      </c>
      <c r="E1486" t="s">
        <v>109</v>
      </c>
      <c r="F1486" s="47" t="str">
        <f>+Centro_Cuenta8[[#This Row],[Codigo Centro Gestion]]&amp;" - "&amp;Centro_Cuenta8[[#This Row],[Nombre Centro Gestion]]</f>
        <v>10242301 - Edificio Leon Prado-GAF</v>
      </c>
      <c r="G1486" s="47" t="str">
        <f>+Centro_Cuenta8[[#This Row],[Código Cuenta Contable]]&amp;" - "&amp;Centro_Cuenta8[[#This Row],[Nombre de Cuenta Contable]]</f>
        <v>4203140 - Contribuciones</v>
      </c>
      <c r="H1486" s="146" t="str">
        <f>+VLOOKUP(D1486,'3. Cuentas'!A:F,6,0)</f>
        <v>SI</v>
      </c>
    </row>
    <row r="1487" spans="1:8" x14ac:dyDescent="0.25">
      <c r="A1487" s="43">
        <v>10242506</v>
      </c>
      <c r="B1487" t="s">
        <v>1176</v>
      </c>
      <c r="C1487" s="43" t="s">
        <v>200</v>
      </c>
      <c r="D1487" s="43">
        <v>1115100</v>
      </c>
      <c r="E1487" t="s">
        <v>292</v>
      </c>
      <c r="F1487" s="47" t="str">
        <f>+Centro_Cuenta8[[#This Row],[Codigo Centro Gestion]]&amp;" - "&amp;Centro_Cuenta8[[#This Row],[Nombre Centro Gestion]]</f>
        <v>10242506 - Edificio Leon Prado-Depto.Técnico</v>
      </c>
      <c r="G1487" s="47" t="str">
        <f>+Centro_Cuenta8[[#This Row],[Código Cuenta Contable]]&amp;" - "&amp;Centro_Cuenta8[[#This Row],[Nombre de Cuenta Contable]]</f>
        <v>1115100 - Proyectos Y Especialidades</v>
      </c>
      <c r="H1487" s="146" t="str">
        <f>+VLOOKUP(D1487,'3. Cuentas'!A:F,6,0)</f>
        <v>SI</v>
      </c>
    </row>
    <row r="1488" spans="1:8" x14ac:dyDescent="0.25">
      <c r="A1488" s="43">
        <v>10243102</v>
      </c>
      <c r="B1488" t="s">
        <v>1177</v>
      </c>
      <c r="C1488" s="43" t="s">
        <v>1617</v>
      </c>
      <c r="D1488" s="43">
        <v>4204010</v>
      </c>
      <c r="E1488" t="s">
        <v>313</v>
      </c>
      <c r="F1488" s="47" t="str">
        <f>+Centro_Cuenta8[[#This Row],[Codigo Centro Gestion]]&amp;" - "&amp;Centro_Cuenta8[[#This Row],[Nombre Centro Gestion]]</f>
        <v>10243102 - Edificio Garcia Reyes-Marketing</v>
      </c>
      <c r="G1488" s="47" t="str">
        <f>+Centro_Cuenta8[[#This Row],[Código Cuenta Contable]]&amp;" - "&amp;Centro_Cuenta8[[#This Row],[Nombre de Cuenta Contable]]</f>
        <v>4204010 - Publicidad Punto Venta</v>
      </c>
      <c r="H1488" s="146" t="str">
        <f>+VLOOKUP(D1488,'3. Cuentas'!A:F,6,0)</f>
        <v>SI</v>
      </c>
    </row>
    <row r="1489" spans="1:8" x14ac:dyDescent="0.25">
      <c r="A1489" s="43">
        <v>10243102</v>
      </c>
      <c r="B1489" t="s">
        <v>1177</v>
      </c>
      <c r="C1489" s="43" t="s">
        <v>1617</v>
      </c>
      <c r="D1489" s="43">
        <v>4204021</v>
      </c>
      <c r="E1489" t="s">
        <v>329</v>
      </c>
      <c r="F1489" s="47" t="str">
        <f>+Centro_Cuenta8[[#This Row],[Codigo Centro Gestion]]&amp;" - "&amp;Centro_Cuenta8[[#This Row],[Nombre Centro Gestion]]</f>
        <v>10243102 - Edificio Garcia Reyes-Marketing</v>
      </c>
      <c r="G1489" s="47" t="str">
        <f>+Centro_Cuenta8[[#This Row],[Código Cuenta Contable]]&amp;" - "&amp;Centro_Cuenta8[[#This Row],[Nombre de Cuenta Contable]]</f>
        <v>4204021 - Publicidad Ferias Y Eventos</v>
      </c>
      <c r="H1489" s="146" t="str">
        <f>+VLOOKUP(D1489,'3. Cuentas'!A:F,6,0)</f>
        <v>SI</v>
      </c>
    </row>
    <row r="1490" spans="1:8" x14ac:dyDescent="0.25">
      <c r="A1490" s="43">
        <v>10243103</v>
      </c>
      <c r="B1490" t="s">
        <v>1178</v>
      </c>
      <c r="C1490" s="43" t="s">
        <v>1618</v>
      </c>
      <c r="D1490" s="43">
        <v>4203060</v>
      </c>
      <c r="E1490" t="s">
        <v>321</v>
      </c>
      <c r="F1490" s="47" t="str">
        <f>+Centro_Cuenta8[[#This Row],[Codigo Centro Gestion]]&amp;" - "&amp;Centro_Cuenta8[[#This Row],[Nombre Centro Gestion]]</f>
        <v>10243103 - Edificio Garcia Reyes-Operaciones</v>
      </c>
      <c r="G1490" s="47" t="str">
        <f>+Centro_Cuenta8[[#This Row],[Código Cuenta Contable]]&amp;" - "&amp;Centro_Cuenta8[[#This Row],[Nombre de Cuenta Contable]]</f>
        <v>4203060 - Gastos Operacionales De Clientes</v>
      </c>
      <c r="H1490" s="146" t="str">
        <f>+VLOOKUP(D1490,'3. Cuentas'!A:F,6,0)</f>
        <v>SI</v>
      </c>
    </row>
    <row r="1491" spans="1:8" x14ac:dyDescent="0.25">
      <c r="A1491" s="43">
        <v>10243103</v>
      </c>
      <c r="B1491" t="s">
        <v>1178</v>
      </c>
      <c r="C1491" s="43" t="s">
        <v>1618</v>
      </c>
      <c r="D1491" s="43">
        <v>4203090</v>
      </c>
      <c r="E1491" t="s">
        <v>192</v>
      </c>
      <c r="F1491" s="47" t="str">
        <f>+Centro_Cuenta8[[#This Row],[Codigo Centro Gestion]]&amp;" - "&amp;Centro_Cuenta8[[#This Row],[Nombre Centro Gestion]]</f>
        <v>10243103 - Edificio Garcia Reyes-Operaciones</v>
      </c>
      <c r="G1491" s="47" t="str">
        <f>+Centro_Cuenta8[[#This Row],[Código Cuenta Contable]]&amp;" - "&amp;Centro_Cuenta8[[#This Row],[Nombre de Cuenta Contable]]</f>
        <v>4203090 - Gastos Legales Y Notariales Proyecto</v>
      </c>
      <c r="H1491" s="146" t="str">
        <f>+VLOOKUP(D1491,'3. Cuentas'!A:F,6,0)</f>
        <v>SI</v>
      </c>
    </row>
    <row r="1492" spans="1:8" x14ac:dyDescent="0.25">
      <c r="A1492" s="43">
        <v>10243104</v>
      </c>
      <c r="B1492" t="s">
        <v>1179</v>
      </c>
      <c r="C1492" s="43" t="s">
        <v>90</v>
      </c>
      <c r="D1492" s="43">
        <v>1110040</v>
      </c>
      <c r="E1492" t="s">
        <v>1505</v>
      </c>
      <c r="F1492" s="47" t="str">
        <f>+Centro_Cuenta8[[#This Row],[Codigo Centro Gestion]]&amp;" - "&amp;Centro_Cuenta8[[#This Row],[Nombre Centro Gestion]]</f>
        <v>10243104 - Edificio Garcia Reyes-Ventas</v>
      </c>
      <c r="G1492" s="47" t="str">
        <f>+Centro_Cuenta8[[#This Row],[Código Cuenta Contable]]&amp;" - "&amp;Centro_Cuenta8[[#This Row],[Nombre de Cuenta Contable]]</f>
        <v>1110040 - Garantía Pagadas</v>
      </c>
      <c r="H1492" s="146" t="str">
        <f>+VLOOKUP(D1492,'3. Cuentas'!A:F,6,0)</f>
        <v>SI</v>
      </c>
    </row>
    <row r="1493" spans="1:8" x14ac:dyDescent="0.25">
      <c r="A1493" s="43">
        <v>10243104</v>
      </c>
      <c r="B1493" t="s">
        <v>1179</v>
      </c>
      <c r="C1493" s="43" t="s">
        <v>90</v>
      </c>
      <c r="D1493" s="43">
        <v>4202003</v>
      </c>
      <c r="E1493" t="s">
        <v>106</v>
      </c>
      <c r="F1493" s="47" t="str">
        <f>+Centro_Cuenta8[[#This Row],[Codigo Centro Gestion]]&amp;" - "&amp;Centro_Cuenta8[[#This Row],[Nombre Centro Gestion]]</f>
        <v>10243104 - Edificio Garcia Reyes-Ventas</v>
      </c>
      <c r="G1493" s="47" t="str">
        <f>+Centro_Cuenta8[[#This Row],[Código Cuenta Contable]]&amp;" - "&amp;Centro_Cuenta8[[#This Row],[Nombre de Cuenta Contable]]</f>
        <v>4202003 - Serv.Basic.Luz.Agua.Tel Of.C</v>
      </c>
      <c r="H1493" s="146" t="str">
        <f>+VLOOKUP(D1493,'3. Cuentas'!A:F,6,0)</f>
        <v>SI</v>
      </c>
    </row>
    <row r="1494" spans="1:8" x14ac:dyDescent="0.25">
      <c r="A1494" s="43">
        <v>10243104</v>
      </c>
      <c r="B1494" t="s">
        <v>1179</v>
      </c>
      <c r="C1494" s="43" t="s">
        <v>90</v>
      </c>
      <c r="D1494" s="43">
        <v>4202010</v>
      </c>
      <c r="E1494" t="s">
        <v>87</v>
      </c>
      <c r="F1494" s="47" t="str">
        <f>+Centro_Cuenta8[[#This Row],[Codigo Centro Gestion]]&amp;" - "&amp;Centro_Cuenta8[[#This Row],[Nombre Centro Gestion]]</f>
        <v>10243104 - Edificio Garcia Reyes-Ventas</v>
      </c>
      <c r="G1494" s="47" t="str">
        <f>+Centro_Cuenta8[[#This Row],[Código Cuenta Contable]]&amp;" - "&amp;Centro_Cuenta8[[#This Row],[Nombre de Cuenta Contable]]</f>
        <v>4202010 - Artic. Ofic. Fotocop.Papelería</v>
      </c>
      <c r="H1494" s="146" t="str">
        <f>+VLOOKUP(D1494,'3. Cuentas'!A:F,6,0)</f>
        <v>SI</v>
      </c>
    </row>
    <row r="1495" spans="1:8" x14ac:dyDescent="0.25">
      <c r="A1495" s="43">
        <v>10243104</v>
      </c>
      <c r="B1495" t="s">
        <v>1179</v>
      </c>
      <c r="C1495" s="43" t="s">
        <v>90</v>
      </c>
      <c r="D1495" s="43">
        <v>4202019</v>
      </c>
      <c r="E1495" t="s">
        <v>81</v>
      </c>
      <c r="F1495" s="47" t="str">
        <f>+Centro_Cuenta8[[#This Row],[Codigo Centro Gestion]]&amp;" - "&amp;Centro_Cuenta8[[#This Row],[Nombre Centro Gestion]]</f>
        <v>10243104 - Edificio Garcia Reyes-Ventas</v>
      </c>
      <c r="G1495" s="47" t="str">
        <f>+Centro_Cuenta8[[#This Row],[Código Cuenta Contable]]&amp;" - "&amp;Centro_Cuenta8[[#This Row],[Nombre de Cuenta Contable]]</f>
        <v>4202019 - Gasto General Oficina</v>
      </c>
      <c r="H1495" s="146" t="str">
        <f>+VLOOKUP(D1495,'3. Cuentas'!A:F,6,0)</f>
        <v>SI</v>
      </c>
    </row>
    <row r="1496" spans="1:8" x14ac:dyDescent="0.25">
      <c r="A1496" s="43">
        <v>10243104</v>
      </c>
      <c r="B1496" t="s">
        <v>1179</v>
      </c>
      <c r="C1496" s="43" t="s">
        <v>90</v>
      </c>
      <c r="D1496" s="43">
        <v>4202023</v>
      </c>
      <c r="E1496" t="s">
        <v>82</v>
      </c>
      <c r="F1496" s="47" t="str">
        <f>+Centro_Cuenta8[[#This Row],[Codigo Centro Gestion]]&amp;" - "&amp;Centro_Cuenta8[[#This Row],[Nombre Centro Gestion]]</f>
        <v>10243104 - Edificio Garcia Reyes-Ventas</v>
      </c>
      <c r="G1496" s="47" t="str">
        <f>+Centro_Cuenta8[[#This Row],[Código Cuenta Contable]]&amp;" - "&amp;Centro_Cuenta8[[#This Row],[Nombre de Cuenta Contable]]</f>
        <v>4202023 - Honorarios Por Asesorías</v>
      </c>
      <c r="H1496" s="146" t="str">
        <f>+VLOOKUP(D1496,'3. Cuentas'!A:F,6,0)</f>
        <v>SI</v>
      </c>
    </row>
    <row r="1497" spans="1:8" x14ac:dyDescent="0.25">
      <c r="A1497" s="43">
        <v>10243104</v>
      </c>
      <c r="B1497" t="s">
        <v>1179</v>
      </c>
      <c r="C1497" s="43" t="s">
        <v>90</v>
      </c>
      <c r="D1497" s="43">
        <v>4202029</v>
      </c>
      <c r="E1497" t="s">
        <v>83</v>
      </c>
      <c r="F1497" s="47" t="str">
        <f>+Centro_Cuenta8[[#This Row],[Codigo Centro Gestion]]&amp;" - "&amp;Centro_Cuenta8[[#This Row],[Nombre Centro Gestion]]</f>
        <v>10243104 - Edificio Garcia Reyes-Ventas</v>
      </c>
      <c r="G1497" s="47" t="str">
        <f>+Centro_Cuenta8[[#This Row],[Código Cuenta Contable]]&amp;" - "&amp;Centro_Cuenta8[[#This Row],[Nombre de Cuenta Contable]]</f>
        <v>4202029 - Insumos Y Gastos Informáticos</v>
      </c>
      <c r="H1497" s="146" t="str">
        <f>+VLOOKUP(D1497,'3. Cuentas'!A:F,6,0)</f>
        <v>SI</v>
      </c>
    </row>
    <row r="1498" spans="1:8" x14ac:dyDescent="0.25">
      <c r="A1498" s="43">
        <v>10243104</v>
      </c>
      <c r="B1498" t="s">
        <v>1179</v>
      </c>
      <c r="C1498" s="43" t="s">
        <v>90</v>
      </c>
      <c r="D1498" s="43">
        <v>4204021</v>
      </c>
      <c r="E1498" t="s">
        <v>329</v>
      </c>
      <c r="F1498" s="47" t="str">
        <f>+Centro_Cuenta8[[#This Row],[Codigo Centro Gestion]]&amp;" - "&amp;Centro_Cuenta8[[#This Row],[Nombre Centro Gestion]]</f>
        <v>10243104 - Edificio Garcia Reyes-Ventas</v>
      </c>
      <c r="G1498" s="47" t="str">
        <f>+Centro_Cuenta8[[#This Row],[Código Cuenta Contable]]&amp;" - "&amp;Centro_Cuenta8[[#This Row],[Nombre de Cuenta Contable]]</f>
        <v>4204021 - Publicidad Ferias Y Eventos</v>
      </c>
      <c r="H1498" s="146" t="str">
        <f>+VLOOKUP(D1498,'3. Cuentas'!A:F,6,0)</f>
        <v>SI</v>
      </c>
    </row>
    <row r="1499" spans="1:8" x14ac:dyDescent="0.25">
      <c r="A1499" s="43">
        <v>10243105</v>
      </c>
      <c r="B1499" t="s">
        <v>1180</v>
      </c>
      <c r="C1499" s="43" t="s">
        <v>1622</v>
      </c>
      <c r="D1499" s="43">
        <v>4203020</v>
      </c>
      <c r="E1499" t="s">
        <v>295</v>
      </c>
      <c r="F1499" s="47" t="str">
        <f>+Centro_Cuenta8[[#This Row],[Codigo Centro Gestion]]&amp;" - "&amp;Centro_Cuenta8[[#This Row],[Nombre Centro Gestion]]</f>
        <v>10243105 - Edificio Garcia Reyes-Clientes</v>
      </c>
      <c r="G1499" s="47" t="str">
        <f>+Centro_Cuenta8[[#This Row],[Código Cuenta Contable]]&amp;" - "&amp;Centro_Cuenta8[[#This Row],[Nombre de Cuenta Contable]]</f>
        <v>4203020 - Mant. y Consum. Viv Stock</v>
      </c>
      <c r="H1499" s="146" t="str">
        <f>+VLOOKUP(D1499,'3. Cuentas'!A:F,6,0)</f>
        <v>SI</v>
      </c>
    </row>
    <row r="1500" spans="1:8" x14ac:dyDescent="0.25">
      <c r="A1500" s="43">
        <v>10243105</v>
      </c>
      <c r="B1500" t="s">
        <v>1180</v>
      </c>
      <c r="C1500" s="43" t="s">
        <v>1622</v>
      </c>
      <c r="D1500" s="43">
        <v>4203120</v>
      </c>
      <c r="E1500" t="s">
        <v>108</v>
      </c>
      <c r="F1500" s="47" t="str">
        <f>+Centro_Cuenta8[[#This Row],[Codigo Centro Gestion]]&amp;" - "&amp;Centro_Cuenta8[[#This Row],[Nombre Centro Gestion]]</f>
        <v>10243105 - Edificio Garcia Reyes-Clientes</v>
      </c>
      <c r="G1500" s="47" t="str">
        <f>+Centro_Cuenta8[[#This Row],[Código Cuenta Contable]]&amp;" - "&amp;Centro_Cuenta8[[#This Row],[Nombre de Cuenta Contable]]</f>
        <v>4203120 - Gastos Comunes</v>
      </c>
      <c r="H1500" s="146" t="str">
        <f>+VLOOKUP(D1500,'3. Cuentas'!A:F,6,0)</f>
        <v>SI</v>
      </c>
    </row>
    <row r="1501" spans="1:8" x14ac:dyDescent="0.25">
      <c r="A1501" s="43">
        <v>10243105</v>
      </c>
      <c r="B1501" t="s">
        <v>1180</v>
      </c>
      <c r="C1501" s="43" t="s">
        <v>1622</v>
      </c>
      <c r="D1501" s="43">
        <v>4203140</v>
      </c>
      <c r="E1501" t="s">
        <v>109</v>
      </c>
      <c r="F1501" s="47" t="str">
        <f>+Centro_Cuenta8[[#This Row],[Codigo Centro Gestion]]&amp;" - "&amp;Centro_Cuenta8[[#This Row],[Nombre Centro Gestion]]</f>
        <v>10243105 - Edificio Garcia Reyes-Clientes</v>
      </c>
      <c r="G1501" s="47" t="str">
        <f>+Centro_Cuenta8[[#This Row],[Código Cuenta Contable]]&amp;" - "&amp;Centro_Cuenta8[[#This Row],[Nombre de Cuenta Contable]]</f>
        <v>4203140 - Contribuciones</v>
      </c>
      <c r="H1501" s="146" t="str">
        <f>+VLOOKUP(D1501,'3. Cuentas'!A:F,6,0)</f>
        <v>SI</v>
      </c>
    </row>
    <row r="1502" spans="1:8" x14ac:dyDescent="0.25">
      <c r="A1502" s="43">
        <v>10243204</v>
      </c>
      <c r="B1502" t="s">
        <v>1181</v>
      </c>
      <c r="C1502" s="43" t="s">
        <v>1624</v>
      </c>
      <c r="D1502" s="43">
        <v>1103045</v>
      </c>
      <c r="E1502" t="s">
        <v>323</v>
      </c>
      <c r="F1502" s="47" t="str">
        <f>+Centro_Cuenta8[[#This Row],[Codigo Centro Gestion]]&amp;" - "&amp;Centro_Cuenta8[[#This Row],[Nombre Centro Gestion]]</f>
        <v>10243204 - Edificio Garcia Reyes-Proyecto</v>
      </c>
      <c r="G1502" s="47" t="str">
        <f>+Centro_Cuenta8[[#This Row],[Código Cuenta Contable]]&amp;" - "&amp;Centro_Cuenta8[[#This Row],[Nombre de Cuenta Contable]]</f>
        <v>1103045 - Aportes reembolsables (electricidad y agua)</v>
      </c>
      <c r="H1502" s="146" t="str">
        <f>+VLOOKUP(D1502,'3. Cuentas'!A:F,6,0)</f>
        <v>SI</v>
      </c>
    </row>
    <row r="1503" spans="1:8" x14ac:dyDescent="0.25">
      <c r="A1503" s="43">
        <v>10243204</v>
      </c>
      <c r="B1503" t="s">
        <v>1181</v>
      </c>
      <c r="C1503" s="43" t="s">
        <v>1624</v>
      </c>
      <c r="D1503" s="43">
        <v>1109020</v>
      </c>
      <c r="E1503" t="s">
        <v>302</v>
      </c>
      <c r="F1503" s="47" t="str">
        <f>+Centro_Cuenta8[[#This Row],[Codigo Centro Gestion]]&amp;" - "&amp;Centro_Cuenta8[[#This Row],[Nombre Centro Gestion]]</f>
        <v>10243204 - Edificio Garcia Reyes-Proyecto</v>
      </c>
      <c r="G1503" s="47" t="str">
        <f>+Centro_Cuenta8[[#This Row],[Código Cuenta Contable]]&amp;" - "&amp;Centro_Cuenta8[[#This Row],[Nombre de Cuenta Contable]]</f>
        <v>1109020 - Mobiliario</v>
      </c>
      <c r="H1503" s="146" t="str">
        <f>+VLOOKUP(D1503,'3. Cuentas'!A:F,6,0)</f>
        <v>SI</v>
      </c>
    </row>
    <row r="1504" spans="1:8" x14ac:dyDescent="0.25">
      <c r="A1504" s="43">
        <v>10243204</v>
      </c>
      <c r="B1504" t="s">
        <v>1181</v>
      </c>
      <c r="C1504" s="43" t="s">
        <v>1624</v>
      </c>
      <c r="D1504" s="43">
        <v>1110040</v>
      </c>
      <c r="E1504" t="s">
        <v>1505</v>
      </c>
      <c r="F1504" s="47" t="str">
        <f>+Centro_Cuenta8[[#This Row],[Codigo Centro Gestion]]&amp;" - "&amp;Centro_Cuenta8[[#This Row],[Nombre Centro Gestion]]</f>
        <v>10243204 - Edificio Garcia Reyes-Proyecto</v>
      </c>
      <c r="G1504" s="47" t="str">
        <f>+Centro_Cuenta8[[#This Row],[Código Cuenta Contable]]&amp;" - "&amp;Centro_Cuenta8[[#This Row],[Nombre de Cuenta Contable]]</f>
        <v>1110040 - Garantía Pagadas</v>
      </c>
      <c r="H1504" s="146" t="str">
        <f>+VLOOKUP(D1504,'3. Cuentas'!A:F,6,0)</f>
        <v>SI</v>
      </c>
    </row>
    <row r="1505" spans="1:8" x14ac:dyDescent="0.25">
      <c r="A1505" s="43">
        <v>10243204</v>
      </c>
      <c r="B1505" t="s">
        <v>1181</v>
      </c>
      <c r="C1505" s="43" t="s">
        <v>1624</v>
      </c>
      <c r="D1505" s="43">
        <v>1115040</v>
      </c>
      <c r="E1505" t="s">
        <v>291</v>
      </c>
      <c r="F1505" s="47" t="str">
        <f>+Centro_Cuenta8[[#This Row],[Codigo Centro Gestion]]&amp;" - "&amp;Centro_Cuenta8[[#This Row],[Nombre Centro Gestion]]</f>
        <v>10243204 - Edificio Garcia Reyes-Proyecto</v>
      </c>
      <c r="G1505" s="47" t="str">
        <f>+Centro_Cuenta8[[#This Row],[Código Cuenta Contable]]&amp;" - "&amp;Centro_Cuenta8[[#This Row],[Nombre de Cuenta Contable]]</f>
        <v>1115040 - Saneamiento De Terreno</v>
      </c>
      <c r="H1505" s="146" t="str">
        <f>+VLOOKUP(D1505,'3. Cuentas'!A:F,6,0)</f>
        <v>SI</v>
      </c>
    </row>
    <row r="1506" spans="1:8" x14ac:dyDescent="0.25">
      <c r="A1506" s="43">
        <v>10243204</v>
      </c>
      <c r="B1506" t="s">
        <v>1181</v>
      </c>
      <c r="C1506" s="43" t="s">
        <v>1624</v>
      </c>
      <c r="D1506" s="43">
        <v>1115050</v>
      </c>
      <c r="E1506" t="s">
        <v>1628</v>
      </c>
      <c r="F1506" s="47" t="str">
        <f>+Centro_Cuenta8[[#This Row],[Codigo Centro Gestion]]&amp;" - "&amp;Centro_Cuenta8[[#This Row],[Nombre Centro Gestion]]</f>
        <v>10243204 - Edificio Garcia Reyes-Proyecto</v>
      </c>
      <c r="G1506" s="47" t="str">
        <f>+Centro_Cuenta8[[#This Row],[Código Cuenta Contable]]&amp;" - "&amp;Centro_Cuenta8[[#This Row],[Nombre de Cuenta Contable]]</f>
        <v>1115050 - Demolición</v>
      </c>
      <c r="H1506" s="146" t="str">
        <f>+VLOOKUP(D1506,'3. Cuentas'!A:F,6,0)</f>
        <v>SI</v>
      </c>
    </row>
    <row r="1507" spans="1:8" x14ac:dyDescent="0.25">
      <c r="A1507" s="43">
        <v>10243204</v>
      </c>
      <c r="B1507" t="s">
        <v>1181</v>
      </c>
      <c r="C1507" s="43" t="s">
        <v>1624</v>
      </c>
      <c r="D1507" s="43">
        <v>1115100</v>
      </c>
      <c r="E1507" t="s">
        <v>292</v>
      </c>
      <c r="F1507" s="47" t="str">
        <f>+Centro_Cuenta8[[#This Row],[Codigo Centro Gestion]]&amp;" - "&amp;Centro_Cuenta8[[#This Row],[Nombre Centro Gestion]]</f>
        <v>10243204 - Edificio Garcia Reyes-Proyecto</v>
      </c>
      <c r="G1507" s="47" t="str">
        <f>+Centro_Cuenta8[[#This Row],[Código Cuenta Contable]]&amp;" - "&amp;Centro_Cuenta8[[#This Row],[Nombre de Cuenta Contable]]</f>
        <v>1115100 - Proyectos Y Especialidades</v>
      </c>
      <c r="H1507" s="146" t="str">
        <f>+VLOOKUP(D1507,'3. Cuentas'!A:F,6,0)</f>
        <v>SI</v>
      </c>
    </row>
    <row r="1508" spans="1:8" x14ac:dyDescent="0.25">
      <c r="A1508" s="43">
        <v>10243204</v>
      </c>
      <c r="B1508" t="s">
        <v>1181</v>
      </c>
      <c r="C1508" s="43" t="s">
        <v>1624</v>
      </c>
      <c r="D1508" s="43">
        <v>1115120</v>
      </c>
      <c r="E1508" t="s">
        <v>1633</v>
      </c>
      <c r="F1508" s="47" t="str">
        <f>+Centro_Cuenta8[[#This Row],[Codigo Centro Gestion]]&amp;" - "&amp;Centro_Cuenta8[[#This Row],[Nombre Centro Gestion]]</f>
        <v>10243204 - Edificio Garcia Reyes-Proyecto</v>
      </c>
      <c r="G1508" s="47" t="str">
        <f>+Centro_Cuenta8[[#This Row],[Código Cuenta Contable]]&amp;" - "&amp;Centro_Cuenta8[[#This Row],[Nombre de Cuenta Contable]]</f>
        <v>1115120 - Instalación Empalmes</v>
      </c>
      <c r="H1508" s="146" t="str">
        <f>+VLOOKUP(D1508,'3. Cuentas'!A:F,6,0)</f>
        <v>SI</v>
      </c>
    </row>
    <row r="1509" spans="1:8" x14ac:dyDescent="0.25">
      <c r="A1509" s="43">
        <v>10243204</v>
      </c>
      <c r="B1509" t="s">
        <v>1181</v>
      </c>
      <c r="C1509" s="43" t="s">
        <v>1624</v>
      </c>
      <c r="D1509" s="43">
        <v>1115170</v>
      </c>
      <c r="E1509" t="s">
        <v>293</v>
      </c>
      <c r="F1509" s="47" t="str">
        <f>+Centro_Cuenta8[[#This Row],[Codigo Centro Gestion]]&amp;" - "&amp;Centro_Cuenta8[[#This Row],[Nombre Centro Gestion]]</f>
        <v>10243204 - Edificio Garcia Reyes-Proyecto</v>
      </c>
      <c r="G1509" s="47" t="str">
        <f>+Centro_Cuenta8[[#This Row],[Código Cuenta Contable]]&amp;" - "&amp;Centro_Cuenta8[[#This Row],[Nombre de Cuenta Contable]]</f>
        <v>1115170 - Permisos Y Otros Gastos Municipales</v>
      </c>
      <c r="H1509" s="146" t="str">
        <f>+VLOOKUP(D1509,'3. Cuentas'!A:F,6,0)</f>
        <v>SI</v>
      </c>
    </row>
    <row r="1510" spans="1:8" x14ac:dyDescent="0.25">
      <c r="A1510" s="43">
        <v>10243204</v>
      </c>
      <c r="B1510" t="s">
        <v>1181</v>
      </c>
      <c r="C1510" s="43" t="s">
        <v>1624</v>
      </c>
      <c r="D1510" s="43">
        <v>1115240</v>
      </c>
      <c r="E1510" t="s">
        <v>294</v>
      </c>
      <c r="F1510" s="47" t="str">
        <f>+Centro_Cuenta8[[#This Row],[Codigo Centro Gestion]]&amp;" - "&amp;Centro_Cuenta8[[#This Row],[Nombre Centro Gestion]]</f>
        <v>10243204 - Edificio Garcia Reyes-Proyecto</v>
      </c>
      <c r="G1510" s="47" t="str">
        <f>+Centro_Cuenta8[[#This Row],[Código Cuenta Contable]]&amp;" - "&amp;Centro_Cuenta8[[#This Row],[Nombre de Cuenta Contable]]</f>
        <v>1115240 - Estudios Y Asesorias Técnicas</v>
      </c>
      <c r="H1510" s="146" t="str">
        <f>+VLOOKUP(D1510,'3. Cuentas'!A:F,6,0)</f>
        <v>SI</v>
      </c>
    </row>
    <row r="1511" spans="1:8" x14ac:dyDescent="0.25">
      <c r="A1511" s="43">
        <v>10243204</v>
      </c>
      <c r="B1511" t="s">
        <v>1181</v>
      </c>
      <c r="C1511" s="43" t="s">
        <v>1624</v>
      </c>
      <c r="D1511" s="43">
        <v>4203090</v>
      </c>
      <c r="E1511" t="s">
        <v>192</v>
      </c>
      <c r="F1511" s="47" t="str">
        <f>+Centro_Cuenta8[[#This Row],[Codigo Centro Gestion]]&amp;" - "&amp;Centro_Cuenta8[[#This Row],[Nombre Centro Gestion]]</f>
        <v>10243204 - Edificio Garcia Reyes-Proyecto</v>
      </c>
      <c r="G1511" s="47" t="str">
        <f>+Centro_Cuenta8[[#This Row],[Código Cuenta Contable]]&amp;" - "&amp;Centro_Cuenta8[[#This Row],[Nombre de Cuenta Contable]]</f>
        <v>4203090 - Gastos Legales Y Notariales Proyecto</v>
      </c>
      <c r="H1511" s="146" t="str">
        <f>+VLOOKUP(D1511,'3. Cuentas'!A:F,6,0)</f>
        <v>SI</v>
      </c>
    </row>
    <row r="1512" spans="1:8" x14ac:dyDescent="0.25">
      <c r="A1512" s="43">
        <v>10243204</v>
      </c>
      <c r="B1512" t="s">
        <v>1181</v>
      </c>
      <c r="C1512" s="43" t="s">
        <v>1624</v>
      </c>
      <c r="D1512" s="43">
        <v>4203140</v>
      </c>
      <c r="E1512" t="s">
        <v>109</v>
      </c>
      <c r="F1512" s="47" t="str">
        <f>+Centro_Cuenta8[[#This Row],[Codigo Centro Gestion]]&amp;" - "&amp;Centro_Cuenta8[[#This Row],[Nombre Centro Gestion]]</f>
        <v>10243204 - Edificio Garcia Reyes-Proyecto</v>
      </c>
      <c r="G1512" s="47" t="str">
        <f>+Centro_Cuenta8[[#This Row],[Código Cuenta Contable]]&amp;" - "&amp;Centro_Cuenta8[[#This Row],[Nombre de Cuenta Contable]]</f>
        <v>4203140 - Contribuciones</v>
      </c>
      <c r="H1512" s="146" t="str">
        <f>+VLOOKUP(D1512,'3. Cuentas'!A:F,6,0)</f>
        <v>SI</v>
      </c>
    </row>
    <row r="1513" spans="1:8" x14ac:dyDescent="0.25">
      <c r="A1513" s="43">
        <v>10243204</v>
      </c>
      <c r="B1513" t="s">
        <v>1181</v>
      </c>
      <c r="C1513" s="43" t="s">
        <v>1624</v>
      </c>
      <c r="D1513" s="43">
        <v>4203150</v>
      </c>
      <c r="E1513" t="s">
        <v>156</v>
      </c>
      <c r="F1513" s="47" t="str">
        <f>+Centro_Cuenta8[[#This Row],[Codigo Centro Gestion]]&amp;" - "&amp;Centro_Cuenta8[[#This Row],[Nombre Centro Gestion]]</f>
        <v>10243204 - Edificio Garcia Reyes-Proyecto</v>
      </c>
      <c r="G1513" s="47" t="str">
        <f>+Centro_Cuenta8[[#This Row],[Código Cuenta Contable]]&amp;" - "&amp;Centro_Cuenta8[[#This Row],[Nombre de Cuenta Contable]]</f>
        <v>4203150 - Gastos CBR</v>
      </c>
      <c r="H1513" s="146" t="str">
        <f>+VLOOKUP(D1513,'3. Cuentas'!A:F,6,0)</f>
        <v>SI</v>
      </c>
    </row>
    <row r="1514" spans="1:8" x14ac:dyDescent="0.25">
      <c r="A1514" s="43">
        <v>10243204</v>
      </c>
      <c r="B1514" t="s">
        <v>1181</v>
      </c>
      <c r="C1514" s="43" t="s">
        <v>1624</v>
      </c>
      <c r="D1514" s="43">
        <v>4203160</v>
      </c>
      <c r="E1514" t="s">
        <v>1639</v>
      </c>
      <c r="F1514" s="47" t="str">
        <f>+Centro_Cuenta8[[#This Row],[Codigo Centro Gestion]]&amp;" - "&amp;Centro_Cuenta8[[#This Row],[Nombre Centro Gestion]]</f>
        <v>10243204 - Edificio Garcia Reyes-Proyecto</v>
      </c>
      <c r="G1514" s="47" t="str">
        <f>+Centro_Cuenta8[[#This Row],[Código Cuenta Contable]]&amp;" - "&amp;Centro_Cuenta8[[#This Row],[Nombre de Cuenta Contable]]</f>
        <v>4203160 - PAPELERIA Y FOTOCOPIADO</v>
      </c>
      <c r="H1514" s="146" t="str">
        <f>+VLOOKUP(D1514,'3. Cuentas'!A:F,6,0)</f>
        <v>SI</v>
      </c>
    </row>
    <row r="1515" spans="1:8" x14ac:dyDescent="0.25">
      <c r="A1515" s="43">
        <v>10243204</v>
      </c>
      <c r="B1515" t="s">
        <v>1181</v>
      </c>
      <c r="C1515" s="43" t="s">
        <v>1624</v>
      </c>
      <c r="D1515" s="43">
        <v>4203180</v>
      </c>
      <c r="E1515" t="s">
        <v>1640</v>
      </c>
      <c r="F1515" s="47" t="str">
        <f>+Centro_Cuenta8[[#This Row],[Codigo Centro Gestion]]&amp;" - "&amp;Centro_Cuenta8[[#This Row],[Nombre Centro Gestion]]</f>
        <v>10243204 - Edificio Garcia Reyes-Proyecto</v>
      </c>
      <c r="G1515" s="47" t="str">
        <f>+Centro_Cuenta8[[#This Row],[Código Cuenta Contable]]&amp;" - "&amp;Centro_Cuenta8[[#This Row],[Nombre de Cuenta Contable]]</f>
        <v>4203180 - Otros Gastos y Aseso Proy</v>
      </c>
      <c r="H1515" s="146" t="str">
        <f>+VLOOKUP(D1515,'3. Cuentas'!A:F,6,0)</f>
        <v>SI</v>
      </c>
    </row>
    <row r="1516" spans="1:8" x14ac:dyDescent="0.25">
      <c r="A1516" s="43">
        <v>10243301</v>
      </c>
      <c r="B1516" t="s">
        <v>1182</v>
      </c>
      <c r="C1516" s="43" t="s">
        <v>1643</v>
      </c>
      <c r="D1516" s="43">
        <v>4203090</v>
      </c>
      <c r="E1516" t="s">
        <v>192</v>
      </c>
      <c r="F1516" s="47" t="str">
        <f>+Centro_Cuenta8[[#This Row],[Codigo Centro Gestion]]&amp;" - "&amp;Centro_Cuenta8[[#This Row],[Nombre Centro Gestion]]</f>
        <v>10243301 - Edificio Garcia Reyes-GAF</v>
      </c>
      <c r="G1516" s="47" t="str">
        <f>+Centro_Cuenta8[[#This Row],[Código Cuenta Contable]]&amp;" - "&amp;Centro_Cuenta8[[#This Row],[Nombre de Cuenta Contable]]</f>
        <v>4203090 - Gastos Legales Y Notariales Proyecto</v>
      </c>
      <c r="H1516" s="146" t="str">
        <f>+VLOOKUP(D1516,'3. Cuentas'!A:F,6,0)</f>
        <v>SI</v>
      </c>
    </row>
    <row r="1517" spans="1:8" x14ac:dyDescent="0.25">
      <c r="A1517" s="43">
        <v>10243301</v>
      </c>
      <c r="B1517" t="s">
        <v>1182</v>
      </c>
      <c r="C1517" s="43" t="s">
        <v>1643</v>
      </c>
      <c r="D1517" s="43">
        <v>4203140</v>
      </c>
      <c r="E1517" t="s">
        <v>109</v>
      </c>
      <c r="F1517" s="47" t="str">
        <f>+Centro_Cuenta8[[#This Row],[Codigo Centro Gestion]]&amp;" - "&amp;Centro_Cuenta8[[#This Row],[Nombre Centro Gestion]]</f>
        <v>10243301 - Edificio Garcia Reyes-GAF</v>
      </c>
      <c r="G1517" s="47" t="str">
        <f>+Centro_Cuenta8[[#This Row],[Código Cuenta Contable]]&amp;" - "&amp;Centro_Cuenta8[[#This Row],[Nombre de Cuenta Contable]]</f>
        <v>4203140 - Contribuciones</v>
      </c>
      <c r="H1517" s="146" t="str">
        <f>+VLOOKUP(D1517,'3. Cuentas'!A:F,6,0)</f>
        <v>SI</v>
      </c>
    </row>
    <row r="1518" spans="1:8" x14ac:dyDescent="0.25">
      <c r="A1518" s="43">
        <v>10243506</v>
      </c>
      <c r="B1518" t="s">
        <v>1184</v>
      </c>
      <c r="C1518" s="43" t="s">
        <v>200</v>
      </c>
      <c r="D1518" s="43">
        <v>1115100</v>
      </c>
      <c r="E1518" t="s">
        <v>292</v>
      </c>
      <c r="F1518" s="47" t="str">
        <f>+Centro_Cuenta8[[#This Row],[Codigo Centro Gestion]]&amp;" - "&amp;Centro_Cuenta8[[#This Row],[Nombre Centro Gestion]]</f>
        <v>10243506 - Edificio Garcia Reyes-Depto.Técnico</v>
      </c>
      <c r="G1518" s="47" t="str">
        <f>+Centro_Cuenta8[[#This Row],[Código Cuenta Contable]]&amp;" - "&amp;Centro_Cuenta8[[#This Row],[Nombre de Cuenta Contable]]</f>
        <v>1115100 - Proyectos Y Especialidades</v>
      </c>
      <c r="H1518" s="146" t="str">
        <f>+VLOOKUP(D1518,'3. Cuentas'!A:F,6,0)</f>
        <v>SI</v>
      </c>
    </row>
    <row r="1519" spans="1:8" x14ac:dyDescent="0.25">
      <c r="A1519" s="43">
        <v>10244102</v>
      </c>
      <c r="B1519" t="s">
        <v>1185</v>
      </c>
      <c r="C1519" s="43" t="s">
        <v>1617</v>
      </c>
      <c r="D1519" s="43">
        <v>4204010</v>
      </c>
      <c r="E1519" t="s">
        <v>313</v>
      </c>
      <c r="F1519" s="47" t="str">
        <f>+Centro_Cuenta8[[#This Row],[Codigo Centro Gestion]]&amp;" - "&amp;Centro_Cuenta8[[#This Row],[Nombre Centro Gestion]]</f>
        <v>10244102 - Francisco Zelada Torre B-Marketing</v>
      </c>
      <c r="G1519" s="47" t="str">
        <f>+Centro_Cuenta8[[#This Row],[Código Cuenta Contable]]&amp;" - "&amp;Centro_Cuenta8[[#This Row],[Nombre de Cuenta Contable]]</f>
        <v>4204010 - Publicidad Punto Venta</v>
      </c>
      <c r="H1519" s="146" t="str">
        <f>+VLOOKUP(D1519,'3. Cuentas'!A:F,6,0)</f>
        <v>SI</v>
      </c>
    </row>
    <row r="1520" spans="1:8" x14ac:dyDescent="0.25">
      <c r="A1520" s="43">
        <v>10244102</v>
      </c>
      <c r="B1520" t="s">
        <v>1185</v>
      </c>
      <c r="C1520" s="43" t="s">
        <v>1617</v>
      </c>
      <c r="D1520" s="43">
        <v>4204021</v>
      </c>
      <c r="E1520" t="s">
        <v>329</v>
      </c>
      <c r="F1520" s="47" t="str">
        <f>+Centro_Cuenta8[[#This Row],[Codigo Centro Gestion]]&amp;" - "&amp;Centro_Cuenta8[[#This Row],[Nombre Centro Gestion]]</f>
        <v>10244102 - Francisco Zelada Torre B-Marketing</v>
      </c>
      <c r="G1520" s="47" t="str">
        <f>+Centro_Cuenta8[[#This Row],[Código Cuenta Contable]]&amp;" - "&amp;Centro_Cuenta8[[#This Row],[Nombre de Cuenta Contable]]</f>
        <v>4204021 - Publicidad Ferias Y Eventos</v>
      </c>
      <c r="H1520" s="146" t="str">
        <f>+VLOOKUP(D1520,'3. Cuentas'!A:F,6,0)</f>
        <v>SI</v>
      </c>
    </row>
    <row r="1521" spans="1:8" x14ac:dyDescent="0.25">
      <c r="A1521" s="43">
        <v>10244103</v>
      </c>
      <c r="B1521" t="s">
        <v>1186</v>
      </c>
      <c r="C1521" s="43" t="s">
        <v>1618</v>
      </c>
      <c r="D1521" s="43">
        <v>4203060</v>
      </c>
      <c r="E1521" t="s">
        <v>321</v>
      </c>
      <c r="F1521" s="47" t="str">
        <f>+Centro_Cuenta8[[#This Row],[Codigo Centro Gestion]]&amp;" - "&amp;Centro_Cuenta8[[#This Row],[Nombre Centro Gestion]]</f>
        <v>10244103 - Francisco Zelada Torre B-Operaciones</v>
      </c>
      <c r="G1521" s="47" t="str">
        <f>+Centro_Cuenta8[[#This Row],[Código Cuenta Contable]]&amp;" - "&amp;Centro_Cuenta8[[#This Row],[Nombre de Cuenta Contable]]</f>
        <v>4203060 - Gastos Operacionales De Clientes</v>
      </c>
      <c r="H1521" s="146" t="str">
        <f>+VLOOKUP(D1521,'3. Cuentas'!A:F,6,0)</f>
        <v>SI</v>
      </c>
    </row>
    <row r="1522" spans="1:8" x14ac:dyDescent="0.25">
      <c r="A1522" s="43">
        <v>10244103</v>
      </c>
      <c r="B1522" t="s">
        <v>1186</v>
      </c>
      <c r="C1522" s="43" t="s">
        <v>1618</v>
      </c>
      <c r="D1522" s="43">
        <v>4203090</v>
      </c>
      <c r="E1522" t="s">
        <v>192</v>
      </c>
      <c r="F1522" s="47" t="str">
        <f>+Centro_Cuenta8[[#This Row],[Codigo Centro Gestion]]&amp;" - "&amp;Centro_Cuenta8[[#This Row],[Nombre Centro Gestion]]</f>
        <v>10244103 - Francisco Zelada Torre B-Operaciones</v>
      </c>
      <c r="G1522" s="47" t="str">
        <f>+Centro_Cuenta8[[#This Row],[Código Cuenta Contable]]&amp;" - "&amp;Centro_Cuenta8[[#This Row],[Nombre de Cuenta Contable]]</f>
        <v>4203090 - Gastos Legales Y Notariales Proyecto</v>
      </c>
      <c r="H1522" s="146" t="str">
        <f>+VLOOKUP(D1522,'3. Cuentas'!A:F,6,0)</f>
        <v>SI</v>
      </c>
    </row>
    <row r="1523" spans="1:8" x14ac:dyDescent="0.25">
      <c r="A1523" s="43">
        <v>10244104</v>
      </c>
      <c r="B1523" t="s">
        <v>1187</v>
      </c>
      <c r="C1523" s="43" t="s">
        <v>90</v>
      </c>
      <c r="D1523" s="43">
        <v>1110040</v>
      </c>
      <c r="E1523" t="s">
        <v>1505</v>
      </c>
      <c r="F1523" s="47" t="str">
        <f>+Centro_Cuenta8[[#This Row],[Codigo Centro Gestion]]&amp;" - "&amp;Centro_Cuenta8[[#This Row],[Nombre Centro Gestion]]</f>
        <v>10244104 - Francisco Zelada Torre B-Ventas</v>
      </c>
      <c r="G1523" s="47" t="str">
        <f>+Centro_Cuenta8[[#This Row],[Código Cuenta Contable]]&amp;" - "&amp;Centro_Cuenta8[[#This Row],[Nombre de Cuenta Contable]]</f>
        <v>1110040 - Garantía Pagadas</v>
      </c>
      <c r="H1523" s="146" t="str">
        <f>+VLOOKUP(D1523,'3. Cuentas'!A:F,6,0)</f>
        <v>SI</v>
      </c>
    </row>
    <row r="1524" spans="1:8" x14ac:dyDescent="0.25">
      <c r="A1524" s="43">
        <v>10244104</v>
      </c>
      <c r="B1524" t="s">
        <v>1187</v>
      </c>
      <c r="C1524" s="43" t="s">
        <v>90</v>
      </c>
      <c r="D1524" s="43">
        <v>4202003</v>
      </c>
      <c r="E1524" t="s">
        <v>106</v>
      </c>
      <c r="F1524" s="47" t="str">
        <f>+Centro_Cuenta8[[#This Row],[Codigo Centro Gestion]]&amp;" - "&amp;Centro_Cuenta8[[#This Row],[Nombre Centro Gestion]]</f>
        <v>10244104 - Francisco Zelada Torre B-Ventas</v>
      </c>
      <c r="G1524" s="47" t="str">
        <f>+Centro_Cuenta8[[#This Row],[Código Cuenta Contable]]&amp;" - "&amp;Centro_Cuenta8[[#This Row],[Nombre de Cuenta Contable]]</f>
        <v>4202003 - Serv.Basic.Luz.Agua.Tel Of.C</v>
      </c>
      <c r="H1524" s="146" t="str">
        <f>+VLOOKUP(D1524,'3. Cuentas'!A:F,6,0)</f>
        <v>SI</v>
      </c>
    </row>
    <row r="1525" spans="1:8" x14ac:dyDescent="0.25">
      <c r="A1525" s="43">
        <v>10244104</v>
      </c>
      <c r="B1525" t="s">
        <v>1187</v>
      </c>
      <c r="C1525" s="43" t="s">
        <v>90</v>
      </c>
      <c r="D1525" s="43">
        <v>4202010</v>
      </c>
      <c r="E1525" t="s">
        <v>87</v>
      </c>
      <c r="F1525" s="47" t="str">
        <f>+Centro_Cuenta8[[#This Row],[Codigo Centro Gestion]]&amp;" - "&amp;Centro_Cuenta8[[#This Row],[Nombre Centro Gestion]]</f>
        <v>10244104 - Francisco Zelada Torre B-Ventas</v>
      </c>
      <c r="G1525" s="47" t="str">
        <f>+Centro_Cuenta8[[#This Row],[Código Cuenta Contable]]&amp;" - "&amp;Centro_Cuenta8[[#This Row],[Nombre de Cuenta Contable]]</f>
        <v>4202010 - Artic. Ofic. Fotocop.Papelería</v>
      </c>
      <c r="H1525" s="146" t="str">
        <f>+VLOOKUP(D1525,'3. Cuentas'!A:F,6,0)</f>
        <v>SI</v>
      </c>
    </row>
    <row r="1526" spans="1:8" x14ac:dyDescent="0.25">
      <c r="A1526" s="43">
        <v>10244104</v>
      </c>
      <c r="B1526" t="s">
        <v>1187</v>
      </c>
      <c r="C1526" s="43" t="s">
        <v>90</v>
      </c>
      <c r="D1526" s="43">
        <v>4202019</v>
      </c>
      <c r="E1526" t="s">
        <v>81</v>
      </c>
      <c r="F1526" s="47" t="str">
        <f>+Centro_Cuenta8[[#This Row],[Codigo Centro Gestion]]&amp;" - "&amp;Centro_Cuenta8[[#This Row],[Nombre Centro Gestion]]</f>
        <v>10244104 - Francisco Zelada Torre B-Ventas</v>
      </c>
      <c r="G1526" s="47" t="str">
        <f>+Centro_Cuenta8[[#This Row],[Código Cuenta Contable]]&amp;" - "&amp;Centro_Cuenta8[[#This Row],[Nombre de Cuenta Contable]]</f>
        <v>4202019 - Gasto General Oficina</v>
      </c>
      <c r="H1526" s="146" t="str">
        <f>+VLOOKUP(D1526,'3. Cuentas'!A:F,6,0)</f>
        <v>SI</v>
      </c>
    </row>
    <row r="1527" spans="1:8" x14ac:dyDescent="0.25">
      <c r="A1527" s="43">
        <v>10244104</v>
      </c>
      <c r="B1527" t="s">
        <v>1187</v>
      </c>
      <c r="C1527" s="43" t="s">
        <v>90</v>
      </c>
      <c r="D1527" s="43">
        <v>4202023</v>
      </c>
      <c r="E1527" t="s">
        <v>82</v>
      </c>
      <c r="F1527" s="47" t="str">
        <f>+Centro_Cuenta8[[#This Row],[Codigo Centro Gestion]]&amp;" - "&amp;Centro_Cuenta8[[#This Row],[Nombre Centro Gestion]]</f>
        <v>10244104 - Francisco Zelada Torre B-Ventas</v>
      </c>
      <c r="G1527" s="47" t="str">
        <f>+Centro_Cuenta8[[#This Row],[Código Cuenta Contable]]&amp;" - "&amp;Centro_Cuenta8[[#This Row],[Nombre de Cuenta Contable]]</f>
        <v>4202023 - Honorarios Por Asesorías</v>
      </c>
      <c r="H1527" s="146" t="str">
        <f>+VLOOKUP(D1527,'3. Cuentas'!A:F,6,0)</f>
        <v>SI</v>
      </c>
    </row>
    <row r="1528" spans="1:8" x14ac:dyDescent="0.25">
      <c r="A1528" s="43">
        <v>10244104</v>
      </c>
      <c r="B1528" t="s">
        <v>1187</v>
      </c>
      <c r="C1528" s="43" t="s">
        <v>90</v>
      </c>
      <c r="D1528" s="43">
        <v>4202029</v>
      </c>
      <c r="E1528" t="s">
        <v>83</v>
      </c>
      <c r="F1528" s="47" t="str">
        <f>+Centro_Cuenta8[[#This Row],[Codigo Centro Gestion]]&amp;" - "&amp;Centro_Cuenta8[[#This Row],[Nombre Centro Gestion]]</f>
        <v>10244104 - Francisco Zelada Torre B-Ventas</v>
      </c>
      <c r="G1528" s="47" t="str">
        <f>+Centro_Cuenta8[[#This Row],[Código Cuenta Contable]]&amp;" - "&amp;Centro_Cuenta8[[#This Row],[Nombre de Cuenta Contable]]</f>
        <v>4202029 - Insumos Y Gastos Informáticos</v>
      </c>
      <c r="H1528" s="146" t="str">
        <f>+VLOOKUP(D1528,'3. Cuentas'!A:F,6,0)</f>
        <v>SI</v>
      </c>
    </row>
    <row r="1529" spans="1:8" x14ac:dyDescent="0.25">
      <c r="A1529" s="43">
        <v>10244104</v>
      </c>
      <c r="B1529" t="s">
        <v>1187</v>
      </c>
      <c r="C1529" s="43" t="s">
        <v>90</v>
      </c>
      <c r="D1529" s="43">
        <v>4204021</v>
      </c>
      <c r="E1529" t="s">
        <v>329</v>
      </c>
      <c r="F1529" s="47" t="str">
        <f>+Centro_Cuenta8[[#This Row],[Codigo Centro Gestion]]&amp;" - "&amp;Centro_Cuenta8[[#This Row],[Nombre Centro Gestion]]</f>
        <v>10244104 - Francisco Zelada Torre B-Ventas</v>
      </c>
      <c r="G1529" s="47" t="str">
        <f>+Centro_Cuenta8[[#This Row],[Código Cuenta Contable]]&amp;" - "&amp;Centro_Cuenta8[[#This Row],[Nombre de Cuenta Contable]]</f>
        <v>4204021 - Publicidad Ferias Y Eventos</v>
      </c>
      <c r="H1529" s="146" t="str">
        <f>+VLOOKUP(D1529,'3. Cuentas'!A:F,6,0)</f>
        <v>SI</v>
      </c>
    </row>
    <row r="1530" spans="1:8" x14ac:dyDescent="0.25">
      <c r="A1530" s="43">
        <v>10244105</v>
      </c>
      <c r="B1530" t="s">
        <v>1188</v>
      </c>
      <c r="C1530" s="43" t="s">
        <v>1622</v>
      </c>
      <c r="D1530" s="43">
        <v>4203020</v>
      </c>
      <c r="E1530" t="s">
        <v>295</v>
      </c>
      <c r="F1530" s="47" t="str">
        <f>+Centro_Cuenta8[[#This Row],[Codigo Centro Gestion]]&amp;" - "&amp;Centro_Cuenta8[[#This Row],[Nombre Centro Gestion]]</f>
        <v>10244105 - Francisco Zelada Torre B-Clientes</v>
      </c>
      <c r="G1530" s="47" t="str">
        <f>+Centro_Cuenta8[[#This Row],[Código Cuenta Contable]]&amp;" - "&amp;Centro_Cuenta8[[#This Row],[Nombre de Cuenta Contable]]</f>
        <v>4203020 - Mant. y Consum. Viv Stock</v>
      </c>
      <c r="H1530" s="146" t="str">
        <f>+VLOOKUP(D1530,'3. Cuentas'!A:F,6,0)</f>
        <v>SI</v>
      </c>
    </row>
    <row r="1531" spans="1:8" x14ac:dyDescent="0.25">
      <c r="A1531" s="43">
        <v>10244105</v>
      </c>
      <c r="B1531" t="s">
        <v>1188</v>
      </c>
      <c r="C1531" s="43" t="s">
        <v>1622</v>
      </c>
      <c r="D1531" s="43">
        <v>4203120</v>
      </c>
      <c r="E1531" t="s">
        <v>108</v>
      </c>
      <c r="F1531" s="47" t="str">
        <f>+Centro_Cuenta8[[#This Row],[Codigo Centro Gestion]]&amp;" - "&amp;Centro_Cuenta8[[#This Row],[Nombre Centro Gestion]]</f>
        <v>10244105 - Francisco Zelada Torre B-Clientes</v>
      </c>
      <c r="G1531" s="47" t="str">
        <f>+Centro_Cuenta8[[#This Row],[Código Cuenta Contable]]&amp;" - "&amp;Centro_Cuenta8[[#This Row],[Nombre de Cuenta Contable]]</f>
        <v>4203120 - Gastos Comunes</v>
      </c>
      <c r="H1531" s="146" t="str">
        <f>+VLOOKUP(D1531,'3. Cuentas'!A:F,6,0)</f>
        <v>SI</v>
      </c>
    </row>
    <row r="1532" spans="1:8" x14ac:dyDescent="0.25">
      <c r="A1532" s="43">
        <v>10244105</v>
      </c>
      <c r="B1532" t="s">
        <v>1188</v>
      </c>
      <c r="C1532" s="43" t="s">
        <v>1622</v>
      </c>
      <c r="D1532" s="43">
        <v>4203140</v>
      </c>
      <c r="E1532" t="s">
        <v>109</v>
      </c>
      <c r="F1532" s="47" t="str">
        <f>+Centro_Cuenta8[[#This Row],[Codigo Centro Gestion]]&amp;" - "&amp;Centro_Cuenta8[[#This Row],[Nombre Centro Gestion]]</f>
        <v>10244105 - Francisco Zelada Torre B-Clientes</v>
      </c>
      <c r="G1532" s="47" t="str">
        <f>+Centro_Cuenta8[[#This Row],[Código Cuenta Contable]]&amp;" - "&amp;Centro_Cuenta8[[#This Row],[Nombre de Cuenta Contable]]</f>
        <v>4203140 - Contribuciones</v>
      </c>
      <c r="H1532" s="146" t="str">
        <f>+VLOOKUP(D1532,'3. Cuentas'!A:F,6,0)</f>
        <v>SI</v>
      </c>
    </row>
    <row r="1533" spans="1:8" x14ac:dyDescent="0.25">
      <c r="A1533" s="43">
        <v>10244204</v>
      </c>
      <c r="B1533" t="s">
        <v>1189</v>
      </c>
      <c r="C1533" s="43" t="s">
        <v>1624</v>
      </c>
      <c r="D1533" s="43">
        <v>1103045</v>
      </c>
      <c r="E1533" t="s">
        <v>323</v>
      </c>
      <c r="F1533" s="47" t="str">
        <f>+Centro_Cuenta8[[#This Row],[Codigo Centro Gestion]]&amp;" - "&amp;Centro_Cuenta8[[#This Row],[Nombre Centro Gestion]]</f>
        <v>10244204 - Francisco Zelada Torre B-Proyecto</v>
      </c>
      <c r="G1533" s="47" t="str">
        <f>+Centro_Cuenta8[[#This Row],[Código Cuenta Contable]]&amp;" - "&amp;Centro_Cuenta8[[#This Row],[Nombre de Cuenta Contable]]</f>
        <v>1103045 - Aportes reembolsables (electricidad y agua)</v>
      </c>
      <c r="H1533" s="146" t="str">
        <f>+VLOOKUP(D1533,'3. Cuentas'!A:F,6,0)</f>
        <v>SI</v>
      </c>
    </row>
    <row r="1534" spans="1:8" x14ac:dyDescent="0.25">
      <c r="A1534" s="43">
        <v>10244204</v>
      </c>
      <c r="B1534" t="s">
        <v>1189</v>
      </c>
      <c r="C1534" s="43" t="s">
        <v>1624</v>
      </c>
      <c r="D1534" s="43">
        <v>1109020</v>
      </c>
      <c r="E1534" t="s">
        <v>302</v>
      </c>
      <c r="F1534" s="47" t="str">
        <f>+Centro_Cuenta8[[#This Row],[Codigo Centro Gestion]]&amp;" - "&amp;Centro_Cuenta8[[#This Row],[Nombre Centro Gestion]]</f>
        <v>10244204 - Francisco Zelada Torre B-Proyecto</v>
      </c>
      <c r="G1534" s="47" t="str">
        <f>+Centro_Cuenta8[[#This Row],[Código Cuenta Contable]]&amp;" - "&amp;Centro_Cuenta8[[#This Row],[Nombre de Cuenta Contable]]</f>
        <v>1109020 - Mobiliario</v>
      </c>
      <c r="H1534" s="146" t="str">
        <f>+VLOOKUP(D1534,'3. Cuentas'!A:F,6,0)</f>
        <v>SI</v>
      </c>
    </row>
    <row r="1535" spans="1:8" x14ac:dyDescent="0.25">
      <c r="A1535" s="43">
        <v>10244204</v>
      </c>
      <c r="B1535" t="s">
        <v>1189</v>
      </c>
      <c r="C1535" s="43" t="s">
        <v>1624</v>
      </c>
      <c r="D1535" s="43">
        <v>1110040</v>
      </c>
      <c r="E1535" t="s">
        <v>1505</v>
      </c>
      <c r="F1535" s="47" t="str">
        <f>+Centro_Cuenta8[[#This Row],[Codigo Centro Gestion]]&amp;" - "&amp;Centro_Cuenta8[[#This Row],[Nombre Centro Gestion]]</f>
        <v>10244204 - Francisco Zelada Torre B-Proyecto</v>
      </c>
      <c r="G1535" s="47" t="str">
        <f>+Centro_Cuenta8[[#This Row],[Código Cuenta Contable]]&amp;" - "&amp;Centro_Cuenta8[[#This Row],[Nombre de Cuenta Contable]]</f>
        <v>1110040 - Garantía Pagadas</v>
      </c>
      <c r="H1535" s="146" t="str">
        <f>+VLOOKUP(D1535,'3. Cuentas'!A:F,6,0)</f>
        <v>SI</v>
      </c>
    </row>
    <row r="1536" spans="1:8" x14ac:dyDescent="0.25">
      <c r="A1536" s="43">
        <v>10244204</v>
      </c>
      <c r="B1536" t="s">
        <v>1189</v>
      </c>
      <c r="C1536" s="43" t="s">
        <v>1624</v>
      </c>
      <c r="D1536" s="43">
        <v>1115040</v>
      </c>
      <c r="E1536" t="s">
        <v>291</v>
      </c>
      <c r="F1536" s="47" t="str">
        <f>+Centro_Cuenta8[[#This Row],[Codigo Centro Gestion]]&amp;" - "&amp;Centro_Cuenta8[[#This Row],[Nombre Centro Gestion]]</f>
        <v>10244204 - Francisco Zelada Torre B-Proyecto</v>
      </c>
      <c r="G1536" s="47" t="str">
        <f>+Centro_Cuenta8[[#This Row],[Código Cuenta Contable]]&amp;" - "&amp;Centro_Cuenta8[[#This Row],[Nombre de Cuenta Contable]]</f>
        <v>1115040 - Saneamiento De Terreno</v>
      </c>
      <c r="H1536" s="146" t="str">
        <f>+VLOOKUP(D1536,'3. Cuentas'!A:F,6,0)</f>
        <v>SI</v>
      </c>
    </row>
    <row r="1537" spans="1:8" x14ac:dyDescent="0.25">
      <c r="A1537" s="43">
        <v>10244204</v>
      </c>
      <c r="B1537" t="s">
        <v>1189</v>
      </c>
      <c r="C1537" s="43" t="s">
        <v>1624</v>
      </c>
      <c r="D1537" s="43">
        <v>1115050</v>
      </c>
      <c r="E1537" t="s">
        <v>1628</v>
      </c>
      <c r="F1537" s="47" t="str">
        <f>+Centro_Cuenta8[[#This Row],[Codigo Centro Gestion]]&amp;" - "&amp;Centro_Cuenta8[[#This Row],[Nombre Centro Gestion]]</f>
        <v>10244204 - Francisco Zelada Torre B-Proyecto</v>
      </c>
      <c r="G1537" s="47" t="str">
        <f>+Centro_Cuenta8[[#This Row],[Código Cuenta Contable]]&amp;" - "&amp;Centro_Cuenta8[[#This Row],[Nombre de Cuenta Contable]]</f>
        <v>1115050 - Demolición</v>
      </c>
      <c r="H1537" s="146" t="str">
        <f>+VLOOKUP(D1537,'3. Cuentas'!A:F,6,0)</f>
        <v>SI</v>
      </c>
    </row>
    <row r="1538" spans="1:8" x14ac:dyDescent="0.25">
      <c r="A1538" s="43">
        <v>10244204</v>
      </c>
      <c r="B1538" t="s">
        <v>1189</v>
      </c>
      <c r="C1538" s="43" t="s">
        <v>1624</v>
      </c>
      <c r="D1538" s="43">
        <v>1115100</v>
      </c>
      <c r="E1538" t="s">
        <v>292</v>
      </c>
      <c r="F1538" s="47" t="str">
        <f>+Centro_Cuenta8[[#This Row],[Codigo Centro Gestion]]&amp;" - "&amp;Centro_Cuenta8[[#This Row],[Nombre Centro Gestion]]</f>
        <v>10244204 - Francisco Zelada Torre B-Proyecto</v>
      </c>
      <c r="G1538" s="47" t="str">
        <f>+Centro_Cuenta8[[#This Row],[Código Cuenta Contable]]&amp;" - "&amp;Centro_Cuenta8[[#This Row],[Nombre de Cuenta Contable]]</f>
        <v>1115100 - Proyectos Y Especialidades</v>
      </c>
      <c r="H1538" s="146" t="str">
        <f>+VLOOKUP(D1538,'3. Cuentas'!A:F,6,0)</f>
        <v>SI</v>
      </c>
    </row>
    <row r="1539" spans="1:8" x14ac:dyDescent="0.25">
      <c r="A1539" s="43">
        <v>10244204</v>
      </c>
      <c r="B1539" t="s">
        <v>1189</v>
      </c>
      <c r="C1539" s="43" t="s">
        <v>1624</v>
      </c>
      <c r="D1539" s="43">
        <v>1115120</v>
      </c>
      <c r="E1539" t="s">
        <v>1633</v>
      </c>
      <c r="F1539" s="47" t="str">
        <f>+Centro_Cuenta8[[#This Row],[Codigo Centro Gestion]]&amp;" - "&amp;Centro_Cuenta8[[#This Row],[Nombre Centro Gestion]]</f>
        <v>10244204 - Francisco Zelada Torre B-Proyecto</v>
      </c>
      <c r="G1539" s="47" t="str">
        <f>+Centro_Cuenta8[[#This Row],[Código Cuenta Contable]]&amp;" - "&amp;Centro_Cuenta8[[#This Row],[Nombre de Cuenta Contable]]</f>
        <v>1115120 - Instalación Empalmes</v>
      </c>
      <c r="H1539" s="146" t="str">
        <f>+VLOOKUP(D1539,'3. Cuentas'!A:F,6,0)</f>
        <v>SI</v>
      </c>
    </row>
    <row r="1540" spans="1:8" x14ac:dyDescent="0.25">
      <c r="A1540" s="43">
        <v>10244204</v>
      </c>
      <c r="B1540" t="s">
        <v>1189</v>
      </c>
      <c r="C1540" s="43" t="s">
        <v>1624</v>
      </c>
      <c r="D1540" s="43">
        <v>1115170</v>
      </c>
      <c r="E1540" t="s">
        <v>293</v>
      </c>
      <c r="F1540" s="47" t="str">
        <f>+Centro_Cuenta8[[#This Row],[Codigo Centro Gestion]]&amp;" - "&amp;Centro_Cuenta8[[#This Row],[Nombre Centro Gestion]]</f>
        <v>10244204 - Francisco Zelada Torre B-Proyecto</v>
      </c>
      <c r="G1540" s="47" t="str">
        <f>+Centro_Cuenta8[[#This Row],[Código Cuenta Contable]]&amp;" - "&amp;Centro_Cuenta8[[#This Row],[Nombre de Cuenta Contable]]</f>
        <v>1115170 - Permisos Y Otros Gastos Municipales</v>
      </c>
      <c r="H1540" s="146" t="str">
        <f>+VLOOKUP(D1540,'3. Cuentas'!A:F,6,0)</f>
        <v>SI</v>
      </c>
    </row>
    <row r="1541" spans="1:8" x14ac:dyDescent="0.25">
      <c r="A1541" s="43">
        <v>10244204</v>
      </c>
      <c r="B1541" t="s">
        <v>1189</v>
      </c>
      <c r="C1541" s="43" t="s">
        <v>1624</v>
      </c>
      <c r="D1541" s="43">
        <v>1115240</v>
      </c>
      <c r="E1541" t="s">
        <v>294</v>
      </c>
      <c r="F1541" s="47" t="str">
        <f>+Centro_Cuenta8[[#This Row],[Codigo Centro Gestion]]&amp;" - "&amp;Centro_Cuenta8[[#This Row],[Nombre Centro Gestion]]</f>
        <v>10244204 - Francisco Zelada Torre B-Proyecto</v>
      </c>
      <c r="G1541" s="47" t="str">
        <f>+Centro_Cuenta8[[#This Row],[Código Cuenta Contable]]&amp;" - "&amp;Centro_Cuenta8[[#This Row],[Nombre de Cuenta Contable]]</f>
        <v>1115240 - Estudios Y Asesorias Técnicas</v>
      </c>
      <c r="H1541" s="146" t="str">
        <f>+VLOOKUP(D1541,'3. Cuentas'!A:F,6,0)</f>
        <v>SI</v>
      </c>
    </row>
    <row r="1542" spans="1:8" x14ac:dyDescent="0.25">
      <c r="A1542" s="43">
        <v>10244204</v>
      </c>
      <c r="B1542" t="s">
        <v>1189</v>
      </c>
      <c r="C1542" s="43" t="s">
        <v>1624</v>
      </c>
      <c r="D1542" s="43">
        <v>4203090</v>
      </c>
      <c r="E1542" t="s">
        <v>192</v>
      </c>
      <c r="F1542" s="47" t="str">
        <f>+Centro_Cuenta8[[#This Row],[Codigo Centro Gestion]]&amp;" - "&amp;Centro_Cuenta8[[#This Row],[Nombre Centro Gestion]]</f>
        <v>10244204 - Francisco Zelada Torre B-Proyecto</v>
      </c>
      <c r="G1542" s="47" t="str">
        <f>+Centro_Cuenta8[[#This Row],[Código Cuenta Contable]]&amp;" - "&amp;Centro_Cuenta8[[#This Row],[Nombre de Cuenta Contable]]</f>
        <v>4203090 - Gastos Legales Y Notariales Proyecto</v>
      </c>
      <c r="H1542" s="146" t="str">
        <f>+VLOOKUP(D1542,'3. Cuentas'!A:F,6,0)</f>
        <v>SI</v>
      </c>
    </row>
    <row r="1543" spans="1:8" x14ac:dyDescent="0.25">
      <c r="A1543" s="43">
        <v>10244204</v>
      </c>
      <c r="B1543" t="s">
        <v>1189</v>
      </c>
      <c r="C1543" s="43" t="s">
        <v>1624</v>
      </c>
      <c r="D1543" s="43">
        <v>4203140</v>
      </c>
      <c r="E1543" t="s">
        <v>109</v>
      </c>
      <c r="F1543" s="47" t="str">
        <f>+Centro_Cuenta8[[#This Row],[Codigo Centro Gestion]]&amp;" - "&amp;Centro_Cuenta8[[#This Row],[Nombre Centro Gestion]]</f>
        <v>10244204 - Francisco Zelada Torre B-Proyecto</v>
      </c>
      <c r="G1543" s="47" t="str">
        <f>+Centro_Cuenta8[[#This Row],[Código Cuenta Contable]]&amp;" - "&amp;Centro_Cuenta8[[#This Row],[Nombre de Cuenta Contable]]</f>
        <v>4203140 - Contribuciones</v>
      </c>
      <c r="H1543" s="146" t="str">
        <f>+VLOOKUP(D1543,'3. Cuentas'!A:F,6,0)</f>
        <v>SI</v>
      </c>
    </row>
    <row r="1544" spans="1:8" x14ac:dyDescent="0.25">
      <c r="A1544" s="43">
        <v>10244204</v>
      </c>
      <c r="B1544" t="s">
        <v>1189</v>
      </c>
      <c r="C1544" s="43" t="s">
        <v>1624</v>
      </c>
      <c r="D1544" s="43">
        <v>4203150</v>
      </c>
      <c r="E1544" t="s">
        <v>156</v>
      </c>
      <c r="F1544" s="47" t="str">
        <f>+Centro_Cuenta8[[#This Row],[Codigo Centro Gestion]]&amp;" - "&amp;Centro_Cuenta8[[#This Row],[Nombre Centro Gestion]]</f>
        <v>10244204 - Francisco Zelada Torre B-Proyecto</v>
      </c>
      <c r="G1544" s="47" t="str">
        <f>+Centro_Cuenta8[[#This Row],[Código Cuenta Contable]]&amp;" - "&amp;Centro_Cuenta8[[#This Row],[Nombre de Cuenta Contable]]</f>
        <v>4203150 - Gastos CBR</v>
      </c>
      <c r="H1544" s="146" t="str">
        <f>+VLOOKUP(D1544,'3. Cuentas'!A:F,6,0)</f>
        <v>SI</v>
      </c>
    </row>
    <row r="1545" spans="1:8" x14ac:dyDescent="0.25">
      <c r="A1545" s="43">
        <v>10244204</v>
      </c>
      <c r="B1545" t="s">
        <v>1189</v>
      </c>
      <c r="C1545" s="43" t="s">
        <v>1624</v>
      </c>
      <c r="D1545" s="43">
        <v>4203160</v>
      </c>
      <c r="E1545" t="s">
        <v>1639</v>
      </c>
      <c r="F1545" s="47" t="str">
        <f>+Centro_Cuenta8[[#This Row],[Codigo Centro Gestion]]&amp;" - "&amp;Centro_Cuenta8[[#This Row],[Nombre Centro Gestion]]</f>
        <v>10244204 - Francisco Zelada Torre B-Proyecto</v>
      </c>
      <c r="G1545" s="47" t="str">
        <f>+Centro_Cuenta8[[#This Row],[Código Cuenta Contable]]&amp;" - "&amp;Centro_Cuenta8[[#This Row],[Nombre de Cuenta Contable]]</f>
        <v>4203160 - PAPELERIA Y FOTOCOPIADO</v>
      </c>
      <c r="H1545" s="146" t="str">
        <f>+VLOOKUP(D1545,'3. Cuentas'!A:F,6,0)</f>
        <v>SI</v>
      </c>
    </row>
    <row r="1546" spans="1:8" x14ac:dyDescent="0.25">
      <c r="A1546" s="43">
        <v>10244204</v>
      </c>
      <c r="B1546" t="s">
        <v>1189</v>
      </c>
      <c r="C1546" s="43" t="s">
        <v>1624</v>
      </c>
      <c r="D1546" s="43">
        <v>4203180</v>
      </c>
      <c r="E1546" t="s">
        <v>1640</v>
      </c>
      <c r="F1546" s="47" t="str">
        <f>+Centro_Cuenta8[[#This Row],[Codigo Centro Gestion]]&amp;" - "&amp;Centro_Cuenta8[[#This Row],[Nombre Centro Gestion]]</f>
        <v>10244204 - Francisco Zelada Torre B-Proyecto</v>
      </c>
      <c r="G1546" s="47" t="str">
        <f>+Centro_Cuenta8[[#This Row],[Código Cuenta Contable]]&amp;" - "&amp;Centro_Cuenta8[[#This Row],[Nombre de Cuenta Contable]]</f>
        <v>4203180 - Otros Gastos y Aseso Proy</v>
      </c>
      <c r="H1546" s="146" t="str">
        <f>+VLOOKUP(D1546,'3. Cuentas'!A:F,6,0)</f>
        <v>SI</v>
      </c>
    </row>
    <row r="1547" spans="1:8" x14ac:dyDescent="0.25">
      <c r="A1547" s="43">
        <v>10244301</v>
      </c>
      <c r="B1547" t="s">
        <v>1190</v>
      </c>
      <c r="C1547" s="43" t="s">
        <v>1643</v>
      </c>
      <c r="D1547" s="43">
        <v>4203090</v>
      </c>
      <c r="E1547" t="s">
        <v>192</v>
      </c>
      <c r="F1547" s="47" t="str">
        <f>+Centro_Cuenta8[[#This Row],[Codigo Centro Gestion]]&amp;" - "&amp;Centro_Cuenta8[[#This Row],[Nombre Centro Gestion]]</f>
        <v>10244301 - Francisco Zelada Torre B-GAF</v>
      </c>
      <c r="G1547" s="47" t="str">
        <f>+Centro_Cuenta8[[#This Row],[Código Cuenta Contable]]&amp;" - "&amp;Centro_Cuenta8[[#This Row],[Nombre de Cuenta Contable]]</f>
        <v>4203090 - Gastos Legales Y Notariales Proyecto</v>
      </c>
      <c r="H1547" s="146" t="str">
        <f>+VLOOKUP(D1547,'3. Cuentas'!A:F,6,0)</f>
        <v>SI</v>
      </c>
    </row>
    <row r="1548" spans="1:8" x14ac:dyDescent="0.25">
      <c r="A1548" s="43">
        <v>10244301</v>
      </c>
      <c r="B1548" t="s">
        <v>1190</v>
      </c>
      <c r="C1548" s="43" t="s">
        <v>1643</v>
      </c>
      <c r="D1548" s="43">
        <v>4203140</v>
      </c>
      <c r="E1548" t="s">
        <v>109</v>
      </c>
      <c r="F1548" s="47" t="str">
        <f>+Centro_Cuenta8[[#This Row],[Codigo Centro Gestion]]&amp;" - "&amp;Centro_Cuenta8[[#This Row],[Nombre Centro Gestion]]</f>
        <v>10244301 - Francisco Zelada Torre B-GAF</v>
      </c>
      <c r="G1548" s="47" t="str">
        <f>+Centro_Cuenta8[[#This Row],[Código Cuenta Contable]]&amp;" - "&amp;Centro_Cuenta8[[#This Row],[Nombre de Cuenta Contable]]</f>
        <v>4203140 - Contribuciones</v>
      </c>
      <c r="H1548" s="146" t="str">
        <f>+VLOOKUP(D1548,'3. Cuentas'!A:F,6,0)</f>
        <v>SI</v>
      </c>
    </row>
    <row r="1549" spans="1:8" x14ac:dyDescent="0.25">
      <c r="A1549" s="43">
        <v>10244506</v>
      </c>
      <c r="B1549" t="s">
        <v>1192</v>
      </c>
      <c r="C1549" s="43" t="s">
        <v>200</v>
      </c>
      <c r="D1549" s="43">
        <v>1115100</v>
      </c>
      <c r="E1549" t="s">
        <v>292</v>
      </c>
      <c r="F1549" s="47" t="str">
        <f>+Centro_Cuenta8[[#This Row],[Codigo Centro Gestion]]&amp;" - "&amp;Centro_Cuenta8[[#This Row],[Nombre Centro Gestion]]</f>
        <v>10244506 - Francisco Zelada Torre B-Depto.Técnico</v>
      </c>
      <c r="G1549" s="47" t="str">
        <f>+Centro_Cuenta8[[#This Row],[Código Cuenta Contable]]&amp;" - "&amp;Centro_Cuenta8[[#This Row],[Nombre de Cuenta Contable]]</f>
        <v>1115100 - Proyectos Y Especialidades</v>
      </c>
      <c r="H1549" s="146" t="str">
        <f>+VLOOKUP(D1549,'3. Cuentas'!A:F,6,0)</f>
        <v>SI</v>
      </c>
    </row>
    <row r="1550" spans="1:8" x14ac:dyDescent="0.25">
      <c r="A1550" s="43">
        <v>10246102</v>
      </c>
      <c r="B1550" t="s">
        <v>1193</v>
      </c>
      <c r="C1550" s="43" t="s">
        <v>1617</v>
      </c>
      <c r="D1550" s="43">
        <v>4204010</v>
      </c>
      <c r="E1550" t="s">
        <v>313</v>
      </c>
      <c r="F1550" s="47" t="str">
        <f>+Centro_Cuenta8[[#This Row],[Codigo Centro Gestion]]&amp;" - "&amp;Centro_Cuenta8[[#This Row],[Nombre Centro Gestion]]</f>
        <v>10246102 - Santa Corina-Marketing</v>
      </c>
      <c r="G1550" s="47" t="str">
        <f>+Centro_Cuenta8[[#This Row],[Código Cuenta Contable]]&amp;" - "&amp;Centro_Cuenta8[[#This Row],[Nombre de Cuenta Contable]]</f>
        <v>4204010 - Publicidad Punto Venta</v>
      </c>
      <c r="H1550" s="146" t="str">
        <f>+VLOOKUP(D1550,'3. Cuentas'!A:F,6,0)</f>
        <v>SI</v>
      </c>
    </row>
    <row r="1551" spans="1:8" x14ac:dyDescent="0.25">
      <c r="A1551" s="43">
        <v>10246102</v>
      </c>
      <c r="B1551" t="s">
        <v>1193</v>
      </c>
      <c r="C1551" s="43" t="s">
        <v>1617</v>
      </c>
      <c r="D1551" s="43">
        <v>4204021</v>
      </c>
      <c r="E1551" t="s">
        <v>329</v>
      </c>
      <c r="F1551" s="47" t="str">
        <f>+Centro_Cuenta8[[#This Row],[Codigo Centro Gestion]]&amp;" - "&amp;Centro_Cuenta8[[#This Row],[Nombre Centro Gestion]]</f>
        <v>10246102 - Santa Corina-Marketing</v>
      </c>
      <c r="G1551" s="47" t="str">
        <f>+Centro_Cuenta8[[#This Row],[Código Cuenta Contable]]&amp;" - "&amp;Centro_Cuenta8[[#This Row],[Nombre de Cuenta Contable]]</f>
        <v>4204021 - Publicidad Ferias Y Eventos</v>
      </c>
      <c r="H1551" s="146" t="str">
        <f>+VLOOKUP(D1551,'3. Cuentas'!A:F,6,0)</f>
        <v>SI</v>
      </c>
    </row>
    <row r="1552" spans="1:8" x14ac:dyDescent="0.25">
      <c r="A1552" s="43">
        <v>10246103</v>
      </c>
      <c r="B1552" t="s">
        <v>1194</v>
      </c>
      <c r="C1552" s="43" t="s">
        <v>1618</v>
      </c>
      <c r="D1552" s="43">
        <v>4203060</v>
      </c>
      <c r="E1552" t="s">
        <v>321</v>
      </c>
      <c r="F1552" s="47" t="str">
        <f>+Centro_Cuenta8[[#This Row],[Codigo Centro Gestion]]&amp;" - "&amp;Centro_Cuenta8[[#This Row],[Nombre Centro Gestion]]</f>
        <v>10246103 - Santa Corina-Operaciones</v>
      </c>
      <c r="G1552" s="47" t="str">
        <f>+Centro_Cuenta8[[#This Row],[Código Cuenta Contable]]&amp;" - "&amp;Centro_Cuenta8[[#This Row],[Nombre de Cuenta Contable]]</f>
        <v>4203060 - Gastos Operacionales De Clientes</v>
      </c>
      <c r="H1552" s="146" t="str">
        <f>+VLOOKUP(D1552,'3. Cuentas'!A:F,6,0)</f>
        <v>SI</v>
      </c>
    </row>
    <row r="1553" spans="1:8" x14ac:dyDescent="0.25">
      <c r="A1553" s="43">
        <v>10246103</v>
      </c>
      <c r="B1553" t="s">
        <v>1194</v>
      </c>
      <c r="C1553" s="43" t="s">
        <v>1618</v>
      </c>
      <c r="D1553" s="43">
        <v>4203090</v>
      </c>
      <c r="E1553" t="s">
        <v>192</v>
      </c>
      <c r="F1553" s="47" t="str">
        <f>+Centro_Cuenta8[[#This Row],[Codigo Centro Gestion]]&amp;" - "&amp;Centro_Cuenta8[[#This Row],[Nombre Centro Gestion]]</f>
        <v>10246103 - Santa Corina-Operaciones</v>
      </c>
      <c r="G1553" s="47" t="str">
        <f>+Centro_Cuenta8[[#This Row],[Código Cuenta Contable]]&amp;" - "&amp;Centro_Cuenta8[[#This Row],[Nombre de Cuenta Contable]]</f>
        <v>4203090 - Gastos Legales Y Notariales Proyecto</v>
      </c>
      <c r="H1553" s="146" t="str">
        <f>+VLOOKUP(D1553,'3. Cuentas'!A:F,6,0)</f>
        <v>SI</v>
      </c>
    </row>
    <row r="1554" spans="1:8" x14ac:dyDescent="0.25">
      <c r="A1554" s="43">
        <v>10246104</v>
      </c>
      <c r="B1554" t="s">
        <v>1195</v>
      </c>
      <c r="C1554" s="43" t="s">
        <v>90</v>
      </c>
      <c r="D1554" s="43">
        <v>1110040</v>
      </c>
      <c r="E1554" t="s">
        <v>1505</v>
      </c>
      <c r="F1554" s="47" t="str">
        <f>+Centro_Cuenta8[[#This Row],[Codigo Centro Gestion]]&amp;" - "&amp;Centro_Cuenta8[[#This Row],[Nombre Centro Gestion]]</f>
        <v>10246104 - Santa Corina-Ventas</v>
      </c>
      <c r="G1554" s="47" t="str">
        <f>+Centro_Cuenta8[[#This Row],[Código Cuenta Contable]]&amp;" - "&amp;Centro_Cuenta8[[#This Row],[Nombre de Cuenta Contable]]</f>
        <v>1110040 - Garantía Pagadas</v>
      </c>
      <c r="H1554" s="146" t="str">
        <f>+VLOOKUP(D1554,'3. Cuentas'!A:F,6,0)</f>
        <v>SI</v>
      </c>
    </row>
    <row r="1555" spans="1:8" x14ac:dyDescent="0.25">
      <c r="A1555" s="43">
        <v>10246104</v>
      </c>
      <c r="B1555" t="s">
        <v>1195</v>
      </c>
      <c r="C1555" s="43" t="s">
        <v>90</v>
      </c>
      <c r="D1555" s="43">
        <v>4202003</v>
      </c>
      <c r="E1555" t="s">
        <v>106</v>
      </c>
      <c r="F1555" s="47" t="str">
        <f>+Centro_Cuenta8[[#This Row],[Codigo Centro Gestion]]&amp;" - "&amp;Centro_Cuenta8[[#This Row],[Nombre Centro Gestion]]</f>
        <v>10246104 - Santa Corina-Ventas</v>
      </c>
      <c r="G1555" s="47" t="str">
        <f>+Centro_Cuenta8[[#This Row],[Código Cuenta Contable]]&amp;" - "&amp;Centro_Cuenta8[[#This Row],[Nombre de Cuenta Contable]]</f>
        <v>4202003 - Serv.Basic.Luz.Agua.Tel Of.C</v>
      </c>
      <c r="H1555" s="146" t="str">
        <f>+VLOOKUP(D1555,'3. Cuentas'!A:F,6,0)</f>
        <v>SI</v>
      </c>
    </row>
    <row r="1556" spans="1:8" x14ac:dyDescent="0.25">
      <c r="A1556" s="43">
        <v>10246104</v>
      </c>
      <c r="B1556" t="s">
        <v>1195</v>
      </c>
      <c r="C1556" s="43" t="s">
        <v>90</v>
      </c>
      <c r="D1556" s="43">
        <v>4202010</v>
      </c>
      <c r="E1556" t="s">
        <v>87</v>
      </c>
      <c r="F1556" s="47" t="str">
        <f>+Centro_Cuenta8[[#This Row],[Codigo Centro Gestion]]&amp;" - "&amp;Centro_Cuenta8[[#This Row],[Nombre Centro Gestion]]</f>
        <v>10246104 - Santa Corina-Ventas</v>
      </c>
      <c r="G1556" s="47" t="str">
        <f>+Centro_Cuenta8[[#This Row],[Código Cuenta Contable]]&amp;" - "&amp;Centro_Cuenta8[[#This Row],[Nombre de Cuenta Contable]]</f>
        <v>4202010 - Artic. Ofic. Fotocop.Papelería</v>
      </c>
      <c r="H1556" s="146" t="str">
        <f>+VLOOKUP(D1556,'3. Cuentas'!A:F,6,0)</f>
        <v>SI</v>
      </c>
    </row>
    <row r="1557" spans="1:8" x14ac:dyDescent="0.25">
      <c r="A1557" s="43">
        <v>10246104</v>
      </c>
      <c r="B1557" t="s">
        <v>1195</v>
      </c>
      <c r="C1557" s="43" t="s">
        <v>90</v>
      </c>
      <c r="D1557" s="43">
        <v>4202019</v>
      </c>
      <c r="E1557" t="s">
        <v>81</v>
      </c>
      <c r="F1557" s="47" t="str">
        <f>+Centro_Cuenta8[[#This Row],[Codigo Centro Gestion]]&amp;" - "&amp;Centro_Cuenta8[[#This Row],[Nombre Centro Gestion]]</f>
        <v>10246104 - Santa Corina-Ventas</v>
      </c>
      <c r="G1557" s="47" t="str">
        <f>+Centro_Cuenta8[[#This Row],[Código Cuenta Contable]]&amp;" - "&amp;Centro_Cuenta8[[#This Row],[Nombre de Cuenta Contable]]</f>
        <v>4202019 - Gasto General Oficina</v>
      </c>
      <c r="H1557" s="146" t="str">
        <f>+VLOOKUP(D1557,'3. Cuentas'!A:F,6,0)</f>
        <v>SI</v>
      </c>
    </row>
    <row r="1558" spans="1:8" x14ac:dyDescent="0.25">
      <c r="A1558" s="43">
        <v>10246104</v>
      </c>
      <c r="B1558" t="s">
        <v>1195</v>
      </c>
      <c r="C1558" s="43" t="s">
        <v>90</v>
      </c>
      <c r="D1558" s="43">
        <v>4202023</v>
      </c>
      <c r="E1558" t="s">
        <v>82</v>
      </c>
      <c r="F1558" s="47" t="str">
        <f>+Centro_Cuenta8[[#This Row],[Codigo Centro Gestion]]&amp;" - "&amp;Centro_Cuenta8[[#This Row],[Nombre Centro Gestion]]</f>
        <v>10246104 - Santa Corina-Ventas</v>
      </c>
      <c r="G1558" s="47" t="str">
        <f>+Centro_Cuenta8[[#This Row],[Código Cuenta Contable]]&amp;" - "&amp;Centro_Cuenta8[[#This Row],[Nombre de Cuenta Contable]]</f>
        <v>4202023 - Honorarios Por Asesorías</v>
      </c>
      <c r="H1558" s="146" t="str">
        <f>+VLOOKUP(D1558,'3. Cuentas'!A:F,6,0)</f>
        <v>SI</v>
      </c>
    </row>
    <row r="1559" spans="1:8" x14ac:dyDescent="0.25">
      <c r="A1559" s="43">
        <v>10246104</v>
      </c>
      <c r="B1559" t="s">
        <v>1195</v>
      </c>
      <c r="C1559" s="43" t="s">
        <v>90</v>
      </c>
      <c r="D1559" s="43">
        <v>4202029</v>
      </c>
      <c r="E1559" t="s">
        <v>83</v>
      </c>
      <c r="F1559" s="47" t="str">
        <f>+Centro_Cuenta8[[#This Row],[Codigo Centro Gestion]]&amp;" - "&amp;Centro_Cuenta8[[#This Row],[Nombre Centro Gestion]]</f>
        <v>10246104 - Santa Corina-Ventas</v>
      </c>
      <c r="G1559" s="47" t="str">
        <f>+Centro_Cuenta8[[#This Row],[Código Cuenta Contable]]&amp;" - "&amp;Centro_Cuenta8[[#This Row],[Nombre de Cuenta Contable]]</f>
        <v>4202029 - Insumos Y Gastos Informáticos</v>
      </c>
      <c r="H1559" s="146" t="str">
        <f>+VLOOKUP(D1559,'3. Cuentas'!A:F,6,0)</f>
        <v>SI</v>
      </c>
    </row>
    <row r="1560" spans="1:8" x14ac:dyDescent="0.25">
      <c r="A1560" s="43">
        <v>10246104</v>
      </c>
      <c r="B1560" t="s">
        <v>1195</v>
      </c>
      <c r="C1560" s="43" t="s">
        <v>90</v>
      </c>
      <c r="D1560" s="43">
        <v>4204021</v>
      </c>
      <c r="E1560" t="s">
        <v>329</v>
      </c>
      <c r="F1560" s="47" t="str">
        <f>+Centro_Cuenta8[[#This Row],[Codigo Centro Gestion]]&amp;" - "&amp;Centro_Cuenta8[[#This Row],[Nombre Centro Gestion]]</f>
        <v>10246104 - Santa Corina-Ventas</v>
      </c>
      <c r="G1560" s="47" t="str">
        <f>+Centro_Cuenta8[[#This Row],[Código Cuenta Contable]]&amp;" - "&amp;Centro_Cuenta8[[#This Row],[Nombre de Cuenta Contable]]</f>
        <v>4204021 - Publicidad Ferias Y Eventos</v>
      </c>
      <c r="H1560" s="146" t="str">
        <f>+VLOOKUP(D1560,'3. Cuentas'!A:F,6,0)</f>
        <v>SI</v>
      </c>
    </row>
    <row r="1561" spans="1:8" x14ac:dyDescent="0.25">
      <c r="A1561" s="43">
        <v>10246105</v>
      </c>
      <c r="B1561" t="s">
        <v>1196</v>
      </c>
      <c r="C1561" s="43" t="s">
        <v>1622</v>
      </c>
      <c r="D1561" s="43">
        <v>4203020</v>
      </c>
      <c r="E1561" t="s">
        <v>295</v>
      </c>
      <c r="F1561" s="47" t="str">
        <f>+Centro_Cuenta8[[#This Row],[Codigo Centro Gestion]]&amp;" - "&amp;Centro_Cuenta8[[#This Row],[Nombre Centro Gestion]]</f>
        <v>10246105 - Santa Corina-Clientes</v>
      </c>
      <c r="G1561" s="47" t="str">
        <f>+Centro_Cuenta8[[#This Row],[Código Cuenta Contable]]&amp;" - "&amp;Centro_Cuenta8[[#This Row],[Nombre de Cuenta Contable]]</f>
        <v>4203020 - Mant. y Consum. Viv Stock</v>
      </c>
      <c r="H1561" s="146" t="str">
        <f>+VLOOKUP(D1561,'3. Cuentas'!A:F,6,0)</f>
        <v>SI</v>
      </c>
    </row>
    <row r="1562" spans="1:8" x14ac:dyDescent="0.25">
      <c r="A1562" s="43">
        <v>10246105</v>
      </c>
      <c r="B1562" t="s">
        <v>1196</v>
      </c>
      <c r="C1562" s="43" t="s">
        <v>1622</v>
      </c>
      <c r="D1562" s="43">
        <v>4203120</v>
      </c>
      <c r="E1562" t="s">
        <v>108</v>
      </c>
      <c r="F1562" s="47" t="str">
        <f>+Centro_Cuenta8[[#This Row],[Codigo Centro Gestion]]&amp;" - "&amp;Centro_Cuenta8[[#This Row],[Nombre Centro Gestion]]</f>
        <v>10246105 - Santa Corina-Clientes</v>
      </c>
      <c r="G1562" s="47" t="str">
        <f>+Centro_Cuenta8[[#This Row],[Código Cuenta Contable]]&amp;" - "&amp;Centro_Cuenta8[[#This Row],[Nombre de Cuenta Contable]]</f>
        <v>4203120 - Gastos Comunes</v>
      </c>
      <c r="H1562" s="146" t="str">
        <f>+VLOOKUP(D1562,'3. Cuentas'!A:F,6,0)</f>
        <v>SI</v>
      </c>
    </row>
    <row r="1563" spans="1:8" x14ac:dyDescent="0.25">
      <c r="A1563" s="43">
        <v>10246105</v>
      </c>
      <c r="B1563" t="s">
        <v>1196</v>
      </c>
      <c r="C1563" s="43" t="s">
        <v>1622</v>
      </c>
      <c r="D1563" s="43">
        <v>4203140</v>
      </c>
      <c r="E1563" t="s">
        <v>109</v>
      </c>
      <c r="F1563" s="47" t="str">
        <f>+Centro_Cuenta8[[#This Row],[Codigo Centro Gestion]]&amp;" - "&amp;Centro_Cuenta8[[#This Row],[Nombre Centro Gestion]]</f>
        <v>10246105 - Santa Corina-Clientes</v>
      </c>
      <c r="G1563" s="47" t="str">
        <f>+Centro_Cuenta8[[#This Row],[Código Cuenta Contable]]&amp;" - "&amp;Centro_Cuenta8[[#This Row],[Nombre de Cuenta Contable]]</f>
        <v>4203140 - Contribuciones</v>
      </c>
      <c r="H1563" s="146" t="str">
        <f>+VLOOKUP(D1563,'3. Cuentas'!A:F,6,0)</f>
        <v>SI</v>
      </c>
    </row>
    <row r="1564" spans="1:8" x14ac:dyDescent="0.25">
      <c r="A1564" s="43">
        <v>10246204</v>
      </c>
      <c r="B1564" t="s">
        <v>1197</v>
      </c>
      <c r="C1564" s="43" t="s">
        <v>1624</v>
      </c>
      <c r="D1564" s="43">
        <v>1103045</v>
      </c>
      <c r="E1564" t="s">
        <v>323</v>
      </c>
      <c r="F1564" s="47" t="str">
        <f>+Centro_Cuenta8[[#This Row],[Codigo Centro Gestion]]&amp;" - "&amp;Centro_Cuenta8[[#This Row],[Nombre Centro Gestion]]</f>
        <v>10246204 - Santa Corina-Proyecto</v>
      </c>
      <c r="G1564" s="47" t="str">
        <f>+Centro_Cuenta8[[#This Row],[Código Cuenta Contable]]&amp;" - "&amp;Centro_Cuenta8[[#This Row],[Nombre de Cuenta Contable]]</f>
        <v>1103045 - Aportes reembolsables (electricidad y agua)</v>
      </c>
      <c r="H1564" s="146" t="str">
        <f>+VLOOKUP(D1564,'3. Cuentas'!A:F,6,0)</f>
        <v>SI</v>
      </c>
    </row>
    <row r="1565" spans="1:8" x14ac:dyDescent="0.25">
      <c r="A1565" s="43">
        <v>10246204</v>
      </c>
      <c r="B1565" t="s">
        <v>1197</v>
      </c>
      <c r="C1565" s="43" t="s">
        <v>1624</v>
      </c>
      <c r="D1565" s="43">
        <v>1109020</v>
      </c>
      <c r="E1565" t="s">
        <v>302</v>
      </c>
      <c r="F1565" s="47" t="str">
        <f>+Centro_Cuenta8[[#This Row],[Codigo Centro Gestion]]&amp;" - "&amp;Centro_Cuenta8[[#This Row],[Nombre Centro Gestion]]</f>
        <v>10246204 - Santa Corina-Proyecto</v>
      </c>
      <c r="G1565" s="47" t="str">
        <f>+Centro_Cuenta8[[#This Row],[Código Cuenta Contable]]&amp;" - "&amp;Centro_Cuenta8[[#This Row],[Nombre de Cuenta Contable]]</f>
        <v>1109020 - Mobiliario</v>
      </c>
      <c r="H1565" s="146" t="str">
        <f>+VLOOKUP(D1565,'3. Cuentas'!A:F,6,0)</f>
        <v>SI</v>
      </c>
    </row>
    <row r="1566" spans="1:8" x14ac:dyDescent="0.25">
      <c r="A1566" s="43">
        <v>10246204</v>
      </c>
      <c r="B1566" t="s">
        <v>1197</v>
      </c>
      <c r="C1566" s="43" t="s">
        <v>1624</v>
      </c>
      <c r="D1566" s="43">
        <v>1110040</v>
      </c>
      <c r="E1566" t="s">
        <v>1505</v>
      </c>
      <c r="F1566" s="47" t="str">
        <f>+Centro_Cuenta8[[#This Row],[Codigo Centro Gestion]]&amp;" - "&amp;Centro_Cuenta8[[#This Row],[Nombre Centro Gestion]]</f>
        <v>10246204 - Santa Corina-Proyecto</v>
      </c>
      <c r="G1566" s="47" t="str">
        <f>+Centro_Cuenta8[[#This Row],[Código Cuenta Contable]]&amp;" - "&amp;Centro_Cuenta8[[#This Row],[Nombre de Cuenta Contable]]</f>
        <v>1110040 - Garantía Pagadas</v>
      </c>
      <c r="H1566" s="146" t="str">
        <f>+VLOOKUP(D1566,'3. Cuentas'!A:F,6,0)</f>
        <v>SI</v>
      </c>
    </row>
    <row r="1567" spans="1:8" x14ac:dyDescent="0.25">
      <c r="A1567" s="43">
        <v>10246204</v>
      </c>
      <c r="B1567" t="s">
        <v>1197</v>
      </c>
      <c r="C1567" s="43" t="s">
        <v>1624</v>
      </c>
      <c r="D1567" s="43">
        <v>1115040</v>
      </c>
      <c r="E1567" t="s">
        <v>291</v>
      </c>
      <c r="F1567" s="47" t="str">
        <f>+Centro_Cuenta8[[#This Row],[Codigo Centro Gestion]]&amp;" - "&amp;Centro_Cuenta8[[#This Row],[Nombre Centro Gestion]]</f>
        <v>10246204 - Santa Corina-Proyecto</v>
      </c>
      <c r="G1567" s="47" t="str">
        <f>+Centro_Cuenta8[[#This Row],[Código Cuenta Contable]]&amp;" - "&amp;Centro_Cuenta8[[#This Row],[Nombre de Cuenta Contable]]</f>
        <v>1115040 - Saneamiento De Terreno</v>
      </c>
      <c r="H1567" s="146" t="str">
        <f>+VLOOKUP(D1567,'3. Cuentas'!A:F,6,0)</f>
        <v>SI</v>
      </c>
    </row>
    <row r="1568" spans="1:8" x14ac:dyDescent="0.25">
      <c r="A1568" s="43">
        <v>10246204</v>
      </c>
      <c r="B1568" t="s">
        <v>1197</v>
      </c>
      <c r="C1568" s="43" t="s">
        <v>1624</v>
      </c>
      <c r="D1568" s="43">
        <v>1115050</v>
      </c>
      <c r="E1568" t="s">
        <v>1628</v>
      </c>
      <c r="F1568" s="47" t="str">
        <f>+Centro_Cuenta8[[#This Row],[Codigo Centro Gestion]]&amp;" - "&amp;Centro_Cuenta8[[#This Row],[Nombre Centro Gestion]]</f>
        <v>10246204 - Santa Corina-Proyecto</v>
      </c>
      <c r="G1568" s="47" t="str">
        <f>+Centro_Cuenta8[[#This Row],[Código Cuenta Contable]]&amp;" - "&amp;Centro_Cuenta8[[#This Row],[Nombre de Cuenta Contable]]</f>
        <v>1115050 - Demolición</v>
      </c>
      <c r="H1568" s="146" t="str">
        <f>+VLOOKUP(D1568,'3. Cuentas'!A:F,6,0)</f>
        <v>SI</v>
      </c>
    </row>
    <row r="1569" spans="1:8" x14ac:dyDescent="0.25">
      <c r="A1569" s="43">
        <v>10246204</v>
      </c>
      <c r="B1569" t="s">
        <v>1197</v>
      </c>
      <c r="C1569" s="43" t="s">
        <v>1624</v>
      </c>
      <c r="D1569" s="43">
        <v>1115100</v>
      </c>
      <c r="E1569" t="s">
        <v>292</v>
      </c>
      <c r="F1569" s="47" t="str">
        <f>+Centro_Cuenta8[[#This Row],[Codigo Centro Gestion]]&amp;" - "&amp;Centro_Cuenta8[[#This Row],[Nombre Centro Gestion]]</f>
        <v>10246204 - Santa Corina-Proyecto</v>
      </c>
      <c r="G1569" s="47" t="str">
        <f>+Centro_Cuenta8[[#This Row],[Código Cuenta Contable]]&amp;" - "&amp;Centro_Cuenta8[[#This Row],[Nombre de Cuenta Contable]]</f>
        <v>1115100 - Proyectos Y Especialidades</v>
      </c>
      <c r="H1569" s="146" t="str">
        <f>+VLOOKUP(D1569,'3. Cuentas'!A:F,6,0)</f>
        <v>SI</v>
      </c>
    </row>
    <row r="1570" spans="1:8" x14ac:dyDescent="0.25">
      <c r="A1570" s="43">
        <v>10246204</v>
      </c>
      <c r="B1570" t="s">
        <v>1197</v>
      </c>
      <c r="C1570" s="43" t="s">
        <v>1624</v>
      </c>
      <c r="D1570" s="43">
        <v>1115120</v>
      </c>
      <c r="E1570" t="s">
        <v>1633</v>
      </c>
      <c r="F1570" s="47" t="str">
        <f>+Centro_Cuenta8[[#This Row],[Codigo Centro Gestion]]&amp;" - "&amp;Centro_Cuenta8[[#This Row],[Nombre Centro Gestion]]</f>
        <v>10246204 - Santa Corina-Proyecto</v>
      </c>
      <c r="G1570" s="47" t="str">
        <f>+Centro_Cuenta8[[#This Row],[Código Cuenta Contable]]&amp;" - "&amp;Centro_Cuenta8[[#This Row],[Nombre de Cuenta Contable]]</f>
        <v>1115120 - Instalación Empalmes</v>
      </c>
      <c r="H1570" s="146" t="str">
        <f>+VLOOKUP(D1570,'3. Cuentas'!A:F,6,0)</f>
        <v>SI</v>
      </c>
    </row>
    <row r="1571" spans="1:8" x14ac:dyDescent="0.25">
      <c r="A1571" s="43">
        <v>10246204</v>
      </c>
      <c r="B1571" t="s">
        <v>1197</v>
      </c>
      <c r="C1571" s="43" t="s">
        <v>1624</v>
      </c>
      <c r="D1571" s="43">
        <v>1115170</v>
      </c>
      <c r="E1571" t="s">
        <v>293</v>
      </c>
      <c r="F1571" s="47" t="str">
        <f>+Centro_Cuenta8[[#This Row],[Codigo Centro Gestion]]&amp;" - "&amp;Centro_Cuenta8[[#This Row],[Nombre Centro Gestion]]</f>
        <v>10246204 - Santa Corina-Proyecto</v>
      </c>
      <c r="G1571" s="47" t="str">
        <f>+Centro_Cuenta8[[#This Row],[Código Cuenta Contable]]&amp;" - "&amp;Centro_Cuenta8[[#This Row],[Nombre de Cuenta Contable]]</f>
        <v>1115170 - Permisos Y Otros Gastos Municipales</v>
      </c>
      <c r="H1571" s="146" t="str">
        <f>+VLOOKUP(D1571,'3. Cuentas'!A:F,6,0)</f>
        <v>SI</v>
      </c>
    </row>
    <row r="1572" spans="1:8" x14ac:dyDescent="0.25">
      <c r="A1572" s="43">
        <v>10246204</v>
      </c>
      <c r="B1572" t="s">
        <v>1197</v>
      </c>
      <c r="C1572" s="43" t="s">
        <v>1624</v>
      </c>
      <c r="D1572" s="43">
        <v>1115240</v>
      </c>
      <c r="E1572" t="s">
        <v>294</v>
      </c>
      <c r="F1572" s="47" t="str">
        <f>+Centro_Cuenta8[[#This Row],[Codigo Centro Gestion]]&amp;" - "&amp;Centro_Cuenta8[[#This Row],[Nombre Centro Gestion]]</f>
        <v>10246204 - Santa Corina-Proyecto</v>
      </c>
      <c r="G1572" s="47" t="str">
        <f>+Centro_Cuenta8[[#This Row],[Código Cuenta Contable]]&amp;" - "&amp;Centro_Cuenta8[[#This Row],[Nombre de Cuenta Contable]]</f>
        <v>1115240 - Estudios Y Asesorias Técnicas</v>
      </c>
      <c r="H1572" s="146" t="str">
        <f>+VLOOKUP(D1572,'3. Cuentas'!A:F,6,0)</f>
        <v>SI</v>
      </c>
    </row>
    <row r="1573" spans="1:8" x14ac:dyDescent="0.25">
      <c r="A1573" s="43">
        <v>10246204</v>
      </c>
      <c r="B1573" t="s">
        <v>1197</v>
      </c>
      <c r="C1573" s="43" t="s">
        <v>1624</v>
      </c>
      <c r="D1573" s="43">
        <v>4203090</v>
      </c>
      <c r="E1573" t="s">
        <v>192</v>
      </c>
      <c r="F1573" s="47" t="str">
        <f>+Centro_Cuenta8[[#This Row],[Codigo Centro Gestion]]&amp;" - "&amp;Centro_Cuenta8[[#This Row],[Nombre Centro Gestion]]</f>
        <v>10246204 - Santa Corina-Proyecto</v>
      </c>
      <c r="G1573" s="47" t="str">
        <f>+Centro_Cuenta8[[#This Row],[Código Cuenta Contable]]&amp;" - "&amp;Centro_Cuenta8[[#This Row],[Nombre de Cuenta Contable]]</f>
        <v>4203090 - Gastos Legales Y Notariales Proyecto</v>
      </c>
      <c r="H1573" s="146" t="str">
        <f>+VLOOKUP(D1573,'3. Cuentas'!A:F,6,0)</f>
        <v>SI</v>
      </c>
    </row>
    <row r="1574" spans="1:8" x14ac:dyDescent="0.25">
      <c r="A1574" s="43">
        <v>10246204</v>
      </c>
      <c r="B1574" t="s">
        <v>1197</v>
      </c>
      <c r="C1574" s="43" t="s">
        <v>1624</v>
      </c>
      <c r="D1574" s="43">
        <v>4203140</v>
      </c>
      <c r="E1574" t="s">
        <v>109</v>
      </c>
      <c r="F1574" s="47" t="str">
        <f>+Centro_Cuenta8[[#This Row],[Codigo Centro Gestion]]&amp;" - "&amp;Centro_Cuenta8[[#This Row],[Nombre Centro Gestion]]</f>
        <v>10246204 - Santa Corina-Proyecto</v>
      </c>
      <c r="G1574" s="47" t="str">
        <f>+Centro_Cuenta8[[#This Row],[Código Cuenta Contable]]&amp;" - "&amp;Centro_Cuenta8[[#This Row],[Nombre de Cuenta Contable]]</f>
        <v>4203140 - Contribuciones</v>
      </c>
      <c r="H1574" s="146" t="str">
        <f>+VLOOKUP(D1574,'3. Cuentas'!A:F,6,0)</f>
        <v>SI</v>
      </c>
    </row>
    <row r="1575" spans="1:8" x14ac:dyDescent="0.25">
      <c r="A1575" s="43">
        <v>10246204</v>
      </c>
      <c r="B1575" t="s">
        <v>1197</v>
      </c>
      <c r="C1575" s="43" t="s">
        <v>1624</v>
      </c>
      <c r="D1575" s="43">
        <v>4203150</v>
      </c>
      <c r="E1575" t="s">
        <v>156</v>
      </c>
      <c r="F1575" s="47" t="str">
        <f>+Centro_Cuenta8[[#This Row],[Codigo Centro Gestion]]&amp;" - "&amp;Centro_Cuenta8[[#This Row],[Nombre Centro Gestion]]</f>
        <v>10246204 - Santa Corina-Proyecto</v>
      </c>
      <c r="G1575" s="47" t="str">
        <f>+Centro_Cuenta8[[#This Row],[Código Cuenta Contable]]&amp;" - "&amp;Centro_Cuenta8[[#This Row],[Nombre de Cuenta Contable]]</f>
        <v>4203150 - Gastos CBR</v>
      </c>
      <c r="H1575" s="146" t="str">
        <f>+VLOOKUP(D1575,'3. Cuentas'!A:F,6,0)</f>
        <v>SI</v>
      </c>
    </row>
    <row r="1576" spans="1:8" x14ac:dyDescent="0.25">
      <c r="A1576" s="43">
        <v>10246204</v>
      </c>
      <c r="B1576" t="s">
        <v>1197</v>
      </c>
      <c r="C1576" s="43" t="s">
        <v>1624</v>
      </c>
      <c r="D1576" s="43">
        <v>4203160</v>
      </c>
      <c r="E1576" t="s">
        <v>1639</v>
      </c>
      <c r="F1576" s="47" t="str">
        <f>+Centro_Cuenta8[[#This Row],[Codigo Centro Gestion]]&amp;" - "&amp;Centro_Cuenta8[[#This Row],[Nombre Centro Gestion]]</f>
        <v>10246204 - Santa Corina-Proyecto</v>
      </c>
      <c r="G1576" s="47" t="str">
        <f>+Centro_Cuenta8[[#This Row],[Código Cuenta Contable]]&amp;" - "&amp;Centro_Cuenta8[[#This Row],[Nombre de Cuenta Contable]]</f>
        <v>4203160 - PAPELERIA Y FOTOCOPIADO</v>
      </c>
      <c r="H1576" s="146" t="str">
        <f>+VLOOKUP(D1576,'3. Cuentas'!A:F,6,0)</f>
        <v>SI</v>
      </c>
    </row>
    <row r="1577" spans="1:8" x14ac:dyDescent="0.25">
      <c r="A1577" s="43">
        <v>10246204</v>
      </c>
      <c r="B1577" t="s">
        <v>1197</v>
      </c>
      <c r="C1577" s="43" t="s">
        <v>1624</v>
      </c>
      <c r="D1577" s="43">
        <v>4203180</v>
      </c>
      <c r="E1577" t="s">
        <v>1640</v>
      </c>
      <c r="F1577" s="47" t="str">
        <f>+Centro_Cuenta8[[#This Row],[Codigo Centro Gestion]]&amp;" - "&amp;Centro_Cuenta8[[#This Row],[Nombre Centro Gestion]]</f>
        <v>10246204 - Santa Corina-Proyecto</v>
      </c>
      <c r="G1577" s="47" t="str">
        <f>+Centro_Cuenta8[[#This Row],[Código Cuenta Contable]]&amp;" - "&amp;Centro_Cuenta8[[#This Row],[Nombre de Cuenta Contable]]</f>
        <v>4203180 - Otros Gastos y Aseso Proy</v>
      </c>
      <c r="H1577" s="146" t="str">
        <f>+VLOOKUP(D1577,'3. Cuentas'!A:F,6,0)</f>
        <v>SI</v>
      </c>
    </row>
    <row r="1578" spans="1:8" x14ac:dyDescent="0.25">
      <c r="A1578" s="43">
        <v>10246301</v>
      </c>
      <c r="B1578" t="s">
        <v>1198</v>
      </c>
      <c r="C1578" s="43" t="s">
        <v>1643</v>
      </c>
      <c r="D1578" s="43">
        <v>4203090</v>
      </c>
      <c r="E1578" t="s">
        <v>192</v>
      </c>
      <c r="F1578" s="47" t="str">
        <f>+Centro_Cuenta8[[#This Row],[Codigo Centro Gestion]]&amp;" - "&amp;Centro_Cuenta8[[#This Row],[Nombre Centro Gestion]]</f>
        <v>10246301 - Santa Corina-GAF</v>
      </c>
      <c r="G1578" s="47" t="str">
        <f>+Centro_Cuenta8[[#This Row],[Código Cuenta Contable]]&amp;" - "&amp;Centro_Cuenta8[[#This Row],[Nombre de Cuenta Contable]]</f>
        <v>4203090 - Gastos Legales Y Notariales Proyecto</v>
      </c>
      <c r="H1578" s="146" t="str">
        <f>+VLOOKUP(D1578,'3. Cuentas'!A:F,6,0)</f>
        <v>SI</v>
      </c>
    </row>
    <row r="1579" spans="1:8" x14ac:dyDescent="0.25">
      <c r="A1579" s="43">
        <v>10246301</v>
      </c>
      <c r="B1579" t="s">
        <v>1198</v>
      </c>
      <c r="C1579" s="43" t="s">
        <v>1643</v>
      </c>
      <c r="D1579" s="43">
        <v>4203140</v>
      </c>
      <c r="E1579" t="s">
        <v>109</v>
      </c>
      <c r="F1579" s="47" t="str">
        <f>+Centro_Cuenta8[[#This Row],[Codigo Centro Gestion]]&amp;" - "&amp;Centro_Cuenta8[[#This Row],[Nombre Centro Gestion]]</f>
        <v>10246301 - Santa Corina-GAF</v>
      </c>
      <c r="G1579" s="47" t="str">
        <f>+Centro_Cuenta8[[#This Row],[Código Cuenta Contable]]&amp;" - "&amp;Centro_Cuenta8[[#This Row],[Nombre de Cuenta Contable]]</f>
        <v>4203140 - Contribuciones</v>
      </c>
      <c r="H1579" s="146" t="str">
        <f>+VLOOKUP(D1579,'3. Cuentas'!A:F,6,0)</f>
        <v>SI</v>
      </c>
    </row>
    <row r="1580" spans="1:8" x14ac:dyDescent="0.25">
      <c r="A1580" s="43">
        <v>10246506</v>
      </c>
      <c r="B1580" t="s">
        <v>1200</v>
      </c>
      <c r="C1580" s="43" t="s">
        <v>200</v>
      </c>
      <c r="D1580" s="43">
        <v>1115100</v>
      </c>
      <c r="E1580" t="s">
        <v>292</v>
      </c>
      <c r="F1580" s="47" t="str">
        <f>+Centro_Cuenta8[[#This Row],[Codigo Centro Gestion]]&amp;" - "&amp;Centro_Cuenta8[[#This Row],[Nombre Centro Gestion]]</f>
        <v>10246506 - Santa Corina-Depto.Técnico</v>
      </c>
      <c r="G1580" s="47" t="str">
        <f>+Centro_Cuenta8[[#This Row],[Código Cuenta Contable]]&amp;" - "&amp;Centro_Cuenta8[[#This Row],[Nombre de Cuenta Contable]]</f>
        <v>1115100 - Proyectos Y Especialidades</v>
      </c>
      <c r="H1580" s="146" t="str">
        <f>+VLOOKUP(D1580,'3. Cuentas'!A:F,6,0)</f>
        <v>SI</v>
      </c>
    </row>
    <row r="1581" spans="1:8" x14ac:dyDescent="0.25">
      <c r="A1581" s="43">
        <v>10248102</v>
      </c>
      <c r="B1581" t="s">
        <v>1202</v>
      </c>
      <c r="C1581" s="43" t="s">
        <v>1617</v>
      </c>
      <c r="D1581" s="43">
        <v>4204010</v>
      </c>
      <c r="E1581" t="s">
        <v>313</v>
      </c>
      <c r="F1581" s="47" t="str">
        <f>+Centro_Cuenta8[[#This Row],[Codigo Centro Gestion]]&amp;" - "&amp;Centro_Cuenta8[[#This Row],[Nombre Centro Gestion]]</f>
        <v>10248102 - Alto Marañon Torre B-Marketing</v>
      </c>
      <c r="G1581" s="47" t="str">
        <f>+Centro_Cuenta8[[#This Row],[Código Cuenta Contable]]&amp;" - "&amp;Centro_Cuenta8[[#This Row],[Nombre de Cuenta Contable]]</f>
        <v>4204010 - Publicidad Punto Venta</v>
      </c>
      <c r="H1581" s="146" t="str">
        <f>+VLOOKUP(D1581,'3. Cuentas'!A:F,6,0)</f>
        <v>SI</v>
      </c>
    </row>
    <row r="1582" spans="1:8" x14ac:dyDescent="0.25">
      <c r="A1582" s="43">
        <v>10248102</v>
      </c>
      <c r="B1582" t="s">
        <v>1202</v>
      </c>
      <c r="C1582" s="43" t="s">
        <v>1617</v>
      </c>
      <c r="D1582" s="43">
        <v>4204021</v>
      </c>
      <c r="E1582" t="s">
        <v>329</v>
      </c>
      <c r="F1582" s="47" t="str">
        <f>+Centro_Cuenta8[[#This Row],[Codigo Centro Gestion]]&amp;" - "&amp;Centro_Cuenta8[[#This Row],[Nombre Centro Gestion]]</f>
        <v>10248102 - Alto Marañon Torre B-Marketing</v>
      </c>
      <c r="G1582" s="47" t="str">
        <f>+Centro_Cuenta8[[#This Row],[Código Cuenta Contable]]&amp;" - "&amp;Centro_Cuenta8[[#This Row],[Nombre de Cuenta Contable]]</f>
        <v>4204021 - Publicidad Ferias Y Eventos</v>
      </c>
      <c r="H1582" s="146" t="str">
        <f>+VLOOKUP(D1582,'3. Cuentas'!A:F,6,0)</f>
        <v>SI</v>
      </c>
    </row>
    <row r="1583" spans="1:8" x14ac:dyDescent="0.25">
      <c r="A1583" s="43">
        <v>10248103</v>
      </c>
      <c r="B1583" t="s">
        <v>1203</v>
      </c>
      <c r="C1583" s="43" t="s">
        <v>1618</v>
      </c>
      <c r="D1583" s="43">
        <v>4203060</v>
      </c>
      <c r="E1583" t="s">
        <v>321</v>
      </c>
      <c r="F1583" s="47" t="str">
        <f>+Centro_Cuenta8[[#This Row],[Codigo Centro Gestion]]&amp;" - "&amp;Centro_Cuenta8[[#This Row],[Nombre Centro Gestion]]</f>
        <v>10248103 - Alto Marañon Torre B-Operaciones</v>
      </c>
      <c r="G1583" s="47" t="str">
        <f>+Centro_Cuenta8[[#This Row],[Código Cuenta Contable]]&amp;" - "&amp;Centro_Cuenta8[[#This Row],[Nombre de Cuenta Contable]]</f>
        <v>4203060 - Gastos Operacionales De Clientes</v>
      </c>
      <c r="H1583" s="146" t="str">
        <f>+VLOOKUP(D1583,'3. Cuentas'!A:F,6,0)</f>
        <v>SI</v>
      </c>
    </row>
    <row r="1584" spans="1:8" x14ac:dyDescent="0.25">
      <c r="A1584" s="43">
        <v>10248103</v>
      </c>
      <c r="B1584" t="s">
        <v>1203</v>
      </c>
      <c r="C1584" s="43" t="s">
        <v>1618</v>
      </c>
      <c r="D1584" s="43">
        <v>4203090</v>
      </c>
      <c r="E1584" t="s">
        <v>192</v>
      </c>
      <c r="F1584" s="47" t="str">
        <f>+Centro_Cuenta8[[#This Row],[Codigo Centro Gestion]]&amp;" - "&amp;Centro_Cuenta8[[#This Row],[Nombre Centro Gestion]]</f>
        <v>10248103 - Alto Marañon Torre B-Operaciones</v>
      </c>
      <c r="G1584" s="47" t="str">
        <f>+Centro_Cuenta8[[#This Row],[Código Cuenta Contable]]&amp;" - "&amp;Centro_Cuenta8[[#This Row],[Nombre de Cuenta Contable]]</f>
        <v>4203090 - Gastos Legales Y Notariales Proyecto</v>
      </c>
      <c r="H1584" s="146" t="str">
        <f>+VLOOKUP(D1584,'3. Cuentas'!A:F,6,0)</f>
        <v>SI</v>
      </c>
    </row>
    <row r="1585" spans="1:8" x14ac:dyDescent="0.25">
      <c r="A1585" s="43">
        <v>10248104</v>
      </c>
      <c r="B1585" t="s">
        <v>1204</v>
      </c>
      <c r="C1585" s="43" t="s">
        <v>90</v>
      </c>
      <c r="D1585" s="43">
        <v>1110040</v>
      </c>
      <c r="E1585" t="s">
        <v>1505</v>
      </c>
      <c r="F1585" s="47" t="str">
        <f>+Centro_Cuenta8[[#This Row],[Codigo Centro Gestion]]&amp;" - "&amp;Centro_Cuenta8[[#This Row],[Nombre Centro Gestion]]</f>
        <v>10248104 - Alto Marañon Torre B-Ventas</v>
      </c>
      <c r="G1585" s="47" t="str">
        <f>+Centro_Cuenta8[[#This Row],[Código Cuenta Contable]]&amp;" - "&amp;Centro_Cuenta8[[#This Row],[Nombre de Cuenta Contable]]</f>
        <v>1110040 - Garantía Pagadas</v>
      </c>
      <c r="H1585" s="146" t="str">
        <f>+VLOOKUP(D1585,'3. Cuentas'!A:F,6,0)</f>
        <v>SI</v>
      </c>
    </row>
    <row r="1586" spans="1:8" x14ac:dyDescent="0.25">
      <c r="A1586" s="43">
        <v>10248104</v>
      </c>
      <c r="B1586" t="s">
        <v>1204</v>
      </c>
      <c r="C1586" s="43" t="s">
        <v>90</v>
      </c>
      <c r="D1586" s="43">
        <v>4202003</v>
      </c>
      <c r="E1586" t="s">
        <v>106</v>
      </c>
      <c r="F1586" s="47" t="str">
        <f>+Centro_Cuenta8[[#This Row],[Codigo Centro Gestion]]&amp;" - "&amp;Centro_Cuenta8[[#This Row],[Nombre Centro Gestion]]</f>
        <v>10248104 - Alto Marañon Torre B-Ventas</v>
      </c>
      <c r="G1586" s="47" t="str">
        <f>+Centro_Cuenta8[[#This Row],[Código Cuenta Contable]]&amp;" - "&amp;Centro_Cuenta8[[#This Row],[Nombre de Cuenta Contable]]</f>
        <v>4202003 - Serv.Basic.Luz.Agua.Tel Of.C</v>
      </c>
      <c r="H1586" s="146" t="str">
        <f>+VLOOKUP(D1586,'3. Cuentas'!A:F,6,0)</f>
        <v>SI</v>
      </c>
    </row>
    <row r="1587" spans="1:8" x14ac:dyDescent="0.25">
      <c r="A1587" s="43">
        <v>10248104</v>
      </c>
      <c r="B1587" t="s">
        <v>1204</v>
      </c>
      <c r="C1587" s="43" t="s">
        <v>90</v>
      </c>
      <c r="D1587" s="43">
        <v>4202010</v>
      </c>
      <c r="E1587" t="s">
        <v>87</v>
      </c>
      <c r="F1587" s="47" t="str">
        <f>+Centro_Cuenta8[[#This Row],[Codigo Centro Gestion]]&amp;" - "&amp;Centro_Cuenta8[[#This Row],[Nombre Centro Gestion]]</f>
        <v>10248104 - Alto Marañon Torre B-Ventas</v>
      </c>
      <c r="G1587" s="47" t="str">
        <f>+Centro_Cuenta8[[#This Row],[Código Cuenta Contable]]&amp;" - "&amp;Centro_Cuenta8[[#This Row],[Nombre de Cuenta Contable]]</f>
        <v>4202010 - Artic. Ofic. Fotocop.Papelería</v>
      </c>
      <c r="H1587" s="146" t="str">
        <f>+VLOOKUP(D1587,'3. Cuentas'!A:F,6,0)</f>
        <v>SI</v>
      </c>
    </row>
    <row r="1588" spans="1:8" x14ac:dyDescent="0.25">
      <c r="A1588" s="43">
        <v>10248104</v>
      </c>
      <c r="B1588" t="s">
        <v>1204</v>
      </c>
      <c r="C1588" s="43" t="s">
        <v>90</v>
      </c>
      <c r="D1588" s="43">
        <v>4202019</v>
      </c>
      <c r="E1588" t="s">
        <v>81</v>
      </c>
      <c r="F1588" s="47" t="str">
        <f>+Centro_Cuenta8[[#This Row],[Codigo Centro Gestion]]&amp;" - "&amp;Centro_Cuenta8[[#This Row],[Nombre Centro Gestion]]</f>
        <v>10248104 - Alto Marañon Torre B-Ventas</v>
      </c>
      <c r="G1588" s="47" t="str">
        <f>+Centro_Cuenta8[[#This Row],[Código Cuenta Contable]]&amp;" - "&amp;Centro_Cuenta8[[#This Row],[Nombre de Cuenta Contable]]</f>
        <v>4202019 - Gasto General Oficina</v>
      </c>
      <c r="H1588" s="146" t="str">
        <f>+VLOOKUP(D1588,'3. Cuentas'!A:F,6,0)</f>
        <v>SI</v>
      </c>
    </row>
    <row r="1589" spans="1:8" x14ac:dyDescent="0.25">
      <c r="A1589" s="43">
        <v>10248104</v>
      </c>
      <c r="B1589" t="s">
        <v>1204</v>
      </c>
      <c r="C1589" s="43" t="s">
        <v>90</v>
      </c>
      <c r="D1589" s="43">
        <v>4202023</v>
      </c>
      <c r="E1589" t="s">
        <v>82</v>
      </c>
      <c r="F1589" s="47" t="str">
        <f>+Centro_Cuenta8[[#This Row],[Codigo Centro Gestion]]&amp;" - "&amp;Centro_Cuenta8[[#This Row],[Nombre Centro Gestion]]</f>
        <v>10248104 - Alto Marañon Torre B-Ventas</v>
      </c>
      <c r="G1589" s="47" t="str">
        <f>+Centro_Cuenta8[[#This Row],[Código Cuenta Contable]]&amp;" - "&amp;Centro_Cuenta8[[#This Row],[Nombre de Cuenta Contable]]</f>
        <v>4202023 - Honorarios Por Asesorías</v>
      </c>
      <c r="H1589" s="146" t="str">
        <f>+VLOOKUP(D1589,'3. Cuentas'!A:F,6,0)</f>
        <v>SI</v>
      </c>
    </row>
    <row r="1590" spans="1:8" x14ac:dyDescent="0.25">
      <c r="A1590" s="43">
        <v>10248104</v>
      </c>
      <c r="B1590" t="s">
        <v>1204</v>
      </c>
      <c r="C1590" s="43" t="s">
        <v>90</v>
      </c>
      <c r="D1590" s="43">
        <v>4202029</v>
      </c>
      <c r="E1590" t="s">
        <v>83</v>
      </c>
      <c r="F1590" s="47" t="str">
        <f>+Centro_Cuenta8[[#This Row],[Codigo Centro Gestion]]&amp;" - "&amp;Centro_Cuenta8[[#This Row],[Nombre Centro Gestion]]</f>
        <v>10248104 - Alto Marañon Torre B-Ventas</v>
      </c>
      <c r="G1590" s="47" t="str">
        <f>+Centro_Cuenta8[[#This Row],[Código Cuenta Contable]]&amp;" - "&amp;Centro_Cuenta8[[#This Row],[Nombre de Cuenta Contable]]</f>
        <v>4202029 - Insumos Y Gastos Informáticos</v>
      </c>
      <c r="H1590" s="146" t="str">
        <f>+VLOOKUP(D1590,'3. Cuentas'!A:F,6,0)</f>
        <v>SI</v>
      </c>
    </row>
    <row r="1591" spans="1:8" x14ac:dyDescent="0.25">
      <c r="A1591" s="43">
        <v>10248104</v>
      </c>
      <c r="B1591" t="s">
        <v>1204</v>
      </c>
      <c r="C1591" s="43" t="s">
        <v>90</v>
      </c>
      <c r="D1591" s="43">
        <v>4204021</v>
      </c>
      <c r="E1591" t="s">
        <v>329</v>
      </c>
      <c r="F1591" s="47" t="str">
        <f>+Centro_Cuenta8[[#This Row],[Codigo Centro Gestion]]&amp;" - "&amp;Centro_Cuenta8[[#This Row],[Nombre Centro Gestion]]</f>
        <v>10248104 - Alto Marañon Torre B-Ventas</v>
      </c>
      <c r="G1591" s="47" t="str">
        <f>+Centro_Cuenta8[[#This Row],[Código Cuenta Contable]]&amp;" - "&amp;Centro_Cuenta8[[#This Row],[Nombre de Cuenta Contable]]</f>
        <v>4204021 - Publicidad Ferias Y Eventos</v>
      </c>
      <c r="H1591" s="146" t="str">
        <f>+VLOOKUP(D1591,'3. Cuentas'!A:F,6,0)</f>
        <v>SI</v>
      </c>
    </row>
    <row r="1592" spans="1:8" x14ac:dyDescent="0.25">
      <c r="A1592" s="43">
        <v>10248105</v>
      </c>
      <c r="B1592" t="s">
        <v>1205</v>
      </c>
      <c r="C1592" s="43" t="s">
        <v>1622</v>
      </c>
      <c r="D1592" s="43">
        <v>4203020</v>
      </c>
      <c r="E1592" t="s">
        <v>295</v>
      </c>
      <c r="F1592" s="47" t="str">
        <f>+Centro_Cuenta8[[#This Row],[Codigo Centro Gestion]]&amp;" - "&amp;Centro_Cuenta8[[#This Row],[Nombre Centro Gestion]]</f>
        <v>10248105 - Alto Marañon Torre B-Clientes</v>
      </c>
      <c r="G1592" s="47" t="str">
        <f>+Centro_Cuenta8[[#This Row],[Código Cuenta Contable]]&amp;" - "&amp;Centro_Cuenta8[[#This Row],[Nombre de Cuenta Contable]]</f>
        <v>4203020 - Mant. y Consum. Viv Stock</v>
      </c>
      <c r="H1592" s="146" t="str">
        <f>+VLOOKUP(D1592,'3. Cuentas'!A:F,6,0)</f>
        <v>SI</v>
      </c>
    </row>
    <row r="1593" spans="1:8" x14ac:dyDescent="0.25">
      <c r="A1593" s="43">
        <v>10248105</v>
      </c>
      <c r="B1593" t="s">
        <v>1205</v>
      </c>
      <c r="C1593" s="43" t="s">
        <v>1622</v>
      </c>
      <c r="D1593" s="43">
        <v>4203120</v>
      </c>
      <c r="E1593" t="s">
        <v>108</v>
      </c>
      <c r="F1593" s="47" t="str">
        <f>+Centro_Cuenta8[[#This Row],[Codigo Centro Gestion]]&amp;" - "&amp;Centro_Cuenta8[[#This Row],[Nombre Centro Gestion]]</f>
        <v>10248105 - Alto Marañon Torre B-Clientes</v>
      </c>
      <c r="G1593" s="47" t="str">
        <f>+Centro_Cuenta8[[#This Row],[Código Cuenta Contable]]&amp;" - "&amp;Centro_Cuenta8[[#This Row],[Nombre de Cuenta Contable]]</f>
        <v>4203120 - Gastos Comunes</v>
      </c>
      <c r="H1593" s="146" t="str">
        <f>+VLOOKUP(D1593,'3. Cuentas'!A:F,6,0)</f>
        <v>SI</v>
      </c>
    </row>
    <row r="1594" spans="1:8" x14ac:dyDescent="0.25">
      <c r="A1594" s="43">
        <v>10248105</v>
      </c>
      <c r="B1594" t="s">
        <v>1205</v>
      </c>
      <c r="C1594" s="43" t="s">
        <v>1622</v>
      </c>
      <c r="D1594" s="43">
        <v>4203140</v>
      </c>
      <c r="E1594" t="s">
        <v>109</v>
      </c>
      <c r="F1594" s="47" t="str">
        <f>+Centro_Cuenta8[[#This Row],[Codigo Centro Gestion]]&amp;" - "&amp;Centro_Cuenta8[[#This Row],[Nombre Centro Gestion]]</f>
        <v>10248105 - Alto Marañon Torre B-Clientes</v>
      </c>
      <c r="G1594" s="47" t="str">
        <f>+Centro_Cuenta8[[#This Row],[Código Cuenta Contable]]&amp;" - "&amp;Centro_Cuenta8[[#This Row],[Nombre de Cuenta Contable]]</f>
        <v>4203140 - Contribuciones</v>
      </c>
      <c r="H1594" s="146" t="str">
        <f>+VLOOKUP(D1594,'3. Cuentas'!A:F,6,0)</f>
        <v>SI</v>
      </c>
    </row>
    <row r="1595" spans="1:8" x14ac:dyDescent="0.25">
      <c r="A1595" s="43">
        <v>10248204</v>
      </c>
      <c r="B1595" t="s">
        <v>1206</v>
      </c>
      <c r="C1595" s="43" t="s">
        <v>1624</v>
      </c>
      <c r="D1595" s="43">
        <v>1103045</v>
      </c>
      <c r="E1595" t="s">
        <v>323</v>
      </c>
      <c r="F1595" s="47" t="str">
        <f>+Centro_Cuenta8[[#This Row],[Codigo Centro Gestion]]&amp;" - "&amp;Centro_Cuenta8[[#This Row],[Nombre Centro Gestion]]</f>
        <v>10248204 - Alto Marañon Torre B-Proyecto</v>
      </c>
      <c r="G1595" s="47" t="str">
        <f>+Centro_Cuenta8[[#This Row],[Código Cuenta Contable]]&amp;" - "&amp;Centro_Cuenta8[[#This Row],[Nombre de Cuenta Contable]]</f>
        <v>1103045 - Aportes reembolsables (electricidad y agua)</v>
      </c>
      <c r="H1595" s="146" t="str">
        <f>+VLOOKUP(D1595,'3. Cuentas'!A:F,6,0)</f>
        <v>SI</v>
      </c>
    </row>
    <row r="1596" spans="1:8" x14ac:dyDescent="0.25">
      <c r="A1596" s="43">
        <v>10248204</v>
      </c>
      <c r="B1596" t="s">
        <v>1206</v>
      </c>
      <c r="C1596" s="43" t="s">
        <v>1624</v>
      </c>
      <c r="D1596" s="43">
        <v>1109020</v>
      </c>
      <c r="E1596" t="s">
        <v>302</v>
      </c>
      <c r="F1596" s="47" t="str">
        <f>+Centro_Cuenta8[[#This Row],[Codigo Centro Gestion]]&amp;" - "&amp;Centro_Cuenta8[[#This Row],[Nombre Centro Gestion]]</f>
        <v>10248204 - Alto Marañon Torre B-Proyecto</v>
      </c>
      <c r="G1596" s="47" t="str">
        <f>+Centro_Cuenta8[[#This Row],[Código Cuenta Contable]]&amp;" - "&amp;Centro_Cuenta8[[#This Row],[Nombre de Cuenta Contable]]</f>
        <v>1109020 - Mobiliario</v>
      </c>
      <c r="H1596" s="146" t="str">
        <f>+VLOOKUP(D1596,'3. Cuentas'!A:F,6,0)</f>
        <v>SI</v>
      </c>
    </row>
    <row r="1597" spans="1:8" x14ac:dyDescent="0.25">
      <c r="A1597" s="43">
        <v>10248204</v>
      </c>
      <c r="B1597" t="s">
        <v>1206</v>
      </c>
      <c r="C1597" s="43" t="s">
        <v>1624</v>
      </c>
      <c r="D1597" s="43">
        <v>1110040</v>
      </c>
      <c r="E1597" t="s">
        <v>1505</v>
      </c>
      <c r="F1597" s="47" t="str">
        <f>+Centro_Cuenta8[[#This Row],[Codigo Centro Gestion]]&amp;" - "&amp;Centro_Cuenta8[[#This Row],[Nombre Centro Gestion]]</f>
        <v>10248204 - Alto Marañon Torre B-Proyecto</v>
      </c>
      <c r="G1597" s="47" t="str">
        <f>+Centro_Cuenta8[[#This Row],[Código Cuenta Contable]]&amp;" - "&amp;Centro_Cuenta8[[#This Row],[Nombre de Cuenta Contable]]</f>
        <v>1110040 - Garantía Pagadas</v>
      </c>
      <c r="H1597" s="146" t="str">
        <f>+VLOOKUP(D1597,'3. Cuentas'!A:F,6,0)</f>
        <v>SI</v>
      </c>
    </row>
    <row r="1598" spans="1:8" x14ac:dyDescent="0.25">
      <c r="A1598" s="43">
        <v>10248204</v>
      </c>
      <c r="B1598" t="s">
        <v>1206</v>
      </c>
      <c r="C1598" s="43" t="s">
        <v>1624</v>
      </c>
      <c r="D1598" s="43">
        <v>1115040</v>
      </c>
      <c r="E1598" t="s">
        <v>291</v>
      </c>
      <c r="F1598" s="47" t="str">
        <f>+Centro_Cuenta8[[#This Row],[Codigo Centro Gestion]]&amp;" - "&amp;Centro_Cuenta8[[#This Row],[Nombre Centro Gestion]]</f>
        <v>10248204 - Alto Marañon Torre B-Proyecto</v>
      </c>
      <c r="G1598" s="47" t="str">
        <f>+Centro_Cuenta8[[#This Row],[Código Cuenta Contable]]&amp;" - "&amp;Centro_Cuenta8[[#This Row],[Nombre de Cuenta Contable]]</f>
        <v>1115040 - Saneamiento De Terreno</v>
      </c>
      <c r="H1598" s="146" t="str">
        <f>+VLOOKUP(D1598,'3. Cuentas'!A:F,6,0)</f>
        <v>SI</v>
      </c>
    </row>
    <row r="1599" spans="1:8" x14ac:dyDescent="0.25">
      <c r="A1599" s="43">
        <v>10248204</v>
      </c>
      <c r="B1599" t="s">
        <v>1206</v>
      </c>
      <c r="C1599" s="43" t="s">
        <v>1624</v>
      </c>
      <c r="D1599" s="43">
        <v>1115050</v>
      </c>
      <c r="E1599" t="s">
        <v>1628</v>
      </c>
      <c r="F1599" s="47" t="str">
        <f>+Centro_Cuenta8[[#This Row],[Codigo Centro Gestion]]&amp;" - "&amp;Centro_Cuenta8[[#This Row],[Nombre Centro Gestion]]</f>
        <v>10248204 - Alto Marañon Torre B-Proyecto</v>
      </c>
      <c r="G1599" s="47" t="str">
        <f>+Centro_Cuenta8[[#This Row],[Código Cuenta Contable]]&amp;" - "&amp;Centro_Cuenta8[[#This Row],[Nombre de Cuenta Contable]]</f>
        <v>1115050 - Demolición</v>
      </c>
      <c r="H1599" s="146" t="str">
        <f>+VLOOKUP(D1599,'3. Cuentas'!A:F,6,0)</f>
        <v>SI</v>
      </c>
    </row>
    <row r="1600" spans="1:8" x14ac:dyDescent="0.25">
      <c r="A1600" s="43">
        <v>10248204</v>
      </c>
      <c r="B1600" t="s">
        <v>1206</v>
      </c>
      <c r="C1600" s="43" t="s">
        <v>1624</v>
      </c>
      <c r="D1600" s="43">
        <v>1115100</v>
      </c>
      <c r="E1600" t="s">
        <v>292</v>
      </c>
      <c r="F1600" s="47" t="str">
        <f>+Centro_Cuenta8[[#This Row],[Codigo Centro Gestion]]&amp;" - "&amp;Centro_Cuenta8[[#This Row],[Nombre Centro Gestion]]</f>
        <v>10248204 - Alto Marañon Torre B-Proyecto</v>
      </c>
      <c r="G1600" s="47" t="str">
        <f>+Centro_Cuenta8[[#This Row],[Código Cuenta Contable]]&amp;" - "&amp;Centro_Cuenta8[[#This Row],[Nombre de Cuenta Contable]]</f>
        <v>1115100 - Proyectos Y Especialidades</v>
      </c>
      <c r="H1600" s="146" t="str">
        <f>+VLOOKUP(D1600,'3. Cuentas'!A:F,6,0)</f>
        <v>SI</v>
      </c>
    </row>
    <row r="1601" spans="1:8" x14ac:dyDescent="0.25">
      <c r="A1601" s="43">
        <v>10248204</v>
      </c>
      <c r="B1601" t="s">
        <v>1206</v>
      </c>
      <c r="C1601" s="43" t="s">
        <v>1624</v>
      </c>
      <c r="D1601" s="43">
        <v>1115120</v>
      </c>
      <c r="E1601" t="s">
        <v>1633</v>
      </c>
      <c r="F1601" s="47" t="str">
        <f>+Centro_Cuenta8[[#This Row],[Codigo Centro Gestion]]&amp;" - "&amp;Centro_Cuenta8[[#This Row],[Nombre Centro Gestion]]</f>
        <v>10248204 - Alto Marañon Torre B-Proyecto</v>
      </c>
      <c r="G1601" s="47" t="str">
        <f>+Centro_Cuenta8[[#This Row],[Código Cuenta Contable]]&amp;" - "&amp;Centro_Cuenta8[[#This Row],[Nombre de Cuenta Contable]]</f>
        <v>1115120 - Instalación Empalmes</v>
      </c>
      <c r="H1601" s="146" t="str">
        <f>+VLOOKUP(D1601,'3. Cuentas'!A:F,6,0)</f>
        <v>SI</v>
      </c>
    </row>
    <row r="1602" spans="1:8" x14ac:dyDescent="0.25">
      <c r="A1602" s="43">
        <v>10248204</v>
      </c>
      <c r="B1602" t="s">
        <v>1206</v>
      </c>
      <c r="C1602" s="43" t="s">
        <v>1624</v>
      </c>
      <c r="D1602" s="43">
        <v>1115170</v>
      </c>
      <c r="E1602" t="s">
        <v>293</v>
      </c>
      <c r="F1602" s="47" t="str">
        <f>+Centro_Cuenta8[[#This Row],[Codigo Centro Gestion]]&amp;" - "&amp;Centro_Cuenta8[[#This Row],[Nombre Centro Gestion]]</f>
        <v>10248204 - Alto Marañon Torre B-Proyecto</v>
      </c>
      <c r="G1602" s="47" t="str">
        <f>+Centro_Cuenta8[[#This Row],[Código Cuenta Contable]]&amp;" - "&amp;Centro_Cuenta8[[#This Row],[Nombre de Cuenta Contable]]</f>
        <v>1115170 - Permisos Y Otros Gastos Municipales</v>
      </c>
      <c r="H1602" s="146" t="str">
        <f>+VLOOKUP(D1602,'3. Cuentas'!A:F,6,0)</f>
        <v>SI</v>
      </c>
    </row>
    <row r="1603" spans="1:8" x14ac:dyDescent="0.25">
      <c r="A1603" s="43">
        <v>10248204</v>
      </c>
      <c r="B1603" t="s">
        <v>1206</v>
      </c>
      <c r="C1603" s="43" t="s">
        <v>1624</v>
      </c>
      <c r="D1603" s="43">
        <v>1115240</v>
      </c>
      <c r="E1603" t="s">
        <v>294</v>
      </c>
      <c r="F1603" s="47" t="str">
        <f>+Centro_Cuenta8[[#This Row],[Codigo Centro Gestion]]&amp;" - "&amp;Centro_Cuenta8[[#This Row],[Nombre Centro Gestion]]</f>
        <v>10248204 - Alto Marañon Torre B-Proyecto</v>
      </c>
      <c r="G1603" s="47" t="str">
        <f>+Centro_Cuenta8[[#This Row],[Código Cuenta Contable]]&amp;" - "&amp;Centro_Cuenta8[[#This Row],[Nombre de Cuenta Contable]]</f>
        <v>1115240 - Estudios Y Asesorias Técnicas</v>
      </c>
      <c r="H1603" s="146" t="str">
        <f>+VLOOKUP(D1603,'3. Cuentas'!A:F,6,0)</f>
        <v>SI</v>
      </c>
    </row>
    <row r="1604" spans="1:8" x14ac:dyDescent="0.25">
      <c r="A1604" s="43">
        <v>10248204</v>
      </c>
      <c r="B1604" t="s">
        <v>1206</v>
      </c>
      <c r="C1604" s="43" t="s">
        <v>1624</v>
      </c>
      <c r="D1604" s="43">
        <v>4203090</v>
      </c>
      <c r="E1604" t="s">
        <v>192</v>
      </c>
      <c r="F1604" s="47" t="str">
        <f>+Centro_Cuenta8[[#This Row],[Codigo Centro Gestion]]&amp;" - "&amp;Centro_Cuenta8[[#This Row],[Nombre Centro Gestion]]</f>
        <v>10248204 - Alto Marañon Torre B-Proyecto</v>
      </c>
      <c r="G1604" s="47" t="str">
        <f>+Centro_Cuenta8[[#This Row],[Código Cuenta Contable]]&amp;" - "&amp;Centro_Cuenta8[[#This Row],[Nombre de Cuenta Contable]]</f>
        <v>4203090 - Gastos Legales Y Notariales Proyecto</v>
      </c>
      <c r="H1604" s="146" t="str">
        <f>+VLOOKUP(D1604,'3. Cuentas'!A:F,6,0)</f>
        <v>SI</v>
      </c>
    </row>
    <row r="1605" spans="1:8" x14ac:dyDescent="0.25">
      <c r="A1605" s="43">
        <v>10248204</v>
      </c>
      <c r="B1605" t="s">
        <v>1206</v>
      </c>
      <c r="C1605" s="43" t="s">
        <v>1624</v>
      </c>
      <c r="D1605" s="43">
        <v>4203140</v>
      </c>
      <c r="E1605" t="s">
        <v>109</v>
      </c>
      <c r="F1605" s="47" t="str">
        <f>+Centro_Cuenta8[[#This Row],[Codigo Centro Gestion]]&amp;" - "&amp;Centro_Cuenta8[[#This Row],[Nombre Centro Gestion]]</f>
        <v>10248204 - Alto Marañon Torre B-Proyecto</v>
      </c>
      <c r="G1605" s="47" t="str">
        <f>+Centro_Cuenta8[[#This Row],[Código Cuenta Contable]]&amp;" - "&amp;Centro_Cuenta8[[#This Row],[Nombre de Cuenta Contable]]</f>
        <v>4203140 - Contribuciones</v>
      </c>
      <c r="H1605" s="146" t="str">
        <f>+VLOOKUP(D1605,'3. Cuentas'!A:F,6,0)</f>
        <v>SI</v>
      </c>
    </row>
    <row r="1606" spans="1:8" x14ac:dyDescent="0.25">
      <c r="A1606" s="43">
        <v>10248204</v>
      </c>
      <c r="B1606" t="s">
        <v>1206</v>
      </c>
      <c r="C1606" s="43" t="s">
        <v>1624</v>
      </c>
      <c r="D1606" s="43">
        <v>4203150</v>
      </c>
      <c r="E1606" t="s">
        <v>156</v>
      </c>
      <c r="F1606" s="47" t="str">
        <f>+Centro_Cuenta8[[#This Row],[Codigo Centro Gestion]]&amp;" - "&amp;Centro_Cuenta8[[#This Row],[Nombre Centro Gestion]]</f>
        <v>10248204 - Alto Marañon Torre B-Proyecto</v>
      </c>
      <c r="G1606" s="47" t="str">
        <f>+Centro_Cuenta8[[#This Row],[Código Cuenta Contable]]&amp;" - "&amp;Centro_Cuenta8[[#This Row],[Nombre de Cuenta Contable]]</f>
        <v>4203150 - Gastos CBR</v>
      </c>
      <c r="H1606" s="146" t="str">
        <f>+VLOOKUP(D1606,'3. Cuentas'!A:F,6,0)</f>
        <v>SI</v>
      </c>
    </row>
    <row r="1607" spans="1:8" x14ac:dyDescent="0.25">
      <c r="A1607" s="43">
        <v>10248204</v>
      </c>
      <c r="B1607" t="s">
        <v>1206</v>
      </c>
      <c r="C1607" s="43" t="s">
        <v>1624</v>
      </c>
      <c r="D1607" s="43">
        <v>4203160</v>
      </c>
      <c r="E1607" t="s">
        <v>1639</v>
      </c>
      <c r="F1607" s="47" t="str">
        <f>+Centro_Cuenta8[[#This Row],[Codigo Centro Gestion]]&amp;" - "&amp;Centro_Cuenta8[[#This Row],[Nombre Centro Gestion]]</f>
        <v>10248204 - Alto Marañon Torre B-Proyecto</v>
      </c>
      <c r="G1607" s="47" t="str">
        <f>+Centro_Cuenta8[[#This Row],[Código Cuenta Contable]]&amp;" - "&amp;Centro_Cuenta8[[#This Row],[Nombre de Cuenta Contable]]</f>
        <v>4203160 - PAPELERIA Y FOTOCOPIADO</v>
      </c>
      <c r="H1607" s="146" t="str">
        <f>+VLOOKUP(D1607,'3. Cuentas'!A:F,6,0)</f>
        <v>SI</v>
      </c>
    </row>
    <row r="1608" spans="1:8" x14ac:dyDescent="0.25">
      <c r="A1608" s="43">
        <v>10248204</v>
      </c>
      <c r="B1608" t="s">
        <v>1206</v>
      </c>
      <c r="C1608" s="43" t="s">
        <v>1624</v>
      </c>
      <c r="D1608" s="43">
        <v>4203180</v>
      </c>
      <c r="E1608" t="s">
        <v>1640</v>
      </c>
      <c r="F1608" s="47" t="str">
        <f>+Centro_Cuenta8[[#This Row],[Codigo Centro Gestion]]&amp;" - "&amp;Centro_Cuenta8[[#This Row],[Nombre Centro Gestion]]</f>
        <v>10248204 - Alto Marañon Torre B-Proyecto</v>
      </c>
      <c r="G1608" s="47" t="str">
        <f>+Centro_Cuenta8[[#This Row],[Código Cuenta Contable]]&amp;" - "&amp;Centro_Cuenta8[[#This Row],[Nombre de Cuenta Contable]]</f>
        <v>4203180 - Otros Gastos y Aseso Proy</v>
      </c>
      <c r="H1608" s="146" t="str">
        <f>+VLOOKUP(D1608,'3. Cuentas'!A:F,6,0)</f>
        <v>SI</v>
      </c>
    </row>
    <row r="1609" spans="1:8" x14ac:dyDescent="0.25">
      <c r="A1609" s="43">
        <v>10248301</v>
      </c>
      <c r="B1609" t="s">
        <v>1207</v>
      </c>
      <c r="C1609" s="43" t="s">
        <v>1643</v>
      </c>
      <c r="D1609" s="43">
        <v>4203090</v>
      </c>
      <c r="E1609" t="s">
        <v>192</v>
      </c>
      <c r="F1609" s="47" t="str">
        <f>+Centro_Cuenta8[[#This Row],[Codigo Centro Gestion]]&amp;" - "&amp;Centro_Cuenta8[[#This Row],[Nombre Centro Gestion]]</f>
        <v>10248301 - Alto Marañon Torre B-GAF</v>
      </c>
      <c r="G1609" s="47" t="str">
        <f>+Centro_Cuenta8[[#This Row],[Código Cuenta Contable]]&amp;" - "&amp;Centro_Cuenta8[[#This Row],[Nombre de Cuenta Contable]]</f>
        <v>4203090 - Gastos Legales Y Notariales Proyecto</v>
      </c>
      <c r="H1609" s="146" t="str">
        <f>+VLOOKUP(D1609,'3. Cuentas'!A:F,6,0)</f>
        <v>SI</v>
      </c>
    </row>
    <row r="1610" spans="1:8" x14ac:dyDescent="0.25">
      <c r="A1610" s="43">
        <v>10248301</v>
      </c>
      <c r="B1610" t="s">
        <v>1207</v>
      </c>
      <c r="C1610" s="43" t="s">
        <v>1643</v>
      </c>
      <c r="D1610" s="43">
        <v>4203140</v>
      </c>
      <c r="E1610" t="s">
        <v>109</v>
      </c>
      <c r="F1610" s="47" t="str">
        <f>+Centro_Cuenta8[[#This Row],[Codigo Centro Gestion]]&amp;" - "&amp;Centro_Cuenta8[[#This Row],[Nombre Centro Gestion]]</f>
        <v>10248301 - Alto Marañon Torre B-GAF</v>
      </c>
      <c r="G1610" s="47" t="str">
        <f>+Centro_Cuenta8[[#This Row],[Código Cuenta Contable]]&amp;" - "&amp;Centro_Cuenta8[[#This Row],[Nombre de Cuenta Contable]]</f>
        <v>4203140 - Contribuciones</v>
      </c>
      <c r="H1610" s="146" t="str">
        <f>+VLOOKUP(D1610,'3. Cuentas'!A:F,6,0)</f>
        <v>SI</v>
      </c>
    </row>
    <row r="1611" spans="1:8" x14ac:dyDescent="0.25">
      <c r="A1611" s="43">
        <v>10248506</v>
      </c>
      <c r="B1611" t="s">
        <v>1209</v>
      </c>
      <c r="C1611" s="43" t="s">
        <v>200</v>
      </c>
      <c r="D1611" s="43">
        <v>1115100</v>
      </c>
      <c r="E1611" t="s">
        <v>292</v>
      </c>
      <c r="F1611" s="47" t="str">
        <f>+Centro_Cuenta8[[#This Row],[Codigo Centro Gestion]]&amp;" - "&amp;Centro_Cuenta8[[#This Row],[Nombre Centro Gestion]]</f>
        <v>10248506 - Alto Marañon Torre B-Depto.Técnico</v>
      </c>
      <c r="G1611" s="47" t="str">
        <f>+Centro_Cuenta8[[#This Row],[Código Cuenta Contable]]&amp;" - "&amp;Centro_Cuenta8[[#This Row],[Nombre de Cuenta Contable]]</f>
        <v>1115100 - Proyectos Y Especialidades</v>
      </c>
      <c r="H1611" s="146" t="str">
        <f>+VLOOKUP(D1611,'3. Cuentas'!A:F,6,0)</f>
        <v>SI</v>
      </c>
    </row>
    <row r="1612" spans="1:8" x14ac:dyDescent="0.25">
      <c r="A1612" s="43">
        <v>10251102</v>
      </c>
      <c r="B1612" t="s">
        <v>1210</v>
      </c>
      <c r="C1612" s="43" t="s">
        <v>1617</v>
      </c>
      <c r="D1612" s="43">
        <v>4204010</v>
      </c>
      <c r="E1612" t="s">
        <v>313</v>
      </c>
      <c r="F1612" s="47" t="str">
        <f>+Centro_Cuenta8[[#This Row],[Codigo Centro Gestion]]&amp;" - "&amp;Centro_Cuenta8[[#This Row],[Nombre Centro Gestion]]</f>
        <v>10251102 - Edificio Vista Horizonte-Marketing</v>
      </c>
      <c r="G1612" s="47" t="str">
        <f>+Centro_Cuenta8[[#This Row],[Código Cuenta Contable]]&amp;" - "&amp;Centro_Cuenta8[[#This Row],[Nombre de Cuenta Contable]]</f>
        <v>4204010 - Publicidad Punto Venta</v>
      </c>
      <c r="H1612" s="146" t="str">
        <f>+VLOOKUP(D1612,'3. Cuentas'!A:F,6,0)</f>
        <v>SI</v>
      </c>
    </row>
    <row r="1613" spans="1:8" x14ac:dyDescent="0.25">
      <c r="A1613" s="43">
        <v>10251102</v>
      </c>
      <c r="B1613" t="s">
        <v>1210</v>
      </c>
      <c r="C1613" s="43" t="s">
        <v>1617</v>
      </c>
      <c r="D1613" s="43">
        <v>4204021</v>
      </c>
      <c r="E1613" t="s">
        <v>329</v>
      </c>
      <c r="F1613" s="47" t="str">
        <f>+Centro_Cuenta8[[#This Row],[Codigo Centro Gestion]]&amp;" - "&amp;Centro_Cuenta8[[#This Row],[Nombre Centro Gestion]]</f>
        <v>10251102 - Edificio Vista Horizonte-Marketing</v>
      </c>
      <c r="G1613" s="47" t="str">
        <f>+Centro_Cuenta8[[#This Row],[Código Cuenta Contable]]&amp;" - "&amp;Centro_Cuenta8[[#This Row],[Nombre de Cuenta Contable]]</f>
        <v>4204021 - Publicidad Ferias Y Eventos</v>
      </c>
      <c r="H1613" s="146" t="str">
        <f>+VLOOKUP(D1613,'3. Cuentas'!A:F,6,0)</f>
        <v>SI</v>
      </c>
    </row>
    <row r="1614" spans="1:8" x14ac:dyDescent="0.25">
      <c r="A1614" s="43">
        <v>10251103</v>
      </c>
      <c r="B1614" t="s">
        <v>1211</v>
      </c>
      <c r="C1614" s="43" t="s">
        <v>1618</v>
      </c>
      <c r="D1614" s="43">
        <v>4203060</v>
      </c>
      <c r="E1614" t="s">
        <v>321</v>
      </c>
      <c r="F1614" s="47" t="str">
        <f>+Centro_Cuenta8[[#This Row],[Codigo Centro Gestion]]&amp;" - "&amp;Centro_Cuenta8[[#This Row],[Nombre Centro Gestion]]</f>
        <v>10251103 - Edificio Vista Horizonte-Operaciones</v>
      </c>
      <c r="G1614" s="47" t="str">
        <f>+Centro_Cuenta8[[#This Row],[Código Cuenta Contable]]&amp;" - "&amp;Centro_Cuenta8[[#This Row],[Nombre de Cuenta Contable]]</f>
        <v>4203060 - Gastos Operacionales De Clientes</v>
      </c>
      <c r="H1614" s="146" t="str">
        <f>+VLOOKUP(D1614,'3. Cuentas'!A:F,6,0)</f>
        <v>SI</v>
      </c>
    </row>
    <row r="1615" spans="1:8" x14ac:dyDescent="0.25">
      <c r="A1615" s="43">
        <v>10251103</v>
      </c>
      <c r="B1615" t="s">
        <v>1211</v>
      </c>
      <c r="C1615" s="43" t="s">
        <v>1618</v>
      </c>
      <c r="D1615" s="43">
        <v>4203090</v>
      </c>
      <c r="E1615" t="s">
        <v>192</v>
      </c>
      <c r="F1615" s="47" t="str">
        <f>+Centro_Cuenta8[[#This Row],[Codigo Centro Gestion]]&amp;" - "&amp;Centro_Cuenta8[[#This Row],[Nombre Centro Gestion]]</f>
        <v>10251103 - Edificio Vista Horizonte-Operaciones</v>
      </c>
      <c r="G1615" s="47" t="str">
        <f>+Centro_Cuenta8[[#This Row],[Código Cuenta Contable]]&amp;" - "&amp;Centro_Cuenta8[[#This Row],[Nombre de Cuenta Contable]]</f>
        <v>4203090 - Gastos Legales Y Notariales Proyecto</v>
      </c>
      <c r="H1615" s="146" t="str">
        <f>+VLOOKUP(D1615,'3. Cuentas'!A:F,6,0)</f>
        <v>SI</v>
      </c>
    </row>
    <row r="1616" spans="1:8" x14ac:dyDescent="0.25">
      <c r="A1616" s="43">
        <v>10251104</v>
      </c>
      <c r="B1616" t="s">
        <v>1212</v>
      </c>
      <c r="C1616" s="43" t="s">
        <v>90</v>
      </c>
      <c r="D1616" s="43">
        <v>1110040</v>
      </c>
      <c r="E1616" t="s">
        <v>1505</v>
      </c>
      <c r="F1616" s="47" t="str">
        <f>+Centro_Cuenta8[[#This Row],[Codigo Centro Gestion]]&amp;" - "&amp;Centro_Cuenta8[[#This Row],[Nombre Centro Gestion]]</f>
        <v>10251104 - Edificio Vista Horizonte-Ventas</v>
      </c>
      <c r="G1616" s="47" t="str">
        <f>+Centro_Cuenta8[[#This Row],[Código Cuenta Contable]]&amp;" - "&amp;Centro_Cuenta8[[#This Row],[Nombre de Cuenta Contable]]</f>
        <v>1110040 - Garantía Pagadas</v>
      </c>
      <c r="H1616" s="146" t="str">
        <f>+VLOOKUP(D1616,'3. Cuentas'!A:F,6,0)</f>
        <v>SI</v>
      </c>
    </row>
    <row r="1617" spans="1:8" x14ac:dyDescent="0.25">
      <c r="A1617" s="43">
        <v>10251104</v>
      </c>
      <c r="B1617" t="s">
        <v>1212</v>
      </c>
      <c r="C1617" s="43" t="s">
        <v>90</v>
      </c>
      <c r="D1617" s="43">
        <v>4202003</v>
      </c>
      <c r="E1617" t="s">
        <v>106</v>
      </c>
      <c r="F1617" s="47" t="str">
        <f>+Centro_Cuenta8[[#This Row],[Codigo Centro Gestion]]&amp;" - "&amp;Centro_Cuenta8[[#This Row],[Nombre Centro Gestion]]</f>
        <v>10251104 - Edificio Vista Horizonte-Ventas</v>
      </c>
      <c r="G1617" s="47" t="str">
        <f>+Centro_Cuenta8[[#This Row],[Código Cuenta Contable]]&amp;" - "&amp;Centro_Cuenta8[[#This Row],[Nombre de Cuenta Contable]]</f>
        <v>4202003 - Serv.Basic.Luz.Agua.Tel Of.C</v>
      </c>
      <c r="H1617" s="146" t="str">
        <f>+VLOOKUP(D1617,'3. Cuentas'!A:F,6,0)</f>
        <v>SI</v>
      </c>
    </row>
    <row r="1618" spans="1:8" x14ac:dyDescent="0.25">
      <c r="A1618" s="43">
        <v>10251104</v>
      </c>
      <c r="B1618" t="s">
        <v>1212</v>
      </c>
      <c r="C1618" s="43" t="s">
        <v>90</v>
      </c>
      <c r="D1618" s="43">
        <v>4202010</v>
      </c>
      <c r="E1618" t="s">
        <v>87</v>
      </c>
      <c r="F1618" s="47" t="str">
        <f>+Centro_Cuenta8[[#This Row],[Codigo Centro Gestion]]&amp;" - "&amp;Centro_Cuenta8[[#This Row],[Nombre Centro Gestion]]</f>
        <v>10251104 - Edificio Vista Horizonte-Ventas</v>
      </c>
      <c r="G1618" s="47" t="str">
        <f>+Centro_Cuenta8[[#This Row],[Código Cuenta Contable]]&amp;" - "&amp;Centro_Cuenta8[[#This Row],[Nombre de Cuenta Contable]]</f>
        <v>4202010 - Artic. Ofic. Fotocop.Papelería</v>
      </c>
      <c r="H1618" s="146" t="str">
        <f>+VLOOKUP(D1618,'3. Cuentas'!A:F,6,0)</f>
        <v>SI</v>
      </c>
    </row>
    <row r="1619" spans="1:8" x14ac:dyDescent="0.25">
      <c r="A1619" s="43">
        <v>10251104</v>
      </c>
      <c r="B1619" t="s">
        <v>1212</v>
      </c>
      <c r="C1619" s="43" t="s">
        <v>90</v>
      </c>
      <c r="D1619" s="43">
        <v>4202019</v>
      </c>
      <c r="E1619" t="s">
        <v>81</v>
      </c>
      <c r="F1619" s="47" t="str">
        <f>+Centro_Cuenta8[[#This Row],[Codigo Centro Gestion]]&amp;" - "&amp;Centro_Cuenta8[[#This Row],[Nombre Centro Gestion]]</f>
        <v>10251104 - Edificio Vista Horizonte-Ventas</v>
      </c>
      <c r="G1619" s="47" t="str">
        <f>+Centro_Cuenta8[[#This Row],[Código Cuenta Contable]]&amp;" - "&amp;Centro_Cuenta8[[#This Row],[Nombre de Cuenta Contable]]</f>
        <v>4202019 - Gasto General Oficina</v>
      </c>
      <c r="H1619" s="146" t="str">
        <f>+VLOOKUP(D1619,'3. Cuentas'!A:F,6,0)</f>
        <v>SI</v>
      </c>
    </row>
    <row r="1620" spans="1:8" x14ac:dyDescent="0.25">
      <c r="A1620" s="43">
        <v>10251104</v>
      </c>
      <c r="B1620" t="s">
        <v>1212</v>
      </c>
      <c r="C1620" s="43" t="s">
        <v>90</v>
      </c>
      <c r="D1620" s="43">
        <v>4202023</v>
      </c>
      <c r="E1620" t="s">
        <v>82</v>
      </c>
      <c r="F1620" s="47" t="str">
        <f>+Centro_Cuenta8[[#This Row],[Codigo Centro Gestion]]&amp;" - "&amp;Centro_Cuenta8[[#This Row],[Nombre Centro Gestion]]</f>
        <v>10251104 - Edificio Vista Horizonte-Ventas</v>
      </c>
      <c r="G1620" s="47" t="str">
        <f>+Centro_Cuenta8[[#This Row],[Código Cuenta Contable]]&amp;" - "&amp;Centro_Cuenta8[[#This Row],[Nombre de Cuenta Contable]]</f>
        <v>4202023 - Honorarios Por Asesorías</v>
      </c>
      <c r="H1620" s="146" t="str">
        <f>+VLOOKUP(D1620,'3. Cuentas'!A:F,6,0)</f>
        <v>SI</v>
      </c>
    </row>
    <row r="1621" spans="1:8" x14ac:dyDescent="0.25">
      <c r="A1621" s="43">
        <v>10251104</v>
      </c>
      <c r="B1621" t="s">
        <v>1212</v>
      </c>
      <c r="C1621" s="43" t="s">
        <v>90</v>
      </c>
      <c r="D1621" s="43">
        <v>4202029</v>
      </c>
      <c r="E1621" t="s">
        <v>83</v>
      </c>
      <c r="F1621" s="47" t="str">
        <f>+Centro_Cuenta8[[#This Row],[Codigo Centro Gestion]]&amp;" - "&amp;Centro_Cuenta8[[#This Row],[Nombre Centro Gestion]]</f>
        <v>10251104 - Edificio Vista Horizonte-Ventas</v>
      </c>
      <c r="G1621" s="47" t="str">
        <f>+Centro_Cuenta8[[#This Row],[Código Cuenta Contable]]&amp;" - "&amp;Centro_Cuenta8[[#This Row],[Nombre de Cuenta Contable]]</f>
        <v>4202029 - Insumos Y Gastos Informáticos</v>
      </c>
      <c r="H1621" s="146" t="str">
        <f>+VLOOKUP(D1621,'3. Cuentas'!A:F,6,0)</f>
        <v>SI</v>
      </c>
    </row>
    <row r="1622" spans="1:8" x14ac:dyDescent="0.25">
      <c r="A1622" s="43">
        <v>10251104</v>
      </c>
      <c r="B1622" t="s">
        <v>1212</v>
      </c>
      <c r="C1622" s="43" t="s">
        <v>90</v>
      </c>
      <c r="D1622" s="43">
        <v>4204021</v>
      </c>
      <c r="E1622" t="s">
        <v>329</v>
      </c>
      <c r="F1622" s="47" t="str">
        <f>+Centro_Cuenta8[[#This Row],[Codigo Centro Gestion]]&amp;" - "&amp;Centro_Cuenta8[[#This Row],[Nombre Centro Gestion]]</f>
        <v>10251104 - Edificio Vista Horizonte-Ventas</v>
      </c>
      <c r="G1622" s="47" t="str">
        <f>+Centro_Cuenta8[[#This Row],[Código Cuenta Contable]]&amp;" - "&amp;Centro_Cuenta8[[#This Row],[Nombre de Cuenta Contable]]</f>
        <v>4204021 - Publicidad Ferias Y Eventos</v>
      </c>
      <c r="H1622" s="146" t="str">
        <f>+VLOOKUP(D1622,'3. Cuentas'!A:F,6,0)</f>
        <v>SI</v>
      </c>
    </row>
    <row r="1623" spans="1:8" x14ac:dyDescent="0.25">
      <c r="A1623" s="43">
        <v>10251105</v>
      </c>
      <c r="B1623" t="s">
        <v>1213</v>
      </c>
      <c r="C1623" s="43" t="s">
        <v>1622</v>
      </c>
      <c r="D1623" s="43">
        <v>4203020</v>
      </c>
      <c r="E1623" t="s">
        <v>295</v>
      </c>
      <c r="F1623" s="47" t="str">
        <f>+Centro_Cuenta8[[#This Row],[Codigo Centro Gestion]]&amp;" - "&amp;Centro_Cuenta8[[#This Row],[Nombre Centro Gestion]]</f>
        <v>10251105 - Edificio Vista Horizonte-Clientes</v>
      </c>
      <c r="G1623" s="47" t="str">
        <f>+Centro_Cuenta8[[#This Row],[Código Cuenta Contable]]&amp;" - "&amp;Centro_Cuenta8[[#This Row],[Nombre de Cuenta Contable]]</f>
        <v>4203020 - Mant. y Consum. Viv Stock</v>
      </c>
      <c r="H1623" s="146" t="str">
        <f>+VLOOKUP(D1623,'3. Cuentas'!A:F,6,0)</f>
        <v>SI</v>
      </c>
    </row>
    <row r="1624" spans="1:8" x14ac:dyDescent="0.25">
      <c r="A1624" s="43">
        <v>10251105</v>
      </c>
      <c r="B1624" t="s">
        <v>1213</v>
      </c>
      <c r="C1624" s="43" t="s">
        <v>1622</v>
      </c>
      <c r="D1624" s="43">
        <v>4203120</v>
      </c>
      <c r="E1624" t="s">
        <v>108</v>
      </c>
      <c r="F1624" s="47" t="str">
        <f>+Centro_Cuenta8[[#This Row],[Codigo Centro Gestion]]&amp;" - "&amp;Centro_Cuenta8[[#This Row],[Nombre Centro Gestion]]</f>
        <v>10251105 - Edificio Vista Horizonte-Clientes</v>
      </c>
      <c r="G1624" s="47" t="str">
        <f>+Centro_Cuenta8[[#This Row],[Código Cuenta Contable]]&amp;" - "&amp;Centro_Cuenta8[[#This Row],[Nombre de Cuenta Contable]]</f>
        <v>4203120 - Gastos Comunes</v>
      </c>
      <c r="H1624" s="146" t="str">
        <f>+VLOOKUP(D1624,'3. Cuentas'!A:F,6,0)</f>
        <v>SI</v>
      </c>
    </row>
    <row r="1625" spans="1:8" x14ac:dyDescent="0.25">
      <c r="A1625" s="43">
        <v>10251105</v>
      </c>
      <c r="B1625" t="s">
        <v>1213</v>
      </c>
      <c r="C1625" s="43" t="s">
        <v>1622</v>
      </c>
      <c r="D1625" s="43">
        <v>4203140</v>
      </c>
      <c r="E1625" t="s">
        <v>109</v>
      </c>
      <c r="F1625" s="47" t="str">
        <f>+Centro_Cuenta8[[#This Row],[Codigo Centro Gestion]]&amp;" - "&amp;Centro_Cuenta8[[#This Row],[Nombre Centro Gestion]]</f>
        <v>10251105 - Edificio Vista Horizonte-Clientes</v>
      </c>
      <c r="G1625" s="47" t="str">
        <f>+Centro_Cuenta8[[#This Row],[Código Cuenta Contable]]&amp;" - "&amp;Centro_Cuenta8[[#This Row],[Nombre de Cuenta Contable]]</f>
        <v>4203140 - Contribuciones</v>
      </c>
      <c r="H1625" s="146" t="str">
        <f>+VLOOKUP(D1625,'3. Cuentas'!A:F,6,0)</f>
        <v>SI</v>
      </c>
    </row>
    <row r="1626" spans="1:8" x14ac:dyDescent="0.25">
      <c r="A1626" s="43">
        <v>10251204</v>
      </c>
      <c r="B1626" t="s">
        <v>1214</v>
      </c>
      <c r="C1626" s="43" t="s">
        <v>1624</v>
      </c>
      <c r="D1626" s="43">
        <v>1103045</v>
      </c>
      <c r="E1626" t="s">
        <v>323</v>
      </c>
      <c r="F1626" s="47" t="str">
        <f>+Centro_Cuenta8[[#This Row],[Codigo Centro Gestion]]&amp;" - "&amp;Centro_Cuenta8[[#This Row],[Nombre Centro Gestion]]</f>
        <v>10251204 - Edificio Vista Horizonte-Proyecto</v>
      </c>
      <c r="G1626" s="47" t="str">
        <f>+Centro_Cuenta8[[#This Row],[Código Cuenta Contable]]&amp;" - "&amp;Centro_Cuenta8[[#This Row],[Nombre de Cuenta Contable]]</f>
        <v>1103045 - Aportes reembolsables (electricidad y agua)</v>
      </c>
      <c r="H1626" s="146" t="str">
        <f>+VLOOKUP(D1626,'3. Cuentas'!A:F,6,0)</f>
        <v>SI</v>
      </c>
    </row>
    <row r="1627" spans="1:8" x14ac:dyDescent="0.25">
      <c r="A1627" s="43">
        <v>10251204</v>
      </c>
      <c r="B1627" t="s">
        <v>1214</v>
      </c>
      <c r="C1627" s="43" t="s">
        <v>1624</v>
      </c>
      <c r="D1627" s="43">
        <v>1109020</v>
      </c>
      <c r="E1627" t="s">
        <v>302</v>
      </c>
      <c r="F1627" s="47" t="str">
        <f>+Centro_Cuenta8[[#This Row],[Codigo Centro Gestion]]&amp;" - "&amp;Centro_Cuenta8[[#This Row],[Nombre Centro Gestion]]</f>
        <v>10251204 - Edificio Vista Horizonte-Proyecto</v>
      </c>
      <c r="G1627" s="47" t="str">
        <f>+Centro_Cuenta8[[#This Row],[Código Cuenta Contable]]&amp;" - "&amp;Centro_Cuenta8[[#This Row],[Nombre de Cuenta Contable]]</f>
        <v>1109020 - Mobiliario</v>
      </c>
      <c r="H1627" s="146" t="str">
        <f>+VLOOKUP(D1627,'3. Cuentas'!A:F,6,0)</f>
        <v>SI</v>
      </c>
    </row>
    <row r="1628" spans="1:8" x14ac:dyDescent="0.25">
      <c r="A1628" s="43">
        <v>10251204</v>
      </c>
      <c r="B1628" t="s">
        <v>1214</v>
      </c>
      <c r="C1628" s="43" t="s">
        <v>1624</v>
      </c>
      <c r="D1628" s="43">
        <v>1110040</v>
      </c>
      <c r="E1628" t="s">
        <v>1505</v>
      </c>
      <c r="F1628" s="47" t="str">
        <f>+Centro_Cuenta8[[#This Row],[Codigo Centro Gestion]]&amp;" - "&amp;Centro_Cuenta8[[#This Row],[Nombre Centro Gestion]]</f>
        <v>10251204 - Edificio Vista Horizonte-Proyecto</v>
      </c>
      <c r="G1628" s="47" t="str">
        <f>+Centro_Cuenta8[[#This Row],[Código Cuenta Contable]]&amp;" - "&amp;Centro_Cuenta8[[#This Row],[Nombre de Cuenta Contable]]</f>
        <v>1110040 - Garantía Pagadas</v>
      </c>
      <c r="H1628" s="146" t="str">
        <f>+VLOOKUP(D1628,'3. Cuentas'!A:F,6,0)</f>
        <v>SI</v>
      </c>
    </row>
    <row r="1629" spans="1:8" x14ac:dyDescent="0.25">
      <c r="A1629" s="43">
        <v>10251204</v>
      </c>
      <c r="B1629" t="s">
        <v>1214</v>
      </c>
      <c r="C1629" s="43" t="s">
        <v>1624</v>
      </c>
      <c r="D1629" s="43">
        <v>1115040</v>
      </c>
      <c r="E1629" t="s">
        <v>291</v>
      </c>
      <c r="F1629" s="47" t="str">
        <f>+Centro_Cuenta8[[#This Row],[Codigo Centro Gestion]]&amp;" - "&amp;Centro_Cuenta8[[#This Row],[Nombre Centro Gestion]]</f>
        <v>10251204 - Edificio Vista Horizonte-Proyecto</v>
      </c>
      <c r="G1629" s="47" t="str">
        <f>+Centro_Cuenta8[[#This Row],[Código Cuenta Contable]]&amp;" - "&amp;Centro_Cuenta8[[#This Row],[Nombre de Cuenta Contable]]</f>
        <v>1115040 - Saneamiento De Terreno</v>
      </c>
      <c r="H1629" s="146" t="str">
        <f>+VLOOKUP(D1629,'3. Cuentas'!A:F,6,0)</f>
        <v>SI</v>
      </c>
    </row>
    <row r="1630" spans="1:8" x14ac:dyDescent="0.25">
      <c r="A1630" s="43">
        <v>10251204</v>
      </c>
      <c r="B1630" t="s">
        <v>1214</v>
      </c>
      <c r="C1630" s="43" t="s">
        <v>1624</v>
      </c>
      <c r="D1630" s="43">
        <v>1115050</v>
      </c>
      <c r="E1630" t="s">
        <v>1628</v>
      </c>
      <c r="F1630" s="47" t="str">
        <f>+Centro_Cuenta8[[#This Row],[Codigo Centro Gestion]]&amp;" - "&amp;Centro_Cuenta8[[#This Row],[Nombre Centro Gestion]]</f>
        <v>10251204 - Edificio Vista Horizonte-Proyecto</v>
      </c>
      <c r="G1630" s="47" t="str">
        <f>+Centro_Cuenta8[[#This Row],[Código Cuenta Contable]]&amp;" - "&amp;Centro_Cuenta8[[#This Row],[Nombre de Cuenta Contable]]</f>
        <v>1115050 - Demolición</v>
      </c>
      <c r="H1630" s="146" t="str">
        <f>+VLOOKUP(D1630,'3. Cuentas'!A:F,6,0)</f>
        <v>SI</v>
      </c>
    </row>
    <row r="1631" spans="1:8" x14ac:dyDescent="0.25">
      <c r="A1631" s="43">
        <v>10251204</v>
      </c>
      <c r="B1631" t="s">
        <v>1214</v>
      </c>
      <c r="C1631" s="43" t="s">
        <v>1624</v>
      </c>
      <c r="D1631" s="43">
        <v>1115100</v>
      </c>
      <c r="E1631" t="s">
        <v>292</v>
      </c>
      <c r="F1631" s="47" t="str">
        <f>+Centro_Cuenta8[[#This Row],[Codigo Centro Gestion]]&amp;" - "&amp;Centro_Cuenta8[[#This Row],[Nombre Centro Gestion]]</f>
        <v>10251204 - Edificio Vista Horizonte-Proyecto</v>
      </c>
      <c r="G1631" s="47" t="str">
        <f>+Centro_Cuenta8[[#This Row],[Código Cuenta Contable]]&amp;" - "&amp;Centro_Cuenta8[[#This Row],[Nombre de Cuenta Contable]]</f>
        <v>1115100 - Proyectos Y Especialidades</v>
      </c>
      <c r="H1631" s="146" t="str">
        <f>+VLOOKUP(D1631,'3. Cuentas'!A:F,6,0)</f>
        <v>SI</v>
      </c>
    </row>
    <row r="1632" spans="1:8" x14ac:dyDescent="0.25">
      <c r="A1632" s="43">
        <v>10251204</v>
      </c>
      <c r="B1632" t="s">
        <v>1214</v>
      </c>
      <c r="C1632" s="43" t="s">
        <v>1624</v>
      </c>
      <c r="D1632" s="43">
        <v>1115120</v>
      </c>
      <c r="E1632" t="s">
        <v>1633</v>
      </c>
      <c r="F1632" s="47" t="str">
        <f>+Centro_Cuenta8[[#This Row],[Codigo Centro Gestion]]&amp;" - "&amp;Centro_Cuenta8[[#This Row],[Nombre Centro Gestion]]</f>
        <v>10251204 - Edificio Vista Horizonte-Proyecto</v>
      </c>
      <c r="G1632" s="47" t="str">
        <f>+Centro_Cuenta8[[#This Row],[Código Cuenta Contable]]&amp;" - "&amp;Centro_Cuenta8[[#This Row],[Nombre de Cuenta Contable]]</f>
        <v>1115120 - Instalación Empalmes</v>
      </c>
      <c r="H1632" s="146" t="str">
        <f>+VLOOKUP(D1632,'3. Cuentas'!A:F,6,0)</f>
        <v>SI</v>
      </c>
    </row>
    <row r="1633" spans="1:8" x14ac:dyDescent="0.25">
      <c r="A1633" s="43">
        <v>10251204</v>
      </c>
      <c r="B1633" t="s">
        <v>1214</v>
      </c>
      <c r="C1633" s="43" t="s">
        <v>1624</v>
      </c>
      <c r="D1633" s="43">
        <v>1115170</v>
      </c>
      <c r="E1633" t="s">
        <v>293</v>
      </c>
      <c r="F1633" s="47" t="str">
        <f>+Centro_Cuenta8[[#This Row],[Codigo Centro Gestion]]&amp;" - "&amp;Centro_Cuenta8[[#This Row],[Nombre Centro Gestion]]</f>
        <v>10251204 - Edificio Vista Horizonte-Proyecto</v>
      </c>
      <c r="G1633" s="47" t="str">
        <f>+Centro_Cuenta8[[#This Row],[Código Cuenta Contable]]&amp;" - "&amp;Centro_Cuenta8[[#This Row],[Nombre de Cuenta Contable]]</f>
        <v>1115170 - Permisos Y Otros Gastos Municipales</v>
      </c>
      <c r="H1633" s="146" t="str">
        <f>+VLOOKUP(D1633,'3. Cuentas'!A:F,6,0)</f>
        <v>SI</v>
      </c>
    </row>
    <row r="1634" spans="1:8" x14ac:dyDescent="0.25">
      <c r="A1634" s="43">
        <v>10251204</v>
      </c>
      <c r="B1634" t="s">
        <v>1214</v>
      </c>
      <c r="C1634" s="43" t="s">
        <v>1624</v>
      </c>
      <c r="D1634" s="43">
        <v>1115240</v>
      </c>
      <c r="E1634" t="s">
        <v>294</v>
      </c>
      <c r="F1634" s="47" t="str">
        <f>+Centro_Cuenta8[[#This Row],[Codigo Centro Gestion]]&amp;" - "&amp;Centro_Cuenta8[[#This Row],[Nombre Centro Gestion]]</f>
        <v>10251204 - Edificio Vista Horizonte-Proyecto</v>
      </c>
      <c r="G1634" s="47" t="str">
        <f>+Centro_Cuenta8[[#This Row],[Código Cuenta Contable]]&amp;" - "&amp;Centro_Cuenta8[[#This Row],[Nombre de Cuenta Contable]]</f>
        <v>1115240 - Estudios Y Asesorias Técnicas</v>
      </c>
      <c r="H1634" s="146" t="str">
        <f>+VLOOKUP(D1634,'3. Cuentas'!A:F,6,0)</f>
        <v>SI</v>
      </c>
    </row>
    <row r="1635" spans="1:8" x14ac:dyDescent="0.25">
      <c r="A1635" s="43">
        <v>10251204</v>
      </c>
      <c r="B1635" t="s">
        <v>1214</v>
      </c>
      <c r="C1635" s="43" t="s">
        <v>1624</v>
      </c>
      <c r="D1635" s="43">
        <v>4203090</v>
      </c>
      <c r="E1635" t="s">
        <v>192</v>
      </c>
      <c r="F1635" s="47" t="str">
        <f>+Centro_Cuenta8[[#This Row],[Codigo Centro Gestion]]&amp;" - "&amp;Centro_Cuenta8[[#This Row],[Nombre Centro Gestion]]</f>
        <v>10251204 - Edificio Vista Horizonte-Proyecto</v>
      </c>
      <c r="G1635" s="47" t="str">
        <f>+Centro_Cuenta8[[#This Row],[Código Cuenta Contable]]&amp;" - "&amp;Centro_Cuenta8[[#This Row],[Nombre de Cuenta Contable]]</f>
        <v>4203090 - Gastos Legales Y Notariales Proyecto</v>
      </c>
      <c r="H1635" s="146" t="str">
        <f>+VLOOKUP(D1635,'3. Cuentas'!A:F,6,0)</f>
        <v>SI</v>
      </c>
    </row>
    <row r="1636" spans="1:8" x14ac:dyDescent="0.25">
      <c r="A1636" s="43">
        <v>10251204</v>
      </c>
      <c r="B1636" t="s">
        <v>1214</v>
      </c>
      <c r="C1636" s="43" t="s">
        <v>1624</v>
      </c>
      <c r="D1636" s="43">
        <v>4203140</v>
      </c>
      <c r="E1636" t="s">
        <v>109</v>
      </c>
      <c r="F1636" s="47" t="str">
        <f>+Centro_Cuenta8[[#This Row],[Codigo Centro Gestion]]&amp;" - "&amp;Centro_Cuenta8[[#This Row],[Nombre Centro Gestion]]</f>
        <v>10251204 - Edificio Vista Horizonte-Proyecto</v>
      </c>
      <c r="G1636" s="47" t="str">
        <f>+Centro_Cuenta8[[#This Row],[Código Cuenta Contable]]&amp;" - "&amp;Centro_Cuenta8[[#This Row],[Nombre de Cuenta Contable]]</f>
        <v>4203140 - Contribuciones</v>
      </c>
      <c r="H1636" s="146" t="str">
        <f>+VLOOKUP(D1636,'3. Cuentas'!A:F,6,0)</f>
        <v>SI</v>
      </c>
    </row>
    <row r="1637" spans="1:8" x14ac:dyDescent="0.25">
      <c r="A1637" s="43">
        <v>10251204</v>
      </c>
      <c r="B1637" t="s">
        <v>1214</v>
      </c>
      <c r="C1637" s="43" t="s">
        <v>1624</v>
      </c>
      <c r="D1637" s="43">
        <v>4203150</v>
      </c>
      <c r="E1637" t="s">
        <v>156</v>
      </c>
      <c r="F1637" s="47" t="str">
        <f>+Centro_Cuenta8[[#This Row],[Codigo Centro Gestion]]&amp;" - "&amp;Centro_Cuenta8[[#This Row],[Nombre Centro Gestion]]</f>
        <v>10251204 - Edificio Vista Horizonte-Proyecto</v>
      </c>
      <c r="G1637" s="47" t="str">
        <f>+Centro_Cuenta8[[#This Row],[Código Cuenta Contable]]&amp;" - "&amp;Centro_Cuenta8[[#This Row],[Nombre de Cuenta Contable]]</f>
        <v>4203150 - Gastos CBR</v>
      </c>
      <c r="H1637" s="146" t="str">
        <f>+VLOOKUP(D1637,'3. Cuentas'!A:F,6,0)</f>
        <v>SI</v>
      </c>
    </row>
    <row r="1638" spans="1:8" x14ac:dyDescent="0.25">
      <c r="A1638" s="43">
        <v>10251204</v>
      </c>
      <c r="B1638" t="s">
        <v>1214</v>
      </c>
      <c r="C1638" s="43" t="s">
        <v>1624</v>
      </c>
      <c r="D1638" s="43">
        <v>4203160</v>
      </c>
      <c r="E1638" t="s">
        <v>1639</v>
      </c>
      <c r="F1638" s="47" t="str">
        <f>+Centro_Cuenta8[[#This Row],[Codigo Centro Gestion]]&amp;" - "&amp;Centro_Cuenta8[[#This Row],[Nombre Centro Gestion]]</f>
        <v>10251204 - Edificio Vista Horizonte-Proyecto</v>
      </c>
      <c r="G1638" s="47" t="str">
        <f>+Centro_Cuenta8[[#This Row],[Código Cuenta Contable]]&amp;" - "&amp;Centro_Cuenta8[[#This Row],[Nombre de Cuenta Contable]]</f>
        <v>4203160 - PAPELERIA Y FOTOCOPIADO</v>
      </c>
      <c r="H1638" s="146" t="str">
        <f>+VLOOKUP(D1638,'3. Cuentas'!A:F,6,0)</f>
        <v>SI</v>
      </c>
    </row>
    <row r="1639" spans="1:8" x14ac:dyDescent="0.25">
      <c r="A1639" s="43">
        <v>10251204</v>
      </c>
      <c r="B1639" t="s">
        <v>1214</v>
      </c>
      <c r="C1639" s="43" t="s">
        <v>1624</v>
      </c>
      <c r="D1639" s="43">
        <v>4203180</v>
      </c>
      <c r="E1639" t="s">
        <v>1640</v>
      </c>
      <c r="F1639" s="47" t="str">
        <f>+Centro_Cuenta8[[#This Row],[Codigo Centro Gestion]]&amp;" - "&amp;Centro_Cuenta8[[#This Row],[Nombre Centro Gestion]]</f>
        <v>10251204 - Edificio Vista Horizonte-Proyecto</v>
      </c>
      <c r="G1639" s="47" t="str">
        <f>+Centro_Cuenta8[[#This Row],[Código Cuenta Contable]]&amp;" - "&amp;Centro_Cuenta8[[#This Row],[Nombre de Cuenta Contable]]</f>
        <v>4203180 - Otros Gastos y Aseso Proy</v>
      </c>
      <c r="H1639" s="146" t="str">
        <f>+VLOOKUP(D1639,'3. Cuentas'!A:F,6,0)</f>
        <v>SI</v>
      </c>
    </row>
    <row r="1640" spans="1:8" x14ac:dyDescent="0.25">
      <c r="A1640" s="43">
        <v>10251301</v>
      </c>
      <c r="B1640" t="s">
        <v>1215</v>
      </c>
      <c r="C1640" s="43" t="s">
        <v>1643</v>
      </c>
      <c r="D1640" s="43">
        <v>4203090</v>
      </c>
      <c r="E1640" t="s">
        <v>192</v>
      </c>
      <c r="F1640" s="47" t="str">
        <f>+Centro_Cuenta8[[#This Row],[Codigo Centro Gestion]]&amp;" - "&amp;Centro_Cuenta8[[#This Row],[Nombre Centro Gestion]]</f>
        <v>10251301 - Edificio Vista Horizonte-GAF</v>
      </c>
      <c r="G1640" s="47" t="str">
        <f>+Centro_Cuenta8[[#This Row],[Código Cuenta Contable]]&amp;" - "&amp;Centro_Cuenta8[[#This Row],[Nombre de Cuenta Contable]]</f>
        <v>4203090 - Gastos Legales Y Notariales Proyecto</v>
      </c>
      <c r="H1640" s="146" t="str">
        <f>+VLOOKUP(D1640,'3. Cuentas'!A:F,6,0)</f>
        <v>SI</v>
      </c>
    </row>
    <row r="1641" spans="1:8" x14ac:dyDescent="0.25">
      <c r="A1641" s="43">
        <v>10251301</v>
      </c>
      <c r="B1641" t="s">
        <v>1215</v>
      </c>
      <c r="C1641" s="43" t="s">
        <v>1643</v>
      </c>
      <c r="D1641" s="43">
        <v>4203140</v>
      </c>
      <c r="E1641" t="s">
        <v>109</v>
      </c>
      <c r="F1641" s="47" t="str">
        <f>+Centro_Cuenta8[[#This Row],[Codigo Centro Gestion]]&amp;" - "&amp;Centro_Cuenta8[[#This Row],[Nombre Centro Gestion]]</f>
        <v>10251301 - Edificio Vista Horizonte-GAF</v>
      </c>
      <c r="G1641" s="47" t="str">
        <f>+Centro_Cuenta8[[#This Row],[Código Cuenta Contable]]&amp;" - "&amp;Centro_Cuenta8[[#This Row],[Nombre de Cuenta Contable]]</f>
        <v>4203140 - Contribuciones</v>
      </c>
      <c r="H1641" s="146" t="str">
        <f>+VLOOKUP(D1641,'3. Cuentas'!A:F,6,0)</f>
        <v>SI</v>
      </c>
    </row>
    <row r="1642" spans="1:8" x14ac:dyDescent="0.25">
      <c r="A1642" s="43">
        <v>10251506</v>
      </c>
      <c r="B1642" t="s">
        <v>1217</v>
      </c>
      <c r="C1642" s="43" t="s">
        <v>200</v>
      </c>
      <c r="D1642" s="43">
        <v>1115100</v>
      </c>
      <c r="E1642" t="s">
        <v>292</v>
      </c>
      <c r="F1642" s="47" t="str">
        <f>+Centro_Cuenta8[[#This Row],[Codigo Centro Gestion]]&amp;" - "&amp;Centro_Cuenta8[[#This Row],[Nombre Centro Gestion]]</f>
        <v>10251506 - Edificio Vista Horizonte-Depto.Técnico</v>
      </c>
      <c r="G1642" s="47" t="str">
        <f>+Centro_Cuenta8[[#This Row],[Código Cuenta Contable]]&amp;" - "&amp;Centro_Cuenta8[[#This Row],[Nombre de Cuenta Contable]]</f>
        <v>1115100 - Proyectos Y Especialidades</v>
      </c>
      <c r="H1642" s="146" t="str">
        <f>+VLOOKUP(D1642,'3. Cuentas'!A:F,6,0)</f>
        <v>SI</v>
      </c>
    </row>
    <row r="1643" spans="1:8" x14ac:dyDescent="0.25">
      <c r="A1643" s="43">
        <v>10252102</v>
      </c>
      <c r="B1643" t="s">
        <v>1218</v>
      </c>
      <c r="C1643" s="43" t="s">
        <v>1617</v>
      </c>
      <c r="D1643" s="43">
        <v>4204010</v>
      </c>
      <c r="E1643" t="s">
        <v>313</v>
      </c>
      <c r="F1643" s="47" t="str">
        <f>+Centro_Cuenta8[[#This Row],[Codigo Centro Gestion]]&amp;" - "&amp;Centro_Cuenta8[[#This Row],[Nombre Centro Gestion]]</f>
        <v>10252102 - Edificio Castillo Urizar-Marketing</v>
      </c>
      <c r="G1643" s="47" t="str">
        <f>+Centro_Cuenta8[[#This Row],[Código Cuenta Contable]]&amp;" - "&amp;Centro_Cuenta8[[#This Row],[Nombre de Cuenta Contable]]</f>
        <v>4204010 - Publicidad Punto Venta</v>
      </c>
      <c r="H1643" s="146" t="str">
        <f>+VLOOKUP(D1643,'3. Cuentas'!A:F,6,0)</f>
        <v>SI</v>
      </c>
    </row>
    <row r="1644" spans="1:8" x14ac:dyDescent="0.25">
      <c r="A1644" s="43">
        <v>10252102</v>
      </c>
      <c r="B1644" t="s">
        <v>1218</v>
      </c>
      <c r="C1644" s="43" t="s">
        <v>1617</v>
      </c>
      <c r="D1644" s="43">
        <v>4204021</v>
      </c>
      <c r="E1644" t="s">
        <v>329</v>
      </c>
      <c r="F1644" s="47" t="str">
        <f>+Centro_Cuenta8[[#This Row],[Codigo Centro Gestion]]&amp;" - "&amp;Centro_Cuenta8[[#This Row],[Nombre Centro Gestion]]</f>
        <v>10252102 - Edificio Castillo Urizar-Marketing</v>
      </c>
      <c r="G1644" s="47" t="str">
        <f>+Centro_Cuenta8[[#This Row],[Código Cuenta Contable]]&amp;" - "&amp;Centro_Cuenta8[[#This Row],[Nombre de Cuenta Contable]]</f>
        <v>4204021 - Publicidad Ferias Y Eventos</v>
      </c>
      <c r="H1644" s="146" t="str">
        <f>+VLOOKUP(D1644,'3. Cuentas'!A:F,6,0)</f>
        <v>SI</v>
      </c>
    </row>
    <row r="1645" spans="1:8" x14ac:dyDescent="0.25">
      <c r="A1645" s="43">
        <v>10252103</v>
      </c>
      <c r="B1645" t="s">
        <v>1219</v>
      </c>
      <c r="C1645" s="43" t="s">
        <v>1618</v>
      </c>
      <c r="D1645" s="43">
        <v>4203060</v>
      </c>
      <c r="E1645" t="s">
        <v>321</v>
      </c>
      <c r="F1645" s="47" t="str">
        <f>+Centro_Cuenta8[[#This Row],[Codigo Centro Gestion]]&amp;" - "&amp;Centro_Cuenta8[[#This Row],[Nombre Centro Gestion]]</f>
        <v>10252103 - Edificio Castillo Urizar-Operaciones</v>
      </c>
      <c r="G1645" s="47" t="str">
        <f>+Centro_Cuenta8[[#This Row],[Código Cuenta Contable]]&amp;" - "&amp;Centro_Cuenta8[[#This Row],[Nombre de Cuenta Contable]]</f>
        <v>4203060 - Gastos Operacionales De Clientes</v>
      </c>
      <c r="H1645" s="146" t="str">
        <f>+VLOOKUP(D1645,'3. Cuentas'!A:F,6,0)</f>
        <v>SI</v>
      </c>
    </row>
    <row r="1646" spans="1:8" x14ac:dyDescent="0.25">
      <c r="A1646" s="43">
        <v>10252103</v>
      </c>
      <c r="B1646" t="s">
        <v>1219</v>
      </c>
      <c r="C1646" s="43" t="s">
        <v>1618</v>
      </c>
      <c r="D1646" s="43">
        <v>4203090</v>
      </c>
      <c r="E1646" t="s">
        <v>192</v>
      </c>
      <c r="F1646" s="47" t="str">
        <f>+Centro_Cuenta8[[#This Row],[Codigo Centro Gestion]]&amp;" - "&amp;Centro_Cuenta8[[#This Row],[Nombre Centro Gestion]]</f>
        <v>10252103 - Edificio Castillo Urizar-Operaciones</v>
      </c>
      <c r="G1646" s="47" t="str">
        <f>+Centro_Cuenta8[[#This Row],[Código Cuenta Contable]]&amp;" - "&amp;Centro_Cuenta8[[#This Row],[Nombre de Cuenta Contable]]</f>
        <v>4203090 - Gastos Legales Y Notariales Proyecto</v>
      </c>
      <c r="H1646" s="146" t="str">
        <f>+VLOOKUP(D1646,'3. Cuentas'!A:F,6,0)</f>
        <v>SI</v>
      </c>
    </row>
    <row r="1647" spans="1:8" x14ac:dyDescent="0.25">
      <c r="A1647" s="43">
        <v>10252104</v>
      </c>
      <c r="B1647" t="s">
        <v>1220</v>
      </c>
      <c r="C1647" s="43" t="s">
        <v>90</v>
      </c>
      <c r="D1647" s="43">
        <v>1110040</v>
      </c>
      <c r="E1647" t="s">
        <v>1505</v>
      </c>
      <c r="F1647" s="47" t="str">
        <f>+Centro_Cuenta8[[#This Row],[Codigo Centro Gestion]]&amp;" - "&amp;Centro_Cuenta8[[#This Row],[Nombre Centro Gestion]]</f>
        <v>10252104 - Edificio Castillo Urizar-Ventas</v>
      </c>
      <c r="G1647" s="47" t="str">
        <f>+Centro_Cuenta8[[#This Row],[Código Cuenta Contable]]&amp;" - "&amp;Centro_Cuenta8[[#This Row],[Nombre de Cuenta Contable]]</f>
        <v>1110040 - Garantía Pagadas</v>
      </c>
      <c r="H1647" s="146" t="str">
        <f>+VLOOKUP(D1647,'3. Cuentas'!A:F,6,0)</f>
        <v>SI</v>
      </c>
    </row>
    <row r="1648" spans="1:8" x14ac:dyDescent="0.25">
      <c r="A1648" s="43">
        <v>10252104</v>
      </c>
      <c r="B1648" t="s">
        <v>1220</v>
      </c>
      <c r="C1648" s="43" t="s">
        <v>90</v>
      </c>
      <c r="D1648" s="43">
        <v>4202003</v>
      </c>
      <c r="E1648" t="s">
        <v>106</v>
      </c>
      <c r="F1648" s="47" t="str">
        <f>+Centro_Cuenta8[[#This Row],[Codigo Centro Gestion]]&amp;" - "&amp;Centro_Cuenta8[[#This Row],[Nombre Centro Gestion]]</f>
        <v>10252104 - Edificio Castillo Urizar-Ventas</v>
      </c>
      <c r="G1648" s="47" t="str">
        <f>+Centro_Cuenta8[[#This Row],[Código Cuenta Contable]]&amp;" - "&amp;Centro_Cuenta8[[#This Row],[Nombre de Cuenta Contable]]</f>
        <v>4202003 - Serv.Basic.Luz.Agua.Tel Of.C</v>
      </c>
      <c r="H1648" s="146" t="str">
        <f>+VLOOKUP(D1648,'3. Cuentas'!A:F,6,0)</f>
        <v>SI</v>
      </c>
    </row>
    <row r="1649" spans="1:8" x14ac:dyDescent="0.25">
      <c r="A1649" s="43">
        <v>10252104</v>
      </c>
      <c r="B1649" t="s">
        <v>1220</v>
      </c>
      <c r="C1649" s="43" t="s">
        <v>90</v>
      </c>
      <c r="D1649" s="43">
        <v>4202010</v>
      </c>
      <c r="E1649" t="s">
        <v>87</v>
      </c>
      <c r="F1649" s="47" t="str">
        <f>+Centro_Cuenta8[[#This Row],[Codigo Centro Gestion]]&amp;" - "&amp;Centro_Cuenta8[[#This Row],[Nombre Centro Gestion]]</f>
        <v>10252104 - Edificio Castillo Urizar-Ventas</v>
      </c>
      <c r="G1649" s="47" t="str">
        <f>+Centro_Cuenta8[[#This Row],[Código Cuenta Contable]]&amp;" - "&amp;Centro_Cuenta8[[#This Row],[Nombre de Cuenta Contable]]</f>
        <v>4202010 - Artic. Ofic. Fotocop.Papelería</v>
      </c>
      <c r="H1649" s="146" t="str">
        <f>+VLOOKUP(D1649,'3. Cuentas'!A:F,6,0)</f>
        <v>SI</v>
      </c>
    </row>
    <row r="1650" spans="1:8" x14ac:dyDescent="0.25">
      <c r="A1650" s="43">
        <v>10252104</v>
      </c>
      <c r="B1650" t="s">
        <v>1220</v>
      </c>
      <c r="C1650" s="43" t="s">
        <v>90</v>
      </c>
      <c r="D1650" s="43">
        <v>4202019</v>
      </c>
      <c r="E1650" t="s">
        <v>81</v>
      </c>
      <c r="F1650" s="47" t="str">
        <f>+Centro_Cuenta8[[#This Row],[Codigo Centro Gestion]]&amp;" - "&amp;Centro_Cuenta8[[#This Row],[Nombre Centro Gestion]]</f>
        <v>10252104 - Edificio Castillo Urizar-Ventas</v>
      </c>
      <c r="G1650" s="47" t="str">
        <f>+Centro_Cuenta8[[#This Row],[Código Cuenta Contable]]&amp;" - "&amp;Centro_Cuenta8[[#This Row],[Nombre de Cuenta Contable]]</f>
        <v>4202019 - Gasto General Oficina</v>
      </c>
      <c r="H1650" s="146" t="str">
        <f>+VLOOKUP(D1650,'3. Cuentas'!A:F,6,0)</f>
        <v>SI</v>
      </c>
    </row>
    <row r="1651" spans="1:8" x14ac:dyDescent="0.25">
      <c r="A1651" s="43">
        <v>10252104</v>
      </c>
      <c r="B1651" t="s">
        <v>1220</v>
      </c>
      <c r="C1651" s="43" t="s">
        <v>90</v>
      </c>
      <c r="D1651" s="43">
        <v>4202023</v>
      </c>
      <c r="E1651" t="s">
        <v>82</v>
      </c>
      <c r="F1651" s="47" t="str">
        <f>+Centro_Cuenta8[[#This Row],[Codigo Centro Gestion]]&amp;" - "&amp;Centro_Cuenta8[[#This Row],[Nombre Centro Gestion]]</f>
        <v>10252104 - Edificio Castillo Urizar-Ventas</v>
      </c>
      <c r="G1651" s="47" t="str">
        <f>+Centro_Cuenta8[[#This Row],[Código Cuenta Contable]]&amp;" - "&amp;Centro_Cuenta8[[#This Row],[Nombre de Cuenta Contable]]</f>
        <v>4202023 - Honorarios Por Asesorías</v>
      </c>
      <c r="H1651" s="146" t="str">
        <f>+VLOOKUP(D1651,'3. Cuentas'!A:F,6,0)</f>
        <v>SI</v>
      </c>
    </row>
    <row r="1652" spans="1:8" x14ac:dyDescent="0.25">
      <c r="A1652" s="43">
        <v>10252104</v>
      </c>
      <c r="B1652" t="s">
        <v>1220</v>
      </c>
      <c r="C1652" s="43" t="s">
        <v>90</v>
      </c>
      <c r="D1652" s="43">
        <v>4202029</v>
      </c>
      <c r="E1652" t="s">
        <v>83</v>
      </c>
      <c r="F1652" s="47" t="str">
        <f>+Centro_Cuenta8[[#This Row],[Codigo Centro Gestion]]&amp;" - "&amp;Centro_Cuenta8[[#This Row],[Nombre Centro Gestion]]</f>
        <v>10252104 - Edificio Castillo Urizar-Ventas</v>
      </c>
      <c r="G1652" s="47" t="str">
        <f>+Centro_Cuenta8[[#This Row],[Código Cuenta Contable]]&amp;" - "&amp;Centro_Cuenta8[[#This Row],[Nombre de Cuenta Contable]]</f>
        <v>4202029 - Insumos Y Gastos Informáticos</v>
      </c>
      <c r="H1652" s="146" t="str">
        <f>+VLOOKUP(D1652,'3. Cuentas'!A:F,6,0)</f>
        <v>SI</v>
      </c>
    </row>
    <row r="1653" spans="1:8" x14ac:dyDescent="0.25">
      <c r="A1653" s="43">
        <v>10252104</v>
      </c>
      <c r="B1653" t="s">
        <v>1220</v>
      </c>
      <c r="C1653" s="43" t="s">
        <v>90</v>
      </c>
      <c r="D1653" s="43">
        <v>4204021</v>
      </c>
      <c r="E1653" t="s">
        <v>329</v>
      </c>
      <c r="F1653" s="47" t="str">
        <f>+Centro_Cuenta8[[#This Row],[Codigo Centro Gestion]]&amp;" - "&amp;Centro_Cuenta8[[#This Row],[Nombre Centro Gestion]]</f>
        <v>10252104 - Edificio Castillo Urizar-Ventas</v>
      </c>
      <c r="G1653" s="47" t="str">
        <f>+Centro_Cuenta8[[#This Row],[Código Cuenta Contable]]&amp;" - "&amp;Centro_Cuenta8[[#This Row],[Nombre de Cuenta Contable]]</f>
        <v>4204021 - Publicidad Ferias Y Eventos</v>
      </c>
      <c r="H1653" s="146" t="str">
        <f>+VLOOKUP(D1653,'3. Cuentas'!A:F,6,0)</f>
        <v>SI</v>
      </c>
    </row>
    <row r="1654" spans="1:8" x14ac:dyDescent="0.25">
      <c r="A1654" s="43">
        <v>10252105</v>
      </c>
      <c r="B1654" t="s">
        <v>1221</v>
      </c>
      <c r="C1654" s="43" t="s">
        <v>1622</v>
      </c>
      <c r="D1654" s="43">
        <v>4203020</v>
      </c>
      <c r="E1654" t="s">
        <v>295</v>
      </c>
      <c r="F1654" s="47" t="str">
        <f>+Centro_Cuenta8[[#This Row],[Codigo Centro Gestion]]&amp;" - "&amp;Centro_Cuenta8[[#This Row],[Nombre Centro Gestion]]</f>
        <v>10252105 - Edificio Castillo Urizar-Clientes</v>
      </c>
      <c r="G1654" s="47" t="str">
        <f>+Centro_Cuenta8[[#This Row],[Código Cuenta Contable]]&amp;" - "&amp;Centro_Cuenta8[[#This Row],[Nombre de Cuenta Contable]]</f>
        <v>4203020 - Mant. y Consum. Viv Stock</v>
      </c>
      <c r="H1654" s="146" t="str">
        <f>+VLOOKUP(D1654,'3. Cuentas'!A:F,6,0)</f>
        <v>SI</v>
      </c>
    </row>
    <row r="1655" spans="1:8" x14ac:dyDescent="0.25">
      <c r="A1655" s="43">
        <v>10252105</v>
      </c>
      <c r="B1655" t="s">
        <v>1221</v>
      </c>
      <c r="C1655" s="43" t="s">
        <v>1622</v>
      </c>
      <c r="D1655" s="43">
        <v>4203120</v>
      </c>
      <c r="E1655" t="s">
        <v>108</v>
      </c>
      <c r="F1655" s="47" t="str">
        <f>+Centro_Cuenta8[[#This Row],[Codigo Centro Gestion]]&amp;" - "&amp;Centro_Cuenta8[[#This Row],[Nombre Centro Gestion]]</f>
        <v>10252105 - Edificio Castillo Urizar-Clientes</v>
      </c>
      <c r="G1655" s="47" t="str">
        <f>+Centro_Cuenta8[[#This Row],[Código Cuenta Contable]]&amp;" - "&amp;Centro_Cuenta8[[#This Row],[Nombre de Cuenta Contable]]</f>
        <v>4203120 - Gastos Comunes</v>
      </c>
      <c r="H1655" s="146" t="str">
        <f>+VLOOKUP(D1655,'3. Cuentas'!A:F,6,0)</f>
        <v>SI</v>
      </c>
    </row>
    <row r="1656" spans="1:8" x14ac:dyDescent="0.25">
      <c r="A1656" s="43">
        <v>10252105</v>
      </c>
      <c r="B1656" t="s">
        <v>1221</v>
      </c>
      <c r="C1656" s="43" t="s">
        <v>1622</v>
      </c>
      <c r="D1656" s="43">
        <v>4203140</v>
      </c>
      <c r="E1656" t="s">
        <v>109</v>
      </c>
      <c r="F1656" s="47" t="str">
        <f>+Centro_Cuenta8[[#This Row],[Codigo Centro Gestion]]&amp;" - "&amp;Centro_Cuenta8[[#This Row],[Nombre Centro Gestion]]</f>
        <v>10252105 - Edificio Castillo Urizar-Clientes</v>
      </c>
      <c r="G1656" s="47" t="str">
        <f>+Centro_Cuenta8[[#This Row],[Código Cuenta Contable]]&amp;" - "&amp;Centro_Cuenta8[[#This Row],[Nombre de Cuenta Contable]]</f>
        <v>4203140 - Contribuciones</v>
      </c>
      <c r="H1656" s="146" t="str">
        <f>+VLOOKUP(D1656,'3. Cuentas'!A:F,6,0)</f>
        <v>SI</v>
      </c>
    </row>
    <row r="1657" spans="1:8" x14ac:dyDescent="0.25">
      <c r="A1657" s="43">
        <v>10252204</v>
      </c>
      <c r="B1657" t="s">
        <v>1222</v>
      </c>
      <c r="C1657" s="43" t="s">
        <v>1624</v>
      </c>
      <c r="D1657" s="43">
        <v>1103045</v>
      </c>
      <c r="E1657" t="s">
        <v>323</v>
      </c>
      <c r="F1657" s="47" t="str">
        <f>+Centro_Cuenta8[[#This Row],[Codigo Centro Gestion]]&amp;" - "&amp;Centro_Cuenta8[[#This Row],[Nombre Centro Gestion]]</f>
        <v>10252204 - Edificio Castillo Urizar-Proyecto</v>
      </c>
      <c r="G1657" s="47" t="str">
        <f>+Centro_Cuenta8[[#This Row],[Código Cuenta Contable]]&amp;" - "&amp;Centro_Cuenta8[[#This Row],[Nombre de Cuenta Contable]]</f>
        <v>1103045 - Aportes reembolsables (electricidad y agua)</v>
      </c>
      <c r="H1657" s="146" t="str">
        <f>+VLOOKUP(D1657,'3. Cuentas'!A:F,6,0)</f>
        <v>SI</v>
      </c>
    </row>
    <row r="1658" spans="1:8" x14ac:dyDescent="0.25">
      <c r="A1658" s="43">
        <v>10252204</v>
      </c>
      <c r="B1658" t="s">
        <v>1222</v>
      </c>
      <c r="C1658" s="43" t="s">
        <v>1624</v>
      </c>
      <c r="D1658" s="43">
        <v>1109020</v>
      </c>
      <c r="E1658" t="s">
        <v>302</v>
      </c>
      <c r="F1658" s="47" t="str">
        <f>+Centro_Cuenta8[[#This Row],[Codigo Centro Gestion]]&amp;" - "&amp;Centro_Cuenta8[[#This Row],[Nombre Centro Gestion]]</f>
        <v>10252204 - Edificio Castillo Urizar-Proyecto</v>
      </c>
      <c r="G1658" s="47" t="str">
        <f>+Centro_Cuenta8[[#This Row],[Código Cuenta Contable]]&amp;" - "&amp;Centro_Cuenta8[[#This Row],[Nombre de Cuenta Contable]]</f>
        <v>1109020 - Mobiliario</v>
      </c>
      <c r="H1658" s="146" t="str">
        <f>+VLOOKUP(D1658,'3. Cuentas'!A:F,6,0)</f>
        <v>SI</v>
      </c>
    </row>
    <row r="1659" spans="1:8" x14ac:dyDescent="0.25">
      <c r="A1659" s="43">
        <v>10252204</v>
      </c>
      <c r="B1659" t="s">
        <v>1222</v>
      </c>
      <c r="C1659" s="43" t="s">
        <v>1624</v>
      </c>
      <c r="D1659" s="43">
        <v>1110040</v>
      </c>
      <c r="E1659" t="s">
        <v>1505</v>
      </c>
      <c r="F1659" s="47" t="str">
        <f>+Centro_Cuenta8[[#This Row],[Codigo Centro Gestion]]&amp;" - "&amp;Centro_Cuenta8[[#This Row],[Nombre Centro Gestion]]</f>
        <v>10252204 - Edificio Castillo Urizar-Proyecto</v>
      </c>
      <c r="G1659" s="47" t="str">
        <f>+Centro_Cuenta8[[#This Row],[Código Cuenta Contable]]&amp;" - "&amp;Centro_Cuenta8[[#This Row],[Nombre de Cuenta Contable]]</f>
        <v>1110040 - Garantía Pagadas</v>
      </c>
      <c r="H1659" s="146" t="str">
        <f>+VLOOKUP(D1659,'3. Cuentas'!A:F,6,0)</f>
        <v>SI</v>
      </c>
    </row>
    <row r="1660" spans="1:8" x14ac:dyDescent="0.25">
      <c r="A1660" s="43">
        <v>10252204</v>
      </c>
      <c r="B1660" t="s">
        <v>1222</v>
      </c>
      <c r="C1660" s="43" t="s">
        <v>1624</v>
      </c>
      <c r="D1660" s="43">
        <v>1115040</v>
      </c>
      <c r="E1660" t="s">
        <v>291</v>
      </c>
      <c r="F1660" s="47" t="str">
        <f>+Centro_Cuenta8[[#This Row],[Codigo Centro Gestion]]&amp;" - "&amp;Centro_Cuenta8[[#This Row],[Nombre Centro Gestion]]</f>
        <v>10252204 - Edificio Castillo Urizar-Proyecto</v>
      </c>
      <c r="G1660" s="47" t="str">
        <f>+Centro_Cuenta8[[#This Row],[Código Cuenta Contable]]&amp;" - "&amp;Centro_Cuenta8[[#This Row],[Nombre de Cuenta Contable]]</f>
        <v>1115040 - Saneamiento De Terreno</v>
      </c>
      <c r="H1660" s="146" t="str">
        <f>+VLOOKUP(D1660,'3. Cuentas'!A:F,6,0)</f>
        <v>SI</v>
      </c>
    </row>
    <row r="1661" spans="1:8" x14ac:dyDescent="0.25">
      <c r="A1661" s="43">
        <v>10252204</v>
      </c>
      <c r="B1661" t="s">
        <v>1222</v>
      </c>
      <c r="C1661" s="43" t="s">
        <v>1624</v>
      </c>
      <c r="D1661" s="43">
        <v>1115050</v>
      </c>
      <c r="E1661" t="s">
        <v>1628</v>
      </c>
      <c r="F1661" s="47" t="str">
        <f>+Centro_Cuenta8[[#This Row],[Codigo Centro Gestion]]&amp;" - "&amp;Centro_Cuenta8[[#This Row],[Nombre Centro Gestion]]</f>
        <v>10252204 - Edificio Castillo Urizar-Proyecto</v>
      </c>
      <c r="G1661" s="47" t="str">
        <f>+Centro_Cuenta8[[#This Row],[Código Cuenta Contable]]&amp;" - "&amp;Centro_Cuenta8[[#This Row],[Nombre de Cuenta Contable]]</f>
        <v>1115050 - Demolición</v>
      </c>
      <c r="H1661" s="146" t="str">
        <f>+VLOOKUP(D1661,'3. Cuentas'!A:F,6,0)</f>
        <v>SI</v>
      </c>
    </row>
    <row r="1662" spans="1:8" x14ac:dyDescent="0.25">
      <c r="A1662" s="43">
        <v>10252204</v>
      </c>
      <c r="B1662" t="s">
        <v>1222</v>
      </c>
      <c r="C1662" s="43" t="s">
        <v>1624</v>
      </c>
      <c r="D1662" s="43">
        <v>1115100</v>
      </c>
      <c r="E1662" t="s">
        <v>292</v>
      </c>
      <c r="F1662" s="47" t="str">
        <f>+Centro_Cuenta8[[#This Row],[Codigo Centro Gestion]]&amp;" - "&amp;Centro_Cuenta8[[#This Row],[Nombre Centro Gestion]]</f>
        <v>10252204 - Edificio Castillo Urizar-Proyecto</v>
      </c>
      <c r="G1662" s="47" t="str">
        <f>+Centro_Cuenta8[[#This Row],[Código Cuenta Contable]]&amp;" - "&amp;Centro_Cuenta8[[#This Row],[Nombre de Cuenta Contable]]</f>
        <v>1115100 - Proyectos Y Especialidades</v>
      </c>
      <c r="H1662" s="146" t="str">
        <f>+VLOOKUP(D1662,'3. Cuentas'!A:F,6,0)</f>
        <v>SI</v>
      </c>
    </row>
    <row r="1663" spans="1:8" x14ac:dyDescent="0.25">
      <c r="A1663" s="43">
        <v>10252204</v>
      </c>
      <c r="B1663" t="s">
        <v>1222</v>
      </c>
      <c r="C1663" s="43" t="s">
        <v>1624</v>
      </c>
      <c r="D1663" s="43">
        <v>1115120</v>
      </c>
      <c r="E1663" t="s">
        <v>1633</v>
      </c>
      <c r="F1663" s="47" t="str">
        <f>+Centro_Cuenta8[[#This Row],[Codigo Centro Gestion]]&amp;" - "&amp;Centro_Cuenta8[[#This Row],[Nombre Centro Gestion]]</f>
        <v>10252204 - Edificio Castillo Urizar-Proyecto</v>
      </c>
      <c r="G1663" s="47" t="str">
        <f>+Centro_Cuenta8[[#This Row],[Código Cuenta Contable]]&amp;" - "&amp;Centro_Cuenta8[[#This Row],[Nombre de Cuenta Contable]]</f>
        <v>1115120 - Instalación Empalmes</v>
      </c>
      <c r="H1663" s="146" t="str">
        <f>+VLOOKUP(D1663,'3. Cuentas'!A:F,6,0)</f>
        <v>SI</v>
      </c>
    </row>
    <row r="1664" spans="1:8" x14ac:dyDescent="0.25">
      <c r="A1664" s="43">
        <v>10252204</v>
      </c>
      <c r="B1664" t="s">
        <v>1222</v>
      </c>
      <c r="C1664" s="43" t="s">
        <v>1624</v>
      </c>
      <c r="D1664" s="43">
        <v>1115170</v>
      </c>
      <c r="E1664" t="s">
        <v>293</v>
      </c>
      <c r="F1664" s="47" t="str">
        <f>+Centro_Cuenta8[[#This Row],[Codigo Centro Gestion]]&amp;" - "&amp;Centro_Cuenta8[[#This Row],[Nombre Centro Gestion]]</f>
        <v>10252204 - Edificio Castillo Urizar-Proyecto</v>
      </c>
      <c r="G1664" s="47" t="str">
        <f>+Centro_Cuenta8[[#This Row],[Código Cuenta Contable]]&amp;" - "&amp;Centro_Cuenta8[[#This Row],[Nombre de Cuenta Contable]]</f>
        <v>1115170 - Permisos Y Otros Gastos Municipales</v>
      </c>
      <c r="H1664" s="146" t="str">
        <f>+VLOOKUP(D1664,'3. Cuentas'!A:F,6,0)</f>
        <v>SI</v>
      </c>
    </row>
    <row r="1665" spans="1:8" x14ac:dyDescent="0.25">
      <c r="A1665" s="43">
        <v>10252204</v>
      </c>
      <c r="B1665" t="s">
        <v>1222</v>
      </c>
      <c r="C1665" s="43" t="s">
        <v>1624</v>
      </c>
      <c r="D1665" s="43">
        <v>1115240</v>
      </c>
      <c r="E1665" t="s">
        <v>294</v>
      </c>
      <c r="F1665" s="47" t="str">
        <f>+Centro_Cuenta8[[#This Row],[Codigo Centro Gestion]]&amp;" - "&amp;Centro_Cuenta8[[#This Row],[Nombre Centro Gestion]]</f>
        <v>10252204 - Edificio Castillo Urizar-Proyecto</v>
      </c>
      <c r="G1665" s="47" t="str">
        <f>+Centro_Cuenta8[[#This Row],[Código Cuenta Contable]]&amp;" - "&amp;Centro_Cuenta8[[#This Row],[Nombre de Cuenta Contable]]</f>
        <v>1115240 - Estudios Y Asesorias Técnicas</v>
      </c>
      <c r="H1665" s="146" t="str">
        <f>+VLOOKUP(D1665,'3. Cuentas'!A:F,6,0)</f>
        <v>SI</v>
      </c>
    </row>
    <row r="1666" spans="1:8" x14ac:dyDescent="0.25">
      <c r="A1666" s="43">
        <v>10252204</v>
      </c>
      <c r="B1666" t="s">
        <v>1222</v>
      </c>
      <c r="C1666" s="43" t="s">
        <v>1624</v>
      </c>
      <c r="D1666" s="43">
        <v>4203090</v>
      </c>
      <c r="E1666" t="s">
        <v>192</v>
      </c>
      <c r="F1666" s="47" t="str">
        <f>+Centro_Cuenta8[[#This Row],[Codigo Centro Gestion]]&amp;" - "&amp;Centro_Cuenta8[[#This Row],[Nombre Centro Gestion]]</f>
        <v>10252204 - Edificio Castillo Urizar-Proyecto</v>
      </c>
      <c r="G1666" s="47" t="str">
        <f>+Centro_Cuenta8[[#This Row],[Código Cuenta Contable]]&amp;" - "&amp;Centro_Cuenta8[[#This Row],[Nombre de Cuenta Contable]]</f>
        <v>4203090 - Gastos Legales Y Notariales Proyecto</v>
      </c>
      <c r="H1666" s="146" t="str">
        <f>+VLOOKUP(D1666,'3. Cuentas'!A:F,6,0)</f>
        <v>SI</v>
      </c>
    </row>
    <row r="1667" spans="1:8" x14ac:dyDescent="0.25">
      <c r="A1667" s="43">
        <v>10252204</v>
      </c>
      <c r="B1667" t="s">
        <v>1222</v>
      </c>
      <c r="C1667" s="43" t="s">
        <v>1624</v>
      </c>
      <c r="D1667" s="43">
        <v>4203140</v>
      </c>
      <c r="E1667" t="s">
        <v>109</v>
      </c>
      <c r="F1667" s="47" t="str">
        <f>+Centro_Cuenta8[[#This Row],[Codigo Centro Gestion]]&amp;" - "&amp;Centro_Cuenta8[[#This Row],[Nombre Centro Gestion]]</f>
        <v>10252204 - Edificio Castillo Urizar-Proyecto</v>
      </c>
      <c r="G1667" s="47" t="str">
        <f>+Centro_Cuenta8[[#This Row],[Código Cuenta Contable]]&amp;" - "&amp;Centro_Cuenta8[[#This Row],[Nombre de Cuenta Contable]]</f>
        <v>4203140 - Contribuciones</v>
      </c>
      <c r="H1667" s="146" t="str">
        <f>+VLOOKUP(D1667,'3. Cuentas'!A:F,6,0)</f>
        <v>SI</v>
      </c>
    </row>
    <row r="1668" spans="1:8" x14ac:dyDescent="0.25">
      <c r="A1668" s="43">
        <v>10252204</v>
      </c>
      <c r="B1668" t="s">
        <v>1222</v>
      </c>
      <c r="C1668" s="43" t="s">
        <v>1624</v>
      </c>
      <c r="D1668" s="43">
        <v>4203150</v>
      </c>
      <c r="E1668" t="s">
        <v>156</v>
      </c>
      <c r="F1668" s="47" t="str">
        <f>+Centro_Cuenta8[[#This Row],[Codigo Centro Gestion]]&amp;" - "&amp;Centro_Cuenta8[[#This Row],[Nombre Centro Gestion]]</f>
        <v>10252204 - Edificio Castillo Urizar-Proyecto</v>
      </c>
      <c r="G1668" s="47" t="str">
        <f>+Centro_Cuenta8[[#This Row],[Código Cuenta Contable]]&amp;" - "&amp;Centro_Cuenta8[[#This Row],[Nombre de Cuenta Contable]]</f>
        <v>4203150 - Gastos CBR</v>
      </c>
      <c r="H1668" s="146" t="str">
        <f>+VLOOKUP(D1668,'3. Cuentas'!A:F,6,0)</f>
        <v>SI</v>
      </c>
    </row>
    <row r="1669" spans="1:8" x14ac:dyDescent="0.25">
      <c r="A1669" s="43">
        <v>10252204</v>
      </c>
      <c r="B1669" t="s">
        <v>1222</v>
      </c>
      <c r="C1669" s="43" t="s">
        <v>1624</v>
      </c>
      <c r="D1669" s="43">
        <v>4203160</v>
      </c>
      <c r="E1669" t="s">
        <v>1639</v>
      </c>
      <c r="F1669" s="47" t="str">
        <f>+Centro_Cuenta8[[#This Row],[Codigo Centro Gestion]]&amp;" - "&amp;Centro_Cuenta8[[#This Row],[Nombre Centro Gestion]]</f>
        <v>10252204 - Edificio Castillo Urizar-Proyecto</v>
      </c>
      <c r="G1669" s="47" t="str">
        <f>+Centro_Cuenta8[[#This Row],[Código Cuenta Contable]]&amp;" - "&amp;Centro_Cuenta8[[#This Row],[Nombre de Cuenta Contable]]</f>
        <v>4203160 - PAPELERIA Y FOTOCOPIADO</v>
      </c>
      <c r="H1669" s="146" t="str">
        <f>+VLOOKUP(D1669,'3. Cuentas'!A:F,6,0)</f>
        <v>SI</v>
      </c>
    </row>
    <row r="1670" spans="1:8" x14ac:dyDescent="0.25">
      <c r="A1670" s="43">
        <v>10252204</v>
      </c>
      <c r="B1670" t="s">
        <v>1222</v>
      </c>
      <c r="C1670" s="43" t="s">
        <v>1624</v>
      </c>
      <c r="D1670" s="43">
        <v>4203180</v>
      </c>
      <c r="E1670" t="s">
        <v>1640</v>
      </c>
      <c r="F1670" s="47" t="str">
        <f>+Centro_Cuenta8[[#This Row],[Codigo Centro Gestion]]&amp;" - "&amp;Centro_Cuenta8[[#This Row],[Nombre Centro Gestion]]</f>
        <v>10252204 - Edificio Castillo Urizar-Proyecto</v>
      </c>
      <c r="G1670" s="47" t="str">
        <f>+Centro_Cuenta8[[#This Row],[Código Cuenta Contable]]&amp;" - "&amp;Centro_Cuenta8[[#This Row],[Nombre de Cuenta Contable]]</f>
        <v>4203180 - Otros Gastos y Aseso Proy</v>
      </c>
      <c r="H1670" s="146" t="str">
        <f>+VLOOKUP(D1670,'3. Cuentas'!A:F,6,0)</f>
        <v>SI</v>
      </c>
    </row>
    <row r="1671" spans="1:8" x14ac:dyDescent="0.25">
      <c r="A1671" s="43">
        <v>10252301</v>
      </c>
      <c r="B1671" t="s">
        <v>1223</v>
      </c>
      <c r="C1671" s="43" t="s">
        <v>1643</v>
      </c>
      <c r="D1671" s="43">
        <v>4203090</v>
      </c>
      <c r="E1671" t="s">
        <v>192</v>
      </c>
      <c r="F1671" s="47" t="str">
        <f>+Centro_Cuenta8[[#This Row],[Codigo Centro Gestion]]&amp;" - "&amp;Centro_Cuenta8[[#This Row],[Nombre Centro Gestion]]</f>
        <v>10252301 - Edificio Castillo Urizar-GAF</v>
      </c>
      <c r="G1671" s="47" t="str">
        <f>+Centro_Cuenta8[[#This Row],[Código Cuenta Contable]]&amp;" - "&amp;Centro_Cuenta8[[#This Row],[Nombre de Cuenta Contable]]</f>
        <v>4203090 - Gastos Legales Y Notariales Proyecto</v>
      </c>
      <c r="H1671" s="146" t="str">
        <f>+VLOOKUP(D1671,'3. Cuentas'!A:F,6,0)</f>
        <v>SI</v>
      </c>
    </row>
    <row r="1672" spans="1:8" x14ac:dyDescent="0.25">
      <c r="A1672" s="43">
        <v>10252301</v>
      </c>
      <c r="B1672" t="s">
        <v>1223</v>
      </c>
      <c r="C1672" s="43" t="s">
        <v>1643</v>
      </c>
      <c r="D1672" s="43">
        <v>4203140</v>
      </c>
      <c r="E1672" t="s">
        <v>109</v>
      </c>
      <c r="F1672" s="47" t="str">
        <f>+Centro_Cuenta8[[#This Row],[Codigo Centro Gestion]]&amp;" - "&amp;Centro_Cuenta8[[#This Row],[Nombre Centro Gestion]]</f>
        <v>10252301 - Edificio Castillo Urizar-GAF</v>
      </c>
      <c r="G1672" s="47" t="str">
        <f>+Centro_Cuenta8[[#This Row],[Código Cuenta Contable]]&amp;" - "&amp;Centro_Cuenta8[[#This Row],[Nombre de Cuenta Contable]]</f>
        <v>4203140 - Contribuciones</v>
      </c>
      <c r="H1672" s="146" t="str">
        <f>+VLOOKUP(D1672,'3. Cuentas'!A:F,6,0)</f>
        <v>SI</v>
      </c>
    </row>
    <row r="1673" spans="1:8" x14ac:dyDescent="0.25">
      <c r="A1673" s="43">
        <v>10252506</v>
      </c>
      <c r="B1673" t="s">
        <v>1225</v>
      </c>
      <c r="C1673" s="43" t="s">
        <v>200</v>
      </c>
      <c r="D1673" s="43">
        <v>1115100</v>
      </c>
      <c r="E1673" t="s">
        <v>292</v>
      </c>
      <c r="F1673" s="47" t="str">
        <f>+Centro_Cuenta8[[#This Row],[Codigo Centro Gestion]]&amp;" - "&amp;Centro_Cuenta8[[#This Row],[Nombre Centro Gestion]]</f>
        <v>10252506 - Edificio Castillo Urizar-Depto.Técnico</v>
      </c>
      <c r="G1673" s="47" t="str">
        <f>+Centro_Cuenta8[[#This Row],[Código Cuenta Contable]]&amp;" - "&amp;Centro_Cuenta8[[#This Row],[Nombre de Cuenta Contable]]</f>
        <v>1115100 - Proyectos Y Especialidades</v>
      </c>
      <c r="H1673" s="146" t="str">
        <f>+VLOOKUP(D1673,'3. Cuentas'!A:F,6,0)</f>
        <v>SI</v>
      </c>
    </row>
    <row r="1674" spans="1:8" x14ac:dyDescent="0.25">
      <c r="A1674" s="43">
        <v>10253102</v>
      </c>
      <c r="B1674" t="s">
        <v>1226</v>
      </c>
      <c r="C1674" s="43" t="s">
        <v>1617</v>
      </c>
      <c r="D1674" s="43">
        <v>4204010</v>
      </c>
      <c r="E1674" t="s">
        <v>313</v>
      </c>
      <c r="F1674" s="47" t="str">
        <f>+Centro_Cuenta8[[#This Row],[Codigo Centro Gestion]]&amp;" - "&amp;Centro_Cuenta8[[#This Row],[Nombre Centro Gestion]]</f>
        <v>10253102 - Edificio Lia Aguirre-Marketing</v>
      </c>
      <c r="G1674" s="47" t="str">
        <f>+Centro_Cuenta8[[#This Row],[Código Cuenta Contable]]&amp;" - "&amp;Centro_Cuenta8[[#This Row],[Nombre de Cuenta Contable]]</f>
        <v>4204010 - Publicidad Punto Venta</v>
      </c>
      <c r="H1674" s="146" t="str">
        <f>+VLOOKUP(D1674,'3. Cuentas'!A:F,6,0)</f>
        <v>SI</v>
      </c>
    </row>
    <row r="1675" spans="1:8" x14ac:dyDescent="0.25">
      <c r="A1675" s="43">
        <v>10253102</v>
      </c>
      <c r="B1675" t="s">
        <v>1226</v>
      </c>
      <c r="C1675" s="43" t="s">
        <v>1617</v>
      </c>
      <c r="D1675" s="43">
        <v>4204021</v>
      </c>
      <c r="E1675" t="s">
        <v>329</v>
      </c>
      <c r="F1675" s="47" t="str">
        <f>+Centro_Cuenta8[[#This Row],[Codigo Centro Gestion]]&amp;" - "&amp;Centro_Cuenta8[[#This Row],[Nombre Centro Gestion]]</f>
        <v>10253102 - Edificio Lia Aguirre-Marketing</v>
      </c>
      <c r="G1675" s="47" t="str">
        <f>+Centro_Cuenta8[[#This Row],[Código Cuenta Contable]]&amp;" - "&amp;Centro_Cuenta8[[#This Row],[Nombre de Cuenta Contable]]</f>
        <v>4204021 - Publicidad Ferias Y Eventos</v>
      </c>
      <c r="H1675" s="146" t="str">
        <f>+VLOOKUP(D1675,'3. Cuentas'!A:F,6,0)</f>
        <v>SI</v>
      </c>
    </row>
    <row r="1676" spans="1:8" x14ac:dyDescent="0.25">
      <c r="A1676" s="43">
        <v>10253103</v>
      </c>
      <c r="B1676" t="s">
        <v>1227</v>
      </c>
      <c r="C1676" s="43" t="s">
        <v>1618</v>
      </c>
      <c r="D1676" s="43">
        <v>4203060</v>
      </c>
      <c r="E1676" t="s">
        <v>321</v>
      </c>
      <c r="F1676" s="47" t="str">
        <f>+Centro_Cuenta8[[#This Row],[Codigo Centro Gestion]]&amp;" - "&amp;Centro_Cuenta8[[#This Row],[Nombre Centro Gestion]]</f>
        <v>10253103 - Edificio Lia Aguirre-Operaciones</v>
      </c>
      <c r="G1676" s="47" t="str">
        <f>+Centro_Cuenta8[[#This Row],[Código Cuenta Contable]]&amp;" - "&amp;Centro_Cuenta8[[#This Row],[Nombre de Cuenta Contable]]</f>
        <v>4203060 - Gastos Operacionales De Clientes</v>
      </c>
      <c r="H1676" s="146" t="str">
        <f>+VLOOKUP(D1676,'3. Cuentas'!A:F,6,0)</f>
        <v>SI</v>
      </c>
    </row>
    <row r="1677" spans="1:8" x14ac:dyDescent="0.25">
      <c r="A1677" s="43">
        <v>10253103</v>
      </c>
      <c r="B1677" t="s">
        <v>1227</v>
      </c>
      <c r="C1677" s="43" t="s">
        <v>1618</v>
      </c>
      <c r="D1677" s="43">
        <v>4203090</v>
      </c>
      <c r="E1677" t="s">
        <v>192</v>
      </c>
      <c r="F1677" s="47" t="str">
        <f>+Centro_Cuenta8[[#This Row],[Codigo Centro Gestion]]&amp;" - "&amp;Centro_Cuenta8[[#This Row],[Nombre Centro Gestion]]</f>
        <v>10253103 - Edificio Lia Aguirre-Operaciones</v>
      </c>
      <c r="G1677" s="47" t="str">
        <f>+Centro_Cuenta8[[#This Row],[Código Cuenta Contable]]&amp;" - "&amp;Centro_Cuenta8[[#This Row],[Nombre de Cuenta Contable]]</f>
        <v>4203090 - Gastos Legales Y Notariales Proyecto</v>
      </c>
      <c r="H1677" s="146" t="str">
        <f>+VLOOKUP(D1677,'3. Cuentas'!A:F,6,0)</f>
        <v>SI</v>
      </c>
    </row>
    <row r="1678" spans="1:8" x14ac:dyDescent="0.25">
      <c r="A1678" s="43">
        <v>10253104</v>
      </c>
      <c r="B1678" t="s">
        <v>1228</v>
      </c>
      <c r="C1678" s="43" t="s">
        <v>90</v>
      </c>
      <c r="D1678" s="43">
        <v>1110040</v>
      </c>
      <c r="E1678" t="s">
        <v>1505</v>
      </c>
      <c r="F1678" s="47" t="str">
        <f>+Centro_Cuenta8[[#This Row],[Codigo Centro Gestion]]&amp;" - "&amp;Centro_Cuenta8[[#This Row],[Nombre Centro Gestion]]</f>
        <v>10253104 - Edificio Lia Aguirre-Ventas</v>
      </c>
      <c r="G1678" s="47" t="str">
        <f>+Centro_Cuenta8[[#This Row],[Código Cuenta Contable]]&amp;" - "&amp;Centro_Cuenta8[[#This Row],[Nombre de Cuenta Contable]]</f>
        <v>1110040 - Garantía Pagadas</v>
      </c>
      <c r="H1678" s="146" t="str">
        <f>+VLOOKUP(D1678,'3. Cuentas'!A:F,6,0)</f>
        <v>SI</v>
      </c>
    </row>
    <row r="1679" spans="1:8" x14ac:dyDescent="0.25">
      <c r="A1679" s="43">
        <v>10253104</v>
      </c>
      <c r="B1679" t="s">
        <v>1228</v>
      </c>
      <c r="C1679" s="43" t="s">
        <v>90</v>
      </c>
      <c r="D1679" s="43">
        <v>4202003</v>
      </c>
      <c r="E1679" t="s">
        <v>106</v>
      </c>
      <c r="F1679" s="47" t="str">
        <f>+Centro_Cuenta8[[#This Row],[Codigo Centro Gestion]]&amp;" - "&amp;Centro_Cuenta8[[#This Row],[Nombre Centro Gestion]]</f>
        <v>10253104 - Edificio Lia Aguirre-Ventas</v>
      </c>
      <c r="G1679" s="47" t="str">
        <f>+Centro_Cuenta8[[#This Row],[Código Cuenta Contable]]&amp;" - "&amp;Centro_Cuenta8[[#This Row],[Nombre de Cuenta Contable]]</f>
        <v>4202003 - Serv.Basic.Luz.Agua.Tel Of.C</v>
      </c>
      <c r="H1679" s="146" t="str">
        <f>+VLOOKUP(D1679,'3. Cuentas'!A:F,6,0)</f>
        <v>SI</v>
      </c>
    </row>
    <row r="1680" spans="1:8" x14ac:dyDescent="0.25">
      <c r="A1680" s="43">
        <v>10253104</v>
      </c>
      <c r="B1680" t="s">
        <v>1228</v>
      </c>
      <c r="C1680" s="43" t="s">
        <v>90</v>
      </c>
      <c r="D1680" s="43">
        <v>4202010</v>
      </c>
      <c r="E1680" t="s">
        <v>87</v>
      </c>
      <c r="F1680" s="47" t="str">
        <f>+Centro_Cuenta8[[#This Row],[Codigo Centro Gestion]]&amp;" - "&amp;Centro_Cuenta8[[#This Row],[Nombre Centro Gestion]]</f>
        <v>10253104 - Edificio Lia Aguirre-Ventas</v>
      </c>
      <c r="G1680" s="47" t="str">
        <f>+Centro_Cuenta8[[#This Row],[Código Cuenta Contable]]&amp;" - "&amp;Centro_Cuenta8[[#This Row],[Nombre de Cuenta Contable]]</f>
        <v>4202010 - Artic. Ofic. Fotocop.Papelería</v>
      </c>
      <c r="H1680" s="146" t="str">
        <f>+VLOOKUP(D1680,'3. Cuentas'!A:F,6,0)</f>
        <v>SI</v>
      </c>
    </row>
    <row r="1681" spans="1:8" x14ac:dyDescent="0.25">
      <c r="A1681" s="43">
        <v>10253104</v>
      </c>
      <c r="B1681" t="s">
        <v>1228</v>
      </c>
      <c r="C1681" s="43" t="s">
        <v>90</v>
      </c>
      <c r="D1681" s="43">
        <v>4202019</v>
      </c>
      <c r="E1681" t="s">
        <v>81</v>
      </c>
      <c r="F1681" s="47" t="str">
        <f>+Centro_Cuenta8[[#This Row],[Codigo Centro Gestion]]&amp;" - "&amp;Centro_Cuenta8[[#This Row],[Nombre Centro Gestion]]</f>
        <v>10253104 - Edificio Lia Aguirre-Ventas</v>
      </c>
      <c r="G1681" s="47" t="str">
        <f>+Centro_Cuenta8[[#This Row],[Código Cuenta Contable]]&amp;" - "&amp;Centro_Cuenta8[[#This Row],[Nombre de Cuenta Contable]]</f>
        <v>4202019 - Gasto General Oficina</v>
      </c>
      <c r="H1681" s="146" t="str">
        <f>+VLOOKUP(D1681,'3. Cuentas'!A:F,6,0)</f>
        <v>SI</v>
      </c>
    </row>
    <row r="1682" spans="1:8" x14ac:dyDescent="0.25">
      <c r="A1682" s="43">
        <v>10253104</v>
      </c>
      <c r="B1682" t="s">
        <v>1228</v>
      </c>
      <c r="C1682" s="43" t="s">
        <v>90</v>
      </c>
      <c r="D1682" s="43">
        <v>4202023</v>
      </c>
      <c r="E1682" t="s">
        <v>82</v>
      </c>
      <c r="F1682" s="47" t="str">
        <f>+Centro_Cuenta8[[#This Row],[Codigo Centro Gestion]]&amp;" - "&amp;Centro_Cuenta8[[#This Row],[Nombre Centro Gestion]]</f>
        <v>10253104 - Edificio Lia Aguirre-Ventas</v>
      </c>
      <c r="G1682" s="47" t="str">
        <f>+Centro_Cuenta8[[#This Row],[Código Cuenta Contable]]&amp;" - "&amp;Centro_Cuenta8[[#This Row],[Nombre de Cuenta Contable]]</f>
        <v>4202023 - Honorarios Por Asesorías</v>
      </c>
      <c r="H1682" s="146" t="str">
        <f>+VLOOKUP(D1682,'3. Cuentas'!A:F,6,0)</f>
        <v>SI</v>
      </c>
    </row>
    <row r="1683" spans="1:8" x14ac:dyDescent="0.25">
      <c r="A1683" s="43">
        <v>10253104</v>
      </c>
      <c r="B1683" t="s">
        <v>1228</v>
      </c>
      <c r="C1683" s="43" t="s">
        <v>90</v>
      </c>
      <c r="D1683" s="43">
        <v>4202029</v>
      </c>
      <c r="E1683" t="s">
        <v>83</v>
      </c>
      <c r="F1683" s="47" t="str">
        <f>+Centro_Cuenta8[[#This Row],[Codigo Centro Gestion]]&amp;" - "&amp;Centro_Cuenta8[[#This Row],[Nombre Centro Gestion]]</f>
        <v>10253104 - Edificio Lia Aguirre-Ventas</v>
      </c>
      <c r="G1683" s="47" t="str">
        <f>+Centro_Cuenta8[[#This Row],[Código Cuenta Contable]]&amp;" - "&amp;Centro_Cuenta8[[#This Row],[Nombre de Cuenta Contable]]</f>
        <v>4202029 - Insumos Y Gastos Informáticos</v>
      </c>
      <c r="H1683" s="146" t="str">
        <f>+VLOOKUP(D1683,'3. Cuentas'!A:F,6,0)</f>
        <v>SI</v>
      </c>
    </row>
    <row r="1684" spans="1:8" x14ac:dyDescent="0.25">
      <c r="A1684" s="43">
        <v>10253104</v>
      </c>
      <c r="B1684" t="s">
        <v>1228</v>
      </c>
      <c r="C1684" s="43" t="s">
        <v>90</v>
      </c>
      <c r="D1684" s="43">
        <v>4204021</v>
      </c>
      <c r="E1684" t="s">
        <v>329</v>
      </c>
      <c r="F1684" s="47" t="str">
        <f>+Centro_Cuenta8[[#This Row],[Codigo Centro Gestion]]&amp;" - "&amp;Centro_Cuenta8[[#This Row],[Nombre Centro Gestion]]</f>
        <v>10253104 - Edificio Lia Aguirre-Ventas</v>
      </c>
      <c r="G1684" s="47" t="str">
        <f>+Centro_Cuenta8[[#This Row],[Código Cuenta Contable]]&amp;" - "&amp;Centro_Cuenta8[[#This Row],[Nombre de Cuenta Contable]]</f>
        <v>4204021 - Publicidad Ferias Y Eventos</v>
      </c>
      <c r="H1684" s="146" t="str">
        <f>+VLOOKUP(D1684,'3. Cuentas'!A:F,6,0)</f>
        <v>SI</v>
      </c>
    </row>
    <row r="1685" spans="1:8" x14ac:dyDescent="0.25">
      <c r="A1685" s="43">
        <v>10253105</v>
      </c>
      <c r="B1685" t="s">
        <v>1229</v>
      </c>
      <c r="C1685" s="43" t="s">
        <v>1622</v>
      </c>
      <c r="D1685" s="43">
        <v>4203020</v>
      </c>
      <c r="E1685" t="s">
        <v>295</v>
      </c>
      <c r="F1685" s="47" t="str">
        <f>+Centro_Cuenta8[[#This Row],[Codigo Centro Gestion]]&amp;" - "&amp;Centro_Cuenta8[[#This Row],[Nombre Centro Gestion]]</f>
        <v>10253105 - Edificio Lia Aguirre-Clientes</v>
      </c>
      <c r="G1685" s="47" t="str">
        <f>+Centro_Cuenta8[[#This Row],[Código Cuenta Contable]]&amp;" - "&amp;Centro_Cuenta8[[#This Row],[Nombre de Cuenta Contable]]</f>
        <v>4203020 - Mant. y Consum. Viv Stock</v>
      </c>
      <c r="H1685" s="146" t="str">
        <f>+VLOOKUP(D1685,'3. Cuentas'!A:F,6,0)</f>
        <v>SI</v>
      </c>
    </row>
    <row r="1686" spans="1:8" x14ac:dyDescent="0.25">
      <c r="A1686" s="43">
        <v>10253105</v>
      </c>
      <c r="B1686" t="s">
        <v>1229</v>
      </c>
      <c r="C1686" s="43" t="s">
        <v>1622</v>
      </c>
      <c r="D1686" s="43">
        <v>4203120</v>
      </c>
      <c r="E1686" t="s">
        <v>108</v>
      </c>
      <c r="F1686" s="47" t="str">
        <f>+Centro_Cuenta8[[#This Row],[Codigo Centro Gestion]]&amp;" - "&amp;Centro_Cuenta8[[#This Row],[Nombre Centro Gestion]]</f>
        <v>10253105 - Edificio Lia Aguirre-Clientes</v>
      </c>
      <c r="G1686" s="47" t="str">
        <f>+Centro_Cuenta8[[#This Row],[Código Cuenta Contable]]&amp;" - "&amp;Centro_Cuenta8[[#This Row],[Nombre de Cuenta Contable]]</f>
        <v>4203120 - Gastos Comunes</v>
      </c>
      <c r="H1686" s="146" t="str">
        <f>+VLOOKUP(D1686,'3. Cuentas'!A:F,6,0)</f>
        <v>SI</v>
      </c>
    </row>
    <row r="1687" spans="1:8" x14ac:dyDescent="0.25">
      <c r="A1687" s="43">
        <v>10253105</v>
      </c>
      <c r="B1687" t="s">
        <v>1229</v>
      </c>
      <c r="C1687" s="43" t="s">
        <v>1622</v>
      </c>
      <c r="D1687" s="43">
        <v>4203140</v>
      </c>
      <c r="E1687" t="s">
        <v>109</v>
      </c>
      <c r="F1687" s="47" t="str">
        <f>+Centro_Cuenta8[[#This Row],[Codigo Centro Gestion]]&amp;" - "&amp;Centro_Cuenta8[[#This Row],[Nombre Centro Gestion]]</f>
        <v>10253105 - Edificio Lia Aguirre-Clientes</v>
      </c>
      <c r="G1687" s="47" t="str">
        <f>+Centro_Cuenta8[[#This Row],[Código Cuenta Contable]]&amp;" - "&amp;Centro_Cuenta8[[#This Row],[Nombre de Cuenta Contable]]</f>
        <v>4203140 - Contribuciones</v>
      </c>
      <c r="H1687" s="146" t="str">
        <f>+VLOOKUP(D1687,'3. Cuentas'!A:F,6,0)</f>
        <v>SI</v>
      </c>
    </row>
    <row r="1688" spans="1:8" x14ac:dyDescent="0.25">
      <c r="A1688" s="43">
        <v>10253204</v>
      </c>
      <c r="B1688" t="s">
        <v>1230</v>
      </c>
      <c r="C1688" s="43" t="s">
        <v>1624</v>
      </c>
      <c r="D1688" s="43">
        <v>1103045</v>
      </c>
      <c r="E1688" t="s">
        <v>323</v>
      </c>
      <c r="F1688" s="47" t="str">
        <f>+Centro_Cuenta8[[#This Row],[Codigo Centro Gestion]]&amp;" - "&amp;Centro_Cuenta8[[#This Row],[Nombre Centro Gestion]]</f>
        <v>10253204 - Edificio Lia Aguirre-Proyecto</v>
      </c>
      <c r="G1688" s="47" t="str">
        <f>+Centro_Cuenta8[[#This Row],[Código Cuenta Contable]]&amp;" - "&amp;Centro_Cuenta8[[#This Row],[Nombre de Cuenta Contable]]</f>
        <v>1103045 - Aportes reembolsables (electricidad y agua)</v>
      </c>
      <c r="H1688" s="146" t="str">
        <f>+VLOOKUP(D1688,'3. Cuentas'!A:F,6,0)</f>
        <v>SI</v>
      </c>
    </row>
    <row r="1689" spans="1:8" x14ac:dyDescent="0.25">
      <c r="A1689" s="43">
        <v>10253204</v>
      </c>
      <c r="B1689" t="s">
        <v>1230</v>
      </c>
      <c r="C1689" s="43" t="s">
        <v>1624</v>
      </c>
      <c r="D1689" s="43">
        <v>1109020</v>
      </c>
      <c r="E1689" t="s">
        <v>302</v>
      </c>
      <c r="F1689" s="47" t="str">
        <f>+Centro_Cuenta8[[#This Row],[Codigo Centro Gestion]]&amp;" - "&amp;Centro_Cuenta8[[#This Row],[Nombre Centro Gestion]]</f>
        <v>10253204 - Edificio Lia Aguirre-Proyecto</v>
      </c>
      <c r="G1689" s="47" t="str">
        <f>+Centro_Cuenta8[[#This Row],[Código Cuenta Contable]]&amp;" - "&amp;Centro_Cuenta8[[#This Row],[Nombre de Cuenta Contable]]</f>
        <v>1109020 - Mobiliario</v>
      </c>
      <c r="H1689" s="146" t="str">
        <f>+VLOOKUP(D1689,'3. Cuentas'!A:F,6,0)</f>
        <v>SI</v>
      </c>
    </row>
    <row r="1690" spans="1:8" x14ac:dyDescent="0.25">
      <c r="A1690" s="43">
        <v>10253204</v>
      </c>
      <c r="B1690" t="s">
        <v>1230</v>
      </c>
      <c r="C1690" s="43" t="s">
        <v>1624</v>
      </c>
      <c r="D1690" s="43">
        <v>1110040</v>
      </c>
      <c r="E1690" t="s">
        <v>1505</v>
      </c>
      <c r="F1690" s="47" t="str">
        <f>+Centro_Cuenta8[[#This Row],[Codigo Centro Gestion]]&amp;" - "&amp;Centro_Cuenta8[[#This Row],[Nombre Centro Gestion]]</f>
        <v>10253204 - Edificio Lia Aguirre-Proyecto</v>
      </c>
      <c r="G1690" s="47" t="str">
        <f>+Centro_Cuenta8[[#This Row],[Código Cuenta Contable]]&amp;" - "&amp;Centro_Cuenta8[[#This Row],[Nombre de Cuenta Contable]]</f>
        <v>1110040 - Garantía Pagadas</v>
      </c>
      <c r="H1690" s="146" t="str">
        <f>+VLOOKUP(D1690,'3. Cuentas'!A:F,6,0)</f>
        <v>SI</v>
      </c>
    </row>
    <row r="1691" spans="1:8" x14ac:dyDescent="0.25">
      <c r="A1691" s="43">
        <v>10253204</v>
      </c>
      <c r="B1691" t="s">
        <v>1230</v>
      </c>
      <c r="C1691" s="43" t="s">
        <v>1624</v>
      </c>
      <c r="D1691" s="43">
        <v>1115040</v>
      </c>
      <c r="E1691" t="s">
        <v>291</v>
      </c>
      <c r="F1691" s="47" t="str">
        <f>+Centro_Cuenta8[[#This Row],[Codigo Centro Gestion]]&amp;" - "&amp;Centro_Cuenta8[[#This Row],[Nombre Centro Gestion]]</f>
        <v>10253204 - Edificio Lia Aguirre-Proyecto</v>
      </c>
      <c r="G1691" s="47" t="str">
        <f>+Centro_Cuenta8[[#This Row],[Código Cuenta Contable]]&amp;" - "&amp;Centro_Cuenta8[[#This Row],[Nombre de Cuenta Contable]]</f>
        <v>1115040 - Saneamiento De Terreno</v>
      </c>
      <c r="H1691" s="146" t="str">
        <f>+VLOOKUP(D1691,'3. Cuentas'!A:F,6,0)</f>
        <v>SI</v>
      </c>
    </row>
    <row r="1692" spans="1:8" x14ac:dyDescent="0.25">
      <c r="A1692" s="43">
        <v>10253204</v>
      </c>
      <c r="B1692" t="s">
        <v>1230</v>
      </c>
      <c r="C1692" s="43" t="s">
        <v>1624</v>
      </c>
      <c r="D1692" s="43">
        <v>1115050</v>
      </c>
      <c r="E1692" t="s">
        <v>1628</v>
      </c>
      <c r="F1692" s="47" t="str">
        <f>+Centro_Cuenta8[[#This Row],[Codigo Centro Gestion]]&amp;" - "&amp;Centro_Cuenta8[[#This Row],[Nombre Centro Gestion]]</f>
        <v>10253204 - Edificio Lia Aguirre-Proyecto</v>
      </c>
      <c r="G1692" s="47" t="str">
        <f>+Centro_Cuenta8[[#This Row],[Código Cuenta Contable]]&amp;" - "&amp;Centro_Cuenta8[[#This Row],[Nombre de Cuenta Contable]]</f>
        <v>1115050 - Demolición</v>
      </c>
      <c r="H1692" s="146" t="str">
        <f>+VLOOKUP(D1692,'3. Cuentas'!A:F,6,0)</f>
        <v>SI</v>
      </c>
    </row>
    <row r="1693" spans="1:8" x14ac:dyDescent="0.25">
      <c r="A1693" s="43">
        <v>10253204</v>
      </c>
      <c r="B1693" t="s">
        <v>1230</v>
      </c>
      <c r="C1693" s="43" t="s">
        <v>1624</v>
      </c>
      <c r="D1693" s="43">
        <v>1115100</v>
      </c>
      <c r="E1693" t="s">
        <v>292</v>
      </c>
      <c r="F1693" s="47" t="str">
        <f>+Centro_Cuenta8[[#This Row],[Codigo Centro Gestion]]&amp;" - "&amp;Centro_Cuenta8[[#This Row],[Nombre Centro Gestion]]</f>
        <v>10253204 - Edificio Lia Aguirre-Proyecto</v>
      </c>
      <c r="G1693" s="47" t="str">
        <f>+Centro_Cuenta8[[#This Row],[Código Cuenta Contable]]&amp;" - "&amp;Centro_Cuenta8[[#This Row],[Nombre de Cuenta Contable]]</f>
        <v>1115100 - Proyectos Y Especialidades</v>
      </c>
      <c r="H1693" s="146" t="str">
        <f>+VLOOKUP(D1693,'3. Cuentas'!A:F,6,0)</f>
        <v>SI</v>
      </c>
    </row>
    <row r="1694" spans="1:8" x14ac:dyDescent="0.25">
      <c r="A1694" s="43">
        <v>10253204</v>
      </c>
      <c r="B1694" t="s">
        <v>1230</v>
      </c>
      <c r="C1694" s="43" t="s">
        <v>1624</v>
      </c>
      <c r="D1694" s="43">
        <v>1115120</v>
      </c>
      <c r="E1694" t="s">
        <v>1633</v>
      </c>
      <c r="F1694" s="47" t="str">
        <f>+Centro_Cuenta8[[#This Row],[Codigo Centro Gestion]]&amp;" - "&amp;Centro_Cuenta8[[#This Row],[Nombre Centro Gestion]]</f>
        <v>10253204 - Edificio Lia Aguirre-Proyecto</v>
      </c>
      <c r="G1694" s="47" t="str">
        <f>+Centro_Cuenta8[[#This Row],[Código Cuenta Contable]]&amp;" - "&amp;Centro_Cuenta8[[#This Row],[Nombre de Cuenta Contable]]</f>
        <v>1115120 - Instalación Empalmes</v>
      </c>
      <c r="H1694" s="146" t="str">
        <f>+VLOOKUP(D1694,'3. Cuentas'!A:F,6,0)</f>
        <v>SI</v>
      </c>
    </row>
    <row r="1695" spans="1:8" x14ac:dyDescent="0.25">
      <c r="A1695" s="43">
        <v>10253204</v>
      </c>
      <c r="B1695" t="s">
        <v>1230</v>
      </c>
      <c r="C1695" s="43" t="s">
        <v>1624</v>
      </c>
      <c r="D1695" s="43">
        <v>1115170</v>
      </c>
      <c r="E1695" t="s">
        <v>293</v>
      </c>
      <c r="F1695" s="47" t="str">
        <f>+Centro_Cuenta8[[#This Row],[Codigo Centro Gestion]]&amp;" - "&amp;Centro_Cuenta8[[#This Row],[Nombre Centro Gestion]]</f>
        <v>10253204 - Edificio Lia Aguirre-Proyecto</v>
      </c>
      <c r="G1695" s="47" t="str">
        <f>+Centro_Cuenta8[[#This Row],[Código Cuenta Contable]]&amp;" - "&amp;Centro_Cuenta8[[#This Row],[Nombre de Cuenta Contable]]</f>
        <v>1115170 - Permisos Y Otros Gastos Municipales</v>
      </c>
      <c r="H1695" s="146" t="str">
        <f>+VLOOKUP(D1695,'3. Cuentas'!A:F,6,0)</f>
        <v>SI</v>
      </c>
    </row>
    <row r="1696" spans="1:8" x14ac:dyDescent="0.25">
      <c r="A1696" s="43">
        <v>10253204</v>
      </c>
      <c r="B1696" t="s">
        <v>1230</v>
      </c>
      <c r="C1696" s="43" t="s">
        <v>1624</v>
      </c>
      <c r="D1696" s="43">
        <v>1115240</v>
      </c>
      <c r="E1696" t="s">
        <v>294</v>
      </c>
      <c r="F1696" s="47" t="str">
        <f>+Centro_Cuenta8[[#This Row],[Codigo Centro Gestion]]&amp;" - "&amp;Centro_Cuenta8[[#This Row],[Nombre Centro Gestion]]</f>
        <v>10253204 - Edificio Lia Aguirre-Proyecto</v>
      </c>
      <c r="G1696" s="47" t="str">
        <f>+Centro_Cuenta8[[#This Row],[Código Cuenta Contable]]&amp;" - "&amp;Centro_Cuenta8[[#This Row],[Nombre de Cuenta Contable]]</f>
        <v>1115240 - Estudios Y Asesorias Técnicas</v>
      </c>
      <c r="H1696" s="146" t="str">
        <f>+VLOOKUP(D1696,'3. Cuentas'!A:F,6,0)</f>
        <v>SI</v>
      </c>
    </row>
    <row r="1697" spans="1:8" x14ac:dyDescent="0.25">
      <c r="A1697" s="43">
        <v>10253204</v>
      </c>
      <c r="B1697" t="s">
        <v>1230</v>
      </c>
      <c r="C1697" s="43" t="s">
        <v>1624</v>
      </c>
      <c r="D1697" s="43">
        <v>4203090</v>
      </c>
      <c r="E1697" t="s">
        <v>192</v>
      </c>
      <c r="F1697" s="47" t="str">
        <f>+Centro_Cuenta8[[#This Row],[Codigo Centro Gestion]]&amp;" - "&amp;Centro_Cuenta8[[#This Row],[Nombre Centro Gestion]]</f>
        <v>10253204 - Edificio Lia Aguirre-Proyecto</v>
      </c>
      <c r="G1697" s="47" t="str">
        <f>+Centro_Cuenta8[[#This Row],[Código Cuenta Contable]]&amp;" - "&amp;Centro_Cuenta8[[#This Row],[Nombre de Cuenta Contable]]</f>
        <v>4203090 - Gastos Legales Y Notariales Proyecto</v>
      </c>
      <c r="H1697" s="146" t="str">
        <f>+VLOOKUP(D1697,'3. Cuentas'!A:F,6,0)</f>
        <v>SI</v>
      </c>
    </row>
    <row r="1698" spans="1:8" x14ac:dyDescent="0.25">
      <c r="A1698" s="43">
        <v>10253204</v>
      </c>
      <c r="B1698" t="s">
        <v>1230</v>
      </c>
      <c r="C1698" s="43" t="s">
        <v>1624</v>
      </c>
      <c r="D1698" s="43">
        <v>4203140</v>
      </c>
      <c r="E1698" t="s">
        <v>109</v>
      </c>
      <c r="F1698" s="47" t="str">
        <f>+Centro_Cuenta8[[#This Row],[Codigo Centro Gestion]]&amp;" - "&amp;Centro_Cuenta8[[#This Row],[Nombre Centro Gestion]]</f>
        <v>10253204 - Edificio Lia Aguirre-Proyecto</v>
      </c>
      <c r="G1698" s="47" t="str">
        <f>+Centro_Cuenta8[[#This Row],[Código Cuenta Contable]]&amp;" - "&amp;Centro_Cuenta8[[#This Row],[Nombre de Cuenta Contable]]</f>
        <v>4203140 - Contribuciones</v>
      </c>
      <c r="H1698" s="146" t="str">
        <f>+VLOOKUP(D1698,'3. Cuentas'!A:F,6,0)</f>
        <v>SI</v>
      </c>
    </row>
    <row r="1699" spans="1:8" x14ac:dyDescent="0.25">
      <c r="A1699" s="43">
        <v>10253204</v>
      </c>
      <c r="B1699" t="s">
        <v>1230</v>
      </c>
      <c r="C1699" s="43" t="s">
        <v>1624</v>
      </c>
      <c r="D1699" s="43">
        <v>4203150</v>
      </c>
      <c r="E1699" t="s">
        <v>156</v>
      </c>
      <c r="F1699" s="47" t="str">
        <f>+Centro_Cuenta8[[#This Row],[Codigo Centro Gestion]]&amp;" - "&amp;Centro_Cuenta8[[#This Row],[Nombre Centro Gestion]]</f>
        <v>10253204 - Edificio Lia Aguirre-Proyecto</v>
      </c>
      <c r="G1699" s="47" t="str">
        <f>+Centro_Cuenta8[[#This Row],[Código Cuenta Contable]]&amp;" - "&amp;Centro_Cuenta8[[#This Row],[Nombre de Cuenta Contable]]</f>
        <v>4203150 - Gastos CBR</v>
      </c>
      <c r="H1699" s="146" t="str">
        <f>+VLOOKUP(D1699,'3. Cuentas'!A:F,6,0)</f>
        <v>SI</v>
      </c>
    </row>
    <row r="1700" spans="1:8" x14ac:dyDescent="0.25">
      <c r="A1700" s="43">
        <v>10253204</v>
      </c>
      <c r="B1700" t="s">
        <v>1230</v>
      </c>
      <c r="C1700" s="43" t="s">
        <v>1624</v>
      </c>
      <c r="D1700" s="43">
        <v>4203160</v>
      </c>
      <c r="E1700" t="s">
        <v>1639</v>
      </c>
      <c r="F1700" s="47" t="str">
        <f>+Centro_Cuenta8[[#This Row],[Codigo Centro Gestion]]&amp;" - "&amp;Centro_Cuenta8[[#This Row],[Nombre Centro Gestion]]</f>
        <v>10253204 - Edificio Lia Aguirre-Proyecto</v>
      </c>
      <c r="G1700" s="47" t="str">
        <f>+Centro_Cuenta8[[#This Row],[Código Cuenta Contable]]&amp;" - "&amp;Centro_Cuenta8[[#This Row],[Nombre de Cuenta Contable]]</f>
        <v>4203160 - PAPELERIA Y FOTOCOPIADO</v>
      </c>
      <c r="H1700" s="146" t="str">
        <f>+VLOOKUP(D1700,'3. Cuentas'!A:F,6,0)</f>
        <v>SI</v>
      </c>
    </row>
    <row r="1701" spans="1:8" x14ac:dyDescent="0.25">
      <c r="A1701" s="43">
        <v>10253204</v>
      </c>
      <c r="B1701" t="s">
        <v>1230</v>
      </c>
      <c r="C1701" s="43" t="s">
        <v>1624</v>
      </c>
      <c r="D1701" s="43">
        <v>4203180</v>
      </c>
      <c r="E1701" t="s">
        <v>1640</v>
      </c>
      <c r="F1701" s="47" t="str">
        <f>+Centro_Cuenta8[[#This Row],[Codigo Centro Gestion]]&amp;" - "&amp;Centro_Cuenta8[[#This Row],[Nombre Centro Gestion]]</f>
        <v>10253204 - Edificio Lia Aguirre-Proyecto</v>
      </c>
      <c r="G1701" s="47" t="str">
        <f>+Centro_Cuenta8[[#This Row],[Código Cuenta Contable]]&amp;" - "&amp;Centro_Cuenta8[[#This Row],[Nombre de Cuenta Contable]]</f>
        <v>4203180 - Otros Gastos y Aseso Proy</v>
      </c>
      <c r="H1701" s="146" t="str">
        <f>+VLOOKUP(D1701,'3. Cuentas'!A:F,6,0)</f>
        <v>SI</v>
      </c>
    </row>
    <row r="1702" spans="1:8" x14ac:dyDescent="0.25">
      <c r="A1702" s="43">
        <v>10253301</v>
      </c>
      <c r="B1702" t="s">
        <v>1231</v>
      </c>
      <c r="C1702" s="43" t="s">
        <v>1643</v>
      </c>
      <c r="D1702" s="43">
        <v>4203090</v>
      </c>
      <c r="E1702" t="s">
        <v>192</v>
      </c>
      <c r="F1702" s="47" t="str">
        <f>+Centro_Cuenta8[[#This Row],[Codigo Centro Gestion]]&amp;" - "&amp;Centro_Cuenta8[[#This Row],[Nombre Centro Gestion]]</f>
        <v>10253301 - Edificio Lia Aguirre-GAF</v>
      </c>
      <c r="G1702" s="47" t="str">
        <f>+Centro_Cuenta8[[#This Row],[Código Cuenta Contable]]&amp;" - "&amp;Centro_Cuenta8[[#This Row],[Nombre de Cuenta Contable]]</f>
        <v>4203090 - Gastos Legales Y Notariales Proyecto</v>
      </c>
      <c r="H1702" s="146" t="str">
        <f>+VLOOKUP(D1702,'3. Cuentas'!A:F,6,0)</f>
        <v>SI</v>
      </c>
    </row>
    <row r="1703" spans="1:8" x14ac:dyDescent="0.25">
      <c r="A1703" s="43">
        <v>10253301</v>
      </c>
      <c r="B1703" t="s">
        <v>1231</v>
      </c>
      <c r="C1703" s="43" t="s">
        <v>1643</v>
      </c>
      <c r="D1703" s="43">
        <v>4203140</v>
      </c>
      <c r="E1703" t="s">
        <v>109</v>
      </c>
      <c r="F1703" s="47" t="str">
        <f>+Centro_Cuenta8[[#This Row],[Codigo Centro Gestion]]&amp;" - "&amp;Centro_Cuenta8[[#This Row],[Nombre Centro Gestion]]</f>
        <v>10253301 - Edificio Lia Aguirre-GAF</v>
      </c>
      <c r="G1703" s="47" t="str">
        <f>+Centro_Cuenta8[[#This Row],[Código Cuenta Contable]]&amp;" - "&amp;Centro_Cuenta8[[#This Row],[Nombre de Cuenta Contable]]</f>
        <v>4203140 - Contribuciones</v>
      </c>
      <c r="H1703" s="146" t="str">
        <f>+VLOOKUP(D1703,'3. Cuentas'!A:F,6,0)</f>
        <v>SI</v>
      </c>
    </row>
    <row r="1704" spans="1:8" x14ac:dyDescent="0.25">
      <c r="A1704" s="43">
        <v>10253506</v>
      </c>
      <c r="B1704" t="s">
        <v>1233</v>
      </c>
      <c r="C1704" s="43" t="s">
        <v>200</v>
      </c>
      <c r="D1704" s="43">
        <v>1115100</v>
      </c>
      <c r="E1704" t="s">
        <v>292</v>
      </c>
      <c r="F1704" s="47" t="str">
        <f>+Centro_Cuenta8[[#This Row],[Codigo Centro Gestion]]&amp;" - "&amp;Centro_Cuenta8[[#This Row],[Nombre Centro Gestion]]</f>
        <v>10253506 - Edificio Lia Aguirre-Depto.Técnico</v>
      </c>
      <c r="G1704" s="47" t="str">
        <f>+Centro_Cuenta8[[#This Row],[Código Cuenta Contable]]&amp;" - "&amp;Centro_Cuenta8[[#This Row],[Nombre de Cuenta Contable]]</f>
        <v>1115100 - Proyectos Y Especialidades</v>
      </c>
      <c r="H1704" s="146" t="str">
        <f>+VLOOKUP(D1704,'3. Cuentas'!A:F,6,0)</f>
        <v>SI</v>
      </c>
    </row>
    <row r="1705" spans="1:8" x14ac:dyDescent="0.25">
      <c r="A1705" s="43">
        <v>10254102</v>
      </c>
      <c r="B1705" t="s">
        <v>1235</v>
      </c>
      <c r="C1705" s="43" t="s">
        <v>1617</v>
      </c>
      <c r="D1705" s="43">
        <v>4204010</v>
      </c>
      <c r="E1705" t="s">
        <v>313</v>
      </c>
      <c r="F1705" s="47" t="str">
        <f>+Centro_Cuenta8[[#This Row],[Codigo Centro Gestion]]&amp;" - "&amp;Centro_Cuenta8[[#This Row],[Nombre Centro Gestion]]</f>
        <v>10254102 - Trinidad Ramirez-Marketing</v>
      </c>
      <c r="G1705" s="47" t="str">
        <f>+Centro_Cuenta8[[#This Row],[Código Cuenta Contable]]&amp;" - "&amp;Centro_Cuenta8[[#This Row],[Nombre de Cuenta Contable]]</f>
        <v>4204010 - Publicidad Punto Venta</v>
      </c>
      <c r="H1705" s="146" t="str">
        <f>+VLOOKUP(D1705,'3. Cuentas'!A:F,6,0)</f>
        <v>SI</v>
      </c>
    </row>
    <row r="1706" spans="1:8" x14ac:dyDescent="0.25">
      <c r="A1706" s="43">
        <v>10254102</v>
      </c>
      <c r="B1706" t="s">
        <v>1235</v>
      </c>
      <c r="C1706" s="43" t="s">
        <v>1617</v>
      </c>
      <c r="D1706" s="43">
        <v>4204021</v>
      </c>
      <c r="E1706" t="s">
        <v>329</v>
      </c>
      <c r="F1706" s="47" t="str">
        <f>+Centro_Cuenta8[[#This Row],[Codigo Centro Gestion]]&amp;" - "&amp;Centro_Cuenta8[[#This Row],[Nombre Centro Gestion]]</f>
        <v>10254102 - Trinidad Ramirez-Marketing</v>
      </c>
      <c r="G1706" s="47" t="str">
        <f>+Centro_Cuenta8[[#This Row],[Código Cuenta Contable]]&amp;" - "&amp;Centro_Cuenta8[[#This Row],[Nombre de Cuenta Contable]]</f>
        <v>4204021 - Publicidad Ferias Y Eventos</v>
      </c>
      <c r="H1706" s="146" t="str">
        <f>+VLOOKUP(D1706,'3. Cuentas'!A:F,6,0)</f>
        <v>SI</v>
      </c>
    </row>
    <row r="1707" spans="1:8" x14ac:dyDescent="0.25">
      <c r="A1707" s="43">
        <v>10254103</v>
      </c>
      <c r="B1707" t="s">
        <v>1236</v>
      </c>
      <c r="C1707" s="43" t="s">
        <v>1618</v>
      </c>
      <c r="D1707" s="43">
        <v>4203060</v>
      </c>
      <c r="E1707" t="s">
        <v>321</v>
      </c>
      <c r="F1707" s="47" t="str">
        <f>+Centro_Cuenta8[[#This Row],[Codigo Centro Gestion]]&amp;" - "&amp;Centro_Cuenta8[[#This Row],[Nombre Centro Gestion]]</f>
        <v>10254103 - Trinidad Ramirez-Operaciones</v>
      </c>
      <c r="G1707" s="47" t="str">
        <f>+Centro_Cuenta8[[#This Row],[Código Cuenta Contable]]&amp;" - "&amp;Centro_Cuenta8[[#This Row],[Nombre de Cuenta Contable]]</f>
        <v>4203060 - Gastos Operacionales De Clientes</v>
      </c>
      <c r="H1707" s="146" t="str">
        <f>+VLOOKUP(D1707,'3. Cuentas'!A:F,6,0)</f>
        <v>SI</v>
      </c>
    </row>
    <row r="1708" spans="1:8" x14ac:dyDescent="0.25">
      <c r="A1708" s="43">
        <v>10254103</v>
      </c>
      <c r="B1708" t="s">
        <v>1236</v>
      </c>
      <c r="C1708" s="43" t="s">
        <v>1618</v>
      </c>
      <c r="D1708" s="43">
        <v>4203090</v>
      </c>
      <c r="E1708" t="s">
        <v>192</v>
      </c>
      <c r="F1708" s="47" t="str">
        <f>+Centro_Cuenta8[[#This Row],[Codigo Centro Gestion]]&amp;" - "&amp;Centro_Cuenta8[[#This Row],[Nombre Centro Gestion]]</f>
        <v>10254103 - Trinidad Ramirez-Operaciones</v>
      </c>
      <c r="G1708" s="47" t="str">
        <f>+Centro_Cuenta8[[#This Row],[Código Cuenta Contable]]&amp;" - "&amp;Centro_Cuenta8[[#This Row],[Nombre de Cuenta Contable]]</f>
        <v>4203090 - Gastos Legales Y Notariales Proyecto</v>
      </c>
      <c r="H1708" s="146" t="str">
        <f>+VLOOKUP(D1708,'3. Cuentas'!A:F,6,0)</f>
        <v>SI</v>
      </c>
    </row>
    <row r="1709" spans="1:8" x14ac:dyDescent="0.25">
      <c r="A1709" s="43">
        <v>10254104</v>
      </c>
      <c r="B1709" t="s">
        <v>1237</v>
      </c>
      <c r="C1709" s="43" t="s">
        <v>90</v>
      </c>
      <c r="D1709" s="43">
        <v>1110040</v>
      </c>
      <c r="E1709" t="s">
        <v>1505</v>
      </c>
      <c r="F1709" s="47" t="str">
        <f>+Centro_Cuenta8[[#This Row],[Codigo Centro Gestion]]&amp;" - "&amp;Centro_Cuenta8[[#This Row],[Nombre Centro Gestion]]</f>
        <v>10254104 - Trinidad Ramirez-Ventas</v>
      </c>
      <c r="G1709" s="47" t="str">
        <f>+Centro_Cuenta8[[#This Row],[Código Cuenta Contable]]&amp;" - "&amp;Centro_Cuenta8[[#This Row],[Nombre de Cuenta Contable]]</f>
        <v>1110040 - Garantía Pagadas</v>
      </c>
      <c r="H1709" s="146" t="str">
        <f>+VLOOKUP(D1709,'3. Cuentas'!A:F,6,0)</f>
        <v>SI</v>
      </c>
    </row>
    <row r="1710" spans="1:8" x14ac:dyDescent="0.25">
      <c r="A1710" s="43">
        <v>10254104</v>
      </c>
      <c r="B1710" t="s">
        <v>1237</v>
      </c>
      <c r="C1710" s="43" t="s">
        <v>90</v>
      </c>
      <c r="D1710" s="43">
        <v>4202003</v>
      </c>
      <c r="E1710" t="s">
        <v>106</v>
      </c>
      <c r="F1710" s="47" t="str">
        <f>+Centro_Cuenta8[[#This Row],[Codigo Centro Gestion]]&amp;" - "&amp;Centro_Cuenta8[[#This Row],[Nombre Centro Gestion]]</f>
        <v>10254104 - Trinidad Ramirez-Ventas</v>
      </c>
      <c r="G1710" s="47" t="str">
        <f>+Centro_Cuenta8[[#This Row],[Código Cuenta Contable]]&amp;" - "&amp;Centro_Cuenta8[[#This Row],[Nombre de Cuenta Contable]]</f>
        <v>4202003 - Serv.Basic.Luz.Agua.Tel Of.C</v>
      </c>
      <c r="H1710" s="146" t="str">
        <f>+VLOOKUP(D1710,'3. Cuentas'!A:F,6,0)</f>
        <v>SI</v>
      </c>
    </row>
    <row r="1711" spans="1:8" x14ac:dyDescent="0.25">
      <c r="A1711" s="43">
        <v>10254104</v>
      </c>
      <c r="B1711" t="s">
        <v>1237</v>
      </c>
      <c r="C1711" s="43" t="s">
        <v>90</v>
      </c>
      <c r="D1711" s="43">
        <v>4202010</v>
      </c>
      <c r="E1711" t="s">
        <v>87</v>
      </c>
      <c r="F1711" s="47" t="str">
        <f>+Centro_Cuenta8[[#This Row],[Codigo Centro Gestion]]&amp;" - "&amp;Centro_Cuenta8[[#This Row],[Nombre Centro Gestion]]</f>
        <v>10254104 - Trinidad Ramirez-Ventas</v>
      </c>
      <c r="G1711" s="47" t="str">
        <f>+Centro_Cuenta8[[#This Row],[Código Cuenta Contable]]&amp;" - "&amp;Centro_Cuenta8[[#This Row],[Nombre de Cuenta Contable]]</f>
        <v>4202010 - Artic. Ofic. Fotocop.Papelería</v>
      </c>
      <c r="H1711" s="146" t="str">
        <f>+VLOOKUP(D1711,'3. Cuentas'!A:F,6,0)</f>
        <v>SI</v>
      </c>
    </row>
    <row r="1712" spans="1:8" x14ac:dyDescent="0.25">
      <c r="A1712" s="43">
        <v>10254104</v>
      </c>
      <c r="B1712" t="s">
        <v>1237</v>
      </c>
      <c r="C1712" s="43" t="s">
        <v>90</v>
      </c>
      <c r="D1712" s="43">
        <v>4202019</v>
      </c>
      <c r="E1712" t="s">
        <v>81</v>
      </c>
      <c r="F1712" s="47" t="str">
        <f>+Centro_Cuenta8[[#This Row],[Codigo Centro Gestion]]&amp;" - "&amp;Centro_Cuenta8[[#This Row],[Nombre Centro Gestion]]</f>
        <v>10254104 - Trinidad Ramirez-Ventas</v>
      </c>
      <c r="G1712" s="47" t="str">
        <f>+Centro_Cuenta8[[#This Row],[Código Cuenta Contable]]&amp;" - "&amp;Centro_Cuenta8[[#This Row],[Nombre de Cuenta Contable]]</f>
        <v>4202019 - Gasto General Oficina</v>
      </c>
      <c r="H1712" s="146" t="str">
        <f>+VLOOKUP(D1712,'3. Cuentas'!A:F,6,0)</f>
        <v>SI</v>
      </c>
    </row>
    <row r="1713" spans="1:8" x14ac:dyDescent="0.25">
      <c r="A1713" s="43">
        <v>10254104</v>
      </c>
      <c r="B1713" t="s">
        <v>1237</v>
      </c>
      <c r="C1713" s="43" t="s">
        <v>90</v>
      </c>
      <c r="D1713" s="43">
        <v>4202023</v>
      </c>
      <c r="E1713" t="s">
        <v>82</v>
      </c>
      <c r="F1713" s="47" t="str">
        <f>+Centro_Cuenta8[[#This Row],[Codigo Centro Gestion]]&amp;" - "&amp;Centro_Cuenta8[[#This Row],[Nombre Centro Gestion]]</f>
        <v>10254104 - Trinidad Ramirez-Ventas</v>
      </c>
      <c r="G1713" s="47" t="str">
        <f>+Centro_Cuenta8[[#This Row],[Código Cuenta Contable]]&amp;" - "&amp;Centro_Cuenta8[[#This Row],[Nombre de Cuenta Contable]]</f>
        <v>4202023 - Honorarios Por Asesorías</v>
      </c>
      <c r="H1713" s="146" t="str">
        <f>+VLOOKUP(D1713,'3. Cuentas'!A:F,6,0)</f>
        <v>SI</v>
      </c>
    </row>
    <row r="1714" spans="1:8" x14ac:dyDescent="0.25">
      <c r="A1714" s="43">
        <v>10254104</v>
      </c>
      <c r="B1714" t="s">
        <v>1237</v>
      </c>
      <c r="C1714" s="43" t="s">
        <v>90</v>
      </c>
      <c r="D1714" s="43">
        <v>4202029</v>
      </c>
      <c r="E1714" t="s">
        <v>83</v>
      </c>
      <c r="F1714" s="47" t="str">
        <f>+Centro_Cuenta8[[#This Row],[Codigo Centro Gestion]]&amp;" - "&amp;Centro_Cuenta8[[#This Row],[Nombre Centro Gestion]]</f>
        <v>10254104 - Trinidad Ramirez-Ventas</v>
      </c>
      <c r="G1714" s="47" t="str">
        <f>+Centro_Cuenta8[[#This Row],[Código Cuenta Contable]]&amp;" - "&amp;Centro_Cuenta8[[#This Row],[Nombre de Cuenta Contable]]</f>
        <v>4202029 - Insumos Y Gastos Informáticos</v>
      </c>
      <c r="H1714" s="146" t="str">
        <f>+VLOOKUP(D1714,'3. Cuentas'!A:F,6,0)</f>
        <v>SI</v>
      </c>
    </row>
    <row r="1715" spans="1:8" x14ac:dyDescent="0.25">
      <c r="A1715" s="43">
        <v>10254104</v>
      </c>
      <c r="B1715" t="s">
        <v>1237</v>
      </c>
      <c r="C1715" s="43" t="s">
        <v>90</v>
      </c>
      <c r="D1715" s="43">
        <v>4204021</v>
      </c>
      <c r="E1715" t="s">
        <v>329</v>
      </c>
      <c r="F1715" s="47" t="str">
        <f>+Centro_Cuenta8[[#This Row],[Codigo Centro Gestion]]&amp;" - "&amp;Centro_Cuenta8[[#This Row],[Nombre Centro Gestion]]</f>
        <v>10254104 - Trinidad Ramirez-Ventas</v>
      </c>
      <c r="G1715" s="47" t="str">
        <f>+Centro_Cuenta8[[#This Row],[Código Cuenta Contable]]&amp;" - "&amp;Centro_Cuenta8[[#This Row],[Nombre de Cuenta Contable]]</f>
        <v>4204021 - Publicidad Ferias Y Eventos</v>
      </c>
      <c r="H1715" s="146" t="str">
        <f>+VLOOKUP(D1715,'3. Cuentas'!A:F,6,0)</f>
        <v>SI</v>
      </c>
    </row>
    <row r="1716" spans="1:8" x14ac:dyDescent="0.25">
      <c r="A1716" s="43">
        <v>10254105</v>
      </c>
      <c r="B1716" t="s">
        <v>1238</v>
      </c>
      <c r="C1716" s="43" t="s">
        <v>1622</v>
      </c>
      <c r="D1716" s="43">
        <v>4203020</v>
      </c>
      <c r="E1716" t="s">
        <v>295</v>
      </c>
      <c r="F1716" s="47" t="str">
        <f>+Centro_Cuenta8[[#This Row],[Codigo Centro Gestion]]&amp;" - "&amp;Centro_Cuenta8[[#This Row],[Nombre Centro Gestion]]</f>
        <v>10254105 - Trinidad Ramirez-Clientes</v>
      </c>
      <c r="G1716" s="47" t="str">
        <f>+Centro_Cuenta8[[#This Row],[Código Cuenta Contable]]&amp;" - "&amp;Centro_Cuenta8[[#This Row],[Nombre de Cuenta Contable]]</f>
        <v>4203020 - Mant. y Consum. Viv Stock</v>
      </c>
      <c r="H1716" s="146" t="str">
        <f>+VLOOKUP(D1716,'3. Cuentas'!A:F,6,0)</f>
        <v>SI</v>
      </c>
    </row>
    <row r="1717" spans="1:8" x14ac:dyDescent="0.25">
      <c r="A1717" s="43">
        <v>10254105</v>
      </c>
      <c r="B1717" t="s">
        <v>1238</v>
      </c>
      <c r="C1717" s="43" t="s">
        <v>1622</v>
      </c>
      <c r="D1717" s="43">
        <v>4203120</v>
      </c>
      <c r="E1717" t="s">
        <v>108</v>
      </c>
      <c r="F1717" s="47" t="str">
        <f>+Centro_Cuenta8[[#This Row],[Codigo Centro Gestion]]&amp;" - "&amp;Centro_Cuenta8[[#This Row],[Nombre Centro Gestion]]</f>
        <v>10254105 - Trinidad Ramirez-Clientes</v>
      </c>
      <c r="G1717" s="47" t="str">
        <f>+Centro_Cuenta8[[#This Row],[Código Cuenta Contable]]&amp;" - "&amp;Centro_Cuenta8[[#This Row],[Nombre de Cuenta Contable]]</f>
        <v>4203120 - Gastos Comunes</v>
      </c>
      <c r="H1717" s="146" t="str">
        <f>+VLOOKUP(D1717,'3. Cuentas'!A:F,6,0)</f>
        <v>SI</v>
      </c>
    </row>
    <row r="1718" spans="1:8" x14ac:dyDescent="0.25">
      <c r="A1718" s="43">
        <v>10254105</v>
      </c>
      <c r="B1718" t="s">
        <v>1238</v>
      </c>
      <c r="C1718" s="43" t="s">
        <v>1622</v>
      </c>
      <c r="D1718" s="43">
        <v>4203140</v>
      </c>
      <c r="E1718" t="s">
        <v>109</v>
      </c>
      <c r="F1718" s="47" t="str">
        <f>+Centro_Cuenta8[[#This Row],[Codigo Centro Gestion]]&amp;" - "&amp;Centro_Cuenta8[[#This Row],[Nombre Centro Gestion]]</f>
        <v>10254105 - Trinidad Ramirez-Clientes</v>
      </c>
      <c r="G1718" s="47" t="str">
        <f>+Centro_Cuenta8[[#This Row],[Código Cuenta Contable]]&amp;" - "&amp;Centro_Cuenta8[[#This Row],[Nombre de Cuenta Contable]]</f>
        <v>4203140 - Contribuciones</v>
      </c>
      <c r="H1718" s="146" t="str">
        <f>+VLOOKUP(D1718,'3. Cuentas'!A:F,6,0)</f>
        <v>SI</v>
      </c>
    </row>
    <row r="1719" spans="1:8" x14ac:dyDescent="0.25">
      <c r="A1719" s="43">
        <v>10254204</v>
      </c>
      <c r="B1719" t="s">
        <v>1239</v>
      </c>
      <c r="C1719" s="43" t="s">
        <v>1624</v>
      </c>
      <c r="D1719" s="43">
        <v>1103045</v>
      </c>
      <c r="E1719" t="s">
        <v>323</v>
      </c>
      <c r="F1719" s="47" t="str">
        <f>+Centro_Cuenta8[[#This Row],[Codigo Centro Gestion]]&amp;" - "&amp;Centro_Cuenta8[[#This Row],[Nombre Centro Gestion]]</f>
        <v>10254204 - Trinidad Ramirez-Proyecto</v>
      </c>
      <c r="G1719" s="47" t="str">
        <f>+Centro_Cuenta8[[#This Row],[Código Cuenta Contable]]&amp;" - "&amp;Centro_Cuenta8[[#This Row],[Nombre de Cuenta Contable]]</f>
        <v>1103045 - Aportes reembolsables (electricidad y agua)</v>
      </c>
      <c r="H1719" s="146" t="str">
        <f>+VLOOKUP(D1719,'3. Cuentas'!A:F,6,0)</f>
        <v>SI</v>
      </c>
    </row>
    <row r="1720" spans="1:8" x14ac:dyDescent="0.25">
      <c r="A1720" s="43">
        <v>10254204</v>
      </c>
      <c r="B1720" t="s">
        <v>1239</v>
      </c>
      <c r="C1720" s="43" t="s">
        <v>1624</v>
      </c>
      <c r="D1720" s="43">
        <v>1109020</v>
      </c>
      <c r="E1720" t="s">
        <v>302</v>
      </c>
      <c r="F1720" s="47" t="str">
        <f>+Centro_Cuenta8[[#This Row],[Codigo Centro Gestion]]&amp;" - "&amp;Centro_Cuenta8[[#This Row],[Nombre Centro Gestion]]</f>
        <v>10254204 - Trinidad Ramirez-Proyecto</v>
      </c>
      <c r="G1720" s="47" t="str">
        <f>+Centro_Cuenta8[[#This Row],[Código Cuenta Contable]]&amp;" - "&amp;Centro_Cuenta8[[#This Row],[Nombre de Cuenta Contable]]</f>
        <v>1109020 - Mobiliario</v>
      </c>
      <c r="H1720" s="146" t="str">
        <f>+VLOOKUP(D1720,'3. Cuentas'!A:F,6,0)</f>
        <v>SI</v>
      </c>
    </row>
    <row r="1721" spans="1:8" x14ac:dyDescent="0.25">
      <c r="A1721" s="43">
        <v>10254204</v>
      </c>
      <c r="B1721" t="s">
        <v>1239</v>
      </c>
      <c r="C1721" s="43" t="s">
        <v>1624</v>
      </c>
      <c r="D1721" s="43">
        <v>1110040</v>
      </c>
      <c r="E1721" t="s">
        <v>1505</v>
      </c>
      <c r="F1721" s="47" t="str">
        <f>+Centro_Cuenta8[[#This Row],[Codigo Centro Gestion]]&amp;" - "&amp;Centro_Cuenta8[[#This Row],[Nombre Centro Gestion]]</f>
        <v>10254204 - Trinidad Ramirez-Proyecto</v>
      </c>
      <c r="G1721" s="47" t="str">
        <f>+Centro_Cuenta8[[#This Row],[Código Cuenta Contable]]&amp;" - "&amp;Centro_Cuenta8[[#This Row],[Nombre de Cuenta Contable]]</f>
        <v>1110040 - Garantía Pagadas</v>
      </c>
      <c r="H1721" s="146" t="str">
        <f>+VLOOKUP(D1721,'3. Cuentas'!A:F,6,0)</f>
        <v>SI</v>
      </c>
    </row>
    <row r="1722" spans="1:8" x14ac:dyDescent="0.25">
      <c r="A1722" s="43">
        <v>10254204</v>
      </c>
      <c r="B1722" t="s">
        <v>1239</v>
      </c>
      <c r="C1722" s="43" t="s">
        <v>1624</v>
      </c>
      <c r="D1722" s="43">
        <v>1115040</v>
      </c>
      <c r="E1722" t="s">
        <v>291</v>
      </c>
      <c r="F1722" s="47" t="str">
        <f>+Centro_Cuenta8[[#This Row],[Codigo Centro Gestion]]&amp;" - "&amp;Centro_Cuenta8[[#This Row],[Nombre Centro Gestion]]</f>
        <v>10254204 - Trinidad Ramirez-Proyecto</v>
      </c>
      <c r="G1722" s="47" t="str">
        <f>+Centro_Cuenta8[[#This Row],[Código Cuenta Contable]]&amp;" - "&amp;Centro_Cuenta8[[#This Row],[Nombre de Cuenta Contable]]</f>
        <v>1115040 - Saneamiento De Terreno</v>
      </c>
      <c r="H1722" s="146" t="str">
        <f>+VLOOKUP(D1722,'3. Cuentas'!A:F,6,0)</f>
        <v>SI</v>
      </c>
    </row>
    <row r="1723" spans="1:8" x14ac:dyDescent="0.25">
      <c r="A1723" s="43">
        <v>10254204</v>
      </c>
      <c r="B1723" t="s">
        <v>1239</v>
      </c>
      <c r="C1723" s="43" t="s">
        <v>1624</v>
      </c>
      <c r="D1723" s="43">
        <v>1115050</v>
      </c>
      <c r="E1723" t="s">
        <v>1628</v>
      </c>
      <c r="F1723" s="47" t="str">
        <f>+Centro_Cuenta8[[#This Row],[Codigo Centro Gestion]]&amp;" - "&amp;Centro_Cuenta8[[#This Row],[Nombre Centro Gestion]]</f>
        <v>10254204 - Trinidad Ramirez-Proyecto</v>
      </c>
      <c r="G1723" s="47" t="str">
        <f>+Centro_Cuenta8[[#This Row],[Código Cuenta Contable]]&amp;" - "&amp;Centro_Cuenta8[[#This Row],[Nombre de Cuenta Contable]]</f>
        <v>1115050 - Demolición</v>
      </c>
      <c r="H1723" s="146" t="str">
        <f>+VLOOKUP(D1723,'3. Cuentas'!A:F,6,0)</f>
        <v>SI</v>
      </c>
    </row>
    <row r="1724" spans="1:8" x14ac:dyDescent="0.25">
      <c r="A1724" s="43">
        <v>10254204</v>
      </c>
      <c r="B1724" t="s">
        <v>1239</v>
      </c>
      <c r="C1724" s="43" t="s">
        <v>1624</v>
      </c>
      <c r="D1724" s="43">
        <v>1115100</v>
      </c>
      <c r="E1724" t="s">
        <v>292</v>
      </c>
      <c r="F1724" s="47" t="str">
        <f>+Centro_Cuenta8[[#This Row],[Codigo Centro Gestion]]&amp;" - "&amp;Centro_Cuenta8[[#This Row],[Nombre Centro Gestion]]</f>
        <v>10254204 - Trinidad Ramirez-Proyecto</v>
      </c>
      <c r="G1724" s="47" t="str">
        <f>+Centro_Cuenta8[[#This Row],[Código Cuenta Contable]]&amp;" - "&amp;Centro_Cuenta8[[#This Row],[Nombre de Cuenta Contable]]</f>
        <v>1115100 - Proyectos Y Especialidades</v>
      </c>
      <c r="H1724" s="146" t="str">
        <f>+VLOOKUP(D1724,'3. Cuentas'!A:F,6,0)</f>
        <v>SI</v>
      </c>
    </row>
    <row r="1725" spans="1:8" x14ac:dyDescent="0.25">
      <c r="A1725" s="43">
        <v>10254204</v>
      </c>
      <c r="B1725" t="s">
        <v>1239</v>
      </c>
      <c r="C1725" s="43" t="s">
        <v>1624</v>
      </c>
      <c r="D1725" s="43">
        <v>1115120</v>
      </c>
      <c r="E1725" t="s">
        <v>1633</v>
      </c>
      <c r="F1725" s="47" t="str">
        <f>+Centro_Cuenta8[[#This Row],[Codigo Centro Gestion]]&amp;" - "&amp;Centro_Cuenta8[[#This Row],[Nombre Centro Gestion]]</f>
        <v>10254204 - Trinidad Ramirez-Proyecto</v>
      </c>
      <c r="G1725" s="47" t="str">
        <f>+Centro_Cuenta8[[#This Row],[Código Cuenta Contable]]&amp;" - "&amp;Centro_Cuenta8[[#This Row],[Nombre de Cuenta Contable]]</f>
        <v>1115120 - Instalación Empalmes</v>
      </c>
      <c r="H1725" s="146" t="str">
        <f>+VLOOKUP(D1725,'3. Cuentas'!A:F,6,0)</f>
        <v>SI</v>
      </c>
    </row>
    <row r="1726" spans="1:8" x14ac:dyDescent="0.25">
      <c r="A1726" s="43">
        <v>10254204</v>
      </c>
      <c r="B1726" t="s">
        <v>1239</v>
      </c>
      <c r="C1726" s="43" t="s">
        <v>1624</v>
      </c>
      <c r="D1726" s="43">
        <v>1115170</v>
      </c>
      <c r="E1726" t="s">
        <v>293</v>
      </c>
      <c r="F1726" s="47" t="str">
        <f>+Centro_Cuenta8[[#This Row],[Codigo Centro Gestion]]&amp;" - "&amp;Centro_Cuenta8[[#This Row],[Nombre Centro Gestion]]</f>
        <v>10254204 - Trinidad Ramirez-Proyecto</v>
      </c>
      <c r="G1726" s="47" t="str">
        <f>+Centro_Cuenta8[[#This Row],[Código Cuenta Contable]]&amp;" - "&amp;Centro_Cuenta8[[#This Row],[Nombre de Cuenta Contable]]</f>
        <v>1115170 - Permisos Y Otros Gastos Municipales</v>
      </c>
      <c r="H1726" s="146" t="str">
        <f>+VLOOKUP(D1726,'3. Cuentas'!A:F,6,0)</f>
        <v>SI</v>
      </c>
    </row>
    <row r="1727" spans="1:8" x14ac:dyDescent="0.25">
      <c r="A1727" s="43">
        <v>10254204</v>
      </c>
      <c r="B1727" t="s">
        <v>1239</v>
      </c>
      <c r="C1727" s="43" t="s">
        <v>1624</v>
      </c>
      <c r="D1727" s="43">
        <v>1115240</v>
      </c>
      <c r="E1727" t="s">
        <v>294</v>
      </c>
      <c r="F1727" s="47" t="str">
        <f>+Centro_Cuenta8[[#This Row],[Codigo Centro Gestion]]&amp;" - "&amp;Centro_Cuenta8[[#This Row],[Nombre Centro Gestion]]</f>
        <v>10254204 - Trinidad Ramirez-Proyecto</v>
      </c>
      <c r="G1727" s="47" t="str">
        <f>+Centro_Cuenta8[[#This Row],[Código Cuenta Contable]]&amp;" - "&amp;Centro_Cuenta8[[#This Row],[Nombre de Cuenta Contable]]</f>
        <v>1115240 - Estudios Y Asesorias Técnicas</v>
      </c>
      <c r="H1727" s="146" t="str">
        <f>+VLOOKUP(D1727,'3. Cuentas'!A:F,6,0)</f>
        <v>SI</v>
      </c>
    </row>
    <row r="1728" spans="1:8" x14ac:dyDescent="0.25">
      <c r="A1728" s="43">
        <v>10254204</v>
      </c>
      <c r="B1728" t="s">
        <v>1239</v>
      </c>
      <c r="C1728" s="43" t="s">
        <v>1624</v>
      </c>
      <c r="D1728" s="43">
        <v>4203090</v>
      </c>
      <c r="E1728" t="s">
        <v>192</v>
      </c>
      <c r="F1728" s="47" t="str">
        <f>+Centro_Cuenta8[[#This Row],[Codigo Centro Gestion]]&amp;" - "&amp;Centro_Cuenta8[[#This Row],[Nombre Centro Gestion]]</f>
        <v>10254204 - Trinidad Ramirez-Proyecto</v>
      </c>
      <c r="G1728" s="47" t="str">
        <f>+Centro_Cuenta8[[#This Row],[Código Cuenta Contable]]&amp;" - "&amp;Centro_Cuenta8[[#This Row],[Nombre de Cuenta Contable]]</f>
        <v>4203090 - Gastos Legales Y Notariales Proyecto</v>
      </c>
      <c r="H1728" s="146" t="str">
        <f>+VLOOKUP(D1728,'3. Cuentas'!A:F,6,0)</f>
        <v>SI</v>
      </c>
    </row>
    <row r="1729" spans="1:8" x14ac:dyDescent="0.25">
      <c r="A1729" s="43">
        <v>10254204</v>
      </c>
      <c r="B1729" t="s">
        <v>1239</v>
      </c>
      <c r="C1729" s="43" t="s">
        <v>1624</v>
      </c>
      <c r="D1729" s="43">
        <v>4203140</v>
      </c>
      <c r="E1729" t="s">
        <v>109</v>
      </c>
      <c r="F1729" s="47" t="str">
        <f>+Centro_Cuenta8[[#This Row],[Codigo Centro Gestion]]&amp;" - "&amp;Centro_Cuenta8[[#This Row],[Nombre Centro Gestion]]</f>
        <v>10254204 - Trinidad Ramirez-Proyecto</v>
      </c>
      <c r="G1729" s="47" t="str">
        <f>+Centro_Cuenta8[[#This Row],[Código Cuenta Contable]]&amp;" - "&amp;Centro_Cuenta8[[#This Row],[Nombre de Cuenta Contable]]</f>
        <v>4203140 - Contribuciones</v>
      </c>
      <c r="H1729" s="146" t="str">
        <f>+VLOOKUP(D1729,'3. Cuentas'!A:F,6,0)</f>
        <v>SI</v>
      </c>
    </row>
    <row r="1730" spans="1:8" x14ac:dyDescent="0.25">
      <c r="A1730" s="43">
        <v>10254204</v>
      </c>
      <c r="B1730" t="s">
        <v>1239</v>
      </c>
      <c r="C1730" s="43" t="s">
        <v>1624</v>
      </c>
      <c r="D1730" s="43">
        <v>4203150</v>
      </c>
      <c r="E1730" t="s">
        <v>156</v>
      </c>
      <c r="F1730" s="47" t="str">
        <f>+Centro_Cuenta8[[#This Row],[Codigo Centro Gestion]]&amp;" - "&amp;Centro_Cuenta8[[#This Row],[Nombre Centro Gestion]]</f>
        <v>10254204 - Trinidad Ramirez-Proyecto</v>
      </c>
      <c r="G1730" s="47" t="str">
        <f>+Centro_Cuenta8[[#This Row],[Código Cuenta Contable]]&amp;" - "&amp;Centro_Cuenta8[[#This Row],[Nombre de Cuenta Contable]]</f>
        <v>4203150 - Gastos CBR</v>
      </c>
      <c r="H1730" s="146" t="str">
        <f>+VLOOKUP(D1730,'3. Cuentas'!A:F,6,0)</f>
        <v>SI</v>
      </c>
    </row>
    <row r="1731" spans="1:8" x14ac:dyDescent="0.25">
      <c r="A1731" s="43">
        <v>10254204</v>
      </c>
      <c r="B1731" t="s">
        <v>1239</v>
      </c>
      <c r="C1731" s="43" t="s">
        <v>1624</v>
      </c>
      <c r="D1731" s="43">
        <v>4203160</v>
      </c>
      <c r="E1731" t="s">
        <v>1639</v>
      </c>
      <c r="F1731" s="47" t="str">
        <f>+Centro_Cuenta8[[#This Row],[Codigo Centro Gestion]]&amp;" - "&amp;Centro_Cuenta8[[#This Row],[Nombre Centro Gestion]]</f>
        <v>10254204 - Trinidad Ramirez-Proyecto</v>
      </c>
      <c r="G1731" s="47" t="str">
        <f>+Centro_Cuenta8[[#This Row],[Código Cuenta Contable]]&amp;" - "&amp;Centro_Cuenta8[[#This Row],[Nombre de Cuenta Contable]]</f>
        <v>4203160 - PAPELERIA Y FOTOCOPIADO</v>
      </c>
      <c r="H1731" s="146" t="str">
        <f>+VLOOKUP(D1731,'3. Cuentas'!A:F,6,0)</f>
        <v>SI</v>
      </c>
    </row>
    <row r="1732" spans="1:8" x14ac:dyDescent="0.25">
      <c r="A1732" s="43">
        <v>10254204</v>
      </c>
      <c r="B1732" t="s">
        <v>1239</v>
      </c>
      <c r="C1732" s="43" t="s">
        <v>1624</v>
      </c>
      <c r="D1732" s="43">
        <v>4203180</v>
      </c>
      <c r="E1732" t="s">
        <v>1640</v>
      </c>
      <c r="F1732" s="47" t="str">
        <f>+Centro_Cuenta8[[#This Row],[Codigo Centro Gestion]]&amp;" - "&amp;Centro_Cuenta8[[#This Row],[Nombre Centro Gestion]]</f>
        <v>10254204 - Trinidad Ramirez-Proyecto</v>
      </c>
      <c r="G1732" s="47" t="str">
        <f>+Centro_Cuenta8[[#This Row],[Código Cuenta Contable]]&amp;" - "&amp;Centro_Cuenta8[[#This Row],[Nombre de Cuenta Contable]]</f>
        <v>4203180 - Otros Gastos y Aseso Proy</v>
      </c>
      <c r="H1732" s="146" t="str">
        <f>+VLOOKUP(D1732,'3. Cuentas'!A:F,6,0)</f>
        <v>SI</v>
      </c>
    </row>
    <row r="1733" spans="1:8" x14ac:dyDescent="0.25">
      <c r="A1733" s="43">
        <v>10254301</v>
      </c>
      <c r="B1733" t="s">
        <v>1240</v>
      </c>
      <c r="C1733" s="43" t="s">
        <v>1643</v>
      </c>
      <c r="D1733" s="43">
        <v>4203090</v>
      </c>
      <c r="E1733" t="s">
        <v>192</v>
      </c>
      <c r="F1733" s="47" t="str">
        <f>+Centro_Cuenta8[[#This Row],[Codigo Centro Gestion]]&amp;" - "&amp;Centro_Cuenta8[[#This Row],[Nombre Centro Gestion]]</f>
        <v>10254301 - Trinidad Ramirez-GAF</v>
      </c>
      <c r="G1733" s="47" t="str">
        <f>+Centro_Cuenta8[[#This Row],[Código Cuenta Contable]]&amp;" - "&amp;Centro_Cuenta8[[#This Row],[Nombre de Cuenta Contable]]</f>
        <v>4203090 - Gastos Legales Y Notariales Proyecto</v>
      </c>
      <c r="H1733" s="146" t="str">
        <f>+VLOOKUP(D1733,'3. Cuentas'!A:F,6,0)</f>
        <v>SI</v>
      </c>
    </row>
    <row r="1734" spans="1:8" x14ac:dyDescent="0.25">
      <c r="A1734" s="43">
        <v>10254301</v>
      </c>
      <c r="B1734" t="s">
        <v>1240</v>
      </c>
      <c r="C1734" s="43" t="s">
        <v>1643</v>
      </c>
      <c r="D1734" s="43">
        <v>4203140</v>
      </c>
      <c r="E1734" t="s">
        <v>109</v>
      </c>
      <c r="F1734" s="47" t="str">
        <f>+Centro_Cuenta8[[#This Row],[Codigo Centro Gestion]]&amp;" - "&amp;Centro_Cuenta8[[#This Row],[Nombre Centro Gestion]]</f>
        <v>10254301 - Trinidad Ramirez-GAF</v>
      </c>
      <c r="G1734" s="47" t="str">
        <f>+Centro_Cuenta8[[#This Row],[Código Cuenta Contable]]&amp;" - "&amp;Centro_Cuenta8[[#This Row],[Nombre de Cuenta Contable]]</f>
        <v>4203140 - Contribuciones</v>
      </c>
      <c r="H1734" s="146" t="str">
        <f>+VLOOKUP(D1734,'3. Cuentas'!A:F,6,0)</f>
        <v>SI</v>
      </c>
    </row>
    <row r="1735" spans="1:8" x14ac:dyDescent="0.25">
      <c r="A1735" s="43">
        <v>10254506</v>
      </c>
      <c r="B1735" t="s">
        <v>1242</v>
      </c>
      <c r="C1735" s="43" t="s">
        <v>200</v>
      </c>
      <c r="D1735" s="43">
        <v>1115100</v>
      </c>
      <c r="E1735" t="s">
        <v>292</v>
      </c>
      <c r="F1735" s="47" t="str">
        <f>+Centro_Cuenta8[[#This Row],[Codigo Centro Gestion]]&amp;" - "&amp;Centro_Cuenta8[[#This Row],[Nombre Centro Gestion]]</f>
        <v>10254506 - Trinidad Ramirez-Depto.Técnico</v>
      </c>
      <c r="G1735" s="47" t="str">
        <f>+Centro_Cuenta8[[#This Row],[Código Cuenta Contable]]&amp;" - "&amp;Centro_Cuenta8[[#This Row],[Nombre de Cuenta Contable]]</f>
        <v>1115100 - Proyectos Y Especialidades</v>
      </c>
      <c r="H1735" s="146" t="str">
        <f>+VLOOKUP(D1735,'3. Cuentas'!A:F,6,0)</f>
        <v>SI</v>
      </c>
    </row>
    <row r="1736" spans="1:8" x14ac:dyDescent="0.25">
      <c r="A1736" s="43">
        <v>10255102</v>
      </c>
      <c r="B1736" t="s">
        <v>1244</v>
      </c>
      <c r="C1736" s="43" t="s">
        <v>1617</v>
      </c>
      <c r="D1736" s="43">
        <v>4204010</v>
      </c>
      <c r="E1736" t="s">
        <v>313</v>
      </c>
      <c r="F1736" s="47" t="str">
        <f>+Centro_Cuenta8[[#This Row],[Codigo Centro Gestion]]&amp;" - "&amp;Centro_Cuenta8[[#This Row],[Nombre Centro Gestion]]</f>
        <v>10255102 - Condominio Lago Ranco-Marketing</v>
      </c>
      <c r="G1736" s="47" t="str">
        <f>+Centro_Cuenta8[[#This Row],[Código Cuenta Contable]]&amp;" - "&amp;Centro_Cuenta8[[#This Row],[Nombre de Cuenta Contable]]</f>
        <v>4204010 - Publicidad Punto Venta</v>
      </c>
      <c r="H1736" s="146" t="str">
        <f>+VLOOKUP(D1736,'3. Cuentas'!A:F,6,0)</f>
        <v>SI</v>
      </c>
    </row>
    <row r="1737" spans="1:8" x14ac:dyDescent="0.25">
      <c r="A1737" s="43">
        <v>10255102</v>
      </c>
      <c r="B1737" t="s">
        <v>1244</v>
      </c>
      <c r="C1737" s="43" t="s">
        <v>1617</v>
      </c>
      <c r="D1737" s="43">
        <v>4204021</v>
      </c>
      <c r="E1737" t="s">
        <v>329</v>
      </c>
      <c r="F1737" s="47" t="str">
        <f>+Centro_Cuenta8[[#This Row],[Codigo Centro Gestion]]&amp;" - "&amp;Centro_Cuenta8[[#This Row],[Nombre Centro Gestion]]</f>
        <v>10255102 - Condominio Lago Ranco-Marketing</v>
      </c>
      <c r="G1737" s="47" t="str">
        <f>+Centro_Cuenta8[[#This Row],[Código Cuenta Contable]]&amp;" - "&amp;Centro_Cuenta8[[#This Row],[Nombre de Cuenta Contable]]</f>
        <v>4204021 - Publicidad Ferias Y Eventos</v>
      </c>
      <c r="H1737" s="146" t="str">
        <f>+VLOOKUP(D1737,'3. Cuentas'!A:F,6,0)</f>
        <v>SI</v>
      </c>
    </row>
    <row r="1738" spans="1:8" x14ac:dyDescent="0.25">
      <c r="A1738" s="43">
        <v>10255103</v>
      </c>
      <c r="B1738" t="s">
        <v>1245</v>
      </c>
      <c r="C1738" s="43" t="s">
        <v>1618</v>
      </c>
      <c r="D1738" s="43">
        <v>4203060</v>
      </c>
      <c r="E1738" t="s">
        <v>321</v>
      </c>
      <c r="F1738" s="47" t="str">
        <f>+Centro_Cuenta8[[#This Row],[Codigo Centro Gestion]]&amp;" - "&amp;Centro_Cuenta8[[#This Row],[Nombre Centro Gestion]]</f>
        <v>10255103 - Condominio Lago Ranco-Operaciones</v>
      </c>
      <c r="G1738" s="47" t="str">
        <f>+Centro_Cuenta8[[#This Row],[Código Cuenta Contable]]&amp;" - "&amp;Centro_Cuenta8[[#This Row],[Nombre de Cuenta Contable]]</f>
        <v>4203060 - Gastos Operacionales De Clientes</v>
      </c>
      <c r="H1738" s="146" t="str">
        <f>+VLOOKUP(D1738,'3. Cuentas'!A:F,6,0)</f>
        <v>SI</v>
      </c>
    </row>
    <row r="1739" spans="1:8" x14ac:dyDescent="0.25">
      <c r="A1739" s="43">
        <v>10255103</v>
      </c>
      <c r="B1739" t="s">
        <v>1245</v>
      </c>
      <c r="C1739" s="43" t="s">
        <v>1618</v>
      </c>
      <c r="D1739" s="43">
        <v>4203090</v>
      </c>
      <c r="E1739" t="s">
        <v>192</v>
      </c>
      <c r="F1739" s="47" t="str">
        <f>+Centro_Cuenta8[[#This Row],[Codigo Centro Gestion]]&amp;" - "&amp;Centro_Cuenta8[[#This Row],[Nombre Centro Gestion]]</f>
        <v>10255103 - Condominio Lago Ranco-Operaciones</v>
      </c>
      <c r="G1739" s="47" t="str">
        <f>+Centro_Cuenta8[[#This Row],[Código Cuenta Contable]]&amp;" - "&amp;Centro_Cuenta8[[#This Row],[Nombre de Cuenta Contable]]</f>
        <v>4203090 - Gastos Legales Y Notariales Proyecto</v>
      </c>
      <c r="H1739" s="146" t="str">
        <f>+VLOOKUP(D1739,'3. Cuentas'!A:F,6,0)</f>
        <v>SI</v>
      </c>
    </row>
    <row r="1740" spans="1:8" x14ac:dyDescent="0.25">
      <c r="A1740" s="43">
        <v>10255104</v>
      </c>
      <c r="B1740" t="s">
        <v>1246</v>
      </c>
      <c r="C1740" s="43" t="s">
        <v>90</v>
      </c>
      <c r="D1740" s="43">
        <v>1110040</v>
      </c>
      <c r="E1740" t="s">
        <v>1505</v>
      </c>
      <c r="F1740" s="47" t="str">
        <f>+Centro_Cuenta8[[#This Row],[Codigo Centro Gestion]]&amp;" - "&amp;Centro_Cuenta8[[#This Row],[Nombre Centro Gestion]]</f>
        <v>10255104 - Condominio Lago Ranco-Ventas</v>
      </c>
      <c r="G1740" s="47" t="str">
        <f>+Centro_Cuenta8[[#This Row],[Código Cuenta Contable]]&amp;" - "&amp;Centro_Cuenta8[[#This Row],[Nombre de Cuenta Contable]]</f>
        <v>1110040 - Garantía Pagadas</v>
      </c>
      <c r="H1740" s="146" t="str">
        <f>+VLOOKUP(D1740,'3. Cuentas'!A:F,6,0)</f>
        <v>SI</v>
      </c>
    </row>
    <row r="1741" spans="1:8" x14ac:dyDescent="0.25">
      <c r="A1741" s="43">
        <v>10255104</v>
      </c>
      <c r="B1741" t="s">
        <v>1246</v>
      </c>
      <c r="C1741" s="43" t="s">
        <v>90</v>
      </c>
      <c r="D1741" s="43">
        <v>4202003</v>
      </c>
      <c r="E1741" t="s">
        <v>106</v>
      </c>
      <c r="F1741" s="47" t="str">
        <f>+Centro_Cuenta8[[#This Row],[Codigo Centro Gestion]]&amp;" - "&amp;Centro_Cuenta8[[#This Row],[Nombre Centro Gestion]]</f>
        <v>10255104 - Condominio Lago Ranco-Ventas</v>
      </c>
      <c r="G1741" s="47" t="str">
        <f>+Centro_Cuenta8[[#This Row],[Código Cuenta Contable]]&amp;" - "&amp;Centro_Cuenta8[[#This Row],[Nombre de Cuenta Contable]]</f>
        <v>4202003 - Serv.Basic.Luz.Agua.Tel Of.C</v>
      </c>
      <c r="H1741" s="146" t="str">
        <f>+VLOOKUP(D1741,'3. Cuentas'!A:F,6,0)</f>
        <v>SI</v>
      </c>
    </row>
    <row r="1742" spans="1:8" x14ac:dyDescent="0.25">
      <c r="A1742" s="43">
        <v>10255104</v>
      </c>
      <c r="B1742" t="s">
        <v>1246</v>
      </c>
      <c r="C1742" s="43" t="s">
        <v>90</v>
      </c>
      <c r="D1742" s="43">
        <v>4202010</v>
      </c>
      <c r="E1742" t="s">
        <v>87</v>
      </c>
      <c r="F1742" s="47" t="str">
        <f>+Centro_Cuenta8[[#This Row],[Codigo Centro Gestion]]&amp;" - "&amp;Centro_Cuenta8[[#This Row],[Nombre Centro Gestion]]</f>
        <v>10255104 - Condominio Lago Ranco-Ventas</v>
      </c>
      <c r="G1742" s="47" t="str">
        <f>+Centro_Cuenta8[[#This Row],[Código Cuenta Contable]]&amp;" - "&amp;Centro_Cuenta8[[#This Row],[Nombre de Cuenta Contable]]</f>
        <v>4202010 - Artic. Ofic. Fotocop.Papelería</v>
      </c>
      <c r="H1742" s="146" t="str">
        <f>+VLOOKUP(D1742,'3. Cuentas'!A:F,6,0)</f>
        <v>SI</v>
      </c>
    </row>
    <row r="1743" spans="1:8" x14ac:dyDescent="0.25">
      <c r="A1743" s="43">
        <v>10255104</v>
      </c>
      <c r="B1743" t="s">
        <v>1246</v>
      </c>
      <c r="C1743" s="43" t="s">
        <v>90</v>
      </c>
      <c r="D1743" s="43">
        <v>4202019</v>
      </c>
      <c r="E1743" t="s">
        <v>81</v>
      </c>
      <c r="F1743" s="47" t="str">
        <f>+Centro_Cuenta8[[#This Row],[Codigo Centro Gestion]]&amp;" - "&amp;Centro_Cuenta8[[#This Row],[Nombre Centro Gestion]]</f>
        <v>10255104 - Condominio Lago Ranco-Ventas</v>
      </c>
      <c r="G1743" s="47" t="str">
        <f>+Centro_Cuenta8[[#This Row],[Código Cuenta Contable]]&amp;" - "&amp;Centro_Cuenta8[[#This Row],[Nombre de Cuenta Contable]]</f>
        <v>4202019 - Gasto General Oficina</v>
      </c>
      <c r="H1743" s="146" t="str">
        <f>+VLOOKUP(D1743,'3. Cuentas'!A:F,6,0)</f>
        <v>SI</v>
      </c>
    </row>
    <row r="1744" spans="1:8" x14ac:dyDescent="0.25">
      <c r="A1744" s="43">
        <v>10255104</v>
      </c>
      <c r="B1744" t="s">
        <v>1246</v>
      </c>
      <c r="C1744" s="43" t="s">
        <v>90</v>
      </c>
      <c r="D1744" s="43">
        <v>4202023</v>
      </c>
      <c r="E1744" t="s">
        <v>82</v>
      </c>
      <c r="F1744" s="47" t="str">
        <f>+Centro_Cuenta8[[#This Row],[Codigo Centro Gestion]]&amp;" - "&amp;Centro_Cuenta8[[#This Row],[Nombre Centro Gestion]]</f>
        <v>10255104 - Condominio Lago Ranco-Ventas</v>
      </c>
      <c r="G1744" s="47" t="str">
        <f>+Centro_Cuenta8[[#This Row],[Código Cuenta Contable]]&amp;" - "&amp;Centro_Cuenta8[[#This Row],[Nombre de Cuenta Contable]]</f>
        <v>4202023 - Honorarios Por Asesorías</v>
      </c>
      <c r="H1744" s="146" t="str">
        <f>+VLOOKUP(D1744,'3. Cuentas'!A:F,6,0)</f>
        <v>SI</v>
      </c>
    </row>
    <row r="1745" spans="1:8" x14ac:dyDescent="0.25">
      <c r="A1745" s="43">
        <v>10255104</v>
      </c>
      <c r="B1745" t="s">
        <v>1246</v>
      </c>
      <c r="C1745" s="43" t="s">
        <v>90</v>
      </c>
      <c r="D1745" s="43">
        <v>4202029</v>
      </c>
      <c r="E1745" t="s">
        <v>83</v>
      </c>
      <c r="F1745" s="47" t="str">
        <f>+Centro_Cuenta8[[#This Row],[Codigo Centro Gestion]]&amp;" - "&amp;Centro_Cuenta8[[#This Row],[Nombre Centro Gestion]]</f>
        <v>10255104 - Condominio Lago Ranco-Ventas</v>
      </c>
      <c r="G1745" s="47" t="str">
        <f>+Centro_Cuenta8[[#This Row],[Código Cuenta Contable]]&amp;" - "&amp;Centro_Cuenta8[[#This Row],[Nombre de Cuenta Contable]]</f>
        <v>4202029 - Insumos Y Gastos Informáticos</v>
      </c>
      <c r="H1745" s="146" t="str">
        <f>+VLOOKUP(D1745,'3. Cuentas'!A:F,6,0)</f>
        <v>SI</v>
      </c>
    </row>
    <row r="1746" spans="1:8" x14ac:dyDescent="0.25">
      <c r="A1746" s="43">
        <v>10255104</v>
      </c>
      <c r="B1746" t="s">
        <v>1246</v>
      </c>
      <c r="C1746" s="43" t="s">
        <v>90</v>
      </c>
      <c r="D1746" s="43">
        <v>4204021</v>
      </c>
      <c r="E1746" t="s">
        <v>329</v>
      </c>
      <c r="F1746" s="47" t="str">
        <f>+Centro_Cuenta8[[#This Row],[Codigo Centro Gestion]]&amp;" - "&amp;Centro_Cuenta8[[#This Row],[Nombre Centro Gestion]]</f>
        <v>10255104 - Condominio Lago Ranco-Ventas</v>
      </c>
      <c r="G1746" s="47" t="str">
        <f>+Centro_Cuenta8[[#This Row],[Código Cuenta Contable]]&amp;" - "&amp;Centro_Cuenta8[[#This Row],[Nombre de Cuenta Contable]]</f>
        <v>4204021 - Publicidad Ferias Y Eventos</v>
      </c>
      <c r="H1746" s="146" t="str">
        <f>+VLOOKUP(D1746,'3. Cuentas'!A:F,6,0)</f>
        <v>SI</v>
      </c>
    </row>
    <row r="1747" spans="1:8" x14ac:dyDescent="0.25">
      <c r="A1747" s="43">
        <v>10255105</v>
      </c>
      <c r="B1747" t="s">
        <v>1247</v>
      </c>
      <c r="C1747" s="43" t="s">
        <v>1622</v>
      </c>
      <c r="D1747" s="43">
        <v>4203020</v>
      </c>
      <c r="E1747" t="s">
        <v>295</v>
      </c>
      <c r="F1747" s="47" t="str">
        <f>+Centro_Cuenta8[[#This Row],[Codigo Centro Gestion]]&amp;" - "&amp;Centro_Cuenta8[[#This Row],[Nombre Centro Gestion]]</f>
        <v>10255105 - Condominio Lago Ranco-Clientes</v>
      </c>
      <c r="G1747" s="47" t="str">
        <f>+Centro_Cuenta8[[#This Row],[Código Cuenta Contable]]&amp;" - "&amp;Centro_Cuenta8[[#This Row],[Nombre de Cuenta Contable]]</f>
        <v>4203020 - Mant. y Consum. Viv Stock</v>
      </c>
      <c r="H1747" s="146" t="str">
        <f>+VLOOKUP(D1747,'3. Cuentas'!A:F,6,0)</f>
        <v>SI</v>
      </c>
    </row>
    <row r="1748" spans="1:8" x14ac:dyDescent="0.25">
      <c r="A1748" s="43">
        <v>10255105</v>
      </c>
      <c r="B1748" t="s">
        <v>1247</v>
      </c>
      <c r="C1748" s="43" t="s">
        <v>1622</v>
      </c>
      <c r="D1748" s="43">
        <v>4203120</v>
      </c>
      <c r="E1748" t="s">
        <v>108</v>
      </c>
      <c r="F1748" s="47" t="str">
        <f>+Centro_Cuenta8[[#This Row],[Codigo Centro Gestion]]&amp;" - "&amp;Centro_Cuenta8[[#This Row],[Nombre Centro Gestion]]</f>
        <v>10255105 - Condominio Lago Ranco-Clientes</v>
      </c>
      <c r="G1748" s="47" t="str">
        <f>+Centro_Cuenta8[[#This Row],[Código Cuenta Contable]]&amp;" - "&amp;Centro_Cuenta8[[#This Row],[Nombre de Cuenta Contable]]</f>
        <v>4203120 - Gastos Comunes</v>
      </c>
      <c r="H1748" s="146" t="str">
        <f>+VLOOKUP(D1748,'3. Cuentas'!A:F,6,0)</f>
        <v>SI</v>
      </c>
    </row>
    <row r="1749" spans="1:8" x14ac:dyDescent="0.25">
      <c r="A1749" s="43">
        <v>10255105</v>
      </c>
      <c r="B1749" t="s">
        <v>1247</v>
      </c>
      <c r="C1749" s="43" t="s">
        <v>1622</v>
      </c>
      <c r="D1749" s="43">
        <v>4203140</v>
      </c>
      <c r="E1749" t="s">
        <v>109</v>
      </c>
      <c r="F1749" s="47" t="str">
        <f>+Centro_Cuenta8[[#This Row],[Codigo Centro Gestion]]&amp;" - "&amp;Centro_Cuenta8[[#This Row],[Nombre Centro Gestion]]</f>
        <v>10255105 - Condominio Lago Ranco-Clientes</v>
      </c>
      <c r="G1749" s="47" t="str">
        <f>+Centro_Cuenta8[[#This Row],[Código Cuenta Contable]]&amp;" - "&amp;Centro_Cuenta8[[#This Row],[Nombre de Cuenta Contable]]</f>
        <v>4203140 - Contribuciones</v>
      </c>
      <c r="H1749" s="146" t="str">
        <f>+VLOOKUP(D1749,'3. Cuentas'!A:F,6,0)</f>
        <v>SI</v>
      </c>
    </row>
    <row r="1750" spans="1:8" x14ac:dyDescent="0.25">
      <c r="A1750" s="43">
        <v>10255204</v>
      </c>
      <c r="B1750" t="s">
        <v>1248</v>
      </c>
      <c r="C1750" s="43" t="s">
        <v>1624</v>
      </c>
      <c r="D1750" s="43">
        <v>1103045</v>
      </c>
      <c r="E1750" t="s">
        <v>323</v>
      </c>
      <c r="F1750" s="47" t="str">
        <f>+Centro_Cuenta8[[#This Row],[Codigo Centro Gestion]]&amp;" - "&amp;Centro_Cuenta8[[#This Row],[Nombre Centro Gestion]]</f>
        <v>10255204 - Condominio Lago Ranco-Proyecto</v>
      </c>
      <c r="G1750" s="47" t="str">
        <f>+Centro_Cuenta8[[#This Row],[Código Cuenta Contable]]&amp;" - "&amp;Centro_Cuenta8[[#This Row],[Nombre de Cuenta Contable]]</f>
        <v>1103045 - Aportes reembolsables (electricidad y agua)</v>
      </c>
      <c r="H1750" s="146" t="str">
        <f>+VLOOKUP(D1750,'3. Cuentas'!A:F,6,0)</f>
        <v>SI</v>
      </c>
    </row>
    <row r="1751" spans="1:8" x14ac:dyDescent="0.25">
      <c r="A1751" s="43">
        <v>10255204</v>
      </c>
      <c r="B1751" t="s">
        <v>1248</v>
      </c>
      <c r="C1751" s="43" t="s">
        <v>1624</v>
      </c>
      <c r="D1751" s="43">
        <v>1109020</v>
      </c>
      <c r="E1751" t="s">
        <v>302</v>
      </c>
      <c r="F1751" s="47" t="str">
        <f>+Centro_Cuenta8[[#This Row],[Codigo Centro Gestion]]&amp;" - "&amp;Centro_Cuenta8[[#This Row],[Nombre Centro Gestion]]</f>
        <v>10255204 - Condominio Lago Ranco-Proyecto</v>
      </c>
      <c r="G1751" s="47" t="str">
        <f>+Centro_Cuenta8[[#This Row],[Código Cuenta Contable]]&amp;" - "&amp;Centro_Cuenta8[[#This Row],[Nombre de Cuenta Contable]]</f>
        <v>1109020 - Mobiliario</v>
      </c>
      <c r="H1751" s="146" t="str">
        <f>+VLOOKUP(D1751,'3. Cuentas'!A:F,6,0)</f>
        <v>SI</v>
      </c>
    </row>
    <row r="1752" spans="1:8" x14ac:dyDescent="0.25">
      <c r="A1752" s="43">
        <v>10255204</v>
      </c>
      <c r="B1752" t="s">
        <v>1248</v>
      </c>
      <c r="C1752" s="43" t="s">
        <v>1624</v>
      </c>
      <c r="D1752" s="43">
        <v>1110040</v>
      </c>
      <c r="E1752" t="s">
        <v>1505</v>
      </c>
      <c r="F1752" s="47" t="str">
        <f>+Centro_Cuenta8[[#This Row],[Codigo Centro Gestion]]&amp;" - "&amp;Centro_Cuenta8[[#This Row],[Nombre Centro Gestion]]</f>
        <v>10255204 - Condominio Lago Ranco-Proyecto</v>
      </c>
      <c r="G1752" s="47" t="str">
        <f>+Centro_Cuenta8[[#This Row],[Código Cuenta Contable]]&amp;" - "&amp;Centro_Cuenta8[[#This Row],[Nombre de Cuenta Contable]]</f>
        <v>1110040 - Garantía Pagadas</v>
      </c>
      <c r="H1752" s="146" t="str">
        <f>+VLOOKUP(D1752,'3. Cuentas'!A:F,6,0)</f>
        <v>SI</v>
      </c>
    </row>
    <row r="1753" spans="1:8" x14ac:dyDescent="0.25">
      <c r="A1753" s="43">
        <v>10255204</v>
      </c>
      <c r="B1753" t="s">
        <v>1248</v>
      </c>
      <c r="C1753" s="43" t="s">
        <v>1624</v>
      </c>
      <c r="D1753" s="43">
        <v>1115040</v>
      </c>
      <c r="E1753" t="s">
        <v>291</v>
      </c>
      <c r="F1753" s="47" t="str">
        <f>+Centro_Cuenta8[[#This Row],[Codigo Centro Gestion]]&amp;" - "&amp;Centro_Cuenta8[[#This Row],[Nombre Centro Gestion]]</f>
        <v>10255204 - Condominio Lago Ranco-Proyecto</v>
      </c>
      <c r="G1753" s="47" t="str">
        <f>+Centro_Cuenta8[[#This Row],[Código Cuenta Contable]]&amp;" - "&amp;Centro_Cuenta8[[#This Row],[Nombre de Cuenta Contable]]</f>
        <v>1115040 - Saneamiento De Terreno</v>
      </c>
      <c r="H1753" s="146" t="str">
        <f>+VLOOKUP(D1753,'3. Cuentas'!A:F,6,0)</f>
        <v>SI</v>
      </c>
    </row>
    <row r="1754" spans="1:8" x14ac:dyDescent="0.25">
      <c r="A1754" s="43">
        <v>10255204</v>
      </c>
      <c r="B1754" t="s">
        <v>1248</v>
      </c>
      <c r="C1754" s="43" t="s">
        <v>1624</v>
      </c>
      <c r="D1754" s="43">
        <v>1115050</v>
      </c>
      <c r="E1754" t="s">
        <v>1628</v>
      </c>
      <c r="F1754" s="47" t="str">
        <f>+Centro_Cuenta8[[#This Row],[Codigo Centro Gestion]]&amp;" - "&amp;Centro_Cuenta8[[#This Row],[Nombre Centro Gestion]]</f>
        <v>10255204 - Condominio Lago Ranco-Proyecto</v>
      </c>
      <c r="G1754" s="47" t="str">
        <f>+Centro_Cuenta8[[#This Row],[Código Cuenta Contable]]&amp;" - "&amp;Centro_Cuenta8[[#This Row],[Nombre de Cuenta Contable]]</f>
        <v>1115050 - Demolición</v>
      </c>
      <c r="H1754" s="146" t="str">
        <f>+VLOOKUP(D1754,'3. Cuentas'!A:F,6,0)</f>
        <v>SI</v>
      </c>
    </row>
    <row r="1755" spans="1:8" x14ac:dyDescent="0.25">
      <c r="A1755" s="43">
        <v>10255204</v>
      </c>
      <c r="B1755" t="s">
        <v>1248</v>
      </c>
      <c r="C1755" s="43" t="s">
        <v>1624</v>
      </c>
      <c r="D1755" s="43">
        <v>1115100</v>
      </c>
      <c r="E1755" t="s">
        <v>292</v>
      </c>
      <c r="F1755" s="47" t="str">
        <f>+Centro_Cuenta8[[#This Row],[Codigo Centro Gestion]]&amp;" - "&amp;Centro_Cuenta8[[#This Row],[Nombre Centro Gestion]]</f>
        <v>10255204 - Condominio Lago Ranco-Proyecto</v>
      </c>
      <c r="G1755" s="47" t="str">
        <f>+Centro_Cuenta8[[#This Row],[Código Cuenta Contable]]&amp;" - "&amp;Centro_Cuenta8[[#This Row],[Nombre de Cuenta Contable]]</f>
        <v>1115100 - Proyectos Y Especialidades</v>
      </c>
      <c r="H1755" s="146" t="str">
        <f>+VLOOKUP(D1755,'3. Cuentas'!A:F,6,0)</f>
        <v>SI</v>
      </c>
    </row>
    <row r="1756" spans="1:8" x14ac:dyDescent="0.25">
      <c r="A1756" s="43">
        <v>10255204</v>
      </c>
      <c r="B1756" t="s">
        <v>1248</v>
      </c>
      <c r="C1756" s="43" t="s">
        <v>1624</v>
      </c>
      <c r="D1756" s="43">
        <v>1115120</v>
      </c>
      <c r="E1756" t="s">
        <v>1633</v>
      </c>
      <c r="F1756" s="47" t="str">
        <f>+Centro_Cuenta8[[#This Row],[Codigo Centro Gestion]]&amp;" - "&amp;Centro_Cuenta8[[#This Row],[Nombre Centro Gestion]]</f>
        <v>10255204 - Condominio Lago Ranco-Proyecto</v>
      </c>
      <c r="G1756" s="47" t="str">
        <f>+Centro_Cuenta8[[#This Row],[Código Cuenta Contable]]&amp;" - "&amp;Centro_Cuenta8[[#This Row],[Nombre de Cuenta Contable]]</f>
        <v>1115120 - Instalación Empalmes</v>
      </c>
      <c r="H1756" s="146" t="str">
        <f>+VLOOKUP(D1756,'3. Cuentas'!A:F,6,0)</f>
        <v>SI</v>
      </c>
    </row>
    <row r="1757" spans="1:8" x14ac:dyDescent="0.25">
      <c r="A1757" s="43">
        <v>10255204</v>
      </c>
      <c r="B1757" t="s">
        <v>1248</v>
      </c>
      <c r="C1757" s="43" t="s">
        <v>1624</v>
      </c>
      <c r="D1757" s="43">
        <v>1115170</v>
      </c>
      <c r="E1757" t="s">
        <v>293</v>
      </c>
      <c r="F1757" s="47" t="str">
        <f>+Centro_Cuenta8[[#This Row],[Codigo Centro Gestion]]&amp;" - "&amp;Centro_Cuenta8[[#This Row],[Nombre Centro Gestion]]</f>
        <v>10255204 - Condominio Lago Ranco-Proyecto</v>
      </c>
      <c r="G1757" s="47" t="str">
        <f>+Centro_Cuenta8[[#This Row],[Código Cuenta Contable]]&amp;" - "&amp;Centro_Cuenta8[[#This Row],[Nombre de Cuenta Contable]]</f>
        <v>1115170 - Permisos Y Otros Gastos Municipales</v>
      </c>
      <c r="H1757" s="146" t="str">
        <f>+VLOOKUP(D1757,'3. Cuentas'!A:F,6,0)</f>
        <v>SI</v>
      </c>
    </row>
    <row r="1758" spans="1:8" x14ac:dyDescent="0.25">
      <c r="A1758" s="43">
        <v>10255204</v>
      </c>
      <c r="B1758" t="s">
        <v>1248</v>
      </c>
      <c r="C1758" s="43" t="s">
        <v>1624</v>
      </c>
      <c r="D1758" s="43">
        <v>1115240</v>
      </c>
      <c r="E1758" t="s">
        <v>294</v>
      </c>
      <c r="F1758" s="47" t="str">
        <f>+Centro_Cuenta8[[#This Row],[Codigo Centro Gestion]]&amp;" - "&amp;Centro_Cuenta8[[#This Row],[Nombre Centro Gestion]]</f>
        <v>10255204 - Condominio Lago Ranco-Proyecto</v>
      </c>
      <c r="G1758" s="47" t="str">
        <f>+Centro_Cuenta8[[#This Row],[Código Cuenta Contable]]&amp;" - "&amp;Centro_Cuenta8[[#This Row],[Nombre de Cuenta Contable]]</f>
        <v>1115240 - Estudios Y Asesorias Técnicas</v>
      </c>
      <c r="H1758" s="146" t="str">
        <f>+VLOOKUP(D1758,'3. Cuentas'!A:F,6,0)</f>
        <v>SI</v>
      </c>
    </row>
    <row r="1759" spans="1:8" x14ac:dyDescent="0.25">
      <c r="A1759" s="43">
        <v>10255204</v>
      </c>
      <c r="B1759" t="s">
        <v>1248</v>
      </c>
      <c r="C1759" s="43" t="s">
        <v>1624</v>
      </c>
      <c r="D1759" s="43">
        <v>4203090</v>
      </c>
      <c r="E1759" t="s">
        <v>192</v>
      </c>
      <c r="F1759" s="47" t="str">
        <f>+Centro_Cuenta8[[#This Row],[Codigo Centro Gestion]]&amp;" - "&amp;Centro_Cuenta8[[#This Row],[Nombre Centro Gestion]]</f>
        <v>10255204 - Condominio Lago Ranco-Proyecto</v>
      </c>
      <c r="G1759" s="47" t="str">
        <f>+Centro_Cuenta8[[#This Row],[Código Cuenta Contable]]&amp;" - "&amp;Centro_Cuenta8[[#This Row],[Nombre de Cuenta Contable]]</f>
        <v>4203090 - Gastos Legales Y Notariales Proyecto</v>
      </c>
      <c r="H1759" s="146" t="str">
        <f>+VLOOKUP(D1759,'3. Cuentas'!A:F,6,0)</f>
        <v>SI</v>
      </c>
    </row>
    <row r="1760" spans="1:8" x14ac:dyDescent="0.25">
      <c r="A1760" s="43">
        <v>10255204</v>
      </c>
      <c r="B1760" t="s">
        <v>1248</v>
      </c>
      <c r="C1760" s="43" t="s">
        <v>1624</v>
      </c>
      <c r="D1760" s="43">
        <v>4203140</v>
      </c>
      <c r="E1760" t="s">
        <v>109</v>
      </c>
      <c r="F1760" s="47" t="str">
        <f>+Centro_Cuenta8[[#This Row],[Codigo Centro Gestion]]&amp;" - "&amp;Centro_Cuenta8[[#This Row],[Nombre Centro Gestion]]</f>
        <v>10255204 - Condominio Lago Ranco-Proyecto</v>
      </c>
      <c r="G1760" s="47" t="str">
        <f>+Centro_Cuenta8[[#This Row],[Código Cuenta Contable]]&amp;" - "&amp;Centro_Cuenta8[[#This Row],[Nombre de Cuenta Contable]]</f>
        <v>4203140 - Contribuciones</v>
      </c>
      <c r="H1760" s="146" t="str">
        <f>+VLOOKUP(D1760,'3. Cuentas'!A:F,6,0)</f>
        <v>SI</v>
      </c>
    </row>
    <row r="1761" spans="1:8" x14ac:dyDescent="0.25">
      <c r="A1761" s="43">
        <v>10255204</v>
      </c>
      <c r="B1761" t="s">
        <v>1248</v>
      </c>
      <c r="C1761" s="43" t="s">
        <v>1624</v>
      </c>
      <c r="D1761" s="43">
        <v>4203150</v>
      </c>
      <c r="E1761" t="s">
        <v>156</v>
      </c>
      <c r="F1761" s="47" t="str">
        <f>+Centro_Cuenta8[[#This Row],[Codigo Centro Gestion]]&amp;" - "&amp;Centro_Cuenta8[[#This Row],[Nombre Centro Gestion]]</f>
        <v>10255204 - Condominio Lago Ranco-Proyecto</v>
      </c>
      <c r="G1761" s="47" t="str">
        <f>+Centro_Cuenta8[[#This Row],[Código Cuenta Contable]]&amp;" - "&amp;Centro_Cuenta8[[#This Row],[Nombre de Cuenta Contable]]</f>
        <v>4203150 - Gastos CBR</v>
      </c>
      <c r="H1761" s="146" t="str">
        <f>+VLOOKUP(D1761,'3. Cuentas'!A:F,6,0)</f>
        <v>SI</v>
      </c>
    </row>
    <row r="1762" spans="1:8" x14ac:dyDescent="0.25">
      <c r="A1762" s="43">
        <v>10255204</v>
      </c>
      <c r="B1762" t="s">
        <v>1248</v>
      </c>
      <c r="C1762" s="43" t="s">
        <v>1624</v>
      </c>
      <c r="D1762" s="43">
        <v>4203160</v>
      </c>
      <c r="E1762" t="s">
        <v>1639</v>
      </c>
      <c r="F1762" s="47" t="str">
        <f>+Centro_Cuenta8[[#This Row],[Codigo Centro Gestion]]&amp;" - "&amp;Centro_Cuenta8[[#This Row],[Nombre Centro Gestion]]</f>
        <v>10255204 - Condominio Lago Ranco-Proyecto</v>
      </c>
      <c r="G1762" s="47" t="str">
        <f>+Centro_Cuenta8[[#This Row],[Código Cuenta Contable]]&amp;" - "&amp;Centro_Cuenta8[[#This Row],[Nombre de Cuenta Contable]]</f>
        <v>4203160 - PAPELERIA Y FOTOCOPIADO</v>
      </c>
      <c r="H1762" s="146" t="str">
        <f>+VLOOKUP(D1762,'3. Cuentas'!A:F,6,0)</f>
        <v>SI</v>
      </c>
    </row>
    <row r="1763" spans="1:8" x14ac:dyDescent="0.25">
      <c r="A1763" s="43">
        <v>10255204</v>
      </c>
      <c r="B1763" t="s">
        <v>1248</v>
      </c>
      <c r="C1763" s="43" t="s">
        <v>1624</v>
      </c>
      <c r="D1763" s="43">
        <v>4203180</v>
      </c>
      <c r="E1763" t="s">
        <v>1640</v>
      </c>
      <c r="F1763" s="47" t="str">
        <f>+Centro_Cuenta8[[#This Row],[Codigo Centro Gestion]]&amp;" - "&amp;Centro_Cuenta8[[#This Row],[Nombre Centro Gestion]]</f>
        <v>10255204 - Condominio Lago Ranco-Proyecto</v>
      </c>
      <c r="G1763" s="47" t="str">
        <f>+Centro_Cuenta8[[#This Row],[Código Cuenta Contable]]&amp;" - "&amp;Centro_Cuenta8[[#This Row],[Nombre de Cuenta Contable]]</f>
        <v>4203180 - Otros Gastos y Aseso Proy</v>
      </c>
      <c r="H1763" s="146" t="str">
        <f>+VLOOKUP(D1763,'3. Cuentas'!A:F,6,0)</f>
        <v>SI</v>
      </c>
    </row>
    <row r="1764" spans="1:8" x14ac:dyDescent="0.25">
      <c r="A1764" s="43">
        <v>10255301</v>
      </c>
      <c r="B1764" t="s">
        <v>1249</v>
      </c>
      <c r="C1764" s="43" t="s">
        <v>1643</v>
      </c>
      <c r="D1764" s="43">
        <v>4203090</v>
      </c>
      <c r="E1764" t="s">
        <v>192</v>
      </c>
      <c r="F1764" s="47" t="str">
        <f>+Centro_Cuenta8[[#This Row],[Codigo Centro Gestion]]&amp;" - "&amp;Centro_Cuenta8[[#This Row],[Nombre Centro Gestion]]</f>
        <v>10255301 - Condominio Lago Ranco-GAF</v>
      </c>
      <c r="G1764" s="47" t="str">
        <f>+Centro_Cuenta8[[#This Row],[Código Cuenta Contable]]&amp;" - "&amp;Centro_Cuenta8[[#This Row],[Nombre de Cuenta Contable]]</f>
        <v>4203090 - Gastos Legales Y Notariales Proyecto</v>
      </c>
      <c r="H1764" s="146" t="str">
        <f>+VLOOKUP(D1764,'3. Cuentas'!A:F,6,0)</f>
        <v>SI</v>
      </c>
    </row>
    <row r="1765" spans="1:8" x14ac:dyDescent="0.25">
      <c r="A1765" s="43">
        <v>10255301</v>
      </c>
      <c r="B1765" t="s">
        <v>1249</v>
      </c>
      <c r="C1765" s="43" t="s">
        <v>1643</v>
      </c>
      <c r="D1765" s="43">
        <v>4203140</v>
      </c>
      <c r="E1765" t="s">
        <v>109</v>
      </c>
      <c r="F1765" s="47" t="str">
        <f>+Centro_Cuenta8[[#This Row],[Codigo Centro Gestion]]&amp;" - "&amp;Centro_Cuenta8[[#This Row],[Nombre Centro Gestion]]</f>
        <v>10255301 - Condominio Lago Ranco-GAF</v>
      </c>
      <c r="G1765" s="47" t="str">
        <f>+Centro_Cuenta8[[#This Row],[Código Cuenta Contable]]&amp;" - "&amp;Centro_Cuenta8[[#This Row],[Nombre de Cuenta Contable]]</f>
        <v>4203140 - Contribuciones</v>
      </c>
      <c r="H1765" s="146" t="str">
        <f>+VLOOKUP(D1765,'3. Cuentas'!A:F,6,0)</f>
        <v>SI</v>
      </c>
    </row>
    <row r="1766" spans="1:8" x14ac:dyDescent="0.25">
      <c r="A1766" s="43">
        <v>10255506</v>
      </c>
      <c r="B1766" t="s">
        <v>1251</v>
      </c>
      <c r="C1766" s="43" t="s">
        <v>200</v>
      </c>
      <c r="D1766" s="43">
        <v>1115100</v>
      </c>
      <c r="E1766" t="s">
        <v>292</v>
      </c>
      <c r="F1766" s="47" t="str">
        <f>+Centro_Cuenta8[[#This Row],[Codigo Centro Gestion]]&amp;" - "&amp;Centro_Cuenta8[[#This Row],[Nombre Centro Gestion]]</f>
        <v>10255506 - Condominio Lago Ranco-Depto.Técnico</v>
      </c>
      <c r="G1766" s="47" t="str">
        <f>+Centro_Cuenta8[[#This Row],[Código Cuenta Contable]]&amp;" - "&amp;Centro_Cuenta8[[#This Row],[Nombre de Cuenta Contable]]</f>
        <v>1115100 - Proyectos Y Especialidades</v>
      </c>
      <c r="H1766" s="146" t="str">
        <f>+VLOOKUP(D1766,'3. Cuentas'!A:F,6,0)</f>
        <v>SI</v>
      </c>
    </row>
    <row r="1767" spans="1:8" x14ac:dyDescent="0.25">
      <c r="A1767" s="43">
        <v>10256102</v>
      </c>
      <c r="B1767" t="s">
        <v>1252</v>
      </c>
      <c r="C1767" s="43" t="s">
        <v>1617</v>
      </c>
      <c r="D1767" s="43">
        <v>4204010</v>
      </c>
      <c r="E1767" t="s">
        <v>313</v>
      </c>
      <c r="F1767" s="47" t="str">
        <f>+Centro_Cuenta8[[#This Row],[Codigo Centro Gestion]]&amp;" - "&amp;Centro_Cuenta8[[#This Row],[Nombre Centro Gestion]]</f>
        <v>10256102 - Edificio Lynch-Marketing</v>
      </c>
      <c r="G1767" s="47" t="str">
        <f>+Centro_Cuenta8[[#This Row],[Código Cuenta Contable]]&amp;" - "&amp;Centro_Cuenta8[[#This Row],[Nombre de Cuenta Contable]]</f>
        <v>4204010 - Publicidad Punto Venta</v>
      </c>
      <c r="H1767" s="146" t="str">
        <f>+VLOOKUP(D1767,'3. Cuentas'!A:F,6,0)</f>
        <v>SI</v>
      </c>
    </row>
    <row r="1768" spans="1:8" x14ac:dyDescent="0.25">
      <c r="A1768" s="43">
        <v>10256102</v>
      </c>
      <c r="B1768" t="s">
        <v>1252</v>
      </c>
      <c r="C1768" s="43" t="s">
        <v>1617</v>
      </c>
      <c r="D1768" s="43">
        <v>4204021</v>
      </c>
      <c r="E1768" t="s">
        <v>329</v>
      </c>
      <c r="F1768" s="47" t="str">
        <f>+Centro_Cuenta8[[#This Row],[Codigo Centro Gestion]]&amp;" - "&amp;Centro_Cuenta8[[#This Row],[Nombre Centro Gestion]]</f>
        <v>10256102 - Edificio Lynch-Marketing</v>
      </c>
      <c r="G1768" s="47" t="str">
        <f>+Centro_Cuenta8[[#This Row],[Código Cuenta Contable]]&amp;" - "&amp;Centro_Cuenta8[[#This Row],[Nombre de Cuenta Contable]]</f>
        <v>4204021 - Publicidad Ferias Y Eventos</v>
      </c>
      <c r="H1768" s="146" t="str">
        <f>+VLOOKUP(D1768,'3. Cuentas'!A:F,6,0)</f>
        <v>SI</v>
      </c>
    </row>
    <row r="1769" spans="1:8" x14ac:dyDescent="0.25">
      <c r="A1769" s="43">
        <v>10256103</v>
      </c>
      <c r="B1769" t="s">
        <v>1253</v>
      </c>
      <c r="C1769" s="43" t="s">
        <v>1618</v>
      </c>
      <c r="D1769" s="43">
        <v>4203060</v>
      </c>
      <c r="E1769" t="s">
        <v>321</v>
      </c>
      <c r="F1769" s="47" t="str">
        <f>+Centro_Cuenta8[[#This Row],[Codigo Centro Gestion]]&amp;" - "&amp;Centro_Cuenta8[[#This Row],[Nombre Centro Gestion]]</f>
        <v>10256103 - Edificio Lynch-Operaciones</v>
      </c>
      <c r="G1769" s="47" t="str">
        <f>+Centro_Cuenta8[[#This Row],[Código Cuenta Contable]]&amp;" - "&amp;Centro_Cuenta8[[#This Row],[Nombre de Cuenta Contable]]</f>
        <v>4203060 - Gastos Operacionales De Clientes</v>
      </c>
      <c r="H1769" s="146" t="str">
        <f>+VLOOKUP(D1769,'3. Cuentas'!A:F,6,0)</f>
        <v>SI</v>
      </c>
    </row>
    <row r="1770" spans="1:8" x14ac:dyDescent="0.25">
      <c r="A1770" s="43">
        <v>10256103</v>
      </c>
      <c r="B1770" t="s">
        <v>1253</v>
      </c>
      <c r="C1770" s="43" t="s">
        <v>1618</v>
      </c>
      <c r="D1770" s="43">
        <v>4203090</v>
      </c>
      <c r="E1770" t="s">
        <v>192</v>
      </c>
      <c r="F1770" s="47" t="str">
        <f>+Centro_Cuenta8[[#This Row],[Codigo Centro Gestion]]&amp;" - "&amp;Centro_Cuenta8[[#This Row],[Nombre Centro Gestion]]</f>
        <v>10256103 - Edificio Lynch-Operaciones</v>
      </c>
      <c r="G1770" s="47" t="str">
        <f>+Centro_Cuenta8[[#This Row],[Código Cuenta Contable]]&amp;" - "&amp;Centro_Cuenta8[[#This Row],[Nombre de Cuenta Contable]]</f>
        <v>4203090 - Gastos Legales Y Notariales Proyecto</v>
      </c>
      <c r="H1770" s="146" t="str">
        <f>+VLOOKUP(D1770,'3. Cuentas'!A:F,6,0)</f>
        <v>SI</v>
      </c>
    </row>
    <row r="1771" spans="1:8" x14ac:dyDescent="0.25">
      <c r="A1771" s="43">
        <v>10256104</v>
      </c>
      <c r="B1771" t="s">
        <v>1254</v>
      </c>
      <c r="C1771" s="43" t="s">
        <v>90</v>
      </c>
      <c r="D1771" s="43">
        <v>1110040</v>
      </c>
      <c r="E1771" t="s">
        <v>1505</v>
      </c>
      <c r="F1771" s="47" t="str">
        <f>+Centro_Cuenta8[[#This Row],[Codigo Centro Gestion]]&amp;" - "&amp;Centro_Cuenta8[[#This Row],[Nombre Centro Gestion]]</f>
        <v>10256104 - Edificio Lynch-Ventas</v>
      </c>
      <c r="G1771" s="47" t="str">
        <f>+Centro_Cuenta8[[#This Row],[Código Cuenta Contable]]&amp;" - "&amp;Centro_Cuenta8[[#This Row],[Nombre de Cuenta Contable]]</f>
        <v>1110040 - Garantía Pagadas</v>
      </c>
      <c r="H1771" s="146" t="str">
        <f>+VLOOKUP(D1771,'3. Cuentas'!A:F,6,0)</f>
        <v>SI</v>
      </c>
    </row>
    <row r="1772" spans="1:8" x14ac:dyDescent="0.25">
      <c r="A1772" s="43">
        <v>10256104</v>
      </c>
      <c r="B1772" t="s">
        <v>1254</v>
      </c>
      <c r="C1772" s="43" t="s">
        <v>90</v>
      </c>
      <c r="D1772" s="43">
        <v>4202003</v>
      </c>
      <c r="E1772" t="s">
        <v>106</v>
      </c>
      <c r="F1772" s="47" t="str">
        <f>+Centro_Cuenta8[[#This Row],[Codigo Centro Gestion]]&amp;" - "&amp;Centro_Cuenta8[[#This Row],[Nombre Centro Gestion]]</f>
        <v>10256104 - Edificio Lynch-Ventas</v>
      </c>
      <c r="G1772" s="47" t="str">
        <f>+Centro_Cuenta8[[#This Row],[Código Cuenta Contable]]&amp;" - "&amp;Centro_Cuenta8[[#This Row],[Nombre de Cuenta Contable]]</f>
        <v>4202003 - Serv.Basic.Luz.Agua.Tel Of.C</v>
      </c>
      <c r="H1772" s="146" t="str">
        <f>+VLOOKUP(D1772,'3. Cuentas'!A:F,6,0)</f>
        <v>SI</v>
      </c>
    </row>
    <row r="1773" spans="1:8" x14ac:dyDescent="0.25">
      <c r="A1773" s="43">
        <v>10256104</v>
      </c>
      <c r="B1773" t="s">
        <v>1254</v>
      </c>
      <c r="C1773" s="43" t="s">
        <v>90</v>
      </c>
      <c r="D1773" s="43">
        <v>4202010</v>
      </c>
      <c r="E1773" t="s">
        <v>87</v>
      </c>
      <c r="F1773" s="47" t="str">
        <f>+Centro_Cuenta8[[#This Row],[Codigo Centro Gestion]]&amp;" - "&amp;Centro_Cuenta8[[#This Row],[Nombre Centro Gestion]]</f>
        <v>10256104 - Edificio Lynch-Ventas</v>
      </c>
      <c r="G1773" s="47" t="str">
        <f>+Centro_Cuenta8[[#This Row],[Código Cuenta Contable]]&amp;" - "&amp;Centro_Cuenta8[[#This Row],[Nombre de Cuenta Contable]]</f>
        <v>4202010 - Artic. Ofic. Fotocop.Papelería</v>
      </c>
      <c r="H1773" s="146" t="str">
        <f>+VLOOKUP(D1773,'3. Cuentas'!A:F,6,0)</f>
        <v>SI</v>
      </c>
    </row>
    <row r="1774" spans="1:8" x14ac:dyDescent="0.25">
      <c r="A1774" s="43">
        <v>10256104</v>
      </c>
      <c r="B1774" t="s">
        <v>1254</v>
      </c>
      <c r="C1774" s="43" t="s">
        <v>90</v>
      </c>
      <c r="D1774" s="43">
        <v>4202019</v>
      </c>
      <c r="E1774" t="s">
        <v>81</v>
      </c>
      <c r="F1774" s="47" t="str">
        <f>+Centro_Cuenta8[[#This Row],[Codigo Centro Gestion]]&amp;" - "&amp;Centro_Cuenta8[[#This Row],[Nombre Centro Gestion]]</f>
        <v>10256104 - Edificio Lynch-Ventas</v>
      </c>
      <c r="G1774" s="47" t="str">
        <f>+Centro_Cuenta8[[#This Row],[Código Cuenta Contable]]&amp;" - "&amp;Centro_Cuenta8[[#This Row],[Nombre de Cuenta Contable]]</f>
        <v>4202019 - Gasto General Oficina</v>
      </c>
      <c r="H1774" s="146" t="str">
        <f>+VLOOKUP(D1774,'3. Cuentas'!A:F,6,0)</f>
        <v>SI</v>
      </c>
    </row>
    <row r="1775" spans="1:8" x14ac:dyDescent="0.25">
      <c r="A1775" s="43">
        <v>10256104</v>
      </c>
      <c r="B1775" t="s">
        <v>1254</v>
      </c>
      <c r="C1775" s="43" t="s">
        <v>90</v>
      </c>
      <c r="D1775" s="43">
        <v>4202023</v>
      </c>
      <c r="E1775" t="s">
        <v>82</v>
      </c>
      <c r="F1775" s="47" t="str">
        <f>+Centro_Cuenta8[[#This Row],[Codigo Centro Gestion]]&amp;" - "&amp;Centro_Cuenta8[[#This Row],[Nombre Centro Gestion]]</f>
        <v>10256104 - Edificio Lynch-Ventas</v>
      </c>
      <c r="G1775" s="47" t="str">
        <f>+Centro_Cuenta8[[#This Row],[Código Cuenta Contable]]&amp;" - "&amp;Centro_Cuenta8[[#This Row],[Nombre de Cuenta Contable]]</f>
        <v>4202023 - Honorarios Por Asesorías</v>
      </c>
      <c r="H1775" s="146" t="str">
        <f>+VLOOKUP(D1775,'3. Cuentas'!A:F,6,0)</f>
        <v>SI</v>
      </c>
    </row>
    <row r="1776" spans="1:8" x14ac:dyDescent="0.25">
      <c r="A1776" s="43">
        <v>10256104</v>
      </c>
      <c r="B1776" t="s">
        <v>1254</v>
      </c>
      <c r="C1776" s="43" t="s">
        <v>90</v>
      </c>
      <c r="D1776" s="43">
        <v>4202029</v>
      </c>
      <c r="E1776" t="s">
        <v>83</v>
      </c>
      <c r="F1776" s="47" t="str">
        <f>+Centro_Cuenta8[[#This Row],[Codigo Centro Gestion]]&amp;" - "&amp;Centro_Cuenta8[[#This Row],[Nombre Centro Gestion]]</f>
        <v>10256104 - Edificio Lynch-Ventas</v>
      </c>
      <c r="G1776" s="47" t="str">
        <f>+Centro_Cuenta8[[#This Row],[Código Cuenta Contable]]&amp;" - "&amp;Centro_Cuenta8[[#This Row],[Nombre de Cuenta Contable]]</f>
        <v>4202029 - Insumos Y Gastos Informáticos</v>
      </c>
      <c r="H1776" s="146" t="str">
        <f>+VLOOKUP(D1776,'3. Cuentas'!A:F,6,0)</f>
        <v>SI</v>
      </c>
    </row>
    <row r="1777" spans="1:8" x14ac:dyDescent="0.25">
      <c r="A1777" s="43">
        <v>10256104</v>
      </c>
      <c r="B1777" t="s">
        <v>1254</v>
      </c>
      <c r="C1777" s="43" t="s">
        <v>90</v>
      </c>
      <c r="D1777" s="43">
        <v>4204021</v>
      </c>
      <c r="E1777" t="s">
        <v>329</v>
      </c>
      <c r="F1777" s="47" t="str">
        <f>+Centro_Cuenta8[[#This Row],[Codigo Centro Gestion]]&amp;" - "&amp;Centro_Cuenta8[[#This Row],[Nombre Centro Gestion]]</f>
        <v>10256104 - Edificio Lynch-Ventas</v>
      </c>
      <c r="G1777" s="47" t="str">
        <f>+Centro_Cuenta8[[#This Row],[Código Cuenta Contable]]&amp;" - "&amp;Centro_Cuenta8[[#This Row],[Nombre de Cuenta Contable]]</f>
        <v>4204021 - Publicidad Ferias Y Eventos</v>
      </c>
      <c r="H1777" s="146" t="str">
        <f>+VLOOKUP(D1777,'3. Cuentas'!A:F,6,0)</f>
        <v>SI</v>
      </c>
    </row>
    <row r="1778" spans="1:8" x14ac:dyDescent="0.25">
      <c r="A1778" s="43">
        <v>10256105</v>
      </c>
      <c r="B1778" t="s">
        <v>1255</v>
      </c>
      <c r="C1778" s="43" t="s">
        <v>1622</v>
      </c>
      <c r="D1778" s="43">
        <v>4203020</v>
      </c>
      <c r="E1778" t="s">
        <v>295</v>
      </c>
      <c r="F1778" s="47" t="str">
        <f>+Centro_Cuenta8[[#This Row],[Codigo Centro Gestion]]&amp;" - "&amp;Centro_Cuenta8[[#This Row],[Nombre Centro Gestion]]</f>
        <v>10256105 - Edificio Lynch-Clientes</v>
      </c>
      <c r="G1778" s="47" t="str">
        <f>+Centro_Cuenta8[[#This Row],[Código Cuenta Contable]]&amp;" - "&amp;Centro_Cuenta8[[#This Row],[Nombre de Cuenta Contable]]</f>
        <v>4203020 - Mant. y Consum. Viv Stock</v>
      </c>
      <c r="H1778" s="146" t="str">
        <f>+VLOOKUP(D1778,'3. Cuentas'!A:F,6,0)</f>
        <v>SI</v>
      </c>
    </row>
    <row r="1779" spans="1:8" x14ac:dyDescent="0.25">
      <c r="A1779" s="43">
        <v>10256105</v>
      </c>
      <c r="B1779" t="s">
        <v>1255</v>
      </c>
      <c r="C1779" s="43" t="s">
        <v>1622</v>
      </c>
      <c r="D1779" s="43">
        <v>4203120</v>
      </c>
      <c r="E1779" t="s">
        <v>108</v>
      </c>
      <c r="F1779" s="47" t="str">
        <f>+Centro_Cuenta8[[#This Row],[Codigo Centro Gestion]]&amp;" - "&amp;Centro_Cuenta8[[#This Row],[Nombre Centro Gestion]]</f>
        <v>10256105 - Edificio Lynch-Clientes</v>
      </c>
      <c r="G1779" s="47" t="str">
        <f>+Centro_Cuenta8[[#This Row],[Código Cuenta Contable]]&amp;" - "&amp;Centro_Cuenta8[[#This Row],[Nombre de Cuenta Contable]]</f>
        <v>4203120 - Gastos Comunes</v>
      </c>
      <c r="H1779" s="146" t="str">
        <f>+VLOOKUP(D1779,'3. Cuentas'!A:F,6,0)</f>
        <v>SI</v>
      </c>
    </row>
    <row r="1780" spans="1:8" x14ac:dyDescent="0.25">
      <c r="A1780" s="43">
        <v>10256105</v>
      </c>
      <c r="B1780" t="s">
        <v>1255</v>
      </c>
      <c r="C1780" s="43" t="s">
        <v>1622</v>
      </c>
      <c r="D1780" s="43">
        <v>4203140</v>
      </c>
      <c r="E1780" t="s">
        <v>109</v>
      </c>
      <c r="F1780" s="47" t="str">
        <f>+Centro_Cuenta8[[#This Row],[Codigo Centro Gestion]]&amp;" - "&amp;Centro_Cuenta8[[#This Row],[Nombre Centro Gestion]]</f>
        <v>10256105 - Edificio Lynch-Clientes</v>
      </c>
      <c r="G1780" s="47" t="str">
        <f>+Centro_Cuenta8[[#This Row],[Código Cuenta Contable]]&amp;" - "&amp;Centro_Cuenta8[[#This Row],[Nombre de Cuenta Contable]]</f>
        <v>4203140 - Contribuciones</v>
      </c>
      <c r="H1780" s="146" t="str">
        <f>+VLOOKUP(D1780,'3. Cuentas'!A:F,6,0)</f>
        <v>SI</v>
      </c>
    </row>
    <row r="1781" spans="1:8" x14ac:dyDescent="0.25">
      <c r="A1781" s="43">
        <v>10256204</v>
      </c>
      <c r="B1781" t="s">
        <v>1256</v>
      </c>
      <c r="C1781" s="43" t="s">
        <v>1624</v>
      </c>
      <c r="D1781" s="43">
        <v>1103045</v>
      </c>
      <c r="E1781" t="s">
        <v>323</v>
      </c>
      <c r="F1781" s="47" t="str">
        <f>+Centro_Cuenta8[[#This Row],[Codigo Centro Gestion]]&amp;" - "&amp;Centro_Cuenta8[[#This Row],[Nombre Centro Gestion]]</f>
        <v>10256204 - Edificio Lynch-Proyecto</v>
      </c>
      <c r="G1781" s="47" t="str">
        <f>+Centro_Cuenta8[[#This Row],[Código Cuenta Contable]]&amp;" - "&amp;Centro_Cuenta8[[#This Row],[Nombre de Cuenta Contable]]</f>
        <v>1103045 - Aportes reembolsables (electricidad y agua)</v>
      </c>
      <c r="H1781" s="146" t="str">
        <f>+VLOOKUP(D1781,'3. Cuentas'!A:F,6,0)</f>
        <v>SI</v>
      </c>
    </row>
    <row r="1782" spans="1:8" x14ac:dyDescent="0.25">
      <c r="A1782" s="43">
        <v>10256204</v>
      </c>
      <c r="B1782" t="s">
        <v>1256</v>
      </c>
      <c r="C1782" s="43" t="s">
        <v>1624</v>
      </c>
      <c r="D1782" s="43">
        <v>1109020</v>
      </c>
      <c r="E1782" t="s">
        <v>302</v>
      </c>
      <c r="F1782" s="47" t="str">
        <f>+Centro_Cuenta8[[#This Row],[Codigo Centro Gestion]]&amp;" - "&amp;Centro_Cuenta8[[#This Row],[Nombre Centro Gestion]]</f>
        <v>10256204 - Edificio Lynch-Proyecto</v>
      </c>
      <c r="G1782" s="47" t="str">
        <f>+Centro_Cuenta8[[#This Row],[Código Cuenta Contable]]&amp;" - "&amp;Centro_Cuenta8[[#This Row],[Nombre de Cuenta Contable]]</f>
        <v>1109020 - Mobiliario</v>
      </c>
      <c r="H1782" s="146" t="str">
        <f>+VLOOKUP(D1782,'3. Cuentas'!A:F,6,0)</f>
        <v>SI</v>
      </c>
    </row>
    <row r="1783" spans="1:8" x14ac:dyDescent="0.25">
      <c r="A1783" s="43">
        <v>10256204</v>
      </c>
      <c r="B1783" t="s">
        <v>1256</v>
      </c>
      <c r="C1783" s="43" t="s">
        <v>1624</v>
      </c>
      <c r="D1783" s="43">
        <v>1110040</v>
      </c>
      <c r="E1783" t="s">
        <v>1505</v>
      </c>
      <c r="F1783" s="47" t="str">
        <f>+Centro_Cuenta8[[#This Row],[Codigo Centro Gestion]]&amp;" - "&amp;Centro_Cuenta8[[#This Row],[Nombre Centro Gestion]]</f>
        <v>10256204 - Edificio Lynch-Proyecto</v>
      </c>
      <c r="G1783" s="47" t="str">
        <f>+Centro_Cuenta8[[#This Row],[Código Cuenta Contable]]&amp;" - "&amp;Centro_Cuenta8[[#This Row],[Nombre de Cuenta Contable]]</f>
        <v>1110040 - Garantía Pagadas</v>
      </c>
      <c r="H1783" s="146" t="str">
        <f>+VLOOKUP(D1783,'3. Cuentas'!A:F,6,0)</f>
        <v>SI</v>
      </c>
    </row>
    <row r="1784" spans="1:8" x14ac:dyDescent="0.25">
      <c r="A1784" s="43">
        <v>10256204</v>
      </c>
      <c r="B1784" t="s">
        <v>1256</v>
      </c>
      <c r="C1784" s="43" t="s">
        <v>1624</v>
      </c>
      <c r="D1784" s="43">
        <v>1115040</v>
      </c>
      <c r="E1784" t="s">
        <v>291</v>
      </c>
      <c r="F1784" s="47" t="str">
        <f>+Centro_Cuenta8[[#This Row],[Codigo Centro Gestion]]&amp;" - "&amp;Centro_Cuenta8[[#This Row],[Nombre Centro Gestion]]</f>
        <v>10256204 - Edificio Lynch-Proyecto</v>
      </c>
      <c r="G1784" s="47" t="str">
        <f>+Centro_Cuenta8[[#This Row],[Código Cuenta Contable]]&amp;" - "&amp;Centro_Cuenta8[[#This Row],[Nombre de Cuenta Contable]]</f>
        <v>1115040 - Saneamiento De Terreno</v>
      </c>
      <c r="H1784" s="146" t="str">
        <f>+VLOOKUP(D1784,'3. Cuentas'!A:F,6,0)</f>
        <v>SI</v>
      </c>
    </row>
    <row r="1785" spans="1:8" x14ac:dyDescent="0.25">
      <c r="A1785" s="43">
        <v>10256204</v>
      </c>
      <c r="B1785" t="s">
        <v>1256</v>
      </c>
      <c r="C1785" s="43" t="s">
        <v>1624</v>
      </c>
      <c r="D1785" s="43">
        <v>1115050</v>
      </c>
      <c r="E1785" t="s">
        <v>1628</v>
      </c>
      <c r="F1785" s="47" t="str">
        <f>+Centro_Cuenta8[[#This Row],[Codigo Centro Gestion]]&amp;" - "&amp;Centro_Cuenta8[[#This Row],[Nombre Centro Gestion]]</f>
        <v>10256204 - Edificio Lynch-Proyecto</v>
      </c>
      <c r="G1785" s="47" t="str">
        <f>+Centro_Cuenta8[[#This Row],[Código Cuenta Contable]]&amp;" - "&amp;Centro_Cuenta8[[#This Row],[Nombre de Cuenta Contable]]</f>
        <v>1115050 - Demolición</v>
      </c>
      <c r="H1785" s="146" t="str">
        <f>+VLOOKUP(D1785,'3. Cuentas'!A:F,6,0)</f>
        <v>SI</v>
      </c>
    </row>
    <row r="1786" spans="1:8" x14ac:dyDescent="0.25">
      <c r="A1786" s="43">
        <v>10256204</v>
      </c>
      <c r="B1786" t="s">
        <v>1256</v>
      </c>
      <c r="C1786" s="43" t="s">
        <v>1624</v>
      </c>
      <c r="D1786" s="43">
        <v>1115100</v>
      </c>
      <c r="E1786" t="s">
        <v>292</v>
      </c>
      <c r="F1786" s="47" t="str">
        <f>+Centro_Cuenta8[[#This Row],[Codigo Centro Gestion]]&amp;" - "&amp;Centro_Cuenta8[[#This Row],[Nombre Centro Gestion]]</f>
        <v>10256204 - Edificio Lynch-Proyecto</v>
      </c>
      <c r="G1786" s="47" t="str">
        <f>+Centro_Cuenta8[[#This Row],[Código Cuenta Contable]]&amp;" - "&amp;Centro_Cuenta8[[#This Row],[Nombre de Cuenta Contable]]</f>
        <v>1115100 - Proyectos Y Especialidades</v>
      </c>
      <c r="H1786" s="146" t="str">
        <f>+VLOOKUP(D1786,'3. Cuentas'!A:F,6,0)</f>
        <v>SI</v>
      </c>
    </row>
    <row r="1787" spans="1:8" x14ac:dyDescent="0.25">
      <c r="A1787" s="43">
        <v>10256204</v>
      </c>
      <c r="B1787" t="s">
        <v>1256</v>
      </c>
      <c r="C1787" s="43" t="s">
        <v>1624</v>
      </c>
      <c r="D1787" s="43">
        <v>1115120</v>
      </c>
      <c r="E1787" t="s">
        <v>1633</v>
      </c>
      <c r="F1787" s="47" t="str">
        <f>+Centro_Cuenta8[[#This Row],[Codigo Centro Gestion]]&amp;" - "&amp;Centro_Cuenta8[[#This Row],[Nombre Centro Gestion]]</f>
        <v>10256204 - Edificio Lynch-Proyecto</v>
      </c>
      <c r="G1787" s="47" t="str">
        <f>+Centro_Cuenta8[[#This Row],[Código Cuenta Contable]]&amp;" - "&amp;Centro_Cuenta8[[#This Row],[Nombre de Cuenta Contable]]</f>
        <v>1115120 - Instalación Empalmes</v>
      </c>
      <c r="H1787" s="146" t="str">
        <f>+VLOOKUP(D1787,'3. Cuentas'!A:F,6,0)</f>
        <v>SI</v>
      </c>
    </row>
    <row r="1788" spans="1:8" x14ac:dyDescent="0.25">
      <c r="A1788" s="43">
        <v>10256204</v>
      </c>
      <c r="B1788" t="s">
        <v>1256</v>
      </c>
      <c r="C1788" s="43" t="s">
        <v>1624</v>
      </c>
      <c r="D1788" s="43">
        <v>1115170</v>
      </c>
      <c r="E1788" t="s">
        <v>293</v>
      </c>
      <c r="F1788" s="47" t="str">
        <f>+Centro_Cuenta8[[#This Row],[Codigo Centro Gestion]]&amp;" - "&amp;Centro_Cuenta8[[#This Row],[Nombre Centro Gestion]]</f>
        <v>10256204 - Edificio Lynch-Proyecto</v>
      </c>
      <c r="G1788" s="47" t="str">
        <f>+Centro_Cuenta8[[#This Row],[Código Cuenta Contable]]&amp;" - "&amp;Centro_Cuenta8[[#This Row],[Nombre de Cuenta Contable]]</f>
        <v>1115170 - Permisos Y Otros Gastos Municipales</v>
      </c>
      <c r="H1788" s="146" t="str">
        <f>+VLOOKUP(D1788,'3. Cuentas'!A:F,6,0)</f>
        <v>SI</v>
      </c>
    </row>
    <row r="1789" spans="1:8" x14ac:dyDescent="0.25">
      <c r="A1789" s="43">
        <v>10256204</v>
      </c>
      <c r="B1789" t="s">
        <v>1256</v>
      </c>
      <c r="C1789" s="43" t="s">
        <v>1624</v>
      </c>
      <c r="D1789" s="43">
        <v>1115240</v>
      </c>
      <c r="E1789" t="s">
        <v>294</v>
      </c>
      <c r="F1789" s="47" t="str">
        <f>+Centro_Cuenta8[[#This Row],[Codigo Centro Gestion]]&amp;" - "&amp;Centro_Cuenta8[[#This Row],[Nombre Centro Gestion]]</f>
        <v>10256204 - Edificio Lynch-Proyecto</v>
      </c>
      <c r="G1789" s="47" t="str">
        <f>+Centro_Cuenta8[[#This Row],[Código Cuenta Contable]]&amp;" - "&amp;Centro_Cuenta8[[#This Row],[Nombre de Cuenta Contable]]</f>
        <v>1115240 - Estudios Y Asesorias Técnicas</v>
      </c>
      <c r="H1789" s="146" t="str">
        <f>+VLOOKUP(D1789,'3. Cuentas'!A:F,6,0)</f>
        <v>SI</v>
      </c>
    </row>
    <row r="1790" spans="1:8" x14ac:dyDescent="0.25">
      <c r="A1790" s="43">
        <v>10256204</v>
      </c>
      <c r="B1790" t="s">
        <v>1256</v>
      </c>
      <c r="C1790" s="43" t="s">
        <v>1624</v>
      </c>
      <c r="D1790" s="43">
        <v>4203090</v>
      </c>
      <c r="E1790" t="s">
        <v>192</v>
      </c>
      <c r="F1790" s="47" t="str">
        <f>+Centro_Cuenta8[[#This Row],[Codigo Centro Gestion]]&amp;" - "&amp;Centro_Cuenta8[[#This Row],[Nombre Centro Gestion]]</f>
        <v>10256204 - Edificio Lynch-Proyecto</v>
      </c>
      <c r="G1790" s="47" t="str">
        <f>+Centro_Cuenta8[[#This Row],[Código Cuenta Contable]]&amp;" - "&amp;Centro_Cuenta8[[#This Row],[Nombre de Cuenta Contable]]</f>
        <v>4203090 - Gastos Legales Y Notariales Proyecto</v>
      </c>
      <c r="H1790" s="146" t="str">
        <f>+VLOOKUP(D1790,'3. Cuentas'!A:F,6,0)</f>
        <v>SI</v>
      </c>
    </row>
    <row r="1791" spans="1:8" x14ac:dyDescent="0.25">
      <c r="A1791" s="43">
        <v>10256204</v>
      </c>
      <c r="B1791" t="s">
        <v>1256</v>
      </c>
      <c r="C1791" s="43" t="s">
        <v>1624</v>
      </c>
      <c r="D1791" s="43">
        <v>4203140</v>
      </c>
      <c r="E1791" t="s">
        <v>109</v>
      </c>
      <c r="F1791" s="47" t="str">
        <f>+Centro_Cuenta8[[#This Row],[Codigo Centro Gestion]]&amp;" - "&amp;Centro_Cuenta8[[#This Row],[Nombre Centro Gestion]]</f>
        <v>10256204 - Edificio Lynch-Proyecto</v>
      </c>
      <c r="G1791" s="47" t="str">
        <f>+Centro_Cuenta8[[#This Row],[Código Cuenta Contable]]&amp;" - "&amp;Centro_Cuenta8[[#This Row],[Nombre de Cuenta Contable]]</f>
        <v>4203140 - Contribuciones</v>
      </c>
      <c r="H1791" s="146" t="str">
        <f>+VLOOKUP(D1791,'3. Cuentas'!A:F,6,0)</f>
        <v>SI</v>
      </c>
    </row>
    <row r="1792" spans="1:8" x14ac:dyDescent="0.25">
      <c r="A1792" s="43">
        <v>10256204</v>
      </c>
      <c r="B1792" t="s">
        <v>1256</v>
      </c>
      <c r="C1792" s="43" t="s">
        <v>1624</v>
      </c>
      <c r="D1792" s="43">
        <v>4203150</v>
      </c>
      <c r="E1792" t="s">
        <v>156</v>
      </c>
      <c r="F1792" s="47" t="str">
        <f>+Centro_Cuenta8[[#This Row],[Codigo Centro Gestion]]&amp;" - "&amp;Centro_Cuenta8[[#This Row],[Nombre Centro Gestion]]</f>
        <v>10256204 - Edificio Lynch-Proyecto</v>
      </c>
      <c r="G1792" s="47" t="str">
        <f>+Centro_Cuenta8[[#This Row],[Código Cuenta Contable]]&amp;" - "&amp;Centro_Cuenta8[[#This Row],[Nombre de Cuenta Contable]]</f>
        <v>4203150 - Gastos CBR</v>
      </c>
      <c r="H1792" s="146" t="str">
        <f>+VLOOKUP(D1792,'3. Cuentas'!A:F,6,0)</f>
        <v>SI</v>
      </c>
    </row>
    <row r="1793" spans="1:8" x14ac:dyDescent="0.25">
      <c r="A1793" s="43">
        <v>10256204</v>
      </c>
      <c r="B1793" t="s">
        <v>1256</v>
      </c>
      <c r="C1793" s="43" t="s">
        <v>1624</v>
      </c>
      <c r="D1793" s="43">
        <v>4203160</v>
      </c>
      <c r="E1793" t="s">
        <v>1639</v>
      </c>
      <c r="F1793" s="47" t="str">
        <f>+Centro_Cuenta8[[#This Row],[Codigo Centro Gestion]]&amp;" - "&amp;Centro_Cuenta8[[#This Row],[Nombre Centro Gestion]]</f>
        <v>10256204 - Edificio Lynch-Proyecto</v>
      </c>
      <c r="G1793" s="47" t="str">
        <f>+Centro_Cuenta8[[#This Row],[Código Cuenta Contable]]&amp;" - "&amp;Centro_Cuenta8[[#This Row],[Nombre de Cuenta Contable]]</f>
        <v>4203160 - PAPELERIA Y FOTOCOPIADO</v>
      </c>
      <c r="H1793" s="146" t="str">
        <f>+VLOOKUP(D1793,'3. Cuentas'!A:F,6,0)</f>
        <v>SI</v>
      </c>
    </row>
    <row r="1794" spans="1:8" x14ac:dyDescent="0.25">
      <c r="A1794" s="43">
        <v>10256204</v>
      </c>
      <c r="B1794" t="s">
        <v>1256</v>
      </c>
      <c r="C1794" s="43" t="s">
        <v>1624</v>
      </c>
      <c r="D1794" s="43">
        <v>4203180</v>
      </c>
      <c r="E1794" t="s">
        <v>1640</v>
      </c>
      <c r="F1794" s="47" t="str">
        <f>+Centro_Cuenta8[[#This Row],[Codigo Centro Gestion]]&amp;" - "&amp;Centro_Cuenta8[[#This Row],[Nombre Centro Gestion]]</f>
        <v>10256204 - Edificio Lynch-Proyecto</v>
      </c>
      <c r="G1794" s="47" t="str">
        <f>+Centro_Cuenta8[[#This Row],[Código Cuenta Contable]]&amp;" - "&amp;Centro_Cuenta8[[#This Row],[Nombre de Cuenta Contable]]</f>
        <v>4203180 - Otros Gastos y Aseso Proy</v>
      </c>
      <c r="H1794" s="146" t="str">
        <f>+VLOOKUP(D1794,'3. Cuentas'!A:F,6,0)</f>
        <v>SI</v>
      </c>
    </row>
    <row r="1795" spans="1:8" x14ac:dyDescent="0.25">
      <c r="A1795" s="43">
        <v>10256301</v>
      </c>
      <c r="B1795" t="s">
        <v>1257</v>
      </c>
      <c r="C1795" s="43" t="s">
        <v>1643</v>
      </c>
      <c r="D1795" s="43">
        <v>4203090</v>
      </c>
      <c r="E1795" t="s">
        <v>192</v>
      </c>
      <c r="F1795" s="47" t="str">
        <f>+Centro_Cuenta8[[#This Row],[Codigo Centro Gestion]]&amp;" - "&amp;Centro_Cuenta8[[#This Row],[Nombre Centro Gestion]]</f>
        <v>10256301 - Edificio Lynch-GAF</v>
      </c>
      <c r="G1795" s="47" t="str">
        <f>+Centro_Cuenta8[[#This Row],[Código Cuenta Contable]]&amp;" - "&amp;Centro_Cuenta8[[#This Row],[Nombre de Cuenta Contable]]</f>
        <v>4203090 - Gastos Legales Y Notariales Proyecto</v>
      </c>
      <c r="H1795" s="146" t="str">
        <f>+VLOOKUP(D1795,'3. Cuentas'!A:F,6,0)</f>
        <v>SI</v>
      </c>
    </row>
    <row r="1796" spans="1:8" x14ac:dyDescent="0.25">
      <c r="A1796" s="43">
        <v>10256301</v>
      </c>
      <c r="B1796" t="s">
        <v>1257</v>
      </c>
      <c r="C1796" s="43" t="s">
        <v>1643</v>
      </c>
      <c r="D1796" s="43">
        <v>4203140</v>
      </c>
      <c r="E1796" t="s">
        <v>109</v>
      </c>
      <c r="F1796" s="47" t="str">
        <f>+Centro_Cuenta8[[#This Row],[Codigo Centro Gestion]]&amp;" - "&amp;Centro_Cuenta8[[#This Row],[Nombre Centro Gestion]]</f>
        <v>10256301 - Edificio Lynch-GAF</v>
      </c>
      <c r="G1796" s="47" t="str">
        <f>+Centro_Cuenta8[[#This Row],[Código Cuenta Contable]]&amp;" - "&amp;Centro_Cuenta8[[#This Row],[Nombre de Cuenta Contable]]</f>
        <v>4203140 - Contribuciones</v>
      </c>
      <c r="H1796" s="146" t="str">
        <f>+VLOOKUP(D1796,'3. Cuentas'!A:F,6,0)</f>
        <v>SI</v>
      </c>
    </row>
    <row r="1797" spans="1:8" x14ac:dyDescent="0.25">
      <c r="A1797" s="43">
        <v>10256506</v>
      </c>
      <c r="B1797" t="s">
        <v>1259</v>
      </c>
      <c r="C1797" s="43" t="s">
        <v>200</v>
      </c>
      <c r="D1797" s="43">
        <v>1115100</v>
      </c>
      <c r="E1797" t="s">
        <v>292</v>
      </c>
      <c r="F1797" s="47" t="str">
        <f>+Centro_Cuenta8[[#This Row],[Codigo Centro Gestion]]&amp;" - "&amp;Centro_Cuenta8[[#This Row],[Nombre Centro Gestion]]</f>
        <v>10256506 - Edificio Lynch-Depto.Técnico</v>
      </c>
      <c r="G1797" s="47" t="str">
        <f>+Centro_Cuenta8[[#This Row],[Código Cuenta Contable]]&amp;" - "&amp;Centro_Cuenta8[[#This Row],[Nombre de Cuenta Contable]]</f>
        <v>1115100 - Proyectos Y Especialidades</v>
      </c>
      <c r="H1797" s="146" t="str">
        <f>+VLOOKUP(D1797,'3. Cuentas'!A:F,6,0)</f>
        <v>SI</v>
      </c>
    </row>
    <row r="1798" spans="1:8" x14ac:dyDescent="0.25">
      <c r="A1798" s="43">
        <v>10257102</v>
      </c>
      <c r="B1798" t="s">
        <v>1261</v>
      </c>
      <c r="C1798" s="43" t="s">
        <v>1617</v>
      </c>
      <c r="D1798" s="43">
        <v>4204010</v>
      </c>
      <c r="E1798" t="s">
        <v>313</v>
      </c>
      <c r="F1798" s="47" t="str">
        <f>+Centro_Cuenta8[[#This Row],[Codigo Centro Gestion]]&amp;" - "&amp;Centro_Cuenta8[[#This Row],[Nombre Centro Gestion]]</f>
        <v>10257102 - Condominio Manuel Jesus Rivera 2-Marketing</v>
      </c>
      <c r="G1798" s="47" t="str">
        <f>+Centro_Cuenta8[[#This Row],[Código Cuenta Contable]]&amp;" - "&amp;Centro_Cuenta8[[#This Row],[Nombre de Cuenta Contable]]</f>
        <v>4204010 - Publicidad Punto Venta</v>
      </c>
      <c r="H1798" s="146" t="str">
        <f>+VLOOKUP(D1798,'3. Cuentas'!A:F,6,0)</f>
        <v>SI</v>
      </c>
    </row>
    <row r="1799" spans="1:8" x14ac:dyDescent="0.25">
      <c r="A1799" s="43">
        <v>10257102</v>
      </c>
      <c r="B1799" t="s">
        <v>1261</v>
      </c>
      <c r="C1799" s="43" t="s">
        <v>1617</v>
      </c>
      <c r="D1799" s="43">
        <v>4204021</v>
      </c>
      <c r="E1799" t="s">
        <v>329</v>
      </c>
      <c r="F1799" s="47" t="str">
        <f>+Centro_Cuenta8[[#This Row],[Codigo Centro Gestion]]&amp;" - "&amp;Centro_Cuenta8[[#This Row],[Nombre Centro Gestion]]</f>
        <v>10257102 - Condominio Manuel Jesus Rivera 2-Marketing</v>
      </c>
      <c r="G1799" s="47" t="str">
        <f>+Centro_Cuenta8[[#This Row],[Código Cuenta Contable]]&amp;" - "&amp;Centro_Cuenta8[[#This Row],[Nombre de Cuenta Contable]]</f>
        <v>4204021 - Publicidad Ferias Y Eventos</v>
      </c>
      <c r="H1799" s="146" t="str">
        <f>+VLOOKUP(D1799,'3. Cuentas'!A:F,6,0)</f>
        <v>SI</v>
      </c>
    </row>
    <row r="1800" spans="1:8" x14ac:dyDescent="0.25">
      <c r="A1800" s="43">
        <v>10257103</v>
      </c>
      <c r="B1800" t="s">
        <v>1262</v>
      </c>
      <c r="C1800" s="43" t="s">
        <v>1618</v>
      </c>
      <c r="D1800" s="43">
        <v>4203060</v>
      </c>
      <c r="E1800" t="s">
        <v>321</v>
      </c>
      <c r="F1800" s="47" t="str">
        <f>+Centro_Cuenta8[[#This Row],[Codigo Centro Gestion]]&amp;" - "&amp;Centro_Cuenta8[[#This Row],[Nombre Centro Gestion]]</f>
        <v>10257103 - Condominio Manuel Jesus Rivera 2-Operaciones</v>
      </c>
      <c r="G1800" s="47" t="str">
        <f>+Centro_Cuenta8[[#This Row],[Código Cuenta Contable]]&amp;" - "&amp;Centro_Cuenta8[[#This Row],[Nombre de Cuenta Contable]]</f>
        <v>4203060 - Gastos Operacionales De Clientes</v>
      </c>
      <c r="H1800" s="146" t="str">
        <f>+VLOOKUP(D1800,'3. Cuentas'!A:F,6,0)</f>
        <v>SI</v>
      </c>
    </row>
    <row r="1801" spans="1:8" x14ac:dyDescent="0.25">
      <c r="A1801" s="43">
        <v>10257103</v>
      </c>
      <c r="B1801" t="s">
        <v>1262</v>
      </c>
      <c r="C1801" s="43" t="s">
        <v>1618</v>
      </c>
      <c r="D1801" s="43">
        <v>4203090</v>
      </c>
      <c r="E1801" t="s">
        <v>192</v>
      </c>
      <c r="F1801" s="47" t="str">
        <f>+Centro_Cuenta8[[#This Row],[Codigo Centro Gestion]]&amp;" - "&amp;Centro_Cuenta8[[#This Row],[Nombre Centro Gestion]]</f>
        <v>10257103 - Condominio Manuel Jesus Rivera 2-Operaciones</v>
      </c>
      <c r="G1801" s="47" t="str">
        <f>+Centro_Cuenta8[[#This Row],[Código Cuenta Contable]]&amp;" - "&amp;Centro_Cuenta8[[#This Row],[Nombre de Cuenta Contable]]</f>
        <v>4203090 - Gastos Legales Y Notariales Proyecto</v>
      </c>
      <c r="H1801" s="146" t="str">
        <f>+VLOOKUP(D1801,'3. Cuentas'!A:F,6,0)</f>
        <v>SI</v>
      </c>
    </row>
    <row r="1802" spans="1:8" x14ac:dyDescent="0.25">
      <c r="A1802" s="43">
        <v>10257104</v>
      </c>
      <c r="B1802" t="s">
        <v>1263</v>
      </c>
      <c r="C1802" s="43" t="s">
        <v>90</v>
      </c>
      <c r="D1802" s="43">
        <v>1110040</v>
      </c>
      <c r="E1802" t="s">
        <v>1505</v>
      </c>
      <c r="F1802" s="47" t="str">
        <f>+Centro_Cuenta8[[#This Row],[Codigo Centro Gestion]]&amp;" - "&amp;Centro_Cuenta8[[#This Row],[Nombre Centro Gestion]]</f>
        <v>10257104 - Condominio Manuel Jesus Rivera 2-Ventas</v>
      </c>
      <c r="G1802" s="47" t="str">
        <f>+Centro_Cuenta8[[#This Row],[Código Cuenta Contable]]&amp;" - "&amp;Centro_Cuenta8[[#This Row],[Nombre de Cuenta Contable]]</f>
        <v>1110040 - Garantía Pagadas</v>
      </c>
      <c r="H1802" s="146" t="str">
        <f>+VLOOKUP(D1802,'3. Cuentas'!A:F,6,0)</f>
        <v>SI</v>
      </c>
    </row>
    <row r="1803" spans="1:8" x14ac:dyDescent="0.25">
      <c r="A1803" s="43">
        <v>10257104</v>
      </c>
      <c r="B1803" t="s">
        <v>1263</v>
      </c>
      <c r="C1803" s="43" t="s">
        <v>90</v>
      </c>
      <c r="D1803" s="43">
        <v>4202003</v>
      </c>
      <c r="E1803" t="s">
        <v>106</v>
      </c>
      <c r="F1803" s="47" t="str">
        <f>+Centro_Cuenta8[[#This Row],[Codigo Centro Gestion]]&amp;" - "&amp;Centro_Cuenta8[[#This Row],[Nombre Centro Gestion]]</f>
        <v>10257104 - Condominio Manuel Jesus Rivera 2-Ventas</v>
      </c>
      <c r="G1803" s="47" t="str">
        <f>+Centro_Cuenta8[[#This Row],[Código Cuenta Contable]]&amp;" - "&amp;Centro_Cuenta8[[#This Row],[Nombre de Cuenta Contable]]</f>
        <v>4202003 - Serv.Basic.Luz.Agua.Tel Of.C</v>
      </c>
      <c r="H1803" s="146" t="str">
        <f>+VLOOKUP(D1803,'3. Cuentas'!A:F,6,0)</f>
        <v>SI</v>
      </c>
    </row>
    <row r="1804" spans="1:8" x14ac:dyDescent="0.25">
      <c r="A1804" s="43">
        <v>10257104</v>
      </c>
      <c r="B1804" t="s">
        <v>1263</v>
      </c>
      <c r="C1804" s="43" t="s">
        <v>90</v>
      </c>
      <c r="D1804" s="43">
        <v>4202010</v>
      </c>
      <c r="E1804" t="s">
        <v>87</v>
      </c>
      <c r="F1804" s="47" t="str">
        <f>+Centro_Cuenta8[[#This Row],[Codigo Centro Gestion]]&amp;" - "&amp;Centro_Cuenta8[[#This Row],[Nombre Centro Gestion]]</f>
        <v>10257104 - Condominio Manuel Jesus Rivera 2-Ventas</v>
      </c>
      <c r="G1804" s="47" t="str">
        <f>+Centro_Cuenta8[[#This Row],[Código Cuenta Contable]]&amp;" - "&amp;Centro_Cuenta8[[#This Row],[Nombre de Cuenta Contable]]</f>
        <v>4202010 - Artic. Ofic. Fotocop.Papelería</v>
      </c>
      <c r="H1804" s="146" t="str">
        <f>+VLOOKUP(D1804,'3. Cuentas'!A:F,6,0)</f>
        <v>SI</v>
      </c>
    </row>
    <row r="1805" spans="1:8" x14ac:dyDescent="0.25">
      <c r="A1805" s="43">
        <v>10257104</v>
      </c>
      <c r="B1805" t="s">
        <v>1263</v>
      </c>
      <c r="C1805" s="43" t="s">
        <v>90</v>
      </c>
      <c r="D1805" s="43">
        <v>4202019</v>
      </c>
      <c r="E1805" t="s">
        <v>81</v>
      </c>
      <c r="F1805" s="47" t="str">
        <f>+Centro_Cuenta8[[#This Row],[Codigo Centro Gestion]]&amp;" - "&amp;Centro_Cuenta8[[#This Row],[Nombre Centro Gestion]]</f>
        <v>10257104 - Condominio Manuel Jesus Rivera 2-Ventas</v>
      </c>
      <c r="G1805" s="47" t="str">
        <f>+Centro_Cuenta8[[#This Row],[Código Cuenta Contable]]&amp;" - "&amp;Centro_Cuenta8[[#This Row],[Nombre de Cuenta Contable]]</f>
        <v>4202019 - Gasto General Oficina</v>
      </c>
      <c r="H1805" s="146" t="str">
        <f>+VLOOKUP(D1805,'3. Cuentas'!A:F,6,0)</f>
        <v>SI</v>
      </c>
    </row>
    <row r="1806" spans="1:8" x14ac:dyDescent="0.25">
      <c r="A1806" s="43">
        <v>10257104</v>
      </c>
      <c r="B1806" t="s">
        <v>1263</v>
      </c>
      <c r="C1806" s="43" t="s">
        <v>90</v>
      </c>
      <c r="D1806" s="43">
        <v>4202023</v>
      </c>
      <c r="E1806" t="s">
        <v>82</v>
      </c>
      <c r="F1806" s="47" t="str">
        <f>+Centro_Cuenta8[[#This Row],[Codigo Centro Gestion]]&amp;" - "&amp;Centro_Cuenta8[[#This Row],[Nombre Centro Gestion]]</f>
        <v>10257104 - Condominio Manuel Jesus Rivera 2-Ventas</v>
      </c>
      <c r="G1806" s="47" t="str">
        <f>+Centro_Cuenta8[[#This Row],[Código Cuenta Contable]]&amp;" - "&amp;Centro_Cuenta8[[#This Row],[Nombre de Cuenta Contable]]</f>
        <v>4202023 - Honorarios Por Asesorías</v>
      </c>
      <c r="H1806" s="146" t="str">
        <f>+VLOOKUP(D1806,'3. Cuentas'!A:F,6,0)</f>
        <v>SI</v>
      </c>
    </row>
    <row r="1807" spans="1:8" x14ac:dyDescent="0.25">
      <c r="A1807" s="43">
        <v>10257104</v>
      </c>
      <c r="B1807" t="s">
        <v>1263</v>
      </c>
      <c r="C1807" s="43" t="s">
        <v>90</v>
      </c>
      <c r="D1807" s="43">
        <v>4202029</v>
      </c>
      <c r="E1807" t="s">
        <v>83</v>
      </c>
      <c r="F1807" s="47" t="str">
        <f>+Centro_Cuenta8[[#This Row],[Codigo Centro Gestion]]&amp;" - "&amp;Centro_Cuenta8[[#This Row],[Nombre Centro Gestion]]</f>
        <v>10257104 - Condominio Manuel Jesus Rivera 2-Ventas</v>
      </c>
      <c r="G1807" s="47" t="str">
        <f>+Centro_Cuenta8[[#This Row],[Código Cuenta Contable]]&amp;" - "&amp;Centro_Cuenta8[[#This Row],[Nombre de Cuenta Contable]]</f>
        <v>4202029 - Insumos Y Gastos Informáticos</v>
      </c>
      <c r="H1807" s="146" t="str">
        <f>+VLOOKUP(D1807,'3. Cuentas'!A:F,6,0)</f>
        <v>SI</v>
      </c>
    </row>
    <row r="1808" spans="1:8" x14ac:dyDescent="0.25">
      <c r="A1808" s="43">
        <v>10257104</v>
      </c>
      <c r="B1808" t="s">
        <v>1263</v>
      </c>
      <c r="C1808" s="43" t="s">
        <v>90</v>
      </c>
      <c r="D1808" s="43">
        <v>4204021</v>
      </c>
      <c r="E1808" t="s">
        <v>329</v>
      </c>
      <c r="F1808" s="47" t="str">
        <f>+Centro_Cuenta8[[#This Row],[Codigo Centro Gestion]]&amp;" - "&amp;Centro_Cuenta8[[#This Row],[Nombre Centro Gestion]]</f>
        <v>10257104 - Condominio Manuel Jesus Rivera 2-Ventas</v>
      </c>
      <c r="G1808" s="47" t="str">
        <f>+Centro_Cuenta8[[#This Row],[Código Cuenta Contable]]&amp;" - "&amp;Centro_Cuenta8[[#This Row],[Nombre de Cuenta Contable]]</f>
        <v>4204021 - Publicidad Ferias Y Eventos</v>
      </c>
      <c r="H1808" s="146" t="str">
        <f>+VLOOKUP(D1808,'3. Cuentas'!A:F,6,0)</f>
        <v>SI</v>
      </c>
    </row>
    <row r="1809" spans="1:8" x14ac:dyDescent="0.25">
      <c r="A1809" s="43">
        <v>10257105</v>
      </c>
      <c r="B1809" t="s">
        <v>1264</v>
      </c>
      <c r="C1809" s="43" t="s">
        <v>1622</v>
      </c>
      <c r="D1809" s="43">
        <v>4203020</v>
      </c>
      <c r="E1809" t="s">
        <v>295</v>
      </c>
      <c r="F1809" s="47" t="str">
        <f>+Centro_Cuenta8[[#This Row],[Codigo Centro Gestion]]&amp;" - "&amp;Centro_Cuenta8[[#This Row],[Nombre Centro Gestion]]</f>
        <v>10257105 - Condominio Manuel Jesus Rivera 2-Clientes</v>
      </c>
      <c r="G1809" s="47" t="str">
        <f>+Centro_Cuenta8[[#This Row],[Código Cuenta Contable]]&amp;" - "&amp;Centro_Cuenta8[[#This Row],[Nombre de Cuenta Contable]]</f>
        <v>4203020 - Mant. y Consum. Viv Stock</v>
      </c>
      <c r="H1809" s="146" t="str">
        <f>+VLOOKUP(D1809,'3. Cuentas'!A:F,6,0)</f>
        <v>SI</v>
      </c>
    </row>
    <row r="1810" spans="1:8" x14ac:dyDescent="0.25">
      <c r="A1810" s="43">
        <v>10257105</v>
      </c>
      <c r="B1810" t="s">
        <v>1264</v>
      </c>
      <c r="C1810" s="43" t="s">
        <v>1622</v>
      </c>
      <c r="D1810" s="43">
        <v>4203120</v>
      </c>
      <c r="E1810" t="s">
        <v>108</v>
      </c>
      <c r="F1810" s="47" t="str">
        <f>+Centro_Cuenta8[[#This Row],[Codigo Centro Gestion]]&amp;" - "&amp;Centro_Cuenta8[[#This Row],[Nombre Centro Gestion]]</f>
        <v>10257105 - Condominio Manuel Jesus Rivera 2-Clientes</v>
      </c>
      <c r="G1810" s="47" t="str">
        <f>+Centro_Cuenta8[[#This Row],[Código Cuenta Contable]]&amp;" - "&amp;Centro_Cuenta8[[#This Row],[Nombre de Cuenta Contable]]</f>
        <v>4203120 - Gastos Comunes</v>
      </c>
      <c r="H1810" s="146" t="str">
        <f>+VLOOKUP(D1810,'3. Cuentas'!A:F,6,0)</f>
        <v>SI</v>
      </c>
    </row>
    <row r="1811" spans="1:8" x14ac:dyDescent="0.25">
      <c r="A1811" s="43">
        <v>10257105</v>
      </c>
      <c r="B1811" t="s">
        <v>1264</v>
      </c>
      <c r="C1811" s="43" t="s">
        <v>1622</v>
      </c>
      <c r="D1811" s="43">
        <v>4203140</v>
      </c>
      <c r="E1811" t="s">
        <v>109</v>
      </c>
      <c r="F1811" s="47" t="str">
        <f>+Centro_Cuenta8[[#This Row],[Codigo Centro Gestion]]&amp;" - "&amp;Centro_Cuenta8[[#This Row],[Nombre Centro Gestion]]</f>
        <v>10257105 - Condominio Manuel Jesus Rivera 2-Clientes</v>
      </c>
      <c r="G1811" s="47" t="str">
        <f>+Centro_Cuenta8[[#This Row],[Código Cuenta Contable]]&amp;" - "&amp;Centro_Cuenta8[[#This Row],[Nombre de Cuenta Contable]]</f>
        <v>4203140 - Contribuciones</v>
      </c>
      <c r="H1811" s="146" t="str">
        <f>+VLOOKUP(D1811,'3. Cuentas'!A:F,6,0)</f>
        <v>SI</v>
      </c>
    </row>
    <row r="1812" spans="1:8" x14ac:dyDescent="0.25">
      <c r="A1812" s="43">
        <v>10257204</v>
      </c>
      <c r="B1812" t="s">
        <v>1265</v>
      </c>
      <c r="C1812" s="43" t="s">
        <v>1624</v>
      </c>
      <c r="D1812" s="43">
        <v>1103045</v>
      </c>
      <c r="E1812" t="s">
        <v>323</v>
      </c>
      <c r="F1812" s="47" t="str">
        <f>+Centro_Cuenta8[[#This Row],[Codigo Centro Gestion]]&amp;" - "&amp;Centro_Cuenta8[[#This Row],[Nombre Centro Gestion]]</f>
        <v>10257204 - Condominio Manuel Jesus Rivera 2-Proyecto</v>
      </c>
      <c r="G1812" s="47" t="str">
        <f>+Centro_Cuenta8[[#This Row],[Código Cuenta Contable]]&amp;" - "&amp;Centro_Cuenta8[[#This Row],[Nombre de Cuenta Contable]]</f>
        <v>1103045 - Aportes reembolsables (electricidad y agua)</v>
      </c>
      <c r="H1812" s="146" t="str">
        <f>+VLOOKUP(D1812,'3. Cuentas'!A:F,6,0)</f>
        <v>SI</v>
      </c>
    </row>
    <row r="1813" spans="1:8" x14ac:dyDescent="0.25">
      <c r="A1813" s="43">
        <v>10257204</v>
      </c>
      <c r="B1813" t="s">
        <v>1265</v>
      </c>
      <c r="C1813" s="43" t="s">
        <v>1624</v>
      </c>
      <c r="D1813" s="43">
        <v>1109020</v>
      </c>
      <c r="E1813" t="s">
        <v>302</v>
      </c>
      <c r="F1813" s="47" t="str">
        <f>+Centro_Cuenta8[[#This Row],[Codigo Centro Gestion]]&amp;" - "&amp;Centro_Cuenta8[[#This Row],[Nombre Centro Gestion]]</f>
        <v>10257204 - Condominio Manuel Jesus Rivera 2-Proyecto</v>
      </c>
      <c r="G1813" s="47" t="str">
        <f>+Centro_Cuenta8[[#This Row],[Código Cuenta Contable]]&amp;" - "&amp;Centro_Cuenta8[[#This Row],[Nombre de Cuenta Contable]]</f>
        <v>1109020 - Mobiliario</v>
      </c>
      <c r="H1813" s="146" t="str">
        <f>+VLOOKUP(D1813,'3. Cuentas'!A:F,6,0)</f>
        <v>SI</v>
      </c>
    </row>
    <row r="1814" spans="1:8" x14ac:dyDescent="0.25">
      <c r="A1814" s="43">
        <v>10257204</v>
      </c>
      <c r="B1814" t="s">
        <v>1265</v>
      </c>
      <c r="C1814" s="43" t="s">
        <v>1624</v>
      </c>
      <c r="D1814" s="43">
        <v>1110040</v>
      </c>
      <c r="E1814" t="s">
        <v>1505</v>
      </c>
      <c r="F1814" s="47" t="str">
        <f>+Centro_Cuenta8[[#This Row],[Codigo Centro Gestion]]&amp;" - "&amp;Centro_Cuenta8[[#This Row],[Nombre Centro Gestion]]</f>
        <v>10257204 - Condominio Manuel Jesus Rivera 2-Proyecto</v>
      </c>
      <c r="G1814" s="47" t="str">
        <f>+Centro_Cuenta8[[#This Row],[Código Cuenta Contable]]&amp;" - "&amp;Centro_Cuenta8[[#This Row],[Nombre de Cuenta Contable]]</f>
        <v>1110040 - Garantía Pagadas</v>
      </c>
      <c r="H1814" s="146" t="str">
        <f>+VLOOKUP(D1814,'3. Cuentas'!A:F,6,0)</f>
        <v>SI</v>
      </c>
    </row>
    <row r="1815" spans="1:8" x14ac:dyDescent="0.25">
      <c r="A1815" s="43">
        <v>10257204</v>
      </c>
      <c r="B1815" t="s">
        <v>1265</v>
      </c>
      <c r="C1815" s="43" t="s">
        <v>1624</v>
      </c>
      <c r="D1815" s="43">
        <v>1115040</v>
      </c>
      <c r="E1815" t="s">
        <v>291</v>
      </c>
      <c r="F1815" s="47" t="str">
        <f>+Centro_Cuenta8[[#This Row],[Codigo Centro Gestion]]&amp;" - "&amp;Centro_Cuenta8[[#This Row],[Nombre Centro Gestion]]</f>
        <v>10257204 - Condominio Manuel Jesus Rivera 2-Proyecto</v>
      </c>
      <c r="G1815" s="47" t="str">
        <f>+Centro_Cuenta8[[#This Row],[Código Cuenta Contable]]&amp;" - "&amp;Centro_Cuenta8[[#This Row],[Nombre de Cuenta Contable]]</f>
        <v>1115040 - Saneamiento De Terreno</v>
      </c>
      <c r="H1815" s="146" t="str">
        <f>+VLOOKUP(D1815,'3. Cuentas'!A:F,6,0)</f>
        <v>SI</v>
      </c>
    </row>
    <row r="1816" spans="1:8" x14ac:dyDescent="0.25">
      <c r="A1816" s="43">
        <v>10257204</v>
      </c>
      <c r="B1816" t="s">
        <v>1265</v>
      </c>
      <c r="C1816" s="43" t="s">
        <v>1624</v>
      </c>
      <c r="D1816" s="43">
        <v>1115050</v>
      </c>
      <c r="E1816" t="s">
        <v>1628</v>
      </c>
      <c r="F1816" s="47" t="str">
        <f>+Centro_Cuenta8[[#This Row],[Codigo Centro Gestion]]&amp;" - "&amp;Centro_Cuenta8[[#This Row],[Nombre Centro Gestion]]</f>
        <v>10257204 - Condominio Manuel Jesus Rivera 2-Proyecto</v>
      </c>
      <c r="G1816" s="47" t="str">
        <f>+Centro_Cuenta8[[#This Row],[Código Cuenta Contable]]&amp;" - "&amp;Centro_Cuenta8[[#This Row],[Nombre de Cuenta Contable]]</f>
        <v>1115050 - Demolición</v>
      </c>
      <c r="H1816" s="146" t="str">
        <f>+VLOOKUP(D1816,'3. Cuentas'!A:F,6,0)</f>
        <v>SI</v>
      </c>
    </row>
    <row r="1817" spans="1:8" x14ac:dyDescent="0.25">
      <c r="A1817" s="43">
        <v>10257204</v>
      </c>
      <c r="B1817" t="s">
        <v>1265</v>
      </c>
      <c r="C1817" s="43" t="s">
        <v>1624</v>
      </c>
      <c r="D1817" s="43">
        <v>1115100</v>
      </c>
      <c r="E1817" t="s">
        <v>292</v>
      </c>
      <c r="F1817" s="47" t="str">
        <f>+Centro_Cuenta8[[#This Row],[Codigo Centro Gestion]]&amp;" - "&amp;Centro_Cuenta8[[#This Row],[Nombre Centro Gestion]]</f>
        <v>10257204 - Condominio Manuel Jesus Rivera 2-Proyecto</v>
      </c>
      <c r="G1817" s="47" t="str">
        <f>+Centro_Cuenta8[[#This Row],[Código Cuenta Contable]]&amp;" - "&amp;Centro_Cuenta8[[#This Row],[Nombre de Cuenta Contable]]</f>
        <v>1115100 - Proyectos Y Especialidades</v>
      </c>
      <c r="H1817" s="146" t="str">
        <f>+VLOOKUP(D1817,'3. Cuentas'!A:F,6,0)</f>
        <v>SI</v>
      </c>
    </row>
    <row r="1818" spans="1:8" x14ac:dyDescent="0.25">
      <c r="A1818" s="43">
        <v>10257204</v>
      </c>
      <c r="B1818" t="s">
        <v>1265</v>
      </c>
      <c r="C1818" s="43" t="s">
        <v>1624</v>
      </c>
      <c r="D1818" s="43">
        <v>1115120</v>
      </c>
      <c r="E1818" t="s">
        <v>1633</v>
      </c>
      <c r="F1818" s="47" t="str">
        <f>+Centro_Cuenta8[[#This Row],[Codigo Centro Gestion]]&amp;" - "&amp;Centro_Cuenta8[[#This Row],[Nombre Centro Gestion]]</f>
        <v>10257204 - Condominio Manuel Jesus Rivera 2-Proyecto</v>
      </c>
      <c r="G1818" s="47" t="str">
        <f>+Centro_Cuenta8[[#This Row],[Código Cuenta Contable]]&amp;" - "&amp;Centro_Cuenta8[[#This Row],[Nombre de Cuenta Contable]]</f>
        <v>1115120 - Instalación Empalmes</v>
      </c>
      <c r="H1818" s="146" t="str">
        <f>+VLOOKUP(D1818,'3. Cuentas'!A:F,6,0)</f>
        <v>SI</v>
      </c>
    </row>
    <row r="1819" spans="1:8" x14ac:dyDescent="0.25">
      <c r="A1819" s="43">
        <v>10257204</v>
      </c>
      <c r="B1819" t="s">
        <v>1265</v>
      </c>
      <c r="C1819" s="43" t="s">
        <v>1624</v>
      </c>
      <c r="D1819" s="43">
        <v>1115170</v>
      </c>
      <c r="E1819" t="s">
        <v>293</v>
      </c>
      <c r="F1819" s="47" t="str">
        <f>+Centro_Cuenta8[[#This Row],[Codigo Centro Gestion]]&amp;" - "&amp;Centro_Cuenta8[[#This Row],[Nombre Centro Gestion]]</f>
        <v>10257204 - Condominio Manuel Jesus Rivera 2-Proyecto</v>
      </c>
      <c r="G1819" s="47" t="str">
        <f>+Centro_Cuenta8[[#This Row],[Código Cuenta Contable]]&amp;" - "&amp;Centro_Cuenta8[[#This Row],[Nombre de Cuenta Contable]]</f>
        <v>1115170 - Permisos Y Otros Gastos Municipales</v>
      </c>
      <c r="H1819" s="146" t="str">
        <f>+VLOOKUP(D1819,'3. Cuentas'!A:F,6,0)</f>
        <v>SI</v>
      </c>
    </row>
    <row r="1820" spans="1:8" x14ac:dyDescent="0.25">
      <c r="A1820" s="43">
        <v>10257204</v>
      </c>
      <c r="B1820" t="s">
        <v>1265</v>
      </c>
      <c r="C1820" s="43" t="s">
        <v>1624</v>
      </c>
      <c r="D1820" s="43">
        <v>1115240</v>
      </c>
      <c r="E1820" t="s">
        <v>294</v>
      </c>
      <c r="F1820" s="47" t="str">
        <f>+Centro_Cuenta8[[#This Row],[Codigo Centro Gestion]]&amp;" - "&amp;Centro_Cuenta8[[#This Row],[Nombre Centro Gestion]]</f>
        <v>10257204 - Condominio Manuel Jesus Rivera 2-Proyecto</v>
      </c>
      <c r="G1820" s="47" t="str">
        <f>+Centro_Cuenta8[[#This Row],[Código Cuenta Contable]]&amp;" - "&amp;Centro_Cuenta8[[#This Row],[Nombre de Cuenta Contable]]</f>
        <v>1115240 - Estudios Y Asesorias Técnicas</v>
      </c>
      <c r="H1820" s="146" t="str">
        <f>+VLOOKUP(D1820,'3. Cuentas'!A:F,6,0)</f>
        <v>SI</v>
      </c>
    </row>
    <row r="1821" spans="1:8" x14ac:dyDescent="0.25">
      <c r="A1821" s="43">
        <v>10257204</v>
      </c>
      <c r="B1821" t="s">
        <v>1265</v>
      </c>
      <c r="C1821" s="43" t="s">
        <v>1624</v>
      </c>
      <c r="D1821" s="43">
        <v>4203090</v>
      </c>
      <c r="E1821" t="s">
        <v>192</v>
      </c>
      <c r="F1821" s="47" t="str">
        <f>+Centro_Cuenta8[[#This Row],[Codigo Centro Gestion]]&amp;" - "&amp;Centro_Cuenta8[[#This Row],[Nombre Centro Gestion]]</f>
        <v>10257204 - Condominio Manuel Jesus Rivera 2-Proyecto</v>
      </c>
      <c r="G1821" s="47" t="str">
        <f>+Centro_Cuenta8[[#This Row],[Código Cuenta Contable]]&amp;" - "&amp;Centro_Cuenta8[[#This Row],[Nombre de Cuenta Contable]]</f>
        <v>4203090 - Gastos Legales Y Notariales Proyecto</v>
      </c>
      <c r="H1821" s="146" t="str">
        <f>+VLOOKUP(D1821,'3. Cuentas'!A:F,6,0)</f>
        <v>SI</v>
      </c>
    </row>
    <row r="1822" spans="1:8" x14ac:dyDescent="0.25">
      <c r="A1822" s="43">
        <v>10257204</v>
      </c>
      <c r="B1822" t="s">
        <v>1265</v>
      </c>
      <c r="C1822" s="43" t="s">
        <v>1624</v>
      </c>
      <c r="D1822" s="43">
        <v>4203140</v>
      </c>
      <c r="E1822" t="s">
        <v>109</v>
      </c>
      <c r="F1822" s="47" t="str">
        <f>+Centro_Cuenta8[[#This Row],[Codigo Centro Gestion]]&amp;" - "&amp;Centro_Cuenta8[[#This Row],[Nombre Centro Gestion]]</f>
        <v>10257204 - Condominio Manuel Jesus Rivera 2-Proyecto</v>
      </c>
      <c r="G1822" s="47" t="str">
        <f>+Centro_Cuenta8[[#This Row],[Código Cuenta Contable]]&amp;" - "&amp;Centro_Cuenta8[[#This Row],[Nombre de Cuenta Contable]]</f>
        <v>4203140 - Contribuciones</v>
      </c>
      <c r="H1822" s="146" t="str">
        <f>+VLOOKUP(D1822,'3. Cuentas'!A:F,6,0)</f>
        <v>SI</v>
      </c>
    </row>
    <row r="1823" spans="1:8" x14ac:dyDescent="0.25">
      <c r="A1823" s="43">
        <v>10257204</v>
      </c>
      <c r="B1823" t="s">
        <v>1265</v>
      </c>
      <c r="C1823" s="43" t="s">
        <v>1624</v>
      </c>
      <c r="D1823" s="43">
        <v>4203150</v>
      </c>
      <c r="E1823" t="s">
        <v>156</v>
      </c>
      <c r="F1823" s="47" t="str">
        <f>+Centro_Cuenta8[[#This Row],[Codigo Centro Gestion]]&amp;" - "&amp;Centro_Cuenta8[[#This Row],[Nombre Centro Gestion]]</f>
        <v>10257204 - Condominio Manuel Jesus Rivera 2-Proyecto</v>
      </c>
      <c r="G1823" s="47" t="str">
        <f>+Centro_Cuenta8[[#This Row],[Código Cuenta Contable]]&amp;" - "&amp;Centro_Cuenta8[[#This Row],[Nombre de Cuenta Contable]]</f>
        <v>4203150 - Gastos CBR</v>
      </c>
      <c r="H1823" s="146" t="str">
        <f>+VLOOKUP(D1823,'3. Cuentas'!A:F,6,0)</f>
        <v>SI</v>
      </c>
    </row>
    <row r="1824" spans="1:8" x14ac:dyDescent="0.25">
      <c r="A1824" s="43">
        <v>10257204</v>
      </c>
      <c r="B1824" t="s">
        <v>1265</v>
      </c>
      <c r="C1824" s="43" t="s">
        <v>1624</v>
      </c>
      <c r="D1824" s="43">
        <v>4203160</v>
      </c>
      <c r="E1824" t="s">
        <v>1639</v>
      </c>
      <c r="F1824" s="47" t="str">
        <f>+Centro_Cuenta8[[#This Row],[Codigo Centro Gestion]]&amp;" - "&amp;Centro_Cuenta8[[#This Row],[Nombre Centro Gestion]]</f>
        <v>10257204 - Condominio Manuel Jesus Rivera 2-Proyecto</v>
      </c>
      <c r="G1824" s="47" t="str">
        <f>+Centro_Cuenta8[[#This Row],[Código Cuenta Contable]]&amp;" - "&amp;Centro_Cuenta8[[#This Row],[Nombre de Cuenta Contable]]</f>
        <v>4203160 - PAPELERIA Y FOTOCOPIADO</v>
      </c>
      <c r="H1824" s="146" t="str">
        <f>+VLOOKUP(D1824,'3. Cuentas'!A:F,6,0)</f>
        <v>SI</v>
      </c>
    </row>
    <row r="1825" spans="1:8" x14ac:dyDescent="0.25">
      <c r="A1825" s="43">
        <v>10257204</v>
      </c>
      <c r="B1825" t="s">
        <v>1265</v>
      </c>
      <c r="C1825" s="43" t="s">
        <v>1624</v>
      </c>
      <c r="D1825" s="43">
        <v>4203180</v>
      </c>
      <c r="E1825" t="s">
        <v>1640</v>
      </c>
      <c r="F1825" s="47" t="str">
        <f>+Centro_Cuenta8[[#This Row],[Codigo Centro Gestion]]&amp;" - "&amp;Centro_Cuenta8[[#This Row],[Nombre Centro Gestion]]</f>
        <v>10257204 - Condominio Manuel Jesus Rivera 2-Proyecto</v>
      </c>
      <c r="G1825" s="47" t="str">
        <f>+Centro_Cuenta8[[#This Row],[Código Cuenta Contable]]&amp;" - "&amp;Centro_Cuenta8[[#This Row],[Nombre de Cuenta Contable]]</f>
        <v>4203180 - Otros Gastos y Aseso Proy</v>
      </c>
      <c r="H1825" s="146" t="str">
        <f>+VLOOKUP(D1825,'3. Cuentas'!A:F,6,0)</f>
        <v>SI</v>
      </c>
    </row>
    <row r="1826" spans="1:8" x14ac:dyDescent="0.25">
      <c r="A1826" s="43">
        <v>10257301</v>
      </c>
      <c r="B1826" t="s">
        <v>1266</v>
      </c>
      <c r="C1826" s="43" t="s">
        <v>1643</v>
      </c>
      <c r="D1826" s="43">
        <v>4203090</v>
      </c>
      <c r="E1826" t="s">
        <v>192</v>
      </c>
      <c r="F1826" s="47" t="str">
        <f>+Centro_Cuenta8[[#This Row],[Codigo Centro Gestion]]&amp;" - "&amp;Centro_Cuenta8[[#This Row],[Nombre Centro Gestion]]</f>
        <v>10257301 - Condominio Manuel Jesus Rivera 2-GAF</v>
      </c>
      <c r="G1826" s="47" t="str">
        <f>+Centro_Cuenta8[[#This Row],[Código Cuenta Contable]]&amp;" - "&amp;Centro_Cuenta8[[#This Row],[Nombre de Cuenta Contable]]</f>
        <v>4203090 - Gastos Legales Y Notariales Proyecto</v>
      </c>
      <c r="H1826" s="146" t="str">
        <f>+VLOOKUP(D1826,'3. Cuentas'!A:F,6,0)</f>
        <v>SI</v>
      </c>
    </row>
    <row r="1827" spans="1:8" x14ac:dyDescent="0.25">
      <c r="A1827" s="43">
        <v>10257301</v>
      </c>
      <c r="B1827" t="s">
        <v>1266</v>
      </c>
      <c r="C1827" s="43" t="s">
        <v>1643</v>
      </c>
      <c r="D1827" s="43">
        <v>4203140</v>
      </c>
      <c r="E1827" t="s">
        <v>109</v>
      </c>
      <c r="F1827" s="47" t="str">
        <f>+Centro_Cuenta8[[#This Row],[Codigo Centro Gestion]]&amp;" - "&amp;Centro_Cuenta8[[#This Row],[Nombre Centro Gestion]]</f>
        <v>10257301 - Condominio Manuel Jesus Rivera 2-GAF</v>
      </c>
      <c r="G1827" s="47" t="str">
        <f>+Centro_Cuenta8[[#This Row],[Código Cuenta Contable]]&amp;" - "&amp;Centro_Cuenta8[[#This Row],[Nombre de Cuenta Contable]]</f>
        <v>4203140 - Contribuciones</v>
      </c>
      <c r="H1827" s="146" t="str">
        <f>+VLOOKUP(D1827,'3. Cuentas'!A:F,6,0)</f>
        <v>SI</v>
      </c>
    </row>
    <row r="1828" spans="1:8" x14ac:dyDescent="0.25">
      <c r="A1828" s="43">
        <v>10257506</v>
      </c>
      <c r="B1828" t="s">
        <v>1268</v>
      </c>
      <c r="C1828" s="43" t="s">
        <v>200</v>
      </c>
      <c r="D1828" s="43">
        <v>1115100</v>
      </c>
      <c r="E1828" t="s">
        <v>292</v>
      </c>
      <c r="F1828" s="47" t="str">
        <f>+Centro_Cuenta8[[#This Row],[Codigo Centro Gestion]]&amp;" - "&amp;Centro_Cuenta8[[#This Row],[Nombre Centro Gestion]]</f>
        <v>10257506 - Condominio Manuel Jesus Rivera 2-Depto.Técnico</v>
      </c>
      <c r="G1828" s="47" t="str">
        <f>+Centro_Cuenta8[[#This Row],[Código Cuenta Contable]]&amp;" - "&amp;Centro_Cuenta8[[#This Row],[Nombre de Cuenta Contable]]</f>
        <v>1115100 - Proyectos Y Especialidades</v>
      </c>
      <c r="H1828" s="146" t="str">
        <f>+VLOOKUP(D1828,'3. Cuentas'!A:F,6,0)</f>
        <v>SI</v>
      </c>
    </row>
    <row r="1829" spans="1:8" x14ac:dyDescent="0.25">
      <c r="A1829" s="43">
        <v>10258102</v>
      </c>
      <c r="B1829" t="s">
        <v>1270</v>
      </c>
      <c r="C1829" s="43" t="s">
        <v>1617</v>
      </c>
      <c r="D1829" s="43">
        <v>4204010</v>
      </c>
      <c r="E1829" t="s">
        <v>313</v>
      </c>
      <c r="F1829" s="47" t="str">
        <f>+Centro_Cuenta8[[#This Row],[Codigo Centro Gestion]]&amp;" - "&amp;Centro_Cuenta8[[#This Row],[Nombre Centro Gestion]]</f>
        <v>10258102 - Manuel Jesus Rivera Lote 1-Marketing</v>
      </c>
      <c r="G1829" s="47" t="str">
        <f>+Centro_Cuenta8[[#This Row],[Código Cuenta Contable]]&amp;" - "&amp;Centro_Cuenta8[[#This Row],[Nombre de Cuenta Contable]]</f>
        <v>4204010 - Publicidad Punto Venta</v>
      </c>
      <c r="H1829" s="146" t="str">
        <f>+VLOOKUP(D1829,'3. Cuentas'!A:F,6,0)</f>
        <v>SI</v>
      </c>
    </row>
    <row r="1830" spans="1:8" x14ac:dyDescent="0.25">
      <c r="A1830" s="43">
        <v>10258102</v>
      </c>
      <c r="B1830" t="s">
        <v>1270</v>
      </c>
      <c r="C1830" s="43" t="s">
        <v>1617</v>
      </c>
      <c r="D1830" s="43">
        <v>4204021</v>
      </c>
      <c r="E1830" t="s">
        <v>329</v>
      </c>
      <c r="F1830" s="47" t="str">
        <f>+Centro_Cuenta8[[#This Row],[Codigo Centro Gestion]]&amp;" - "&amp;Centro_Cuenta8[[#This Row],[Nombre Centro Gestion]]</f>
        <v>10258102 - Manuel Jesus Rivera Lote 1-Marketing</v>
      </c>
      <c r="G1830" s="47" t="str">
        <f>+Centro_Cuenta8[[#This Row],[Código Cuenta Contable]]&amp;" - "&amp;Centro_Cuenta8[[#This Row],[Nombre de Cuenta Contable]]</f>
        <v>4204021 - Publicidad Ferias Y Eventos</v>
      </c>
      <c r="H1830" s="146" t="str">
        <f>+VLOOKUP(D1830,'3. Cuentas'!A:F,6,0)</f>
        <v>SI</v>
      </c>
    </row>
    <row r="1831" spans="1:8" x14ac:dyDescent="0.25">
      <c r="A1831" s="43">
        <v>10258103</v>
      </c>
      <c r="B1831" t="s">
        <v>1271</v>
      </c>
      <c r="C1831" s="43" t="s">
        <v>1618</v>
      </c>
      <c r="D1831" s="43">
        <v>4203060</v>
      </c>
      <c r="E1831" t="s">
        <v>321</v>
      </c>
      <c r="F1831" s="47" t="str">
        <f>+Centro_Cuenta8[[#This Row],[Codigo Centro Gestion]]&amp;" - "&amp;Centro_Cuenta8[[#This Row],[Nombre Centro Gestion]]</f>
        <v>10258103 - Manuel Jesus Rivera Lote 1-Operaciones</v>
      </c>
      <c r="G1831" s="47" t="str">
        <f>+Centro_Cuenta8[[#This Row],[Código Cuenta Contable]]&amp;" - "&amp;Centro_Cuenta8[[#This Row],[Nombre de Cuenta Contable]]</f>
        <v>4203060 - Gastos Operacionales De Clientes</v>
      </c>
      <c r="H1831" s="146" t="str">
        <f>+VLOOKUP(D1831,'3. Cuentas'!A:F,6,0)</f>
        <v>SI</v>
      </c>
    </row>
    <row r="1832" spans="1:8" x14ac:dyDescent="0.25">
      <c r="A1832" s="43">
        <v>10258103</v>
      </c>
      <c r="B1832" t="s">
        <v>1271</v>
      </c>
      <c r="C1832" s="43" t="s">
        <v>1618</v>
      </c>
      <c r="D1832" s="43">
        <v>4203090</v>
      </c>
      <c r="E1832" t="s">
        <v>192</v>
      </c>
      <c r="F1832" s="47" t="str">
        <f>+Centro_Cuenta8[[#This Row],[Codigo Centro Gestion]]&amp;" - "&amp;Centro_Cuenta8[[#This Row],[Nombre Centro Gestion]]</f>
        <v>10258103 - Manuel Jesus Rivera Lote 1-Operaciones</v>
      </c>
      <c r="G1832" s="47" t="str">
        <f>+Centro_Cuenta8[[#This Row],[Código Cuenta Contable]]&amp;" - "&amp;Centro_Cuenta8[[#This Row],[Nombre de Cuenta Contable]]</f>
        <v>4203090 - Gastos Legales Y Notariales Proyecto</v>
      </c>
      <c r="H1832" s="146" t="str">
        <f>+VLOOKUP(D1832,'3. Cuentas'!A:F,6,0)</f>
        <v>SI</v>
      </c>
    </row>
    <row r="1833" spans="1:8" x14ac:dyDescent="0.25">
      <c r="A1833" s="43">
        <v>10258104</v>
      </c>
      <c r="B1833" t="s">
        <v>1272</v>
      </c>
      <c r="C1833" s="43" t="s">
        <v>90</v>
      </c>
      <c r="D1833" s="43">
        <v>1110040</v>
      </c>
      <c r="E1833" t="s">
        <v>1505</v>
      </c>
      <c r="F1833" s="47" t="str">
        <f>+Centro_Cuenta8[[#This Row],[Codigo Centro Gestion]]&amp;" - "&amp;Centro_Cuenta8[[#This Row],[Nombre Centro Gestion]]</f>
        <v>10258104 - Manuel Jesus Rivera Lote 1-Ventas</v>
      </c>
      <c r="G1833" s="47" t="str">
        <f>+Centro_Cuenta8[[#This Row],[Código Cuenta Contable]]&amp;" - "&amp;Centro_Cuenta8[[#This Row],[Nombre de Cuenta Contable]]</f>
        <v>1110040 - Garantía Pagadas</v>
      </c>
      <c r="H1833" s="146" t="str">
        <f>+VLOOKUP(D1833,'3. Cuentas'!A:F,6,0)</f>
        <v>SI</v>
      </c>
    </row>
    <row r="1834" spans="1:8" x14ac:dyDescent="0.25">
      <c r="A1834" s="43">
        <v>10258104</v>
      </c>
      <c r="B1834" t="s">
        <v>1272</v>
      </c>
      <c r="C1834" s="43" t="s">
        <v>90</v>
      </c>
      <c r="D1834" s="43">
        <v>4202003</v>
      </c>
      <c r="E1834" t="s">
        <v>106</v>
      </c>
      <c r="F1834" s="47" t="str">
        <f>+Centro_Cuenta8[[#This Row],[Codigo Centro Gestion]]&amp;" - "&amp;Centro_Cuenta8[[#This Row],[Nombre Centro Gestion]]</f>
        <v>10258104 - Manuel Jesus Rivera Lote 1-Ventas</v>
      </c>
      <c r="G1834" s="47" t="str">
        <f>+Centro_Cuenta8[[#This Row],[Código Cuenta Contable]]&amp;" - "&amp;Centro_Cuenta8[[#This Row],[Nombre de Cuenta Contable]]</f>
        <v>4202003 - Serv.Basic.Luz.Agua.Tel Of.C</v>
      </c>
      <c r="H1834" s="146" t="str">
        <f>+VLOOKUP(D1834,'3. Cuentas'!A:F,6,0)</f>
        <v>SI</v>
      </c>
    </row>
    <row r="1835" spans="1:8" x14ac:dyDescent="0.25">
      <c r="A1835" s="43">
        <v>10258104</v>
      </c>
      <c r="B1835" t="s">
        <v>1272</v>
      </c>
      <c r="C1835" s="43" t="s">
        <v>90</v>
      </c>
      <c r="D1835" s="43">
        <v>4202010</v>
      </c>
      <c r="E1835" t="s">
        <v>87</v>
      </c>
      <c r="F1835" s="47" t="str">
        <f>+Centro_Cuenta8[[#This Row],[Codigo Centro Gestion]]&amp;" - "&amp;Centro_Cuenta8[[#This Row],[Nombre Centro Gestion]]</f>
        <v>10258104 - Manuel Jesus Rivera Lote 1-Ventas</v>
      </c>
      <c r="G1835" s="47" t="str">
        <f>+Centro_Cuenta8[[#This Row],[Código Cuenta Contable]]&amp;" - "&amp;Centro_Cuenta8[[#This Row],[Nombre de Cuenta Contable]]</f>
        <v>4202010 - Artic. Ofic. Fotocop.Papelería</v>
      </c>
      <c r="H1835" s="146" t="str">
        <f>+VLOOKUP(D1835,'3. Cuentas'!A:F,6,0)</f>
        <v>SI</v>
      </c>
    </row>
    <row r="1836" spans="1:8" x14ac:dyDescent="0.25">
      <c r="A1836" s="43">
        <v>10258104</v>
      </c>
      <c r="B1836" t="s">
        <v>1272</v>
      </c>
      <c r="C1836" s="43" t="s">
        <v>90</v>
      </c>
      <c r="D1836" s="43">
        <v>4202019</v>
      </c>
      <c r="E1836" t="s">
        <v>81</v>
      </c>
      <c r="F1836" s="47" t="str">
        <f>+Centro_Cuenta8[[#This Row],[Codigo Centro Gestion]]&amp;" - "&amp;Centro_Cuenta8[[#This Row],[Nombre Centro Gestion]]</f>
        <v>10258104 - Manuel Jesus Rivera Lote 1-Ventas</v>
      </c>
      <c r="G1836" s="47" t="str">
        <f>+Centro_Cuenta8[[#This Row],[Código Cuenta Contable]]&amp;" - "&amp;Centro_Cuenta8[[#This Row],[Nombre de Cuenta Contable]]</f>
        <v>4202019 - Gasto General Oficina</v>
      </c>
      <c r="H1836" s="146" t="str">
        <f>+VLOOKUP(D1836,'3. Cuentas'!A:F,6,0)</f>
        <v>SI</v>
      </c>
    </row>
    <row r="1837" spans="1:8" x14ac:dyDescent="0.25">
      <c r="A1837" s="43">
        <v>10258104</v>
      </c>
      <c r="B1837" t="s">
        <v>1272</v>
      </c>
      <c r="C1837" s="43" t="s">
        <v>90</v>
      </c>
      <c r="D1837" s="43">
        <v>4202023</v>
      </c>
      <c r="E1837" t="s">
        <v>82</v>
      </c>
      <c r="F1837" s="47" t="str">
        <f>+Centro_Cuenta8[[#This Row],[Codigo Centro Gestion]]&amp;" - "&amp;Centro_Cuenta8[[#This Row],[Nombre Centro Gestion]]</f>
        <v>10258104 - Manuel Jesus Rivera Lote 1-Ventas</v>
      </c>
      <c r="G1837" s="47" t="str">
        <f>+Centro_Cuenta8[[#This Row],[Código Cuenta Contable]]&amp;" - "&amp;Centro_Cuenta8[[#This Row],[Nombre de Cuenta Contable]]</f>
        <v>4202023 - Honorarios Por Asesorías</v>
      </c>
      <c r="H1837" s="146" t="str">
        <f>+VLOOKUP(D1837,'3. Cuentas'!A:F,6,0)</f>
        <v>SI</v>
      </c>
    </row>
    <row r="1838" spans="1:8" x14ac:dyDescent="0.25">
      <c r="A1838" s="43">
        <v>10258104</v>
      </c>
      <c r="B1838" t="s">
        <v>1272</v>
      </c>
      <c r="C1838" s="43" t="s">
        <v>90</v>
      </c>
      <c r="D1838" s="43">
        <v>4202029</v>
      </c>
      <c r="E1838" t="s">
        <v>83</v>
      </c>
      <c r="F1838" s="47" t="str">
        <f>+Centro_Cuenta8[[#This Row],[Codigo Centro Gestion]]&amp;" - "&amp;Centro_Cuenta8[[#This Row],[Nombre Centro Gestion]]</f>
        <v>10258104 - Manuel Jesus Rivera Lote 1-Ventas</v>
      </c>
      <c r="G1838" s="47" t="str">
        <f>+Centro_Cuenta8[[#This Row],[Código Cuenta Contable]]&amp;" - "&amp;Centro_Cuenta8[[#This Row],[Nombre de Cuenta Contable]]</f>
        <v>4202029 - Insumos Y Gastos Informáticos</v>
      </c>
      <c r="H1838" s="146" t="str">
        <f>+VLOOKUP(D1838,'3. Cuentas'!A:F,6,0)</f>
        <v>SI</v>
      </c>
    </row>
    <row r="1839" spans="1:8" x14ac:dyDescent="0.25">
      <c r="A1839" s="43">
        <v>10258104</v>
      </c>
      <c r="B1839" t="s">
        <v>1272</v>
      </c>
      <c r="C1839" s="43" t="s">
        <v>90</v>
      </c>
      <c r="D1839" s="43">
        <v>4204021</v>
      </c>
      <c r="E1839" t="s">
        <v>329</v>
      </c>
      <c r="F1839" s="47" t="str">
        <f>+Centro_Cuenta8[[#This Row],[Codigo Centro Gestion]]&amp;" - "&amp;Centro_Cuenta8[[#This Row],[Nombre Centro Gestion]]</f>
        <v>10258104 - Manuel Jesus Rivera Lote 1-Ventas</v>
      </c>
      <c r="G1839" s="47" t="str">
        <f>+Centro_Cuenta8[[#This Row],[Código Cuenta Contable]]&amp;" - "&amp;Centro_Cuenta8[[#This Row],[Nombre de Cuenta Contable]]</f>
        <v>4204021 - Publicidad Ferias Y Eventos</v>
      </c>
      <c r="H1839" s="146" t="str">
        <f>+VLOOKUP(D1839,'3. Cuentas'!A:F,6,0)</f>
        <v>SI</v>
      </c>
    </row>
    <row r="1840" spans="1:8" x14ac:dyDescent="0.25">
      <c r="A1840" s="43">
        <v>10258105</v>
      </c>
      <c r="B1840" t="s">
        <v>1273</v>
      </c>
      <c r="C1840" s="43" t="s">
        <v>1622</v>
      </c>
      <c r="D1840" s="43">
        <v>4203020</v>
      </c>
      <c r="E1840" t="s">
        <v>295</v>
      </c>
      <c r="F1840" s="47" t="str">
        <f>+Centro_Cuenta8[[#This Row],[Codigo Centro Gestion]]&amp;" - "&amp;Centro_Cuenta8[[#This Row],[Nombre Centro Gestion]]</f>
        <v>10258105 - Manuel Jesus Rivera Lote 1-Clientes</v>
      </c>
      <c r="G1840" s="47" t="str">
        <f>+Centro_Cuenta8[[#This Row],[Código Cuenta Contable]]&amp;" - "&amp;Centro_Cuenta8[[#This Row],[Nombre de Cuenta Contable]]</f>
        <v>4203020 - Mant. y Consum. Viv Stock</v>
      </c>
      <c r="H1840" s="146" t="str">
        <f>+VLOOKUP(D1840,'3. Cuentas'!A:F,6,0)</f>
        <v>SI</v>
      </c>
    </row>
    <row r="1841" spans="1:8" x14ac:dyDescent="0.25">
      <c r="A1841" s="43">
        <v>10258105</v>
      </c>
      <c r="B1841" t="s">
        <v>1273</v>
      </c>
      <c r="C1841" s="43" t="s">
        <v>1622</v>
      </c>
      <c r="D1841" s="43">
        <v>4203120</v>
      </c>
      <c r="E1841" t="s">
        <v>108</v>
      </c>
      <c r="F1841" s="47" t="str">
        <f>+Centro_Cuenta8[[#This Row],[Codigo Centro Gestion]]&amp;" - "&amp;Centro_Cuenta8[[#This Row],[Nombre Centro Gestion]]</f>
        <v>10258105 - Manuel Jesus Rivera Lote 1-Clientes</v>
      </c>
      <c r="G1841" s="47" t="str">
        <f>+Centro_Cuenta8[[#This Row],[Código Cuenta Contable]]&amp;" - "&amp;Centro_Cuenta8[[#This Row],[Nombre de Cuenta Contable]]</f>
        <v>4203120 - Gastos Comunes</v>
      </c>
      <c r="H1841" s="146" t="str">
        <f>+VLOOKUP(D1841,'3. Cuentas'!A:F,6,0)</f>
        <v>SI</v>
      </c>
    </row>
    <row r="1842" spans="1:8" x14ac:dyDescent="0.25">
      <c r="A1842" s="43">
        <v>10258105</v>
      </c>
      <c r="B1842" t="s">
        <v>1273</v>
      </c>
      <c r="C1842" s="43" t="s">
        <v>1622</v>
      </c>
      <c r="D1842" s="43">
        <v>4203140</v>
      </c>
      <c r="E1842" t="s">
        <v>109</v>
      </c>
      <c r="F1842" s="47" t="str">
        <f>+Centro_Cuenta8[[#This Row],[Codigo Centro Gestion]]&amp;" - "&amp;Centro_Cuenta8[[#This Row],[Nombre Centro Gestion]]</f>
        <v>10258105 - Manuel Jesus Rivera Lote 1-Clientes</v>
      </c>
      <c r="G1842" s="47" t="str">
        <f>+Centro_Cuenta8[[#This Row],[Código Cuenta Contable]]&amp;" - "&amp;Centro_Cuenta8[[#This Row],[Nombre de Cuenta Contable]]</f>
        <v>4203140 - Contribuciones</v>
      </c>
      <c r="H1842" s="146" t="str">
        <f>+VLOOKUP(D1842,'3. Cuentas'!A:F,6,0)</f>
        <v>SI</v>
      </c>
    </row>
    <row r="1843" spans="1:8" x14ac:dyDescent="0.25">
      <c r="A1843" s="43">
        <v>10258204</v>
      </c>
      <c r="B1843" t="s">
        <v>1274</v>
      </c>
      <c r="C1843" s="43" t="s">
        <v>1624</v>
      </c>
      <c r="D1843" s="43">
        <v>1103045</v>
      </c>
      <c r="E1843" t="s">
        <v>323</v>
      </c>
      <c r="F1843" s="47" t="str">
        <f>+Centro_Cuenta8[[#This Row],[Codigo Centro Gestion]]&amp;" - "&amp;Centro_Cuenta8[[#This Row],[Nombre Centro Gestion]]</f>
        <v>10258204 - Manuel Jesus Rivera Lote 1-Proyecto</v>
      </c>
      <c r="G1843" s="47" t="str">
        <f>+Centro_Cuenta8[[#This Row],[Código Cuenta Contable]]&amp;" - "&amp;Centro_Cuenta8[[#This Row],[Nombre de Cuenta Contable]]</f>
        <v>1103045 - Aportes reembolsables (electricidad y agua)</v>
      </c>
      <c r="H1843" s="146" t="str">
        <f>+VLOOKUP(D1843,'3. Cuentas'!A:F,6,0)</f>
        <v>SI</v>
      </c>
    </row>
    <row r="1844" spans="1:8" x14ac:dyDescent="0.25">
      <c r="A1844" s="43">
        <v>10258204</v>
      </c>
      <c r="B1844" t="s">
        <v>1274</v>
      </c>
      <c r="C1844" s="43" t="s">
        <v>1624</v>
      </c>
      <c r="D1844" s="43">
        <v>1109020</v>
      </c>
      <c r="E1844" t="s">
        <v>302</v>
      </c>
      <c r="F1844" s="47" t="str">
        <f>+Centro_Cuenta8[[#This Row],[Codigo Centro Gestion]]&amp;" - "&amp;Centro_Cuenta8[[#This Row],[Nombre Centro Gestion]]</f>
        <v>10258204 - Manuel Jesus Rivera Lote 1-Proyecto</v>
      </c>
      <c r="G1844" s="47" t="str">
        <f>+Centro_Cuenta8[[#This Row],[Código Cuenta Contable]]&amp;" - "&amp;Centro_Cuenta8[[#This Row],[Nombre de Cuenta Contable]]</f>
        <v>1109020 - Mobiliario</v>
      </c>
      <c r="H1844" s="146" t="str">
        <f>+VLOOKUP(D1844,'3. Cuentas'!A:F,6,0)</f>
        <v>SI</v>
      </c>
    </row>
    <row r="1845" spans="1:8" x14ac:dyDescent="0.25">
      <c r="A1845" s="43">
        <v>10258204</v>
      </c>
      <c r="B1845" t="s">
        <v>1274</v>
      </c>
      <c r="C1845" s="43" t="s">
        <v>1624</v>
      </c>
      <c r="D1845" s="43">
        <v>1110040</v>
      </c>
      <c r="E1845" t="s">
        <v>1505</v>
      </c>
      <c r="F1845" s="47" t="str">
        <f>+Centro_Cuenta8[[#This Row],[Codigo Centro Gestion]]&amp;" - "&amp;Centro_Cuenta8[[#This Row],[Nombre Centro Gestion]]</f>
        <v>10258204 - Manuel Jesus Rivera Lote 1-Proyecto</v>
      </c>
      <c r="G1845" s="47" t="str">
        <f>+Centro_Cuenta8[[#This Row],[Código Cuenta Contable]]&amp;" - "&amp;Centro_Cuenta8[[#This Row],[Nombre de Cuenta Contable]]</f>
        <v>1110040 - Garantía Pagadas</v>
      </c>
      <c r="H1845" s="146" t="str">
        <f>+VLOOKUP(D1845,'3. Cuentas'!A:F,6,0)</f>
        <v>SI</v>
      </c>
    </row>
    <row r="1846" spans="1:8" x14ac:dyDescent="0.25">
      <c r="A1846" s="43">
        <v>10258204</v>
      </c>
      <c r="B1846" t="s">
        <v>1274</v>
      </c>
      <c r="C1846" s="43" t="s">
        <v>1624</v>
      </c>
      <c r="D1846" s="43">
        <v>1115040</v>
      </c>
      <c r="E1846" t="s">
        <v>291</v>
      </c>
      <c r="F1846" s="47" t="str">
        <f>+Centro_Cuenta8[[#This Row],[Codigo Centro Gestion]]&amp;" - "&amp;Centro_Cuenta8[[#This Row],[Nombre Centro Gestion]]</f>
        <v>10258204 - Manuel Jesus Rivera Lote 1-Proyecto</v>
      </c>
      <c r="G1846" s="47" t="str">
        <f>+Centro_Cuenta8[[#This Row],[Código Cuenta Contable]]&amp;" - "&amp;Centro_Cuenta8[[#This Row],[Nombre de Cuenta Contable]]</f>
        <v>1115040 - Saneamiento De Terreno</v>
      </c>
      <c r="H1846" s="146" t="str">
        <f>+VLOOKUP(D1846,'3. Cuentas'!A:F,6,0)</f>
        <v>SI</v>
      </c>
    </row>
    <row r="1847" spans="1:8" x14ac:dyDescent="0.25">
      <c r="A1847" s="43">
        <v>10258204</v>
      </c>
      <c r="B1847" t="s">
        <v>1274</v>
      </c>
      <c r="C1847" s="43" t="s">
        <v>1624</v>
      </c>
      <c r="D1847" s="43">
        <v>1115050</v>
      </c>
      <c r="E1847" t="s">
        <v>1628</v>
      </c>
      <c r="F1847" s="47" t="str">
        <f>+Centro_Cuenta8[[#This Row],[Codigo Centro Gestion]]&amp;" - "&amp;Centro_Cuenta8[[#This Row],[Nombre Centro Gestion]]</f>
        <v>10258204 - Manuel Jesus Rivera Lote 1-Proyecto</v>
      </c>
      <c r="G1847" s="47" t="str">
        <f>+Centro_Cuenta8[[#This Row],[Código Cuenta Contable]]&amp;" - "&amp;Centro_Cuenta8[[#This Row],[Nombre de Cuenta Contable]]</f>
        <v>1115050 - Demolición</v>
      </c>
      <c r="H1847" s="146" t="str">
        <f>+VLOOKUP(D1847,'3. Cuentas'!A:F,6,0)</f>
        <v>SI</v>
      </c>
    </row>
    <row r="1848" spans="1:8" x14ac:dyDescent="0.25">
      <c r="A1848" s="43">
        <v>10258204</v>
      </c>
      <c r="B1848" t="s">
        <v>1274</v>
      </c>
      <c r="C1848" s="43" t="s">
        <v>1624</v>
      </c>
      <c r="D1848" s="43">
        <v>1115100</v>
      </c>
      <c r="E1848" t="s">
        <v>292</v>
      </c>
      <c r="F1848" s="47" t="str">
        <f>+Centro_Cuenta8[[#This Row],[Codigo Centro Gestion]]&amp;" - "&amp;Centro_Cuenta8[[#This Row],[Nombre Centro Gestion]]</f>
        <v>10258204 - Manuel Jesus Rivera Lote 1-Proyecto</v>
      </c>
      <c r="G1848" s="47" t="str">
        <f>+Centro_Cuenta8[[#This Row],[Código Cuenta Contable]]&amp;" - "&amp;Centro_Cuenta8[[#This Row],[Nombre de Cuenta Contable]]</f>
        <v>1115100 - Proyectos Y Especialidades</v>
      </c>
      <c r="H1848" s="146" t="str">
        <f>+VLOOKUP(D1848,'3. Cuentas'!A:F,6,0)</f>
        <v>SI</v>
      </c>
    </row>
    <row r="1849" spans="1:8" x14ac:dyDescent="0.25">
      <c r="A1849" s="43">
        <v>10258204</v>
      </c>
      <c r="B1849" t="s">
        <v>1274</v>
      </c>
      <c r="C1849" s="43" t="s">
        <v>1624</v>
      </c>
      <c r="D1849" s="43">
        <v>1115120</v>
      </c>
      <c r="E1849" t="s">
        <v>1633</v>
      </c>
      <c r="F1849" s="47" t="str">
        <f>+Centro_Cuenta8[[#This Row],[Codigo Centro Gestion]]&amp;" - "&amp;Centro_Cuenta8[[#This Row],[Nombre Centro Gestion]]</f>
        <v>10258204 - Manuel Jesus Rivera Lote 1-Proyecto</v>
      </c>
      <c r="G1849" s="47" t="str">
        <f>+Centro_Cuenta8[[#This Row],[Código Cuenta Contable]]&amp;" - "&amp;Centro_Cuenta8[[#This Row],[Nombre de Cuenta Contable]]</f>
        <v>1115120 - Instalación Empalmes</v>
      </c>
      <c r="H1849" s="146" t="str">
        <f>+VLOOKUP(D1849,'3. Cuentas'!A:F,6,0)</f>
        <v>SI</v>
      </c>
    </row>
    <row r="1850" spans="1:8" x14ac:dyDescent="0.25">
      <c r="A1850" s="43">
        <v>10258204</v>
      </c>
      <c r="B1850" t="s">
        <v>1274</v>
      </c>
      <c r="C1850" s="43" t="s">
        <v>1624</v>
      </c>
      <c r="D1850" s="43">
        <v>1115170</v>
      </c>
      <c r="E1850" t="s">
        <v>293</v>
      </c>
      <c r="F1850" s="47" t="str">
        <f>+Centro_Cuenta8[[#This Row],[Codigo Centro Gestion]]&amp;" - "&amp;Centro_Cuenta8[[#This Row],[Nombre Centro Gestion]]</f>
        <v>10258204 - Manuel Jesus Rivera Lote 1-Proyecto</v>
      </c>
      <c r="G1850" s="47" t="str">
        <f>+Centro_Cuenta8[[#This Row],[Código Cuenta Contable]]&amp;" - "&amp;Centro_Cuenta8[[#This Row],[Nombre de Cuenta Contable]]</f>
        <v>1115170 - Permisos Y Otros Gastos Municipales</v>
      </c>
      <c r="H1850" s="146" t="str">
        <f>+VLOOKUP(D1850,'3. Cuentas'!A:F,6,0)</f>
        <v>SI</v>
      </c>
    </row>
    <row r="1851" spans="1:8" x14ac:dyDescent="0.25">
      <c r="A1851" s="43">
        <v>10258204</v>
      </c>
      <c r="B1851" t="s">
        <v>1274</v>
      </c>
      <c r="C1851" s="43" t="s">
        <v>1624</v>
      </c>
      <c r="D1851" s="43">
        <v>1115240</v>
      </c>
      <c r="E1851" t="s">
        <v>294</v>
      </c>
      <c r="F1851" s="47" t="str">
        <f>+Centro_Cuenta8[[#This Row],[Codigo Centro Gestion]]&amp;" - "&amp;Centro_Cuenta8[[#This Row],[Nombre Centro Gestion]]</f>
        <v>10258204 - Manuel Jesus Rivera Lote 1-Proyecto</v>
      </c>
      <c r="G1851" s="47" t="str">
        <f>+Centro_Cuenta8[[#This Row],[Código Cuenta Contable]]&amp;" - "&amp;Centro_Cuenta8[[#This Row],[Nombre de Cuenta Contable]]</f>
        <v>1115240 - Estudios Y Asesorias Técnicas</v>
      </c>
      <c r="H1851" s="146" t="str">
        <f>+VLOOKUP(D1851,'3. Cuentas'!A:F,6,0)</f>
        <v>SI</v>
      </c>
    </row>
    <row r="1852" spans="1:8" x14ac:dyDescent="0.25">
      <c r="A1852" s="43">
        <v>10258204</v>
      </c>
      <c r="B1852" t="s">
        <v>1274</v>
      </c>
      <c r="C1852" s="43" t="s">
        <v>1624</v>
      </c>
      <c r="D1852" s="43">
        <v>4203090</v>
      </c>
      <c r="E1852" t="s">
        <v>192</v>
      </c>
      <c r="F1852" s="47" t="str">
        <f>+Centro_Cuenta8[[#This Row],[Codigo Centro Gestion]]&amp;" - "&amp;Centro_Cuenta8[[#This Row],[Nombre Centro Gestion]]</f>
        <v>10258204 - Manuel Jesus Rivera Lote 1-Proyecto</v>
      </c>
      <c r="G1852" s="47" t="str">
        <f>+Centro_Cuenta8[[#This Row],[Código Cuenta Contable]]&amp;" - "&amp;Centro_Cuenta8[[#This Row],[Nombre de Cuenta Contable]]</f>
        <v>4203090 - Gastos Legales Y Notariales Proyecto</v>
      </c>
      <c r="H1852" s="146" t="str">
        <f>+VLOOKUP(D1852,'3. Cuentas'!A:F,6,0)</f>
        <v>SI</v>
      </c>
    </row>
    <row r="1853" spans="1:8" x14ac:dyDescent="0.25">
      <c r="A1853" s="43">
        <v>10258204</v>
      </c>
      <c r="B1853" t="s">
        <v>1274</v>
      </c>
      <c r="C1853" s="43" t="s">
        <v>1624</v>
      </c>
      <c r="D1853" s="43">
        <v>4203140</v>
      </c>
      <c r="E1853" t="s">
        <v>109</v>
      </c>
      <c r="F1853" s="47" t="str">
        <f>+Centro_Cuenta8[[#This Row],[Codigo Centro Gestion]]&amp;" - "&amp;Centro_Cuenta8[[#This Row],[Nombre Centro Gestion]]</f>
        <v>10258204 - Manuel Jesus Rivera Lote 1-Proyecto</v>
      </c>
      <c r="G1853" s="47" t="str">
        <f>+Centro_Cuenta8[[#This Row],[Código Cuenta Contable]]&amp;" - "&amp;Centro_Cuenta8[[#This Row],[Nombre de Cuenta Contable]]</f>
        <v>4203140 - Contribuciones</v>
      </c>
      <c r="H1853" s="146" t="str">
        <f>+VLOOKUP(D1853,'3. Cuentas'!A:F,6,0)</f>
        <v>SI</v>
      </c>
    </row>
    <row r="1854" spans="1:8" x14ac:dyDescent="0.25">
      <c r="A1854" s="43">
        <v>10258204</v>
      </c>
      <c r="B1854" t="s">
        <v>1274</v>
      </c>
      <c r="C1854" s="43" t="s">
        <v>1624</v>
      </c>
      <c r="D1854" s="43">
        <v>4203150</v>
      </c>
      <c r="E1854" t="s">
        <v>156</v>
      </c>
      <c r="F1854" s="47" t="str">
        <f>+Centro_Cuenta8[[#This Row],[Codigo Centro Gestion]]&amp;" - "&amp;Centro_Cuenta8[[#This Row],[Nombre Centro Gestion]]</f>
        <v>10258204 - Manuel Jesus Rivera Lote 1-Proyecto</v>
      </c>
      <c r="G1854" s="47" t="str">
        <f>+Centro_Cuenta8[[#This Row],[Código Cuenta Contable]]&amp;" - "&amp;Centro_Cuenta8[[#This Row],[Nombre de Cuenta Contable]]</f>
        <v>4203150 - Gastos CBR</v>
      </c>
      <c r="H1854" s="146" t="str">
        <f>+VLOOKUP(D1854,'3. Cuentas'!A:F,6,0)</f>
        <v>SI</v>
      </c>
    </row>
    <row r="1855" spans="1:8" x14ac:dyDescent="0.25">
      <c r="A1855" s="43">
        <v>10258204</v>
      </c>
      <c r="B1855" t="s">
        <v>1274</v>
      </c>
      <c r="C1855" s="43" t="s">
        <v>1624</v>
      </c>
      <c r="D1855" s="43">
        <v>4203160</v>
      </c>
      <c r="E1855" t="s">
        <v>1639</v>
      </c>
      <c r="F1855" s="47" t="str">
        <f>+Centro_Cuenta8[[#This Row],[Codigo Centro Gestion]]&amp;" - "&amp;Centro_Cuenta8[[#This Row],[Nombre Centro Gestion]]</f>
        <v>10258204 - Manuel Jesus Rivera Lote 1-Proyecto</v>
      </c>
      <c r="G1855" s="47" t="str">
        <f>+Centro_Cuenta8[[#This Row],[Código Cuenta Contable]]&amp;" - "&amp;Centro_Cuenta8[[#This Row],[Nombre de Cuenta Contable]]</f>
        <v>4203160 - PAPELERIA Y FOTOCOPIADO</v>
      </c>
      <c r="H1855" s="146" t="str">
        <f>+VLOOKUP(D1855,'3. Cuentas'!A:F,6,0)</f>
        <v>SI</v>
      </c>
    </row>
    <row r="1856" spans="1:8" x14ac:dyDescent="0.25">
      <c r="A1856" s="43">
        <v>10258204</v>
      </c>
      <c r="B1856" t="s">
        <v>1274</v>
      </c>
      <c r="C1856" s="43" t="s">
        <v>1624</v>
      </c>
      <c r="D1856" s="43">
        <v>4203180</v>
      </c>
      <c r="E1856" t="s">
        <v>1640</v>
      </c>
      <c r="F1856" s="47" t="str">
        <f>+Centro_Cuenta8[[#This Row],[Codigo Centro Gestion]]&amp;" - "&amp;Centro_Cuenta8[[#This Row],[Nombre Centro Gestion]]</f>
        <v>10258204 - Manuel Jesus Rivera Lote 1-Proyecto</v>
      </c>
      <c r="G1856" s="47" t="str">
        <f>+Centro_Cuenta8[[#This Row],[Código Cuenta Contable]]&amp;" - "&amp;Centro_Cuenta8[[#This Row],[Nombre de Cuenta Contable]]</f>
        <v>4203180 - Otros Gastos y Aseso Proy</v>
      </c>
      <c r="H1856" s="146" t="str">
        <f>+VLOOKUP(D1856,'3. Cuentas'!A:F,6,0)</f>
        <v>SI</v>
      </c>
    </row>
    <row r="1857" spans="1:8" x14ac:dyDescent="0.25">
      <c r="A1857" s="43">
        <v>10258301</v>
      </c>
      <c r="B1857" t="s">
        <v>1275</v>
      </c>
      <c r="C1857" s="43" t="s">
        <v>1643</v>
      </c>
      <c r="D1857" s="43">
        <v>4203090</v>
      </c>
      <c r="E1857" t="s">
        <v>192</v>
      </c>
      <c r="F1857" s="47" t="str">
        <f>+Centro_Cuenta8[[#This Row],[Codigo Centro Gestion]]&amp;" - "&amp;Centro_Cuenta8[[#This Row],[Nombre Centro Gestion]]</f>
        <v>10258301 - Manuel Jesus Rivera Lote 1-GAF</v>
      </c>
      <c r="G1857" s="47" t="str">
        <f>+Centro_Cuenta8[[#This Row],[Código Cuenta Contable]]&amp;" - "&amp;Centro_Cuenta8[[#This Row],[Nombre de Cuenta Contable]]</f>
        <v>4203090 - Gastos Legales Y Notariales Proyecto</v>
      </c>
      <c r="H1857" s="146" t="str">
        <f>+VLOOKUP(D1857,'3. Cuentas'!A:F,6,0)</f>
        <v>SI</v>
      </c>
    </row>
    <row r="1858" spans="1:8" x14ac:dyDescent="0.25">
      <c r="A1858" s="43">
        <v>10258301</v>
      </c>
      <c r="B1858" t="s">
        <v>1275</v>
      </c>
      <c r="C1858" s="43" t="s">
        <v>1643</v>
      </c>
      <c r="D1858" s="43">
        <v>4203140</v>
      </c>
      <c r="E1858" t="s">
        <v>109</v>
      </c>
      <c r="F1858" s="47" t="str">
        <f>+Centro_Cuenta8[[#This Row],[Codigo Centro Gestion]]&amp;" - "&amp;Centro_Cuenta8[[#This Row],[Nombre Centro Gestion]]</f>
        <v>10258301 - Manuel Jesus Rivera Lote 1-GAF</v>
      </c>
      <c r="G1858" s="47" t="str">
        <f>+Centro_Cuenta8[[#This Row],[Código Cuenta Contable]]&amp;" - "&amp;Centro_Cuenta8[[#This Row],[Nombre de Cuenta Contable]]</f>
        <v>4203140 - Contribuciones</v>
      </c>
      <c r="H1858" s="146" t="str">
        <f>+VLOOKUP(D1858,'3. Cuentas'!A:F,6,0)</f>
        <v>SI</v>
      </c>
    </row>
    <row r="1859" spans="1:8" x14ac:dyDescent="0.25">
      <c r="A1859" s="43">
        <v>10258506</v>
      </c>
      <c r="B1859" t="s">
        <v>1277</v>
      </c>
      <c r="C1859" s="43" t="s">
        <v>200</v>
      </c>
      <c r="D1859" s="43">
        <v>1115100</v>
      </c>
      <c r="E1859" t="s">
        <v>292</v>
      </c>
      <c r="F1859" s="47" t="str">
        <f>+Centro_Cuenta8[[#This Row],[Codigo Centro Gestion]]&amp;" - "&amp;Centro_Cuenta8[[#This Row],[Nombre Centro Gestion]]</f>
        <v>10258506 - Manuel Jesus Rivera Lote 1-Depto.Técnico</v>
      </c>
      <c r="G1859" s="47" t="str">
        <f>+Centro_Cuenta8[[#This Row],[Código Cuenta Contable]]&amp;" - "&amp;Centro_Cuenta8[[#This Row],[Nombre de Cuenta Contable]]</f>
        <v>1115100 - Proyectos Y Especialidades</v>
      </c>
      <c r="H1859" s="146" t="str">
        <f>+VLOOKUP(D1859,'3. Cuentas'!A:F,6,0)</f>
        <v>SI</v>
      </c>
    </row>
    <row r="1860" spans="1:8" x14ac:dyDescent="0.25">
      <c r="A1860" s="43">
        <v>10259102</v>
      </c>
      <c r="B1860" t="s">
        <v>1278</v>
      </c>
      <c r="C1860" s="43" t="s">
        <v>1617</v>
      </c>
      <c r="D1860" s="43">
        <v>4204010</v>
      </c>
      <c r="E1860" t="s">
        <v>313</v>
      </c>
      <c r="F1860" s="47" t="str">
        <f>+Centro_Cuenta8[[#This Row],[Codigo Centro Gestion]]&amp;" - "&amp;Centro_Cuenta8[[#This Row],[Nombre Centro Gestion]]</f>
        <v>10259102 - Blanca Estela I Torre A y B-Marketing</v>
      </c>
      <c r="G1860" s="47" t="str">
        <f>+Centro_Cuenta8[[#This Row],[Código Cuenta Contable]]&amp;" - "&amp;Centro_Cuenta8[[#This Row],[Nombre de Cuenta Contable]]</f>
        <v>4204010 - Publicidad Punto Venta</v>
      </c>
      <c r="H1860" s="146" t="str">
        <f>+VLOOKUP(D1860,'3. Cuentas'!A:F,6,0)</f>
        <v>SI</v>
      </c>
    </row>
    <row r="1861" spans="1:8" x14ac:dyDescent="0.25">
      <c r="A1861" s="43">
        <v>10259102</v>
      </c>
      <c r="B1861" t="s">
        <v>1278</v>
      </c>
      <c r="C1861" s="43" t="s">
        <v>1617</v>
      </c>
      <c r="D1861" s="43">
        <v>4204021</v>
      </c>
      <c r="E1861" t="s">
        <v>329</v>
      </c>
      <c r="F1861" s="47" t="str">
        <f>+Centro_Cuenta8[[#This Row],[Codigo Centro Gestion]]&amp;" - "&amp;Centro_Cuenta8[[#This Row],[Nombre Centro Gestion]]</f>
        <v>10259102 - Blanca Estela I Torre A y B-Marketing</v>
      </c>
      <c r="G1861" s="47" t="str">
        <f>+Centro_Cuenta8[[#This Row],[Código Cuenta Contable]]&amp;" - "&amp;Centro_Cuenta8[[#This Row],[Nombre de Cuenta Contable]]</f>
        <v>4204021 - Publicidad Ferias Y Eventos</v>
      </c>
      <c r="H1861" s="146" t="str">
        <f>+VLOOKUP(D1861,'3. Cuentas'!A:F,6,0)</f>
        <v>SI</v>
      </c>
    </row>
    <row r="1862" spans="1:8" x14ac:dyDescent="0.25">
      <c r="A1862" s="43">
        <v>10259103</v>
      </c>
      <c r="B1862" t="s">
        <v>1279</v>
      </c>
      <c r="C1862" s="43" t="s">
        <v>1618</v>
      </c>
      <c r="D1862" s="43">
        <v>4203060</v>
      </c>
      <c r="E1862" t="s">
        <v>321</v>
      </c>
      <c r="F1862" s="47" t="str">
        <f>+Centro_Cuenta8[[#This Row],[Codigo Centro Gestion]]&amp;" - "&amp;Centro_Cuenta8[[#This Row],[Nombre Centro Gestion]]</f>
        <v>10259103 - Blanca Estela I Torre A y B-Operaciones</v>
      </c>
      <c r="G1862" s="47" t="str">
        <f>+Centro_Cuenta8[[#This Row],[Código Cuenta Contable]]&amp;" - "&amp;Centro_Cuenta8[[#This Row],[Nombre de Cuenta Contable]]</f>
        <v>4203060 - Gastos Operacionales De Clientes</v>
      </c>
      <c r="H1862" s="146" t="str">
        <f>+VLOOKUP(D1862,'3. Cuentas'!A:F,6,0)</f>
        <v>SI</v>
      </c>
    </row>
    <row r="1863" spans="1:8" x14ac:dyDescent="0.25">
      <c r="A1863" s="43">
        <v>10259103</v>
      </c>
      <c r="B1863" t="s">
        <v>1279</v>
      </c>
      <c r="C1863" s="43" t="s">
        <v>1618</v>
      </c>
      <c r="D1863" s="43">
        <v>4203090</v>
      </c>
      <c r="E1863" t="s">
        <v>192</v>
      </c>
      <c r="F1863" s="47" t="str">
        <f>+Centro_Cuenta8[[#This Row],[Codigo Centro Gestion]]&amp;" - "&amp;Centro_Cuenta8[[#This Row],[Nombre Centro Gestion]]</f>
        <v>10259103 - Blanca Estela I Torre A y B-Operaciones</v>
      </c>
      <c r="G1863" s="47" t="str">
        <f>+Centro_Cuenta8[[#This Row],[Código Cuenta Contable]]&amp;" - "&amp;Centro_Cuenta8[[#This Row],[Nombre de Cuenta Contable]]</f>
        <v>4203090 - Gastos Legales Y Notariales Proyecto</v>
      </c>
      <c r="H1863" s="146" t="str">
        <f>+VLOOKUP(D1863,'3. Cuentas'!A:F,6,0)</f>
        <v>SI</v>
      </c>
    </row>
    <row r="1864" spans="1:8" x14ac:dyDescent="0.25">
      <c r="A1864" s="43">
        <v>10259104</v>
      </c>
      <c r="B1864" t="s">
        <v>1280</v>
      </c>
      <c r="C1864" s="43" t="s">
        <v>90</v>
      </c>
      <c r="D1864" s="43">
        <v>1110040</v>
      </c>
      <c r="E1864" t="s">
        <v>1505</v>
      </c>
      <c r="F1864" s="47" t="str">
        <f>+Centro_Cuenta8[[#This Row],[Codigo Centro Gestion]]&amp;" - "&amp;Centro_Cuenta8[[#This Row],[Nombre Centro Gestion]]</f>
        <v>10259104 - Blanca Estela I Torre A y B-Ventas</v>
      </c>
      <c r="G1864" s="47" t="str">
        <f>+Centro_Cuenta8[[#This Row],[Código Cuenta Contable]]&amp;" - "&amp;Centro_Cuenta8[[#This Row],[Nombre de Cuenta Contable]]</f>
        <v>1110040 - Garantía Pagadas</v>
      </c>
      <c r="H1864" s="146" t="str">
        <f>+VLOOKUP(D1864,'3. Cuentas'!A:F,6,0)</f>
        <v>SI</v>
      </c>
    </row>
    <row r="1865" spans="1:8" x14ac:dyDescent="0.25">
      <c r="A1865" s="43">
        <v>10259104</v>
      </c>
      <c r="B1865" t="s">
        <v>1280</v>
      </c>
      <c r="C1865" s="43" t="s">
        <v>90</v>
      </c>
      <c r="D1865" s="43">
        <v>4202003</v>
      </c>
      <c r="E1865" t="s">
        <v>106</v>
      </c>
      <c r="F1865" s="47" t="str">
        <f>+Centro_Cuenta8[[#This Row],[Codigo Centro Gestion]]&amp;" - "&amp;Centro_Cuenta8[[#This Row],[Nombre Centro Gestion]]</f>
        <v>10259104 - Blanca Estela I Torre A y B-Ventas</v>
      </c>
      <c r="G1865" s="47" t="str">
        <f>+Centro_Cuenta8[[#This Row],[Código Cuenta Contable]]&amp;" - "&amp;Centro_Cuenta8[[#This Row],[Nombre de Cuenta Contable]]</f>
        <v>4202003 - Serv.Basic.Luz.Agua.Tel Of.C</v>
      </c>
      <c r="H1865" s="146" t="str">
        <f>+VLOOKUP(D1865,'3. Cuentas'!A:F,6,0)</f>
        <v>SI</v>
      </c>
    </row>
    <row r="1866" spans="1:8" x14ac:dyDescent="0.25">
      <c r="A1866" s="43">
        <v>10259104</v>
      </c>
      <c r="B1866" t="s">
        <v>1280</v>
      </c>
      <c r="C1866" s="43" t="s">
        <v>90</v>
      </c>
      <c r="D1866" s="43">
        <v>4202010</v>
      </c>
      <c r="E1866" t="s">
        <v>87</v>
      </c>
      <c r="F1866" s="47" t="str">
        <f>+Centro_Cuenta8[[#This Row],[Codigo Centro Gestion]]&amp;" - "&amp;Centro_Cuenta8[[#This Row],[Nombre Centro Gestion]]</f>
        <v>10259104 - Blanca Estela I Torre A y B-Ventas</v>
      </c>
      <c r="G1866" s="47" t="str">
        <f>+Centro_Cuenta8[[#This Row],[Código Cuenta Contable]]&amp;" - "&amp;Centro_Cuenta8[[#This Row],[Nombre de Cuenta Contable]]</f>
        <v>4202010 - Artic. Ofic. Fotocop.Papelería</v>
      </c>
      <c r="H1866" s="146" t="str">
        <f>+VLOOKUP(D1866,'3. Cuentas'!A:F,6,0)</f>
        <v>SI</v>
      </c>
    </row>
    <row r="1867" spans="1:8" x14ac:dyDescent="0.25">
      <c r="A1867" s="43">
        <v>10259104</v>
      </c>
      <c r="B1867" t="s">
        <v>1280</v>
      </c>
      <c r="C1867" s="43" t="s">
        <v>90</v>
      </c>
      <c r="D1867" s="43">
        <v>4202019</v>
      </c>
      <c r="E1867" t="s">
        <v>81</v>
      </c>
      <c r="F1867" s="47" t="str">
        <f>+Centro_Cuenta8[[#This Row],[Codigo Centro Gestion]]&amp;" - "&amp;Centro_Cuenta8[[#This Row],[Nombre Centro Gestion]]</f>
        <v>10259104 - Blanca Estela I Torre A y B-Ventas</v>
      </c>
      <c r="G1867" s="47" t="str">
        <f>+Centro_Cuenta8[[#This Row],[Código Cuenta Contable]]&amp;" - "&amp;Centro_Cuenta8[[#This Row],[Nombre de Cuenta Contable]]</f>
        <v>4202019 - Gasto General Oficina</v>
      </c>
      <c r="H1867" s="146" t="str">
        <f>+VLOOKUP(D1867,'3. Cuentas'!A:F,6,0)</f>
        <v>SI</v>
      </c>
    </row>
    <row r="1868" spans="1:8" x14ac:dyDescent="0.25">
      <c r="A1868" s="43">
        <v>10259104</v>
      </c>
      <c r="B1868" t="s">
        <v>1280</v>
      </c>
      <c r="C1868" s="43" t="s">
        <v>90</v>
      </c>
      <c r="D1868" s="43">
        <v>4202023</v>
      </c>
      <c r="E1868" t="s">
        <v>82</v>
      </c>
      <c r="F1868" s="47" t="str">
        <f>+Centro_Cuenta8[[#This Row],[Codigo Centro Gestion]]&amp;" - "&amp;Centro_Cuenta8[[#This Row],[Nombre Centro Gestion]]</f>
        <v>10259104 - Blanca Estela I Torre A y B-Ventas</v>
      </c>
      <c r="G1868" s="47" t="str">
        <f>+Centro_Cuenta8[[#This Row],[Código Cuenta Contable]]&amp;" - "&amp;Centro_Cuenta8[[#This Row],[Nombre de Cuenta Contable]]</f>
        <v>4202023 - Honorarios Por Asesorías</v>
      </c>
      <c r="H1868" s="146" t="str">
        <f>+VLOOKUP(D1868,'3. Cuentas'!A:F,6,0)</f>
        <v>SI</v>
      </c>
    </row>
    <row r="1869" spans="1:8" x14ac:dyDescent="0.25">
      <c r="A1869" s="43">
        <v>10259104</v>
      </c>
      <c r="B1869" t="s">
        <v>1280</v>
      </c>
      <c r="C1869" s="43" t="s">
        <v>90</v>
      </c>
      <c r="D1869" s="43">
        <v>4202029</v>
      </c>
      <c r="E1869" t="s">
        <v>83</v>
      </c>
      <c r="F1869" s="47" t="str">
        <f>+Centro_Cuenta8[[#This Row],[Codigo Centro Gestion]]&amp;" - "&amp;Centro_Cuenta8[[#This Row],[Nombre Centro Gestion]]</f>
        <v>10259104 - Blanca Estela I Torre A y B-Ventas</v>
      </c>
      <c r="G1869" s="47" t="str">
        <f>+Centro_Cuenta8[[#This Row],[Código Cuenta Contable]]&amp;" - "&amp;Centro_Cuenta8[[#This Row],[Nombre de Cuenta Contable]]</f>
        <v>4202029 - Insumos Y Gastos Informáticos</v>
      </c>
      <c r="H1869" s="146" t="str">
        <f>+VLOOKUP(D1869,'3. Cuentas'!A:F,6,0)</f>
        <v>SI</v>
      </c>
    </row>
    <row r="1870" spans="1:8" x14ac:dyDescent="0.25">
      <c r="A1870" s="43">
        <v>10259104</v>
      </c>
      <c r="B1870" t="s">
        <v>1280</v>
      </c>
      <c r="C1870" s="43" t="s">
        <v>90</v>
      </c>
      <c r="D1870" s="43">
        <v>4204021</v>
      </c>
      <c r="E1870" t="s">
        <v>329</v>
      </c>
      <c r="F1870" s="47" t="str">
        <f>+Centro_Cuenta8[[#This Row],[Codigo Centro Gestion]]&amp;" - "&amp;Centro_Cuenta8[[#This Row],[Nombre Centro Gestion]]</f>
        <v>10259104 - Blanca Estela I Torre A y B-Ventas</v>
      </c>
      <c r="G1870" s="47" t="str">
        <f>+Centro_Cuenta8[[#This Row],[Código Cuenta Contable]]&amp;" - "&amp;Centro_Cuenta8[[#This Row],[Nombre de Cuenta Contable]]</f>
        <v>4204021 - Publicidad Ferias Y Eventos</v>
      </c>
      <c r="H1870" s="146" t="str">
        <f>+VLOOKUP(D1870,'3. Cuentas'!A:F,6,0)</f>
        <v>SI</v>
      </c>
    </row>
    <row r="1871" spans="1:8" x14ac:dyDescent="0.25">
      <c r="A1871" s="43">
        <v>10259105</v>
      </c>
      <c r="B1871" t="s">
        <v>1281</v>
      </c>
      <c r="C1871" s="43" t="s">
        <v>1622</v>
      </c>
      <c r="D1871" s="43">
        <v>4203020</v>
      </c>
      <c r="E1871" t="s">
        <v>295</v>
      </c>
      <c r="F1871" s="47" t="str">
        <f>+Centro_Cuenta8[[#This Row],[Codigo Centro Gestion]]&amp;" - "&amp;Centro_Cuenta8[[#This Row],[Nombre Centro Gestion]]</f>
        <v>10259105 - Blanca Estela I Torre A y B-Clientes</v>
      </c>
      <c r="G1871" s="47" t="str">
        <f>+Centro_Cuenta8[[#This Row],[Código Cuenta Contable]]&amp;" - "&amp;Centro_Cuenta8[[#This Row],[Nombre de Cuenta Contable]]</f>
        <v>4203020 - Mant. y Consum. Viv Stock</v>
      </c>
      <c r="H1871" s="146" t="str">
        <f>+VLOOKUP(D1871,'3. Cuentas'!A:F,6,0)</f>
        <v>SI</v>
      </c>
    </row>
    <row r="1872" spans="1:8" x14ac:dyDescent="0.25">
      <c r="A1872" s="43">
        <v>10259105</v>
      </c>
      <c r="B1872" t="s">
        <v>1281</v>
      </c>
      <c r="C1872" s="43" t="s">
        <v>1622</v>
      </c>
      <c r="D1872" s="43">
        <v>4203120</v>
      </c>
      <c r="E1872" t="s">
        <v>108</v>
      </c>
      <c r="F1872" s="47" t="str">
        <f>+Centro_Cuenta8[[#This Row],[Codigo Centro Gestion]]&amp;" - "&amp;Centro_Cuenta8[[#This Row],[Nombre Centro Gestion]]</f>
        <v>10259105 - Blanca Estela I Torre A y B-Clientes</v>
      </c>
      <c r="G1872" s="47" t="str">
        <f>+Centro_Cuenta8[[#This Row],[Código Cuenta Contable]]&amp;" - "&amp;Centro_Cuenta8[[#This Row],[Nombre de Cuenta Contable]]</f>
        <v>4203120 - Gastos Comunes</v>
      </c>
      <c r="H1872" s="146" t="str">
        <f>+VLOOKUP(D1872,'3. Cuentas'!A:F,6,0)</f>
        <v>SI</v>
      </c>
    </row>
    <row r="1873" spans="1:8" x14ac:dyDescent="0.25">
      <c r="A1873" s="43">
        <v>10259105</v>
      </c>
      <c r="B1873" t="s">
        <v>1281</v>
      </c>
      <c r="C1873" s="43" t="s">
        <v>1622</v>
      </c>
      <c r="D1873" s="43">
        <v>4203140</v>
      </c>
      <c r="E1873" t="s">
        <v>109</v>
      </c>
      <c r="F1873" s="47" t="str">
        <f>+Centro_Cuenta8[[#This Row],[Codigo Centro Gestion]]&amp;" - "&amp;Centro_Cuenta8[[#This Row],[Nombre Centro Gestion]]</f>
        <v>10259105 - Blanca Estela I Torre A y B-Clientes</v>
      </c>
      <c r="G1873" s="47" t="str">
        <f>+Centro_Cuenta8[[#This Row],[Código Cuenta Contable]]&amp;" - "&amp;Centro_Cuenta8[[#This Row],[Nombre de Cuenta Contable]]</f>
        <v>4203140 - Contribuciones</v>
      </c>
      <c r="H1873" s="146" t="str">
        <f>+VLOOKUP(D1873,'3. Cuentas'!A:F,6,0)</f>
        <v>SI</v>
      </c>
    </row>
    <row r="1874" spans="1:8" x14ac:dyDescent="0.25">
      <c r="A1874" s="43">
        <v>10259204</v>
      </c>
      <c r="B1874" t="s">
        <v>1282</v>
      </c>
      <c r="C1874" s="43" t="s">
        <v>1624</v>
      </c>
      <c r="D1874" s="43">
        <v>1103045</v>
      </c>
      <c r="E1874" t="s">
        <v>323</v>
      </c>
      <c r="F1874" s="47" t="str">
        <f>+Centro_Cuenta8[[#This Row],[Codigo Centro Gestion]]&amp;" - "&amp;Centro_Cuenta8[[#This Row],[Nombre Centro Gestion]]</f>
        <v>10259204 - Blanca Estela I Torre A y B-Proyecto</v>
      </c>
      <c r="G1874" s="47" t="str">
        <f>+Centro_Cuenta8[[#This Row],[Código Cuenta Contable]]&amp;" - "&amp;Centro_Cuenta8[[#This Row],[Nombre de Cuenta Contable]]</f>
        <v>1103045 - Aportes reembolsables (electricidad y agua)</v>
      </c>
      <c r="H1874" s="146" t="str">
        <f>+VLOOKUP(D1874,'3. Cuentas'!A:F,6,0)</f>
        <v>SI</v>
      </c>
    </row>
    <row r="1875" spans="1:8" x14ac:dyDescent="0.25">
      <c r="A1875" s="43">
        <v>10259204</v>
      </c>
      <c r="B1875" t="s">
        <v>1282</v>
      </c>
      <c r="C1875" s="43" t="s">
        <v>1624</v>
      </c>
      <c r="D1875" s="43">
        <v>1109020</v>
      </c>
      <c r="E1875" t="s">
        <v>302</v>
      </c>
      <c r="F1875" s="47" t="str">
        <f>+Centro_Cuenta8[[#This Row],[Codigo Centro Gestion]]&amp;" - "&amp;Centro_Cuenta8[[#This Row],[Nombre Centro Gestion]]</f>
        <v>10259204 - Blanca Estela I Torre A y B-Proyecto</v>
      </c>
      <c r="G1875" s="47" t="str">
        <f>+Centro_Cuenta8[[#This Row],[Código Cuenta Contable]]&amp;" - "&amp;Centro_Cuenta8[[#This Row],[Nombre de Cuenta Contable]]</f>
        <v>1109020 - Mobiliario</v>
      </c>
      <c r="H1875" s="146" t="str">
        <f>+VLOOKUP(D1875,'3. Cuentas'!A:F,6,0)</f>
        <v>SI</v>
      </c>
    </row>
    <row r="1876" spans="1:8" x14ac:dyDescent="0.25">
      <c r="A1876" s="43">
        <v>10259204</v>
      </c>
      <c r="B1876" t="s">
        <v>1282</v>
      </c>
      <c r="C1876" s="43" t="s">
        <v>1624</v>
      </c>
      <c r="D1876" s="43">
        <v>1110040</v>
      </c>
      <c r="E1876" t="s">
        <v>1505</v>
      </c>
      <c r="F1876" s="47" t="str">
        <f>+Centro_Cuenta8[[#This Row],[Codigo Centro Gestion]]&amp;" - "&amp;Centro_Cuenta8[[#This Row],[Nombre Centro Gestion]]</f>
        <v>10259204 - Blanca Estela I Torre A y B-Proyecto</v>
      </c>
      <c r="G1876" s="47" t="str">
        <f>+Centro_Cuenta8[[#This Row],[Código Cuenta Contable]]&amp;" - "&amp;Centro_Cuenta8[[#This Row],[Nombre de Cuenta Contable]]</f>
        <v>1110040 - Garantía Pagadas</v>
      </c>
      <c r="H1876" s="146" t="str">
        <f>+VLOOKUP(D1876,'3. Cuentas'!A:F,6,0)</f>
        <v>SI</v>
      </c>
    </row>
    <row r="1877" spans="1:8" x14ac:dyDescent="0.25">
      <c r="A1877" s="43">
        <v>10259204</v>
      </c>
      <c r="B1877" t="s">
        <v>1282</v>
      </c>
      <c r="C1877" s="43" t="s">
        <v>1624</v>
      </c>
      <c r="D1877" s="43">
        <v>1115040</v>
      </c>
      <c r="E1877" t="s">
        <v>291</v>
      </c>
      <c r="F1877" s="47" t="str">
        <f>+Centro_Cuenta8[[#This Row],[Codigo Centro Gestion]]&amp;" - "&amp;Centro_Cuenta8[[#This Row],[Nombre Centro Gestion]]</f>
        <v>10259204 - Blanca Estela I Torre A y B-Proyecto</v>
      </c>
      <c r="G1877" s="47" t="str">
        <f>+Centro_Cuenta8[[#This Row],[Código Cuenta Contable]]&amp;" - "&amp;Centro_Cuenta8[[#This Row],[Nombre de Cuenta Contable]]</f>
        <v>1115040 - Saneamiento De Terreno</v>
      </c>
      <c r="H1877" s="146" t="str">
        <f>+VLOOKUP(D1877,'3. Cuentas'!A:F,6,0)</f>
        <v>SI</v>
      </c>
    </row>
    <row r="1878" spans="1:8" x14ac:dyDescent="0.25">
      <c r="A1878" s="43">
        <v>10259204</v>
      </c>
      <c r="B1878" t="s">
        <v>1282</v>
      </c>
      <c r="C1878" s="43" t="s">
        <v>1624</v>
      </c>
      <c r="D1878" s="43">
        <v>1115050</v>
      </c>
      <c r="E1878" t="s">
        <v>1628</v>
      </c>
      <c r="F1878" s="47" t="str">
        <f>+Centro_Cuenta8[[#This Row],[Codigo Centro Gestion]]&amp;" - "&amp;Centro_Cuenta8[[#This Row],[Nombre Centro Gestion]]</f>
        <v>10259204 - Blanca Estela I Torre A y B-Proyecto</v>
      </c>
      <c r="G1878" s="47" t="str">
        <f>+Centro_Cuenta8[[#This Row],[Código Cuenta Contable]]&amp;" - "&amp;Centro_Cuenta8[[#This Row],[Nombre de Cuenta Contable]]</f>
        <v>1115050 - Demolición</v>
      </c>
      <c r="H1878" s="146" t="str">
        <f>+VLOOKUP(D1878,'3. Cuentas'!A:F,6,0)</f>
        <v>SI</v>
      </c>
    </row>
    <row r="1879" spans="1:8" x14ac:dyDescent="0.25">
      <c r="A1879" s="43">
        <v>10259204</v>
      </c>
      <c r="B1879" t="s">
        <v>1282</v>
      </c>
      <c r="C1879" s="43" t="s">
        <v>1624</v>
      </c>
      <c r="D1879" s="43">
        <v>1115100</v>
      </c>
      <c r="E1879" t="s">
        <v>292</v>
      </c>
      <c r="F1879" s="47" t="str">
        <f>+Centro_Cuenta8[[#This Row],[Codigo Centro Gestion]]&amp;" - "&amp;Centro_Cuenta8[[#This Row],[Nombre Centro Gestion]]</f>
        <v>10259204 - Blanca Estela I Torre A y B-Proyecto</v>
      </c>
      <c r="G1879" s="47" t="str">
        <f>+Centro_Cuenta8[[#This Row],[Código Cuenta Contable]]&amp;" - "&amp;Centro_Cuenta8[[#This Row],[Nombre de Cuenta Contable]]</f>
        <v>1115100 - Proyectos Y Especialidades</v>
      </c>
      <c r="H1879" s="146" t="str">
        <f>+VLOOKUP(D1879,'3. Cuentas'!A:F,6,0)</f>
        <v>SI</v>
      </c>
    </row>
    <row r="1880" spans="1:8" x14ac:dyDescent="0.25">
      <c r="A1880" s="43">
        <v>10259204</v>
      </c>
      <c r="B1880" t="s">
        <v>1282</v>
      </c>
      <c r="C1880" s="43" t="s">
        <v>1624</v>
      </c>
      <c r="D1880" s="43">
        <v>1115120</v>
      </c>
      <c r="E1880" t="s">
        <v>1633</v>
      </c>
      <c r="F1880" s="47" t="str">
        <f>+Centro_Cuenta8[[#This Row],[Codigo Centro Gestion]]&amp;" - "&amp;Centro_Cuenta8[[#This Row],[Nombre Centro Gestion]]</f>
        <v>10259204 - Blanca Estela I Torre A y B-Proyecto</v>
      </c>
      <c r="G1880" s="47" t="str">
        <f>+Centro_Cuenta8[[#This Row],[Código Cuenta Contable]]&amp;" - "&amp;Centro_Cuenta8[[#This Row],[Nombre de Cuenta Contable]]</f>
        <v>1115120 - Instalación Empalmes</v>
      </c>
      <c r="H1880" s="146" t="str">
        <f>+VLOOKUP(D1880,'3. Cuentas'!A:F,6,0)</f>
        <v>SI</v>
      </c>
    </row>
    <row r="1881" spans="1:8" x14ac:dyDescent="0.25">
      <c r="A1881" s="43">
        <v>10259204</v>
      </c>
      <c r="B1881" t="s">
        <v>1282</v>
      </c>
      <c r="C1881" s="43" t="s">
        <v>1624</v>
      </c>
      <c r="D1881" s="43">
        <v>1115170</v>
      </c>
      <c r="E1881" t="s">
        <v>293</v>
      </c>
      <c r="F1881" s="47" t="str">
        <f>+Centro_Cuenta8[[#This Row],[Codigo Centro Gestion]]&amp;" - "&amp;Centro_Cuenta8[[#This Row],[Nombre Centro Gestion]]</f>
        <v>10259204 - Blanca Estela I Torre A y B-Proyecto</v>
      </c>
      <c r="G1881" s="47" t="str">
        <f>+Centro_Cuenta8[[#This Row],[Código Cuenta Contable]]&amp;" - "&amp;Centro_Cuenta8[[#This Row],[Nombre de Cuenta Contable]]</f>
        <v>1115170 - Permisos Y Otros Gastos Municipales</v>
      </c>
      <c r="H1881" s="146" t="str">
        <f>+VLOOKUP(D1881,'3. Cuentas'!A:F,6,0)</f>
        <v>SI</v>
      </c>
    </row>
    <row r="1882" spans="1:8" x14ac:dyDescent="0.25">
      <c r="A1882" s="43">
        <v>10259204</v>
      </c>
      <c r="B1882" t="s">
        <v>1282</v>
      </c>
      <c r="C1882" s="43" t="s">
        <v>1624</v>
      </c>
      <c r="D1882" s="43">
        <v>1115240</v>
      </c>
      <c r="E1882" t="s">
        <v>294</v>
      </c>
      <c r="F1882" s="47" t="str">
        <f>+Centro_Cuenta8[[#This Row],[Codigo Centro Gestion]]&amp;" - "&amp;Centro_Cuenta8[[#This Row],[Nombre Centro Gestion]]</f>
        <v>10259204 - Blanca Estela I Torre A y B-Proyecto</v>
      </c>
      <c r="G1882" s="47" t="str">
        <f>+Centro_Cuenta8[[#This Row],[Código Cuenta Contable]]&amp;" - "&amp;Centro_Cuenta8[[#This Row],[Nombre de Cuenta Contable]]</f>
        <v>1115240 - Estudios Y Asesorias Técnicas</v>
      </c>
      <c r="H1882" s="146" t="str">
        <f>+VLOOKUP(D1882,'3. Cuentas'!A:F,6,0)</f>
        <v>SI</v>
      </c>
    </row>
    <row r="1883" spans="1:8" x14ac:dyDescent="0.25">
      <c r="A1883" s="43">
        <v>10259204</v>
      </c>
      <c r="B1883" t="s">
        <v>1282</v>
      </c>
      <c r="C1883" s="43" t="s">
        <v>1624</v>
      </c>
      <c r="D1883" s="43">
        <v>4203090</v>
      </c>
      <c r="E1883" t="s">
        <v>192</v>
      </c>
      <c r="F1883" s="47" t="str">
        <f>+Centro_Cuenta8[[#This Row],[Codigo Centro Gestion]]&amp;" - "&amp;Centro_Cuenta8[[#This Row],[Nombre Centro Gestion]]</f>
        <v>10259204 - Blanca Estela I Torre A y B-Proyecto</v>
      </c>
      <c r="G1883" s="47" t="str">
        <f>+Centro_Cuenta8[[#This Row],[Código Cuenta Contable]]&amp;" - "&amp;Centro_Cuenta8[[#This Row],[Nombre de Cuenta Contable]]</f>
        <v>4203090 - Gastos Legales Y Notariales Proyecto</v>
      </c>
      <c r="H1883" s="146" t="str">
        <f>+VLOOKUP(D1883,'3. Cuentas'!A:F,6,0)</f>
        <v>SI</v>
      </c>
    </row>
    <row r="1884" spans="1:8" x14ac:dyDescent="0.25">
      <c r="A1884" s="43">
        <v>10259204</v>
      </c>
      <c r="B1884" t="s">
        <v>1282</v>
      </c>
      <c r="C1884" s="43" t="s">
        <v>1624</v>
      </c>
      <c r="D1884" s="43">
        <v>4203140</v>
      </c>
      <c r="E1884" t="s">
        <v>109</v>
      </c>
      <c r="F1884" s="47" t="str">
        <f>+Centro_Cuenta8[[#This Row],[Codigo Centro Gestion]]&amp;" - "&amp;Centro_Cuenta8[[#This Row],[Nombre Centro Gestion]]</f>
        <v>10259204 - Blanca Estela I Torre A y B-Proyecto</v>
      </c>
      <c r="G1884" s="47" t="str">
        <f>+Centro_Cuenta8[[#This Row],[Código Cuenta Contable]]&amp;" - "&amp;Centro_Cuenta8[[#This Row],[Nombre de Cuenta Contable]]</f>
        <v>4203140 - Contribuciones</v>
      </c>
      <c r="H1884" s="146" t="str">
        <f>+VLOOKUP(D1884,'3. Cuentas'!A:F,6,0)</f>
        <v>SI</v>
      </c>
    </row>
    <row r="1885" spans="1:8" x14ac:dyDescent="0.25">
      <c r="A1885" s="43">
        <v>10259204</v>
      </c>
      <c r="B1885" t="s">
        <v>1282</v>
      </c>
      <c r="C1885" s="43" t="s">
        <v>1624</v>
      </c>
      <c r="D1885" s="43">
        <v>4203150</v>
      </c>
      <c r="E1885" t="s">
        <v>156</v>
      </c>
      <c r="F1885" s="47" t="str">
        <f>+Centro_Cuenta8[[#This Row],[Codigo Centro Gestion]]&amp;" - "&amp;Centro_Cuenta8[[#This Row],[Nombre Centro Gestion]]</f>
        <v>10259204 - Blanca Estela I Torre A y B-Proyecto</v>
      </c>
      <c r="G1885" s="47" t="str">
        <f>+Centro_Cuenta8[[#This Row],[Código Cuenta Contable]]&amp;" - "&amp;Centro_Cuenta8[[#This Row],[Nombre de Cuenta Contable]]</f>
        <v>4203150 - Gastos CBR</v>
      </c>
      <c r="H1885" s="146" t="str">
        <f>+VLOOKUP(D1885,'3. Cuentas'!A:F,6,0)</f>
        <v>SI</v>
      </c>
    </row>
    <row r="1886" spans="1:8" x14ac:dyDescent="0.25">
      <c r="A1886" s="43">
        <v>10259204</v>
      </c>
      <c r="B1886" t="s">
        <v>1282</v>
      </c>
      <c r="C1886" s="43" t="s">
        <v>1624</v>
      </c>
      <c r="D1886" s="43">
        <v>4203160</v>
      </c>
      <c r="E1886" t="s">
        <v>1639</v>
      </c>
      <c r="F1886" s="47" t="str">
        <f>+Centro_Cuenta8[[#This Row],[Codigo Centro Gestion]]&amp;" - "&amp;Centro_Cuenta8[[#This Row],[Nombre Centro Gestion]]</f>
        <v>10259204 - Blanca Estela I Torre A y B-Proyecto</v>
      </c>
      <c r="G1886" s="47" t="str">
        <f>+Centro_Cuenta8[[#This Row],[Código Cuenta Contable]]&amp;" - "&amp;Centro_Cuenta8[[#This Row],[Nombre de Cuenta Contable]]</f>
        <v>4203160 - PAPELERIA Y FOTOCOPIADO</v>
      </c>
      <c r="H1886" s="146" t="str">
        <f>+VLOOKUP(D1886,'3. Cuentas'!A:F,6,0)</f>
        <v>SI</v>
      </c>
    </row>
    <row r="1887" spans="1:8" x14ac:dyDescent="0.25">
      <c r="A1887" s="43">
        <v>10259204</v>
      </c>
      <c r="B1887" t="s">
        <v>1282</v>
      </c>
      <c r="C1887" s="43" t="s">
        <v>1624</v>
      </c>
      <c r="D1887" s="43">
        <v>4203180</v>
      </c>
      <c r="E1887" t="s">
        <v>1640</v>
      </c>
      <c r="F1887" s="47" t="str">
        <f>+Centro_Cuenta8[[#This Row],[Codigo Centro Gestion]]&amp;" - "&amp;Centro_Cuenta8[[#This Row],[Nombre Centro Gestion]]</f>
        <v>10259204 - Blanca Estela I Torre A y B-Proyecto</v>
      </c>
      <c r="G1887" s="47" t="str">
        <f>+Centro_Cuenta8[[#This Row],[Código Cuenta Contable]]&amp;" - "&amp;Centro_Cuenta8[[#This Row],[Nombre de Cuenta Contable]]</f>
        <v>4203180 - Otros Gastos y Aseso Proy</v>
      </c>
      <c r="H1887" s="146" t="str">
        <f>+VLOOKUP(D1887,'3. Cuentas'!A:F,6,0)</f>
        <v>SI</v>
      </c>
    </row>
    <row r="1888" spans="1:8" x14ac:dyDescent="0.25">
      <c r="A1888" s="43">
        <v>10259301</v>
      </c>
      <c r="B1888" t="s">
        <v>1283</v>
      </c>
      <c r="C1888" s="43" t="s">
        <v>1643</v>
      </c>
      <c r="D1888" s="43">
        <v>4203090</v>
      </c>
      <c r="E1888" t="s">
        <v>192</v>
      </c>
      <c r="F1888" s="47" t="str">
        <f>+Centro_Cuenta8[[#This Row],[Codigo Centro Gestion]]&amp;" - "&amp;Centro_Cuenta8[[#This Row],[Nombre Centro Gestion]]</f>
        <v>10259301 - Blanca Estela I Torre A y B-GAF</v>
      </c>
      <c r="G1888" s="47" t="str">
        <f>+Centro_Cuenta8[[#This Row],[Código Cuenta Contable]]&amp;" - "&amp;Centro_Cuenta8[[#This Row],[Nombre de Cuenta Contable]]</f>
        <v>4203090 - Gastos Legales Y Notariales Proyecto</v>
      </c>
      <c r="H1888" s="146" t="str">
        <f>+VLOOKUP(D1888,'3. Cuentas'!A:F,6,0)</f>
        <v>SI</v>
      </c>
    </row>
    <row r="1889" spans="1:8" x14ac:dyDescent="0.25">
      <c r="A1889" s="43">
        <v>10259301</v>
      </c>
      <c r="B1889" t="s">
        <v>1283</v>
      </c>
      <c r="C1889" s="43" t="s">
        <v>1643</v>
      </c>
      <c r="D1889" s="43">
        <v>4203140</v>
      </c>
      <c r="E1889" t="s">
        <v>109</v>
      </c>
      <c r="F1889" s="47" t="str">
        <f>+Centro_Cuenta8[[#This Row],[Codigo Centro Gestion]]&amp;" - "&amp;Centro_Cuenta8[[#This Row],[Nombre Centro Gestion]]</f>
        <v>10259301 - Blanca Estela I Torre A y B-GAF</v>
      </c>
      <c r="G1889" s="47" t="str">
        <f>+Centro_Cuenta8[[#This Row],[Código Cuenta Contable]]&amp;" - "&amp;Centro_Cuenta8[[#This Row],[Nombre de Cuenta Contable]]</f>
        <v>4203140 - Contribuciones</v>
      </c>
      <c r="H1889" s="146" t="str">
        <f>+VLOOKUP(D1889,'3. Cuentas'!A:F,6,0)</f>
        <v>SI</v>
      </c>
    </row>
    <row r="1890" spans="1:8" x14ac:dyDescent="0.25">
      <c r="A1890" s="43">
        <v>10259506</v>
      </c>
      <c r="B1890" t="s">
        <v>1285</v>
      </c>
      <c r="C1890" s="43" t="s">
        <v>200</v>
      </c>
      <c r="D1890" s="43">
        <v>1115100</v>
      </c>
      <c r="E1890" t="s">
        <v>292</v>
      </c>
      <c r="F1890" s="47" t="str">
        <f>+Centro_Cuenta8[[#This Row],[Codigo Centro Gestion]]&amp;" - "&amp;Centro_Cuenta8[[#This Row],[Nombre Centro Gestion]]</f>
        <v>10259506 - Blanca Estela I Torre A y B-Depto.Técnico</v>
      </c>
      <c r="G1890" s="47" t="str">
        <f>+Centro_Cuenta8[[#This Row],[Código Cuenta Contable]]&amp;" - "&amp;Centro_Cuenta8[[#This Row],[Nombre de Cuenta Contable]]</f>
        <v>1115100 - Proyectos Y Especialidades</v>
      </c>
      <c r="H1890" s="146" t="str">
        <f>+VLOOKUP(D1890,'3. Cuentas'!A:F,6,0)</f>
        <v>SI</v>
      </c>
    </row>
    <row r="1891" spans="1:8" x14ac:dyDescent="0.25">
      <c r="A1891" s="43">
        <v>10260102</v>
      </c>
      <c r="B1891" t="s">
        <v>1286</v>
      </c>
      <c r="C1891" s="43" t="s">
        <v>1617</v>
      </c>
      <c r="D1891" s="43">
        <v>4204010</v>
      </c>
      <c r="E1891" t="s">
        <v>313</v>
      </c>
      <c r="F1891" s="47" t="str">
        <f>+Centro_Cuenta8[[#This Row],[Codigo Centro Gestion]]&amp;" - "&amp;Centro_Cuenta8[[#This Row],[Nombre Centro Gestion]]</f>
        <v>10260102 - Blanca Estela II Torre A y B-Marketing</v>
      </c>
      <c r="G1891" s="47" t="str">
        <f>+Centro_Cuenta8[[#This Row],[Código Cuenta Contable]]&amp;" - "&amp;Centro_Cuenta8[[#This Row],[Nombre de Cuenta Contable]]</f>
        <v>4204010 - Publicidad Punto Venta</v>
      </c>
      <c r="H1891" s="146" t="str">
        <f>+VLOOKUP(D1891,'3. Cuentas'!A:F,6,0)</f>
        <v>SI</v>
      </c>
    </row>
    <row r="1892" spans="1:8" x14ac:dyDescent="0.25">
      <c r="A1892" s="43">
        <v>10260102</v>
      </c>
      <c r="B1892" t="s">
        <v>1286</v>
      </c>
      <c r="C1892" s="43" t="s">
        <v>1617</v>
      </c>
      <c r="D1892" s="43">
        <v>4204021</v>
      </c>
      <c r="E1892" t="s">
        <v>329</v>
      </c>
      <c r="F1892" s="47" t="str">
        <f>+Centro_Cuenta8[[#This Row],[Codigo Centro Gestion]]&amp;" - "&amp;Centro_Cuenta8[[#This Row],[Nombre Centro Gestion]]</f>
        <v>10260102 - Blanca Estela II Torre A y B-Marketing</v>
      </c>
      <c r="G1892" s="47" t="str">
        <f>+Centro_Cuenta8[[#This Row],[Código Cuenta Contable]]&amp;" - "&amp;Centro_Cuenta8[[#This Row],[Nombre de Cuenta Contable]]</f>
        <v>4204021 - Publicidad Ferias Y Eventos</v>
      </c>
      <c r="H1892" s="146" t="str">
        <f>+VLOOKUP(D1892,'3. Cuentas'!A:F,6,0)</f>
        <v>SI</v>
      </c>
    </row>
    <row r="1893" spans="1:8" x14ac:dyDescent="0.25">
      <c r="A1893" s="43">
        <v>10260103</v>
      </c>
      <c r="B1893" t="s">
        <v>1287</v>
      </c>
      <c r="C1893" s="43" t="s">
        <v>1618</v>
      </c>
      <c r="D1893" s="43">
        <v>4203060</v>
      </c>
      <c r="E1893" t="s">
        <v>321</v>
      </c>
      <c r="F1893" s="47" t="str">
        <f>+Centro_Cuenta8[[#This Row],[Codigo Centro Gestion]]&amp;" - "&amp;Centro_Cuenta8[[#This Row],[Nombre Centro Gestion]]</f>
        <v>10260103 - Blanca Estela II Torre A y B-Operaciones</v>
      </c>
      <c r="G1893" s="47" t="str">
        <f>+Centro_Cuenta8[[#This Row],[Código Cuenta Contable]]&amp;" - "&amp;Centro_Cuenta8[[#This Row],[Nombre de Cuenta Contable]]</f>
        <v>4203060 - Gastos Operacionales De Clientes</v>
      </c>
      <c r="H1893" s="146" t="str">
        <f>+VLOOKUP(D1893,'3. Cuentas'!A:F,6,0)</f>
        <v>SI</v>
      </c>
    </row>
    <row r="1894" spans="1:8" x14ac:dyDescent="0.25">
      <c r="A1894" s="43">
        <v>10260103</v>
      </c>
      <c r="B1894" t="s">
        <v>1287</v>
      </c>
      <c r="C1894" s="43" t="s">
        <v>1618</v>
      </c>
      <c r="D1894" s="43">
        <v>4203090</v>
      </c>
      <c r="E1894" t="s">
        <v>192</v>
      </c>
      <c r="F1894" s="47" t="str">
        <f>+Centro_Cuenta8[[#This Row],[Codigo Centro Gestion]]&amp;" - "&amp;Centro_Cuenta8[[#This Row],[Nombre Centro Gestion]]</f>
        <v>10260103 - Blanca Estela II Torre A y B-Operaciones</v>
      </c>
      <c r="G1894" s="47" t="str">
        <f>+Centro_Cuenta8[[#This Row],[Código Cuenta Contable]]&amp;" - "&amp;Centro_Cuenta8[[#This Row],[Nombre de Cuenta Contable]]</f>
        <v>4203090 - Gastos Legales Y Notariales Proyecto</v>
      </c>
      <c r="H1894" s="146" t="str">
        <f>+VLOOKUP(D1894,'3. Cuentas'!A:F,6,0)</f>
        <v>SI</v>
      </c>
    </row>
    <row r="1895" spans="1:8" x14ac:dyDescent="0.25">
      <c r="A1895" s="43">
        <v>10260104</v>
      </c>
      <c r="B1895" t="s">
        <v>1288</v>
      </c>
      <c r="C1895" s="43" t="s">
        <v>90</v>
      </c>
      <c r="D1895" s="43">
        <v>1110040</v>
      </c>
      <c r="E1895" t="s">
        <v>1505</v>
      </c>
      <c r="F1895" s="47" t="str">
        <f>+Centro_Cuenta8[[#This Row],[Codigo Centro Gestion]]&amp;" - "&amp;Centro_Cuenta8[[#This Row],[Nombre Centro Gestion]]</f>
        <v>10260104 - Blanca Estela II Torre A y B-Ventas</v>
      </c>
      <c r="G1895" s="47" t="str">
        <f>+Centro_Cuenta8[[#This Row],[Código Cuenta Contable]]&amp;" - "&amp;Centro_Cuenta8[[#This Row],[Nombre de Cuenta Contable]]</f>
        <v>1110040 - Garantía Pagadas</v>
      </c>
      <c r="H1895" s="146" t="str">
        <f>+VLOOKUP(D1895,'3. Cuentas'!A:F,6,0)</f>
        <v>SI</v>
      </c>
    </row>
    <row r="1896" spans="1:8" x14ac:dyDescent="0.25">
      <c r="A1896" s="43">
        <v>10260104</v>
      </c>
      <c r="B1896" t="s">
        <v>1288</v>
      </c>
      <c r="C1896" s="43" t="s">
        <v>90</v>
      </c>
      <c r="D1896" s="43">
        <v>4202003</v>
      </c>
      <c r="E1896" t="s">
        <v>106</v>
      </c>
      <c r="F1896" s="47" t="str">
        <f>+Centro_Cuenta8[[#This Row],[Codigo Centro Gestion]]&amp;" - "&amp;Centro_Cuenta8[[#This Row],[Nombre Centro Gestion]]</f>
        <v>10260104 - Blanca Estela II Torre A y B-Ventas</v>
      </c>
      <c r="G1896" s="47" t="str">
        <f>+Centro_Cuenta8[[#This Row],[Código Cuenta Contable]]&amp;" - "&amp;Centro_Cuenta8[[#This Row],[Nombre de Cuenta Contable]]</f>
        <v>4202003 - Serv.Basic.Luz.Agua.Tel Of.C</v>
      </c>
      <c r="H1896" s="146" t="str">
        <f>+VLOOKUP(D1896,'3. Cuentas'!A:F,6,0)</f>
        <v>SI</v>
      </c>
    </row>
    <row r="1897" spans="1:8" x14ac:dyDescent="0.25">
      <c r="A1897" s="43">
        <v>10260104</v>
      </c>
      <c r="B1897" t="s">
        <v>1288</v>
      </c>
      <c r="C1897" s="43" t="s">
        <v>90</v>
      </c>
      <c r="D1897" s="43">
        <v>4202010</v>
      </c>
      <c r="E1897" t="s">
        <v>87</v>
      </c>
      <c r="F1897" s="47" t="str">
        <f>+Centro_Cuenta8[[#This Row],[Codigo Centro Gestion]]&amp;" - "&amp;Centro_Cuenta8[[#This Row],[Nombre Centro Gestion]]</f>
        <v>10260104 - Blanca Estela II Torre A y B-Ventas</v>
      </c>
      <c r="G1897" s="47" t="str">
        <f>+Centro_Cuenta8[[#This Row],[Código Cuenta Contable]]&amp;" - "&amp;Centro_Cuenta8[[#This Row],[Nombre de Cuenta Contable]]</f>
        <v>4202010 - Artic. Ofic. Fotocop.Papelería</v>
      </c>
      <c r="H1897" s="146" t="str">
        <f>+VLOOKUP(D1897,'3. Cuentas'!A:F,6,0)</f>
        <v>SI</v>
      </c>
    </row>
    <row r="1898" spans="1:8" x14ac:dyDescent="0.25">
      <c r="A1898" s="43">
        <v>10260104</v>
      </c>
      <c r="B1898" t="s">
        <v>1288</v>
      </c>
      <c r="C1898" s="43" t="s">
        <v>90</v>
      </c>
      <c r="D1898" s="43">
        <v>4202019</v>
      </c>
      <c r="E1898" t="s">
        <v>81</v>
      </c>
      <c r="F1898" s="47" t="str">
        <f>+Centro_Cuenta8[[#This Row],[Codigo Centro Gestion]]&amp;" - "&amp;Centro_Cuenta8[[#This Row],[Nombre Centro Gestion]]</f>
        <v>10260104 - Blanca Estela II Torre A y B-Ventas</v>
      </c>
      <c r="G1898" s="47" t="str">
        <f>+Centro_Cuenta8[[#This Row],[Código Cuenta Contable]]&amp;" - "&amp;Centro_Cuenta8[[#This Row],[Nombre de Cuenta Contable]]</f>
        <v>4202019 - Gasto General Oficina</v>
      </c>
      <c r="H1898" s="146" t="str">
        <f>+VLOOKUP(D1898,'3. Cuentas'!A:F,6,0)</f>
        <v>SI</v>
      </c>
    </row>
    <row r="1899" spans="1:8" x14ac:dyDescent="0.25">
      <c r="A1899" s="43">
        <v>10260104</v>
      </c>
      <c r="B1899" t="s">
        <v>1288</v>
      </c>
      <c r="C1899" s="43" t="s">
        <v>90</v>
      </c>
      <c r="D1899" s="43">
        <v>4202023</v>
      </c>
      <c r="E1899" t="s">
        <v>82</v>
      </c>
      <c r="F1899" s="47" t="str">
        <f>+Centro_Cuenta8[[#This Row],[Codigo Centro Gestion]]&amp;" - "&amp;Centro_Cuenta8[[#This Row],[Nombre Centro Gestion]]</f>
        <v>10260104 - Blanca Estela II Torre A y B-Ventas</v>
      </c>
      <c r="G1899" s="47" t="str">
        <f>+Centro_Cuenta8[[#This Row],[Código Cuenta Contable]]&amp;" - "&amp;Centro_Cuenta8[[#This Row],[Nombre de Cuenta Contable]]</f>
        <v>4202023 - Honorarios Por Asesorías</v>
      </c>
      <c r="H1899" s="146" t="str">
        <f>+VLOOKUP(D1899,'3. Cuentas'!A:F,6,0)</f>
        <v>SI</v>
      </c>
    </row>
    <row r="1900" spans="1:8" x14ac:dyDescent="0.25">
      <c r="A1900" s="43">
        <v>10260104</v>
      </c>
      <c r="B1900" t="s">
        <v>1288</v>
      </c>
      <c r="C1900" s="43" t="s">
        <v>90</v>
      </c>
      <c r="D1900" s="43">
        <v>4202029</v>
      </c>
      <c r="E1900" t="s">
        <v>83</v>
      </c>
      <c r="F1900" s="47" t="str">
        <f>+Centro_Cuenta8[[#This Row],[Codigo Centro Gestion]]&amp;" - "&amp;Centro_Cuenta8[[#This Row],[Nombre Centro Gestion]]</f>
        <v>10260104 - Blanca Estela II Torre A y B-Ventas</v>
      </c>
      <c r="G1900" s="47" t="str">
        <f>+Centro_Cuenta8[[#This Row],[Código Cuenta Contable]]&amp;" - "&amp;Centro_Cuenta8[[#This Row],[Nombre de Cuenta Contable]]</f>
        <v>4202029 - Insumos Y Gastos Informáticos</v>
      </c>
      <c r="H1900" s="146" t="str">
        <f>+VLOOKUP(D1900,'3. Cuentas'!A:F,6,0)</f>
        <v>SI</v>
      </c>
    </row>
    <row r="1901" spans="1:8" x14ac:dyDescent="0.25">
      <c r="A1901" s="43">
        <v>10260104</v>
      </c>
      <c r="B1901" t="s">
        <v>1288</v>
      </c>
      <c r="C1901" s="43" t="s">
        <v>90</v>
      </c>
      <c r="D1901" s="43">
        <v>4204021</v>
      </c>
      <c r="E1901" t="s">
        <v>329</v>
      </c>
      <c r="F1901" s="47" t="str">
        <f>+Centro_Cuenta8[[#This Row],[Codigo Centro Gestion]]&amp;" - "&amp;Centro_Cuenta8[[#This Row],[Nombre Centro Gestion]]</f>
        <v>10260104 - Blanca Estela II Torre A y B-Ventas</v>
      </c>
      <c r="G1901" s="47" t="str">
        <f>+Centro_Cuenta8[[#This Row],[Código Cuenta Contable]]&amp;" - "&amp;Centro_Cuenta8[[#This Row],[Nombre de Cuenta Contable]]</f>
        <v>4204021 - Publicidad Ferias Y Eventos</v>
      </c>
      <c r="H1901" s="146" t="str">
        <f>+VLOOKUP(D1901,'3. Cuentas'!A:F,6,0)</f>
        <v>SI</v>
      </c>
    </row>
    <row r="1902" spans="1:8" x14ac:dyDescent="0.25">
      <c r="A1902" s="43">
        <v>10260105</v>
      </c>
      <c r="B1902" t="s">
        <v>1289</v>
      </c>
      <c r="C1902" s="43" t="s">
        <v>1622</v>
      </c>
      <c r="D1902" s="43">
        <v>4203020</v>
      </c>
      <c r="E1902" t="s">
        <v>295</v>
      </c>
      <c r="F1902" s="47" t="str">
        <f>+Centro_Cuenta8[[#This Row],[Codigo Centro Gestion]]&amp;" - "&amp;Centro_Cuenta8[[#This Row],[Nombre Centro Gestion]]</f>
        <v>10260105 - Blanca Estela II Torre A y B-Clientes</v>
      </c>
      <c r="G1902" s="47" t="str">
        <f>+Centro_Cuenta8[[#This Row],[Código Cuenta Contable]]&amp;" - "&amp;Centro_Cuenta8[[#This Row],[Nombre de Cuenta Contable]]</f>
        <v>4203020 - Mant. y Consum. Viv Stock</v>
      </c>
      <c r="H1902" s="146" t="str">
        <f>+VLOOKUP(D1902,'3. Cuentas'!A:F,6,0)</f>
        <v>SI</v>
      </c>
    </row>
    <row r="1903" spans="1:8" x14ac:dyDescent="0.25">
      <c r="A1903" s="43">
        <v>10260105</v>
      </c>
      <c r="B1903" t="s">
        <v>1289</v>
      </c>
      <c r="C1903" s="43" t="s">
        <v>1622</v>
      </c>
      <c r="D1903" s="43">
        <v>4203120</v>
      </c>
      <c r="E1903" t="s">
        <v>108</v>
      </c>
      <c r="F1903" s="47" t="str">
        <f>+Centro_Cuenta8[[#This Row],[Codigo Centro Gestion]]&amp;" - "&amp;Centro_Cuenta8[[#This Row],[Nombre Centro Gestion]]</f>
        <v>10260105 - Blanca Estela II Torre A y B-Clientes</v>
      </c>
      <c r="G1903" s="47" t="str">
        <f>+Centro_Cuenta8[[#This Row],[Código Cuenta Contable]]&amp;" - "&amp;Centro_Cuenta8[[#This Row],[Nombre de Cuenta Contable]]</f>
        <v>4203120 - Gastos Comunes</v>
      </c>
      <c r="H1903" s="146" t="str">
        <f>+VLOOKUP(D1903,'3. Cuentas'!A:F,6,0)</f>
        <v>SI</v>
      </c>
    </row>
    <row r="1904" spans="1:8" x14ac:dyDescent="0.25">
      <c r="A1904" s="43">
        <v>10260105</v>
      </c>
      <c r="B1904" t="s">
        <v>1289</v>
      </c>
      <c r="C1904" s="43" t="s">
        <v>1622</v>
      </c>
      <c r="D1904" s="43">
        <v>4203140</v>
      </c>
      <c r="E1904" t="s">
        <v>109</v>
      </c>
      <c r="F1904" s="47" t="str">
        <f>+Centro_Cuenta8[[#This Row],[Codigo Centro Gestion]]&amp;" - "&amp;Centro_Cuenta8[[#This Row],[Nombre Centro Gestion]]</f>
        <v>10260105 - Blanca Estela II Torre A y B-Clientes</v>
      </c>
      <c r="G1904" s="47" t="str">
        <f>+Centro_Cuenta8[[#This Row],[Código Cuenta Contable]]&amp;" - "&amp;Centro_Cuenta8[[#This Row],[Nombre de Cuenta Contable]]</f>
        <v>4203140 - Contribuciones</v>
      </c>
      <c r="H1904" s="146" t="str">
        <f>+VLOOKUP(D1904,'3. Cuentas'!A:F,6,0)</f>
        <v>SI</v>
      </c>
    </row>
    <row r="1905" spans="1:8" x14ac:dyDescent="0.25">
      <c r="A1905" s="43">
        <v>10260204</v>
      </c>
      <c r="B1905" t="s">
        <v>1290</v>
      </c>
      <c r="C1905" s="43" t="s">
        <v>1624</v>
      </c>
      <c r="D1905" s="43">
        <v>1103045</v>
      </c>
      <c r="E1905" t="s">
        <v>323</v>
      </c>
      <c r="F1905" s="47" t="str">
        <f>+Centro_Cuenta8[[#This Row],[Codigo Centro Gestion]]&amp;" - "&amp;Centro_Cuenta8[[#This Row],[Nombre Centro Gestion]]</f>
        <v>10260204 - Blanca Estela II Torre A y B-Proyecto</v>
      </c>
      <c r="G1905" s="47" t="str">
        <f>+Centro_Cuenta8[[#This Row],[Código Cuenta Contable]]&amp;" - "&amp;Centro_Cuenta8[[#This Row],[Nombre de Cuenta Contable]]</f>
        <v>1103045 - Aportes reembolsables (electricidad y agua)</v>
      </c>
      <c r="H1905" s="146" t="str">
        <f>+VLOOKUP(D1905,'3. Cuentas'!A:F,6,0)</f>
        <v>SI</v>
      </c>
    </row>
    <row r="1906" spans="1:8" x14ac:dyDescent="0.25">
      <c r="A1906" s="43">
        <v>10260204</v>
      </c>
      <c r="B1906" t="s">
        <v>1290</v>
      </c>
      <c r="C1906" s="43" t="s">
        <v>1624</v>
      </c>
      <c r="D1906" s="43">
        <v>1109020</v>
      </c>
      <c r="E1906" t="s">
        <v>302</v>
      </c>
      <c r="F1906" s="47" t="str">
        <f>+Centro_Cuenta8[[#This Row],[Codigo Centro Gestion]]&amp;" - "&amp;Centro_Cuenta8[[#This Row],[Nombre Centro Gestion]]</f>
        <v>10260204 - Blanca Estela II Torre A y B-Proyecto</v>
      </c>
      <c r="G1906" s="47" t="str">
        <f>+Centro_Cuenta8[[#This Row],[Código Cuenta Contable]]&amp;" - "&amp;Centro_Cuenta8[[#This Row],[Nombre de Cuenta Contable]]</f>
        <v>1109020 - Mobiliario</v>
      </c>
      <c r="H1906" s="146" t="str">
        <f>+VLOOKUP(D1906,'3. Cuentas'!A:F,6,0)</f>
        <v>SI</v>
      </c>
    </row>
    <row r="1907" spans="1:8" x14ac:dyDescent="0.25">
      <c r="A1907" s="43">
        <v>10260204</v>
      </c>
      <c r="B1907" t="s">
        <v>1290</v>
      </c>
      <c r="C1907" s="43" t="s">
        <v>1624</v>
      </c>
      <c r="D1907" s="43">
        <v>1110040</v>
      </c>
      <c r="E1907" t="s">
        <v>1505</v>
      </c>
      <c r="F1907" s="47" t="str">
        <f>+Centro_Cuenta8[[#This Row],[Codigo Centro Gestion]]&amp;" - "&amp;Centro_Cuenta8[[#This Row],[Nombre Centro Gestion]]</f>
        <v>10260204 - Blanca Estela II Torre A y B-Proyecto</v>
      </c>
      <c r="G1907" s="47" t="str">
        <f>+Centro_Cuenta8[[#This Row],[Código Cuenta Contable]]&amp;" - "&amp;Centro_Cuenta8[[#This Row],[Nombre de Cuenta Contable]]</f>
        <v>1110040 - Garantía Pagadas</v>
      </c>
      <c r="H1907" s="146" t="str">
        <f>+VLOOKUP(D1907,'3. Cuentas'!A:F,6,0)</f>
        <v>SI</v>
      </c>
    </row>
    <row r="1908" spans="1:8" x14ac:dyDescent="0.25">
      <c r="A1908" s="43">
        <v>10260204</v>
      </c>
      <c r="B1908" t="s">
        <v>1290</v>
      </c>
      <c r="C1908" s="43" t="s">
        <v>1624</v>
      </c>
      <c r="D1908" s="43">
        <v>1115040</v>
      </c>
      <c r="E1908" t="s">
        <v>291</v>
      </c>
      <c r="F1908" s="47" t="str">
        <f>+Centro_Cuenta8[[#This Row],[Codigo Centro Gestion]]&amp;" - "&amp;Centro_Cuenta8[[#This Row],[Nombre Centro Gestion]]</f>
        <v>10260204 - Blanca Estela II Torre A y B-Proyecto</v>
      </c>
      <c r="G1908" s="47" t="str">
        <f>+Centro_Cuenta8[[#This Row],[Código Cuenta Contable]]&amp;" - "&amp;Centro_Cuenta8[[#This Row],[Nombre de Cuenta Contable]]</f>
        <v>1115040 - Saneamiento De Terreno</v>
      </c>
      <c r="H1908" s="146" t="str">
        <f>+VLOOKUP(D1908,'3. Cuentas'!A:F,6,0)</f>
        <v>SI</v>
      </c>
    </row>
    <row r="1909" spans="1:8" x14ac:dyDescent="0.25">
      <c r="A1909" s="43">
        <v>10260204</v>
      </c>
      <c r="B1909" t="s">
        <v>1290</v>
      </c>
      <c r="C1909" s="43" t="s">
        <v>1624</v>
      </c>
      <c r="D1909" s="43">
        <v>1115050</v>
      </c>
      <c r="E1909" t="s">
        <v>1628</v>
      </c>
      <c r="F1909" s="47" t="str">
        <f>+Centro_Cuenta8[[#This Row],[Codigo Centro Gestion]]&amp;" - "&amp;Centro_Cuenta8[[#This Row],[Nombre Centro Gestion]]</f>
        <v>10260204 - Blanca Estela II Torre A y B-Proyecto</v>
      </c>
      <c r="G1909" s="47" t="str">
        <f>+Centro_Cuenta8[[#This Row],[Código Cuenta Contable]]&amp;" - "&amp;Centro_Cuenta8[[#This Row],[Nombre de Cuenta Contable]]</f>
        <v>1115050 - Demolición</v>
      </c>
      <c r="H1909" s="146" t="str">
        <f>+VLOOKUP(D1909,'3. Cuentas'!A:F,6,0)</f>
        <v>SI</v>
      </c>
    </row>
    <row r="1910" spans="1:8" x14ac:dyDescent="0.25">
      <c r="A1910" s="43">
        <v>10260204</v>
      </c>
      <c r="B1910" t="s">
        <v>1290</v>
      </c>
      <c r="C1910" s="43" t="s">
        <v>1624</v>
      </c>
      <c r="D1910" s="43">
        <v>1115100</v>
      </c>
      <c r="E1910" t="s">
        <v>292</v>
      </c>
      <c r="F1910" s="47" t="str">
        <f>+Centro_Cuenta8[[#This Row],[Codigo Centro Gestion]]&amp;" - "&amp;Centro_Cuenta8[[#This Row],[Nombre Centro Gestion]]</f>
        <v>10260204 - Blanca Estela II Torre A y B-Proyecto</v>
      </c>
      <c r="G1910" s="47" t="str">
        <f>+Centro_Cuenta8[[#This Row],[Código Cuenta Contable]]&amp;" - "&amp;Centro_Cuenta8[[#This Row],[Nombre de Cuenta Contable]]</f>
        <v>1115100 - Proyectos Y Especialidades</v>
      </c>
      <c r="H1910" s="146" t="str">
        <f>+VLOOKUP(D1910,'3. Cuentas'!A:F,6,0)</f>
        <v>SI</v>
      </c>
    </row>
    <row r="1911" spans="1:8" x14ac:dyDescent="0.25">
      <c r="A1911" s="43">
        <v>10260204</v>
      </c>
      <c r="B1911" t="s">
        <v>1290</v>
      </c>
      <c r="C1911" s="43" t="s">
        <v>1624</v>
      </c>
      <c r="D1911" s="43">
        <v>1115120</v>
      </c>
      <c r="E1911" t="s">
        <v>1633</v>
      </c>
      <c r="F1911" s="47" t="str">
        <f>+Centro_Cuenta8[[#This Row],[Codigo Centro Gestion]]&amp;" - "&amp;Centro_Cuenta8[[#This Row],[Nombre Centro Gestion]]</f>
        <v>10260204 - Blanca Estela II Torre A y B-Proyecto</v>
      </c>
      <c r="G1911" s="47" t="str">
        <f>+Centro_Cuenta8[[#This Row],[Código Cuenta Contable]]&amp;" - "&amp;Centro_Cuenta8[[#This Row],[Nombre de Cuenta Contable]]</f>
        <v>1115120 - Instalación Empalmes</v>
      </c>
      <c r="H1911" s="146" t="str">
        <f>+VLOOKUP(D1911,'3. Cuentas'!A:F,6,0)</f>
        <v>SI</v>
      </c>
    </row>
    <row r="1912" spans="1:8" x14ac:dyDescent="0.25">
      <c r="A1912" s="43">
        <v>10260204</v>
      </c>
      <c r="B1912" t="s">
        <v>1290</v>
      </c>
      <c r="C1912" s="43" t="s">
        <v>1624</v>
      </c>
      <c r="D1912" s="43">
        <v>1115170</v>
      </c>
      <c r="E1912" t="s">
        <v>293</v>
      </c>
      <c r="F1912" s="47" t="str">
        <f>+Centro_Cuenta8[[#This Row],[Codigo Centro Gestion]]&amp;" - "&amp;Centro_Cuenta8[[#This Row],[Nombre Centro Gestion]]</f>
        <v>10260204 - Blanca Estela II Torre A y B-Proyecto</v>
      </c>
      <c r="G1912" s="47" t="str">
        <f>+Centro_Cuenta8[[#This Row],[Código Cuenta Contable]]&amp;" - "&amp;Centro_Cuenta8[[#This Row],[Nombre de Cuenta Contable]]</f>
        <v>1115170 - Permisos Y Otros Gastos Municipales</v>
      </c>
      <c r="H1912" s="146" t="str">
        <f>+VLOOKUP(D1912,'3. Cuentas'!A:F,6,0)</f>
        <v>SI</v>
      </c>
    </row>
    <row r="1913" spans="1:8" x14ac:dyDescent="0.25">
      <c r="A1913" s="43">
        <v>10260204</v>
      </c>
      <c r="B1913" t="s">
        <v>1290</v>
      </c>
      <c r="C1913" s="43" t="s">
        <v>1624</v>
      </c>
      <c r="D1913" s="43">
        <v>1115240</v>
      </c>
      <c r="E1913" t="s">
        <v>294</v>
      </c>
      <c r="F1913" s="47" t="str">
        <f>+Centro_Cuenta8[[#This Row],[Codigo Centro Gestion]]&amp;" - "&amp;Centro_Cuenta8[[#This Row],[Nombre Centro Gestion]]</f>
        <v>10260204 - Blanca Estela II Torre A y B-Proyecto</v>
      </c>
      <c r="G1913" s="47" t="str">
        <f>+Centro_Cuenta8[[#This Row],[Código Cuenta Contable]]&amp;" - "&amp;Centro_Cuenta8[[#This Row],[Nombre de Cuenta Contable]]</f>
        <v>1115240 - Estudios Y Asesorias Técnicas</v>
      </c>
      <c r="H1913" s="146" t="str">
        <f>+VLOOKUP(D1913,'3. Cuentas'!A:F,6,0)</f>
        <v>SI</v>
      </c>
    </row>
    <row r="1914" spans="1:8" x14ac:dyDescent="0.25">
      <c r="A1914" s="43">
        <v>10260204</v>
      </c>
      <c r="B1914" t="s">
        <v>1290</v>
      </c>
      <c r="C1914" s="43" t="s">
        <v>1624</v>
      </c>
      <c r="D1914" s="43">
        <v>4203090</v>
      </c>
      <c r="E1914" t="s">
        <v>192</v>
      </c>
      <c r="F1914" s="47" t="str">
        <f>+Centro_Cuenta8[[#This Row],[Codigo Centro Gestion]]&amp;" - "&amp;Centro_Cuenta8[[#This Row],[Nombre Centro Gestion]]</f>
        <v>10260204 - Blanca Estela II Torre A y B-Proyecto</v>
      </c>
      <c r="G1914" s="47" t="str">
        <f>+Centro_Cuenta8[[#This Row],[Código Cuenta Contable]]&amp;" - "&amp;Centro_Cuenta8[[#This Row],[Nombre de Cuenta Contable]]</f>
        <v>4203090 - Gastos Legales Y Notariales Proyecto</v>
      </c>
      <c r="H1914" s="146" t="str">
        <f>+VLOOKUP(D1914,'3. Cuentas'!A:F,6,0)</f>
        <v>SI</v>
      </c>
    </row>
    <row r="1915" spans="1:8" x14ac:dyDescent="0.25">
      <c r="A1915" s="43">
        <v>10260204</v>
      </c>
      <c r="B1915" t="s">
        <v>1290</v>
      </c>
      <c r="C1915" s="43" t="s">
        <v>1624</v>
      </c>
      <c r="D1915" s="43">
        <v>4203140</v>
      </c>
      <c r="E1915" t="s">
        <v>109</v>
      </c>
      <c r="F1915" s="47" t="str">
        <f>+Centro_Cuenta8[[#This Row],[Codigo Centro Gestion]]&amp;" - "&amp;Centro_Cuenta8[[#This Row],[Nombre Centro Gestion]]</f>
        <v>10260204 - Blanca Estela II Torre A y B-Proyecto</v>
      </c>
      <c r="G1915" s="47" t="str">
        <f>+Centro_Cuenta8[[#This Row],[Código Cuenta Contable]]&amp;" - "&amp;Centro_Cuenta8[[#This Row],[Nombre de Cuenta Contable]]</f>
        <v>4203140 - Contribuciones</v>
      </c>
      <c r="H1915" s="146" t="str">
        <f>+VLOOKUP(D1915,'3. Cuentas'!A:F,6,0)</f>
        <v>SI</v>
      </c>
    </row>
    <row r="1916" spans="1:8" x14ac:dyDescent="0.25">
      <c r="A1916" s="43">
        <v>10260204</v>
      </c>
      <c r="B1916" t="s">
        <v>1290</v>
      </c>
      <c r="C1916" s="43" t="s">
        <v>1624</v>
      </c>
      <c r="D1916" s="43">
        <v>4203150</v>
      </c>
      <c r="E1916" t="s">
        <v>156</v>
      </c>
      <c r="F1916" s="47" t="str">
        <f>+Centro_Cuenta8[[#This Row],[Codigo Centro Gestion]]&amp;" - "&amp;Centro_Cuenta8[[#This Row],[Nombre Centro Gestion]]</f>
        <v>10260204 - Blanca Estela II Torre A y B-Proyecto</v>
      </c>
      <c r="G1916" s="47" t="str">
        <f>+Centro_Cuenta8[[#This Row],[Código Cuenta Contable]]&amp;" - "&amp;Centro_Cuenta8[[#This Row],[Nombre de Cuenta Contable]]</f>
        <v>4203150 - Gastos CBR</v>
      </c>
      <c r="H1916" s="146" t="str">
        <f>+VLOOKUP(D1916,'3. Cuentas'!A:F,6,0)</f>
        <v>SI</v>
      </c>
    </row>
    <row r="1917" spans="1:8" x14ac:dyDescent="0.25">
      <c r="A1917" s="43">
        <v>10260204</v>
      </c>
      <c r="B1917" t="s">
        <v>1290</v>
      </c>
      <c r="C1917" s="43" t="s">
        <v>1624</v>
      </c>
      <c r="D1917" s="43">
        <v>4203160</v>
      </c>
      <c r="E1917" t="s">
        <v>1639</v>
      </c>
      <c r="F1917" s="47" t="str">
        <f>+Centro_Cuenta8[[#This Row],[Codigo Centro Gestion]]&amp;" - "&amp;Centro_Cuenta8[[#This Row],[Nombre Centro Gestion]]</f>
        <v>10260204 - Blanca Estela II Torre A y B-Proyecto</v>
      </c>
      <c r="G1917" s="47" t="str">
        <f>+Centro_Cuenta8[[#This Row],[Código Cuenta Contable]]&amp;" - "&amp;Centro_Cuenta8[[#This Row],[Nombre de Cuenta Contable]]</f>
        <v>4203160 - PAPELERIA Y FOTOCOPIADO</v>
      </c>
      <c r="H1917" s="146" t="str">
        <f>+VLOOKUP(D1917,'3. Cuentas'!A:F,6,0)</f>
        <v>SI</v>
      </c>
    </row>
    <row r="1918" spans="1:8" x14ac:dyDescent="0.25">
      <c r="A1918" s="43">
        <v>10260204</v>
      </c>
      <c r="B1918" t="s">
        <v>1290</v>
      </c>
      <c r="C1918" s="43" t="s">
        <v>1624</v>
      </c>
      <c r="D1918" s="43">
        <v>4203180</v>
      </c>
      <c r="E1918" t="s">
        <v>1640</v>
      </c>
      <c r="F1918" s="47" t="str">
        <f>+Centro_Cuenta8[[#This Row],[Codigo Centro Gestion]]&amp;" - "&amp;Centro_Cuenta8[[#This Row],[Nombre Centro Gestion]]</f>
        <v>10260204 - Blanca Estela II Torre A y B-Proyecto</v>
      </c>
      <c r="G1918" s="47" t="str">
        <f>+Centro_Cuenta8[[#This Row],[Código Cuenta Contable]]&amp;" - "&amp;Centro_Cuenta8[[#This Row],[Nombre de Cuenta Contable]]</f>
        <v>4203180 - Otros Gastos y Aseso Proy</v>
      </c>
      <c r="H1918" s="146" t="str">
        <f>+VLOOKUP(D1918,'3. Cuentas'!A:F,6,0)</f>
        <v>SI</v>
      </c>
    </row>
    <row r="1919" spans="1:8" x14ac:dyDescent="0.25">
      <c r="A1919" s="43">
        <v>10260301</v>
      </c>
      <c r="B1919" t="s">
        <v>1291</v>
      </c>
      <c r="C1919" s="43" t="s">
        <v>1643</v>
      </c>
      <c r="D1919" s="43">
        <v>4203090</v>
      </c>
      <c r="E1919" t="s">
        <v>192</v>
      </c>
      <c r="F1919" s="47" t="str">
        <f>+Centro_Cuenta8[[#This Row],[Codigo Centro Gestion]]&amp;" - "&amp;Centro_Cuenta8[[#This Row],[Nombre Centro Gestion]]</f>
        <v>10260301 - Blanca Estela II Torre A y B-GAF</v>
      </c>
      <c r="G1919" s="47" t="str">
        <f>+Centro_Cuenta8[[#This Row],[Código Cuenta Contable]]&amp;" - "&amp;Centro_Cuenta8[[#This Row],[Nombre de Cuenta Contable]]</f>
        <v>4203090 - Gastos Legales Y Notariales Proyecto</v>
      </c>
      <c r="H1919" s="146" t="str">
        <f>+VLOOKUP(D1919,'3. Cuentas'!A:F,6,0)</f>
        <v>SI</v>
      </c>
    </row>
    <row r="1920" spans="1:8" x14ac:dyDescent="0.25">
      <c r="A1920" s="43">
        <v>10260301</v>
      </c>
      <c r="B1920" t="s">
        <v>1291</v>
      </c>
      <c r="C1920" s="43" t="s">
        <v>1643</v>
      </c>
      <c r="D1920" s="43">
        <v>4203140</v>
      </c>
      <c r="E1920" t="s">
        <v>109</v>
      </c>
      <c r="F1920" s="47" t="str">
        <f>+Centro_Cuenta8[[#This Row],[Codigo Centro Gestion]]&amp;" - "&amp;Centro_Cuenta8[[#This Row],[Nombre Centro Gestion]]</f>
        <v>10260301 - Blanca Estela II Torre A y B-GAF</v>
      </c>
      <c r="G1920" s="47" t="str">
        <f>+Centro_Cuenta8[[#This Row],[Código Cuenta Contable]]&amp;" - "&amp;Centro_Cuenta8[[#This Row],[Nombre de Cuenta Contable]]</f>
        <v>4203140 - Contribuciones</v>
      </c>
      <c r="H1920" s="146" t="str">
        <f>+VLOOKUP(D1920,'3. Cuentas'!A:F,6,0)</f>
        <v>SI</v>
      </c>
    </row>
    <row r="1921" spans="1:8" x14ac:dyDescent="0.25">
      <c r="A1921" s="43">
        <v>10260506</v>
      </c>
      <c r="B1921" t="s">
        <v>1293</v>
      </c>
      <c r="C1921" s="43" t="s">
        <v>200</v>
      </c>
      <c r="D1921" s="43">
        <v>1115100</v>
      </c>
      <c r="E1921" t="s">
        <v>292</v>
      </c>
      <c r="F1921" s="47" t="str">
        <f>+Centro_Cuenta8[[#This Row],[Codigo Centro Gestion]]&amp;" - "&amp;Centro_Cuenta8[[#This Row],[Nombre Centro Gestion]]</f>
        <v>10260506 - Blanca Estela II Torre A y B-Depto.Técnico</v>
      </c>
      <c r="G1921" s="47" t="str">
        <f>+Centro_Cuenta8[[#This Row],[Código Cuenta Contable]]&amp;" - "&amp;Centro_Cuenta8[[#This Row],[Nombre de Cuenta Contable]]</f>
        <v>1115100 - Proyectos Y Especialidades</v>
      </c>
      <c r="H1921" s="146" t="str">
        <f>+VLOOKUP(D1921,'3. Cuentas'!A:F,6,0)</f>
        <v>SI</v>
      </c>
    </row>
    <row r="1922" spans="1:8" x14ac:dyDescent="0.25">
      <c r="A1922" s="43">
        <v>10261102</v>
      </c>
      <c r="B1922" t="s">
        <v>1295</v>
      </c>
      <c r="C1922" s="43" t="s">
        <v>1617</v>
      </c>
      <c r="D1922" s="43">
        <v>4204010</v>
      </c>
      <c r="E1922" t="s">
        <v>313</v>
      </c>
      <c r="F1922" s="47" t="str">
        <f>+Centro_Cuenta8[[#This Row],[Codigo Centro Gestion]]&amp;" - "&amp;Centro_Cuenta8[[#This Row],[Nombre Centro Gestion]]</f>
        <v>10261102 - DS49 Valle Alto Placilla-Marketing</v>
      </c>
      <c r="G1922" s="47" t="str">
        <f>+Centro_Cuenta8[[#This Row],[Código Cuenta Contable]]&amp;" - "&amp;Centro_Cuenta8[[#This Row],[Nombre de Cuenta Contable]]</f>
        <v>4204010 - Publicidad Punto Venta</v>
      </c>
      <c r="H1922" s="146" t="str">
        <f>+VLOOKUP(D1922,'3. Cuentas'!A:F,6,0)</f>
        <v>SI</v>
      </c>
    </row>
    <row r="1923" spans="1:8" x14ac:dyDescent="0.25">
      <c r="A1923" s="43">
        <v>10261102</v>
      </c>
      <c r="B1923" t="s">
        <v>1295</v>
      </c>
      <c r="C1923" s="43" t="s">
        <v>1617</v>
      </c>
      <c r="D1923" s="43">
        <v>4204021</v>
      </c>
      <c r="E1923" t="s">
        <v>329</v>
      </c>
      <c r="F1923" s="47" t="str">
        <f>+Centro_Cuenta8[[#This Row],[Codigo Centro Gestion]]&amp;" - "&amp;Centro_Cuenta8[[#This Row],[Nombre Centro Gestion]]</f>
        <v>10261102 - DS49 Valle Alto Placilla-Marketing</v>
      </c>
      <c r="G1923" s="47" t="str">
        <f>+Centro_Cuenta8[[#This Row],[Código Cuenta Contable]]&amp;" - "&amp;Centro_Cuenta8[[#This Row],[Nombre de Cuenta Contable]]</f>
        <v>4204021 - Publicidad Ferias Y Eventos</v>
      </c>
      <c r="H1923" s="146" t="str">
        <f>+VLOOKUP(D1923,'3. Cuentas'!A:F,6,0)</f>
        <v>SI</v>
      </c>
    </row>
    <row r="1924" spans="1:8" x14ac:dyDescent="0.25">
      <c r="A1924" s="43">
        <v>10261103</v>
      </c>
      <c r="B1924" t="s">
        <v>1296</v>
      </c>
      <c r="C1924" s="43" t="s">
        <v>1618</v>
      </c>
      <c r="D1924" s="43">
        <v>4203060</v>
      </c>
      <c r="E1924" t="s">
        <v>321</v>
      </c>
      <c r="F1924" s="47" t="str">
        <f>+Centro_Cuenta8[[#This Row],[Codigo Centro Gestion]]&amp;" - "&amp;Centro_Cuenta8[[#This Row],[Nombre Centro Gestion]]</f>
        <v>10261103 - DS49 Valle Alto Placilla-Operaciones</v>
      </c>
      <c r="G1924" s="47" t="str">
        <f>+Centro_Cuenta8[[#This Row],[Código Cuenta Contable]]&amp;" - "&amp;Centro_Cuenta8[[#This Row],[Nombre de Cuenta Contable]]</f>
        <v>4203060 - Gastos Operacionales De Clientes</v>
      </c>
      <c r="H1924" s="146" t="str">
        <f>+VLOOKUP(D1924,'3. Cuentas'!A:F,6,0)</f>
        <v>SI</v>
      </c>
    </row>
    <row r="1925" spans="1:8" x14ac:dyDescent="0.25">
      <c r="A1925" s="43">
        <v>10261103</v>
      </c>
      <c r="B1925" t="s">
        <v>1296</v>
      </c>
      <c r="C1925" s="43" t="s">
        <v>1618</v>
      </c>
      <c r="D1925" s="43">
        <v>4203090</v>
      </c>
      <c r="E1925" t="s">
        <v>192</v>
      </c>
      <c r="F1925" s="47" t="str">
        <f>+Centro_Cuenta8[[#This Row],[Codigo Centro Gestion]]&amp;" - "&amp;Centro_Cuenta8[[#This Row],[Nombre Centro Gestion]]</f>
        <v>10261103 - DS49 Valle Alto Placilla-Operaciones</v>
      </c>
      <c r="G1925" s="47" t="str">
        <f>+Centro_Cuenta8[[#This Row],[Código Cuenta Contable]]&amp;" - "&amp;Centro_Cuenta8[[#This Row],[Nombre de Cuenta Contable]]</f>
        <v>4203090 - Gastos Legales Y Notariales Proyecto</v>
      </c>
      <c r="H1925" s="146" t="str">
        <f>+VLOOKUP(D1925,'3. Cuentas'!A:F,6,0)</f>
        <v>SI</v>
      </c>
    </row>
    <row r="1926" spans="1:8" x14ac:dyDescent="0.25">
      <c r="A1926" s="43">
        <v>10261104</v>
      </c>
      <c r="B1926" t="s">
        <v>1297</v>
      </c>
      <c r="C1926" s="43" t="s">
        <v>90</v>
      </c>
      <c r="D1926" s="43">
        <v>1110040</v>
      </c>
      <c r="E1926" t="s">
        <v>1505</v>
      </c>
      <c r="F1926" s="47" t="str">
        <f>+Centro_Cuenta8[[#This Row],[Codigo Centro Gestion]]&amp;" - "&amp;Centro_Cuenta8[[#This Row],[Nombre Centro Gestion]]</f>
        <v>10261104 - DS49 Valle Alto Placilla-Ventas</v>
      </c>
      <c r="G1926" s="47" t="str">
        <f>+Centro_Cuenta8[[#This Row],[Código Cuenta Contable]]&amp;" - "&amp;Centro_Cuenta8[[#This Row],[Nombre de Cuenta Contable]]</f>
        <v>1110040 - Garantía Pagadas</v>
      </c>
      <c r="H1926" s="146" t="str">
        <f>+VLOOKUP(D1926,'3. Cuentas'!A:F,6,0)</f>
        <v>SI</v>
      </c>
    </row>
    <row r="1927" spans="1:8" x14ac:dyDescent="0.25">
      <c r="A1927" s="43">
        <v>10261104</v>
      </c>
      <c r="B1927" t="s">
        <v>1297</v>
      </c>
      <c r="C1927" s="43" t="s">
        <v>90</v>
      </c>
      <c r="D1927" s="43">
        <v>4202003</v>
      </c>
      <c r="E1927" t="s">
        <v>106</v>
      </c>
      <c r="F1927" s="47" t="str">
        <f>+Centro_Cuenta8[[#This Row],[Codigo Centro Gestion]]&amp;" - "&amp;Centro_Cuenta8[[#This Row],[Nombre Centro Gestion]]</f>
        <v>10261104 - DS49 Valle Alto Placilla-Ventas</v>
      </c>
      <c r="G1927" s="47" t="str">
        <f>+Centro_Cuenta8[[#This Row],[Código Cuenta Contable]]&amp;" - "&amp;Centro_Cuenta8[[#This Row],[Nombre de Cuenta Contable]]</f>
        <v>4202003 - Serv.Basic.Luz.Agua.Tel Of.C</v>
      </c>
      <c r="H1927" s="146" t="str">
        <f>+VLOOKUP(D1927,'3. Cuentas'!A:F,6,0)</f>
        <v>SI</v>
      </c>
    </row>
    <row r="1928" spans="1:8" x14ac:dyDescent="0.25">
      <c r="A1928" s="43">
        <v>10261104</v>
      </c>
      <c r="B1928" t="s">
        <v>1297</v>
      </c>
      <c r="C1928" s="43" t="s">
        <v>90</v>
      </c>
      <c r="D1928" s="43">
        <v>4202010</v>
      </c>
      <c r="E1928" t="s">
        <v>87</v>
      </c>
      <c r="F1928" s="47" t="str">
        <f>+Centro_Cuenta8[[#This Row],[Codigo Centro Gestion]]&amp;" - "&amp;Centro_Cuenta8[[#This Row],[Nombre Centro Gestion]]</f>
        <v>10261104 - DS49 Valle Alto Placilla-Ventas</v>
      </c>
      <c r="G1928" s="47" t="str">
        <f>+Centro_Cuenta8[[#This Row],[Código Cuenta Contable]]&amp;" - "&amp;Centro_Cuenta8[[#This Row],[Nombre de Cuenta Contable]]</f>
        <v>4202010 - Artic. Ofic. Fotocop.Papelería</v>
      </c>
      <c r="H1928" s="146" t="str">
        <f>+VLOOKUP(D1928,'3. Cuentas'!A:F,6,0)</f>
        <v>SI</v>
      </c>
    </row>
    <row r="1929" spans="1:8" x14ac:dyDescent="0.25">
      <c r="A1929" s="43">
        <v>10261104</v>
      </c>
      <c r="B1929" t="s">
        <v>1297</v>
      </c>
      <c r="C1929" s="43" t="s">
        <v>90</v>
      </c>
      <c r="D1929" s="43">
        <v>4202019</v>
      </c>
      <c r="E1929" t="s">
        <v>81</v>
      </c>
      <c r="F1929" s="47" t="str">
        <f>+Centro_Cuenta8[[#This Row],[Codigo Centro Gestion]]&amp;" - "&amp;Centro_Cuenta8[[#This Row],[Nombre Centro Gestion]]</f>
        <v>10261104 - DS49 Valle Alto Placilla-Ventas</v>
      </c>
      <c r="G1929" s="47" t="str">
        <f>+Centro_Cuenta8[[#This Row],[Código Cuenta Contable]]&amp;" - "&amp;Centro_Cuenta8[[#This Row],[Nombre de Cuenta Contable]]</f>
        <v>4202019 - Gasto General Oficina</v>
      </c>
      <c r="H1929" s="146" t="str">
        <f>+VLOOKUP(D1929,'3. Cuentas'!A:F,6,0)</f>
        <v>SI</v>
      </c>
    </row>
    <row r="1930" spans="1:8" x14ac:dyDescent="0.25">
      <c r="A1930" s="43">
        <v>10261104</v>
      </c>
      <c r="B1930" t="s">
        <v>1297</v>
      </c>
      <c r="C1930" s="43" t="s">
        <v>90</v>
      </c>
      <c r="D1930" s="43">
        <v>4202023</v>
      </c>
      <c r="E1930" t="s">
        <v>82</v>
      </c>
      <c r="F1930" s="47" t="str">
        <f>+Centro_Cuenta8[[#This Row],[Codigo Centro Gestion]]&amp;" - "&amp;Centro_Cuenta8[[#This Row],[Nombre Centro Gestion]]</f>
        <v>10261104 - DS49 Valle Alto Placilla-Ventas</v>
      </c>
      <c r="G1930" s="47" t="str">
        <f>+Centro_Cuenta8[[#This Row],[Código Cuenta Contable]]&amp;" - "&amp;Centro_Cuenta8[[#This Row],[Nombre de Cuenta Contable]]</f>
        <v>4202023 - Honorarios Por Asesorías</v>
      </c>
      <c r="H1930" s="146" t="str">
        <f>+VLOOKUP(D1930,'3. Cuentas'!A:F,6,0)</f>
        <v>SI</v>
      </c>
    </row>
    <row r="1931" spans="1:8" x14ac:dyDescent="0.25">
      <c r="A1931" s="43">
        <v>10261104</v>
      </c>
      <c r="B1931" t="s">
        <v>1297</v>
      </c>
      <c r="C1931" s="43" t="s">
        <v>90</v>
      </c>
      <c r="D1931" s="43">
        <v>4202029</v>
      </c>
      <c r="E1931" t="s">
        <v>83</v>
      </c>
      <c r="F1931" s="47" t="str">
        <f>+Centro_Cuenta8[[#This Row],[Codigo Centro Gestion]]&amp;" - "&amp;Centro_Cuenta8[[#This Row],[Nombre Centro Gestion]]</f>
        <v>10261104 - DS49 Valle Alto Placilla-Ventas</v>
      </c>
      <c r="G1931" s="47" t="str">
        <f>+Centro_Cuenta8[[#This Row],[Código Cuenta Contable]]&amp;" - "&amp;Centro_Cuenta8[[#This Row],[Nombre de Cuenta Contable]]</f>
        <v>4202029 - Insumos Y Gastos Informáticos</v>
      </c>
      <c r="H1931" s="146" t="str">
        <f>+VLOOKUP(D1931,'3. Cuentas'!A:F,6,0)</f>
        <v>SI</v>
      </c>
    </row>
    <row r="1932" spans="1:8" x14ac:dyDescent="0.25">
      <c r="A1932" s="43">
        <v>10261104</v>
      </c>
      <c r="B1932" t="s">
        <v>1297</v>
      </c>
      <c r="C1932" s="43" t="s">
        <v>90</v>
      </c>
      <c r="D1932" s="43">
        <v>4204021</v>
      </c>
      <c r="E1932" t="s">
        <v>329</v>
      </c>
      <c r="F1932" s="47" t="str">
        <f>+Centro_Cuenta8[[#This Row],[Codigo Centro Gestion]]&amp;" - "&amp;Centro_Cuenta8[[#This Row],[Nombre Centro Gestion]]</f>
        <v>10261104 - DS49 Valle Alto Placilla-Ventas</v>
      </c>
      <c r="G1932" s="47" t="str">
        <f>+Centro_Cuenta8[[#This Row],[Código Cuenta Contable]]&amp;" - "&amp;Centro_Cuenta8[[#This Row],[Nombre de Cuenta Contable]]</f>
        <v>4204021 - Publicidad Ferias Y Eventos</v>
      </c>
      <c r="H1932" s="146" t="str">
        <f>+VLOOKUP(D1932,'3. Cuentas'!A:F,6,0)</f>
        <v>SI</v>
      </c>
    </row>
    <row r="1933" spans="1:8" x14ac:dyDescent="0.25">
      <c r="A1933" s="43">
        <v>10261105</v>
      </c>
      <c r="B1933" t="s">
        <v>1298</v>
      </c>
      <c r="C1933" s="43" t="s">
        <v>1622</v>
      </c>
      <c r="D1933" s="43">
        <v>4203020</v>
      </c>
      <c r="E1933" t="s">
        <v>295</v>
      </c>
      <c r="F1933" s="47" t="str">
        <f>+Centro_Cuenta8[[#This Row],[Codigo Centro Gestion]]&amp;" - "&amp;Centro_Cuenta8[[#This Row],[Nombre Centro Gestion]]</f>
        <v>10261105 - DS49 Valle Alto Placilla-Clientes</v>
      </c>
      <c r="G1933" s="47" t="str">
        <f>+Centro_Cuenta8[[#This Row],[Código Cuenta Contable]]&amp;" - "&amp;Centro_Cuenta8[[#This Row],[Nombre de Cuenta Contable]]</f>
        <v>4203020 - Mant. y Consum. Viv Stock</v>
      </c>
      <c r="H1933" s="146" t="str">
        <f>+VLOOKUP(D1933,'3. Cuentas'!A:F,6,0)</f>
        <v>SI</v>
      </c>
    </row>
    <row r="1934" spans="1:8" x14ac:dyDescent="0.25">
      <c r="A1934" s="43">
        <v>10261105</v>
      </c>
      <c r="B1934" t="s">
        <v>1298</v>
      </c>
      <c r="C1934" s="43" t="s">
        <v>1622</v>
      </c>
      <c r="D1934" s="43">
        <v>4203120</v>
      </c>
      <c r="E1934" t="s">
        <v>108</v>
      </c>
      <c r="F1934" s="47" t="str">
        <f>+Centro_Cuenta8[[#This Row],[Codigo Centro Gestion]]&amp;" - "&amp;Centro_Cuenta8[[#This Row],[Nombre Centro Gestion]]</f>
        <v>10261105 - DS49 Valle Alto Placilla-Clientes</v>
      </c>
      <c r="G1934" s="47" t="str">
        <f>+Centro_Cuenta8[[#This Row],[Código Cuenta Contable]]&amp;" - "&amp;Centro_Cuenta8[[#This Row],[Nombre de Cuenta Contable]]</f>
        <v>4203120 - Gastos Comunes</v>
      </c>
      <c r="H1934" s="146" t="str">
        <f>+VLOOKUP(D1934,'3. Cuentas'!A:F,6,0)</f>
        <v>SI</v>
      </c>
    </row>
    <row r="1935" spans="1:8" x14ac:dyDescent="0.25">
      <c r="A1935" s="43">
        <v>10261105</v>
      </c>
      <c r="B1935" t="s">
        <v>1298</v>
      </c>
      <c r="C1935" s="43" t="s">
        <v>1622</v>
      </c>
      <c r="D1935" s="43">
        <v>4203140</v>
      </c>
      <c r="E1935" t="s">
        <v>109</v>
      </c>
      <c r="F1935" s="47" t="str">
        <f>+Centro_Cuenta8[[#This Row],[Codigo Centro Gestion]]&amp;" - "&amp;Centro_Cuenta8[[#This Row],[Nombre Centro Gestion]]</f>
        <v>10261105 - DS49 Valle Alto Placilla-Clientes</v>
      </c>
      <c r="G1935" s="47" t="str">
        <f>+Centro_Cuenta8[[#This Row],[Código Cuenta Contable]]&amp;" - "&amp;Centro_Cuenta8[[#This Row],[Nombre de Cuenta Contable]]</f>
        <v>4203140 - Contribuciones</v>
      </c>
      <c r="H1935" s="146" t="str">
        <f>+VLOOKUP(D1935,'3. Cuentas'!A:F,6,0)</f>
        <v>SI</v>
      </c>
    </row>
    <row r="1936" spans="1:8" x14ac:dyDescent="0.25">
      <c r="A1936" s="43">
        <v>10261204</v>
      </c>
      <c r="B1936" t="s">
        <v>1299</v>
      </c>
      <c r="C1936" s="43" t="s">
        <v>1624</v>
      </c>
      <c r="D1936" s="43">
        <v>1103045</v>
      </c>
      <c r="E1936" t="s">
        <v>323</v>
      </c>
      <c r="F1936" s="47" t="str">
        <f>+Centro_Cuenta8[[#This Row],[Codigo Centro Gestion]]&amp;" - "&amp;Centro_Cuenta8[[#This Row],[Nombre Centro Gestion]]</f>
        <v>10261204 - DS49 Valle Alto Placilla-Proyecto</v>
      </c>
      <c r="G1936" s="47" t="str">
        <f>+Centro_Cuenta8[[#This Row],[Código Cuenta Contable]]&amp;" - "&amp;Centro_Cuenta8[[#This Row],[Nombre de Cuenta Contable]]</f>
        <v>1103045 - Aportes reembolsables (electricidad y agua)</v>
      </c>
      <c r="H1936" s="146" t="str">
        <f>+VLOOKUP(D1936,'3. Cuentas'!A:F,6,0)</f>
        <v>SI</v>
      </c>
    </row>
    <row r="1937" spans="1:8" x14ac:dyDescent="0.25">
      <c r="A1937" s="43">
        <v>10261204</v>
      </c>
      <c r="B1937" t="s">
        <v>1299</v>
      </c>
      <c r="C1937" s="43" t="s">
        <v>1624</v>
      </c>
      <c r="D1937" s="43">
        <v>1109020</v>
      </c>
      <c r="E1937" t="s">
        <v>302</v>
      </c>
      <c r="F1937" s="47" t="str">
        <f>+Centro_Cuenta8[[#This Row],[Codigo Centro Gestion]]&amp;" - "&amp;Centro_Cuenta8[[#This Row],[Nombre Centro Gestion]]</f>
        <v>10261204 - DS49 Valle Alto Placilla-Proyecto</v>
      </c>
      <c r="G1937" s="47" t="str">
        <f>+Centro_Cuenta8[[#This Row],[Código Cuenta Contable]]&amp;" - "&amp;Centro_Cuenta8[[#This Row],[Nombre de Cuenta Contable]]</f>
        <v>1109020 - Mobiliario</v>
      </c>
      <c r="H1937" s="146" t="str">
        <f>+VLOOKUP(D1937,'3. Cuentas'!A:F,6,0)</f>
        <v>SI</v>
      </c>
    </row>
    <row r="1938" spans="1:8" x14ac:dyDescent="0.25">
      <c r="A1938" s="43">
        <v>10261204</v>
      </c>
      <c r="B1938" t="s">
        <v>1299</v>
      </c>
      <c r="C1938" s="43" t="s">
        <v>1624</v>
      </c>
      <c r="D1938" s="43">
        <v>1110040</v>
      </c>
      <c r="E1938" t="s">
        <v>1505</v>
      </c>
      <c r="F1938" s="47" t="str">
        <f>+Centro_Cuenta8[[#This Row],[Codigo Centro Gestion]]&amp;" - "&amp;Centro_Cuenta8[[#This Row],[Nombre Centro Gestion]]</f>
        <v>10261204 - DS49 Valle Alto Placilla-Proyecto</v>
      </c>
      <c r="G1938" s="47" t="str">
        <f>+Centro_Cuenta8[[#This Row],[Código Cuenta Contable]]&amp;" - "&amp;Centro_Cuenta8[[#This Row],[Nombre de Cuenta Contable]]</f>
        <v>1110040 - Garantía Pagadas</v>
      </c>
      <c r="H1938" s="146" t="str">
        <f>+VLOOKUP(D1938,'3. Cuentas'!A:F,6,0)</f>
        <v>SI</v>
      </c>
    </row>
    <row r="1939" spans="1:8" x14ac:dyDescent="0.25">
      <c r="A1939" s="43">
        <v>10261204</v>
      </c>
      <c r="B1939" t="s">
        <v>1299</v>
      </c>
      <c r="C1939" s="43" t="s">
        <v>1624</v>
      </c>
      <c r="D1939" s="43">
        <v>1115040</v>
      </c>
      <c r="E1939" t="s">
        <v>291</v>
      </c>
      <c r="F1939" s="47" t="str">
        <f>+Centro_Cuenta8[[#This Row],[Codigo Centro Gestion]]&amp;" - "&amp;Centro_Cuenta8[[#This Row],[Nombre Centro Gestion]]</f>
        <v>10261204 - DS49 Valle Alto Placilla-Proyecto</v>
      </c>
      <c r="G1939" s="47" t="str">
        <f>+Centro_Cuenta8[[#This Row],[Código Cuenta Contable]]&amp;" - "&amp;Centro_Cuenta8[[#This Row],[Nombre de Cuenta Contable]]</f>
        <v>1115040 - Saneamiento De Terreno</v>
      </c>
      <c r="H1939" s="146" t="str">
        <f>+VLOOKUP(D1939,'3. Cuentas'!A:F,6,0)</f>
        <v>SI</v>
      </c>
    </row>
    <row r="1940" spans="1:8" x14ac:dyDescent="0.25">
      <c r="A1940" s="43">
        <v>10261204</v>
      </c>
      <c r="B1940" t="s">
        <v>1299</v>
      </c>
      <c r="C1940" s="43" t="s">
        <v>1624</v>
      </c>
      <c r="D1940" s="43">
        <v>1115050</v>
      </c>
      <c r="E1940" t="s">
        <v>1628</v>
      </c>
      <c r="F1940" s="47" t="str">
        <f>+Centro_Cuenta8[[#This Row],[Codigo Centro Gestion]]&amp;" - "&amp;Centro_Cuenta8[[#This Row],[Nombre Centro Gestion]]</f>
        <v>10261204 - DS49 Valle Alto Placilla-Proyecto</v>
      </c>
      <c r="G1940" s="47" t="str">
        <f>+Centro_Cuenta8[[#This Row],[Código Cuenta Contable]]&amp;" - "&amp;Centro_Cuenta8[[#This Row],[Nombre de Cuenta Contable]]</f>
        <v>1115050 - Demolición</v>
      </c>
      <c r="H1940" s="146" t="str">
        <f>+VLOOKUP(D1940,'3. Cuentas'!A:F,6,0)</f>
        <v>SI</v>
      </c>
    </row>
    <row r="1941" spans="1:8" x14ac:dyDescent="0.25">
      <c r="A1941" s="43">
        <v>10261204</v>
      </c>
      <c r="B1941" t="s">
        <v>1299</v>
      </c>
      <c r="C1941" s="43" t="s">
        <v>1624</v>
      </c>
      <c r="D1941" s="43">
        <v>1115100</v>
      </c>
      <c r="E1941" t="s">
        <v>292</v>
      </c>
      <c r="F1941" s="47" t="str">
        <f>+Centro_Cuenta8[[#This Row],[Codigo Centro Gestion]]&amp;" - "&amp;Centro_Cuenta8[[#This Row],[Nombre Centro Gestion]]</f>
        <v>10261204 - DS49 Valle Alto Placilla-Proyecto</v>
      </c>
      <c r="G1941" s="47" t="str">
        <f>+Centro_Cuenta8[[#This Row],[Código Cuenta Contable]]&amp;" - "&amp;Centro_Cuenta8[[#This Row],[Nombre de Cuenta Contable]]</f>
        <v>1115100 - Proyectos Y Especialidades</v>
      </c>
      <c r="H1941" s="146" t="str">
        <f>+VLOOKUP(D1941,'3. Cuentas'!A:F,6,0)</f>
        <v>SI</v>
      </c>
    </row>
    <row r="1942" spans="1:8" x14ac:dyDescent="0.25">
      <c r="A1942" s="43">
        <v>10261204</v>
      </c>
      <c r="B1942" t="s">
        <v>1299</v>
      </c>
      <c r="C1942" s="43" t="s">
        <v>1624</v>
      </c>
      <c r="D1942" s="43">
        <v>1115120</v>
      </c>
      <c r="E1942" t="s">
        <v>1633</v>
      </c>
      <c r="F1942" s="47" t="str">
        <f>+Centro_Cuenta8[[#This Row],[Codigo Centro Gestion]]&amp;" - "&amp;Centro_Cuenta8[[#This Row],[Nombre Centro Gestion]]</f>
        <v>10261204 - DS49 Valle Alto Placilla-Proyecto</v>
      </c>
      <c r="G1942" s="47" t="str">
        <f>+Centro_Cuenta8[[#This Row],[Código Cuenta Contable]]&amp;" - "&amp;Centro_Cuenta8[[#This Row],[Nombre de Cuenta Contable]]</f>
        <v>1115120 - Instalación Empalmes</v>
      </c>
      <c r="H1942" s="146" t="str">
        <f>+VLOOKUP(D1942,'3. Cuentas'!A:F,6,0)</f>
        <v>SI</v>
      </c>
    </row>
    <row r="1943" spans="1:8" x14ac:dyDescent="0.25">
      <c r="A1943" s="43">
        <v>10261204</v>
      </c>
      <c r="B1943" t="s">
        <v>1299</v>
      </c>
      <c r="C1943" s="43" t="s">
        <v>1624</v>
      </c>
      <c r="D1943" s="43">
        <v>1115170</v>
      </c>
      <c r="E1943" t="s">
        <v>293</v>
      </c>
      <c r="F1943" s="47" t="str">
        <f>+Centro_Cuenta8[[#This Row],[Codigo Centro Gestion]]&amp;" - "&amp;Centro_Cuenta8[[#This Row],[Nombre Centro Gestion]]</f>
        <v>10261204 - DS49 Valle Alto Placilla-Proyecto</v>
      </c>
      <c r="G1943" s="47" t="str">
        <f>+Centro_Cuenta8[[#This Row],[Código Cuenta Contable]]&amp;" - "&amp;Centro_Cuenta8[[#This Row],[Nombre de Cuenta Contable]]</f>
        <v>1115170 - Permisos Y Otros Gastos Municipales</v>
      </c>
      <c r="H1943" s="146" t="str">
        <f>+VLOOKUP(D1943,'3. Cuentas'!A:F,6,0)</f>
        <v>SI</v>
      </c>
    </row>
    <row r="1944" spans="1:8" x14ac:dyDescent="0.25">
      <c r="A1944" s="43">
        <v>10261204</v>
      </c>
      <c r="B1944" t="s">
        <v>1299</v>
      </c>
      <c r="C1944" s="43" t="s">
        <v>1624</v>
      </c>
      <c r="D1944" s="43">
        <v>1115240</v>
      </c>
      <c r="E1944" t="s">
        <v>294</v>
      </c>
      <c r="F1944" s="47" t="str">
        <f>+Centro_Cuenta8[[#This Row],[Codigo Centro Gestion]]&amp;" - "&amp;Centro_Cuenta8[[#This Row],[Nombre Centro Gestion]]</f>
        <v>10261204 - DS49 Valle Alto Placilla-Proyecto</v>
      </c>
      <c r="G1944" s="47" t="str">
        <f>+Centro_Cuenta8[[#This Row],[Código Cuenta Contable]]&amp;" - "&amp;Centro_Cuenta8[[#This Row],[Nombre de Cuenta Contable]]</f>
        <v>1115240 - Estudios Y Asesorias Técnicas</v>
      </c>
      <c r="H1944" s="146" t="str">
        <f>+VLOOKUP(D1944,'3. Cuentas'!A:F,6,0)</f>
        <v>SI</v>
      </c>
    </row>
    <row r="1945" spans="1:8" x14ac:dyDescent="0.25">
      <c r="A1945" s="43">
        <v>10261204</v>
      </c>
      <c r="B1945" t="s">
        <v>1299</v>
      </c>
      <c r="C1945" s="43" t="s">
        <v>1624</v>
      </c>
      <c r="D1945" s="43">
        <v>4203090</v>
      </c>
      <c r="E1945" t="s">
        <v>192</v>
      </c>
      <c r="F1945" s="47" t="str">
        <f>+Centro_Cuenta8[[#This Row],[Codigo Centro Gestion]]&amp;" - "&amp;Centro_Cuenta8[[#This Row],[Nombre Centro Gestion]]</f>
        <v>10261204 - DS49 Valle Alto Placilla-Proyecto</v>
      </c>
      <c r="G1945" s="47" t="str">
        <f>+Centro_Cuenta8[[#This Row],[Código Cuenta Contable]]&amp;" - "&amp;Centro_Cuenta8[[#This Row],[Nombre de Cuenta Contable]]</f>
        <v>4203090 - Gastos Legales Y Notariales Proyecto</v>
      </c>
      <c r="H1945" s="146" t="str">
        <f>+VLOOKUP(D1945,'3. Cuentas'!A:F,6,0)</f>
        <v>SI</v>
      </c>
    </row>
    <row r="1946" spans="1:8" x14ac:dyDescent="0.25">
      <c r="A1946" s="43">
        <v>10261204</v>
      </c>
      <c r="B1946" t="s">
        <v>1299</v>
      </c>
      <c r="C1946" s="43" t="s">
        <v>1624</v>
      </c>
      <c r="D1946" s="43">
        <v>4203140</v>
      </c>
      <c r="E1946" t="s">
        <v>109</v>
      </c>
      <c r="F1946" s="47" t="str">
        <f>+Centro_Cuenta8[[#This Row],[Codigo Centro Gestion]]&amp;" - "&amp;Centro_Cuenta8[[#This Row],[Nombre Centro Gestion]]</f>
        <v>10261204 - DS49 Valle Alto Placilla-Proyecto</v>
      </c>
      <c r="G1946" s="47" t="str">
        <f>+Centro_Cuenta8[[#This Row],[Código Cuenta Contable]]&amp;" - "&amp;Centro_Cuenta8[[#This Row],[Nombre de Cuenta Contable]]</f>
        <v>4203140 - Contribuciones</v>
      </c>
      <c r="H1946" s="146" t="str">
        <f>+VLOOKUP(D1946,'3. Cuentas'!A:F,6,0)</f>
        <v>SI</v>
      </c>
    </row>
    <row r="1947" spans="1:8" x14ac:dyDescent="0.25">
      <c r="A1947" s="43">
        <v>10261204</v>
      </c>
      <c r="B1947" t="s">
        <v>1299</v>
      </c>
      <c r="C1947" s="43" t="s">
        <v>1624</v>
      </c>
      <c r="D1947" s="43">
        <v>4203150</v>
      </c>
      <c r="E1947" t="s">
        <v>156</v>
      </c>
      <c r="F1947" s="47" t="str">
        <f>+Centro_Cuenta8[[#This Row],[Codigo Centro Gestion]]&amp;" - "&amp;Centro_Cuenta8[[#This Row],[Nombre Centro Gestion]]</f>
        <v>10261204 - DS49 Valle Alto Placilla-Proyecto</v>
      </c>
      <c r="G1947" s="47" t="str">
        <f>+Centro_Cuenta8[[#This Row],[Código Cuenta Contable]]&amp;" - "&amp;Centro_Cuenta8[[#This Row],[Nombre de Cuenta Contable]]</f>
        <v>4203150 - Gastos CBR</v>
      </c>
      <c r="H1947" s="146" t="str">
        <f>+VLOOKUP(D1947,'3. Cuentas'!A:F,6,0)</f>
        <v>SI</v>
      </c>
    </row>
    <row r="1948" spans="1:8" x14ac:dyDescent="0.25">
      <c r="A1948" s="43">
        <v>10261204</v>
      </c>
      <c r="B1948" t="s">
        <v>1299</v>
      </c>
      <c r="C1948" s="43" t="s">
        <v>1624</v>
      </c>
      <c r="D1948" s="43">
        <v>4203160</v>
      </c>
      <c r="E1948" t="s">
        <v>1639</v>
      </c>
      <c r="F1948" s="47" t="str">
        <f>+Centro_Cuenta8[[#This Row],[Codigo Centro Gestion]]&amp;" - "&amp;Centro_Cuenta8[[#This Row],[Nombre Centro Gestion]]</f>
        <v>10261204 - DS49 Valle Alto Placilla-Proyecto</v>
      </c>
      <c r="G1948" s="47" t="str">
        <f>+Centro_Cuenta8[[#This Row],[Código Cuenta Contable]]&amp;" - "&amp;Centro_Cuenta8[[#This Row],[Nombre de Cuenta Contable]]</f>
        <v>4203160 - PAPELERIA Y FOTOCOPIADO</v>
      </c>
      <c r="H1948" s="146" t="str">
        <f>+VLOOKUP(D1948,'3. Cuentas'!A:F,6,0)</f>
        <v>SI</v>
      </c>
    </row>
    <row r="1949" spans="1:8" x14ac:dyDescent="0.25">
      <c r="A1949" s="43">
        <v>10261204</v>
      </c>
      <c r="B1949" t="s">
        <v>1299</v>
      </c>
      <c r="C1949" s="43" t="s">
        <v>1624</v>
      </c>
      <c r="D1949" s="43">
        <v>4203180</v>
      </c>
      <c r="E1949" t="s">
        <v>1640</v>
      </c>
      <c r="F1949" s="47" t="str">
        <f>+Centro_Cuenta8[[#This Row],[Codigo Centro Gestion]]&amp;" - "&amp;Centro_Cuenta8[[#This Row],[Nombre Centro Gestion]]</f>
        <v>10261204 - DS49 Valle Alto Placilla-Proyecto</v>
      </c>
      <c r="G1949" s="47" t="str">
        <f>+Centro_Cuenta8[[#This Row],[Código Cuenta Contable]]&amp;" - "&amp;Centro_Cuenta8[[#This Row],[Nombre de Cuenta Contable]]</f>
        <v>4203180 - Otros Gastos y Aseso Proy</v>
      </c>
      <c r="H1949" s="146" t="str">
        <f>+VLOOKUP(D1949,'3. Cuentas'!A:F,6,0)</f>
        <v>SI</v>
      </c>
    </row>
    <row r="1950" spans="1:8" x14ac:dyDescent="0.25">
      <c r="A1950" s="43">
        <v>10261301</v>
      </c>
      <c r="B1950" t="s">
        <v>1300</v>
      </c>
      <c r="C1950" s="43" t="s">
        <v>1643</v>
      </c>
      <c r="D1950" s="43">
        <v>4203090</v>
      </c>
      <c r="E1950" t="s">
        <v>192</v>
      </c>
      <c r="F1950" s="47" t="str">
        <f>+Centro_Cuenta8[[#This Row],[Codigo Centro Gestion]]&amp;" - "&amp;Centro_Cuenta8[[#This Row],[Nombre Centro Gestion]]</f>
        <v>10261301 - DS49 Valle Alto Placilla-GAF</v>
      </c>
      <c r="G1950" s="47" t="str">
        <f>+Centro_Cuenta8[[#This Row],[Código Cuenta Contable]]&amp;" - "&amp;Centro_Cuenta8[[#This Row],[Nombre de Cuenta Contable]]</f>
        <v>4203090 - Gastos Legales Y Notariales Proyecto</v>
      </c>
      <c r="H1950" s="146" t="str">
        <f>+VLOOKUP(D1950,'3. Cuentas'!A:F,6,0)</f>
        <v>SI</v>
      </c>
    </row>
    <row r="1951" spans="1:8" x14ac:dyDescent="0.25">
      <c r="A1951" s="43">
        <v>10261301</v>
      </c>
      <c r="B1951" t="s">
        <v>1300</v>
      </c>
      <c r="C1951" s="43" t="s">
        <v>1643</v>
      </c>
      <c r="D1951" s="43">
        <v>4203140</v>
      </c>
      <c r="E1951" t="s">
        <v>109</v>
      </c>
      <c r="F1951" s="47" t="str">
        <f>+Centro_Cuenta8[[#This Row],[Codigo Centro Gestion]]&amp;" - "&amp;Centro_Cuenta8[[#This Row],[Nombre Centro Gestion]]</f>
        <v>10261301 - DS49 Valle Alto Placilla-GAF</v>
      </c>
      <c r="G1951" s="47" t="str">
        <f>+Centro_Cuenta8[[#This Row],[Código Cuenta Contable]]&amp;" - "&amp;Centro_Cuenta8[[#This Row],[Nombre de Cuenta Contable]]</f>
        <v>4203140 - Contribuciones</v>
      </c>
      <c r="H1951" s="146" t="str">
        <f>+VLOOKUP(D1951,'3. Cuentas'!A:F,6,0)</f>
        <v>SI</v>
      </c>
    </row>
    <row r="1952" spans="1:8" x14ac:dyDescent="0.25">
      <c r="A1952" s="43">
        <v>10261506</v>
      </c>
      <c r="B1952" t="s">
        <v>1302</v>
      </c>
      <c r="C1952" s="43" t="s">
        <v>200</v>
      </c>
      <c r="D1952" s="43">
        <v>1115100</v>
      </c>
      <c r="E1952" t="s">
        <v>292</v>
      </c>
      <c r="F1952" s="47" t="str">
        <f>+Centro_Cuenta8[[#This Row],[Codigo Centro Gestion]]&amp;" - "&amp;Centro_Cuenta8[[#This Row],[Nombre Centro Gestion]]</f>
        <v>10261506 - DS49 Valle Alto Placilla-Depto.Técnico</v>
      </c>
      <c r="G1952" s="47" t="str">
        <f>+Centro_Cuenta8[[#This Row],[Código Cuenta Contable]]&amp;" - "&amp;Centro_Cuenta8[[#This Row],[Nombre de Cuenta Contable]]</f>
        <v>1115100 - Proyectos Y Especialidades</v>
      </c>
      <c r="H1952" s="146" t="str">
        <f>+VLOOKUP(D1952,'3. Cuentas'!A:F,6,0)</f>
        <v>SI</v>
      </c>
    </row>
    <row r="1953" spans="1:8" x14ac:dyDescent="0.25">
      <c r="A1953" s="43">
        <v>10262102</v>
      </c>
      <c r="B1953" t="s">
        <v>1303</v>
      </c>
      <c r="C1953" s="43" t="s">
        <v>1617</v>
      </c>
      <c r="D1953" s="43">
        <v>4204010</v>
      </c>
      <c r="E1953" t="s">
        <v>313</v>
      </c>
      <c r="F1953" s="47" t="str">
        <f>+Centro_Cuenta8[[#This Row],[Codigo Centro Gestion]]&amp;" - "&amp;Centro_Cuenta8[[#This Row],[Nombre Centro Gestion]]</f>
        <v>10262102 - Alto Marañon 3-Marketing</v>
      </c>
      <c r="G1953" s="47" t="str">
        <f>+Centro_Cuenta8[[#This Row],[Código Cuenta Contable]]&amp;" - "&amp;Centro_Cuenta8[[#This Row],[Nombre de Cuenta Contable]]</f>
        <v>4204010 - Publicidad Punto Venta</v>
      </c>
      <c r="H1953" s="146" t="str">
        <f>+VLOOKUP(D1953,'3. Cuentas'!A:F,6,0)</f>
        <v>SI</v>
      </c>
    </row>
    <row r="1954" spans="1:8" x14ac:dyDescent="0.25">
      <c r="A1954" s="43">
        <v>10262102</v>
      </c>
      <c r="B1954" t="s">
        <v>1303</v>
      </c>
      <c r="C1954" s="43" t="s">
        <v>1617</v>
      </c>
      <c r="D1954" s="43">
        <v>4204021</v>
      </c>
      <c r="E1954" t="s">
        <v>329</v>
      </c>
      <c r="F1954" s="47" t="str">
        <f>+Centro_Cuenta8[[#This Row],[Codigo Centro Gestion]]&amp;" - "&amp;Centro_Cuenta8[[#This Row],[Nombre Centro Gestion]]</f>
        <v>10262102 - Alto Marañon 3-Marketing</v>
      </c>
      <c r="G1954" s="47" t="str">
        <f>+Centro_Cuenta8[[#This Row],[Código Cuenta Contable]]&amp;" - "&amp;Centro_Cuenta8[[#This Row],[Nombre de Cuenta Contable]]</f>
        <v>4204021 - Publicidad Ferias Y Eventos</v>
      </c>
      <c r="H1954" s="146" t="str">
        <f>+VLOOKUP(D1954,'3. Cuentas'!A:F,6,0)</f>
        <v>SI</v>
      </c>
    </row>
    <row r="1955" spans="1:8" x14ac:dyDescent="0.25">
      <c r="A1955" s="43">
        <v>10262103</v>
      </c>
      <c r="B1955" t="s">
        <v>1304</v>
      </c>
      <c r="C1955" s="43" t="s">
        <v>1618</v>
      </c>
      <c r="D1955" s="43">
        <v>4203060</v>
      </c>
      <c r="E1955" t="s">
        <v>321</v>
      </c>
      <c r="F1955" s="47" t="str">
        <f>+Centro_Cuenta8[[#This Row],[Codigo Centro Gestion]]&amp;" - "&amp;Centro_Cuenta8[[#This Row],[Nombre Centro Gestion]]</f>
        <v>10262103 - Alto Marañon 3-Operaciones</v>
      </c>
      <c r="G1955" s="47" t="str">
        <f>+Centro_Cuenta8[[#This Row],[Código Cuenta Contable]]&amp;" - "&amp;Centro_Cuenta8[[#This Row],[Nombre de Cuenta Contable]]</f>
        <v>4203060 - Gastos Operacionales De Clientes</v>
      </c>
      <c r="H1955" s="146" t="str">
        <f>+VLOOKUP(D1955,'3. Cuentas'!A:F,6,0)</f>
        <v>SI</v>
      </c>
    </row>
    <row r="1956" spans="1:8" x14ac:dyDescent="0.25">
      <c r="A1956" s="43">
        <v>10262103</v>
      </c>
      <c r="B1956" t="s">
        <v>1304</v>
      </c>
      <c r="C1956" s="43" t="s">
        <v>1618</v>
      </c>
      <c r="D1956" s="43">
        <v>4203090</v>
      </c>
      <c r="E1956" t="s">
        <v>192</v>
      </c>
      <c r="F1956" s="47" t="str">
        <f>+Centro_Cuenta8[[#This Row],[Codigo Centro Gestion]]&amp;" - "&amp;Centro_Cuenta8[[#This Row],[Nombre Centro Gestion]]</f>
        <v>10262103 - Alto Marañon 3-Operaciones</v>
      </c>
      <c r="G1956" s="47" t="str">
        <f>+Centro_Cuenta8[[#This Row],[Código Cuenta Contable]]&amp;" - "&amp;Centro_Cuenta8[[#This Row],[Nombre de Cuenta Contable]]</f>
        <v>4203090 - Gastos Legales Y Notariales Proyecto</v>
      </c>
      <c r="H1956" s="146" t="str">
        <f>+VLOOKUP(D1956,'3. Cuentas'!A:F,6,0)</f>
        <v>SI</v>
      </c>
    </row>
    <row r="1957" spans="1:8" x14ac:dyDescent="0.25">
      <c r="A1957" s="43">
        <v>10262104</v>
      </c>
      <c r="B1957" t="s">
        <v>1305</v>
      </c>
      <c r="C1957" s="43" t="s">
        <v>90</v>
      </c>
      <c r="D1957" s="43">
        <v>1110040</v>
      </c>
      <c r="E1957" t="s">
        <v>1505</v>
      </c>
      <c r="F1957" s="47" t="str">
        <f>+Centro_Cuenta8[[#This Row],[Codigo Centro Gestion]]&amp;" - "&amp;Centro_Cuenta8[[#This Row],[Nombre Centro Gestion]]</f>
        <v>10262104 - Alto Marañon 3-Ventas</v>
      </c>
      <c r="G1957" s="47" t="str">
        <f>+Centro_Cuenta8[[#This Row],[Código Cuenta Contable]]&amp;" - "&amp;Centro_Cuenta8[[#This Row],[Nombre de Cuenta Contable]]</f>
        <v>1110040 - Garantía Pagadas</v>
      </c>
      <c r="H1957" s="146" t="str">
        <f>+VLOOKUP(D1957,'3. Cuentas'!A:F,6,0)</f>
        <v>SI</v>
      </c>
    </row>
    <row r="1958" spans="1:8" x14ac:dyDescent="0.25">
      <c r="A1958" s="43">
        <v>10262104</v>
      </c>
      <c r="B1958" t="s">
        <v>1305</v>
      </c>
      <c r="C1958" s="43" t="s">
        <v>90</v>
      </c>
      <c r="D1958" s="43">
        <v>4202003</v>
      </c>
      <c r="E1958" t="s">
        <v>106</v>
      </c>
      <c r="F1958" s="47" t="str">
        <f>+Centro_Cuenta8[[#This Row],[Codigo Centro Gestion]]&amp;" - "&amp;Centro_Cuenta8[[#This Row],[Nombre Centro Gestion]]</f>
        <v>10262104 - Alto Marañon 3-Ventas</v>
      </c>
      <c r="G1958" s="47" t="str">
        <f>+Centro_Cuenta8[[#This Row],[Código Cuenta Contable]]&amp;" - "&amp;Centro_Cuenta8[[#This Row],[Nombre de Cuenta Contable]]</f>
        <v>4202003 - Serv.Basic.Luz.Agua.Tel Of.C</v>
      </c>
      <c r="H1958" s="146" t="str">
        <f>+VLOOKUP(D1958,'3. Cuentas'!A:F,6,0)</f>
        <v>SI</v>
      </c>
    </row>
    <row r="1959" spans="1:8" x14ac:dyDescent="0.25">
      <c r="A1959" s="43">
        <v>10262104</v>
      </c>
      <c r="B1959" t="s">
        <v>1305</v>
      </c>
      <c r="C1959" s="43" t="s">
        <v>90</v>
      </c>
      <c r="D1959" s="43">
        <v>4202010</v>
      </c>
      <c r="E1959" t="s">
        <v>87</v>
      </c>
      <c r="F1959" s="47" t="str">
        <f>+Centro_Cuenta8[[#This Row],[Codigo Centro Gestion]]&amp;" - "&amp;Centro_Cuenta8[[#This Row],[Nombre Centro Gestion]]</f>
        <v>10262104 - Alto Marañon 3-Ventas</v>
      </c>
      <c r="G1959" s="47" t="str">
        <f>+Centro_Cuenta8[[#This Row],[Código Cuenta Contable]]&amp;" - "&amp;Centro_Cuenta8[[#This Row],[Nombre de Cuenta Contable]]</f>
        <v>4202010 - Artic. Ofic. Fotocop.Papelería</v>
      </c>
      <c r="H1959" s="146" t="str">
        <f>+VLOOKUP(D1959,'3. Cuentas'!A:F,6,0)</f>
        <v>SI</v>
      </c>
    </row>
    <row r="1960" spans="1:8" x14ac:dyDescent="0.25">
      <c r="A1960" s="43">
        <v>10262104</v>
      </c>
      <c r="B1960" t="s">
        <v>1305</v>
      </c>
      <c r="C1960" s="43" t="s">
        <v>90</v>
      </c>
      <c r="D1960" s="43">
        <v>4202019</v>
      </c>
      <c r="E1960" t="s">
        <v>81</v>
      </c>
      <c r="F1960" s="47" t="str">
        <f>+Centro_Cuenta8[[#This Row],[Codigo Centro Gestion]]&amp;" - "&amp;Centro_Cuenta8[[#This Row],[Nombre Centro Gestion]]</f>
        <v>10262104 - Alto Marañon 3-Ventas</v>
      </c>
      <c r="G1960" s="47" t="str">
        <f>+Centro_Cuenta8[[#This Row],[Código Cuenta Contable]]&amp;" - "&amp;Centro_Cuenta8[[#This Row],[Nombre de Cuenta Contable]]</f>
        <v>4202019 - Gasto General Oficina</v>
      </c>
      <c r="H1960" s="146" t="str">
        <f>+VLOOKUP(D1960,'3. Cuentas'!A:F,6,0)</f>
        <v>SI</v>
      </c>
    </row>
    <row r="1961" spans="1:8" x14ac:dyDescent="0.25">
      <c r="A1961" s="43">
        <v>10262104</v>
      </c>
      <c r="B1961" t="s">
        <v>1305</v>
      </c>
      <c r="C1961" s="43" t="s">
        <v>90</v>
      </c>
      <c r="D1961" s="43">
        <v>4202023</v>
      </c>
      <c r="E1961" t="s">
        <v>82</v>
      </c>
      <c r="F1961" s="47" t="str">
        <f>+Centro_Cuenta8[[#This Row],[Codigo Centro Gestion]]&amp;" - "&amp;Centro_Cuenta8[[#This Row],[Nombre Centro Gestion]]</f>
        <v>10262104 - Alto Marañon 3-Ventas</v>
      </c>
      <c r="G1961" s="47" t="str">
        <f>+Centro_Cuenta8[[#This Row],[Código Cuenta Contable]]&amp;" - "&amp;Centro_Cuenta8[[#This Row],[Nombre de Cuenta Contable]]</f>
        <v>4202023 - Honorarios Por Asesorías</v>
      </c>
      <c r="H1961" s="146" t="str">
        <f>+VLOOKUP(D1961,'3. Cuentas'!A:F,6,0)</f>
        <v>SI</v>
      </c>
    </row>
    <row r="1962" spans="1:8" x14ac:dyDescent="0.25">
      <c r="A1962" s="43">
        <v>10262104</v>
      </c>
      <c r="B1962" t="s">
        <v>1305</v>
      </c>
      <c r="C1962" s="43" t="s">
        <v>90</v>
      </c>
      <c r="D1962" s="43">
        <v>4202029</v>
      </c>
      <c r="E1962" t="s">
        <v>83</v>
      </c>
      <c r="F1962" s="47" t="str">
        <f>+Centro_Cuenta8[[#This Row],[Codigo Centro Gestion]]&amp;" - "&amp;Centro_Cuenta8[[#This Row],[Nombre Centro Gestion]]</f>
        <v>10262104 - Alto Marañon 3-Ventas</v>
      </c>
      <c r="G1962" s="47" t="str">
        <f>+Centro_Cuenta8[[#This Row],[Código Cuenta Contable]]&amp;" - "&amp;Centro_Cuenta8[[#This Row],[Nombre de Cuenta Contable]]</f>
        <v>4202029 - Insumos Y Gastos Informáticos</v>
      </c>
      <c r="H1962" s="146" t="str">
        <f>+VLOOKUP(D1962,'3. Cuentas'!A:F,6,0)</f>
        <v>SI</v>
      </c>
    </row>
    <row r="1963" spans="1:8" x14ac:dyDescent="0.25">
      <c r="A1963" s="43">
        <v>10262104</v>
      </c>
      <c r="B1963" t="s">
        <v>1305</v>
      </c>
      <c r="C1963" s="43" t="s">
        <v>90</v>
      </c>
      <c r="D1963" s="43">
        <v>4204021</v>
      </c>
      <c r="E1963" t="s">
        <v>329</v>
      </c>
      <c r="F1963" s="47" t="str">
        <f>+Centro_Cuenta8[[#This Row],[Codigo Centro Gestion]]&amp;" - "&amp;Centro_Cuenta8[[#This Row],[Nombre Centro Gestion]]</f>
        <v>10262104 - Alto Marañon 3-Ventas</v>
      </c>
      <c r="G1963" s="47" t="str">
        <f>+Centro_Cuenta8[[#This Row],[Código Cuenta Contable]]&amp;" - "&amp;Centro_Cuenta8[[#This Row],[Nombre de Cuenta Contable]]</f>
        <v>4204021 - Publicidad Ferias Y Eventos</v>
      </c>
      <c r="H1963" s="146" t="str">
        <f>+VLOOKUP(D1963,'3. Cuentas'!A:F,6,0)</f>
        <v>SI</v>
      </c>
    </row>
    <row r="1964" spans="1:8" x14ac:dyDescent="0.25">
      <c r="A1964" s="43">
        <v>10262105</v>
      </c>
      <c r="B1964" t="s">
        <v>1306</v>
      </c>
      <c r="C1964" s="43" t="s">
        <v>1622</v>
      </c>
      <c r="D1964" s="43">
        <v>4203020</v>
      </c>
      <c r="E1964" t="s">
        <v>295</v>
      </c>
      <c r="F1964" s="47" t="str">
        <f>+Centro_Cuenta8[[#This Row],[Codigo Centro Gestion]]&amp;" - "&amp;Centro_Cuenta8[[#This Row],[Nombre Centro Gestion]]</f>
        <v>10262105 - Alto Marañon 3-Clientes</v>
      </c>
      <c r="G1964" s="47" t="str">
        <f>+Centro_Cuenta8[[#This Row],[Código Cuenta Contable]]&amp;" - "&amp;Centro_Cuenta8[[#This Row],[Nombre de Cuenta Contable]]</f>
        <v>4203020 - Mant. y Consum. Viv Stock</v>
      </c>
      <c r="H1964" s="146" t="str">
        <f>+VLOOKUP(D1964,'3. Cuentas'!A:F,6,0)</f>
        <v>SI</v>
      </c>
    </row>
    <row r="1965" spans="1:8" x14ac:dyDescent="0.25">
      <c r="A1965" s="43">
        <v>10262105</v>
      </c>
      <c r="B1965" t="s">
        <v>1306</v>
      </c>
      <c r="C1965" s="43" t="s">
        <v>1622</v>
      </c>
      <c r="D1965" s="43">
        <v>4203120</v>
      </c>
      <c r="E1965" t="s">
        <v>108</v>
      </c>
      <c r="F1965" s="47" t="str">
        <f>+Centro_Cuenta8[[#This Row],[Codigo Centro Gestion]]&amp;" - "&amp;Centro_Cuenta8[[#This Row],[Nombre Centro Gestion]]</f>
        <v>10262105 - Alto Marañon 3-Clientes</v>
      </c>
      <c r="G1965" s="47" t="str">
        <f>+Centro_Cuenta8[[#This Row],[Código Cuenta Contable]]&amp;" - "&amp;Centro_Cuenta8[[#This Row],[Nombre de Cuenta Contable]]</f>
        <v>4203120 - Gastos Comunes</v>
      </c>
      <c r="H1965" s="146" t="str">
        <f>+VLOOKUP(D1965,'3. Cuentas'!A:F,6,0)</f>
        <v>SI</v>
      </c>
    </row>
    <row r="1966" spans="1:8" x14ac:dyDescent="0.25">
      <c r="A1966" s="43">
        <v>10262105</v>
      </c>
      <c r="B1966" t="s">
        <v>1306</v>
      </c>
      <c r="C1966" s="43" t="s">
        <v>1622</v>
      </c>
      <c r="D1966" s="43">
        <v>4203140</v>
      </c>
      <c r="E1966" t="s">
        <v>109</v>
      </c>
      <c r="F1966" s="47" t="str">
        <f>+Centro_Cuenta8[[#This Row],[Codigo Centro Gestion]]&amp;" - "&amp;Centro_Cuenta8[[#This Row],[Nombre Centro Gestion]]</f>
        <v>10262105 - Alto Marañon 3-Clientes</v>
      </c>
      <c r="G1966" s="47" t="str">
        <f>+Centro_Cuenta8[[#This Row],[Código Cuenta Contable]]&amp;" - "&amp;Centro_Cuenta8[[#This Row],[Nombre de Cuenta Contable]]</f>
        <v>4203140 - Contribuciones</v>
      </c>
      <c r="H1966" s="146" t="str">
        <f>+VLOOKUP(D1966,'3. Cuentas'!A:F,6,0)</f>
        <v>SI</v>
      </c>
    </row>
    <row r="1967" spans="1:8" x14ac:dyDescent="0.25">
      <c r="A1967" s="43">
        <v>10262204</v>
      </c>
      <c r="B1967" t="s">
        <v>1307</v>
      </c>
      <c r="C1967" s="43" t="s">
        <v>1624</v>
      </c>
      <c r="D1967" s="43">
        <v>1103045</v>
      </c>
      <c r="E1967" t="s">
        <v>323</v>
      </c>
      <c r="F1967" s="47" t="str">
        <f>+Centro_Cuenta8[[#This Row],[Codigo Centro Gestion]]&amp;" - "&amp;Centro_Cuenta8[[#This Row],[Nombre Centro Gestion]]</f>
        <v>10262204 - Alto Marañon 3-Proyecto</v>
      </c>
      <c r="G1967" s="47" t="str">
        <f>+Centro_Cuenta8[[#This Row],[Código Cuenta Contable]]&amp;" - "&amp;Centro_Cuenta8[[#This Row],[Nombre de Cuenta Contable]]</f>
        <v>1103045 - Aportes reembolsables (electricidad y agua)</v>
      </c>
      <c r="H1967" s="146" t="str">
        <f>+VLOOKUP(D1967,'3. Cuentas'!A:F,6,0)</f>
        <v>SI</v>
      </c>
    </row>
    <row r="1968" spans="1:8" x14ac:dyDescent="0.25">
      <c r="A1968" s="43">
        <v>10262204</v>
      </c>
      <c r="B1968" t="s">
        <v>1307</v>
      </c>
      <c r="C1968" s="43" t="s">
        <v>1624</v>
      </c>
      <c r="D1968" s="43">
        <v>1109020</v>
      </c>
      <c r="E1968" t="s">
        <v>302</v>
      </c>
      <c r="F1968" s="47" t="str">
        <f>+Centro_Cuenta8[[#This Row],[Codigo Centro Gestion]]&amp;" - "&amp;Centro_Cuenta8[[#This Row],[Nombre Centro Gestion]]</f>
        <v>10262204 - Alto Marañon 3-Proyecto</v>
      </c>
      <c r="G1968" s="47" t="str">
        <f>+Centro_Cuenta8[[#This Row],[Código Cuenta Contable]]&amp;" - "&amp;Centro_Cuenta8[[#This Row],[Nombre de Cuenta Contable]]</f>
        <v>1109020 - Mobiliario</v>
      </c>
      <c r="H1968" s="146" t="str">
        <f>+VLOOKUP(D1968,'3. Cuentas'!A:F,6,0)</f>
        <v>SI</v>
      </c>
    </row>
    <row r="1969" spans="1:8" x14ac:dyDescent="0.25">
      <c r="A1969" s="43">
        <v>10262204</v>
      </c>
      <c r="B1969" t="s">
        <v>1307</v>
      </c>
      <c r="C1969" s="43" t="s">
        <v>1624</v>
      </c>
      <c r="D1969" s="43">
        <v>1110040</v>
      </c>
      <c r="E1969" t="s">
        <v>1505</v>
      </c>
      <c r="F1969" s="47" t="str">
        <f>+Centro_Cuenta8[[#This Row],[Codigo Centro Gestion]]&amp;" - "&amp;Centro_Cuenta8[[#This Row],[Nombre Centro Gestion]]</f>
        <v>10262204 - Alto Marañon 3-Proyecto</v>
      </c>
      <c r="G1969" s="47" t="str">
        <f>+Centro_Cuenta8[[#This Row],[Código Cuenta Contable]]&amp;" - "&amp;Centro_Cuenta8[[#This Row],[Nombre de Cuenta Contable]]</f>
        <v>1110040 - Garantía Pagadas</v>
      </c>
      <c r="H1969" s="146" t="str">
        <f>+VLOOKUP(D1969,'3. Cuentas'!A:F,6,0)</f>
        <v>SI</v>
      </c>
    </row>
    <row r="1970" spans="1:8" x14ac:dyDescent="0.25">
      <c r="A1970" s="43">
        <v>10262204</v>
      </c>
      <c r="B1970" t="s">
        <v>1307</v>
      </c>
      <c r="C1970" s="43" t="s">
        <v>1624</v>
      </c>
      <c r="D1970" s="43">
        <v>1115040</v>
      </c>
      <c r="E1970" t="s">
        <v>291</v>
      </c>
      <c r="F1970" s="47" t="str">
        <f>+Centro_Cuenta8[[#This Row],[Codigo Centro Gestion]]&amp;" - "&amp;Centro_Cuenta8[[#This Row],[Nombre Centro Gestion]]</f>
        <v>10262204 - Alto Marañon 3-Proyecto</v>
      </c>
      <c r="G1970" s="47" t="str">
        <f>+Centro_Cuenta8[[#This Row],[Código Cuenta Contable]]&amp;" - "&amp;Centro_Cuenta8[[#This Row],[Nombre de Cuenta Contable]]</f>
        <v>1115040 - Saneamiento De Terreno</v>
      </c>
      <c r="H1970" s="146" t="str">
        <f>+VLOOKUP(D1970,'3. Cuentas'!A:F,6,0)</f>
        <v>SI</v>
      </c>
    </row>
    <row r="1971" spans="1:8" x14ac:dyDescent="0.25">
      <c r="A1971" s="43">
        <v>10262204</v>
      </c>
      <c r="B1971" t="s">
        <v>1307</v>
      </c>
      <c r="C1971" s="43" t="s">
        <v>1624</v>
      </c>
      <c r="D1971" s="43">
        <v>1115050</v>
      </c>
      <c r="E1971" t="s">
        <v>1628</v>
      </c>
      <c r="F1971" s="47" t="str">
        <f>+Centro_Cuenta8[[#This Row],[Codigo Centro Gestion]]&amp;" - "&amp;Centro_Cuenta8[[#This Row],[Nombre Centro Gestion]]</f>
        <v>10262204 - Alto Marañon 3-Proyecto</v>
      </c>
      <c r="G1971" s="47" t="str">
        <f>+Centro_Cuenta8[[#This Row],[Código Cuenta Contable]]&amp;" - "&amp;Centro_Cuenta8[[#This Row],[Nombre de Cuenta Contable]]</f>
        <v>1115050 - Demolición</v>
      </c>
      <c r="H1971" s="146" t="str">
        <f>+VLOOKUP(D1971,'3. Cuentas'!A:F,6,0)</f>
        <v>SI</v>
      </c>
    </row>
    <row r="1972" spans="1:8" x14ac:dyDescent="0.25">
      <c r="A1972" s="43">
        <v>10262204</v>
      </c>
      <c r="B1972" t="s">
        <v>1307</v>
      </c>
      <c r="C1972" s="43" t="s">
        <v>1624</v>
      </c>
      <c r="D1972" s="43">
        <v>1115100</v>
      </c>
      <c r="E1972" t="s">
        <v>292</v>
      </c>
      <c r="F1972" s="47" t="str">
        <f>+Centro_Cuenta8[[#This Row],[Codigo Centro Gestion]]&amp;" - "&amp;Centro_Cuenta8[[#This Row],[Nombre Centro Gestion]]</f>
        <v>10262204 - Alto Marañon 3-Proyecto</v>
      </c>
      <c r="G1972" s="47" t="str">
        <f>+Centro_Cuenta8[[#This Row],[Código Cuenta Contable]]&amp;" - "&amp;Centro_Cuenta8[[#This Row],[Nombre de Cuenta Contable]]</f>
        <v>1115100 - Proyectos Y Especialidades</v>
      </c>
      <c r="H1972" s="146" t="str">
        <f>+VLOOKUP(D1972,'3. Cuentas'!A:F,6,0)</f>
        <v>SI</v>
      </c>
    </row>
    <row r="1973" spans="1:8" x14ac:dyDescent="0.25">
      <c r="A1973" s="43">
        <v>10262204</v>
      </c>
      <c r="B1973" t="s">
        <v>1307</v>
      </c>
      <c r="C1973" s="43" t="s">
        <v>1624</v>
      </c>
      <c r="D1973" s="43">
        <v>1115120</v>
      </c>
      <c r="E1973" t="s">
        <v>1633</v>
      </c>
      <c r="F1973" s="47" t="str">
        <f>+Centro_Cuenta8[[#This Row],[Codigo Centro Gestion]]&amp;" - "&amp;Centro_Cuenta8[[#This Row],[Nombre Centro Gestion]]</f>
        <v>10262204 - Alto Marañon 3-Proyecto</v>
      </c>
      <c r="G1973" s="47" t="str">
        <f>+Centro_Cuenta8[[#This Row],[Código Cuenta Contable]]&amp;" - "&amp;Centro_Cuenta8[[#This Row],[Nombre de Cuenta Contable]]</f>
        <v>1115120 - Instalación Empalmes</v>
      </c>
      <c r="H1973" s="146" t="str">
        <f>+VLOOKUP(D1973,'3. Cuentas'!A:F,6,0)</f>
        <v>SI</v>
      </c>
    </row>
    <row r="1974" spans="1:8" x14ac:dyDescent="0.25">
      <c r="A1974" s="43">
        <v>10262204</v>
      </c>
      <c r="B1974" t="s">
        <v>1307</v>
      </c>
      <c r="C1974" s="43" t="s">
        <v>1624</v>
      </c>
      <c r="D1974" s="43">
        <v>1115170</v>
      </c>
      <c r="E1974" t="s">
        <v>293</v>
      </c>
      <c r="F1974" s="47" t="str">
        <f>+Centro_Cuenta8[[#This Row],[Codigo Centro Gestion]]&amp;" - "&amp;Centro_Cuenta8[[#This Row],[Nombre Centro Gestion]]</f>
        <v>10262204 - Alto Marañon 3-Proyecto</v>
      </c>
      <c r="G1974" s="47" t="str">
        <f>+Centro_Cuenta8[[#This Row],[Código Cuenta Contable]]&amp;" - "&amp;Centro_Cuenta8[[#This Row],[Nombre de Cuenta Contable]]</f>
        <v>1115170 - Permisos Y Otros Gastos Municipales</v>
      </c>
      <c r="H1974" s="146" t="str">
        <f>+VLOOKUP(D1974,'3. Cuentas'!A:F,6,0)</f>
        <v>SI</v>
      </c>
    </row>
    <row r="1975" spans="1:8" x14ac:dyDescent="0.25">
      <c r="A1975" s="43">
        <v>10262204</v>
      </c>
      <c r="B1975" t="s">
        <v>1307</v>
      </c>
      <c r="C1975" s="43" t="s">
        <v>1624</v>
      </c>
      <c r="D1975" s="43">
        <v>1115240</v>
      </c>
      <c r="E1975" t="s">
        <v>294</v>
      </c>
      <c r="F1975" s="47" t="str">
        <f>+Centro_Cuenta8[[#This Row],[Codigo Centro Gestion]]&amp;" - "&amp;Centro_Cuenta8[[#This Row],[Nombre Centro Gestion]]</f>
        <v>10262204 - Alto Marañon 3-Proyecto</v>
      </c>
      <c r="G1975" s="47" t="str">
        <f>+Centro_Cuenta8[[#This Row],[Código Cuenta Contable]]&amp;" - "&amp;Centro_Cuenta8[[#This Row],[Nombre de Cuenta Contable]]</f>
        <v>1115240 - Estudios Y Asesorias Técnicas</v>
      </c>
      <c r="H1975" s="146" t="str">
        <f>+VLOOKUP(D1975,'3. Cuentas'!A:F,6,0)</f>
        <v>SI</v>
      </c>
    </row>
    <row r="1976" spans="1:8" x14ac:dyDescent="0.25">
      <c r="A1976" s="43">
        <v>10262204</v>
      </c>
      <c r="B1976" t="s">
        <v>1307</v>
      </c>
      <c r="C1976" s="43" t="s">
        <v>1624</v>
      </c>
      <c r="D1976" s="43">
        <v>4203090</v>
      </c>
      <c r="E1976" t="s">
        <v>192</v>
      </c>
      <c r="F1976" s="47" t="str">
        <f>+Centro_Cuenta8[[#This Row],[Codigo Centro Gestion]]&amp;" - "&amp;Centro_Cuenta8[[#This Row],[Nombre Centro Gestion]]</f>
        <v>10262204 - Alto Marañon 3-Proyecto</v>
      </c>
      <c r="G1976" s="47" t="str">
        <f>+Centro_Cuenta8[[#This Row],[Código Cuenta Contable]]&amp;" - "&amp;Centro_Cuenta8[[#This Row],[Nombre de Cuenta Contable]]</f>
        <v>4203090 - Gastos Legales Y Notariales Proyecto</v>
      </c>
      <c r="H1976" s="146" t="str">
        <f>+VLOOKUP(D1976,'3. Cuentas'!A:F,6,0)</f>
        <v>SI</v>
      </c>
    </row>
    <row r="1977" spans="1:8" x14ac:dyDescent="0.25">
      <c r="A1977" s="43">
        <v>10262204</v>
      </c>
      <c r="B1977" t="s">
        <v>1307</v>
      </c>
      <c r="C1977" s="43" t="s">
        <v>1624</v>
      </c>
      <c r="D1977" s="43">
        <v>4203140</v>
      </c>
      <c r="E1977" t="s">
        <v>109</v>
      </c>
      <c r="F1977" s="47" t="str">
        <f>+Centro_Cuenta8[[#This Row],[Codigo Centro Gestion]]&amp;" - "&amp;Centro_Cuenta8[[#This Row],[Nombre Centro Gestion]]</f>
        <v>10262204 - Alto Marañon 3-Proyecto</v>
      </c>
      <c r="G1977" s="47" t="str">
        <f>+Centro_Cuenta8[[#This Row],[Código Cuenta Contable]]&amp;" - "&amp;Centro_Cuenta8[[#This Row],[Nombre de Cuenta Contable]]</f>
        <v>4203140 - Contribuciones</v>
      </c>
      <c r="H1977" s="146" t="str">
        <f>+VLOOKUP(D1977,'3. Cuentas'!A:F,6,0)</f>
        <v>SI</v>
      </c>
    </row>
    <row r="1978" spans="1:8" x14ac:dyDescent="0.25">
      <c r="A1978" s="43">
        <v>10262204</v>
      </c>
      <c r="B1978" t="s">
        <v>1307</v>
      </c>
      <c r="C1978" s="43" t="s">
        <v>1624</v>
      </c>
      <c r="D1978" s="43">
        <v>4203150</v>
      </c>
      <c r="E1978" t="s">
        <v>156</v>
      </c>
      <c r="F1978" s="47" t="str">
        <f>+Centro_Cuenta8[[#This Row],[Codigo Centro Gestion]]&amp;" - "&amp;Centro_Cuenta8[[#This Row],[Nombre Centro Gestion]]</f>
        <v>10262204 - Alto Marañon 3-Proyecto</v>
      </c>
      <c r="G1978" s="47" t="str">
        <f>+Centro_Cuenta8[[#This Row],[Código Cuenta Contable]]&amp;" - "&amp;Centro_Cuenta8[[#This Row],[Nombre de Cuenta Contable]]</f>
        <v>4203150 - Gastos CBR</v>
      </c>
      <c r="H1978" s="146" t="str">
        <f>+VLOOKUP(D1978,'3. Cuentas'!A:F,6,0)</f>
        <v>SI</v>
      </c>
    </row>
    <row r="1979" spans="1:8" x14ac:dyDescent="0.25">
      <c r="A1979" s="43">
        <v>10262204</v>
      </c>
      <c r="B1979" t="s">
        <v>1307</v>
      </c>
      <c r="C1979" s="43" t="s">
        <v>1624</v>
      </c>
      <c r="D1979" s="43">
        <v>4203160</v>
      </c>
      <c r="E1979" t="s">
        <v>1639</v>
      </c>
      <c r="F1979" s="47" t="str">
        <f>+Centro_Cuenta8[[#This Row],[Codigo Centro Gestion]]&amp;" - "&amp;Centro_Cuenta8[[#This Row],[Nombre Centro Gestion]]</f>
        <v>10262204 - Alto Marañon 3-Proyecto</v>
      </c>
      <c r="G1979" s="47" t="str">
        <f>+Centro_Cuenta8[[#This Row],[Código Cuenta Contable]]&amp;" - "&amp;Centro_Cuenta8[[#This Row],[Nombre de Cuenta Contable]]</f>
        <v>4203160 - PAPELERIA Y FOTOCOPIADO</v>
      </c>
      <c r="H1979" s="146" t="str">
        <f>+VLOOKUP(D1979,'3. Cuentas'!A:F,6,0)</f>
        <v>SI</v>
      </c>
    </row>
    <row r="1980" spans="1:8" x14ac:dyDescent="0.25">
      <c r="A1980" s="43">
        <v>10262204</v>
      </c>
      <c r="B1980" t="s">
        <v>1307</v>
      </c>
      <c r="C1980" s="43" t="s">
        <v>1624</v>
      </c>
      <c r="D1980" s="43">
        <v>4203180</v>
      </c>
      <c r="E1980" t="s">
        <v>1640</v>
      </c>
      <c r="F1980" s="47" t="str">
        <f>+Centro_Cuenta8[[#This Row],[Codigo Centro Gestion]]&amp;" - "&amp;Centro_Cuenta8[[#This Row],[Nombre Centro Gestion]]</f>
        <v>10262204 - Alto Marañon 3-Proyecto</v>
      </c>
      <c r="G1980" s="47" t="str">
        <f>+Centro_Cuenta8[[#This Row],[Código Cuenta Contable]]&amp;" - "&amp;Centro_Cuenta8[[#This Row],[Nombre de Cuenta Contable]]</f>
        <v>4203180 - Otros Gastos y Aseso Proy</v>
      </c>
      <c r="H1980" s="146" t="str">
        <f>+VLOOKUP(D1980,'3. Cuentas'!A:F,6,0)</f>
        <v>SI</v>
      </c>
    </row>
    <row r="1981" spans="1:8" x14ac:dyDescent="0.25">
      <c r="A1981" s="43">
        <v>10262301</v>
      </c>
      <c r="B1981" t="s">
        <v>1308</v>
      </c>
      <c r="C1981" s="43" t="s">
        <v>1643</v>
      </c>
      <c r="D1981" s="43">
        <v>4203090</v>
      </c>
      <c r="E1981" t="s">
        <v>192</v>
      </c>
      <c r="F1981" s="47" t="str">
        <f>+Centro_Cuenta8[[#This Row],[Codigo Centro Gestion]]&amp;" - "&amp;Centro_Cuenta8[[#This Row],[Nombre Centro Gestion]]</f>
        <v>10262301 - Alto Marañon 3-GAF</v>
      </c>
      <c r="G1981" s="47" t="str">
        <f>+Centro_Cuenta8[[#This Row],[Código Cuenta Contable]]&amp;" - "&amp;Centro_Cuenta8[[#This Row],[Nombre de Cuenta Contable]]</f>
        <v>4203090 - Gastos Legales Y Notariales Proyecto</v>
      </c>
      <c r="H1981" s="146" t="str">
        <f>+VLOOKUP(D1981,'3. Cuentas'!A:F,6,0)</f>
        <v>SI</v>
      </c>
    </row>
    <row r="1982" spans="1:8" x14ac:dyDescent="0.25">
      <c r="A1982" s="43">
        <v>10262301</v>
      </c>
      <c r="B1982" t="s">
        <v>1308</v>
      </c>
      <c r="C1982" s="43" t="s">
        <v>1643</v>
      </c>
      <c r="D1982" s="43">
        <v>4203140</v>
      </c>
      <c r="E1982" t="s">
        <v>109</v>
      </c>
      <c r="F1982" s="47" t="str">
        <f>+Centro_Cuenta8[[#This Row],[Codigo Centro Gestion]]&amp;" - "&amp;Centro_Cuenta8[[#This Row],[Nombre Centro Gestion]]</f>
        <v>10262301 - Alto Marañon 3-GAF</v>
      </c>
      <c r="G1982" s="47" t="str">
        <f>+Centro_Cuenta8[[#This Row],[Código Cuenta Contable]]&amp;" - "&amp;Centro_Cuenta8[[#This Row],[Nombre de Cuenta Contable]]</f>
        <v>4203140 - Contribuciones</v>
      </c>
      <c r="H1982" s="146" t="str">
        <f>+VLOOKUP(D1982,'3. Cuentas'!A:F,6,0)</f>
        <v>SI</v>
      </c>
    </row>
    <row r="1983" spans="1:8" x14ac:dyDescent="0.25">
      <c r="A1983" s="43">
        <v>10262506</v>
      </c>
      <c r="B1983" t="s">
        <v>1310</v>
      </c>
      <c r="C1983" s="43" t="s">
        <v>200</v>
      </c>
      <c r="D1983" s="43">
        <v>1115100</v>
      </c>
      <c r="E1983" t="s">
        <v>292</v>
      </c>
      <c r="F1983" s="47" t="str">
        <f>+Centro_Cuenta8[[#This Row],[Codigo Centro Gestion]]&amp;" - "&amp;Centro_Cuenta8[[#This Row],[Nombre Centro Gestion]]</f>
        <v>10262506 - Alto Marañon 3-Depto.Técnico</v>
      </c>
      <c r="G1983" s="47" t="str">
        <f>+Centro_Cuenta8[[#This Row],[Código Cuenta Contable]]&amp;" - "&amp;Centro_Cuenta8[[#This Row],[Nombre de Cuenta Contable]]</f>
        <v>1115100 - Proyectos Y Especialidades</v>
      </c>
      <c r="H1983" s="146" t="str">
        <f>+VLOOKUP(D1983,'3. Cuentas'!A:F,6,0)</f>
        <v>SI</v>
      </c>
    </row>
    <row r="1984" spans="1:8" x14ac:dyDescent="0.25">
      <c r="A1984" s="43">
        <v>10263102</v>
      </c>
      <c r="B1984" t="s">
        <v>1311</v>
      </c>
      <c r="C1984" s="43" t="s">
        <v>1617</v>
      </c>
      <c r="D1984" s="43">
        <v>4204010</v>
      </c>
      <c r="E1984" t="s">
        <v>313</v>
      </c>
      <c r="F1984" s="47" t="str">
        <f>+Centro_Cuenta8[[#This Row],[Codigo Centro Gestion]]&amp;" - "&amp;Centro_Cuenta8[[#This Row],[Nombre Centro Gestion]]</f>
        <v>10263102 - Vicente Reyes-Marketing</v>
      </c>
      <c r="G1984" s="47" t="str">
        <f>+Centro_Cuenta8[[#This Row],[Código Cuenta Contable]]&amp;" - "&amp;Centro_Cuenta8[[#This Row],[Nombre de Cuenta Contable]]</f>
        <v>4204010 - Publicidad Punto Venta</v>
      </c>
      <c r="H1984" s="146" t="str">
        <f>+VLOOKUP(D1984,'3. Cuentas'!A:F,6,0)</f>
        <v>SI</v>
      </c>
    </row>
    <row r="1985" spans="1:8" x14ac:dyDescent="0.25">
      <c r="A1985" s="43">
        <v>10263102</v>
      </c>
      <c r="B1985" t="s">
        <v>1311</v>
      </c>
      <c r="C1985" s="43" t="s">
        <v>1617</v>
      </c>
      <c r="D1985" s="43">
        <v>4204021</v>
      </c>
      <c r="E1985" t="s">
        <v>329</v>
      </c>
      <c r="F1985" s="47" t="str">
        <f>+Centro_Cuenta8[[#This Row],[Codigo Centro Gestion]]&amp;" - "&amp;Centro_Cuenta8[[#This Row],[Nombre Centro Gestion]]</f>
        <v>10263102 - Vicente Reyes-Marketing</v>
      </c>
      <c r="G1985" s="47" t="str">
        <f>+Centro_Cuenta8[[#This Row],[Código Cuenta Contable]]&amp;" - "&amp;Centro_Cuenta8[[#This Row],[Nombre de Cuenta Contable]]</f>
        <v>4204021 - Publicidad Ferias Y Eventos</v>
      </c>
      <c r="H1985" s="146" t="str">
        <f>+VLOOKUP(D1985,'3. Cuentas'!A:F,6,0)</f>
        <v>SI</v>
      </c>
    </row>
    <row r="1986" spans="1:8" x14ac:dyDescent="0.25">
      <c r="A1986" s="43">
        <v>10263103</v>
      </c>
      <c r="B1986" t="s">
        <v>1312</v>
      </c>
      <c r="C1986" s="43" t="s">
        <v>1618</v>
      </c>
      <c r="D1986" s="43">
        <v>4203060</v>
      </c>
      <c r="E1986" t="s">
        <v>321</v>
      </c>
      <c r="F1986" s="47" t="str">
        <f>+Centro_Cuenta8[[#This Row],[Codigo Centro Gestion]]&amp;" - "&amp;Centro_Cuenta8[[#This Row],[Nombre Centro Gestion]]</f>
        <v>10263103 - Vicente Reyes-Operaciones</v>
      </c>
      <c r="G1986" s="47" t="str">
        <f>+Centro_Cuenta8[[#This Row],[Código Cuenta Contable]]&amp;" - "&amp;Centro_Cuenta8[[#This Row],[Nombre de Cuenta Contable]]</f>
        <v>4203060 - Gastos Operacionales De Clientes</v>
      </c>
      <c r="H1986" s="146" t="str">
        <f>+VLOOKUP(D1986,'3. Cuentas'!A:F,6,0)</f>
        <v>SI</v>
      </c>
    </row>
    <row r="1987" spans="1:8" x14ac:dyDescent="0.25">
      <c r="A1987" s="43">
        <v>10263103</v>
      </c>
      <c r="B1987" t="s">
        <v>1312</v>
      </c>
      <c r="C1987" s="43" t="s">
        <v>1618</v>
      </c>
      <c r="D1987" s="43">
        <v>4203090</v>
      </c>
      <c r="E1987" t="s">
        <v>192</v>
      </c>
      <c r="F1987" s="47" t="str">
        <f>+Centro_Cuenta8[[#This Row],[Codigo Centro Gestion]]&amp;" - "&amp;Centro_Cuenta8[[#This Row],[Nombre Centro Gestion]]</f>
        <v>10263103 - Vicente Reyes-Operaciones</v>
      </c>
      <c r="G1987" s="47" t="str">
        <f>+Centro_Cuenta8[[#This Row],[Código Cuenta Contable]]&amp;" - "&amp;Centro_Cuenta8[[#This Row],[Nombre de Cuenta Contable]]</f>
        <v>4203090 - Gastos Legales Y Notariales Proyecto</v>
      </c>
      <c r="H1987" s="146" t="str">
        <f>+VLOOKUP(D1987,'3. Cuentas'!A:F,6,0)</f>
        <v>SI</v>
      </c>
    </row>
    <row r="1988" spans="1:8" x14ac:dyDescent="0.25">
      <c r="A1988" s="43">
        <v>10263104</v>
      </c>
      <c r="B1988" t="s">
        <v>1313</v>
      </c>
      <c r="C1988" s="43" t="s">
        <v>90</v>
      </c>
      <c r="D1988" s="43">
        <v>1110040</v>
      </c>
      <c r="E1988" t="s">
        <v>1505</v>
      </c>
      <c r="F1988" s="47" t="str">
        <f>+Centro_Cuenta8[[#This Row],[Codigo Centro Gestion]]&amp;" - "&amp;Centro_Cuenta8[[#This Row],[Nombre Centro Gestion]]</f>
        <v>10263104 - Vicente Reyes-Ventas</v>
      </c>
      <c r="G1988" s="47" t="str">
        <f>+Centro_Cuenta8[[#This Row],[Código Cuenta Contable]]&amp;" - "&amp;Centro_Cuenta8[[#This Row],[Nombre de Cuenta Contable]]</f>
        <v>1110040 - Garantía Pagadas</v>
      </c>
      <c r="H1988" s="146" t="str">
        <f>+VLOOKUP(D1988,'3. Cuentas'!A:F,6,0)</f>
        <v>SI</v>
      </c>
    </row>
    <row r="1989" spans="1:8" x14ac:dyDescent="0.25">
      <c r="A1989" s="43">
        <v>10263104</v>
      </c>
      <c r="B1989" t="s">
        <v>1313</v>
      </c>
      <c r="C1989" s="43" t="s">
        <v>90</v>
      </c>
      <c r="D1989" s="43">
        <v>4202003</v>
      </c>
      <c r="E1989" t="s">
        <v>106</v>
      </c>
      <c r="F1989" s="47" t="str">
        <f>+Centro_Cuenta8[[#This Row],[Codigo Centro Gestion]]&amp;" - "&amp;Centro_Cuenta8[[#This Row],[Nombre Centro Gestion]]</f>
        <v>10263104 - Vicente Reyes-Ventas</v>
      </c>
      <c r="G1989" s="47" t="str">
        <f>+Centro_Cuenta8[[#This Row],[Código Cuenta Contable]]&amp;" - "&amp;Centro_Cuenta8[[#This Row],[Nombre de Cuenta Contable]]</f>
        <v>4202003 - Serv.Basic.Luz.Agua.Tel Of.C</v>
      </c>
      <c r="H1989" s="146" t="str">
        <f>+VLOOKUP(D1989,'3. Cuentas'!A:F,6,0)</f>
        <v>SI</v>
      </c>
    </row>
    <row r="1990" spans="1:8" x14ac:dyDescent="0.25">
      <c r="A1990" s="43">
        <v>10263104</v>
      </c>
      <c r="B1990" t="s">
        <v>1313</v>
      </c>
      <c r="C1990" s="43" t="s">
        <v>90</v>
      </c>
      <c r="D1990" s="43">
        <v>4202010</v>
      </c>
      <c r="E1990" t="s">
        <v>87</v>
      </c>
      <c r="F1990" s="47" t="str">
        <f>+Centro_Cuenta8[[#This Row],[Codigo Centro Gestion]]&amp;" - "&amp;Centro_Cuenta8[[#This Row],[Nombre Centro Gestion]]</f>
        <v>10263104 - Vicente Reyes-Ventas</v>
      </c>
      <c r="G1990" s="47" t="str">
        <f>+Centro_Cuenta8[[#This Row],[Código Cuenta Contable]]&amp;" - "&amp;Centro_Cuenta8[[#This Row],[Nombre de Cuenta Contable]]</f>
        <v>4202010 - Artic. Ofic. Fotocop.Papelería</v>
      </c>
      <c r="H1990" s="146" t="str">
        <f>+VLOOKUP(D1990,'3. Cuentas'!A:F,6,0)</f>
        <v>SI</v>
      </c>
    </row>
    <row r="1991" spans="1:8" x14ac:dyDescent="0.25">
      <c r="A1991" s="43">
        <v>10263104</v>
      </c>
      <c r="B1991" t="s">
        <v>1313</v>
      </c>
      <c r="C1991" s="43" t="s">
        <v>90</v>
      </c>
      <c r="D1991" s="43">
        <v>4202019</v>
      </c>
      <c r="E1991" t="s">
        <v>81</v>
      </c>
      <c r="F1991" s="47" t="str">
        <f>+Centro_Cuenta8[[#This Row],[Codigo Centro Gestion]]&amp;" - "&amp;Centro_Cuenta8[[#This Row],[Nombre Centro Gestion]]</f>
        <v>10263104 - Vicente Reyes-Ventas</v>
      </c>
      <c r="G1991" s="47" t="str">
        <f>+Centro_Cuenta8[[#This Row],[Código Cuenta Contable]]&amp;" - "&amp;Centro_Cuenta8[[#This Row],[Nombre de Cuenta Contable]]</f>
        <v>4202019 - Gasto General Oficina</v>
      </c>
      <c r="H1991" s="146" t="str">
        <f>+VLOOKUP(D1991,'3. Cuentas'!A:F,6,0)</f>
        <v>SI</v>
      </c>
    </row>
    <row r="1992" spans="1:8" x14ac:dyDescent="0.25">
      <c r="A1992" s="43">
        <v>10263104</v>
      </c>
      <c r="B1992" t="s">
        <v>1313</v>
      </c>
      <c r="C1992" s="43" t="s">
        <v>90</v>
      </c>
      <c r="D1992" s="43">
        <v>4202023</v>
      </c>
      <c r="E1992" t="s">
        <v>82</v>
      </c>
      <c r="F1992" s="47" t="str">
        <f>+Centro_Cuenta8[[#This Row],[Codigo Centro Gestion]]&amp;" - "&amp;Centro_Cuenta8[[#This Row],[Nombre Centro Gestion]]</f>
        <v>10263104 - Vicente Reyes-Ventas</v>
      </c>
      <c r="G1992" s="47" t="str">
        <f>+Centro_Cuenta8[[#This Row],[Código Cuenta Contable]]&amp;" - "&amp;Centro_Cuenta8[[#This Row],[Nombre de Cuenta Contable]]</f>
        <v>4202023 - Honorarios Por Asesorías</v>
      </c>
      <c r="H1992" s="146" t="str">
        <f>+VLOOKUP(D1992,'3. Cuentas'!A:F,6,0)</f>
        <v>SI</v>
      </c>
    </row>
    <row r="1993" spans="1:8" x14ac:dyDescent="0.25">
      <c r="A1993" s="43">
        <v>10263104</v>
      </c>
      <c r="B1993" t="s">
        <v>1313</v>
      </c>
      <c r="C1993" s="43" t="s">
        <v>90</v>
      </c>
      <c r="D1993" s="43">
        <v>4202029</v>
      </c>
      <c r="E1993" t="s">
        <v>83</v>
      </c>
      <c r="F1993" s="47" t="str">
        <f>+Centro_Cuenta8[[#This Row],[Codigo Centro Gestion]]&amp;" - "&amp;Centro_Cuenta8[[#This Row],[Nombre Centro Gestion]]</f>
        <v>10263104 - Vicente Reyes-Ventas</v>
      </c>
      <c r="G1993" s="47" t="str">
        <f>+Centro_Cuenta8[[#This Row],[Código Cuenta Contable]]&amp;" - "&amp;Centro_Cuenta8[[#This Row],[Nombre de Cuenta Contable]]</f>
        <v>4202029 - Insumos Y Gastos Informáticos</v>
      </c>
      <c r="H1993" s="146" t="str">
        <f>+VLOOKUP(D1993,'3. Cuentas'!A:F,6,0)</f>
        <v>SI</v>
      </c>
    </row>
    <row r="1994" spans="1:8" x14ac:dyDescent="0.25">
      <c r="A1994" s="43">
        <v>10263104</v>
      </c>
      <c r="B1994" t="s">
        <v>1313</v>
      </c>
      <c r="C1994" s="43" t="s">
        <v>90</v>
      </c>
      <c r="D1994" s="43">
        <v>4204021</v>
      </c>
      <c r="E1994" t="s">
        <v>329</v>
      </c>
      <c r="F1994" s="47" t="str">
        <f>+Centro_Cuenta8[[#This Row],[Codigo Centro Gestion]]&amp;" - "&amp;Centro_Cuenta8[[#This Row],[Nombre Centro Gestion]]</f>
        <v>10263104 - Vicente Reyes-Ventas</v>
      </c>
      <c r="G1994" s="47" t="str">
        <f>+Centro_Cuenta8[[#This Row],[Código Cuenta Contable]]&amp;" - "&amp;Centro_Cuenta8[[#This Row],[Nombre de Cuenta Contable]]</f>
        <v>4204021 - Publicidad Ferias Y Eventos</v>
      </c>
      <c r="H1994" s="146" t="str">
        <f>+VLOOKUP(D1994,'3. Cuentas'!A:F,6,0)</f>
        <v>SI</v>
      </c>
    </row>
    <row r="1995" spans="1:8" x14ac:dyDescent="0.25">
      <c r="A1995" s="43">
        <v>10263105</v>
      </c>
      <c r="B1995" t="s">
        <v>1314</v>
      </c>
      <c r="C1995" s="43" t="s">
        <v>1622</v>
      </c>
      <c r="D1995" s="43">
        <v>4203020</v>
      </c>
      <c r="E1995" t="s">
        <v>295</v>
      </c>
      <c r="F1995" s="47" t="str">
        <f>+Centro_Cuenta8[[#This Row],[Codigo Centro Gestion]]&amp;" - "&amp;Centro_Cuenta8[[#This Row],[Nombre Centro Gestion]]</f>
        <v>10263105 - Vicente Reyes-Clientes</v>
      </c>
      <c r="G1995" s="47" t="str">
        <f>+Centro_Cuenta8[[#This Row],[Código Cuenta Contable]]&amp;" - "&amp;Centro_Cuenta8[[#This Row],[Nombre de Cuenta Contable]]</f>
        <v>4203020 - Mant. y Consum. Viv Stock</v>
      </c>
      <c r="H1995" s="146" t="str">
        <f>+VLOOKUP(D1995,'3. Cuentas'!A:F,6,0)</f>
        <v>SI</v>
      </c>
    </row>
    <row r="1996" spans="1:8" x14ac:dyDescent="0.25">
      <c r="A1996" s="43">
        <v>10263105</v>
      </c>
      <c r="B1996" t="s">
        <v>1314</v>
      </c>
      <c r="C1996" s="43" t="s">
        <v>1622</v>
      </c>
      <c r="D1996" s="43">
        <v>4203120</v>
      </c>
      <c r="E1996" t="s">
        <v>108</v>
      </c>
      <c r="F1996" s="47" t="str">
        <f>+Centro_Cuenta8[[#This Row],[Codigo Centro Gestion]]&amp;" - "&amp;Centro_Cuenta8[[#This Row],[Nombre Centro Gestion]]</f>
        <v>10263105 - Vicente Reyes-Clientes</v>
      </c>
      <c r="G1996" s="47" t="str">
        <f>+Centro_Cuenta8[[#This Row],[Código Cuenta Contable]]&amp;" - "&amp;Centro_Cuenta8[[#This Row],[Nombre de Cuenta Contable]]</f>
        <v>4203120 - Gastos Comunes</v>
      </c>
      <c r="H1996" s="146" t="str">
        <f>+VLOOKUP(D1996,'3. Cuentas'!A:F,6,0)</f>
        <v>SI</v>
      </c>
    </row>
    <row r="1997" spans="1:8" x14ac:dyDescent="0.25">
      <c r="A1997" s="43">
        <v>10263105</v>
      </c>
      <c r="B1997" t="s">
        <v>1314</v>
      </c>
      <c r="C1997" s="43" t="s">
        <v>1622</v>
      </c>
      <c r="D1997" s="43">
        <v>4203140</v>
      </c>
      <c r="E1997" t="s">
        <v>109</v>
      </c>
      <c r="F1997" s="47" t="str">
        <f>+Centro_Cuenta8[[#This Row],[Codigo Centro Gestion]]&amp;" - "&amp;Centro_Cuenta8[[#This Row],[Nombre Centro Gestion]]</f>
        <v>10263105 - Vicente Reyes-Clientes</v>
      </c>
      <c r="G1997" s="47" t="str">
        <f>+Centro_Cuenta8[[#This Row],[Código Cuenta Contable]]&amp;" - "&amp;Centro_Cuenta8[[#This Row],[Nombre de Cuenta Contable]]</f>
        <v>4203140 - Contribuciones</v>
      </c>
      <c r="H1997" s="146" t="str">
        <f>+VLOOKUP(D1997,'3. Cuentas'!A:F,6,0)</f>
        <v>SI</v>
      </c>
    </row>
    <row r="1998" spans="1:8" x14ac:dyDescent="0.25">
      <c r="A1998" s="43">
        <v>10263204</v>
      </c>
      <c r="B1998" t="s">
        <v>1315</v>
      </c>
      <c r="C1998" s="43" t="s">
        <v>1624</v>
      </c>
      <c r="D1998" s="43">
        <v>1103045</v>
      </c>
      <c r="E1998" t="s">
        <v>323</v>
      </c>
      <c r="F1998" s="47" t="str">
        <f>+Centro_Cuenta8[[#This Row],[Codigo Centro Gestion]]&amp;" - "&amp;Centro_Cuenta8[[#This Row],[Nombre Centro Gestion]]</f>
        <v>10263204 - Vicente Reyes-Proyecto</v>
      </c>
      <c r="G1998" s="47" t="str">
        <f>+Centro_Cuenta8[[#This Row],[Código Cuenta Contable]]&amp;" - "&amp;Centro_Cuenta8[[#This Row],[Nombre de Cuenta Contable]]</f>
        <v>1103045 - Aportes reembolsables (electricidad y agua)</v>
      </c>
      <c r="H1998" s="146" t="str">
        <f>+VLOOKUP(D1998,'3. Cuentas'!A:F,6,0)</f>
        <v>SI</v>
      </c>
    </row>
    <row r="1999" spans="1:8" x14ac:dyDescent="0.25">
      <c r="A1999" s="43">
        <v>10263204</v>
      </c>
      <c r="B1999" t="s">
        <v>1315</v>
      </c>
      <c r="C1999" s="43" t="s">
        <v>1624</v>
      </c>
      <c r="D1999" s="43">
        <v>1109020</v>
      </c>
      <c r="E1999" t="s">
        <v>302</v>
      </c>
      <c r="F1999" s="47" t="str">
        <f>+Centro_Cuenta8[[#This Row],[Codigo Centro Gestion]]&amp;" - "&amp;Centro_Cuenta8[[#This Row],[Nombre Centro Gestion]]</f>
        <v>10263204 - Vicente Reyes-Proyecto</v>
      </c>
      <c r="G1999" s="47" t="str">
        <f>+Centro_Cuenta8[[#This Row],[Código Cuenta Contable]]&amp;" - "&amp;Centro_Cuenta8[[#This Row],[Nombre de Cuenta Contable]]</f>
        <v>1109020 - Mobiliario</v>
      </c>
      <c r="H1999" s="146" t="str">
        <f>+VLOOKUP(D1999,'3. Cuentas'!A:F,6,0)</f>
        <v>SI</v>
      </c>
    </row>
    <row r="2000" spans="1:8" x14ac:dyDescent="0.25">
      <c r="A2000" s="43">
        <v>10263204</v>
      </c>
      <c r="B2000" t="s">
        <v>1315</v>
      </c>
      <c r="C2000" s="43" t="s">
        <v>1624</v>
      </c>
      <c r="D2000" s="43">
        <v>1110040</v>
      </c>
      <c r="E2000" t="s">
        <v>1505</v>
      </c>
      <c r="F2000" s="47" t="str">
        <f>+Centro_Cuenta8[[#This Row],[Codigo Centro Gestion]]&amp;" - "&amp;Centro_Cuenta8[[#This Row],[Nombre Centro Gestion]]</f>
        <v>10263204 - Vicente Reyes-Proyecto</v>
      </c>
      <c r="G2000" s="47" t="str">
        <f>+Centro_Cuenta8[[#This Row],[Código Cuenta Contable]]&amp;" - "&amp;Centro_Cuenta8[[#This Row],[Nombre de Cuenta Contable]]</f>
        <v>1110040 - Garantía Pagadas</v>
      </c>
      <c r="H2000" s="146" t="str">
        <f>+VLOOKUP(D2000,'3. Cuentas'!A:F,6,0)</f>
        <v>SI</v>
      </c>
    </row>
    <row r="2001" spans="1:8" x14ac:dyDescent="0.25">
      <c r="A2001" s="43">
        <v>10263204</v>
      </c>
      <c r="B2001" t="s">
        <v>1315</v>
      </c>
      <c r="C2001" s="43" t="s">
        <v>1624</v>
      </c>
      <c r="D2001" s="43">
        <v>1115040</v>
      </c>
      <c r="E2001" t="s">
        <v>291</v>
      </c>
      <c r="F2001" s="47" t="str">
        <f>+Centro_Cuenta8[[#This Row],[Codigo Centro Gestion]]&amp;" - "&amp;Centro_Cuenta8[[#This Row],[Nombre Centro Gestion]]</f>
        <v>10263204 - Vicente Reyes-Proyecto</v>
      </c>
      <c r="G2001" s="47" t="str">
        <f>+Centro_Cuenta8[[#This Row],[Código Cuenta Contable]]&amp;" - "&amp;Centro_Cuenta8[[#This Row],[Nombre de Cuenta Contable]]</f>
        <v>1115040 - Saneamiento De Terreno</v>
      </c>
      <c r="H2001" s="146" t="str">
        <f>+VLOOKUP(D2001,'3. Cuentas'!A:F,6,0)</f>
        <v>SI</v>
      </c>
    </row>
    <row r="2002" spans="1:8" x14ac:dyDescent="0.25">
      <c r="A2002" s="43">
        <v>10263204</v>
      </c>
      <c r="B2002" t="s">
        <v>1315</v>
      </c>
      <c r="C2002" s="43" t="s">
        <v>1624</v>
      </c>
      <c r="D2002" s="43">
        <v>1115050</v>
      </c>
      <c r="E2002" t="s">
        <v>1628</v>
      </c>
      <c r="F2002" s="47" t="str">
        <f>+Centro_Cuenta8[[#This Row],[Codigo Centro Gestion]]&amp;" - "&amp;Centro_Cuenta8[[#This Row],[Nombre Centro Gestion]]</f>
        <v>10263204 - Vicente Reyes-Proyecto</v>
      </c>
      <c r="G2002" s="47" t="str">
        <f>+Centro_Cuenta8[[#This Row],[Código Cuenta Contable]]&amp;" - "&amp;Centro_Cuenta8[[#This Row],[Nombre de Cuenta Contable]]</f>
        <v>1115050 - Demolición</v>
      </c>
      <c r="H2002" s="146" t="str">
        <f>+VLOOKUP(D2002,'3. Cuentas'!A:F,6,0)</f>
        <v>SI</v>
      </c>
    </row>
    <row r="2003" spans="1:8" x14ac:dyDescent="0.25">
      <c r="A2003" s="43">
        <v>10263204</v>
      </c>
      <c r="B2003" t="s">
        <v>1315</v>
      </c>
      <c r="C2003" s="43" t="s">
        <v>1624</v>
      </c>
      <c r="D2003" s="43">
        <v>1115100</v>
      </c>
      <c r="E2003" t="s">
        <v>292</v>
      </c>
      <c r="F2003" s="47" t="str">
        <f>+Centro_Cuenta8[[#This Row],[Codigo Centro Gestion]]&amp;" - "&amp;Centro_Cuenta8[[#This Row],[Nombre Centro Gestion]]</f>
        <v>10263204 - Vicente Reyes-Proyecto</v>
      </c>
      <c r="G2003" s="47" t="str">
        <f>+Centro_Cuenta8[[#This Row],[Código Cuenta Contable]]&amp;" - "&amp;Centro_Cuenta8[[#This Row],[Nombre de Cuenta Contable]]</f>
        <v>1115100 - Proyectos Y Especialidades</v>
      </c>
      <c r="H2003" s="146" t="str">
        <f>+VLOOKUP(D2003,'3. Cuentas'!A:F,6,0)</f>
        <v>SI</v>
      </c>
    </row>
    <row r="2004" spans="1:8" x14ac:dyDescent="0.25">
      <c r="A2004" s="43">
        <v>10263204</v>
      </c>
      <c r="B2004" t="s">
        <v>1315</v>
      </c>
      <c r="C2004" s="43" t="s">
        <v>1624</v>
      </c>
      <c r="D2004" s="43">
        <v>1115120</v>
      </c>
      <c r="E2004" t="s">
        <v>1633</v>
      </c>
      <c r="F2004" s="47" t="str">
        <f>+Centro_Cuenta8[[#This Row],[Codigo Centro Gestion]]&amp;" - "&amp;Centro_Cuenta8[[#This Row],[Nombre Centro Gestion]]</f>
        <v>10263204 - Vicente Reyes-Proyecto</v>
      </c>
      <c r="G2004" s="47" t="str">
        <f>+Centro_Cuenta8[[#This Row],[Código Cuenta Contable]]&amp;" - "&amp;Centro_Cuenta8[[#This Row],[Nombre de Cuenta Contable]]</f>
        <v>1115120 - Instalación Empalmes</v>
      </c>
      <c r="H2004" s="146" t="str">
        <f>+VLOOKUP(D2004,'3. Cuentas'!A:F,6,0)</f>
        <v>SI</v>
      </c>
    </row>
    <row r="2005" spans="1:8" x14ac:dyDescent="0.25">
      <c r="A2005" s="43">
        <v>10263204</v>
      </c>
      <c r="B2005" t="s">
        <v>1315</v>
      </c>
      <c r="C2005" s="43" t="s">
        <v>1624</v>
      </c>
      <c r="D2005" s="43">
        <v>1115170</v>
      </c>
      <c r="E2005" t="s">
        <v>293</v>
      </c>
      <c r="F2005" s="47" t="str">
        <f>+Centro_Cuenta8[[#This Row],[Codigo Centro Gestion]]&amp;" - "&amp;Centro_Cuenta8[[#This Row],[Nombre Centro Gestion]]</f>
        <v>10263204 - Vicente Reyes-Proyecto</v>
      </c>
      <c r="G2005" s="47" t="str">
        <f>+Centro_Cuenta8[[#This Row],[Código Cuenta Contable]]&amp;" - "&amp;Centro_Cuenta8[[#This Row],[Nombre de Cuenta Contable]]</f>
        <v>1115170 - Permisos Y Otros Gastos Municipales</v>
      </c>
      <c r="H2005" s="146" t="str">
        <f>+VLOOKUP(D2005,'3. Cuentas'!A:F,6,0)</f>
        <v>SI</v>
      </c>
    </row>
    <row r="2006" spans="1:8" x14ac:dyDescent="0.25">
      <c r="A2006" s="43">
        <v>10263204</v>
      </c>
      <c r="B2006" t="s">
        <v>1315</v>
      </c>
      <c r="C2006" s="43" t="s">
        <v>1624</v>
      </c>
      <c r="D2006" s="43">
        <v>1115240</v>
      </c>
      <c r="E2006" t="s">
        <v>294</v>
      </c>
      <c r="F2006" s="47" t="str">
        <f>+Centro_Cuenta8[[#This Row],[Codigo Centro Gestion]]&amp;" - "&amp;Centro_Cuenta8[[#This Row],[Nombre Centro Gestion]]</f>
        <v>10263204 - Vicente Reyes-Proyecto</v>
      </c>
      <c r="G2006" s="47" t="str">
        <f>+Centro_Cuenta8[[#This Row],[Código Cuenta Contable]]&amp;" - "&amp;Centro_Cuenta8[[#This Row],[Nombre de Cuenta Contable]]</f>
        <v>1115240 - Estudios Y Asesorias Técnicas</v>
      </c>
      <c r="H2006" s="146" t="str">
        <f>+VLOOKUP(D2006,'3. Cuentas'!A:F,6,0)</f>
        <v>SI</v>
      </c>
    </row>
    <row r="2007" spans="1:8" x14ac:dyDescent="0.25">
      <c r="A2007" s="43">
        <v>10263204</v>
      </c>
      <c r="B2007" t="s">
        <v>1315</v>
      </c>
      <c r="C2007" s="43" t="s">
        <v>1624</v>
      </c>
      <c r="D2007" s="43">
        <v>4203090</v>
      </c>
      <c r="E2007" t="s">
        <v>192</v>
      </c>
      <c r="F2007" s="47" t="str">
        <f>+Centro_Cuenta8[[#This Row],[Codigo Centro Gestion]]&amp;" - "&amp;Centro_Cuenta8[[#This Row],[Nombre Centro Gestion]]</f>
        <v>10263204 - Vicente Reyes-Proyecto</v>
      </c>
      <c r="G2007" s="47" t="str">
        <f>+Centro_Cuenta8[[#This Row],[Código Cuenta Contable]]&amp;" - "&amp;Centro_Cuenta8[[#This Row],[Nombre de Cuenta Contable]]</f>
        <v>4203090 - Gastos Legales Y Notariales Proyecto</v>
      </c>
      <c r="H2007" s="146" t="str">
        <f>+VLOOKUP(D2007,'3. Cuentas'!A:F,6,0)</f>
        <v>SI</v>
      </c>
    </row>
    <row r="2008" spans="1:8" x14ac:dyDescent="0.25">
      <c r="A2008" s="43">
        <v>10263204</v>
      </c>
      <c r="B2008" t="s">
        <v>1315</v>
      </c>
      <c r="C2008" s="43" t="s">
        <v>1624</v>
      </c>
      <c r="D2008" s="43">
        <v>4203140</v>
      </c>
      <c r="E2008" t="s">
        <v>109</v>
      </c>
      <c r="F2008" s="47" t="str">
        <f>+Centro_Cuenta8[[#This Row],[Codigo Centro Gestion]]&amp;" - "&amp;Centro_Cuenta8[[#This Row],[Nombre Centro Gestion]]</f>
        <v>10263204 - Vicente Reyes-Proyecto</v>
      </c>
      <c r="G2008" s="47" t="str">
        <f>+Centro_Cuenta8[[#This Row],[Código Cuenta Contable]]&amp;" - "&amp;Centro_Cuenta8[[#This Row],[Nombre de Cuenta Contable]]</f>
        <v>4203140 - Contribuciones</v>
      </c>
      <c r="H2008" s="146" t="str">
        <f>+VLOOKUP(D2008,'3. Cuentas'!A:F,6,0)</f>
        <v>SI</v>
      </c>
    </row>
    <row r="2009" spans="1:8" x14ac:dyDescent="0.25">
      <c r="A2009" s="43">
        <v>10263204</v>
      </c>
      <c r="B2009" t="s">
        <v>1315</v>
      </c>
      <c r="C2009" s="43" t="s">
        <v>1624</v>
      </c>
      <c r="D2009" s="43">
        <v>4203150</v>
      </c>
      <c r="E2009" t="s">
        <v>156</v>
      </c>
      <c r="F2009" s="47" t="str">
        <f>+Centro_Cuenta8[[#This Row],[Codigo Centro Gestion]]&amp;" - "&amp;Centro_Cuenta8[[#This Row],[Nombre Centro Gestion]]</f>
        <v>10263204 - Vicente Reyes-Proyecto</v>
      </c>
      <c r="G2009" s="47" t="str">
        <f>+Centro_Cuenta8[[#This Row],[Código Cuenta Contable]]&amp;" - "&amp;Centro_Cuenta8[[#This Row],[Nombre de Cuenta Contable]]</f>
        <v>4203150 - Gastos CBR</v>
      </c>
      <c r="H2009" s="146" t="str">
        <f>+VLOOKUP(D2009,'3. Cuentas'!A:F,6,0)</f>
        <v>SI</v>
      </c>
    </row>
    <row r="2010" spans="1:8" x14ac:dyDescent="0.25">
      <c r="A2010" s="43">
        <v>10263204</v>
      </c>
      <c r="B2010" t="s">
        <v>1315</v>
      </c>
      <c r="C2010" s="43" t="s">
        <v>1624</v>
      </c>
      <c r="D2010" s="43">
        <v>4203160</v>
      </c>
      <c r="E2010" t="s">
        <v>1639</v>
      </c>
      <c r="F2010" s="47" t="str">
        <f>+Centro_Cuenta8[[#This Row],[Codigo Centro Gestion]]&amp;" - "&amp;Centro_Cuenta8[[#This Row],[Nombre Centro Gestion]]</f>
        <v>10263204 - Vicente Reyes-Proyecto</v>
      </c>
      <c r="G2010" s="47" t="str">
        <f>+Centro_Cuenta8[[#This Row],[Código Cuenta Contable]]&amp;" - "&amp;Centro_Cuenta8[[#This Row],[Nombre de Cuenta Contable]]</f>
        <v>4203160 - PAPELERIA Y FOTOCOPIADO</v>
      </c>
      <c r="H2010" s="146" t="str">
        <f>+VLOOKUP(D2010,'3. Cuentas'!A:F,6,0)</f>
        <v>SI</v>
      </c>
    </row>
    <row r="2011" spans="1:8" x14ac:dyDescent="0.25">
      <c r="A2011" s="43">
        <v>10263204</v>
      </c>
      <c r="B2011" t="s">
        <v>1315</v>
      </c>
      <c r="C2011" s="43" t="s">
        <v>1624</v>
      </c>
      <c r="D2011" s="43">
        <v>4203180</v>
      </c>
      <c r="E2011" t="s">
        <v>1640</v>
      </c>
      <c r="F2011" s="47" t="str">
        <f>+Centro_Cuenta8[[#This Row],[Codigo Centro Gestion]]&amp;" - "&amp;Centro_Cuenta8[[#This Row],[Nombre Centro Gestion]]</f>
        <v>10263204 - Vicente Reyes-Proyecto</v>
      </c>
      <c r="G2011" s="47" t="str">
        <f>+Centro_Cuenta8[[#This Row],[Código Cuenta Contable]]&amp;" - "&amp;Centro_Cuenta8[[#This Row],[Nombre de Cuenta Contable]]</f>
        <v>4203180 - Otros Gastos y Aseso Proy</v>
      </c>
      <c r="H2011" s="146" t="str">
        <f>+VLOOKUP(D2011,'3. Cuentas'!A:F,6,0)</f>
        <v>SI</v>
      </c>
    </row>
    <row r="2012" spans="1:8" x14ac:dyDescent="0.25">
      <c r="A2012" s="43">
        <v>10263301</v>
      </c>
      <c r="B2012" t="s">
        <v>1316</v>
      </c>
      <c r="C2012" s="43" t="s">
        <v>1643</v>
      </c>
      <c r="D2012" s="43">
        <v>4203090</v>
      </c>
      <c r="E2012" t="s">
        <v>192</v>
      </c>
      <c r="F2012" s="47" t="str">
        <f>+Centro_Cuenta8[[#This Row],[Codigo Centro Gestion]]&amp;" - "&amp;Centro_Cuenta8[[#This Row],[Nombre Centro Gestion]]</f>
        <v>10263301 - Vicente Reyes-GAF</v>
      </c>
      <c r="G2012" s="47" t="str">
        <f>+Centro_Cuenta8[[#This Row],[Código Cuenta Contable]]&amp;" - "&amp;Centro_Cuenta8[[#This Row],[Nombre de Cuenta Contable]]</f>
        <v>4203090 - Gastos Legales Y Notariales Proyecto</v>
      </c>
      <c r="H2012" s="146" t="str">
        <f>+VLOOKUP(D2012,'3. Cuentas'!A:F,6,0)</f>
        <v>SI</v>
      </c>
    </row>
    <row r="2013" spans="1:8" x14ac:dyDescent="0.25">
      <c r="A2013" s="43">
        <v>10263301</v>
      </c>
      <c r="B2013" t="s">
        <v>1316</v>
      </c>
      <c r="C2013" s="43" t="s">
        <v>1643</v>
      </c>
      <c r="D2013" s="43">
        <v>4203140</v>
      </c>
      <c r="E2013" t="s">
        <v>109</v>
      </c>
      <c r="F2013" s="47" t="str">
        <f>+Centro_Cuenta8[[#This Row],[Codigo Centro Gestion]]&amp;" - "&amp;Centro_Cuenta8[[#This Row],[Nombre Centro Gestion]]</f>
        <v>10263301 - Vicente Reyes-GAF</v>
      </c>
      <c r="G2013" s="47" t="str">
        <f>+Centro_Cuenta8[[#This Row],[Código Cuenta Contable]]&amp;" - "&amp;Centro_Cuenta8[[#This Row],[Nombre de Cuenta Contable]]</f>
        <v>4203140 - Contribuciones</v>
      </c>
      <c r="H2013" s="146" t="str">
        <f>+VLOOKUP(D2013,'3. Cuentas'!A:F,6,0)</f>
        <v>SI</v>
      </c>
    </row>
    <row r="2014" spans="1:8" x14ac:dyDescent="0.25">
      <c r="A2014" s="43">
        <v>10263506</v>
      </c>
      <c r="B2014" t="s">
        <v>1318</v>
      </c>
      <c r="C2014" s="43" t="s">
        <v>200</v>
      </c>
      <c r="D2014" s="43">
        <v>1115100</v>
      </c>
      <c r="E2014" t="s">
        <v>292</v>
      </c>
      <c r="F2014" s="47" t="str">
        <f>+Centro_Cuenta8[[#This Row],[Codigo Centro Gestion]]&amp;" - "&amp;Centro_Cuenta8[[#This Row],[Nombre Centro Gestion]]</f>
        <v>10263506 - Vicente Reyes-Depto.Técnico</v>
      </c>
      <c r="G2014" s="47" t="str">
        <f>+Centro_Cuenta8[[#This Row],[Código Cuenta Contable]]&amp;" - "&amp;Centro_Cuenta8[[#This Row],[Nombre de Cuenta Contable]]</f>
        <v>1115100 - Proyectos Y Especialidades</v>
      </c>
      <c r="H2014" s="146" t="str">
        <f>+VLOOKUP(D2014,'3. Cuentas'!A:F,6,0)</f>
        <v>SI</v>
      </c>
    </row>
    <row r="2015" spans="1:8" x14ac:dyDescent="0.25">
      <c r="A2015" s="43">
        <v>10264000</v>
      </c>
      <c r="B2015" t="s">
        <v>480</v>
      </c>
      <c r="C2015" s="43" t="s">
        <v>1585</v>
      </c>
      <c r="D2015" s="43">
        <v>2107090</v>
      </c>
      <c r="E2015" t="s">
        <v>306</v>
      </c>
      <c r="F2015" s="47" t="str">
        <f>+Centro_Cuenta8[[#This Row],[Codigo Centro Gestion]]&amp;" - "&amp;Centro_Cuenta8[[#This Row],[Nombre Centro Gestion]]</f>
        <v>10264000 - Edificio Libertad</v>
      </c>
      <c r="G2015" s="47" t="str">
        <f>+Centro_Cuenta8[[#This Row],[Código Cuenta Contable]]&amp;" - "&amp;Centro_Cuenta8[[#This Row],[Nombre de Cuenta Contable]]</f>
        <v>2107090 - Devolución Clientes Inmobiliarios UF</v>
      </c>
      <c r="H2015" s="146" t="str">
        <f>+VLOOKUP(D2015,'3. Cuentas'!A:F,6,0)</f>
        <v>NO</v>
      </c>
    </row>
    <row r="2016" spans="1:8" x14ac:dyDescent="0.25">
      <c r="A2016" s="43">
        <v>10264000</v>
      </c>
      <c r="B2016" t="s">
        <v>480</v>
      </c>
      <c r="C2016" s="43" t="s">
        <v>1585</v>
      </c>
      <c r="D2016" s="43">
        <v>2107091</v>
      </c>
      <c r="E2016" t="s">
        <v>307</v>
      </c>
      <c r="F2016" s="47" t="str">
        <f>+Centro_Cuenta8[[#This Row],[Codigo Centro Gestion]]&amp;" - "&amp;Centro_Cuenta8[[#This Row],[Nombre Centro Gestion]]</f>
        <v>10264000 - Edificio Libertad</v>
      </c>
      <c r="G2016" s="47" t="str">
        <f>+Centro_Cuenta8[[#This Row],[Código Cuenta Contable]]&amp;" - "&amp;Centro_Cuenta8[[#This Row],[Nombre de Cuenta Contable]]</f>
        <v>2107091 - Devolución Clientes Inmobiliarios CLP</v>
      </c>
      <c r="H2016" s="146" t="str">
        <f>+VLOOKUP(D2016,'3. Cuentas'!A:F,6,0)</f>
        <v>NO</v>
      </c>
    </row>
    <row r="2017" spans="1:8" x14ac:dyDescent="0.25">
      <c r="A2017" s="43">
        <v>10264102</v>
      </c>
      <c r="B2017" t="s">
        <v>1319</v>
      </c>
      <c r="C2017" s="43" t="s">
        <v>1617</v>
      </c>
      <c r="D2017" s="43">
        <v>4204010</v>
      </c>
      <c r="E2017" t="s">
        <v>313</v>
      </c>
      <c r="F2017" s="47" t="str">
        <f>+Centro_Cuenta8[[#This Row],[Codigo Centro Gestion]]&amp;" - "&amp;Centro_Cuenta8[[#This Row],[Nombre Centro Gestion]]</f>
        <v>10264102 - Edificio Libertad-Marketing</v>
      </c>
      <c r="G2017" s="47" t="str">
        <f>+Centro_Cuenta8[[#This Row],[Código Cuenta Contable]]&amp;" - "&amp;Centro_Cuenta8[[#This Row],[Nombre de Cuenta Contable]]</f>
        <v>4204010 - Publicidad Punto Venta</v>
      </c>
      <c r="H2017" s="146" t="str">
        <f>+VLOOKUP(D2017,'3. Cuentas'!A:F,6,0)</f>
        <v>SI</v>
      </c>
    </row>
    <row r="2018" spans="1:8" x14ac:dyDescent="0.25">
      <c r="A2018" s="43">
        <v>10264102</v>
      </c>
      <c r="B2018" t="s">
        <v>1319</v>
      </c>
      <c r="C2018" s="43" t="s">
        <v>1617</v>
      </c>
      <c r="D2018" s="43">
        <v>4204021</v>
      </c>
      <c r="E2018" t="s">
        <v>329</v>
      </c>
      <c r="F2018" s="47" t="str">
        <f>+Centro_Cuenta8[[#This Row],[Codigo Centro Gestion]]&amp;" - "&amp;Centro_Cuenta8[[#This Row],[Nombre Centro Gestion]]</f>
        <v>10264102 - Edificio Libertad-Marketing</v>
      </c>
      <c r="G2018" s="47" t="str">
        <f>+Centro_Cuenta8[[#This Row],[Código Cuenta Contable]]&amp;" - "&amp;Centro_Cuenta8[[#This Row],[Nombre de Cuenta Contable]]</f>
        <v>4204021 - Publicidad Ferias Y Eventos</v>
      </c>
      <c r="H2018" s="146" t="str">
        <f>+VLOOKUP(D2018,'3. Cuentas'!A:F,6,0)</f>
        <v>SI</v>
      </c>
    </row>
    <row r="2019" spans="1:8" x14ac:dyDescent="0.25">
      <c r="A2019" s="43">
        <v>10264103</v>
      </c>
      <c r="B2019" t="s">
        <v>1320</v>
      </c>
      <c r="C2019" s="43" t="s">
        <v>1618</v>
      </c>
      <c r="D2019" s="43">
        <v>4203060</v>
      </c>
      <c r="E2019" t="s">
        <v>321</v>
      </c>
      <c r="F2019" s="47" t="str">
        <f>+Centro_Cuenta8[[#This Row],[Codigo Centro Gestion]]&amp;" - "&amp;Centro_Cuenta8[[#This Row],[Nombre Centro Gestion]]</f>
        <v>10264103 - Edificio Libertad-Operaciones</v>
      </c>
      <c r="G2019" s="47" t="str">
        <f>+Centro_Cuenta8[[#This Row],[Código Cuenta Contable]]&amp;" - "&amp;Centro_Cuenta8[[#This Row],[Nombre de Cuenta Contable]]</f>
        <v>4203060 - Gastos Operacionales De Clientes</v>
      </c>
      <c r="H2019" s="146" t="str">
        <f>+VLOOKUP(D2019,'3. Cuentas'!A:F,6,0)</f>
        <v>SI</v>
      </c>
    </row>
    <row r="2020" spans="1:8" x14ac:dyDescent="0.25">
      <c r="A2020" s="43">
        <v>10264103</v>
      </c>
      <c r="B2020" t="s">
        <v>1320</v>
      </c>
      <c r="C2020" s="43" t="s">
        <v>1618</v>
      </c>
      <c r="D2020" s="43">
        <v>4203090</v>
      </c>
      <c r="E2020" t="s">
        <v>192</v>
      </c>
      <c r="F2020" s="47" t="str">
        <f>+Centro_Cuenta8[[#This Row],[Codigo Centro Gestion]]&amp;" - "&amp;Centro_Cuenta8[[#This Row],[Nombre Centro Gestion]]</f>
        <v>10264103 - Edificio Libertad-Operaciones</v>
      </c>
      <c r="G2020" s="47" t="str">
        <f>+Centro_Cuenta8[[#This Row],[Código Cuenta Contable]]&amp;" - "&amp;Centro_Cuenta8[[#This Row],[Nombre de Cuenta Contable]]</f>
        <v>4203090 - Gastos Legales Y Notariales Proyecto</v>
      </c>
      <c r="H2020" s="146" t="str">
        <f>+VLOOKUP(D2020,'3. Cuentas'!A:F,6,0)</f>
        <v>SI</v>
      </c>
    </row>
    <row r="2021" spans="1:8" x14ac:dyDescent="0.25">
      <c r="A2021" s="43">
        <v>10264104</v>
      </c>
      <c r="B2021" t="s">
        <v>1321</v>
      </c>
      <c r="C2021" s="43" t="s">
        <v>90</v>
      </c>
      <c r="D2021" s="43">
        <v>1110040</v>
      </c>
      <c r="E2021" t="s">
        <v>1505</v>
      </c>
      <c r="F2021" s="47" t="str">
        <f>+Centro_Cuenta8[[#This Row],[Codigo Centro Gestion]]&amp;" - "&amp;Centro_Cuenta8[[#This Row],[Nombre Centro Gestion]]</f>
        <v>10264104 - Edificio Libertad-Ventas</v>
      </c>
      <c r="G2021" s="47" t="str">
        <f>+Centro_Cuenta8[[#This Row],[Código Cuenta Contable]]&amp;" - "&amp;Centro_Cuenta8[[#This Row],[Nombre de Cuenta Contable]]</f>
        <v>1110040 - Garantía Pagadas</v>
      </c>
      <c r="H2021" s="146" t="str">
        <f>+VLOOKUP(D2021,'3. Cuentas'!A:F,6,0)</f>
        <v>SI</v>
      </c>
    </row>
    <row r="2022" spans="1:8" x14ac:dyDescent="0.25">
      <c r="A2022" s="43">
        <v>10264104</v>
      </c>
      <c r="B2022" t="s">
        <v>1321</v>
      </c>
      <c r="C2022" s="43" t="s">
        <v>90</v>
      </c>
      <c r="D2022" s="43">
        <v>4202003</v>
      </c>
      <c r="E2022" t="s">
        <v>106</v>
      </c>
      <c r="F2022" s="47" t="str">
        <f>+Centro_Cuenta8[[#This Row],[Codigo Centro Gestion]]&amp;" - "&amp;Centro_Cuenta8[[#This Row],[Nombre Centro Gestion]]</f>
        <v>10264104 - Edificio Libertad-Ventas</v>
      </c>
      <c r="G2022" s="47" t="str">
        <f>+Centro_Cuenta8[[#This Row],[Código Cuenta Contable]]&amp;" - "&amp;Centro_Cuenta8[[#This Row],[Nombre de Cuenta Contable]]</f>
        <v>4202003 - Serv.Basic.Luz.Agua.Tel Of.C</v>
      </c>
      <c r="H2022" s="146" t="str">
        <f>+VLOOKUP(D2022,'3. Cuentas'!A:F,6,0)</f>
        <v>SI</v>
      </c>
    </row>
    <row r="2023" spans="1:8" x14ac:dyDescent="0.25">
      <c r="A2023" s="43">
        <v>10264104</v>
      </c>
      <c r="B2023" t="s">
        <v>1321</v>
      </c>
      <c r="C2023" s="43" t="s">
        <v>90</v>
      </c>
      <c r="D2023" s="43">
        <v>4202010</v>
      </c>
      <c r="E2023" t="s">
        <v>87</v>
      </c>
      <c r="F2023" s="47" t="str">
        <f>+Centro_Cuenta8[[#This Row],[Codigo Centro Gestion]]&amp;" - "&amp;Centro_Cuenta8[[#This Row],[Nombre Centro Gestion]]</f>
        <v>10264104 - Edificio Libertad-Ventas</v>
      </c>
      <c r="G2023" s="47" t="str">
        <f>+Centro_Cuenta8[[#This Row],[Código Cuenta Contable]]&amp;" - "&amp;Centro_Cuenta8[[#This Row],[Nombre de Cuenta Contable]]</f>
        <v>4202010 - Artic. Ofic. Fotocop.Papelería</v>
      </c>
      <c r="H2023" s="146" t="str">
        <f>+VLOOKUP(D2023,'3. Cuentas'!A:F,6,0)</f>
        <v>SI</v>
      </c>
    </row>
    <row r="2024" spans="1:8" x14ac:dyDescent="0.25">
      <c r="A2024" s="43">
        <v>10264104</v>
      </c>
      <c r="B2024" t="s">
        <v>1321</v>
      </c>
      <c r="C2024" s="43" t="s">
        <v>90</v>
      </c>
      <c r="D2024" s="43">
        <v>4202019</v>
      </c>
      <c r="E2024" t="s">
        <v>81</v>
      </c>
      <c r="F2024" s="47" t="str">
        <f>+Centro_Cuenta8[[#This Row],[Codigo Centro Gestion]]&amp;" - "&amp;Centro_Cuenta8[[#This Row],[Nombre Centro Gestion]]</f>
        <v>10264104 - Edificio Libertad-Ventas</v>
      </c>
      <c r="G2024" s="47" t="str">
        <f>+Centro_Cuenta8[[#This Row],[Código Cuenta Contable]]&amp;" - "&amp;Centro_Cuenta8[[#This Row],[Nombre de Cuenta Contable]]</f>
        <v>4202019 - Gasto General Oficina</v>
      </c>
      <c r="H2024" s="146" t="str">
        <f>+VLOOKUP(D2024,'3. Cuentas'!A:F,6,0)</f>
        <v>SI</v>
      </c>
    </row>
    <row r="2025" spans="1:8" x14ac:dyDescent="0.25">
      <c r="A2025" s="43">
        <v>10264104</v>
      </c>
      <c r="B2025" t="s">
        <v>1321</v>
      </c>
      <c r="C2025" s="43" t="s">
        <v>90</v>
      </c>
      <c r="D2025" s="43">
        <v>4202023</v>
      </c>
      <c r="E2025" t="s">
        <v>82</v>
      </c>
      <c r="F2025" s="47" t="str">
        <f>+Centro_Cuenta8[[#This Row],[Codigo Centro Gestion]]&amp;" - "&amp;Centro_Cuenta8[[#This Row],[Nombre Centro Gestion]]</f>
        <v>10264104 - Edificio Libertad-Ventas</v>
      </c>
      <c r="G2025" s="47" t="str">
        <f>+Centro_Cuenta8[[#This Row],[Código Cuenta Contable]]&amp;" - "&amp;Centro_Cuenta8[[#This Row],[Nombre de Cuenta Contable]]</f>
        <v>4202023 - Honorarios Por Asesorías</v>
      </c>
      <c r="H2025" s="146" t="str">
        <f>+VLOOKUP(D2025,'3. Cuentas'!A:F,6,0)</f>
        <v>SI</v>
      </c>
    </row>
    <row r="2026" spans="1:8" x14ac:dyDescent="0.25">
      <c r="A2026" s="43">
        <v>10264104</v>
      </c>
      <c r="B2026" t="s">
        <v>1321</v>
      </c>
      <c r="C2026" s="43" t="s">
        <v>90</v>
      </c>
      <c r="D2026" s="43">
        <v>4202029</v>
      </c>
      <c r="E2026" t="s">
        <v>83</v>
      </c>
      <c r="F2026" s="47" t="str">
        <f>+Centro_Cuenta8[[#This Row],[Codigo Centro Gestion]]&amp;" - "&amp;Centro_Cuenta8[[#This Row],[Nombre Centro Gestion]]</f>
        <v>10264104 - Edificio Libertad-Ventas</v>
      </c>
      <c r="G2026" s="47" t="str">
        <f>+Centro_Cuenta8[[#This Row],[Código Cuenta Contable]]&amp;" - "&amp;Centro_Cuenta8[[#This Row],[Nombre de Cuenta Contable]]</f>
        <v>4202029 - Insumos Y Gastos Informáticos</v>
      </c>
      <c r="H2026" s="146" t="str">
        <f>+VLOOKUP(D2026,'3. Cuentas'!A:F,6,0)</f>
        <v>SI</v>
      </c>
    </row>
    <row r="2027" spans="1:8" x14ac:dyDescent="0.25">
      <c r="A2027" s="43">
        <v>10264104</v>
      </c>
      <c r="B2027" t="s">
        <v>1321</v>
      </c>
      <c r="C2027" s="43" t="s">
        <v>90</v>
      </c>
      <c r="D2027" s="43">
        <v>4204021</v>
      </c>
      <c r="E2027" t="s">
        <v>329</v>
      </c>
      <c r="F2027" s="47" t="str">
        <f>+Centro_Cuenta8[[#This Row],[Codigo Centro Gestion]]&amp;" - "&amp;Centro_Cuenta8[[#This Row],[Nombre Centro Gestion]]</f>
        <v>10264104 - Edificio Libertad-Ventas</v>
      </c>
      <c r="G2027" s="47" t="str">
        <f>+Centro_Cuenta8[[#This Row],[Código Cuenta Contable]]&amp;" - "&amp;Centro_Cuenta8[[#This Row],[Nombre de Cuenta Contable]]</f>
        <v>4204021 - Publicidad Ferias Y Eventos</v>
      </c>
      <c r="H2027" s="146" t="str">
        <f>+VLOOKUP(D2027,'3. Cuentas'!A:F,6,0)</f>
        <v>SI</v>
      </c>
    </row>
    <row r="2028" spans="1:8" x14ac:dyDescent="0.25">
      <c r="A2028" s="43">
        <v>10264105</v>
      </c>
      <c r="B2028" t="s">
        <v>1322</v>
      </c>
      <c r="C2028" s="43" t="s">
        <v>1622</v>
      </c>
      <c r="D2028" s="43">
        <v>4203020</v>
      </c>
      <c r="E2028" t="s">
        <v>295</v>
      </c>
      <c r="F2028" s="47" t="str">
        <f>+Centro_Cuenta8[[#This Row],[Codigo Centro Gestion]]&amp;" - "&amp;Centro_Cuenta8[[#This Row],[Nombre Centro Gestion]]</f>
        <v>10264105 - Edificio Libertad-Clientes</v>
      </c>
      <c r="G2028" s="47" t="str">
        <f>+Centro_Cuenta8[[#This Row],[Código Cuenta Contable]]&amp;" - "&amp;Centro_Cuenta8[[#This Row],[Nombre de Cuenta Contable]]</f>
        <v>4203020 - Mant. y Consum. Viv Stock</v>
      </c>
      <c r="H2028" s="146" t="str">
        <f>+VLOOKUP(D2028,'3. Cuentas'!A:F,6,0)</f>
        <v>SI</v>
      </c>
    </row>
    <row r="2029" spans="1:8" x14ac:dyDescent="0.25">
      <c r="A2029" s="43">
        <v>10264105</v>
      </c>
      <c r="B2029" t="s">
        <v>1322</v>
      </c>
      <c r="C2029" s="43" t="s">
        <v>1622</v>
      </c>
      <c r="D2029" s="43">
        <v>4203120</v>
      </c>
      <c r="E2029" t="s">
        <v>108</v>
      </c>
      <c r="F2029" s="47" t="str">
        <f>+Centro_Cuenta8[[#This Row],[Codigo Centro Gestion]]&amp;" - "&amp;Centro_Cuenta8[[#This Row],[Nombre Centro Gestion]]</f>
        <v>10264105 - Edificio Libertad-Clientes</v>
      </c>
      <c r="G2029" s="47" t="str">
        <f>+Centro_Cuenta8[[#This Row],[Código Cuenta Contable]]&amp;" - "&amp;Centro_Cuenta8[[#This Row],[Nombre de Cuenta Contable]]</f>
        <v>4203120 - Gastos Comunes</v>
      </c>
      <c r="H2029" s="146" t="str">
        <f>+VLOOKUP(D2029,'3. Cuentas'!A:F,6,0)</f>
        <v>SI</v>
      </c>
    </row>
    <row r="2030" spans="1:8" x14ac:dyDescent="0.25">
      <c r="A2030" s="43">
        <v>10264105</v>
      </c>
      <c r="B2030" t="s">
        <v>1322</v>
      </c>
      <c r="C2030" s="43" t="s">
        <v>1622</v>
      </c>
      <c r="D2030" s="43">
        <v>4203140</v>
      </c>
      <c r="E2030" t="s">
        <v>109</v>
      </c>
      <c r="F2030" s="47" t="str">
        <f>+Centro_Cuenta8[[#This Row],[Codigo Centro Gestion]]&amp;" - "&amp;Centro_Cuenta8[[#This Row],[Nombre Centro Gestion]]</f>
        <v>10264105 - Edificio Libertad-Clientes</v>
      </c>
      <c r="G2030" s="47" t="str">
        <f>+Centro_Cuenta8[[#This Row],[Código Cuenta Contable]]&amp;" - "&amp;Centro_Cuenta8[[#This Row],[Nombre de Cuenta Contable]]</f>
        <v>4203140 - Contribuciones</v>
      </c>
      <c r="H2030" s="146" t="str">
        <f>+VLOOKUP(D2030,'3. Cuentas'!A:F,6,0)</f>
        <v>SI</v>
      </c>
    </row>
    <row r="2031" spans="1:8" x14ac:dyDescent="0.25">
      <c r="A2031" s="43">
        <v>10264204</v>
      </c>
      <c r="B2031" t="s">
        <v>1323</v>
      </c>
      <c r="C2031" s="43" t="s">
        <v>1624</v>
      </c>
      <c r="D2031" s="43">
        <v>1103045</v>
      </c>
      <c r="E2031" t="s">
        <v>323</v>
      </c>
      <c r="F2031" s="47" t="str">
        <f>+Centro_Cuenta8[[#This Row],[Codigo Centro Gestion]]&amp;" - "&amp;Centro_Cuenta8[[#This Row],[Nombre Centro Gestion]]</f>
        <v>10264204 - Edificio Libertad-Proyecto</v>
      </c>
      <c r="G2031" s="47" t="str">
        <f>+Centro_Cuenta8[[#This Row],[Código Cuenta Contable]]&amp;" - "&amp;Centro_Cuenta8[[#This Row],[Nombre de Cuenta Contable]]</f>
        <v>1103045 - Aportes reembolsables (electricidad y agua)</v>
      </c>
      <c r="H2031" s="146" t="str">
        <f>+VLOOKUP(D2031,'3. Cuentas'!A:F,6,0)</f>
        <v>SI</v>
      </c>
    </row>
    <row r="2032" spans="1:8" x14ac:dyDescent="0.25">
      <c r="A2032" s="43">
        <v>10264204</v>
      </c>
      <c r="B2032" t="s">
        <v>1323</v>
      </c>
      <c r="C2032" s="43" t="s">
        <v>1624</v>
      </c>
      <c r="D2032" s="43">
        <v>1109020</v>
      </c>
      <c r="E2032" t="s">
        <v>302</v>
      </c>
      <c r="F2032" s="47" t="str">
        <f>+Centro_Cuenta8[[#This Row],[Codigo Centro Gestion]]&amp;" - "&amp;Centro_Cuenta8[[#This Row],[Nombre Centro Gestion]]</f>
        <v>10264204 - Edificio Libertad-Proyecto</v>
      </c>
      <c r="G2032" s="47" t="str">
        <f>+Centro_Cuenta8[[#This Row],[Código Cuenta Contable]]&amp;" - "&amp;Centro_Cuenta8[[#This Row],[Nombre de Cuenta Contable]]</f>
        <v>1109020 - Mobiliario</v>
      </c>
      <c r="H2032" s="146" t="str">
        <f>+VLOOKUP(D2032,'3. Cuentas'!A:F,6,0)</f>
        <v>SI</v>
      </c>
    </row>
    <row r="2033" spans="1:8" x14ac:dyDescent="0.25">
      <c r="A2033" s="43">
        <v>10264204</v>
      </c>
      <c r="B2033" t="s">
        <v>1323</v>
      </c>
      <c r="C2033" s="43" t="s">
        <v>1624</v>
      </c>
      <c r="D2033" s="43">
        <v>1110040</v>
      </c>
      <c r="E2033" t="s">
        <v>1505</v>
      </c>
      <c r="F2033" s="47" t="str">
        <f>+Centro_Cuenta8[[#This Row],[Codigo Centro Gestion]]&amp;" - "&amp;Centro_Cuenta8[[#This Row],[Nombre Centro Gestion]]</f>
        <v>10264204 - Edificio Libertad-Proyecto</v>
      </c>
      <c r="G2033" s="47" t="str">
        <f>+Centro_Cuenta8[[#This Row],[Código Cuenta Contable]]&amp;" - "&amp;Centro_Cuenta8[[#This Row],[Nombre de Cuenta Contable]]</f>
        <v>1110040 - Garantía Pagadas</v>
      </c>
      <c r="H2033" s="146" t="str">
        <f>+VLOOKUP(D2033,'3. Cuentas'!A:F,6,0)</f>
        <v>SI</v>
      </c>
    </row>
    <row r="2034" spans="1:8" x14ac:dyDescent="0.25">
      <c r="A2034" s="43">
        <v>10264204</v>
      </c>
      <c r="B2034" t="s">
        <v>1323</v>
      </c>
      <c r="C2034" s="43" t="s">
        <v>1624</v>
      </c>
      <c r="D2034" s="43">
        <v>1115040</v>
      </c>
      <c r="E2034" t="s">
        <v>291</v>
      </c>
      <c r="F2034" s="47" t="str">
        <f>+Centro_Cuenta8[[#This Row],[Codigo Centro Gestion]]&amp;" - "&amp;Centro_Cuenta8[[#This Row],[Nombre Centro Gestion]]</f>
        <v>10264204 - Edificio Libertad-Proyecto</v>
      </c>
      <c r="G2034" s="47" t="str">
        <f>+Centro_Cuenta8[[#This Row],[Código Cuenta Contable]]&amp;" - "&amp;Centro_Cuenta8[[#This Row],[Nombre de Cuenta Contable]]</f>
        <v>1115040 - Saneamiento De Terreno</v>
      </c>
      <c r="H2034" s="146" t="str">
        <f>+VLOOKUP(D2034,'3. Cuentas'!A:F,6,0)</f>
        <v>SI</v>
      </c>
    </row>
    <row r="2035" spans="1:8" x14ac:dyDescent="0.25">
      <c r="A2035" s="43">
        <v>10264204</v>
      </c>
      <c r="B2035" t="s">
        <v>1323</v>
      </c>
      <c r="C2035" s="43" t="s">
        <v>1624</v>
      </c>
      <c r="D2035" s="43">
        <v>1115050</v>
      </c>
      <c r="E2035" t="s">
        <v>1628</v>
      </c>
      <c r="F2035" s="47" t="str">
        <f>+Centro_Cuenta8[[#This Row],[Codigo Centro Gestion]]&amp;" - "&amp;Centro_Cuenta8[[#This Row],[Nombre Centro Gestion]]</f>
        <v>10264204 - Edificio Libertad-Proyecto</v>
      </c>
      <c r="G2035" s="47" t="str">
        <f>+Centro_Cuenta8[[#This Row],[Código Cuenta Contable]]&amp;" - "&amp;Centro_Cuenta8[[#This Row],[Nombre de Cuenta Contable]]</f>
        <v>1115050 - Demolición</v>
      </c>
      <c r="H2035" s="146" t="str">
        <f>+VLOOKUP(D2035,'3. Cuentas'!A:F,6,0)</f>
        <v>SI</v>
      </c>
    </row>
    <row r="2036" spans="1:8" x14ac:dyDescent="0.25">
      <c r="A2036" s="43">
        <v>10264204</v>
      </c>
      <c r="B2036" t="s">
        <v>1323</v>
      </c>
      <c r="C2036" s="43" t="s">
        <v>1624</v>
      </c>
      <c r="D2036" s="43">
        <v>1115100</v>
      </c>
      <c r="E2036" t="s">
        <v>292</v>
      </c>
      <c r="F2036" s="47" t="str">
        <f>+Centro_Cuenta8[[#This Row],[Codigo Centro Gestion]]&amp;" - "&amp;Centro_Cuenta8[[#This Row],[Nombre Centro Gestion]]</f>
        <v>10264204 - Edificio Libertad-Proyecto</v>
      </c>
      <c r="G2036" s="47" t="str">
        <f>+Centro_Cuenta8[[#This Row],[Código Cuenta Contable]]&amp;" - "&amp;Centro_Cuenta8[[#This Row],[Nombre de Cuenta Contable]]</f>
        <v>1115100 - Proyectos Y Especialidades</v>
      </c>
      <c r="H2036" s="146" t="str">
        <f>+VLOOKUP(D2036,'3. Cuentas'!A:F,6,0)</f>
        <v>SI</v>
      </c>
    </row>
    <row r="2037" spans="1:8" x14ac:dyDescent="0.25">
      <c r="A2037" s="43">
        <v>10264204</v>
      </c>
      <c r="B2037" t="s">
        <v>1323</v>
      </c>
      <c r="C2037" s="43" t="s">
        <v>1624</v>
      </c>
      <c r="D2037" s="43">
        <v>1115120</v>
      </c>
      <c r="E2037" t="s">
        <v>1633</v>
      </c>
      <c r="F2037" s="47" t="str">
        <f>+Centro_Cuenta8[[#This Row],[Codigo Centro Gestion]]&amp;" - "&amp;Centro_Cuenta8[[#This Row],[Nombre Centro Gestion]]</f>
        <v>10264204 - Edificio Libertad-Proyecto</v>
      </c>
      <c r="G2037" s="47" t="str">
        <f>+Centro_Cuenta8[[#This Row],[Código Cuenta Contable]]&amp;" - "&amp;Centro_Cuenta8[[#This Row],[Nombre de Cuenta Contable]]</f>
        <v>1115120 - Instalación Empalmes</v>
      </c>
      <c r="H2037" s="146" t="str">
        <f>+VLOOKUP(D2037,'3. Cuentas'!A:F,6,0)</f>
        <v>SI</v>
      </c>
    </row>
    <row r="2038" spans="1:8" x14ac:dyDescent="0.25">
      <c r="A2038" s="43">
        <v>10264204</v>
      </c>
      <c r="B2038" t="s">
        <v>1323</v>
      </c>
      <c r="C2038" s="43" t="s">
        <v>1624</v>
      </c>
      <c r="D2038" s="43">
        <v>1115170</v>
      </c>
      <c r="E2038" t="s">
        <v>293</v>
      </c>
      <c r="F2038" s="47" t="str">
        <f>+Centro_Cuenta8[[#This Row],[Codigo Centro Gestion]]&amp;" - "&amp;Centro_Cuenta8[[#This Row],[Nombre Centro Gestion]]</f>
        <v>10264204 - Edificio Libertad-Proyecto</v>
      </c>
      <c r="G2038" s="47" t="str">
        <f>+Centro_Cuenta8[[#This Row],[Código Cuenta Contable]]&amp;" - "&amp;Centro_Cuenta8[[#This Row],[Nombre de Cuenta Contable]]</f>
        <v>1115170 - Permisos Y Otros Gastos Municipales</v>
      </c>
      <c r="H2038" s="146" t="str">
        <f>+VLOOKUP(D2038,'3. Cuentas'!A:F,6,0)</f>
        <v>SI</v>
      </c>
    </row>
    <row r="2039" spans="1:8" x14ac:dyDescent="0.25">
      <c r="A2039" s="43">
        <v>10264204</v>
      </c>
      <c r="B2039" t="s">
        <v>1323</v>
      </c>
      <c r="C2039" s="43" t="s">
        <v>1624</v>
      </c>
      <c r="D2039" s="43">
        <v>1115240</v>
      </c>
      <c r="E2039" t="s">
        <v>294</v>
      </c>
      <c r="F2039" s="47" t="str">
        <f>+Centro_Cuenta8[[#This Row],[Codigo Centro Gestion]]&amp;" - "&amp;Centro_Cuenta8[[#This Row],[Nombre Centro Gestion]]</f>
        <v>10264204 - Edificio Libertad-Proyecto</v>
      </c>
      <c r="G2039" s="47" t="str">
        <f>+Centro_Cuenta8[[#This Row],[Código Cuenta Contable]]&amp;" - "&amp;Centro_Cuenta8[[#This Row],[Nombre de Cuenta Contable]]</f>
        <v>1115240 - Estudios Y Asesorias Técnicas</v>
      </c>
      <c r="H2039" s="146" t="str">
        <f>+VLOOKUP(D2039,'3. Cuentas'!A:F,6,0)</f>
        <v>SI</v>
      </c>
    </row>
    <row r="2040" spans="1:8" x14ac:dyDescent="0.25">
      <c r="A2040" s="43">
        <v>10264204</v>
      </c>
      <c r="B2040" t="s">
        <v>1323</v>
      </c>
      <c r="C2040" s="43" t="s">
        <v>1624</v>
      </c>
      <c r="D2040" s="43">
        <v>4203090</v>
      </c>
      <c r="E2040" t="s">
        <v>192</v>
      </c>
      <c r="F2040" s="47" t="str">
        <f>+Centro_Cuenta8[[#This Row],[Codigo Centro Gestion]]&amp;" - "&amp;Centro_Cuenta8[[#This Row],[Nombre Centro Gestion]]</f>
        <v>10264204 - Edificio Libertad-Proyecto</v>
      </c>
      <c r="G2040" s="47" t="str">
        <f>+Centro_Cuenta8[[#This Row],[Código Cuenta Contable]]&amp;" - "&amp;Centro_Cuenta8[[#This Row],[Nombre de Cuenta Contable]]</f>
        <v>4203090 - Gastos Legales Y Notariales Proyecto</v>
      </c>
      <c r="H2040" s="146" t="str">
        <f>+VLOOKUP(D2040,'3. Cuentas'!A:F,6,0)</f>
        <v>SI</v>
      </c>
    </row>
    <row r="2041" spans="1:8" x14ac:dyDescent="0.25">
      <c r="A2041" s="43">
        <v>10264204</v>
      </c>
      <c r="B2041" t="s">
        <v>1323</v>
      </c>
      <c r="C2041" s="43" t="s">
        <v>1624</v>
      </c>
      <c r="D2041" s="43">
        <v>4203140</v>
      </c>
      <c r="E2041" t="s">
        <v>109</v>
      </c>
      <c r="F2041" s="47" t="str">
        <f>+Centro_Cuenta8[[#This Row],[Codigo Centro Gestion]]&amp;" - "&amp;Centro_Cuenta8[[#This Row],[Nombre Centro Gestion]]</f>
        <v>10264204 - Edificio Libertad-Proyecto</v>
      </c>
      <c r="G2041" s="47" t="str">
        <f>+Centro_Cuenta8[[#This Row],[Código Cuenta Contable]]&amp;" - "&amp;Centro_Cuenta8[[#This Row],[Nombre de Cuenta Contable]]</f>
        <v>4203140 - Contribuciones</v>
      </c>
      <c r="H2041" s="146" t="str">
        <f>+VLOOKUP(D2041,'3. Cuentas'!A:F,6,0)</f>
        <v>SI</v>
      </c>
    </row>
    <row r="2042" spans="1:8" x14ac:dyDescent="0.25">
      <c r="A2042" s="43">
        <v>10264204</v>
      </c>
      <c r="B2042" t="s">
        <v>1323</v>
      </c>
      <c r="C2042" s="43" t="s">
        <v>1624</v>
      </c>
      <c r="D2042" s="43">
        <v>4203150</v>
      </c>
      <c r="E2042" t="s">
        <v>156</v>
      </c>
      <c r="F2042" s="47" t="str">
        <f>+Centro_Cuenta8[[#This Row],[Codigo Centro Gestion]]&amp;" - "&amp;Centro_Cuenta8[[#This Row],[Nombre Centro Gestion]]</f>
        <v>10264204 - Edificio Libertad-Proyecto</v>
      </c>
      <c r="G2042" s="47" t="str">
        <f>+Centro_Cuenta8[[#This Row],[Código Cuenta Contable]]&amp;" - "&amp;Centro_Cuenta8[[#This Row],[Nombre de Cuenta Contable]]</f>
        <v>4203150 - Gastos CBR</v>
      </c>
      <c r="H2042" s="146" t="str">
        <f>+VLOOKUP(D2042,'3. Cuentas'!A:F,6,0)</f>
        <v>SI</v>
      </c>
    </row>
    <row r="2043" spans="1:8" x14ac:dyDescent="0.25">
      <c r="A2043" s="43">
        <v>10264204</v>
      </c>
      <c r="B2043" t="s">
        <v>1323</v>
      </c>
      <c r="C2043" s="43" t="s">
        <v>1624</v>
      </c>
      <c r="D2043" s="43">
        <v>4203160</v>
      </c>
      <c r="E2043" t="s">
        <v>1639</v>
      </c>
      <c r="F2043" s="47" t="str">
        <f>+Centro_Cuenta8[[#This Row],[Codigo Centro Gestion]]&amp;" - "&amp;Centro_Cuenta8[[#This Row],[Nombre Centro Gestion]]</f>
        <v>10264204 - Edificio Libertad-Proyecto</v>
      </c>
      <c r="G2043" s="47" t="str">
        <f>+Centro_Cuenta8[[#This Row],[Código Cuenta Contable]]&amp;" - "&amp;Centro_Cuenta8[[#This Row],[Nombre de Cuenta Contable]]</f>
        <v>4203160 - PAPELERIA Y FOTOCOPIADO</v>
      </c>
      <c r="H2043" s="146" t="str">
        <f>+VLOOKUP(D2043,'3. Cuentas'!A:F,6,0)</f>
        <v>SI</v>
      </c>
    </row>
    <row r="2044" spans="1:8" x14ac:dyDescent="0.25">
      <c r="A2044" s="43">
        <v>10264204</v>
      </c>
      <c r="B2044" t="s">
        <v>1323</v>
      </c>
      <c r="C2044" s="43" t="s">
        <v>1624</v>
      </c>
      <c r="D2044" s="43">
        <v>4203180</v>
      </c>
      <c r="E2044" t="s">
        <v>1640</v>
      </c>
      <c r="F2044" s="47" t="str">
        <f>+Centro_Cuenta8[[#This Row],[Codigo Centro Gestion]]&amp;" - "&amp;Centro_Cuenta8[[#This Row],[Nombre Centro Gestion]]</f>
        <v>10264204 - Edificio Libertad-Proyecto</v>
      </c>
      <c r="G2044" s="47" t="str">
        <f>+Centro_Cuenta8[[#This Row],[Código Cuenta Contable]]&amp;" - "&amp;Centro_Cuenta8[[#This Row],[Nombre de Cuenta Contable]]</f>
        <v>4203180 - Otros Gastos y Aseso Proy</v>
      </c>
      <c r="H2044" s="146" t="str">
        <f>+VLOOKUP(D2044,'3. Cuentas'!A:F,6,0)</f>
        <v>SI</v>
      </c>
    </row>
    <row r="2045" spans="1:8" x14ac:dyDescent="0.25">
      <c r="A2045" s="43">
        <v>10264301</v>
      </c>
      <c r="B2045" t="s">
        <v>1324</v>
      </c>
      <c r="C2045" s="43" t="s">
        <v>1643</v>
      </c>
      <c r="D2045" s="43">
        <v>4203090</v>
      </c>
      <c r="E2045" t="s">
        <v>192</v>
      </c>
      <c r="F2045" s="47" t="str">
        <f>+Centro_Cuenta8[[#This Row],[Codigo Centro Gestion]]&amp;" - "&amp;Centro_Cuenta8[[#This Row],[Nombre Centro Gestion]]</f>
        <v>10264301 - Edificio Libertad-GAF</v>
      </c>
      <c r="G2045" s="47" t="str">
        <f>+Centro_Cuenta8[[#This Row],[Código Cuenta Contable]]&amp;" - "&amp;Centro_Cuenta8[[#This Row],[Nombre de Cuenta Contable]]</f>
        <v>4203090 - Gastos Legales Y Notariales Proyecto</v>
      </c>
      <c r="H2045" s="146" t="str">
        <f>+VLOOKUP(D2045,'3. Cuentas'!A:F,6,0)</f>
        <v>SI</v>
      </c>
    </row>
    <row r="2046" spans="1:8" x14ac:dyDescent="0.25">
      <c r="A2046" s="43">
        <v>10264301</v>
      </c>
      <c r="B2046" t="s">
        <v>1324</v>
      </c>
      <c r="C2046" s="43" t="s">
        <v>1643</v>
      </c>
      <c r="D2046" s="43">
        <v>4203140</v>
      </c>
      <c r="E2046" t="s">
        <v>109</v>
      </c>
      <c r="F2046" s="47" t="str">
        <f>+Centro_Cuenta8[[#This Row],[Codigo Centro Gestion]]&amp;" - "&amp;Centro_Cuenta8[[#This Row],[Nombre Centro Gestion]]</f>
        <v>10264301 - Edificio Libertad-GAF</v>
      </c>
      <c r="G2046" s="47" t="str">
        <f>+Centro_Cuenta8[[#This Row],[Código Cuenta Contable]]&amp;" - "&amp;Centro_Cuenta8[[#This Row],[Nombre de Cuenta Contable]]</f>
        <v>4203140 - Contribuciones</v>
      </c>
      <c r="H2046" s="146" t="str">
        <f>+VLOOKUP(D2046,'3. Cuentas'!A:F,6,0)</f>
        <v>SI</v>
      </c>
    </row>
    <row r="2047" spans="1:8" x14ac:dyDescent="0.25">
      <c r="A2047" s="43">
        <v>10264506</v>
      </c>
      <c r="B2047" t="s">
        <v>1326</v>
      </c>
      <c r="C2047" s="43" t="s">
        <v>200</v>
      </c>
      <c r="D2047" s="43">
        <v>1115100</v>
      </c>
      <c r="E2047" t="s">
        <v>292</v>
      </c>
      <c r="F2047" s="47" t="str">
        <f>+Centro_Cuenta8[[#This Row],[Codigo Centro Gestion]]&amp;" - "&amp;Centro_Cuenta8[[#This Row],[Nombre Centro Gestion]]</f>
        <v>10264506 - Edificio Libertad-Depto.Técnico</v>
      </c>
      <c r="G2047" s="47" t="str">
        <f>+Centro_Cuenta8[[#This Row],[Código Cuenta Contable]]&amp;" - "&amp;Centro_Cuenta8[[#This Row],[Nombre de Cuenta Contable]]</f>
        <v>1115100 - Proyectos Y Especialidades</v>
      </c>
      <c r="H2047" s="146" t="str">
        <f>+VLOOKUP(D2047,'3. Cuentas'!A:F,6,0)</f>
        <v>SI</v>
      </c>
    </row>
    <row r="2048" spans="1:8" x14ac:dyDescent="0.25">
      <c r="A2048" s="43">
        <v>10265102</v>
      </c>
      <c r="B2048" t="s">
        <v>1327</v>
      </c>
      <c r="C2048" s="43" t="s">
        <v>1617</v>
      </c>
      <c r="D2048" s="43">
        <v>4204010</v>
      </c>
      <c r="E2048" t="s">
        <v>313</v>
      </c>
      <c r="F2048" s="47" t="str">
        <f>+Centro_Cuenta8[[#This Row],[Codigo Centro Gestion]]&amp;" - "&amp;Centro_Cuenta8[[#This Row],[Nombre Centro Gestion]]</f>
        <v>10265102 - Edificio Latorre-Marketing</v>
      </c>
      <c r="G2048" s="47" t="str">
        <f>+Centro_Cuenta8[[#This Row],[Código Cuenta Contable]]&amp;" - "&amp;Centro_Cuenta8[[#This Row],[Nombre de Cuenta Contable]]</f>
        <v>4204010 - Publicidad Punto Venta</v>
      </c>
      <c r="H2048" s="146" t="str">
        <f>+VLOOKUP(D2048,'3. Cuentas'!A:F,6,0)</f>
        <v>SI</v>
      </c>
    </row>
    <row r="2049" spans="1:8" x14ac:dyDescent="0.25">
      <c r="A2049" s="43">
        <v>10265102</v>
      </c>
      <c r="B2049" t="s">
        <v>1327</v>
      </c>
      <c r="C2049" s="43" t="s">
        <v>1617</v>
      </c>
      <c r="D2049" s="43">
        <v>4204021</v>
      </c>
      <c r="E2049" t="s">
        <v>329</v>
      </c>
      <c r="F2049" s="47" t="str">
        <f>+Centro_Cuenta8[[#This Row],[Codigo Centro Gestion]]&amp;" - "&amp;Centro_Cuenta8[[#This Row],[Nombre Centro Gestion]]</f>
        <v>10265102 - Edificio Latorre-Marketing</v>
      </c>
      <c r="G2049" s="47" t="str">
        <f>+Centro_Cuenta8[[#This Row],[Código Cuenta Contable]]&amp;" - "&amp;Centro_Cuenta8[[#This Row],[Nombre de Cuenta Contable]]</f>
        <v>4204021 - Publicidad Ferias Y Eventos</v>
      </c>
      <c r="H2049" s="146" t="str">
        <f>+VLOOKUP(D2049,'3. Cuentas'!A:F,6,0)</f>
        <v>SI</v>
      </c>
    </row>
    <row r="2050" spans="1:8" x14ac:dyDescent="0.25">
      <c r="A2050" s="43">
        <v>10265103</v>
      </c>
      <c r="B2050" t="s">
        <v>1328</v>
      </c>
      <c r="C2050" s="43" t="s">
        <v>1618</v>
      </c>
      <c r="D2050" s="43">
        <v>4203060</v>
      </c>
      <c r="E2050" t="s">
        <v>321</v>
      </c>
      <c r="F2050" s="47" t="str">
        <f>+Centro_Cuenta8[[#This Row],[Codigo Centro Gestion]]&amp;" - "&amp;Centro_Cuenta8[[#This Row],[Nombre Centro Gestion]]</f>
        <v>10265103 - Edificio Latorre-Operaciones</v>
      </c>
      <c r="G2050" s="47" t="str">
        <f>+Centro_Cuenta8[[#This Row],[Código Cuenta Contable]]&amp;" - "&amp;Centro_Cuenta8[[#This Row],[Nombre de Cuenta Contable]]</f>
        <v>4203060 - Gastos Operacionales De Clientes</v>
      </c>
      <c r="H2050" s="146" t="str">
        <f>+VLOOKUP(D2050,'3. Cuentas'!A:F,6,0)</f>
        <v>SI</v>
      </c>
    </row>
    <row r="2051" spans="1:8" x14ac:dyDescent="0.25">
      <c r="A2051" s="43">
        <v>10265103</v>
      </c>
      <c r="B2051" t="s">
        <v>1328</v>
      </c>
      <c r="C2051" s="43" t="s">
        <v>1618</v>
      </c>
      <c r="D2051" s="43">
        <v>4203090</v>
      </c>
      <c r="E2051" t="s">
        <v>192</v>
      </c>
      <c r="F2051" s="47" t="str">
        <f>+Centro_Cuenta8[[#This Row],[Codigo Centro Gestion]]&amp;" - "&amp;Centro_Cuenta8[[#This Row],[Nombre Centro Gestion]]</f>
        <v>10265103 - Edificio Latorre-Operaciones</v>
      </c>
      <c r="G2051" s="47" t="str">
        <f>+Centro_Cuenta8[[#This Row],[Código Cuenta Contable]]&amp;" - "&amp;Centro_Cuenta8[[#This Row],[Nombre de Cuenta Contable]]</f>
        <v>4203090 - Gastos Legales Y Notariales Proyecto</v>
      </c>
      <c r="H2051" s="146" t="str">
        <f>+VLOOKUP(D2051,'3. Cuentas'!A:F,6,0)</f>
        <v>SI</v>
      </c>
    </row>
    <row r="2052" spans="1:8" x14ac:dyDescent="0.25">
      <c r="A2052" s="43">
        <v>10265104</v>
      </c>
      <c r="B2052" t="s">
        <v>1329</v>
      </c>
      <c r="C2052" s="43" t="s">
        <v>90</v>
      </c>
      <c r="D2052" s="43">
        <v>1110040</v>
      </c>
      <c r="E2052" t="s">
        <v>1505</v>
      </c>
      <c r="F2052" s="47" t="str">
        <f>+Centro_Cuenta8[[#This Row],[Codigo Centro Gestion]]&amp;" - "&amp;Centro_Cuenta8[[#This Row],[Nombre Centro Gestion]]</f>
        <v>10265104 - Edificio Latorre-Ventas</v>
      </c>
      <c r="G2052" s="47" t="str">
        <f>+Centro_Cuenta8[[#This Row],[Código Cuenta Contable]]&amp;" - "&amp;Centro_Cuenta8[[#This Row],[Nombre de Cuenta Contable]]</f>
        <v>1110040 - Garantía Pagadas</v>
      </c>
      <c r="H2052" s="146" t="str">
        <f>+VLOOKUP(D2052,'3. Cuentas'!A:F,6,0)</f>
        <v>SI</v>
      </c>
    </row>
    <row r="2053" spans="1:8" x14ac:dyDescent="0.25">
      <c r="A2053" s="43">
        <v>10265104</v>
      </c>
      <c r="B2053" t="s">
        <v>1329</v>
      </c>
      <c r="C2053" s="43" t="s">
        <v>90</v>
      </c>
      <c r="D2053" s="43">
        <v>4202003</v>
      </c>
      <c r="E2053" t="s">
        <v>106</v>
      </c>
      <c r="F2053" s="47" t="str">
        <f>+Centro_Cuenta8[[#This Row],[Codigo Centro Gestion]]&amp;" - "&amp;Centro_Cuenta8[[#This Row],[Nombre Centro Gestion]]</f>
        <v>10265104 - Edificio Latorre-Ventas</v>
      </c>
      <c r="G2053" s="47" t="str">
        <f>+Centro_Cuenta8[[#This Row],[Código Cuenta Contable]]&amp;" - "&amp;Centro_Cuenta8[[#This Row],[Nombre de Cuenta Contable]]</f>
        <v>4202003 - Serv.Basic.Luz.Agua.Tel Of.C</v>
      </c>
      <c r="H2053" s="146" t="str">
        <f>+VLOOKUP(D2053,'3. Cuentas'!A:F,6,0)</f>
        <v>SI</v>
      </c>
    </row>
    <row r="2054" spans="1:8" x14ac:dyDescent="0.25">
      <c r="A2054" s="43">
        <v>10265104</v>
      </c>
      <c r="B2054" t="s">
        <v>1329</v>
      </c>
      <c r="C2054" s="43" t="s">
        <v>90</v>
      </c>
      <c r="D2054" s="43">
        <v>4202010</v>
      </c>
      <c r="E2054" t="s">
        <v>87</v>
      </c>
      <c r="F2054" s="47" t="str">
        <f>+Centro_Cuenta8[[#This Row],[Codigo Centro Gestion]]&amp;" - "&amp;Centro_Cuenta8[[#This Row],[Nombre Centro Gestion]]</f>
        <v>10265104 - Edificio Latorre-Ventas</v>
      </c>
      <c r="G2054" s="47" t="str">
        <f>+Centro_Cuenta8[[#This Row],[Código Cuenta Contable]]&amp;" - "&amp;Centro_Cuenta8[[#This Row],[Nombre de Cuenta Contable]]</f>
        <v>4202010 - Artic. Ofic. Fotocop.Papelería</v>
      </c>
      <c r="H2054" s="146" t="str">
        <f>+VLOOKUP(D2054,'3. Cuentas'!A:F,6,0)</f>
        <v>SI</v>
      </c>
    </row>
    <row r="2055" spans="1:8" x14ac:dyDescent="0.25">
      <c r="A2055" s="43">
        <v>10265104</v>
      </c>
      <c r="B2055" t="s">
        <v>1329</v>
      </c>
      <c r="C2055" s="43" t="s">
        <v>90</v>
      </c>
      <c r="D2055" s="43">
        <v>4202019</v>
      </c>
      <c r="E2055" t="s">
        <v>81</v>
      </c>
      <c r="F2055" s="47" t="str">
        <f>+Centro_Cuenta8[[#This Row],[Codigo Centro Gestion]]&amp;" - "&amp;Centro_Cuenta8[[#This Row],[Nombre Centro Gestion]]</f>
        <v>10265104 - Edificio Latorre-Ventas</v>
      </c>
      <c r="G2055" s="47" t="str">
        <f>+Centro_Cuenta8[[#This Row],[Código Cuenta Contable]]&amp;" - "&amp;Centro_Cuenta8[[#This Row],[Nombre de Cuenta Contable]]</f>
        <v>4202019 - Gasto General Oficina</v>
      </c>
      <c r="H2055" s="146" t="str">
        <f>+VLOOKUP(D2055,'3. Cuentas'!A:F,6,0)</f>
        <v>SI</v>
      </c>
    </row>
    <row r="2056" spans="1:8" x14ac:dyDescent="0.25">
      <c r="A2056" s="43">
        <v>10265104</v>
      </c>
      <c r="B2056" t="s">
        <v>1329</v>
      </c>
      <c r="C2056" s="43" t="s">
        <v>90</v>
      </c>
      <c r="D2056" s="43">
        <v>4202023</v>
      </c>
      <c r="E2056" t="s">
        <v>82</v>
      </c>
      <c r="F2056" s="47" t="str">
        <f>+Centro_Cuenta8[[#This Row],[Codigo Centro Gestion]]&amp;" - "&amp;Centro_Cuenta8[[#This Row],[Nombre Centro Gestion]]</f>
        <v>10265104 - Edificio Latorre-Ventas</v>
      </c>
      <c r="G2056" s="47" t="str">
        <f>+Centro_Cuenta8[[#This Row],[Código Cuenta Contable]]&amp;" - "&amp;Centro_Cuenta8[[#This Row],[Nombre de Cuenta Contable]]</f>
        <v>4202023 - Honorarios Por Asesorías</v>
      </c>
      <c r="H2056" s="146" t="str">
        <f>+VLOOKUP(D2056,'3. Cuentas'!A:F,6,0)</f>
        <v>SI</v>
      </c>
    </row>
    <row r="2057" spans="1:8" x14ac:dyDescent="0.25">
      <c r="A2057" s="43">
        <v>10265104</v>
      </c>
      <c r="B2057" t="s">
        <v>1329</v>
      </c>
      <c r="C2057" s="43" t="s">
        <v>90</v>
      </c>
      <c r="D2057" s="43">
        <v>4202029</v>
      </c>
      <c r="E2057" t="s">
        <v>83</v>
      </c>
      <c r="F2057" s="47" t="str">
        <f>+Centro_Cuenta8[[#This Row],[Codigo Centro Gestion]]&amp;" - "&amp;Centro_Cuenta8[[#This Row],[Nombre Centro Gestion]]</f>
        <v>10265104 - Edificio Latorre-Ventas</v>
      </c>
      <c r="G2057" s="47" t="str">
        <f>+Centro_Cuenta8[[#This Row],[Código Cuenta Contable]]&amp;" - "&amp;Centro_Cuenta8[[#This Row],[Nombre de Cuenta Contable]]</f>
        <v>4202029 - Insumos Y Gastos Informáticos</v>
      </c>
      <c r="H2057" s="146" t="str">
        <f>+VLOOKUP(D2057,'3. Cuentas'!A:F,6,0)</f>
        <v>SI</v>
      </c>
    </row>
    <row r="2058" spans="1:8" x14ac:dyDescent="0.25">
      <c r="A2058" s="43">
        <v>10265104</v>
      </c>
      <c r="B2058" t="s">
        <v>1329</v>
      </c>
      <c r="C2058" s="43" t="s">
        <v>90</v>
      </c>
      <c r="D2058" s="43">
        <v>4204021</v>
      </c>
      <c r="E2058" t="s">
        <v>329</v>
      </c>
      <c r="F2058" s="47" t="str">
        <f>+Centro_Cuenta8[[#This Row],[Codigo Centro Gestion]]&amp;" - "&amp;Centro_Cuenta8[[#This Row],[Nombre Centro Gestion]]</f>
        <v>10265104 - Edificio Latorre-Ventas</v>
      </c>
      <c r="G2058" s="47" t="str">
        <f>+Centro_Cuenta8[[#This Row],[Código Cuenta Contable]]&amp;" - "&amp;Centro_Cuenta8[[#This Row],[Nombre de Cuenta Contable]]</f>
        <v>4204021 - Publicidad Ferias Y Eventos</v>
      </c>
      <c r="H2058" s="146" t="str">
        <f>+VLOOKUP(D2058,'3. Cuentas'!A:F,6,0)</f>
        <v>SI</v>
      </c>
    </row>
    <row r="2059" spans="1:8" x14ac:dyDescent="0.25">
      <c r="A2059" s="43">
        <v>10265105</v>
      </c>
      <c r="B2059" t="s">
        <v>1330</v>
      </c>
      <c r="C2059" s="43" t="s">
        <v>1622</v>
      </c>
      <c r="D2059" s="43">
        <v>4203020</v>
      </c>
      <c r="E2059" t="s">
        <v>295</v>
      </c>
      <c r="F2059" s="47" t="str">
        <f>+Centro_Cuenta8[[#This Row],[Codigo Centro Gestion]]&amp;" - "&amp;Centro_Cuenta8[[#This Row],[Nombre Centro Gestion]]</f>
        <v>10265105 - Edificio Latorre-Clientes</v>
      </c>
      <c r="G2059" s="47" t="str">
        <f>+Centro_Cuenta8[[#This Row],[Código Cuenta Contable]]&amp;" - "&amp;Centro_Cuenta8[[#This Row],[Nombre de Cuenta Contable]]</f>
        <v>4203020 - Mant. y Consum. Viv Stock</v>
      </c>
      <c r="H2059" s="146" t="str">
        <f>+VLOOKUP(D2059,'3. Cuentas'!A:F,6,0)</f>
        <v>SI</v>
      </c>
    </row>
    <row r="2060" spans="1:8" x14ac:dyDescent="0.25">
      <c r="A2060" s="43">
        <v>10265105</v>
      </c>
      <c r="B2060" t="s">
        <v>1330</v>
      </c>
      <c r="C2060" s="43" t="s">
        <v>1622</v>
      </c>
      <c r="D2060" s="43">
        <v>4203120</v>
      </c>
      <c r="E2060" t="s">
        <v>108</v>
      </c>
      <c r="F2060" s="47" t="str">
        <f>+Centro_Cuenta8[[#This Row],[Codigo Centro Gestion]]&amp;" - "&amp;Centro_Cuenta8[[#This Row],[Nombre Centro Gestion]]</f>
        <v>10265105 - Edificio Latorre-Clientes</v>
      </c>
      <c r="G2060" s="47" t="str">
        <f>+Centro_Cuenta8[[#This Row],[Código Cuenta Contable]]&amp;" - "&amp;Centro_Cuenta8[[#This Row],[Nombre de Cuenta Contable]]</f>
        <v>4203120 - Gastos Comunes</v>
      </c>
      <c r="H2060" s="146" t="str">
        <f>+VLOOKUP(D2060,'3. Cuentas'!A:F,6,0)</f>
        <v>SI</v>
      </c>
    </row>
    <row r="2061" spans="1:8" x14ac:dyDescent="0.25">
      <c r="A2061" s="43">
        <v>10265105</v>
      </c>
      <c r="B2061" t="s">
        <v>1330</v>
      </c>
      <c r="C2061" s="43" t="s">
        <v>1622</v>
      </c>
      <c r="D2061" s="43">
        <v>4203140</v>
      </c>
      <c r="E2061" t="s">
        <v>109</v>
      </c>
      <c r="F2061" s="47" t="str">
        <f>+Centro_Cuenta8[[#This Row],[Codigo Centro Gestion]]&amp;" - "&amp;Centro_Cuenta8[[#This Row],[Nombre Centro Gestion]]</f>
        <v>10265105 - Edificio Latorre-Clientes</v>
      </c>
      <c r="G2061" s="47" t="str">
        <f>+Centro_Cuenta8[[#This Row],[Código Cuenta Contable]]&amp;" - "&amp;Centro_Cuenta8[[#This Row],[Nombre de Cuenta Contable]]</f>
        <v>4203140 - Contribuciones</v>
      </c>
      <c r="H2061" s="146" t="str">
        <f>+VLOOKUP(D2061,'3. Cuentas'!A:F,6,0)</f>
        <v>SI</v>
      </c>
    </row>
    <row r="2062" spans="1:8" x14ac:dyDescent="0.25">
      <c r="A2062" s="43">
        <v>10265204</v>
      </c>
      <c r="B2062" t="s">
        <v>1331</v>
      </c>
      <c r="C2062" s="43" t="s">
        <v>1624</v>
      </c>
      <c r="D2062" s="43">
        <v>1103045</v>
      </c>
      <c r="E2062" t="s">
        <v>323</v>
      </c>
      <c r="F2062" s="47" t="str">
        <f>+Centro_Cuenta8[[#This Row],[Codigo Centro Gestion]]&amp;" - "&amp;Centro_Cuenta8[[#This Row],[Nombre Centro Gestion]]</f>
        <v>10265204 - Edificio Latorre-Proyecto</v>
      </c>
      <c r="G2062" s="47" t="str">
        <f>+Centro_Cuenta8[[#This Row],[Código Cuenta Contable]]&amp;" - "&amp;Centro_Cuenta8[[#This Row],[Nombre de Cuenta Contable]]</f>
        <v>1103045 - Aportes reembolsables (electricidad y agua)</v>
      </c>
      <c r="H2062" s="146" t="str">
        <f>+VLOOKUP(D2062,'3. Cuentas'!A:F,6,0)</f>
        <v>SI</v>
      </c>
    </row>
    <row r="2063" spans="1:8" x14ac:dyDescent="0.25">
      <c r="A2063" s="43">
        <v>10265204</v>
      </c>
      <c r="B2063" t="s">
        <v>1331</v>
      </c>
      <c r="C2063" s="43" t="s">
        <v>1624</v>
      </c>
      <c r="D2063" s="43">
        <v>1109020</v>
      </c>
      <c r="E2063" t="s">
        <v>302</v>
      </c>
      <c r="F2063" s="47" t="str">
        <f>+Centro_Cuenta8[[#This Row],[Codigo Centro Gestion]]&amp;" - "&amp;Centro_Cuenta8[[#This Row],[Nombre Centro Gestion]]</f>
        <v>10265204 - Edificio Latorre-Proyecto</v>
      </c>
      <c r="G2063" s="47" t="str">
        <f>+Centro_Cuenta8[[#This Row],[Código Cuenta Contable]]&amp;" - "&amp;Centro_Cuenta8[[#This Row],[Nombre de Cuenta Contable]]</f>
        <v>1109020 - Mobiliario</v>
      </c>
      <c r="H2063" s="146" t="str">
        <f>+VLOOKUP(D2063,'3. Cuentas'!A:F,6,0)</f>
        <v>SI</v>
      </c>
    </row>
    <row r="2064" spans="1:8" x14ac:dyDescent="0.25">
      <c r="A2064" s="43">
        <v>10265204</v>
      </c>
      <c r="B2064" t="s">
        <v>1331</v>
      </c>
      <c r="C2064" s="43" t="s">
        <v>1624</v>
      </c>
      <c r="D2064" s="43">
        <v>1110040</v>
      </c>
      <c r="E2064" t="s">
        <v>1505</v>
      </c>
      <c r="F2064" s="47" t="str">
        <f>+Centro_Cuenta8[[#This Row],[Codigo Centro Gestion]]&amp;" - "&amp;Centro_Cuenta8[[#This Row],[Nombre Centro Gestion]]</f>
        <v>10265204 - Edificio Latorre-Proyecto</v>
      </c>
      <c r="G2064" s="47" t="str">
        <f>+Centro_Cuenta8[[#This Row],[Código Cuenta Contable]]&amp;" - "&amp;Centro_Cuenta8[[#This Row],[Nombre de Cuenta Contable]]</f>
        <v>1110040 - Garantía Pagadas</v>
      </c>
      <c r="H2064" s="146" t="str">
        <f>+VLOOKUP(D2064,'3. Cuentas'!A:F,6,0)</f>
        <v>SI</v>
      </c>
    </row>
    <row r="2065" spans="1:8" x14ac:dyDescent="0.25">
      <c r="A2065" s="43">
        <v>10265204</v>
      </c>
      <c r="B2065" t="s">
        <v>1331</v>
      </c>
      <c r="C2065" s="43" t="s">
        <v>1624</v>
      </c>
      <c r="D2065" s="43">
        <v>1115040</v>
      </c>
      <c r="E2065" t="s">
        <v>291</v>
      </c>
      <c r="F2065" s="47" t="str">
        <f>+Centro_Cuenta8[[#This Row],[Codigo Centro Gestion]]&amp;" - "&amp;Centro_Cuenta8[[#This Row],[Nombre Centro Gestion]]</f>
        <v>10265204 - Edificio Latorre-Proyecto</v>
      </c>
      <c r="G2065" s="47" t="str">
        <f>+Centro_Cuenta8[[#This Row],[Código Cuenta Contable]]&amp;" - "&amp;Centro_Cuenta8[[#This Row],[Nombre de Cuenta Contable]]</f>
        <v>1115040 - Saneamiento De Terreno</v>
      </c>
      <c r="H2065" s="146" t="str">
        <f>+VLOOKUP(D2065,'3. Cuentas'!A:F,6,0)</f>
        <v>SI</v>
      </c>
    </row>
    <row r="2066" spans="1:8" x14ac:dyDescent="0.25">
      <c r="A2066" s="43">
        <v>10265204</v>
      </c>
      <c r="B2066" t="s">
        <v>1331</v>
      </c>
      <c r="C2066" s="43" t="s">
        <v>1624</v>
      </c>
      <c r="D2066" s="43">
        <v>1115050</v>
      </c>
      <c r="E2066" t="s">
        <v>1628</v>
      </c>
      <c r="F2066" s="47" t="str">
        <f>+Centro_Cuenta8[[#This Row],[Codigo Centro Gestion]]&amp;" - "&amp;Centro_Cuenta8[[#This Row],[Nombre Centro Gestion]]</f>
        <v>10265204 - Edificio Latorre-Proyecto</v>
      </c>
      <c r="G2066" s="47" t="str">
        <f>+Centro_Cuenta8[[#This Row],[Código Cuenta Contable]]&amp;" - "&amp;Centro_Cuenta8[[#This Row],[Nombre de Cuenta Contable]]</f>
        <v>1115050 - Demolición</v>
      </c>
      <c r="H2066" s="146" t="str">
        <f>+VLOOKUP(D2066,'3. Cuentas'!A:F,6,0)</f>
        <v>SI</v>
      </c>
    </row>
    <row r="2067" spans="1:8" x14ac:dyDescent="0.25">
      <c r="A2067" s="43">
        <v>10265204</v>
      </c>
      <c r="B2067" t="s">
        <v>1331</v>
      </c>
      <c r="C2067" s="43" t="s">
        <v>1624</v>
      </c>
      <c r="D2067" s="43">
        <v>1115100</v>
      </c>
      <c r="E2067" t="s">
        <v>292</v>
      </c>
      <c r="F2067" s="47" t="str">
        <f>+Centro_Cuenta8[[#This Row],[Codigo Centro Gestion]]&amp;" - "&amp;Centro_Cuenta8[[#This Row],[Nombre Centro Gestion]]</f>
        <v>10265204 - Edificio Latorre-Proyecto</v>
      </c>
      <c r="G2067" s="47" t="str">
        <f>+Centro_Cuenta8[[#This Row],[Código Cuenta Contable]]&amp;" - "&amp;Centro_Cuenta8[[#This Row],[Nombre de Cuenta Contable]]</f>
        <v>1115100 - Proyectos Y Especialidades</v>
      </c>
      <c r="H2067" s="146" t="str">
        <f>+VLOOKUP(D2067,'3. Cuentas'!A:F,6,0)</f>
        <v>SI</v>
      </c>
    </row>
    <row r="2068" spans="1:8" x14ac:dyDescent="0.25">
      <c r="A2068" s="43">
        <v>10265204</v>
      </c>
      <c r="B2068" t="s">
        <v>1331</v>
      </c>
      <c r="C2068" s="43" t="s">
        <v>1624</v>
      </c>
      <c r="D2068" s="43">
        <v>1115120</v>
      </c>
      <c r="E2068" t="s">
        <v>1633</v>
      </c>
      <c r="F2068" s="47" t="str">
        <f>+Centro_Cuenta8[[#This Row],[Codigo Centro Gestion]]&amp;" - "&amp;Centro_Cuenta8[[#This Row],[Nombre Centro Gestion]]</f>
        <v>10265204 - Edificio Latorre-Proyecto</v>
      </c>
      <c r="G2068" s="47" t="str">
        <f>+Centro_Cuenta8[[#This Row],[Código Cuenta Contable]]&amp;" - "&amp;Centro_Cuenta8[[#This Row],[Nombre de Cuenta Contable]]</f>
        <v>1115120 - Instalación Empalmes</v>
      </c>
      <c r="H2068" s="146" t="str">
        <f>+VLOOKUP(D2068,'3. Cuentas'!A:F,6,0)</f>
        <v>SI</v>
      </c>
    </row>
    <row r="2069" spans="1:8" x14ac:dyDescent="0.25">
      <c r="A2069" s="43">
        <v>10265204</v>
      </c>
      <c r="B2069" t="s">
        <v>1331</v>
      </c>
      <c r="C2069" s="43" t="s">
        <v>1624</v>
      </c>
      <c r="D2069" s="43">
        <v>1115170</v>
      </c>
      <c r="E2069" t="s">
        <v>293</v>
      </c>
      <c r="F2069" s="47" t="str">
        <f>+Centro_Cuenta8[[#This Row],[Codigo Centro Gestion]]&amp;" - "&amp;Centro_Cuenta8[[#This Row],[Nombre Centro Gestion]]</f>
        <v>10265204 - Edificio Latorre-Proyecto</v>
      </c>
      <c r="G2069" s="47" t="str">
        <f>+Centro_Cuenta8[[#This Row],[Código Cuenta Contable]]&amp;" - "&amp;Centro_Cuenta8[[#This Row],[Nombre de Cuenta Contable]]</f>
        <v>1115170 - Permisos Y Otros Gastos Municipales</v>
      </c>
      <c r="H2069" s="146" t="str">
        <f>+VLOOKUP(D2069,'3. Cuentas'!A:F,6,0)</f>
        <v>SI</v>
      </c>
    </row>
    <row r="2070" spans="1:8" x14ac:dyDescent="0.25">
      <c r="A2070" s="43">
        <v>10265204</v>
      </c>
      <c r="B2070" t="s">
        <v>1331</v>
      </c>
      <c r="C2070" s="43" t="s">
        <v>1624</v>
      </c>
      <c r="D2070" s="43">
        <v>1115240</v>
      </c>
      <c r="E2070" t="s">
        <v>294</v>
      </c>
      <c r="F2070" s="47" t="str">
        <f>+Centro_Cuenta8[[#This Row],[Codigo Centro Gestion]]&amp;" - "&amp;Centro_Cuenta8[[#This Row],[Nombre Centro Gestion]]</f>
        <v>10265204 - Edificio Latorre-Proyecto</v>
      </c>
      <c r="G2070" s="47" t="str">
        <f>+Centro_Cuenta8[[#This Row],[Código Cuenta Contable]]&amp;" - "&amp;Centro_Cuenta8[[#This Row],[Nombre de Cuenta Contable]]</f>
        <v>1115240 - Estudios Y Asesorias Técnicas</v>
      </c>
      <c r="H2070" s="146" t="str">
        <f>+VLOOKUP(D2070,'3. Cuentas'!A:F,6,0)</f>
        <v>SI</v>
      </c>
    </row>
    <row r="2071" spans="1:8" x14ac:dyDescent="0.25">
      <c r="A2071" s="43">
        <v>10265204</v>
      </c>
      <c r="B2071" t="s">
        <v>1331</v>
      </c>
      <c r="C2071" s="43" t="s">
        <v>1624</v>
      </c>
      <c r="D2071" s="43">
        <v>4203090</v>
      </c>
      <c r="E2071" t="s">
        <v>192</v>
      </c>
      <c r="F2071" s="47" t="str">
        <f>+Centro_Cuenta8[[#This Row],[Codigo Centro Gestion]]&amp;" - "&amp;Centro_Cuenta8[[#This Row],[Nombre Centro Gestion]]</f>
        <v>10265204 - Edificio Latorre-Proyecto</v>
      </c>
      <c r="G2071" s="47" t="str">
        <f>+Centro_Cuenta8[[#This Row],[Código Cuenta Contable]]&amp;" - "&amp;Centro_Cuenta8[[#This Row],[Nombre de Cuenta Contable]]</f>
        <v>4203090 - Gastos Legales Y Notariales Proyecto</v>
      </c>
      <c r="H2071" s="146" t="str">
        <f>+VLOOKUP(D2071,'3. Cuentas'!A:F,6,0)</f>
        <v>SI</v>
      </c>
    </row>
    <row r="2072" spans="1:8" x14ac:dyDescent="0.25">
      <c r="A2072" s="43">
        <v>10265204</v>
      </c>
      <c r="B2072" t="s">
        <v>1331</v>
      </c>
      <c r="C2072" s="43" t="s">
        <v>1624</v>
      </c>
      <c r="D2072" s="43">
        <v>4203140</v>
      </c>
      <c r="E2072" t="s">
        <v>109</v>
      </c>
      <c r="F2072" s="47" t="str">
        <f>+Centro_Cuenta8[[#This Row],[Codigo Centro Gestion]]&amp;" - "&amp;Centro_Cuenta8[[#This Row],[Nombre Centro Gestion]]</f>
        <v>10265204 - Edificio Latorre-Proyecto</v>
      </c>
      <c r="G2072" s="47" t="str">
        <f>+Centro_Cuenta8[[#This Row],[Código Cuenta Contable]]&amp;" - "&amp;Centro_Cuenta8[[#This Row],[Nombre de Cuenta Contable]]</f>
        <v>4203140 - Contribuciones</v>
      </c>
      <c r="H2072" s="146" t="str">
        <f>+VLOOKUP(D2072,'3. Cuentas'!A:F,6,0)</f>
        <v>SI</v>
      </c>
    </row>
    <row r="2073" spans="1:8" x14ac:dyDescent="0.25">
      <c r="A2073" s="43">
        <v>10265204</v>
      </c>
      <c r="B2073" t="s">
        <v>1331</v>
      </c>
      <c r="C2073" s="43" t="s">
        <v>1624</v>
      </c>
      <c r="D2073" s="43">
        <v>4203150</v>
      </c>
      <c r="E2073" t="s">
        <v>156</v>
      </c>
      <c r="F2073" s="47" t="str">
        <f>+Centro_Cuenta8[[#This Row],[Codigo Centro Gestion]]&amp;" - "&amp;Centro_Cuenta8[[#This Row],[Nombre Centro Gestion]]</f>
        <v>10265204 - Edificio Latorre-Proyecto</v>
      </c>
      <c r="G2073" s="47" t="str">
        <f>+Centro_Cuenta8[[#This Row],[Código Cuenta Contable]]&amp;" - "&amp;Centro_Cuenta8[[#This Row],[Nombre de Cuenta Contable]]</f>
        <v>4203150 - Gastos CBR</v>
      </c>
      <c r="H2073" s="146" t="str">
        <f>+VLOOKUP(D2073,'3. Cuentas'!A:F,6,0)</f>
        <v>SI</v>
      </c>
    </row>
    <row r="2074" spans="1:8" x14ac:dyDescent="0.25">
      <c r="A2074" s="43">
        <v>10265204</v>
      </c>
      <c r="B2074" t="s">
        <v>1331</v>
      </c>
      <c r="C2074" s="43" t="s">
        <v>1624</v>
      </c>
      <c r="D2074" s="43">
        <v>4203160</v>
      </c>
      <c r="E2074" t="s">
        <v>1639</v>
      </c>
      <c r="F2074" s="47" t="str">
        <f>+Centro_Cuenta8[[#This Row],[Codigo Centro Gestion]]&amp;" - "&amp;Centro_Cuenta8[[#This Row],[Nombre Centro Gestion]]</f>
        <v>10265204 - Edificio Latorre-Proyecto</v>
      </c>
      <c r="G2074" s="47" t="str">
        <f>+Centro_Cuenta8[[#This Row],[Código Cuenta Contable]]&amp;" - "&amp;Centro_Cuenta8[[#This Row],[Nombre de Cuenta Contable]]</f>
        <v>4203160 - PAPELERIA Y FOTOCOPIADO</v>
      </c>
      <c r="H2074" s="146" t="str">
        <f>+VLOOKUP(D2074,'3. Cuentas'!A:F,6,0)</f>
        <v>SI</v>
      </c>
    </row>
    <row r="2075" spans="1:8" x14ac:dyDescent="0.25">
      <c r="A2075" s="43">
        <v>10265204</v>
      </c>
      <c r="B2075" t="s">
        <v>1331</v>
      </c>
      <c r="C2075" s="43" t="s">
        <v>1624</v>
      </c>
      <c r="D2075" s="43">
        <v>4203180</v>
      </c>
      <c r="E2075" t="s">
        <v>1640</v>
      </c>
      <c r="F2075" s="47" t="str">
        <f>+Centro_Cuenta8[[#This Row],[Codigo Centro Gestion]]&amp;" - "&amp;Centro_Cuenta8[[#This Row],[Nombre Centro Gestion]]</f>
        <v>10265204 - Edificio Latorre-Proyecto</v>
      </c>
      <c r="G2075" s="47" t="str">
        <f>+Centro_Cuenta8[[#This Row],[Código Cuenta Contable]]&amp;" - "&amp;Centro_Cuenta8[[#This Row],[Nombre de Cuenta Contable]]</f>
        <v>4203180 - Otros Gastos y Aseso Proy</v>
      </c>
      <c r="H2075" s="146" t="str">
        <f>+VLOOKUP(D2075,'3. Cuentas'!A:F,6,0)</f>
        <v>SI</v>
      </c>
    </row>
    <row r="2076" spans="1:8" x14ac:dyDescent="0.25">
      <c r="A2076" s="43">
        <v>10265301</v>
      </c>
      <c r="B2076" t="s">
        <v>1332</v>
      </c>
      <c r="C2076" s="43" t="s">
        <v>1643</v>
      </c>
      <c r="D2076" s="43">
        <v>4203090</v>
      </c>
      <c r="E2076" t="s">
        <v>192</v>
      </c>
      <c r="F2076" s="47" t="str">
        <f>+Centro_Cuenta8[[#This Row],[Codigo Centro Gestion]]&amp;" - "&amp;Centro_Cuenta8[[#This Row],[Nombre Centro Gestion]]</f>
        <v>10265301 - Edificio Latorre-GAF</v>
      </c>
      <c r="G2076" s="47" t="str">
        <f>+Centro_Cuenta8[[#This Row],[Código Cuenta Contable]]&amp;" - "&amp;Centro_Cuenta8[[#This Row],[Nombre de Cuenta Contable]]</f>
        <v>4203090 - Gastos Legales Y Notariales Proyecto</v>
      </c>
      <c r="H2076" s="146" t="str">
        <f>+VLOOKUP(D2076,'3. Cuentas'!A:F,6,0)</f>
        <v>SI</v>
      </c>
    </row>
    <row r="2077" spans="1:8" x14ac:dyDescent="0.25">
      <c r="A2077" s="43">
        <v>10265301</v>
      </c>
      <c r="B2077" t="s">
        <v>1332</v>
      </c>
      <c r="C2077" s="43" t="s">
        <v>1643</v>
      </c>
      <c r="D2077" s="43">
        <v>4203140</v>
      </c>
      <c r="E2077" t="s">
        <v>109</v>
      </c>
      <c r="F2077" s="47" t="str">
        <f>+Centro_Cuenta8[[#This Row],[Codigo Centro Gestion]]&amp;" - "&amp;Centro_Cuenta8[[#This Row],[Nombre Centro Gestion]]</f>
        <v>10265301 - Edificio Latorre-GAF</v>
      </c>
      <c r="G2077" s="47" t="str">
        <f>+Centro_Cuenta8[[#This Row],[Código Cuenta Contable]]&amp;" - "&amp;Centro_Cuenta8[[#This Row],[Nombre de Cuenta Contable]]</f>
        <v>4203140 - Contribuciones</v>
      </c>
      <c r="H2077" s="146" t="str">
        <f>+VLOOKUP(D2077,'3. Cuentas'!A:F,6,0)</f>
        <v>SI</v>
      </c>
    </row>
    <row r="2078" spans="1:8" x14ac:dyDescent="0.25">
      <c r="A2078" s="43">
        <v>10265506</v>
      </c>
      <c r="B2078" t="s">
        <v>1334</v>
      </c>
      <c r="C2078" s="43" t="s">
        <v>200</v>
      </c>
      <c r="D2078" s="43">
        <v>1115100</v>
      </c>
      <c r="E2078" t="s">
        <v>292</v>
      </c>
      <c r="F2078" s="47" t="str">
        <f>+Centro_Cuenta8[[#This Row],[Codigo Centro Gestion]]&amp;" - "&amp;Centro_Cuenta8[[#This Row],[Nombre Centro Gestion]]</f>
        <v>10265506 - Edificio Latorre-Depto.Técnico</v>
      </c>
      <c r="G2078" s="47" t="str">
        <f>+Centro_Cuenta8[[#This Row],[Código Cuenta Contable]]&amp;" - "&amp;Centro_Cuenta8[[#This Row],[Nombre de Cuenta Contable]]</f>
        <v>1115100 - Proyectos Y Especialidades</v>
      </c>
      <c r="H2078" s="146" t="str">
        <f>+VLOOKUP(D2078,'3. Cuentas'!A:F,6,0)</f>
        <v>SI</v>
      </c>
    </row>
    <row r="2079" spans="1:8" x14ac:dyDescent="0.25">
      <c r="A2079" s="43">
        <v>10266102</v>
      </c>
      <c r="B2079" t="s">
        <v>1335</v>
      </c>
      <c r="C2079" s="43" t="s">
        <v>1617</v>
      </c>
      <c r="D2079" s="43">
        <v>4204010</v>
      </c>
      <c r="E2079" t="s">
        <v>313</v>
      </c>
      <c r="F2079" s="47" t="str">
        <f>+Centro_Cuenta8[[#This Row],[Codigo Centro Gestion]]&amp;" - "&amp;Centro_Cuenta8[[#This Row],[Nombre Centro Gestion]]</f>
        <v>10266102 - 18 de Septiembre-Marketing</v>
      </c>
      <c r="G2079" s="47" t="str">
        <f>+Centro_Cuenta8[[#This Row],[Código Cuenta Contable]]&amp;" - "&amp;Centro_Cuenta8[[#This Row],[Nombre de Cuenta Contable]]</f>
        <v>4204010 - Publicidad Punto Venta</v>
      </c>
      <c r="H2079" s="146" t="str">
        <f>+VLOOKUP(D2079,'3. Cuentas'!A:F,6,0)</f>
        <v>SI</v>
      </c>
    </row>
    <row r="2080" spans="1:8" x14ac:dyDescent="0.25">
      <c r="A2080" s="43">
        <v>10266102</v>
      </c>
      <c r="B2080" t="s">
        <v>1335</v>
      </c>
      <c r="C2080" s="43" t="s">
        <v>1617</v>
      </c>
      <c r="D2080" s="43">
        <v>4204021</v>
      </c>
      <c r="E2080" t="s">
        <v>329</v>
      </c>
      <c r="F2080" s="47" t="str">
        <f>+Centro_Cuenta8[[#This Row],[Codigo Centro Gestion]]&amp;" - "&amp;Centro_Cuenta8[[#This Row],[Nombre Centro Gestion]]</f>
        <v>10266102 - 18 de Septiembre-Marketing</v>
      </c>
      <c r="G2080" s="47" t="str">
        <f>+Centro_Cuenta8[[#This Row],[Código Cuenta Contable]]&amp;" - "&amp;Centro_Cuenta8[[#This Row],[Nombre de Cuenta Contable]]</f>
        <v>4204021 - Publicidad Ferias Y Eventos</v>
      </c>
      <c r="H2080" s="146" t="str">
        <f>+VLOOKUP(D2080,'3. Cuentas'!A:F,6,0)</f>
        <v>SI</v>
      </c>
    </row>
    <row r="2081" spans="1:8" x14ac:dyDescent="0.25">
      <c r="A2081" s="43">
        <v>10266103</v>
      </c>
      <c r="B2081" t="s">
        <v>1336</v>
      </c>
      <c r="C2081" s="43" t="s">
        <v>1618</v>
      </c>
      <c r="D2081" s="43">
        <v>4203060</v>
      </c>
      <c r="E2081" t="s">
        <v>321</v>
      </c>
      <c r="F2081" s="47" t="str">
        <f>+Centro_Cuenta8[[#This Row],[Codigo Centro Gestion]]&amp;" - "&amp;Centro_Cuenta8[[#This Row],[Nombre Centro Gestion]]</f>
        <v>10266103 - 18 de Septiembre-Operaciones</v>
      </c>
      <c r="G2081" s="47" t="str">
        <f>+Centro_Cuenta8[[#This Row],[Código Cuenta Contable]]&amp;" - "&amp;Centro_Cuenta8[[#This Row],[Nombre de Cuenta Contable]]</f>
        <v>4203060 - Gastos Operacionales De Clientes</v>
      </c>
      <c r="H2081" s="146" t="str">
        <f>+VLOOKUP(D2081,'3. Cuentas'!A:F,6,0)</f>
        <v>SI</v>
      </c>
    </row>
    <row r="2082" spans="1:8" x14ac:dyDescent="0.25">
      <c r="A2082" s="43">
        <v>10266103</v>
      </c>
      <c r="B2082" t="s">
        <v>1336</v>
      </c>
      <c r="C2082" s="43" t="s">
        <v>1618</v>
      </c>
      <c r="D2082" s="43">
        <v>4203090</v>
      </c>
      <c r="E2082" t="s">
        <v>192</v>
      </c>
      <c r="F2082" s="47" t="str">
        <f>+Centro_Cuenta8[[#This Row],[Codigo Centro Gestion]]&amp;" - "&amp;Centro_Cuenta8[[#This Row],[Nombre Centro Gestion]]</f>
        <v>10266103 - 18 de Septiembre-Operaciones</v>
      </c>
      <c r="G2082" s="47" t="str">
        <f>+Centro_Cuenta8[[#This Row],[Código Cuenta Contable]]&amp;" - "&amp;Centro_Cuenta8[[#This Row],[Nombre de Cuenta Contable]]</f>
        <v>4203090 - Gastos Legales Y Notariales Proyecto</v>
      </c>
      <c r="H2082" s="146" t="str">
        <f>+VLOOKUP(D2082,'3. Cuentas'!A:F,6,0)</f>
        <v>SI</v>
      </c>
    </row>
    <row r="2083" spans="1:8" x14ac:dyDescent="0.25">
      <c r="A2083" s="43">
        <v>10266104</v>
      </c>
      <c r="B2083" t="s">
        <v>1337</v>
      </c>
      <c r="C2083" s="43" t="s">
        <v>90</v>
      </c>
      <c r="D2083" s="43">
        <v>1110040</v>
      </c>
      <c r="E2083" t="s">
        <v>1505</v>
      </c>
      <c r="F2083" s="47" t="str">
        <f>+Centro_Cuenta8[[#This Row],[Codigo Centro Gestion]]&amp;" - "&amp;Centro_Cuenta8[[#This Row],[Nombre Centro Gestion]]</f>
        <v>10266104 - 18 de Septiembre-Ventas</v>
      </c>
      <c r="G2083" s="47" t="str">
        <f>+Centro_Cuenta8[[#This Row],[Código Cuenta Contable]]&amp;" - "&amp;Centro_Cuenta8[[#This Row],[Nombre de Cuenta Contable]]</f>
        <v>1110040 - Garantía Pagadas</v>
      </c>
      <c r="H2083" s="146" t="str">
        <f>+VLOOKUP(D2083,'3. Cuentas'!A:F,6,0)</f>
        <v>SI</v>
      </c>
    </row>
    <row r="2084" spans="1:8" x14ac:dyDescent="0.25">
      <c r="A2084" s="43">
        <v>10266104</v>
      </c>
      <c r="B2084" t="s">
        <v>1337</v>
      </c>
      <c r="C2084" s="43" t="s">
        <v>90</v>
      </c>
      <c r="D2084" s="43">
        <v>4202003</v>
      </c>
      <c r="E2084" t="s">
        <v>106</v>
      </c>
      <c r="F2084" s="47" t="str">
        <f>+Centro_Cuenta8[[#This Row],[Codigo Centro Gestion]]&amp;" - "&amp;Centro_Cuenta8[[#This Row],[Nombre Centro Gestion]]</f>
        <v>10266104 - 18 de Septiembre-Ventas</v>
      </c>
      <c r="G2084" s="47" t="str">
        <f>+Centro_Cuenta8[[#This Row],[Código Cuenta Contable]]&amp;" - "&amp;Centro_Cuenta8[[#This Row],[Nombre de Cuenta Contable]]</f>
        <v>4202003 - Serv.Basic.Luz.Agua.Tel Of.C</v>
      </c>
      <c r="H2084" s="146" t="str">
        <f>+VLOOKUP(D2084,'3. Cuentas'!A:F,6,0)</f>
        <v>SI</v>
      </c>
    </row>
    <row r="2085" spans="1:8" x14ac:dyDescent="0.25">
      <c r="A2085" s="43">
        <v>10266104</v>
      </c>
      <c r="B2085" t="s">
        <v>1337</v>
      </c>
      <c r="C2085" s="43" t="s">
        <v>90</v>
      </c>
      <c r="D2085" s="43">
        <v>4202010</v>
      </c>
      <c r="E2085" t="s">
        <v>87</v>
      </c>
      <c r="F2085" s="47" t="str">
        <f>+Centro_Cuenta8[[#This Row],[Codigo Centro Gestion]]&amp;" - "&amp;Centro_Cuenta8[[#This Row],[Nombre Centro Gestion]]</f>
        <v>10266104 - 18 de Septiembre-Ventas</v>
      </c>
      <c r="G2085" s="47" t="str">
        <f>+Centro_Cuenta8[[#This Row],[Código Cuenta Contable]]&amp;" - "&amp;Centro_Cuenta8[[#This Row],[Nombre de Cuenta Contable]]</f>
        <v>4202010 - Artic. Ofic. Fotocop.Papelería</v>
      </c>
      <c r="H2085" s="146" t="str">
        <f>+VLOOKUP(D2085,'3. Cuentas'!A:F,6,0)</f>
        <v>SI</v>
      </c>
    </row>
    <row r="2086" spans="1:8" x14ac:dyDescent="0.25">
      <c r="A2086" s="43">
        <v>10266104</v>
      </c>
      <c r="B2086" t="s">
        <v>1337</v>
      </c>
      <c r="C2086" s="43" t="s">
        <v>90</v>
      </c>
      <c r="D2086" s="43">
        <v>4202019</v>
      </c>
      <c r="E2086" t="s">
        <v>81</v>
      </c>
      <c r="F2086" s="47" t="str">
        <f>+Centro_Cuenta8[[#This Row],[Codigo Centro Gestion]]&amp;" - "&amp;Centro_Cuenta8[[#This Row],[Nombre Centro Gestion]]</f>
        <v>10266104 - 18 de Septiembre-Ventas</v>
      </c>
      <c r="G2086" s="47" t="str">
        <f>+Centro_Cuenta8[[#This Row],[Código Cuenta Contable]]&amp;" - "&amp;Centro_Cuenta8[[#This Row],[Nombre de Cuenta Contable]]</f>
        <v>4202019 - Gasto General Oficina</v>
      </c>
      <c r="H2086" s="146" t="str">
        <f>+VLOOKUP(D2086,'3. Cuentas'!A:F,6,0)</f>
        <v>SI</v>
      </c>
    </row>
    <row r="2087" spans="1:8" x14ac:dyDescent="0.25">
      <c r="A2087" s="43">
        <v>10266104</v>
      </c>
      <c r="B2087" t="s">
        <v>1337</v>
      </c>
      <c r="C2087" s="43" t="s">
        <v>90</v>
      </c>
      <c r="D2087" s="43">
        <v>4202023</v>
      </c>
      <c r="E2087" t="s">
        <v>82</v>
      </c>
      <c r="F2087" s="47" t="str">
        <f>+Centro_Cuenta8[[#This Row],[Codigo Centro Gestion]]&amp;" - "&amp;Centro_Cuenta8[[#This Row],[Nombre Centro Gestion]]</f>
        <v>10266104 - 18 de Septiembre-Ventas</v>
      </c>
      <c r="G2087" s="47" t="str">
        <f>+Centro_Cuenta8[[#This Row],[Código Cuenta Contable]]&amp;" - "&amp;Centro_Cuenta8[[#This Row],[Nombre de Cuenta Contable]]</f>
        <v>4202023 - Honorarios Por Asesorías</v>
      </c>
      <c r="H2087" s="146" t="str">
        <f>+VLOOKUP(D2087,'3. Cuentas'!A:F,6,0)</f>
        <v>SI</v>
      </c>
    </row>
    <row r="2088" spans="1:8" x14ac:dyDescent="0.25">
      <c r="A2088" s="43">
        <v>10266104</v>
      </c>
      <c r="B2088" t="s">
        <v>1337</v>
      </c>
      <c r="C2088" s="43" t="s">
        <v>90</v>
      </c>
      <c r="D2088" s="43">
        <v>4202029</v>
      </c>
      <c r="E2088" t="s">
        <v>83</v>
      </c>
      <c r="F2088" s="47" t="str">
        <f>+Centro_Cuenta8[[#This Row],[Codigo Centro Gestion]]&amp;" - "&amp;Centro_Cuenta8[[#This Row],[Nombre Centro Gestion]]</f>
        <v>10266104 - 18 de Septiembre-Ventas</v>
      </c>
      <c r="G2088" s="47" t="str">
        <f>+Centro_Cuenta8[[#This Row],[Código Cuenta Contable]]&amp;" - "&amp;Centro_Cuenta8[[#This Row],[Nombre de Cuenta Contable]]</f>
        <v>4202029 - Insumos Y Gastos Informáticos</v>
      </c>
      <c r="H2088" s="146" t="str">
        <f>+VLOOKUP(D2088,'3. Cuentas'!A:F,6,0)</f>
        <v>SI</v>
      </c>
    </row>
    <row r="2089" spans="1:8" x14ac:dyDescent="0.25">
      <c r="A2089" s="43">
        <v>10266104</v>
      </c>
      <c r="B2089" t="s">
        <v>1337</v>
      </c>
      <c r="C2089" s="43" t="s">
        <v>90</v>
      </c>
      <c r="D2089" s="43">
        <v>4204021</v>
      </c>
      <c r="E2089" t="s">
        <v>329</v>
      </c>
      <c r="F2089" s="47" t="str">
        <f>+Centro_Cuenta8[[#This Row],[Codigo Centro Gestion]]&amp;" - "&amp;Centro_Cuenta8[[#This Row],[Nombre Centro Gestion]]</f>
        <v>10266104 - 18 de Septiembre-Ventas</v>
      </c>
      <c r="G2089" s="47" t="str">
        <f>+Centro_Cuenta8[[#This Row],[Código Cuenta Contable]]&amp;" - "&amp;Centro_Cuenta8[[#This Row],[Nombre de Cuenta Contable]]</f>
        <v>4204021 - Publicidad Ferias Y Eventos</v>
      </c>
      <c r="H2089" s="146" t="str">
        <f>+VLOOKUP(D2089,'3. Cuentas'!A:F,6,0)</f>
        <v>SI</v>
      </c>
    </row>
    <row r="2090" spans="1:8" x14ac:dyDescent="0.25">
      <c r="A2090" s="43">
        <v>10266105</v>
      </c>
      <c r="B2090" t="s">
        <v>1338</v>
      </c>
      <c r="C2090" s="43" t="s">
        <v>1622</v>
      </c>
      <c r="D2090" s="43">
        <v>4203020</v>
      </c>
      <c r="E2090" t="s">
        <v>295</v>
      </c>
      <c r="F2090" s="47" t="str">
        <f>+Centro_Cuenta8[[#This Row],[Codigo Centro Gestion]]&amp;" - "&amp;Centro_Cuenta8[[#This Row],[Nombre Centro Gestion]]</f>
        <v>10266105 - 18 de Septiembre-Clientes</v>
      </c>
      <c r="G2090" s="47" t="str">
        <f>+Centro_Cuenta8[[#This Row],[Código Cuenta Contable]]&amp;" - "&amp;Centro_Cuenta8[[#This Row],[Nombre de Cuenta Contable]]</f>
        <v>4203020 - Mant. y Consum. Viv Stock</v>
      </c>
      <c r="H2090" s="146" t="str">
        <f>+VLOOKUP(D2090,'3. Cuentas'!A:F,6,0)</f>
        <v>SI</v>
      </c>
    </row>
    <row r="2091" spans="1:8" x14ac:dyDescent="0.25">
      <c r="A2091" s="43">
        <v>10266105</v>
      </c>
      <c r="B2091" t="s">
        <v>1338</v>
      </c>
      <c r="C2091" s="43" t="s">
        <v>1622</v>
      </c>
      <c r="D2091" s="43">
        <v>4203120</v>
      </c>
      <c r="E2091" t="s">
        <v>108</v>
      </c>
      <c r="F2091" s="47" t="str">
        <f>+Centro_Cuenta8[[#This Row],[Codigo Centro Gestion]]&amp;" - "&amp;Centro_Cuenta8[[#This Row],[Nombre Centro Gestion]]</f>
        <v>10266105 - 18 de Septiembre-Clientes</v>
      </c>
      <c r="G2091" s="47" t="str">
        <f>+Centro_Cuenta8[[#This Row],[Código Cuenta Contable]]&amp;" - "&amp;Centro_Cuenta8[[#This Row],[Nombre de Cuenta Contable]]</f>
        <v>4203120 - Gastos Comunes</v>
      </c>
      <c r="H2091" s="146" t="str">
        <f>+VLOOKUP(D2091,'3. Cuentas'!A:F,6,0)</f>
        <v>SI</v>
      </c>
    </row>
    <row r="2092" spans="1:8" x14ac:dyDescent="0.25">
      <c r="A2092" s="43">
        <v>10266105</v>
      </c>
      <c r="B2092" t="s">
        <v>1338</v>
      </c>
      <c r="C2092" s="43" t="s">
        <v>1622</v>
      </c>
      <c r="D2092" s="43">
        <v>4203140</v>
      </c>
      <c r="E2092" t="s">
        <v>109</v>
      </c>
      <c r="F2092" s="47" t="str">
        <f>+Centro_Cuenta8[[#This Row],[Codigo Centro Gestion]]&amp;" - "&amp;Centro_Cuenta8[[#This Row],[Nombre Centro Gestion]]</f>
        <v>10266105 - 18 de Septiembre-Clientes</v>
      </c>
      <c r="G2092" s="47" t="str">
        <f>+Centro_Cuenta8[[#This Row],[Código Cuenta Contable]]&amp;" - "&amp;Centro_Cuenta8[[#This Row],[Nombre de Cuenta Contable]]</f>
        <v>4203140 - Contribuciones</v>
      </c>
      <c r="H2092" s="146" t="str">
        <f>+VLOOKUP(D2092,'3. Cuentas'!A:F,6,0)</f>
        <v>SI</v>
      </c>
    </row>
    <row r="2093" spans="1:8" x14ac:dyDescent="0.25">
      <c r="A2093" s="43">
        <v>10266204</v>
      </c>
      <c r="B2093" t="s">
        <v>1339</v>
      </c>
      <c r="C2093" s="43" t="s">
        <v>1624</v>
      </c>
      <c r="D2093" s="43">
        <v>1103045</v>
      </c>
      <c r="E2093" t="s">
        <v>323</v>
      </c>
      <c r="F2093" s="47" t="str">
        <f>+Centro_Cuenta8[[#This Row],[Codigo Centro Gestion]]&amp;" - "&amp;Centro_Cuenta8[[#This Row],[Nombre Centro Gestion]]</f>
        <v>10266204 - 18 de Septiembre-Proyecto</v>
      </c>
      <c r="G2093" s="47" t="str">
        <f>+Centro_Cuenta8[[#This Row],[Código Cuenta Contable]]&amp;" - "&amp;Centro_Cuenta8[[#This Row],[Nombre de Cuenta Contable]]</f>
        <v>1103045 - Aportes reembolsables (electricidad y agua)</v>
      </c>
      <c r="H2093" s="146" t="str">
        <f>+VLOOKUP(D2093,'3. Cuentas'!A:F,6,0)</f>
        <v>SI</v>
      </c>
    </row>
    <row r="2094" spans="1:8" x14ac:dyDescent="0.25">
      <c r="A2094" s="43">
        <v>10266204</v>
      </c>
      <c r="B2094" t="s">
        <v>1339</v>
      </c>
      <c r="C2094" s="43" t="s">
        <v>1624</v>
      </c>
      <c r="D2094" s="43">
        <v>1109020</v>
      </c>
      <c r="E2094" t="s">
        <v>302</v>
      </c>
      <c r="F2094" s="47" t="str">
        <f>+Centro_Cuenta8[[#This Row],[Codigo Centro Gestion]]&amp;" - "&amp;Centro_Cuenta8[[#This Row],[Nombre Centro Gestion]]</f>
        <v>10266204 - 18 de Septiembre-Proyecto</v>
      </c>
      <c r="G2094" s="47" t="str">
        <f>+Centro_Cuenta8[[#This Row],[Código Cuenta Contable]]&amp;" - "&amp;Centro_Cuenta8[[#This Row],[Nombre de Cuenta Contable]]</f>
        <v>1109020 - Mobiliario</v>
      </c>
      <c r="H2094" s="146" t="str">
        <f>+VLOOKUP(D2094,'3. Cuentas'!A:F,6,0)</f>
        <v>SI</v>
      </c>
    </row>
    <row r="2095" spans="1:8" x14ac:dyDescent="0.25">
      <c r="A2095" s="43">
        <v>10266204</v>
      </c>
      <c r="B2095" t="s">
        <v>1339</v>
      </c>
      <c r="C2095" s="43" t="s">
        <v>1624</v>
      </c>
      <c r="D2095" s="43">
        <v>1110040</v>
      </c>
      <c r="E2095" t="s">
        <v>1505</v>
      </c>
      <c r="F2095" s="47" t="str">
        <f>+Centro_Cuenta8[[#This Row],[Codigo Centro Gestion]]&amp;" - "&amp;Centro_Cuenta8[[#This Row],[Nombre Centro Gestion]]</f>
        <v>10266204 - 18 de Septiembre-Proyecto</v>
      </c>
      <c r="G2095" s="47" t="str">
        <f>+Centro_Cuenta8[[#This Row],[Código Cuenta Contable]]&amp;" - "&amp;Centro_Cuenta8[[#This Row],[Nombre de Cuenta Contable]]</f>
        <v>1110040 - Garantía Pagadas</v>
      </c>
      <c r="H2095" s="146" t="str">
        <f>+VLOOKUP(D2095,'3. Cuentas'!A:F,6,0)</f>
        <v>SI</v>
      </c>
    </row>
    <row r="2096" spans="1:8" x14ac:dyDescent="0.25">
      <c r="A2096" s="43">
        <v>10266204</v>
      </c>
      <c r="B2096" t="s">
        <v>1339</v>
      </c>
      <c r="C2096" s="43" t="s">
        <v>1624</v>
      </c>
      <c r="D2096" s="43">
        <v>1115040</v>
      </c>
      <c r="E2096" t="s">
        <v>291</v>
      </c>
      <c r="F2096" s="47" t="str">
        <f>+Centro_Cuenta8[[#This Row],[Codigo Centro Gestion]]&amp;" - "&amp;Centro_Cuenta8[[#This Row],[Nombre Centro Gestion]]</f>
        <v>10266204 - 18 de Septiembre-Proyecto</v>
      </c>
      <c r="G2096" s="47" t="str">
        <f>+Centro_Cuenta8[[#This Row],[Código Cuenta Contable]]&amp;" - "&amp;Centro_Cuenta8[[#This Row],[Nombre de Cuenta Contable]]</f>
        <v>1115040 - Saneamiento De Terreno</v>
      </c>
      <c r="H2096" s="146" t="str">
        <f>+VLOOKUP(D2096,'3. Cuentas'!A:F,6,0)</f>
        <v>SI</v>
      </c>
    </row>
    <row r="2097" spans="1:8" x14ac:dyDescent="0.25">
      <c r="A2097" s="43">
        <v>10266204</v>
      </c>
      <c r="B2097" t="s">
        <v>1339</v>
      </c>
      <c r="C2097" s="43" t="s">
        <v>1624</v>
      </c>
      <c r="D2097" s="43">
        <v>1115050</v>
      </c>
      <c r="E2097" t="s">
        <v>1628</v>
      </c>
      <c r="F2097" s="47" t="str">
        <f>+Centro_Cuenta8[[#This Row],[Codigo Centro Gestion]]&amp;" - "&amp;Centro_Cuenta8[[#This Row],[Nombre Centro Gestion]]</f>
        <v>10266204 - 18 de Septiembre-Proyecto</v>
      </c>
      <c r="G2097" s="47" t="str">
        <f>+Centro_Cuenta8[[#This Row],[Código Cuenta Contable]]&amp;" - "&amp;Centro_Cuenta8[[#This Row],[Nombre de Cuenta Contable]]</f>
        <v>1115050 - Demolición</v>
      </c>
      <c r="H2097" s="146" t="str">
        <f>+VLOOKUP(D2097,'3. Cuentas'!A:F,6,0)</f>
        <v>SI</v>
      </c>
    </row>
    <row r="2098" spans="1:8" x14ac:dyDescent="0.25">
      <c r="A2098" s="43">
        <v>10266204</v>
      </c>
      <c r="B2098" t="s">
        <v>1339</v>
      </c>
      <c r="C2098" s="43" t="s">
        <v>1624</v>
      </c>
      <c r="D2098" s="43">
        <v>1115100</v>
      </c>
      <c r="E2098" t="s">
        <v>292</v>
      </c>
      <c r="F2098" s="47" t="str">
        <f>+Centro_Cuenta8[[#This Row],[Codigo Centro Gestion]]&amp;" - "&amp;Centro_Cuenta8[[#This Row],[Nombre Centro Gestion]]</f>
        <v>10266204 - 18 de Septiembre-Proyecto</v>
      </c>
      <c r="G2098" s="47" t="str">
        <f>+Centro_Cuenta8[[#This Row],[Código Cuenta Contable]]&amp;" - "&amp;Centro_Cuenta8[[#This Row],[Nombre de Cuenta Contable]]</f>
        <v>1115100 - Proyectos Y Especialidades</v>
      </c>
      <c r="H2098" s="146" t="str">
        <f>+VLOOKUP(D2098,'3. Cuentas'!A:F,6,0)</f>
        <v>SI</v>
      </c>
    </row>
    <row r="2099" spans="1:8" x14ac:dyDescent="0.25">
      <c r="A2099" s="43">
        <v>10266204</v>
      </c>
      <c r="B2099" t="s">
        <v>1339</v>
      </c>
      <c r="C2099" s="43" t="s">
        <v>1624</v>
      </c>
      <c r="D2099" s="43">
        <v>1115120</v>
      </c>
      <c r="E2099" t="s">
        <v>1633</v>
      </c>
      <c r="F2099" s="47" t="str">
        <f>+Centro_Cuenta8[[#This Row],[Codigo Centro Gestion]]&amp;" - "&amp;Centro_Cuenta8[[#This Row],[Nombre Centro Gestion]]</f>
        <v>10266204 - 18 de Septiembre-Proyecto</v>
      </c>
      <c r="G2099" s="47" t="str">
        <f>+Centro_Cuenta8[[#This Row],[Código Cuenta Contable]]&amp;" - "&amp;Centro_Cuenta8[[#This Row],[Nombre de Cuenta Contable]]</f>
        <v>1115120 - Instalación Empalmes</v>
      </c>
      <c r="H2099" s="146" t="str">
        <f>+VLOOKUP(D2099,'3. Cuentas'!A:F,6,0)</f>
        <v>SI</v>
      </c>
    </row>
    <row r="2100" spans="1:8" x14ac:dyDescent="0.25">
      <c r="A2100" s="43">
        <v>10266204</v>
      </c>
      <c r="B2100" t="s">
        <v>1339</v>
      </c>
      <c r="C2100" s="43" t="s">
        <v>1624</v>
      </c>
      <c r="D2100" s="43">
        <v>1115170</v>
      </c>
      <c r="E2100" t="s">
        <v>293</v>
      </c>
      <c r="F2100" s="47" t="str">
        <f>+Centro_Cuenta8[[#This Row],[Codigo Centro Gestion]]&amp;" - "&amp;Centro_Cuenta8[[#This Row],[Nombre Centro Gestion]]</f>
        <v>10266204 - 18 de Septiembre-Proyecto</v>
      </c>
      <c r="G2100" s="47" t="str">
        <f>+Centro_Cuenta8[[#This Row],[Código Cuenta Contable]]&amp;" - "&amp;Centro_Cuenta8[[#This Row],[Nombre de Cuenta Contable]]</f>
        <v>1115170 - Permisos Y Otros Gastos Municipales</v>
      </c>
      <c r="H2100" s="146" t="str">
        <f>+VLOOKUP(D2100,'3. Cuentas'!A:F,6,0)</f>
        <v>SI</v>
      </c>
    </row>
    <row r="2101" spans="1:8" x14ac:dyDescent="0.25">
      <c r="A2101" s="43">
        <v>10266204</v>
      </c>
      <c r="B2101" t="s">
        <v>1339</v>
      </c>
      <c r="C2101" s="43" t="s">
        <v>1624</v>
      </c>
      <c r="D2101" s="43">
        <v>1115240</v>
      </c>
      <c r="E2101" t="s">
        <v>294</v>
      </c>
      <c r="F2101" s="47" t="str">
        <f>+Centro_Cuenta8[[#This Row],[Codigo Centro Gestion]]&amp;" - "&amp;Centro_Cuenta8[[#This Row],[Nombre Centro Gestion]]</f>
        <v>10266204 - 18 de Septiembre-Proyecto</v>
      </c>
      <c r="G2101" s="47" t="str">
        <f>+Centro_Cuenta8[[#This Row],[Código Cuenta Contable]]&amp;" - "&amp;Centro_Cuenta8[[#This Row],[Nombre de Cuenta Contable]]</f>
        <v>1115240 - Estudios Y Asesorias Técnicas</v>
      </c>
      <c r="H2101" s="146" t="str">
        <f>+VLOOKUP(D2101,'3. Cuentas'!A:F,6,0)</f>
        <v>SI</v>
      </c>
    </row>
    <row r="2102" spans="1:8" x14ac:dyDescent="0.25">
      <c r="A2102" s="43">
        <v>10266204</v>
      </c>
      <c r="B2102" t="s">
        <v>1339</v>
      </c>
      <c r="C2102" s="43" t="s">
        <v>1624</v>
      </c>
      <c r="D2102" s="43">
        <v>4203090</v>
      </c>
      <c r="E2102" t="s">
        <v>192</v>
      </c>
      <c r="F2102" s="47" t="str">
        <f>+Centro_Cuenta8[[#This Row],[Codigo Centro Gestion]]&amp;" - "&amp;Centro_Cuenta8[[#This Row],[Nombre Centro Gestion]]</f>
        <v>10266204 - 18 de Septiembre-Proyecto</v>
      </c>
      <c r="G2102" s="47" t="str">
        <f>+Centro_Cuenta8[[#This Row],[Código Cuenta Contable]]&amp;" - "&amp;Centro_Cuenta8[[#This Row],[Nombre de Cuenta Contable]]</f>
        <v>4203090 - Gastos Legales Y Notariales Proyecto</v>
      </c>
      <c r="H2102" s="146" t="str">
        <f>+VLOOKUP(D2102,'3. Cuentas'!A:F,6,0)</f>
        <v>SI</v>
      </c>
    </row>
    <row r="2103" spans="1:8" x14ac:dyDescent="0.25">
      <c r="A2103" s="43">
        <v>10266204</v>
      </c>
      <c r="B2103" t="s">
        <v>1339</v>
      </c>
      <c r="C2103" s="43" t="s">
        <v>1624</v>
      </c>
      <c r="D2103" s="43">
        <v>4203140</v>
      </c>
      <c r="E2103" t="s">
        <v>109</v>
      </c>
      <c r="F2103" s="47" t="str">
        <f>+Centro_Cuenta8[[#This Row],[Codigo Centro Gestion]]&amp;" - "&amp;Centro_Cuenta8[[#This Row],[Nombre Centro Gestion]]</f>
        <v>10266204 - 18 de Septiembre-Proyecto</v>
      </c>
      <c r="G2103" s="47" t="str">
        <f>+Centro_Cuenta8[[#This Row],[Código Cuenta Contable]]&amp;" - "&amp;Centro_Cuenta8[[#This Row],[Nombre de Cuenta Contable]]</f>
        <v>4203140 - Contribuciones</v>
      </c>
      <c r="H2103" s="146" t="str">
        <f>+VLOOKUP(D2103,'3. Cuentas'!A:F,6,0)</f>
        <v>SI</v>
      </c>
    </row>
    <row r="2104" spans="1:8" x14ac:dyDescent="0.25">
      <c r="A2104" s="43">
        <v>10266204</v>
      </c>
      <c r="B2104" t="s">
        <v>1339</v>
      </c>
      <c r="C2104" s="43" t="s">
        <v>1624</v>
      </c>
      <c r="D2104" s="43">
        <v>4203150</v>
      </c>
      <c r="E2104" t="s">
        <v>156</v>
      </c>
      <c r="F2104" s="47" t="str">
        <f>+Centro_Cuenta8[[#This Row],[Codigo Centro Gestion]]&amp;" - "&amp;Centro_Cuenta8[[#This Row],[Nombre Centro Gestion]]</f>
        <v>10266204 - 18 de Septiembre-Proyecto</v>
      </c>
      <c r="G2104" s="47" t="str">
        <f>+Centro_Cuenta8[[#This Row],[Código Cuenta Contable]]&amp;" - "&amp;Centro_Cuenta8[[#This Row],[Nombre de Cuenta Contable]]</f>
        <v>4203150 - Gastos CBR</v>
      </c>
      <c r="H2104" s="146" t="str">
        <f>+VLOOKUP(D2104,'3. Cuentas'!A:F,6,0)</f>
        <v>SI</v>
      </c>
    </row>
    <row r="2105" spans="1:8" x14ac:dyDescent="0.25">
      <c r="A2105" s="43">
        <v>10266204</v>
      </c>
      <c r="B2105" t="s">
        <v>1339</v>
      </c>
      <c r="C2105" s="43" t="s">
        <v>1624</v>
      </c>
      <c r="D2105" s="43">
        <v>4203160</v>
      </c>
      <c r="E2105" t="s">
        <v>1639</v>
      </c>
      <c r="F2105" s="47" t="str">
        <f>+Centro_Cuenta8[[#This Row],[Codigo Centro Gestion]]&amp;" - "&amp;Centro_Cuenta8[[#This Row],[Nombre Centro Gestion]]</f>
        <v>10266204 - 18 de Septiembre-Proyecto</v>
      </c>
      <c r="G2105" s="47" t="str">
        <f>+Centro_Cuenta8[[#This Row],[Código Cuenta Contable]]&amp;" - "&amp;Centro_Cuenta8[[#This Row],[Nombre de Cuenta Contable]]</f>
        <v>4203160 - PAPELERIA Y FOTOCOPIADO</v>
      </c>
      <c r="H2105" s="146" t="str">
        <f>+VLOOKUP(D2105,'3. Cuentas'!A:F,6,0)</f>
        <v>SI</v>
      </c>
    </row>
    <row r="2106" spans="1:8" x14ac:dyDescent="0.25">
      <c r="A2106" s="43">
        <v>10266204</v>
      </c>
      <c r="B2106" t="s">
        <v>1339</v>
      </c>
      <c r="C2106" s="43" t="s">
        <v>1624</v>
      </c>
      <c r="D2106" s="43">
        <v>4203180</v>
      </c>
      <c r="E2106" t="s">
        <v>1640</v>
      </c>
      <c r="F2106" s="47" t="str">
        <f>+Centro_Cuenta8[[#This Row],[Codigo Centro Gestion]]&amp;" - "&amp;Centro_Cuenta8[[#This Row],[Nombre Centro Gestion]]</f>
        <v>10266204 - 18 de Septiembre-Proyecto</v>
      </c>
      <c r="G2106" s="47" t="str">
        <f>+Centro_Cuenta8[[#This Row],[Código Cuenta Contable]]&amp;" - "&amp;Centro_Cuenta8[[#This Row],[Nombre de Cuenta Contable]]</f>
        <v>4203180 - Otros Gastos y Aseso Proy</v>
      </c>
      <c r="H2106" s="146" t="str">
        <f>+VLOOKUP(D2106,'3. Cuentas'!A:F,6,0)</f>
        <v>SI</v>
      </c>
    </row>
    <row r="2107" spans="1:8" x14ac:dyDescent="0.25">
      <c r="A2107" s="43">
        <v>10266301</v>
      </c>
      <c r="B2107" t="s">
        <v>1340</v>
      </c>
      <c r="C2107" s="43" t="s">
        <v>1643</v>
      </c>
      <c r="D2107" s="43">
        <v>4203090</v>
      </c>
      <c r="E2107" t="s">
        <v>192</v>
      </c>
      <c r="F2107" s="47" t="str">
        <f>+Centro_Cuenta8[[#This Row],[Codigo Centro Gestion]]&amp;" - "&amp;Centro_Cuenta8[[#This Row],[Nombre Centro Gestion]]</f>
        <v>10266301 - 18 de Septiembre-GAF</v>
      </c>
      <c r="G2107" s="47" t="str">
        <f>+Centro_Cuenta8[[#This Row],[Código Cuenta Contable]]&amp;" - "&amp;Centro_Cuenta8[[#This Row],[Nombre de Cuenta Contable]]</f>
        <v>4203090 - Gastos Legales Y Notariales Proyecto</v>
      </c>
      <c r="H2107" s="146" t="str">
        <f>+VLOOKUP(D2107,'3. Cuentas'!A:F,6,0)</f>
        <v>SI</v>
      </c>
    </row>
    <row r="2108" spans="1:8" x14ac:dyDescent="0.25">
      <c r="A2108" s="43">
        <v>10266301</v>
      </c>
      <c r="B2108" t="s">
        <v>1340</v>
      </c>
      <c r="C2108" s="43" t="s">
        <v>1643</v>
      </c>
      <c r="D2108" s="43">
        <v>4203140</v>
      </c>
      <c r="E2108" t="s">
        <v>109</v>
      </c>
      <c r="F2108" s="47" t="str">
        <f>+Centro_Cuenta8[[#This Row],[Codigo Centro Gestion]]&amp;" - "&amp;Centro_Cuenta8[[#This Row],[Nombre Centro Gestion]]</f>
        <v>10266301 - 18 de Septiembre-GAF</v>
      </c>
      <c r="G2108" s="47" t="str">
        <f>+Centro_Cuenta8[[#This Row],[Código Cuenta Contable]]&amp;" - "&amp;Centro_Cuenta8[[#This Row],[Nombre de Cuenta Contable]]</f>
        <v>4203140 - Contribuciones</v>
      </c>
      <c r="H2108" s="146" t="str">
        <f>+VLOOKUP(D2108,'3. Cuentas'!A:F,6,0)</f>
        <v>SI</v>
      </c>
    </row>
    <row r="2109" spans="1:8" x14ac:dyDescent="0.25">
      <c r="A2109" s="43">
        <v>10266506</v>
      </c>
      <c r="B2109" t="s">
        <v>1342</v>
      </c>
      <c r="C2109" s="43" t="s">
        <v>200</v>
      </c>
      <c r="D2109" s="43">
        <v>1115100</v>
      </c>
      <c r="E2109" t="s">
        <v>292</v>
      </c>
      <c r="F2109" s="47" t="str">
        <f>+Centro_Cuenta8[[#This Row],[Codigo Centro Gestion]]&amp;" - "&amp;Centro_Cuenta8[[#This Row],[Nombre Centro Gestion]]</f>
        <v>10266506 - 18 de Septiembre-Depto.Técnico</v>
      </c>
      <c r="G2109" s="47" t="str">
        <f>+Centro_Cuenta8[[#This Row],[Código Cuenta Contable]]&amp;" - "&amp;Centro_Cuenta8[[#This Row],[Nombre de Cuenta Contable]]</f>
        <v>1115100 - Proyectos Y Especialidades</v>
      </c>
      <c r="H2109" s="146" t="str">
        <f>+VLOOKUP(D2109,'3. Cuentas'!A:F,6,0)</f>
        <v>SI</v>
      </c>
    </row>
    <row r="2110" spans="1:8" x14ac:dyDescent="0.25">
      <c r="A2110" s="43">
        <v>10267102</v>
      </c>
      <c r="B2110" t="s">
        <v>1344</v>
      </c>
      <c r="C2110" s="43" t="s">
        <v>1617</v>
      </c>
      <c r="D2110" s="43">
        <v>4204010</v>
      </c>
      <c r="E2110" t="s">
        <v>313</v>
      </c>
      <c r="F2110" s="47" t="str">
        <f>+Centro_Cuenta8[[#This Row],[Codigo Centro Gestion]]&amp;" - "&amp;Centro_Cuenta8[[#This Row],[Nombre Centro Gestion]]</f>
        <v>10267102 - Condominio Jardines del Sur Etapa 1-Marketing</v>
      </c>
      <c r="G2110" s="47" t="str">
        <f>+Centro_Cuenta8[[#This Row],[Código Cuenta Contable]]&amp;" - "&amp;Centro_Cuenta8[[#This Row],[Nombre de Cuenta Contable]]</f>
        <v>4204010 - Publicidad Punto Venta</v>
      </c>
      <c r="H2110" s="146" t="str">
        <f>+VLOOKUP(D2110,'3. Cuentas'!A:F,6,0)</f>
        <v>SI</v>
      </c>
    </row>
    <row r="2111" spans="1:8" x14ac:dyDescent="0.25">
      <c r="A2111" s="43">
        <v>10267102</v>
      </c>
      <c r="B2111" t="s">
        <v>1344</v>
      </c>
      <c r="C2111" s="43" t="s">
        <v>1617</v>
      </c>
      <c r="D2111" s="43">
        <v>4204021</v>
      </c>
      <c r="E2111" t="s">
        <v>329</v>
      </c>
      <c r="F2111" s="47" t="str">
        <f>+Centro_Cuenta8[[#This Row],[Codigo Centro Gestion]]&amp;" - "&amp;Centro_Cuenta8[[#This Row],[Nombre Centro Gestion]]</f>
        <v>10267102 - Condominio Jardines del Sur Etapa 1-Marketing</v>
      </c>
      <c r="G2111" s="47" t="str">
        <f>+Centro_Cuenta8[[#This Row],[Código Cuenta Contable]]&amp;" - "&amp;Centro_Cuenta8[[#This Row],[Nombre de Cuenta Contable]]</f>
        <v>4204021 - Publicidad Ferias Y Eventos</v>
      </c>
      <c r="H2111" s="146" t="str">
        <f>+VLOOKUP(D2111,'3. Cuentas'!A:F,6,0)</f>
        <v>SI</v>
      </c>
    </row>
    <row r="2112" spans="1:8" x14ac:dyDescent="0.25">
      <c r="A2112" s="43">
        <v>10267103</v>
      </c>
      <c r="B2112" t="s">
        <v>1345</v>
      </c>
      <c r="C2112" s="43" t="s">
        <v>1618</v>
      </c>
      <c r="D2112" s="43">
        <v>4203060</v>
      </c>
      <c r="E2112" t="s">
        <v>321</v>
      </c>
      <c r="F2112" s="47" t="str">
        <f>+Centro_Cuenta8[[#This Row],[Codigo Centro Gestion]]&amp;" - "&amp;Centro_Cuenta8[[#This Row],[Nombre Centro Gestion]]</f>
        <v>10267103 - Condominio Jardines del Sur Etapa 1-Operaciones</v>
      </c>
      <c r="G2112" s="47" t="str">
        <f>+Centro_Cuenta8[[#This Row],[Código Cuenta Contable]]&amp;" - "&amp;Centro_Cuenta8[[#This Row],[Nombre de Cuenta Contable]]</f>
        <v>4203060 - Gastos Operacionales De Clientes</v>
      </c>
      <c r="H2112" s="146" t="str">
        <f>+VLOOKUP(D2112,'3. Cuentas'!A:F,6,0)</f>
        <v>SI</v>
      </c>
    </row>
    <row r="2113" spans="1:8" x14ac:dyDescent="0.25">
      <c r="A2113" s="43">
        <v>10267103</v>
      </c>
      <c r="B2113" t="s">
        <v>1345</v>
      </c>
      <c r="C2113" s="43" t="s">
        <v>1618</v>
      </c>
      <c r="D2113" s="43">
        <v>4203090</v>
      </c>
      <c r="E2113" t="s">
        <v>192</v>
      </c>
      <c r="F2113" s="47" t="str">
        <f>+Centro_Cuenta8[[#This Row],[Codigo Centro Gestion]]&amp;" - "&amp;Centro_Cuenta8[[#This Row],[Nombre Centro Gestion]]</f>
        <v>10267103 - Condominio Jardines del Sur Etapa 1-Operaciones</v>
      </c>
      <c r="G2113" s="47" t="str">
        <f>+Centro_Cuenta8[[#This Row],[Código Cuenta Contable]]&amp;" - "&amp;Centro_Cuenta8[[#This Row],[Nombre de Cuenta Contable]]</f>
        <v>4203090 - Gastos Legales Y Notariales Proyecto</v>
      </c>
      <c r="H2113" s="146" t="str">
        <f>+VLOOKUP(D2113,'3. Cuentas'!A:F,6,0)</f>
        <v>SI</v>
      </c>
    </row>
    <row r="2114" spans="1:8" x14ac:dyDescent="0.25">
      <c r="A2114" s="43">
        <v>10267104</v>
      </c>
      <c r="B2114" t="s">
        <v>1346</v>
      </c>
      <c r="C2114" s="43" t="s">
        <v>90</v>
      </c>
      <c r="D2114" s="43">
        <v>1110040</v>
      </c>
      <c r="E2114" t="s">
        <v>1505</v>
      </c>
      <c r="F2114" s="47" t="str">
        <f>+Centro_Cuenta8[[#This Row],[Codigo Centro Gestion]]&amp;" - "&amp;Centro_Cuenta8[[#This Row],[Nombre Centro Gestion]]</f>
        <v>10267104 - Condominio Jardines del Sur Etapa 1-Ventas</v>
      </c>
      <c r="G2114" s="47" t="str">
        <f>+Centro_Cuenta8[[#This Row],[Código Cuenta Contable]]&amp;" - "&amp;Centro_Cuenta8[[#This Row],[Nombre de Cuenta Contable]]</f>
        <v>1110040 - Garantía Pagadas</v>
      </c>
      <c r="H2114" s="146" t="str">
        <f>+VLOOKUP(D2114,'3. Cuentas'!A:F,6,0)</f>
        <v>SI</v>
      </c>
    </row>
    <row r="2115" spans="1:8" x14ac:dyDescent="0.25">
      <c r="A2115" s="43">
        <v>10267104</v>
      </c>
      <c r="B2115" t="s">
        <v>1346</v>
      </c>
      <c r="C2115" s="43" t="s">
        <v>90</v>
      </c>
      <c r="D2115" s="43">
        <v>4202003</v>
      </c>
      <c r="E2115" t="s">
        <v>106</v>
      </c>
      <c r="F2115" s="47" t="str">
        <f>+Centro_Cuenta8[[#This Row],[Codigo Centro Gestion]]&amp;" - "&amp;Centro_Cuenta8[[#This Row],[Nombre Centro Gestion]]</f>
        <v>10267104 - Condominio Jardines del Sur Etapa 1-Ventas</v>
      </c>
      <c r="G2115" s="47" t="str">
        <f>+Centro_Cuenta8[[#This Row],[Código Cuenta Contable]]&amp;" - "&amp;Centro_Cuenta8[[#This Row],[Nombre de Cuenta Contable]]</f>
        <v>4202003 - Serv.Basic.Luz.Agua.Tel Of.C</v>
      </c>
      <c r="H2115" s="146" t="str">
        <f>+VLOOKUP(D2115,'3. Cuentas'!A:F,6,0)</f>
        <v>SI</v>
      </c>
    </row>
    <row r="2116" spans="1:8" x14ac:dyDescent="0.25">
      <c r="A2116" s="43">
        <v>10267104</v>
      </c>
      <c r="B2116" t="s">
        <v>1346</v>
      </c>
      <c r="C2116" s="43" t="s">
        <v>90</v>
      </c>
      <c r="D2116" s="43">
        <v>4202010</v>
      </c>
      <c r="E2116" t="s">
        <v>87</v>
      </c>
      <c r="F2116" s="47" t="str">
        <f>+Centro_Cuenta8[[#This Row],[Codigo Centro Gestion]]&amp;" - "&amp;Centro_Cuenta8[[#This Row],[Nombre Centro Gestion]]</f>
        <v>10267104 - Condominio Jardines del Sur Etapa 1-Ventas</v>
      </c>
      <c r="G2116" s="47" t="str">
        <f>+Centro_Cuenta8[[#This Row],[Código Cuenta Contable]]&amp;" - "&amp;Centro_Cuenta8[[#This Row],[Nombre de Cuenta Contable]]</f>
        <v>4202010 - Artic. Ofic. Fotocop.Papelería</v>
      </c>
      <c r="H2116" s="146" t="str">
        <f>+VLOOKUP(D2116,'3. Cuentas'!A:F,6,0)</f>
        <v>SI</v>
      </c>
    </row>
    <row r="2117" spans="1:8" x14ac:dyDescent="0.25">
      <c r="A2117" s="43">
        <v>10267104</v>
      </c>
      <c r="B2117" t="s">
        <v>1346</v>
      </c>
      <c r="C2117" s="43" t="s">
        <v>90</v>
      </c>
      <c r="D2117" s="43">
        <v>4202019</v>
      </c>
      <c r="E2117" t="s">
        <v>81</v>
      </c>
      <c r="F2117" s="47" t="str">
        <f>+Centro_Cuenta8[[#This Row],[Codigo Centro Gestion]]&amp;" - "&amp;Centro_Cuenta8[[#This Row],[Nombre Centro Gestion]]</f>
        <v>10267104 - Condominio Jardines del Sur Etapa 1-Ventas</v>
      </c>
      <c r="G2117" s="47" t="str">
        <f>+Centro_Cuenta8[[#This Row],[Código Cuenta Contable]]&amp;" - "&amp;Centro_Cuenta8[[#This Row],[Nombre de Cuenta Contable]]</f>
        <v>4202019 - Gasto General Oficina</v>
      </c>
      <c r="H2117" s="146" t="str">
        <f>+VLOOKUP(D2117,'3. Cuentas'!A:F,6,0)</f>
        <v>SI</v>
      </c>
    </row>
    <row r="2118" spans="1:8" x14ac:dyDescent="0.25">
      <c r="A2118" s="43">
        <v>10267104</v>
      </c>
      <c r="B2118" t="s">
        <v>1346</v>
      </c>
      <c r="C2118" s="43" t="s">
        <v>90</v>
      </c>
      <c r="D2118" s="43">
        <v>4202023</v>
      </c>
      <c r="E2118" t="s">
        <v>82</v>
      </c>
      <c r="F2118" s="47" t="str">
        <f>+Centro_Cuenta8[[#This Row],[Codigo Centro Gestion]]&amp;" - "&amp;Centro_Cuenta8[[#This Row],[Nombre Centro Gestion]]</f>
        <v>10267104 - Condominio Jardines del Sur Etapa 1-Ventas</v>
      </c>
      <c r="G2118" s="47" t="str">
        <f>+Centro_Cuenta8[[#This Row],[Código Cuenta Contable]]&amp;" - "&amp;Centro_Cuenta8[[#This Row],[Nombre de Cuenta Contable]]</f>
        <v>4202023 - Honorarios Por Asesorías</v>
      </c>
      <c r="H2118" s="146" t="str">
        <f>+VLOOKUP(D2118,'3. Cuentas'!A:F,6,0)</f>
        <v>SI</v>
      </c>
    </row>
    <row r="2119" spans="1:8" x14ac:dyDescent="0.25">
      <c r="A2119" s="43">
        <v>10267104</v>
      </c>
      <c r="B2119" t="s">
        <v>1346</v>
      </c>
      <c r="C2119" s="43" t="s">
        <v>90</v>
      </c>
      <c r="D2119" s="43">
        <v>4202029</v>
      </c>
      <c r="E2119" t="s">
        <v>83</v>
      </c>
      <c r="F2119" s="47" t="str">
        <f>+Centro_Cuenta8[[#This Row],[Codigo Centro Gestion]]&amp;" - "&amp;Centro_Cuenta8[[#This Row],[Nombre Centro Gestion]]</f>
        <v>10267104 - Condominio Jardines del Sur Etapa 1-Ventas</v>
      </c>
      <c r="G2119" s="47" t="str">
        <f>+Centro_Cuenta8[[#This Row],[Código Cuenta Contable]]&amp;" - "&amp;Centro_Cuenta8[[#This Row],[Nombre de Cuenta Contable]]</f>
        <v>4202029 - Insumos Y Gastos Informáticos</v>
      </c>
      <c r="H2119" s="146" t="str">
        <f>+VLOOKUP(D2119,'3. Cuentas'!A:F,6,0)</f>
        <v>SI</v>
      </c>
    </row>
    <row r="2120" spans="1:8" x14ac:dyDescent="0.25">
      <c r="A2120" s="43">
        <v>10267104</v>
      </c>
      <c r="B2120" t="s">
        <v>1346</v>
      </c>
      <c r="C2120" s="43" t="s">
        <v>90</v>
      </c>
      <c r="D2120" s="43">
        <v>4204021</v>
      </c>
      <c r="E2120" t="s">
        <v>329</v>
      </c>
      <c r="F2120" s="47" t="str">
        <f>+Centro_Cuenta8[[#This Row],[Codigo Centro Gestion]]&amp;" - "&amp;Centro_Cuenta8[[#This Row],[Nombre Centro Gestion]]</f>
        <v>10267104 - Condominio Jardines del Sur Etapa 1-Ventas</v>
      </c>
      <c r="G2120" s="47" t="str">
        <f>+Centro_Cuenta8[[#This Row],[Código Cuenta Contable]]&amp;" - "&amp;Centro_Cuenta8[[#This Row],[Nombre de Cuenta Contable]]</f>
        <v>4204021 - Publicidad Ferias Y Eventos</v>
      </c>
      <c r="H2120" s="146" t="str">
        <f>+VLOOKUP(D2120,'3. Cuentas'!A:F,6,0)</f>
        <v>SI</v>
      </c>
    </row>
    <row r="2121" spans="1:8" x14ac:dyDescent="0.25">
      <c r="A2121" s="43">
        <v>10267105</v>
      </c>
      <c r="B2121" t="s">
        <v>1347</v>
      </c>
      <c r="C2121" s="43" t="s">
        <v>1622</v>
      </c>
      <c r="D2121" s="43">
        <v>4203020</v>
      </c>
      <c r="E2121" t="s">
        <v>295</v>
      </c>
      <c r="F2121" s="47" t="str">
        <f>+Centro_Cuenta8[[#This Row],[Codigo Centro Gestion]]&amp;" - "&amp;Centro_Cuenta8[[#This Row],[Nombre Centro Gestion]]</f>
        <v>10267105 - Condominio Jardines del Sur Etapa 1-Clientes</v>
      </c>
      <c r="G2121" s="47" t="str">
        <f>+Centro_Cuenta8[[#This Row],[Código Cuenta Contable]]&amp;" - "&amp;Centro_Cuenta8[[#This Row],[Nombre de Cuenta Contable]]</f>
        <v>4203020 - Mant. y Consum. Viv Stock</v>
      </c>
      <c r="H2121" s="146" t="str">
        <f>+VLOOKUP(D2121,'3. Cuentas'!A:F,6,0)</f>
        <v>SI</v>
      </c>
    </row>
    <row r="2122" spans="1:8" x14ac:dyDescent="0.25">
      <c r="A2122" s="43">
        <v>10267105</v>
      </c>
      <c r="B2122" t="s">
        <v>1347</v>
      </c>
      <c r="C2122" s="43" t="s">
        <v>1622</v>
      </c>
      <c r="D2122" s="43">
        <v>4203120</v>
      </c>
      <c r="E2122" t="s">
        <v>108</v>
      </c>
      <c r="F2122" s="47" t="str">
        <f>+Centro_Cuenta8[[#This Row],[Codigo Centro Gestion]]&amp;" - "&amp;Centro_Cuenta8[[#This Row],[Nombre Centro Gestion]]</f>
        <v>10267105 - Condominio Jardines del Sur Etapa 1-Clientes</v>
      </c>
      <c r="G2122" s="47" t="str">
        <f>+Centro_Cuenta8[[#This Row],[Código Cuenta Contable]]&amp;" - "&amp;Centro_Cuenta8[[#This Row],[Nombre de Cuenta Contable]]</f>
        <v>4203120 - Gastos Comunes</v>
      </c>
      <c r="H2122" s="146" t="str">
        <f>+VLOOKUP(D2122,'3. Cuentas'!A:F,6,0)</f>
        <v>SI</v>
      </c>
    </row>
    <row r="2123" spans="1:8" x14ac:dyDescent="0.25">
      <c r="A2123" s="43">
        <v>10267105</v>
      </c>
      <c r="B2123" t="s">
        <v>1347</v>
      </c>
      <c r="C2123" s="43" t="s">
        <v>1622</v>
      </c>
      <c r="D2123" s="43">
        <v>4203140</v>
      </c>
      <c r="E2123" t="s">
        <v>109</v>
      </c>
      <c r="F2123" s="47" t="str">
        <f>+Centro_Cuenta8[[#This Row],[Codigo Centro Gestion]]&amp;" - "&amp;Centro_Cuenta8[[#This Row],[Nombre Centro Gestion]]</f>
        <v>10267105 - Condominio Jardines del Sur Etapa 1-Clientes</v>
      </c>
      <c r="G2123" s="47" t="str">
        <f>+Centro_Cuenta8[[#This Row],[Código Cuenta Contable]]&amp;" - "&amp;Centro_Cuenta8[[#This Row],[Nombre de Cuenta Contable]]</f>
        <v>4203140 - Contribuciones</v>
      </c>
      <c r="H2123" s="146" t="str">
        <f>+VLOOKUP(D2123,'3. Cuentas'!A:F,6,0)</f>
        <v>SI</v>
      </c>
    </row>
    <row r="2124" spans="1:8" x14ac:dyDescent="0.25">
      <c r="A2124" s="43">
        <v>10267204</v>
      </c>
      <c r="B2124" t="s">
        <v>1348</v>
      </c>
      <c r="C2124" s="43" t="s">
        <v>1624</v>
      </c>
      <c r="D2124" s="43">
        <v>1103045</v>
      </c>
      <c r="E2124" t="s">
        <v>323</v>
      </c>
      <c r="F2124" s="47" t="str">
        <f>+Centro_Cuenta8[[#This Row],[Codigo Centro Gestion]]&amp;" - "&amp;Centro_Cuenta8[[#This Row],[Nombre Centro Gestion]]</f>
        <v>10267204 - Condominio Jardines del Sur Etapa 1-Proyecto</v>
      </c>
      <c r="G2124" s="47" t="str">
        <f>+Centro_Cuenta8[[#This Row],[Código Cuenta Contable]]&amp;" - "&amp;Centro_Cuenta8[[#This Row],[Nombre de Cuenta Contable]]</f>
        <v>1103045 - Aportes reembolsables (electricidad y agua)</v>
      </c>
      <c r="H2124" s="146" t="str">
        <f>+VLOOKUP(D2124,'3. Cuentas'!A:F,6,0)</f>
        <v>SI</v>
      </c>
    </row>
    <row r="2125" spans="1:8" x14ac:dyDescent="0.25">
      <c r="A2125" s="43">
        <v>10267204</v>
      </c>
      <c r="B2125" t="s">
        <v>1348</v>
      </c>
      <c r="C2125" s="43" t="s">
        <v>1624</v>
      </c>
      <c r="D2125" s="43">
        <v>1109020</v>
      </c>
      <c r="E2125" t="s">
        <v>302</v>
      </c>
      <c r="F2125" s="47" t="str">
        <f>+Centro_Cuenta8[[#This Row],[Codigo Centro Gestion]]&amp;" - "&amp;Centro_Cuenta8[[#This Row],[Nombre Centro Gestion]]</f>
        <v>10267204 - Condominio Jardines del Sur Etapa 1-Proyecto</v>
      </c>
      <c r="G2125" s="47" t="str">
        <f>+Centro_Cuenta8[[#This Row],[Código Cuenta Contable]]&amp;" - "&amp;Centro_Cuenta8[[#This Row],[Nombre de Cuenta Contable]]</f>
        <v>1109020 - Mobiliario</v>
      </c>
      <c r="H2125" s="146" t="str">
        <f>+VLOOKUP(D2125,'3. Cuentas'!A:F,6,0)</f>
        <v>SI</v>
      </c>
    </row>
    <row r="2126" spans="1:8" x14ac:dyDescent="0.25">
      <c r="A2126" s="43">
        <v>10267204</v>
      </c>
      <c r="B2126" t="s">
        <v>1348</v>
      </c>
      <c r="C2126" s="43" t="s">
        <v>1624</v>
      </c>
      <c r="D2126" s="43">
        <v>1110040</v>
      </c>
      <c r="E2126" t="s">
        <v>1505</v>
      </c>
      <c r="F2126" s="47" t="str">
        <f>+Centro_Cuenta8[[#This Row],[Codigo Centro Gestion]]&amp;" - "&amp;Centro_Cuenta8[[#This Row],[Nombre Centro Gestion]]</f>
        <v>10267204 - Condominio Jardines del Sur Etapa 1-Proyecto</v>
      </c>
      <c r="G2126" s="47" t="str">
        <f>+Centro_Cuenta8[[#This Row],[Código Cuenta Contable]]&amp;" - "&amp;Centro_Cuenta8[[#This Row],[Nombre de Cuenta Contable]]</f>
        <v>1110040 - Garantía Pagadas</v>
      </c>
      <c r="H2126" s="146" t="str">
        <f>+VLOOKUP(D2126,'3. Cuentas'!A:F,6,0)</f>
        <v>SI</v>
      </c>
    </row>
    <row r="2127" spans="1:8" x14ac:dyDescent="0.25">
      <c r="A2127" s="43">
        <v>10267204</v>
      </c>
      <c r="B2127" t="s">
        <v>1348</v>
      </c>
      <c r="C2127" s="43" t="s">
        <v>1624</v>
      </c>
      <c r="D2127" s="43">
        <v>1115040</v>
      </c>
      <c r="E2127" t="s">
        <v>291</v>
      </c>
      <c r="F2127" s="47" t="str">
        <f>+Centro_Cuenta8[[#This Row],[Codigo Centro Gestion]]&amp;" - "&amp;Centro_Cuenta8[[#This Row],[Nombre Centro Gestion]]</f>
        <v>10267204 - Condominio Jardines del Sur Etapa 1-Proyecto</v>
      </c>
      <c r="G2127" s="47" t="str">
        <f>+Centro_Cuenta8[[#This Row],[Código Cuenta Contable]]&amp;" - "&amp;Centro_Cuenta8[[#This Row],[Nombre de Cuenta Contable]]</f>
        <v>1115040 - Saneamiento De Terreno</v>
      </c>
      <c r="H2127" s="146" t="str">
        <f>+VLOOKUP(D2127,'3. Cuentas'!A:F,6,0)</f>
        <v>SI</v>
      </c>
    </row>
    <row r="2128" spans="1:8" x14ac:dyDescent="0.25">
      <c r="A2128" s="43">
        <v>10267204</v>
      </c>
      <c r="B2128" t="s">
        <v>1348</v>
      </c>
      <c r="C2128" s="43" t="s">
        <v>1624</v>
      </c>
      <c r="D2128" s="43">
        <v>1115050</v>
      </c>
      <c r="E2128" t="s">
        <v>1628</v>
      </c>
      <c r="F2128" s="47" t="str">
        <f>+Centro_Cuenta8[[#This Row],[Codigo Centro Gestion]]&amp;" - "&amp;Centro_Cuenta8[[#This Row],[Nombre Centro Gestion]]</f>
        <v>10267204 - Condominio Jardines del Sur Etapa 1-Proyecto</v>
      </c>
      <c r="G2128" s="47" t="str">
        <f>+Centro_Cuenta8[[#This Row],[Código Cuenta Contable]]&amp;" - "&amp;Centro_Cuenta8[[#This Row],[Nombre de Cuenta Contable]]</f>
        <v>1115050 - Demolición</v>
      </c>
      <c r="H2128" s="146" t="str">
        <f>+VLOOKUP(D2128,'3. Cuentas'!A:F,6,0)</f>
        <v>SI</v>
      </c>
    </row>
    <row r="2129" spans="1:8" x14ac:dyDescent="0.25">
      <c r="A2129" s="43">
        <v>10267204</v>
      </c>
      <c r="B2129" t="s">
        <v>1348</v>
      </c>
      <c r="C2129" s="43" t="s">
        <v>1624</v>
      </c>
      <c r="D2129" s="43">
        <v>1115100</v>
      </c>
      <c r="E2129" t="s">
        <v>292</v>
      </c>
      <c r="F2129" s="47" t="str">
        <f>+Centro_Cuenta8[[#This Row],[Codigo Centro Gestion]]&amp;" - "&amp;Centro_Cuenta8[[#This Row],[Nombre Centro Gestion]]</f>
        <v>10267204 - Condominio Jardines del Sur Etapa 1-Proyecto</v>
      </c>
      <c r="G2129" s="47" t="str">
        <f>+Centro_Cuenta8[[#This Row],[Código Cuenta Contable]]&amp;" - "&amp;Centro_Cuenta8[[#This Row],[Nombre de Cuenta Contable]]</f>
        <v>1115100 - Proyectos Y Especialidades</v>
      </c>
      <c r="H2129" s="146" t="str">
        <f>+VLOOKUP(D2129,'3. Cuentas'!A:F,6,0)</f>
        <v>SI</v>
      </c>
    </row>
    <row r="2130" spans="1:8" x14ac:dyDescent="0.25">
      <c r="A2130" s="43">
        <v>10267204</v>
      </c>
      <c r="B2130" t="s">
        <v>1348</v>
      </c>
      <c r="C2130" s="43" t="s">
        <v>1624</v>
      </c>
      <c r="D2130" s="43">
        <v>1115120</v>
      </c>
      <c r="E2130" t="s">
        <v>1633</v>
      </c>
      <c r="F2130" s="47" t="str">
        <f>+Centro_Cuenta8[[#This Row],[Codigo Centro Gestion]]&amp;" - "&amp;Centro_Cuenta8[[#This Row],[Nombre Centro Gestion]]</f>
        <v>10267204 - Condominio Jardines del Sur Etapa 1-Proyecto</v>
      </c>
      <c r="G2130" s="47" t="str">
        <f>+Centro_Cuenta8[[#This Row],[Código Cuenta Contable]]&amp;" - "&amp;Centro_Cuenta8[[#This Row],[Nombre de Cuenta Contable]]</f>
        <v>1115120 - Instalación Empalmes</v>
      </c>
      <c r="H2130" s="146" t="str">
        <f>+VLOOKUP(D2130,'3. Cuentas'!A:F,6,0)</f>
        <v>SI</v>
      </c>
    </row>
    <row r="2131" spans="1:8" x14ac:dyDescent="0.25">
      <c r="A2131" s="43">
        <v>10267204</v>
      </c>
      <c r="B2131" t="s">
        <v>1348</v>
      </c>
      <c r="C2131" s="43" t="s">
        <v>1624</v>
      </c>
      <c r="D2131" s="43">
        <v>1115170</v>
      </c>
      <c r="E2131" t="s">
        <v>293</v>
      </c>
      <c r="F2131" s="47" t="str">
        <f>+Centro_Cuenta8[[#This Row],[Codigo Centro Gestion]]&amp;" - "&amp;Centro_Cuenta8[[#This Row],[Nombre Centro Gestion]]</f>
        <v>10267204 - Condominio Jardines del Sur Etapa 1-Proyecto</v>
      </c>
      <c r="G2131" s="47" t="str">
        <f>+Centro_Cuenta8[[#This Row],[Código Cuenta Contable]]&amp;" - "&amp;Centro_Cuenta8[[#This Row],[Nombre de Cuenta Contable]]</f>
        <v>1115170 - Permisos Y Otros Gastos Municipales</v>
      </c>
      <c r="H2131" s="146" t="str">
        <f>+VLOOKUP(D2131,'3. Cuentas'!A:F,6,0)</f>
        <v>SI</v>
      </c>
    </row>
    <row r="2132" spans="1:8" x14ac:dyDescent="0.25">
      <c r="A2132" s="43">
        <v>10267204</v>
      </c>
      <c r="B2132" t="s">
        <v>1348</v>
      </c>
      <c r="C2132" s="43" t="s">
        <v>1624</v>
      </c>
      <c r="D2132" s="43">
        <v>1115240</v>
      </c>
      <c r="E2132" t="s">
        <v>294</v>
      </c>
      <c r="F2132" s="47" t="str">
        <f>+Centro_Cuenta8[[#This Row],[Codigo Centro Gestion]]&amp;" - "&amp;Centro_Cuenta8[[#This Row],[Nombre Centro Gestion]]</f>
        <v>10267204 - Condominio Jardines del Sur Etapa 1-Proyecto</v>
      </c>
      <c r="G2132" s="47" t="str">
        <f>+Centro_Cuenta8[[#This Row],[Código Cuenta Contable]]&amp;" - "&amp;Centro_Cuenta8[[#This Row],[Nombre de Cuenta Contable]]</f>
        <v>1115240 - Estudios Y Asesorias Técnicas</v>
      </c>
      <c r="H2132" s="146" t="str">
        <f>+VLOOKUP(D2132,'3. Cuentas'!A:F,6,0)</f>
        <v>SI</v>
      </c>
    </row>
    <row r="2133" spans="1:8" x14ac:dyDescent="0.25">
      <c r="A2133" s="43">
        <v>10267204</v>
      </c>
      <c r="B2133" t="s">
        <v>1348</v>
      </c>
      <c r="C2133" s="43" t="s">
        <v>1624</v>
      </c>
      <c r="D2133" s="43">
        <v>4203090</v>
      </c>
      <c r="E2133" t="s">
        <v>192</v>
      </c>
      <c r="F2133" s="47" t="str">
        <f>+Centro_Cuenta8[[#This Row],[Codigo Centro Gestion]]&amp;" - "&amp;Centro_Cuenta8[[#This Row],[Nombre Centro Gestion]]</f>
        <v>10267204 - Condominio Jardines del Sur Etapa 1-Proyecto</v>
      </c>
      <c r="G2133" s="47" t="str">
        <f>+Centro_Cuenta8[[#This Row],[Código Cuenta Contable]]&amp;" - "&amp;Centro_Cuenta8[[#This Row],[Nombre de Cuenta Contable]]</f>
        <v>4203090 - Gastos Legales Y Notariales Proyecto</v>
      </c>
      <c r="H2133" s="146" t="str">
        <f>+VLOOKUP(D2133,'3. Cuentas'!A:F,6,0)</f>
        <v>SI</v>
      </c>
    </row>
    <row r="2134" spans="1:8" x14ac:dyDescent="0.25">
      <c r="A2134" s="43">
        <v>10267204</v>
      </c>
      <c r="B2134" t="s">
        <v>1348</v>
      </c>
      <c r="C2134" s="43" t="s">
        <v>1624</v>
      </c>
      <c r="D2134" s="43">
        <v>4203140</v>
      </c>
      <c r="E2134" t="s">
        <v>109</v>
      </c>
      <c r="F2134" s="47" t="str">
        <f>+Centro_Cuenta8[[#This Row],[Codigo Centro Gestion]]&amp;" - "&amp;Centro_Cuenta8[[#This Row],[Nombre Centro Gestion]]</f>
        <v>10267204 - Condominio Jardines del Sur Etapa 1-Proyecto</v>
      </c>
      <c r="G2134" s="47" t="str">
        <f>+Centro_Cuenta8[[#This Row],[Código Cuenta Contable]]&amp;" - "&amp;Centro_Cuenta8[[#This Row],[Nombre de Cuenta Contable]]</f>
        <v>4203140 - Contribuciones</v>
      </c>
      <c r="H2134" s="146" t="str">
        <f>+VLOOKUP(D2134,'3. Cuentas'!A:F,6,0)</f>
        <v>SI</v>
      </c>
    </row>
    <row r="2135" spans="1:8" x14ac:dyDescent="0.25">
      <c r="A2135" s="43">
        <v>10267204</v>
      </c>
      <c r="B2135" t="s">
        <v>1348</v>
      </c>
      <c r="C2135" s="43" t="s">
        <v>1624</v>
      </c>
      <c r="D2135" s="43">
        <v>4203150</v>
      </c>
      <c r="E2135" t="s">
        <v>156</v>
      </c>
      <c r="F2135" s="47" t="str">
        <f>+Centro_Cuenta8[[#This Row],[Codigo Centro Gestion]]&amp;" - "&amp;Centro_Cuenta8[[#This Row],[Nombre Centro Gestion]]</f>
        <v>10267204 - Condominio Jardines del Sur Etapa 1-Proyecto</v>
      </c>
      <c r="G2135" s="47" t="str">
        <f>+Centro_Cuenta8[[#This Row],[Código Cuenta Contable]]&amp;" - "&amp;Centro_Cuenta8[[#This Row],[Nombre de Cuenta Contable]]</f>
        <v>4203150 - Gastos CBR</v>
      </c>
      <c r="H2135" s="146" t="str">
        <f>+VLOOKUP(D2135,'3. Cuentas'!A:F,6,0)</f>
        <v>SI</v>
      </c>
    </row>
    <row r="2136" spans="1:8" x14ac:dyDescent="0.25">
      <c r="A2136" s="43">
        <v>10267204</v>
      </c>
      <c r="B2136" t="s">
        <v>1348</v>
      </c>
      <c r="C2136" s="43" t="s">
        <v>1624</v>
      </c>
      <c r="D2136" s="43">
        <v>4203160</v>
      </c>
      <c r="E2136" t="s">
        <v>1639</v>
      </c>
      <c r="F2136" s="47" t="str">
        <f>+Centro_Cuenta8[[#This Row],[Codigo Centro Gestion]]&amp;" - "&amp;Centro_Cuenta8[[#This Row],[Nombre Centro Gestion]]</f>
        <v>10267204 - Condominio Jardines del Sur Etapa 1-Proyecto</v>
      </c>
      <c r="G2136" s="47" t="str">
        <f>+Centro_Cuenta8[[#This Row],[Código Cuenta Contable]]&amp;" - "&amp;Centro_Cuenta8[[#This Row],[Nombre de Cuenta Contable]]</f>
        <v>4203160 - PAPELERIA Y FOTOCOPIADO</v>
      </c>
      <c r="H2136" s="146" t="str">
        <f>+VLOOKUP(D2136,'3. Cuentas'!A:F,6,0)</f>
        <v>SI</v>
      </c>
    </row>
    <row r="2137" spans="1:8" x14ac:dyDescent="0.25">
      <c r="A2137" s="43">
        <v>10267204</v>
      </c>
      <c r="B2137" t="s">
        <v>1348</v>
      </c>
      <c r="C2137" s="43" t="s">
        <v>1624</v>
      </c>
      <c r="D2137" s="43">
        <v>4203180</v>
      </c>
      <c r="E2137" t="s">
        <v>1640</v>
      </c>
      <c r="F2137" s="47" t="str">
        <f>+Centro_Cuenta8[[#This Row],[Codigo Centro Gestion]]&amp;" - "&amp;Centro_Cuenta8[[#This Row],[Nombre Centro Gestion]]</f>
        <v>10267204 - Condominio Jardines del Sur Etapa 1-Proyecto</v>
      </c>
      <c r="G2137" s="47" t="str">
        <f>+Centro_Cuenta8[[#This Row],[Código Cuenta Contable]]&amp;" - "&amp;Centro_Cuenta8[[#This Row],[Nombre de Cuenta Contable]]</f>
        <v>4203180 - Otros Gastos y Aseso Proy</v>
      </c>
      <c r="H2137" s="146" t="str">
        <f>+VLOOKUP(D2137,'3. Cuentas'!A:F,6,0)</f>
        <v>SI</v>
      </c>
    </row>
    <row r="2138" spans="1:8" x14ac:dyDescent="0.25">
      <c r="A2138" s="43">
        <v>10267301</v>
      </c>
      <c r="B2138" t="s">
        <v>1349</v>
      </c>
      <c r="C2138" s="43" t="s">
        <v>1643</v>
      </c>
      <c r="D2138" s="43">
        <v>4203090</v>
      </c>
      <c r="E2138" t="s">
        <v>192</v>
      </c>
      <c r="F2138" s="47" t="str">
        <f>+Centro_Cuenta8[[#This Row],[Codigo Centro Gestion]]&amp;" - "&amp;Centro_Cuenta8[[#This Row],[Nombre Centro Gestion]]</f>
        <v>10267301 - Condominio Jardines del Sur Etapa 1-GAF</v>
      </c>
      <c r="G2138" s="47" t="str">
        <f>+Centro_Cuenta8[[#This Row],[Código Cuenta Contable]]&amp;" - "&amp;Centro_Cuenta8[[#This Row],[Nombre de Cuenta Contable]]</f>
        <v>4203090 - Gastos Legales Y Notariales Proyecto</v>
      </c>
      <c r="H2138" s="146" t="str">
        <f>+VLOOKUP(D2138,'3. Cuentas'!A:F,6,0)</f>
        <v>SI</v>
      </c>
    </row>
    <row r="2139" spans="1:8" x14ac:dyDescent="0.25">
      <c r="A2139" s="43">
        <v>10267301</v>
      </c>
      <c r="B2139" t="s">
        <v>1349</v>
      </c>
      <c r="C2139" s="43" t="s">
        <v>1643</v>
      </c>
      <c r="D2139" s="43">
        <v>4203140</v>
      </c>
      <c r="E2139" t="s">
        <v>109</v>
      </c>
      <c r="F2139" s="47" t="str">
        <f>+Centro_Cuenta8[[#This Row],[Codigo Centro Gestion]]&amp;" - "&amp;Centro_Cuenta8[[#This Row],[Nombre Centro Gestion]]</f>
        <v>10267301 - Condominio Jardines del Sur Etapa 1-GAF</v>
      </c>
      <c r="G2139" s="47" t="str">
        <f>+Centro_Cuenta8[[#This Row],[Código Cuenta Contable]]&amp;" - "&amp;Centro_Cuenta8[[#This Row],[Nombre de Cuenta Contable]]</f>
        <v>4203140 - Contribuciones</v>
      </c>
      <c r="H2139" s="146" t="str">
        <f>+VLOOKUP(D2139,'3. Cuentas'!A:F,6,0)</f>
        <v>SI</v>
      </c>
    </row>
    <row r="2140" spans="1:8" x14ac:dyDescent="0.25">
      <c r="A2140" s="43">
        <v>10267506</v>
      </c>
      <c r="B2140" t="s">
        <v>1351</v>
      </c>
      <c r="C2140" s="43" t="s">
        <v>200</v>
      </c>
      <c r="D2140" s="43">
        <v>1115100</v>
      </c>
      <c r="E2140" t="s">
        <v>292</v>
      </c>
      <c r="F2140" s="47" t="str">
        <f>+Centro_Cuenta8[[#This Row],[Codigo Centro Gestion]]&amp;" - "&amp;Centro_Cuenta8[[#This Row],[Nombre Centro Gestion]]</f>
        <v>10267506 - Condominio Jardines del Sur Etapa 1-Depto.Técnico</v>
      </c>
      <c r="G2140" s="47" t="str">
        <f>+Centro_Cuenta8[[#This Row],[Código Cuenta Contable]]&amp;" - "&amp;Centro_Cuenta8[[#This Row],[Nombre de Cuenta Contable]]</f>
        <v>1115100 - Proyectos Y Especialidades</v>
      </c>
      <c r="H2140" s="146" t="str">
        <f>+VLOOKUP(D2140,'3. Cuentas'!A:F,6,0)</f>
        <v>SI</v>
      </c>
    </row>
    <row r="2141" spans="1:8" x14ac:dyDescent="0.25">
      <c r="A2141" s="43">
        <v>10268102</v>
      </c>
      <c r="B2141" t="s">
        <v>1353</v>
      </c>
      <c r="C2141" s="43" t="s">
        <v>1617</v>
      </c>
      <c r="D2141" s="43">
        <v>4204010</v>
      </c>
      <c r="E2141" t="s">
        <v>313</v>
      </c>
      <c r="F2141" s="47" t="str">
        <f>+Centro_Cuenta8[[#This Row],[Codigo Centro Gestion]]&amp;" - "&amp;Centro_Cuenta8[[#This Row],[Nombre Centro Gestion]]</f>
        <v>10268102 - Condominio Jardines del Sur Etapa 2-Marketing</v>
      </c>
      <c r="G2141" s="47" t="str">
        <f>+Centro_Cuenta8[[#This Row],[Código Cuenta Contable]]&amp;" - "&amp;Centro_Cuenta8[[#This Row],[Nombre de Cuenta Contable]]</f>
        <v>4204010 - Publicidad Punto Venta</v>
      </c>
      <c r="H2141" s="146" t="str">
        <f>+VLOOKUP(D2141,'3. Cuentas'!A:F,6,0)</f>
        <v>SI</v>
      </c>
    </row>
    <row r="2142" spans="1:8" x14ac:dyDescent="0.25">
      <c r="A2142" s="43">
        <v>10268102</v>
      </c>
      <c r="B2142" t="s">
        <v>1353</v>
      </c>
      <c r="C2142" s="43" t="s">
        <v>1617</v>
      </c>
      <c r="D2142" s="43">
        <v>4204021</v>
      </c>
      <c r="E2142" t="s">
        <v>329</v>
      </c>
      <c r="F2142" s="47" t="str">
        <f>+Centro_Cuenta8[[#This Row],[Codigo Centro Gestion]]&amp;" - "&amp;Centro_Cuenta8[[#This Row],[Nombre Centro Gestion]]</f>
        <v>10268102 - Condominio Jardines del Sur Etapa 2-Marketing</v>
      </c>
      <c r="G2142" s="47" t="str">
        <f>+Centro_Cuenta8[[#This Row],[Código Cuenta Contable]]&amp;" - "&amp;Centro_Cuenta8[[#This Row],[Nombre de Cuenta Contable]]</f>
        <v>4204021 - Publicidad Ferias Y Eventos</v>
      </c>
      <c r="H2142" s="146" t="str">
        <f>+VLOOKUP(D2142,'3. Cuentas'!A:F,6,0)</f>
        <v>SI</v>
      </c>
    </row>
    <row r="2143" spans="1:8" x14ac:dyDescent="0.25">
      <c r="A2143" s="43">
        <v>10268103</v>
      </c>
      <c r="B2143" t="s">
        <v>1354</v>
      </c>
      <c r="C2143" s="43" t="s">
        <v>1618</v>
      </c>
      <c r="D2143" s="43">
        <v>4203060</v>
      </c>
      <c r="E2143" t="s">
        <v>321</v>
      </c>
      <c r="F2143" s="47" t="str">
        <f>+Centro_Cuenta8[[#This Row],[Codigo Centro Gestion]]&amp;" - "&amp;Centro_Cuenta8[[#This Row],[Nombre Centro Gestion]]</f>
        <v>10268103 - Condominio Jardines del Sur Etapa 2-Operaciones</v>
      </c>
      <c r="G2143" s="47" t="str">
        <f>+Centro_Cuenta8[[#This Row],[Código Cuenta Contable]]&amp;" - "&amp;Centro_Cuenta8[[#This Row],[Nombre de Cuenta Contable]]</f>
        <v>4203060 - Gastos Operacionales De Clientes</v>
      </c>
      <c r="H2143" s="146" t="str">
        <f>+VLOOKUP(D2143,'3. Cuentas'!A:F,6,0)</f>
        <v>SI</v>
      </c>
    </row>
    <row r="2144" spans="1:8" x14ac:dyDescent="0.25">
      <c r="A2144" s="43">
        <v>10268103</v>
      </c>
      <c r="B2144" t="s">
        <v>1354</v>
      </c>
      <c r="C2144" s="43" t="s">
        <v>1618</v>
      </c>
      <c r="D2144" s="43">
        <v>4203090</v>
      </c>
      <c r="E2144" t="s">
        <v>192</v>
      </c>
      <c r="F2144" s="47" t="str">
        <f>+Centro_Cuenta8[[#This Row],[Codigo Centro Gestion]]&amp;" - "&amp;Centro_Cuenta8[[#This Row],[Nombre Centro Gestion]]</f>
        <v>10268103 - Condominio Jardines del Sur Etapa 2-Operaciones</v>
      </c>
      <c r="G2144" s="47" t="str">
        <f>+Centro_Cuenta8[[#This Row],[Código Cuenta Contable]]&amp;" - "&amp;Centro_Cuenta8[[#This Row],[Nombre de Cuenta Contable]]</f>
        <v>4203090 - Gastos Legales Y Notariales Proyecto</v>
      </c>
      <c r="H2144" s="146" t="str">
        <f>+VLOOKUP(D2144,'3. Cuentas'!A:F,6,0)</f>
        <v>SI</v>
      </c>
    </row>
    <row r="2145" spans="1:8" x14ac:dyDescent="0.25">
      <c r="A2145" s="43">
        <v>10268104</v>
      </c>
      <c r="B2145" t="s">
        <v>1355</v>
      </c>
      <c r="C2145" s="43" t="s">
        <v>90</v>
      </c>
      <c r="D2145" s="43">
        <v>1110040</v>
      </c>
      <c r="E2145" t="s">
        <v>1505</v>
      </c>
      <c r="F2145" s="47" t="str">
        <f>+Centro_Cuenta8[[#This Row],[Codigo Centro Gestion]]&amp;" - "&amp;Centro_Cuenta8[[#This Row],[Nombre Centro Gestion]]</f>
        <v>10268104 - Condominio Jardines del Sur Etapa 2-Ventas</v>
      </c>
      <c r="G2145" s="47" t="str">
        <f>+Centro_Cuenta8[[#This Row],[Código Cuenta Contable]]&amp;" - "&amp;Centro_Cuenta8[[#This Row],[Nombre de Cuenta Contable]]</f>
        <v>1110040 - Garantía Pagadas</v>
      </c>
      <c r="H2145" s="146" t="str">
        <f>+VLOOKUP(D2145,'3. Cuentas'!A:F,6,0)</f>
        <v>SI</v>
      </c>
    </row>
    <row r="2146" spans="1:8" x14ac:dyDescent="0.25">
      <c r="A2146" s="43">
        <v>10268104</v>
      </c>
      <c r="B2146" t="s">
        <v>1355</v>
      </c>
      <c r="C2146" s="43" t="s">
        <v>90</v>
      </c>
      <c r="D2146" s="43">
        <v>4202003</v>
      </c>
      <c r="E2146" t="s">
        <v>106</v>
      </c>
      <c r="F2146" s="47" t="str">
        <f>+Centro_Cuenta8[[#This Row],[Codigo Centro Gestion]]&amp;" - "&amp;Centro_Cuenta8[[#This Row],[Nombre Centro Gestion]]</f>
        <v>10268104 - Condominio Jardines del Sur Etapa 2-Ventas</v>
      </c>
      <c r="G2146" s="47" t="str">
        <f>+Centro_Cuenta8[[#This Row],[Código Cuenta Contable]]&amp;" - "&amp;Centro_Cuenta8[[#This Row],[Nombre de Cuenta Contable]]</f>
        <v>4202003 - Serv.Basic.Luz.Agua.Tel Of.C</v>
      </c>
      <c r="H2146" s="146" t="str">
        <f>+VLOOKUP(D2146,'3. Cuentas'!A:F,6,0)</f>
        <v>SI</v>
      </c>
    </row>
    <row r="2147" spans="1:8" x14ac:dyDescent="0.25">
      <c r="A2147" s="43">
        <v>10268104</v>
      </c>
      <c r="B2147" t="s">
        <v>1355</v>
      </c>
      <c r="C2147" s="43" t="s">
        <v>90</v>
      </c>
      <c r="D2147" s="43">
        <v>4202010</v>
      </c>
      <c r="E2147" t="s">
        <v>87</v>
      </c>
      <c r="F2147" s="47" t="str">
        <f>+Centro_Cuenta8[[#This Row],[Codigo Centro Gestion]]&amp;" - "&amp;Centro_Cuenta8[[#This Row],[Nombre Centro Gestion]]</f>
        <v>10268104 - Condominio Jardines del Sur Etapa 2-Ventas</v>
      </c>
      <c r="G2147" s="47" t="str">
        <f>+Centro_Cuenta8[[#This Row],[Código Cuenta Contable]]&amp;" - "&amp;Centro_Cuenta8[[#This Row],[Nombre de Cuenta Contable]]</f>
        <v>4202010 - Artic. Ofic. Fotocop.Papelería</v>
      </c>
      <c r="H2147" s="146" t="str">
        <f>+VLOOKUP(D2147,'3. Cuentas'!A:F,6,0)</f>
        <v>SI</v>
      </c>
    </row>
    <row r="2148" spans="1:8" x14ac:dyDescent="0.25">
      <c r="A2148" s="43">
        <v>10268104</v>
      </c>
      <c r="B2148" t="s">
        <v>1355</v>
      </c>
      <c r="C2148" s="43" t="s">
        <v>90</v>
      </c>
      <c r="D2148" s="43">
        <v>4202019</v>
      </c>
      <c r="E2148" t="s">
        <v>81</v>
      </c>
      <c r="F2148" s="47" t="str">
        <f>+Centro_Cuenta8[[#This Row],[Codigo Centro Gestion]]&amp;" - "&amp;Centro_Cuenta8[[#This Row],[Nombre Centro Gestion]]</f>
        <v>10268104 - Condominio Jardines del Sur Etapa 2-Ventas</v>
      </c>
      <c r="G2148" s="47" t="str">
        <f>+Centro_Cuenta8[[#This Row],[Código Cuenta Contable]]&amp;" - "&amp;Centro_Cuenta8[[#This Row],[Nombre de Cuenta Contable]]</f>
        <v>4202019 - Gasto General Oficina</v>
      </c>
      <c r="H2148" s="146" t="str">
        <f>+VLOOKUP(D2148,'3. Cuentas'!A:F,6,0)</f>
        <v>SI</v>
      </c>
    </row>
    <row r="2149" spans="1:8" x14ac:dyDescent="0.25">
      <c r="A2149" s="43">
        <v>10268104</v>
      </c>
      <c r="B2149" t="s">
        <v>1355</v>
      </c>
      <c r="C2149" s="43" t="s">
        <v>90</v>
      </c>
      <c r="D2149" s="43">
        <v>4202023</v>
      </c>
      <c r="E2149" t="s">
        <v>82</v>
      </c>
      <c r="F2149" s="47" t="str">
        <f>+Centro_Cuenta8[[#This Row],[Codigo Centro Gestion]]&amp;" - "&amp;Centro_Cuenta8[[#This Row],[Nombre Centro Gestion]]</f>
        <v>10268104 - Condominio Jardines del Sur Etapa 2-Ventas</v>
      </c>
      <c r="G2149" s="47" t="str">
        <f>+Centro_Cuenta8[[#This Row],[Código Cuenta Contable]]&amp;" - "&amp;Centro_Cuenta8[[#This Row],[Nombre de Cuenta Contable]]</f>
        <v>4202023 - Honorarios Por Asesorías</v>
      </c>
      <c r="H2149" s="146" t="str">
        <f>+VLOOKUP(D2149,'3. Cuentas'!A:F,6,0)</f>
        <v>SI</v>
      </c>
    </row>
    <row r="2150" spans="1:8" x14ac:dyDescent="0.25">
      <c r="A2150" s="43">
        <v>10268104</v>
      </c>
      <c r="B2150" t="s">
        <v>1355</v>
      </c>
      <c r="C2150" s="43" t="s">
        <v>90</v>
      </c>
      <c r="D2150" s="43">
        <v>4202029</v>
      </c>
      <c r="E2150" t="s">
        <v>83</v>
      </c>
      <c r="F2150" s="47" t="str">
        <f>+Centro_Cuenta8[[#This Row],[Codigo Centro Gestion]]&amp;" - "&amp;Centro_Cuenta8[[#This Row],[Nombre Centro Gestion]]</f>
        <v>10268104 - Condominio Jardines del Sur Etapa 2-Ventas</v>
      </c>
      <c r="G2150" s="47" t="str">
        <f>+Centro_Cuenta8[[#This Row],[Código Cuenta Contable]]&amp;" - "&amp;Centro_Cuenta8[[#This Row],[Nombre de Cuenta Contable]]</f>
        <v>4202029 - Insumos Y Gastos Informáticos</v>
      </c>
      <c r="H2150" s="146" t="str">
        <f>+VLOOKUP(D2150,'3. Cuentas'!A:F,6,0)</f>
        <v>SI</v>
      </c>
    </row>
    <row r="2151" spans="1:8" x14ac:dyDescent="0.25">
      <c r="A2151" s="43">
        <v>10268104</v>
      </c>
      <c r="B2151" t="s">
        <v>1355</v>
      </c>
      <c r="C2151" s="43" t="s">
        <v>90</v>
      </c>
      <c r="D2151" s="43">
        <v>4204021</v>
      </c>
      <c r="E2151" t="s">
        <v>329</v>
      </c>
      <c r="F2151" s="47" t="str">
        <f>+Centro_Cuenta8[[#This Row],[Codigo Centro Gestion]]&amp;" - "&amp;Centro_Cuenta8[[#This Row],[Nombre Centro Gestion]]</f>
        <v>10268104 - Condominio Jardines del Sur Etapa 2-Ventas</v>
      </c>
      <c r="G2151" s="47" t="str">
        <f>+Centro_Cuenta8[[#This Row],[Código Cuenta Contable]]&amp;" - "&amp;Centro_Cuenta8[[#This Row],[Nombre de Cuenta Contable]]</f>
        <v>4204021 - Publicidad Ferias Y Eventos</v>
      </c>
      <c r="H2151" s="146" t="str">
        <f>+VLOOKUP(D2151,'3. Cuentas'!A:F,6,0)</f>
        <v>SI</v>
      </c>
    </row>
    <row r="2152" spans="1:8" x14ac:dyDescent="0.25">
      <c r="A2152" s="43">
        <v>10268105</v>
      </c>
      <c r="B2152" t="s">
        <v>1356</v>
      </c>
      <c r="C2152" s="43" t="s">
        <v>1622</v>
      </c>
      <c r="D2152" s="43">
        <v>4203020</v>
      </c>
      <c r="E2152" t="s">
        <v>295</v>
      </c>
      <c r="F2152" s="47" t="str">
        <f>+Centro_Cuenta8[[#This Row],[Codigo Centro Gestion]]&amp;" - "&amp;Centro_Cuenta8[[#This Row],[Nombre Centro Gestion]]</f>
        <v>10268105 - Condominio Jardines del Sur Etapa 2-Clientes</v>
      </c>
      <c r="G2152" s="47" t="str">
        <f>+Centro_Cuenta8[[#This Row],[Código Cuenta Contable]]&amp;" - "&amp;Centro_Cuenta8[[#This Row],[Nombre de Cuenta Contable]]</f>
        <v>4203020 - Mant. y Consum. Viv Stock</v>
      </c>
      <c r="H2152" s="146" t="str">
        <f>+VLOOKUP(D2152,'3. Cuentas'!A:F,6,0)</f>
        <v>SI</v>
      </c>
    </row>
    <row r="2153" spans="1:8" x14ac:dyDescent="0.25">
      <c r="A2153" s="43">
        <v>10268105</v>
      </c>
      <c r="B2153" t="s">
        <v>1356</v>
      </c>
      <c r="C2153" s="43" t="s">
        <v>1622</v>
      </c>
      <c r="D2153" s="43">
        <v>4203120</v>
      </c>
      <c r="E2153" t="s">
        <v>108</v>
      </c>
      <c r="F2153" s="47" t="str">
        <f>+Centro_Cuenta8[[#This Row],[Codigo Centro Gestion]]&amp;" - "&amp;Centro_Cuenta8[[#This Row],[Nombre Centro Gestion]]</f>
        <v>10268105 - Condominio Jardines del Sur Etapa 2-Clientes</v>
      </c>
      <c r="G2153" s="47" t="str">
        <f>+Centro_Cuenta8[[#This Row],[Código Cuenta Contable]]&amp;" - "&amp;Centro_Cuenta8[[#This Row],[Nombre de Cuenta Contable]]</f>
        <v>4203120 - Gastos Comunes</v>
      </c>
      <c r="H2153" s="146" t="str">
        <f>+VLOOKUP(D2153,'3. Cuentas'!A:F,6,0)</f>
        <v>SI</v>
      </c>
    </row>
    <row r="2154" spans="1:8" x14ac:dyDescent="0.25">
      <c r="A2154" s="43">
        <v>10268105</v>
      </c>
      <c r="B2154" t="s">
        <v>1356</v>
      </c>
      <c r="C2154" s="43" t="s">
        <v>1622</v>
      </c>
      <c r="D2154" s="43">
        <v>4203140</v>
      </c>
      <c r="E2154" t="s">
        <v>109</v>
      </c>
      <c r="F2154" s="47" t="str">
        <f>+Centro_Cuenta8[[#This Row],[Codigo Centro Gestion]]&amp;" - "&amp;Centro_Cuenta8[[#This Row],[Nombre Centro Gestion]]</f>
        <v>10268105 - Condominio Jardines del Sur Etapa 2-Clientes</v>
      </c>
      <c r="G2154" s="47" t="str">
        <f>+Centro_Cuenta8[[#This Row],[Código Cuenta Contable]]&amp;" - "&amp;Centro_Cuenta8[[#This Row],[Nombre de Cuenta Contable]]</f>
        <v>4203140 - Contribuciones</v>
      </c>
      <c r="H2154" s="146" t="str">
        <f>+VLOOKUP(D2154,'3. Cuentas'!A:F,6,0)</f>
        <v>SI</v>
      </c>
    </row>
    <row r="2155" spans="1:8" x14ac:dyDescent="0.25">
      <c r="A2155" s="43">
        <v>10268204</v>
      </c>
      <c r="B2155" t="s">
        <v>1357</v>
      </c>
      <c r="C2155" s="43" t="s">
        <v>1624</v>
      </c>
      <c r="D2155" s="43">
        <v>1103045</v>
      </c>
      <c r="E2155" t="s">
        <v>323</v>
      </c>
      <c r="F2155" s="47" t="str">
        <f>+Centro_Cuenta8[[#This Row],[Codigo Centro Gestion]]&amp;" - "&amp;Centro_Cuenta8[[#This Row],[Nombre Centro Gestion]]</f>
        <v>10268204 - Condominio Jardines del Sur Etapa 2-Proyecto</v>
      </c>
      <c r="G2155" s="47" t="str">
        <f>+Centro_Cuenta8[[#This Row],[Código Cuenta Contable]]&amp;" - "&amp;Centro_Cuenta8[[#This Row],[Nombre de Cuenta Contable]]</f>
        <v>1103045 - Aportes reembolsables (electricidad y agua)</v>
      </c>
      <c r="H2155" s="146" t="str">
        <f>+VLOOKUP(D2155,'3. Cuentas'!A:F,6,0)</f>
        <v>SI</v>
      </c>
    </row>
    <row r="2156" spans="1:8" x14ac:dyDescent="0.25">
      <c r="A2156" s="43">
        <v>10268204</v>
      </c>
      <c r="B2156" t="s">
        <v>1357</v>
      </c>
      <c r="C2156" s="43" t="s">
        <v>1624</v>
      </c>
      <c r="D2156" s="43">
        <v>1109020</v>
      </c>
      <c r="E2156" t="s">
        <v>302</v>
      </c>
      <c r="F2156" s="47" t="str">
        <f>+Centro_Cuenta8[[#This Row],[Codigo Centro Gestion]]&amp;" - "&amp;Centro_Cuenta8[[#This Row],[Nombre Centro Gestion]]</f>
        <v>10268204 - Condominio Jardines del Sur Etapa 2-Proyecto</v>
      </c>
      <c r="G2156" s="47" t="str">
        <f>+Centro_Cuenta8[[#This Row],[Código Cuenta Contable]]&amp;" - "&amp;Centro_Cuenta8[[#This Row],[Nombre de Cuenta Contable]]</f>
        <v>1109020 - Mobiliario</v>
      </c>
      <c r="H2156" s="146" t="str">
        <f>+VLOOKUP(D2156,'3. Cuentas'!A:F,6,0)</f>
        <v>SI</v>
      </c>
    </row>
    <row r="2157" spans="1:8" x14ac:dyDescent="0.25">
      <c r="A2157" s="43">
        <v>10268204</v>
      </c>
      <c r="B2157" t="s">
        <v>1357</v>
      </c>
      <c r="C2157" s="43" t="s">
        <v>1624</v>
      </c>
      <c r="D2157" s="43">
        <v>1110040</v>
      </c>
      <c r="E2157" t="s">
        <v>1505</v>
      </c>
      <c r="F2157" s="47" t="str">
        <f>+Centro_Cuenta8[[#This Row],[Codigo Centro Gestion]]&amp;" - "&amp;Centro_Cuenta8[[#This Row],[Nombre Centro Gestion]]</f>
        <v>10268204 - Condominio Jardines del Sur Etapa 2-Proyecto</v>
      </c>
      <c r="G2157" s="47" t="str">
        <f>+Centro_Cuenta8[[#This Row],[Código Cuenta Contable]]&amp;" - "&amp;Centro_Cuenta8[[#This Row],[Nombre de Cuenta Contable]]</f>
        <v>1110040 - Garantía Pagadas</v>
      </c>
      <c r="H2157" s="146" t="str">
        <f>+VLOOKUP(D2157,'3. Cuentas'!A:F,6,0)</f>
        <v>SI</v>
      </c>
    </row>
    <row r="2158" spans="1:8" x14ac:dyDescent="0.25">
      <c r="A2158" s="43">
        <v>10268204</v>
      </c>
      <c r="B2158" t="s">
        <v>1357</v>
      </c>
      <c r="C2158" s="43" t="s">
        <v>1624</v>
      </c>
      <c r="D2158" s="43">
        <v>1115040</v>
      </c>
      <c r="E2158" t="s">
        <v>291</v>
      </c>
      <c r="F2158" s="47" t="str">
        <f>+Centro_Cuenta8[[#This Row],[Codigo Centro Gestion]]&amp;" - "&amp;Centro_Cuenta8[[#This Row],[Nombre Centro Gestion]]</f>
        <v>10268204 - Condominio Jardines del Sur Etapa 2-Proyecto</v>
      </c>
      <c r="G2158" s="47" t="str">
        <f>+Centro_Cuenta8[[#This Row],[Código Cuenta Contable]]&amp;" - "&amp;Centro_Cuenta8[[#This Row],[Nombre de Cuenta Contable]]</f>
        <v>1115040 - Saneamiento De Terreno</v>
      </c>
      <c r="H2158" s="146" t="str">
        <f>+VLOOKUP(D2158,'3. Cuentas'!A:F,6,0)</f>
        <v>SI</v>
      </c>
    </row>
    <row r="2159" spans="1:8" x14ac:dyDescent="0.25">
      <c r="A2159" s="43">
        <v>10268204</v>
      </c>
      <c r="B2159" t="s">
        <v>1357</v>
      </c>
      <c r="C2159" s="43" t="s">
        <v>1624</v>
      </c>
      <c r="D2159" s="43">
        <v>1115050</v>
      </c>
      <c r="E2159" t="s">
        <v>1628</v>
      </c>
      <c r="F2159" s="47" t="str">
        <f>+Centro_Cuenta8[[#This Row],[Codigo Centro Gestion]]&amp;" - "&amp;Centro_Cuenta8[[#This Row],[Nombre Centro Gestion]]</f>
        <v>10268204 - Condominio Jardines del Sur Etapa 2-Proyecto</v>
      </c>
      <c r="G2159" s="47" t="str">
        <f>+Centro_Cuenta8[[#This Row],[Código Cuenta Contable]]&amp;" - "&amp;Centro_Cuenta8[[#This Row],[Nombre de Cuenta Contable]]</f>
        <v>1115050 - Demolición</v>
      </c>
      <c r="H2159" s="146" t="str">
        <f>+VLOOKUP(D2159,'3. Cuentas'!A:F,6,0)</f>
        <v>SI</v>
      </c>
    </row>
    <row r="2160" spans="1:8" x14ac:dyDescent="0.25">
      <c r="A2160" s="43">
        <v>10268204</v>
      </c>
      <c r="B2160" t="s">
        <v>1357</v>
      </c>
      <c r="C2160" s="43" t="s">
        <v>1624</v>
      </c>
      <c r="D2160" s="43">
        <v>1115100</v>
      </c>
      <c r="E2160" t="s">
        <v>292</v>
      </c>
      <c r="F2160" s="47" t="str">
        <f>+Centro_Cuenta8[[#This Row],[Codigo Centro Gestion]]&amp;" - "&amp;Centro_Cuenta8[[#This Row],[Nombre Centro Gestion]]</f>
        <v>10268204 - Condominio Jardines del Sur Etapa 2-Proyecto</v>
      </c>
      <c r="G2160" s="47" t="str">
        <f>+Centro_Cuenta8[[#This Row],[Código Cuenta Contable]]&amp;" - "&amp;Centro_Cuenta8[[#This Row],[Nombre de Cuenta Contable]]</f>
        <v>1115100 - Proyectos Y Especialidades</v>
      </c>
      <c r="H2160" s="146" t="str">
        <f>+VLOOKUP(D2160,'3. Cuentas'!A:F,6,0)</f>
        <v>SI</v>
      </c>
    </row>
    <row r="2161" spans="1:8" x14ac:dyDescent="0.25">
      <c r="A2161" s="43">
        <v>10268204</v>
      </c>
      <c r="B2161" t="s">
        <v>1357</v>
      </c>
      <c r="C2161" s="43" t="s">
        <v>1624</v>
      </c>
      <c r="D2161" s="43">
        <v>1115120</v>
      </c>
      <c r="E2161" t="s">
        <v>1633</v>
      </c>
      <c r="F2161" s="47" t="str">
        <f>+Centro_Cuenta8[[#This Row],[Codigo Centro Gestion]]&amp;" - "&amp;Centro_Cuenta8[[#This Row],[Nombre Centro Gestion]]</f>
        <v>10268204 - Condominio Jardines del Sur Etapa 2-Proyecto</v>
      </c>
      <c r="G2161" s="47" t="str">
        <f>+Centro_Cuenta8[[#This Row],[Código Cuenta Contable]]&amp;" - "&amp;Centro_Cuenta8[[#This Row],[Nombre de Cuenta Contable]]</f>
        <v>1115120 - Instalación Empalmes</v>
      </c>
      <c r="H2161" s="146" t="str">
        <f>+VLOOKUP(D2161,'3. Cuentas'!A:F,6,0)</f>
        <v>SI</v>
      </c>
    </row>
    <row r="2162" spans="1:8" x14ac:dyDescent="0.25">
      <c r="A2162" s="43">
        <v>10268204</v>
      </c>
      <c r="B2162" t="s">
        <v>1357</v>
      </c>
      <c r="C2162" s="43" t="s">
        <v>1624</v>
      </c>
      <c r="D2162" s="43">
        <v>1115170</v>
      </c>
      <c r="E2162" t="s">
        <v>293</v>
      </c>
      <c r="F2162" s="47" t="str">
        <f>+Centro_Cuenta8[[#This Row],[Codigo Centro Gestion]]&amp;" - "&amp;Centro_Cuenta8[[#This Row],[Nombre Centro Gestion]]</f>
        <v>10268204 - Condominio Jardines del Sur Etapa 2-Proyecto</v>
      </c>
      <c r="G2162" s="47" t="str">
        <f>+Centro_Cuenta8[[#This Row],[Código Cuenta Contable]]&amp;" - "&amp;Centro_Cuenta8[[#This Row],[Nombre de Cuenta Contable]]</f>
        <v>1115170 - Permisos Y Otros Gastos Municipales</v>
      </c>
      <c r="H2162" s="146" t="str">
        <f>+VLOOKUP(D2162,'3. Cuentas'!A:F,6,0)</f>
        <v>SI</v>
      </c>
    </row>
    <row r="2163" spans="1:8" x14ac:dyDescent="0.25">
      <c r="A2163" s="43">
        <v>10268204</v>
      </c>
      <c r="B2163" t="s">
        <v>1357</v>
      </c>
      <c r="C2163" s="43" t="s">
        <v>1624</v>
      </c>
      <c r="D2163" s="43">
        <v>1115240</v>
      </c>
      <c r="E2163" t="s">
        <v>294</v>
      </c>
      <c r="F2163" s="47" t="str">
        <f>+Centro_Cuenta8[[#This Row],[Codigo Centro Gestion]]&amp;" - "&amp;Centro_Cuenta8[[#This Row],[Nombre Centro Gestion]]</f>
        <v>10268204 - Condominio Jardines del Sur Etapa 2-Proyecto</v>
      </c>
      <c r="G2163" s="47" t="str">
        <f>+Centro_Cuenta8[[#This Row],[Código Cuenta Contable]]&amp;" - "&amp;Centro_Cuenta8[[#This Row],[Nombre de Cuenta Contable]]</f>
        <v>1115240 - Estudios Y Asesorias Técnicas</v>
      </c>
      <c r="H2163" s="146" t="str">
        <f>+VLOOKUP(D2163,'3. Cuentas'!A:F,6,0)</f>
        <v>SI</v>
      </c>
    </row>
    <row r="2164" spans="1:8" x14ac:dyDescent="0.25">
      <c r="A2164" s="43">
        <v>10268204</v>
      </c>
      <c r="B2164" t="s">
        <v>1357</v>
      </c>
      <c r="C2164" s="43" t="s">
        <v>1624</v>
      </c>
      <c r="D2164" s="43">
        <v>4203090</v>
      </c>
      <c r="E2164" t="s">
        <v>192</v>
      </c>
      <c r="F2164" s="47" t="str">
        <f>+Centro_Cuenta8[[#This Row],[Codigo Centro Gestion]]&amp;" - "&amp;Centro_Cuenta8[[#This Row],[Nombre Centro Gestion]]</f>
        <v>10268204 - Condominio Jardines del Sur Etapa 2-Proyecto</v>
      </c>
      <c r="G2164" s="47" t="str">
        <f>+Centro_Cuenta8[[#This Row],[Código Cuenta Contable]]&amp;" - "&amp;Centro_Cuenta8[[#This Row],[Nombre de Cuenta Contable]]</f>
        <v>4203090 - Gastos Legales Y Notariales Proyecto</v>
      </c>
      <c r="H2164" s="146" t="str">
        <f>+VLOOKUP(D2164,'3. Cuentas'!A:F,6,0)</f>
        <v>SI</v>
      </c>
    </row>
    <row r="2165" spans="1:8" x14ac:dyDescent="0.25">
      <c r="A2165" s="43">
        <v>10268204</v>
      </c>
      <c r="B2165" t="s">
        <v>1357</v>
      </c>
      <c r="C2165" s="43" t="s">
        <v>1624</v>
      </c>
      <c r="D2165" s="43">
        <v>4203140</v>
      </c>
      <c r="E2165" t="s">
        <v>109</v>
      </c>
      <c r="F2165" s="47" t="str">
        <f>+Centro_Cuenta8[[#This Row],[Codigo Centro Gestion]]&amp;" - "&amp;Centro_Cuenta8[[#This Row],[Nombre Centro Gestion]]</f>
        <v>10268204 - Condominio Jardines del Sur Etapa 2-Proyecto</v>
      </c>
      <c r="G2165" s="47" t="str">
        <f>+Centro_Cuenta8[[#This Row],[Código Cuenta Contable]]&amp;" - "&amp;Centro_Cuenta8[[#This Row],[Nombre de Cuenta Contable]]</f>
        <v>4203140 - Contribuciones</v>
      </c>
      <c r="H2165" s="146" t="str">
        <f>+VLOOKUP(D2165,'3. Cuentas'!A:F,6,0)</f>
        <v>SI</v>
      </c>
    </row>
    <row r="2166" spans="1:8" x14ac:dyDescent="0.25">
      <c r="A2166" s="43">
        <v>10268204</v>
      </c>
      <c r="B2166" t="s">
        <v>1357</v>
      </c>
      <c r="C2166" s="43" t="s">
        <v>1624</v>
      </c>
      <c r="D2166" s="43">
        <v>4203150</v>
      </c>
      <c r="E2166" t="s">
        <v>156</v>
      </c>
      <c r="F2166" s="47" t="str">
        <f>+Centro_Cuenta8[[#This Row],[Codigo Centro Gestion]]&amp;" - "&amp;Centro_Cuenta8[[#This Row],[Nombre Centro Gestion]]</f>
        <v>10268204 - Condominio Jardines del Sur Etapa 2-Proyecto</v>
      </c>
      <c r="G2166" s="47" t="str">
        <f>+Centro_Cuenta8[[#This Row],[Código Cuenta Contable]]&amp;" - "&amp;Centro_Cuenta8[[#This Row],[Nombre de Cuenta Contable]]</f>
        <v>4203150 - Gastos CBR</v>
      </c>
      <c r="H2166" s="146" t="str">
        <f>+VLOOKUP(D2166,'3. Cuentas'!A:F,6,0)</f>
        <v>SI</v>
      </c>
    </row>
    <row r="2167" spans="1:8" x14ac:dyDescent="0.25">
      <c r="A2167" s="43">
        <v>10268204</v>
      </c>
      <c r="B2167" t="s">
        <v>1357</v>
      </c>
      <c r="C2167" s="43" t="s">
        <v>1624</v>
      </c>
      <c r="D2167" s="43">
        <v>4203160</v>
      </c>
      <c r="E2167" t="s">
        <v>1639</v>
      </c>
      <c r="F2167" s="47" t="str">
        <f>+Centro_Cuenta8[[#This Row],[Codigo Centro Gestion]]&amp;" - "&amp;Centro_Cuenta8[[#This Row],[Nombre Centro Gestion]]</f>
        <v>10268204 - Condominio Jardines del Sur Etapa 2-Proyecto</v>
      </c>
      <c r="G2167" s="47" t="str">
        <f>+Centro_Cuenta8[[#This Row],[Código Cuenta Contable]]&amp;" - "&amp;Centro_Cuenta8[[#This Row],[Nombre de Cuenta Contable]]</f>
        <v>4203160 - PAPELERIA Y FOTOCOPIADO</v>
      </c>
      <c r="H2167" s="146" t="str">
        <f>+VLOOKUP(D2167,'3. Cuentas'!A:F,6,0)</f>
        <v>SI</v>
      </c>
    </row>
    <row r="2168" spans="1:8" x14ac:dyDescent="0.25">
      <c r="A2168" s="43">
        <v>10268204</v>
      </c>
      <c r="B2168" t="s">
        <v>1357</v>
      </c>
      <c r="C2168" s="43" t="s">
        <v>1624</v>
      </c>
      <c r="D2168" s="43">
        <v>4203180</v>
      </c>
      <c r="E2168" t="s">
        <v>1640</v>
      </c>
      <c r="F2168" s="47" t="str">
        <f>+Centro_Cuenta8[[#This Row],[Codigo Centro Gestion]]&amp;" - "&amp;Centro_Cuenta8[[#This Row],[Nombre Centro Gestion]]</f>
        <v>10268204 - Condominio Jardines del Sur Etapa 2-Proyecto</v>
      </c>
      <c r="G2168" s="47" t="str">
        <f>+Centro_Cuenta8[[#This Row],[Código Cuenta Contable]]&amp;" - "&amp;Centro_Cuenta8[[#This Row],[Nombre de Cuenta Contable]]</f>
        <v>4203180 - Otros Gastos y Aseso Proy</v>
      </c>
      <c r="H2168" s="146" t="str">
        <f>+VLOOKUP(D2168,'3. Cuentas'!A:F,6,0)</f>
        <v>SI</v>
      </c>
    </row>
    <row r="2169" spans="1:8" x14ac:dyDescent="0.25">
      <c r="A2169" s="43">
        <v>10268301</v>
      </c>
      <c r="B2169" t="s">
        <v>1358</v>
      </c>
      <c r="C2169" s="43" t="s">
        <v>1643</v>
      </c>
      <c r="D2169" s="43">
        <v>4203090</v>
      </c>
      <c r="E2169" t="s">
        <v>192</v>
      </c>
      <c r="F2169" s="47" t="str">
        <f>+Centro_Cuenta8[[#This Row],[Codigo Centro Gestion]]&amp;" - "&amp;Centro_Cuenta8[[#This Row],[Nombre Centro Gestion]]</f>
        <v>10268301 - Condominio Jardines del Sur Etapa 2-GAF</v>
      </c>
      <c r="G2169" s="47" t="str">
        <f>+Centro_Cuenta8[[#This Row],[Código Cuenta Contable]]&amp;" - "&amp;Centro_Cuenta8[[#This Row],[Nombre de Cuenta Contable]]</f>
        <v>4203090 - Gastos Legales Y Notariales Proyecto</v>
      </c>
      <c r="H2169" s="146" t="str">
        <f>+VLOOKUP(D2169,'3. Cuentas'!A:F,6,0)</f>
        <v>SI</v>
      </c>
    </row>
    <row r="2170" spans="1:8" x14ac:dyDescent="0.25">
      <c r="A2170" s="43">
        <v>10268301</v>
      </c>
      <c r="B2170" t="s">
        <v>1358</v>
      </c>
      <c r="C2170" s="43" t="s">
        <v>1643</v>
      </c>
      <c r="D2170" s="43">
        <v>4203140</v>
      </c>
      <c r="E2170" t="s">
        <v>109</v>
      </c>
      <c r="F2170" s="47" t="str">
        <f>+Centro_Cuenta8[[#This Row],[Codigo Centro Gestion]]&amp;" - "&amp;Centro_Cuenta8[[#This Row],[Nombre Centro Gestion]]</f>
        <v>10268301 - Condominio Jardines del Sur Etapa 2-GAF</v>
      </c>
      <c r="G2170" s="47" t="str">
        <f>+Centro_Cuenta8[[#This Row],[Código Cuenta Contable]]&amp;" - "&amp;Centro_Cuenta8[[#This Row],[Nombre de Cuenta Contable]]</f>
        <v>4203140 - Contribuciones</v>
      </c>
      <c r="H2170" s="146" t="str">
        <f>+VLOOKUP(D2170,'3. Cuentas'!A:F,6,0)</f>
        <v>SI</v>
      </c>
    </row>
    <row r="2171" spans="1:8" x14ac:dyDescent="0.25">
      <c r="A2171" s="43">
        <v>10268506</v>
      </c>
      <c r="B2171" t="s">
        <v>1360</v>
      </c>
      <c r="C2171" s="43" t="s">
        <v>200</v>
      </c>
      <c r="D2171" s="43">
        <v>1115100</v>
      </c>
      <c r="E2171" t="s">
        <v>292</v>
      </c>
      <c r="F2171" s="47" t="str">
        <f>+Centro_Cuenta8[[#This Row],[Codigo Centro Gestion]]&amp;" - "&amp;Centro_Cuenta8[[#This Row],[Nombre Centro Gestion]]</f>
        <v>10268506 - Condominio Jardines del Sur Etapa 2-Depto.Técnico</v>
      </c>
      <c r="G2171" s="47" t="str">
        <f>+Centro_Cuenta8[[#This Row],[Código Cuenta Contable]]&amp;" - "&amp;Centro_Cuenta8[[#This Row],[Nombre de Cuenta Contable]]</f>
        <v>1115100 - Proyectos Y Especialidades</v>
      </c>
      <c r="H2171" s="146" t="str">
        <f>+VLOOKUP(D2171,'3. Cuentas'!A:F,6,0)</f>
        <v>SI</v>
      </c>
    </row>
    <row r="2172" spans="1:8" x14ac:dyDescent="0.25">
      <c r="A2172" s="43">
        <v>10300102</v>
      </c>
      <c r="B2172" t="s">
        <v>1362</v>
      </c>
      <c r="C2172" s="43" t="s">
        <v>1617</v>
      </c>
      <c r="D2172" s="43">
        <v>4204010</v>
      </c>
      <c r="E2172" t="s">
        <v>313</v>
      </c>
      <c r="F2172" s="47" t="str">
        <f>+Centro_Cuenta8[[#This Row],[Codigo Centro Gestion]]&amp;" - "&amp;Centro_Cuenta8[[#This Row],[Nombre Centro Gestion]]</f>
        <v>10300102 - Edificio Pedro de la Barra-Marketing</v>
      </c>
      <c r="G2172" s="47" t="str">
        <f>+Centro_Cuenta8[[#This Row],[Código Cuenta Contable]]&amp;" - "&amp;Centro_Cuenta8[[#This Row],[Nombre de Cuenta Contable]]</f>
        <v>4204010 - Publicidad Punto Venta</v>
      </c>
      <c r="H2172" s="146" t="str">
        <f>+VLOOKUP(D2172,'3. Cuentas'!A:F,6,0)</f>
        <v>SI</v>
      </c>
    </row>
    <row r="2173" spans="1:8" x14ac:dyDescent="0.25">
      <c r="A2173" s="43">
        <v>10300102</v>
      </c>
      <c r="B2173" t="s">
        <v>1362</v>
      </c>
      <c r="C2173" s="43" t="s">
        <v>1617</v>
      </c>
      <c r="D2173" s="43">
        <v>4204021</v>
      </c>
      <c r="E2173" t="s">
        <v>329</v>
      </c>
      <c r="F2173" s="47" t="str">
        <f>+Centro_Cuenta8[[#This Row],[Codigo Centro Gestion]]&amp;" - "&amp;Centro_Cuenta8[[#This Row],[Nombre Centro Gestion]]</f>
        <v>10300102 - Edificio Pedro de la Barra-Marketing</v>
      </c>
      <c r="G2173" s="47" t="str">
        <f>+Centro_Cuenta8[[#This Row],[Código Cuenta Contable]]&amp;" - "&amp;Centro_Cuenta8[[#This Row],[Nombre de Cuenta Contable]]</f>
        <v>4204021 - Publicidad Ferias Y Eventos</v>
      </c>
      <c r="H2173" s="146" t="str">
        <f>+VLOOKUP(D2173,'3. Cuentas'!A:F,6,0)</f>
        <v>SI</v>
      </c>
    </row>
    <row r="2174" spans="1:8" x14ac:dyDescent="0.25">
      <c r="A2174" s="43">
        <v>10300103</v>
      </c>
      <c r="B2174" t="s">
        <v>1363</v>
      </c>
      <c r="C2174" s="43" t="s">
        <v>1618</v>
      </c>
      <c r="D2174" s="43">
        <v>4203060</v>
      </c>
      <c r="E2174" t="s">
        <v>321</v>
      </c>
      <c r="F2174" s="47" t="str">
        <f>+Centro_Cuenta8[[#This Row],[Codigo Centro Gestion]]&amp;" - "&amp;Centro_Cuenta8[[#This Row],[Nombre Centro Gestion]]</f>
        <v>10300103 - Edificio Pedro de la Barra-Operaciones</v>
      </c>
      <c r="G2174" s="47" t="str">
        <f>+Centro_Cuenta8[[#This Row],[Código Cuenta Contable]]&amp;" - "&amp;Centro_Cuenta8[[#This Row],[Nombre de Cuenta Contable]]</f>
        <v>4203060 - Gastos Operacionales De Clientes</v>
      </c>
      <c r="H2174" s="146" t="str">
        <f>+VLOOKUP(D2174,'3. Cuentas'!A:F,6,0)</f>
        <v>SI</v>
      </c>
    </row>
    <row r="2175" spans="1:8" x14ac:dyDescent="0.25">
      <c r="A2175" s="43">
        <v>10300103</v>
      </c>
      <c r="B2175" t="s">
        <v>1363</v>
      </c>
      <c r="C2175" s="43" t="s">
        <v>1618</v>
      </c>
      <c r="D2175" s="43">
        <v>4203090</v>
      </c>
      <c r="E2175" t="s">
        <v>192</v>
      </c>
      <c r="F2175" s="47" t="str">
        <f>+Centro_Cuenta8[[#This Row],[Codigo Centro Gestion]]&amp;" - "&amp;Centro_Cuenta8[[#This Row],[Nombre Centro Gestion]]</f>
        <v>10300103 - Edificio Pedro de la Barra-Operaciones</v>
      </c>
      <c r="G2175" s="47" t="str">
        <f>+Centro_Cuenta8[[#This Row],[Código Cuenta Contable]]&amp;" - "&amp;Centro_Cuenta8[[#This Row],[Nombre de Cuenta Contable]]</f>
        <v>4203090 - Gastos Legales Y Notariales Proyecto</v>
      </c>
      <c r="H2175" s="146" t="str">
        <f>+VLOOKUP(D2175,'3. Cuentas'!A:F,6,0)</f>
        <v>SI</v>
      </c>
    </row>
    <row r="2176" spans="1:8" x14ac:dyDescent="0.25">
      <c r="A2176" s="43">
        <v>10300104</v>
      </c>
      <c r="B2176" t="s">
        <v>1364</v>
      </c>
      <c r="C2176" s="43" t="s">
        <v>90</v>
      </c>
      <c r="D2176" s="43">
        <v>1110040</v>
      </c>
      <c r="E2176" t="s">
        <v>1505</v>
      </c>
      <c r="F2176" s="47" t="str">
        <f>+Centro_Cuenta8[[#This Row],[Codigo Centro Gestion]]&amp;" - "&amp;Centro_Cuenta8[[#This Row],[Nombre Centro Gestion]]</f>
        <v>10300104 - Edificio Pedro de la Barra-Ventas</v>
      </c>
      <c r="G2176" s="47" t="str">
        <f>+Centro_Cuenta8[[#This Row],[Código Cuenta Contable]]&amp;" - "&amp;Centro_Cuenta8[[#This Row],[Nombre de Cuenta Contable]]</f>
        <v>1110040 - Garantía Pagadas</v>
      </c>
      <c r="H2176" s="146" t="str">
        <f>+VLOOKUP(D2176,'3. Cuentas'!A:F,6,0)</f>
        <v>SI</v>
      </c>
    </row>
    <row r="2177" spans="1:8" x14ac:dyDescent="0.25">
      <c r="A2177" s="43">
        <v>10300104</v>
      </c>
      <c r="B2177" t="s">
        <v>1364</v>
      </c>
      <c r="C2177" s="43" t="s">
        <v>90</v>
      </c>
      <c r="D2177" s="43">
        <v>4202003</v>
      </c>
      <c r="E2177" t="s">
        <v>106</v>
      </c>
      <c r="F2177" s="47" t="str">
        <f>+Centro_Cuenta8[[#This Row],[Codigo Centro Gestion]]&amp;" - "&amp;Centro_Cuenta8[[#This Row],[Nombre Centro Gestion]]</f>
        <v>10300104 - Edificio Pedro de la Barra-Ventas</v>
      </c>
      <c r="G2177" s="47" t="str">
        <f>+Centro_Cuenta8[[#This Row],[Código Cuenta Contable]]&amp;" - "&amp;Centro_Cuenta8[[#This Row],[Nombre de Cuenta Contable]]</f>
        <v>4202003 - Serv.Basic.Luz.Agua.Tel Of.C</v>
      </c>
      <c r="H2177" s="146" t="str">
        <f>+VLOOKUP(D2177,'3. Cuentas'!A:F,6,0)</f>
        <v>SI</v>
      </c>
    </row>
    <row r="2178" spans="1:8" x14ac:dyDescent="0.25">
      <c r="A2178" s="43">
        <v>10300104</v>
      </c>
      <c r="B2178" t="s">
        <v>1364</v>
      </c>
      <c r="C2178" s="43" t="s">
        <v>90</v>
      </c>
      <c r="D2178" s="43">
        <v>4202010</v>
      </c>
      <c r="E2178" t="s">
        <v>87</v>
      </c>
      <c r="F2178" s="47" t="str">
        <f>+Centro_Cuenta8[[#This Row],[Codigo Centro Gestion]]&amp;" - "&amp;Centro_Cuenta8[[#This Row],[Nombre Centro Gestion]]</f>
        <v>10300104 - Edificio Pedro de la Barra-Ventas</v>
      </c>
      <c r="G2178" s="47" t="str">
        <f>+Centro_Cuenta8[[#This Row],[Código Cuenta Contable]]&amp;" - "&amp;Centro_Cuenta8[[#This Row],[Nombre de Cuenta Contable]]</f>
        <v>4202010 - Artic. Ofic. Fotocop.Papelería</v>
      </c>
      <c r="H2178" s="146" t="str">
        <f>+VLOOKUP(D2178,'3. Cuentas'!A:F,6,0)</f>
        <v>SI</v>
      </c>
    </row>
    <row r="2179" spans="1:8" x14ac:dyDescent="0.25">
      <c r="A2179" s="43">
        <v>10300104</v>
      </c>
      <c r="B2179" t="s">
        <v>1364</v>
      </c>
      <c r="C2179" s="43" t="s">
        <v>90</v>
      </c>
      <c r="D2179" s="43">
        <v>4202019</v>
      </c>
      <c r="E2179" t="s">
        <v>81</v>
      </c>
      <c r="F2179" s="47" t="str">
        <f>+Centro_Cuenta8[[#This Row],[Codigo Centro Gestion]]&amp;" - "&amp;Centro_Cuenta8[[#This Row],[Nombre Centro Gestion]]</f>
        <v>10300104 - Edificio Pedro de la Barra-Ventas</v>
      </c>
      <c r="G2179" s="47" t="str">
        <f>+Centro_Cuenta8[[#This Row],[Código Cuenta Contable]]&amp;" - "&amp;Centro_Cuenta8[[#This Row],[Nombre de Cuenta Contable]]</f>
        <v>4202019 - Gasto General Oficina</v>
      </c>
      <c r="H2179" s="146" t="str">
        <f>+VLOOKUP(D2179,'3. Cuentas'!A:F,6,0)</f>
        <v>SI</v>
      </c>
    </row>
    <row r="2180" spans="1:8" x14ac:dyDescent="0.25">
      <c r="A2180" s="43">
        <v>10300104</v>
      </c>
      <c r="B2180" t="s">
        <v>1364</v>
      </c>
      <c r="C2180" s="43" t="s">
        <v>90</v>
      </c>
      <c r="D2180" s="43">
        <v>4202023</v>
      </c>
      <c r="E2180" t="s">
        <v>82</v>
      </c>
      <c r="F2180" s="47" t="str">
        <f>+Centro_Cuenta8[[#This Row],[Codigo Centro Gestion]]&amp;" - "&amp;Centro_Cuenta8[[#This Row],[Nombre Centro Gestion]]</f>
        <v>10300104 - Edificio Pedro de la Barra-Ventas</v>
      </c>
      <c r="G2180" s="47" t="str">
        <f>+Centro_Cuenta8[[#This Row],[Código Cuenta Contable]]&amp;" - "&amp;Centro_Cuenta8[[#This Row],[Nombre de Cuenta Contable]]</f>
        <v>4202023 - Honorarios Por Asesorías</v>
      </c>
      <c r="H2180" s="146" t="str">
        <f>+VLOOKUP(D2180,'3. Cuentas'!A:F,6,0)</f>
        <v>SI</v>
      </c>
    </row>
    <row r="2181" spans="1:8" x14ac:dyDescent="0.25">
      <c r="A2181" s="43">
        <v>10300104</v>
      </c>
      <c r="B2181" t="s">
        <v>1364</v>
      </c>
      <c r="C2181" s="43" t="s">
        <v>90</v>
      </c>
      <c r="D2181" s="43">
        <v>4202029</v>
      </c>
      <c r="E2181" t="s">
        <v>83</v>
      </c>
      <c r="F2181" s="47" t="str">
        <f>+Centro_Cuenta8[[#This Row],[Codigo Centro Gestion]]&amp;" - "&amp;Centro_Cuenta8[[#This Row],[Nombre Centro Gestion]]</f>
        <v>10300104 - Edificio Pedro de la Barra-Ventas</v>
      </c>
      <c r="G2181" s="47" t="str">
        <f>+Centro_Cuenta8[[#This Row],[Código Cuenta Contable]]&amp;" - "&amp;Centro_Cuenta8[[#This Row],[Nombre de Cuenta Contable]]</f>
        <v>4202029 - Insumos Y Gastos Informáticos</v>
      </c>
      <c r="H2181" s="146" t="str">
        <f>+VLOOKUP(D2181,'3. Cuentas'!A:F,6,0)</f>
        <v>SI</v>
      </c>
    </row>
    <row r="2182" spans="1:8" x14ac:dyDescent="0.25">
      <c r="A2182" s="43">
        <v>10300104</v>
      </c>
      <c r="B2182" t="s">
        <v>1364</v>
      </c>
      <c r="C2182" s="43" t="s">
        <v>90</v>
      </c>
      <c r="D2182" s="43">
        <v>4204021</v>
      </c>
      <c r="E2182" t="s">
        <v>329</v>
      </c>
      <c r="F2182" s="47" t="str">
        <f>+Centro_Cuenta8[[#This Row],[Codigo Centro Gestion]]&amp;" - "&amp;Centro_Cuenta8[[#This Row],[Nombre Centro Gestion]]</f>
        <v>10300104 - Edificio Pedro de la Barra-Ventas</v>
      </c>
      <c r="G2182" s="47" t="str">
        <f>+Centro_Cuenta8[[#This Row],[Código Cuenta Contable]]&amp;" - "&amp;Centro_Cuenta8[[#This Row],[Nombre de Cuenta Contable]]</f>
        <v>4204021 - Publicidad Ferias Y Eventos</v>
      </c>
      <c r="H2182" s="146" t="str">
        <f>+VLOOKUP(D2182,'3. Cuentas'!A:F,6,0)</f>
        <v>SI</v>
      </c>
    </row>
    <row r="2183" spans="1:8" x14ac:dyDescent="0.25">
      <c r="A2183" s="43">
        <v>10300105</v>
      </c>
      <c r="B2183" t="s">
        <v>1365</v>
      </c>
      <c r="C2183" s="43" t="s">
        <v>1622</v>
      </c>
      <c r="D2183" s="43">
        <v>4203020</v>
      </c>
      <c r="E2183" t="s">
        <v>295</v>
      </c>
      <c r="F2183" s="47" t="str">
        <f>+Centro_Cuenta8[[#This Row],[Codigo Centro Gestion]]&amp;" - "&amp;Centro_Cuenta8[[#This Row],[Nombre Centro Gestion]]</f>
        <v>10300105 - Edificio Pedro de la Barra-Clientes</v>
      </c>
      <c r="G2183" s="47" t="str">
        <f>+Centro_Cuenta8[[#This Row],[Código Cuenta Contable]]&amp;" - "&amp;Centro_Cuenta8[[#This Row],[Nombre de Cuenta Contable]]</f>
        <v>4203020 - Mant. y Consum. Viv Stock</v>
      </c>
      <c r="H2183" s="146" t="str">
        <f>+VLOOKUP(D2183,'3. Cuentas'!A:F,6,0)</f>
        <v>SI</v>
      </c>
    </row>
    <row r="2184" spans="1:8" x14ac:dyDescent="0.25">
      <c r="A2184" s="43">
        <v>10300105</v>
      </c>
      <c r="B2184" t="s">
        <v>1365</v>
      </c>
      <c r="C2184" s="43" t="s">
        <v>1622</v>
      </c>
      <c r="D2184" s="43">
        <v>4203120</v>
      </c>
      <c r="E2184" t="s">
        <v>108</v>
      </c>
      <c r="F2184" s="47" t="str">
        <f>+Centro_Cuenta8[[#This Row],[Codigo Centro Gestion]]&amp;" - "&amp;Centro_Cuenta8[[#This Row],[Nombre Centro Gestion]]</f>
        <v>10300105 - Edificio Pedro de la Barra-Clientes</v>
      </c>
      <c r="G2184" s="47" t="str">
        <f>+Centro_Cuenta8[[#This Row],[Código Cuenta Contable]]&amp;" - "&amp;Centro_Cuenta8[[#This Row],[Nombre de Cuenta Contable]]</f>
        <v>4203120 - Gastos Comunes</v>
      </c>
      <c r="H2184" s="146" t="str">
        <f>+VLOOKUP(D2184,'3. Cuentas'!A:F,6,0)</f>
        <v>SI</v>
      </c>
    </row>
    <row r="2185" spans="1:8" x14ac:dyDescent="0.25">
      <c r="A2185" s="43">
        <v>10300105</v>
      </c>
      <c r="B2185" t="s">
        <v>1365</v>
      </c>
      <c r="C2185" s="43" t="s">
        <v>1622</v>
      </c>
      <c r="D2185" s="43">
        <v>4203140</v>
      </c>
      <c r="E2185" t="s">
        <v>109</v>
      </c>
      <c r="F2185" s="47" t="str">
        <f>+Centro_Cuenta8[[#This Row],[Codigo Centro Gestion]]&amp;" - "&amp;Centro_Cuenta8[[#This Row],[Nombre Centro Gestion]]</f>
        <v>10300105 - Edificio Pedro de la Barra-Clientes</v>
      </c>
      <c r="G2185" s="47" t="str">
        <f>+Centro_Cuenta8[[#This Row],[Código Cuenta Contable]]&amp;" - "&amp;Centro_Cuenta8[[#This Row],[Nombre de Cuenta Contable]]</f>
        <v>4203140 - Contribuciones</v>
      </c>
      <c r="H2185" s="146" t="str">
        <f>+VLOOKUP(D2185,'3. Cuentas'!A:F,6,0)</f>
        <v>SI</v>
      </c>
    </row>
    <row r="2186" spans="1:8" x14ac:dyDescent="0.25">
      <c r="A2186" s="43">
        <v>10300204</v>
      </c>
      <c r="B2186" t="s">
        <v>1366</v>
      </c>
      <c r="C2186" s="43" t="s">
        <v>1624</v>
      </c>
      <c r="D2186" s="43">
        <v>1103045</v>
      </c>
      <c r="E2186" t="s">
        <v>323</v>
      </c>
      <c r="F2186" s="47" t="str">
        <f>+Centro_Cuenta8[[#This Row],[Codigo Centro Gestion]]&amp;" - "&amp;Centro_Cuenta8[[#This Row],[Nombre Centro Gestion]]</f>
        <v>10300204 - Edificio Pedro de la Barra-Proyecto</v>
      </c>
      <c r="G2186" s="47" t="str">
        <f>+Centro_Cuenta8[[#This Row],[Código Cuenta Contable]]&amp;" - "&amp;Centro_Cuenta8[[#This Row],[Nombre de Cuenta Contable]]</f>
        <v>1103045 - Aportes reembolsables (electricidad y agua)</v>
      </c>
      <c r="H2186" s="146" t="str">
        <f>+VLOOKUP(D2186,'3. Cuentas'!A:F,6,0)</f>
        <v>SI</v>
      </c>
    </row>
    <row r="2187" spans="1:8" x14ac:dyDescent="0.25">
      <c r="A2187" s="43">
        <v>10300204</v>
      </c>
      <c r="B2187" t="s">
        <v>1366</v>
      </c>
      <c r="C2187" s="43" t="s">
        <v>1624</v>
      </c>
      <c r="D2187" s="43">
        <v>1109020</v>
      </c>
      <c r="E2187" t="s">
        <v>302</v>
      </c>
      <c r="F2187" s="47" t="str">
        <f>+Centro_Cuenta8[[#This Row],[Codigo Centro Gestion]]&amp;" - "&amp;Centro_Cuenta8[[#This Row],[Nombre Centro Gestion]]</f>
        <v>10300204 - Edificio Pedro de la Barra-Proyecto</v>
      </c>
      <c r="G2187" s="47" t="str">
        <f>+Centro_Cuenta8[[#This Row],[Código Cuenta Contable]]&amp;" - "&amp;Centro_Cuenta8[[#This Row],[Nombre de Cuenta Contable]]</f>
        <v>1109020 - Mobiliario</v>
      </c>
      <c r="H2187" s="146" t="str">
        <f>+VLOOKUP(D2187,'3. Cuentas'!A:F,6,0)</f>
        <v>SI</v>
      </c>
    </row>
    <row r="2188" spans="1:8" x14ac:dyDescent="0.25">
      <c r="A2188" s="43">
        <v>10300204</v>
      </c>
      <c r="B2188" t="s">
        <v>1366</v>
      </c>
      <c r="C2188" s="43" t="s">
        <v>1624</v>
      </c>
      <c r="D2188" s="43">
        <v>1110040</v>
      </c>
      <c r="E2188" t="s">
        <v>1505</v>
      </c>
      <c r="F2188" s="47" t="str">
        <f>+Centro_Cuenta8[[#This Row],[Codigo Centro Gestion]]&amp;" - "&amp;Centro_Cuenta8[[#This Row],[Nombre Centro Gestion]]</f>
        <v>10300204 - Edificio Pedro de la Barra-Proyecto</v>
      </c>
      <c r="G2188" s="47" t="str">
        <f>+Centro_Cuenta8[[#This Row],[Código Cuenta Contable]]&amp;" - "&amp;Centro_Cuenta8[[#This Row],[Nombre de Cuenta Contable]]</f>
        <v>1110040 - Garantía Pagadas</v>
      </c>
      <c r="H2188" s="146" t="str">
        <f>+VLOOKUP(D2188,'3. Cuentas'!A:F,6,0)</f>
        <v>SI</v>
      </c>
    </row>
    <row r="2189" spans="1:8" x14ac:dyDescent="0.25">
      <c r="A2189" s="43">
        <v>10300204</v>
      </c>
      <c r="B2189" t="s">
        <v>1366</v>
      </c>
      <c r="C2189" s="43" t="s">
        <v>1624</v>
      </c>
      <c r="D2189" s="43">
        <v>1115040</v>
      </c>
      <c r="E2189" t="s">
        <v>291</v>
      </c>
      <c r="F2189" s="47" t="str">
        <f>+Centro_Cuenta8[[#This Row],[Codigo Centro Gestion]]&amp;" - "&amp;Centro_Cuenta8[[#This Row],[Nombre Centro Gestion]]</f>
        <v>10300204 - Edificio Pedro de la Barra-Proyecto</v>
      </c>
      <c r="G2189" s="47" t="str">
        <f>+Centro_Cuenta8[[#This Row],[Código Cuenta Contable]]&amp;" - "&amp;Centro_Cuenta8[[#This Row],[Nombre de Cuenta Contable]]</f>
        <v>1115040 - Saneamiento De Terreno</v>
      </c>
      <c r="H2189" s="146" t="str">
        <f>+VLOOKUP(D2189,'3. Cuentas'!A:F,6,0)</f>
        <v>SI</v>
      </c>
    </row>
    <row r="2190" spans="1:8" x14ac:dyDescent="0.25">
      <c r="A2190" s="43">
        <v>10300204</v>
      </c>
      <c r="B2190" t="s">
        <v>1366</v>
      </c>
      <c r="C2190" s="43" t="s">
        <v>1624</v>
      </c>
      <c r="D2190" s="43">
        <v>1115050</v>
      </c>
      <c r="E2190" t="s">
        <v>1628</v>
      </c>
      <c r="F2190" s="47" t="str">
        <f>+Centro_Cuenta8[[#This Row],[Codigo Centro Gestion]]&amp;" - "&amp;Centro_Cuenta8[[#This Row],[Nombre Centro Gestion]]</f>
        <v>10300204 - Edificio Pedro de la Barra-Proyecto</v>
      </c>
      <c r="G2190" s="47" t="str">
        <f>+Centro_Cuenta8[[#This Row],[Código Cuenta Contable]]&amp;" - "&amp;Centro_Cuenta8[[#This Row],[Nombre de Cuenta Contable]]</f>
        <v>1115050 - Demolición</v>
      </c>
      <c r="H2190" s="146" t="str">
        <f>+VLOOKUP(D2190,'3. Cuentas'!A:F,6,0)</f>
        <v>SI</v>
      </c>
    </row>
    <row r="2191" spans="1:8" x14ac:dyDescent="0.25">
      <c r="A2191" s="43">
        <v>10300204</v>
      </c>
      <c r="B2191" t="s">
        <v>1366</v>
      </c>
      <c r="C2191" s="43" t="s">
        <v>1624</v>
      </c>
      <c r="D2191" s="43">
        <v>1115100</v>
      </c>
      <c r="E2191" t="s">
        <v>292</v>
      </c>
      <c r="F2191" s="47" t="str">
        <f>+Centro_Cuenta8[[#This Row],[Codigo Centro Gestion]]&amp;" - "&amp;Centro_Cuenta8[[#This Row],[Nombre Centro Gestion]]</f>
        <v>10300204 - Edificio Pedro de la Barra-Proyecto</v>
      </c>
      <c r="G2191" s="47" t="str">
        <f>+Centro_Cuenta8[[#This Row],[Código Cuenta Contable]]&amp;" - "&amp;Centro_Cuenta8[[#This Row],[Nombre de Cuenta Contable]]</f>
        <v>1115100 - Proyectos Y Especialidades</v>
      </c>
      <c r="H2191" s="146" t="str">
        <f>+VLOOKUP(D2191,'3. Cuentas'!A:F,6,0)</f>
        <v>SI</v>
      </c>
    </row>
    <row r="2192" spans="1:8" x14ac:dyDescent="0.25">
      <c r="A2192" s="43">
        <v>10300204</v>
      </c>
      <c r="B2192" t="s">
        <v>1366</v>
      </c>
      <c r="C2192" s="43" t="s">
        <v>1624</v>
      </c>
      <c r="D2192" s="43">
        <v>1115120</v>
      </c>
      <c r="E2192" t="s">
        <v>1633</v>
      </c>
      <c r="F2192" s="47" t="str">
        <f>+Centro_Cuenta8[[#This Row],[Codigo Centro Gestion]]&amp;" - "&amp;Centro_Cuenta8[[#This Row],[Nombre Centro Gestion]]</f>
        <v>10300204 - Edificio Pedro de la Barra-Proyecto</v>
      </c>
      <c r="G2192" s="47" t="str">
        <f>+Centro_Cuenta8[[#This Row],[Código Cuenta Contable]]&amp;" - "&amp;Centro_Cuenta8[[#This Row],[Nombre de Cuenta Contable]]</f>
        <v>1115120 - Instalación Empalmes</v>
      </c>
      <c r="H2192" s="146" t="str">
        <f>+VLOOKUP(D2192,'3. Cuentas'!A:F,6,0)</f>
        <v>SI</v>
      </c>
    </row>
    <row r="2193" spans="1:8" x14ac:dyDescent="0.25">
      <c r="A2193" s="43">
        <v>10300204</v>
      </c>
      <c r="B2193" t="s">
        <v>1366</v>
      </c>
      <c r="C2193" s="43" t="s">
        <v>1624</v>
      </c>
      <c r="D2193" s="43">
        <v>1115170</v>
      </c>
      <c r="E2193" t="s">
        <v>293</v>
      </c>
      <c r="F2193" s="47" t="str">
        <f>+Centro_Cuenta8[[#This Row],[Codigo Centro Gestion]]&amp;" - "&amp;Centro_Cuenta8[[#This Row],[Nombre Centro Gestion]]</f>
        <v>10300204 - Edificio Pedro de la Barra-Proyecto</v>
      </c>
      <c r="G2193" s="47" t="str">
        <f>+Centro_Cuenta8[[#This Row],[Código Cuenta Contable]]&amp;" - "&amp;Centro_Cuenta8[[#This Row],[Nombre de Cuenta Contable]]</f>
        <v>1115170 - Permisos Y Otros Gastos Municipales</v>
      </c>
      <c r="H2193" s="146" t="str">
        <f>+VLOOKUP(D2193,'3. Cuentas'!A:F,6,0)</f>
        <v>SI</v>
      </c>
    </row>
    <row r="2194" spans="1:8" x14ac:dyDescent="0.25">
      <c r="A2194" s="43">
        <v>10300204</v>
      </c>
      <c r="B2194" t="s">
        <v>1366</v>
      </c>
      <c r="C2194" s="43" t="s">
        <v>1624</v>
      </c>
      <c r="D2194" s="43">
        <v>1115240</v>
      </c>
      <c r="E2194" t="s">
        <v>294</v>
      </c>
      <c r="F2194" s="47" t="str">
        <f>+Centro_Cuenta8[[#This Row],[Codigo Centro Gestion]]&amp;" - "&amp;Centro_Cuenta8[[#This Row],[Nombre Centro Gestion]]</f>
        <v>10300204 - Edificio Pedro de la Barra-Proyecto</v>
      </c>
      <c r="G2194" s="47" t="str">
        <f>+Centro_Cuenta8[[#This Row],[Código Cuenta Contable]]&amp;" - "&amp;Centro_Cuenta8[[#This Row],[Nombre de Cuenta Contable]]</f>
        <v>1115240 - Estudios Y Asesorias Técnicas</v>
      </c>
      <c r="H2194" s="146" t="str">
        <f>+VLOOKUP(D2194,'3. Cuentas'!A:F,6,0)</f>
        <v>SI</v>
      </c>
    </row>
    <row r="2195" spans="1:8" x14ac:dyDescent="0.25">
      <c r="A2195" s="43">
        <v>10300204</v>
      </c>
      <c r="B2195" t="s">
        <v>1366</v>
      </c>
      <c r="C2195" s="43" t="s">
        <v>1624</v>
      </c>
      <c r="D2195" s="43">
        <v>4203090</v>
      </c>
      <c r="E2195" t="s">
        <v>192</v>
      </c>
      <c r="F2195" s="47" t="str">
        <f>+Centro_Cuenta8[[#This Row],[Codigo Centro Gestion]]&amp;" - "&amp;Centro_Cuenta8[[#This Row],[Nombre Centro Gestion]]</f>
        <v>10300204 - Edificio Pedro de la Barra-Proyecto</v>
      </c>
      <c r="G2195" s="47" t="str">
        <f>+Centro_Cuenta8[[#This Row],[Código Cuenta Contable]]&amp;" - "&amp;Centro_Cuenta8[[#This Row],[Nombre de Cuenta Contable]]</f>
        <v>4203090 - Gastos Legales Y Notariales Proyecto</v>
      </c>
      <c r="H2195" s="146" t="str">
        <f>+VLOOKUP(D2195,'3. Cuentas'!A:F,6,0)</f>
        <v>SI</v>
      </c>
    </row>
    <row r="2196" spans="1:8" x14ac:dyDescent="0.25">
      <c r="A2196" s="43">
        <v>10300204</v>
      </c>
      <c r="B2196" t="s">
        <v>1366</v>
      </c>
      <c r="C2196" s="43" t="s">
        <v>1624</v>
      </c>
      <c r="D2196" s="43">
        <v>4203140</v>
      </c>
      <c r="E2196" t="s">
        <v>109</v>
      </c>
      <c r="F2196" s="47" t="str">
        <f>+Centro_Cuenta8[[#This Row],[Codigo Centro Gestion]]&amp;" - "&amp;Centro_Cuenta8[[#This Row],[Nombre Centro Gestion]]</f>
        <v>10300204 - Edificio Pedro de la Barra-Proyecto</v>
      </c>
      <c r="G2196" s="47" t="str">
        <f>+Centro_Cuenta8[[#This Row],[Código Cuenta Contable]]&amp;" - "&amp;Centro_Cuenta8[[#This Row],[Nombre de Cuenta Contable]]</f>
        <v>4203140 - Contribuciones</v>
      </c>
      <c r="H2196" s="146" t="str">
        <f>+VLOOKUP(D2196,'3. Cuentas'!A:F,6,0)</f>
        <v>SI</v>
      </c>
    </row>
    <row r="2197" spans="1:8" x14ac:dyDescent="0.25">
      <c r="A2197" s="43">
        <v>10300204</v>
      </c>
      <c r="B2197" t="s">
        <v>1366</v>
      </c>
      <c r="C2197" s="43" t="s">
        <v>1624</v>
      </c>
      <c r="D2197" s="43">
        <v>4203150</v>
      </c>
      <c r="E2197" t="s">
        <v>156</v>
      </c>
      <c r="F2197" s="47" t="str">
        <f>+Centro_Cuenta8[[#This Row],[Codigo Centro Gestion]]&amp;" - "&amp;Centro_Cuenta8[[#This Row],[Nombre Centro Gestion]]</f>
        <v>10300204 - Edificio Pedro de la Barra-Proyecto</v>
      </c>
      <c r="G2197" s="47" t="str">
        <f>+Centro_Cuenta8[[#This Row],[Código Cuenta Contable]]&amp;" - "&amp;Centro_Cuenta8[[#This Row],[Nombre de Cuenta Contable]]</f>
        <v>4203150 - Gastos CBR</v>
      </c>
      <c r="H2197" s="146" t="str">
        <f>+VLOOKUP(D2197,'3. Cuentas'!A:F,6,0)</f>
        <v>SI</v>
      </c>
    </row>
    <row r="2198" spans="1:8" x14ac:dyDescent="0.25">
      <c r="A2198" s="43">
        <v>10300204</v>
      </c>
      <c r="B2198" t="s">
        <v>1366</v>
      </c>
      <c r="C2198" s="43" t="s">
        <v>1624</v>
      </c>
      <c r="D2198" s="43">
        <v>4203160</v>
      </c>
      <c r="E2198" t="s">
        <v>1639</v>
      </c>
      <c r="F2198" s="47" t="str">
        <f>+Centro_Cuenta8[[#This Row],[Codigo Centro Gestion]]&amp;" - "&amp;Centro_Cuenta8[[#This Row],[Nombre Centro Gestion]]</f>
        <v>10300204 - Edificio Pedro de la Barra-Proyecto</v>
      </c>
      <c r="G2198" s="47" t="str">
        <f>+Centro_Cuenta8[[#This Row],[Código Cuenta Contable]]&amp;" - "&amp;Centro_Cuenta8[[#This Row],[Nombre de Cuenta Contable]]</f>
        <v>4203160 - PAPELERIA Y FOTOCOPIADO</v>
      </c>
      <c r="H2198" s="146" t="str">
        <f>+VLOOKUP(D2198,'3. Cuentas'!A:F,6,0)</f>
        <v>SI</v>
      </c>
    </row>
    <row r="2199" spans="1:8" x14ac:dyDescent="0.25">
      <c r="A2199" s="43">
        <v>10300204</v>
      </c>
      <c r="B2199" t="s">
        <v>1366</v>
      </c>
      <c r="C2199" s="43" t="s">
        <v>1624</v>
      </c>
      <c r="D2199" s="43">
        <v>4203180</v>
      </c>
      <c r="E2199" t="s">
        <v>1640</v>
      </c>
      <c r="F2199" s="47" t="str">
        <f>+Centro_Cuenta8[[#This Row],[Codigo Centro Gestion]]&amp;" - "&amp;Centro_Cuenta8[[#This Row],[Nombre Centro Gestion]]</f>
        <v>10300204 - Edificio Pedro de la Barra-Proyecto</v>
      </c>
      <c r="G2199" s="47" t="str">
        <f>+Centro_Cuenta8[[#This Row],[Código Cuenta Contable]]&amp;" - "&amp;Centro_Cuenta8[[#This Row],[Nombre de Cuenta Contable]]</f>
        <v>4203180 - Otros Gastos y Aseso Proy</v>
      </c>
      <c r="H2199" s="146" t="str">
        <f>+VLOOKUP(D2199,'3. Cuentas'!A:F,6,0)</f>
        <v>SI</v>
      </c>
    </row>
    <row r="2200" spans="1:8" x14ac:dyDescent="0.25">
      <c r="A2200" s="43">
        <v>10300301</v>
      </c>
      <c r="B2200" t="s">
        <v>1367</v>
      </c>
      <c r="C2200" s="43" t="s">
        <v>1643</v>
      </c>
      <c r="D2200" s="43">
        <v>4203090</v>
      </c>
      <c r="E2200" t="s">
        <v>192</v>
      </c>
      <c r="F2200" s="47" t="str">
        <f>+Centro_Cuenta8[[#This Row],[Codigo Centro Gestion]]&amp;" - "&amp;Centro_Cuenta8[[#This Row],[Nombre Centro Gestion]]</f>
        <v>10300301 - Edificio Pedro de la Barra-GAF</v>
      </c>
      <c r="G2200" s="47" t="str">
        <f>+Centro_Cuenta8[[#This Row],[Código Cuenta Contable]]&amp;" - "&amp;Centro_Cuenta8[[#This Row],[Nombre de Cuenta Contable]]</f>
        <v>4203090 - Gastos Legales Y Notariales Proyecto</v>
      </c>
      <c r="H2200" s="146" t="str">
        <f>+VLOOKUP(D2200,'3. Cuentas'!A:F,6,0)</f>
        <v>SI</v>
      </c>
    </row>
    <row r="2201" spans="1:8" x14ac:dyDescent="0.25">
      <c r="A2201" s="43">
        <v>10300301</v>
      </c>
      <c r="B2201" t="s">
        <v>1367</v>
      </c>
      <c r="C2201" s="43" t="s">
        <v>1643</v>
      </c>
      <c r="D2201" s="43">
        <v>4203140</v>
      </c>
      <c r="E2201" t="s">
        <v>109</v>
      </c>
      <c r="F2201" s="47" t="str">
        <f>+Centro_Cuenta8[[#This Row],[Codigo Centro Gestion]]&amp;" - "&amp;Centro_Cuenta8[[#This Row],[Nombre Centro Gestion]]</f>
        <v>10300301 - Edificio Pedro de la Barra-GAF</v>
      </c>
      <c r="G2201" s="47" t="str">
        <f>+Centro_Cuenta8[[#This Row],[Código Cuenta Contable]]&amp;" - "&amp;Centro_Cuenta8[[#This Row],[Nombre de Cuenta Contable]]</f>
        <v>4203140 - Contribuciones</v>
      </c>
      <c r="H2201" s="146" t="str">
        <f>+VLOOKUP(D2201,'3. Cuentas'!A:F,6,0)</f>
        <v>SI</v>
      </c>
    </row>
    <row r="2202" spans="1:8" x14ac:dyDescent="0.25">
      <c r="A2202" s="43">
        <v>10300506</v>
      </c>
      <c r="B2202" t="s">
        <v>1369</v>
      </c>
      <c r="C2202" s="43" t="s">
        <v>200</v>
      </c>
      <c r="D2202" s="43">
        <v>1115100</v>
      </c>
      <c r="E2202" t="s">
        <v>292</v>
      </c>
      <c r="F2202" s="47" t="str">
        <f>+Centro_Cuenta8[[#This Row],[Codigo Centro Gestion]]&amp;" - "&amp;Centro_Cuenta8[[#This Row],[Nombre Centro Gestion]]</f>
        <v>10300506 - Edificio Pedro de la Barra-Depto.Técnico</v>
      </c>
      <c r="G2202" s="47" t="str">
        <f>+Centro_Cuenta8[[#This Row],[Código Cuenta Contable]]&amp;" - "&amp;Centro_Cuenta8[[#This Row],[Nombre de Cuenta Contable]]</f>
        <v>1115100 - Proyectos Y Especialidades</v>
      </c>
      <c r="H2202" s="146" t="str">
        <f>+VLOOKUP(D2202,'3. Cuentas'!A:F,6,0)</f>
        <v>SI</v>
      </c>
    </row>
    <row r="2203" spans="1:8" x14ac:dyDescent="0.25">
      <c r="A2203" s="43">
        <v>10301102</v>
      </c>
      <c r="B2203" t="s">
        <v>1371</v>
      </c>
      <c r="C2203" s="43" t="s">
        <v>1617</v>
      </c>
      <c r="D2203" s="43">
        <v>4204010</v>
      </c>
      <c r="E2203" t="s">
        <v>313</v>
      </c>
      <c r="F2203" s="47" t="str">
        <f>+Centro_Cuenta8[[#This Row],[Codigo Centro Gestion]]&amp;" - "&amp;Centro_Cuenta8[[#This Row],[Nombre Centro Gestion]]</f>
        <v>10301102 - Condominio Jorge Cáceres Etapa 2-Marketing</v>
      </c>
      <c r="G2203" s="47" t="str">
        <f>+Centro_Cuenta8[[#This Row],[Código Cuenta Contable]]&amp;" - "&amp;Centro_Cuenta8[[#This Row],[Nombre de Cuenta Contable]]</f>
        <v>4204010 - Publicidad Punto Venta</v>
      </c>
      <c r="H2203" s="146" t="str">
        <f>+VLOOKUP(D2203,'3. Cuentas'!A:F,6,0)</f>
        <v>SI</v>
      </c>
    </row>
    <row r="2204" spans="1:8" x14ac:dyDescent="0.25">
      <c r="A2204" s="43">
        <v>10301102</v>
      </c>
      <c r="B2204" t="s">
        <v>1371</v>
      </c>
      <c r="C2204" s="43" t="s">
        <v>1617</v>
      </c>
      <c r="D2204" s="43">
        <v>4204021</v>
      </c>
      <c r="E2204" t="s">
        <v>329</v>
      </c>
      <c r="F2204" s="47" t="str">
        <f>+Centro_Cuenta8[[#This Row],[Codigo Centro Gestion]]&amp;" - "&amp;Centro_Cuenta8[[#This Row],[Nombre Centro Gestion]]</f>
        <v>10301102 - Condominio Jorge Cáceres Etapa 2-Marketing</v>
      </c>
      <c r="G2204" s="47" t="str">
        <f>+Centro_Cuenta8[[#This Row],[Código Cuenta Contable]]&amp;" - "&amp;Centro_Cuenta8[[#This Row],[Nombre de Cuenta Contable]]</f>
        <v>4204021 - Publicidad Ferias Y Eventos</v>
      </c>
      <c r="H2204" s="146" t="str">
        <f>+VLOOKUP(D2204,'3. Cuentas'!A:F,6,0)</f>
        <v>SI</v>
      </c>
    </row>
    <row r="2205" spans="1:8" x14ac:dyDescent="0.25">
      <c r="A2205" s="43">
        <v>10301103</v>
      </c>
      <c r="B2205" t="s">
        <v>1372</v>
      </c>
      <c r="C2205" s="43" t="s">
        <v>1618</v>
      </c>
      <c r="D2205" s="43">
        <v>4203060</v>
      </c>
      <c r="E2205" t="s">
        <v>321</v>
      </c>
      <c r="F2205" s="47" t="str">
        <f>+Centro_Cuenta8[[#This Row],[Codigo Centro Gestion]]&amp;" - "&amp;Centro_Cuenta8[[#This Row],[Nombre Centro Gestion]]</f>
        <v>10301103 - Condominio Jorge Cáceres Etapa 2-Operaciones</v>
      </c>
      <c r="G2205" s="47" t="str">
        <f>+Centro_Cuenta8[[#This Row],[Código Cuenta Contable]]&amp;" - "&amp;Centro_Cuenta8[[#This Row],[Nombre de Cuenta Contable]]</f>
        <v>4203060 - Gastos Operacionales De Clientes</v>
      </c>
      <c r="H2205" s="146" t="str">
        <f>+VLOOKUP(D2205,'3. Cuentas'!A:F,6,0)</f>
        <v>SI</v>
      </c>
    </row>
    <row r="2206" spans="1:8" x14ac:dyDescent="0.25">
      <c r="A2206" s="43">
        <v>10301103</v>
      </c>
      <c r="B2206" t="s">
        <v>1372</v>
      </c>
      <c r="C2206" s="43" t="s">
        <v>1618</v>
      </c>
      <c r="D2206" s="43">
        <v>4203090</v>
      </c>
      <c r="E2206" t="s">
        <v>192</v>
      </c>
      <c r="F2206" s="47" t="str">
        <f>+Centro_Cuenta8[[#This Row],[Codigo Centro Gestion]]&amp;" - "&amp;Centro_Cuenta8[[#This Row],[Nombre Centro Gestion]]</f>
        <v>10301103 - Condominio Jorge Cáceres Etapa 2-Operaciones</v>
      </c>
      <c r="G2206" s="47" t="str">
        <f>+Centro_Cuenta8[[#This Row],[Código Cuenta Contable]]&amp;" - "&amp;Centro_Cuenta8[[#This Row],[Nombre de Cuenta Contable]]</f>
        <v>4203090 - Gastos Legales Y Notariales Proyecto</v>
      </c>
      <c r="H2206" s="146" t="str">
        <f>+VLOOKUP(D2206,'3. Cuentas'!A:F,6,0)</f>
        <v>SI</v>
      </c>
    </row>
    <row r="2207" spans="1:8" x14ac:dyDescent="0.25">
      <c r="A2207" s="43">
        <v>10301104</v>
      </c>
      <c r="B2207" t="s">
        <v>1373</v>
      </c>
      <c r="C2207" s="43" t="s">
        <v>90</v>
      </c>
      <c r="D2207" s="43">
        <v>1110040</v>
      </c>
      <c r="E2207" t="s">
        <v>1505</v>
      </c>
      <c r="F2207" s="47" t="str">
        <f>+Centro_Cuenta8[[#This Row],[Codigo Centro Gestion]]&amp;" - "&amp;Centro_Cuenta8[[#This Row],[Nombre Centro Gestion]]</f>
        <v>10301104 - Condominio Jorge Cáceres Etapa 2-Ventas</v>
      </c>
      <c r="G2207" s="47" t="str">
        <f>+Centro_Cuenta8[[#This Row],[Código Cuenta Contable]]&amp;" - "&amp;Centro_Cuenta8[[#This Row],[Nombre de Cuenta Contable]]</f>
        <v>1110040 - Garantía Pagadas</v>
      </c>
      <c r="H2207" s="146" t="str">
        <f>+VLOOKUP(D2207,'3. Cuentas'!A:F,6,0)</f>
        <v>SI</v>
      </c>
    </row>
    <row r="2208" spans="1:8" x14ac:dyDescent="0.25">
      <c r="A2208" s="43">
        <v>10301104</v>
      </c>
      <c r="B2208" t="s">
        <v>1373</v>
      </c>
      <c r="C2208" s="43" t="s">
        <v>90</v>
      </c>
      <c r="D2208" s="43">
        <v>4202003</v>
      </c>
      <c r="E2208" t="s">
        <v>106</v>
      </c>
      <c r="F2208" s="47" t="str">
        <f>+Centro_Cuenta8[[#This Row],[Codigo Centro Gestion]]&amp;" - "&amp;Centro_Cuenta8[[#This Row],[Nombre Centro Gestion]]</f>
        <v>10301104 - Condominio Jorge Cáceres Etapa 2-Ventas</v>
      </c>
      <c r="G2208" s="47" t="str">
        <f>+Centro_Cuenta8[[#This Row],[Código Cuenta Contable]]&amp;" - "&amp;Centro_Cuenta8[[#This Row],[Nombre de Cuenta Contable]]</f>
        <v>4202003 - Serv.Basic.Luz.Agua.Tel Of.C</v>
      </c>
      <c r="H2208" s="146" t="str">
        <f>+VLOOKUP(D2208,'3. Cuentas'!A:F,6,0)</f>
        <v>SI</v>
      </c>
    </row>
    <row r="2209" spans="1:8" x14ac:dyDescent="0.25">
      <c r="A2209" s="43">
        <v>10301104</v>
      </c>
      <c r="B2209" t="s">
        <v>1373</v>
      </c>
      <c r="C2209" s="43" t="s">
        <v>90</v>
      </c>
      <c r="D2209" s="43">
        <v>4202010</v>
      </c>
      <c r="E2209" t="s">
        <v>87</v>
      </c>
      <c r="F2209" s="47" t="str">
        <f>+Centro_Cuenta8[[#This Row],[Codigo Centro Gestion]]&amp;" - "&amp;Centro_Cuenta8[[#This Row],[Nombre Centro Gestion]]</f>
        <v>10301104 - Condominio Jorge Cáceres Etapa 2-Ventas</v>
      </c>
      <c r="G2209" s="47" t="str">
        <f>+Centro_Cuenta8[[#This Row],[Código Cuenta Contable]]&amp;" - "&amp;Centro_Cuenta8[[#This Row],[Nombre de Cuenta Contable]]</f>
        <v>4202010 - Artic. Ofic. Fotocop.Papelería</v>
      </c>
      <c r="H2209" s="146" t="str">
        <f>+VLOOKUP(D2209,'3. Cuentas'!A:F,6,0)</f>
        <v>SI</v>
      </c>
    </row>
    <row r="2210" spans="1:8" x14ac:dyDescent="0.25">
      <c r="A2210" s="43">
        <v>10301104</v>
      </c>
      <c r="B2210" t="s">
        <v>1373</v>
      </c>
      <c r="C2210" s="43" t="s">
        <v>90</v>
      </c>
      <c r="D2210" s="43">
        <v>4202019</v>
      </c>
      <c r="E2210" t="s">
        <v>81</v>
      </c>
      <c r="F2210" s="47" t="str">
        <f>+Centro_Cuenta8[[#This Row],[Codigo Centro Gestion]]&amp;" - "&amp;Centro_Cuenta8[[#This Row],[Nombre Centro Gestion]]</f>
        <v>10301104 - Condominio Jorge Cáceres Etapa 2-Ventas</v>
      </c>
      <c r="G2210" s="47" t="str">
        <f>+Centro_Cuenta8[[#This Row],[Código Cuenta Contable]]&amp;" - "&amp;Centro_Cuenta8[[#This Row],[Nombre de Cuenta Contable]]</f>
        <v>4202019 - Gasto General Oficina</v>
      </c>
      <c r="H2210" s="146" t="str">
        <f>+VLOOKUP(D2210,'3. Cuentas'!A:F,6,0)</f>
        <v>SI</v>
      </c>
    </row>
    <row r="2211" spans="1:8" x14ac:dyDescent="0.25">
      <c r="A2211" s="43">
        <v>10301104</v>
      </c>
      <c r="B2211" t="s">
        <v>1373</v>
      </c>
      <c r="C2211" s="43" t="s">
        <v>90</v>
      </c>
      <c r="D2211" s="43">
        <v>4202023</v>
      </c>
      <c r="E2211" t="s">
        <v>82</v>
      </c>
      <c r="F2211" s="47" t="str">
        <f>+Centro_Cuenta8[[#This Row],[Codigo Centro Gestion]]&amp;" - "&amp;Centro_Cuenta8[[#This Row],[Nombre Centro Gestion]]</f>
        <v>10301104 - Condominio Jorge Cáceres Etapa 2-Ventas</v>
      </c>
      <c r="G2211" s="47" t="str">
        <f>+Centro_Cuenta8[[#This Row],[Código Cuenta Contable]]&amp;" - "&amp;Centro_Cuenta8[[#This Row],[Nombre de Cuenta Contable]]</f>
        <v>4202023 - Honorarios Por Asesorías</v>
      </c>
      <c r="H2211" s="146" t="str">
        <f>+VLOOKUP(D2211,'3. Cuentas'!A:F,6,0)</f>
        <v>SI</v>
      </c>
    </row>
    <row r="2212" spans="1:8" x14ac:dyDescent="0.25">
      <c r="A2212" s="43">
        <v>10301104</v>
      </c>
      <c r="B2212" t="s">
        <v>1373</v>
      </c>
      <c r="C2212" s="43" t="s">
        <v>90</v>
      </c>
      <c r="D2212" s="43">
        <v>4202029</v>
      </c>
      <c r="E2212" t="s">
        <v>83</v>
      </c>
      <c r="F2212" s="47" t="str">
        <f>+Centro_Cuenta8[[#This Row],[Codigo Centro Gestion]]&amp;" - "&amp;Centro_Cuenta8[[#This Row],[Nombre Centro Gestion]]</f>
        <v>10301104 - Condominio Jorge Cáceres Etapa 2-Ventas</v>
      </c>
      <c r="G2212" s="47" t="str">
        <f>+Centro_Cuenta8[[#This Row],[Código Cuenta Contable]]&amp;" - "&amp;Centro_Cuenta8[[#This Row],[Nombre de Cuenta Contable]]</f>
        <v>4202029 - Insumos Y Gastos Informáticos</v>
      </c>
      <c r="H2212" s="146" t="str">
        <f>+VLOOKUP(D2212,'3. Cuentas'!A:F,6,0)</f>
        <v>SI</v>
      </c>
    </row>
    <row r="2213" spans="1:8" x14ac:dyDescent="0.25">
      <c r="A2213" s="43">
        <v>10301104</v>
      </c>
      <c r="B2213" t="s">
        <v>1373</v>
      </c>
      <c r="C2213" s="43" t="s">
        <v>90</v>
      </c>
      <c r="D2213" s="43">
        <v>4204021</v>
      </c>
      <c r="E2213" t="s">
        <v>329</v>
      </c>
      <c r="F2213" s="47" t="str">
        <f>+Centro_Cuenta8[[#This Row],[Codigo Centro Gestion]]&amp;" - "&amp;Centro_Cuenta8[[#This Row],[Nombre Centro Gestion]]</f>
        <v>10301104 - Condominio Jorge Cáceres Etapa 2-Ventas</v>
      </c>
      <c r="G2213" s="47" t="str">
        <f>+Centro_Cuenta8[[#This Row],[Código Cuenta Contable]]&amp;" - "&amp;Centro_Cuenta8[[#This Row],[Nombre de Cuenta Contable]]</f>
        <v>4204021 - Publicidad Ferias Y Eventos</v>
      </c>
      <c r="H2213" s="146" t="str">
        <f>+VLOOKUP(D2213,'3. Cuentas'!A:F,6,0)</f>
        <v>SI</v>
      </c>
    </row>
    <row r="2214" spans="1:8" x14ac:dyDescent="0.25">
      <c r="A2214" s="43">
        <v>10301105</v>
      </c>
      <c r="B2214" t="s">
        <v>1374</v>
      </c>
      <c r="C2214" s="43" t="s">
        <v>1622</v>
      </c>
      <c r="D2214" s="43">
        <v>4203020</v>
      </c>
      <c r="E2214" t="s">
        <v>295</v>
      </c>
      <c r="F2214" s="47" t="str">
        <f>+Centro_Cuenta8[[#This Row],[Codigo Centro Gestion]]&amp;" - "&amp;Centro_Cuenta8[[#This Row],[Nombre Centro Gestion]]</f>
        <v>10301105 - Condominio Jorge Cáceres Etapa 2-Clientes</v>
      </c>
      <c r="G2214" s="47" t="str">
        <f>+Centro_Cuenta8[[#This Row],[Código Cuenta Contable]]&amp;" - "&amp;Centro_Cuenta8[[#This Row],[Nombre de Cuenta Contable]]</f>
        <v>4203020 - Mant. y Consum. Viv Stock</v>
      </c>
      <c r="H2214" s="146" t="str">
        <f>+VLOOKUP(D2214,'3. Cuentas'!A:F,6,0)</f>
        <v>SI</v>
      </c>
    </row>
    <row r="2215" spans="1:8" x14ac:dyDescent="0.25">
      <c r="A2215" s="43">
        <v>10301105</v>
      </c>
      <c r="B2215" t="s">
        <v>1374</v>
      </c>
      <c r="C2215" s="43" t="s">
        <v>1622</v>
      </c>
      <c r="D2215" s="43">
        <v>4203120</v>
      </c>
      <c r="E2215" t="s">
        <v>108</v>
      </c>
      <c r="F2215" s="47" t="str">
        <f>+Centro_Cuenta8[[#This Row],[Codigo Centro Gestion]]&amp;" - "&amp;Centro_Cuenta8[[#This Row],[Nombre Centro Gestion]]</f>
        <v>10301105 - Condominio Jorge Cáceres Etapa 2-Clientes</v>
      </c>
      <c r="G2215" s="47" t="str">
        <f>+Centro_Cuenta8[[#This Row],[Código Cuenta Contable]]&amp;" - "&amp;Centro_Cuenta8[[#This Row],[Nombre de Cuenta Contable]]</f>
        <v>4203120 - Gastos Comunes</v>
      </c>
      <c r="H2215" s="146" t="str">
        <f>+VLOOKUP(D2215,'3. Cuentas'!A:F,6,0)</f>
        <v>SI</v>
      </c>
    </row>
    <row r="2216" spans="1:8" x14ac:dyDescent="0.25">
      <c r="A2216" s="43">
        <v>10301105</v>
      </c>
      <c r="B2216" t="s">
        <v>1374</v>
      </c>
      <c r="C2216" s="43" t="s">
        <v>1622</v>
      </c>
      <c r="D2216" s="43">
        <v>4203140</v>
      </c>
      <c r="E2216" t="s">
        <v>109</v>
      </c>
      <c r="F2216" s="47" t="str">
        <f>+Centro_Cuenta8[[#This Row],[Codigo Centro Gestion]]&amp;" - "&amp;Centro_Cuenta8[[#This Row],[Nombre Centro Gestion]]</f>
        <v>10301105 - Condominio Jorge Cáceres Etapa 2-Clientes</v>
      </c>
      <c r="G2216" s="47" t="str">
        <f>+Centro_Cuenta8[[#This Row],[Código Cuenta Contable]]&amp;" - "&amp;Centro_Cuenta8[[#This Row],[Nombre de Cuenta Contable]]</f>
        <v>4203140 - Contribuciones</v>
      </c>
      <c r="H2216" s="146" t="str">
        <f>+VLOOKUP(D2216,'3. Cuentas'!A:F,6,0)</f>
        <v>SI</v>
      </c>
    </row>
    <row r="2217" spans="1:8" x14ac:dyDescent="0.25">
      <c r="A2217" s="43">
        <v>10301204</v>
      </c>
      <c r="B2217" t="s">
        <v>1375</v>
      </c>
      <c r="C2217" s="43" t="s">
        <v>1624</v>
      </c>
      <c r="D2217" s="43">
        <v>1103045</v>
      </c>
      <c r="E2217" t="s">
        <v>323</v>
      </c>
      <c r="F2217" s="47" t="str">
        <f>+Centro_Cuenta8[[#This Row],[Codigo Centro Gestion]]&amp;" - "&amp;Centro_Cuenta8[[#This Row],[Nombre Centro Gestion]]</f>
        <v>10301204 - Condominio Jorge Cáceres Etapa 2-Proyecto</v>
      </c>
      <c r="G2217" s="47" t="str">
        <f>+Centro_Cuenta8[[#This Row],[Código Cuenta Contable]]&amp;" - "&amp;Centro_Cuenta8[[#This Row],[Nombre de Cuenta Contable]]</f>
        <v>1103045 - Aportes reembolsables (electricidad y agua)</v>
      </c>
      <c r="H2217" s="146" t="str">
        <f>+VLOOKUP(D2217,'3. Cuentas'!A:F,6,0)</f>
        <v>SI</v>
      </c>
    </row>
    <row r="2218" spans="1:8" x14ac:dyDescent="0.25">
      <c r="A2218" s="43">
        <v>10301204</v>
      </c>
      <c r="B2218" t="s">
        <v>1375</v>
      </c>
      <c r="C2218" s="43" t="s">
        <v>1624</v>
      </c>
      <c r="D2218" s="43">
        <v>1109020</v>
      </c>
      <c r="E2218" t="s">
        <v>302</v>
      </c>
      <c r="F2218" s="47" t="str">
        <f>+Centro_Cuenta8[[#This Row],[Codigo Centro Gestion]]&amp;" - "&amp;Centro_Cuenta8[[#This Row],[Nombre Centro Gestion]]</f>
        <v>10301204 - Condominio Jorge Cáceres Etapa 2-Proyecto</v>
      </c>
      <c r="G2218" s="47" t="str">
        <f>+Centro_Cuenta8[[#This Row],[Código Cuenta Contable]]&amp;" - "&amp;Centro_Cuenta8[[#This Row],[Nombre de Cuenta Contable]]</f>
        <v>1109020 - Mobiliario</v>
      </c>
      <c r="H2218" s="146" t="str">
        <f>+VLOOKUP(D2218,'3. Cuentas'!A:F,6,0)</f>
        <v>SI</v>
      </c>
    </row>
    <row r="2219" spans="1:8" x14ac:dyDescent="0.25">
      <c r="A2219" s="43">
        <v>10301204</v>
      </c>
      <c r="B2219" t="s">
        <v>1375</v>
      </c>
      <c r="C2219" s="43" t="s">
        <v>1624</v>
      </c>
      <c r="D2219" s="43">
        <v>1110040</v>
      </c>
      <c r="E2219" t="s">
        <v>1505</v>
      </c>
      <c r="F2219" s="47" t="str">
        <f>+Centro_Cuenta8[[#This Row],[Codigo Centro Gestion]]&amp;" - "&amp;Centro_Cuenta8[[#This Row],[Nombre Centro Gestion]]</f>
        <v>10301204 - Condominio Jorge Cáceres Etapa 2-Proyecto</v>
      </c>
      <c r="G2219" s="47" t="str">
        <f>+Centro_Cuenta8[[#This Row],[Código Cuenta Contable]]&amp;" - "&amp;Centro_Cuenta8[[#This Row],[Nombre de Cuenta Contable]]</f>
        <v>1110040 - Garantía Pagadas</v>
      </c>
      <c r="H2219" s="146" t="str">
        <f>+VLOOKUP(D2219,'3. Cuentas'!A:F,6,0)</f>
        <v>SI</v>
      </c>
    </row>
    <row r="2220" spans="1:8" x14ac:dyDescent="0.25">
      <c r="A2220" s="43">
        <v>10301204</v>
      </c>
      <c r="B2220" t="s">
        <v>1375</v>
      </c>
      <c r="C2220" s="43" t="s">
        <v>1624</v>
      </c>
      <c r="D2220" s="43">
        <v>1115040</v>
      </c>
      <c r="E2220" t="s">
        <v>291</v>
      </c>
      <c r="F2220" s="47" t="str">
        <f>+Centro_Cuenta8[[#This Row],[Codigo Centro Gestion]]&amp;" - "&amp;Centro_Cuenta8[[#This Row],[Nombre Centro Gestion]]</f>
        <v>10301204 - Condominio Jorge Cáceres Etapa 2-Proyecto</v>
      </c>
      <c r="G2220" s="47" t="str">
        <f>+Centro_Cuenta8[[#This Row],[Código Cuenta Contable]]&amp;" - "&amp;Centro_Cuenta8[[#This Row],[Nombre de Cuenta Contable]]</f>
        <v>1115040 - Saneamiento De Terreno</v>
      </c>
      <c r="H2220" s="146" t="str">
        <f>+VLOOKUP(D2220,'3. Cuentas'!A:F,6,0)</f>
        <v>SI</v>
      </c>
    </row>
    <row r="2221" spans="1:8" x14ac:dyDescent="0.25">
      <c r="A2221" s="43">
        <v>10301204</v>
      </c>
      <c r="B2221" t="s">
        <v>1375</v>
      </c>
      <c r="C2221" s="43" t="s">
        <v>1624</v>
      </c>
      <c r="D2221" s="43">
        <v>1115050</v>
      </c>
      <c r="E2221" t="s">
        <v>1628</v>
      </c>
      <c r="F2221" s="47" t="str">
        <f>+Centro_Cuenta8[[#This Row],[Codigo Centro Gestion]]&amp;" - "&amp;Centro_Cuenta8[[#This Row],[Nombre Centro Gestion]]</f>
        <v>10301204 - Condominio Jorge Cáceres Etapa 2-Proyecto</v>
      </c>
      <c r="G2221" s="47" t="str">
        <f>+Centro_Cuenta8[[#This Row],[Código Cuenta Contable]]&amp;" - "&amp;Centro_Cuenta8[[#This Row],[Nombre de Cuenta Contable]]</f>
        <v>1115050 - Demolición</v>
      </c>
      <c r="H2221" s="146" t="str">
        <f>+VLOOKUP(D2221,'3. Cuentas'!A:F,6,0)</f>
        <v>SI</v>
      </c>
    </row>
    <row r="2222" spans="1:8" x14ac:dyDescent="0.25">
      <c r="A2222" s="43">
        <v>10301204</v>
      </c>
      <c r="B2222" t="s">
        <v>1375</v>
      </c>
      <c r="C2222" s="43" t="s">
        <v>1624</v>
      </c>
      <c r="D2222" s="43">
        <v>1115100</v>
      </c>
      <c r="E2222" t="s">
        <v>292</v>
      </c>
      <c r="F2222" s="47" t="str">
        <f>+Centro_Cuenta8[[#This Row],[Codigo Centro Gestion]]&amp;" - "&amp;Centro_Cuenta8[[#This Row],[Nombre Centro Gestion]]</f>
        <v>10301204 - Condominio Jorge Cáceres Etapa 2-Proyecto</v>
      </c>
      <c r="G2222" s="47" t="str">
        <f>+Centro_Cuenta8[[#This Row],[Código Cuenta Contable]]&amp;" - "&amp;Centro_Cuenta8[[#This Row],[Nombre de Cuenta Contable]]</f>
        <v>1115100 - Proyectos Y Especialidades</v>
      </c>
      <c r="H2222" s="146" t="str">
        <f>+VLOOKUP(D2222,'3. Cuentas'!A:F,6,0)</f>
        <v>SI</v>
      </c>
    </row>
    <row r="2223" spans="1:8" x14ac:dyDescent="0.25">
      <c r="A2223" s="43">
        <v>10301204</v>
      </c>
      <c r="B2223" t="s">
        <v>1375</v>
      </c>
      <c r="C2223" s="43" t="s">
        <v>1624</v>
      </c>
      <c r="D2223" s="43">
        <v>1115120</v>
      </c>
      <c r="E2223" t="s">
        <v>1633</v>
      </c>
      <c r="F2223" s="47" t="str">
        <f>+Centro_Cuenta8[[#This Row],[Codigo Centro Gestion]]&amp;" - "&amp;Centro_Cuenta8[[#This Row],[Nombre Centro Gestion]]</f>
        <v>10301204 - Condominio Jorge Cáceres Etapa 2-Proyecto</v>
      </c>
      <c r="G2223" s="47" t="str">
        <f>+Centro_Cuenta8[[#This Row],[Código Cuenta Contable]]&amp;" - "&amp;Centro_Cuenta8[[#This Row],[Nombre de Cuenta Contable]]</f>
        <v>1115120 - Instalación Empalmes</v>
      </c>
      <c r="H2223" s="146" t="str">
        <f>+VLOOKUP(D2223,'3. Cuentas'!A:F,6,0)</f>
        <v>SI</v>
      </c>
    </row>
    <row r="2224" spans="1:8" x14ac:dyDescent="0.25">
      <c r="A2224" s="43">
        <v>10301204</v>
      </c>
      <c r="B2224" t="s">
        <v>1375</v>
      </c>
      <c r="C2224" s="43" t="s">
        <v>1624</v>
      </c>
      <c r="D2224" s="43">
        <v>1115170</v>
      </c>
      <c r="E2224" t="s">
        <v>293</v>
      </c>
      <c r="F2224" s="47" t="str">
        <f>+Centro_Cuenta8[[#This Row],[Codigo Centro Gestion]]&amp;" - "&amp;Centro_Cuenta8[[#This Row],[Nombre Centro Gestion]]</f>
        <v>10301204 - Condominio Jorge Cáceres Etapa 2-Proyecto</v>
      </c>
      <c r="G2224" s="47" t="str">
        <f>+Centro_Cuenta8[[#This Row],[Código Cuenta Contable]]&amp;" - "&amp;Centro_Cuenta8[[#This Row],[Nombre de Cuenta Contable]]</f>
        <v>1115170 - Permisos Y Otros Gastos Municipales</v>
      </c>
      <c r="H2224" s="146" t="str">
        <f>+VLOOKUP(D2224,'3. Cuentas'!A:F,6,0)</f>
        <v>SI</v>
      </c>
    </row>
    <row r="2225" spans="1:8" x14ac:dyDescent="0.25">
      <c r="A2225" s="43">
        <v>10301204</v>
      </c>
      <c r="B2225" t="s">
        <v>1375</v>
      </c>
      <c r="C2225" s="43" t="s">
        <v>1624</v>
      </c>
      <c r="D2225" s="43">
        <v>1115240</v>
      </c>
      <c r="E2225" t="s">
        <v>294</v>
      </c>
      <c r="F2225" s="47" t="str">
        <f>+Centro_Cuenta8[[#This Row],[Codigo Centro Gestion]]&amp;" - "&amp;Centro_Cuenta8[[#This Row],[Nombre Centro Gestion]]</f>
        <v>10301204 - Condominio Jorge Cáceres Etapa 2-Proyecto</v>
      </c>
      <c r="G2225" s="47" t="str">
        <f>+Centro_Cuenta8[[#This Row],[Código Cuenta Contable]]&amp;" - "&amp;Centro_Cuenta8[[#This Row],[Nombre de Cuenta Contable]]</f>
        <v>1115240 - Estudios Y Asesorias Técnicas</v>
      </c>
      <c r="H2225" s="146" t="str">
        <f>+VLOOKUP(D2225,'3. Cuentas'!A:F,6,0)</f>
        <v>SI</v>
      </c>
    </row>
    <row r="2226" spans="1:8" x14ac:dyDescent="0.25">
      <c r="A2226" s="43">
        <v>10301204</v>
      </c>
      <c r="B2226" t="s">
        <v>1375</v>
      </c>
      <c r="C2226" s="43" t="s">
        <v>1624</v>
      </c>
      <c r="D2226" s="43">
        <v>4203090</v>
      </c>
      <c r="E2226" t="s">
        <v>192</v>
      </c>
      <c r="F2226" s="47" t="str">
        <f>+Centro_Cuenta8[[#This Row],[Codigo Centro Gestion]]&amp;" - "&amp;Centro_Cuenta8[[#This Row],[Nombre Centro Gestion]]</f>
        <v>10301204 - Condominio Jorge Cáceres Etapa 2-Proyecto</v>
      </c>
      <c r="G2226" s="47" t="str">
        <f>+Centro_Cuenta8[[#This Row],[Código Cuenta Contable]]&amp;" - "&amp;Centro_Cuenta8[[#This Row],[Nombre de Cuenta Contable]]</f>
        <v>4203090 - Gastos Legales Y Notariales Proyecto</v>
      </c>
      <c r="H2226" s="146" t="str">
        <f>+VLOOKUP(D2226,'3. Cuentas'!A:F,6,0)</f>
        <v>SI</v>
      </c>
    </row>
    <row r="2227" spans="1:8" x14ac:dyDescent="0.25">
      <c r="A2227" s="43">
        <v>10301204</v>
      </c>
      <c r="B2227" t="s">
        <v>1375</v>
      </c>
      <c r="C2227" s="43" t="s">
        <v>1624</v>
      </c>
      <c r="D2227" s="43">
        <v>4203140</v>
      </c>
      <c r="E2227" t="s">
        <v>109</v>
      </c>
      <c r="F2227" s="47" t="str">
        <f>+Centro_Cuenta8[[#This Row],[Codigo Centro Gestion]]&amp;" - "&amp;Centro_Cuenta8[[#This Row],[Nombre Centro Gestion]]</f>
        <v>10301204 - Condominio Jorge Cáceres Etapa 2-Proyecto</v>
      </c>
      <c r="G2227" s="47" t="str">
        <f>+Centro_Cuenta8[[#This Row],[Código Cuenta Contable]]&amp;" - "&amp;Centro_Cuenta8[[#This Row],[Nombre de Cuenta Contable]]</f>
        <v>4203140 - Contribuciones</v>
      </c>
      <c r="H2227" s="146" t="str">
        <f>+VLOOKUP(D2227,'3. Cuentas'!A:F,6,0)</f>
        <v>SI</v>
      </c>
    </row>
    <row r="2228" spans="1:8" x14ac:dyDescent="0.25">
      <c r="A2228" s="43">
        <v>10301204</v>
      </c>
      <c r="B2228" t="s">
        <v>1375</v>
      </c>
      <c r="C2228" s="43" t="s">
        <v>1624</v>
      </c>
      <c r="D2228" s="43">
        <v>4203150</v>
      </c>
      <c r="E2228" t="s">
        <v>156</v>
      </c>
      <c r="F2228" s="47" t="str">
        <f>+Centro_Cuenta8[[#This Row],[Codigo Centro Gestion]]&amp;" - "&amp;Centro_Cuenta8[[#This Row],[Nombre Centro Gestion]]</f>
        <v>10301204 - Condominio Jorge Cáceres Etapa 2-Proyecto</v>
      </c>
      <c r="G2228" s="47" t="str">
        <f>+Centro_Cuenta8[[#This Row],[Código Cuenta Contable]]&amp;" - "&amp;Centro_Cuenta8[[#This Row],[Nombre de Cuenta Contable]]</f>
        <v>4203150 - Gastos CBR</v>
      </c>
      <c r="H2228" s="146" t="str">
        <f>+VLOOKUP(D2228,'3. Cuentas'!A:F,6,0)</f>
        <v>SI</v>
      </c>
    </row>
    <row r="2229" spans="1:8" x14ac:dyDescent="0.25">
      <c r="A2229" s="43">
        <v>10301204</v>
      </c>
      <c r="B2229" t="s">
        <v>1375</v>
      </c>
      <c r="C2229" s="43" t="s">
        <v>1624</v>
      </c>
      <c r="D2229" s="43">
        <v>4203160</v>
      </c>
      <c r="E2229" t="s">
        <v>1639</v>
      </c>
      <c r="F2229" s="47" t="str">
        <f>+Centro_Cuenta8[[#This Row],[Codigo Centro Gestion]]&amp;" - "&amp;Centro_Cuenta8[[#This Row],[Nombre Centro Gestion]]</f>
        <v>10301204 - Condominio Jorge Cáceres Etapa 2-Proyecto</v>
      </c>
      <c r="G2229" s="47" t="str">
        <f>+Centro_Cuenta8[[#This Row],[Código Cuenta Contable]]&amp;" - "&amp;Centro_Cuenta8[[#This Row],[Nombre de Cuenta Contable]]</f>
        <v>4203160 - PAPELERIA Y FOTOCOPIADO</v>
      </c>
      <c r="H2229" s="146" t="str">
        <f>+VLOOKUP(D2229,'3. Cuentas'!A:F,6,0)</f>
        <v>SI</v>
      </c>
    </row>
    <row r="2230" spans="1:8" x14ac:dyDescent="0.25">
      <c r="A2230" s="43">
        <v>10301204</v>
      </c>
      <c r="B2230" t="s">
        <v>1375</v>
      </c>
      <c r="C2230" s="43" t="s">
        <v>1624</v>
      </c>
      <c r="D2230" s="43">
        <v>4203180</v>
      </c>
      <c r="E2230" t="s">
        <v>1640</v>
      </c>
      <c r="F2230" s="47" t="str">
        <f>+Centro_Cuenta8[[#This Row],[Codigo Centro Gestion]]&amp;" - "&amp;Centro_Cuenta8[[#This Row],[Nombre Centro Gestion]]</f>
        <v>10301204 - Condominio Jorge Cáceres Etapa 2-Proyecto</v>
      </c>
      <c r="G2230" s="47" t="str">
        <f>+Centro_Cuenta8[[#This Row],[Código Cuenta Contable]]&amp;" - "&amp;Centro_Cuenta8[[#This Row],[Nombre de Cuenta Contable]]</f>
        <v>4203180 - Otros Gastos y Aseso Proy</v>
      </c>
      <c r="H2230" s="146" t="str">
        <f>+VLOOKUP(D2230,'3. Cuentas'!A:F,6,0)</f>
        <v>SI</v>
      </c>
    </row>
    <row r="2231" spans="1:8" x14ac:dyDescent="0.25">
      <c r="A2231" s="43">
        <v>10301301</v>
      </c>
      <c r="B2231" t="s">
        <v>1376</v>
      </c>
      <c r="C2231" s="43" t="s">
        <v>1643</v>
      </c>
      <c r="D2231" s="43">
        <v>4203090</v>
      </c>
      <c r="E2231" t="s">
        <v>192</v>
      </c>
      <c r="F2231" s="47" t="str">
        <f>+Centro_Cuenta8[[#This Row],[Codigo Centro Gestion]]&amp;" - "&amp;Centro_Cuenta8[[#This Row],[Nombre Centro Gestion]]</f>
        <v>10301301 - Condominio Jorge Cáceres Etapa 2-GAF</v>
      </c>
      <c r="G2231" s="47" t="str">
        <f>+Centro_Cuenta8[[#This Row],[Código Cuenta Contable]]&amp;" - "&amp;Centro_Cuenta8[[#This Row],[Nombre de Cuenta Contable]]</f>
        <v>4203090 - Gastos Legales Y Notariales Proyecto</v>
      </c>
      <c r="H2231" s="146" t="str">
        <f>+VLOOKUP(D2231,'3. Cuentas'!A:F,6,0)</f>
        <v>SI</v>
      </c>
    </row>
    <row r="2232" spans="1:8" x14ac:dyDescent="0.25">
      <c r="A2232" s="43">
        <v>10301301</v>
      </c>
      <c r="B2232" t="s">
        <v>1376</v>
      </c>
      <c r="C2232" s="43" t="s">
        <v>1643</v>
      </c>
      <c r="D2232" s="43">
        <v>4203140</v>
      </c>
      <c r="E2232" t="s">
        <v>109</v>
      </c>
      <c r="F2232" s="47" t="str">
        <f>+Centro_Cuenta8[[#This Row],[Codigo Centro Gestion]]&amp;" - "&amp;Centro_Cuenta8[[#This Row],[Nombre Centro Gestion]]</f>
        <v>10301301 - Condominio Jorge Cáceres Etapa 2-GAF</v>
      </c>
      <c r="G2232" s="47" t="str">
        <f>+Centro_Cuenta8[[#This Row],[Código Cuenta Contable]]&amp;" - "&amp;Centro_Cuenta8[[#This Row],[Nombre de Cuenta Contable]]</f>
        <v>4203140 - Contribuciones</v>
      </c>
      <c r="H2232" s="146" t="str">
        <f>+VLOOKUP(D2232,'3. Cuentas'!A:F,6,0)</f>
        <v>SI</v>
      </c>
    </row>
    <row r="2233" spans="1:8" x14ac:dyDescent="0.25">
      <c r="A2233" s="43">
        <v>10301506</v>
      </c>
      <c r="B2233" t="s">
        <v>1378</v>
      </c>
      <c r="C2233" s="43" t="s">
        <v>200</v>
      </c>
      <c r="D2233" s="43">
        <v>1115100</v>
      </c>
      <c r="E2233" t="s">
        <v>292</v>
      </c>
      <c r="F2233" s="47" t="str">
        <f>+Centro_Cuenta8[[#This Row],[Codigo Centro Gestion]]&amp;" - "&amp;Centro_Cuenta8[[#This Row],[Nombre Centro Gestion]]</f>
        <v>10301506 - Condominio Jorge Cáceres Etapa 2-Depto.Técnico</v>
      </c>
      <c r="G2233" s="47" t="str">
        <f>+Centro_Cuenta8[[#This Row],[Código Cuenta Contable]]&amp;" - "&amp;Centro_Cuenta8[[#This Row],[Nombre de Cuenta Contable]]</f>
        <v>1115100 - Proyectos Y Especialidades</v>
      </c>
      <c r="H2233" s="146" t="str">
        <f>+VLOOKUP(D2233,'3. Cuentas'!A:F,6,0)</f>
        <v>SI</v>
      </c>
    </row>
    <row r="2234" spans="1:8" x14ac:dyDescent="0.25">
      <c r="A2234" s="43">
        <v>10304102</v>
      </c>
      <c r="B2234" t="s">
        <v>1379</v>
      </c>
      <c r="C2234" s="43" t="s">
        <v>1617</v>
      </c>
      <c r="D2234" s="43">
        <v>4204010</v>
      </c>
      <c r="E2234" t="s">
        <v>313</v>
      </c>
      <c r="F2234" s="47" t="str">
        <f>+Centro_Cuenta8[[#This Row],[Codigo Centro Gestion]]&amp;" - "&amp;Centro_Cuenta8[[#This Row],[Nombre Centro Gestion]]</f>
        <v>10304102 - Parque Marañon Torre A-Marketing</v>
      </c>
      <c r="G2234" s="47" t="str">
        <f>+Centro_Cuenta8[[#This Row],[Código Cuenta Contable]]&amp;" - "&amp;Centro_Cuenta8[[#This Row],[Nombre de Cuenta Contable]]</f>
        <v>4204010 - Publicidad Punto Venta</v>
      </c>
      <c r="H2234" s="146" t="str">
        <f>+VLOOKUP(D2234,'3. Cuentas'!A:F,6,0)</f>
        <v>SI</v>
      </c>
    </row>
    <row r="2235" spans="1:8" x14ac:dyDescent="0.25">
      <c r="A2235" s="43">
        <v>10304102</v>
      </c>
      <c r="B2235" t="s">
        <v>1379</v>
      </c>
      <c r="C2235" s="43" t="s">
        <v>1617</v>
      </c>
      <c r="D2235" s="43">
        <v>4204021</v>
      </c>
      <c r="E2235" t="s">
        <v>329</v>
      </c>
      <c r="F2235" s="47" t="str">
        <f>+Centro_Cuenta8[[#This Row],[Codigo Centro Gestion]]&amp;" - "&amp;Centro_Cuenta8[[#This Row],[Nombre Centro Gestion]]</f>
        <v>10304102 - Parque Marañon Torre A-Marketing</v>
      </c>
      <c r="G2235" s="47" t="str">
        <f>+Centro_Cuenta8[[#This Row],[Código Cuenta Contable]]&amp;" - "&amp;Centro_Cuenta8[[#This Row],[Nombre de Cuenta Contable]]</f>
        <v>4204021 - Publicidad Ferias Y Eventos</v>
      </c>
      <c r="H2235" s="146" t="str">
        <f>+VLOOKUP(D2235,'3. Cuentas'!A:F,6,0)</f>
        <v>SI</v>
      </c>
    </row>
    <row r="2236" spans="1:8" x14ac:dyDescent="0.25">
      <c r="A2236" s="43">
        <v>10304103</v>
      </c>
      <c r="B2236" t="s">
        <v>1380</v>
      </c>
      <c r="C2236" s="43" t="s">
        <v>1618</v>
      </c>
      <c r="D2236" s="43">
        <v>4203060</v>
      </c>
      <c r="E2236" t="s">
        <v>321</v>
      </c>
      <c r="F2236" s="47" t="str">
        <f>+Centro_Cuenta8[[#This Row],[Codigo Centro Gestion]]&amp;" - "&amp;Centro_Cuenta8[[#This Row],[Nombre Centro Gestion]]</f>
        <v>10304103 - Parque Marañon Torre A-Operaciones</v>
      </c>
      <c r="G2236" s="47" t="str">
        <f>+Centro_Cuenta8[[#This Row],[Código Cuenta Contable]]&amp;" - "&amp;Centro_Cuenta8[[#This Row],[Nombre de Cuenta Contable]]</f>
        <v>4203060 - Gastos Operacionales De Clientes</v>
      </c>
      <c r="H2236" s="146" t="str">
        <f>+VLOOKUP(D2236,'3. Cuentas'!A:F,6,0)</f>
        <v>SI</v>
      </c>
    </row>
    <row r="2237" spans="1:8" x14ac:dyDescent="0.25">
      <c r="A2237" s="43">
        <v>10304103</v>
      </c>
      <c r="B2237" t="s">
        <v>1380</v>
      </c>
      <c r="C2237" s="43" t="s">
        <v>1618</v>
      </c>
      <c r="D2237" s="43">
        <v>4203090</v>
      </c>
      <c r="E2237" t="s">
        <v>192</v>
      </c>
      <c r="F2237" s="47" t="str">
        <f>+Centro_Cuenta8[[#This Row],[Codigo Centro Gestion]]&amp;" - "&amp;Centro_Cuenta8[[#This Row],[Nombre Centro Gestion]]</f>
        <v>10304103 - Parque Marañon Torre A-Operaciones</v>
      </c>
      <c r="G2237" s="47" t="str">
        <f>+Centro_Cuenta8[[#This Row],[Código Cuenta Contable]]&amp;" - "&amp;Centro_Cuenta8[[#This Row],[Nombre de Cuenta Contable]]</f>
        <v>4203090 - Gastos Legales Y Notariales Proyecto</v>
      </c>
      <c r="H2237" s="146" t="str">
        <f>+VLOOKUP(D2237,'3. Cuentas'!A:F,6,0)</f>
        <v>SI</v>
      </c>
    </row>
    <row r="2238" spans="1:8" x14ac:dyDescent="0.25">
      <c r="A2238" s="43">
        <v>10304104</v>
      </c>
      <c r="B2238" t="s">
        <v>1381</v>
      </c>
      <c r="C2238" s="43" t="s">
        <v>90</v>
      </c>
      <c r="D2238" s="43">
        <v>1110040</v>
      </c>
      <c r="E2238" t="s">
        <v>1505</v>
      </c>
      <c r="F2238" s="47" t="str">
        <f>+Centro_Cuenta8[[#This Row],[Codigo Centro Gestion]]&amp;" - "&amp;Centro_Cuenta8[[#This Row],[Nombre Centro Gestion]]</f>
        <v>10304104 - Parque Marañon Torre A-Ventas</v>
      </c>
      <c r="G2238" s="47" t="str">
        <f>+Centro_Cuenta8[[#This Row],[Código Cuenta Contable]]&amp;" - "&amp;Centro_Cuenta8[[#This Row],[Nombre de Cuenta Contable]]</f>
        <v>1110040 - Garantía Pagadas</v>
      </c>
      <c r="H2238" s="146" t="str">
        <f>+VLOOKUP(D2238,'3. Cuentas'!A:F,6,0)</f>
        <v>SI</v>
      </c>
    </row>
    <row r="2239" spans="1:8" x14ac:dyDescent="0.25">
      <c r="A2239" s="43">
        <v>10304104</v>
      </c>
      <c r="B2239" t="s">
        <v>1381</v>
      </c>
      <c r="C2239" s="43" t="s">
        <v>90</v>
      </c>
      <c r="D2239" s="43">
        <v>4202003</v>
      </c>
      <c r="E2239" t="s">
        <v>106</v>
      </c>
      <c r="F2239" s="47" t="str">
        <f>+Centro_Cuenta8[[#This Row],[Codigo Centro Gestion]]&amp;" - "&amp;Centro_Cuenta8[[#This Row],[Nombre Centro Gestion]]</f>
        <v>10304104 - Parque Marañon Torre A-Ventas</v>
      </c>
      <c r="G2239" s="47" t="str">
        <f>+Centro_Cuenta8[[#This Row],[Código Cuenta Contable]]&amp;" - "&amp;Centro_Cuenta8[[#This Row],[Nombre de Cuenta Contable]]</f>
        <v>4202003 - Serv.Basic.Luz.Agua.Tel Of.C</v>
      </c>
      <c r="H2239" s="146" t="str">
        <f>+VLOOKUP(D2239,'3. Cuentas'!A:F,6,0)</f>
        <v>SI</v>
      </c>
    </row>
    <row r="2240" spans="1:8" x14ac:dyDescent="0.25">
      <c r="A2240" s="43">
        <v>10304104</v>
      </c>
      <c r="B2240" t="s">
        <v>1381</v>
      </c>
      <c r="C2240" s="43" t="s">
        <v>90</v>
      </c>
      <c r="D2240" s="43">
        <v>4202010</v>
      </c>
      <c r="E2240" t="s">
        <v>87</v>
      </c>
      <c r="F2240" s="47" t="str">
        <f>+Centro_Cuenta8[[#This Row],[Codigo Centro Gestion]]&amp;" - "&amp;Centro_Cuenta8[[#This Row],[Nombre Centro Gestion]]</f>
        <v>10304104 - Parque Marañon Torre A-Ventas</v>
      </c>
      <c r="G2240" s="47" t="str">
        <f>+Centro_Cuenta8[[#This Row],[Código Cuenta Contable]]&amp;" - "&amp;Centro_Cuenta8[[#This Row],[Nombre de Cuenta Contable]]</f>
        <v>4202010 - Artic. Ofic. Fotocop.Papelería</v>
      </c>
      <c r="H2240" s="146" t="str">
        <f>+VLOOKUP(D2240,'3. Cuentas'!A:F,6,0)</f>
        <v>SI</v>
      </c>
    </row>
    <row r="2241" spans="1:8" x14ac:dyDescent="0.25">
      <c r="A2241" s="43">
        <v>10304104</v>
      </c>
      <c r="B2241" t="s">
        <v>1381</v>
      </c>
      <c r="C2241" s="43" t="s">
        <v>90</v>
      </c>
      <c r="D2241" s="43">
        <v>4202019</v>
      </c>
      <c r="E2241" t="s">
        <v>81</v>
      </c>
      <c r="F2241" s="47" t="str">
        <f>+Centro_Cuenta8[[#This Row],[Codigo Centro Gestion]]&amp;" - "&amp;Centro_Cuenta8[[#This Row],[Nombre Centro Gestion]]</f>
        <v>10304104 - Parque Marañon Torre A-Ventas</v>
      </c>
      <c r="G2241" s="47" t="str">
        <f>+Centro_Cuenta8[[#This Row],[Código Cuenta Contable]]&amp;" - "&amp;Centro_Cuenta8[[#This Row],[Nombre de Cuenta Contable]]</f>
        <v>4202019 - Gasto General Oficina</v>
      </c>
      <c r="H2241" s="146" t="str">
        <f>+VLOOKUP(D2241,'3. Cuentas'!A:F,6,0)</f>
        <v>SI</v>
      </c>
    </row>
    <row r="2242" spans="1:8" x14ac:dyDescent="0.25">
      <c r="A2242" s="43">
        <v>10304104</v>
      </c>
      <c r="B2242" t="s">
        <v>1381</v>
      </c>
      <c r="C2242" s="43" t="s">
        <v>90</v>
      </c>
      <c r="D2242" s="43">
        <v>4202023</v>
      </c>
      <c r="E2242" t="s">
        <v>82</v>
      </c>
      <c r="F2242" s="47" t="str">
        <f>+Centro_Cuenta8[[#This Row],[Codigo Centro Gestion]]&amp;" - "&amp;Centro_Cuenta8[[#This Row],[Nombre Centro Gestion]]</f>
        <v>10304104 - Parque Marañon Torre A-Ventas</v>
      </c>
      <c r="G2242" s="47" t="str">
        <f>+Centro_Cuenta8[[#This Row],[Código Cuenta Contable]]&amp;" - "&amp;Centro_Cuenta8[[#This Row],[Nombre de Cuenta Contable]]</f>
        <v>4202023 - Honorarios Por Asesorías</v>
      </c>
      <c r="H2242" s="146" t="str">
        <f>+VLOOKUP(D2242,'3. Cuentas'!A:F,6,0)</f>
        <v>SI</v>
      </c>
    </row>
    <row r="2243" spans="1:8" x14ac:dyDescent="0.25">
      <c r="A2243" s="43">
        <v>10304104</v>
      </c>
      <c r="B2243" t="s">
        <v>1381</v>
      </c>
      <c r="C2243" s="43" t="s">
        <v>90</v>
      </c>
      <c r="D2243" s="43">
        <v>4202029</v>
      </c>
      <c r="E2243" t="s">
        <v>83</v>
      </c>
      <c r="F2243" s="47" t="str">
        <f>+Centro_Cuenta8[[#This Row],[Codigo Centro Gestion]]&amp;" - "&amp;Centro_Cuenta8[[#This Row],[Nombre Centro Gestion]]</f>
        <v>10304104 - Parque Marañon Torre A-Ventas</v>
      </c>
      <c r="G2243" s="47" t="str">
        <f>+Centro_Cuenta8[[#This Row],[Código Cuenta Contable]]&amp;" - "&amp;Centro_Cuenta8[[#This Row],[Nombre de Cuenta Contable]]</f>
        <v>4202029 - Insumos Y Gastos Informáticos</v>
      </c>
      <c r="H2243" s="146" t="str">
        <f>+VLOOKUP(D2243,'3. Cuentas'!A:F,6,0)</f>
        <v>SI</v>
      </c>
    </row>
    <row r="2244" spans="1:8" x14ac:dyDescent="0.25">
      <c r="A2244" s="43">
        <v>10304104</v>
      </c>
      <c r="B2244" t="s">
        <v>1381</v>
      </c>
      <c r="C2244" s="43" t="s">
        <v>90</v>
      </c>
      <c r="D2244" s="43">
        <v>4204021</v>
      </c>
      <c r="E2244" t="s">
        <v>329</v>
      </c>
      <c r="F2244" s="47" t="str">
        <f>+Centro_Cuenta8[[#This Row],[Codigo Centro Gestion]]&amp;" - "&amp;Centro_Cuenta8[[#This Row],[Nombre Centro Gestion]]</f>
        <v>10304104 - Parque Marañon Torre A-Ventas</v>
      </c>
      <c r="G2244" s="47" t="str">
        <f>+Centro_Cuenta8[[#This Row],[Código Cuenta Contable]]&amp;" - "&amp;Centro_Cuenta8[[#This Row],[Nombre de Cuenta Contable]]</f>
        <v>4204021 - Publicidad Ferias Y Eventos</v>
      </c>
      <c r="H2244" s="146" t="str">
        <f>+VLOOKUP(D2244,'3. Cuentas'!A:F,6,0)</f>
        <v>SI</v>
      </c>
    </row>
    <row r="2245" spans="1:8" x14ac:dyDescent="0.25">
      <c r="A2245" s="43">
        <v>10304105</v>
      </c>
      <c r="B2245" t="s">
        <v>1382</v>
      </c>
      <c r="C2245" s="43" t="s">
        <v>1622</v>
      </c>
      <c r="D2245" s="43">
        <v>4203020</v>
      </c>
      <c r="E2245" t="s">
        <v>295</v>
      </c>
      <c r="F2245" s="47" t="str">
        <f>+Centro_Cuenta8[[#This Row],[Codigo Centro Gestion]]&amp;" - "&amp;Centro_Cuenta8[[#This Row],[Nombre Centro Gestion]]</f>
        <v>10304105 - Parque Marañon Torre A-Clientes</v>
      </c>
      <c r="G2245" s="47" t="str">
        <f>+Centro_Cuenta8[[#This Row],[Código Cuenta Contable]]&amp;" - "&amp;Centro_Cuenta8[[#This Row],[Nombre de Cuenta Contable]]</f>
        <v>4203020 - Mant. y Consum. Viv Stock</v>
      </c>
      <c r="H2245" s="146" t="str">
        <f>+VLOOKUP(D2245,'3. Cuentas'!A:F,6,0)</f>
        <v>SI</v>
      </c>
    </row>
    <row r="2246" spans="1:8" x14ac:dyDescent="0.25">
      <c r="A2246" s="43">
        <v>10304105</v>
      </c>
      <c r="B2246" t="s">
        <v>1382</v>
      </c>
      <c r="C2246" s="43" t="s">
        <v>1622</v>
      </c>
      <c r="D2246" s="43">
        <v>4203120</v>
      </c>
      <c r="E2246" t="s">
        <v>108</v>
      </c>
      <c r="F2246" s="47" t="str">
        <f>+Centro_Cuenta8[[#This Row],[Codigo Centro Gestion]]&amp;" - "&amp;Centro_Cuenta8[[#This Row],[Nombre Centro Gestion]]</f>
        <v>10304105 - Parque Marañon Torre A-Clientes</v>
      </c>
      <c r="G2246" s="47" t="str">
        <f>+Centro_Cuenta8[[#This Row],[Código Cuenta Contable]]&amp;" - "&amp;Centro_Cuenta8[[#This Row],[Nombre de Cuenta Contable]]</f>
        <v>4203120 - Gastos Comunes</v>
      </c>
      <c r="H2246" s="146" t="str">
        <f>+VLOOKUP(D2246,'3. Cuentas'!A:F,6,0)</f>
        <v>SI</v>
      </c>
    </row>
    <row r="2247" spans="1:8" x14ac:dyDescent="0.25">
      <c r="A2247" s="43">
        <v>10304105</v>
      </c>
      <c r="B2247" t="s">
        <v>1382</v>
      </c>
      <c r="C2247" s="43" t="s">
        <v>1622</v>
      </c>
      <c r="D2247" s="43">
        <v>4203140</v>
      </c>
      <c r="E2247" t="s">
        <v>109</v>
      </c>
      <c r="F2247" s="47" t="str">
        <f>+Centro_Cuenta8[[#This Row],[Codigo Centro Gestion]]&amp;" - "&amp;Centro_Cuenta8[[#This Row],[Nombre Centro Gestion]]</f>
        <v>10304105 - Parque Marañon Torre A-Clientes</v>
      </c>
      <c r="G2247" s="47" t="str">
        <f>+Centro_Cuenta8[[#This Row],[Código Cuenta Contable]]&amp;" - "&amp;Centro_Cuenta8[[#This Row],[Nombre de Cuenta Contable]]</f>
        <v>4203140 - Contribuciones</v>
      </c>
      <c r="H2247" s="146" t="str">
        <f>+VLOOKUP(D2247,'3. Cuentas'!A:F,6,0)</f>
        <v>SI</v>
      </c>
    </row>
    <row r="2248" spans="1:8" x14ac:dyDescent="0.25">
      <c r="A2248" s="43">
        <v>10304204</v>
      </c>
      <c r="B2248" t="s">
        <v>1383</v>
      </c>
      <c r="C2248" s="43" t="s">
        <v>1624</v>
      </c>
      <c r="D2248" s="43">
        <v>1103045</v>
      </c>
      <c r="E2248" t="s">
        <v>323</v>
      </c>
      <c r="F2248" s="47" t="str">
        <f>+Centro_Cuenta8[[#This Row],[Codigo Centro Gestion]]&amp;" - "&amp;Centro_Cuenta8[[#This Row],[Nombre Centro Gestion]]</f>
        <v>10304204 - Parque Marañon Torre A-Proyecto</v>
      </c>
      <c r="G2248" s="47" t="str">
        <f>+Centro_Cuenta8[[#This Row],[Código Cuenta Contable]]&amp;" - "&amp;Centro_Cuenta8[[#This Row],[Nombre de Cuenta Contable]]</f>
        <v>1103045 - Aportes reembolsables (electricidad y agua)</v>
      </c>
      <c r="H2248" s="146" t="str">
        <f>+VLOOKUP(D2248,'3. Cuentas'!A:F,6,0)</f>
        <v>SI</v>
      </c>
    </row>
    <row r="2249" spans="1:8" x14ac:dyDescent="0.25">
      <c r="A2249" s="43">
        <v>10304204</v>
      </c>
      <c r="B2249" t="s">
        <v>1383</v>
      </c>
      <c r="C2249" s="43" t="s">
        <v>1624</v>
      </c>
      <c r="D2249" s="43">
        <v>1109020</v>
      </c>
      <c r="E2249" t="s">
        <v>302</v>
      </c>
      <c r="F2249" s="47" t="str">
        <f>+Centro_Cuenta8[[#This Row],[Codigo Centro Gestion]]&amp;" - "&amp;Centro_Cuenta8[[#This Row],[Nombre Centro Gestion]]</f>
        <v>10304204 - Parque Marañon Torre A-Proyecto</v>
      </c>
      <c r="G2249" s="47" t="str">
        <f>+Centro_Cuenta8[[#This Row],[Código Cuenta Contable]]&amp;" - "&amp;Centro_Cuenta8[[#This Row],[Nombre de Cuenta Contable]]</f>
        <v>1109020 - Mobiliario</v>
      </c>
      <c r="H2249" s="146" t="str">
        <f>+VLOOKUP(D2249,'3. Cuentas'!A:F,6,0)</f>
        <v>SI</v>
      </c>
    </row>
    <row r="2250" spans="1:8" x14ac:dyDescent="0.25">
      <c r="A2250" s="43">
        <v>10304204</v>
      </c>
      <c r="B2250" t="s">
        <v>1383</v>
      </c>
      <c r="C2250" s="43" t="s">
        <v>1624</v>
      </c>
      <c r="D2250" s="43">
        <v>1110040</v>
      </c>
      <c r="E2250" t="s">
        <v>1505</v>
      </c>
      <c r="F2250" s="47" t="str">
        <f>+Centro_Cuenta8[[#This Row],[Codigo Centro Gestion]]&amp;" - "&amp;Centro_Cuenta8[[#This Row],[Nombre Centro Gestion]]</f>
        <v>10304204 - Parque Marañon Torre A-Proyecto</v>
      </c>
      <c r="G2250" s="47" t="str">
        <f>+Centro_Cuenta8[[#This Row],[Código Cuenta Contable]]&amp;" - "&amp;Centro_Cuenta8[[#This Row],[Nombre de Cuenta Contable]]</f>
        <v>1110040 - Garantía Pagadas</v>
      </c>
      <c r="H2250" s="146" t="str">
        <f>+VLOOKUP(D2250,'3. Cuentas'!A:F,6,0)</f>
        <v>SI</v>
      </c>
    </row>
    <row r="2251" spans="1:8" x14ac:dyDescent="0.25">
      <c r="A2251" s="43">
        <v>10304204</v>
      </c>
      <c r="B2251" t="s">
        <v>1383</v>
      </c>
      <c r="C2251" s="43" t="s">
        <v>1624</v>
      </c>
      <c r="D2251" s="43">
        <v>1115040</v>
      </c>
      <c r="E2251" t="s">
        <v>291</v>
      </c>
      <c r="F2251" s="47" t="str">
        <f>+Centro_Cuenta8[[#This Row],[Codigo Centro Gestion]]&amp;" - "&amp;Centro_Cuenta8[[#This Row],[Nombre Centro Gestion]]</f>
        <v>10304204 - Parque Marañon Torre A-Proyecto</v>
      </c>
      <c r="G2251" s="47" t="str">
        <f>+Centro_Cuenta8[[#This Row],[Código Cuenta Contable]]&amp;" - "&amp;Centro_Cuenta8[[#This Row],[Nombre de Cuenta Contable]]</f>
        <v>1115040 - Saneamiento De Terreno</v>
      </c>
      <c r="H2251" s="146" t="str">
        <f>+VLOOKUP(D2251,'3. Cuentas'!A:F,6,0)</f>
        <v>SI</v>
      </c>
    </row>
    <row r="2252" spans="1:8" x14ac:dyDescent="0.25">
      <c r="A2252" s="43">
        <v>10304204</v>
      </c>
      <c r="B2252" t="s">
        <v>1383</v>
      </c>
      <c r="C2252" s="43" t="s">
        <v>1624</v>
      </c>
      <c r="D2252" s="43">
        <v>1115050</v>
      </c>
      <c r="E2252" t="s">
        <v>1628</v>
      </c>
      <c r="F2252" s="47" t="str">
        <f>+Centro_Cuenta8[[#This Row],[Codigo Centro Gestion]]&amp;" - "&amp;Centro_Cuenta8[[#This Row],[Nombre Centro Gestion]]</f>
        <v>10304204 - Parque Marañon Torre A-Proyecto</v>
      </c>
      <c r="G2252" s="47" t="str">
        <f>+Centro_Cuenta8[[#This Row],[Código Cuenta Contable]]&amp;" - "&amp;Centro_Cuenta8[[#This Row],[Nombre de Cuenta Contable]]</f>
        <v>1115050 - Demolición</v>
      </c>
      <c r="H2252" s="146" t="str">
        <f>+VLOOKUP(D2252,'3. Cuentas'!A:F,6,0)</f>
        <v>SI</v>
      </c>
    </row>
    <row r="2253" spans="1:8" x14ac:dyDescent="0.25">
      <c r="A2253" s="43">
        <v>10304204</v>
      </c>
      <c r="B2253" t="s">
        <v>1383</v>
      </c>
      <c r="C2253" s="43" t="s">
        <v>1624</v>
      </c>
      <c r="D2253" s="43">
        <v>1115100</v>
      </c>
      <c r="E2253" t="s">
        <v>292</v>
      </c>
      <c r="F2253" s="47" t="str">
        <f>+Centro_Cuenta8[[#This Row],[Codigo Centro Gestion]]&amp;" - "&amp;Centro_Cuenta8[[#This Row],[Nombre Centro Gestion]]</f>
        <v>10304204 - Parque Marañon Torre A-Proyecto</v>
      </c>
      <c r="G2253" s="47" t="str">
        <f>+Centro_Cuenta8[[#This Row],[Código Cuenta Contable]]&amp;" - "&amp;Centro_Cuenta8[[#This Row],[Nombre de Cuenta Contable]]</f>
        <v>1115100 - Proyectos Y Especialidades</v>
      </c>
      <c r="H2253" s="146" t="str">
        <f>+VLOOKUP(D2253,'3. Cuentas'!A:F,6,0)</f>
        <v>SI</v>
      </c>
    </row>
    <row r="2254" spans="1:8" x14ac:dyDescent="0.25">
      <c r="A2254" s="43">
        <v>10304204</v>
      </c>
      <c r="B2254" t="s">
        <v>1383</v>
      </c>
      <c r="C2254" s="43" t="s">
        <v>1624</v>
      </c>
      <c r="D2254" s="43">
        <v>1115120</v>
      </c>
      <c r="E2254" t="s">
        <v>1633</v>
      </c>
      <c r="F2254" s="47" t="str">
        <f>+Centro_Cuenta8[[#This Row],[Codigo Centro Gestion]]&amp;" - "&amp;Centro_Cuenta8[[#This Row],[Nombre Centro Gestion]]</f>
        <v>10304204 - Parque Marañon Torre A-Proyecto</v>
      </c>
      <c r="G2254" s="47" t="str">
        <f>+Centro_Cuenta8[[#This Row],[Código Cuenta Contable]]&amp;" - "&amp;Centro_Cuenta8[[#This Row],[Nombre de Cuenta Contable]]</f>
        <v>1115120 - Instalación Empalmes</v>
      </c>
      <c r="H2254" s="146" t="str">
        <f>+VLOOKUP(D2254,'3. Cuentas'!A:F,6,0)</f>
        <v>SI</v>
      </c>
    </row>
    <row r="2255" spans="1:8" x14ac:dyDescent="0.25">
      <c r="A2255" s="43">
        <v>10304204</v>
      </c>
      <c r="B2255" t="s">
        <v>1383</v>
      </c>
      <c r="C2255" s="43" t="s">
        <v>1624</v>
      </c>
      <c r="D2255" s="43">
        <v>1115170</v>
      </c>
      <c r="E2255" t="s">
        <v>293</v>
      </c>
      <c r="F2255" s="47" t="str">
        <f>+Centro_Cuenta8[[#This Row],[Codigo Centro Gestion]]&amp;" - "&amp;Centro_Cuenta8[[#This Row],[Nombre Centro Gestion]]</f>
        <v>10304204 - Parque Marañon Torre A-Proyecto</v>
      </c>
      <c r="G2255" s="47" t="str">
        <f>+Centro_Cuenta8[[#This Row],[Código Cuenta Contable]]&amp;" - "&amp;Centro_Cuenta8[[#This Row],[Nombre de Cuenta Contable]]</f>
        <v>1115170 - Permisos Y Otros Gastos Municipales</v>
      </c>
      <c r="H2255" s="146" t="str">
        <f>+VLOOKUP(D2255,'3. Cuentas'!A:F,6,0)</f>
        <v>SI</v>
      </c>
    </row>
    <row r="2256" spans="1:8" x14ac:dyDescent="0.25">
      <c r="A2256" s="43">
        <v>10304204</v>
      </c>
      <c r="B2256" t="s">
        <v>1383</v>
      </c>
      <c r="C2256" s="43" t="s">
        <v>1624</v>
      </c>
      <c r="D2256" s="43">
        <v>1115240</v>
      </c>
      <c r="E2256" t="s">
        <v>294</v>
      </c>
      <c r="F2256" s="47" t="str">
        <f>+Centro_Cuenta8[[#This Row],[Codigo Centro Gestion]]&amp;" - "&amp;Centro_Cuenta8[[#This Row],[Nombre Centro Gestion]]</f>
        <v>10304204 - Parque Marañon Torre A-Proyecto</v>
      </c>
      <c r="G2256" s="47" t="str">
        <f>+Centro_Cuenta8[[#This Row],[Código Cuenta Contable]]&amp;" - "&amp;Centro_Cuenta8[[#This Row],[Nombre de Cuenta Contable]]</f>
        <v>1115240 - Estudios Y Asesorias Técnicas</v>
      </c>
      <c r="H2256" s="146" t="str">
        <f>+VLOOKUP(D2256,'3. Cuentas'!A:F,6,0)</f>
        <v>SI</v>
      </c>
    </row>
    <row r="2257" spans="1:8" x14ac:dyDescent="0.25">
      <c r="A2257" s="43">
        <v>10304204</v>
      </c>
      <c r="B2257" t="s">
        <v>1383</v>
      </c>
      <c r="C2257" s="43" t="s">
        <v>1624</v>
      </c>
      <c r="D2257" s="43">
        <v>4203090</v>
      </c>
      <c r="E2257" t="s">
        <v>192</v>
      </c>
      <c r="F2257" s="47" t="str">
        <f>+Centro_Cuenta8[[#This Row],[Codigo Centro Gestion]]&amp;" - "&amp;Centro_Cuenta8[[#This Row],[Nombre Centro Gestion]]</f>
        <v>10304204 - Parque Marañon Torre A-Proyecto</v>
      </c>
      <c r="G2257" s="47" t="str">
        <f>+Centro_Cuenta8[[#This Row],[Código Cuenta Contable]]&amp;" - "&amp;Centro_Cuenta8[[#This Row],[Nombre de Cuenta Contable]]</f>
        <v>4203090 - Gastos Legales Y Notariales Proyecto</v>
      </c>
      <c r="H2257" s="146" t="str">
        <f>+VLOOKUP(D2257,'3. Cuentas'!A:F,6,0)</f>
        <v>SI</v>
      </c>
    </row>
    <row r="2258" spans="1:8" x14ac:dyDescent="0.25">
      <c r="A2258" s="43">
        <v>10304204</v>
      </c>
      <c r="B2258" t="s">
        <v>1383</v>
      </c>
      <c r="C2258" s="43" t="s">
        <v>1624</v>
      </c>
      <c r="D2258" s="43">
        <v>4203140</v>
      </c>
      <c r="E2258" t="s">
        <v>109</v>
      </c>
      <c r="F2258" s="47" t="str">
        <f>+Centro_Cuenta8[[#This Row],[Codigo Centro Gestion]]&amp;" - "&amp;Centro_Cuenta8[[#This Row],[Nombre Centro Gestion]]</f>
        <v>10304204 - Parque Marañon Torre A-Proyecto</v>
      </c>
      <c r="G2258" s="47" t="str">
        <f>+Centro_Cuenta8[[#This Row],[Código Cuenta Contable]]&amp;" - "&amp;Centro_Cuenta8[[#This Row],[Nombre de Cuenta Contable]]</f>
        <v>4203140 - Contribuciones</v>
      </c>
      <c r="H2258" s="146" t="str">
        <f>+VLOOKUP(D2258,'3. Cuentas'!A:F,6,0)</f>
        <v>SI</v>
      </c>
    </row>
    <row r="2259" spans="1:8" x14ac:dyDescent="0.25">
      <c r="A2259" s="43">
        <v>10304204</v>
      </c>
      <c r="B2259" t="s">
        <v>1383</v>
      </c>
      <c r="C2259" s="43" t="s">
        <v>1624</v>
      </c>
      <c r="D2259" s="43">
        <v>4203150</v>
      </c>
      <c r="E2259" t="s">
        <v>156</v>
      </c>
      <c r="F2259" s="47" t="str">
        <f>+Centro_Cuenta8[[#This Row],[Codigo Centro Gestion]]&amp;" - "&amp;Centro_Cuenta8[[#This Row],[Nombre Centro Gestion]]</f>
        <v>10304204 - Parque Marañon Torre A-Proyecto</v>
      </c>
      <c r="G2259" s="47" t="str">
        <f>+Centro_Cuenta8[[#This Row],[Código Cuenta Contable]]&amp;" - "&amp;Centro_Cuenta8[[#This Row],[Nombre de Cuenta Contable]]</f>
        <v>4203150 - Gastos CBR</v>
      </c>
      <c r="H2259" s="146" t="str">
        <f>+VLOOKUP(D2259,'3. Cuentas'!A:F,6,0)</f>
        <v>SI</v>
      </c>
    </row>
    <row r="2260" spans="1:8" x14ac:dyDescent="0.25">
      <c r="A2260" s="43">
        <v>10304204</v>
      </c>
      <c r="B2260" t="s">
        <v>1383</v>
      </c>
      <c r="C2260" s="43" t="s">
        <v>1624</v>
      </c>
      <c r="D2260" s="43">
        <v>4203160</v>
      </c>
      <c r="E2260" t="s">
        <v>1639</v>
      </c>
      <c r="F2260" s="47" t="str">
        <f>+Centro_Cuenta8[[#This Row],[Codigo Centro Gestion]]&amp;" - "&amp;Centro_Cuenta8[[#This Row],[Nombre Centro Gestion]]</f>
        <v>10304204 - Parque Marañon Torre A-Proyecto</v>
      </c>
      <c r="G2260" s="47" t="str">
        <f>+Centro_Cuenta8[[#This Row],[Código Cuenta Contable]]&amp;" - "&amp;Centro_Cuenta8[[#This Row],[Nombre de Cuenta Contable]]</f>
        <v>4203160 - PAPELERIA Y FOTOCOPIADO</v>
      </c>
      <c r="H2260" s="146" t="str">
        <f>+VLOOKUP(D2260,'3. Cuentas'!A:F,6,0)</f>
        <v>SI</v>
      </c>
    </row>
    <row r="2261" spans="1:8" x14ac:dyDescent="0.25">
      <c r="A2261" s="43">
        <v>10304204</v>
      </c>
      <c r="B2261" t="s">
        <v>1383</v>
      </c>
      <c r="C2261" s="43" t="s">
        <v>1624</v>
      </c>
      <c r="D2261" s="43">
        <v>4203180</v>
      </c>
      <c r="E2261" t="s">
        <v>1640</v>
      </c>
      <c r="F2261" s="47" t="str">
        <f>+Centro_Cuenta8[[#This Row],[Codigo Centro Gestion]]&amp;" - "&amp;Centro_Cuenta8[[#This Row],[Nombre Centro Gestion]]</f>
        <v>10304204 - Parque Marañon Torre A-Proyecto</v>
      </c>
      <c r="G2261" s="47" t="str">
        <f>+Centro_Cuenta8[[#This Row],[Código Cuenta Contable]]&amp;" - "&amp;Centro_Cuenta8[[#This Row],[Nombre de Cuenta Contable]]</f>
        <v>4203180 - Otros Gastos y Aseso Proy</v>
      </c>
      <c r="H2261" s="146" t="str">
        <f>+VLOOKUP(D2261,'3. Cuentas'!A:F,6,0)</f>
        <v>SI</v>
      </c>
    </row>
    <row r="2262" spans="1:8" x14ac:dyDescent="0.25">
      <c r="A2262" s="43">
        <v>10304301</v>
      </c>
      <c r="B2262" t="s">
        <v>1384</v>
      </c>
      <c r="C2262" s="43" t="s">
        <v>1643</v>
      </c>
      <c r="D2262" s="43">
        <v>4203090</v>
      </c>
      <c r="E2262" t="s">
        <v>192</v>
      </c>
      <c r="F2262" s="47" t="str">
        <f>+Centro_Cuenta8[[#This Row],[Codigo Centro Gestion]]&amp;" - "&amp;Centro_Cuenta8[[#This Row],[Nombre Centro Gestion]]</f>
        <v>10304301 - Parque Marañon Torre A-GAF</v>
      </c>
      <c r="G2262" s="47" t="str">
        <f>+Centro_Cuenta8[[#This Row],[Código Cuenta Contable]]&amp;" - "&amp;Centro_Cuenta8[[#This Row],[Nombre de Cuenta Contable]]</f>
        <v>4203090 - Gastos Legales Y Notariales Proyecto</v>
      </c>
      <c r="H2262" s="146" t="str">
        <f>+VLOOKUP(D2262,'3. Cuentas'!A:F,6,0)</f>
        <v>SI</v>
      </c>
    </row>
    <row r="2263" spans="1:8" x14ac:dyDescent="0.25">
      <c r="A2263" s="43">
        <v>10304301</v>
      </c>
      <c r="B2263" t="s">
        <v>1384</v>
      </c>
      <c r="C2263" s="43" t="s">
        <v>1643</v>
      </c>
      <c r="D2263" s="43">
        <v>4203140</v>
      </c>
      <c r="E2263" t="s">
        <v>109</v>
      </c>
      <c r="F2263" s="47" t="str">
        <f>+Centro_Cuenta8[[#This Row],[Codigo Centro Gestion]]&amp;" - "&amp;Centro_Cuenta8[[#This Row],[Nombre Centro Gestion]]</f>
        <v>10304301 - Parque Marañon Torre A-GAF</v>
      </c>
      <c r="G2263" s="47" t="str">
        <f>+Centro_Cuenta8[[#This Row],[Código Cuenta Contable]]&amp;" - "&amp;Centro_Cuenta8[[#This Row],[Nombre de Cuenta Contable]]</f>
        <v>4203140 - Contribuciones</v>
      </c>
      <c r="H2263" s="146" t="str">
        <f>+VLOOKUP(D2263,'3. Cuentas'!A:F,6,0)</f>
        <v>SI</v>
      </c>
    </row>
    <row r="2264" spans="1:8" x14ac:dyDescent="0.25">
      <c r="A2264" s="43">
        <v>10304506</v>
      </c>
      <c r="B2264" t="s">
        <v>1386</v>
      </c>
      <c r="C2264" s="43" t="s">
        <v>200</v>
      </c>
      <c r="D2264" s="43">
        <v>1115100</v>
      </c>
      <c r="E2264" t="s">
        <v>292</v>
      </c>
      <c r="F2264" s="47" t="str">
        <f>+Centro_Cuenta8[[#This Row],[Codigo Centro Gestion]]&amp;" - "&amp;Centro_Cuenta8[[#This Row],[Nombre Centro Gestion]]</f>
        <v>10304506 - Parque Marañon Torre A-Depto.Técnico</v>
      </c>
      <c r="G2264" s="47" t="str">
        <f>+Centro_Cuenta8[[#This Row],[Código Cuenta Contable]]&amp;" - "&amp;Centro_Cuenta8[[#This Row],[Nombre de Cuenta Contable]]</f>
        <v>1115100 - Proyectos Y Especialidades</v>
      </c>
      <c r="H2264" s="146" t="str">
        <f>+VLOOKUP(D2264,'3. Cuentas'!A:F,6,0)</f>
        <v>SI</v>
      </c>
    </row>
    <row r="2265" spans="1:8" x14ac:dyDescent="0.25">
      <c r="A2265" s="43">
        <v>10305102</v>
      </c>
      <c r="B2265" t="s">
        <v>1387</v>
      </c>
      <c r="C2265" s="43" t="s">
        <v>1617</v>
      </c>
      <c r="D2265" s="43">
        <v>4204010</v>
      </c>
      <c r="E2265" t="s">
        <v>313</v>
      </c>
      <c r="F2265" s="47" t="str">
        <f>+Centro_Cuenta8[[#This Row],[Codigo Centro Gestion]]&amp;" - "&amp;Centro_Cuenta8[[#This Row],[Nombre Centro Gestion]]</f>
        <v>10305102 - Condominio Parque Del Sur Torre A-Marketing</v>
      </c>
      <c r="G2265" s="47" t="str">
        <f>+Centro_Cuenta8[[#This Row],[Código Cuenta Contable]]&amp;" - "&amp;Centro_Cuenta8[[#This Row],[Nombre de Cuenta Contable]]</f>
        <v>4204010 - Publicidad Punto Venta</v>
      </c>
      <c r="H2265" s="146" t="str">
        <f>+VLOOKUP(D2265,'3. Cuentas'!A:F,6,0)</f>
        <v>SI</v>
      </c>
    </row>
    <row r="2266" spans="1:8" x14ac:dyDescent="0.25">
      <c r="A2266" s="43">
        <v>10305102</v>
      </c>
      <c r="B2266" t="s">
        <v>1387</v>
      </c>
      <c r="C2266" s="43" t="s">
        <v>1617</v>
      </c>
      <c r="D2266" s="43">
        <v>4204021</v>
      </c>
      <c r="E2266" t="s">
        <v>329</v>
      </c>
      <c r="F2266" s="47" t="str">
        <f>+Centro_Cuenta8[[#This Row],[Codigo Centro Gestion]]&amp;" - "&amp;Centro_Cuenta8[[#This Row],[Nombre Centro Gestion]]</f>
        <v>10305102 - Condominio Parque Del Sur Torre A-Marketing</v>
      </c>
      <c r="G2266" s="47" t="str">
        <f>+Centro_Cuenta8[[#This Row],[Código Cuenta Contable]]&amp;" - "&amp;Centro_Cuenta8[[#This Row],[Nombre de Cuenta Contable]]</f>
        <v>4204021 - Publicidad Ferias Y Eventos</v>
      </c>
      <c r="H2266" s="146" t="str">
        <f>+VLOOKUP(D2266,'3. Cuentas'!A:F,6,0)</f>
        <v>SI</v>
      </c>
    </row>
    <row r="2267" spans="1:8" x14ac:dyDescent="0.25">
      <c r="A2267" s="43">
        <v>10305103</v>
      </c>
      <c r="B2267" t="s">
        <v>1388</v>
      </c>
      <c r="C2267" s="43" t="s">
        <v>1618</v>
      </c>
      <c r="D2267" s="43">
        <v>4203060</v>
      </c>
      <c r="E2267" t="s">
        <v>321</v>
      </c>
      <c r="F2267" s="47" t="str">
        <f>+Centro_Cuenta8[[#This Row],[Codigo Centro Gestion]]&amp;" - "&amp;Centro_Cuenta8[[#This Row],[Nombre Centro Gestion]]</f>
        <v>10305103 - Condominio Parque Del Sur Torre A-Operaciones</v>
      </c>
      <c r="G2267" s="47" t="str">
        <f>+Centro_Cuenta8[[#This Row],[Código Cuenta Contable]]&amp;" - "&amp;Centro_Cuenta8[[#This Row],[Nombre de Cuenta Contable]]</f>
        <v>4203060 - Gastos Operacionales De Clientes</v>
      </c>
      <c r="H2267" s="146" t="str">
        <f>+VLOOKUP(D2267,'3. Cuentas'!A:F,6,0)</f>
        <v>SI</v>
      </c>
    </row>
    <row r="2268" spans="1:8" x14ac:dyDescent="0.25">
      <c r="A2268" s="43">
        <v>10305103</v>
      </c>
      <c r="B2268" t="s">
        <v>1388</v>
      </c>
      <c r="C2268" s="43" t="s">
        <v>1618</v>
      </c>
      <c r="D2268" s="43">
        <v>4203090</v>
      </c>
      <c r="E2268" t="s">
        <v>192</v>
      </c>
      <c r="F2268" s="47" t="str">
        <f>+Centro_Cuenta8[[#This Row],[Codigo Centro Gestion]]&amp;" - "&amp;Centro_Cuenta8[[#This Row],[Nombre Centro Gestion]]</f>
        <v>10305103 - Condominio Parque Del Sur Torre A-Operaciones</v>
      </c>
      <c r="G2268" s="47" t="str">
        <f>+Centro_Cuenta8[[#This Row],[Código Cuenta Contable]]&amp;" - "&amp;Centro_Cuenta8[[#This Row],[Nombre de Cuenta Contable]]</f>
        <v>4203090 - Gastos Legales Y Notariales Proyecto</v>
      </c>
      <c r="H2268" s="146" t="str">
        <f>+VLOOKUP(D2268,'3. Cuentas'!A:F,6,0)</f>
        <v>SI</v>
      </c>
    </row>
    <row r="2269" spans="1:8" x14ac:dyDescent="0.25">
      <c r="A2269" s="43">
        <v>10305104</v>
      </c>
      <c r="B2269" t="s">
        <v>1389</v>
      </c>
      <c r="C2269" s="43" t="s">
        <v>90</v>
      </c>
      <c r="D2269" s="43">
        <v>1110040</v>
      </c>
      <c r="E2269" t="s">
        <v>1505</v>
      </c>
      <c r="F2269" s="47" t="str">
        <f>+Centro_Cuenta8[[#This Row],[Codigo Centro Gestion]]&amp;" - "&amp;Centro_Cuenta8[[#This Row],[Nombre Centro Gestion]]</f>
        <v>10305104 - Condominio Parque Del Sur Torre A-Ventas</v>
      </c>
      <c r="G2269" s="47" t="str">
        <f>+Centro_Cuenta8[[#This Row],[Código Cuenta Contable]]&amp;" - "&amp;Centro_Cuenta8[[#This Row],[Nombre de Cuenta Contable]]</f>
        <v>1110040 - Garantía Pagadas</v>
      </c>
      <c r="H2269" s="146" t="str">
        <f>+VLOOKUP(D2269,'3. Cuentas'!A:F,6,0)</f>
        <v>SI</v>
      </c>
    </row>
    <row r="2270" spans="1:8" x14ac:dyDescent="0.25">
      <c r="A2270" s="43">
        <v>10305104</v>
      </c>
      <c r="B2270" t="s">
        <v>1389</v>
      </c>
      <c r="C2270" s="43" t="s">
        <v>90</v>
      </c>
      <c r="D2270" s="43">
        <v>4202003</v>
      </c>
      <c r="E2270" t="s">
        <v>106</v>
      </c>
      <c r="F2270" s="47" t="str">
        <f>+Centro_Cuenta8[[#This Row],[Codigo Centro Gestion]]&amp;" - "&amp;Centro_Cuenta8[[#This Row],[Nombre Centro Gestion]]</f>
        <v>10305104 - Condominio Parque Del Sur Torre A-Ventas</v>
      </c>
      <c r="G2270" s="47" t="str">
        <f>+Centro_Cuenta8[[#This Row],[Código Cuenta Contable]]&amp;" - "&amp;Centro_Cuenta8[[#This Row],[Nombre de Cuenta Contable]]</f>
        <v>4202003 - Serv.Basic.Luz.Agua.Tel Of.C</v>
      </c>
      <c r="H2270" s="146" t="str">
        <f>+VLOOKUP(D2270,'3. Cuentas'!A:F,6,0)</f>
        <v>SI</v>
      </c>
    </row>
    <row r="2271" spans="1:8" x14ac:dyDescent="0.25">
      <c r="A2271" s="43">
        <v>10305104</v>
      </c>
      <c r="B2271" t="s">
        <v>1389</v>
      </c>
      <c r="C2271" s="43" t="s">
        <v>90</v>
      </c>
      <c r="D2271" s="43">
        <v>4202010</v>
      </c>
      <c r="E2271" t="s">
        <v>87</v>
      </c>
      <c r="F2271" s="47" t="str">
        <f>+Centro_Cuenta8[[#This Row],[Codigo Centro Gestion]]&amp;" - "&amp;Centro_Cuenta8[[#This Row],[Nombre Centro Gestion]]</f>
        <v>10305104 - Condominio Parque Del Sur Torre A-Ventas</v>
      </c>
      <c r="G2271" s="47" t="str">
        <f>+Centro_Cuenta8[[#This Row],[Código Cuenta Contable]]&amp;" - "&amp;Centro_Cuenta8[[#This Row],[Nombre de Cuenta Contable]]</f>
        <v>4202010 - Artic. Ofic. Fotocop.Papelería</v>
      </c>
      <c r="H2271" s="146" t="str">
        <f>+VLOOKUP(D2271,'3. Cuentas'!A:F,6,0)</f>
        <v>SI</v>
      </c>
    </row>
    <row r="2272" spans="1:8" x14ac:dyDescent="0.25">
      <c r="A2272" s="43">
        <v>10305104</v>
      </c>
      <c r="B2272" t="s">
        <v>1389</v>
      </c>
      <c r="C2272" s="43" t="s">
        <v>90</v>
      </c>
      <c r="D2272" s="43">
        <v>4202019</v>
      </c>
      <c r="E2272" t="s">
        <v>81</v>
      </c>
      <c r="F2272" s="47" t="str">
        <f>+Centro_Cuenta8[[#This Row],[Codigo Centro Gestion]]&amp;" - "&amp;Centro_Cuenta8[[#This Row],[Nombre Centro Gestion]]</f>
        <v>10305104 - Condominio Parque Del Sur Torre A-Ventas</v>
      </c>
      <c r="G2272" s="47" t="str">
        <f>+Centro_Cuenta8[[#This Row],[Código Cuenta Contable]]&amp;" - "&amp;Centro_Cuenta8[[#This Row],[Nombre de Cuenta Contable]]</f>
        <v>4202019 - Gasto General Oficina</v>
      </c>
      <c r="H2272" s="146" t="str">
        <f>+VLOOKUP(D2272,'3. Cuentas'!A:F,6,0)</f>
        <v>SI</v>
      </c>
    </row>
    <row r="2273" spans="1:8" x14ac:dyDescent="0.25">
      <c r="A2273" s="43">
        <v>10305104</v>
      </c>
      <c r="B2273" t="s">
        <v>1389</v>
      </c>
      <c r="C2273" s="43" t="s">
        <v>90</v>
      </c>
      <c r="D2273" s="43">
        <v>4202023</v>
      </c>
      <c r="E2273" t="s">
        <v>82</v>
      </c>
      <c r="F2273" s="47" t="str">
        <f>+Centro_Cuenta8[[#This Row],[Codigo Centro Gestion]]&amp;" - "&amp;Centro_Cuenta8[[#This Row],[Nombre Centro Gestion]]</f>
        <v>10305104 - Condominio Parque Del Sur Torre A-Ventas</v>
      </c>
      <c r="G2273" s="47" t="str">
        <f>+Centro_Cuenta8[[#This Row],[Código Cuenta Contable]]&amp;" - "&amp;Centro_Cuenta8[[#This Row],[Nombre de Cuenta Contable]]</f>
        <v>4202023 - Honorarios Por Asesorías</v>
      </c>
      <c r="H2273" s="146" t="str">
        <f>+VLOOKUP(D2273,'3. Cuentas'!A:F,6,0)</f>
        <v>SI</v>
      </c>
    </row>
    <row r="2274" spans="1:8" x14ac:dyDescent="0.25">
      <c r="A2274" s="43">
        <v>10305104</v>
      </c>
      <c r="B2274" t="s">
        <v>1389</v>
      </c>
      <c r="C2274" s="43" t="s">
        <v>90</v>
      </c>
      <c r="D2274" s="43">
        <v>4202029</v>
      </c>
      <c r="E2274" t="s">
        <v>83</v>
      </c>
      <c r="F2274" s="47" t="str">
        <f>+Centro_Cuenta8[[#This Row],[Codigo Centro Gestion]]&amp;" - "&amp;Centro_Cuenta8[[#This Row],[Nombre Centro Gestion]]</f>
        <v>10305104 - Condominio Parque Del Sur Torre A-Ventas</v>
      </c>
      <c r="G2274" s="47" t="str">
        <f>+Centro_Cuenta8[[#This Row],[Código Cuenta Contable]]&amp;" - "&amp;Centro_Cuenta8[[#This Row],[Nombre de Cuenta Contable]]</f>
        <v>4202029 - Insumos Y Gastos Informáticos</v>
      </c>
      <c r="H2274" s="146" t="str">
        <f>+VLOOKUP(D2274,'3. Cuentas'!A:F,6,0)</f>
        <v>SI</v>
      </c>
    </row>
    <row r="2275" spans="1:8" x14ac:dyDescent="0.25">
      <c r="A2275" s="43">
        <v>10305104</v>
      </c>
      <c r="B2275" t="s">
        <v>1389</v>
      </c>
      <c r="C2275" s="43" t="s">
        <v>90</v>
      </c>
      <c r="D2275" s="43">
        <v>4204021</v>
      </c>
      <c r="E2275" t="s">
        <v>329</v>
      </c>
      <c r="F2275" s="47" t="str">
        <f>+Centro_Cuenta8[[#This Row],[Codigo Centro Gestion]]&amp;" - "&amp;Centro_Cuenta8[[#This Row],[Nombre Centro Gestion]]</f>
        <v>10305104 - Condominio Parque Del Sur Torre A-Ventas</v>
      </c>
      <c r="G2275" s="47" t="str">
        <f>+Centro_Cuenta8[[#This Row],[Código Cuenta Contable]]&amp;" - "&amp;Centro_Cuenta8[[#This Row],[Nombre de Cuenta Contable]]</f>
        <v>4204021 - Publicidad Ferias Y Eventos</v>
      </c>
      <c r="H2275" s="146" t="str">
        <f>+VLOOKUP(D2275,'3. Cuentas'!A:F,6,0)</f>
        <v>SI</v>
      </c>
    </row>
    <row r="2276" spans="1:8" x14ac:dyDescent="0.25">
      <c r="A2276" s="43">
        <v>10305105</v>
      </c>
      <c r="B2276" t="s">
        <v>1390</v>
      </c>
      <c r="C2276" s="43" t="s">
        <v>1622</v>
      </c>
      <c r="D2276" s="43">
        <v>4203020</v>
      </c>
      <c r="E2276" t="s">
        <v>295</v>
      </c>
      <c r="F2276" s="47" t="str">
        <f>+Centro_Cuenta8[[#This Row],[Codigo Centro Gestion]]&amp;" - "&amp;Centro_Cuenta8[[#This Row],[Nombre Centro Gestion]]</f>
        <v>10305105 - Condominio Parque Del Sur Torre A-Clientes</v>
      </c>
      <c r="G2276" s="47" t="str">
        <f>+Centro_Cuenta8[[#This Row],[Código Cuenta Contable]]&amp;" - "&amp;Centro_Cuenta8[[#This Row],[Nombre de Cuenta Contable]]</f>
        <v>4203020 - Mant. y Consum. Viv Stock</v>
      </c>
      <c r="H2276" s="146" t="str">
        <f>+VLOOKUP(D2276,'3. Cuentas'!A:F,6,0)</f>
        <v>SI</v>
      </c>
    </row>
    <row r="2277" spans="1:8" x14ac:dyDescent="0.25">
      <c r="A2277" s="43">
        <v>10305105</v>
      </c>
      <c r="B2277" t="s">
        <v>1390</v>
      </c>
      <c r="C2277" s="43" t="s">
        <v>1622</v>
      </c>
      <c r="D2277" s="43">
        <v>4203120</v>
      </c>
      <c r="E2277" t="s">
        <v>108</v>
      </c>
      <c r="F2277" s="47" t="str">
        <f>+Centro_Cuenta8[[#This Row],[Codigo Centro Gestion]]&amp;" - "&amp;Centro_Cuenta8[[#This Row],[Nombre Centro Gestion]]</f>
        <v>10305105 - Condominio Parque Del Sur Torre A-Clientes</v>
      </c>
      <c r="G2277" s="47" t="str">
        <f>+Centro_Cuenta8[[#This Row],[Código Cuenta Contable]]&amp;" - "&amp;Centro_Cuenta8[[#This Row],[Nombre de Cuenta Contable]]</f>
        <v>4203120 - Gastos Comunes</v>
      </c>
      <c r="H2277" s="146" t="str">
        <f>+VLOOKUP(D2277,'3. Cuentas'!A:F,6,0)</f>
        <v>SI</v>
      </c>
    </row>
    <row r="2278" spans="1:8" x14ac:dyDescent="0.25">
      <c r="A2278" s="43">
        <v>10305105</v>
      </c>
      <c r="B2278" t="s">
        <v>1390</v>
      </c>
      <c r="C2278" s="43" t="s">
        <v>1622</v>
      </c>
      <c r="D2278" s="43">
        <v>4203140</v>
      </c>
      <c r="E2278" t="s">
        <v>109</v>
      </c>
      <c r="F2278" s="47" t="str">
        <f>+Centro_Cuenta8[[#This Row],[Codigo Centro Gestion]]&amp;" - "&amp;Centro_Cuenta8[[#This Row],[Nombre Centro Gestion]]</f>
        <v>10305105 - Condominio Parque Del Sur Torre A-Clientes</v>
      </c>
      <c r="G2278" s="47" t="str">
        <f>+Centro_Cuenta8[[#This Row],[Código Cuenta Contable]]&amp;" - "&amp;Centro_Cuenta8[[#This Row],[Nombre de Cuenta Contable]]</f>
        <v>4203140 - Contribuciones</v>
      </c>
      <c r="H2278" s="146" t="str">
        <f>+VLOOKUP(D2278,'3. Cuentas'!A:F,6,0)</f>
        <v>SI</v>
      </c>
    </row>
    <row r="2279" spans="1:8" x14ac:dyDescent="0.25">
      <c r="A2279" s="43">
        <v>10305204</v>
      </c>
      <c r="B2279" t="s">
        <v>1391</v>
      </c>
      <c r="C2279" s="43" t="s">
        <v>1624</v>
      </c>
      <c r="D2279" s="43">
        <v>1103045</v>
      </c>
      <c r="E2279" t="s">
        <v>323</v>
      </c>
      <c r="F2279" s="47" t="str">
        <f>+Centro_Cuenta8[[#This Row],[Codigo Centro Gestion]]&amp;" - "&amp;Centro_Cuenta8[[#This Row],[Nombre Centro Gestion]]</f>
        <v>10305204 - Condominio Parque Del Sur Torre A-Proyecto</v>
      </c>
      <c r="G2279" s="47" t="str">
        <f>+Centro_Cuenta8[[#This Row],[Código Cuenta Contable]]&amp;" - "&amp;Centro_Cuenta8[[#This Row],[Nombre de Cuenta Contable]]</f>
        <v>1103045 - Aportes reembolsables (electricidad y agua)</v>
      </c>
      <c r="H2279" s="146" t="str">
        <f>+VLOOKUP(D2279,'3. Cuentas'!A:F,6,0)</f>
        <v>SI</v>
      </c>
    </row>
    <row r="2280" spans="1:8" x14ac:dyDescent="0.25">
      <c r="A2280" s="43">
        <v>10305204</v>
      </c>
      <c r="B2280" t="s">
        <v>1391</v>
      </c>
      <c r="C2280" s="43" t="s">
        <v>1624</v>
      </c>
      <c r="D2280" s="43">
        <v>1109020</v>
      </c>
      <c r="E2280" t="s">
        <v>302</v>
      </c>
      <c r="F2280" s="47" t="str">
        <f>+Centro_Cuenta8[[#This Row],[Codigo Centro Gestion]]&amp;" - "&amp;Centro_Cuenta8[[#This Row],[Nombre Centro Gestion]]</f>
        <v>10305204 - Condominio Parque Del Sur Torre A-Proyecto</v>
      </c>
      <c r="G2280" s="47" t="str">
        <f>+Centro_Cuenta8[[#This Row],[Código Cuenta Contable]]&amp;" - "&amp;Centro_Cuenta8[[#This Row],[Nombre de Cuenta Contable]]</f>
        <v>1109020 - Mobiliario</v>
      </c>
      <c r="H2280" s="146" t="str">
        <f>+VLOOKUP(D2280,'3. Cuentas'!A:F,6,0)</f>
        <v>SI</v>
      </c>
    </row>
    <row r="2281" spans="1:8" x14ac:dyDescent="0.25">
      <c r="A2281" s="43">
        <v>10305204</v>
      </c>
      <c r="B2281" t="s">
        <v>1391</v>
      </c>
      <c r="C2281" s="43" t="s">
        <v>1624</v>
      </c>
      <c r="D2281" s="43">
        <v>1110040</v>
      </c>
      <c r="E2281" t="s">
        <v>1505</v>
      </c>
      <c r="F2281" s="47" t="str">
        <f>+Centro_Cuenta8[[#This Row],[Codigo Centro Gestion]]&amp;" - "&amp;Centro_Cuenta8[[#This Row],[Nombre Centro Gestion]]</f>
        <v>10305204 - Condominio Parque Del Sur Torre A-Proyecto</v>
      </c>
      <c r="G2281" s="47" t="str">
        <f>+Centro_Cuenta8[[#This Row],[Código Cuenta Contable]]&amp;" - "&amp;Centro_Cuenta8[[#This Row],[Nombre de Cuenta Contable]]</f>
        <v>1110040 - Garantía Pagadas</v>
      </c>
      <c r="H2281" s="146" t="str">
        <f>+VLOOKUP(D2281,'3. Cuentas'!A:F,6,0)</f>
        <v>SI</v>
      </c>
    </row>
    <row r="2282" spans="1:8" x14ac:dyDescent="0.25">
      <c r="A2282" s="43">
        <v>10305204</v>
      </c>
      <c r="B2282" t="s">
        <v>1391</v>
      </c>
      <c r="C2282" s="43" t="s">
        <v>1624</v>
      </c>
      <c r="D2282" s="43">
        <v>1115040</v>
      </c>
      <c r="E2282" t="s">
        <v>291</v>
      </c>
      <c r="F2282" s="47" t="str">
        <f>+Centro_Cuenta8[[#This Row],[Codigo Centro Gestion]]&amp;" - "&amp;Centro_Cuenta8[[#This Row],[Nombre Centro Gestion]]</f>
        <v>10305204 - Condominio Parque Del Sur Torre A-Proyecto</v>
      </c>
      <c r="G2282" s="47" t="str">
        <f>+Centro_Cuenta8[[#This Row],[Código Cuenta Contable]]&amp;" - "&amp;Centro_Cuenta8[[#This Row],[Nombre de Cuenta Contable]]</f>
        <v>1115040 - Saneamiento De Terreno</v>
      </c>
      <c r="H2282" s="146" t="str">
        <f>+VLOOKUP(D2282,'3. Cuentas'!A:F,6,0)</f>
        <v>SI</v>
      </c>
    </row>
    <row r="2283" spans="1:8" x14ac:dyDescent="0.25">
      <c r="A2283" s="43">
        <v>10305204</v>
      </c>
      <c r="B2283" t="s">
        <v>1391</v>
      </c>
      <c r="C2283" s="43" t="s">
        <v>1624</v>
      </c>
      <c r="D2283" s="43">
        <v>1115050</v>
      </c>
      <c r="E2283" t="s">
        <v>1628</v>
      </c>
      <c r="F2283" s="47" t="str">
        <f>+Centro_Cuenta8[[#This Row],[Codigo Centro Gestion]]&amp;" - "&amp;Centro_Cuenta8[[#This Row],[Nombre Centro Gestion]]</f>
        <v>10305204 - Condominio Parque Del Sur Torre A-Proyecto</v>
      </c>
      <c r="G2283" s="47" t="str">
        <f>+Centro_Cuenta8[[#This Row],[Código Cuenta Contable]]&amp;" - "&amp;Centro_Cuenta8[[#This Row],[Nombre de Cuenta Contable]]</f>
        <v>1115050 - Demolición</v>
      </c>
      <c r="H2283" s="146" t="str">
        <f>+VLOOKUP(D2283,'3. Cuentas'!A:F,6,0)</f>
        <v>SI</v>
      </c>
    </row>
    <row r="2284" spans="1:8" x14ac:dyDescent="0.25">
      <c r="A2284" s="43">
        <v>10305204</v>
      </c>
      <c r="B2284" t="s">
        <v>1391</v>
      </c>
      <c r="C2284" s="43" t="s">
        <v>1624</v>
      </c>
      <c r="D2284" s="43">
        <v>1115100</v>
      </c>
      <c r="E2284" t="s">
        <v>292</v>
      </c>
      <c r="F2284" s="47" t="str">
        <f>+Centro_Cuenta8[[#This Row],[Codigo Centro Gestion]]&amp;" - "&amp;Centro_Cuenta8[[#This Row],[Nombre Centro Gestion]]</f>
        <v>10305204 - Condominio Parque Del Sur Torre A-Proyecto</v>
      </c>
      <c r="G2284" s="47" t="str">
        <f>+Centro_Cuenta8[[#This Row],[Código Cuenta Contable]]&amp;" - "&amp;Centro_Cuenta8[[#This Row],[Nombre de Cuenta Contable]]</f>
        <v>1115100 - Proyectos Y Especialidades</v>
      </c>
      <c r="H2284" s="146" t="str">
        <f>+VLOOKUP(D2284,'3. Cuentas'!A:F,6,0)</f>
        <v>SI</v>
      </c>
    </row>
    <row r="2285" spans="1:8" x14ac:dyDescent="0.25">
      <c r="A2285" s="43">
        <v>10305204</v>
      </c>
      <c r="B2285" t="s">
        <v>1391</v>
      </c>
      <c r="C2285" s="43" t="s">
        <v>1624</v>
      </c>
      <c r="D2285" s="43">
        <v>1115120</v>
      </c>
      <c r="E2285" t="s">
        <v>1633</v>
      </c>
      <c r="F2285" s="47" t="str">
        <f>+Centro_Cuenta8[[#This Row],[Codigo Centro Gestion]]&amp;" - "&amp;Centro_Cuenta8[[#This Row],[Nombre Centro Gestion]]</f>
        <v>10305204 - Condominio Parque Del Sur Torre A-Proyecto</v>
      </c>
      <c r="G2285" s="47" t="str">
        <f>+Centro_Cuenta8[[#This Row],[Código Cuenta Contable]]&amp;" - "&amp;Centro_Cuenta8[[#This Row],[Nombre de Cuenta Contable]]</f>
        <v>1115120 - Instalación Empalmes</v>
      </c>
      <c r="H2285" s="146" t="str">
        <f>+VLOOKUP(D2285,'3. Cuentas'!A:F,6,0)</f>
        <v>SI</v>
      </c>
    </row>
    <row r="2286" spans="1:8" x14ac:dyDescent="0.25">
      <c r="A2286" s="43">
        <v>10305204</v>
      </c>
      <c r="B2286" t="s">
        <v>1391</v>
      </c>
      <c r="C2286" s="43" t="s">
        <v>1624</v>
      </c>
      <c r="D2286" s="43">
        <v>1115170</v>
      </c>
      <c r="E2286" t="s">
        <v>293</v>
      </c>
      <c r="F2286" s="47" t="str">
        <f>+Centro_Cuenta8[[#This Row],[Codigo Centro Gestion]]&amp;" - "&amp;Centro_Cuenta8[[#This Row],[Nombre Centro Gestion]]</f>
        <v>10305204 - Condominio Parque Del Sur Torre A-Proyecto</v>
      </c>
      <c r="G2286" s="47" t="str">
        <f>+Centro_Cuenta8[[#This Row],[Código Cuenta Contable]]&amp;" - "&amp;Centro_Cuenta8[[#This Row],[Nombre de Cuenta Contable]]</f>
        <v>1115170 - Permisos Y Otros Gastos Municipales</v>
      </c>
      <c r="H2286" s="146" t="str">
        <f>+VLOOKUP(D2286,'3. Cuentas'!A:F,6,0)</f>
        <v>SI</v>
      </c>
    </row>
    <row r="2287" spans="1:8" x14ac:dyDescent="0.25">
      <c r="A2287" s="43">
        <v>10305204</v>
      </c>
      <c r="B2287" t="s">
        <v>1391</v>
      </c>
      <c r="C2287" s="43" t="s">
        <v>1624</v>
      </c>
      <c r="D2287" s="43">
        <v>1115240</v>
      </c>
      <c r="E2287" t="s">
        <v>294</v>
      </c>
      <c r="F2287" s="47" t="str">
        <f>+Centro_Cuenta8[[#This Row],[Codigo Centro Gestion]]&amp;" - "&amp;Centro_Cuenta8[[#This Row],[Nombre Centro Gestion]]</f>
        <v>10305204 - Condominio Parque Del Sur Torre A-Proyecto</v>
      </c>
      <c r="G2287" s="47" t="str">
        <f>+Centro_Cuenta8[[#This Row],[Código Cuenta Contable]]&amp;" - "&amp;Centro_Cuenta8[[#This Row],[Nombre de Cuenta Contable]]</f>
        <v>1115240 - Estudios Y Asesorias Técnicas</v>
      </c>
      <c r="H2287" s="146" t="str">
        <f>+VLOOKUP(D2287,'3. Cuentas'!A:F,6,0)</f>
        <v>SI</v>
      </c>
    </row>
    <row r="2288" spans="1:8" x14ac:dyDescent="0.25">
      <c r="A2288" s="43">
        <v>10305204</v>
      </c>
      <c r="B2288" t="s">
        <v>1391</v>
      </c>
      <c r="C2288" s="43" t="s">
        <v>1624</v>
      </c>
      <c r="D2288" s="43">
        <v>4203090</v>
      </c>
      <c r="E2288" t="s">
        <v>192</v>
      </c>
      <c r="F2288" s="47" t="str">
        <f>+Centro_Cuenta8[[#This Row],[Codigo Centro Gestion]]&amp;" - "&amp;Centro_Cuenta8[[#This Row],[Nombre Centro Gestion]]</f>
        <v>10305204 - Condominio Parque Del Sur Torre A-Proyecto</v>
      </c>
      <c r="G2288" s="47" t="str">
        <f>+Centro_Cuenta8[[#This Row],[Código Cuenta Contable]]&amp;" - "&amp;Centro_Cuenta8[[#This Row],[Nombre de Cuenta Contable]]</f>
        <v>4203090 - Gastos Legales Y Notariales Proyecto</v>
      </c>
      <c r="H2288" s="146" t="str">
        <f>+VLOOKUP(D2288,'3. Cuentas'!A:F,6,0)</f>
        <v>SI</v>
      </c>
    </row>
    <row r="2289" spans="1:8" x14ac:dyDescent="0.25">
      <c r="A2289" s="43">
        <v>10305204</v>
      </c>
      <c r="B2289" t="s">
        <v>1391</v>
      </c>
      <c r="C2289" s="43" t="s">
        <v>1624</v>
      </c>
      <c r="D2289" s="43">
        <v>4203140</v>
      </c>
      <c r="E2289" t="s">
        <v>109</v>
      </c>
      <c r="F2289" s="47" t="str">
        <f>+Centro_Cuenta8[[#This Row],[Codigo Centro Gestion]]&amp;" - "&amp;Centro_Cuenta8[[#This Row],[Nombre Centro Gestion]]</f>
        <v>10305204 - Condominio Parque Del Sur Torre A-Proyecto</v>
      </c>
      <c r="G2289" s="47" t="str">
        <f>+Centro_Cuenta8[[#This Row],[Código Cuenta Contable]]&amp;" - "&amp;Centro_Cuenta8[[#This Row],[Nombre de Cuenta Contable]]</f>
        <v>4203140 - Contribuciones</v>
      </c>
      <c r="H2289" s="146" t="str">
        <f>+VLOOKUP(D2289,'3. Cuentas'!A:F,6,0)</f>
        <v>SI</v>
      </c>
    </row>
    <row r="2290" spans="1:8" x14ac:dyDescent="0.25">
      <c r="A2290" s="43">
        <v>10305204</v>
      </c>
      <c r="B2290" t="s">
        <v>1391</v>
      </c>
      <c r="C2290" s="43" t="s">
        <v>1624</v>
      </c>
      <c r="D2290" s="43">
        <v>4203150</v>
      </c>
      <c r="E2290" t="s">
        <v>156</v>
      </c>
      <c r="F2290" s="47" t="str">
        <f>+Centro_Cuenta8[[#This Row],[Codigo Centro Gestion]]&amp;" - "&amp;Centro_Cuenta8[[#This Row],[Nombre Centro Gestion]]</f>
        <v>10305204 - Condominio Parque Del Sur Torre A-Proyecto</v>
      </c>
      <c r="G2290" s="47" t="str">
        <f>+Centro_Cuenta8[[#This Row],[Código Cuenta Contable]]&amp;" - "&amp;Centro_Cuenta8[[#This Row],[Nombre de Cuenta Contable]]</f>
        <v>4203150 - Gastos CBR</v>
      </c>
      <c r="H2290" s="146" t="str">
        <f>+VLOOKUP(D2290,'3. Cuentas'!A:F,6,0)</f>
        <v>SI</v>
      </c>
    </row>
    <row r="2291" spans="1:8" x14ac:dyDescent="0.25">
      <c r="A2291" s="43">
        <v>10305204</v>
      </c>
      <c r="B2291" t="s">
        <v>1391</v>
      </c>
      <c r="C2291" s="43" t="s">
        <v>1624</v>
      </c>
      <c r="D2291" s="43">
        <v>4203160</v>
      </c>
      <c r="E2291" t="s">
        <v>1639</v>
      </c>
      <c r="F2291" s="47" t="str">
        <f>+Centro_Cuenta8[[#This Row],[Codigo Centro Gestion]]&amp;" - "&amp;Centro_Cuenta8[[#This Row],[Nombre Centro Gestion]]</f>
        <v>10305204 - Condominio Parque Del Sur Torre A-Proyecto</v>
      </c>
      <c r="G2291" s="47" t="str">
        <f>+Centro_Cuenta8[[#This Row],[Código Cuenta Contable]]&amp;" - "&amp;Centro_Cuenta8[[#This Row],[Nombre de Cuenta Contable]]</f>
        <v>4203160 - PAPELERIA Y FOTOCOPIADO</v>
      </c>
      <c r="H2291" s="146" t="str">
        <f>+VLOOKUP(D2291,'3. Cuentas'!A:F,6,0)</f>
        <v>SI</v>
      </c>
    </row>
    <row r="2292" spans="1:8" x14ac:dyDescent="0.25">
      <c r="A2292" s="43">
        <v>10305204</v>
      </c>
      <c r="B2292" t="s">
        <v>1391</v>
      </c>
      <c r="C2292" s="43" t="s">
        <v>1624</v>
      </c>
      <c r="D2292" s="43">
        <v>4203180</v>
      </c>
      <c r="E2292" t="s">
        <v>1640</v>
      </c>
      <c r="F2292" s="47" t="str">
        <f>+Centro_Cuenta8[[#This Row],[Codigo Centro Gestion]]&amp;" - "&amp;Centro_Cuenta8[[#This Row],[Nombre Centro Gestion]]</f>
        <v>10305204 - Condominio Parque Del Sur Torre A-Proyecto</v>
      </c>
      <c r="G2292" s="47" t="str">
        <f>+Centro_Cuenta8[[#This Row],[Código Cuenta Contable]]&amp;" - "&amp;Centro_Cuenta8[[#This Row],[Nombre de Cuenta Contable]]</f>
        <v>4203180 - Otros Gastos y Aseso Proy</v>
      </c>
      <c r="H2292" s="146" t="str">
        <f>+VLOOKUP(D2292,'3. Cuentas'!A:F,6,0)</f>
        <v>SI</v>
      </c>
    </row>
    <row r="2293" spans="1:8" x14ac:dyDescent="0.25">
      <c r="A2293" s="43">
        <v>10305301</v>
      </c>
      <c r="B2293" t="s">
        <v>1392</v>
      </c>
      <c r="C2293" s="43" t="s">
        <v>1643</v>
      </c>
      <c r="D2293" s="43">
        <v>4203090</v>
      </c>
      <c r="E2293" t="s">
        <v>192</v>
      </c>
      <c r="F2293" s="47" t="str">
        <f>+Centro_Cuenta8[[#This Row],[Codigo Centro Gestion]]&amp;" - "&amp;Centro_Cuenta8[[#This Row],[Nombre Centro Gestion]]</f>
        <v>10305301 - Condominio Parque Del Sur Torre A-GAF</v>
      </c>
      <c r="G2293" s="47" t="str">
        <f>+Centro_Cuenta8[[#This Row],[Código Cuenta Contable]]&amp;" - "&amp;Centro_Cuenta8[[#This Row],[Nombre de Cuenta Contable]]</f>
        <v>4203090 - Gastos Legales Y Notariales Proyecto</v>
      </c>
      <c r="H2293" s="146" t="str">
        <f>+VLOOKUP(D2293,'3. Cuentas'!A:F,6,0)</f>
        <v>SI</v>
      </c>
    </row>
    <row r="2294" spans="1:8" x14ac:dyDescent="0.25">
      <c r="A2294" s="43">
        <v>10305301</v>
      </c>
      <c r="B2294" t="s">
        <v>1392</v>
      </c>
      <c r="C2294" s="43" t="s">
        <v>1643</v>
      </c>
      <c r="D2294" s="43">
        <v>4203140</v>
      </c>
      <c r="E2294" t="s">
        <v>109</v>
      </c>
      <c r="F2294" s="47" t="str">
        <f>+Centro_Cuenta8[[#This Row],[Codigo Centro Gestion]]&amp;" - "&amp;Centro_Cuenta8[[#This Row],[Nombre Centro Gestion]]</f>
        <v>10305301 - Condominio Parque Del Sur Torre A-GAF</v>
      </c>
      <c r="G2294" s="47" t="str">
        <f>+Centro_Cuenta8[[#This Row],[Código Cuenta Contable]]&amp;" - "&amp;Centro_Cuenta8[[#This Row],[Nombre de Cuenta Contable]]</f>
        <v>4203140 - Contribuciones</v>
      </c>
      <c r="H2294" s="146" t="str">
        <f>+VLOOKUP(D2294,'3. Cuentas'!A:F,6,0)</f>
        <v>SI</v>
      </c>
    </row>
    <row r="2295" spans="1:8" x14ac:dyDescent="0.25">
      <c r="A2295" s="43">
        <v>10305506</v>
      </c>
      <c r="B2295" t="s">
        <v>1394</v>
      </c>
      <c r="C2295" s="43" t="s">
        <v>200</v>
      </c>
      <c r="D2295" s="43">
        <v>1115100</v>
      </c>
      <c r="E2295" t="s">
        <v>292</v>
      </c>
      <c r="F2295" s="47" t="str">
        <f>+Centro_Cuenta8[[#This Row],[Codigo Centro Gestion]]&amp;" - "&amp;Centro_Cuenta8[[#This Row],[Nombre Centro Gestion]]</f>
        <v>10305506 - Condominio Parque Del Sur Torre A-Depto.Técnico</v>
      </c>
      <c r="G2295" s="47" t="str">
        <f>+Centro_Cuenta8[[#This Row],[Código Cuenta Contable]]&amp;" - "&amp;Centro_Cuenta8[[#This Row],[Nombre de Cuenta Contable]]</f>
        <v>1115100 - Proyectos Y Especialidades</v>
      </c>
      <c r="H2295" s="146" t="str">
        <f>+VLOOKUP(D2295,'3. Cuentas'!A:F,6,0)</f>
        <v>SI</v>
      </c>
    </row>
    <row r="2296" spans="1:8" x14ac:dyDescent="0.25">
      <c r="A2296" s="43">
        <v>10307102</v>
      </c>
      <c r="B2296" t="s">
        <v>1395</v>
      </c>
      <c r="C2296" s="43" t="s">
        <v>1617</v>
      </c>
      <c r="D2296" s="43">
        <v>4204010</v>
      </c>
      <c r="E2296" t="s">
        <v>313</v>
      </c>
      <c r="F2296" s="47" t="str">
        <f>+Centro_Cuenta8[[#This Row],[Codigo Centro Gestion]]&amp;" - "&amp;Centro_Cuenta8[[#This Row],[Nombre Centro Gestion]]</f>
        <v>10307102 - El Yodo-Marketing</v>
      </c>
      <c r="G2296" s="47" t="str">
        <f>+Centro_Cuenta8[[#This Row],[Código Cuenta Contable]]&amp;" - "&amp;Centro_Cuenta8[[#This Row],[Nombre de Cuenta Contable]]</f>
        <v>4204010 - Publicidad Punto Venta</v>
      </c>
      <c r="H2296" s="146" t="str">
        <f>+VLOOKUP(D2296,'3. Cuentas'!A:F,6,0)</f>
        <v>SI</v>
      </c>
    </row>
    <row r="2297" spans="1:8" x14ac:dyDescent="0.25">
      <c r="A2297" s="43">
        <v>10307102</v>
      </c>
      <c r="B2297" t="s">
        <v>1395</v>
      </c>
      <c r="C2297" s="43" t="s">
        <v>1617</v>
      </c>
      <c r="D2297" s="43">
        <v>4204021</v>
      </c>
      <c r="E2297" t="s">
        <v>329</v>
      </c>
      <c r="F2297" s="47" t="str">
        <f>+Centro_Cuenta8[[#This Row],[Codigo Centro Gestion]]&amp;" - "&amp;Centro_Cuenta8[[#This Row],[Nombre Centro Gestion]]</f>
        <v>10307102 - El Yodo-Marketing</v>
      </c>
      <c r="G2297" s="47" t="str">
        <f>+Centro_Cuenta8[[#This Row],[Código Cuenta Contable]]&amp;" - "&amp;Centro_Cuenta8[[#This Row],[Nombre de Cuenta Contable]]</f>
        <v>4204021 - Publicidad Ferias Y Eventos</v>
      </c>
      <c r="H2297" s="146" t="str">
        <f>+VLOOKUP(D2297,'3. Cuentas'!A:F,6,0)</f>
        <v>SI</v>
      </c>
    </row>
    <row r="2298" spans="1:8" x14ac:dyDescent="0.25">
      <c r="A2298" s="43">
        <v>10307103</v>
      </c>
      <c r="B2298" t="s">
        <v>1396</v>
      </c>
      <c r="C2298" s="43" t="s">
        <v>1618</v>
      </c>
      <c r="D2298" s="43">
        <v>4203060</v>
      </c>
      <c r="E2298" t="s">
        <v>321</v>
      </c>
      <c r="F2298" s="47" t="str">
        <f>+Centro_Cuenta8[[#This Row],[Codigo Centro Gestion]]&amp;" - "&amp;Centro_Cuenta8[[#This Row],[Nombre Centro Gestion]]</f>
        <v>10307103 - El Yodo-Operaciones</v>
      </c>
      <c r="G2298" s="47" t="str">
        <f>+Centro_Cuenta8[[#This Row],[Código Cuenta Contable]]&amp;" - "&amp;Centro_Cuenta8[[#This Row],[Nombre de Cuenta Contable]]</f>
        <v>4203060 - Gastos Operacionales De Clientes</v>
      </c>
      <c r="H2298" s="146" t="str">
        <f>+VLOOKUP(D2298,'3. Cuentas'!A:F,6,0)</f>
        <v>SI</v>
      </c>
    </row>
    <row r="2299" spans="1:8" x14ac:dyDescent="0.25">
      <c r="A2299" s="43">
        <v>10307103</v>
      </c>
      <c r="B2299" t="s">
        <v>1396</v>
      </c>
      <c r="C2299" s="43" t="s">
        <v>1618</v>
      </c>
      <c r="D2299" s="43">
        <v>4203090</v>
      </c>
      <c r="E2299" t="s">
        <v>192</v>
      </c>
      <c r="F2299" s="47" t="str">
        <f>+Centro_Cuenta8[[#This Row],[Codigo Centro Gestion]]&amp;" - "&amp;Centro_Cuenta8[[#This Row],[Nombre Centro Gestion]]</f>
        <v>10307103 - El Yodo-Operaciones</v>
      </c>
      <c r="G2299" s="47" t="str">
        <f>+Centro_Cuenta8[[#This Row],[Código Cuenta Contable]]&amp;" - "&amp;Centro_Cuenta8[[#This Row],[Nombre de Cuenta Contable]]</f>
        <v>4203090 - Gastos Legales Y Notariales Proyecto</v>
      </c>
      <c r="H2299" s="146" t="str">
        <f>+VLOOKUP(D2299,'3. Cuentas'!A:F,6,0)</f>
        <v>SI</v>
      </c>
    </row>
    <row r="2300" spans="1:8" x14ac:dyDescent="0.25">
      <c r="A2300" s="43">
        <v>10307104</v>
      </c>
      <c r="B2300" t="s">
        <v>1397</v>
      </c>
      <c r="C2300" s="43" t="s">
        <v>90</v>
      </c>
      <c r="D2300" s="43">
        <v>1110040</v>
      </c>
      <c r="E2300" t="s">
        <v>1505</v>
      </c>
      <c r="F2300" s="47" t="str">
        <f>+Centro_Cuenta8[[#This Row],[Codigo Centro Gestion]]&amp;" - "&amp;Centro_Cuenta8[[#This Row],[Nombre Centro Gestion]]</f>
        <v>10307104 - El Yodo-Ventas</v>
      </c>
      <c r="G2300" s="47" t="str">
        <f>+Centro_Cuenta8[[#This Row],[Código Cuenta Contable]]&amp;" - "&amp;Centro_Cuenta8[[#This Row],[Nombre de Cuenta Contable]]</f>
        <v>1110040 - Garantía Pagadas</v>
      </c>
      <c r="H2300" s="146" t="str">
        <f>+VLOOKUP(D2300,'3. Cuentas'!A:F,6,0)</f>
        <v>SI</v>
      </c>
    </row>
    <row r="2301" spans="1:8" x14ac:dyDescent="0.25">
      <c r="A2301" s="43">
        <v>10307104</v>
      </c>
      <c r="B2301" t="s">
        <v>1397</v>
      </c>
      <c r="C2301" s="43" t="s">
        <v>90</v>
      </c>
      <c r="D2301" s="43">
        <v>4202003</v>
      </c>
      <c r="E2301" t="s">
        <v>106</v>
      </c>
      <c r="F2301" s="47" t="str">
        <f>+Centro_Cuenta8[[#This Row],[Codigo Centro Gestion]]&amp;" - "&amp;Centro_Cuenta8[[#This Row],[Nombre Centro Gestion]]</f>
        <v>10307104 - El Yodo-Ventas</v>
      </c>
      <c r="G2301" s="47" t="str">
        <f>+Centro_Cuenta8[[#This Row],[Código Cuenta Contable]]&amp;" - "&amp;Centro_Cuenta8[[#This Row],[Nombre de Cuenta Contable]]</f>
        <v>4202003 - Serv.Basic.Luz.Agua.Tel Of.C</v>
      </c>
      <c r="H2301" s="146" t="str">
        <f>+VLOOKUP(D2301,'3. Cuentas'!A:F,6,0)</f>
        <v>SI</v>
      </c>
    </row>
    <row r="2302" spans="1:8" x14ac:dyDescent="0.25">
      <c r="A2302" s="43">
        <v>10307104</v>
      </c>
      <c r="B2302" t="s">
        <v>1397</v>
      </c>
      <c r="C2302" s="43" t="s">
        <v>90</v>
      </c>
      <c r="D2302" s="43">
        <v>4202010</v>
      </c>
      <c r="E2302" t="s">
        <v>87</v>
      </c>
      <c r="F2302" s="47" t="str">
        <f>+Centro_Cuenta8[[#This Row],[Codigo Centro Gestion]]&amp;" - "&amp;Centro_Cuenta8[[#This Row],[Nombre Centro Gestion]]</f>
        <v>10307104 - El Yodo-Ventas</v>
      </c>
      <c r="G2302" s="47" t="str">
        <f>+Centro_Cuenta8[[#This Row],[Código Cuenta Contable]]&amp;" - "&amp;Centro_Cuenta8[[#This Row],[Nombre de Cuenta Contable]]</f>
        <v>4202010 - Artic. Ofic. Fotocop.Papelería</v>
      </c>
      <c r="H2302" s="146" t="str">
        <f>+VLOOKUP(D2302,'3. Cuentas'!A:F,6,0)</f>
        <v>SI</v>
      </c>
    </row>
    <row r="2303" spans="1:8" x14ac:dyDescent="0.25">
      <c r="A2303" s="43">
        <v>10307104</v>
      </c>
      <c r="B2303" t="s">
        <v>1397</v>
      </c>
      <c r="C2303" s="43" t="s">
        <v>90</v>
      </c>
      <c r="D2303" s="43">
        <v>4202019</v>
      </c>
      <c r="E2303" t="s">
        <v>81</v>
      </c>
      <c r="F2303" s="47" t="str">
        <f>+Centro_Cuenta8[[#This Row],[Codigo Centro Gestion]]&amp;" - "&amp;Centro_Cuenta8[[#This Row],[Nombre Centro Gestion]]</f>
        <v>10307104 - El Yodo-Ventas</v>
      </c>
      <c r="G2303" s="47" t="str">
        <f>+Centro_Cuenta8[[#This Row],[Código Cuenta Contable]]&amp;" - "&amp;Centro_Cuenta8[[#This Row],[Nombre de Cuenta Contable]]</f>
        <v>4202019 - Gasto General Oficina</v>
      </c>
      <c r="H2303" s="146" t="str">
        <f>+VLOOKUP(D2303,'3. Cuentas'!A:F,6,0)</f>
        <v>SI</v>
      </c>
    </row>
    <row r="2304" spans="1:8" x14ac:dyDescent="0.25">
      <c r="A2304" s="43">
        <v>10307104</v>
      </c>
      <c r="B2304" t="s">
        <v>1397</v>
      </c>
      <c r="C2304" s="43" t="s">
        <v>90</v>
      </c>
      <c r="D2304" s="43">
        <v>4202023</v>
      </c>
      <c r="E2304" t="s">
        <v>82</v>
      </c>
      <c r="F2304" s="47" t="str">
        <f>+Centro_Cuenta8[[#This Row],[Codigo Centro Gestion]]&amp;" - "&amp;Centro_Cuenta8[[#This Row],[Nombre Centro Gestion]]</f>
        <v>10307104 - El Yodo-Ventas</v>
      </c>
      <c r="G2304" s="47" t="str">
        <f>+Centro_Cuenta8[[#This Row],[Código Cuenta Contable]]&amp;" - "&amp;Centro_Cuenta8[[#This Row],[Nombre de Cuenta Contable]]</f>
        <v>4202023 - Honorarios Por Asesorías</v>
      </c>
      <c r="H2304" s="146" t="str">
        <f>+VLOOKUP(D2304,'3. Cuentas'!A:F,6,0)</f>
        <v>SI</v>
      </c>
    </row>
    <row r="2305" spans="1:8" x14ac:dyDescent="0.25">
      <c r="A2305" s="43">
        <v>10307104</v>
      </c>
      <c r="B2305" t="s">
        <v>1397</v>
      </c>
      <c r="C2305" s="43" t="s">
        <v>90</v>
      </c>
      <c r="D2305" s="43">
        <v>4202029</v>
      </c>
      <c r="E2305" t="s">
        <v>83</v>
      </c>
      <c r="F2305" s="47" t="str">
        <f>+Centro_Cuenta8[[#This Row],[Codigo Centro Gestion]]&amp;" - "&amp;Centro_Cuenta8[[#This Row],[Nombre Centro Gestion]]</f>
        <v>10307104 - El Yodo-Ventas</v>
      </c>
      <c r="G2305" s="47" t="str">
        <f>+Centro_Cuenta8[[#This Row],[Código Cuenta Contable]]&amp;" - "&amp;Centro_Cuenta8[[#This Row],[Nombre de Cuenta Contable]]</f>
        <v>4202029 - Insumos Y Gastos Informáticos</v>
      </c>
      <c r="H2305" s="146" t="str">
        <f>+VLOOKUP(D2305,'3. Cuentas'!A:F,6,0)</f>
        <v>SI</v>
      </c>
    </row>
    <row r="2306" spans="1:8" x14ac:dyDescent="0.25">
      <c r="A2306" s="43">
        <v>10307104</v>
      </c>
      <c r="B2306" t="s">
        <v>1397</v>
      </c>
      <c r="C2306" s="43" t="s">
        <v>90</v>
      </c>
      <c r="D2306" s="43">
        <v>4204021</v>
      </c>
      <c r="E2306" t="s">
        <v>329</v>
      </c>
      <c r="F2306" s="47" t="str">
        <f>+Centro_Cuenta8[[#This Row],[Codigo Centro Gestion]]&amp;" - "&amp;Centro_Cuenta8[[#This Row],[Nombre Centro Gestion]]</f>
        <v>10307104 - El Yodo-Ventas</v>
      </c>
      <c r="G2306" s="47" t="str">
        <f>+Centro_Cuenta8[[#This Row],[Código Cuenta Contable]]&amp;" - "&amp;Centro_Cuenta8[[#This Row],[Nombre de Cuenta Contable]]</f>
        <v>4204021 - Publicidad Ferias Y Eventos</v>
      </c>
      <c r="H2306" s="146" t="str">
        <f>+VLOOKUP(D2306,'3. Cuentas'!A:F,6,0)</f>
        <v>SI</v>
      </c>
    </row>
    <row r="2307" spans="1:8" x14ac:dyDescent="0.25">
      <c r="A2307" s="43">
        <v>10307105</v>
      </c>
      <c r="B2307" t="s">
        <v>1398</v>
      </c>
      <c r="C2307" s="43" t="s">
        <v>1622</v>
      </c>
      <c r="D2307" s="43">
        <v>4203020</v>
      </c>
      <c r="E2307" t="s">
        <v>295</v>
      </c>
      <c r="F2307" s="47" t="str">
        <f>+Centro_Cuenta8[[#This Row],[Codigo Centro Gestion]]&amp;" - "&amp;Centro_Cuenta8[[#This Row],[Nombre Centro Gestion]]</f>
        <v>10307105 - El Yodo-Clientes</v>
      </c>
      <c r="G2307" s="47" t="str">
        <f>+Centro_Cuenta8[[#This Row],[Código Cuenta Contable]]&amp;" - "&amp;Centro_Cuenta8[[#This Row],[Nombre de Cuenta Contable]]</f>
        <v>4203020 - Mant. y Consum. Viv Stock</v>
      </c>
      <c r="H2307" s="146" t="str">
        <f>+VLOOKUP(D2307,'3. Cuentas'!A:F,6,0)</f>
        <v>SI</v>
      </c>
    </row>
    <row r="2308" spans="1:8" x14ac:dyDescent="0.25">
      <c r="A2308" s="43">
        <v>10307105</v>
      </c>
      <c r="B2308" t="s">
        <v>1398</v>
      </c>
      <c r="C2308" s="43" t="s">
        <v>1622</v>
      </c>
      <c r="D2308" s="43">
        <v>4203120</v>
      </c>
      <c r="E2308" t="s">
        <v>108</v>
      </c>
      <c r="F2308" s="47" t="str">
        <f>+Centro_Cuenta8[[#This Row],[Codigo Centro Gestion]]&amp;" - "&amp;Centro_Cuenta8[[#This Row],[Nombre Centro Gestion]]</f>
        <v>10307105 - El Yodo-Clientes</v>
      </c>
      <c r="G2308" s="47" t="str">
        <f>+Centro_Cuenta8[[#This Row],[Código Cuenta Contable]]&amp;" - "&amp;Centro_Cuenta8[[#This Row],[Nombre de Cuenta Contable]]</f>
        <v>4203120 - Gastos Comunes</v>
      </c>
      <c r="H2308" s="146" t="str">
        <f>+VLOOKUP(D2308,'3. Cuentas'!A:F,6,0)</f>
        <v>SI</v>
      </c>
    </row>
    <row r="2309" spans="1:8" x14ac:dyDescent="0.25">
      <c r="A2309" s="43">
        <v>10307105</v>
      </c>
      <c r="B2309" t="s">
        <v>1398</v>
      </c>
      <c r="C2309" s="43" t="s">
        <v>1622</v>
      </c>
      <c r="D2309" s="43">
        <v>4203140</v>
      </c>
      <c r="E2309" t="s">
        <v>109</v>
      </c>
      <c r="F2309" s="47" t="str">
        <f>+Centro_Cuenta8[[#This Row],[Codigo Centro Gestion]]&amp;" - "&amp;Centro_Cuenta8[[#This Row],[Nombre Centro Gestion]]</f>
        <v>10307105 - El Yodo-Clientes</v>
      </c>
      <c r="G2309" s="47" t="str">
        <f>+Centro_Cuenta8[[#This Row],[Código Cuenta Contable]]&amp;" - "&amp;Centro_Cuenta8[[#This Row],[Nombre de Cuenta Contable]]</f>
        <v>4203140 - Contribuciones</v>
      </c>
      <c r="H2309" s="146" t="str">
        <f>+VLOOKUP(D2309,'3. Cuentas'!A:F,6,0)</f>
        <v>SI</v>
      </c>
    </row>
    <row r="2310" spans="1:8" x14ac:dyDescent="0.25">
      <c r="A2310" s="43">
        <v>10307204</v>
      </c>
      <c r="B2310" t="s">
        <v>1399</v>
      </c>
      <c r="C2310" s="43" t="s">
        <v>1624</v>
      </c>
      <c r="D2310" s="43">
        <v>1103045</v>
      </c>
      <c r="E2310" t="s">
        <v>323</v>
      </c>
      <c r="F2310" s="47" t="str">
        <f>+Centro_Cuenta8[[#This Row],[Codigo Centro Gestion]]&amp;" - "&amp;Centro_Cuenta8[[#This Row],[Nombre Centro Gestion]]</f>
        <v>10307204 - El Yodo-Proyecto</v>
      </c>
      <c r="G2310" s="47" t="str">
        <f>+Centro_Cuenta8[[#This Row],[Código Cuenta Contable]]&amp;" - "&amp;Centro_Cuenta8[[#This Row],[Nombre de Cuenta Contable]]</f>
        <v>1103045 - Aportes reembolsables (electricidad y agua)</v>
      </c>
      <c r="H2310" s="146" t="str">
        <f>+VLOOKUP(D2310,'3. Cuentas'!A:F,6,0)</f>
        <v>SI</v>
      </c>
    </row>
    <row r="2311" spans="1:8" x14ac:dyDescent="0.25">
      <c r="A2311" s="43">
        <v>10307204</v>
      </c>
      <c r="B2311" t="s">
        <v>1399</v>
      </c>
      <c r="C2311" s="43" t="s">
        <v>1624</v>
      </c>
      <c r="D2311" s="43">
        <v>1109020</v>
      </c>
      <c r="E2311" t="s">
        <v>302</v>
      </c>
      <c r="F2311" s="47" t="str">
        <f>+Centro_Cuenta8[[#This Row],[Codigo Centro Gestion]]&amp;" - "&amp;Centro_Cuenta8[[#This Row],[Nombre Centro Gestion]]</f>
        <v>10307204 - El Yodo-Proyecto</v>
      </c>
      <c r="G2311" s="47" t="str">
        <f>+Centro_Cuenta8[[#This Row],[Código Cuenta Contable]]&amp;" - "&amp;Centro_Cuenta8[[#This Row],[Nombre de Cuenta Contable]]</f>
        <v>1109020 - Mobiliario</v>
      </c>
      <c r="H2311" s="146" t="str">
        <f>+VLOOKUP(D2311,'3. Cuentas'!A:F,6,0)</f>
        <v>SI</v>
      </c>
    </row>
    <row r="2312" spans="1:8" x14ac:dyDescent="0.25">
      <c r="A2312" s="43">
        <v>10307204</v>
      </c>
      <c r="B2312" t="s">
        <v>1399</v>
      </c>
      <c r="C2312" s="43" t="s">
        <v>1624</v>
      </c>
      <c r="D2312" s="43">
        <v>1110040</v>
      </c>
      <c r="E2312" t="s">
        <v>1505</v>
      </c>
      <c r="F2312" s="47" t="str">
        <f>+Centro_Cuenta8[[#This Row],[Codigo Centro Gestion]]&amp;" - "&amp;Centro_Cuenta8[[#This Row],[Nombre Centro Gestion]]</f>
        <v>10307204 - El Yodo-Proyecto</v>
      </c>
      <c r="G2312" s="47" t="str">
        <f>+Centro_Cuenta8[[#This Row],[Código Cuenta Contable]]&amp;" - "&amp;Centro_Cuenta8[[#This Row],[Nombre de Cuenta Contable]]</f>
        <v>1110040 - Garantía Pagadas</v>
      </c>
      <c r="H2312" s="146" t="str">
        <f>+VLOOKUP(D2312,'3. Cuentas'!A:F,6,0)</f>
        <v>SI</v>
      </c>
    </row>
    <row r="2313" spans="1:8" x14ac:dyDescent="0.25">
      <c r="A2313" s="43">
        <v>10307204</v>
      </c>
      <c r="B2313" t="s">
        <v>1399</v>
      </c>
      <c r="C2313" s="43" t="s">
        <v>1624</v>
      </c>
      <c r="D2313" s="43">
        <v>1115040</v>
      </c>
      <c r="E2313" t="s">
        <v>291</v>
      </c>
      <c r="F2313" s="47" t="str">
        <f>+Centro_Cuenta8[[#This Row],[Codigo Centro Gestion]]&amp;" - "&amp;Centro_Cuenta8[[#This Row],[Nombre Centro Gestion]]</f>
        <v>10307204 - El Yodo-Proyecto</v>
      </c>
      <c r="G2313" s="47" t="str">
        <f>+Centro_Cuenta8[[#This Row],[Código Cuenta Contable]]&amp;" - "&amp;Centro_Cuenta8[[#This Row],[Nombre de Cuenta Contable]]</f>
        <v>1115040 - Saneamiento De Terreno</v>
      </c>
      <c r="H2313" s="146" t="str">
        <f>+VLOOKUP(D2313,'3. Cuentas'!A:F,6,0)</f>
        <v>SI</v>
      </c>
    </row>
    <row r="2314" spans="1:8" x14ac:dyDescent="0.25">
      <c r="A2314" s="43">
        <v>10307204</v>
      </c>
      <c r="B2314" t="s">
        <v>1399</v>
      </c>
      <c r="C2314" s="43" t="s">
        <v>1624</v>
      </c>
      <c r="D2314" s="43">
        <v>1115050</v>
      </c>
      <c r="E2314" t="s">
        <v>1628</v>
      </c>
      <c r="F2314" s="47" t="str">
        <f>+Centro_Cuenta8[[#This Row],[Codigo Centro Gestion]]&amp;" - "&amp;Centro_Cuenta8[[#This Row],[Nombre Centro Gestion]]</f>
        <v>10307204 - El Yodo-Proyecto</v>
      </c>
      <c r="G2314" s="47" t="str">
        <f>+Centro_Cuenta8[[#This Row],[Código Cuenta Contable]]&amp;" - "&amp;Centro_Cuenta8[[#This Row],[Nombre de Cuenta Contable]]</f>
        <v>1115050 - Demolición</v>
      </c>
      <c r="H2314" s="146" t="str">
        <f>+VLOOKUP(D2314,'3. Cuentas'!A:F,6,0)</f>
        <v>SI</v>
      </c>
    </row>
    <row r="2315" spans="1:8" x14ac:dyDescent="0.25">
      <c r="A2315" s="43">
        <v>10307204</v>
      </c>
      <c r="B2315" t="s">
        <v>1399</v>
      </c>
      <c r="C2315" s="43" t="s">
        <v>1624</v>
      </c>
      <c r="D2315" s="43">
        <v>1115100</v>
      </c>
      <c r="E2315" t="s">
        <v>292</v>
      </c>
      <c r="F2315" s="47" t="str">
        <f>+Centro_Cuenta8[[#This Row],[Codigo Centro Gestion]]&amp;" - "&amp;Centro_Cuenta8[[#This Row],[Nombre Centro Gestion]]</f>
        <v>10307204 - El Yodo-Proyecto</v>
      </c>
      <c r="G2315" s="47" t="str">
        <f>+Centro_Cuenta8[[#This Row],[Código Cuenta Contable]]&amp;" - "&amp;Centro_Cuenta8[[#This Row],[Nombre de Cuenta Contable]]</f>
        <v>1115100 - Proyectos Y Especialidades</v>
      </c>
      <c r="H2315" s="146" t="str">
        <f>+VLOOKUP(D2315,'3. Cuentas'!A:F,6,0)</f>
        <v>SI</v>
      </c>
    </row>
    <row r="2316" spans="1:8" x14ac:dyDescent="0.25">
      <c r="A2316" s="43">
        <v>10307204</v>
      </c>
      <c r="B2316" t="s">
        <v>1399</v>
      </c>
      <c r="C2316" s="43" t="s">
        <v>1624</v>
      </c>
      <c r="D2316" s="43">
        <v>1115120</v>
      </c>
      <c r="E2316" t="s">
        <v>1633</v>
      </c>
      <c r="F2316" s="47" t="str">
        <f>+Centro_Cuenta8[[#This Row],[Codigo Centro Gestion]]&amp;" - "&amp;Centro_Cuenta8[[#This Row],[Nombre Centro Gestion]]</f>
        <v>10307204 - El Yodo-Proyecto</v>
      </c>
      <c r="G2316" s="47" t="str">
        <f>+Centro_Cuenta8[[#This Row],[Código Cuenta Contable]]&amp;" - "&amp;Centro_Cuenta8[[#This Row],[Nombre de Cuenta Contable]]</f>
        <v>1115120 - Instalación Empalmes</v>
      </c>
      <c r="H2316" s="146" t="str">
        <f>+VLOOKUP(D2316,'3. Cuentas'!A:F,6,0)</f>
        <v>SI</v>
      </c>
    </row>
    <row r="2317" spans="1:8" x14ac:dyDescent="0.25">
      <c r="A2317" s="43">
        <v>10307204</v>
      </c>
      <c r="B2317" t="s">
        <v>1399</v>
      </c>
      <c r="C2317" s="43" t="s">
        <v>1624</v>
      </c>
      <c r="D2317" s="43">
        <v>1115170</v>
      </c>
      <c r="E2317" t="s">
        <v>293</v>
      </c>
      <c r="F2317" s="47" t="str">
        <f>+Centro_Cuenta8[[#This Row],[Codigo Centro Gestion]]&amp;" - "&amp;Centro_Cuenta8[[#This Row],[Nombre Centro Gestion]]</f>
        <v>10307204 - El Yodo-Proyecto</v>
      </c>
      <c r="G2317" s="47" t="str">
        <f>+Centro_Cuenta8[[#This Row],[Código Cuenta Contable]]&amp;" - "&amp;Centro_Cuenta8[[#This Row],[Nombre de Cuenta Contable]]</f>
        <v>1115170 - Permisos Y Otros Gastos Municipales</v>
      </c>
      <c r="H2317" s="146" t="str">
        <f>+VLOOKUP(D2317,'3. Cuentas'!A:F,6,0)</f>
        <v>SI</v>
      </c>
    </row>
    <row r="2318" spans="1:8" x14ac:dyDescent="0.25">
      <c r="A2318" s="43">
        <v>10307204</v>
      </c>
      <c r="B2318" t="s">
        <v>1399</v>
      </c>
      <c r="C2318" s="43" t="s">
        <v>1624</v>
      </c>
      <c r="D2318" s="43">
        <v>1115240</v>
      </c>
      <c r="E2318" t="s">
        <v>294</v>
      </c>
      <c r="F2318" s="47" t="str">
        <f>+Centro_Cuenta8[[#This Row],[Codigo Centro Gestion]]&amp;" - "&amp;Centro_Cuenta8[[#This Row],[Nombre Centro Gestion]]</f>
        <v>10307204 - El Yodo-Proyecto</v>
      </c>
      <c r="G2318" s="47" t="str">
        <f>+Centro_Cuenta8[[#This Row],[Código Cuenta Contable]]&amp;" - "&amp;Centro_Cuenta8[[#This Row],[Nombre de Cuenta Contable]]</f>
        <v>1115240 - Estudios Y Asesorias Técnicas</v>
      </c>
      <c r="H2318" s="146" t="str">
        <f>+VLOOKUP(D2318,'3. Cuentas'!A:F,6,0)</f>
        <v>SI</v>
      </c>
    </row>
    <row r="2319" spans="1:8" x14ac:dyDescent="0.25">
      <c r="A2319" s="43">
        <v>10307204</v>
      </c>
      <c r="B2319" t="s">
        <v>1399</v>
      </c>
      <c r="C2319" s="43" t="s">
        <v>1624</v>
      </c>
      <c r="D2319" s="43">
        <v>4203090</v>
      </c>
      <c r="E2319" t="s">
        <v>192</v>
      </c>
      <c r="F2319" s="47" t="str">
        <f>+Centro_Cuenta8[[#This Row],[Codigo Centro Gestion]]&amp;" - "&amp;Centro_Cuenta8[[#This Row],[Nombre Centro Gestion]]</f>
        <v>10307204 - El Yodo-Proyecto</v>
      </c>
      <c r="G2319" s="47" t="str">
        <f>+Centro_Cuenta8[[#This Row],[Código Cuenta Contable]]&amp;" - "&amp;Centro_Cuenta8[[#This Row],[Nombre de Cuenta Contable]]</f>
        <v>4203090 - Gastos Legales Y Notariales Proyecto</v>
      </c>
      <c r="H2319" s="146" t="str">
        <f>+VLOOKUP(D2319,'3. Cuentas'!A:F,6,0)</f>
        <v>SI</v>
      </c>
    </row>
    <row r="2320" spans="1:8" x14ac:dyDescent="0.25">
      <c r="A2320" s="43">
        <v>10307204</v>
      </c>
      <c r="B2320" t="s">
        <v>1399</v>
      </c>
      <c r="C2320" s="43" t="s">
        <v>1624</v>
      </c>
      <c r="D2320" s="43">
        <v>4203140</v>
      </c>
      <c r="E2320" t="s">
        <v>109</v>
      </c>
      <c r="F2320" s="47" t="str">
        <f>+Centro_Cuenta8[[#This Row],[Codigo Centro Gestion]]&amp;" - "&amp;Centro_Cuenta8[[#This Row],[Nombre Centro Gestion]]</f>
        <v>10307204 - El Yodo-Proyecto</v>
      </c>
      <c r="G2320" s="47" t="str">
        <f>+Centro_Cuenta8[[#This Row],[Código Cuenta Contable]]&amp;" - "&amp;Centro_Cuenta8[[#This Row],[Nombre de Cuenta Contable]]</f>
        <v>4203140 - Contribuciones</v>
      </c>
      <c r="H2320" s="146" t="str">
        <f>+VLOOKUP(D2320,'3. Cuentas'!A:F,6,0)</f>
        <v>SI</v>
      </c>
    </row>
    <row r="2321" spans="1:8" x14ac:dyDescent="0.25">
      <c r="A2321" s="43">
        <v>10307204</v>
      </c>
      <c r="B2321" t="s">
        <v>1399</v>
      </c>
      <c r="C2321" s="43" t="s">
        <v>1624</v>
      </c>
      <c r="D2321" s="43">
        <v>4203150</v>
      </c>
      <c r="E2321" t="s">
        <v>156</v>
      </c>
      <c r="F2321" s="47" t="str">
        <f>+Centro_Cuenta8[[#This Row],[Codigo Centro Gestion]]&amp;" - "&amp;Centro_Cuenta8[[#This Row],[Nombre Centro Gestion]]</f>
        <v>10307204 - El Yodo-Proyecto</v>
      </c>
      <c r="G2321" s="47" t="str">
        <f>+Centro_Cuenta8[[#This Row],[Código Cuenta Contable]]&amp;" - "&amp;Centro_Cuenta8[[#This Row],[Nombre de Cuenta Contable]]</f>
        <v>4203150 - Gastos CBR</v>
      </c>
      <c r="H2321" s="146" t="str">
        <f>+VLOOKUP(D2321,'3. Cuentas'!A:F,6,0)</f>
        <v>SI</v>
      </c>
    </row>
    <row r="2322" spans="1:8" x14ac:dyDescent="0.25">
      <c r="A2322" s="43">
        <v>10307204</v>
      </c>
      <c r="B2322" t="s">
        <v>1399</v>
      </c>
      <c r="C2322" s="43" t="s">
        <v>1624</v>
      </c>
      <c r="D2322" s="43">
        <v>4203160</v>
      </c>
      <c r="E2322" t="s">
        <v>1639</v>
      </c>
      <c r="F2322" s="47" t="str">
        <f>+Centro_Cuenta8[[#This Row],[Codigo Centro Gestion]]&amp;" - "&amp;Centro_Cuenta8[[#This Row],[Nombre Centro Gestion]]</f>
        <v>10307204 - El Yodo-Proyecto</v>
      </c>
      <c r="G2322" s="47" t="str">
        <f>+Centro_Cuenta8[[#This Row],[Código Cuenta Contable]]&amp;" - "&amp;Centro_Cuenta8[[#This Row],[Nombre de Cuenta Contable]]</f>
        <v>4203160 - PAPELERIA Y FOTOCOPIADO</v>
      </c>
      <c r="H2322" s="146" t="str">
        <f>+VLOOKUP(D2322,'3. Cuentas'!A:F,6,0)</f>
        <v>SI</v>
      </c>
    </row>
    <row r="2323" spans="1:8" x14ac:dyDescent="0.25">
      <c r="A2323" s="43">
        <v>10307204</v>
      </c>
      <c r="B2323" t="s">
        <v>1399</v>
      </c>
      <c r="C2323" s="43" t="s">
        <v>1624</v>
      </c>
      <c r="D2323" s="43">
        <v>4203180</v>
      </c>
      <c r="E2323" t="s">
        <v>1640</v>
      </c>
      <c r="F2323" s="47" t="str">
        <f>+Centro_Cuenta8[[#This Row],[Codigo Centro Gestion]]&amp;" - "&amp;Centro_Cuenta8[[#This Row],[Nombre Centro Gestion]]</f>
        <v>10307204 - El Yodo-Proyecto</v>
      </c>
      <c r="G2323" s="47" t="str">
        <f>+Centro_Cuenta8[[#This Row],[Código Cuenta Contable]]&amp;" - "&amp;Centro_Cuenta8[[#This Row],[Nombre de Cuenta Contable]]</f>
        <v>4203180 - Otros Gastos y Aseso Proy</v>
      </c>
      <c r="H2323" s="146" t="str">
        <f>+VLOOKUP(D2323,'3. Cuentas'!A:F,6,0)</f>
        <v>SI</v>
      </c>
    </row>
    <row r="2324" spans="1:8" x14ac:dyDescent="0.25">
      <c r="A2324" s="43">
        <v>10307301</v>
      </c>
      <c r="B2324" t="s">
        <v>1400</v>
      </c>
      <c r="C2324" s="43" t="s">
        <v>1643</v>
      </c>
      <c r="D2324" s="43">
        <v>4203090</v>
      </c>
      <c r="E2324" t="s">
        <v>192</v>
      </c>
      <c r="F2324" s="47" t="str">
        <f>+Centro_Cuenta8[[#This Row],[Codigo Centro Gestion]]&amp;" - "&amp;Centro_Cuenta8[[#This Row],[Nombre Centro Gestion]]</f>
        <v>10307301 - El Yodo-GAF</v>
      </c>
      <c r="G2324" s="47" t="str">
        <f>+Centro_Cuenta8[[#This Row],[Código Cuenta Contable]]&amp;" - "&amp;Centro_Cuenta8[[#This Row],[Nombre de Cuenta Contable]]</f>
        <v>4203090 - Gastos Legales Y Notariales Proyecto</v>
      </c>
      <c r="H2324" s="146" t="str">
        <f>+VLOOKUP(D2324,'3. Cuentas'!A:F,6,0)</f>
        <v>SI</v>
      </c>
    </row>
    <row r="2325" spans="1:8" x14ac:dyDescent="0.25">
      <c r="A2325" s="43">
        <v>10307301</v>
      </c>
      <c r="B2325" t="s">
        <v>1400</v>
      </c>
      <c r="C2325" s="43" t="s">
        <v>1643</v>
      </c>
      <c r="D2325" s="43">
        <v>4203140</v>
      </c>
      <c r="E2325" t="s">
        <v>109</v>
      </c>
      <c r="F2325" s="47" t="str">
        <f>+Centro_Cuenta8[[#This Row],[Codigo Centro Gestion]]&amp;" - "&amp;Centro_Cuenta8[[#This Row],[Nombre Centro Gestion]]</f>
        <v>10307301 - El Yodo-GAF</v>
      </c>
      <c r="G2325" s="47" t="str">
        <f>+Centro_Cuenta8[[#This Row],[Código Cuenta Contable]]&amp;" - "&amp;Centro_Cuenta8[[#This Row],[Nombre de Cuenta Contable]]</f>
        <v>4203140 - Contribuciones</v>
      </c>
      <c r="H2325" s="146" t="str">
        <f>+VLOOKUP(D2325,'3. Cuentas'!A:F,6,0)</f>
        <v>SI</v>
      </c>
    </row>
    <row r="2326" spans="1:8" x14ac:dyDescent="0.25">
      <c r="A2326" s="43">
        <v>10307506</v>
      </c>
      <c r="B2326" t="s">
        <v>1402</v>
      </c>
      <c r="C2326" s="43" t="s">
        <v>200</v>
      </c>
      <c r="D2326" s="43">
        <v>1115100</v>
      </c>
      <c r="E2326" t="s">
        <v>292</v>
      </c>
      <c r="F2326" s="47" t="str">
        <f>+Centro_Cuenta8[[#This Row],[Codigo Centro Gestion]]&amp;" - "&amp;Centro_Cuenta8[[#This Row],[Nombre Centro Gestion]]</f>
        <v>10307506 - El Yodo-Depto.Técnico</v>
      </c>
      <c r="G2326" s="47" t="str">
        <f>+Centro_Cuenta8[[#This Row],[Código Cuenta Contable]]&amp;" - "&amp;Centro_Cuenta8[[#This Row],[Nombre de Cuenta Contable]]</f>
        <v>1115100 - Proyectos Y Especialidades</v>
      </c>
      <c r="H2326" s="146" t="str">
        <f>+VLOOKUP(D2326,'3. Cuentas'!A:F,6,0)</f>
        <v>SI</v>
      </c>
    </row>
    <row r="2327" spans="1:8" x14ac:dyDescent="0.25">
      <c r="A2327" s="43">
        <v>10309</v>
      </c>
      <c r="B2327" t="s">
        <v>712</v>
      </c>
      <c r="C2327" s="43" t="s">
        <v>1521</v>
      </c>
      <c r="D2327" s="43">
        <v>4202023</v>
      </c>
      <c r="E2327" t="s">
        <v>82</v>
      </c>
      <c r="F2327" s="47" t="str">
        <f>+Centro_Cuenta8[[#This Row],[Codigo Centro Gestion]]&amp;" - "&amp;Centro_Cuenta8[[#This Row],[Nombre Centro Gestion]]</f>
        <v>10309 - OFICINA CENTRAL (NO VIGENTE)</v>
      </c>
      <c r="G2327" s="47" t="str">
        <f>+Centro_Cuenta8[[#This Row],[Código Cuenta Contable]]&amp;" - "&amp;Centro_Cuenta8[[#This Row],[Nombre de Cuenta Contable]]</f>
        <v>4202023 - Honorarios Por Asesorías</v>
      </c>
      <c r="H2327" s="146" t="str">
        <f>+VLOOKUP(D2327,'3. Cuentas'!A:F,6,0)</f>
        <v>SI</v>
      </c>
    </row>
    <row r="2328" spans="1:8" x14ac:dyDescent="0.25">
      <c r="A2328" s="43">
        <v>10310</v>
      </c>
      <c r="B2328" t="s">
        <v>713</v>
      </c>
      <c r="C2328" s="43" t="s">
        <v>1522</v>
      </c>
      <c r="D2328" s="43">
        <v>4105001</v>
      </c>
      <c r="E2328" t="s">
        <v>70</v>
      </c>
      <c r="F2328" s="47" t="str">
        <f>+Centro_Cuenta8[[#This Row],[Codigo Centro Gestion]]&amp;" - "&amp;Centro_Cuenta8[[#This Row],[Nombre Centro Gestion]]</f>
        <v>10310 - OFICINA CENTRAL TI (NO VIGENTE)</v>
      </c>
      <c r="G2328" s="47" t="str">
        <f>+Centro_Cuenta8[[#This Row],[Código Cuenta Contable]]&amp;" - "&amp;Centro_Cuenta8[[#This Row],[Nombre de Cuenta Contable]]</f>
        <v>4105001 - Costos Generales de Obra</v>
      </c>
      <c r="H2328" s="146" t="str">
        <f>+VLOOKUP(D2328,'3. Cuentas'!A:F,6,0)</f>
        <v>SI</v>
      </c>
    </row>
    <row r="2329" spans="1:8" x14ac:dyDescent="0.25">
      <c r="A2329" s="43">
        <v>10310</v>
      </c>
      <c r="B2329" t="s">
        <v>713</v>
      </c>
      <c r="C2329" s="43" t="s">
        <v>1522</v>
      </c>
      <c r="D2329" s="43">
        <v>4202029</v>
      </c>
      <c r="E2329" t="s">
        <v>83</v>
      </c>
      <c r="F2329" s="47" t="str">
        <f>+Centro_Cuenta8[[#This Row],[Codigo Centro Gestion]]&amp;" - "&amp;Centro_Cuenta8[[#This Row],[Nombre Centro Gestion]]</f>
        <v>10310 - OFICINA CENTRAL TI (NO VIGENTE)</v>
      </c>
      <c r="G2329" s="47" t="str">
        <f>+Centro_Cuenta8[[#This Row],[Código Cuenta Contable]]&amp;" - "&amp;Centro_Cuenta8[[#This Row],[Nombre de Cuenta Contable]]</f>
        <v>4202029 - Insumos Y Gastos Informáticos</v>
      </c>
      <c r="H2329" s="146" t="str">
        <f>+VLOOKUP(D2329,'3. Cuentas'!A:F,6,0)</f>
        <v>SI</v>
      </c>
    </row>
    <row r="2330" spans="1:8" x14ac:dyDescent="0.25">
      <c r="A2330" s="43">
        <v>10315</v>
      </c>
      <c r="B2330" t="s">
        <v>191</v>
      </c>
      <c r="C2330" s="43" t="s">
        <v>191</v>
      </c>
      <c r="D2330" s="43">
        <v>4202006</v>
      </c>
      <c r="E2330" t="s">
        <v>86</v>
      </c>
      <c r="F2330" s="47" t="str">
        <f>+Centro_Cuenta8[[#This Row],[Codigo Centro Gestion]]&amp;" - "&amp;Centro_Cuenta8[[#This Row],[Nombre Centro Gestion]]</f>
        <v>10315 - Centro General zonal</v>
      </c>
      <c r="G2330" s="47" t="str">
        <f>+Centro_Cuenta8[[#This Row],[Código Cuenta Contable]]&amp;" - "&amp;Centro_Cuenta8[[#This Row],[Nombre de Cuenta Contable]]</f>
        <v>4202006 - Gastos Legales Y Notariales OF Central</v>
      </c>
      <c r="H2330" s="146" t="str">
        <f>+VLOOKUP(D2330,'3. Cuentas'!A:F,6,0)</f>
        <v>SI</v>
      </c>
    </row>
    <row r="2331" spans="1:8" x14ac:dyDescent="0.25">
      <c r="A2331" s="43">
        <v>10315</v>
      </c>
      <c r="B2331" t="s">
        <v>191</v>
      </c>
      <c r="C2331" s="43" t="s">
        <v>191</v>
      </c>
      <c r="D2331" s="43">
        <v>4203090</v>
      </c>
      <c r="E2331" t="s">
        <v>192</v>
      </c>
      <c r="F2331" s="47" t="str">
        <f>+Centro_Cuenta8[[#This Row],[Codigo Centro Gestion]]&amp;" - "&amp;Centro_Cuenta8[[#This Row],[Nombre Centro Gestion]]</f>
        <v>10315 - Centro General zonal</v>
      </c>
      <c r="G2331" s="47" t="str">
        <f>+Centro_Cuenta8[[#This Row],[Código Cuenta Contable]]&amp;" - "&amp;Centro_Cuenta8[[#This Row],[Nombre de Cuenta Contable]]</f>
        <v>4203090 - Gastos Legales Y Notariales Proyecto</v>
      </c>
      <c r="H2331" s="146" t="str">
        <f>+VLOOKUP(D2331,'3. Cuentas'!A:F,6,0)</f>
        <v>SI</v>
      </c>
    </row>
    <row r="2332" spans="1:8" x14ac:dyDescent="0.25">
      <c r="A2332" s="43">
        <v>10318</v>
      </c>
      <c r="B2332" t="s">
        <v>714</v>
      </c>
      <c r="C2332" s="43" t="s">
        <v>1525</v>
      </c>
      <c r="D2332" s="43">
        <v>4201012</v>
      </c>
      <c r="E2332" t="s">
        <v>99</v>
      </c>
      <c r="F2332" s="47" t="str">
        <f>+Centro_Cuenta8[[#This Row],[Codigo Centro Gestion]]&amp;" - "&amp;Centro_Cuenta8[[#This Row],[Nombre Centro Gestion]]</f>
        <v>10318 - OFICINA CENTRAL CAPITAL HUMANO (NO VIGENTE)</v>
      </c>
      <c r="G2332" s="47" t="str">
        <f>+Centro_Cuenta8[[#This Row],[Código Cuenta Contable]]&amp;" - "&amp;Centro_Cuenta8[[#This Row],[Nombre de Cuenta Contable]]</f>
        <v>4201012 - Gastos por Capacitación</v>
      </c>
      <c r="H2332" s="146" t="str">
        <f>+VLOOKUP(D2332,'3. Cuentas'!A:F,6,0)</f>
        <v>SI</v>
      </c>
    </row>
    <row r="2333" spans="1:8" x14ac:dyDescent="0.25">
      <c r="A2333" s="43">
        <v>10318</v>
      </c>
      <c r="B2333" t="s">
        <v>714</v>
      </c>
      <c r="C2333" s="43" t="s">
        <v>1525</v>
      </c>
      <c r="D2333" s="43">
        <v>4201013</v>
      </c>
      <c r="E2333" t="s">
        <v>76</v>
      </c>
      <c r="F2333" s="47" t="str">
        <f>+Centro_Cuenta8[[#This Row],[Codigo Centro Gestion]]&amp;" - "&amp;Centro_Cuenta8[[#This Row],[Nombre Centro Gestion]]</f>
        <v>10318 - OFICINA CENTRAL CAPITAL HUMANO (NO VIGENTE)</v>
      </c>
      <c r="G2333" s="47" t="str">
        <f>+Centro_Cuenta8[[#This Row],[Código Cuenta Contable]]&amp;" - "&amp;Centro_Cuenta8[[#This Row],[Nombre de Cuenta Contable]]</f>
        <v>4201013 - Eventos Del Personal</v>
      </c>
      <c r="H2333" s="146" t="str">
        <f>+VLOOKUP(D2333,'3. Cuentas'!A:F,6,0)</f>
        <v>SI</v>
      </c>
    </row>
    <row r="2334" spans="1:8" x14ac:dyDescent="0.25">
      <c r="A2334" s="43">
        <v>10318</v>
      </c>
      <c r="B2334" t="s">
        <v>714</v>
      </c>
      <c r="C2334" s="43" t="s">
        <v>1525</v>
      </c>
      <c r="D2334" s="43">
        <v>4201038</v>
      </c>
      <c r="E2334" t="s">
        <v>102</v>
      </c>
      <c r="F2334" s="47" t="str">
        <f>+Centro_Cuenta8[[#This Row],[Codigo Centro Gestion]]&amp;" - "&amp;Centro_Cuenta8[[#This Row],[Nombre Centro Gestion]]</f>
        <v>10318 - OFICINA CENTRAL CAPITAL HUMANO (NO VIGENTE)</v>
      </c>
      <c r="G2334" s="47" t="str">
        <f>+Centro_Cuenta8[[#This Row],[Código Cuenta Contable]]&amp;" - "&amp;Centro_Cuenta8[[#This Row],[Nombre de Cuenta Contable]]</f>
        <v>4201038 - Beneficios</v>
      </c>
      <c r="H2334" s="146" t="str">
        <f>+VLOOKUP(D2334,'3. Cuentas'!A:F,6,0)</f>
        <v>SI</v>
      </c>
    </row>
    <row r="2335" spans="1:8" x14ac:dyDescent="0.25">
      <c r="A2335" s="43">
        <v>10318</v>
      </c>
      <c r="B2335" t="s">
        <v>714</v>
      </c>
      <c r="C2335" s="43" t="s">
        <v>1525</v>
      </c>
      <c r="D2335" s="43">
        <v>4202006</v>
      </c>
      <c r="E2335" t="s">
        <v>86</v>
      </c>
      <c r="F2335" s="47" t="str">
        <f>+Centro_Cuenta8[[#This Row],[Codigo Centro Gestion]]&amp;" - "&amp;Centro_Cuenta8[[#This Row],[Nombre Centro Gestion]]</f>
        <v>10318 - OFICINA CENTRAL CAPITAL HUMANO (NO VIGENTE)</v>
      </c>
      <c r="G2335" s="47" t="str">
        <f>+Centro_Cuenta8[[#This Row],[Código Cuenta Contable]]&amp;" - "&amp;Centro_Cuenta8[[#This Row],[Nombre de Cuenta Contable]]</f>
        <v>4202006 - Gastos Legales Y Notariales OF Central</v>
      </c>
      <c r="H2335" s="146" t="str">
        <f>+VLOOKUP(D2335,'3. Cuentas'!A:F,6,0)</f>
        <v>SI</v>
      </c>
    </row>
    <row r="2336" spans="1:8" x14ac:dyDescent="0.25">
      <c r="A2336" s="43">
        <v>10318</v>
      </c>
      <c r="B2336" t="s">
        <v>714</v>
      </c>
      <c r="C2336" s="43" t="s">
        <v>1525</v>
      </c>
      <c r="D2336" s="43">
        <v>4202019</v>
      </c>
      <c r="E2336" t="s">
        <v>81</v>
      </c>
      <c r="F2336" s="47" t="str">
        <f>+Centro_Cuenta8[[#This Row],[Codigo Centro Gestion]]&amp;" - "&amp;Centro_Cuenta8[[#This Row],[Nombre Centro Gestion]]</f>
        <v>10318 - OFICINA CENTRAL CAPITAL HUMANO (NO VIGENTE)</v>
      </c>
      <c r="G2336" s="47" t="str">
        <f>+Centro_Cuenta8[[#This Row],[Código Cuenta Contable]]&amp;" - "&amp;Centro_Cuenta8[[#This Row],[Nombre de Cuenta Contable]]</f>
        <v>4202019 - Gasto General Oficina</v>
      </c>
      <c r="H2336" s="146" t="str">
        <f>+VLOOKUP(D2336,'3. Cuentas'!A:F,6,0)</f>
        <v>SI</v>
      </c>
    </row>
    <row r="2337" spans="1:8" x14ac:dyDescent="0.25">
      <c r="A2337" s="43">
        <v>10318</v>
      </c>
      <c r="B2337" t="s">
        <v>714</v>
      </c>
      <c r="C2337" s="43" t="s">
        <v>1525</v>
      </c>
      <c r="D2337" s="43">
        <v>4202023</v>
      </c>
      <c r="E2337" t="s">
        <v>82</v>
      </c>
      <c r="F2337" s="47" t="str">
        <f>+Centro_Cuenta8[[#This Row],[Codigo Centro Gestion]]&amp;" - "&amp;Centro_Cuenta8[[#This Row],[Nombre Centro Gestion]]</f>
        <v>10318 - OFICINA CENTRAL CAPITAL HUMANO (NO VIGENTE)</v>
      </c>
      <c r="G2337" s="47" t="str">
        <f>+Centro_Cuenta8[[#This Row],[Código Cuenta Contable]]&amp;" - "&amp;Centro_Cuenta8[[#This Row],[Nombre de Cuenta Contable]]</f>
        <v>4202023 - Honorarios Por Asesorías</v>
      </c>
      <c r="H2337" s="146" t="str">
        <f>+VLOOKUP(D2337,'3. Cuentas'!A:F,6,0)</f>
        <v>SI</v>
      </c>
    </row>
    <row r="2338" spans="1:8" x14ac:dyDescent="0.25">
      <c r="A2338" s="43">
        <v>1032202</v>
      </c>
      <c r="B2338" t="s">
        <v>720</v>
      </c>
      <c r="C2338" s="43" t="s">
        <v>1578</v>
      </c>
      <c r="D2338" s="43">
        <v>1115040</v>
      </c>
      <c r="E2338" t="s">
        <v>291</v>
      </c>
      <c r="F2338" s="47" t="str">
        <f>+Centro_Cuenta8[[#This Row],[Codigo Centro Gestion]]&amp;" - "&amp;Centro_Cuenta8[[#This Row],[Nombre Centro Gestion]]</f>
        <v>1032202 - Terreno Palmas del Sur-Desarrollo</v>
      </c>
      <c r="G2338" s="47" t="str">
        <f>+Centro_Cuenta8[[#This Row],[Código Cuenta Contable]]&amp;" - "&amp;Centro_Cuenta8[[#This Row],[Nombre de Cuenta Contable]]</f>
        <v>1115040 - Saneamiento De Terreno</v>
      </c>
      <c r="H2338" s="146" t="str">
        <f>+VLOOKUP(D2338,'3. Cuentas'!A:F,6,0)</f>
        <v>SI</v>
      </c>
    </row>
    <row r="2339" spans="1:8" x14ac:dyDescent="0.25">
      <c r="A2339" s="43">
        <v>1032202</v>
      </c>
      <c r="B2339" t="s">
        <v>720</v>
      </c>
      <c r="C2339" s="43" t="s">
        <v>1578</v>
      </c>
      <c r="D2339" s="43">
        <v>1115170</v>
      </c>
      <c r="E2339" t="s">
        <v>293</v>
      </c>
      <c r="F2339" s="47" t="str">
        <f>+Centro_Cuenta8[[#This Row],[Codigo Centro Gestion]]&amp;" - "&amp;Centro_Cuenta8[[#This Row],[Nombre Centro Gestion]]</f>
        <v>1032202 - Terreno Palmas del Sur-Desarrollo</v>
      </c>
      <c r="G2339" s="47" t="str">
        <f>+Centro_Cuenta8[[#This Row],[Código Cuenta Contable]]&amp;" - "&amp;Centro_Cuenta8[[#This Row],[Nombre de Cuenta Contable]]</f>
        <v>1115170 - Permisos Y Otros Gastos Municipales</v>
      </c>
      <c r="H2339" s="146" t="str">
        <f>+VLOOKUP(D2339,'3. Cuentas'!A:F,6,0)</f>
        <v>SI</v>
      </c>
    </row>
    <row r="2340" spans="1:8" x14ac:dyDescent="0.25">
      <c r="A2340" s="43">
        <v>1032202</v>
      </c>
      <c r="B2340" t="s">
        <v>720</v>
      </c>
      <c r="C2340" s="43" t="s">
        <v>1578</v>
      </c>
      <c r="D2340" s="43">
        <v>1115240</v>
      </c>
      <c r="E2340" t="s">
        <v>294</v>
      </c>
      <c r="F2340" s="47" t="str">
        <f>+Centro_Cuenta8[[#This Row],[Codigo Centro Gestion]]&amp;" - "&amp;Centro_Cuenta8[[#This Row],[Nombre Centro Gestion]]</f>
        <v>1032202 - Terreno Palmas del Sur-Desarrollo</v>
      </c>
      <c r="G2340" s="47" t="str">
        <f>+Centro_Cuenta8[[#This Row],[Código Cuenta Contable]]&amp;" - "&amp;Centro_Cuenta8[[#This Row],[Nombre de Cuenta Contable]]</f>
        <v>1115240 - Estudios Y Asesorias Técnicas</v>
      </c>
      <c r="H2340" s="146" t="str">
        <f>+VLOOKUP(D2340,'3. Cuentas'!A:F,6,0)</f>
        <v>SI</v>
      </c>
    </row>
    <row r="2341" spans="1:8" x14ac:dyDescent="0.25">
      <c r="A2341" s="43">
        <v>1032202</v>
      </c>
      <c r="B2341" t="s">
        <v>720</v>
      </c>
      <c r="C2341" s="43" t="s">
        <v>1578</v>
      </c>
      <c r="D2341" s="43">
        <v>4203090</v>
      </c>
      <c r="E2341" t="s">
        <v>192</v>
      </c>
      <c r="F2341" s="47" t="str">
        <f>+Centro_Cuenta8[[#This Row],[Codigo Centro Gestion]]&amp;" - "&amp;Centro_Cuenta8[[#This Row],[Nombre Centro Gestion]]</f>
        <v>1032202 - Terreno Palmas del Sur-Desarrollo</v>
      </c>
      <c r="G2341" s="47" t="str">
        <f>+Centro_Cuenta8[[#This Row],[Código Cuenta Contable]]&amp;" - "&amp;Centro_Cuenta8[[#This Row],[Nombre de Cuenta Contable]]</f>
        <v>4203090 - Gastos Legales Y Notariales Proyecto</v>
      </c>
      <c r="H2341" s="146" t="str">
        <f>+VLOOKUP(D2341,'3. Cuentas'!A:F,6,0)</f>
        <v>SI</v>
      </c>
    </row>
    <row r="2342" spans="1:8" x14ac:dyDescent="0.25">
      <c r="A2342" s="43">
        <v>10352102</v>
      </c>
      <c r="B2342" t="s">
        <v>1403</v>
      </c>
      <c r="C2342" s="43" t="s">
        <v>1617</v>
      </c>
      <c r="D2342" s="43">
        <v>4204010</v>
      </c>
      <c r="E2342" t="s">
        <v>313</v>
      </c>
      <c r="F2342" s="47" t="str">
        <f>+Centro_Cuenta8[[#This Row],[Codigo Centro Gestion]]&amp;" - "&amp;Centro_Cuenta8[[#This Row],[Nombre Centro Gestion]]</f>
        <v>10352102 - Miraflores Lote 1 Edificio 1-Marketing</v>
      </c>
      <c r="G2342" s="47" t="str">
        <f>+Centro_Cuenta8[[#This Row],[Código Cuenta Contable]]&amp;" - "&amp;Centro_Cuenta8[[#This Row],[Nombre de Cuenta Contable]]</f>
        <v>4204010 - Publicidad Punto Venta</v>
      </c>
      <c r="H2342" s="146" t="str">
        <f>+VLOOKUP(D2342,'3. Cuentas'!A:F,6,0)</f>
        <v>SI</v>
      </c>
    </row>
    <row r="2343" spans="1:8" x14ac:dyDescent="0.25">
      <c r="A2343" s="43">
        <v>10352102</v>
      </c>
      <c r="B2343" t="s">
        <v>1403</v>
      </c>
      <c r="C2343" s="43" t="s">
        <v>1617</v>
      </c>
      <c r="D2343" s="43">
        <v>4204021</v>
      </c>
      <c r="E2343" t="s">
        <v>329</v>
      </c>
      <c r="F2343" s="47" t="str">
        <f>+Centro_Cuenta8[[#This Row],[Codigo Centro Gestion]]&amp;" - "&amp;Centro_Cuenta8[[#This Row],[Nombre Centro Gestion]]</f>
        <v>10352102 - Miraflores Lote 1 Edificio 1-Marketing</v>
      </c>
      <c r="G2343" s="47" t="str">
        <f>+Centro_Cuenta8[[#This Row],[Código Cuenta Contable]]&amp;" - "&amp;Centro_Cuenta8[[#This Row],[Nombre de Cuenta Contable]]</f>
        <v>4204021 - Publicidad Ferias Y Eventos</v>
      </c>
      <c r="H2343" s="146" t="str">
        <f>+VLOOKUP(D2343,'3. Cuentas'!A:F,6,0)</f>
        <v>SI</v>
      </c>
    </row>
    <row r="2344" spans="1:8" x14ac:dyDescent="0.25">
      <c r="A2344" s="43">
        <v>10352103</v>
      </c>
      <c r="B2344" t="s">
        <v>1404</v>
      </c>
      <c r="C2344" s="43" t="s">
        <v>1618</v>
      </c>
      <c r="D2344" s="43">
        <v>4203060</v>
      </c>
      <c r="E2344" t="s">
        <v>321</v>
      </c>
      <c r="F2344" s="47" t="str">
        <f>+Centro_Cuenta8[[#This Row],[Codigo Centro Gestion]]&amp;" - "&amp;Centro_Cuenta8[[#This Row],[Nombre Centro Gestion]]</f>
        <v>10352103 - Miraflores Lote 1 Edificio 1-Operaciones</v>
      </c>
      <c r="G2344" s="47" t="str">
        <f>+Centro_Cuenta8[[#This Row],[Código Cuenta Contable]]&amp;" - "&amp;Centro_Cuenta8[[#This Row],[Nombre de Cuenta Contable]]</f>
        <v>4203060 - Gastos Operacionales De Clientes</v>
      </c>
      <c r="H2344" s="146" t="str">
        <f>+VLOOKUP(D2344,'3. Cuentas'!A:F,6,0)</f>
        <v>SI</v>
      </c>
    </row>
    <row r="2345" spans="1:8" x14ac:dyDescent="0.25">
      <c r="A2345" s="43">
        <v>10352103</v>
      </c>
      <c r="B2345" t="s">
        <v>1404</v>
      </c>
      <c r="C2345" s="43" t="s">
        <v>1618</v>
      </c>
      <c r="D2345" s="43">
        <v>4203090</v>
      </c>
      <c r="E2345" t="s">
        <v>192</v>
      </c>
      <c r="F2345" s="47" t="str">
        <f>+Centro_Cuenta8[[#This Row],[Codigo Centro Gestion]]&amp;" - "&amp;Centro_Cuenta8[[#This Row],[Nombre Centro Gestion]]</f>
        <v>10352103 - Miraflores Lote 1 Edificio 1-Operaciones</v>
      </c>
      <c r="G2345" s="47" t="str">
        <f>+Centro_Cuenta8[[#This Row],[Código Cuenta Contable]]&amp;" - "&amp;Centro_Cuenta8[[#This Row],[Nombre de Cuenta Contable]]</f>
        <v>4203090 - Gastos Legales Y Notariales Proyecto</v>
      </c>
      <c r="H2345" s="146" t="str">
        <f>+VLOOKUP(D2345,'3. Cuentas'!A:F,6,0)</f>
        <v>SI</v>
      </c>
    </row>
    <row r="2346" spans="1:8" x14ac:dyDescent="0.25">
      <c r="A2346" s="43">
        <v>10352104</v>
      </c>
      <c r="B2346" t="s">
        <v>1405</v>
      </c>
      <c r="C2346" s="43" t="s">
        <v>90</v>
      </c>
      <c r="D2346" s="43">
        <v>1110040</v>
      </c>
      <c r="E2346" t="s">
        <v>1505</v>
      </c>
      <c r="F2346" s="47" t="str">
        <f>+Centro_Cuenta8[[#This Row],[Codigo Centro Gestion]]&amp;" - "&amp;Centro_Cuenta8[[#This Row],[Nombre Centro Gestion]]</f>
        <v>10352104 - Miraflores Lote 1 Edificio 1-Ventas</v>
      </c>
      <c r="G2346" s="47" t="str">
        <f>+Centro_Cuenta8[[#This Row],[Código Cuenta Contable]]&amp;" - "&amp;Centro_Cuenta8[[#This Row],[Nombre de Cuenta Contable]]</f>
        <v>1110040 - Garantía Pagadas</v>
      </c>
      <c r="H2346" s="146" t="str">
        <f>+VLOOKUP(D2346,'3. Cuentas'!A:F,6,0)</f>
        <v>SI</v>
      </c>
    </row>
    <row r="2347" spans="1:8" x14ac:dyDescent="0.25">
      <c r="A2347" s="43">
        <v>10352104</v>
      </c>
      <c r="B2347" t="s">
        <v>1405</v>
      </c>
      <c r="C2347" s="43" t="s">
        <v>90</v>
      </c>
      <c r="D2347" s="43">
        <v>4202003</v>
      </c>
      <c r="E2347" t="s">
        <v>106</v>
      </c>
      <c r="F2347" s="47" t="str">
        <f>+Centro_Cuenta8[[#This Row],[Codigo Centro Gestion]]&amp;" - "&amp;Centro_Cuenta8[[#This Row],[Nombre Centro Gestion]]</f>
        <v>10352104 - Miraflores Lote 1 Edificio 1-Ventas</v>
      </c>
      <c r="G2347" s="47" t="str">
        <f>+Centro_Cuenta8[[#This Row],[Código Cuenta Contable]]&amp;" - "&amp;Centro_Cuenta8[[#This Row],[Nombre de Cuenta Contable]]</f>
        <v>4202003 - Serv.Basic.Luz.Agua.Tel Of.C</v>
      </c>
      <c r="H2347" s="146" t="str">
        <f>+VLOOKUP(D2347,'3. Cuentas'!A:F,6,0)</f>
        <v>SI</v>
      </c>
    </row>
    <row r="2348" spans="1:8" x14ac:dyDescent="0.25">
      <c r="A2348" s="43">
        <v>10352104</v>
      </c>
      <c r="B2348" t="s">
        <v>1405</v>
      </c>
      <c r="C2348" s="43" t="s">
        <v>90</v>
      </c>
      <c r="D2348" s="43">
        <v>4202010</v>
      </c>
      <c r="E2348" t="s">
        <v>87</v>
      </c>
      <c r="F2348" s="47" t="str">
        <f>+Centro_Cuenta8[[#This Row],[Codigo Centro Gestion]]&amp;" - "&amp;Centro_Cuenta8[[#This Row],[Nombre Centro Gestion]]</f>
        <v>10352104 - Miraflores Lote 1 Edificio 1-Ventas</v>
      </c>
      <c r="G2348" s="47" t="str">
        <f>+Centro_Cuenta8[[#This Row],[Código Cuenta Contable]]&amp;" - "&amp;Centro_Cuenta8[[#This Row],[Nombre de Cuenta Contable]]</f>
        <v>4202010 - Artic. Ofic. Fotocop.Papelería</v>
      </c>
      <c r="H2348" s="146" t="str">
        <f>+VLOOKUP(D2348,'3. Cuentas'!A:F,6,0)</f>
        <v>SI</v>
      </c>
    </row>
    <row r="2349" spans="1:8" x14ac:dyDescent="0.25">
      <c r="A2349" s="43">
        <v>10352104</v>
      </c>
      <c r="B2349" t="s">
        <v>1405</v>
      </c>
      <c r="C2349" s="43" t="s">
        <v>90</v>
      </c>
      <c r="D2349" s="43">
        <v>4202019</v>
      </c>
      <c r="E2349" t="s">
        <v>81</v>
      </c>
      <c r="F2349" s="47" t="str">
        <f>+Centro_Cuenta8[[#This Row],[Codigo Centro Gestion]]&amp;" - "&amp;Centro_Cuenta8[[#This Row],[Nombre Centro Gestion]]</f>
        <v>10352104 - Miraflores Lote 1 Edificio 1-Ventas</v>
      </c>
      <c r="G2349" s="47" t="str">
        <f>+Centro_Cuenta8[[#This Row],[Código Cuenta Contable]]&amp;" - "&amp;Centro_Cuenta8[[#This Row],[Nombre de Cuenta Contable]]</f>
        <v>4202019 - Gasto General Oficina</v>
      </c>
      <c r="H2349" s="146" t="str">
        <f>+VLOOKUP(D2349,'3. Cuentas'!A:F,6,0)</f>
        <v>SI</v>
      </c>
    </row>
    <row r="2350" spans="1:8" x14ac:dyDescent="0.25">
      <c r="A2350" s="43">
        <v>10352104</v>
      </c>
      <c r="B2350" t="s">
        <v>1405</v>
      </c>
      <c r="C2350" s="43" t="s">
        <v>90</v>
      </c>
      <c r="D2350" s="43">
        <v>4202023</v>
      </c>
      <c r="E2350" t="s">
        <v>82</v>
      </c>
      <c r="F2350" s="47" t="str">
        <f>+Centro_Cuenta8[[#This Row],[Codigo Centro Gestion]]&amp;" - "&amp;Centro_Cuenta8[[#This Row],[Nombre Centro Gestion]]</f>
        <v>10352104 - Miraflores Lote 1 Edificio 1-Ventas</v>
      </c>
      <c r="G2350" s="47" t="str">
        <f>+Centro_Cuenta8[[#This Row],[Código Cuenta Contable]]&amp;" - "&amp;Centro_Cuenta8[[#This Row],[Nombre de Cuenta Contable]]</f>
        <v>4202023 - Honorarios Por Asesorías</v>
      </c>
      <c r="H2350" s="146" t="str">
        <f>+VLOOKUP(D2350,'3. Cuentas'!A:F,6,0)</f>
        <v>SI</v>
      </c>
    </row>
    <row r="2351" spans="1:8" x14ac:dyDescent="0.25">
      <c r="A2351" s="43">
        <v>10352104</v>
      </c>
      <c r="B2351" t="s">
        <v>1405</v>
      </c>
      <c r="C2351" s="43" t="s">
        <v>90</v>
      </c>
      <c r="D2351" s="43">
        <v>4202029</v>
      </c>
      <c r="E2351" t="s">
        <v>83</v>
      </c>
      <c r="F2351" s="47" t="str">
        <f>+Centro_Cuenta8[[#This Row],[Codigo Centro Gestion]]&amp;" - "&amp;Centro_Cuenta8[[#This Row],[Nombre Centro Gestion]]</f>
        <v>10352104 - Miraflores Lote 1 Edificio 1-Ventas</v>
      </c>
      <c r="G2351" s="47" t="str">
        <f>+Centro_Cuenta8[[#This Row],[Código Cuenta Contable]]&amp;" - "&amp;Centro_Cuenta8[[#This Row],[Nombre de Cuenta Contable]]</f>
        <v>4202029 - Insumos Y Gastos Informáticos</v>
      </c>
      <c r="H2351" s="146" t="str">
        <f>+VLOOKUP(D2351,'3. Cuentas'!A:F,6,0)</f>
        <v>SI</v>
      </c>
    </row>
    <row r="2352" spans="1:8" x14ac:dyDescent="0.25">
      <c r="A2352" s="43">
        <v>10352104</v>
      </c>
      <c r="B2352" t="s">
        <v>1405</v>
      </c>
      <c r="C2352" s="43" t="s">
        <v>90</v>
      </c>
      <c r="D2352" s="43">
        <v>4204021</v>
      </c>
      <c r="E2352" t="s">
        <v>329</v>
      </c>
      <c r="F2352" s="47" t="str">
        <f>+Centro_Cuenta8[[#This Row],[Codigo Centro Gestion]]&amp;" - "&amp;Centro_Cuenta8[[#This Row],[Nombre Centro Gestion]]</f>
        <v>10352104 - Miraflores Lote 1 Edificio 1-Ventas</v>
      </c>
      <c r="G2352" s="47" t="str">
        <f>+Centro_Cuenta8[[#This Row],[Código Cuenta Contable]]&amp;" - "&amp;Centro_Cuenta8[[#This Row],[Nombre de Cuenta Contable]]</f>
        <v>4204021 - Publicidad Ferias Y Eventos</v>
      </c>
      <c r="H2352" s="146" t="str">
        <f>+VLOOKUP(D2352,'3. Cuentas'!A:F,6,0)</f>
        <v>SI</v>
      </c>
    </row>
    <row r="2353" spans="1:8" x14ac:dyDescent="0.25">
      <c r="A2353" s="43">
        <v>10352105</v>
      </c>
      <c r="B2353" t="s">
        <v>1406</v>
      </c>
      <c r="C2353" s="43" t="s">
        <v>1622</v>
      </c>
      <c r="D2353" s="43">
        <v>4203020</v>
      </c>
      <c r="E2353" t="s">
        <v>295</v>
      </c>
      <c r="F2353" s="47" t="str">
        <f>+Centro_Cuenta8[[#This Row],[Codigo Centro Gestion]]&amp;" - "&amp;Centro_Cuenta8[[#This Row],[Nombre Centro Gestion]]</f>
        <v>10352105 - Miraflores Lote 1 Edificio 1-Clientes</v>
      </c>
      <c r="G2353" s="47" t="str">
        <f>+Centro_Cuenta8[[#This Row],[Código Cuenta Contable]]&amp;" - "&amp;Centro_Cuenta8[[#This Row],[Nombre de Cuenta Contable]]</f>
        <v>4203020 - Mant. y Consum. Viv Stock</v>
      </c>
      <c r="H2353" s="146" t="str">
        <f>+VLOOKUP(D2353,'3. Cuentas'!A:F,6,0)</f>
        <v>SI</v>
      </c>
    </row>
    <row r="2354" spans="1:8" x14ac:dyDescent="0.25">
      <c r="A2354" s="43">
        <v>10352105</v>
      </c>
      <c r="B2354" t="s">
        <v>1406</v>
      </c>
      <c r="C2354" s="43" t="s">
        <v>1622</v>
      </c>
      <c r="D2354" s="43">
        <v>4203120</v>
      </c>
      <c r="E2354" t="s">
        <v>108</v>
      </c>
      <c r="F2354" s="47" t="str">
        <f>+Centro_Cuenta8[[#This Row],[Codigo Centro Gestion]]&amp;" - "&amp;Centro_Cuenta8[[#This Row],[Nombre Centro Gestion]]</f>
        <v>10352105 - Miraflores Lote 1 Edificio 1-Clientes</v>
      </c>
      <c r="G2354" s="47" t="str">
        <f>+Centro_Cuenta8[[#This Row],[Código Cuenta Contable]]&amp;" - "&amp;Centro_Cuenta8[[#This Row],[Nombre de Cuenta Contable]]</f>
        <v>4203120 - Gastos Comunes</v>
      </c>
      <c r="H2354" s="146" t="str">
        <f>+VLOOKUP(D2354,'3. Cuentas'!A:F,6,0)</f>
        <v>SI</v>
      </c>
    </row>
    <row r="2355" spans="1:8" x14ac:dyDescent="0.25">
      <c r="A2355" s="43">
        <v>10352105</v>
      </c>
      <c r="B2355" t="s">
        <v>1406</v>
      </c>
      <c r="C2355" s="43" t="s">
        <v>1622</v>
      </c>
      <c r="D2355" s="43">
        <v>4203140</v>
      </c>
      <c r="E2355" t="s">
        <v>109</v>
      </c>
      <c r="F2355" s="47" t="str">
        <f>+Centro_Cuenta8[[#This Row],[Codigo Centro Gestion]]&amp;" - "&amp;Centro_Cuenta8[[#This Row],[Nombre Centro Gestion]]</f>
        <v>10352105 - Miraflores Lote 1 Edificio 1-Clientes</v>
      </c>
      <c r="G2355" s="47" t="str">
        <f>+Centro_Cuenta8[[#This Row],[Código Cuenta Contable]]&amp;" - "&amp;Centro_Cuenta8[[#This Row],[Nombre de Cuenta Contable]]</f>
        <v>4203140 - Contribuciones</v>
      </c>
      <c r="H2355" s="146" t="str">
        <f>+VLOOKUP(D2355,'3. Cuentas'!A:F,6,0)</f>
        <v>SI</v>
      </c>
    </row>
    <row r="2356" spans="1:8" x14ac:dyDescent="0.25">
      <c r="A2356" s="43">
        <v>10352204</v>
      </c>
      <c r="B2356" t="s">
        <v>1407</v>
      </c>
      <c r="C2356" s="43" t="s">
        <v>1624</v>
      </c>
      <c r="D2356" s="43">
        <v>1103045</v>
      </c>
      <c r="E2356" t="s">
        <v>323</v>
      </c>
      <c r="F2356" s="47" t="str">
        <f>+Centro_Cuenta8[[#This Row],[Codigo Centro Gestion]]&amp;" - "&amp;Centro_Cuenta8[[#This Row],[Nombre Centro Gestion]]</f>
        <v>10352204 - Miraflores Lote 1 Edificio 1-Proyecto</v>
      </c>
      <c r="G2356" s="47" t="str">
        <f>+Centro_Cuenta8[[#This Row],[Código Cuenta Contable]]&amp;" - "&amp;Centro_Cuenta8[[#This Row],[Nombre de Cuenta Contable]]</f>
        <v>1103045 - Aportes reembolsables (electricidad y agua)</v>
      </c>
      <c r="H2356" s="146" t="str">
        <f>+VLOOKUP(D2356,'3. Cuentas'!A:F,6,0)</f>
        <v>SI</v>
      </c>
    </row>
    <row r="2357" spans="1:8" x14ac:dyDescent="0.25">
      <c r="A2357" s="43">
        <v>10352204</v>
      </c>
      <c r="B2357" t="s">
        <v>1407</v>
      </c>
      <c r="C2357" s="43" t="s">
        <v>1624</v>
      </c>
      <c r="D2357" s="43">
        <v>1109020</v>
      </c>
      <c r="E2357" t="s">
        <v>302</v>
      </c>
      <c r="F2357" s="47" t="str">
        <f>+Centro_Cuenta8[[#This Row],[Codigo Centro Gestion]]&amp;" - "&amp;Centro_Cuenta8[[#This Row],[Nombre Centro Gestion]]</f>
        <v>10352204 - Miraflores Lote 1 Edificio 1-Proyecto</v>
      </c>
      <c r="G2357" s="47" t="str">
        <f>+Centro_Cuenta8[[#This Row],[Código Cuenta Contable]]&amp;" - "&amp;Centro_Cuenta8[[#This Row],[Nombre de Cuenta Contable]]</f>
        <v>1109020 - Mobiliario</v>
      </c>
      <c r="H2357" s="146" t="str">
        <f>+VLOOKUP(D2357,'3. Cuentas'!A:F,6,0)</f>
        <v>SI</v>
      </c>
    </row>
    <row r="2358" spans="1:8" x14ac:dyDescent="0.25">
      <c r="A2358" s="43">
        <v>10352204</v>
      </c>
      <c r="B2358" t="s">
        <v>1407</v>
      </c>
      <c r="C2358" s="43" t="s">
        <v>1624</v>
      </c>
      <c r="D2358" s="43">
        <v>1110040</v>
      </c>
      <c r="E2358" t="s">
        <v>1505</v>
      </c>
      <c r="F2358" s="47" t="str">
        <f>+Centro_Cuenta8[[#This Row],[Codigo Centro Gestion]]&amp;" - "&amp;Centro_Cuenta8[[#This Row],[Nombre Centro Gestion]]</f>
        <v>10352204 - Miraflores Lote 1 Edificio 1-Proyecto</v>
      </c>
      <c r="G2358" s="47" t="str">
        <f>+Centro_Cuenta8[[#This Row],[Código Cuenta Contable]]&amp;" - "&amp;Centro_Cuenta8[[#This Row],[Nombre de Cuenta Contable]]</f>
        <v>1110040 - Garantía Pagadas</v>
      </c>
      <c r="H2358" s="146" t="str">
        <f>+VLOOKUP(D2358,'3. Cuentas'!A:F,6,0)</f>
        <v>SI</v>
      </c>
    </row>
    <row r="2359" spans="1:8" x14ac:dyDescent="0.25">
      <c r="A2359" s="43">
        <v>10352204</v>
      </c>
      <c r="B2359" t="s">
        <v>1407</v>
      </c>
      <c r="C2359" s="43" t="s">
        <v>1624</v>
      </c>
      <c r="D2359" s="43">
        <v>1115040</v>
      </c>
      <c r="E2359" t="s">
        <v>291</v>
      </c>
      <c r="F2359" s="47" t="str">
        <f>+Centro_Cuenta8[[#This Row],[Codigo Centro Gestion]]&amp;" - "&amp;Centro_Cuenta8[[#This Row],[Nombre Centro Gestion]]</f>
        <v>10352204 - Miraflores Lote 1 Edificio 1-Proyecto</v>
      </c>
      <c r="G2359" s="47" t="str">
        <f>+Centro_Cuenta8[[#This Row],[Código Cuenta Contable]]&amp;" - "&amp;Centro_Cuenta8[[#This Row],[Nombre de Cuenta Contable]]</f>
        <v>1115040 - Saneamiento De Terreno</v>
      </c>
      <c r="H2359" s="146" t="str">
        <f>+VLOOKUP(D2359,'3. Cuentas'!A:F,6,0)</f>
        <v>SI</v>
      </c>
    </row>
    <row r="2360" spans="1:8" x14ac:dyDescent="0.25">
      <c r="A2360" s="43">
        <v>10352204</v>
      </c>
      <c r="B2360" t="s">
        <v>1407</v>
      </c>
      <c r="C2360" s="43" t="s">
        <v>1624</v>
      </c>
      <c r="D2360" s="43">
        <v>1115050</v>
      </c>
      <c r="E2360" t="s">
        <v>1628</v>
      </c>
      <c r="F2360" s="47" t="str">
        <f>+Centro_Cuenta8[[#This Row],[Codigo Centro Gestion]]&amp;" - "&amp;Centro_Cuenta8[[#This Row],[Nombre Centro Gestion]]</f>
        <v>10352204 - Miraflores Lote 1 Edificio 1-Proyecto</v>
      </c>
      <c r="G2360" s="47" t="str">
        <f>+Centro_Cuenta8[[#This Row],[Código Cuenta Contable]]&amp;" - "&amp;Centro_Cuenta8[[#This Row],[Nombre de Cuenta Contable]]</f>
        <v>1115050 - Demolición</v>
      </c>
      <c r="H2360" s="146" t="str">
        <f>+VLOOKUP(D2360,'3. Cuentas'!A:F,6,0)</f>
        <v>SI</v>
      </c>
    </row>
    <row r="2361" spans="1:8" x14ac:dyDescent="0.25">
      <c r="A2361" s="43">
        <v>10352204</v>
      </c>
      <c r="B2361" t="s">
        <v>1407</v>
      </c>
      <c r="C2361" s="43" t="s">
        <v>1624</v>
      </c>
      <c r="D2361" s="43">
        <v>1115100</v>
      </c>
      <c r="E2361" t="s">
        <v>292</v>
      </c>
      <c r="F2361" s="47" t="str">
        <f>+Centro_Cuenta8[[#This Row],[Codigo Centro Gestion]]&amp;" - "&amp;Centro_Cuenta8[[#This Row],[Nombre Centro Gestion]]</f>
        <v>10352204 - Miraflores Lote 1 Edificio 1-Proyecto</v>
      </c>
      <c r="G2361" s="47" t="str">
        <f>+Centro_Cuenta8[[#This Row],[Código Cuenta Contable]]&amp;" - "&amp;Centro_Cuenta8[[#This Row],[Nombre de Cuenta Contable]]</f>
        <v>1115100 - Proyectos Y Especialidades</v>
      </c>
      <c r="H2361" s="146" t="str">
        <f>+VLOOKUP(D2361,'3. Cuentas'!A:F,6,0)</f>
        <v>SI</v>
      </c>
    </row>
    <row r="2362" spans="1:8" x14ac:dyDescent="0.25">
      <c r="A2362" s="43">
        <v>10352204</v>
      </c>
      <c r="B2362" t="s">
        <v>1407</v>
      </c>
      <c r="C2362" s="43" t="s">
        <v>1624</v>
      </c>
      <c r="D2362" s="43">
        <v>1115120</v>
      </c>
      <c r="E2362" t="s">
        <v>1633</v>
      </c>
      <c r="F2362" s="47" t="str">
        <f>+Centro_Cuenta8[[#This Row],[Codigo Centro Gestion]]&amp;" - "&amp;Centro_Cuenta8[[#This Row],[Nombre Centro Gestion]]</f>
        <v>10352204 - Miraflores Lote 1 Edificio 1-Proyecto</v>
      </c>
      <c r="G2362" s="47" t="str">
        <f>+Centro_Cuenta8[[#This Row],[Código Cuenta Contable]]&amp;" - "&amp;Centro_Cuenta8[[#This Row],[Nombre de Cuenta Contable]]</f>
        <v>1115120 - Instalación Empalmes</v>
      </c>
      <c r="H2362" s="146" t="str">
        <f>+VLOOKUP(D2362,'3. Cuentas'!A:F,6,0)</f>
        <v>SI</v>
      </c>
    </row>
    <row r="2363" spans="1:8" x14ac:dyDescent="0.25">
      <c r="A2363" s="43">
        <v>10352204</v>
      </c>
      <c r="B2363" t="s">
        <v>1407</v>
      </c>
      <c r="C2363" s="43" t="s">
        <v>1624</v>
      </c>
      <c r="D2363" s="43">
        <v>1115170</v>
      </c>
      <c r="E2363" t="s">
        <v>293</v>
      </c>
      <c r="F2363" s="47" t="str">
        <f>+Centro_Cuenta8[[#This Row],[Codigo Centro Gestion]]&amp;" - "&amp;Centro_Cuenta8[[#This Row],[Nombre Centro Gestion]]</f>
        <v>10352204 - Miraflores Lote 1 Edificio 1-Proyecto</v>
      </c>
      <c r="G2363" s="47" t="str">
        <f>+Centro_Cuenta8[[#This Row],[Código Cuenta Contable]]&amp;" - "&amp;Centro_Cuenta8[[#This Row],[Nombre de Cuenta Contable]]</f>
        <v>1115170 - Permisos Y Otros Gastos Municipales</v>
      </c>
      <c r="H2363" s="146" t="str">
        <f>+VLOOKUP(D2363,'3. Cuentas'!A:F,6,0)</f>
        <v>SI</v>
      </c>
    </row>
    <row r="2364" spans="1:8" x14ac:dyDescent="0.25">
      <c r="A2364" s="43">
        <v>10352204</v>
      </c>
      <c r="B2364" t="s">
        <v>1407</v>
      </c>
      <c r="C2364" s="43" t="s">
        <v>1624</v>
      </c>
      <c r="D2364" s="43">
        <v>1115240</v>
      </c>
      <c r="E2364" t="s">
        <v>294</v>
      </c>
      <c r="F2364" s="47" t="str">
        <f>+Centro_Cuenta8[[#This Row],[Codigo Centro Gestion]]&amp;" - "&amp;Centro_Cuenta8[[#This Row],[Nombre Centro Gestion]]</f>
        <v>10352204 - Miraflores Lote 1 Edificio 1-Proyecto</v>
      </c>
      <c r="G2364" s="47" t="str">
        <f>+Centro_Cuenta8[[#This Row],[Código Cuenta Contable]]&amp;" - "&amp;Centro_Cuenta8[[#This Row],[Nombre de Cuenta Contable]]</f>
        <v>1115240 - Estudios Y Asesorias Técnicas</v>
      </c>
      <c r="H2364" s="146" t="str">
        <f>+VLOOKUP(D2364,'3. Cuentas'!A:F,6,0)</f>
        <v>SI</v>
      </c>
    </row>
    <row r="2365" spans="1:8" x14ac:dyDescent="0.25">
      <c r="A2365" s="43">
        <v>10352204</v>
      </c>
      <c r="B2365" t="s">
        <v>1407</v>
      </c>
      <c r="C2365" s="43" t="s">
        <v>1624</v>
      </c>
      <c r="D2365" s="43">
        <v>4203090</v>
      </c>
      <c r="E2365" t="s">
        <v>192</v>
      </c>
      <c r="F2365" s="47" t="str">
        <f>+Centro_Cuenta8[[#This Row],[Codigo Centro Gestion]]&amp;" - "&amp;Centro_Cuenta8[[#This Row],[Nombre Centro Gestion]]</f>
        <v>10352204 - Miraflores Lote 1 Edificio 1-Proyecto</v>
      </c>
      <c r="G2365" s="47" t="str">
        <f>+Centro_Cuenta8[[#This Row],[Código Cuenta Contable]]&amp;" - "&amp;Centro_Cuenta8[[#This Row],[Nombre de Cuenta Contable]]</f>
        <v>4203090 - Gastos Legales Y Notariales Proyecto</v>
      </c>
      <c r="H2365" s="146" t="str">
        <f>+VLOOKUP(D2365,'3. Cuentas'!A:F,6,0)</f>
        <v>SI</v>
      </c>
    </row>
    <row r="2366" spans="1:8" x14ac:dyDescent="0.25">
      <c r="A2366" s="43">
        <v>10352204</v>
      </c>
      <c r="B2366" t="s">
        <v>1407</v>
      </c>
      <c r="C2366" s="43" t="s">
        <v>1624</v>
      </c>
      <c r="D2366" s="43">
        <v>4203140</v>
      </c>
      <c r="E2366" t="s">
        <v>109</v>
      </c>
      <c r="F2366" s="47" t="str">
        <f>+Centro_Cuenta8[[#This Row],[Codigo Centro Gestion]]&amp;" - "&amp;Centro_Cuenta8[[#This Row],[Nombre Centro Gestion]]</f>
        <v>10352204 - Miraflores Lote 1 Edificio 1-Proyecto</v>
      </c>
      <c r="G2366" s="47" t="str">
        <f>+Centro_Cuenta8[[#This Row],[Código Cuenta Contable]]&amp;" - "&amp;Centro_Cuenta8[[#This Row],[Nombre de Cuenta Contable]]</f>
        <v>4203140 - Contribuciones</v>
      </c>
      <c r="H2366" s="146" t="str">
        <f>+VLOOKUP(D2366,'3. Cuentas'!A:F,6,0)</f>
        <v>SI</v>
      </c>
    </row>
    <row r="2367" spans="1:8" x14ac:dyDescent="0.25">
      <c r="A2367" s="43">
        <v>10352204</v>
      </c>
      <c r="B2367" t="s">
        <v>1407</v>
      </c>
      <c r="C2367" s="43" t="s">
        <v>1624</v>
      </c>
      <c r="D2367" s="43">
        <v>4203150</v>
      </c>
      <c r="E2367" t="s">
        <v>156</v>
      </c>
      <c r="F2367" s="47" t="str">
        <f>+Centro_Cuenta8[[#This Row],[Codigo Centro Gestion]]&amp;" - "&amp;Centro_Cuenta8[[#This Row],[Nombre Centro Gestion]]</f>
        <v>10352204 - Miraflores Lote 1 Edificio 1-Proyecto</v>
      </c>
      <c r="G2367" s="47" t="str">
        <f>+Centro_Cuenta8[[#This Row],[Código Cuenta Contable]]&amp;" - "&amp;Centro_Cuenta8[[#This Row],[Nombre de Cuenta Contable]]</f>
        <v>4203150 - Gastos CBR</v>
      </c>
      <c r="H2367" s="146" t="str">
        <f>+VLOOKUP(D2367,'3. Cuentas'!A:F,6,0)</f>
        <v>SI</v>
      </c>
    </row>
    <row r="2368" spans="1:8" x14ac:dyDescent="0.25">
      <c r="A2368" s="43">
        <v>10352204</v>
      </c>
      <c r="B2368" t="s">
        <v>1407</v>
      </c>
      <c r="C2368" s="43" t="s">
        <v>1624</v>
      </c>
      <c r="D2368" s="43">
        <v>4203160</v>
      </c>
      <c r="E2368" t="s">
        <v>1639</v>
      </c>
      <c r="F2368" s="47" t="str">
        <f>+Centro_Cuenta8[[#This Row],[Codigo Centro Gestion]]&amp;" - "&amp;Centro_Cuenta8[[#This Row],[Nombre Centro Gestion]]</f>
        <v>10352204 - Miraflores Lote 1 Edificio 1-Proyecto</v>
      </c>
      <c r="G2368" s="47" t="str">
        <f>+Centro_Cuenta8[[#This Row],[Código Cuenta Contable]]&amp;" - "&amp;Centro_Cuenta8[[#This Row],[Nombre de Cuenta Contable]]</f>
        <v>4203160 - PAPELERIA Y FOTOCOPIADO</v>
      </c>
      <c r="H2368" s="146" t="str">
        <f>+VLOOKUP(D2368,'3. Cuentas'!A:F,6,0)</f>
        <v>SI</v>
      </c>
    </row>
    <row r="2369" spans="1:8" x14ac:dyDescent="0.25">
      <c r="A2369" s="43">
        <v>10352204</v>
      </c>
      <c r="B2369" t="s">
        <v>1407</v>
      </c>
      <c r="C2369" s="43" t="s">
        <v>1624</v>
      </c>
      <c r="D2369" s="43">
        <v>4203180</v>
      </c>
      <c r="E2369" t="s">
        <v>1640</v>
      </c>
      <c r="F2369" s="47" t="str">
        <f>+Centro_Cuenta8[[#This Row],[Codigo Centro Gestion]]&amp;" - "&amp;Centro_Cuenta8[[#This Row],[Nombre Centro Gestion]]</f>
        <v>10352204 - Miraflores Lote 1 Edificio 1-Proyecto</v>
      </c>
      <c r="G2369" s="47" t="str">
        <f>+Centro_Cuenta8[[#This Row],[Código Cuenta Contable]]&amp;" - "&amp;Centro_Cuenta8[[#This Row],[Nombre de Cuenta Contable]]</f>
        <v>4203180 - Otros Gastos y Aseso Proy</v>
      </c>
      <c r="H2369" s="146" t="str">
        <f>+VLOOKUP(D2369,'3. Cuentas'!A:F,6,0)</f>
        <v>SI</v>
      </c>
    </row>
    <row r="2370" spans="1:8" x14ac:dyDescent="0.25">
      <c r="A2370" s="43">
        <v>10352301</v>
      </c>
      <c r="B2370" t="s">
        <v>1408</v>
      </c>
      <c r="C2370" s="43" t="s">
        <v>1643</v>
      </c>
      <c r="D2370" s="43">
        <v>4203090</v>
      </c>
      <c r="E2370" t="s">
        <v>192</v>
      </c>
      <c r="F2370" s="47" t="str">
        <f>+Centro_Cuenta8[[#This Row],[Codigo Centro Gestion]]&amp;" - "&amp;Centro_Cuenta8[[#This Row],[Nombre Centro Gestion]]</f>
        <v>10352301 - Miraflores Lote 1 Edificio 1-GAF</v>
      </c>
      <c r="G2370" s="47" t="str">
        <f>+Centro_Cuenta8[[#This Row],[Código Cuenta Contable]]&amp;" - "&amp;Centro_Cuenta8[[#This Row],[Nombre de Cuenta Contable]]</f>
        <v>4203090 - Gastos Legales Y Notariales Proyecto</v>
      </c>
      <c r="H2370" s="146" t="str">
        <f>+VLOOKUP(D2370,'3. Cuentas'!A:F,6,0)</f>
        <v>SI</v>
      </c>
    </row>
    <row r="2371" spans="1:8" x14ac:dyDescent="0.25">
      <c r="A2371" s="43">
        <v>10352301</v>
      </c>
      <c r="B2371" t="s">
        <v>1408</v>
      </c>
      <c r="C2371" s="43" t="s">
        <v>1643</v>
      </c>
      <c r="D2371" s="43">
        <v>4203140</v>
      </c>
      <c r="E2371" t="s">
        <v>109</v>
      </c>
      <c r="F2371" s="47" t="str">
        <f>+Centro_Cuenta8[[#This Row],[Codigo Centro Gestion]]&amp;" - "&amp;Centro_Cuenta8[[#This Row],[Nombre Centro Gestion]]</f>
        <v>10352301 - Miraflores Lote 1 Edificio 1-GAF</v>
      </c>
      <c r="G2371" s="47" t="str">
        <f>+Centro_Cuenta8[[#This Row],[Código Cuenta Contable]]&amp;" - "&amp;Centro_Cuenta8[[#This Row],[Nombre de Cuenta Contable]]</f>
        <v>4203140 - Contribuciones</v>
      </c>
      <c r="H2371" s="146" t="str">
        <f>+VLOOKUP(D2371,'3. Cuentas'!A:F,6,0)</f>
        <v>SI</v>
      </c>
    </row>
    <row r="2372" spans="1:8" x14ac:dyDescent="0.25">
      <c r="A2372" s="43">
        <v>10352506</v>
      </c>
      <c r="B2372" t="s">
        <v>1410</v>
      </c>
      <c r="C2372" s="43" t="s">
        <v>200</v>
      </c>
      <c r="D2372" s="43">
        <v>1115100</v>
      </c>
      <c r="E2372" t="s">
        <v>292</v>
      </c>
      <c r="F2372" s="47" t="str">
        <f>+Centro_Cuenta8[[#This Row],[Codigo Centro Gestion]]&amp;" - "&amp;Centro_Cuenta8[[#This Row],[Nombre Centro Gestion]]</f>
        <v>10352506 - Miraflores Lote 1 Edificio 1-Depto.Técnico</v>
      </c>
      <c r="G2372" s="47" t="str">
        <f>+Centro_Cuenta8[[#This Row],[Código Cuenta Contable]]&amp;" - "&amp;Centro_Cuenta8[[#This Row],[Nombre de Cuenta Contable]]</f>
        <v>1115100 - Proyectos Y Especialidades</v>
      </c>
      <c r="H2372" s="146" t="str">
        <f>+VLOOKUP(D2372,'3. Cuentas'!A:F,6,0)</f>
        <v>SI</v>
      </c>
    </row>
    <row r="2373" spans="1:8" x14ac:dyDescent="0.25">
      <c r="A2373" s="43">
        <v>10353102</v>
      </c>
      <c r="B2373" t="s">
        <v>1411</v>
      </c>
      <c r="C2373" s="43" t="s">
        <v>1617</v>
      </c>
      <c r="D2373" s="43">
        <v>4204010</v>
      </c>
      <c r="E2373" t="s">
        <v>313</v>
      </c>
      <c r="F2373" s="47" t="str">
        <f>+Centro_Cuenta8[[#This Row],[Codigo Centro Gestion]]&amp;" - "&amp;Centro_Cuenta8[[#This Row],[Nombre Centro Gestion]]</f>
        <v>10353102 - Edificio Alvarez Oriente-Marketing</v>
      </c>
      <c r="G2373" s="47" t="str">
        <f>+Centro_Cuenta8[[#This Row],[Código Cuenta Contable]]&amp;" - "&amp;Centro_Cuenta8[[#This Row],[Nombre de Cuenta Contable]]</f>
        <v>4204010 - Publicidad Punto Venta</v>
      </c>
      <c r="H2373" s="146" t="str">
        <f>+VLOOKUP(D2373,'3. Cuentas'!A:F,6,0)</f>
        <v>SI</v>
      </c>
    </row>
    <row r="2374" spans="1:8" x14ac:dyDescent="0.25">
      <c r="A2374" s="43">
        <v>10353102</v>
      </c>
      <c r="B2374" t="s">
        <v>1411</v>
      </c>
      <c r="C2374" s="43" t="s">
        <v>1617</v>
      </c>
      <c r="D2374" s="43">
        <v>4204021</v>
      </c>
      <c r="E2374" t="s">
        <v>329</v>
      </c>
      <c r="F2374" s="47" t="str">
        <f>+Centro_Cuenta8[[#This Row],[Codigo Centro Gestion]]&amp;" - "&amp;Centro_Cuenta8[[#This Row],[Nombre Centro Gestion]]</f>
        <v>10353102 - Edificio Alvarez Oriente-Marketing</v>
      </c>
      <c r="G2374" s="47" t="str">
        <f>+Centro_Cuenta8[[#This Row],[Código Cuenta Contable]]&amp;" - "&amp;Centro_Cuenta8[[#This Row],[Nombre de Cuenta Contable]]</f>
        <v>4204021 - Publicidad Ferias Y Eventos</v>
      </c>
      <c r="H2374" s="146" t="str">
        <f>+VLOOKUP(D2374,'3. Cuentas'!A:F,6,0)</f>
        <v>SI</v>
      </c>
    </row>
    <row r="2375" spans="1:8" x14ac:dyDescent="0.25">
      <c r="A2375" s="43">
        <v>10353103</v>
      </c>
      <c r="B2375" t="s">
        <v>1412</v>
      </c>
      <c r="C2375" s="43" t="s">
        <v>1618</v>
      </c>
      <c r="D2375" s="43">
        <v>4203060</v>
      </c>
      <c r="E2375" t="s">
        <v>321</v>
      </c>
      <c r="F2375" s="47" t="str">
        <f>+Centro_Cuenta8[[#This Row],[Codigo Centro Gestion]]&amp;" - "&amp;Centro_Cuenta8[[#This Row],[Nombre Centro Gestion]]</f>
        <v>10353103 - Edificio Alvarez Oriente-Operaciones</v>
      </c>
      <c r="G2375" s="47" t="str">
        <f>+Centro_Cuenta8[[#This Row],[Código Cuenta Contable]]&amp;" - "&amp;Centro_Cuenta8[[#This Row],[Nombre de Cuenta Contable]]</f>
        <v>4203060 - Gastos Operacionales De Clientes</v>
      </c>
      <c r="H2375" s="146" t="str">
        <f>+VLOOKUP(D2375,'3. Cuentas'!A:F,6,0)</f>
        <v>SI</v>
      </c>
    </row>
    <row r="2376" spans="1:8" x14ac:dyDescent="0.25">
      <c r="A2376" s="43">
        <v>10353103</v>
      </c>
      <c r="B2376" t="s">
        <v>1412</v>
      </c>
      <c r="C2376" s="43" t="s">
        <v>1618</v>
      </c>
      <c r="D2376" s="43">
        <v>4203090</v>
      </c>
      <c r="E2376" t="s">
        <v>192</v>
      </c>
      <c r="F2376" s="47" t="str">
        <f>+Centro_Cuenta8[[#This Row],[Codigo Centro Gestion]]&amp;" - "&amp;Centro_Cuenta8[[#This Row],[Nombre Centro Gestion]]</f>
        <v>10353103 - Edificio Alvarez Oriente-Operaciones</v>
      </c>
      <c r="G2376" s="47" t="str">
        <f>+Centro_Cuenta8[[#This Row],[Código Cuenta Contable]]&amp;" - "&amp;Centro_Cuenta8[[#This Row],[Nombre de Cuenta Contable]]</f>
        <v>4203090 - Gastos Legales Y Notariales Proyecto</v>
      </c>
      <c r="H2376" s="146" t="str">
        <f>+VLOOKUP(D2376,'3. Cuentas'!A:F,6,0)</f>
        <v>SI</v>
      </c>
    </row>
    <row r="2377" spans="1:8" x14ac:dyDescent="0.25">
      <c r="A2377" s="43">
        <v>10353104</v>
      </c>
      <c r="B2377" t="s">
        <v>1413</v>
      </c>
      <c r="C2377" s="43" t="s">
        <v>90</v>
      </c>
      <c r="D2377" s="43">
        <v>1110040</v>
      </c>
      <c r="E2377" t="s">
        <v>1505</v>
      </c>
      <c r="F2377" s="47" t="str">
        <f>+Centro_Cuenta8[[#This Row],[Codigo Centro Gestion]]&amp;" - "&amp;Centro_Cuenta8[[#This Row],[Nombre Centro Gestion]]</f>
        <v>10353104 - Edificio Alvarez Oriente-Ventas</v>
      </c>
      <c r="G2377" s="47" t="str">
        <f>+Centro_Cuenta8[[#This Row],[Código Cuenta Contable]]&amp;" - "&amp;Centro_Cuenta8[[#This Row],[Nombre de Cuenta Contable]]</f>
        <v>1110040 - Garantía Pagadas</v>
      </c>
      <c r="H2377" s="146" t="str">
        <f>+VLOOKUP(D2377,'3. Cuentas'!A:F,6,0)</f>
        <v>SI</v>
      </c>
    </row>
    <row r="2378" spans="1:8" x14ac:dyDescent="0.25">
      <c r="A2378" s="43">
        <v>10353104</v>
      </c>
      <c r="B2378" t="s">
        <v>1413</v>
      </c>
      <c r="C2378" s="43" t="s">
        <v>90</v>
      </c>
      <c r="D2378" s="43">
        <v>4202003</v>
      </c>
      <c r="E2378" t="s">
        <v>106</v>
      </c>
      <c r="F2378" s="47" t="str">
        <f>+Centro_Cuenta8[[#This Row],[Codigo Centro Gestion]]&amp;" - "&amp;Centro_Cuenta8[[#This Row],[Nombre Centro Gestion]]</f>
        <v>10353104 - Edificio Alvarez Oriente-Ventas</v>
      </c>
      <c r="G2378" s="47" t="str">
        <f>+Centro_Cuenta8[[#This Row],[Código Cuenta Contable]]&amp;" - "&amp;Centro_Cuenta8[[#This Row],[Nombre de Cuenta Contable]]</f>
        <v>4202003 - Serv.Basic.Luz.Agua.Tel Of.C</v>
      </c>
      <c r="H2378" s="146" t="str">
        <f>+VLOOKUP(D2378,'3. Cuentas'!A:F,6,0)</f>
        <v>SI</v>
      </c>
    </row>
    <row r="2379" spans="1:8" x14ac:dyDescent="0.25">
      <c r="A2379" s="43">
        <v>10353104</v>
      </c>
      <c r="B2379" t="s">
        <v>1413</v>
      </c>
      <c r="C2379" s="43" t="s">
        <v>90</v>
      </c>
      <c r="D2379" s="43">
        <v>4202010</v>
      </c>
      <c r="E2379" t="s">
        <v>87</v>
      </c>
      <c r="F2379" s="47" t="str">
        <f>+Centro_Cuenta8[[#This Row],[Codigo Centro Gestion]]&amp;" - "&amp;Centro_Cuenta8[[#This Row],[Nombre Centro Gestion]]</f>
        <v>10353104 - Edificio Alvarez Oriente-Ventas</v>
      </c>
      <c r="G2379" s="47" t="str">
        <f>+Centro_Cuenta8[[#This Row],[Código Cuenta Contable]]&amp;" - "&amp;Centro_Cuenta8[[#This Row],[Nombre de Cuenta Contable]]</f>
        <v>4202010 - Artic. Ofic. Fotocop.Papelería</v>
      </c>
      <c r="H2379" s="146" t="str">
        <f>+VLOOKUP(D2379,'3. Cuentas'!A:F,6,0)</f>
        <v>SI</v>
      </c>
    </row>
    <row r="2380" spans="1:8" x14ac:dyDescent="0.25">
      <c r="A2380" s="43">
        <v>10353104</v>
      </c>
      <c r="B2380" t="s">
        <v>1413</v>
      </c>
      <c r="C2380" s="43" t="s">
        <v>90</v>
      </c>
      <c r="D2380" s="43">
        <v>4202019</v>
      </c>
      <c r="E2380" t="s">
        <v>81</v>
      </c>
      <c r="F2380" s="47" t="str">
        <f>+Centro_Cuenta8[[#This Row],[Codigo Centro Gestion]]&amp;" - "&amp;Centro_Cuenta8[[#This Row],[Nombre Centro Gestion]]</f>
        <v>10353104 - Edificio Alvarez Oriente-Ventas</v>
      </c>
      <c r="G2380" s="47" t="str">
        <f>+Centro_Cuenta8[[#This Row],[Código Cuenta Contable]]&amp;" - "&amp;Centro_Cuenta8[[#This Row],[Nombre de Cuenta Contable]]</f>
        <v>4202019 - Gasto General Oficina</v>
      </c>
      <c r="H2380" s="146" t="str">
        <f>+VLOOKUP(D2380,'3. Cuentas'!A:F,6,0)</f>
        <v>SI</v>
      </c>
    </row>
    <row r="2381" spans="1:8" x14ac:dyDescent="0.25">
      <c r="A2381" s="43">
        <v>10353104</v>
      </c>
      <c r="B2381" t="s">
        <v>1413</v>
      </c>
      <c r="C2381" s="43" t="s">
        <v>90</v>
      </c>
      <c r="D2381" s="43">
        <v>4202023</v>
      </c>
      <c r="E2381" t="s">
        <v>82</v>
      </c>
      <c r="F2381" s="47" t="str">
        <f>+Centro_Cuenta8[[#This Row],[Codigo Centro Gestion]]&amp;" - "&amp;Centro_Cuenta8[[#This Row],[Nombre Centro Gestion]]</f>
        <v>10353104 - Edificio Alvarez Oriente-Ventas</v>
      </c>
      <c r="G2381" s="47" t="str">
        <f>+Centro_Cuenta8[[#This Row],[Código Cuenta Contable]]&amp;" - "&amp;Centro_Cuenta8[[#This Row],[Nombre de Cuenta Contable]]</f>
        <v>4202023 - Honorarios Por Asesorías</v>
      </c>
      <c r="H2381" s="146" t="str">
        <f>+VLOOKUP(D2381,'3. Cuentas'!A:F,6,0)</f>
        <v>SI</v>
      </c>
    </row>
    <row r="2382" spans="1:8" x14ac:dyDescent="0.25">
      <c r="A2382" s="43">
        <v>10353104</v>
      </c>
      <c r="B2382" t="s">
        <v>1413</v>
      </c>
      <c r="C2382" s="43" t="s">
        <v>90</v>
      </c>
      <c r="D2382" s="43">
        <v>4202029</v>
      </c>
      <c r="E2382" t="s">
        <v>83</v>
      </c>
      <c r="F2382" s="47" t="str">
        <f>+Centro_Cuenta8[[#This Row],[Codigo Centro Gestion]]&amp;" - "&amp;Centro_Cuenta8[[#This Row],[Nombre Centro Gestion]]</f>
        <v>10353104 - Edificio Alvarez Oriente-Ventas</v>
      </c>
      <c r="G2382" s="47" t="str">
        <f>+Centro_Cuenta8[[#This Row],[Código Cuenta Contable]]&amp;" - "&amp;Centro_Cuenta8[[#This Row],[Nombre de Cuenta Contable]]</f>
        <v>4202029 - Insumos Y Gastos Informáticos</v>
      </c>
      <c r="H2382" s="146" t="str">
        <f>+VLOOKUP(D2382,'3. Cuentas'!A:F,6,0)</f>
        <v>SI</v>
      </c>
    </row>
    <row r="2383" spans="1:8" x14ac:dyDescent="0.25">
      <c r="A2383" s="43">
        <v>10353104</v>
      </c>
      <c r="B2383" t="s">
        <v>1413</v>
      </c>
      <c r="C2383" s="43" t="s">
        <v>90</v>
      </c>
      <c r="D2383" s="43">
        <v>4204021</v>
      </c>
      <c r="E2383" t="s">
        <v>329</v>
      </c>
      <c r="F2383" s="47" t="str">
        <f>+Centro_Cuenta8[[#This Row],[Codigo Centro Gestion]]&amp;" - "&amp;Centro_Cuenta8[[#This Row],[Nombre Centro Gestion]]</f>
        <v>10353104 - Edificio Alvarez Oriente-Ventas</v>
      </c>
      <c r="G2383" s="47" t="str">
        <f>+Centro_Cuenta8[[#This Row],[Código Cuenta Contable]]&amp;" - "&amp;Centro_Cuenta8[[#This Row],[Nombre de Cuenta Contable]]</f>
        <v>4204021 - Publicidad Ferias Y Eventos</v>
      </c>
      <c r="H2383" s="146" t="str">
        <f>+VLOOKUP(D2383,'3. Cuentas'!A:F,6,0)</f>
        <v>SI</v>
      </c>
    </row>
    <row r="2384" spans="1:8" x14ac:dyDescent="0.25">
      <c r="A2384" s="43">
        <v>10353105</v>
      </c>
      <c r="B2384" t="s">
        <v>1414</v>
      </c>
      <c r="C2384" s="43" t="s">
        <v>1622</v>
      </c>
      <c r="D2384" s="43">
        <v>4203020</v>
      </c>
      <c r="E2384" t="s">
        <v>295</v>
      </c>
      <c r="F2384" s="47" t="str">
        <f>+Centro_Cuenta8[[#This Row],[Codigo Centro Gestion]]&amp;" - "&amp;Centro_Cuenta8[[#This Row],[Nombre Centro Gestion]]</f>
        <v>10353105 - Edificio Alvarez Oriente-Clientes</v>
      </c>
      <c r="G2384" s="47" t="str">
        <f>+Centro_Cuenta8[[#This Row],[Código Cuenta Contable]]&amp;" - "&amp;Centro_Cuenta8[[#This Row],[Nombre de Cuenta Contable]]</f>
        <v>4203020 - Mant. y Consum. Viv Stock</v>
      </c>
      <c r="H2384" s="146" t="str">
        <f>+VLOOKUP(D2384,'3. Cuentas'!A:F,6,0)</f>
        <v>SI</v>
      </c>
    </row>
    <row r="2385" spans="1:8" x14ac:dyDescent="0.25">
      <c r="A2385" s="43">
        <v>10353105</v>
      </c>
      <c r="B2385" t="s">
        <v>1414</v>
      </c>
      <c r="C2385" s="43" t="s">
        <v>1622</v>
      </c>
      <c r="D2385" s="43">
        <v>4203120</v>
      </c>
      <c r="E2385" t="s">
        <v>108</v>
      </c>
      <c r="F2385" s="47" t="str">
        <f>+Centro_Cuenta8[[#This Row],[Codigo Centro Gestion]]&amp;" - "&amp;Centro_Cuenta8[[#This Row],[Nombre Centro Gestion]]</f>
        <v>10353105 - Edificio Alvarez Oriente-Clientes</v>
      </c>
      <c r="G2385" s="47" t="str">
        <f>+Centro_Cuenta8[[#This Row],[Código Cuenta Contable]]&amp;" - "&amp;Centro_Cuenta8[[#This Row],[Nombre de Cuenta Contable]]</f>
        <v>4203120 - Gastos Comunes</v>
      </c>
      <c r="H2385" s="146" t="str">
        <f>+VLOOKUP(D2385,'3. Cuentas'!A:F,6,0)</f>
        <v>SI</v>
      </c>
    </row>
    <row r="2386" spans="1:8" x14ac:dyDescent="0.25">
      <c r="A2386" s="43">
        <v>10353105</v>
      </c>
      <c r="B2386" t="s">
        <v>1414</v>
      </c>
      <c r="C2386" s="43" t="s">
        <v>1622</v>
      </c>
      <c r="D2386" s="43">
        <v>4203140</v>
      </c>
      <c r="E2386" t="s">
        <v>109</v>
      </c>
      <c r="F2386" s="47" t="str">
        <f>+Centro_Cuenta8[[#This Row],[Codigo Centro Gestion]]&amp;" - "&amp;Centro_Cuenta8[[#This Row],[Nombre Centro Gestion]]</f>
        <v>10353105 - Edificio Alvarez Oriente-Clientes</v>
      </c>
      <c r="G2386" s="47" t="str">
        <f>+Centro_Cuenta8[[#This Row],[Código Cuenta Contable]]&amp;" - "&amp;Centro_Cuenta8[[#This Row],[Nombre de Cuenta Contable]]</f>
        <v>4203140 - Contribuciones</v>
      </c>
      <c r="H2386" s="146" t="str">
        <f>+VLOOKUP(D2386,'3. Cuentas'!A:F,6,0)</f>
        <v>SI</v>
      </c>
    </row>
    <row r="2387" spans="1:8" x14ac:dyDescent="0.25">
      <c r="A2387" s="43">
        <v>10353204</v>
      </c>
      <c r="B2387" t="s">
        <v>1415</v>
      </c>
      <c r="C2387" s="43" t="s">
        <v>1624</v>
      </c>
      <c r="D2387" s="43">
        <v>1103045</v>
      </c>
      <c r="E2387" t="s">
        <v>323</v>
      </c>
      <c r="F2387" s="47" t="str">
        <f>+Centro_Cuenta8[[#This Row],[Codigo Centro Gestion]]&amp;" - "&amp;Centro_Cuenta8[[#This Row],[Nombre Centro Gestion]]</f>
        <v>10353204 - Edificio Alvarez Oriente-Proyecto</v>
      </c>
      <c r="G2387" s="47" t="str">
        <f>+Centro_Cuenta8[[#This Row],[Código Cuenta Contable]]&amp;" - "&amp;Centro_Cuenta8[[#This Row],[Nombre de Cuenta Contable]]</f>
        <v>1103045 - Aportes reembolsables (electricidad y agua)</v>
      </c>
      <c r="H2387" s="146" t="str">
        <f>+VLOOKUP(D2387,'3. Cuentas'!A:F,6,0)</f>
        <v>SI</v>
      </c>
    </row>
    <row r="2388" spans="1:8" x14ac:dyDescent="0.25">
      <c r="A2388" s="43">
        <v>10353204</v>
      </c>
      <c r="B2388" t="s">
        <v>1415</v>
      </c>
      <c r="C2388" s="43" t="s">
        <v>1624</v>
      </c>
      <c r="D2388" s="43">
        <v>1109020</v>
      </c>
      <c r="E2388" t="s">
        <v>302</v>
      </c>
      <c r="F2388" s="47" t="str">
        <f>+Centro_Cuenta8[[#This Row],[Codigo Centro Gestion]]&amp;" - "&amp;Centro_Cuenta8[[#This Row],[Nombre Centro Gestion]]</f>
        <v>10353204 - Edificio Alvarez Oriente-Proyecto</v>
      </c>
      <c r="G2388" s="47" t="str">
        <f>+Centro_Cuenta8[[#This Row],[Código Cuenta Contable]]&amp;" - "&amp;Centro_Cuenta8[[#This Row],[Nombre de Cuenta Contable]]</f>
        <v>1109020 - Mobiliario</v>
      </c>
      <c r="H2388" s="146" t="str">
        <f>+VLOOKUP(D2388,'3. Cuentas'!A:F,6,0)</f>
        <v>SI</v>
      </c>
    </row>
    <row r="2389" spans="1:8" x14ac:dyDescent="0.25">
      <c r="A2389" s="43">
        <v>10353204</v>
      </c>
      <c r="B2389" t="s">
        <v>1415</v>
      </c>
      <c r="C2389" s="43" t="s">
        <v>1624</v>
      </c>
      <c r="D2389" s="43">
        <v>1110040</v>
      </c>
      <c r="E2389" t="s">
        <v>1505</v>
      </c>
      <c r="F2389" s="47" t="str">
        <f>+Centro_Cuenta8[[#This Row],[Codigo Centro Gestion]]&amp;" - "&amp;Centro_Cuenta8[[#This Row],[Nombre Centro Gestion]]</f>
        <v>10353204 - Edificio Alvarez Oriente-Proyecto</v>
      </c>
      <c r="G2389" s="47" t="str">
        <f>+Centro_Cuenta8[[#This Row],[Código Cuenta Contable]]&amp;" - "&amp;Centro_Cuenta8[[#This Row],[Nombre de Cuenta Contable]]</f>
        <v>1110040 - Garantía Pagadas</v>
      </c>
      <c r="H2389" s="146" t="str">
        <f>+VLOOKUP(D2389,'3. Cuentas'!A:F,6,0)</f>
        <v>SI</v>
      </c>
    </row>
    <row r="2390" spans="1:8" x14ac:dyDescent="0.25">
      <c r="A2390" s="43">
        <v>10353204</v>
      </c>
      <c r="B2390" t="s">
        <v>1415</v>
      </c>
      <c r="C2390" s="43" t="s">
        <v>1624</v>
      </c>
      <c r="D2390" s="43">
        <v>1115040</v>
      </c>
      <c r="E2390" t="s">
        <v>291</v>
      </c>
      <c r="F2390" s="47" t="str">
        <f>+Centro_Cuenta8[[#This Row],[Codigo Centro Gestion]]&amp;" - "&amp;Centro_Cuenta8[[#This Row],[Nombre Centro Gestion]]</f>
        <v>10353204 - Edificio Alvarez Oriente-Proyecto</v>
      </c>
      <c r="G2390" s="47" t="str">
        <f>+Centro_Cuenta8[[#This Row],[Código Cuenta Contable]]&amp;" - "&amp;Centro_Cuenta8[[#This Row],[Nombre de Cuenta Contable]]</f>
        <v>1115040 - Saneamiento De Terreno</v>
      </c>
      <c r="H2390" s="146" t="str">
        <f>+VLOOKUP(D2390,'3. Cuentas'!A:F,6,0)</f>
        <v>SI</v>
      </c>
    </row>
    <row r="2391" spans="1:8" x14ac:dyDescent="0.25">
      <c r="A2391" s="43">
        <v>10353204</v>
      </c>
      <c r="B2391" t="s">
        <v>1415</v>
      </c>
      <c r="C2391" s="43" t="s">
        <v>1624</v>
      </c>
      <c r="D2391" s="43">
        <v>1115050</v>
      </c>
      <c r="E2391" t="s">
        <v>1628</v>
      </c>
      <c r="F2391" s="47" t="str">
        <f>+Centro_Cuenta8[[#This Row],[Codigo Centro Gestion]]&amp;" - "&amp;Centro_Cuenta8[[#This Row],[Nombre Centro Gestion]]</f>
        <v>10353204 - Edificio Alvarez Oriente-Proyecto</v>
      </c>
      <c r="G2391" s="47" t="str">
        <f>+Centro_Cuenta8[[#This Row],[Código Cuenta Contable]]&amp;" - "&amp;Centro_Cuenta8[[#This Row],[Nombre de Cuenta Contable]]</f>
        <v>1115050 - Demolición</v>
      </c>
      <c r="H2391" s="146" t="str">
        <f>+VLOOKUP(D2391,'3. Cuentas'!A:F,6,0)</f>
        <v>SI</v>
      </c>
    </row>
    <row r="2392" spans="1:8" x14ac:dyDescent="0.25">
      <c r="A2392" s="43">
        <v>10353204</v>
      </c>
      <c r="B2392" t="s">
        <v>1415</v>
      </c>
      <c r="C2392" s="43" t="s">
        <v>1624</v>
      </c>
      <c r="D2392" s="43">
        <v>1115100</v>
      </c>
      <c r="E2392" t="s">
        <v>292</v>
      </c>
      <c r="F2392" s="47" t="str">
        <f>+Centro_Cuenta8[[#This Row],[Codigo Centro Gestion]]&amp;" - "&amp;Centro_Cuenta8[[#This Row],[Nombre Centro Gestion]]</f>
        <v>10353204 - Edificio Alvarez Oriente-Proyecto</v>
      </c>
      <c r="G2392" s="47" t="str">
        <f>+Centro_Cuenta8[[#This Row],[Código Cuenta Contable]]&amp;" - "&amp;Centro_Cuenta8[[#This Row],[Nombre de Cuenta Contable]]</f>
        <v>1115100 - Proyectos Y Especialidades</v>
      </c>
      <c r="H2392" s="146" t="str">
        <f>+VLOOKUP(D2392,'3. Cuentas'!A:F,6,0)</f>
        <v>SI</v>
      </c>
    </row>
    <row r="2393" spans="1:8" x14ac:dyDescent="0.25">
      <c r="A2393" s="43">
        <v>10353204</v>
      </c>
      <c r="B2393" t="s">
        <v>1415</v>
      </c>
      <c r="C2393" s="43" t="s">
        <v>1624</v>
      </c>
      <c r="D2393" s="43">
        <v>1115120</v>
      </c>
      <c r="E2393" t="s">
        <v>1633</v>
      </c>
      <c r="F2393" s="47" t="str">
        <f>+Centro_Cuenta8[[#This Row],[Codigo Centro Gestion]]&amp;" - "&amp;Centro_Cuenta8[[#This Row],[Nombre Centro Gestion]]</f>
        <v>10353204 - Edificio Alvarez Oriente-Proyecto</v>
      </c>
      <c r="G2393" s="47" t="str">
        <f>+Centro_Cuenta8[[#This Row],[Código Cuenta Contable]]&amp;" - "&amp;Centro_Cuenta8[[#This Row],[Nombre de Cuenta Contable]]</f>
        <v>1115120 - Instalación Empalmes</v>
      </c>
      <c r="H2393" s="146" t="str">
        <f>+VLOOKUP(D2393,'3. Cuentas'!A:F,6,0)</f>
        <v>SI</v>
      </c>
    </row>
    <row r="2394" spans="1:8" x14ac:dyDescent="0.25">
      <c r="A2394" s="43">
        <v>10353204</v>
      </c>
      <c r="B2394" t="s">
        <v>1415</v>
      </c>
      <c r="C2394" s="43" t="s">
        <v>1624</v>
      </c>
      <c r="D2394" s="43">
        <v>1115170</v>
      </c>
      <c r="E2394" t="s">
        <v>293</v>
      </c>
      <c r="F2394" s="47" t="str">
        <f>+Centro_Cuenta8[[#This Row],[Codigo Centro Gestion]]&amp;" - "&amp;Centro_Cuenta8[[#This Row],[Nombre Centro Gestion]]</f>
        <v>10353204 - Edificio Alvarez Oriente-Proyecto</v>
      </c>
      <c r="G2394" s="47" t="str">
        <f>+Centro_Cuenta8[[#This Row],[Código Cuenta Contable]]&amp;" - "&amp;Centro_Cuenta8[[#This Row],[Nombre de Cuenta Contable]]</f>
        <v>1115170 - Permisos Y Otros Gastos Municipales</v>
      </c>
      <c r="H2394" s="146" t="str">
        <f>+VLOOKUP(D2394,'3. Cuentas'!A:F,6,0)</f>
        <v>SI</v>
      </c>
    </row>
    <row r="2395" spans="1:8" x14ac:dyDescent="0.25">
      <c r="A2395" s="43">
        <v>10353204</v>
      </c>
      <c r="B2395" t="s">
        <v>1415</v>
      </c>
      <c r="C2395" s="43" t="s">
        <v>1624</v>
      </c>
      <c r="D2395" s="43">
        <v>1115240</v>
      </c>
      <c r="E2395" t="s">
        <v>294</v>
      </c>
      <c r="F2395" s="47" t="str">
        <f>+Centro_Cuenta8[[#This Row],[Codigo Centro Gestion]]&amp;" - "&amp;Centro_Cuenta8[[#This Row],[Nombre Centro Gestion]]</f>
        <v>10353204 - Edificio Alvarez Oriente-Proyecto</v>
      </c>
      <c r="G2395" s="47" t="str">
        <f>+Centro_Cuenta8[[#This Row],[Código Cuenta Contable]]&amp;" - "&amp;Centro_Cuenta8[[#This Row],[Nombre de Cuenta Contable]]</f>
        <v>1115240 - Estudios Y Asesorias Técnicas</v>
      </c>
      <c r="H2395" s="146" t="str">
        <f>+VLOOKUP(D2395,'3. Cuentas'!A:F,6,0)</f>
        <v>SI</v>
      </c>
    </row>
    <row r="2396" spans="1:8" x14ac:dyDescent="0.25">
      <c r="A2396" s="43">
        <v>10353204</v>
      </c>
      <c r="B2396" t="s">
        <v>1415</v>
      </c>
      <c r="C2396" s="43" t="s">
        <v>1624</v>
      </c>
      <c r="D2396" s="43">
        <v>4203090</v>
      </c>
      <c r="E2396" t="s">
        <v>192</v>
      </c>
      <c r="F2396" s="47" t="str">
        <f>+Centro_Cuenta8[[#This Row],[Codigo Centro Gestion]]&amp;" - "&amp;Centro_Cuenta8[[#This Row],[Nombre Centro Gestion]]</f>
        <v>10353204 - Edificio Alvarez Oriente-Proyecto</v>
      </c>
      <c r="G2396" s="47" t="str">
        <f>+Centro_Cuenta8[[#This Row],[Código Cuenta Contable]]&amp;" - "&amp;Centro_Cuenta8[[#This Row],[Nombre de Cuenta Contable]]</f>
        <v>4203090 - Gastos Legales Y Notariales Proyecto</v>
      </c>
      <c r="H2396" s="146" t="str">
        <f>+VLOOKUP(D2396,'3. Cuentas'!A:F,6,0)</f>
        <v>SI</v>
      </c>
    </row>
    <row r="2397" spans="1:8" x14ac:dyDescent="0.25">
      <c r="A2397" s="43">
        <v>10353204</v>
      </c>
      <c r="B2397" t="s">
        <v>1415</v>
      </c>
      <c r="C2397" s="43" t="s">
        <v>1624</v>
      </c>
      <c r="D2397" s="43">
        <v>4203140</v>
      </c>
      <c r="E2397" t="s">
        <v>109</v>
      </c>
      <c r="F2397" s="47" t="str">
        <f>+Centro_Cuenta8[[#This Row],[Codigo Centro Gestion]]&amp;" - "&amp;Centro_Cuenta8[[#This Row],[Nombre Centro Gestion]]</f>
        <v>10353204 - Edificio Alvarez Oriente-Proyecto</v>
      </c>
      <c r="G2397" s="47" t="str">
        <f>+Centro_Cuenta8[[#This Row],[Código Cuenta Contable]]&amp;" - "&amp;Centro_Cuenta8[[#This Row],[Nombre de Cuenta Contable]]</f>
        <v>4203140 - Contribuciones</v>
      </c>
      <c r="H2397" s="146" t="str">
        <f>+VLOOKUP(D2397,'3. Cuentas'!A:F,6,0)</f>
        <v>SI</v>
      </c>
    </row>
    <row r="2398" spans="1:8" x14ac:dyDescent="0.25">
      <c r="A2398" s="43">
        <v>10353204</v>
      </c>
      <c r="B2398" t="s">
        <v>1415</v>
      </c>
      <c r="C2398" s="43" t="s">
        <v>1624</v>
      </c>
      <c r="D2398" s="43">
        <v>4203150</v>
      </c>
      <c r="E2398" t="s">
        <v>156</v>
      </c>
      <c r="F2398" s="47" t="str">
        <f>+Centro_Cuenta8[[#This Row],[Codigo Centro Gestion]]&amp;" - "&amp;Centro_Cuenta8[[#This Row],[Nombre Centro Gestion]]</f>
        <v>10353204 - Edificio Alvarez Oriente-Proyecto</v>
      </c>
      <c r="G2398" s="47" t="str">
        <f>+Centro_Cuenta8[[#This Row],[Código Cuenta Contable]]&amp;" - "&amp;Centro_Cuenta8[[#This Row],[Nombre de Cuenta Contable]]</f>
        <v>4203150 - Gastos CBR</v>
      </c>
      <c r="H2398" s="146" t="str">
        <f>+VLOOKUP(D2398,'3. Cuentas'!A:F,6,0)</f>
        <v>SI</v>
      </c>
    </row>
    <row r="2399" spans="1:8" x14ac:dyDescent="0.25">
      <c r="A2399" s="43">
        <v>10353204</v>
      </c>
      <c r="B2399" t="s">
        <v>1415</v>
      </c>
      <c r="C2399" s="43" t="s">
        <v>1624</v>
      </c>
      <c r="D2399" s="43">
        <v>4203160</v>
      </c>
      <c r="E2399" t="s">
        <v>1639</v>
      </c>
      <c r="F2399" s="47" t="str">
        <f>+Centro_Cuenta8[[#This Row],[Codigo Centro Gestion]]&amp;" - "&amp;Centro_Cuenta8[[#This Row],[Nombre Centro Gestion]]</f>
        <v>10353204 - Edificio Alvarez Oriente-Proyecto</v>
      </c>
      <c r="G2399" s="47" t="str">
        <f>+Centro_Cuenta8[[#This Row],[Código Cuenta Contable]]&amp;" - "&amp;Centro_Cuenta8[[#This Row],[Nombre de Cuenta Contable]]</f>
        <v>4203160 - PAPELERIA Y FOTOCOPIADO</v>
      </c>
      <c r="H2399" s="146" t="str">
        <f>+VLOOKUP(D2399,'3. Cuentas'!A:F,6,0)</f>
        <v>SI</v>
      </c>
    </row>
    <row r="2400" spans="1:8" x14ac:dyDescent="0.25">
      <c r="A2400" s="43">
        <v>10353204</v>
      </c>
      <c r="B2400" t="s">
        <v>1415</v>
      </c>
      <c r="C2400" s="43" t="s">
        <v>1624</v>
      </c>
      <c r="D2400" s="43">
        <v>4203180</v>
      </c>
      <c r="E2400" t="s">
        <v>1640</v>
      </c>
      <c r="F2400" s="47" t="str">
        <f>+Centro_Cuenta8[[#This Row],[Codigo Centro Gestion]]&amp;" - "&amp;Centro_Cuenta8[[#This Row],[Nombre Centro Gestion]]</f>
        <v>10353204 - Edificio Alvarez Oriente-Proyecto</v>
      </c>
      <c r="G2400" s="47" t="str">
        <f>+Centro_Cuenta8[[#This Row],[Código Cuenta Contable]]&amp;" - "&amp;Centro_Cuenta8[[#This Row],[Nombre de Cuenta Contable]]</f>
        <v>4203180 - Otros Gastos y Aseso Proy</v>
      </c>
      <c r="H2400" s="146" t="str">
        <f>+VLOOKUP(D2400,'3. Cuentas'!A:F,6,0)</f>
        <v>SI</v>
      </c>
    </row>
    <row r="2401" spans="1:8" x14ac:dyDescent="0.25">
      <c r="A2401" s="43">
        <v>10353301</v>
      </c>
      <c r="B2401" t="s">
        <v>1416</v>
      </c>
      <c r="C2401" s="43" t="s">
        <v>1643</v>
      </c>
      <c r="D2401" s="43">
        <v>4203090</v>
      </c>
      <c r="E2401" t="s">
        <v>192</v>
      </c>
      <c r="F2401" s="47" t="str">
        <f>+Centro_Cuenta8[[#This Row],[Codigo Centro Gestion]]&amp;" - "&amp;Centro_Cuenta8[[#This Row],[Nombre Centro Gestion]]</f>
        <v>10353301 - Edificio Alvarez Oriente-GAF</v>
      </c>
      <c r="G2401" s="47" t="str">
        <f>+Centro_Cuenta8[[#This Row],[Código Cuenta Contable]]&amp;" - "&amp;Centro_Cuenta8[[#This Row],[Nombre de Cuenta Contable]]</f>
        <v>4203090 - Gastos Legales Y Notariales Proyecto</v>
      </c>
      <c r="H2401" s="146" t="str">
        <f>+VLOOKUP(D2401,'3. Cuentas'!A:F,6,0)</f>
        <v>SI</v>
      </c>
    </row>
    <row r="2402" spans="1:8" x14ac:dyDescent="0.25">
      <c r="A2402" s="43">
        <v>10353301</v>
      </c>
      <c r="B2402" t="s">
        <v>1416</v>
      </c>
      <c r="C2402" s="43" t="s">
        <v>1643</v>
      </c>
      <c r="D2402" s="43">
        <v>4203140</v>
      </c>
      <c r="E2402" t="s">
        <v>109</v>
      </c>
      <c r="F2402" s="47" t="str">
        <f>+Centro_Cuenta8[[#This Row],[Codigo Centro Gestion]]&amp;" - "&amp;Centro_Cuenta8[[#This Row],[Nombre Centro Gestion]]</f>
        <v>10353301 - Edificio Alvarez Oriente-GAF</v>
      </c>
      <c r="G2402" s="47" t="str">
        <f>+Centro_Cuenta8[[#This Row],[Código Cuenta Contable]]&amp;" - "&amp;Centro_Cuenta8[[#This Row],[Nombre de Cuenta Contable]]</f>
        <v>4203140 - Contribuciones</v>
      </c>
      <c r="H2402" s="146" t="str">
        <f>+VLOOKUP(D2402,'3. Cuentas'!A:F,6,0)</f>
        <v>SI</v>
      </c>
    </row>
    <row r="2403" spans="1:8" x14ac:dyDescent="0.25">
      <c r="A2403" s="43">
        <v>10353506</v>
      </c>
      <c r="B2403" t="s">
        <v>1418</v>
      </c>
      <c r="C2403" s="43" t="s">
        <v>200</v>
      </c>
      <c r="D2403" s="43">
        <v>1115100</v>
      </c>
      <c r="E2403" t="s">
        <v>292</v>
      </c>
      <c r="F2403" s="47" t="str">
        <f>+Centro_Cuenta8[[#This Row],[Codigo Centro Gestion]]&amp;" - "&amp;Centro_Cuenta8[[#This Row],[Nombre Centro Gestion]]</f>
        <v>10353506 - Edificio Alvarez Oriente-Depto.Técnico</v>
      </c>
      <c r="G2403" s="47" t="str">
        <f>+Centro_Cuenta8[[#This Row],[Código Cuenta Contable]]&amp;" - "&amp;Centro_Cuenta8[[#This Row],[Nombre de Cuenta Contable]]</f>
        <v>1115100 - Proyectos Y Especialidades</v>
      </c>
      <c r="H2403" s="146" t="str">
        <f>+VLOOKUP(D2403,'3. Cuentas'!A:F,6,0)</f>
        <v>SI</v>
      </c>
    </row>
    <row r="2404" spans="1:8" x14ac:dyDescent="0.25">
      <c r="A2404" s="43">
        <v>10356102</v>
      </c>
      <c r="B2404" t="s">
        <v>1419</v>
      </c>
      <c r="C2404" s="43" t="s">
        <v>1617</v>
      </c>
      <c r="D2404" s="43">
        <v>4204010</v>
      </c>
      <c r="E2404" t="s">
        <v>313</v>
      </c>
      <c r="F2404" s="47" t="str">
        <f>+Centro_Cuenta8[[#This Row],[Codigo Centro Gestion]]&amp;" - "&amp;Centro_Cuenta8[[#This Row],[Nombre Centro Gestion]]</f>
        <v>10356102 - Miraflores Lote 2-Marketing</v>
      </c>
      <c r="G2404" s="47" t="str">
        <f>+Centro_Cuenta8[[#This Row],[Código Cuenta Contable]]&amp;" - "&amp;Centro_Cuenta8[[#This Row],[Nombre de Cuenta Contable]]</f>
        <v>4204010 - Publicidad Punto Venta</v>
      </c>
      <c r="H2404" s="146" t="str">
        <f>+VLOOKUP(D2404,'3. Cuentas'!A:F,6,0)</f>
        <v>SI</v>
      </c>
    </row>
    <row r="2405" spans="1:8" x14ac:dyDescent="0.25">
      <c r="A2405" s="43">
        <v>10356102</v>
      </c>
      <c r="B2405" t="s">
        <v>1419</v>
      </c>
      <c r="C2405" s="43" t="s">
        <v>1617</v>
      </c>
      <c r="D2405" s="43">
        <v>4204021</v>
      </c>
      <c r="E2405" t="s">
        <v>329</v>
      </c>
      <c r="F2405" s="47" t="str">
        <f>+Centro_Cuenta8[[#This Row],[Codigo Centro Gestion]]&amp;" - "&amp;Centro_Cuenta8[[#This Row],[Nombre Centro Gestion]]</f>
        <v>10356102 - Miraflores Lote 2-Marketing</v>
      </c>
      <c r="G2405" s="47" t="str">
        <f>+Centro_Cuenta8[[#This Row],[Código Cuenta Contable]]&amp;" - "&amp;Centro_Cuenta8[[#This Row],[Nombre de Cuenta Contable]]</f>
        <v>4204021 - Publicidad Ferias Y Eventos</v>
      </c>
      <c r="H2405" s="146" t="str">
        <f>+VLOOKUP(D2405,'3. Cuentas'!A:F,6,0)</f>
        <v>SI</v>
      </c>
    </row>
    <row r="2406" spans="1:8" x14ac:dyDescent="0.25">
      <c r="A2406" s="43">
        <v>10356103</v>
      </c>
      <c r="B2406" t="s">
        <v>1420</v>
      </c>
      <c r="C2406" s="43" t="s">
        <v>1618</v>
      </c>
      <c r="D2406" s="43">
        <v>4203060</v>
      </c>
      <c r="E2406" t="s">
        <v>321</v>
      </c>
      <c r="F2406" s="47" t="str">
        <f>+Centro_Cuenta8[[#This Row],[Codigo Centro Gestion]]&amp;" - "&amp;Centro_Cuenta8[[#This Row],[Nombre Centro Gestion]]</f>
        <v>10356103 - Miraflores Lote 2-Operaciones</v>
      </c>
      <c r="G2406" s="47" t="str">
        <f>+Centro_Cuenta8[[#This Row],[Código Cuenta Contable]]&amp;" - "&amp;Centro_Cuenta8[[#This Row],[Nombre de Cuenta Contable]]</f>
        <v>4203060 - Gastos Operacionales De Clientes</v>
      </c>
      <c r="H2406" s="146" t="str">
        <f>+VLOOKUP(D2406,'3. Cuentas'!A:F,6,0)</f>
        <v>SI</v>
      </c>
    </row>
    <row r="2407" spans="1:8" x14ac:dyDescent="0.25">
      <c r="A2407" s="43">
        <v>10356103</v>
      </c>
      <c r="B2407" t="s">
        <v>1420</v>
      </c>
      <c r="C2407" s="43" t="s">
        <v>1618</v>
      </c>
      <c r="D2407" s="43">
        <v>4203090</v>
      </c>
      <c r="E2407" t="s">
        <v>192</v>
      </c>
      <c r="F2407" s="47" t="str">
        <f>+Centro_Cuenta8[[#This Row],[Codigo Centro Gestion]]&amp;" - "&amp;Centro_Cuenta8[[#This Row],[Nombre Centro Gestion]]</f>
        <v>10356103 - Miraflores Lote 2-Operaciones</v>
      </c>
      <c r="G2407" s="47" t="str">
        <f>+Centro_Cuenta8[[#This Row],[Código Cuenta Contable]]&amp;" - "&amp;Centro_Cuenta8[[#This Row],[Nombre de Cuenta Contable]]</f>
        <v>4203090 - Gastos Legales Y Notariales Proyecto</v>
      </c>
      <c r="H2407" s="146" t="str">
        <f>+VLOOKUP(D2407,'3. Cuentas'!A:F,6,0)</f>
        <v>SI</v>
      </c>
    </row>
    <row r="2408" spans="1:8" x14ac:dyDescent="0.25">
      <c r="A2408" s="43">
        <v>10356104</v>
      </c>
      <c r="B2408" t="s">
        <v>1421</v>
      </c>
      <c r="C2408" s="43" t="s">
        <v>90</v>
      </c>
      <c r="D2408" s="43">
        <v>1110040</v>
      </c>
      <c r="E2408" t="s">
        <v>1505</v>
      </c>
      <c r="F2408" s="47" t="str">
        <f>+Centro_Cuenta8[[#This Row],[Codigo Centro Gestion]]&amp;" - "&amp;Centro_Cuenta8[[#This Row],[Nombre Centro Gestion]]</f>
        <v>10356104 - Miraflores Lote 2-Ventas</v>
      </c>
      <c r="G2408" s="47" t="str">
        <f>+Centro_Cuenta8[[#This Row],[Código Cuenta Contable]]&amp;" - "&amp;Centro_Cuenta8[[#This Row],[Nombre de Cuenta Contable]]</f>
        <v>1110040 - Garantía Pagadas</v>
      </c>
      <c r="H2408" s="146" t="str">
        <f>+VLOOKUP(D2408,'3. Cuentas'!A:F,6,0)</f>
        <v>SI</v>
      </c>
    </row>
    <row r="2409" spans="1:8" x14ac:dyDescent="0.25">
      <c r="A2409" s="43">
        <v>10356104</v>
      </c>
      <c r="B2409" t="s">
        <v>1421</v>
      </c>
      <c r="C2409" s="43" t="s">
        <v>90</v>
      </c>
      <c r="D2409" s="43">
        <v>4202003</v>
      </c>
      <c r="E2409" t="s">
        <v>106</v>
      </c>
      <c r="F2409" s="47" t="str">
        <f>+Centro_Cuenta8[[#This Row],[Codigo Centro Gestion]]&amp;" - "&amp;Centro_Cuenta8[[#This Row],[Nombre Centro Gestion]]</f>
        <v>10356104 - Miraflores Lote 2-Ventas</v>
      </c>
      <c r="G2409" s="47" t="str">
        <f>+Centro_Cuenta8[[#This Row],[Código Cuenta Contable]]&amp;" - "&amp;Centro_Cuenta8[[#This Row],[Nombre de Cuenta Contable]]</f>
        <v>4202003 - Serv.Basic.Luz.Agua.Tel Of.C</v>
      </c>
      <c r="H2409" s="146" t="str">
        <f>+VLOOKUP(D2409,'3. Cuentas'!A:F,6,0)</f>
        <v>SI</v>
      </c>
    </row>
    <row r="2410" spans="1:8" x14ac:dyDescent="0.25">
      <c r="A2410" s="43">
        <v>10356104</v>
      </c>
      <c r="B2410" t="s">
        <v>1421</v>
      </c>
      <c r="C2410" s="43" t="s">
        <v>90</v>
      </c>
      <c r="D2410" s="43">
        <v>4202010</v>
      </c>
      <c r="E2410" t="s">
        <v>87</v>
      </c>
      <c r="F2410" s="47" t="str">
        <f>+Centro_Cuenta8[[#This Row],[Codigo Centro Gestion]]&amp;" - "&amp;Centro_Cuenta8[[#This Row],[Nombre Centro Gestion]]</f>
        <v>10356104 - Miraflores Lote 2-Ventas</v>
      </c>
      <c r="G2410" s="47" t="str">
        <f>+Centro_Cuenta8[[#This Row],[Código Cuenta Contable]]&amp;" - "&amp;Centro_Cuenta8[[#This Row],[Nombre de Cuenta Contable]]</f>
        <v>4202010 - Artic. Ofic. Fotocop.Papelería</v>
      </c>
      <c r="H2410" s="146" t="str">
        <f>+VLOOKUP(D2410,'3. Cuentas'!A:F,6,0)</f>
        <v>SI</v>
      </c>
    </row>
    <row r="2411" spans="1:8" x14ac:dyDescent="0.25">
      <c r="A2411" s="43">
        <v>10356104</v>
      </c>
      <c r="B2411" t="s">
        <v>1421</v>
      </c>
      <c r="C2411" s="43" t="s">
        <v>90</v>
      </c>
      <c r="D2411" s="43">
        <v>4202019</v>
      </c>
      <c r="E2411" t="s">
        <v>81</v>
      </c>
      <c r="F2411" s="47" t="str">
        <f>+Centro_Cuenta8[[#This Row],[Codigo Centro Gestion]]&amp;" - "&amp;Centro_Cuenta8[[#This Row],[Nombre Centro Gestion]]</f>
        <v>10356104 - Miraflores Lote 2-Ventas</v>
      </c>
      <c r="G2411" s="47" t="str">
        <f>+Centro_Cuenta8[[#This Row],[Código Cuenta Contable]]&amp;" - "&amp;Centro_Cuenta8[[#This Row],[Nombre de Cuenta Contable]]</f>
        <v>4202019 - Gasto General Oficina</v>
      </c>
      <c r="H2411" s="146" t="str">
        <f>+VLOOKUP(D2411,'3. Cuentas'!A:F,6,0)</f>
        <v>SI</v>
      </c>
    </row>
    <row r="2412" spans="1:8" x14ac:dyDescent="0.25">
      <c r="A2412" s="43">
        <v>10356104</v>
      </c>
      <c r="B2412" t="s">
        <v>1421</v>
      </c>
      <c r="C2412" s="43" t="s">
        <v>90</v>
      </c>
      <c r="D2412" s="43">
        <v>4202023</v>
      </c>
      <c r="E2412" t="s">
        <v>82</v>
      </c>
      <c r="F2412" s="47" t="str">
        <f>+Centro_Cuenta8[[#This Row],[Codigo Centro Gestion]]&amp;" - "&amp;Centro_Cuenta8[[#This Row],[Nombre Centro Gestion]]</f>
        <v>10356104 - Miraflores Lote 2-Ventas</v>
      </c>
      <c r="G2412" s="47" t="str">
        <f>+Centro_Cuenta8[[#This Row],[Código Cuenta Contable]]&amp;" - "&amp;Centro_Cuenta8[[#This Row],[Nombre de Cuenta Contable]]</f>
        <v>4202023 - Honorarios Por Asesorías</v>
      </c>
      <c r="H2412" s="146" t="str">
        <f>+VLOOKUP(D2412,'3. Cuentas'!A:F,6,0)</f>
        <v>SI</v>
      </c>
    </row>
    <row r="2413" spans="1:8" x14ac:dyDescent="0.25">
      <c r="A2413" s="43">
        <v>10356104</v>
      </c>
      <c r="B2413" t="s">
        <v>1421</v>
      </c>
      <c r="C2413" s="43" t="s">
        <v>90</v>
      </c>
      <c r="D2413" s="43">
        <v>4202029</v>
      </c>
      <c r="E2413" t="s">
        <v>83</v>
      </c>
      <c r="F2413" s="47" t="str">
        <f>+Centro_Cuenta8[[#This Row],[Codigo Centro Gestion]]&amp;" - "&amp;Centro_Cuenta8[[#This Row],[Nombre Centro Gestion]]</f>
        <v>10356104 - Miraflores Lote 2-Ventas</v>
      </c>
      <c r="G2413" s="47" t="str">
        <f>+Centro_Cuenta8[[#This Row],[Código Cuenta Contable]]&amp;" - "&amp;Centro_Cuenta8[[#This Row],[Nombre de Cuenta Contable]]</f>
        <v>4202029 - Insumos Y Gastos Informáticos</v>
      </c>
      <c r="H2413" s="146" t="str">
        <f>+VLOOKUP(D2413,'3. Cuentas'!A:F,6,0)</f>
        <v>SI</v>
      </c>
    </row>
    <row r="2414" spans="1:8" x14ac:dyDescent="0.25">
      <c r="A2414" s="43">
        <v>10356104</v>
      </c>
      <c r="B2414" t="s">
        <v>1421</v>
      </c>
      <c r="C2414" s="43" t="s">
        <v>90</v>
      </c>
      <c r="D2414" s="43">
        <v>4204021</v>
      </c>
      <c r="E2414" t="s">
        <v>329</v>
      </c>
      <c r="F2414" s="47" t="str">
        <f>+Centro_Cuenta8[[#This Row],[Codigo Centro Gestion]]&amp;" - "&amp;Centro_Cuenta8[[#This Row],[Nombre Centro Gestion]]</f>
        <v>10356104 - Miraflores Lote 2-Ventas</v>
      </c>
      <c r="G2414" s="47" t="str">
        <f>+Centro_Cuenta8[[#This Row],[Código Cuenta Contable]]&amp;" - "&amp;Centro_Cuenta8[[#This Row],[Nombre de Cuenta Contable]]</f>
        <v>4204021 - Publicidad Ferias Y Eventos</v>
      </c>
      <c r="H2414" s="146" t="str">
        <f>+VLOOKUP(D2414,'3. Cuentas'!A:F,6,0)</f>
        <v>SI</v>
      </c>
    </row>
    <row r="2415" spans="1:8" x14ac:dyDescent="0.25">
      <c r="A2415" s="43">
        <v>10356105</v>
      </c>
      <c r="B2415" t="s">
        <v>1422</v>
      </c>
      <c r="C2415" s="43" t="s">
        <v>1622</v>
      </c>
      <c r="D2415" s="43">
        <v>4203020</v>
      </c>
      <c r="E2415" t="s">
        <v>295</v>
      </c>
      <c r="F2415" s="47" t="str">
        <f>+Centro_Cuenta8[[#This Row],[Codigo Centro Gestion]]&amp;" - "&amp;Centro_Cuenta8[[#This Row],[Nombre Centro Gestion]]</f>
        <v>10356105 - Miraflores Lote 2-Clientes</v>
      </c>
      <c r="G2415" s="47" t="str">
        <f>+Centro_Cuenta8[[#This Row],[Código Cuenta Contable]]&amp;" - "&amp;Centro_Cuenta8[[#This Row],[Nombre de Cuenta Contable]]</f>
        <v>4203020 - Mant. y Consum. Viv Stock</v>
      </c>
      <c r="H2415" s="146" t="str">
        <f>+VLOOKUP(D2415,'3. Cuentas'!A:F,6,0)</f>
        <v>SI</v>
      </c>
    </row>
    <row r="2416" spans="1:8" x14ac:dyDescent="0.25">
      <c r="A2416" s="43">
        <v>10356105</v>
      </c>
      <c r="B2416" t="s">
        <v>1422</v>
      </c>
      <c r="C2416" s="43" t="s">
        <v>1622</v>
      </c>
      <c r="D2416" s="43">
        <v>4203120</v>
      </c>
      <c r="E2416" t="s">
        <v>108</v>
      </c>
      <c r="F2416" s="47" t="str">
        <f>+Centro_Cuenta8[[#This Row],[Codigo Centro Gestion]]&amp;" - "&amp;Centro_Cuenta8[[#This Row],[Nombre Centro Gestion]]</f>
        <v>10356105 - Miraflores Lote 2-Clientes</v>
      </c>
      <c r="G2416" s="47" t="str">
        <f>+Centro_Cuenta8[[#This Row],[Código Cuenta Contable]]&amp;" - "&amp;Centro_Cuenta8[[#This Row],[Nombre de Cuenta Contable]]</f>
        <v>4203120 - Gastos Comunes</v>
      </c>
      <c r="H2416" s="146" t="str">
        <f>+VLOOKUP(D2416,'3. Cuentas'!A:F,6,0)</f>
        <v>SI</v>
      </c>
    </row>
    <row r="2417" spans="1:8" x14ac:dyDescent="0.25">
      <c r="A2417" s="43">
        <v>10356105</v>
      </c>
      <c r="B2417" t="s">
        <v>1422</v>
      </c>
      <c r="C2417" s="43" t="s">
        <v>1622</v>
      </c>
      <c r="D2417" s="43">
        <v>4203140</v>
      </c>
      <c r="E2417" t="s">
        <v>109</v>
      </c>
      <c r="F2417" s="47" t="str">
        <f>+Centro_Cuenta8[[#This Row],[Codigo Centro Gestion]]&amp;" - "&amp;Centro_Cuenta8[[#This Row],[Nombre Centro Gestion]]</f>
        <v>10356105 - Miraflores Lote 2-Clientes</v>
      </c>
      <c r="G2417" s="47" t="str">
        <f>+Centro_Cuenta8[[#This Row],[Código Cuenta Contable]]&amp;" - "&amp;Centro_Cuenta8[[#This Row],[Nombre de Cuenta Contable]]</f>
        <v>4203140 - Contribuciones</v>
      </c>
      <c r="H2417" s="146" t="str">
        <f>+VLOOKUP(D2417,'3. Cuentas'!A:F,6,0)</f>
        <v>SI</v>
      </c>
    </row>
    <row r="2418" spans="1:8" x14ac:dyDescent="0.25">
      <c r="A2418" s="43">
        <v>10356204</v>
      </c>
      <c r="B2418" t="s">
        <v>1423</v>
      </c>
      <c r="C2418" s="43" t="s">
        <v>1624</v>
      </c>
      <c r="D2418" s="43">
        <v>1103045</v>
      </c>
      <c r="E2418" t="s">
        <v>323</v>
      </c>
      <c r="F2418" s="47" t="str">
        <f>+Centro_Cuenta8[[#This Row],[Codigo Centro Gestion]]&amp;" - "&amp;Centro_Cuenta8[[#This Row],[Nombre Centro Gestion]]</f>
        <v>10356204 - Miraflores Lote 2-Proyecto</v>
      </c>
      <c r="G2418" s="47" t="str">
        <f>+Centro_Cuenta8[[#This Row],[Código Cuenta Contable]]&amp;" - "&amp;Centro_Cuenta8[[#This Row],[Nombre de Cuenta Contable]]</f>
        <v>1103045 - Aportes reembolsables (electricidad y agua)</v>
      </c>
      <c r="H2418" s="146" t="str">
        <f>+VLOOKUP(D2418,'3. Cuentas'!A:F,6,0)</f>
        <v>SI</v>
      </c>
    </row>
    <row r="2419" spans="1:8" x14ac:dyDescent="0.25">
      <c r="A2419" s="43">
        <v>10356204</v>
      </c>
      <c r="B2419" t="s">
        <v>1423</v>
      </c>
      <c r="C2419" s="43" t="s">
        <v>1624</v>
      </c>
      <c r="D2419" s="43">
        <v>1109020</v>
      </c>
      <c r="E2419" t="s">
        <v>302</v>
      </c>
      <c r="F2419" s="47" t="str">
        <f>+Centro_Cuenta8[[#This Row],[Codigo Centro Gestion]]&amp;" - "&amp;Centro_Cuenta8[[#This Row],[Nombre Centro Gestion]]</f>
        <v>10356204 - Miraflores Lote 2-Proyecto</v>
      </c>
      <c r="G2419" s="47" t="str">
        <f>+Centro_Cuenta8[[#This Row],[Código Cuenta Contable]]&amp;" - "&amp;Centro_Cuenta8[[#This Row],[Nombre de Cuenta Contable]]</f>
        <v>1109020 - Mobiliario</v>
      </c>
      <c r="H2419" s="146" t="str">
        <f>+VLOOKUP(D2419,'3. Cuentas'!A:F,6,0)</f>
        <v>SI</v>
      </c>
    </row>
    <row r="2420" spans="1:8" x14ac:dyDescent="0.25">
      <c r="A2420" s="43">
        <v>10356204</v>
      </c>
      <c r="B2420" t="s">
        <v>1423</v>
      </c>
      <c r="C2420" s="43" t="s">
        <v>1624</v>
      </c>
      <c r="D2420" s="43">
        <v>1110040</v>
      </c>
      <c r="E2420" t="s">
        <v>1505</v>
      </c>
      <c r="F2420" s="47" t="str">
        <f>+Centro_Cuenta8[[#This Row],[Codigo Centro Gestion]]&amp;" - "&amp;Centro_Cuenta8[[#This Row],[Nombre Centro Gestion]]</f>
        <v>10356204 - Miraflores Lote 2-Proyecto</v>
      </c>
      <c r="G2420" s="47" t="str">
        <f>+Centro_Cuenta8[[#This Row],[Código Cuenta Contable]]&amp;" - "&amp;Centro_Cuenta8[[#This Row],[Nombre de Cuenta Contable]]</f>
        <v>1110040 - Garantía Pagadas</v>
      </c>
      <c r="H2420" s="146" t="str">
        <f>+VLOOKUP(D2420,'3. Cuentas'!A:F,6,0)</f>
        <v>SI</v>
      </c>
    </row>
    <row r="2421" spans="1:8" x14ac:dyDescent="0.25">
      <c r="A2421" s="43">
        <v>10356204</v>
      </c>
      <c r="B2421" t="s">
        <v>1423</v>
      </c>
      <c r="C2421" s="43" t="s">
        <v>1624</v>
      </c>
      <c r="D2421" s="43">
        <v>1115040</v>
      </c>
      <c r="E2421" t="s">
        <v>291</v>
      </c>
      <c r="F2421" s="47" t="str">
        <f>+Centro_Cuenta8[[#This Row],[Codigo Centro Gestion]]&amp;" - "&amp;Centro_Cuenta8[[#This Row],[Nombre Centro Gestion]]</f>
        <v>10356204 - Miraflores Lote 2-Proyecto</v>
      </c>
      <c r="G2421" s="47" t="str">
        <f>+Centro_Cuenta8[[#This Row],[Código Cuenta Contable]]&amp;" - "&amp;Centro_Cuenta8[[#This Row],[Nombre de Cuenta Contable]]</f>
        <v>1115040 - Saneamiento De Terreno</v>
      </c>
      <c r="H2421" s="146" t="str">
        <f>+VLOOKUP(D2421,'3. Cuentas'!A:F,6,0)</f>
        <v>SI</v>
      </c>
    </row>
    <row r="2422" spans="1:8" x14ac:dyDescent="0.25">
      <c r="A2422" s="43">
        <v>10356204</v>
      </c>
      <c r="B2422" t="s">
        <v>1423</v>
      </c>
      <c r="C2422" s="43" t="s">
        <v>1624</v>
      </c>
      <c r="D2422" s="43">
        <v>1115050</v>
      </c>
      <c r="E2422" t="s">
        <v>1628</v>
      </c>
      <c r="F2422" s="47" t="str">
        <f>+Centro_Cuenta8[[#This Row],[Codigo Centro Gestion]]&amp;" - "&amp;Centro_Cuenta8[[#This Row],[Nombre Centro Gestion]]</f>
        <v>10356204 - Miraflores Lote 2-Proyecto</v>
      </c>
      <c r="G2422" s="47" t="str">
        <f>+Centro_Cuenta8[[#This Row],[Código Cuenta Contable]]&amp;" - "&amp;Centro_Cuenta8[[#This Row],[Nombre de Cuenta Contable]]</f>
        <v>1115050 - Demolición</v>
      </c>
      <c r="H2422" s="146" t="str">
        <f>+VLOOKUP(D2422,'3. Cuentas'!A:F,6,0)</f>
        <v>SI</v>
      </c>
    </row>
    <row r="2423" spans="1:8" x14ac:dyDescent="0.25">
      <c r="A2423" s="43">
        <v>10356204</v>
      </c>
      <c r="B2423" t="s">
        <v>1423</v>
      </c>
      <c r="C2423" s="43" t="s">
        <v>1624</v>
      </c>
      <c r="D2423" s="43">
        <v>1115100</v>
      </c>
      <c r="E2423" t="s">
        <v>292</v>
      </c>
      <c r="F2423" s="47" t="str">
        <f>+Centro_Cuenta8[[#This Row],[Codigo Centro Gestion]]&amp;" - "&amp;Centro_Cuenta8[[#This Row],[Nombre Centro Gestion]]</f>
        <v>10356204 - Miraflores Lote 2-Proyecto</v>
      </c>
      <c r="G2423" s="47" t="str">
        <f>+Centro_Cuenta8[[#This Row],[Código Cuenta Contable]]&amp;" - "&amp;Centro_Cuenta8[[#This Row],[Nombre de Cuenta Contable]]</f>
        <v>1115100 - Proyectos Y Especialidades</v>
      </c>
      <c r="H2423" s="146" t="str">
        <f>+VLOOKUP(D2423,'3. Cuentas'!A:F,6,0)</f>
        <v>SI</v>
      </c>
    </row>
    <row r="2424" spans="1:8" x14ac:dyDescent="0.25">
      <c r="A2424" s="43">
        <v>10356204</v>
      </c>
      <c r="B2424" t="s">
        <v>1423</v>
      </c>
      <c r="C2424" s="43" t="s">
        <v>1624</v>
      </c>
      <c r="D2424" s="43">
        <v>1115120</v>
      </c>
      <c r="E2424" t="s">
        <v>1633</v>
      </c>
      <c r="F2424" s="47" t="str">
        <f>+Centro_Cuenta8[[#This Row],[Codigo Centro Gestion]]&amp;" - "&amp;Centro_Cuenta8[[#This Row],[Nombre Centro Gestion]]</f>
        <v>10356204 - Miraflores Lote 2-Proyecto</v>
      </c>
      <c r="G2424" s="47" t="str">
        <f>+Centro_Cuenta8[[#This Row],[Código Cuenta Contable]]&amp;" - "&amp;Centro_Cuenta8[[#This Row],[Nombre de Cuenta Contable]]</f>
        <v>1115120 - Instalación Empalmes</v>
      </c>
      <c r="H2424" s="146" t="str">
        <f>+VLOOKUP(D2424,'3. Cuentas'!A:F,6,0)</f>
        <v>SI</v>
      </c>
    </row>
    <row r="2425" spans="1:8" x14ac:dyDescent="0.25">
      <c r="A2425" s="43">
        <v>10356204</v>
      </c>
      <c r="B2425" t="s">
        <v>1423</v>
      </c>
      <c r="C2425" s="43" t="s">
        <v>1624</v>
      </c>
      <c r="D2425" s="43">
        <v>1115170</v>
      </c>
      <c r="E2425" t="s">
        <v>293</v>
      </c>
      <c r="F2425" s="47" t="str">
        <f>+Centro_Cuenta8[[#This Row],[Codigo Centro Gestion]]&amp;" - "&amp;Centro_Cuenta8[[#This Row],[Nombre Centro Gestion]]</f>
        <v>10356204 - Miraflores Lote 2-Proyecto</v>
      </c>
      <c r="G2425" s="47" t="str">
        <f>+Centro_Cuenta8[[#This Row],[Código Cuenta Contable]]&amp;" - "&amp;Centro_Cuenta8[[#This Row],[Nombre de Cuenta Contable]]</f>
        <v>1115170 - Permisos Y Otros Gastos Municipales</v>
      </c>
      <c r="H2425" s="146" t="str">
        <f>+VLOOKUP(D2425,'3. Cuentas'!A:F,6,0)</f>
        <v>SI</v>
      </c>
    </row>
    <row r="2426" spans="1:8" x14ac:dyDescent="0.25">
      <c r="A2426" s="43">
        <v>10356204</v>
      </c>
      <c r="B2426" t="s">
        <v>1423</v>
      </c>
      <c r="C2426" s="43" t="s">
        <v>1624</v>
      </c>
      <c r="D2426" s="43">
        <v>1115240</v>
      </c>
      <c r="E2426" t="s">
        <v>294</v>
      </c>
      <c r="F2426" s="47" t="str">
        <f>+Centro_Cuenta8[[#This Row],[Codigo Centro Gestion]]&amp;" - "&amp;Centro_Cuenta8[[#This Row],[Nombre Centro Gestion]]</f>
        <v>10356204 - Miraflores Lote 2-Proyecto</v>
      </c>
      <c r="G2426" s="47" t="str">
        <f>+Centro_Cuenta8[[#This Row],[Código Cuenta Contable]]&amp;" - "&amp;Centro_Cuenta8[[#This Row],[Nombre de Cuenta Contable]]</f>
        <v>1115240 - Estudios Y Asesorias Técnicas</v>
      </c>
      <c r="H2426" s="146" t="str">
        <f>+VLOOKUP(D2426,'3. Cuentas'!A:F,6,0)</f>
        <v>SI</v>
      </c>
    </row>
    <row r="2427" spans="1:8" x14ac:dyDescent="0.25">
      <c r="A2427" s="43">
        <v>10356204</v>
      </c>
      <c r="B2427" t="s">
        <v>1423</v>
      </c>
      <c r="C2427" s="43" t="s">
        <v>1624</v>
      </c>
      <c r="D2427" s="43">
        <v>4203090</v>
      </c>
      <c r="E2427" t="s">
        <v>192</v>
      </c>
      <c r="F2427" s="47" t="str">
        <f>+Centro_Cuenta8[[#This Row],[Codigo Centro Gestion]]&amp;" - "&amp;Centro_Cuenta8[[#This Row],[Nombre Centro Gestion]]</f>
        <v>10356204 - Miraflores Lote 2-Proyecto</v>
      </c>
      <c r="G2427" s="47" t="str">
        <f>+Centro_Cuenta8[[#This Row],[Código Cuenta Contable]]&amp;" - "&amp;Centro_Cuenta8[[#This Row],[Nombre de Cuenta Contable]]</f>
        <v>4203090 - Gastos Legales Y Notariales Proyecto</v>
      </c>
      <c r="H2427" s="146" t="str">
        <f>+VLOOKUP(D2427,'3. Cuentas'!A:F,6,0)</f>
        <v>SI</v>
      </c>
    </row>
    <row r="2428" spans="1:8" x14ac:dyDescent="0.25">
      <c r="A2428" s="43">
        <v>10356204</v>
      </c>
      <c r="B2428" t="s">
        <v>1423</v>
      </c>
      <c r="C2428" s="43" t="s">
        <v>1624</v>
      </c>
      <c r="D2428" s="43">
        <v>4203140</v>
      </c>
      <c r="E2428" t="s">
        <v>109</v>
      </c>
      <c r="F2428" s="47" t="str">
        <f>+Centro_Cuenta8[[#This Row],[Codigo Centro Gestion]]&amp;" - "&amp;Centro_Cuenta8[[#This Row],[Nombre Centro Gestion]]</f>
        <v>10356204 - Miraflores Lote 2-Proyecto</v>
      </c>
      <c r="G2428" s="47" t="str">
        <f>+Centro_Cuenta8[[#This Row],[Código Cuenta Contable]]&amp;" - "&amp;Centro_Cuenta8[[#This Row],[Nombre de Cuenta Contable]]</f>
        <v>4203140 - Contribuciones</v>
      </c>
      <c r="H2428" s="146" t="str">
        <f>+VLOOKUP(D2428,'3. Cuentas'!A:F,6,0)</f>
        <v>SI</v>
      </c>
    </row>
    <row r="2429" spans="1:8" x14ac:dyDescent="0.25">
      <c r="A2429" s="43">
        <v>10356204</v>
      </c>
      <c r="B2429" t="s">
        <v>1423</v>
      </c>
      <c r="C2429" s="43" t="s">
        <v>1624</v>
      </c>
      <c r="D2429" s="43">
        <v>4203150</v>
      </c>
      <c r="E2429" t="s">
        <v>156</v>
      </c>
      <c r="F2429" s="47" t="str">
        <f>+Centro_Cuenta8[[#This Row],[Codigo Centro Gestion]]&amp;" - "&amp;Centro_Cuenta8[[#This Row],[Nombre Centro Gestion]]</f>
        <v>10356204 - Miraflores Lote 2-Proyecto</v>
      </c>
      <c r="G2429" s="47" t="str">
        <f>+Centro_Cuenta8[[#This Row],[Código Cuenta Contable]]&amp;" - "&amp;Centro_Cuenta8[[#This Row],[Nombre de Cuenta Contable]]</f>
        <v>4203150 - Gastos CBR</v>
      </c>
      <c r="H2429" s="146" t="str">
        <f>+VLOOKUP(D2429,'3. Cuentas'!A:F,6,0)</f>
        <v>SI</v>
      </c>
    </row>
    <row r="2430" spans="1:8" x14ac:dyDescent="0.25">
      <c r="A2430" s="43">
        <v>10356204</v>
      </c>
      <c r="B2430" t="s">
        <v>1423</v>
      </c>
      <c r="C2430" s="43" t="s">
        <v>1624</v>
      </c>
      <c r="D2430" s="43">
        <v>4203160</v>
      </c>
      <c r="E2430" t="s">
        <v>1639</v>
      </c>
      <c r="F2430" s="47" t="str">
        <f>+Centro_Cuenta8[[#This Row],[Codigo Centro Gestion]]&amp;" - "&amp;Centro_Cuenta8[[#This Row],[Nombre Centro Gestion]]</f>
        <v>10356204 - Miraflores Lote 2-Proyecto</v>
      </c>
      <c r="G2430" s="47" t="str">
        <f>+Centro_Cuenta8[[#This Row],[Código Cuenta Contable]]&amp;" - "&amp;Centro_Cuenta8[[#This Row],[Nombre de Cuenta Contable]]</f>
        <v>4203160 - PAPELERIA Y FOTOCOPIADO</v>
      </c>
      <c r="H2430" s="146" t="str">
        <f>+VLOOKUP(D2430,'3. Cuentas'!A:F,6,0)</f>
        <v>SI</v>
      </c>
    </row>
    <row r="2431" spans="1:8" x14ac:dyDescent="0.25">
      <c r="A2431" s="43">
        <v>10356204</v>
      </c>
      <c r="B2431" t="s">
        <v>1423</v>
      </c>
      <c r="C2431" s="43" t="s">
        <v>1624</v>
      </c>
      <c r="D2431" s="43">
        <v>4203180</v>
      </c>
      <c r="E2431" t="s">
        <v>1640</v>
      </c>
      <c r="F2431" s="47" t="str">
        <f>+Centro_Cuenta8[[#This Row],[Codigo Centro Gestion]]&amp;" - "&amp;Centro_Cuenta8[[#This Row],[Nombre Centro Gestion]]</f>
        <v>10356204 - Miraflores Lote 2-Proyecto</v>
      </c>
      <c r="G2431" s="47" t="str">
        <f>+Centro_Cuenta8[[#This Row],[Código Cuenta Contable]]&amp;" - "&amp;Centro_Cuenta8[[#This Row],[Nombre de Cuenta Contable]]</f>
        <v>4203180 - Otros Gastos y Aseso Proy</v>
      </c>
      <c r="H2431" s="146" t="str">
        <f>+VLOOKUP(D2431,'3. Cuentas'!A:F,6,0)</f>
        <v>SI</v>
      </c>
    </row>
    <row r="2432" spans="1:8" x14ac:dyDescent="0.25">
      <c r="A2432" s="43">
        <v>10356301</v>
      </c>
      <c r="B2432" t="s">
        <v>1424</v>
      </c>
      <c r="C2432" s="43" t="s">
        <v>1643</v>
      </c>
      <c r="D2432" s="43">
        <v>4203090</v>
      </c>
      <c r="E2432" t="s">
        <v>192</v>
      </c>
      <c r="F2432" s="47" t="str">
        <f>+Centro_Cuenta8[[#This Row],[Codigo Centro Gestion]]&amp;" - "&amp;Centro_Cuenta8[[#This Row],[Nombre Centro Gestion]]</f>
        <v>10356301 - Miraflores Lote 2-GAF</v>
      </c>
      <c r="G2432" s="47" t="str">
        <f>+Centro_Cuenta8[[#This Row],[Código Cuenta Contable]]&amp;" - "&amp;Centro_Cuenta8[[#This Row],[Nombre de Cuenta Contable]]</f>
        <v>4203090 - Gastos Legales Y Notariales Proyecto</v>
      </c>
      <c r="H2432" s="146" t="str">
        <f>+VLOOKUP(D2432,'3. Cuentas'!A:F,6,0)</f>
        <v>SI</v>
      </c>
    </row>
    <row r="2433" spans="1:8" x14ac:dyDescent="0.25">
      <c r="A2433" s="43">
        <v>10356301</v>
      </c>
      <c r="B2433" t="s">
        <v>1424</v>
      </c>
      <c r="C2433" s="43" t="s">
        <v>1643</v>
      </c>
      <c r="D2433" s="43">
        <v>4203140</v>
      </c>
      <c r="E2433" t="s">
        <v>109</v>
      </c>
      <c r="F2433" s="47" t="str">
        <f>+Centro_Cuenta8[[#This Row],[Codigo Centro Gestion]]&amp;" - "&amp;Centro_Cuenta8[[#This Row],[Nombre Centro Gestion]]</f>
        <v>10356301 - Miraflores Lote 2-GAF</v>
      </c>
      <c r="G2433" s="47" t="str">
        <f>+Centro_Cuenta8[[#This Row],[Código Cuenta Contable]]&amp;" - "&amp;Centro_Cuenta8[[#This Row],[Nombre de Cuenta Contable]]</f>
        <v>4203140 - Contribuciones</v>
      </c>
      <c r="H2433" s="146" t="str">
        <f>+VLOOKUP(D2433,'3. Cuentas'!A:F,6,0)</f>
        <v>SI</v>
      </c>
    </row>
    <row r="2434" spans="1:8" x14ac:dyDescent="0.25">
      <c r="A2434" s="43">
        <v>10356506</v>
      </c>
      <c r="B2434" t="s">
        <v>1426</v>
      </c>
      <c r="C2434" s="43" t="s">
        <v>200</v>
      </c>
      <c r="D2434" s="43">
        <v>1115100</v>
      </c>
      <c r="E2434" t="s">
        <v>292</v>
      </c>
      <c r="F2434" s="47" t="str">
        <f>+Centro_Cuenta8[[#This Row],[Codigo Centro Gestion]]&amp;" - "&amp;Centro_Cuenta8[[#This Row],[Nombre Centro Gestion]]</f>
        <v>10356506 - Miraflores Lote 2-Depto.Técnico</v>
      </c>
      <c r="G2434" s="47" t="str">
        <f>+Centro_Cuenta8[[#This Row],[Código Cuenta Contable]]&amp;" - "&amp;Centro_Cuenta8[[#This Row],[Nombre de Cuenta Contable]]</f>
        <v>1115100 - Proyectos Y Especialidades</v>
      </c>
      <c r="H2434" s="146" t="str">
        <f>+VLOOKUP(D2434,'3. Cuentas'!A:F,6,0)</f>
        <v>SI</v>
      </c>
    </row>
    <row r="2435" spans="1:8" x14ac:dyDescent="0.25">
      <c r="A2435" s="43">
        <v>10359102</v>
      </c>
      <c r="B2435" t="s">
        <v>1427</v>
      </c>
      <c r="C2435" s="43" t="s">
        <v>1617</v>
      </c>
      <c r="D2435" s="43">
        <v>4204010</v>
      </c>
      <c r="E2435" t="s">
        <v>313</v>
      </c>
      <c r="F2435" s="47" t="str">
        <f>+Centro_Cuenta8[[#This Row],[Codigo Centro Gestion]]&amp;" - "&amp;Centro_Cuenta8[[#This Row],[Nombre Centro Gestion]]</f>
        <v>10359102 - Edificio Liparita-Marketing</v>
      </c>
      <c r="G2435" s="47" t="str">
        <f>+Centro_Cuenta8[[#This Row],[Código Cuenta Contable]]&amp;" - "&amp;Centro_Cuenta8[[#This Row],[Nombre de Cuenta Contable]]</f>
        <v>4204010 - Publicidad Punto Venta</v>
      </c>
      <c r="H2435" s="146" t="str">
        <f>+VLOOKUP(D2435,'3. Cuentas'!A:F,6,0)</f>
        <v>SI</v>
      </c>
    </row>
    <row r="2436" spans="1:8" x14ac:dyDescent="0.25">
      <c r="A2436" s="43">
        <v>10359102</v>
      </c>
      <c r="B2436" t="s">
        <v>1427</v>
      </c>
      <c r="C2436" s="43" t="s">
        <v>1617</v>
      </c>
      <c r="D2436" s="43">
        <v>4204021</v>
      </c>
      <c r="E2436" t="s">
        <v>329</v>
      </c>
      <c r="F2436" s="47" t="str">
        <f>+Centro_Cuenta8[[#This Row],[Codigo Centro Gestion]]&amp;" - "&amp;Centro_Cuenta8[[#This Row],[Nombre Centro Gestion]]</f>
        <v>10359102 - Edificio Liparita-Marketing</v>
      </c>
      <c r="G2436" s="47" t="str">
        <f>+Centro_Cuenta8[[#This Row],[Código Cuenta Contable]]&amp;" - "&amp;Centro_Cuenta8[[#This Row],[Nombre de Cuenta Contable]]</f>
        <v>4204021 - Publicidad Ferias Y Eventos</v>
      </c>
      <c r="H2436" s="146" t="str">
        <f>+VLOOKUP(D2436,'3. Cuentas'!A:F,6,0)</f>
        <v>SI</v>
      </c>
    </row>
    <row r="2437" spans="1:8" x14ac:dyDescent="0.25">
      <c r="A2437" s="43">
        <v>10359103</v>
      </c>
      <c r="B2437" t="s">
        <v>1428</v>
      </c>
      <c r="C2437" s="43" t="s">
        <v>1618</v>
      </c>
      <c r="D2437" s="43">
        <v>4203060</v>
      </c>
      <c r="E2437" t="s">
        <v>321</v>
      </c>
      <c r="F2437" s="47" t="str">
        <f>+Centro_Cuenta8[[#This Row],[Codigo Centro Gestion]]&amp;" - "&amp;Centro_Cuenta8[[#This Row],[Nombre Centro Gestion]]</f>
        <v>10359103 - Edificio Liparita-Operaciones</v>
      </c>
      <c r="G2437" s="47" t="str">
        <f>+Centro_Cuenta8[[#This Row],[Código Cuenta Contable]]&amp;" - "&amp;Centro_Cuenta8[[#This Row],[Nombre de Cuenta Contable]]</f>
        <v>4203060 - Gastos Operacionales De Clientes</v>
      </c>
      <c r="H2437" s="146" t="str">
        <f>+VLOOKUP(D2437,'3. Cuentas'!A:F,6,0)</f>
        <v>SI</v>
      </c>
    </row>
    <row r="2438" spans="1:8" x14ac:dyDescent="0.25">
      <c r="A2438" s="43">
        <v>10359103</v>
      </c>
      <c r="B2438" t="s">
        <v>1428</v>
      </c>
      <c r="C2438" s="43" t="s">
        <v>1618</v>
      </c>
      <c r="D2438" s="43">
        <v>4203090</v>
      </c>
      <c r="E2438" t="s">
        <v>192</v>
      </c>
      <c r="F2438" s="47" t="str">
        <f>+Centro_Cuenta8[[#This Row],[Codigo Centro Gestion]]&amp;" - "&amp;Centro_Cuenta8[[#This Row],[Nombre Centro Gestion]]</f>
        <v>10359103 - Edificio Liparita-Operaciones</v>
      </c>
      <c r="G2438" s="47" t="str">
        <f>+Centro_Cuenta8[[#This Row],[Código Cuenta Contable]]&amp;" - "&amp;Centro_Cuenta8[[#This Row],[Nombre de Cuenta Contable]]</f>
        <v>4203090 - Gastos Legales Y Notariales Proyecto</v>
      </c>
      <c r="H2438" s="146" t="str">
        <f>+VLOOKUP(D2438,'3. Cuentas'!A:F,6,0)</f>
        <v>SI</v>
      </c>
    </row>
    <row r="2439" spans="1:8" x14ac:dyDescent="0.25">
      <c r="A2439" s="43">
        <v>10359104</v>
      </c>
      <c r="B2439" t="s">
        <v>1429</v>
      </c>
      <c r="C2439" s="43" t="s">
        <v>90</v>
      </c>
      <c r="D2439" s="43">
        <v>1110040</v>
      </c>
      <c r="E2439" t="s">
        <v>1505</v>
      </c>
      <c r="F2439" s="47" t="str">
        <f>+Centro_Cuenta8[[#This Row],[Codigo Centro Gestion]]&amp;" - "&amp;Centro_Cuenta8[[#This Row],[Nombre Centro Gestion]]</f>
        <v>10359104 - Edificio Liparita-Ventas</v>
      </c>
      <c r="G2439" s="47" t="str">
        <f>+Centro_Cuenta8[[#This Row],[Código Cuenta Contable]]&amp;" - "&amp;Centro_Cuenta8[[#This Row],[Nombre de Cuenta Contable]]</f>
        <v>1110040 - Garantía Pagadas</v>
      </c>
      <c r="H2439" s="146" t="str">
        <f>+VLOOKUP(D2439,'3. Cuentas'!A:F,6,0)</f>
        <v>SI</v>
      </c>
    </row>
    <row r="2440" spans="1:8" x14ac:dyDescent="0.25">
      <c r="A2440" s="43">
        <v>10359104</v>
      </c>
      <c r="B2440" t="s">
        <v>1429</v>
      </c>
      <c r="C2440" s="43" t="s">
        <v>90</v>
      </c>
      <c r="D2440" s="43">
        <v>4202003</v>
      </c>
      <c r="E2440" t="s">
        <v>106</v>
      </c>
      <c r="F2440" s="47" t="str">
        <f>+Centro_Cuenta8[[#This Row],[Codigo Centro Gestion]]&amp;" - "&amp;Centro_Cuenta8[[#This Row],[Nombre Centro Gestion]]</f>
        <v>10359104 - Edificio Liparita-Ventas</v>
      </c>
      <c r="G2440" s="47" t="str">
        <f>+Centro_Cuenta8[[#This Row],[Código Cuenta Contable]]&amp;" - "&amp;Centro_Cuenta8[[#This Row],[Nombre de Cuenta Contable]]</f>
        <v>4202003 - Serv.Basic.Luz.Agua.Tel Of.C</v>
      </c>
      <c r="H2440" s="146" t="str">
        <f>+VLOOKUP(D2440,'3. Cuentas'!A:F,6,0)</f>
        <v>SI</v>
      </c>
    </row>
    <row r="2441" spans="1:8" x14ac:dyDescent="0.25">
      <c r="A2441" s="43">
        <v>10359104</v>
      </c>
      <c r="B2441" t="s">
        <v>1429</v>
      </c>
      <c r="C2441" s="43" t="s">
        <v>90</v>
      </c>
      <c r="D2441" s="43">
        <v>4202010</v>
      </c>
      <c r="E2441" t="s">
        <v>87</v>
      </c>
      <c r="F2441" s="47" t="str">
        <f>+Centro_Cuenta8[[#This Row],[Codigo Centro Gestion]]&amp;" - "&amp;Centro_Cuenta8[[#This Row],[Nombre Centro Gestion]]</f>
        <v>10359104 - Edificio Liparita-Ventas</v>
      </c>
      <c r="G2441" s="47" t="str">
        <f>+Centro_Cuenta8[[#This Row],[Código Cuenta Contable]]&amp;" - "&amp;Centro_Cuenta8[[#This Row],[Nombre de Cuenta Contable]]</f>
        <v>4202010 - Artic. Ofic. Fotocop.Papelería</v>
      </c>
      <c r="H2441" s="146" t="str">
        <f>+VLOOKUP(D2441,'3. Cuentas'!A:F,6,0)</f>
        <v>SI</v>
      </c>
    </row>
    <row r="2442" spans="1:8" x14ac:dyDescent="0.25">
      <c r="A2442" s="43">
        <v>10359104</v>
      </c>
      <c r="B2442" t="s">
        <v>1429</v>
      </c>
      <c r="C2442" s="43" t="s">
        <v>90</v>
      </c>
      <c r="D2442" s="43">
        <v>4202019</v>
      </c>
      <c r="E2442" t="s">
        <v>81</v>
      </c>
      <c r="F2442" s="47" t="str">
        <f>+Centro_Cuenta8[[#This Row],[Codigo Centro Gestion]]&amp;" - "&amp;Centro_Cuenta8[[#This Row],[Nombre Centro Gestion]]</f>
        <v>10359104 - Edificio Liparita-Ventas</v>
      </c>
      <c r="G2442" s="47" t="str">
        <f>+Centro_Cuenta8[[#This Row],[Código Cuenta Contable]]&amp;" - "&amp;Centro_Cuenta8[[#This Row],[Nombre de Cuenta Contable]]</f>
        <v>4202019 - Gasto General Oficina</v>
      </c>
      <c r="H2442" s="146" t="str">
        <f>+VLOOKUP(D2442,'3. Cuentas'!A:F,6,0)</f>
        <v>SI</v>
      </c>
    </row>
    <row r="2443" spans="1:8" x14ac:dyDescent="0.25">
      <c r="A2443" s="43">
        <v>10359104</v>
      </c>
      <c r="B2443" t="s">
        <v>1429</v>
      </c>
      <c r="C2443" s="43" t="s">
        <v>90</v>
      </c>
      <c r="D2443" s="43">
        <v>4202023</v>
      </c>
      <c r="E2443" t="s">
        <v>82</v>
      </c>
      <c r="F2443" s="47" t="str">
        <f>+Centro_Cuenta8[[#This Row],[Codigo Centro Gestion]]&amp;" - "&amp;Centro_Cuenta8[[#This Row],[Nombre Centro Gestion]]</f>
        <v>10359104 - Edificio Liparita-Ventas</v>
      </c>
      <c r="G2443" s="47" t="str">
        <f>+Centro_Cuenta8[[#This Row],[Código Cuenta Contable]]&amp;" - "&amp;Centro_Cuenta8[[#This Row],[Nombre de Cuenta Contable]]</f>
        <v>4202023 - Honorarios Por Asesorías</v>
      </c>
      <c r="H2443" s="146" t="str">
        <f>+VLOOKUP(D2443,'3. Cuentas'!A:F,6,0)</f>
        <v>SI</v>
      </c>
    </row>
    <row r="2444" spans="1:8" x14ac:dyDescent="0.25">
      <c r="A2444" s="43">
        <v>10359104</v>
      </c>
      <c r="B2444" t="s">
        <v>1429</v>
      </c>
      <c r="C2444" s="43" t="s">
        <v>90</v>
      </c>
      <c r="D2444" s="43">
        <v>4202029</v>
      </c>
      <c r="E2444" t="s">
        <v>83</v>
      </c>
      <c r="F2444" s="47" t="str">
        <f>+Centro_Cuenta8[[#This Row],[Codigo Centro Gestion]]&amp;" - "&amp;Centro_Cuenta8[[#This Row],[Nombre Centro Gestion]]</f>
        <v>10359104 - Edificio Liparita-Ventas</v>
      </c>
      <c r="G2444" s="47" t="str">
        <f>+Centro_Cuenta8[[#This Row],[Código Cuenta Contable]]&amp;" - "&amp;Centro_Cuenta8[[#This Row],[Nombre de Cuenta Contable]]</f>
        <v>4202029 - Insumos Y Gastos Informáticos</v>
      </c>
      <c r="H2444" s="146" t="str">
        <f>+VLOOKUP(D2444,'3. Cuentas'!A:F,6,0)</f>
        <v>SI</v>
      </c>
    </row>
    <row r="2445" spans="1:8" x14ac:dyDescent="0.25">
      <c r="A2445" s="43">
        <v>10359104</v>
      </c>
      <c r="B2445" t="s">
        <v>1429</v>
      </c>
      <c r="C2445" s="43" t="s">
        <v>90</v>
      </c>
      <c r="D2445" s="43">
        <v>4204021</v>
      </c>
      <c r="E2445" t="s">
        <v>329</v>
      </c>
      <c r="F2445" s="47" t="str">
        <f>+Centro_Cuenta8[[#This Row],[Codigo Centro Gestion]]&amp;" - "&amp;Centro_Cuenta8[[#This Row],[Nombre Centro Gestion]]</f>
        <v>10359104 - Edificio Liparita-Ventas</v>
      </c>
      <c r="G2445" s="47" t="str">
        <f>+Centro_Cuenta8[[#This Row],[Código Cuenta Contable]]&amp;" - "&amp;Centro_Cuenta8[[#This Row],[Nombre de Cuenta Contable]]</f>
        <v>4204021 - Publicidad Ferias Y Eventos</v>
      </c>
      <c r="H2445" s="146" t="str">
        <f>+VLOOKUP(D2445,'3. Cuentas'!A:F,6,0)</f>
        <v>SI</v>
      </c>
    </row>
    <row r="2446" spans="1:8" x14ac:dyDescent="0.25">
      <c r="A2446" s="43">
        <v>10359105</v>
      </c>
      <c r="B2446" t="s">
        <v>1430</v>
      </c>
      <c r="C2446" s="43" t="s">
        <v>1622</v>
      </c>
      <c r="D2446" s="43">
        <v>4203020</v>
      </c>
      <c r="E2446" t="s">
        <v>295</v>
      </c>
      <c r="F2446" s="47" t="str">
        <f>+Centro_Cuenta8[[#This Row],[Codigo Centro Gestion]]&amp;" - "&amp;Centro_Cuenta8[[#This Row],[Nombre Centro Gestion]]</f>
        <v>10359105 - Edificio Liparita-Clientes</v>
      </c>
      <c r="G2446" s="47" t="str">
        <f>+Centro_Cuenta8[[#This Row],[Código Cuenta Contable]]&amp;" - "&amp;Centro_Cuenta8[[#This Row],[Nombre de Cuenta Contable]]</f>
        <v>4203020 - Mant. y Consum. Viv Stock</v>
      </c>
      <c r="H2446" s="146" t="str">
        <f>+VLOOKUP(D2446,'3. Cuentas'!A:F,6,0)</f>
        <v>SI</v>
      </c>
    </row>
    <row r="2447" spans="1:8" x14ac:dyDescent="0.25">
      <c r="A2447" s="43">
        <v>10359105</v>
      </c>
      <c r="B2447" t="s">
        <v>1430</v>
      </c>
      <c r="C2447" s="43" t="s">
        <v>1622</v>
      </c>
      <c r="D2447" s="43">
        <v>4203120</v>
      </c>
      <c r="E2447" t="s">
        <v>108</v>
      </c>
      <c r="F2447" s="47" t="str">
        <f>+Centro_Cuenta8[[#This Row],[Codigo Centro Gestion]]&amp;" - "&amp;Centro_Cuenta8[[#This Row],[Nombre Centro Gestion]]</f>
        <v>10359105 - Edificio Liparita-Clientes</v>
      </c>
      <c r="G2447" s="47" t="str">
        <f>+Centro_Cuenta8[[#This Row],[Código Cuenta Contable]]&amp;" - "&amp;Centro_Cuenta8[[#This Row],[Nombre de Cuenta Contable]]</f>
        <v>4203120 - Gastos Comunes</v>
      </c>
      <c r="H2447" s="146" t="str">
        <f>+VLOOKUP(D2447,'3. Cuentas'!A:F,6,0)</f>
        <v>SI</v>
      </c>
    </row>
    <row r="2448" spans="1:8" x14ac:dyDescent="0.25">
      <c r="A2448" s="43">
        <v>10359105</v>
      </c>
      <c r="B2448" t="s">
        <v>1430</v>
      </c>
      <c r="C2448" s="43" t="s">
        <v>1622</v>
      </c>
      <c r="D2448" s="43">
        <v>4203140</v>
      </c>
      <c r="E2448" t="s">
        <v>109</v>
      </c>
      <c r="F2448" s="47" t="str">
        <f>+Centro_Cuenta8[[#This Row],[Codigo Centro Gestion]]&amp;" - "&amp;Centro_Cuenta8[[#This Row],[Nombre Centro Gestion]]</f>
        <v>10359105 - Edificio Liparita-Clientes</v>
      </c>
      <c r="G2448" s="47" t="str">
        <f>+Centro_Cuenta8[[#This Row],[Código Cuenta Contable]]&amp;" - "&amp;Centro_Cuenta8[[#This Row],[Nombre de Cuenta Contable]]</f>
        <v>4203140 - Contribuciones</v>
      </c>
      <c r="H2448" s="146" t="str">
        <f>+VLOOKUP(D2448,'3. Cuentas'!A:F,6,0)</f>
        <v>SI</v>
      </c>
    </row>
    <row r="2449" spans="1:8" x14ac:dyDescent="0.25">
      <c r="A2449" s="43">
        <v>10359204</v>
      </c>
      <c r="B2449" t="s">
        <v>1431</v>
      </c>
      <c r="C2449" s="43" t="s">
        <v>1624</v>
      </c>
      <c r="D2449" s="43">
        <v>1103045</v>
      </c>
      <c r="E2449" t="s">
        <v>323</v>
      </c>
      <c r="F2449" s="47" t="str">
        <f>+Centro_Cuenta8[[#This Row],[Codigo Centro Gestion]]&amp;" - "&amp;Centro_Cuenta8[[#This Row],[Nombre Centro Gestion]]</f>
        <v>10359204 - Edificio Liparita-Proyecto</v>
      </c>
      <c r="G2449" s="47" t="str">
        <f>+Centro_Cuenta8[[#This Row],[Código Cuenta Contable]]&amp;" - "&amp;Centro_Cuenta8[[#This Row],[Nombre de Cuenta Contable]]</f>
        <v>1103045 - Aportes reembolsables (electricidad y agua)</v>
      </c>
      <c r="H2449" s="146" t="str">
        <f>+VLOOKUP(D2449,'3. Cuentas'!A:F,6,0)</f>
        <v>SI</v>
      </c>
    </row>
    <row r="2450" spans="1:8" x14ac:dyDescent="0.25">
      <c r="A2450" s="43">
        <v>10359204</v>
      </c>
      <c r="B2450" t="s">
        <v>1431</v>
      </c>
      <c r="C2450" s="43" t="s">
        <v>1624</v>
      </c>
      <c r="D2450" s="43">
        <v>1109020</v>
      </c>
      <c r="E2450" t="s">
        <v>302</v>
      </c>
      <c r="F2450" s="47" t="str">
        <f>+Centro_Cuenta8[[#This Row],[Codigo Centro Gestion]]&amp;" - "&amp;Centro_Cuenta8[[#This Row],[Nombre Centro Gestion]]</f>
        <v>10359204 - Edificio Liparita-Proyecto</v>
      </c>
      <c r="G2450" s="47" t="str">
        <f>+Centro_Cuenta8[[#This Row],[Código Cuenta Contable]]&amp;" - "&amp;Centro_Cuenta8[[#This Row],[Nombre de Cuenta Contable]]</f>
        <v>1109020 - Mobiliario</v>
      </c>
      <c r="H2450" s="146" t="str">
        <f>+VLOOKUP(D2450,'3. Cuentas'!A:F,6,0)</f>
        <v>SI</v>
      </c>
    </row>
    <row r="2451" spans="1:8" x14ac:dyDescent="0.25">
      <c r="A2451" s="43">
        <v>10359204</v>
      </c>
      <c r="B2451" t="s">
        <v>1431</v>
      </c>
      <c r="C2451" s="43" t="s">
        <v>1624</v>
      </c>
      <c r="D2451" s="43">
        <v>1110040</v>
      </c>
      <c r="E2451" t="s">
        <v>1505</v>
      </c>
      <c r="F2451" s="47" t="str">
        <f>+Centro_Cuenta8[[#This Row],[Codigo Centro Gestion]]&amp;" - "&amp;Centro_Cuenta8[[#This Row],[Nombre Centro Gestion]]</f>
        <v>10359204 - Edificio Liparita-Proyecto</v>
      </c>
      <c r="G2451" s="47" t="str">
        <f>+Centro_Cuenta8[[#This Row],[Código Cuenta Contable]]&amp;" - "&amp;Centro_Cuenta8[[#This Row],[Nombre de Cuenta Contable]]</f>
        <v>1110040 - Garantía Pagadas</v>
      </c>
      <c r="H2451" s="146" t="str">
        <f>+VLOOKUP(D2451,'3. Cuentas'!A:F,6,0)</f>
        <v>SI</v>
      </c>
    </row>
    <row r="2452" spans="1:8" x14ac:dyDescent="0.25">
      <c r="A2452" s="43">
        <v>10359204</v>
      </c>
      <c r="B2452" t="s">
        <v>1431</v>
      </c>
      <c r="C2452" s="43" t="s">
        <v>1624</v>
      </c>
      <c r="D2452" s="43">
        <v>1115040</v>
      </c>
      <c r="E2452" t="s">
        <v>291</v>
      </c>
      <c r="F2452" s="47" t="str">
        <f>+Centro_Cuenta8[[#This Row],[Codigo Centro Gestion]]&amp;" - "&amp;Centro_Cuenta8[[#This Row],[Nombre Centro Gestion]]</f>
        <v>10359204 - Edificio Liparita-Proyecto</v>
      </c>
      <c r="G2452" s="47" t="str">
        <f>+Centro_Cuenta8[[#This Row],[Código Cuenta Contable]]&amp;" - "&amp;Centro_Cuenta8[[#This Row],[Nombre de Cuenta Contable]]</f>
        <v>1115040 - Saneamiento De Terreno</v>
      </c>
      <c r="H2452" s="146" t="str">
        <f>+VLOOKUP(D2452,'3. Cuentas'!A:F,6,0)</f>
        <v>SI</v>
      </c>
    </row>
    <row r="2453" spans="1:8" x14ac:dyDescent="0.25">
      <c r="A2453" s="43">
        <v>10359204</v>
      </c>
      <c r="B2453" t="s">
        <v>1431</v>
      </c>
      <c r="C2453" s="43" t="s">
        <v>1624</v>
      </c>
      <c r="D2453" s="43">
        <v>1115050</v>
      </c>
      <c r="E2453" t="s">
        <v>1628</v>
      </c>
      <c r="F2453" s="47" t="str">
        <f>+Centro_Cuenta8[[#This Row],[Codigo Centro Gestion]]&amp;" - "&amp;Centro_Cuenta8[[#This Row],[Nombre Centro Gestion]]</f>
        <v>10359204 - Edificio Liparita-Proyecto</v>
      </c>
      <c r="G2453" s="47" t="str">
        <f>+Centro_Cuenta8[[#This Row],[Código Cuenta Contable]]&amp;" - "&amp;Centro_Cuenta8[[#This Row],[Nombre de Cuenta Contable]]</f>
        <v>1115050 - Demolición</v>
      </c>
      <c r="H2453" s="146" t="str">
        <f>+VLOOKUP(D2453,'3. Cuentas'!A:F,6,0)</f>
        <v>SI</v>
      </c>
    </row>
    <row r="2454" spans="1:8" x14ac:dyDescent="0.25">
      <c r="A2454" s="43">
        <v>10359204</v>
      </c>
      <c r="B2454" t="s">
        <v>1431</v>
      </c>
      <c r="C2454" s="43" t="s">
        <v>1624</v>
      </c>
      <c r="D2454" s="43">
        <v>1115100</v>
      </c>
      <c r="E2454" t="s">
        <v>292</v>
      </c>
      <c r="F2454" s="47" t="str">
        <f>+Centro_Cuenta8[[#This Row],[Codigo Centro Gestion]]&amp;" - "&amp;Centro_Cuenta8[[#This Row],[Nombre Centro Gestion]]</f>
        <v>10359204 - Edificio Liparita-Proyecto</v>
      </c>
      <c r="G2454" s="47" t="str">
        <f>+Centro_Cuenta8[[#This Row],[Código Cuenta Contable]]&amp;" - "&amp;Centro_Cuenta8[[#This Row],[Nombre de Cuenta Contable]]</f>
        <v>1115100 - Proyectos Y Especialidades</v>
      </c>
      <c r="H2454" s="146" t="str">
        <f>+VLOOKUP(D2454,'3. Cuentas'!A:F,6,0)</f>
        <v>SI</v>
      </c>
    </row>
    <row r="2455" spans="1:8" x14ac:dyDescent="0.25">
      <c r="A2455" s="43">
        <v>10359204</v>
      </c>
      <c r="B2455" t="s">
        <v>1431</v>
      </c>
      <c r="C2455" s="43" t="s">
        <v>1624</v>
      </c>
      <c r="D2455" s="43">
        <v>1115120</v>
      </c>
      <c r="E2455" t="s">
        <v>1633</v>
      </c>
      <c r="F2455" s="47" t="str">
        <f>+Centro_Cuenta8[[#This Row],[Codigo Centro Gestion]]&amp;" - "&amp;Centro_Cuenta8[[#This Row],[Nombre Centro Gestion]]</f>
        <v>10359204 - Edificio Liparita-Proyecto</v>
      </c>
      <c r="G2455" s="47" t="str">
        <f>+Centro_Cuenta8[[#This Row],[Código Cuenta Contable]]&amp;" - "&amp;Centro_Cuenta8[[#This Row],[Nombre de Cuenta Contable]]</f>
        <v>1115120 - Instalación Empalmes</v>
      </c>
      <c r="H2455" s="146" t="str">
        <f>+VLOOKUP(D2455,'3. Cuentas'!A:F,6,0)</f>
        <v>SI</v>
      </c>
    </row>
    <row r="2456" spans="1:8" x14ac:dyDescent="0.25">
      <c r="A2456" s="43">
        <v>10359204</v>
      </c>
      <c r="B2456" t="s">
        <v>1431</v>
      </c>
      <c r="C2456" s="43" t="s">
        <v>1624</v>
      </c>
      <c r="D2456" s="43">
        <v>1115170</v>
      </c>
      <c r="E2456" t="s">
        <v>293</v>
      </c>
      <c r="F2456" s="47" t="str">
        <f>+Centro_Cuenta8[[#This Row],[Codigo Centro Gestion]]&amp;" - "&amp;Centro_Cuenta8[[#This Row],[Nombre Centro Gestion]]</f>
        <v>10359204 - Edificio Liparita-Proyecto</v>
      </c>
      <c r="G2456" s="47" t="str">
        <f>+Centro_Cuenta8[[#This Row],[Código Cuenta Contable]]&amp;" - "&amp;Centro_Cuenta8[[#This Row],[Nombre de Cuenta Contable]]</f>
        <v>1115170 - Permisos Y Otros Gastos Municipales</v>
      </c>
      <c r="H2456" s="146" t="str">
        <f>+VLOOKUP(D2456,'3. Cuentas'!A:F,6,0)</f>
        <v>SI</v>
      </c>
    </row>
    <row r="2457" spans="1:8" x14ac:dyDescent="0.25">
      <c r="A2457" s="43">
        <v>10359204</v>
      </c>
      <c r="B2457" t="s">
        <v>1431</v>
      </c>
      <c r="C2457" s="43" t="s">
        <v>1624</v>
      </c>
      <c r="D2457" s="43">
        <v>1115240</v>
      </c>
      <c r="E2457" t="s">
        <v>294</v>
      </c>
      <c r="F2457" s="47" t="str">
        <f>+Centro_Cuenta8[[#This Row],[Codigo Centro Gestion]]&amp;" - "&amp;Centro_Cuenta8[[#This Row],[Nombre Centro Gestion]]</f>
        <v>10359204 - Edificio Liparita-Proyecto</v>
      </c>
      <c r="G2457" s="47" t="str">
        <f>+Centro_Cuenta8[[#This Row],[Código Cuenta Contable]]&amp;" - "&amp;Centro_Cuenta8[[#This Row],[Nombre de Cuenta Contable]]</f>
        <v>1115240 - Estudios Y Asesorias Técnicas</v>
      </c>
      <c r="H2457" s="146" t="str">
        <f>+VLOOKUP(D2457,'3. Cuentas'!A:F,6,0)</f>
        <v>SI</v>
      </c>
    </row>
    <row r="2458" spans="1:8" x14ac:dyDescent="0.25">
      <c r="A2458" s="43">
        <v>10359204</v>
      </c>
      <c r="B2458" t="s">
        <v>1431</v>
      </c>
      <c r="C2458" s="43" t="s">
        <v>1624</v>
      </c>
      <c r="D2458" s="43">
        <v>4203090</v>
      </c>
      <c r="E2458" t="s">
        <v>192</v>
      </c>
      <c r="F2458" s="47" t="str">
        <f>+Centro_Cuenta8[[#This Row],[Codigo Centro Gestion]]&amp;" - "&amp;Centro_Cuenta8[[#This Row],[Nombre Centro Gestion]]</f>
        <v>10359204 - Edificio Liparita-Proyecto</v>
      </c>
      <c r="G2458" s="47" t="str">
        <f>+Centro_Cuenta8[[#This Row],[Código Cuenta Contable]]&amp;" - "&amp;Centro_Cuenta8[[#This Row],[Nombre de Cuenta Contable]]</f>
        <v>4203090 - Gastos Legales Y Notariales Proyecto</v>
      </c>
      <c r="H2458" s="146" t="str">
        <f>+VLOOKUP(D2458,'3. Cuentas'!A:F,6,0)</f>
        <v>SI</v>
      </c>
    </row>
    <row r="2459" spans="1:8" x14ac:dyDescent="0.25">
      <c r="A2459" s="43">
        <v>10359204</v>
      </c>
      <c r="B2459" t="s">
        <v>1431</v>
      </c>
      <c r="C2459" s="43" t="s">
        <v>1624</v>
      </c>
      <c r="D2459" s="43">
        <v>4203140</v>
      </c>
      <c r="E2459" t="s">
        <v>109</v>
      </c>
      <c r="F2459" s="47" t="str">
        <f>+Centro_Cuenta8[[#This Row],[Codigo Centro Gestion]]&amp;" - "&amp;Centro_Cuenta8[[#This Row],[Nombre Centro Gestion]]</f>
        <v>10359204 - Edificio Liparita-Proyecto</v>
      </c>
      <c r="G2459" s="47" t="str">
        <f>+Centro_Cuenta8[[#This Row],[Código Cuenta Contable]]&amp;" - "&amp;Centro_Cuenta8[[#This Row],[Nombre de Cuenta Contable]]</f>
        <v>4203140 - Contribuciones</v>
      </c>
      <c r="H2459" s="146" t="str">
        <f>+VLOOKUP(D2459,'3. Cuentas'!A:F,6,0)</f>
        <v>SI</v>
      </c>
    </row>
    <row r="2460" spans="1:8" x14ac:dyDescent="0.25">
      <c r="A2460" s="43">
        <v>10359204</v>
      </c>
      <c r="B2460" t="s">
        <v>1431</v>
      </c>
      <c r="C2460" s="43" t="s">
        <v>1624</v>
      </c>
      <c r="D2460" s="43">
        <v>4203150</v>
      </c>
      <c r="E2460" t="s">
        <v>156</v>
      </c>
      <c r="F2460" s="47" t="str">
        <f>+Centro_Cuenta8[[#This Row],[Codigo Centro Gestion]]&amp;" - "&amp;Centro_Cuenta8[[#This Row],[Nombre Centro Gestion]]</f>
        <v>10359204 - Edificio Liparita-Proyecto</v>
      </c>
      <c r="G2460" s="47" t="str">
        <f>+Centro_Cuenta8[[#This Row],[Código Cuenta Contable]]&amp;" - "&amp;Centro_Cuenta8[[#This Row],[Nombre de Cuenta Contable]]</f>
        <v>4203150 - Gastos CBR</v>
      </c>
      <c r="H2460" s="146" t="str">
        <f>+VLOOKUP(D2460,'3. Cuentas'!A:F,6,0)</f>
        <v>SI</v>
      </c>
    </row>
    <row r="2461" spans="1:8" x14ac:dyDescent="0.25">
      <c r="A2461" s="43">
        <v>10359204</v>
      </c>
      <c r="B2461" t="s">
        <v>1431</v>
      </c>
      <c r="C2461" s="43" t="s">
        <v>1624</v>
      </c>
      <c r="D2461" s="43">
        <v>4203160</v>
      </c>
      <c r="E2461" t="s">
        <v>1639</v>
      </c>
      <c r="F2461" s="47" t="str">
        <f>+Centro_Cuenta8[[#This Row],[Codigo Centro Gestion]]&amp;" - "&amp;Centro_Cuenta8[[#This Row],[Nombre Centro Gestion]]</f>
        <v>10359204 - Edificio Liparita-Proyecto</v>
      </c>
      <c r="G2461" s="47" t="str">
        <f>+Centro_Cuenta8[[#This Row],[Código Cuenta Contable]]&amp;" - "&amp;Centro_Cuenta8[[#This Row],[Nombre de Cuenta Contable]]</f>
        <v>4203160 - PAPELERIA Y FOTOCOPIADO</v>
      </c>
      <c r="H2461" s="146" t="str">
        <f>+VLOOKUP(D2461,'3. Cuentas'!A:F,6,0)</f>
        <v>SI</v>
      </c>
    </row>
    <row r="2462" spans="1:8" x14ac:dyDescent="0.25">
      <c r="A2462" s="43">
        <v>10359204</v>
      </c>
      <c r="B2462" t="s">
        <v>1431</v>
      </c>
      <c r="C2462" s="43" t="s">
        <v>1624</v>
      </c>
      <c r="D2462" s="43">
        <v>4203180</v>
      </c>
      <c r="E2462" t="s">
        <v>1640</v>
      </c>
      <c r="F2462" s="47" t="str">
        <f>+Centro_Cuenta8[[#This Row],[Codigo Centro Gestion]]&amp;" - "&amp;Centro_Cuenta8[[#This Row],[Nombre Centro Gestion]]</f>
        <v>10359204 - Edificio Liparita-Proyecto</v>
      </c>
      <c r="G2462" s="47" t="str">
        <f>+Centro_Cuenta8[[#This Row],[Código Cuenta Contable]]&amp;" - "&amp;Centro_Cuenta8[[#This Row],[Nombre de Cuenta Contable]]</f>
        <v>4203180 - Otros Gastos y Aseso Proy</v>
      </c>
      <c r="H2462" s="146" t="str">
        <f>+VLOOKUP(D2462,'3. Cuentas'!A:F,6,0)</f>
        <v>SI</v>
      </c>
    </row>
    <row r="2463" spans="1:8" x14ac:dyDescent="0.25">
      <c r="A2463" s="43">
        <v>10359301</v>
      </c>
      <c r="B2463" t="s">
        <v>1432</v>
      </c>
      <c r="C2463" s="43" t="s">
        <v>1643</v>
      </c>
      <c r="D2463" s="43">
        <v>4203090</v>
      </c>
      <c r="E2463" t="s">
        <v>192</v>
      </c>
      <c r="F2463" s="47" t="str">
        <f>+Centro_Cuenta8[[#This Row],[Codigo Centro Gestion]]&amp;" - "&amp;Centro_Cuenta8[[#This Row],[Nombre Centro Gestion]]</f>
        <v>10359301 - Edificio Liparita-GAF</v>
      </c>
      <c r="G2463" s="47" t="str">
        <f>+Centro_Cuenta8[[#This Row],[Código Cuenta Contable]]&amp;" - "&amp;Centro_Cuenta8[[#This Row],[Nombre de Cuenta Contable]]</f>
        <v>4203090 - Gastos Legales Y Notariales Proyecto</v>
      </c>
      <c r="H2463" s="146" t="str">
        <f>+VLOOKUP(D2463,'3. Cuentas'!A:F,6,0)</f>
        <v>SI</v>
      </c>
    </row>
    <row r="2464" spans="1:8" x14ac:dyDescent="0.25">
      <c r="A2464" s="43">
        <v>10359301</v>
      </c>
      <c r="B2464" t="s">
        <v>1432</v>
      </c>
      <c r="C2464" s="43" t="s">
        <v>1643</v>
      </c>
      <c r="D2464" s="43">
        <v>4203140</v>
      </c>
      <c r="E2464" t="s">
        <v>109</v>
      </c>
      <c r="F2464" s="47" t="str">
        <f>+Centro_Cuenta8[[#This Row],[Codigo Centro Gestion]]&amp;" - "&amp;Centro_Cuenta8[[#This Row],[Nombre Centro Gestion]]</f>
        <v>10359301 - Edificio Liparita-GAF</v>
      </c>
      <c r="G2464" s="47" t="str">
        <f>+Centro_Cuenta8[[#This Row],[Código Cuenta Contable]]&amp;" - "&amp;Centro_Cuenta8[[#This Row],[Nombre de Cuenta Contable]]</f>
        <v>4203140 - Contribuciones</v>
      </c>
      <c r="H2464" s="146" t="str">
        <f>+VLOOKUP(D2464,'3. Cuentas'!A:F,6,0)</f>
        <v>SI</v>
      </c>
    </row>
    <row r="2465" spans="1:8" x14ac:dyDescent="0.25">
      <c r="A2465" s="43">
        <v>10359506</v>
      </c>
      <c r="B2465" t="s">
        <v>1434</v>
      </c>
      <c r="C2465" s="43" t="s">
        <v>200</v>
      </c>
      <c r="D2465" s="43">
        <v>1115100</v>
      </c>
      <c r="E2465" t="s">
        <v>292</v>
      </c>
      <c r="F2465" s="47" t="str">
        <f>+Centro_Cuenta8[[#This Row],[Codigo Centro Gestion]]&amp;" - "&amp;Centro_Cuenta8[[#This Row],[Nombre Centro Gestion]]</f>
        <v>10359506 - Edificio Liparita-Depto.Técnico</v>
      </c>
      <c r="G2465" s="47" t="str">
        <f>+Centro_Cuenta8[[#This Row],[Código Cuenta Contable]]&amp;" - "&amp;Centro_Cuenta8[[#This Row],[Nombre de Cuenta Contable]]</f>
        <v>1115100 - Proyectos Y Especialidades</v>
      </c>
      <c r="H2465" s="146" t="str">
        <f>+VLOOKUP(D2465,'3. Cuentas'!A:F,6,0)</f>
        <v>SI</v>
      </c>
    </row>
    <row r="2466" spans="1:8" x14ac:dyDescent="0.25">
      <c r="A2466" s="43">
        <v>10360102</v>
      </c>
      <c r="B2466" t="s">
        <v>1435</v>
      </c>
      <c r="C2466" s="43" t="s">
        <v>1617</v>
      </c>
      <c r="D2466" s="43">
        <v>4204010</v>
      </c>
      <c r="E2466" t="s">
        <v>313</v>
      </c>
      <c r="F2466" s="47" t="str">
        <f>+Centro_Cuenta8[[#This Row],[Codigo Centro Gestion]]&amp;" - "&amp;Centro_Cuenta8[[#This Row],[Nombre Centro Gestion]]</f>
        <v>10360102 - Francisco Zelada Torre A-Marketing</v>
      </c>
      <c r="G2466" s="47" t="str">
        <f>+Centro_Cuenta8[[#This Row],[Código Cuenta Contable]]&amp;" - "&amp;Centro_Cuenta8[[#This Row],[Nombre de Cuenta Contable]]</f>
        <v>4204010 - Publicidad Punto Venta</v>
      </c>
      <c r="H2466" s="146" t="str">
        <f>+VLOOKUP(D2466,'3. Cuentas'!A:F,6,0)</f>
        <v>SI</v>
      </c>
    </row>
    <row r="2467" spans="1:8" x14ac:dyDescent="0.25">
      <c r="A2467" s="43">
        <v>10360102</v>
      </c>
      <c r="B2467" t="s">
        <v>1435</v>
      </c>
      <c r="C2467" s="43" t="s">
        <v>1617</v>
      </c>
      <c r="D2467" s="43">
        <v>4204021</v>
      </c>
      <c r="E2467" t="s">
        <v>329</v>
      </c>
      <c r="F2467" s="47" t="str">
        <f>+Centro_Cuenta8[[#This Row],[Codigo Centro Gestion]]&amp;" - "&amp;Centro_Cuenta8[[#This Row],[Nombre Centro Gestion]]</f>
        <v>10360102 - Francisco Zelada Torre A-Marketing</v>
      </c>
      <c r="G2467" s="47" t="str">
        <f>+Centro_Cuenta8[[#This Row],[Código Cuenta Contable]]&amp;" - "&amp;Centro_Cuenta8[[#This Row],[Nombre de Cuenta Contable]]</f>
        <v>4204021 - Publicidad Ferias Y Eventos</v>
      </c>
      <c r="H2467" s="146" t="str">
        <f>+VLOOKUP(D2467,'3. Cuentas'!A:F,6,0)</f>
        <v>SI</v>
      </c>
    </row>
    <row r="2468" spans="1:8" x14ac:dyDescent="0.25">
      <c r="A2468" s="43">
        <v>10360103</v>
      </c>
      <c r="B2468" t="s">
        <v>1436</v>
      </c>
      <c r="C2468" s="43" t="s">
        <v>1618</v>
      </c>
      <c r="D2468" s="43">
        <v>4203060</v>
      </c>
      <c r="E2468" t="s">
        <v>321</v>
      </c>
      <c r="F2468" s="47" t="str">
        <f>+Centro_Cuenta8[[#This Row],[Codigo Centro Gestion]]&amp;" - "&amp;Centro_Cuenta8[[#This Row],[Nombre Centro Gestion]]</f>
        <v>10360103 - Francisco Zelada Torre A-Operaciones</v>
      </c>
      <c r="G2468" s="47" t="str">
        <f>+Centro_Cuenta8[[#This Row],[Código Cuenta Contable]]&amp;" - "&amp;Centro_Cuenta8[[#This Row],[Nombre de Cuenta Contable]]</f>
        <v>4203060 - Gastos Operacionales De Clientes</v>
      </c>
      <c r="H2468" s="146" t="str">
        <f>+VLOOKUP(D2468,'3. Cuentas'!A:F,6,0)</f>
        <v>SI</v>
      </c>
    </row>
    <row r="2469" spans="1:8" x14ac:dyDescent="0.25">
      <c r="A2469" s="43">
        <v>10360103</v>
      </c>
      <c r="B2469" t="s">
        <v>1436</v>
      </c>
      <c r="C2469" s="43" t="s">
        <v>1618</v>
      </c>
      <c r="D2469" s="43">
        <v>4203090</v>
      </c>
      <c r="E2469" t="s">
        <v>192</v>
      </c>
      <c r="F2469" s="47" t="str">
        <f>+Centro_Cuenta8[[#This Row],[Codigo Centro Gestion]]&amp;" - "&amp;Centro_Cuenta8[[#This Row],[Nombre Centro Gestion]]</f>
        <v>10360103 - Francisco Zelada Torre A-Operaciones</v>
      </c>
      <c r="G2469" s="47" t="str">
        <f>+Centro_Cuenta8[[#This Row],[Código Cuenta Contable]]&amp;" - "&amp;Centro_Cuenta8[[#This Row],[Nombre de Cuenta Contable]]</f>
        <v>4203090 - Gastos Legales Y Notariales Proyecto</v>
      </c>
      <c r="H2469" s="146" t="str">
        <f>+VLOOKUP(D2469,'3. Cuentas'!A:F,6,0)</f>
        <v>SI</v>
      </c>
    </row>
    <row r="2470" spans="1:8" x14ac:dyDescent="0.25">
      <c r="A2470" s="43">
        <v>10360104</v>
      </c>
      <c r="B2470" t="s">
        <v>1437</v>
      </c>
      <c r="C2470" s="43" t="s">
        <v>90</v>
      </c>
      <c r="D2470" s="43">
        <v>1110040</v>
      </c>
      <c r="E2470" t="s">
        <v>1505</v>
      </c>
      <c r="F2470" s="47" t="str">
        <f>+Centro_Cuenta8[[#This Row],[Codigo Centro Gestion]]&amp;" - "&amp;Centro_Cuenta8[[#This Row],[Nombre Centro Gestion]]</f>
        <v>10360104 - Francisco Zelada Torre A-Ventas</v>
      </c>
      <c r="G2470" s="47" t="str">
        <f>+Centro_Cuenta8[[#This Row],[Código Cuenta Contable]]&amp;" - "&amp;Centro_Cuenta8[[#This Row],[Nombre de Cuenta Contable]]</f>
        <v>1110040 - Garantía Pagadas</v>
      </c>
      <c r="H2470" s="146" t="str">
        <f>+VLOOKUP(D2470,'3. Cuentas'!A:F,6,0)</f>
        <v>SI</v>
      </c>
    </row>
    <row r="2471" spans="1:8" x14ac:dyDescent="0.25">
      <c r="A2471" s="43">
        <v>10360104</v>
      </c>
      <c r="B2471" t="s">
        <v>1437</v>
      </c>
      <c r="C2471" s="43" t="s">
        <v>90</v>
      </c>
      <c r="D2471" s="43">
        <v>4202003</v>
      </c>
      <c r="E2471" t="s">
        <v>106</v>
      </c>
      <c r="F2471" s="47" t="str">
        <f>+Centro_Cuenta8[[#This Row],[Codigo Centro Gestion]]&amp;" - "&amp;Centro_Cuenta8[[#This Row],[Nombre Centro Gestion]]</f>
        <v>10360104 - Francisco Zelada Torre A-Ventas</v>
      </c>
      <c r="G2471" s="47" t="str">
        <f>+Centro_Cuenta8[[#This Row],[Código Cuenta Contable]]&amp;" - "&amp;Centro_Cuenta8[[#This Row],[Nombre de Cuenta Contable]]</f>
        <v>4202003 - Serv.Basic.Luz.Agua.Tel Of.C</v>
      </c>
      <c r="H2471" s="146" t="str">
        <f>+VLOOKUP(D2471,'3. Cuentas'!A:F,6,0)</f>
        <v>SI</v>
      </c>
    </row>
    <row r="2472" spans="1:8" x14ac:dyDescent="0.25">
      <c r="A2472" s="43">
        <v>10360104</v>
      </c>
      <c r="B2472" t="s">
        <v>1437</v>
      </c>
      <c r="C2472" s="43" t="s">
        <v>90</v>
      </c>
      <c r="D2472" s="43">
        <v>4202010</v>
      </c>
      <c r="E2472" t="s">
        <v>87</v>
      </c>
      <c r="F2472" s="47" t="str">
        <f>+Centro_Cuenta8[[#This Row],[Codigo Centro Gestion]]&amp;" - "&amp;Centro_Cuenta8[[#This Row],[Nombre Centro Gestion]]</f>
        <v>10360104 - Francisco Zelada Torre A-Ventas</v>
      </c>
      <c r="G2472" s="47" t="str">
        <f>+Centro_Cuenta8[[#This Row],[Código Cuenta Contable]]&amp;" - "&amp;Centro_Cuenta8[[#This Row],[Nombre de Cuenta Contable]]</f>
        <v>4202010 - Artic. Ofic. Fotocop.Papelería</v>
      </c>
      <c r="H2472" s="146" t="str">
        <f>+VLOOKUP(D2472,'3. Cuentas'!A:F,6,0)</f>
        <v>SI</v>
      </c>
    </row>
    <row r="2473" spans="1:8" x14ac:dyDescent="0.25">
      <c r="A2473" s="43">
        <v>10360104</v>
      </c>
      <c r="B2473" t="s">
        <v>1437</v>
      </c>
      <c r="C2473" s="43" t="s">
        <v>90</v>
      </c>
      <c r="D2473" s="43">
        <v>4202019</v>
      </c>
      <c r="E2473" t="s">
        <v>81</v>
      </c>
      <c r="F2473" s="47" t="str">
        <f>+Centro_Cuenta8[[#This Row],[Codigo Centro Gestion]]&amp;" - "&amp;Centro_Cuenta8[[#This Row],[Nombre Centro Gestion]]</f>
        <v>10360104 - Francisco Zelada Torre A-Ventas</v>
      </c>
      <c r="G2473" s="47" t="str">
        <f>+Centro_Cuenta8[[#This Row],[Código Cuenta Contable]]&amp;" - "&amp;Centro_Cuenta8[[#This Row],[Nombre de Cuenta Contable]]</f>
        <v>4202019 - Gasto General Oficina</v>
      </c>
      <c r="H2473" s="146" t="str">
        <f>+VLOOKUP(D2473,'3. Cuentas'!A:F,6,0)</f>
        <v>SI</v>
      </c>
    </row>
    <row r="2474" spans="1:8" x14ac:dyDescent="0.25">
      <c r="A2474" s="43">
        <v>10360104</v>
      </c>
      <c r="B2474" t="s">
        <v>1437</v>
      </c>
      <c r="C2474" s="43" t="s">
        <v>90</v>
      </c>
      <c r="D2474" s="43">
        <v>4202023</v>
      </c>
      <c r="E2474" t="s">
        <v>82</v>
      </c>
      <c r="F2474" s="47" t="str">
        <f>+Centro_Cuenta8[[#This Row],[Codigo Centro Gestion]]&amp;" - "&amp;Centro_Cuenta8[[#This Row],[Nombre Centro Gestion]]</f>
        <v>10360104 - Francisco Zelada Torre A-Ventas</v>
      </c>
      <c r="G2474" s="47" t="str">
        <f>+Centro_Cuenta8[[#This Row],[Código Cuenta Contable]]&amp;" - "&amp;Centro_Cuenta8[[#This Row],[Nombre de Cuenta Contable]]</f>
        <v>4202023 - Honorarios Por Asesorías</v>
      </c>
      <c r="H2474" s="146" t="str">
        <f>+VLOOKUP(D2474,'3. Cuentas'!A:F,6,0)</f>
        <v>SI</v>
      </c>
    </row>
    <row r="2475" spans="1:8" x14ac:dyDescent="0.25">
      <c r="A2475" s="43">
        <v>10360104</v>
      </c>
      <c r="B2475" t="s">
        <v>1437</v>
      </c>
      <c r="C2475" s="43" t="s">
        <v>90</v>
      </c>
      <c r="D2475" s="43">
        <v>4202029</v>
      </c>
      <c r="E2475" t="s">
        <v>83</v>
      </c>
      <c r="F2475" s="47" t="str">
        <f>+Centro_Cuenta8[[#This Row],[Codigo Centro Gestion]]&amp;" - "&amp;Centro_Cuenta8[[#This Row],[Nombre Centro Gestion]]</f>
        <v>10360104 - Francisco Zelada Torre A-Ventas</v>
      </c>
      <c r="G2475" s="47" t="str">
        <f>+Centro_Cuenta8[[#This Row],[Código Cuenta Contable]]&amp;" - "&amp;Centro_Cuenta8[[#This Row],[Nombre de Cuenta Contable]]</f>
        <v>4202029 - Insumos Y Gastos Informáticos</v>
      </c>
      <c r="H2475" s="146" t="str">
        <f>+VLOOKUP(D2475,'3. Cuentas'!A:F,6,0)</f>
        <v>SI</v>
      </c>
    </row>
    <row r="2476" spans="1:8" x14ac:dyDescent="0.25">
      <c r="A2476" s="43">
        <v>10360104</v>
      </c>
      <c r="B2476" t="s">
        <v>1437</v>
      </c>
      <c r="C2476" s="43" t="s">
        <v>90</v>
      </c>
      <c r="D2476" s="43">
        <v>4204021</v>
      </c>
      <c r="E2476" t="s">
        <v>329</v>
      </c>
      <c r="F2476" s="47" t="str">
        <f>+Centro_Cuenta8[[#This Row],[Codigo Centro Gestion]]&amp;" - "&amp;Centro_Cuenta8[[#This Row],[Nombre Centro Gestion]]</f>
        <v>10360104 - Francisco Zelada Torre A-Ventas</v>
      </c>
      <c r="G2476" s="47" t="str">
        <f>+Centro_Cuenta8[[#This Row],[Código Cuenta Contable]]&amp;" - "&amp;Centro_Cuenta8[[#This Row],[Nombre de Cuenta Contable]]</f>
        <v>4204021 - Publicidad Ferias Y Eventos</v>
      </c>
      <c r="H2476" s="146" t="str">
        <f>+VLOOKUP(D2476,'3. Cuentas'!A:F,6,0)</f>
        <v>SI</v>
      </c>
    </row>
    <row r="2477" spans="1:8" x14ac:dyDescent="0.25">
      <c r="A2477" s="43">
        <v>10360105</v>
      </c>
      <c r="B2477" t="s">
        <v>1438</v>
      </c>
      <c r="C2477" s="43" t="s">
        <v>1622</v>
      </c>
      <c r="D2477" s="43">
        <v>4203020</v>
      </c>
      <c r="E2477" t="s">
        <v>295</v>
      </c>
      <c r="F2477" s="47" t="str">
        <f>+Centro_Cuenta8[[#This Row],[Codigo Centro Gestion]]&amp;" - "&amp;Centro_Cuenta8[[#This Row],[Nombre Centro Gestion]]</f>
        <v>10360105 - Francisco Zelada Torre A-Clientes</v>
      </c>
      <c r="G2477" s="47" t="str">
        <f>+Centro_Cuenta8[[#This Row],[Código Cuenta Contable]]&amp;" - "&amp;Centro_Cuenta8[[#This Row],[Nombre de Cuenta Contable]]</f>
        <v>4203020 - Mant. y Consum. Viv Stock</v>
      </c>
      <c r="H2477" s="146" t="str">
        <f>+VLOOKUP(D2477,'3. Cuentas'!A:F,6,0)</f>
        <v>SI</v>
      </c>
    </row>
    <row r="2478" spans="1:8" x14ac:dyDescent="0.25">
      <c r="A2478" s="43">
        <v>10360105</v>
      </c>
      <c r="B2478" t="s">
        <v>1438</v>
      </c>
      <c r="C2478" s="43" t="s">
        <v>1622</v>
      </c>
      <c r="D2478" s="43">
        <v>4203120</v>
      </c>
      <c r="E2478" t="s">
        <v>108</v>
      </c>
      <c r="F2478" s="47" t="str">
        <f>+Centro_Cuenta8[[#This Row],[Codigo Centro Gestion]]&amp;" - "&amp;Centro_Cuenta8[[#This Row],[Nombre Centro Gestion]]</f>
        <v>10360105 - Francisco Zelada Torre A-Clientes</v>
      </c>
      <c r="G2478" s="47" t="str">
        <f>+Centro_Cuenta8[[#This Row],[Código Cuenta Contable]]&amp;" - "&amp;Centro_Cuenta8[[#This Row],[Nombre de Cuenta Contable]]</f>
        <v>4203120 - Gastos Comunes</v>
      </c>
      <c r="H2478" s="146" t="str">
        <f>+VLOOKUP(D2478,'3. Cuentas'!A:F,6,0)</f>
        <v>SI</v>
      </c>
    </row>
    <row r="2479" spans="1:8" x14ac:dyDescent="0.25">
      <c r="A2479" s="43">
        <v>10360105</v>
      </c>
      <c r="B2479" t="s">
        <v>1438</v>
      </c>
      <c r="C2479" s="43" t="s">
        <v>1622</v>
      </c>
      <c r="D2479" s="43">
        <v>4203140</v>
      </c>
      <c r="E2479" t="s">
        <v>109</v>
      </c>
      <c r="F2479" s="47" t="str">
        <f>+Centro_Cuenta8[[#This Row],[Codigo Centro Gestion]]&amp;" - "&amp;Centro_Cuenta8[[#This Row],[Nombre Centro Gestion]]</f>
        <v>10360105 - Francisco Zelada Torre A-Clientes</v>
      </c>
      <c r="G2479" s="47" t="str">
        <f>+Centro_Cuenta8[[#This Row],[Código Cuenta Contable]]&amp;" - "&amp;Centro_Cuenta8[[#This Row],[Nombre de Cuenta Contable]]</f>
        <v>4203140 - Contribuciones</v>
      </c>
      <c r="H2479" s="146" t="str">
        <f>+VLOOKUP(D2479,'3. Cuentas'!A:F,6,0)</f>
        <v>SI</v>
      </c>
    </row>
    <row r="2480" spans="1:8" x14ac:dyDescent="0.25">
      <c r="A2480" s="43">
        <v>10360204</v>
      </c>
      <c r="B2480" t="s">
        <v>1439</v>
      </c>
      <c r="C2480" s="43" t="s">
        <v>1624</v>
      </c>
      <c r="D2480" s="43">
        <v>1103045</v>
      </c>
      <c r="E2480" t="s">
        <v>323</v>
      </c>
      <c r="F2480" s="47" t="str">
        <f>+Centro_Cuenta8[[#This Row],[Codigo Centro Gestion]]&amp;" - "&amp;Centro_Cuenta8[[#This Row],[Nombre Centro Gestion]]</f>
        <v>10360204 - Francisco Zelada Torre A-Proyecto</v>
      </c>
      <c r="G2480" s="47" t="str">
        <f>+Centro_Cuenta8[[#This Row],[Código Cuenta Contable]]&amp;" - "&amp;Centro_Cuenta8[[#This Row],[Nombre de Cuenta Contable]]</f>
        <v>1103045 - Aportes reembolsables (electricidad y agua)</v>
      </c>
      <c r="H2480" s="146" t="str">
        <f>+VLOOKUP(D2480,'3. Cuentas'!A:F,6,0)</f>
        <v>SI</v>
      </c>
    </row>
    <row r="2481" spans="1:8" x14ac:dyDescent="0.25">
      <c r="A2481" s="43">
        <v>10360204</v>
      </c>
      <c r="B2481" t="s">
        <v>1439</v>
      </c>
      <c r="C2481" s="43" t="s">
        <v>1624</v>
      </c>
      <c r="D2481" s="43">
        <v>1109020</v>
      </c>
      <c r="E2481" t="s">
        <v>302</v>
      </c>
      <c r="F2481" s="47" t="str">
        <f>+Centro_Cuenta8[[#This Row],[Codigo Centro Gestion]]&amp;" - "&amp;Centro_Cuenta8[[#This Row],[Nombre Centro Gestion]]</f>
        <v>10360204 - Francisco Zelada Torre A-Proyecto</v>
      </c>
      <c r="G2481" s="47" t="str">
        <f>+Centro_Cuenta8[[#This Row],[Código Cuenta Contable]]&amp;" - "&amp;Centro_Cuenta8[[#This Row],[Nombre de Cuenta Contable]]</f>
        <v>1109020 - Mobiliario</v>
      </c>
      <c r="H2481" s="146" t="str">
        <f>+VLOOKUP(D2481,'3. Cuentas'!A:F,6,0)</f>
        <v>SI</v>
      </c>
    </row>
    <row r="2482" spans="1:8" x14ac:dyDescent="0.25">
      <c r="A2482" s="43">
        <v>10360204</v>
      </c>
      <c r="B2482" t="s">
        <v>1439</v>
      </c>
      <c r="C2482" s="43" t="s">
        <v>1624</v>
      </c>
      <c r="D2482" s="43">
        <v>1110040</v>
      </c>
      <c r="E2482" t="s">
        <v>1505</v>
      </c>
      <c r="F2482" s="47" t="str">
        <f>+Centro_Cuenta8[[#This Row],[Codigo Centro Gestion]]&amp;" - "&amp;Centro_Cuenta8[[#This Row],[Nombre Centro Gestion]]</f>
        <v>10360204 - Francisco Zelada Torre A-Proyecto</v>
      </c>
      <c r="G2482" s="47" t="str">
        <f>+Centro_Cuenta8[[#This Row],[Código Cuenta Contable]]&amp;" - "&amp;Centro_Cuenta8[[#This Row],[Nombre de Cuenta Contable]]</f>
        <v>1110040 - Garantía Pagadas</v>
      </c>
      <c r="H2482" s="146" t="str">
        <f>+VLOOKUP(D2482,'3. Cuentas'!A:F,6,0)</f>
        <v>SI</v>
      </c>
    </row>
    <row r="2483" spans="1:8" x14ac:dyDescent="0.25">
      <c r="A2483" s="43">
        <v>10360204</v>
      </c>
      <c r="B2483" t="s">
        <v>1439</v>
      </c>
      <c r="C2483" s="43" t="s">
        <v>1624</v>
      </c>
      <c r="D2483" s="43">
        <v>1115040</v>
      </c>
      <c r="E2483" t="s">
        <v>291</v>
      </c>
      <c r="F2483" s="47" t="str">
        <f>+Centro_Cuenta8[[#This Row],[Codigo Centro Gestion]]&amp;" - "&amp;Centro_Cuenta8[[#This Row],[Nombre Centro Gestion]]</f>
        <v>10360204 - Francisco Zelada Torre A-Proyecto</v>
      </c>
      <c r="G2483" s="47" t="str">
        <f>+Centro_Cuenta8[[#This Row],[Código Cuenta Contable]]&amp;" - "&amp;Centro_Cuenta8[[#This Row],[Nombre de Cuenta Contable]]</f>
        <v>1115040 - Saneamiento De Terreno</v>
      </c>
      <c r="H2483" s="146" t="str">
        <f>+VLOOKUP(D2483,'3. Cuentas'!A:F,6,0)</f>
        <v>SI</v>
      </c>
    </row>
    <row r="2484" spans="1:8" x14ac:dyDescent="0.25">
      <c r="A2484" s="43">
        <v>10360204</v>
      </c>
      <c r="B2484" t="s">
        <v>1439</v>
      </c>
      <c r="C2484" s="43" t="s">
        <v>1624</v>
      </c>
      <c r="D2484" s="43">
        <v>1115050</v>
      </c>
      <c r="E2484" t="s">
        <v>1628</v>
      </c>
      <c r="F2484" s="47" t="str">
        <f>+Centro_Cuenta8[[#This Row],[Codigo Centro Gestion]]&amp;" - "&amp;Centro_Cuenta8[[#This Row],[Nombre Centro Gestion]]</f>
        <v>10360204 - Francisco Zelada Torre A-Proyecto</v>
      </c>
      <c r="G2484" s="47" t="str">
        <f>+Centro_Cuenta8[[#This Row],[Código Cuenta Contable]]&amp;" - "&amp;Centro_Cuenta8[[#This Row],[Nombre de Cuenta Contable]]</f>
        <v>1115050 - Demolición</v>
      </c>
      <c r="H2484" s="146" t="str">
        <f>+VLOOKUP(D2484,'3. Cuentas'!A:F,6,0)</f>
        <v>SI</v>
      </c>
    </row>
    <row r="2485" spans="1:8" x14ac:dyDescent="0.25">
      <c r="A2485" s="43">
        <v>10360204</v>
      </c>
      <c r="B2485" t="s">
        <v>1439</v>
      </c>
      <c r="C2485" s="43" t="s">
        <v>1624</v>
      </c>
      <c r="D2485" s="43">
        <v>1115100</v>
      </c>
      <c r="E2485" t="s">
        <v>292</v>
      </c>
      <c r="F2485" s="47" t="str">
        <f>+Centro_Cuenta8[[#This Row],[Codigo Centro Gestion]]&amp;" - "&amp;Centro_Cuenta8[[#This Row],[Nombre Centro Gestion]]</f>
        <v>10360204 - Francisco Zelada Torre A-Proyecto</v>
      </c>
      <c r="G2485" s="47" t="str">
        <f>+Centro_Cuenta8[[#This Row],[Código Cuenta Contable]]&amp;" - "&amp;Centro_Cuenta8[[#This Row],[Nombre de Cuenta Contable]]</f>
        <v>1115100 - Proyectos Y Especialidades</v>
      </c>
      <c r="H2485" s="146" t="str">
        <f>+VLOOKUP(D2485,'3. Cuentas'!A:F,6,0)</f>
        <v>SI</v>
      </c>
    </row>
    <row r="2486" spans="1:8" x14ac:dyDescent="0.25">
      <c r="A2486" s="43">
        <v>10360204</v>
      </c>
      <c r="B2486" t="s">
        <v>1439</v>
      </c>
      <c r="C2486" s="43" t="s">
        <v>1624</v>
      </c>
      <c r="D2486" s="43">
        <v>1115120</v>
      </c>
      <c r="E2486" t="s">
        <v>1633</v>
      </c>
      <c r="F2486" s="47" t="str">
        <f>+Centro_Cuenta8[[#This Row],[Codigo Centro Gestion]]&amp;" - "&amp;Centro_Cuenta8[[#This Row],[Nombre Centro Gestion]]</f>
        <v>10360204 - Francisco Zelada Torre A-Proyecto</v>
      </c>
      <c r="G2486" s="47" t="str">
        <f>+Centro_Cuenta8[[#This Row],[Código Cuenta Contable]]&amp;" - "&amp;Centro_Cuenta8[[#This Row],[Nombre de Cuenta Contable]]</f>
        <v>1115120 - Instalación Empalmes</v>
      </c>
      <c r="H2486" s="146" t="str">
        <f>+VLOOKUP(D2486,'3. Cuentas'!A:F,6,0)</f>
        <v>SI</v>
      </c>
    </row>
    <row r="2487" spans="1:8" x14ac:dyDescent="0.25">
      <c r="A2487" s="43">
        <v>10360204</v>
      </c>
      <c r="B2487" t="s">
        <v>1439</v>
      </c>
      <c r="C2487" s="43" t="s">
        <v>1624</v>
      </c>
      <c r="D2487" s="43">
        <v>1115170</v>
      </c>
      <c r="E2487" t="s">
        <v>293</v>
      </c>
      <c r="F2487" s="47" t="str">
        <f>+Centro_Cuenta8[[#This Row],[Codigo Centro Gestion]]&amp;" - "&amp;Centro_Cuenta8[[#This Row],[Nombre Centro Gestion]]</f>
        <v>10360204 - Francisco Zelada Torre A-Proyecto</v>
      </c>
      <c r="G2487" s="47" t="str">
        <f>+Centro_Cuenta8[[#This Row],[Código Cuenta Contable]]&amp;" - "&amp;Centro_Cuenta8[[#This Row],[Nombre de Cuenta Contable]]</f>
        <v>1115170 - Permisos Y Otros Gastos Municipales</v>
      </c>
      <c r="H2487" s="146" t="str">
        <f>+VLOOKUP(D2487,'3. Cuentas'!A:F,6,0)</f>
        <v>SI</v>
      </c>
    </row>
    <row r="2488" spans="1:8" x14ac:dyDescent="0.25">
      <c r="A2488" s="43">
        <v>10360204</v>
      </c>
      <c r="B2488" t="s">
        <v>1439</v>
      </c>
      <c r="C2488" s="43" t="s">
        <v>1624</v>
      </c>
      <c r="D2488" s="43">
        <v>1115240</v>
      </c>
      <c r="E2488" t="s">
        <v>294</v>
      </c>
      <c r="F2488" s="47" t="str">
        <f>+Centro_Cuenta8[[#This Row],[Codigo Centro Gestion]]&amp;" - "&amp;Centro_Cuenta8[[#This Row],[Nombre Centro Gestion]]</f>
        <v>10360204 - Francisco Zelada Torre A-Proyecto</v>
      </c>
      <c r="G2488" s="47" t="str">
        <f>+Centro_Cuenta8[[#This Row],[Código Cuenta Contable]]&amp;" - "&amp;Centro_Cuenta8[[#This Row],[Nombre de Cuenta Contable]]</f>
        <v>1115240 - Estudios Y Asesorias Técnicas</v>
      </c>
      <c r="H2488" s="146" t="str">
        <f>+VLOOKUP(D2488,'3. Cuentas'!A:F,6,0)</f>
        <v>SI</v>
      </c>
    </row>
    <row r="2489" spans="1:8" x14ac:dyDescent="0.25">
      <c r="A2489" s="43">
        <v>10360204</v>
      </c>
      <c r="B2489" t="s">
        <v>1439</v>
      </c>
      <c r="C2489" s="43" t="s">
        <v>1624</v>
      </c>
      <c r="D2489" s="43">
        <v>4203090</v>
      </c>
      <c r="E2489" t="s">
        <v>192</v>
      </c>
      <c r="F2489" s="47" t="str">
        <f>+Centro_Cuenta8[[#This Row],[Codigo Centro Gestion]]&amp;" - "&amp;Centro_Cuenta8[[#This Row],[Nombre Centro Gestion]]</f>
        <v>10360204 - Francisco Zelada Torre A-Proyecto</v>
      </c>
      <c r="G2489" s="47" t="str">
        <f>+Centro_Cuenta8[[#This Row],[Código Cuenta Contable]]&amp;" - "&amp;Centro_Cuenta8[[#This Row],[Nombre de Cuenta Contable]]</f>
        <v>4203090 - Gastos Legales Y Notariales Proyecto</v>
      </c>
      <c r="H2489" s="146" t="str">
        <f>+VLOOKUP(D2489,'3. Cuentas'!A:F,6,0)</f>
        <v>SI</v>
      </c>
    </row>
    <row r="2490" spans="1:8" x14ac:dyDescent="0.25">
      <c r="A2490" s="43">
        <v>10360204</v>
      </c>
      <c r="B2490" t="s">
        <v>1439</v>
      </c>
      <c r="C2490" s="43" t="s">
        <v>1624</v>
      </c>
      <c r="D2490" s="43">
        <v>4203140</v>
      </c>
      <c r="E2490" t="s">
        <v>109</v>
      </c>
      <c r="F2490" s="47" t="str">
        <f>+Centro_Cuenta8[[#This Row],[Codigo Centro Gestion]]&amp;" - "&amp;Centro_Cuenta8[[#This Row],[Nombre Centro Gestion]]</f>
        <v>10360204 - Francisco Zelada Torre A-Proyecto</v>
      </c>
      <c r="G2490" s="47" t="str">
        <f>+Centro_Cuenta8[[#This Row],[Código Cuenta Contable]]&amp;" - "&amp;Centro_Cuenta8[[#This Row],[Nombre de Cuenta Contable]]</f>
        <v>4203140 - Contribuciones</v>
      </c>
      <c r="H2490" s="146" t="str">
        <f>+VLOOKUP(D2490,'3. Cuentas'!A:F,6,0)</f>
        <v>SI</v>
      </c>
    </row>
    <row r="2491" spans="1:8" x14ac:dyDescent="0.25">
      <c r="A2491" s="43">
        <v>10360204</v>
      </c>
      <c r="B2491" t="s">
        <v>1439</v>
      </c>
      <c r="C2491" s="43" t="s">
        <v>1624</v>
      </c>
      <c r="D2491" s="43">
        <v>4203150</v>
      </c>
      <c r="E2491" t="s">
        <v>156</v>
      </c>
      <c r="F2491" s="47" t="str">
        <f>+Centro_Cuenta8[[#This Row],[Codigo Centro Gestion]]&amp;" - "&amp;Centro_Cuenta8[[#This Row],[Nombre Centro Gestion]]</f>
        <v>10360204 - Francisco Zelada Torre A-Proyecto</v>
      </c>
      <c r="G2491" s="47" t="str">
        <f>+Centro_Cuenta8[[#This Row],[Código Cuenta Contable]]&amp;" - "&amp;Centro_Cuenta8[[#This Row],[Nombre de Cuenta Contable]]</f>
        <v>4203150 - Gastos CBR</v>
      </c>
      <c r="H2491" s="146" t="str">
        <f>+VLOOKUP(D2491,'3. Cuentas'!A:F,6,0)</f>
        <v>SI</v>
      </c>
    </row>
    <row r="2492" spans="1:8" x14ac:dyDescent="0.25">
      <c r="A2492" s="43">
        <v>10360204</v>
      </c>
      <c r="B2492" t="s">
        <v>1439</v>
      </c>
      <c r="C2492" s="43" t="s">
        <v>1624</v>
      </c>
      <c r="D2492" s="43">
        <v>4203160</v>
      </c>
      <c r="E2492" t="s">
        <v>1639</v>
      </c>
      <c r="F2492" s="47" t="str">
        <f>+Centro_Cuenta8[[#This Row],[Codigo Centro Gestion]]&amp;" - "&amp;Centro_Cuenta8[[#This Row],[Nombre Centro Gestion]]</f>
        <v>10360204 - Francisco Zelada Torre A-Proyecto</v>
      </c>
      <c r="G2492" s="47" t="str">
        <f>+Centro_Cuenta8[[#This Row],[Código Cuenta Contable]]&amp;" - "&amp;Centro_Cuenta8[[#This Row],[Nombre de Cuenta Contable]]</f>
        <v>4203160 - PAPELERIA Y FOTOCOPIADO</v>
      </c>
      <c r="H2492" s="146" t="str">
        <f>+VLOOKUP(D2492,'3. Cuentas'!A:F,6,0)</f>
        <v>SI</v>
      </c>
    </row>
    <row r="2493" spans="1:8" x14ac:dyDescent="0.25">
      <c r="A2493" s="43">
        <v>10360204</v>
      </c>
      <c r="B2493" t="s">
        <v>1439</v>
      </c>
      <c r="C2493" s="43" t="s">
        <v>1624</v>
      </c>
      <c r="D2493" s="43">
        <v>4203180</v>
      </c>
      <c r="E2493" t="s">
        <v>1640</v>
      </c>
      <c r="F2493" s="47" t="str">
        <f>+Centro_Cuenta8[[#This Row],[Codigo Centro Gestion]]&amp;" - "&amp;Centro_Cuenta8[[#This Row],[Nombre Centro Gestion]]</f>
        <v>10360204 - Francisco Zelada Torre A-Proyecto</v>
      </c>
      <c r="G2493" s="47" t="str">
        <f>+Centro_Cuenta8[[#This Row],[Código Cuenta Contable]]&amp;" - "&amp;Centro_Cuenta8[[#This Row],[Nombre de Cuenta Contable]]</f>
        <v>4203180 - Otros Gastos y Aseso Proy</v>
      </c>
      <c r="H2493" s="146" t="str">
        <f>+VLOOKUP(D2493,'3. Cuentas'!A:F,6,0)</f>
        <v>SI</v>
      </c>
    </row>
    <row r="2494" spans="1:8" x14ac:dyDescent="0.25">
      <c r="A2494" s="43">
        <v>10360301</v>
      </c>
      <c r="B2494" t="s">
        <v>1440</v>
      </c>
      <c r="C2494" s="43" t="s">
        <v>1643</v>
      </c>
      <c r="D2494" s="43">
        <v>4203090</v>
      </c>
      <c r="E2494" t="s">
        <v>192</v>
      </c>
      <c r="F2494" s="47" t="str">
        <f>+Centro_Cuenta8[[#This Row],[Codigo Centro Gestion]]&amp;" - "&amp;Centro_Cuenta8[[#This Row],[Nombre Centro Gestion]]</f>
        <v>10360301 - Francisco Zelada Torre A-GAF</v>
      </c>
      <c r="G2494" s="47" t="str">
        <f>+Centro_Cuenta8[[#This Row],[Código Cuenta Contable]]&amp;" - "&amp;Centro_Cuenta8[[#This Row],[Nombre de Cuenta Contable]]</f>
        <v>4203090 - Gastos Legales Y Notariales Proyecto</v>
      </c>
      <c r="H2494" s="146" t="str">
        <f>+VLOOKUP(D2494,'3. Cuentas'!A:F,6,0)</f>
        <v>SI</v>
      </c>
    </row>
    <row r="2495" spans="1:8" x14ac:dyDescent="0.25">
      <c r="A2495" s="43">
        <v>10360301</v>
      </c>
      <c r="B2495" t="s">
        <v>1440</v>
      </c>
      <c r="C2495" s="43" t="s">
        <v>1643</v>
      </c>
      <c r="D2495" s="43">
        <v>4203140</v>
      </c>
      <c r="E2495" t="s">
        <v>109</v>
      </c>
      <c r="F2495" s="47" t="str">
        <f>+Centro_Cuenta8[[#This Row],[Codigo Centro Gestion]]&amp;" - "&amp;Centro_Cuenta8[[#This Row],[Nombre Centro Gestion]]</f>
        <v>10360301 - Francisco Zelada Torre A-GAF</v>
      </c>
      <c r="G2495" s="47" t="str">
        <f>+Centro_Cuenta8[[#This Row],[Código Cuenta Contable]]&amp;" - "&amp;Centro_Cuenta8[[#This Row],[Nombre de Cuenta Contable]]</f>
        <v>4203140 - Contribuciones</v>
      </c>
      <c r="H2495" s="146" t="str">
        <f>+VLOOKUP(D2495,'3. Cuentas'!A:F,6,0)</f>
        <v>SI</v>
      </c>
    </row>
    <row r="2496" spans="1:8" x14ac:dyDescent="0.25">
      <c r="A2496" s="43">
        <v>10360506</v>
      </c>
      <c r="B2496" t="s">
        <v>1442</v>
      </c>
      <c r="C2496" s="43" t="s">
        <v>200</v>
      </c>
      <c r="D2496" s="43">
        <v>1115100</v>
      </c>
      <c r="E2496" t="s">
        <v>292</v>
      </c>
      <c r="F2496" s="47" t="str">
        <f>+Centro_Cuenta8[[#This Row],[Codigo Centro Gestion]]&amp;" - "&amp;Centro_Cuenta8[[#This Row],[Nombre Centro Gestion]]</f>
        <v>10360506 - Francisco Zelada Torre A-Depto.Técnico</v>
      </c>
      <c r="G2496" s="47" t="str">
        <f>+Centro_Cuenta8[[#This Row],[Código Cuenta Contable]]&amp;" - "&amp;Centro_Cuenta8[[#This Row],[Nombre de Cuenta Contable]]</f>
        <v>1115100 - Proyectos Y Especialidades</v>
      </c>
      <c r="H2496" s="146" t="str">
        <f>+VLOOKUP(D2496,'3. Cuentas'!A:F,6,0)</f>
        <v>SI</v>
      </c>
    </row>
    <row r="2497" spans="1:8" x14ac:dyDescent="0.25">
      <c r="A2497" s="43">
        <v>10361102</v>
      </c>
      <c r="B2497" t="s">
        <v>1443</v>
      </c>
      <c r="C2497" s="43" t="s">
        <v>1617</v>
      </c>
      <c r="D2497" s="43">
        <v>4204010</v>
      </c>
      <c r="E2497" t="s">
        <v>313</v>
      </c>
      <c r="F2497" s="47" t="str">
        <f>+Centro_Cuenta8[[#This Row],[Codigo Centro Gestion]]&amp;" - "&amp;Centro_Cuenta8[[#This Row],[Nombre Centro Gestion]]</f>
        <v>10361102 - Carmen 1879-Marketing</v>
      </c>
      <c r="G2497" s="47" t="str">
        <f>+Centro_Cuenta8[[#This Row],[Código Cuenta Contable]]&amp;" - "&amp;Centro_Cuenta8[[#This Row],[Nombre de Cuenta Contable]]</f>
        <v>4204010 - Publicidad Punto Venta</v>
      </c>
      <c r="H2497" s="146" t="str">
        <f>+VLOOKUP(D2497,'3. Cuentas'!A:F,6,0)</f>
        <v>SI</v>
      </c>
    </row>
    <row r="2498" spans="1:8" x14ac:dyDescent="0.25">
      <c r="A2498" s="43">
        <v>10361102</v>
      </c>
      <c r="B2498" t="s">
        <v>1443</v>
      </c>
      <c r="C2498" s="43" t="s">
        <v>1617</v>
      </c>
      <c r="D2498" s="43">
        <v>4204021</v>
      </c>
      <c r="E2498" t="s">
        <v>329</v>
      </c>
      <c r="F2498" s="47" t="str">
        <f>+Centro_Cuenta8[[#This Row],[Codigo Centro Gestion]]&amp;" - "&amp;Centro_Cuenta8[[#This Row],[Nombre Centro Gestion]]</f>
        <v>10361102 - Carmen 1879-Marketing</v>
      </c>
      <c r="G2498" s="47" t="str">
        <f>+Centro_Cuenta8[[#This Row],[Código Cuenta Contable]]&amp;" - "&amp;Centro_Cuenta8[[#This Row],[Nombre de Cuenta Contable]]</f>
        <v>4204021 - Publicidad Ferias Y Eventos</v>
      </c>
      <c r="H2498" s="146" t="str">
        <f>+VLOOKUP(D2498,'3. Cuentas'!A:F,6,0)</f>
        <v>SI</v>
      </c>
    </row>
    <row r="2499" spans="1:8" x14ac:dyDescent="0.25">
      <c r="A2499" s="43">
        <v>10361103</v>
      </c>
      <c r="B2499" t="s">
        <v>1444</v>
      </c>
      <c r="C2499" s="43" t="s">
        <v>1618</v>
      </c>
      <c r="D2499" s="43">
        <v>4203060</v>
      </c>
      <c r="E2499" t="s">
        <v>321</v>
      </c>
      <c r="F2499" s="47" t="str">
        <f>+Centro_Cuenta8[[#This Row],[Codigo Centro Gestion]]&amp;" - "&amp;Centro_Cuenta8[[#This Row],[Nombre Centro Gestion]]</f>
        <v>10361103 - Carmen 1879-Operaciones</v>
      </c>
      <c r="G2499" s="47" t="str">
        <f>+Centro_Cuenta8[[#This Row],[Código Cuenta Contable]]&amp;" - "&amp;Centro_Cuenta8[[#This Row],[Nombre de Cuenta Contable]]</f>
        <v>4203060 - Gastos Operacionales De Clientes</v>
      </c>
      <c r="H2499" s="146" t="str">
        <f>+VLOOKUP(D2499,'3. Cuentas'!A:F,6,0)</f>
        <v>SI</v>
      </c>
    </row>
    <row r="2500" spans="1:8" x14ac:dyDescent="0.25">
      <c r="A2500" s="43">
        <v>10361103</v>
      </c>
      <c r="B2500" t="s">
        <v>1444</v>
      </c>
      <c r="C2500" s="43" t="s">
        <v>1618</v>
      </c>
      <c r="D2500" s="43">
        <v>4203090</v>
      </c>
      <c r="E2500" t="s">
        <v>192</v>
      </c>
      <c r="F2500" s="47" t="str">
        <f>+Centro_Cuenta8[[#This Row],[Codigo Centro Gestion]]&amp;" - "&amp;Centro_Cuenta8[[#This Row],[Nombre Centro Gestion]]</f>
        <v>10361103 - Carmen 1879-Operaciones</v>
      </c>
      <c r="G2500" s="47" t="str">
        <f>+Centro_Cuenta8[[#This Row],[Código Cuenta Contable]]&amp;" - "&amp;Centro_Cuenta8[[#This Row],[Nombre de Cuenta Contable]]</f>
        <v>4203090 - Gastos Legales Y Notariales Proyecto</v>
      </c>
      <c r="H2500" s="146" t="str">
        <f>+VLOOKUP(D2500,'3. Cuentas'!A:F,6,0)</f>
        <v>SI</v>
      </c>
    </row>
    <row r="2501" spans="1:8" x14ac:dyDescent="0.25">
      <c r="A2501" s="43">
        <v>10361104</v>
      </c>
      <c r="B2501" t="s">
        <v>1445</v>
      </c>
      <c r="C2501" s="43" t="s">
        <v>90</v>
      </c>
      <c r="D2501" s="43">
        <v>1110040</v>
      </c>
      <c r="E2501" t="s">
        <v>1505</v>
      </c>
      <c r="F2501" s="47" t="str">
        <f>+Centro_Cuenta8[[#This Row],[Codigo Centro Gestion]]&amp;" - "&amp;Centro_Cuenta8[[#This Row],[Nombre Centro Gestion]]</f>
        <v>10361104 - Carmen 1879-Ventas</v>
      </c>
      <c r="G2501" s="47" t="str">
        <f>+Centro_Cuenta8[[#This Row],[Código Cuenta Contable]]&amp;" - "&amp;Centro_Cuenta8[[#This Row],[Nombre de Cuenta Contable]]</f>
        <v>1110040 - Garantía Pagadas</v>
      </c>
      <c r="H2501" s="146" t="str">
        <f>+VLOOKUP(D2501,'3. Cuentas'!A:F,6,0)</f>
        <v>SI</v>
      </c>
    </row>
    <row r="2502" spans="1:8" x14ac:dyDescent="0.25">
      <c r="A2502" s="43">
        <v>10361104</v>
      </c>
      <c r="B2502" t="s">
        <v>1445</v>
      </c>
      <c r="C2502" s="43" t="s">
        <v>90</v>
      </c>
      <c r="D2502" s="43">
        <v>4202003</v>
      </c>
      <c r="E2502" t="s">
        <v>106</v>
      </c>
      <c r="F2502" s="47" t="str">
        <f>+Centro_Cuenta8[[#This Row],[Codigo Centro Gestion]]&amp;" - "&amp;Centro_Cuenta8[[#This Row],[Nombre Centro Gestion]]</f>
        <v>10361104 - Carmen 1879-Ventas</v>
      </c>
      <c r="G2502" s="47" t="str">
        <f>+Centro_Cuenta8[[#This Row],[Código Cuenta Contable]]&amp;" - "&amp;Centro_Cuenta8[[#This Row],[Nombre de Cuenta Contable]]</f>
        <v>4202003 - Serv.Basic.Luz.Agua.Tel Of.C</v>
      </c>
      <c r="H2502" s="146" t="str">
        <f>+VLOOKUP(D2502,'3. Cuentas'!A:F,6,0)</f>
        <v>SI</v>
      </c>
    </row>
    <row r="2503" spans="1:8" x14ac:dyDescent="0.25">
      <c r="A2503" s="43">
        <v>10361104</v>
      </c>
      <c r="B2503" t="s">
        <v>1445</v>
      </c>
      <c r="C2503" s="43" t="s">
        <v>90</v>
      </c>
      <c r="D2503" s="43">
        <v>4202010</v>
      </c>
      <c r="E2503" t="s">
        <v>87</v>
      </c>
      <c r="F2503" s="47" t="str">
        <f>+Centro_Cuenta8[[#This Row],[Codigo Centro Gestion]]&amp;" - "&amp;Centro_Cuenta8[[#This Row],[Nombre Centro Gestion]]</f>
        <v>10361104 - Carmen 1879-Ventas</v>
      </c>
      <c r="G2503" s="47" t="str">
        <f>+Centro_Cuenta8[[#This Row],[Código Cuenta Contable]]&amp;" - "&amp;Centro_Cuenta8[[#This Row],[Nombre de Cuenta Contable]]</f>
        <v>4202010 - Artic. Ofic. Fotocop.Papelería</v>
      </c>
      <c r="H2503" s="146" t="str">
        <f>+VLOOKUP(D2503,'3. Cuentas'!A:F,6,0)</f>
        <v>SI</v>
      </c>
    </row>
    <row r="2504" spans="1:8" x14ac:dyDescent="0.25">
      <c r="A2504" s="43">
        <v>10361104</v>
      </c>
      <c r="B2504" t="s">
        <v>1445</v>
      </c>
      <c r="C2504" s="43" t="s">
        <v>90</v>
      </c>
      <c r="D2504" s="43">
        <v>4202019</v>
      </c>
      <c r="E2504" t="s">
        <v>81</v>
      </c>
      <c r="F2504" s="47" t="str">
        <f>+Centro_Cuenta8[[#This Row],[Codigo Centro Gestion]]&amp;" - "&amp;Centro_Cuenta8[[#This Row],[Nombre Centro Gestion]]</f>
        <v>10361104 - Carmen 1879-Ventas</v>
      </c>
      <c r="G2504" s="47" t="str">
        <f>+Centro_Cuenta8[[#This Row],[Código Cuenta Contable]]&amp;" - "&amp;Centro_Cuenta8[[#This Row],[Nombre de Cuenta Contable]]</f>
        <v>4202019 - Gasto General Oficina</v>
      </c>
      <c r="H2504" s="146" t="str">
        <f>+VLOOKUP(D2504,'3. Cuentas'!A:F,6,0)</f>
        <v>SI</v>
      </c>
    </row>
    <row r="2505" spans="1:8" x14ac:dyDescent="0.25">
      <c r="A2505" s="43">
        <v>10361104</v>
      </c>
      <c r="B2505" t="s">
        <v>1445</v>
      </c>
      <c r="C2505" s="43" t="s">
        <v>90</v>
      </c>
      <c r="D2505" s="43">
        <v>4202023</v>
      </c>
      <c r="E2505" t="s">
        <v>82</v>
      </c>
      <c r="F2505" s="47" t="str">
        <f>+Centro_Cuenta8[[#This Row],[Codigo Centro Gestion]]&amp;" - "&amp;Centro_Cuenta8[[#This Row],[Nombre Centro Gestion]]</f>
        <v>10361104 - Carmen 1879-Ventas</v>
      </c>
      <c r="G2505" s="47" t="str">
        <f>+Centro_Cuenta8[[#This Row],[Código Cuenta Contable]]&amp;" - "&amp;Centro_Cuenta8[[#This Row],[Nombre de Cuenta Contable]]</f>
        <v>4202023 - Honorarios Por Asesorías</v>
      </c>
      <c r="H2505" s="146" t="str">
        <f>+VLOOKUP(D2505,'3. Cuentas'!A:F,6,0)</f>
        <v>SI</v>
      </c>
    </row>
    <row r="2506" spans="1:8" x14ac:dyDescent="0.25">
      <c r="A2506" s="43">
        <v>10361104</v>
      </c>
      <c r="B2506" t="s">
        <v>1445</v>
      </c>
      <c r="C2506" s="43" t="s">
        <v>90</v>
      </c>
      <c r="D2506" s="43">
        <v>4202029</v>
      </c>
      <c r="E2506" t="s">
        <v>83</v>
      </c>
      <c r="F2506" s="47" t="str">
        <f>+Centro_Cuenta8[[#This Row],[Codigo Centro Gestion]]&amp;" - "&amp;Centro_Cuenta8[[#This Row],[Nombre Centro Gestion]]</f>
        <v>10361104 - Carmen 1879-Ventas</v>
      </c>
      <c r="G2506" s="47" t="str">
        <f>+Centro_Cuenta8[[#This Row],[Código Cuenta Contable]]&amp;" - "&amp;Centro_Cuenta8[[#This Row],[Nombre de Cuenta Contable]]</f>
        <v>4202029 - Insumos Y Gastos Informáticos</v>
      </c>
      <c r="H2506" s="146" t="str">
        <f>+VLOOKUP(D2506,'3. Cuentas'!A:F,6,0)</f>
        <v>SI</v>
      </c>
    </row>
    <row r="2507" spans="1:8" x14ac:dyDescent="0.25">
      <c r="A2507" s="43">
        <v>10361104</v>
      </c>
      <c r="B2507" t="s">
        <v>1445</v>
      </c>
      <c r="C2507" s="43" t="s">
        <v>90</v>
      </c>
      <c r="D2507" s="43">
        <v>4204021</v>
      </c>
      <c r="E2507" t="s">
        <v>329</v>
      </c>
      <c r="F2507" s="47" t="str">
        <f>+Centro_Cuenta8[[#This Row],[Codigo Centro Gestion]]&amp;" - "&amp;Centro_Cuenta8[[#This Row],[Nombre Centro Gestion]]</f>
        <v>10361104 - Carmen 1879-Ventas</v>
      </c>
      <c r="G2507" s="47" t="str">
        <f>+Centro_Cuenta8[[#This Row],[Código Cuenta Contable]]&amp;" - "&amp;Centro_Cuenta8[[#This Row],[Nombre de Cuenta Contable]]</f>
        <v>4204021 - Publicidad Ferias Y Eventos</v>
      </c>
      <c r="H2507" s="146" t="str">
        <f>+VLOOKUP(D2507,'3. Cuentas'!A:F,6,0)</f>
        <v>SI</v>
      </c>
    </row>
    <row r="2508" spans="1:8" x14ac:dyDescent="0.25">
      <c r="A2508" s="43">
        <v>10361105</v>
      </c>
      <c r="B2508" t="s">
        <v>1446</v>
      </c>
      <c r="C2508" s="43" t="s">
        <v>1622</v>
      </c>
      <c r="D2508" s="43">
        <v>4203020</v>
      </c>
      <c r="E2508" t="s">
        <v>295</v>
      </c>
      <c r="F2508" s="47" t="str">
        <f>+Centro_Cuenta8[[#This Row],[Codigo Centro Gestion]]&amp;" - "&amp;Centro_Cuenta8[[#This Row],[Nombre Centro Gestion]]</f>
        <v>10361105 - Carmen 1879-Clientes</v>
      </c>
      <c r="G2508" s="47" t="str">
        <f>+Centro_Cuenta8[[#This Row],[Código Cuenta Contable]]&amp;" - "&amp;Centro_Cuenta8[[#This Row],[Nombre de Cuenta Contable]]</f>
        <v>4203020 - Mant. y Consum. Viv Stock</v>
      </c>
      <c r="H2508" s="146" t="str">
        <f>+VLOOKUP(D2508,'3. Cuentas'!A:F,6,0)</f>
        <v>SI</v>
      </c>
    </row>
    <row r="2509" spans="1:8" x14ac:dyDescent="0.25">
      <c r="A2509" s="43">
        <v>10361105</v>
      </c>
      <c r="B2509" t="s">
        <v>1446</v>
      </c>
      <c r="C2509" s="43" t="s">
        <v>1622</v>
      </c>
      <c r="D2509" s="43">
        <v>4203120</v>
      </c>
      <c r="E2509" t="s">
        <v>108</v>
      </c>
      <c r="F2509" s="47" t="str">
        <f>+Centro_Cuenta8[[#This Row],[Codigo Centro Gestion]]&amp;" - "&amp;Centro_Cuenta8[[#This Row],[Nombre Centro Gestion]]</f>
        <v>10361105 - Carmen 1879-Clientes</v>
      </c>
      <c r="G2509" s="47" t="str">
        <f>+Centro_Cuenta8[[#This Row],[Código Cuenta Contable]]&amp;" - "&amp;Centro_Cuenta8[[#This Row],[Nombre de Cuenta Contable]]</f>
        <v>4203120 - Gastos Comunes</v>
      </c>
      <c r="H2509" s="146" t="str">
        <f>+VLOOKUP(D2509,'3. Cuentas'!A:F,6,0)</f>
        <v>SI</v>
      </c>
    </row>
    <row r="2510" spans="1:8" x14ac:dyDescent="0.25">
      <c r="A2510" s="43">
        <v>10361105</v>
      </c>
      <c r="B2510" t="s">
        <v>1446</v>
      </c>
      <c r="C2510" s="43" t="s">
        <v>1622</v>
      </c>
      <c r="D2510" s="43">
        <v>4203140</v>
      </c>
      <c r="E2510" t="s">
        <v>109</v>
      </c>
      <c r="F2510" s="47" t="str">
        <f>+Centro_Cuenta8[[#This Row],[Codigo Centro Gestion]]&amp;" - "&amp;Centro_Cuenta8[[#This Row],[Nombre Centro Gestion]]</f>
        <v>10361105 - Carmen 1879-Clientes</v>
      </c>
      <c r="G2510" s="47" t="str">
        <f>+Centro_Cuenta8[[#This Row],[Código Cuenta Contable]]&amp;" - "&amp;Centro_Cuenta8[[#This Row],[Nombre de Cuenta Contable]]</f>
        <v>4203140 - Contribuciones</v>
      </c>
      <c r="H2510" s="146" t="str">
        <f>+VLOOKUP(D2510,'3. Cuentas'!A:F,6,0)</f>
        <v>SI</v>
      </c>
    </row>
    <row r="2511" spans="1:8" x14ac:dyDescent="0.25">
      <c r="A2511" s="43">
        <v>10361204</v>
      </c>
      <c r="B2511" t="s">
        <v>1447</v>
      </c>
      <c r="C2511" s="43" t="s">
        <v>1624</v>
      </c>
      <c r="D2511" s="43">
        <v>1103045</v>
      </c>
      <c r="E2511" t="s">
        <v>323</v>
      </c>
      <c r="F2511" s="47" t="str">
        <f>+Centro_Cuenta8[[#This Row],[Codigo Centro Gestion]]&amp;" - "&amp;Centro_Cuenta8[[#This Row],[Nombre Centro Gestion]]</f>
        <v>10361204 - Carmen 1879-Proyecto</v>
      </c>
      <c r="G2511" s="47" t="str">
        <f>+Centro_Cuenta8[[#This Row],[Código Cuenta Contable]]&amp;" - "&amp;Centro_Cuenta8[[#This Row],[Nombre de Cuenta Contable]]</f>
        <v>1103045 - Aportes reembolsables (electricidad y agua)</v>
      </c>
      <c r="H2511" s="146" t="str">
        <f>+VLOOKUP(D2511,'3. Cuentas'!A:F,6,0)</f>
        <v>SI</v>
      </c>
    </row>
    <row r="2512" spans="1:8" x14ac:dyDescent="0.25">
      <c r="A2512" s="43">
        <v>10361204</v>
      </c>
      <c r="B2512" t="s">
        <v>1447</v>
      </c>
      <c r="C2512" s="43" t="s">
        <v>1624</v>
      </c>
      <c r="D2512" s="43">
        <v>1109020</v>
      </c>
      <c r="E2512" t="s">
        <v>302</v>
      </c>
      <c r="F2512" s="47" t="str">
        <f>+Centro_Cuenta8[[#This Row],[Codigo Centro Gestion]]&amp;" - "&amp;Centro_Cuenta8[[#This Row],[Nombre Centro Gestion]]</f>
        <v>10361204 - Carmen 1879-Proyecto</v>
      </c>
      <c r="G2512" s="47" t="str">
        <f>+Centro_Cuenta8[[#This Row],[Código Cuenta Contable]]&amp;" - "&amp;Centro_Cuenta8[[#This Row],[Nombre de Cuenta Contable]]</f>
        <v>1109020 - Mobiliario</v>
      </c>
      <c r="H2512" s="146" t="str">
        <f>+VLOOKUP(D2512,'3. Cuentas'!A:F,6,0)</f>
        <v>SI</v>
      </c>
    </row>
    <row r="2513" spans="1:8" x14ac:dyDescent="0.25">
      <c r="A2513" s="43">
        <v>10361204</v>
      </c>
      <c r="B2513" t="s">
        <v>1447</v>
      </c>
      <c r="C2513" s="43" t="s">
        <v>1624</v>
      </c>
      <c r="D2513" s="43">
        <v>1110040</v>
      </c>
      <c r="E2513" t="s">
        <v>1505</v>
      </c>
      <c r="F2513" s="47" t="str">
        <f>+Centro_Cuenta8[[#This Row],[Codigo Centro Gestion]]&amp;" - "&amp;Centro_Cuenta8[[#This Row],[Nombre Centro Gestion]]</f>
        <v>10361204 - Carmen 1879-Proyecto</v>
      </c>
      <c r="G2513" s="47" t="str">
        <f>+Centro_Cuenta8[[#This Row],[Código Cuenta Contable]]&amp;" - "&amp;Centro_Cuenta8[[#This Row],[Nombre de Cuenta Contable]]</f>
        <v>1110040 - Garantía Pagadas</v>
      </c>
      <c r="H2513" s="146" t="str">
        <f>+VLOOKUP(D2513,'3. Cuentas'!A:F,6,0)</f>
        <v>SI</v>
      </c>
    </row>
    <row r="2514" spans="1:8" x14ac:dyDescent="0.25">
      <c r="A2514" s="43">
        <v>10361204</v>
      </c>
      <c r="B2514" t="s">
        <v>1447</v>
      </c>
      <c r="C2514" s="43" t="s">
        <v>1624</v>
      </c>
      <c r="D2514" s="43">
        <v>1115040</v>
      </c>
      <c r="E2514" t="s">
        <v>291</v>
      </c>
      <c r="F2514" s="47" t="str">
        <f>+Centro_Cuenta8[[#This Row],[Codigo Centro Gestion]]&amp;" - "&amp;Centro_Cuenta8[[#This Row],[Nombre Centro Gestion]]</f>
        <v>10361204 - Carmen 1879-Proyecto</v>
      </c>
      <c r="G2514" s="47" t="str">
        <f>+Centro_Cuenta8[[#This Row],[Código Cuenta Contable]]&amp;" - "&amp;Centro_Cuenta8[[#This Row],[Nombre de Cuenta Contable]]</f>
        <v>1115040 - Saneamiento De Terreno</v>
      </c>
      <c r="H2514" s="146" t="str">
        <f>+VLOOKUP(D2514,'3. Cuentas'!A:F,6,0)</f>
        <v>SI</v>
      </c>
    </row>
    <row r="2515" spans="1:8" x14ac:dyDescent="0.25">
      <c r="A2515" s="43">
        <v>10361204</v>
      </c>
      <c r="B2515" t="s">
        <v>1447</v>
      </c>
      <c r="C2515" s="43" t="s">
        <v>1624</v>
      </c>
      <c r="D2515" s="43">
        <v>1115050</v>
      </c>
      <c r="E2515" t="s">
        <v>1628</v>
      </c>
      <c r="F2515" s="47" t="str">
        <f>+Centro_Cuenta8[[#This Row],[Codigo Centro Gestion]]&amp;" - "&amp;Centro_Cuenta8[[#This Row],[Nombre Centro Gestion]]</f>
        <v>10361204 - Carmen 1879-Proyecto</v>
      </c>
      <c r="G2515" s="47" t="str">
        <f>+Centro_Cuenta8[[#This Row],[Código Cuenta Contable]]&amp;" - "&amp;Centro_Cuenta8[[#This Row],[Nombre de Cuenta Contable]]</f>
        <v>1115050 - Demolición</v>
      </c>
      <c r="H2515" s="146" t="str">
        <f>+VLOOKUP(D2515,'3. Cuentas'!A:F,6,0)</f>
        <v>SI</v>
      </c>
    </row>
    <row r="2516" spans="1:8" x14ac:dyDescent="0.25">
      <c r="A2516" s="43">
        <v>10361204</v>
      </c>
      <c r="B2516" t="s">
        <v>1447</v>
      </c>
      <c r="C2516" s="43" t="s">
        <v>1624</v>
      </c>
      <c r="D2516" s="43">
        <v>1115100</v>
      </c>
      <c r="E2516" t="s">
        <v>292</v>
      </c>
      <c r="F2516" s="47" t="str">
        <f>+Centro_Cuenta8[[#This Row],[Codigo Centro Gestion]]&amp;" - "&amp;Centro_Cuenta8[[#This Row],[Nombre Centro Gestion]]</f>
        <v>10361204 - Carmen 1879-Proyecto</v>
      </c>
      <c r="G2516" s="47" t="str">
        <f>+Centro_Cuenta8[[#This Row],[Código Cuenta Contable]]&amp;" - "&amp;Centro_Cuenta8[[#This Row],[Nombre de Cuenta Contable]]</f>
        <v>1115100 - Proyectos Y Especialidades</v>
      </c>
      <c r="H2516" s="146" t="str">
        <f>+VLOOKUP(D2516,'3. Cuentas'!A:F,6,0)</f>
        <v>SI</v>
      </c>
    </row>
    <row r="2517" spans="1:8" x14ac:dyDescent="0.25">
      <c r="A2517" s="43">
        <v>10361204</v>
      </c>
      <c r="B2517" t="s">
        <v>1447</v>
      </c>
      <c r="C2517" s="43" t="s">
        <v>1624</v>
      </c>
      <c r="D2517" s="43">
        <v>1115120</v>
      </c>
      <c r="E2517" t="s">
        <v>1633</v>
      </c>
      <c r="F2517" s="47" t="str">
        <f>+Centro_Cuenta8[[#This Row],[Codigo Centro Gestion]]&amp;" - "&amp;Centro_Cuenta8[[#This Row],[Nombre Centro Gestion]]</f>
        <v>10361204 - Carmen 1879-Proyecto</v>
      </c>
      <c r="G2517" s="47" t="str">
        <f>+Centro_Cuenta8[[#This Row],[Código Cuenta Contable]]&amp;" - "&amp;Centro_Cuenta8[[#This Row],[Nombre de Cuenta Contable]]</f>
        <v>1115120 - Instalación Empalmes</v>
      </c>
      <c r="H2517" s="146" t="str">
        <f>+VLOOKUP(D2517,'3. Cuentas'!A:F,6,0)</f>
        <v>SI</v>
      </c>
    </row>
    <row r="2518" spans="1:8" x14ac:dyDescent="0.25">
      <c r="A2518" s="43">
        <v>10361204</v>
      </c>
      <c r="B2518" t="s">
        <v>1447</v>
      </c>
      <c r="C2518" s="43" t="s">
        <v>1624</v>
      </c>
      <c r="D2518" s="43">
        <v>1115170</v>
      </c>
      <c r="E2518" t="s">
        <v>293</v>
      </c>
      <c r="F2518" s="47" t="str">
        <f>+Centro_Cuenta8[[#This Row],[Codigo Centro Gestion]]&amp;" - "&amp;Centro_Cuenta8[[#This Row],[Nombre Centro Gestion]]</f>
        <v>10361204 - Carmen 1879-Proyecto</v>
      </c>
      <c r="G2518" s="47" t="str">
        <f>+Centro_Cuenta8[[#This Row],[Código Cuenta Contable]]&amp;" - "&amp;Centro_Cuenta8[[#This Row],[Nombre de Cuenta Contable]]</f>
        <v>1115170 - Permisos Y Otros Gastos Municipales</v>
      </c>
      <c r="H2518" s="146" t="str">
        <f>+VLOOKUP(D2518,'3. Cuentas'!A:F,6,0)</f>
        <v>SI</v>
      </c>
    </row>
    <row r="2519" spans="1:8" x14ac:dyDescent="0.25">
      <c r="A2519" s="43">
        <v>10361204</v>
      </c>
      <c r="B2519" t="s">
        <v>1447</v>
      </c>
      <c r="C2519" s="43" t="s">
        <v>1624</v>
      </c>
      <c r="D2519" s="43">
        <v>1115240</v>
      </c>
      <c r="E2519" t="s">
        <v>294</v>
      </c>
      <c r="F2519" s="47" t="str">
        <f>+Centro_Cuenta8[[#This Row],[Codigo Centro Gestion]]&amp;" - "&amp;Centro_Cuenta8[[#This Row],[Nombre Centro Gestion]]</f>
        <v>10361204 - Carmen 1879-Proyecto</v>
      </c>
      <c r="G2519" s="47" t="str">
        <f>+Centro_Cuenta8[[#This Row],[Código Cuenta Contable]]&amp;" - "&amp;Centro_Cuenta8[[#This Row],[Nombre de Cuenta Contable]]</f>
        <v>1115240 - Estudios Y Asesorias Técnicas</v>
      </c>
      <c r="H2519" s="146" t="str">
        <f>+VLOOKUP(D2519,'3. Cuentas'!A:F,6,0)</f>
        <v>SI</v>
      </c>
    </row>
    <row r="2520" spans="1:8" x14ac:dyDescent="0.25">
      <c r="A2520" s="43">
        <v>10361204</v>
      </c>
      <c r="B2520" t="s">
        <v>1447</v>
      </c>
      <c r="C2520" s="43" t="s">
        <v>1624</v>
      </c>
      <c r="D2520" s="43">
        <v>4203090</v>
      </c>
      <c r="E2520" t="s">
        <v>192</v>
      </c>
      <c r="F2520" s="47" t="str">
        <f>+Centro_Cuenta8[[#This Row],[Codigo Centro Gestion]]&amp;" - "&amp;Centro_Cuenta8[[#This Row],[Nombre Centro Gestion]]</f>
        <v>10361204 - Carmen 1879-Proyecto</v>
      </c>
      <c r="G2520" s="47" t="str">
        <f>+Centro_Cuenta8[[#This Row],[Código Cuenta Contable]]&amp;" - "&amp;Centro_Cuenta8[[#This Row],[Nombre de Cuenta Contable]]</f>
        <v>4203090 - Gastos Legales Y Notariales Proyecto</v>
      </c>
      <c r="H2520" s="146" t="str">
        <f>+VLOOKUP(D2520,'3. Cuentas'!A:F,6,0)</f>
        <v>SI</v>
      </c>
    </row>
    <row r="2521" spans="1:8" x14ac:dyDescent="0.25">
      <c r="A2521" s="43">
        <v>10361204</v>
      </c>
      <c r="B2521" t="s">
        <v>1447</v>
      </c>
      <c r="C2521" s="43" t="s">
        <v>1624</v>
      </c>
      <c r="D2521" s="43">
        <v>4203140</v>
      </c>
      <c r="E2521" t="s">
        <v>109</v>
      </c>
      <c r="F2521" s="47" t="str">
        <f>+Centro_Cuenta8[[#This Row],[Codigo Centro Gestion]]&amp;" - "&amp;Centro_Cuenta8[[#This Row],[Nombre Centro Gestion]]</f>
        <v>10361204 - Carmen 1879-Proyecto</v>
      </c>
      <c r="G2521" s="47" t="str">
        <f>+Centro_Cuenta8[[#This Row],[Código Cuenta Contable]]&amp;" - "&amp;Centro_Cuenta8[[#This Row],[Nombre de Cuenta Contable]]</f>
        <v>4203140 - Contribuciones</v>
      </c>
      <c r="H2521" s="146" t="str">
        <f>+VLOOKUP(D2521,'3. Cuentas'!A:F,6,0)</f>
        <v>SI</v>
      </c>
    </row>
    <row r="2522" spans="1:8" x14ac:dyDescent="0.25">
      <c r="A2522" s="43">
        <v>10361204</v>
      </c>
      <c r="B2522" t="s">
        <v>1447</v>
      </c>
      <c r="C2522" s="43" t="s">
        <v>1624</v>
      </c>
      <c r="D2522" s="43">
        <v>4203150</v>
      </c>
      <c r="E2522" t="s">
        <v>156</v>
      </c>
      <c r="F2522" s="47" t="str">
        <f>+Centro_Cuenta8[[#This Row],[Codigo Centro Gestion]]&amp;" - "&amp;Centro_Cuenta8[[#This Row],[Nombre Centro Gestion]]</f>
        <v>10361204 - Carmen 1879-Proyecto</v>
      </c>
      <c r="G2522" s="47" t="str">
        <f>+Centro_Cuenta8[[#This Row],[Código Cuenta Contable]]&amp;" - "&amp;Centro_Cuenta8[[#This Row],[Nombre de Cuenta Contable]]</f>
        <v>4203150 - Gastos CBR</v>
      </c>
      <c r="H2522" s="146" t="str">
        <f>+VLOOKUP(D2522,'3. Cuentas'!A:F,6,0)</f>
        <v>SI</v>
      </c>
    </row>
    <row r="2523" spans="1:8" x14ac:dyDescent="0.25">
      <c r="A2523" s="43">
        <v>10361204</v>
      </c>
      <c r="B2523" t="s">
        <v>1447</v>
      </c>
      <c r="C2523" s="43" t="s">
        <v>1624</v>
      </c>
      <c r="D2523" s="43">
        <v>4203160</v>
      </c>
      <c r="E2523" t="s">
        <v>1639</v>
      </c>
      <c r="F2523" s="47" t="str">
        <f>+Centro_Cuenta8[[#This Row],[Codigo Centro Gestion]]&amp;" - "&amp;Centro_Cuenta8[[#This Row],[Nombre Centro Gestion]]</f>
        <v>10361204 - Carmen 1879-Proyecto</v>
      </c>
      <c r="G2523" s="47" t="str">
        <f>+Centro_Cuenta8[[#This Row],[Código Cuenta Contable]]&amp;" - "&amp;Centro_Cuenta8[[#This Row],[Nombre de Cuenta Contable]]</f>
        <v>4203160 - PAPELERIA Y FOTOCOPIADO</v>
      </c>
      <c r="H2523" s="146" t="str">
        <f>+VLOOKUP(D2523,'3. Cuentas'!A:F,6,0)</f>
        <v>SI</v>
      </c>
    </row>
    <row r="2524" spans="1:8" x14ac:dyDescent="0.25">
      <c r="A2524" s="43">
        <v>10361204</v>
      </c>
      <c r="B2524" t="s">
        <v>1447</v>
      </c>
      <c r="C2524" s="43" t="s">
        <v>1624</v>
      </c>
      <c r="D2524" s="43">
        <v>4203180</v>
      </c>
      <c r="E2524" t="s">
        <v>1640</v>
      </c>
      <c r="F2524" s="47" t="str">
        <f>+Centro_Cuenta8[[#This Row],[Codigo Centro Gestion]]&amp;" - "&amp;Centro_Cuenta8[[#This Row],[Nombre Centro Gestion]]</f>
        <v>10361204 - Carmen 1879-Proyecto</v>
      </c>
      <c r="G2524" s="47" t="str">
        <f>+Centro_Cuenta8[[#This Row],[Código Cuenta Contable]]&amp;" - "&amp;Centro_Cuenta8[[#This Row],[Nombre de Cuenta Contable]]</f>
        <v>4203180 - Otros Gastos y Aseso Proy</v>
      </c>
      <c r="H2524" s="146" t="str">
        <f>+VLOOKUP(D2524,'3. Cuentas'!A:F,6,0)</f>
        <v>SI</v>
      </c>
    </row>
    <row r="2525" spans="1:8" x14ac:dyDescent="0.25">
      <c r="A2525" s="43">
        <v>10361301</v>
      </c>
      <c r="B2525" t="s">
        <v>1448</v>
      </c>
      <c r="C2525" s="43" t="s">
        <v>1643</v>
      </c>
      <c r="D2525" s="43">
        <v>4203090</v>
      </c>
      <c r="E2525" t="s">
        <v>192</v>
      </c>
      <c r="F2525" s="47" t="str">
        <f>+Centro_Cuenta8[[#This Row],[Codigo Centro Gestion]]&amp;" - "&amp;Centro_Cuenta8[[#This Row],[Nombre Centro Gestion]]</f>
        <v>10361301 - Carmen 1879-GAF</v>
      </c>
      <c r="G2525" s="47" t="str">
        <f>+Centro_Cuenta8[[#This Row],[Código Cuenta Contable]]&amp;" - "&amp;Centro_Cuenta8[[#This Row],[Nombre de Cuenta Contable]]</f>
        <v>4203090 - Gastos Legales Y Notariales Proyecto</v>
      </c>
      <c r="H2525" s="146" t="str">
        <f>+VLOOKUP(D2525,'3. Cuentas'!A:F,6,0)</f>
        <v>SI</v>
      </c>
    </row>
    <row r="2526" spans="1:8" x14ac:dyDescent="0.25">
      <c r="A2526" s="43">
        <v>10361301</v>
      </c>
      <c r="B2526" t="s">
        <v>1448</v>
      </c>
      <c r="C2526" s="43" t="s">
        <v>1643</v>
      </c>
      <c r="D2526" s="43">
        <v>4203140</v>
      </c>
      <c r="E2526" t="s">
        <v>109</v>
      </c>
      <c r="F2526" s="47" t="str">
        <f>+Centro_Cuenta8[[#This Row],[Codigo Centro Gestion]]&amp;" - "&amp;Centro_Cuenta8[[#This Row],[Nombre Centro Gestion]]</f>
        <v>10361301 - Carmen 1879-GAF</v>
      </c>
      <c r="G2526" s="47" t="str">
        <f>+Centro_Cuenta8[[#This Row],[Código Cuenta Contable]]&amp;" - "&amp;Centro_Cuenta8[[#This Row],[Nombre de Cuenta Contable]]</f>
        <v>4203140 - Contribuciones</v>
      </c>
      <c r="H2526" s="146" t="str">
        <f>+VLOOKUP(D2526,'3. Cuentas'!A:F,6,0)</f>
        <v>SI</v>
      </c>
    </row>
    <row r="2527" spans="1:8" x14ac:dyDescent="0.25">
      <c r="A2527" s="43">
        <v>10361506</v>
      </c>
      <c r="B2527" t="s">
        <v>1450</v>
      </c>
      <c r="C2527" s="43" t="s">
        <v>200</v>
      </c>
      <c r="D2527" s="43">
        <v>1115100</v>
      </c>
      <c r="E2527" t="s">
        <v>292</v>
      </c>
      <c r="F2527" s="47" t="str">
        <f>+Centro_Cuenta8[[#This Row],[Codigo Centro Gestion]]&amp;" - "&amp;Centro_Cuenta8[[#This Row],[Nombre Centro Gestion]]</f>
        <v>10361506 - Carmen 1879-Depto.Técnico</v>
      </c>
      <c r="G2527" s="47" t="str">
        <f>+Centro_Cuenta8[[#This Row],[Código Cuenta Contable]]&amp;" - "&amp;Centro_Cuenta8[[#This Row],[Nombre de Cuenta Contable]]</f>
        <v>1115100 - Proyectos Y Especialidades</v>
      </c>
      <c r="H2527" s="146" t="str">
        <f>+VLOOKUP(D2527,'3. Cuentas'!A:F,6,0)</f>
        <v>SI</v>
      </c>
    </row>
    <row r="2528" spans="1:8" x14ac:dyDescent="0.25">
      <c r="A2528" s="43">
        <v>1036202</v>
      </c>
      <c r="B2528" t="s">
        <v>721</v>
      </c>
      <c r="C2528" s="43" t="s">
        <v>1578</v>
      </c>
      <c r="D2528" s="43">
        <v>1115040</v>
      </c>
      <c r="E2528" t="s">
        <v>291</v>
      </c>
      <c r="F2528" s="47" t="str">
        <f>+Centro_Cuenta8[[#This Row],[Codigo Centro Gestion]]&amp;" - "&amp;Centro_Cuenta8[[#This Row],[Nombre Centro Gestion]]</f>
        <v>1036202 - Terreno Santa Elena-Desarrollo</v>
      </c>
      <c r="G2528" s="47" t="str">
        <f>+Centro_Cuenta8[[#This Row],[Código Cuenta Contable]]&amp;" - "&amp;Centro_Cuenta8[[#This Row],[Nombre de Cuenta Contable]]</f>
        <v>1115040 - Saneamiento De Terreno</v>
      </c>
      <c r="H2528" s="146" t="str">
        <f>+VLOOKUP(D2528,'3. Cuentas'!A:F,6,0)</f>
        <v>SI</v>
      </c>
    </row>
    <row r="2529" spans="1:8" x14ac:dyDescent="0.25">
      <c r="A2529" s="43">
        <v>1036202</v>
      </c>
      <c r="B2529" t="s">
        <v>721</v>
      </c>
      <c r="C2529" s="43" t="s">
        <v>1578</v>
      </c>
      <c r="D2529" s="43">
        <v>1115170</v>
      </c>
      <c r="E2529" t="s">
        <v>293</v>
      </c>
      <c r="F2529" s="47" t="str">
        <f>+Centro_Cuenta8[[#This Row],[Codigo Centro Gestion]]&amp;" - "&amp;Centro_Cuenta8[[#This Row],[Nombre Centro Gestion]]</f>
        <v>1036202 - Terreno Santa Elena-Desarrollo</v>
      </c>
      <c r="G2529" s="47" t="str">
        <f>+Centro_Cuenta8[[#This Row],[Código Cuenta Contable]]&amp;" - "&amp;Centro_Cuenta8[[#This Row],[Nombre de Cuenta Contable]]</f>
        <v>1115170 - Permisos Y Otros Gastos Municipales</v>
      </c>
      <c r="H2529" s="146" t="str">
        <f>+VLOOKUP(D2529,'3. Cuentas'!A:F,6,0)</f>
        <v>SI</v>
      </c>
    </row>
    <row r="2530" spans="1:8" x14ac:dyDescent="0.25">
      <c r="A2530" s="43">
        <v>1036202</v>
      </c>
      <c r="B2530" t="s">
        <v>721</v>
      </c>
      <c r="C2530" s="43" t="s">
        <v>1578</v>
      </c>
      <c r="D2530" s="43">
        <v>1115240</v>
      </c>
      <c r="E2530" t="s">
        <v>294</v>
      </c>
      <c r="F2530" s="47" t="str">
        <f>+Centro_Cuenta8[[#This Row],[Codigo Centro Gestion]]&amp;" - "&amp;Centro_Cuenta8[[#This Row],[Nombre Centro Gestion]]</f>
        <v>1036202 - Terreno Santa Elena-Desarrollo</v>
      </c>
      <c r="G2530" s="47" t="str">
        <f>+Centro_Cuenta8[[#This Row],[Código Cuenta Contable]]&amp;" - "&amp;Centro_Cuenta8[[#This Row],[Nombre de Cuenta Contable]]</f>
        <v>1115240 - Estudios Y Asesorias Técnicas</v>
      </c>
      <c r="H2530" s="146" t="str">
        <f>+VLOOKUP(D2530,'3. Cuentas'!A:F,6,0)</f>
        <v>SI</v>
      </c>
    </row>
    <row r="2531" spans="1:8" x14ac:dyDescent="0.25">
      <c r="A2531" s="43">
        <v>1036202</v>
      </c>
      <c r="B2531" t="s">
        <v>721</v>
      </c>
      <c r="C2531" s="43" t="s">
        <v>1578</v>
      </c>
      <c r="D2531" s="43">
        <v>4203090</v>
      </c>
      <c r="E2531" t="s">
        <v>192</v>
      </c>
      <c r="F2531" s="47" t="str">
        <f>+Centro_Cuenta8[[#This Row],[Codigo Centro Gestion]]&amp;" - "&amp;Centro_Cuenta8[[#This Row],[Nombre Centro Gestion]]</f>
        <v>1036202 - Terreno Santa Elena-Desarrollo</v>
      </c>
      <c r="G2531" s="47" t="str">
        <f>+Centro_Cuenta8[[#This Row],[Código Cuenta Contable]]&amp;" - "&amp;Centro_Cuenta8[[#This Row],[Nombre de Cuenta Contable]]</f>
        <v>4203090 - Gastos Legales Y Notariales Proyecto</v>
      </c>
      <c r="H2531" s="146" t="str">
        <f>+VLOOKUP(D2531,'3. Cuentas'!A:F,6,0)</f>
        <v>SI</v>
      </c>
    </row>
    <row r="2532" spans="1:8" x14ac:dyDescent="0.25">
      <c r="A2532" s="43">
        <v>10364102</v>
      </c>
      <c r="B2532" t="s">
        <v>1452</v>
      </c>
      <c r="C2532" s="43" t="s">
        <v>1617</v>
      </c>
      <c r="D2532" s="43">
        <v>4204010</v>
      </c>
      <c r="E2532" t="s">
        <v>313</v>
      </c>
      <c r="F2532" s="47" t="str">
        <f>+Centro_Cuenta8[[#This Row],[Codigo Centro Gestion]]&amp;" - "&amp;Centro_Cuenta8[[#This Row],[Nombre Centro Gestion]]</f>
        <v>10364102 - DS19 Gran Avenida Etapa 1 (Torre C-D)-Marketing</v>
      </c>
      <c r="G2532" s="47" t="str">
        <f>+Centro_Cuenta8[[#This Row],[Código Cuenta Contable]]&amp;" - "&amp;Centro_Cuenta8[[#This Row],[Nombre de Cuenta Contable]]</f>
        <v>4204010 - Publicidad Punto Venta</v>
      </c>
      <c r="H2532" s="146" t="str">
        <f>+VLOOKUP(D2532,'3. Cuentas'!A:F,6,0)</f>
        <v>SI</v>
      </c>
    </row>
    <row r="2533" spans="1:8" x14ac:dyDescent="0.25">
      <c r="A2533" s="43">
        <v>10364102</v>
      </c>
      <c r="B2533" t="s">
        <v>1452</v>
      </c>
      <c r="C2533" s="43" t="s">
        <v>1617</v>
      </c>
      <c r="D2533" s="43">
        <v>4204021</v>
      </c>
      <c r="E2533" t="s">
        <v>329</v>
      </c>
      <c r="F2533" s="47" t="str">
        <f>+Centro_Cuenta8[[#This Row],[Codigo Centro Gestion]]&amp;" - "&amp;Centro_Cuenta8[[#This Row],[Nombre Centro Gestion]]</f>
        <v>10364102 - DS19 Gran Avenida Etapa 1 (Torre C-D)-Marketing</v>
      </c>
      <c r="G2533" s="47" t="str">
        <f>+Centro_Cuenta8[[#This Row],[Código Cuenta Contable]]&amp;" - "&amp;Centro_Cuenta8[[#This Row],[Nombre de Cuenta Contable]]</f>
        <v>4204021 - Publicidad Ferias Y Eventos</v>
      </c>
      <c r="H2533" s="146" t="str">
        <f>+VLOOKUP(D2533,'3. Cuentas'!A:F,6,0)</f>
        <v>SI</v>
      </c>
    </row>
    <row r="2534" spans="1:8" x14ac:dyDescent="0.25">
      <c r="A2534" s="43">
        <v>10364103</v>
      </c>
      <c r="B2534" t="s">
        <v>1453</v>
      </c>
      <c r="C2534" s="43" t="s">
        <v>1618</v>
      </c>
      <c r="D2534" s="43">
        <v>4203060</v>
      </c>
      <c r="E2534" t="s">
        <v>321</v>
      </c>
      <c r="F2534" s="47" t="str">
        <f>+Centro_Cuenta8[[#This Row],[Codigo Centro Gestion]]&amp;" - "&amp;Centro_Cuenta8[[#This Row],[Nombre Centro Gestion]]</f>
        <v>10364103 - DS19 Gran Avenida Etapa 1 (Torre C-D)-Operaciones</v>
      </c>
      <c r="G2534" s="47" t="str">
        <f>+Centro_Cuenta8[[#This Row],[Código Cuenta Contable]]&amp;" - "&amp;Centro_Cuenta8[[#This Row],[Nombre de Cuenta Contable]]</f>
        <v>4203060 - Gastos Operacionales De Clientes</v>
      </c>
      <c r="H2534" s="146" t="str">
        <f>+VLOOKUP(D2534,'3. Cuentas'!A:F,6,0)</f>
        <v>SI</v>
      </c>
    </row>
    <row r="2535" spans="1:8" x14ac:dyDescent="0.25">
      <c r="A2535" s="43">
        <v>10364103</v>
      </c>
      <c r="B2535" t="s">
        <v>1453</v>
      </c>
      <c r="C2535" s="43" t="s">
        <v>1618</v>
      </c>
      <c r="D2535" s="43">
        <v>4203090</v>
      </c>
      <c r="E2535" t="s">
        <v>192</v>
      </c>
      <c r="F2535" s="47" t="str">
        <f>+Centro_Cuenta8[[#This Row],[Codigo Centro Gestion]]&amp;" - "&amp;Centro_Cuenta8[[#This Row],[Nombre Centro Gestion]]</f>
        <v>10364103 - DS19 Gran Avenida Etapa 1 (Torre C-D)-Operaciones</v>
      </c>
      <c r="G2535" s="47" t="str">
        <f>+Centro_Cuenta8[[#This Row],[Código Cuenta Contable]]&amp;" - "&amp;Centro_Cuenta8[[#This Row],[Nombre de Cuenta Contable]]</f>
        <v>4203090 - Gastos Legales Y Notariales Proyecto</v>
      </c>
      <c r="H2535" s="146" t="str">
        <f>+VLOOKUP(D2535,'3. Cuentas'!A:F,6,0)</f>
        <v>SI</v>
      </c>
    </row>
    <row r="2536" spans="1:8" x14ac:dyDescent="0.25">
      <c r="A2536" s="43">
        <v>10364104</v>
      </c>
      <c r="B2536" t="s">
        <v>1454</v>
      </c>
      <c r="C2536" s="43" t="s">
        <v>90</v>
      </c>
      <c r="D2536" s="43">
        <v>1110040</v>
      </c>
      <c r="E2536" t="s">
        <v>1505</v>
      </c>
      <c r="F2536" s="47" t="str">
        <f>+Centro_Cuenta8[[#This Row],[Codigo Centro Gestion]]&amp;" - "&amp;Centro_Cuenta8[[#This Row],[Nombre Centro Gestion]]</f>
        <v>10364104 - DS19 Gran Avenida Etapa 1 (Torre C-D)-Ventas</v>
      </c>
      <c r="G2536" s="47" t="str">
        <f>+Centro_Cuenta8[[#This Row],[Código Cuenta Contable]]&amp;" - "&amp;Centro_Cuenta8[[#This Row],[Nombre de Cuenta Contable]]</f>
        <v>1110040 - Garantía Pagadas</v>
      </c>
      <c r="H2536" s="146" t="str">
        <f>+VLOOKUP(D2536,'3. Cuentas'!A:F,6,0)</f>
        <v>SI</v>
      </c>
    </row>
    <row r="2537" spans="1:8" x14ac:dyDescent="0.25">
      <c r="A2537" s="43">
        <v>10364104</v>
      </c>
      <c r="B2537" t="s">
        <v>1454</v>
      </c>
      <c r="C2537" s="43" t="s">
        <v>90</v>
      </c>
      <c r="D2537" s="43">
        <v>4202003</v>
      </c>
      <c r="E2537" t="s">
        <v>106</v>
      </c>
      <c r="F2537" s="47" t="str">
        <f>+Centro_Cuenta8[[#This Row],[Codigo Centro Gestion]]&amp;" - "&amp;Centro_Cuenta8[[#This Row],[Nombre Centro Gestion]]</f>
        <v>10364104 - DS19 Gran Avenida Etapa 1 (Torre C-D)-Ventas</v>
      </c>
      <c r="G2537" s="47" t="str">
        <f>+Centro_Cuenta8[[#This Row],[Código Cuenta Contable]]&amp;" - "&amp;Centro_Cuenta8[[#This Row],[Nombre de Cuenta Contable]]</f>
        <v>4202003 - Serv.Basic.Luz.Agua.Tel Of.C</v>
      </c>
      <c r="H2537" s="146" t="str">
        <f>+VLOOKUP(D2537,'3. Cuentas'!A:F,6,0)</f>
        <v>SI</v>
      </c>
    </row>
    <row r="2538" spans="1:8" x14ac:dyDescent="0.25">
      <c r="A2538" s="43">
        <v>10364104</v>
      </c>
      <c r="B2538" t="s">
        <v>1454</v>
      </c>
      <c r="C2538" s="43" t="s">
        <v>90</v>
      </c>
      <c r="D2538" s="43">
        <v>4202010</v>
      </c>
      <c r="E2538" t="s">
        <v>87</v>
      </c>
      <c r="F2538" s="47" t="str">
        <f>+Centro_Cuenta8[[#This Row],[Codigo Centro Gestion]]&amp;" - "&amp;Centro_Cuenta8[[#This Row],[Nombre Centro Gestion]]</f>
        <v>10364104 - DS19 Gran Avenida Etapa 1 (Torre C-D)-Ventas</v>
      </c>
      <c r="G2538" s="47" t="str">
        <f>+Centro_Cuenta8[[#This Row],[Código Cuenta Contable]]&amp;" - "&amp;Centro_Cuenta8[[#This Row],[Nombre de Cuenta Contable]]</f>
        <v>4202010 - Artic. Ofic. Fotocop.Papelería</v>
      </c>
      <c r="H2538" s="146" t="str">
        <f>+VLOOKUP(D2538,'3. Cuentas'!A:F,6,0)</f>
        <v>SI</v>
      </c>
    </row>
    <row r="2539" spans="1:8" x14ac:dyDescent="0.25">
      <c r="A2539" s="43">
        <v>10364104</v>
      </c>
      <c r="B2539" t="s">
        <v>1454</v>
      </c>
      <c r="C2539" s="43" t="s">
        <v>90</v>
      </c>
      <c r="D2539" s="43">
        <v>4202019</v>
      </c>
      <c r="E2539" t="s">
        <v>81</v>
      </c>
      <c r="F2539" s="47" t="str">
        <f>+Centro_Cuenta8[[#This Row],[Codigo Centro Gestion]]&amp;" - "&amp;Centro_Cuenta8[[#This Row],[Nombre Centro Gestion]]</f>
        <v>10364104 - DS19 Gran Avenida Etapa 1 (Torre C-D)-Ventas</v>
      </c>
      <c r="G2539" s="47" t="str">
        <f>+Centro_Cuenta8[[#This Row],[Código Cuenta Contable]]&amp;" - "&amp;Centro_Cuenta8[[#This Row],[Nombre de Cuenta Contable]]</f>
        <v>4202019 - Gasto General Oficina</v>
      </c>
      <c r="H2539" s="146" t="str">
        <f>+VLOOKUP(D2539,'3. Cuentas'!A:F,6,0)</f>
        <v>SI</v>
      </c>
    </row>
    <row r="2540" spans="1:8" x14ac:dyDescent="0.25">
      <c r="A2540" s="43">
        <v>10364104</v>
      </c>
      <c r="B2540" t="s">
        <v>1454</v>
      </c>
      <c r="C2540" s="43" t="s">
        <v>90</v>
      </c>
      <c r="D2540" s="43">
        <v>4202023</v>
      </c>
      <c r="E2540" t="s">
        <v>82</v>
      </c>
      <c r="F2540" s="47" t="str">
        <f>+Centro_Cuenta8[[#This Row],[Codigo Centro Gestion]]&amp;" - "&amp;Centro_Cuenta8[[#This Row],[Nombre Centro Gestion]]</f>
        <v>10364104 - DS19 Gran Avenida Etapa 1 (Torre C-D)-Ventas</v>
      </c>
      <c r="G2540" s="47" t="str">
        <f>+Centro_Cuenta8[[#This Row],[Código Cuenta Contable]]&amp;" - "&amp;Centro_Cuenta8[[#This Row],[Nombre de Cuenta Contable]]</f>
        <v>4202023 - Honorarios Por Asesorías</v>
      </c>
      <c r="H2540" s="146" t="str">
        <f>+VLOOKUP(D2540,'3. Cuentas'!A:F,6,0)</f>
        <v>SI</v>
      </c>
    </row>
    <row r="2541" spans="1:8" x14ac:dyDescent="0.25">
      <c r="A2541" s="43">
        <v>10364104</v>
      </c>
      <c r="B2541" t="s">
        <v>1454</v>
      </c>
      <c r="C2541" s="43" t="s">
        <v>90</v>
      </c>
      <c r="D2541" s="43">
        <v>4202029</v>
      </c>
      <c r="E2541" t="s">
        <v>83</v>
      </c>
      <c r="F2541" s="47" t="str">
        <f>+Centro_Cuenta8[[#This Row],[Codigo Centro Gestion]]&amp;" - "&amp;Centro_Cuenta8[[#This Row],[Nombre Centro Gestion]]</f>
        <v>10364104 - DS19 Gran Avenida Etapa 1 (Torre C-D)-Ventas</v>
      </c>
      <c r="G2541" s="47" t="str">
        <f>+Centro_Cuenta8[[#This Row],[Código Cuenta Contable]]&amp;" - "&amp;Centro_Cuenta8[[#This Row],[Nombre de Cuenta Contable]]</f>
        <v>4202029 - Insumos Y Gastos Informáticos</v>
      </c>
      <c r="H2541" s="146" t="str">
        <f>+VLOOKUP(D2541,'3. Cuentas'!A:F,6,0)</f>
        <v>SI</v>
      </c>
    </row>
    <row r="2542" spans="1:8" x14ac:dyDescent="0.25">
      <c r="A2542" s="43">
        <v>10364104</v>
      </c>
      <c r="B2542" t="s">
        <v>1454</v>
      </c>
      <c r="C2542" s="43" t="s">
        <v>90</v>
      </c>
      <c r="D2542" s="43">
        <v>4204021</v>
      </c>
      <c r="E2542" t="s">
        <v>329</v>
      </c>
      <c r="F2542" s="47" t="str">
        <f>+Centro_Cuenta8[[#This Row],[Codigo Centro Gestion]]&amp;" - "&amp;Centro_Cuenta8[[#This Row],[Nombre Centro Gestion]]</f>
        <v>10364104 - DS19 Gran Avenida Etapa 1 (Torre C-D)-Ventas</v>
      </c>
      <c r="G2542" s="47" t="str">
        <f>+Centro_Cuenta8[[#This Row],[Código Cuenta Contable]]&amp;" - "&amp;Centro_Cuenta8[[#This Row],[Nombre de Cuenta Contable]]</f>
        <v>4204021 - Publicidad Ferias Y Eventos</v>
      </c>
      <c r="H2542" s="146" t="str">
        <f>+VLOOKUP(D2542,'3. Cuentas'!A:F,6,0)</f>
        <v>SI</v>
      </c>
    </row>
    <row r="2543" spans="1:8" x14ac:dyDescent="0.25">
      <c r="A2543" s="43">
        <v>10364105</v>
      </c>
      <c r="B2543" t="s">
        <v>1455</v>
      </c>
      <c r="C2543" s="43" t="s">
        <v>1622</v>
      </c>
      <c r="D2543" s="43">
        <v>4203020</v>
      </c>
      <c r="E2543" t="s">
        <v>295</v>
      </c>
      <c r="F2543" s="47" t="str">
        <f>+Centro_Cuenta8[[#This Row],[Codigo Centro Gestion]]&amp;" - "&amp;Centro_Cuenta8[[#This Row],[Nombre Centro Gestion]]</f>
        <v>10364105 - DS19 Gran Avenida Etapa 1 (Torre C-D)-Clientes</v>
      </c>
      <c r="G2543" s="47" t="str">
        <f>+Centro_Cuenta8[[#This Row],[Código Cuenta Contable]]&amp;" - "&amp;Centro_Cuenta8[[#This Row],[Nombre de Cuenta Contable]]</f>
        <v>4203020 - Mant. y Consum. Viv Stock</v>
      </c>
      <c r="H2543" s="146" t="str">
        <f>+VLOOKUP(D2543,'3. Cuentas'!A:F,6,0)</f>
        <v>SI</v>
      </c>
    </row>
    <row r="2544" spans="1:8" x14ac:dyDescent="0.25">
      <c r="A2544" s="43">
        <v>10364105</v>
      </c>
      <c r="B2544" t="s">
        <v>1455</v>
      </c>
      <c r="C2544" s="43" t="s">
        <v>1622</v>
      </c>
      <c r="D2544" s="43">
        <v>4203120</v>
      </c>
      <c r="E2544" t="s">
        <v>108</v>
      </c>
      <c r="F2544" s="47" t="str">
        <f>+Centro_Cuenta8[[#This Row],[Codigo Centro Gestion]]&amp;" - "&amp;Centro_Cuenta8[[#This Row],[Nombre Centro Gestion]]</f>
        <v>10364105 - DS19 Gran Avenida Etapa 1 (Torre C-D)-Clientes</v>
      </c>
      <c r="G2544" s="47" t="str">
        <f>+Centro_Cuenta8[[#This Row],[Código Cuenta Contable]]&amp;" - "&amp;Centro_Cuenta8[[#This Row],[Nombre de Cuenta Contable]]</f>
        <v>4203120 - Gastos Comunes</v>
      </c>
      <c r="H2544" s="146" t="str">
        <f>+VLOOKUP(D2544,'3. Cuentas'!A:F,6,0)</f>
        <v>SI</v>
      </c>
    </row>
    <row r="2545" spans="1:8" x14ac:dyDescent="0.25">
      <c r="A2545" s="43">
        <v>10364105</v>
      </c>
      <c r="B2545" t="s">
        <v>1455</v>
      </c>
      <c r="C2545" s="43" t="s">
        <v>1622</v>
      </c>
      <c r="D2545" s="43">
        <v>4203140</v>
      </c>
      <c r="E2545" t="s">
        <v>109</v>
      </c>
      <c r="F2545" s="47" t="str">
        <f>+Centro_Cuenta8[[#This Row],[Codigo Centro Gestion]]&amp;" - "&amp;Centro_Cuenta8[[#This Row],[Nombre Centro Gestion]]</f>
        <v>10364105 - DS19 Gran Avenida Etapa 1 (Torre C-D)-Clientes</v>
      </c>
      <c r="G2545" s="47" t="str">
        <f>+Centro_Cuenta8[[#This Row],[Código Cuenta Contable]]&amp;" - "&amp;Centro_Cuenta8[[#This Row],[Nombre de Cuenta Contable]]</f>
        <v>4203140 - Contribuciones</v>
      </c>
      <c r="H2545" s="146" t="str">
        <f>+VLOOKUP(D2545,'3. Cuentas'!A:F,6,0)</f>
        <v>SI</v>
      </c>
    </row>
    <row r="2546" spans="1:8" x14ac:dyDescent="0.25">
      <c r="A2546" s="43">
        <v>10364204</v>
      </c>
      <c r="B2546" t="s">
        <v>1456</v>
      </c>
      <c r="C2546" s="43" t="s">
        <v>1624</v>
      </c>
      <c r="D2546" s="43">
        <v>1103045</v>
      </c>
      <c r="E2546" t="s">
        <v>323</v>
      </c>
      <c r="F2546" s="47" t="str">
        <f>+Centro_Cuenta8[[#This Row],[Codigo Centro Gestion]]&amp;" - "&amp;Centro_Cuenta8[[#This Row],[Nombre Centro Gestion]]</f>
        <v>10364204 - DS19 Gran Avenida Etapa 1 (Torre C-D)-Proyecto</v>
      </c>
      <c r="G2546" s="47" t="str">
        <f>+Centro_Cuenta8[[#This Row],[Código Cuenta Contable]]&amp;" - "&amp;Centro_Cuenta8[[#This Row],[Nombre de Cuenta Contable]]</f>
        <v>1103045 - Aportes reembolsables (electricidad y agua)</v>
      </c>
      <c r="H2546" s="146" t="str">
        <f>+VLOOKUP(D2546,'3. Cuentas'!A:F,6,0)</f>
        <v>SI</v>
      </c>
    </row>
    <row r="2547" spans="1:8" x14ac:dyDescent="0.25">
      <c r="A2547" s="43">
        <v>10364204</v>
      </c>
      <c r="B2547" t="s">
        <v>1456</v>
      </c>
      <c r="C2547" s="43" t="s">
        <v>1624</v>
      </c>
      <c r="D2547" s="43">
        <v>1109020</v>
      </c>
      <c r="E2547" t="s">
        <v>302</v>
      </c>
      <c r="F2547" s="47" t="str">
        <f>+Centro_Cuenta8[[#This Row],[Codigo Centro Gestion]]&amp;" - "&amp;Centro_Cuenta8[[#This Row],[Nombre Centro Gestion]]</f>
        <v>10364204 - DS19 Gran Avenida Etapa 1 (Torre C-D)-Proyecto</v>
      </c>
      <c r="G2547" s="47" t="str">
        <f>+Centro_Cuenta8[[#This Row],[Código Cuenta Contable]]&amp;" - "&amp;Centro_Cuenta8[[#This Row],[Nombre de Cuenta Contable]]</f>
        <v>1109020 - Mobiliario</v>
      </c>
      <c r="H2547" s="146" t="str">
        <f>+VLOOKUP(D2547,'3. Cuentas'!A:F,6,0)</f>
        <v>SI</v>
      </c>
    </row>
    <row r="2548" spans="1:8" x14ac:dyDescent="0.25">
      <c r="A2548" s="43">
        <v>10364204</v>
      </c>
      <c r="B2548" t="s">
        <v>1456</v>
      </c>
      <c r="C2548" s="43" t="s">
        <v>1624</v>
      </c>
      <c r="D2548" s="43">
        <v>1110040</v>
      </c>
      <c r="E2548" t="s">
        <v>1505</v>
      </c>
      <c r="F2548" s="47" t="str">
        <f>+Centro_Cuenta8[[#This Row],[Codigo Centro Gestion]]&amp;" - "&amp;Centro_Cuenta8[[#This Row],[Nombre Centro Gestion]]</f>
        <v>10364204 - DS19 Gran Avenida Etapa 1 (Torre C-D)-Proyecto</v>
      </c>
      <c r="G2548" s="47" t="str">
        <f>+Centro_Cuenta8[[#This Row],[Código Cuenta Contable]]&amp;" - "&amp;Centro_Cuenta8[[#This Row],[Nombre de Cuenta Contable]]</f>
        <v>1110040 - Garantía Pagadas</v>
      </c>
      <c r="H2548" s="146" t="str">
        <f>+VLOOKUP(D2548,'3. Cuentas'!A:F,6,0)</f>
        <v>SI</v>
      </c>
    </row>
    <row r="2549" spans="1:8" x14ac:dyDescent="0.25">
      <c r="A2549" s="43">
        <v>10364204</v>
      </c>
      <c r="B2549" t="s">
        <v>1456</v>
      </c>
      <c r="C2549" s="43" t="s">
        <v>1624</v>
      </c>
      <c r="D2549" s="43">
        <v>1115040</v>
      </c>
      <c r="E2549" t="s">
        <v>291</v>
      </c>
      <c r="F2549" s="47" t="str">
        <f>+Centro_Cuenta8[[#This Row],[Codigo Centro Gestion]]&amp;" - "&amp;Centro_Cuenta8[[#This Row],[Nombre Centro Gestion]]</f>
        <v>10364204 - DS19 Gran Avenida Etapa 1 (Torre C-D)-Proyecto</v>
      </c>
      <c r="G2549" s="47" t="str">
        <f>+Centro_Cuenta8[[#This Row],[Código Cuenta Contable]]&amp;" - "&amp;Centro_Cuenta8[[#This Row],[Nombre de Cuenta Contable]]</f>
        <v>1115040 - Saneamiento De Terreno</v>
      </c>
      <c r="H2549" s="146" t="str">
        <f>+VLOOKUP(D2549,'3. Cuentas'!A:F,6,0)</f>
        <v>SI</v>
      </c>
    </row>
    <row r="2550" spans="1:8" x14ac:dyDescent="0.25">
      <c r="A2550" s="43">
        <v>10364204</v>
      </c>
      <c r="B2550" t="s">
        <v>1456</v>
      </c>
      <c r="C2550" s="43" t="s">
        <v>1624</v>
      </c>
      <c r="D2550" s="43">
        <v>1115050</v>
      </c>
      <c r="E2550" t="s">
        <v>1628</v>
      </c>
      <c r="F2550" s="47" t="str">
        <f>+Centro_Cuenta8[[#This Row],[Codigo Centro Gestion]]&amp;" - "&amp;Centro_Cuenta8[[#This Row],[Nombre Centro Gestion]]</f>
        <v>10364204 - DS19 Gran Avenida Etapa 1 (Torre C-D)-Proyecto</v>
      </c>
      <c r="G2550" s="47" t="str">
        <f>+Centro_Cuenta8[[#This Row],[Código Cuenta Contable]]&amp;" - "&amp;Centro_Cuenta8[[#This Row],[Nombre de Cuenta Contable]]</f>
        <v>1115050 - Demolición</v>
      </c>
      <c r="H2550" s="146" t="str">
        <f>+VLOOKUP(D2550,'3. Cuentas'!A:F,6,0)</f>
        <v>SI</v>
      </c>
    </row>
    <row r="2551" spans="1:8" x14ac:dyDescent="0.25">
      <c r="A2551" s="43">
        <v>10364204</v>
      </c>
      <c r="B2551" t="s">
        <v>1456</v>
      </c>
      <c r="C2551" s="43" t="s">
        <v>1624</v>
      </c>
      <c r="D2551" s="43">
        <v>1115100</v>
      </c>
      <c r="E2551" t="s">
        <v>292</v>
      </c>
      <c r="F2551" s="47" t="str">
        <f>+Centro_Cuenta8[[#This Row],[Codigo Centro Gestion]]&amp;" - "&amp;Centro_Cuenta8[[#This Row],[Nombre Centro Gestion]]</f>
        <v>10364204 - DS19 Gran Avenida Etapa 1 (Torre C-D)-Proyecto</v>
      </c>
      <c r="G2551" s="47" t="str">
        <f>+Centro_Cuenta8[[#This Row],[Código Cuenta Contable]]&amp;" - "&amp;Centro_Cuenta8[[#This Row],[Nombre de Cuenta Contable]]</f>
        <v>1115100 - Proyectos Y Especialidades</v>
      </c>
      <c r="H2551" s="146" t="str">
        <f>+VLOOKUP(D2551,'3. Cuentas'!A:F,6,0)</f>
        <v>SI</v>
      </c>
    </row>
    <row r="2552" spans="1:8" x14ac:dyDescent="0.25">
      <c r="A2552" s="43">
        <v>10364204</v>
      </c>
      <c r="B2552" t="s">
        <v>1456</v>
      </c>
      <c r="C2552" s="43" t="s">
        <v>1624</v>
      </c>
      <c r="D2552" s="43">
        <v>1115120</v>
      </c>
      <c r="E2552" t="s">
        <v>1633</v>
      </c>
      <c r="F2552" s="47" t="str">
        <f>+Centro_Cuenta8[[#This Row],[Codigo Centro Gestion]]&amp;" - "&amp;Centro_Cuenta8[[#This Row],[Nombre Centro Gestion]]</f>
        <v>10364204 - DS19 Gran Avenida Etapa 1 (Torre C-D)-Proyecto</v>
      </c>
      <c r="G2552" s="47" t="str">
        <f>+Centro_Cuenta8[[#This Row],[Código Cuenta Contable]]&amp;" - "&amp;Centro_Cuenta8[[#This Row],[Nombre de Cuenta Contable]]</f>
        <v>1115120 - Instalación Empalmes</v>
      </c>
      <c r="H2552" s="146" t="str">
        <f>+VLOOKUP(D2552,'3. Cuentas'!A:F,6,0)</f>
        <v>SI</v>
      </c>
    </row>
    <row r="2553" spans="1:8" x14ac:dyDescent="0.25">
      <c r="A2553" s="43">
        <v>10364204</v>
      </c>
      <c r="B2553" t="s">
        <v>1456</v>
      </c>
      <c r="C2553" s="43" t="s">
        <v>1624</v>
      </c>
      <c r="D2553" s="43">
        <v>1115170</v>
      </c>
      <c r="E2553" t="s">
        <v>293</v>
      </c>
      <c r="F2553" s="47" t="str">
        <f>+Centro_Cuenta8[[#This Row],[Codigo Centro Gestion]]&amp;" - "&amp;Centro_Cuenta8[[#This Row],[Nombre Centro Gestion]]</f>
        <v>10364204 - DS19 Gran Avenida Etapa 1 (Torre C-D)-Proyecto</v>
      </c>
      <c r="G2553" s="47" t="str">
        <f>+Centro_Cuenta8[[#This Row],[Código Cuenta Contable]]&amp;" - "&amp;Centro_Cuenta8[[#This Row],[Nombre de Cuenta Contable]]</f>
        <v>1115170 - Permisos Y Otros Gastos Municipales</v>
      </c>
      <c r="H2553" s="146" t="str">
        <f>+VLOOKUP(D2553,'3. Cuentas'!A:F,6,0)</f>
        <v>SI</v>
      </c>
    </row>
    <row r="2554" spans="1:8" x14ac:dyDescent="0.25">
      <c r="A2554" s="43">
        <v>10364204</v>
      </c>
      <c r="B2554" t="s">
        <v>1456</v>
      </c>
      <c r="C2554" s="43" t="s">
        <v>1624</v>
      </c>
      <c r="D2554" s="43">
        <v>1115240</v>
      </c>
      <c r="E2554" t="s">
        <v>294</v>
      </c>
      <c r="F2554" s="47" t="str">
        <f>+Centro_Cuenta8[[#This Row],[Codigo Centro Gestion]]&amp;" - "&amp;Centro_Cuenta8[[#This Row],[Nombre Centro Gestion]]</f>
        <v>10364204 - DS19 Gran Avenida Etapa 1 (Torre C-D)-Proyecto</v>
      </c>
      <c r="G2554" s="47" t="str">
        <f>+Centro_Cuenta8[[#This Row],[Código Cuenta Contable]]&amp;" - "&amp;Centro_Cuenta8[[#This Row],[Nombre de Cuenta Contable]]</f>
        <v>1115240 - Estudios Y Asesorias Técnicas</v>
      </c>
      <c r="H2554" s="146" t="str">
        <f>+VLOOKUP(D2554,'3. Cuentas'!A:F,6,0)</f>
        <v>SI</v>
      </c>
    </row>
    <row r="2555" spans="1:8" x14ac:dyDescent="0.25">
      <c r="A2555" s="43">
        <v>10364204</v>
      </c>
      <c r="B2555" t="s">
        <v>1456</v>
      </c>
      <c r="C2555" s="43" t="s">
        <v>1624</v>
      </c>
      <c r="D2555" s="43">
        <v>4203090</v>
      </c>
      <c r="E2555" t="s">
        <v>192</v>
      </c>
      <c r="F2555" s="47" t="str">
        <f>+Centro_Cuenta8[[#This Row],[Codigo Centro Gestion]]&amp;" - "&amp;Centro_Cuenta8[[#This Row],[Nombre Centro Gestion]]</f>
        <v>10364204 - DS19 Gran Avenida Etapa 1 (Torre C-D)-Proyecto</v>
      </c>
      <c r="G2555" s="47" t="str">
        <f>+Centro_Cuenta8[[#This Row],[Código Cuenta Contable]]&amp;" - "&amp;Centro_Cuenta8[[#This Row],[Nombre de Cuenta Contable]]</f>
        <v>4203090 - Gastos Legales Y Notariales Proyecto</v>
      </c>
      <c r="H2555" s="146" t="str">
        <f>+VLOOKUP(D2555,'3. Cuentas'!A:F,6,0)</f>
        <v>SI</v>
      </c>
    </row>
    <row r="2556" spans="1:8" x14ac:dyDescent="0.25">
      <c r="A2556" s="43">
        <v>10364204</v>
      </c>
      <c r="B2556" t="s">
        <v>1456</v>
      </c>
      <c r="C2556" s="43" t="s">
        <v>1624</v>
      </c>
      <c r="D2556" s="43">
        <v>4203140</v>
      </c>
      <c r="E2556" t="s">
        <v>109</v>
      </c>
      <c r="F2556" s="47" t="str">
        <f>+Centro_Cuenta8[[#This Row],[Codigo Centro Gestion]]&amp;" - "&amp;Centro_Cuenta8[[#This Row],[Nombre Centro Gestion]]</f>
        <v>10364204 - DS19 Gran Avenida Etapa 1 (Torre C-D)-Proyecto</v>
      </c>
      <c r="G2556" s="47" t="str">
        <f>+Centro_Cuenta8[[#This Row],[Código Cuenta Contable]]&amp;" - "&amp;Centro_Cuenta8[[#This Row],[Nombre de Cuenta Contable]]</f>
        <v>4203140 - Contribuciones</v>
      </c>
      <c r="H2556" s="146" t="str">
        <f>+VLOOKUP(D2556,'3. Cuentas'!A:F,6,0)</f>
        <v>SI</v>
      </c>
    </row>
    <row r="2557" spans="1:8" x14ac:dyDescent="0.25">
      <c r="A2557" s="43">
        <v>10364204</v>
      </c>
      <c r="B2557" t="s">
        <v>1456</v>
      </c>
      <c r="C2557" s="43" t="s">
        <v>1624</v>
      </c>
      <c r="D2557" s="43">
        <v>4203150</v>
      </c>
      <c r="E2557" t="s">
        <v>156</v>
      </c>
      <c r="F2557" s="47" t="str">
        <f>+Centro_Cuenta8[[#This Row],[Codigo Centro Gestion]]&amp;" - "&amp;Centro_Cuenta8[[#This Row],[Nombre Centro Gestion]]</f>
        <v>10364204 - DS19 Gran Avenida Etapa 1 (Torre C-D)-Proyecto</v>
      </c>
      <c r="G2557" s="47" t="str">
        <f>+Centro_Cuenta8[[#This Row],[Código Cuenta Contable]]&amp;" - "&amp;Centro_Cuenta8[[#This Row],[Nombre de Cuenta Contable]]</f>
        <v>4203150 - Gastos CBR</v>
      </c>
      <c r="H2557" s="146" t="str">
        <f>+VLOOKUP(D2557,'3. Cuentas'!A:F,6,0)</f>
        <v>SI</v>
      </c>
    </row>
    <row r="2558" spans="1:8" x14ac:dyDescent="0.25">
      <c r="A2558" s="43">
        <v>10364204</v>
      </c>
      <c r="B2558" t="s">
        <v>1456</v>
      </c>
      <c r="C2558" s="43" t="s">
        <v>1624</v>
      </c>
      <c r="D2558" s="43">
        <v>4203160</v>
      </c>
      <c r="E2558" t="s">
        <v>1639</v>
      </c>
      <c r="F2558" s="47" t="str">
        <f>+Centro_Cuenta8[[#This Row],[Codigo Centro Gestion]]&amp;" - "&amp;Centro_Cuenta8[[#This Row],[Nombre Centro Gestion]]</f>
        <v>10364204 - DS19 Gran Avenida Etapa 1 (Torre C-D)-Proyecto</v>
      </c>
      <c r="G2558" s="47" t="str">
        <f>+Centro_Cuenta8[[#This Row],[Código Cuenta Contable]]&amp;" - "&amp;Centro_Cuenta8[[#This Row],[Nombre de Cuenta Contable]]</f>
        <v>4203160 - PAPELERIA Y FOTOCOPIADO</v>
      </c>
      <c r="H2558" s="146" t="str">
        <f>+VLOOKUP(D2558,'3. Cuentas'!A:F,6,0)</f>
        <v>SI</v>
      </c>
    </row>
    <row r="2559" spans="1:8" x14ac:dyDescent="0.25">
      <c r="A2559" s="43">
        <v>10364204</v>
      </c>
      <c r="B2559" t="s">
        <v>1456</v>
      </c>
      <c r="C2559" s="43" t="s">
        <v>1624</v>
      </c>
      <c r="D2559" s="43">
        <v>4203180</v>
      </c>
      <c r="E2559" t="s">
        <v>1640</v>
      </c>
      <c r="F2559" s="47" t="str">
        <f>+Centro_Cuenta8[[#This Row],[Codigo Centro Gestion]]&amp;" - "&amp;Centro_Cuenta8[[#This Row],[Nombre Centro Gestion]]</f>
        <v>10364204 - DS19 Gran Avenida Etapa 1 (Torre C-D)-Proyecto</v>
      </c>
      <c r="G2559" s="47" t="str">
        <f>+Centro_Cuenta8[[#This Row],[Código Cuenta Contable]]&amp;" - "&amp;Centro_Cuenta8[[#This Row],[Nombre de Cuenta Contable]]</f>
        <v>4203180 - Otros Gastos y Aseso Proy</v>
      </c>
      <c r="H2559" s="146" t="str">
        <f>+VLOOKUP(D2559,'3. Cuentas'!A:F,6,0)</f>
        <v>SI</v>
      </c>
    </row>
    <row r="2560" spans="1:8" x14ac:dyDescent="0.25">
      <c r="A2560" s="43">
        <v>10364301</v>
      </c>
      <c r="B2560" t="s">
        <v>1457</v>
      </c>
      <c r="C2560" s="43" t="s">
        <v>1643</v>
      </c>
      <c r="D2560" s="43">
        <v>4203090</v>
      </c>
      <c r="E2560" t="s">
        <v>192</v>
      </c>
      <c r="F2560" s="47" t="str">
        <f>+Centro_Cuenta8[[#This Row],[Codigo Centro Gestion]]&amp;" - "&amp;Centro_Cuenta8[[#This Row],[Nombre Centro Gestion]]</f>
        <v>10364301 - DS19 Gran Avenida Etapa 1 (Torre C-D)-GAF</v>
      </c>
      <c r="G2560" s="47" t="str">
        <f>+Centro_Cuenta8[[#This Row],[Código Cuenta Contable]]&amp;" - "&amp;Centro_Cuenta8[[#This Row],[Nombre de Cuenta Contable]]</f>
        <v>4203090 - Gastos Legales Y Notariales Proyecto</v>
      </c>
      <c r="H2560" s="146" t="str">
        <f>+VLOOKUP(D2560,'3. Cuentas'!A:F,6,0)</f>
        <v>SI</v>
      </c>
    </row>
    <row r="2561" spans="1:8" x14ac:dyDescent="0.25">
      <c r="A2561" s="43">
        <v>10364301</v>
      </c>
      <c r="B2561" t="s">
        <v>1457</v>
      </c>
      <c r="C2561" s="43" t="s">
        <v>1643</v>
      </c>
      <c r="D2561" s="43">
        <v>4203140</v>
      </c>
      <c r="E2561" t="s">
        <v>109</v>
      </c>
      <c r="F2561" s="47" t="str">
        <f>+Centro_Cuenta8[[#This Row],[Codigo Centro Gestion]]&amp;" - "&amp;Centro_Cuenta8[[#This Row],[Nombre Centro Gestion]]</f>
        <v>10364301 - DS19 Gran Avenida Etapa 1 (Torre C-D)-GAF</v>
      </c>
      <c r="G2561" s="47" t="str">
        <f>+Centro_Cuenta8[[#This Row],[Código Cuenta Contable]]&amp;" - "&amp;Centro_Cuenta8[[#This Row],[Nombre de Cuenta Contable]]</f>
        <v>4203140 - Contribuciones</v>
      </c>
      <c r="H2561" s="146" t="str">
        <f>+VLOOKUP(D2561,'3. Cuentas'!A:F,6,0)</f>
        <v>SI</v>
      </c>
    </row>
    <row r="2562" spans="1:8" x14ac:dyDescent="0.25">
      <c r="A2562" s="43">
        <v>10364506</v>
      </c>
      <c r="B2562" t="s">
        <v>1459</v>
      </c>
      <c r="C2562" s="43" t="s">
        <v>200</v>
      </c>
      <c r="D2562" s="43">
        <v>1115100</v>
      </c>
      <c r="E2562" t="s">
        <v>292</v>
      </c>
      <c r="F2562" s="47" t="str">
        <f>+Centro_Cuenta8[[#This Row],[Codigo Centro Gestion]]&amp;" - "&amp;Centro_Cuenta8[[#This Row],[Nombre Centro Gestion]]</f>
        <v>10364506 - DS19 Gran Avenida Etapa 1 (Torre C-D)-Depto.Técnico</v>
      </c>
      <c r="G2562" s="47" t="str">
        <f>+Centro_Cuenta8[[#This Row],[Código Cuenta Contable]]&amp;" - "&amp;Centro_Cuenta8[[#This Row],[Nombre de Cuenta Contable]]</f>
        <v>1115100 - Proyectos Y Especialidades</v>
      </c>
      <c r="H2562" s="146" t="str">
        <f>+VLOOKUP(D2562,'3. Cuentas'!A:F,6,0)</f>
        <v>SI</v>
      </c>
    </row>
    <row r="2563" spans="1:8" x14ac:dyDescent="0.25">
      <c r="A2563" s="43">
        <v>10365102</v>
      </c>
      <c r="B2563" t="s">
        <v>1477</v>
      </c>
      <c r="C2563" s="43" t="s">
        <v>1617</v>
      </c>
      <c r="D2563" s="43">
        <v>4204010</v>
      </c>
      <c r="E2563" t="s">
        <v>313</v>
      </c>
      <c r="F2563" s="47" t="str">
        <f>+Centro_Cuenta8[[#This Row],[Codigo Centro Gestion]]&amp;" - "&amp;Centro_Cuenta8[[#This Row],[Nombre Centro Gestion]]</f>
        <v>10365102 - Condominio Parque Del Sur Torre B-Marketing</v>
      </c>
      <c r="G2563" s="47" t="str">
        <f>+Centro_Cuenta8[[#This Row],[Código Cuenta Contable]]&amp;" - "&amp;Centro_Cuenta8[[#This Row],[Nombre de Cuenta Contable]]</f>
        <v>4204010 - Publicidad Punto Venta</v>
      </c>
      <c r="H2563" s="146" t="str">
        <f>+VLOOKUP(D2563,'3. Cuentas'!A:F,6,0)</f>
        <v>SI</v>
      </c>
    </row>
    <row r="2564" spans="1:8" x14ac:dyDescent="0.25">
      <c r="A2564" s="43">
        <v>10365102</v>
      </c>
      <c r="B2564" t="s">
        <v>1477</v>
      </c>
      <c r="C2564" s="43" t="s">
        <v>1617</v>
      </c>
      <c r="D2564" s="43">
        <v>4204021</v>
      </c>
      <c r="E2564" t="s">
        <v>329</v>
      </c>
      <c r="F2564" s="47" t="str">
        <f>+Centro_Cuenta8[[#This Row],[Codigo Centro Gestion]]&amp;" - "&amp;Centro_Cuenta8[[#This Row],[Nombre Centro Gestion]]</f>
        <v>10365102 - Condominio Parque Del Sur Torre B-Marketing</v>
      </c>
      <c r="G2564" s="47" t="str">
        <f>+Centro_Cuenta8[[#This Row],[Código Cuenta Contable]]&amp;" - "&amp;Centro_Cuenta8[[#This Row],[Nombre de Cuenta Contable]]</f>
        <v>4204021 - Publicidad Ferias Y Eventos</v>
      </c>
      <c r="H2564" s="146" t="str">
        <f>+VLOOKUP(D2564,'3. Cuentas'!A:F,6,0)</f>
        <v>SI</v>
      </c>
    </row>
    <row r="2565" spans="1:8" x14ac:dyDescent="0.25">
      <c r="A2565" s="43">
        <v>10365103</v>
      </c>
      <c r="B2565" t="s">
        <v>1478</v>
      </c>
      <c r="C2565" s="43" t="s">
        <v>1618</v>
      </c>
      <c r="D2565" s="43">
        <v>4203060</v>
      </c>
      <c r="E2565" t="s">
        <v>321</v>
      </c>
      <c r="F2565" s="47" t="str">
        <f>+Centro_Cuenta8[[#This Row],[Codigo Centro Gestion]]&amp;" - "&amp;Centro_Cuenta8[[#This Row],[Nombre Centro Gestion]]</f>
        <v>10365103 - Condominio Parque Del Sur Torre B-Operaciones</v>
      </c>
      <c r="G2565" s="47" t="str">
        <f>+Centro_Cuenta8[[#This Row],[Código Cuenta Contable]]&amp;" - "&amp;Centro_Cuenta8[[#This Row],[Nombre de Cuenta Contable]]</f>
        <v>4203060 - Gastos Operacionales De Clientes</v>
      </c>
      <c r="H2565" s="146" t="str">
        <f>+VLOOKUP(D2565,'3. Cuentas'!A:F,6,0)</f>
        <v>SI</v>
      </c>
    </row>
    <row r="2566" spans="1:8" x14ac:dyDescent="0.25">
      <c r="A2566" s="43">
        <v>10365103</v>
      </c>
      <c r="B2566" t="s">
        <v>1478</v>
      </c>
      <c r="C2566" s="43" t="s">
        <v>1618</v>
      </c>
      <c r="D2566" s="43">
        <v>4203090</v>
      </c>
      <c r="E2566" t="s">
        <v>192</v>
      </c>
      <c r="F2566" s="47" t="str">
        <f>+Centro_Cuenta8[[#This Row],[Codigo Centro Gestion]]&amp;" - "&amp;Centro_Cuenta8[[#This Row],[Nombre Centro Gestion]]</f>
        <v>10365103 - Condominio Parque Del Sur Torre B-Operaciones</v>
      </c>
      <c r="G2566" s="47" t="str">
        <f>+Centro_Cuenta8[[#This Row],[Código Cuenta Contable]]&amp;" - "&amp;Centro_Cuenta8[[#This Row],[Nombre de Cuenta Contable]]</f>
        <v>4203090 - Gastos Legales Y Notariales Proyecto</v>
      </c>
      <c r="H2566" s="146" t="str">
        <f>+VLOOKUP(D2566,'3. Cuentas'!A:F,6,0)</f>
        <v>SI</v>
      </c>
    </row>
    <row r="2567" spans="1:8" x14ac:dyDescent="0.25">
      <c r="A2567" s="43">
        <v>10365104</v>
      </c>
      <c r="B2567" t="s">
        <v>1479</v>
      </c>
      <c r="C2567" s="43" t="s">
        <v>90</v>
      </c>
      <c r="D2567" s="43">
        <v>1110040</v>
      </c>
      <c r="E2567" t="s">
        <v>1505</v>
      </c>
      <c r="F2567" s="47" t="str">
        <f>+Centro_Cuenta8[[#This Row],[Codigo Centro Gestion]]&amp;" - "&amp;Centro_Cuenta8[[#This Row],[Nombre Centro Gestion]]</f>
        <v>10365104 - Condominio Parque Del Sur Torre B-Ventas</v>
      </c>
      <c r="G2567" s="47" t="str">
        <f>+Centro_Cuenta8[[#This Row],[Código Cuenta Contable]]&amp;" - "&amp;Centro_Cuenta8[[#This Row],[Nombre de Cuenta Contable]]</f>
        <v>1110040 - Garantía Pagadas</v>
      </c>
      <c r="H2567" s="146" t="str">
        <f>+VLOOKUP(D2567,'3. Cuentas'!A:F,6,0)</f>
        <v>SI</v>
      </c>
    </row>
    <row r="2568" spans="1:8" x14ac:dyDescent="0.25">
      <c r="A2568" s="43">
        <v>10365104</v>
      </c>
      <c r="B2568" t="s">
        <v>1479</v>
      </c>
      <c r="C2568" s="43" t="s">
        <v>90</v>
      </c>
      <c r="D2568" s="43">
        <v>4202003</v>
      </c>
      <c r="E2568" t="s">
        <v>106</v>
      </c>
      <c r="F2568" s="47" t="str">
        <f>+Centro_Cuenta8[[#This Row],[Codigo Centro Gestion]]&amp;" - "&amp;Centro_Cuenta8[[#This Row],[Nombre Centro Gestion]]</f>
        <v>10365104 - Condominio Parque Del Sur Torre B-Ventas</v>
      </c>
      <c r="G2568" s="47" t="str">
        <f>+Centro_Cuenta8[[#This Row],[Código Cuenta Contable]]&amp;" - "&amp;Centro_Cuenta8[[#This Row],[Nombre de Cuenta Contable]]</f>
        <v>4202003 - Serv.Basic.Luz.Agua.Tel Of.C</v>
      </c>
      <c r="H2568" s="146" t="str">
        <f>+VLOOKUP(D2568,'3. Cuentas'!A:F,6,0)</f>
        <v>SI</v>
      </c>
    </row>
    <row r="2569" spans="1:8" x14ac:dyDescent="0.25">
      <c r="A2569" s="43">
        <v>10365104</v>
      </c>
      <c r="B2569" t="s">
        <v>1479</v>
      </c>
      <c r="C2569" s="43" t="s">
        <v>90</v>
      </c>
      <c r="D2569" s="43">
        <v>4202010</v>
      </c>
      <c r="E2569" t="s">
        <v>87</v>
      </c>
      <c r="F2569" s="47" t="str">
        <f>+Centro_Cuenta8[[#This Row],[Codigo Centro Gestion]]&amp;" - "&amp;Centro_Cuenta8[[#This Row],[Nombre Centro Gestion]]</f>
        <v>10365104 - Condominio Parque Del Sur Torre B-Ventas</v>
      </c>
      <c r="G2569" s="47" t="str">
        <f>+Centro_Cuenta8[[#This Row],[Código Cuenta Contable]]&amp;" - "&amp;Centro_Cuenta8[[#This Row],[Nombre de Cuenta Contable]]</f>
        <v>4202010 - Artic. Ofic. Fotocop.Papelería</v>
      </c>
      <c r="H2569" s="146" t="str">
        <f>+VLOOKUP(D2569,'3. Cuentas'!A:F,6,0)</f>
        <v>SI</v>
      </c>
    </row>
    <row r="2570" spans="1:8" x14ac:dyDescent="0.25">
      <c r="A2570" s="43">
        <v>10365104</v>
      </c>
      <c r="B2570" t="s">
        <v>1479</v>
      </c>
      <c r="C2570" s="43" t="s">
        <v>90</v>
      </c>
      <c r="D2570" s="43">
        <v>4202019</v>
      </c>
      <c r="E2570" t="s">
        <v>81</v>
      </c>
      <c r="F2570" s="47" t="str">
        <f>+Centro_Cuenta8[[#This Row],[Codigo Centro Gestion]]&amp;" - "&amp;Centro_Cuenta8[[#This Row],[Nombre Centro Gestion]]</f>
        <v>10365104 - Condominio Parque Del Sur Torre B-Ventas</v>
      </c>
      <c r="G2570" s="47" t="str">
        <f>+Centro_Cuenta8[[#This Row],[Código Cuenta Contable]]&amp;" - "&amp;Centro_Cuenta8[[#This Row],[Nombre de Cuenta Contable]]</f>
        <v>4202019 - Gasto General Oficina</v>
      </c>
      <c r="H2570" s="146" t="str">
        <f>+VLOOKUP(D2570,'3. Cuentas'!A:F,6,0)</f>
        <v>SI</v>
      </c>
    </row>
    <row r="2571" spans="1:8" x14ac:dyDescent="0.25">
      <c r="A2571" s="43">
        <v>10365104</v>
      </c>
      <c r="B2571" t="s">
        <v>1479</v>
      </c>
      <c r="C2571" s="43" t="s">
        <v>90</v>
      </c>
      <c r="D2571" s="43">
        <v>4202023</v>
      </c>
      <c r="E2571" t="s">
        <v>82</v>
      </c>
      <c r="F2571" s="47" t="str">
        <f>+Centro_Cuenta8[[#This Row],[Codigo Centro Gestion]]&amp;" - "&amp;Centro_Cuenta8[[#This Row],[Nombre Centro Gestion]]</f>
        <v>10365104 - Condominio Parque Del Sur Torre B-Ventas</v>
      </c>
      <c r="G2571" s="47" t="str">
        <f>+Centro_Cuenta8[[#This Row],[Código Cuenta Contable]]&amp;" - "&amp;Centro_Cuenta8[[#This Row],[Nombre de Cuenta Contable]]</f>
        <v>4202023 - Honorarios Por Asesorías</v>
      </c>
      <c r="H2571" s="146" t="str">
        <f>+VLOOKUP(D2571,'3. Cuentas'!A:F,6,0)</f>
        <v>SI</v>
      </c>
    </row>
    <row r="2572" spans="1:8" x14ac:dyDescent="0.25">
      <c r="A2572" s="43">
        <v>10365104</v>
      </c>
      <c r="B2572" t="s">
        <v>1479</v>
      </c>
      <c r="C2572" s="43" t="s">
        <v>90</v>
      </c>
      <c r="D2572" s="43">
        <v>4202029</v>
      </c>
      <c r="E2572" t="s">
        <v>83</v>
      </c>
      <c r="F2572" s="47" t="str">
        <f>+Centro_Cuenta8[[#This Row],[Codigo Centro Gestion]]&amp;" - "&amp;Centro_Cuenta8[[#This Row],[Nombre Centro Gestion]]</f>
        <v>10365104 - Condominio Parque Del Sur Torre B-Ventas</v>
      </c>
      <c r="G2572" s="47" t="str">
        <f>+Centro_Cuenta8[[#This Row],[Código Cuenta Contable]]&amp;" - "&amp;Centro_Cuenta8[[#This Row],[Nombre de Cuenta Contable]]</f>
        <v>4202029 - Insumos Y Gastos Informáticos</v>
      </c>
      <c r="H2572" s="146" t="str">
        <f>+VLOOKUP(D2572,'3. Cuentas'!A:F,6,0)</f>
        <v>SI</v>
      </c>
    </row>
    <row r="2573" spans="1:8" x14ac:dyDescent="0.25">
      <c r="A2573" s="43">
        <v>10365104</v>
      </c>
      <c r="B2573" t="s">
        <v>1479</v>
      </c>
      <c r="C2573" s="43" t="s">
        <v>90</v>
      </c>
      <c r="D2573" s="43">
        <v>4204021</v>
      </c>
      <c r="E2573" t="s">
        <v>329</v>
      </c>
      <c r="F2573" s="47" t="str">
        <f>+Centro_Cuenta8[[#This Row],[Codigo Centro Gestion]]&amp;" - "&amp;Centro_Cuenta8[[#This Row],[Nombre Centro Gestion]]</f>
        <v>10365104 - Condominio Parque Del Sur Torre B-Ventas</v>
      </c>
      <c r="G2573" s="47" t="str">
        <f>+Centro_Cuenta8[[#This Row],[Código Cuenta Contable]]&amp;" - "&amp;Centro_Cuenta8[[#This Row],[Nombre de Cuenta Contable]]</f>
        <v>4204021 - Publicidad Ferias Y Eventos</v>
      </c>
      <c r="H2573" s="146" t="str">
        <f>+VLOOKUP(D2573,'3. Cuentas'!A:F,6,0)</f>
        <v>SI</v>
      </c>
    </row>
    <row r="2574" spans="1:8" x14ac:dyDescent="0.25">
      <c r="A2574" s="43">
        <v>10365105</v>
      </c>
      <c r="B2574" t="s">
        <v>1480</v>
      </c>
      <c r="C2574" s="43" t="s">
        <v>1622</v>
      </c>
      <c r="D2574" s="43">
        <v>4203020</v>
      </c>
      <c r="E2574" t="s">
        <v>295</v>
      </c>
      <c r="F2574" s="47" t="str">
        <f>+Centro_Cuenta8[[#This Row],[Codigo Centro Gestion]]&amp;" - "&amp;Centro_Cuenta8[[#This Row],[Nombre Centro Gestion]]</f>
        <v>10365105 - Condominio Parque Del Sur Torre B-Clientes</v>
      </c>
      <c r="G2574" s="47" t="str">
        <f>+Centro_Cuenta8[[#This Row],[Código Cuenta Contable]]&amp;" - "&amp;Centro_Cuenta8[[#This Row],[Nombre de Cuenta Contable]]</f>
        <v>4203020 - Mant. y Consum. Viv Stock</v>
      </c>
      <c r="H2574" s="146" t="str">
        <f>+VLOOKUP(D2574,'3. Cuentas'!A:F,6,0)</f>
        <v>SI</v>
      </c>
    </row>
    <row r="2575" spans="1:8" x14ac:dyDescent="0.25">
      <c r="A2575" s="43">
        <v>10365105</v>
      </c>
      <c r="B2575" t="s">
        <v>1480</v>
      </c>
      <c r="C2575" s="43" t="s">
        <v>1622</v>
      </c>
      <c r="D2575" s="43">
        <v>4203120</v>
      </c>
      <c r="E2575" t="s">
        <v>108</v>
      </c>
      <c r="F2575" s="47" t="str">
        <f>+Centro_Cuenta8[[#This Row],[Codigo Centro Gestion]]&amp;" - "&amp;Centro_Cuenta8[[#This Row],[Nombre Centro Gestion]]</f>
        <v>10365105 - Condominio Parque Del Sur Torre B-Clientes</v>
      </c>
      <c r="G2575" s="47" t="str">
        <f>+Centro_Cuenta8[[#This Row],[Código Cuenta Contable]]&amp;" - "&amp;Centro_Cuenta8[[#This Row],[Nombre de Cuenta Contable]]</f>
        <v>4203120 - Gastos Comunes</v>
      </c>
      <c r="H2575" s="146" t="str">
        <f>+VLOOKUP(D2575,'3. Cuentas'!A:F,6,0)</f>
        <v>SI</v>
      </c>
    </row>
    <row r="2576" spans="1:8" x14ac:dyDescent="0.25">
      <c r="A2576" s="43">
        <v>10365105</v>
      </c>
      <c r="B2576" t="s">
        <v>1480</v>
      </c>
      <c r="C2576" s="43" t="s">
        <v>1622</v>
      </c>
      <c r="D2576" s="43">
        <v>4203140</v>
      </c>
      <c r="E2576" t="s">
        <v>109</v>
      </c>
      <c r="F2576" s="47" t="str">
        <f>+Centro_Cuenta8[[#This Row],[Codigo Centro Gestion]]&amp;" - "&amp;Centro_Cuenta8[[#This Row],[Nombre Centro Gestion]]</f>
        <v>10365105 - Condominio Parque Del Sur Torre B-Clientes</v>
      </c>
      <c r="G2576" s="47" t="str">
        <f>+Centro_Cuenta8[[#This Row],[Código Cuenta Contable]]&amp;" - "&amp;Centro_Cuenta8[[#This Row],[Nombre de Cuenta Contable]]</f>
        <v>4203140 - Contribuciones</v>
      </c>
      <c r="H2576" s="146" t="str">
        <f>+VLOOKUP(D2576,'3. Cuentas'!A:F,6,0)</f>
        <v>SI</v>
      </c>
    </row>
    <row r="2577" spans="1:8" x14ac:dyDescent="0.25">
      <c r="A2577" s="43">
        <v>10365204</v>
      </c>
      <c r="B2577" t="s">
        <v>1481</v>
      </c>
      <c r="C2577" s="43" t="s">
        <v>1624</v>
      </c>
      <c r="D2577" s="43">
        <v>1103045</v>
      </c>
      <c r="E2577" t="s">
        <v>323</v>
      </c>
      <c r="F2577" s="47" t="str">
        <f>+Centro_Cuenta8[[#This Row],[Codigo Centro Gestion]]&amp;" - "&amp;Centro_Cuenta8[[#This Row],[Nombre Centro Gestion]]</f>
        <v>10365204 - Condominio Parque Del Sur Torre B-Proyecto</v>
      </c>
      <c r="G2577" s="47" t="str">
        <f>+Centro_Cuenta8[[#This Row],[Código Cuenta Contable]]&amp;" - "&amp;Centro_Cuenta8[[#This Row],[Nombre de Cuenta Contable]]</f>
        <v>1103045 - Aportes reembolsables (electricidad y agua)</v>
      </c>
      <c r="H2577" s="146" t="str">
        <f>+VLOOKUP(D2577,'3. Cuentas'!A:F,6,0)</f>
        <v>SI</v>
      </c>
    </row>
    <row r="2578" spans="1:8" x14ac:dyDescent="0.25">
      <c r="A2578" s="43">
        <v>10365204</v>
      </c>
      <c r="B2578" t="s">
        <v>1481</v>
      </c>
      <c r="C2578" s="43" t="s">
        <v>1624</v>
      </c>
      <c r="D2578" s="43">
        <v>1109020</v>
      </c>
      <c r="E2578" t="s">
        <v>302</v>
      </c>
      <c r="F2578" s="47" t="str">
        <f>+Centro_Cuenta8[[#This Row],[Codigo Centro Gestion]]&amp;" - "&amp;Centro_Cuenta8[[#This Row],[Nombre Centro Gestion]]</f>
        <v>10365204 - Condominio Parque Del Sur Torre B-Proyecto</v>
      </c>
      <c r="G2578" s="47" t="str">
        <f>+Centro_Cuenta8[[#This Row],[Código Cuenta Contable]]&amp;" - "&amp;Centro_Cuenta8[[#This Row],[Nombre de Cuenta Contable]]</f>
        <v>1109020 - Mobiliario</v>
      </c>
      <c r="H2578" s="146" t="str">
        <f>+VLOOKUP(D2578,'3. Cuentas'!A:F,6,0)</f>
        <v>SI</v>
      </c>
    </row>
    <row r="2579" spans="1:8" x14ac:dyDescent="0.25">
      <c r="A2579" s="43">
        <v>10365204</v>
      </c>
      <c r="B2579" t="s">
        <v>1481</v>
      </c>
      <c r="C2579" s="43" t="s">
        <v>1624</v>
      </c>
      <c r="D2579" s="43">
        <v>1110040</v>
      </c>
      <c r="E2579" t="s">
        <v>1505</v>
      </c>
      <c r="F2579" s="47" t="str">
        <f>+Centro_Cuenta8[[#This Row],[Codigo Centro Gestion]]&amp;" - "&amp;Centro_Cuenta8[[#This Row],[Nombre Centro Gestion]]</f>
        <v>10365204 - Condominio Parque Del Sur Torre B-Proyecto</v>
      </c>
      <c r="G2579" s="47" t="str">
        <f>+Centro_Cuenta8[[#This Row],[Código Cuenta Contable]]&amp;" - "&amp;Centro_Cuenta8[[#This Row],[Nombre de Cuenta Contable]]</f>
        <v>1110040 - Garantía Pagadas</v>
      </c>
      <c r="H2579" s="146" t="str">
        <f>+VLOOKUP(D2579,'3. Cuentas'!A:F,6,0)</f>
        <v>SI</v>
      </c>
    </row>
    <row r="2580" spans="1:8" x14ac:dyDescent="0.25">
      <c r="A2580" s="43">
        <v>10365204</v>
      </c>
      <c r="B2580" t="s">
        <v>1481</v>
      </c>
      <c r="C2580" s="43" t="s">
        <v>1624</v>
      </c>
      <c r="D2580" s="43">
        <v>1115040</v>
      </c>
      <c r="E2580" t="s">
        <v>291</v>
      </c>
      <c r="F2580" s="47" t="str">
        <f>+Centro_Cuenta8[[#This Row],[Codigo Centro Gestion]]&amp;" - "&amp;Centro_Cuenta8[[#This Row],[Nombre Centro Gestion]]</f>
        <v>10365204 - Condominio Parque Del Sur Torre B-Proyecto</v>
      </c>
      <c r="G2580" s="47" t="str">
        <f>+Centro_Cuenta8[[#This Row],[Código Cuenta Contable]]&amp;" - "&amp;Centro_Cuenta8[[#This Row],[Nombre de Cuenta Contable]]</f>
        <v>1115040 - Saneamiento De Terreno</v>
      </c>
      <c r="H2580" s="146" t="str">
        <f>+VLOOKUP(D2580,'3. Cuentas'!A:F,6,0)</f>
        <v>SI</v>
      </c>
    </row>
    <row r="2581" spans="1:8" x14ac:dyDescent="0.25">
      <c r="A2581" s="43">
        <v>10365204</v>
      </c>
      <c r="B2581" t="s">
        <v>1481</v>
      </c>
      <c r="C2581" s="43" t="s">
        <v>1624</v>
      </c>
      <c r="D2581" s="43">
        <v>1115050</v>
      </c>
      <c r="E2581" t="s">
        <v>1628</v>
      </c>
      <c r="F2581" s="47" t="str">
        <f>+Centro_Cuenta8[[#This Row],[Codigo Centro Gestion]]&amp;" - "&amp;Centro_Cuenta8[[#This Row],[Nombre Centro Gestion]]</f>
        <v>10365204 - Condominio Parque Del Sur Torre B-Proyecto</v>
      </c>
      <c r="G2581" s="47" t="str">
        <f>+Centro_Cuenta8[[#This Row],[Código Cuenta Contable]]&amp;" - "&amp;Centro_Cuenta8[[#This Row],[Nombre de Cuenta Contable]]</f>
        <v>1115050 - Demolición</v>
      </c>
      <c r="H2581" s="146" t="str">
        <f>+VLOOKUP(D2581,'3. Cuentas'!A:F,6,0)</f>
        <v>SI</v>
      </c>
    </row>
    <row r="2582" spans="1:8" x14ac:dyDescent="0.25">
      <c r="A2582" s="43">
        <v>10365204</v>
      </c>
      <c r="B2582" t="s">
        <v>1481</v>
      </c>
      <c r="C2582" s="43" t="s">
        <v>1624</v>
      </c>
      <c r="D2582" s="43">
        <v>1115100</v>
      </c>
      <c r="E2582" t="s">
        <v>292</v>
      </c>
      <c r="F2582" s="47" t="str">
        <f>+Centro_Cuenta8[[#This Row],[Codigo Centro Gestion]]&amp;" - "&amp;Centro_Cuenta8[[#This Row],[Nombre Centro Gestion]]</f>
        <v>10365204 - Condominio Parque Del Sur Torre B-Proyecto</v>
      </c>
      <c r="G2582" s="47" t="str">
        <f>+Centro_Cuenta8[[#This Row],[Código Cuenta Contable]]&amp;" - "&amp;Centro_Cuenta8[[#This Row],[Nombre de Cuenta Contable]]</f>
        <v>1115100 - Proyectos Y Especialidades</v>
      </c>
      <c r="H2582" s="146" t="str">
        <f>+VLOOKUP(D2582,'3. Cuentas'!A:F,6,0)</f>
        <v>SI</v>
      </c>
    </row>
    <row r="2583" spans="1:8" x14ac:dyDescent="0.25">
      <c r="A2583" s="43">
        <v>10365204</v>
      </c>
      <c r="B2583" t="s">
        <v>1481</v>
      </c>
      <c r="C2583" s="43" t="s">
        <v>1624</v>
      </c>
      <c r="D2583" s="43">
        <v>1115120</v>
      </c>
      <c r="E2583" t="s">
        <v>1633</v>
      </c>
      <c r="F2583" s="47" t="str">
        <f>+Centro_Cuenta8[[#This Row],[Codigo Centro Gestion]]&amp;" - "&amp;Centro_Cuenta8[[#This Row],[Nombre Centro Gestion]]</f>
        <v>10365204 - Condominio Parque Del Sur Torre B-Proyecto</v>
      </c>
      <c r="G2583" s="47" t="str">
        <f>+Centro_Cuenta8[[#This Row],[Código Cuenta Contable]]&amp;" - "&amp;Centro_Cuenta8[[#This Row],[Nombre de Cuenta Contable]]</f>
        <v>1115120 - Instalación Empalmes</v>
      </c>
      <c r="H2583" s="146" t="str">
        <f>+VLOOKUP(D2583,'3. Cuentas'!A:F,6,0)</f>
        <v>SI</v>
      </c>
    </row>
    <row r="2584" spans="1:8" x14ac:dyDescent="0.25">
      <c r="A2584" s="43">
        <v>10365204</v>
      </c>
      <c r="B2584" t="s">
        <v>1481</v>
      </c>
      <c r="C2584" s="43" t="s">
        <v>1624</v>
      </c>
      <c r="D2584" s="43">
        <v>1115170</v>
      </c>
      <c r="E2584" t="s">
        <v>293</v>
      </c>
      <c r="F2584" s="47" t="str">
        <f>+Centro_Cuenta8[[#This Row],[Codigo Centro Gestion]]&amp;" - "&amp;Centro_Cuenta8[[#This Row],[Nombre Centro Gestion]]</f>
        <v>10365204 - Condominio Parque Del Sur Torre B-Proyecto</v>
      </c>
      <c r="G2584" s="47" t="str">
        <f>+Centro_Cuenta8[[#This Row],[Código Cuenta Contable]]&amp;" - "&amp;Centro_Cuenta8[[#This Row],[Nombre de Cuenta Contable]]</f>
        <v>1115170 - Permisos Y Otros Gastos Municipales</v>
      </c>
      <c r="H2584" s="146" t="str">
        <f>+VLOOKUP(D2584,'3. Cuentas'!A:F,6,0)</f>
        <v>SI</v>
      </c>
    </row>
    <row r="2585" spans="1:8" x14ac:dyDescent="0.25">
      <c r="A2585" s="43">
        <v>10365204</v>
      </c>
      <c r="B2585" t="s">
        <v>1481</v>
      </c>
      <c r="C2585" s="43" t="s">
        <v>1624</v>
      </c>
      <c r="D2585" s="43">
        <v>1115240</v>
      </c>
      <c r="E2585" t="s">
        <v>294</v>
      </c>
      <c r="F2585" s="47" t="str">
        <f>+Centro_Cuenta8[[#This Row],[Codigo Centro Gestion]]&amp;" - "&amp;Centro_Cuenta8[[#This Row],[Nombre Centro Gestion]]</f>
        <v>10365204 - Condominio Parque Del Sur Torre B-Proyecto</v>
      </c>
      <c r="G2585" s="47" t="str">
        <f>+Centro_Cuenta8[[#This Row],[Código Cuenta Contable]]&amp;" - "&amp;Centro_Cuenta8[[#This Row],[Nombre de Cuenta Contable]]</f>
        <v>1115240 - Estudios Y Asesorias Técnicas</v>
      </c>
      <c r="H2585" s="146" t="str">
        <f>+VLOOKUP(D2585,'3. Cuentas'!A:F,6,0)</f>
        <v>SI</v>
      </c>
    </row>
    <row r="2586" spans="1:8" x14ac:dyDescent="0.25">
      <c r="A2586" s="43">
        <v>10365204</v>
      </c>
      <c r="B2586" t="s">
        <v>1481</v>
      </c>
      <c r="C2586" s="43" t="s">
        <v>1624</v>
      </c>
      <c r="D2586" s="43">
        <v>4203090</v>
      </c>
      <c r="E2586" t="s">
        <v>192</v>
      </c>
      <c r="F2586" s="47" t="str">
        <f>+Centro_Cuenta8[[#This Row],[Codigo Centro Gestion]]&amp;" - "&amp;Centro_Cuenta8[[#This Row],[Nombre Centro Gestion]]</f>
        <v>10365204 - Condominio Parque Del Sur Torre B-Proyecto</v>
      </c>
      <c r="G2586" s="47" t="str">
        <f>+Centro_Cuenta8[[#This Row],[Código Cuenta Contable]]&amp;" - "&amp;Centro_Cuenta8[[#This Row],[Nombre de Cuenta Contable]]</f>
        <v>4203090 - Gastos Legales Y Notariales Proyecto</v>
      </c>
      <c r="H2586" s="146" t="str">
        <f>+VLOOKUP(D2586,'3. Cuentas'!A:F,6,0)</f>
        <v>SI</v>
      </c>
    </row>
    <row r="2587" spans="1:8" x14ac:dyDescent="0.25">
      <c r="A2587" s="43">
        <v>10365204</v>
      </c>
      <c r="B2587" t="s">
        <v>1481</v>
      </c>
      <c r="C2587" s="43" t="s">
        <v>1624</v>
      </c>
      <c r="D2587" s="43">
        <v>4203140</v>
      </c>
      <c r="E2587" t="s">
        <v>109</v>
      </c>
      <c r="F2587" s="47" t="str">
        <f>+Centro_Cuenta8[[#This Row],[Codigo Centro Gestion]]&amp;" - "&amp;Centro_Cuenta8[[#This Row],[Nombre Centro Gestion]]</f>
        <v>10365204 - Condominio Parque Del Sur Torre B-Proyecto</v>
      </c>
      <c r="G2587" s="47" t="str">
        <f>+Centro_Cuenta8[[#This Row],[Código Cuenta Contable]]&amp;" - "&amp;Centro_Cuenta8[[#This Row],[Nombre de Cuenta Contable]]</f>
        <v>4203140 - Contribuciones</v>
      </c>
      <c r="H2587" s="146" t="str">
        <f>+VLOOKUP(D2587,'3. Cuentas'!A:F,6,0)</f>
        <v>SI</v>
      </c>
    </row>
    <row r="2588" spans="1:8" x14ac:dyDescent="0.25">
      <c r="A2588" s="43">
        <v>10365204</v>
      </c>
      <c r="B2588" t="s">
        <v>1481</v>
      </c>
      <c r="C2588" s="43" t="s">
        <v>1624</v>
      </c>
      <c r="D2588" s="43">
        <v>4203150</v>
      </c>
      <c r="E2588" t="s">
        <v>156</v>
      </c>
      <c r="F2588" s="47" t="str">
        <f>+Centro_Cuenta8[[#This Row],[Codigo Centro Gestion]]&amp;" - "&amp;Centro_Cuenta8[[#This Row],[Nombre Centro Gestion]]</f>
        <v>10365204 - Condominio Parque Del Sur Torre B-Proyecto</v>
      </c>
      <c r="G2588" s="47" t="str">
        <f>+Centro_Cuenta8[[#This Row],[Código Cuenta Contable]]&amp;" - "&amp;Centro_Cuenta8[[#This Row],[Nombre de Cuenta Contable]]</f>
        <v>4203150 - Gastos CBR</v>
      </c>
      <c r="H2588" s="146" t="str">
        <f>+VLOOKUP(D2588,'3. Cuentas'!A:F,6,0)</f>
        <v>SI</v>
      </c>
    </row>
    <row r="2589" spans="1:8" x14ac:dyDescent="0.25">
      <c r="A2589" s="43">
        <v>10365204</v>
      </c>
      <c r="B2589" t="s">
        <v>1481</v>
      </c>
      <c r="C2589" s="43" t="s">
        <v>1624</v>
      </c>
      <c r="D2589" s="43">
        <v>4203160</v>
      </c>
      <c r="E2589" t="s">
        <v>1639</v>
      </c>
      <c r="F2589" s="47" t="str">
        <f>+Centro_Cuenta8[[#This Row],[Codigo Centro Gestion]]&amp;" - "&amp;Centro_Cuenta8[[#This Row],[Nombre Centro Gestion]]</f>
        <v>10365204 - Condominio Parque Del Sur Torre B-Proyecto</v>
      </c>
      <c r="G2589" s="47" t="str">
        <f>+Centro_Cuenta8[[#This Row],[Código Cuenta Contable]]&amp;" - "&amp;Centro_Cuenta8[[#This Row],[Nombre de Cuenta Contable]]</f>
        <v>4203160 - PAPELERIA Y FOTOCOPIADO</v>
      </c>
      <c r="H2589" s="146" t="str">
        <f>+VLOOKUP(D2589,'3. Cuentas'!A:F,6,0)</f>
        <v>SI</v>
      </c>
    </row>
    <row r="2590" spans="1:8" x14ac:dyDescent="0.25">
      <c r="A2590" s="43">
        <v>10365204</v>
      </c>
      <c r="B2590" t="s">
        <v>1481</v>
      </c>
      <c r="C2590" s="43" t="s">
        <v>1624</v>
      </c>
      <c r="D2590" s="43">
        <v>4203180</v>
      </c>
      <c r="E2590" t="s">
        <v>1640</v>
      </c>
      <c r="F2590" s="47" t="str">
        <f>+Centro_Cuenta8[[#This Row],[Codigo Centro Gestion]]&amp;" - "&amp;Centro_Cuenta8[[#This Row],[Nombre Centro Gestion]]</f>
        <v>10365204 - Condominio Parque Del Sur Torre B-Proyecto</v>
      </c>
      <c r="G2590" s="47" t="str">
        <f>+Centro_Cuenta8[[#This Row],[Código Cuenta Contable]]&amp;" - "&amp;Centro_Cuenta8[[#This Row],[Nombre de Cuenta Contable]]</f>
        <v>4203180 - Otros Gastos y Aseso Proy</v>
      </c>
      <c r="H2590" s="146" t="str">
        <f>+VLOOKUP(D2590,'3. Cuentas'!A:F,6,0)</f>
        <v>SI</v>
      </c>
    </row>
    <row r="2591" spans="1:8" x14ac:dyDescent="0.25">
      <c r="A2591" s="43">
        <v>10365301</v>
      </c>
      <c r="B2591" t="s">
        <v>1482</v>
      </c>
      <c r="C2591" s="43" t="s">
        <v>1643</v>
      </c>
      <c r="D2591" s="43">
        <v>4203090</v>
      </c>
      <c r="E2591" t="s">
        <v>192</v>
      </c>
      <c r="F2591" s="47" t="str">
        <f>+Centro_Cuenta8[[#This Row],[Codigo Centro Gestion]]&amp;" - "&amp;Centro_Cuenta8[[#This Row],[Nombre Centro Gestion]]</f>
        <v>10365301 - Condominio Parque Del Sur Torre B-GAF</v>
      </c>
      <c r="G2591" s="47" t="str">
        <f>+Centro_Cuenta8[[#This Row],[Código Cuenta Contable]]&amp;" - "&amp;Centro_Cuenta8[[#This Row],[Nombre de Cuenta Contable]]</f>
        <v>4203090 - Gastos Legales Y Notariales Proyecto</v>
      </c>
      <c r="H2591" s="146" t="str">
        <f>+VLOOKUP(D2591,'3. Cuentas'!A:F,6,0)</f>
        <v>SI</v>
      </c>
    </row>
    <row r="2592" spans="1:8" x14ac:dyDescent="0.25">
      <c r="A2592" s="43">
        <v>10365301</v>
      </c>
      <c r="B2592" t="s">
        <v>1482</v>
      </c>
      <c r="C2592" s="43" t="s">
        <v>1643</v>
      </c>
      <c r="D2592" s="43">
        <v>4203140</v>
      </c>
      <c r="E2592" t="s">
        <v>109</v>
      </c>
      <c r="F2592" s="47" t="str">
        <f>+Centro_Cuenta8[[#This Row],[Codigo Centro Gestion]]&amp;" - "&amp;Centro_Cuenta8[[#This Row],[Nombre Centro Gestion]]</f>
        <v>10365301 - Condominio Parque Del Sur Torre B-GAF</v>
      </c>
      <c r="G2592" s="47" t="str">
        <f>+Centro_Cuenta8[[#This Row],[Código Cuenta Contable]]&amp;" - "&amp;Centro_Cuenta8[[#This Row],[Nombre de Cuenta Contable]]</f>
        <v>4203140 - Contribuciones</v>
      </c>
      <c r="H2592" s="146" t="str">
        <f>+VLOOKUP(D2592,'3. Cuentas'!A:F,6,0)</f>
        <v>SI</v>
      </c>
    </row>
    <row r="2593" spans="1:8" x14ac:dyDescent="0.25">
      <c r="A2593" s="43">
        <v>10365506</v>
      </c>
      <c r="B2593" t="s">
        <v>1484</v>
      </c>
      <c r="C2593" s="43" t="s">
        <v>200</v>
      </c>
      <c r="D2593" s="43">
        <v>1115100</v>
      </c>
      <c r="E2593" t="s">
        <v>292</v>
      </c>
      <c r="F2593" s="47" t="str">
        <f>+Centro_Cuenta8[[#This Row],[Codigo Centro Gestion]]&amp;" - "&amp;Centro_Cuenta8[[#This Row],[Nombre Centro Gestion]]</f>
        <v>10365506 - Condominio Parque Del Sur Torre B-Depto.Técnico</v>
      </c>
      <c r="G2593" s="47" t="str">
        <f>+Centro_Cuenta8[[#This Row],[Código Cuenta Contable]]&amp;" - "&amp;Centro_Cuenta8[[#This Row],[Nombre de Cuenta Contable]]</f>
        <v>1115100 - Proyectos Y Especialidades</v>
      </c>
      <c r="H2593" s="146" t="str">
        <f>+VLOOKUP(D2593,'3. Cuentas'!A:F,6,0)</f>
        <v>SI</v>
      </c>
    </row>
    <row r="2594" spans="1:8" x14ac:dyDescent="0.25">
      <c r="A2594" s="43">
        <v>10366102</v>
      </c>
      <c r="B2594" t="s">
        <v>1486</v>
      </c>
      <c r="C2594" s="43" t="s">
        <v>1617</v>
      </c>
      <c r="D2594" s="43">
        <v>4204010</v>
      </c>
      <c r="E2594" t="s">
        <v>313</v>
      </c>
      <c r="F2594" s="47" t="str">
        <f>+Centro_Cuenta8[[#This Row],[Codigo Centro Gestion]]&amp;" - "&amp;Centro_Cuenta8[[#This Row],[Nombre Centro Gestion]]</f>
        <v>10366102 - Condominio Parque Del Sur Torre C-Marketing</v>
      </c>
      <c r="G2594" s="47" t="str">
        <f>+Centro_Cuenta8[[#This Row],[Código Cuenta Contable]]&amp;" - "&amp;Centro_Cuenta8[[#This Row],[Nombre de Cuenta Contable]]</f>
        <v>4204010 - Publicidad Punto Venta</v>
      </c>
      <c r="H2594" s="146" t="str">
        <f>+VLOOKUP(D2594,'3. Cuentas'!A:F,6,0)</f>
        <v>SI</v>
      </c>
    </row>
    <row r="2595" spans="1:8" x14ac:dyDescent="0.25">
      <c r="A2595" s="43">
        <v>10366102</v>
      </c>
      <c r="B2595" t="s">
        <v>1486</v>
      </c>
      <c r="C2595" s="43" t="s">
        <v>1617</v>
      </c>
      <c r="D2595" s="43">
        <v>4204021</v>
      </c>
      <c r="E2595" t="s">
        <v>329</v>
      </c>
      <c r="F2595" s="47" t="str">
        <f>+Centro_Cuenta8[[#This Row],[Codigo Centro Gestion]]&amp;" - "&amp;Centro_Cuenta8[[#This Row],[Nombre Centro Gestion]]</f>
        <v>10366102 - Condominio Parque Del Sur Torre C-Marketing</v>
      </c>
      <c r="G2595" s="47" t="str">
        <f>+Centro_Cuenta8[[#This Row],[Código Cuenta Contable]]&amp;" - "&amp;Centro_Cuenta8[[#This Row],[Nombre de Cuenta Contable]]</f>
        <v>4204021 - Publicidad Ferias Y Eventos</v>
      </c>
      <c r="H2595" s="146" t="str">
        <f>+VLOOKUP(D2595,'3. Cuentas'!A:F,6,0)</f>
        <v>SI</v>
      </c>
    </row>
    <row r="2596" spans="1:8" x14ac:dyDescent="0.25">
      <c r="A2596" s="43">
        <v>10366103</v>
      </c>
      <c r="B2596" t="s">
        <v>1487</v>
      </c>
      <c r="C2596" s="43" t="s">
        <v>1618</v>
      </c>
      <c r="D2596" s="43">
        <v>4203060</v>
      </c>
      <c r="E2596" t="s">
        <v>321</v>
      </c>
      <c r="F2596" s="47" t="str">
        <f>+Centro_Cuenta8[[#This Row],[Codigo Centro Gestion]]&amp;" - "&amp;Centro_Cuenta8[[#This Row],[Nombre Centro Gestion]]</f>
        <v>10366103 - Condominio Parque Del Sur Torre C-Operaciones</v>
      </c>
      <c r="G2596" s="47" t="str">
        <f>+Centro_Cuenta8[[#This Row],[Código Cuenta Contable]]&amp;" - "&amp;Centro_Cuenta8[[#This Row],[Nombre de Cuenta Contable]]</f>
        <v>4203060 - Gastos Operacionales De Clientes</v>
      </c>
      <c r="H2596" s="146" t="str">
        <f>+VLOOKUP(D2596,'3. Cuentas'!A:F,6,0)</f>
        <v>SI</v>
      </c>
    </row>
    <row r="2597" spans="1:8" x14ac:dyDescent="0.25">
      <c r="A2597" s="43">
        <v>10366103</v>
      </c>
      <c r="B2597" t="s">
        <v>1487</v>
      </c>
      <c r="C2597" s="43" t="s">
        <v>1618</v>
      </c>
      <c r="D2597" s="43">
        <v>4203090</v>
      </c>
      <c r="E2597" t="s">
        <v>192</v>
      </c>
      <c r="F2597" s="47" t="str">
        <f>+Centro_Cuenta8[[#This Row],[Codigo Centro Gestion]]&amp;" - "&amp;Centro_Cuenta8[[#This Row],[Nombre Centro Gestion]]</f>
        <v>10366103 - Condominio Parque Del Sur Torre C-Operaciones</v>
      </c>
      <c r="G2597" s="47" t="str">
        <f>+Centro_Cuenta8[[#This Row],[Código Cuenta Contable]]&amp;" - "&amp;Centro_Cuenta8[[#This Row],[Nombre de Cuenta Contable]]</f>
        <v>4203090 - Gastos Legales Y Notariales Proyecto</v>
      </c>
      <c r="H2597" s="146" t="str">
        <f>+VLOOKUP(D2597,'3. Cuentas'!A:F,6,0)</f>
        <v>SI</v>
      </c>
    </row>
    <row r="2598" spans="1:8" x14ac:dyDescent="0.25">
      <c r="A2598" s="43">
        <v>10366104</v>
      </c>
      <c r="B2598" t="s">
        <v>1488</v>
      </c>
      <c r="C2598" s="43" t="s">
        <v>90</v>
      </c>
      <c r="D2598" s="43">
        <v>1110040</v>
      </c>
      <c r="E2598" t="s">
        <v>1505</v>
      </c>
      <c r="F2598" s="47" t="str">
        <f>+Centro_Cuenta8[[#This Row],[Codigo Centro Gestion]]&amp;" - "&amp;Centro_Cuenta8[[#This Row],[Nombre Centro Gestion]]</f>
        <v>10366104 - Condominio Parque Del Sur Torre C-Ventas</v>
      </c>
      <c r="G2598" s="47" t="str">
        <f>+Centro_Cuenta8[[#This Row],[Código Cuenta Contable]]&amp;" - "&amp;Centro_Cuenta8[[#This Row],[Nombre de Cuenta Contable]]</f>
        <v>1110040 - Garantía Pagadas</v>
      </c>
      <c r="H2598" s="146" t="str">
        <f>+VLOOKUP(D2598,'3. Cuentas'!A:F,6,0)</f>
        <v>SI</v>
      </c>
    </row>
    <row r="2599" spans="1:8" x14ac:dyDescent="0.25">
      <c r="A2599" s="43">
        <v>10366104</v>
      </c>
      <c r="B2599" t="s">
        <v>1488</v>
      </c>
      <c r="C2599" s="43" t="s">
        <v>90</v>
      </c>
      <c r="D2599" s="43">
        <v>4202003</v>
      </c>
      <c r="E2599" t="s">
        <v>106</v>
      </c>
      <c r="F2599" s="47" t="str">
        <f>+Centro_Cuenta8[[#This Row],[Codigo Centro Gestion]]&amp;" - "&amp;Centro_Cuenta8[[#This Row],[Nombre Centro Gestion]]</f>
        <v>10366104 - Condominio Parque Del Sur Torre C-Ventas</v>
      </c>
      <c r="G2599" s="47" t="str">
        <f>+Centro_Cuenta8[[#This Row],[Código Cuenta Contable]]&amp;" - "&amp;Centro_Cuenta8[[#This Row],[Nombre de Cuenta Contable]]</f>
        <v>4202003 - Serv.Basic.Luz.Agua.Tel Of.C</v>
      </c>
      <c r="H2599" s="146" t="str">
        <f>+VLOOKUP(D2599,'3. Cuentas'!A:F,6,0)</f>
        <v>SI</v>
      </c>
    </row>
    <row r="2600" spans="1:8" x14ac:dyDescent="0.25">
      <c r="A2600" s="43">
        <v>10366104</v>
      </c>
      <c r="B2600" t="s">
        <v>1488</v>
      </c>
      <c r="C2600" s="43" t="s">
        <v>90</v>
      </c>
      <c r="D2600" s="43">
        <v>4202010</v>
      </c>
      <c r="E2600" t="s">
        <v>87</v>
      </c>
      <c r="F2600" s="47" t="str">
        <f>+Centro_Cuenta8[[#This Row],[Codigo Centro Gestion]]&amp;" - "&amp;Centro_Cuenta8[[#This Row],[Nombre Centro Gestion]]</f>
        <v>10366104 - Condominio Parque Del Sur Torre C-Ventas</v>
      </c>
      <c r="G2600" s="47" t="str">
        <f>+Centro_Cuenta8[[#This Row],[Código Cuenta Contable]]&amp;" - "&amp;Centro_Cuenta8[[#This Row],[Nombre de Cuenta Contable]]</f>
        <v>4202010 - Artic. Ofic. Fotocop.Papelería</v>
      </c>
      <c r="H2600" s="146" t="str">
        <f>+VLOOKUP(D2600,'3. Cuentas'!A:F,6,0)</f>
        <v>SI</v>
      </c>
    </row>
    <row r="2601" spans="1:8" x14ac:dyDescent="0.25">
      <c r="A2601" s="43">
        <v>10366104</v>
      </c>
      <c r="B2601" t="s">
        <v>1488</v>
      </c>
      <c r="C2601" s="43" t="s">
        <v>90</v>
      </c>
      <c r="D2601" s="43">
        <v>4202019</v>
      </c>
      <c r="E2601" t="s">
        <v>81</v>
      </c>
      <c r="F2601" s="47" t="str">
        <f>+Centro_Cuenta8[[#This Row],[Codigo Centro Gestion]]&amp;" - "&amp;Centro_Cuenta8[[#This Row],[Nombre Centro Gestion]]</f>
        <v>10366104 - Condominio Parque Del Sur Torre C-Ventas</v>
      </c>
      <c r="G2601" s="47" t="str">
        <f>+Centro_Cuenta8[[#This Row],[Código Cuenta Contable]]&amp;" - "&amp;Centro_Cuenta8[[#This Row],[Nombre de Cuenta Contable]]</f>
        <v>4202019 - Gasto General Oficina</v>
      </c>
      <c r="H2601" s="146" t="str">
        <f>+VLOOKUP(D2601,'3. Cuentas'!A:F,6,0)</f>
        <v>SI</v>
      </c>
    </row>
    <row r="2602" spans="1:8" x14ac:dyDescent="0.25">
      <c r="A2602" s="43">
        <v>10366104</v>
      </c>
      <c r="B2602" t="s">
        <v>1488</v>
      </c>
      <c r="C2602" s="43" t="s">
        <v>90</v>
      </c>
      <c r="D2602" s="43">
        <v>4202023</v>
      </c>
      <c r="E2602" t="s">
        <v>82</v>
      </c>
      <c r="F2602" s="47" t="str">
        <f>+Centro_Cuenta8[[#This Row],[Codigo Centro Gestion]]&amp;" - "&amp;Centro_Cuenta8[[#This Row],[Nombre Centro Gestion]]</f>
        <v>10366104 - Condominio Parque Del Sur Torre C-Ventas</v>
      </c>
      <c r="G2602" s="47" t="str">
        <f>+Centro_Cuenta8[[#This Row],[Código Cuenta Contable]]&amp;" - "&amp;Centro_Cuenta8[[#This Row],[Nombre de Cuenta Contable]]</f>
        <v>4202023 - Honorarios Por Asesorías</v>
      </c>
      <c r="H2602" s="146" t="str">
        <f>+VLOOKUP(D2602,'3. Cuentas'!A:F,6,0)</f>
        <v>SI</v>
      </c>
    </row>
    <row r="2603" spans="1:8" x14ac:dyDescent="0.25">
      <c r="A2603" s="43">
        <v>10366104</v>
      </c>
      <c r="B2603" t="s">
        <v>1488</v>
      </c>
      <c r="C2603" s="43" t="s">
        <v>90</v>
      </c>
      <c r="D2603" s="43">
        <v>4202029</v>
      </c>
      <c r="E2603" t="s">
        <v>83</v>
      </c>
      <c r="F2603" s="47" t="str">
        <f>+Centro_Cuenta8[[#This Row],[Codigo Centro Gestion]]&amp;" - "&amp;Centro_Cuenta8[[#This Row],[Nombre Centro Gestion]]</f>
        <v>10366104 - Condominio Parque Del Sur Torre C-Ventas</v>
      </c>
      <c r="G2603" s="47" t="str">
        <f>+Centro_Cuenta8[[#This Row],[Código Cuenta Contable]]&amp;" - "&amp;Centro_Cuenta8[[#This Row],[Nombre de Cuenta Contable]]</f>
        <v>4202029 - Insumos Y Gastos Informáticos</v>
      </c>
      <c r="H2603" s="146" t="str">
        <f>+VLOOKUP(D2603,'3. Cuentas'!A:F,6,0)</f>
        <v>SI</v>
      </c>
    </row>
    <row r="2604" spans="1:8" x14ac:dyDescent="0.25">
      <c r="A2604" s="43">
        <v>10366104</v>
      </c>
      <c r="B2604" t="s">
        <v>1488</v>
      </c>
      <c r="C2604" s="43" t="s">
        <v>90</v>
      </c>
      <c r="D2604" s="43">
        <v>4204021</v>
      </c>
      <c r="E2604" t="s">
        <v>329</v>
      </c>
      <c r="F2604" s="47" t="str">
        <f>+Centro_Cuenta8[[#This Row],[Codigo Centro Gestion]]&amp;" - "&amp;Centro_Cuenta8[[#This Row],[Nombre Centro Gestion]]</f>
        <v>10366104 - Condominio Parque Del Sur Torre C-Ventas</v>
      </c>
      <c r="G2604" s="47" t="str">
        <f>+Centro_Cuenta8[[#This Row],[Código Cuenta Contable]]&amp;" - "&amp;Centro_Cuenta8[[#This Row],[Nombre de Cuenta Contable]]</f>
        <v>4204021 - Publicidad Ferias Y Eventos</v>
      </c>
      <c r="H2604" s="146" t="str">
        <f>+VLOOKUP(D2604,'3. Cuentas'!A:F,6,0)</f>
        <v>SI</v>
      </c>
    </row>
    <row r="2605" spans="1:8" x14ac:dyDescent="0.25">
      <c r="A2605" s="43">
        <v>10366105</v>
      </c>
      <c r="B2605" t="s">
        <v>1489</v>
      </c>
      <c r="C2605" s="43" t="s">
        <v>1622</v>
      </c>
      <c r="D2605" s="43">
        <v>4203020</v>
      </c>
      <c r="E2605" t="s">
        <v>295</v>
      </c>
      <c r="F2605" s="47" t="str">
        <f>+Centro_Cuenta8[[#This Row],[Codigo Centro Gestion]]&amp;" - "&amp;Centro_Cuenta8[[#This Row],[Nombre Centro Gestion]]</f>
        <v>10366105 - Condominio Parque Del Sur Torre C-Clientes</v>
      </c>
      <c r="G2605" s="47" t="str">
        <f>+Centro_Cuenta8[[#This Row],[Código Cuenta Contable]]&amp;" - "&amp;Centro_Cuenta8[[#This Row],[Nombre de Cuenta Contable]]</f>
        <v>4203020 - Mant. y Consum. Viv Stock</v>
      </c>
      <c r="H2605" s="146" t="str">
        <f>+VLOOKUP(D2605,'3. Cuentas'!A:F,6,0)</f>
        <v>SI</v>
      </c>
    </row>
    <row r="2606" spans="1:8" x14ac:dyDescent="0.25">
      <c r="A2606" s="43">
        <v>10366105</v>
      </c>
      <c r="B2606" t="s">
        <v>1489</v>
      </c>
      <c r="C2606" s="43" t="s">
        <v>1622</v>
      </c>
      <c r="D2606" s="43">
        <v>4203120</v>
      </c>
      <c r="E2606" t="s">
        <v>108</v>
      </c>
      <c r="F2606" s="47" t="str">
        <f>+Centro_Cuenta8[[#This Row],[Codigo Centro Gestion]]&amp;" - "&amp;Centro_Cuenta8[[#This Row],[Nombre Centro Gestion]]</f>
        <v>10366105 - Condominio Parque Del Sur Torre C-Clientes</v>
      </c>
      <c r="G2606" s="47" t="str">
        <f>+Centro_Cuenta8[[#This Row],[Código Cuenta Contable]]&amp;" - "&amp;Centro_Cuenta8[[#This Row],[Nombre de Cuenta Contable]]</f>
        <v>4203120 - Gastos Comunes</v>
      </c>
      <c r="H2606" s="146" t="str">
        <f>+VLOOKUP(D2606,'3. Cuentas'!A:F,6,0)</f>
        <v>SI</v>
      </c>
    </row>
    <row r="2607" spans="1:8" x14ac:dyDescent="0.25">
      <c r="A2607" s="43">
        <v>10366105</v>
      </c>
      <c r="B2607" t="s">
        <v>1489</v>
      </c>
      <c r="C2607" s="43" t="s">
        <v>1622</v>
      </c>
      <c r="D2607" s="43">
        <v>4203140</v>
      </c>
      <c r="E2607" t="s">
        <v>109</v>
      </c>
      <c r="F2607" s="47" t="str">
        <f>+Centro_Cuenta8[[#This Row],[Codigo Centro Gestion]]&amp;" - "&amp;Centro_Cuenta8[[#This Row],[Nombre Centro Gestion]]</f>
        <v>10366105 - Condominio Parque Del Sur Torre C-Clientes</v>
      </c>
      <c r="G2607" s="47" t="str">
        <f>+Centro_Cuenta8[[#This Row],[Código Cuenta Contable]]&amp;" - "&amp;Centro_Cuenta8[[#This Row],[Nombre de Cuenta Contable]]</f>
        <v>4203140 - Contribuciones</v>
      </c>
      <c r="H2607" s="146" t="str">
        <f>+VLOOKUP(D2607,'3. Cuentas'!A:F,6,0)</f>
        <v>SI</v>
      </c>
    </row>
    <row r="2608" spans="1:8" x14ac:dyDescent="0.25">
      <c r="A2608" s="43">
        <v>10366204</v>
      </c>
      <c r="B2608" t="s">
        <v>1490</v>
      </c>
      <c r="C2608" s="43" t="s">
        <v>1624</v>
      </c>
      <c r="D2608" s="43">
        <v>1103045</v>
      </c>
      <c r="E2608" t="s">
        <v>323</v>
      </c>
      <c r="F2608" s="47" t="str">
        <f>+Centro_Cuenta8[[#This Row],[Codigo Centro Gestion]]&amp;" - "&amp;Centro_Cuenta8[[#This Row],[Nombre Centro Gestion]]</f>
        <v>10366204 - Condominio Parque Del Sur Torre C-Proyecto</v>
      </c>
      <c r="G2608" s="47" t="str">
        <f>+Centro_Cuenta8[[#This Row],[Código Cuenta Contable]]&amp;" - "&amp;Centro_Cuenta8[[#This Row],[Nombre de Cuenta Contable]]</f>
        <v>1103045 - Aportes reembolsables (electricidad y agua)</v>
      </c>
      <c r="H2608" s="146" t="str">
        <f>+VLOOKUP(D2608,'3. Cuentas'!A:F,6,0)</f>
        <v>SI</v>
      </c>
    </row>
    <row r="2609" spans="1:8" x14ac:dyDescent="0.25">
      <c r="A2609" s="43">
        <v>10366204</v>
      </c>
      <c r="B2609" t="s">
        <v>1490</v>
      </c>
      <c r="C2609" s="43" t="s">
        <v>1624</v>
      </c>
      <c r="D2609" s="43">
        <v>1109020</v>
      </c>
      <c r="E2609" t="s">
        <v>302</v>
      </c>
      <c r="F2609" s="47" t="str">
        <f>+Centro_Cuenta8[[#This Row],[Codigo Centro Gestion]]&amp;" - "&amp;Centro_Cuenta8[[#This Row],[Nombre Centro Gestion]]</f>
        <v>10366204 - Condominio Parque Del Sur Torre C-Proyecto</v>
      </c>
      <c r="G2609" s="47" t="str">
        <f>+Centro_Cuenta8[[#This Row],[Código Cuenta Contable]]&amp;" - "&amp;Centro_Cuenta8[[#This Row],[Nombre de Cuenta Contable]]</f>
        <v>1109020 - Mobiliario</v>
      </c>
      <c r="H2609" s="146" t="str">
        <f>+VLOOKUP(D2609,'3. Cuentas'!A:F,6,0)</f>
        <v>SI</v>
      </c>
    </row>
    <row r="2610" spans="1:8" x14ac:dyDescent="0.25">
      <c r="A2610" s="43">
        <v>10366204</v>
      </c>
      <c r="B2610" t="s">
        <v>1490</v>
      </c>
      <c r="C2610" s="43" t="s">
        <v>1624</v>
      </c>
      <c r="D2610" s="43">
        <v>1110040</v>
      </c>
      <c r="E2610" t="s">
        <v>1505</v>
      </c>
      <c r="F2610" s="47" t="str">
        <f>+Centro_Cuenta8[[#This Row],[Codigo Centro Gestion]]&amp;" - "&amp;Centro_Cuenta8[[#This Row],[Nombre Centro Gestion]]</f>
        <v>10366204 - Condominio Parque Del Sur Torre C-Proyecto</v>
      </c>
      <c r="G2610" s="47" t="str">
        <f>+Centro_Cuenta8[[#This Row],[Código Cuenta Contable]]&amp;" - "&amp;Centro_Cuenta8[[#This Row],[Nombre de Cuenta Contable]]</f>
        <v>1110040 - Garantía Pagadas</v>
      </c>
      <c r="H2610" s="146" t="str">
        <f>+VLOOKUP(D2610,'3. Cuentas'!A:F,6,0)</f>
        <v>SI</v>
      </c>
    </row>
    <row r="2611" spans="1:8" x14ac:dyDescent="0.25">
      <c r="A2611" s="43">
        <v>10366204</v>
      </c>
      <c r="B2611" t="s">
        <v>1490</v>
      </c>
      <c r="C2611" s="43" t="s">
        <v>1624</v>
      </c>
      <c r="D2611" s="43">
        <v>1115040</v>
      </c>
      <c r="E2611" t="s">
        <v>291</v>
      </c>
      <c r="F2611" s="47" t="str">
        <f>+Centro_Cuenta8[[#This Row],[Codigo Centro Gestion]]&amp;" - "&amp;Centro_Cuenta8[[#This Row],[Nombre Centro Gestion]]</f>
        <v>10366204 - Condominio Parque Del Sur Torre C-Proyecto</v>
      </c>
      <c r="G2611" s="47" t="str">
        <f>+Centro_Cuenta8[[#This Row],[Código Cuenta Contable]]&amp;" - "&amp;Centro_Cuenta8[[#This Row],[Nombre de Cuenta Contable]]</f>
        <v>1115040 - Saneamiento De Terreno</v>
      </c>
      <c r="H2611" s="146" t="str">
        <f>+VLOOKUP(D2611,'3. Cuentas'!A:F,6,0)</f>
        <v>SI</v>
      </c>
    </row>
    <row r="2612" spans="1:8" x14ac:dyDescent="0.25">
      <c r="A2612" s="43">
        <v>10366204</v>
      </c>
      <c r="B2612" t="s">
        <v>1490</v>
      </c>
      <c r="C2612" s="43" t="s">
        <v>1624</v>
      </c>
      <c r="D2612" s="43">
        <v>1115050</v>
      </c>
      <c r="E2612" t="s">
        <v>1628</v>
      </c>
      <c r="F2612" s="47" t="str">
        <f>+Centro_Cuenta8[[#This Row],[Codigo Centro Gestion]]&amp;" - "&amp;Centro_Cuenta8[[#This Row],[Nombre Centro Gestion]]</f>
        <v>10366204 - Condominio Parque Del Sur Torre C-Proyecto</v>
      </c>
      <c r="G2612" s="47" t="str">
        <f>+Centro_Cuenta8[[#This Row],[Código Cuenta Contable]]&amp;" - "&amp;Centro_Cuenta8[[#This Row],[Nombre de Cuenta Contable]]</f>
        <v>1115050 - Demolición</v>
      </c>
      <c r="H2612" s="146" t="str">
        <f>+VLOOKUP(D2612,'3. Cuentas'!A:F,6,0)</f>
        <v>SI</v>
      </c>
    </row>
    <row r="2613" spans="1:8" x14ac:dyDescent="0.25">
      <c r="A2613" s="43">
        <v>10366204</v>
      </c>
      <c r="B2613" t="s">
        <v>1490</v>
      </c>
      <c r="C2613" s="43" t="s">
        <v>1624</v>
      </c>
      <c r="D2613" s="43">
        <v>1115100</v>
      </c>
      <c r="E2613" t="s">
        <v>292</v>
      </c>
      <c r="F2613" s="47" t="str">
        <f>+Centro_Cuenta8[[#This Row],[Codigo Centro Gestion]]&amp;" - "&amp;Centro_Cuenta8[[#This Row],[Nombre Centro Gestion]]</f>
        <v>10366204 - Condominio Parque Del Sur Torre C-Proyecto</v>
      </c>
      <c r="G2613" s="47" t="str">
        <f>+Centro_Cuenta8[[#This Row],[Código Cuenta Contable]]&amp;" - "&amp;Centro_Cuenta8[[#This Row],[Nombre de Cuenta Contable]]</f>
        <v>1115100 - Proyectos Y Especialidades</v>
      </c>
      <c r="H2613" s="146" t="str">
        <f>+VLOOKUP(D2613,'3. Cuentas'!A:F,6,0)</f>
        <v>SI</v>
      </c>
    </row>
    <row r="2614" spans="1:8" x14ac:dyDescent="0.25">
      <c r="A2614" s="43">
        <v>10366204</v>
      </c>
      <c r="B2614" t="s">
        <v>1490</v>
      </c>
      <c r="C2614" s="43" t="s">
        <v>1624</v>
      </c>
      <c r="D2614" s="43">
        <v>1115120</v>
      </c>
      <c r="E2614" t="s">
        <v>1633</v>
      </c>
      <c r="F2614" s="47" t="str">
        <f>+Centro_Cuenta8[[#This Row],[Codigo Centro Gestion]]&amp;" - "&amp;Centro_Cuenta8[[#This Row],[Nombre Centro Gestion]]</f>
        <v>10366204 - Condominio Parque Del Sur Torre C-Proyecto</v>
      </c>
      <c r="G2614" s="47" t="str">
        <f>+Centro_Cuenta8[[#This Row],[Código Cuenta Contable]]&amp;" - "&amp;Centro_Cuenta8[[#This Row],[Nombre de Cuenta Contable]]</f>
        <v>1115120 - Instalación Empalmes</v>
      </c>
      <c r="H2614" s="146" t="str">
        <f>+VLOOKUP(D2614,'3. Cuentas'!A:F,6,0)</f>
        <v>SI</v>
      </c>
    </row>
    <row r="2615" spans="1:8" x14ac:dyDescent="0.25">
      <c r="A2615" s="43">
        <v>10366204</v>
      </c>
      <c r="B2615" t="s">
        <v>1490</v>
      </c>
      <c r="C2615" s="43" t="s">
        <v>1624</v>
      </c>
      <c r="D2615" s="43">
        <v>1115170</v>
      </c>
      <c r="E2615" t="s">
        <v>293</v>
      </c>
      <c r="F2615" s="47" t="str">
        <f>+Centro_Cuenta8[[#This Row],[Codigo Centro Gestion]]&amp;" - "&amp;Centro_Cuenta8[[#This Row],[Nombre Centro Gestion]]</f>
        <v>10366204 - Condominio Parque Del Sur Torre C-Proyecto</v>
      </c>
      <c r="G2615" s="47" t="str">
        <f>+Centro_Cuenta8[[#This Row],[Código Cuenta Contable]]&amp;" - "&amp;Centro_Cuenta8[[#This Row],[Nombre de Cuenta Contable]]</f>
        <v>1115170 - Permisos Y Otros Gastos Municipales</v>
      </c>
      <c r="H2615" s="146" t="str">
        <f>+VLOOKUP(D2615,'3. Cuentas'!A:F,6,0)</f>
        <v>SI</v>
      </c>
    </row>
    <row r="2616" spans="1:8" x14ac:dyDescent="0.25">
      <c r="A2616" s="43">
        <v>10366204</v>
      </c>
      <c r="B2616" t="s">
        <v>1490</v>
      </c>
      <c r="C2616" s="43" t="s">
        <v>1624</v>
      </c>
      <c r="D2616" s="43">
        <v>1115240</v>
      </c>
      <c r="E2616" t="s">
        <v>294</v>
      </c>
      <c r="F2616" s="47" t="str">
        <f>+Centro_Cuenta8[[#This Row],[Codigo Centro Gestion]]&amp;" - "&amp;Centro_Cuenta8[[#This Row],[Nombre Centro Gestion]]</f>
        <v>10366204 - Condominio Parque Del Sur Torre C-Proyecto</v>
      </c>
      <c r="G2616" s="47" t="str">
        <f>+Centro_Cuenta8[[#This Row],[Código Cuenta Contable]]&amp;" - "&amp;Centro_Cuenta8[[#This Row],[Nombre de Cuenta Contable]]</f>
        <v>1115240 - Estudios Y Asesorias Técnicas</v>
      </c>
      <c r="H2616" s="146" t="str">
        <f>+VLOOKUP(D2616,'3. Cuentas'!A:F,6,0)</f>
        <v>SI</v>
      </c>
    </row>
    <row r="2617" spans="1:8" x14ac:dyDescent="0.25">
      <c r="A2617" s="43">
        <v>10366204</v>
      </c>
      <c r="B2617" t="s">
        <v>1490</v>
      </c>
      <c r="C2617" s="43" t="s">
        <v>1624</v>
      </c>
      <c r="D2617" s="43">
        <v>4203090</v>
      </c>
      <c r="E2617" t="s">
        <v>192</v>
      </c>
      <c r="F2617" s="47" t="str">
        <f>+Centro_Cuenta8[[#This Row],[Codigo Centro Gestion]]&amp;" - "&amp;Centro_Cuenta8[[#This Row],[Nombre Centro Gestion]]</f>
        <v>10366204 - Condominio Parque Del Sur Torre C-Proyecto</v>
      </c>
      <c r="G2617" s="47" t="str">
        <f>+Centro_Cuenta8[[#This Row],[Código Cuenta Contable]]&amp;" - "&amp;Centro_Cuenta8[[#This Row],[Nombre de Cuenta Contable]]</f>
        <v>4203090 - Gastos Legales Y Notariales Proyecto</v>
      </c>
      <c r="H2617" s="146" t="str">
        <f>+VLOOKUP(D2617,'3. Cuentas'!A:F,6,0)</f>
        <v>SI</v>
      </c>
    </row>
    <row r="2618" spans="1:8" x14ac:dyDescent="0.25">
      <c r="A2618" s="43">
        <v>10366204</v>
      </c>
      <c r="B2618" t="s">
        <v>1490</v>
      </c>
      <c r="C2618" s="43" t="s">
        <v>1624</v>
      </c>
      <c r="D2618" s="43">
        <v>4203140</v>
      </c>
      <c r="E2618" t="s">
        <v>109</v>
      </c>
      <c r="F2618" s="47" t="str">
        <f>+Centro_Cuenta8[[#This Row],[Codigo Centro Gestion]]&amp;" - "&amp;Centro_Cuenta8[[#This Row],[Nombre Centro Gestion]]</f>
        <v>10366204 - Condominio Parque Del Sur Torre C-Proyecto</v>
      </c>
      <c r="G2618" s="47" t="str">
        <f>+Centro_Cuenta8[[#This Row],[Código Cuenta Contable]]&amp;" - "&amp;Centro_Cuenta8[[#This Row],[Nombre de Cuenta Contable]]</f>
        <v>4203140 - Contribuciones</v>
      </c>
      <c r="H2618" s="146" t="str">
        <f>+VLOOKUP(D2618,'3. Cuentas'!A:F,6,0)</f>
        <v>SI</v>
      </c>
    </row>
    <row r="2619" spans="1:8" x14ac:dyDescent="0.25">
      <c r="A2619" s="43">
        <v>10366204</v>
      </c>
      <c r="B2619" t="s">
        <v>1490</v>
      </c>
      <c r="C2619" s="43" t="s">
        <v>1624</v>
      </c>
      <c r="D2619" s="43">
        <v>4203150</v>
      </c>
      <c r="E2619" t="s">
        <v>156</v>
      </c>
      <c r="F2619" s="47" t="str">
        <f>+Centro_Cuenta8[[#This Row],[Codigo Centro Gestion]]&amp;" - "&amp;Centro_Cuenta8[[#This Row],[Nombre Centro Gestion]]</f>
        <v>10366204 - Condominio Parque Del Sur Torre C-Proyecto</v>
      </c>
      <c r="G2619" s="47" t="str">
        <f>+Centro_Cuenta8[[#This Row],[Código Cuenta Contable]]&amp;" - "&amp;Centro_Cuenta8[[#This Row],[Nombre de Cuenta Contable]]</f>
        <v>4203150 - Gastos CBR</v>
      </c>
      <c r="H2619" s="146" t="str">
        <f>+VLOOKUP(D2619,'3. Cuentas'!A:F,6,0)</f>
        <v>SI</v>
      </c>
    </row>
    <row r="2620" spans="1:8" x14ac:dyDescent="0.25">
      <c r="A2620" s="43">
        <v>10366204</v>
      </c>
      <c r="B2620" t="s">
        <v>1490</v>
      </c>
      <c r="C2620" s="43" t="s">
        <v>1624</v>
      </c>
      <c r="D2620" s="43">
        <v>4203160</v>
      </c>
      <c r="E2620" t="s">
        <v>1639</v>
      </c>
      <c r="F2620" s="47" t="str">
        <f>+Centro_Cuenta8[[#This Row],[Codigo Centro Gestion]]&amp;" - "&amp;Centro_Cuenta8[[#This Row],[Nombre Centro Gestion]]</f>
        <v>10366204 - Condominio Parque Del Sur Torre C-Proyecto</v>
      </c>
      <c r="G2620" s="47" t="str">
        <f>+Centro_Cuenta8[[#This Row],[Código Cuenta Contable]]&amp;" - "&amp;Centro_Cuenta8[[#This Row],[Nombre de Cuenta Contable]]</f>
        <v>4203160 - PAPELERIA Y FOTOCOPIADO</v>
      </c>
      <c r="H2620" s="146" t="str">
        <f>+VLOOKUP(D2620,'3. Cuentas'!A:F,6,0)</f>
        <v>SI</v>
      </c>
    </row>
    <row r="2621" spans="1:8" x14ac:dyDescent="0.25">
      <c r="A2621" s="43">
        <v>10366204</v>
      </c>
      <c r="B2621" t="s">
        <v>1490</v>
      </c>
      <c r="C2621" s="43" t="s">
        <v>1624</v>
      </c>
      <c r="D2621" s="43">
        <v>4203180</v>
      </c>
      <c r="E2621" t="s">
        <v>1640</v>
      </c>
      <c r="F2621" s="47" t="str">
        <f>+Centro_Cuenta8[[#This Row],[Codigo Centro Gestion]]&amp;" - "&amp;Centro_Cuenta8[[#This Row],[Nombre Centro Gestion]]</f>
        <v>10366204 - Condominio Parque Del Sur Torre C-Proyecto</v>
      </c>
      <c r="G2621" s="47" t="str">
        <f>+Centro_Cuenta8[[#This Row],[Código Cuenta Contable]]&amp;" - "&amp;Centro_Cuenta8[[#This Row],[Nombre de Cuenta Contable]]</f>
        <v>4203180 - Otros Gastos y Aseso Proy</v>
      </c>
      <c r="H2621" s="146" t="str">
        <f>+VLOOKUP(D2621,'3. Cuentas'!A:F,6,0)</f>
        <v>SI</v>
      </c>
    </row>
    <row r="2622" spans="1:8" x14ac:dyDescent="0.25">
      <c r="A2622" s="43">
        <v>10366301</v>
      </c>
      <c r="B2622" t="s">
        <v>1491</v>
      </c>
      <c r="C2622" s="43" t="s">
        <v>1643</v>
      </c>
      <c r="D2622" s="43">
        <v>4203090</v>
      </c>
      <c r="E2622" t="s">
        <v>192</v>
      </c>
      <c r="F2622" s="47" t="str">
        <f>+Centro_Cuenta8[[#This Row],[Codigo Centro Gestion]]&amp;" - "&amp;Centro_Cuenta8[[#This Row],[Nombre Centro Gestion]]</f>
        <v>10366301 - Condominio Parque Del Sur Torre C-GAF</v>
      </c>
      <c r="G2622" s="47" t="str">
        <f>+Centro_Cuenta8[[#This Row],[Código Cuenta Contable]]&amp;" - "&amp;Centro_Cuenta8[[#This Row],[Nombre de Cuenta Contable]]</f>
        <v>4203090 - Gastos Legales Y Notariales Proyecto</v>
      </c>
      <c r="H2622" s="146" t="str">
        <f>+VLOOKUP(D2622,'3. Cuentas'!A:F,6,0)</f>
        <v>SI</v>
      </c>
    </row>
    <row r="2623" spans="1:8" x14ac:dyDescent="0.25">
      <c r="A2623" s="43">
        <v>10366301</v>
      </c>
      <c r="B2623" t="s">
        <v>1491</v>
      </c>
      <c r="C2623" s="43" t="s">
        <v>1643</v>
      </c>
      <c r="D2623" s="43">
        <v>4203140</v>
      </c>
      <c r="E2623" t="s">
        <v>109</v>
      </c>
      <c r="F2623" s="47" t="str">
        <f>+Centro_Cuenta8[[#This Row],[Codigo Centro Gestion]]&amp;" - "&amp;Centro_Cuenta8[[#This Row],[Nombre Centro Gestion]]</f>
        <v>10366301 - Condominio Parque Del Sur Torre C-GAF</v>
      </c>
      <c r="G2623" s="47" t="str">
        <f>+Centro_Cuenta8[[#This Row],[Código Cuenta Contable]]&amp;" - "&amp;Centro_Cuenta8[[#This Row],[Nombre de Cuenta Contable]]</f>
        <v>4203140 - Contribuciones</v>
      </c>
      <c r="H2623" s="146" t="str">
        <f>+VLOOKUP(D2623,'3. Cuentas'!A:F,6,0)</f>
        <v>SI</v>
      </c>
    </row>
    <row r="2624" spans="1:8" x14ac:dyDescent="0.25">
      <c r="A2624" s="43">
        <v>10366506</v>
      </c>
      <c r="B2624" t="s">
        <v>1493</v>
      </c>
      <c r="C2624" s="43" t="s">
        <v>200</v>
      </c>
      <c r="D2624" s="43">
        <v>1115100</v>
      </c>
      <c r="E2624" t="s">
        <v>292</v>
      </c>
      <c r="F2624" s="47" t="str">
        <f>+Centro_Cuenta8[[#This Row],[Codigo Centro Gestion]]&amp;" - "&amp;Centro_Cuenta8[[#This Row],[Nombre Centro Gestion]]</f>
        <v>10366506 - Condominio Parque Del Sur Torre C-Depto.Técnico</v>
      </c>
      <c r="G2624" s="47" t="str">
        <f>+Centro_Cuenta8[[#This Row],[Código Cuenta Contable]]&amp;" - "&amp;Centro_Cuenta8[[#This Row],[Nombre de Cuenta Contable]]</f>
        <v>1115100 - Proyectos Y Especialidades</v>
      </c>
      <c r="H2624" s="146" t="str">
        <f>+VLOOKUP(D2624,'3. Cuentas'!A:F,6,0)</f>
        <v>SI</v>
      </c>
    </row>
    <row r="2625" spans="1:8" x14ac:dyDescent="0.25">
      <c r="A2625" s="43">
        <v>10370102</v>
      </c>
      <c r="B2625" t="s">
        <v>1461</v>
      </c>
      <c r="C2625" s="43" t="s">
        <v>1617</v>
      </c>
      <c r="D2625" s="43">
        <v>4204010</v>
      </c>
      <c r="E2625" t="s">
        <v>313</v>
      </c>
      <c r="F2625" s="47" t="str">
        <f>+Centro_Cuenta8[[#This Row],[Codigo Centro Gestion]]&amp;" - "&amp;Centro_Cuenta8[[#This Row],[Nombre Centro Gestion]]</f>
        <v>10370102 - DS19 Gran Avenida Etapa 2 (Torre A-B)-Marketing</v>
      </c>
      <c r="G2625" s="47" t="str">
        <f>+Centro_Cuenta8[[#This Row],[Código Cuenta Contable]]&amp;" - "&amp;Centro_Cuenta8[[#This Row],[Nombre de Cuenta Contable]]</f>
        <v>4204010 - Publicidad Punto Venta</v>
      </c>
      <c r="H2625" s="146" t="str">
        <f>+VLOOKUP(D2625,'3. Cuentas'!A:F,6,0)</f>
        <v>SI</v>
      </c>
    </row>
    <row r="2626" spans="1:8" x14ac:dyDescent="0.25">
      <c r="A2626" s="43">
        <v>10370102</v>
      </c>
      <c r="B2626" t="s">
        <v>1461</v>
      </c>
      <c r="C2626" s="43" t="s">
        <v>1617</v>
      </c>
      <c r="D2626" s="43">
        <v>4204021</v>
      </c>
      <c r="E2626" t="s">
        <v>329</v>
      </c>
      <c r="F2626" s="47" t="str">
        <f>+Centro_Cuenta8[[#This Row],[Codigo Centro Gestion]]&amp;" - "&amp;Centro_Cuenta8[[#This Row],[Nombre Centro Gestion]]</f>
        <v>10370102 - DS19 Gran Avenida Etapa 2 (Torre A-B)-Marketing</v>
      </c>
      <c r="G2626" s="47" t="str">
        <f>+Centro_Cuenta8[[#This Row],[Código Cuenta Contable]]&amp;" - "&amp;Centro_Cuenta8[[#This Row],[Nombre de Cuenta Contable]]</f>
        <v>4204021 - Publicidad Ferias Y Eventos</v>
      </c>
      <c r="H2626" s="146" t="str">
        <f>+VLOOKUP(D2626,'3. Cuentas'!A:F,6,0)</f>
        <v>SI</v>
      </c>
    </row>
    <row r="2627" spans="1:8" x14ac:dyDescent="0.25">
      <c r="A2627" s="43">
        <v>10370103</v>
      </c>
      <c r="B2627" t="s">
        <v>1462</v>
      </c>
      <c r="C2627" s="43" t="s">
        <v>1618</v>
      </c>
      <c r="D2627" s="43">
        <v>4203060</v>
      </c>
      <c r="E2627" t="s">
        <v>321</v>
      </c>
      <c r="F2627" s="47" t="str">
        <f>+Centro_Cuenta8[[#This Row],[Codigo Centro Gestion]]&amp;" - "&amp;Centro_Cuenta8[[#This Row],[Nombre Centro Gestion]]</f>
        <v>10370103 - DS19 Gran Avenida Etapa 2 (Torre A-B)-Operaciones</v>
      </c>
      <c r="G2627" s="47" t="str">
        <f>+Centro_Cuenta8[[#This Row],[Código Cuenta Contable]]&amp;" - "&amp;Centro_Cuenta8[[#This Row],[Nombre de Cuenta Contable]]</f>
        <v>4203060 - Gastos Operacionales De Clientes</v>
      </c>
      <c r="H2627" s="146" t="str">
        <f>+VLOOKUP(D2627,'3. Cuentas'!A:F,6,0)</f>
        <v>SI</v>
      </c>
    </row>
    <row r="2628" spans="1:8" x14ac:dyDescent="0.25">
      <c r="A2628" s="43">
        <v>10370103</v>
      </c>
      <c r="B2628" t="s">
        <v>1462</v>
      </c>
      <c r="C2628" s="43" t="s">
        <v>1618</v>
      </c>
      <c r="D2628" s="43">
        <v>4203090</v>
      </c>
      <c r="E2628" t="s">
        <v>192</v>
      </c>
      <c r="F2628" s="47" t="str">
        <f>+Centro_Cuenta8[[#This Row],[Codigo Centro Gestion]]&amp;" - "&amp;Centro_Cuenta8[[#This Row],[Nombre Centro Gestion]]</f>
        <v>10370103 - DS19 Gran Avenida Etapa 2 (Torre A-B)-Operaciones</v>
      </c>
      <c r="G2628" s="47" t="str">
        <f>+Centro_Cuenta8[[#This Row],[Código Cuenta Contable]]&amp;" - "&amp;Centro_Cuenta8[[#This Row],[Nombre de Cuenta Contable]]</f>
        <v>4203090 - Gastos Legales Y Notariales Proyecto</v>
      </c>
      <c r="H2628" s="146" t="str">
        <f>+VLOOKUP(D2628,'3. Cuentas'!A:F,6,0)</f>
        <v>SI</v>
      </c>
    </row>
    <row r="2629" spans="1:8" x14ac:dyDescent="0.25">
      <c r="A2629" s="43">
        <v>10370104</v>
      </c>
      <c r="B2629" t="s">
        <v>1463</v>
      </c>
      <c r="C2629" s="43" t="s">
        <v>90</v>
      </c>
      <c r="D2629" s="43">
        <v>1110040</v>
      </c>
      <c r="E2629" t="s">
        <v>1505</v>
      </c>
      <c r="F2629" s="47" t="str">
        <f>+Centro_Cuenta8[[#This Row],[Codigo Centro Gestion]]&amp;" - "&amp;Centro_Cuenta8[[#This Row],[Nombre Centro Gestion]]</f>
        <v>10370104 - DS19 Gran Avenida Etapa 2 (Torre A-B)-Ventas</v>
      </c>
      <c r="G2629" s="47" t="str">
        <f>+Centro_Cuenta8[[#This Row],[Código Cuenta Contable]]&amp;" - "&amp;Centro_Cuenta8[[#This Row],[Nombre de Cuenta Contable]]</f>
        <v>1110040 - Garantía Pagadas</v>
      </c>
      <c r="H2629" s="146" t="str">
        <f>+VLOOKUP(D2629,'3. Cuentas'!A:F,6,0)</f>
        <v>SI</v>
      </c>
    </row>
    <row r="2630" spans="1:8" x14ac:dyDescent="0.25">
      <c r="A2630" s="43">
        <v>10370104</v>
      </c>
      <c r="B2630" t="s">
        <v>1463</v>
      </c>
      <c r="C2630" s="43" t="s">
        <v>90</v>
      </c>
      <c r="D2630" s="43">
        <v>4202003</v>
      </c>
      <c r="E2630" t="s">
        <v>106</v>
      </c>
      <c r="F2630" s="47" t="str">
        <f>+Centro_Cuenta8[[#This Row],[Codigo Centro Gestion]]&amp;" - "&amp;Centro_Cuenta8[[#This Row],[Nombre Centro Gestion]]</f>
        <v>10370104 - DS19 Gran Avenida Etapa 2 (Torre A-B)-Ventas</v>
      </c>
      <c r="G2630" s="47" t="str">
        <f>+Centro_Cuenta8[[#This Row],[Código Cuenta Contable]]&amp;" - "&amp;Centro_Cuenta8[[#This Row],[Nombre de Cuenta Contable]]</f>
        <v>4202003 - Serv.Basic.Luz.Agua.Tel Of.C</v>
      </c>
      <c r="H2630" s="146" t="str">
        <f>+VLOOKUP(D2630,'3. Cuentas'!A:F,6,0)</f>
        <v>SI</v>
      </c>
    </row>
    <row r="2631" spans="1:8" x14ac:dyDescent="0.25">
      <c r="A2631" s="43">
        <v>10370104</v>
      </c>
      <c r="B2631" t="s">
        <v>1463</v>
      </c>
      <c r="C2631" s="43" t="s">
        <v>90</v>
      </c>
      <c r="D2631" s="43">
        <v>4202010</v>
      </c>
      <c r="E2631" t="s">
        <v>87</v>
      </c>
      <c r="F2631" s="47" t="str">
        <f>+Centro_Cuenta8[[#This Row],[Codigo Centro Gestion]]&amp;" - "&amp;Centro_Cuenta8[[#This Row],[Nombre Centro Gestion]]</f>
        <v>10370104 - DS19 Gran Avenida Etapa 2 (Torre A-B)-Ventas</v>
      </c>
      <c r="G2631" s="47" t="str">
        <f>+Centro_Cuenta8[[#This Row],[Código Cuenta Contable]]&amp;" - "&amp;Centro_Cuenta8[[#This Row],[Nombre de Cuenta Contable]]</f>
        <v>4202010 - Artic. Ofic. Fotocop.Papelería</v>
      </c>
      <c r="H2631" s="146" t="str">
        <f>+VLOOKUP(D2631,'3. Cuentas'!A:F,6,0)</f>
        <v>SI</v>
      </c>
    </row>
    <row r="2632" spans="1:8" x14ac:dyDescent="0.25">
      <c r="A2632" s="43">
        <v>10370104</v>
      </c>
      <c r="B2632" t="s">
        <v>1463</v>
      </c>
      <c r="C2632" s="43" t="s">
        <v>90</v>
      </c>
      <c r="D2632" s="43">
        <v>4202019</v>
      </c>
      <c r="E2632" t="s">
        <v>81</v>
      </c>
      <c r="F2632" s="47" t="str">
        <f>+Centro_Cuenta8[[#This Row],[Codigo Centro Gestion]]&amp;" - "&amp;Centro_Cuenta8[[#This Row],[Nombre Centro Gestion]]</f>
        <v>10370104 - DS19 Gran Avenida Etapa 2 (Torre A-B)-Ventas</v>
      </c>
      <c r="G2632" s="47" t="str">
        <f>+Centro_Cuenta8[[#This Row],[Código Cuenta Contable]]&amp;" - "&amp;Centro_Cuenta8[[#This Row],[Nombre de Cuenta Contable]]</f>
        <v>4202019 - Gasto General Oficina</v>
      </c>
      <c r="H2632" s="146" t="str">
        <f>+VLOOKUP(D2632,'3. Cuentas'!A:F,6,0)</f>
        <v>SI</v>
      </c>
    </row>
    <row r="2633" spans="1:8" x14ac:dyDescent="0.25">
      <c r="A2633" s="43">
        <v>10370104</v>
      </c>
      <c r="B2633" t="s">
        <v>1463</v>
      </c>
      <c r="C2633" s="43" t="s">
        <v>90</v>
      </c>
      <c r="D2633" s="43">
        <v>4202023</v>
      </c>
      <c r="E2633" t="s">
        <v>82</v>
      </c>
      <c r="F2633" s="47" t="str">
        <f>+Centro_Cuenta8[[#This Row],[Codigo Centro Gestion]]&amp;" - "&amp;Centro_Cuenta8[[#This Row],[Nombre Centro Gestion]]</f>
        <v>10370104 - DS19 Gran Avenida Etapa 2 (Torre A-B)-Ventas</v>
      </c>
      <c r="G2633" s="47" t="str">
        <f>+Centro_Cuenta8[[#This Row],[Código Cuenta Contable]]&amp;" - "&amp;Centro_Cuenta8[[#This Row],[Nombre de Cuenta Contable]]</f>
        <v>4202023 - Honorarios Por Asesorías</v>
      </c>
      <c r="H2633" s="146" t="str">
        <f>+VLOOKUP(D2633,'3. Cuentas'!A:F,6,0)</f>
        <v>SI</v>
      </c>
    </row>
    <row r="2634" spans="1:8" x14ac:dyDescent="0.25">
      <c r="A2634" s="43">
        <v>10370104</v>
      </c>
      <c r="B2634" t="s">
        <v>1463</v>
      </c>
      <c r="C2634" s="43" t="s">
        <v>90</v>
      </c>
      <c r="D2634" s="43">
        <v>4202029</v>
      </c>
      <c r="E2634" t="s">
        <v>83</v>
      </c>
      <c r="F2634" s="47" t="str">
        <f>+Centro_Cuenta8[[#This Row],[Codigo Centro Gestion]]&amp;" - "&amp;Centro_Cuenta8[[#This Row],[Nombre Centro Gestion]]</f>
        <v>10370104 - DS19 Gran Avenida Etapa 2 (Torre A-B)-Ventas</v>
      </c>
      <c r="G2634" s="47" t="str">
        <f>+Centro_Cuenta8[[#This Row],[Código Cuenta Contable]]&amp;" - "&amp;Centro_Cuenta8[[#This Row],[Nombre de Cuenta Contable]]</f>
        <v>4202029 - Insumos Y Gastos Informáticos</v>
      </c>
      <c r="H2634" s="146" t="str">
        <f>+VLOOKUP(D2634,'3. Cuentas'!A:F,6,0)</f>
        <v>SI</v>
      </c>
    </row>
    <row r="2635" spans="1:8" x14ac:dyDescent="0.25">
      <c r="A2635" s="43">
        <v>10370104</v>
      </c>
      <c r="B2635" t="s">
        <v>1463</v>
      </c>
      <c r="C2635" s="43" t="s">
        <v>90</v>
      </c>
      <c r="D2635" s="43">
        <v>4204021</v>
      </c>
      <c r="E2635" t="s">
        <v>329</v>
      </c>
      <c r="F2635" s="47" t="str">
        <f>+Centro_Cuenta8[[#This Row],[Codigo Centro Gestion]]&amp;" - "&amp;Centro_Cuenta8[[#This Row],[Nombre Centro Gestion]]</f>
        <v>10370104 - DS19 Gran Avenida Etapa 2 (Torre A-B)-Ventas</v>
      </c>
      <c r="G2635" s="47" t="str">
        <f>+Centro_Cuenta8[[#This Row],[Código Cuenta Contable]]&amp;" - "&amp;Centro_Cuenta8[[#This Row],[Nombre de Cuenta Contable]]</f>
        <v>4204021 - Publicidad Ferias Y Eventos</v>
      </c>
      <c r="H2635" s="146" t="str">
        <f>+VLOOKUP(D2635,'3. Cuentas'!A:F,6,0)</f>
        <v>SI</v>
      </c>
    </row>
    <row r="2636" spans="1:8" x14ac:dyDescent="0.25">
      <c r="A2636" s="43">
        <v>10370105</v>
      </c>
      <c r="B2636" t="s">
        <v>1464</v>
      </c>
      <c r="C2636" s="43" t="s">
        <v>1622</v>
      </c>
      <c r="D2636" s="43">
        <v>4203020</v>
      </c>
      <c r="E2636" t="s">
        <v>295</v>
      </c>
      <c r="F2636" s="47" t="str">
        <f>+Centro_Cuenta8[[#This Row],[Codigo Centro Gestion]]&amp;" - "&amp;Centro_Cuenta8[[#This Row],[Nombre Centro Gestion]]</f>
        <v>10370105 - DS19 Gran Avenida Etapa 2 (Torre A-B)-Clientes</v>
      </c>
      <c r="G2636" s="47" t="str">
        <f>+Centro_Cuenta8[[#This Row],[Código Cuenta Contable]]&amp;" - "&amp;Centro_Cuenta8[[#This Row],[Nombre de Cuenta Contable]]</f>
        <v>4203020 - Mant. y Consum. Viv Stock</v>
      </c>
      <c r="H2636" s="146" t="str">
        <f>+VLOOKUP(D2636,'3. Cuentas'!A:F,6,0)</f>
        <v>SI</v>
      </c>
    </row>
    <row r="2637" spans="1:8" x14ac:dyDescent="0.25">
      <c r="A2637" s="43">
        <v>10370105</v>
      </c>
      <c r="B2637" t="s">
        <v>1464</v>
      </c>
      <c r="C2637" s="43" t="s">
        <v>1622</v>
      </c>
      <c r="D2637" s="43">
        <v>4203120</v>
      </c>
      <c r="E2637" t="s">
        <v>108</v>
      </c>
      <c r="F2637" s="47" t="str">
        <f>+Centro_Cuenta8[[#This Row],[Codigo Centro Gestion]]&amp;" - "&amp;Centro_Cuenta8[[#This Row],[Nombre Centro Gestion]]</f>
        <v>10370105 - DS19 Gran Avenida Etapa 2 (Torre A-B)-Clientes</v>
      </c>
      <c r="G2637" s="47" t="str">
        <f>+Centro_Cuenta8[[#This Row],[Código Cuenta Contable]]&amp;" - "&amp;Centro_Cuenta8[[#This Row],[Nombre de Cuenta Contable]]</f>
        <v>4203120 - Gastos Comunes</v>
      </c>
      <c r="H2637" s="146" t="str">
        <f>+VLOOKUP(D2637,'3. Cuentas'!A:F,6,0)</f>
        <v>SI</v>
      </c>
    </row>
    <row r="2638" spans="1:8" x14ac:dyDescent="0.25">
      <c r="A2638" s="43">
        <v>10370105</v>
      </c>
      <c r="B2638" t="s">
        <v>1464</v>
      </c>
      <c r="C2638" s="43" t="s">
        <v>1622</v>
      </c>
      <c r="D2638" s="43">
        <v>4203140</v>
      </c>
      <c r="E2638" t="s">
        <v>109</v>
      </c>
      <c r="F2638" s="47" t="str">
        <f>+Centro_Cuenta8[[#This Row],[Codigo Centro Gestion]]&amp;" - "&amp;Centro_Cuenta8[[#This Row],[Nombre Centro Gestion]]</f>
        <v>10370105 - DS19 Gran Avenida Etapa 2 (Torre A-B)-Clientes</v>
      </c>
      <c r="G2638" s="47" t="str">
        <f>+Centro_Cuenta8[[#This Row],[Código Cuenta Contable]]&amp;" - "&amp;Centro_Cuenta8[[#This Row],[Nombre de Cuenta Contable]]</f>
        <v>4203140 - Contribuciones</v>
      </c>
      <c r="H2638" s="146" t="str">
        <f>+VLOOKUP(D2638,'3. Cuentas'!A:F,6,0)</f>
        <v>SI</v>
      </c>
    </row>
    <row r="2639" spans="1:8" x14ac:dyDescent="0.25">
      <c r="A2639" s="43">
        <v>10370204</v>
      </c>
      <c r="B2639" t="s">
        <v>1465</v>
      </c>
      <c r="C2639" s="43" t="s">
        <v>1624</v>
      </c>
      <c r="D2639" s="43">
        <v>1103045</v>
      </c>
      <c r="E2639" t="s">
        <v>323</v>
      </c>
      <c r="F2639" s="47" t="str">
        <f>+Centro_Cuenta8[[#This Row],[Codigo Centro Gestion]]&amp;" - "&amp;Centro_Cuenta8[[#This Row],[Nombre Centro Gestion]]</f>
        <v>10370204 - DS19 Gran Avenida Etapa 2 (Torre A-B)-Proyecto</v>
      </c>
      <c r="G2639" s="47" t="str">
        <f>+Centro_Cuenta8[[#This Row],[Código Cuenta Contable]]&amp;" - "&amp;Centro_Cuenta8[[#This Row],[Nombre de Cuenta Contable]]</f>
        <v>1103045 - Aportes reembolsables (electricidad y agua)</v>
      </c>
      <c r="H2639" s="146" t="str">
        <f>+VLOOKUP(D2639,'3. Cuentas'!A:F,6,0)</f>
        <v>SI</v>
      </c>
    </row>
    <row r="2640" spans="1:8" x14ac:dyDescent="0.25">
      <c r="A2640" s="43">
        <v>10370204</v>
      </c>
      <c r="B2640" t="s">
        <v>1465</v>
      </c>
      <c r="C2640" s="43" t="s">
        <v>1624</v>
      </c>
      <c r="D2640" s="43">
        <v>1109020</v>
      </c>
      <c r="E2640" t="s">
        <v>302</v>
      </c>
      <c r="F2640" s="47" t="str">
        <f>+Centro_Cuenta8[[#This Row],[Codigo Centro Gestion]]&amp;" - "&amp;Centro_Cuenta8[[#This Row],[Nombre Centro Gestion]]</f>
        <v>10370204 - DS19 Gran Avenida Etapa 2 (Torre A-B)-Proyecto</v>
      </c>
      <c r="G2640" s="47" t="str">
        <f>+Centro_Cuenta8[[#This Row],[Código Cuenta Contable]]&amp;" - "&amp;Centro_Cuenta8[[#This Row],[Nombre de Cuenta Contable]]</f>
        <v>1109020 - Mobiliario</v>
      </c>
      <c r="H2640" s="146" t="str">
        <f>+VLOOKUP(D2640,'3. Cuentas'!A:F,6,0)</f>
        <v>SI</v>
      </c>
    </row>
    <row r="2641" spans="1:8" x14ac:dyDescent="0.25">
      <c r="A2641" s="43">
        <v>10370204</v>
      </c>
      <c r="B2641" t="s">
        <v>1465</v>
      </c>
      <c r="C2641" s="43" t="s">
        <v>1624</v>
      </c>
      <c r="D2641" s="43">
        <v>1110040</v>
      </c>
      <c r="E2641" t="s">
        <v>1505</v>
      </c>
      <c r="F2641" s="47" t="str">
        <f>+Centro_Cuenta8[[#This Row],[Codigo Centro Gestion]]&amp;" - "&amp;Centro_Cuenta8[[#This Row],[Nombre Centro Gestion]]</f>
        <v>10370204 - DS19 Gran Avenida Etapa 2 (Torre A-B)-Proyecto</v>
      </c>
      <c r="G2641" s="47" t="str">
        <f>+Centro_Cuenta8[[#This Row],[Código Cuenta Contable]]&amp;" - "&amp;Centro_Cuenta8[[#This Row],[Nombre de Cuenta Contable]]</f>
        <v>1110040 - Garantía Pagadas</v>
      </c>
      <c r="H2641" s="146" t="str">
        <f>+VLOOKUP(D2641,'3. Cuentas'!A:F,6,0)</f>
        <v>SI</v>
      </c>
    </row>
    <row r="2642" spans="1:8" x14ac:dyDescent="0.25">
      <c r="A2642" s="43">
        <v>10370204</v>
      </c>
      <c r="B2642" t="s">
        <v>1465</v>
      </c>
      <c r="C2642" s="43" t="s">
        <v>1624</v>
      </c>
      <c r="D2642" s="43">
        <v>1115040</v>
      </c>
      <c r="E2642" t="s">
        <v>291</v>
      </c>
      <c r="F2642" s="47" t="str">
        <f>+Centro_Cuenta8[[#This Row],[Codigo Centro Gestion]]&amp;" - "&amp;Centro_Cuenta8[[#This Row],[Nombre Centro Gestion]]</f>
        <v>10370204 - DS19 Gran Avenida Etapa 2 (Torre A-B)-Proyecto</v>
      </c>
      <c r="G2642" s="47" t="str">
        <f>+Centro_Cuenta8[[#This Row],[Código Cuenta Contable]]&amp;" - "&amp;Centro_Cuenta8[[#This Row],[Nombre de Cuenta Contable]]</f>
        <v>1115040 - Saneamiento De Terreno</v>
      </c>
      <c r="H2642" s="146" t="str">
        <f>+VLOOKUP(D2642,'3. Cuentas'!A:F,6,0)</f>
        <v>SI</v>
      </c>
    </row>
    <row r="2643" spans="1:8" x14ac:dyDescent="0.25">
      <c r="A2643" s="43">
        <v>10370204</v>
      </c>
      <c r="B2643" t="s">
        <v>1465</v>
      </c>
      <c r="C2643" s="43" t="s">
        <v>1624</v>
      </c>
      <c r="D2643" s="43">
        <v>1115050</v>
      </c>
      <c r="E2643" t="s">
        <v>1628</v>
      </c>
      <c r="F2643" s="47" t="str">
        <f>+Centro_Cuenta8[[#This Row],[Codigo Centro Gestion]]&amp;" - "&amp;Centro_Cuenta8[[#This Row],[Nombre Centro Gestion]]</f>
        <v>10370204 - DS19 Gran Avenida Etapa 2 (Torre A-B)-Proyecto</v>
      </c>
      <c r="G2643" s="47" t="str">
        <f>+Centro_Cuenta8[[#This Row],[Código Cuenta Contable]]&amp;" - "&amp;Centro_Cuenta8[[#This Row],[Nombre de Cuenta Contable]]</f>
        <v>1115050 - Demolición</v>
      </c>
      <c r="H2643" s="146" t="str">
        <f>+VLOOKUP(D2643,'3. Cuentas'!A:F,6,0)</f>
        <v>SI</v>
      </c>
    </row>
    <row r="2644" spans="1:8" x14ac:dyDescent="0.25">
      <c r="A2644" s="43">
        <v>10370204</v>
      </c>
      <c r="B2644" t="s">
        <v>1465</v>
      </c>
      <c r="C2644" s="43" t="s">
        <v>1624</v>
      </c>
      <c r="D2644" s="43">
        <v>1115100</v>
      </c>
      <c r="E2644" t="s">
        <v>292</v>
      </c>
      <c r="F2644" s="47" t="str">
        <f>+Centro_Cuenta8[[#This Row],[Codigo Centro Gestion]]&amp;" - "&amp;Centro_Cuenta8[[#This Row],[Nombre Centro Gestion]]</f>
        <v>10370204 - DS19 Gran Avenida Etapa 2 (Torre A-B)-Proyecto</v>
      </c>
      <c r="G2644" s="47" t="str">
        <f>+Centro_Cuenta8[[#This Row],[Código Cuenta Contable]]&amp;" - "&amp;Centro_Cuenta8[[#This Row],[Nombre de Cuenta Contable]]</f>
        <v>1115100 - Proyectos Y Especialidades</v>
      </c>
      <c r="H2644" s="146" t="str">
        <f>+VLOOKUP(D2644,'3. Cuentas'!A:F,6,0)</f>
        <v>SI</v>
      </c>
    </row>
    <row r="2645" spans="1:8" x14ac:dyDescent="0.25">
      <c r="A2645" s="43">
        <v>10370204</v>
      </c>
      <c r="B2645" t="s">
        <v>1465</v>
      </c>
      <c r="C2645" s="43" t="s">
        <v>1624</v>
      </c>
      <c r="D2645" s="43">
        <v>1115120</v>
      </c>
      <c r="E2645" t="s">
        <v>1633</v>
      </c>
      <c r="F2645" s="47" t="str">
        <f>+Centro_Cuenta8[[#This Row],[Codigo Centro Gestion]]&amp;" - "&amp;Centro_Cuenta8[[#This Row],[Nombre Centro Gestion]]</f>
        <v>10370204 - DS19 Gran Avenida Etapa 2 (Torre A-B)-Proyecto</v>
      </c>
      <c r="G2645" s="47" t="str">
        <f>+Centro_Cuenta8[[#This Row],[Código Cuenta Contable]]&amp;" - "&amp;Centro_Cuenta8[[#This Row],[Nombre de Cuenta Contable]]</f>
        <v>1115120 - Instalación Empalmes</v>
      </c>
      <c r="H2645" s="146" t="str">
        <f>+VLOOKUP(D2645,'3. Cuentas'!A:F,6,0)</f>
        <v>SI</v>
      </c>
    </row>
    <row r="2646" spans="1:8" x14ac:dyDescent="0.25">
      <c r="A2646" s="43">
        <v>10370204</v>
      </c>
      <c r="B2646" t="s">
        <v>1465</v>
      </c>
      <c r="C2646" s="43" t="s">
        <v>1624</v>
      </c>
      <c r="D2646" s="43">
        <v>1115170</v>
      </c>
      <c r="E2646" t="s">
        <v>293</v>
      </c>
      <c r="F2646" s="47" t="str">
        <f>+Centro_Cuenta8[[#This Row],[Codigo Centro Gestion]]&amp;" - "&amp;Centro_Cuenta8[[#This Row],[Nombre Centro Gestion]]</f>
        <v>10370204 - DS19 Gran Avenida Etapa 2 (Torre A-B)-Proyecto</v>
      </c>
      <c r="G2646" s="47" t="str">
        <f>+Centro_Cuenta8[[#This Row],[Código Cuenta Contable]]&amp;" - "&amp;Centro_Cuenta8[[#This Row],[Nombre de Cuenta Contable]]</f>
        <v>1115170 - Permisos Y Otros Gastos Municipales</v>
      </c>
      <c r="H2646" s="146" t="str">
        <f>+VLOOKUP(D2646,'3. Cuentas'!A:F,6,0)</f>
        <v>SI</v>
      </c>
    </row>
    <row r="2647" spans="1:8" x14ac:dyDescent="0.25">
      <c r="A2647" s="43">
        <v>10370204</v>
      </c>
      <c r="B2647" t="s">
        <v>1465</v>
      </c>
      <c r="C2647" s="43" t="s">
        <v>1624</v>
      </c>
      <c r="D2647" s="43">
        <v>1115240</v>
      </c>
      <c r="E2647" t="s">
        <v>294</v>
      </c>
      <c r="F2647" s="47" t="str">
        <f>+Centro_Cuenta8[[#This Row],[Codigo Centro Gestion]]&amp;" - "&amp;Centro_Cuenta8[[#This Row],[Nombre Centro Gestion]]</f>
        <v>10370204 - DS19 Gran Avenida Etapa 2 (Torre A-B)-Proyecto</v>
      </c>
      <c r="G2647" s="47" t="str">
        <f>+Centro_Cuenta8[[#This Row],[Código Cuenta Contable]]&amp;" - "&amp;Centro_Cuenta8[[#This Row],[Nombre de Cuenta Contable]]</f>
        <v>1115240 - Estudios Y Asesorias Técnicas</v>
      </c>
      <c r="H2647" s="146" t="str">
        <f>+VLOOKUP(D2647,'3. Cuentas'!A:F,6,0)</f>
        <v>SI</v>
      </c>
    </row>
    <row r="2648" spans="1:8" x14ac:dyDescent="0.25">
      <c r="A2648" s="43">
        <v>10370204</v>
      </c>
      <c r="B2648" t="s">
        <v>1465</v>
      </c>
      <c r="C2648" s="43" t="s">
        <v>1624</v>
      </c>
      <c r="D2648" s="43">
        <v>4203090</v>
      </c>
      <c r="E2648" t="s">
        <v>192</v>
      </c>
      <c r="F2648" s="47" t="str">
        <f>+Centro_Cuenta8[[#This Row],[Codigo Centro Gestion]]&amp;" - "&amp;Centro_Cuenta8[[#This Row],[Nombre Centro Gestion]]</f>
        <v>10370204 - DS19 Gran Avenida Etapa 2 (Torre A-B)-Proyecto</v>
      </c>
      <c r="G2648" s="47" t="str">
        <f>+Centro_Cuenta8[[#This Row],[Código Cuenta Contable]]&amp;" - "&amp;Centro_Cuenta8[[#This Row],[Nombre de Cuenta Contable]]</f>
        <v>4203090 - Gastos Legales Y Notariales Proyecto</v>
      </c>
      <c r="H2648" s="146" t="str">
        <f>+VLOOKUP(D2648,'3. Cuentas'!A:F,6,0)</f>
        <v>SI</v>
      </c>
    </row>
    <row r="2649" spans="1:8" x14ac:dyDescent="0.25">
      <c r="A2649" s="43">
        <v>10370204</v>
      </c>
      <c r="B2649" t="s">
        <v>1465</v>
      </c>
      <c r="C2649" s="43" t="s">
        <v>1624</v>
      </c>
      <c r="D2649" s="43">
        <v>4203140</v>
      </c>
      <c r="E2649" t="s">
        <v>109</v>
      </c>
      <c r="F2649" s="47" t="str">
        <f>+Centro_Cuenta8[[#This Row],[Codigo Centro Gestion]]&amp;" - "&amp;Centro_Cuenta8[[#This Row],[Nombre Centro Gestion]]</f>
        <v>10370204 - DS19 Gran Avenida Etapa 2 (Torre A-B)-Proyecto</v>
      </c>
      <c r="G2649" s="47" t="str">
        <f>+Centro_Cuenta8[[#This Row],[Código Cuenta Contable]]&amp;" - "&amp;Centro_Cuenta8[[#This Row],[Nombre de Cuenta Contable]]</f>
        <v>4203140 - Contribuciones</v>
      </c>
      <c r="H2649" s="146" t="str">
        <f>+VLOOKUP(D2649,'3. Cuentas'!A:F,6,0)</f>
        <v>SI</v>
      </c>
    </row>
    <row r="2650" spans="1:8" x14ac:dyDescent="0.25">
      <c r="A2650" s="43">
        <v>10370204</v>
      </c>
      <c r="B2650" t="s">
        <v>1465</v>
      </c>
      <c r="C2650" s="43" t="s">
        <v>1624</v>
      </c>
      <c r="D2650" s="43">
        <v>4203150</v>
      </c>
      <c r="E2650" t="s">
        <v>156</v>
      </c>
      <c r="F2650" s="47" t="str">
        <f>+Centro_Cuenta8[[#This Row],[Codigo Centro Gestion]]&amp;" - "&amp;Centro_Cuenta8[[#This Row],[Nombre Centro Gestion]]</f>
        <v>10370204 - DS19 Gran Avenida Etapa 2 (Torre A-B)-Proyecto</v>
      </c>
      <c r="G2650" s="47" t="str">
        <f>+Centro_Cuenta8[[#This Row],[Código Cuenta Contable]]&amp;" - "&amp;Centro_Cuenta8[[#This Row],[Nombre de Cuenta Contable]]</f>
        <v>4203150 - Gastos CBR</v>
      </c>
      <c r="H2650" s="146" t="str">
        <f>+VLOOKUP(D2650,'3. Cuentas'!A:F,6,0)</f>
        <v>SI</v>
      </c>
    </row>
    <row r="2651" spans="1:8" x14ac:dyDescent="0.25">
      <c r="A2651" s="43">
        <v>10370204</v>
      </c>
      <c r="B2651" t="s">
        <v>1465</v>
      </c>
      <c r="C2651" s="43" t="s">
        <v>1624</v>
      </c>
      <c r="D2651" s="43">
        <v>4203160</v>
      </c>
      <c r="E2651" t="s">
        <v>1639</v>
      </c>
      <c r="F2651" s="47" t="str">
        <f>+Centro_Cuenta8[[#This Row],[Codigo Centro Gestion]]&amp;" - "&amp;Centro_Cuenta8[[#This Row],[Nombre Centro Gestion]]</f>
        <v>10370204 - DS19 Gran Avenida Etapa 2 (Torre A-B)-Proyecto</v>
      </c>
      <c r="G2651" s="47" t="str">
        <f>+Centro_Cuenta8[[#This Row],[Código Cuenta Contable]]&amp;" - "&amp;Centro_Cuenta8[[#This Row],[Nombre de Cuenta Contable]]</f>
        <v>4203160 - PAPELERIA Y FOTOCOPIADO</v>
      </c>
      <c r="H2651" s="146" t="str">
        <f>+VLOOKUP(D2651,'3. Cuentas'!A:F,6,0)</f>
        <v>SI</v>
      </c>
    </row>
    <row r="2652" spans="1:8" x14ac:dyDescent="0.25">
      <c r="A2652" s="43">
        <v>10370204</v>
      </c>
      <c r="B2652" t="s">
        <v>1465</v>
      </c>
      <c r="C2652" s="43" t="s">
        <v>1624</v>
      </c>
      <c r="D2652" s="43">
        <v>4203180</v>
      </c>
      <c r="E2652" t="s">
        <v>1640</v>
      </c>
      <c r="F2652" s="47" t="str">
        <f>+Centro_Cuenta8[[#This Row],[Codigo Centro Gestion]]&amp;" - "&amp;Centro_Cuenta8[[#This Row],[Nombre Centro Gestion]]</f>
        <v>10370204 - DS19 Gran Avenida Etapa 2 (Torre A-B)-Proyecto</v>
      </c>
      <c r="G2652" s="47" t="str">
        <f>+Centro_Cuenta8[[#This Row],[Código Cuenta Contable]]&amp;" - "&amp;Centro_Cuenta8[[#This Row],[Nombre de Cuenta Contable]]</f>
        <v>4203180 - Otros Gastos y Aseso Proy</v>
      </c>
      <c r="H2652" s="146" t="str">
        <f>+VLOOKUP(D2652,'3. Cuentas'!A:F,6,0)</f>
        <v>SI</v>
      </c>
    </row>
    <row r="2653" spans="1:8" x14ac:dyDescent="0.25">
      <c r="A2653" s="43">
        <v>10370301</v>
      </c>
      <c r="B2653" t="s">
        <v>1466</v>
      </c>
      <c r="C2653" s="43" t="s">
        <v>1643</v>
      </c>
      <c r="D2653" s="43">
        <v>4203090</v>
      </c>
      <c r="E2653" t="s">
        <v>192</v>
      </c>
      <c r="F2653" s="47" t="str">
        <f>+Centro_Cuenta8[[#This Row],[Codigo Centro Gestion]]&amp;" - "&amp;Centro_Cuenta8[[#This Row],[Nombre Centro Gestion]]</f>
        <v>10370301 - DS19 Gran Avenida Etapa 2 (Torre A-B)-GAF</v>
      </c>
      <c r="G2653" s="47" t="str">
        <f>+Centro_Cuenta8[[#This Row],[Código Cuenta Contable]]&amp;" - "&amp;Centro_Cuenta8[[#This Row],[Nombre de Cuenta Contable]]</f>
        <v>4203090 - Gastos Legales Y Notariales Proyecto</v>
      </c>
      <c r="H2653" s="146" t="str">
        <f>+VLOOKUP(D2653,'3. Cuentas'!A:F,6,0)</f>
        <v>SI</v>
      </c>
    </row>
    <row r="2654" spans="1:8" x14ac:dyDescent="0.25">
      <c r="A2654" s="43">
        <v>10370301</v>
      </c>
      <c r="B2654" t="s">
        <v>1466</v>
      </c>
      <c r="C2654" s="43" t="s">
        <v>1643</v>
      </c>
      <c r="D2654" s="43">
        <v>4203140</v>
      </c>
      <c r="E2654" t="s">
        <v>109</v>
      </c>
      <c r="F2654" s="47" t="str">
        <f>+Centro_Cuenta8[[#This Row],[Codigo Centro Gestion]]&amp;" - "&amp;Centro_Cuenta8[[#This Row],[Nombre Centro Gestion]]</f>
        <v>10370301 - DS19 Gran Avenida Etapa 2 (Torre A-B)-GAF</v>
      </c>
      <c r="G2654" s="47" t="str">
        <f>+Centro_Cuenta8[[#This Row],[Código Cuenta Contable]]&amp;" - "&amp;Centro_Cuenta8[[#This Row],[Nombre de Cuenta Contable]]</f>
        <v>4203140 - Contribuciones</v>
      </c>
      <c r="H2654" s="146" t="str">
        <f>+VLOOKUP(D2654,'3. Cuentas'!A:F,6,0)</f>
        <v>SI</v>
      </c>
    </row>
    <row r="2655" spans="1:8" x14ac:dyDescent="0.25">
      <c r="A2655" s="43">
        <v>10370506</v>
      </c>
      <c r="B2655" t="s">
        <v>1467</v>
      </c>
      <c r="C2655" s="43" t="s">
        <v>200</v>
      </c>
      <c r="D2655" s="43">
        <v>1115100</v>
      </c>
      <c r="E2655" t="s">
        <v>292</v>
      </c>
      <c r="F2655" s="47" t="str">
        <f>+Centro_Cuenta8[[#This Row],[Codigo Centro Gestion]]&amp;" - "&amp;Centro_Cuenta8[[#This Row],[Nombre Centro Gestion]]</f>
        <v>10370506 - DS19 Gran Avenida Etapa 2 (Torre A-B)-Depto.Técnico</v>
      </c>
      <c r="G2655" s="47" t="str">
        <f>+Centro_Cuenta8[[#This Row],[Código Cuenta Contable]]&amp;" - "&amp;Centro_Cuenta8[[#This Row],[Nombre de Cuenta Contable]]</f>
        <v>1115100 - Proyectos Y Especialidades</v>
      </c>
      <c r="H2655" s="146" t="str">
        <f>+VLOOKUP(D2655,'3. Cuentas'!A:F,6,0)</f>
        <v>SI</v>
      </c>
    </row>
    <row r="2656" spans="1:8" x14ac:dyDescent="0.25">
      <c r="A2656" s="43">
        <v>10401</v>
      </c>
      <c r="B2656" t="s">
        <v>715</v>
      </c>
      <c r="C2656" s="43" t="s">
        <v>1526</v>
      </c>
      <c r="D2656" s="43">
        <v>4202023</v>
      </c>
      <c r="E2656" t="s">
        <v>82</v>
      </c>
      <c r="F2656" s="47" t="str">
        <f>+Centro_Cuenta8[[#This Row],[Codigo Centro Gestion]]&amp;" - "&amp;Centro_Cuenta8[[#This Row],[Nombre Centro Gestion]]</f>
        <v>10401 - GERENCIA GENERAL CORP (NO VIGENTE)</v>
      </c>
      <c r="G2656" s="47" t="str">
        <f>+Centro_Cuenta8[[#This Row],[Código Cuenta Contable]]&amp;" - "&amp;Centro_Cuenta8[[#This Row],[Nombre de Cuenta Contable]]</f>
        <v>4202023 - Honorarios Por Asesorías</v>
      </c>
      <c r="H2656" s="146" t="str">
        <f>+VLOOKUP(D2656,'3. Cuentas'!A:F,6,0)</f>
        <v>SI</v>
      </c>
    </row>
    <row r="2657" spans="1:8" x14ac:dyDescent="0.25">
      <c r="A2657" s="43">
        <v>10402</v>
      </c>
      <c r="B2657" t="s">
        <v>716</v>
      </c>
      <c r="C2657" s="43" t="s">
        <v>1527</v>
      </c>
      <c r="D2657" s="43">
        <v>4202023</v>
      </c>
      <c r="E2657" t="s">
        <v>82</v>
      </c>
      <c r="F2657" s="47" t="str">
        <f>+Centro_Cuenta8[[#This Row],[Codigo Centro Gestion]]&amp;" - "&amp;Centro_Cuenta8[[#This Row],[Nombre Centro Gestion]]</f>
        <v>10402 - DIRECTORIO (NO VIGENTE)</v>
      </c>
      <c r="G2657" s="47" t="str">
        <f>+Centro_Cuenta8[[#This Row],[Código Cuenta Contable]]&amp;" - "&amp;Centro_Cuenta8[[#This Row],[Nombre de Cuenta Contable]]</f>
        <v>4202023 - Honorarios Por Asesorías</v>
      </c>
      <c r="H2657" s="146" t="str">
        <f>+VLOOKUP(D2657,'3. Cuentas'!A:F,6,0)</f>
        <v>SI</v>
      </c>
    </row>
    <row r="2658" spans="1:8" x14ac:dyDescent="0.25">
      <c r="A2658" s="43">
        <v>10502102</v>
      </c>
      <c r="B2658" t="s">
        <v>1468</v>
      </c>
      <c r="C2658" s="43" t="s">
        <v>1617</v>
      </c>
      <c r="D2658" s="43">
        <v>4204010</v>
      </c>
      <c r="E2658" t="s">
        <v>313</v>
      </c>
      <c r="F2658" s="47" t="str">
        <f>+Centro_Cuenta8[[#This Row],[Codigo Centro Gestion]]&amp;" - "&amp;Centro_Cuenta8[[#This Row],[Nombre Centro Gestion]]</f>
        <v>10502102 - Labbé 1172-Marketing</v>
      </c>
      <c r="G2658" s="47" t="str">
        <f>+Centro_Cuenta8[[#This Row],[Código Cuenta Contable]]&amp;" - "&amp;Centro_Cuenta8[[#This Row],[Nombre de Cuenta Contable]]</f>
        <v>4204010 - Publicidad Punto Venta</v>
      </c>
      <c r="H2658" s="146" t="str">
        <f>+VLOOKUP(D2658,'3. Cuentas'!A:F,6,0)</f>
        <v>SI</v>
      </c>
    </row>
    <row r="2659" spans="1:8" x14ac:dyDescent="0.25">
      <c r="A2659" s="43">
        <v>10502102</v>
      </c>
      <c r="B2659" t="s">
        <v>1468</v>
      </c>
      <c r="C2659" s="43" t="s">
        <v>1617</v>
      </c>
      <c r="D2659" s="43">
        <v>4204021</v>
      </c>
      <c r="E2659" t="s">
        <v>329</v>
      </c>
      <c r="F2659" s="47" t="str">
        <f>+Centro_Cuenta8[[#This Row],[Codigo Centro Gestion]]&amp;" - "&amp;Centro_Cuenta8[[#This Row],[Nombre Centro Gestion]]</f>
        <v>10502102 - Labbé 1172-Marketing</v>
      </c>
      <c r="G2659" s="47" t="str">
        <f>+Centro_Cuenta8[[#This Row],[Código Cuenta Contable]]&amp;" - "&amp;Centro_Cuenta8[[#This Row],[Nombre de Cuenta Contable]]</f>
        <v>4204021 - Publicidad Ferias Y Eventos</v>
      </c>
      <c r="H2659" s="146" t="str">
        <f>+VLOOKUP(D2659,'3. Cuentas'!A:F,6,0)</f>
        <v>SI</v>
      </c>
    </row>
    <row r="2660" spans="1:8" x14ac:dyDescent="0.25">
      <c r="A2660" s="43">
        <v>10502103</v>
      </c>
      <c r="B2660" t="s">
        <v>1469</v>
      </c>
      <c r="C2660" s="43" t="s">
        <v>1618</v>
      </c>
      <c r="D2660" s="43">
        <v>4203060</v>
      </c>
      <c r="E2660" t="s">
        <v>321</v>
      </c>
      <c r="F2660" s="47" t="str">
        <f>+Centro_Cuenta8[[#This Row],[Codigo Centro Gestion]]&amp;" - "&amp;Centro_Cuenta8[[#This Row],[Nombre Centro Gestion]]</f>
        <v>10502103 - Labbé 1172-Operaciones</v>
      </c>
      <c r="G2660" s="47" t="str">
        <f>+Centro_Cuenta8[[#This Row],[Código Cuenta Contable]]&amp;" - "&amp;Centro_Cuenta8[[#This Row],[Nombre de Cuenta Contable]]</f>
        <v>4203060 - Gastos Operacionales De Clientes</v>
      </c>
      <c r="H2660" s="146" t="str">
        <f>+VLOOKUP(D2660,'3. Cuentas'!A:F,6,0)</f>
        <v>SI</v>
      </c>
    </row>
    <row r="2661" spans="1:8" x14ac:dyDescent="0.25">
      <c r="A2661" s="43">
        <v>10502103</v>
      </c>
      <c r="B2661" t="s">
        <v>1469</v>
      </c>
      <c r="C2661" s="43" t="s">
        <v>1618</v>
      </c>
      <c r="D2661" s="43">
        <v>4203090</v>
      </c>
      <c r="E2661" t="s">
        <v>192</v>
      </c>
      <c r="F2661" s="47" t="str">
        <f>+Centro_Cuenta8[[#This Row],[Codigo Centro Gestion]]&amp;" - "&amp;Centro_Cuenta8[[#This Row],[Nombre Centro Gestion]]</f>
        <v>10502103 - Labbé 1172-Operaciones</v>
      </c>
      <c r="G2661" s="47" t="str">
        <f>+Centro_Cuenta8[[#This Row],[Código Cuenta Contable]]&amp;" - "&amp;Centro_Cuenta8[[#This Row],[Nombre de Cuenta Contable]]</f>
        <v>4203090 - Gastos Legales Y Notariales Proyecto</v>
      </c>
      <c r="H2661" s="146" t="str">
        <f>+VLOOKUP(D2661,'3. Cuentas'!A:F,6,0)</f>
        <v>SI</v>
      </c>
    </row>
    <row r="2662" spans="1:8" x14ac:dyDescent="0.25">
      <c r="A2662" s="43">
        <v>10502104</v>
      </c>
      <c r="B2662" t="s">
        <v>1470</v>
      </c>
      <c r="C2662" s="43" t="s">
        <v>90</v>
      </c>
      <c r="D2662" s="43">
        <v>1110040</v>
      </c>
      <c r="E2662" t="s">
        <v>1505</v>
      </c>
      <c r="F2662" s="47" t="str">
        <f>+Centro_Cuenta8[[#This Row],[Codigo Centro Gestion]]&amp;" - "&amp;Centro_Cuenta8[[#This Row],[Nombre Centro Gestion]]</f>
        <v>10502104 - Labbé 1172-Ventas</v>
      </c>
      <c r="G2662" s="47" t="str">
        <f>+Centro_Cuenta8[[#This Row],[Código Cuenta Contable]]&amp;" - "&amp;Centro_Cuenta8[[#This Row],[Nombre de Cuenta Contable]]</f>
        <v>1110040 - Garantía Pagadas</v>
      </c>
      <c r="H2662" s="146" t="str">
        <f>+VLOOKUP(D2662,'3. Cuentas'!A:F,6,0)</f>
        <v>SI</v>
      </c>
    </row>
    <row r="2663" spans="1:8" x14ac:dyDescent="0.25">
      <c r="A2663" s="43">
        <v>10502104</v>
      </c>
      <c r="B2663" t="s">
        <v>1470</v>
      </c>
      <c r="C2663" s="43" t="s">
        <v>90</v>
      </c>
      <c r="D2663" s="43">
        <v>4202003</v>
      </c>
      <c r="E2663" t="s">
        <v>106</v>
      </c>
      <c r="F2663" s="47" t="str">
        <f>+Centro_Cuenta8[[#This Row],[Codigo Centro Gestion]]&amp;" - "&amp;Centro_Cuenta8[[#This Row],[Nombre Centro Gestion]]</f>
        <v>10502104 - Labbé 1172-Ventas</v>
      </c>
      <c r="G2663" s="47" t="str">
        <f>+Centro_Cuenta8[[#This Row],[Código Cuenta Contable]]&amp;" - "&amp;Centro_Cuenta8[[#This Row],[Nombre de Cuenta Contable]]</f>
        <v>4202003 - Serv.Basic.Luz.Agua.Tel Of.C</v>
      </c>
      <c r="H2663" s="146" t="str">
        <f>+VLOOKUP(D2663,'3. Cuentas'!A:F,6,0)</f>
        <v>SI</v>
      </c>
    </row>
    <row r="2664" spans="1:8" x14ac:dyDescent="0.25">
      <c r="A2664" s="43">
        <v>10502104</v>
      </c>
      <c r="B2664" t="s">
        <v>1470</v>
      </c>
      <c r="C2664" s="43" t="s">
        <v>90</v>
      </c>
      <c r="D2664" s="43">
        <v>4202010</v>
      </c>
      <c r="E2664" t="s">
        <v>87</v>
      </c>
      <c r="F2664" s="47" t="str">
        <f>+Centro_Cuenta8[[#This Row],[Codigo Centro Gestion]]&amp;" - "&amp;Centro_Cuenta8[[#This Row],[Nombre Centro Gestion]]</f>
        <v>10502104 - Labbé 1172-Ventas</v>
      </c>
      <c r="G2664" s="47" t="str">
        <f>+Centro_Cuenta8[[#This Row],[Código Cuenta Contable]]&amp;" - "&amp;Centro_Cuenta8[[#This Row],[Nombre de Cuenta Contable]]</f>
        <v>4202010 - Artic. Ofic. Fotocop.Papelería</v>
      </c>
      <c r="H2664" s="146" t="str">
        <f>+VLOOKUP(D2664,'3. Cuentas'!A:F,6,0)</f>
        <v>SI</v>
      </c>
    </row>
    <row r="2665" spans="1:8" x14ac:dyDescent="0.25">
      <c r="A2665" s="43">
        <v>10502104</v>
      </c>
      <c r="B2665" t="s">
        <v>1470</v>
      </c>
      <c r="C2665" s="43" t="s">
        <v>90</v>
      </c>
      <c r="D2665" s="43">
        <v>4202019</v>
      </c>
      <c r="E2665" t="s">
        <v>81</v>
      </c>
      <c r="F2665" s="47" t="str">
        <f>+Centro_Cuenta8[[#This Row],[Codigo Centro Gestion]]&amp;" - "&amp;Centro_Cuenta8[[#This Row],[Nombre Centro Gestion]]</f>
        <v>10502104 - Labbé 1172-Ventas</v>
      </c>
      <c r="G2665" s="47" t="str">
        <f>+Centro_Cuenta8[[#This Row],[Código Cuenta Contable]]&amp;" - "&amp;Centro_Cuenta8[[#This Row],[Nombre de Cuenta Contable]]</f>
        <v>4202019 - Gasto General Oficina</v>
      </c>
      <c r="H2665" s="146" t="str">
        <f>+VLOOKUP(D2665,'3. Cuentas'!A:F,6,0)</f>
        <v>SI</v>
      </c>
    </row>
    <row r="2666" spans="1:8" x14ac:dyDescent="0.25">
      <c r="A2666" s="43">
        <v>10502104</v>
      </c>
      <c r="B2666" t="s">
        <v>1470</v>
      </c>
      <c r="C2666" s="43" t="s">
        <v>90</v>
      </c>
      <c r="D2666" s="43">
        <v>4202023</v>
      </c>
      <c r="E2666" t="s">
        <v>82</v>
      </c>
      <c r="F2666" s="47" t="str">
        <f>+Centro_Cuenta8[[#This Row],[Codigo Centro Gestion]]&amp;" - "&amp;Centro_Cuenta8[[#This Row],[Nombre Centro Gestion]]</f>
        <v>10502104 - Labbé 1172-Ventas</v>
      </c>
      <c r="G2666" s="47" t="str">
        <f>+Centro_Cuenta8[[#This Row],[Código Cuenta Contable]]&amp;" - "&amp;Centro_Cuenta8[[#This Row],[Nombre de Cuenta Contable]]</f>
        <v>4202023 - Honorarios Por Asesorías</v>
      </c>
      <c r="H2666" s="146" t="str">
        <f>+VLOOKUP(D2666,'3. Cuentas'!A:F,6,0)</f>
        <v>SI</v>
      </c>
    </row>
    <row r="2667" spans="1:8" x14ac:dyDescent="0.25">
      <c r="A2667" s="43">
        <v>10502104</v>
      </c>
      <c r="B2667" t="s">
        <v>1470</v>
      </c>
      <c r="C2667" s="43" t="s">
        <v>90</v>
      </c>
      <c r="D2667" s="43">
        <v>4202029</v>
      </c>
      <c r="E2667" t="s">
        <v>83</v>
      </c>
      <c r="F2667" s="47" t="str">
        <f>+Centro_Cuenta8[[#This Row],[Codigo Centro Gestion]]&amp;" - "&amp;Centro_Cuenta8[[#This Row],[Nombre Centro Gestion]]</f>
        <v>10502104 - Labbé 1172-Ventas</v>
      </c>
      <c r="G2667" s="47" t="str">
        <f>+Centro_Cuenta8[[#This Row],[Código Cuenta Contable]]&amp;" - "&amp;Centro_Cuenta8[[#This Row],[Nombre de Cuenta Contable]]</f>
        <v>4202029 - Insumos Y Gastos Informáticos</v>
      </c>
      <c r="H2667" s="146" t="str">
        <f>+VLOOKUP(D2667,'3. Cuentas'!A:F,6,0)</f>
        <v>SI</v>
      </c>
    </row>
    <row r="2668" spans="1:8" x14ac:dyDescent="0.25">
      <c r="A2668" s="43">
        <v>10502104</v>
      </c>
      <c r="B2668" t="s">
        <v>1470</v>
      </c>
      <c r="C2668" s="43" t="s">
        <v>90</v>
      </c>
      <c r="D2668" s="43">
        <v>4204021</v>
      </c>
      <c r="E2668" t="s">
        <v>329</v>
      </c>
      <c r="F2668" s="47" t="str">
        <f>+Centro_Cuenta8[[#This Row],[Codigo Centro Gestion]]&amp;" - "&amp;Centro_Cuenta8[[#This Row],[Nombre Centro Gestion]]</f>
        <v>10502104 - Labbé 1172-Ventas</v>
      </c>
      <c r="G2668" s="47" t="str">
        <f>+Centro_Cuenta8[[#This Row],[Código Cuenta Contable]]&amp;" - "&amp;Centro_Cuenta8[[#This Row],[Nombre de Cuenta Contable]]</f>
        <v>4204021 - Publicidad Ferias Y Eventos</v>
      </c>
      <c r="H2668" s="146" t="str">
        <f>+VLOOKUP(D2668,'3. Cuentas'!A:F,6,0)</f>
        <v>SI</v>
      </c>
    </row>
    <row r="2669" spans="1:8" x14ac:dyDescent="0.25">
      <c r="A2669" s="43">
        <v>10502105</v>
      </c>
      <c r="B2669" t="s">
        <v>1471</v>
      </c>
      <c r="C2669" s="43" t="s">
        <v>1622</v>
      </c>
      <c r="D2669" s="43">
        <v>4203020</v>
      </c>
      <c r="E2669" t="s">
        <v>295</v>
      </c>
      <c r="F2669" s="47" t="str">
        <f>+Centro_Cuenta8[[#This Row],[Codigo Centro Gestion]]&amp;" - "&amp;Centro_Cuenta8[[#This Row],[Nombre Centro Gestion]]</f>
        <v>10502105 - Labbé 1172-Clientes</v>
      </c>
      <c r="G2669" s="47" t="str">
        <f>+Centro_Cuenta8[[#This Row],[Código Cuenta Contable]]&amp;" - "&amp;Centro_Cuenta8[[#This Row],[Nombre de Cuenta Contable]]</f>
        <v>4203020 - Mant. y Consum. Viv Stock</v>
      </c>
      <c r="H2669" s="146" t="str">
        <f>+VLOOKUP(D2669,'3. Cuentas'!A:F,6,0)</f>
        <v>SI</v>
      </c>
    </row>
    <row r="2670" spans="1:8" x14ac:dyDescent="0.25">
      <c r="A2670" s="43">
        <v>10502105</v>
      </c>
      <c r="B2670" t="s">
        <v>1471</v>
      </c>
      <c r="C2670" s="43" t="s">
        <v>1622</v>
      </c>
      <c r="D2670" s="43">
        <v>4203120</v>
      </c>
      <c r="E2670" t="s">
        <v>108</v>
      </c>
      <c r="F2670" s="47" t="str">
        <f>+Centro_Cuenta8[[#This Row],[Codigo Centro Gestion]]&amp;" - "&amp;Centro_Cuenta8[[#This Row],[Nombre Centro Gestion]]</f>
        <v>10502105 - Labbé 1172-Clientes</v>
      </c>
      <c r="G2670" s="47" t="str">
        <f>+Centro_Cuenta8[[#This Row],[Código Cuenta Contable]]&amp;" - "&amp;Centro_Cuenta8[[#This Row],[Nombre de Cuenta Contable]]</f>
        <v>4203120 - Gastos Comunes</v>
      </c>
      <c r="H2670" s="146" t="str">
        <f>+VLOOKUP(D2670,'3. Cuentas'!A:F,6,0)</f>
        <v>SI</v>
      </c>
    </row>
    <row r="2671" spans="1:8" x14ac:dyDescent="0.25">
      <c r="A2671" s="43">
        <v>10502105</v>
      </c>
      <c r="B2671" t="s">
        <v>1471</v>
      </c>
      <c r="C2671" s="43" t="s">
        <v>1622</v>
      </c>
      <c r="D2671" s="43">
        <v>4203140</v>
      </c>
      <c r="E2671" t="s">
        <v>109</v>
      </c>
      <c r="F2671" s="47" t="str">
        <f>+Centro_Cuenta8[[#This Row],[Codigo Centro Gestion]]&amp;" - "&amp;Centro_Cuenta8[[#This Row],[Nombre Centro Gestion]]</f>
        <v>10502105 - Labbé 1172-Clientes</v>
      </c>
      <c r="G2671" s="47" t="str">
        <f>+Centro_Cuenta8[[#This Row],[Código Cuenta Contable]]&amp;" - "&amp;Centro_Cuenta8[[#This Row],[Nombre de Cuenta Contable]]</f>
        <v>4203140 - Contribuciones</v>
      </c>
      <c r="H2671" s="146" t="str">
        <f>+VLOOKUP(D2671,'3. Cuentas'!A:F,6,0)</f>
        <v>SI</v>
      </c>
    </row>
    <row r="2672" spans="1:8" x14ac:dyDescent="0.25">
      <c r="A2672" s="43">
        <v>10502204</v>
      </c>
      <c r="B2672" t="s">
        <v>1472</v>
      </c>
      <c r="C2672" s="43" t="s">
        <v>1624</v>
      </c>
      <c r="D2672" s="43">
        <v>1103045</v>
      </c>
      <c r="E2672" t="s">
        <v>323</v>
      </c>
      <c r="F2672" s="47" t="str">
        <f>+Centro_Cuenta8[[#This Row],[Codigo Centro Gestion]]&amp;" - "&amp;Centro_Cuenta8[[#This Row],[Nombre Centro Gestion]]</f>
        <v>10502204 - Labbé 1172-Proyecto</v>
      </c>
      <c r="G2672" s="47" t="str">
        <f>+Centro_Cuenta8[[#This Row],[Código Cuenta Contable]]&amp;" - "&amp;Centro_Cuenta8[[#This Row],[Nombre de Cuenta Contable]]</f>
        <v>1103045 - Aportes reembolsables (electricidad y agua)</v>
      </c>
      <c r="H2672" s="146" t="str">
        <f>+VLOOKUP(D2672,'3. Cuentas'!A:F,6,0)</f>
        <v>SI</v>
      </c>
    </row>
    <row r="2673" spans="1:8" x14ac:dyDescent="0.25">
      <c r="A2673" s="43">
        <v>10502204</v>
      </c>
      <c r="B2673" t="s">
        <v>1472</v>
      </c>
      <c r="C2673" s="43" t="s">
        <v>1624</v>
      </c>
      <c r="D2673" s="43">
        <v>1109020</v>
      </c>
      <c r="E2673" t="s">
        <v>302</v>
      </c>
      <c r="F2673" s="47" t="str">
        <f>+Centro_Cuenta8[[#This Row],[Codigo Centro Gestion]]&amp;" - "&amp;Centro_Cuenta8[[#This Row],[Nombre Centro Gestion]]</f>
        <v>10502204 - Labbé 1172-Proyecto</v>
      </c>
      <c r="G2673" s="47" t="str">
        <f>+Centro_Cuenta8[[#This Row],[Código Cuenta Contable]]&amp;" - "&amp;Centro_Cuenta8[[#This Row],[Nombre de Cuenta Contable]]</f>
        <v>1109020 - Mobiliario</v>
      </c>
      <c r="H2673" s="146" t="str">
        <f>+VLOOKUP(D2673,'3. Cuentas'!A:F,6,0)</f>
        <v>SI</v>
      </c>
    </row>
    <row r="2674" spans="1:8" x14ac:dyDescent="0.25">
      <c r="A2674" s="43">
        <v>10502204</v>
      </c>
      <c r="B2674" t="s">
        <v>1472</v>
      </c>
      <c r="C2674" s="43" t="s">
        <v>1624</v>
      </c>
      <c r="D2674" s="43">
        <v>1110040</v>
      </c>
      <c r="E2674" t="s">
        <v>1505</v>
      </c>
      <c r="F2674" s="47" t="str">
        <f>+Centro_Cuenta8[[#This Row],[Codigo Centro Gestion]]&amp;" - "&amp;Centro_Cuenta8[[#This Row],[Nombre Centro Gestion]]</f>
        <v>10502204 - Labbé 1172-Proyecto</v>
      </c>
      <c r="G2674" s="47" t="str">
        <f>+Centro_Cuenta8[[#This Row],[Código Cuenta Contable]]&amp;" - "&amp;Centro_Cuenta8[[#This Row],[Nombre de Cuenta Contable]]</f>
        <v>1110040 - Garantía Pagadas</v>
      </c>
      <c r="H2674" s="146" t="str">
        <f>+VLOOKUP(D2674,'3. Cuentas'!A:F,6,0)</f>
        <v>SI</v>
      </c>
    </row>
    <row r="2675" spans="1:8" x14ac:dyDescent="0.25">
      <c r="A2675" s="43">
        <v>10502204</v>
      </c>
      <c r="B2675" t="s">
        <v>1472</v>
      </c>
      <c r="C2675" s="43" t="s">
        <v>1624</v>
      </c>
      <c r="D2675" s="43">
        <v>1115040</v>
      </c>
      <c r="E2675" t="s">
        <v>291</v>
      </c>
      <c r="F2675" s="47" t="str">
        <f>+Centro_Cuenta8[[#This Row],[Codigo Centro Gestion]]&amp;" - "&amp;Centro_Cuenta8[[#This Row],[Nombre Centro Gestion]]</f>
        <v>10502204 - Labbé 1172-Proyecto</v>
      </c>
      <c r="G2675" s="47" t="str">
        <f>+Centro_Cuenta8[[#This Row],[Código Cuenta Contable]]&amp;" - "&amp;Centro_Cuenta8[[#This Row],[Nombre de Cuenta Contable]]</f>
        <v>1115040 - Saneamiento De Terreno</v>
      </c>
      <c r="H2675" s="146" t="str">
        <f>+VLOOKUP(D2675,'3. Cuentas'!A:F,6,0)</f>
        <v>SI</v>
      </c>
    </row>
    <row r="2676" spans="1:8" x14ac:dyDescent="0.25">
      <c r="A2676" s="43">
        <v>10502204</v>
      </c>
      <c r="B2676" t="s">
        <v>1472</v>
      </c>
      <c r="C2676" s="43" t="s">
        <v>1624</v>
      </c>
      <c r="D2676" s="43">
        <v>1115050</v>
      </c>
      <c r="E2676" t="s">
        <v>1628</v>
      </c>
      <c r="F2676" s="47" t="str">
        <f>+Centro_Cuenta8[[#This Row],[Codigo Centro Gestion]]&amp;" - "&amp;Centro_Cuenta8[[#This Row],[Nombre Centro Gestion]]</f>
        <v>10502204 - Labbé 1172-Proyecto</v>
      </c>
      <c r="G2676" s="47" t="str">
        <f>+Centro_Cuenta8[[#This Row],[Código Cuenta Contable]]&amp;" - "&amp;Centro_Cuenta8[[#This Row],[Nombre de Cuenta Contable]]</f>
        <v>1115050 - Demolición</v>
      </c>
      <c r="H2676" s="146" t="str">
        <f>+VLOOKUP(D2676,'3. Cuentas'!A:F,6,0)</f>
        <v>SI</v>
      </c>
    </row>
    <row r="2677" spans="1:8" x14ac:dyDescent="0.25">
      <c r="A2677" s="43">
        <v>10502204</v>
      </c>
      <c r="B2677" t="s">
        <v>1472</v>
      </c>
      <c r="C2677" s="43" t="s">
        <v>1624</v>
      </c>
      <c r="D2677" s="43">
        <v>1115100</v>
      </c>
      <c r="E2677" t="s">
        <v>292</v>
      </c>
      <c r="F2677" s="47" t="str">
        <f>+Centro_Cuenta8[[#This Row],[Codigo Centro Gestion]]&amp;" - "&amp;Centro_Cuenta8[[#This Row],[Nombre Centro Gestion]]</f>
        <v>10502204 - Labbé 1172-Proyecto</v>
      </c>
      <c r="G2677" s="47" t="str">
        <f>+Centro_Cuenta8[[#This Row],[Código Cuenta Contable]]&amp;" - "&amp;Centro_Cuenta8[[#This Row],[Nombre de Cuenta Contable]]</f>
        <v>1115100 - Proyectos Y Especialidades</v>
      </c>
      <c r="H2677" s="146" t="str">
        <f>+VLOOKUP(D2677,'3. Cuentas'!A:F,6,0)</f>
        <v>SI</v>
      </c>
    </row>
    <row r="2678" spans="1:8" x14ac:dyDescent="0.25">
      <c r="A2678" s="43">
        <v>10502204</v>
      </c>
      <c r="B2678" t="s">
        <v>1472</v>
      </c>
      <c r="C2678" s="43" t="s">
        <v>1624</v>
      </c>
      <c r="D2678" s="43">
        <v>1115120</v>
      </c>
      <c r="E2678" t="s">
        <v>1633</v>
      </c>
      <c r="F2678" s="47" t="str">
        <f>+Centro_Cuenta8[[#This Row],[Codigo Centro Gestion]]&amp;" - "&amp;Centro_Cuenta8[[#This Row],[Nombre Centro Gestion]]</f>
        <v>10502204 - Labbé 1172-Proyecto</v>
      </c>
      <c r="G2678" s="47" t="str">
        <f>+Centro_Cuenta8[[#This Row],[Código Cuenta Contable]]&amp;" - "&amp;Centro_Cuenta8[[#This Row],[Nombre de Cuenta Contable]]</f>
        <v>1115120 - Instalación Empalmes</v>
      </c>
      <c r="H2678" s="146" t="str">
        <f>+VLOOKUP(D2678,'3. Cuentas'!A:F,6,0)</f>
        <v>SI</v>
      </c>
    </row>
    <row r="2679" spans="1:8" x14ac:dyDescent="0.25">
      <c r="A2679" s="43">
        <v>10502204</v>
      </c>
      <c r="B2679" t="s">
        <v>1472</v>
      </c>
      <c r="C2679" s="43" t="s">
        <v>1624</v>
      </c>
      <c r="D2679" s="43">
        <v>1115170</v>
      </c>
      <c r="E2679" t="s">
        <v>293</v>
      </c>
      <c r="F2679" s="47" t="str">
        <f>+Centro_Cuenta8[[#This Row],[Codigo Centro Gestion]]&amp;" - "&amp;Centro_Cuenta8[[#This Row],[Nombre Centro Gestion]]</f>
        <v>10502204 - Labbé 1172-Proyecto</v>
      </c>
      <c r="G2679" s="47" t="str">
        <f>+Centro_Cuenta8[[#This Row],[Código Cuenta Contable]]&amp;" - "&amp;Centro_Cuenta8[[#This Row],[Nombre de Cuenta Contable]]</f>
        <v>1115170 - Permisos Y Otros Gastos Municipales</v>
      </c>
      <c r="H2679" s="146" t="str">
        <f>+VLOOKUP(D2679,'3. Cuentas'!A:F,6,0)</f>
        <v>SI</v>
      </c>
    </row>
    <row r="2680" spans="1:8" x14ac:dyDescent="0.25">
      <c r="A2680" s="43">
        <v>10502204</v>
      </c>
      <c r="B2680" t="s">
        <v>1472</v>
      </c>
      <c r="C2680" s="43" t="s">
        <v>1624</v>
      </c>
      <c r="D2680" s="43">
        <v>1115240</v>
      </c>
      <c r="E2680" t="s">
        <v>294</v>
      </c>
      <c r="F2680" s="47" t="str">
        <f>+Centro_Cuenta8[[#This Row],[Codigo Centro Gestion]]&amp;" - "&amp;Centro_Cuenta8[[#This Row],[Nombre Centro Gestion]]</f>
        <v>10502204 - Labbé 1172-Proyecto</v>
      </c>
      <c r="G2680" s="47" t="str">
        <f>+Centro_Cuenta8[[#This Row],[Código Cuenta Contable]]&amp;" - "&amp;Centro_Cuenta8[[#This Row],[Nombre de Cuenta Contable]]</f>
        <v>1115240 - Estudios Y Asesorias Técnicas</v>
      </c>
      <c r="H2680" s="146" t="str">
        <f>+VLOOKUP(D2680,'3. Cuentas'!A:F,6,0)</f>
        <v>SI</v>
      </c>
    </row>
    <row r="2681" spans="1:8" x14ac:dyDescent="0.25">
      <c r="A2681" s="43">
        <v>10502204</v>
      </c>
      <c r="B2681" t="s">
        <v>1472</v>
      </c>
      <c r="C2681" s="43" t="s">
        <v>1624</v>
      </c>
      <c r="D2681" s="43">
        <v>4203090</v>
      </c>
      <c r="E2681" t="s">
        <v>192</v>
      </c>
      <c r="F2681" s="47" t="str">
        <f>+Centro_Cuenta8[[#This Row],[Codigo Centro Gestion]]&amp;" - "&amp;Centro_Cuenta8[[#This Row],[Nombre Centro Gestion]]</f>
        <v>10502204 - Labbé 1172-Proyecto</v>
      </c>
      <c r="G2681" s="47" t="str">
        <f>+Centro_Cuenta8[[#This Row],[Código Cuenta Contable]]&amp;" - "&amp;Centro_Cuenta8[[#This Row],[Nombre de Cuenta Contable]]</f>
        <v>4203090 - Gastos Legales Y Notariales Proyecto</v>
      </c>
      <c r="H2681" s="146" t="str">
        <f>+VLOOKUP(D2681,'3. Cuentas'!A:F,6,0)</f>
        <v>SI</v>
      </c>
    </row>
    <row r="2682" spans="1:8" x14ac:dyDescent="0.25">
      <c r="A2682" s="43">
        <v>10502204</v>
      </c>
      <c r="B2682" t="s">
        <v>1472</v>
      </c>
      <c r="C2682" s="43" t="s">
        <v>1624</v>
      </c>
      <c r="D2682" s="43">
        <v>4203140</v>
      </c>
      <c r="E2682" t="s">
        <v>109</v>
      </c>
      <c r="F2682" s="47" t="str">
        <f>+Centro_Cuenta8[[#This Row],[Codigo Centro Gestion]]&amp;" - "&amp;Centro_Cuenta8[[#This Row],[Nombre Centro Gestion]]</f>
        <v>10502204 - Labbé 1172-Proyecto</v>
      </c>
      <c r="G2682" s="47" t="str">
        <f>+Centro_Cuenta8[[#This Row],[Código Cuenta Contable]]&amp;" - "&amp;Centro_Cuenta8[[#This Row],[Nombre de Cuenta Contable]]</f>
        <v>4203140 - Contribuciones</v>
      </c>
      <c r="H2682" s="146" t="str">
        <f>+VLOOKUP(D2682,'3. Cuentas'!A:F,6,0)</f>
        <v>SI</v>
      </c>
    </row>
    <row r="2683" spans="1:8" x14ac:dyDescent="0.25">
      <c r="A2683" s="43">
        <v>10502204</v>
      </c>
      <c r="B2683" t="s">
        <v>1472</v>
      </c>
      <c r="C2683" s="43" t="s">
        <v>1624</v>
      </c>
      <c r="D2683" s="43">
        <v>4203150</v>
      </c>
      <c r="E2683" t="s">
        <v>156</v>
      </c>
      <c r="F2683" s="47" t="str">
        <f>+Centro_Cuenta8[[#This Row],[Codigo Centro Gestion]]&amp;" - "&amp;Centro_Cuenta8[[#This Row],[Nombre Centro Gestion]]</f>
        <v>10502204 - Labbé 1172-Proyecto</v>
      </c>
      <c r="G2683" s="47" t="str">
        <f>+Centro_Cuenta8[[#This Row],[Código Cuenta Contable]]&amp;" - "&amp;Centro_Cuenta8[[#This Row],[Nombre de Cuenta Contable]]</f>
        <v>4203150 - Gastos CBR</v>
      </c>
      <c r="H2683" s="146" t="str">
        <f>+VLOOKUP(D2683,'3. Cuentas'!A:F,6,0)</f>
        <v>SI</v>
      </c>
    </row>
    <row r="2684" spans="1:8" x14ac:dyDescent="0.25">
      <c r="A2684" s="43">
        <v>10502204</v>
      </c>
      <c r="B2684" t="s">
        <v>1472</v>
      </c>
      <c r="C2684" s="43" t="s">
        <v>1624</v>
      </c>
      <c r="D2684" s="43">
        <v>4203160</v>
      </c>
      <c r="E2684" t="s">
        <v>1639</v>
      </c>
      <c r="F2684" s="47" t="str">
        <f>+Centro_Cuenta8[[#This Row],[Codigo Centro Gestion]]&amp;" - "&amp;Centro_Cuenta8[[#This Row],[Nombre Centro Gestion]]</f>
        <v>10502204 - Labbé 1172-Proyecto</v>
      </c>
      <c r="G2684" s="47" t="str">
        <f>+Centro_Cuenta8[[#This Row],[Código Cuenta Contable]]&amp;" - "&amp;Centro_Cuenta8[[#This Row],[Nombre de Cuenta Contable]]</f>
        <v>4203160 - PAPELERIA Y FOTOCOPIADO</v>
      </c>
      <c r="H2684" s="146" t="str">
        <f>+VLOOKUP(D2684,'3. Cuentas'!A:F,6,0)</f>
        <v>SI</v>
      </c>
    </row>
    <row r="2685" spans="1:8" x14ac:dyDescent="0.25">
      <c r="A2685" s="43">
        <v>10502204</v>
      </c>
      <c r="B2685" t="s">
        <v>1472</v>
      </c>
      <c r="C2685" s="43" t="s">
        <v>1624</v>
      </c>
      <c r="D2685" s="43">
        <v>4203180</v>
      </c>
      <c r="E2685" t="s">
        <v>1640</v>
      </c>
      <c r="F2685" s="47" t="str">
        <f>+Centro_Cuenta8[[#This Row],[Codigo Centro Gestion]]&amp;" - "&amp;Centro_Cuenta8[[#This Row],[Nombre Centro Gestion]]</f>
        <v>10502204 - Labbé 1172-Proyecto</v>
      </c>
      <c r="G2685" s="47" t="str">
        <f>+Centro_Cuenta8[[#This Row],[Código Cuenta Contable]]&amp;" - "&amp;Centro_Cuenta8[[#This Row],[Nombre de Cuenta Contable]]</f>
        <v>4203180 - Otros Gastos y Aseso Proy</v>
      </c>
      <c r="H2685" s="146" t="str">
        <f>+VLOOKUP(D2685,'3. Cuentas'!A:F,6,0)</f>
        <v>SI</v>
      </c>
    </row>
    <row r="2686" spans="1:8" x14ac:dyDescent="0.25">
      <c r="A2686" s="43">
        <v>10502301</v>
      </c>
      <c r="B2686" t="s">
        <v>1473</v>
      </c>
      <c r="C2686" s="43" t="s">
        <v>1643</v>
      </c>
      <c r="D2686" s="43">
        <v>4203090</v>
      </c>
      <c r="E2686" t="s">
        <v>192</v>
      </c>
      <c r="F2686" s="47" t="str">
        <f>+Centro_Cuenta8[[#This Row],[Codigo Centro Gestion]]&amp;" - "&amp;Centro_Cuenta8[[#This Row],[Nombre Centro Gestion]]</f>
        <v>10502301 - Labbé 1172-GAF</v>
      </c>
      <c r="G2686" s="47" t="str">
        <f>+Centro_Cuenta8[[#This Row],[Código Cuenta Contable]]&amp;" - "&amp;Centro_Cuenta8[[#This Row],[Nombre de Cuenta Contable]]</f>
        <v>4203090 - Gastos Legales Y Notariales Proyecto</v>
      </c>
      <c r="H2686" s="146" t="str">
        <f>+VLOOKUP(D2686,'3. Cuentas'!A:F,6,0)</f>
        <v>SI</v>
      </c>
    </row>
    <row r="2687" spans="1:8" x14ac:dyDescent="0.25">
      <c r="A2687" s="43">
        <v>10502301</v>
      </c>
      <c r="B2687" t="s">
        <v>1473</v>
      </c>
      <c r="C2687" s="43" t="s">
        <v>1643</v>
      </c>
      <c r="D2687" s="43">
        <v>4203140</v>
      </c>
      <c r="E2687" t="s">
        <v>109</v>
      </c>
      <c r="F2687" s="47" t="str">
        <f>+Centro_Cuenta8[[#This Row],[Codigo Centro Gestion]]&amp;" - "&amp;Centro_Cuenta8[[#This Row],[Nombre Centro Gestion]]</f>
        <v>10502301 - Labbé 1172-GAF</v>
      </c>
      <c r="G2687" s="47" t="str">
        <f>+Centro_Cuenta8[[#This Row],[Código Cuenta Contable]]&amp;" - "&amp;Centro_Cuenta8[[#This Row],[Nombre de Cuenta Contable]]</f>
        <v>4203140 - Contribuciones</v>
      </c>
      <c r="H2687" s="146" t="str">
        <f>+VLOOKUP(D2687,'3. Cuentas'!A:F,6,0)</f>
        <v>SI</v>
      </c>
    </row>
    <row r="2688" spans="1:8" x14ac:dyDescent="0.25">
      <c r="A2688" s="43">
        <v>10502506</v>
      </c>
      <c r="B2688" t="s">
        <v>1475</v>
      </c>
      <c r="C2688" s="43" t="s">
        <v>200</v>
      </c>
      <c r="D2688" s="43">
        <v>1115100</v>
      </c>
      <c r="E2688" t="s">
        <v>292</v>
      </c>
      <c r="F2688" s="47" t="str">
        <f>+Centro_Cuenta8[[#This Row],[Codigo Centro Gestion]]&amp;" - "&amp;Centro_Cuenta8[[#This Row],[Nombre Centro Gestion]]</f>
        <v>10502506 - Labbé 1172-Depto.Técnico</v>
      </c>
      <c r="G2688" s="47" t="str">
        <f>+Centro_Cuenta8[[#This Row],[Código Cuenta Contable]]&amp;" - "&amp;Centro_Cuenta8[[#This Row],[Nombre de Cuenta Contable]]</f>
        <v>1115100 - Proyectos Y Especialidades</v>
      </c>
      <c r="H2688" s="146" t="str">
        <f>+VLOOKUP(D2688,'3. Cuentas'!A:F,6,0)</f>
        <v>SI</v>
      </c>
    </row>
    <row r="2689" spans="1:8" x14ac:dyDescent="0.25">
      <c r="A2689" s="43">
        <v>1054202</v>
      </c>
      <c r="B2689" t="s">
        <v>722</v>
      </c>
      <c r="C2689" s="43" t="s">
        <v>1578</v>
      </c>
      <c r="D2689" s="43">
        <v>1115040</v>
      </c>
      <c r="E2689" t="s">
        <v>291</v>
      </c>
      <c r="F2689" s="47" t="str">
        <f>+Centro_Cuenta8[[#This Row],[Codigo Centro Gestion]]&amp;" - "&amp;Centro_Cuenta8[[#This Row],[Nombre Centro Gestion]]</f>
        <v>1054202 - Terreno Santo Domingo-Desarrollo</v>
      </c>
      <c r="G2689" s="47" t="str">
        <f>+Centro_Cuenta8[[#This Row],[Código Cuenta Contable]]&amp;" - "&amp;Centro_Cuenta8[[#This Row],[Nombre de Cuenta Contable]]</f>
        <v>1115040 - Saneamiento De Terreno</v>
      </c>
      <c r="H2689" s="146" t="str">
        <f>+VLOOKUP(D2689,'3. Cuentas'!A:F,6,0)</f>
        <v>SI</v>
      </c>
    </row>
    <row r="2690" spans="1:8" x14ac:dyDescent="0.25">
      <c r="A2690" s="43">
        <v>1054202</v>
      </c>
      <c r="B2690" t="s">
        <v>722</v>
      </c>
      <c r="C2690" s="43" t="s">
        <v>1578</v>
      </c>
      <c r="D2690" s="43">
        <v>1115170</v>
      </c>
      <c r="E2690" t="s">
        <v>293</v>
      </c>
      <c r="F2690" s="47" t="str">
        <f>+Centro_Cuenta8[[#This Row],[Codigo Centro Gestion]]&amp;" - "&amp;Centro_Cuenta8[[#This Row],[Nombre Centro Gestion]]</f>
        <v>1054202 - Terreno Santo Domingo-Desarrollo</v>
      </c>
      <c r="G2690" s="47" t="str">
        <f>+Centro_Cuenta8[[#This Row],[Código Cuenta Contable]]&amp;" - "&amp;Centro_Cuenta8[[#This Row],[Nombre de Cuenta Contable]]</f>
        <v>1115170 - Permisos Y Otros Gastos Municipales</v>
      </c>
      <c r="H2690" s="146" t="str">
        <f>+VLOOKUP(D2690,'3. Cuentas'!A:F,6,0)</f>
        <v>SI</v>
      </c>
    </row>
    <row r="2691" spans="1:8" x14ac:dyDescent="0.25">
      <c r="A2691" s="43">
        <v>1054202</v>
      </c>
      <c r="B2691" t="s">
        <v>722</v>
      </c>
      <c r="C2691" s="43" t="s">
        <v>1578</v>
      </c>
      <c r="D2691" s="43">
        <v>1115240</v>
      </c>
      <c r="E2691" t="s">
        <v>294</v>
      </c>
      <c r="F2691" s="47" t="str">
        <f>+Centro_Cuenta8[[#This Row],[Codigo Centro Gestion]]&amp;" - "&amp;Centro_Cuenta8[[#This Row],[Nombre Centro Gestion]]</f>
        <v>1054202 - Terreno Santo Domingo-Desarrollo</v>
      </c>
      <c r="G2691" s="47" t="str">
        <f>+Centro_Cuenta8[[#This Row],[Código Cuenta Contable]]&amp;" - "&amp;Centro_Cuenta8[[#This Row],[Nombre de Cuenta Contable]]</f>
        <v>1115240 - Estudios Y Asesorias Técnicas</v>
      </c>
      <c r="H2691" s="146" t="str">
        <f>+VLOOKUP(D2691,'3. Cuentas'!A:F,6,0)</f>
        <v>SI</v>
      </c>
    </row>
    <row r="2692" spans="1:8" x14ac:dyDescent="0.25">
      <c r="A2692" s="43">
        <v>1054202</v>
      </c>
      <c r="B2692" t="s">
        <v>722</v>
      </c>
      <c r="C2692" s="43" t="s">
        <v>1578</v>
      </c>
      <c r="D2692" s="43">
        <v>4203090</v>
      </c>
      <c r="E2692" t="s">
        <v>192</v>
      </c>
      <c r="F2692" s="47" t="str">
        <f>+Centro_Cuenta8[[#This Row],[Codigo Centro Gestion]]&amp;" - "&amp;Centro_Cuenta8[[#This Row],[Nombre Centro Gestion]]</f>
        <v>1054202 - Terreno Santo Domingo-Desarrollo</v>
      </c>
      <c r="G2692" s="47" t="str">
        <f>+Centro_Cuenta8[[#This Row],[Código Cuenta Contable]]&amp;" - "&amp;Centro_Cuenta8[[#This Row],[Nombre de Cuenta Contable]]</f>
        <v>4203090 - Gastos Legales Y Notariales Proyecto</v>
      </c>
      <c r="H2692" s="146" t="str">
        <f>+VLOOKUP(D2692,'3. Cuentas'!A:F,6,0)</f>
        <v>SI</v>
      </c>
    </row>
    <row r="2693" spans="1:8" x14ac:dyDescent="0.25">
      <c r="A2693" s="43">
        <v>1062202</v>
      </c>
      <c r="B2693" t="s">
        <v>723</v>
      </c>
      <c r="C2693" s="43" t="s">
        <v>1578</v>
      </c>
      <c r="D2693" s="43">
        <v>1115040</v>
      </c>
      <c r="E2693" t="s">
        <v>291</v>
      </c>
      <c r="F2693" s="47" t="str">
        <f>+Centro_Cuenta8[[#This Row],[Codigo Centro Gestion]]&amp;" - "&amp;Centro_Cuenta8[[#This Row],[Nombre Centro Gestion]]</f>
        <v>1062202 - Terreno El Yodo-Desarrollo</v>
      </c>
      <c r="G2693" s="47" t="str">
        <f>+Centro_Cuenta8[[#This Row],[Código Cuenta Contable]]&amp;" - "&amp;Centro_Cuenta8[[#This Row],[Nombre de Cuenta Contable]]</f>
        <v>1115040 - Saneamiento De Terreno</v>
      </c>
      <c r="H2693" s="146" t="str">
        <f>+VLOOKUP(D2693,'3. Cuentas'!A:F,6,0)</f>
        <v>SI</v>
      </c>
    </row>
    <row r="2694" spans="1:8" x14ac:dyDescent="0.25">
      <c r="A2694" s="43">
        <v>1062202</v>
      </c>
      <c r="B2694" t="s">
        <v>723</v>
      </c>
      <c r="C2694" s="43" t="s">
        <v>1578</v>
      </c>
      <c r="D2694" s="43">
        <v>1115170</v>
      </c>
      <c r="E2694" t="s">
        <v>293</v>
      </c>
      <c r="F2694" s="47" t="str">
        <f>+Centro_Cuenta8[[#This Row],[Codigo Centro Gestion]]&amp;" - "&amp;Centro_Cuenta8[[#This Row],[Nombre Centro Gestion]]</f>
        <v>1062202 - Terreno El Yodo-Desarrollo</v>
      </c>
      <c r="G2694" s="47" t="str">
        <f>+Centro_Cuenta8[[#This Row],[Código Cuenta Contable]]&amp;" - "&amp;Centro_Cuenta8[[#This Row],[Nombre de Cuenta Contable]]</f>
        <v>1115170 - Permisos Y Otros Gastos Municipales</v>
      </c>
      <c r="H2694" s="146" t="str">
        <f>+VLOOKUP(D2694,'3. Cuentas'!A:F,6,0)</f>
        <v>SI</v>
      </c>
    </row>
    <row r="2695" spans="1:8" x14ac:dyDescent="0.25">
      <c r="A2695" s="43">
        <v>1062202</v>
      </c>
      <c r="B2695" t="s">
        <v>723</v>
      </c>
      <c r="C2695" s="43" t="s">
        <v>1578</v>
      </c>
      <c r="D2695" s="43">
        <v>1115240</v>
      </c>
      <c r="E2695" t="s">
        <v>294</v>
      </c>
      <c r="F2695" s="47" t="str">
        <f>+Centro_Cuenta8[[#This Row],[Codigo Centro Gestion]]&amp;" - "&amp;Centro_Cuenta8[[#This Row],[Nombre Centro Gestion]]</f>
        <v>1062202 - Terreno El Yodo-Desarrollo</v>
      </c>
      <c r="G2695" s="47" t="str">
        <f>+Centro_Cuenta8[[#This Row],[Código Cuenta Contable]]&amp;" - "&amp;Centro_Cuenta8[[#This Row],[Nombre de Cuenta Contable]]</f>
        <v>1115240 - Estudios Y Asesorias Técnicas</v>
      </c>
      <c r="H2695" s="146" t="str">
        <f>+VLOOKUP(D2695,'3. Cuentas'!A:F,6,0)</f>
        <v>SI</v>
      </c>
    </row>
    <row r="2696" spans="1:8" x14ac:dyDescent="0.25">
      <c r="A2696" s="43">
        <v>1062202</v>
      </c>
      <c r="B2696" t="s">
        <v>723</v>
      </c>
      <c r="C2696" s="43" t="s">
        <v>1578</v>
      </c>
      <c r="D2696" s="43">
        <v>4203090</v>
      </c>
      <c r="E2696" t="s">
        <v>192</v>
      </c>
      <c r="F2696" s="47" t="str">
        <f>+Centro_Cuenta8[[#This Row],[Codigo Centro Gestion]]&amp;" - "&amp;Centro_Cuenta8[[#This Row],[Nombre Centro Gestion]]</f>
        <v>1062202 - Terreno El Yodo-Desarrollo</v>
      </c>
      <c r="G2696" s="47" t="str">
        <f>+Centro_Cuenta8[[#This Row],[Código Cuenta Contable]]&amp;" - "&amp;Centro_Cuenta8[[#This Row],[Nombre de Cuenta Contable]]</f>
        <v>4203090 - Gastos Legales Y Notariales Proyecto</v>
      </c>
      <c r="H2696" s="146" t="str">
        <f>+VLOOKUP(D2696,'3. Cuentas'!A:F,6,0)</f>
        <v>SI</v>
      </c>
    </row>
    <row r="2697" spans="1:8" x14ac:dyDescent="0.25">
      <c r="A2697" s="43">
        <v>1070202</v>
      </c>
      <c r="B2697" t="s">
        <v>724</v>
      </c>
      <c r="C2697" s="43" t="s">
        <v>1578</v>
      </c>
      <c r="D2697" s="43">
        <v>1115040</v>
      </c>
      <c r="E2697" t="s">
        <v>291</v>
      </c>
      <c r="F2697" s="47" t="str">
        <f>+Centro_Cuenta8[[#This Row],[Codigo Centro Gestion]]&amp;" - "&amp;Centro_Cuenta8[[#This Row],[Nombre Centro Gestion]]</f>
        <v>1070202 - Terreno Edificio Terrazas del Sol – Desarrollo</v>
      </c>
      <c r="G2697" s="47" t="str">
        <f>+Centro_Cuenta8[[#This Row],[Código Cuenta Contable]]&amp;" - "&amp;Centro_Cuenta8[[#This Row],[Nombre de Cuenta Contable]]</f>
        <v>1115040 - Saneamiento De Terreno</v>
      </c>
      <c r="H2697" s="146" t="str">
        <f>+VLOOKUP(D2697,'3. Cuentas'!A:F,6,0)</f>
        <v>SI</v>
      </c>
    </row>
    <row r="2698" spans="1:8" x14ac:dyDescent="0.25">
      <c r="A2698" s="43">
        <v>1070202</v>
      </c>
      <c r="B2698" t="s">
        <v>724</v>
      </c>
      <c r="C2698" s="43" t="s">
        <v>1578</v>
      </c>
      <c r="D2698" s="43">
        <v>1115170</v>
      </c>
      <c r="E2698" t="s">
        <v>293</v>
      </c>
      <c r="F2698" s="47" t="str">
        <f>+Centro_Cuenta8[[#This Row],[Codigo Centro Gestion]]&amp;" - "&amp;Centro_Cuenta8[[#This Row],[Nombre Centro Gestion]]</f>
        <v>1070202 - Terreno Edificio Terrazas del Sol – Desarrollo</v>
      </c>
      <c r="G2698" s="47" t="str">
        <f>+Centro_Cuenta8[[#This Row],[Código Cuenta Contable]]&amp;" - "&amp;Centro_Cuenta8[[#This Row],[Nombre de Cuenta Contable]]</f>
        <v>1115170 - Permisos Y Otros Gastos Municipales</v>
      </c>
      <c r="H2698" s="146" t="str">
        <f>+VLOOKUP(D2698,'3. Cuentas'!A:F,6,0)</f>
        <v>SI</v>
      </c>
    </row>
    <row r="2699" spans="1:8" x14ac:dyDescent="0.25">
      <c r="A2699" s="43">
        <v>1070202</v>
      </c>
      <c r="B2699" t="s">
        <v>724</v>
      </c>
      <c r="C2699" s="43" t="s">
        <v>1578</v>
      </c>
      <c r="D2699" s="43">
        <v>1115240</v>
      </c>
      <c r="E2699" t="s">
        <v>294</v>
      </c>
      <c r="F2699" s="47" t="str">
        <f>+Centro_Cuenta8[[#This Row],[Codigo Centro Gestion]]&amp;" - "&amp;Centro_Cuenta8[[#This Row],[Nombre Centro Gestion]]</f>
        <v>1070202 - Terreno Edificio Terrazas del Sol – Desarrollo</v>
      </c>
      <c r="G2699" s="47" t="str">
        <f>+Centro_Cuenta8[[#This Row],[Código Cuenta Contable]]&amp;" - "&amp;Centro_Cuenta8[[#This Row],[Nombre de Cuenta Contable]]</f>
        <v>1115240 - Estudios Y Asesorias Técnicas</v>
      </c>
      <c r="H2699" s="146" t="str">
        <f>+VLOOKUP(D2699,'3. Cuentas'!A:F,6,0)</f>
        <v>SI</v>
      </c>
    </row>
    <row r="2700" spans="1:8" x14ac:dyDescent="0.25">
      <c r="A2700" s="43">
        <v>1070202</v>
      </c>
      <c r="B2700" t="s">
        <v>724</v>
      </c>
      <c r="C2700" s="43" t="s">
        <v>1578</v>
      </c>
      <c r="D2700" s="43">
        <v>4203090</v>
      </c>
      <c r="E2700" t="s">
        <v>192</v>
      </c>
      <c r="F2700" s="47" t="str">
        <f>+Centro_Cuenta8[[#This Row],[Codigo Centro Gestion]]&amp;" - "&amp;Centro_Cuenta8[[#This Row],[Nombre Centro Gestion]]</f>
        <v>1070202 - Terreno Edificio Terrazas del Sol – Desarrollo</v>
      </c>
      <c r="G2700" s="47" t="str">
        <f>+Centro_Cuenta8[[#This Row],[Código Cuenta Contable]]&amp;" - "&amp;Centro_Cuenta8[[#This Row],[Nombre de Cuenta Contable]]</f>
        <v>4203090 - Gastos Legales Y Notariales Proyecto</v>
      </c>
      <c r="H2700" s="146" t="str">
        <f>+VLOOKUP(D2700,'3. Cuentas'!A:F,6,0)</f>
        <v>SI</v>
      </c>
    </row>
    <row r="2701" spans="1:8" x14ac:dyDescent="0.25">
      <c r="A2701" s="43">
        <v>1075202</v>
      </c>
      <c r="B2701" t="s">
        <v>725</v>
      </c>
      <c r="C2701" s="43" t="s">
        <v>1578</v>
      </c>
      <c r="D2701" s="43">
        <v>1115040</v>
      </c>
      <c r="E2701" t="s">
        <v>291</v>
      </c>
      <c r="F2701" s="47" t="str">
        <f>+Centro_Cuenta8[[#This Row],[Codigo Centro Gestion]]&amp;" - "&amp;Centro_Cuenta8[[#This Row],[Nombre Centro Gestion]]</f>
        <v>1075202 - Terreno Santa Elena 2015-Desarrollo</v>
      </c>
      <c r="G2701" s="47" t="str">
        <f>+Centro_Cuenta8[[#This Row],[Código Cuenta Contable]]&amp;" - "&amp;Centro_Cuenta8[[#This Row],[Nombre de Cuenta Contable]]</f>
        <v>1115040 - Saneamiento De Terreno</v>
      </c>
      <c r="H2701" s="146" t="str">
        <f>+VLOOKUP(D2701,'3. Cuentas'!A:F,6,0)</f>
        <v>SI</v>
      </c>
    </row>
    <row r="2702" spans="1:8" x14ac:dyDescent="0.25">
      <c r="A2702" s="43">
        <v>1075202</v>
      </c>
      <c r="B2702" t="s">
        <v>725</v>
      </c>
      <c r="C2702" s="43" t="s">
        <v>1578</v>
      </c>
      <c r="D2702" s="43">
        <v>1115170</v>
      </c>
      <c r="E2702" t="s">
        <v>293</v>
      </c>
      <c r="F2702" s="47" t="str">
        <f>+Centro_Cuenta8[[#This Row],[Codigo Centro Gestion]]&amp;" - "&amp;Centro_Cuenta8[[#This Row],[Nombre Centro Gestion]]</f>
        <v>1075202 - Terreno Santa Elena 2015-Desarrollo</v>
      </c>
      <c r="G2702" s="47" t="str">
        <f>+Centro_Cuenta8[[#This Row],[Código Cuenta Contable]]&amp;" - "&amp;Centro_Cuenta8[[#This Row],[Nombre de Cuenta Contable]]</f>
        <v>1115170 - Permisos Y Otros Gastos Municipales</v>
      </c>
      <c r="H2702" s="146" t="str">
        <f>+VLOOKUP(D2702,'3. Cuentas'!A:F,6,0)</f>
        <v>SI</v>
      </c>
    </row>
    <row r="2703" spans="1:8" x14ac:dyDescent="0.25">
      <c r="A2703" s="43">
        <v>1075202</v>
      </c>
      <c r="B2703" t="s">
        <v>725</v>
      </c>
      <c r="C2703" s="43" t="s">
        <v>1578</v>
      </c>
      <c r="D2703" s="43">
        <v>1115240</v>
      </c>
      <c r="E2703" t="s">
        <v>294</v>
      </c>
      <c r="F2703" s="47" t="str">
        <f>+Centro_Cuenta8[[#This Row],[Codigo Centro Gestion]]&amp;" - "&amp;Centro_Cuenta8[[#This Row],[Nombre Centro Gestion]]</f>
        <v>1075202 - Terreno Santa Elena 2015-Desarrollo</v>
      </c>
      <c r="G2703" s="47" t="str">
        <f>+Centro_Cuenta8[[#This Row],[Código Cuenta Contable]]&amp;" - "&amp;Centro_Cuenta8[[#This Row],[Nombre de Cuenta Contable]]</f>
        <v>1115240 - Estudios Y Asesorias Técnicas</v>
      </c>
      <c r="H2703" s="146" t="str">
        <f>+VLOOKUP(D2703,'3. Cuentas'!A:F,6,0)</f>
        <v>SI</v>
      </c>
    </row>
    <row r="2704" spans="1:8" x14ac:dyDescent="0.25">
      <c r="A2704" s="43">
        <v>1075202</v>
      </c>
      <c r="B2704" t="s">
        <v>725</v>
      </c>
      <c r="C2704" s="43" t="s">
        <v>1578</v>
      </c>
      <c r="D2704" s="43">
        <v>4203090</v>
      </c>
      <c r="E2704" t="s">
        <v>192</v>
      </c>
      <c r="F2704" s="47" t="str">
        <f>+Centro_Cuenta8[[#This Row],[Codigo Centro Gestion]]&amp;" - "&amp;Centro_Cuenta8[[#This Row],[Nombre Centro Gestion]]</f>
        <v>1075202 - Terreno Santa Elena 2015-Desarrollo</v>
      </c>
      <c r="G2704" s="47" t="str">
        <f>+Centro_Cuenta8[[#This Row],[Código Cuenta Contable]]&amp;" - "&amp;Centro_Cuenta8[[#This Row],[Nombre de Cuenta Contable]]</f>
        <v>4203090 - Gastos Legales Y Notariales Proyecto</v>
      </c>
      <c r="H2704" s="146" t="str">
        <f>+VLOOKUP(D2704,'3. Cuentas'!A:F,6,0)</f>
        <v>SI</v>
      </c>
    </row>
    <row r="2705" spans="1:8" x14ac:dyDescent="0.25">
      <c r="A2705" s="43">
        <v>1077202</v>
      </c>
      <c r="B2705" t="s">
        <v>726</v>
      </c>
      <c r="C2705" s="43" t="s">
        <v>1578</v>
      </c>
      <c r="D2705" s="43">
        <v>1115040</v>
      </c>
      <c r="E2705" t="s">
        <v>291</v>
      </c>
      <c r="F2705" s="47" t="str">
        <f>+Centro_Cuenta8[[#This Row],[Codigo Centro Gestion]]&amp;" - "&amp;Centro_Cuenta8[[#This Row],[Nombre Centro Gestion]]</f>
        <v>1077202 - Terreno Fuenzalida Urrejola - Desarrollo</v>
      </c>
      <c r="G2705" s="47" t="str">
        <f>+Centro_Cuenta8[[#This Row],[Código Cuenta Contable]]&amp;" - "&amp;Centro_Cuenta8[[#This Row],[Nombre de Cuenta Contable]]</f>
        <v>1115040 - Saneamiento De Terreno</v>
      </c>
      <c r="H2705" s="146" t="str">
        <f>+VLOOKUP(D2705,'3. Cuentas'!A:F,6,0)</f>
        <v>SI</v>
      </c>
    </row>
    <row r="2706" spans="1:8" x14ac:dyDescent="0.25">
      <c r="A2706" s="43">
        <v>1077202</v>
      </c>
      <c r="B2706" t="s">
        <v>726</v>
      </c>
      <c r="C2706" s="43" t="s">
        <v>1578</v>
      </c>
      <c r="D2706" s="43">
        <v>1115170</v>
      </c>
      <c r="E2706" t="s">
        <v>293</v>
      </c>
      <c r="F2706" s="47" t="str">
        <f>+Centro_Cuenta8[[#This Row],[Codigo Centro Gestion]]&amp;" - "&amp;Centro_Cuenta8[[#This Row],[Nombre Centro Gestion]]</f>
        <v>1077202 - Terreno Fuenzalida Urrejola - Desarrollo</v>
      </c>
      <c r="G2706" s="47" t="str">
        <f>+Centro_Cuenta8[[#This Row],[Código Cuenta Contable]]&amp;" - "&amp;Centro_Cuenta8[[#This Row],[Nombre de Cuenta Contable]]</f>
        <v>1115170 - Permisos Y Otros Gastos Municipales</v>
      </c>
      <c r="H2706" s="146" t="str">
        <f>+VLOOKUP(D2706,'3. Cuentas'!A:F,6,0)</f>
        <v>SI</v>
      </c>
    </row>
    <row r="2707" spans="1:8" x14ac:dyDescent="0.25">
      <c r="A2707" s="43">
        <v>1077202</v>
      </c>
      <c r="B2707" t="s">
        <v>726</v>
      </c>
      <c r="C2707" s="43" t="s">
        <v>1578</v>
      </c>
      <c r="D2707" s="43">
        <v>1115240</v>
      </c>
      <c r="E2707" t="s">
        <v>294</v>
      </c>
      <c r="F2707" s="47" t="str">
        <f>+Centro_Cuenta8[[#This Row],[Codigo Centro Gestion]]&amp;" - "&amp;Centro_Cuenta8[[#This Row],[Nombre Centro Gestion]]</f>
        <v>1077202 - Terreno Fuenzalida Urrejola - Desarrollo</v>
      </c>
      <c r="G2707" s="47" t="str">
        <f>+Centro_Cuenta8[[#This Row],[Código Cuenta Contable]]&amp;" - "&amp;Centro_Cuenta8[[#This Row],[Nombre de Cuenta Contable]]</f>
        <v>1115240 - Estudios Y Asesorias Técnicas</v>
      </c>
      <c r="H2707" s="146" t="str">
        <f>+VLOOKUP(D2707,'3. Cuentas'!A:F,6,0)</f>
        <v>SI</v>
      </c>
    </row>
    <row r="2708" spans="1:8" x14ac:dyDescent="0.25">
      <c r="A2708" s="43">
        <v>1077202</v>
      </c>
      <c r="B2708" t="s">
        <v>726</v>
      </c>
      <c r="C2708" s="43" t="s">
        <v>1578</v>
      </c>
      <c r="D2708" s="43">
        <v>4203090</v>
      </c>
      <c r="E2708" t="s">
        <v>192</v>
      </c>
      <c r="F2708" s="47" t="str">
        <f>+Centro_Cuenta8[[#This Row],[Codigo Centro Gestion]]&amp;" - "&amp;Centro_Cuenta8[[#This Row],[Nombre Centro Gestion]]</f>
        <v>1077202 - Terreno Fuenzalida Urrejola - Desarrollo</v>
      </c>
      <c r="G2708" s="47" t="str">
        <f>+Centro_Cuenta8[[#This Row],[Código Cuenta Contable]]&amp;" - "&amp;Centro_Cuenta8[[#This Row],[Nombre de Cuenta Contable]]</f>
        <v>4203090 - Gastos Legales Y Notariales Proyecto</v>
      </c>
      <c r="H2708" s="146" t="str">
        <f>+VLOOKUP(D2708,'3. Cuentas'!A:F,6,0)</f>
        <v>SI</v>
      </c>
    </row>
    <row r="2709" spans="1:8" x14ac:dyDescent="0.25">
      <c r="A2709" s="43">
        <v>1080202</v>
      </c>
      <c r="B2709" t="s">
        <v>727</v>
      </c>
      <c r="C2709" s="43" t="s">
        <v>1578</v>
      </c>
      <c r="D2709" s="43">
        <v>1115040</v>
      </c>
      <c r="E2709" t="s">
        <v>291</v>
      </c>
      <c r="F2709" s="47" t="str">
        <f>+Centro_Cuenta8[[#This Row],[Codigo Centro Gestion]]&amp;" - "&amp;Centro_Cuenta8[[#This Row],[Nombre Centro Gestion]]</f>
        <v>1080202 - Terreno Fernández Albano - Desarrollo</v>
      </c>
      <c r="G2709" s="47" t="str">
        <f>+Centro_Cuenta8[[#This Row],[Código Cuenta Contable]]&amp;" - "&amp;Centro_Cuenta8[[#This Row],[Nombre de Cuenta Contable]]</f>
        <v>1115040 - Saneamiento De Terreno</v>
      </c>
      <c r="H2709" s="146" t="str">
        <f>+VLOOKUP(D2709,'3. Cuentas'!A:F,6,0)</f>
        <v>SI</v>
      </c>
    </row>
    <row r="2710" spans="1:8" x14ac:dyDescent="0.25">
      <c r="A2710" s="43">
        <v>1080202</v>
      </c>
      <c r="B2710" t="s">
        <v>727</v>
      </c>
      <c r="C2710" s="43" t="s">
        <v>1578</v>
      </c>
      <c r="D2710" s="43">
        <v>1115170</v>
      </c>
      <c r="E2710" t="s">
        <v>293</v>
      </c>
      <c r="F2710" s="47" t="str">
        <f>+Centro_Cuenta8[[#This Row],[Codigo Centro Gestion]]&amp;" - "&amp;Centro_Cuenta8[[#This Row],[Nombre Centro Gestion]]</f>
        <v>1080202 - Terreno Fernández Albano - Desarrollo</v>
      </c>
      <c r="G2710" s="47" t="str">
        <f>+Centro_Cuenta8[[#This Row],[Código Cuenta Contable]]&amp;" - "&amp;Centro_Cuenta8[[#This Row],[Nombre de Cuenta Contable]]</f>
        <v>1115170 - Permisos Y Otros Gastos Municipales</v>
      </c>
      <c r="H2710" s="146" t="str">
        <f>+VLOOKUP(D2710,'3. Cuentas'!A:F,6,0)</f>
        <v>SI</v>
      </c>
    </row>
    <row r="2711" spans="1:8" x14ac:dyDescent="0.25">
      <c r="A2711" s="43">
        <v>1080202</v>
      </c>
      <c r="B2711" t="s">
        <v>727</v>
      </c>
      <c r="C2711" s="43" t="s">
        <v>1578</v>
      </c>
      <c r="D2711" s="43">
        <v>1115240</v>
      </c>
      <c r="E2711" t="s">
        <v>294</v>
      </c>
      <c r="F2711" s="47" t="str">
        <f>+Centro_Cuenta8[[#This Row],[Codigo Centro Gestion]]&amp;" - "&amp;Centro_Cuenta8[[#This Row],[Nombre Centro Gestion]]</f>
        <v>1080202 - Terreno Fernández Albano - Desarrollo</v>
      </c>
      <c r="G2711" s="47" t="str">
        <f>+Centro_Cuenta8[[#This Row],[Código Cuenta Contable]]&amp;" - "&amp;Centro_Cuenta8[[#This Row],[Nombre de Cuenta Contable]]</f>
        <v>1115240 - Estudios Y Asesorias Técnicas</v>
      </c>
      <c r="H2711" s="146" t="str">
        <f>+VLOOKUP(D2711,'3. Cuentas'!A:F,6,0)</f>
        <v>SI</v>
      </c>
    </row>
    <row r="2712" spans="1:8" x14ac:dyDescent="0.25">
      <c r="A2712" s="43">
        <v>1080202</v>
      </c>
      <c r="B2712" t="s">
        <v>727</v>
      </c>
      <c r="C2712" s="43" t="s">
        <v>1578</v>
      </c>
      <c r="D2712" s="43">
        <v>4203090</v>
      </c>
      <c r="E2712" t="s">
        <v>192</v>
      </c>
      <c r="F2712" s="47" t="str">
        <f>+Centro_Cuenta8[[#This Row],[Codigo Centro Gestion]]&amp;" - "&amp;Centro_Cuenta8[[#This Row],[Nombre Centro Gestion]]</f>
        <v>1080202 - Terreno Fernández Albano - Desarrollo</v>
      </c>
      <c r="G2712" s="47" t="str">
        <f>+Centro_Cuenta8[[#This Row],[Código Cuenta Contable]]&amp;" - "&amp;Centro_Cuenta8[[#This Row],[Nombre de Cuenta Contable]]</f>
        <v>4203090 - Gastos Legales Y Notariales Proyecto</v>
      </c>
      <c r="H2712" s="146" t="str">
        <f>+VLOOKUP(D2712,'3. Cuentas'!A:F,6,0)</f>
        <v>SI</v>
      </c>
    </row>
    <row r="2713" spans="1:8" x14ac:dyDescent="0.25">
      <c r="A2713" s="43">
        <v>1081202</v>
      </c>
      <c r="B2713" t="s">
        <v>728</v>
      </c>
      <c r="C2713" s="43" t="s">
        <v>1578</v>
      </c>
      <c r="D2713" s="43">
        <v>1115040</v>
      </c>
      <c r="E2713" t="s">
        <v>291</v>
      </c>
      <c r="F2713" s="47" t="str">
        <f>+Centro_Cuenta8[[#This Row],[Codigo Centro Gestion]]&amp;" - "&amp;Centro_Cuenta8[[#This Row],[Nombre Centro Gestion]]</f>
        <v>1081202 - Terreno Novena Avenida II – Desarrollo</v>
      </c>
      <c r="G2713" s="47" t="str">
        <f>+Centro_Cuenta8[[#This Row],[Código Cuenta Contable]]&amp;" - "&amp;Centro_Cuenta8[[#This Row],[Nombre de Cuenta Contable]]</f>
        <v>1115040 - Saneamiento De Terreno</v>
      </c>
      <c r="H2713" s="146" t="str">
        <f>+VLOOKUP(D2713,'3. Cuentas'!A:F,6,0)</f>
        <v>SI</v>
      </c>
    </row>
    <row r="2714" spans="1:8" x14ac:dyDescent="0.25">
      <c r="A2714" s="43">
        <v>1081202</v>
      </c>
      <c r="B2714" t="s">
        <v>728</v>
      </c>
      <c r="C2714" s="43" t="s">
        <v>1578</v>
      </c>
      <c r="D2714" s="43">
        <v>1115170</v>
      </c>
      <c r="E2714" t="s">
        <v>293</v>
      </c>
      <c r="F2714" s="47" t="str">
        <f>+Centro_Cuenta8[[#This Row],[Codigo Centro Gestion]]&amp;" - "&amp;Centro_Cuenta8[[#This Row],[Nombre Centro Gestion]]</f>
        <v>1081202 - Terreno Novena Avenida II – Desarrollo</v>
      </c>
      <c r="G2714" s="47" t="str">
        <f>+Centro_Cuenta8[[#This Row],[Código Cuenta Contable]]&amp;" - "&amp;Centro_Cuenta8[[#This Row],[Nombre de Cuenta Contable]]</f>
        <v>1115170 - Permisos Y Otros Gastos Municipales</v>
      </c>
      <c r="H2714" s="146" t="str">
        <f>+VLOOKUP(D2714,'3. Cuentas'!A:F,6,0)</f>
        <v>SI</v>
      </c>
    </row>
    <row r="2715" spans="1:8" x14ac:dyDescent="0.25">
      <c r="A2715" s="43">
        <v>1081202</v>
      </c>
      <c r="B2715" t="s">
        <v>728</v>
      </c>
      <c r="C2715" s="43" t="s">
        <v>1578</v>
      </c>
      <c r="D2715" s="43">
        <v>1115240</v>
      </c>
      <c r="E2715" t="s">
        <v>294</v>
      </c>
      <c r="F2715" s="47" t="str">
        <f>+Centro_Cuenta8[[#This Row],[Codigo Centro Gestion]]&amp;" - "&amp;Centro_Cuenta8[[#This Row],[Nombre Centro Gestion]]</f>
        <v>1081202 - Terreno Novena Avenida II – Desarrollo</v>
      </c>
      <c r="G2715" s="47" t="str">
        <f>+Centro_Cuenta8[[#This Row],[Código Cuenta Contable]]&amp;" - "&amp;Centro_Cuenta8[[#This Row],[Nombre de Cuenta Contable]]</f>
        <v>1115240 - Estudios Y Asesorias Técnicas</v>
      </c>
      <c r="H2715" s="146" t="str">
        <f>+VLOOKUP(D2715,'3. Cuentas'!A:F,6,0)</f>
        <v>SI</v>
      </c>
    </row>
    <row r="2716" spans="1:8" x14ac:dyDescent="0.25">
      <c r="A2716" s="43">
        <v>1081202</v>
      </c>
      <c r="B2716" t="s">
        <v>728</v>
      </c>
      <c r="C2716" s="43" t="s">
        <v>1578</v>
      </c>
      <c r="D2716" s="43">
        <v>4203090</v>
      </c>
      <c r="E2716" t="s">
        <v>192</v>
      </c>
      <c r="F2716" s="47" t="str">
        <f>+Centro_Cuenta8[[#This Row],[Codigo Centro Gestion]]&amp;" - "&amp;Centro_Cuenta8[[#This Row],[Nombre Centro Gestion]]</f>
        <v>1081202 - Terreno Novena Avenida II – Desarrollo</v>
      </c>
      <c r="G2716" s="47" t="str">
        <f>+Centro_Cuenta8[[#This Row],[Código Cuenta Contable]]&amp;" - "&amp;Centro_Cuenta8[[#This Row],[Nombre de Cuenta Contable]]</f>
        <v>4203090 - Gastos Legales Y Notariales Proyecto</v>
      </c>
      <c r="H2716" s="146" t="str">
        <f>+VLOOKUP(D2716,'3. Cuentas'!A:F,6,0)</f>
        <v>SI</v>
      </c>
    </row>
    <row r="2717" spans="1:8" x14ac:dyDescent="0.25">
      <c r="A2717" s="43">
        <v>1082202</v>
      </c>
      <c r="B2717" t="s">
        <v>729</v>
      </c>
      <c r="C2717" s="43" t="s">
        <v>1578</v>
      </c>
      <c r="D2717" s="43">
        <v>1115040</v>
      </c>
      <c r="E2717" t="s">
        <v>291</v>
      </c>
      <c r="F2717" s="47" t="str">
        <f>+Centro_Cuenta8[[#This Row],[Codigo Centro Gestion]]&amp;" - "&amp;Centro_Cuenta8[[#This Row],[Nombre Centro Gestion]]</f>
        <v>1082202 - Terreno Edificio Uno Norte - Desarrollo</v>
      </c>
      <c r="G2717" s="47" t="str">
        <f>+Centro_Cuenta8[[#This Row],[Código Cuenta Contable]]&amp;" - "&amp;Centro_Cuenta8[[#This Row],[Nombre de Cuenta Contable]]</f>
        <v>1115040 - Saneamiento De Terreno</v>
      </c>
      <c r="H2717" s="146" t="str">
        <f>+VLOOKUP(D2717,'3. Cuentas'!A:F,6,0)</f>
        <v>SI</v>
      </c>
    </row>
    <row r="2718" spans="1:8" x14ac:dyDescent="0.25">
      <c r="A2718" s="43">
        <v>1082202</v>
      </c>
      <c r="B2718" t="s">
        <v>729</v>
      </c>
      <c r="C2718" s="43" t="s">
        <v>1578</v>
      </c>
      <c r="D2718" s="43">
        <v>1115170</v>
      </c>
      <c r="E2718" t="s">
        <v>293</v>
      </c>
      <c r="F2718" s="47" t="str">
        <f>+Centro_Cuenta8[[#This Row],[Codigo Centro Gestion]]&amp;" - "&amp;Centro_Cuenta8[[#This Row],[Nombre Centro Gestion]]</f>
        <v>1082202 - Terreno Edificio Uno Norte - Desarrollo</v>
      </c>
      <c r="G2718" s="47" t="str">
        <f>+Centro_Cuenta8[[#This Row],[Código Cuenta Contable]]&amp;" - "&amp;Centro_Cuenta8[[#This Row],[Nombre de Cuenta Contable]]</f>
        <v>1115170 - Permisos Y Otros Gastos Municipales</v>
      </c>
      <c r="H2718" s="146" t="str">
        <f>+VLOOKUP(D2718,'3. Cuentas'!A:F,6,0)</f>
        <v>SI</v>
      </c>
    </row>
    <row r="2719" spans="1:8" x14ac:dyDescent="0.25">
      <c r="A2719" s="43">
        <v>1082202</v>
      </c>
      <c r="B2719" t="s">
        <v>729</v>
      </c>
      <c r="C2719" s="43" t="s">
        <v>1578</v>
      </c>
      <c r="D2719" s="43">
        <v>1115240</v>
      </c>
      <c r="E2719" t="s">
        <v>294</v>
      </c>
      <c r="F2719" s="47" t="str">
        <f>+Centro_Cuenta8[[#This Row],[Codigo Centro Gestion]]&amp;" - "&amp;Centro_Cuenta8[[#This Row],[Nombre Centro Gestion]]</f>
        <v>1082202 - Terreno Edificio Uno Norte - Desarrollo</v>
      </c>
      <c r="G2719" s="47" t="str">
        <f>+Centro_Cuenta8[[#This Row],[Código Cuenta Contable]]&amp;" - "&amp;Centro_Cuenta8[[#This Row],[Nombre de Cuenta Contable]]</f>
        <v>1115240 - Estudios Y Asesorias Técnicas</v>
      </c>
      <c r="H2719" s="146" t="str">
        <f>+VLOOKUP(D2719,'3. Cuentas'!A:F,6,0)</f>
        <v>SI</v>
      </c>
    </row>
    <row r="2720" spans="1:8" x14ac:dyDescent="0.25">
      <c r="A2720" s="43">
        <v>1082202</v>
      </c>
      <c r="B2720" t="s">
        <v>729</v>
      </c>
      <c r="C2720" s="43" t="s">
        <v>1578</v>
      </c>
      <c r="D2720" s="43">
        <v>4203090</v>
      </c>
      <c r="E2720" t="s">
        <v>192</v>
      </c>
      <c r="F2720" s="47" t="str">
        <f>+Centro_Cuenta8[[#This Row],[Codigo Centro Gestion]]&amp;" - "&amp;Centro_Cuenta8[[#This Row],[Nombre Centro Gestion]]</f>
        <v>1082202 - Terreno Edificio Uno Norte - Desarrollo</v>
      </c>
      <c r="G2720" s="47" t="str">
        <f>+Centro_Cuenta8[[#This Row],[Código Cuenta Contable]]&amp;" - "&amp;Centro_Cuenta8[[#This Row],[Nombre de Cuenta Contable]]</f>
        <v>4203090 - Gastos Legales Y Notariales Proyecto</v>
      </c>
      <c r="H2720" s="146" t="str">
        <f>+VLOOKUP(D2720,'3. Cuentas'!A:F,6,0)</f>
        <v>SI</v>
      </c>
    </row>
    <row r="2721" spans="1:8" x14ac:dyDescent="0.25">
      <c r="A2721" s="43">
        <v>1083202</v>
      </c>
      <c r="B2721" t="s">
        <v>730</v>
      </c>
      <c r="C2721" s="43" t="s">
        <v>1578</v>
      </c>
      <c r="D2721" s="43">
        <v>1115040</v>
      </c>
      <c r="E2721" t="s">
        <v>291</v>
      </c>
      <c r="F2721" s="47" t="str">
        <f>+Centro_Cuenta8[[#This Row],[Codigo Centro Gestion]]&amp;" - "&amp;Centro_Cuenta8[[#This Row],[Nombre Centro Gestion]]</f>
        <v>1083202 - Terreno Bulnes Labbe - Desarrollo</v>
      </c>
      <c r="G2721" s="47" t="str">
        <f>+Centro_Cuenta8[[#This Row],[Código Cuenta Contable]]&amp;" - "&amp;Centro_Cuenta8[[#This Row],[Nombre de Cuenta Contable]]</f>
        <v>1115040 - Saneamiento De Terreno</v>
      </c>
      <c r="H2721" s="146" t="str">
        <f>+VLOOKUP(D2721,'3. Cuentas'!A:F,6,0)</f>
        <v>SI</v>
      </c>
    </row>
    <row r="2722" spans="1:8" x14ac:dyDescent="0.25">
      <c r="A2722" s="43">
        <v>1083202</v>
      </c>
      <c r="B2722" t="s">
        <v>730</v>
      </c>
      <c r="C2722" s="43" t="s">
        <v>1578</v>
      </c>
      <c r="D2722" s="43">
        <v>1115170</v>
      </c>
      <c r="E2722" t="s">
        <v>293</v>
      </c>
      <c r="F2722" s="47" t="str">
        <f>+Centro_Cuenta8[[#This Row],[Codigo Centro Gestion]]&amp;" - "&amp;Centro_Cuenta8[[#This Row],[Nombre Centro Gestion]]</f>
        <v>1083202 - Terreno Bulnes Labbe - Desarrollo</v>
      </c>
      <c r="G2722" s="47" t="str">
        <f>+Centro_Cuenta8[[#This Row],[Código Cuenta Contable]]&amp;" - "&amp;Centro_Cuenta8[[#This Row],[Nombre de Cuenta Contable]]</f>
        <v>1115170 - Permisos Y Otros Gastos Municipales</v>
      </c>
      <c r="H2722" s="146" t="str">
        <f>+VLOOKUP(D2722,'3. Cuentas'!A:F,6,0)</f>
        <v>SI</v>
      </c>
    </row>
    <row r="2723" spans="1:8" x14ac:dyDescent="0.25">
      <c r="A2723" s="43">
        <v>1083202</v>
      </c>
      <c r="B2723" t="s">
        <v>730</v>
      </c>
      <c r="C2723" s="43" t="s">
        <v>1578</v>
      </c>
      <c r="D2723" s="43">
        <v>1115240</v>
      </c>
      <c r="E2723" t="s">
        <v>294</v>
      </c>
      <c r="F2723" s="47" t="str">
        <f>+Centro_Cuenta8[[#This Row],[Codigo Centro Gestion]]&amp;" - "&amp;Centro_Cuenta8[[#This Row],[Nombre Centro Gestion]]</f>
        <v>1083202 - Terreno Bulnes Labbe - Desarrollo</v>
      </c>
      <c r="G2723" s="47" t="str">
        <f>+Centro_Cuenta8[[#This Row],[Código Cuenta Contable]]&amp;" - "&amp;Centro_Cuenta8[[#This Row],[Nombre de Cuenta Contable]]</f>
        <v>1115240 - Estudios Y Asesorias Técnicas</v>
      </c>
      <c r="H2723" s="146" t="str">
        <f>+VLOOKUP(D2723,'3. Cuentas'!A:F,6,0)</f>
        <v>SI</v>
      </c>
    </row>
    <row r="2724" spans="1:8" x14ac:dyDescent="0.25">
      <c r="A2724" s="43">
        <v>1083202</v>
      </c>
      <c r="B2724" t="s">
        <v>730</v>
      </c>
      <c r="C2724" s="43" t="s">
        <v>1578</v>
      </c>
      <c r="D2724" s="43">
        <v>4203090</v>
      </c>
      <c r="E2724" t="s">
        <v>192</v>
      </c>
      <c r="F2724" s="47" t="str">
        <f>+Centro_Cuenta8[[#This Row],[Codigo Centro Gestion]]&amp;" - "&amp;Centro_Cuenta8[[#This Row],[Nombre Centro Gestion]]</f>
        <v>1083202 - Terreno Bulnes Labbe - Desarrollo</v>
      </c>
      <c r="G2724" s="47" t="str">
        <f>+Centro_Cuenta8[[#This Row],[Código Cuenta Contable]]&amp;" - "&amp;Centro_Cuenta8[[#This Row],[Nombre de Cuenta Contable]]</f>
        <v>4203090 - Gastos Legales Y Notariales Proyecto</v>
      </c>
      <c r="H2724" s="146" t="str">
        <f>+VLOOKUP(D2724,'3. Cuentas'!A:F,6,0)</f>
        <v>SI</v>
      </c>
    </row>
    <row r="2725" spans="1:8" x14ac:dyDescent="0.25">
      <c r="A2725" s="43">
        <v>1087202</v>
      </c>
      <c r="B2725" t="s">
        <v>731</v>
      </c>
      <c r="C2725" s="43" t="s">
        <v>1578</v>
      </c>
      <c r="D2725" s="43">
        <v>1115040</v>
      </c>
      <c r="E2725" t="s">
        <v>291</v>
      </c>
      <c r="F2725" s="47" t="str">
        <f>+Centro_Cuenta8[[#This Row],[Codigo Centro Gestion]]&amp;" - "&amp;Centro_Cuenta8[[#This Row],[Nombre Centro Gestion]]</f>
        <v>1087202 - Terreno Sanz/Constantino - Desarrollo</v>
      </c>
      <c r="G2725" s="47" t="str">
        <f>+Centro_Cuenta8[[#This Row],[Código Cuenta Contable]]&amp;" - "&amp;Centro_Cuenta8[[#This Row],[Nombre de Cuenta Contable]]</f>
        <v>1115040 - Saneamiento De Terreno</v>
      </c>
      <c r="H2725" s="146" t="str">
        <f>+VLOOKUP(D2725,'3. Cuentas'!A:F,6,0)</f>
        <v>SI</v>
      </c>
    </row>
    <row r="2726" spans="1:8" x14ac:dyDescent="0.25">
      <c r="A2726" s="43">
        <v>1087202</v>
      </c>
      <c r="B2726" t="s">
        <v>731</v>
      </c>
      <c r="C2726" s="43" t="s">
        <v>1578</v>
      </c>
      <c r="D2726" s="43">
        <v>1115170</v>
      </c>
      <c r="E2726" t="s">
        <v>293</v>
      </c>
      <c r="F2726" s="47" t="str">
        <f>+Centro_Cuenta8[[#This Row],[Codigo Centro Gestion]]&amp;" - "&amp;Centro_Cuenta8[[#This Row],[Nombre Centro Gestion]]</f>
        <v>1087202 - Terreno Sanz/Constantino - Desarrollo</v>
      </c>
      <c r="G2726" s="47" t="str">
        <f>+Centro_Cuenta8[[#This Row],[Código Cuenta Contable]]&amp;" - "&amp;Centro_Cuenta8[[#This Row],[Nombre de Cuenta Contable]]</f>
        <v>1115170 - Permisos Y Otros Gastos Municipales</v>
      </c>
      <c r="H2726" s="146" t="str">
        <f>+VLOOKUP(D2726,'3. Cuentas'!A:F,6,0)</f>
        <v>SI</v>
      </c>
    </row>
    <row r="2727" spans="1:8" x14ac:dyDescent="0.25">
      <c r="A2727" s="43">
        <v>1087202</v>
      </c>
      <c r="B2727" t="s">
        <v>731</v>
      </c>
      <c r="C2727" s="43" t="s">
        <v>1578</v>
      </c>
      <c r="D2727" s="43">
        <v>1115240</v>
      </c>
      <c r="E2727" t="s">
        <v>294</v>
      </c>
      <c r="F2727" s="47" t="str">
        <f>+Centro_Cuenta8[[#This Row],[Codigo Centro Gestion]]&amp;" - "&amp;Centro_Cuenta8[[#This Row],[Nombre Centro Gestion]]</f>
        <v>1087202 - Terreno Sanz/Constantino - Desarrollo</v>
      </c>
      <c r="G2727" s="47" t="str">
        <f>+Centro_Cuenta8[[#This Row],[Código Cuenta Contable]]&amp;" - "&amp;Centro_Cuenta8[[#This Row],[Nombre de Cuenta Contable]]</f>
        <v>1115240 - Estudios Y Asesorias Técnicas</v>
      </c>
      <c r="H2727" s="146" t="str">
        <f>+VLOOKUP(D2727,'3. Cuentas'!A:F,6,0)</f>
        <v>SI</v>
      </c>
    </row>
    <row r="2728" spans="1:8" x14ac:dyDescent="0.25">
      <c r="A2728" s="43">
        <v>1087202</v>
      </c>
      <c r="B2728" t="s">
        <v>731</v>
      </c>
      <c r="C2728" s="43" t="s">
        <v>1578</v>
      </c>
      <c r="D2728" s="43">
        <v>4203090</v>
      </c>
      <c r="E2728" t="s">
        <v>192</v>
      </c>
      <c r="F2728" s="47" t="str">
        <f>+Centro_Cuenta8[[#This Row],[Codigo Centro Gestion]]&amp;" - "&amp;Centro_Cuenta8[[#This Row],[Nombre Centro Gestion]]</f>
        <v>1087202 - Terreno Sanz/Constantino - Desarrollo</v>
      </c>
      <c r="G2728" s="47" t="str">
        <f>+Centro_Cuenta8[[#This Row],[Código Cuenta Contable]]&amp;" - "&amp;Centro_Cuenta8[[#This Row],[Nombre de Cuenta Contable]]</f>
        <v>4203090 - Gastos Legales Y Notariales Proyecto</v>
      </c>
      <c r="H2728" s="146" t="str">
        <f>+VLOOKUP(D2728,'3. Cuentas'!A:F,6,0)</f>
        <v>SI</v>
      </c>
    </row>
    <row r="2729" spans="1:8" x14ac:dyDescent="0.25">
      <c r="A2729" s="43">
        <v>1088202</v>
      </c>
      <c r="B2729" t="s">
        <v>732</v>
      </c>
      <c r="C2729" s="43" t="s">
        <v>1578</v>
      </c>
      <c r="D2729" s="43">
        <v>1115040</v>
      </c>
      <c r="E2729" t="s">
        <v>291</v>
      </c>
      <c r="F2729" s="47" t="str">
        <f>+Centro_Cuenta8[[#This Row],[Codigo Centro Gestion]]&amp;" - "&amp;Centro_Cuenta8[[#This Row],[Nombre Centro Gestion]]</f>
        <v>1088202 - Terreno Vista Las Palmas – Desarrollo</v>
      </c>
      <c r="G2729" s="47" t="str">
        <f>+Centro_Cuenta8[[#This Row],[Código Cuenta Contable]]&amp;" - "&amp;Centro_Cuenta8[[#This Row],[Nombre de Cuenta Contable]]</f>
        <v>1115040 - Saneamiento De Terreno</v>
      </c>
      <c r="H2729" s="146" t="str">
        <f>+VLOOKUP(D2729,'3. Cuentas'!A:F,6,0)</f>
        <v>SI</v>
      </c>
    </row>
    <row r="2730" spans="1:8" x14ac:dyDescent="0.25">
      <c r="A2730" s="43">
        <v>1088202</v>
      </c>
      <c r="B2730" t="s">
        <v>732</v>
      </c>
      <c r="C2730" s="43" t="s">
        <v>1578</v>
      </c>
      <c r="D2730" s="43">
        <v>1115170</v>
      </c>
      <c r="E2730" t="s">
        <v>293</v>
      </c>
      <c r="F2730" s="47" t="str">
        <f>+Centro_Cuenta8[[#This Row],[Codigo Centro Gestion]]&amp;" - "&amp;Centro_Cuenta8[[#This Row],[Nombre Centro Gestion]]</f>
        <v>1088202 - Terreno Vista Las Palmas – Desarrollo</v>
      </c>
      <c r="G2730" s="47" t="str">
        <f>+Centro_Cuenta8[[#This Row],[Código Cuenta Contable]]&amp;" - "&amp;Centro_Cuenta8[[#This Row],[Nombre de Cuenta Contable]]</f>
        <v>1115170 - Permisos Y Otros Gastos Municipales</v>
      </c>
      <c r="H2730" s="146" t="str">
        <f>+VLOOKUP(D2730,'3. Cuentas'!A:F,6,0)</f>
        <v>SI</v>
      </c>
    </row>
    <row r="2731" spans="1:8" x14ac:dyDescent="0.25">
      <c r="A2731" s="43">
        <v>1088202</v>
      </c>
      <c r="B2731" t="s">
        <v>732</v>
      </c>
      <c r="C2731" s="43" t="s">
        <v>1578</v>
      </c>
      <c r="D2731" s="43">
        <v>1115240</v>
      </c>
      <c r="E2731" t="s">
        <v>294</v>
      </c>
      <c r="F2731" s="47" t="str">
        <f>+Centro_Cuenta8[[#This Row],[Codigo Centro Gestion]]&amp;" - "&amp;Centro_Cuenta8[[#This Row],[Nombre Centro Gestion]]</f>
        <v>1088202 - Terreno Vista Las Palmas – Desarrollo</v>
      </c>
      <c r="G2731" s="47" t="str">
        <f>+Centro_Cuenta8[[#This Row],[Código Cuenta Contable]]&amp;" - "&amp;Centro_Cuenta8[[#This Row],[Nombre de Cuenta Contable]]</f>
        <v>1115240 - Estudios Y Asesorias Técnicas</v>
      </c>
      <c r="H2731" s="146" t="str">
        <f>+VLOOKUP(D2731,'3. Cuentas'!A:F,6,0)</f>
        <v>SI</v>
      </c>
    </row>
    <row r="2732" spans="1:8" x14ac:dyDescent="0.25">
      <c r="A2732" s="43">
        <v>1088202</v>
      </c>
      <c r="B2732" t="s">
        <v>732</v>
      </c>
      <c r="C2732" s="43" t="s">
        <v>1578</v>
      </c>
      <c r="D2732" s="43">
        <v>4203090</v>
      </c>
      <c r="E2732" t="s">
        <v>192</v>
      </c>
      <c r="F2732" s="47" t="str">
        <f>+Centro_Cuenta8[[#This Row],[Codigo Centro Gestion]]&amp;" - "&amp;Centro_Cuenta8[[#This Row],[Nombre Centro Gestion]]</f>
        <v>1088202 - Terreno Vista Las Palmas – Desarrollo</v>
      </c>
      <c r="G2732" s="47" t="str">
        <f>+Centro_Cuenta8[[#This Row],[Código Cuenta Contable]]&amp;" - "&amp;Centro_Cuenta8[[#This Row],[Nombre de Cuenta Contable]]</f>
        <v>4203090 - Gastos Legales Y Notariales Proyecto</v>
      </c>
      <c r="H2732" s="146" t="str">
        <f>+VLOOKUP(D2732,'3. Cuentas'!A:F,6,0)</f>
        <v>SI</v>
      </c>
    </row>
    <row r="2733" spans="1:8" x14ac:dyDescent="0.25">
      <c r="A2733" s="43">
        <v>1089202</v>
      </c>
      <c r="B2733" t="s">
        <v>733</v>
      </c>
      <c r="C2733" s="43" t="s">
        <v>1578</v>
      </c>
      <c r="D2733" s="43">
        <v>1115040</v>
      </c>
      <c r="E2733" t="s">
        <v>291</v>
      </c>
      <c r="F2733" s="47" t="str">
        <f>+Centro_Cuenta8[[#This Row],[Codigo Centro Gestion]]&amp;" - "&amp;Centro_Cuenta8[[#This Row],[Nombre Centro Gestion]]</f>
        <v>1089202 - Terreno Maipú- Antofagasta– Desarrollo</v>
      </c>
      <c r="G2733" s="47" t="str">
        <f>+Centro_Cuenta8[[#This Row],[Código Cuenta Contable]]&amp;" - "&amp;Centro_Cuenta8[[#This Row],[Nombre de Cuenta Contable]]</f>
        <v>1115040 - Saneamiento De Terreno</v>
      </c>
      <c r="H2733" s="146" t="str">
        <f>+VLOOKUP(D2733,'3. Cuentas'!A:F,6,0)</f>
        <v>SI</v>
      </c>
    </row>
    <row r="2734" spans="1:8" x14ac:dyDescent="0.25">
      <c r="A2734" s="43">
        <v>1089202</v>
      </c>
      <c r="B2734" t="s">
        <v>733</v>
      </c>
      <c r="C2734" s="43" t="s">
        <v>1578</v>
      </c>
      <c r="D2734" s="43">
        <v>1115170</v>
      </c>
      <c r="E2734" t="s">
        <v>293</v>
      </c>
      <c r="F2734" s="47" t="str">
        <f>+Centro_Cuenta8[[#This Row],[Codigo Centro Gestion]]&amp;" - "&amp;Centro_Cuenta8[[#This Row],[Nombre Centro Gestion]]</f>
        <v>1089202 - Terreno Maipú- Antofagasta– Desarrollo</v>
      </c>
      <c r="G2734" s="47" t="str">
        <f>+Centro_Cuenta8[[#This Row],[Código Cuenta Contable]]&amp;" - "&amp;Centro_Cuenta8[[#This Row],[Nombre de Cuenta Contable]]</f>
        <v>1115170 - Permisos Y Otros Gastos Municipales</v>
      </c>
      <c r="H2734" s="146" t="str">
        <f>+VLOOKUP(D2734,'3. Cuentas'!A:F,6,0)</f>
        <v>SI</v>
      </c>
    </row>
    <row r="2735" spans="1:8" x14ac:dyDescent="0.25">
      <c r="A2735" s="43">
        <v>1089202</v>
      </c>
      <c r="B2735" t="s">
        <v>733</v>
      </c>
      <c r="C2735" s="43" t="s">
        <v>1578</v>
      </c>
      <c r="D2735" s="43">
        <v>1115240</v>
      </c>
      <c r="E2735" t="s">
        <v>294</v>
      </c>
      <c r="F2735" s="47" t="str">
        <f>+Centro_Cuenta8[[#This Row],[Codigo Centro Gestion]]&amp;" - "&amp;Centro_Cuenta8[[#This Row],[Nombre Centro Gestion]]</f>
        <v>1089202 - Terreno Maipú- Antofagasta– Desarrollo</v>
      </c>
      <c r="G2735" s="47" t="str">
        <f>+Centro_Cuenta8[[#This Row],[Código Cuenta Contable]]&amp;" - "&amp;Centro_Cuenta8[[#This Row],[Nombre de Cuenta Contable]]</f>
        <v>1115240 - Estudios Y Asesorias Técnicas</v>
      </c>
      <c r="H2735" s="146" t="str">
        <f>+VLOOKUP(D2735,'3. Cuentas'!A:F,6,0)</f>
        <v>SI</v>
      </c>
    </row>
    <row r="2736" spans="1:8" x14ac:dyDescent="0.25">
      <c r="A2736" s="43">
        <v>1089202</v>
      </c>
      <c r="B2736" t="s">
        <v>733</v>
      </c>
      <c r="C2736" s="43" t="s">
        <v>1578</v>
      </c>
      <c r="D2736" s="43">
        <v>4203090</v>
      </c>
      <c r="E2736" t="s">
        <v>192</v>
      </c>
      <c r="F2736" s="47" t="str">
        <f>+Centro_Cuenta8[[#This Row],[Codigo Centro Gestion]]&amp;" - "&amp;Centro_Cuenta8[[#This Row],[Nombre Centro Gestion]]</f>
        <v>1089202 - Terreno Maipú- Antofagasta– Desarrollo</v>
      </c>
      <c r="G2736" s="47" t="str">
        <f>+Centro_Cuenta8[[#This Row],[Código Cuenta Contable]]&amp;" - "&amp;Centro_Cuenta8[[#This Row],[Nombre de Cuenta Contable]]</f>
        <v>4203090 - Gastos Legales Y Notariales Proyecto</v>
      </c>
      <c r="H2736" s="146" t="str">
        <f>+VLOOKUP(D2736,'3. Cuentas'!A:F,6,0)</f>
        <v>SI</v>
      </c>
    </row>
    <row r="2737" spans="1:8" x14ac:dyDescent="0.25">
      <c r="A2737" s="43">
        <v>1090202</v>
      </c>
      <c r="B2737" t="s">
        <v>734</v>
      </c>
      <c r="C2737" s="43" t="s">
        <v>1578</v>
      </c>
      <c r="D2737" s="43">
        <v>1115040</v>
      </c>
      <c r="E2737" t="s">
        <v>291</v>
      </c>
      <c r="F2737" s="47" t="str">
        <f>+Centro_Cuenta8[[#This Row],[Codigo Centro Gestion]]&amp;" - "&amp;Centro_Cuenta8[[#This Row],[Nombre Centro Gestion]]</f>
        <v xml:space="preserve">1090202 - Terreno Edificio Parque Urbano – Inversiones </v>
      </c>
      <c r="G2737" s="47" t="str">
        <f>+Centro_Cuenta8[[#This Row],[Código Cuenta Contable]]&amp;" - "&amp;Centro_Cuenta8[[#This Row],[Nombre de Cuenta Contable]]</f>
        <v>1115040 - Saneamiento De Terreno</v>
      </c>
      <c r="H2737" s="146" t="str">
        <f>+VLOOKUP(D2737,'3. Cuentas'!A:F,6,0)</f>
        <v>SI</v>
      </c>
    </row>
    <row r="2738" spans="1:8" x14ac:dyDescent="0.25">
      <c r="A2738" s="43">
        <v>1090202</v>
      </c>
      <c r="B2738" t="s">
        <v>734</v>
      </c>
      <c r="C2738" s="43" t="s">
        <v>1578</v>
      </c>
      <c r="D2738" s="43">
        <v>1115170</v>
      </c>
      <c r="E2738" t="s">
        <v>293</v>
      </c>
      <c r="F2738" s="47" t="str">
        <f>+Centro_Cuenta8[[#This Row],[Codigo Centro Gestion]]&amp;" - "&amp;Centro_Cuenta8[[#This Row],[Nombre Centro Gestion]]</f>
        <v xml:space="preserve">1090202 - Terreno Edificio Parque Urbano – Inversiones </v>
      </c>
      <c r="G2738" s="47" t="str">
        <f>+Centro_Cuenta8[[#This Row],[Código Cuenta Contable]]&amp;" - "&amp;Centro_Cuenta8[[#This Row],[Nombre de Cuenta Contable]]</f>
        <v>1115170 - Permisos Y Otros Gastos Municipales</v>
      </c>
      <c r="H2738" s="146" t="str">
        <f>+VLOOKUP(D2738,'3. Cuentas'!A:F,6,0)</f>
        <v>SI</v>
      </c>
    </row>
    <row r="2739" spans="1:8" x14ac:dyDescent="0.25">
      <c r="A2739" s="43">
        <v>1090202</v>
      </c>
      <c r="B2739" t="s">
        <v>734</v>
      </c>
      <c r="C2739" s="43" t="s">
        <v>1578</v>
      </c>
      <c r="D2739" s="43">
        <v>1115240</v>
      </c>
      <c r="E2739" t="s">
        <v>294</v>
      </c>
      <c r="F2739" s="47" t="str">
        <f>+Centro_Cuenta8[[#This Row],[Codigo Centro Gestion]]&amp;" - "&amp;Centro_Cuenta8[[#This Row],[Nombre Centro Gestion]]</f>
        <v xml:space="preserve">1090202 - Terreno Edificio Parque Urbano – Inversiones </v>
      </c>
      <c r="G2739" s="47" t="str">
        <f>+Centro_Cuenta8[[#This Row],[Código Cuenta Contable]]&amp;" - "&amp;Centro_Cuenta8[[#This Row],[Nombre de Cuenta Contable]]</f>
        <v>1115240 - Estudios Y Asesorias Técnicas</v>
      </c>
      <c r="H2739" s="146" t="str">
        <f>+VLOOKUP(D2739,'3. Cuentas'!A:F,6,0)</f>
        <v>SI</v>
      </c>
    </row>
    <row r="2740" spans="1:8" x14ac:dyDescent="0.25">
      <c r="A2740" s="43">
        <v>1090202</v>
      </c>
      <c r="B2740" t="s">
        <v>734</v>
      </c>
      <c r="C2740" s="43" t="s">
        <v>1578</v>
      </c>
      <c r="D2740" s="43">
        <v>4203090</v>
      </c>
      <c r="E2740" t="s">
        <v>192</v>
      </c>
      <c r="F2740" s="47" t="str">
        <f>+Centro_Cuenta8[[#This Row],[Codigo Centro Gestion]]&amp;" - "&amp;Centro_Cuenta8[[#This Row],[Nombre Centro Gestion]]</f>
        <v xml:space="preserve">1090202 - Terreno Edificio Parque Urbano – Inversiones </v>
      </c>
      <c r="G2740" s="47" t="str">
        <f>+Centro_Cuenta8[[#This Row],[Código Cuenta Contable]]&amp;" - "&amp;Centro_Cuenta8[[#This Row],[Nombre de Cuenta Contable]]</f>
        <v>4203090 - Gastos Legales Y Notariales Proyecto</v>
      </c>
      <c r="H2740" s="146" t="str">
        <f>+VLOOKUP(D2740,'3. Cuentas'!A:F,6,0)</f>
        <v>SI</v>
      </c>
    </row>
    <row r="2741" spans="1:8" x14ac:dyDescent="0.25">
      <c r="A2741" s="43">
        <v>10905</v>
      </c>
      <c r="B2741" t="s">
        <v>208</v>
      </c>
      <c r="C2741" s="43" t="s">
        <v>208</v>
      </c>
      <c r="D2741" s="43">
        <v>4201039</v>
      </c>
      <c r="E2741" t="s">
        <v>103</v>
      </c>
      <c r="F2741" s="47" t="str">
        <f>+Centro_Cuenta8[[#This Row],[Codigo Centro Gestion]]&amp;" - "&amp;Centro_Cuenta8[[#This Row],[Nombre Centro Gestion]]</f>
        <v>10905 - Bienestar Obra</v>
      </c>
      <c r="G2741" s="47" t="str">
        <f>+Centro_Cuenta8[[#This Row],[Código Cuenta Contable]]&amp;" - "&amp;Centro_Cuenta8[[#This Row],[Nombre de Cuenta Contable]]</f>
        <v>4201039 - Bienestar</v>
      </c>
      <c r="H2741" s="146" t="str">
        <f>+VLOOKUP(D2741,'3. Cuentas'!A:F,6,0)</f>
        <v>SI</v>
      </c>
    </row>
    <row r="2742" spans="1:8" x14ac:dyDescent="0.25">
      <c r="A2742" s="43">
        <v>10912</v>
      </c>
      <c r="B2742" t="s">
        <v>717</v>
      </c>
      <c r="C2742" s="43" t="s">
        <v>1528</v>
      </c>
      <c r="D2742" s="43">
        <v>4201013</v>
      </c>
      <c r="E2742" t="s">
        <v>76</v>
      </c>
      <c r="F2742" s="47" t="str">
        <f>+Centro_Cuenta8[[#This Row],[Codigo Centro Gestion]]&amp;" - "&amp;Centro_Cuenta8[[#This Row],[Nombre Centro Gestion]]</f>
        <v>10912 - PRODUCTIVIDAD CONSTRUCTORA (NO VIGENTE)</v>
      </c>
      <c r="G2742" s="47" t="str">
        <f>+Centro_Cuenta8[[#This Row],[Código Cuenta Contable]]&amp;" - "&amp;Centro_Cuenta8[[#This Row],[Nombre de Cuenta Contable]]</f>
        <v>4201013 - Eventos Del Personal</v>
      </c>
      <c r="H2742" s="146" t="str">
        <f>+VLOOKUP(D2742,'3. Cuentas'!A:F,6,0)</f>
        <v>SI</v>
      </c>
    </row>
    <row r="2743" spans="1:8" x14ac:dyDescent="0.25">
      <c r="A2743" s="43">
        <v>10912</v>
      </c>
      <c r="B2743" t="s">
        <v>717</v>
      </c>
      <c r="C2743" s="43" t="s">
        <v>1528</v>
      </c>
      <c r="D2743" s="43">
        <v>4202009</v>
      </c>
      <c r="E2743" t="s">
        <v>80</v>
      </c>
      <c r="F2743" s="47" t="str">
        <f>+Centro_Cuenta8[[#This Row],[Codigo Centro Gestion]]&amp;" - "&amp;Centro_Cuenta8[[#This Row],[Nombre Centro Gestion]]</f>
        <v>10912 - PRODUCTIVIDAD CONSTRUCTORA (NO VIGENTE)</v>
      </c>
      <c r="G2743" s="47" t="str">
        <f>+Centro_Cuenta8[[#This Row],[Código Cuenta Contable]]&amp;" - "&amp;Centro_Cuenta8[[#This Row],[Nombre de Cuenta Contable]]</f>
        <v>4202009 - Gastos Viajes Y Traslados</v>
      </c>
      <c r="H2743" s="146" t="str">
        <f>+VLOOKUP(D2743,'3. Cuentas'!A:F,6,0)</f>
        <v>SI</v>
      </c>
    </row>
    <row r="2744" spans="1:8" x14ac:dyDescent="0.25">
      <c r="A2744" s="43">
        <v>1092202</v>
      </c>
      <c r="B2744" t="s">
        <v>735</v>
      </c>
      <c r="C2744" s="43" t="s">
        <v>1578</v>
      </c>
      <c r="D2744" s="43">
        <v>1115040</v>
      </c>
      <c r="E2744" t="s">
        <v>291</v>
      </c>
      <c r="F2744" s="47" t="str">
        <f>+Centro_Cuenta8[[#This Row],[Codigo Centro Gestion]]&amp;" - "&amp;Centro_Cuenta8[[#This Row],[Nombre Centro Gestion]]</f>
        <v>1092202 - Terreno Briones Luco - Inversiones</v>
      </c>
      <c r="G2744" s="47" t="str">
        <f>+Centro_Cuenta8[[#This Row],[Código Cuenta Contable]]&amp;" - "&amp;Centro_Cuenta8[[#This Row],[Nombre de Cuenta Contable]]</f>
        <v>1115040 - Saneamiento De Terreno</v>
      </c>
      <c r="H2744" s="146" t="str">
        <f>+VLOOKUP(D2744,'3. Cuentas'!A:F,6,0)</f>
        <v>SI</v>
      </c>
    </row>
    <row r="2745" spans="1:8" x14ac:dyDescent="0.25">
      <c r="A2745" s="43">
        <v>1092202</v>
      </c>
      <c r="B2745" t="s">
        <v>735</v>
      </c>
      <c r="C2745" s="43" t="s">
        <v>1578</v>
      </c>
      <c r="D2745" s="43">
        <v>1115170</v>
      </c>
      <c r="E2745" t="s">
        <v>293</v>
      </c>
      <c r="F2745" s="47" t="str">
        <f>+Centro_Cuenta8[[#This Row],[Codigo Centro Gestion]]&amp;" - "&amp;Centro_Cuenta8[[#This Row],[Nombre Centro Gestion]]</f>
        <v>1092202 - Terreno Briones Luco - Inversiones</v>
      </c>
      <c r="G2745" s="47" t="str">
        <f>+Centro_Cuenta8[[#This Row],[Código Cuenta Contable]]&amp;" - "&amp;Centro_Cuenta8[[#This Row],[Nombre de Cuenta Contable]]</f>
        <v>1115170 - Permisos Y Otros Gastos Municipales</v>
      </c>
      <c r="H2745" s="146" t="str">
        <f>+VLOOKUP(D2745,'3. Cuentas'!A:F,6,0)</f>
        <v>SI</v>
      </c>
    </row>
    <row r="2746" spans="1:8" x14ac:dyDescent="0.25">
      <c r="A2746" s="43">
        <v>1092202</v>
      </c>
      <c r="B2746" t="s">
        <v>735</v>
      </c>
      <c r="C2746" s="43" t="s">
        <v>1578</v>
      </c>
      <c r="D2746" s="43">
        <v>1115240</v>
      </c>
      <c r="E2746" t="s">
        <v>294</v>
      </c>
      <c r="F2746" s="47" t="str">
        <f>+Centro_Cuenta8[[#This Row],[Codigo Centro Gestion]]&amp;" - "&amp;Centro_Cuenta8[[#This Row],[Nombre Centro Gestion]]</f>
        <v>1092202 - Terreno Briones Luco - Inversiones</v>
      </c>
      <c r="G2746" s="47" t="str">
        <f>+Centro_Cuenta8[[#This Row],[Código Cuenta Contable]]&amp;" - "&amp;Centro_Cuenta8[[#This Row],[Nombre de Cuenta Contable]]</f>
        <v>1115240 - Estudios Y Asesorias Técnicas</v>
      </c>
      <c r="H2746" s="146" t="str">
        <f>+VLOOKUP(D2746,'3. Cuentas'!A:F,6,0)</f>
        <v>SI</v>
      </c>
    </row>
    <row r="2747" spans="1:8" x14ac:dyDescent="0.25">
      <c r="A2747" s="43">
        <v>1092202</v>
      </c>
      <c r="B2747" t="s">
        <v>735</v>
      </c>
      <c r="C2747" s="43" t="s">
        <v>1578</v>
      </c>
      <c r="D2747" s="43">
        <v>4203090</v>
      </c>
      <c r="E2747" t="s">
        <v>192</v>
      </c>
      <c r="F2747" s="47" t="str">
        <f>+Centro_Cuenta8[[#This Row],[Codigo Centro Gestion]]&amp;" - "&amp;Centro_Cuenta8[[#This Row],[Nombre Centro Gestion]]</f>
        <v>1092202 - Terreno Briones Luco - Inversiones</v>
      </c>
      <c r="G2747" s="47" t="str">
        <f>+Centro_Cuenta8[[#This Row],[Código Cuenta Contable]]&amp;" - "&amp;Centro_Cuenta8[[#This Row],[Nombre de Cuenta Contable]]</f>
        <v>4203090 - Gastos Legales Y Notariales Proyecto</v>
      </c>
      <c r="H2747" s="146" t="str">
        <f>+VLOOKUP(D2747,'3. Cuentas'!A:F,6,0)</f>
        <v>SI</v>
      </c>
    </row>
    <row r="2748" spans="1:8" x14ac:dyDescent="0.25">
      <c r="A2748" s="43">
        <v>1093202</v>
      </c>
      <c r="B2748" t="s">
        <v>736</v>
      </c>
      <c r="C2748" s="43" t="s">
        <v>1578</v>
      </c>
      <c r="D2748" s="43">
        <v>1115040</v>
      </c>
      <c r="E2748" t="s">
        <v>291</v>
      </c>
      <c r="F2748" s="47" t="str">
        <f>+Centro_Cuenta8[[#This Row],[Codigo Centro Gestion]]&amp;" - "&amp;Centro_Cuenta8[[#This Row],[Nombre Centro Gestion]]</f>
        <v>1093202 - Terreno Alto Viña I – Inversiones</v>
      </c>
      <c r="G2748" s="47" t="str">
        <f>+Centro_Cuenta8[[#This Row],[Código Cuenta Contable]]&amp;" - "&amp;Centro_Cuenta8[[#This Row],[Nombre de Cuenta Contable]]</f>
        <v>1115040 - Saneamiento De Terreno</v>
      </c>
      <c r="H2748" s="146" t="str">
        <f>+VLOOKUP(D2748,'3. Cuentas'!A:F,6,0)</f>
        <v>SI</v>
      </c>
    </row>
    <row r="2749" spans="1:8" x14ac:dyDescent="0.25">
      <c r="A2749" s="43">
        <v>1093202</v>
      </c>
      <c r="B2749" t="s">
        <v>736</v>
      </c>
      <c r="C2749" s="43" t="s">
        <v>1578</v>
      </c>
      <c r="D2749" s="43">
        <v>1115170</v>
      </c>
      <c r="E2749" t="s">
        <v>293</v>
      </c>
      <c r="F2749" s="47" t="str">
        <f>+Centro_Cuenta8[[#This Row],[Codigo Centro Gestion]]&amp;" - "&amp;Centro_Cuenta8[[#This Row],[Nombre Centro Gestion]]</f>
        <v>1093202 - Terreno Alto Viña I – Inversiones</v>
      </c>
      <c r="G2749" s="47" t="str">
        <f>+Centro_Cuenta8[[#This Row],[Código Cuenta Contable]]&amp;" - "&amp;Centro_Cuenta8[[#This Row],[Nombre de Cuenta Contable]]</f>
        <v>1115170 - Permisos Y Otros Gastos Municipales</v>
      </c>
      <c r="H2749" s="146" t="str">
        <f>+VLOOKUP(D2749,'3. Cuentas'!A:F,6,0)</f>
        <v>SI</v>
      </c>
    </row>
    <row r="2750" spans="1:8" x14ac:dyDescent="0.25">
      <c r="A2750" s="43">
        <v>1093202</v>
      </c>
      <c r="B2750" t="s">
        <v>736</v>
      </c>
      <c r="C2750" s="43" t="s">
        <v>1578</v>
      </c>
      <c r="D2750" s="43">
        <v>1115240</v>
      </c>
      <c r="E2750" t="s">
        <v>294</v>
      </c>
      <c r="F2750" s="47" t="str">
        <f>+Centro_Cuenta8[[#This Row],[Codigo Centro Gestion]]&amp;" - "&amp;Centro_Cuenta8[[#This Row],[Nombre Centro Gestion]]</f>
        <v>1093202 - Terreno Alto Viña I – Inversiones</v>
      </c>
      <c r="G2750" s="47" t="str">
        <f>+Centro_Cuenta8[[#This Row],[Código Cuenta Contable]]&amp;" - "&amp;Centro_Cuenta8[[#This Row],[Nombre de Cuenta Contable]]</f>
        <v>1115240 - Estudios Y Asesorias Técnicas</v>
      </c>
      <c r="H2750" s="146" t="str">
        <f>+VLOOKUP(D2750,'3. Cuentas'!A:F,6,0)</f>
        <v>SI</v>
      </c>
    </row>
    <row r="2751" spans="1:8" x14ac:dyDescent="0.25">
      <c r="A2751" s="43">
        <v>1093202</v>
      </c>
      <c r="B2751" t="s">
        <v>736</v>
      </c>
      <c r="C2751" s="43" t="s">
        <v>1578</v>
      </c>
      <c r="D2751" s="43">
        <v>4203090</v>
      </c>
      <c r="E2751" t="s">
        <v>192</v>
      </c>
      <c r="F2751" s="47" t="str">
        <f>+Centro_Cuenta8[[#This Row],[Codigo Centro Gestion]]&amp;" - "&amp;Centro_Cuenta8[[#This Row],[Nombre Centro Gestion]]</f>
        <v>1093202 - Terreno Alto Viña I – Inversiones</v>
      </c>
      <c r="G2751" s="47" t="str">
        <f>+Centro_Cuenta8[[#This Row],[Código Cuenta Contable]]&amp;" - "&amp;Centro_Cuenta8[[#This Row],[Nombre de Cuenta Contable]]</f>
        <v>4203090 - Gastos Legales Y Notariales Proyecto</v>
      </c>
      <c r="H2751" s="146" t="str">
        <f>+VLOOKUP(D2751,'3. Cuentas'!A:F,6,0)</f>
        <v>SI</v>
      </c>
    </row>
    <row r="2752" spans="1:8" x14ac:dyDescent="0.25">
      <c r="A2752" s="43">
        <v>1094202</v>
      </c>
      <c r="B2752" t="s">
        <v>737</v>
      </c>
      <c r="C2752" s="43" t="s">
        <v>1578</v>
      </c>
      <c r="D2752" s="43">
        <v>1115040</v>
      </c>
      <c r="E2752" t="s">
        <v>291</v>
      </c>
      <c r="F2752" s="47" t="str">
        <f>+Centro_Cuenta8[[#This Row],[Codigo Centro Gestion]]&amp;" - "&amp;Centro_Cuenta8[[#This Row],[Nombre Centro Gestion]]</f>
        <v>1094202 - Terreno Recreo – Inversiones</v>
      </c>
      <c r="G2752" s="47" t="str">
        <f>+Centro_Cuenta8[[#This Row],[Código Cuenta Contable]]&amp;" - "&amp;Centro_Cuenta8[[#This Row],[Nombre de Cuenta Contable]]</f>
        <v>1115040 - Saneamiento De Terreno</v>
      </c>
      <c r="H2752" s="146" t="str">
        <f>+VLOOKUP(D2752,'3. Cuentas'!A:F,6,0)</f>
        <v>SI</v>
      </c>
    </row>
    <row r="2753" spans="1:8" x14ac:dyDescent="0.25">
      <c r="A2753" s="43">
        <v>1094202</v>
      </c>
      <c r="B2753" t="s">
        <v>737</v>
      </c>
      <c r="C2753" s="43" t="s">
        <v>1578</v>
      </c>
      <c r="D2753" s="43">
        <v>1115170</v>
      </c>
      <c r="E2753" t="s">
        <v>293</v>
      </c>
      <c r="F2753" s="47" t="str">
        <f>+Centro_Cuenta8[[#This Row],[Codigo Centro Gestion]]&amp;" - "&amp;Centro_Cuenta8[[#This Row],[Nombre Centro Gestion]]</f>
        <v>1094202 - Terreno Recreo – Inversiones</v>
      </c>
      <c r="G2753" s="47" t="str">
        <f>+Centro_Cuenta8[[#This Row],[Código Cuenta Contable]]&amp;" - "&amp;Centro_Cuenta8[[#This Row],[Nombre de Cuenta Contable]]</f>
        <v>1115170 - Permisos Y Otros Gastos Municipales</v>
      </c>
      <c r="H2753" s="146" t="str">
        <f>+VLOOKUP(D2753,'3. Cuentas'!A:F,6,0)</f>
        <v>SI</v>
      </c>
    </row>
    <row r="2754" spans="1:8" x14ac:dyDescent="0.25">
      <c r="A2754" s="43">
        <v>1094202</v>
      </c>
      <c r="B2754" t="s">
        <v>737</v>
      </c>
      <c r="C2754" s="43" t="s">
        <v>1578</v>
      </c>
      <c r="D2754" s="43">
        <v>1115240</v>
      </c>
      <c r="E2754" t="s">
        <v>294</v>
      </c>
      <c r="F2754" s="47" t="str">
        <f>+Centro_Cuenta8[[#This Row],[Codigo Centro Gestion]]&amp;" - "&amp;Centro_Cuenta8[[#This Row],[Nombre Centro Gestion]]</f>
        <v>1094202 - Terreno Recreo – Inversiones</v>
      </c>
      <c r="G2754" s="47" t="str">
        <f>+Centro_Cuenta8[[#This Row],[Código Cuenta Contable]]&amp;" - "&amp;Centro_Cuenta8[[#This Row],[Nombre de Cuenta Contable]]</f>
        <v>1115240 - Estudios Y Asesorias Técnicas</v>
      </c>
      <c r="H2754" s="146" t="str">
        <f>+VLOOKUP(D2754,'3. Cuentas'!A:F,6,0)</f>
        <v>SI</v>
      </c>
    </row>
    <row r="2755" spans="1:8" x14ac:dyDescent="0.25">
      <c r="A2755" s="43">
        <v>1094202</v>
      </c>
      <c r="B2755" t="s">
        <v>737</v>
      </c>
      <c r="C2755" s="43" t="s">
        <v>1578</v>
      </c>
      <c r="D2755" s="43">
        <v>4203090</v>
      </c>
      <c r="E2755" t="s">
        <v>192</v>
      </c>
      <c r="F2755" s="47" t="str">
        <f>+Centro_Cuenta8[[#This Row],[Codigo Centro Gestion]]&amp;" - "&amp;Centro_Cuenta8[[#This Row],[Nombre Centro Gestion]]</f>
        <v>1094202 - Terreno Recreo – Inversiones</v>
      </c>
      <c r="G2755" s="47" t="str">
        <f>+Centro_Cuenta8[[#This Row],[Código Cuenta Contable]]&amp;" - "&amp;Centro_Cuenta8[[#This Row],[Nombre de Cuenta Contable]]</f>
        <v>4203090 - Gastos Legales Y Notariales Proyecto</v>
      </c>
      <c r="H2755" s="146" t="str">
        <f>+VLOOKUP(D2755,'3. Cuentas'!A:F,6,0)</f>
        <v>SI</v>
      </c>
    </row>
    <row r="2756" spans="1:8" x14ac:dyDescent="0.25">
      <c r="A2756" s="43">
        <v>1095202</v>
      </c>
      <c r="B2756" t="s">
        <v>738</v>
      </c>
      <c r="C2756" s="43" t="s">
        <v>1578</v>
      </c>
      <c r="D2756" s="43">
        <v>1115040</v>
      </c>
      <c r="E2756" t="s">
        <v>291</v>
      </c>
      <c r="F2756" s="47" t="str">
        <f>+Centro_Cuenta8[[#This Row],[Codigo Centro Gestion]]&amp;" - "&amp;Centro_Cuenta8[[#This Row],[Nombre Centro Gestion]]</f>
        <v>1095202 - Terreno Conde Maule – Inversiones</v>
      </c>
      <c r="G2756" s="47" t="str">
        <f>+Centro_Cuenta8[[#This Row],[Código Cuenta Contable]]&amp;" - "&amp;Centro_Cuenta8[[#This Row],[Nombre de Cuenta Contable]]</f>
        <v>1115040 - Saneamiento De Terreno</v>
      </c>
      <c r="H2756" s="146" t="str">
        <f>+VLOOKUP(D2756,'3. Cuentas'!A:F,6,0)</f>
        <v>SI</v>
      </c>
    </row>
    <row r="2757" spans="1:8" x14ac:dyDescent="0.25">
      <c r="A2757" s="43">
        <v>1095202</v>
      </c>
      <c r="B2757" t="s">
        <v>738</v>
      </c>
      <c r="C2757" s="43" t="s">
        <v>1578</v>
      </c>
      <c r="D2757" s="43">
        <v>1115170</v>
      </c>
      <c r="E2757" t="s">
        <v>293</v>
      </c>
      <c r="F2757" s="47" t="str">
        <f>+Centro_Cuenta8[[#This Row],[Codigo Centro Gestion]]&amp;" - "&amp;Centro_Cuenta8[[#This Row],[Nombre Centro Gestion]]</f>
        <v>1095202 - Terreno Conde Maule – Inversiones</v>
      </c>
      <c r="G2757" s="47" t="str">
        <f>+Centro_Cuenta8[[#This Row],[Código Cuenta Contable]]&amp;" - "&amp;Centro_Cuenta8[[#This Row],[Nombre de Cuenta Contable]]</f>
        <v>1115170 - Permisos Y Otros Gastos Municipales</v>
      </c>
      <c r="H2757" s="146" t="str">
        <f>+VLOOKUP(D2757,'3. Cuentas'!A:F,6,0)</f>
        <v>SI</v>
      </c>
    </row>
    <row r="2758" spans="1:8" x14ac:dyDescent="0.25">
      <c r="A2758" s="43">
        <v>1095202</v>
      </c>
      <c r="B2758" t="s">
        <v>738</v>
      </c>
      <c r="C2758" s="43" t="s">
        <v>1578</v>
      </c>
      <c r="D2758" s="43">
        <v>1115240</v>
      </c>
      <c r="E2758" t="s">
        <v>294</v>
      </c>
      <c r="F2758" s="47" t="str">
        <f>+Centro_Cuenta8[[#This Row],[Codigo Centro Gestion]]&amp;" - "&amp;Centro_Cuenta8[[#This Row],[Nombre Centro Gestion]]</f>
        <v>1095202 - Terreno Conde Maule – Inversiones</v>
      </c>
      <c r="G2758" s="47" t="str">
        <f>+Centro_Cuenta8[[#This Row],[Código Cuenta Contable]]&amp;" - "&amp;Centro_Cuenta8[[#This Row],[Nombre de Cuenta Contable]]</f>
        <v>1115240 - Estudios Y Asesorias Técnicas</v>
      </c>
      <c r="H2758" s="146" t="str">
        <f>+VLOOKUP(D2758,'3. Cuentas'!A:F,6,0)</f>
        <v>SI</v>
      </c>
    </row>
    <row r="2759" spans="1:8" x14ac:dyDescent="0.25">
      <c r="A2759" s="43">
        <v>1095202</v>
      </c>
      <c r="B2759" t="s">
        <v>738</v>
      </c>
      <c r="C2759" s="43" t="s">
        <v>1578</v>
      </c>
      <c r="D2759" s="43">
        <v>4203090</v>
      </c>
      <c r="E2759" t="s">
        <v>192</v>
      </c>
      <c r="F2759" s="47" t="str">
        <f>+Centro_Cuenta8[[#This Row],[Codigo Centro Gestion]]&amp;" - "&amp;Centro_Cuenta8[[#This Row],[Nombre Centro Gestion]]</f>
        <v>1095202 - Terreno Conde Maule – Inversiones</v>
      </c>
      <c r="G2759" s="47" t="str">
        <f>+Centro_Cuenta8[[#This Row],[Código Cuenta Contable]]&amp;" - "&amp;Centro_Cuenta8[[#This Row],[Nombre de Cuenta Contable]]</f>
        <v>4203090 - Gastos Legales Y Notariales Proyecto</v>
      </c>
      <c r="H2759" s="146" t="str">
        <f>+VLOOKUP(D2759,'3. Cuentas'!A:F,6,0)</f>
        <v>SI</v>
      </c>
    </row>
    <row r="2760" spans="1:8" x14ac:dyDescent="0.25">
      <c r="A2760" s="43">
        <v>1096202</v>
      </c>
      <c r="B2760" t="s">
        <v>739</v>
      </c>
      <c r="C2760" s="43" t="s">
        <v>1578</v>
      </c>
      <c r="D2760" s="43">
        <v>1115040</v>
      </c>
      <c r="E2760" t="s">
        <v>291</v>
      </c>
      <c r="F2760" s="47" t="str">
        <f>+Centro_Cuenta8[[#This Row],[Codigo Centro Gestion]]&amp;" - "&amp;Centro_Cuenta8[[#This Row],[Nombre Centro Gestion]]</f>
        <v>1096202 - Terreno Alto Viña II – Inversiones</v>
      </c>
      <c r="G2760" s="47" t="str">
        <f>+Centro_Cuenta8[[#This Row],[Código Cuenta Contable]]&amp;" - "&amp;Centro_Cuenta8[[#This Row],[Nombre de Cuenta Contable]]</f>
        <v>1115040 - Saneamiento De Terreno</v>
      </c>
      <c r="H2760" s="146" t="str">
        <f>+VLOOKUP(D2760,'3. Cuentas'!A:F,6,0)</f>
        <v>SI</v>
      </c>
    </row>
    <row r="2761" spans="1:8" x14ac:dyDescent="0.25">
      <c r="A2761" s="43">
        <v>1096202</v>
      </c>
      <c r="B2761" t="s">
        <v>739</v>
      </c>
      <c r="C2761" s="43" t="s">
        <v>1578</v>
      </c>
      <c r="D2761" s="43">
        <v>1115170</v>
      </c>
      <c r="E2761" t="s">
        <v>293</v>
      </c>
      <c r="F2761" s="47" t="str">
        <f>+Centro_Cuenta8[[#This Row],[Codigo Centro Gestion]]&amp;" - "&amp;Centro_Cuenta8[[#This Row],[Nombre Centro Gestion]]</f>
        <v>1096202 - Terreno Alto Viña II – Inversiones</v>
      </c>
      <c r="G2761" s="47" t="str">
        <f>+Centro_Cuenta8[[#This Row],[Código Cuenta Contable]]&amp;" - "&amp;Centro_Cuenta8[[#This Row],[Nombre de Cuenta Contable]]</f>
        <v>1115170 - Permisos Y Otros Gastos Municipales</v>
      </c>
      <c r="H2761" s="146" t="str">
        <f>+VLOOKUP(D2761,'3. Cuentas'!A:F,6,0)</f>
        <v>SI</v>
      </c>
    </row>
    <row r="2762" spans="1:8" x14ac:dyDescent="0.25">
      <c r="A2762" s="43">
        <v>1096202</v>
      </c>
      <c r="B2762" t="s">
        <v>739</v>
      </c>
      <c r="C2762" s="43" t="s">
        <v>1578</v>
      </c>
      <c r="D2762" s="43">
        <v>1115240</v>
      </c>
      <c r="E2762" t="s">
        <v>294</v>
      </c>
      <c r="F2762" s="47" t="str">
        <f>+Centro_Cuenta8[[#This Row],[Codigo Centro Gestion]]&amp;" - "&amp;Centro_Cuenta8[[#This Row],[Nombre Centro Gestion]]</f>
        <v>1096202 - Terreno Alto Viña II – Inversiones</v>
      </c>
      <c r="G2762" s="47" t="str">
        <f>+Centro_Cuenta8[[#This Row],[Código Cuenta Contable]]&amp;" - "&amp;Centro_Cuenta8[[#This Row],[Nombre de Cuenta Contable]]</f>
        <v>1115240 - Estudios Y Asesorias Técnicas</v>
      </c>
      <c r="H2762" s="146" t="str">
        <f>+VLOOKUP(D2762,'3. Cuentas'!A:F,6,0)</f>
        <v>SI</v>
      </c>
    </row>
    <row r="2763" spans="1:8" x14ac:dyDescent="0.25">
      <c r="A2763" s="43">
        <v>1096202</v>
      </c>
      <c r="B2763" t="s">
        <v>739</v>
      </c>
      <c r="C2763" s="43" t="s">
        <v>1578</v>
      </c>
      <c r="D2763" s="43">
        <v>4203090</v>
      </c>
      <c r="E2763" t="s">
        <v>192</v>
      </c>
      <c r="F2763" s="47" t="str">
        <f>+Centro_Cuenta8[[#This Row],[Codigo Centro Gestion]]&amp;" - "&amp;Centro_Cuenta8[[#This Row],[Nombre Centro Gestion]]</f>
        <v>1096202 - Terreno Alto Viña II – Inversiones</v>
      </c>
      <c r="G2763" s="47" t="str">
        <f>+Centro_Cuenta8[[#This Row],[Código Cuenta Contable]]&amp;" - "&amp;Centro_Cuenta8[[#This Row],[Nombre de Cuenta Contable]]</f>
        <v>4203090 - Gastos Legales Y Notariales Proyecto</v>
      </c>
      <c r="H2763" s="146" t="str">
        <f>+VLOOKUP(D2763,'3. Cuentas'!A:F,6,0)</f>
        <v>SI</v>
      </c>
    </row>
    <row r="2764" spans="1:8" x14ac:dyDescent="0.25">
      <c r="A2764" s="43">
        <v>1097202</v>
      </c>
      <c r="B2764" t="s">
        <v>740</v>
      </c>
      <c r="C2764" s="43" t="s">
        <v>1578</v>
      </c>
      <c r="D2764" s="43">
        <v>1115040</v>
      </c>
      <c r="E2764" t="s">
        <v>291</v>
      </c>
      <c r="F2764" s="47" t="str">
        <f>+Centro_Cuenta8[[#This Row],[Codigo Centro Gestion]]&amp;" - "&amp;Centro_Cuenta8[[#This Row],[Nombre Centro Gestion]]</f>
        <v>1097202 - Terreno Alto Viña III – Inversiones</v>
      </c>
      <c r="G2764" s="47" t="str">
        <f>+Centro_Cuenta8[[#This Row],[Código Cuenta Contable]]&amp;" - "&amp;Centro_Cuenta8[[#This Row],[Nombre de Cuenta Contable]]</f>
        <v>1115040 - Saneamiento De Terreno</v>
      </c>
      <c r="H2764" s="146" t="str">
        <f>+VLOOKUP(D2764,'3. Cuentas'!A:F,6,0)</f>
        <v>SI</v>
      </c>
    </row>
    <row r="2765" spans="1:8" x14ac:dyDescent="0.25">
      <c r="A2765" s="43">
        <v>1097202</v>
      </c>
      <c r="B2765" t="s">
        <v>740</v>
      </c>
      <c r="C2765" s="43" t="s">
        <v>1578</v>
      </c>
      <c r="D2765" s="43">
        <v>1115170</v>
      </c>
      <c r="E2765" t="s">
        <v>293</v>
      </c>
      <c r="F2765" s="47" t="str">
        <f>+Centro_Cuenta8[[#This Row],[Codigo Centro Gestion]]&amp;" - "&amp;Centro_Cuenta8[[#This Row],[Nombre Centro Gestion]]</f>
        <v>1097202 - Terreno Alto Viña III – Inversiones</v>
      </c>
      <c r="G2765" s="47" t="str">
        <f>+Centro_Cuenta8[[#This Row],[Código Cuenta Contable]]&amp;" - "&amp;Centro_Cuenta8[[#This Row],[Nombre de Cuenta Contable]]</f>
        <v>1115170 - Permisos Y Otros Gastos Municipales</v>
      </c>
      <c r="H2765" s="146" t="str">
        <f>+VLOOKUP(D2765,'3. Cuentas'!A:F,6,0)</f>
        <v>SI</v>
      </c>
    </row>
    <row r="2766" spans="1:8" x14ac:dyDescent="0.25">
      <c r="A2766" s="43">
        <v>1097202</v>
      </c>
      <c r="B2766" t="s">
        <v>740</v>
      </c>
      <c r="C2766" s="43" t="s">
        <v>1578</v>
      </c>
      <c r="D2766" s="43">
        <v>1115240</v>
      </c>
      <c r="E2766" t="s">
        <v>294</v>
      </c>
      <c r="F2766" s="47" t="str">
        <f>+Centro_Cuenta8[[#This Row],[Codigo Centro Gestion]]&amp;" - "&amp;Centro_Cuenta8[[#This Row],[Nombre Centro Gestion]]</f>
        <v>1097202 - Terreno Alto Viña III – Inversiones</v>
      </c>
      <c r="G2766" s="47" t="str">
        <f>+Centro_Cuenta8[[#This Row],[Código Cuenta Contable]]&amp;" - "&amp;Centro_Cuenta8[[#This Row],[Nombre de Cuenta Contable]]</f>
        <v>1115240 - Estudios Y Asesorias Técnicas</v>
      </c>
      <c r="H2766" s="146" t="str">
        <f>+VLOOKUP(D2766,'3. Cuentas'!A:F,6,0)</f>
        <v>SI</v>
      </c>
    </row>
    <row r="2767" spans="1:8" x14ac:dyDescent="0.25">
      <c r="A2767" s="43">
        <v>1097202</v>
      </c>
      <c r="B2767" t="s">
        <v>740</v>
      </c>
      <c r="C2767" s="43" t="s">
        <v>1578</v>
      </c>
      <c r="D2767" s="43">
        <v>4203090</v>
      </c>
      <c r="E2767" t="s">
        <v>192</v>
      </c>
      <c r="F2767" s="47" t="str">
        <f>+Centro_Cuenta8[[#This Row],[Codigo Centro Gestion]]&amp;" - "&amp;Centro_Cuenta8[[#This Row],[Nombre Centro Gestion]]</f>
        <v>1097202 - Terreno Alto Viña III – Inversiones</v>
      </c>
      <c r="G2767" s="47" t="str">
        <f>+Centro_Cuenta8[[#This Row],[Código Cuenta Contable]]&amp;" - "&amp;Centro_Cuenta8[[#This Row],[Nombre de Cuenta Contable]]</f>
        <v>4203090 - Gastos Legales Y Notariales Proyecto</v>
      </c>
      <c r="H2767" s="146" t="str">
        <f>+VLOOKUP(D2767,'3. Cuentas'!A:F,6,0)</f>
        <v>SI</v>
      </c>
    </row>
    <row r="2768" spans="1:8" x14ac:dyDescent="0.25">
      <c r="A2768" s="43">
        <v>1098202</v>
      </c>
      <c r="B2768" t="s">
        <v>741</v>
      </c>
      <c r="C2768" s="43" t="s">
        <v>1578</v>
      </c>
      <c r="D2768" s="43">
        <v>1115040</v>
      </c>
      <c r="E2768" t="s">
        <v>291</v>
      </c>
      <c r="F2768" s="47" t="str">
        <f>+Centro_Cuenta8[[#This Row],[Codigo Centro Gestion]]&amp;" - "&amp;Centro_Cuenta8[[#This Row],[Nombre Centro Gestion]]</f>
        <v>1098202 - Terreno Teresa Vial – Inversiones</v>
      </c>
      <c r="G2768" s="47" t="str">
        <f>+Centro_Cuenta8[[#This Row],[Código Cuenta Contable]]&amp;" - "&amp;Centro_Cuenta8[[#This Row],[Nombre de Cuenta Contable]]</f>
        <v>1115040 - Saneamiento De Terreno</v>
      </c>
      <c r="H2768" s="146" t="str">
        <f>+VLOOKUP(D2768,'3. Cuentas'!A:F,6,0)</f>
        <v>SI</v>
      </c>
    </row>
    <row r="2769" spans="1:8" x14ac:dyDescent="0.25">
      <c r="A2769" s="43">
        <v>1098202</v>
      </c>
      <c r="B2769" t="s">
        <v>741</v>
      </c>
      <c r="C2769" s="43" t="s">
        <v>1578</v>
      </c>
      <c r="D2769" s="43">
        <v>1115170</v>
      </c>
      <c r="E2769" t="s">
        <v>293</v>
      </c>
      <c r="F2769" s="47" t="str">
        <f>+Centro_Cuenta8[[#This Row],[Codigo Centro Gestion]]&amp;" - "&amp;Centro_Cuenta8[[#This Row],[Nombre Centro Gestion]]</f>
        <v>1098202 - Terreno Teresa Vial – Inversiones</v>
      </c>
      <c r="G2769" s="47" t="str">
        <f>+Centro_Cuenta8[[#This Row],[Código Cuenta Contable]]&amp;" - "&amp;Centro_Cuenta8[[#This Row],[Nombre de Cuenta Contable]]</f>
        <v>1115170 - Permisos Y Otros Gastos Municipales</v>
      </c>
      <c r="H2769" s="146" t="str">
        <f>+VLOOKUP(D2769,'3. Cuentas'!A:F,6,0)</f>
        <v>SI</v>
      </c>
    </row>
    <row r="2770" spans="1:8" x14ac:dyDescent="0.25">
      <c r="A2770" s="43">
        <v>1098202</v>
      </c>
      <c r="B2770" t="s">
        <v>741</v>
      </c>
      <c r="C2770" s="43" t="s">
        <v>1578</v>
      </c>
      <c r="D2770" s="43">
        <v>1115240</v>
      </c>
      <c r="E2770" t="s">
        <v>294</v>
      </c>
      <c r="F2770" s="47" t="str">
        <f>+Centro_Cuenta8[[#This Row],[Codigo Centro Gestion]]&amp;" - "&amp;Centro_Cuenta8[[#This Row],[Nombre Centro Gestion]]</f>
        <v>1098202 - Terreno Teresa Vial – Inversiones</v>
      </c>
      <c r="G2770" s="47" t="str">
        <f>+Centro_Cuenta8[[#This Row],[Código Cuenta Contable]]&amp;" - "&amp;Centro_Cuenta8[[#This Row],[Nombre de Cuenta Contable]]</f>
        <v>1115240 - Estudios Y Asesorias Técnicas</v>
      </c>
      <c r="H2770" s="146" t="str">
        <f>+VLOOKUP(D2770,'3. Cuentas'!A:F,6,0)</f>
        <v>SI</v>
      </c>
    </row>
    <row r="2771" spans="1:8" x14ac:dyDescent="0.25">
      <c r="A2771" s="43">
        <v>1098202</v>
      </c>
      <c r="B2771" t="s">
        <v>741</v>
      </c>
      <c r="C2771" s="43" t="s">
        <v>1578</v>
      </c>
      <c r="D2771" s="43">
        <v>4203090</v>
      </c>
      <c r="E2771" t="s">
        <v>192</v>
      </c>
      <c r="F2771" s="47" t="str">
        <f>+Centro_Cuenta8[[#This Row],[Codigo Centro Gestion]]&amp;" - "&amp;Centro_Cuenta8[[#This Row],[Nombre Centro Gestion]]</f>
        <v>1098202 - Terreno Teresa Vial – Inversiones</v>
      </c>
      <c r="G2771" s="47" t="str">
        <f>+Centro_Cuenta8[[#This Row],[Código Cuenta Contable]]&amp;" - "&amp;Centro_Cuenta8[[#This Row],[Nombre de Cuenta Contable]]</f>
        <v>4203090 - Gastos Legales Y Notariales Proyecto</v>
      </c>
      <c r="H2771" s="146" t="str">
        <f>+VLOOKUP(D2771,'3. Cuentas'!A:F,6,0)</f>
        <v>SI</v>
      </c>
    </row>
    <row r="2772" spans="1:8" x14ac:dyDescent="0.25">
      <c r="A2772" s="43">
        <v>1099202</v>
      </c>
      <c r="B2772" t="s">
        <v>742</v>
      </c>
      <c r="C2772" s="43" t="s">
        <v>1578</v>
      </c>
      <c r="D2772" s="43">
        <v>1115040</v>
      </c>
      <c r="E2772" t="s">
        <v>291</v>
      </c>
      <c r="F2772" s="47" t="str">
        <f>+Centro_Cuenta8[[#This Row],[Codigo Centro Gestion]]&amp;" - "&amp;Centro_Cuenta8[[#This Row],[Nombre Centro Gestion]]</f>
        <v>1099202 - Terreno Dublé Almeyda – Inversiones</v>
      </c>
      <c r="G2772" s="47" t="str">
        <f>+Centro_Cuenta8[[#This Row],[Código Cuenta Contable]]&amp;" - "&amp;Centro_Cuenta8[[#This Row],[Nombre de Cuenta Contable]]</f>
        <v>1115040 - Saneamiento De Terreno</v>
      </c>
      <c r="H2772" s="146" t="str">
        <f>+VLOOKUP(D2772,'3. Cuentas'!A:F,6,0)</f>
        <v>SI</v>
      </c>
    </row>
    <row r="2773" spans="1:8" x14ac:dyDescent="0.25">
      <c r="A2773" s="43">
        <v>1099202</v>
      </c>
      <c r="B2773" t="s">
        <v>742</v>
      </c>
      <c r="C2773" s="43" t="s">
        <v>1578</v>
      </c>
      <c r="D2773" s="43">
        <v>1115170</v>
      </c>
      <c r="E2773" t="s">
        <v>293</v>
      </c>
      <c r="F2773" s="47" t="str">
        <f>+Centro_Cuenta8[[#This Row],[Codigo Centro Gestion]]&amp;" - "&amp;Centro_Cuenta8[[#This Row],[Nombre Centro Gestion]]</f>
        <v>1099202 - Terreno Dublé Almeyda – Inversiones</v>
      </c>
      <c r="G2773" s="47" t="str">
        <f>+Centro_Cuenta8[[#This Row],[Código Cuenta Contable]]&amp;" - "&amp;Centro_Cuenta8[[#This Row],[Nombre de Cuenta Contable]]</f>
        <v>1115170 - Permisos Y Otros Gastos Municipales</v>
      </c>
      <c r="H2773" s="146" t="str">
        <f>+VLOOKUP(D2773,'3. Cuentas'!A:F,6,0)</f>
        <v>SI</v>
      </c>
    </row>
    <row r="2774" spans="1:8" x14ac:dyDescent="0.25">
      <c r="A2774" s="43">
        <v>1099202</v>
      </c>
      <c r="B2774" t="s">
        <v>742</v>
      </c>
      <c r="C2774" s="43" t="s">
        <v>1578</v>
      </c>
      <c r="D2774" s="43">
        <v>1115240</v>
      </c>
      <c r="E2774" t="s">
        <v>294</v>
      </c>
      <c r="F2774" s="47" t="str">
        <f>+Centro_Cuenta8[[#This Row],[Codigo Centro Gestion]]&amp;" - "&amp;Centro_Cuenta8[[#This Row],[Nombre Centro Gestion]]</f>
        <v>1099202 - Terreno Dublé Almeyda – Inversiones</v>
      </c>
      <c r="G2774" s="47" t="str">
        <f>+Centro_Cuenta8[[#This Row],[Código Cuenta Contable]]&amp;" - "&amp;Centro_Cuenta8[[#This Row],[Nombre de Cuenta Contable]]</f>
        <v>1115240 - Estudios Y Asesorias Técnicas</v>
      </c>
      <c r="H2774" s="146" t="str">
        <f>+VLOOKUP(D2774,'3. Cuentas'!A:F,6,0)</f>
        <v>SI</v>
      </c>
    </row>
    <row r="2775" spans="1:8" x14ac:dyDescent="0.25">
      <c r="A2775" s="43">
        <v>1099202</v>
      </c>
      <c r="B2775" t="s">
        <v>742</v>
      </c>
      <c r="C2775" s="43" t="s">
        <v>1578</v>
      </c>
      <c r="D2775" s="43">
        <v>4203090</v>
      </c>
      <c r="E2775" t="s">
        <v>192</v>
      </c>
      <c r="F2775" s="47" t="str">
        <f>+Centro_Cuenta8[[#This Row],[Codigo Centro Gestion]]&amp;" - "&amp;Centro_Cuenta8[[#This Row],[Nombre Centro Gestion]]</f>
        <v>1099202 - Terreno Dublé Almeyda – Inversiones</v>
      </c>
      <c r="G2775" s="47" t="str">
        <f>+Centro_Cuenta8[[#This Row],[Código Cuenta Contable]]&amp;" - "&amp;Centro_Cuenta8[[#This Row],[Nombre de Cuenta Contable]]</f>
        <v>4203090 - Gastos Legales Y Notariales Proyecto</v>
      </c>
      <c r="H2775" s="146" t="str">
        <f>+VLOOKUP(D2775,'3. Cuentas'!A:F,6,0)</f>
        <v>SI</v>
      </c>
    </row>
    <row r="2776" spans="1:8" x14ac:dyDescent="0.25">
      <c r="A2776" s="43">
        <v>1100202</v>
      </c>
      <c r="B2776" t="s">
        <v>743</v>
      </c>
      <c r="C2776" s="43" t="s">
        <v>1578</v>
      </c>
      <c r="D2776" s="43">
        <v>1115040</v>
      </c>
      <c r="E2776" t="s">
        <v>291</v>
      </c>
      <c r="F2776" s="47" t="str">
        <f>+Centro_Cuenta8[[#This Row],[Codigo Centro Gestion]]&amp;" - "&amp;Centro_Cuenta8[[#This Row],[Nombre Centro Gestion]]</f>
        <v>1100202 - Terreno Condominio Jorge Cáceres – Inversiones</v>
      </c>
      <c r="G2776" s="47" t="str">
        <f>+Centro_Cuenta8[[#This Row],[Código Cuenta Contable]]&amp;" - "&amp;Centro_Cuenta8[[#This Row],[Nombre de Cuenta Contable]]</f>
        <v>1115040 - Saneamiento De Terreno</v>
      </c>
      <c r="H2776" s="146" t="str">
        <f>+VLOOKUP(D2776,'3. Cuentas'!A:F,6,0)</f>
        <v>SI</v>
      </c>
    </row>
    <row r="2777" spans="1:8" x14ac:dyDescent="0.25">
      <c r="A2777" s="43">
        <v>1100202</v>
      </c>
      <c r="B2777" t="s">
        <v>743</v>
      </c>
      <c r="C2777" s="43" t="s">
        <v>1578</v>
      </c>
      <c r="D2777" s="43">
        <v>1115170</v>
      </c>
      <c r="E2777" t="s">
        <v>293</v>
      </c>
      <c r="F2777" s="47" t="str">
        <f>+Centro_Cuenta8[[#This Row],[Codigo Centro Gestion]]&amp;" - "&amp;Centro_Cuenta8[[#This Row],[Nombre Centro Gestion]]</f>
        <v>1100202 - Terreno Condominio Jorge Cáceres – Inversiones</v>
      </c>
      <c r="G2777" s="47" t="str">
        <f>+Centro_Cuenta8[[#This Row],[Código Cuenta Contable]]&amp;" - "&amp;Centro_Cuenta8[[#This Row],[Nombre de Cuenta Contable]]</f>
        <v>1115170 - Permisos Y Otros Gastos Municipales</v>
      </c>
      <c r="H2777" s="146" t="str">
        <f>+VLOOKUP(D2777,'3. Cuentas'!A:F,6,0)</f>
        <v>SI</v>
      </c>
    </row>
    <row r="2778" spans="1:8" x14ac:dyDescent="0.25">
      <c r="A2778" s="43">
        <v>1100202</v>
      </c>
      <c r="B2778" t="s">
        <v>743</v>
      </c>
      <c r="C2778" s="43" t="s">
        <v>1578</v>
      </c>
      <c r="D2778" s="43">
        <v>1115240</v>
      </c>
      <c r="E2778" t="s">
        <v>294</v>
      </c>
      <c r="F2778" s="47" t="str">
        <f>+Centro_Cuenta8[[#This Row],[Codigo Centro Gestion]]&amp;" - "&amp;Centro_Cuenta8[[#This Row],[Nombre Centro Gestion]]</f>
        <v>1100202 - Terreno Condominio Jorge Cáceres – Inversiones</v>
      </c>
      <c r="G2778" s="47" t="str">
        <f>+Centro_Cuenta8[[#This Row],[Código Cuenta Contable]]&amp;" - "&amp;Centro_Cuenta8[[#This Row],[Nombre de Cuenta Contable]]</f>
        <v>1115240 - Estudios Y Asesorias Técnicas</v>
      </c>
      <c r="H2778" s="146" t="str">
        <f>+VLOOKUP(D2778,'3. Cuentas'!A:F,6,0)</f>
        <v>SI</v>
      </c>
    </row>
    <row r="2779" spans="1:8" x14ac:dyDescent="0.25">
      <c r="A2779" s="43">
        <v>1100202</v>
      </c>
      <c r="B2779" t="s">
        <v>743</v>
      </c>
      <c r="C2779" s="43" t="s">
        <v>1578</v>
      </c>
      <c r="D2779" s="43">
        <v>4203090</v>
      </c>
      <c r="E2779" t="s">
        <v>192</v>
      </c>
      <c r="F2779" s="47" t="str">
        <f>+Centro_Cuenta8[[#This Row],[Codigo Centro Gestion]]&amp;" - "&amp;Centro_Cuenta8[[#This Row],[Nombre Centro Gestion]]</f>
        <v>1100202 - Terreno Condominio Jorge Cáceres – Inversiones</v>
      </c>
      <c r="G2779" s="47" t="str">
        <f>+Centro_Cuenta8[[#This Row],[Código Cuenta Contable]]&amp;" - "&amp;Centro_Cuenta8[[#This Row],[Nombre de Cuenta Contable]]</f>
        <v>4203090 - Gastos Legales Y Notariales Proyecto</v>
      </c>
      <c r="H2779" s="146" t="str">
        <f>+VLOOKUP(D2779,'3. Cuentas'!A:F,6,0)</f>
        <v>SI</v>
      </c>
    </row>
    <row r="2780" spans="1:8" x14ac:dyDescent="0.25">
      <c r="A2780" s="43">
        <v>1105202</v>
      </c>
      <c r="B2780" t="s">
        <v>744</v>
      </c>
      <c r="C2780" s="43" t="s">
        <v>1578</v>
      </c>
      <c r="D2780" s="43">
        <v>1115040</v>
      </c>
      <c r="E2780" t="s">
        <v>291</v>
      </c>
      <c r="F2780" s="47" t="str">
        <f>+Centro_Cuenta8[[#This Row],[Codigo Centro Gestion]]&amp;" - "&amp;Centro_Cuenta8[[#This Row],[Nombre Centro Gestion]]</f>
        <v>1105202 - Terreno Coronel Souper – Estación Central – Inversiones</v>
      </c>
      <c r="G2780" s="47" t="str">
        <f>+Centro_Cuenta8[[#This Row],[Código Cuenta Contable]]&amp;" - "&amp;Centro_Cuenta8[[#This Row],[Nombre de Cuenta Contable]]</f>
        <v>1115040 - Saneamiento De Terreno</v>
      </c>
      <c r="H2780" s="146" t="str">
        <f>+VLOOKUP(D2780,'3. Cuentas'!A:F,6,0)</f>
        <v>SI</v>
      </c>
    </row>
    <row r="2781" spans="1:8" x14ac:dyDescent="0.25">
      <c r="A2781" s="43">
        <v>1105202</v>
      </c>
      <c r="B2781" t="s">
        <v>744</v>
      </c>
      <c r="C2781" s="43" t="s">
        <v>1578</v>
      </c>
      <c r="D2781" s="43">
        <v>1115170</v>
      </c>
      <c r="E2781" t="s">
        <v>293</v>
      </c>
      <c r="F2781" s="47" t="str">
        <f>+Centro_Cuenta8[[#This Row],[Codigo Centro Gestion]]&amp;" - "&amp;Centro_Cuenta8[[#This Row],[Nombre Centro Gestion]]</f>
        <v>1105202 - Terreno Coronel Souper – Estación Central – Inversiones</v>
      </c>
      <c r="G2781" s="47" t="str">
        <f>+Centro_Cuenta8[[#This Row],[Código Cuenta Contable]]&amp;" - "&amp;Centro_Cuenta8[[#This Row],[Nombre de Cuenta Contable]]</f>
        <v>1115170 - Permisos Y Otros Gastos Municipales</v>
      </c>
      <c r="H2781" s="146" t="str">
        <f>+VLOOKUP(D2781,'3. Cuentas'!A:F,6,0)</f>
        <v>SI</v>
      </c>
    </row>
    <row r="2782" spans="1:8" x14ac:dyDescent="0.25">
      <c r="A2782" s="43">
        <v>1105202</v>
      </c>
      <c r="B2782" t="s">
        <v>744</v>
      </c>
      <c r="C2782" s="43" t="s">
        <v>1578</v>
      </c>
      <c r="D2782" s="43">
        <v>1115240</v>
      </c>
      <c r="E2782" t="s">
        <v>294</v>
      </c>
      <c r="F2782" s="47" t="str">
        <f>+Centro_Cuenta8[[#This Row],[Codigo Centro Gestion]]&amp;" - "&amp;Centro_Cuenta8[[#This Row],[Nombre Centro Gestion]]</f>
        <v>1105202 - Terreno Coronel Souper – Estación Central – Inversiones</v>
      </c>
      <c r="G2782" s="47" t="str">
        <f>+Centro_Cuenta8[[#This Row],[Código Cuenta Contable]]&amp;" - "&amp;Centro_Cuenta8[[#This Row],[Nombre de Cuenta Contable]]</f>
        <v>1115240 - Estudios Y Asesorias Técnicas</v>
      </c>
      <c r="H2782" s="146" t="str">
        <f>+VLOOKUP(D2782,'3. Cuentas'!A:F,6,0)</f>
        <v>SI</v>
      </c>
    </row>
    <row r="2783" spans="1:8" x14ac:dyDescent="0.25">
      <c r="A2783" s="43">
        <v>1105202</v>
      </c>
      <c r="B2783" t="s">
        <v>744</v>
      </c>
      <c r="C2783" s="43" t="s">
        <v>1578</v>
      </c>
      <c r="D2783" s="43">
        <v>4203090</v>
      </c>
      <c r="E2783" t="s">
        <v>192</v>
      </c>
      <c r="F2783" s="47" t="str">
        <f>+Centro_Cuenta8[[#This Row],[Codigo Centro Gestion]]&amp;" - "&amp;Centro_Cuenta8[[#This Row],[Nombre Centro Gestion]]</f>
        <v>1105202 - Terreno Coronel Souper – Estación Central – Inversiones</v>
      </c>
      <c r="G2783" s="47" t="str">
        <f>+Centro_Cuenta8[[#This Row],[Código Cuenta Contable]]&amp;" - "&amp;Centro_Cuenta8[[#This Row],[Nombre de Cuenta Contable]]</f>
        <v>4203090 - Gastos Legales Y Notariales Proyecto</v>
      </c>
      <c r="H2783" s="146" t="str">
        <f>+VLOOKUP(D2783,'3. Cuentas'!A:F,6,0)</f>
        <v>SI</v>
      </c>
    </row>
    <row r="2784" spans="1:8" x14ac:dyDescent="0.25">
      <c r="A2784" s="43">
        <v>1106202</v>
      </c>
      <c r="B2784" t="s">
        <v>745</v>
      </c>
      <c r="C2784" s="43" t="s">
        <v>1578</v>
      </c>
      <c r="D2784" s="43">
        <v>1115040</v>
      </c>
      <c r="E2784" t="s">
        <v>291</v>
      </c>
      <c r="F2784" s="47" t="str">
        <f>+Centro_Cuenta8[[#This Row],[Codigo Centro Gestion]]&amp;" - "&amp;Centro_Cuenta8[[#This Row],[Nombre Centro Gestion]]</f>
        <v xml:space="preserve">1106202 - Terreno La Coruña – Inversiones </v>
      </c>
      <c r="G2784" s="47" t="str">
        <f>+Centro_Cuenta8[[#This Row],[Código Cuenta Contable]]&amp;" - "&amp;Centro_Cuenta8[[#This Row],[Nombre de Cuenta Contable]]</f>
        <v>1115040 - Saneamiento De Terreno</v>
      </c>
      <c r="H2784" s="146" t="str">
        <f>+VLOOKUP(D2784,'3. Cuentas'!A:F,6,0)</f>
        <v>SI</v>
      </c>
    </row>
    <row r="2785" spans="1:8" x14ac:dyDescent="0.25">
      <c r="A2785" s="43">
        <v>1106202</v>
      </c>
      <c r="B2785" t="s">
        <v>745</v>
      </c>
      <c r="C2785" s="43" t="s">
        <v>1578</v>
      </c>
      <c r="D2785" s="43">
        <v>1115170</v>
      </c>
      <c r="E2785" t="s">
        <v>293</v>
      </c>
      <c r="F2785" s="47" t="str">
        <f>+Centro_Cuenta8[[#This Row],[Codigo Centro Gestion]]&amp;" - "&amp;Centro_Cuenta8[[#This Row],[Nombre Centro Gestion]]</f>
        <v xml:space="preserve">1106202 - Terreno La Coruña – Inversiones </v>
      </c>
      <c r="G2785" s="47" t="str">
        <f>+Centro_Cuenta8[[#This Row],[Código Cuenta Contable]]&amp;" - "&amp;Centro_Cuenta8[[#This Row],[Nombre de Cuenta Contable]]</f>
        <v>1115170 - Permisos Y Otros Gastos Municipales</v>
      </c>
      <c r="H2785" s="146" t="str">
        <f>+VLOOKUP(D2785,'3. Cuentas'!A:F,6,0)</f>
        <v>SI</v>
      </c>
    </row>
    <row r="2786" spans="1:8" x14ac:dyDescent="0.25">
      <c r="A2786" s="43">
        <v>1106202</v>
      </c>
      <c r="B2786" t="s">
        <v>745</v>
      </c>
      <c r="C2786" s="43" t="s">
        <v>1578</v>
      </c>
      <c r="D2786" s="43">
        <v>1115240</v>
      </c>
      <c r="E2786" t="s">
        <v>294</v>
      </c>
      <c r="F2786" s="47" t="str">
        <f>+Centro_Cuenta8[[#This Row],[Codigo Centro Gestion]]&amp;" - "&amp;Centro_Cuenta8[[#This Row],[Nombre Centro Gestion]]</f>
        <v xml:space="preserve">1106202 - Terreno La Coruña – Inversiones </v>
      </c>
      <c r="G2786" s="47" t="str">
        <f>+Centro_Cuenta8[[#This Row],[Código Cuenta Contable]]&amp;" - "&amp;Centro_Cuenta8[[#This Row],[Nombre de Cuenta Contable]]</f>
        <v>1115240 - Estudios Y Asesorias Técnicas</v>
      </c>
      <c r="H2786" s="146" t="str">
        <f>+VLOOKUP(D2786,'3. Cuentas'!A:F,6,0)</f>
        <v>SI</v>
      </c>
    </row>
    <row r="2787" spans="1:8" x14ac:dyDescent="0.25">
      <c r="A2787" s="43">
        <v>1106202</v>
      </c>
      <c r="B2787" t="s">
        <v>745</v>
      </c>
      <c r="C2787" s="43" t="s">
        <v>1578</v>
      </c>
      <c r="D2787" s="43">
        <v>4203090</v>
      </c>
      <c r="E2787" t="s">
        <v>192</v>
      </c>
      <c r="F2787" s="47" t="str">
        <f>+Centro_Cuenta8[[#This Row],[Codigo Centro Gestion]]&amp;" - "&amp;Centro_Cuenta8[[#This Row],[Nombre Centro Gestion]]</f>
        <v xml:space="preserve">1106202 - Terreno La Coruña – Inversiones </v>
      </c>
      <c r="G2787" s="47" t="str">
        <f>+Centro_Cuenta8[[#This Row],[Código Cuenta Contable]]&amp;" - "&amp;Centro_Cuenta8[[#This Row],[Nombre de Cuenta Contable]]</f>
        <v>4203090 - Gastos Legales Y Notariales Proyecto</v>
      </c>
      <c r="H2787" s="146" t="str">
        <f>+VLOOKUP(D2787,'3. Cuentas'!A:F,6,0)</f>
        <v>SI</v>
      </c>
    </row>
    <row r="2788" spans="1:8" x14ac:dyDescent="0.25">
      <c r="A2788" s="43">
        <v>1107202</v>
      </c>
      <c r="B2788" t="s">
        <v>746</v>
      </c>
      <c r="C2788" s="43" t="s">
        <v>1578</v>
      </c>
      <c r="D2788" s="43">
        <v>1115040</v>
      </c>
      <c r="E2788" t="s">
        <v>291</v>
      </c>
      <c r="F2788" s="47" t="str">
        <f>+Centro_Cuenta8[[#This Row],[Codigo Centro Gestion]]&amp;" - "&amp;Centro_Cuenta8[[#This Row],[Nombre Centro Gestion]]</f>
        <v>1107202 - Terreno Pedro Prado– Inversiones</v>
      </c>
      <c r="G2788" s="47" t="str">
        <f>+Centro_Cuenta8[[#This Row],[Código Cuenta Contable]]&amp;" - "&amp;Centro_Cuenta8[[#This Row],[Nombre de Cuenta Contable]]</f>
        <v>1115040 - Saneamiento De Terreno</v>
      </c>
      <c r="H2788" s="146" t="str">
        <f>+VLOOKUP(D2788,'3. Cuentas'!A:F,6,0)</f>
        <v>SI</v>
      </c>
    </row>
    <row r="2789" spans="1:8" x14ac:dyDescent="0.25">
      <c r="A2789" s="43">
        <v>1107202</v>
      </c>
      <c r="B2789" t="s">
        <v>746</v>
      </c>
      <c r="C2789" s="43" t="s">
        <v>1578</v>
      </c>
      <c r="D2789" s="43">
        <v>1115170</v>
      </c>
      <c r="E2789" t="s">
        <v>293</v>
      </c>
      <c r="F2789" s="47" t="str">
        <f>+Centro_Cuenta8[[#This Row],[Codigo Centro Gestion]]&amp;" - "&amp;Centro_Cuenta8[[#This Row],[Nombre Centro Gestion]]</f>
        <v>1107202 - Terreno Pedro Prado– Inversiones</v>
      </c>
      <c r="G2789" s="47" t="str">
        <f>+Centro_Cuenta8[[#This Row],[Código Cuenta Contable]]&amp;" - "&amp;Centro_Cuenta8[[#This Row],[Nombre de Cuenta Contable]]</f>
        <v>1115170 - Permisos Y Otros Gastos Municipales</v>
      </c>
      <c r="H2789" s="146" t="str">
        <f>+VLOOKUP(D2789,'3. Cuentas'!A:F,6,0)</f>
        <v>SI</v>
      </c>
    </row>
    <row r="2790" spans="1:8" x14ac:dyDescent="0.25">
      <c r="A2790" s="43">
        <v>1107202</v>
      </c>
      <c r="B2790" t="s">
        <v>746</v>
      </c>
      <c r="C2790" s="43" t="s">
        <v>1578</v>
      </c>
      <c r="D2790" s="43">
        <v>1115240</v>
      </c>
      <c r="E2790" t="s">
        <v>294</v>
      </c>
      <c r="F2790" s="47" t="str">
        <f>+Centro_Cuenta8[[#This Row],[Codigo Centro Gestion]]&amp;" - "&amp;Centro_Cuenta8[[#This Row],[Nombre Centro Gestion]]</f>
        <v>1107202 - Terreno Pedro Prado– Inversiones</v>
      </c>
      <c r="G2790" s="47" t="str">
        <f>+Centro_Cuenta8[[#This Row],[Código Cuenta Contable]]&amp;" - "&amp;Centro_Cuenta8[[#This Row],[Nombre de Cuenta Contable]]</f>
        <v>1115240 - Estudios Y Asesorias Técnicas</v>
      </c>
      <c r="H2790" s="146" t="str">
        <f>+VLOOKUP(D2790,'3. Cuentas'!A:F,6,0)</f>
        <v>SI</v>
      </c>
    </row>
    <row r="2791" spans="1:8" x14ac:dyDescent="0.25">
      <c r="A2791" s="43">
        <v>1107202</v>
      </c>
      <c r="B2791" t="s">
        <v>746</v>
      </c>
      <c r="C2791" s="43" t="s">
        <v>1578</v>
      </c>
      <c r="D2791" s="43">
        <v>4203090</v>
      </c>
      <c r="E2791" t="s">
        <v>192</v>
      </c>
      <c r="F2791" s="47" t="str">
        <f>+Centro_Cuenta8[[#This Row],[Codigo Centro Gestion]]&amp;" - "&amp;Centro_Cuenta8[[#This Row],[Nombre Centro Gestion]]</f>
        <v>1107202 - Terreno Pedro Prado– Inversiones</v>
      </c>
      <c r="G2791" s="47" t="str">
        <f>+Centro_Cuenta8[[#This Row],[Código Cuenta Contable]]&amp;" - "&amp;Centro_Cuenta8[[#This Row],[Nombre de Cuenta Contable]]</f>
        <v>4203090 - Gastos Legales Y Notariales Proyecto</v>
      </c>
      <c r="H2791" s="146" t="str">
        <f>+VLOOKUP(D2791,'3. Cuentas'!A:F,6,0)</f>
        <v>SI</v>
      </c>
    </row>
    <row r="2792" spans="1:8" x14ac:dyDescent="0.25">
      <c r="A2792" s="43">
        <v>1109202</v>
      </c>
      <c r="B2792" t="s">
        <v>747</v>
      </c>
      <c r="C2792" s="43" t="s">
        <v>1578</v>
      </c>
      <c r="D2792" s="43">
        <v>1115040</v>
      </c>
      <c r="E2792" t="s">
        <v>291</v>
      </c>
      <c r="F2792" s="47" t="str">
        <f>+Centro_Cuenta8[[#This Row],[Codigo Centro Gestion]]&amp;" - "&amp;Centro_Cuenta8[[#This Row],[Nombre Centro Gestion]]</f>
        <v>1109202 - Terreno Guillermo Mann – Inversiones</v>
      </c>
      <c r="G2792" s="47" t="str">
        <f>+Centro_Cuenta8[[#This Row],[Código Cuenta Contable]]&amp;" - "&amp;Centro_Cuenta8[[#This Row],[Nombre de Cuenta Contable]]</f>
        <v>1115040 - Saneamiento De Terreno</v>
      </c>
      <c r="H2792" s="146" t="str">
        <f>+VLOOKUP(D2792,'3. Cuentas'!A:F,6,0)</f>
        <v>SI</v>
      </c>
    </row>
    <row r="2793" spans="1:8" x14ac:dyDescent="0.25">
      <c r="A2793" s="43">
        <v>1109202</v>
      </c>
      <c r="B2793" t="s">
        <v>747</v>
      </c>
      <c r="C2793" s="43" t="s">
        <v>1578</v>
      </c>
      <c r="D2793" s="43">
        <v>1115170</v>
      </c>
      <c r="E2793" t="s">
        <v>293</v>
      </c>
      <c r="F2793" s="47" t="str">
        <f>+Centro_Cuenta8[[#This Row],[Codigo Centro Gestion]]&amp;" - "&amp;Centro_Cuenta8[[#This Row],[Nombre Centro Gestion]]</f>
        <v>1109202 - Terreno Guillermo Mann – Inversiones</v>
      </c>
      <c r="G2793" s="47" t="str">
        <f>+Centro_Cuenta8[[#This Row],[Código Cuenta Contable]]&amp;" - "&amp;Centro_Cuenta8[[#This Row],[Nombre de Cuenta Contable]]</f>
        <v>1115170 - Permisos Y Otros Gastos Municipales</v>
      </c>
      <c r="H2793" s="146" t="str">
        <f>+VLOOKUP(D2793,'3. Cuentas'!A:F,6,0)</f>
        <v>SI</v>
      </c>
    </row>
    <row r="2794" spans="1:8" x14ac:dyDescent="0.25">
      <c r="A2794" s="43">
        <v>1109202</v>
      </c>
      <c r="B2794" t="s">
        <v>747</v>
      </c>
      <c r="C2794" s="43" t="s">
        <v>1578</v>
      </c>
      <c r="D2794" s="43">
        <v>1115240</v>
      </c>
      <c r="E2794" t="s">
        <v>294</v>
      </c>
      <c r="F2794" s="47" t="str">
        <f>+Centro_Cuenta8[[#This Row],[Codigo Centro Gestion]]&amp;" - "&amp;Centro_Cuenta8[[#This Row],[Nombre Centro Gestion]]</f>
        <v>1109202 - Terreno Guillermo Mann – Inversiones</v>
      </c>
      <c r="G2794" s="47" t="str">
        <f>+Centro_Cuenta8[[#This Row],[Código Cuenta Contable]]&amp;" - "&amp;Centro_Cuenta8[[#This Row],[Nombre de Cuenta Contable]]</f>
        <v>1115240 - Estudios Y Asesorias Técnicas</v>
      </c>
      <c r="H2794" s="146" t="str">
        <f>+VLOOKUP(D2794,'3. Cuentas'!A:F,6,0)</f>
        <v>SI</v>
      </c>
    </row>
    <row r="2795" spans="1:8" x14ac:dyDescent="0.25">
      <c r="A2795" s="43">
        <v>1109202</v>
      </c>
      <c r="B2795" t="s">
        <v>747</v>
      </c>
      <c r="C2795" s="43" t="s">
        <v>1578</v>
      </c>
      <c r="D2795" s="43">
        <v>4203090</v>
      </c>
      <c r="E2795" t="s">
        <v>192</v>
      </c>
      <c r="F2795" s="47" t="str">
        <f>+Centro_Cuenta8[[#This Row],[Codigo Centro Gestion]]&amp;" - "&amp;Centro_Cuenta8[[#This Row],[Nombre Centro Gestion]]</f>
        <v>1109202 - Terreno Guillermo Mann – Inversiones</v>
      </c>
      <c r="G2795" s="47" t="str">
        <f>+Centro_Cuenta8[[#This Row],[Código Cuenta Contable]]&amp;" - "&amp;Centro_Cuenta8[[#This Row],[Nombre de Cuenta Contable]]</f>
        <v>4203090 - Gastos Legales Y Notariales Proyecto</v>
      </c>
      <c r="H2795" s="146" t="str">
        <f>+VLOOKUP(D2795,'3. Cuentas'!A:F,6,0)</f>
        <v>SI</v>
      </c>
    </row>
    <row r="2796" spans="1:8" x14ac:dyDescent="0.25">
      <c r="A2796" s="43">
        <v>1112202</v>
      </c>
      <c r="B2796" t="s">
        <v>748</v>
      </c>
      <c r="C2796" s="43" t="s">
        <v>1578</v>
      </c>
      <c r="D2796" s="43">
        <v>1115040</v>
      </c>
      <c r="E2796" t="s">
        <v>291</v>
      </c>
      <c r="F2796" s="47" t="str">
        <f>+Centro_Cuenta8[[#This Row],[Codigo Centro Gestion]]&amp;" - "&amp;Centro_Cuenta8[[#This Row],[Nombre Centro Gestion]]</f>
        <v>1112202 - Terreno Fco. Zelada 126 – Inversiones</v>
      </c>
      <c r="G2796" s="47" t="str">
        <f>+Centro_Cuenta8[[#This Row],[Código Cuenta Contable]]&amp;" - "&amp;Centro_Cuenta8[[#This Row],[Nombre de Cuenta Contable]]</f>
        <v>1115040 - Saneamiento De Terreno</v>
      </c>
      <c r="H2796" s="146" t="str">
        <f>+VLOOKUP(D2796,'3. Cuentas'!A:F,6,0)</f>
        <v>SI</v>
      </c>
    </row>
    <row r="2797" spans="1:8" x14ac:dyDescent="0.25">
      <c r="A2797" s="43">
        <v>1112202</v>
      </c>
      <c r="B2797" t="s">
        <v>748</v>
      </c>
      <c r="C2797" s="43" t="s">
        <v>1578</v>
      </c>
      <c r="D2797" s="43">
        <v>1115170</v>
      </c>
      <c r="E2797" t="s">
        <v>293</v>
      </c>
      <c r="F2797" s="47" t="str">
        <f>+Centro_Cuenta8[[#This Row],[Codigo Centro Gestion]]&amp;" - "&amp;Centro_Cuenta8[[#This Row],[Nombre Centro Gestion]]</f>
        <v>1112202 - Terreno Fco. Zelada 126 – Inversiones</v>
      </c>
      <c r="G2797" s="47" t="str">
        <f>+Centro_Cuenta8[[#This Row],[Código Cuenta Contable]]&amp;" - "&amp;Centro_Cuenta8[[#This Row],[Nombre de Cuenta Contable]]</f>
        <v>1115170 - Permisos Y Otros Gastos Municipales</v>
      </c>
      <c r="H2797" s="146" t="str">
        <f>+VLOOKUP(D2797,'3. Cuentas'!A:F,6,0)</f>
        <v>SI</v>
      </c>
    </row>
    <row r="2798" spans="1:8" x14ac:dyDescent="0.25">
      <c r="A2798" s="43">
        <v>1112202</v>
      </c>
      <c r="B2798" t="s">
        <v>748</v>
      </c>
      <c r="C2798" s="43" t="s">
        <v>1578</v>
      </c>
      <c r="D2798" s="43">
        <v>1115240</v>
      </c>
      <c r="E2798" t="s">
        <v>294</v>
      </c>
      <c r="F2798" s="47" t="str">
        <f>+Centro_Cuenta8[[#This Row],[Codigo Centro Gestion]]&amp;" - "&amp;Centro_Cuenta8[[#This Row],[Nombre Centro Gestion]]</f>
        <v>1112202 - Terreno Fco. Zelada 126 – Inversiones</v>
      </c>
      <c r="G2798" s="47" t="str">
        <f>+Centro_Cuenta8[[#This Row],[Código Cuenta Contable]]&amp;" - "&amp;Centro_Cuenta8[[#This Row],[Nombre de Cuenta Contable]]</f>
        <v>1115240 - Estudios Y Asesorias Técnicas</v>
      </c>
      <c r="H2798" s="146" t="str">
        <f>+VLOOKUP(D2798,'3. Cuentas'!A:F,6,0)</f>
        <v>SI</v>
      </c>
    </row>
    <row r="2799" spans="1:8" x14ac:dyDescent="0.25">
      <c r="A2799" s="43">
        <v>1112202</v>
      </c>
      <c r="B2799" t="s">
        <v>748</v>
      </c>
      <c r="C2799" s="43" t="s">
        <v>1578</v>
      </c>
      <c r="D2799" s="43">
        <v>4203090</v>
      </c>
      <c r="E2799" t="s">
        <v>192</v>
      </c>
      <c r="F2799" s="47" t="str">
        <f>+Centro_Cuenta8[[#This Row],[Codigo Centro Gestion]]&amp;" - "&amp;Centro_Cuenta8[[#This Row],[Nombre Centro Gestion]]</f>
        <v>1112202 - Terreno Fco. Zelada 126 – Inversiones</v>
      </c>
      <c r="G2799" s="47" t="str">
        <f>+Centro_Cuenta8[[#This Row],[Código Cuenta Contable]]&amp;" - "&amp;Centro_Cuenta8[[#This Row],[Nombre de Cuenta Contable]]</f>
        <v>4203090 - Gastos Legales Y Notariales Proyecto</v>
      </c>
      <c r="H2799" s="146" t="str">
        <f>+VLOOKUP(D2799,'3. Cuentas'!A:F,6,0)</f>
        <v>SI</v>
      </c>
    </row>
    <row r="2800" spans="1:8" x14ac:dyDescent="0.25">
      <c r="A2800" s="43">
        <v>1114202</v>
      </c>
      <c r="B2800" t="s">
        <v>749</v>
      </c>
      <c r="C2800" s="43" t="s">
        <v>1578</v>
      </c>
      <c r="D2800" s="43">
        <v>1115040</v>
      </c>
      <c r="E2800" t="s">
        <v>291</v>
      </c>
      <c r="F2800" s="47" t="str">
        <f>+Centro_Cuenta8[[#This Row],[Codigo Centro Gestion]]&amp;" - "&amp;Centro_Cuenta8[[#This Row],[Nombre Centro Gestion]]</f>
        <v xml:space="preserve">1114202 - Terreno Condominio Manuel Jesús Rivera  – Inversiones </v>
      </c>
      <c r="G2800" s="47" t="str">
        <f>+Centro_Cuenta8[[#This Row],[Código Cuenta Contable]]&amp;" - "&amp;Centro_Cuenta8[[#This Row],[Nombre de Cuenta Contable]]</f>
        <v>1115040 - Saneamiento De Terreno</v>
      </c>
      <c r="H2800" s="146" t="str">
        <f>+VLOOKUP(D2800,'3. Cuentas'!A:F,6,0)</f>
        <v>SI</v>
      </c>
    </row>
    <row r="2801" spans="1:8" x14ac:dyDescent="0.25">
      <c r="A2801" s="43">
        <v>1114202</v>
      </c>
      <c r="B2801" t="s">
        <v>749</v>
      </c>
      <c r="C2801" s="43" t="s">
        <v>1578</v>
      </c>
      <c r="D2801" s="43">
        <v>1115170</v>
      </c>
      <c r="E2801" t="s">
        <v>293</v>
      </c>
      <c r="F2801" s="47" t="str">
        <f>+Centro_Cuenta8[[#This Row],[Codigo Centro Gestion]]&amp;" - "&amp;Centro_Cuenta8[[#This Row],[Nombre Centro Gestion]]</f>
        <v xml:space="preserve">1114202 - Terreno Condominio Manuel Jesús Rivera  – Inversiones </v>
      </c>
      <c r="G2801" s="47" t="str">
        <f>+Centro_Cuenta8[[#This Row],[Código Cuenta Contable]]&amp;" - "&amp;Centro_Cuenta8[[#This Row],[Nombre de Cuenta Contable]]</f>
        <v>1115170 - Permisos Y Otros Gastos Municipales</v>
      </c>
      <c r="H2801" s="146" t="str">
        <f>+VLOOKUP(D2801,'3. Cuentas'!A:F,6,0)</f>
        <v>SI</v>
      </c>
    </row>
    <row r="2802" spans="1:8" x14ac:dyDescent="0.25">
      <c r="A2802" s="43">
        <v>1114202</v>
      </c>
      <c r="B2802" t="s">
        <v>749</v>
      </c>
      <c r="C2802" s="43" t="s">
        <v>1578</v>
      </c>
      <c r="D2802" s="43">
        <v>1115240</v>
      </c>
      <c r="E2802" t="s">
        <v>294</v>
      </c>
      <c r="F2802" s="47" t="str">
        <f>+Centro_Cuenta8[[#This Row],[Codigo Centro Gestion]]&amp;" - "&amp;Centro_Cuenta8[[#This Row],[Nombre Centro Gestion]]</f>
        <v xml:space="preserve">1114202 - Terreno Condominio Manuel Jesús Rivera  – Inversiones </v>
      </c>
      <c r="G2802" s="47" t="str">
        <f>+Centro_Cuenta8[[#This Row],[Código Cuenta Contable]]&amp;" - "&amp;Centro_Cuenta8[[#This Row],[Nombre de Cuenta Contable]]</f>
        <v>1115240 - Estudios Y Asesorias Técnicas</v>
      </c>
      <c r="H2802" s="146" t="str">
        <f>+VLOOKUP(D2802,'3. Cuentas'!A:F,6,0)</f>
        <v>SI</v>
      </c>
    </row>
    <row r="2803" spans="1:8" x14ac:dyDescent="0.25">
      <c r="A2803" s="43">
        <v>1114202</v>
      </c>
      <c r="B2803" t="s">
        <v>749</v>
      </c>
      <c r="C2803" s="43" t="s">
        <v>1578</v>
      </c>
      <c r="D2803" s="43">
        <v>4203090</v>
      </c>
      <c r="E2803" t="s">
        <v>192</v>
      </c>
      <c r="F2803" s="47" t="str">
        <f>+Centro_Cuenta8[[#This Row],[Codigo Centro Gestion]]&amp;" - "&amp;Centro_Cuenta8[[#This Row],[Nombre Centro Gestion]]</f>
        <v xml:space="preserve">1114202 - Terreno Condominio Manuel Jesús Rivera  – Inversiones </v>
      </c>
      <c r="G2803" s="47" t="str">
        <f>+Centro_Cuenta8[[#This Row],[Código Cuenta Contable]]&amp;" - "&amp;Centro_Cuenta8[[#This Row],[Nombre de Cuenta Contable]]</f>
        <v>4203090 - Gastos Legales Y Notariales Proyecto</v>
      </c>
      <c r="H2803" s="146" t="str">
        <f>+VLOOKUP(D2803,'3. Cuentas'!A:F,6,0)</f>
        <v>SI</v>
      </c>
    </row>
    <row r="2804" spans="1:8" x14ac:dyDescent="0.25">
      <c r="A2804" s="43">
        <v>1115202</v>
      </c>
      <c r="B2804" t="s">
        <v>750</v>
      </c>
      <c r="C2804" s="43" t="s">
        <v>1578</v>
      </c>
      <c r="D2804" s="43">
        <v>1115040</v>
      </c>
      <c r="E2804" t="s">
        <v>291</v>
      </c>
      <c r="F2804" s="47" t="str">
        <f>+Centro_Cuenta8[[#This Row],[Codigo Centro Gestion]]&amp;" - "&amp;Centro_Cuenta8[[#This Row],[Nombre Centro Gestion]]</f>
        <v xml:space="preserve">1115202 - Terreno Tranquila – Inversiones </v>
      </c>
      <c r="G2804" s="47" t="str">
        <f>+Centro_Cuenta8[[#This Row],[Código Cuenta Contable]]&amp;" - "&amp;Centro_Cuenta8[[#This Row],[Nombre de Cuenta Contable]]</f>
        <v>1115040 - Saneamiento De Terreno</v>
      </c>
      <c r="H2804" s="146" t="str">
        <f>+VLOOKUP(D2804,'3. Cuentas'!A:F,6,0)</f>
        <v>SI</v>
      </c>
    </row>
    <row r="2805" spans="1:8" x14ac:dyDescent="0.25">
      <c r="A2805" s="43">
        <v>1115202</v>
      </c>
      <c r="B2805" t="s">
        <v>750</v>
      </c>
      <c r="C2805" s="43" t="s">
        <v>1578</v>
      </c>
      <c r="D2805" s="43">
        <v>1115170</v>
      </c>
      <c r="E2805" t="s">
        <v>293</v>
      </c>
      <c r="F2805" s="47" t="str">
        <f>+Centro_Cuenta8[[#This Row],[Codigo Centro Gestion]]&amp;" - "&amp;Centro_Cuenta8[[#This Row],[Nombre Centro Gestion]]</f>
        <v xml:space="preserve">1115202 - Terreno Tranquila – Inversiones </v>
      </c>
      <c r="G2805" s="47" t="str">
        <f>+Centro_Cuenta8[[#This Row],[Código Cuenta Contable]]&amp;" - "&amp;Centro_Cuenta8[[#This Row],[Nombre de Cuenta Contable]]</f>
        <v>1115170 - Permisos Y Otros Gastos Municipales</v>
      </c>
      <c r="H2805" s="146" t="str">
        <f>+VLOOKUP(D2805,'3. Cuentas'!A:F,6,0)</f>
        <v>SI</v>
      </c>
    </row>
    <row r="2806" spans="1:8" x14ac:dyDescent="0.25">
      <c r="A2806" s="43">
        <v>1115202</v>
      </c>
      <c r="B2806" t="s">
        <v>750</v>
      </c>
      <c r="C2806" s="43" t="s">
        <v>1578</v>
      </c>
      <c r="D2806" s="43">
        <v>1115240</v>
      </c>
      <c r="E2806" t="s">
        <v>294</v>
      </c>
      <c r="F2806" s="47" t="str">
        <f>+Centro_Cuenta8[[#This Row],[Codigo Centro Gestion]]&amp;" - "&amp;Centro_Cuenta8[[#This Row],[Nombre Centro Gestion]]</f>
        <v xml:space="preserve">1115202 - Terreno Tranquila – Inversiones </v>
      </c>
      <c r="G2806" s="47" t="str">
        <f>+Centro_Cuenta8[[#This Row],[Código Cuenta Contable]]&amp;" - "&amp;Centro_Cuenta8[[#This Row],[Nombre de Cuenta Contable]]</f>
        <v>1115240 - Estudios Y Asesorias Técnicas</v>
      </c>
      <c r="H2806" s="146" t="str">
        <f>+VLOOKUP(D2806,'3. Cuentas'!A:F,6,0)</f>
        <v>SI</v>
      </c>
    </row>
    <row r="2807" spans="1:8" x14ac:dyDescent="0.25">
      <c r="A2807" s="43">
        <v>1115202</v>
      </c>
      <c r="B2807" t="s">
        <v>750</v>
      </c>
      <c r="C2807" s="43" t="s">
        <v>1578</v>
      </c>
      <c r="D2807" s="43">
        <v>4203090</v>
      </c>
      <c r="E2807" t="s">
        <v>192</v>
      </c>
      <c r="F2807" s="47" t="str">
        <f>+Centro_Cuenta8[[#This Row],[Codigo Centro Gestion]]&amp;" - "&amp;Centro_Cuenta8[[#This Row],[Nombre Centro Gestion]]</f>
        <v xml:space="preserve">1115202 - Terreno Tranquila – Inversiones </v>
      </c>
      <c r="G2807" s="47" t="str">
        <f>+Centro_Cuenta8[[#This Row],[Código Cuenta Contable]]&amp;" - "&amp;Centro_Cuenta8[[#This Row],[Nombre de Cuenta Contable]]</f>
        <v>4203090 - Gastos Legales Y Notariales Proyecto</v>
      </c>
      <c r="H2807" s="146" t="str">
        <f>+VLOOKUP(D2807,'3. Cuentas'!A:F,6,0)</f>
        <v>SI</v>
      </c>
    </row>
    <row r="2808" spans="1:8" x14ac:dyDescent="0.25">
      <c r="A2808" s="43">
        <v>1117202</v>
      </c>
      <c r="B2808" t="s">
        <v>751</v>
      </c>
      <c r="C2808" s="43" t="s">
        <v>1578</v>
      </c>
      <c r="D2808" s="43">
        <v>1115040</v>
      </c>
      <c r="E2808" t="s">
        <v>291</v>
      </c>
      <c r="F2808" s="47" t="str">
        <f>+Centro_Cuenta8[[#This Row],[Codigo Centro Gestion]]&amp;" - "&amp;Centro_Cuenta8[[#This Row],[Nombre Centro Gestion]]</f>
        <v xml:space="preserve">1117202 - Terreno Santa Corina – Inversiones </v>
      </c>
      <c r="G2808" s="47" t="str">
        <f>+Centro_Cuenta8[[#This Row],[Código Cuenta Contable]]&amp;" - "&amp;Centro_Cuenta8[[#This Row],[Nombre de Cuenta Contable]]</f>
        <v>1115040 - Saneamiento De Terreno</v>
      </c>
      <c r="H2808" s="146" t="str">
        <f>+VLOOKUP(D2808,'3. Cuentas'!A:F,6,0)</f>
        <v>SI</v>
      </c>
    </row>
    <row r="2809" spans="1:8" x14ac:dyDescent="0.25">
      <c r="A2809" s="43">
        <v>1117202</v>
      </c>
      <c r="B2809" t="s">
        <v>751</v>
      </c>
      <c r="C2809" s="43" t="s">
        <v>1578</v>
      </c>
      <c r="D2809" s="43">
        <v>1115170</v>
      </c>
      <c r="E2809" t="s">
        <v>293</v>
      </c>
      <c r="F2809" s="47" t="str">
        <f>+Centro_Cuenta8[[#This Row],[Codigo Centro Gestion]]&amp;" - "&amp;Centro_Cuenta8[[#This Row],[Nombre Centro Gestion]]</f>
        <v xml:space="preserve">1117202 - Terreno Santa Corina – Inversiones </v>
      </c>
      <c r="G2809" s="47" t="str">
        <f>+Centro_Cuenta8[[#This Row],[Código Cuenta Contable]]&amp;" - "&amp;Centro_Cuenta8[[#This Row],[Nombre de Cuenta Contable]]</f>
        <v>1115170 - Permisos Y Otros Gastos Municipales</v>
      </c>
      <c r="H2809" s="146" t="str">
        <f>+VLOOKUP(D2809,'3. Cuentas'!A:F,6,0)</f>
        <v>SI</v>
      </c>
    </row>
    <row r="2810" spans="1:8" x14ac:dyDescent="0.25">
      <c r="A2810" s="43">
        <v>1117202</v>
      </c>
      <c r="B2810" t="s">
        <v>751</v>
      </c>
      <c r="C2810" s="43" t="s">
        <v>1578</v>
      </c>
      <c r="D2810" s="43">
        <v>1115240</v>
      </c>
      <c r="E2810" t="s">
        <v>294</v>
      </c>
      <c r="F2810" s="47" t="str">
        <f>+Centro_Cuenta8[[#This Row],[Codigo Centro Gestion]]&amp;" - "&amp;Centro_Cuenta8[[#This Row],[Nombre Centro Gestion]]</f>
        <v xml:space="preserve">1117202 - Terreno Santa Corina – Inversiones </v>
      </c>
      <c r="G2810" s="47" t="str">
        <f>+Centro_Cuenta8[[#This Row],[Código Cuenta Contable]]&amp;" - "&amp;Centro_Cuenta8[[#This Row],[Nombre de Cuenta Contable]]</f>
        <v>1115240 - Estudios Y Asesorias Técnicas</v>
      </c>
      <c r="H2810" s="146" t="str">
        <f>+VLOOKUP(D2810,'3. Cuentas'!A:F,6,0)</f>
        <v>SI</v>
      </c>
    </row>
    <row r="2811" spans="1:8" x14ac:dyDescent="0.25">
      <c r="A2811" s="43">
        <v>1117202</v>
      </c>
      <c r="B2811" t="s">
        <v>751</v>
      </c>
      <c r="C2811" s="43" t="s">
        <v>1578</v>
      </c>
      <c r="D2811" s="43">
        <v>4203090</v>
      </c>
      <c r="E2811" t="s">
        <v>192</v>
      </c>
      <c r="F2811" s="47" t="str">
        <f>+Centro_Cuenta8[[#This Row],[Codigo Centro Gestion]]&amp;" - "&amp;Centro_Cuenta8[[#This Row],[Nombre Centro Gestion]]</f>
        <v xml:space="preserve">1117202 - Terreno Santa Corina – Inversiones </v>
      </c>
      <c r="G2811" s="47" t="str">
        <f>+Centro_Cuenta8[[#This Row],[Código Cuenta Contable]]&amp;" - "&amp;Centro_Cuenta8[[#This Row],[Nombre de Cuenta Contable]]</f>
        <v>4203090 - Gastos Legales Y Notariales Proyecto</v>
      </c>
      <c r="H2811" s="146" t="str">
        <f>+VLOOKUP(D2811,'3. Cuentas'!A:F,6,0)</f>
        <v>SI</v>
      </c>
    </row>
    <row r="2812" spans="1:8" x14ac:dyDescent="0.25">
      <c r="A2812" s="43">
        <v>1118202</v>
      </c>
      <c r="B2812" t="s">
        <v>752</v>
      </c>
      <c r="C2812" s="43" t="s">
        <v>1578</v>
      </c>
      <c r="D2812" s="43">
        <v>1115040</v>
      </c>
      <c r="E2812" t="s">
        <v>291</v>
      </c>
      <c r="F2812" s="47" t="str">
        <f>+Centro_Cuenta8[[#This Row],[Codigo Centro Gestion]]&amp;" - "&amp;Centro_Cuenta8[[#This Row],[Nombre Centro Gestion]]</f>
        <v xml:space="preserve">1118202 - Terreno Lia Aguirre - Inversiones </v>
      </c>
      <c r="G2812" s="47" t="str">
        <f>+Centro_Cuenta8[[#This Row],[Código Cuenta Contable]]&amp;" - "&amp;Centro_Cuenta8[[#This Row],[Nombre de Cuenta Contable]]</f>
        <v>1115040 - Saneamiento De Terreno</v>
      </c>
      <c r="H2812" s="146" t="str">
        <f>+VLOOKUP(D2812,'3. Cuentas'!A:F,6,0)</f>
        <v>SI</v>
      </c>
    </row>
    <row r="2813" spans="1:8" x14ac:dyDescent="0.25">
      <c r="A2813" s="43">
        <v>1118202</v>
      </c>
      <c r="B2813" t="s">
        <v>752</v>
      </c>
      <c r="C2813" s="43" t="s">
        <v>1578</v>
      </c>
      <c r="D2813" s="43">
        <v>1115170</v>
      </c>
      <c r="E2813" t="s">
        <v>293</v>
      </c>
      <c r="F2813" s="47" t="str">
        <f>+Centro_Cuenta8[[#This Row],[Codigo Centro Gestion]]&amp;" - "&amp;Centro_Cuenta8[[#This Row],[Nombre Centro Gestion]]</f>
        <v xml:space="preserve">1118202 - Terreno Lia Aguirre - Inversiones </v>
      </c>
      <c r="G2813" s="47" t="str">
        <f>+Centro_Cuenta8[[#This Row],[Código Cuenta Contable]]&amp;" - "&amp;Centro_Cuenta8[[#This Row],[Nombre de Cuenta Contable]]</f>
        <v>1115170 - Permisos Y Otros Gastos Municipales</v>
      </c>
      <c r="H2813" s="146" t="str">
        <f>+VLOOKUP(D2813,'3. Cuentas'!A:F,6,0)</f>
        <v>SI</v>
      </c>
    </row>
    <row r="2814" spans="1:8" x14ac:dyDescent="0.25">
      <c r="A2814" s="43">
        <v>1118202</v>
      </c>
      <c r="B2814" t="s">
        <v>752</v>
      </c>
      <c r="C2814" s="43" t="s">
        <v>1578</v>
      </c>
      <c r="D2814" s="43">
        <v>1115240</v>
      </c>
      <c r="E2814" t="s">
        <v>294</v>
      </c>
      <c r="F2814" s="47" t="str">
        <f>+Centro_Cuenta8[[#This Row],[Codigo Centro Gestion]]&amp;" - "&amp;Centro_Cuenta8[[#This Row],[Nombre Centro Gestion]]</f>
        <v xml:space="preserve">1118202 - Terreno Lia Aguirre - Inversiones </v>
      </c>
      <c r="G2814" s="47" t="str">
        <f>+Centro_Cuenta8[[#This Row],[Código Cuenta Contable]]&amp;" - "&amp;Centro_Cuenta8[[#This Row],[Nombre de Cuenta Contable]]</f>
        <v>1115240 - Estudios Y Asesorias Técnicas</v>
      </c>
      <c r="H2814" s="146" t="str">
        <f>+VLOOKUP(D2814,'3. Cuentas'!A:F,6,0)</f>
        <v>SI</v>
      </c>
    </row>
    <row r="2815" spans="1:8" x14ac:dyDescent="0.25">
      <c r="A2815" s="43">
        <v>1118202</v>
      </c>
      <c r="B2815" t="s">
        <v>752</v>
      </c>
      <c r="C2815" s="43" t="s">
        <v>1578</v>
      </c>
      <c r="D2815" s="43">
        <v>4203090</v>
      </c>
      <c r="E2815" t="s">
        <v>192</v>
      </c>
      <c r="F2815" s="47" t="str">
        <f>+Centro_Cuenta8[[#This Row],[Codigo Centro Gestion]]&amp;" - "&amp;Centro_Cuenta8[[#This Row],[Nombre Centro Gestion]]</f>
        <v xml:space="preserve">1118202 - Terreno Lia Aguirre - Inversiones </v>
      </c>
      <c r="G2815" s="47" t="str">
        <f>+Centro_Cuenta8[[#This Row],[Código Cuenta Contable]]&amp;" - "&amp;Centro_Cuenta8[[#This Row],[Nombre de Cuenta Contable]]</f>
        <v>4203090 - Gastos Legales Y Notariales Proyecto</v>
      </c>
      <c r="H2815" s="146" t="str">
        <f>+VLOOKUP(D2815,'3. Cuentas'!A:F,6,0)</f>
        <v>SI</v>
      </c>
    </row>
    <row r="2816" spans="1:8" x14ac:dyDescent="0.25">
      <c r="A2816" s="43">
        <v>1119202</v>
      </c>
      <c r="B2816" t="s">
        <v>753</v>
      </c>
      <c r="C2816" s="43" t="s">
        <v>1578</v>
      </c>
      <c r="D2816" s="43">
        <v>1115040</v>
      </c>
      <c r="E2816" t="s">
        <v>291</v>
      </c>
      <c r="F2816" s="47" t="str">
        <f>+Centro_Cuenta8[[#This Row],[Codigo Centro Gestion]]&amp;" - "&amp;Centro_Cuenta8[[#This Row],[Nombre Centro Gestion]]</f>
        <v>1119202 - Terreno García Reyes 68 – Inversiones</v>
      </c>
      <c r="G2816" s="47" t="str">
        <f>+Centro_Cuenta8[[#This Row],[Código Cuenta Contable]]&amp;" - "&amp;Centro_Cuenta8[[#This Row],[Nombre de Cuenta Contable]]</f>
        <v>1115040 - Saneamiento De Terreno</v>
      </c>
      <c r="H2816" s="146" t="str">
        <f>+VLOOKUP(D2816,'3. Cuentas'!A:F,6,0)</f>
        <v>SI</v>
      </c>
    </row>
    <row r="2817" spans="1:8" x14ac:dyDescent="0.25">
      <c r="A2817" s="43">
        <v>1119202</v>
      </c>
      <c r="B2817" t="s">
        <v>753</v>
      </c>
      <c r="C2817" s="43" t="s">
        <v>1578</v>
      </c>
      <c r="D2817" s="43">
        <v>1115170</v>
      </c>
      <c r="E2817" t="s">
        <v>293</v>
      </c>
      <c r="F2817" s="47" t="str">
        <f>+Centro_Cuenta8[[#This Row],[Codigo Centro Gestion]]&amp;" - "&amp;Centro_Cuenta8[[#This Row],[Nombre Centro Gestion]]</f>
        <v>1119202 - Terreno García Reyes 68 – Inversiones</v>
      </c>
      <c r="G2817" s="47" t="str">
        <f>+Centro_Cuenta8[[#This Row],[Código Cuenta Contable]]&amp;" - "&amp;Centro_Cuenta8[[#This Row],[Nombre de Cuenta Contable]]</f>
        <v>1115170 - Permisos Y Otros Gastos Municipales</v>
      </c>
      <c r="H2817" s="146" t="str">
        <f>+VLOOKUP(D2817,'3. Cuentas'!A:F,6,0)</f>
        <v>SI</v>
      </c>
    </row>
    <row r="2818" spans="1:8" x14ac:dyDescent="0.25">
      <c r="A2818" s="43">
        <v>1119202</v>
      </c>
      <c r="B2818" t="s">
        <v>753</v>
      </c>
      <c r="C2818" s="43" t="s">
        <v>1578</v>
      </c>
      <c r="D2818" s="43">
        <v>1115240</v>
      </c>
      <c r="E2818" t="s">
        <v>294</v>
      </c>
      <c r="F2818" s="47" t="str">
        <f>+Centro_Cuenta8[[#This Row],[Codigo Centro Gestion]]&amp;" - "&amp;Centro_Cuenta8[[#This Row],[Nombre Centro Gestion]]</f>
        <v>1119202 - Terreno García Reyes 68 – Inversiones</v>
      </c>
      <c r="G2818" s="47" t="str">
        <f>+Centro_Cuenta8[[#This Row],[Código Cuenta Contable]]&amp;" - "&amp;Centro_Cuenta8[[#This Row],[Nombre de Cuenta Contable]]</f>
        <v>1115240 - Estudios Y Asesorias Técnicas</v>
      </c>
      <c r="H2818" s="146" t="str">
        <f>+VLOOKUP(D2818,'3. Cuentas'!A:F,6,0)</f>
        <v>SI</v>
      </c>
    </row>
    <row r="2819" spans="1:8" x14ac:dyDescent="0.25">
      <c r="A2819" s="43">
        <v>1119202</v>
      </c>
      <c r="B2819" t="s">
        <v>753</v>
      </c>
      <c r="C2819" s="43" t="s">
        <v>1578</v>
      </c>
      <c r="D2819" s="43">
        <v>4203090</v>
      </c>
      <c r="E2819" t="s">
        <v>192</v>
      </c>
      <c r="F2819" s="47" t="str">
        <f>+Centro_Cuenta8[[#This Row],[Codigo Centro Gestion]]&amp;" - "&amp;Centro_Cuenta8[[#This Row],[Nombre Centro Gestion]]</f>
        <v>1119202 - Terreno García Reyes 68 – Inversiones</v>
      </c>
      <c r="G2819" s="47" t="str">
        <f>+Centro_Cuenta8[[#This Row],[Código Cuenta Contable]]&amp;" - "&amp;Centro_Cuenta8[[#This Row],[Nombre de Cuenta Contable]]</f>
        <v>4203090 - Gastos Legales Y Notariales Proyecto</v>
      </c>
      <c r="H2819" s="146" t="str">
        <f>+VLOOKUP(D2819,'3. Cuentas'!A:F,6,0)</f>
        <v>SI</v>
      </c>
    </row>
    <row r="2820" spans="1:8" x14ac:dyDescent="0.25">
      <c r="A2820" s="43">
        <v>1121202</v>
      </c>
      <c r="B2820" t="s">
        <v>754</v>
      </c>
      <c r="C2820" s="43" t="s">
        <v>1578</v>
      </c>
      <c r="D2820" s="43">
        <v>1115040</v>
      </c>
      <c r="E2820" t="s">
        <v>291</v>
      </c>
      <c r="F2820" s="47" t="str">
        <f>+Centro_Cuenta8[[#This Row],[Codigo Centro Gestion]]&amp;" - "&amp;Centro_Cuenta8[[#This Row],[Nombre Centro Gestion]]</f>
        <v>1121202 - Terreno 18 de Septiembre– Inversiones</v>
      </c>
      <c r="G2820" s="47" t="str">
        <f>+Centro_Cuenta8[[#This Row],[Código Cuenta Contable]]&amp;" - "&amp;Centro_Cuenta8[[#This Row],[Nombre de Cuenta Contable]]</f>
        <v>1115040 - Saneamiento De Terreno</v>
      </c>
      <c r="H2820" s="146" t="str">
        <f>+VLOOKUP(D2820,'3. Cuentas'!A:F,6,0)</f>
        <v>SI</v>
      </c>
    </row>
    <row r="2821" spans="1:8" x14ac:dyDescent="0.25">
      <c r="A2821" s="43">
        <v>1121202</v>
      </c>
      <c r="B2821" t="s">
        <v>754</v>
      </c>
      <c r="C2821" s="43" t="s">
        <v>1578</v>
      </c>
      <c r="D2821" s="43">
        <v>1115170</v>
      </c>
      <c r="E2821" t="s">
        <v>293</v>
      </c>
      <c r="F2821" s="47" t="str">
        <f>+Centro_Cuenta8[[#This Row],[Codigo Centro Gestion]]&amp;" - "&amp;Centro_Cuenta8[[#This Row],[Nombre Centro Gestion]]</f>
        <v>1121202 - Terreno 18 de Septiembre– Inversiones</v>
      </c>
      <c r="G2821" s="47" t="str">
        <f>+Centro_Cuenta8[[#This Row],[Código Cuenta Contable]]&amp;" - "&amp;Centro_Cuenta8[[#This Row],[Nombre de Cuenta Contable]]</f>
        <v>1115170 - Permisos Y Otros Gastos Municipales</v>
      </c>
      <c r="H2821" s="146" t="str">
        <f>+VLOOKUP(D2821,'3. Cuentas'!A:F,6,0)</f>
        <v>SI</v>
      </c>
    </row>
    <row r="2822" spans="1:8" x14ac:dyDescent="0.25">
      <c r="A2822" s="43">
        <v>1121202</v>
      </c>
      <c r="B2822" t="s">
        <v>754</v>
      </c>
      <c r="C2822" s="43" t="s">
        <v>1578</v>
      </c>
      <c r="D2822" s="43">
        <v>1115240</v>
      </c>
      <c r="E2822" t="s">
        <v>294</v>
      </c>
      <c r="F2822" s="47" t="str">
        <f>+Centro_Cuenta8[[#This Row],[Codigo Centro Gestion]]&amp;" - "&amp;Centro_Cuenta8[[#This Row],[Nombre Centro Gestion]]</f>
        <v>1121202 - Terreno 18 de Septiembre– Inversiones</v>
      </c>
      <c r="G2822" s="47" t="str">
        <f>+Centro_Cuenta8[[#This Row],[Código Cuenta Contable]]&amp;" - "&amp;Centro_Cuenta8[[#This Row],[Nombre de Cuenta Contable]]</f>
        <v>1115240 - Estudios Y Asesorias Técnicas</v>
      </c>
      <c r="H2822" s="146" t="str">
        <f>+VLOOKUP(D2822,'3. Cuentas'!A:F,6,0)</f>
        <v>SI</v>
      </c>
    </row>
    <row r="2823" spans="1:8" x14ac:dyDescent="0.25">
      <c r="A2823" s="43">
        <v>1121202</v>
      </c>
      <c r="B2823" t="s">
        <v>754</v>
      </c>
      <c r="C2823" s="43" t="s">
        <v>1578</v>
      </c>
      <c r="D2823" s="43">
        <v>4203090</v>
      </c>
      <c r="E2823" t="s">
        <v>192</v>
      </c>
      <c r="F2823" s="47" t="str">
        <f>+Centro_Cuenta8[[#This Row],[Codigo Centro Gestion]]&amp;" - "&amp;Centro_Cuenta8[[#This Row],[Nombre Centro Gestion]]</f>
        <v>1121202 - Terreno 18 de Septiembre– Inversiones</v>
      </c>
      <c r="G2823" s="47" t="str">
        <f>+Centro_Cuenta8[[#This Row],[Código Cuenta Contable]]&amp;" - "&amp;Centro_Cuenta8[[#This Row],[Nombre de Cuenta Contable]]</f>
        <v>4203090 - Gastos Legales Y Notariales Proyecto</v>
      </c>
      <c r="H2823" s="146" t="str">
        <f>+VLOOKUP(D2823,'3. Cuentas'!A:F,6,0)</f>
        <v>SI</v>
      </c>
    </row>
    <row r="2824" spans="1:8" x14ac:dyDescent="0.25">
      <c r="A2824" s="43">
        <v>1122202</v>
      </c>
      <c r="B2824" t="s">
        <v>755</v>
      </c>
      <c r="C2824" s="43" t="s">
        <v>1578</v>
      </c>
      <c r="D2824" s="43">
        <v>1115040</v>
      </c>
      <c r="E2824" t="s">
        <v>291</v>
      </c>
      <c r="F2824" s="47" t="str">
        <f>+Centro_Cuenta8[[#This Row],[Codigo Centro Gestion]]&amp;" - "&amp;Centro_Cuenta8[[#This Row],[Nombre Centro Gestion]]</f>
        <v>1122202 - Terreno Lago Ranco 1890 – Inversiones</v>
      </c>
      <c r="G2824" s="47" t="str">
        <f>+Centro_Cuenta8[[#This Row],[Código Cuenta Contable]]&amp;" - "&amp;Centro_Cuenta8[[#This Row],[Nombre de Cuenta Contable]]</f>
        <v>1115040 - Saneamiento De Terreno</v>
      </c>
      <c r="H2824" s="146" t="str">
        <f>+VLOOKUP(D2824,'3. Cuentas'!A:F,6,0)</f>
        <v>SI</v>
      </c>
    </row>
    <row r="2825" spans="1:8" x14ac:dyDescent="0.25">
      <c r="A2825" s="43">
        <v>1122202</v>
      </c>
      <c r="B2825" t="s">
        <v>755</v>
      </c>
      <c r="C2825" s="43" t="s">
        <v>1578</v>
      </c>
      <c r="D2825" s="43">
        <v>1115170</v>
      </c>
      <c r="E2825" t="s">
        <v>293</v>
      </c>
      <c r="F2825" s="47" t="str">
        <f>+Centro_Cuenta8[[#This Row],[Codigo Centro Gestion]]&amp;" - "&amp;Centro_Cuenta8[[#This Row],[Nombre Centro Gestion]]</f>
        <v>1122202 - Terreno Lago Ranco 1890 – Inversiones</v>
      </c>
      <c r="G2825" s="47" t="str">
        <f>+Centro_Cuenta8[[#This Row],[Código Cuenta Contable]]&amp;" - "&amp;Centro_Cuenta8[[#This Row],[Nombre de Cuenta Contable]]</f>
        <v>1115170 - Permisos Y Otros Gastos Municipales</v>
      </c>
      <c r="H2825" s="146" t="str">
        <f>+VLOOKUP(D2825,'3. Cuentas'!A:F,6,0)</f>
        <v>SI</v>
      </c>
    </row>
    <row r="2826" spans="1:8" x14ac:dyDescent="0.25">
      <c r="A2826" s="43">
        <v>1122202</v>
      </c>
      <c r="B2826" t="s">
        <v>755</v>
      </c>
      <c r="C2826" s="43" t="s">
        <v>1578</v>
      </c>
      <c r="D2826" s="43">
        <v>1115240</v>
      </c>
      <c r="E2826" t="s">
        <v>294</v>
      </c>
      <c r="F2826" s="47" t="str">
        <f>+Centro_Cuenta8[[#This Row],[Codigo Centro Gestion]]&amp;" - "&amp;Centro_Cuenta8[[#This Row],[Nombre Centro Gestion]]</f>
        <v>1122202 - Terreno Lago Ranco 1890 – Inversiones</v>
      </c>
      <c r="G2826" s="47" t="str">
        <f>+Centro_Cuenta8[[#This Row],[Código Cuenta Contable]]&amp;" - "&amp;Centro_Cuenta8[[#This Row],[Nombre de Cuenta Contable]]</f>
        <v>1115240 - Estudios Y Asesorias Técnicas</v>
      </c>
      <c r="H2826" s="146" t="str">
        <f>+VLOOKUP(D2826,'3. Cuentas'!A:F,6,0)</f>
        <v>SI</v>
      </c>
    </row>
    <row r="2827" spans="1:8" x14ac:dyDescent="0.25">
      <c r="A2827" s="43">
        <v>1122202</v>
      </c>
      <c r="B2827" t="s">
        <v>755</v>
      </c>
      <c r="C2827" s="43" t="s">
        <v>1578</v>
      </c>
      <c r="D2827" s="43">
        <v>4203090</v>
      </c>
      <c r="E2827" t="s">
        <v>192</v>
      </c>
      <c r="F2827" s="47" t="str">
        <f>+Centro_Cuenta8[[#This Row],[Codigo Centro Gestion]]&amp;" - "&amp;Centro_Cuenta8[[#This Row],[Nombre Centro Gestion]]</f>
        <v>1122202 - Terreno Lago Ranco 1890 – Inversiones</v>
      </c>
      <c r="G2827" s="47" t="str">
        <f>+Centro_Cuenta8[[#This Row],[Código Cuenta Contable]]&amp;" - "&amp;Centro_Cuenta8[[#This Row],[Nombre de Cuenta Contable]]</f>
        <v>4203090 - Gastos Legales Y Notariales Proyecto</v>
      </c>
      <c r="H2827" s="146" t="str">
        <f>+VLOOKUP(D2827,'3. Cuentas'!A:F,6,0)</f>
        <v>SI</v>
      </c>
    </row>
    <row r="2828" spans="1:8" x14ac:dyDescent="0.25">
      <c r="A2828" s="43">
        <v>1125202</v>
      </c>
      <c r="B2828" t="s">
        <v>757</v>
      </c>
      <c r="C2828" s="43" t="s">
        <v>1578</v>
      </c>
      <c r="D2828" s="43">
        <v>1115040</v>
      </c>
      <c r="E2828" t="s">
        <v>291</v>
      </c>
      <c r="F2828" s="47" t="str">
        <f>+Centro_Cuenta8[[#This Row],[Codigo Centro Gestion]]&amp;" - "&amp;Centro_Cuenta8[[#This Row],[Nombre Centro Gestion]]</f>
        <v>1125202 - Terreno Edificio Vista Horizonte – Inversiones</v>
      </c>
      <c r="G2828" s="47" t="str">
        <f>+Centro_Cuenta8[[#This Row],[Código Cuenta Contable]]&amp;" - "&amp;Centro_Cuenta8[[#This Row],[Nombre de Cuenta Contable]]</f>
        <v>1115040 - Saneamiento De Terreno</v>
      </c>
      <c r="H2828" s="146" t="str">
        <f>+VLOOKUP(D2828,'3. Cuentas'!A:F,6,0)</f>
        <v>SI</v>
      </c>
    </row>
    <row r="2829" spans="1:8" x14ac:dyDescent="0.25">
      <c r="A2829" s="43">
        <v>1125202</v>
      </c>
      <c r="B2829" t="s">
        <v>757</v>
      </c>
      <c r="C2829" s="43" t="s">
        <v>1578</v>
      </c>
      <c r="D2829" s="43">
        <v>1115170</v>
      </c>
      <c r="E2829" t="s">
        <v>293</v>
      </c>
      <c r="F2829" s="47" t="str">
        <f>+Centro_Cuenta8[[#This Row],[Codigo Centro Gestion]]&amp;" - "&amp;Centro_Cuenta8[[#This Row],[Nombre Centro Gestion]]</f>
        <v>1125202 - Terreno Edificio Vista Horizonte – Inversiones</v>
      </c>
      <c r="G2829" s="47" t="str">
        <f>+Centro_Cuenta8[[#This Row],[Código Cuenta Contable]]&amp;" - "&amp;Centro_Cuenta8[[#This Row],[Nombre de Cuenta Contable]]</f>
        <v>1115170 - Permisos Y Otros Gastos Municipales</v>
      </c>
      <c r="H2829" s="146" t="str">
        <f>+VLOOKUP(D2829,'3. Cuentas'!A:F,6,0)</f>
        <v>SI</v>
      </c>
    </row>
    <row r="2830" spans="1:8" x14ac:dyDescent="0.25">
      <c r="A2830" s="43">
        <v>1125202</v>
      </c>
      <c r="B2830" t="s">
        <v>757</v>
      </c>
      <c r="C2830" s="43" t="s">
        <v>1578</v>
      </c>
      <c r="D2830" s="43">
        <v>1115240</v>
      </c>
      <c r="E2830" t="s">
        <v>294</v>
      </c>
      <c r="F2830" s="47" t="str">
        <f>+Centro_Cuenta8[[#This Row],[Codigo Centro Gestion]]&amp;" - "&amp;Centro_Cuenta8[[#This Row],[Nombre Centro Gestion]]</f>
        <v>1125202 - Terreno Edificio Vista Horizonte – Inversiones</v>
      </c>
      <c r="G2830" s="47" t="str">
        <f>+Centro_Cuenta8[[#This Row],[Código Cuenta Contable]]&amp;" - "&amp;Centro_Cuenta8[[#This Row],[Nombre de Cuenta Contable]]</f>
        <v>1115240 - Estudios Y Asesorias Técnicas</v>
      </c>
      <c r="H2830" s="146" t="str">
        <f>+VLOOKUP(D2830,'3. Cuentas'!A:F,6,0)</f>
        <v>SI</v>
      </c>
    </row>
    <row r="2831" spans="1:8" x14ac:dyDescent="0.25">
      <c r="A2831" s="43">
        <v>1125202</v>
      </c>
      <c r="B2831" t="s">
        <v>757</v>
      </c>
      <c r="C2831" s="43" t="s">
        <v>1578</v>
      </c>
      <c r="D2831" s="43">
        <v>4203090</v>
      </c>
      <c r="E2831" t="s">
        <v>192</v>
      </c>
      <c r="F2831" s="47" t="str">
        <f>+Centro_Cuenta8[[#This Row],[Codigo Centro Gestion]]&amp;" - "&amp;Centro_Cuenta8[[#This Row],[Nombre Centro Gestion]]</f>
        <v>1125202 - Terreno Edificio Vista Horizonte – Inversiones</v>
      </c>
      <c r="G2831" s="47" t="str">
        <f>+Centro_Cuenta8[[#This Row],[Código Cuenta Contable]]&amp;" - "&amp;Centro_Cuenta8[[#This Row],[Nombre de Cuenta Contable]]</f>
        <v>4203090 - Gastos Legales Y Notariales Proyecto</v>
      </c>
      <c r="H2831" s="146" t="str">
        <f>+VLOOKUP(D2831,'3. Cuentas'!A:F,6,0)</f>
        <v>SI</v>
      </c>
    </row>
    <row r="2832" spans="1:8" x14ac:dyDescent="0.25">
      <c r="A2832" s="43">
        <v>1126202</v>
      </c>
      <c r="B2832" t="s">
        <v>758</v>
      </c>
      <c r="C2832" s="43" t="s">
        <v>1578</v>
      </c>
      <c r="D2832" s="43">
        <v>1115040</v>
      </c>
      <c r="E2832" t="s">
        <v>291</v>
      </c>
      <c r="F2832" s="47" t="str">
        <f>+Centro_Cuenta8[[#This Row],[Codigo Centro Gestion]]&amp;" - "&amp;Centro_Cuenta8[[#This Row],[Nombre Centro Gestion]]</f>
        <v>1126202 - Terreno Edificio Parque Urbano 1589 – Inversiones</v>
      </c>
      <c r="G2832" s="47" t="str">
        <f>+Centro_Cuenta8[[#This Row],[Código Cuenta Contable]]&amp;" - "&amp;Centro_Cuenta8[[#This Row],[Nombre de Cuenta Contable]]</f>
        <v>1115040 - Saneamiento De Terreno</v>
      </c>
      <c r="H2832" s="146" t="str">
        <f>+VLOOKUP(D2832,'3. Cuentas'!A:F,6,0)</f>
        <v>SI</v>
      </c>
    </row>
    <row r="2833" spans="1:8" x14ac:dyDescent="0.25">
      <c r="A2833" s="43">
        <v>1126202</v>
      </c>
      <c r="B2833" t="s">
        <v>758</v>
      </c>
      <c r="C2833" s="43" t="s">
        <v>1578</v>
      </c>
      <c r="D2833" s="43">
        <v>1115170</v>
      </c>
      <c r="E2833" t="s">
        <v>293</v>
      </c>
      <c r="F2833" s="47" t="str">
        <f>+Centro_Cuenta8[[#This Row],[Codigo Centro Gestion]]&amp;" - "&amp;Centro_Cuenta8[[#This Row],[Nombre Centro Gestion]]</f>
        <v>1126202 - Terreno Edificio Parque Urbano 1589 – Inversiones</v>
      </c>
      <c r="G2833" s="47" t="str">
        <f>+Centro_Cuenta8[[#This Row],[Código Cuenta Contable]]&amp;" - "&amp;Centro_Cuenta8[[#This Row],[Nombre de Cuenta Contable]]</f>
        <v>1115170 - Permisos Y Otros Gastos Municipales</v>
      </c>
      <c r="H2833" s="146" t="str">
        <f>+VLOOKUP(D2833,'3. Cuentas'!A:F,6,0)</f>
        <v>SI</v>
      </c>
    </row>
    <row r="2834" spans="1:8" x14ac:dyDescent="0.25">
      <c r="A2834" s="43">
        <v>1126202</v>
      </c>
      <c r="B2834" t="s">
        <v>758</v>
      </c>
      <c r="C2834" s="43" t="s">
        <v>1578</v>
      </c>
      <c r="D2834" s="43">
        <v>1115240</v>
      </c>
      <c r="E2834" t="s">
        <v>294</v>
      </c>
      <c r="F2834" s="47" t="str">
        <f>+Centro_Cuenta8[[#This Row],[Codigo Centro Gestion]]&amp;" - "&amp;Centro_Cuenta8[[#This Row],[Nombre Centro Gestion]]</f>
        <v>1126202 - Terreno Edificio Parque Urbano 1589 – Inversiones</v>
      </c>
      <c r="G2834" s="47" t="str">
        <f>+Centro_Cuenta8[[#This Row],[Código Cuenta Contable]]&amp;" - "&amp;Centro_Cuenta8[[#This Row],[Nombre de Cuenta Contable]]</f>
        <v>1115240 - Estudios Y Asesorias Técnicas</v>
      </c>
      <c r="H2834" s="146" t="str">
        <f>+VLOOKUP(D2834,'3. Cuentas'!A:F,6,0)</f>
        <v>SI</v>
      </c>
    </row>
    <row r="2835" spans="1:8" x14ac:dyDescent="0.25">
      <c r="A2835" s="43">
        <v>1126202</v>
      </c>
      <c r="B2835" t="s">
        <v>758</v>
      </c>
      <c r="C2835" s="43" t="s">
        <v>1578</v>
      </c>
      <c r="D2835" s="43">
        <v>4203090</v>
      </c>
      <c r="E2835" t="s">
        <v>192</v>
      </c>
      <c r="F2835" s="47" t="str">
        <f>+Centro_Cuenta8[[#This Row],[Codigo Centro Gestion]]&amp;" - "&amp;Centro_Cuenta8[[#This Row],[Nombre Centro Gestion]]</f>
        <v>1126202 - Terreno Edificio Parque Urbano 1589 – Inversiones</v>
      </c>
      <c r="G2835" s="47" t="str">
        <f>+Centro_Cuenta8[[#This Row],[Código Cuenta Contable]]&amp;" - "&amp;Centro_Cuenta8[[#This Row],[Nombre de Cuenta Contable]]</f>
        <v>4203090 - Gastos Legales Y Notariales Proyecto</v>
      </c>
      <c r="H2835" s="146" t="str">
        <f>+VLOOKUP(D2835,'3. Cuentas'!A:F,6,0)</f>
        <v>SI</v>
      </c>
    </row>
    <row r="2836" spans="1:8" x14ac:dyDescent="0.25">
      <c r="A2836" s="43">
        <v>1127202</v>
      </c>
      <c r="B2836" t="s">
        <v>759</v>
      </c>
      <c r="C2836" s="43" t="s">
        <v>1578</v>
      </c>
      <c r="D2836" s="43">
        <v>1115040</v>
      </c>
      <c r="E2836" t="s">
        <v>291</v>
      </c>
      <c r="F2836" s="47" t="str">
        <f>+Centro_Cuenta8[[#This Row],[Codigo Centro Gestion]]&amp;" - "&amp;Centro_Cuenta8[[#This Row],[Nombre Centro Gestion]]</f>
        <v>1127202 - Terreno Castillo Urízar 1845 – Inversiones</v>
      </c>
      <c r="G2836" s="47" t="str">
        <f>+Centro_Cuenta8[[#This Row],[Código Cuenta Contable]]&amp;" - "&amp;Centro_Cuenta8[[#This Row],[Nombre de Cuenta Contable]]</f>
        <v>1115040 - Saneamiento De Terreno</v>
      </c>
      <c r="H2836" s="146" t="str">
        <f>+VLOOKUP(D2836,'3. Cuentas'!A:F,6,0)</f>
        <v>SI</v>
      </c>
    </row>
    <row r="2837" spans="1:8" x14ac:dyDescent="0.25">
      <c r="A2837" s="43">
        <v>1127202</v>
      </c>
      <c r="B2837" t="s">
        <v>759</v>
      </c>
      <c r="C2837" s="43" t="s">
        <v>1578</v>
      </c>
      <c r="D2837" s="43">
        <v>1115170</v>
      </c>
      <c r="E2837" t="s">
        <v>293</v>
      </c>
      <c r="F2837" s="47" t="str">
        <f>+Centro_Cuenta8[[#This Row],[Codigo Centro Gestion]]&amp;" - "&amp;Centro_Cuenta8[[#This Row],[Nombre Centro Gestion]]</f>
        <v>1127202 - Terreno Castillo Urízar 1845 – Inversiones</v>
      </c>
      <c r="G2837" s="47" t="str">
        <f>+Centro_Cuenta8[[#This Row],[Código Cuenta Contable]]&amp;" - "&amp;Centro_Cuenta8[[#This Row],[Nombre de Cuenta Contable]]</f>
        <v>1115170 - Permisos Y Otros Gastos Municipales</v>
      </c>
      <c r="H2837" s="146" t="str">
        <f>+VLOOKUP(D2837,'3. Cuentas'!A:F,6,0)</f>
        <v>SI</v>
      </c>
    </row>
    <row r="2838" spans="1:8" x14ac:dyDescent="0.25">
      <c r="A2838" s="43">
        <v>1127202</v>
      </c>
      <c r="B2838" t="s">
        <v>759</v>
      </c>
      <c r="C2838" s="43" t="s">
        <v>1578</v>
      </c>
      <c r="D2838" s="43">
        <v>1115240</v>
      </c>
      <c r="E2838" t="s">
        <v>294</v>
      </c>
      <c r="F2838" s="47" t="str">
        <f>+Centro_Cuenta8[[#This Row],[Codigo Centro Gestion]]&amp;" - "&amp;Centro_Cuenta8[[#This Row],[Nombre Centro Gestion]]</f>
        <v>1127202 - Terreno Castillo Urízar 1845 – Inversiones</v>
      </c>
      <c r="G2838" s="47" t="str">
        <f>+Centro_Cuenta8[[#This Row],[Código Cuenta Contable]]&amp;" - "&amp;Centro_Cuenta8[[#This Row],[Nombre de Cuenta Contable]]</f>
        <v>1115240 - Estudios Y Asesorias Técnicas</v>
      </c>
      <c r="H2838" s="146" t="str">
        <f>+VLOOKUP(D2838,'3. Cuentas'!A:F,6,0)</f>
        <v>SI</v>
      </c>
    </row>
    <row r="2839" spans="1:8" x14ac:dyDescent="0.25">
      <c r="A2839" s="43">
        <v>1127202</v>
      </c>
      <c r="B2839" t="s">
        <v>759</v>
      </c>
      <c r="C2839" s="43" t="s">
        <v>1578</v>
      </c>
      <c r="D2839" s="43">
        <v>4203090</v>
      </c>
      <c r="E2839" t="s">
        <v>192</v>
      </c>
      <c r="F2839" s="47" t="str">
        <f>+Centro_Cuenta8[[#This Row],[Codigo Centro Gestion]]&amp;" - "&amp;Centro_Cuenta8[[#This Row],[Nombre Centro Gestion]]</f>
        <v>1127202 - Terreno Castillo Urízar 1845 – Inversiones</v>
      </c>
      <c r="G2839" s="47" t="str">
        <f>+Centro_Cuenta8[[#This Row],[Código Cuenta Contable]]&amp;" - "&amp;Centro_Cuenta8[[#This Row],[Nombre de Cuenta Contable]]</f>
        <v>4203090 - Gastos Legales Y Notariales Proyecto</v>
      </c>
      <c r="H2839" s="146" t="str">
        <f>+VLOOKUP(D2839,'3. Cuentas'!A:F,6,0)</f>
        <v>SI</v>
      </c>
    </row>
    <row r="2840" spans="1:8" x14ac:dyDescent="0.25">
      <c r="A2840" s="43">
        <v>1130202</v>
      </c>
      <c r="B2840" t="s">
        <v>760</v>
      </c>
      <c r="C2840" s="43" t="s">
        <v>1578</v>
      </c>
      <c r="D2840" s="43">
        <v>1115040</v>
      </c>
      <c r="E2840" t="s">
        <v>291</v>
      </c>
      <c r="F2840" s="47" t="str">
        <f>+Centro_Cuenta8[[#This Row],[Codigo Centro Gestion]]&amp;" - "&amp;Centro_Cuenta8[[#This Row],[Nombre Centro Gestion]]</f>
        <v xml:space="preserve">1130202 - Terreno Departamental 960 – Inversiones </v>
      </c>
      <c r="G2840" s="47" t="str">
        <f>+Centro_Cuenta8[[#This Row],[Código Cuenta Contable]]&amp;" - "&amp;Centro_Cuenta8[[#This Row],[Nombre de Cuenta Contable]]</f>
        <v>1115040 - Saneamiento De Terreno</v>
      </c>
      <c r="H2840" s="146" t="str">
        <f>+VLOOKUP(D2840,'3. Cuentas'!A:F,6,0)</f>
        <v>SI</v>
      </c>
    </row>
    <row r="2841" spans="1:8" x14ac:dyDescent="0.25">
      <c r="A2841" s="43">
        <v>1130202</v>
      </c>
      <c r="B2841" t="s">
        <v>760</v>
      </c>
      <c r="C2841" s="43" t="s">
        <v>1578</v>
      </c>
      <c r="D2841" s="43">
        <v>1115170</v>
      </c>
      <c r="E2841" t="s">
        <v>293</v>
      </c>
      <c r="F2841" s="47" t="str">
        <f>+Centro_Cuenta8[[#This Row],[Codigo Centro Gestion]]&amp;" - "&amp;Centro_Cuenta8[[#This Row],[Nombre Centro Gestion]]</f>
        <v xml:space="preserve">1130202 - Terreno Departamental 960 – Inversiones </v>
      </c>
      <c r="G2841" s="47" t="str">
        <f>+Centro_Cuenta8[[#This Row],[Código Cuenta Contable]]&amp;" - "&amp;Centro_Cuenta8[[#This Row],[Nombre de Cuenta Contable]]</f>
        <v>1115170 - Permisos Y Otros Gastos Municipales</v>
      </c>
      <c r="H2841" s="146" t="str">
        <f>+VLOOKUP(D2841,'3. Cuentas'!A:F,6,0)</f>
        <v>SI</v>
      </c>
    </row>
    <row r="2842" spans="1:8" x14ac:dyDescent="0.25">
      <c r="A2842" s="43">
        <v>1130202</v>
      </c>
      <c r="B2842" t="s">
        <v>760</v>
      </c>
      <c r="C2842" s="43" t="s">
        <v>1578</v>
      </c>
      <c r="D2842" s="43">
        <v>1115240</v>
      </c>
      <c r="E2842" t="s">
        <v>294</v>
      </c>
      <c r="F2842" s="47" t="str">
        <f>+Centro_Cuenta8[[#This Row],[Codigo Centro Gestion]]&amp;" - "&amp;Centro_Cuenta8[[#This Row],[Nombre Centro Gestion]]</f>
        <v xml:space="preserve">1130202 - Terreno Departamental 960 – Inversiones </v>
      </c>
      <c r="G2842" s="47" t="str">
        <f>+Centro_Cuenta8[[#This Row],[Código Cuenta Contable]]&amp;" - "&amp;Centro_Cuenta8[[#This Row],[Nombre de Cuenta Contable]]</f>
        <v>1115240 - Estudios Y Asesorias Técnicas</v>
      </c>
      <c r="H2842" s="146" t="str">
        <f>+VLOOKUP(D2842,'3. Cuentas'!A:F,6,0)</f>
        <v>SI</v>
      </c>
    </row>
    <row r="2843" spans="1:8" x14ac:dyDescent="0.25">
      <c r="A2843" s="43">
        <v>1130202</v>
      </c>
      <c r="B2843" t="s">
        <v>760</v>
      </c>
      <c r="C2843" s="43" t="s">
        <v>1578</v>
      </c>
      <c r="D2843" s="43">
        <v>4203090</v>
      </c>
      <c r="E2843" t="s">
        <v>192</v>
      </c>
      <c r="F2843" s="47" t="str">
        <f>+Centro_Cuenta8[[#This Row],[Codigo Centro Gestion]]&amp;" - "&amp;Centro_Cuenta8[[#This Row],[Nombre Centro Gestion]]</f>
        <v xml:space="preserve">1130202 - Terreno Departamental 960 – Inversiones </v>
      </c>
      <c r="G2843" s="47" t="str">
        <f>+Centro_Cuenta8[[#This Row],[Código Cuenta Contable]]&amp;" - "&amp;Centro_Cuenta8[[#This Row],[Nombre de Cuenta Contable]]</f>
        <v>4203090 - Gastos Legales Y Notariales Proyecto</v>
      </c>
      <c r="H2843" s="146" t="str">
        <f>+VLOOKUP(D2843,'3. Cuentas'!A:F,6,0)</f>
        <v>SI</v>
      </c>
    </row>
    <row r="2844" spans="1:8" x14ac:dyDescent="0.25">
      <c r="A2844" s="43">
        <v>1131202</v>
      </c>
      <c r="B2844" t="s">
        <v>761</v>
      </c>
      <c r="C2844" s="43" t="s">
        <v>1578</v>
      </c>
      <c r="D2844" s="43">
        <v>1115040</v>
      </c>
      <c r="E2844" t="s">
        <v>291</v>
      </c>
      <c r="F2844" s="47" t="str">
        <f>+Centro_Cuenta8[[#This Row],[Codigo Centro Gestion]]&amp;" - "&amp;Centro_Cuenta8[[#This Row],[Nombre Centro Gestion]]</f>
        <v xml:space="preserve">1131202 - Terreno Patricio Lynch 160 – Inversiones </v>
      </c>
      <c r="G2844" s="47" t="str">
        <f>+Centro_Cuenta8[[#This Row],[Código Cuenta Contable]]&amp;" - "&amp;Centro_Cuenta8[[#This Row],[Nombre de Cuenta Contable]]</f>
        <v>1115040 - Saneamiento De Terreno</v>
      </c>
      <c r="H2844" s="146" t="str">
        <f>+VLOOKUP(D2844,'3. Cuentas'!A:F,6,0)</f>
        <v>SI</v>
      </c>
    </row>
    <row r="2845" spans="1:8" x14ac:dyDescent="0.25">
      <c r="A2845" s="43">
        <v>1131202</v>
      </c>
      <c r="B2845" t="s">
        <v>761</v>
      </c>
      <c r="C2845" s="43" t="s">
        <v>1578</v>
      </c>
      <c r="D2845" s="43">
        <v>1115170</v>
      </c>
      <c r="E2845" t="s">
        <v>293</v>
      </c>
      <c r="F2845" s="47" t="str">
        <f>+Centro_Cuenta8[[#This Row],[Codigo Centro Gestion]]&amp;" - "&amp;Centro_Cuenta8[[#This Row],[Nombre Centro Gestion]]</f>
        <v xml:space="preserve">1131202 - Terreno Patricio Lynch 160 – Inversiones </v>
      </c>
      <c r="G2845" s="47" t="str">
        <f>+Centro_Cuenta8[[#This Row],[Código Cuenta Contable]]&amp;" - "&amp;Centro_Cuenta8[[#This Row],[Nombre de Cuenta Contable]]</f>
        <v>1115170 - Permisos Y Otros Gastos Municipales</v>
      </c>
      <c r="H2845" s="146" t="str">
        <f>+VLOOKUP(D2845,'3. Cuentas'!A:F,6,0)</f>
        <v>SI</v>
      </c>
    </row>
    <row r="2846" spans="1:8" x14ac:dyDescent="0.25">
      <c r="A2846" s="43">
        <v>1131202</v>
      </c>
      <c r="B2846" t="s">
        <v>761</v>
      </c>
      <c r="C2846" s="43" t="s">
        <v>1578</v>
      </c>
      <c r="D2846" s="43">
        <v>1115240</v>
      </c>
      <c r="E2846" t="s">
        <v>294</v>
      </c>
      <c r="F2846" s="47" t="str">
        <f>+Centro_Cuenta8[[#This Row],[Codigo Centro Gestion]]&amp;" - "&amp;Centro_Cuenta8[[#This Row],[Nombre Centro Gestion]]</f>
        <v xml:space="preserve">1131202 - Terreno Patricio Lynch 160 – Inversiones </v>
      </c>
      <c r="G2846" s="47" t="str">
        <f>+Centro_Cuenta8[[#This Row],[Código Cuenta Contable]]&amp;" - "&amp;Centro_Cuenta8[[#This Row],[Nombre de Cuenta Contable]]</f>
        <v>1115240 - Estudios Y Asesorias Técnicas</v>
      </c>
      <c r="H2846" s="146" t="str">
        <f>+VLOOKUP(D2846,'3. Cuentas'!A:F,6,0)</f>
        <v>SI</v>
      </c>
    </row>
    <row r="2847" spans="1:8" x14ac:dyDescent="0.25">
      <c r="A2847" s="43">
        <v>1131202</v>
      </c>
      <c r="B2847" t="s">
        <v>761</v>
      </c>
      <c r="C2847" s="43" t="s">
        <v>1578</v>
      </c>
      <c r="D2847" s="43">
        <v>4203090</v>
      </c>
      <c r="E2847" t="s">
        <v>192</v>
      </c>
      <c r="F2847" s="47" t="str">
        <f>+Centro_Cuenta8[[#This Row],[Codigo Centro Gestion]]&amp;" - "&amp;Centro_Cuenta8[[#This Row],[Nombre Centro Gestion]]</f>
        <v xml:space="preserve">1131202 - Terreno Patricio Lynch 160 – Inversiones </v>
      </c>
      <c r="G2847" s="47" t="str">
        <f>+Centro_Cuenta8[[#This Row],[Código Cuenta Contable]]&amp;" - "&amp;Centro_Cuenta8[[#This Row],[Nombre de Cuenta Contable]]</f>
        <v>4203090 - Gastos Legales Y Notariales Proyecto</v>
      </c>
      <c r="H2847" s="146" t="str">
        <f>+VLOOKUP(D2847,'3. Cuentas'!A:F,6,0)</f>
        <v>SI</v>
      </c>
    </row>
    <row r="2848" spans="1:8" x14ac:dyDescent="0.25">
      <c r="A2848" s="43">
        <v>1132202</v>
      </c>
      <c r="B2848" t="s">
        <v>762</v>
      </c>
      <c r="C2848" s="43" t="s">
        <v>1578</v>
      </c>
      <c r="D2848" s="43">
        <v>1115040</v>
      </c>
      <c r="E2848" t="s">
        <v>291</v>
      </c>
      <c r="F2848" s="47" t="str">
        <f>+Centro_Cuenta8[[#This Row],[Codigo Centro Gestion]]&amp;" - "&amp;Centro_Cuenta8[[#This Row],[Nombre Centro Gestion]]</f>
        <v xml:space="preserve">1132202 - Terreno Trinidad Ramirez 24 – Inversiones </v>
      </c>
      <c r="G2848" s="47" t="str">
        <f>+Centro_Cuenta8[[#This Row],[Código Cuenta Contable]]&amp;" - "&amp;Centro_Cuenta8[[#This Row],[Nombre de Cuenta Contable]]</f>
        <v>1115040 - Saneamiento De Terreno</v>
      </c>
      <c r="H2848" s="146" t="str">
        <f>+VLOOKUP(D2848,'3. Cuentas'!A:F,6,0)</f>
        <v>SI</v>
      </c>
    </row>
    <row r="2849" spans="1:8" x14ac:dyDescent="0.25">
      <c r="A2849" s="43">
        <v>1132202</v>
      </c>
      <c r="B2849" t="s">
        <v>762</v>
      </c>
      <c r="C2849" s="43" t="s">
        <v>1578</v>
      </c>
      <c r="D2849" s="43">
        <v>1115170</v>
      </c>
      <c r="E2849" t="s">
        <v>293</v>
      </c>
      <c r="F2849" s="47" t="str">
        <f>+Centro_Cuenta8[[#This Row],[Codigo Centro Gestion]]&amp;" - "&amp;Centro_Cuenta8[[#This Row],[Nombre Centro Gestion]]</f>
        <v xml:space="preserve">1132202 - Terreno Trinidad Ramirez 24 – Inversiones </v>
      </c>
      <c r="G2849" s="47" t="str">
        <f>+Centro_Cuenta8[[#This Row],[Código Cuenta Contable]]&amp;" - "&amp;Centro_Cuenta8[[#This Row],[Nombre de Cuenta Contable]]</f>
        <v>1115170 - Permisos Y Otros Gastos Municipales</v>
      </c>
      <c r="H2849" s="146" t="str">
        <f>+VLOOKUP(D2849,'3. Cuentas'!A:F,6,0)</f>
        <v>SI</v>
      </c>
    </row>
    <row r="2850" spans="1:8" x14ac:dyDescent="0.25">
      <c r="A2850" s="43">
        <v>1132202</v>
      </c>
      <c r="B2850" t="s">
        <v>762</v>
      </c>
      <c r="C2850" s="43" t="s">
        <v>1578</v>
      </c>
      <c r="D2850" s="43">
        <v>1115240</v>
      </c>
      <c r="E2850" t="s">
        <v>294</v>
      </c>
      <c r="F2850" s="47" t="str">
        <f>+Centro_Cuenta8[[#This Row],[Codigo Centro Gestion]]&amp;" - "&amp;Centro_Cuenta8[[#This Row],[Nombre Centro Gestion]]</f>
        <v xml:space="preserve">1132202 - Terreno Trinidad Ramirez 24 – Inversiones </v>
      </c>
      <c r="G2850" s="47" t="str">
        <f>+Centro_Cuenta8[[#This Row],[Código Cuenta Contable]]&amp;" - "&amp;Centro_Cuenta8[[#This Row],[Nombre de Cuenta Contable]]</f>
        <v>1115240 - Estudios Y Asesorias Técnicas</v>
      </c>
      <c r="H2850" s="146" t="str">
        <f>+VLOOKUP(D2850,'3. Cuentas'!A:F,6,0)</f>
        <v>SI</v>
      </c>
    </row>
    <row r="2851" spans="1:8" x14ac:dyDescent="0.25">
      <c r="A2851" s="43">
        <v>1132202</v>
      </c>
      <c r="B2851" t="s">
        <v>762</v>
      </c>
      <c r="C2851" s="43" t="s">
        <v>1578</v>
      </c>
      <c r="D2851" s="43">
        <v>4203090</v>
      </c>
      <c r="E2851" t="s">
        <v>192</v>
      </c>
      <c r="F2851" s="47" t="str">
        <f>+Centro_Cuenta8[[#This Row],[Codigo Centro Gestion]]&amp;" - "&amp;Centro_Cuenta8[[#This Row],[Nombre Centro Gestion]]</f>
        <v xml:space="preserve">1132202 - Terreno Trinidad Ramirez 24 – Inversiones </v>
      </c>
      <c r="G2851" s="47" t="str">
        <f>+Centro_Cuenta8[[#This Row],[Código Cuenta Contable]]&amp;" - "&amp;Centro_Cuenta8[[#This Row],[Nombre de Cuenta Contable]]</f>
        <v>4203090 - Gastos Legales Y Notariales Proyecto</v>
      </c>
      <c r="H2851" s="146" t="str">
        <f>+VLOOKUP(D2851,'3. Cuentas'!A:F,6,0)</f>
        <v>SI</v>
      </c>
    </row>
    <row r="2852" spans="1:8" x14ac:dyDescent="0.25">
      <c r="A2852" s="43">
        <v>1133202</v>
      </c>
      <c r="B2852" t="s">
        <v>763</v>
      </c>
      <c r="C2852" s="43" t="s">
        <v>1578</v>
      </c>
      <c r="D2852" s="43">
        <v>1115040</v>
      </c>
      <c r="E2852" t="s">
        <v>291</v>
      </c>
      <c r="F2852" s="47" t="str">
        <f>+Centro_Cuenta8[[#This Row],[Codigo Centro Gestion]]&amp;" - "&amp;Centro_Cuenta8[[#This Row],[Nombre Centro Gestion]]</f>
        <v>1133202 - Terreno Blanca Estela 2333 – Inversiones</v>
      </c>
      <c r="G2852" s="47" t="str">
        <f>+Centro_Cuenta8[[#This Row],[Código Cuenta Contable]]&amp;" - "&amp;Centro_Cuenta8[[#This Row],[Nombre de Cuenta Contable]]</f>
        <v>1115040 - Saneamiento De Terreno</v>
      </c>
      <c r="H2852" s="146" t="str">
        <f>+VLOOKUP(D2852,'3. Cuentas'!A:F,6,0)</f>
        <v>SI</v>
      </c>
    </row>
    <row r="2853" spans="1:8" x14ac:dyDescent="0.25">
      <c r="A2853" s="43">
        <v>1133202</v>
      </c>
      <c r="B2853" t="s">
        <v>763</v>
      </c>
      <c r="C2853" s="43" t="s">
        <v>1578</v>
      </c>
      <c r="D2853" s="43">
        <v>1115170</v>
      </c>
      <c r="E2853" t="s">
        <v>293</v>
      </c>
      <c r="F2853" s="47" t="str">
        <f>+Centro_Cuenta8[[#This Row],[Codigo Centro Gestion]]&amp;" - "&amp;Centro_Cuenta8[[#This Row],[Nombre Centro Gestion]]</f>
        <v>1133202 - Terreno Blanca Estela 2333 – Inversiones</v>
      </c>
      <c r="G2853" s="47" t="str">
        <f>+Centro_Cuenta8[[#This Row],[Código Cuenta Contable]]&amp;" - "&amp;Centro_Cuenta8[[#This Row],[Nombre de Cuenta Contable]]</f>
        <v>1115170 - Permisos Y Otros Gastos Municipales</v>
      </c>
      <c r="H2853" s="146" t="str">
        <f>+VLOOKUP(D2853,'3. Cuentas'!A:F,6,0)</f>
        <v>SI</v>
      </c>
    </row>
    <row r="2854" spans="1:8" x14ac:dyDescent="0.25">
      <c r="A2854" s="43">
        <v>1133202</v>
      </c>
      <c r="B2854" t="s">
        <v>763</v>
      </c>
      <c r="C2854" s="43" t="s">
        <v>1578</v>
      </c>
      <c r="D2854" s="43">
        <v>1115240</v>
      </c>
      <c r="E2854" t="s">
        <v>294</v>
      </c>
      <c r="F2854" s="47" t="str">
        <f>+Centro_Cuenta8[[#This Row],[Codigo Centro Gestion]]&amp;" - "&amp;Centro_Cuenta8[[#This Row],[Nombre Centro Gestion]]</f>
        <v>1133202 - Terreno Blanca Estela 2333 – Inversiones</v>
      </c>
      <c r="G2854" s="47" t="str">
        <f>+Centro_Cuenta8[[#This Row],[Código Cuenta Contable]]&amp;" - "&amp;Centro_Cuenta8[[#This Row],[Nombre de Cuenta Contable]]</f>
        <v>1115240 - Estudios Y Asesorias Técnicas</v>
      </c>
      <c r="H2854" s="146" t="str">
        <f>+VLOOKUP(D2854,'3. Cuentas'!A:F,6,0)</f>
        <v>SI</v>
      </c>
    </row>
    <row r="2855" spans="1:8" x14ac:dyDescent="0.25">
      <c r="A2855" s="43">
        <v>1133202</v>
      </c>
      <c r="B2855" t="s">
        <v>763</v>
      </c>
      <c r="C2855" s="43" t="s">
        <v>1578</v>
      </c>
      <c r="D2855" s="43">
        <v>4203090</v>
      </c>
      <c r="E2855" t="s">
        <v>192</v>
      </c>
      <c r="F2855" s="47" t="str">
        <f>+Centro_Cuenta8[[#This Row],[Codigo Centro Gestion]]&amp;" - "&amp;Centro_Cuenta8[[#This Row],[Nombre Centro Gestion]]</f>
        <v>1133202 - Terreno Blanca Estela 2333 – Inversiones</v>
      </c>
      <c r="G2855" s="47" t="str">
        <f>+Centro_Cuenta8[[#This Row],[Código Cuenta Contable]]&amp;" - "&amp;Centro_Cuenta8[[#This Row],[Nombre de Cuenta Contable]]</f>
        <v>4203090 - Gastos Legales Y Notariales Proyecto</v>
      </c>
      <c r="H2855" s="146" t="str">
        <f>+VLOOKUP(D2855,'3. Cuentas'!A:F,6,0)</f>
        <v>SI</v>
      </c>
    </row>
    <row r="2856" spans="1:8" x14ac:dyDescent="0.25">
      <c r="A2856" s="43">
        <v>1135202</v>
      </c>
      <c r="B2856" t="s">
        <v>764</v>
      </c>
      <c r="C2856" s="43" t="s">
        <v>1578</v>
      </c>
      <c r="D2856" s="43">
        <v>1115040</v>
      </c>
      <c r="E2856" t="s">
        <v>291</v>
      </c>
      <c r="F2856" s="47" t="str">
        <f>+Centro_Cuenta8[[#This Row],[Codigo Centro Gestion]]&amp;" - "&amp;Centro_Cuenta8[[#This Row],[Nombre Centro Gestion]]</f>
        <v>1135202 - Terreno Las Rejas 904 - Inversiones</v>
      </c>
      <c r="G2856" s="47" t="str">
        <f>+Centro_Cuenta8[[#This Row],[Código Cuenta Contable]]&amp;" - "&amp;Centro_Cuenta8[[#This Row],[Nombre de Cuenta Contable]]</f>
        <v>1115040 - Saneamiento De Terreno</v>
      </c>
      <c r="H2856" s="146" t="str">
        <f>+VLOOKUP(D2856,'3. Cuentas'!A:F,6,0)</f>
        <v>SI</v>
      </c>
    </row>
    <row r="2857" spans="1:8" x14ac:dyDescent="0.25">
      <c r="A2857" s="43">
        <v>1135202</v>
      </c>
      <c r="B2857" t="s">
        <v>764</v>
      </c>
      <c r="C2857" s="43" t="s">
        <v>1578</v>
      </c>
      <c r="D2857" s="43">
        <v>1115170</v>
      </c>
      <c r="E2857" t="s">
        <v>293</v>
      </c>
      <c r="F2857" s="47" t="str">
        <f>+Centro_Cuenta8[[#This Row],[Codigo Centro Gestion]]&amp;" - "&amp;Centro_Cuenta8[[#This Row],[Nombre Centro Gestion]]</f>
        <v>1135202 - Terreno Las Rejas 904 - Inversiones</v>
      </c>
      <c r="G2857" s="47" t="str">
        <f>+Centro_Cuenta8[[#This Row],[Código Cuenta Contable]]&amp;" - "&amp;Centro_Cuenta8[[#This Row],[Nombre de Cuenta Contable]]</f>
        <v>1115170 - Permisos Y Otros Gastos Municipales</v>
      </c>
      <c r="H2857" s="146" t="str">
        <f>+VLOOKUP(D2857,'3. Cuentas'!A:F,6,0)</f>
        <v>SI</v>
      </c>
    </row>
    <row r="2858" spans="1:8" x14ac:dyDescent="0.25">
      <c r="A2858" s="43">
        <v>1135202</v>
      </c>
      <c r="B2858" t="s">
        <v>764</v>
      </c>
      <c r="C2858" s="43" t="s">
        <v>1578</v>
      </c>
      <c r="D2858" s="43">
        <v>1115240</v>
      </c>
      <c r="E2858" t="s">
        <v>294</v>
      </c>
      <c r="F2858" s="47" t="str">
        <f>+Centro_Cuenta8[[#This Row],[Codigo Centro Gestion]]&amp;" - "&amp;Centro_Cuenta8[[#This Row],[Nombre Centro Gestion]]</f>
        <v>1135202 - Terreno Las Rejas 904 - Inversiones</v>
      </c>
      <c r="G2858" s="47" t="str">
        <f>+Centro_Cuenta8[[#This Row],[Código Cuenta Contable]]&amp;" - "&amp;Centro_Cuenta8[[#This Row],[Nombre de Cuenta Contable]]</f>
        <v>1115240 - Estudios Y Asesorias Técnicas</v>
      </c>
      <c r="H2858" s="146" t="str">
        <f>+VLOOKUP(D2858,'3. Cuentas'!A:F,6,0)</f>
        <v>SI</v>
      </c>
    </row>
    <row r="2859" spans="1:8" x14ac:dyDescent="0.25">
      <c r="A2859" s="43">
        <v>1135202</v>
      </c>
      <c r="B2859" t="s">
        <v>764</v>
      </c>
      <c r="C2859" s="43" t="s">
        <v>1578</v>
      </c>
      <c r="D2859" s="43">
        <v>4203090</v>
      </c>
      <c r="E2859" t="s">
        <v>192</v>
      </c>
      <c r="F2859" s="47" t="str">
        <f>+Centro_Cuenta8[[#This Row],[Codigo Centro Gestion]]&amp;" - "&amp;Centro_Cuenta8[[#This Row],[Nombre Centro Gestion]]</f>
        <v>1135202 - Terreno Las Rejas 904 - Inversiones</v>
      </c>
      <c r="G2859" s="47" t="str">
        <f>+Centro_Cuenta8[[#This Row],[Código Cuenta Contable]]&amp;" - "&amp;Centro_Cuenta8[[#This Row],[Nombre de Cuenta Contable]]</f>
        <v>4203090 - Gastos Legales Y Notariales Proyecto</v>
      </c>
      <c r="H2859" s="146" t="str">
        <f>+VLOOKUP(D2859,'3. Cuentas'!A:F,6,0)</f>
        <v>SI</v>
      </c>
    </row>
    <row r="2860" spans="1:8" x14ac:dyDescent="0.25">
      <c r="A2860" s="43">
        <v>1138202</v>
      </c>
      <c r="B2860" t="s">
        <v>765</v>
      </c>
      <c r="C2860" s="43" t="s">
        <v>1578</v>
      </c>
      <c r="D2860" s="43">
        <v>1115040</v>
      </c>
      <c r="E2860" t="s">
        <v>291</v>
      </c>
      <c r="F2860" s="47" t="str">
        <f>+Centro_Cuenta8[[#This Row],[Codigo Centro Gestion]]&amp;" - "&amp;Centro_Cuenta8[[#This Row],[Nombre Centro Gestion]]</f>
        <v>1138202 - Terreno Pedro de la Barra - Inversiones</v>
      </c>
      <c r="G2860" s="47" t="str">
        <f>+Centro_Cuenta8[[#This Row],[Código Cuenta Contable]]&amp;" - "&amp;Centro_Cuenta8[[#This Row],[Nombre de Cuenta Contable]]</f>
        <v>1115040 - Saneamiento De Terreno</v>
      </c>
      <c r="H2860" s="146" t="str">
        <f>+VLOOKUP(D2860,'3. Cuentas'!A:F,6,0)</f>
        <v>SI</v>
      </c>
    </row>
    <row r="2861" spans="1:8" x14ac:dyDescent="0.25">
      <c r="A2861" s="43">
        <v>1138202</v>
      </c>
      <c r="B2861" t="s">
        <v>765</v>
      </c>
      <c r="C2861" s="43" t="s">
        <v>1578</v>
      </c>
      <c r="D2861" s="43">
        <v>1115170</v>
      </c>
      <c r="E2861" t="s">
        <v>293</v>
      </c>
      <c r="F2861" s="47" t="str">
        <f>+Centro_Cuenta8[[#This Row],[Codigo Centro Gestion]]&amp;" - "&amp;Centro_Cuenta8[[#This Row],[Nombre Centro Gestion]]</f>
        <v>1138202 - Terreno Pedro de la Barra - Inversiones</v>
      </c>
      <c r="G2861" s="47" t="str">
        <f>+Centro_Cuenta8[[#This Row],[Código Cuenta Contable]]&amp;" - "&amp;Centro_Cuenta8[[#This Row],[Nombre de Cuenta Contable]]</f>
        <v>1115170 - Permisos Y Otros Gastos Municipales</v>
      </c>
      <c r="H2861" s="146" t="str">
        <f>+VLOOKUP(D2861,'3. Cuentas'!A:F,6,0)</f>
        <v>SI</v>
      </c>
    </row>
    <row r="2862" spans="1:8" x14ac:dyDescent="0.25">
      <c r="A2862" s="43">
        <v>1138202</v>
      </c>
      <c r="B2862" t="s">
        <v>765</v>
      </c>
      <c r="C2862" s="43" t="s">
        <v>1578</v>
      </c>
      <c r="D2862" s="43">
        <v>1115240</v>
      </c>
      <c r="E2862" t="s">
        <v>294</v>
      </c>
      <c r="F2862" s="47" t="str">
        <f>+Centro_Cuenta8[[#This Row],[Codigo Centro Gestion]]&amp;" - "&amp;Centro_Cuenta8[[#This Row],[Nombre Centro Gestion]]</f>
        <v>1138202 - Terreno Pedro de la Barra - Inversiones</v>
      </c>
      <c r="G2862" s="47" t="str">
        <f>+Centro_Cuenta8[[#This Row],[Código Cuenta Contable]]&amp;" - "&amp;Centro_Cuenta8[[#This Row],[Nombre de Cuenta Contable]]</f>
        <v>1115240 - Estudios Y Asesorias Técnicas</v>
      </c>
      <c r="H2862" s="146" t="str">
        <f>+VLOOKUP(D2862,'3. Cuentas'!A:F,6,0)</f>
        <v>SI</v>
      </c>
    </row>
    <row r="2863" spans="1:8" x14ac:dyDescent="0.25">
      <c r="A2863" s="43">
        <v>1138202</v>
      </c>
      <c r="B2863" t="s">
        <v>765</v>
      </c>
      <c r="C2863" s="43" t="s">
        <v>1578</v>
      </c>
      <c r="D2863" s="43">
        <v>4203090</v>
      </c>
      <c r="E2863" t="s">
        <v>192</v>
      </c>
      <c r="F2863" s="47" t="str">
        <f>+Centro_Cuenta8[[#This Row],[Codigo Centro Gestion]]&amp;" - "&amp;Centro_Cuenta8[[#This Row],[Nombre Centro Gestion]]</f>
        <v>1138202 - Terreno Pedro de la Barra - Inversiones</v>
      </c>
      <c r="G2863" s="47" t="str">
        <f>+Centro_Cuenta8[[#This Row],[Código Cuenta Contable]]&amp;" - "&amp;Centro_Cuenta8[[#This Row],[Nombre de Cuenta Contable]]</f>
        <v>4203090 - Gastos Legales Y Notariales Proyecto</v>
      </c>
      <c r="H2863" s="146" t="str">
        <f>+VLOOKUP(D2863,'3. Cuentas'!A:F,6,0)</f>
        <v>SI</v>
      </c>
    </row>
    <row r="2864" spans="1:8" x14ac:dyDescent="0.25">
      <c r="A2864" s="43">
        <v>1139202</v>
      </c>
      <c r="B2864" t="s">
        <v>766</v>
      </c>
      <c r="C2864" s="43" t="s">
        <v>1578</v>
      </c>
      <c r="D2864" s="43">
        <v>1115040</v>
      </c>
      <c r="E2864" t="s">
        <v>291</v>
      </c>
      <c r="F2864" s="47" t="str">
        <f>+Centro_Cuenta8[[#This Row],[Codigo Centro Gestion]]&amp;" - "&amp;Centro_Cuenta8[[#This Row],[Nombre Centro Gestion]]</f>
        <v>1139202 - Terreno DS49 Valle Alto Placilla - Inversiones</v>
      </c>
      <c r="G2864" s="47" t="str">
        <f>+Centro_Cuenta8[[#This Row],[Código Cuenta Contable]]&amp;" - "&amp;Centro_Cuenta8[[#This Row],[Nombre de Cuenta Contable]]</f>
        <v>1115040 - Saneamiento De Terreno</v>
      </c>
      <c r="H2864" s="146" t="str">
        <f>+VLOOKUP(D2864,'3. Cuentas'!A:F,6,0)</f>
        <v>SI</v>
      </c>
    </row>
    <row r="2865" spans="1:8" x14ac:dyDescent="0.25">
      <c r="A2865" s="43">
        <v>1139202</v>
      </c>
      <c r="B2865" t="s">
        <v>766</v>
      </c>
      <c r="C2865" s="43" t="s">
        <v>1578</v>
      </c>
      <c r="D2865" s="43">
        <v>1115170</v>
      </c>
      <c r="E2865" t="s">
        <v>293</v>
      </c>
      <c r="F2865" s="47" t="str">
        <f>+Centro_Cuenta8[[#This Row],[Codigo Centro Gestion]]&amp;" - "&amp;Centro_Cuenta8[[#This Row],[Nombre Centro Gestion]]</f>
        <v>1139202 - Terreno DS49 Valle Alto Placilla - Inversiones</v>
      </c>
      <c r="G2865" s="47" t="str">
        <f>+Centro_Cuenta8[[#This Row],[Código Cuenta Contable]]&amp;" - "&amp;Centro_Cuenta8[[#This Row],[Nombre de Cuenta Contable]]</f>
        <v>1115170 - Permisos Y Otros Gastos Municipales</v>
      </c>
      <c r="H2865" s="146" t="str">
        <f>+VLOOKUP(D2865,'3. Cuentas'!A:F,6,0)</f>
        <v>SI</v>
      </c>
    </row>
    <row r="2866" spans="1:8" x14ac:dyDescent="0.25">
      <c r="A2866" s="43">
        <v>1139202</v>
      </c>
      <c r="B2866" t="s">
        <v>766</v>
      </c>
      <c r="C2866" s="43" t="s">
        <v>1578</v>
      </c>
      <c r="D2866" s="43">
        <v>1115240</v>
      </c>
      <c r="E2866" t="s">
        <v>294</v>
      </c>
      <c r="F2866" s="47" t="str">
        <f>+Centro_Cuenta8[[#This Row],[Codigo Centro Gestion]]&amp;" - "&amp;Centro_Cuenta8[[#This Row],[Nombre Centro Gestion]]</f>
        <v>1139202 - Terreno DS49 Valle Alto Placilla - Inversiones</v>
      </c>
      <c r="G2866" s="47" t="str">
        <f>+Centro_Cuenta8[[#This Row],[Código Cuenta Contable]]&amp;" - "&amp;Centro_Cuenta8[[#This Row],[Nombre de Cuenta Contable]]</f>
        <v>1115240 - Estudios Y Asesorias Técnicas</v>
      </c>
      <c r="H2866" s="146" t="str">
        <f>+VLOOKUP(D2866,'3. Cuentas'!A:F,6,0)</f>
        <v>SI</v>
      </c>
    </row>
    <row r="2867" spans="1:8" x14ac:dyDescent="0.25">
      <c r="A2867" s="43">
        <v>1139202</v>
      </c>
      <c r="B2867" t="s">
        <v>766</v>
      </c>
      <c r="C2867" s="43" t="s">
        <v>1578</v>
      </c>
      <c r="D2867" s="43">
        <v>4203090</v>
      </c>
      <c r="E2867" t="s">
        <v>192</v>
      </c>
      <c r="F2867" s="47" t="str">
        <f>+Centro_Cuenta8[[#This Row],[Codigo Centro Gestion]]&amp;" - "&amp;Centro_Cuenta8[[#This Row],[Nombre Centro Gestion]]</f>
        <v>1139202 - Terreno DS49 Valle Alto Placilla - Inversiones</v>
      </c>
      <c r="G2867" s="47" t="str">
        <f>+Centro_Cuenta8[[#This Row],[Código Cuenta Contable]]&amp;" - "&amp;Centro_Cuenta8[[#This Row],[Nombre de Cuenta Contable]]</f>
        <v>4203090 - Gastos Legales Y Notariales Proyecto</v>
      </c>
      <c r="H2867" s="146" t="str">
        <f>+VLOOKUP(D2867,'3. Cuentas'!A:F,6,0)</f>
        <v>SI</v>
      </c>
    </row>
    <row r="2868" spans="1:8" x14ac:dyDescent="0.25">
      <c r="A2868" s="43">
        <v>1141202</v>
      </c>
      <c r="B2868" t="s">
        <v>767</v>
      </c>
      <c r="C2868" s="43" t="s">
        <v>1578</v>
      </c>
      <c r="D2868" s="43">
        <v>1115040</v>
      </c>
      <c r="E2868" t="s">
        <v>291</v>
      </c>
      <c r="F2868" s="47" t="str">
        <f>+Centro_Cuenta8[[#This Row],[Codigo Centro Gestion]]&amp;" - "&amp;Centro_Cuenta8[[#This Row],[Nombre Centro Gestion]]</f>
        <v>1141202 - Terreno Vicente Reyes 90 - Inversiones</v>
      </c>
      <c r="G2868" s="47" t="str">
        <f>+Centro_Cuenta8[[#This Row],[Código Cuenta Contable]]&amp;" - "&amp;Centro_Cuenta8[[#This Row],[Nombre de Cuenta Contable]]</f>
        <v>1115040 - Saneamiento De Terreno</v>
      </c>
      <c r="H2868" s="146" t="str">
        <f>+VLOOKUP(D2868,'3. Cuentas'!A:F,6,0)</f>
        <v>SI</v>
      </c>
    </row>
    <row r="2869" spans="1:8" x14ac:dyDescent="0.25">
      <c r="A2869" s="43">
        <v>1141202</v>
      </c>
      <c r="B2869" t="s">
        <v>767</v>
      </c>
      <c r="C2869" s="43" t="s">
        <v>1578</v>
      </c>
      <c r="D2869" s="43">
        <v>1115170</v>
      </c>
      <c r="E2869" t="s">
        <v>293</v>
      </c>
      <c r="F2869" s="47" t="str">
        <f>+Centro_Cuenta8[[#This Row],[Codigo Centro Gestion]]&amp;" - "&amp;Centro_Cuenta8[[#This Row],[Nombre Centro Gestion]]</f>
        <v>1141202 - Terreno Vicente Reyes 90 - Inversiones</v>
      </c>
      <c r="G2869" s="47" t="str">
        <f>+Centro_Cuenta8[[#This Row],[Código Cuenta Contable]]&amp;" - "&amp;Centro_Cuenta8[[#This Row],[Nombre de Cuenta Contable]]</f>
        <v>1115170 - Permisos Y Otros Gastos Municipales</v>
      </c>
      <c r="H2869" s="146" t="str">
        <f>+VLOOKUP(D2869,'3. Cuentas'!A:F,6,0)</f>
        <v>SI</v>
      </c>
    </row>
    <row r="2870" spans="1:8" x14ac:dyDescent="0.25">
      <c r="A2870" s="43">
        <v>1141202</v>
      </c>
      <c r="B2870" t="s">
        <v>767</v>
      </c>
      <c r="C2870" s="43" t="s">
        <v>1578</v>
      </c>
      <c r="D2870" s="43">
        <v>1115240</v>
      </c>
      <c r="E2870" t="s">
        <v>294</v>
      </c>
      <c r="F2870" s="47" t="str">
        <f>+Centro_Cuenta8[[#This Row],[Codigo Centro Gestion]]&amp;" - "&amp;Centro_Cuenta8[[#This Row],[Nombre Centro Gestion]]</f>
        <v>1141202 - Terreno Vicente Reyes 90 - Inversiones</v>
      </c>
      <c r="G2870" s="47" t="str">
        <f>+Centro_Cuenta8[[#This Row],[Código Cuenta Contable]]&amp;" - "&amp;Centro_Cuenta8[[#This Row],[Nombre de Cuenta Contable]]</f>
        <v>1115240 - Estudios Y Asesorias Técnicas</v>
      </c>
      <c r="H2870" s="146" t="str">
        <f>+VLOOKUP(D2870,'3. Cuentas'!A:F,6,0)</f>
        <v>SI</v>
      </c>
    </row>
    <row r="2871" spans="1:8" x14ac:dyDescent="0.25">
      <c r="A2871" s="43">
        <v>1141202</v>
      </c>
      <c r="B2871" t="s">
        <v>767</v>
      </c>
      <c r="C2871" s="43" t="s">
        <v>1578</v>
      </c>
      <c r="D2871" s="43">
        <v>4203090</v>
      </c>
      <c r="E2871" t="s">
        <v>192</v>
      </c>
      <c r="F2871" s="47" t="str">
        <f>+Centro_Cuenta8[[#This Row],[Codigo Centro Gestion]]&amp;" - "&amp;Centro_Cuenta8[[#This Row],[Nombre Centro Gestion]]</f>
        <v>1141202 - Terreno Vicente Reyes 90 - Inversiones</v>
      </c>
      <c r="G2871" s="47" t="str">
        <f>+Centro_Cuenta8[[#This Row],[Código Cuenta Contable]]&amp;" - "&amp;Centro_Cuenta8[[#This Row],[Nombre de Cuenta Contable]]</f>
        <v>4203090 - Gastos Legales Y Notariales Proyecto</v>
      </c>
      <c r="H2871" s="146" t="str">
        <f>+VLOOKUP(D2871,'3. Cuentas'!A:F,6,0)</f>
        <v>SI</v>
      </c>
    </row>
    <row r="2872" spans="1:8" x14ac:dyDescent="0.25">
      <c r="A2872" s="43">
        <v>1143202</v>
      </c>
      <c r="B2872" t="s">
        <v>768</v>
      </c>
      <c r="C2872" s="43" t="s">
        <v>1578</v>
      </c>
      <c r="D2872" s="43">
        <v>1115040</v>
      </c>
      <c r="E2872" t="s">
        <v>291</v>
      </c>
      <c r="F2872" s="47" t="str">
        <f>+Centro_Cuenta8[[#This Row],[Codigo Centro Gestion]]&amp;" - "&amp;Centro_Cuenta8[[#This Row],[Nombre Centro Gestion]]</f>
        <v>1143202 - Terreno Libertad 1330 - Inversiones</v>
      </c>
      <c r="G2872" s="47" t="str">
        <f>+Centro_Cuenta8[[#This Row],[Código Cuenta Contable]]&amp;" - "&amp;Centro_Cuenta8[[#This Row],[Nombre de Cuenta Contable]]</f>
        <v>1115040 - Saneamiento De Terreno</v>
      </c>
      <c r="H2872" s="146" t="str">
        <f>+VLOOKUP(D2872,'3. Cuentas'!A:F,6,0)</f>
        <v>SI</v>
      </c>
    </row>
    <row r="2873" spans="1:8" x14ac:dyDescent="0.25">
      <c r="A2873" s="43">
        <v>1143202</v>
      </c>
      <c r="B2873" t="s">
        <v>768</v>
      </c>
      <c r="C2873" s="43" t="s">
        <v>1578</v>
      </c>
      <c r="D2873" s="43">
        <v>1115170</v>
      </c>
      <c r="E2873" t="s">
        <v>293</v>
      </c>
      <c r="F2873" s="47" t="str">
        <f>+Centro_Cuenta8[[#This Row],[Codigo Centro Gestion]]&amp;" - "&amp;Centro_Cuenta8[[#This Row],[Nombre Centro Gestion]]</f>
        <v>1143202 - Terreno Libertad 1330 - Inversiones</v>
      </c>
      <c r="G2873" s="47" t="str">
        <f>+Centro_Cuenta8[[#This Row],[Código Cuenta Contable]]&amp;" - "&amp;Centro_Cuenta8[[#This Row],[Nombre de Cuenta Contable]]</f>
        <v>1115170 - Permisos Y Otros Gastos Municipales</v>
      </c>
      <c r="H2873" s="146" t="str">
        <f>+VLOOKUP(D2873,'3. Cuentas'!A:F,6,0)</f>
        <v>SI</v>
      </c>
    </row>
    <row r="2874" spans="1:8" x14ac:dyDescent="0.25">
      <c r="A2874" s="43">
        <v>1143202</v>
      </c>
      <c r="B2874" t="s">
        <v>768</v>
      </c>
      <c r="C2874" s="43" t="s">
        <v>1578</v>
      </c>
      <c r="D2874" s="43">
        <v>1115240</v>
      </c>
      <c r="E2874" t="s">
        <v>294</v>
      </c>
      <c r="F2874" s="47" t="str">
        <f>+Centro_Cuenta8[[#This Row],[Codigo Centro Gestion]]&amp;" - "&amp;Centro_Cuenta8[[#This Row],[Nombre Centro Gestion]]</f>
        <v>1143202 - Terreno Libertad 1330 - Inversiones</v>
      </c>
      <c r="G2874" s="47" t="str">
        <f>+Centro_Cuenta8[[#This Row],[Código Cuenta Contable]]&amp;" - "&amp;Centro_Cuenta8[[#This Row],[Nombre de Cuenta Contable]]</f>
        <v>1115240 - Estudios Y Asesorias Técnicas</v>
      </c>
      <c r="H2874" s="146" t="str">
        <f>+VLOOKUP(D2874,'3. Cuentas'!A:F,6,0)</f>
        <v>SI</v>
      </c>
    </row>
    <row r="2875" spans="1:8" x14ac:dyDescent="0.25">
      <c r="A2875" s="43">
        <v>1143202</v>
      </c>
      <c r="B2875" t="s">
        <v>768</v>
      </c>
      <c r="C2875" s="43" t="s">
        <v>1578</v>
      </c>
      <c r="D2875" s="43">
        <v>4203090</v>
      </c>
      <c r="E2875" t="s">
        <v>192</v>
      </c>
      <c r="F2875" s="47" t="str">
        <f>+Centro_Cuenta8[[#This Row],[Codigo Centro Gestion]]&amp;" - "&amp;Centro_Cuenta8[[#This Row],[Nombre Centro Gestion]]</f>
        <v>1143202 - Terreno Libertad 1330 - Inversiones</v>
      </c>
      <c r="G2875" s="47" t="str">
        <f>+Centro_Cuenta8[[#This Row],[Código Cuenta Contable]]&amp;" - "&amp;Centro_Cuenta8[[#This Row],[Nombre de Cuenta Contable]]</f>
        <v>4203090 - Gastos Legales Y Notariales Proyecto</v>
      </c>
      <c r="H2875" s="146" t="str">
        <f>+VLOOKUP(D2875,'3. Cuentas'!A:F,6,0)</f>
        <v>SI</v>
      </c>
    </row>
    <row r="2876" spans="1:8" x14ac:dyDescent="0.25">
      <c r="A2876" s="43">
        <v>1144202</v>
      </c>
      <c r="B2876" t="s">
        <v>769</v>
      </c>
      <c r="C2876" s="43" t="s">
        <v>1578</v>
      </c>
      <c r="D2876" s="43">
        <v>1115040</v>
      </c>
      <c r="E2876" t="s">
        <v>291</v>
      </c>
      <c r="F2876" s="47" t="str">
        <f>+Centro_Cuenta8[[#This Row],[Codigo Centro Gestion]]&amp;" - "&amp;Centro_Cuenta8[[#This Row],[Nombre Centro Gestion]]</f>
        <v>1144202 - Terreno Latorre 1590 - Inversiones</v>
      </c>
      <c r="G2876" s="47" t="str">
        <f>+Centro_Cuenta8[[#This Row],[Código Cuenta Contable]]&amp;" - "&amp;Centro_Cuenta8[[#This Row],[Nombre de Cuenta Contable]]</f>
        <v>1115040 - Saneamiento De Terreno</v>
      </c>
      <c r="H2876" s="146" t="str">
        <f>+VLOOKUP(D2876,'3. Cuentas'!A:F,6,0)</f>
        <v>SI</v>
      </c>
    </row>
    <row r="2877" spans="1:8" x14ac:dyDescent="0.25">
      <c r="A2877" s="43">
        <v>1144202</v>
      </c>
      <c r="B2877" t="s">
        <v>769</v>
      </c>
      <c r="C2877" s="43" t="s">
        <v>1578</v>
      </c>
      <c r="D2877" s="43">
        <v>1115170</v>
      </c>
      <c r="E2877" t="s">
        <v>293</v>
      </c>
      <c r="F2877" s="47" t="str">
        <f>+Centro_Cuenta8[[#This Row],[Codigo Centro Gestion]]&amp;" - "&amp;Centro_Cuenta8[[#This Row],[Nombre Centro Gestion]]</f>
        <v>1144202 - Terreno Latorre 1590 - Inversiones</v>
      </c>
      <c r="G2877" s="47" t="str">
        <f>+Centro_Cuenta8[[#This Row],[Código Cuenta Contable]]&amp;" - "&amp;Centro_Cuenta8[[#This Row],[Nombre de Cuenta Contable]]</f>
        <v>1115170 - Permisos Y Otros Gastos Municipales</v>
      </c>
      <c r="H2877" s="146" t="str">
        <f>+VLOOKUP(D2877,'3. Cuentas'!A:F,6,0)</f>
        <v>SI</v>
      </c>
    </row>
    <row r="2878" spans="1:8" x14ac:dyDescent="0.25">
      <c r="A2878" s="43">
        <v>1144202</v>
      </c>
      <c r="B2878" t="s">
        <v>769</v>
      </c>
      <c r="C2878" s="43" t="s">
        <v>1578</v>
      </c>
      <c r="D2878" s="43">
        <v>1115240</v>
      </c>
      <c r="E2878" t="s">
        <v>294</v>
      </c>
      <c r="F2878" s="47" t="str">
        <f>+Centro_Cuenta8[[#This Row],[Codigo Centro Gestion]]&amp;" - "&amp;Centro_Cuenta8[[#This Row],[Nombre Centro Gestion]]</f>
        <v>1144202 - Terreno Latorre 1590 - Inversiones</v>
      </c>
      <c r="G2878" s="47" t="str">
        <f>+Centro_Cuenta8[[#This Row],[Código Cuenta Contable]]&amp;" - "&amp;Centro_Cuenta8[[#This Row],[Nombre de Cuenta Contable]]</f>
        <v>1115240 - Estudios Y Asesorias Técnicas</v>
      </c>
      <c r="H2878" s="146" t="str">
        <f>+VLOOKUP(D2878,'3. Cuentas'!A:F,6,0)</f>
        <v>SI</v>
      </c>
    </row>
    <row r="2879" spans="1:8" x14ac:dyDescent="0.25">
      <c r="A2879" s="43">
        <v>1144202</v>
      </c>
      <c r="B2879" t="s">
        <v>769</v>
      </c>
      <c r="C2879" s="43" t="s">
        <v>1578</v>
      </c>
      <c r="D2879" s="43">
        <v>4203090</v>
      </c>
      <c r="E2879" t="s">
        <v>192</v>
      </c>
      <c r="F2879" s="47" t="str">
        <f>+Centro_Cuenta8[[#This Row],[Codigo Centro Gestion]]&amp;" - "&amp;Centro_Cuenta8[[#This Row],[Nombre Centro Gestion]]</f>
        <v>1144202 - Terreno Latorre 1590 - Inversiones</v>
      </c>
      <c r="G2879" s="47" t="str">
        <f>+Centro_Cuenta8[[#This Row],[Código Cuenta Contable]]&amp;" - "&amp;Centro_Cuenta8[[#This Row],[Nombre de Cuenta Contable]]</f>
        <v>4203090 - Gastos Legales Y Notariales Proyecto</v>
      </c>
      <c r="H2879" s="146" t="str">
        <f>+VLOOKUP(D2879,'3. Cuentas'!A:F,6,0)</f>
        <v>SI</v>
      </c>
    </row>
    <row r="2880" spans="1:8" x14ac:dyDescent="0.25">
      <c r="A2880" s="43">
        <v>1148202</v>
      </c>
      <c r="B2880" t="s">
        <v>770</v>
      </c>
      <c r="C2880" s="43" t="s">
        <v>1578</v>
      </c>
      <c r="D2880" s="43">
        <v>1115040</v>
      </c>
      <c r="E2880" t="s">
        <v>291</v>
      </c>
      <c r="F2880" s="47" t="str">
        <f>+Centro_Cuenta8[[#This Row],[Codigo Centro Gestion]]&amp;" - "&amp;Centro_Cuenta8[[#This Row],[Nombre Centro Gestion]]</f>
        <v>1148202 - Terreno Jorge Cáceres Etapa 2 - Inversiones</v>
      </c>
      <c r="G2880" s="47" t="str">
        <f>+Centro_Cuenta8[[#This Row],[Código Cuenta Contable]]&amp;" - "&amp;Centro_Cuenta8[[#This Row],[Nombre de Cuenta Contable]]</f>
        <v>1115040 - Saneamiento De Terreno</v>
      </c>
      <c r="H2880" s="146" t="str">
        <f>+VLOOKUP(D2880,'3. Cuentas'!A:F,6,0)</f>
        <v>SI</v>
      </c>
    </row>
    <row r="2881" spans="1:8" x14ac:dyDescent="0.25">
      <c r="A2881" s="43">
        <v>1148202</v>
      </c>
      <c r="B2881" t="s">
        <v>770</v>
      </c>
      <c r="C2881" s="43" t="s">
        <v>1578</v>
      </c>
      <c r="D2881" s="43">
        <v>1115170</v>
      </c>
      <c r="E2881" t="s">
        <v>293</v>
      </c>
      <c r="F2881" s="47" t="str">
        <f>+Centro_Cuenta8[[#This Row],[Codigo Centro Gestion]]&amp;" - "&amp;Centro_Cuenta8[[#This Row],[Nombre Centro Gestion]]</f>
        <v>1148202 - Terreno Jorge Cáceres Etapa 2 - Inversiones</v>
      </c>
      <c r="G2881" s="47" t="str">
        <f>+Centro_Cuenta8[[#This Row],[Código Cuenta Contable]]&amp;" - "&amp;Centro_Cuenta8[[#This Row],[Nombre de Cuenta Contable]]</f>
        <v>1115170 - Permisos Y Otros Gastos Municipales</v>
      </c>
      <c r="H2881" s="146" t="str">
        <f>+VLOOKUP(D2881,'3. Cuentas'!A:F,6,0)</f>
        <v>SI</v>
      </c>
    </row>
    <row r="2882" spans="1:8" x14ac:dyDescent="0.25">
      <c r="A2882" s="43">
        <v>1148202</v>
      </c>
      <c r="B2882" t="s">
        <v>770</v>
      </c>
      <c r="C2882" s="43" t="s">
        <v>1578</v>
      </c>
      <c r="D2882" s="43">
        <v>1115240</v>
      </c>
      <c r="E2882" t="s">
        <v>294</v>
      </c>
      <c r="F2882" s="47" t="str">
        <f>+Centro_Cuenta8[[#This Row],[Codigo Centro Gestion]]&amp;" - "&amp;Centro_Cuenta8[[#This Row],[Nombre Centro Gestion]]</f>
        <v>1148202 - Terreno Jorge Cáceres Etapa 2 - Inversiones</v>
      </c>
      <c r="G2882" s="47" t="str">
        <f>+Centro_Cuenta8[[#This Row],[Código Cuenta Contable]]&amp;" - "&amp;Centro_Cuenta8[[#This Row],[Nombre de Cuenta Contable]]</f>
        <v>1115240 - Estudios Y Asesorias Técnicas</v>
      </c>
      <c r="H2882" s="146" t="str">
        <f>+VLOOKUP(D2882,'3. Cuentas'!A:F,6,0)</f>
        <v>SI</v>
      </c>
    </row>
    <row r="2883" spans="1:8" x14ac:dyDescent="0.25">
      <c r="A2883" s="43">
        <v>1148202</v>
      </c>
      <c r="B2883" t="s">
        <v>770</v>
      </c>
      <c r="C2883" s="43" t="s">
        <v>1578</v>
      </c>
      <c r="D2883" s="43">
        <v>4203090</v>
      </c>
      <c r="E2883" t="s">
        <v>192</v>
      </c>
      <c r="F2883" s="47" t="str">
        <f>+Centro_Cuenta8[[#This Row],[Codigo Centro Gestion]]&amp;" - "&amp;Centro_Cuenta8[[#This Row],[Nombre Centro Gestion]]</f>
        <v>1148202 - Terreno Jorge Cáceres Etapa 2 - Inversiones</v>
      </c>
      <c r="G2883" s="47" t="str">
        <f>+Centro_Cuenta8[[#This Row],[Código Cuenta Contable]]&amp;" - "&amp;Centro_Cuenta8[[#This Row],[Nombre de Cuenta Contable]]</f>
        <v>4203090 - Gastos Legales Y Notariales Proyecto</v>
      </c>
      <c r="H2883" s="146" t="str">
        <f>+VLOOKUP(D2883,'3. Cuentas'!A:F,6,0)</f>
        <v>SI</v>
      </c>
    </row>
    <row r="2884" spans="1:8" x14ac:dyDescent="0.25">
      <c r="A2884" s="43">
        <v>1150202</v>
      </c>
      <c r="B2884" t="s">
        <v>771</v>
      </c>
      <c r="C2884" s="43" t="s">
        <v>1578</v>
      </c>
      <c r="D2884" s="43">
        <v>1115040</v>
      </c>
      <c r="E2884" t="s">
        <v>291</v>
      </c>
      <c r="F2884" s="47" t="str">
        <f>+Centro_Cuenta8[[#This Row],[Codigo Centro Gestion]]&amp;" - "&amp;Centro_Cuenta8[[#This Row],[Nombre Centro Gestion]]</f>
        <v>1150202 - Terreno Labbé 1172 - Inversiones</v>
      </c>
      <c r="G2884" s="47" t="str">
        <f>+Centro_Cuenta8[[#This Row],[Código Cuenta Contable]]&amp;" - "&amp;Centro_Cuenta8[[#This Row],[Nombre de Cuenta Contable]]</f>
        <v>1115040 - Saneamiento De Terreno</v>
      </c>
      <c r="H2884" s="146" t="str">
        <f>+VLOOKUP(D2884,'3. Cuentas'!A:F,6,0)</f>
        <v>SI</v>
      </c>
    </row>
    <row r="2885" spans="1:8" x14ac:dyDescent="0.25">
      <c r="A2885" s="43">
        <v>1150202</v>
      </c>
      <c r="B2885" t="s">
        <v>771</v>
      </c>
      <c r="C2885" s="43" t="s">
        <v>1578</v>
      </c>
      <c r="D2885" s="43">
        <v>1115170</v>
      </c>
      <c r="E2885" t="s">
        <v>293</v>
      </c>
      <c r="F2885" s="47" t="str">
        <f>+Centro_Cuenta8[[#This Row],[Codigo Centro Gestion]]&amp;" - "&amp;Centro_Cuenta8[[#This Row],[Nombre Centro Gestion]]</f>
        <v>1150202 - Terreno Labbé 1172 - Inversiones</v>
      </c>
      <c r="G2885" s="47" t="str">
        <f>+Centro_Cuenta8[[#This Row],[Código Cuenta Contable]]&amp;" - "&amp;Centro_Cuenta8[[#This Row],[Nombre de Cuenta Contable]]</f>
        <v>1115170 - Permisos Y Otros Gastos Municipales</v>
      </c>
      <c r="H2885" s="146" t="str">
        <f>+VLOOKUP(D2885,'3. Cuentas'!A:F,6,0)</f>
        <v>SI</v>
      </c>
    </row>
    <row r="2886" spans="1:8" x14ac:dyDescent="0.25">
      <c r="A2886" s="43">
        <v>1150202</v>
      </c>
      <c r="B2886" t="s">
        <v>771</v>
      </c>
      <c r="C2886" s="43" t="s">
        <v>1578</v>
      </c>
      <c r="D2886" s="43">
        <v>1115240</v>
      </c>
      <c r="E2886" t="s">
        <v>294</v>
      </c>
      <c r="F2886" s="47" t="str">
        <f>+Centro_Cuenta8[[#This Row],[Codigo Centro Gestion]]&amp;" - "&amp;Centro_Cuenta8[[#This Row],[Nombre Centro Gestion]]</f>
        <v>1150202 - Terreno Labbé 1172 - Inversiones</v>
      </c>
      <c r="G2886" s="47" t="str">
        <f>+Centro_Cuenta8[[#This Row],[Código Cuenta Contable]]&amp;" - "&amp;Centro_Cuenta8[[#This Row],[Nombre de Cuenta Contable]]</f>
        <v>1115240 - Estudios Y Asesorias Técnicas</v>
      </c>
      <c r="H2886" s="146" t="str">
        <f>+VLOOKUP(D2886,'3. Cuentas'!A:F,6,0)</f>
        <v>SI</v>
      </c>
    </row>
    <row r="2887" spans="1:8" x14ac:dyDescent="0.25">
      <c r="A2887" s="43">
        <v>1150202</v>
      </c>
      <c r="B2887" t="s">
        <v>771</v>
      </c>
      <c r="C2887" s="43" t="s">
        <v>1578</v>
      </c>
      <c r="D2887" s="43">
        <v>4203090</v>
      </c>
      <c r="E2887" t="s">
        <v>192</v>
      </c>
      <c r="F2887" s="47" t="str">
        <f>+Centro_Cuenta8[[#This Row],[Codigo Centro Gestion]]&amp;" - "&amp;Centro_Cuenta8[[#This Row],[Nombre Centro Gestion]]</f>
        <v>1150202 - Terreno Labbé 1172 - Inversiones</v>
      </c>
      <c r="G2887" s="47" t="str">
        <f>+Centro_Cuenta8[[#This Row],[Código Cuenta Contable]]&amp;" - "&amp;Centro_Cuenta8[[#This Row],[Nombre de Cuenta Contable]]</f>
        <v>4203090 - Gastos Legales Y Notariales Proyecto</v>
      </c>
      <c r="H2887" s="146" t="str">
        <f>+VLOOKUP(D2887,'3. Cuentas'!A:F,6,0)</f>
        <v>SI</v>
      </c>
    </row>
    <row r="2888" spans="1:8" x14ac:dyDescent="0.25">
      <c r="A2888" s="43">
        <v>1155202</v>
      </c>
      <c r="B2888" t="s">
        <v>772</v>
      </c>
      <c r="C2888" s="43" t="s">
        <v>1578</v>
      </c>
      <c r="D2888" s="43">
        <v>1115040</v>
      </c>
      <c r="E2888" t="s">
        <v>291</v>
      </c>
      <c r="F2888" s="47" t="str">
        <f>+Centro_Cuenta8[[#This Row],[Codigo Centro Gestion]]&amp;" - "&amp;Centro_Cuenta8[[#This Row],[Nombre Centro Gestion]]</f>
        <v>1155202 - Terreno Liparita 260 - Inversiones</v>
      </c>
      <c r="G2888" s="47" t="str">
        <f>+Centro_Cuenta8[[#This Row],[Código Cuenta Contable]]&amp;" - "&amp;Centro_Cuenta8[[#This Row],[Nombre de Cuenta Contable]]</f>
        <v>1115040 - Saneamiento De Terreno</v>
      </c>
      <c r="H2888" s="146" t="str">
        <f>+VLOOKUP(D2888,'3. Cuentas'!A:F,6,0)</f>
        <v>SI</v>
      </c>
    </row>
    <row r="2889" spans="1:8" x14ac:dyDescent="0.25">
      <c r="A2889" s="43">
        <v>1155202</v>
      </c>
      <c r="B2889" t="s">
        <v>772</v>
      </c>
      <c r="C2889" s="43" t="s">
        <v>1578</v>
      </c>
      <c r="D2889" s="43">
        <v>1115170</v>
      </c>
      <c r="E2889" t="s">
        <v>293</v>
      </c>
      <c r="F2889" s="47" t="str">
        <f>+Centro_Cuenta8[[#This Row],[Codigo Centro Gestion]]&amp;" - "&amp;Centro_Cuenta8[[#This Row],[Nombre Centro Gestion]]</f>
        <v>1155202 - Terreno Liparita 260 - Inversiones</v>
      </c>
      <c r="G2889" s="47" t="str">
        <f>+Centro_Cuenta8[[#This Row],[Código Cuenta Contable]]&amp;" - "&amp;Centro_Cuenta8[[#This Row],[Nombre de Cuenta Contable]]</f>
        <v>1115170 - Permisos Y Otros Gastos Municipales</v>
      </c>
      <c r="H2889" s="146" t="str">
        <f>+VLOOKUP(D2889,'3. Cuentas'!A:F,6,0)</f>
        <v>SI</v>
      </c>
    </row>
    <row r="2890" spans="1:8" x14ac:dyDescent="0.25">
      <c r="A2890" s="43">
        <v>1155202</v>
      </c>
      <c r="B2890" t="s">
        <v>772</v>
      </c>
      <c r="C2890" s="43" t="s">
        <v>1578</v>
      </c>
      <c r="D2890" s="43">
        <v>1115240</v>
      </c>
      <c r="E2890" t="s">
        <v>294</v>
      </c>
      <c r="F2890" s="47" t="str">
        <f>+Centro_Cuenta8[[#This Row],[Codigo Centro Gestion]]&amp;" - "&amp;Centro_Cuenta8[[#This Row],[Nombre Centro Gestion]]</f>
        <v>1155202 - Terreno Liparita 260 - Inversiones</v>
      </c>
      <c r="G2890" s="47" t="str">
        <f>+Centro_Cuenta8[[#This Row],[Código Cuenta Contable]]&amp;" - "&amp;Centro_Cuenta8[[#This Row],[Nombre de Cuenta Contable]]</f>
        <v>1115240 - Estudios Y Asesorias Técnicas</v>
      </c>
      <c r="H2890" s="146" t="str">
        <f>+VLOOKUP(D2890,'3. Cuentas'!A:F,6,0)</f>
        <v>SI</v>
      </c>
    </row>
    <row r="2891" spans="1:8" x14ac:dyDescent="0.25">
      <c r="A2891" s="43">
        <v>1155202</v>
      </c>
      <c r="B2891" t="s">
        <v>772</v>
      </c>
      <c r="C2891" s="43" t="s">
        <v>1578</v>
      </c>
      <c r="D2891" s="43">
        <v>4203090</v>
      </c>
      <c r="E2891" t="s">
        <v>192</v>
      </c>
      <c r="F2891" s="47" t="str">
        <f>+Centro_Cuenta8[[#This Row],[Codigo Centro Gestion]]&amp;" - "&amp;Centro_Cuenta8[[#This Row],[Nombre Centro Gestion]]</f>
        <v>1155202 - Terreno Liparita 260 - Inversiones</v>
      </c>
      <c r="G2891" s="47" t="str">
        <f>+Centro_Cuenta8[[#This Row],[Código Cuenta Contable]]&amp;" - "&amp;Centro_Cuenta8[[#This Row],[Nombre de Cuenta Contable]]</f>
        <v>4203090 - Gastos Legales Y Notariales Proyecto</v>
      </c>
      <c r="H2891" s="146" t="str">
        <f>+VLOOKUP(D2891,'3. Cuentas'!A:F,6,0)</f>
        <v>SI</v>
      </c>
    </row>
    <row r="2892" spans="1:8" x14ac:dyDescent="0.25">
      <c r="A2892" s="43">
        <v>1156202</v>
      </c>
      <c r="B2892" t="s">
        <v>773</v>
      </c>
      <c r="C2892" s="43" t="s">
        <v>1578</v>
      </c>
      <c r="D2892" s="43">
        <v>1115040</v>
      </c>
      <c r="E2892" t="s">
        <v>291</v>
      </c>
      <c r="F2892" s="47" t="str">
        <f>+Centro_Cuenta8[[#This Row],[Codigo Centro Gestion]]&amp;" - "&amp;Centro_Cuenta8[[#This Row],[Nombre Centro Gestion]]</f>
        <v>1156202 - Terreno Achupallas 499 - Inversiones</v>
      </c>
      <c r="G2892" s="47" t="str">
        <f>+Centro_Cuenta8[[#This Row],[Código Cuenta Contable]]&amp;" - "&amp;Centro_Cuenta8[[#This Row],[Nombre de Cuenta Contable]]</f>
        <v>1115040 - Saneamiento De Terreno</v>
      </c>
      <c r="H2892" s="146" t="str">
        <f>+VLOOKUP(D2892,'3. Cuentas'!A:F,6,0)</f>
        <v>SI</v>
      </c>
    </row>
    <row r="2893" spans="1:8" x14ac:dyDescent="0.25">
      <c r="A2893" s="43">
        <v>1156202</v>
      </c>
      <c r="B2893" t="s">
        <v>773</v>
      </c>
      <c r="C2893" s="43" t="s">
        <v>1578</v>
      </c>
      <c r="D2893" s="43">
        <v>1115170</v>
      </c>
      <c r="E2893" t="s">
        <v>293</v>
      </c>
      <c r="F2893" s="47" t="str">
        <f>+Centro_Cuenta8[[#This Row],[Codigo Centro Gestion]]&amp;" - "&amp;Centro_Cuenta8[[#This Row],[Nombre Centro Gestion]]</f>
        <v>1156202 - Terreno Achupallas 499 - Inversiones</v>
      </c>
      <c r="G2893" s="47" t="str">
        <f>+Centro_Cuenta8[[#This Row],[Código Cuenta Contable]]&amp;" - "&amp;Centro_Cuenta8[[#This Row],[Nombre de Cuenta Contable]]</f>
        <v>1115170 - Permisos Y Otros Gastos Municipales</v>
      </c>
      <c r="H2893" s="146" t="str">
        <f>+VLOOKUP(D2893,'3. Cuentas'!A:F,6,0)</f>
        <v>SI</v>
      </c>
    </row>
    <row r="2894" spans="1:8" x14ac:dyDescent="0.25">
      <c r="A2894" s="43">
        <v>1156202</v>
      </c>
      <c r="B2894" t="s">
        <v>773</v>
      </c>
      <c r="C2894" s="43" t="s">
        <v>1578</v>
      </c>
      <c r="D2894" s="43">
        <v>1115240</v>
      </c>
      <c r="E2894" t="s">
        <v>294</v>
      </c>
      <c r="F2894" s="47" t="str">
        <f>+Centro_Cuenta8[[#This Row],[Codigo Centro Gestion]]&amp;" - "&amp;Centro_Cuenta8[[#This Row],[Nombre Centro Gestion]]</f>
        <v>1156202 - Terreno Achupallas 499 - Inversiones</v>
      </c>
      <c r="G2894" s="47" t="str">
        <f>+Centro_Cuenta8[[#This Row],[Código Cuenta Contable]]&amp;" - "&amp;Centro_Cuenta8[[#This Row],[Nombre de Cuenta Contable]]</f>
        <v>1115240 - Estudios Y Asesorias Técnicas</v>
      </c>
      <c r="H2894" s="146" t="str">
        <f>+VLOOKUP(D2894,'3. Cuentas'!A:F,6,0)</f>
        <v>SI</v>
      </c>
    </row>
    <row r="2895" spans="1:8" x14ac:dyDescent="0.25">
      <c r="A2895" s="43">
        <v>1156202</v>
      </c>
      <c r="B2895" t="s">
        <v>773</v>
      </c>
      <c r="C2895" s="43" t="s">
        <v>1578</v>
      </c>
      <c r="D2895" s="43">
        <v>4203090</v>
      </c>
      <c r="E2895" t="s">
        <v>192</v>
      </c>
      <c r="F2895" s="47" t="str">
        <f>+Centro_Cuenta8[[#This Row],[Codigo Centro Gestion]]&amp;" - "&amp;Centro_Cuenta8[[#This Row],[Nombre Centro Gestion]]</f>
        <v>1156202 - Terreno Achupallas 499 - Inversiones</v>
      </c>
      <c r="G2895" s="47" t="str">
        <f>+Centro_Cuenta8[[#This Row],[Código Cuenta Contable]]&amp;" - "&amp;Centro_Cuenta8[[#This Row],[Nombre de Cuenta Contable]]</f>
        <v>4203090 - Gastos Legales Y Notariales Proyecto</v>
      </c>
      <c r="H2895" s="146" t="str">
        <f>+VLOOKUP(D2895,'3. Cuentas'!A:F,6,0)</f>
        <v>SI</v>
      </c>
    </row>
    <row r="2896" spans="1:8" x14ac:dyDescent="0.25">
      <c r="A2896" s="43">
        <v>1157202</v>
      </c>
      <c r="B2896" t="s">
        <v>774</v>
      </c>
      <c r="C2896" s="43" t="s">
        <v>1578</v>
      </c>
      <c r="D2896" s="43">
        <v>1115040</v>
      </c>
      <c r="E2896" t="s">
        <v>291</v>
      </c>
      <c r="F2896" s="47" t="str">
        <f>+Centro_Cuenta8[[#This Row],[Codigo Centro Gestion]]&amp;" - "&amp;Centro_Cuenta8[[#This Row],[Nombre Centro Gestion]]</f>
        <v>1157202 - Terreno Condominio Parque Del Sur Torre A 145 - Inversiones</v>
      </c>
      <c r="G2896" s="47" t="str">
        <f>+Centro_Cuenta8[[#This Row],[Código Cuenta Contable]]&amp;" - "&amp;Centro_Cuenta8[[#This Row],[Nombre de Cuenta Contable]]</f>
        <v>1115040 - Saneamiento De Terreno</v>
      </c>
      <c r="H2896" s="146" t="str">
        <f>+VLOOKUP(D2896,'3. Cuentas'!A:F,6,0)</f>
        <v>SI</v>
      </c>
    </row>
    <row r="2897" spans="1:8" x14ac:dyDescent="0.25">
      <c r="A2897" s="43">
        <v>1157202</v>
      </c>
      <c r="B2897" t="s">
        <v>774</v>
      </c>
      <c r="C2897" s="43" t="s">
        <v>1578</v>
      </c>
      <c r="D2897" s="43">
        <v>1115170</v>
      </c>
      <c r="E2897" t="s">
        <v>293</v>
      </c>
      <c r="F2897" s="47" t="str">
        <f>+Centro_Cuenta8[[#This Row],[Codigo Centro Gestion]]&amp;" - "&amp;Centro_Cuenta8[[#This Row],[Nombre Centro Gestion]]</f>
        <v>1157202 - Terreno Condominio Parque Del Sur Torre A 145 - Inversiones</v>
      </c>
      <c r="G2897" s="47" t="str">
        <f>+Centro_Cuenta8[[#This Row],[Código Cuenta Contable]]&amp;" - "&amp;Centro_Cuenta8[[#This Row],[Nombre de Cuenta Contable]]</f>
        <v>1115170 - Permisos Y Otros Gastos Municipales</v>
      </c>
      <c r="H2897" s="146" t="str">
        <f>+VLOOKUP(D2897,'3. Cuentas'!A:F,6,0)</f>
        <v>SI</v>
      </c>
    </row>
    <row r="2898" spans="1:8" x14ac:dyDescent="0.25">
      <c r="A2898" s="43">
        <v>1157202</v>
      </c>
      <c r="B2898" t="s">
        <v>774</v>
      </c>
      <c r="C2898" s="43" t="s">
        <v>1578</v>
      </c>
      <c r="D2898" s="43">
        <v>1115240</v>
      </c>
      <c r="E2898" t="s">
        <v>294</v>
      </c>
      <c r="F2898" s="47" t="str">
        <f>+Centro_Cuenta8[[#This Row],[Codigo Centro Gestion]]&amp;" - "&amp;Centro_Cuenta8[[#This Row],[Nombre Centro Gestion]]</f>
        <v>1157202 - Terreno Condominio Parque Del Sur Torre A 145 - Inversiones</v>
      </c>
      <c r="G2898" s="47" t="str">
        <f>+Centro_Cuenta8[[#This Row],[Código Cuenta Contable]]&amp;" - "&amp;Centro_Cuenta8[[#This Row],[Nombre de Cuenta Contable]]</f>
        <v>1115240 - Estudios Y Asesorias Técnicas</v>
      </c>
      <c r="H2898" s="146" t="str">
        <f>+VLOOKUP(D2898,'3. Cuentas'!A:F,6,0)</f>
        <v>SI</v>
      </c>
    </row>
    <row r="2899" spans="1:8" x14ac:dyDescent="0.25">
      <c r="A2899" s="43">
        <v>1157202</v>
      </c>
      <c r="B2899" t="s">
        <v>774</v>
      </c>
      <c r="C2899" s="43" t="s">
        <v>1578</v>
      </c>
      <c r="D2899" s="43">
        <v>4203090</v>
      </c>
      <c r="E2899" t="s">
        <v>192</v>
      </c>
      <c r="F2899" s="47" t="str">
        <f>+Centro_Cuenta8[[#This Row],[Codigo Centro Gestion]]&amp;" - "&amp;Centro_Cuenta8[[#This Row],[Nombre Centro Gestion]]</f>
        <v>1157202 - Terreno Condominio Parque Del Sur Torre A 145 - Inversiones</v>
      </c>
      <c r="G2899" s="47" t="str">
        <f>+Centro_Cuenta8[[#This Row],[Código Cuenta Contable]]&amp;" - "&amp;Centro_Cuenta8[[#This Row],[Nombre de Cuenta Contable]]</f>
        <v>4203090 - Gastos Legales Y Notariales Proyecto</v>
      </c>
      <c r="H2899" s="146" t="str">
        <f>+VLOOKUP(D2899,'3. Cuentas'!A:F,6,0)</f>
        <v>SI</v>
      </c>
    </row>
    <row r="2900" spans="1:8" x14ac:dyDescent="0.25">
      <c r="A2900" s="43">
        <v>1158202</v>
      </c>
      <c r="B2900" t="s">
        <v>775</v>
      </c>
      <c r="C2900" s="43" t="s">
        <v>1578</v>
      </c>
      <c r="D2900" s="43">
        <v>1115040</v>
      </c>
      <c r="E2900" t="s">
        <v>291</v>
      </c>
      <c r="F2900" s="47" t="str">
        <f>+Centro_Cuenta8[[#This Row],[Codigo Centro Gestion]]&amp;" - "&amp;Centro_Cuenta8[[#This Row],[Nombre Centro Gestion]]</f>
        <v>1158202 - El Yodo 8195 - Inversiones</v>
      </c>
      <c r="G2900" s="47" t="str">
        <f>+Centro_Cuenta8[[#This Row],[Código Cuenta Contable]]&amp;" - "&amp;Centro_Cuenta8[[#This Row],[Nombre de Cuenta Contable]]</f>
        <v>1115040 - Saneamiento De Terreno</v>
      </c>
      <c r="H2900" s="146" t="str">
        <f>+VLOOKUP(D2900,'3. Cuentas'!A:F,6,0)</f>
        <v>SI</v>
      </c>
    </row>
    <row r="2901" spans="1:8" x14ac:dyDescent="0.25">
      <c r="A2901" s="43">
        <v>1158202</v>
      </c>
      <c r="B2901" t="s">
        <v>775</v>
      </c>
      <c r="C2901" s="43" t="s">
        <v>1578</v>
      </c>
      <c r="D2901" s="43">
        <v>1115170</v>
      </c>
      <c r="E2901" t="s">
        <v>293</v>
      </c>
      <c r="F2901" s="47" t="str">
        <f>+Centro_Cuenta8[[#This Row],[Codigo Centro Gestion]]&amp;" - "&amp;Centro_Cuenta8[[#This Row],[Nombre Centro Gestion]]</f>
        <v>1158202 - El Yodo 8195 - Inversiones</v>
      </c>
      <c r="G2901" s="47" t="str">
        <f>+Centro_Cuenta8[[#This Row],[Código Cuenta Contable]]&amp;" - "&amp;Centro_Cuenta8[[#This Row],[Nombre de Cuenta Contable]]</f>
        <v>1115170 - Permisos Y Otros Gastos Municipales</v>
      </c>
      <c r="H2901" s="146" t="str">
        <f>+VLOOKUP(D2901,'3. Cuentas'!A:F,6,0)</f>
        <v>SI</v>
      </c>
    </row>
    <row r="2902" spans="1:8" x14ac:dyDescent="0.25">
      <c r="A2902" s="43">
        <v>1158202</v>
      </c>
      <c r="B2902" t="s">
        <v>775</v>
      </c>
      <c r="C2902" s="43" t="s">
        <v>1578</v>
      </c>
      <c r="D2902" s="43">
        <v>1115240</v>
      </c>
      <c r="E2902" t="s">
        <v>294</v>
      </c>
      <c r="F2902" s="47" t="str">
        <f>+Centro_Cuenta8[[#This Row],[Codigo Centro Gestion]]&amp;" - "&amp;Centro_Cuenta8[[#This Row],[Nombre Centro Gestion]]</f>
        <v>1158202 - El Yodo 8195 - Inversiones</v>
      </c>
      <c r="G2902" s="47" t="str">
        <f>+Centro_Cuenta8[[#This Row],[Código Cuenta Contable]]&amp;" - "&amp;Centro_Cuenta8[[#This Row],[Nombre de Cuenta Contable]]</f>
        <v>1115240 - Estudios Y Asesorias Técnicas</v>
      </c>
      <c r="H2902" s="146" t="str">
        <f>+VLOOKUP(D2902,'3. Cuentas'!A:F,6,0)</f>
        <v>SI</v>
      </c>
    </row>
    <row r="2903" spans="1:8" x14ac:dyDescent="0.25">
      <c r="A2903" s="43">
        <v>1158202</v>
      </c>
      <c r="B2903" t="s">
        <v>775</v>
      </c>
      <c r="C2903" s="43" t="s">
        <v>1578</v>
      </c>
      <c r="D2903" s="43">
        <v>4203090</v>
      </c>
      <c r="E2903" t="s">
        <v>192</v>
      </c>
      <c r="F2903" s="47" t="str">
        <f>+Centro_Cuenta8[[#This Row],[Codigo Centro Gestion]]&amp;" - "&amp;Centro_Cuenta8[[#This Row],[Nombre Centro Gestion]]</f>
        <v>1158202 - El Yodo 8195 - Inversiones</v>
      </c>
      <c r="G2903" s="47" t="str">
        <f>+Centro_Cuenta8[[#This Row],[Código Cuenta Contable]]&amp;" - "&amp;Centro_Cuenta8[[#This Row],[Nombre de Cuenta Contable]]</f>
        <v>4203090 - Gastos Legales Y Notariales Proyecto</v>
      </c>
      <c r="H2903" s="146" t="str">
        <f>+VLOOKUP(D2903,'3. Cuentas'!A:F,6,0)</f>
        <v>SI</v>
      </c>
    </row>
    <row r="2904" spans="1:8" x14ac:dyDescent="0.25">
      <c r="A2904" s="43">
        <v>1159202</v>
      </c>
      <c r="B2904" t="s">
        <v>776</v>
      </c>
      <c r="C2904" s="43" t="s">
        <v>1578</v>
      </c>
      <c r="D2904" s="43">
        <v>1115040</v>
      </c>
      <c r="E2904" t="s">
        <v>291</v>
      </c>
      <c r="F2904" s="47" t="str">
        <f>+Centro_Cuenta8[[#This Row],[Codigo Centro Gestion]]&amp;" - "&amp;Centro_Cuenta8[[#This Row],[Nombre Centro Gestion]]</f>
        <v>1159202 - Terreno Carmen 1879  - Inversiones</v>
      </c>
      <c r="G2904" s="47" t="str">
        <f>+Centro_Cuenta8[[#This Row],[Código Cuenta Contable]]&amp;" - "&amp;Centro_Cuenta8[[#This Row],[Nombre de Cuenta Contable]]</f>
        <v>1115040 - Saneamiento De Terreno</v>
      </c>
      <c r="H2904" s="146" t="str">
        <f>+VLOOKUP(D2904,'3. Cuentas'!A:F,6,0)</f>
        <v>SI</v>
      </c>
    </row>
    <row r="2905" spans="1:8" x14ac:dyDescent="0.25">
      <c r="A2905" s="43">
        <v>1159202</v>
      </c>
      <c r="B2905" t="s">
        <v>776</v>
      </c>
      <c r="C2905" s="43" t="s">
        <v>1578</v>
      </c>
      <c r="D2905" s="43">
        <v>1115170</v>
      </c>
      <c r="E2905" t="s">
        <v>293</v>
      </c>
      <c r="F2905" s="47" t="str">
        <f>+Centro_Cuenta8[[#This Row],[Codigo Centro Gestion]]&amp;" - "&amp;Centro_Cuenta8[[#This Row],[Nombre Centro Gestion]]</f>
        <v>1159202 - Terreno Carmen 1879  - Inversiones</v>
      </c>
      <c r="G2905" s="47" t="str">
        <f>+Centro_Cuenta8[[#This Row],[Código Cuenta Contable]]&amp;" - "&amp;Centro_Cuenta8[[#This Row],[Nombre de Cuenta Contable]]</f>
        <v>1115170 - Permisos Y Otros Gastos Municipales</v>
      </c>
      <c r="H2905" s="146" t="str">
        <f>+VLOOKUP(D2905,'3. Cuentas'!A:F,6,0)</f>
        <v>SI</v>
      </c>
    </row>
    <row r="2906" spans="1:8" x14ac:dyDescent="0.25">
      <c r="A2906" s="43">
        <v>1159202</v>
      </c>
      <c r="B2906" t="s">
        <v>776</v>
      </c>
      <c r="C2906" s="43" t="s">
        <v>1578</v>
      </c>
      <c r="D2906" s="43">
        <v>1115240</v>
      </c>
      <c r="E2906" t="s">
        <v>294</v>
      </c>
      <c r="F2906" s="47" t="str">
        <f>+Centro_Cuenta8[[#This Row],[Codigo Centro Gestion]]&amp;" - "&amp;Centro_Cuenta8[[#This Row],[Nombre Centro Gestion]]</f>
        <v>1159202 - Terreno Carmen 1879  - Inversiones</v>
      </c>
      <c r="G2906" s="47" t="str">
        <f>+Centro_Cuenta8[[#This Row],[Código Cuenta Contable]]&amp;" - "&amp;Centro_Cuenta8[[#This Row],[Nombre de Cuenta Contable]]</f>
        <v>1115240 - Estudios Y Asesorias Técnicas</v>
      </c>
      <c r="H2906" s="146" t="str">
        <f>+VLOOKUP(D2906,'3. Cuentas'!A:F,6,0)</f>
        <v>SI</v>
      </c>
    </row>
    <row r="2907" spans="1:8" x14ac:dyDescent="0.25">
      <c r="A2907" s="43">
        <v>1159202</v>
      </c>
      <c r="B2907" t="s">
        <v>776</v>
      </c>
      <c r="C2907" s="43" t="s">
        <v>1578</v>
      </c>
      <c r="D2907" s="43">
        <v>4203090</v>
      </c>
      <c r="E2907" t="s">
        <v>192</v>
      </c>
      <c r="F2907" s="47" t="str">
        <f>+Centro_Cuenta8[[#This Row],[Codigo Centro Gestion]]&amp;" - "&amp;Centro_Cuenta8[[#This Row],[Nombre Centro Gestion]]</f>
        <v>1159202 - Terreno Carmen 1879  - Inversiones</v>
      </c>
      <c r="G2907" s="47" t="str">
        <f>+Centro_Cuenta8[[#This Row],[Código Cuenta Contable]]&amp;" - "&amp;Centro_Cuenta8[[#This Row],[Nombre de Cuenta Contable]]</f>
        <v>4203090 - Gastos Legales Y Notariales Proyecto</v>
      </c>
      <c r="H2907" s="146" t="str">
        <f>+VLOOKUP(D2907,'3. Cuentas'!A:F,6,0)</f>
        <v>SI</v>
      </c>
    </row>
    <row r="2908" spans="1:8" x14ac:dyDescent="0.25">
      <c r="A2908" s="43">
        <v>1162202</v>
      </c>
      <c r="B2908" t="s">
        <v>777</v>
      </c>
      <c r="C2908" s="43" t="s">
        <v>1578</v>
      </c>
      <c r="D2908" s="43">
        <v>1115040</v>
      </c>
      <c r="E2908" t="s">
        <v>291</v>
      </c>
      <c r="F2908" s="47" t="str">
        <f>+Centro_Cuenta8[[#This Row],[Codigo Centro Gestion]]&amp;" - "&amp;Centro_Cuenta8[[#This Row],[Nombre Centro Gestion]]</f>
        <v>1162202 - Terreno Palmas del Sur 2 - Inversiones</v>
      </c>
      <c r="G2908" s="47" t="str">
        <f>+Centro_Cuenta8[[#This Row],[Código Cuenta Contable]]&amp;" - "&amp;Centro_Cuenta8[[#This Row],[Nombre de Cuenta Contable]]</f>
        <v>1115040 - Saneamiento De Terreno</v>
      </c>
      <c r="H2908" s="146" t="str">
        <f>+VLOOKUP(D2908,'3. Cuentas'!A:F,6,0)</f>
        <v>SI</v>
      </c>
    </row>
    <row r="2909" spans="1:8" x14ac:dyDescent="0.25">
      <c r="A2909" s="43">
        <v>1162202</v>
      </c>
      <c r="B2909" t="s">
        <v>777</v>
      </c>
      <c r="C2909" s="43" t="s">
        <v>1578</v>
      </c>
      <c r="D2909" s="43">
        <v>1115170</v>
      </c>
      <c r="E2909" t="s">
        <v>293</v>
      </c>
      <c r="F2909" s="47" t="str">
        <f>+Centro_Cuenta8[[#This Row],[Codigo Centro Gestion]]&amp;" - "&amp;Centro_Cuenta8[[#This Row],[Nombre Centro Gestion]]</f>
        <v>1162202 - Terreno Palmas del Sur 2 - Inversiones</v>
      </c>
      <c r="G2909" s="47" t="str">
        <f>+Centro_Cuenta8[[#This Row],[Código Cuenta Contable]]&amp;" - "&amp;Centro_Cuenta8[[#This Row],[Nombre de Cuenta Contable]]</f>
        <v>1115170 - Permisos Y Otros Gastos Municipales</v>
      </c>
      <c r="H2909" s="146" t="str">
        <f>+VLOOKUP(D2909,'3. Cuentas'!A:F,6,0)</f>
        <v>SI</v>
      </c>
    </row>
    <row r="2910" spans="1:8" x14ac:dyDescent="0.25">
      <c r="A2910" s="43">
        <v>1162202</v>
      </c>
      <c r="B2910" t="s">
        <v>777</v>
      </c>
      <c r="C2910" s="43" t="s">
        <v>1578</v>
      </c>
      <c r="D2910" s="43">
        <v>1115240</v>
      </c>
      <c r="E2910" t="s">
        <v>294</v>
      </c>
      <c r="F2910" s="47" t="str">
        <f>+Centro_Cuenta8[[#This Row],[Codigo Centro Gestion]]&amp;" - "&amp;Centro_Cuenta8[[#This Row],[Nombre Centro Gestion]]</f>
        <v>1162202 - Terreno Palmas del Sur 2 - Inversiones</v>
      </c>
      <c r="G2910" s="47" t="str">
        <f>+Centro_Cuenta8[[#This Row],[Código Cuenta Contable]]&amp;" - "&amp;Centro_Cuenta8[[#This Row],[Nombre de Cuenta Contable]]</f>
        <v>1115240 - Estudios Y Asesorias Técnicas</v>
      </c>
      <c r="H2910" s="146" t="str">
        <f>+VLOOKUP(D2910,'3. Cuentas'!A:F,6,0)</f>
        <v>SI</v>
      </c>
    </row>
    <row r="2911" spans="1:8" x14ac:dyDescent="0.25">
      <c r="A2911" s="43">
        <v>1162202</v>
      </c>
      <c r="B2911" t="s">
        <v>777</v>
      </c>
      <c r="C2911" s="43" t="s">
        <v>1578</v>
      </c>
      <c r="D2911" s="43">
        <v>4203090</v>
      </c>
      <c r="E2911" t="s">
        <v>192</v>
      </c>
      <c r="F2911" s="47" t="str">
        <f>+Centro_Cuenta8[[#This Row],[Codigo Centro Gestion]]&amp;" - "&amp;Centro_Cuenta8[[#This Row],[Nombre Centro Gestion]]</f>
        <v>1162202 - Terreno Palmas del Sur 2 - Inversiones</v>
      </c>
      <c r="G2911" s="47" t="str">
        <f>+Centro_Cuenta8[[#This Row],[Código Cuenta Contable]]&amp;" - "&amp;Centro_Cuenta8[[#This Row],[Nombre de Cuenta Contable]]</f>
        <v>4203090 - Gastos Legales Y Notariales Proyecto</v>
      </c>
      <c r="H2911" s="146" t="str">
        <f>+VLOOKUP(D2911,'3. Cuentas'!A:F,6,0)</f>
        <v>SI</v>
      </c>
    </row>
    <row r="2912" spans="1:8" x14ac:dyDescent="0.25">
      <c r="A2912" s="43">
        <v>1166202</v>
      </c>
      <c r="B2912" t="s">
        <v>778</v>
      </c>
      <c r="C2912" s="43" t="s">
        <v>1578</v>
      </c>
      <c r="D2912" s="43">
        <v>1115040</v>
      </c>
      <c r="E2912" t="s">
        <v>291</v>
      </c>
      <c r="F2912" s="47" t="str">
        <f>+Centro_Cuenta8[[#This Row],[Codigo Centro Gestion]]&amp;" - "&amp;Centro_Cuenta8[[#This Row],[Nombre Centro Gestion]]</f>
        <v>1166202 - Terreno DS19 Gran Avenida Etapa 2 (Torre A-B) – Inversiones</v>
      </c>
      <c r="G2912" s="47" t="str">
        <f>+Centro_Cuenta8[[#This Row],[Código Cuenta Contable]]&amp;" - "&amp;Centro_Cuenta8[[#This Row],[Nombre de Cuenta Contable]]</f>
        <v>1115040 - Saneamiento De Terreno</v>
      </c>
      <c r="H2912" s="146" t="str">
        <f>+VLOOKUP(D2912,'3. Cuentas'!A:F,6,0)</f>
        <v>SI</v>
      </c>
    </row>
    <row r="2913" spans="1:8" x14ac:dyDescent="0.25">
      <c r="A2913" s="43">
        <v>1166202</v>
      </c>
      <c r="B2913" t="s">
        <v>778</v>
      </c>
      <c r="C2913" s="43" t="s">
        <v>1578</v>
      </c>
      <c r="D2913" s="43">
        <v>1115170</v>
      </c>
      <c r="E2913" t="s">
        <v>293</v>
      </c>
      <c r="F2913" s="47" t="str">
        <f>+Centro_Cuenta8[[#This Row],[Codigo Centro Gestion]]&amp;" - "&amp;Centro_Cuenta8[[#This Row],[Nombre Centro Gestion]]</f>
        <v>1166202 - Terreno DS19 Gran Avenida Etapa 2 (Torre A-B) – Inversiones</v>
      </c>
      <c r="G2913" s="47" t="str">
        <f>+Centro_Cuenta8[[#This Row],[Código Cuenta Contable]]&amp;" - "&amp;Centro_Cuenta8[[#This Row],[Nombre de Cuenta Contable]]</f>
        <v>1115170 - Permisos Y Otros Gastos Municipales</v>
      </c>
      <c r="H2913" s="146" t="str">
        <f>+VLOOKUP(D2913,'3. Cuentas'!A:F,6,0)</f>
        <v>SI</v>
      </c>
    </row>
    <row r="2914" spans="1:8" x14ac:dyDescent="0.25">
      <c r="A2914" s="43">
        <v>1166202</v>
      </c>
      <c r="B2914" t="s">
        <v>778</v>
      </c>
      <c r="C2914" s="43" t="s">
        <v>1578</v>
      </c>
      <c r="D2914" s="43">
        <v>1115240</v>
      </c>
      <c r="E2914" t="s">
        <v>294</v>
      </c>
      <c r="F2914" s="47" t="str">
        <f>+Centro_Cuenta8[[#This Row],[Codigo Centro Gestion]]&amp;" - "&amp;Centro_Cuenta8[[#This Row],[Nombre Centro Gestion]]</f>
        <v>1166202 - Terreno DS19 Gran Avenida Etapa 2 (Torre A-B) – Inversiones</v>
      </c>
      <c r="G2914" s="47" t="str">
        <f>+Centro_Cuenta8[[#This Row],[Código Cuenta Contable]]&amp;" - "&amp;Centro_Cuenta8[[#This Row],[Nombre de Cuenta Contable]]</f>
        <v>1115240 - Estudios Y Asesorias Técnicas</v>
      </c>
      <c r="H2914" s="146" t="str">
        <f>+VLOOKUP(D2914,'3. Cuentas'!A:F,6,0)</f>
        <v>SI</v>
      </c>
    </row>
    <row r="2915" spans="1:8" x14ac:dyDescent="0.25">
      <c r="A2915" s="43">
        <v>1166202</v>
      </c>
      <c r="B2915" t="s">
        <v>778</v>
      </c>
      <c r="C2915" s="43" t="s">
        <v>1578</v>
      </c>
      <c r="D2915" s="43">
        <v>4203090</v>
      </c>
      <c r="E2915" t="s">
        <v>192</v>
      </c>
      <c r="F2915" s="47" t="str">
        <f>+Centro_Cuenta8[[#This Row],[Codigo Centro Gestion]]&amp;" - "&amp;Centro_Cuenta8[[#This Row],[Nombre Centro Gestion]]</f>
        <v>1166202 - Terreno DS19 Gran Avenida Etapa 2 (Torre A-B) – Inversiones</v>
      </c>
      <c r="G2915" s="47" t="str">
        <f>+Centro_Cuenta8[[#This Row],[Código Cuenta Contable]]&amp;" - "&amp;Centro_Cuenta8[[#This Row],[Nombre de Cuenta Contable]]</f>
        <v>4203090 - Gastos Legales Y Notariales Proyecto</v>
      </c>
      <c r="H2915" s="146" t="str">
        <f>+VLOOKUP(D2915,'3. Cuentas'!A:F,6,0)</f>
        <v>SI</v>
      </c>
    </row>
    <row r="2916" spans="1:8" x14ac:dyDescent="0.25">
      <c r="A2916" s="43">
        <v>1167202</v>
      </c>
      <c r="B2916" t="s">
        <v>779</v>
      </c>
      <c r="C2916" s="43" t="s">
        <v>1578</v>
      </c>
      <c r="D2916" s="43">
        <v>1115040</v>
      </c>
      <c r="E2916" t="s">
        <v>291</v>
      </c>
      <c r="F2916" s="47" t="str">
        <f>+Centro_Cuenta8[[#This Row],[Codigo Centro Gestion]]&amp;" - "&amp;Centro_Cuenta8[[#This Row],[Nombre Centro Gestion]]</f>
        <v>1167202 - Terreno DS19 Gran Avenida Etapa 1 (Torre C-D) – Inversiones</v>
      </c>
      <c r="G2916" s="47" t="str">
        <f>+Centro_Cuenta8[[#This Row],[Código Cuenta Contable]]&amp;" - "&amp;Centro_Cuenta8[[#This Row],[Nombre de Cuenta Contable]]</f>
        <v>1115040 - Saneamiento De Terreno</v>
      </c>
      <c r="H2916" s="146" t="str">
        <f>+VLOOKUP(D2916,'3. Cuentas'!A:F,6,0)</f>
        <v>SI</v>
      </c>
    </row>
    <row r="2917" spans="1:8" x14ac:dyDescent="0.25">
      <c r="A2917" s="43">
        <v>1167202</v>
      </c>
      <c r="B2917" t="s">
        <v>779</v>
      </c>
      <c r="C2917" s="43" t="s">
        <v>1578</v>
      </c>
      <c r="D2917" s="43">
        <v>1115170</v>
      </c>
      <c r="E2917" t="s">
        <v>293</v>
      </c>
      <c r="F2917" s="47" t="str">
        <f>+Centro_Cuenta8[[#This Row],[Codigo Centro Gestion]]&amp;" - "&amp;Centro_Cuenta8[[#This Row],[Nombre Centro Gestion]]</f>
        <v>1167202 - Terreno DS19 Gran Avenida Etapa 1 (Torre C-D) – Inversiones</v>
      </c>
      <c r="G2917" s="47" t="str">
        <f>+Centro_Cuenta8[[#This Row],[Código Cuenta Contable]]&amp;" - "&amp;Centro_Cuenta8[[#This Row],[Nombre de Cuenta Contable]]</f>
        <v>1115170 - Permisos Y Otros Gastos Municipales</v>
      </c>
      <c r="H2917" s="146" t="str">
        <f>+VLOOKUP(D2917,'3. Cuentas'!A:F,6,0)</f>
        <v>SI</v>
      </c>
    </row>
    <row r="2918" spans="1:8" x14ac:dyDescent="0.25">
      <c r="A2918" s="43">
        <v>1167202</v>
      </c>
      <c r="B2918" t="s">
        <v>779</v>
      </c>
      <c r="C2918" s="43" t="s">
        <v>1578</v>
      </c>
      <c r="D2918" s="43">
        <v>1115240</v>
      </c>
      <c r="E2918" t="s">
        <v>294</v>
      </c>
      <c r="F2918" s="47" t="str">
        <f>+Centro_Cuenta8[[#This Row],[Codigo Centro Gestion]]&amp;" - "&amp;Centro_Cuenta8[[#This Row],[Nombre Centro Gestion]]</f>
        <v>1167202 - Terreno DS19 Gran Avenida Etapa 1 (Torre C-D) – Inversiones</v>
      </c>
      <c r="G2918" s="47" t="str">
        <f>+Centro_Cuenta8[[#This Row],[Código Cuenta Contable]]&amp;" - "&amp;Centro_Cuenta8[[#This Row],[Nombre de Cuenta Contable]]</f>
        <v>1115240 - Estudios Y Asesorias Técnicas</v>
      </c>
      <c r="H2918" s="146" t="str">
        <f>+VLOOKUP(D2918,'3. Cuentas'!A:F,6,0)</f>
        <v>SI</v>
      </c>
    </row>
    <row r="2919" spans="1:8" x14ac:dyDescent="0.25">
      <c r="A2919" s="43">
        <v>1167202</v>
      </c>
      <c r="B2919" t="s">
        <v>779</v>
      </c>
      <c r="C2919" s="43" t="s">
        <v>1578</v>
      </c>
      <c r="D2919" s="43">
        <v>4203090</v>
      </c>
      <c r="E2919" t="s">
        <v>192</v>
      </c>
      <c r="F2919" s="47" t="str">
        <f>+Centro_Cuenta8[[#This Row],[Codigo Centro Gestion]]&amp;" - "&amp;Centro_Cuenta8[[#This Row],[Nombre Centro Gestion]]</f>
        <v>1167202 - Terreno DS19 Gran Avenida Etapa 1 (Torre C-D) – Inversiones</v>
      </c>
      <c r="G2919" s="47" t="str">
        <f>+Centro_Cuenta8[[#This Row],[Código Cuenta Contable]]&amp;" - "&amp;Centro_Cuenta8[[#This Row],[Nombre de Cuenta Contable]]</f>
        <v>4203090 - Gastos Legales Y Notariales Proyecto</v>
      </c>
      <c r="H2919" s="146" t="str">
        <f>+VLOOKUP(D2919,'3. Cuentas'!A:F,6,0)</f>
        <v>SI</v>
      </c>
    </row>
    <row r="2920" spans="1:8" x14ac:dyDescent="0.25">
      <c r="A2920" s="43">
        <v>1168202</v>
      </c>
      <c r="B2920" t="s">
        <v>4309</v>
      </c>
      <c r="C2920" s="43" t="s">
        <v>1578</v>
      </c>
      <c r="D2920" s="43">
        <v>1115040</v>
      </c>
      <c r="E2920" t="s">
        <v>291</v>
      </c>
      <c r="F2920" s="47" t="str">
        <f>+Centro_Cuenta8[[#This Row],[Codigo Centro Gestion]]&amp;" - "&amp;Centro_Cuenta8[[#This Row],[Nombre Centro Gestion]]</f>
        <v>1168202 - Terrreno Del Valle Sur 628 - Inversiones</v>
      </c>
      <c r="G2920" s="47" t="str">
        <f>+Centro_Cuenta8[[#This Row],[Código Cuenta Contable]]&amp;" - "&amp;Centro_Cuenta8[[#This Row],[Nombre de Cuenta Contable]]</f>
        <v>1115040 - Saneamiento De Terreno</v>
      </c>
      <c r="H2920" s="146" t="str">
        <f>+VLOOKUP(D2920,'3. Cuentas'!A:F,6,0)</f>
        <v>SI</v>
      </c>
    </row>
    <row r="2921" spans="1:8" x14ac:dyDescent="0.25">
      <c r="A2921" s="43">
        <v>1168202</v>
      </c>
      <c r="B2921" t="s">
        <v>4309</v>
      </c>
      <c r="C2921" s="43" t="s">
        <v>1578</v>
      </c>
      <c r="D2921" s="43">
        <v>1115170</v>
      </c>
      <c r="E2921" t="s">
        <v>293</v>
      </c>
      <c r="F2921" s="47" t="str">
        <f>+Centro_Cuenta8[[#This Row],[Codigo Centro Gestion]]&amp;" - "&amp;Centro_Cuenta8[[#This Row],[Nombre Centro Gestion]]</f>
        <v>1168202 - Terrreno Del Valle Sur 628 - Inversiones</v>
      </c>
      <c r="G2921" s="47" t="str">
        <f>+Centro_Cuenta8[[#This Row],[Código Cuenta Contable]]&amp;" - "&amp;Centro_Cuenta8[[#This Row],[Nombre de Cuenta Contable]]</f>
        <v>1115170 - Permisos Y Otros Gastos Municipales</v>
      </c>
      <c r="H2921" s="146" t="str">
        <f>+VLOOKUP(D2921,'3. Cuentas'!A:F,6,0)</f>
        <v>SI</v>
      </c>
    </row>
    <row r="2922" spans="1:8" x14ac:dyDescent="0.25">
      <c r="A2922" s="43">
        <v>1168202</v>
      </c>
      <c r="B2922" t="s">
        <v>4309</v>
      </c>
      <c r="C2922" s="43" t="s">
        <v>1578</v>
      </c>
      <c r="D2922" s="43">
        <v>1115240</v>
      </c>
      <c r="E2922" t="s">
        <v>294</v>
      </c>
      <c r="F2922" s="47" t="str">
        <f>+Centro_Cuenta8[[#This Row],[Codigo Centro Gestion]]&amp;" - "&amp;Centro_Cuenta8[[#This Row],[Nombre Centro Gestion]]</f>
        <v>1168202 - Terrreno Del Valle Sur 628 - Inversiones</v>
      </c>
      <c r="G2922" s="47" t="str">
        <f>+Centro_Cuenta8[[#This Row],[Código Cuenta Contable]]&amp;" - "&amp;Centro_Cuenta8[[#This Row],[Nombre de Cuenta Contable]]</f>
        <v>1115240 - Estudios Y Asesorias Técnicas</v>
      </c>
      <c r="H2922" s="146" t="str">
        <f>+VLOOKUP(D2922,'3. Cuentas'!A:F,6,0)</f>
        <v>SI</v>
      </c>
    </row>
    <row r="2923" spans="1:8" x14ac:dyDescent="0.25">
      <c r="A2923" s="43">
        <v>1168202</v>
      </c>
      <c r="B2923" t="s">
        <v>4309</v>
      </c>
      <c r="C2923" s="43" t="s">
        <v>1578</v>
      </c>
      <c r="D2923" s="43">
        <v>4203090</v>
      </c>
      <c r="E2923" t="s">
        <v>192</v>
      </c>
      <c r="F2923" s="47" t="str">
        <f>+Centro_Cuenta8[[#This Row],[Codigo Centro Gestion]]&amp;" - "&amp;Centro_Cuenta8[[#This Row],[Nombre Centro Gestion]]</f>
        <v>1168202 - Terrreno Del Valle Sur 628 - Inversiones</v>
      </c>
      <c r="G2923" s="47" t="str">
        <f>+Centro_Cuenta8[[#This Row],[Código Cuenta Contable]]&amp;" - "&amp;Centro_Cuenta8[[#This Row],[Nombre de Cuenta Contable]]</f>
        <v>4203090 - Gastos Legales Y Notariales Proyecto</v>
      </c>
      <c r="H2923" s="146" t="str">
        <f>+VLOOKUP(D2923,'3. Cuentas'!A:F,6,0)</f>
        <v>SI</v>
      </c>
    </row>
    <row r="2924" spans="1:8" x14ac:dyDescent="0.25">
      <c r="A2924" s="43">
        <v>1168202</v>
      </c>
      <c r="B2924" t="s">
        <v>4309</v>
      </c>
      <c r="C2924" s="43" t="s">
        <v>1578</v>
      </c>
      <c r="D2924" s="43">
        <v>1115040</v>
      </c>
      <c r="E2924" t="s">
        <v>291</v>
      </c>
      <c r="F2924" s="47" t="str">
        <f>+Centro_Cuenta8[[#This Row],[Codigo Centro Gestion]]&amp;" - "&amp;Centro_Cuenta8[[#This Row],[Nombre Centro Gestion]]</f>
        <v>1168202 - Terrreno Del Valle Sur 628 - Inversiones</v>
      </c>
      <c r="G2924" s="47" t="str">
        <f>+Centro_Cuenta8[[#This Row],[Código Cuenta Contable]]&amp;" - "&amp;Centro_Cuenta8[[#This Row],[Nombre de Cuenta Contable]]</f>
        <v>1115040 - Saneamiento De Terreno</v>
      </c>
      <c r="H2924" s="146" t="str">
        <f>+VLOOKUP(D2924,'3. Cuentas'!A:F,6,0)</f>
        <v>SI</v>
      </c>
    </row>
    <row r="2925" spans="1:8" x14ac:dyDescent="0.25">
      <c r="A2925" s="43">
        <v>1168202</v>
      </c>
      <c r="B2925" t="s">
        <v>4309</v>
      </c>
      <c r="C2925" s="43" t="s">
        <v>1578</v>
      </c>
      <c r="D2925" s="43">
        <v>1115170</v>
      </c>
      <c r="E2925" t="s">
        <v>293</v>
      </c>
      <c r="F2925" s="47" t="str">
        <f>+Centro_Cuenta8[[#This Row],[Codigo Centro Gestion]]&amp;" - "&amp;Centro_Cuenta8[[#This Row],[Nombre Centro Gestion]]</f>
        <v>1168202 - Terrreno Del Valle Sur 628 - Inversiones</v>
      </c>
      <c r="G2925" s="47" t="str">
        <f>+Centro_Cuenta8[[#This Row],[Código Cuenta Contable]]&amp;" - "&amp;Centro_Cuenta8[[#This Row],[Nombre de Cuenta Contable]]</f>
        <v>1115170 - Permisos Y Otros Gastos Municipales</v>
      </c>
      <c r="H2925" s="146" t="str">
        <f>+VLOOKUP(D2925,'3. Cuentas'!A:F,6,0)</f>
        <v>SI</v>
      </c>
    </row>
    <row r="2926" spans="1:8" x14ac:dyDescent="0.25">
      <c r="A2926" s="43">
        <v>1168202</v>
      </c>
      <c r="B2926" t="s">
        <v>4309</v>
      </c>
      <c r="C2926" s="43" t="s">
        <v>1578</v>
      </c>
      <c r="D2926" s="43">
        <v>1115240</v>
      </c>
      <c r="E2926" t="s">
        <v>294</v>
      </c>
      <c r="F2926" s="47" t="str">
        <f>+Centro_Cuenta8[[#This Row],[Codigo Centro Gestion]]&amp;" - "&amp;Centro_Cuenta8[[#This Row],[Nombre Centro Gestion]]</f>
        <v>1168202 - Terrreno Del Valle Sur 628 - Inversiones</v>
      </c>
      <c r="G2926" s="47" t="str">
        <f>+Centro_Cuenta8[[#This Row],[Código Cuenta Contable]]&amp;" - "&amp;Centro_Cuenta8[[#This Row],[Nombre de Cuenta Contable]]</f>
        <v>1115240 - Estudios Y Asesorias Técnicas</v>
      </c>
      <c r="H2926" s="146" t="str">
        <f>+VLOOKUP(D2926,'3. Cuentas'!A:F,6,0)</f>
        <v>SI</v>
      </c>
    </row>
    <row r="2927" spans="1:8" x14ac:dyDescent="0.25">
      <c r="A2927" s="43">
        <v>1168202</v>
      </c>
      <c r="B2927" t="s">
        <v>4309</v>
      </c>
      <c r="C2927" s="43" t="s">
        <v>1578</v>
      </c>
      <c r="D2927" s="43">
        <v>4203090</v>
      </c>
      <c r="E2927" t="s">
        <v>192</v>
      </c>
      <c r="F2927" s="47" t="str">
        <f>+Centro_Cuenta8[[#This Row],[Codigo Centro Gestion]]&amp;" - "&amp;Centro_Cuenta8[[#This Row],[Nombre Centro Gestion]]</f>
        <v>1168202 - Terrreno Del Valle Sur 628 - Inversiones</v>
      </c>
      <c r="G2927" s="47" t="str">
        <f>+Centro_Cuenta8[[#This Row],[Código Cuenta Contable]]&amp;" - "&amp;Centro_Cuenta8[[#This Row],[Nombre de Cuenta Contable]]</f>
        <v>4203090 - Gastos Legales Y Notariales Proyecto</v>
      </c>
      <c r="H2927" s="146" t="str">
        <f>+VLOOKUP(D2927,'3. Cuentas'!A:F,6,0)</f>
        <v>SI</v>
      </c>
    </row>
    <row r="2928" spans="1:8" x14ac:dyDescent="0.25">
      <c r="A2928" s="43">
        <v>219</v>
      </c>
      <c r="B2928" t="s">
        <v>462</v>
      </c>
      <c r="C2928" s="43" t="s">
        <v>65</v>
      </c>
      <c r="D2928" s="43">
        <v>4101001</v>
      </c>
      <c r="E2928" t="s">
        <v>69</v>
      </c>
      <c r="F2928" s="47" t="str">
        <f>+Centro_Cuenta8[[#This Row],[Codigo Centro Gestion]]&amp;" - "&amp;Centro_Cuenta8[[#This Row],[Nombre Centro Gestion]]</f>
        <v>219 - Edificio Teresa Vial</v>
      </c>
      <c r="G2928" s="47" t="str">
        <f>+Centro_Cuenta8[[#This Row],[Código Cuenta Contable]]&amp;" - "&amp;Centro_Cuenta8[[#This Row],[Nombre de Cuenta Contable]]</f>
        <v>4101001 - Costos Materiales de Obra</v>
      </c>
      <c r="H2928" s="146" t="str">
        <f>+VLOOKUP(D2928,'3. Cuentas'!A:F,6,0)</f>
        <v>SI</v>
      </c>
    </row>
    <row r="2929" spans="1:8" x14ac:dyDescent="0.25">
      <c r="A2929" s="43">
        <v>219</v>
      </c>
      <c r="B2929" t="s">
        <v>462</v>
      </c>
      <c r="C2929" s="43" t="s">
        <v>65</v>
      </c>
      <c r="D2929" s="43">
        <v>4102001</v>
      </c>
      <c r="E2929" t="s">
        <v>152</v>
      </c>
      <c r="F2929" s="47" t="str">
        <f>+Centro_Cuenta8[[#This Row],[Codigo Centro Gestion]]&amp;" - "&amp;Centro_Cuenta8[[#This Row],[Nombre Centro Gestion]]</f>
        <v>219 - Edificio Teresa Vial</v>
      </c>
      <c r="G2929" s="47" t="str">
        <f>+Centro_Cuenta8[[#This Row],[Código Cuenta Contable]]&amp;" - "&amp;Centro_Cuenta8[[#This Row],[Nombre de Cuenta Contable]]</f>
        <v>4102001 - Costos Subcontratos</v>
      </c>
      <c r="H2929" s="146" t="str">
        <f>+VLOOKUP(D2929,'3. Cuentas'!A:F,6,0)</f>
        <v>SI</v>
      </c>
    </row>
    <row r="2930" spans="1:8" x14ac:dyDescent="0.25">
      <c r="A2930" s="43">
        <v>219</v>
      </c>
      <c r="B2930" t="s">
        <v>462</v>
      </c>
      <c r="C2930" s="43" t="s">
        <v>65</v>
      </c>
      <c r="D2930" s="43">
        <v>4103001</v>
      </c>
      <c r="E2930" t="s">
        <v>223</v>
      </c>
      <c r="F2930" s="47" t="str">
        <f>+Centro_Cuenta8[[#This Row],[Codigo Centro Gestion]]&amp;" - "&amp;Centro_Cuenta8[[#This Row],[Nombre Centro Gestion]]</f>
        <v>219 - Edificio Teresa Vial</v>
      </c>
      <c r="G2930" s="47" t="str">
        <f>+Centro_Cuenta8[[#This Row],[Código Cuenta Contable]]&amp;" - "&amp;Centro_Cuenta8[[#This Row],[Nombre de Cuenta Contable]]</f>
        <v>4103001 - Costos Maquinarias y Equipos</v>
      </c>
      <c r="H2930" s="146" t="str">
        <f>+VLOOKUP(D2930,'3. Cuentas'!A:F,6,0)</f>
        <v>SI</v>
      </c>
    </row>
    <row r="2931" spans="1:8" x14ac:dyDescent="0.25">
      <c r="A2931" s="43">
        <v>219</v>
      </c>
      <c r="B2931" t="s">
        <v>462</v>
      </c>
      <c r="C2931" s="43" t="s">
        <v>65</v>
      </c>
      <c r="D2931" s="43">
        <v>4105001</v>
      </c>
      <c r="E2931" t="s">
        <v>70</v>
      </c>
      <c r="F2931" s="47" t="str">
        <f>+Centro_Cuenta8[[#This Row],[Codigo Centro Gestion]]&amp;" - "&amp;Centro_Cuenta8[[#This Row],[Nombre Centro Gestion]]</f>
        <v>219 - Edificio Teresa Vial</v>
      </c>
      <c r="G2931" s="47" t="str">
        <f>+Centro_Cuenta8[[#This Row],[Código Cuenta Contable]]&amp;" - "&amp;Centro_Cuenta8[[#This Row],[Nombre de Cuenta Contable]]</f>
        <v>4105001 - Costos Generales de Obra</v>
      </c>
      <c r="H2931" s="146" t="str">
        <f>+VLOOKUP(D2931,'3. Cuentas'!A:F,6,0)</f>
        <v>SI</v>
      </c>
    </row>
    <row r="2932" spans="1:8" x14ac:dyDescent="0.25">
      <c r="A2932" s="43">
        <v>228</v>
      </c>
      <c r="B2932" t="s">
        <v>463</v>
      </c>
      <c r="C2932" s="43" t="s">
        <v>65</v>
      </c>
      <c r="D2932" s="43">
        <v>4101001</v>
      </c>
      <c r="E2932" t="s">
        <v>69</v>
      </c>
      <c r="F2932" s="47" t="str">
        <f>+Centro_Cuenta8[[#This Row],[Codigo Centro Gestion]]&amp;" - "&amp;Centro_Cuenta8[[#This Row],[Nombre Centro Gestion]]</f>
        <v>228 - Edificio Briones Luco</v>
      </c>
      <c r="G2932" s="47" t="str">
        <f>+Centro_Cuenta8[[#This Row],[Código Cuenta Contable]]&amp;" - "&amp;Centro_Cuenta8[[#This Row],[Nombre de Cuenta Contable]]</f>
        <v>4101001 - Costos Materiales de Obra</v>
      </c>
      <c r="H2932" s="146" t="str">
        <f>+VLOOKUP(D2932,'3. Cuentas'!A:F,6,0)</f>
        <v>SI</v>
      </c>
    </row>
    <row r="2933" spans="1:8" x14ac:dyDescent="0.25">
      <c r="A2933" s="43">
        <v>228</v>
      </c>
      <c r="B2933" t="s">
        <v>463</v>
      </c>
      <c r="C2933" s="43" t="s">
        <v>65</v>
      </c>
      <c r="D2933" s="43">
        <v>4102001</v>
      </c>
      <c r="E2933" t="s">
        <v>152</v>
      </c>
      <c r="F2933" s="47" t="str">
        <f>+Centro_Cuenta8[[#This Row],[Codigo Centro Gestion]]&amp;" - "&amp;Centro_Cuenta8[[#This Row],[Nombre Centro Gestion]]</f>
        <v>228 - Edificio Briones Luco</v>
      </c>
      <c r="G2933" s="47" t="str">
        <f>+Centro_Cuenta8[[#This Row],[Código Cuenta Contable]]&amp;" - "&amp;Centro_Cuenta8[[#This Row],[Nombre de Cuenta Contable]]</f>
        <v>4102001 - Costos Subcontratos</v>
      </c>
      <c r="H2933" s="146" t="str">
        <f>+VLOOKUP(D2933,'3. Cuentas'!A:F,6,0)</f>
        <v>SI</v>
      </c>
    </row>
    <row r="2934" spans="1:8" x14ac:dyDescent="0.25">
      <c r="A2934" s="43">
        <v>228</v>
      </c>
      <c r="B2934" t="s">
        <v>463</v>
      </c>
      <c r="C2934" s="43" t="s">
        <v>65</v>
      </c>
      <c r="D2934" s="43">
        <v>4103001</v>
      </c>
      <c r="E2934" t="s">
        <v>223</v>
      </c>
      <c r="F2934" s="47" t="str">
        <f>+Centro_Cuenta8[[#This Row],[Codigo Centro Gestion]]&amp;" - "&amp;Centro_Cuenta8[[#This Row],[Nombre Centro Gestion]]</f>
        <v>228 - Edificio Briones Luco</v>
      </c>
      <c r="G2934" s="47" t="str">
        <f>+Centro_Cuenta8[[#This Row],[Código Cuenta Contable]]&amp;" - "&amp;Centro_Cuenta8[[#This Row],[Nombre de Cuenta Contable]]</f>
        <v>4103001 - Costos Maquinarias y Equipos</v>
      </c>
      <c r="H2934" s="146" t="str">
        <f>+VLOOKUP(D2934,'3. Cuentas'!A:F,6,0)</f>
        <v>SI</v>
      </c>
    </row>
    <row r="2935" spans="1:8" x14ac:dyDescent="0.25">
      <c r="A2935" s="43">
        <v>228</v>
      </c>
      <c r="B2935" t="s">
        <v>463</v>
      </c>
      <c r="C2935" s="43" t="s">
        <v>65</v>
      </c>
      <c r="D2935" s="43">
        <v>4105001</v>
      </c>
      <c r="E2935" t="s">
        <v>70</v>
      </c>
      <c r="F2935" s="47" t="str">
        <f>+Centro_Cuenta8[[#This Row],[Codigo Centro Gestion]]&amp;" - "&amp;Centro_Cuenta8[[#This Row],[Nombre Centro Gestion]]</f>
        <v>228 - Edificio Briones Luco</v>
      </c>
      <c r="G2935" s="47" t="str">
        <f>+Centro_Cuenta8[[#This Row],[Código Cuenta Contable]]&amp;" - "&amp;Centro_Cuenta8[[#This Row],[Nombre de Cuenta Contable]]</f>
        <v>4105001 - Costos Generales de Obra</v>
      </c>
      <c r="H2935" s="146" t="str">
        <f>+VLOOKUP(D2935,'3. Cuentas'!A:F,6,0)</f>
        <v>SI</v>
      </c>
    </row>
    <row r="2936" spans="1:8" x14ac:dyDescent="0.25">
      <c r="A2936" s="43">
        <v>231</v>
      </c>
      <c r="B2936" t="s">
        <v>464</v>
      </c>
      <c r="C2936" s="43" t="s">
        <v>65</v>
      </c>
      <c r="D2936" s="43">
        <v>4101001</v>
      </c>
      <c r="E2936" s="45" t="s">
        <v>69</v>
      </c>
      <c r="F2936" s="47" t="str">
        <f>+Centro_Cuenta8[[#This Row],[Codigo Centro Gestion]]&amp;" - "&amp;Centro_Cuenta8[[#This Row],[Nombre Centro Gestion]]</f>
        <v>231 - Edificio Guillermo Mann</v>
      </c>
      <c r="G2936" s="47" t="str">
        <f>+Centro_Cuenta8[[#This Row],[Código Cuenta Contable]]&amp;" - "&amp;Centro_Cuenta8[[#This Row],[Nombre de Cuenta Contable]]</f>
        <v>4101001 - Costos Materiales de Obra</v>
      </c>
      <c r="H2936" s="146" t="str">
        <f>+VLOOKUP(D2936,'3. Cuentas'!A:F,6,0)</f>
        <v>SI</v>
      </c>
    </row>
    <row r="2937" spans="1:8" x14ac:dyDescent="0.25">
      <c r="A2937" s="43">
        <v>231</v>
      </c>
      <c r="B2937" t="s">
        <v>464</v>
      </c>
      <c r="C2937" s="43" t="s">
        <v>65</v>
      </c>
      <c r="D2937" s="43">
        <v>4102001</v>
      </c>
      <c r="E2937" s="45" t="s">
        <v>152</v>
      </c>
      <c r="F2937" s="47" t="str">
        <f>+Centro_Cuenta8[[#This Row],[Codigo Centro Gestion]]&amp;" - "&amp;Centro_Cuenta8[[#This Row],[Nombre Centro Gestion]]</f>
        <v>231 - Edificio Guillermo Mann</v>
      </c>
      <c r="G2937" s="47" t="str">
        <f>+Centro_Cuenta8[[#This Row],[Código Cuenta Contable]]&amp;" - "&amp;Centro_Cuenta8[[#This Row],[Nombre de Cuenta Contable]]</f>
        <v>4102001 - Costos Subcontratos</v>
      </c>
      <c r="H2937" s="146" t="str">
        <f>+VLOOKUP(D2937,'3. Cuentas'!A:F,6,0)</f>
        <v>SI</v>
      </c>
    </row>
    <row r="2938" spans="1:8" x14ac:dyDescent="0.25">
      <c r="A2938" s="43">
        <v>231</v>
      </c>
      <c r="B2938" t="s">
        <v>464</v>
      </c>
      <c r="C2938" s="43" t="s">
        <v>65</v>
      </c>
      <c r="D2938" s="43">
        <v>4103001</v>
      </c>
      <c r="E2938" s="45" t="s">
        <v>223</v>
      </c>
      <c r="F2938" s="47" t="str">
        <f>+Centro_Cuenta8[[#This Row],[Codigo Centro Gestion]]&amp;" - "&amp;Centro_Cuenta8[[#This Row],[Nombre Centro Gestion]]</f>
        <v>231 - Edificio Guillermo Mann</v>
      </c>
      <c r="G2938" s="47" t="str">
        <f>+Centro_Cuenta8[[#This Row],[Código Cuenta Contable]]&amp;" - "&amp;Centro_Cuenta8[[#This Row],[Nombre de Cuenta Contable]]</f>
        <v>4103001 - Costos Maquinarias y Equipos</v>
      </c>
      <c r="H2938" s="146" t="str">
        <f>+VLOOKUP(D2938,'3. Cuentas'!A:F,6,0)</f>
        <v>SI</v>
      </c>
    </row>
    <row r="2939" spans="1:8" x14ac:dyDescent="0.25">
      <c r="A2939" s="43">
        <v>231</v>
      </c>
      <c r="B2939" t="s">
        <v>464</v>
      </c>
      <c r="C2939" s="43" t="s">
        <v>65</v>
      </c>
      <c r="D2939" s="43">
        <v>4105001</v>
      </c>
      <c r="E2939" s="45" t="s">
        <v>70</v>
      </c>
      <c r="F2939" s="47" t="str">
        <f>+Centro_Cuenta8[[#This Row],[Codigo Centro Gestion]]&amp;" - "&amp;Centro_Cuenta8[[#This Row],[Nombre Centro Gestion]]</f>
        <v>231 - Edificio Guillermo Mann</v>
      </c>
      <c r="G2939" s="47" t="str">
        <f>+Centro_Cuenta8[[#This Row],[Código Cuenta Contable]]&amp;" - "&amp;Centro_Cuenta8[[#This Row],[Nombre de Cuenta Contable]]</f>
        <v>4105001 - Costos Generales de Obra</v>
      </c>
      <c r="H2939" s="146" t="str">
        <f>+VLOOKUP(D2939,'3. Cuentas'!A:F,6,0)</f>
        <v>SI</v>
      </c>
    </row>
    <row r="2940" spans="1:8" x14ac:dyDescent="0.25">
      <c r="A2940" s="43">
        <v>232</v>
      </c>
      <c r="B2940" t="s">
        <v>465</v>
      </c>
      <c r="C2940" s="43" t="s">
        <v>65</v>
      </c>
      <c r="D2940" s="43">
        <v>4101001</v>
      </c>
      <c r="E2940" t="s">
        <v>69</v>
      </c>
      <c r="F2940" s="47" t="str">
        <f>+Centro_Cuenta8[[#This Row],[Codigo Centro Gestion]]&amp;" - "&amp;Centro_Cuenta8[[#This Row],[Nombre Centro Gestion]]</f>
        <v>232 - Edificio Coronel Souper</v>
      </c>
      <c r="G2940" s="47" t="str">
        <f>+Centro_Cuenta8[[#This Row],[Código Cuenta Contable]]&amp;" - "&amp;Centro_Cuenta8[[#This Row],[Nombre de Cuenta Contable]]</f>
        <v>4101001 - Costos Materiales de Obra</v>
      </c>
      <c r="H2940" s="146" t="str">
        <f>+VLOOKUP(D2940,'3. Cuentas'!A:F,6,0)</f>
        <v>SI</v>
      </c>
    </row>
    <row r="2941" spans="1:8" x14ac:dyDescent="0.25">
      <c r="A2941" s="43">
        <v>232</v>
      </c>
      <c r="B2941" t="s">
        <v>465</v>
      </c>
      <c r="C2941" s="43" t="s">
        <v>65</v>
      </c>
      <c r="D2941" s="43">
        <v>4102001</v>
      </c>
      <c r="E2941" t="s">
        <v>152</v>
      </c>
      <c r="F2941" s="47" t="str">
        <f>+Centro_Cuenta8[[#This Row],[Codigo Centro Gestion]]&amp;" - "&amp;Centro_Cuenta8[[#This Row],[Nombre Centro Gestion]]</f>
        <v>232 - Edificio Coronel Souper</v>
      </c>
      <c r="G2941" s="47" t="str">
        <f>+Centro_Cuenta8[[#This Row],[Código Cuenta Contable]]&amp;" - "&amp;Centro_Cuenta8[[#This Row],[Nombre de Cuenta Contable]]</f>
        <v>4102001 - Costos Subcontratos</v>
      </c>
      <c r="H2941" s="146" t="str">
        <f>+VLOOKUP(D2941,'3. Cuentas'!A:F,6,0)</f>
        <v>SI</v>
      </c>
    </row>
    <row r="2942" spans="1:8" x14ac:dyDescent="0.25">
      <c r="A2942" s="43">
        <v>232</v>
      </c>
      <c r="B2942" t="s">
        <v>465</v>
      </c>
      <c r="C2942" s="43" t="s">
        <v>65</v>
      </c>
      <c r="D2942" s="43">
        <v>4103001</v>
      </c>
      <c r="E2942" t="s">
        <v>223</v>
      </c>
      <c r="F2942" s="47" t="str">
        <f>+Centro_Cuenta8[[#This Row],[Codigo Centro Gestion]]&amp;" - "&amp;Centro_Cuenta8[[#This Row],[Nombre Centro Gestion]]</f>
        <v>232 - Edificio Coronel Souper</v>
      </c>
      <c r="G2942" s="47" t="str">
        <f>+Centro_Cuenta8[[#This Row],[Código Cuenta Contable]]&amp;" - "&amp;Centro_Cuenta8[[#This Row],[Nombre de Cuenta Contable]]</f>
        <v>4103001 - Costos Maquinarias y Equipos</v>
      </c>
      <c r="H2942" s="146" t="str">
        <f>+VLOOKUP(D2942,'3. Cuentas'!A:F,6,0)</f>
        <v>SI</v>
      </c>
    </row>
    <row r="2943" spans="1:8" x14ac:dyDescent="0.25">
      <c r="A2943" s="43">
        <v>232</v>
      </c>
      <c r="B2943" t="s">
        <v>465</v>
      </c>
      <c r="C2943" s="43" t="s">
        <v>65</v>
      </c>
      <c r="D2943" s="43">
        <v>4105001</v>
      </c>
      <c r="E2943" t="s">
        <v>70</v>
      </c>
      <c r="F2943" s="47" t="str">
        <f>+Centro_Cuenta8[[#This Row],[Codigo Centro Gestion]]&amp;" - "&amp;Centro_Cuenta8[[#This Row],[Nombre Centro Gestion]]</f>
        <v>232 - Edificio Coronel Souper</v>
      </c>
      <c r="G2943" s="47" t="str">
        <f>+Centro_Cuenta8[[#This Row],[Código Cuenta Contable]]&amp;" - "&amp;Centro_Cuenta8[[#This Row],[Nombre de Cuenta Contable]]</f>
        <v>4105001 - Costos Generales de Obra</v>
      </c>
      <c r="H2943" s="146" t="str">
        <f>+VLOOKUP(D2943,'3. Cuentas'!A:F,6,0)</f>
        <v>SI</v>
      </c>
    </row>
    <row r="2944" spans="1:8" x14ac:dyDescent="0.25">
      <c r="A2944" s="43">
        <v>239</v>
      </c>
      <c r="B2944" t="s">
        <v>466</v>
      </c>
      <c r="C2944" s="43" t="s">
        <v>65</v>
      </c>
      <c r="D2944" s="43">
        <v>4101001</v>
      </c>
      <c r="E2944" t="s">
        <v>69</v>
      </c>
      <c r="F2944" s="47" t="str">
        <f>+Centro_Cuenta8[[#This Row],[Codigo Centro Gestion]]&amp;" - "&amp;Centro_Cuenta8[[#This Row],[Nombre Centro Gestion]]</f>
        <v>239 - Alto Mirador</v>
      </c>
      <c r="G2944" s="47" t="str">
        <f>+Centro_Cuenta8[[#This Row],[Código Cuenta Contable]]&amp;" - "&amp;Centro_Cuenta8[[#This Row],[Nombre de Cuenta Contable]]</f>
        <v>4101001 - Costos Materiales de Obra</v>
      </c>
      <c r="H2944" s="146" t="str">
        <f>+VLOOKUP(D2944,'3. Cuentas'!A:F,6,0)</f>
        <v>SI</v>
      </c>
    </row>
    <row r="2945" spans="1:8" x14ac:dyDescent="0.25">
      <c r="A2945" s="43">
        <v>239</v>
      </c>
      <c r="B2945" t="s">
        <v>466</v>
      </c>
      <c r="C2945" s="43" t="s">
        <v>65</v>
      </c>
      <c r="D2945" s="43">
        <v>4102001</v>
      </c>
      <c r="E2945" t="s">
        <v>152</v>
      </c>
      <c r="F2945" s="47" t="str">
        <f>+Centro_Cuenta8[[#This Row],[Codigo Centro Gestion]]&amp;" - "&amp;Centro_Cuenta8[[#This Row],[Nombre Centro Gestion]]</f>
        <v>239 - Alto Mirador</v>
      </c>
      <c r="G2945" s="47" t="str">
        <f>+Centro_Cuenta8[[#This Row],[Código Cuenta Contable]]&amp;" - "&amp;Centro_Cuenta8[[#This Row],[Nombre de Cuenta Contable]]</f>
        <v>4102001 - Costos Subcontratos</v>
      </c>
      <c r="H2945" s="146" t="str">
        <f>+VLOOKUP(D2945,'3. Cuentas'!A:F,6,0)</f>
        <v>SI</v>
      </c>
    </row>
    <row r="2946" spans="1:8" x14ac:dyDescent="0.25">
      <c r="A2946" s="43">
        <v>239</v>
      </c>
      <c r="B2946" t="s">
        <v>466</v>
      </c>
      <c r="C2946" s="43" t="s">
        <v>65</v>
      </c>
      <c r="D2946" s="43">
        <v>4103001</v>
      </c>
      <c r="E2946" t="s">
        <v>223</v>
      </c>
      <c r="F2946" s="47" t="str">
        <f>+Centro_Cuenta8[[#This Row],[Codigo Centro Gestion]]&amp;" - "&amp;Centro_Cuenta8[[#This Row],[Nombre Centro Gestion]]</f>
        <v>239 - Alto Mirador</v>
      </c>
      <c r="G2946" s="47" t="str">
        <f>+Centro_Cuenta8[[#This Row],[Código Cuenta Contable]]&amp;" - "&amp;Centro_Cuenta8[[#This Row],[Nombre de Cuenta Contable]]</f>
        <v>4103001 - Costos Maquinarias y Equipos</v>
      </c>
      <c r="H2946" s="146" t="str">
        <f>+VLOOKUP(D2946,'3. Cuentas'!A:F,6,0)</f>
        <v>SI</v>
      </c>
    </row>
    <row r="2947" spans="1:8" x14ac:dyDescent="0.25">
      <c r="A2947" s="43">
        <v>239</v>
      </c>
      <c r="B2947" t="s">
        <v>466</v>
      </c>
      <c r="C2947" s="43" t="s">
        <v>65</v>
      </c>
      <c r="D2947" s="43">
        <v>4105001</v>
      </c>
      <c r="E2947" t="s">
        <v>70</v>
      </c>
      <c r="F2947" s="47" t="str">
        <f>+Centro_Cuenta8[[#This Row],[Codigo Centro Gestion]]&amp;" - "&amp;Centro_Cuenta8[[#This Row],[Nombre Centro Gestion]]</f>
        <v>239 - Alto Mirador</v>
      </c>
      <c r="G2947" s="47" t="str">
        <f>+Centro_Cuenta8[[#This Row],[Código Cuenta Contable]]&amp;" - "&amp;Centro_Cuenta8[[#This Row],[Nombre de Cuenta Contable]]</f>
        <v>4105001 - Costos Generales de Obra</v>
      </c>
      <c r="H2947" s="146" t="str">
        <f>+VLOOKUP(D2947,'3. Cuentas'!A:F,6,0)</f>
        <v>SI</v>
      </c>
    </row>
    <row r="2948" spans="1:8" x14ac:dyDescent="0.25">
      <c r="A2948" s="43">
        <v>240</v>
      </c>
      <c r="B2948" t="s">
        <v>467</v>
      </c>
      <c r="C2948" s="43" t="s">
        <v>65</v>
      </c>
      <c r="D2948" s="43">
        <v>4101001</v>
      </c>
      <c r="E2948" t="s">
        <v>69</v>
      </c>
      <c r="F2948" s="47" t="str">
        <f>+Centro_Cuenta8[[#This Row],[Codigo Centro Gestion]]&amp;" - "&amp;Centro_Cuenta8[[#This Row],[Nombre Centro Gestion]]</f>
        <v>240 - Tranquila</v>
      </c>
      <c r="G2948" s="47" t="str">
        <f>+Centro_Cuenta8[[#This Row],[Código Cuenta Contable]]&amp;" - "&amp;Centro_Cuenta8[[#This Row],[Nombre de Cuenta Contable]]</f>
        <v>4101001 - Costos Materiales de Obra</v>
      </c>
      <c r="H2948" s="146" t="str">
        <f>+VLOOKUP(D2948,'3. Cuentas'!A:F,6,0)</f>
        <v>SI</v>
      </c>
    </row>
    <row r="2949" spans="1:8" x14ac:dyDescent="0.25">
      <c r="A2949" s="43">
        <v>240</v>
      </c>
      <c r="B2949" t="s">
        <v>467</v>
      </c>
      <c r="C2949" s="43" t="s">
        <v>65</v>
      </c>
      <c r="D2949" s="43">
        <v>4102001</v>
      </c>
      <c r="E2949" t="s">
        <v>152</v>
      </c>
      <c r="F2949" s="47" t="str">
        <f>+Centro_Cuenta8[[#This Row],[Codigo Centro Gestion]]&amp;" - "&amp;Centro_Cuenta8[[#This Row],[Nombre Centro Gestion]]</f>
        <v>240 - Tranquila</v>
      </c>
      <c r="G2949" s="47" t="str">
        <f>+Centro_Cuenta8[[#This Row],[Código Cuenta Contable]]&amp;" - "&amp;Centro_Cuenta8[[#This Row],[Nombre de Cuenta Contable]]</f>
        <v>4102001 - Costos Subcontratos</v>
      </c>
      <c r="H2949" s="146" t="str">
        <f>+VLOOKUP(D2949,'3. Cuentas'!A:F,6,0)</f>
        <v>SI</v>
      </c>
    </row>
    <row r="2950" spans="1:8" x14ac:dyDescent="0.25">
      <c r="A2950" s="43">
        <v>240</v>
      </c>
      <c r="B2950" t="s">
        <v>467</v>
      </c>
      <c r="C2950" s="43" t="s">
        <v>65</v>
      </c>
      <c r="D2950" s="43">
        <v>4103001</v>
      </c>
      <c r="E2950" t="s">
        <v>223</v>
      </c>
      <c r="F2950" s="47" t="str">
        <f>+Centro_Cuenta8[[#This Row],[Codigo Centro Gestion]]&amp;" - "&amp;Centro_Cuenta8[[#This Row],[Nombre Centro Gestion]]</f>
        <v>240 - Tranquila</v>
      </c>
      <c r="G2950" s="47" t="str">
        <f>+Centro_Cuenta8[[#This Row],[Código Cuenta Contable]]&amp;" - "&amp;Centro_Cuenta8[[#This Row],[Nombre de Cuenta Contable]]</f>
        <v>4103001 - Costos Maquinarias y Equipos</v>
      </c>
      <c r="H2950" s="146" t="str">
        <f>+VLOOKUP(D2950,'3. Cuentas'!A:F,6,0)</f>
        <v>SI</v>
      </c>
    </row>
    <row r="2951" spans="1:8" x14ac:dyDescent="0.25">
      <c r="A2951" s="43">
        <v>240</v>
      </c>
      <c r="B2951" t="s">
        <v>467</v>
      </c>
      <c r="C2951" s="43" t="s">
        <v>65</v>
      </c>
      <c r="D2951" s="43">
        <v>4105001</v>
      </c>
      <c r="E2951" t="s">
        <v>70</v>
      </c>
      <c r="F2951" s="47" t="str">
        <f>+Centro_Cuenta8[[#This Row],[Codigo Centro Gestion]]&amp;" - "&amp;Centro_Cuenta8[[#This Row],[Nombre Centro Gestion]]</f>
        <v>240 - Tranquila</v>
      </c>
      <c r="G2951" s="47" t="str">
        <f>+Centro_Cuenta8[[#This Row],[Código Cuenta Contable]]&amp;" - "&amp;Centro_Cuenta8[[#This Row],[Nombre de Cuenta Contable]]</f>
        <v>4105001 - Costos Generales de Obra</v>
      </c>
      <c r="H2951" s="146" t="str">
        <f>+VLOOKUP(D2951,'3. Cuentas'!A:F,6,0)</f>
        <v>SI</v>
      </c>
    </row>
    <row r="2952" spans="1:8" x14ac:dyDescent="0.25">
      <c r="A2952" s="43">
        <v>242</v>
      </c>
      <c r="B2952" t="s">
        <v>468</v>
      </c>
      <c r="C2952" s="43" t="s">
        <v>65</v>
      </c>
      <c r="D2952" s="43">
        <v>4101001</v>
      </c>
      <c r="E2952" t="s">
        <v>69</v>
      </c>
      <c r="F2952" s="47" t="str">
        <f>+Centro_Cuenta8[[#This Row],[Codigo Centro Gestion]]&amp;" - "&amp;Centro_Cuenta8[[#This Row],[Nombre Centro Gestion]]</f>
        <v>242 - Edificio Leon Prado</v>
      </c>
      <c r="G2952" s="47" t="str">
        <f>+Centro_Cuenta8[[#This Row],[Código Cuenta Contable]]&amp;" - "&amp;Centro_Cuenta8[[#This Row],[Nombre de Cuenta Contable]]</f>
        <v>4101001 - Costos Materiales de Obra</v>
      </c>
      <c r="H2952" s="146" t="str">
        <f>+VLOOKUP(D2952,'3. Cuentas'!A:F,6,0)</f>
        <v>SI</v>
      </c>
    </row>
    <row r="2953" spans="1:8" x14ac:dyDescent="0.25">
      <c r="A2953" s="43">
        <v>242</v>
      </c>
      <c r="B2953" t="s">
        <v>468</v>
      </c>
      <c r="C2953" s="43" t="s">
        <v>65</v>
      </c>
      <c r="D2953" s="43">
        <v>4102001</v>
      </c>
      <c r="E2953" t="s">
        <v>152</v>
      </c>
      <c r="F2953" s="47" t="str">
        <f>+Centro_Cuenta8[[#This Row],[Codigo Centro Gestion]]&amp;" - "&amp;Centro_Cuenta8[[#This Row],[Nombre Centro Gestion]]</f>
        <v>242 - Edificio Leon Prado</v>
      </c>
      <c r="G2953" s="47" t="str">
        <f>+Centro_Cuenta8[[#This Row],[Código Cuenta Contable]]&amp;" - "&amp;Centro_Cuenta8[[#This Row],[Nombre de Cuenta Contable]]</f>
        <v>4102001 - Costos Subcontratos</v>
      </c>
      <c r="H2953" s="146" t="str">
        <f>+VLOOKUP(D2953,'3. Cuentas'!A:F,6,0)</f>
        <v>SI</v>
      </c>
    </row>
    <row r="2954" spans="1:8" x14ac:dyDescent="0.25">
      <c r="A2954" s="43">
        <v>242</v>
      </c>
      <c r="B2954" t="s">
        <v>468</v>
      </c>
      <c r="C2954" s="43" t="s">
        <v>65</v>
      </c>
      <c r="D2954" s="43">
        <v>4103001</v>
      </c>
      <c r="E2954" t="s">
        <v>223</v>
      </c>
      <c r="F2954" s="47" t="str">
        <f>+Centro_Cuenta8[[#This Row],[Codigo Centro Gestion]]&amp;" - "&amp;Centro_Cuenta8[[#This Row],[Nombre Centro Gestion]]</f>
        <v>242 - Edificio Leon Prado</v>
      </c>
      <c r="G2954" s="47" t="str">
        <f>+Centro_Cuenta8[[#This Row],[Código Cuenta Contable]]&amp;" - "&amp;Centro_Cuenta8[[#This Row],[Nombre de Cuenta Contable]]</f>
        <v>4103001 - Costos Maquinarias y Equipos</v>
      </c>
      <c r="H2954" s="146" t="str">
        <f>+VLOOKUP(D2954,'3. Cuentas'!A:F,6,0)</f>
        <v>SI</v>
      </c>
    </row>
    <row r="2955" spans="1:8" x14ac:dyDescent="0.25">
      <c r="A2955" s="43">
        <v>242</v>
      </c>
      <c r="B2955" t="s">
        <v>468</v>
      </c>
      <c r="C2955" s="43" t="s">
        <v>65</v>
      </c>
      <c r="D2955" s="43">
        <v>4105001</v>
      </c>
      <c r="E2955" t="s">
        <v>70</v>
      </c>
      <c r="F2955" s="47" t="str">
        <f>+Centro_Cuenta8[[#This Row],[Codigo Centro Gestion]]&amp;" - "&amp;Centro_Cuenta8[[#This Row],[Nombre Centro Gestion]]</f>
        <v>242 - Edificio Leon Prado</v>
      </c>
      <c r="G2955" s="47" t="str">
        <f>+Centro_Cuenta8[[#This Row],[Código Cuenta Contable]]&amp;" - "&amp;Centro_Cuenta8[[#This Row],[Nombre de Cuenta Contable]]</f>
        <v>4105001 - Costos Generales de Obra</v>
      </c>
      <c r="H2955" s="146" t="str">
        <f>+VLOOKUP(D2955,'3. Cuentas'!A:F,6,0)</f>
        <v>SI</v>
      </c>
    </row>
    <row r="2956" spans="1:8" x14ac:dyDescent="0.25">
      <c r="A2956" s="43">
        <v>243</v>
      </c>
      <c r="B2956" t="s">
        <v>469</v>
      </c>
      <c r="C2956" s="43" t="s">
        <v>65</v>
      </c>
      <c r="D2956" s="43">
        <v>4101001</v>
      </c>
      <c r="E2956" t="s">
        <v>69</v>
      </c>
      <c r="F2956" s="47" t="str">
        <f>+Centro_Cuenta8[[#This Row],[Codigo Centro Gestion]]&amp;" - "&amp;Centro_Cuenta8[[#This Row],[Nombre Centro Gestion]]</f>
        <v>243 - Edificio Garcia Reyes</v>
      </c>
      <c r="G2956" s="47" t="str">
        <f>+Centro_Cuenta8[[#This Row],[Código Cuenta Contable]]&amp;" - "&amp;Centro_Cuenta8[[#This Row],[Nombre de Cuenta Contable]]</f>
        <v>4101001 - Costos Materiales de Obra</v>
      </c>
      <c r="H2956" s="146" t="str">
        <f>+VLOOKUP(D2956,'3. Cuentas'!A:F,6,0)</f>
        <v>SI</v>
      </c>
    </row>
    <row r="2957" spans="1:8" x14ac:dyDescent="0.25">
      <c r="A2957" s="43">
        <v>243</v>
      </c>
      <c r="B2957" t="s">
        <v>469</v>
      </c>
      <c r="C2957" s="43" t="s">
        <v>65</v>
      </c>
      <c r="D2957" s="43">
        <v>4102001</v>
      </c>
      <c r="E2957" t="s">
        <v>152</v>
      </c>
      <c r="F2957" s="47" t="str">
        <f>+Centro_Cuenta8[[#This Row],[Codigo Centro Gestion]]&amp;" - "&amp;Centro_Cuenta8[[#This Row],[Nombre Centro Gestion]]</f>
        <v>243 - Edificio Garcia Reyes</v>
      </c>
      <c r="G2957" s="47" t="str">
        <f>+Centro_Cuenta8[[#This Row],[Código Cuenta Contable]]&amp;" - "&amp;Centro_Cuenta8[[#This Row],[Nombre de Cuenta Contable]]</f>
        <v>4102001 - Costos Subcontratos</v>
      </c>
      <c r="H2957" s="146" t="str">
        <f>+VLOOKUP(D2957,'3. Cuentas'!A:F,6,0)</f>
        <v>SI</v>
      </c>
    </row>
    <row r="2958" spans="1:8" x14ac:dyDescent="0.25">
      <c r="A2958" s="43">
        <v>243</v>
      </c>
      <c r="B2958" t="s">
        <v>469</v>
      </c>
      <c r="C2958" s="43" t="s">
        <v>65</v>
      </c>
      <c r="D2958" s="43">
        <v>4103001</v>
      </c>
      <c r="E2958" t="s">
        <v>223</v>
      </c>
      <c r="F2958" s="47" t="str">
        <f>+Centro_Cuenta8[[#This Row],[Codigo Centro Gestion]]&amp;" - "&amp;Centro_Cuenta8[[#This Row],[Nombre Centro Gestion]]</f>
        <v>243 - Edificio Garcia Reyes</v>
      </c>
      <c r="G2958" s="47" t="str">
        <f>+Centro_Cuenta8[[#This Row],[Código Cuenta Contable]]&amp;" - "&amp;Centro_Cuenta8[[#This Row],[Nombre de Cuenta Contable]]</f>
        <v>4103001 - Costos Maquinarias y Equipos</v>
      </c>
      <c r="H2958" s="146" t="str">
        <f>+VLOOKUP(D2958,'3. Cuentas'!A:F,6,0)</f>
        <v>SI</v>
      </c>
    </row>
    <row r="2959" spans="1:8" x14ac:dyDescent="0.25">
      <c r="A2959" s="43">
        <v>243</v>
      </c>
      <c r="B2959" t="s">
        <v>469</v>
      </c>
      <c r="C2959" s="43" t="s">
        <v>65</v>
      </c>
      <c r="D2959" s="43">
        <v>4105001</v>
      </c>
      <c r="E2959" t="s">
        <v>70</v>
      </c>
      <c r="F2959" s="47" t="str">
        <f>+Centro_Cuenta8[[#This Row],[Codigo Centro Gestion]]&amp;" - "&amp;Centro_Cuenta8[[#This Row],[Nombre Centro Gestion]]</f>
        <v>243 - Edificio Garcia Reyes</v>
      </c>
      <c r="G2959" s="47" t="str">
        <f>+Centro_Cuenta8[[#This Row],[Código Cuenta Contable]]&amp;" - "&amp;Centro_Cuenta8[[#This Row],[Nombre de Cuenta Contable]]</f>
        <v>4105001 - Costos Generales de Obra</v>
      </c>
      <c r="H2959" s="146" t="str">
        <f>+VLOOKUP(D2959,'3. Cuentas'!A:F,6,0)</f>
        <v>SI</v>
      </c>
    </row>
    <row r="2960" spans="1:8" x14ac:dyDescent="0.25">
      <c r="A2960" s="43">
        <v>244</v>
      </c>
      <c r="B2960" t="s">
        <v>470</v>
      </c>
      <c r="C2960" s="43" t="s">
        <v>65</v>
      </c>
      <c r="D2960" s="43">
        <v>4101001</v>
      </c>
      <c r="E2960" t="s">
        <v>69</v>
      </c>
      <c r="F2960" s="47" t="str">
        <f>+Centro_Cuenta8[[#This Row],[Codigo Centro Gestion]]&amp;" - "&amp;Centro_Cuenta8[[#This Row],[Nombre Centro Gestion]]</f>
        <v>244 - Francisco Zelada Torre B</v>
      </c>
      <c r="G2960" s="47" t="str">
        <f>+Centro_Cuenta8[[#This Row],[Código Cuenta Contable]]&amp;" - "&amp;Centro_Cuenta8[[#This Row],[Nombre de Cuenta Contable]]</f>
        <v>4101001 - Costos Materiales de Obra</v>
      </c>
      <c r="H2960" s="146" t="str">
        <f>+VLOOKUP(D2960,'3. Cuentas'!A:F,6,0)</f>
        <v>SI</v>
      </c>
    </row>
    <row r="2961" spans="1:8" x14ac:dyDescent="0.25">
      <c r="A2961" s="43">
        <v>244</v>
      </c>
      <c r="B2961" t="s">
        <v>470</v>
      </c>
      <c r="C2961" s="43" t="s">
        <v>65</v>
      </c>
      <c r="D2961" s="43">
        <v>4102001</v>
      </c>
      <c r="E2961" t="s">
        <v>152</v>
      </c>
      <c r="F2961" s="47" t="str">
        <f>+Centro_Cuenta8[[#This Row],[Codigo Centro Gestion]]&amp;" - "&amp;Centro_Cuenta8[[#This Row],[Nombre Centro Gestion]]</f>
        <v>244 - Francisco Zelada Torre B</v>
      </c>
      <c r="G2961" s="47" t="str">
        <f>+Centro_Cuenta8[[#This Row],[Código Cuenta Contable]]&amp;" - "&amp;Centro_Cuenta8[[#This Row],[Nombre de Cuenta Contable]]</f>
        <v>4102001 - Costos Subcontratos</v>
      </c>
      <c r="H2961" s="146" t="str">
        <f>+VLOOKUP(D2961,'3. Cuentas'!A:F,6,0)</f>
        <v>SI</v>
      </c>
    </row>
    <row r="2962" spans="1:8" x14ac:dyDescent="0.25">
      <c r="A2962" s="43">
        <v>244</v>
      </c>
      <c r="B2962" t="s">
        <v>470</v>
      </c>
      <c r="C2962" s="43" t="s">
        <v>65</v>
      </c>
      <c r="D2962" s="43">
        <v>4103001</v>
      </c>
      <c r="E2962" t="s">
        <v>223</v>
      </c>
      <c r="F2962" s="47" t="str">
        <f>+Centro_Cuenta8[[#This Row],[Codigo Centro Gestion]]&amp;" - "&amp;Centro_Cuenta8[[#This Row],[Nombre Centro Gestion]]</f>
        <v>244 - Francisco Zelada Torre B</v>
      </c>
      <c r="G2962" s="47" t="str">
        <f>+Centro_Cuenta8[[#This Row],[Código Cuenta Contable]]&amp;" - "&amp;Centro_Cuenta8[[#This Row],[Nombre de Cuenta Contable]]</f>
        <v>4103001 - Costos Maquinarias y Equipos</v>
      </c>
      <c r="H2962" s="146" t="str">
        <f>+VLOOKUP(D2962,'3. Cuentas'!A:F,6,0)</f>
        <v>SI</v>
      </c>
    </row>
    <row r="2963" spans="1:8" x14ac:dyDescent="0.25">
      <c r="A2963" s="43">
        <v>244</v>
      </c>
      <c r="B2963" t="s">
        <v>470</v>
      </c>
      <c r="C2963" s="43" t="s">
        <v>65</v>
      </c>
      <c r="D2963" s="43">
        <v>4105001</v>
      </c>
      <c r="E2963" t="s">
        <v>70</v>
      </c>
      <c r="F2963" s="47" t="str">
        <f>+Centro_Cuenta8[[#This Row],[Codigo Centro Gestion]]&amp;" - "&amp;Centro_Cuenta8[[#This Row],[Nombre Centro Gestion]]</f>
        <v>244 - Francisco Zelada Torre B</v>
      </c>
      <c r="G2963" s="47" t="str">
        <f>+Centro_Cuenta8[[#This Row],[Código Cuenta Contable]]&amp;" - "&amp;Centro_Cuenta8[[#This Row],[Nombre de Cuenta Contable]]</f>
        <v>4105001 - Costos Generales de Obra</v>
      </c>
      <c r="H2963" s="146" t="str">
        <f>+VLOOKUP(D2963,'3. Cuentas'!A:F,6,0)</f>
        <v>SI</v>
      </c>
    </row>
    <row r="2964" spans="1:8" x14ac:dyDescent="0.25">
      <c r="A2964" s="43">
        <v>245</v>
      </c>
      <c r="B2964" t="s">
        <v>471</v>
      </c>
      <c r="C2964" s="43" t="s">
        <v>65</v>
      </c>
      <c r="D2964" s="43">
        <v>4101001</v>
      </c>
      <c r="E2964" t="s">
        <v>69</v>
      </c>
      <c r="F2964" s="47" t="str">
        <f>+Centro_Cuenta8[[#This Row],[Codigo Centro Gestion]]&amp;" - "&amp;Centro_Cuenta8[[#This Row],[Nombre Centro Gestion]]</f>
        <v>245 - Edificio La Coruña</v>
      </c>
      <c r="G2964" s="47" t="str">
        <f>+Centro_Cuenta8[[#This Row],[Código Cuenta Contable]]&amp;" - "&amp;Centro_Cuenta8[[#This Row],[Nombre de Cuenta Contable]]</f>
        <v>4101001 - Costos Materiales de Obra</v>
      </c>
      <c r="H2964" s="146" t="str">
        <f>+VLOOKUP(D2964,'3. Cuentas'!A:F,6,0)</f>
        <v>SI</v>
      </c>
    </row>
    <row r="2965" spans="1:8" x14ac:dyDescent="0.25">
      <c r="A2965" s="43">
        <v>245</v>
      </c>
      <c r="B2965" t="s">
        <v>471</v>
      </c>
      <c r="C2965" s="43" t="s">
        <v>65</v>
      </c>
      <c r="D2965" s="43">
        <v>4102001</v>
      </c>
      <c r="E2965" t="s">
        <v>152</v>
      </c>
      <c r="F2965" s="47" t="str">
        <f>+Centro_Cuenta8[[#This Row],[Codigo Centro Gestion]]&amp;" - "&amp;Centro_Cuenta8[[#This Row],[Nombre Centro Gestion]]</f>
        <v>245 - Edificio La Coruña</v>
      </c>
      <c r="G2965" s="47" t="str">
        <f>+Centro_Cuenta8[[#This Row],[Código Cuenta Contable]]&amp;" - "&amp;Centro_Cuenta8[[#This Row],[Nombre de Cuenta Contable]]</f>
        <v>4102001 - Costos Subcontratos</v>
      </c>
      <c r="H2965" s="146" t="str">
        <f>+VLOOKUP(D2965,'3. Cuentas'!A:F,6,0)</f>
        <v>SI</v>
      </c>
    </row>
    <row r="2966" spans="1:8" x14ac:dyDescent="0.25">
      <c r="A2966" s="43">
        <v>245</v>
      </c>
      <c r="B2966" t="s">
        <v>471</v>
      </c>
      <c r="C2966" s="43" t="s">
        <v>65</v>
      </c>
      <c r="D2966" s="43">
        <v>4103001</v>
      </c>
      <c r="E2966" t="s">
        <v>223</v>
      </c>
      <c r="F2966" s="47" t="str">
        <f>+Centro_Cuenta8[[#This Row],[Codigo Centro Gestion]]&amp;" - "&amp;Centro_Cuenta8[[#This Row],[Nombre Centro Gestion]]</f>
        <v>245 - Edificio La Coruña</v>
      </c>
      <c r="G2966" s="47" t="str">
        <f>+Centro_Cuenta8[[#This Row],[Código Cuenta Contable]]&amp;" - "&amp;Centro_Cuenta8[[#This Row],[Nombre de Cuenta Contable]]</f>
        <v>4103001 - Costos Maquinarias y Equipos</v>
      </c>
      <c r="H2966" s="146" t="str">
        <f>+VLOOKUP(D2966,'3. Cuentas'!A:F,6,0)</f>
        <v>SI</v>
      </c>
    </row>
    <row r="2967" spans="1:8" x14ac:dyDescent="0.25">
      <c r="A2967" s="43">
        <v>245</v>
      </c>
      <c r="B2967" t="s">
        <v>471</v>
      </c>
      <c r="C2967" s="43" t="s">
        <v>65</v>
      </c>
      <c r="D2967" s="43">
        <v>4105001</v>
      </c>
      <c r="E2967" t="s">
        <v>70</v>
      </c>
      <c r="F2967" s="47" t="str">
        <f>+Centro_Cuenta8[[#This Row],[Codigo Centro Gestion]]&amp;" - "&amp;Centro_Cuenta8[[#This Row],[Nombre Centro Gestion]]</f>
        <v>245 - Edificio La Coruña</v>
      </c>
      <c r="G2967" s="47" t="str">
        <f>+Centro_Cuenta8[[#This Row],[Código Cuenta Contable]]&amp;" - "&amp;Centro_Cuenta8[[#This Row],[Nombre de Cuenta Contable]]</f>
        <v>4105001 - Costos Generales de Obra</v>
      </c>
      <c r="H2967" s="146" t="str">
        <f>+VLOOKUP(D2967,'3. Cuentas'!A:F,6,0)</f>
        <v>SI</v>
      </c>
    </row>
    <row r="2968" spans="1:8" x14ac:dyDescent="0.25">
      <c r="A2968" s="43">
        <v>246</v>
      </c>
      <c r="B2968" t="s">
        <v>472</v>
      </c>
      <c r="C2968" s="43" t="s">
        <v>65</v>
      </c>
      <c r="D2968" s="43">
        <v>4101001</v>
      </c>
      <c r="E2968" t="s">
        <v>69</v>
      </c>
      <c r="F2968" s="47" t="str">
        <f>+Centro_Cuenta8[[#This Row],[Codigo Centro Gestion]]&amp;" - "&amp;Centro_Cuenta8[[#This Row],[Nombre Centro Gestion]]</f>
        <v>246 - Santa Corina</v>
      </c>
      <c r="G2968" s="47" t="str">
        <f>+Centro_Cuenta8[[#This Row],[Código Cuenta Contable]]&amp;" - "&amp;Centro_Cuenta8[[#This Row],[Nombre de Cuenta Contable]]</f>
        <v>4101001 - Costos Materiales de Obra</v>
      </c>
      <c r="H2968" s="146" t="str">
        <f>+VLOOKUP(D2968,'3. Cuentas'!A:F,6,0)</f>
        <v>SI</v>
      </c>
    </row>
    <row r="2969" spans="1:8" x14ac:dyDescent="0.25">
      <c r="A2969" s="43">
        <v>246</v>
      </c>
      <c r="B2969" t="s">
        <v>472</v>
      </c>
      <c r="C2969" s="43" t="s">
        <v>65</v>
      </c>
      <c r="D2969" s="43">
        <v>4102001</v>
      </c>
      <c r="E2969" t="s">
        <v>152</v>
      </c>
      <c r="F2969" s="47" t="str">
        <f>+Centro_Cuenta8[[#This Row],[Codigo Centro Gestion]]&amp;" - "&amp;Centro_Cuenta8[[#This Row],[Nombre Centro Gestion]]</f>
        <v>246 - Santa Corina</v>
      </c>
      <c r="G2969" s="47" t="str">
        <f>+Centro_Cuenta8[[#This Row],[Código Cuenta Contable]]&amp;" - "&amp;Centro_Cuenta8[[#This Row],[Nombre de Cuenta Contable]]</f>
        <v>4102001 - Costos Subcontratos</v>
      </c>
      <c r="H2969" s="146" t="str">
        <f>+VLOOKUP(D2969,'3. Cuentas'!A:F,6,0)</f>
        <v>SI</v>
      </c>
    </row>
    <row r="2970" spans="1:8" x14ac:dyDescent="0.25">
      <c r="A2970" s="43">
        <v>246</v>
      </c>
      <c r="B2970" t="s">
        <v>472</v>
      </c>
      <c r="C2970" s="43" t="s">
        <v>65</v>
      </c>
      <c r="D2970" s="43">
        <v>4103001</v>
      </c>
      <c r="E2970" t="s">
        <v>223</v>
      </c>
      <c r="F2970" s="47" t="str">
        <f>+Centro_Cuenta8[[#This Row],[Codigo Centro Gestion]]&amp;" - "&amp;Centro_Cuenta8[[#This Row],[Nombre Centro Gestion]]</f>
        <v>246 - Santa Corina</v>
      </c>
      <c r="G2970" s="47" t="str">
        <f>+Centro_Cuenta8[[#This Row],[Código Cuenta Contable]]&amp;" - "&amp;Centro_Cuenta8[[#This Row],[Nombre de Cuenta Contable]]</f>
        <v>4103001 - Costos Maquinarias y Equipos</v>
      </c>
      <c r="H2970" s="146" t="str">
        <f>+VLOOKUP(D2970,'3. Cuentas'!A:F,6,0)</f>
        <v>SI</v>
      </c>
    </row>
    <row r="2971" spans="1:8" x14ac:dyDescent="0.25">
      <c r="A2971" s="43">
        <v>246</v>
      </c>
      <c r="B2971" t="s">
        <v>472</v>
      </c>
      <c r="C2971" s="43" t="s">
        <v>65</v>
      </c>
      <c r="D2971" s="43">
        <v>4105001</v>
      </c>
      <c r="E2971" t="s">
        <v>70</v>
      </c>
      <c r="F2971" s="47" t="str">
        <f>+Centro_Cuenta8[[#This Row],[Codigo Centro Gestion]]&amp;" - "&amp;Centro_Cuenta8[[#This Row],[Nombre Centro Gestion]]</f>
        <v>246 - Santa Corina</v>
      </c>
      <c r="G2971" s="47" t="str">
        <f>+Centro_Cuenta8[[#This Row],[Código Cuenta Contable]]&amp;" - "&amp;Centro_Cuenta8[[#This Row],[Nombre de Cuenta Contable]]</f>
        <v>4105001 - Costos Generales de Obra</v>
      </c>
      <c r="H2971" s="146" t="str">
        <f>+VLOOKUP(D2971,'3. Cuentas'!A:F,6,0)</f>
        <v>SI</v>
      </c>
    </row>
    <row r="2972" spans="1:8" x14ac:dyDescent="0.25">
      <c r="A2972" s="43">
        <v>247</v>
      </c>
      <c r="B2972" t="s">
        <v>473</v>
      </c>
      <c r="C2972" s="43" t="s">
        <v>65</v>
      </c>
      <c r="D2972" s="43">
        <v>4101001</v>
      </c>
      <c r="E2972" t="s">
        <v>69</v>
      </c>
      <c r="F2972" s="47" t="str">
        <f>+Centro_Cuenta8[[#This Row],[Codigo Centro Gestion]]&amp;" - "&amp;Centro_Cuenta8[[#This Row],[Nombre Centro Gestion]]</f>
        <v>247 - DS19 Gran Avenida Etapa 1 (Torre C-D)</v>
      </c>
      <c r="G2972" s="47" t="str">
        <f>+Centro_Cuenta8[[#This Row],[Código Cuenta Contable]]&amp;" - "&amp;Centro_Cuenta8[[#This Row],[Nombre de Cuenta Contable]]</f>
        <v>4101001 - Costos Materiales de Obra</v>
      </c>
      <c r="H2972" s="146" t="str">
        <f>+VLOOKUP(D2972,'3. Cuentas'!A:F,6,0)</f>
        <v>SI</v>
      </c>
    </row>
    <row r="2973" spans="1:8" x14ac:dyDescent="0.25">
      <c r="A2973" s="43">
        <v>247</v>
      </c>
      <c r="B2973" t="s">
        <v>473</v>
      </c>
      <c r="C2973" s="43" t="s">
        <v>65</v>
      </c>
      <c r="D2973" s="43">
        <v>4102001</v>
      </c>
      <c r="E2973" t="s">
        <v>152</v>
      </c>
      <c r="F2973" s="47" t="str">
        <f>+Centro_Cuenta8[[#This Row],[Codigo Centro Gestion]]&amp;" - "&amp;Centro_Cuenta8[[#This Row],[Nombre Centro Gestion]]</f>
        <v>247 - DS19 Gran Avenida Etapa 1 (Torre C-D)</v>
      </c>
      <c r="G2973" s="47" t="str">
        <f>+Centro_Cuenta8[[#This Row],[Código Cuenta Contable]]&amp;" - "&amp;Centro_Cuenta8[[#This Row],[Nombre de Cuenta Contable]]</f>
        <v>4102001 - Costos Subcontratos</v>
      </c>
      <c r="H2973" s="146" t="str">
        <f>+VLOOKUP(D2973,'3. Cuentas'!A:F,6,0)</f>
        <v>SI</v>
      </c>
    </row>
    <row r="2974" spans="1:8" x14ac:dyDescent="0.25">
      <c r="A2974" s="43">
        <v>247</v>
      </c>
      <c r="B2974" t="s">
        <v>473</v>
      </c>
      <c r="C2974" s="43" t="s">
        <v>65</v>
      </c>
      <c r="D2974" s="43">
        <v>4103001</v>
      </c>
      <c r="E2974" t="s">
        <v>223</v>
      </c>
      <c r="F2974" s="47" t="str">
        <f>+Centro_Cuenta8[[#This Row],[Codigo Centro Gestion]]&amp;" - "&amp;Centro_Cuenta8[[#This Row],[Nombre Centro Gestion]]</f>
        <v>247 - DS19 Gran Avenida Etapa 1 (Torre C-D)</v>
      </c>
      <c r="G2974" s="47" t="str">
        <f>+Centro_Cuenta8[[#This Row],[Código Cuenta Contable]]&amp;" - "&amp;Centro_Cuenta8[[#This Row],[Nombre de Cuenta Contable]]</f>
        <v>4103001 - Costos Maquinarias y Equipos</v>
      </c>
      <c r="H2974" s="146" t="str">
        <f>+VLOOKUP(D2974,'3. Cuentas'!A:F,6,0)</f>
        <v>SI</v>
      </c>
    </row>
    <row r="2975" spans="1:8" x14ac:dyDescent="0.25">
      <c r="A2975" s="43">
        <v>247</v>
      </c>
      <c r="B2975" t="s">
        <v>473</v>
      </c>
      <c r="C2975" s="43" t="s">
        <v>65</v>
      </c>
      <c r="D2975" s="43">
        <v>4105001</v>
      </c>
      <c r="E2975" t="s">
        <v>70</v>
      </c>
      <c r="F2975" s="47" t="str">
        <f>+Centro_Cuenta8[[#This Row],[Codigo Centro Gestion]]&amp;" - "&amp;Centro_Cuenta8[[#This Row],[Nombre Centro Gestion]]</f>
        <v>247 - DS19 Gran Avenida Etapa 1 (Torre C-D)</v>
      </c>
      <c r="G2975" s="47" t="str">
        <f>+Centro_Cuenta8[[#This Row],[Código Cuenta Contable]]&amp;" - "&amp;Centro_Cuenta8[[#This Row],[Nombre de Cuenta Contable]]</f>
        <v>4105001 - Costos Generales de Obra</v>
      </c>
      <c r="H2975" s="146" t="str">
        <f>+VLOOKUP(D2975,'3. Cuentas'!A:F,6,0)</f>
        <v>SI</v>
      </c>
    </row>
    <row r="2976" spans="1:8" x14ac:dyDescent="0.25">
      <c r="A2976" s="43">
        <v>251</v>
      </c>
      <c r="B2976" t="s">
        <v>474</v>
      </c>
      <c r="C2976" s="43" t="s">
        <v>65</v>
      </c>
      <c r="D2976" s="43">
        <v>4101001</v>
      </c>
      <c r="E2976" t="s">
        <v>69</v>
      </c>
      <c r="F2976" s="47" t="str">
        <f>+Centro_Cuenta8[[#This Row],[Codigo Centro Gestion]]&amp;" - "&amp;Centro_Cuenta8[[#This Row],[Nombre Centro Gestion]]</f>
        <v>251 - Edificio Vista Horizonte</v>
      </c>
      <c r="G2976" s="47" t="str">
        <f>+Centro_Cuenta8[[#This Row],[Código Cuenta Contable]]&amp;" - "&amp;Centro_Cuenta8[[#This Row],[Nombre de Cuenta Contable]]</f>
        <v>4101001 - Costos Materiales de Obra</v>
      </c>
      <c r="H2976" s="146" t="str">
        <f>+VLOOKUP(D2976,'3. Cuentas'!A:F,6,0)</f>
        <v>SI</v>
      </c>
    </row>
    <row r="2977" spans="1:8" x14ac:dyDescent="0.25">
      <c r="A2977" s="43">
        <v>251</v>
      </c>
      <c r="B2977" t="s">
        <v>474</v>
      </c>
      <c r="C2977" s="43" t="s">
        <v>65</v>
      </c>
      <c r="D2977" s="43">
        <v>4102001</v>
      </c>
      <c r="E2977" t="s">
        <v>152</v>
      </c>
      <c r="F2977" s="47" t="str">
        <f>+Centro_Cuenta8[[#This Row],[Codigo Centro Gestion]]&amp;" - "&amp;Centro_Cuenta8[[#This Row],[Nombre Centro Gestion]]</f>
        <v>251 - Edificio Vista Horizonte</v>
      </c>
      <c r="G2977" s="47" t="str">
        <f>+Centro_Cuenta8[[#This Row],[Código Cuenta Contable]]&amp;" - "&amp;Centro_Cuenta8[[#This Row],[Nombre de Cuenta Contable]]</f>
        <v>4102001 - Costos Subcontratos</v>
      </c>
      <c r="H2977" s="146" t="str">
        <f>+VLOOKUP(D2977,'3. Cuentas'!A:F,6,0)</f>
        <v>SI</v>
      </c>
    </row>
    <row r="2978" spans="1:8" x14ac:dyDescent="0.25">
      <c r="A2978" s="43">
        <v>251</v>
      </c>
      <c r="B2978" t="s">
        <v>474</v>
      </c>
      <c r="C2978" s="43" t="s">
        <v>65</v>
      </c>
      <c r="D2978" s="43">
        <v>4103001</v>
      </c>
      <c r="E2978" t="s">
        <v>223</v>
      </c>
      <c r="F2978" s="47" t="str">
        <f>+Centro_Cuenta8[[#This Row],[Codigo Centro Gestion]]&amp;" - "&amp;Centro_Cuenta8[[#This Row],[Nombre Centro Gestion]]</f>
        <v>251 - Edificio Vista Horizonte</v>
      </c>
      <c r="G2978" s="47" t="str">
        <f>+Centro_Cuenta8[[#This Row],[Código Cuenta Contable]]&amp;" - "&amp;Centro_Cuenta8[[#This Row],[Nombre de Cuenta Contable]]</f>
        <v>4103001 - Costos Maquinarias y Equipos</v>
      </c>
      <c r="H2978" s="146" t="str">
        <f>+VLOOKUP(D2978,'3. Cuentas'!A:F,6,0)</f>
        <v>SI</v>
      </c>
    </row>
    <row r="2979" spans="1:8" x14ac:dyDescent="0.25">
      <c r="A2979" s="43">
        <v>251</v>
      </c>
      <c r="B2979" t="s">
        <v>474</v>
      </c>
      <c r="C2979" s="43" t="s">
        <v>65</v>
      </c>
      <c r="D2979" s="43">
        <v>4105001</v>
      </c>
      <c r="E2979" t="s">
        <v>70</v>
      </c>
      <c r="F2979" s="47" t="str">
        <f>+Centro_Cuenta8[[#This Row],[Codigo Centro Gestion]]&amp;" - "&amp;Centro_Cuenta8[[#This Row],[Nombre Centro Gestion]]</f>
        <v>251 - Edificio Vista Horizonte</v>
      </c>
      <c r="G2979" s="47" t="str">
        <f>+Centro_Cuenta8[[#This Row],[Código Cuenta Contable]]&amp;" - "&amp;Centro_Cuenta8[[#This Row],[Nombre de Cuenta Contable]]</f>
        <v>4105001 - Costos Generales de Obra</v>
      </c>
      <c r="H2979" s="146" t="str">
        <f>+VLOOKUP(D2979,'3. Cuentas'!A:F,6,0)</f>
        <v>SI</v>
      </c>
    </row>
    <row r="2980" spans="1:8" x14ac:dyDescent="0.25">
      <c r="A2980" s="43">
        <v>252</v>
      </c>
      <c r="B2980" t="s">
        <v>475</v>
      </c>
      <c r="C2980" s="43" t="s">
        <v>65</v>
      </c>
      <c r="D2980" s="43">
        <v>4101001</v>
      </c>
      <c r="E2980" t="s">
        <v>69</v>
      </c>
      <c r="F2980" s="47" t="str">
        <f>+Centro_Cuenta8[[#This Row],[Codigo Centro Gestion]]&amp;" - "&amp;Centro_Cuenta8[[#This Row],[Nombre Centro Gestion]]</f>
        <v>252 - Edificio Castillo Urizar</v>
      </c>
      <c r="G2980" s="47" t="str">
        <f>+Centro_Cuenta8[[#This Row],[Código Cuenta Contable]]&amp;" - "&amp;Centro_Cuenta8[[#This Row],[Nombre de Cuenta Contable]]</f>
        <v>4101001 - Costos Materiales de Obra</v>
      </c>
      <c r="H2980" s="146" t="str">
        <f>+VLOOKUP(D2980,'3. Cuentas'!A:F,6,0)</f>
        <v>SI</v>
      </c>
    </row>
    <row r="2981" spans="1:8" x14ac:dyDescent="0.25">
      <c r="A2981" s="43">
        <v>252</v>
      </c>
      <c r="B2981" t="s">
        <v>475</v>
      </c>
      <c r="C2981" s="43" t="s">
        <v>65</v>
      </c>
      <c r="D2981" s="43">
        <v>4102001</v>
      </c>
      <c r="E2981" t="s">
        <v>152</v>
      </c>
      <c r="F2981" s="47" t="str">
        <f>+Centro_Cuenta8[[#This Row],[Codigo Centro Gestion]]&amp;" - "&amp;Centro_Cuenta8[[#This Row],[Nombre Centro Gestion]]</f>
        <v>252 - Edificio Castillo Urizar</v>
      </c>
      <c r="G2981" s="47" t="str">
        <f>+Centro_Cuenta8[[#This Row],[Código Cuenta Contable]]&amp;" - "&amp;Centro_Cuenta8[[#This Row],[Nombre de Cuenta Contable]]</f>
        <v>4102001 - Costos Subcontratos</v>
      </c>
      <c r="H2981" s="146" t="str">
        <f>+VLOOKUP(D2981,'3. Cuentas'!A:F,6,0)</f>
        <v>SI</v>
      </c>
    </row>
    <row r="2982" spans="1:8" x14ac:dyDescent="0.25">
      <c r="A2982" s="43">
        <v>252</v>
      </c>
      <c r="B2982" t="s">
        <v>475</v>
      </c>
      <c r="C2982" s="43" t="s">
        <v>65</v>
      </c>
      <c r="D2982" s="43">
        <v>4103001</v>
      </c>
      <c r="E2982" t="s">
        <v>223</v>
      </c>
      <c r="F2982" s="47" t="str">
        <f>+Centro_Cuenta8[[#This Row],[Codigo Centro Gestion]]&amp;" - "&amp;Centro_Cuenta8[[#This Row],[Nombre Centro Gestion]]</f>
        <v>252 - Edificio Castillo Urizar</v>
      </c>
      <c r="G2982" s="47" t="str">
        <f>+Centro_Cuenta8[[#This Row],[Código Cuenta Contable]]&amp;" - "&amp;Centro_Cuenta8[[#This Row],[Nombre de Cuenta Contable]]</f>
        <v>4103001 - Costos Maquinarias y Equipos</v>
      </c>
      <c r="H2982" s="146" t="str">
        <f>+VLOOKUP(D2982,'3. Cuentas'!A:F,6,0)</f>
        <v>SI</v>
      </c>
    </row>
    <row r="2983" spans="1:8" x14ac:dyDescent="0.25">
      <c r="A2983" s="43">
        <v>252</v>
      </c>
      <c r="B2983" t="s">
        <v>475</v>
      </c>
      <c r="C2983" s="43" t="s">
        <v>65</v>
      </c>
      <c r="D2983" s="43">
        <v>4105001</v>
      </c>
      <c r="E2983" t="s">
        <v>70</v>
      </c>
      <c r="F2983" s="47" t="str">
        <f>+Centro_Cuenta8[[#This Row],[Codigo Centro Gestion]]&amp;" - "&amp;Centro_Cuenta8[[#This Row],[Nombre Centro Gestion]]</f>
        <v>252 - Edificio Castillo Urizar</v>
      </c>
      <c r="G2983" s="47" t="str">
        <f>+Centro_Cuenta8[[#This Row],[Código Cuenta Contable]]&amp;" - "&amp;Centro_Cuenta8[[#This Row],[Nombre de Cuenta Contable]]</f>
        <v>4105001 - Costos Generales de Obra</v>
      </c>
      <c r="H2983" s="146" t="str">
        <f>+VLOOKUP(D2983,'3. Cuentas'!A:F,6,0)</f>
        <v>SI</v>
      </c>
    </row>
    <row r="2984" spans="1:8" x14ac:dyDescent="0.25">
      <c r="A2984" s="43">
        <v>256</v>
      </c>
      <c r="B2984" t="s">
        <v>476</v>
      </c>
      <c r="C2984" s="43" t="s">
        <v>65</v>
      </c>
      <c r="D2984" s="43">
        <v>4101001</v>
      </c>
      <c r="E2984" t="s">
        <v>69</v>
      </c>
      <c r="F2984" s="47" t="str">
        <f>+Centro_Cuenta8[[#This Row],[Codigo Centro Gestion]]&amp;" - "&amp;Centro_Cuenta8[[#This Row],[Nombre Centro Gestion]]</f>
        <v>256 - Edificio Lynch</v>
      </c>
      <c r="G2984" s="47" t="str">
        <f>+Centro_Cuenta8[[#This Row],[Código Cuenta Contable]]&amp;" - "&amp;Centro_Cuenta8[[#This Row],[Nombre de Cuenta Contable]]</f>
        <v>4101001 - Costos Materiales de Obra</v>
      </c>
      <c r="H2984" s="146" t="str">
        <f>+VLOOKUP(D2984,'3. Cuentas'!A:F,6,0)</f>
        <v>SI</v>
      </c>
    </row>
    <row r="2985" spans="1:8" x14ac:dyDescent="0.25">
      <c r="A2985" s="43">
        <v>256</v>
      </c>
      <c r="B2985" t="s">
        <v>476</v>
      </c>
      <c r="C2985" s="43" t="s">
        <v>65</v>
      </c>
      <c r="D2985" s="43">
        <v>4102001</v>
      </c>
      <c r="E2985" t="s">
        <v>152</v>
      </c>
      <c r="F2985" s="47" t="str">
        <f>+Centro_Cuenta8[[#This Row],[Codigo Centro Gestion]]&amp;" - "&amp;Centro_Cuenta8[[#This Row],[Nombre Centro Gestion]]</f>
        <v>256 - Edificio Lynch</v>
      </c>
      <c r="G2985" s="47" t="str">
        <f>+Centro_Cuenta8[[#This Row],[Código Cuenta Contable]]&amp;" - "&amp;Centro_Cuenta8[[#This Row],[Nombre de Cuenta Contable]]</f>
        <v>4102001 - Costos Subcontratos</v>
      </c>
      <c r="H2985" s="146" t="str">
        <f>+VLOOKUP(D2985,'3. Cuentas'!A:F,6,0)</f>
        <v>SI</v>
      </c>
    </row>
    <row r="2986" spans="1:8" x14ac:dyDescent="0.25">
      <c r="A2986" s="43">
        <v>256</v>
      </c>
      <c r="B2986" t="s">
        <v>476</v>
      </c>
      <c r="C2986" s="43" t="s">
        <v>65</v>
      </c>
      <c r="D2986" s="43">
        <v>4103001</v>
      </c>
      <c r="E2986" t="s">
        <v>223</v>
      </c>
      <c r="F2986" s="47" t="str">
        <f>+Centro_Cuenta8[[#This Row],[Codigo Centro Gestion]]&amp;" - "&amp;Centro_Cuenta8[[#This Row],[Nombre Centro Gestion]]</f>
        <v>256 - Edificio Lynch</v>
      </c>
      <c r="G2986" s="47" t="str">
        <f>+Centro_Cuenta8[[#This Row],[Código Cuenta Contable]]&amp;" - "&amp;Centro_Cuenta8[[#This Row],[Nombre de Cuenta Contable]]</f>
        <v>4103001 - Costos Maquinarias y Equipos</v>
      </c>
      <c r="H2986" s="146" t="str">
        <f>+VLOOKUP(D2986,'3. Cuentas'!A:F,6,0)</f>
        <v>SI</v>
      </c>
    </row>
    <row r="2987" spans="1:8" x14ac:dyDescent="0.25">
      <c r="A2987" s="43">
        <v>256</v>
      </c>
      <c r="B2987" t="s">
        <v>476</v>
      </c>
      <c r="C2987" s="43" t="s">
        <v>65</v>
      </c>
      <c r="D2987" s="43">
        <v>4105001</v>
      </c>
      <c r="E2987" t="s">
        <v>70</v>
      </c>
      <c r="F2987" s="47" t="str">
        <f>+Centro_Cuenta8[[#This Row],[Codigo Centro Gestion]]&amp;" - "&amp;Centro_Cuenta8[[#This Row],[Nombre Centro Gestion]]</f>
        <v>256 - Edificio Lynch</v>
      </c>
      <c r="G2987" s="47" t="str">
        <f>+Centro_Cuenta8[[#This Row],[Código Cuenta Contable]]&amp;" - "&amp;Centro_Cuenta8[[#This Row],[Nombre de Cuenta Contable]]</f>
        <v>4105001 - Costos Generales de Obra</v>
      </c>
      <c r="H2987" s="146" t="str">
        <f>+VLOOKUP(D2987,'3. Cuentas'!A:F,6,0)</f>
        <v>SI</v>
      </c>
    </row>
    <row r="2988" spans="1:8" x14ac:dyDescent="0.25">
      <c r="A2988" s="43">
        <v>258</v>
      </c>
      <c r="B2988" t="s">
        <v>1109</v>
      </c>
      <c r="C2988" s="43" t="s">
        <v>65</v>
      </c>
      <c r="D2988" s="43">
        <v>4101001</v>
      </c>
      <c r="E2988" t="s">
        <v>69</v>
      </c>
      <c r="F2988" s="47" t="str">
        <f>+Centro_Cuenta8[[#This Row],[Codigo Centro Gestion]]&amp;" - "&amp;Centro_Cuenta8[[#This Row],[Nombre Centro Gestion]]</f>
        <v>258 - Condominio Jorge Cáceres Etapa 1</v>
      </c>
      <c r="G2988" s="47" t="str">
        <f>+Centro_Cuenta8[[#This Row],[Código Cuenta Contable]]&amp;" - "&amp;Centro_Cuenta8[[#This Row],[Nombre de Cuenta Contable]]</f>
        <v>4101001 - Costos Materiales de Obra</v>
      </c>
      <c r="H2988" s="146" t="str">
        <f>+VLOOKUP(D2988,'3. Cuentas'!A:F,6,0)</f>
        <v>SI</v>
      </c>
    </row>
    <row r="2989" spans="1:8" x14ac:dyDescent="0.25">
      <c r="A2989" s="43">
        <v>258</v>
      </c>
      <c r="B2989" t="s">
        <v>1109</v>
      </c>
      <c r="C2989" s="43" t="s">
        <v>65</v>
      </c>
      <c r="D2989" s="43">
        <v>4102001</v>
      </c>
      <c r="E2989" t="s">
        <v>152</v>
      </c>
      <c r="F2989" s="47" t="str">
        <f>+Centro_Cuenta8[[#This Row],[Codigo Centro Gestion]]&amp;" - "&amp;Centro_Cuenta8[[#This Row],[Nombre Centro Gestion]]</f>
        <v>258 - Condominio Jorge Cáceres Etapa 1</v>
      </c>
      <c r="G2989" s="47" t="str">
        <f>+Centro_Cuenta8[[#This Row],[Código Cuenta Contable]]&amp;" - "&amp;Centro_Cuenta8[[#This Row],[Nombre de Cuenta Contable]]</f>
        <v>4102001 - Costos Subcontratos</v>
      </c>
      <c r="H2989" s="146" t="str">
        <f>+VLOOKUP(D2989,'3. Cuentas'!A:F,6,0)</f>
        <v>SI</v>
      </c>
    </row>
    <row r="2990" spans="1:8" x14ac:dyDescent="0.25">
      <c r="A2990" s="43">
        <v>258</v>
      </c>
      <c r="B2990" t="s">
        <v>1109</v>
      </c>
      <c r="C2990" s="43" t="s">
        <v>65</v>
      </c>
      <c r="D2990" s="43">
        <v>4103001</v>
      </c>
      <c r="E2990" t="s">
        <v>223</v>
      </c>
      <c r="F2990" s="47" t="str">
        <f>+Centro_Cuenta8[[#This Row],[Codigo Centro Gestion]]&amp;" - "&amp;Centro_Cuenta8[[#This Row],[Nombre Centro Gestion]]</f>
        <v>258 - Condominio Jorge Cáceres Etapa 1</v>
      </c>
      <c r="G2990" s="47" t="str">
        <f>+Centro_Cuenta8[[#This Row],[Código Cuenta Contable]]&amp;" - "&amp;Centro_Cuenta8[[#This Row],[Nombre de Cuenta Contable]]</f>
        <v>4103001 - Costos Maquinarias y Equipos</v>
      </c>
      <c r="H2990" s="146" t="str">
        <f>+VLOOKUP(D2990,'3. Cuentas'!A:F,6,0)</f>
        <v>SI</v>
      </c>
    </row>
    <row r="2991" spans="1:8" x14ac:dyDescent="0.25">
      <c r="A2991" s="43">
        <v>258</v>
      </c>
      <c r="B2991" t="s">
        <v>1109</v>
      </c>
      <c r="C2991" s="43" t="s">
        <v>65</v>
      </c>
      <c r="D2991" s="43">
        <v>4105001</v>
      </c>
      <c r="E2991" t="s">
        <v>70</v>
      </c>
      <c r="F2991" s="47" t="str">
        <f>+Centro_Cuenta8[[#This Row],[Codigo Centro Gestion]]&amp;" - "&amp;Centro_Cuenta8[[#This Row],[Nombre Centro Gestion]]</f>
        <v>258 - Condominio Jorge Cáceres Etapa 1</v>
      </c>
      <c r="G2991" s="47" t="str">
        <f>+Centro_Cuenta8[[#This Row],[Código Cuenta Contable]]&amp;" - "&amp;Centro_Cuenta8[[#This Row],[Nombre de Cuenta Contable]]</f>
        <v>4105001 - Costos Generales de Obra</v>
      </c>
      <c r="H2991" s="146" t="str">
        <f>+VLOOKUP(D2991,'3. Cuentas'!A:F,6,0)</f>
        <v>SI</v>
      </c>
    </row>
    <row r="2992" spans="1:8" x14ac:dyDescent="0.25">
      <c r="A2992" s="43">
        <v>260</v>
      </c>
      <c r="B2992" t="s">
        <v>477</v>
      </c>
      <c r="C2992" s="43" t="s">
        <v>65</v>
      </c>
      <c r="D2992" s="43">
        <v>4101001</v>
      </c>
      <c r="E2992" t="s">
        <v>69</v>
      </c>
      <c r="F2992" s="47" t="str">
        <f>+Centro_Cuenta8[[#This Row],[Codigo Centro Gestion]]&amp;" - "&amp;Centro_Cuenta8[[#This Row],[Nombre Centro Gestion]]</f>
        <v>260 - Edificio Lia Aguirre</v>
      </c>
      <c r="G2992" s="47" t="str">
        <f>+Centro_Cuenta8[[#This Row],[Código Cuenta Contable]]&amp;" - "&amp;Centro_Cuenta8[[#This Row],[Nombre de Cuenta Contable]]</f>
        <v>4101001 - Costos Materiales de Obra</v>
      </c>
      <c r="H2992" s="146" t="str">
        <f>+VLOOKUP(D2992,'3. Cuentas'!A:F,6,0)</f>
        <v>SI</v>
      </c>
    </row>
    <row r="2993" spans="1:8" x14ac:dyDescent="0.25">
      <c r="A2993" s="43">
        <v>260</v>
      </c>
      <c r="B2993" t="s">
        <v>477</v>
      </c>
      <c r="C2993" s="43" t="s">
        <v>65</v>
      </c>
      <c r="D2993" s="43">
        <v>4102001</v>
      </c>
      <c r="E2993" t="s">
        <v>152</v>
      </c>
      <c r="F2993" s="47" t="str">
        <f>+Centro_Cuenta8[[#This Row],[Codigo Centro Gestion]]&amp;" - "&amp;Centro_Cuenta8[[#This Row],[Nombre Centro Gestion]]</f>
        <v>260 - Edificio Lia Aguirre</v>
      </c>
      <c r="G2993" s="47" t="str">
        <f>+Centro_Cuenta8[[#This Row],[Código Cuenta Contable]]&amp;" - "&amp;Centro_Cuenta8[[#This Row],[Nombre de Cuenta Contable]]</f>
        <v>4102001 - Costos Subcontratos</v>
      </c>
      <c r="H2993" s="146" t="str">
        <f>+VLOOKUP(D2993,'3. Cuentas'!A:F,6,0)</f>
        <v>SI</v>
      </c>
    </row>
    <row r="2994" spans="1:8" x14ac:dyDescent="0.25">
      <c r="A2994" s="43">
        <v>260</v>
      </c>
      <c r="B2994" t="s">
        <v>477</v>
      </c>
      <c r="C2994" s="43" t="s">
        <v>65</v>
      </c>
      <c r="D2994" s="43">
        <v>4103001</v>
      </c>
      <c r="E2994" t="s">
        <v>223</v>
      </c>
      <c r="F2994" s="47" t="str">
        <f>+Centro_Cuenta8[[#This Row],[Codigo Centro Gestion]]&amp;" - "&amp;Centro_Cuenta8[[#This Row],[Nombre Centro Gestion]]</f>
        <v>260 - Edificio Lia Aguirre</v>
      </c>
      <c r="G2994" s="47" t="str">
        <f>+Centro_Cuenta8[[#This Row],[Código Cuenta Contable]]&amp;" - "&amp;Centro_Cuenta8[[#This Row],[Nombre de Cuenta Contable]]</f>
        <v>4103001 - Costos Maquinarias y Equipos</v>
      </c>
      <c r="H2994" s="146" t="str">
        <f>+VLOOKUP(D2994,'3. Cuentas'!A:F,6,0)</f>
        <v>SI</v>
      </c>
    </row>
    <row r="2995" spans="1:8" x14ac:dyDescent="0.25">
      <c r="A2995" s="43">
        <v>260</v>
      </c>
      <c r="B2995" t="s">
        <v>477</v>
      </c>
      <c r="C2995" s="43" t="s">
        <v>65</v>
      </c>
      <c r="D2995" s="43">
        <v>4105001</v>
      </c>
      <c r="E2995" t="s">
        <v>70</v>
      </c>
      <c r="F2995" s="47" t="str">
        <f>+Centro_Cuenta8[[#This Row],[Codigo Centro Gestion]]&amp;" - "&amp;Centro_Cuenta8[[#This Row],[Nombre Centro Gestion]]</f>
        <v>260 - Edificio Lia Aguirre</v>
      </c>
      <c r="G2995" s="47" t="str">
        <f>+Centro_Cuenta8[[#This Row],[Código Cuenta Contable]]&amp;" - "&amp;Centro_Cuenta8[[#This Row],[Nombre de Cuenta Contable]]</f>
        <v>4105001 - Costos Generales de Obra</v>
      </c>
      <c r="H2995" s="146" t="str">
        <f>+VLOOKUP(D2995,'3. Cuentas'!A:F,6,0)</f>
        <v>SI</v>
      </c>
    </row>
    <row r="2996" spans="1:8" x14ac:dyDescent="0.25">
      <c r="A2996" s="43">
        <v>261</v>
      </c>
      <c r="B2996" t="s">
        <v>1294</v>
      </c>
      <c r="C2996" s="43" t="s">
        <v>65</v>
      </c>
      <c r="D2996" s="43">
        <v>4101001</v>
      </c>
      <c r="E2996" t="s">
        <v>69</v>
      </c>
      <c r="F2996" s="47" t="str">
        <f>+Centro_Cuenta8[[#This Row],[Codigo Centro Gestion]]&amp;" - "&amp;Centro_Cuenta8[[#This Row],[Nombre Centro Gestion]]</f>
        <v>261 - DS49 Valle Alto Placilla</v>
      </c>
      <c r="G2996" s="47" t="str">
        <f>+Centro_Cuenta8[[#This Row],[Código Cuenta Contable]]&amp;" - "&amp;Centro_Cuenta8[[#This Row],[Nombre de Cuenta Contable]]</f>
        <v>4101001 - Costos Materiales de Obra</v>
      </c>
      <c r="H2996" s="146" t="str">
        <f>+VLOOKUP(D2996,'3. Cuentas'!A:F,6,0)</f>
        <v>SI</v>
      </c>
    </row>
    <row r="2997" spans="1:8" x14ac:dyDescent="0.25">
      <c r="A2997" s="43">
        <v>261</v>
      </c>
      <c r="B2997" t="s">
        <v>1294</v>
      </c>
      <c r="C2997" s="43" t="s">
        <v>65</v>
      </c>
      <c r="D2997" s="43">
        <v>4102001</v>
      </c>
      <c r="E2997" t="s">
        <v>152</v>
      </c>
      <c r="F2997" s="47" t="str">
        <f>+Centro_Cuenta8[[#This Row],[Codigo Centro Gestion]]&amp;" - "&amp;Centro_Cuenta8[[#This Row],[Nombre Centro Gestion]]</f>
        <v>261 - DS49 Valle Alto Placilla</v>
      </c>
      <c r="G2997" s="47" t="str">
        <f>+Centro_Cuenta8[[#This Row],[Código Cuenta Contable]]&amp;" - "&amp;Centro_Cuenta8[[#This Row],[Nombre de Cuenta Contable]]</f>
        <v>4102001 - Costos Subcontratos</v>
      </c>
      <c r="H2997" s="146" t="str">
        <f>+VLOOKUP(D2997,'3. Cuentas'!A:F,6,0)</f>
        <v>SI</v>
      </c>
    </row>
    <row r="2998" spans="1:8" x14ac:dyDescent="0.25">
      <c r="A2998" s="43">
        <v>261</v>
      </c>
      <c r="B2998" t="s">
        <v>1294</v>
      </c>
      <c r="C2998" s="43" t="s">
        <v>65</v>
      </c>
      <c r="D2998" s="43">
        <v>4103001</v>
      </c>
      <c r="E2998" t="s">
        <v>223</v>
      </c>
      <c r="F2998" s="47" t="str">
        <f>+Centro_Cuenta8[[#This Row],[Codigo Centro Gestion]]&amp;" - "&amp;Centro_Cuenta8[[#This Row],[Nombre Centro Gestion]]</f>
        <v>261 - DS49 Valle Alto Placilla</v>
      </c>
      <c r="G2998" s="47" t="str">
        <f>+Centro_Cuenta8[[#This Row],[Código Cuenta Contable]]&amp;" - "&amp;Centro_Cuenta8[[#This Row],[Nombre de Cuenta Contable]]</f>
        <v>4103001 - Costos Maquinarias y Equipos</v>
      </c>
      <c r="H2998" s="146" t="str">
        <f>+VLOOKUP(D2998,'3. Cuentas'!A:F,6,0)</f>
        <v>SI</v>
      </c>
    </row>
    <row r="2999" spans="1:8" x14ac:dyDescent="0.25">
      <c r="A2999" s="43">
        <v>261</v>
      </c>
      <c r="B2999" t="s">
        <v>1294</v>
      </c>
      <c r="C2999" s="43" t="s">
        <v>65</v>
      </c>
      <c r="D2999" s="43">
        <v>4105001</v>
      </c>
      <c r="E2999" t="s">
        <v>70</v>
      </c>
      <c r="F2999" s="47" t="str">
        <f>+Centro_Cuenta8[[#This Row],[Codigo Centro Gestion]]&amp;" - "&amp;Centro_Cuenta8[[#This Row],[Nombre Centro Gestion]]</f>
        <v>261 - DS49 Valle Alto Placilla</v>
      </c>
      <c r="G2999" s="47" t="str">
        <f>+Centro_Cuenta8[[#This Row],[Código Cuenta Contable]]&amp;" - "&amp;Centro_Cuenta8[[#This Row],[Nombre de Cuenta Contable]]</f>
        <v>4105001 - Costos Generales de Obra</v>
      </c>
      <c r="H2999" s="146" t="str">
        <f>+VLOOKUP(D2999,'3. Cuentas'!A:F,6,0)</f>
        <v>SI</v>
      </c>
    </row>
    <row r="3000" spans="1:8" x14ac:dyDescent="0.25">
      <c r="A3000" s="43">
        <v>262</v>
      </c>
      <c r="B3000" t="s">
        <v>478</v>
      </c>
      <c r="C3000" s="43" t="s">
        <v>65</v>
      </c>
      <c r="D3000" s="43">
        <v>4101001</v>
      </c>
      <c r="E3000" t="s">
        <v>69</v>
      </c>
      <c r="F3000" s="47" t="str">
        <f>+Centro_Cuenta8[[#This Row],[Codigo Centro Gestion]]&amp;" - "&amp;Centro_Cuenta8[[#This Row],[Nombre Centro Gestion]]</f>
        <v>262 - Alto Marañon 3</v>
      </c>
      <c r="G3000" s="47" t="str">
        <f>+Centro_Cuenta8[[#This Row],[Código Cuenta Contable]]&amp;" - "&amp;Centro_Cuenta8[[#This Row],[Nombre de Cuenta Contable]]</f>
        <v>4101001 - Costos Materiales de Obra</v>
      </c>
      <c r="H3000" s="146" t="str">
        <f>+VLOOKUP(D3000,'3. Cuentas'!A:F,6,0)</f>
        <v>SI</v>
      </c>
    </row>
    <row r="3001" spans="1:8" x14ac:dyDescent="0.25">
      <c r="A3001" s="43">
        <v>262</v>
      </c>
      <c r="B3001" t="s">
        <v>478</v>
      </c>
      <c r="C3001" s="43" t="s">
        <v>65</v>
      </c>
      <c r="D3001" s="43">
        <v>4102001</v>
      </c>
      <c r="E3001" t="s">
        <v>152</v>
      </c>
      <c r="F3001" s="47" t="str">
        <f>+Centro_Cuenta8[[#This Row],[Codigo Centro Gestion]]&amp;" - "&amp;Centro_Cuenta8[[#This Row],[Nombre Centro Gestion]]</f>
        <v>262 - Alto Marañon 3</v>
      </c>
      <c r="G3001" s="47" t="str">
        <f>+Centro_Cuenta8[[#This Row],[Código Cuenta Contable]]&amp;" - "&amp;Centro_Cuenta8[[#This Row],[Nombre de Cuenta Contable]]</f>
        <v>4102001 - Costos Subcontratos</v>
      </c>
      <c r="H3001" s="146" t="str">
        <f>+VLOOKUP(D3001,'3. Cuentas'!A:F,6,0)</f>
        <v>SI</v>
      </c>
    </row>
    <row r="3002" spans="1:8" x14ac:dyDescent="0.25">
      <c r="A3002" s="43">
        <v>262</v>
      </c>
      <c r="B3002" t="s">
        <v>478</v>
      </c>
      <c r="C3002" s="43" t="s">
        <v>65</v>
      </c>
      <c r="D3002" s="43">
        <v>4103001</v>
      </c>
      <c r="E3002" t="s">
        <v>223</v>
      </c>
      <c r="F3002" s="47" t="str">
        <f>+Centro_Cuenta8[[#This Row],[Codigo Centro Gestion]]&amp;" - "&amp;Centro_Cuenta8[[#This Row],[Nombre Centro Gestion]]</f>
        <v>262 - Alto Marañon 3</v>
      </c>
      <c r="G3002" s="47" t="str">
        <f>+Centro_Cuenta8[[#This Row],[Código Cuenta Contable]]&amp;" - "&amp;Centro_Cuenta8[[#This Row],[Nombre de Cuenta Contable]]</f>
        <v>4103001 - Costos Maquinarias y Equipos</v>
      </c>
      <c r="H3002" s="146" t="str">
        <f>+VLOOKUP(D3002,'3. Cuentas'!A:F,6,0)</f>
        <v>SI</v>
      </c>
    </row>
    <row r="3003" spans="1:8" x14ac:dyDescent="0.25">
      <c r="A3003" s="43">
        <v>262</v>
      </c>
      <c r="B3003" t="s">
        <v>478</v>
      </c>
      <c r="C3003" s="43" t="s">
        <v>65</v>
      </c>
      <c r="D3003" s="43">
        <v>4105001</v>
      </c>
      <c r="E3003" t="s">
        <v>70</v>
      </c>
      <c r="F3003" s="47" t="str">
        <f>+Centro_Cuenta8[[#This Row],[Codigo Centro Gestion]]&amp;" - "&amp;Centro_Cuenta8[[#This Row],[Nombre Centro Gestion]]</f>
        <v>262 - Alto Marañon 3</v>
      </c>
      <c r="G3003" s="47" t="str">
        <f>+Centro_Cuenta8[[#This Row],[Código Cuenta Contable]]&amp;" - "&amp;Centro_Cuenta8[[#This Row],[Nombre de Cuenta Contable]]</f>
        <v>4105001 - Costos Generales de Obra</v>
      </c>
      <c r="H3003" s="146" t="str">
        <f>+VLOOKUP(D3003,'3. Cuentas'!A:F,6,0)</f>
        <v>SI</v>
      </c>
    </row>
    <row r="3004" spans="1:8" x14ac:dyDescent="0.25">
      <c r="A3004" s="43">
        <v>263</v>
      </c>
      <c r="B3004" t="s">
        <v>479</v>
      </c>
      <c r="C3004" s="43" t="s">
        <v>65</v>
      </c>
      <c r="D3004" s="43">
        <v>4101001</v>
      </c>
      <c r="E3004" t="s">
        <v>69</v>
      </c>
      <c r="F3004" s="47" t="str">
        <f>+Centro_Cuenta8[[#This Row],[Codigo Centro Gestion]]&amp;" - "&amp;Centro_Cuenta8[[#This Row],[Nombre Centro Gestion]]</f>
        <v>263 - Vicente Reyes</v>
      </c>
      <c r="G3004" s="47" t="str">
        <f>+Centro_Cuenta8[[#This Row],[Código Cuenta Contable]]&amp;" - "&amp;Centro_Cuenta8[[#This Row],[Nombre de Cuenta Contable]]</f>
        <v>4101001 - Costos Materiales de Obra</v>
      </c>
      <c r="H3004" s="146" t="str">
        <f>+VLOOKUP(D3004,'3. Cuentas'!A:F,6,0)</f>
        <v>SI</v>
      </c>
    </row>
    <row r="3005" spans="1:8" x14ac:dyDescent="0.25">
      <c r="A3005" s="43">
        <v>263</v>
      </c>
      <c r="B3005" t="s">
        <v>479</v>
      </c>
      <c r="C3005" s="43" t="s">
        <v>65</v>
      </c>
      <c r="D3005" s="43">
        <v>4102001</v>
      </c>
      <c r="E3005" t="s">
        <v>152</v>
      </c>
      <c r="F3005" s="47" t="str">
        <f>+Centro_Cuenta8[[#This Row],[Codigo Centro Gestion]]&amp;" - "&amp;Centro_Cuenta8[[#This Row],[Nombre Centro Gestion]]</f>
        <v>263 - Vicente Reyes</v>
      </c>
      <c r="G3005" s="47" t="str">
        <f>+Centro_Cuenta8[[#This Row],[Código Cuenta Contable]]&amp;" - "&amp;Centro_Cuenta8[[#This Row],[Nombre de Cuenta Contable]]</f>
        <v>4102001 - Costos Subcontratos</v>
      </c>
      <c r="H3005" s="146" t="str">
        <f>+VLOOKUP(D3005,'3. Cuentas'!A:F,6,0)</f>
        <v>SI</v>
      </c>
    </row>
    <row r="3006" spans="1:8" x14ac:dyDescent="0.25">
      <c r="A3006" s="43">
        <v>263</v>
      </c>
      <c r="B3006" t="s">
        <v>479</v>
      </c>
      <c r="C3006" s="43" t="s">
        <v>65</v>
      </c>
      <c r="D3006" s="43">
        <v>4103001</v>
      </c>
      <c r="E3006" t="s">
        <v>223</v>
      </c>
      <c r="F3006" s="47" t="str">
        <f>+Centro_Cuenta8[[#This Row],[Codigo Centro Gestion]]&amp;" - "&amp;Centro_Cuenta8[[#This Row],[Nombre Centro Gestion]]</f>
        <v>263 - Vicente Reyes</v>
      </c>
      <c r="G3006" s="47" t="str">
        <f>+Centro_Cuenta8[[#This Row],[Código Cuenta Contable]]&amp;" - "&amp;Centro_Cuenta8[[#This Row],[Nombre de Cuenta Contable]]</f>
        <v>4103001 - Costos Maquinarias y Equipos</v>
      </c>
      <c r="H3006" s="146" t="str">
        <f>+VLOOKUP(D3006,'3. Cuentas'!A:F,6,0)</f>
        <v>SI</v>
      </c>
    </row>
    <row r="3007" spans="1:8" x14ac:dyDescent="0.25">
      <c r="A3007" s="43">
        <v>263</v>
      </c>
      <c r="B3007" t="s">
        <v>479</v>
      </c>
      <c r="C3007" s="43" t="s">
        <v>65</v>
      </c>
      <c r="D3007" s="43">
        <v>4105001</v>
      </c>
      <c r="E3007" t="s">
        <v>70</v>
      </c>
      <c r="F3007" s="47" t="str">
        <f>+Centro_Cuenta8[[#This Row],[Codigo Centro Gestion]]&amp;" - "&amp;Centro_Cuenta8[[#This Row],[Nombre Centro Gestion]]</f>
        <v>263 - Vicente Reyes</v>
      </c>
      <c r="G3007" s="47" t="str">
        <f>+Centro_Cuenta8[[#This Row],[Código Cuenta Contable]]&amp;" - "&amp;Centro_Cuenta8[[#This Row],[Nombre de Cuenta Contable]]</f>
        <v>4105001 - Costos Generales de Obra</v>
      </c>
      <c r="H3007" s="146" t="str">
        <f>+VLOOKUP(D3007,'3. Cuentas'!A:F,6,0)</f>
        <v>SI</v>
      </c>
    </row>
    <row r="3008" spans="1:8" x14ac:dyDescent="0.25">
      <c r="A3008" s="43">
        <v>264</v>
      </c>
      <c r="B3008" t="s">
        <v>480</v>
      </c>
      <c r="C3008" s="43" t="s">
        <v>65</v>
      </c>
      <c r="D3008" s="43">
        <v>4101001</v>
      </c>
      <c r="E3008" t="s">
        <v>69</v>
      </c>
      <c r="F3008" s="47" t="str">
        <f>+Centro_Cuenta8[[#This Row],[Codigo Centro Gestion]]&amp;" - "&amp;Centro_Cuenta8[[#This Row],[Nombre Centro Gestion]]</f>
        <v>264 - Edificio Libertad</v>
      </c>
      <c r="G3008" s="47" t="str">
        <f>+Centro_Cuenta8[[#This Row],[Código Cuenta Contable]]&amp;" - "&amp;Centro_Cuenta8[[#This Row],[Nombre de Cuenta Contable]]</f>
        <v>4101001 - Costos Materiales de Obra</v>
      </c>
      <c r="H3008" s="146" t="str">
        <f>+VLOOKUP(D3008,'3. Cuentas'!A:F,6,0)</f>
        <v>SI</v>
      </c>
    </row>
    <row r="3009" spans="1:8" x14ac:dyDescent="0.25">
      <c r="A3009" s="43">
        <v>264</v>
      </c>
      <c r="B3009" t="s">
        <v>480</v>
      </c>
      <c r="C3009" s="43" t="s">
        <v>65</v>
      </c>
      <c r="D3009" s="43">
        <v>4102001</v>
      </c>
      <c r="E3009" t="s">
        <v>152</v>
      </c>
      <c r="F3009" s="47" t="str">
        <f>+Centro_Cuenta8[[#This Row],[Codigo Centro Gestion]]&amp;" - "&amp;Centro_Cuenta8[[#This Row],[Nombre Centro Gestion]]</f>
        <v>264 - Edificio Libertad</v>
      </c>
      <c r="G3009" s="47" t="str">
        <f>+Centro_Cuenta8[[#This Row],[Código Cuenta Contable]]&amp;" - "&amp;Centro_Cuenta8[[#This Row],[Nombre de Cuenta Contable]]</f>
        <v>4102001 - Costos Subcontratos</v>
      </c>
      <c r="H3009" s="146" t="str">
        <f>+VLOOKUP(D3009,'3. Cuentas'!A:F,6,0)</f>
        <v>SI</v>
      </c>
    </row>
    <row r="3010" spans="1:8" x14ac:dyDescent="0.25">
      <c r="A3010" s="43">
        <v>264</v>
      </c>
      <c r="B3010" t="s">
        <v>480</v>
      </c>
      <c r="C3010" s="43" t="s">
        <v>65</v>
      </c>
      <c r="D3010" s="43">
        <v>4103001</v>
      </c>
      <c r="E3010" t="s">
        <v>223</v>
      </c>
      <c r="F3010" s="47" t="str">
        <f>+Centro_Cuenta8[[#This Row],[Codigo Centro Gestion]]&amp;" - "&amp;Centro_Cuenta8[[#This Row],[Nombre Centro Gestion]]</f>
        <v>264 - Edificio Libertad</v>
      </c>
      <c r="G3010" s="47" t="str">
        <f>+Centro_Cuenta8[[#This Row],[Código Cuenta Contable]]&amp;" - "&amp;Centro_Cuenta8[[#This Row],[Nombre de Cuenta Contable]]</f>
        <v>4103001 - Costos Maquinarias y Equipos</v>
      </c>
      <c r="H3010" s="146" t="str">
        <f>+VLOOKUP(D3010,'3. Cuentas'!A:F,6,0)</f>
        <v>SI</v>
      </c>
    </row>
    <row r="3011" spans="1:8" x14ac:dyDescent="0.25">
      <c r="A3011" s="43">
        <v>264</v>
      </c>
      <c r="B3011" t="s">
        <v>480</v>
      </c>
      <c r="C3011" s="43" t="s">
        <v>65</v>
      </c>
      <c r="D3011" s="43">
        <v>4105001</v>
      </c>
      <c r="E3011" t="s">
        <v>70</v>
      </c>
      <c r="F3011" s="47" t="str">
        <f>+Centro_Cuenta8[[#This Row],[Codigo Centro Gestion]]&amp;" - "&amp;Centro_Cuenta8[[#This Row],[Nombre Centro Gestion]]</f>
        <v>264 - Edificio Libertad</v>
      </c>
      <c r="G3011" s="47" t="str">
        <f>+Centro_Cuenta8[[#This Row],[Código Cuenta Contable]]&amp;" - "&amp;Centro_Cuenta8[[#This Row],[Nombre de Cuenta Contable]]</f>
        <v>4105001 - Costos Generales de Obra</v>
      </c>
      <c r="H3011" s="146" t="str">
        <f>+VLOOKUP(D3011,'3. Cuentas'!A:F,6,0)</f>
        <v>SI</v>
      </c>
    </row>
    <row r="3012" spans="1:8" x14ac:dyDescent="0.25">
      <c r="A3012" s="43">
        <v>266</v>
      </c>
      <c r="B3012" t="s">
        <v>481</v>
      </c>
      <c r="C3012" s="43" t="s">
        <v>65</v>
      </c>
      <c r="D3012" s="43">
        <v>4101001</v>
      </c>
      <c r="E3012" t="s">
        <v>69</v>
      </c>
      <c r="F3012" s="47" t="str">
        <f>+Centro_Cuenta8[[#This Row],[Codigo Centro Gestion]]&amp;" - "&amp;Centro_Cuenta8[[#This Row],[Nombre Centro Gestion]]</f>
        <v>266 - 18 de Septiembre</v>
      </c>
      <c r="G3012" s="47" t="str">
        <f>+Centro_Cuenta8[[#This Row],[Código Cuenta Contable]]&amp;" - "&amp;Centro_Cuenta8[[#This Row],[Nombre de Cuenta Contable]]</f>
        <v>4101001 - Costos Materiales de Obra</v>
      </c>
      <c r="H3012" s="146" t="str">
        <f>+VLOOKUP(D3012,'3. Cuentas'!A:F,6,0)</f>
        <v>SI</v>
      </c>
    </row>
    <row r="3013" spans="1:8" x14ac:dyDescent="0.25">
      <c r="A3013" s="43">
        <v>266</v>
      </c>
      <c r="B3013" t="s">
        <v>481</v>
      </c>
      <c r="C3013" s="43" t="s">
        <v>65</v>
      </c>
      <c r="D3013" s="43">
        <v>4102001</v>
      </c>
      <c r="E3013" t="s">
        <v>152</v>
      </c>
      <c r="F3013" s="47" t="str">
        <f>+Centro_Cuenta8[[#This Row],[Codigo Centro Gestion]]&amp;" - "&amp;Centro_Cuenta8[[#This Row],[Nombre Centro Gestion]]</f>
        <v>266 - 18 de Septiembre</v>
      </c>
      <c r="G3013" s="47" t="str">
        <f>+Centro_Cuenta8[[#This Row],[Código Cuenta Contable]]&amp;" - "&amp;Centro_Cuenta8[[#This Row],[Nombre de Cuenta Contable]]</f>
        <v>4102001 - Costos Subcontratos</v>
      </c>
      <c r="H3013" s="146" t="str">
        <f>+VLOOKUP(D3013,'3. Cuentas'!A:F,6,0)</f>
        <v>SI</v>
      </c>
    </row>
    <row r="3014" spans="1:8" x14ac:dyDescent="0.25">
      <c r="A3014" s="43">
        <v>266</v>
      </c>
      <c r="B3014" t="s">
        <v>481</v>
      </c>
      <c r="C3014" s="43" t="s">
        <v>65</v>
      </c>
      <c r="D3014" s="43">
        <v>4103001</v>
      </c>
      <c r="E3014" t="s">
        <v>223</v>
      </c>
      <c r="F3014" s="47" t="str">
        <f>+Centro_Cuenta8[[#This Row],[Codigo Centro Gestion]]&amp;" - "&amp;Centro_Cuenta8[[#This Row],[Nombre Centro Gestion]]</f>
        <v>266 - 18 de Septiembre</v>
      </c>
      <c r="G3014" s="47" t="str">
        <f>+Centro_Cuenta8[[#This Row],[Código Cuenta Contable]]&amp;" - "&amp;Centro_Cuenta8[[#This Row],[Nombre de Cuenta Contable]]</f>
        <v>4103001 - Costos Maquinarias y Equipos</v>
      </c>
      <c r="H3014" s="146" t="str">
        <f>+VLOOKUP(D3014,'3. Cuentas'!A:F,6,0)</f>
        <v>SI</v>
      </c>
    </row>
    <row r="3015" spans="1:8" x14ac:dyDescent="0.25">
      <c r="A3015" s="43">
        <v>266</v>
      </c>
      <c r="B3015" t="s">
        <v>481</v>
      </c>
      <c r="C3015" s="43" t="s">
        <v>65</v>
      </c>
      <c r="D3015" s="43">
        <v>4105001</v>
      </c>
      <c r="E3015" t="s">
        <v>70</v>
      </c>
      <c r="F3015" s="47" t="str">
        <f>+Centro_Cuenta8[[#This Row],[Codigo Centro Gestion]]&amp;" - "&amp;Centro_Cuenta8[[#This Row],[Nombre Centro Gestion]]</f>
        <v>266 - 18 de Septiembre</v>
      </c>
      <c r="G3015" s="47" t="str">
        <f>+Centro_Cuenta8[[#This Row],[Código Cuenta Contable]]&amp;" - "&amp;Centro_Cuenta8[[#This Row],[Nombre de Cuenta Contable]]</f>
        <v>4105001 - Costos Generales de Obra</v>
      </c>
      <c r="H3015" s="146" t="str">
        <f>+VLOOKUP(D3015,'3. Cuentas'!A:F,6,0)</f>
        <v>SI</v>
      </c>
    </row>
    <row r="3016" spans="1:8" x14ac:dyDescent="0.25">
      <c r="A3016" s="43">
        <v>296</v>
      </c>
      <c r="B3016" t="s">
        <v>482</v>
      </c>
      <c r="C3016" s="43" t="s">
        <v>482</v>
      </c>
      <c r="D3016" s="43">
        <v>4101001</v>
      </c>
      <c r="E3016" t="s">
        <v>69</v>
      </c>
      <c r="F3016" s="47" t="str">
        <f>+Centro_Cuenta8[[#This Row],[Codigo Centro Gestion]]&amp;" - "&amp;Centro_Cuenta8[[#This Row],[Nombre Centro Gestion]]</f>
        <v>296 - Equipo en Mantención</v>
      </c>
      <c r="G3016" s="47" t="str">
        <f>+Centro_Cuenta8[[#This Row],[Código Cuenta Contable]]&amp;" - "&amp;Centro_Cuenta8[[#This Row],[Nombre de Cuenta Contable]]</f>
        <v>4101001 - Costos Materiales de Obra</v>
      </c>
      <c r="H3016" s="146" t="str">
        <f>+VLOOKUP(D3016,'3. Cuentas'!A:F,6,0)</f>
        <v>SI</v>
      </c>
    </row>
    <row r="3017" spans="1:8" x14ac:dyDescent="0.25">
      <c r="A3017" s="43">
        <v>296</v>
      </c>
      <c r="B3017" t="s">
        <v>482</v>
      </c>
      <c r="C3017" s="43" t="s">
        <v>482</v>
      </c>
      <c r="D3017" s="43">
        <v>4102001</v>
      </c>
      <c r="E3017" t="s">
        <v>152</v>
      </c>
      <c r="F3017" s="47" t="str">
        <f>+Centro_Cuenta8[[#This Row],[Codigo Centro Gestion]]&amp;" - "&amp;Centro_Cuenta8[[#This Row],[Nombre Centro Gestion]]</f>
        <v>296 - Equipo en Mantención</v>
      </c>
      <c r="G3017" s="47" t="str">
        <f>+Centro_Cuenta8[[#This Row],[Código Cuenta Contable]]&amp;" - "&amp;Centro_Cuenta8[[#This Row],[Nombre de Cuenta Contable]]</f>
        <v>4102001 - Costos Subcontratos</v>
      </c>
      <c r="H3017" s="146" t="str">
        <f>+VLOOKUP(D3017,'3. Cuentas'!A:F,6,0)</f>
        <v>SI</v>
      </c>
    </row>
    <row r="3018" spans="1:8" x14ac:dyDescent="0.25">
      <c r="A3018" s="43">
        <v>296</v>
      </c>
      <c r="B3018" t="s">
        <v>482</v>
      </c>
      <c r="C3018" s="43" t="s">
        <v>482</v>
      </c>
      <c r="D3018" s="43">
        <v>4103001</v>
      </c>
      <c r="E3018" t="s">
        <v>223</v>
      </c>
      <c r="F3018" s="47" t="str">
        <f>+Centro_Cuenta8[[#This Row],[Codigo Centro Gestion]]&amp;" - "&amp;Centro_Cuenta8[[#This Row],[Nombre Centro Gestion]]</f>
        <v>296 - Equipo en Mantención</v>
      </c>
      <c r="G3018" s="47" t="str">
        <f>+Centro_Cuenta8[[#This Row],[Código Cuenta Contable]]&amp;" - "&amp;Centro_Cuenta8[[#This Row],[Nombre de Cuenta Contable]]</f>
        <v>4103001 - Costos Maquinarias y Equipos</v>
      </c>
      <c r="H3018" s="146" t="str">
        <f>+VLOOKUP(D3018,'3. Cuentas'!A:F,6,0)</f>
        <v>SI</v>
      </c>
    </row>
    <row r="3019" spans="1:8" x14ac:dyDescent="0.25">
      <c r="A3019" s="43">
        <v>296</v>
      </c>
      <c r="B3019" t="s">
        <v>482</v>
      </c>
      <c r="C3019" s="43" t="s">
        <v>482</v>
      </c>
      <c r="D3019" s="43">
        <v>4105001</v>
      </c>
      <c r="E3019" t="s">
        <v>70</v>
      </c>
      <c r="F3019" s="47" t="str">
        <f>+Centro_Cuenta8[[#This Row],[Codigo Centro Gestion]]&amp;" - "&amp;Centro_Cuenta8[[#This Row],[Nombre Centro Gestion]]</f>
        <v>296 - Equipo en Mantención</v>
      </c>
      <c r="G3019" s="47" t="str">
        <f>+Centro_Cuenta8[[#This Row],[Código Cuenta Contable]]&amp;" - "&amp;Centro_Cuenta8[[#This Row],[Nombre de Cuenta Contable]]</f>
        <v>4105001 - Costos Generales de Obra</v>
      </c>
      <c r="H3019" s="146" t="str">
        <f>+VLOOKUP(D3019,'3. Cuentas'!A:F,6,0)</f>
        <v>SI</v>
      </c>
    </row>
    <row r="3020" spans="1:8" x14ac:dyDescent="0.25">
      <c r="A3020" s="43">
        <v>297</v>
      </c>
      <c r="B3020" t="s">
        <v>483</v>
      </c>
      <c r="C3020" s="43" t="s">
        <v>65</v>
      </c>
      <c r="D3020" s="43">
        <v>4101001</v>
      </c>
      <c r="E3020" t="s">
        <v>69</v>
      </c>
      <c r="F3020" s="47" t="str">
        <f>+Centro_Cuenta8[[#This Row],[Codigo Centro Gestion]]&amp;" - "&amp;Centro_Cuenta8[[#This Row],[Nombre Centro Gestion]]</f>
        <v>297 - ADELANTO DE OBRA</v>
      </c>
      <c r="G3020" s="47" t="str">
        <f>+Centro_Cuenta8[[#This Row],[Código Cuenta Contable]]&amp;" - "&amp;Centro_Cuenta8[[#This Row],[Nombre de Cuenta Contable]]</f>
        <v>4101001 - Costos Materiales de Obra</v>
      </c>
      <c r="H3020" s="146" t="str">
        <f>+VLOOKUP(D3020,'3. Cuentas'!A:F,6,0)</f>
        <v>SI</v>
      </c>
    </row>
    <row r="3021" spans="1:8" x14ac:dyDescent="0.25">
      <c r="A3021" s="43">
        <v>297</v>
      </c>
      <c r="B3021" t="s">
        <v>483</v>
      </c>
      <c r="C3021" s="43" t="s">
        <v>65</v>
      </c>
      <c r="D3021" s="43">
        <v>4102001</v>
      </c>
      <c r="E3021" t="s">
        <v>152</v>
      </c>
      <c r="F3021" s="47" t="str">
        <f>+Centro_Cuenta8[[#This Row],[Codigo Centro Gestion]]&amp;" - "&amp;Centro_Cuenta8[[#This Row],[Nombre Centro Gestion]]</f>
        <v>297 - ADELANTO DE OBRA</v>
      </c>
      <c r="G3021" s="47" t="str">
        <f>+Centro_Cuenta8[[#This Row],[Código Cuenta Contable]]&amp;" - "&amp;Centro_Cuenta8[[#This Row],[Nombre de Cuenta Contable]]</f>
        <v>4102001 - Costos Subcontratos</v>
      </c>
      <c r="H3021" s="146" t="str">
        <f>+VLOOKUP(D3021,'3. Cuentas'!A:F,6,0)</f>
        <v>SI</v>
      </c>
    </row>
    <row r="3022" spans="1:8" x14ac:dyDescent="0.25">
      <c r="A3022" s="43">
        <v>297</v>
      </c>
      <c r="B3022" t="s">
        <v>483</v>
      </c>
      <c r="C3022" s="43" t="s">
        <v>65</v>
      </c>
      <c r="D3022" s="43">
        <v>4103001</v>
      </c>
      <c r="E3022" t="s">
        <v>223</v>
      </c>
      <c r="F3022" s="47" t="str">
        <f>+Centro_Cuenta8[[#This Row],[Codigo Centro Gestion]]&amp;" - "&amp;Centro_Cuenta8[[#This Row],[Nombre Centro Gestion]]</f>
        <v>297 - ADELANTO DE OBRA</v>
      </c>
      <c r="G3022" s="47" t="str">
        <f>+Centro_Cuenta8[[#This Row],[Código Cuenta Contable]]&amp;" - "&amp;Centro_Cuenta8[[#This Row],[Nombre de Cuenta Contable]]</f>
        <v>4103001 - Costos Maquinarias y Equipos</v>
      </c>
      <c r="H3022" s="146" t="str">
        <f>+VLOOKUP(D3022,'3. Cuentas'!A:F,6,0)</f>
        <v>SI</v>
      </c>
    </row>
    <row r="3023" spans="1:8" x14ac:dyDescent="0.25">
      <c r="A3023" s="43">
        <v>297</v>
      </c>
      <c r="B3023" t="s">
        <v>483</v>
      </c>
      <c r="C3023" s="43" t="s">
        <v>65</v>
      </c>
      <c r="D3023" s="43">
        <v>4105001</v>
      </c>
      <c r="E3023" t="s">
        <v>70</v>
      </c>
      <c r="F3023" s="47" t="str">
        <f>+Centro_Cuenta8[[#This Row],[Codigo Centro Gestion]]&amp;" - "&amp;Centro_Cuenta8[[#This Row],[Nombre Centro Gestion]]</f>
        <v>297 - ADELANTO DE OBRA</v>
      </c>
      <c r="G3023" s="47" t="str">
        <f>+Centro_Cuenta8[[#This Row],[Código Cuenta Contable]]&amp;" - "&amp;Centro_Cuenta8[[#This Row],[Nombre de Cuenta Contable]]</f>
        <v>4105001 - Costos Generales de Obra</v>
      </c>
      <c r="H3023" s="146" t="str">
        <f>+VLOOKUP(D3023,'3. Cuentas'!A:F,6,0)</f>
        <v>SI</v>
      </c>
    </row>
    <row r="3024" spans="1:8" x14ac:dyDescent="0.25">
      <c r="A3024" s="43">
        <v>301</v>
      </c>
      <c r="B3024" t="s">
        <v>1370</v>
      </c>
      <c r="C3024" s="43" t="s">
        <v>65</v>
      </c>
      <c r="D3024" s="43">
        <v>4101001</v>
      </c>
      <c r="E3024" t="s">
        <v>69</v>
      </c>
      <c r="F3024" s="47" t="str">
        <f>+Centro_Cuenta8[[#This Row],[Codigo Centro Gestion]]&amp;" - "&amp;Centro_Cuenta8[[#This Row],[Nombre Centro Gestion]]</f>
        <v>301 - Condominio Jorge Cáceres Etapa 2</v>
      </c>
      <c r="G3024" s="47" t="str">
        <f>+Centro_Cuenta8[[#This Row],[Código Cuenta Contable]]&amp;" - "&amp;Centro_Cuenta8[[#This Row],[Nombre de Cuenta Contable]]</f>
        <v>4101001 - Costos Materiales de Obra</v>
      </c>
      <c r="H3024" s="146" t="str">
        <f>+VLOOKUP(D3024,'3. Cuentas'!A:F,6,0)</f>
        <v>SI</v>
      </c>
    </row>
    <row r="3025" spans="1:8" x14ac:dyDescent="0.25">
      <c r="A3025" s="43">
        <v>301</v>
      </c>
      <c r="B3025" t="s">
        <v>1370</v>
      </c>
      <c r="C3025" s="43" t="s">
        <v>65</v>
      </c>
      <c r="D3025" s="43">
        <v>4102001</v>
      </c>
      <c r="E3025" t="s">
        <v>152</v>
      </c>
      <c r="F3025" s="47" t="str">
        <f>+Centro_Cuenta8[[#This Row],[Codigo Centro Gestion]]&amp;" - "&amp;Centro_Cuenta8[[#This Row],[Nombre Centro Gestion]]</f>
        <v>301 - Condominio Jorge Cáceres Etapa 2</v>
      </c>
      <c r="G3025" s="47" t="str">
        <f>+Centro_Cuenta8[[#This Row],[Código Cuenta Contable]]&amp;" - "&amp;Centro_Cuenta8[[#This Row],[Nombre de Cuenta Contable]]</f>
        <v>4102001 - Costos Subcontratos</v>
      </c>
      <c r="H3025" s="146" t="str">
        <f>+VLOOKUP(D3025,'3. Cuentas'!A:F,6,0)</f>
        <v>SI</v>
      </c>
    </row>
    <row r="3026" spans="1:8" x14ac:dyDescent="0.25">
      <c r="A3026" s="43">
        <v>301</v>
      </c>
      <c r="B3026" t="s">
        <v>1370</v>
      </c>
      <c r="C3026" s="43" t="s">
        <v>65</v>
      </c>
      <c r="D3026" s="43">
        <v>4103001</v>
      </c>
      <c r="E3026" t="s">
        <v>223</v>
      </c>
      <c r="F3026" s="47" t="str">
        <f>+Centro_Cuenta8[[#This Row],[Codigo Centro Gestion]]&amp;" - "&amp;Centro_Cuenta8[[#This Row],[Nombre Centro Gestion]]</f>
        <v>301 - Condominio Jorge Cáceres Etapa 2</v>
      </c>
      <c r="G3026" s="47" t="str">
        <f>+Centro_Cuenta8[[#This Row],[Código Cuenta Contable]]&amp;" - "&amp;Centro_Cuenta8[[#This Row],[Nombre de Cuenta Contable]]</f>
        <v>4103001 - Costos Maquinarias y Equipos</v>
      </c>
      <c r="H3026" s="146" t="str">
        <f>+VLOOKUP(D3026,'3. Cuentas'!A:F,6,0)</f>
        <v>SI</v>
      </c>
    </row>
    <row r="3027" spans="1:8" x14ac:dyDescent="0.25">
      <c r="A3027" s="43">
        <v>301</v>
      </c>
      <c r="B3027" t="s">
        <v>1370</v>
      </c>
      <c r="C3027" s="43" t="s">
        <v>65</v>
      </c>
      <c r="D3027" s="43">
        <v>4105001</v>
      </c>
      <c r="E3027" t="s">
        <v>70</v>
      </c>
      <c r="F3027" s="47" t="str">
        <f>+Centro_Cuenta8[[#This Row],[Codigo Centro Gestion]]&amp;" - "&amp;Centro_Cuenta8[[#This Row],[Nombre Centro Gestion]]</f>
        <v>301 - Condominio Jorge Cáceres Etapa 2</v>
      </c>
      <c r="G3027" s="47" t="str">
        <f>+Centro_Cuenta8[[#This Row],[Código Cuenta Contable]]&amp;" - "&amp;Centro_Cuenta8[[#This Row],[Nombre de Cuenta Contable]]</f>
        <v>4105001 - Costos Generales de Obra</v>
      </c>
      <c r="H3027" s="146" t="str">
        <f>+VLOOKUP(D3027,'3. Cuentas'!A:F,6,0)</f>
        <v>SI</v>
      </c>
    </row>
    <row r="3028" spans="1:8" x14ac:dyDescent="0.25">
      <c r="A3028" s="43">
        <v>303</v>
      </c>
      <c r="B3028" t="s">
        <v>484</v>
      </c>
      <c r="C3028" s="43" t="s">
        <v>65</v>
      </c>
      <c r="D3028" s="43">
        <v>4101001</v>
      </c>
      <c r="E3028" t="s">
        <v>69</v>
      </c>
      <c r="F3028" s="47" t="str">
        <f>+Centro_Cuenta8[[#This Row],[Codigo Centro Gestion]]&amp;" - "&amp;Centro_Cuenta8[[#This Row],[Nombre Centro Gestion]]</f>
        <v>303 - Condominio Palmas del Sur II</v>
      </c>
      <c r="G3028" s="47" t="str">
        <f>+Centro_Cuenta8[[#This Row],[Código Cuenta Contable]]&amp;" - "&amp;Centro_Cuenta8[[#This Row],[Nombre de Cuenta Contable]]</f>
        <v>4101001 - Costos Materiales de Obra</v>
      </c>
      <c r="H3028" s="146" t="str">
        <f>+VLOOKUP(D3028,'3. Cuentas'!A:F,6,0)</f>
        <v>SI</v>
      </c>
    </row>
    <row r="3029" spans="1:8" x14ac:dyDescent="0.25">
      <c r="A3029" s="43">
        <v>303</v>
      </c>
      <c r="B3029" t="s">
        <v>484</v>
      </c>
      <c r="C3029" s="43" t="s">
        <v>65</v>
      </c>
      <c r="D3029" s="43">
        <v>4102001</v>
      </c>
      <c r="E3029" t="s">
        <v>152</v>
      </c>
      <c r="F3029" s="47" t="str">
        <f>+Centro_Cuenta8[[#This Row],[Codigo Centro Gestion]]&amp;" - "&amp;Centro_Cuenta8[[#This Row],[Nombre Centro Gestion]]</f>
        <v>303 - Condominio Palmas del Sur II</v>
      </c>
      <c r="G3029" s="47" t="str">
        <f>+Centro_Cuenta8[[#This Row],[Código Cuenta Contable]]&amp;" - "&amp;Centro_Cuenta8[[#This Row],[Nombre de Cuenta Contable]]</f>
        <v>4102001 - Costos Subcontratos</v>
      </c>
      <c r="H3029" s="146" t="str">
        <f>+VLOOKUP(D3029,'3. Cuentas'!A:F,6,0)</f>
        <v>SI</v>
      </c>
    </row>
    <row r="3030" spans="1:8" x14ac:dyDescent="0.25">
      <c r="A3030" s="43">
        <v>303</v>
      </c>
      <c r="B3030" t="s">
        <v>484</v>
      </c>
      <c r="C3030" s="43" t="s">
        <v>65</v>
      </c>
      <c r="D3030" s="43">
        <v>4103001</v>
      </c>
      <c r="E3030" t="s">
        <v>223</v>
      </c>
      <c r="F3030" s="47" t="str">
        <f>+Centro_Cuenta8[[#This Row],[Codigo Centro Gestion]]&amp;" - "&amp;Centro_Cuenta8[[#This Row],[Nombre Centro Gestion]]</f>
        <v>303 - Condominio Palmas del Sur II</v>
      </c>
      <c r="G3030" s="47" t="str">
        <f>+Centro_Cuenta8[[#This Row],[Código Cuenta Contable]]&amp;" - "&amp;Centro_Cuenta8[[#This Row],[Nombre de Cuenta Contable]]</f>
        <v>4103001 - Costos Maquinarias y Equipos</v>
      </c>
      <c r="H3030" s="146" t="str">
        <f>+VLOOKUP(D3030,'3. Cuentas'!A:F,6,0)</f>
        <v>SI</v>
      </c>
    </row>
    <row r="3031" spans="1:8" x14ac:dyDescent="0.25">
      <c r="A3031" s="43">
        <v>303</v>
      </c>
      <c r="B3031" t="s">
        <v>484</v>
      </c>
      <c r="C3031" s="43" t="s">
        <v>65</v>
      </c>
      <c r="D3031" s="43">
        <v>4105001</v>
      </c>
      <c r="E3031" t="s">
        <v>70</v>
      </c>
      <c r="F3031" s="47" t="str">
        <f>+Centro_Cuenta8[[#This Row],[Codigo Centro Gestion]]&amp;" - "&amp;Centro_Cuenta8[[#This Row],[Nombre Centro Gestion]]</f>
        <v>303 - Condominio Palmas del Sur II</v>
      </c>
      <c r="G3031" s="47" t="str">
        <f>+Centro_Cuenta8[[#This Row],[Código Cuenta Contable]]&amp;" - "&amp;Centro_Cuenta8[[#This Row],[Nombre de Cuenta Contable]]</f>
        <v>4105001 - Costos Generales de Obra</v>
      </c>
      <c r="H3031" s="146" t="str">
        <f>+VLOOKUP(D3031,'3. Cuentas'!A:F,6,0)</f>
        <v>SI</v>
      </c>
    </row>
    <row r="3032" spans="1:8" x14ac:dyDescent="0.25">
      <c r="A3032" s="43">
        <v>304</v>
      </c>
      <c r="B3032" t="s">
        <v>485</v>
      </c>
      <c r="C3032" s="43" t="s">
        <v>65</v>
      </c>
      <c r="D3032" s="43">
        <v>4101001</v>
      </c>
      <c r="E3032" t="s">
        <v>69</v>
      </c>
      <c r="F3032" s="47" t="str">
        <f>+Centro_Cuenta8[[#This Row],[Codigo Centro Gestion]]&amp;" - "&amp;Centro_Cuenta8[[#This Row],[Nombre Centro Gestion]]</f>
        <v>304 - Blanca Estela I Torre A y B</v>
      </c>
      <c r="G3032" s="47" t="str">
        <f>+Centro_Cuenta8[[#This Row],[Código Cuenta Contable]]&amp;" - "&amp;Centro_Cuenta8[[#This Row],[Nombre de Cuenta Contable]]</f>
        <v>4101001 - Costos Materiales de Obra</v>
      </c>
      <c r="H3032" s="146" t="str">
        <f>+VLOOKUP(D3032,'3. Cuentas'!A:F,6,0)</f>
        <v>SI</v>
      </c>
    </row>
    <row r="3033" spans="1:8" x14ac:dyDescent="0.25">
      <c r="A3033" s="43">
        <v>304</v>
      </c>
      <c r="B3033" t="s">
        <v>485</v>
      </c>
      <c r="C3033" s="43" t="s">
        <v>65</v>
      </c>
      <c r="D3033" s="43">
        <v>4102001</v>
      </c>
      <c r="E3033" t="s">
        <v>152</v>
      </c>
      <c r="F3033" s="47" t="str">
        <f>+Centro_Cuenta8[[#This Row],[Codigo Centro Gestion]]&amp;" - "&amp;Centro_Cuenta8[[#This Row],[Nombre Centro Gestion]]</f>
        <v>304 - Blanca Estela I Torre A y B</v>
      </c>
      <c r="G3033" s="47" t="str">
        <f>+Centro_Cuenta8[[#This Row],[Código Cuenta Contable]]&amp;" - "&amp;Centro_Cuenta8[[#This Row],[Nombre de Cuenta Contable]]</f>
        <v>4102001 - Costos Subcontratos</v>
      </c>
      <c r="H3033" s="146" t="str">
        <f>+VLOOKUP(D3033,'3. Cuentas'!A:F,6,0)</f>
        <v>SI</v>
      </c>
    </row>
    <row r="3034" spans="1:8" x14ac:dyDescent="0.25">
      <c r="A3034" s="43">
        <v>304</v>
      </c>
      <c r="B3034" t="s">
        <v>485</v>
      </c>
      <c r="C3034" s="43" t="s">
        <v>65</v>
      </c>
      <c r="D3034" s="43">
        <v>4103001</v>
      </c>
      <c r="E3034" t="s">
        <v>223</v>
      </c>
      <c r="F3034" s="47" t="str">
        <f>+Centro_Cuenta8[[#This Row],[Codigo Centro Gestion]]&amp;" - "&amp;Centro_Cuenta8[[#This Row],[Nombre Centro Gestion]]</f>
        <v>304 - Blanca Estela I Torre A y B</v>
      </c>
      <c r="G3034" s="47" t="str">
        <f>+Centro_Cuenta8[[#This Row],[Código Cuenta Contable]]&amp;" - "&amp;Centro_Cuenta8[[#This Row],[Nombre de Cuenta Contable]]</f>
        <v>4103001 - Costos Maquinarias y Equipos</v>
      </c>
      <c r="H3034" s="146" t="str">
        <f>+VLOOKUP(D3034,'3. Cuentas'!A:F,6,0)</f>
        <v>SI</v>
      </c>
    </row>
    <row r="3035" spans="1:8" x14ac:dyDescent="0.25">
      <c r="A3035" s="43">
        <v>304</v>
      </c>
      <c r="B3035" t="s">
        <v>485</v>
      </c>
      <c r="C3035" s="43" t="s">
        <v>65</v>
      </c>
      <c r="D3035" s="43">
        <v>4105001</v>
      </c>
      <c r="E3035" t="s">
        <v>70</v>
      </c>
      <c r="F3035" s="47" t="str">
        <f>+Centro_Cuenta8[[#This Row],[Codigo Centro Gestion]]&amp;" - "&amp;Centro_Cuenta8[[#This Row],[Nombre Centro Gestion]]</f>
        <v>304 - Blanca Estela I Torre A y B</v>
      </c>
      <c r="G3035" s="47" t="str">
        <f>+Centro_Cuenta8[[#This Row],[Código Cuenta Contable]]&amp;" - "&amp;Centro_Cuenta8[[#This Row],[Nombre de Cuenta Contable]]</f>
        <v>4105001 - Costos Generales de Obra</v>
      </c>
      <c r="H3035" s="146" t="str">
        <f>+VLOOKUP(D3035,'3. Cuentas'!A:F,6,0)</f>
        <v>SI</v>
      </c>
    </row>
    <row r="3036" spans="1:8" x14ac:dyDescent="0.25">
      <c r="A3036" s="43">
        <v>305</v>
      </c>
      <c r="B3036" t="s">
        <v>486</v>
      </c>
      <c r="C3036" s="43" t="s">
        <v>65</v>
      </c>
      <c r="D3036" s="43">
        <v>4101001</v>
      </c>
      <c r="E3036" t="s">
        <v>69</v>
      </c>
      <c r="F3036" s="47" t="str">
        <f>+Centro_Cuenta8[[#This Row],[Codigo Centro Gestion]]&amp;" - "&amp;Centro_Cuenta8[[#This Row],[Nombre Centro Gestion]]</f>
        <v>305 - Condominio Parque Del Sur Torre A</v>
      </c>
      <c r="G3036" s="47" t="str">
        <f>+Centro_Cuenta8[[#This Row],[Código Cuenta Contable]]&amp;" - "&amp;Centro_Cuenta8[[#This Row],[Nombre de Cuenta Contable]]</f>
        <v>4101001 - Costos Materiales de Obra</v>
      </c>
      <c r="H3036" s="146" t="str">
        <f>+VLOOKUP(D3036,'3. Cuentas'!A:F,6,0)</f>
        <v>SI</v>
      </c>
    </row>
    <row r="3037" spans="1:8" x14ac:dyDescent="0.25">
      <c r="A3037" s="43">
        <v>305</v>
      </c>
      <c r="B3037" t="s">
        <v>486</v>
      </c>
      <c r="C3037" s="43" t="s">
        <v>65</v>
      </c>
      <c r="D3037" s="43">
        <v>4102001</v>
      </c>
      <c r="E3037" t="s">
        <v>152</v>
      </c>
      <c r="F3037" s="47" t="str">
        <f>+Centro_Cuenta8[[#This Row],[Codigo Centro Gestion]]&amp;" - "&amp;Centro_Cuenta8[[#This Row],[Nombre Centro Gestion]]</f>
        <v>305 - Condominio Parque Del Sur Torre A</v>
      </c>
      <c r="G3037" s="47" t="str">
        <f>+Centro_Cuenta8[[#This Row],[Código Cuenta Contable]]&amp;" - "&amp;Centro_Cuenta8[[#This Row],[Nombre de Cuenta Contable]]</f>
        <v>4102001 - Costos Subcontratos</v>
      </c>
      <c r="H3037" s="146" t="str">
        <f>+VLOOKUP(D3037,'3. Cuentas'!A:F,6,0)</f>
        <v>SI</v>
      </c>
    </row>
    <row r="3038" spans="1:8" x14ac:dyDescent="0.25">
      <c r="A3038" s="43">
        <v>305</v>
      </c>
      <c r="B3038" t="s">
        <v>486</v>
      </c>
      <c r="C3038" s="43" t="s">
        <v>65</v>
      </c>
      <c r="D3038" s="43">
        <v>4103001</v>
      </c>
      <c r="E3038" t="s">
        <v>223</v>
      </c>
      <c r="F3038" s="47" t="str">
        <f>+Centro_Cuenta8[[#This Row],[Codigo Centro Gestion]]&amp;" - "&amp;Centro_Cuenta8[[#This Row],[Nombre Centro Gestion]]</f>
        <v>305 - Condominio Parque Del Sur Torre A</v>
      </c>
      <c r="G3038" s="47" t="str">
        <f>+Centro_Cuenta8[[#This Row],[Código Cuenta Contable]]&amp;" - "&amp;Centro_Cuenta8[[#This Row],[Nombre de Cuenta Contable]]</f>
        <v>4103001 - Costos Maquinarias y Equipos</v>
      </c>
      <c r="H3038" s="146" t="str">
        <f>+VLOOKUP(D3038,'3. Cuentas'!A:F,6,0)</f>
        <v>SI</v>
      </c>
    </row>
    <row r="3039" spans="1:8" x14ac:dyDescent="0.25">
      <c r="A3039" s="43">
        <v>305</v>
      </c>
      <c r="B3039" t="s">
        <v>486</v>
      </c>
      <c r="C3039" s="43" t="s">
        <v>65</v>
      </c>
      <c r="D3039" s="43">
        <v>4105001</v>
      </c>
      <c r="E3039" t="s">
        <v>70</v>
      </c>
      <c r="F3039" s="47" t="str">
        <f>+Centro_Cuenta8[[#This Row],[Codigo Centro Gestion]]&amp;" - "&amp;Centro_Cuenta8[[#This Row],[Nombre Centro Gestion]]</f>
        <v>305 - Condominio Parque Del Sur Torre A</v>
      </c>
      <c r="G3039" s="47" t="str">
        <f>+Centro_Cuenta8[[#This Row],[Código Cuenta Contable]]&amp;" - "&amp;Centro_Cuenta8[[#This Row],[Nombre de Cuenta Contable]]</f>
        <v>4105001 - Costos Generales de Obra</v>
      </c>
      <c r="H3039" s="146" t="str">
        <f>+VLOOKUP(D3039,'3. Cuentas'!A:F,6,0)</f>
        <v>SI</v>
      </c>
    </row>
    <row r="3040" spans="1:8" x14ac:dyDescent="0.25">
      <c r="A3040" s="43">
        <v>306</v>
      </c>
      <c r="B3040" t="s">
        <v>487</v>
      </c>
      <c r="C3040" s="43" t="s">
        <v>65</v>
      </c>
      <c r="D3040" s="43">
        <v>4101001</v>
      </c>
      <c r="E3040" t="s">
        <v>69</v>
      </c>
      <c r="F3040" s="47" t="str">
        <f>+Centro_Cuenta8[[#This Row],[Codigo Centro Gestion]]&amp;" - "&amp;Centro_Cuenta8[[#This Row],[Nombre Centro Gestion]]</f>
        <v>306 - Edificio Latorre</v>
      </c>
      <c r="G3040" s="47" t="str">
        <f>+Centro_Cuenta8[[#This Row],[Código Cuenta Contable]]&amp;" - "&amp;Centro_Cuenta8[[#This Row],[Nombre de Cuenta Contable]]</f>
        <v>4101001 - Costos Materiales de Obra</v>
      </c>
      <c r="H3040" s="146" t="str">
        <f>+VLOOKUP(D3040,'3. Cuentas'!A:F,6,0)</f>
        <v>SI</v>
      </c>
    </row>
    <row r="3041" spans="1:8" x14ac:dyDescent="0.25">
      <c r="A3041" s="43">
        <v>306</v>
      </c>
      <c r="B3041" t="s">
        <v>487</v>
      </c>
      <c r="C3041" s="43" t="s">
        <v>65</v>
      </c>
      <c r="D3041" s="43">
        <v>4102001</v>
      </c>
      <c r="E3041" t="s">
        <v>152</v>
      </c>
      <c r="F3041" s="47" t="str">
        <f>+Centro_Cuenta8[[#This Row],[Codigo Centro Gestion]]&amp;" - "&amp;Centro_Cuenta8[[#This Row],[Nombre Centro Gestion]]</f>
        <v>306 - Edificio Latorre</v>
      </c>
      <c r="G3041" s="47" t="str">
        <f>+Centro_Cuenta8[[#This Row],[Código Cuenta Contable]]&amp;" - "&amp;Centro_Cuenta8[[#This Row],[Nombre de Cuenta Contable]]</f>
        <v>4102001 - Costos Subcontratos</v>
      </c>
      <c r="H3041" s="146" t="str">
        <f>+VLOOKUP(D3041,'3. Cuentas'!A:F,6,0)</f>
        <v>SI</v>
      </c>
    </row>
    <row r="3042" spans="1:8" x14ac:dyDescent="0.25">
      <c r="A3042" s="43">
        <v>306</v>
      </c>
      <c r="B3042" t="s">
        <v>487</v>
      </c>
      <c r="C3042" s="43" t="s">
        <v>65</v>
      </c>
      <c r="D3042" s="43">
        <v>4103001</v>
      </c>
      <c r="E3042" t="s">
        <v>223</v>
      </c>
      <c r="F3042" s="47" t="str">
        <f>+Centro_Cuenta8[[#This Row],[Codigo Centro Gestion]]&amp;" - "&amp;Centro_Cuenta8[[#This Row],[Nombre Centro Gestion]]</f>
        <v>306 - Edificio Latorre</v>
      </c>
      <c r="G3042" s="47" t="str">
        <f>+Centro_Cuenta8[[#This Row],[Código Cuenta Contable]]&amp;" - "&amp;Centro_Cuenta8[[#This Row],[Nombre de Cuenta Contable]]</f>
        <v>4103001 - Costos Maquinarias y Equipos</v>
      </c>
      <c r="H3042" s="146" t="str">
        <f>+VLOOKUP(D3042,'3. Cuentas'!A:F,6,0)</f>
        <v>SI</v>
      </c>
    </row>
    <row r="3043" spans="1:8" x14ac:dyDescent="0.25">
      <c r="A3043" s="43">
        <v>306</v>
      </c>
      <c r="B3043" t="s">
        <v>487</v>
      </c>
      <c r="C3043" s="43" t="s">
        <v>65</v>
      </c>
      <c r="D3043" s="43">
        <v>4105001</v>
      </c>
      <c r="E3043" t="s">
        <v>70</v>
      </c>
      <c r="F3043" s="47" t="str">
        <f>+Centro_Cuenta8[[#This Row],[Codigo Centro Gestion]]&amp;" - "&amp;Centro_Cuenta8[[#This Row],[Nombre Centro Gestion]]</f>
        <v>306 - Edificio Latorre</v>
      </c>
      <c r="G3043" s="47" t="str">
        <f>+Centro_Cuenta8[[#This Row],[Código Cuenta Contable]]&amp;" - "&amp;Centro_Cuenta8[[#This Row],[Nombre de Cuenta Contable]]</f>
        <v>4105001 - Costos Generales de Obra</v>
      </c>
      <c r="H3043" s="146" t="str">
        <f>+VLOOKUP(D3043,'3. Cuentas'!A:F,6,0)</f>
        <v>SI</v>
      </c>
    </row>
    <row r="3044" spans="1:8" x14ac:dyDescent="0.25">
      <c r="A3044" s="43">
        <v>307</v>
      </c>
      <c r="B3044" t="s">
        <v>488</v>
      </c>
      <c r="C3044" s="43" t="s">
        <v>65</v>
      </c>
      <c r="D3044" s="43">
        <v>4101001</v>
      </c>
      <c r="E3044" t="s">
        <v>69</v>
      </c>
      <c r="F3044" s="47" t="str">
        <f>+Centro_Cuenta8[[#This Row],[Codigo Centro Gestion]]&amp;" - "&amp;Centro_Cuenta8[[#This Row],[Nombre Centro Gestion]]</f>
        <v>307 - El Yodo</v>
      </c>
      <c r="G3044" s="47" t="str">
        <f>+Centro_Cuenta8[[#This Row],[Código Cuenta Contable]]&amp;" - "&amp;Centro_Cuenta8[[#This Row],[Nombre de Cuenta Contable]]</f>
        <v>4101001 - Costos Materiales de Obra</v>
      </c>
      <c r="H3044" s="146" t="str">
        <f>+VLOOKUP(D3044,'3. Cuentas'!A:F,6,0)</f>
        <v>SI</v>
      </c>
    </row>
    <row r="3045" spans="1:8" x14ac:dyDescent="0.25">
      <c r="A3045" s="43">
        <v>307</v>
      </c>
      <c r="B3045" t="s">
        <v>488</v>
      </c>
      <c r="C3045" s="43" t="s">
        <v>65</v>
      </c>
      <c r="D3045" s="43">
        <v>4102001</v>
      </c>
      <c r="E3045" t="s">
        <v>152</v>
      </c>
      <c r="F3045" s="47" t="str">
        <f>+Centro_Cuenta8[[#This Row],[Codigo Centro Gestion]]&amp;" - "&amp;Centro_Cuenta8[[#This Row],[Nombre Centro Gestion]]</f>
        <v>307 - El Yodo</v>
      </c>
      <c r="G3045" s="47" t="str">
        <f>+Centro_Cuenta8[[#This Row],[Código Cuenta Contable]]&amp;" - "&amp;Centro_Cuenta8[[#This Row],[Nombre de Cuenta Contable]]</f>
        <v>4102001 - Costos Subcontratos</v>
      </c>
      <c r="H3045" s="146" t="str">
        <f>+VLOOKUP(D3045,'3. Cuentas'!A:F,6,0)</f>
        <v>SI</v>
      </c>
    </row>
    <row r="3046" spans="1:8" x14ac:dyDescent="0.25">
      <c r="A3046" s="43">
        <v>307</v>
      </c>
      <c r="B3046" t="s">
        <v>488</v>
      </c>
      <c r="C3046" s="43" t="s">
        <v>65</v>
      </c>
      <c r="D3046" s="43">
        <v>4103001</v>
      </c>
      <c r="E3046" t="s">
        <v>223</v>
      </c>
      <c r="F3046" s="47" t="str">
        <f>+Centro_Cuenta8[[#This Row],[Codigo Centro Gestion]]&amp;" - "&amp;Centro_Cuenta8[[#This Row],[Nombre Centro Gestion]]</f>
        <v>307 - El Yodo</v>
      </c>
      <c r="G3046" s="47" t="str">
        <f>+Centro_Cuenta8[[#This Row],[Código Cuenta Contable]]&amp;" - "&amp;Centro_Cuenta8[[#This Row],[Nombre de Cuenta Contable]]</f>
        <v>4103001 - Costos Maquinarias y Equipos</v>
      </c>
      <c r="H3046" s="146" t="str">
        <f>+VLOOKUP(D3046,'3. Cuentas'!A:F,6,0)</f>
        <v>SI</v>
      </c>
    </row>
    <row r="3047" spans="1:8" x14ac:dyDescent="0.25">
      <c r="A3047" s="43">
        <v>307</v>
      </c>
      <c r="B3047" t="s">
        <v>488</v>
      </c>
      <c r="C3047" s="43" t="s">
        <v>65</v>
      </c>
      <c r="D3047" s="43">
        <v>4105001</v>
      </c>
      <c r="E3047" t="s">
        <v>70</v>
      </c>
      <c r="F3047" s="47" t="str">
        <f>+Centro_Cuenta8[[#This Row],[Codigo Centro Gestion]]&amp;" - "&amp;Centro_Cuenta8[[#This Row],[Nombre Centro Gestion]]</f>
        <v>307 - El Yodo</v>
      </c>
      <c r="G3047" s="47" t="str">
        <f>+Centro_Cuenta8[[#This Row],[Código Cuenta Contable]]&amp;" - "&amp;Centro_Cuenta8[[#This Row],[Nombre de Cuenta Contable]]</f>
        <v>4105001 - Costos Generales de Obra</v>
      </c>
      <c r="H3047" s="146" t="str">
        <f>+VLOOKUP(D3047,'3. Cuentas'!A:F,6,0)</f>
        <v>SI</v>
      </c>
    </row>
    <row r="3048" spans="1:8" x14ac:dyDescent="0.25">
      <c r="A3048" s="43">
        <v>309</v>
      </c>
      <c r="B3048" t="s">
        <v>489</v>
      </c>
      <c r="C3048" s="43" t="s">
        <v>65</v>
      </c>
      <c r="D3048" s="43">
        <v>4101001</v>
      </c>
      <c r="E3048" t="s">
        <v>69</v>
      </c>
      <c r="F3048" s="47" t="str">
        <f>+Centro_Cuenta8[[#This Row],[Codigo Centro Gestion]]&amp;" - "&amp;Centro_Cuenta8[[#This Row],[Nombre Centro Gestion]]</f>
        <v>309 - Blanca Estela II Torre A y B</v>
      </c>
      <c r="G3048" s="47" t="str">
        <f>+Centro_Cuenta8[[#This Row],[Código Cuenta Contable]]&amp;" - "&amp;Centro_Cuenta8[[#This Row],[Nombre de Cuenta Contable]]</f>
        <v>4101001 - Costos Materiales de Obra</v>
      </c>
      <c r="H3048" s="146" t="str">
        <f>+VLOOKUP(D3048,'3. Cuentas'!A:F,6,0)</f>
        <v>SI</v>
      </c>
    </row>
    <row r="3049" spans="1:8" x14ac:dyDescent="0.25">
      <c r="A3049" s="43">
        <v>309</v>
      </c>
      <c r="B3049" t="s">
        <v>489</v>
      </c>
      <c r="C3049" s="43" t="s">
        <v>65</v>
      </c>
      <c r="D3049" s="43">
        <v>4102001</v>
      </c>
      <c r="E3049" t="s">
        <v>152</v>
      </c>
      <c r="F3049" s="47" t="str">
        <f>+Centro_Cuenta8[[#This Row],[Codigo Centro Gestion]]&amp;" - "&amp;Centro_Cuenta8[[#This Row],[Nombre Centro Gestion]]</f>
        <v>309 - Blanca Estela II Torre A y B</v>
      </c>
      <c r="G3049" s="47" t="str">
        <f>+Centro_Cuenta8[[#This Row],[Código Cuenta Contable]]&amp;" - "&amp;Centro_Cuenta8[[#This Row],[Nombre de Cuenta Contable]]</f>
        <v>4102001 - Costos Subcontratos</v>
      </c>
      <c r="H3049" s="146" t="str">
        <f>+VLOOKUP(D3049,'3. Cuentas'!A:F,6,0)</f>
        <v>SI</v>
      </c>
    </row>
    <row r="3050" spans="1:8" x14ac:dyDescent="0.25">
      <c r="A3050" s="43">
        <v>309</v>
      </c>
      <c r="B3050" t="s">
        <v>489</v>
      </c>
      <c r="C3050" s="43" t="s">
        <v>65</v>
      </c>
      <c r="D3050" s="43">
        <v>4103001</v>
      </c>
      <c r="E3050" t="s">
        <v>223</v>
      </c>
      <c r="F3050" s="47" t="str">
        <f>+Centro_Cuenta8[[#This Row],[Codigo Centro Gestion]]&amp;" - "&amp;Centro_Cuenta8[[#This Row],[Nombre Centro Gestion]]</f>
        <v>309 - Blanca Estela II Torre A y B</v>
      </c>
      <c r="G3050" s="47" t="str">
        <f>+Centro_Cuenta8[[#This Row],[Código Cuenta Contable]]&amp;" - "&amp;Centro_Cuenta8[[#This Row],[Nombre de Cuenta Contable]]</f>
        <v>4103001 - Costos Maquinarias y Equipos</v>
      </c>
      <c r="H3050" s="146" t="str">
        <f>+VLOOKUP(D3050,'3. Cuentas'!A:F,6,0)</f>
        <v>SI</v>
      </c>
    </row>
    <row r="3051" spans="1:8" x14ac:dyDescent="0.25">
      <c r="A3051" s="43">
        <v>309</v>
      </c>
      <c r="B3051" t="s">
        <v>489</v>
      </c>
      <c r="C3051" s="43" t="s">
        <v>65</v>
      </c>
      <c r="D3051" s="43">
        <v>4105001</v>
      </c>
      <c r="E3051" t="s">
        <v>70</v>
      </c>
      <c r="F3051" s="47" t="str">
        <f>+Centro_Cuenta8[[#This Row],[Codigo Centro Gestion]]&amp;" - "&amp;Centro_Cuenta8[[#This Row],[Nombre Centro Gestion]]</f>
        <v>309 - Blanca Estela II Torre A y B</v>
      </c>
      <c r="G3051" s="47" t="str">
        <f>+Centro_Cuenta8[[#This Row],[Código Cuenta Contable]]&amp;" - "&amp;Centro_Cuenta8[[#This Row],[Nombre de Cuenta Contable]]</f>
        <v>4105001 - Costos Generales de Obra</v>
      </c>
      <c r="H3051" s="146" t="str">
        <f>+VLOOKUP(D3051,'3. Cuentas'!A:F,6,0)</f>
        <v>SI</v>
      </c>
    </row>
    <row r="3052" spans="1:8" x14ac:dyDescent="0.25">
      <c r="A3052" s="43">
        <v>313</v>
      </c>
      <c r="B3052" t="s">
        <v>490</v>
      </c>
      <c r="C3052" s="43" t="s">
        <v>65</v>
      </c>
      <c r="D3052" s="43">
        <v>4101001</v>
      </c>
      <c r="E3052" t="s">
        <v>69</v>
      </c>
      <c r="F3052" s="47" t="str">
        <f>+Centro_Cuenta8[[#This Row],[Codigo Centro Gestion]]&amp;" - "&amp;Centro_Cuenta8[[#This Row],[Nombre Centro Gestion]]</f>
        <v>313 - Estacionamientos Proyecto Mirador</v>
      </c>
      <c r="G3052" s="47" t="str">
        <f>+Centro_Cuenta8[[#This Row],[Código Cuenta Contable]]&amp;" - "&amp;Centro_Cuenta8[[#This Row],[Nombre de Cuenta Contable]]</f>
        <v>4101001 - Costos Materiales de Obra</v>
      </c>
      <c r="H3052" s="146" t="str">
        <f>+VLOOKUP(D3052,'3. Cuentas'!A:F,6,0)</f>
        <v>SI</v>
      </c>
    </row>
    <row r="3053" spans="1:8" x14ac:dyDescent="0.25">
      <c r="A3053" s="43">
        <v>313</v>
      </c>
      <c r="B3053" t="s">
        <v>490</v>
      </c>
      <c r="C3053" s="43" t="s">
        <v>65</v>
      </c>
      <c r="D3053" s="43">
        <v>4102001</v>
      </c>
      <c r="E3053" t="s">
        <v>152</v>
      </c>
      <c r="F3053" s="47" t="str">
        <f>+Centro_Cuenta8[[#This Row],[Codigo Centro Gestion]]&amp;" - "&amp;Centro_Cuenta8[[#This Row],[Nombre Centro Gestion]]</f>
        <v>313 - Estacionamientos Proyecto Mirador</v>
      </c>
      <c r="G3053" s="47" t="str">
        <f>+Centro_Cuenta8[[#This Row],[Código Cuenta Contable]]&amp;" - "&amp;Centro_Cuenta8[[#This Row],[Nombre de Cuenta Contable]]</f>
        <v>4102001 - Costos Subcontratos</v>
      </c>
      <c r="H3053" s="146" t="str">
        <f>+VLOOKUP(D3053,'3. Cuentas'!A:F,6,0)</f>
        <v>SI</v>
      </c>
    </row>
    <row r="3054" spans="1:8" x14ac:dyDescent="0.25">
      <c r="A3054" s="43">
        <v>313</v>
      </c>
      <c r="B3054" t="s">
        <v>490</v>
      </c>
      <c r="C3054" s="43" t="s">
        <v>65</v>
      </c>
      <c r="D3054" s="43">
        <v>4103001</v>
      </c>
      <c r="E3054" t="s">
        <v>223</v>
      </c>
      <c r="F3054" s="47" t="str">
        <f>+Centro_Cuenta8[[#This Row],[Codigo Centro Gestion]]&amp;" - "&amp;Centro_Cuenta8[[#This Row],[Nombre Centro Gestion]]</f>
        <v>313 - Estacionamientos Proyecto Mirador</v>
      </c>
      <c r="G3054" s="47" t="str">
        <f>+Centro_Cuenta8[[#This Row],[Código Cuenta Contable]]&amp;" - "&amp;Centro_Cuenta8[[#This Row],[Nombre de Cuenta Contable]]</f>
        <v>4103001 - Costos Maquinarias y Equipos</v>
      </c>
      <c r="H3054" s="146" t="str">
        <f>+VLOOKUP(D3054,'3. Cuentas'!A:F,6,0)</f>
        <v>SI</v>
      </c>
    </row>
    <row r="3055" spans="1:8" x14ac:dyDescent="0.25">
      <c r="A3055" s="43">
        <v>313</v>
      </c>
      <c r="B3055" t="s">
        <v>490</v>
      </c>
      <c r="C3055" s="43" t="s">
        <v>65</v>
      </c>
      <c r="D3055" s="43">
        <v>4105001</v>
      </c>
      <c r="E3055" t="s">
        <v>70</v>
      </c>
      <c r="F3055" s="47" t="str">
        <f>+Centro_Cuenta8[[#This Row],[Codigo Centro Gestion]]&amp;" - "&amp;Centro_Cuenta8[[#This Row],[Nombre Centro Gestion]]</f>
        <v>313 - Estacionamientos Proyecto Mirador</v>
      </c>
      <c r="G3055" s="47" t="str">
        <f>+Centro_Cuenta8[[#This Row],[Código Cuenta Contable]]&amp;" - "&amp;Centro_Cuenta8[[#This Row],[Nombre de Cuenta Contable]]</f>
        <v>4105001 - Costos Generales de Obra</v>
      </c>
      <c r="H3055" s="146" t="str">
        <f>+VLOOKUP(D3055,'3. Cuentas'!A:F,6,0)</f>
        <v>SI</v>
      </c>
    </row>
    <row r="3056" spans="1:8" x14ac:dyDescent="0.25">
      <c r="A3056" s="43">
        <v>352</v>
      </c>
      <c r="B3056" t="s">
        <v>491</v>
      </c>
      <c r="C3056" s="43" t="s">
        <v>65</v>
      </c>
      <c r="D3056" s="43">
        <v>4101001</v>
      </c>
      <c r="E3056" t="s">
        <v>69</v>
      </c>
      <c r="F3056" s="47" t="str">
        <f>+Centro_Cuenta8[[#This Row],[Codigo Centro Gestion]]&amp;" - "&amp;Centro_Cuenta8[[#This Row],[Nombre Centro Gestion]]</f>
        <v>352 - Miraflores Lote 1 Edificio 1</v>
      </c>
      <c r="G3056" s="47" t="str">
        <f>+Centro_Cuenta8[[#This Row],[Código Cuenta Contable]]&amp;" - "&amp;Centro_Cuenta8[[#This Row],[Nombre de Cuenta Contable]]</f>
        <v>4101001 - Costos Materiales de Obra</v>
      </c>
      <c r="H3056" s="146" t="str">
        <f>+VLOOKUP(D3056,'3. Cuentas'!A:F,6,0)</f>
        <v>SI</v>
      </c>
    </row>
    <row r="3057" spans="1:8" x14ac:dyDescent="0.25">
      <c r="A3057" s="43">
        <v>352</v>
      </c>
      <c r="B3057" t="s">
        <v>491</v>
      </c>
      <c r="C3057" s="43" t="s">
        <v>65</v>
      </c>
      <c r="D3057" s="43">
        <v>4102001</v>
      </c>
      <c r="E3057" t="s">
        <v>152</v>
      </c>
      <c r="F3057" s="47" t="str">
        <f>+Centro_Cuenta8[[#This Row],[Codigo Centro Gestion]]&amp;" - "&amp;Centro_Cuenta8[[#This Row],[Nombre Centro Gestion]]</f>
        <v>352 - Miraflores Lote 1 Edificio 1</v>
      </c>
      <c r="G3057" s="47" t="str">
        <f>+Centro_Cuenta8[[#This Row],[Código Cuenta Contable]]&amp;" - "&amp;Centro_Cuenta8[[#This Row],[Nombre de Cuenta Contable]]</f>
        <v>4102001 - Costos Subcontratos</v>
      </c>
      <c r="H3057" s="146" t="str">
        <f>+VLOOKUP(D3057,'3. Cuentas'!A:F,6,0)</f>
        <v>SI</v>
      </c>
    </row>
    <row r="3058" spans="1:8" x14ac:dyDescent="0.25">
      <c r="A3058" s="43">
        <v>352</v>
      </c>
      <c r="B3058" t="s">
        <v>491</v>
      </c>
      <c r="C3058" s="43" t="s">
        <v>65</v>
      </c>
      <c r="D3058" s="43">
        <v>4103001</v>
      </c>
      <c r="E3058" t="s">
        <v>223</v>
      </c>
      <c r="F3058" s="47" t="str">
        <f>+Centro_Cuenta8[[#This Row],[Codigo Centro Gestion]]&amp;" - "&amp;Centro_Cuenta8[[#This Row],[Nombre Centro Gestion]]</f>
        <v>352 - Miraflores Lote 1 Edificio 1</v>
      </c>
      <c r="G3058" s="47" t="str">
        <f>+Centro_Cuenta8[[#This Row],[Código Cuenta Contable]]&amp;" - "&amp;Centro_Cuenta8[[#This Row],[Nombre de Cuenta Contable]]</f>
        <v>4103001 - Costos Maquinarias y Equipos</v>
      </c>
      <c r="H3058" s="146" t="str">
        <f>+VLOOKUP(D3058,'3. Cuentas'!A:F,6,0)</f>
        <v>SI</v>
      </c>
    </row>
    <row r="3059" spans="1:8" x14ac:dyDescent="0.25">
      <c r="A3059" s="43">
        <v>352</v>
      </c>
      <c r="B3059" t="s">
        <v>491</v>
      </c>
      <c r="C3059" s="43" t="s">
        <v>65</v>
      </c>
      <c r="D3059" s="43">
        <v>4105001</v>
      </c>
      <c r="E3059" t="s">
        <v>70</v>
      </c>
      <c r="F3059" s="47" t="str">
        <f>+Centro_Cuenta8[[#This Row],[Codigo Centro Gestion]]&amp;" - "&amp;Centro_Cuenta8[[#This Row],[Nombre Centro Gestion]]</f>
        <v>352 - Miraflores Lote 1 Edificio 1</v>
      </c>
      <c r="G3059" s="47" t="str">
        <f>+Centro_Cuenta8[[#This Row],[Código Cuenta Contable]]&amp;" - "&amp;Centro_Cuenta8[[#This Row],[Nombre de Cuenta Contable]]</f>
        <v>4105001 - Costos Generales de Obra</v>
      </c>
      <c r="H3059" s="146" t="str">
        <f>+VLOOKUP(D3059,'3. Cuentas'!A:F,6,0)</f>
        <v>SI</v>
      </c>
    </row>
    <row r="3060" spans="1:8" x14ac:dyDescent="0.25">
      <c r="A3060" s="43">
        <v>353</v>
      </c>
      <c r="B3060" t="s">
        <v>492</v>
      </c>
      <c r="C3060" s="43" t="s">
        <v>65</v>
      </c>
      <c r="D3060" s="43">
        <v>4101001</v>
      </c>
      <c r="E3060" t="s">
        <v>69</v>
      </c>
      <c r="F3060" s="47" t="str">
        <f>+Centro_Cuenta8[[#This Row],[Codigo Centro Gestion]]&amp;" - "&amp;Centro_Cuenta8[[#This Row],[Nombre Centro Gestion]]</f>
        <v>353 - Edificio Alvarez Oriente</v>
      </c>
      <c r="G3060" s="47" t="str">
        <f>+Centro_Cuenta8[[#This Row],[Código Cuenta Contable]]&amp;" - "&amp;Centro_Cuenta8[[#This Row],[Nombre de Cuenta Contable]]</f>
        <v>4101001 - Costos Materiales de Obra</v>
      </c>
      <c r="H3060" s="146" t="str">
        <f>+VLOOKUP(D3060,'3. Cuentas'!A:F,6,0)</f>
        <v>SI</v>
      </c>
    </row>
    <row r="3061" spans="1:8" x14ac:dyDescent="0.25">
      <c r="A3061" s="43">
        <v>353</v>
      </c>
      <c r="B3061" t="s">
        <v>492</v>
      </c>
      <c r="C3061" s="43" t="s">
        <v>65</v>
      </c>
      <c r="D3061" s="43">
        <v>4102001</v>
      </c>
      <c r="E3061" t="s">
        <v>152</v>
      </c>
      <c r="F3061" s="47" t="str">
        <f>+Centro_Cuenta8[[#This Row],[Codigo Centro Gestion]]&amp;" - "&amp;Centro_Cuenta8[[#This Row],[Nombre Centro Gestion]]</f>
        <v>353 - Edificio Alvarez Oriente</v>
      </c>
      <c r="G3061" s="47" t="str">
        <f>+Centro_Cuenta8[[#This Row],[Código Cuenta Contable]]&amp;" - "&amp;Centro_Cuenta8[[#This Row],[Nombre de Cuenta Contable]]</f>
        <v>4102001 - Costos Subcontratos</v>
      </c>
      <c r="H3061" s="146" t="str">
        <f>+VLOOKUP(D3061,'3. Cuentas'!A:F,6,0)</f>
        <v>SI</v>
      </c>
    </row>
    <row r="3062" spans="1:8" x14ac:dyDescent="0.25">
      <c r="A3062" s="43">
        <v>353</v>
      </c>
      <c r="B3062" t="s">
        <v>492</v>
      </c>
      <c r="C3062" s="43" t="s">
        <v>65</v>
      </c>
      <c r="D3062" s="43">
        <v>4103001</v>
      </c>
      <c r="E3062" t="s">
        <v>223</v>
      </c>
      <c r="F3062" s="47" t="str">
        <f>+Centro_Cuenta8[[#This Row],[Codigo Centro Gestion]]&amp;" - "&amp;Centro_Cuenta8[[#This Row],[Nombre Centro Gestion]]</f>
        <v>353 - Edificio Alvarez Oriente</v>
      </c>
      <c r="G3062" s="47" t="str">
        <f>+Centro_Cuenta8[[#This Row],[Código Cuenta Contable]]&amp;" - "&amp;Centro_Cuenta8[[#This Row],[Nombre de Cuenta Contable]]</f>
        <v>4103001 - Costos Maquinarias y Equipos</v>
      </c>
      <c r="H3062" s="146" t="str">
        <f>+VLOOKUP(D3062,'3. Cuentas'!A:F,6,0)</f>
        <v>SI</v>
      </c>
    </row>
    <row r="3063" spans="1:8" x14ac:dyDescent="0.25">
      <c r="A3063" s="43">
        <v>353</v>
      </c>
      <c r="B3063" t="s">
        <v>492</v>
      </c>
      <c r="C3063" s="43" t="s">
        <v>65</v>
      </c>
      <c r="D3063" s="43">
        <v>4105001</v>
      </c>
      <c r="E3063" t="s">
        <v>70</v>
      </c>
      <c r="F3063" s="47" t="str">
        <f>+Centro_Cuenta8[[#This Row],[Codigo Centro Gestion]]&amp;" - "&amp;Centro_Cuenta8[[#This Row],[Nombre Centro Gestion]]</f>
        <v>353 - Edificio Alvarez Oriente</v>
      </c>
      <c r="G3063" s="47" t="str">
        <f>+Centro_Cuenta8[[#This Row],[Código Cuenta Contable]]&amp;" - "&amp;Centro_Cuenta8[[#This Row],[Nombre de Cuenta Contable]]</f>
        <v>4105001 - Costos Generales de Obra</v>
      </c>
      <c r="H3063" s="146" t="str">
        <f>+VLOOKUP(D3063,'3. Cuentas'!A:F,6,0)</f>
        <v>SI</v>
      </c>
    </row>
    <row r="3064" spans="1:8" x14ac:dyDescent="0.25">
      <c r="A3064" s="43">
        <v>356</v>
      </c>
      <c r="B3064" t="s">
        <v>493</v>
      </c>
      <c r="C3064" s="43" t="s">
        <v>65</v>
      </c>
      <c r="D3064" s="43">
        <v>4101001</v>
      </c>
      <c r="E3064" t="s">
        <v>69</v>
      </c>
      <c r="F3064" s="47" t="str">
        <f>+Centro_Cuenta8[[#This Row],[Codigo Centro Gestion]]&amp;" - "&amp;Centro_Cuenta8[[#This Row],[Nombre Centro Gestion]]</f>
        <v>356 - Miraflores Lote 2</v>
      </c>
      <c r="G3064" s="47" t="str">
        <f>+Centro_Cuenta8[[#This Row],[Código Cuenta Contable]]&amp;" - "&amp;Centro_Cuenta8[[#This Row],[Nombre de Cuenta Contable]]</f>
        <v>4101001 - Costos Materiales de Obra</v>
      </c>
      <c r="H3064" s="146" t="str">
        <f>+VLOOKUP(D3064,'3. Cuentas'!A:F,6,0)</f>
        <v>SI</v>
      </c>
    </row>
    <row r="3065" spans="1:8" x14ac:dyDescent="0.25">
      <c r="A3065" s="43">
        <v>356</v>
      </c>
      <c r="B3065" t="s">
        <v>493</v>
      </c>
      <c r="C3065" s="43" t="s">
        <v>65</v>
      </c>
      <c r="D3065" s="43">
        <v>4102001</v>
      </c>
      <c r="E3065" t="s">
        <v>152</v>
      </c>
      <c r="F3065" s="47" t="str">
        <f>+Centro_Cuenta8[[#This Row],[Codigo Centro Gestion]]&amp;" - "&amp;Centro_Cuenta8[[#This Row],[Nombre Centro Gestion]]</f>
        <v>356 - Miraflores Lote 2</v>
      </c>
      <c r="G3065" s="47" t="str">
        <f>+Centro_Cuenta8[[#This Row],[Código Cuenta Contable]]&amp;" - "&amp;Centro_Cuenta8[[#This Row],[Nombre de Cuenta Contable]]</f>
        <v>4102001 - Costos Subcontratos</v>
      </c>
      <c r="H3065" s="146" t="str">
        <f>+VLOOKUP(D3065,'3. Cuentas'!A:F,6,0)</f>
        <v>SI</v>
      </c>
    </row>
    <row r="3066" spans="1:8" x14ac:dyDescent="0.25">
      <c r="A3066" s="43">
        <v>356</v>
      </c>
      <c r="B3066" t="s">
        <v>493</v>
      </c>
      <c r="C3066" s="43" t="s">
        <v>65</v>
      </c>
      <c r="D3066" s="43">
        <v>4103001</v>
      </c>
      <c r="E3066" t="s">
        <v>223</v>
      </c>
      <c r="F3066" s="47" t="str">
        <f>+Centro_Cuenta8[[#This Row],[Codigo Centro Gestion]]&amp;" - "&amp;Centro_Cuenta8[[#This Row],[Nombre Centro Gestion]]</f>
        <v>356 - Miraflores Lote 2</v>
      </c>
      <c r="G3066" s="47" t="str">
        <f>+Centro_Cuenta8[[#This Row],[Código Cuenta Contable]]&amp;" - "&amp;Centro_Cuenta8[[#This Row],[Nombre de Cuenta Contable]]</f>
        <v>4103001 - Costos Maquinarias y Equipos</v>
      </c>
      <c r="H3066" s="146" t="str">
        <f>+VLOOKUP(D3066,'3. Cuentas'!A:F,6,0)</f>
        <v>SI</v>
      </c>
    </row>
    <row r="3067" spans="1:8" x14ac:dyDescent="0.25">
      <c r="A3067" s="43">
        <v>356</v>
      </c>
      <c r="B3067" t="s">
        <v>493</v>
      </c>
      <c r="C3067" s="43" t="s">
        <v>65</v>
      </c>
      <c r="D3067" s="43">
        <v>4105001</v>
      </c>
      <c r="E3067" t="s">
        <v>70</v>
      </c>
      <c r="F3067" s="47" t="str">
        <f>+Centro_Cuenta8[[#This Row],[Codigo Centro Gestion]]&amp;" - "&amp;Centro_Cuenta8[[#This Row],[Nombre Centro Gestion]]</f>
        <v>356 - Miraflores Lote 2</v>
      </c>
      <c r="G3067" s="47" t="str">
        <f>+Centro_Cuenta8[[#This Row],[Código Cuenta Contable]]&amp;" - "&amp;Centro_Cuenta8[[#This Row],[Nombre de Cuenta Contable]]</f>
        <v>4105001 - Costos Generales de Obra</v>
      </c>
      <c r="H3067" s="146" t="str">
        <f>+VLOOKUP(D3067,'3. Cuentas'!A:F,6,0)</f>
        <v>SI</v>
      </c>
    </row>
    <row r="3068" spans="1:8" x14ac:dyDescent="0.25">
      <c r="A3068" s="43">
        <v>359</v>
      </c>
      <c r="B3068" t="s">
        <v>494</v>
      </c>
      <c r="C3068" s="43" t="s">
        <v>65</v>
      </c>
      <c r="D3068" s="43">
        <v>4101001</v>
      </c>
      <c r="E3068" t="s">
        <v>69</v>
      </c>
      <c r="F3068" s="47" t="str">
        <f>+Centro_Cuenta8[[#This Row],[Codigo Centro Gestion]]&amp;" - "&amp;Centro_Cuenta8[[#This Row],[Nombre Centro Gestion]]</f>
        <v>359 - Edificio Liparita</v>
      </c>
      <c r="G3068" s="47" t="str">
        <f>+Centro_Cuenta8[[#This Row],[Código Cuenta Contable]]&amp;" - "&amp;Centro_Cuenta8[[#This Row],[Nombre de Cuenta Contable]]</f>
        <v>4101001 - Costos Materiales de Obra</v>
      </c>
      <c r="H3068" s="146" t="str">
        <f>+VLOOKUP(D3068,'3. Cuentas'!A:F,6,0)</f>
        <v>SI</v>
      </c>
    </row>
    <row r="3069" spans="1:8" x14ac:dyDescent="0.25">
      <c r="A3069" s="43">
        <v>359</v>
      </c>
      <c r="B3069" t="s">
        <v>494</v>
      </c>
      <c r="C3069" s="43" t="s">
        <v>65</v>
      </c>
      <c r="D3069" s="43">
        <v>4102001</v>
      </c>
      <c r="E3069" t="s">
        <v>152</v>
      </c>
      <c r="F3069" s="47" t="str">
        <f>+Centro_Cuenta8[[#This Row],[Codigo Centro Gestion]]&amp;" - "&amp;Centro_Cuenta8[[#This Row],[Nombre Centro Gestion]]</f>
        <v>359 - Edificio Liparita</v>
      </c>
      <c r="G3069" s="47" t="str">
        <f>+Centro_Cuenta8[[#This Row],[Código Cuenta Contable]]&amp;" - "&amp;Centro_Cuenta8[[#This Row],[Nombre de Cuenta Contable]]</f>
        <v>4102001 - Costos Subcontratos</v>
      </c>
      <c r="H3069" s="146" t="str">
        <f>+VLOOKUP(D3069,'3. Cuentas'!A:F,6,0)</f>
        <v>SI</v>
      </c>
    </row>
    <row r="3070" spans="1:8" x14ac:dyDescent="0.25">
      <c r="A3070" s="43">
        <v>359</v>
      </c>
      <c r="B3070" t="s">
        <v>494</v>
      </c>
      <c r="C3070" s="43" t="s">
        <v>65</v>
      </c>
      <c r="D3070" s="43">
        <v>4103001</v>
      </c>
      <c r="E3070" t="s">
        <v>223</v>
      </c>
      <c r="F3070" s="47" t="str">
        <f>+Centro_Cuenta8[[#This Row],[Codigo Centro Gestion]]&amp;" - "&amp;Centro_Cuenta8[[#This Row],[Nombre Centro Gestion]]</f>
        <v>359 - Edificio Liparita</v>
      </c>
      <c r="G3070" s="47" t="str">
        <f>+Centro_Cuenta8[[#This Row],[Código Cuenta Contable]]&amp;" - "&amp;Centro_Cuenta8[[#This Row],[Nombre de Cuenta Contable]]</f>
        <v>4103001 - Costos Maquinarias y Equipos</v>
      </c>
      <c r="H3070" s="146" t="str">
        <f>+VLOOKUP(D3070,'3. Cuentas'!A:F,6,0)</f>
        <v>SI</v>
      </c>
    </row>
    <row r="3071" spans="1:8" x14ac:dyDescent="0.25">
      <c r="A3071" s="43">
        <v>359</v>
      </c>
      <c r="B3071" t="s">
        <v>494</v>
      </c>
      <c r="C3071" s="43" t="s">
        <v>65</v>
      </c>
      <c r="D3071" s="43">
        <v>4105001</v>
      </c>
      <c r="E3071" t="s">
        <v>70</v>
      </c>
      <c r="F3071" s="47" t="str">
        <f>+Centro_Cuenta8[[#This Row],[Codigo Centro Gestion]]&amp;" - "&amp;Centro_Cuenta8[[#This Row],[Nombre Centro Gestion]]</f>
        <v>359 - Edificio Liparita</v>
      </c>
      <c r="G3071" s="47" t="str">
        <f>+Centro_Cuenta8[[#This Row],[Código Cuenta Contable]]&amp;" - "&amp;Centro_Cuenta8[[#This Row],[Nombre de Cuenta Contable]]</f>
        <v>4105001 - Costos Generales de Obra</v>
      </c>
      <c r="H3071" s="146" t="str">
        <f>+VLOOKUP(D3071,'3. Cuentas'!A:F,6,0)</f>
        <v>SI</v>
      </c>
    </row>
    <row r="3072" spans="1:8" x14ac:dyDescent="0.25">
      <c r="A3072" s="43">
        <v>360</v>
      </c>
      <c r="B3072" t="s">
        <v>495</v>
      </c>
      <c r="C3072" s="43" t="s">
        <v>65</v>
      </c>
      <c r="D3072" s="43">
        <v>4101001</v>
      </c>
      <c r="E3072" t="s">
        <v>69</v>
      </c>
      <c r="F3072" s="47" t="str">
        <f>+Centro_Cuenta8[[#This Row],[Codigo Centro Gestion]]&amp;" - "&amp;Centro_Cuenta8[[#This Row],[Nombre Centro Gestion]]</f>
        <v>360 - Francisco Zelada Torre A</v>
      </c>
      <c r="G3072" s="47" t="str">
        <f>+Centro_Cuenta8[[#This Row],[Código Cuenta Contable]]&amp;" - "&amp;Centro_Cuenta8[[#This Row],[Nombre de Cuenta Contable]]</f>
        <v>4101001 - Costos Materiales de Obra</v>
      </c>
      <c r="H3072" s="146" t="str">
        <f>+VLOOKUP(D3072,'3. Cuentas'!A:F,6,0)</f>
        <v>SI</v>
      </c>
    </row>
    <row r="3073" spans="1:8" x14ac:dyDescent="0.25">
      <c r="A3073" s="43">
        <v>360</v>
      </c>
      <c r="B3073" t="s">
        <v>495</v>
      </c>
      <c r="C3073" s="43" t="s">
        <v>65</v>
      </c>
      <c r="D3073" s="43">
        <v>4102001</v>
      </c>
      <c r="E3073" t="s">
        <v>152</v>
      </c>
      <c r="F3073" s="47" t="str">
        <f>+Centro_Cuenta8[[#This Row],[Codigo Centro Gestion]]&amp;" - "&amp;Centro_Cuenta8[[#This Row],[Nombre Centro Gestion]]</f>
        <v>360 - Francisco Zelada Torre A</v>
      </c>
      <c r="G3073" s="47" t="str">
        <f>+Centro_Cuenta8[[#This Row],[Código Cuenta Contable]]&amp;" - "&amp;Centro_Cuenta8[[#This Row],[Nombre de Cuenta Contable]]</f>
        <v>4102001 - Costos Subcontratos</v>
      </c>
      <c r="H3073" s="146" t="str">
        <f>+VLOOKUP(D3073,'3. Cuentas'!A:F,6,0)</f>
        <v>SI</v>
      </c>
    </row>
    <row r="3074" spans="1:8" x14ac:dyDescent="0.25">
      <c r="A3074" s="43">
        <v>360</v>
      </c>
      <c r="B3074" t="s">
        <v>495</v>
      </c>
      <c r="C3074" s="43" t="s">
        <v>65</v>
      </c>
      <c r="D3074" s="43">
        <v>4103001</v>
      </c>
      <c r="E3074" t="s">
        <v>223</v>
      </c>
      <c r="F3074" s="47" t="str">
        <f>+Centro_Cuenta8[[#This Row],[Codigo Centro Gestion]]&amp;" - "&amp;Centro_Cuenta8[[#This Row],[Nombre Centro Gestion]]</f>
        <v>360 - Francisco Zelada Torre A</v>
      </c>
      <c r="G3074" s="47" t="str">
        <f>+Centro_Cuenta8[[#This Row],[Código Cuenta Contable]]&amp;" - "&amp;Centro_Cuenta8[[#This Row],[Nombre de Cuenta Contable]]</f>
        <v>4103001 - Costos Maquinarias y Equipos</v>
      </c>
      <c r="H3074" s="146" t="str">
        <f>+VLOOKUP(D3074,'3. Cuentas'!A:F,6,0)</f>
        <v>SI</v>
      </c>
    </row>
    <row r="3075" spans="1:8" x14ac:dyDescent="0.25">
      <c r="A3075" s="43">
        <v>360</v>
      </c>
      <c r="B3075" t="s">
        <v>495</v>
      </c>
      <c r="C3075" s="43" t="s">
        <v>65</v>
      </c>
      <c r="D3075" s="43">
        <v>4105001</v>
      </c>
      <c r="E3075" t="s">
        <v>70</v>
      </c>
      <c r="F3075" s="47" t="str">
        <f>+Centro_Cuenta8[[#This Row],[Codigo Centro Gestion]]&amp;" - "&amp;Centro_Cuenta8[[#This Row],[Nombre Centro Gestion]]</f>
        <v>360 - Francisco Zelada Torre A</v>
      </c>
      <c r="G3075" s="47" t="str">
        <f>+Centro_Cuenta8[[#This Row],[Código Cuenta Contable]]&amp;" - "&amp;Centro_Cuenta8[[#This Row],[Nombre de Cuenta Contable]]</f>
        <v>4105001 - Costos Generales de Obra</v>
      </c>
      <c r="H3075" s="146" t="str">
        <f>+VLOOKUP(D3075,'3. Cuentas'!A:F,6,0)</f>
        <v>SI</v>
      </c>
    </row>
    <row r="3076" spans="1:8" x14ac:dyDescent="0.25">
      <c r="A3076" s="43">
        <v>361</v>
      </c>
      <c r="B3076" t="s">
        <v>496</v>
      </c>
      <c r="C3076" s="43" t="s">
        <v>65</v>
      </c>
      <c r="D3076" s="43">
        <v>4101001</v>
      </c>
      <c r="E3076" t="s">
        <v>69</v>
      </c>
      <c r="F3076" s="47" t="str">
        <f>+Centro_Cuenta8[[#This Row],[Codigo Centro Gestion]]&amp;" - "&amp;Centro_Cuenta8[[#This Row],[Nombre Centro Gestion]]</f>
        <v>361 - Carmen 1879</v>
      </c>
      <c r="G3076" s="47" t="str">
        <f>+Centro_Cuenta8[[#This Row],[Código Cuenta Contable]]&amp;" - "&amp;Centro_Cuenta8[[#This Row],[Nombre de Cuenta Contable]]</f>
        <v>4101001 - Costos Materiales de Obra</v>
      </c>
      <c r="H3076" s="146" t="str">
        <f>+VLOOKUP(D3076,'3. Cuentas'!A:F,6,0)</f>
        <v>SI</v>
      </c>
    </row>
    <row r="3077" spans="1:8" x14ac:dyDescent="0.25">
      <c r="A3077" s="43">
        <v>361</v>
      </c>
      <c r="B3077" t="s">
        <v>496</v>
      </c>
      <c r="C3077" s="43" t="s">
        <v>65</v>
      </c>
      <c r="D3077" s="43">
        <v>4102001</v>
      </c>
      <c r="E3077" t="s">
        <v>152</v>
      </c>
      <c r="F3077" s="47" t="str">
        <f>+Centro_Cuenta8[[#This Row],[Codigo Centro Gestion]]&amp;" - "&amp;Centro_Cuenta8[[#This Row],[Nombre Centro Gestion]]</f>
        <v>361 - Carmen 1879</v>
      </c>
      <c r="G3077" s="47" t="str">
        <f>+Centro_Cuenta8[[#This Row],[Código Cuenta Contable]]&amp;" - "&amp;Centro_Cuenta8[[#This Row],[Nombre de Cuenta Contable]]</f>
        <v>4102001 - Costos Subcontratos</v>
      </c>
      <c r="H3077" s="146" t="str">
        <f>+VLOOKUP(D3077,'3. Cuentas'!A:F,6,0)</f>
        <v>SI</v>
      </c>
    </row>
    <row r="3078" spans="1:8" x14ac:dyDescent="0.25">
      <c r="A3078" s="43">
        <v>361</v>
      </c>
      <c r="B3078" t="s">
        <v>496</v>
      </c>
      <c r="C3078" s="43" t="s">
        <v>65</v>
      </c>
      <c r="D3078" s="43">
        <v>4103001</v>
      </c>
      <c r="E3078" t="s">
        <v>223</v>
      </c>
      <c r="F3078" s="47" t="str">
        <f>+Centro_Cuenta8[[#This Row],[Codigo Centro Gestion]]&amp;" - "&amp;Centro_Cuenta8[[#This Row],[Nombre Centro Gestion]]</f>
        <v>361 - Carmen 1879</v>
      </c>
      <c r="G3078" s="47" t="str">
        <f>+Centro_Cuenta8[[#This Row],[Código Cuenta Contable]]&amp;" - "&amp;Centro_Cuenta8[[#This Row],[Nombre de Cuenta Contable]]</f>
        <v>4103001 - Costos Maquinarias y Equipos</v>
      </c>
      <c r="H3078" s="146" t="str">
        <f>+VLOOKUP(D3078,'3. Cuentas'!A:F,6,0)</f>
        <v>SI</v>
      </c>
    </row>
    <row r="3079" spans="1:8" x14ac:dyDescent="0.25">
      <c r="A3079" s="43">
        <v>361</v>
      </c>
      <c r="B3079" t="s">
        <v>496</v>
      </c>
      <c r="C3079" s="43" t="s">
        <v>65</v>
      </c>
      <c r="D3079" s="43">
        <v>4105001</v>
      </c>
      <c r="E3079" t="s">
        <v>70</v>
      </c>
      <c r="F3079" s="47" t="str">
        <f>+Centro_Cuenta8[[#This Row],[Codigo Centro Gestion]]&amp;" - "&amp;Centro_Cuenta8[[#This Row],[Nombre Centro Gestion]]</f>
        <v>361 - Carmen 1879</v>
      </c>
      <c r="G3079" s="47" t="str">
        <f>+Centro_Cuenta8[[#This Row],[Código Cuenta Contable]]&amp;" - "&amp;Centro_Cuenta8[[#This Row],[Nombre de Cuenta Contable]]</f>
        <v>4105001 - Costos Generales de Obra</v>
      </c>
      <c r="H3079" s="146" t="str">
        <f>+VLOOKUP(D3079,'3. Cuentas'!A:F,6,0)</f>
        <v>SI</v>
      </c>
    </row>
    <row r="3080" spans="1:8" x14ac:dyDescent="0.25">
      <c r="A3080" s="43">
        <v>363</v>
      </c>
      <c r="B3080" t="s">
        <v>497</v>
      </c>
      <c r="C3080" s="43" t="s">
        <v>65</v>
      </c>
      <c r="D3080" s="43">
        <v>4101001</v>
      </c>
      <c r="E3080" t="s">
        <v>69</v>
      </c>
      <c r="F3080" s="47" t="str">
        <f>+Centro_Cuenta8[[#This Row],[Codigo Centro Gestion]]&amp;" - "&amp;Centro_Cuenta8[[#This Row],[Nombre Centro Gestion]]</f>
        <v>363 - Parque Marañon Torre A</v>
      </c>
      <c r="G3080" s="47" t="str">
        <f>+Centro_Cuenta8[[#This Row],[Código Cuenta Contable]]&amp;" - "&amp;Centro_Cuenta8[[#This Row],[Nombre de Cuenta Contable]]</f>
        <v>4101001 - Costos Materiales de Obra</v>
      </c>
      <c r="H3080" s="146" t="str">
        <f>+VLOOKUP(D3080,'3. Cuentas'!A:F,6,0)</f>
        <v>SI</v>
      </c>
    </row>
    <row r="3081" spans="1:8" x14ac:dyDescent="0.25">
      <c r="A3081" s="43">
        <v>363</v>
      </c>
      <c r="B3081" t="s">
        <v>497</v>
      </c>
      <c r="C3081" s="43" t="s">
        <v>65</v>
      </c>
      <c r="D3081" s="43">
        <v>4102001</v>
      </c>
      <c r="E3081" t="s">
        <v>152</v>
      </c>
      <c r="F3081" s="47" t="str">
        <f>+Centro_Cuenta8[[#This Row],[Codigo Centro Gestion]]&amp;" - "&amp;Centro_Cuenta8[[#This Row],[Nombre Centro Gestion]]</f>
        <v>363 - Parque Marañon Torre A</v>
      </c>
      <c r="G3081" s="47" t="str">
        <f>+Centro_Cuenta8[[#This Row],[Código Cuenta Contable]]&amp;" - "&amp;Centro_Cuenta8[[#This Row],[Nombre de Cuenta Contable]]</f>
        <v>4102001 - Costos Subcontratos</v>
      </c>
      <c r="H3081" s="146" t="str">
        <f>+VLOOKUP(D3081,'3. Cuentas'!A:F,6,0)</f>
        <v>SI</v>
      </c>
    </row>
    <row r="3082" spans="1:8" x14ac:dyDescent="0.25">
      <c r="A3082" s="43">
        <v>363</v>
      </c>
      <c r="B3082" t="s">
        <v>497</v>
      </c>
      <c r="C3082" s="43" t="s">
        <v>65</v>
      </c>
      <c r="D3082" s="43">
        <v>4103001</v>
      </c>
      <c r="E3082" t="s">
        <v>223</v>
      </c>
      <c r="F3082" s="47" t="str">
        <f>+Centro_Cuenta8[[#This Row],[Codigo Centro Gestion]]&amp;" - "&amp;Centro_Cuenta8[[#This Row],[Nombre Centro Gestion]]</f>
        <v>363 - Parque Marañon Torre A</v>
      </c>
      <c r="G3082" s="47" t="str">
        <f>+Centro_Cuenta8[[#This Row],[Código Cuenta Contable]]&amp;" - "&amp;Centro_Cuenta8[[#This Row],[Nombre de Cuenta Contable]]</f>
        <v>4103001 - Costos Maquinarias y Equipos</v>
      </c>
      <c r="H3082" s="146" t="str">
        <f>+VLOOKUP(D3082,'3. Cuentas'!A:F,6,0)</f>
        <v>SI</v>
      </c>
    </row>
    <row r="3083" spans="1:8" x14ac:dyDescent="0.25">
      <c r="A3083" s="43">
        <v>363</v>
      </c>
      <c r="B3083" t="s">
        <v>497</v>
      </c>
      <c r="C3083" s="43" t="s">
        <v>65</v>
      </c>
      <c r="D3083" s="43">
        <v>4105001</v>
      </c>
      <c r="E3083" t="s">
        <v>70</v>
      </c>
      <c r="F3083" s="47" t="str">
        <f>+Centro_Cuenta8[[#This Row],[Codigo Centro Gestion]]&amp;" - "&amp;Centro_Cuenta8[[#This Row],[Nombre Centro Gestion]]</f>
        <v>363 - Parque Marañon Torre A</v>
      </c>
      <c r="G3083" s="47" t="str">
        <f>+Centro_Cuenta8[[#This Row],[Código Cuenta Contable]]&amp;" - "&amp;Centro_Cuenta8[[#This Row],[Nombre de Cuenta Contable]]</f>
        <v>4105001 - Costos Generales de Obra</v>
      </c>
      <c r="H3083" s="146" t="str">
        <f>+VLOOKUP(D3083,'3. Cuentas'!A:F,6,0)</f>
        <v>SI</v>
      </c>
    </row>
    <row r="3084" spans="1:8" x14ac:dyDescent="0.25">
      <c r="A3084" s="43">
        <v>367</v>
      </c>
      <c r="B3084" t="s">
        <v>498</v>
      </c>
      <c r="C3084" s="43" t="s">
        <v>65</v>
      </c>
      <c r="D3084" s="43">
        <v>4101001</v>
      </c>
      <c r="E3084" t="s">
        <v>69</v>
      </c>
      <c r="F3084" s="47" t="str">
        <f>+Centro_Cuenta8[[#This Row],[Codigo Centro Gestion]]&amp;" - "&amp;Centro_Cuenta8[[#This Row],[Nombre Centro Gestion]]</f>
        <v>367 - Edificio Pedro de la Barra Ltda</v>
      </c>
      <c r="G3084" s="47" t="str">
        <f>+Centro_Cuenta8[[#This Row],[Código Cuenta Contable]]&amp;" - "&amp;Centro_Cuenta8[[#This Row],[Nombre de Cuenta Contable]]</f>
        <v>4101001 - Costos Materiales de Obra</v>
      </c>
      <c r="H3084" s="146" t="str">
        <f>+VLOOKUP(D3084,'3. Cuentas'!A:F,6,0)</f>
        <v>SI</v>
      </c>
    </row>
    <row r="3085" spans="1:8" x14ac:dyDescent="0.25">
      <c r="A3085" s="43">
        <v>367</v>
      </c>
      <c r="B3085" t="s">
        <v>498</v>
      </c>
      <c r="C3085" s="43" t="s">
        <v>65</v>
      </c>
      <c r="D3085" s="43">
        <v>4102001</v>
      </c>
      <c r="E3085" t="s">
        <v>152</v>
      </c>
      <c r="F3085" s="47" t="str">
        <f>+Centro_Cuenta8[[#This Row],[Codigo Centro Gestion]]&amp;" - "&amp;Centro_Cuenta8[[#This Row],[Nombre Centro Gestion]]</f>
        <v>367 - Edificio Pedro de la Barra Ltda</v>
      </c>
      <c r="G3085" s="47" t="str">
        <f>+Centro_Cuenta8[[#This Row],[Código Cuenta Contable]]&amp;" - "&amp;Centro_Cuenta8[[#This Row],[Nombre de Cuenta Contable]]</f>
        <v>4102001 - Costos Subcontratos</v>
      </c>
      <c r="H3085" s="146" t="str">
        <f>+VLOOKUP(D3085,'3. Cuentas'!A:F,6,0)</f>
        <v>SI</v>
      </c>
    </row>
    <row r="3086" spans="1:8" x14ac:dyDescent="0.25">
      <c r="A3086" s="43">
        <v>367</v>
      </c>
      <c r="B3086" t="s">
        <v>498</v>
      </c>
      <c r="C3086" s="43" t="s">
        <v>65</v>
      </c>
      <c r="D3086" s="43">
        <v>4103001</v>
      </c>
      <c r="E3086" t="s">
        <v>223</v>
      </c>
      <c r="F3086" s="47" t="str">
        <f>+Centro_Cuenta8[[#This Row],[Codigo Centro Gestion]]&amp;" - "&amp;Centro_Cuenta8[[#This Row],[Nombre Centro Gestion]]</f>
        <v>367 - Edificio Pedro de la Barra Ltda</v>
      </c>
      <c r="G3086" s="47" t="str">
        <f>+Centro_Cuenta8[[#This Row],[Código Cuenta Contable]]&amp;" - "&amp;Centro_Cuenta8[[#This Row],[Nombre de Cuenta Contable]]</f>
        <v>4103001 - Costos Maquinarias y Equipos</v>
      </c>
      <c r="H3086" s="146" t="str">
        <f>+VLOOKUP(D3086,'3. Cuentas'!A:F,6,0)</f>
        <v>SI</v>
      </c>
    </row>
    <row r="3087" spans="1:8" x14ac:dyDescent="0.25">
      <c r="A3087" s="43">
        <v>367</v>
      </c>
      <c r="B3087" t="s">
        <v>498</v>
      </c>
      <c r="C3087" s="43" t="s">
        <v>65</v>
      </c>
      <c r="D3087" s="43">
        <v>4105001</v>
      </c>
      <c r="E3087" t="s">
        <v>70</v>
      </c>
      <c r="F3087" s="47" t="str">
        <f>+Centro_Cuenta8[[#This Row],[Codigo Centro Gestion]]&amp;" - "&amp;Centro_Cuenta8[[#This Row],[Nombre Centro Gestion]]</f>
        <v>367 - Edificio Pedro de la Barra Ltda</v>
      </c>
      <c r="G3087" s="47" t="str">
        <f>+Centro_Cuenta8[[#This Row],[Código Cuenta Contable]]&amp;" - "&amp;Centro_Cuenta8[[#This Row],[Nombre de Cuenta Contable]]</f>
        <v>4105001 - Costos Generales de Obra</v>
      </c>
      <c r="H3087" s="146" t="str">
        <f>+VLOOKUP(D3087,'3. Cuentas'!A:F,6,0)</f>
        <v>SI</v>
      </c>
    </row>
    <row r="3088" spans="1:8" x14ac:dyDescent="0.25">
      <c r="A3088" s="43">
        <v>368</v>
      </c>
      <c r="B3088" t="s">
        <v>499</v>
      </c>
      <c r="C3088" s="43" t="s">
        <v>65</v>
      </c>
      <c r="D3088" s="43">
        <v>4101001</v>
      </c>
      <c r="E3088" t="s">
        <v>69</v>
      </c>
      <c r="F3088" s="47" t="str">
        <f>+Centro_Cuenta8[[#This Row],[Codigo Centro Gestion]]&amp;" - "&amp;Centro_Cuenta8[[#This Row],[Nombre Centro Gestion]]</f>
        <v>368 - Condominio Manuel Jesus Rivera 2 Ltda</v>
      </c>
      <c r="G3088" s="47" t="str">
        <f>+Centro_Cuenta8[[#This Row],[Código Cuenta Contable]]&amp;" - "&amp;Centro_Cuenta8[[#This Row],[Nombre de Cuenta Contable]]</f>
        <v>4101001 - Costos Materiales de Obra</v>
      </c>
      <c r="H3088" s="146" t="str">
        <f>+VLOOKUP(D3088,'3. Cuentas'!A:F,6,0)</f>
        <v>SI</v>
      </c>
    </row>
    <row r="3089" spans="1:8" x14ac:dyDescent="0.25">
      <c r="A3089" s="43">
        <v>368</v>
      </c>
      <c r="B3089" t="s">
        <v>499</v>
      </c>
      <c r="C3089" s="43" t="s">
        <v>65</v>
      </c>
      <c r="D3089" s="43">
        <v>4102001</v>
      </c>
      <c r="E3089" t="s">
        <v>152</v>
      </c>
      <c r="F3089" s="47" t="str">
        <f>+Centro_Cuenta8[[#This Row],[Codigo Centro Gestion]]&amp;" - "&amp;Centro_Cuenta8[[#This Row],[Nombre Centro Gestion]]</f>
        <v>368 - Condominio Manuel Jesus Rivera 2 Ltda</v>
      </c>
      <c r="G3089" s="47" t="str">
        <f>+Centro_Cuenta8[[#This Row],[Código Cuenta Contable]]&amp;" - "&amp;Centro_Cuenta8[[#This Row],[Nombre de Cuenta Contable]]</f>
        <v>4102001 - Costos Subcontratos</v>
      </c>
      <c r="H3089" s="146" t="str">
        <f>+VLOOKUP(D3089,'3. Cuentas'!A:F,6,0)</f>
        <v>SI</v>
      </c>
    </row>
    <row r="3090" spans="1:8" x14ac:dyDescent="0.25">
      <c r="A3090" s="43">
        <v>368</v>
      </c>
      <c r="B3090" t="s">
        <v>499</v>
      </c>
      <c r="C3090" s="43" t="s">
        <v>65</v>
      </c>
      <c r="D3090" s="43">
        <v>4103001</v>
      </c>
      <c r="E3090" t="s">
        <v>223</v>
      </c>
      <c r="F3090" s="47" t="str">
        <f>+Centro_Cuenta8[[#This Row],[Codigo Centro Gestion]]&amp;" - "&amp;Centro_Cuenta8[[#This Row],[Nombre Centro Gestion]]</f>
        <v>368 - Condominio Manuel Jesus Rivera 2 Ltda</v>
      </c>
      <c r="G3090" s="47" t="str">
        <f>+Centro_Cuenta8[[#This Row],[Código Cuenta Contable]]&amp;" - "&amp;Centro_Cuenta8[[#This Row],[Nombre de Cuenta Contable]]</f>
        <v>4103001 - Costos Maquinarias y Equipos</v>
      </c>
      <c r="H3090" s="146" t="str">
        <f>+VLOOKUP(D3090,'3. Cuentas'!A:F,6,0)</f>
        <v>SI</v>
      </c>
    </row>
    <row r="3091" spans="1:8" x14ac:dyDescent="0.25">
      <c r="A3091" s="43">
        <v>368</v>
      </c>
      <c r="B3091" t="s">
        <v>499</v>
      </c>
      <c r="C3091" s="43" t="s">
        <v>65</v>
      </c>
      <c r="D3091" s="43">
        <v>4105001</v>
      </c>
      <c r="E3091" t="s">
        <v>70</v>
      </c>
      <c r="F3091" s="47" t="str">
        <f>+Centro_Cuenta8[[#This Row],[Codigo Centro Gestion]]&amp;" - "&amp;Centro_Cuenta8[[#This Row],[Nombre Centro Gestion]]</f>
        <v>368 - Condominio Manuel Jesus Rivera 2 Ltda</v>
      </c>
      <c r="G3091" s="47" t="str">
        <f>+Centro_Cuenta8[[#This Row],[Código Cuenta Contable]]&amp;" - "&amp;Centro_Cuenta8[[#This Row],[Nombre de Cuenta Contable]]</f>
        <v>4105001 - Costos Generales de Obra</v>
      </c>
      <c r="H3091" s="146" t="str">
        <f>+VLOOKUP(D3091,'3. Cuentas'!A:F,6,0)</f>
        <v>SI</v>
      </c>
    </row>
    <row r="3092" spans="1:8" x14ac:dyDescent="0.25">
      <c r="A3092" s="43">
        <v>369</v>
      </c>
      <c r="B3092" t="s">
        <v>500</v>
      </c>
      <c r="C3092" s="43" t="s">
        <v>65</v>
      </c>
      <c r="D3092" s="43">
        <v>4101001</v>
      </c>
      <c r="E3092" t="s">
        <v>69</v>
      </c>
      <c r="F3092" s="47" t="str">
        <f>+Centro_Cuenta8[[#This Row],[Codigo Centro Gestion]]&amp;" - "&amp;Centro_Cuenta8[[#This Row],[Nombre Centro Gestion]]</f>
        <v>369 - Carmen Ltda</v>
      </c>
      <c r="G3092" s="47" t="str">
        <f>+Centro_Cuenta8[[#This Row],[Código Cuenta Contable]]&amp;" - "&amp;Centro_Cuenta8[[#This Row],[Nombre de Cuenta Contable]]</f>
        <v>4101001 - Costos Materiales de Obra</v>
      </c>
      <c r="H3092" s="146" t="str">
        <f>+VLOOKUP(D3092,'3. Cuentas'!A:F,6,0)</f>
        <v>SI</v>
      </c>
    </row>
    <row r="3093" spans="1:8" x14ac:dyDescent="0.25">
      <c r="A3093" s="43">
        <v>369</v>
      </c>
      <c r="B3093" t="s">
        <v>500</v>
      </c>
      <c r="C3093" s="43" t="s">
        <v>65</v>
      </c>
      <c r="D3093" s="43">
        <v>4102001</v>
      </c>
      <c r="E3093" t="s">
        <v>152</v>
      </c>
      <c r="F3093" s="47" t="str">
        <f>+Centro_Cuenta8[[#This Row],[Codigo Centro Gestion]]&amp;" - "&amp;Centro_Cuenta8[[#This Row],[Nombre Centro Gestion]]</f>
        <v>369 - Carmen Ltda</v>
      </c>
      <c r="G3093" s="47" t="str">
        <f>+Centro_Cuenta8[[#This Row],[Código Cuenta Contable]]&amp;" - "&amp;Centro_Cuenta8[[#This Row],[Nombre de Cuenta Contable]]</f>
        <v>4102001 - Costos Subcontratos</v>
      </c>
      <c r="H3093" s="146" t="str">
        <f>+VLOOKUP(D3093,'3. Cuentas'!A:F,6,0)</f>
        <v>SI</v>
      </c>
    </row>
    <row r="3094" spans="1:8" x14ac:dyDescent="0.25">
      <c r="A3094" s="43">
        <v>369</v>
      </c>
      <c r="B3094" t="s">
        <v>500</v>
      </c>
      <c r="C3094" s="43" t="s">
        <v>65</v>
      </c>
      <c r="D3094" s="43">
        <v>4103001</v>
      </c>
      <c r="E3094" t="s">
        <v>223</v>
      </c>
      <c r="F3094" s="47" t="str">
        <f>+Centro_Cuenta8[[#This Row],[Codigo Centro Gestion]]&amp;" - "&amp;Centro_Cuenta8[[#This Row],[Nombre Centro Gestion]]</f>
        <v>369 - Carmen Ltda</v>
      </c>
      <c r="G3094" s="47" t="str">
        <f>+Centro_Cuenta8[[#This Row],[Código Cuenta Contable]]&amp;" - "&amp;Centro_Cuenta8[[#This Row],[Nombre de Cuenta Contable]]</f>
        <v>4103001 - Costos Maquinarias y Equipos</v>
      </c>
      <c r="H3094" s="146" t="str">
        <f>+VLOOKUP(D3094,'3. Cuentas'!A:F,6,0)</f>
        <v>SI</v>
      </c>
    </row>
    <row r="3095" spans="1:8" x14ac:dyDescent="0.25">
      <c r="A3095" s="43">
        <v>369</v>
      </c>
      <c r="B3095" t="s">
        <v>500</v>
      </c>
      <c r="C3095" s="43" t="s">
        <v>65</v>
      </c>
      <c r="D3095" s="43">
        <v>4105001</v>
      </c>
      <c r="E3095" t="s">
        <v>70</v>
      </c>
      <c r="F3095" s="47" t="str">
        <f>+Centro_Cuenta8[[#This Row],[Codigo Centro Gestion]]&amp;" - "&amp;Centro_Cuenta8[[#This Row],[Nombre Centro Gestion]]</f>
        <v>369 - Carmen Ltda</v>
      </c>
      <c r="G3095" s="47" t="str">
        <f>+Centro_Cuenta8[[#This Row],[Código Cuenta Contable]]&amp;" - "&amp;Centro_Cuenta8[[#This Row],[Nombre de Cuenta Contable]]</f>
        <v>4105001 - Costos Generales de Obra</v>
      </c>
      <c r="H3095" s="146" t="str">
        <f>+VLOOKUP(D3095,'3. Cuentas'!A:F,6,0)</f>
        <v>SI</v>
      </c>
    </row>
    <row r="3096" spans="1:8" x14ac:dyDescent="0.25">
      <c r="A3096" s="43">
        <v>370</v>
      </c>
      <c r="B3096" t="s">
        <v>501</v>
      </c>
      <c r="C3096" s="43" t="s">
        <v>65</v>
      </c>
      <c r="D3096" s="43">
        <v>4101001</v>
      </c>
      <c r="E3096" t="s">
        <v>69</v>
      </c>
      <c r="F3096" s="47" t="str">
        <f>+Centro_Cuenta8[[#This Row],[Codigo Centro Gestion]]&amp;" - "&amp;Centro_Cuenta8[[#This Row],[Nombre Centro Gestion]]</f>
        <v>370 - DS19 Gran Avenida Etapa 2 (Torre A-B)</v>
      </c>
      <c r="G3096" s="47" t="str">
        <f>+Centro_Cuenta8[[#This Row],[Código Cuenta Contable]]&amp;" - "&amp;Centro_Cuenta8[[#This Row],[Nombre de Cuenta Contable]]</f>
        <v>4101001 - Costos Materiales de Obra</v>
      </c>
      <c r="H3096" s="146" t="str">
        <f>+VLOOKUP(D3096,'3. Cuentas'!A:F,6,0)</f>
        <v>SI</v>
      </c>
    </row>
    <row r="3097" spans="1:8" x14ac:dyDescent="0.25">
      <c r="A3097" s="43">
        <v>370</v>
      </c>
      <c r="B3097" t="s">
        <v>501</v>
      </c>
      <c r="C3097" s="43" t="s">
        <v>65</v>
      </c>
      <c r="D3097" s="43">
        <v>4102001</v>
      </c>
      <c r="E3097" t="s">
        <v>152</v>
      </c>
      <c r="F3097" s="47" t="str">
        <f>+Centro_Cuenta8[[#This Row],[Codigo Centro Gestion]]&amp;" - "&amp;Centro_Cuenta8[[#This Row],[Nombre Centro Gestion]]</f>
        <v>370 - DS19 Gran Avenida Etapa 2 (Torre A-B)</v>
      </c>
      <c r="G3097" s="47" t="str">
        <f>+Centro_Cuenta8[[#This Row],[Código Cuenta Contable]]&amp;" - "&amp;Centro_Cuenta8[[#This Row],[Nombre de Cuenta Contable]]</f>
        <v>4102001 - Costos Subcontratos</v>
      </c>
      <c r="H3097" s="146" t="str">
        <f>+VLOOKUP(D3097,'3. Cuentas'!A:F,6,0)</f>
        <v>SI</v>
      </c>
    </row>
    <row r="3098" spans="1:8" x14ac:dyDescent="0.25">
      <c r="A3098" s="43">
        <v>370</v>
      </c>
      <c r="B3098" t="s">
        <v>501</v>
      </c>
      <c r="C3098" s="43" t="s">
        <v>65</v>
      </c>
      <c r="D3098" s="43">
        <v>4103001</v>
      </c>
      <c r="E3098" t="s">
        <v>223</v>
      </c>
      <c r="F3098" s="47" t="str">
        <f>+Centro_Cuenta8[[#This Row],[Codigo Centro Gestion]]&amp;" - "&amp;Centro_Cuenta8[[#This Row],[Nombre Centro Gestion]]</f>
        <v>370 - DS19 Gran Avenida Etapa 2 (Torre A-B)</v>
      </c>
      <c r="G3098" s="47" t="str">
        <f>+Centro_Cuenta8[[#This Row],[Código Cuenta Contable]]&amp;" - "&amp;Centro_Cuenta8[[#This Row],[Nombre de Cuenta Contable]]</f>
        <v>4103001 - Costos Maquinarias y Equipos</v>
      </c>
      <c r="H3098" s="146" t="str">
        <f>+VLOOKUP(D3098,'3. Cuentas'!A:F,6,0)</f>
        <v>SI</v>
      </c>
    </row>
    <row r="3099" spans="1:8" x14ac:dyDescent="0.25">
      <c r="A3099" s="43">
        <v>370</v>
      </c>
      <c r="B3099" t="s">
        <v>501</v>
      </c>
      <c r="C3099" s="43" t="s">
        <v>65</v>
      </c>
      <c r="D3099" s="43">
        <v>4105001</v>
      </c>
      <c r="E3099" t="s">
        <v>70</v>
      </c>
      <c r="F3099" s="47" t="str">
        <f>+Centro_Cuenta8[[#This Row],[Codigo Centro Gestion]]&amp;" - "&amp;Centro_Cuenta8[[#This Row],[Nombre Centro Gestion]]</f>
        <v>370 - DS19 Gran Avenida Etapa 2 (Torre A-B)</v>
      </c>
      <c r="G3099" s="47" t="str">
        <f>+Centro_Cuenta8[[#This Row],[Código Cuenta Contable]]&amp;" - "&amp;Centro_Cuenta8[[#This Row],[Nombre de Cuenta Contable]]</f>
        <v>4105001 - Costos Generales de Obra</v>
      </c>
      <c r="H3099" s="146" t="str">
        <f>+VLOOKUP(D3099,'3. Cuentas'!A:F,6,0)</f>
        <v>SI</v>
      </c>
    </row>
    <row r="3100" spans="1:8" x14ac:dyDescent="0.25">
      <c r="A3100" s="43">
        <v>371</v>
      </c>
      <c r="B3100" t="s">
        <v>502</v>
      </c>
      <c r="C3100" s="43" t="s">
        <v>65</v>
      </c>
      <c r="D3100" s="43">
        <v>4101001</v>
      </c>
      <c r="E3100" t="s">
        <v>69</v>
      </c>
      <c r="F3100" s="47" t="str">
        <f>+Centro_Cuenta8[[#This Row],[Codigo Centro Gestion]]&amp;" - "&amp;Centro_Cuenta8[[#This Row],[Nombre Centro Gestion]]</f>
        <v>371 - Manuel Jesus Rivera Lote 1 Ltda</v>
      </c>
      <c r="G3100" s="47" t="str">
        <f>+Centro_Cuenta8[[#This Row],[Código Cuenta Contable]]&amp;" - "&amp;Centro_Cuenta8[[#This Row],[Nombre de Cuenta Contable]]</f>
        <v>4101001 - Costos Materiales de Obra</v>
      </c>
      <c r="H3100" s="146" t="str">
        <f>+VLOOKUP(D3100,'3. Cuentas'!A:F,6,0)</f>
        <v>SI</v>
      </c>
    </row>
    <row r="3101" spans="1:8" x14ac:dyDescent="0.25">
      <c r="A3101" s="43">
        <v>371</v>
      </c>
      <c r="B3101" t="s">
        <v>502</v>
      </c>
      <c r="C3101" s="43" t="s">
        <v>65</v>
      </c>
      <c r="D3101" s="43">
        <v>4102001</v>
      </c>
      <c r="E3101" t="s">
        <v>152</v>
      </c>
      <c r="F3101" s="47" t="str">
        <f>+Centro_Cuenta8[[#This Row],[Codigo Centro Gestion]]&amp;" - "&amp;Centro_Cuenta8[[#This Row],[Nombre Centro Gestion]]</f>
        <v>371 - Manuel Jesus Rivera Lote 1 Ltda</v>
      </c>
      <c r="G3101" s="47" t="str">
        <f>+Centro_Cuenta8[[#This Row],[Código Cuenta Contable]]&amp;" - "&amp;Centro_Cuenta8[[#This Row],[Nombre de Cuenta Contable]]</f>
        <v>4102001 - Costos Subcontratos</v>
      </c>
      <c r="H3101" s="146" t="str">
        <f>+VLOOKUP(D3101,'3. Cuentas'!A:F,6,0)</f>
        <v>SI</v>
      </c>
    </row>
    <row r="3102" spans="1:8" x14ac:dyDescent="0.25">
      <c r="A3102" s="43">
        <v>371</v>
      </c>
      <c r="B3102" t="s">
        <v>502</v>
      </c>
      <c r="C3102" s="43" t="s">
        <v>65</v>
      </c>
      <c r="D3102" s="43">
        <v>4103001</v>
      </c>
      <c r="E3102" t="s">
        <v>223</v>
      </c>
      <c r="F3102" s="47" t="str">
        <f>+Centro_Cuenta8[[#This Row],[Codigo Centro Gestion]]&amp;" - "&amp;Centro_Cuenta8[[#This Row],[Nombre Centro Gestion]]</f>
        <v>371 - Manuel Jesus Rivera Lote 1 Ltda</v>
      </c>
      <c r="G3102" s="47" t="str">
        <f>+Centro_Cuenta8[[#This Row],[Código Cuenta Contable]]&amp;" - "&amp;Centro_Cuenta8[[#This Row],[Nombre de Cuenta Contable]]</f>
        <v>4103001 - Costos Maquinarias y Equipos</v>
      </c>
      <c r="H3102" s="146" t="str">
        <f>+VLOOKUP(D3102,'3. Cuentas'!A:F,6,0)</f>
        <v>SI</v>
      </c>
    </row>
    <row r="3103" spans="1:8" x14ac:dyDescent="0.25">
      <c r="A3103" s="43">
        <v>371</v>
      </c>
      <c r="B3103" t="s">
        <v>502</v>
      </c>
      <c r="C3103" s="43" t="s">
        <v>65</v>
      </c>
      <c r="D3103" s="43">
        <v>4105001</v>
      </c>
      <c r="E3103" t="s">
        <v>70</v>
      </c>
      <c r="F3103" s="47" t="str">
        <f>+Centro_Cuenta8[[#This Row],[Codigo Centro Gestion]]&amp;" - "&amp;Centro_Cuenta8[[#This Row],[Nombre Centro Gestion]]</f>
        <v>371 - Manuel Jesus Rivera Lote 1 Ltda</v>
      </c>
      <c r="G3103" s="47" t="str">
        <f>+Centro_Cuenta8[[#This Row],[Código Cuenta Contable]]&amp;" - "&amp;Centro_Cuenta8[[#This Row],[Nombre de Cuenta Contable]]</f>
        <v>4105001 - Costos Generales de Obra</v>
      </c>
      <c r="H3103" s="146" t="str">
        <f>+VLOOKUP(D3103,'3. Cuentas'!A:F,6,0)</f>
        <v>SI</v>
      </c>
    </row>
    <row r="3104" spans="1:8" x14ac:dyDescent="0.25">
      <c r="A3104" s="43">
        <v>372</v>
      </c>
      <c r="B3104" t="s">
        <v>503</v>
      </c>
      <c r="C3104" s="43" t="s">
        <v>65</v>
      </c>
      <c r="D3104" s="43">
        <v>4101001</v>
      </c>
      <c r="E3104" t="s">
        <v>69</v>
      </c>
      <c r="F3104" s="47" t="str">
        <f>+Centro_Cuenta8[[#This Row],[Codigo Centro Gestion]]&amp;" - "&amp;Centro_Cuenta8[[#This Row],[Nombre Centro Gestion]]</f>
        <v>372 - El Yodo Ltda</v>
      </c>
      <c r="G3104" s="47" t="str">
        <f>+Centro_Cuenta8[[#This Row],[Código Cuenta Contable]]&amp;" - "&amp;Centro_Cuenta8[[#This Row],[Nombre de Cuenta Contable]]</f>
        <v>4101001 - Costos Materiales de Obra</v>
      </c>
      <c r="H3104" s="146" t="str">
        <f>+VLOOKUP(D3104,'3. Cuentas'!A:F,6,0)</f>
        <v>SI</v>
      </c>
    </row>
    <row r="3105" spans="1:8" x14ac:dyDescent="0.25">
      <c r="A3105" s="43">
        <v>372</v>
      </c>
      <c r="B3105" t="s">
        <v>503</v>
      </c>
      <c r="C3105" s="43" t="s">
        <v>65</v>
      </c>
      <c r="D3105" s="43">
        <v>4102001</v>
      </c>
      <c r="E3105" t="s">
        <v>152</v>
      </c>
      <c r="F3105" s="47" t="str">
        <f>+Centro_Cuenta8[[#This Row],[Codigo Centro Gestion]]&amp;" - "&amp;Centro_Cuenta8[[#This Row],[Nombre Centro Gestion]]</f>
        <v>372 - El Yodo Ltda</v>
      </c>
      <c r="G3105" s="47" t="str">
        <f>+Centro_Cuenta8[[#This Row],[Código Cuenta Contable]]&amp;" - "&amp;Centro_Cuenta8[[#This Row],[Nombre de Cuenta Contable]]</f>
        <v>4102001 - Costos Subcontratos</v>
      </c>
      <c r="H3105" s="146" t="str">
        <f>+VLOOKUP(D3105,'3. Cuentas'!A:F,6,0)</f>
        <v>SI</v>
      </c>
    </row>
    <row r="3106" spans="1:8" x14ac:dyDescent="0.25">
      <c r="A3106" s="43">
        <v>372</v>
      </c>
      <c r="B3106" t="s">
        <v>503</v>
      </c>
      <c r="C3106" s="43" t="s">
        <v>65</v>
      </c>
      <c r="D3106" s="43">
        <v>4103001</v>
      </c>
      <c r="E3106" t="s">
        <v>223</v>
      </c>
      <c r="F3106" s="47" t="str">
        <f>+Centro_Cuenta8[[#This Row],[Codigo Centro Gestion]]&amp;" - "&amp;Centro_Cuenta8[[#This Row],[Nombre Centro Gestion]]</f>
        <v>372 - El Yodo Ltda</v>
      </c>
      <c r="G3106" s="47" t="str">
        <f>+Centro_Cuenta8[[#This Row],[Código Cuenta Contable]]&amp;" - "&amp;Centro_Cuenta8[[#This Row],[Nombre de Cuenta Contable]]</f>
        <v>4103001 - Costos Maquinarias y Equipos</v>
      </c>
      <c r="H3106" s="146" t="str">
        <f>+VLOOKUP(D3106,'3. Cuentas'!A:F,6,0)</f>
        <v>SI</v>
      </c>
    </row>
    <row r="3107" spans="1:8" x14ac:dyDescent="0.25">
      <c r="A3107" s="43">
        <v>372</v>
      </c>
      <c r="B3107" t="s">
        <v>503</v>
      </c>
      <c r="C3107" s="43" t="s">
        <v>65</v>
      </c>
      <c r="D3107" s="43">
        <v>4105001</v>
      </c>
      <c r="E3107" t="s">
        <v>70</v>
      </c>
      <c r="F3107" s="47" t="str">
        <f>+Centro_Cuenta8[[#This Row],[Codigo Centro Gestion]]&amp;" - "&amp;Centro_Cuenta8[[#This Row],[Nombre Centro Gestion]]</f>
        <v>372 - El Yodo Ltda</v>
      </c>
      <c r="G3107" s="47" t="str">
        <f>+Centro_Cuenta8[[#This Row],[Código Cuenta Contable]]&amp;" - "&amp;Centro_Cuenta8[[#This Row],[Nombre de Cuenta Contable]]</f>
        <v>4105001 - Costos Generales de Obra</v>
      </c>
      <c r="H3107" s="146" t="str">
        <f>+VLOOKUP(D3107,'3. Cuentas'!A:F,6,0)</f>
        <v>SI</v>
      </c>
    </row>
    <row r="3108" spans="1:8" x14ac:dyDescent="0.25">
      <c r="A3108" s="43">
        <v>373</v>
      </c>
      <c r="B3108" t="s">
        <v>4304</v>
      </c>
      <c r="C3108" s="43" t="s">
        <v>65</v>
      </c>
      <c r="D3108" s="43">
        <v>4101001</v>
      </c>
      <c r="E3108" t="s">
        <v>69</v>
      </c>
      <c r="F3108" s="47" t="str">
        <f>+Centro_Cuenta8[[#This Row],[Codigo Centro Gestion]]&amp;" - "&amp;Centro_Cuenta8[[#This Row],[Nombre Centro Gestion]]</f>
        <v>373 - Edificio Teresa Vial Ltda</v>
      </c>
      <c r="G3108" s="47" t="str">
        <f>+Centro_Cuenta8[[#This Row],[Código Cuenta Contable]]&amp;" - "&amp;Centro_Cuenta8[[#This Row],[Nombre de Cuenta Contable]]</f>
        <v>4101001 - Costos Materiales de Obra</v>
      </c>
      <c r="H3108" s="146" t="str">
        <f>+VLOOKUP(D3108,'3. Cuentas'!A:F,6,0)</f>
        <v>SI</v>
      </c>
    </row>
    <row r="3109" spans="1:8" x14ac:dyDescent="0.25">
      <c r="A3109" s="43">
        <v>373</v>
      </c>
      <c r="B3109" t="s">
        <v>4304</v>
      </c>
      <c r="C3109" s="43" t="s">
        <v>65</v>
      </c>
      <c r="D3109" s="43">
        <v>4102001</v>
      </c>
      <c r="E3109" t="s">
        <v>152</v>
      </c>
      <c r="F3109" s="47" t="str">
        <f>+Centro_Cuenta8[[#This Row],[Codigo Centro Gestion]]&amp;" - "&amp;Centro_Cuenta8[[#This Row],[Nombre Centro Gestion]]</f>
        <v>373 - Edificio Teresa Vial Ltda</v>
      </c>
      <c r="G3109" s="47" t="str">
        <f>+Centro_Cuenta8[[#This Row],[Código Cuenta Contable]]&amp;" - "&amp;Centro_Cuenta8[[#This Row],[Nombre de Cuenta Contable]]</f>
        <v>4102001 - Costos Subcontratos</v>
      </c>
      <c r="H3109" s="146" t="str">
        <f>+VLOOKUP(D3109,'3. Cuentas'!A:F,6,0)</f>
        <v>SI</v>
      </c>
    </row>
    <row r="3110" spans="1:8" x14ac:dyDescent="0.25">
      <c r="A3110" s="43">
        <v>373</v>
      </c>
      <c r="B3110" t="s">
        <v>4304</v>
      </c>
      <c r="C3110" s="43" t="s">
        <v>65</v>
      </c>
      <c r="D3110" s="43">
        <v>4103001</v>
      </c>
      <c r="E3110" t="s">
        <v>223</v>
      </c>
      <c r="F3110" s="47" t="str">
        <f>+Centro_Cuenta8[[#This Row],[Codigo Centro Gestion]]&amp;" - "&amp;Centro_Cuenta8[[#This Row],[Nombre Centro Gestion]]</f>
        <v>373 - Edificio Teresa Vial Ltda</v>
      </c>
      <c r="G3110" s="47" t="str">
        <f>+Centro_Cuenta8[[#This Row],[Código Cuenta Contable]]&amp;" - "&amp;Centro_Cuenta8[[#This Row],[Nombre de Cuenta Contable]]</f>
        <v>4103001 - Costos Maquinarias y Equipos</v>
      </c>
      <c r="H3110" s="146" t="str">
        <f>+VLOOKUP(D3110,'3. Cuentas'!A:F,6,0)</f>
        <v>SI</v>
      </c>
    </row>
    <row r="3111" spans="1:8" x14ac:dyDescent="0.25">
      <c r="A3111" s="43">
        <v>373</v>
      </c>
      <c r="B3111" t="s">
        <v>4304</v>
      </c>
      <c r="C3111" s="43" t="s">
        <v>65</v>
      </c>
      <c r="D3111" s="43">
        <v>4105001</v>
      </c>
      <c r="E3111" t="s">
        <v>70</v>
      </c>
      <c r="F3111" s="47" t="str">
        <f>+Centro_Cuenta8[[#This Row],[Codigo Centro Gestion]]&amp;" - "&amp;Centro_Cuenta8[[#This Row],[Nombre Centro Gestion]]</f>
        <v>373 - Edificio Teresa Vial Ltda</v>
      </c>
      <c r="G3111" s="47" t="str">
        <f>+Centro_Cuenta8[[#This Row],[Código Cuenta Contable]]&amp;" - "&amp;Centro_Cuenta8[[#This Row],[Nombre de Cuenta Contable]]</f>
        <v>4105001 - Costos Generales de Obra</v>
      </c>
      <c r="H3111" s="146" t="str">
        <f>+VLOOKUP(D3111,'3. Cuentas'!A:F,6,0)</f>
        <v>SI</v>
      </c>
    </row>
    <row r="3112" spans="1:8" x14ac:dyDescent="0.25">
      <c r="A3112" s="43">
        <v>374</v>
      </c>
      <c r="B3112" t="s">
        <v>4310</v>
      </c>
      <c r="C3112" s="43" t="s">
        <v>65</v>
      </c>
      <c r="D3112" s="43">
        <v>4101001</v>
      </c>
      <c r="E3112" t="s">
        <v>69</v>
      </c>
      <c r="F3112" s="47" t="str">
        <f>+Centro_Cuenta8[[#This Row],[Codigo Centro Gestion]]&amp;" - "&amp;Centro_Cuenta8[[#This Row],[Nombre Centro Gestion]]</f>
        <v>374 - DS49 Valle Alto Placilla Ltda</v>
      </c>
      <c r="G3112" s="47" t="str">
        <f>+Centro_Cuenta8[[#This Row],[Código Cuenta Contable]]&amp;" - "&amp;Centro_Cuenta8[[#This Row],[Nombre de Cuenta Contable]]</f>
        <v>4101001 - Costos Materiales de Obra</v>
      </c>
      <c r="H3112" s="146" t="str">
        <f>+VLOOKUP(D3112,'3. Cuentas'!A:F,6,0)</f>
        <v>SI</v>
      </c>
    </row>
    <row r="3113" spans="1:8" x14ac:dyDescent="0.25">
      <c r="A3113" s="43">
        <v>374</v>
      </c>
      <c r="B3113" t="s">
        <v>4310</v>
      </c>
      <c r="C3113" s="43" t="s">
        <v>65</v>
      </c>
      <c r="D3113" s="43">
        <v>4102001</v>
      </c>
      <c r="E3113" t="s">
        <v>152</v>
      </c>
      <c r="F3113" s="47" t="str">
        <f>+Centro_Cuenta8[[#This Row],[Codigo Centro Gestion]]&amp;" - "&amp;Centro_Cuenta8[[#This Row],[Nombre Centro Gestion]]</f>
        <v>374 - DS49 Valle Alto Placilla Ltda</v>
      </c>
      <c r="G3113" s="47" t="str">
        <f>+Centro_Cuenta8[[#This Row],[Código Cuenta Contable]]&amp;" - "&amp;Centro_Cuenta8[[#This Row],[Nombre de Cuenta Contable]]</f>
        <v>4102001 - Costos Subcontratos</v>
      </c>
      <c r="H3113" s="146" t="str">
        <f>+VLOOKUP(D3113,'3. Cuentas'!A:F,6,0)</f>
        <v>SI</v>
      </c>
    </row>
    <row r="3114" spans="1:8" x14ac:dyDescent="0.25">
      <c r="A3114" s="43">
        <v>374</v>
      </c>
      <c r="B3114" t="s">
        <v>4310</v>
      </c>
      <c r="C3114" s="43" t="s">
        <v>65</v>
      </c>
      <c r="D3114" s="43">
        <v>4103001</v>
      </c>
      <c r="E3114" t="s">
        <v>223</v>
      </c>
      <c r="F3114" s="47" t="str">
        <f>+Centro_Cuenta8[[#This Row],[Codigo Centro Gestion]]&amp;" - "&amp;Centro_Cuenta8[[#This Row],[Nombre Centro Gestion]]</f>
        <v>374 - DS49 Valle Alto Placilla Ltda</v>
      </c>
      <c r="G3114" s="47" t="str">
        <f>+Centro_Cuenta8[[#This Row],[Código Cuenta Contable]]&amp;" - "&amp;Centro_Cuenta8[[#This Row],[Nombre de Cuenta Contable]]</f>
        <v>4103001 - Costos Maquinarias y Equipos</v>
      </c>
      <c r="H3114" s="146" t="str">
        <f>+VLOOKUP(D3114,'3. Cuentas'!A:F,6,0)</f>
        <v>SI</v>
      </c>
    </row>
    <row r="3115" spans="1:8" x14ac:dyDescent="0.25">
      <c r="A3115" s="43">
        <v>374</v>
      </c>
      <c r="B3115" t="s">
        <v>4310</v>
      </c>
      <c r="C3115" s="43" t="s">
        <v>65</v>
      </c>
      <c r="D3115" s="43">
        <v>4105001</v>
      </c>
      <c r="E3115" t="s">
        <v>70</v>
      </c>
      <c r="F3115" s="47" t="str">
        <f>+Centro_Cuenta8[[#This Row],[Codigo Centro Gestion]]&amp;" - "&amp;Centro_Cuenta8[[#This Row],[Nombre Centro Gestion]]</f>
        <v>374 - DS49 Valle Alto Placilla Ltda</v>
      </c>
      <c r="G3115" s="47" t="str">
        <f>+Centro_Cuenta8[[#This Row],[Código Cuenta Contable]]&amp;" - "&amp;Centro_Cuenta8[[#This Row],[Nombre de Cuenta Contable]]</f>
        <v>4105001 - Costos Generales de Obra</v>
      </c>
      <c r="H3115" s="146" t="str">
        <f>+VLOOKUP(D3115,'3. Cuentas'!A:F,6,0)</f>
        <v>SI</v>
      </c>
    </row>
    <row r="3116" spans="1:8" x14ac:dyDescent="0.25">
      <c r="A3116" s="43">
        <v>50001</v>
      </c>
      <c r="B3116" t="s">
        <v>217</v>
      </c>
      <c r="C3116" s="43" t="s">
        <v>1529</v>
      </c>
      <c r="D3116" s="43">
        <v>1110040</v>
      </c>
      <c r="E3116" t="s">
        <v>1505</v>
      </c>
      <c r="F3116" s="47" t="str">
        <f>+Centro_Cuenta8[[#This Row],[Codigo Centro Gestion]]&amp;" - "&amp;Centro_Cuenta8[[#This Row],[Nombre Centro Gestion]]</f>
        <v>50001 - Bodega Central y Maquinaria</v>
      </c>
      <c r="G3116" s="47" t="str">
        <f>+Centro_Cuenta8[[#This Row],[Código Cuenta Contable]]&amp;" - "&amp;Centro_Cuenta8[[#This Row],[Nombre de Cuenta Contable]]</f>
        <v>1110040 - Garantía Pagadas</v>
      </c>
      <c r="H3116" s="146" t="str">
        <f>+VLOOKUP(D3116,'3. Cuentas'!A:F,6,0)</f>
        <v>SI</v>
      </c>
    </row>
    <row r="3117" spans="1:8" x14ac:dyDescent="0.25">
      <c r="A3117" s="43">
        <v>50001</v>
      </c>
      <c r="B3117" t="s">
        <v>217</v>
      </c>
      <c r="C3117" s="43" t="s">
        <v>1529</v>
      </c>
      <c r="D3117" s="43">
        <v>4101001</v>
      </c>
      <c r="E3117" t="s">
        <v>69</v>
      </c>
      <c r="F3117" s="47" t="str">
        <f>+Centro_Cuenta8[[#This Row],[Codigo Centro Gestion]]&amp;" - "&amp;Centro_Cuenta8[[#This Row],[Nombre Centro Gestion]]</f>
        <v>50001 - Bodega Central y Maquinaria</v>
      </c>
      <c r="G3117" s="47" t="str">
        <f>+Centro_Cuenta8[[#This Row],[Código Cuenta Contable]]&amp;" - "&amp;Centro_Cuenta8[[#This Row],[Nombre de Cuenta Contable]]</f>
        <v>4101001 - Costos Materiales de Obra</v>
      </c>
      <c r="H3117" s="146" t="str">
        <f>+VLOOKUP(D3117,'3. Cuentas'!A:F,6,0)</f>
        <v>SI</v>
      </c>
    </row>
    <row r="3118" spans="1:8" x14ac:dyDescent="0.25">
      <c r="A3118" s="43">
        <v>50001</v>
      </c>
      <c r="B3118" t="s">
        <v>217</v>
      </c>
      <c r="C3118" s="43" t="s">
        <v>1529</v>
      </c>
      <c r="D3118" s="43">
        <v>4102001</v>
      </c>
      <c r="E3118" t="s">
        <v>152</v>
      </c>
      <c r="F3118" s="47" t="str">
        <f>+Centro_Cuenta8[[#This Row],[Codigo Centro Gestion]]&amp;" - "&amp;Centro_Cuenta8[[#This Row],[Nombre Centro Gestion]]</f>
        <v>50001 - Bodega Central y Maquinaria</v>
      </c>
      <c r="G3118" s="47" t="str">
        <f>+Centro_Cuenta8[[#This Row],[Código Cuenta Contable]]&amp;" - "&amp;Centro_Cuenta8[[#This Row],[Nombre de Cuenta Contable]]</f>
        <v>4102001 - Costos Subcontratos</v>
      </c>
      <c r="H3118" s="146" t="str">
        <f>+VLOOKUP(D3118,'3. Cuentas'!A:F,6,0)</f>
        <v>SI</v>
      </c>
    </row>
    <row r="3119" spans="1:8" x14ac:dyDescent="0.25">
      <c r="A3119" s="43">
        <v>50001</v>
      </c>
      <c r="B3119" t="s">
        <v>217</v>
      </c>
      <c r="C3119" s="43" t="s">
        <v>1529</v>
      </c>
      <c r="D3119" s="43">
        <v>4103001</v>
      </c>
      <c r="E3119" t="s">
        <v>223</v>
      </c>
      <c r="F3119" s="47" t="str">
        <f>+Centro_Cuenta8[[#This Row],[Codigo Centro Gestion]]&amp;" - "&amp;Centro_Cuenta8[[#This Row],[Nombre Centro Gestion]]</f>
        <v>50001 - Bodega Central y Maquinaria</v>
      </c>
      <c r="G3119" s="47" t="str">
        <f>+Centro_Cuenta8[[#This Row],[Código Cuenta Contable]]&amp;" - "&amp;Centro_Cuenta8[[#This Row],[Nombre de Cuenta Contable]]</f>
        <v>4103001 - Costos Maquinarias y Equipos</v>
      </c>
      <c r="H3119" s="146" t="str">
        <f>+VLOOKUP(D3119,'3. Cuentas'!A:F,6,0)</f>
        <v>SI</v>
      </c>
    </row>
    <row r="3120" spans="1:8" x14ac:dyDescent="0.25">
      <c r="A3120" s="43">
        <v>50001</v>
      </c>
      <c r="B3120" t="s">
        <v>217</v>
      </c>
      <c r="C3120" s="43" t="s">
        <v>1529</v>
      </c>
      <c r="D3120" s="43">
        <v>4105001</v>
      </c>
      <c r="E3120" t="s">
        <v>70</v>
      </c>
      <c r="F3120" s="47" t="str">
        <f>+Centro_Cuenta8[[#This Row],[Codigo Centro Gestion]]&amp;" - "&amp;Centro_Cuenta8[[#This Row],[Nombre Centro Gestion]]</f>
        <v>50001 - Bodega Central y Maquinaria</v>
      </c>
      <c r="G3120" s="47" t="str">
        <f>+Centro_Cuenta8[[#This Row],[Código Cuenta Contable]]&amp;" - "&amp;Centro_Cuenta8[[#This Row],[Nombre de Cuenta Contable]]</f>
        <v>4105001 - Costos Generales de Obra</v>
      </c>
      <c r="H3120" s="146" t="str">
        <f>+VLOOKUP(D3120,'3. Cuentas'!A:F,6,0)</f>
        <v>SI</v>
      </c>
    </row>
    <row r="3121" spans="1:8" x14ac:dyDescent="0.25">
      <c r="A3121" s="43">
        <v>502</v>
      </c>
      <c r="B3121" t="s">
        <v>504</v>
      </c>
      <c r="C3121" s="43" t="s">
        <v>65</v>
      </c>
      <c r="D3121" s="43">
        <v>4101001</v>
      </c>
      <c r="E3121" t="s">
        <v>69</v>
      </c>
      <c r="F3121" s="47" t="str">
        <f>+Centro_Cuenta8[[#This Row],[Codigo Centro Gestion]]&amp;" - "&amp;Centro_Cuenta8[[#This Row],[Nombre Centro Gestion]]</f>
        <v>502 - Labbé 1172</v>
      </c>
      <c r="G3121" s="47" t="str">
        <f>+Centro_Cuenta8[[#This Row],[Código Cuenta Contable]]&amp;" - "&amp;Centro_Cuenta8[[#This Row],[Nombre de Cuenta Contable]]</f>
        <v>4101001 - Costos Materiales de Obra</v>
      </c>
      <c r="H3121" s="146" t="str">
        <f>+VLOOKUP(D3121,'3. Cuentas'!A:F,6,0)</f>
        <v>SI</v>
      </c>
    </row>
    <row r="3122" spans="1:8" x14ac:dyDescent="0.25">
      <c r="A3122" s="43">
        <v>502</v>
      </c>
      <c r="B3122" t="s">
        <v>504</v>
      </c>
      <c r="C3122" s="43" t="s">
        <v>65</v>
      </c>
      <c r="D3122" s="43">
        <v>4102001</v>
      </c>
      <c r="E3122" t="s">
        <v>152</v>
      </c>
      <c r="F3122" s="47" t="str">
        <f>+Centro_Cuenta8[[#This Row],[Codigo Centro Gestion]]&amp;" - "&amp;Centro_Cuenta8[[#This Row],[Nombre Centro Gestion]]</f>
        <v>502 - Labbé 1172</v>
      </c>
      <c r="G3122" s="47" t="str">
        <f>+Centro_Cuenta8[[#This Row],[Código Cuenta Contable]]&amp;" - "&amp;Centro_Cuenta8[[#This Row],[Nombre de Cuenta Contable]]</f>
        <v>4102001 - Costos Subcontratos</v>
      </c>
      <c r="H3122" s="146" t="str">
        <f>+VLOOKUP(D3122,'3. Cuentas'!A:F,6,0)</f>
        <v>SI</v>
      </c>
    </row>
    <row r="3123" spans="1:8" x14ac:dyDescent="0.25">
      <c r="A3123" s="43">
        <v>502</v>
      </c>
      <c r="B3123" t="s">
        <v>504</v>
      </c>
      <c r="C3123" s="43" t="s">
        <v>65</v>
      </c>
      <c r="D3123" s="43">
        <v>4103001</v>
      </c>
      <c r="E3123" t="s">
        <v>223</v>
      </c>
      <c r="F3123" s="47" t="str">
        <f>+Centro_Cuenta8[[#This Row],[Codigo Centro Gestion]]&amp;" - "&amp;Centro_Cuenta8[[#This Row],[Nombre Centro Gestion]]</f>
        <v>502 - Labbé 1172</v>
      </c>
      <c r="G3123" s="47" t="str">
        <f>+Centro_Cuenta8[[#This Row],[Código Cuenta Contable]]&amp;" - "&amp;Centro_Cuenta8[[#This Row],[Nombre de Cuenta Contable]]</f>
        <v>4103001 - Costos Maquinarias y Equipos</v>
      </c>
      <c r="H3123" s="146" t="str">
        <f>+VLOOKUP(D3123,'3. Cuentas'!A:F,6,0)</f>
        <v>SI</v>
      </c>
    </row>
    <row r="3124" spans="1:8" x14ac:dyDescent="0.25">
      <c r="A3124" s="43">
        <v>502</v>
      </c>
      <c r="B3124" t="s">
        <v>504</v>
      </c>
      <c r="C3124" s="43" t="s">
        <v>65</v>
      </c>
      <c r="D3124" s="43">
        <v>4105001</v>
      </c>
      <c r="E3124" t="s">
        <v>70</v>
      </c>
      <c r="F3124" s="47" t="str">
        <f>+Centro_Cuenta8[[#This Row],[Codigo Centro Gestion]]&amp;" - "&amp;Centro_Cuenta8[[#This Row],[Nombre Centro Gestion]]</f>
        <v>502 - Labbé 1172</v>
      </c>
      <c r="G3124" s="47" t="str">
        <f>+Centro_Cuenta8[[#This Row],[Código Cuenta Contable]]&amp;" - "&amp;Centro_Cuenta8[[#This Row],[Nombre de Cuenta Contable]]</f>
        <v>4105001 - Costos Generales de Obra</v>
      </c>
      <c r="H3124" s="146" t="str">
        <f>+VLOOKUP(D3124,'3. Cuentas'!A:F,6,0)</f>
        <v>SI</v>
      </c>
    </row>
    <row r="3125" spans="1:8" x14ac:dyDescent="0.25">
      <c r="A3125" s="43">
        <v>70101</v>
      </c>
      <c r="B3125" t="s">
        <v>227</v>
      </c>
      <c r="C3125" s="43" t="s">
        <v>1530</v>
      </c>
      <c r="D3125" s="43">
        <v>4201013</v>
      </c>
      <c r="E3125" t="s">
        <v>76</v>
      </c>
      <c r="F3125" s="47" t="str">
        <f>+Centro_Cuenta8[[#This Row],[Codigo Centro Gestion]]&amp;" - "&amp;Centro_Cuenta8[[#This Row],[Nombre Centro Gestion]]</f>
        <v>70101 - GERENCIA DE CLIENTES</v>
      </c>
      <c r="G3125" s="47" t="str">
        <f>+Centro_Cuenta8[[#This Row],[Código Cuenta Contable]]&amp;" - "&amp;Centro_Cuenta8[[#This Row],[Nombre de Cuenta Contable]]</f>
        <v>4201013 - Eventos Del Personal</v>
      </c>
      <c r="H3125" s="146" t="str">
        <f>+VLOOKUP(D3125,'3. Cuentas'!A:F,6,0)</f>
        <v>SI</v>
      </c>
    </row>
    <row r="3126" spans="1:8" x14ac:dyDescent="0.25">
      <c r="A3126" s="43">
        <v>70101</v>
      </c>
      <c r="B3126" t="s">
        <v>227</v>
      </c>
      <c r="C3126" s="43" t="s">
        <v>1530</v>
      </c>
      <c r="D3126" s="43">
        <v>4201038</v>
      </c>
      <c r="E3126" t="s">
        <v>102</v>
      </c>
      <c r="F3126" s="47" t="str">
        <f>+Centro_Cuenta8[[#This Row],[Codigo Centro Gestion]]&amp;" - "&amp;Centro_Cuenta8[[#This Row],[Nombre Centro Gestion]]</f>
        <v>70101 - GERENCIA DE CLIENTES</v>
      </c>
      <c r="G3126" s="47" t="str">
        <f>+Centro_Cuenta8[[#This Row],[Código Cuenta Contable]]&amp;" - "&amp;Centro_Cuenta8[[#This Row],[Nombre de Cuenta Contable]]</f>
        <v>4201038 - Beneficios</v>
      </c>
      <c r="H3126" s="146" t="str">
        <f>+VLOOKUP(D3126,'3. Cuentas'!A:F,6,0)</f>
        <v>SI</v>
      </c>
    </row>
    <row r="3127" spans="1:8" x14ac:dyDescent="0.25">
      <c r="A3127" s="43">
        <v>70101</v>
      </c>
      <c r="B3127" t="s">
        <v>227</v>
      </c>
      <c r="C3127" s="43" t="s">
        <v>1530</v>
      </c>
      <c r="D3127" s="43">
        <v>4202009</v>
      </c>
      <c r="E3127" t="s">
        <v>80</v>
      </c>
      <c r="F3127" s="47" t="str">
        <f>+Centro_Cuenta8[[#This Row],[Codigo Centro Gestion]]&amp;" - "&amp;Centro_Cuenta8[[#This Row],[Nombre Centro Gestion]]</f>
        <v>70101 - GERENCIA DE CLIENTES</v>
      </c>
      <c r="G3127" s="47" t="str">
        <f>+Centro_Cuenta8[[#This Row],[Código Cuenta Contable]]&amp;" - "&amp;Centro_Cuenta8[[#This Row],[Nombre de Cuenta Contable]]</f>
        <v>4202009 - Gastos Viajes Y Traslados</v>
      </c>
      <c r="H3127" s="146" t="str">
        <f>+VLOOKUP(D3127,'3. Cuentas'!A:F,6,0)</f>
        <v>SI</v>
      </c>
    </row>
    <row r="3128" spans="1:8" x14ac:dyDescent="0.25">
      <c r="A3128" s="43">
        <v>70101</v>
      </c>
      <c r="B3128" t="s">
        <v>227</v>
      </c>
      <c r="C3128" s="43" t="s">
        <v>1530</v>
      </c>
      <c r="D3128" s="43">
        <v>4202010</v>
      </c>
      <c r="E3128" t="s">
        <v>87</v>
      </c>
      <c r="F3128" s="47" t="str">
        <f>+Centro_Cuenta8[[#This Row],[Codigo Centro Gestion]]&amp;" - "&amp;Centro_Cuenta8[[#This Row],[Nombre Centro Gestion]]</f>
        <v>70101 - GERENCIA DE CLIENTES</v>
      </c>
      <c r="G3128" s="47" t="str">
        <f>+Centro_Cuenta8[[#This Row],[Código Cuenta Contable]]&amp;" - "&amp;Centro_Cuenta8[[#This Row],[Nombre de Cuenta Contable]]</f>
        <v>4202010 - Artic. Ofic. Fotocop.Papelería</v>
      </c>
      <c r="H3128" s="146" t="str">
        <f>+VLOOKUP(D3128,'3. Cuentas'!A:F,6,0)</f>
        <v>SI</v>
      </c>
    </row>
    <row r="3129" spans="1:8" x14ac:dyDescent="0.25">
      <c r="A3129" s="43">
        <v>70101</v>
      </c>
      <c r="B3129" t="s">
        <v>227</v>
      </c>
      <c r="C3129" s="43" t="s">
        <v>1530</v>
      </c>
      <c r="D3129" s="43">
        <v>4202019</v>
      </c>
      <c r="E3129" t="s">
        <v>81</v>
      </c>
      <c r="F3129" s="47" t="str">
        <f>+Centro_Cuenta8[[#This Row],[Codigo Centro Gestion]]&amp;" - "&amp;Centro_Cuenta8[[#This Row],[Nombre Centro Gestion]]</f>
        <v>70101 - GERENCIA DE CLIENTES</v>
      </c>
      <c r="G3129" s="47" t="str">
        <f>+Centro_Cuenta8[[#This Row],[Código Cuenta Contable]]&amp;" - "&amp;Centro_Cuenta8[[#This Row],[Nombre de Cuenta Contable]]</f>
        <v>4202019 - Gasto General Oficina</v>
      </c>
      <c r="H3129" s="146" t="str">
        <f>+VLOOKUP(D3129,'3. Cuentas'!A:F,6,0)</f>
        <v>SI</v>
      </c>
    </row>
    <row r="3130" spans="1:8" x14ac:dyDescent="0.25">
      <c r="A3130" s="43">
        <v>70101</v>
      </c>
      <c r="B3130" t="s">
        <v>227</v>
      </c>
      <c r="C3130" s="43" t="s">
        <v>1530</v>
      </c>
      <c r="D3130" s="43">
        <v>4202023</v>
      </c>
      <c r="E3130" t="s">
        <v>82</v>
      </c>
      <c r="F3130" s="47" t="str">
        <f>+Centro_Cuenta8[[#This Row],[Codigo Centro Gestion]]&amp;" - "&amp;Centro_Cuenta8[[#This Row],[Nombre Centro Gestion]]</f>
        <v>70101 - GERENCIA DE CLIENTES</v>
      </c>
      <c r="G3130" s="47" t="str">
        <f>+Centro_Cuenta8[[#This Row],[Código Cuenta Contable]]&amp;" - "&amp;Centro_Cuenta8[[#This Row],[Nombre de Cuenta Contable]]</f>
        <v>4202023 - Honorarios Por Asesorías</v>
      </c>
      <c r="H3130" s="146" t="str">
        <f>+VLOOKUP(D3130,'3. Cuentas'!A:F,6,0)</f>
        <v>SI</v>
      </c>
    </row>
    <row r="3131" spans="1:8" x14ac:dyDescent="0.25">
      <c r="A3131" s="43">
        <v>70101</v>
      </c>
      <c r="B3131" t="s">
        <v>227</v>
      </c>
      <c r="C3131" s="43" t="s">
        <v>1530</v>
      </c>
      <c r="D3131" s="43">
        <v>4202029</v>
      </c>
      <c r="E3131" t="s">
        <v>83</v>
      </c>
      <c r="F3131" s="47" t="str">
        <f>+Centro_Cuenta8[[#This Row],[Codigo Centro Gestion]]&amp;" - "&amp;Centro_Cuenta8[[#This Row],[Nombre Centro Gestion]]</f>
        <v>70101 - GERENCIA DE CLIENTES</v>
      </c>
      <c r="G3131" s="47" t="str">
        <f>+Centro_Cuenta8[[#This Row],[Código Cuenta Contable]]&amp;" - "&amp;Centro_Cuenta8[[#This Row],[Nombre de Cuenta Contable]]</f>
        <v>4202029 - Insumos Y Gastos Informáticos</v>
      </c>
      <c r="H3131" s="146" t="str">
        <f>+VLOOKUP(D3131,'3. Cuentas'!A:F,6,0)</f>
        <v>SI</v>
      </c>
    </row>
    <row r="3132" spans="1:8" x14ac:dyDescent="0.25">
      <c r="A3132" s="43">
        <v>70102</v>
      </c>
      <c r="B3132" t="s">
        <v>229</v>
      </c>
      <c r="C3132" s="43" t="s">
        <v>1531</v>
      </c>
      <c r="D3132" s="43">
        <v>4201013</v>
      </c>
      <c r="E3132" t="s">
        <v>76</v>
      </c>
      <c r="F3132" s="47" t="str">
        <f>+Centro_Cuenta8[[#This Row],[Codigo Centro Gestion]]&amp;" - "&amp;Centro_Cuenta8[[#This Row],[Nombre Centro Gestion]]</f>
        <v>70102 - MARKETING</v>
      </c>
      <c r="G3132" s="47" t="str">
        <f>+Centro_Cuenta8[[#This Row],[Código Cuenta Contable]]&amp;" - "&amp;Centro_Cuenta8[[#This Row],[Nombre de Cuenta Contable]]</f>
        <v>4201013 - Eventos Del Personal</v>
      </c>
      <c r="H3132" s="146" t="str">
        <f>+VLOOKUP(D3132,'3. Cuentas'!A:F,6,0)</f>
        <v>SI</v>
      </c>
    </row>
    <row r="3133" spans="1:8" x14ac:dyDescent="0.25">
      <c r="A3133" s="43">
        <v>70102</v>
      </c>
      <c r="B3133" t="s">
        <v>229</v>
      </c>
      <c r="C3133" s="43" t="s">
        <v>1531</v>
      </c>
      <c r="D3133" s="43">
        <v>4201038</v>
      </c>
      <c r="E3133" t="s">
        <v>102</v>
      </c>
      <c r="F3133" s="47" t="str">
        <f>+Centro_Cuenta8[[#This Row],[Codigo Centro Gestion]]&amp;" - "&amp;Centro_Cuenta8[[#This Row],[Nombre Centro Gestion]]</f>
        <v>70102 - MARKETING</v>
      </c>
      <c r="G3133" s="47" t="str">
        <f>+Centro_Cuenta8[[#This Row],[Código Cuenta Contable]]&amp;" - "&amp;Centro_Cuenta8[[#This Row],[Nombre de Cuenta Contable]]</f>
        <v>4201038 - Beneficios</v>
      </c>
      <c r="H3133" s="146" t="str">
        <f>+VLOOKUP(D3133,'3. Cuentas'!A:F,6,0)</f>
        <v>SI</v>
      </c>
    </row>
    <row r="3134" spans="1:8" x14ac:dyDescent="0.25">
      <c r="A3134" s="43">
        <v>70102</v>
      </c>
      <c r="B3134" t="s">
        <v>229</v>
      </c>
      <c r="C3134" s="43" t="s">
        <v>1531</v>
      </c>
      <c r="D3134" s="43">
        <v>4202009</v>
      </c>
      <c r="E3134" t="s">
        <v>80</v>
      </c>
      <c r="F3134" s="47" t="str">
        <f>+Centro_Cuenta8[[#This Row],[Codigo Centro Gestion]]&amp;" - "&amp;Centro_Cuenta8[[#This Row],[Nombre Centro Gestion]]</f>
        <v>70102 - MARKETING</v>
      </c>
      <c r="G3134" s="47" t="str">
        <f>+Centro_Cuenta8[[#This Row],[Código Cuenta Contable]]&amp;" - "&amp;Centro_Cuenta8[[#This Row],[Nombre de Cuenta Contable]]</f>
        <v>4202009 - Gastos Viajes Y Traslados</v>
      </c>
      <c r="H3134" s="146" t="str">
        <f>+VLOOKUP(D3134,'3. Cuentas'!A:F,6,0)</f>
        <v>SI</v>
      </c>
    </row>
    <row r="3135" spans="1:8" x14ac:dyDescent="0.25">
      <c r="A3135" s="43">
        <v>70102</v>
      </c>
      <c r="B3135" t="s">
        <v>229</v>
      </c>
      <c r="C3135" s="43" t="s">
        <v>1531</v>
      </c>
      <c r="D3135" s="43">
        <v>4202010</v>
      </c>
      <c r="E3135" t="s">
        <v>87</v>
      </c>
      <c r="F3135" s="47" t="str">
        <f>+Centro_Cuenta8[[#This Row],[Codigo Centro Gestion]]&amp;" - "&amp;Centro_Cuenta8[[#This Row],[Nombre Centro Gestion]]</f>
        <v>70102 - MARKETING</v>
      </c>
      <c r="G3135" s="47" t="str">
        <f>+Centro_Cuenta8[[#This Row],[Código Cuenta Contable]]&amp;" - "&amp;Centro_Cuenta8[[#This Row],[Nombre de Cuenta Contable]]</f>
        <v>4202010 - Artic. Ofic. Fotocop.Papelería</v>
      </c>
      <c r="H3135" s="146" t="str">
        <f>+VLOOKUP(D3135,'3. Cuentas'!A:F,6,0)</f>
        <v>SI</v>
      </c>
    </row>
    <row r="3136" spans="1:8" x14ac:dyDescent="0.25">
      <c r="A3136" s="43">
        <v>70102</v>
      </c>
      <c r="B3136" t="s">
        <v>229</v>
      </c>
      <c r="C3136" s="43" t="s">
        <v>1531</v>
      </c>
      <c r="D3136" s="43">
        <v>4202019</v>
      </c>
      <c r="E3136" t="s">
        <v>81</v>
      </c>
      <c r="F3136" s="47" t="str">
        <f>+Centro_Cuenta8[[#This Row],[Codigo Centro Gestion]]&amp;" - "&amp;Centro_Cuenta8[[#This Row],[Nombre Centro Gestion]]</f>
        <v>70102 - MARKETING</v>
      </c>
      <c r="G3136" s="47" t="str">
        <f>+Centro_Cuenta8[[#This Row],[Código Cuenta Contable]]&amp;" - "&amp;Centro_Cuenta8[[#This Row],[Nombre de Cuenta Contable]]</f>
        <v>4202019 - Gasto General Oficina</v>
      </c>
      <c r="H3136" s="146" t="str">
        <f>+VLOOKUP(D3136,'3. Cuentas'!A:F,6,0)</f>
        <v>SI</v>
      </c>
    </row>
    <row r="3137" spans="1:8" x14ac:dyDescent="0.25">
      <c r="A3137" s="43">
        <v>70102</v>
      </c>
      <c r="B3137" t="s">
        <v>229</v>
      </c>
      <c r="C3137" s="43" t="s">
        <v>1531</v>
      </c>
      <c r="D3137" s="43">
        <v>4202023</v>
      </c>
      <c r="E3137" t="s">
        <v>82</v>
      </c>
      <c r="F3137" s="47" t="str">
        <f>+Centro_Cuenta8[[#This Row],[Codigo Centro Gestion]]&amp;" - "&amp;Centro_Cuenta8[[#This Row],[Nombre Centro Gestion]]</f>
        <v>70102 - MARKETING</v>
      </c>
      <c r="G3137" s="47" t="str">
        <f>+Centro_Cuenta8[[#This Row],[Código Cuenta Contable]]&amp;" - "&amp;Centro_Cuenta8[[#This Row],[Nombre de Cuenta Contable]]</f>
        <v>4202023 - Honorarios Por Asesorías</v>
      </c>
      <c r="H3137" s="146" t="str">
        <f>+VLOOKUP(D3137,'3. Cuentas'!A:F,6,0)</f>
        <v>SI</v>
      </c>
    </row>
    <row r="3138" spans="1:8" x14ac:dyDescent="0.25">
      <c r="A3138" s="43">
        <v>70102</v>
      </c>
      <c r="B3138" t="s">
        <v>229</v>
      </c>
      <c r="C3138" s="43" t="s">
        <v>1531</v>
      </c>
      <c r="D3138" s="43">
        <v>4202029</v>
      </c>
      <c r="E3138" t="s">
        <v>83</v>
      </c>
      <c r="F3138" s="47" t="str">
        <f>+Centro_Cuenta8[[#This Row],[Codigo Centro Gestion]]&amp;" - "&amp;Centro_Cuenta8[[#This Row],[Nombre Centro Gestion]]</f>
        <v>70102 - MARKETING</v>
      </c>
      <c r="G3138" s="47" t="str">
        <f>+Centro_Cuenta8[[#This Row],[Código Cuenta Contable]]&amp;" - "&amp;Centro_Cuenta8[[#This Row],[Nombre de Cuenta Contable]]</f>
        <v>4202029 - Insumos Y Gastos Informáticos</v>
      </c>
      <c r="H3138" s="146" t="str">
        <f>+VLOOKUP(D3138,'3. Cuentas'!A:F,6,0)</f>
        <v>SI</v>
      </c>
    </row>
    <row r="3139" spans="1:8" x14ac:dyDescent="0.25">
      <c r="A3139" s="43">
        <v>70105</v>
      </c>
      <c r="B3139" t="s">
        <v>230</v>
      </c>
      <c r="C3139" s="43" t="s">
        <v>1532</v>
      </c>
      <c r="D3139" s="43">
        <v>4201013</v>
      </c>
      <c r="E3139" t="s">
        <v>76</v>
      </c>
      <c r="F3139" s="47" t="str">
        <f>+Centro_Cuenta8[[#This Row],[Codigo Centro Gestion]]&amp;" - "&amp;Centro_Cuenta8[[#This Row],[Nombre Centro Gestion]]</f>
        <v>70105 - SERVICIO AL CLIENTE</v>
      </c>
      <c r="G3139" s="47" t="str">
        <f>+Centro_Cuenta8[[#This Row],[Código Cuenta Contable]]&amp;" - "&amp;Centro_Cuenta8[[#This Row],[Nombre de Cuenta Contable]]</f>
        <v>4201013 - Eventos Del Personal</v>
      </c>
      <c r="H3139" s="146" t="str">
        <f>+VLOOKUP(D3139,'3. Cuentas'!A:F,6,0)</f>
        <v>SI</v>
      </c>
    </row>
    <row r="3140" spans="1:8" x14ac:dyDescent="0.25">
      <c r="A3140" s="43">
        <v>70105</v>
      </c>
      <c r="B3140" t="s">
        <v>230</v>
      </c>
      <c r="C3140" s="43" t="s">
        <v>1532</v>
      </c>
      <c r="D3140" s="43">
        <v>4201038</v>
      </c>
      <c r="E3140" t="s">
        <v>102</v>
      </c>
      <c r="F3140" s="47" t="str">
        <f>+Centro_Cuenta8[[#This Row],[Codigo Centro Gestion]]&amp;" - "&amp;Centro_Cuenta8[[#This Row],[Nombre Centro Gestion]]</f>
        <v>70105 - SERVICIO AL CLIENTE</v>
      </c>
      <c r="G3140" s="47" t="str">
        <f>+Centro_Cuenta8[[#This Row],[Código Cuenta Contable]]&amp;" - "&amp;Centro_Cuenta8[[#This Row],[Nombre de Cuenta Contable]]</f>
        <v>4201038 - Beneficios</v>
      </c>
      <c r="H3140" s="146" t="str">
        <f>+VLOOKUP(D3140,'3. Cuentas'!A:F,6,0)</f>
        <v>SI</v>
      </c>
    </row>
    <row r="3141" spans="1:8" x14ac:dyDescent="0.25">
      <c r="A3141" s="43">
        <v>70105</v>
      </c>
      <c r="B3141" t="s">
        <v>230</v>
      </c>
      <c r="C3141" s="43" t="s">
        <v>1532</v>
      </c>
      <c r="D3141" s="43">
        <v>4202009</v>
      </c>
      <c r="E3141" t="s">
        <v>80</v>
      </c>
      <c r="F3141" s="47" t="str">
        <f>+Centro_Cuenta8[[#This Row],[Codigo Centro Gestion]]&amp;" - "&amp;Centro_Cuenta8[[#This Row],[Nombre Centro Gestion]]</f>
        <v>70105 - SERVICIO AL CLIENTE</v>
      </c>
      <c r="G3141" s="47" t="str">
        <f>+Centro_Cuenta8[[#This Row],[Código Cuenta Contable]]&amp;" - "&amp;Centro_Cuenta8[[#This Row],[Nombre de Cuenta Contable]]</f>
        <v>4202009 - Gastos Viajes Y Traslados</v>
      </c>
      <c r="H3141" s="146" t="str">
        <f>+VLOOKUP(D3141,'3. Cuentas'!A:F,6,0)</f>
        <v>SI</v>
      </c>
    </row>
    <row r="3142" spans="1:8" x14ac:dyDescent="0.25">
      <c r="A3142" s="43">
        <v>70105</v>
      </c>
      <c r="B3142" t="s">
        <v>230</v>
      </c>
      <c r="C3142" s="43" t="s">
        <v>1532</v>
      </c>
      <c r="D3142" s="43">
        <v>4202010</v>
      </c>
      <c r="E3142" t="s">
        <v>87</v>
      </c>
      <c r="F3142" s="47" t="str">
        <f>+Centro_Cuenta8[[#This Row],[Codigo Centro Gestion]]&amp;" - "&amp;Centro_Cuenta8[[#This Row],[Nombre Centro Gestion]]</f>
        <v>70105 - SERVICIO AL CLIENTE</v>
      </c>
      <c r="G3142" s="47" t="str">
        <f>+Centro_Cuenta8[[#This Row],[Código Cuenta Contable]]&amp;" - "&amp;Centro_Cuenta8[[#This Row],[Nombre de Cuenta Contable]]</f>
        <v>4202010 - Artic. Ofic. Fotocop.Papelería</v>
      </c>
      <c r="H3142" s="146" t="str">
        <f>+VLOOKUP(D3142,'3. Cuentas'!A:F,6,0)</f>
        <v>SI</v>
      </c>
    </row>
    <row r="3143" spans="1:8" x14ac:dyDescent="0.25">
      <c r="A3143" s="43">
        <v>70105</v>
      </c>
      <c r="B3143" t="s">
        <v>230</v>
      </c>
      <c r="C3143" s="43" t="s">
        <v>1532</v>
      </c>
      <c r="D3143" s="43">
        <v>4202019</v>
      </c>
      <c r="E3143" t="s">
        <v>81</v>
      </c>
      <c r="F3143" s="47" t="str">
        <f>+Centro_Cuenta8[[#This Row],[Codigo Centro Gestion]]&amp;" - "&amp;Centro_Cuenta8[[#This Row],[Nombre Centro Gestion]]</f>
        <v>70105 - SERVICIO AL CLIENTE</v>
      </c>
      <c r="G3143" s="47" t="str">
        <f>+Centro_Cuenta8[[#This Row],[Código Cuenta Contable]]&amp;" - "&amp;Centro_Cuenta8[[#This Row],[Nombre de Cuenta Contable]]</f>
        <v>4202019 - Gasto General Oficina</v>
      </c>
      <c r="H3143" s="146" t="str">
        <f>+VLOOKUP(D3143,'3. Cuentas'!A:F,6,0)</f>
        <v>SI</v>
      </c>
    </row>
    <row r="3144" spans="1:8" x14ac:dyDescent="0.25">
      <c r="A3144" s="43">
        <v>70105</v>
      </c>
      <c r="B3144" t="s">
        <v>230</v>
      </c>
      <c r="C3144" s="43" t="s">
        <v>1532</v>
      </c>
      <c r="D3144" s="43">
        <v>4202023</v>
      </c>
      <c r="E3144" t="s">
        <v>82</v>
      </c>
      <c r="F3144" s="47" t="str">
        <f>+Centro_Cuenta8[[#This Row],[Codigo Centro Gestion]]&amp;" - "&amp;Centro_Cuenta8[[#This Row],[Nombre Centro Gestion]]</f>
        <v>70105 - SERVICIO AL CLIENTE</v>
      </c>
      <c r="G3144" s="47" t="str">
        <f>+Centro_Cuenta8[[#This Row],[Código Cuenta Contable]]&amp;" - "&amp;Centro_Cuenta8[[#This Row],[Nombre de Cuenta Contable]]</f>
        <v>4202023 - Honorarios Por Asesorías</v>
      </c>
      <c r="H3144" s="146" t="str">
        <f>+VLOOKUP(D3144,'3. Cuentas'!A:F,6,0)</f>
        <v>SI</v>
      </c>
    </row>
    <row r="3145" spans="1:8" x14ac:dyDescent="0.25">
      <c r="A3145" s="43">
        <v>70105</v>
      </c>
      <c r="B3145" t="s">
        <v>230</v>
      </c>
      <c r="C3145" s="43" t="s">
        <v>1532</v>
      </c>
      <c r="D3145" s="43">
        <v>4202029</v>
      </c>
      <c r="E3145" t="s">
        <v>83</v>
      </c>
      <c r="F3145" s="47" t="str">
        <f>+Centro_Cuenta8[[#This Row],[Codigo Centro Gestion]]&amp;" - "&amp;Centro_Cuenta8[[#This Row],[Nombre Centro Gestion]]</f>
        <v>70105 - SERVICIO AL CLIENTE</v>
      </c>
      <c r="G3145" s="47" t="str">
        <f>+Centro_Cuenta8[[#This Row],[Código Cuenta Contable]]&amp;" - "&amp;Centro_Cuenta8[[#This Row],[Nombre de Cuenta Contable]]</f>
        <v>4202029 - Insumos Y Gastos Informáticos</v>
      </c>
      <c r="H3145" s="146" t="str">
        <f>+VLOOKUP(D3145,'3. Cuentas'!A:F,6,0)</f>
        <v>SI</v>
      </c>
    </row>
    <row r="3146" spans="1:8" x14ac:dyDescent="0.25">
      <c r="A3146" s="43">
        <v>70114</v>
      </c>
      <c r="B3146" t="s">
        <v>718</v>
      </c>
      <c r="C3146" s="43" t="s">
        <v>718</v>
      </c>
      <c r="D3146" s="43">
        <v>4201013</v>
      </c>
      <c r="E3146" t="s">
        <v>76</v>
      </c>
      <c r="F3146" s="47" t="str">
        <f>+Centro_Cuenta8[[#This Row],[Codigo Centro Gestion]]&amp;" - "&amp;Centro_Cuenta8[[#This Row],[Nombre Centro Gestion]]</f>
        <v>70114 - Recuperacion</v>
      </c>
      <c r="G3146" s="47" t="str">
        <f>+Centro_Cuenta8[[#This Row],[Código Cuenta Contable]]&amp;" - "&amp;Centro_Cuenta8[[#This Row],[Nombre de Cuenta Contable]]</f>
        <v>4201013 - Eventos Del Personal</v>
      </c>
      <c r="H3146" s="146" t="str">
        <f>+VLOOKUP(D3146,'3. Cuentas'!A:F,6,0)</f>
        <v>SI</v>
      </c>
    </row>
    <row r="3147" spans="1:8" x14ac:dyDescent="0.25">
      <c r="A3147" s="43">
        <v>70114</v>
      </c>
      <c r="B3147" t="s">
        <v>718</v>
      </c>
      <c r="C3147" s="43" t="s">
        <v>718</v>
      </c>
      <c r="D3147" s="43">
        <v>4201038</v>
      </c>
      <c r="E3147" t="s">
        <v>102</v>
      </c>
      <c r="F3147" s="47" t="str">
        <f>+Centro_Cuenta8[[#This Row],[Codigo Centro Gestion]]&amp;" - "&amp;Centro_Cuenta8[[#This Row],[Nombre Centro Gestion]]</f>
        <v>70114 - Recuperacion</v>
      </c>
      <c r="G3147" s="47" t="str">
        <f>+Centro_Cuenta8[[#This Row],[Código Cuenta Contable]]&amp;" - "&amp;Centro_Cuenta8[[#This Row],[Nombre de Cuenta Contable]]</f>
        <v>4201038 - Beneficios</v>
      </c>
      <c r="H3147" s="146" t="str">
        <f>+VLOOKUP(D3147,'3. Cuentas'!A:F,6,0)</f>
        <v>SI</v>
      </c>
    </row>
    <row r="3148" spans="1:8" x14ac:dyDescent="0.25">
      <c r="A3148" s="43">
        <v>70114</v>
      </c>
      <c r="B3148" t="s">
        <v>718</v>
      </c>
      <c r="C3148" s="43" t="s">
        <v>718</v>
      </c>
      <c r="D3148" s="43">
        <v>4202003</v>
      </c>
      <c r="E3148" t="s">
        <v>106</v>
      </c>
      <c r="F3148" s="47" t="str">
        <f>+Centro_Cuenta8[[#This Row],[Codigo Centro Gestion]]&amp;" - "&amp;Centro_Cuenta8[[#This Row],[Nombre Centro Gestion]]</f>
        <v>70114 - Recuperacion</v>
      </c>
      <c r="G3148" s="47" t="str">
        <f>+Centro_Cuenta8[[#This Row],[Código Cuenta Contable]]&amp;" - "&amp;Centro_Cuenta8[[#This Row],[Nombre de Cuenta Contable]]</f>
        <v>4202003 - Serv.Basic.Luz.Agua.Tel Of.C</v>
      </c>
      <c r="H3148" s="146" t="str">
        <f>+VLOOKUP(D3148,'3. Cuentas'!A:F,6,0)</f>
        <v>SI</v>
      </c>
    </row>
    <row r="3149" spans="1:8" x14ac:dyDescent="0.25">
      <c r="A3149" s="43">
        <v>70114</v>
      </c>
      <c r="B3149" t="s">
        <v>718</v>
      </c>
      <c r="C3149" s="43" t="s">
        <v>718</v>
      </c>
      <c r="D3149" s="43">
        <v>4202009</v>
      </c>
      <c r="E3149" t="s">
        <v>80</v>
      </c>
      <c r="F3149" s="47" t="str">
        <f>+Centro_Cuenta8[[#This Row],[Codigo Centro Gestion]]&amp;" - "&amp;Centro_Cuenta8[[#This Row],[Nombre Centro Gestion]]</f>
        <v>70114 - Recuperacion</v>
      </c>
      <c r="G3149" s="47" t="str">
        <f>+Centro_Cuenta8[[#This Row],[Código Cuenta Contable]]&amp;" - "&amp;Centro_Cuenta8[[#This Row],[Nombre de Cuenta Contable]]</f>
        <v>4202009 - Gastos Viajes Y Traslados</v>
      </c>
      <c r="H3149" s="146" t="str">
        <f>+VLOOKUP(D3149,'3. Cuentas'!A:F,6,0)</f>
        <v>SI</v>
      </c>
    </row>
    <row r="3150" spans="1:8" x14ac:dyDescent="0.25">
      <c r="A3150" s="43">
        <v>70114</v>
      </c>
      <c r="B3150" t="s">
        <v>718</v>
      </c>
      <c r="C3150" s="43" t="s">
        <v>718</v>
      </c>
      <c r="D3150" s="43">
        <v>4202010</v>
      </c>
      <c r="E3150" t="s">
        <v>87</v>
      </c>
      <c r="F3150" s="47" t="str">
        <f>+Centro_Cuenta8[[#This Row],[Codigo Centro Gestion]]&amp;" - "&amp;Centro_Cuenta8[[#This Row],[Nombre Centro Gestion]]</f>
        <v>70114 - Recuperacion</v>
      </c>
      <c r="G3150" s="47" t="str">
        <f>+Centro_Cuenta8[[#This Row],[Código Cuenta Contable]]&amp;" - "&amp;Centro_Cuenta8[[#This Row],[Nombre de Cuenta Contable]]</f>
        <v>4202010 - Artic. Ofic. Fotocop.Papelería</v>
      </c>
      <c r="H3150" s="146" t="str">
        <f>+VLOOKUP(D3150,'3. Cuentas'!A:F,6,0)</f>
        <v>SI</v>
      </c>
    </row>
    <row r="3151" spans="1:8" x14ac:dyDescent="0.25">
      <c r="A3151" s="43">
        <v>70114</v>
      </c>
      <c r="B3151" t="s">
        <v>718</v>
      </c>
      <c r="C3151" s="43" t="s">
        <v>718</v>
      </c>
      <c r="D3151" s="43">
        <v>4202019</v>
      </c>
      <c r="E3151" t="s">
        <v>81</v>
      </c>
      <c r="F3151" s="47" t="str">
        <f>+Centro_Cuenta8[[#This Row],[Codigo Centro Gestion]]&amp;" - "&amp;Centro_Cuenta8[[#This Row],[Nombre Centro Gestion]]</f>
        <v>70114 - Recuperacion</v>
      </c>
      <c r="G3151" s="47" t="str">
        <f>+Centro_Cuenta8[[#This Row],[Código Cuenta Contable]]&amp;" - "&amp;Centro_Cuenta8[[#This Row],[Nombre de Cuenta Contable]]</f>
        <v>4202019 - Gasto General Oficina</v>
      </c>
      <c r="H3151" s="146" t="str">
        <f>+VLOOKUP(D3151,'3. Cuentas'!A:F,6,0)</f>
        <v>SI</v>
      </c>
    </row>
    <row r="3152" spans="1:8" x14ac:dyDescent="0.25">
      <c r="A3152" s="43">
        <v>70114</v>
      </c>
      <c r="B3152" t="s">
        <v>718</v>
      </c>
      <c r="C3152" s="43" t="s">
        <v>718</v>
      </c>
      <c r="D3152" s="43">
        <v>4202023</v>
      </c>
      <c r="E3152" t="s">
        <v>82</v>
      </c>
      <c r="F3152" s="47" t="str">
        <f>+Centro_Cuenta8[[#This Row],[Codigo Centro Gestion]]&amp;" - "&amp;Centro_Cuenta8[[#This Row],[Nombre Centro Gestion]]</f>
        <v>70114 - Recuperacion</v>
      </c>
      <c r="G3152" s="47" t="str">
        <f>+Centro_Cuenta8[[#This Row],[Código Cuenta Contable]]&amp;" - "&amp;Centro_Cuenta8[[#This Row],[Nombre de Cuenta Contable]]</f>
        <v>4202023 - Honorarios Por Asesorías</v>
      </c>
      <c r="H3152" s="146" t="str">
        <f>+VLOOKUP(D3152,'3. Cuentas'!A:F,6,0)</f>
        <v>SI</v>
      </c>
    </row>
    <row r="3153" spans="1:8" x14ac:dyDescent="0.25">
      <c r="A3153" s="43">
        <v>70114</v>
      </c>
      <c r="B3153" t="s">
        <v>718</v>
      </c>
      <c r="C3153" s="43" t="s">
        <v>718</v>
      </c>
      <c r="D3153" s="43">
        <v>4202029</v>
      </c>
      <c r="E3153" t="s">
        <v>83</v>
      </c>
      <c r="F3153" s="47" t="str">
        <f>+Centro_Cuenta8[[#This Row],[Codigo Centro Gestion]]&amp;" - "&amp;Centro_Cuenta8[[#This Row],[Nombre Centro Gestion]]</f>
        <v>70114 - Recuperacion</v>
      </c>
      <c r="G3153" s="47" t="str">
        <f>+Centro_Cuenta8[[#This Row],[Código Cuenta Contable]]&amp;" - "&amp;Centro_Cuenta8[[#This Row],[Nombre de Cuenta Contable]]</f>
        <v>4202029 - Insumos Y Gastos Informáticos</v>
      </c>
      <c r="H3153" s="146" t="str">
        <f>+VLOOKUP(D3153,'3. Cuentas'!A:F,6,0)</f>
        <v>SI</v>
      </c>
    </row>
    <row r="3154" spans="1:8" x14ac:dyDescent="0.25">
      <c r="A3154" s="43">
        <v>70115</v>
      </c>
      <c r="B3154" t="s">
        <v>382</v>
      </c>
      <c r="C3154" s="43" t="s">
        <v>382</v>
      </c>
      <c r="D3154" s="43">
        <v>4201013</v>
      </c>
      <c r="E3154" t="s">
        <v>76</v>
      </c>
      <c r="F3154" s="47" t="str">
        <f>+Centro_Cuenta8[[#This Row],[Codigo Centro Gestion]]&amp;" - "&amp;Centro_Cuenta8[[#This Row],[Nombre Centro Gestion]]</f>
        <v>70115 - Escrituración</v>
      </c>
      <c r="G3154" s="47" t="str">
        <f>+Centro_Cuenta8[[#This Row],[Código Cuenta Contable]]&amp;" - "&amp;Centro_Cuenta8[[#This Row],[Nombre de Cuenta Contable]]</f>
        <v>4201013 - Eventos Del Personal</v>
      </c>
      <c r="H3154" s="146" t="str">
        <f>+VLOOKUP(D3154,'3. Cuentas'!A:F,6,0)</f>
        <v>SI</v>
      </c>
    </row>
    <row r="3155" spans="1:8" x14ac:dyDescent="0.25">
      <c r="A3155" s="43">
        <v>70115</v>
      </c>
      <c r="B3155" t="s">
        <v>382</v>
      </c>
      <c r="C3155" s="43" t="s">
        <v>382</v>
      </c>
      <c r="D3155" s="43">
        <v>4201038</v>
      </c>
      <c r="E3155" t="s">
        <v>102</v>
      </c>
      <c r="F3155" s="47" t="str">
        <f>+Centro_Cuenta8[[#This Row],[Codigo Centro Gestion]]&amp;" - "&amp;Centro_Cuenta8[[#This Row],[Nombre Centro Gestion]]</f>
        <v>70115 - Escrituración</v>
      </c>
      <c r="G3155" s="47" t="str">
        <f>+Centro_Cuenta8[[#This Row],[Código Cuenta Contable]]&amp;" - "&amp;Centro_Cuenta8[[#This Row],[Nombre de Cuenta Contable]]</f>
        <v>4201038 - Beneficios</v>
      </c>
      <c r="H3155" s="146" t="str">
        <f>+VLOOKUP(D3155,'3. Cuentas'!A:F,6,0)</f>
        <v>SI</v>
      </c>
    </row>
    <row r="3156" spans="1:8" x14ac:dyDescent="0.25">
      <c r="A3156" s="43">
        <v>70115</v>
      </c>
      <c r="B3156" t="s">
        <v>382</v>
      </c>
      <c r="C3156" s="43" t="s">
        <v>382</v>
      </c>
      <c r="D3156" s="43">
        <v>4202003</v>
      </c>
      <c r="E3156" t="s">
        <v>106</v>
      </c>
      <c r="F3156" s="47" t="str">
        <f>+Centro_Cuenta8[[#This Row],[Codigo Centro Gestion]]&amp;" - "&amp;Centro_Cuenta8[[#This Row],[Nombre Centro Gestion]]</f>
        <v>70115 - Escrituración</v>
      </c>
      <c r="G3156" s="47" t="str">
        <f>+Centro_Cuenta8[[#This Row],[Código Cuenta Contable]]&amp;" - "&amp;Centro_Cuenta8[[#This Row],[Nombre de Cuenta Contable]]</f>
        <v>4202003 - Serv.Basic.Luz.Agua.Tel Of.C</v>
      </c>
      <c r="H3156" s="146" t="str">
        <f>+VLOOKUP(D3156,'3. Cuentas'!A:F,6,0)</f>
        <v>SI</v>
      </c>
    </row>
    <row r="3157" spans="1:8" x14ac:dyDescent="0.25">
      <c r="A3157" s="43">
        <v>70115</v>
      </c>
      <c r="B3157" t="s">
        <v>382</v>
      </c>
      <c r="C3157" s="43" t="s">
        <v>382</v>
      </c>
      <c r="D3157" s="43">
        <v>4202009</v>
      </c>
      <c r="E3157" t="s">
        <v>80</v>
      </c>
      <c r="F3157" s="47" t="str">
        <f>+Centro_Cuenta8[[#This Row],[Codigo Centro Gestion]]&amp;" - "&amp;Centro_Cuenta8[[#This Row],[Nombre Centro Gestion]]</f>
        <v>70115 - Escrituración</v>
      </c>
      <c r="G3157" s="47" t="str">
        <f>+Centro_Cuenta8[[#This Row],[Código Cuenta Contable]]&amp;" - "&amp;Centro_Cuenta8[[#This Row],[Nombre de Cuenta Contable]]</f>
        <v>4202009 - Gastos Viajes Y Traslados</v>
      </c>
      <c r="H3157" s="146" t="str">
        <f>+VLOOKUP(D3157,'3. Cuentas'!A:F,6,0)</f>
        <v>SI</v>
      </c>
    </row>
    <row r="3158" spans="1:8" x14ac:dyDescent="0.25">
      <c r="A3158" s="43">
        <v>70115</v>
      </c>
      <c r="B3158" t="s">
        <v>382</v>
      </c>
      <c r="C3158" s="43" t="s">
        <v>382</v>
      </c>
      <c r="D3158" s="43">
        <v>4202010</v>
      </c>
      <c r="E3158" t="s">
        <v>87</v>
      </c>
      <c r="F3158" s="47" t="str">
        <f>+Centro_Cuenta8[[#This Row],[Codigo Centro Gestion]]&amp;" - "&amp;Centro_Cuenta8[[#This Row],[Nombre Centro Gestion]]</f>
        <v>70115 - Escrituración</v>
      </c>
      <c r="G3158" s="47" t="str">
        <f>+Centro_Cuenta8[[#This Row],[Código Cuenta Contable]]&amp;" - "&amp;Centro_Cuenta8[[#This Row],[Nombre de Cuenta Contable]]</f>
        <v>4202010 - Artic. Ofic. Fotocop.Papelería</v>
      </c>
      <c r="H3158" s="146" t="str">
        <f>+VLOOKUP(D3158,'3. Cuentas'!A:F,6,0)</f>
        <v>SI</v>
      </c>
    </row>
    <row r="3159" spans="1:8" x14ac:dyDescent="0.25">
      <c r="A3159" s="43">
        <v>70115</v>
      </c>
      <c r="B3159" t="s">
        <v>382</v>
      </c>
      <c r="C3159" s="43" t="s">
        <v>382</v>
      </c>
      <c r="D3159" s="43">
        <v>4202019</v>
      </c>
      <c r="E3159" t="s">
        <v>81</v>
      </c>
      <c r="F3159" s="47" t="str">
        <f>+Centro_Cuenta8[[#This Row],[Codigo Centro Gestion]]&amp;" - "&amp;Centro_Cuenta8[[#This Row],[Nombre Centro Gestion]]</f>
        <v>70115 - Escrituración</v>
      </c>
      <c r="G3159" s="47" t="str">
        <f>+Centro_Cuenta8[[#This Row],[Código Cuenta Contable]]&amp;" - "&amp;Centro_Cuenta8[[#This Row],[Nombre de Cuenta Contable]]</f>
        <v>4202019 - Gasto General Oficina</v>
      </c>
      <c r="H3159" s="146" t="str">
        <f>+VLOOKUP(D3159,'3. Cuentas'!A:F,6,0)</f>
        <v>SI</v>
      </c>
    </row>
    <row r="3160" spans="1:8" x14ac:dyDescent="0.25">
      <c r="A3160" s="43">
        <v>70115</v>
      </c>
      <c r="B3160" t="s">
        <v>382</v>
      </c>
      <c r="C3160" s="43" t="s">
        <v>382</v>
      </c>
      <c r="D3160" s="43">
        <v>4202023</v>
      </c>
      <c r="E3160" t="s">
        <v>82</v>
      </c>
      <c r="F3160" s="47" t="str">
        <f>+Centro_Cuenta8[[#This Row],[Codigo Centro Gestion]]&amp;" - "&amp;Centro_Cuenta8[[#This Row],[Nombre Centro Gestion]]</f>
        <v>70115 - Escrituración</v>
      </c>
      <c r="G3160" s="47" t="str">
        <f>+Centro_Cuenta8[[#This Row],[Código Cuenta Contable]]&amp;" - "&amp;Centro_Cuenta8[[#This Row],[Nombre de Cuenta Contable]]</f>
        <v>4202023 - Honorarios Por Asesorías</v>
      </c>
      <c r="H3160" s="146" t="str">
        <f>+VLOOKUP(D3160,'3. Cuentas'!A:F,6,0)</f>
        <v>SI</v>
      </c>
    </row>
    <row r="3161" spans="1:8" x14ac:dyDescent="0.25">
      <c r="A3161" s="43">
        <v>70115</v>
      </c>
      <c r="B3161" t="s">
        <v>382</v>
      </c>
      <c r="C3161" s="43" t="s">
        <v>382</v>
      </c>
      <c r="D3161" s="43">
        <v>4202029</v>
      </c>
      <c r="E3161" t="s">
        <v>83</v>
      </c>
      <c r="F3161" s="47" t="str">
        <f>+Centro_Cuenta8[[#This Row],[Codigo Centro Gestion]]&amp;" - "&amp;Centro_Cuenta8[[#This Row],[Nombre Centro Gestion]]</f>
        <v>70115 - Escrituración</v>
      </c>
      <c r="G3161" s="47" t="str">
        <f>+Centro_Cuenta8[[#This Row],[Código Cuenta Contable]]&amp;" - "&amp;Centro_Cuenta8[[#This Row],[Nombre de Cuenta Contable]]</f>
        <v>4202029 - Insumos Y Gastos Informáticos</v>
      </c>
      <c r="H3161" s="146" t="str">
        <f>+VLOOKUP(D3161,'3. Cuentas'!A:F,6,0)</f>
        <v>SI</v>
      </c>
    </row>
    <row r="3162" spans="1:8" x14ac:dyDescent="0.25">
      <c r="A3162" s="43">
        <v>70117</v>
      </c>
      <c r="B3162" t="s">
        <v>231</v>
      </c>
      <c r="C3162" s="43" t="s">
        <v>1533</v>
      </c>
      <c r="D3162" s="43">
        <v>4202003</v>
      </c>
      <c r="E3162" t="s">
        <v>106</v>
      </c>
      <c r="F3162" s="47" t="str">
        <f>+Centro_Cuenta8[[#This Row],[Codigo Centro Gestion]]&amp;" - "&amp;Centro_Cuenta8[[#This Row],[Nombre Centro Gestion]]</f>
        <v>70117 - VENTAS NORTE 1</v>
      </c>
      <c r="G3162" s="47" t="str">
        <f>+Centro_Cuenta8[[#This Row],[Código Cuenta Contable]]&amp;" - "&amp;Centro_Cuenta8[[#This Row],[Nombre de Cuenta Contable]]</f>
        <v>4202003 - Serv.Basic.Luz.Agua.Tel Of.C</v>
      </c>
      <c r="H3162" s="146" t="str">
        <f>+VLOOKUP(D3162,'3. Cuentas'!A:F,6,0)</f>
        <v>SI</v>
      </c>
    </row>
    <row r="3163" spans="1:8" x14ac:dyDescent="0.25">
      <c r="A3163" s="43">
        <v>70117</v>
      </c>
      <c r="B3163" t="s">
        <v>231</v>
      </c>
      <c r="C3163" s="43" t="s">
        <v>1533</v>
      </c>
      <c r="D3163" s="43">
        <v>4202009</v>
      </c>
      <c r="E3163" t="s">
        <v>80</v>
      </c>
      <c r="F3163" s="47" t="str">
        <f>+Centro_Cuenta8[[#This Row],[Codigo Centro Gestion]]&amp;" - "&amp;Centro_Cuenta8[[#This Row],[Nombre Centro Gestion]]</f>
        <v>70117 - VENTAS NORTE 1</v>
      </c>
      <c r="G3163" s="47" t="str">
        <f>+Centro_Cuenta8[[#This Row],[Código Cuenta Contable]]&amp;" - "&amp;Centro_Cuenta8[[#This Row],[Nombre de Cuenta Contable]]</f>
        <v>4202009 - Gastos Viajes Y Traslados</v>
      </c>
      <c r="H3163" s="146" t="str">
        <f>+VLOOKUP(D3163,'3. Cuentas'!A:F,6,0)</f>
        <v>SI</v>
      </c>
    </row>
    <row r="3164" spans="1:8" x14ac:dyDescent="0.25">
      <c r="A3164" s="43">
        <v>70117</v>
      </c>
      <c r="B3164" t="s">
        <v>231</v>
      </c>
      <c r="C3164" s="43" t="s">
        <v>1533</v>
      </c>
      <c r="D3164" s="43">
        <v>4202019</v>
      </c>
      <c r="E3164" t="s">
        <v>81</v>
      </c>
      <c r="F3164" s="47" t="str">
        <f>+Centro_Cuenta8[[#This Row],[Codigo Centro Gestion]]&amp;" - "&amp;Centro_Cuenta8[[#This Row],[Nombre Centro Gestion]]</f>
        <v>70117 - VENTAS NORTE 1</v>
      </c>
      <c r="G3164" s="47" t="str">
        <f>+Centro_Cuenta8[[#This Row],[Código Cuenta Contable]]&amp;" - "&amp;Centro_Cuenta8[[#This Row],[Nombre de Cuenta Contable]]</f>
        <v>4202019 - Gasto General Oficina</v>
      </c>
      <c r="H3164" s="146" t="str">
        <f>+VLOOKUP(D3164,'3. Cuentas'!A:F,6,0)</f>
        <v>SI</v>
      </c>
    </row>
    <row r="3165" spans="1:8" x14ac:dyDescent="0.25">
      <c r="A3165" s="43">
        <v>70117</v>
      </c>
      <c r="B3165" t="s">
        <v>231</v>
      </c>
      <c r="C3165" s="43" t="s">
        <v>1533</v>
      </c>
      <c r="D3165" s="43">
        <v>4202023</v>
      </c>
      <c r="E3165" t="s">
        <v>82</v>
      </c>
      <c r="F3165" s="47" t="str">
        <f>+Centro_Cuenta8[[#This Row],[Codigo Centro Gestion]]&amp;" - "&amp;Centro_Cuenta8[[#This Row],[Nombre Centro Gestion]]</f>
        <v>70117 - VENTAS NORTE 1</v>
      </c>
      <c r="G3165" s="47" t="str">
        <f>+Centro_Cuenta8[[#This Row],[Código Cuenta Contable]]&amp;" - "&amp;Centro_Cuenta8[[#This Row],[Nombre de Cuenta Contable]]</f>
        <v>4202023 - Honorarios Por Asesorías</v>
      </c>
      <c r="H3165" s="146" t="str">
        <f>+VLOOKUP(D3165,'3. Cuentas'!A:F,6,0)</f>
        <v>SI</v>
      </c>
    </row>
    <row r="3166" spans="1:8" x14ac:dyDescent="0.25">
      <c r="A3166" s="43">
        <v>70117</v>
      </c>
      <c r="B3166" t="s">
        <v>231</v>
      </c>
      <c r="C3166" s="43" t="s">
        <v>1533</v>
      </c>
      <c r="D3166" s="43">
        <v>4202029</v>
      </c>
      <c r="E3166" t="s">
        <v>83</v>
      </c>
      <c r="F3166" s="47" t="str">
        <f>+Centro_Cuenta8[[#This Row],[Codigo Centro Gestion]]&amp;" - "&amp;Centro_Cuenta8[[#This Row],[Nombre Centro Gestion]]</f>
        <v>70117 - VENTAS NORTE 1</v>
      </c>
      <c r="G3166" s="47" t="str">
        <f>+Centro_Cuenta8[[#This Row],[Código Cuenta Contable]]&amp;" - "&amp;Centro_Cuenta8[[#This Row],[Nombre de Cuenta Contable]]</f>
        <v>4202029 - Insumos Y Gastos Informáticos</v>
      </c>
      <c r="H3166" s="146" t="str">
        <f>+VLOOKUP(D3166,'3. Cuentas'!A:F,6,0)</f>
        <v>SI</v>
      </c>
    </row>
    <row r="3167" spans="1:8" x14ac:dyDescent="0.25">
      <c r="A3167" s="43">
        <v>70118</v>
      </c>
      <c r="B3167" t="s">
        <v>233</v>
      </c>
      <c r="C3167" s="43" t="s">
        <v>1534</v>
      </c>
      <c r="D3167" s="43">
        <v>4202003</v>
      </c>
      <c r="E3167" t="s">
        <v>106</v>
      </c>
      <c r="F3167" s="47" t="str">
        <f>+Centro_Cuenta8[[#This Row],[Codigo Centro Gestion]]&amp;" - "&amp;Centro_Cuenta8[[#This Row],[Nombre Centro Gestion]]</f>
        <v>70118 - VENTAS NORTE 2</v>
      </c>
      <c r="G3167" s="47" t="str">
        <f>+Centro_Cuenta8[[#This Row],[Código Cuenta Contable]]&amp;" - "&amp;Centro_Cuenta8[[#This Row],[Nombre de Cuenta Contable]]</f>
        <v>4202003 - Serv.Basic.Luz.Agua.Tel Of.C</v>
      </c>
      <c r="H3167" s="146" t="str">
        <f>+VLOOKUP(D3167,'3. Cuentas'!A:F,6,0)</f>
        <v>SI</v>
      </c>
    </row>
    <row r="3168" spans="1:8" x14ac:dyDescent="0.25">
      <c r="A3168" s="43">
        <v>70118</v>
      </c>
      <c r="B3168" t="s">
        <v>233</v>
      </c>
      <c r="C3168" s="43" t="s">
        <v>1534</v>
      </c>
      <c r="D3168" s="43">
        <v>4202009</v>
      </c>
      <c r="E3168" t="s">
        <v>80</v>
      </c>
      <c r="F3168" s="47" t="str">
        <f>+Centro_Cuenta8[[#This Row],[Codigo Centro Gestion]]&amp;" - "&amp;Centro_Cuenta8[[#This Row],[Nombre Centro Gestion]]</f>
        <v>70118 - VENTAS NORTE 2</v>
      </c>
      <c r="G3168" s="47" t="str">
        <f>+Centro_Cuenta8[[#This Row],[Código Cuenta Contable]]&amp;" - "&amp;Centro_Cuenta8[[#This Row],[Nombre de Cuenta Contable]]</f>
        <v>4202009 - Gastos Viajes Y Traslados</v>
      </c>
      <c r="H3168" s="146" t="str">
        <f>+VLOOKUP(D3168,'3. Cuentas'!A:F,6,0)</f>
        <v>SI</v>
      </c>
    </row>
    <row r="3169" spans="1:8" x14ac:dyDescent="0.25">
      <c r="A3169" s="43">
        <v>70118</v>
      </c>
      <c r="B3169" t="s">
        <v>233</v>
      </c>
      <c r="C3169" s="43" t="s">
        <v>1534</v>
      </c>
      <c r="D3169" s="43">
        <v>4202019</v>
      </c>
      <c r="E3169" t="s">
        <v>81</v>
      </c>
      <c r="F3169" s="47" t="str">
        <f>+Centro_Cuenta8[[#This Row],[Codigo Centro Gestion]]&amp;" - "&amp;Centro_Cuenta8[[#This Row],[Nombre Centro Gestion]]</f>
        <v>70118 - VENTAS NORTE 2</v>
      </c>
      <c r="G3169" s="47" t="str">
        <f>+Centro_Cuenta8[[#This Row],[Código Cuenta Contable]]&amp;" - "&amp;Centro_Cuenta8[[#This Row],[Nombre de Cuenta Contable]]</f>
        <v>4202019 - Gasto General Oficina</v>
      </c>
      <c r="H3169" s="146" t="str">
        <f>+VLOOKUP(D3169,'3. Cuentas'!A:F,6,0)</f>
        <v>SI</v>
      </c>
    </row>
    <row r="3170" spans="1:8" x14ac:dyDescent="0.25">
      <c r="A3170" s="43">
        <v>70118</v>
      </c>
      <c r="B3170" t="s">
        <v>233</v>
      </c>
      <c r="C3170" s="43" t="s">
        <v>1534</v>
      </c>
      <c r="D3170" s="43">
        <v>4202023</v>
      </c>
      <c r="E3170" t="s">
        <v>82</v>
      </c>
      <c r="F3170" s="47" t="str">
        <f>+Centro_Cuenta8[[#This Row],[Codigo Centro Gestion]]&amp;" - "&amp;Centro_Cuenta8[[#This Row],[Nombre Centro Gestion]]</f>
        <v>70118 - VENTAS NORTE 2</v>
      </c>
      <c r="G3170" s="47" t="str">
        <f>+Centro_Cuenta8[[#This Row],[Código Cuenta Contable]]&amp;" - "&amp;Centro_Cuenta8[[#This Row],[Nombre de Cuenta Contable]]</f>
        <v>4202023 - Honorarios Por Asesorías</v>
      </c>
      <c r="H3170" s="146" t="str">
        <f>+VLOOKUP(D3170,'3. Cuentas'!A:F,6,0)</f>
        <v>SI</v>
      </c>
    </row>
    <row r="3171" spans="1:8" x14ac:dyDescent="0.25">
      <c r="A3171" s="43">
        <v>70118</v>
      </c>
      <c r="B3171" t="s">
        <v>233</v>
      </c>
      <c r="C3171" s="43" t="s">
        <v>1534</v>
      </c>
      <c r="D3171" s="43">
        <v>4202029</v>
      </c>
      <c r="E3171" t="s">
        <v>83</v>
      </c>
      <c r="F3171" s="47" t="str">
        <f>+Centro_Cuenta8[[#This Row],[Codigo Centro Gestion]]&amp;" - "&amp;Centro_Cuenta8[[#This Row],[Nombre Centro Gestion]]</f>
        <v>70118 - VENTAS NORTE 2</v>
      </c>
      <c r="G3171" s="47" t="str">
        <f>+Centro_Cuenta8[[#This Row],[Código Cuenta Contable]]&amp;" - "&amp;Centro_Cuenta8[[#This Row],[Nombre de Cuenta Contable]]</f>
        <v>4202029 - Insumos Y Gastos Informáticos</v>
      </c>
      <c r="H3171" s="146" t="str">
        <f>+VLOOKUP(D3171,'3. Cuentas'!A:F,6,0)</f>
        <v>SI</v>
      </c>
    </row>
    <row r="3172" spans="1:8" x14ac:dyDescent="0.25">
      <c r="A3172" s="43">
        <v>70119</v>
      </c>
      <c r="B3172" t="s">
        <v>234</v>
      </c>
      <c r="C3172" s="43" t="s">
        <v>1535</v>
      </c>
      <c r="D3172" s="43">
        <v>4202003</v>
      </c>
      <c r="E3172" t="s">
        <v>106</v>
      </c>
      <c r="F3172" s="47" t="str">
        <f>+Centro_Cuenta8[[#This Row],[Codigo Centro Gestion]]&amp;" - "&amp;Centro_Cuenta8[[#This Row],[Nombre Centro Gestion]]</f>
        <v>70119 - VENTAS ZC1</v>
      </c>
      <c r="G3172" s="47" t="str">
        <f>+Centro_Cuenta8[[#This Row],[Código Cuenta Contable]]&amp;" - "&amp;Centro_Cuenta8[[#This Row],[Nombre de Cuenta Contable]]</f>
        <v>4202003 - Serv.Basic.Luz.Agua.Tel Of.C</v>
      </c>
      <c r="H3172" s="146" t="str">
        <f>+VLOOKUP(D3172,'3. Cuentas'!A:F,6,0)</f>
        <v>SI</v>
      </c>
    </row>
    <row r="3173" spans="1:8" x14ac:dyDescent="0.25">
      <c r="A3173" s="43">
        <v>70119</v>
      </c>
      <c r="B3173" t="s">
        <v>234</v>
      </c>
      <c r="C3173" s="43" t="s">
        <v>1535</v>
      </c>
      <c r="D3173" s="43">
        <v>4202009</v>
      </c>
      <c r="E3173" t="s">
        <v>80</v>
      </c>
      <c r="F3173" s="47" t="str">
        <f>+Centro_Cuenta8[[#This Row],[Codigo Centro Gestion]]&amp;" - "&amp;Centro_Cuenta8[[#This Row],[Nombre Centro Gestion]]</f>
        <v>70119 - VENTAS ZC1</v>
      </c>
      <c r="G3173" s="47" t="str">
        <f>+Centro_Cuenta8[[#This Row],[Código Cuenta Contable]]&amp;" - "&amp;Centro_Cuenta8[[#This Row],[Nombre de Cuenta Contable]]</f>
        <v>4202009 - Gastos Viajes Y Traslados</v>
      </c>
      <c r="H3173" s="146" t="str">
        <f>+VLOOKUP(D3173,'3. Cuentas'!A:F,6,0)</f>
        <v>SI</v>
      </c>
    </row>
    <row r="3174" spans="1:8" x14ac:dyDescent="0.25">
      <c r="A3174" s="43">
        <v>70119</v>
      </c>
      <c r="B3174" t="s">
        <v>234</v>
      </c>
      <c r="C3174" s="43" t="s">
        <v>1535</v>
      </c>
      <c r="D3174" s="43">
        <v>4202019</v>
      </c>
      <c r="E3174" t="s">
        <v>81</v>
      </c>
      <c r="F3174" s="47" t="str">
        <f>+Centro_Cuenta8[[#This Row],[Codigo Centro Gestion]]&amp;" - "&amp;Centro_Cuenta8[[#This Row],[Nombre Centro Gestion]]</f>
        <v>70119 - VENTAS ZC1</v>
      </c>
      <c r="G3174" s="47" t="str">
        <f>+Centro_Cuenta8[[#This Row],[Código Cuenta Contable]]&amp;" - "&amp;Centro_Cuenta8[[#This Row],[Nombre de Cuenta Contable]]</f>
        <v>4202019 - Gasto General Oficina</v>
      </c>
      <c r="H3174" s="146" t="str">
        <f>+VLOOKUP(D3174,'3. Cuentas'!A:F,6,0)</f>
        <v>SI</v>
      </c>
    </row>
    <row r="3175" spans="1:8" x14ac:dyDescent="0.25">
      <c r="A3175" s="43">
        <v>70119</v>
      </c>
      <c r="B3175" t="s">
        <v>234</v>
      </c>
      <c r="C3175" s="43" t="s">
        <v>1535</v>
      </c>
      <c r="D3175" s="43">
        <v>4202023</v>
      </c>
      <c r="E3175" t="s">
        <v>82</v>
      </c>
      <c r="F3175" s="47" t="str">
        <f>+Centro_Cuenta8[[#This Row],[Codigo Centro Gestion]]&amp;" - "&amp;Centro_Cuenta8[[#This Row],[Nombre Centro Gestion]]</f>
        <v>70119 - VENTAS ZC1</v>
      </c>
      <c r="G3175" s="47" t="str">
        <f>+Centro_Cuenta8[[#This Row],[Código Cuenta Contable]]&amp;" - "&amp;Centro_Cuenta8[[#This Row],[Nombre de Cuenta Contable]]</f>
        <v>4202023 - Honorarios Por Asesorías</v>
      </c>
      <c r="H3175" s="146" t="str">
        <f>+VLOOKUP(D3175,'3. Cuentas'!A:F,6,0)</f>
        <v>SI</v>
      </c>
    </row>
    <row r="3176" spans="1:8" x14ac:dyDescent="0.25">
      <c r="A3176" s="43">
        <v>70119</v>
      </c>
      <c r="B3176" t="s">
        <v>234</v>
      </c>
      <c r="C3176" s="43" t="s">
        <v>1535</v>
      </c>
      <c r="D3176" s="43">
        <v>4202029</v>
      </c>
      <c r="E3176" t="s">
        <v>83</v>
      </c>
      <c r="F3176" s="47" t="str">
        <f>+Centro_Cuenta8[[#This Row],[Codigo Centro Gestion]]&amp;" - "&amp;Centro_Cuenta8[[#This Row],[Nombre Centro Gestion]]</f>
        <v>70119 - VENTAS ZC1</v>
      </c>
      <c r="G3176" s="47" t="str">
        <f>+Centro_Cuenta8[[#This Row],[Código Cuenta Contable]]&amp;" - "&amp;Centro_Cuenta8[[#This Row],[Nombre de Cuenta Contable]]</f>
        <v>4202029 - Insumos Y Gastos Informáticos</v>
      </c>
      <c r="H3176" s="146" t="str">
        <f>+VLOOKUP(D3176,'3. Cuentas'!A:F,6,0)</f>
        <v>SI</v>
      </c>
    </row>
    <row r="3177" spans="1:8" x14ac:dyDescent="0.25">
      <c r="A3177" s="43">
        <v>70120</v>
      </c>
      <c r="B3177" t="s">
        <v>235</v>
      </c>
      <c r="C3177" s="43" t="s">
        <v>1535</v>
      </c>
      <c r="D3177" s="43">
        <v>4202003</v>
      </c>
      <c r="E3177" t="s">
        <v>106</v>
      </c>
      <c r="F3177" s="47" t="str">
        <f>+Centro_Cuenta8[[#This Row],[Codigo Centro Gestion]]&amp;" - "&amp;Centro_Cuenta8[[#This Row],[Nombre Centro Gestion]]</f>
        <v>70120 - VENTAS ZC2</v>
      </c>
      <c r="G3177" s="47" t="str">
        <f>+Centro_Cuenta8[[#This Row],[Código Cuenta Contable]]&amp;" - "&amp;Centro_Cuenta8[[#This Row],[Nombre de Cuenta Contable]]</f>
        <v>4202003 - Serv.Basic.Luz.Agua.Tel Of.C</v>
      </c>
      <c r="H3177" s="146" t="str">
        <f>+VLOOKUP(D3177,'3. Cuentas'!A:F,6,0)</f>
        <v>SI</v>
      </c>
    </row>
    <row r="3178" spans="1:8" x14ac:dyDescent="0.25">
      <c r="A3178" s="43">
        <v>70120</v>
      </c>
      <c r="B3178" t="s">
        <v>235</v>
      </c>
      <c r="C3178" s="43" t="s">
        <v>1535</v>
      </c>
      <c r="D3178" s="43">
        <v>4202009</v>
      </c>
      <c r="E3178" t="s">
        <v>80</v>
      </c>
      <c r="F3178" s="47" t="str">
        <f>+Centro_Cuenta8[[#This Row],[Codigo Centro Gestion]]&amp;" - "&amp;Centro_Cuenta8[[#This Row],[Nombre Centro Gestion]]</f>
        <v>70120 - VENTAS ZC2</v>
      </c>
      <c r="G3178" s="47" t="str">
        <f>+Centro_Cuenta8[[#This Row],[Código Cuenta Contable]]&amp;" - "&amp;Centro_Cuenta8[[#This Row],[Nombre de Cuenta Contable]]</f>
        <v>4202009 - Gastos Viajes Y Traslados</v>
      </c>
      <c r="H3178" s="146" t="str">
        <f>+VLOOKUP(D3178,'3. Cuentas'!A:F,6,0)</f>
        <v>SI</v>
      </c>
    </row>
    <row r="3179" spans="1:8" x14ac:dyDescent="0.25">
      <c r="A3179" s="43">
        <v>70120</v>
      </c>
      <c r="B3179" t="s">
        <v>235</v>
      </c>
      <c r="C3179" s="43" t="s">
        <v>1535</v>
      </c>
      <c r="D3179" s="43">
        <v>4202019</v>
      </c>
      <c r="E3179" t="s">
        <v>81</v>
      </c>
      <c r="F3179" s="47" t="str">
        <f>+Centro_Cuenta8[[#This Row],[Codigo Centro Gestion]]&amp;" - "&amp;Centro_Cuenta8[[#This Row],[Nombre Centro Gestion]]</f>
        <v>70120 - VENTAS ZC2</v>
      </c>
      <c r="G3179" s="47" t="str">
        <f>+Centro_Cuenta8[[#This Row],[Código Cuenta Contable]]&amp;" - "&amp;Centro_Cuenta8[[#This Row],[Nombre de Cuenta Contable]]</f>
        <v>4202019 - Gasto General Oficina</v>
      </c>
      <c r="H3179" s="146" t="str">
        <f>+VLOOKUP(D3179,'3. Cuentas'!A:F,6,0)</f>
        <v>SI</v>
      </c>
    </row>
    <row r="3180" spans="1:8" x14ac:dyDescent="0.25">
      <c r="A3180" s="43">
        <v>70120</v>
      </c>
      <c r="B3180" t="s">
        <v>235</v>
      </c>
      <c r="C3180" s="43" t="s">
        <v>1535</v>
      </c>
      <c r="D3180" s="43">
        <v>4202023</v>
      </c>
      <c r="E3180" t="s">
        <v>82</v>
      </c>
      <c r="F3180" s="47" t="str">
        <f>+Centro_Cuenta8[[#This Row],[Codigo Centro Gestion]]&amp;" - "&amp;Centro_Cuenta8[[#This Row],[Nombre Centro Gestion]]</f>
        <v>70120 - VENTAS ZC2</v>
      </c>
      <c r="G3180" s="47" t="str">
        <f>+Centro_Cuenta8[[#This Row],[Código Cuenta Contable]]&amp;" - "&amp;Centro_Cuenta8[[#This Row],[Nombre de Cuenta Contable]]</f>
        <v>4202023 - Honorarios Por Asesorías</v>
      </c>
      <c r="H3180" s="146" t="str">
        <f>+VLOOKUP(D3180,'3. Cuentas'!A:F,6,0)</f>
        <v>SI</v>
      </c>
    </row>
    <row r="3181" spans="1:8" x14ac:dyDescent="0.25">
      <c r="A3181" s="43">
        <v>70120</v>
      </c>
      <c r="B3181" t="s">
        <v>235</v>
      </c>
      <c r="C3181" s="43" t="s">
        <v>1535</v>
      </c>
      <c r="D3181" s="43">
        <v>4202029</v>
      </c>
      <c r="E3181" t="s">
        <v>83</v>
      </c>
      <c r="F3181" s="47" t="str">
        <f>+Centro_Cuenta8[[#This Row],[Codigo Centro Gestion]]&amp;" - "&amp;Centro_Cuenta8[[#This Row],[Nombre Centro Gestion]]</f>
        <v>70120 - VENTAS ZC2</v>
      </c>
      <c r="G3181" s="47" t="str">
        <f>+Centro_Cuenta8[[#This Row],[Código Cuenta Contable]]&amp;" - "&amp;Centro_Cuenta8[[#This Row],[Nombre de Cuenta Contable]]</f>
        <v>4202029 - Insumos Y Gastos Informáticos</v>
      </c>
      <c r="H3181" s="146" t="str">
        <f>+VLOOKUP(D3181,'3. Cuentas'!A:F,6,0)</f>
        <v>SI</v>
      </c>
    </row>
    <row r="3182" spans="1:8" x14ac:dyDescent="0.25">
      <c r="A3182" s="43">
        <v>70121</v>
      </c>
      <c r="B3182" t="s">
        <v>236</v>
      </c>
      <c r="C3182" s="43" t="s">
        <v>1536</v>
      </c>
      <c r="D3182" s="43">
        <v>4202003</v>
      </c>
      <c r="E3182" t="s">
        <v>106</v>
      </c>
      <c r="F3182" s="47" t="str">
        <f>+Centro_Cuenta8[[#This Row],[Codigo Centro Gestion]]&amp;" - "&amp;Centro_Cuenta8[[#This Row],[Nombre Centro Gestion]]</f>
        <v>70121 - VENTAS V REGIÓN</v>
      </c>
      <c r="G3182" s="47" t="str">
        <f>+Centro_Cuenta8[[#This Row],[Código Cuenta Contable]]&amp;" - "&amp;Centro_Cuenta8[[#This Row],[Nombre de Cuenta Contable]]</f>
        <v>4202003 - Serv.Basic.Luz.Agua.Tel Of.C</v>
      </c>
      <c r="H3182" s="146" t="str">
        <f>+VLOOKUP(D3182,'3. Cuentas'!A:F,6,0)</f>
        <v>SI</v>
      </c>
    </row>
    <row r="3183" spans="1:8" x14ac:dyDescent="0.25">
      <c r="A3183" s="43">
        <v>70121</v>
      </c>
      <c r="B3183" t="s">
        <v>236</v>
      </c>
      <c r="C3183" s="43" t="s">
        <v>1536</v>
      </c>
      <c r="D3183" s="43">
        <v>4202009</v>
      </c>
      <c r="E3183" t="s">
        <v>80</v>
      </c>
      <c r="F3183" s="47" t="str">
        <f>+Centro_Cuenta8[[#This Row],[Codigo Centro Gestion]]&amp;" - "&amp;Centro_Cuenta8[[#This Row],[Nombre Centro Gestion]]</f>
        <v>70121 - VENTAS V REGIÓN</v>
      </c>
      <c r="G3183" s="47" t="str">
        <f>+Centro_Cuenta8[[#This Row],[Código Cuenta Contable]]&amp;" - "&amp;Centro_Cuenta8[[#This Row],[Nombre de Cuenta Contable]]</f>
        <v>4202009 - Gastos Viajes Y Traslados</v>
      </c>
      <c r="H3183" s="146" t="str">
        <f>+VLOOKUP(D3183,'3. Cuentas'!A:F,6,0)</f>
        <v>SI</v>
      </c>
    </row>
    <row r="3184" spans="1:8" x14ac:dyDescent="0.25">
      <c r="A3184" s="43">
        <v>70121</v>
      </c>
      <c r="B3184" t="s">
        <v>236</v>
      </c>
      <c r="C3184" s="43" t="s">
        <v>1536</v>
      </c>
      <c r="D3184" s="43">
        <v>4202019</v>
      </c>
      <c r="E3184" t="s">
        <v>81</v>
      </c>
      <c r="F3184" s="47" t="str">
        <f>+Centro_Cuenta8[[#This Row],[Codigo Centro Gestion]]&amp;" - "&amp;Centro_Cuenta8[[#This Row],[Nombre Centro Gestion]]</f>
        <v>70121 - VENTAS V REGIÓN</v>
      </c>
      <c r="G3184" s="47" t="str">
        <f>+Centro_Cuenta8[[#This Row],[Código Cuenta Contable]]&amp;" - "&amp;Centro_Cuenta8[[#This Row],[Nombre de Cuenta Contable]]</f>
        <v>4202019 - Gasto General Oficina</v>
      </c>
      <c r="H3184" s="146" t="str">
        <f>+VLOOKUP(D3184,'3. Cuentas'!A:F,6,0)</f>
        <v>SI</v>
      </c>
    </row>
    <row r="3185" spans="1:8" x14ac:dyDescent="0.25">
      <c r="A3185" s="43">
        <v>70121</v>
      </c>
      <c r="B3185" t="s">
        <v>236</v>
      </c>
      <c r="C3185" s="43" t="s">
        <v>1536</v>
      </c>
      <c r="D3185" s="43">
        <v>4202023</v>
      </c>
      <c r="E3185" t="s">
        <v>82</v>
      </c>
      <c r="F3185" s="47" t="str">
        <f>+Centro_Cuenta8[[#This Row],[Codigo Centro Gestion]]&amp;" - "&amp;Centro_Cuenta8[[#This Row],[Nombre Centro Gestion]]</f>
        <v>70121 - VENTAS V REGIÓN</v>
      </c>
      <c r="G3185" s="47" t="str">
        <f>+Centro_Cuenta8[[#This Row],[Código Cuenta Contable]]&amp;" - "&amp;Centro_Cuenta8[[#This Row],[Nombre de Cuenta Contable]]</f>
        <v>4202023 - Honorarios Por Asesorías</v>
      </c>
      <c r="H3185" s="146" t="str">
        <f>+VLOOKUP(D3185,'3. Cuentas'!A:F,6,0)</f>
        <v>SI</v>
      </c>
    </row>
    <row r="3186" spans="1:8" x14ac:dyDescent="0.25">
      <c r="A3186" s="43">
        <v>70121</v>
      </c>
      <c r="B3186" t="s">
        <v>236</v>
      </c>
      <c r="C3186" s="43" t="s">
        <v>1536</v>
      </c>
      <c r="D3186" s="43">
        <v>4202029</v>
      </c>
      <c r="E3186" t="s">
        <v>83</v>
      </c>
      <c r="F3186" s="47" t="str">
        <f>+Centro_Cuenta8[[#This Row],[Codigo Centro Gestion]]&amp;" - "&amp;Centro_Cuenta8[[#This Row],[Nombre Centro Gestion]]</f>
        <v>70121 - VENTAS V REGIÓN</v>
      </c>
      <c r="G3186" s="47" t="str">
        <f>+Centro_Cuenta8[[#This Row],[Código Cuenta Contable]]&amp;" - "&amp;Centro_Cuenta8[[#This Row],[Nombre de Cuenta Contable]]</f>
        <v>4202029 - Insumos Y Gastos Informáticos</v>
      </c>
      <c r="H3186" s="146" t="str">
        <f>+VLOOKUP(D3186,'3. Cuentas'!A:F,6,0)</f>
        <v>SI</v>
      </c>
    </row>
    <row r="3187" spans="1:8" x14ac:dyDescent="0.25">
      <c r="A3187" s="43">
        <v>70125</v>
      </c>
      <c r="B3187" t="s">
        <v>120</v>
      </c>
      <c r="C3187" s="43" t="s">
        <v>1537</v>
      </c>
      <c r="D3187" s="43">
        <v>4202003</v>
      </c>
      <c r="E3187" t="s">
        <v>106</v>
      </c>
      <c r="F3187" s="47" t="str">
        <f>+Centro_Cuenta8[[#This Row],[Codigo Centro Gestion]]&amp;" - "&amp;Centro_Cuenta8[[#This Row],[Nombre Centro Gestion]]</f>
        <v>70125 - VENTAS NORTE 3</v>
      </c>
      <c r="G3187" s="47" t="str">
        <f>+Centro_Cuenta8[[#This Row],[Código Cuenta Contable]]&amp;" - "&amp;Centro_Cuenta8[[#This Row],[Nombre de Cuenta Contable]]</f>
        <v>4202003 - Serv.Basic.Luz.Agua.Tel Of.C</v>
      </c>
      <c r="H3187" s="146" t="str">
        <f>+VLOOKUP(D3187,'3. Cuentas'!A:F,6,0)</f>
        <v>SI</v>
      </c>
    </row>
    <row r="3188" spans="1:8" x14ac:dyDescent="0.25">
      <c r="A3188" s="43">
        <v>70125</v>
      </c>
      <c r="B3188" t="s">
        <v>120</v>
      </c>
      <c r="C3188" s="43" t="s">
        <v>1537</v>
      </c>
      <c r="D3188" s="43">
        <v>4202009</v>
      </c>
      <c r="E3188" t="s">
        <v>80</v>
      </c>
      <c r="F3188" s="47" t="str">
        <f>+Centro_Cuenta8[[#This Row],[Codigo Centro Gestion]]&amp;" - "&amp;Centro_Cuenta8[[#This Row],[Nombre Centro Gestion]]</f>
        <v>70125 - VENTAS NORTE 3</v>
      </c>
      <c r="G3188" s="47" t="str">
        <f>+Centro_Cuenta8[[#This Row],[Código Cuenta Contable]]&amp;" - "&amp;Centro_Cuenta8[[#This Row],[Nombre de Cuenta Contable]]</f>
        <v>4202009 - Gastos Viajes Y Traslados</v>
      </c>
      <c r="H3188" s="146" t="str">
        <f>+VLOOKUP(D3188,'3. Cuentas'!A:F,6,0)</f>
        <v>SI</v>
      </c>
    </row>
    <row r="3189" spans="1:8" x14ac:dyDescent="0.25">
      <c r="A3189" s="43">
        <v>70125</v>
      </c>
      <c r="B3189" t="s">
        <v>120</v>
      </c>
      <c r="C3189" s="43" t="s">
        <v>1537</v>
      </c>
      <c r="D3189" s="43">
        <v>4202019</v>
      </c>
      <c r="E3189" t="s">
        <v>81</v>
      </c>
      <c r="F3189" s="47" t="str">
        <f>+Centro_Cuenta8[[#This Row],[Codigo Centro Gestion]]&amp;" - "&amp;Centro_Cuenta8[[#This Row],[Nombre Centro Gestion]]</f>
        <v>70125 - VENTAS NORTE 3</v>
      </c>
      <c r="G3189" s="47" t="str">
        <f>+Centro_Cuenta8[[#This Row],[Código Cuenta Contable]]&amp;" - "&amp;Centro_Cuenta8[[#This Row],[Nombre de Cuenta Contable]]</f>
        <v>4202019 - Gasto General Oficina</v>
      </c>
      <c r="H3189" s="146" t="str">
        <f>+VLOOKUP(D3189,'3. Cuentas'!A:F,6,0)</f>
        <v>SI</v>
      </c>
    </row>
    <row r="3190" spans="1:8" x14ac:dyDescent="0.25">
      <c r="A3190" s="43">
        <v>70125</v>
      </c>
      <c r="B3190" t="s">
        <v>120</v>
      </c>
      <c r="C3190" s="43" t="s">
        <v>1537</v>
      </c>
      <c r="D3190" s="43">
        <v>4202023</v>
      </c>
      <c r="E3190" t="s">
        <v>82</v>
      </c>
      <c r="F3190" s="47" t="str">
        <f>+Centro_Cuenta8[[#This Row],[Codigo Centro Gestion]]&amp;" - "&amp;Centro_Cuenta8[[#This Row],[Nombre Centro Gestion]]</f>
        <v>70125 - VENTAS NORTE 3</v>
      </c>
      <c r="G3190" s="47" t="str">
        <f>+Centro_Cuenta8[[#This Row],[Código Cuenta Contable]]&amp;" - "&amp;Centro_Cuenta8[[#This Row],[Nombre de Cuenta Contable]]</f>
        <v>4202023 - Honorarios Por Asesorías</v>
      </c>
      <c r="H3190" s="146" t="str">
        <f>+VLOOKUP(D3190,'3. Cuentas'!A:F,6,0)</f>
        <v>SI</v>
      </c>
    </row>
    <row r="3191" spans="1:8" x14ac:dyDescent="0.25">
      <c r="A3191" s="43">
        <v>70125</v>
      </c>
      <c r="B3191" t="s">
        <v>120</v>
      </c>
      <c r="C3191" s="43" t="s">
        <v>1537</v>
      </c>
      <c r="D3191" s="43">
        <v>4202029</v>
      </c>
      <c r="E3191" t="s">
        <v>83</v>
      </c>
      <c r="F3191" s="47" t="str">
        <f>+Centro_Cuenta8[[#This Row],[Codigo Centro Gestion]]&amp;" - "&amp;Centro_Cuenta8[[#This Row],[Nombre Centro Gestion]]</f>
        <v>70125 - VENTAS NORTE 3</v>
      </c>
      <c r="G3191" s="47" t="str">
        <f>+Centro_Cuenta8[[#This Row],[Código Cuenta Contable]]&amp;" - "&amp;Centro_Cuenta8[[#This Row],[Nombre de Cuenta Contable]]</f>
        <v>4202029 - Insumos Y Gastos Informáticos</v>
      </c>
      <c r="H3191" s="146" t="str">
        <f>+VLOOKUP(D3191,'3. Cuentas'!A:F,6,0)</f>
        <v>SI</v>
      </c>
    </row>
    <row r="3192" spans="1:8" x14ac:dyDescent="0.25">
      <c r="A3192" s="43">
        <v>70201</v>
      </c>
      <c r="B3192" t="s">
        <v>237</v>
      </c>
      <c r="C3192" s="43" t="s">
        <v>1538</v>
      </c>
      <c r="D3192" s="43">
        <v>4201013</v>
      </c>
      <c r="E3192" t="s">
        <v>76</v>
      </c>
      <c r="F3192" s="47" t="str">
        <f>+Centro_Cuenta8[[#This Row],[Codigo Centro Gestion]]&amp;" - "&amp;Centro_Cuenta8[[#This Row],[Nombre Centro Gestion]]</f>
        <v>70201 - GERENCIA INVERSIONES Y DESARROLLO</v>
      </c>
      <c r="G3192" s="47" t="str">
        <f>+Centro_Cuenta8[[#This Row],[Código Cuenta Contable]]&amp;" - "&amp;Centro_Cuenta8[[#This Row],[Nombre de Cuenta Contable]]</f>
        <v>4201013 - Eventos Del Personal</v>
      </c>
      <c r="H3192" s="146" t="str">
        <f>+VLOOKUP(D3192,'3. Cuentas'!A:F,6,0)</f>
        <v>SI</v>
      </c>
    </row>
    <row r="3193" spans="1:8" x14ac:dyDescent="0.25">
      <c r="A3193" s="43">
        <v>70201</v>
      </c>
      <c r="B3193" t="s">
        <v>237</v>
      </c>
      <c r="C3193" s="43" t="s">
        <v>1538</v>
      </c>
      <c r="D3193" s="43">
        <v>4201038</v>
      </c>
      <c r="E3193" t="s">
        <v>102</v>
      </c>
      <c r="F3193" s="47" t="str">
        <f>+Centro_Cuenta8[[#This Row],[Codigo Centro Gestion]]&amp;" - "&amp;Centro_Cuenta8[[#This Row],[Nombre Centro Gestion]]</f>
        <v>70201 - GERENCIA INVERSIONES Y DESARROLLO</v>
      </c>
      <c r="G3193" s="47" t="str">
        <f>+Centro_Cuenta8[[#This Row],[Código Cuenta Contable]]&amp;" - "&amp;Centro_Cuenta8[[#This Row],[Nombre de Cuenta Contable]]</f>
        <v>4201038 - Beneficios</v>
      </c>
      <c r="H3193" s="146" t="str">
        <f>+VLOOKUP(D3193,'3. Cuentas'!A:F,6,0)</f>
        <v>SI</v>
      </c>
    </row>
    <row r="3194" spans="1:8" x14ac:dyDescent="0.25">
      <c r="A3194" s="43">
        <v>70201</v>
      </c>
      <c r="B3194" t="s">
        <v>237</v>
      </c>
      <c r="C3194" s="43" t="s">
        <v>1538</v>
      </c>
      <c r="D3194" s="43">
        <v>4202009</v>
      </c>
      <c r="E3194" t="s">
        <v>80</v>
      </c>
      <c r="F3194" s="47" t="str">
        <f>+Centro_Cuenta8[[#This Row],[Codigo Centro Gestion]]&amp;" - "&amp;Centro_Cuenta8[[#This Row],[Nombre Centro Gestion]]</f>
        <v>70201 - GERENCIA INVERSIONES Y DESARROLLO</v>
      </c>
      <c r="G3194" s="47" t="str">
        <f>+Centro_Cuenta8[[#This Row],[Código Cuenta Contable]]&amp;" - "&amp;Centro_Cuenta8[[#This Row],[Nombre de Cuenta Contable]]</f>
        <v>4202009 - Gastos Viajes Y Traslados</v>
      </c>
      <c r="H3194" s="146" t="str">
        <f>+VLOOKUP(D3194,'3. Cuentas'!A:F,6,0)</f>
        <v>SI</v>
      </c>
    </row>
    <row r="3195" spans="1:8" x14ac:dyDescent="0.25">
      <c r="A3195" s="43">
        <v>70201</v>
      </c>
      <c r="B3195" t="s">
        <v>237</v>
      </c>
      <c r="C3195" s="43" t="s">
        <v>1538</v>
      </c>
      <c r="D3195" s="43">
        <v>4202010</v>
      </c>
      <c r="E3195" t="s">
        <v>87</v>
      </c>
      <c r="F3195" s="47" t="str">
        <f>+Centro_Cuenta8[[#This Row],[Codigo Centro Gestion]]&amp;" - "&amp;Centro_Cuenta8[[#This Row],[Nombre Centro Gestion]]</f>
        <v>70201 - GERENCIA INVERSIONES Y DESARROLLO</v>
      </c>
      <c r="G3195" s="47" t="str">
        <f>+Centro_Cuenta8[[#This Row],[Código Cuenta Contable]]&amp;" - "&amp;Centro_Cuenta8[[#This Row],[Nombre de Cuenta Contable]]</f>
        <v>4202010 - Artic. Ofic. Fotocop.Papelería</v>
      </c>
      <c r="H3195" s="146" t="str">
        <f>+VLOOKUP(D3195,'3. Cuentas'!A:F,6,0)</f>
        <v>SI</v>
      </c>
    </row>
    <row r="3196" spans="1:8" x14ac:dyDescent="0.25">
      <c r="A3196" s="43">
        <v>70201</v>
      </c>
      <c r="B3196" t="s">
        <v>237</v>
      </c>
      <c r="C3196" s="43" t="s">
        <v>1538</v>
      </c>
      <c r="D3196" s="43">
        <v>4202019</v>
      </c>
      <c r="E3196" t="s">
        <v>81</v>
      </c>
      <c r="F3196" s="47" t="str">
        <f>+Centro_Cuenta8[[#This Row],[Codigo Centro Gestion]]&amp;" - "&amp;Centro_Cuenta8[[#This Row],[Nombre Centro Gestion]]</f>
        <v>70201 - GERENCIA INVERSIONES Y DESARROLLO</v>
      </c>
      <c r="G3196" s="47" t="str">
        <f>+Centro_Cuenta8[[#This Row],[Código Cuenta Contable]]&amp;" - "&amp;Centro_Cuenta8[[#This Row],[Nombre de Cuenta Contable]]</f>
        <v>4202019 - Gasto General Oficina</v>
      </c>
      <c r="H3196" s="146" t="str">
        <f>+VLOOKUP(D3196,'3. Cuentas'!A:F,6,0)</f>
        <v>SI</v>
      </c>
    </row>
    <row r="3197" spans="1:8" x14ac:dyDescent="0.25">
      <c r="A3197" s="43">
        <v>70201</v>
      </c>
      <c r="B3197" t="s">
        <v>237</v>
      </c>
      <c r="C3197" s="43" t="s">
        <v>1538</v>
      </c>
      <c r="D3197" s="43">
        <v>4202023</v>
      </c>
      <c r="E3197" t="s">
        <v>82</v>
      </c>
      <c r="F3197" s="47" t="str">
        <f>+Centro_Cuenta8[[#This Row],[Codigo Centro Gestion]]&amp;" - "&amp;Centro_Cuenta8[[#This Row],[Nombre Centro Gestion]]</f>
        <v>70201 - GERENCIA INVERSIONES Y DESARROLLO</v>
      </c>
      <c r="G3197" s="47" t="str">
        <f>+Centro_Cuenta8[[#This Row],[Código Cuenta Contable]]&amp;" - "&amp;Centro_Cuenta8[[#This Row],[Nombre de Cuenta Contable]]</f>
        <v>4202023 - Honorarios Por Asesorías</v>
      </c>
      <c r="H3197" s="146" t="str">
        <f>+VLOOKUP(D3197,'3. Cuentas'!A:F,6,0)</f>
        <v>SI</v>
      </c>
    </row>
    <row r="3198" spans="1:8" x14ac:dyDescent="0.25">
      <c r="A3198" s="43">
        <v>70201</v>
      </c>
      <c r="B3198" t="s">
        <v>237</v>
      </c>
      <c r="C3198" s="43" t="s">
        <v>1538</v>
      </c>
      <c r="D3198" s="43">
        <v>4202029</v>
      </c>
      <c r="E3198" t="s">
        <v>83</v>
      </c>
      <c r="F3198" s="47" t="str">
        <f>+Centro_Cuenta8[[#This Row],[Codigo Centro Gestion]]&amp;" - "&amp;Centro_Cuenta8[[#This Row],[Nombre Centro Gestion]]</f>
        <v>70201 - GERENCIA INVERSIONES Y DESARROLLO</v>
      </c>
      <c r="G3198" s="47" t="str">
        <f>+Centro_Cuenta8[[#This Row],[Código Cuenta Contable]]&amp;" - "&amp;Centro_Cuenta8[[#This Row],[Nombre de Cuenta Contable]]</f>
        <v>4202029 - Insumos Y Gastos Informáticos</v>
      </c>
      <c r="H3198" s="146" t="str">
        <f>+VLOOKUP(D3198,'3. Cuentas'!A:F,6,0)</f>
        <v>SI</v>
      </c>
    </row>
    <row r="3199" spans="1:8" x14ac:dyDescent="0.25">
      <c r="A3199" s="43">
        <v>70205</v>
      </c>
      <c r="B3199" t="s">
        <v>238</v>
      </c>
      <c r="C3199" s="43" t="s">
        <v>1539</v>
      </c>
      <c r="D3199" s="43">
        <v>4201013</v>
      </c>
      <c r="E3199" t="s">
        <v>76</v>
      </c>
      <c r="F3199" s="47" t="str">
        <f>+Centro_Cuenta8[[#This Row],[Codigo Centro Gestion]]&amp;" - "&amp;Centro_Cuenta8[[#This Row],[Nombre Centro Gestion]]</f>
        <v>70205 - DEPTO PROYECTOS ZONAL V REGIÓN</v>
      </c>
      <c r="G3199" s="47" t="str">
        <f>+Centro_Cuenta8[[#This Row],[Código Cuenta Contable]]&amp;" - "&amp;Centro_Cuenta8[[#This Row],[Nombre de Cuenta Contable]]</f>
        <v>4201013 - Eventos Del Personal</v>
      </c>
      <c r="H3199" s="146" t="str">
        <f>+VLOOKUP(D3199,'3. Cuentas'!A:F,6,0)</f>
        <v>SI</v>
      </c>
    </row>
    <row r="3200" spans="1:8" x14ac:dyDescent="0.25">
      <c r="A3200" s="43">
        <v>70205</v>
      </c>
      <c r="B3200" t="s">
        <v>238</v>
      </c>
      <c r="C3200" s="43" t="s">
        <v>1539</v>
      </c>
      <c r="D3200" s="43">
        <v>4202003</v>
      </c>
      <c r="E3200" t="s">
        <v>106</v>
      </c>
      <c r="F3200" s="47" t="str">
        <f>+Centro_Cuenta8[[#This Row],[Codigo Centro Gestion]]&amp;" - "&amp;Centro_Cuenta8[[#This Row],[Nombre Centro Gestion]]</f>
        <v>70205 - DEPTO PROYECTOS ZONAL V REGIÓN</v>
      </c>
      <c r="G3200" s="47" t="str">
        <f>+Centro_Cuenta8[[#This Row],[Código Cuenta Contable]]&amp;" - "&amp;Centro_Cuenta8[[#This Row],[Nombre de Cuenta Contable]]</f>
        <v>4202003 - Serv.Basic.Luz.Agua.Tel Of.C</v>
      </c>
      <c r="H3200" s="146" t="str">
        <f>+VLOOKUP(D3200,'3. Cuentas'!A:F,6,0)</f>
        <v>SI</v>
      </c>
    </row>
    <row r="3201" spans="1:8" x14ac:dyDescent="0.25">
      <c r="A3201" s="43">
        <v>70205</v>
      </c>
      <c r="B3201" t="s">
        <v>238</v>
      </c>
      <c r="C3201" s="43" t="s">
        <v>1539</v>
      </c>
      <c r="D3201" s="43">
        <v>4202006</v>
      </c>
      <c r="E3201" t="s">
        <v>86</v>
      </c>
      <c r="F3201" s="47" t="str">
        <f>+Centro_Cuenta8[[#This Row],[Codigo Centro Gestion]]&amp;" - "&amp;Centro_Cuenta8[[#This Row],[Nombre Centro Gestion]]</f>
        <v>70205 - DEPTO PROYECTOS ZONAL V REGIÓN</v>
      </c>
      <c r="G3201" s="47" t="str">
        <f>+Centro_Cuenta8[[#This Row],[Código Cuenta Contable]]&amp;" - "&amp;Centro_Cuenta8[[#This Row],[Nombre de Cuenta Contable]]</f>
        <v>4202006 - Gastos Legales Y Notariales OF Central</v>
      </c>
      <c r="H3201" s="146" t="str">
        <f>+VLOOKUP(D3201,'3. Cuentas'!A:F,6,0)</f>
        <v>SI</v>
      </c>
    </row>
    <row r="3202" spans="1:8" x14ac:dyDescent="0.25">
      <c r="A3202" s="43">
        <v>70205</v>
      </c>
      <c r="B3202" t="s">
        <v>238</v>
      </c>
      <c r="C3202" s="43" t="s">
        <v>1539</v>
      </c>
      <c r="D3202" s="43">
        <v>4202009</v>
      </c>
      <c r="E3202" t="s">
        <v>80</v>
      </c>
      <c r="F3202" s="47" t="str">
        <f>+Centro_Cuenta8[[#This Row],[Codigo Centro Gestion]]&amp;" - "&amp;Centro_Cuenta8[[#This Row],[Nombre Centro Gestion]]</f>
        <v>70205 - DEPTO PROYECTOS ZONAL V REGIÓN</v>
      </c>
      <c r="G3202" s="47" t="str">
        <f>+Centro_Cuenta8[[#This Row],[Código Cuenta Contable]]&amp;" - "&amp;Centro_Cuenta8[[#This Row],[Nombre de Cuenta Contable]]</f>
        <v>4202009 - Gastos Viajes Y Traslados</v>
      </c>
      <c r="H3202" s="146" t="str">
        <f>+VLOOKUP(D3202,'3. Cuentas'!A:F,6,0)</f>
        <v>SI</v>
      </c>
    </row>
    <row r="3203" spans="1:8" x14ac:dyDescent="0.25">
      <c r="A3203" s="43">
        <v>70205</v>
      </c>
      <c r="B3203" t="s">
        <v>238</v>
      </c>
      <c r="C3203" s="43" t="s">
        <v>1539</v>
      </c>
      <c r="D3203" s="43">
        <v>4202019</v>
      </c>
      <c r="E3203" t="s">
        <v>81</v>
      </c>
      <c r="F3203" s="47" t="str">
        <f>+Centro_Cuenta8[[#This Row],[Codigo Centro Gestion]]&amp;" - "&amp;Centro_Cuenta8[[#This Row],[Nombre Centro Gestion]]</f>
        <v>70205 - DEPTO PROYECTOS ZONAL V REGIÓN</v>
      </c>
      <c r="G3203" s="47" t="str">
        <f>+Centro_Cuenta8[[#This Row],[Código Cuenta Contable]]&amp;" - "&amp;Centro_Cuenta8[[#This Row],[Nombre de Cuenta Contable]]</f>
        <v>4202019 - Gasto General Oficina</v>
      </c>
      <c r="H3203" s="146" t="str">
        <f>+VLOOKUP(D3203,'3. Cuentas'!A:F,6,0)</f>
        <v>SI</v>
      </c>
    </row>
    <row r="3204" spans="1:8" x14ac:dyDescent="0.25">
      <c r="A3204" s="43">
        <v>70205</v>
      </c>
      <c r="B3204" t="s">
        <v>238</v>
      </c>
      <c r="C3204" s="43" t="s">
        <v>1539</v>
      </c>
      <c r="D3204" s="43">
        <v>4202029</v>
      </c>
      <c r="E3204" t="s">
        <v>83</v>
      </c>
      <c r="F3204" s="47" t="str">
        <f>+Centro_Cuenta8[[#This Row],[Codigo Centro Gestion]]&amp;" - "&amp;Centro_Cuenta8[[#This Row],[Nombre Centro Gestion]]</f>
        <v>70205 - DEPTO PROYECTOS ZONAL V REGIÓN</v>
      </c>
      <c r="G3204" s="47" t="str">
        <f>+Centro_Cuenta8[[#This Row],[Código Cuenta Contable]]&amp;" - "&amp;Centro_Cuenta8[[#This Row],[Nombre de Cuenta Contable]]</f>
        <v>4202029 - Insumos Y Gastos Informáticos</v>
      </c>
      <c r="H3204" s="146" t="str">
        <f>+VLOOKUP(D3204,'3. Cuentas'!A:F,6,0)</f>
        <v>SI</v>
      </c>
    </row>
    <row r="3205" spans="1:8" x14ac:dyDescent="0.25">
      <c r="A3205" s="43">
        <v>70206</v>
      </c>
      <c r="B3205" t="s">
        <v>239</v>
      </c>
      <c r="C3205" s="43" t="s">
        <v>1540</v>
      </c>
      <c r="D3205" s="43">
        <v>4201013</v>
      </c>
      <c r="E3205" t="s">
        <v>76</v>
      </c>
      <c r="F3205" s="47" t="str">
        <f>+Centro_Cuenta8[[#This Row],[Codigo Centro Gestion]]&amp;" - "&amp;Centro_Cuenta8[[#This Row],[Nombre Centro Gestion]]</f>
        <v>70206 - DEPTO PROYECTOS ZONAL NORTE 1</v>
      </c>
      <c r="G3205" s="47" t="str">
        <f>+Centro_Cuenta8[[#This Row],[Código Cuenta Contable]]&amp;" - "&amp;Centro_Cuenta8[[#This Row],[Nombre de Cuenta Contable]]</f>
        <v>4201013 - Eventos Del Personal</v>
      </c>
      <c r="H3205" s="146" t="str">
        <f>+VLOOKUP(D3205,'3. Cuentas'!A:F,6,0)</f>
        <v>SI</v>
      </c>
    </row>
    <row r="3206" spans="1:8" x14ac:dyDescent="0.25">
      <c r="A3206" s="43">
        <v>70206</v>
      </c>
      <c r="B3206" t="s">
        <v>239</v>
      </c>
      <c r="C3206" s="43" t="s">
        <v>1540</v>
      </c>
      <c r="D3206" s="43">
        <v>4202003</v>
      </c>
      <c r="E3206" t="s">
        <v>106</v>
      </c>
      <c r="F3206" s="47" t="str">
        <f>+Centro_Cuenta8[[#This Row],[Codigo Centro Gestion]]&amp;" - "&amp;Centro_Cuenta8[[#This Row],[Nombre Centro Gestion]]</f>
        <v>70206 - DEPTO PROYECTOS ZONAL NORTE 1</v>
      </c>
      <c r="G3206" s="47" t="str">
        <f>+Centro_Cuenta8[[#This Row],[Código Cuenta Contable]]&amp;" - "&amp;Centro_Cuenta8[[#This Row],[Nombre de Cuenta Contable]]</f>
        <v>4202003 - Serv.Basic.Luz.Agua.Tel Of.C</v>
      </c>
      <c r="H3206" s="146" t="str">
        <f>+VLOOKUP(D3206,'3. Cuentas'!A:F,6,0)</f>
        <v>SI</v>
      </c>
    </row>
    <row r="3207" spans="1:8" x14ac:dyDescent="0.25">
      <c r="A3207" s="43">
        <v>70206</v>
      </c>
      <c r="B3207" t="s">
        <v>239</v>
      </c>
      <c r="C3207" s="43" t="s">
        <v>1540</v>
      </c>
      <c r="D3207" s="43">
        <v>4202006</v>
      </c>
      <c r="E3207" t="s">
        <v>86</v>
      </c>
      <c r="F3207" s="47" t="str">
        <f>+Centro_Cuenta8[[#This Row],[Codigo Centro Gestion]]&amp;" - "&amp;Centro_Cuenta8[[#This Row],[Nombre Centro Gestion]]</f>
        <v>70206 - DEPTO PROYECTOS ZONAL NORTE 1</v>
      </c>
      <c r="G3207" s="47" t="str">
        <f>+Centro_Cuenta8[[#This Row],[Código Cuenta Contable]]&amp;" - "&amp;Centro_Cuenta8[[#This Row],[Nombre de Cuenta Contable]]</f>
        <v>4202006 - Gastos Legales Y Notariales OF Central</v>
      </c>
      <c r="H3207" s="146" t="str">
        <f>+VLOOKUP(D3207,'3. Cuentas'!A:F,6,0)</f>
        <v>SI</v>
      </c>
    </row>
    <row r="3208" spans="1:8" x14ac:dyDescent="0.25">
      <c r="A3208" s="43">
        <v>70206</v>
      </c>
      <c r="B3208" t="s">
        <v>239</v>
      </c>
      <c r="C3208" s="43" t="s">
        <v>1540</v>
      </c>
      <c r="D3208" s="43">
        <v>4202009</v>
      </c>
      <c r="E3208" t="s">
        <v>80</v>
      </c>
      <c r="F3208" s="47" t="str">
        <f>+Centro_Cuenta8[[#This Row],[Codigo Centro Gestion]]&amp;" - "&amp;Centro_Cuenta8[[#This Row],[Nombre Centro Gestion]]</f>
        <v>70206 - DEPTO PROYECTOS ZONAL NORTE 1</v>
      </c>
      <c r="G3208" s="47" t="str">
        <f>+Centro_Cuenta8[[#This Row],[Código Cuenta Contable]]&amp;" - "&amp;Centro_Cuenta8[[#This Row],[Nombre de Cuenta Contable]]</f>
        <v>4202009 - Gastos Viajes Y Traslados</v>
      </c>
      <c r="H3208" s="146" t="str">
        <f>+VLOOKUP(D3208,'3. Cuentas'!A:F,6,0)</f>
        <v>SI</v>
      </c>
    </row>
    <row r="3209" spans="1:8" x14ac:dyDescent="0.25">
      <c r="A3209" s="43">
        <v>70206</v>
      </c>
      <c r="B3209" t="s">
        <v>239</v>
      </c>
      <c r="C3209" s="43" t="s">
        <v>1540</v>
      </c>
      <c r="D3209" s="43">
        <v>4202019</v>
      </c>
      <c r="E3209" t="s">
        <v>81</v>
      </c>
      <c r="F3209" s="47" t="str">
        <f>+Centro_Cuenta8[[#This Row],[Codigo Centro Gestion]]&amp;" - "&amp;Centro_Cuenta8[[#This Row],[Nombre Centro Gestion]]</f>
        <v>70206 - DEPTO PROYECTOS ZONAL NORTE 1</v>
      </c>
      <c r="G3209" s="47" t="str">
        <f>+Centro_Cuenta8[[#This Row],[Código Cuenta Contable]]&amp;" - "&amp;Centro_Cuenta8[[#This Row],[Nombre de Cuenta Contable]]</f>
        <v>4202019 - Gasto General Oficina</v>
      </c>
      <c r="H3209" s="146" t="str">
        <f>+VLOOKUP(D3209,'3. Cuentas'!A:F,6,0)</f>
        <v>SI</v>
      </c>
    </row>
    <row r="3210" spans="1:8" x14ac:dyDescent="0.25">
      <c r="A3210" s="43">
        <v>70206</v>
      </c>
      <c r="B3210" t="s">
        <v>239</v>
      </c>
      <c r="C3210" s="43" t="s">
        <v>1540</v>
      </c>
      <c r="D3210" s="43">
        <v>4202029</v>
      </c>
      <c r="E3210" t="s">
        <v>83</v>
      </c>
      <c r="F3210" s="47" t="str">
        <f>+Centro_Cuenta8[[#This Row],[Codigo Centro Gestion]]&amp;" - "&amp;Centro_Cuenta8[[#This Row],[Nombre Centro Gestion]]</f>
        <v>70206 - DEPTO PROYECTOS ZONAL NORTE 1</v>
      </c>
      <c r="G3210" s="47" t="str">
        <f>+Centro_Cuenta8[[#This Row],[Código Cuenta Contable]]&amp;" - "&amp;Centro_Cuenta8[[#This Row],[Nombre de Cuenta Contable]]</f>
        <v>4202029 - Insumos Y Gastos Informáticos</v>
      </c>
      <c r="H3210" s="146" t="str">
        <f>+VLOOKUP(D3210,'3. Cuentas'!A:F,6,0)</f>
        <v>SI</v>
      </c>
    </row>
    <row r="3211" spans="1:8" x14ac:dyDescent="0.25">
      <c r="A3211" s="43">
        <v>70207</v>
      </c>
      <c r="B3211" t="s">
        <v>240</v>
      </c>
      <c r="C3211" s="43" t="s">
        <v>1541</v>
      </c>
      <c r="D3211" s="43">
        <v>4201013</v>
      </c>
      <c r="E3211" t="s">
        <v>76</v>
      </c>
      <c r="F3211" s="47" t="str">
        <f>+Centro_Cuenta8[[#This Row],[Codigo Centro Gestion]]&amp;" - "&amp;Centro_Cuenta8[[#This Row],[Nombre Centro Gestion]]</f>
        <v>70207 - DEPTO PROYECTOS ZONAL NORTE 2</v>
      </c>
      <c r="G3211" s="47" t="str">
        <f>+Centro_Cuenta8[[#This Row],[Código Cuenta Contable]]&amp;" - "&amp;Centro_Cuenta8[[#This Row],[Nombre de Cuenta Contable]]</f>
        <v>4201013 - Eventos Del Personal</v>
      </c>
      <c r="H3211" s="146" t="str">
        <f>+VLOOKUP(D3211,'3. Cuentas'!A:F,6,0)</f>
        <v>SI</v>
      </c>
    </row>
    <row r="3212" spans="1:8" x14ac:dyDescent="0.25">
      <c r="A3212" s="43">
        <v>70207</v>
      </c>
      <c r="B3212" t="s">
        <v>240</v>
      </c>
      <c r="C3212" s="43" t="s">
        <v>1541</v>
      </c>
      <c r="D3212" s="43">
        <v>4202003</v>
      </c>
      <c r="E3212" t="s">
        <v>106</v>
      </c>
      <c r="F3212" s="47" t="str">
        <f>+Centro_Cuenta8[[#This Row],[Codigo Centro Gestion]]&amp;" - "&amp;Centro_Cuenta8[[#This Row],[Nombre Centro Gestion]]</f>
        <v>70207 - DEPTO PROYECTOS ZONAL NORTE 2</v>
      </c>
      <c r="G3212" s="47" t="str">
        <f>+Centro_Cuenta8[[#This Row],[Código Cuenta Contable]]&amp;" - "&amp;Centro_Cuenta8[[#This Row],[Nombre de Cuenta Contable]]</f>
        <v>4202003 - Serv.Basic.Luz.Agua.Tel Of.C</v>
      </c>
      <c r="H3212" s="146" t="str">
        <f>+VLOOKUP(D3212,'3. Cuentas'!A:F,6,0)</f>
        <v>SI</v>
      </c>
    </row>
    <row r="3213" spans="1:8" x14ac:dyDescent="0.25">
      <c r="A3213" s="43">
        <v>70207</v>
      </c>
      <c r="B3213" t="s">
        <v>240</v>
      </c>
      <c r="C3213" s="43" t="s">
        <v>1541</v>
      </c>
      <c r="D3213" s="43">
        <v>4202006</v>
      </c>
      <c r="E3213" t="s">
        <v>86</v>
      </c>
      <c r="F3213" s="47" t="str">
        <f>+Centro_Cuenta8[[#This Row],[Codigo Centro Gestion]]&amp;" - "&amp;Centro_Cuenta8[[#This Row],[Nombre Centro Gestion]]</f>
        <v>70207 - DEPTO PROYECTOS ZONAL NORTE 2</v>
      </c>
      <c r="G3213" s="47" t="str">
        <f>+Centro_Cuenta8[[#This Row],[Código Cuenta Contable]]&amp;" - "&amp;Centro_Cuenta8[[#This Row],[Nombre de Cuenta Contable]]</f>
        <v>4202006 - Gastos Legales Y Notariales OF Central</v>
      </c>
      <c r="H3213" s="146" t="str">
        <f>+VLOOKUP(D3213,'3. Cuentas'!A:F,6,0)</f>
        <v>SI</v>
      </c>
    </row>
    <row r="3214" spans="1:8" x14ac:dyDescent="0.25">
      <c r="A3214" s="43">
        <v>70207</v>
      </c>
      <c r="B3214" t="s">
        <v>240</v>
      </c>
      <c r="C3214" s="43" t="s">
        <v>1541</v>
      </c>
      <c r="D3214" s="43">
        <v>4202009</v>
      </c>
      <c r="E3214" t="s">
        <v>80</v>
      </c>
      <c r="F3214" s="47" t="str">
        <f>+Centro_Cuenta8[[#This Row],[Codigo Centro Gestion]]&amp;" - "&amp;Centro_Cuenta8[[#This Row],[Nombre Centro Gestion]]</f>
        <v>70207 - DEPTO PROYECTOS ZONAL NORTE 2</v>
      </c>
      <c r="G3214" s="47" t="str">
        <f>+Centro_Cuenta8[[#This Row],[Código Cuenta Contable]]&amp;" - "&amp;Centro_Cuenta8[[#This Row],[Nombre de Cuenta Contable]]</f>
        <v>4202009 - Gastos Viajes Y Traslados</v>
      </c>
      <c r="H3214" s="146" t="str">
        <f>+VLOOKUP(D3214,'3. Cuentas'!A:F,6,0)</f>
        <v>SI</v>
      </c>
    </row>
    <row r="3215" spans="1:8" x14ac:dyDescent="0.25">
      <c r="A3215" s="43">
        <v>70207</v>
      </c>
      <c r="B3215" t="s">
        <v>240</v>
      </c>
      <c r="C3215" s="43" t="s">
        <v>1541</v>
      </c>
      <c r="D3215" s="43">
        <v>4202019</v>
      </c>
      <c r="E3215" t="s">
        <v>81</v>
      </c>
      <c r="F3215" s="47" t="str">
        <f>+Centro_Cuenta8[[#This Row],[Codigo Centro Gestion]]&amp;" - "&amp;Centro_Cuenta8[[#This Row],[Nombre Centro Gestion]]</f>
        <v>70207 - DEPTO PROYECTOS ZONAL NORTE 2</v>
      </c>
      <c r="G3215" s="47" t="str">
        <f>+Centro_Cuenta8[[#This Row],[Código Cuenta Contable]]&amp;" - "&amp;Centro_Cuenta8[[#This Row],[Nombre de Cuenta Contable]]</f>
        <v>4202019 - Gasto General Oficina</v>
      </c>
      <c r="H3215" s="146" t="str">
        <f>+VLOOKUP(D3215,'3. Cuentas'!A:F,6,0)</f>
        <v>SI</v>
      </c>
    </row>
    <row r="3216" spans="1:8" x14ac:dyDescent="0.25">
      <c r="A3216" s="43">
        <v>70207</v>
      </c>
      <c r="B3216" t="s">
        <v>240</v>
      </c>
      <c r="C3216" s="43" t="s">
        <v>1541</v>
      </c>
      <c r="D3216" s="43">
        <v>4202029</v>
      </c>
      <c r="E3216" t="s">
        <v>83</v>
      </c>
      <c r="F3216" s="47" t="str">
        <f>+Centro_Cuenta8[[#This Row],[Codigo Centro Gestion]]&amp;" - "&amp;Centro_Cuenta8[[#This Row],[Nombre Centro Gestion]]</f>
        <v>70207 - DEPTO PROYECTOS ZONAL NORTE 2</v>
      </c>
      <c r="G3216" s="47" t="str">
        <f>+Centro_Cuenta8[[#This Row],[Código Cuenta Contable]]&amp;" - "&amp;Centro_Cuenta8[[#This Row],[Nombre de Cuenta Contable]]</f>
        <v>4202029 - Insumos Y Gastos Informáticos</v>
      </c>
      <c r="H3216" s="146" t="str">
        <f>+VLOOKUP(D3216,'3. Cuentas'!A:F,6,0)</f>
        <v>SI</v>
      </c>
    </row>
    <row r="3217" spans="1:8" x14ac:dyDescent="0.25">
      <c r="A3217" s="43">
        <v>70208</v>
      </c>
      <c r="B3217" t="s">
        <v>241</v>
      </c>
      <c r="C3217" s="43" t="s">
        <v>1542</v>
      </c>
      <c r="D3217" s="43">
        <v>4201013</v>
      </c>
      <c r="E3217" t="s">
        <v>76</v>
      </c>
      <c r="F3217" s="47" t="str">
        <f>+Centro_Cuenta8[[#This Row],[Codigo Centro Gestion]]&amp;" - "&amp;Centro_Cuenta8[[#This Row],[Nombre Centro Gestion]]</f>
        <v>70208 - DEPTO PROYECTOS ZONAL ZC 1</v>
      </c>
      <c r="G3217" s="47" t="str">
        <f>+Centro_Cuenta8[[#This Row],[Código Cuenta Contable]]&amp;" - "&amp;Centro_Cuenta8[[#This Row],[Nombre de Cuenta Contable]]</f>
        <v>4201013 - Eventos Del Personal</v>
      </c>
      <c r="H3217" s="146" t="str">
        <f>+VLOOKUP(D3217,'3. Cuentas'!A:F,6,0)</f>
        <v>SI</v>
      </c>
    </row>
    <row r="3218" spans="1:8" x14ac:dyDescent="0.25">
      <c r="A3218" s="43">
        <v>70208</v>
      </c>
      <c r="B3218" t="s">
        <v>241</v>
      </c>
      <c r="C3218" s="43" t="s">
        <v>1542</v>
      </c>
      <c r="D3218" s="43">
        <v>4202003</v>
      </c>
      <c r="E3218" t="s">
        <v>106</v>
      </c>
      <c r="F3218" s="47" t="str">
        <f>+Centro_Cuenta8[[#This Row],[Codigo Centro Gestion]]&amp;" - "&amp;Centro_Cuenta8[[#This Row],[Nombre Centro Gestion]]</f>
        <v>70208 - DEPTO PROYECTOS ZONAL ZC 1</v>
      </c>
      <c r="G3218" s="47" t="str">
        <f>+Centro_Cuenta8[[#This Row],[Código Cuenta Contable]]&amp;" - "&amp;Centro_Cuenta8[[#This Row],[Nombre de Cuenta Contable]]</f>
        <v>4202003 - Serv.Basic.Luz.Agua.Tel Of.C</v>
      </c>
      <c r="H3218" s="146" t="str">
        <f>+VLOOKUP(D3218,'3. Cuentas'!A:F,6,0)</f>
        <v>SI</v>
      </c>
    </row>
    <row r="3219" spans="1:8" x14ac:dyDescent="0.25">
      <c r="A3219" s="43">
        <v>70208</v>
      </c>
      <c r="B3219" t="s">
        <v>241</v>
      </c>
      <c r="C3219" s="43" t="s">
        <v>1542</v>
      </c>
      <c r="D3219" s="43">
        <v>4202006</v>
      </c>
      <c r="E3219" t="s">
        <v>86</v>
      </c>
      <c r="F3219" s="47" t="str">
        <f>+Centro_Cuenta8[[#This Row],[Codigo Centro Gestion]]&amp;" - "&amp;Centro_Cuenta8[[#This Row],[Nombre Centro Gestion]]</f>
        <v>70208 - DEPTO PROYECTOS ZONAL ZC 1</v>
      </c>
      <c r="G3219" s="47" t="str">
        <f>+Centro_Cuenta8[[#This Row],[Código Cuenta Contable]]&amp;" - "&amp;Centro_Cuenta8[[#This Row],[Nombre de Cuenta Contable]]</f>
        <v>4202006 - Gastos Legales Y Notariales OF Central</v>
      </c>
      <c r="H3219" s="146" t="str">
        <f>+VLOOKUP(D3219,'3. Cuentas'!A:F,6,0)</f>
        <v>SI</v>
      </c>
    </row>
    <row r="3220" spans="1:8" x14ac:dyDescent="0.25">
      <c r="A3220" s="43">
        <v>70208</v>
      </c>
      <c r="B3220" t="s">
        <v>241</v>
      </c>
      <c r="C3220" s="43" t="s">
        <v>1542</v>
      </c>
      <c r="D3220" s="43">
        <v>4202009</v>
      </c>
      <c r="E3220" t="s">
        <v>80</v>
      </c>
      <c r="F3220" s="47" t="str">
        <f>+Centro_Cuenta8[[#This Row],[Codigo Centro Gestion]]&amp;" - "&amp;Centro_Cuenta8[[#This Row],[Nombre Centro Gestion]]</f>
        <v>70208 - DEPTO PROYECTOS ZONAL ZC 1</v>
      </c>
      <c r="G3220" s="47" t="str">
        <f>+Centro_Cuenta8[[#This Row],[Código Cuenta Contable]]&amp;" - "&amp;Centro_Cuenta8[[#This Row],[Nombre de Cuenta Contable]]</f>
        <v>4202009 - Gastos Viajes Y Traslados</v>
      </c>
      <c r="H3220" s="146" t="str">
        <f>+VLOOKUP(D3220,'3. Cuentas'!A:F,6,0)</f>
        <v>SI</v>
      </c>
    </row>
    <row r="3221" spans="1:8" x14ac:dyDescent="0.25">
      <c r="A3221" s="43">
        <v>70208</v>
      </c>
      <c r="B3221" t="s">
        <v>241</v>
      </c>
      <c r="C3221" s="43" t="s">
        <v>1542</v>
      </c>
      <c r="D3221" s="43">
        <v>4202019</v>
      </c>
      <c r="E3221" t="s">
        <v>81</v>
      </c>
      <c r="F3221" s="47" t="str">
        <f>+Centro_Cuenta8[[#This Row],[Codigo Centro Gestion]]&amp;" - "&amp;Centro_Cuenta8[[#This Row],[Nombre Centro Gestion]]</f>
        <v>70208 - DEPTO PROYECTOS ZONAL ZC 1</v>
      </c>
      <c r="G3221" s="47" t="str">
        <f>+Centro_Cuenta8[[#This Row],[Código Cuenta Contable]]&amp;" - "&amp;Centro_Cuenta8[[#This Row],[Nombre de Cuenta Contable]]</f>
        <v>4202019 - Gasto General Oficina</v>
      </c>
      <c r="H3221" s="146" t="str">
        <f>+VLOOKUP(D3221,'3. Cuentas'!A:F,6,0)</f>
        <v>SI</v>
      </c>
    </row>
    <row r="3222" spans="1:8" x14ac:dyDescent="0.25">
      <c r="A3222" s="43">
        <v>70208</v>
      </c>
      <c r="B3222" t="s">
        <v>241</v>
      </c>
      <c r="C3222" s="43" t="s">
        <v>1542</v>
      </c>
      <c r="D3222" s="43">
        <v>4202029</v>
      </c>
      <c r="E3222" t="s">
        <v>83</v>
      </c>
      <c r="F3222" s="47" t="str">
        <f>+Centro_Cuenta8[[#This Row],[Codigo Centro Gestion]]&amp;" - "&amp;Centro_Cuenta8[[#This Row],[Nombre Centro Gestion]]</f>
        <v>70208 - DEPTO PROYECTOS ZONAL ZC 1</v>
      </c>
      <c r="G3222" s="47" t="str">
        <f>+Centro_Cuenta8[[#This Row],[Código Cuenta Contable]]&amp;" - "&amp;Centro_Cuenta8[[#This Row],[Nombre de Cuenta Contable]]</f>
        <v>4202029 - Insumos Y Gastos Informáticos</v>
      </c>
      <c r="H3222" s="146" t="str">
        <f>+VLOOKUP(D3222,'3. Cuentas'!A:F,6,0)</f>
        <v>SI</v>
      </c>
    </row>
    <row r="3223" spans="1:8" x14ac:dyDescent="0.25">
      <c r="A3223" s="43">
        <v>70209</v>
      </c>
      <c r="B3223" t="s">
        <v>242</v>
      </c>
      <c r="C3223" s="43" t="s">
        <v>1542</v>
      </c>
      <c r="D3223" s="43">
        <v>4201013</v>
      </c>
      <c r="E3223" t="s">
        <v>76</v>
      </c>
      <c r="F3223" s="47" t="str">
        <f>+Centro_Cuenta8[[#This Row],[Codigo Centro Gestion]]&amp;" - "&amp;Centro_Cuenta8[[#This Row],[Nombre Centro Gestion]]</f>
        <v>70209 - DEPTO PROYECTOS ZONAL ZC 2</v>
      </c>
      <c r="G3223" s="47" t="str">
        <f>+Centro_Cuenta8[[#This Row],[Código Cuenta Contable]]&amp;" - "&amp;Centro_Cuenta8[[#This Row],[Nombre de Cuenta Contable]]</f>
        <v>4201013 - Eventos Del Personal</v>
      </c>
      <c r="H3223" s="146" t="str">
        <f>+VLOOKUP(D3223,'3. Cuentas'!A:F,6,0)</f>
        <v>SI</v>
      </c>
    </row>
    <row r="3224" spans="1:8" x14ac:dyDescent="0.25">
      <c r="A3224" s="43">
        <v>70209</v>
      </c>
      <c r="B3224" t="s">
        <v>242</v>
      </c>
      <c r="C3224" s="43" t="s">
        <v>1542</v>
      </c>
      <c r="D3224" s="43">
        <v>4202003</v>
      </c>
      <c r="E3224" t="s">
        <v>106</v>
      </c>
      <c r="F3224" s="47" t="str">
        <f>+Centro_Cuenta8[[#This Row],[Codigo Centro Gestion]]&amp;" - "&amp;Centro_Cuenta8[[#This Row],[Nombre Centro Gestion]]</f>
        <v>70209 - DEPTO PROYECTOS ZONAL ZC 2</v>
      </c>
      <c r="G3224" s="47" t="str">
        <f>+Centro_Cuenta8[[#This Row],[Código Cuenta Contable]]&amp;" - "&amp;Centro_Cuenta8[[#This Row],[Nombre de Cuenta Contable]]</f>
        <v>4202003 - Serv.Basic.Luz.Agua.Tel Of.C</v>
      </c>
      <c r="H3224" s="146" t="str">
        <f>+VLOOKUP(D3224,'3. Cuentas'!A:F,6,0)</f>
        <v>SI</v>
      </c>
    </row>
    <row r="3225" spans="1:8" x14ac:dyDescent="0.25">
      <c r="A3225" s="43">
        <v>70209</v>
      </c>
      <c r="B3225" t="s">
        <v>242</v>
      </c>
      <c r="C3225" s="43" t="s">
        <v>1542</v>
      </c>
      <c r="D3225" s="43">
        <v>4202006</v>
      </c>
      <c r="E3225" t="s">
        <v>86</v>
      </c>
      <c r="F3225" s="47" t="str">
        <f>+Centro_Cuenta8[[#This Row],[Codigo Centro Gestion]]&amp;" - "&amp;Centro_Cuenta8[[#This Row],[Nombre Centro Gestion]]</f>
        <v>70209 - DEPTO PROYECTOS ZONAL ZC 2</v>
      </c>
      <c r="G3225" s="47" t="str">
        <f>+Centro_Cuenta8[[#This Row],[Código Cuenta Contable]]&amp;" - "&amp;Centro_Cuenta8[[#This Row],[Nombre de Cuenta Contable]]</f>
        <v>4202006 - Gastos Legales Y Notariales OF Central</v>
      </c>
      <c r="H3225" s="146" t="str">
        <f>+VLOOKUP(D3225,'3. Cuentas'!A:F,6,0)</f>
        <v>SI</v>
      </c>
    </row>
    <row r="3226" spans="1:8" x14ac:dyDescent="0.25">
      <c r="A3226" s="43">
        <v>70209</v>
      </c>
      <c r="B3226" t="s">
        <v>242</v>
      </c>
      <c r="C3226" s="43" t="s">
        <v>1542</v>
      </c>
      <c r="D3226" s="43">
        <v>4202009</v>
      </c>
      <c r="E3226" t="s">
        <v>80</v>
      </c>
      <c r="F3226" s="47" t="str">
        <f>+Centro_Cuenta8[[#This Row],[Codigo Centro Gestion]]&amp;" - "&amp;Centro_Cuenta8[[#This Row],[Nombre Centro Gestion]]</f>
        <v>70209 - DEPTO PROYECTOS ZONAL ZC 2</v>
      </c>
      <c r="G3226" s="47" t="str">
        <f>+Centro_Cuenta8[[#This Row],[Código Cuenta Contable]]&amp;" - "&amp;Centro_Cuenta8[[#This Row],[Nombre de Cuenta Contable]]</f>
        <v>4202009 - Gastos Viajes Y Traslados</v>
      </c>
      <c r="H3226" s="146" t="str">
        <f>+VLOOKUP(D3226,'3. Cuentas'!A:F,6,0)</f>
        <v>SI</v>
      </c>
    </row>
    <row r="3227" spans="1:8" x14ac:dyDescent="0.25">
      <c r="A3227" s="43">
        <v>70209</v>
      </c>
      <c r="B3227" t="s">
        <v>242</v>
      </c>
      <c r="C3227" s="43" t="s">
        <v>1542</v>
      </c>
      <c r="D3227" s="43">
        <v>4202019</v>
      </c>
      <c r="E3227" t="s">
        <v>81</v>
      </c>
      <c r="F3227" s="47" t="str">
        <f>+Centro_Cuenta8[[#This Row],[Codigo Centro Gestion]]&amp;" - "&amp;Centro_Cuenta8[[#This Row],[Nombre Centro Gestion]]</f>
        <v>70209 - DEPTO PROYECTOS ZONAL ZC 2</v>
      </c>
      <c r="G3227" s="47" t="str">
        <f>+Centro_Cuenta8[[#This Row],[Código Cuenta Contable]]&amp;" - "&amp;Centro_Cuenta8[[#This Row],[Nombre de Cuenta Contable]]</f>
        <v>4202019 - Gasto General Oficina</v>
      </c>
      <c r="H3227" s="146" t="str">
        <f>+VLOOKUP(D3227,'3. Cuentas'!A:F,6,0)</f>
        <v>SI</v>
      </c>
    </row>
    <row r="3228" spans="1:8" x14ac:dyDescent="0.25">
      <c r="A3228" s="43">
        <v>70209</v>
      </c>
      <c r="B3228" t="s">
        <v>242</v>
      </c>
      <c r="C3228" s="43" t="s">
        <v>1542</v>
      </c>
      <c r="D3228" s="43">
        <v>4202029</v>
      </c>
      <c r="E3228" t="s">
        <v>83</v>
      </c>
      <c r="F3228" s="47" t="str">
        <f>+Centro_Cuenta8[[#This Row],[Codigo Centro Gestion]]&amp;" - "&amp;Centro_Cuenta8[[#This Row],[Nombre Centro Gestion]]</f>
        <v>70209 - DEPTO PROYECTOS ZONAL ZC 2</v>
      </c>
      <c r="G3228" s="47" t="str">
        <f>+Centro_Cuenta8[[#This Row],[Código Cuenta Contable]]&amp;" - "&amp;Centro_Cuenta8[[#This Row],[Nombre de Cuenta Contable]]</f>
        <v>4202029 - Insumos Y Gastos Informáticos</v>
      </c>
      <c r="H3228" s="146" t="str">
        <f>+VLOOKUP(D3228,'3. Cuentas'!A:F,6,0)</f>
        <v>SI</v>
      </c>
    </row>
    <row r="3229" spans="1:8" x14ac:dyDescent="0.25">
      <c r="A3229" s="43">
        <v>70210</v>
      </c>
      <c r="B3229" t="s">
        <v>243</v>
      </c>
      <c r="C3229" s="43" t="s">
        <v>1543</v>
      </c>
      <c r="D3229" s="43">
        <v>4201013</v>
      </c>
      <c r="E3229" t="s">
        <v>76</v>
      </c>
      <c r="F3229" s="47" t="str">
        <f>+Centro_Cuenta8[[#This Row],[Codigo Centro Gestion]]&amp;" - "&amp;Centro_Cuenta8[[#This Row],[Nombre Centro Gestion]]</f>
        <v>70210 - GERENCIA OPERACIONES INMOBILIARIAS</v>
      </c>
      <c r="G3229" s="47" t="str">
        <f>+Centro_Cuenta8[[#This Row],[Código Cuenta Contable]]&amp;" - "&amp;Centro_Cuenta8[[#This Row],[Nombre de Cuenta Contable]]</f>
        <v>4201013 - Eventos Del Personal</v>
      </c>
      <c r="H3229" s="146" t="str">
        <f>+VLOOKUP(D3229,'3. Cuentas'!A:F,6,0)</f>
        <v>SI</v>
      </c>
    </row>
    <row r="3230" spans="1:8" x14ac:dyDescent="0.25">
      <c r="A3230" s="43">
        <v>70210</v>
      </c>
      <c r="B3230" t="s">
        <v>243</v>
      </c>
      <c r="C3230" s="43" t="s">
        <v>1543</v>
      </c>
      <c r="D3230" s="43">
        <v>4201038</v>
      </c>
      <c r="E3230" t="s">
        <v>102</v>
      </c>
      <c r="F3230" s="47" t="str">
        <f>+Centro_Cuenta8[[#This Row],[Codigo Centro Gestion]]&amp;" - "&amp;Centro_Cuenta8[[#This Row],[Nombre Centro Gestion]]</f>
        <v>70210 - GERENCIA OPERACIONES INMOBILIARIAS</v>
      </c>
      <c r="G3230" s="47" t="str">
        <f>+Centro_Cuenta8[[#This Row],[Código Cuenta Contable]]&amp;" - "&amp;Centro_Cuenta8[[#This Row],[Nombre de Cuenta Contable]]</f>
        <v>4201038 - Beneficios</v>
      </c>
      <c r="H3230" s="146" t="str">
        <f>+VLOOKUP(D3230,'3. Cuentas'!A:F,6,0)</f>
        <v>SI</v>
      </c>
    </row>
    <row r="3231" spans="1:8" x14ac:dyDescent="0.25">
      <c r="A3231" s="43">
        <v>70210</v>
      </c>
      <c r="B3231" t="s">
        <v>243</v>
      </c>
      <c r="C3231" s="43" t="s">
        <v>1543</v>
      </c>
      <c r="D3231" s="43">
        <v>4202009</v>
      </c>
      <c r="E3231" t="s">
        <v>80</v>
      </c>
      <c r="F3231" s="47" t="str">
        <f>+Centro_Cuenta8[[#This Row],[Codigo Centro Gestion]]&amp;" - "&amp;Centro_Cuenta8[[#This Row],[Nombre Centro Gestion]]</f>
        <v>70210 - GERENCIA OPERACIONES INMOBILIARIAS</v>
      </c>
      <c r="G3231" s="47" t="str">
        <f>+Centro_Cuenta8[[#This Row],[Código Cuenta Contable]]&amp;" - "&amp;Centro_Cuenta8[[#This Row],[Nombre de Cuenta Contable]]</f>
        <v>4202009 - Gastos Viajes Y Traslados</v>
      </c>
      <c r="H3231" s="146" t="str">
        <f>+VLOOKUP(D3231,'3. Cuentas'!A:F,6,0)</f>
        <v>SI</v>
      </c>
    </row>
    <row r="3232" spans="1:8" x14ac:dyDescent="0.25">
      <c r="A3232" s="43">
        <v>70210</v>
      </c>
      <c r="B3232" t="s">
        <v>243</v>
      </c>
      <c r="C3232" s="43" t="s">
        <v>1543</v>
      </c>
      <c r="D3232" s="43">
        <v>4202010</v>
      </c>
      <c r="E3232" t="s">
        <v>87</v>
      </c>
      <c r="F3232" s="47" t="str">
        <f>+Centro_Cuenta8[[#This Row],[Codigo Centro Gestion]]&amp;" - "&amp;Centro_Cuenta8[[#This Row],[Nombre Centro Gestion]]</f>
        <v>70210 - GERENCIA OPERACIONES INMOBILIARIAS</v>
      </c>
      <c r="G3232" s="47" t="str">
        <f>+Centro_Cuenta8[[#This Row],[Código Cuenta Contable]]&amp;" - "&amp;Centro_Cuenta8[[#This Row],[Nombre de Cuenta Contable]]</f>
        <v>4202010 - Artic. Ofic. Fotocop.Papelería</v>
      </c>
      <c r="H3232" s="146" t="str">
        <f>+VLOOKUP(D3232,'3. Cuentas'!A:F,6,0)</f>
        <v>SI</v>
      </c>
    </row>
    <row r="3233" spans="1:8" x14ac:dyDescent="0.25">
      <c r="A3233" s="43">
        <v>70210</v>
      </c>
      <c r="B3233" t="s">
        <v>243</v>
      </c>
      <c r="C3233" s="43" t="s">
        <v>1543</v>
      </c>
      <c r="D3233" s="43">
        <v>4202019</v>
      </c>
      <c r="E3233" t="s">
        <v>81</v>
      </c>
      <c r="F3233" s="47" t="str">
        <f>+Centro_Cuenta8[[#This Row],[Codigo Centro Gestion]]&amp;" - "&amp;Centro_Cuenta8[[#This Row],[Nombre Centro Gestion]]</f>
        <v>70210 - GERENCIA OPERACIONES INMOBILIARIAS</v>
      </c>
      <c r="G3233" s="47" t="str">
        <f>+Centro_Cuenta8[[#This Row],[Código Cuenta Contable]]&amp;" - "&amp;Centro_Cuenta8[[#This Row],[Nombre de Cuenta Contable]]</f>
        <v>4202019 - Gasto General Oficina</v>
      </c>
      <c r="H3233" s="146" t="str">
        <f>+VLOOKUP(D3233,'3. Cuentas'!A:F,6,0)</f>
        <v>SI</v>
      </c>
    </row>
    <row r="3234" spans="1:8" x14ac:dyDescent="0.25">
      <c r="A3234" s="43">
        <v>70210</v>
      </c>
      <c r="B3234" t="s">
        <v>243</v>
      </c>
      <c r="C3234" s="43" t="s">
        <v>1543</v>
      </c>
      <c r="D3234" s="43">
        <v>4202023</v>
      </c>
      <c r="E3234" t="s">
        <v>82</v>
      </c>
      <c r="F3234" s="47" t="str">
        <f>+Centro_Cuenta8[[#This Row],[Codigo Centro Gestion]]&amp;" - "&amp;Centro_Cuenta8[[#This Row],[Nombre Centro Gestion]]</f>
        <v>70210 - GERENCIA OPERACIONES INMOBILIARIAS</v>
      </c>
      <c r="G3234" s="47" t="str">
        <f>+Centro_Cuenta8[[#This Row],[Código Cuenta Contable]]&amp;" - "&amp;Centro_Cuenta8[[#This Row],[Nombre de Cuenta Contable]]</f>
        <v>4202023 - Honorarios Por Asesorías</v>
      </c>
      <c r="H3234" s="146" t="str">
        <f>+VLOOKUP(D3234,'3. Cuentas'!A:F,6,0)</f>
        <v>SI</v>
      </c>
    </row>
    <row r="3235" spans="1:8" x14ac:dyDescent="0.25">
      <c r="A3235" s="43">
        <v>70210</v>
      </c>
      <c r="B3235" t="s">
        <v>243</v>
      </c>
      <c r="C3235" s="43" t="s">
        <v>1543</v>
      </c>
      <c r="D3235" s="43">
        <v>4202029</v>
      </c>
      <c r="E3235" t="s">
        <v>83</v>
      </c>
      <c r="F3235" s="47" t="str">
        <f>+Centro_Cuenta8[[#This Row],[Codigo Centro Gestion]]&amp;" - "&amp;Centro_Cuenta8[[#This Row],[Nombre Centro Gestion]]</f>
        <v>70210 - GERENCIA OPERACIONES INMOBILIARIAS</v>
      </c>
      <c r="G3235" s="47" t="str">
        <f>+Centro_Cuenta8[[#This Row],[Código Cuenta Contable]]&amp;" - "&amp;Centro_Cuenta8[[#This Row],[Nombre de Cuenta Contable]]</f>
        <v>4202029 - Insumos Y Gastos Informáticos</v>
      </c>
      <c r="H3235" s="146" t="str">
        <f>+VLOOKUP(D3235,'3. Cuentas'!A:F,6,0)</f>
        <v>SI</v>
      </c>
    </row>
    <row r="3236" spans="1:8" x14ac:dyDescent="0.25">
      <c r="A3236" s="43">
        <v>70211</v>
      </c>
      <c r="B3236" t="s">
        <v>719</v>
      </c>
      <c r="C3236" s="43" t="s">
        <v>1544</v>
      </c>
      <c r="D3236" s="43">
        <v>4201013</v>
      </c>
      <c r="E3236" t="s">
        <v>76</v>
      </c>
      <c r="F3236" s="47" t="str">
        <f>+Centro_Cuenta8[[#This Row],[Codigo Centro Gestion]]&amp;" - "&amp;Centro_Cuenta8[[#This Row],[Nombre Centro Gestion]]</f>
        <v>70211 - DEPTO PROYECTOS ZONAL NORTE 3</v>
      </c>
      <c r="G3236" s="47" t="str">
        <f>+Centro_Cuenta8[[#This Row],[Código Cuenta Contable]]&amp;" - "&amp;Centro_Cuenta8[[#This Row],[Nombre de Cuenta Contable]]</f>
        <v>4201013 - Eventos Del Personal</v>
      </c>
      <c r="H3236" s="146" t="str">
        <f>+VLOOKUP(D3236,'3. Cuentas'!A:F,6,0)</f>
        <v>SI</v>
      </c>
    </row>
    <row r="3237" spans="1:8" x14ac:dyDescent="0.25">
      <c r="A3237" s="43">
        <v>70211</v>
      </c>
      <c r="B3237" t="s">
        <v>719</v>
      </c>
      <c r="C3237" s="43" t="s">
        <v>1544</v>
      </c>
      <c r="D3237" s="43">
        <v>4202003</v>
      </c>
      <c r="E3237" t="s">
        <v>106</v>
      </c>
      <c r="F3237" s="47" t="str">
        <f>+Centro_Cuenta8[[#This Row],[Codigo Centro Gestion]]&amp;" - "&amp;Centro_Cuenta8[[#This Row],[Nombre Centro Gestion]]</f>
        <v>70211 - DEPTO PROYECTOS ZONAL NORTE 3</v>
      </c>
      <c r="G3237" s="47" t="str">
        <f>+Centro_Cuenta8[[#This Row],[Código Cuenta Contable]]&amp;" - "&amp;Centro_Cuenta8[[#This Row],[Nombre de Cuenta Contable]]</f>
        <v>4202003 - Serv.Basic.Luz.Agua.Tel Of.C</v>
      </c>
      <c r="H3237" s="146" t="str">
        <f>+VLOOKUP(D3237,'3. Cuentas'!A:F,6,0)</f>
        <v>SI</v>
      </c>
    </row>
    <row r="3238" spans="1:8" x14ac:dyDescent="0.25">
      <c r="A3238" s="43">
        <v>70211</v>
      </c>
      <c r="B3238" t="s">
        <v>719</v>
      </c>
      <c r="C3238" s="43" t="s">
        <v>1544</v>
      </c>
      <c r="D3238" s="43">
        <v>4202006</v>
      </c>
      <c r="E3238" t="s">
        <v>86</v>
      </c>
      <c r="F3238" s="47" t="str">
        <f>+Centro_Cuenta8[[#This Row],[Codigo Centro Gestion]]&amp;" - "&amp;Centro_Cuenta8[[#This Row],[Nombre Centro Gestion]]</f>
        <v>70211 - DEPTO PROYECTOS ZONAL NORTE 3</v>
      </c>
      <c r="G3238" s="47" t="str">
        <f>+Centro_Cuenta8[[#This Row],[Código Cuenta Contable]]&amp;" - "&amp;Centro_Cuenta8[[#This Row],[Nombre de Cuenta Contable]]</f>
        <v>4202006 - Gastos Legales Y Notariales OF Central</v>
      </c>
      <c r="H3238" s="146" t="str">
        <f>+VLOOKUP(D3238,'3. Cuentas'!A:F,6,0)</f>
        <v>SI</v>
      </c>
    </row>
    <row r="3239" spans="1:8" x14ac:dyDescent="0.25">
      <c r="A3239" s="43">
        <v>70211</v>
      </c>
      <c r="B3239" t="s">
        <v>719</v>
      </c>
      <c r="C3239" s="43" t="s">
        <v>1544</v>
      </c>
      <c r="D3239" s="43">
        <v>4202009</v>
      </c>
      <c r="E3239" t="s">
        <v>80</v>
      </c>
      <c r="F3239" s="47" t="str">
        <f>+Centro_Cuenta8[[#This Row],[Codigo Centro Gestion]]&amp;" - "&amp;Centro_Cuenta8[[#This Row],[Nombre Centro Gestion]]</f>
        <v>70211 - DEPTO PROYECTOS ZONAL NORTE 3</v>
      </c>
      <c r="G3239" s="47" t="str">
        <f>+Centro_Cuenta8[[#This Row],[Código Cuenta Contable]]&amp;" - "&amp;Centro_Cuenta8[[#This Row],[Nombre de Cuenta Contable]]</f>
        <v>4202009 - Gastos Viajes Y Traslados</v>
      </c>
      <c r="H3239" s="146" t="str">
        <f>+VLOOKUP(D3239,'3. Cuentas'!A:F,6,0)</f>
        <v>SI</v>
      </c>
    </row>
    <row r="3240" spans="1:8" x14ac:dyDescent="0.25">
      <c r="A3240" s="43">
        <v>70211</v>
      </c>
      <c r="B3240" t="s">
        <v>719</v>
      </c>
      <c r="C3240" s="43" t="s">
        <v>1544</v>
      </c>
      <c r="D3240" s="43">
        <v>4202019</v>
      </c>
      <c r="E3240" t="s">
        <v>81</v>
      </c>
      <c r="F3240" s="47" t="str">
        <f>+Centro_Cuenta8[[#This Row],[Codigo Centro Gestion]]&amp;" - "&amp;Centro_Cuenta8[[#This Row],[Nombre Centro Gestion]]</f>
        <v>70211 - DEPTO PROYECTOS ZONAL NORTE 3</v>
      </c>
      <c r="G3240" s="47" t="str">
        <f>+Centro_Cuenta8[[#This Row],[Código Cuenta Contable]]&amp;" - "&amp;Centro_Cuenta8[[#This Row],[Nombre de Cuenta Contable]]</f>
        <v>4202019 - Gasto General Oficina</v>
      </c>
      <c r="H3240" s="146" t="str">
        <f>+VLOOKUP(D3240,'3. Cuentas'!A:F,6,0)</f>
        <v>SI</v>
      </c>
    </row>
    <row r="3241" spans="1:8" x14ac:dyDescent="0.25">
      <c r="A3241" s="43">
        <v>70211</v>
      </c>
      <c r="B3241" t="s">
        <v>719</v>
      </c>
      <c r="C3241" s="43" t="s">
        <v>1544</v>
      </c>
      <c r="D3241" s="43">
        <v>4202029</v>
      </c>
      <c r="E3241" t="s">
        <v>83</v>
      </c>
      <c r="F3241" s="47" t="str">
        <f>+Centro_Cuenta8[[#This Row],[Codigo Centro Gestion]]&amp;" - "&amp;Centro_Cuenta8[[#This Row],[Nombre Centro Gestion]]</f>
        <v>70211 - DEPTO PROYECTOS ZONAL NORTE 3</v>
      </c>
      <c r="G3241" s="47" t="str">
        <f>+Centro_Cuenta8[[#This Row],[Código Cuenta Contable]]&amp;" - "&amp;Centro_Cuenta8[[#This Row],[Nombre de Cuenta Contable]]</f>
        <v>4202029 - Insumos Y Gastos Informáticos</v>
      </c>
      <c r="H3241" s="146" t="str">
        <f>+VLOOKUP(D3241,'3. Cuentas'!A:F,6,0)</f>
        <v>SI</v>
      </c>
    </row>
    <row r="3242" spans="1:8" x14ac:dyDescent="0.25">
      <c r="A3242" s="43">
        <v>70301</v>
      </c>
      <c r="B3242" t="s">
        <v>244</v>
      </c>
      <c r="C3242" s="43" t="s">
        <v>1545</v>
      </c>
      <c r="D3242" s="43">
        <v>4201013</v>
      </c>
      <c r="E3242" t="s">
        <v>76</v>
      </c>
      <c r="F3242" s="47" t="str">
        <f>+Centro_Cuenta8[[#This Row],[Codigo Centro Gestion]]&amp;" - "&amp;Centro_Cuenta8[[#This Row],[Nombre Centro Gestion]]</f>
        <v>70301 - GERENCIA ADMINISTRACION Y FINANZAS</v>
      </c>
      <c r="G3242" s="47" t="str">
        <f>+Centro_Cuenta8[[#This Row],[Código Cuenta Contable]]&amp;" - "&amp;Centro_Cuenta8[[#This Row],[Nombre de Cuenta Contable]]</f>
        <v>4201013 - Eventos Del Personal</v>
      </c>
      <c r="H3242" s="146" t="str">
        <f>+VLOOKUP(D3242,'3. Cuentas'!A:F,6,0)</f>
        <v>SI</v>
      </c>
    </row>
    <row r="3243" spans="1:8" x14ac:dyDescent="0.25">
      <c r="A3243" s="43">
        <v>70301</v>
      </c>
      <c r="B3243" t="s">
        <v>244</v>
      </c>
      <c r="C3243" s="43" t="s">
        <v>1545</v>
      </c>
      <c r="D3243" s="43">
        <v>4201038</v>
      </c>
      <c r="E3243" t="s">
        <v>102</v>
      </c>
      <c r="F3243" s="47" t="str">
        <f>+Centro_Cuenta8[[#This Row],[Codigo Centro Gestion]]&amp;" - "&amp;Centro_Cuenta8[[#This Row],[Nombre Centro Gestion]]</f>
        <v>70301 - GERENCIA ADMINISTRACION Y FINANZAS</v>
      </c>
      <c r="G3243" s="47" t="str">
        <f>+Centro_Cuenta8[[#This Row],[Código Cuenta Contable]]&amp;" - "&amp;Centro_Cuenta8[[#This Row],[Nombre de Cuenta Contable]]</f>
        <v>4201038 - Beneficios</v>
      </c>
      <c r="H3243" s="146" t="str">
        <f>+VLOOKUP(D3243,'3. Cuentas'!A:F,6,0)</f>
        <v>SI</v>
      </c>
    </row>
    <row r="3244" spans="1:8" x14ac:dyDescent="0.25">
      <c r="A3244" s="43">
        <v>70301</v>
      </c>
      <c r="B3244" t="s">
        <v>244</v>
      </c>
      <c r="C3244" s="43" t="s">
        <v>1545</v>
      </c>
      <c r="D3244" s="43">
        <v>4202006</v>
      </c>
      <c r="E3244" t="s">
        <v>86</v>
      </c>
      <c r="F3244" s="47" t="str">
        <f>+Centro_Cuenta8[[#This Row],[Codigo Centro Gestion]]&amp;" - "&amp;Centro_Cuenta8[[#This Row],[Nombre Centro Gestion]]</f>
        <v>70301 - GERENCIA ADMINISTRACION Y FINANZAS</v>
      </c>
      <c r="G3244" s="47" t="str">
        <f>+Centro_Cuenta8[[#This Row],[Código Cuenta Contable]]&amp;" - "&amp;Centro_Cuenta8[[#This Row],[Nombre de Cuenta Contable]]</f>
        <v>4202006 - Gastos Legales Y Notariales OF Central</v>
      </c>
      <c r="H3244" s="146" t="str">
        <f>+VLOOKUP(D3244,'3. Cuentas'!A:F,6,0)</f>
        <v>SI</v>
      </c>
    </row>
    <row r="3245" spans="1:8" x14ac:dyDescent="0.25">
      <c r="A3245" s="43">
        <v>70301</v>
      </c>
      <c r="B3245" t="s">
        <v>244</v>
      </c>
      <c r="C3245" s="43" t="s">
        <v>1545</v>
      </c>
      <c r="D3245" s="43">
        <v>4202009</v>
      </c>
      <c r="E3245" t="s">
        <v>80</v>
      </c>
      <c r="F3245" s="47" t="str">
        <f>+Centro_Cuenta8[[#This Row],[Codigo Centro Gestion]]&amp;" - "&amp;Centro_Cuenta8[[#This Row],[Nombre Centro Gestion]]</f>
        <v>70301 - GERENCIA ADMINISTRACION Y FINANZAS</v>
      </c>
      <c r="G3245" s="47" t="str">
        <f>+Centro_Cuenta8[[#This Row],[Código Cuenta Contable]]&amp;" - "&amp;Centro_Cuenta8[[#This Row],[Nombre de Cuenta Contable]]</f>
        <v>4202009 - Gastos Viajes Y Traslados</v>
      </c>
      <c r="H3245" s="146" t="str">
        <f>+VLOOKUP(D3245,'3. Cuentas'!A:F,6,0)</f>
        <v>SI</v>
      </c>
    </row>
    <row r="3246" spans="1:8" x14ac:dyDescent="0.25">
      <c r="A3246" s="43">
        <v>70301</v>
      </c>
      <c r="B3246" t="s">
        <v>244</v>
      </c>
      <c r="C3246" s="43" t="s">
        <v>1545</v>
      </c>
      <c r="D3246" s="43">
        <v>4202010</v>
      </c>
      <c r="E3246" t="s">
        <v>87</v>
      </c>
      <c r="F3246" s="47" t="str">
        <f>+Centro_Cuenta8[[#This Row],[Codigo Centro Gestion]]&amp;" - "&amp;Centro_Cuenta8[[#This Row],[Nombre Centro Gestion]]</f>
        <v>70301 - GERENCIA ADMINISTRACION Y FINANZAS</v>
      </c>
      <c r="G3246" s="47" t="str">
        <f>+Centro_Cuenta8[[#This Row],[Código Cuenta Contable]]&amp;" - "&amp;Centro_Cuenta8[[#This Row],[Nombre de Cuenta Contable]]</f>
        <v>4202010 - Artic. Ofic. Fotocop.Papelería</v>
      </c>
      <c r="H3246" s="146" t="str">
        <f>+VLOOKUP(D3246,'3. Cuentas'!A:F,6,0)</f>
        <v>SI</v>
      </c>
    </row>
    <row r="3247" spans="1:8" x14ac:dyDescent="0.25">
      <c r="A3247" s="43">
        <v>70301</v>
      </c>
      <c r="B3247" t="s">
        <v>244</v>
      </c>
      <c r="C3247" s="43" t="s">
        <v>1545</v>
      </c>
      <c r="D3247" s="43">
        <v>4202019</v>
      </c>
      <c r="E3247" t="s">
        <v>81</v>
      </c>
      <c r="F3247" s="47" t="str">
        <f>+Centro_Cuenta8[[#This Row],[Codigo Centro Gestion]]&amp;" - "&amp;Centro_Cuenta8[[#This Row],[Nombre Centro Gestion]]</f>
        <v>70301 - GERENCIA ADMINISTRACION Y FINANZAS</v>
      </c>
      <c r="G3247" s="47" t="str">
        <f>+Centro_Cuenta8[[#This Row],[Código Cuenta Contable]]&amp;" - "&amp;Centro_Cuenta8[[#This Row],[Nombre de Cuenta Contable]]</f>
        <v>4202019 - Gasto General Oficina</v>
      </c>
      <c r="H3247" s="146" t="str">
        <f>+VLOOKUP(D3247,'3. Cuentas'!A:F,6,0)</f>
        <v>SI</v>
      </c>
    </row>
    <row r="3248" spans="1:8" x14ac:dyDescent="0.25">
      <c r="A3248" s="43">
        <v>70301</v>
      </c>
      <c r="B3248" t="s">
        <v>244</v>
      </c>
      <c r="C3248" s="43" t="s">
        <v>1545</v>
      </c>
      <c r="D3248" s="43">
        <v>4202023</v>
      </c>
      <c r="E3248" t="s">
        <v>82</v>
      </c>
      <c r="F3248" s="47" t="str">
        <f>+Centro_Cuenta8[[#This Row],[Codigo Centro Gestion]]&amp;" - "&amp;Centro_Cuenta8[[#This Row],[Nombre Centro Gestion]]</f>
        <v>70301 - GERENCIA ADMINISTRACION Y FINANZAS</v>
      </c>
      <c r="G3248" s="47" t="str">
        <f>+Centro_Cuenta8[[#This Row],[Código Cuenta Contable]]&amp;" - "&amp;Centro_Cuenta8[[#This Row],[Nombre de Cuenta Contable]]</f>
        <v>4202023 - Honorarios Por Asesorías</v>
      </c>
      <c r="H3248" s="146" t="str">
        <f>+VLOOKUP(D3248,'3. Cuentas'!A:F,6,0)</f>
        <v>SI</v>
      </c>
    </row>
    <row r="3249" spans="1:8" x14ac:dyDescent="0.25">
      <c r="A3249" s="43">
        <v>70301</v>
      </c>
      <c r="B3249" t="s">
        <v>244</v>
      </c>
      <c r="C3249" s="43" t="s">
        <v>1545</v>
      </c>
      <c r="D3249" s="43">
        <v>4202029</v>
      </c>
      <c r="E3249" t="s">
        <v>83</v>
      </c>
      <c r="F3249" s="47" t="str">
        <f>+Centro_Cuenta8[[#This Row],[Codigo Centro Gestion]]&amp;" - "&amp;Centro_Cuenta8[[#This Row],[Nombre Centro Gestion]]</f>
        <v>70301 - GERENCIA ADMINISTRACION Y FINANZAS</v>
      </c>
      <c r="G3249" s="47" t="str">
        <f>+Centro_Cuenta8[[#This Row],[Código Cuenta Contable]]&amp;" - "&amp;Centro_Cuenta8[[#This Row],[Nombre de Cuenta Contable]]</f>
        <v>4202029 - Insumos Y Gastos Informáticos</v>
      </c>
      <c r="H3249" s="146" t="str">
        <f>+VLOOKUP(D3249,'3. Cuentas'!A:F,6,0)</f>
        <v>SI</v>
      </c>
    </row>
    <row r="3250" spans="1:8" x14ac:dyDescent="0.25">
      <c r="A3250" s="43">
        <v>70302</v>
      </c>
      <c r="B3250" t="s">
        <v>245</v>
      </c>
      <c r="C3250" s="43" t="s">
        <v>1546</v>
      </c>
      <c r="D3250" s="43">
        <v>4201013</v>
      </c>
      <c r="E3250" t="s">
        <v>76</v>
      </c>
      <c r="F3250" s="47" t="str">
        <f>+Centro_Cuenta8[[#This Row],[Codigo Centro Gestion]]&amp;" - "&amp;Centro_Cuenta8[[#This Row],[Nombre Centro Gestion]]</f>
        <v>70302 - CONTABILIDAD</v>
      </c>
      <c r="G3250" s="47" t="str">
        <f>+Centro_Cuenta8[[#This Row],[Código Cuenta Contable]]&amp;" - "&amp;Centro_Cuenta8[[#This Row],[Nombre de Cuenta Contable]]</f>
        <v>4201013 - Eventos Del Personal</v>
      </c>
      <c r="H3250" s="146" t="str">
        <f>+VLOOKUP(D3250,'3. Cuentas'!A:F,6,0)</f>
        <v>SI</v>
      </c>
    </row>
    <row r="3251" spans="1:8" x14ac:dyDescent="0.25">
      <c r="A3251" s="43">
        <v>70302</v>
      </c>
      <c r="B3251" t="s">
        <v>245</v>
      </c>
      <c r="C3251" s="43" t="s">
        <v>1546</v>
      </c>
      <c r="D3251" s="43">
        <v>4201038</v>
      </c>
      <c r="E3251" t="s">
        <v>102</v>
      </c>
      <c r="F3251" s="47" t="str">
        <f>+Centro_Cuenta8[[#This Row],[Codigo Centro Gestion]]&amp;" - "&amp;Centro_Cuenta8[[#This Row],[Nombre Centro Gestion]]</f>
        <v>70302 - CONTABILIDAD</v>
      </c>
      <c r="G3251" s="47" t="str">
        <f>+Centro_Cuenta8[[#This Row],[Código Cuenta Contable]]&amp;" - "&amp;Centro_Cuenta8[[#This Row],[Nombre de Cuenta Contable]]</f>
        <v>4201038 - Beneficios</v>
      </c>
      <c r="H3251" s="146" t="str">
        <f>+VLOOKUP(D3251,'3. Cuentas'!A:F,6,0)</f>
        <v>SI</v>
      </c>
    </row>
    <row r="3252" spans="1:8" x14ac:dyDescent="0.25">
      <c r="A3252" s="43">
        <v>70302</v>
      </c>
      <c r="B3252" t="s">
        <v>245</v>
      </c>
      <c r="C3252" s="43" t="s">
        <v>1546</v>
      </c>
      <c r="D3252" s="43">
        <v>4202009</v>
      </c>
      <c r="E3252" t="s">
        <v>80</v>
      </c>
      <c r="F3252" s="47" t="str">
        <f>+Centro_Cuenta8[[#This Row],[Codigo Centro Gestion]]&amp;" - "&amp;Centro_Cuenta8[[#This Row],[Nombre Centro Gestion]]</f>
        <v>70302 - CONTABILIDAD</v>
      </c>
      <c r="G3252" s="47" t="str">
        <f>+Centro_Cuenta8[[#This Row],[Código Cuenta Contable]]&amp;" - "&amp;Centro_Cuenta8[[#This Row],[Nombre de Cuenta Contable]]</f>
        <v>4202009 - Gastos Viajes Y Traslados</v>
      </c>
      <c r="H3252" s="146" t="str">
        <f>+VLOOKUP(D3252,'3. Cuentas'!A:F,6,0)</f>
        <v>SI</v>
      </c>
    </row>
    <row r="3253" spans="1:8" x14ac:dyDescent="0.25">
      <c r="A3253" s="43">
        <v>70302</v>
      </c>
      <c r="B3253" t="s">
        <v>245</v>
      </c>
      <c r="C3253" s="43" t="s">
        <v>1546</v>
      </c>
      <c r="D3253" s="43">
        <v>4202010</v>
      </c>
      <c r="E3253" t="s">
        <v>87</v>
      </c>
      <c r="F3253" s="47" t="str">
        <f>+Centro_Cuenta8[[#This Row],[Codigo Centro Gestion]]&amp;" - "&amp;Centro_Cuenta8[[#This Row],[Nombre Centro Gestion]]</f>
        <v>70302 - CONTABILIDAD</v>
      </c>
      <c r="G3253" s="47" t="str">
        <f>+Centro_Cuenta8[[#This Row],[Código Cuenta Contable]]&amp;" - "&amp;Centro_Cuenta8[[#This Row],[Nombre de Cuenta Contable]]</f>
        <v>4202010 - Artic. Ofic. Fotocop.Papelería</v>
      </c>
      <c r="H3253" s="146" t="str">
        <f>+VLOOKUP(D3253,'3. Cuentas'!A:F,6,0)</f>
        <v>SI</v>
      </c>
    </row>
    <row r="3254" spans="1:8" x14ac:dyDescent="0.25">
      <c r="A3254" s="43">
        <v>70302</v>
      </c>
      <c r="B3254" t="s">
        <v>245</v>
      </c>
      <c r="C3254" s="43" t="s">
        <v>1546</v>
      </c>
      <c r="D3254" s="43">
        <v>4202019</v>
      </c>
      <c r="E3254" t="s">
        <v>81</v>
      </c>
      <c r="F3254" s="47" t="str">
        <f>+Centro_Cuenta8[[#This Row],[Codigo Centro Gestion]]&amp;" - "&amp;Centro_Cuenta8[[#This Row],[Nombre Centro Gestion]]</f>
        <v>70302 - CONTABILIDAD</v>
      </c>
      <c r="G3254" s="47" t="str">
        <f>+Centro_Cuenta8[[#This Row],[Código Cuenta Contable]]&amp;" - "&amp;Centro_Cuenta8[[#This Row],[Nombre de Cuenta Contable]]</f>
        <v>4202019 - Gasto General Oficina</v>
      </c>
      <c r="H3254" s="146" t="str">
        <f>+VLOOKUP(D3254,'3. Cuentas'!A:F,6,0)</f>
        <v>SI</v>
      </c>
    </row>
    <row r="3255" spans="1:8" x14ac:dyDescent="0.25">
      <c r="A3255" s="43">
        <v>70302</v>
      </c>
      <c r="B3255" t="s">
        <v>245</v>
      </c>
      <c r="C3255" s="43" t="s">
        <v>1546</v>
      </c>
      <c r="D3255" s="43">
        <v>4202023</v>
      </c>
      <c r="E3255" t="s">
        <v>82</v>
      </c>
      <c r="F3255" s="47" t="str">
        <f>+Centro_Cuenta8[[#This Row],[Codigo Centro Gestion]]&amp;" - "&amp;Centro_Cuenta8[[#This Row],[Nombre Centro Gestion]]</f>
        <v>70302 - CONTABILIDAD</v>
      </c>
      <c r="G3255" s="47" t="str">
        <f>+Centro_Cuenta8[[#This Row],[Código Cuenta Contable]]&amp;" - "&amp;Centro_Cuenta8[[#This Row],[Nombre de Cuenta Contable]]</f>
        <v>4202023 - Honorarios Por Asesorías</v>
      </c>
      <c r="H3255" s="146" t="str">
        <f>+VLOOKUP(D3255,'3. Cuentas'!A:F,6,0)</f>
        <v>SI</v>
      </c>
    </row>
    <row r="3256" spans="1:8" x14ac:dyDescent="0.25">
      <c r="A3256" s="43">
        <v>70302</v>
      </c>
      <c r="B3256" t="s">
        <v>245</v>
      </c>
      <c r="C3256" s="43" t="s">
        <v>1546</v>
      </c>
      <c r="D3256" s="43">
        <v>4202029</v>
      </c>
      <c r="E3256" t="s">
        <v>83</v>
      </c>
      <c r="F3256" s="47" t="str">
        <f>+Centro_Cuenta8[[#This Row],[Codigo Centro Gestion]]&amp;" - "&amp;Centro_Cuenta8[[#This Row],[Nombre Centro Gestion]]</f>
        <v>70302 - CONTABILIDAD</v>
      </c>
      <c r="G3256" s="47" t="str">
        <f>+Centro_Cuenta8[[#This Row],[Código Cuenta Contable]]&amp;" - "&amp;Centro_Cuenta8[[#This Row],[Nombre de Cuenta Contable]]</f>
        <v>4202029 - Insumos Y Gastos Informáticos</v>
      </c>
      <c r="H3256" s="146" t="str">
        <f>+VLOOKUP(D3256,'3. Cuentas'!A:F,6,0)</f>
        <v>SI</v>
      </c>
    </row>
    <row r="3257" spans="1:8" x14ac:dyDescent="0.25">
      <c r="A3257" s="43">
        <v>70303</v>
      </c>
      <c r="B3257" t="s">
        <v>246</v>
      </c>
      <c r="C3257" s="43" t="s">
        <v>1547</v>
      </c>
      <c r="D3257" s="43">
        <v>4201013</v>
      </c>
      <c r="E3257" t="s">
        <v>76</v>
      </c>
      <c r="F3257" s="47" t="str">
        <f>+Centro_Cuenta8[[#This Row],[Codigo Centro Gestion]]&amp;" - "&amp;Centro_Cuenta8[[#This Row],[Nombre Centro Gestion]]</f>
        <v>70303 - CONTROL GESTIÓN</v>
      </c>
      <c r="G3257" s="47" t="str">
        <f>+Centro_Cuenta8[[#This Row],[Código Cuenta Contable]]&amp;" - "&amp;Centro_Cuenta8[[#This Row],[Nombre de Cuenta Contable]]</f>
        <v>4201013 - Eventos Del Personal</v>
      </c>
      <c r="H3257" s="146" t="str">
        <f>+VLOOKUP(D3257,'3. Cuentas'!A:F,6,0)</f>
        <v>SI</v>
      </c>
    </row>
    <row r="3258" spans="1:8" x14ac:dyDescent="0.25">
      <c r="A3258" s="43">
        <v>70303</v>
      </c>
      <c r="B3258" t="s">
        <v>246</v>
      </c>
      <c r="C3258" s="43" t="s">
        <v>1547</v>
      </c>
      <c r="D3258" s="43">
        <v>4201038</v>
      </c>
      <c r="E3258" t="s">
        <v>102</v>
      </c>
      <c r="F3258" s="47" t="str">
        <f>+Centro_Cuenta8[[#This Row],[Codigo Centro Gestion]]&amp;" - "&amp;Centro_Cuenta8[[#This Row],[Nombre Centro Gestion]]</f>
        <v>70303 - CONTROL GESTIÓN</v>
      </c>
      <c r="G3258" s="47" t="str">
        <f>+Centro_Cuenta8[[#This Row],[Código Cuenta Contable]]&amp;" - "&amp;Centro_Cuenta8[[#This Row],[Nombre de Cuenta Contable]]</f>
        <v>4201038 - Beneficios</v>
      </c>
      <c r="H3258" s="146" t="str">
        <f>+VLOOKUP(D3258,'3. Cuentas'!A:F,6,0)</f>
        <v>SI</v>
      </c>
    </row>
    <row r="3259" spans="1:8" x14ac:dyDescent="0.25">
      <c r="A3259" s="43">
        <v>70303</v>
      </c>
      <c r="B3259" t="s">
        <v>246</v>
      </c>
      <c r="C3259" s="43" t="s">
        <v>1547</v>
      </c>
      <c r="D3259" s="43">
        <v>4202009</v>
      </c>
      <c r="E3259" t="s">
        <v>80</v>
      </c>
      <c r="F3259" s="47" t="str">
        <f>+Centro_Cuenta8[[#This Row],[Codigo Centro Gestion]]&amp;" - "&amp;Centro_Cuenta8[[#This Row],[Nombre Centro Gestion]]</f>
        <v>70303 - CONTROL GESTIÓN</v>
      </c>
      <c r="G3259" s="47" t="str">
        <f>+Centro_Cuenta8[[#This Row],[Código Cuenta Contable]]&amp;" - "&amp;Centro_Cuenta8[[#This Row],[Nombre de Cuenta Contable]]</f>
        <v>4202009 - Gastos Viajes Y Traslados</v>
      </c>
      <c r="H3259" s="146" t="str">
        <f>+VLOOKUP(D3259,'3. Cuentas'!A:F,6,0)</f>
        <v>SI</v>
      </c>
    </row>
    <row r="3260" spans="1:8" x14ac:dyDescent="0.25">
      <c r="A3260" s="43">
        <v>70303</v>
      </c>
      <c r="B3260" t="s">
        <v>246</v>
      </c>
      <c r="C3260" s="43" t="s">
        <v>1547</v>
      </c>
      <c r="D3260" s="43">
        <v>4202010</v>
      </c>
      <c r="E3260" t="s">
        <v>87</v>
      </c>
      <c r="F3260" s="47" t="str">
        <f>+Centro_Cuenta8[[#This Row],[Codigo Centro Gestion]]&amp;" - "&amp;Centro_Cuenta8[[#This Row],[Nombre Centro Gestion]]</f>
        <v>70303 - CONTROL GESTIÓN</v>
      </c>
      <c r="G3260" s="47" t="str">
        <f>+Centro_Cuenta8[[#This Row],[Código Cuenta Contable]]&amp;" - "&amp;Centro_Cuenta8[[#This Row],[Nombre de Cuenta Contable]]</f>
        <v>4202010 - Artic. Ofic. Fotocop.Papelería</v>
      </c>
      <c r="H3260" s="146" t="str">
        <f>+VLOOKUP(D3260,'3. Cuentas'!A:F,6,0)</f>
        <v>SI</v>
      </c>
    </row>
    <row r="3261" spans="1:8" x14ac:dyDescent="0.25">
      <c r="A3261" s="43">
        <v>70303</v>
      </c>
      <c r="B3261" t="s">
        <v>246</v>
      </c>
      <c r="C3261" s="43" t="s">
        <v>1547</v>
      </c>
      <c r="D3261" s="43">
        <v>4202019</v>
      </c>
      <c r="E3261" t="s">
        <v>81</v>
      </c>
      <c r="F3261" s="47" t="str">
        <f>+Centro_Cuenta8[[#This Row],[Codigo Centro Gestion]]&amp;" - "&amp;Centro_Cuenta8[[#This Row],[Nombre Centro Gestion]]</f>
        <v>70303 - CONTROL GESTIÓN</v>
      </c>
      <c r="G3261" s="47" t="str">
        <f>+Centro_Cuenta8[[#This Row],[Código Cuenta Contable]]&amp;" - "&amp;Centro_Cuenta8[[#This Row],[Nombre de Cuenta Contable]]</f>
        <v>4202019 - Gasto General Oficina</v>
      </c>
      <c r="H3261" s="146" t="str">
        <f>+VLOOKUP(D3261,'3. Cuentas'!A:F,6,0)</f>
        <v>SI</v>
      </c>
    </row>
    <row r="3262" spans="1:8" x14ac:dyDescent="0.25">
      <c r="A3262" s="43">
        <v>70303</v>
      </c>
      <c r="B3262" t="s">
        <v>246</v>
      </c>
      <c r="C3262" s="43" t="s">
        <v>1547</v>
      </c>
      <c r="D3262" s="43">
        <v>4202023</v>
      </c>
      <c r="E3262" t="s">
        <v>82</v>
      </c>
      <c r="F3262" s="47" t="str">
        <f>+Centro_Cuenta8[[#This Row],[Codigo Centro Gestion]]&amp;" - "&amp;Centro_Cuenta8[[#This Row],[Nombre Centro Gestion]]</f>
        <v>70303 - CONTROL GESTIÓN</v>
      </c>
      <c r="G3262" s="47" t="str">
        <f>+Centro_Cuenta8[[#This Row],[Código Cuenta Contable]]&amp;" - "&amp;Centro_Cuenta8[[#This Row],[Nombre de Cuenta Contable]]</f>
        <v>4202023 - Honorarios Por Asesorías</v>
      </c>
      <c r="H3262" s="146" t="str">
        <f>+VLOOKUP(D3262,'3. Cuentas'!A:F,6,0)</f>
        <v>SI</v>
      </c>
    </row>
    <row r="3263" spans="1:8" x14ac:dyDescent="0.25">
      <c r="A3263" s="43">
        <v>70303</v>
      </c>
      <c r="B3263" t="s">
        <v>246</v>
      </c>
      <c r="C3263" s="43" t="s">
        <v>1547</v>
      </c>
      <c r="D3263" s="43">
        <v>4202029</v>
      </c>
      <c r="E3263" t="s">
        <v>83</v>
      </c>
      <c r="F3263" s="47" t="str">
        <f>+Centro_Cuenta8[[#This Row],[Codigo Centro Gestion]]&amp;" - "&amp;Centro_Cuenta8[[#This Row],[Nombre Centro Gestion]]</f>
        <v>70303 - CONTROL GESTIÓN</v>
      </c>
      <c r="G3263" s="47" t="str">
        <f>+Centro_Cuenta8[[#This Row],[Código Cuenta Contable]]&amp;" - "&amp;Centro_Cuenta8[[#This Row],[Nombre de Cuenta Contable]]</f>
        <v>4202029 - Insumos Y Gastos Informáticos</v>
      </c>
      <c r="H3263" s="146" t="str">
        <f>+VLOOKUP(D3263,'3. Cuentas'!A:F,6,0)</f>
        <v>SI</v>
      </c>
    </row>
    <row r="3264" spans="1:8" x14ac:dyDescent="0.25">
      <c r="A3264" s="43">
        <v>70305</v>
      </c>
      <c r="B3264" t="s">
        <v>248</v>
      </c>
      <c r="C3264" s="43" t="s">
        <v>1548</v>
      </c>
      <c r="D3264" s="43">
        <v>4201013</v>
      </c>
      <c r="E3264" t="s">
        <v>76</v>
      </c>
      <c r="F3264" s="47" t="str">
        <f>+Centro_Cuenta8[[#This Row],[Codigo Centro Gestion]]&amp;" - "&amp;Centro_Cuenta8[[#This Row],[Nombre Centro Gestion]]</f>
        <v>70305 - TECNOLOGÍAS DE INFORMACIÓN</v>
      </c>
      <c r="G3264" s="47" t="str">
        <f>+Centro_Cuenta8[[#This Row],[Código Cuenta Contable]]&amp;" - "&amp;Centro_Cuenta8[[#This Row],[Nombre de Cuenta Contable]]</f>
        <v>4201013 - Eventos Del Personal</v>
      </c>
      <c r="H3264" s="146" t="str">
        <f>+VLOOKUP(D3264,'3. Cuentas'!A:F,6,0)</f>
        <v>SI</v>
      </c>
    </row>
    <row r="3265" spans="1:8" x14ac:dyDescent="0.25">
      <c r="A3265" s="43">
        <v>70305</v>
      </c>
      <c r="B3265" t="s">
        <v>248</v>
      </c>
      <c r="C3265" s="43" t="s">
        <v>1548</v>
      </c>
      <c r="D3265" s="43">
        <v>4201038</v>
      </c>
      <c r="E3265" t="s">
        <v>102</v>
      </c>
      <c r="F3265" s="47" t="str">
        <f>+Centro_Cuenta8[[#This Row],[Codigo Centro Gestion]]&amp;" - "&amp;Centro_Cuenta8[[#This Row],[Nombre Centro Gestion]]</f>
        <v>70305 - TECNOLOGÍAS DE INFORMACIÓN</v>
      </c>
      <c r="G3265" s="47" t="str">
        <f>+Centro_Cuenta8[[#This Row],[Código Cuenta Contable]]&amp;" - "&amp;Centro_Cuenta8[[#This Row],[Nombre de Cuenta Contable]]</f>
        <v>4201038 - Beneficios</v>
      </c>
      <c r="H3265" s="146" t="str">
        <f>+VLOOKUP(D3265,'3. Cuentas'!A:F,6,0)</f>
        <v>SI</v>
      </c>
    </row>
    <row r="3266" spans="1:8" x14ac:dyDescent="0.25">
      <c r="A3266" s="43">
        <v>70305</v>
      </c>
      <c r="B3266" t="s">
        <v>248</v>
      </c>
      <c r="C3266" s="43" t="s">
        <v>1548</v>
      </c>
      <c r="D3266" s="43">
        <v>4202009</v>
      </c>
      <c r="E3266" t="s">
        <v>80</v>
      </c>
      <c r="F3266" s="47" t="str">
        <f>+Centro_Cuenta8[[#This Row],[Codigo Centro Gestion]]&amp;" - "&amp;Centro_Cuenta8[[#This Row],[Nombre Centro Gestion]]</f>
        <v>70305 - TECNOLOGÍAS DE INFORMACIÓN</v>
      </c>
      <c r="G3266" s="47" t="str">
        <f>+Centro_Cuenta8[[#This Row],[Código Cuenta Contable]]&amp;" - "&amp;Centro_Cuenta8[[#This Row],[Nombre de Cuenta Contable]]</f>
        <v>4202009 - Gastos Viajes Y Traslados</v>
      </c>
      <c r="H3266" s="146" t="str">
        <f>+VLOOKUP(D3266,'3. Cuentas'!A:F,6,0)</f>
        <v>SI</v>
      </c>
    </row>
    <row r="3267" spans="1:8" x14ac:dyDescent="0.25">
      <c r="A3267" s="43">
        <v>70305</v>
      </c>
      <c r="B3267" t="s">
        <v>248</v>
      </c>
      <c r="C3267" s="43" t="s">
        <v>1548</v>
      </c>
      <c r="D3267" s="43">
        <v>4202010</v>
      </c>
      <c r="E3267" t="s">
        <v>87</v>
      </c>
      <c r="F3267" s="47" t="str">
        <f>+Centro_Cuenta8[[#This Row],[Codigo Centro Gestion]]&amp;" - "&amp;Centro_Cuenta8[[#This Row],[Nombre Centro Gestion]]</f>
        <v>70305 - TECNOLOGÍAS DE INFORMACIÓN</v>
      </c>
      <c r="G3267" s="47" t="str">
        <f>+Centro_Cuenta8[[#This Row],[Código Cuenta Contable]]&amp;" - "&amp;Centro_Cuenta8[[#This Row],[Nombre de Cuenta Contable]]</f>
        <v>4202010 - Artic. Ofic. Fotocop.Papelería</v>
      </c>
      <c r="H3267" s="146" t="str">
        <f>+VLOOKUP(D3267,'3. Cuentas'!A:F,6,0)</f>
        <v>SI</v>
      </c>
    </row>
    <row r="3268" spans="1:8" x14ac:dyDescent="0.25">
      <c r="A3268" s="43">
        <v>70305</v>
      </c>
      <c r="B3268" t="s">
        <v>248</v>
      </c>
      <c r="C3268" s="43" t="s">
        <v>1548</v>
      </c>
      <c r="D3268" s="43">
        <v>4202019</v>
      </c>
      <c r="E3268" t="s">
        <v>81</v>
      </c>
      <c r="F3268" s="47" t="str">
        <f>+Centro_Cuenta8[[#This Row],[Codigo Centro Gestion]]&amp;" - "&amp;Centro_Cuenta8[[#This Row],[Nombre Centro Gestion]]</f>
        <v>70305 - TECNOLOGÍAS DE INFORMACIÓN</v>
      </c>
      <c r="G3268" s="47" t="str">
        <f>+Centro_Cuenta8[[#This Row],[Código Cuenta Contable]]&amp;" - "&amp;Centro_Cuenta8[[#This Row],[Nombre de Cuenta Contable]]</f>
        <v>4202019 - Gasto General Oficina</v>
      </c>
      <c r="H3268" s="146" t="str">
        <f>+VLOOKUP(D3268,'3. Cuentas'!A:F,6,0)</f>
        <v>SI</v>
      </c>
    </row>
    <row r="3269" spans="1:8" x14ac:dyDescent="0.25">
      <c r="A3269" s="43">
        <v>70305</v>
      </c>
      <c r="B3269" t="s">
        <v>248</v>
      </c>
      <c r="C3269" s="43" t="s">
        <v>1548</v>
      </c>
      <c r="D3269" s="43">
        <v>4202023</v>
      </c>
      <c r="E3269" t="s">
        <v>82</v>
      </c>
      <c r="F3269" s="47" t="str">
        <f>+Centro_Cuenta8[[#This Row],[Codigo Centro Gestion]]&amp;" - "&amp;Centro_Cuenta8[[#This Row],[Nombre Centro Gestion]]</f>
        <v>70305 - TECNOLOGÍAS DE INFORMACIÓN</v>
      </c>
      <c r="G3269" s="47" t="str">
        <f>+Centro_Cuenta8[[#This Row],[Código Cuenta Contable]]&amp;" - "&amp;Centro_Cuenta8[[#This Row],[Nombre de Cuenta Contable]]</f>
        <v>4202023 - Honorarios Por Asesorías</v>
      </c>
      <c r="H3269" s="146" t="str">
        <f>+VLOOKUP(D3269,'3. Cuentas'!A:F,6,0)</f>
        <v>SI</v>
      </c>
    </row>
    <row r="3270" spans="1:8" x14ac:dyDescent="0.25">
      <c r="A3270" s="43">
        <v>70305</v>
      </c>
      <c r="B3270" t="s">
        <v>248</v>
      </c>
      <c r="C3270" s="43" t="s">
        <v>1548</v>
      </c>
      <c r="D3270" s="43">
        <v>4202029</v>
      </c>
      <c r="E3270" t="s">
        <v>83</v>
      </c>
      <c r="F3270" s="47" t="str">
        <f>+Centro_Cuenta8[[#This Row],[Codigo Centro Gestion]]&amp;" - "&amp;Centro_Cuenta8[[#This Row],[Nombre Centro Gestion]]</f>
        <v>70305 - TECNOLOGÍAS DE INFORMACIÓN</v>
      </c>
      <c r="G3270" s="47" t="str">
        <f>+Centro_Cuenta8[[#This Row],[Código Cuenta Contable]]&amp;" - "&amp;Centro_Cuenta8[[#This Row],[Nombre de Cuenta Contable]]</f>
        <v>4202029 - Insumos Y Gastos Informáticos</v>
      </c>
      <c r="H3270" s="146" t="str">
        <f>+VLOOKUP(D3270,'3. Cuentas'!A:F,6,0)</f>
        <v>SI</v>
      </c>
    </row>
    <row r="3271" spans="1:8" x14ac:dyDescent="0.25">
      <c r="A3271" s="43">
        <v>70306</v>
      </c>
      <c r="B3271" t="s">
        <v>249</v>
      </c>
      <c r="C3271" s="43" t="s">
        <v>1549</v>
      </c>
      <c r="D3271" s="43">
        <v>4201013</v>
      </c>
      <c r="E3271" t="s">
        <v>76</v>
      </c>
      <c r="F3271" s="47" t="str">
        <f>+Centro_Cuenta8[[#This Row],[Codigo Centro Gestion]]&amp;" - "&amp;Centro_Cuenta8[[#This Row],[Nombre Centro Gestion]]</f>
        <v>70306 - CAPITAL HUMANO</v>
      </c>
      <c r="G3271" s="47" t="str">
        <f>+Centro_Cuenta8[[#This Row],[Código Cuenta Contable]]&amp;" - "&amp;Centro_Cuenta8[[#This Row],[Nombre de Cuenta Contable]]</f>
        <v>4201013 - Eventos Del Personal</v>
      </c>
      <c r="H3271" s="146" t="str">
        <f>+VLOOKUP(D3271,'3. Cuentas'!A:F,6,0)</f>
        <v>SI</v>
      </c>
    </row>
    <row r="3272" spans="1:8" x14ac:dyDescent="0.25">
      <c r="A3272" s="43">
        <v>70306</v>
      </c>
      <c r="B3272" t="s">
        <v>249</v>
      </c>
      <c r="C3272" s="43" t="s">
        <v>1549</v>
      </c>
      <c r="D3272" s="43">
        <v>4201038</v>
      </c>
      <c r="E3272" t="s">
        <v>102</v>
      </c>
      <c r="F3272" s="47" t="str">
        <f>+Centro_Cuenta8[[#This Row],[Codigo Centro Gestion]]&amp;" - "&amp;Centro_Cuenta8[[#This Row],[Nombre Centro Gestion]]</f>
        <v>70306 - CAPITAL HUMANO</v>
      </c>
      <c r="G3272" s="47" t="str">
        <f>+Centro_Cuenta8[[#This Row],[Código Cuenta Contable]]&amp;" - "&amp;Centro_Cuenta8[[#This Row],[Nombre de Cuenta Contable]]</f>
        <v>4201038 - Beneficios</v>
      </c>
      <c r="H3272" s="146" t="str">
        <f>+VLOOKUP(D3272,'3. Cuentas'!A:F,6,0)</f>
        <v>SI</v>
      </c>
    </row>
    <row r="3273" spans="1:8" x14ac:dyDescent="0.25">
      <c r="A3273" s="43">
        <v>70306</v>
      </c>
      <c r="B3273" t="s">
        <v>249</v>
      </c>
      <c r="C3273" s="43" t="s">
        <v>1549</v>
      </c>
      <c r="D3273" s="43">
        <v>4202009</v>
      </c>
      <c r="E3273" t="s">
        <v>80</v>
      </c>
      <c r="F3273" s="47" t="str">
        <f>+Centro_Cuenta8[[#This Row],[Codigo Centro Gestion]]&amp;" - "&amp;Centro_Cuenta8[[#This Row],[Nombre Centro Gestion]]</f>
        <v>70306 - CAPITAL HUMANO</v>
      </c>
      <c r="G3273" s="47" t="str">
        <f>+Centro_Cuenta8[[#This Row],[Código Cuenta Contable]]&amp;" - "&amp;Centro_Cuenta8[[#This Row],[Nombre de Cuenta Contable]]</f>
        <v>4202009 - Gastos Viajes Y Traslados</v>
      </c>
      <c r="H3273" s="146" t="str">
        <f>+VLOOKUP(D3273,'3. Cuentas'!A:F,6,0)</f>
        <v>SI</v>
      </c>
    </row>
    <row r="3274" spans="1:8" x14ac:dyDescent="0.25">
      <c r="A3274" s="43">
        <v>70306</v>
      </c>
      <c r="B3274" t="s">
        <v>249</v>
      </c>
      <c r="C3274" s="43" t="s">
        <v>1549</v>
      </c>
      <c r="D3274" s="43">
        <v>4202010</v>
      </c>
      <c r="E3274" t="s">
        <v>87</v>
      </c>
      <c r="F3274" s="47" t="str">
        <f>+Centro_Cuenta8[[#This Row],[Codigo Centro Gestion]]&amp;" - "&amp;Centro_Cuenta8[[#This Row],[Nombre Centro Gestion]]</f>
        <v>70306 - CAPITAL HUMANO</v>
      </c>
      <c r="G3274" s="47" t="str">
        <f>+Centro_Cuenta8[[#This Row],[Código Cuenta Contable]]&amp;" - "&amp;Centro_Cuenta8[[#This Row],[Nombre de Cuenta Contable]]</f>
        <v>4202010 - Artic. Ofic. Fotocop.Papelería</v>
      </c>
      <c r="H3274" s="146" t="str">
        <f>+VLOOKUP(D3274,'3. Cuentas'!A:F,6,0)</f>
        <v>SI</v>
      </c>
    </row>
    <row r="3275" spans="1:8" x14ac:dyDescent="0.25">
      <c r="A3275" s="43">
        <v>70306</v>
      </c>
      <c r="B3275" t="s">
        <v>249</v>
      </c>
      <c r="C3275" s="43" t="s">
        <v>1549</v>
      </c>
      <c r="D3275" s="43">
        <v>4202019</v>
      </c>
      <c r="E3275" t="s">
        <v>81</v>
      </c>
      <c r="F3275" s="47" t="str">
        <f>+Centro_Cuenta8[[#This Row],[Codigo Centro Gestion]]&amp;" - "&amp;Centro_Cuenta8[[#This Row],[Nombre Centro Gestion]]</f>
        <v>70306 - CAPITAL HUMANO</v>
      </c>
      <c r="G3275" s="47" t="str">
        <f>+Centro_Cuenta8[[#This Row],[Código Cuenta Contable]]&amp;" - "&amp;Centro_Cuenta8[[#This Row],[Nombre de Cuenta Contable]]</f>
        <v>4202019 - Gasto General Oficina</v>
      </c>
      <c r="H3275" s="146" t="str">
        <f>+VLOOKUP(D3275,'3. Cuentas'!A:F,6,0)</f>
        <v>SI</v>
      </c>
    </row>
    <row r="3276" spans="1:8" x14ac:dyDescent="0.25">
      <c r="A3276" s="43">
        <v>70306</v>
      </c>
      <c r="B3276" t="s">
        <v>249</v>
      </c>
      <c r="C3276" s="43" t="s">
        <v>1549</v>
      </c>
      <c r="D3276" s="43">
        <v>4202023</v>
      </c>
      <c r="E3276" t="s">
        <v>82</v>
      </c>
      <c r="F3276" s="47" t="str">
        <f>+Centro_Cuenta8[[#This Row],[Codigo Centro Gestion]]&amp;" - "&amp;Centro_Cuenta8[[#This Row],[Nombre Centro Gestion]]</f>
        <v>70306 - CAPITAL HUMANO</v>
      </c>
      <c r="G3276" s="47" t="str">
        <f>+Centro_Cuenta8[[#This Row],[Código Cuenta Contable]]&amp;" - "&amp;Centro_Cuenta8[[#This Row],[Nombre de Cuenta Contable]]</f>
        <v>4202023 - Honorarios Por Asesorías</v>
      </c>
      <c r="H3276" s="146" t="str">
        <f>+VLOOKUP(D3276,'3. Cuentas'!A:F,6,0)</f>
        <v>SI</v>
      </c>
    </row>
    <row r="3277" spans="1:8" x14ac:dyDescent="0.25">
      <c r="A3277" s="43">
        <v>70306</v>
      </c>
      <c r="B3277" t="s">
        <v>249</v>
      </c>
      <c r="C3277" s="43" t="s">
        <v>1549</v>
      </c>
      <c r="D3277" s="43">
        <v>4202029</v>
      </c>
      <c r="E3277" t="s">
        <v>83</v>
      </c>
      <c r="F3277" s="47" t="str">
        <f>+Centro_Cuenta8[[#This Row],[Codigo Centro Gestion]]&amp;" - "&amp;Centro_Cuenta8[[#This Row],[Nombre Centro Gestion]]</f>
        <v>70306 - CAPITAL HUMANO</v>
      </c>
      <c r="G3277" s="47" t="str">
        <f>+Centro_Cuenta8[[#This Row],[Código Cuenta Contable]]&amp;" - "&amp;Centro_Cuenta8[[#This Row],[Nombre de Cuenta Contable]]</f>
        <v>4202029 - Insumos Y Gastos Informáticos</v>
      </c>
      <c r="H3277" s="146" t="str">
        <f>+VLOOKUP(D3277,'3. Cuentas'!A:F,6,0)</f>
        <v>SI</v>
      </c>
    </row>
    <row r="3278" spans="1:8" x14ac:dyDescent="0.25">
      <c r="A3278" s="43">
        <v>70307</v>
      </c>
      <c r="B3278" t="s">
        <v>250</v>
      </c>
      <c r="C3278" s="43" t="s">
        <v>1550</v>
      </c>
      <c r="D3278" s="43">
        <v>4201013</v>
      </c>
      <c r="E3278" t="s">
        <v>76</v>
      </c>
      <c r="F3278" s="47" t="str">
        <f>+Centro_Cuenta8[[#This Row],[Codigo Centro Gestion]]&amp;" - "&amp;Centro_Cuenta8[[#This Row],[Nombre Centro Gestion]]</f>
        <v>70307 - FINANZAS</v>
      </c>
      <c r="G3278" s="47" t="str">
        <f>+Centro_Cuenta8[[#This Row],[Código Cuenta Contable]]&amp;" - "&amp;Centro_Cuenta8[[#This Row],[Nombre de Cuenta Contable]]</f>
        <v>4201013 - Eventos Del Personal</v>
      </c>
      <c r="H3278" s="146" t="str">
        <f>+VLOOKUP(D3278,'3. Cuentas'!A:F,6,0)</f>
        <v>SI</v>
      </c>
    </row>
    <row r="3279" spans="1:8" x14ac:dyDescent="0.25">
      <c r="A3279" s="43">
        <v>70307</v>
      </c>
      <c r="B3279" t="s">
        <v>250</v>
      </c>
      <c r="C3279" s="43" t="s">
        <v>1550</v>
      </c>
      <c r="D3279" s="43">
        <v>4201038</v>
      </c>
      <c r="E3279" t="s">
        <v>102</v>
      </c>
      <c r="F3279" s="47" t="str">
        <f>+Centro_Cuenta8[[#This Row],[Codigo Centro Gestion]]&amp;" - "&amp;Centro_Cuenta8[[#This Row],[Nombre Centro Gestion]]</f>
        <v>70307 - FINANZAS</v>
      </c>
      <c r="G3279" s="47" t="str">
        <f>+Centro_Cuenta8[[#This Row],[Código Cuenta Contable]]&amp;" - "&amp;Centro_Cuenta8[[#This Row],[Nombre de Cuenta Contable]]</f>
        <v>4201038 - Beneficios</v>
      </c>
      <c r="H3279" s="146" t="str">
        <f>+VLOOKUP(D3279,'3. Cuentas'!A:F,6,0)</f>
        <v>SI</v>
      </c>
    </row>
    <row r="3280" spans="1:8" x14ac:dyDescent="0.25">
      <c r="A3280" s="43">
        <v>70307</v>
      </c>
      <c r="B3280" t="s">
        <v>250</v>
      </c>
      <c r="C3280" s="43" t="s">
        <v>1550</v>
      </c>
      <c r="D3280" s="43">
        <v>4202006</v>
      </c>
      <c r="E3280" t="s">
        <v>86</v>
      </c>
      <c r="F3280" s="47" t="str">
        <f>+Centro_Cuenta8[[#This Row],[Codigo Centro Gestion]]&amp;" - "&amp;Centro_Cuenta8[[#This Row],[Nombre Centro Gestion]]</f>
        <v>70307 - FINANZAS</v>
      </c>
      <c r="G3280" s="47" t="str">
        <f>+Centro_Cuenta8[[#This Row],[Código Cuenta Contable]]&amp;" - "&amp;Centro_Cuenta8[[#This Row],[Nombre de Cuenta Contable]]</f>
        <v>4202006 - Gastos Legales Y Notariales OF Central</v>
      </c>
      <c r="H3280" s="146" t="str">
        <f>+VLOOKUP(D3280,'3. Cuentas'!A:F,6,0)</f>
        <v>SI</v>
      </c>
    </row>
    <row r="3281" spans="1:8" x14ac:dyDescent="0.25">
      <c r="A3281" s="43">
        <v>70307</v>
      </c>
      <c r="B3281" t="s">
        <v>250</v>
      </c>
      <c r="C3281" s="43" t="s">
        <v>1550</v>
      </c>
      <c r="D3281" s="43">
        <v>4202009</v>
      </c>
      <c r="E3281" t="s">
        <v>80</v>
      </c>
      <c r="F3281" s="47" t="str">
        <f>+Centro_Cuenta8[[#This Row],[Codigo Centro Gestion]]&amp;" - "&amp;Centro_Cuenta8[[#This Row],[Nombre Centro Gestion]]</f>
        <v>70307 - FINANZAS</v>
      </c>
      <c r="G3281" s="47" t="str">
        <f>+Centro_Cuenta8[[#This Row],[Código Cuenta Contable]]&amp;" - "&amp;Centro_Cuenta8[[#This Row],[Nombre de Cuenta Contable]]</f>
        <v>4202009 - Gastos Viajes Y Traslados</v>
      </c>
      <c r="H3281" s="146" t="str">
        <f>+VLOOKUP(D3281,'3. Cuentas'!A:F,6,0)</f>
        <v>SI</v>
      </c>
    </row>
    <row r="3282" spans="1:8" x14ac:dyDescent="0.25">
      <c r="A3282" s="43">
        <v>70307</v>
      </c>
      <c r="B3282" t="s">
        <v>250</v>
      </c>
      <c r="C3282" s="43" t="s">
        <v>1550</v>
      </c>
      <c r="D3282" s="43">
        <v>4202010</v>
      </c>
      <c r="E3282" t="s">
        <v>87</v>
      </c>
      <c r="F3282" s="47" t="str">
        <f>+Centro_Cuenta8[[#This Row],[Codigo Centro Gestion]]&amp;" - "&amp;Centro_Cuenta8[[#This Row],[Nombre Centro Gestion]]</f>
        <v>70307 - FINANZAS</v>
      </c>
      <c r="G3282" s="47" t="str">
        <f>+Centro_Cuenta8[[#This Row],[Código Cuenta Contable]]&amp;" - "&amp;Centro_Cuenta8[[#This Row],[Nombre de Cuenta Contable]]</f>
        <v>4202010 - Artic. Ofic. Fotocop.Papelería</v>
      </c>
      <c r="H3282" s="146" t="str">
        <f>+VLOOKUP(D3282,'3. Cuentas'!A:F,6,0)</f>
        <v>SI</v>
      </c>
    </row>
    <row r="3283" spans="1:8" x14ac:dyDescent="0.25">
      <c r="A3283" s="43">
        <v>70307</v>
      </c>
      <c r="B3283" t="s">
        <v>250</v>
      </c>
      <c r="C3283" s="43" t="s">
        <v>1550</v>
      </c>
      <c r="D3283" s="43">
        <v>4202019</v>
      </c>
      <c r="E3283" t="s">
        <v>81</v>
      </c>
      <c r="F3283" s="47" t="str">
        <f>+Centro_Cuenta8[[#This Row],[Codigo Centro Gestion]]&amp;" - "&amp;Centro_Cuenta8[[#This Row],[Nombre Centro Gestion]]</f>
        <v>70307 - FINANZAS</v>
      </c>
      <c r="G3283" s="47" t="str">
        <f>+Centro_Cuenta8[[#This Row],[Código Cuenta Contable]]&amp;" - "&amp;Centro_Cuenta8[[#This Row],[Nombre de Cuenta Contable]]</f>
        <v>4202019 - Gasto General Oficina</v>
      </c>
      <c r="H3283" s="146" t="str">
        <f>+VLOOKUP(D3283,'3. Cuentas'!A:F,6,0)</f>
        <v>SI</v>
      </c>
    </row>
    <row r="3284" spans="1:8" x14ac:dyDescent="0.25">
      <c r="A3284" s="43">
        <v>70307</v>
      </c>
      <c r="B3284" t="s">
        <v>250</v>
      </c>
      <c r="C3284" s="43" t="s">
        <v>1550</v>
      </c>
      <c r="D3284" s="43">
        <v>4202023</v>
      </c>
      <c r="E3284" t="s">
        <v>82</v>
      </c>
      <c r="F3284" s="47" t="str">
        <f>+Centro_Cuenta8[[#This Row],[Codigo Centro Gestion]]&amp;" - "&amp;Centro_Cuenta8[[#This Row],[Nombre Centro Gestion]]</f>
        <v>70307 - FINANZAS</v>
      </c>
      <c r="G3284" s="47" t="str">
        <f>+Centro_Cuenta8[[#This Row],[Código Cuenta Contable]]&amp;" - "&amp;Centro_Cuenta8[[#This Row],[Nombre de Cuenta Contable]]</f>
        <v>4202023 - Honorarios Por Asesorías</v>
      </c>
      <c r="H3284" s="146" t="str">
        <f>+VLOOKUP(D3284,'3. Cuentas'!A:F,6,0)</f>
        <v>SI</v>
      </c>
    </row>
    <row r="3285" spans="1:8" x14ac:dyDescent="0.25">
      <c r="A3285" s="43">
        <v>70307</v>
      </c>
      <c r="B3285" t="s">
        <v>250</v>
      </c>
      <c r="C3285" s="43" t="s">
        <v>1550</v>
      </c>
      <c r="D3285" s="43">
        <v>4202029</v>
      </c>
      <c r="E3285" t="s">
        <v>83</v>
      </c>
      <c r="F3285" s="47" t="str">
        <f>+Centro_Cuenta8[[#This Row],[Codigo Centro Gestion]]&amp;" - "&amp;Centro_Cuenta8[[#This Row],[Nombre Centro Gestion]]</f>
        <v>70307 - FINANZAS</v>
      </c>
      <c r="G3285" s="47" t="str">
        <f>+Centro_Cuenta8[[#This Row],[Código Cuenta Contable]]&amp;" - "&amp;Centro_Cuenta8[[#This Row],[Nombre de Cuenta Contable]]</f>
        <v>4202029 - Insumos Y Gastos Informáticos</v>
      </c>
      <c r="H3285" s="146" t="str">
        <f>+VLOOKUP(D3285,'3. Cuentas'!A:F,6,0)</f>
        <v>SI</v>
      </c>
    </row>
    <row r="3286" spans="1:8" x14ac:dyDescent="0.25">
      <c r="A3286" s="43">
        <v>70308</v>
      </c>
      <c r="B3286" t="s">
        <v>251</v>
      </c>
      <c r="C3286" s="43" t="s">
        <v>1553</v>
      </c>
      <c r="D3286" s="43">
        <v>4201013</v>
      </c>
      <c r="E3286" t="s">
        <v>76</v>
      </c>
      <c r="F3286" s="47" t="str">
        <f>+Centro_Cuenta8[[#This Row],[Codigo Centro Gestion]]&amp;" - "&amp;Centro_Cuenta8[[#This Row],[Nombre Centro Gestion]]</f>
        <v>70308 - ADMINISTRACIÓN</v>
      </c>
      <c r="G3286" s="47" t="str">
        <f>+Centro_Cuenta8[[#This Row],[Código Cuenta Contable]]&amp;" - "&amp;Centro_Cuenta8[[#This Row],[Nombre de Cuenta Contable]]</f>
        <v>4201013 - Eventos Del Personal</v>
      </c>
      <c r="H3286" s="146" t="str">
        <f>+VLOOKUP(D3286,'3. Cuentas'!A:F,6,0)</f>
        <v>SI</v>
      </c>
    </row>
    <row r="3287" spans="1:8" x14ac:dyDescent="0.25">
      <c r="A3287" s="43">
        <v>70308</v>
      </c>
      <c r="B3287" t="s">
        <v>251</v>
      </c>
      <c r="C3287" s="43" t="s">
        <v>1553</v>
      </c>
      <c r="D3287" s="43">
        <v>4201038</v>
      </c>
      <c r="E3287" t="s">
        <v>102</v>
      </c>
      <c r="F3287" s="47" t="str">
        <f>+Centro_Cuenta8[[#This Row],[Codigo Centro Gestion]]&amp;" - "&amp;Centro_Cuenta8[[#This Row],[Nombre Centro Gestion]]</f>
        <v>70308 - ADMINISTRACIÓN</v>
      </c>
      <c r="G3287" s="47" t="str">
        <f>+Centro_Cuenta8[[#This Row],[Código Cuenta Contable]]&amp;" - "&amp;Centro_Cuenta8[[#This Row],[Nombre de Cuenta Contable]]</f>
        <v>4201038 - Beneficios</v>
      </c>
      <c r="H3287" s="146" t="str">
        <f>+VLOOKUP(D3287,'3. Cuentas'!A:F,6,0)</f>
        <v>SI</v>
      </c>
    </row>
    <row r="3288" spans="1:8" x14ac:dyDescent="0.25">
      <c r="A3288" s="43">
        <v>70308</v>
      </c>
      <c r="B3288" t="s">
        <v>251</v>
      </c>
      <c r="C3288" s="43" t="s">
        <v>1553</v>
      </c>
      <c r="D3288" s="43">
        <v>4202009</v>
      </c>
      <c r="E3288" t="s">
        <v>80</v>
      </c>
      <c r="F3288" s="47" t="str">
        <f>+Centro_Cuenta8[[#This Row],[Codigo Centro Gestion]]&amp;" - "&amp;Centro_Cuenta8[[#This Row],[Nombre Centro Gestion]]</f>
        <v>70308 - ADMINISTRACIÓN</v>
      </c>
      <c r="G3288" s="47" t="str">
        <f>+Centro_Cuenta8[[#This Row],[Código Cuenta Contable]]&amp;" - "&amp;Centro_Cuenta8[[#This Row],[Nombre de Cuenta Contable]]</f>
        <v>4202009 - Gastos Viajes Y Traslados</v>
      </c>
      <c r="H3288" s="146" t="str">
        <f>+VLOOKUP(D3288,'3. Cuentas'!A:F,6,0)</f>
        <v>SI</v>
      </c>
    </row>
    <row r="3289" spans="1:8" x14ac:dyDescent="0.25">
      <c r="A3289" s="43">
        <v>70308</v>
      </c>
      <c r="B3289" t="s">
        <v>251</v>
      </c>
      <c r="C3289" s="43" t="s">
        <v>1553</v>
      </c>
      <c r="D3289" s="43">
        <v>4202010</v>
      </c>
      <c r="E3289" t="s">
        <v>87</v>
      </c>
      <c r="F3289" s="47" t="str">
        <f>+Centro_Cuenta8[[#This Row],[Codigo Centro Gestion]]&amp;" - "&amp;Centro_Cuenta8[[#This Row],[Nombre Centro Gestion]]</f>
        <v>70308 - ADMINISTRACIÓN</v>
      </c>
      <c r="G3289" s="47" t="str">
        <f>+Centro_Cuenta8[[#This Row],[Código Cuenta Contable]]&amp;" - "&amp;Centro_Cuenta8[[#This Row],[Nombre de Cuenta Contable]]</f>
        <v>4202010 - Artic. Ofic. Fotocop.Papelería</v>
      </c>
      <c r="H3289" s="146" t="str">
        <f>+VLOOKUP(D3289,'3. Cuentas'!A:F,6,0)</f>
        <v>SI</v>
      </c>
    </row>
    <row r="3290" spans="1:8" x14ac:dyDescent="0.25">
      <c r="A3290" s="43">
        <v>70308</v>
      </c>
      <c r="B3290" t="s">
        <v>251</v>
      </c>
      <c r="C3290" s="43" t="s">
        <v>1553</v>
      </c>
      <c r="D3290" s="43">
        <v>4202019</v>
      </c>
      <c r="E3290" t="s">
        <v>81</v>
      </c>
      <c r="F3290" s="47" t="str">
        <f>+Centro_Cuenta8[[#This Row],[Codigo Centro Gestion]]&amp;" - "&amp;Centro_Cuenta8[[#This Row],[Nombre Centro Gestion]]</f>
        <v>70308 - ADMINISTRACIÓN</v>
      </c>
      <c r="G3290" s="47" t="str">
        <f>+Centro_Cuenta8[[#This Row],[Código Cuenta Contable]]&amp;" - "&amp;Centro_Cuenta8[[#This Row],[Nombre de Cuenta Contable]]</f>
        <v>4202019 - Gasto General Oficina</v>
      </c>
      <c r="H3290" s="146" t="str">
        <f>+VLOOKUP(D3290,'3. Cuentas'!A:F,6,0)</f>
        <v>SI</v>
      </c>
    </row>
    <row r="3291" spans="1:8" x14ac:dyDescent="0.25">
      <c r="A3291" s="43">
        <v>70308</v>
      </c>
      <c r="B3291" t="s">
        <v>251</v>
      </c>
      <c r="C3291" s="43" t="s">
        <v>1553</v>
      </c>
      <c r="D3291" s="43">
        <v>4202023</v>
      </c>
      <c r="E3291" t="s">
        <v>82</v>
      </c>
      <c r="F3291" s="47" t="str">
        <f>+Centro_Cuenta8[[#This Row],[Codigo Centro Gestion]]&amp;" - "&amp;Centro_Cuenta8[[#This Row],[Nombre Centro Gestion]]</f>
        <v>70308 - ADMINISTRACIÓN</v>
      </c>
      <c r="G3291" s="47" t="str">
        <f>+Centro_Cuenta8[[#This Row],[Código Cuenta Contable]]&amp;" - "&amp;Centro_Cuenta8[[#This Row],[Nombre de Cuenta Contable]]</f>
        <v>4202023 - Honorarios Por Asesorías</v>
      </c>
      <c r="H3291" s="146" t="str">
        <f>+VLOOKUP(D3291,'3. Cuentas'!A:F,6,0)</f>
        <v>SI</v>
      </c>
    </row>
    <row r="3292" spans="1:8" x14ac:dyDescent="0.25">
      <c r="A3292" s="43">
        <v>70308</v>
      </c>
      <c r="B3292" t="s">
        <v>251</v>
      </c>
      <c r="C3292" s="43" t="s">
        <v>1553</v>
      </c>
      <c r="D3292" s="43">
        <v>4202029</v>
      </c>
      <c r="E3292" t="s">
        <v>83</v>
      </c>
      <c r="F3292" s="47" t="str">
        <f>+Centro_Cuenta8[[#This Row],[Codigo Centro Gestion]]&amp;" - "&amp;Centro_Cuenta8[[#This Row],[Nombre Centro Gestion]]</f>
        <v>70308 - ADMINISTRACIÓN</v>
      </c>
      <c r="G3292" s="47" t="str">
        <f>+Centro_Cuenta8[[#This Row],[Código Cuenta Contable]]&amp;" - "&amp;Centro_Cuenta8[[#This Row],[Nombre de Cuenta Contable]]</f>
        <v>4202029 - Insumos Y Gastos Informáticos</v>
      </c>
      <c r="H3292" s="146" t="str">
        <f>+VLOOKUP(D3292,'3. Cuentas'!A:F,6,0)</f>
        <v>SI</v>
      </c>
    </row>
    <row r="3293" spans="1:8" x14ac:dyDescent="0.25">
      <c r="A3293" s="43">
        <v>70309</v>
      </c>
      <c r="B3293" t="s">
        <v>252</v>
      </c>
      <c r="C3293" s="43" t="s">
        <v>1500</v>
      </c>
      <c r="D3293" s="43">
        <v>4101001</v>
      </c>
      <c r="E3293" t="s">
        <v>69</v>
      </c>
      <c r="F3293" s="47" t="str">
        <f>+Centro_Cuenta8[[#This Row],[Codigo Centro Gestion]]&amp;" - "&amp;Centro_Cuenta8[[#This Row],[Nombre Centro Gestion]]</f>
        <v>70309 - OFICINA CENTRAL</v>
      </c>
      <c r="G3293" s="47" t="str">
        <f>+Centro_Cuenta8[[#This Row],[Código Cuenta Contable]]&amp;" - "&amp;Centro_Cuenta8[[#This Row],[Nombre de Cuenta Contable]]</f>
        <v>4101001 - Costos Materiales de Obra</v>
      </c>
      <c r="H3293" s="146" t="str">
        <f>+VLOOKUP(D3293,'3. Cuentas'!A:F,6,0)</f>
        <v>SI</v>
      </c>
    </row>
    <row r="3294" spans="1:8" x14ac:dyDescent="0.25">
      <c r="A3294" s="43">
        <v>70309</v>
      </c>
      <c r="B3294" t="s">
        <v>252</v>
      </c>
      <c r="C3294" s="43" t="s">
        <v>1500</v>
      </c>
      <c r="D3294" s="43">
        <v>4102001</v>
      </c>
      <c r="E3294" t="s">
        <v>152</v>
      </c>
      <c r="F3294" s="47" t="str">
        <f>+Centro_Cuenta8[[#This Row],[Codigo Centro Gestion]]&amp;" - "&amp;Centro_Cuenta8[[#This Row],[Nombre Centro Gestion]]</f>
        <v>70309 - OFICINA CENTRAL</v>
      </c>
      <c r="G3294" s="47" t="str">
        <f>+Centro_Cuenta8[[#This Row],[Código Cuenta Contable]]&amp;" - "&amp;Centro_Cuenta8[[#This Row],[Nombre de Cuenta Contable]]</f>
        <v>4102001 - Costos Subcontratos</v>
      </c>
      <c r="H3294" s="146" t="str">
        <f>+VLOOKUP(D3294,'3. Cuentas'!A:F,6,0)</f>
        <v>SI</v>
      </c>
    </row>
    <row r="3295" spans="1:8" x14ac:dyDescent="0.25">
      <c r="A3295" s="43">
        <v>70309</v>
      </c>
      <c r="B3295" t="s">
        <v>252</v>
      </c>
      <c r="C3295" s="43" t="s">
        <v>1500</v>
      </c>
      <c r="D3295" s="43">
        <v>4201038</v>
      </c>
      <c r="E3295" t="s">
        <v>102</v>
      </c>
      <c r="F3295" s="47" t="str">
        <f>+Centro_Cuenta8[[#This Row],[Codigo Centro Gestion]]&amp;" - "&amp;Centro_Cuenta8[[#This Row],[Nombre Centro Gestion]]</f>
        <v>70309 - OFICINA CENTRAL</v>
      </c>
      <c r="G3295" s="47" t="str">
        <f>+Centro_Cuenta8[[#This Row],[Código Cuenta Contable]]&amp;" - "&amp;Centro_Cuenta8[[#This Row],[Nombre de Cuenta Contable]]</f>
        <v>4201038 - Beneficios</v>
      </c>
      <c r="H3295" s="146" t="str">
        <f>+VLOOKUP(D3295,'3. Cuentas'!A:F,6,0)</f>
        <v>SI</v>
      </c>
    </row>
    <row r="3296" spans="1:8" x14ac:dyDescent="0.25">
      <c r="A3296" s="43">
        <v>70309</v>
      </c>
      <c r="B3296" t="s">
        <v>252</v>
      </c>
      <c r="C3296" s="43" t="s">
        <v>1500</v>
      </c>
      <c r="D3296" s="43">
        <v>4202003</v>
      </c>
      <c r="E3296" t="s">
        <v>106</v>
      </c>
      <c r="F3296" s="47" t="str">
        <f>+Centro_Cuenta8[[#This Row],[Codigo Centro Gestion]]&amp;" - "&amp;Centro_Cuenta8[[#This Row],[Nombre Centro Gestion]]</f>
        <v>70309 - OFICINA CENTRAL</v>
      </c>
      <c r="G3296" s="47" t="str">
        <f>+Centro_Cuenta8[[#This Row],[Código Cuenta Contable]]&amp;" - "&amp;Centro_Cuenta8[[#This Row],[Nombre de Cuenta Contable]]</f>
        <v>4202003 - Serv.Basic.Luz.Agua.Tel Of.C</v>
      </c>
      <c r="H3296" s="146" t="str">
        <f>+VLOOKUP(D3296,'3. Cuentas'!A:F,6,0)</f>
        <v>SI</v>
      </c>
    </row>
    <row r="3297" spans="1:8" x14ac:dyDescent="0.25">
      <c r="A3297" s="43">
        <v>70309</v>
      </c>
      <c r="B3297" t="s">
        <v>252</v>
      </c>
      <c r="C3297" s="43" t="s">
        <v>1500</v>
      </c>
      <c r="D3297" s="43">
        <v>4202006</v>
      </c>
      <c r="E3297" t="s">
        <v>86</v>
      </c>
      <c r="F3297" s="47" t="str">
        <f>+Centro_Cuenta8[[#This Row],[Codigo Centro Gestion]]&amp;" - "&amp;Centro_Cuenta8[[#This Row],[Nombre Centro Gestion]]</f>
        <v>70309 - OFICINA CENTRAL</v>
      </c>
      <c r="G3297" s="47" t="str">
        <f>+Centro_Cuenta8[[#This Row],[Código Cuenta Contable]]&amp;" - "&amp;Centro_Cuenta8[[#This Row],[Nombre de Cuenta Contable]]</f>
        <v>4202006 - Gastos Legales Y Notariales OF Central</v>
      </c>
      <c r="H3297" s="146" t="str">
        <f>+VLOOKUP(D3297,'3. Cuentas'!A:F,6,0)</f>
        <v>SI</v>
      </c>
    </row>
    <row r="3298" spans="1:8" x14ac:dyDescent="0.25">
      <c r="A3298" s="43">
        <v>70309</v>
      </c>
      <c r="B3298" t="s">
        <v>252</v>
      </c>
      <c r="C3298" s="43" t="s">
        <v>1500</v>
      </c>
      <c r="D3298" s="43">
        <v>4202009</v>
      </c>
      <c r="E3298" t="s">
        <v>80</v>
      </c>
      <c r="F3298" s="47" t="str">
        <f>+Centro_Cuenta8[[#This Row],[Codigo Centro Gestion]]&amp;" - "&amp;Centro_Cuenta8[[#This Row],[Nombre Centro Gestion]]</f>
        <v>70309 - OFICINA CENTRAL</v>
      </c>
      <c r="G3298" s="47" t="str">
        <f>+Centro_Cuenta8[[#This Row],[Código Cuenta Contable]]&amp;" - "&amp;Centro_Cuenta8[[#This Row],[Nombre de Cuenta Contable]]</f>
        <v>4202009 - Gastos Viajes Y Traslados</v>
      </c>
      <c r="H3298" s="146" t="str">
        <f>+VLOOKUP(D3298,'3. Cuentas'!A:F,6,0)</f>
        <v>SI</v>
      </c>
    </row>
    <row r="3299" spans="1:8" x14ac:dyDescent="0.25">
      <c r="A3299" s="43">
        <v>70309</v>
      </c>
      <c r="B3299" t="s">
        <v>252</v>
      </c>
      <c r="C3299" s="43" t="s">
        <v>1500</v>
      </c>
      <c r="D3299" s="43">
        <v>4202010</v>
      </c>
      <c r="E3299" t="s">
        <v>87</v>
      </c>
      <c r="F3299" s="47" t="str">
        <f>+Centro_Cuenta8[[#This Row],[Codigo Centro Gestion]]&amp;" - "&amp;Centro_Cuenta8[[#This Row],[Nombre Centro Gestion]]</f>
        <v>70309 - OFICINA CENTRAL</v>
      </c>
      <c r="G3299" s="47" t="str">
        <f>+Centro_Cuenta8[[#This Row],[Código Cuenta Contable]]&amp;" - "&amp;Centro_Cuenta8[[#This Row],[Nombre de Cuenta Contable]]</f>
        <v>4202010 - Artic. Ofic. Fotocop.Papelería</v>
      </c>
      <c r="H3299" s="146" t="str">
        <f>+VLOOKUP(D3299,'3. Cuentas'!A:F,6,0)</f>
        <v>SI</v>
      </c>
    </row>
    <row r="3300" spans="1:8" x14ac:dyDescent="0.25">
      <c r="A3300" s="43">
        <v>70309</v>
      </c>
      <c r="B3300" t="s">
        <v>252</v>
      </c>
      <c r="C3300" s="43" t="s">
        <v>1500</v>
      </c>
      <c r="D3300" s="43">
        <v>4202013</v>
      </c>
      <c r="E3300" t="s">
        <v>147</v>
      </c>
      <c r="F3300" s="47" t="str">
        <f>+Centro_Cuenta8[[#This Row],[Codigo Centro Gestion]]&amp;" - "&amp;Centro_Cuenta8[[#This Row],[Nombre Centro Gestion]]</f>
        <v>70309 - OFICINA CENTRAL</v>
      </c>
      <c r="G3300" s="47" t="str">
        <f>+Centro_Cuenta8[[#This Row],[Código Cuenta Contable]]&amp;" - "&amp;Centro_Cuenta8[[#This Row],[Nombre de Cuenta Contable]]</f>
        <v>4202013 - Multas E Intereses</v>
      </c>
      <c r="H3300" s="146" t="str">
        <f>+VLOOKUP(D3300,'3. Cuentas'!A:F,6,0)</f>
        <v>SI</v>
      </c>
    </row>
    <row r="3301" spans="1:8" x14ac:dyDescent="0.25">
      <c r="A3301" s="43">
        <v>70309</v>
      </c>
      <c r="B3301" t="s">
        <v>252</v>
      </c>
      <c r="C3301" s="43" t="s">
        <v>1500</v>
      </c>
      <c r="D3301" s="43">
        <v>4202019</v>
      </c>
      <c r="E3301" t="s">
        <v>81</v>
      </c>
      <c r="F3301" s="47" t="str">
        <f>+Centro_Cuenta8[[#This Row],[Codigo Centro Gestion]]&amp;" - "&amp;Centro_Cuenta8[[#This Row],[Nombre Centro Gestion]]</f>
        <v>70309 - OFICINA CENTRAL</v>
      </c>
      <c r="G3301" s="47" t="str">
        <f>+Centro_Cuenta8[[#This Row],[Código Cuenta Contable]]&amp;" - "&amp;Centro_Cuenta8[[#This Row],[Nombre de Cuenta Contable]]</f>
        <v>4202019 - Gasto General Oficina</v>
      </c>
      <c r="H3301" s="146" t="str">
        <f>+VLOOKUP(D3301,'3. Cuentas'!A:F,6,0)</f>
        <v>SI</v>
      </c>
    </row>
    <row r="3302" spans="1:8" x14ac:dyDescent="0.25">
      <c r="A3302" s="43">
        <v>70309</v>
      </c>
      <c r="B3302" t="s">
        <v>252</v>
      </c>
      <c r="C3302" s="43" t="s">
        <v>1500</v>
      </c>
      <c r="D3302" s="43">
        <v>4202023</v>
      </c>
      <c r="E3302" t="s">
        <v>82</v>
      </c>
      <c r="F3302" s="47" t="str">
        <f>+Centro_Cuenta8[[#This Row],[Codigo Centro Gestion]]&amp;" - "&amp;Centro_Cuenta8[[#This Row],[Nombre Centro Gestion]]</f>
        <v>70309 - OFICINA CENTRAL</v>
      </c>
      <c r="G3302" s="47" t="str">
        <f>+Centro_Cuenta8[[#This Row],[Código Cuenta Contable]]&amp;" - "&amp;Centro_Cuenta8[[#This Row],[Nombre de Cuenta Contable]]</f>
        <v>4202023 - Honorarios Por Asesorías</v>
      </c>
      <c r="H3302" s="146" t="str">
        <f>+VLOOKUP(D3302,'3. Cuentas'!A:F,6,0)</f>
        <v>SI</v>
      </c>
    </row>
    <row r="3303" spans="1:8" x14ac:dyDescent="0.25">
      <c r="A3303" s="43">
        <v>70309</v>
      </c>
      <c r="B3303" t="s">
        <v>252</v>
      </c>
      <c r="C3303" s="43" t="s">
        <v>1500</v>
      </c>
      <c r="D3303" s="43">
        <v>4203120</v>
      </c>
      <c r="E3303" t="s">
        <v>108</v>
      </c>
      <c r="F3303" s="47" t="str">
        <f>+Centro_Cuenta8[[#This Row],[Codigo Centro Gestion]]&amp;" - "&amp;Centro_Cuenta8[[#This Row],[Nombre Centro Gestion]]</f>
        <v>70309 - OFICINA CENTRAL</v>
      </c>
      <c r="G3303" s="47" t="str">
        <f>+Centro_Cuenta8[[#This Row],[Código Cuenta Contable]]&amp;" - "&amp;Centro_Cuenta8[[#This Row],[Nombre de Cuenta Contable]]</f>
        <v>4203120 - Gastos Comunes</v>
      </c>
      <c r="H3303" s="146" t="str">
        <f>+VLOOKUP(D3303,'3. Cuentas'!A:F,6,0)</f>
        <v>SI</v>
      </c>
    </row>
    <row r="3304" spans="1:8" x14ac:dyDescent="0.25">
      <c r="A3304" s="43">
        <v>70309</v>
      </c>
      <c r="B3304" t="s">
        <v>252</v>
      </c>
      <c r="C3304" s="43" t="s">
        <v>1500</v>
      </c>
      <c r="D3304" s="43">
        <v>4207030</v>
      </c>
      <c r="E3304" t="s">
        <v>117</v>
      </c>
      <c r="F3304" s="47" t="str">
        <f>+Centro_Cuenta8[[#This Row],[Codigo Centro Gestion]]&amp;" - "&amp;Centro_Cuenta8[[#This Row],[Nombre Centro Gestion]]</f>
        <v>70309 - OFICINA CENTRAL</v>
      </c>
      <c r="G3304" s="47" t="str">
        <f>+Centro_Cuenta8[[#This Row],[Código Cuenta Contable]]&amp;" - "&amp;Centro_Cuenta8[[#This Row],[Nombre de Cuenta Contable]]</f>
        <v>4207030 - Patentes Comerciales Y Otros</v>
      </c>
      <c r="H3304" s="146" t="str">
        <f>+VLOOKUP(D3304,'3. Cuentas'!A:F,6,0)</f>
        <v>SI</v>
      </c>
    </row>
    <row r="3305" spans="1:8" x14ac:dyDescent="0.25">
      <c r="A3305" s="43">
        <v>70310</v>
      </c>
      <c r="B3305" t="s">
        <v>256</v>
      </c>
      <c r="C3305" s="43" t="s">
        <v>1554</v>
      </c>
      <c r="D3305" s="43">
        <v>4105001</v>
      </c>
      <c r="E3305" t="s">
        <v>70</v>
      </c>
      <c r="F3305" s="47" t="str">
        <f>+Centro_Cuenta8[[#This Row],[Codigo Centro Gestion]]&amp;" - "&amp;Centro_Cuenta8[[#This Row],[Nombre Centro Gestion]]</f>
        <v>70310 - OFICINA CENTRAL TI</v>
      </c>
      <c r="G3305" s="47" t="str">
        <f>+Centro_Cuenta8[[#This Row],[Código Cuenta Contable]]&amp;" - "&amp;Centro_Cuenta8[[#This Row],[Nombre de Cuenta Contable]]</f>
        <v>4105001 - Costos Generales de Obra</v>
      </c>
      <c r="H3305" s="146" t="str">
        <f>+VLOOKUP(D3305,'3. Cuentas'!A:F,6,0)</f>
        <v>SI</v>
      </c>
    </row>
    <row r="3306" spans="1:8" x14ac:dyDescent="0.25">
      <c r="A3306" s="43">
        <v>70310</v>
      </c>
      <c r="B3306" t="s">
        <v>256</v>
      </c>
      <c r="C3306" s="43" t="s">
        <v>1554</v>
      </c>
      <c r="D3306" s="43">
        <v>4202023</v>
      </c>
      <c r="E3306" t="s">
        <v>82</v>
      </c>
      <c r="F3306" s="47" t="str">
        <f>+Centro_Cuenta8[[#This Row],[Codigo Centro Gestion]]&amp;" - "&amp;Centro_Cuenta8[[#This Row],[Nombre Centro Gestion]]</f>
        <v>70310 - OFICINA CENTRAL TI</v>
      </c>
      <c r="G3306" s="47" t="str">
        <f>+Centro_Cuenta8[[#This Row],[Código Cuenta Contable]]&amp;" - "&amp;Centro_Cuenta8[[#This Row],[Nombre de Cuenta Contable]]</f>
        <v>4202023 - Honorarios Por Asesorías</v>
      </c>
      <c r="H3306" s="146" t="str">
        <f>+VLOOKUP(D3306,'3. Cuentas'!A:F,6,0)</f>
        <v>SI</v>
      </c>
    </row>
    <row r="3307" spans="1:8" x14ac:dyDescent="0.25">
      <c r="A3307" s="43">
        <v>70310</v>
      </c>
      <c r="B3307" t="s">
        <v>256</v>
      </c>
      <c r="C3307" s="43" t="s">
        <v>1554</v>
      </c>
      <c r="D3307" s="43">
        <v>4202029</v>
      </c>
      <c r="E3307" t="s">
        <v>83</v>
      </c>
      <c r="F3307" s="47" t="str">
        <f>+Centro_Cuenta8[[#This Row],[Codigo Centro Gestion]]&amp;" - "&amp;Centro_Cuenta8[[#This Row],[Nombre Centro Gestion]]</f>
        <v>70310 - OFICINA CENTRAL TI</v>
      </c>
      <c r="G3307" s="47" t="str">
        <f>+Centro_Cuenta8[[#This Row],[Código Cuenta Contable]]&amp;" - "&amp;Centro_Cuenta8[[#This Row],[Nombre de Cuenta Contable]]</f>
        <v>4202029 - Insumos Y Gastos Informáticos</v>
      </c>
      <c r="H3307" s="146" t="str">
        <f>+VLOOKUP(D3307,'3. Cuentas'!A:F,6,0)</f>
        <v>SI</v>
      </c>
    </row>
    <row r="3308" spans="1:8" x14ac:dyDescent="0.25">
      <c r="A3308" s="43">
        <v>70311</v>
      </c>
      <c r="B3308" t="s">
        <v>257</v>
      </c>
      <c r="C3308" s="43" t="s">
        <v>1555</v>
      </c>
      <c r="D3308" s="43">
        <v>4202023</v>
      </c>
      <c r="E3308" t="s">
        <v>82</v>
      </c>
      <c r="F3308" s="47" t="str">
        <f>+Centro_Cuenta8[[#This Row],[Codigo Centro Gestion]]&amp;" - "&amp;Centro_Cuenta8[[#This Row],[Nombre Centro Gestion]]</f>
        <v>70311 - OFICINA CENTRAL CONTABILIDAD</v>
      </c>
      <c r="G3308" s="47" t="str">
        <f>+Centro_Cuenta8[[#This Row],[Código Cuenta Contable]]&amp;" - "&amp;Centro_Cuenta8[[#This Row],[Nombre de Cuenta Contable]]</f>
        <v>4202023 - Honorarios Por Asesorías</v>
      </c>
      <c r="H3308" s="146" t="str">
        <f>+VLOOKUP(D3308,'3. Cuentas'!A:F,6,0)</f>
        <v>SI</v>
      </c>
    </row>
    <row r="3309" spans="1:8" x14ac:dyDescent="0.25">
      <c r="A3309" s="43">
        <v>70318</v>
      </c>
      <c r="B3309" t="s">
        <v>262</v>
      </c>
      <c r="C3309" s="43" t="s">
        <v>1558</v>
      </c>
      <c r="D3309" s="43">
        <v>4201012</v>
      </c>
      <c r="E3309" t="s">
        <v>99</v>
      </c>
      <c r="F3309" s="47" t="str">
        <f>+Centro_Cuenta8[[#This Row],[Codigo Centro Gestion]]&amp;" - "&amp;Centro_Cuenta8[[#This Row],[Nombre Centro Gestion]]</f>
        <v>70318 - OFICINA CENTRAL CAPITAL HUMANO</v>
      </c>
      <c r="G3309" s="47" t="str">
        <f>+Centro_Cuenta8[[#This Row],[Código Cuenta Contable]]&amp;" - "&amp;Centro_Cuenta8[[#This Row],[Nombre de Cuenta Contable]]</f>
        <v>4201012 - Gastos por Capacitación</v>
      </c>
      <c r="H3309" s="146" t="str">
        <f>+VLOOKUP(D3309,'3. Cuentas'!A:F,6,0)</f>
        <v>SI</v>
      </c>
    </row>
    <row r="3310" spans="1:8" x14ac:dyDescent="0.25">
      <c r="A3310" s="43">
        <v>70318</v>
      </c>
      <c r="B3310" t="s">
        <v>262</v>
      </c>
      <c r="C3310" s="43" t="s">
        <v>1558</v>
      </c>
      <c r="D3310" s="43">
        <v>4201013</v>
      </c>
      <c r="E3310" t="s">
        <v>76</v>
      </c>
      <c r="F3310" s="47" t="str">
        <f>+Centro_Cuenta8[[#This Row],[Codigo Centro Gestion]]&amp;" - "&amp;Centro_Cuenta8[[#This Row],[Nombre Centro Gestion]]</f>
        <v>70318 - OFICINA CENTRAL CAPITAL HUMANO</v>
      </c>
      <c r="G3310" s="47" t="str">
        <f>+Centro_Cuenta8[[#This Row],[Código Cuenta Contable]]&amp;" - "&amp;Centro_Cuenta8[[#This Row],[Nombre de Cuenta Contable]]</f>
        <v>4201013 - Eventos Del Personal</v>
      </c>
      <c r="H3310" s="146" t="str">
        <f>+VLOOKUP(D3310,'3. Cuentas'!A:F,6,0)</f>
        <v>SI</v>
      </c>
    </row>
    <row r="3311" spans="1:8" x14ac:dyDescent="0.25">
      <c r="A3311" s="43">
        <v>70318</v>
      </c>
      <c r="B3311" t="s">
        <v>262</v>
      </c>
      <c r="C3311" s="43" t="s">
        <v>1558</v>
      </c>
      <c r="D3311" s="43">
        <v>4201014</v>
      </c>
      <c r="E3311" t="s">
        <v>100</v>
      </c>
      <c r="F3311" s="47" t="str">
        <f>+Centro_Cuenta8[[#This Row],[Codigo Centro Gestion]]&amp;" - "&amp;Centro_Cuenta8[[#This Row],[Nombre Centro Gestion]]</f>
        <v>70318 - OFICINA CENTRAL CAPITAL HUMANO</v>
      </c>
      <c r="G3311" s="47" t="str">
        <f>+Centro_Cuenta8[[#This Row],[Código Cuenta Contable]]&amp;" - "&amp;Centro_Cuenta8[[#This Row],[Nombre de Cuenta Contable]]</f>
        <v>4201014 - Selección De Personal</v>
      </c>
      <c r="H3311" s="146" t="str">
        <f>+VLOOKUP(D3311,'3. Cuentas'!A:F,6,0)</f>
        <v>SI</v>
      </c>
    </row>
    <row r="3312" spans="1:8" x14ac:dyDescent="0.25">
      <c r="A3312" s="43">
        <v>70318</v>
      </c>
      <c r="B3312" t="s">
        <v>262</v>
      </c>
      <c r="C3312" s="43" t="s">
        <v>1558</v>
      </c>
      <c r="D3312" s="43">
        <v>4201038</v>
      </c>
      <c r="E3312" t="s">
        <v>102</v>
      </c>
      <c r="F3312" s="47" t="str">
        <f>+Centro_Cuenta8[[#This Row],[Codigo Centro Gestion]]&amp;" - "&amp;Centro_Cuenta8[[#This Row],[Nombre Centro Gestion]]</f>
        <v>70318 - OFICINA CENTRAL CAPITAL HUMANO</v>
      </c>
      <c r="G3312" s="47" t="str">
        <f>+Centro_Cuenta8[[#This Row],[Código Cuenta Contable]]&amp;" - "&amp;Centro_Cuenta8[[#This Row],[Nombre de Cuenta Contable]]</f>
        <v>4201038 - Beneficios</v>
      </c>
      <c r="H3312" s="146" t="str">
        <f>+VLOOKUP(D3312,'3. Cuentas'!A:F,6,0)</f>
        <v>SI</v>
      </c>
    </row>
    <row r="3313" spans="1:8" x14ac:dyDescent="0.25">
      <c r="A3313" s="43">
        <v>70318</v>
      </c>
      <c r="B3313" t="s">
        <v>262</v>
      </c>
      <c r="C3313" s="43" t="s">
        <v>1558</v>
      </c>
      <c r="D3313" s="43">
        <v>4201039</v>
      </c>
      <c r="E3313" t="s">
        <v>103</v>
      </c>
      <c r="F3313" s="47" t="str">
        <f>+Centro_Cuenta8[[#This Row],[Codigo Centro Gestion]]&amp;" - "&amp;Centro_Cuenta8[[#This Row],[Nombre Centro Gestion]]</f>
        <v>70318 - OFICINA CENTRAL CAPITAL HUMANO</v>
      </c>
      <c r="G3313" s="47" t="str">
        <f>+Centro_Cuenta8[[#This Row],[Código Cuenta Contable]]&amp;" - "&amp;Centro_Cuenta8[[#This Row],[Nombre de Cuenta Contable]]</f>
        <v>4201039 - Bienestar</v>
      </c>
      <c r="H3313" s="146" t="str">
        <f>+VLOOKUP(D3313,'3. Cuentas'!A:F,6,0)</f>
        <v>SI</v>
      </c>
    </row>
    <row r="3314" spans="1:8" x14ac:dyDescent="0.25">
      <c r="A3314" s="43">
        <v>70318</v>
      </c>
      <c r="B3314" t="s">
        <v>262</v>
      </c>
      <c r="C3314" s="43" t="s">
        <v>1558</v>
      </c>
      <c r="D3314" s="43">
        <v>4202006</v>
      </c>
      <c r="E3314" t="s">
        <v>86</v>
      </c>
      <c r="F3314" s="47" t="str">
        <f>+Centro_Cuenta8[[#This Row],[Codigo Centro Gestion]]&amp;" - "&amp;Centro_Cuenta8[[#This Row],[Nombre Centro Gestion]]</f>
        <v>70318 - OFICINA CENTRAL CAPITAL HUMANO</v>
      </c>
      <c r="G3314" s="47" t="str">
        <f>+Centro_Cuenta8[[#This Row],[Código Cuenta Contable]]&amp;" - "&amp;Centro_Cuenta8[[#This Row],[Nombre de Cuenta Contable]]</f>
        <v>4202006 - Gastos Legales Y Notariales OF Central</v>
      </c>
      <c r="H3314" s="146" t="str">
        <f>+VLOOKUP(D3314,'3. Cuentas'!A:F,6,0)</f>
        <v>SI</v>
      </c>
    </row>
    <row r="3315" spans="1:8" x14ac:dyDescent="0.25">
      <c r="A3315" s="43">
        <v>70318</v>
      </c>
      <c r="B3315" t="s">
        <v>262</v>
      </c>
      <c r="C3315" s="43" t="s">
        <v>1558</v>
      </c>
      <c r="D3315" s="43">
        <v>4202009</v>
      </c>
      <c r="E3315" t="s">
        <v>80</v>
      </c>
      <c r="F3315" s="47" t="str">
        <f>+Centro_Cuenta8[[#This Row],[Codigo Centro Gestion]]&amp;" - "&amp;Centro_Cuenta8[[#This Row],[Nombre Centro Gestion]]</f>
        <v>70318 - OFICINA CENTRAL CAPITAL HUMANO</v>
      </c>
      <c r="G3315" s="47" t="str">
        <f>+Centro_Cuenta8[[#This Row],[Código Cuenta Contable]]&amp;" - "&amp;Centro_Cuenta8[[#This Row],[Nombre de Cuenta Contable]]</f>
        <v>4202009 - Gastos Viajes Y Traslados</v>
      </c>
      <c r="H3315" s="146" t="str">
        <f>+VLOOKUP(D3315,'3. Cuentas'!A:F,6,0)</f>
        <v>SI</v>
      </c>
    </row>
    <row r="3316" spans="1:8" x14ac:dyDescent="0.25">
      <c r="A3316" s="43">
        <v>70318</v>
      </c>
      <c r="B3316" t="s">
        <v>262</v>
      </c>
      <c r="C3316" s="43" t="s">
        <v>1558</v>
      </c>
      <c r="D3316" s="43">
        <v>4202019</v>
      </c>
      <c r="E3316" t="s">
        <v>81</v>
      </c>
      <c r="F3316" s="47" t="str">
        <f>+Centro_Cuenta8[[#This Row],[Codigo Centro Gestion]]&amp;" - "&amp;Centro_Cuenta8[[#This Row],[Nombre Centro Gestion]]</f>
        <v>70318 - OFICINA CENTRAL CAPITAL HUMANO</v>
      </c>
      <c r="G3316" s="47" t="str">
        <f>+Centro_Cuenta8[[#This Row],[Código Cuenta Contable]]&amp;" - "&amp;Centro_Cuenta8[[#This Row],[Nombre de Cuenta Contable]]</f>
        <v>4202019 - Gasto General Oficina</v>
      </c>
      <c r="H3316" s="146" t="str">
        <f>+VLOOKUP(D3316,'3. Cuentas'!A:F,6,0)</f>
        <v>SI</v>
      </c>
    </row>
    <row r="3317" spans="1:8" x14ac:dyDescent="0.25">
      <c r="A3317" s="43">
        <v>70318</v>
      </c>
      <c r="B3317" t="s">
        <v>262</v>
      </c>
      <c r="C3317" s="43" t="s">
        <v>1558</v>
      </c>
      <c r="D3317" s="43">
        <v>4202023</v>
      </c>
      <c r="E3317" t="s">
        <v>82</v>
      </c>
      <c r="F3317" s="47" t="str">
        <f>+Centro_Cuenta8[[#This Row],[Codigo Centro Gestion]]&amp;" - "&amp;Centro_Cuenta8[[#This Row],[Nombre Centro Gestion]]</f>
        <v>70318 - OFICINA CENTRAL CAPITAL HUMANO</v>
      </c>
      <c r="G3317" s="47" t="str">
        <f>+Centro_Cuenta8[[#This Row],[Código Cuenta Contable]]&amp;" - "&amp;Centro_Cuenta8[[#This Row],[Nombre de Cuenta Contable]]</f>
        <v>4202023 - Honorarios Por Asesorías</v>
      </c>
      <c r="H3317" s="146" t="str">
        <f>+VLOOKUP(D3317,'3. Cuentas'!A:F,6,0)</f>
        <v>SI</v>
      </c>
    </row>
    <row r="3318" spans="1:8" x14ac:dyDescent="0.25">
      <c r="A3318" s="43">
        <v>70401</v>
      </c>
      <c r="B3318" t="s">
        <v>263</v>
      </c>
      <c r="C3318" s="43" t="s">
        <v>1559</v>
      </c>
      <c r="D3318" s="43">
        <v>4201013</v>
      </c>
      <c r="E3318" t="s">
        <v>76</v>
      </c>
      <c r="F3318" s="47" t="str">
        <f>+Centro_Cuenta8[[#This Row],[Codigo Centro Gestion]]&amp;" - "&amp;Centro_Cuenta8[[#This Row],[Nombre Centro Gestion]]</f>
        <v>70401 - GERENCIA GENERAL CORP</v>
      </c>
      <c r="G3318" s="47" t="str">
        <f>+Centro_Cuenta8[[#This Row],[Código Cuenta Contable]]&amp;" - "&amp;Centro_Cuenta8[[#This Row],[Nombre de Cuenta Contable]]</f>
        <v>4201013 - Eventos Del Personal</v>
      </c>
      <c r="H3318" s="146" t="str">
        <f>+VLOOKUP(D3318,'3. Cuentas'!A:F,6,0)</f>
        <v>SI</v>
      </c>
    </row>
    <row r="3319" spans="1:8" x14ac:dyDescent="0.25">
      <c r="A3319" s="43">
        <v>70401</v>
      </c>
      <c r="B3319" t="s">
        <v>263</v>
      </c>
      <c r="C3319" s="43" t="s">
        <v>1559</v>
      </c>
      <c r="D3319" s="43">
        <v>4201038</v>
      </c>
      <c r="E3319" t="s">
        <v>102</v>
      </c>
      <c r="F3319" s="47" t="str">
        <f>+Centro_Cuenta8[[#This Row],[Codigo Centro Gestion]]&amp;" - "&amp;Centro_Cuenta8[[#This Row],[Nombre Centro Gestion]]</f>
        <v>70401 - GERENCIA GENERAL CORP</v>
      </c>
      <c r="G3319" s="47" t="str">
        <f>+Centro_Cuenta8[[#This Row],[Código Cuenta Contable]]&amp;" - "&amp;Centro_Cuenta8[[#This Row],[Nombre de Cuenta Contable]]</f>
        <v>4201038 - Beneficios</v>
      </c>
      <c r="H3319" s="146" t="str">
        <f>+VLOOKUP(D3319,'3. Cuentas'!A:F,6,0)</f>
        <v>SI</v>
      </c>
    </row>
    <row r="3320" spans="1:8" x14ac:dyDescent="0.25">
      <c r="A3320" s="43">
        <v>70401</v>
      </c>
      <c r="B3320" t="s">
        <v>263</v>
      </c>
      <c r="C3320" s="43" t="s">
        <v>1559</v>
      </c>
      <c r="D3320" s="43">
        <v>4202009</v>
      </c>
      <c r="E3320" t="s">
        <v>80</v>
      </c>
      <c r="F3320" s="47" t="str">
        <f>+Centro_Cuenta8[[#This Row],[Codigo Centro Gestion]]&amp;" - "&amp;Centro_Cuenta8[[#This Row],[Nombre Centro Gestion]]</f>
        <v>70401 - GERENCIA GENERAL CORP</v>
      </c>
      <c r="G3320" s="47" t="str">
        <f>+Centro_Cuenta8[[#This Row],[Código Cuenta Contable]]&amp;" - "&amp;Centro_Cuenta8[[#This Row],[Nombre de Cuenta Contable]]</f>
        <v>4202009 - Gastos Viajes Y Traslados</v>
      </c>
      <c r="H3320" s="146" t="str">
        <f>+VLOOKUP(D3320,'3. Cuentas'!A:F,6,0)</f>
        <v>SI</v>
      </c>
    </row>
    <row r="3321" spans="1:8" x14ac:dyDescent="0.25">
      <c r="A3321" s="43">
        <v>70401</v>
      </c>
      <c r="B3321" t="s">
        <v>263</v>
      </c>
      <c r="C3321" s="43" t="s">
        <v>1559</v>
      </c>
      <c r="D3321" s="43">
        <v>4202010</v>
      </c>
      <c r="E3321" t="s">
        <v>87</v>
      </c>
      <c r="F3321" s="47" t="str">
        <f>+Centro_Cuenta8[[#This Row],[Codigo Centro Gestion]]&amp;" - "&amp;Centro_Cuenta8[[#This Row],[Nombre Centro Gestion]]</f>
        <v>70401 - GERENCIA GENERAL CORP</v>
      </c>
      <c r="G3321" s="47" t="str">
        <f>+Centro_Cuenta8[[#This Row],[Código Cuenta Contable]]&amp;" - "&amp;Centro_Cuenta8[[#This Row],[Nombre de Cuenta Contable]]</f>
        <v>4202010 - Artic. Ofic. Fotocop.Papelería</v>
      </c>
      <c r="H3321" s="146" t="str">
        <f>+VLOOKUP(D3321,'3. Cuentas'!A:F,6,0)</f>
        <v>SI</v>
      </c>
    </row>
    <row r="3322" spans="1:8" x14ac:dyDescent="0.25">
      <c r="A3322" s="43">
        <v>70401</v>
      </c>
      <c r="B3322" t="s">
        <v>263</v>
      </c>
      <c r="C3322" s="43" t="s">
        <v>1559</v>
      </c>
      <c r="D3322" s="43">
        <v>4202019</v>
      </c>
      <c r="E3322" t="s">
        <v>81</v>
      </c>
      <c r="F3322" s="47" t="str">
        <f>+Centro_Cuenta8[[#This Row],[Codigo Centro Gestion]]&amp;" - "&amp;Centro_Cuenta8[[#This Row],[Nombre Centro Gestion]]</f>
        <v>70401 - GERENCIA GENERAL CORP</v>
      </c>
      <c r="G3322" s="47" t="str">
        <f>+Centro_Cuenta8[[#This Row],[Código Cuenta Contable]]&amp;" - "&amp;Centro_Cuenta8[[#This Row],[Nombre de Cuenta Contable]]</f>
        <v>4202019 - Gasto General Oficina</v>
      </c>
      <c r="H3322" s="146" t="str">
        <f>+VLOOKUP(D3322,'3. Cuentas'!A:F,6,0)</f>
        <v>SI</v>
      </c>
    </row>
    <row r="3323" spans="1:8" x14ac:dyDescent="0.25">
      <c r="A3323" s="43">
        <v>70401</v>
      </c>
      <c r="B3323" t="s">
        <v>263</v>
      </c>
      <c r="C3323" s="43" t="s">
        <v>1559</v>
      </c>
      <c r="D3323" s="43">
        <v>4202023</v>
      </c>
      <c r="E3323" t="s">
        <v>82</v>
      </c>
      <c r="F3323" s="47" t="str">
        <f>+Centro_Cuenta8[[#This Row],[Codigo Centro Gestion]]&amp;" - "&amp;Centro_Cuenta8[[#This Row],[Nombre Centro Gestion]]</f>
        <v>70401 - GERENCIA GENERAL CORP</v>
      </c>
      <c r="G3323" s="47" t="str">
        <f>+Centro_Cuenta8[[#This Row],[Código Cuenta Contable]]&amp;" - "&amp;Centro_Cuenta8[[#This Row],[Nombre de Cuenta Contable]]</f>
        <v>4202023 - Honorarios Por Asesorías</v>
      </c>
      <c r="H3323" s="146" t="str">
        <f>+VLOOKUP(D3323,'3. Cuentas'!A:F,6,0)</f>
        <v>SI</v>
      </c>
    </row>
    <row r="3324" spans="1:8" x14ac:dyDescent="0.25">
      <c r="A3324" s="43">
        <v>70401</v>
      </c>
      <c r="B3324" t="s">
        <v>263</v>
      </c>
      <c r="C3324" s="43" t="s">
        <v>1559</v>
      </c>
      <c r="D3324" s="43">
        <v>4202029</v>
      </c>
      <c r="E3324" t="s">
        <v>83</v>
      </c>
      <c r="F3324" s="47" t="str">
        <f>+Centro_Cuenta8[[#This Row],[Codigo Centro Gestion]]&amp;" - "&amp;Centro_Cuenta8[[#This Row],[Nombre Centro Gestion]]</f>
        <v>70401 - GERENCIA GENERAL CORP</v>
      </c>
      <c r="G3324" s="47" t="str">
        <f>+Centro_Cuenta8[[#This Row],[Código Cuenta Contable]]&amp;" - "&amp;Centro_Cuenta8[[#This Row],[Nombre de Cuenta Contable]]</f>
        <v>4202029 - Insumos Y Gastos Informáticos</v>
      </c>
      <c r="H3324" s="146" t="str">
        <f>+VLOOKUP(D3324,'3. Cuentas'!A:F,6,0)</f>
        <v>SI</v>
      </c>
    </row>
    <row r="3325" spans="1:8" x14ac:dyDescent="0.25">
      <c r="A3325" s="43">
        <v>70402</v>
      </c>
      <c r="B3325" t="s">
        <v>265</v>
      </c>
      <c r="C3325" s="43" t="s">
        <v>1560</v>
      </c>
      <c r="D3325" s="43">
        <v>4202019</v>
      </c>
      <c r="E3325" t="s">
        <v>81</v>
      </c>
      <c r="F3325" s="47" t="str">
        <f>+Centro_Cuenta8[[#This Row],[Codigo Centro Gestion]]&amp;" - "&amp;Centro_Cuenta8[[#This Row],[Nombre Centro Gestion]]</f>
        <v>70402 - DIRECTORIO</v>
      </c>
      <c r="G3325" s="47" t="str">
        <f>+Centro_Cuenta8[[#This Row],[Código Cuenta Contable]]&amp;" - "&amp;Centro_Cuenta8[[#This Row],[Nombre de Cuenta Contable]]</f>
        <v>4202019 - Gasto General Oficina</v>
      </c>
      <c r="H3325" s="146" t="str">
        <f>+VLOOKUP(D3325,'3. Cuentas'!A:F,6,0)</f>
        <v>SI</v>
      </c>
    </row>
    <row r="3326" spans="1:8" x14ac:dyDescent="0.25">
      <c r="A3326" s="43">
        <v>70402</v>
      </c>
      <c r="B3326" t="s">
        <v>265</v>
      </c>
      <c r="C3326" s="43" t="s">
        <v>1560</v>
      </c>
      <c r="D3326" s="43">
        <v>4202023</v>
      </c>
      <c r="E3326" t="s">
        <v>82</v>
      </c>
      <c r="F3326" s="47" t="str">
        <f>+Centro_Cuenta8[[#This Row],[Codigo Centro Gestion]]&amp;" - "&amp;Centro_Cuenta8[[#This Row],[Nombre Centro Gestion]]</f>
        <v>70402 - DIRECTORIO</v>
      </c>
      <c r="G3326" s="47" t="str">
        <f>+Centro_Cuenta8[[#This Row],[Código Cuenta Contable]]&amp;" - "&amp;Centro_Cuenta8[[#This Row],[Nombre de Cuenta Contable]]</f>
        <v>4202023 - Honorarios Por Asesorías</v>
      </c>
      <c r="H3326" s="146" t="str">
        <f>+VLOOKUP(D3326,'3. Cuentas'!A:F,6,0)</f>
        <v>SI</v>
      </c>
    </row>
    <row r="3327" spans="1:8" x14ac:dyDescent="0.25">
      <c r="A3327" s="43">
        <v>70404</v>
      </c>
      <c r="B3327" t="s">
        <v>266</v>
      </c>
      <c r="C3327" s="43" t="s">
        <v>1561</v>
      </c>
      <c r="D3327" s="43">
        <v>4201013</v>
      </c>
      <c r="E3327" t="s">
        <v>76</v>
      </c>
      <c r="F3327" s="47" t="str">
        <f>+Centro_Cuenta8[[#This Row],[Codigo Centro Gestion]]&amp;" - "&amp;Centro_Cuenta8[[#This Row],[Nombre Centro Gestion]]</f>
        <v>70404 - GERENCIA LEGAL</v>
      </c>
      <c r="G3327" s="47" t="str">
        <f>+Centro_Cuenta8[[#This Row],[Código Cuenta Contable]]&amp;" - "&amp;Centro_Cuenta8[[#This Row],[Nombre de Cuenta Contable]]</f>
        <v>4201013 - Eventos Del Personal</v>
      </c>
      <c r="H3327" s="146" t="str">
        <f>+VLOOKUP(D3327,'3. Cuentas'!A:F,6,0)</f>
        <v>SI</v>
      </c>
    </row>
    <row r="3328" spans="1:8" x14ac:dyDescent="0.25">
      <c r="A3328" s="43">
        <v>70404</v>
      </c>
      <c r="B3328" t="s">
        <v>266</v>
      </c>
      <c r="C3328" s="43" t="s">
        <v>1561</v>
      </c>
      <c r="D3328" s="43">
        <v>4201038</v>
      </c>
      <c r="E3328" t="s">
        <v>102</v>
      </c>
      <c r="F3328" s="47" t="str">
        <f>+Centro_Cuenta8[[#This Row],[Codigo Centro Gestion]]&amp;" - "&amp;Centro_Cuenta8[[#This Row],[Nombre Centro Gestion]]</f>
        <v>70404 - GERENCIA LEGAL</v>
      </c>
      <c r="G3328" s="47" t="str">
        <f>+Centro_Cuenta8[[#This Row],[Código Cuenta Contable]]&amp;" - "&amp;Centro_Cuenta8[[#This Row],[Nombre de Cuenta Contable]]</f>
        <v>4201038 - Beneficios</v>
      </c>
      <c r="H3328" s="146" t="str">
        <f>+VLOOKUP(D3328,'3. Cuentas'!A:F,6,0)</f>
        <v>SI</v>
      </c>
    </row>
    <row r="3329" spans="1:8" x14ac:dyDescent="0.25">
      <c r="A3329" s="43">
        <v>70404</v>
      </c>
      <c r="B3329" t="s">
        <v>266</v>
      </c>
      <c r="C3329" s="43" t="s">
        <v>1561</v>
      </c>
      <c r="D3329" s="43">
        <v>4202009</v>
      </c>
      <c r="E3329" t="s">
        <v>80</v>
      </c>
      <c r="F3329" s="47" t="str">
        <f>+Centro_Cuenta8[[#This Row],[Codigo Centro Gestion]]&amp;" - "&amp;Centro_Cuenta8[[#This Row],[Nombre Centro Gestion]]</f>
        <v>70404 - GERENCIA LEGAL</v>
      </c>
      <c r="G3329" s="47" t="str">
        <f>+Centro_Cuenta8[[#This Row],[Código Cuenta Contable]]&amp;" - "&amp;Centro_Cuenta8[[#This Row],[Nombre de Cuenta Contable]]</f>
        <v>4202009 - Gastos Viajes Y Traslados</v>
      </c>
      <c r="H3329" s="146" t="str">
        <f>+VLOOKUP(D3329,'3. Cuentas'!A:F,6,0)</f>
        <v>SI</v>
      </c>
    </row>
    <row r="3330" spans="1:8" x14ac:dyDescent="0.25">
      <c r="A3330" s="43">
        <v>70404</v>
      </c>
      <c r="B3330" t="s">
        <v>266</v>
      </c>
      <c r="C3330" s="43" t="s">
        <v>1561</v>
      </c>
      <c r="D3330" s="43">
        <v>4202010</v>
      </c>
      <c r="E3330" t="s">
        <v>87</v>
      </c>
      <c r="F3330" s="47" t="str">
        <f>+Centro_Cuenta8[[#This Row],[Codigo Centro Gestion]]&amp;" - "&amp;Centro_Cuenta8[[#This Row],[Nombre Centro Gestion]]</f>
        <v>70404 - GERENCIA LEGAL</v>
      </c>
      <c r="G3330" s="47" t="str">
        <f>+Centro_Cuenta8[[#This Row],[Código Cuenta Contable]]&amp;" - "&amp;Centro_Cuenta8[[#This Row],[Nombre de Cuenta Contable]]</f>
        <v>4202010 - Artic. Ofic. Fotocop.Papelería</v>
      </c>
      <c r="H3330" s="146" t="str">
        <f>+VLOOKUP(D3330,'3. Cuentas'!A:F,6,0)</f>
        <v>SI</v>
      </c>
    </row>
    <row r="3331" spans="1:8" x14ac:dyDescent="0.25">
      <c r="A3331" s="43">
        <v>70404</v>
      </c>
      <c r="B3331" t="s">
        <v>266</v>
      </c>
      <c r="C3331" s="43" t="s">
        <v>1561</v>
      </c>
      <c r="D3331" s="43">
        <v>4202019</v>
      </c>
      <c r="E3331" t="s">
        <v>81</v>
      </c>
      <c r="F3331" s="47" t="str">
        <f>+Centro_Cuenta8[[#This Row],[Codigo Centro Gestion]]&amp;" - "&amp;Centro_Cuenta8[[#This Row],[Nombre Centro Gestion]]</f>
        <v>70404 - GERENCIA LEGAL</v>
      </c>
      <c r="G3331" s="47" t="str">
        <f>+Centro_Cuenta8[[#This Row],[Código Cuenta Contable]]&amp;" - "&amp;Centro_Cuenta8[[#This Row],[Nombre de Cuenta Contable]]</f>
        <v>4202019 - Gasto General Oficina</v>
      </c>
      <c r="H3331" s="146" t="str">
        <f>+VLOOKUP(D3331,'3. Cuentas'!A:F,6,0)</f>
        <v>SI</v>
      </c>
    </row>
    <row r="3332" spans="1:8" x14ac:dyDescent="0.25">
      <c r="A3332" s="43">
        <v>70404</v>
      </c>
      <c r="B3332" t="s">
        <v>266</v>
      </c>
      <c r="C3332" s="43" t="s">
        <v>1561</v>
      </c>
      <c r="D3332" s="43">
        <v>4202023</v>
      </c>
      <c r="E3332" t="s">
        <v>82</v>
      </c>
      <c r="F3332" s="47" t="str">
        <f>+Centro_Cuenta8[[#This Row],[Codigo Centro Gestion]]&amp;" - "&amp;Centro_Cuenta8[[#This Row],[Nombre Centro Gestion]]</f>
        <v>70404 - GERENCIA LEGAL</v>
      </c>
      <c r="G3332" s="47" t="str">
        <f>+Centro_Cuenta8[[#This Row],[Código Cuenta Contable]]&amp;" - "&amp;Centro_Cuenta8[[#This Row],[Nombre de Cuenta Contable]]</f>
        <v>4202023 - Honorarios Por Asesorías</v>
      </c>
      <c r="H3332" s="146" t="str">
        <f>+VLOOKUP(D3332,'3. Cuentas'!A:F,6,0)</f>
        <v>SI</v>
      </c>
    </row>
    <row r="3333" spans="1:8" x14ac:dyDescent="0.25">
      <c r="A3333" s="43">
        <v>70404</v>
      </c>
      <c r="B3333" t="s">
        <v>266</v>
      </c>
      <c r="C3333" s="43" t="s">
        <v>1561</v>
      </c>
      <c r="D3333" s="43">
        <v>4202029</v>
      </c>
      <c r="E3333" t="s">
        <v>83</v>
      </c>
      <c r="F3333" s="47" t="str">
        <f>+Centro_Cuenta8[[#This Row],[Codigo Centro Gestion]]&amp;" - "&amp;Centro_Cuenta8[[#This Row],[Nombre Centro Gestion]]</f>
        <v>70404 - GERENCIA LEGAL</v>
      </c>
      <c r="G3333" s="47" t="str">
        <f>+Centro_Cuenta8[[#This Row],[Código Cuenta Contable]]&amp;" - "&amp;Centro_Cuenta8[[#This Row],[Nombre de Cuenta Contable]]</f>
        <v>4202029 - Insumos Y Gastos Informáticos</v>
      </c>
      <c r="H3333" s="146" t="str">
        <f>+VLOOKUP(D3333,'3. Cuentas'!A:F,6,0)</f>
        <v>SI</v>
      </c>
    </row>
    <row r="3334" spans="1:8" x14ac:dyDescent="0.25">
      <c r="A3334" s="43">
        <v>70502</v>
      </c>
      <c r="B3334" t="s">
        <v>267</v>
      </c>
      <c r="C3334" s="43" t="s">
        <v>1562</v>
      </c>
      <c r="D3334" s="43">
        <v>4201013</v>
      </c>
      <c r="E3334" t="s">
        <v>76</v>
      </c>
      <c r="F3334" s="47" t="str">
        <f>+Centro_Cuenta8[[#This Row],[Codigo Centro Gestion]]&amp;" - "&amp;Centro_Cuenta8[[#This Row],[Nombre Centro Gestion]]</f>
        <v>70502 - ADQUISICIONES</v>
      </c>
      <c r="G3334" s="47" t="str">
        <f>+Centro_Cuenta8[[#This Row],[Código Cuenta Contable]]&amp;" - "&amp;Centro_Cuenta8[[#This Row],[Nombre de Cuenta Contable]]</f>
        <v>4201013 - Eventos Del Personal</v>
      </c>
      <c r="H3334" s="146" t="str">
        <f>+VLOOKUP(D3334,'3. Cuentas'!A:F,6,0)</f>
        <v>SI</v>
      </c>
    </row>
    <row r="3335" spans="1:8" x14ac:dyDescent="0.25">
      <c r="A3335" s="43">
        <v>70502</v>
      </c>
      <c r="B3335" t="s">
        <v>267</v>
      </c>
      <c r="C3335" s="43" t="s">
        <v>1562</v>
      </c>
      <c r="D3335" s="43">
        <v>4201038</v>
      </c>
      <c r="E3335" t="s">
        <v>102</v>
      </c>
      <c r="F3335" s="47" t="str">
        <f>+Centro_Cuenta8[[#This Row],[Codigo Centro Gestion]]&amp;" - "&amp;Centro_Cuenta8[[#This Row],[Nombre Centro Gestion]]</f>
        <v>70502 - ADQUISICIONES</v>
      </c>
      <c r="G3335" s="47" t="str">
        <f>+Centro_Cuenta8[[#This Row],[Código Cuenta Contable]]&amp;" - "&amp;Centro_Cuenta8[[#This Row],[Nombre de Cuenta Contable]]</f>
        <v>4201038 - Beneficios</v>
      </c>
      <c r="H3335" s="146" t="str">
        <f>+VLOOKUP(D3335,'3. Cuentas'!A:F,6,0)</f>
        <v>SI</v>
      </c>
    </row>
    <row r="3336" spans="1:8" x14ac:dyDescent="0.25">
      <c r="A3336" s="43">
        <v>70502</v>
      </c>
      <c r="B3336" t="s">
        <v>267</v>
      </c>
      <c r="C3336" s="43" t="s">
        <v>1562</v>
      </c>
      <c r="D3336" s="43">
        <v>4202006</v>
      </c>
      <c r="E3336" t="s">
        <v>86</v>
      </c>
      <c r="F3336" s="47" t="str">
        <f>+Centro_Cuenta8[[#This Row],[Codigo Centro Gestion]]&amp;" - "&amp;Centro_Cuenta8[[#This Row],[Nombre Centro Gestion]]</f>
        <v>70502 - ADQUISICIONES</v>
      </c>
      <c r="G3336" s="47" t="str">
        <f>+Centro_Cuenta8[[#This Row],[Código Cuenta Contable]]&amp;" - "&amp;Centro_Cuenta8[[#This Row],[Nombre de Cuenta Contable]]</f>
        <v>4202006 - Gastos Legales Y Notariales OF Central</v>
      </c>
      <c r="H3336" s="146" t="str">
        <f>+VLOOKUP(D3336,'3. Cuentas'!A:F,6,0)</f>
        <v>SI</v>
      </c>
    </row>
    <row r="3337" spans="1:8" x14ac:dyDescent="0.25">
      <c r="A3337" s="43">
        <v>70502</v>
      </c>
      <c r="B3337" t="s">
        <v>267</v>
      </c>
      <c r="C3337" s="43" t="s">
        <v>1562</v>
      </c>
      <c r="D3337" s="43">
        <v>4202009</v>
      </c>
      <c r="E3337" t="s">
        <v>80</v>
      </c>
      <c r="F3337" s="47" t="str">
        <f>+Centro_Cuenta8[[#This Row],[Codigo Centro Gestion]]&amp;" - "&amp;Centro_Cuenta8[[#This Row],[Nombre Centro Gestion]]</f>
        <v>70502 - ADQUISICIONES</v>
      </c>
      <c r="G3337" s="47" t="str">
        <f>+Centro_Cuenta8[[#This Row],[Código Cuenta Contable]]&amp;" - "&amp;Centro_Cuenta8[[#This Row],[Nombre de Cuenta Contable]]</f>
        <v>4202009 - Gastos Viajes Y Traslados</v>
      </c>
      <c r="H3337" s="146" t="str">
        <f>+VLOOKUP(D3337,'3. Cuentas'!A:F,6,0)</f>
        <v>SI</v>
      </c>
    </row>
    <row r="3338" spans="1:8" x14ac:dyDescent="0.25">
      <c r="A3338" s="43">
        <v>70502</v>
      </c>
      <c r="B3338" t="s">
        <v>267</v>
      </c>
      <c r="C3338" s="43" t="s">
        <v>1562</v>
      </c>
      <c r="D3338" s="43">
        <v>4202010</v>
      </c>
      <c r="E3338" t="s">
        <v>87</v>
      </c>
      <c r="F3338" s="47" t="str">
        <f>+Centro_Cuenta8[[#This Row],[Codigo Centro Gestion]]&amp;" - "&amp;Centro_Cuenta8[[#This Row],[Nombre Centro Gestion]]</f>
        <v>70502 - ADQUISICIONES</v>
      </c>
      <c r="G3338" s="47" t="str">
        <f>+Centro_Cuenta8[[#This Row],[Código Cuenta Contable]]&amp;" - "&amp;Centro_Cuenta8[[#This Row],[Nombre de Cuenta Contable]]</f>
        <v>4202010 - Artic. Ofic. Fotocop.Papelería</v>
      </c>
      <c r="H3338" s="146" t="str">
        <f>+VLOOKUP(D3338,'3. Cuentas'!A:F,6,0)</f>
        <v>SI</v>
      </c>
    </row>
    <row r="3339" spans="1:8" x14ac:dyDescent="0.25">
      <c r="A3339" s="43">
        <v>70502</v>
      </c>
      <c r="B3339" t="s">
        <v>267</v>
      </c>
      <c r="C3339" s="43" t="s">
        <v>1562</v>
      </c>
      <c r="D3339" s="43">
        <v>4202019</v>
      </c>
      <c r="E3339" t="s">
        <v>81</v>
      </c>
      <c r="F3339" s="47" t="str">
        <f>+Centro_Cuenta8[[#This Row],[Codigo Centro Gestion]]&amp;" - "&amp;Centro_Cuenta8[[#This Row],[Nombre Centro Gestion]]</f>
        <v>70502 - ADQUISICIONES</v>
      </c>
      <c r="G3339" s="47" t="str">
        <f>+Centro_Cuenta8[[#This Row],[Código Cuenta Contable]]&amp;" - "&amp;Centro_Cuenta8[[#This Row],[Nombre de Cuenta Contable]]</f>
        <v>4202019 - Gasto General Oficina</v>
      </c>
      <c r="H3339" s="146" t="str">
        <f>+VLOOKUP(D3339,'3. Cuentas'!A:F,6,0)</f>
        <v>SI</v>
      </c>
    </row>
    <row r="3340" spans="1:8" x14ac:dyDescent="0.25">
      <c r="A3340" s="43">
        <v>70502</v>
      </c>
      <c r="B3340" t="s">
        <v>267</v>
      </c>
      <c r="C3340" s="43" t="s">
        <v>1562</v>
      </c>
      <c r="D3340" s="43">
        <v>4202023</v>
      </c>
      <c r="E3340" t="s">
        <v>82</v>
      </c>
      <c r="F3340" s="47" t="str">
        <f>+Centro_Cuenta8[[#This Row],[Codigo Centro Gestion]]&amp;" - "&amp;Centro_Cuenta8[[#This Row],[Nombre Centro Gestion]]</f>
        <v>70502 - ADQUISICIONES</v>
      </c>
      <c r="G3340" s="47" t="str">
        <f>+Centro_Cuenta8[[#This Row],[Código Cuenta Contable]]&amp;" - "&amp;Centro_Cuenta8[[#This Row],[Nombre de Cuenta Contable]]</f>
        <v>4202023 - Honorarios Por Asesorías</v>
      </c>
      <c r="H3340" s="146" t="str">
        <f>+VLOOKUP(D3340,'3. Cuentas'!A:F,6,0)</f>
        <v>SI</v>
      </c>
    </row>
    <row r="3341" spans="1:8" x14ac:dyDescent="0.25">
      <c r="A3341" s="43">
        <v>70502</v>
      </c>
      <c r="B3341" t="s">
        <v>267</v>
      </c>
      <c r="C3341" s="43" t="s">
        <v>1562</v>
      </c>
      <c r="D3341" s="43">
        <v>4202029</v>
      </c>
      <c r="E3341" t="s">
        <v>83</v>
      </c>
      <c r="F3341" s="47" t="str">
        <f>+Centro_Cuenta8[[#This Row],[Codigo Centro Gestion]]&amp;" - "&amp;Centro_Cuenta8[[#This Row],[Nombre Centro Gestion]]</f>
        <v>70502 - ADQUISICIONES</v>
      </c>
      <c r="G3341" s="47" t="str">
        <f>+Centro_Cuenta8[[#This Row],[Código Cuenta Contable]]&amp;" - "&amp;Centro_Cuenta8[[#This Row],[Nombre de Cuenta Contable]]</f>
        <v>4202029 - Insumos Y Gastos Informáticos</v>
      </c>
      <c r="H3341" s="146" t="str">
        <f>+VLOOKUP(D3341,'3. Cuentas'!A:F,6,0)</f>
        <v>SI</v>
      </c>
    </row>
    <row r="3342" spans="1:8" x14ac:dyDescent="0.25">
      <c r="A3342" s="43">
        <v>70508</v>
      </c>
      <c r="B3342" t="s">
        <v>268</v>
      </c>
      <c r="C3342" s="43" t="s">
        <v>1563</v>
      </c>
      <c r="D3342" s="43">
        <v>4201013</v>
      </c>
      <c r="E3342" t="s">
        <v>76</v>
      </c>
      <c r="F3342" s="47" t="str">
        <f>+Centro_Cuenta8[[#This Row],[Codigo Centro Gestion]]&amp;" - "&amp;Centro_Cuenta8[[#This Row],[Nombre Centro Gestion]]</f>
        <v>70508 - SEGURIDAD</v>
      </c>
      <c r="G3342" s="47" t="str">
        <f>+Centro_Cuenta8[[#This Row],[Código Cuenta Contable]]&amp;" - "&amp;Centro_Cuenta8[[#This Row],[Nombre de Cuenta Contable]]</f>
        <v>4201013 - Eventos Del Personal</v>
      </c>
      <c r="H3342" s="146" t="str">
        <f>+VLOOKUP(D3342,'3. Cuentas'!A:F,6,0)</f>
        <v>SI</v>
      </c>
    </row>
    <row r="3343" spans="1:8" x14ac:dyDescent="0.25">
      <c r="A3343" s="43">
        <v>70508</v>
      </c>
      <c r="B3343" t="s">
        <v>268</v>
      </c>
      <c r="C3343" s="43" t="s">
        <v>1563</v>
      </c>
      <c r="D3343" s="43">
        <v>4201038</v>
      </c>
      <c r="E3343" t="s">
        <v>102</v>
      </c>
      <c r="F3343" s="47" t="str">
        <f>+Centro_Cuenta8[[#This Row],[Codigo Centro Gestion]]&amp;" - "&amp;Centro_Cuenta8[[#This Row],[Nombre Centro Gestion]]</f>
        <v>70508 - SEGURIDAD</v>
      </c>
      <c r="G3343" s="47" t="str">
        <f>+Centro_Cuenta8[[#This Row],[Código Cuenta Contable]]&amp;" - "&amp;Centro_Cuenta8[[#This Row],[Nombre de Cuenta Contable]]</f>
        <v>4201038 - Beneficios</v>
      </c>
      <c r="H3343" s="146" t="str">
        <f>+VLOOKUP(D3343,'3. Cuentas'!A:F,6,0)</f>
        <v>SI</v>
      </c>
    </row>
    <row r="3344" spans="1:8" x14ac:dyDescent="0.25">
      <c r="A3344" s="43">
        <v>70508</v>
      </c>
      <c r="B3344" t="s">
        <v>268</v>
      </c>
      <c r="C3344" s="43" t="s">
        <v>1563</v>
      </c>
      <c r="D3344" s="43">
        <v>4202009</v>
      </c>
      <c r="E3344" t="s">
        <v>80</v>
      </c>
      <c r="F3344" s="47" t="str">
        <f>+Centro_Cuenta8[[#This Row],[Codigo Centro Gestion]]&amp;" - "&amp;Centro_Cuenta8[[#This Row],[Nombre Centro Gestion]]</f>
        <v>70508 - SEGURIDAD</v>
      </c>
      <c r="G3344" s="47" t="str">
        <f>+Centro_Cuenta8[[#This Row],[Código Cuenta Contable]]&amp;" - "&amp;Centro_Cuenta8[[#This Row],[Nombre de Cuenta Contable]]</f>
        <v>4202009 - Gastos Viajes Y Traslados</v>
      </c>
      <c r="H3344" s="146" t="str">
        <f>+VLOOKUP(D3344,'3. Cuentas'!A:F,6,0)</f>
        <v>SI</v>
      </c>
    </row>
    <row r="3345" spans="1:8" x14ac:dyDescent="0.25">
      <c r="A3345" s="43">
        <v>70508</v>
      </c>
      <c r="B3345" t="s">
        <v>268</v>
      </c>
      <c r="C3345" s="43" t="s">
        <v>1563</v>
      </c>
      <c r="D3345" s="43">
        <v>4202010</v>
      </c>
      <c r="E3345" t="s">
        <v>87</v>
      </c>
      <c r="F3345" s="47" t="str">
        <f>+Centro_Cuenta8[[#This Row],[Codigo Centro Gestion]]&amp;" - "&amp;Centro_Cuenta8[[#This Row],[Nombre Centro Gestion]]</f>
        <v>70508 - SEGURIDAD</v>
      </c>
      <c r="G3345" s="47" t="str">
        <f>+Centro_Cuenta8[[#This Row],[Código Cuenta Contable]]&amp;" - "&amp;Centro_Cuenta8[[#This Row],[Nombre de Cuenta Contable]]</f>
        <v>4202010 - Artic. Ofic. Fotocop.Papelería</v>
      </c>
      <c r="H3345" s="146" t="str">
        <f>+VLOOKUP(D3345,'3. Cuentas'!A:F,6,0)</f>
        <v>SI</v>
      </c>
    </row>
    <row r="3346" spans="1:8" x14ac:dyDescent="0.25">
      <c r="A3346" s="43">
        <v>70508</v>
      </c>
      <c r="B3346" t="s">
        <v>268</v>
      </c>
      <c r="C3346" s="43" t="s">
        <v>1563</v>
      </c>
      <c r="D3346" s="43">
        <v>4202019</v>
      </c>
      <c r="E3346" t="s">
        <v>81</v>
      </c>
      <c r="F3346" s="47" t="str">
        <f>+Centro_Cuenta8[[#This Row],[Codigo Centro Gestion]]&amp;" - "&amp;Centro_Cuenta8[[#This Row],[Nombre Centro Gestion]]</f>
        <v>70508 - SEGURIDAD</v>
      </c>
      <c r="G3346" s="47" t="str">
        <f>+Centro_Cuenta8[[#This Row],[Código Cuenta Contable]]&amp;" - "&amp;Centro_Cuenta8[[#This Row],[Nombre de Cuenta Contable]]</f>
        <v>4202019 - Gasto General Oficina</v>
      </c>
      <c r="H3346" s="146" t="str">
        <f>+VLOOKUP(D3346,'3. Cuentas'!A:F,6,0)</f>
        <v>SI</v>
      </c>
    </row>
    <row r="3347" spans="1:8" x14ac:dyDescent="0.25">
      <c r="A3347" s="43">
        <v>70508</v>
      </c>
      <c r="B3347" t="s">
        <v>268</v>
      </c>
      <c r="C3347" s="43" t="s">
        <v>1563</v>
      </c>
      <c r="D3347" s="43">
        <v>4202023</v>
      </c>
      <c r="E3347" t="s">
        <v>82</v>
      </c>
      <c r="F3347" s="47" t="str">
        <f>+Centro_Cuenta8[[#This Row],[Codigo Centro Gestion]]&amp;" - "&amp;Centro_Cuenta8[[#This Row],[Nombre Centro Gestion]]</f>
        <v>70508 - SEGURIDAD</v>
      </c>
      <c r="G3347" s="47" t="str">
        <f>+Centro_Cuenta8[[#This Row],[Código Cuenta Contable]]&amp;" - "&amp;Centro_Cuenta8[[#This Row],[Nombre de Cuenta Contable]]</f>
        <v>4202023 - Honorarios Por Asesorías</v>
      </c>
      <c r="H3347" s="146" t="str">
        <f>+VLOOKUP(D3347,'3. Cuentas'!A:F,6,0)</f>
        <v>SI</v>
      </c>
    </row>
    <row r="3348" spans="1:8" x14ac:dyDescent="0.25">
      <c r="A3348" s="43">
        <v>70508</v>
      </c>
      <c r="B3348" t="s">
        <v>268</v>
      </c>
      <c r="C3348" s="43" t="s">
        <v>1563</v>
      </c>
      <c r="D3348" s="43">
        <v>4202029</v>
      </c>
      <c r="E3348" t="s">
        <v>83</v>
      </c>
      <c r="F3348" s="47" t="str">
        <f>+Centro_Cuenta8[[#This Row],[Codigo Centro Gestion]]&amp;" - "&amp;Centro_Cuenta8[[#This Row],[Nombre Centro Gestion]]</f>
        <v>70508 - SEGURIDAD</v>
      </c>
      <c r="G3348" s="47" t="str">
        <f>+Centro_Cuenta8[[#This Row],[Código Cuenta Contable]]&amp;" - "&amp;Centro_Cuenta8[[#This Row],[Nombre de Cuenta Contable]]</f>
        <v>4202029 - Insumos Y Gastos Informáticos</v>
      </c>
      <c r="H3348" s="146" t="str">
        <f>+VLOOKUP(D3348,'3. Cuentas'!A:F,6,0)</f>
        <v>SI</v>
      </c>
    </row>
    <row r="3349" spans="1:8" x14ac:dyDescent="0.25">
      <c r="A3349" s="43">
        <v>70509</v>
      </c>
      <c r="B3349" t="s">
        <v>269</v>
      </c>
      <c r="C3349" s="43" t="s">
        <v>1564</v>
      </c>
      <c r="D3349" s="43">
        <v>4201013</v>
      </c>
      <c r="E3349" t="s">
        <v>76</v>
      </c>
      <c r="F3349" s="47" t="str">
        <f>+Centro_Cuenta8[[#This Row],[Codigo Centro Gestion]]&amp;" - "&amp;Centro_Cuenta8[[#This Row],[Nombre Centro Gestion]]</f>
        <v>70509 - COORDINACIÓN DE PROYECTOS</v>
      </c>
      <c r="G3349" s="47" t="str">
        <f>+Centro_Cuenta8[[#This Row],[Código Cuenta Contable]]&amp;" - "&amp;Centro_Cuenta8[[#This Row],[Nombre de Cuenta Contable]]</f>
        <v>4201013 - Eventos Del Personal</v>
      </c>
      <c r="H3349" s="146" t="str">
        <f>+VLOOKUP(D3349,'3. Cuentas'!A:F,6,0)</f>
        <v>SI</v>
      </c>
    </row>
    <row r="3350" spans="1:8" x14ac:dyDescent="0.25">
      <c r="A3350" s="43">
        <v>70509</v>
      </c>
      <c r="B3350" t="s">
        <v>269</v>
      </c>
      <c r="C3350" s="43" t="s">
        <v>1564</v>
      </c>
      <c r="D3350" s="43">
        <v>4201038</v>
      </c>
      <c r="E3350" t="s">
        <v>102</v>
      </c>
      <c r="F3350" s="47" t="str">
        <f>+Centro_Cuenta8[[#This Row],[Codigo Centro Gestion]]&amp;" - "&amp;Centro_Cuenta8[[#This Row],[Nombre Centro Gestion]]</f>
        <v>70509 - COORDINACIÓN DE PROYECTOS</v>
      </c>
      <c r="G3350" s="47" t="str">
        <f>+Centro_Cuenta8[[#This Row],[Código Cuenta Contable]]&amp;" - "&amp;Centro_Cuenta8[[#This Row],[Nombre de Cuenta Contable]]</f>
        <v>4201038 - Beneficios</v>
      </c>
      <c r="H3350" s="146" t="str">
        <f>+VLOOKUP(D3350,'3. Cuentas'!A:F,6,0)</f>
        <v>SI</v>
      </c>
    </row>
    <row r="3351" spans="1:8" x14ac:dyDescent="0.25">
      <c r="A3351" s="43">
        <v>70509</v>
      </c>
      <c r="B3351" t="s">
        <v>269</v>
      </c>
      <c r="C3351" s="43" t="s">
        <v>1564</v>
      </c>
      <c r="D3351" s="43">
        <v>4202009</v>
      </c>
      <c r="E3351" t="s">
        <v>80</v>
      </c>
      <c r="F3351" s="47" t="str">
        <f>+Centro_Cuenta8[[#This Row],[Codigo Centro Gestion]]&amp;" - "&amp;Centro_Cuenta8[[#This Row],[Nombre Centro Gestion]]</f>
        <v>70509 - COORDINACIÓN DE PROYECTOS</v>
      </c>
      <c r="G3351" s="47" t="str">
        <f>+Centro_Cuenta8[[#This Row],[Código Cuenta Contable]]&amp;" - "&amp;Centro_Cuenta8[[#This Row],[Nombre de Cuenta Contable]]</f>
        <v>4202009 - Gastos Viajes Y Traslados</v>
      </c>
      <c r="H3351" s="146" t="str">
        <f>+VLOOKUP(D3351,'3. Cuentas'!A:F,6,0)</f>
        <v>SI</v>
      </c>
    </row>
    <row r="3352" spans="1:8" x14ac:dyDescent="0.25">
      <c r="A3352" s="43">
        <v>70509</v>
      </c>
      <c r="B3352" t="s">
        <v>269</v>
      </c>
      <c r="C3352" s="43" t="s">
        <v>1564</v>
      </c>
      <c r="D3352" s="43">
        <v>4202010</v>
      </c>
      <c r="E3352" t="s">
        <v>87</v>
      </c>
      <c r="F3352" s="47" t="str">
        <f>+Centro_Cuenta8[[#This Row],[Codigo Centro Gestion]]&amp;" - "&amp;Centro_Cuenta8[[#This Row],[Nombre Centro Gestion]]</f>
        <v>70509 - COORDINACIÓN DE PROYECTOS</v>
      </c>
      <c r="G3352" s="47" t="str">
        <f>+Centro_Cuenta8[[#This Row],[Código Cuenta Contable]]&amp;" - "&amp;Centro_Cuenta8[[#This Row],[Nombre de Cuenta Contable]]</f>
        <v>4202010 - Artic. Ofic. Fotocop.Papelería</v>
      </c>
      <c r="H3352" s="146" t="str">
        <f>+VLOOKUP(D3352,'3. Cuentas'!A:F,6,0)</f>
        <v>SI</v>
      </c>
    </row>
    <row r="3353" spans="1:8" x14ac:dyDescent="0.25">
      <c r="A3353" s="43">
        <v>70509</v>
      </c>
      <c r="B3353" t="s">
        <v>269</v>
      </c>
      <c r="C3353" s="43" t="s">
        <v>1564</v>
      </c>
      <c r="D3353" s="43">
        <v>4202019</v>
      </c>
      <c r="E3353" t="s">
        <v>81</v>
      </c>
      <c r="F3353" s="47" t="str">
        <f>+Centro_Cuenta8[[#This Row],[Codigo Centro Gestion]]&amp;" - "&amp;Centro_Cuenta8[[#This Row],[Nombre Centro Gestion]]</f>
        <v>70509 - COORDINACIÓN DE PROYECTOS</v>
      </c>
      <c r="G3353" s="47" t="str">
        <f>+Centro_Cuenta8[[#This Row],[Código Cuenta Contable]]&amp;" - "&amp;Centro_Cuenta8[[#This Row],[Nombre de Cuenta Contable]]</f>
        <v>4202019 - Gasto General Oficina</v>
      </c>
      <c r="H3353" s="146" t="str">
        <f>+VLOOKUP(D3353,'3. Cuentas'!A:F,6,0)</f>
        <v>SI</v>
      </c>
    </row>
    <row r="3354" spans="1:8" x14ac:dyDescent="0.25">
      <c r="A3354" s="43">
        <v>70509</v>
      </c>
      <c r="B3354" t="s">
        <v>269</v>
      </c>
      <c r="C3354" s="43" t="s">
        <v>1564</v>
      </c>
      <c r="D3354" s="43">
        <v>4202023</v>
      </c>
      <c r="E3354" t="s">
        <v>82</v>
      </c>
      <c r="F3354" s="47" t="str">
        <f>+Centro_Cuenta8[[#This Row],[Codigo Centro Gestion]]&amp;" - "&amp;Centro_Cuenta8[[#This Row],[Nombre Centro Gestion]]</f>
        <v>70509 - COORDINACIÓN DE PROYECTOS</v>
      </c>
      <c r="G3354" s="47" t="str">
        <f>+Centro_Cuenta8[[#This Row],[Código Cuenta Contable]]&amp;" - "&amp;Centro_Cuenta8[[#This Row],[Nombre de Cuenta Contable]]</f>
        <v>4202023 - Honorarios Por Asesorías</v>
      </c>
      <c r="H3354" s="146" t="str">
        <f>+VLOOKUP(D3354,'3. Cuentas'!A:F,6,0)</f>
        <v>SI</v>
      </c>
    </row>
    <row r="3355" spans="1:8" x14ac:dyDescent="0.25">
      <c r="A3355" s="43">
        <v>70509</v>
      </c>
      <c r="B3355" t="s">
        <v>269</v>
      </c>
      <c r="C3355" s="43" t="s">
        <v>1564</v>
      </c>
      <c r="D3355" s="43">
        <v>4202029</v>
      </c>
      <c r="E3355" t="s">
        <v>83</v>
      </c>
      <c r="F3355" s="47" t="str">
        <f>+Centro_Cuenta8[[#This Row],[Codigo Centro Gestion]]&amp;" - "&amp;Centro_Cuenta8[[#This Row],[Nombre Centro Gestion]]</f>
        <v>70509 - COORDINACIÓN DE PROYECTOS</v>
      </c>
      <c r="G3355" s="47" t="str">
        <f>+Centro_Cuenta8[[#This Row],[Código Cuenta Contable]]&amp;" - "&amp;Centro_Cuenta8[[#This Row],[Nombre de Cuenta Contable]]</f>
        <v>4202029 - Insumos Y Gastos Informáticos</v>
      </c>
      <c r="H3355" s="146" t="str">
        <f>+VLOOKUP(D3355,'3. Cuentas'!A:F,6,0)</f>
        <v>SI</v>
      </c>
    </row>
    <row r="3356" spans="1:8" x14ac:dyDescent="0.25">
      <c r="A3356" s="43">
        <v>70510</v>
      </c>
      <c r="B3356" t="s">
        <v>270</v>
      </c>
      <c r="C3356" s="43" t="s">
        <v>1565</v>
      </c>
      <c r="D3356" s="43">
        <v>4202009</v>
      </c>
      <c r="E3356" t="s">
        <v>80</v>
      </c>
      <c r="F3356" s="47" t="str">
        <f>+Centro_Cuenta8[[#This Row],[Codigo Centro Gestion]]&amp;" - "&amp;Centro_Cuenta8[[#This Row],[Nombre Centro Gestion]]</f>
        <v>70510 - DEPTO TÉCNICO NORTE 1</v>
      </c>
      <c r="G3356" s="47" t="str">
        <f>+Centro_Cuenta8[[#This Row],[Código Cuenta Contable]]&amp;" - "&amp;Centro_Cuenta8[[#This Row],[Nombre de Cuenta Contable]]</f>
        <v>4202009 - Gastos Viajes Y Traslados</v>
      </c>
      <c r="H3356" s="146" t="str">
        <f>+VLOOKUP(D3356,'3. Cuentas'!A:F,6,0)</f>
        <v>SI</v>
      </c>
    </row>
    <row r="3357" spans="1:8" x14ac:dyDescent="0.25">
      <c r="A3357" s="43">
        <v>70510</v>
      </c>
      <c r="B3357" t="s">
        <v>270</v>
      </c>
      <c r="C3357" s="43" t="s">
        <v>1565</v>
      </c>
      <c r="D3357" s="43">
        <v>4202029</v>
      </c>
      <c r="E3357" t="s">
        <v>83</v>
      </c>
      <c r="F3357" s="47" t="str">
        <f>+Centro_Cuenta8[[#This Row],[Codigo Centro Gestion]]&amp;" - "&amp;Centro_Cuenta8[[#This Row],[Nombre Centro Gestion]]</f>
        <v>70510 - DEPTO TÉCNICO NORTE 1</v>
      </c>
      <c r="G3357" s="47" t="str">
        <f>+Centro_Cuenta8[[#This Row],[Código Cuenta Contable]]&amp;" - "&amp;Centro_Cuenta8[[#This Row],[Nombre de Cuenta Contable]]</f>
        <v>4202029 - Insumos Y Gastos Informáticos</v>
      </c>
      <c r="H3357" s="146" t="str">
        <f>+VLOOKUP(D3357,'3. Cuentas'!A:F,6,0)</f>
        <v>SI</v>
      </c>
    </row>
    <row r="3358" spans="1:8" x14ac:dyDescent="0.25">
      <c r="A3358" s="43">
        <v>70511</v>
      </c>
      <c r="B3358" t="s">
        <v>271</v>
      </c>
      <c r="C3358" s="43" t="s">
        <v>1566</v>
      </c>
      <c r="D3358" s="43">
        <v>4202009</v>
      </c>
      <c r="E3358" t="s">
        <v>80</v>
      </c>
      <c r="F3358" s="47" t="str">
        <f>+Centro_Cuenta8[[#This Row],[Codigo Centro Gestion]]&amp;" - "&amp;Centro_Cuenta8[[#This Row],[Nombre Centro Gestion]]</f>
        <v>70511 - DEPTO TÉCNICO NORTE 2</v>
      </c>
      <c r="G3358" s="47" t="str">
        <f>+Centro_Cuenta8[[#This Row],[Código Cuenta Contable]]&amp;" - "&amp;Centro_Cuenta8[[#This Row],[Nombre de Cuenta Contable]]</f>
        <v>4202009 - Gastos Viajes Y Traslados</v>
      </c>
      <c r="H3358" s="146" t="str">
        <f>+VLOOKUP(D3358,'3. Cuentas'!A:F,6,0)</f>
        <v>SI</v>
      </c>
    </row>
    <row r="3359" spans="1:8" x14ac:dyDescent="0.25">
      <c r="A3359" s="43">
        <v>70511</v>
      </c>
      <c r="B3359" t="s">
        <v>271</v>
      </c>
      <c r="C3359" s="43" t="s">
        <v>1566</v>
      </c>
      <c r="D3359" s="43">
        <v>4202029</v>
      </c>
      <c r="E3359" t="s">
        <v>83</v>
      </c>
      <c r="F3359" s="47" t="str">
        <f>+Centro_Cuenta8[[#This Row],[Codigo Centro Gestion]]&amp;" - "&amp;Centro_Cuenta8[[#This Row],[Nombre Centro Gestion]]</f>
        <v>70511 - DEPTO TÉCNICO NORTE 2</v>
      </c>
      <c r="G3359" s="47" t="str">
        <f>+Centro_Cuenta8[[#This Row],[Código Cuenta Contable]]&amp;" - "&amp;Centro_Cuenta8[[#This Row],[Nombre de Cuenta Contable]]</f>
        <v>4202029 - Insumos Y Gastos Informáticos</v>
      </c>
      <c r="H3359" s="146" t="str">
        <f>+VLOOKUP(D3359,'3. Cuentas'!A:F,6,0)</f>
        <v>SI</v>
      </c>
    </row>
    <row r="3360" spans="1:8" x14ac:dyDescent="0.25">
      <c r="A3360" s="43">
        <v>70512</v>
      </c>
      <c r="B3360" t="s">
        <v>272</v>
      </c>
      <c r="C3360" s="43" t="s">
        <v>1567</v>
      </c>
      <c r="D3360" s="43">
        <v>4202009</v>
      </c>
      <c r="E3360" t="s">
        <v>80</v>
      </c>
      <c r="F3360" s="47" t="str">
        <f>+Centro_Cuenta8[[#This Row],[Codigo Centro Gestion]]&amp;" - "&amp;Centro_Cuenta8[[#This Row],[Nombre Centro Gestion]]</f>
        <v>70512 - DEPTO TÉCNICO ZC 1</v>
      </c>
      <c r="G3360" s="47" t="str">
        <f>+Centro_Cuenta8[[#This Row],[Código Cuenta Contable]]&amp;" - "&amp;Centro_Cuenta8[[#This Row],[Nombre de Cuenta Contable]]</f>
        <v>4202009 - Gastos Viajes Y Traslados</v>
      </c>
      <c r="H3360" s="146" t="str">
        <f>+VLOOKUP(D3360,'3. Cuentas'!A:F,6,0)</f>
        <v>SI</v>
      </c>
    </row>
    <row r="3361" spans="1:8" x14ac:dyDescent="0.25">
      <c r="A3361" s="43">
        <v>70512</v>
      </c>
      <c r="B3361" t="s">
        <v>272</v>
      </c>
      <c r="C3361" s="43" t="s">
        <v>1567</v>
      </c>
      <c r="D3361" s="43">
        <v>4202029</v>
      </c>
      <c r="E3361" t="s">
        <v>83</v>
      </c>
      <c r="F3361" s="47" t="str">
        <f>+Centro_Cuenta8[[#This Row],[Codigo Centro Gestion]]&amp;" - "&amp;Centro_Cuenta8[[#This Row],[Nombre Centro Gestion]]</f>
        <v>70512 - DEPTO TÉCNICO ZC 1</v>
      </c>
      <c r="G3361" s="47" t="str">
        <f>+Centro_Cuenta8[[#This Row],[Código Cuenta Contable]]&amp;" - "&amp;Centro_Cuenta8[[#This Row],[Nombre de Cuenta Contable]]</f>
        <v>4202029 - Insumos Y Gastos Informáticos</v>
      </c>
      <c r="H3361" s="146" t="str">
        <f>+VLOOKUP(D3361,'3. Cuentas'!A:F,6,0)</f>
        <v>SI</v>
      </c>
    </row>
    <row r="3362" spans="1:8" x14ac:dyDescent="0.25">
      <c r="A3362" s="43">
        <v>70513</v>
      </c>
      <c r="B3362" t="s">
        <v>273</v>
      </c>
      <c r="C3362" s="43" t="s">
        <v>1567</v>
      </c>
      <c r="D3362" s="43">
        <v>4202009</v>
      </c>
      <c r="E3362" t="s">
        <v>80</v>
      </c>
      <c r="F3362" s="47" t="str">
        <f>+Centro_Cuenta8[[#This Row],[Codigo Centro Gestion]]&amp;" - "&amp;Centro_Cuenta8[[#This Row],[Nombre Centro Gestion]]</f>
        <v>70513 - DEPTO TÉCNICO ZC 2</v>
      </c>
      <c r="G3362" s="47" t="str">
        <f>+Centro_Cuenta8[[#This Row],[Código Cuenta Contable]]&amp;" - "&amp;Centro_Cuenta8[[#This Row],[Nombre de Cuenta Contable]]</f>
        <v>4202009 - Gastos Viajes Y Traslados</v>
      </c>
      <c r="H3362" s="146" t="str">
        <f>+VLOOKUP(D3362,'3. Cuentas'!A:F,6,0)</f>
        <v>SI</v>
      </c>
    </row>
    <row r="3363" spans="1:8" x14ac:dyDescent="0.25">
      <c r="A3363" s="43">
        <v>70513</v>
      </c>
      <c r="B3363" t="s">
        <v>273</v>
      </c>
      <c r="C3363" s="43" t="s">
        <v>1567</v>
      </c>
      <c r="D3363" s="43">
        <v>4202029</v>
      </c>
      <c r="E3363" t="s">
        <v>83</v>
      </c>
      <c r="F3363" s="47" t="str">
        <f>+Centro_Cuenta8[[#This Row],[Codigo Centro Gestion]]&amp;" - "&amp;Centro_Cuenta8[[#This Row],[Nombre Centro Gestion]]</f>
        <v>70513 - DEPTO TÉCNICO ZC 2</v>
      </c>
      <c r="G3363" s="47" t="str">
        <f>+Centro_Cuenta8[[#This Row],[Código Cuenta Contable]]&amp;" - "&amp;Centro_Cuenta8[[#This Row],[Nombre de Cuenta Contable]]</f>
        <v>4202029 - Insumos Y Gastos Informáticos</v>
      </c>
      <c r="H3363" s="146" t="str">
        <f>+VLOOKUP(D3363,'3. Cuentas'!A:F,6,0)</f>
        <v>SI</v>
      </c>
    </row>
    <row r="3364" spans="1:8" x14ac:dyDescent="0.25">
      <c r="A3364" s="43">
        <v>70514</v>
      </c>
      <c r="B3364" t="s">
        <v>274</v>
      </c>
      <c r="C3364" s="43" t="s">
        <v>1568</v>
      </c>
      <c r="D3364" s="43">
        <v>4202009</v>
      </c>
      <c r="E3364" t="s">
        <v>80</v>
      </c>
      <c r="F3364" s="47" t="str">
        <f>+Centro_Cuenta8[[#This Row],[Codigo Centro Gestion]]&amp;" - "&amp;Centro_Cuenta8[[#This Row],[Nombre Centro Gestion]]</f>
        <v>70514 - DEPTO TÉCNICO V REGIÓN</v>
      </c>
      <c r="G3364" s="47" t="str">
        <f>+Centro_Cuenta8[[#This Row],[Código Cuenta Contable]]&amp;" - "&amp;Centro_Cuenta8[[#This Row],[Nombre de Cuenta Contable]]</f>
        <v>4202009 - Gastos Viajes Y Traslados</v>
      </c>
      <c r="H3364" s="146" t="str">
        <f>+VLOOKUP(D3364,'3. Cuentas'!A:F,6,0)</f>
        <v>SI</v>
      </c>
    </row>
    <row r="3365" spans="1:8" x14ac:dyDescent="0.25">
      <c r="A3365" s="43">
        <v>70514</v>
      </c>
      <c r="B3365" t="s">
        <v>274</v>
      </c>
      <c r="C3365" s="43" t="s">
        <v>1568</v>
      </c>
      <c r="D3365" s="43">
        <v>4202029</v>
      </c>
      <c r="E3365" t="s">
        <v>83</v>
      </c>
      <c r="F3365" s="47" t="str">
        <f>+Centro_Cuenta8[[#This Row],[Codigo Centro Gestion]]&amp;" - "&amp;Centro_Cuenta8[[#This Row],[Nombre Centro Gestion]]</f>
        <v>70514 - DEPTO TÉCNICO V REGIÓN</v>
      </c>
      <c r="G3365" s="47" t="str">
        <f>+Centro_Cuenta8[[#This Row],[Código Cuenta Contable]]&amp;" - "&amp;Centro_Cuenta8[[#This Row],[Nombre de Cuenta Contable]]</f>
        <v>4202029 - Insumos Y Gastos Informáticos</v>
      </c>
      <c r="H3365" s="146" t="str">
        <f>+VLOOKUP(D3365,'3. Cuentas'!A:F,6,0)</f>
        <v>SI</v>
      </c>
    </row>
    <row r="3366" spans="1:8" x14ac:dyDescent="0.25">
      <c r="A3366" s="43">
        <v>70517</v>
      </c>
      <c r="B3366" t="s">
        <v>203</v>
      </c>
      <c r="C3366" s="43" t="s">
        <v>1569</v>
      </c>
      <c r="D3366" s="43">
        <v>4202009</v>
      </c>
      <c r="E3366" t="s">
        <v>80</v>
      </c>
      <c r="F3366" s="47" t="str">
        <f>+Centro_Cuenta8[[#This Row],[Codigo Centro Gestion]]&amp;" - "&amp;Centro_Cuenta8[[#This Row],[Nombre Centro Gestion]]</f>
        <v>70517 - DEPTO.TÉCNICO NORTE 3</v>
      </c>
      <c r="G3366" s="47" t="str">
        <f>+Centro_Cuenta8[[#This Row],[Código Cuenta Contable]]&amp;" - "&amp;Centro_Cuenta8[[#This Row],[Nombre de Cuenta Contable]]</f>
        <v>4202009 - Gastos Viajes Y Traslados</v>
      </c>
      <c r="H3366" s="146" t="str">
        <f>+VLOOKUP(D3366,'3. Cuentas'!A:F,6,0)</f>
        <v>SI</v>
      </c>
    </row>
    <row r="3367" spans="1:8" x14ac:dyDescent="0.25">
      <c r="A3367" s="43">
        <v>70517</v>
      </c>
      <c r="B3367" t="s">
        <v>203</v>
      </c>
      <c r="C3367" s="43" t="s">
        <v>1569</v>
      </c>
      <c r="D3367" s="43">
        <v>4202029</v>
      </c>
      <c r="E3367" t="s">
        <v>83</v>
      </c>
      <c r="F3367" s="47" t="str">
        <f>+Centro_Cuenta8[[#This Row],[Codigo Centro Gestion]]&amp;" - "&amp;Centro_Cuenta8[[#This Row],[Nombre Centro Gestion]]</f>
        <v>70517 - DEPTO.TÉCNICO NORTE 3</v>
      </c>
      <c r="G3367" s="47" t="str">
        <f>+Centro_Cuenta8[[#This Row],[Código Cuenta Contable]]&amp;" - "&amp;Centro_Cuenta8[[#This Row],[Nombre de Cuenta Contable]]</f>
        <v>4202029 - Insumos Y Gastos Informáticos</v>
      </c>
      <c r="H3367" s="146" t="str">
        <f>+VLOOKUP(D3367,'3. Cuentas'!A:F,6,0)</f>
        <v>SI</v>
      </c>
    </row>
    <row r="3368" spans="1:8" x14ac:dyDescent="0.25">
      <c r="A3368" s="43">
        <v>70601</v>
      </c>
      <c r="B3368" t="s">
        <v>276</v>
      </c>
      <c r="C3368" s="43" t="s">
        <v>1570</v>
      </c>
      <c r="D3368" s="43">
        <v>4201013</v>
      </c>
      <c r="E3368" t="s">
        <v>76</v>
      </c>
      <c r="F3368" s="47" t="str">
        <f>+Centro_Cuenta8[[#This Row],[Codigo Centro Gestion]]&amp;" - "&amp;Centro_Cuenta8[[#This Row],[Nombre Centro Gestion]]</f>
        <v>70601 - GERENCIA CONSTRUCCIÓN</v>
      </c>
      <c r="G3368" s="47" t="str">
        <f>+Centro_Cuenta8[[#This Row],[Código Cuenta Contable]]&amp;" - "&amp;Centro_Cuenta8[[#This Row],[Nombre de Cuenta Contable]]</f>
        <v>4201013 - Eventos Del Personal</v>
      </c>
      <c r="H3368" s="146" t="str">
        <f>+VLOOKUP(D3368,'3. Cuentas'!A:F,6,0)</f>
        <v>SI</v>
      </c>
    </row>
    <row r="3369" spans="1:8" x14ac:dyDescent="0.25">
      <c r="A3369" s="43">
        <v>70601</v>
      </c>
      <c r="B3369" t="s">
        <v>276</v>
      </c>
      <c r="C3369" s="43" t="s">
        <v>1570</v>
      </c>
      <c r="D3369" s="43">
        <v>4201038</v>
      </c>
      <c r="E3369" t="s">
        <v>102</v>
      </c>
      <c r="F3369" s="47" t="str">
        <f>+Centro_Cuenta8[[#This Row],[Codigo Centro Gestion]]&amp;" - "&amp;Centro_Cuenta8[[#This Row],[Nombre Centro Gestion]]</f>
        <v>70601 - GERENCIA CONSTRUCCIÓN</v>
      </c>
      <c r="G3369" s="47" t="str">
        <f>+Centro_Cuenta8[[#This Row],[Código Cuenta Contable]]&amp;" - "&amp;Centro_Cuenta8[[#This Row],[Nombre de Cuenta Contable]]</f>
        <v>4201038 - Beneficios</v>
      </c>
      <c r="H3369" s="146" t="str">
        <f>+VLOOKUP(D3369,'3. Cuentas'!A:F,6,0)</f>
        <v>SI</v>
      </c>
    </row>
    <row r="3370" spans="1:8" x14ac:dyDescent="0.25">
      <c r="A3370" s="43">
        <v>70601</v>
      </c>
      <c r="B3370" t="s">
        <v>276</v>
      </c>
      <c r="C3370" s="43" t="s">
        <v>1570</v>
      </c>
      <c r="D3370" s="43">
        <v>4202006</v>
      </c>
      <c r="E3370" t="s">
        <v>86</v>
      </c>
      <c r="F3370" s="47" t="str">
        <f>+Centro_Cuenta8[[#This Row],[Codigo Centro Gestion]]&amp;" - "&amp;Centro_Cuenta8[[#This Row],[Nombre Centro Gestion]]</f>
        <v>70601 - GERENCIA CONSTRUCCIÓN</v>
      </c>
      <c r="G3370" s="47" t="str">
        <f>+Centro_Cuenta8[[#This Row],[Código Cuenta Contable]]&amp;" - "&amp;Centro_Cuenta8[[#This Row],[Nombre de Cuenta Contable]]</f>
        <v>4202006 - Gastos Legales Y Notariales OF Central</v>
      </c>
      <c r="H3370" s="146" t="str">
        <f>+VLOOKUP(D3370,'3. Cuentas'!A:F,6,0)</f>
        <v>SI</v>
      </c>
    </row>
    <row r="3371" spans="1:8" x14ac:dyDescent="0.25">
      <c r="A3371" s="43">
        <v>70601</v>
      </c>
      <c r="B3371" t="s">
        <v>276</v>
      </c>
      <c r="C3371" s="43" t="s">
        <v>1570</v>
      </c>
      <c r="D3371" s="43">
        <v>4202009</v>
      </c>
      <c r="E3371" t="s">
        <v>80</v>
      </c>
      <c r="F3371" s="47" t="str">
        <f>+Centro_Cuenta8[[#This Row],[Codigo Centro Gestion]]&amp;" - "&amp;Centro_Cuenta8[[#This Row],[Nombre Centro Gestion]]</f>
        <v>70601 - GERENCIA CONSTRUCCIÓN</v>
      </c>
      <c r="G3371" s="47" t="str">
        <f>+Centro_Cuenta8[[#This Row],[Código Cuenta Contable]]&amp;" - "&amp;Centro_Cuenta8[[#This Row],[Nombre de Cuenta Contable]]</f>
        <v>4202009 - Gastos Viajes Y Traslados</v>
      </c>
      <c r="H3371" s="146" t="str">
        <f>+VLOOKUP(D3371,'3. Cuentas'!A:F,6,0)</f>
        <v>SI</v>
      </c>
    </row>
    <row r="3372" spans="1:8" x14ac:dyDescent="0.25">
      <c r="A3372" s="43">
        <v>70601</v>
      </c>
      <c r="B3372" t="s">
        <v>276</v>
      </c>
      <c r="C3372" s="43" t="s">
        <v>1570</v>
      </c>
      <c r="D3372" s="43">
        <v>4202010</v>
      </c>
      <c r="E3372" t="s">
        <v>87</v>
      </c>
      <c r="F3372" s="47" t="str">
        <f>+Centro_Cuenta8[[#This Row],[Codigo Centro Gestion]]&amp;" - "&amp;Centro_Cuenta8[[#This Row],[Nombre Centro Gestion]]</f>
        <v>70601 - GERENCIA CONSTRUCCIÓN</v>
      </c>
      <c r="G3372" s="47" t="str">
        <f>+Centro_Cuenta8[[#This Row],[Código Cuenta Contable]]&amp;" - "&amp;Centro_Cuenta8[[#This Row],[Nombre de Cuenta Contable]]</f>
        <v>4202010 - Artic. Ofic. Fotocop.Papelería</v>
      </c>
      <c r="H3372" s="146" t="str">
        <f>+VLOOKUP(D3372,'3. Cuentas'!A:F,6,0)</f>
        <v>SI</v>
      </c>
    </row>
    <row r="3373" spans="1:8" x14ac:dyDescent="0.25">
      <c r="A3373" s="43">
        <v>70601</v>
      </c>
      <c r="B3373" t="s">
        <v>276</v>
      </c>
      <c r="C3373" s="43" t="s">
        <v>1570</v>
      </c>
      <c r="D3373" s="43">
        <v>4202019</v>
      </c>
      <c r="E3373" t="s">
        <v>81</v>
      </c>
      <c r="F3373" s="47" t="str">
        <f>+Centro_Cuenta8[[#This Row],[Codigo Centro Gestion]]&amp;" - "&amp;Centro_Cuenta8[[#This Row],[Nombre Centro Gestion]]</f>
        <v>70601 - GERENCIA CONSTRUCCIÓN</v>
      </c>
      <c r="G3373" s="47" t="str">
        <f>+Centro_Cuenta8[[#This Row],[Código Cuenta Contable]]&amp;" - "&amp;Centro_Cuenta8[[#This Row],[Nombre de Cuenta Contable]]</f>
        <v>4202019 - Gasto General Oficina</v>
      </c>
      <c r="H3373" s="146" t="str">
        <f>+VLOOKUP(D3373,'3. Cuentas'!A:F,6,0)</f>
        <v>SI</v>
      </c>
    </row>
    <row r="3374" spans="1:8" x14ac:dyDescent="0.25">
      <c r="A3374" s="43">
        <v>70601</v>
      </c>
      <c r="B3374" t="s">
        <v>276</v>
      </c>
      <c r="C3374" s="43" t="s">
        <v>1570</v>
      </c>
      <c r="D3374" s="43">
        <v>4202023</v>
      </c>
      <c r="E3374" t="s">
        <v>82</v>
      </c>
      <c r="F3374" s="47" t="str">
        <f>+Centro_Cuenta8[[#This Row],[Codigo Centro Gestion]]&amp;" - "&amp;Centro_Cuenta8[[#This Row],[Nombre Centro Gestion]]</f>
        <v>70601 - GERENCIA CONSTRUCCIÓN</v>
      </c>
      <c r="G3374" s="47" t="str">
        <f>+Centro_Cuenta8[[#This Row],[Código Cuenta Contable]]&amp;" - "&amp;Centro_Cuenta8[[#This Row],[Nombre de Cuenta Contable]]</f>
        <v>4202023 - Honorarios Por Asesorías</v>
      </c>
      <c r="H3374" s="146" t="str">
        <f>+VLOOKUP(D3374,'3. Cuentas'!A:F,6,0)</f>
        <v>SI</v>
      </c>
    </row>
    <row r="3375" spans="1:8" x14ac:dyDescent="0.25">
      <c r="A3375" s="43">
        <v>70601</v>
      </c>
      <c r="B3375" t="s">
        <v>276</v>
      </c>
      <c r="C3375" s="43" t="s">
        <v>1570</v>
      </c>
      <c r="D3375" s="43">
        <v>4202029</v>
      </c>
      <c r="E3375" t="s">
        <v>83</v>
      </c>
      <c r="F3375" s="47" t="str">
        <f>+Centro_Cuenta8[[#This Row],[Codigo Centro Gestion]]&amp;" - "&amp;Centro_Cuenta8[[#This Row],[Nombre Centro Gestion]]</f>
        <v>70601 - GERENCIA CONSTRUCCIÓN</v>
      </c>
      <c r="G3375" s="47" t="str">
        <f>+Centro_Cuenta8[[#This Row],[Código Cuenta Contable]]&amp;" - "&amp;Centro_Cuenta8[[#This Row],[Nombre de Cuenta Contable]]</f>
        <v>4202029 - Insumos Y Gastos Informáticos</v>
      </c>
      <c r="H3375" s="146" t="str">
        <f>+VLOOKUP(D3375,'3. Cuentas'!A:F,6,0)</f>
        <v>SI</v>
      </c>
    </row>
    <row r="3376" spans="1:8" x14ac:dyDescent="0.25">
      <c r="A3376" s="43">
        <v>70800</v>
      </c>
      <c r="B3376" t="s">
        <v>277</v>
      </c>
      <c r="C3376" s="43" t="s">
        <v>1500</v>
      </c>
      <c r="D3376" s="43">
        <v>4105001</v>
      </c>
      <c r="E3376" t="s">
        <v>70</v>
      </c>
      <c r="F3376" s="47" t="str">
        <f>+Centro_Cuenta8[[#This Row],[Codigo Centro Gestion]]&amp;" - "&amp;Centro_Cuenta8[[#This Row],[Nombre Centro Gestion]]</f>
        <v>70800 - REMODELACIÓN OFICINA CENTRAL</v>
      </c>
      <c r="G3376" s="47" t="str">
        <f>+Centro_Cuenta8[[#This Row],[Código Cuenta Contable]]&amp;" - "&amp;Centro_Cuenta8[[#This Row],[Nombre de Cuenta Contable]]</f>
        <v>4105001 - Costos Generales de Obra</v>
      </c>
      <c r="H3376" s="146" t="str">
        <f>+VLOOKUP(D3376,'3. Cuentas'!A:F,6,0)</f>
        <v>SI</v>
      </c>
    </row>
    <row r="3377" spans="1:8" x14ac:dyDescent="0.25">
      <c r="A3377" s="43">
        <v>70903</v>
      </c>
      <c r="B3377" t="s">
        <v>278</v>
      </c>
      <c r="C3377" s="43" t="s">
        <v>1500</v>
      </c>
      <c r="D3377" s="43">
        <v>4105001</v>
      </c>
      <c r="E3377" t="s">
        <v>70</v>
      </c>
      <c r="F3377" s="47" t="str">
        <f>+Centro_Cuenta8[[#This Row],[Codigo Centro Gestion]]&amp;" - "&amp;Centro_Cuenta8[[#This Row],[Nombre Centro Gestion]]</f>
        <v>70903 - REMODELACIÓN OFICINA</v>
      </c>
      <c r="G3377" s="47" t="str">
        <f>+Centro_Cuenta8[[#This Row],[Código Cuenta Contable]]&amp;" - "&amp;Centro_Cuenta8[[#This Row],[Nombre de Cuenta Contable]]</f>
        <v>4105001 - Costos Generales de Obra</v>
      </c>
      <c r="H3377" s="146" t="str">
        <f>+VLOOKUP(D3377,'3. Cuentas'!A:F,6,0)</f>
        <v>SI</v>
      </c>
    </row>
    <row r="3378" spans="1:8" x14ac:dyDescent="0.25">
      <c r="A3378" s="43">
        <v>70904</v>
      </c>
      <c r="B3378" t="s">
        <v>279</v>
      </c>
      <c r="C3378" s="43" t="s">
        <v>1571</v>
      </c>
      <c r="D3378" s="43">
        <v>4201013</v>
      </c>
      <c r="E3378" t="s">
        <v>76</v>
      </c>
      <c r="F3378" s="47" t="str">
        <f>+Centro_Cuenta8[[#This Row],[Codigo Centro Gestion]]&amp;" - "&amp;Centro_Cuenta8[[#This Row],[Nombre Centro Gestion]]</f>
        <v>70904 - COMERCIAL</v>
      </c>
      <c r="G3378" s="47" t="str">
        <f>+Centro_Cuenta8[[#This Row],[Código Cuenta Contable]]&amp;" - "&amp;Centro_Cuenta8[[#This Row],[Nombre de Cuenta Contable]]</f>
        <v>4201013 - Eventos Del Personal</v>
      </c>
      <c r="H3378" s="146" t="str">
        <f>+VLOOKUP(D3378,'3. Cuentas'!A:F,6,0)</f>
        <v>SI</v>
      </c>
    </row>
    <row r="3379" spans="1:8" x14ac:dyDescent="0.25">
      <c r="A3379" s="43">
        <v>70904</v>
      </c>
      <c r="B3379" t="s">
        <v>279</v>
      </c>
      <c r="C3379" s="43" t="s">
        <v>1571</v>
      </c>
      <c r="D3379" s="43">
        <v>4201038</v>
      </c>
      <c r="E3379" t="s">
        <v>102</v>
      </c>
      <c r="F3379" s="47" t="str">
        <f>+Centro_Cuenta8[[#This Row],[Codigo Centro Gestion]]&amp;" - "&amp;Centro_Cuenta8[[#This Row],[Nombre Centro Gestion]]</f>
        <v>70904 - COMERCIAL</v>
      </c>
      <c r="G3379" s="47" t="str">
        <f>+Centro_Cuenta8[[#This Row],[Código Cuenta Contable]]&amp;" - "&amp;Centro_Cuenta8[[#This Row],[Nombre de Cuenta Contable]]</f>
        <v>4201038 - Beneficios</v>
      </c>
      <c r="H3379" s="146" t="str">
        <f>+VLOOKUP(D3379,'3. Cuentas'!A:F,6,0)</f>
        <v>SI</v>
      </c>
    </row>
    <row r="3380" spans="1:8" x14ac:dyDescent="0.25">
      <c r="A3380" s="43">
        <v>70904</v>
      </c>
      <c r="B3380" t="s">
        <v>279</v>
      </c>
      <c r="C3380" s="43" t="s">
        <v>1571</v>
      </c>
      <c r="D3380" s="43">
        <v>4202009</v>
      </c>
      <c r="E3380" t="s">
        <v>80</v>
      </c>
      <c r="F3380" s="47" t="str">
        <f>+Centro_Cuenta8[[#This Row],[Codigo Centro Gestion]]&amp;" - "&amp;Centro_Cuenta8[[#This Row],[Nombre Centro Gestion]]</f>
        <v>70904 - COMERCIAL</v>
      </c>
      <c r="G3380" s="47" t="str">
        <f>+Centro_Cuenta8[[#This Row],[Código Cuenta Contable]]&amp;" - "&amp;Centro_Cuenta8[[#This Row],[Nombre de Cuenta Contable]]</f>
        <v>4202009 - Gastos Viajes Y Traslados</v>
      </c>
      <c r="H3380" s="146" t="str">
        <f>+VLOOKUP(D3380,'3. Cuentas'!A:F,6,0)</f>
        <v>SI</v>
      </c>
    </row>
    <row r="3381" spans="1:8" x14ac:dyDescent="0.25">
      <c r="A3381" s="43">
        <v>70904</v>
      </c>
      <c r="B3381" t="s">
        <v>279</v>
      </c>
      <c r="C3381" s="43" t="s">
        <v>1571</v>
      </c>
      <c r="D3381" s="43">
        <v>4202010</v>
      </c>
      <c r="E3381" t="s">
        <v>87</v>
      </c>
      <c r="F3381" s="47" t="str">
        <f>+Centro_Cuenta8[[#This Row],[Codigo Centro Gestion]]&amp;" - "&amp;Centro_Cuenta8[[#This Row],[Nombre Centro Gestion]]</f>
        <v>70904 - COMERCIAL</v>
      </c>
      <c r="G3381" s="47" t="str">
        <f>+Centro_Cuenta8[[#This Row],[Código Cuenta Contable]]&amp;" - "&amp;Centro_Cuenta8[[#This Row],[Nombre de Cuenta Contable]]</f>
        <v>4202010 - Artic. Ofic. Fotocop.Papelería</v>
      </c>
      <c r="H3381" s="146" t="str">
        <f>+VLOOKUP(D3381,'3. Cuentas'!A:F,6,0)</f>
        <v>SI</v>
      </c>
    </row>
    <row r="3382" spans="1:8" x14ac:dyDescent="0.25">
      <c r="A3382" s="43">
        <v>70904</v>
      </c>
      <c r="B3382" t="s">
        <v>279</v>
      </c>
      <c r="C3382" s="43" t="s">
        <v>1571</v>
      </c>
      <c r="D3382" s="43">
        <v>4202019</v>
      </c>
      <c r="E3382" t="s">
        <v>81</v>
      </c>
      <c r="F3382" s="47" t="str">
        <f>+Centro_Cuenta8[[#This Row],[Codigo Centro Gestion]]&amp;" - "&amp;Centro_Cuenta8[[#This Row],[Nombre Centro Gestion]]</f>
        <v>70904 - COMERCIAL</v>
      </c>
      <c r="G3382" s="47" t="str">
        <f>+Centro_Cuenta8[[#This Row],[Código Cuenta Contable]]&amp;" - "&amp;Centro_Cuenta8[[#This Row],[Nombre de Cuenta Contable]]</f>
        <v>4202019 - Gasto General Oficina</v>
      </c>
      <c r="H3382" s="146" t="str">
        <f>+VLOOKUP(D3382,'3. Cuentas'!A:F,6,0)</f>
        <v>SI</v>
      </c>
    </row>
    <row r="3383" spans="1:8" x14ac:dyDescent="0.25">
      <c r="A3383" s="43">
        <v>70904</v>
      </c>
      <c r="B3383" t="s">
        <v>279</v>
      </c>
      <c r="C3383" s="43" t="s">
        <v>1571</v>
      </c>
      <c r="D3383" s="43">
        <v>4202023</v>
      </c>
      <c r="E3383" t="s">
        <v>82</v>
      </c>
      <c r="F3383" s="47" t="str">
        <f>+Centro_Cuenta8[[#This Row],[Codigo Centro Gestion]]&amp;" - "&amp;Centro_Cuenta8[[#This Row],[Nombre Centro Gestion]]</f>
        <v>70904 - COMERCIAL</v>
      </c>
      <c r="G3383" s="47" t="str">
        <f>+Centro_Cuenta8[[#This Row],[Código Cuenta Contable]]&amp;" - "&amp;Centro_Cuenta8[[#This Row],[Nombre de Cuenta Contable]]</f>
        <v>4202023 - Honorarios Por Asesorías</v>
      </c>
      <c r="H3383" s="146" t="str">
        <f>+VLOOKUP(D3383,'3. Cuentas'!A:F,6,0)</f>
        <v>SI</v>
      </c>
    </row>
    <row r="3384" spans="1:8" x14ac:dyDescent="0.25">
      <c r="A3384" s="43">
        <v>70904</v>
      </c>
      <c r="B3384" t="s">
        <v>279</v>
      </c>
      <c r="C3384" s="43" t="s">
        <v>1571</v>
      </c>
      <c r="D3384" s="43">
        <v>4202029</v>
      </c>
      <c r="E3384" t="s">
        <v>83</v>
      </c>
      <c r="F3384" s="47" t="str">
        <f>+Centro_Cuenta8[[#This Row],[Codigo Centro Gestion]]&amp;" - "&amp;Centro_Cuenta8[[#This Row],[Nombre Centro Gestion]]</f>
        <v>70904 - COMERCIAL</v>
      </c>
      <c r="G3384" s="47" t="str">
        <f>+Centro_Cuenta8[[#This Row],[Código Cuenta Contable]]&amp;" - "&amp;Centro_Cuenta8[[#This Row],[Nombre de Cuenta Contable]]</f>
        <v>4202029 - Insumos Y Gastos Informáticos</v>
      </c>
      <c r="H3384" s="146" t="str">
        <f>+VLOOKUP(D3384,'3. Cuentas'!A:F,6,0)</f>
        <v>SI</v>
      </c>
    </row>
    <row r="3385" spans="1:8" x14ac:dyDescent="0.25">
      <c r="A3385" s="43">
        <v>70907</v>
      </c>
      <c r="B3385" t="s">
        <v>280</v>
      </c>
      <c r="C3385" s="43" t="s">
        <v>1500</v>
      </c>
      <c r="D3385" s="43">
        <v>4202019</v>
      </c>
      <c r="E3385" t="s">
        <v>81</v>
      </c>
      <c r="F3385" s="47" t="str">
        <f>+Centro_Cuenta8[[#This Row],[Codigo Centro Gestion]]&amp;" - "&amp;Centro_Cuenta8[[#This Row],[Nombre Centro Gestion]]</f>
        <v>70907 - REMODELACIÓN OFICINA PISO 5</v>
      </c>
      <c r="G3385" s="47" t="str">
        <f>+Centro_Cuenta8[[#This Row],[Código Cuenta Contable]]&amp;" - "&amp;Centro_Cuenta8[[#This Row],[Nombre de Cuenta Contable]]</f>
        <v>4202019 - Gasto General Oficina</v>
      </c>
      <c r="H3385" s="146" t="str">
        <f>+VLOOKUP(D3385,'3. Cuentas'!A:F,6,0)</f>
        <v>SI</v>
      </c>
    </row>
    <row r="3386" spans="1:8" x14ac:dyDescent="0.25">
      <c r="A3386" s="43">
        <v>70914</v>
      </c>
      <c r="B3386" t="s">
        <v>282</v>
      </c>
      <c r="C3386" s="43" t="s">
        <v>1573</v>
      </c>
      <c r="D3386" s="43">
        <v>4201013</v>
      </c>
      <c r="E3386" t="s">
        <v>76</v>
      </c>
      <c r="F3386" s="47" t="str">
        <f>+Centro_Cuenta8[[#This Row],[Codigo Centro Gestion]]&amp;" - "&amp;Centro_Cuenta8[[#This Row],[Nombre Centro Gestion]]</f>
        <v>70914 - SUB GERENCIA TÉCNICA</v>
      </c>
      <c r="G3386" s="47" t="str">
        <f>+Centro_Cuenta8[[#This Row],[Código Cuenta Contable]]&amp;" - "&amp;Centro_Cuenta8[[#This Row],[Nombre de Cuenta Contable]]</f>
        <v>4201013 - Eventos Del Personal</v>
      </c>
      <c r="H3386" s="146" t="str">
        <f>+VLOOKUP(D3386,'3. Cuentas'!A:F,6,0)</f>
        <v>SI</v>
      </c>
    </row>
    <row r="3387" spans="1:8" x14ac:dyDescent="0.25">
      <c r="A3387" s="43">
        <v>70914</v>
      </c>
      <c r="B3387" t="s">
        <v>282</v>
      </c>
      <c r="C3387" s="43" t="s">
        <v>1573</v>
      </c>
      <c r="D3387" s="43">
        <v>4201038</v>
      </c>
      <c r="E3387" t="s">
        <v>102</v>
      </c>
      <c r="F3387" s="47" t="str">
        <f>+Centro_Cuenta8[[#This Row],[Codigo Centro Gestion]]&amp;" - "&amp;Centro_Cuenta8[[#This Row],[Nombre Centro Gestion]]</f>
        <v>70914 - SUB GERENCIA TÉCNICA</v>
      </c>
      <c r="G3387" s="47" t="str">
        <f>+Centro_Cuenta8[[#This Row],[Código Cuenta Contable]]&amp;" - "&amp;Centro_Cuenta8[[#This Row],[Nombre de Cuenta Contable]]</f>
        <v>4201038 - Beneficios</v>
      </c>
      <c r="H3387" s="146" t="str">
        <f>+VLOOKUP(D3387,'3. Cuentas'!A:F,6,0)</f>
        <v>SI</v>
      </c>
    </row>
    <row r="3388" spans="1:8" x14ac:dyDescent="0.25">
      <c r="A3388" s="43">
        <v>70914</v>
      </c>
      <c r="B3388" t="s">
        <v>282</v>
      </c>
      <c r="C3388" s="43" t="s">
        <v>1573</v>
      </c>
      <c r="D3388" s="43">
        <v>4202009</v>
      </c>
      <c r="E3388" t="s">
        <v>80</v>
      </c>
      <c r="F3388" s="47" t="str">
        <f>+Centro_Cuenta8[[#This Row],[Codigo Centro Gestion]]&amp;" - "&amp;Centro_Cuenta8[[#This Row],[Nombre Centro Gestion]]</f>
        <v>70914 - SUB GERENCIA TÉCNICA</v>
      </c>
      <c r="G3388" s="47" t="str">
        <f>+Centro_Cuenta8[[#This Row],[Código Cuenta Contable]]&amp;" - "&amp;Centro_Cuenta8[[#This Row],[Nombre de Cuenta Contable]]</f>
        <v>4202009 - Gastos Viajes Y Traslados</v>
      </c>
      <c r="H3388" s="146" t="str">
        <f>+VLOOKUP(D3388,'3. Cuentas'!A:F,6,0)</f>
        <v>SI</v>
      </c>
    </row>
    <row r="3389" spans="1:8" x14ac:dyDescent="0.25">
      <c r="A3389" s="43">
        <v>70914</v>
      </c>
      <c r="B3389" t="s">
        <v>282</v>
      </c>
      <c r="C3389" s="43" t="s">
        <v>1573</v>
      </c>
      <c r="D3389" s="43">
        <v>4202010</v>
      </c>
      <c r="E3389" t="s">
        <v>87</v>
      </c>
      <c r="F3389" s="47" t="str">
        <f>+Centro_Cuenta8[[#This Row],[Codigo Centro Gestion]]&amp;" - "&amp;Centro_Cuenta8[[#This Row],[Nombre Centro Gestion]]</f>
        <v>70914 - SUB GERENCIA TÉCNICA</v>
      </c>
      <c r="G3389" s="47" t="str">
        <f>+Centro_Cuenta8[[#This Row],[Código Cuenta Contable]]&amp;" - "&amp;Centro_Cuenta8[[#This Row],[Nombre de Cuenta Contable]]</f>
        <v>4202010 - Artic. Ofic. Fotocop.Papelería</v>
      </c>
      <c r="H3389" s="146" t="str">
        <f>+VLOOKUP(D3389,'3. Cuentas'!A:F,6,0)</f>
        <v>SI</v>
      </c>
    </row>
    <row r="3390" spans="1:8" x14ac:dyDescent="0.25">
      <c r="A3390" s="43">
        <v>70914</v>
      </c>
      <c r="B3390" t="s">
        <v>282</v>
      </c>
      <c r="C3390" s="43" t="s">
        <v>1573</v>
      </c>
      <c r="D3390" s="43">
        <v>4202019</v>
      </c>
      <c r="E3390" t="s">
        <v>81</v>
      </c>
      <c r="F3390" s="47" t="str">
        <f>+Centro_Cuenta8[[#This Row],[Codigo Centro Gestion]]&amp;" - "&amp;Centro_Cuenta8[[#This Row],[Nombre Centro Gestion]]</f>
        <v>70914 - SUB GERENCIA TÉCNICA</v>
      </c>
      <c r="G3390" s="47" t="str">
        <f>+Centro_Cuenta8[[#This Row],[Código Cuenta Contable]]&amp;" - "&amp;Centro_Cuenta8[[#This Row],[Nombre de Cuenta Contable]]</f>
        <v>4202019 - Gasto General Oficina</v>
      </c>
      <c r="H3390" s="146" t="str">
        <f>+VLOOKUP(D3390,'3. Cuentas'!A:F,6,0)</f>
        <v>SI</v>
      </c>
    </row>
    <row r="3391" spans="1:8" x14ac:dyDescent="0.25">
      <c r="A3391" s="43">
        <v>70914</v>
      </c>
      <c r="B3391" t="s">
        <v>282</v>
      </c>
      <c r="C3391" s="43" t="s">
        <v>1573</v>
      </c>
      <c r="D3391" s="43">
        <v>4202023</v>
      </c>
      <c r="E3391" t="s">
        <v>82</v>
      </c>
      <c r="F3391" s="47" t="str">
        <f>+Centro_Cuenta8[[#This Row],[Codigo Centro Gestion]]&amp;" - "&amp;Centro_Cuenta8[[#This Row],[Nombre Centro Gestion]]</f>
        <v>70914 - SUB GERENCIA TÉCNICA</v>
      </c>
      <c r="G3391" s="47" t="str">
        <f>+Centro_Cuenta8[[#This Row],[Código Cuenta Contable]]&amp;" - "&amp;Centro_Cuenta8[[#This Row],[Nombre de Cuenta Contable]]</f>
        <v>4202023 - Honorarios Por Asesorías</v>
      </c>
      <c r="H3391" s="146" t="str">
        <f>+VLOOKUP(D3391,'3. Cuentas'!A:F,6,0)</f>
        <v>SI</v>
      </c>
    </row>
    <row r="3392" spans="1:8" x14ac:dyDescent="0.25">
      <c r="A3392" s="43">
        <v>70914</v>
      </c>
      <c r="B3392" t="s">
        <v>282</v>
      </c>
      <c r="C3392" s="43" t="s">
        <v>1573</v>
      </c>
      <c r="D3392" s="43">
        <v>4202029</v>
      </c>
      <c r="E3392" t="s">
        <v>83</v>
      </c>
      <c r="F3392" s="47" t="str">
        <f>+Centro_Cuenta8[[#This Row],[Codigo Centro Gestion]]&amp;" - "&amp;Centro_Cuenta8[[#This Row],[Nombre Centro Gestion]]</f>
        <v>70914 - SUB GERENCIA TÉCNICA</v>
      </c>
      <c r="G3392" s="47" t="str">
        <f>+Centro_Cuenta8[[#This Row],[Código Cuenta Contable]]&amp;" - "&amp;Centro_Cuenta8[[#This Row],[Nombre de Cuenta Contable]]</f>
        <v>4202029 - Insumos Y Gastos Informáticos</v>
      </c>
      <c r="H3392" s="146" t="str">
        <f>+VLOOKUP(D3392,'3. Cuentas'!A:F,6,0)</f>
        <v>SI</v>
      </c>
    </row>
    <row r="3393" spans="1:8" x14ac:dyDescent="0.25">
      <c r="A3393" s="43">
        <v>70916</v>
      </c>
      <c r="B3393" t="s">
        <v>283</v>
      </c>
      <c r="C3393" s="43" t="s">
        <v>1574</v>
      </c>
      <c r="D3393" s="43">
        <v>4201013</v>
      </c>
      <c r="E3393" t="s">
        <v>76</v>
      </c>
      <c r="F3393" s="47" t="str">
        <f>+Centro_Cuenta8[[#This Row],[Codigo Centro Gestion]]&amp;" - "&amp;Centro_Cuenta8[[#This Row],[Nombre Centro Gestion]]</f>
        <v>70916 - CALIDAD CONSTRUCTORA</v>
      </c>
      <c r="G3393" s="47" t="str">
        <f>+Centro_Cuenta8[[#This Row],[Código Cuenta Contable]]&amp;" - "&amp;Centro_Cuenta8[[#This Row],[Nombre de Cuenta Contable]]</f>
        <v>4201013 - Eventos Del Personal</v>
      </c>
      <c r="H3393" s="146" t="str">
        <f>+VLOOKUP(D3393,'3. Cuentas'!A:F,6,0)</f>
        <v>SI</v>
      </c>
    </row>
    <row r="3394" spans="1:8" x14ac:dyDescent="0.25">
      <c r="A3394" s="43">
        <v>70916</v>
      </c>
      <c r="B3394" t="s">
        <v>283</v>
      </c>
      <c r="C3394" s="43" t="s">
        <v>1574</v>
      </c>
      <c r="D3394" s="43">
        <v>4201038</v>
      </c>
      <c r="E3394" t="s">
        <v>102</v>
      </c>
      <c r="F3394" s="47" t="str">
        <f>+Centro_Cuenta8[[#This Row],[Codigo Centro Gestion]]&amp;" - "&amp;Centro_Cuenta8[[#This Row],[Nombre Centro Gestion]]</f>
        <v>70916 - CALIDAD CONSTRUCTORA</v>
      </c>
      <c r="G3394" s="47" t="str">
        <f>+Centro_Cuenta8[[#This Row],[Código Cuenta Contable]]&amp;" - "&amp;Centro_Cuenta8[[#This Row],[Nombre de Cuenta Contable]]</f>
        <v>4201038 - Beneficios</v>
      </c>
      <c r="H3394" s="146" t="str">
        <f>+VLOOKUP(D3394,'3. Cuentas'!A:F,6,0)</f>
        <v>SI</v>
      </c>
    </row>
    <row r="3395" spans="1:8" x14ac:dyDescent="0.25">
      <c r="A3395" s="43">
        <v>70916</v>
      </c>
      <c r="B3395" t="s">
        <v>283</v>
      </c>
      <c r="C3395" s="43" t="s">
        <v>1574</v>
      </c>
      <c r="D3395" s="43">
        <v>4202009</v>
      </c>
      <c r="E3395" t="s">
        <v>80</v>
      </c>
      <c r="F3395" s="47" t="str">
        <f>+Centro_Cuenta8[[#This Row],[Codigo Centro Gestion]]&amp;" - "&amp;Centro_Cuenta8[[#This Row],[Nombre Centro Gestion]]</f>
        <v>70916 - CALIDAD CONSTRUCTORA</v>
      </c>
      <c r="G3395" s="47" t="str">
        <f>+Centro_Cuenta8[[#This Row],[Código Cuenta Contable]]&amp;" - "&amp;Centro_Cuenta8[[#This Row],[Nombre de Cuenta Contable]]</f>
        <v>4202009 - Gastos Viajes Y Traslados</v>
      </c>
      <c r="H3395" s="146" t="str">
        <f>+VLOOKUP(D3395,'3. Cuentas'!A:F,6,0)</f>
        <v>SI</v>
      </c>
    </row>
    <row r="3396" spans="1:8" x14ac:dyDescent="0.25">
      <c r="A3396" s="43">
        <v>70916</v>
      </c>
      <c r="B3396" t="s">
        <v>283</v>
      </c>
      <c r="C3396" s="43" t="s">
        <v>1574</v>
      </c>
      <c r="D3396" s="43">
        <v>4202010</v>
      </c>
      <c r="E3396" t="s">
        <v>87</v>
      </c>
      <c r="F3396" s="47" t="str">
        <f>+Centro_Cuenta8[[#This Row],[Codigo Centro Gestion]]&amp;" - "&amp;Centro_Cuenta8[[#This Row],[Nombre Centro Gestion]]</f>
        <v>70916 - CALIDAD CONSTRUCTORA</v>
      </c>
      <c r="G3396" s="47" t="str">
        <f>+Centro_Cuenta8[[#This Row],[Código Cuenta Contable]]&amp;" - "&amp;Centro_Cuenta8[[#This Row],[Nombre de Cuenta Contable]]</f>
        <v>4202010 - Artic. Ofic. Fotocop.Papelería</v>
      </c>
      <c r="H3396" s="146" t="str">
        <f>+VLOOKUP(D3396,'3. Cuentas'!A:F,6,0)</f>
        <v>SI</v>
      </c>
    </row>
    <row r="3397" spans="1:8" x14ac:dyDescent="0.25">
      <c r="A3397" s="43">
        <v>70916</v>
      </c>
      <c r="B3397" t="s">
        <v>283</v>
      </c>
      <c r="C3397" s="43" t="s">
        <v>1574</v>
      </c>
      <c r="D3397" s="43">
        <v>4202019</v>
      </c>
      <c r="E3397" t="s">
        <v>81</v>
      </c>
      <c r="F3397" s="47" t="str">
        <f>+Centro_Cuenta8[[#This Row],[Codigo Centro Gestion]]&amp;" - "&amp;Centro_Cuenta8[[#This Row],[Nombre Centro Gestion]]</f>
        <v>70916 - CALIDAD CONSTRUCTORA</v>
      </c>
      <c r="G3397" s="47" t="str">
        <f>+Centro_Cuenta8[[#This Row],[Código Cuenta Contable]]&amp;" - "&amp;Centro_Cuenta8[[#This Row],[Nombre de Cuenta Contable]]</f>
        <v>4202019 - Gasto General Oficina</v>
      </c>
      <c r="H3397" s="146" t="str">
        <f>+VLOOKUP(D3397,'3. Cuentas'!A:F,6,0)</f>
        <v>SI</v>
      </c>
    </row>
    <row r="3398" spans="1:8" x14ac:dyDescent="0.25">
      <c r="A3398" s="43">
        <v>70916</v>
      </c>
      <c r="B3398" t="s">
        <v>283</v>
      </c>
      <c r="C3398" s="43" t="s">
        <v>1574</v>
      </c>
      <c r="D3398" s="43">
        <v>4202023</v>
      </c>
      <c r="E3398" t="s">
        <v>82</v>
      </c>
      <c r="F3398" s="47" t="str">
        <f>+Centro_Cuenta8[[#This Row],[Codigo Centro Gestion]]&amp;" - "&amp;Centro_Cuenta8[[#This Row],[Nombre Centro Gestion]]</f>
        <v>70916 - CALIDAD CONSTRUCTORA</v>
      </c>
      <c r="G3398" s="47" t="str">
        <f>+Centro_Cuenta8[[#This Row],[Código Cuenta Contable]]&amp;" - "&amp;Centro_Cuenta8[[#This Row],[Nombre de Cuenta Contable]]</f>
        <v>4202023 - Honorarios Por Asesorías</v>
      </c>
      <c r="H3398" s="146" t="str">
        <f>+VLOOKUP(D3398,'3. Cuentas'!A:F,6,0)</f>
        <v>SI</v>
      </c>
    </row>
    <row r="3399" spans="1:8" x14ac:dyDescent="0.25">
      <c r="A3399" s="43">
        <v>70916</v>
      </c>
      <c r="B3399" t="s">
        <v>283</v>
      </c>
      <c r="C3399" s="43" t="s">
        <v>1574</v>
      </c>
      <c r="D3399" s="43">
        <v>4202029</v>
      </c>
      <c r="E3399" t="s">
        <v>83</v>
      </c>
      <c r="F3399" s="47" t="str">
        <f>+Centro_Cuenta8[[#This Row],[Codigo Centro Gestion]]&amp;" - "&amp;Centro_Cuenta8[[#This Row],[Nombre Centro Gestion]]</f>
        <v>70916 - CALIDAD CONSTRUCTORA</v>
      </c>
      <c r="G3399" s="47" t="str">
        <f>+Centro_Cuenta8[[#This Row],[Código Cuenta Contable]]&amp;" - "&amp;Centro_Cuenta8[[#This Row],[Nombre de Cuenta Contable]]</f>
        <v>4202029 - Insumos Y Gastos Informáticos</v>
      </c>
      <c r="H3399" s="146" t="str">
        <f>+VLOOKUP(D3399,'3. Cuentas'!A:F,6,0)</f>
        <v>SI</v>
      </c>
    </row>
    <row r="3400" spans="1:8" x14ac:dyDescent="0.25">
      <c r="A3400" s="43">
        <v>70918</v>
      </c>
      <c r="B3400" t="s">
        <v>285</v>
      </c>
      <c r="C3400" s="43" t="s">
        <v>1577</v>
      </c>
      <c r="D3400" s="43">
        <v>4201013</v>
      </c>
      <c r="E3400" t="s">
        <v>76</v>
      </c>
      <c r="F3400" s="47" t="str">
        <f>+Centro_Cuenta8[[#This Row],[Codigo Centro Gestion]]&amp;" - "&amp;Centro_Cuenta8[[#This Row],[Nombre Centro Gestion]]</f>
        <v>70918 - PLANIFICACIÓN Y CONTROL DE OBRAS</v>
      </c>
      <c r="G3400" s="47" t="str">
        <f>+Centro_Cuenta8[[#This Row],[Código Cuenta Contable]]&amp;" - "&amp;Centro_Cuenta8[[#This Row],[Nombre de Cuenta Contable]]</f>
        <v>4201013 - Eventos Del Personal</v>
      </c>
      <c r="H3400" s="146" t="str">
        <f>+VLOOKUP(D3400,'3. Cuentas'!A:F,6,0)</f>
        <v>SI</v>
      </c>
    </row>
    <row r="3401" spans="1:8" x14ac:dyDescent="0.25">
      <c r="A3401" s="43">
        <v>70918</v>
      </c>
      <c r="B3401" t="s">
        <v>285</v>
      </c>
      <c r="C3401" s="43" t="s">
        <v>1577</v>
      </c>
      <c r="D3401" s="43">
        <v>4201038</v>
      </c>
      <c r="E3401" t="s">
        <v>102</v>
      </c>
      <c r="F3401" s="47" t="str">
        <f>+Centro_Cuenta8[[#This Row],[Codigo Centro Gestion]]&amp;" - "&amp;Centro_Cuenta8[[#This Row],[Nombre Centro Gestion]]</f>
        <v>70918 - PLANIFICACIÓN Y CONTROL DE OBRAS</v>
      </c>
      <c r="G3401" s="47" t="str">
        <f>+Centro_Cuenta8[[#This Row],[Código Cuenta Contable]]&amp;" - "&amp;Centro_Cuenta8[[#This Row],[Nombre de Cuenta Contable]]</f>
        <v>4201038 - Beneficios</v>
      </c>
      <c r="H3401" s="146" t="str">
        <f>+VLOOKUP(D3401,'3. Cuentas'!A:F,6,0)</f>
        <v>SI</v>
      </c>
    </row>
    <row r="3402" spans="1:8" x14ac:dyDescent="0.25">
      <c r="A3402" s="43">
        <v>70918</v>
      </c>
      <c r="B3402" t="s">
        <v>285</v>
      </c>
      <c r="C3402" s="43" t="s">
        <v>1577</v>
      </c>
      <c r="D3402" s="43">
        <v>4202009</v>
      </c>
      <c r="E3402" t="s">
        <v>80</v>
      </c>
      <c r="F3402" s="47" t="str">
        <f>+Centro_Cuenta8[[#This Row],[Codigo Centro Gestion]]&amp;" - "&amp;Centro_Cuenta8[[#This Row],[Nombre Centro Gestion]]</f>
        <v>70918 - PLANIFICACIÓN Y CONTROL DE OBRAS</v>
      </c>
      <c r="G3402" s="47" t="str">
        <f>+Centro_Cuenta8[[#This Row],[Código Cuenta Contable]]&amp;" - "&amp;Centro_Cuenta8[[#This Row],[Nombre de Cuenta Contable]]</f>
        <v>4202009 - Gastos Viajes Y Traslados</v>
      </c>
      <c r="H3402" s="146" t="str">
        <f>+VLOOKUP(D3402,'3. Cuentas'!A:F,6,0)</f>
        <v>SI</v>
      </c>
    </row>
    <row r="3403" spans="1:8" x14ac:dyDescent="0.25">
      <c r="A3403" s="43">
        <v>70918</v>
      </c>
      <c r="B3403" t="s">
        <v>285</v>
      </c>
      <c r="C3403" s="43" t="s">
        <v>1577</v>
      </c>
      <c r="D3403" s="43">
        <v>4202010</v>
      </c>
      <c r="E3403" t="s">
        <v>87</v>
      </c>
      <c r="F3403" s="47" t="str">
        <f>+Centro_Cuenta8[[#This Row],[Codigo Centro Gestion]]&amp;" - "&amp;Centro_Cuenta8[[#This Row],[Nombre Centro Gestion]]</f>
        <v>70918 - PLANIFICACIÓN Y CONTROL DE OBRAS</v>
      </c>
      <c r="G3403" s="47" t="str">
        <f>+Centro_Cuenta8[[#This Row],[Código Cuenta Contable]]&amp;" - "&amp;Centro_Cuenta8[[#This Row],[Nombre de Cuenta Contable]]</f>
        <v>4202010 - Artic. Ofic. Fotocop.Papelería</v>
      </c>
      <c r="H3403" s="146" t="str">
        <f>+VLOOKUP(D3403,'3. Cuentas'!A:F,6,0)</f>
        <v>SI</v>
      </c>
    </row>
    <row r="3404" spans="1:8" x14ac:dyDescent="0.25">
      <c r="A3404" s="43">
        <v>70918</v>
      </c>
      <c r="B3404" t="s">
        <v>285</v>
      </c>
      <c r="C3404" s="43" t="s">
        <v>1577</v>
      </c>
      <c r="D3404" s="43">
        <v>4202019</v>
      </c>
      <c r="E3404" t="s">
        <v>81</v>
      </c>
      <c r="F3404" s="47" t="str">
        <f>+Centro_Cuenta8[[#This Row],[Codigo Centro Gestion]]&amp;" - "&amp;Centro_Cuenta8[[#This Row],[Nombre Centro Gestion]]</f>
        <v>70918 - PLANIFICACIÓN Y CONTROL DE OBRAS</v>
      </c>
      <c r="G3404" s="47" t="str">
        <f>+Centro_Cuenta8[[#This Row],[Código Cuenta Contable]]&amp;" - "&amp;Centro_Cuenta8[[#This Row],[Nombre de Cuenta Contable]]</f>
        <v>4202019 - Gasto General Oficina</v>
      </c>
      <c r="H3404" s="146" t="str">
        <f>+VLOOKUP(D3404,'3. Cuentas'!A:F,6,0)</f>
        <v>SI</v>
      </c>
    </row>
    <row r="3405" spans="1:8" x14ac:dyDescent="0.25">
      <c r="A3405" s="43">
        <v>70918</v>
      </c>
      <c r="B3405" t="s">
        <v>285</v>
      </c>
      <c r="C3405" s="43" t="s">
        <v>1577</v>
      </c>
      <c r="D3405" s="43">
        <v>4202023</v>
      </c>
      <c r="E3405" t="s">
        <v>82</v>
      </c>
      <c r="F3405" s="47" t="str">
        <f>+Centro_Cuenta8[[#This Row],[Codigo Centro Gestion]]&amp;" - "&amp;Centro_Cuenta8[[#This Row],[Nombre Centro Gestion]]</f>
        <v>70918 - PLANIFICACIÓN Y CONTROL DE OBRAS</v>
      </c>
      <c r="G3405" s="47" t="str">
        <f>+Centro_Cuenta8[[#This Row],[Código Cuenta Contable]]&amp;" - "&amp;Centro_Cuenta8[[#This Row],[Nombre de Cuenta Contable]]</f>
        <v>4202023 - Honorarios Por Asesorías</v>
      </c>
      <c r="H3405" s="146" t="str">
        <f>+VLOOKUP(D3405,'3. Cuentas'!A:F,6,0)</f>
        <v>SI</v>
      </c>
    </row>
    <row r="3406" spans="1:8" x14ac:dyDescent="0.25">
      <c r="A3406" s="43">
        <v>70918</v>
      </c>
      <c r="B3406" t="s">
        <v>285</v>
      </c>
      <c r="C3406" s="43" t="s">
        <v>1577</v>
      </c>
      <c r="D3406" s="43">
        <v>4202029</v>
      </c>
      <c r="E3406" t="s">
        <v>83</v>
      </c>
      <c r="F3406" s="47" t="str">
        <f>+Centro_Cuenta8[[#This Row],[Codigo Centro Gestion]]&amp;" - "&amp;Centro_Cuenta8[[#This Row],[Nombre Centro Gestion]]</f>
        <v>70918 - PLANIFICACIÓN Y CONTROL DE OBRAS</v>
      </c>
      <c r="G3406" s="47" t="str">
        <f>+Centro_Cuenta8[[#This Row],[Código Cuenta Contable]]&amp;" - "&amp;Centro_Cuenta8[[#This Row],[Nombre de Cuenta Contable]]</f>
        <v>4202029 - Insumos Y Gastos Informáticos</v>
      </c>
      <c r="H3406" s="146" t="str">
        <f>+VLOOKUP(D3406,'3. Cuentas'!A:F,6,0)</f>
        <v>SI</v>
      </c>
    </row>
    <row r="3407" spans="1:8" x14ac:dyDescent="0.25">
      <c r="A3407" s="43">
        <v>800</v>
      </c>
      <c r="B3407" t="s">
        <v>505</v>
      </c>
      <c r="C3407" s="43" t="s">
        <v>1500</v>
      </c>
      <c r="D3407" s="43">
        <v>4105001</v>
      </c>
      <c r="E3407" t="s">
        <v>70</v>
      </c>
      <c r="F3407" s="47" t="str">
        <f>+Centro_Cuenta8[[#This Row],[Codigo Centro Gestion]]&amp;" - "&amp;Centro_Cuenta8[[#This Row],[Nombre Centro Gestion]]</f>
        <v>800 - REMODELACIÓN OFICINA CENTRAL (NO VIGENTE)</v>
      </c>
      <c r="G3407" s="47" t="str">
        <f>+Centro_Cuenta8[[#This Row],[Código Cuenta Contable]]&amp;" - "&amp;Centro_Cuenta8[[#This Row],[Nombre de Cuenta Contable]]</f>
        <v>4105001 - Costos Generales de Obra</v>
      </c>
      <c r="H3407" s="146" t="str">
        <f>+VLOOKUP(D3407,'3. Cuentas'!A:F,6,0)</f>
        <v>SI</v>
      </c>
    </row>
    <row r="3408" spans="1:8" x14ac:dyDescent="0.25">
      <c r="A3408" s="43">
        <v>8062</v>
      </c>
      <c r="B3408" t="s">
        <v>506</v>
      </c>
      <c r="C3408" s="43" t="s">
        <v>1501</v>
      </c>
      <c r="D3408" s="43">
        <v>4205060</v>
      </c>
      <c r="E3408" t="s">
        <v>130</v>
      </c>
      <c r="F3408" s="47" t="str">
        <f>+Centro_Cuenta8[[#This Row],[Codigo Centro Gestion]]&amp;" - "&amp;Centro_Cuenta8[[#This Row],[Nombre Centro Gestion]]</f>
        <v>8062 - Entrega Cumbres del Mar</v>
      </c>
      <c r="G3408" s="47" t="str">
        <f>+Centro_Cuenta8[[#This Row],[Código Cuenta Contable]]&amp;" - "&amp;Centro_Cuenta8[[#This Row],[Nombre de Cuenta Contable]]</f>
        <v>4205060 - Gtos Grales Entrega y PV</v>
      </c>
      <c r="H3408" s="146" t="str">
        <f>+VLOOKUP(D3408,'3. Cuentas'!A:F,6,0)</f>
        <v>SI</v>
      </c>
    </row>
    <row r="3409" spans="1:8" x14ac:dyDescent="0.25">
      <c r="A3409" s="43">
        <v>8167</v>
      </c>
      <c r="B3409" t="s">
        <v>507</v>
      </c>
      <c r="C3409" s="43" t="s">
        <v>1501</v>
      </c>
      <c r="D3409" s="43">
        <v>4205060</v>
      </c>
      <c r="E3409" t="s">
        <v>130</v>
      </c>
      <c r="F3409" s="47" t="str">
        <f>+Centro_Cuenta8[[#This Row],[Codigo Centro Gestion]]&amp;" - "&amp;Centro_Cuenta8[[#This Row],[Nombre Centro Gestion]]</f>
        <v>8167 - Entrega Palmas del Sur 1</v>
      </c>
      <c r="G3409" s="47" t="str">
        <f>+Centro_Cuenta8[[#This Row],[Código Cuenta Contable]]&amp;" - "&amp;Centro_Cuenta8[[#This Row],[Nombre de Cuenta Contable]]</f>
        <v>4205060 - Gtos Grales Entrega y PV</v>
      </c>
      <c r="H3409" s="146" t="str">
        <f>+VLOOKUP(D3409,'3. Cuentas'!A:F,6,0)</f>
        <v>SI</v>
      </c>
    </row>
    <row r="3410" spans="1:8" x14ac:dyDescent="0.25">
      <c r="A3410" s="43">
        <v>8190</v>
      </c>
      <c r="B3410" t="s">
        <v>508</v>
      </c>
      <c r="C3410" s="43" t="s">
        <v>1501</v>
      </c>
      <c r="D3410" s="43">
        <v>4205060</v>
      </c>
      <c r="E3410" t="s">
        <v>130</v>
      </c>
      <c r="F3410" s="47" t="str">
        <f>+Centro_Cuenta8[[#This Row],[Codigo Centro Gestion]]&amp;" - "&amp;Centro_Cuenta8[[#This Row],[Nombre Centro Gestion]]</f>
        <v>8190 - Entrega Altos de Castilla</v>
      </c>
      <c r="G3410" s="47" t="str">
        <f>+Centro_Cuenta8[[#This Row],[Código Cuenta Contable]]&amp;" - "&amp;Centro_Cuenta8[[#This Row],[Nombre de Cuenta Contable]]</f>
        <v>4205060 - Gtos Grales Entrega y PV</v>
      </c>
      <c r="H3410" s="146" t="str">
        <f>+VLOOKUP(D3410,'3. Cuentas'!A:F,6,0)</f>
        <v>SI</v>
      </c>
    </row>
    <row r="3411" spans="1:8" x14ac:dyDescent="0.25">
      <c r="A3411" s="43">
        <v>8200</v>
      </c>
      <c r="B3411" t="s">
        <v>509</v>
      </c>
      <c r="C3411" s="43" t="s">
        <v>1501</v>
      </c>
      <c r="D3411" s="43">
        <v>4205060</v>
      </c>
      <c r="E3411" t="s">
        <v>130</v>
      </c>
      <c r="F3411" s="47" t="str">
        <f>+Centro_Cuenta8[[#This Row],[Codigo Centro Gestion]]&amp;" - "&amp;Centro_Cuenta8[[#This Row],[Nombre Centro Gestion]]</f>
        <v>8200 - Entrega Edificio Terrazas del Sol</v>
      </c>
      <c r="G3411" s="47" t="str">
        <f>+Centro_Cuenta8[[#This Row],[Código Cuenta Contable]]&amp;" - "&amp;Centro_Cuenta8[[#This Row],[Nombre de Cuenta Contable]]</f>
        <v>4205060 - Gtos Grales Entrega y PV</v>
      </c>
      <c r="H3411" s="146" t="str">
        <f>+VLOOKUP(D3411,'3. Cuentas'!A:F,6,0)</f>
        <v>SI</v>
      </c>
    </row>
    <row r="3412" spans="1:8" x14ac:dyDescent="0.25">
      <c r="A3412" s="43">
        <v>8209</v>
      </c>
      <c r="B3412" t="s">
        <v>510</v>
      </c>
      <c r="C3412" s="43" t="s">
        <v>1501</v>
      </c>
      <c r="D3412" s="43">
        <v>4205060</v>
      </c>
      <c r="E3412" t="s">
        <v>130</v>
      </c>
      <c r="F3412" s="47" t="str">
        <f>+Centro_Cuenta8[[#This Row],[Codigo Centro Gestion]]&amp;" - "&amp;Centro_Cuenta8[[#This Row],[Nombre Centro Gestion]]</f>
        <v>8209 - Entrega Edificio Bulnes Labbe</v>
      </c>
      <c r="G3412" s="47" t="str">
        <f>+Centro_Cuenta8[[#This Row],[Código Cuenta Contable]]&amp;" - "&amp;Centro_Cuenta8[[#This Row],[Nombre de Cuenta Contable]]</f>
        <v>4205060 - Gtos Grales Entrega y PV</v>
      </c>
      <c r="H3412" s="146" t="str">
        <f>+VLOOKUP(D3412,'3. Cuentas'!A:F,6,0)</f>
        <v>SI</v>
      </c>
    </row>
    <row r="3413" spans="1:8" x14ac:dyDescent="0.25">
      <c r="A3413" s="43">
        <v>8211</v>
      </c>
      <c r="B3413" t="s">
        <v>511</v>
      </c>
      <c r="C3413" s="43" t="s">
        <v>1501</v>
      </c>
      <c r="D3413" s="43">
        <v>4205060</v>
      </c>
      <c r="E3413" t="s">
        <v>130</v>
      </c>
      <c r="F3413" s="47" t="str">
        <f>+Centro_Cuenta8[[#This Row],[Codigo Centro Gestion]]&amp;" - "&amp;Centro_Cuenta8[[#This Row],[Nombre Centro Gestion]]</f>
        <v>8211 - Entrega Vista del Valle II Edificio B</v>
      </c>
      <c r="G3413" s="47" t="str">
        <f>+Centro_Cuenta8[[#This Row],[Código Cuenta Contable]]&amp;" - "&amp;Centro_Cuenta8[[#This Row],[Nombre de Cuenta Contable]]</f>
        <v>4205060 - Gtos Grales Entrega y PV</v>
      </c>
      <c r="H3413" s="146" t="str">
        <f>+VLOOKUP(D3413,'3. Cuentas'!A:F,6,0)</f>
        <v>SI</v>
      </c>
    </row>
    <row r="3414" spans="1:8" x14ac:dyDescent="0.25">
      <c r="A3414" s="43">
        <v>8212</v>
      </c>
      <c r="B3414" t="s">
        <v>512</v>
      </c>
      <c r="C3414" s="43" t="s">
        <v>1501</v>
      </c>
      <c r="D3414" s="43">
        <v>4205060</v>
      </c>
      <c r="E3414" t="s">
        <v>130</v>
      </c>
      <c r="F3414" s="47" t="str">
        <f>+Centro_Cuenta8[[#This Row],[Codigo Centro Gestion]]&amp;" - "&amp;Centro_Cuenta8[[#This Row],[Nombre Centro Gestion]]</f>
        <v>8212 - Entrega Edificio Constantino 54</v>
      </c>
      <c r="G3414" s="47" t="str">
        <f>+Centro_Cuenta8[[#This Row],[Código Cuenta Contable]]&amp;" - "&amp;Centro_Cuenta8[[#This Row],[Nombre de Cuenta Contable]]</f>
        <v>4205060 - Gtos Grales Entrega y PV</v>
      </c>
      <c r="H3414" s="146" t="str">
        <f>+VLOOKUP(D3414,'3. Cuentas'!A:F,6,0)</f>
        <v>SI</v>
      </c>
    </row>
    <row r="3415" spans="1:8" x14ac:dyDescent="0.25">
      <c r="A3415" s="43">
        <v>8213</v>
      </c>
      <c r="B3415" t="s">
        <v>513</v>
      </c>
      <c r="C3415" s="43" t="s">
        <v>1501</v>
      </c>
      <c r="D3415" s="43">
        <v>4205060</v>
      </c>
      <c r="E3415" t="s">
        <v>130</v>
      </c>
      <c r="F3415" s="47" t="str">
        <f>+Centro_Cuenta8[[#This Row],[Codigo Centro Gestion]]&amp;" - "&amp;Centro_Cuenta8[[#This Row],[Nombre Centro Gestion]]</f>
        <v>8213 - Entrega Edificio Maipu</v>
      </c>
      <c r="G3415" s="47" t="str">
        <f>+Centro_Cuenta8[[#This Row],[Código Cuenta Contable]]&amp;" - "&amp;Centro_Cuenta8[[#This Row],[Nombre de Cuenta Contable]]</f>
        <v>4205060 - Gtos Grales Entrega y PV</v>
      </c>
      <c r="H3415" s="146" t="str">
        <f>+VLOOKUP(D3415,'3. Cuentas'!A:F,6,0)</f>
        <v>SI</v>
      </c>
    </row>
    <row r="3416" spans="1:8" x14ac:dyDescent="0.25">
      <c r="A3416" s="43">
        <v>8214</v>
      </c>
      <c r="B3416" t="s">
        <v>514</v>
      </c>
      <c r="C3416" s="43" t="s">
        <v>1501</v>
      </c>
      <c r="D3416" s="43">
        <v>4205060</v>
      </c>
      <c r="E3416" t="s">
        <v>130</v>
      </c>
      <c r="F3416" s="47" t="str">
        <f>+Centro_Cuenta8[[#This Row],[Codigo Centro Gestion]]&amp;" - "&amp;Centro_Cuenta8[[#This Row],[Nombre Centro Gestion]]</f>
        <v>8214 - Entrega Edificio Recreo 250</v>
      </c>
      <c r="G3416" s="47" t="str">
        <f>+Centro_Cuenta8[[#This Row],[Código Cuenta Contable]]&amp;" - "&amp;Centro_Cuenta8[[#This Row],[Nombre de Cuenta Contable]]</f>
        <v>4205060 - Gtos Grales Entrega y PV</v>
      </c>
      <c r="H3416" s="146" t="str">
        <f>+VLOOKUP(D3416,'3. Cuentas'!A:F,6,0)</f>
        <v>SI</v>
      </c>
    </row>
    <row r="3417" spans="1:8" x14ac:dyDescent="0.25">
      <c r="A3417" s="43">
        <v>8215</v>
      </c>
      <c r="B3417" t="s">
        <v>515</v>
      </c>
      <c r="C3417" s="43" t="s">
        <v>1501</v>
      </c>
      <c r="D3417" s="43">
        <v>4205060</v>
      </c>
      <c r="E3417" t="s">
        <v>130</v>
      </c>
      <c r="F3417" s="47" t="str">
        <f>+Centro_Cuenta8[[#This Row],[Codigo Centro Gestion]]&amp;" - "&amp;Centro_Cuenta8[[#This Row],[Nombre Centro Gestion]]</f>
        <v>8215 - Entrega Alto Marañon Torre A</v>
      </c>
      <c r="G3417" s="47" t="str">
        <f>+Centro_Cuenta8[[#This Row],[Código Cuenta Contable]]&amp;" - "&amp;Centro_Cuenta8[[#This Row],[Nombre de Cuenta Contable]]</f>
        <v>4205060 - Gtos Grales Entrega y PV</v>
      </c>
      <c r="H3417" s="146" t="str">
        <f>+VLOOKUP(D3417,'3. Cuentas'!A:F,6,0)</f>
        <v>SI</v>
      </c>
    </row>
    <row r="3418" spans="1:8" x14ac:dyDescent="0.25">
      <c r="A3418" s="43">
        <v>8217</v>
      </c>
      <c r="B3418" t="s">
        <v>516</v>
      </c>
      <c r="C3418" s="43" t="s">
        <v>1501</v>
      </c>
      <c r="D3418" s="43">
        <v>4205060</v>
      </c>
      <c r="E3418" t="s">
        <v>130</v>
      </c>
      <c r="F3418" s="47" t="str">
        <f>+Centro_Cuenta8[[#This Row],[Codigo Centro Gestion]]&amp;" - "&amp;Centro_Cuenta8[[#This Row],[Nombre Centro Gestion]]</f>
        <v>8217 - Entrega Edificio Duble Almeyda 2621</v>
      </c>
      <c r="G3418" s="47" t="str">
        <f>+Centro_Cuenta8[[#This Row],[Código Cuenta Contable]]&amp;" - "&amp;Centro_Cuenta8[[#This Row],[Nombre de Cuenta Contable]]</f>
        <v>4205060 - Gtos Grales Entrega y PV</v>
      </c>
      <c r="H3418" s="146" t="str">
        <f>+VLOOKUP(D3418,'3. Cuentas'!A:F,6,0)</f>
        <v>SI</v>
      </c>
    </row>
    <row r="3419" spans="1:8" x14ac:dyDescent="0.25">
      <c r="A3419" s="43">
        <v>8218</v>
      </c>
      <c r="B3419" t="s">
        <v>517</v>
      </c>
      <c r="C3419" s="43" t="s">
        <v>1501</v>
      </c>
      <c r="D3419" s="43">
        <v>4205060</v>
      </c>
      <c r="E3419" t="s">
        <v>130</v>
      </c>
      <c r="F3419" s="47" t="str">
        <f>+Centro_Cuenta8[[#This Row],[Codigo Centro Gestion]]&amp;" - "&amp;Centro_Cuenta8[[#This Row],[Nombre Centro Gestion]]</f>
        <v>8218 - Entrega Edificio Jose Domingo Cañas 2640</v>
      </c>
      <c r="G3419" s="47" t="str">
        <f>+Centro_Cuenta8[[#This Row],[Código Cuenta Contable]]&amp;" - "&amp;Centro_Cuenta8[[#This Row],[Nombre de Cuenta Contable]]</f>
        <v>4205060 - Gtos Grales Entrega y PV</v>
      </c>
      <c r="H3419" s="146" t="str">
        <f>+VLOOKUP(D3419,'3. Cuentas'!A:F,6,0)</f>
        <v>SI</v>
      </c>
    </row>
    <row r="3420" spans="1:8" x14ac:dyDescent="0.25">
      <c r="A3420" s="43">
        <v>8220</v>
      </c>
      <c r="B3420" t="s">
        <v>518</v>
      </c>
      <c r="C3420" s="43" t="s">
        <v>1501</v>
      </c>
      <c r="D3420" s="43">
        <v>4205060</v>
      </c>
      <c r="E3420" t="s">
        <v>130</v>
      </c>
      <c r="F3420" s="47" t="str">
        <f>+Centro_Cuenta8[[#This Row],[Codigo Centro Gestion]]&amp;" - "&amp;Centro_Cuenta8[[#This Row],[Nombre Centro Gestion]]</f>
        <v>8220 - Entrega Edificio Uno Norte</v>
      </c>
      <c r="G3420" s="47" t="str">
        <f>+Centro_Cuenta8[[#This Row],[Código Cuenta Contable]]&amp;" - "&amp;Centro_Cuenta8[[#This Row],[Nombre de Cuenta Contable]]</f>
        <v>4205060 - Gtos Grales Entrega y PV</v>
      </c>
      <c r="H3420" s="146" t="str">
        <f>+VLOOKUP(D3420,'3. Cuentas'!A:F,6,0)</f>
        <v>SI</v>
      </c>
    </row>
    <row r="3421" spans="1:8" x14ac:dyDescent="0.25">
      <c r="A3421" s="43">
        <v>8221</v>
      </c>
      <c r="B3421" t="s">
        <v>519</v>
      </c>
      <c r="C3421" s="43" t="s">
        <v>1501</v>
      </c>
      <c r="D3421" s="43">
        <v>4205060</v>
      </c>
      <c r="E3421" t="s">
        <v>130</v>
      </c>
      <c r="F3421" s="47" t="str">
        <f>+Centro_Cuenta8[[#This Row],[Codigo Centro Gestion]]&amp;" - "&amp;Centro_Cuenta8[[#This Row],[Nombre Centro Gestion]]</f>
        <v>8221 - Entrega Edificio Fernandez Albano 192</v>
      </c>
      <c r="G3421" s="47" t="str">
        <f>+Centro_Cuenta8[[#This Row],[Código Cuenta Contable]]&amp;" - "&amp;Centro_Cuenta8[[#This Row],[Nombre de Cuenta Contable]]</f>
        <v>4205060 - Gtos Grales Entrega y PV</v>
      </c>
      <c r="H3421" s="146" t="str">
        <f>+VLOOKUP(D3421,'3. Cuentas'!A:F,6,0)</f>
        <v>SI</v>
      </c>
    </row>
    <row r="3422" spans="1:8" x14ac:dyDescent="0.25">
      <c r="A3422" s="43">
        <v>8225</v>
      </c>
      <c r="B3422" t="s">
        <v>520</v>
      </c>
      <c r="C3422" s="43" t="s">
        <v>1501</v>
      </c>
      <c r="D3422" s="43">
        <v>4205060</v>
      </c>
      <c r="E3422" t="s">
        <v>130</v>
      </c>
      <c r="F3422" s="47" t="str">
        <f>+Centro_Cuenta8[[#This Row],[Codigo Centro Gestion]]&amp;" - "&amp;Centro_Cuenta8[[#This Row],[Nombre Centro Gestion]]</f>
        <v>8225 - Entrega Parque Ingles</v>
      </c>
      <c r="G3422" s="47" t="str">
        <f>+Centro_Cuenta8[[#This Row],[Código Cuenta Contable]]&amp;" - "&amp;Centro_Cuenta8[[#This Row],[Nombre de Cuenta Contable]]</f>
        <v>4205060 - Gtos Grales Entrega y PV</v>
      </c>
      <c r="H3422" s="146" t="str">
        <f>+VLOOKUP(D3422,'3. Cuentas'!A:F,6,0)</f>
        <v>SI</v>
      </c>
    </row>
    <row r="3423" spans="1:8" x14ac:dyDescent="0.25">
      <c r="A3423" s="43">
        <v>8226</v>
      </c>
      <c r="B3423" t="s">
        <v>521</v>
      </c>
      <c r="C3423" s="43" t="s">
        <v>1501</v>
      </c>
      <c r="D3423" s="43">
        <v>4205060</v>
      </c>
      <c r="E3423" t="s">
        <v>130</v>
      </c>
      <c r="F3423" s="47" t="str">
        <f>+Centro_Cuenta8[[#This Row],[Codigo Centro Gestion]]&amp;" - "&amp;Centro_Cuenta8[[#This Row],[Nombre Centro Gestion]]</f>
        <v>8226 - Entrega Conde del Maule 4676</v>
      </c>
      <c r="G3423" s="47" t="str">
        <f>+Centro_Cuenta8[[#This Row],[Código Cuenta Contable]]&amp;" - "&amp;Centro_Cuenta8[[#This Row],[Nombre de Cuenta Contable]]</f>
        <v>4205060 - Gtos Grales Entrega y PV</v>
      </c>
      <c r="H3423" s="146" t="str">
        <f>+VLOOKUP(D3423,'3. Cuentas'!A:F,6,0)</f>
        <v>SI</v>
      </c>
    </row>
    <row r="3424" spans="1:8" x14ac:dyDescent="0.25">
      <c r="A3424" s="43">
        <v>8228</v>
      </c>
      <c r="B3424" t="s">
        <v>522</v>
      </c>
      <c r="C3424" s="43" t="s">
        <v>1501</v>
      </c>
      <c r="D3424" s="43">
        <v>4205060</v>
      </c>
      <c r="E3424" t="s">
        <v>130</v>
      </c>
      <c r="F3424" s="47" t="str">
        <f>+Centro_Cuenta8[[#This Row],[Codigo Centro Gestion]]&amp;" - "&amp;Centro_Cuenta8[[#This Row],[Nombre Centro Gestion]]</f>
        <v>8228 - Entrega Edificio Briones Luco</v>
      </c>
      <c r="G3424" s="47" t="str">
        <f>+Centro_Cuenta8[[#This Row],[Código Cuenta Contable]]&amp;" - "&amp;Centro_Cuenta8[[#This Row],[Nombre de Cuenta Contable]]</f>
        <v>4205060 - Gtos Grales Entrega y PV</v>
      </c>
      <c r="H3424" s="146" t="str">
        <f>+VLOOKUP(D3424,'3. Cuentas'!A:F,6,0)</f>
        <v>SI</v>
      </c>
    </row>
    <row r="3425" spans="1:8" x14ac:dyDescent="0.25">
      <c r="A3425" s="43">
        <v>8229</v>
      </c>
      <c r="B3425" t="s">
        <v>523</v>
      </c>
      <c r="C3425" s="43" t="s">
        <v>1501</v>
      </c>
      <c r="D3425" s="43">
        <v>4205060</v>
      </c>
      <c r="E3425" t="s">
        <v>130</v>
      </c>
      <c r="F3425" s="47" t="str">
        <f>+Centro_Cuenta8[[#This Row],[Codigo Centro Gestion]]&amp;" - "&amp;Centro_Cuenta8[[#This Row],[Nombre Centro Gestion]]</f>
        <v>8229 - Entrega Vista Las Palmas</v>
      </c>
      <c r="G3425" s="47" t="str">
        <f>+Centro_Cuenta8[[#This Row],[Código Cuenta Contable]]&amp;" - "&amp;Centro_Cuenta8[[#This Row],[Nombre de Cuenta Contable]]</f>
        <v>4205060 - Gtos Grales Entrega y PV</v>
      </c>
      <c r="H3425" s="146" t="str">
        <f>+VLOOKUP(D3425,'3. Cuentas'!A:F,6,0)</f>
        <v>SI</v>
      </c>
    </row>
    <row r="3426" spans="1:8" x14ac:dyDescent="0.25">
      <c r="A3426" s="43">
        <v>8230</v>
      </c>
      <c r="B3426" t="s">
        <v>524</v>
      </c>
      <c r="C3426" s="43" t="s">
        <v>1501</v>
      </c>
      <c r="D3426" s="43">
        <v>4205060</v>
      </c>
      <c r="E3426" t="s">
        <v>130</v>
      </c>
      <c r="F3426" s="47" t="str">
        <f>+Centro_Cuenta8[[#This Row],[Codigo Centro Gestion]]&amp;" - "&amp;Centro_Cuenta8[[#This Row],[Nombre Centro Gestion]]</f>
        <v>8230 - Entrega Condominio Manuel Jesus Rivera</v>
      </c>
      <c r="G3426" s="47" t="str">
        <f>+Centro_Cuenta8[[#This Row],[Código Cuenta Contable]]&amp;" - "&amp;Centro_Cuenta8[[#This Row],[Nombre de Cuenta Contable]]</f>
        <v>4205060 - Gtos Grales Entrega y PV</v>
      </c>
      <c r="H3426" s="146" t="str">
        <f>+VLOOKUP(D3426,'3. Cuentas'!A:F,6,0)</f>
        <v>SI</v>
      </c>
    </row>
    <row r="3427" spans="1:8" x14ac:dyDescent="0.25">
      <c r="A3427" s="43">
        <v>8231</v>
      </c>
      <c r="B3427" t="s">
        <v>525</v>
      </c>
      <c r="C3427" s="43" t="s">
        <v>1501</v>
      </c>
      <c r="D3427" s="43">
        <v>4205060</v>
      </c>
      <c r="E3427" t="s">
        <v>130</v>
      </c>
      <c r="F3427" s="47" t="str">
        <f>+Centro_Cuenta8[[#This Row],[Codigo Centro Gestion]]&amp;" - "&amp;Centro_Cuenta8[[#This Row],[Nombre Centro Gestion]]</f>
        <v>8231 - Entrega Edificio Guillermo Mann</v>
      </c>
      <c r="G3427" s="47" t="str">
        <f>+Centro_Cuenta8[[#This Row],[Código Cuenta Contable]]&amp;" - "&amp;Centro_Cuenta8[[#This Row],[Nombre de Cuenta Contable]]</f>
        <v>4205060 - Gtos Grales Entrega y PV</v>
      </c>
      <c r="H3427" s="146" t="str">
        <f>+VLOOKUP(D3427,'3. Cuentas'!A:F,6,0)</f>
        <v>SI</v>
      </c>
    </row>
    <row r="3428" spans="1:8" x14ac:dyDescent="0.25">
      <c r="A3428" s="43">
        <v>8232</v>
      </c>
      <c r="B3428" t="s">
        <v>526</v>
      </c>
      <c r="C3428" s="43" t="s">
        <v>1501</v>
      </c>
      <c r="D3428" s="43">
        <v>4205060</v>
      </c>
      <c r="E3428" t="s">
        <v>130</v>
      </c>
      <c r="F3428" s="47" t="str">
        <f>+Centro_Cuenta8[[#This Row],[Codigo Centro Gestion]]&amp;" - "&amp;Centro_Cuenta8[[#This Row],[Nombre Centro Gestion]]</f>
        <v>8232 - Entrega Edificio Coronel Souper</v>
      </c>
      <c r="G3428" s="47" t="str">
        <f>+Centro_Cuenta8[[#This Row],[Código Cuenta Contable]]&amp;" - "&amp;Centro_Cuenta8[[#This Row],[Nombre de Cuenta Contable]]</f>
        <v>4205060 - Gtos Grales Entrega y PV</v>
      </c>
      <c r="H3428" s="146" t="str">
        <f>+VLOOKUP(D3428,'3. Cuentas'!A:F,6,0)</f>
        <v>SI</v>
      </c>
    </row>
    <row r="3429" spans="1:8" x14ac:dyDescent="0.25">
      <c r="A3429" s="43">
        <v>8235</v>
      </c>
      <c r="B3429" t="s">
        <v>527</v>
      </c>
      <c r="C3429" s="43" t="s">
        <v>1501</v>
      </c>
      <c r="D3429" s="43">
        <v>4205060</v>
      </c>
      <c r="E3429" t="s">
        <v>130</v>
      </c>
      <c r="F3429" s="47" t="str">
        <f>+Centro_Cuenta8[[#This Row],[Codigo Centro Gestion]]&amp;" - "&amp;Centro_Cuenta8[[#This Row],[Nombre Centro Gestion]]</f>
        <v>8235 - Entrega Vista del Valle III</v>
      </c>
      <c r="G3429" s="47" t="str">
        <f>+Centro_Cuenta8[[#This Row],[Código Cuenta Contable]]&amp;" - "&amp;Centro_Cuenta8[[#This Row],[Nombre de Cuenta Contable]]</f>
        <v>4205060 - Gtos Grales Entrega y PV</v>
      </c>
      <c r="H3429" s="146" t="str">
        <f>+VLOOKUP(D3429,'3. Cuentas'!A:F,6,0)</f>
        <v>SI</v>
      </c>
    </row>
    <row r="3430" spans="1:8" x14ac:dyDescent="0.25">
      <c r="A3430" s="43">
        <v>8236</v>
      </c>
      <c r="B3430" t="s">
        <v>528</v>
      </c>
      <c r="C3430" s="43" t="s">
        <v>1501</v>
      </c>
      <c r="D3430" s="43">
        <v>4205060</v>
      </c>
      <c r="E3430" t="s">
        <v>130</v>
      </c>
      <c r="F3430" s="47" t="str">
        <f>+Centro_Cuenta8[[#This Row],[Codigo Centro Gestion]]&amp;" - "&amp;Centro_Cuenta8[[#This Row],[Nombre Centro Gestion]]</f>
        <v>8236 - Entrega Edificio Pedro Prado</v>
      </c>
      <c r="G3430" s="47" t="str">
        <f>+Centro_Cuenta8[[#This Row],[Código Cuenta Contable]]&amp;" - "&amp;Centro_Cuenta8[[#This Row],[Nombre de Cuenta Contable]]</f>
        <v>4205060 - Gtos Grales Entrega y PV</v>
      </c>
      <c r="H3430" s="146" t="str">
        <f>+VLOOKUP(D3430,'3. Cuentas'!A:F,6,0)</f>
        <v>SI</v>
      </c>
    </row>
    <row r="3431" spans="1:8" x14ac:dyDescent="0.25">
      <c r="A3431" s="43">
        <v>8237</v>
      </c>
      <c r="B3431" t="s">
        <v>529</v>
      </c>
      <c r="C3431" s="43" t="s">
        <v>1501</v>
      </c>
      <c r="D3431" s="43">
        <v>4205060</v>
      </c>
      <c r="E3431" t="s">
        <v>130</v>
      </c>
      <c r="F3431" s="47" t="str">
        <f>+Centro_Cuenta8[[#This Row],[Codigo Centro Gestion]]&amp;" - "&amp;Centro_Cuenta8[[#This Row],[Nombre Centro Gestion]]</f>
        <v>8237 - Entrega CUMBRE PLACERES</v>
      </c>
      <c r="G3431" s="47" t="str">
        <f>+Centro_Cuenta8[[#This Row],[Código Cuenta Contable]]&amp;" - "&amp;Centro_Cuenta8[[#This Row],[Nombre de Cuenta Contable]]</f>
        <v>4205060 - Gtos Grales Entrega y PV</v>
      </c>
      <c r="H3431" s="146" t="str">
        <f>+VLOOKUP(D3431,'3. Cuentas'!A:F,6,0)</f>
        <v>SI</v>
      </c>
    </row>
    <row r="3432" spans="1:8" x14ac:dyDescent="0.25">
      <c r="A3432" s="43">
        <v>8239</v>
      </c>
      <c r="B3432" t="s">
        <v>530</v>
      </c>
      <c r="C3432" s="43" t="s">
        <v>1501</v>
      </c>
      <c r="D3432" s="43">
        <v>4205060</v>
      </c>
      <c r="E3432" t="s">
        <v>130</v>
      </c>
      <c r="F3432" s="47" t="str">
        <f>+Centro_Cuenta8[[#This Row],[Codigo Centro Gestion]]&amp;" - "&amp;Centro_Cuenta8[[#This Row],[Nombre Centro Gestion]]</f>
        <v>8239 - Entrega Alto Mirador</v>
      </c>
      <c r="G3432" s="47" t="str">
        <f>+Centro_Cuenta8[[#This Row],[Código Cuenta Contable]]&amp;" - "&amp;Centro_Cuenta8[[#This Row],[Nombre de Cuenta Contable]]</f>
        <v>4205060 - Gtos Grales Entrega y PV</v>
      </c>
      <c r="H3432" s="146" t="str">
        <f>+VLOOKUP(D3432,'3. Cuentas'!A:F,6,0)</f>
        <v>SI</v>
      </c>
    </row>
    <row r="3433" spans="1:8" x14ac:dyDescent="0.25">
      <c r="A3433" s="43">
        <v>8241</v>
      </c>
      <c r="B3433" t="s">
        <v>531</v>
      </c>
      <c r="C3433" s="43" t="s">
        <v>1501</v>
      </c>
      <c r="D3433" s="43">
        <v>4205060</v>
      </c>
      <c r="E3433" t="s">
        <v>130</v>
      </c>
      <c r="F3433" s="47" t="str">
        <f>+Centro_Cuenta8[[#This Row],[Codigo Centro Gestion]]&amp;" - "&amp;Centro_Cuenta8[[#This Row],[Nombre Centro Gestion]]</f>
        <v>8241 - Entrega Parque Marañon Torre B</v>
      </c>
      <c r="G3433" s="47" t="str">
        <f>+Centro_Cuenta8[[#This Row],[Código Cuenta Contable]]&amp;" - "&amp;Centro_Cuenta8[[#This Row],[Nombre de Cuenta Contable]]</f>
        <v>4205060 - Gtos Grales Entrega y PV</v>
      </c>
      <c r="H3433" s="146" t="str">
        <f>+VLOOKUP(D3433,'3. Cuentas'!A:F,6,0)</f>
        <v>SI</v>
      </c>
    </row>
    <row r="3434" spans="1:8" x14ac:dyDescent="0.25">
      <c r="A3434" s="43">
        <v>8242</v>
      </c>
      <c r="B3434" t="s">
        <v>532</v>
      </c>
      <c r="C3434" s="43" t="s">
        <v>1501</v>
      </c>
      <c r="D3434" s="43">
        <v>4205060</v>
      </c>
      <c r="E3434" t="s">
        <v>130</v>
      </c>
      <c r="F3434" s="47" t="str">
        <f>+Centro_Cuenta8[[#This Row],[Codigo Centro Gestion]]&amp;" - "&amp;Centro_Cuenta8[[#This Row],[Nombre Centro Gestion]]</f>
        <v>8242 - Entrega Edificio Leon Prado</v>
      </c>
      <c r="G3434" s="47" t="str">
        <f>+Centro_Cuenta8[[#This Row],[Código Cuenta Contable]]&amp;" - "&amp;Centro_Cuenta8[[#This Row],[Nombre de Cuenta Contable]]</f>
        <v>4205060 - Gtos Grales Entrega y PV</v>
      </c>
      <c r="H3434" s="146" t="str">
        <f>+VLOOKUP(D3434,'3. Cuentas'!A:F,6,0)</f>
        <v>SI</v>
      </c>
    </row>
    <row r="3435" spans="1:8" x14ac:dyDescent="0.25">
      <c r="A3435" s="43">
        <v>8243</v>
      </c>
      <c r="B3435" t="s">
        <v>533</v>
      </c>
      <c r="C3435" s="43" t="s">
        <v>1501</v>
      </c>
      <c r="D3435" s="43">
        <v>4205060</v>
      </c>
      <c r="E3435" t="s">
        <v>130</v>
      </c>
      <c r="F3435" s="47" t="str">
        <f>+Centro_Cuenta8[[#This Row],[Codigo Centro Gestion]]&amp;" - "&amp;Centro_Cuenta8[[#This Row],[Nombre Centro Gestion]]</f>
        <v>8243 - Entrega Edificio Garcia Reyes</v>
      </c>
      <c r="G3435" s="47" t="str">
        <f>+Centro_Cuenta8[[#This Row],[Código Cuenta Contable]]&amp;" - "&amp;Centro_Cuenta8[[#This Row],[Nombre de Cuenta Contable]]</f>
        <v>4205060 - Gtos Grales Entrega y PV</v>
      </c>
      <c r="H3435" s="146" t="str">
        <f>+VLOOKUP(D3435,'3. Cuentas'!A:F,6,0)</f>
        <v>SI</v>
      </c>
    </row>
    <row r="3436" spans="1:8" x14ac:dyDescent="0.25">
      <c r="A3436" s="43">
        <v>8245</v>
      </c>
      <c r="B3436" t="s">
        <v>534</v>
      </c>
      <c r="C3436" s="43" t="s">
        <v>1501</v>
      </c>
      <c r="D3436" s="43">
        <v>4205060</v>
      </c>
      <c r="E3436" t="s">
        <v>130</v>
      </c>
      <c r="F3436" s="47" t="str">
        <f>+Centro_Cuenta8[[#This Row],[Codigo Centro Gestion]]&amp;" - "&amp;Centro_Cuenta8[[#This Row],[Nombre Centro Gestion]]</f>
        <v>8245 - Entrega Edificio La Coruña</v>
      </c>
      <c r="G3436" s="47" t="str">
        <f>+Centro_Cuenta8[[#This Row],[Código Cuenta Contable]]&amp;" - "&amp;Centro_Cuenta8[[#This Row],[Nombre de Cuenta Contable]]</f>
        <v>4205060 - Gtos Grales Entrega y PV</v>
      </c>
      <c r="H3436" s="146" t="str">
        <f>+VLOOKUP(D3436,'3. Cuentas'!A:F,6,0)</f>
        <v>SI</v>
      </c>
    </row>
    <row r="3437" spans="1:8" x14ac:dyDescent="0.25">
      <c r="A3437" s="43">
        <v>8248</v>
      </c>
      <c r="B3437" t="s">
        <v>535</v>
      </c>
      <c r="C3437" s="43" t="s">
        <v>1501</v>
      </c>
      <c r="D3437" s="43">
        <v>4205060</v>
      </c>
      <c r="E3437" t="s">
        <v>130</v>
      </c>
      <c r="F3437" s="47" t="str">
        <f>+Centro_Cuenta8[[#This Row],[Codigo Centro Gestion]]&amp;" - "&amp;Centro_Cuenta8[[#This Row],[Nombre Centro Gestion]]</f>
        <v>8248 - Entrega Alto Marañon Torre B</v>
      </c>
      <c r="G3437" s="47" t="str">
        <f>+Centro_Cuenta8[[#This Row],[Código Cuenta Contable]]&amp;" - "&amp;Centro_Cuenta8[[#This Row],[Nombre de Cuenta Contable]]</f>
        <v>4205060 - Gtos Grales Entrega y PV</v>
      </c>
      <c r="H3437" s="146" t="str">
        <f>+VLOOKUP(D3437,'3. Cuentas'!A:F,6,0)</f>
        <v>SI</v>
      </c>
    </row>
    <row r="3438" spans="1:8" x14ac:dyDescent="0.25">
      <c r="A3438" s="43">
        <v>8251</v>
      </c>
      <c r="B3438" t="s">
        <v>536</v>
      </c>
      <c r="C3438" s="43" t="s">
        <v>1501</v>
      </c>
      <c r="D3438" s="43">
        <v>4205060</v>
      </c>
      <c r="E3438" t="s">
        <v>130</v>
      </c>
      <c r="F3438" s="47" t="str">
        <f>+Centro_Cuenta8[[#This Row],[Codigo Centro Gestion]]&amp;" - "&amp;Centro_Cuenta8[[#This Row],[Nombre Centro Gestion]]</f>
        <v>8251 - Entrega Vista Horizonte</v>
      </c>
      <c r="G3438" s="47" t="str">
        <f>+Centro_Cuenta8[[#This Row],[Código Cuenta Contable]]&amp;" - "&amp;Centro_Cuenta8[[#This Row],[Nombre de Cuenta Contable]]</f>
        <v>4205060 - Gtos Grales Entrega y PV</v>
      </c>
      <c r="H3438" s="146" t="str">
        <f>+VLOOKUP(D3438,'3. Cuentas'!A:F,6,0)</f>
        <v>SI</v>
      </c>
    </row>
    <row r="3439" spans="1:8" x14ac:dyDescent="0.25">
      <c r="A3439" s="43">
        <v>8252</v>
      </c>
      <c r="B3439" t="s">
        <v>537</v>
      </c>
      <c r="C3439" s="43" t="s">
        <v>1501</v>
      </c>
      <c r="D3439" s="43">
        <v>4205060</v>
      </c>
      <c r="E3439" t="s">
        <v>130</v>
      </c>
      <c r="F3439" s="47" t="str">
        <f>+Centro_Cuenta8[[#This Row],[Codigo Centro Gestion]]&amp;" - "&amp;Centro_Cuenta8[[#This Row],[Nombre Centro Gestion]]</f>
        <v>8252 - Entrega Edificio Castillo Urizar</v>
      </c>
      <c r="G3439" s="47" t="str">
        <f>+Centro_Cuenta8[[#This Row],[Código Cuenta Contable]]&amp;" - "&amp;Centro_Cuenta8[[#This Row],[Nombre de Cuenta Contable]]</f>
        <v>4205060 - Gtos Grales Entrega y PV</v>
      </c>
      <c r="H3439" s="146" t="str">
        <f>+VLOOKUP(D3439,'3. Cuentas'!A:F,6,0)</f>
        <v>SI</v>
      </c>
    </row>
    <row r="3440" spans="1:8" x14ac:dyDescent="0.25">
      <c r="A3440" s="43">
        <v>8254</v>
      </c>
      <c r="B3440" t="s">
        <v>538</v>
      </c>
      <c r="C3440" s="43" t="s">
        <v>1501</v>
      </c>
      <c r="D3440" s="43">
        <v>4205060</v>
      </c>
      <c r="E3440" t="s">
        <v>130</v>
      </c>
      <c r="F3440" s="47" t="str">
        <f>+Centro_Cuenta8[[#This Row],[Codigo Centro Gestion]]&amp;" - "&amp;Centro_Cuenta8[[#This Row],[Nombre Centro Gestion]]</f>
        <v>8254 - Entrega Trinidad Ramirez</v>
      </c>
      <c r="G3440" s="47" t="str">
        <f>+Centro_Cuenta8[[#This Row],[Código Cuenta Contable]]&amp;" - "&amp;Centro_Cuenta8[[#This Row],[Nombre de Cuenta Contable]]</f>
        <v>4205060 - Gtos Grales Entrega y PV</v>
      </c>
      <c r="H3440" s="146" t="str">
        <f>+VLOOKUP(D3440,'3. Cuentas'!A:F,6,0)</f>
        <v>SI</v>
      </c>
    </row>
    <row r="3441" spans="1:8" x14ac:dyDescent="0.25">
      <c r="A3441" s="43">
        <v>8255</v>
      </c>
      <c r="B3441" t="s">
        <v>539</v>
      </c>
      <c r="C3441" s="43" t="s">
        <v>1501</v>
      </c>
      <c r="D3441" s="43">
        <v>4205060</v>
      </c>
      <c r="E3441" t="s">
        <v>130</v>
      </c>
      <c r="F3441" s="47" t="str">
        <f>+Centro_Cuenta8[[#This Row],[Codigo Centro Gestion]]&amp;" - "&amp;Centro_Cuenta8[[#This Row],[Nombre Centro Gestion]]</f>
        <v>8255 - Entrega Condominio Lago Ranco</v>
      </c>
      <c r="G3441" s="47" t="str">
        <f>+Centro_Cuenta8[[#This Row],[Código Cuenta Contable]]&amp;" - "&amp;Centro_Cuenta8[[#This Row],[Nombre de Cuenta Contable]]</f>
        <v>4205060 - Gtos Grales Entrega y PV</v>
      </c>
      <c r="H3441" s="146" t="str">
        <f>+VLOOKUP(D3441,'3. Cuentas'!A:F,6,0)</f>
        <v>SI</v>
      </c>
    </row>
    <row r="3442" spans="1:8" x14ac:dyDescent="0.25">
      <c r="A3442" s="43">
        <v>8256</v>
      </c>
      <c r="B3442" t="s">
        <v>540</v>
      </c>
      <c r="C3442" s="43" t="s">
        <v>1501</v>
      </c>
      <c r="D3442" s="43">
        <v>4205060</v>
      </c>
      <c r="E3442" t="s">
        <v>130</v>
      </c>
      <c r="F3442" s="47" t="str">
        <f>+Centro_Cuenta8[[#This Row],[Codigo Centro Gestion]]&amp;" - "&amp;Centro_Cuenta8[[#This Row],[Nombre Centro Gestion]]</f>
        <v>8256 - Entrega Edificio Lynch</v>
      </c>
      <c r="G3442" s="47" t="str">
        <f>+Centro_Cuenta8[[#This Row],[Código Cuenta Contable]]&amp;" - "&amp;Centro_Cuenta8[[#This Row],[Nombre de Cuenta Contable]]</f>
        <v>4205060 - Gtos Grales Entrega y PV</v>
      </c>
      <c r="H3442" s="146" t="str">
        <f>+VLOOKUP(D3442,'3. Cuentas'!A:F,6,0)</f>
        <v>SI</v>
      </c>
    </row>
    <row r="3443" spans="1:8" x14ac:dyDescent="0.25">
      <c r="A3443" s="43">
        <v>8258</v>
      </c>
      <c r="B3443" t="s">
        <v>541</v>
      </c>
      <c r="C3443" s="43" t="s">
        <v>1501</v>
      </c>
      <c r="D3443" s="43">
        <v>4205060</v>
      </c>
      <c r="E3443" t="s">
        <v>130</v>
      </c>
      <c r="F3443" s="47" t="str">
        <f>+Centro_Cuenta8[[#This Row],[Codigo Centro Gestion]]&amp;" - "&amp;Centro_Cuenta8[[#This Row],[Nombre Centro Gestion]]</f>
        <v>8258 - Entrega Condominio Jorge Cáceres Etapa 1</v>
      </c>
      <c r="G3443" s="47" t="str">
        <f>+Centro_Cuenta8[[#This Row],[Código Cuenta Contable]]&amp;" - "&amp;Centro_Cuenta8[[#This Row],[Nombre de Cuenta Contable]]</f>
        <v>4205060 - Gtos Grales Entrega y PV</v>
      </c>
      <c r="H3443" s="146" t="str">
        <f>+VLOOKUP(D3443,'3. Cuentas'!A:F,6,0)</f>
        <v>SI</v>
      </c>
    </row>
    <row r="3444" spans="1:8" x14ac:dyDescent="0.25">
      <c r="A3444" s="43">
        <v>8259</v>
      </c>
      <c r="B3444" t="s">
        <v>542</v>
      </c>
      <c r="C3444" s="43" t="s">
        <v>1501</v>
      </c>
      <c r="D3444" s="43">
        <v>4205060</v>
      </c>
      <c r="E3444" t="s">
        <v>130</v>
      </c>
      <c r="F3444" s="47" t="str">
        <f>+Centro_Cuenta8[[#This Row],[Codigo Centro Gestion]]&amp;" - "&amp;Centro_Cuenta8[[#This Row],[Nombre Centro Gestion]]</f>
        <v>8259 - Entrega Edificio Parque Urbano</v>
      </c>
      <c r="G3444" s="47" t="str">
        <f>+Centro_Cuenta8[[#This Row],[Código Cuenta Contable]]&amp;" - "&amp;Centro_Cuenta8[[#This Row],[Nombre de Cuenta Contable]]</f>
        <v>4205060 - Gtos Grales Entrega y PV</v>
      </c>
      <c r="H3444" s="146" t="str">
        <f>+VLOOKUP(D3444,'3. Cuentas'!A:F,6,0)</f>
        <v>SI</v>
      </c>
    </row>
    <row r="3445" spans="1:8" x14ac:dyDescent="0.25">
      <c r="A3445" s="43">
        <v>8260</v>
      </c>
      <c r="B3445" t="s">
        <v>543</v>
      </c>
      <c r="C3445" s="43" t="s">
        <v>1501</v>
      </c>
      <c r="D3445" s="43">
        <v>4205060</v>
      </c>
      <c r="E3445" t="s">
        <v>130</v>
      </c>
      <c r="F3445" s="47" t="str">
        <f>+Centro_Cuenta8[[#This Row],[Codigo Centro Gestion]]&amp;" - "&amp;Centro_Cuenta8[[#This Row],[Nombre Centro Gestion]]</f>
        <v>8260 - Entrega Edificio Lia Aguirre</v>
      </c>
      <c r="G3445" s="47" t="str">
        <f>+Centro_Cuenta8[[#This Row],[Código Cuenta Contable]]&amp;" - "&amp;Centro_Cuenta8[[#This Row],[Nombre de Cuenta Contable]]</f>
        <v>4205060 - Gtos Grales Entrega y PV</v>
      </c>
      <c r="H3445" s="146" t="str">
        <f>+VLOOKUP(D3445,'3. Cuentas'!A:F,6,0)</f>
        <v>SI</v>
      </c>
    </row>
    <row r="3446" spans="1:8" x14ac:dyDescent="0.25">
      <c r="A3446" s="43">
        <v>8262</v>
      </c>
      <c r="B3446" t="s">
        <v>544</v>
      </c>
      <c r="C3446" s="43" t="s">
        <v>1501</v>
      </c>
      <c r="D3446" s="43">
        <v>4205060</v>
      </c>
      <c r="E3446" t="s">
        <v>130</v>
      </c>
      <c r="F3446" s="47" t="str">
        <f>+Centro_Cuenta8[[#This Row],[Codigo Centro Gestion]]&amp;" - "&amp;Centro_Cuenta8[[#This Row],[Nombre Centro Gestion]]</f>
        <v>8262 - Entrega Alto Marañon 3</v>
      </c>
      <c r="G3446" s="47" t="str">
        <f>+Centro_Cuenta8[[#This Row],[Código Cuenta Contable]]&amp;" - "&amp;Centro_Cuenta8[[#This Row],[Nombre de Cuenta Contable]]</f>
        <v>4205060 - Gtos Grales Entrega y PV</v>
      </c>
      <c r="H3446" s="146" t="str">
        <f>+VLOOKUP(D3446,'3. Cuentas'!A:F,6,0)</f>
        <v>SI</v>
      </c>
    </row>
    <row r="3447" spans="1:8" x14ac:dyDescent="0.25">
      <c r="A3447" s="43">
        <v>8264</v>
      </c>
      <c r="B3447" t="s">
        <v>545</v>
      </c>
      <c r="C3447" s="43" t="s">
        <v>1501</v>
      </c>
      <c r="D3447" s="43">
        <v>4205060</v>
      </c>
      <c r="E3447" t="s">
        <v>130</v>
      </c>
      <c r="F3447" s="47" t="str">
        <f>+Centro_Cuenta8[[#This Row],[Codigo Centro Gestion]]&amp;" - "&amp;Centro_Cuenta8[[#This Row],[Nombre Centro Gestion]]</f>
        <v>8264 - Entrega Edificio Libertad</v>
      </c>
      <c r="G3447" s="47" t="str">
        <f>+Centro_Cuenta8[[#This Row],[Código Cuenta Contable]]&amp;" - "&amp;Centro_Cuenta8[[#This Row],[Nombre de Cuenta Contable]]</f>
        <v>4205060 - Gtos Grales Entrega y PV</v>
      </c>
      <c r="H3447" s="146" t="str">
        <f>+VLOOKUP(D3447,'3. Cuentas'!A:F,6,0)</f>
        <v>SI</v>
      </c>
    </row>
    <row r="3448" spans="1:8" x14ac:dyDescent="0.25">
      <c r="A3448" s="43">
        <v>8301</v>
      </c>
      <c r="B3448" t="s">
        <v>546</v>
      </c>
      <c r="C3448" s="43" t="s">
        <v>1501</v>
      </c>
      <c r="D3448" s="43">
        <v>4205060</v>
      </c>
      <c r="E3448" t="s">
        <v>130</v>
      </c>
      <c r="F3448" s="47" t="str">
        <f>+Centro_Cuenta8[[#This Row],[Codigo Centro Gestion]]&amp;" - "&amp;Centro_Cuenta8[[#This Row],[Nombre Centro Gestion]]</f>
        <v>8301 - Entrega Condominio Jorge Cáceres Etapa 2</v>
      </c>
      <c r="G3448" s="47" t="str">
        <f>+Centro_Cuenta8[[#This Row],[Código Cuenta Contable]]&amp;" - "&amp;Centro_Cuenta8[[#This Row],[Nombre de Cuenta Contable]]</f>
        <v>4205060 - Gtos Grales Entrega y PV</v>
      </c>
      <c r="H3448" s="146" t="str">
        <f>+VLOOKUP(D3448,'3. Cuentas'!A:F,6,0)</f>
        <v>SI</v>
      </c>
    </row>
    <row r="3449" spans="1:8" x14ac:dyDescent="0.25">
      <c r="A3449" s="43">
        <v>8303</v>
      </c>
      <c r="B3449" t="s">
        <v>547</v>
      </c>
      <c r="C3449" s="43" t="s">
        <v>1501</v>
      </c>
      <c r="D3449" s="43">
        <v>4205060</v>
      </c>
      <c r="E3449" t="s">
        <v>130</v>
      </c>
      <c r="F3449" s="47" t="str">
        <f>+Centro_Cuenta8[[#This Row],[Codigo Centro Gestion]]&amp;" - "&amp;Centro_Cuenta8[[#This Row],[Nombre Centro Gestion]]</f>
        <v>8303 - Entrega Condominio Palmas del Sur II</v>
      </c>
      <c r="G3449" s="47" t="str">
        <f>+Centro_Cuenta8[[#This Row],[Código Cuenta Contable]]&amp;" - "&amp;Centro_Cuenta8[[#This Row],[Nombre de Cuenta Contable]]</f>
        <v>4205060 - Gtos Grales Entrega y PV</v>
      </c>
      <c r="H3449" s="146" t="str">
        <f>+VLOOKUP(D3449,'3. Cuentas'!A:F,6,0)</f>
        <v>SI</v>
      </c>
    </row>
    <row r="3450" spans="1:8" x14ac:dyDescent="0.25">
      <c r="A3450" s="43">
        <v>8304</v>
      </c>
      <c r="B3450" t="s">
        <v>548</v>
      </c>
      <c r="C3450" s="43" t="s">
        <v>1501</v>
      </c>
      <c r="D3450" s="43">
        <v>4205060</v>
      </c>
      <c r="E3450" t="s">
        <v>130</v>
      </c>
      <c r="F3450" s="47" t="str">
        <f>+Centro_Cuenta8[[#This Row],[Codigo Centro Gestion]]&amp;" - "&amp;Centro_Cuenta8[[#This Row],[Nombre Centro Gestion]]</f>
        <v>8304 - Entrega Blanca Estela I Torre A y B</v>
      </c>
      <c r="G3450" s="47" t="str">
        <f>+Centro_Cuenta8[[#This Row],[Código Cuenta Contable]]&amp;" - "&amp;Centro_Cuenta8[[#This Row],[Nombre de Cuenta Contable]]</f>
        <v>4205060 - Gtos Grales Entrega y PV</v>
      </c>
      <c r="H3450" s="146" t="str">
        <f>+VLOOKUP(D3450,'3. Cuentas'!A:F,6,0)</f>
        <v>SI</v>
      </c>
    </row>
    <row r="3451" spans="1:8" x14ac:dyDescent="0.25">
      <c r="A3451" s="43">
        <v>8305</v>
      </c>
      <c r="B3451" t="s">
        <v>551</v>
      </c>
      <c r="C3451" s="43" t="s">
        <v>1501</v>
      </c>
      <c r="D3451" s="43">
        <v>4205060</v>
      </c>
      <c r="E3451" t="s">
        <v>130</v>
      </c>
      <c r="F3451" s="47" t="str">
        <f>+Centro_Cuenta8[[#This Row],[Codigo Centro Gestion]]&amp;" - "&amp;Centro_Cuenta8[[#This Row],[Nombre Centro Gestion]]</f>
        <v>8305 - Entrega Condominio Parque del Sur Torre A</v>
      </c>
      <c r="G3451" s="47" t="str">
        <f>+Centro_Cuenta8[[#This Row],[Código Cuenta Contable]]&amp;" - "&amp;Centro_Cuenta8[[#This Row],[Nombre de Cuenta Contable]]</f>
        <v>4205060 - Gtos Grales Entrega y PV</v>
      </c>
      <c r="H3451" s="146" t="str">
        <f>+VLOOKUP(D3451,'3. Cuentas'!A:F,6,0)</f>
        <v>SI</v>
      </c>
    </row>
    <row r="3452" spans="1:8" x14ac:dyDescent="0.25">
      <c r="A3452" s="43">
        <v>8306</v>
      </c>
      <c r="B3452" t="s">
        <v>549</v>
      </c>
      <c r="C3452" s="43" t="s">
        <v>1501</v>
      </c>
      <c r="D3452" s="43">
        <v>4205060</v>
      </c>
      <c r="E3452" t="s">
        <v>130</v>
      </c>
      <c r="F3452" s="47" t="str">
        <f>+Centro_Cuenta8[[#This Row],[Codigo Centro Gestion]]&amp;" - "&amp;Centro_Cuenta8[[#This Row],[Nombre Centro Gestion]]</f>
        <v>8306 - Entrega Edificio Latorre</v>
      </c>
      <c r="G3452" s="47" t="str">
        <f>+Centro_Cuenta8[[#This Row],[Código Cuenta Contable]]&amp;" - "&amp;Centro_Cuenta8[[#This Row],[Nombre de Cuenta Contable]]</f>
        <v>4205060 - Gtos Grales Entrega y PV</v>
      </c>
      <c r="H3452" s="146" t="str">
        <f>+VLOOKUP(D3452,'3. Cuentas'!A:F,6,0)</f>
        <v>SI</v>
      </c>
    </row>
    <row r="3453" spans="1:8" x14ac:dyDescent="0.25">
      <c r="A3453" s="43">
        <v>8359</v>
      </c>
      <c r="B3453" t="s">
        <v>550</v>
      </c>
      <c r="C3453" s="43" t="s">
        <v>1501</v>
      </c>
      <c r="D3453" s="43">
        <v>4205060</v>
      </c>
      <c r="E3453" t="s">
        <v>130</v>
      </c>
      <c r="F3453" s="47" t="str">
        <f>+Centro_Cuenta8[[#This Row],[Codigo Centro Gestion]]&amp;" - "&amp;Centro_Cuenta8[[#This Row],[Nombre Centro Gestion]]</f>
        <v>8359 - Entrega Edificio Liparita</v>
      </c>
      <c r="G3453" s="47" t="str">
        <f>+Centro_Cuenta8[[#This Row],[Código Cuenta Contable]]&amp;" - "&amp;Centro_Cuenta8[[#This Row],[Nombre de Cuenta Contable]]</f>
        <v>4205060 - Gtos Grales Entrega y PV</v>
      </c>
      <c r="H3453" s="146" t="str">
        <f>+VLOOKUP(D3453,'3. Cuentas'!A:F,6,0)</f>
        <v>SI</v>
      </c>
    </row>
    <row r="3454" spans="1:8" x14ac:dyDescent="0.25">
      <c r="A3454" s="43">
        <v>9001</v>
      </c>
      <c r="B3454" t="s">
        <v>553</v>
      </c>
      <c r="C3454" s="43" t="s">
        <v>328</v>
      </c>
      <c r="D3454" s="43">
        <v>1110040</v>
      </c>
      <c r="E3454" t="s">
        <v>1505</v>
      </c>
      <c r="F3454" s="47" t="str">
        <f>+Centro_Cuenta8[[#This Row],[Codigo Centro Gestion]]&amp;" - "&amp;Centro_Cuenta8[[#This Row],[Nombre Centro Gestion]]</f>
        <v>9001 - PV Vistamar II</v>
      </c>
      <c r="G3454" s="47" t="str">
        <f>+Centro_Cuenta8[[#This Row],[Código Cuenta Contable]]&amp;" - "&amp;Centro_Cuenta8[[#This Row],[Nombre de Cuenta Contable]]</f>
        <v>1110040 - Garantía Pagadas</v>
      </c>
      <c r="H3454" s="146" t="str">
        <f>+VLOOKUP(D3454,'3. Cuentas'!A:F,6,0)</f>
        <v>SI</v>
      </c>
    </row>
    <row r="3455" spans="1:8" x14ac:dyDescent="0.25">
      <c r="A3455" s="43">
        <v>9001</v>
      </c>
      <c r="B3455" t="s">
        <v>553</v>
      </c>
      <c r="C3455" s="43" t="s">
        <v>328</v>
      </c>
      <c r="D3455" s="43">
        <v>4205060</v>
      </c>
      <c r="E3455" t="s">
        <v>130</v>
      </c>
      <c r="F3455" s="47" t="str">
        <f>+Centro_Cuenta8[[#This Row],[Codigo Centro Gestion]]&amp;" - "&amp;Centro_Cuenta8[[#This Row],[Nombre Centro Gestion]]</f>
        <v>9001 - PV Vistamar II</v>
      </c>
      <c r="G3455" s="47" t="str">
        <f>+Centro_Cuenta8[[#This Row],[Código Cuenta Contable]]&amp;" - "&amp;Centro_Cuenta8[[#This Row],[Nombre de Cuenta Contable]]</f>
        <v>4205060 - Gtos Grales Entrega y PV</v>
      </c>
      <c r="H3455" s="146" t="str">
        <f>+VLOOKUP(D3455,'3. Cuentas'!A:F,6,0)</f>
        <v>SI</v>
      </c>
    </row>
    <row r="3456" spans="1:8" x14ac:dyDescent="0.25">
      <c r="A3456" s="43">
        <v>9002</v>
      </c>
      <c r="B3456" t="s">
        <v>554</v>
      </c>
      <c r="C3456" s="43" t="s">
        <v>328</v>
      </c>
      <c r="D3456" s="43">
        <v>1110040</v>
      </c>
      <c r="E3456" t="s">
        <v>1505</v>
      </c>
      <c r="F3456" s="47" t="str">
        <f>+Centro_Cuenta8[[#This Row],[Codigo Centro Gestion]]&amp;" - "&amp;Centro_Cuenta8[[#This Row],[Nombre Centro Gestion]]</f>
        <v>9002 - PV Placeres I</v>
      </c>
      <c r="G3456" s="47" t="str">
        <f>+Centro_Cuenta8[[#This Row],[Código Cuenta Contable]]&amp;" - "&amp;Centro_Cuenta8[[#This Row],[Nombre de Cuenta Contable]]</f>
        <v>1110040 - Garantía Pagadas</v>
      </c>
      <c r="H3456" s="146" t="str">
        <f>+VLOOKUP(D3456,'3. Cuentas'!A:F,6,0)</f>
        <v>SI</v>
      </c>
    </row>
    <row r="3457" spans="1:8" x14ac:dyDescent="0.25">
      <c r="A3457" s="43">
        <v>9002</v>
      </c>
      <c r="B3457" t="s">
        <v>554</v>
      </c>
      <c r="C3457" s="43" t="s">
        <v>328</v>
      </c>
      <c r="D3457" s="43">
        <v>4205060</v>
      </c>
      <c r="E3457" t="s">
        <v>130</v>
      </c>
      <c r="F3457" s="47" t="str">
        <f>+Centro_Cuenta8[[#This Row],[Codigo Centro Gestion]]&amp;" - "&amp;Centro_Cuenta8[[#This Row],[Nombre Centro Gestion]]</f>
        <v>9002 - PV Placeres I</v>
      </c>
      <c r="G3457" s="47" t="str">
        <f>+Centro_Cuenta8[[#This Row],[Código Cuenta Contable]]&amp;" - "&amp;Centro_Cuenta8[[#This Row],[Nombre de Cuenta Contable]]</f>
        <v>4205060 - Gtos Grales Entrega y PV</v>
      </c>
      <c r="H3457" s="146" t="str">
        <f>+VLOOKUP(D3457,'3. Cuentas'!A:F,6,0)</f>
        <v>SI</v>
      </c>
    </row>
    <row r="3458" spans="1:8" x14ac:dyDescent="0.25">
      <c r="A3458" s="43">
        <v>9003</v>
      </c>
      <c r="B3458" t="s">
        <v>555</v>
      </c>
      <c r="C3458" s="43" t="s">
        <v>328</v>
      </c>
      <c r="D3458" s="43">
        <v>1110040</v>
      </c>
      <c r="E3458" t="s">
        <v>1505</v>
      </c>
      <c r="F3458" s="47" t="str">
        <f>+Centro_Cuenta8[[#This Row],[Codigo Centro Gestion]]&amp;" - "&amp;Centro_Cuenta8[[#This Row],[Nombre Centro Gestion]]</f>
        <v>9003 - PV Placeres II</v>
      </c>
      <c r="G3458" s="47" t="str">
        <f>+Centro_Cuenta8[[#This Row],[Código Cuenta Contable]]&amp;" - "&amp;Centro_Cuenta8[[#This Row],[Nombre de Cuenta Contable]]</f>
        <v>1110040 - Garantía Pagadas</v>
      </c>
      <c r="H3458" s="146" t="str">
        <f>+VLOOKUP(D3458,'3. Cuentas'!A:F,6,0)</f>
        <v>SI</v>
      </c>
    </row>
    <row r="3459" spans="1:8" x14ac:dyDescent="0.25">
      <c r="A3459" s="43">
        <v>9003</v>
      </c>
      <c r="B3459" t="s">
        <v>555</v>
      </c>
      <c r="C3459" s="43" t="s">
        <v>328</v>
      </c>
      <c r="D3459" s="43">
        <v>4205060</v>
      </c>
      <c r="E3459" t="s">
        <v>130</v>
      </c>
      <c r="F3459" s="47" t="str">
        <f>+Centro_Cuenta8[[#This Row],[Codigo Centro Gestion]]&amp;" - "&amp;Centro_Cuenta8[[#This Row],[Nombre Centro Gestion]]</f>
        <v>9003 - PV Placeres II</v>
      </c>
      <c r="G3459" s="47" t="str">
        <f>+Centro_Cuenta8[[#This Row],[Código Cuenta Contable]]&amp;" - "&amp;Centro_Cuenta8[[#This Row],[Nombre de Cuenta Contable]]</f>
        <v>4205060 - Gtos Grales Entrega y PV</v>
      </c>
      <c r="H3459" s="146" t="str">
        <f>+VLOOKUP(D3459,'3. Cuentas'!A:F,6,0)</f>
        <v>SI</v>
      </c>
    </row>
    <row r="3460" spans="1:8" x14ac:dyDescent="0.25">
      <c r="A3460" s="43">
        <v>9004</v>
      </c>
      <c r="B3460" t="s">
        <v>556</v>
      </c>
      <c r="C3460" s="43" t="s">
        <v>328</v>
      </c>
      <c r="D3460" s="43">
        <v>1110040</v>
      </c>
      <c r="E3460" t="s">
        <v>1505</v>
      </c>
      <c r="F3460" s="47" t="str">
        <f>+Centro_Cuenta8[[#This Row],[Codigo Centro Gestion]]&amp;" - "&amp;Centro_Cuenta8[[#This Row],[Nombre Centro Gestion]]</f>
        <v>9004 - PV Meseta Atlántico</v>
      </c>
      <c r="G3460" s="47" t="str">
        <f>+Centro_Cuenta8[[#This Row],[Código Cuenta Contable]]&amp;" - "&amp;Centro_Cuenta8[[#This Row],[Nombre de Cuenta Contable]]</f>
        <v>1110040 - Garantía Pagadas</v>
      </c>
      <c r="H3460" s="146" t="str">
        <f>+VLOOKUP(D3460,'3. Cuentas'!A:F,6,0)</f>
        <v>SI</v>
      </c>
    </row>
    <row r="3461" spans="1:8" x14ac:dyDescent="0.25">
      <c r="A3461" s="43">
        <v>9004</v>
      </c>
      <c r="B3461" t="s">
        <v>556</v>
      </c>
      <c r="C3461" s="43" t="s">
        <v>328</v>
      </c>
      <c r="D3461" s="43">
        <v>4205060</v>
      </c>
      <c r="E3461" t="s">
        <v>130</v>
      </c>
      <c r="F3461" s="47" t="str">
        <f>+Centro_Cuenta8[[#This Row],[Codigo Centro Gestion]]&amp;" - "&amp;Centro_Cuenta8[[#This Row],[Nombre Centro Gestion]]</f>
        <v>9004 - PV Meseta Atlántico</v>
      </c>
      <c r="G3461" s="47" t="str">
        <f>+Centro_Cuenta8[[#This Row],[Código Cuenta Contable]]&amp;" - "&amp;Centro_Cuenta8[[#This Row],[Nombre de Cuenta Contable]]</f>
        <v>4205060 - Gtos Grales Entrega y PV</v>
      </c>
      <c r="H3461" s="146" t="str">
        <f>+VLOOKUP(D3461,'3. Cuentas'!A:F,6,0)</f>
        <v>SI</v>
      </c>
    </row>
    <row r="3462" spans="1:8" x14ac:dyDescent="0.25">
      <c r="A3462" s="43">
        <v>9006</v>
      </c>
      <c r="B3462" t="s">
        <v>557</v>
      </c>
      <c r="C3462" s="43" t="s">
        <v>328</v>
      </c>
      <c r="D3462" s="43">
        <v>1110040</v>
      </c>
      <c r="E3462" t="s">
        <v>1505</v>
      </c>
      <c r="F3462" s="47" t="str">
        <f>+Centro_Cuenta8[[#This Row],[Codigo Centro Gestion]]&amp;" - "&amp;Centro_Cuenta8[[#This Row],[Nombre Centro Gestion]]</f>
        <v>9006 - PV Parque Sacramentinos I</v>
      </c>
      <c r="G3462" s="47" t="str">
        <f>+Centro_Cuenta8[[#This Row],[Código Cuenta Contable]]&amp;" - "&amp;Centro_Cuenta8[[#This Row],[Nombre de Cuenta Contable]]</f>
        <v>1110040 - Garantía Pagadas</v>
      </c>
      <c r="H3462" s="146" t="str">
        <f>+VLOOKUP(D3462,'3. Cuentas'!A:F,6,0)</f>
        <v>SI</v>
      </c>
    </row>
    <row r="3463" spans="1:8" x14ac:dyDescent="0.25">
      <c r="A3463" s="43">
        <v>9006</v>
      </c>
      <c r="B3463" t="s">
        <v>557</v>
      </c>
      <c r="C3463" s="43" t="s">
        <v>328</v>
      </c>
      <c r="D3463" s="43">
        <v>4205060</v>
      </c>
      <c r="E3463" t="s">
        <v>130</v>
      </c>
      <c r="F3463" s="47" t="str">
        <f>+Centro_Cuenta8[[#This Row],[Codigo Centro Gestion]]&amp;" - "&amp;Centro_Cuenta8[[#This Row],[Nombre Centro Gestion]]</f>
        <v>9006 - PV Parque Sacramentinos I</v>
      </c>
      <c r="G3463" s="47" t="str">
        <f>+Centro_Cuenta8[[#This Row],[Código Cuenta Contable]]&amp;" - "&amp;Centro_Cuenta8[[#This Row],[Nombre de Cuenta Contable]]</f>
        <v>4205060 - Gtos Grales Entrega y PV</v>
      </c>
      <c r="H3463" s="146" t="str">
        <f>+VLOOKUP(D3463,'3. Cuentas'!A:F,6,0)</f>
        <v>SI</v>
      </c>
    </row>
    <row r="3464" spans="1:8" x14ac:dyDescent="0.25">
      <c r="A3464" s="43">
        <v>9007</v>
      </c>
      <c r="B3464" t="s">
        <v>558</v>
      </c>
      <c r="C3464" s="43" t="s">
        <v>328</v>
      </c>
      <c r="D3464" s="43">
        <v>1110040</v>
      </c>
      <c r="E3464" t="s">
        <v>1505</v>
      </c>
      <c r="F3464" s="47" t="str">
        <f>+Centro_Cuenta8[[#This Row],[Codigo Centro Gestion]]&amp;" - "&amp;Centro_Cuenta8[[#This Row],[Nombre Centro Gestion]]</f>
        <v>9007 - PV Atlanta</v>
      </c>
      <c r="G3464" s="47" t="str">
        <f>+Centro_Cuenta8[[#This Row],[Código Cuenta Contable]]&amp;" - "&amp;Centro_Cuenta8[[#This Row],[Nombre de Cuenta Contable]]</f>
        <v>1110040 - Garantía Pagadas</v>
      </c>
      <c r="H3464" s="146" t="str">
        <f>+VLOOKUP(D3464,'3. Cuentas'!A:F,6,0)</f>
        <v>SI</v>
      </c>
    </row>
    <row r="3465" spans="1:8" x14ac:dyDescent="0.25">
      <c r="A3465" s="43">
        <v>9007</v>
      </c>
      <c r="B3465" t="s">
        <v>558</v>
      </c>
      <c r="C3465" s="43" t="s">
        <v>328</v>
      </c>
      <c r="D3465" s="43">
        <v>4205060</v>
      </c>
      <c r="E3465" t="s">
        <v>130</v>
      </c>
      <c r="F3465" s="47" t="str">
        <f>+Centro_Cuenta8[[#This Row],[Codigo Centro Gestion]]&amp;" - "&amp;Centro_Cuenta8[[#This Row],[Nombre Centro Gestion]]</f>
        <v>9007 - PV Atlanta</v>
      </c>
      <c r="G3465" s="47" t="str">
        <f>+Centro_Cuenta8[[#This Row],[Código Cuenta Contable]]&amp;" - "&amp;Centro_Cuenta8[[#This Row],[Nombre de Cuenta Contable]]</f>
        <v>4205060 - Gtos Grales Entrega y PV</v>
      </c>
      <c r="H3465" s="146" t="str">
        <f>+VLOOKUP(D3465,'3. Cuentas'!A:F,6,0)</f>
        <v>SI</v>
      </c>
    </row>
    <row r="3466" spans="1:8" x14ac:dyDescent="0.25">
      <c r="A3466" s="43">
        <v>9008</v>
      </c>
      <c r="B3466" t="s">
        <v>559</v>
      </c>
      <c r="C3466" s="43" t="s">
        <v>328</v>
      </c>
      <c r="D3466" s="43">
        <v>1110040</v>
      </c>
      <c r="E3466" t="s">
        <v>1505</v>
      </c>
      <c r="F3466" s="47" t="str">
        <f>+Centro_Cuenta8[[#This Row],[Codigo Centro Gestion]]&amp;" - "&amp;Centro_Cuenta8[[#This Row],[Nombre Centro Gestion]]</f>
        <v>9008 - PV Consul. Andes</v>
      </c>
      <c r="G3466" s="47" t="str">
        <f>+Centro_Cuenta8[[#This Row],[Código Cuenta Contable]]&amp;" - "&amp;Centro_Cuenta8[[#This Row],[Nombre de Cuenta Contable]]</f>
        <v>1110040 - Garantía Pagadas</v>
      </c>
      <c r="H3466" s="146" t="str">
        <f>+VLOOKUP(D3466,'3. Cuentas'!A:F,6,0)</f>
        <v>SI</v>
      </c>
    </row>
    <row r="3467" spans="1:8" x14ac:dyDescent="0.25">
      <c r="A3467" s="43">
        <v>9008</v>
      </c>
      <c r="B3467" t="s">
        <v>559</v>
      </c>
      <c r="C3467" s="43" t="s">
        <v>328</v>
      </c>
      <c r="D3467" s="43">
        <v>4205060</v>
      </c>
      <c r="E3467" t="s">
        <v>130</v>
      </c>
      <c r="F3467" s="47" t="str">
        <f>+Centro_Cuenta8[[#This Row],[Codigo Centro Gestion]]&amp;" - "&amp;Centro_Cuenta8[[#This Row],[Nombre Centro Gestion]]</f>
        <v>9008 - PV Consul. Andes</v>
      </c>
      <c r="G3467" s="47" t="str">
        <f>+Centro_Cuenta8[[#This Row],[Código Cuenta Contable]]&amp;" - "&amp;Centro_Cuenta8[[#This Row],[Nombre de Cuenta Contable]]</f>
        <v>4205060 - Gtos Grales Entrega y PV</v>
      </c>
      <c r="H3467" s="146" t="str">
        <f>+VLOOKUP(D3467,'3. Cuentas'!A:F,6,0)</f>
        <v>SI</v>
      </c>
    </row>
    <row r="3468" spans="1:8" x14ac:dyDescent="0.25">
      <c r="A3468" s="43">
        <v>9009</v>
      </c>
      <c r="B3468" t="s">
        <v>560</v>
      </c>
      <c r="C3468" s="43" t="s">
        <v>328</v>
      </c>
      <c r="D3468" s="43">
        <v>1110040</v>
      </c>
      <c r="E3468" t="s">
        <v>1505</v>
      </c>
      <c r="F3468" s="47" t="str">
        <f>+Centro_Cuenta8[[#This Row],[Codigo Centro Gestion]]&amp;" - "&amp;Centro_Cuenta8[[#This Row],[Nombre Centro Gestion]]</f>
        <v>9009 - PV Consul. San Rafael</v>
      </c>
      <c r="G3468" s="47" t="str">
        <f>+Centro_Cuenta8[[#This Row],[Código Cuenta Contable]]&amp;" - "&amp;Centro_Cuenta8[[#This Row],[Nombre de Cuenta Contable]]</f>
        <v>1110040 - Garantía Pagadas</v>
      </c>
      <c r="H3468" s="146" t="str">
        <f>+VLOOKUP(D3468,'3. Cuentas'!A:F,6,0)</f>
        <v>SI</v>
      </c>
    </row>
    <row r="3469" spans="1:8" x14ac:dyDescent="0.25">
      <c r="A3469" s="43">
        <v>9009</v>
      </c>
      <c r="B3469" t="s">
        <v>560</v>
      </c>
      <c r="C3469" s="43" t="s">
        <v>328</v>
      </c>
      <c r="D3469" s="43">
        <v>4205060</v>
      </c>
      <c r="E3469" t="s">
        <v>130</v>
      </c>
      <c r="F3469" s="47" t="str">
        <f>+Centro_Cuenta8[[#This Row],[Codigo Centro Gestion]]&amp;" - "&amp;Centro_Cuenta8[[#This Row],[Nombre Centro Gestion]]</f>
        <v>9009 - PV Consul. San Rafael</v>
      </c>
      <c r="G3469" s="47" t="str">
        <f>+Centro_Cuenta8[[#This Row],[Código Cuenta Contable]]&amp;" - "&amp;Centro_Cuenta8[[#This Row],[Nombre de Cuenta Contable]]</f>
        <v>4205060 - Gtos Grales Entrega y PV</v>
      </c>
      <c r="H3469" s="146" t="str">
        <f>+VLOOKUP(D3469,'3. Cuentas'!A:F,6,0)</f>
        <v>SI</v>
      </c>
    </row>
    <row r="3470" spans="1:8" x14ac:dyDescent="0.25">
      <c r="A3470" s="43">
        <v>9010</v>
      </c>
      <c r="B3470" t="s">
        <v>561</v>
      </c>
      <c r="C3470" s="43" t="s">
        <v>328</v>
      </c>
      <c r="D3470" s="43">
        <v>1110040</v>
      </c>
      <c r="E3470" t="s">
        <v>1505</v>
      </c>
      <c r="F3470" s="47" t="str">
        <f>+Centro_Cuenta8[[#This Row],[Codigo Centro Gestion]]&amp;" - "&amp;Centro_Cuenta8[[#This Row],[Nombre Centro Gestion]]</f>
        <v>9010 - PV Miramar</v>
      </c>
      <c r="G3470" s="47" t="str">
        <f>+Centro_Cuenta8[[#This Row],[Código Cuenta Contable]]&amp;" - "&amp;Centro_Cuenta8[[#This Row],[Nombre de Cuenta Contable]]</f>
        <v>1110040 - Garantía Pagadas</v>
      </c>
      <c r="H3470" s="146" t="str">
        <f>+VLOOKUP(D3470,'3. Cuentas'!A:F,6,0)</f>
        <v>SI</v>
      </c>
    </row>
    <row r="3471" spans="1:8" x14ac:dyDescent="0.25">
      <c r="A3471" s="43">
        <v>9010</v>
      </c>
      <c r="B3471" t="s">
        <v>561</v>
      </c>
      <c r="C3471" s="43" t="s">
        <v>328</v>
      </c>
      <c r="D3471" s="43">
        <v>4205060</v>
      </c>
      <c r="E3471" t="s">
        <v>130</v>
      </c>
      <c r="F3471" s="47" t="str">
        <f>+Centro_Cuenta8[[#This Row],[Codigo Centro Gestion]]&amp;" - "&amp;Centro_Cuenta8[[#This Row],[Nombre Centro Gestion]]</f>
        <v>9010 - PV Miramar</v>
      </c>
      <c r="G3471" s="47" t="str">
        <f>+Centro_Cuenta8[[#This Row],[Código Cuenta Contable]]&amp;" - "&amp;Centro_Cuenta8[[#This Row],[Nombre de Cuenta Contable]]</f>
        <v>4205060 - Gtos Grales Entrega y PV</v>
      </c>
      <c r="H3471" s="146" t="str">
        <f>+VLOOKUP(D3471,'3. Cuentas'!A:F,6,0)</f>
        <v>SI</v>
      </c>
    </row>
    <row r="3472" spans="1:8" x14ac:dyDescent="0.25">
      <c r="A3472" s="43">
        <v>9011</v>
      </c>
      <c r="B3472" t="s">
        <v>562</v>
      </c>
      <c r="C3472" s="43" t="s">
        <v>328</v>
      </c>
      <c r="D3472" s="43">
        <v>1110040</v>
      </c>
      <c r="E3472" t="s">
        <v>1505</v>
      </c>
      <c r="F3472" s="47" t="str">
        <f>+Centro_Cuenta8[[#This Row],[Codigo Centro Gestion]]&amp;" - "&amp;Centro_Cuenta8[[#This Row],[Nombre Centro Gestion]]</f>
        <v>9011 - PV Parque Sacramentinos II</v>
      </c>
      <c r="G3472" s="47" t="str">
        <f>+Centro_Cuenta8[[#This Row],[Código Cuenta Contable]]&amp;" - "&amp;Centro_Cuenta8[[#This Row],[Nombre de Cuenta Contable]]</f>
        <v>1110040 - Garantía Pagadas</v>
      </c>
      <c r="H3472" s="146" t="str">
        <f>+VLOOKUP(D3472,'3. Cuentas'!A:F,6,0)</f>
        <v>SI</v>
      </c>
    </row>
    <row r="3473" spans="1:8" x14ac:dyDescent="0.25">
      <c r="A3473" s="43">
        <v>9011</v>
      </c>
      <c r="B3473" t="s">
        <v>562</v>
      </c>
      <c r="C3473" s="43" t="s">
        <v>328</v>
      </c>
      <c r="D3473" s="43">
        <v>4205060</v>
      </c>
      <c r="E3473" t="s">
        <v>130</v>
      </c>
      <c r="F3473" s="47" t="str">
        <f>+Centro_Cuenta8[[#This Row],[Codigo Centro Gestion]]&amp;" - "&amp;Centro_Cuenta8[[#This Row],[Nombre Centro Gestion]]</f>
        <v>9011 - PV Parque Sacramentinos II</v>
      </c>
      <c r="G3473" s="47" t="str">
        <f>+Centro_Cuenta8[[#This Row],[Código Cuenta Contable]]&amp;" - "&amp;Centro_Cuenta8[[#This Row],[Nombre de Cuenta Contable]]</f>
        <v>4205060 - Gtos Grales Entrega y PV</v>
      </c>
      <c r="H3473" s="146" t="str">
        <f>+VLOOKUP(D3473,'3. Cuentas'!A:F,6,0)</f>
        <v>SI</v>
      </c>
    </row>
    <row r="3474" spans="1:8" x14ac:dyDescent="0.25">
      <c r="A3474" s="43">
        <v>9013</v>
      </c>
      <c r="B3474" t="s">
        <v>563</v>
      </c>
      <c r="C3474" s="43" t="s">
        <v>328</v>
      </c>
      <c r="D3474" s="43">
        <v>1110040</v>
      </c>
      <c r="E3474" t="s">
        <v>1505</v>
      </c>
      <c r="F3474" s="47" t="str">
        <f>+Centro_Cuenta8[[#This Row],[Codigo Centro Gestion]]&amp;" - "&amp;Centro_Cuenta8[[#This Row],[Nombre Centro Gestion]]</f>
        <v>9013 - PV Altovistamar</v>
      </c>
      <c r="G3474" s="47" t="str">
        <f>+Centro_Cuenta8[[#This Row],[Código Cuenta Contable]]&amp;" - "&amp;Centro_Cuenta8[[#This Row],[Nombre de Cuenta Contable]]</f>
        <v>1110040 - Garantía Pagadas</v>
      </c>
      <c r="H3474" s="146" t="str">
        <f>+VLOOKUP(D3474,'3. Cuentas'!A:F,6,0)</f>
        <v>SI</v>
      </c>
    </row>
    <row r="3475" spans="1:8" x14ac:dyDescent="0.25">
      <c r="A3475" s="43">
        <v>9013</v>
      </c>
      <c r="B3475" t="s">
        <v>563</v>
      </c>
      <c r="C3475" s="43" t="s">
        <v>328</v>
      </c>
      <c r="D3475" s="43">
        <v>4205060</v>
      </c>
      <c r="E3475" t="s">
        <v>130</v>
      </c>
      <c r="F3475" s="47" t="str">
        <f>+Centro_Cuenta8[[#This Row],[Codigo Centro Gestion]]&amp;" - "&amp;Centro_Cuenta8[[#This Row],[Nombre Centro Gestion]]</f>
        <v>9013 - PV Altovistamar</v>
      </c>
      <c r="G3475" s="47" t="str">
        <f>+Centro_Cuenta8[[#This Row],[Código Cuenta Contable]]&amp;" - "&amp;Centro_Cuenta8[[#This Row],[Nombre de Cuenta Contable]]</f>
        <v>4205060 - Gtos Grales Entrega y PV</v>
      </c>
      <c r="H3475" s="146" t="str">
        <f>+VLOOKUP(D3475,'3. Cuentas'!A:F,6,0)</f>
        <v>SI</v>
      </c>
    </row>
    <row r="3476" spans="1:8" x14ac:dyDescent="0.25">
      <c r="A3476" s="43">
        <v>9014</v>
      </c>
      <c r="B3476" t="s">
        <v>564</v>
      </c>
      <c r="C3476" s="43" t="s">
        <v>328</v>
      </c>
      <c r="D3476" s="43">
        <v>1110040</v>
      </c>
      <c r="E3476" t="s">
        <v>1505</v>
      </c>
      <c r="F3476" s="47" t="str">
        <f>+Centro_Cuenta8[[#This Row],[Codigo Centro Gestion]]&amp;" - "&amp;Centro_Cuenta8[[#This Row],[Nombre Centro Gestion]]</f>
        <v>9014 - PV Edificio Colon</v>
      </c>
      <c r="G3476" s="47" t="str">
        <f>+Centro_Cuenta8[[#This Row],[Código Cuenta Contable]]&amp;" - "&amp;Centro_Cuenta8[[#This Row],[Nombre de Cuenta Contable]]</f>
        <v>1110040 - Garantía Pagadas</v>
      </c>
      <c r="H3476" s="146" t="str">
        <f>+VLOOKUP(D3476,'3. Cuentas'!A:F,6,0)</f>
        <v>SI</v>
      </c>
    </row>
    <row r="3477" spans="1:8" x14ac:dyDescent="0.25">
      <c r="A3477" s="43">
        <v>9014</v>
      </c>
      <c r="B3477" t="s">
        <v>564</v>
      </c>
      <c r="C3477" s="43" t="s">
        <v>328</v>
      </c>
      <c r="D3477" s="43">
        <v>4205060</v>
      </c>
      <c r="E3477" t="s">
        <v>130</v>
      </c>
      <c r="F3477" s="47" t="str">
        <f>+Centro_Cuenta8[[#This Row],[Codigo Centro Gestion]]&amp;" - "&amp;Centro_Cuenta8[[#This Row],[Nombre Centro Gestion]]</f>
        <v>9014 - PV Edificio Colon</v>
      </c>
      <c r="G3477" s="47" t="str">
        <f>+Centro_Cuenta8[[#This Row],[Código Cuenta Contable]]&amp;" - "&amp;Centro_Cuenta8[[#This Row],[Nombre de Cuenta Contable]]</f>
        <v>4205060 - Gtos Grales Entrega y PV</v>
      </c>
      <c r="H3477" s="146" t="str">
        <f>+VLOOKUP(D3477,'3. Cuentas'!A:F,6,0)</f>
        <v>SI</v>
      </c>
    </row>
    <row r="3478" spans="1:8" x14ac:dyDescent="0.25">
      <c r="A3478" s="43">
        <v>9015</v>
      </c>
      <c r="B3478" t="s">
        <v>565</v>
      </c>
      <c r="C3478" s="43" t="s">
        <v>328</v>
      </c>
      <c r="D3478" s="43">
        <v>1110040</v>
      </c>
      <c r="E3478" t="s">
        <v>1505</v>
      </c>
      <c r="F3478" s="47" t="str">
        <f>+Centro_Cuenta8[[#This Row],[Codigo Centro Gestion]]&amp;" - "&amp;Centro_Cuenta8[[#This Row],[Nombre Centro Gestion]]</f>
        <v>9015 - PV Estac. U del P</v>
      </c>
      <c r="G3478" s="47" t="str">
        <f>+Centro_Cuenta8[[#This Row],[Código Cuenta Contable]]&amp;" - "&amp;Centro_Cuenta8[[#This Row],[Nombre de Cuenta Contable]]</f>
        <v>1110040 - Garantía Pagadas</v>
      </c>
      <c r="H3478" s="146" t="str">
        <f>+VLOOKUP(D3478,'3. Cuentas'!A:F,6,0)</f>
        <v>SI</v>
      </c>
    </row>
    <row r="3479" spans="1:8" x14ac:dyDescent="0.25">
      <c r="A3479" s="43">
        <v>9015</v>
      </c>
      <c r="B3479" t="s">
        <v>565</v>
      </c>
      <c r="C3479" s="43" t="s">
        <v>328</v>
      </c>
      <c r="D3479" s="43">
        <v>4205060</v>
      </c>
      <c r="E3479" t="s">
        <v>130</v>
      </c>
      <c r="F3479" s="47" t="str">
        <f>+Centro_Cuenta8[[#This Row],[Codigo Centro Gestion]]&amp;" - "&amp;Centro_Cuenta8[[#This Row],[Nombre Centro Gestion]]</f>
        <v>9015 - PV Estac. U del P</v>
      </c>
      <c r="G3479" s="47" t="str">
        <f>+Centro_Cuenta8[[#This Row],[Código Cuenta Contable]]&amp;" - "&amp;Centro_Cuenta8[[#This Row],[Nombre de Cuenta Contable]]</f>
        <v>4205060 - Gtos Grales Entrega y PV</v>
      </c>
      <c r="H3479" s="146" t="str">
        <f>+VLOOKUP(D3479,'3. Cuentas'!A:F,6,0)</f>
        <v>SI</v>
      </c>
    </row>
    <row r="3480" spans="1:8" x14ac:dyDescent="0.25">
      <c r="A3480" s="43">
        <v>9016</v>
      </c>
      <c r="B3480" t="s">
        <v>566</v>
      </c>
      <c r="C3480" s="43" t="s">
        <v>328</v>
      </c>
      <c r="D3480" s="43">
        <v>1110040</v>
      </c>
      <c r="E3480" t="s">
        <v>1505</v>
      </c>
      <c r="F3480" s="47" t="str">
        <f>+Centro_Cuenta8[[#This Row],[Codigo Centro Gestion]]&amp;" - "&amp;Centro_Cuenta8[[#This Row],[Nombre Centro Gestion]]</f>
        <v>9016 - PV Parque Sacramentinos III</v>
      </c>
      <c r="G3480" s="47" t="str">
        <f>+Centro_Cuenta8[[#This Row],[Código Cuenta Contable]]&amp;" - "&amp;Centro_Cuenta8[[#This Row],[Nombre de Cuenta Contable]]</f>
        <v>1110040 - Garantía Pagadas</v>
      </c>
      <c r="H3480" s="146" t="str">
        <f>+VLOOKUP(D3480,'3. Cuentas'!A:F,6,0)</f>
        <v>SI</v>
      </c>
    </row>
    <row r="3481" spans="1:8" x14ac:dyDescent="0.25">
      <c r="A3481" s="43">
        <v>9016</v>
      </c>
      <c r="B3481" t="s">
        <v>566</v>
      </c>
      <c r="C3481" s="43" t="s">
        <v>328</v>
      </c>
      <c r="D3481" s="43">
        <v>4205060</v>
      </c>
      <c r="E3481" t="s">
        <v>130</v>
      </c>
      <c r="F3481" s="47" t="str">
        <f>+Centro_Cuenta8[[#This Row],[Codigo Centro Gestion]]&amp;" - "&amp;Centro_Cuenta8[[#This Row],[Nombre Centro Gestion]]</f>
        <v>9016 - PV Parque Sacramentinos III</v>
      </c>
      <c r="G3481" s="47" t="str">
        <f>+Centro_Cuenta8[[#This Row],[Código Cuenta Contable]]&amp;" - "&amp;Centro_Cuenta8[[#This Row],[Nombre de Cuenta Contable]]</f>
        <v>4205060 - Gtos Grales Entrega y PV</v>
      </c>
      <c r="H3481" s="146" t="str">
        <f>+VLOOKUP(D3481,'3. Cuentas'!A:F,6,0)</f>
        <v>SI</v>
      </c>
    </row>
    <row r="3482" spans="1:8" x14ac:dyDescent="0.25">
      <c r="A3482" s="43">
        <v>9017</v>
      </c>
      <c r="B3482" t="s">
        <v>567</v>
      </c>
      <c r="C3482" s="43" t="s">
        <v>328</v>
      </c>
      <c r="D3482" s="43">
        <v>1110040</v>
      </c>
      <c r="E3482" t="s">
        <v>1505</v>
      </c>
      <c r="F3482" s="47" t="str">
        <f>+Centro_Cuenta8[[#This Row],[Codigo Centro Gestion]]&amp;" - "&amp;Centro_Cuenta8[[#This Row],[Nombre Centro Gestion]]</f>
        <v>9017 - PV Mirador Sacramentinos</v>
      </c>
      <c r="G3482" s="47" t="str">
        <f>+Centro_Cuenta8[[#This Row],[Código Cuenta Contable]]&amp;" - "&amp;Centro_Cuenta8[[#This Row],[Nombre de Cuenta Contable]]</f>
        <v>1110040 - Garantía Pagadas</v>
      </c>
      <c r="H3482" s="146" t="str">
        <f>+VLOOKUP(D3482,'3. Cuentas'!A:F,6,0)</f>
        <v>SI</v>
      </c>
    </row>
    <row r="3483" spans="1:8" x14ac:dyDescent="0.25">
      <c r="A3483" s="43">
        <v>9017</v>
      </c>
      <c r="B3483" t="s">
        <v>567</v>
      </c>
      <c r="C3483" s="43" t="s">
        <v>328</v>
      </c>
      <c r="D3483" s="43">
        <v>4205060</v>
      </c>
      <c r="E3483" t="s">
        <v>130</v>
      </c>
      <c r="F3483" s="47" t="str">
        <f>+Centro_Cuenta8[[#This Row],[Codigo Centro Gestion]]&amp;" - "&amp;Centro_Cuenta8[[#This Row],[Nombre Centro Gestion]]</f>
        <v>9017 - PV Mirador Sacramentinos</v>
      </c>
      <c r="G3483" s="47" t="str">
        <f>+Centro_Cuenta8[[#This Row],[Código Cuenta Contable]]&amp;" - "&amp;Centro_Cuenta8[[#This Row],[Nombre de Cuenta Contable]]</f>
        <v>4205060 - Gtos Grales Entrega y PV</v>
      </c>
      <c r="H3483" s="146" t="str">
        <f>+VLOOKUP(D3483,'3. Cuentas'!A:F,6,0)</f>
        <v>SI</v>
      </c>
    </row>
    <row r="3484" spans="1:8" x14ac:dyDescent="0.25">
      <c r="A3484" s="43">
        <v>9018</v>
      </c>
      <c r="B3484" t="s">
        <v>568</v>
      </c>
      <c r="C3484" s="43" t="s">
        <v>328</v>
      </c>
      <c r="D3484" s="43">
        <v>1110040</v>
      </c>
      <c r="E3484" t="s">
        <v>1505</v>
      </c>
      <c r="F3484" s="47" t="str">
        <f>+Centro_Cuenta8[[#This Row],[Codigo Centro Gestion]]&amp;" - "&amp;Centro_Cuenta8[[#This Row],[Nombre Centro Gestion]]</f>
        <v>9018 - PV Sacramentinos Oriente</v>
      </c>
      <c r="G3484" s="47" t="str">
        <f>+Centro_Cuenta8[[#This Row],[Código Cuenta Contable]]&amp;" - "&amp;Centro_Cuenta8[[#This Row],[Nombre de Cuenta Contable]]</f>
        <v>1110040 - Garantía Pagadas</v>
      </c>
      <c r="H3484" s="146" t="str">
        <f>+VLOOKUP(D3484,'3. Cuentas'!A:F,6,0)</f>
        <v>SI</v>
      </c>
    </row>
    <row r="3485" spans="1:8" x14ac:dyDescent="0.25">
      <c r="A3485" s="43">
        <v>9018</v>
      </c>
      <c r="B3485" t="s">
        <v>568</v>
      </c>
      <c r="C3485" s="43" t="s">
        <v>328</v>
      </c>
      <c r="D3485" s="43">
        <v>4205060</v>
      </c>
      <c r="E3485" t="s">
        <v>130</v>
      </c>
      <c r="F3485" s="47" t="str">
        <f>+Centro_Cuenta8[[#This Row],[Codigo Centro Gestion]]&amp;" - "&amp;Centro_Cuenta8[[#This Row],[Nombre Centro Gestion]]</f>
        <v>9018 - PV Sacramentinos Oriente</v>
      </c>
      <c r="G3485" s="47" t="str">
        <f>+Centro_Cuenta8[[#This Row],[Código Cuenta Contable]]&amp;" - "&amp;Centro_Cuenta8[[#This Row],[Nombre de Cuenta Contable]]</f>
        <v>4205060 - Gtos Grales Entrega y PV</v>
      </c>
      <c r="H3485" s="146" t="str">
        <f>+VLOOKUP(D3485,'3. Cuentas'!A:F,6,0)</f>
        <v>SI</v>
      </c>
    </row>
    <row r="3486" spans="1:8" x14ac:dyDescent="0.25">
      <c r="A3486" s="43">
        <v>9019</v>
      </c>
      <c r="B3486" t="s">
        <v>569</v>
      </c>
      <c r="C3486" s="43" t="s">
        <v>328</v>
      </c>
      <c r="D3486" s="43">
        <v>1110040</v>
      </c>
      <c r="E3486" t="s">
        <v>1505</v>
      </c>
      <c r="F3486" s="47" t="str">
        <f>+Centro_Cuenta8[[#This Row],[Codigo Centro Gestion]]&amp;" - "&amp;Centro_Cuenta8[[#This Row],[Nombre Centro Gestion]]</f>
        <v>9019 - PV Terra Placeres</v>
      </c>
      <c r="G3486" s="47" t="str">
        <f>+Centro_Cuenta8[[#This Row],[Código Cuenta Contable]]&amp;" - "&amp;Centro_Cuenta8[[#This Row],[Nombre de Cuenta Contable]]</f>
        <v>1110040 - Garantía Pagadas</v>
      </c>
      <c r="H3486" s="146" t="str">
        <f>+VLOOKUP(D3486,'3. Cuentas'!A:F,6,0)</f>
        <v>SI</v>
      </c>
    </row>
    <row r="3487" spans="1:8" x14ac:dyDescent="0.25">
      <c r="A3487" s="43">
        <v>9019</v>
      </c>
      <c r="B3487" t="s">
        <v>569</v>
      </c>
      <c r="C3487" s="43" t="s">
        <v>328</v>
      </c>
      <c r="D3487" s="43">
        <v>4205060</v>
      </c>
      <c r="E3487" t="s">
        <v>130</v>
      </c>
      <c r="F3487" s="47" t="str">
        <f>+Centro_Cuenta8[[#This Row],[Codigo Centro Gestion]]&amp;" - "&amp;Centro_Cuenta8[[#This Row],[Nombre Centro Gestion]]</f>
        <v>9019 - PV Terra Placeres</v>
      </c>
      <c r="G3487" s="47" t="str">
        <f>+Centro_Cuenta8[[#This Row],[Código Cuenta Contable]]&amp;" - "&amp;Centro_Cuenta8[[#This Row],[Nombre de Cuenta Contable]]</f>
        <v>4205060 - Gtos Grales Entrega y PV</v>
      </c>
      <c r="H3487" s="146" t="str">
        <f>+VLOOKUP(D3487,'3. Cuentas'!A:F,6,0)</f>
        <v>SI</v>
      </c>
    </row>
    <row r="3488" spans="1:8" x14ac:dyDescent="0.25">
      <c r="A3488" s="43">
        <v>9020</v>
      </c>
      <c r="B3488" t="s">
        <v>570</v>
      </c>
      <c r="C3488" s="43" t="s">
        <v>328</v>
      </c>
      <c r="D3488" s="43">
        <v>1110040</v>
      </c>
      <c r="E3488" t="s">
        <v>1505</v>
      </c>
      <c r="F3488" s="47" t="str">
        <f>+Centro_Cuenta8[[#This Row],[Codigo Centro Gestion]]&amp;" - "&amp;Centro_Cuenta8[[#This Row],[Nombre Centro Gestion]]</f>
        <v>9020 - PV Barrio Verde Edif 1</v>
      </c>
      <c r="G3488" s="47" t="str">
        <f>+Centro_Cuenta8[[#This Row],[Código Cuenta Contable]]&amp;" - "&amp;Centro_Cuenta8[[#This Row],[Nombre de Cuenta Contable]]</f>
        <v>1110040 - Garantía Pagadas</v>
      </c>
      <c r="H3488" s="146" t="str">
        <f>+VLOOKUP(D3488,'3. Cuentas'!A:F,6,0)</f>
        <v>SI</v>
      </c>
    </row>
    <row r="3489" spans="1:8" x14ac:dyDescent="0.25">
      <c r="A3489" s="43">
        <v>9020</v>
      </c>
      <c r="B3489" t="s">
        <v>570</v>
      </c>
      <c r="C3489" s="43" t="s">
        <v>328</v>
      </c>
      <c r="D3489" s="43">
        <v>4205060</v>
      </c>
      <c r="E3489" t="s">
        <v>130</v>
      </c>
      <c r="F3489" s="47" t="str">
        <f>+Centro_Cuenta8[[#This Row],[Codigo Centro Gestion]]&amp;" - "&amp;Centro_Cuenta8[[#This Row],[Nombre Centro Gestion]]</f>
        <v>9020 - PV Barrio Verde Edif 1</v>
      </c>
      <c r="G3489" s="47" t="str">
        <f>+Centro_Cuenta8[[#This Row],[Código Cuenta Contable]]&amp;" - "&amp;Centro_Cuenta8[[#This Row],[Nombre de Cuenta Contable]]</f>
        <v>4205060 - Gtos Grales Entrega y PV</v>
      </c>
      <c r="H3489" s="146" t="str">
        <f>+VLOOKUP(D3489,'3. Cuentas'!A:F,6,0)</f>
        <v>SI</v>
      </c>
    </row>
    <row r="3490" spans="1:8" x14ac:dyDescent="0.25">
      <c r="A3490" s="43">
        <v>9021</v>
      </c>
      <c r="B3490" t="s">
        <v>571</v>
      </c>
      <c r="C3490" s="43" t="s">
        <v>328</v>
      </c>
      <c r="D3490" s="43">
        <v>1110040</v>
      </c>
      <c r="E3490" t="s">
        <v>1505</v>
      </c>
      <c r="F3490" s="47" t="str">
        <f>+Centro_Cuenta8[[#This Row],[Codigo Centro Gestion]]&amp;" - "&amp;Centro_Cuenta8[[#This Row],[Nombre Centro Gestion]]</f>
        <v>9021 - PV Los Castaños</v>
      </c>
      <c r="G3490" s="47" t="str">
        <f>+Centro_Cuenta8[[#This Row],[Código Cuenta Contable]]&amp;" - "&amp;Centro_Cuenta8[[#This Row],[Nombre de Cuenta Contable]]</f>
        <v>1110040 - Garantía Pagadas</v>
      </c>
      <c r="H3490" s="146" t="str">
        <f>+VLOOKUP(D3490,'3. Cuentas'!A:F,6,0)</f>
        <v>SI</v>
      </c>
    </row>
    <row r="3491" spans="1:8" x14ac:dyDescent="0.25">
      <c r="A3491" s="43">
        <v>9021</v>
      </c>
      <c r="B3491" t="s">
        <v>571</v>
      </c>
      <c r="C3491" s="43" t="s">
        <v>328</v>
      </c>
      <c r="D3491" s="43">
        <v>4205060</v>
      </c>
      <c r="E3491" t="s">
        <v>130</v>
      </c>
      <c r="F3491" s="47" t="str">
        <f>+Centro_Cuenta8[[#This Row],[Codigo Centro Gestion]]&amp;" - "&amp;Centro_Cuenta8[[#This Row],[Nombre Centro Gestion]]</f>
        <v>9021 - PV Los Castaños</v>
      </c>
      <c r="G3491" s="47" t="str">
        <f>+Centro_Cuenta8[[#This Row],[Código Cuenta Contable]]&amp;" - "&amp;Centro_Cuenta8[[#This Row],[Nombre de Cuenta Contable]]</f>
        <v>4205060 - Gtos Grales Entrega y PV</v>
      </c>
      <c r="H3491" s="146" t="str">
        <f>+VLOOKUP(D3491,'3. Cuentas'!A:F,6,0)</f>
        <v>SI</v>
      </c>
    </row>
    <row r="3492" spans="1:8" x14ac:dyDescent="0.25">
      <c r="A3492" s="43">
        <v>9022</v>
      </c>
      <c r="B3492" t="s">
        <v>572</v>
      </c>
      <c r="C3492" s="43" t="s">
        <v>328</v>
      </c>
      <c r="D3492" s="43">
        <v>1110040</v>
      </c>
      <c r="E3492" t="s">
        <v>1505</v>
      </c>
      <c r="F3492" s="47" t="str">
        <f>+Centro_Cuenta8[[#This Row],[Codigo Centro Gestion]]&amp;" - "&amp;Centro_Cuenta8[[#This Row],[Nombre Centro Gestion]]</f>
        <v>9022 - PV Hospital de Los Andes</v>
      </c>
      <c r="G3492" s="47" t="str">
        <f>+Centro_Cuenta8[[#This Row],[Código Cuenta Contable]]&amp;" - "&amp;Centro_Cuenta8[[#This Row],[Nombre de Cuenta Contable]]</f>
        <v>1110040 - Garantía Pagadas</v>
      </c>
      <c r="H3492" s="146" t="str">
        <f>+VLOOKUP(D3492,'3. Cuentas'!A:F,6,0)</f>
        <v>SI</v>
      </c>
    </row>
    <row r="3493" spans="1:8" x14ac:dyDescent="0.25">
      <c r="A3493" s="43">
        <v>9022</v>
      </c>
      <c r="B3493" t="s">
        <v>572</v>
      </c>
      <c r="C3493" s="43" t="s">
        <v>328</v>
      </c>
      <c r="D3493" s="43">
        <v>4205060</v>
      </c>
      <c r="E3493" t="s">
        <v>130</v>
      </c>
      <c r="F3493" s="47" t="str">
        <f>+Centro_Cuenta8[[#This Row],[Codigo Centro Gestion]]&amp;" - "&amp;Centro_Cuenta8[[#This Row],[Nombre Centro Gestion]]</f>
        <v>9022 - PV Hospital de Los Andes</v>
      </c>
      <c r="G3493" s="47" t="str">
        <f>+Centro_Cuenta8[[#This Row],[Código Cuenta Contable]]&amp;" - "&amp;Centro_Cuenta8[[#This Row],[Nombre de Cuenta Contable]]</f>
        <v>4205060 - Gtos Grales Entrega y PV</v>
      </c>
      <c r="H3493" s="146" t="str">
        <f>+VLOOKUP(D3493,'3. Cuentas'!A:F,6,0)</f>
        <v>SI</v>
      </c>
    </row>
    <row r="3494" spans="1:8" x14ac:dyDescent="0.25">
      <c r="A3494" s="43">
        <v>9024</v>
      </c>
      <c r="B3494" t="s">
        <v>573</v>
      </c>
      <c r="C3494" s="43" t="s">
        <v>328</v>
      </c>
      <c r="D3494" s="43">
        <v>1110040</v>
      </c>
      <c r="E3494" t="s">
        <v>1505</v>
      </c>
      <c r="F3494" s="47" t="str">
        <f>+Centro_Cuenta8[[#This Row],[Codigo Centro Gestion]]&amp;" - "&amp;Centro_Cuenta8[[#This Row],[Nombre Centro Gestion]]</f>
        <v>9024 - PV Los Olmos</v>
      </c>
      <c r="G3494" s="47" t="str">
        <f>+Centro_Cuenta8[[#This Row],[Código Cuenta Contable]]&amp;" - "&amp;Centro_Cuenta8[[#This Row],[Nombre de Cuenta Contable]]</f>
        <v>1110040 - Garantía Pagadas</v>
      </c>
      <c r="H3494" s="146" t="str">
        <f>+VLOOKUP(D3494,'3. Cuentas'!A:F,6,0)</f>
        <v>SI</v>
      </c>
    </row>
    <row r="3495" spans="1:8" x14ac:dyDescent="0.25">
      <c r="A3495" s="43">
        <v>9024</v>
      </c>
      <c r="B3495" t="s">
        <v>573</v>
      </c>
      <c r="C3495" s="43" t="s">
        <v>328</v>
      </c>
      <c r="D3495" s="43">
        <v>4205060</v>
      </c>
      <c r="E3495" t="s">
        <v>130</v>
      </c>
      <c r="F3495" s="47" t="str">
        <f>+Centro_Cuenta8[[#This Row],[Codigo Centro Gestion]]&amp;" - "&amp;Centro_Cuenta8[[#This Row],[Nombre Centro Gestion]]</f>
        <v>9024 - PV Los Olmos</v>
      </c>
      <c r="G3495" s="47" t="str">
        <f>+Centro_Cuenta8[[#This Row],[Código Cuenta Contable]]&amp;" - "&amp;Centro_Cuenta8[[#This Row],[Nombre de Cuenta Contable]]</f>
        <v>4205060 - Gtos Grales Entrega y PV</v>
      </c>
      <c r="H3495" s="146" t="str">
        <f>+VLOOKUP(D3495,'3. Cuentas'!A:F,6,0)</f>
        <v>SI</v>
      </c>
    </row>
    <row r="3496" spans="1:8" x14ac:dyDescent="0.25">
      <c r="A3496" s="43">
        <v>9025</v>
      </c>
      <c r="B3496" t="s">
        <v>574</v>
      </c>
      <c r="C3496" s="43" t="s">
        <v>328</v>
      </c>
      <c r="D3496" s="43">
        <v>1110040</v>
      </c>
      <c r="E3496" t="s">
        <v>1505</v>
      </c>
      <c r="F3496" s="47" t="str">
        <f>+Centro_Cuenta8[[#This Row],[Codigo Centro Gestion]]&amp;" - "&amp;Centro_Cuenta8[[#This Row],[Nombre Centro Gestion]]</f>
        <v>9025 - PV SSCC</v>
      </c>
      <c r="G3496" s="47" t="str">
        <f>+Centro_Cuenta8[[#This Row],[Código Cuenta Contable]]&amp;" - "&amp;Centro_Cuenta8[[#This Row],[Nombre de Cuenta Contable]]</f>
        <v>1110040 - Garantía Pagadas</v>
      </c>
      <c r="H3496" s="146" t="str">
        <f>+VLOOKUP(D3496,'3. Cuentas'!A:F,6,0)</f>
        <v>SI</v>
      </c>
    </row>
    <row r="3497" spans="1:8" x14ac:dyDescent="0.25">
      <c r="A3497" s="43">
        <v>9025</v>
      </c>
      <c r="B3497" t="s">
        <v>574</v>
      </c>
      <c r="C3497" s="43" t="s">
        <v>328</v>
      </c>
      <c r="D3497" s="43">
        <v>4205060</v>
      </c>
      <c r="E3497" t="s">
        <v>130</v>
      </c>
      <c r="F3497" s="47" t="str">
        <f>+Centro_Cuenta8[[#This Row],[Codigo Centro Gestion]]&amp;" - "&amp;Centro_Cuenta8[[#This Row],[Nombre Centro Gestion]]</f>
        <v>9025 - PV SSCC</v>
      </c>
      <c r="G3497" s="47" t="str">
        <f>+Centro_Cuenta8[[#This Row],[Código Cuenta Contable]]&amp;" - "&amp;Centro_Cuenta8[[#This Row],[Nombre de Cuenta Contable]]</f>
        <v>4205060 - Gtos Grales Entrega y PV</v>
      </c>
      <c r="H3497" s="146" t="str">
        <f>+VLOOKUP(D3497,'3. Cuentas'!A:F,6,0)</f>
        <v>SI</v>
      </c>
    </row>
    <row r="3498" spans="1:8" x14ac:dyDescent="0.25">
      <c r="A3498" s="43">
        <v>9026</v>
      </c>
      <c r="B3498" t="s">
        <v>575</v>
      </c>
      <c r="C3498" s="43" t="s">
        <v>328</v>
      </c>
      <c r="D3498" s="43">
        <v>1110040</v>
      </c>
      <c r="E3498" t="s">
        <v>1505</v>
      </c>
      <c r="F3498" s="47" t="str">
        <f>+Centro_Cuenta8[[#This Row],[Codigo Centro Gestion]]&amp;" - "&amp;Centro_Cuenta8[[#This Row],[Nombre Centro Gestion]]</f>
        <v>9026 - PV La Tirana</v>
      </c>
      <c r="G3498" s="47" t="str">
        <f>+Centro_Cuenta8[[#This Row],[Código Cuenta Contable]]&amp;" - "&amp;Centro_Cuenta8[[#This Row],[Nombre de Cuenta Contable]]</f>
        <v>1110040 - Garantía Pagadas</v>
      </c>
      <c r="H3498" s="146" t="str">
        <f>+VLOOKUP(D3498,'3. Cuentas'!A:F,6,0)</f>
        <v>SI</v>
      </c>
    </row>
    <row r="3499" spans="1:8" x14ac:dyDescent="0.25">
      <c r="A3499" s="43">
        <v>9026</v>
      </c>
      <c r="B3499" t="s">
        <v>575</v>
      </c>
      <c r="C3499" s="43" t="s">
        <v>328</v>
      </c>
      <c r="D3499" s="43">
        <v>4205060</v>
      </c>
      <c r="E3499" t="s">
        <v>130</v>
      </c>
      <c r="F3499" s="47" t="str">
        <f>+Centro_Cuenta8[[#This Row],[Codigo Centro Gestion]]&amp;" - "&amp;Centro_Cuenta8[[#This Row],[Nombre Centro Gestion]]</f>
        <v>9026 - PV La Tirana</v>
      </c>
      <c r="G3499" s="47" t="str">
        <f>+Centro_Cuenta8[[#This Row],[Código Cuenta Contable]]&amp;" - "&amp;Centro_Cuenta8[[#This Row],[Nombre de Cuenta Contable]]</f>
        <v>4205060 - Gtos Grales Entrega y PV</v>
      </c>
      <c r="H3499" s="146" t="str">
        <f>+VLOOKUP(D3499,'3. Cuentas'!A:F,6,0)</f>
        <v>SI</v>
      </c>
    </row>
    <row r="3500" spans="1:8" x14ac:dyDescent="0.25">
      <c r="A3500" s="43">
        <v>9027</v>
      </c>
      <c r="B3500" t="s">
        <v>576</v>
      </c>
      <c r="C3500" s="43" t="s">
        <v>328</v>
      </c>
      <c r="D3500" s="43">
        <v>1110040</v>
      </c>
      <c r="E3500" t="s">
        <v>1505</v>
      </c>
      <c r="F3500" s="47" t="str">
        <f>+Centro_Cuenta8[[#This Row],[Codigo Centro Gestion]]&amp;" - "&amp;Centro_Cuenta8[[#This Row],[Nombre Centro Gestion]]</f>
        <v>9027 - PV Liceo Eulogio Gordo</v>
      </c>
      <c r="G3500" s="47" t="str">
        <f>+Centro_Cuenta8[[#This Row],[Código Cuenta Contable]]&amp;" - "&amp;Centro_Cuenta8[[#This Row],[Nombre de Cuenta Contable]]</f>
        <v>1110040 - Garantía Pagadas</v>
      </c>
      <c r="H3500" s="146" t="str">
        <f>+VLOOKUP(D3500,'3. Cuentas'!A:F,6,0)</f>
        <v>SI</v>
      </c>
    </row>
    <row r="3501" spans="1:8" x14ac:dyDescent="0.25">
      <c r="A3501" s="43">
        <v>9027</v>
      </c>
      <c r="B3501" t="s">
        <v>576</v>
      </c>
      <c r="C3501" s="43" t="s">
        <v>328</v>
      </c>
      <c r="D3501" s="43">
        <v>4205060</v>
      </c>
      <c r="E3501" t="s">
        <v>130</v>
      </c>
      <c r="F3501" s="47" t="str">
        <f>+Centro_Cuenta8[[#This Row],[Codigo Centro Gestion]]&amp;" - "&amp;Centro_Cuenta8[[#This Row],[Nombre Centro Gestion]]</f>
        <v>9027 - PV Liceo Eulogio Gordo</v>
      </c>
      <c r="G3501" s="47" t="str">
        <f>+Centro_Cuenta8[[#This Row],[Código Cuenta Contable]]&amp;" - "&amp;Centro_Cuenta8[[#This Row],[Nombre de Cuenta Contable]]</f>
        <v>4205060 - Gtos Grales Entrega y PV</v>
      </c>
      <c r="H3501" s="146" t="str">
        <f>+VLOOKUP(D3501,'3. Cuentas'!A:F,6,0)</f>
        <v>SI</v>
      </c>
    </row>
    <row r="3502" spans="1:8" x14ac:dyDescent="0.25">
      <c r="A3502" s="43">
        <v>9028</v>
      </c>
      <c r="B3502" t="s">
        <v>577</v>
      </c>
      <c r="C3502" s="43" t="s">
        <v>328</v>
      </c>
      <c r="D3502" s="43">
        <v>1110040</v>
      </c>
      <c r="E3502" t="s">
        <v>1505</v>
      </c>
      <c r="F3502" s="47" t="str">
        <f>+Centro_Cuenta8[[#This Row],[Codigo Centro Gestion]]&amp;" - "&amp;Centro_Cuenta8[[#This Row],[Nombre Centro Gestion]]</f>
        <v>9028 - PV Centro Sacramentinos</v>
      </c>
      <c r="G3502" s="47" t="str">
        <f>+Centro_Cuenta8[[#This Row],[Código Cuenta Contable]]&amp;" - "&amp;Centro_Cuenta8[[#This Row],[Nombre de Cuenta Contable]]</f>
        <v>1110040 - Garantía Pagadas</v>
      </c>
      <c r="H3502" s="146" t="str">
        <f>+VLOOKUP(D3502,'3. Cuentas'!A:F,6,0)</f>
        <v>SI</v>
      </c>
    </row>
    <row r="3503" spans="1:8" x14ac:dyDescent="0.25">
      <c r="A3503" s="43">
        <v>9028</v>
      </c>
      <c r="B3503" t="s">
        <v>577</v>
      </c>
      <c r="C3503" s="43" t="s">
        <v>328</v>
      </c>
      <c r="D3503" s="43">
        <v>4205060</v>
      </c>
      <c r="E3503" t="s">
        <v>130</v>
      </c>
      <c r="F3503" s="47" t="str">
        <f>+Centro_Cuenta8[[#This Row],[Codigo Centro Gestion]]&amp;" - "&amp;Centro_Cuenta8[[#This Row],[Nombre Centro Gestion]]</f>
        <v>9028 - PV Centro Sacramentinos</v>
      </c>
      <c r="G3503" s="47" t="str">
        <f>+Centro_Cuenta8[[#This Row],[Código Cuenta Contable]]&amp;" - "&amp;Centro_Cuenta8[[#This Row],[Nombre de Cuenta Contable]]</f>
        <v>4205060 - Gtos Grales Entrega y PV</v>
      </c>
      <c r="H3503" s="146" t="str">
        <f>+VLOOKUP(D3503,'3. Cuentas'!A:F,6,0)</f>
        <v>SI</v>
      </c>
    </row>
    <row r="3504" spans="1:8" x14ac:dyDescent="0.25">
      <c r="A3504" s="43">
        <v>9029</v>
      </c>
      <c r="B3504" t="s">
        <v>578</v>
      </c>
      <c r="C3504" s="43" t="s">
        <v>328</v>
      </c>
      <c r="D3504" s="43">
        <v>1110040</v>
      </c>
      <c r="E3504" t="s">
        <v>1505</v>
      </c>
      <c r="F3504" s="47" t="str">
        <f>+Centro_Cuenta8[[#This Row],[Codigo Centro Gestion]]&amp;" - "&amp;Centro_Cuenta8[[#This Row],[Nombre Centro Gestion]]</f>
        <v>9029 - PV Hospital de Tocopilla</v>
      </c>
      <c r="G3504" s="47" t="str">
        <f>+Centro_Cuenta8[[#This Row],[Código Cuenta Contable]]&amp;" - "&amp;Centro_Cuenta8[[#This Row],[Nombre de Cuenta Contable]]</f>
        <v>1110040 - Garantía Pagadas</v>
      </c>
      <c r="H3504" s="146" t="str">
        <f>+VLOOKUP(D3504,'3. Cuentas'!A:F,6,0)</f>
        <v>SI</v>
      </c>
    </row>
    <row r="3505" spans="1:8" x14ac:dyDescent="0.25">
      <c r="A3505" s="43">
        <v>9029</v>
      </c>
      <c r="B3505" t="s">
        <v>578</v>
      </c>
      <c r="C3505" s="43" t="s">
        <v>328</v>
      </c>
      <c r="D3505" s="43">
        <v>4205060</v>
      </c>
      <c r="E3505" t="s">
        <v>130</v>
      </c>
      <c r="F3505" s="47" t="str">
        <f>+Centro_Cuenta8[[#This Row],[Codigo Centro Gestion]]&amp;" - "&amp;Centro_Cuenta8[[#This Row],[Nombre Centro Gestion]]</f>
        <v>9029 - PV Hospital de Tocopilla</v>
      </c>
      <c r="G3505" s="47" t="str">
        <f>+Centro_Cuenta8[[#This Row],[Código Cuenta Contable]]&amp;" - "&amp;Centro_Cuenta8[[#This Row],[Nombre de Cuenta Contable]]</f>
        <v>4205060 - Gtos Grales Entrega y PV</v>
      </c>
      <c r="H3505" s="146" t="str">
        <f>+VLOOKUP(D3505,'3. Cuentas'!A:F,6,0)</f>
        <v>SI</v>
      </c>
    </row>
    <row r="3506" spans="1:8" x14ac:dyDescent="0.25">
      <c r="A3506" s="43">
        <v>9030</v>
      </c>
      <c r="B3506" t="s">
        <v>579</v>
      </c>
      <c r="C3506" s="43" t="s">
        <v>328</v>
      </c>
      <c r="D3506" s="43">
        <v>1110040</v>
      </c>
      <c r="E3506" t="s">
        <v>1505</v>
      </c>
      <c r="F3506" s="47" t="str">
        <f>+Centro_Cuenta8[[#This Row],[Codigo Centro Gestion]]&amp;" - "&amp;Centro_Cuenta8[[#This Row],[Nombre Centro Gestion]]</f>
        <v>9030 - PV Consistorial Ma Elena</v>
      </c>
      <c r="G3506" s="47" t="str">
        <f>+Centro_Cuenta8[[#This Row],[Código Cuenta Contable]]&amp;" - "&amp;Centro_Cuenta8[[#This Row],[Nombre de Cuenta Contable]]</f>
        <v>1110040 - Garantía Pagadas</v>
      </c>
      <c r="H3506" s="146" t="str">
        <f>+VLOOKUP(D3506,'3. Cuentas'!A:F,6,0)</f>
        <v>SI</v>
      </c>
    </row>
    <row r="3507" spans="1:8" x14ac:dyDescent="0.25">
      <c r="A3507" s="43">
        <v>9030</v>
      </c>
      <c r="B3507" t="s">
        <v>579</v>
      </c>
      <c r="C3507" s="43" t="s">
        <v>328</v>
      </c>
      <c r="D3507" s="43">
        <v>4205060</v>
      </c>
      <c r="E3507" t="s">
        <v>130</v>
      </c>
      <c r="F3507" s="47" t="str">
        <f>+Centro_Cuenta8[[#This Row],[Codigo Centro Gestion]]&amp;" - "&amp;Centro_Cuenta8[[#This Row],[Nombre Centro Gestion]]</f>
        <v>9030 - PV Consistorial Ma Elena</v>
      </c>
      <c r="G3507" s="47" t="str">
        <f>+Centro_Cuenta8[[#This Row],[Código Cuenta Contable]]&amp;" - "&amp;Centro_Cuenta8[[#This Row],[Nombre de Cuenta Contable]]</f>
        <v>4205060 - Gtos Grales Entrega y PV</v>
      </c>
      <c r="H3507" s="146" t="str">
        <f>+VLOOKUP(D3507,'3. Cuentas'!A:F,6,0)</f>
        <v>SI</v>
      </c>
    </row>
    <row r="3508" spans="1:8" x14ac:dyDescent="0.25">
      <c r="A3508" s="43">
        <v>9031</v>
      </c>
      <c r="B3508" t="s">
        <v>580</v>
      </c>
      <c r="C3508" s="43" t="s">
        <v>328</v>
      </c>
      <c r="D3508" s="43">
        <v>1110040</v>
      </c>
      <c r="E3508" t="s">
        <v>1505</v>
      </c>
      <c r="F3508" s="47" t="str">
        <f>+Centro_Cuenta8[[#This Row],[Codigo Centro Gestion]]&amp;" - "&amp;Centro_Cuenta8[[#This Row],[Nombre Centro Gestion]]</f>
        <v>9031 - PV Edif Alto Placeres</v>
      </c>
      <c r="G3508" s="47" t="str">
        <f>+Centro_Cuenta8[[#This Row],[Código Cuenta Contable]]&amp;" - "&amp;Centro_Cuenta8[[#This Row],[Nombre de Cuenta Contable]]</f>
        <v>1110040 - Garantía Pagadas</v>
      </c>
      <c r="H3508" s="146" t="str">
        <f>+VLOOKUP(D3508,'3. Cuentas'!A:F,6,0)</f>
        <v>SI</v>
      </c>
    </row>
    <row r="3509" spans="1:8" x14ac:dyDescent="0.25">
      <c r="A3509" s="43">
        <v>9031</v>
      </c>
      <c r="B3509" t="s">
        <v>580</v>
      </c>
      <c r="C3509" s="43" t="s">
        <v>328</v>
      </c>
      <c r="D3509" s="43">
        <v>4205060</v>
      </c>
      <c r="E3509" t="s">
        <v>130</v>
      </c>
      <c r="F3509" s="47" t="str">
        <f>+Centro_Cuenta8[[#This Row],[Codigo Centro Gestion]]&amp;" - "&amp;Centro_Cuenta8[[#This Row],[Nombre Centro Gestion]]</f>
        <v>9031 - PV Edif Alto Placeres</v>
      </c>
      <c r="G3509" s="47" t="str">
        <f>+Centro_Cuenta8[[#This Row],[Código Cuenta Contable]]&amp;" - "&amp;Centro_Cuenta8[[#This Row],[Nombre de Cuenta Contable]]</f>
        <v>4205060 - Gtos Grales Entrega y PV</v>
      </c>
      <c r="H3509" s="146" t="str">
        <f>+VLOOKUP(D3509,'3. Cuentas'!A:F,6,0)</f>
        <v>SI</v>
      </c>
    </row>
    <row r="3510" spans="1:8" x14ac:dyDescent="0.25">
      <c r="A3510" s="43">
        <v>9032</v>
      </c>
      <c r="B3510" t="s">
        <v>581</v>
      </c>
      <c r="C3510" s="43" t="s">
        <v>328</v>
      </c>
      <c r="D3510" s="43">
        <v>1110040</v>
      </c>
      <c r="E3510" t="s">
        <v>1505</v>
      </c>
      <c r="F3510" s="47" t="str">
        <f>+Centro_Cuenta8[[#This Row],[Codigo Centro Gestion]]&amp;" - "&amp;Centro_Cuenta8[[#This Row],[Nombre Centro Gestion]]</f>
        <v>9032 - PV Consultorio Sta Anselma</v>
      </c>
      <c r="G3510" s="47" t="str">
        <f>+Centro_Cuenta8[[#This Row],[Código Cuenta Contable]]&amp;" - "&amp;Centro_Cuenta8[[#This Row],[Nombre de Cuenta Contable]]</f>
        <v>1110040 - Garantía Pagadas</v>
      </c>
      <c r="H3510" s="146" t="str">
        <f>+VLOOKUP(D3510,'3. Cuentas'!A:F,6,0)</f>
        <v>SI</v>
      </c>
    </row>
    <row r="3511" spans="1:8" x14ac:dyDescent="0.25">
      <c r="A3511" s="43">
        <v>9032</v>
      </c>
      <c r="B3511" t="s">
        <v>581</v>
      </c>
      <c r="C3511" s="43" t="s">
        <v>328</v>
      </c>
      <c r="D3511" s="43">
        <v>4205060</v>
      </c>
      <c r="E3511" t="s">
        <v>130</v>
      </c>
      <c r="F3511" s="47" t="str">
        <f>+Centro_Cuenta8[[#This Row],[Codigo Centro Gestion]]&amp;" - "&amp;Centro_Cuenta8[[#This Row],[Nombre Centro Gestion]]</f>
        <v>9032 - PV Consultorio Sta Anselma</v>
      </c>
      <c r="G3511" s="47" t="str">
        <f>+Centro_Cuenta8[[#This Row],[Código Cuenta Contable]]&amp;" - "&amp;Centro_Cuenta8[[#This Row],[Nombre de Cuenta Contable]]</f>
        <v>4205060 - Gtos Grales Entrega y PV</v>
      </c>
      <c r="H3511" s="146" t="str">
        <f>+VLOOKUP(D3511,'3. Cuentas'!A:F,6,0)</f>
        <v>SI</v>
      </c>
    </row>
    <row r="3512" spans="1:8" x14ac:dyDescent="0.25">
      <c r="A3512" s="43">
        <v>9033</v>
      </c>
      <c r="B3512" t="s">
        <v>582</v>
      </c>
      <c r="C3512" s="43" t="s">
        <v>328</v>
      </c>
      <c r="D3512" s="43">
        <v>1110040</v>
      </c>
      <c r="E3512" t="s">
        <v>1505</v>
      </c>
      <c r="F3512" s="47" t="str">
        <f>+Centro_Cuenta8[[#This Row],[Codigo Centro Gestion]]&amp;" - "&amp;Centro_Cuenta8[[#This Row],[Nombre Centro Gestion]]</f>
        <v>9033 - PV Consultorio Laurita Vic</v>
      </c>
      <c r="G3512" s="47" t="str">
        <f>+Centro_Cuenta8[[#This Row],[Código Cuenta Contable]]&amp;" - "&amp;Centro_Cuenta8[[#This Row],[Nombre de Cuenta Contable]]</f>
        <v>1110040 - Garantía Pagadas</v>
      </c>
      <c r="H3512" s="146" t="str">
        <f>+VLOOKUP(D3512,'3. Cuentas'!A:F,6,0)</f>
        <v>SI</v>
      </c>
    </row>
    <row r="3513" spans="1:8" x14ac:dyDescent="0.25">
      <c r="A3513" s="43">
        <v>9033</v>
      </c>
      <c r="B3513" t="s">
        <v>582</v>
      </c>
      <c r="C3513" s="43" t="s">
        <v>328</v>
      </c>
      <c r="D3513" s="43">
        <v>4205060</v>
      </c>
      <c r="E3513" t="s">
        <v>130</v>
      </c>
      <c r="F3513" s="47" t="str">
        <f>+Centro_Cuenta8[[#This Row],[Codigo Centro Gestion]]&amp;" - "&amp;Centro_Cuenta8[[#This Row],[Nombre Centro Gestion]]</f>
        <v>9033 - PV Consultorio Laurita Vic</v>
      </c>
      <c r="G3513" s="47" t="str">
        <f>+Centro_Cuenta8[[#This Row],[Código Cuenta Contable]]&amp;" - "&amp;Centro_Cuenta8[[#This Row],[Nombre de Cuenta Contable]]</f>
        <v>4205060 - Gtos Grales Entrega y PV</v>
      </c>
      <c r="H3513" s="146" t="str">
        <f>+VLOOKUP(D3513,'3. Cuentas'!A:F,6,0)</f>
        <v>SI</v>
      </c>
    </row>
    <row r="3514" spans="1:8" x14ac:dyDescent="0.25">
      <c r="A3514" s="43">
        <v>9034</v>
      </c>
      <c r="B3514" t="s">
        <v>583</v>
      </c>
      <c r="C3514" s="43" t="s">
        <v>328</v>
      </c>
      <c r="D3514" s="43">
        <v>1110040</v>
      </c>
      <c r="E3514" t="s">
        <v>1505</v>
      </c>
      <c r="F3514" s="47" t="str">
        <f>+Centro_Cuenta8[[#This Row],[Codigo Centro Gestion]]&amp;" - "&amp;Centro_Cuenta8[[#This Row],[Nombre Centro Gestion]]</f>
        <v>9034 - PV Edificio San Francisco</v>
      </c>
      <c r="G3514" s="47" t="str">
        <f>+Centro_Cuenta8[[#This Row],[Código Cuenta Contable]]&amp;" - "&amp;Centro_Cuenta8[[#This Row],[Nombre de Cuenta Contable]]</f>
        <v>1110040 - Garantía Pagadas</v>
      </c>
      <c r="H3514" s="146" t="str">
        <f>+VLOOKUP(D3514,'3. Cuentas'!A:F,6,0)</f>
        <v>SI</v>
      </c>
    </row>
    <row r="3515" spans="1:8" x14ac:dyDescent="0.25">
      <c r="A3515" s="43">
        <v>9034</v>
      </c>
      <c r="B3515" t="s">
        <v>583</v>
      </c>
      <c r="C3515" s="43" t="s">
        <v>328</v>
      </c>
      <c r="D3515" s="43">
        <v>4205060</v>
      </c>
      <c r="E3515" t="s">
        <v>130</v>
      </c>
      <c r="F3515" s="47" t="str">
        <f>+Centro_Cuenta8[[#This Row],[Codigo Centro Gestion]]&amp;" - "&amp;Centro_Cuenta8[[#This Row],[Nombre Centro Gestion]]</f>
        <v>9034 - PV Edificio San Francisco</v>
      </c>
      <c r="G3515" s="47" t="str">
        <f>+Centro_Cuenta8[[#This Row],[Código Cuenta Contable]]&amp;" - "&amp;Centro_Cuenta8[[#This Row],[Nombre de Cuenta Contable]]</f>
        <v>4205060 - Gtos Grales Entrega y PV</v>
      </c>
      <c r="H3515" s="146" t="str">
        <f>+VLOOKUP(D3515,'3. Cuentas'!A:F,6,0)</f>
        <v>SI</v>
      </c>
    </row>
    <row r="3516" spans="1:8" x14ac:dyDescent="0.25">
      <c r="A3516" s="43">
        <v>9035</v>
      </c>
      <c r="B3516" t="s">
        <v>584</v>
      </c>
      <c r="C3516" s="43" t="s">
        <v>328</v>
      </c>
      <c r="D3516" s="43">
        <v>1110040</v>
      </c>
      <c r="E3516" t="s">
        <v>1505</v>
      </c>
      <c r="F3516" s="47" t="str">
        <f>+Centro_Cuenta8[[#This Row],[Codigo Centro Gestion]]&amp;" - "&amp;Centro_Cuenta8[[#This Row],[Nombre Centro Gestion]]</f>
        <v>9035 - PV Edificio Novo</v>
      </c>
      <c r="G3516" s="47" t="str">
        <f>+Centro_Cuenta8[[#This Row],[Código Cuenta Contable]]&amp;" - "&amp;Centro_Cuenta8[[#This Row],[Nombre de Cuenta Contable]]</f>
        <v>1110040 - Garantía Pagadas</v>
      </c>
      <c r="H3516" s="146" t="str">
        <f>+VLOOKUP(D3516,'3. Cuentas'!A:F,6,0)</f>
        <v>SI</v>
      </c>
    </row>
    <row r="3517" spans="1:8" x14ac:dyDescent="0.25">
      <c r="A3517" s="43">
        <v>9035</v>
      </c>
      <c r="B3517" t="s">
        <v>584</v>
      </c>
      <c r="C3517" s="43" t="s">
        <v>328</v>
      </c>
      <c r="D3517" s="43">
        <v>4205060</v>
      </c>
      <c r="E3517" t="s">
        <v>130</v>
      </c>
      <c r="F3517" s="47" t="str">
        <f>+Centro_Cuenta8[[#This Row],[Codigo Centro Gestion]]&amp;" - "&amp;Centro_Cuenta8[[#This Row],[Nombre Centro Gestion]]</f>
        <v>9035 - PV Edificio Novo</v>
      </c>
      <c r="G3517" s="47" t="str">
        <f>+Centro_Cuenta8[[#This Row],[Código Cuenta Contable]]&amp;" - "&amp;Centro_Cuenta8[[#This Row],[Nombre de Cuenta Contable]]</f>
        <v>4205060 - Gtos Grales Entrega y PV</v>
      </c>
      <c r="H3517" s="146" t="str">
        <f>+VLOOKUP(D3517,'3. Cuentas'!A:F,6,0)</f>
        <v>SI</v>
      </c>
    </row>
    <row r="3518" spans="1:8" x14ac:dyDescent="0.25">
      <c r="A3518" s="43">
        <v>9037</v>
      </c>
      <c r="B3518" t="s">
        <v>585</v>
      </c>
      <c r="C3518" s="43" t="s">
        <v>328</v>
      </c>
      <c r="D3518" s="43">
        <v>1110040</v>
      </c>
      <c r="E3518" t="s">
        <v>1505</v>
      </c>
      <c r="F3518" s="47" t="str">
        <f>+Centro_Cuenta8[[#This Row],[Codigo Centro Gestion]]&amp;" - "&amp;Centro_Cuenta8[[#This Row],[Nombre Centro Gestion]]</f>
        <v>9037 - PV Proyecto Rahue</v>
      </c>
      <c r="G3518" s="47" t="str">
        <f>+Centro_Cuenta8[[#This Row],[Código Cuenta Contable]]&amp;" - "&amp;Centro_Cuenta8[[#This Row],[Nombre de Cuenta Contable]]</f>
        <v>1110040 - Garantía Pagadas</v>
      </c>
      <c r="H3518" s="146" t="str">
        <f>+VLOOKUP(D3518,'3. Cuentas'!A:F,6,0)</f>
        <v>SI</v>
      </c>
    </row>
    <row r="3519" spans="1:8" x14ac:dyDescent="0.25">
      <c r="A3519" s="43">
        <v>9037</v>
      </c>
      <c r="B3519" t="s">
        <v>585</v>
      </c>
      <c r="C3519" s="43" t="s">
        <v>328</v>
      </c>
      <c r="D3519" s="43">
        <v>4205060</v>
      </c>
      <c r="E3519" t="s">
        <v>130</v>
      </c>
      <c r="F3519" s="47" t="str">
        <f>+Centro_Cuenta8[[#This Row],[Codigo Centro Gestion]]&amp;" - "&amp;Centro_Cuenta8[[#This Row],[Nombre Centro Gestion]]</f>
        <v>9037 - PV Proyecto Rahue</v>
      </c>
      <c r="G3519" s="47" t="str">
        <f>+Centro_Cuenta8[[#This Row],[Código Cuenta Contable]]&amp;" - "&amp;Centro_Cuenta8[[#This Row],[Nombre de Cuenta Contable]]</f>
        <v>4205060 - Gtos Grales Entrega y PV</v>
      </c>
      <c r="H3519" s="146" t="str">
        <f>+VLOOKUP(D3519,'3. Cuentas'!A:F,6,0)</f>
        <v>SI</v>
      </c>
    </row>
    <row r="3520" spans="1:8" x14ac:dyDescent="0.25">
      <c r="A3520" s="43">
        <v>9039</v>
      </c>
      <c r="B3520" t="s">
        <v>586</v>
      </c>
      <c r="C3520" s="43" t="s">
        <v>328</v>
      </c>
      <c r="D3520" s="43">
        <v>1110040</v>
      </c>
      <c r="E3520" t="s">
        <v>1505</v>
      </c>
      <c r="F3520" s="47" t="str">
        <f>+Centro_Cuenta8[[#This Row],[Codigo Centro Gestion]]&amp;" - "&amp;Centro_Cuenta8[[#This Row],[Nombre Centro Gestion]]</f>
        <v>9039 - PV Monte Azul</v>
      </c>
      <c r="G3520" s="47" t="str">
        <f>+Centro_Cuenta8[[#This Row],[Código Cuenta Contable]]&amp;" - "&amp;Centro_Cuenta8[[#This Row],[Nombre de Cuenta Contable]]</f>
        <v>1110040 - Garantía Pagadas</v>
      </c>
      <c r="H3520" s="146" t="str">
        <f>+VLOOKUP(D3520,'3. Cuentas'!A:F,6,0)</f>
        <v>SI</v>
      </c>
    </row>
    <row r="3521" spans="1:8" x14ac:dyDescent="0.25">
      <c r="A3521" s="43">
        <v>9039</v>
      </c>
      <c r="B3521" t="s">
        <v>586</v>
      </c>
      <c r="C3521" s="43" t="s">
        <v>328</v>
      </c>
      <c r="D3521" s="43">
        <v>4205060</v>
      </c>
      <c r="E3521" t="s">
        <v>130</v>
      </c>
      <c r="F3521" s="47" t="str">
        <f>+Centro_Cuenta8[[#This Row],[Codigo Centro Gestion]]&amp;" - "&amp;Centro_Cuenta8[[#This Row],[Nombre Centro Gestion]]</f>
        <v>9039 - PV Monte Azul</v>
      </c>
      <c r="G3521" s="47" t="str">
        <f>+Centro_Cuenta8[[#This Row],[Código Cuenta Contable]]&amp;" - "&amp;Centro_Cuenta8[[#This Row],[Nombre de Cuenta Contable]]</f>
        <v>4205060 - Gtos Grales Entrega y PV</v>
      </c>
      <c r="H3521" s="146" t="str">
        <f>+VLOOKUP(D3521,'3. Cuentas'!A:F,6,0)</f>
        <v>SI</v>
      </c>
    </row>
    <row r="3522" spans="1:8" x14ac:dyDescent="0.25">
      <c r="A3522" s="43">
        <v>9041</v>
      </c>
      <c r="B3522" t="s">
        <v>587</v>
      </c>
      <c r="C3522" s="43" t="s">
        <v>328</v>
      </c>
      <c r="D3522" s="43">
        <v>1110040</v>
      </c>
      <c r="E3522" t="s">
        <v>1505</v>
      </c>
      <c r="F3522" s="47" t="str">
        <f>+Centro_Cuenta8[[#This Row],[Codigo Centro Gestion]]&amp;" - "&amp;Centro_Cuenta8[[#This Row],[Nombre Centro Gestion]]</f>
        <v>9041 - PV BBI Etapa II</v>
      </c>
      <c r="G3522" s="47" t="str">
        <f>+Centro_Cuenta8[[#This Row],[Código Cuenta Contable]]&amp;" - "&amp;Centro_Cuenta8[[#This Row],[Nombre de Cuenta Contable]]</f>
        <v>1110040 - Garantía Pagadas</v>
      </c>
      <c r="H3522" s="146" t="str">
        <f>+VLOOKUP(D3522,'3. Cuentas'!A:F,6,0)</f>
        <v>SI</v>
      </c>
    </row>
    <row r="3523" spans="1:8" x14ac:dyDescent="0.25">
      <c r="A3523" s="43">
        <v>9041</v>
      </c>
      <c r="B3523" t="s">
        <v>587</v>
      </c>
      <c r="C3523" s="43" t="s">
        <v>328</v>
      </c>
      <c r="D3523" s="43">
        <v>4205060</v>
      </c>
      <c r="E3523" t="s">
        <v>130</v>
      </c>
      <c r="F3523" s="47" t="str">
        <f>+Centro_Cuenta8[[#This Row],[Codigo Centro Gestion]]&amp;" - "&amp;Centro_Cuenta8[[#This Row],[Nombre Centro Gestion]]</f>
        <v>9041 - PV BBI Etapa II</v>
      </c>
      <c r="G3523" s="47" t="str">
        <f>+Centro_Cuenta8[[#This Row],[Código Cuenta Contable]]&amp;" - "&amp;Centro_Cuenta8[[#This Row],[Nombre de Cuenta Contable]]</f>
        <v>4205060 - Gtos Grales Entrega y PV</v>
      </c>
      <c r="H3523" s="146" t="str">
        <f>+VLOOKUP(D3523,'3. Cuentas'!A:F,6,0)</f>
        <v>SI</v>
      </c>
    </row>
    <row r="3524" spans="1:8" x14ac:dyDescent="0.25">
      <c r="A3524" s="43">
        <v>9042</v>
      </c>
      <c r="B3524" t="s">
        <v>588</v>
      </c>
      <c r="C3524" s="43" t="s">
        <v>328</v>
      </c>
      <c r="D3524" s="43">
        <v>1110040</v>
      </c>
      <c r="E3524" t="s">
        <v>1505</v>
      </c>
      <c r="F3524" s="47" t="str">
        <f>+Centro_Cuenta8[[#This Row],[Codigo Centro Gestion]]&amp;" - "&amp;Centro_Cuenta8[[#This Row],[Nombre Centro Gestion]]</f>
        <v>9042 - PV Argomedo Oriente</v>
      </c>
      <c r="G3524" s="47" t="str">
        <f>+Centro_Cuenta8[[#This Row],[Código Cuenta Contable]]&amp;" - "&amp;Centro_Cuenta8[[#This Row],[Nombre de Cuenta Contable]]</f>
        <v>1110040 - Garantía Pagadas</v>
      </c>
      <c r="H3524" s="146" t="str">
        <f>+VLOOKUP(D3524,'3. Cuentas'!A:F,6,0)</f>
        <v>SI</v>
      </c>
    </row>
    <row r="3525" spans="1:8" x14ac:dyDescent="0.25">
      <c r="A3525" s="43">
        <v>9042</v>
      </c>
      <c r="B3525" t="s">
        <v>588</v>
      </c>
      <c r="C3525" s="43" t="s">
        <v>328</v>
      </c>
      <c r="D3525" s="43">
        <v>4205060</v>
      </c>
      <c r="E3525" t="s">
        <v>130</v>
      </c>
      <c r="F3525" s="47" t="str">
        <f>+Centro_Cuenta8[[#This Row],[Codigo Centro Gestion]]&amp;" - "&amp;Centro_Cuenta8[[#This Row],[Nombre Centro Gestion]]</f>
        <v>9042 - PV Argomedo Oriente</v>
      </c>
      <c r="G3525" s="47" t="str">
        <f>+Centro_Cuenta8[[#This Row],[Código Cuenta Contable]]&amp;" - "&amp;Centro_Cuenta8[[#This Row],[Nombre de Cuenta Contable]]</f>
        <v>4205060 - Gtos Grales Entrega y PV</v>
      </c>
      <c r="H3525" s="146" t="str">
        <f>+VLOOKUP(D3525,'3. Cuentas'!A:F,6,0)</f>
        <v>SI</v>
      </c>
    </row>
    <row r="3526" spans="1:8" x14ac:dyDescent="0.25">
      <c r="A3526" s="43">
        <v>9043</v>
      </c>
      <c r="B3526" t="s">
        <v>589</v>
      </c>
      <c r="C3526" s="43" t="s">
        <v>328</v>
      </c>
      <c r="D3526" s="43">
        <v>1110040</v>
      </c>
      <c r="E3526" t="s">
        <v>1505</v>
      </c>
      <c r="F3526" s="47" t="str">
        <f>+Centro_Cuenta8[[#This Row],[Codigo Centro Gestion]]&amp;" - "&amp;Centro_Cuenta8[[#This Row],[Nombre Centro Gestion]]</f>
        <v>9043 - PV Edificio Andrónico Luksic UC</v>
      </c>
      <c r="G3526" s="47" t="str">
        <f>+Centro_Cuenta8[[#This Row],[Código Cuenta Contable]]&amp;" - "&amp;Centro_Cuenta8[[#This Row],[Nombre de Cuenta Contable]]</f>
        <v>1110040 - Garantía Pagadas</v>
      </c>
      <c r="H3526" s="146" t="str">
        <f>+VLOOKUP(D3526,'3. Cuentas'!A:F,6,0)</f>
        <v>SI</v>
      </c>
    </row>
    <row r="3527" spans="1:8" x14ac:dyDescent="0.25">
      <c r="A3527" s="43">
        <v>9043</v>
      </c>
      <c r="B3527" t="s">
        <v>589</v>
      </c>
      <c r="C3527" s="43" t="s">
        <v>328</v>
      </c>
      <c r="D3527" s="43">
        <v>4205060</v>
      </c>
      <c r="E3527" t="s">
        <v>130</v>
      </c>
      <c r="F3527" s="47" t="str">
        <f>+Centro_Cuenta8[[#This Row],[Codigo Centro Gestion]]&amp;" - "&amp;Centro_Cuenta8[[#This Row],[Nombre Centro Gestion]]</f>
        <v>9043 - PV Edificio Andrónico Luksic UC</v>
      </c>
      <c r="G3527" s="47" t="str">
        <f>+Centro_Cuenta8[[#This Row],[Código Cuenta Contable]]&amp;" - "&amp;Centro_Cuenta8[[#This Row],[Nombre de Cuenta Contable]]</f>
        <v>4205060 - Gtos Grales Entrega y PV</v>
      </c>
      <c r="H3527" s="146" t="str">
        <f>+VLOOKUP(D3527,'3. Cuentas'!A:F,6,0)</f>
        <v>SI</v>
      </c>
    </row>
    <row r="3528" spans="1:8" x14ac:dyDescent="0.25">
      <c r="A3528" s="43">
        <v>9044</v>
      </c>
      <c r="B3528" t="s">
        <v>590</v>
      </c>
      <c r="C3528" s="43" t="s">
        <v>328</v>
      </c>
      <c r="D3528" s="43">
        <v>1110040</v>
      </c>
      <c r="E3528" t="s">
        <v>1505</v>
      </c>
      <c r="F3528" s="47" t="str">
        <f>+Centro_Cuenta8[[#This Row],[Codigo Centro Gestion]]&amp;" - "&amp;Centro_Cuenta8[[#This Row],[Nombre Centro Gestion]]</f>
        <v>9044 - PV Ecuador</v>
      </c>
      <c r="G3528" s="47" t="str">
        <f>+Centro_Cuenta8[[#This Row],[Código Cuenta Contable]]&amp;" - "&amp;Centro_Cuenta8[[#This Row],[Nombre de Cuenta Contable]]</f>
        <v>1110040 - Garantía Pagadas</v>
      </c>
      <c r="H3528" s="146" t="str">
        <f>+VLOOKUP(D3528,'3. Cuentas'!A:F,6,0)</f>
        <v>SI</v>
      </c>
    </row>
    <row r="3529" spans="1:8" x14ac:dyDescent="0.25">
      <c r="A3529" s="43">
        <v>9044</v>
      </c>
      <c r="B3529" t="s">
        <v>590</v>
      </c>
      <c r="C3529" s="43" t="s">
        <v>328</v>
      </c>
      <c r="D3529" s="43">
        <v>4205060</v>
      </c>
      <c r="E3529" t="s">
        <v>130</v>
      </c>
      <c r="F3529" s="47" t="str">
        <f>+Centro_Cuenta8[[#This Row],[Codigo Centro Gestion]]&amp;" - "&amp;Centro_Cuenta8[[#This Row],[Nombre Centro Gestion]]</f>
        <v>9044 - PV Ecuador</v>
      </c>
      <c r="G3529" s="47" t="str">
        <f>+Centro_Cuenta8[[#This Row],[Código Cuenta Contable]]&amp;" - "&amp;Centro_Cuenta8[[#This Row],[Nombre de Cuenta Contable]]</f>
        <v>4205060 - Gtos Grales Entrega y PV</v>
      </c>
      <c r="H3529" s="146" t="str">
        <f>+VLOOKUP(D3529,'3. Cuentas'!A:F,6,0)</f>
        <v>SI</v>
      </c>
    </row>
    <row r="3530" spans="1:8" x14ac:dyDescent="0.25">
      <c r="A3530" s="43">
        <v>9045</v>
      </c>
      <c r="B3530" t="s">
        <v>591</v>
      </c>
      <c r="C3530" s="43" t="s">
        <v>328</v>
      </c>
      <c r="D3530" s="43">
        <v>1110040</v>
      </c>
      <c r="E3530" t="s">
        <v>1505</v>
      </c>
      <c r="F3530" s="47" t="str">
        <f>+Centro_Cuenta8[[#This Row],[Codigo Centro Gestion]]&amp;" - "&amp;Centro_Cuenta8[[#This Row],[Nombre Centro Gestion]]</f>
        <v>9045 - PV Alto Oriente</v>
      </c>
      <c r="G3530" s="47" t="str">
        <f>+Centro_Cuenta8[[#This Row],[Código Cuenta Contable]]&amp;" - "&amp;Centro_Cuenta8[[#This Row],[Nombre de Cuenta Contable]]</f>
        <v>1110040 - Garantía Pagadas</v>
      </c>
      <c r="H3530" s="146" t="str">
        <f>+VLOOKUP(D3530,'3. Cuentas'!A:F,6,0)</f>
        <v>SI</v>
      </c>
    </row>
    <row r="3531" spans="1:8" x14ac:dyDescent="0.25">
      <c r="A3531" s="43">
        <v>9045</v>
      </c>
      <c r="B3531" t="s">
        <v>591</v>
      </c>
      <c r="C3531" s="43" t="s">
        <v>328</v>
      </c>
      <c r="D3531" s="43">
        <v>4205060</v>
      </c>
      <c r="E3531" t="s">
        <v>130</v>
      </c>
      <c r="F3531" s="47" t="str">
        <f>+Centro_Cuenta8[[#This Row],[Codigo Centro Gestion]]&amp;" - "&amp;Centro_Cuenta8[[#This Row],[Nombre Centro Gestion]]</f>
        <v>9045 - PV Alto Oriente</v>
      </c>
      <c r="G3531" s="47" t="str">
        <f>+Centro_Cuenta8[[#This Row],[Código Cuenta Contable]]&amp;" - "&amp;Centro_Cuenta8[[#This Row],[Nombre de Cuenta Contable]]</f>
        <v>4205060 - Gtos Grales Entrega y PV</v>
      </c>
      <c r="H3531" s="146" t="str">
        <f>+VLOOKUP(D3531,'3. Cuentas'!A:F,6,0)</f>
        <v>SI</v>
      </c>
    </row>
    <row r="3532" spans="1:8" x14ac:dyDescent="0.25">
      <c r="A3532" s="43">
        <v>9046</v>
      </c>
      <c r="B3532" t="s">
        <v>592</v>
      </c>
      <c r="C3532" s="43" t="s">
        <v>328</v>
      </c>
      <c r="D3532" s="43">
        <v>1110040</v>
      </c>
      <c r="E3532" t="s">
        <v>1505</v>
      </c>
      <c r="F3532" s="47" t="str">
        <f>+Centro_Cuenta8[[#This Row],[Codigo Centro Gestion]]&amp;" - "&amp;Centro_Cuenta8[[#This Row],[Nombre Centro Gestion]]</f>
        <v>9046 - PV Clínica Odontológica</v>
      </c>
      <c r="G3532" s="47" t="str">
        <f>+Centro_Cuenta8[[#This Row],[Código Cuenta Contable]]&amp;" - "&amp;Centro_Cuenta8[[#This Row],[Nombre de Cuenta Contable]]</f>
        <v>1110040 - Garantía Pagadas</v>
      </c>
      <c r="H3532" s="146" t="str">
        <f>+VLOOKUP(D3532,'3. Cuentas'!A:F,6,0)</f>
        <v>SI</v>
      </c>
    </row>
    <row r="3533" spans="1:8" x14ac:dyDescent="0.25">
      <c r="A3533" s="43">
        <v>9046</v>
      </c>
      <c r="B3533" t="s">
        <v>592</v>
      </c>
      <c r="C3533" s="43" t="s">
        <v>328</v>
      </c>
      <c r="D3533" s="43">
        <v>4205060</v>
      </c>
      <c r="E3533" t="s">
        <v>130</v>
      </c>
      <c r="F3533" s="47" t="str">
        <f>+Centro_Cuenta8[[#This Row],[Codigo Centro Gestion]]&amp;" - "&amp;Centro_Cuenta8[[#This Row],[Nombre Centro Gestion]]</f>
        <v>9046 - PV Clínica Odontológica</v>
      </c>
      <c r="G3533" s="47" t="str">
        <f>+Centro_Cuenta8[[#This Row],[Código Cuenta Contable]]&amp;" - "&amp;Centro_Cuenta8[[#This Row],[Nombre de Cuenta Contable]]</f>
        <v>4205060 - Gtos Grales Entrega y PV</v>
      </c>
      <c r="H3533" s="146" t="str">
        <f>+VLOOKUP(D3533,'3. Cuentas'!A:F,6,0)</f>
        <v>SI</v>
      </c>
    </row>
    <row r="3534" spans="1:8" x14ac:dyDescent="0.25">
      <c r="A3534" s="43">
        <v>9047</v>
      </c>
      <c r="B3534" t="s">
        <v>593</v>
      </c>
      <c r="C3534" s="43" t="s">
        <v>328</v>
      </c>
      <c r="D3534" s="43">
        <v>1110040</v>
      </c>
      <c r="E3534" t="s">
        <v>1505</v>
      </c>
      <c r="F3534" s="47" t="str">
        <f>+Centro_Cuenta8[[#This Row],[Codigo Centro Gestion]]&amp;" - "&amp;Centro_Cuenta8[[#This Row],[Nombre Centro Gestion]]</f>
        <v>9047 - PV Hospital Traumatologico</v>
      </c>
      <c r="G3534" s="47" t="str">
        <f>+Centro_Cuenta8[[#This Row],[Código Cuenta Contable]]&amp;" - "&amp;Centro_Cuenta8[[#This Row],[Nombre de Cuenta Contable]]</f>
        <v>1110040 - Garantía Pagadas</v>
      </c>
      <c r="H3534" s="146" t="str">
        <f>+VLOOKUP(D3534,'3. Cuentas'!A:F,6,0)</f>
        <v>SI</v>
      </c>
    </row>
    <row r="3535" spans="1:8" x14ac:dyDescent="0.25">
      <c r="A3535" s="43">
        <v>9047</v>
      </c>
      <c r="B3535" t="s">
        <v>593</v>
      </c>
      <c r="C3535" s="43" t="s">
        <v>328</v>
      </c>
      <c r="D3535" s="43">
        <v>4205060</v>
      </c>
      <c r="E3535" t="s">
        <v>130</v>
      </c>
      <c r="F3535" s="47" t="str">
        <f>+Centro_Cuenta8[[#This Row],[Codigo Centro Gestion]]&amp;" - "&amp;Centro_Cuenta8[[#This Row],[Nombre Centro Gestion]]</f>
        <v>9047 - PV Hospital Traumatologico</v>
      </c>
      <c r="G3535" s="47" t="str">
        <f>+Centro_Cuenta8[[#This Row],[Código Cuenta Contable]]&amp;" - "&amp;Centro_Cuenta8[[#This Row],[Nombre de Cuenta Contable]]</f>
        <v>4205060 - Gtos Grales Entrega y PV</v>
      </c>
      <c r="H3535" s="146" t="str">
        <f>+VLOOKUP(D3535,'3. Cuentas'!A:F,6,0)</f>
        <v>SI</v>
      </c>
    </row>
    <row r="3536" spans="1:8" x14ac:dyDescent="0.25">
      <c r="A3536" s="43">
        <v>9048</v>
      </c>
      <c r="B3536" t="s">
        <v>594</v>
      </c>
      <c r="C3536" s="43" t="s">
        <v>328</v>
      </c>
      <c r="D3536" s="43">
        <v>1110040</v>
      </c>
      <c r="E3536" t="s">
        <v>1505</v>
      </c>
      <c r="F3536" s="47" t="str">
        <f>+Centro_Cuenta8[[#This Row],[Codigo Centro Gestion]]&amp;" - "&amp;Centro_Cuenta8[[#This Row],[Nombre Centro Gestion]]</f>
        <v>9048 - PV Pie Andino              </v>
      </c>
      <c r="G3536" s="47" t="str">
        <f>+Centro_Cuenta8[[#This Row],[Código Cuenta Contable]]&amp;" - "&amp;Centro_Cuenta8[[#This Row],[Nombre de Cuenta Contable]]</f>
        <v>1110040 - Garantía Pagadas</v>
      </c>
      <c r="H3536" s="146" t="str">
        <f>+VLOOKUP(D3536,'3. Cuentas'!A:F,6,0)</f>
        <v>SI</v>
      </c>
    </row>
    <row r="3537" spans="1:8" x14ac:dyDescent="0.25">
      <c r="A3537" s="43">
        <v>9048</v>
      </c>
      <c r="B3537" t="s">
        <v>594</v>
      </c>
      <c r="C3537" s="43" t="s">
        <v>328</v>
      </c>
      <c r="D3537" s="43">
        <v>4205060</v>
      </c>
      <c r="E3537" t="s">
        <v>130</v>
      </c>
      <c r="F3537" s="47" t="str">
        <f>+Centro_Cuenta8[[#This Row],[Codigo Centro Gestion]]&amp;" - "&amp;Centro_Cuenta8[[#This Row],[Nombre Centro Gestion]]</f>
        <v>9048 - PV Pie Andino              </v>
      </c>
      <c r="G3537" s="47" t="str">
        <f>+Centro_Cuenta8[[#This Row],[Código Cuenta Contable]]&amp;" - "&amp;Centro_Cuenta8[[#This Row],[Nombre de Cuenta Contable]]</f>
        <v>4205060 - Gtos Grales Entrega y PV</v>
      </c>
      <c r="H3537" s="146" t="str">
        <f>+VLOOKUP(D3537,'3. Cuentas'!A:F,6,0)</f>
        <v>SI</v>
      </c>
    </row>
    <row r="3538" spans="1:8" x14ac:dyDescent="0.25">
      <c r="A3538" s="43">
        <v>9049</v>
      </c>
      <c r="B3538" t="s">
        <v>595</v>
      </c>
      <c r="C3538" s="43" t="s">
        <v>328</v>
      </c>
      <c r="D3538" s="43">
        <v>1110040</v>
      </c>
      <c r="E3538" t="s">
        <v>1505</v>
      </c>
      <c r="F3538" s="47" t="str">
        <f>+Centro_Cuenta8[[#This Row],[Codigo Centro Gestion]]&amp;" - "&amp;Centro_Cuenta8[[#This Row],[Nombre Centro Gestion]]</f>
        <v>9049 - PV Boulevard BBI</v>
      </c>
      <c r="G3538" s="47" t="str">
        <f>+Centro_Cuenta8[[#This Row],[Código Cuenta Contable]]&amp;" - "&amp;Centro_Cuenta8[[#This Row],[Nombre de Cuenta Contable]]</f>
        <v>1110040 - Garantía Pagadas</v>
      </c>
      <c r="H3538" s="146" t="str">
        <f>+VLOOKUP(D3538,'3. Cuentas'!A:F,6,0)</f>
        <v>SI</v>
      </c>
    </row>
    <row r="3539" spans="1:8" x14ac:dyDescent="0.25">
      <c r="A3539" s="43">
        <v>9049</v>
      </c>
      <c r="B3539" t="s">
        <v>595</v>
      </c>
      <c r="C3539" s="43" t="s">
        <v>328</v>
      </c>
      <c r="D3539" s="43">
        <v>4205060</v>
      </c>
      <c r="E3539" t="s">
        <v>130</v>
      </c>
      <c r="F3539" s="47" t="str">
        <f>+Centro_Cuenta8[[#This Row],[Codigo Centro Gestion]]&amp;" - "&amp;Centro_Cuenta8[[#This Row],[Nombre Centro Gestion]]</f>
        <v>9049 - PV Boulevard BBI</v>
      </c>
      <c r="G3539" s="47" t="str">
        <f>+Centro_Cuenta8[[#This Row],[Código Cuenta Contable]]&amp;" - "&amp;Centro_Cuenta8[[#This Row],[Nombre de Cuenta Contable]]</f>
        <v>4205060 - Gtos Grales Entrega y PV</v>
      </c>
      <c r="H3539" s="146" t="str">
        <f>+VLOOKUP(D3539,'3. Cuentas'!A:F,6,0)</f>
        <v>SI</v>
      </c>
    </row>
    <row r="3540" spans="1:8" x14ac:dyDescent="0.25">
      <c r="A3540" s="43">
        <v>9050</v>
      </c>
      <c r="B3540" t="s">
        <v>596</v>
      </c>
      <c r="C3540" s="43" t="s">
        <v>328</v>
      </c>
      <c r="D3540" s="43">
        <v>1110040</v>
      </c>
      <c r="E3540" t="s">
        <v>1505</v>
      </c>
      <c r="F3540" s="47" t="str">
        <f>+Centro_Cuenta8[[#This Row],[Codigo Centro Gestion]]&amp;" - "&amp;Centro_Cuenta8[[#This Row],[Nombre Centro Gestion]]</f>
        <v>9050 - PV Carmen 233</v>
      </c>
      <c r="G3540" s="47" t="str">
        <f>+Centro_Cuenta8[[#This Row],[Código Cuenta Contable]]&amp;" - "&amp;Centro_Cuenta8[[#This Row],[Nombre de Cuenta Contable]]</f>
        <v>1110040 - Garantía Pagadas</v>
      </c>
      <c r="H3540" s="146" t="str">
        <f>+VLOOKUP(D3540,'3. Cuentas'!A:F,6,0)</f>
        <v>SI</v>
      </c>
    </row>
    <row r="3541" spans="1:8" x14ac:dyDescent="0.25">
      <c r="A3541" s="43">
        <v>9050</v>
      </c>
      <c r="B3541" t="s">
        <v>596</v>
      </c>
      <c r="C3541" s="43" t="s">
        <v>328</v>
      </c>
      <c r="D3541" s="43">
        <v>4205060</v>
      </c>
      <c r="E3541" t="s">
        <v>130</v>
      </c>
      <c r="F3541" s="47" t="str">
        <f>+Centro_Cuenta8[[#This Row],[Codigo Centro Gestion]]&amp;" - "&amp;Centro_Cuenta8[[#This Row],[Nombre Centro Gestion]]</f>
        <v>9050 - PV Carmen 233</v>
      </c>
      <c r="G3541" s="47" t="str">
        <f>+Centro_Cuenta8[[#This Row],[Código Cuenta Contable]]&amp;" - "&amp;Centro_Cuenta8[[#This Row],[Nombre de Cuenta Contable]]</f>
        <v>4205060 - Gtos Grales Entrega y PV</v>
      </c>
      <c r="H3541" s="146" t="str">
        <f>+VLOOKUP(D3541,'3. Cuentas'!A:F,6,0)</f>
        <v>SI</v>
      </c>
    </row>
    <row r="3542" spans="1:8" x14ac:dyDescent="0.25">
      <c r="A3542" s="43">
        <v>9052</v>
      </c>
      <c r="B3542" t="s">
        <v>597</v>
      </c>
      <c r="C3542" s="43" t="s">
        <v>328</v>
      </c>
      <c r="D3542" s="43">
        <v>1110040</v>
      </c>
      <c r="E3542" t="s">
        <v>1505</v>
      </c>
      <c r="F3542" s="47" t="str">
        <f>+Centro_Cuenta8[[#This Row],[Codigo Centro Gestion]]&amp;" - "&amp;Centro_Cuenta8[[#This Row],[Nombre Centro Gestion]]</f>
        <v>9052 - PV Costa El Aguila              </v>
      </c>
      <c r="G3542" s="47" t="str">
        <f>+Centro_Cuenta8[[#This Row],[Código Cuenta Contable]]&amp;" - "&amp;Centro_Cuenta8[[#This Row],[Nombre de Cuenta Contable]]</f>
        <v>1110040 - Garantía Pagadas</v>
      </c>
      <c r="H3542" s="146" t="str">
        <f>+VLOOKUP(D3542,'3. Cuentas'!A:F,6,0)</f>
        <v>SI</v>
      </c>
    </row>
    <row r="3543" spans="1:8" x14ac:dyDescent="0.25">
      <c r="A3543" s="43">
        <v>9052</v>
      </c>
      <c r="B3543" t="s">
        <v>597</v>
      </c>
      <c r="C3543" s="43" t="s">
        <v>328</v>
      </c>
      <c r="D3543" s="43">
        <v>4205060</v>
      </c>
      <c r="E3543" t="s">
        <v>130</v>
      </c>
      <c r="F3543" s="47" t="str">
        <f>+Centro_Cuenta8[[#This Row],[Codigo Centro Gestion]]&amp;" - "&amp;Centro_Cuenta8[[#This Row],[Nombre Centro Gestion]]</f>
        <v>9052 - PV Costa El Aguila              </v>
      </c>
      <c r="G3543" s="47" t="str">
        <f>+Centro_Cuenta8[[#This Row],[Código Cuenta Contable]]&amp;" - "&amp;Centro_Cuenta8[[#This Row],[Nombre de Cuenta Contable]]</f>
        <v>4205060 - Gtos Grales Entrega y PV</v>
      </c>
      <c r="H3543" s="146" t="str">
        <f>+VLOOKUP(D3543,'3. Cuentas'!A:F,6,0)</f>
        <v>SI</v>
      </c>
    </row>
    <row r="3544" spans="1:8" x14ac:dyDescent="0.25">
      <c r="A3544" s="43">
        <v>9053</v>
      </c>
      <c r="B3544" t="s">
        <v>598</v>
      </c>
      <c r="C3544" s="43" t="s">
        <v>328</v>
      </c>
      <c r="D3544" s="43">
        <v>1110040</v>
      </c>
      <c r="E3544" t="s">
        <v>1505</v>
      </c>
      <c r="F3544" s="47" t="str">
        <f>+Centro_Cuenta8[[#This Row],[Codigo Centro Gestion]]&amp;" - "&amp;Centro_Cuenta8[[#This Row],[Nombre Centro Gestion]]</f>
        <v>9053 - PV Vista del Valle          </v>
      </c>
      <c r="G3544" s="47" t="str">
        <f>+Centro_Cuenta8[[#This Row],[Código Cuenta Contable]]&amp;" - "&amp;Centro_Cuenta8[[#This Row],[Nombre de Cuenta Contable]]</f>
        <v>1110040 - Garantía Pagadas</v>
      </c>
      <c r="H3544" s="146" t="str">
        <f>+VLOOKUP(D3544,'3. Cuentas'!A:F,6,0)</f>
        <v>SI</v>
      </c>
    </row>
    <row r="3545" spans="1:8" x14ac:dyDescent="0.25">
      <c r="A3545" s="43">
        <v>9053</v>
      </c>
      <c r="B3545" t="s">
        <v>598</v>
      </c>
      <c r="C3545" s="43" t="s">
        <v>328</v>
      </c>
      <c r="D3545" s="43">
        <v>4205060</v>
      </c>
      <c r="E3545" t="s">
        <v>130</v>
      </c>
      <c r="F3545" s="47" t="str">
        <f>+Centro_Cuenta8[[#This Row],[Codigo Centro Gestion]]&amp;" - "&amp;Centro_Cuenta8[[#This Row],[Nombre Centro Gestion]]</f>
        <v>9053 - PV Vista del Valle          </v>
      </c>
      <c r="G3545" s="47" t="str">
        <f>+Centro_Cuenta8[[#This Row],[Código Cuenta Contable]]&amp;" - "&amp;Centro_Cuenta8[[#This Row],[Nombre de Cuenta Contable]]</f>
        <v>4205060 - Gtos Grales Entrega y PV</v>
      </c>
      <c r="H3545" s="146" t="str">
        <f>+VLOOKUP(D3545,'3. Cuentas'!A:F,6,0)</f>
        <v>SI</v>
      </c>
    </row>
    <row r="3546" spans="1:8" x14ac:dyDescent="0.25">
      <c r="A3546" s="43">
        <v>9054</v>
      </c>
      <c r="B3546" t="s">
        <v>599</v>
      </c>
      <c r="C3546" s="43" t="s">
        <v>328</v>
      </c>
      <c r="D3546" s="43">
        <v>1110040</v>
      </c>
      <c r="E3546" t="s">
        <v>1505</v>
      </c>
      <c r="F3546" s="47" t="str">
        <f>+Centro_Cuenta8[[#This Row],[Codigo Centro Gestion]]&amp;" - "&amp;Centro_Cuenta8[[#This Row],[Nombre Centro Gestion]]</f>
        <v>9054 - PV Club La Foresta              </v>
      </c>
      <c r="G3546" s="47" t="str">
        <f>+Centro_Cuenta8[[#This Row],[Código Cuenta Contable]]&amp;" - "&amp;Centro_Cuenta8[[#This Row],[Nombre de Cuenta Contable]]</f>
        <v>1110040 - Garantía Pagadas</v>
      </c>
      <c r="H3546" s="146" t="str">
        <f>+VLOOKUP(D3546,'3. Cuentas'!A:F,6,0)</f>
        <v>SI</v>
      </c>
    </row>
    <row r="3547" spans="1:8" x14ac:dyDescent="0.25">
      <c r="A3547" s="43">
        <v>9054</v>
      </c>
      <c r="B3547" t="s">
        <v>599</v>
      </c>
      <c r="C3547" s="43" t="s">
        <v>328</v>
      </c>
      <c r="D3547" s="43">
        <v>4205060</v>
      </c>
      <c r="E3547" t="s">
        <v>130</v>
      </c>
      <c r="F3547" s="47" t="str">
        <f>+Centro_Cuenta8[[#This Row],[Codigo Centro Gestion]]&amp;" - "&amp;Centro_Cuenta8[[#This Row],[Nombre Centro Gestion]]</f>
        <v>9054 - PV Club La Foresta              </v>
      </c>
      <c r="G3547" s="47" t="str">
        <f>+Centro_Cuenta8[[#This Row],[Código Cuenta Contable]]&amp;" - "&amp;Centro_Cuenta8[[#This Row],[Nombre de Cuenta Contable]]</f>
        <v>4205060 - Gtos Grales Entrega y PV</v>
      </c>
      <c r="H3547" s="146" t="str">
        <f>+VLOOKUP(D3547,'3. Cuentas'!A:F,6,0)</f>
        <v>SI</v>
      </c>
    </row>
    <row r="3548" spans="1:8" x14ac:dyDescent="0.25">
      <c r="A3548" s="43">
        <v>9057</v>
      </c>
      <c r="B3548" t="s">
        <v>600</v>
      </c>
      <c r="C3548" s="43" t="s">
        <v>328</v>
      </c>
      <c r="D3548" s="43">
        <v>1110040</v>
      </c>
      <c r="E3548" t="s">
        <v>1505</v>
      </c>
      <c r="F3548" s="47" t="str">
        <f>+Centro_Cuenta8[[#This Row],[Codigo Centro Gestion]]&amp;" - "&amp;Centro_Cuenta8[[#This Row],[Nombre Centro Gestion]]</f>
        <v>9057 - PV Liceo Bicentenario Santa Maria</v>
      </c>
      <c r="G3548" s="47" t="str">
        <f>+Centro_Cuenta8[[#This Row],[Código Cuenta Contable]]&amp;" - "&amp;Centro_Cuenta8[[#This Row],[Nombre de Cuenta Contable]]</f>
        <v>1110040 - Garantía Pagadas</v>
      </c>
      <c r="H3548" s="146" t="str">
        <f>+VLOOKUP(D3548,'3. Cuentas'!A:F,6,0)</f>
        <v>SI</v>
      </c>
    </row>
    <row r="3549" spans="1:8" x14ac:dyDescent="0.25">
      <c r="A3549" s="43">
        <v>9057</v>
      </c>
      <c r="B3549" t="s">
        <v>600</v>
      </c>
      <c r="C3549" s="43" t="s">
        <v>328</v>
      </c>
      <c r="D3549" s="43">
        <v>4205060</v>
      </c>
      <c r="E3549" t="s">
        <v>130</v>
      </c>
      <c r="F3549" s="47" t="str">
        <f>+Centro_Cuenta8[[#This Row],[Codigo Centro Gestion]]&amp;" - "&amp;Centro_Cuenta8[[#This Row],[Nombre Centro Gestion]]</f>
        <v>9057 - PV Liceo Bicentenario Santa Maria</v>
      </c>
      <c r="G3549" s="47" t="str">
        <f>+Centro_Cuenta8[[#This Row],[Código Cuenta Contable]]&amp;" - "&amp;Centro_Cuenta8[[#This Row],[Nombre de Cuenta Contable]]</f>
        <v>4205060 - Gtos Grales Entrega y PV</v>
      </c>
      <c r="H3549" s="146" t="str">
        <f>+VLOOKUP(D3549,'3. Cuentas'!A:F,6,0)</f>
        <v>SI</v>
      </c>
    </row>
    <row r="3550" spans="1:8" x14ac:dyDescent="0.25">
      <c r="A3550" s="43">
        <v>9062</v>
      </c>
      <c r="B3550" t="s">
        <v>601</v>
      </c>
      <c r="C3550" s="43" t="s">
        <v>328</v>
      </c>
      <c r="D3550" s="43">
        <v>1110040</v>
      </c>
      <c r="E3550" t="s">
        <v>1505</v>
      </c>
      <c r="F3550" s="47" t="str">
        <f>+Centro_Cuenta8[[#This Row],[Codigo Centro Gestion]]&amp;" - "&amp;Centro_Cuenta8[[#This Row],[Nombre Centro Gestion]]</f>
        <v>9062 - PV Cumbres del Mar</v>
      </c>
      <c r="G3550" s="47" t="str">
        <f>+Centro_Cuenta8[[#This Row],[Código Cuenta Contable]]&amp;" - "&amp;Centro_Cuenta8[[#This Row],[Nombre de Cuenta Contable]]</f>
        <v>1110040 - Garantía Pagadas</v>
      </c>
      <c r="H3550" s="146" t="str">
        <f>+VLOOKUP(D3550,'3. Cuentas'!A:F,6,0)</f>
        <v>SI</v>
      </c>
    </row>
    <row r="3551" spans="1:8" x14ac:dyDescent="0.25">
      <c r="A3551" s="43">
        <v>9062</v>
      </c>
      <c r="B3551" t="s">
        <v>601</v>
      </c>
      <c r="C3551" s="43" t="s">
        <v>328</v>
      </c>
      <c r="D3551" s="43">
        <v>4205060</v>
      </c>
      <c r="E3551" t="s">
        <v>130</v>
      </c>
      <c r="F3551" s="47" t="str">
        <f>+Centro_Cuenta8[[#This Row],[Codigo Centro Gestion]]&amp;" - "&amp;Centro_Cuenta8[[#This Row],[Nombre Centro Gestion]]</f>
        <v>9062 - PV Cumbres del Mar</v>
      </c>
      <c r="G3551" s="47" t="str">
        <f>+Centro_Cuenta8[[#This Row],[Código Cuenta Contable]]&amp;" - "&amp;Centro_Cuenta8[[#This Row],[Nombre de Cuenta Contable]]</f>
        <v>4205060 - Gtos Grales Entrega y PV</v>
      </c>
      <c r="H3551" s="146" t="str">
        <f>+VLOOKUP(D3551,'3. Cuentas'!A:F,6,0)</f>
        <v>SI</v>
      </c>
    </row>
    <row r="3552" spans="1:8" x14ac:dyDescent="0.25">
      <c r="A3552" s="43">
        <v>9110</v>
      </c>
      <c r="B3552" t="s">
        <v>602</v>
      </c>
      <c r="C3552" s="43" t="s">
        <v>328</v>
      </c>
      <c r="D3552" s="43">
        <v>1110040</v>
      </c>
      <c r="E3552" t="s">
        <v>1505</v>
      </c>
      <c r="F3552" s="47" t="str">
        <f>+Centro_Cuenta8[[#This Row],[Codigo Centro Gestion]]&amp;" - "&amp;Centro_Cuenta8[[#This Row],[Nombre Centro Gestion]]</f>
        <v>9110 - PV Vista del Parque</v>
      </c>
      <c r="G3552" s="47" t="str">
        <f>+Centro_Cuenta8[[#This Row],[Código Cuenta Contable]]&amp;" - "&amp;Centro_Cuenta8[[#This Row],[Nombre de Cuenta Contable]]</f>
        <v>1110040 - Garantía Pagadas</v>
      </c>
      <c r="H3552" s="146" t="str">
        <f>+VLOOKUP(D3552,'3. Cuentas'!A:F,6,0)</f>
        <v>SI</v>
      </c>
    </row>
    <row r="3553" spans="1:8" x14ac:dyDescent="0.25">
      <c r="A3553" s="43">
        <v>9110</v>
      </c>
      <c r="B3553" t="s">
        <v>602</v>
      </c>
      <c r="C3553" s="43" t="s">
        <v>328</v>
      </c>
      <c r="D3553" s="43">
        <v>4205060</v>
      </c>
      <c r="E3553" t="s">
        <v>130</v>
      </c>
      <c r="F3553" s="47" t="str">
        <f>+Centro_Cuenta8[[#This Row],[Codigo Centro Gestion]]&amp;" - "&amp;Centro_Cuenta8[[#This Row],[Nombre Centro Gestion]]</f>
        <v>9110 - PV Vista del Parque</v>
      </c>
      <c r="G3553" s="47" t="str">
        <f>+Centro_Cuenta8[[#This Row],[Código Cuenta Contable]]&amp;" - "&amp;Centro_Cuenta8[[#This Row],[Nombre de Cuenta Contable]]</f>
        <v>4205060 - Gtos Grales Entrega y PV</v>
      </c>
      <c r="H3553" s="146" t="str">
        <f>+VLOOKUP(D3553,'3. Cuentas'!A:F,6,0)</f>
        <v>SI</v>
      </c>
    </row>
    <row r="3554" spans="1:8" x14ac:dyDescent="0.25">
      <c r="A3554" s="43">
        <v>9116</v>
      </c>
      <c r="B3554" t="s">
        <v>603</v>
      </c>
      <c r="C3554" s="43" t="s">
        <v>328</v>
      </c>
      <c r="D3554" s="43">
        <v>1110040</v>
      </c>
      <c r="E3554" t="s">
        <v>1505</v>
      </c>
      <c r="F3554" s="47" t="str">
        <f>+Centro_Cuenta8[[#This Row],[Codigo Centro Gestion]]&amp;" - "&amp;Centro_Cuenta8[[#This Row],[Nombre Centro Gestion]]</f>
        <v>9116 - PV Los Leones</v>
      </c>
      <c r="G3554" s="47" t="str">
        <f>+Centro_Cuenta8[[#This Row],[Código Cuenta Contable]]&amp;" - "&amp;Centro_Cuenta8[[#This Row],[Nombre de Cuenta Contable]]</f>
        <v>1110040 - Garantía Pagadas</v>
      </c>
      <c r="H3554" s="146" t="str">
        <f>+VLOOKUP(D3554,'3. Cuentas'!A:F,6,0)</f>
        <v>SI</v>
      </c>
    </row>
    <row r="3555" spans="1:8" x14ac:dyDescent="0.25">
      <c r="A3555" s="43">
        <v>9116</v>
      </c>
      <c r="B3555" t="s">
        <v>603</v>
      </c>
      <c r="C3555" s="43" t="s">
        <v>328</v>
      </c>
      <c r="D3555" s="43">
        <v>4205060</v>
      </c>
      <c r="E3555" t="s">
        <v>130</v>
      </c>
      <c r="F3555" s="47" t="str">
        <f>+Centro_Cuenta8[[#This Row],[Codigo Centro Gestion]]&amp;" - "&amp;Centro_Cuenta8[[#This Row],[Nombre Centro Gestion]]</f>
        <v>9116 - PV Los Leones</v>
      </c>
      <c r="G3555" s="47" t="str">
        <f>+Centro_Cuenta8[[#This Row],[Código Cuenta Contable]]&amp;" - "&amp;Centro_Cuenta8[[#This Row],[Nombre de Cuenta Contable]]</f>
        <v>4205060 - Gtos Grales Entrega y PV</v>
      </c>
      <c r="H3555" s="146" t="str">
        <f>+VLOOKUP(D3555,'3. Cuentas'!A:F,6,0)</f>
        <v>SI</v>
      </c>
    </row>
    <row r="3556" spans="1:8" x14ac:dyDescent="0.25">
      <c r="A3556" s="43">
        <v>9121</v>
      </c>
      <c r="B3556" t="s">
        <v>604</v>
      </c>
      <c r="C3556" s="43" t="s">
        <v>328</v>
      </c>
      <c r="D3556" s="43">
        <v>1110040</v>
      </c>
      <c r="E3556" t="s">
        <v>1505</v>
      </c>
      <c r="F3556" s="47" t="str">
        <f>+Centro_Cuenta8[[#This Row],[Codigo Centro Gestion]]&amp;" - "&amp;Centro_Cuenta8[[#This Row],[Nombre Centro Gestion]]</f>
        <v>9121 - PV Pie Andino Etapa 2</v>
      </c>
      <c r="G3556" s="47" t="str">
        <f>+Centro_Cuenta8[[#This Row],[Código Cuenta Contable]]&amp;" - "&amp;Centro_Cuenta8[[#This Row],[Nombre de Cuenta Contable]]</f>
        <v>1110040 - Garantía Pagadas</v>
      </c>
      <c r="H3556" s="146" t="str">
        <f>+VLOOKUP(D3556,'3. Cuentas'!A:F,6,0)</f>
        <v>SI</v>
      </c>
    </row>
    <row r="3557" spans="1:8" x14ac:dyDescent="0.25">
      <c r="A3557" s="43">
        <v>9121</v>
      </c>
      <c r="B3557" t="s">
        <v>604</v>
      </c>
      <c r="C3557" s="43" t="s">
        <v>328</v>
      </c>
      <c r="D3557" s="43">
        <v>4205060</v>
      </c>
      <c r="E3557" t="s">
        <v>130</v>
      </c>
      <c r="F3557" s="47" t="str">
        <f>+Centro_Cuenta8[[#This Row],[Codigo Centro Gestion]]&amp;" - "&amp;Centro_Cuenta8[[#This Row],[Nombre Centro Gestion]]</f>
        <v>9121 - PV Pie Andino Etapa 2</v>
      </c>
      <c r="G3557" s="47" t="str">
        <f>+Centro_Cuenta8[[#This Row],[Código Cuenta Contable]]&amp;" - "&amp;Centro_Cuenta8[[#This Row],[Nombre de Cuenta Contable]]</f>
        <v>4205060 - Gtos Grales Entrega y PV</v>
      </c>
      <c r="H3557" s="146" t="str">
        <f>+VLOOKUP(D3557,'3. Cuentas'!A:F,6,0)</f>
        <v>SI</v>
      </c>
    </row>
    <row r="3558" spans="1:8" x14ac:dyDescent="0.25">
      <c r="A3558" s="43">
        <v>9122</v>
      </c>
      <c r="B3558" t="s">
        <v>605</v>
      </c>
      <c r="C3558" s="43" t="s">
        <v>328</v>
      </c>
      <c r="D3558" s="43">
        <v>1110040</v>
      </c>
      <c r="E3558" t="s">
        <v>1505</v>
      </c>
      <c r="F3558" s="47" t="str">
        <f>+Centro_Cuenta8[[#This Row],[Codigo Centro Gestion]]&amp;" - "&amp;Centro_Cuenta8[[#This Row],[Nombre Centro Gestion]]</f>
        <v>9122 - PV Pie Andino Etapa 3</v>
      </c>
      <c r="G3558" s="47" t="str">
        <f>+Centro_Cuenta8[[#This Row],[Código Cuenta Contable]]&amp;" - "&amp;Centro_Cuenta8[[#This Row],[Nombre de Cuenta Contable]]</f>
        <v>1110040 - Garantía Pagadas</v>
      </c>
      <c r="H3558" s="146" t="str">
        <f>+VLOOKUP(D3558,'3. Cuentas'!A:F,6,0)</f>
        <v>SI</v>
      </c>
    </row>
    <row r="3559" spans="1:8" x14ac:dyDescent="0.25">
      <c r="A3559" s="43">
        <v>9122</v>
      </c>
      <c r="B3559" t="s">
        <v>605</v>
      </c>
      <c r="C3559" s="43" t="s">
        <v>328</v>
      </c>
      <c r="D3559" s="43">
        <v>4205060</v>
      </c>
      <c r="E3559" t="s">
        <v>130</v>
      </c>
      <c r="F3559" s="47" t="str">
        <f>+Centro_Cuenta8[[#This Row],[Codigo Centro Gestion]]&amp;" - "&amp;Centro_Cuenta8[[#This Row],[Nombre Centro Gestion]]</f>
        <v>9122 - PV Pie Andino Etapa 3</v>
      </c>
      <c r="G3559" s="47" t="str">
        <f>+Centro_Cuenta8[[#This Row],[Código Cuenta Contable]]&amp;" - "&amp;Centro_Cuenta8[[#This Row],[Nombre de Cuenta Contable]]</f>
        <v>4205060 - Gtos Grales Entrega y PV</v>
      </c>
      <c r="H3559" s="146" t="str">
        <f>+VLOOKUP(D3559,'3. Cuentas'!A:F,6,0)</f>
        <v>SI</v>
      </c>
    </row>
    <row r="3560" spans="1:8" x14ac:dyDescent="0.25">
      <c r="A3560" s="43">
        <v>9123</v>
      </c>
      <c r="B3560" t="s">
        <v>606</v>
      </c>
      <c r="C3560" s="43" t="s">
        <v>328</v>
      </c>
      <c r="D3560" s="43">
        <v>1110040</v>
      </c>
      <c r="E3560" t="s">
        <v>1505</v>
      </c>
      <c r="F3560" s="47" t="str">
        <f>+Centro_Cuenta8[[#This Row],[Codigo Centro Gestion]]&amp;" - "&amp;Centro_Cuenta8[[#This Row],[Nombre Centro Gestion]]</f>
        <v>9123 - PV Pie Andino Etapa 4</v>
      </c>
      <c r="G3560" s="47" t="str">
        <f>+Centro_Cuenta8[[#This Row],[Código Cuenta Contable]]&amp;" - "&amp;Centro_Cuenta8[[#This Row],[Nombre de Cuenta Contable]]</f>
        <v>1110040 - Garantía Pagadas</v>
      </c>
      <c r="H3560" s="146" t="str">
        <f>+VLOOKUP(D3560,'3. Cuentas'!A:F,6,0)</f>
        <v>SI</v>
      </c>
    </row>
    <row r="3561" spans="1:8" x14ac:dyDescent="0.25">
      <c r="A3561" s="43">
        <v>9123</v>
      </c>
      <c r="B3561" t="s">
        <v>606</v>
      </c>
      <c r="C3561" s="43" t="s">
        <v>328</v>
      </c>
      <c r="D3561" s="43">
        <v>4205060</v>
      </c>
      <c r="E3561" t="s">
        <v>130</v>
      </c>
      <c r="F3561" s="47" t="str">
        <f>+Centro_Cuenta8[[#This Row],[Codigo Centro Gestion]]&amp;" - "&amp;Centro_Cuenta8[[#This Row],[Nombre Centro Gestion]]</f>
        <v>9123 - PV Pie Andino Etapa 4</v>
      </c>
      <c r="G3561" s="47" t="str">
        <f>+Centro_Cuenta8[[#This Row],[Código Cuenta Contable]]&amp;" - "&amp;Centro_Cuenta8[[#This Row],[Nombre de Cuenta Contable]]</f>
        <v>4205060 - Gtos Grales Entrega y PV</v>
      </c>
      <c r="H3561" s="146" t="str">
        <f>+VLOOKUP(D3561,'3. Cuentas'!A:F,6,0)</f>
        <v>SI</v>
      </c>
    </row>
    <row r="3562" spans="1:8" x14ac:dyDescent="0.25">
      <c r="A3562" s="43">
        <v>9131</v>
      </c>
      <c r="B3562" t="s">
        <v>607</v>
      </c>
      <c r="C3562" s="43" t="s">
        <v>328</v>
      </c>
      <c r="D3562" s="43">
        <v>1110040</v>
      </c>
      <c r="E3562" t="s">
        <v>1505</v>
      </c>
      <c r="F3562" s="47" t="str">
        <f>+Centro_Cuenta8[[#This Row],[Codigo Centro Gestion]]&amp;" - "&amp;Centro_Cuenta8[[#This Row],[Nombre Centro Gestion]]</f>
        <v>9131 - PV Vista Oriente</v>
      </c>
      <c r="G3562" s="47" t="str">
        <f>+Centro_Cuenta8[[#This Row],[Código Cuenta Contable]]&amp;" - "&amp;Centro_Cuenta8[[#This Row],[Nombre de Cuenta Contable]]</f>
        <v>1110040 - Garantía Pagadas</v>
      </c>
      <c r="H3562" s="146" t="str">
        <f>+VLOOKUP(D3562,'3. Cuentas'!A:F,6,0)</f>
        <v>SI</v>
      </c>
    </row>
    <row r="3563" spans="1:8" x14ac:dyDescent="0.25">
      <c r="A3563" s="43">
        <v>9131</v>
      </c>
      <c r="B3563" t="s">
        <v>607</v>
      </c>
      <c r="C3563" s="43" t="s">
        <v>328</v>
      </c>
      <c r="D3563" s="43">
        <v>4205060</v>
      </c>
      <c r="E3563" t="s">
        <v>130</v>
      </c>
      <c r="F3563" s="47" t="str">
        <f>+Centro_Cuenta8[[#This Row],[Codigo Centro Gestion]]&amp;" - "&amp;Centro_Cuenta8[[#This Row],[Nombre Centro Gestion]]</f>
        <v>9131 - PV Vista Oriente</v>
      </c>
      <c r="G3563" s="47" t="str">
        <f>+Centro_Cuenta8[[#This Row],[Código Cuenta Contable]]&amp;" - "&amp;Centro_Cuenta8[[#This Row],[Nombre de Cuenta Contable]]</f>
        <v>4205060 - Gtos Grales Entrega y PV</v>
      </c>
      <c r="H3563" s="146" t="str">
        <f>+VLOOKUP(D3563,'3. Cuentas'!A:F,6,0)</f>
        <v>SI</v>
      </c>
    </row>
    <row r="3564" spans="1:8" x14ac:dyDescent="0.25">
      <c r="A3564" s="43">
        <v>9133</v>
      </c>
      <c r="B3564" t="s">
        <v>608</v>
      </c>
      <c r="C3564" s="43" t="s">
        <v>328</v>
      </c>
      <c r="D3564" s="43">
        <v>1110040</v>
      </c>
      <c r="E3564" t="s">
        <v>1505</v>
      </c>
      <c r="F3564" s="47" t="str">
        <f>+Centro_Cuenta8[[#This Row],[Codigo Centro Gestion]]&amp;" - "&amp;Centro_Cuenta8[[#This Row],[Nombre Centro Gestion]]</f>
        <v>9133 - PV Vista del Valle II Edificio A</v>
      </c>
      <c r="G3564" s="47" t="str">
        <f>+Centro_Cuenta8[[#This Row],[Código Cuenta Contable]]&amp;" - "&amp;Centro_Cuenta8[[#This Row],[Nombre de Cuenta Contable]]</f>
        <v>1110040 - Garantía Pagadas</v>
      </c>
      <c r="H3564" s="146" t="str">
        <f>+VLOOKUP(D3564,'3. Cuentas'!A:F,6,0)</f>
        <v>SI</v>
      </c>
    </row>
    <row r="3565" spans="1:8" x14ac:dyDescent="0.25">
      <c r="A3565" s="43">
        <v>9133</v>
      </c>
      <c r="B3565" t="s">
        <v>608</v>
      </c>
      <c r="C3565" s="43" t="s">
        <v>328</v>
      </c>
      <c r="D3565" s="43">
        <v>4205060</v>
      </c>
      <c r="E3565" t="s">
        <v>130</v>
      </c>
      <c r="F3565" s="47" t="str">
        <f>+Centro_Cuenta8[[#This Row],[Codigo Centro Gestion]]&amp;" - "&amp;Centro_Cuenta8[[#This Row],[Nombre Centro Gestion]]</f>
        <v>9133 - PV Vista del Valle II Edificio A</v>
      </c>
      <c r="G3565" s="47" t="str">
        <f>+Centro_Cuenta8[[#This Row],[Código Cuenta Contable]]&amp;" - "&amp;Centro_Cuenta8[[#This Row],[Nombre de Cuenta Contable]]</f>
        <v>4205060 - Gtos Grales Entrega y PV</v>
      </c>
      <c r="H3565" s="146" t="str">
        <f>+VLOOKUP(D3565,'3. Cuentas'!A:F,6,0)</f>
        <v>SI</v>
      </c>
    </row>
    <row r="3566" spans="1:8" x14ac:dyDescent="0.25">
      <c r="A3566" s="43">
        <v>9134</v>
      </c>
      <c r="B3566" t="s">
        <v>609</v>
      </c>
      <c r="C3566" s="43" t="s">
        <v>328</v>
      </c>
      <c r="D3566" s="43">
        <v>1110040</v>
      </c>
      <c r="E3566" t="s">
        <v>1505</v>
      </c>
      <c r="F3566" s="47" t="str">
        <f>+Centro_Cuenta8[[#This Row],[Codigo Centro Gestion]]&amp;" - "&amp;Centro_Cuenta8[[#This Row],[Nombre Centro Gestion]]</f>
        <v>9134 - PV Condominio Castilla Et1</v>
      </c>
      <c r="G3566" s="47" t="str">
        <f>+Centro_Cuenta8[[#This Row],[Código Cuenta Contable]]&amp;" - "&amp;Centro_Cuenta8[[#This Row],[Nombre de Cuenta Contable]]</f>
        <v>1110040 - Garantía Pagadas</v>
      </c>
      <c r="H3566" s="146" t="str">
        <f>+VLOOKUP(D3566,'3. Cuentas'!A:F,6,0)</f>
        <v>SI</v>
      </c>
    </row>
    <row r="3567" spans="1:8" x14ac:dyDescent="0.25">
      <c r="A3567" s="43">
        <v>9134</v>
      </c>
      <c r="B3567" t="s">
        <v>609</v>
      </c>
      <c r="C3567" s="43" t="s">
        <v>328</v>
      </c>
      <c r="D3567" s="43">
        <v>4205060</v>
      </c>
      <c r="E3567" t="s">
        <v>130</v>
      </c>
      <c r="F3567" s="47" t="str">
        <f>+Centro_Cuenta8[[#This Row],[Codigo Centro Gestion]]&amp;" - "&amp;Centro_Cuenta8[[#This Row],[Nombre Centro Gestion]]</f>
        <v>9134 - PV Condominio Castilla Et1</v>
      </c>
      <c r="G3567" s="47" t="str">
        <f>+Centro_Cuenta8[[#This Row],[Código Cuenta Contable]]&amp;" - "&amp;Centro_Cuenta8[[#This Row],[Nombre de Cuenta Contable]]</f>
        <v>4205060 - Gtos Grales Entrega y PV</v>
      </c>
      <c r="H3567" s="146" t="str">
        <f>+VLOOKUP(D3567,'3. Cuentas'!A:F,6,0)</f>
        <v>SI</v>
      </c>
    </row>
    <row r="3568" spans="1:8" x14ac:dyDescent="0.25">
      <c r="A3568" s="43">
        <v>9140</v>
      </c>
      <c r="B3568" t="s">
        <v>610</v>
      </c>
      <c r="C3568" s="43" t="s">
        <v>328</v>
      </c>
      <c r="D3568" s="43">
        <v>1110040</v>
      </c>
      <c r="E3568" t="s">
        <v>1505</v>
      </c>
      <c r="F3568" s="47" t="str">
        <f>+Centro_Cuenta8[[#This Row],[Codigo Centro Gestion]]&amp;" - "&amp;Centro_Cuenta8[[#This Row],[Nombre Centro Gestion]]</f>
        <v>9140 - PV Mirador del Bosque II</v>
      </c>
      <c r="G3568" s="47" t="str">
        <f>+Centro_Cuenta8[[#This Row],[Código Cuenta Contable]]&amp;" - "&amp;Centro_Cuenta8[[#This Row],[Nombre de Cuenta Contable]]</f>
        <v>1110040 - Garantía Pagadas</v>
      </c>
      <c r="H3568" s="146" t="str">
        <f>+VLOOKUP(D3568,'3. Cuentas'!A:F,6,0)</f>
        <v>SI</v>
      </c>
    </row>
    <row r="3569" spans="1:8" x14ac:dyDescent="0.25">
      <c r="A3569" s="43">
        <v>9140</v>
      </c>
      <c r="B3569" t="s">
        <v>610</v>
      </c>
      <c r="C3569" s="43" t="s">
        <v>328</v>
      </c>
      <c r="D3569" s="43">
        <v>4205060</v>
      </c>
      <c r="E3569" t="s">
        <v>130</v>
      </c>
      <c r="F3569" s="47" t="str">
        <f>+Centro_Cuenta8[[#This Row],[Codigo Centro Gestion]]&amp;" - "&amp;Centro_Cuenta8[[#This Row],[Nombre Centro Gestion]]</f>
        <v>9140 - PV Mirador del Bosque II</v>
      </c>
      <c r="G3569" s="47" t="str">
        <f>+Centro_Cuenta8[[#This Row],[Código Cuenta Contable]]&amp;" - "&amp;Centro_Cuenta8[[#This Row],[Nombre de Cuenta Contable]]</f>
        <v>4205060 - Gtos Grales Entrega y PV</v>
      </c>
      <c r="H3569" s="146" t="str">
        <f>+VLOOKUP(D3569,'3. Cuentas'!A:F,6,0)</f>
        <v>SI</v>
      </c>
    </row>
    <row r="3570" spans="1:8" x14ac:dyDescent="0.25">
      <c r="A3570" s="43">
        <v>9141</v>
      </c>
      <c r="B3570" t="s">
        <v>611</v>
      </c>
      <c r="C3570" s="43" t="s">
        <v>328</v>
      </c>
      <c r="D3570" s="43">
        <v>1110040</v>
      </c>
      <c r="E3570" t="s">
        <v>1505</v>
      </c>
      <c r="F3570" s="47" t="str">
        <f>+Centro_Cuenta8[[#This Row],[Codigo Centro Gestion]]&amp;" - "&amp;Centro_Cuenta8[[#This Row],[Nombre Centro Gestion]]</f>
        <v>9141 - PV Edificio Mirador</v>
      </c>
      <c r="G3570" s="47" t="str">
        <f>+Centro_Cuenta8[[#This Row],[Código Cuenta Contable]]&amp;" - "&amp;Centro_Cuenta8[[#This Row],[Nombre de Cuenta Contable]]</f>
        <v>1110040 - Garantía Pagadas</v>
      </c>
      <c r="H3570" s="146" t="str">
        <f>+VLOOKUP(D3570,'3. Cuentas'!A:F,6,0)</f>
        <v>SI</v>
      </c>
    </row>
    <row r="3571" spans="1:8" x14ac:dyDescent="0.25">
      <c r="A3571" s="43">
        <v>9141</v>
      </c>
      <c r="B3571" t="s">
        <v>611</v>
      </c>
      <c r="C3571" s="43" t="s">
        <v>328</v>
      </c>
      <c r="D3571" s="43">
        <v>4205060</v>
      </c>
      <c r="E3571" t="s">
        <v>130</v>
      </c>
      <c r="F3571" s="47" t="str">
        <f>+Centro_Cuenta8[[#This Row],[Codigo Centro Gestion]]&amp;" - "&amp;Centro_Cuenta8[[#This Row],[Nombre Centro Gestion]]</f>
        <v>9141 - PV Edificio Mirador</v>
      </c>
      <c r="G3571" s="47" t="str">
        <f>+Centro_Cuenta8[[#This Row],[Código Cuenta Contable]]&amp;" - "&amp;Centro_Cuenta8[[#This Row],[Nombre de Cuenta Contable]]</f>
        <v>4205060 - Gtos Grales Entrega y PV</v>
      </c>
      <c r="H3571" s="146" t="str">
        <f>+VLOOKUP(D3571,'3. Cuentas'!A:F,6,0)</f>
        <v>SI</v>
      </c>
    </row>
    <row r="3572" spans="1:8" x14ac:dyDescent="0.25">
      <c r="A3572" s="43">
        <v>9167</v>
      </c>
      <c r="B3572" t="s">
        <v>612</v>
      </c>
      <c r="C3572" s="43" t="s">
        <v>328</v>
      </c>
      <c r="D3572" s="43">
        <v>1110040</v>
      </c>
      <c r="E3572" t="s">
        <v>1505</v>
      </c>
      <c r="F3572" s="47" t="str">
        <f>+Centro_Cuenta8[[#This Row],[Codigo Centro Gestion]]&amp;" - "&amp;Centro_Cuenta8[[#This Row],[Nombre Centro Gestion]]</f>
        <v>9167 - PV Palmas del Sur 1</v>
      </c>
      <c r="G3572" s="47" t="str">
        <f>+Centro_Cuenta8[[#This Row],[Código Cuenta Contable]]&amp;" - "&amp;Centro_Cuenta8[[#This Row],[Nombre de Cuenta Contable]]</f>
        <v>1110040 - Garantía Pagadas</v>
      </c>
      <c r="H3572" s="146" t="str">
        <f>+VLOOKUP(D3572,'3. Cuentas'!A:F,6,0)</f>
        <v>SI</v>
      </c>
    </row>
    <row r="3573" spans="1:8" x14ac:dyDescent="0.25">
      <c r="A3573" s="43">
        <v>9167</v>
      </c>
      <c r="B3573" t="s">
        <v>612</v>
      </c>
      <c r="C3573" s="43" t="s">
        <v>328</v>
      </c>
      <c r="D3573" s="43">
        <v>4205060</v>
      </c>
      <c r="E3573" t="s">
        <v>130</v>
      </c>
      <c r="F3573" s="47" t="str">
        <f>+Centro_Cuenta8[[#This Row],[Codigo Centro Gestion]]&amp;" - "&amp;Centro_Cuenta8[[#This Row],[Nombre Centro Gestion]]</f>
        <v>9167 - PV Palmas del Sur 1</v>
      </c>
      <c r="G3573" s="47" t="str">
        <f>+Centro_Cuenta8[[#This Row],[Código Cuenta Contable]]&amp;" - "&amp;Centro_Cuenta8[[#This Row],[Nombre de Cuenta Contable]]</f>
        <v>4205060 - Gtos Grales Entrega y PV</v>
      </c>
      <c r="H3573" s="146" t="str">
        <f>+VLOOKUP(D3573,'3. Cuentas'!A:F,6,0)</f>
        <v>SI</v>
      </c>
    </row>
    <row r="3574" spans="1:8" x14ac:dyDescent="0.25">
      <c r="A3574" s="43">
        <v>9170</v>
      </c>
      <c r="B3574" t="s">
        <v>613</v>
      </c>
      <c r="C3574" s="43" t="s">
        <v>328</v>
      </c>
      <c r="D3574" s="43">
        <v>1110040</v>
      </c>
      <c r="E3574" t="s">
        <v>1505</v>
      </c>
      <c r="F3574" s="47" t="str">
        <f>+Centro_Cuenta8[[#This Row],[Codigo Centro Gestion]]&amp;" - "&amp;Centro_Cuenta8[[#This Row],[Nombre Centro Gestion]]</f>
        <v>9170 - PV Pedro Lautaro Ferrer</v>
      </c>
      <c r="G3574" s="47" t="str">
        <f>+Centro_Cuenta8[[#This Row],[Código Cuenta Contable]]&amp;" - "&amp;Centro_Cuenta8[[#This Row],[Nombre de Cuenta Contable]]</f>
        <v>1110040 - Garantía Pagadas</v>
      </c>
      <c r="H3574" s="146" t="str">
        <f>+VLOOKUP(D3574,'3. Cuentas'!A:F,6,0)</f>
        <v>SI</v>
      </c>
    </row>
    <row r="3575" spans="1:8" x14ac:dyDescent="0.25">
      <c r="A3575" s="43">
        <v>9170</v>
      </c>
      <c r="B3575" t="s">
        <v>613</v>
      </c>
      <c r="C3575" s="43" t="s">
        <v>328</v>
      </c>
      <c r="D3575" s="43">
        <v>4205060</v>
      </c>
      <c r="E3575" t="s">
        <v>130</v>
      </c>
      <c r="F3575" s="47" t="str">
        <f>+Centro_Cuenta8[[#This Row],[Codigo Centro Gestion]]&amp;" - "&amp;Centro_Cuenta8[[#This Row],[Nombre Centro Gestion]]</f>
        <v>9170 - PV Pedro Lautaro Ferrer</v>
      </c>
      <c r="G3575" s="47" t="str">
        <f>+Centro_Cuenta8[[#This Row],[Código Cuenta Contable]]&amp;" - "&amp;Centro_Cuenta8[[#This Row],[Nombre de Cuenta Contable]]</f>
        <v>4205060 - Gtos Grales Entrega y PV</v>
      </c>
      <c r="H3575" s="146" t="str">
        <f>+VLOOKUP(D3575,'3. Cuentas'!A:F,6,0)</f>
        <v>SI</v>
      </c>
    </row>
    <row r="3576" spans="1:8" x14ac:dyDescent="0.25">
      <c r="A3576" s="43">
        <v>9171</v>
      </c>
      <c r="B3576" t="s">
        <v>614</v>
      </c>
      <c r="C3576" s="43" t="s">
        <v>328</v>
      </c>
      <c r="D3576" s="43">
        <v>1110040</v>
      </c>
      <c r="E3576" t="s">
        <v>1505</v>
      </c>
      <c r="F3576" s="47" t="str">
        <f>+Centro_Cuenta8[[#This Row],[Codigo Centro Gestion]]&amp;" - "&amp;Centro_Cuenta8[[#This Row],[Nombre Centro Gestion]]</f>
        <v>9171 - PV Arzobispo Fuenzalida-SA</v>
      </c>
      <c r="G3576" s="47" t="str">
        <f>+Centro_Cuenta8[[#This Row],[Código Cuenta Contable]]&amp;" - "&amp;Centro_Cuenta8[[#This Row],[Nombre de Cuenta Contable]]</f>
        <v>1110040 - Garantía Pagadas</v>
      </c>
      <c r="H3576" s="146" t="str">
        <f>+VLOOKUP(D3576,'3. Cuentas'!A:F,6,0)</f>
        <v>SI</v>
      </c>
    </row>
    <row r="3577" spans="1:8" x14ac:dyDescent="0.25">
      <c r="A3577" s="43">
        <v>9171</v>
      </c>
      <c r="B3577" t="s">
        <v>614</v>
      </c>
      <c r="C3577" s="43" t="s">
        <v>328</v>
      </c>
      <c r="D3577" s="43">
        <v>4205060</v>
      </c>
      <c r="E3577" t="s">
        <v>130</v>
      </c>
      <c r="F3577" s="47" t="str">
        <f>+Centro_Cuenta8[[#This Row],[Codigo Centro Gestion]]&amp;" - "&amp;Centro_Cuenta8[[#This Row],[Nombre Centro Gestion]]</f>
        <v>9171 - PV Arzobispo Fuenzalida-SA</v>
      </c>
      <c r="G3577" s="47" t="str">
        <f>+Centro_Cuenta8[[#This Row],[Código Cuenta Contable]]&amp;" - "&amp;Centro_Cuenta8[[#This Row],[Nombre de Cuenta Contable]]</f>
        <v>4205060 - Gtos Grales Entrega y PV</v>
      </c>
      <c r="H3577" s="146" t="str">
        <f>+VLOOKUP(D3577,'3. Cuentas'!A:F,6,0)</f>
        <v>SI</v>
      </c>
    </row>
    <row r="3578" spans="1:8" x14ac:dyDescent="0.25">
      <c r="A3578" s="43">
        <v>9172</v>
      </c>
      <c r="B3578" t="s">
        <v>615</v>
      </c>
      <c r="C3578" s="43" t="s">
        <v>328</v>
      </c>
      <c r="D3578" s="43">
        <v>1110040</v>
      </c>
      <c r="E3578" t="s">
        <v>1505</v>
      </c>
      <c r="F3578" s="47" t="str">
        <f>+Centro_Cuenta8[[#This Row],[Codigo Centro Gestion]]&amp;" - "&amp;Centro_Cuenta8[[#This Row],[Nombre Centro Gestion]]</f>
        <v>9172 - PV Mirador del Bosque</v>
      </c>
      <c r="G3578" s="47" t="str">
        <f>+Centro_Cuenta8[[#This Row],[Código Cuenta Contable]]&amp;" - "&amp;Centro_Cuenta8[[#This Row],[Nombre de Cuenta Contable]]</f>
        <v>1110040 - Garantía Pagadas</v>
      </c>
      <c r="H3578" s="146" t="str">
        <f>+VLOOKUP(D3578,'3. Cuentas'!A:F,6,0)</f>
        <v>SI</v>
      </c>
    </row>
    <row r="3579" spans="1:8" x14ac:dyDescent="0.25">
      <c r="A3579" s="43">
        <v>9172</v>
      </c>
      <c r="B3579" t="s">
        <v>615</v>
      </c>
      <c r="C3579" s="43" t="s">
        <v>328</v>
      </c>
      <c r="D3579" s="43">
        <v>4205060</v>
      </c>
      <c r="E3579" t="s">
        <v>130</v>
      </c>
      <c r="F3579" s="47" t="str">
        <f>+Centro_Cuenta8[[#This Row],[Codigo Centro Gestion]]&amp;" - "&amp;Centro_Cuenta8[[#This Row],[Nombre Centro Gestion]]</f>
        <v>9172 - PV Mirador del Bosque</v>
      </c>
      <c r="G3579" s="47" t="str">
        <f>+Centro_Cuenta8[[#This Row],[Código Cuenta Contable]]&amp;" - "&amp;Centro_Cuenta8[[#This Row],[Nombre de Cuenta Contable]]</f>
        <v>4205060 - Gtos Grales Entrega y PV</v>
      </c>
      <c r="H3579" s="146" t="str">
        <f>+VLOOKUP(D3579,'3. Cuentas'!A:F,6,0)</f>
        <v>SI</v>
      </c>
    </row>
    <row r="3580" spans="1:8" x14ac:dyDescent="0.25">
      <c r="A3580" s="43">
        <v>9173</v>
      </c>
      <c r="B3580" t="s">
        <v>616</v>
      </c>
      <c r="C3580" s="43" t="s">
        <v>328</v>
      </c>
      <c r="D3580" s="43">
        <v>1110040</v>
      </c>
      <c r="E3580" t="s">
        <v>1505</v>
      </c>
      <c r="F3580" s="47" t="str">
        <f>+Centro_Cuenta8[[#This Row],[Codigo Centro Gestion]]&amp;" - "&amp;Centro_Cuenta8[[#This Row],[Nombre Centro Gestion]]</f>
        <v>9173 - PV Edificio Nuevo Centro</v>
      </c>
      <c r="G3580" s="47" t="str">
        <f>+Centro_Cuenta8[[#This Row],[Código Cuenta Contable]]&amp;" - "&amp;Centro_Cuenta8[[#This Row],[Nombre de Cuenta Contable]]</f>
        <v>1110040 - Garantía Pagadas</v>
      </c>
      <c r="H3580" s="146" t="str">
        <f>+VLOOKUP(D3580,'3. Cuentas'!A:F,6,0)</f>
        <v>SI</v>
      </c>
    </row>
    <row r="3581" spans="1:8" x14ac:dyDescent="0.25">
      <c r="A3581" s="43">
        <v>9173</v>
      </c>
      <c r="B3581" t="s">
        <v>616</v>
      </c>
      <c r="C3581" s="43" t="s">
        <v>328</v>
      </c>
      <c r="D3581" s="43">
        <v>4205060</v>
      </c>
      <c r="E3581" t="s">
        <v>130</v>
      </c>
      <c r="F3581" s="47" t="str">
        <f>+Centro_Cuenta8[[#This Row],[Codigo Centro Gestion]]&amp;" - "&amp;Centro_Cuenta8[[#This Row],[Nombre Centro Gestion]]</f>
        <v>9173 - PV Edificio Nuevo Centro</v>
      </c>
      <c r="G3581" s="47" t="str">
        <f>+Centro_Cuenta8[[#This Row],[Código Cuenta Contable]]&amp;" - "&amp;Centro_Cuenta8[[#This Row],[Nombre de Cuenta Contable]]</f>
        <v>4205060 - Gtos Grales Entrega y PV</v>
      </c>
      <c r="H3581" s="146" t="str">
        <f>+VLOOKUP(D3581,'3. Cuentas'!A:F,6,0)</f>
        <v>SI</v>
      </c>
    </row>
    <row r="3582" spans="1:8" x14ac:dyDescent="0.25">
      <c r="A3582" s="43">
        <v>9177</v>
      </c>
      <c r="B3582" t="s">
        <v>617</v>
      </c>
      <c r="C3582" s="43" t="s">
        <v>328</v>
      </c>
      <c r="D3582" s="43">
        <v>1110040</v>
      </c>
      <c r="E3582" t="s">
        <v>1505</v>
      </c>
      <c r="F3582" s="47" t="str">
        <f>+Centro_Cuenta8[[#This Row],[Codigo Centro Gestion]]&amp;" - "&amp;Centro_Cuenta8[[#This Row],[Nombre Centro Gestion]]</f>
        <v>9177 - PV San Francisco II</v>
      </c>
      <c r="G3582" s="47" t="str">
        <f>+Centro_Cuenta8[[#This Row],[Código Cuenta Contable]]&amp;" - "&amp;Centro_Cuenta8[[#This Row],[Nombre de Cuenta Contable]]</f>
        <v>1110040 - Garantía Pagadas</v>
      </c>
      <c r="H3582" s="146" t="str">
        <f>+VLOOKUP(D3582,'3. Cuentas'!A:F,6,0)</f>
        <v>SI</v>
      </c>
    </row>
    <row r="3583" spans="1:8" x14ac:dyDescent="0.25">
      <c r="A3583" s="43">
        <v>9177</v>
      </c>
      <c r="B3583" t="s">
        <v>617</v>
      </c>
      <c r="C3583" s="43" t="s">
        <v>328</v>
      </c>
      <c r="D3583" s="43">
        <v>4205060</v>
      </c>
      <c r="E3583" t="s">
        <v>130</v>
      </c>
      <c r="F3583" s="47" t="str">
        <f>+Centro_Cuenta8[[#This Row],[Codigo Centro Gestion]]&amp;" - "&amp;Centro_Cuenta8[[#This Row],[Nombre Centro Gestion]]</f>
        <v>9177 - PV San Francisco II</v>
      </c>
      <c r="G3583" s="47" t="str">
        <f>+Centro_Cuenta8[[#This Row],[Código Cuenta Contable]]&amp;" - "&amp;Centro_Cuenta8[[#This Row],[Nombre de Cuenta Contable]]</f>
        <v>4205060 - Gtos Grales Entrega y PV</v>
      </c>
      <c r="H3583" s="146" t="str">
        <f>+VLOOKUP(D3583,'3. Cuentas'!A:F,6,0)</f>
        <v>SI</v>
      </c>
    </row>
    <row r="3584" spans="1:8" x14ac:dyDescent="0.25">
      <c r="A3584" s="43">
        <v>9184</v>
      </c>
      <c r="B3584" t="s">
        <v>618</v>
      </c>
      <c r="C3584" s="43" t="s">
        <v>328</v>
      </c>
      <c r="D3584" s="43">
        <v>1110040</v>
      </c>
      <c r="E3584" t="s">
        <v>1505</v>
      </c>
      <c r="F3584" s="47" t="str">
        <f>+Centro_Cuenta8[[#This Row],[Codigo Centro Gestion]]&amp;" - "&amp;Centro_Cuenta8[[#This Row],[Nombre Centro Gestion]]</f>
        <v>9184 - PV Vista Andina II</v>
      </c>
      <c r="G3584" s="47" t="str">
        <f>+Centro_Cuenta8[[#This Row],[Código Cuenta Contable]]&amp;" - "&amp;Centro_Cuenta8[[#This Row],[Nombre de Cuenta Contable]]</f>
        <v>1110040 - Garantía Pagadas</v>
      </c>
      <c r="H3584" s="146" t="str">
        <f>+VLOOKUP(D3584,'3. Cuentas'!A:F,6,0)</f>
        <v>SI</v>
      </c>
    </row>
    <row r="3585" spans="1:8" x14ac:dyDescent="0.25">
      <c r="A3585" s="43">
        <v>9184</v>
      </c>
      <c r="B3585" t="s">
        <v>618</v>
      </c>
      <c r="C3585" s="43" t="s">
        <v>328</v>
      </c>
      <c r="D3585" s="43">
        <v>4205060</v>
      </c>
      <c r="E3585" t="s">
        <v>130</v>
      </c>
      <c r="F3585" s="47" t="str">
        <f>+Centro_Cuenta8[[#This Row],[Codigo Centro Gestion]]&amp;" - "&amp;Centro_Cuenta8[[#This Row],[Nombre Centro Gestion]]</f>
        <v>9184 - PV Vista Andina II</v>
      </c>
      <c r="G3585" s="47" t="str">
        <f>+Centro_Cuenta8[[#This Row],[Código Cuenta Contable]]&amp;" - "&amp;Centro_Cuenta8[[#This Row],[Nombre de Cuenta Contable]]</f>
        <v>4205060 - Gtos Grales Entrega y PV</v>
      </c>
      <c r="H3585" s="146" t="str">
        <f>+VLOOKUP(D3585,'3. Cuentas'!A:F,6,0)</f>
        <v>SI</v>
      </c>
    </row>
    <row r="3586" spans="1:8" x14ac:dyDescent="0.25">
      <c r="A3586" s="43">
        <v>9187</v>
      </c>
      <c r="B3586" t="s">
        <v>619</v>
      </c>
      <c r="C3586" s="43" t="s">
        <v>328</v>
      </c>
      <c r="D3586" s="43">
        <v>1110040</v>
      </c>
      <c r="E3586" t="s">
        <v>1505</v>
      </c>
      <c r="F3586" s="47" t="str">
        <f>+Centro_Cuenta8[[#This Row],[Codigo Centro Gestion]]&amp;" - "&amp;Centro_Cuenta8[[#This Row],[Nombre Centro Gestion]]</f>
        <v>9187 - PV Edificio Parque Quinta</v>
      </c>
      <c r="G3586" s="47" t="str">
        <f>+Centro_Cuenta8[[#This Row],[Código Cuenta Contable]]&amp;" - "&amp;Centro_Cuenta8[[#This Row],[Nombre de Cuenta Contable]]</f>
        <v>1110040 - Garantía Pagadas</v>
      </c>
      <c r="H3586" s="146" t="str">
        <f>+VLOOKUP(D3586,'3. Cuentas'!A:F,6,0)</f>
        <v>SI</v>
      </c>
    </row>
    <row r="3587" spans="1:8" x14ac:dyDescent="0.25">
      <c r="A3587" s="43">
        <v>9187</v>
      </c>
      <c r="B3587" t="s">
        <v>619</v>
      </c>
      <c r="C3587" s="43" t="s">
        <v>328</v>
      </c>
      <c r="D3587" s="43">
        <v>4205060</v>
      </c>
      <c r="E3587" t="s">
        <v>130</v>
      </c>
      <c r="F3587" s="47" t="str">
        <f>+Centro_Cuenta8[[#This Row],[Codigo Centro Gestion]]&amp;" - "&amp;Centro_Cuenta8[[#This Row],[Nombre Centro Gestion]]</f>
        <v>9187 - PV Edificio Parque Quinta</v>
      </c>
      <c r="G3587" s="47" t="str">
        <f>+Centro_Cuenta8[[#This Row],[Código Cuenta Contable]]&amp;" - "&amp;Centro_Cuenta8[[#This Row],[Nombre de Cuenta Contable]]</f>
        <v>4205060 - Gtos Grales Entrega y PV</v>
      </c>
      <c r="H3587" s="146" t="str">
        <f>+VLOOKUP(D3587,'3. Cuentas'!A:F,6,0)</f>
        <v>SI</v>
      </c>
    </row>
    <row r="3588" spans="1:8" x14ac:dyDescent="0.25">
      <c r="A3588" s="43">
        <v>9188</v>
      </c>
      <c r="B3588" t="s">
        <v>620</v>
      </c>
      <c r="C3588" s="43" t="s">
        <v>328</v>
      </c>
      <c r="D3588" s="43">
        <v>1110040</v>
      </c>
      <c r="E3588" t="s">
        <v>1505</v>
      </c>
      <c r="F3588" s="47" t="str">
        <f>+Centro_Cuenta8[[#This Row],[Codigo Centro Gestion]]&amp;" - "&amp;Centro_Cuenta8[[#This Row],[Nombre Centro Gestion]]</f>
        <v>9188 - PV Vista Macul</v>
      </c>
      <c r="G3588" s="47" t="str">
        <f>+Centro_Cuenta8[[#This Row],[Código Cuenta Contable]]&amp;" - "&amp;Centro_Cuenta8[[#This Row],[Nombre de Cuenta Contable]]</f>
        <v>1110040 - Garantía Pagadas</v>
      </c>
      <c r="H3588" s="146" t="str">
        <f>+VLOOKUP(D3588,'3. Cuentas'!A:F,6,0)</f>
        <v>SI</v>
      </c>
    </row>
    <row r="3589" spans="1:8" x14ac:dyDescent="0.25">
      <c r="A3589" s="43">
        <v>9188</v>
      </c>
      <c r="B3589" t="s">
        <v>620</v>
      </c>
      <c r="C3589" s="43" t="s">
        <v>328</v>
      </c>
      <c r="D3589" s="43">
        <v>4205060</v>
      </c>
      <c r="E3589" t="s">
        <v>130</v>
      </c>
      <c r="F3589" s="47" t="str">
        <f>+Centro_Cuenta8[[#This Row],[Codigo Centro Gestion]]&amp;" - "&amp;Centro_Cuenta8[[#This Row],[Nombre Centro Gestion]]</f>
        <v>9188 - PV Vista Macul</v>
      </c>
      <c r="G3589" s="47" t="str">
        <f>+Centro_Cuenta8[[#This Row],[Código Cuenta Contable]]&amp;" - "&amp;Centro_Cuenta8[[#This Row],[Nombre de Cuenta Contable]]</f>
        <v>4205060 - Gtos Grales Entrega y PV</v>
      </c>
      <c r="H3589" s="146" t="str">
        <f>+VLOOKUP(D3589,'3. Cuentas'!A:F,6,0)</f>
        <v>SI</v>
      </c>
    </row>
    <row r="3590" spans="1:8" x14ac:dyDescent="0.25">
      <c r="A3590" s="43">
        <v>9189</v>
      </c>
      <c r="B3590" t="s">
        <v>621</v>
      </c>
      <c r="C3590" s="43" t="s">
        <v>328</v>
      </c>
      <c r="D3590" s="43">
        <v>1110040</v>
      </c>
      <c r="E3590" t="s">
        <v>1505</v>
      </c>
      <c r="F3590" s="47" t="str">
        <f>+Centro_Cuenta8[[#This Row],[Codigo Centro Gestion]]&amp;" - "&amp;Centro_Cuenta8[[#This Row],[Nombre Centro Gestion]]</f>
        <v>9189 - PV Vista Azul</v>
      </c>
      <c r="G3590" s="47" t="str">
        <f>+Centro_Cuenta8[[#This Row],[Código Cuenta Contable]]&amp;" - "&amp;Centro_Cuenta8[[#This Row],[Nombre de Cuenta Contable]]</f>
        <v>1110040 - Garantía Pagadas</v>
      </c>
      <c r="H3590" s="146" t="str">
        <f>+VLOOKUP(D3590,'3. Cuentas'!A:F,6,0)</f>
        <v>SI</v>
      </c>
    </row>
    <row r="3591" spans="1:8" x14ac:dyDescent="0.25">
      <c r="A3591" s="43">
        <v>9189</v>
      </c>
      <c r="B3591" t="s">
        <v>621</v>
      </c>
      <c r="C3591" s="43" t="s">
        <v>328</v>
      </c>
      <c r="D3591" s="43">
        <v>4205060</v>
      </c>
      <c r="E3591" t="s">
        <v>130</v>
      </c>
      <c r="F3591" s="47" t="str">
        <f>+Centro_Cuenta8[[#This Row],[Codigo Centro Gestion]]&amp;" - "&amp;Centro_Cuenta8[[#This Row],[Nombre Centro Gestion]]</f>
        <v>9189 - PV Vista Azul</v>
      </c>
      <c r="G3591" s="47" t="str">
        <f>+Centro_Cuenta8[[#This Row],[Código Cuenta Contable]]&amp;" - "&amp;Centro_Cuenta8[[#This Row],[Nombre de Cuenta Contable]]</f>
        <v>4205060 - Gtos Grales Entrega y PV</v>
      </c>
      <c r="H3591" s="146" t="str">
        <f>+VLOOKUP(D3591,'3. Cuentas'!A:F,6,0)</f>
        <v>SI</v>
      </c>
    </row>
    <row r="3592" spans="1:8" x14ac:dyDescent="0.25">
      <c r="A3592" s="43">
        <v>9190</v>
      </c>
      <c r="B3592" t="s">
        <v>622</v>
      </c>
      <c r="C3592" s="43" t="s">
        <v>328</v>
      </c>
      <c r="D3592" s="43">
        <v>1110040</v>
      </c>
      <c r="E3592" t="s">
        <v>1505</v>
      </c>
      <c r="F3592" s="47" t="str">
        <f>+Centro_Cuenta8[[#This Row],[Codigo Centro Gestion]]&amp;" - "&amp;Centro_Cuenta8[[#This Row],[Nombre Centro Gestion]]</f>
        <v>9190 - PV Altos de Castilla</v>
      </c>
      <c r="G3592" s="47" t="str">
        <f>+Centro_Cuenta8[[#This Row],[Código Cuenta Contable]]&amp;" - "&amp;Centro_Cuenta8[[#This Row],[Nombre de Cuenta Contable]]</f>
        <v>1110040 - Garantía Pagadas</v>
      </c>
      <c r="H3592" s="146" t="str">
        <f>+VLOOKUP(D3592,'3. Cuentas'!A:F,6,0)</f>
        <v>SI</v>
      </c>
    </row>
    <row r="3593" spans="1:8" x14ac:dyDescent="0.25">
      <c r="A3593" s="43">
        <v>9190</v>
      </c>
      <c r="B3593" t="s">
        <v>622</v>
      </c>
      <c r="C3593" s="43" t="s">
        <v>328</v>
      </c>
      <c r="D3593" s="43">
        <v>4205060</v>
      </c>
      <c r="E3593" t="s">
        <v>130</v>
      </c>
      <c r="F3593" s="47" t="str">
        <f>+Centro_Cuenta8[[#This Row],[Codigo Centro Gestion]]&amp;" - "&amp;Centro_Cuenta8[[#This Row],[Nombre Centro Gestion]]</f>
        <v>9190 - PV Altos de Castilla</v>
      </c>
      <c r="G3593" s="47" t="str">
        <f>+Centro_Cuenta8[[#This Row],[Código Cuenta Contable]]&amp;" - "&amp;Centro_Cuenta8[[#This Row],[Nombre de Cuenta Contable]]</f>
        <v>4205060 - Gtos Grales Entrega y PV</v>
      </c>
      <c r="H3593" s="146" t="str">
        <f>+VLOOKUP(D3593,'3. Cuentas'!A:F,6,0)</f>
        <v>SI</v>
      </c>
    </row>
    <row r="3594" spans="1:8" x14ac:dyDescent="0.25">
      <c r="A3594" s="43">
        <v>9192</v>
      </c>
      <c r="B3594" t="s">
        <v>623</v>
      </c>
      <c r="C3594" s="43" t="s">
        <v>328</v>
      </c>
      <c r="D3594" s="43">
        <v>1110040</v>
      </c>
      <c r="E3594" t="s">
        <v>1505</v>
      </c>
      <c r="F3594" s="47" t="str">
        <f>+Centro_Cuenta8[[#This Row],[Codigo Centro Gestion]]&amp;" - "&amp;Centro_Cuenta8[[#This Row],[Nombre Centro Gestion]]</f>
        <v>9192 - PV NOVENA AVENIDA</v>
      </c>
      <c r="G3594" s="47" t="str">
        <f>+Centro_Cuenta8[[#This Row],[Código Cuenta Contable]]&amp;" - "&amp;Centro_Cuenta8[[#This Row],[Nombre de Cuenta Contable]]</f>
        <v>1110040 - Garantía Pagadas</v>
      </c>
      <c r="H3594" s="146" t="str">
        <f>+VLOOKUP(D3594,'3. Cuentas'!A:F,6,0)</f>
        <v>SI</v>
      </c>
    </row>
    <row r="3595" spans="1:8" x14ac:dyDescent="0.25">
      <c r="A3595" s="43">
        <v>9192</v>
      </c>
      <c r="B3595" t="s">
        <v>623</v>
      </c>
      <c r="C3595" s="43" t="s">
        <v>328</v>
      </c>
      <c r="D3595" s="43">
        <v>4205060</v>
      </c>
      <c r="E3595" t="s">
        <v>130</v>
      </c>
      <c r="F3595" s="47" t="str">
        <f>+Centro_Cuenta8[[#This Row],[Codigo Centro Gestion]]&amp;" - "&amp;Centro_Cuenta8[[#This Row],[Nombre Centro Gestion]]</f>
        <v>9192 - PV NOVENA AVENIDA</v>
      </c>
      <c r="G3595" s="47" t="str">
        <f>+Centro_Cuenta8[[#This Row],[Código Cuenta Contable]]&amp;" - "&amp;Centro_Cuenta8[[#This Row],[Nombre de Cuenta Contable]]</f>
        <v>4205060 - Gtos Grales Entrega y PV</v>
      </c>
      <c r="H3595" s="146" t="str">
        <f>+VLOOKUP(D3595,'3. Cuentas'!A:F,6,0)</f>
        <v>SI</v>
      </c>
    </row>
    <row r="3596" spans="1:8" x14ac:dyDescent="0.25">
      <c r="A3596" s="43">
        <v>9195</v>
      </c>
      <c r="B3596" t="s">
        <v>624</v>
      </c>
      <c r="C3596" s="43" t="s">
        <v>328</v>
      </c>
      <c r="D3596" s="43">
        <v>1110040</v>
      </c>
      <c r="E3596" t="s">
        <v>1505</v>
      </c>
      <c r="F3596" s="47" t="str">
        <f>+Centro_Cuenta8[[#This Row],[Codigo Centro Gestion]]&amp;" - "&amp;Centro_Cuenta8[[#This Row],[Nombre Centro Gestion]]</f>
        <v>9195 - PV Vista Macul 2</v>
      </c>
      <c r="G3596" s="47" t="str">
        <f>+Centro_Cuenta8[[#This Row],[Código Cuenta Contable]]&amp;" - "&amp;Centro_Cuenta8[[#This Row],[Nombre de Cuenta Contable]]</f>
        <v>1110040 - Garantía Pagadas</v>
      </c>
      <c r="H3596" s="146" t="str">
        <f>+VLOOKUP(D3596,'3. Cuentas'!A:F,6,0)</f>
        <v>SI</v>
      </c>
    </row>
    <row r="3597" spans="1:8" x14ac:dyDescent="0.25">
      <c r="A3597" s="43">
        <v>9195</v>
      </c>
      <c r="B3597" t="s">
        <v>624</v>
      </c>
      <c r="C3597" s="43" t="s">
        <v>328</v>
      </c>
      <c r="D3597" s="43">
        <v>4205060</v>
      </c>
      <c r="E3597" t="s">
        <v>130</v>
      </c>
      <c r="F3597" s="47" t="str">
        <f>+Centro_Cuenta8[[#This Row],[Codigo Centro Gestion]]&amp;" - "&amp;Centro_Cuenta8[[#This Row],[Nombre Centro Gestion]]</f>
        <v>9195 - PV Vista Macul 2</v>
      </c>
      <c r="G3597" s="47" t="str">
        <f>+Centro_Cuenta8[[#This Row],[Código Cuenta Contable]]&amp;" - "&amp;Centro_Cuenta8[[#This Row],[Nombre de Cuenta Contable]]</f>
        <v>4205060 - Gtos Grales Entrega y PV</v>
      </c>
      <c r="H3597" s="146" t="str">
        <f>+VLOOKUP(D3597,'3. Cuentas'!A:F,6,0)</f>
        <v>SI</v>
      </c>
    </row>
    <row r="3598" spans="1:8" x14ac:dyDescent="0.25">
      <c r="A3598" s="43">
        <v>9199</v>
      </c>
      <c r="B3598" t="s">
        <v>625</v>
      </c>
      <c r="C3598" s="43" t="s">
        <v>328</v>
      </c>
      <c r="D3598" s="43">
        <v>1110040</v>
      </c>
      <c r="E3598" t="s">
        <v>1505</v>
      </c>
      <c r="F3598" s="47" t="str">
        <f>+Centro_Cuenta8[[#This Row],[Codigo Centro Gestion]]&amp;" - "&amp;Centro_Cuenta8[[#This Row],[Nombre Centro Gestion]]</f>
        <v>9199 - PV Vista Independencia</v>
      </c>
      <c r="G3598" s="47" t="str">
        <f>+Centro_Cuenta8[[#This Row],[Código Cuenta Contable]]&amp;" - "&amp;Centro_Cuenta8[[#This Row],[Nombre de Cuenta Contable]]</f>
        <v>1110040 - Garantía Pagadas</v>
      </c>
      <c r="H3598" s="146" t="str">
        <f>+VLOOKUP(D3598,'3. Cuentas'!A:F,6,0)</f>
        <v>SI</v>
      </c>
    </row>
    <row r="3599" spans="1:8" x14ac:dyDescent="0.25">
      <c r="A3599" s="43">
        <v>9199</v>
      </c>
      <c r="B3599" t="s">
        <v>625</v>
      </c>
      <c r="C3599" s="43" t="s">
        <v>328</v>
      </c>
      <c r="D3599" s="43">
        <v>4205060</v>
      </c>
      <c r="E3599" t="s">
        <v>130</v>
      </c>
      <c r="F3599" s="47" t="str">
        <f>+Centro_Cuenta8[[#This Row],[Codigo Centro Gestion]]&amp;" - "&amp;Centro_Cuenta8[[#This Row],[Nombre Centro Gestion]]</f>
        <v>9199 - PV Vista Independencia</v>
      </c>
      <c r="G3599" s="47" t="str">
        <f>+Centro_Cuenta8[[#This Row],[Código Cuenta Contable]]&amp;" - "&amp;Centro_Cuenta8[[#This Row],[Nombre de Cuenta Contable]]</f>
        <v>4205060 - Gtos Grales Entrega y PV</v>
      </c>
      <c r="H3599" s="146" t="str">
        <f>+VLOOKUP(D3599,'3. Cuentas'!A:F,6,0)</f>
        <v>SI</v>
      </c>
    </row>
    <row r="3600" spans="1:8" x14ac:dyDescent="0.25">
      <c r="A3600" s="43">
        <v>9200</v>
      </c>
      <c r="B3600" t="s">
        <v>626</v>
      </c>
      <c r="C3600" s="43" t="s">
        <v>328</v>
      </c>
      <c r="D3600" s="43">
        <v>1110040</v>
      </c>
      <c r="E3600" t="s">
        <v>1505</v>
      </c>
      <c r="F3600" s="47" t="str">
        <f>+Centro_Cuenta8[[#This Row],[Codigo Centro Gestion]]&amp;" - "&amp;Centro_Cuenta8[[#This Row],[Nombre Centro Gestion]]</f>
        <v>9200 - PV Edificio Terrazas del Sol</v>
      </c>
      <c r="G3600" s="47" t="str">
        <f>+Centro_Cuenta8[[#This Row],[Código Cuenta Contable]]&amp;" - "&amp;Centro_Cuenta8[[#This Row],[Nombre de Cuenta Contable]]</f>
        <v>1110040 - Garantía Pagadas</v>
      </c>
      <c r="H3600" s="146" t="str">
        <f>+VLOOKUP(D3600,'3. Cuentas'!A:F,6,0)</f>
        <v>SI</v>
      </c>
    </row>
    <row r="3601" spans="1:8" x14ac:dyDescent="0.25">
      <c r="A3601" s="43">
        <v>9200</v>
      </c>
      <c r="B3601" t="s">
        <v>626</v>
      </c>
      <c r="C3601" s="43" t="s">
        <v>328</v>
      </c>
      <c r="D3601" s="43">
        <v>4205060</v>
      </c>
      <c r="E3601" t="s">
        <v>130</v>
      </c>
      <c r="F3601" s="47" t="str">
        <f>+Centro_Cuenta8[[#This Row],[Codigo Centro Gestion]]&amp;" - "&amp;Centro_Cuenta8[[#This Row],[Nombre Centro Gestion]]</f>
        <v>9200 - PV Edificio Terrazas del Sol</v>
      </c>
      <c r="G3601" s="47" t="str">
        <f>+Centro_Cuenta8[[#This Row],[Código Cuenta Contable]]&amp;" - "&amp;Centro_Cuenta8[[#This Row],[Nombre de Cuenta Contable]]</f>
        <v>4205060 - Gtos Grales Entrega y PV</v>
      </c>
      <c r="H3601" s="146" t="str">
        <f>+VLOOKUP(D3601,'3. Cuentas'!A:F,6,0)</f>
        <v>SI</v>
      </c>
    </row>
    <row r="3602" spans="1:8" x14ac:dyDescent="0.25">
      <c r="A3602" s="43">
        <v>9202</v>
      </c>
      <c r="B3602" t="s">
        <v>627</v>
      </c>
      <c r="C3602" s="43" t="s">
        <v>328</v>
      </c>
      <c r="D3602" s="43">
        <v>1110040</v>
      </c>
      <c r="E3602" t="s">
        <v>1505</v>
      </c>
      <c r="F3602" s="47" t="str">
        <f>+Centro_Cuenta8[[#This Row],[Codigo Centro Gestion]]&amp;" - "&amp;Centro_Cuenta8[[#This Row],[Nombre Centro Gestion]]</f>
        <v>9202 - PV Parque Central</v>
      </c>
      <c r="G3602" s="47" t="str">
        <f>+Centro_Cuenta8[[#This Row],[Código Cuenta Contable]]&amp;" - "&amp;Centro_Cuenta8[[#This Row],[Nombre de Cuenta Contable]]</f>
        <v>1110040 - Garantía Pagadas</v>
      </c>
      <c r="H3602" s="146" t="str">
        <f>+VLOOKUP(D3602,'3. Cuentas'!A:F,6,0)</f>
        <v>SI</v>
      </c>
    </row>
    <row r="3603" spans="1:8" x14ac:dyDescent="0.25">
      <c r="A3603" s="43">
        <v>9202</v>
      </c>
      <c r="B3603" t="s">
        <v>627</v>
      </c>
      <c r="C3603" s="43" t="s">
        <v>328</v>
      </c>
      <c r="D3603" s="43">
        <v>4205060</v>
      </c>
      <c r="E3603" t="s">
        <v>130</v>
      </c>
      <c r="F3603" s="47" t="str">
        <f>+Centro_Cuenta8[[#This Row],[Codigo Centro Gestion]]&amp;" - "&amp;Centro_Cuenta8[[#This Row],[Nombre Centro Gestion]]</f>
        <v>9202 - PV Parque Central</v>
      </c>
      <c r="G3603" s="47" t="str">
        <f>+Centro_Cuenta8[[#This Row],[Código Cuenta Contable]]&amp;" - "&amp;Centro_Cuenta8[[#This Row],[Nombre de Cuenta Contable]]</f>
        <v>4205060 - Gtos Grales Entrega y PV</v>
      </c>
      <c r="H3603" s="146" t="str">
        <f>+VLOOKUP(D3603,'3. Cuentas'!A:F,6,0)</f>
        <v>SI</v>
      </c>
    </row>
    <row r="3604" spans="1:8" x14ac:dyDescent="0.25">
      <c r="A3604" s="43">
        <v>9204</v>
      </c>
      <c r="B3604" t="s">
        <v>628</v>
      </c>
      <c r="C3604" s="43" t="s">
        <v>328</v>
      </c>
      <c r="D3604" s="43">
        <v>1110040</v>
      </c>
      <c r="E3604" t="s">
        <v>1505</v>
      </c>
      <c r="F3604" s="47" t="str">
        <f>+Centro_Cuenta8[[#This Row],[Codigo Centro Gestion]]&amp;" - "&amp;Centro_Cuenta8[[#This Row],[Nombre Centro Gestion]]</f>
        <v>9204 - PV Nuevo Ecuador</v>
      </c>
      <c r="G3604" s="47" t="str">
        <f>+Centro_Cuenta8[[#This Row],[Código Cuenta Contable]]&amp;" - "&amp;Centro_Cuenta8[[#This Row],[Nombre de Cuenta Contable]]</f>
        <v>1110040 - Garantía Pagadas</v>
      </c>
      <c r="H3604" s="146" t="str">
        <f>+VLOOKUP(D3604,'3. Cuentas'!A:F,6,0)</f>
        <v>SI</v>
      </c>
    </row>
    <row r="3605" spans="1:8" x14ac:dyDescent="0.25">
      <c r="A3605" s="43">
        <v>9204</v>
      </c>
      <c r="B3605" t="s">
        <v>628</v>
      </c>
      <c r="C3605" s="43" t="s">
        <v>328</v>
      </c>
      <c r="D3605" s="43">
        <v>4205060</v>
      </c>
      <c r="E3605" t="s">
        <v>130</v>
      </c>
      <c r="F3605" s="47" t="str">
        <f>+Centro_Cuenta8[[#This Row],[Codigo Centro Gestion]]&amp;" - "&amp;Centro_Cuenta8[[#This Row],[Nombre Centro Gestion]]</f>
        <v>9204 - PV Nuevo Ecuador</v>
      </c>
      <c r="G3605" s="47" t="str">
        <f>+Centro_Cuenta8[[#This Row],[Código Cuenta Contable]]&amp;" - "&amp;Centro_Cuenta8[[#This Row],[Nombre de Cuenta Contable]]</f>
        <v>4205060 - Gtos Grales Entrega y PV</v>
      </c>
      <c r="H3605" s="146" t="str">
        <f>+VLOOKUP(D3605,'3. Cuentas'!A:F,6,0)</f>
        <v>SI</v>
      </c>
    </row>
    <row r="3606" spans="1:8" x14ac:dyDescent="0.25">
      <c r="A3606" s="43">
        <v>9205</v>
      </c>
      <c r="B3606" t="s">
        <v>629</v>
      </c>
      <c r="C3606" s="43" t="s">
        <v>328</v>
      </c>
      <c r="D3606" s="43">
        <v>1110040</v>
      </c>
      <c r="E3606" t="s">
        <v>1505</v>
      </c>
      <c r="F3606" s="47" t="str">
        <f>+Centro_Cuenta8[[#This Row],[Codigo Centro Gestion]]&amp;" - "&amp;Centro_Cuenta8[[#This Row],[Nombre Centro Gestion]]</f>
        <v>9205 - PV Edificio Santa Elena 1282</v>
      </c>
      <c r="G3606" s="47" t="str">
        <f>+Centro_Cuenta8[[#This Row],[Código Cuenta Contable]]&amp;" - "&amp;Centro_Cuenta8[[#This Row],[Nombre de Cuenta Contable]]</f>
        <v>1110040 - Garantía Pagadas</v>
      </c>
      <c r="H3606" s="146" t="str">
        <f>+VLOOKUP(D3606,'3. Cuentas'!A:F,6,0)</f>
        <v>SI</v>
      </c>
    </row>
    <row r="3607" spans="1:8" x14ac:dyDescent="0.25">
      <c r="A3607" s="43">
        <v>9205</v>
      </c>
      <c r="B3607" t="s">
        <v>629</v>
      </c>
      <c r="C3607" s="43" t="s">
        <v>328</v>
      </c>
      <c r="D3607" s="43">
        <v>4205060</v>
      </c>
      <c r="E3607" t="s">
        <v>130</v>
      </c>
      <c r="F3607" s="47" t="str">
        <f>+Centro_Cuenta8[[#This Row],[Codigo Centro Gestion]]&amp;" - "&amp;Centro_Cuenta8[[#This Row],[Nombre Centro Gestion]]</f>
        <v>9205 - PV Edificio Santa Elena 1282</v>
      </c>
      <c r="G3607" s="47" t="str">
        <f>+Centro_Cuenta8[[#This Row],[Código Cuenta Contable]]&amp;" - "&amp;Centro_Cuenta8[[#This Row],[Nombre de Cuenta Contable]]</f>
        <v>4205060 - Gtos Grales Entrega y PV</v>
      </c>
      <c r="H3607" s="146" t="str">
        <f>+VLOOKUP(D3607,'3. Cuentas'!A:F,6,0)</f>
        <v>SI</v>
      </c>
    </row>
    <row r="3608" spans="1:8" x14ac:dyDescent="0.25">
      <c r="A3608" s="43">
        <v>9206</v>
      </c>
      <c r="B3608" t="s">
        <v>630</v>
      </c>
      <c r="C3608" s="43" t="s">
        <v>328</v>
      </c>
      <c r="D3608" s="43">
        <v>1110040</v>
      </c>
      <c r="E3608" t="s">
        <v>1505</v>
      </c>
      <c r="F3608" s="47" t="str">
        <f>+Centro_Cuenta8[[#This Row],[Codigo Centro Gestion]]&amp;" - "&amp;Centro_Cuenta8[[#This Row],[Nombre Centro Gestion]]</f>
        <v>9206 - PV Novena Avenida 2</v>
      </c>
      <c r="G3608" s="47" t="str">
        <f>+Centro_Cuenta8[[#This Row],[Código Cuenta Contable]]&amp;" - "&amp;Centro_Cuenta8[[#This Row],[Nombre de Cuenta Contable]]</f>
        <v>1110040 - Garantía Pagadas</v>
      </c>
      <c r="H3608" s="146" t="str">
        <f>+VLOOKUP(D3608,'3. Cuentas'!A:F,6,0)</f>
        <v>SI</v>
      </c>
    </row>
    <row r="3609" spans="1:8" x14ac:dyDescent="0.25">
      <c r="A3609" s="43">
        <v>9206</v>
      </c>
      <c r="B3609" t="s">
        <v>630</v>
      </c>
      <c r="C3609" s="43" t="s">
        <v>328</v>
      </c>
      <c r="D3609" s="43">
        <v>4205060</v>
      </c>
      <c r="E3609" t="s">
        <v>130</v>
      </c>
      <c r="F3609" s="47" t="str">
        <f>+Centro_Cuenta8[[#This Row],[Codigo Centro Gestion]]&amp;" - "&amp;Centro_Cuenta8[[#This Row],[Nombre Centro Gestion]]</f>
        <v>9206 - PV Novena Avenida 2</v>
      </c>
      <c r="G3609" s="47" t="str">
        <f>+Centro_Cuenta8[[#This Row],[Código Cuenta Contable]]&amp;" - "&amp;Centro_Cuenta8[[#This Row],[Nombre de Cuenta Contable]]</f>
        <v>4205060 - Gtos Grales Entrega y PV</v>
      </c>
      <c r="H3609" s="146" t="str">
        <f>+VLOOKUP(D3609,'3. Cuentas'!A:F,6,0)</f>
        <v>SI</v>
      </c>
    </row>
    <row r="3610" spans="1:8" x14ac:dyDescent="0.25">
      <c r="A3610" s="43">
        <v>9207</v>
      </c>
      <c r="B3610" t="s">
        <v>631</v>
      </c>
      <c r="C3610" s="43" t="s">
        <v>328</v>
      </c>
      <c r="D3610" s="43">
        <v>1110040</v>
      </c>
      <c r="E3610" t="s">
        <v>1505</v>
      </c>
      <c r="F3610" s="47" t="str">
        <f>+Centro_Cuenta8[[#This Row],[Codigo Centro Gestion]]&amp;" - "&amp;Centro_Cuenta8[[#This Row],[Nombre Centro Gestion]]</f>
        <v>9207 - PV Edificio Fuenzalida Urrejola 125</v>
      </c>
      <c r="G3610" s="47" t="str">
        <f>+Centro_Cuenta8[[#This Row],[Código Cuenta Contable]]&amp;" - "&amp;Centro_Cuenta8[[#This Row],[Nombre de Cuenta Contable]]</f>
        <v>1110040 - Garantía Pagadas</v>
      </c>
      <c r="H3610" s="146" t="str">
        <f>+VLOOKUP(D3610,'3. Cuentas'!A:F,6,0)</f>
        <v>SI</v>
      </c>
    </row>
    <row r="3611" spans="1:8" x14ac:dyDescent="0.25">
      <c r="A3611" s="43">
        <v>9207</v>
      </c>
      <c r="B3611" t="s">
        <v>631</v>
      </c>
      <c r="C3611" s="43" t="s">
        <v>328</v>
      </c>
      <c r="D3611" s="43">
        <v>4205060</v>
      </c>
      <c r="E3611" t="s">
        <v>130</v>
      </c>
      <c r="F3611" s="47" t="str">
        <f>+Centro_Cuenta8[[#This Row],[Codigo Centro Gestion]]&amp;" - "&amp;Centro_Cuenta8[[#This Row],[Nombre Centro Gestion]]</f>
        <v>9207 - PV Edificio Fuenzalida Urrejola 125</v>
      </c>
      <c r="G3611" s="47" t="str">
        <f>+Centro_Cuenta8[[#This Row],[Código Cuenta Contable]]&amp;" - "&amp;Centro_Cuenta8[[#This Row],[Nombre de Cuenta Contable]]</f>
        <v>4205060 - Gtos Grales Entrega y PV</v>
      </c>
      <c r="H3611" s="146" t="str">
        <f>+VLOOKUP(D3611,'3. Cuentas'!A:F,6,0)</f>
        <v>SI</v>
      </c>
    </row>
    <row r="3612" spans="1:8" x14ac:dyDescent="0.25">
      <c r="A3612" s="43">
        <v>9209</v>
      </c>
      <c r="B3612" t="s">
        <v>632</v>
      </c>
      <c r="C3612" s="43" t="s">
        <v>328</v>
      </c>
      <c r="D3612" s="43">
        <v>1110040</v>
      </c>
      <c r="E3612" t="s">
        <v>1505</v>
      </c>
      <c r="F3612" s="47" t="str">
        <f>+Centro_Cuenta8[[#This Row],[Codigo Centro Gestion]]&amp;" - "&amp;Centro_Cuenta8[[#This Row],[Nombre Centro Gestion]]</f>
        <v>9209 - PV Edificio Bulnes Labbe</v>
      </c>
      <c r="G3612" s="47" t="str">
        <f>+Centro_Cuenta8[[#This Row],[Código Cuenta Contable]]&amp;" - "&amp;Centro_Cuenta8[[#This Row],[Nombre de Cuenta Contable]]</f>
        <v>1110040 - Garantía Pagadas</v>
      </c>
      <c r="H3612" s="146" t="str">
        <f>+VLOOKUP(D3612,'3. Cuentas'!A:F,6,0)</f>
        <v>SI</v>
      </c>
    </row>
    <row r="3613" spans="1:8" x14ac:dyDescent="0.25">
      <c r="A3613" s="43">
        <v>9209</v>
      </c>
      <c r="B3613" t="s">
        <v>632</v>
      </c>
      <c r="C3613" s="43" t="s">
        <v>328</v>
      </c>
      <c r="D3613" s="43">
        <v>4205060</v>
      </c>
      <c r="E3613" t="s">
        <v>130</v>
      </c>
      <c r="F3613" s="47" t="str">
        <f>+Centro_Cuenta8[[#This Row],[Codigo Centro Gestion]]&amp;" - "&amp;Centro_Cuenta8[[#This Row],[Nombre Centro Gestion]]</f>
        <v>9209 - PV Edificio Bulnes Labbe</v>
      </c>
      <c r="G3613" s="47" t="str">
        <f>+Centro_Cuenta8[[#This Row],[Código Cuenta Contable]]&amp;" - "&amp;Centro_Cuenta8[[#This Row],[Nombre de Cuenta Contable]]</f>
        <v>4205060 - Gtos Grales Entrega y PV</v>
      </c>
      <c r="H3613" s="146" t="str">
        <f>+VLOOKUP(D3613,'3. Cuentas'!A:F,6,0)</f>
        <v>SI</v>
      </c>
    </row>
    <row r="3614" spans="1:8" x14ac:dyDescent="0.25">
      <c r="A3614" s="43">
        <v>9210</v>
      </c>
      <c r="B3614" t="s">
        <v>633</v>
      </c>
      <c r="C3614" s="43" t="s">
        <v>328</v>
      </c>
      <c r="D3614" s="43">
        <v>1110040</v>
      </c>
      <c r="E3614" t="s">
        <v>1505</v>
      </c>
      <c r="F3614" s="47" t="str">
        <f>+Centro_Cuenta8[[#This Row],[Codigo Centro Gestion]]&amp;" - "&amp;Centro_Cuenta8[[#This Row],[Nombre Centro Gestion]]</f>
        <v>9210 - PV Alto Foresta</v>
      </c>
      <c r="G3614" s="47" t="str">
        <f>+Centro_Cuenta8[[#This Row],[Código Cuenta Contable]]&amp;" - "&amp;Centro_Cuenta8[[#This Row],[Nombre de Cuenta Contable]]</f>
        <v>1110040 - Garantía Pagadas</v>
      </c>
      <c r="H3614" s="146" t="str">
        <f>+VLOOKUP(D3614,'3. Cuentas'!A:F,6,0)</f>
        <v>SI</v>
      </c>
    </row>
    <row r="3615" spans="1:8" x14ac:dyDescent="0.25">
      <c r="A3615" s="43">
        <v>9210</v>
      </c>
      <c r="B3615" t="s">
        <v>633</v>
      </c>
      <c r="C3615" s="43" t="s">
        <v>328</v>
      </c>
      <c r="D3615" s="43">
        <v>4205060</v>
      </c>
      <c r="E3615" t="s">
        <v>130</v>
      </c>
      <c r="F3615" s="47" t="str">
        <f>+Centro_Cuenta8[[#This Row],[Codigo Centro Gestion]]&amp;" - "&amp;Centro_Cuenta8[[#This Row],[Nombre Centro Gestion]]</f>
        <v>9210 - PV Alto Foresta</v>
      </c>
      <c r="G3615" s="47" t="str">
        <f>+Centro_Cuenta8[[#This Row],[Código Cuenta Contable]]&amp;" - "&amp;Centro_Cuenta8[[#This Row],[Nombre de Cuenta Contable]]</f>
        <v>4205060 - Gtos Grales Entrega y PV</v>
      </c>
      <c r="H3615" s="146" t="str">
        <f>+VLOOKUP(D3615,'3. Cuentas'!A:F,6,0)</f>
        <v>SI</v>
      </c>
    </row>
    <row r="3616" spans="1:8" x14ac:dyDescent="0.25">
      <c r="A3616" s="43">
        <v>9211</v>
      </c>
      <c r="B3616" t="s">
        <v>634</v>
      </c>
      <c r="C3616" s="43" t="s">
        <v>328</v>
      </c>
      <c r="D3616" s="43">
        <v>1110040</v>
      </c>
      <c r="E3616" t="s">
        <v>1505</v>
      </c>
      <c r="F3616" s="47" t="str">
        <f>+Centro_Cuenta8[[#This Row],[Codigo Centro Gestion]]&amp;" - "&amp;Centro_Cuenta8[[#This Row],[Nombre Centro Gestion]]</f>
        <v>9211 - PV Vista del Valle II Edificio B</v>
      </c>
      <c r="G3616" s="47" t="str">
        <f>+Centro_Cuenta8[[#This Row],[Código Cuenta Contable]]&amp;" - "&amp;Centro_Cuenta8[[#This Row],[Nombre de Cuenta Contable]]</f>
        <v>1110040 - Garantía Pagadas</v>
      </c>
      <c r="H3616" s="146" t="str">
        <f>+VLOOKUP(D3616,'3. Cuentas'!A:F,6,0)</f>
        <v>SI</v>
      </c>
    </row>
    <row r="3617" spans="1:8" x14ac:dyDescent="0.25">
      <c r="A3617" s="43">
        <v>9211</v>
      </c>
      <c r="B3617" t="s">
        <v>634</v>
      </c>
      <c r="C3617" s="43" t="s">
        <v>328</v>
      </c>
      <c r="D3617" s="43">
        <v>4205060</v>
      </c>
      <c r="E3617" t="s">
        <v>130</v>
      </c>
      <c r="F3617" s="47" t="str">
        <f>+Centro_Cuenta8[[#This Row],[Codigo Centro Gestion]]&amp;" - "&amp;Centro_Cuenta8[[#This Row],[Nombre Centro Gestion]]</f>
        <v>9211 - PV Vista del Valle II Edificio B</v>
      </c>
      <c r="G3617" s="47" t="str">
        <f>+Centro_Cuenta8[[#This Row],[Código Cuenta Contable]]&amp;" - "&amp;Centro_Cuenta8[[#This Row],[Nombre de Cuenta Contable]]</f>
        <v>4205060 - Gtos Grales Entrega y PV</v>
      </c>
      <c r="H3617" s="146" t="str">
        <f>+VLOOKUP(D3617,'3. Cuentas'!A:F,6,0)</f>
        <v>SI</v>
      </c>
    </row>
    <row r="3618" spans="1:8" x14ac:dyDescent="0.25">
      <c r="A3618" s="43">
        <v>9212</v>
      </c>
      <c r="B3618" t="s">
        <v>635</v>
      </c>
      <c r="C3618" s="43" t="s">
        <v>328</v>
      </c>
      <c r="D3618" s="43">
        <v>1110040</v>
      </c>
      <c r="E3618" t="s">
        <v>1505</v>
      </c>
      <c r="F3618" s="47" t="str">
        <f>+Centro_Cuenta8[[#This Row],[Codigo Centro Gestion]]&amp;" - "&amp;Centro_Cuenta8[[#This Row],[Nombre Centro Gestion]]</f>
        <v>9212 - PV Edificio Constantino 54</v>
      </c>
      <c r="G3618" s="47" t="str">
        <f>+Centro_Cuenta8[[#This Row],[Código Cuenta Contable]]&amp;" - "&amp;Centro_Cuenta8[[#This Row],[Nombre de Cuenta Contable]]</f>
        <v>1110040 - Garantía Pagadas</v>
      </c>
      <c r="H3618" s="146" t="str">
        <f>+VLOOKUP(D3618,'3. Cuentas'!A:F,6,0)</f>
        <v>SI</v>
      </c>
    </row>
    <row r="3619" spans="1:8" x14ac:dyDescent="0.25">
      <c r="A3619" s="43">
        <v>9212</v>
      </c>
      <c r="B3619" t="s">
        <v>635</v>
      </c>
      <c r="C3619" s="43" t="s">
        <v>328</v>
      </c>
      <c r="D3619" s="43">
        <v>4205060</v>
      </c>
      <c r="E3619" t="s">
        <v>130</v>
      </c>
      <c r="F3619" s="47" t="str">
        <f>+Centro_Cuenta8[[#This Row],[Codigo Centro Gestion]]&amp;" - "&amp;Centro_Cuenta8[[#This Row],[Nombre Centro Gestion]]</f>
        <v>9212 - PV Edificio Constantino 54</v>
      </c>
      <c r="G3619" s="47" t="str">
        <f>+Centro_Cuenta8[[#This Row],[Código Cuenta Contable]]&amp;" - "&amp;Centro_Cuenta8[[#This Row],[Nombre de Cuenta Contable]]</f>
        <v>4205060 - Gtos Grales Entrega y PV</v>
      </c>
      <c r="H3619" s="146" t="str">
        <f>+VLOOKUP(D3619,'3. Cuentas'!A:F,6,0)</f>
        <v>SI</v>
      </c>
    </row>
    <row r="3620" spans="1:8" x14ac:dyDescent="0.25">
      <c r="A3620" s="43">
        <v>9213</v>
      </c>
      <c r="B3620" t="s">
        <v>636</v>
      </c>
      <c r="C3620" s="43" t="s">
        <v>328</v>
      </c>
      <c r="D3620" s="43">
        <v>1110040</v>
      </c>
      <c r="E3620" t="s">
        <v>1505</v>
      </c>
      <c r="F3620" s="47" t="str">
        <f>+Centro_Cuenta8[[#This Row],[Codigo Centro Gestion]]&amp;" - "&amp;Centro_Cuenta8[[#This Row],[Nombre Centro Gestion]]</f>
        <v>9213 - PV Edificio Maipu</v>
      </c>
      <c r="G3620" s="47" t="str">
        <f>+Centro_Cuenta8[[#This Row],[Código Cuenta Contable]]&amp;" - "&amp;Centro_Cuenta8[[#This Row],[Nombre de Cuenta Contable]]</f>
        <v>1110040 - Garantía Pagadas</v>
      </c>
      <c r="H3620" s="146" t="str">
        <f>+VLOOKUP(D3620,'3. Cuentas'!A:F,6,0)</f>
        <v>SI</v>
      </c>
    </row>
    <row r="3621" spans="1:8" x14ac:dyDescent="0.25">
      <c r="A3621" s="43">
        <v>9213</v>
      </c>
      <c r="B3621" t="s">
        <v>636</v>
      </c>
      <c r="C3621" s="43" t="s">
        <v>328</v>
      </c>
      <c r="D3621" s="43">
        <v>4205060</v>
      </c>
      <c r="E3621" t="s">
        <v>130</v>
      </c>
      <c r="F3621" s="47" t="str">
        <f>+Centro_Cuenta8[[#This Row],[Codigo Centro Gestion]]&amp;" - "&amp;Centro_Cuenta8[[#This Row],[Nombre Centro Gestion]]</f>
        <v>9213 - PV Edificio Maipu</v>
      </c>
      <c r="G3621" s="47" t="str">
        <f>+Centro_Cuenta8[[#This Row],[Código Cuenta Contable]]&amp;" - "&amp;Centro_Cuenta8[[#This Row],[Nombre de Cuenta Contable]]</f>
        <v>4205060 - Gtos Grales Entrega y PV</v>
      </c>
      <c r="H3621" s="146" t="str">
        <f>+VLOOKUP(D3621,'3. Cuentas'!A:F,6,0)</f>
        <v>SI</v>
      </c>
    </row>
    <row r="3622" spans="1:8" x14ac:dyDescent="0.25">
      <c r="A3622" s="43">
        <v>9214</v>
      </c>
      <c r="B3622" t="s">
        <v>637</v>
      </c>
      <c r="C3622" s="43" t="s">
        <v>328</v>
      </c>
      <c r="D3622" s="43">
        <v>1110040</v>
      </c>
      <c r="E3622" t="s">
        <v>1505</v>
      </c>
      <c r="F3622" s="47" t="str">
        <f>+Centro_Cuenta8[[#This Row],[Codigo Centro Gestion]]&amp;" - "&amp;Centro_Cuenta8[[#This Row],[Nombre Centro Gestion]]</f>
        <v>9214 - PV Edificio Recreo 250</v>
      </c>
      <c r="G3622" s="47" t="str">
        <f>+Centro_Cuenta8[[#This Row],[Código Cuenta Contable]]&amp;" - "&amp;Centro_Cuenta8[[#This Row],[Nombre de Cuenta Contable]]</f>
        <v>1110040 - Garantía Pagadas</v>
      </c>
      <c r="H3622" s="146" t="str">
        <f>+VLOOKUP(D3622,'3. Cuentas'!A:F,6,0)</f>
        <v>SI</v>
      </c>
    </row>
    <row r="3623" spans="1:8" x14ac:dyDescent="0.25">
      <c r="A3623" s="43">
        <v>9214</v>
      </c>
      <c r="B3623" t="s">
        <v>637</v>
      </c>
      <c r="C3623" s="43" t="s">
        <v>328</v>
      </c>
      <c r="D3623" s="43">
        <v>4205060</v>
      </c>
      <c r="E3623" t="s">
        <v>130</v>
      </c>
      <c r="F3623" s="47" t="str">
        <f>+Centro_Cuenta8[[#This Row],[Codigo Centro Gestion]]&amp;" - "&amp;Centro_Cuenta8[[#This Row],[Nombre Centro Gestion]]</f>
        <v>9214 - PV Edificio Recreo 250</v>
      </c>
      <c r="G3623" s="47" t="str">
        <f>+Centro_Cuenta8[[#This Row],[Código Cuenta Contable]]&amp;" - "&amp;Centro_Cuenta8[[#This Row],[Nombre de Cuenta Contable]]</f>
        <v>4205060 - Gtos Grales Entrega y PV</v>
      </c>
      <c r="H3623" s="146" t="str">
        <f>+VLOOKUP(D3623,'3. Cuentas'!A:F,6,0)</f>
        <v>SI</v>
      </c>
    </row>
    <row r="3624" spans="1:8" x14ac:dyDescent="0.25">
      <c r="A3624" s="43">
        <v>9215</v>
      </c>
      <c r="B3624" t="s">
        <v>638</v>
      </c>
      <c r="C3624" s="43" t="s">
        <v>328</v>
      </c>
      <c r="D3624" s="43">
        <v>1110040</v>
      </c>
      <c r="E3624" t="s">
        <v>1505</v>
      </c>
      <c r="F3624" s="47" t="str">
        <f>+Centro_Cuenta8[[#This Row],[Codigo Centro Gestion]]&amp;" - "&amp;Centro_Cuenta8[[#This Row],[Nombre Centro Gestion]]</f>
        <v>9215 - PV Alto Marañon Torre A</v>
      </c>
      <c r="G3624" s="47" t="str">
        <f>+Centro_Cuenta8[[#This Row],[Código Cuenta Contable]]&amp;" - "&amp;Centro_Cuenta8[[#This Row],[Nombre de Cuenta Contable]]</f>
        <v>1110040 - Garantía Pagadas</v>
      </c>
      <c r="H3624" s="146" t="str">
        <f>+VLOOKUP(D3624,'3. Cuentas'!A:F,6,0)</f>
        <v>SI</v>
      </c>
    </row>
    <row r="3625" spans="1:8" x14ac:dyDescent="0.25">
      <c r="A3625" s="43">
        <v>9215</v>
      </c>
      <c r="B3625" t="s">
        <v>638</v>
      </c>
      <c r="C3625" s="43" t="s">
        <v>328</v>
      </c>
      <c r="D3625" s="43">
        <v>4205060</v>
      </c>
      <c r="E3625" t="s">
        <v>130</v>
      </c>
      <c r="F3625" s="47" t="str">
        <f>+Centro_Cuenta8[[#This Row],[Codigo Centro Gestion]]&amp;" - "&amp;Centro_Cuenta8[[#This Row],[Nombre Centro Gestion]]</f>
        <v>9215 - PV Alto Marañon Torre A</v>
      </c>
      <c r="G3625" s="47" t="str">
        <f>+Centro_Cuenta8[[#This Row],[Código Cuenta Contable]]&amp;" - "&amp;Centro_Cuenta8[[#This Row],[Nombre de Cuenta Contable]]</f>
        <v>4205060 - Gtos Grales Entrega y PV</v>
      </c>
      <c r="H3625" s="146" t="str">
        <f>+VLOOKUP(D3625,'3. Cuentas'!A:F,6,0)</f>
        <v>SI</v>
      </c>
    </row>
    <row r="3626" spans="1:8" x14ac:dyDescent="0.25">
      <c r="A3626" s="43">
        <v>9217</v>
      </c>
      <c r="B3626" t="s">
        <v>639</v>
      </c>
      <c r="C3626" s="43" t="s">
        <v>328</v>
      </c>
      <c r="D3626" s="43">
        <v>1110040</v>
      </c>
      <c r="E3626" t="s">
        <v>1505</v>
      </c>
      <c r="F3626" s="47" t="str">
        <f>+Centro_Cuenta8[[#This Row],[Codigo Centro Gestion]]&amp;" - "&amp;Centro_Cuenta8[[#This Row],[Nombre Centro Gestion]]</f>
        <v>9217 - PV Edificio Duble Almeyda 2621</v>
      </c>
      <c r="G3626" s="47" t="str">
        <f>+Centro_Cuenta8[[#This Row],[Código Cuenta Contable]]&amp;" - "&amp;Centro_Cuenta8[[#This Row],[Nombre de Cuenta Contable]]</f>
        <v>1110040 - Garantía Pagadas</v>
      </c>
      <c r="H3626" s="146" t="str">
        <f>+VLOOKUP(D3626,'3. Cuentas'!A:F,6,0)</f>
        <v>SI</v>
      </c>
    </row>
    <row r="3627" spans="1:8" x14ac:dyDescent="0.25">
      <c r="A3627" s="43">
        <v>9217</v>
      </c>
      <c r="B3627" t="s">
        <v>639</v>
      </c>
      <c r="C3627" s="43" t="s">
        <v>328</v>
      </c>
      <c r="D3627" s="43">
        <v>4205060</v>
      </c>
      <c r="E3627" t="s">
        <v>130</v>
      </c>
      <c r="F3627" s="47" t="str">
        <f>+Centro_Cuenta8[[#This Row],[Codigo Centro Gestion]]&amp;" - "&amp;Centro_Cuenta8[[#This Row],[Nombre Centro Gestion]]</f>
        <v>9217 - PV Edificio Duble Almeyda 2621</v>
      </c>
      <c r="G3627" s="47" t="str">
        <f>+Centro_Cuenta8[[#This Row],[Código Cuenta Contable]]&amp;" - "&amp;Centro_Cuenta8[[#This Row],[Nombre de Cuenta Contable]]</f>
        <v>4205060 - Gtos Grales Entrega y PV</v>
      </c>
      <c r="H3627" s="146" t="str">
        <f>+VLOOKUP(D3627,'3. Cuentas'!A:F,6,0)</f>
        <v>SI</v>
      </c>
    </row>
    <row r="3628" spans="1:8" x14ac:dyDescent="0.25">
      <c r="A3628" s="43">
        <v>9218</v>
      </c>
      <c r="B3628" t="s">
        <v>640</v>
      </c>
      <c r="C3628" s="43" t="s">
        <v>328</v>
      </c>
      <c r="D3628" s="43">
        <v>1110040</v>
      </c>
      <c r="E3628" t="s">
        <v>1505</v>
      </c>
      <c r="F3628" s="47" t="str">
        <f>+Centro_Cuenta8[[#This Row],[Codigo Centro Gestion]]&amp;" - "&amp;Centro_Cuenta8[[#This Row],[Nombre Centro Gestion]]</f>
        <v>9218 - PV Edificio Jose Domingo Cañas 2640</v>
      </c>
      <c r="G3628" s="47" t="str">
        <f>+Centro_Cuenta8[[#This Row],[Código Cuenta Contable]]&amp;" - "&amp;Centro_Cuenta8[[#This Row],[Nombre de Cuenta Contable]]</f>
        <v>1110040 - Garantía Pagadas</v>
      </c>
      <c r="H3628" s="146" t="str">
        <f>+VLOOKUP(D3628,'3. Cuentas'!A:F,6,0)</f>
        <v>SI</v>
      </c>
    </row>
    <row r="3629" spans="1:8" x14ac:dyDescent="0.25">
      <c r="A3629" s="43">
        <v>9218</v>
      </c>
      <c r="B3629" t="s">
        <v>640</v>
      </c>
      <c r="C3629" s="43" t="s">
        <v>328</v>
      </c>
      <c r="D3629" s="43">
        <v>4205060</v>
      </c>
      <c r="E3629" t="s">
        <v>130</v>
      </c>
      <c r="F3629" s="47" t="str">
        <f>+Centro_Cuenta8[[#This Row],[Codigo Centro Gestion]]&amp;" - "&amp;Centro_Cuenta8[[#This Row],[Nombre Centro Gestion]]</f>
        <v>9218 - PV Edificio Jose Domingo Cañas 2640</v>
      </c>
      <c r="G3629" s="47" t="str">
        <f>+Centro_Cuenta8[[#This Row],[Código Cuenta Contable]]&amp;" - "&amp;Centro_Cuenta8[[#This Row],[Nombre de Cuenta Contable]]</f>
        <v>4205060 - Gtos Grales Entrega y PV</v>
      </c>
      <c r="H3629" s="146" t="str">
        <f>+VLOOKUP(D3629,'3. Cuentas'!A:F,6,0)</f>
        <v>SI</v>
      </c>
    </row>
    <row r="3630" spans="1:8" x14ac:dyDescent="0.25">
      <c r="A3630" s="43">
        <v>9220</v>
      </c>
      <c r="B3630" t="s">
        <v>641</v>
      </c>
      <c r="C3630" s="43" t="s">
        <v>328</v>
      </c>
      <c r="D3630" s="43">
        <v>1110040</v>
      </c>
      <c r="E3630" t="s">
        <v>1505</v>
      </c>
      <c r="F3630" s="47" t="str">
        <f>+Centro_Cuenta8[[#This Row],[Codigo Centro Gestion]]&amp;" - "&amp;Centro_Cuenta8[[#This Row],[Nombre Centro Gestion]]</f>
        <v>9220 - PV Edificio Uno Norte</v>
      </c>
      <c r="G3630" s="47" t="str">
        <f>+Centro_Cuenta8[[#This Row],[Código Cuenta Contable]]&amp;" - "&amp;Centro_Cuenta8[[#This Row],[Nombre de Cuenta Contable]]</f>
        <v>1110040 - Garantía Pagadas</v>
      </c>
      <c r="H3630" s="146" t="str">
        <f>+VLOOKUP(D3630,'3. Cuentas'!A:F,6,0)</f>
        <v>SI</v>
      </c>
    </row>
    <row r="3631" spans="1:8" x14ac:dyDescent="0.25">
      <c r="A3631" s="43">
        <v>9220</v>
      </c>
      <c r="B3631" t="s">
        <v>641</v>
      </c>
      <c r="C3631" s="43" t="s">
        <v>328</v>
      </c>
      <c r="D3631" s="43">
        <v>4205060</v>
      </c>
      <c r="E3631" t="s">
        <v>130</v>
      </c>
      <c r="F3631" s="47" t="str">
        <f>+Centro_Cuenta8[[#This Row],[Codigo Centro Gestion]]&amp;" - "&amp;Centro_Cuenta8[[#This Row],[Nombre Centro Gestion]]</f>
        <v>9220 - PV Edificio Uno Norte</v>
      </c>
      <c r="G3631" s="47" t="str">
        <f>+Centro_Cuenta8[[#This Row],[Código Cuenta Contable]]&amp;" - "&amp;Centro_Cuenta8[[#This Row],[Nombre de Cuenta Contable]]</f>
        <v>4205060 - Gtos Grales Entrega y PV</v>
      </c>
      <c r="H3631" s="146" t="str">
        <f>+VLOOKUP(D3631,'3. Cuentas'!A:F,6,0)</f>
        <v>SI</v>
      </c>
    </row>
    <row r="3632" spans="1:8" x14ac:dyDescent="0.25">
      <c r="A3632" s="43">
        <v>9221</v>
      </c>
      <c r="B3632" t="s">
        <v>642</v>
      </c>
      <c r="C3632" s="43" t="s">
        <v>328</v>
      </c>
      <c r="D3632" s="43">
        <v>1110040</v>
      </c>
      <c r="E3632" t="s">
        <v>1505</v>
      </c>
      <c r="F3632" s="47" t="str">
        <f>+Centro_Cuenta8[[#This Row],[Codigo Centro Gestion]]&amp;" - "&amp;Centro_Cuenta8[[#This Row],[Nombre Centro Gestion]]</f>
        <v>9221 - PV Edificio Fernandez Albano 192</v>
      </c>
      <c r="G3632" s="47" t="str">
        <f>+Centro_Cuenta8[[#This Row],[Código Cuenta Contable]]&amp;" - "&amp;Centro_Cuenta8[[#This Row],[Nombre de Cuenta Contable]]</f>
        <v>1110040 - Garantía Pagadas</v>
      </c>
      <c r="H3632" s="146" t="str">
        <f>+VLOOKUP(D3632,'3. Cuentas'!A:F,6,0)</f>
        <v>SI</v>
      </c>
    </row>
    <row r="3633" spans="1:8" x14ac:dyDescent="0.25">
      <c r="A3633" s="43">
        <v>9221</v>
      </c>
      <c r="B3633" t="s">
        <v>642</v>
      </c>
      <c r="C3633" s="43" t="s">
        <v>328</v>
      </c>
      <c r="D3633" s="43">
        <v>4205060</v>
      </c>
      <c r="E3633" t="s">
        <v>130</v>
      </c>
      <c r="F3633" s="47" t="str">
        <f>+Centro_Cuenta8[[#This Row],[Codigo Centro Gestion]]&amp;" - "&amp;Centro_Cuenta8[[#This Row],[Nombre Centro Gestion]]</f>
        <v>9221 - PV Edificio Fernandez Albano 192</v>
      </c>
      <c r="G3633" s="47" t="str">
        <f>+Centro_Cuenta8[[#This Row],[Código Cuenta Contable]]&amp;" - "&amp;Centro_Cuenta8[[#This Row],[Nombre de Cuenta Contable]]</f>
        <v>4205060 - Gtos Grales Entrega y PV</v>
      </c>
      <c r="H3633" s="146" t="str">
        <f>+VLOOKUP(D3633,'3. Cuentas'!A:F,6,0)</f>
        <v>SI</v>
      </c>
    </row>
    <row r="3634" spans="1:8" x14ac:dyDescent="0.25">
      <c r="A3634" s="43">
        <v>9222</v>
      </c>
      <c r="B3634" t="s">
        <v>643</v>
      </c>
      <c r="C3634" s="43" t="s">
        <v>328</v>
      </c>
      <c r="D3634" s="43">
        <v>1110040</v>
      </c>
      <c r="E3634" t="s">
        <v>1505</v>
      </c>
      <c r="F3634" s="47" t="str">
        <f>+Centro_Cuenta8[[#This Row],[Codigo Centro Gestion]]&amp;" - "&amp;Centro_Cuenta8[[#This Row],[Nombre Centro Gestion]]</f>
        <v>9222 - PV Condominio Activo</v>
      </c>
      <c r="G3634" s="47" t="str">
        <f>+Centro_Cuenta8[[#This Row],[Código Cuenta Contable]]&amp;" - "&amp;Centro_Cuenta8[[#This Row],[Nombre de Cuenta Contable]]</f>
        <v>1110040 - Garantía Pagadas</v>
      </c>
      <c r="H3634" s="146" t="str">
        <f>+VLOOKUP(D3634,'3. Cuentas'!A:F,6,0)</f>
        <v>SI</v>
      </c>
    </row>
    <row r="3635" spans="1:8" x14ac:dyDescent="0.25">
      <c r="A3635" s="43">
        <v>9222</v>
      </c>
      <c r="B3635" t="s">
        <v>643</v>
      </c>
      <c r="C3635" s="43" t="s">
        <v>328</v>
      </c>
      <c r="D3635" s="43">
        <v>4205060</v>
      </c>
      <c r="E3635" t="s">
        <v>130</v>
      </c>
      <c r="F3635" s="47" t="str">
        <f>+Centro_Cuenta8[[#This Row],[Codigo Centro Gestion]]&amp;" - "&amp;Centro_Cuenta8[[#This Row],[Nombre Centro Gestion]]</f>
        <v>9222 - PV Condominio Activo</v>
      </c>
      <c r="G3635" s="47" t="str">
        <f>+Centro_Cuenta8[[#This Row],[Código Cuenta Contable]]&amp;" - "&amp;Centro_Cuenta8[[#This Row],[Nombre de Cuenta Contable]]</f>
        <v>4205060 - Gtos Grales Entrega y PV</v>
      </c>
      <c r="H3635" s="146" t="str">
        <f>+VLOOKUP(D3635,'3. Cuentas'!A:F,6,0)</f>
        <v>SI</v>
      </c>
    </row>
    <row r="3636" spans="1:8" x14ac:dyDescent="0.25">
      <c r="A3636" s="43">
        <v>9223</v>
      </c>
      <c r="B3636" t="s">
        <v>644</v>
      </c>
      <c r="C3636" s="43" t="s">
        <v>328</v>
      </c>
      <c r="D3636" s="43">
        <v>1110040</v>
      </c>
      <c r="E3636" t="s">
        <v>1505</v>
      </c>
      <c r="F3636" s="47" t="str">
        <f>+Centro_Cuenta8[[#This Row],[Codigo Centro Gestion]]&amp;" - "&amp;Centro_Cuenta8[[#This Row],[Nombre Centro Gestion]]</f>
        <v>9223 - PV Alto Cavancha</v>
      </c>
      <c r="G3636" s="47" t="str">
        <f>+Centro_Cuenta8[[#This Row],[Código Cuenta Contable]]&amp;" - "&amp;Centro_Cuenta8[[#This Row],[Nombre de Cuenta Contable]]</f>
        <v>1110040 - Garantía Pagadas</v>
      </c>
      <c r="H3636" s="146" t="str">
        <f>+VLOOKUP(D3636,'3. Cuentas'!A:F,6,0)</f>
        <v>SI</v>
      </c>
    </row>
    <row r="3637" spans="1:8" x14ac:dyDescent="0.25">
      <c r="A3637" s="43">
        <v>9223</v>
      </c>
      <c r="B3637" t="s">
        <v>644</v>
      </c>
      <c r="C3637" s="43" t="s">
        <v>328</v>
      </c>
      <c r="D3637" s="43">
        <v>4205060</v>
      </c>
      <c r="E3637" t="s">
        <v>130</v>
      </c>
      <c r="F3637" s="47" t="str">
        <f>+Centro_Cuenta8[[#This Row],[Codigo Centro Gestion]]&amp;" - "&amp;Centro_Cuenta8[[#This Row],[Nombre Centro Gestion]]</f>
        <v>9223 - PV Alto Cavancha</v>
      </c>
      <c r="G3637" s="47" t="str">
        <f>+Centro_Cuenta8[[#This Row],[Código Cuenta Contable]]&amp;" - "&amp;Centro_Cuenta8[[#This Row],[Nombre de Cuenta Contable]]</f>
        <v>4205060 - Gtos Grales Entrega y PV</v>
      </c>
      <c r="H3637" s="146" t="str">
        <f>+VLOOKUP(D3637,'3. Cuentas'!A:F,6,0)</f>
        <v>SI</v>
      </c>
    </row>
    <row r="3638" spans="1:8" x14ac:dyDescent="0.25">
      <c r="A3638" s="43">
        <v>9225</v>
      </c>
      <c r="B3638" t="s">
        <v>645</v>
      </c>
      <c r="C3638" s="43" t="s">
        <v>328</v>
      </c>
      <c r="D3638" s="43">
        <v>1110040</v>
      </c>
      <c r="E3638" t="s">
        <v>1505</v>
      </c>
      <c r="F3638" s="47" t="str">
        <f>+Centro_Cuenta8[[#This Row],[Codigo Centro Gestion]]&amp;" - "&amp;Centro_Cuenta8[[#This Row],[Nombre Centro Gestion]]</f>
        <v>9225 - PV Parque Ingles</v>
      </c>
      <c r="G3638" s="47" t="str">
        <f>+Centro_Cuenta8[[#This Row],[Código Cuenta Contable]]&amp;" - "&amp;Centro_Cuenta8[[#This Row],[Nombre de Cuenta Contable]]</f>
        <v>1110040 - Garantía Pagadas</v>
      </c>
      <c r="H3638" s="146" t="str">
        <f>+VLOOKUP(D3638,'3. Cuentas'!A:F,6,0)</f>
        <v>SI</v>
      </c>
    </row>
    <row r="3639" spans="1:8" x14ac:dyDescent="0.25">
      <c r="A3639" s="43">
        <v>9225</v>
      </c>
      <c r="B3639" t="s">
        <v>645</v>
      </c>
      <c r="C3639" s="43" t="s">
        <v>328</v>
      </c>
      <c r="D3639" s="43">
        <v>4205060</v>
      </c>
      <c r="E3639" t="s">
        <v>130</v>
      </c>
      <c r="F3639" s="47" t="str">
        <f>+Centro_Cuenta8[[#This Row],[Codigo Centro Gestion]]&amp;" - "&amp;Centro_Cuenta8[[#This Row],[Nombre Centro Gestion]]</f>
        <v>9225 - PV Parque Ingles</v>
      </c>
      <c r="G3639" s="47" t="str">
        <f>+Centro_Cuenta8[[#This Row],[Código Cuenta Contable]]&amp;" - "&amp;Centro_Cuenta8[[#This Row],[Nombre de Cuenta Contable]]</f>
        <v>4205060 - Gtos Grales Entrega y PV</v>
      </c>
      <c r="H3639" s="146" t="str">
        <f>+VLOOKUP(D3639,'3. Cuentas'!A:F,6,0)</f>
        <v>SI</v>
      </c>
    </row>
    <row r="3640" spans="1:8" x14ac:dyDescent="0.25">
      <c r="A3640" s="43">
        <v>9226</v>
      </c>
      <c r="B3640" t="s">
        <v>646</v>
      </c>
      <c r="C3640" s="43" t="s">
        <v>328</v>
      </c>
      <c r="D3640" s="43">
        <v>1110040</v>
      </c>
      <c r="E3640" t="s">
        <v>1505</v>
      </c>
      <c r="F3640" s="47" t="str">
        <f>+Centro_Cuenta8[[#This Row],[Codigo Centro Gestion]]&amp;" - "&amp;Centro_Cuenta8[[#This Row],[Nombre Centro Gestion]]</f>
        <v>9226 - PV Conde del Maule 4676</v>
      </c>
      <c r="G3640" s="47" t="str">
        <f>+Centro_Cuenta8[[#This Row],[Código Cuenta Contable]]&amp;" - "&amp;Centro_Cuenta8[[#This Row],[Nombre de Cuenta Contable]]</f>
        <v>1110040 - Garantía Pagadas</v>
      </c>
      <c r="H3640" s="146" t="str">
        <f>+VLOOKUP(D3640,'3. Cuentas'!A:F,6,0)</f>
        <v>SI</v>
      </c>
    </row>
    <row r="3641" spans="1:8" x14ac:dyDescent="0.25">
      <c r="A3641" s="43">
        <v>9226</v>
      </c>
      <c r="B3641" t="s">
        <v>646</v>
      </c>
      <c r="C3641" s="43" t="s">
        <v>328</v>
      </c>
      <c r="D3641" s="43">
        <v>4205060</v>
      </c>
      <c r="E3641" t="s">
        <v>130</v>
      </c>
      <c r="F3641" s="47" t="str">
        <f>+Centro_Cuenta8[[#This Row],[Codigo Centro Gestion]]&amp;" - "&amp;Centro_Cuenta8[[#This Row],[Nombre Centro Gestion]]</f>
        <v>9226 - PV Conde del Maule 4676</v>
      </c>
      <c r="G3641" s="47" t="str">
        <f>+Centro_Cuenta8[[#This Row],[Código Cuenta Contable]]&amp;" - "&amp;Centro_Cuenta8[[#This Row],[Nombre de Cuenta Contable]]</f>
        <v>4205060 - Gtos Grales Entrega y PV</v>
      </c>
      <c r="H3641" s="146" t="str">
        <f>+VLOOKUP(D3641,'3. Cuentas'!A:F,6,0)</f>
        <v>SI</v>
      </c>
    </row>
    <row r="3642" spans="1:8" x14ac:dyDescent="0.25">
      <c r="A3642" s="43">
        <v>9227</v>
      </c>
      <c r="B3642" t="s">
        <v>647</v>
      </c>
      <c r="C3642" s="43" t="s">
        <v>328</v>
      </c>
      <c r="D3642" s="43">
        <v>1110040</v>
      </c>
      <c r="E3642" t="s">
        <v>1505</v>
      </c>
      <c r="F3642" s="47" t="str">
        <f>+Centro_Cuenta8[[#This Row],[Codigo Centro Gestion]]&amp;" - "&amp;Centro_Cuenta8[[#This Row],[Nombre Centro Gestion]]</f>
        <v>9227 - PV Edificio Alto Foresta 2</v>
      </c>
      <c r="G3642" s="47" t="str">
        <f>+Centro_Cuenta8[[#This Row],[Código Cuenta Contable]]&amp;" - "&amp;Centro_Cuenta8[[#This Row],[Nombre de Cuenta Contable]]</f>
        <v>1110040 - Garantía Pagadas</v>
      </c>
      <c r="H3642" s="146" t="str">
        <f>+VLOOKUP(D3642,'3. Cuentas'!A:F,6,0)</f>
        <v>SI</v>
      </c>
    </row>
    <row r="3643" spans="1:8" x14ac:dyDescent="0.25">
      <c r="A3643" s="43">
        <v>9227</v>
      </c>
      <c r="B3643" t="s">
        <v>647</v>
      </c>
      <c r="C3643" s="43" t="s">
        <v>328</v>
      </c>
      <c r="D3643" s="43">
        <v>4205060</v>
      </c>
      <c r="E3643" t="s">
        <v>130</v>
      </c>
      <c r="F3643" s="47" t="str">
        <f>+Centro_Cuenta8[[#This Row],[Codigo Centro Gestion]]&amp;" - "&amp;Centro_Cuenta8[[#This Row],[Nombre Centro Gestion]]</f>
        <v>9227 - PV Edificio Alto Foresta 2</v>
      </c>
      <c r="G3643" s="47" t="str">
        <f>+Centro_Cuenta8[[#This Row],[Código Cuenta Contable]]&amp;" - "&amp;Centro_Cuenta8[[#This Row],[Nombre de Cuenta Contable]]</f>
        <v>4205060 - Gtos Grales Entrega y PV</v>
      </c>
      <c r="H3643" s="146" t="str">
        <f>+VLOOKUP(D3643,'3. Cuentas'!A:F,6,0)</f>
        <v>SI</v>
      </c>
    </row>
    <row r="3644" spans="1:8" x14ac:dyDescent="0.25">
      <c r="A3644" s="43">
        <v>9228</v>
      </c>
      <c r="B3644" t="s">
        <v>648</v>
      </c>
      <c r="C3644" s="43" t="s">
        <v>328</v>
      </c>
      <c r="D3644" s="43">
        <v>1110040</v>
      </c>
      <c r="E3644" t="s">
        <v>1505</v>
      </c>
      <c r="F3644" s="47" t="str">
        <f>+Centro_Cuenta8[[#This Row],[Codigo Centro Gestion]]&amp;" - "&amp;Centro_Cuenta8[[#This Row],[Nombre Centro Gestion]]</f>
        <v>9228 - PV Edificio Briones Luco</v>
      </c>
      <c r="G3644" s="47" t="str">
        <f>+Centro_Cuenta8[[#This Row],[Código Cuenta Contable]]&amp;" - "&amp;Centro_Cuenta8[[#This Row],[Nombre de Cuenta Contable]]</f>
        <v>1110040 - Garantía Pagadas</v>
      </c>
      <c r="H3644" s="146" t="str">
        <f>+VLOOKUP(D3644,'3. Cuentas'!A:F,6,0)</f>
        <v>SI</v>
      </c>
    </row>
    <row r="3645" spans="1:8" x14ac:dyDescent="0.25">
      <c r="A3645" s="43">
        <v>9228</v>
      </c>
      <c r="B3645" t="s">
        <v>648</v>
      </c>
      <c r="C3645" s="43" t="s">
        <v>328</v>
      </c>
      <c r="D3645" s="43">
        <v>4205060</v>
      </c>
      <c r="E3645" t="s">
        <v>130</v>
      </c>
      <c r="F3645" s="47" t="str">
        <f>+Centro_Cuenta8[[#This Row],[Codigo Centro Gestion]]&amp;" - "&amp;Centro_Cuenta8[[#This Row],[Nombre Centro Gestion]]</f>
        <v>9228 - PV Edificio Briones Luco</v>
      </c>
      <c r="G3645" s="47" t="str">
        <f>+Centro_Cuenta8[[#This Row],[Código Cuenta Contable]]&amp;" - "&amp;Centro_Cuenta8[[#This Row],[Nombre de Cuenta Contable]]</f>
        <v>4205060 - Gtos Grales Entrega y PV</v>
      </c>
      <c r="H3645" s="146" t="str">
        <f>+VLOOKUP(D3645,'3. Cuentas'!A:F,6,0)</f>
        <v>SI</v>
      </c>
    </row>
    <row r="3646" spans="1:8" x14ac:dyDescent="0.25">
      <c r="A3646" s="43">
        <v>9229</v>
      </c>
      <c r="B3646" t="s">
        <v>649</v>
      </c>
      <c r="C3646" s="43" t="s">
        <v>328</v>
      </c>
      <c r="D3646" s="43">
        <v>1110040</v>
      </c>
      <c r="E3646" t="s">
        <v>1505</v>
      </c>
      <c r="F3646" s="47" t="str">
        <f>+Centro_Cuenta8[[#This Row],[Codigo Centro Gestion]]&amp;" - "&amp;Centro_Cuenta8[[#This Row],[Nombre Centro Gestion]]</f>
        <v>9229 - PV Vista Las Palmas</v>
      </c>
      <c r="G3646" s="47" t="str">
        <f>+Centro_Cuenta8[[#This Row],[Código Cuenta Contable]]&amp;" - "&amp;Centro_Cuenta8[[#This Row],[Nombre de Cuenta Contable]]</f>
        <v>1110040 - Garantía Pagadas</v>
      </c>
      <c r="H3646" s="146" t="str">
        <f>+VLOOKUP(D3646,'3. Cuentas'!A:F,6,0)</f>
        <v>SI</v>
      </c>
    </row>
    <row r="3647" spans="1:8" x14ac:dyDescent="0.25">
      <c r="A3647" s="43">
        <v>9229</v>
      </c>
      <c r="B3647" t="s">
        <v>649</v>
      </c>
      <c r="C3647" s="43" t="s">
        <v>328</v>
      </c>
      <c r="D3647" s="43">
        <v>4205060</v>
      </c>
      <c r="E3647" t="s">
        <v>130</v>
      </c>
      <c r="F3647" s="47" t="str">
        <f>+Centro_Cuenta8[[#This Row],[Codigo Centro Gestion]]&amp;" - "&amp;Centro_Cuenta8[[#This Row],[Nombre Centro Gestion]]</f>
        <v>9229 - PV Vista Las Palmas</v>
      </c>
      <c r="G3647" s="47" t="str">
        <f>+Centro_Cuenta8[[#This Row],[Código Cuenta Contable]]&amp;" - "&amp;Centro_Cuenta8[[#This Row],[Nombre de Cuenta Contable]]</f>
        <v>4205060 - Gtos Grales Entrega y PV</v>
      </c>
      <c r="H3647" s="146" t="str">
        <f>+VLOOKUP(D3647,'3. Cuentas'!A:F,6,0)</f>
        <v>SI</v>
      </c>
    </row>
    <row r="3648" spans="1:8" x14ac:dyDescent="0.25">
      <c r="A3648" s="43">
        <v>9230</v>
      </c>
      <c r="B3648" t="s">
        <v>650</v>
      </c>
      <c r="C3648" s="43" t="s">
        <v>328</v>
      </c>
      <c r="D3648" s="43">
        <v>1110040</v>
      </c>
      <c r="E3648" t="s">
        <v>1505</v>
      </c>
      <c r="F3648" s="47" t="str">
        <f>+Centro_Cuenta8[[#This Row],[Codigo Centro Gestion]]&amp;" - "&amp;Centro_Cuenta8[[#This Row],[Nombre Centro Gestion]]</f>
        <v>9230 - PV Condominio Manuel Jesus Rivera</v>
      </c>
      <c r="G3648" s="47" t="str">
        <f>+Centro_Cuenta8[[#This Row],[Código Cuenta Contable]]&amp;" - "&amp;Centro_Cuenta8[[#This Row],[Nombre de Cuenta Contable]]</f>
        <v>1110040 - Garantía Pagadas</v>
      </c>
      <c r="H3648" s="146" t="str">
        <f>+VLOOKUP(D3648,'3. Cuentas'!A:F,6,0)</f>
        <v>SI</v>
      </c>
    </row>
    <row r="3649" spans="1:8" x14ac:dyDescent="0.25">
      <c r="A3649" s="43">
        <v>9230</v>
      </c>
      <c r="B3649" t="s">
        <v>650</v>
      </c>
      <c r="C3649" s="43" t="s">
        <v>328</v>
      </c>
      <c r="D3649" s="43">
        <v>4205060</v>
      </c>
      <c r="E3649" t="s">
        <v>130</v>
      </c>
      <c r="F3649" s="47" t="str">
        <f>+Centro_Cuenta8[[#This Row],[Codigo Centro Gestion]]&amp;" - "&amp;Centro_Cuenta8[[#This Row],[Nombre Centro Gestion]]</f>
        <v>9230 - PV Condominio Manuel Jesus Rivera</v>
      </c>
      <c r="G3649" s="47" t="str">
        <f>+Centro_Cuenta8[[#This Row],[Código Cuenta Contable]]&amp;" - "&amp;Centro_Cuenta8[[#This Row],[Nombre de Cuenta Contable]]</f>
        <v>4205060 - Gtos Grales Entrega y PV</v>
      </c>
      <c r="H3649" s="146" t="str">
        <f>+VLOOKUP(D3649,'3. Cuentas'!A:F,6,0)</f>
        <v>SI</v>
      </c>
    </row>
    <row r="3650" spans="1:8" x14ac:dyDescent="0.25">
      <c r="A3650" s="43">
        <v>9231</v>
      </c>
      <c r="B3650" t="s">
        <v>651</v>
      </c>
      <c r="C3650" s="43" t="s">
        <v>328</v>
      </c>
      <c r="D3650" s="43">
        <v>1110040</v>
      </c>
      <c r="E3650" t="s">
        <v>1505</v>
      </c>
      <c r="F3650" s="47" t="str">
        <f>+Centro_Cuenta8[[#This Row],[Codigo Centro Gestion]]&amp;" - "&amp;Centro_Cuenta8[[#This Row],[Nombre Centro Gestion]]</f>
        <v>9231 - PV Edificio Guillermo Mann</v>
      </c>
      <c r="G3650" s="47" t="str">
        <f>+Centro_Cuenta8[[#This Row],[Código Cuenta Contable]]&amp;" - "&amp;Centro_Cuenta8[[#This Row],[Nombre de Cuenta Contable]]</f>
        <v>1110040 - Garantía Pagadas</v>
      </c>
      <c r="H3650" s="146" t="str">
        <f>+VLOOKUP(D3650,'3. Cuentas'!A:F,6,0)</f>
        <v>SI</v>
      </c>
    </row>
    <row r="3651" spans="1:8" x14ac:dyDescent="0.25">
      <c r="A3651" s="43">
        <v>9231</v>
      </c>
      <c r="B3651" t="s">
        <v>651</v>
      </c>
      <c r="C3651" s="43" t="s">
        <v>328</v>
      </c>
      <c r="D3651" s="43">
        <v>4205060</v>
      </c>
      <c r="E3651" t="s">
        <v>130</v>
      </c>
      <c r="F3651" s="47" t="str">
        <f>+Centro_Cuenta8[[#This Row],[Codigo Centro Gestion]]&amp;" - "&amp;Centro_Cuenta8[[#This Row],[Nombre Centro Gestion]]</f>
        <v>9231 - PV Edificio Guillermo Mann</v>
      </c>
      <c r="G3651" s="47" t="str">
        <f>+Centro_Cuenta8[[#This Row],[Código Cuenta Contable]]&amp;" - "&amp;Centro_Cuenta8[[#This Row],[Nombre de Cuenta Contable]]</f>
        <v>4205060 - Gtos Grales Entrega y PV</v>
      </c>
      <c r="H3651" s="146" t="str">
        <f>+VLOOKUP(D3651,'3. Cuentas'!A:F,6,0)</f>
        <v>SI</v>
      </c>
    </row>
    <row r="3652" spans="1:8" x14ac:dyDescent="0.25">
      <c r="A3652" s="43">
        <v>9232</v>
      </c>
      <c r="B3652" t="s">
        <v>652</v>
      </c>
      <c r="C3652" s="43" t="s">
        <v>328</v>
      </c>
      <c r="D3652" s="43">
        <v>1110040</v>
      </c>
      <c r="E3652" t="s">
        <v>1505</v>
      </c>
      <c r="F3652" s="47" t="str">
        <f>+Centro_Cuenta8[[#This Row],[Codigo Centro Gestion]]&amp;" - "&amp;Centro_Cuenta8[[#This Row],[Nombre Centro Gestion]]</f>
        <v>9232 - PV Edificio Coronel Souper</v>
      </c>
      <c r="G3652" s="47" t="str">
        <f>+Centro_Cuenta8[[#This Row],[Código Cuenta Contable]]&amp;" - "&amp;Centro_Cuenta8[[#This Row],[Nombre de Cuenta Contable]]</f>
        <v>1110040 - Garantía Pagadas</v>
      </c>
      <c r="H3652" s="146" t="str">
        <f>+VLOOKUP(D3652,'3. Cuentas'!A:F,6,0)</f>
        <v>SI</v>
      </c>
    </row>
    <row r="3653" spans="1:8" x14ac:dyDescent="0.25">
      <c r="A3653" s="43">
        <v>9232</v>
      </c>
      <c r="B3653" t="s">
        <v>652</v>
      </c>
      <c r="C3653" s="43" t="s">
        <v>328</v>
      </c>
      <c r="D3653" s="43">
        <v>4205060</v>
      </c>
      <c r="E3653" t="s">
        <v>130</v>
      </c>
      <c r="F3653" s="47" t="str">
        <f>+Centro_Cuenta8[[#This Row],[Codigo Centro Gestion]]&amp;" - "&amp;Centro_Cuenta8[[#This Row],[Nombre Centro Gestion]]</f>
        <v>9232 - PV Edificio Coronel Souper</v>
      </c>
      <c r="G3653" s="47" t="str">
        <f>+Centro_Cuenta8[[#This Row],[Código Cuenta Contable]]&amp;" - "&amp;Centro_Cuenta8[[#This Row],[Nombre de Cuenta Contable]]</f>
        <v>4205060 - Gtos Grales Entrega y PV</v>
      </c>
      <c r="H3653" s="146" t="str">
        <f>+VLOOKUP(D3653,'3. Cuentas'!A:F,6,0)</f>
        <v>SI</v>
      </c>
    </row>
    <row r="3654" spans="1:8" x14ac:dyDescent="0.25">
      <c r="A3654" s="43">
        <v>9235</v>
      </c>
      <c r="B3654" t="s">
        <v>653</v>
      </c>
      <c r="C3654" s="43" t="s">
        <v>328</v>
      </c>
      <c r="D3654" s="43">
        <v>1110040</v>
      </c>
      <c r="E3654" t="s">
        <v>1505</v>
      </c>
      <c r="F3654" s="47" t="str">
        <f>+Centro_Cuenta8[[#This Row],[Codigo Centro Gestion]]&amp;" - "&amp;Centro_Cuenta8[[#This Row],[Nombre Centro Gestion]]</f>
        <v>9235 - PV Vista del Valle III</v>
      </c>
      <c r="G3654" s="47" t="str">
        <f>+Centro_Cuenta8[[#This Row],[Código Cuenta Contable]]&amp;" - "&amp;Centro_Cuenta8[[#This Row],[Nombre de Cuenta Contable]]</f>
        <v>1110040 - Garantía Pagadas</v>
      </c>
      <c r="H3654" s="146" t="str">
        <f>+VLOOKUP(D3654,'3. Cuentas'!A:F,6,0)</f>
        <v>SI</v>
      </c>
    </row>
    <row r="3655" spans="1:8" x14ac:dyDescent="0.25">
      <c r="A3655" s="43">
        <v>9235</v>
      </c>
      <c r="B3655" t="s">
        <v>653</v>
      </c>
      <c r="C3655" s="43" t="s">
        <v>328</v>
      </c>
      <c r="D3655" s="43">
        <v>4205060</v>
      </c>
      <c r="E3655" t="s">
        <v>130</v>
      </c>
      <c r="F3655" s="47" t="str">
        <f>+Centro_Cuenta8[[#This Row],[Codigo Centro Gestion]]&amp;" - "&amp;Centro_Cuenta8[[#This Row],[Nombre Centro Gestion]]</f>
        <v>9235 - PV Vista del Valle III</v>
      </c>
      <c r="G3655" s="47" t="str">
        <f>+Centro_Cuenta8[[#This Row],[Código Cuenta Contable]]&amp;" - "&amp;Centro_Cuenta8[[#This Row],[Nombre de Cuenta Contable]]</f>
        <v>4205060 - Gtos Grales Entrega y PV</v>
      </c>
      <c r="H3655" s="146" t="str">
        <f>+VLOOKUP(D3655,'3. Cuentas'!A:F,6,0)</f>
        <v>SI</v>
      </c>
    </row>
    <row r="3656" spans="1:8" x14ac:dyDescent="0.25">
      <c r="A3656" s="43">
        <v>9236</v>
      </c>
      <c r="B3656" t="s">
        <v>654</v>
      </c>
      <c r="C3656" s="43" t="s">
        <v>328</v>
      </c>
      <c r="D3656" s="43">
        <v>1110040</v>
      </c>
      <c r="E3656" t="s">
        <v>1505</v>
      </c>
      <c r="F3656" s="47" t="str">
        <f>+Centro_Cuenta8[[#This Row],[Codigo Centro Gestion]]&amp;" - "&amp;Centro_Cuenta8[[#This Row],[Nombre Centro Gestion]]</f>
        <v>9236 - PV Edificio Pedro Prado</v>
      </c>
      <c r="G3656" s="47" t="str">
        <f>+Centro_Cuenta8[[#This Row],[Código Cuenta Contable]]&amp;" - "&amp;Centro_Cuenta8[[#This Row],[Nombre de Cuenta Contable]]</f>
        <v>1110040 - Garantía Pagadas</v>
      </c>
      <c r="H3656" s="146" t="str">
        <f>+VLOOKUP(D3656,'3. Cuentas'!A:F,6,0)</f>
        <v>SI</v>
      </c>
    </row>
    <row r="3657" spans="1:8" x14ac:dyDescent="0.25">
      <c r="A3657" s="43">
        <v>9236</v>
      </c>
      <c r="B3657" t="s">
        <v>654</v>
      </c>
      <c r="C3657" s="43" t="s">
        <v>328</v>
      </c>
      <c r="D3657" s="43">
        <v>4205060</v>
      </c>
      <c r="E3657" t="s">
        <v>130</v>
      </c>
      <c r="F3657" s="47" t="str">
        <f>+Centro_Cuenta8[[#This Row],[Codigo Centro Gestion]]&amp;" - "&amp;Centro_Cuenta8[[#This Row],[Nombre Centro Gestion]]</f>
        <v>9236 - PV Edificio Pedro Prado</v>
      </c>
      <c r="G3657" s="47" t="str">
        <f>+Centro_Cuenta8[[#This Row],[Código Cuenta Contable]]&amp;" - "&amp;Centro_Cuenta8[[#This Row],[Nombre de Cuenta Contable]]</f>
        <v>4205060 - Gtos Grales Entrega y PV</v>
      </c>
      <c r="H3657" s="146" t="str">
        <f>+VLOOKUP(D3657,'3. Cuentas'!A:F,6,0)</f>
        <v>SI</v>
      </c>
    </row>
    <row r="3658" spans="1:8" x14ac:dyDescent="0.25">
      <c r="A3658" s="43">
        <v>9237</v>
      </c>
      <c r="B3658" t="s">
        <v>655</v>
      </c>
      <c r="C3658" s="43" t="s">
        <v>328</v>
      </c>
      <c r="D3658" s="43">
        <v>1110040</v>
      </c>
      <c r="E3658" t="s">
        <v>1505</v>
      </c>
      <c r="F3658" s="47" t="str">
        <f>+Centro_Cuenta8[[#This Row],[Codigo Centro Gestion]]&amp;" - "&amp;Centro_Cuenta8[[#This Row],[Nombre Centro Gestion]]</f>
        <v>9237 - PV CUMBRE PLACERES</v>
      </c>
      <c r="G3658" s="47" t="str">
        <f>+Centro_Cuenta8[[#This Row],[Código Cuenta Contable]]&amp;" - "&amp;Centro_Cuenta8[[#This Row],[Nombre de Cuenta Contable]]</f>
        <v>1110040 - Garantía Pagadas</v>
      </c>
      <c r="H3658" s="146" t="str">
        <f>+VLOOKUP(D3658,'3. Cuentas'!A:F,6,0)</f>
        <v>SI</v>
      </c>
    </row>
    <row r="3659" spans="1:8" x14ac:dyDescent="0.25">
      <c r="A3659" s="43">
        <v>9237</v>
      </c>
      <c r="B3659" t="s">
        <v>655</v>
      </c>
      <c r="C3659" s="43" t="s">
        <v>328</v>
      </c>
      <c r="D3659" s="43">
        <v>4205060</v>
      </c>
      <c r="E3659" t="s">
        <v>130</v>
      </c>
      <c r="F3659" s="47" t="str">
        <f>+Centro_Cuenta8[[#This Row],[Codigo Centro Gestion]]&amp;" - "&amp;Centro_Cuenta8[[#This Row],[Nombre Centro Gestion]]</f>
        <v>9237 - PV CUMBRE PLACERES</v>
      </c>
      <c r="G3659" s="47" t="str">
        <f>+Centro_Cuenta8[[#This Row],[Código Cuenta Contable]]&amp;" - "&amp;Centro_Cuenta8[[#This Row],[Nombre de Cuenta Contable]]</f>
        <v>4205060 - Gtos Grales Entrega y PV</v>
      </c>
      <c r="H3659" s="146" t="str">
        <f>+VLOOKUP(D3659,'3. Cuentas'!A:F,6,0)</f>
        <v>SI</v>
      </c>
    </row>
    <row r="3660" spans="1:8" x14ac:dyDescent="0.25">
      <c r="A3660" s="43">
        <v>9239</v>
      </c>
      <c r="B3660" t="s">
        <v>656</v>
      </c>
      <c r="C3660" s="43" t="s">
        <v>328</v>
      </c>
      <c r="D3660" s="43">
        <v>1110040</v>
      </c>
      <c r="E3660" t="s">
        <v>1505</v>
      </c>
      <c r="F3660" s="47" t="str">
        <f>+Centro_Cuenta8[[#This Row],[Codigo Centro Gestion]]&amp;" - "&amp;Centro_Cuenta8[[#This Row],[Nombre Centro Gestion]]</f>
        <v>9239 - PV Alto Mirador</v>
      </c>
      <c r="G3660" s="47" t="str">
        <f>+Centro_Cuenta8[[#This Row],[Código Cuenta Contable]]&amp;" - "&amp;Centro_Cuenta8[[#This Row],[Nombre de Cuenta Contable]]</f>
        <v>1110040 - Garantía Pagadas</v>
      </c>
      <c r="H3660" s="146" t="str">
        <f>+VLOOKUP(D3660,'3. Cuentas'!A:F,6,0)</f>
        <v>SI</v>
      </c>
    </row>
    <row r="3661" spans="1:8" x14ac:dyDescent="0.25">
      <c r="A3661" s="43">
        <v>9239</v>
      </c>
      <c r="B3661" t="s">
        <v>656</v>
      </c>
      <c r="C3661" s="43" t="s">
        <v>328</v>
      </c>
      <c r="D3661" s="43">
        <v>4205060</v>
      </c>
      <c r="E3661" t="s">
        <v>130</v>
      </c>
      <c r="F3661" s="47" t="str">
        <f>+Centro_Cuenta8[[#This Row],[Codigo Centro Gestion]]&amp;" - "&amp;Centro_Cuenta8[[#This Row],[Nombre Centro Gestion]]</f>
        <v>9239 - PV Alto Mirador</v>
      </c>
      <c r="G3661" s="47" t="str">
        <f>+Centro_Cuenta8[[#This Row],[Código Cuenta Contable]]&amp;" - "&amp;Centro_Cuenta8[[#This Row],[Nombre de Cuenta Contable]]</f>
        <v>4205060 - Gtos Grales Entrega y PV</v>
      </c>
      <c r="H3661" s="146" t="str">
        <f>+VLOOKUP(D3661,'3. Cuentas'!A:F,6,0)</f>
        <v>SI</v>
      </c>
    </row>
    <row r="3662" spans="1:8" x14ac:dyDescent="0.25">
      <c r="A3662" s="43">
        <v>9241</v>
      </c>
      <c r="B3662" t="s">
        <v>657</v>
      </c>
      <c r="C3662" s="43" t="s">
        <v>328</v>
      </c>
      <c r="D3662" s="43">
        <v>1110040</v>
      </c>
      <c r="E3662" t="s">
        <v>1505</v>
      </c>
      <c r="F3662" s="47" t="str">
        <f>+Centro_Cuenta8[[#This Row],[Codigo Centro Gestion]]&amp;" - "&amp;Centro_Cuenta8[[#This Row],[Nombre Centro Gestion]]</f>
        <v>9241 - PV Parque Marañon Torre B</v>
      </c>
      <c r="G3662" s="47" t="str">
        <f>+Centro_Cuenta8[[#This Row],[Código Cuenta Contable]]&amp;" - "&amp;Centro_Cuenta8[[#This Row],[Nombre de Cuenta Contable]]</f>
        <v>1110040 - Garantía Pagadas</v>
      </c>
      <c r="H3662" s="146" t="str">
        <f>+VLOOKUP(D3662,'3. Cuentas'!A:F,6,0)</f>
        <v>SI</v>
      </c>
    </row>
    <row r="3663" spans="1:8" x14ac:dyDescent="0.25">
      <c r="A3663" s="43">
        <v>9241</v>
      </c>
      <c r="B3663" t="s">
        <v>657</v>
      </c>
      <c r="C3663" s="43" t="s">
        <v>328</v>
      </c>
      <c r="D3663" s="43">
        <v>4205060</v>
      </c>
      <c r="E3663" t="s">
        <v>130</v>
      </c>
      <c r="F3663" s="47" t="str">
        <f>+Centro_Cuenta8[[#This Row],[Codigo Centro Gestion]]&amp;" - "&amp;Centro_Cuenta8[[#This Row],[Nombre Centro Gestion]]</f>
        <v>9241 - PV Parque Marañon Torre B</v>
      </c>
      <c r="G3663" s="47" t="str">
        <f>+Centro_Cuenta8[[#This Row],[Código Cuenta Contable]]&amp;" - "&amp;Centro_Cuenta8[[#This Row],[Nombre de Cuenta Contable]]</f>
        <v>4205060 - Gtos Grales Entrega y PV</v>
      </c>
      <c r="H3663" s="146" t="str">
        <f>+VLOOKUP(D3663,'3. Cuentas'!A:F,6,0)</f>
        <v>SI</v>
      </c>
    </row>
    <row r="3664" spans="1:8" x14ac:dyDescent="0.25">
      <c r="A3664" s="43">
        <v>9242</v>
      </c>
      <c r="B3664" t="s">
        <v>658</v>
      </c>
      <c r="C3664" s="43" t="s">
        <v>328</v>
      </c>
      <c r="D3664" s="43">
        <v>1110040</v>
      </c>
      <c r="E3664" t="s">
        <v>1505</v>
      </c>
      <c r="F3664" s="47" t="str">
        <f>+Centro_Cuenta8[[#This Row],[Codigo Centro Gestion]]&amp;" - "&amp;Centro_Cuenta8[[#This Row],[Nombre Centro Gestion]]</f>
        <v>9242 - PV Edificio Leon Prado</v>
      </c>
      <c r="G3664" s="47" t="str">
        <f>+Centro_Cuenta8[[#This Row],[Código Cuenta Contable]]&amp;" - "&amp;Centro_Cuenta8[[#This Row],[Nombre de Cuenta Contable]]</f>
        <v>1110040 - Garantía Pagadas</v>
      </c>
      <c r="H3664" s="146" t="str">
        <f>+VLOOKUP(D3664,'3. Cuentas'!A:F,6,0)</f>
        <v>SI</v>
      </c>
    </row>
    <row r="3665" spans="1:8" x14ac:dyDescent="0.25">
      <c r="A3665" s="43">
        <v>9242</v>
      </c>
      <c r="B3665" t="s">
        <v>658</v>
      </c>
      <c r="C3665" s="43" t="s">
        <v>328</v>
      </c>
      <c r="D3665" s="43">
        <v>4205060</v>
      </c>
      <c r="E3665" t="s">
        <v>130</v>
      </c>
      <c r="F3665" s="47" t="str">
        <f>+Centro_Cuenta8[[#This Row],[Codigo Centro Gestion]]&amp;" - "&amp;Centro_Cuenta8[[#This Row],[Nombre Centro Gestion]]</f>
        <v>9242 - PV Edificio Leon Prado</v>
      </c>
      <c r="G3665" s="47" t="str">
        <f>+Centro_Cuenta8[[#This Row],[Código Cuenta Contable]]&amp;" - "&amp;Centro_Cuenta8[[#This Row],[Nombre de Cuenta Contable]]</f>
        <v>4205060 - Gtos Grales Entrega y PV</v>
      </c>
      <c r="H3665" s="146" t="str">
        <f>+VLOOKUP(D3665,'3. Cuentas'!A:F,6,0)</f>
        <v>SI</v>
      </c>
    </row>
    <row r="3666" spans="1:8" x14ac:dyDescent="0.25">
      <c r="A3666" s="43">
        <v>9243</v>
      </c>
      <c r="B3666" t="s">
        <v>659</v>
      </c>
      <c r="C3666" s="43" t="s">
        <v>328</v>
      </c>
      <c r="D3666" s="43">
        <v>1110040</v>
      </c>
      <c r="E3666" t="s">
        <v>1505</v>
      </c>
      <c r="F3666" s="47" t="str">
        <f>+Centro_Cuenta8[[#This Row],[Codigo Centro Gestion]]&amp;" - "&amp;Centro_Cuenta8[[#This Row],[Nombre Centro Gestion]]</f>
        <v>9243 - PV Edificio Garcia Reyes</v>
      </c>
      <c r="G3666" s="47" t="str">
        <f>+Centro_Cuenta8[[#This Row],[Código Cuenta Contable]]&amp;" - "&amp;Centro_Cuenta8[[#This Row],[Nombre de Cuenta Contable]]</f>
        <v>1110040 - Garantía Pagadas</v>
      </c>
      <c r="H3666" s="146" t="str">
        <f>+VLOOKUP(D3666,'3. Cuentas'!A:F,6,0)</f>
        <v>SI</v>
      </c>
    </row>
    <row r="3667" spans="1:8" x14ac:dyDescent="0.25">
      <c r="A3667" s="43">
        <v>9243</v>
      </c>
      <c r="B3667" t="s">
        <v>659</v>
      </c>
      <c r="C3667" s="43" t="s">
        <v>328</v>
      </c>
      <c r="D3667" s="43">
        <v>4205060</v>
      </c>
      <c r="E3667" t="s">
        <v>130</v>
      </c>
      <c r="F3667" s="47" t="str">
        <f>+Centro_Cuenta8[[#This Row],[Codigo Centro Gestion]]&amp;" - "&amp;Centro_Cuenta8[[#This Row],[Nombre Centro Gestion]]</f>
        <v>9243 - PV Edificio Garcia Reyes</v>
      </c>
      <c r="G3667" s="47" t="str">
        <f>+Centro_Cuenta8[[#This Row],[Código Cuenta Contable]]&amp;" - "&amp;Centro_Cuenta8[[#This Row],[Nombre de Cuenta Contable]]</f>
        <v>4205060 - Gtos Grales Entrega y PV</v>
      </c>
      <c r="H3667" s="146" t="str">
        <f>+VLOOKUP(D3667,'3. Cuentas'!A:F,6,0)</f>
        <v>SI</v>
      </c>
    </row>
    <row r="3668" spans="1:8" x14ac:dyDescent="0.25">
      <c r="A3668" s="43">
        <v>9245</v>
      </c>
      <c r="B3668" t="s">
        <v>660</v>
      </c>
      <c r="C3668" s="43" t="s">
        <v>328</v>
      </c>
      <c r="D3668" s="43">
        <v>1110040</v>
      </c>
      <c r="E3668" t="s">
        <v>1505</v>
      </c>
      <c r="F3668" s="47" t="str">
        <f>+Centro_Cuenta8[[#This Row],[Codigo Centro Gestion]]&amp;" - "&amp;Centro_Cuenta8[[#This Row],[Nombre Centro Gestion]]</f>
        <v>9245 - PV Edificio La Coruña</v>
      </c>
      <c r="G3668" s="47" t="str">
        <f>+Centro_Cuenta8[[#This Row],[Código Cuenta Contable]]&amp;" - "&amp;Centro_Cuenta8[[#This Row],[Nombre de Cuenta Contable]]</f>
        <v>1110040 - Garantía Pagadas</v>
      </c>
      <c r="H3668" s="146" t="str">
        <f>+VLOOKUP(D3668,'3. Cuentas'!A:F,6,0)</f>
        <v>SI</v>
      </c>
    </row>
    <row r="3669" spans="1:8" x14ac:dyDescent="0.25">
      <c r="A3669" s="43">
        <v>9245</v>
      </c>
      <c r="B3669" t="s">
        <v>660</v>
      </c>
      <c r="C3669" s="43" t="s">
        <v>328</v>
      </c>
      <c r="D3669" s="43">
        <v>4205060</v>
      </c>
      <c r="E3669" t="s">
        <v>130</v>
      </c>
      <c r="F3669" s="47" t="str">
        <f>+Centro_Cuenta8[[#This Row],[Codigo Centro Gestion]]&amp;" - "&amp;Centro_Cuenta8[[#This Row],[Nombre Centro Gestion]]</f>
        <v>9245 - PV Edificio La Coruña</v>
      </c>
      <c r="G3669" s="47" t="str">
        <f>+Centro_Cuenta8[[#This Row],[Código Cuenta Contable]]&amp;" - "&amp;Centro_Cuenta8[[#This Row],[Nombre de Cuenta Contable]]</f>
        <v>4205060 - Gtos Grales Entrega y PV</v>
      </c>
      <c r="H3669" s="146" t="str">
        <f>+VLOOKUP(D3669,'3. Cuentas'!A:F,6,0)</f>
        <v>SI</v>
      </c>
    </row>
    <row r="3670" spans="1:8" x14ac:dyDescent="0.25">
      <c r="A3670" s="43">
        <v>9248</v>
      </c>
      <c r="B3670" t="s">
        <v>661</v>
      </c>
      <c r="C3670" s="43" t="s">
        <v>328</v>
      </c>
      <c r="D3670" s="43">
        <v>1110040</v>
      </c>
      <c r="E3670" t="s">
        <v>1505</v>
      </c>
      <c r="F3670" s="47" t="str">
        <f>+Centro_Cuenta8[[#This Row],[Codigo Centro Gestion]]&amp;" - "&amp;Centro_Cuenta8[[#This Row],[Nombre Centro Gestion]]</f>
        <v>9248 - PV Alto Marañon Torre B</v>
      </c>
      <c r="G3670" s="47" t="str">
        <f>+Centro_Cuenta8[[#This Row],[Código Cuenta Contable]]&amp;" - "&amp;Centro_Cuenta8[[#This Row],[Nombre de Cuenta Contable]]</f>
        <v>1110040 - Garantía Pagadas</v>
      </c>
      <c r="H3670" s="146" t="str">
        <f>+VLOOKUP(D3670,'3. Cuentas'!A:F,6,0)</f>
        <v>SI</v>
      </c>
    </row>
    <row r="3671" spans="1:8" x14ac:dyDescent="0.25">
      <c r="A3671" s="43">
        <v>9248</v>
      </c>
      <c r="B3671" t="s">
        <v>661</v>
      </c>
      <c r="C3671" s="43" t="s">
        <v>328</v>
      </c>
      <c r="D3671" s="43">
        <v>4205060</v>
      </c>
      <c r="E3671" t="s">
        <v>130</v>
      </c>
      <c r="F3671" s="47" t="str">
        <f>+Centro_Cuenta8[[#This Row],[Codigo Centro Gestion]]&amp;" - "&amp;Centro_Cuenta8[[#This Row],[Nombre Centro Gestion]]</f>
        <v>9248 - PV Alto Marañon Torre B</v>
      </c>
      <c r="G3671" s="47" t="str">
        <f>+Centro_Cuenta8[[#This Row],[Código Cuenta Contable]]&amp;" - "&amp;Centro_Cuenta8[[#This Row],[Nombre de Cuenta Contable]]</f>
        <v>4205060 - Gtos Grales Entrega y PV</v>
      </c>
      <c r="H3671" s="146" t="str">
        <f>+VLOOKUP(D3671,'3. Cuentas'!A:F,6,0)</f>
        <v>SI</v>
      </c>
    </row>
    <row r="3672" spans="1:8" x14ac:dyDescent="0.25">
      <c r="A3672" s="43">
        <v>9251</v>
      </c>
      <c r="B3672" t="s">
        <v>662</v>
      </c>
      <c r="C3672" s="43" t="s">
        <v>328</v>
      </c>
      <c r="D3672" s="43">
        <v>1110040</v>
      </c>
      <c r="E3672" t="s">
        <v>1505</v>
      </c>
      <c r="F3672" s="47" t="str">
        <f>+Centro_Cuenta8[[#This Row],[Codigo Centro Gestion]]&amp;" - "&amp;Centro_Cuenta8[[#This Row],[Nombre Centro Gestion]]</f>
        <v>9251 - PV Edificio Vista Horizonte</v>
      </c>
      <c r="G3672" s="47" t="str">
        <f>+Centro_Cuenta8[[#This Row],[Código Cuenta Contable]]&amp;" - "&amp;Centro_Cuenta8[[#This Row],[Nombre de Cuenta Contable]]</f>
        <v>1110040 - Garantía Pagadas</v>
      </c>
      <c r="H3672" s="146" t="str">
        <f>+VLOOKUP(D3672,'3. Cuentas'!A:F,6,0)</f>
        <v>SI</v>
      </c>
    </row>
    <row r="3673" spans="1:8" x14ac:dyDescent="0.25">
      <c r="A3673" s="43">
        <v>9251</v>
      </c>
      <c r="B3673" t="s">
        <v>662</v>
      </c>
      <c r="C3673" s="43" t="s">
        <v>328</v>
      </c>
      <c r="D3673" s="43">
        <v>4205060</v>
      </c>
      <c r="E3673" t="s">
        <v>130</v>
      </c>
      <c r="F3673" s="47" t="str">
        <f>+Centro_Cuenta8[[#This Row],[Codigo Centro Gestion]]&amp;" - "&amp;Centro_Cuenta8[[#This Row],[Nombre Centro Gestion]]</f>
        <v>9251 - PV Edificio Vista Horizonte</v>
      </c>
      <c r="G3673" s="47" t="str">
        <f>+Centro_Cuenta8[[#This Row],[Código Cuenta Contable]]&amp;" - "&amp;Centro_Cuenta8[[#This Row],[Nombre de Cuenta Contable]]</f>
        <v>4205060 - Gtos Grales Entrega y PV</v>
      </c>
      <c r="H3673" s="146" t="str">
        <f>+VLOOKUP(D3673,'3. Cuentas'!A:F,6,0)</f>
        <v>SI</v>
      </c>
    </row>
    <row r="3674" spans="1:8" x14ac:dyDescent="0.25">
      <c r="A3674" s="43">
        <v>9252</v>
      </c>
      <c r="B3674" t="s">
        <v>663</v>
      </c>
      <c r="C3674" s="43" t="s">
        <v>328</v>
      </c>
      <c r="D3674" s="43">
        <v>1110040</v>
      </c>
      <c r="E3674" t="s">
        <v>1505</v>
      </c>
      <c r="F3674" s="47" t="str">
        <f>+Centro_Cuenta8[[#This Row],[Codigo Centro Gestion]]&amp;" - "&amp;Centro_Cuenta8[[#This Row],[Nombre Centro Gestion]]</f>
        <v>9252 - PV Edificio Castillo Urizar</v>
      </c>
      <c r="G3674" s="47" t="str">
        <f>+Centro_Cuenta8[[#This Row],[Código Cuenta Contable]]&amp;" - "&amp;Centro_Cuenta8[[#This Row],[Nombre de Cuenta Contable]]</f>
        <v>1110040 - Garantía Pagadas</v>
      </c>
      <c r="H3674" s="146" t="str">
        <f>+VLOOKUP(D3674,'3. Cuentas'!A:F,6,0)</f>
        <v>SI</v>
      </c>
    </row>
    <row r="3675" spans="1:8" x14ac:dyDescent="0.25">
      <c r="A3675" s="43">
        <v>9252</v>
      </c>
      <c r="B3675" t="s">
        <v>663</v>
      </c>
      <c r="C3675" s="43" t="s">
        <v>328</v>
      </c>
      <c r="D3675" s="43">
        <v>4205060</v>
      </c>
      <c r="E3675" t="s">
        <v>130</v>
      </c>
      <c r="F3675" s="47" t="str">
        <f>+Centro_Cuenta8[[#This Row],[Codigo Centro Gestion]]&amp;" - "&amp;Centro_Cuenta8[[#This Row],[Nombre Centro Gestion]]</f>
        <v>9252 - PV Edificio Castillo Urizar</v>
      </c>
      <c r="G3675" s="47" t="str">
        <f>+Centro_Cuenta8[[#This Row],[Código Cuenta Contable]]&amp;" - "&amp;Centro_Cuenta8[[#This Row],[Nombre de Cuenta Contable]]</f>
        <v>4205060 - Gtos Grales Entrega y PV</v>
      </c>
      <c r="H3675" s="146" t="str">
        <f>+VLOOKUP(D3675,'3. Cuentas'!A:F,6,0)</f>
        <v>SI</v>
      </c>
    </row>
    <row r="3676" spans="1:8" x14ac:dyDescent="0.25">
      <c r="A3676" s="43">
        <v>9254</v>
      </c>
      <c r="B3676" t="s">
        <v>664</v>
      </c>
      <c r="C3676" s="43" t="s">
        <v>328</v>
      </c>
      <c r="D3676" s="43">
        <v>1110040</v>
      </c>
      <c r="E3676" t="s">
        <v>1505</v>
      </c>
      <c r="F3676" s="47" t="str">
        <f>+Centro_Cuenta8[[#This Row],[Codigo Centro Gestion]]&amp;" - "&amp;Centro_Cuenta8[[#This Row],[Nombre Centro Gestion]]</f>
        <v>9254 - PV Trinidad Ramirez</v>
      </c>
      <c r="G3676" s="47" t="str">
        <f>+Centro_Cuenta8[[#This Row],[Código Cuenta Contable]]&amp;" - "&amp;Centro_Cuenta8[[#This Row],[Nombre de Cuenta Contable]]</f>
        <v>1110040 - Garantía Pagadas</v>
      </c>
      <c r="H3676" s="146" t="str">
        <f>+VLOOKUP(D3676,'3. Cuentas'!A:F,6,0)</f>
        <v>SI</v>
      </c>
    </row>
    <row r="3677" spans="1:8" x14ac:dyDescent="0.25">
      <c r="A3677" s="43">
        <v>9254</v>
      </c>
      <c r="B3677" t="s">
        <v>664</v>
      </c>
      <c r="C3677" s="43" t="s">
        <v>328</v>
      </c>
      <c r="D3677" s="43">
        <v>4205060</v>
      </c>
      <c r="E3677" t="s">
        <v>130</v>
      </c>
      <c r="F3677" s="47" t="str">
        <f>+Centro_Cuenta8[[#This Row],[Codigo Centro Gestion]]&amp;" - "&amp;Centro_Cuenta8[[#This Row],[Nombre Centro Gestion]]</f>
        <v>9254 - PV Trinidad Ramirez</v>
      </c>
      <c r="G3677" s="47" t="str">
        <f>+Centro_Cuenta8[[#This Row],[Código Cuenta Contable]]&amp;" - "&amp;Centro_Cuenta8[[#This Row],[Nombre de Cuenta Contable]]</f>
        <v>4205060 - Gtos Grales Entrega y PV</v>
      </c>
      <c r="H3677" s="146" t="str">
        <f>+VLOOKUP(D3677,'3. Cuentas'!A:F,6,0)</f>
        <v>SI</v>
      </c>
    </row>
    <row r="3678" spans="1:8" x14ac:dyDescent="0.25">
      <c r="A3678" s="43">
        <v>9255</v>
      </c>
      <c r="B3678" t="s">
        <v>665</v>
      </c>
      <c r="C3678" s="43" t="s">
        <v>328</v>
      </c>
      <c r="D3678" s="43">
        <v>1110040</v>
      </c>
      <c r="E3678" t="s">
        <v>1505</v>
      </c>
      <c r="F3678" s="47" t="str">
        <f>+Centro_Cuenta8[[#This Row],[Codigo Centro Gestion]]&amp;" - "&amp;Centro_Cuenta8[[#This Row],[Nombre Centro Gestion]]</f>
        <v>9255 - PV Condominio Lago Ranco</v>
      </c>
      <c r="G3678" s="47" t="str">
        <f>+Centro_Cuenta8[[#This Row],[Código Cuenta Contable]]&amp;" - "&amp;Centro_Cuenta8[[#This Row],[Nombre de Cuenta Contable]]</f>
        <v>1110040 - Garantía Pagadas</v>
      </c>
      <c r="H3678" s="146" t="str">
        <f>+VLOOKUP(D3678,'3. Cuentas'!A:F,6,0)</f>
        <v>SI</v>
      </c>
    </row>
    <row r="3679" spans="1:8" x14ac:dyDescent="0.25">
      <c r="A3679" s="43">
        <v>9255</v>
      </c>
      <c r="B3679" t="s">
        <v>665</v>
      </c>
      <c r="C3679" s="43" t="s">
        <v>328</v>
      </c>
      <c r="D3679" s="43">
        <v>4205060</v>
      </c>
      <c r="E3679" t="s">
        <v>130</v>
      </c>
      <c r="F3679" s="47" t="str">
        <f>+Centro_Cuenta8[[#This Row],[Codigo Centro Gestion]]&amp;" - "&amp;Centro_Cuenta8[[#This Row],[Nombre Centro Gestion]]</f>
        <v>9255 - PV Condominio Lago Ranco</v>
      </c>
      <c r="G3679" s="47" t="str">
        <f>+Centro_Cuenta8[[#This Row],[Código Cuenta Contable]]&amp;" - "&amp;Centro_Cuenta8[[#This Row],[Nombre de Cuenta Contable]]</f>
        <v>4205060 - Gtos Grales Entrega y PV</v>
      </c>
      <c r="H3679" s="146" t="str">
        <f>+VLOOKUP(D3679,'3. Cuentas'!A:F,6,0)</f>
        <v>SI</v>
      </c>
    </row>
    <row r="3680" spans="1:8" x14ac:dyDescent="0.25">
      <c r="A3680" s="43">
        <v>9256</v>
      </c>
      <c r="B3680" t="s">
        <v>666</v>
      </c>
      <c r="C3680" s="43" t="s">
        <v>328</v>
      </c>
      <c r="D3680" s="43">
        <v>1110040</v>
      </c>
      <c r="E3680" t="s">
        <v>1505</v>
      </c>
      <c r="F3680" s="47" t="str">
        <f>+Centro_Cuenta8[[#This Row],[Codigo Centro Gestion]]&amp;" - "&amp;Centro_Cuenta8[[#This Row],[Nombre Centro Gestion]]</f>
        <v>9256 - PV Edificio Lynch</v>
      </c>
      <c r="G3680" s="47" t="str">
        <f>+Centro_Cuenta8[[#This Row],[Código Cuenta Contable]]&amp;" - "&amp;Centro_Cuenta8[[#This Row],[Nombre de Cuenta Contable]]</f>
        <v>1110040 - Garantía Pagadas</v>
      </c>
      <c r="H3680" s="146" t="str">
        <f>+VLOOKUP(D3680,'3. Cuentas'!A:F,6,0)</f>
        <v>SI</v>
      </c>
    </row>
    <row r="3681" spans="1:8" x14ac:dyDescent="0.25">
      <c r="A3681" s="43">
        <v>9256</v>
      </c>
      <c r="B3681" t="s">
        <v>666</v>
      </c>
      <c r="C3681" s="43" t="s">
        <v>328</v>
      </c>
      <c r="D3681" s="43">
        <v>4205060</v>
      </c>
      <c r="E3681" t="s">
        <v>130</v>
      </c>
      <c r="F3681" s="47" t="str">
        <f>+Centro_Cuenta8[[#This Row],[Codigo Centro Gestion]]&amp;" - "&amp;Centro_Cuenta8[[#This Row],[Nombre Centro Gestion]]</f>
        <v>9256 - PV Edificio Lynch</v>
      </c>
      <c r="G3681" s="47" t="str">
        <f>+Centro_Cuenta8[[#This Row],[Código Cuenta Contable]]&amp;" - "&amp;Centro_Cuenta8[[#This Row],[Nombre de Cuenta Contable]]</f>
        <v>4205060 - Gtos Grales Entrega y PV</v>
      </c>
      <c r="H3681" s="146" t="str">
        <f>+VLOOKUP(D3681,'3. Cuentas'!A:F,6,0)</f>
        <v>SI</v>
      </c>
    </row>
    <row r="3682" spans="1:8" x14ac:dyDescent="0.25">
      <c r="A3682" s="43">
        <v>9258</v>
      </c>
      <c r="B3682" t="s">
        <v>667</v>
      </c>
      <c r="C3682" s="43" t="s">
        <v>328</v>
      </c>
      <c r="D3682" s="43">
        <v>1110040</v>
      </c>
      <c r="E3682" t="s">
        <v>1505</v>
      </c>
      <c r="F3682" s="47" t="str">
        <f>+Centro_Cuenta8[[#This Row],[Codigo Centro Gestion]]&amp;" - "&amp;Centro_Cuenta8[[#This Row],[Nombre Centro Gestion]]</f>
        <v>9258 - PV Condominio Jorge Cáceres Etapa 1</v>
      </c>
      <c r="G3682" s="47" t="str">
        <f>+Centro_Cuenta8[[#This Row],[Código Cuenta Contable]]&amp;" - "&amp;Centro_Cuenta8[[#This Row],[Nombre de Cuenta Contable]]</f>
        <v>1110040 - Garantía Pagadas</v>
      </c>
      <c r="H3682" s="146" t="str">
        <f>+VLOOKUP(D3682,'3. Cuentas'!A:F,6,0)</f>
        <v>SI</v>
      </c>
    </row>
    <row r="3683" spans="1:8" x14ac:dyDescent="0.25">
      <c r="A3683" s="43">
        <v>9258</v>
      </c>
      <c r="B3683" t="s">
        <v>667</v>
      </c>
      <c r="C3683" s="43" t="s">
        <v>328</v>
      </c>
      <c r="D3683" s="43">
        <v>4205060</v>
      </c>
      <c r="E3683" t="s">
        <v>130</v>
      </c>
      <c r="F3683" s="47" t="str">
        <f>+Centro_Cuenta8[[#This Row],[Codigo Centro Gestion]]&amp;" - "&amp;Centro_Cuenta8[[#This Row],[Nombre Centro Gestion]]</f>
        <v>9258 - PV Condominio Jorge Cáceres Etapa 1</v>
      </c>
      <c r="G3683" s="47" t="str">
        <f>+Centro_Cuenta8[[#This Row],[Código Cuenta Contable]]&amp;" - "&amp;Centro_Cuenta8[[#This Row],[Nombre de Cuenta Contable]]</f>
        <v>4205060 - Gtos Grales Entrega y PV</v>
      </c>
      <c r="H3683" s="146" t="str">
        <f>+VLOOKUP(D3683,'3. Cuentas'!A:F,6,0)</f>
        <v>SI</v>
      </c>
    </row>
    <row r="3684" spans="1:8" x14ac:dyDescent="0.25">
      <c r="A3684" s="43">
        <v>9259</v>
      </c>
      <c r="B3684" t="s">
        <v>668</v>
      </c>
      <c r="C3684" s="43" t="s">
        <v>328</v>
      </c>
      <c r="D3684" s="43">
        <v>1110040</v>
      </c>
      <c r="E3684" t="s">
        <v>1505</v>
      </c>
      <c r="F3684" s="47" t="str">
        <f>+Centro_Cuenta8[[#This Row],[Codigo Centro Gestion]]&amp;" - "&amp;Centro_Cuenta8[[#This Row],[Nombre Centro Gestion]]</f>
        <v>9259 - PV Edificio Parque Urbano</v>
      </c>
      <c r="G3684" s="47" t="str">
        <f>+Centro_Cuenta8[[#This Row],[Código Cuenta Contable]]&amp;" - "&amp;Centro_Cuenta8[[#This Row],[Nombre de Cuenta Contable]]</f>
        <v>1110040 - Garantía Pagadas</v>
      </c>
      <c r="H3684" s="146" t="str">
        <f>+VLOOKUP(D3684,'3. Cuentas'!A:F,6,0)</f>
        <v>SI</v>
      </c>
    </row>
    <row r="3685" spans="1:8" x14ac:dyDescent="0.25">
      <c r="A3685" s="43">
        <v>9259</v>
      </c>
      <c r="B3685" t="s">
        <v>668</v>
      </c>
      <c r="C3685" s="43" t="s">
        <v>328</v>
      </c>
      <c r="D3685" s="43">
        <v>4205060</v>
      </c>
      <c r="E3685" t="s">
        <v>130</v>
      </c>
      <c r="F3685" s="47" t="str">
        <f>+Centro_Cuenta8[[#This Row],[Codigo Centro Gestion]]&amp;" - "&amp;Centro_Cuenta8[[#This Row],[Nombre Centro Gestion]]</f>
        <v>9259 - PV Edificio Parque Urbano</v>
      </c>
      <c r="G3685" s="47" t="str">
        <f>+Centro_Cuenta8[[#This Row],[Código Cuenta Contable]]&amp;" - "&amp;Centro_Cuenta8[[#This Row],[Nombre de Cuenta Contable]]</f>
        <v>4205060 - Gtos Grales Entrega y PV</v>
      </c>
      <c r="H3685" s="146" t="str">
        <f>+VLOOKUP(D3685,'3. Cuentas'!A:F,6,0)</f>
        <v>SI</v>
      </c>
    </row>
    <row r="3686" spans="1:8" x14ac:dyDescent="0.25">
      <c r="A3686" s="43">
        <v>9260</v>
      </c>
      <c r="B3686" t="s">
        <v>669</v>
      </c>
      <c r="C3686" s="43" t="s">
        <v>328</v>
      </c>
      <c r="D3686" s="43">
        <v>1110040</v>
      </c>
      <c r="E3686" t="s">
        <v>1505</v>
      </c>
      <c r="F3686" s="47" t="str">
        <f>+Centro_Cuenta8[[#This Row],[Codigo Centro Gestion]]&amp;" - "&amp;Centro_Cuenta8[[#This Row],[Nombre Centro Gestion]]</f>
        <v>9260 - PV Edificio Lia Aguirre</v>
      </c>
      <c r="G3686" s="47" t="str">
        <f>+Centro_Cuenta8[[#This Row],[Código Cuenta Contable]]&amp;" - "&amp;Centro_Cuenta8[[#This Row],[Nombre de Cuenta Contable]]</f>
        <v>1110040 - Garantía Pagadas</v>
      </c>
      <c r="H3686" s="146" t="str">
        <f>+VLOOKUP(D3686,'3. Cuentas'!A:F,6,0)</f>
        <v>SI</v>
      </c>
    </row>
    <row r="3687" spans="1:8" x14ac:dyDescent="0.25">
      <c r="A3687" s="43">
        <v>9260</v>
      </c>
      <c r="B3687" t="s">
        <v>669</v>
      </c>
      <c r="C3687" s="43" t="s">
        <v>328</v>
      </c>
      <c r="D3687" s="43">
        <v>4205060</v>
      </c>
      <c r="E3687" t="s">
        <v>130</v>
      </c>
      <c r="F3687" s="47" t="str">
        <f>+Centro_Cuenta8[[#This Row],[Codigo Centro Gestion]]&amp;" - "&amp;Centro_Cuenta8[[#This Row],[Nombre Centro Gestion]]</f>
        <v>9260 - PV Edificio Lia Aguirre</v>
      </c>
      <c r="G3687" s="47" t="str">
        <f>+Centro_Cuenta8[[#This Row],[Código Cuenta Contable]]&amp;" - "&amp;Centro_Cuenta8[[#This Row],[Nombre de Cuenta Contable]]</f>
        <v>4205060 - Gtos Grales Entrega y PV</v>
      </c>
      <c r="H3687" s="146" t="str">
        <f>+VLOOKUP(D3687,'3. Cuentas'!A:F,6,0)</f>
        <v>SI</v>
      </c>
    </row>
    <row r="3688" spans="1:8" x14ac:dyDescent="0.25">
      <c r="A3688" s="43">
        <v>9262</v>
      </c>
      <c r="B3688" t="s">
        <v>670</v>
      </c>
      <c r="C3688" s="43" t="s">
        <v>328</v>
      </c>
      <c r="D3688" s="43">
        <v>1110040</v>
      </c>
      <c r="E3688" t="s">
        <v>1505</v>
      </c>
      <c r="F3688" s="47" t="str">
        <f>+Centro_Cuenta8[[#This Row],[Codigo Centro Gestion]]&amp;" - "&amp;Centro_Cuenta8[[#This Row],[Nombre Centro Gestion]]</f>
        <v>9262 - PV Alto Marañon 3</v>
      </c>
      <c r="G3688" s="47" t="str">
        <f>+Centro_Cuenta8[[#This Row],[Código Cuenta Contable]]&amp;" - "&amp;Centro_Cuenta8[[#This Row],[Nombre de Cuenta Contable]]</f>
        <v>1110040 - Garantía Pagadas</v>
      </c>
      <c r="H3688" s="146" t="str">
        <f>+VLOOKUP(D3688,'3. Cuentas'!A:F,6,0)</f>
        <v>SI</v>
      </c>
    </row>
    <row r="3689" spans="1:8" x14ac:dyDescent="0.25">
      <c r="A3689" s="43">
        <v>9262</v>
      </c>
      <c r="B3689" t="s">
        <v>670</v>
      </c>
      <c r="C3689" s="43" t="s">
        <v>328</v>
      </c>
      <c r="D3689" s="43">
        <v>4205060</v>
      </c>
      <c r="E3689" t="s">
        <v>130</v>
      </c>
      <c r="F3689" s="47" t="str">
        <f>+Centro_Cuenta8[[#This Row],[Codigo Centro Gestion]]&amp;" - "&amp;Centro_Cuenta8[[#This Row],[Nombre Centro Gestion]]</f>
        <v>9262 - PV Alto Marañon 3</v>
      </c>
      <c r="G3689" s="47" t="str">
        <f>+Centro_Cuenta8[[#This Row],[Código Cuenta Contable]]&amp;" - "&amp;Centro_Cuenta8[[#This Row],[Nombre de Cuenta Contable]]</f>
        <v>4205060 - Gtos Grales Entrega y PV</v>
      </c>
      <c r="H3689" s="146" t="str">
        <f>+VLOOKUP(D3689,'3. Cuentas'!A:F,6,0)</f>
        <v>SI</v>
      </c>
    </row>
    <row r="3690" spans="1:8" x14ac:dyDescent="0.25">
      <c r="A3690" s="43">
        <v>9264</v>
      </c>
      <c r="B3690" t="s">
        <v>671</v>
      </c>
      <c r="C3690" s="43" t="s">
        <v>328</v>
      </c>
      <c r="D3690" s="43">
        <v>1110040</v>
      </c>
      <c r="E3690" t="s">
        <v>1505</v>
      </c>
      <c r="F3690" s="47" t="str">
        <f>+Centro_Cuenta8[[#This Row],[Codigo Centro Gestion]]&amp;" - "&amp;Centro_Cuenta8[[#This Row],[Nombre Centro Gestion]]</f>
        <v>9264 - PV Edificio Libertad</v>
      </c>
      <c r="G3690" s="47" t="str">
        <f>+Centro_Cuenta8[[#This Row],[Código Cuenta Contable]]&amp;" - "&amp;Centro_Cuenta8[[#This Row],[Nombre de Cuenta Contable]]</f>
        <v>1110040 - Garantía Pagadas</v>
      </c>
      <c r="H3690" s="146" t="str">
        <f>+VLOOKUP(D3690,'3. Cuentas'!A:F,6,0)</f>
        <v>SI</v>
      </c>
    </row>
    <row r="3691" spans="1:8" x14ac:dyDescent="0.25">
      <c r="A3691" s="43">
        <v>9264</v>
      </c>
      <c r="B3691" t="s">
        <v>671</v>
      </c>
      <c r="C3691" s="43" t="s">
        <v>328</v>
      </c>
      <c r="D3691" s="43">
        <v>4205060</v>
      </c>
      <c r="E3691" t="s">
        <v>130</v>
      </c>
      <c r="F3691" s="47" t="str">
        <f>+Centro_Cuenta8[[#This Row],[Codigo Centro Gestion]]&amp;" - "&amp;Centro_Cuenta8[[#This Row],[Nombre Centro Gestion]]</f>
        <v>9264 - PV Edificio Libertad</v>
      </c>
      <c r="G3691" s="47" t="str">
        <f>+Centro_Cuenta8[[#This Row],[Código Cuenta Contable]]&amp;" - "&amp;Centro_Cuenta8[[#This Row],[Nombre de Cuenta Contable]]</f>
        <v>4205060 - Gtos Grales Entrega y PV</v>
      </c>
      <c r="H3691" s="146" t="str">
        <f>+VLOOKUP(D3691,'3. Cuentas'!A:F,6,0)</f>
        <v>SI</v>
      </c>
    </row>
    <row r="3692" spans="1:8" x14ac:dyDescent="0.25">
      <c r="A3692" s="43">
        <v>9294</v>
      </c>
      <c r="B3692" t="s">
        <v>672</v>
      </c>
      <c r="C3692" s="43" t="s">
        <v>328</v>
      </c>
      <c r="D3692" s="43">
        <v>1110040</v>
      </c>
      <c r="E3692" t="s">
        <v>1505</v>
      </c>
      <c r="F3692" s="47" t="str">
        <f>+Centro_Cuenta8[[#This Row],[Codigo Centro Gestion]]&amp;" - "&amp;Centro_Cuenta8[[#This Row],[Nombre Centro Gestion]]</f>
        <v>9294 - PV JARDINES DEL POLO 2</v>
      </c>
      <c r="G3692" s="47" t="str">
        <f>+Centro_Cuenta8[[#This Row],[Código Cuenta Contable]]&amp;" - "&amp;Centro_Cuenta8[[#This Row],[Nombre de Cuenta Contable]]</f>
        <v>1110040 - Garantía Pagadas</v>
      </c>
      <c r="H3692" s="146" t="str">
        <f>+VLOOKUP(D3692,'3. Cuentas'!A:F,6,0)</f>
        <v>SI</v>
      </c>
    </row>
    <row r="3693" spans="1:8" x14ac:dyDescent="0.25">
      <c r="A3693" s="43">
        <v>9294</v>
      </c>
      <c r="B3693" t="s">
        <v>672</v>
      </c>
      <c r="C3693" s="43" t="s">
        <v>328</v>
      </c>
      <c r="D3693" s="43">
        <v>4205060</v>
      </c>
      <c r="E3693" t="s">
        <v>130</v>
      </c>
      <c r="F3693" s="47" t="str">
        <f>+Centro_Cuenta8[[#This Row],[Codigo Centro Gestion]]&amp;" - "&amp;Centro_Cuenta8[[#This Row],[Nombre Centro Gestion]]</f>
        <v>9294 - PV JARDINES DEL POLO 2</v>
      </c>
      <c r="G3693" s="47" t="str">
        <f>+Centro_Cuenta8[[#This Row],[Código Cuenta Contable]]&amp;" - "&amp;Centro_Cuenta8[[#This Row],[Nombre de Cuenta Contable]]</f>
        <v>4205060 - Gtos Grales Entrega y PV</v>
      </c>
      <c r="H3693" s="146" t="str">
        <f>+VLOOKUP(D3693,'3. Cuentas'!A:F,6,0)</f>
        <v>SI</v>
      </c>
    </row>
    <row r="3694" spans="1:8" x14ac:dyDescent="0.25">
      <c r="A3694" s="43">
        <v>9301</v>
      </c>
      <c r="B3694" t="s">
        <v>673</v>
      </c>
      <c r="C3694" s="43" t="s">
        <v>328</v>
      </c>
      <c r="D3694" s="43">
        <v>1110040</v>
      </c>
      <c r="E3694" t="s">
        <v>1505</v>
      </c>
      <c r="F3694" s="47" t="str">
        <f>+Centro_Cuenta8[[#This Row],[Codigo Centro Gestion]]&amp;" - "&amp;Centro_Cuenta8[[#This Row],[Nombre Centro Gestion]]</f>
        <v>9301 - PV Condominio Jorge Cáceres Etapa 2</v>
      </c>
      <c r="G3694" s="47" t="str">
        <f>+Centro_Cuenta8[[#This Row],[Código Cuenta Contable]]&amp;" - "&amp;Centro_Cuenta8[[#This Row],[Nombre de Cuenta Contable]]</f>
        <v>1110040 - Garantía Pagadas</v>
      </c>
      <c r="H3694" s="146" t="str">
        <f>+VLOOKUP(D3694,'3. Cuentas'!A:F,6,0)</f>
        <v>SI</v>
      </c>
    </row>
    <row r="3695" spans="1:8" x14ac:dyDescent="0.25">
      <c r="A3695" s="43">
        <v>9301</v>
      </c>
      <c r="B3695" t="s">
        <v>673</v>
      </c>
      <c r="C3695" s="43" t="s">
        <v>328</v>
      </c>
      <c r="D3695" s="43">
        <v>4205060</v>
      </c>
      <c r="E3695" t="s">
        <v>130</v>
      </c>
      <c r="F3695" s="47" t="str">
        <f>+Centro_Cuenta8[[#This Row],[Codigo Centro Gestion]]&amp;" - "&amp;Centro_Cuenta8[[#This Row],[Nombre Centro Gestion]]</f>
        <v>9301 - PV Condominio Jorge Cáceres Etapa 2</v>
      </c>
      <c r="G3695" s="47" t="str">
        <f>+Centro_Cuenta8[[#This Row],[Código Cuenta Contable]]&amp;" - "&amp;Centro_Cuenta8[[#This Row],[Nombre de Cuenta Contable]]</f>
        <v>4205060 - Gtos Grales Entrega y PV</v>
      </c>
      <c r="H3695" s="146" t="str">
        <f>+VLOOKUP(D3695,'3. Cuentas'!A:F,6,0)</f>
        <v>SI</v>
      </c>
    </row>
    <row r="3696" spans="1:8" x14ac:dyDescent="0.25">
      <c r="A3696" s="43">
        <v>9303</v>
      </c>
      <c r="B3696" t="s">
        <v>674</v>
      </c>
      <c r="C3696" s="43" t="s">
        <v>328</v>
      </c>
      <c r="D3696" s="43">
        <v>1110040</v>
      </c>
      <c r="E3696" t="s">
        <v>1505</v>
      </c>
      <c r="F3696" s="47" t="str">
        <f>+Centro_Cuenta8[[#This Row],[Codigo Centro Gestion]]&amp;" - "&amp;Centro_Cuenta8[[#This Row],[Nombre Centro Gestion]]</f>
        <v>9303 - PV Condominio Palmas del Sur II</v>
      </c>
      <c r="G3696" s="47" t="str">
        <f>+Centro_Cuenta8[[#This Row],[Código Cuenta Contable]]&amp;" - "&amp;Centro_Cuenta8[[#This Row],[Nombre de Cuenta Contable]]</f>
        <v>1110040 - Garantía Pagadas</v>
      </c>
      <c r="H3696" s="146" t="str">
        <f>+VLOOKUP(D3696,'3. Cuentas'!A:F,6,0)</f>
        <v>SI</v>
      </c>
    </row>
    <row r="3697" spans="1:8" x14ac:dyDescent="0.25">
      <c r="A3697" s="43">
        <v>9303</v>
      </c>
      <c r="B3697" t="s">
        <v>674</v>
      </c>
      <c r="C3697" s="43" t="s">
        <v>328</v>
      </c>
      <c r="D3697" s="43">
        <v>4205060</v>
      </c>
      <c r="E3697" t="s">
        <v>130</v>
      </c>
      <c r="F3697" s="47" t="str">
        <f>+Centro_Cuenta8[[#This Row],[Codigo Centro Gestion]]&amp;" - "&amp;Centro_Cuenta8[[#This Row],[Nombre Centro Gestion]]</f>
        <v>9303 - PV Condominio Palmas del Sur II</v>
      </c>
      <c r="G3697" s="47" t="str">
        <f>+Centro_Cuenta8[[#This Row],[Código Cuenta Contable]]&amp;" - "&amp;Centro_Cuenta8[[#This Row],[Nombre de Cuenta Contable]]</f>
        <v>4205060 - Gtos Grales Entrega y PV</v>
      </c>
      <c r="H3697" s="146" t="str">
        <f>+VLOOKUP(D3697,'3. Cuentas'!A:F,6,0)</f>
        <v>SI</v>
      </c>
    </row>
    <row r="3698" spans="1:8" x14ac:dyDescent="0.25">
      <c r="A3698" s="43">
        <v>9304</v>
      </c>
      <c r="B3698" t="s">
        <v>675</v>
      </c>
      <c r="C3698" s="43" t="s">
        <v>328</v>
      </c>
      <c r="D3698" s="43">
        <v>1110040</v>
      </c>
      <c r="E3698" t="s">
        <v>1505</v>
      </c>
      <c r="F3698" s="47" t="str">
        <f>+Centro_Cuenta8[[#This Row],[Codigo Centro Gestion]]&amp;" - "&amp;Centro_Cuenta8[[#This Row],[Nombre Centro Gestion]]</f>
        <v>9304 - PV Blanca Estela I Torre A y B</v>
      </c>
      <c r="G3698" s="47" t="str">
        <f>+Centro_Cuenta8[[#This Row],[Código Cuenta Contable]]&amp;" - "&amp;Centro_Cuenta8[[#This Row],[Nombre de Cuenta Contable]]</f>
        <v>1110040 - Garantía Pagadas</v>
      </c>
      <c r="H3698" s="146" t="str">
        <f>+VLOOKUP(D3698,'3. Cuentas'!A:F,6,0)</f>
        <v>SI</v>
      </c>
    </row>
    <row r="3699" spans="1:8" x14ac:dyDescent="0.25">
      <c r="A3699" s="43">
        <v>9304</v>
      </c>
      <c r="B3699" t="s">
        <v>675</v>
      </c>
      <c r="C3699" s="43" t="s">
        <v>328</v>
      </c>
      <c r="D3699" s="43">
        <v>4205060</v>
      </c>
      <c r="E3699" t="s">
        <v>130</v>
      </c>
      <c r="F3699" s="47" t="str">
        <f>+Centro_Cuenta8[[#This Row],[Codigo Centro Gestion]]&amp;" - "&amp;Centro_Cuenta8[[#This Row],[Nombre Centro Gestion]]</f>
        <v>9304 - PV Blanca Estela I Torre A y B</v>
      </c>
      <c r="G3699" s="47" t="str">
        <f>+Centro_Cuenta8[[#This Row],[Código Cuenta Contable]]&amp;" - "&amp;Centro_Cuenta8[[#This Row],[Nombre de Cuenta Contable]]</f>
        <v>4205060 - Gtos Grales Entrega y PV</v>
      </c>
      <c r="H3699" s="146" t="str">
        <f>+VLOOKUP(D3699,'3. Cuentas'!A:F,6,0)</f>
        <v>SI</v>
      </c>
    </row>
    <row r="3700" spans="1:8" x14ac:dyDescent="0.25">
      <c r="A3700" s="43">
        <v>9305</v>
      </c>
      <c r="B3700" t="s">
        <v>700</v>
      </c>
      <c r="C3700" s="43" t="s">
        <v>328</v>
      </c>
      <c r="D3700" s="43">
        <v>1110040</v>
      </c>
      <c r="E3700" t="s">
        <v>1505</v>
      </c>
      <c r="F3700" s="47" t="str">
        <f>+Centro_Cuenta8[[#This Row],[Codigo Centro Gestion]]&amp;" - "&amp;Centro_Cuenta8[[#This Row],[Nombre Centro Gestion]]</f>
        <v>9305 - PV Condominio Parque del Sur Torre A</v>
      </c>
      <c r="G3700" s="47" t="str">
        <f>+Centro_Cuenta8[[#This Row],[Código Cuenta Contable]]&amp;" - "&amp;Centro_Cuenta8[[#This Row],[Nombre de Cuenta Contable]]</f>
        <v>1110040 - Garantía Pagadas</v>
      </c>
      <c r="H3700" s="146" t="str">
        <f>+VLOOKUP(D3700,'3. Cuentas'!A:F,6,0)</f>
        <v>SI</v>
      </c>
    </row>
    <row r="3701" spans="1:8" x14ac:dyDescent="0.25">
      <c r="A3701" s="43">
        <v>9305</v>
      </c>
      <c r="B3701" t="s">
        <v>700</v>
      </c>
      <c r="C3701" s="43" t="s">
        <v>328</v>
      </c>
      <c r="D3701" s="43">
        <v>4205060</v>
      </c>
      <c r="E3701" t="s">
        <v>130</v>
      </c>
      <c r="F3701" s="47" t="str">
        <f>+Centro_Cuenta8[[#This Row],[Codigo Centro Gestion]]&amp;" - "&amp;Centro_Cuenta8[[#This Row],[Nombre Centro Gestion]]</f>
        <v>9305 - PV Condominio Parque del Sur Torre A</v>
      </c>
      <c r="G3701" s="47" t="str">
        <f>+Centro_Cuenta8[[#This Row],[Código Cuenta Contable]]&amp;" - "&amp;Centro_Cuenta8[[#This Row],[Nombre de Cuenta Contable]]</f>
        <v>4205060 - Gtos Grales Entrega y PV</v>
      </c>
      <c r="H3701" s="146" t="str">
        <f>+VLOOKUP(D3701,'3. Cuentas'!A:F,6,0)</f>
        <v>SI</v>
      </c>
    </row>
    <row r="3702" spans="1:8" x14ac:dyDescent="0.25">
      <c r="A3702" s="43">
        <v>9306</v>
      </c>
      <c r="B3702" t="s">
        <v>676</v>
      </c>
      <c r="C3702" s="43" t="s">
        <v>328</v>
      </c>
      <c r="D3702" s="43">
        <v>1110040</v>
      </c>
      <c r="E3702" t="s">
        <v>1505</v>
      </c>
      <c r="F3702" s="47" t="str">
        <f>+Centro_Cuenta8[[#This Row],[Codigo Centro Gestion]]&amp;" - "&amp;Centro_Cuenta8[[#This Row],[Nombre Centro Gestion]]</f>
        <v>9306 - PV Edificio Latorre</v>
      </c>
      <c r="G3702" s="47" t="str">
        <f>+Centro_Cuenta8[[#This Row],[Código Cuenta Contable]]&amp;" - "&amp;Centro_Cuenta8[[#This Row],[Nombre de Cuenta Contable]]</f>
        <v>1110040 - Garantía Pagadas</v>
      </c>
      <c r="H3702" s="146" t="str">
        <f>+VLOOKUP(D3702,'3. Cuentas'!A:F,6,0)</f>
        <v>SI</v>
      </c>
    </row>
    <row r="3703" spans="1:8" x14ac:dyDescent="0.25">
      <c r="A3703" s="43">
        <v>9306</v>
      </c>
      <c r="B3703" t="s">
        <v>676</v>
      </c>
      <c r="C3703" s="43" t="s">
        <v>328</v>
      </c>
      <c r="D3703" s="43">
        <v>4205060</v>
      </c>
      <c r="E3703" t="s">
        <v>130</v>
      </c>
      <c r="F3703" s="47" t="str">
        <f>+Centro_Cuenta8[[#This Row],[Codigo Centro Gestion]]&amp;" - "&amp;Centro_Cuenta8[[#This Row],[Nombre Centro Gestion]]</f>
        <v>9306 - PV Edificio Latorre</v>
      </c>
      <c r="G3703" s="47" t="str">
        <f>+Centro_Cuenta8[[#This Row],[Código Cuenta Contable]]&amp;" - "&amp;Centro_Cuenta8[[#This Row],[Nombre de Cuenta Contable]]</f>
        <v>4205060 - Gtos Grales Entrega y PV</v>
      </c>
      <c r="H3703" s="146" t="str">
        <f>+VLOOKUP(D3703,'3. Cuentas'!A:F,6,0)</f>
        <v>SI</v>
      </c>
    </row>
    <row r="3704" spans="1:8" x14ac:dyDescent="0.25">
      <c r="A3704" s="43">
        <v>9359</v>
      </c>
      <c r="B3704" t="s">
        <v>677</v>
      </c>
      <c r="C3704" s="43" t="s">
        <v>328</v>
      </c>
      <c r="D3704" s="43">
        <v>1110040</v>
      </c>
      <c r="E3704" t="s">
        <v>1505</v>
      </c>
      <c r="F3704" s="47" t="str">
        <f>+Centro_Cuenta8[[#This Row],[Codigo Centro Gestion]]&amp;" - "&amp;Centro_Cuenta8[[#This Row],[Nombre Centro Gestion]]</f>
        <v>9359 - PV Edificio Liparita</v>
      </c>
      <c r="G3704" s="47" t="str">
        <f>+Centro_Cuenta8[[#This Row],[Código Cuenta Contable]]&amp;" - "&amp;Centro_Cuenta8[[#This Row],[Nombre de Cuenta Contable]]</f>
        <v>1110040 - Garantía Pagadas</v>
      </c>
      <c r="H3704" s="146" t="str">
        <f>+VLOOKUP(D3704,'3. Cuentas'!A:F,6,0)</f>
        <v>SI</v>
      </c>
    </row>
    <row r="3705" spans="1:8" x14ac:dyDescent="0.25">
      <c r="A3705" s="43">
        <v>9359</v>
      </c>
      <c r="B3705" t="s">
        <v>677</v>
      </c>
      <c r="C3705" s="43" t="s">
        <v>328</v>
      </c>
      <c r="D3705" s="43">
        <v>4205060</v>
      </c>
      <c r="E3705" t="s">
        <v>130</v>
      </c>
      <c r="F3705" s="47" t="str">
        <f>+Centro_Cuenta8[[#This Row],[Codigo Centro Gestion]]&amp;" - "&amp;Centro_Cuenta8[[#This Row],[Nombre Centro Gestion]]</f>
        <v>9359 - PV Edificio Liparita</v>
      </c>
      <c r="G3705" s="47" t="str">
        <f>+Centro_Cuenta8[[#This Row],[Código Cuenta Contable]]&amp;" - "&amp;Centro_Cuenta8[[#This Row],[Nombre de Cuenta Contable]]</f>
        <v>4205060 - Gtos Grales Entrega y PV</v>
      </c>
      <c r="H3705" s="146" t="str">
        <f>+VLOOKUP(D3705,'3. Cuentas'!A:F,6,0)</f>
        <v>SI</v>
      </c>
    </row>
    <row r="3706" spans="1:8" x14ac:dyDescent="0.25">
      <c r="A3706" s="43">
        <v>9900</v>
      </c>
      <c r="B3706" t="s">
        <v>678</v>
      </c>
      <c r="C3706" s="43" t="s">
        <v>328</v>
      </c>
      <c r="D3706" s="43">
        <v>1110040</v>
      </c>
      <c r="E3706" t="s">
        <v>1505</v>
      </c>
      <c r="F3706" s="47" t="str">
        <f>+Centro_Cuenta8[[#This Row],[Codigo Centro Gestion]]&amp;" - "&amp;Centro_Cuenta8[[#This Row],[Nombre Centro Gestion]]</f>
        <v>9900 - PV Remodelación don RVC</v>
      </c>
      <c r="G3706" s="47" t="str">
        <f>+Centro_Cuenta8[[#This Row],[Código Cuenta Contable]]&amp;" - "&amp;Centro_Cuenta8[[#This Row],[Nombre de Cuenta Contable]]</f>
        <v>1110040 - Garantía Pagadas</v>
      </c>
      <c r="H3706" s="146" t="str">
        <f>+VLOOKUP(D3706,'3. Cuentas'!A:F,6,0)</f>
        <v>SI</v>
      </c>
    </row>
    <row r="3707" spans="1:8" x14ac:dyDescent="0.25">
      <c r="A3707" s="43">
        <v>9900</v>
      </c>
      <c r="B3707" t="s">
        <v>678</v>
      </c>
      <c r="C3707" s="43" t="s">
        <v>328</v>
      </c>
      <c r="D3707" s="43">
        <v>4205060</v>
      </c>
      <c r="E3707" t="s">
        <v>130</v>
      </c>
      <c r="F3707" s="47" t="str">
        <f>+Centro_Cuenta8[[#This Row],[Codigo Centro Gestion]]&amp;" - "&amp;Centro_Cuenta8[[#This Row],[Nombre Centro Gestion]]</f>
        <v>9900 - PV Remodelación don RVC</v>
      </c>
      <c r="G3707" s="47" t="str">
        <f>+Centro_Cuenta8[[#This Row],[Código Cuenta Contable]]&amp;" - "&amp;Centro_Cuenta8[[#This Row],[Nombre de Cuenta Contable]]</f>
        <v>4205060 - Gtos Grales Entrega y PV</v>
      </c>
      <c r="H3707" s="146" t="str">
        <f>+VLOOKUP(D3707,'3. Cuentas'!A:F,6,0)</f>
        <v>SI</v>
      </c>
    </row>
    <row r="3708" spans="1:8" x14ac:dyDescent="0.25">
      <c r="A3708" s="43">
        <v>9901</v>
      </c>
      <c r="B3708" t="s">
        <v>679</v>
      </c>
      <c r="C3708" s="43" t="s">
        <v>328</v>
      </c>
      <c r="D3708" s="43">
        <v>1110040</v>
      </c>
      <c r="E3708" t="s">
        <v>1505</v>
      </c>
      <c r="F3708" s="47" t="str">
        <f>+Centro_Cuenta8[[#This Row],[Codigo Centro Gestion]]&amp;" - "&amp;Centro_Cuenta8[[#This Row],[Nombre Centro Gestion]]</f>
        <v>9901 - PV Vistamar I</v>
      </c>
      <c r="G3708" s="47" t="str">
        <f>+Centro_Cuenta8[[#This Row],[Código Cuenta Contable]]&amp;" - "&amp;Centro_Cuenta8[[#This Row],[Nombre de Cuenta Contable]]</f>
        <v>1110040 - Garantía Pagadas</v>
      </c>
      <c r="H3708" s="146" t="str">
        <f>+VLOOKUP(D3708,'3. Cuentas'!A:F,6,0)</f>
        <v>SI</v>
      </c>
    </row>
    <row r="3709" spans="1:8" x14ac:dyDescent="0.25">
      <c r="A3709" s="43">
        <v>9901</v>
      </c>
      <c r="B3709" t="s">
        <v>679</v>
      </c>
      <c r="C3709" s="43" t="s">
        <v>328</v>
      </c>
      <c r="D3709" s="43">
        <v>4205060</v>
      </c>
      <c r="E3709" t="s">
        <v>130</v>
      </c>
      <c r="F3709" s="47" t="str">
        <f>+Centro_Cuenta8[[#This Row],[Codigo Centro Gestion]]&amp;" - "&amp;Centro_Cuenta8[[#This Row],[Nombre Centro Gestion]]</f>
        <v>9901 - PV Vistamar I</v>
      </c>
      <c r="G3709" s="47" t="str">
        <f>+Centro_Cuenta8[[#This Row],[Código Cuenta Contable]]&amp;" - "&amp;Centro_Cuenta8[[#This Row],[Nombre de Cuenta Contable]]</f>
        <v>4205060 - Gtos Grales Entrega y PV</v>
      </c>
      <c r="H3709" s="146" t="str">
        <f>+VLOOKUP(D3709,'3. Cuentas'!A:F,6,0)</f>
        <v>SI</v>
      </c>
    </row>
    <row r="3710" spans="1:8" x14ac:dyDescent="0.25">
      <c r="A3710" s="43">
        <v>9903</v>
      </c>
      <c r="B3710" t="s">
        <v>680</v>
      </c>
      <c r="C3710" s="43" t="s">
        <v>328</v>
      </c>
      <c r="D3710" s="43">
        <v>1110040</v>
      </c>
      <c r="E3710" t="s">
        <v>1505</v>
      </c>
      <c r="F3710" s="47" t="str">
        <f>+Centro_Cuenta8[[#This Row],[Codigo Centro Gestion]]&amp;" - "&amp;Centro_Cuenta8[[#This Row],[Nombre Centro Gestion]]</f>
        <v>9903 - PV Rey del Mar</v>
      </c>
      <c r="G3710" s="47" t="str">
        <f>+Centro_Cuenta8[[#This Row],[Código Cuenta Contable]]&amp;" - "&amp;Centro_Cuenta8[[#This Row],[Nombre de Cuenta Contable]]</f>
        <v>1110040 - Garantía Pagadas</v>
      </c>
      <c r="H3710" s="146" t="str">
        <f>+VLOOKUP(D3710,'3. Cuentas'!A:F,6,0)</f>
        <v>SI</v>
      </c>
    </row>
    <row r="3711" spans="1:8" x14ac:dyDescent="0.25">
      <c r="A3711" s="43">
        <v>9903</v>
      </c>
      <c r="B3711" t="s">
        <v>680</v>
      </c>
      <c r="C3711" s="43" t="s">
        <v>328</v>
      </c>
      <c r="D3711" s="43">
        <v>4205060</v>
      </c>
      <c r="E3711" t="s">
        <v>130</v>
      </c>
      <c r="F3711" s="47" t="str">
        <f>+Centro_Cuenta8[[#This Row],[Codigo Centro Gestion]]&amp;" - "&amp;Centro_Cuenta8[[#This Row],[Nombre Centro Gestion]]</f>
        <v>9903 - PV Rey del Mar</v>
      </c>
      <c r="G3711" s="47" t="str">
        <f>+Centro_Cuenta8[[#This Row],[Código Cuenta Contable]]&amp;" - "&amp;Centro_Cuenta8[[#This Row],[Nombre de Cuenta Contable]]</f>
        <v>4205060 - Gtos Grales Entrega y PV</v>
      </c>
      <c r="H3711" s="146" t="str">
        <f>+VLOOKUP(D3711,'3. Cuentas'!A:F,6,0)</f>
        <v>SI</v>
      </c>
    </row>
    <row r="3712" spans="1:8" x14ac:dyDescent="0.25">
      <c r="A3712" s="43">
        <v>9904</v>
      </c>
      <c r="B3712" t="s">
        <v>681</v>
      </c>
      <c r="C3712" s="43" t="s">
        <v>328</v>
      </c>
      <c r="D3712" s="43">
        <v>1110040</v>
      </c>
      <c r="E3712" t="s">
        <v>1505</v>
      </c>
      <c r="F3712" s="47" t="str">
        <f>+Centro_Cuenta8[[#This Row],[Codigo Centro Gestion]]&amp;" - "&amp;Centro_Cuenta8[[#This Row],[Nombre Centro Gestion]]</f>
        <v>9904 - PV Edifcio Campanario I</v>
      </c>
      <c r="G3712" s="47" t="str">
        <f>+Centro_Cuenta8[[#This Row],[Código Cuenta Contable]]&amp;" - "&amp;Centro_Cuenta8[[#This Row],[Nombre de Cuenta Contable]]</f>
        <v>1110040 - Garantía Pagadas</v>
      </c>
      <c r="H3712" s="146" t="str">
        <f>+VLOOKUP(D3712,'3. Cuentas'!A:F,6,0)</f>
        <v>SI</v>
      </c>
    </row>
    <row r="3713" spans="1:8" x14ac:dyDescent="0.25">
      <c r="A3713" s="43">
        <v>9904</v>
      </c>
      <c r="B3713" t="s">
        <v>681</v>
      </c>
      <c r="C3713" s="43" t="s">
        <v>328</v>
      </c>
      <c r="D3713" s="43">
        <v>4205060</v>
      </c>
      <c r="E3713" t="s">
        <v>130</v>
      </c>
      <c r="F3713" s="47" t="str">
        <f>+Centro_Cuenta8[[#This Row],[Codigo Centro Gestion]]&amp;" - "&amp;Centro_Cuenta8[[#This Row],[Nombre Centro Gestion]]</f>
        <v>9904 - PV Edifcio Campanario I</v>
      </c>
      <c r="G3713" s="47" t="str">
        <f>+Centro_Cuenta8[[#This Row],[Código Cuenta Contable]]&amp;" - "&amp;Centro_Cuenta8[[#This Row],[Nombre de Cuenta Contable]]</f>
        <v>4205060 - Gtos Grales Entrega y PV</v>
      </c>
      <c r="H3713" s="146" t="str">
        <f>+VLOOKUP(D3713,'3. Cuentas'!A:F,6,0)</f>
        <v>SI</v>
      </c>
    </row>
    <row r="3714" spans="1:8" x14ac:dyDescent="0.25">
      <c r="A3714" s="43">
        <v>9905</v>
      </c>
      <c r="B3714" t="s">
        <v>682</v>
      </c>
      <c r="C3714" s="43" t="s">
        <v>328</v>
      </c>
      <c r="D3714" s="43">
        <v>1110040</v>
      </c>
      <c r="E3714" t="s">
        <v>1505</v>
      </c>
      <c r="F3714" s="47" t="str">
        <f>+Centro_Cuenta8[[#This Row],[Codigo Centro Gestion]]&amp;" - "&amp;Centro_Cuenta8[[#This Row],[Nombre Centro Gestion]]</f>
        <v>9905 - PV Edifcio Campanario II</v>
      </c>
      <c r="G3714" s="47" t="str">
        <f>+Centro_Cuenta8[[#This Row],[Código Cuenta Contable]]&amp;" - "&amp;Centro_Cuenta8[[#This Row],[Nombre de Cuenta Contable]]</f>
        <v>1110040 - Garantía Pagadas</v>
      </c>
      <c r="H3714" s="146" t="str">
        <f>+VLOOKUP(D3714,'3. Cuentas'!A:F,6,0)</f>
        <v>SI</v>
      </c>
    </row>
    <row r="3715" spans="1:8" x14ac:dyDescent="0.25">
      <c r="A3715" s="43">
        <v>9905</v>
      </c>
      <c r="B3715" t="s">
        <v>682</v>
      </c>
      <c r="C3715" s="43" t="s">
        <v>328</v>
      </c>
      <c r="D3715" s="43">
        <v>4205060</v>
      </c>
      <c r="E3715" t="s">
        <v>130</v>
      </c>
      <c r="F3715" s="47" t="str">
        <f>+Centro_Cuenta8[[#This Row],[Codigo Centro Gestion]]&amp;" - "&amp;Centro_Cuenta8[[#This Row],[Nombre Centro Gestion]]</f>
        <v>9905 - PV Edifcio Campanario II</v>
      </c>
      <c r="G3715" s="47" t="str">
        <f>+Centro_Cuenta8[[#This Row],[Código Cuenta Contable]]&amp;" - "&amp;Centro_Cuenta8[[#This Row],[Nombre de Cuenta Contable]]</f>
        <v>4205060 - Gtos Grales Entrega y PV</v>
      </c>
      <c r="H3715" s="146" t="str">
        <f>+VLOOKUP(D3715,'3. Cuentas'!A:F,6,0)</f>
        <v>SI</v>
      </c>
    </row>
    <row r="3716" spans="1:8" x14ac:dyDescent="0.25">
      <c r="A3716" s="43">
        <v>9906</v>
      </c>
      <c r="B3716" t="s">
        <v>683</v>
      </c>
      <c r="C3716" s="43" t="s">
        <v>328</v>
      </c>
      <c r="D3716" s="43">
        <v>1110040</v>
      </c>
      <c r="E3716" t="s">
        <v>1505</v>
      </c>
      <c r="F3716" s="47" t="str">
        <f>+Centro_Cuenta8[[#This Row],[Codigo Centro Gestion]]&amp;" - "&amp;Centro_Cuenta8[[#This Row],[Nombre Centro Gestion]]</f>
        <v>9906 - PV Edifcio Campanario III</v>
      </c>
      <c r="G3716" s="47" t="str">
        <f>+Centro_Cuenta8[[#This Row],[Código Cuenta Contable]]&amp;" - "&amp;Centro_Cuenta8[[#This Row],[Nombre de Cuenta Contable]]</f>
        <v>1110040 - Garantía Pagadas</v>
      </c>
      <c r="H3716" s="146" t="str">
        <f>+VLOOKUP(D3716,'3. Cuentas'!A:F,6,0)</f>
        <v>SI</v>
      </c>
    </row>
    <row r="3717" spans="1:8" x14ac:dyDescent="0.25">
      <c r="A3717" s="43">
        <v>9906</v>
      </c>
      <c r="B3717" t="s">
        <v>683</v>
      </c>
      <c r="C3717" s="43" t="s">
        <v>328</v>
      </c>
      <c r="D3717" s="43">
        <v>4205060</v>
      </c>
      <c r="E3717" t="s">
        <v>130</v>
      </c>
      <c r="F3717" s="47" t="str">
        <f>+Centro_Cuenta8[[#This Row],[Codigo Centro Gestion]]&amp;" - "&amp;Centro_Cuenta8[[#This Row],[Nombre Centro Gestion]]</f>
        <v>9906 - PV Edifcio Campanario III</v>
      </c>
      <c r="G3717" s="47" t="str">
        <f>+Centro_Cuenta8[[#This Row],[Código Cuenta Contable]]&amp;" - "&amp;Centro_Cuenta8[[#This Row],[Nombre de Cuenta Contable]]</f>
        <v>4205060 - Gtos Grales Entrega y PV</v>
      </c>
      <c r="H3717" s="146" t="str">
        <f>+VLOOKUP(D3717,'3. Cuentas'!A:F,6,0)</f>
        <v>SI</v>
      </c>
    </row>
    <row r="3718" spans="1:8" x14ac:dyDescent="0.25">
      <c r="A3718" s="43">
        <v>9907</v>
      </c>
      <c r="B3718" t="s">
        <v>684</v>
      </c>
      <c r="C3718" s="43" t="s">
        <v>328</v>
      </c>
      <c r="D3718" s="43">
        <v>1110040</v>
      </c>
      <c r="E3718" t="s">
        <v>1505</v>
      </c>
      <c r="F3718" s="47" t="str">
        <f>+Centro_Cuenta8[[#This Row],[Codigo Centro Gestion]]&amp;" - "&amp;Centro_Cuenta8[[#This Row],[Nombre Centro Gestion]]</f>
        <v>9907 - PV Edificio Meseta I</v>
      </c>
      <c r="G3718" s="47" t="str">
        <f>+Centro_Cuenta8[[#This Row],[Código Cuenta Contable]]&amp;" - "&amp;Centro_Cuenta8[[#This Row],[Nombre de Cuenta Contable]]</f>
        <v>1110040 - Garantía Pagadas</v>
      </c>
      <c r="H3718" s="146" t="str">
        <f>+VLOOKUP(D3718,'3. Cuentas'!A:F,6,0)</f>
        <v>SI</v>
      </c>
    </row>
    <row r="3719" spans="1:8" x14ac:dyDescent="0.25">
      <c r="A3719" s="43">
        <v>9907</v>
      </c>
      <c r="B3719" t="s">
        <v>684</v>
      </c>
      <c r="C3719" s="43" t="s">
        <v>328</v>
      </c>
      <c r="D3719" s="43">
        <v>4205060</v>
      </c>
      <c r="E3719" t="s">
        <v>130</v>
      </c>
      <c r="F3719" s="47" t="str">
        <f>+Centro_Cuenta8[[#This Row],[Codigo Centro Gestion]]&amp;" - "&amp;Centro_Cuenta8[[#This Row],[Nombre Centro Gestion]]</f>
        <v>9907 - PV Edificio Meseta I</v>
      </c>
      <c r="G3719" s="47" t="str">
        <f>+Centro_Cuenta8[[#This Row],[Código Cuenta Contable]]&amp;" - "&amp;Centro_Cuenta8[[#This Row],[Nombre de Cuenta Contable]]</f>
        <v>4205060 - Gtos Grales Entrega y PV</v>
      </c>
      <c r="H3719" s="146" t="str">
        <f>+VLOOKUP(D3719,'3. Cuentas'!A:F,6,0)</f>
        <v>SI</v>
      </c>
    </row>
    <row r="3720" spans="1:8" x14ac:dyDescent="0.25">
      <c r="A3720" s="43">
        <v>9909</v>
      </c>
      <c r="B3720" t="s">
        <v>685</v>
      </c>
      <c r="C3720" s="43" t="s">
        <v>328</v>
      </c>
      <c r="D3720" s="43">
        <v>1110040</v>
      </c>
      <c r="E3720" t="s">
        <v>1505</v>
      </c>
      <c r="F3720" s="47" t="str">
        <f>+Centro_Cuenta8[[#This Row],[Codigo Centro Gestion]]&amp;" - "&amp;Centro_Cuenta8[[#This Row],[Nombre Centro Gestion]]</f>
        <v>9909 - PV Colegio Saint Margaret</v>
      </c>
      <c r="G3720" s="47" t="str">
        <f>+Centro_Cuenta8[[#This Row],[Código Cuenta Contable]]&amp;" - "&amp;Centro_Cuenta8[[#This Row],[Nombre de Cuenta Contable]]</f>
        <v>1110040 - Garantía Pagadas</v>
      </c>
      <c r="H3720" s="146" t="str">
        <f>+VLOOKUP(D3720,'3. Cuentas'!A:F,6,0)</f>
        <v>SI</v>
      </c>
    </row>
    <row r="3721" spans="1:8" x14ac:dyDescent="0.25">
      <c r="A3721" s="43">
        <v>9909</v>
      </c>
      <c r="B3721" t="s">
        <v>685</v>
      </c>
      <c r="C3721" s="43" t="s">
        <v>328</v>
      </c>
      <c r="D3721" s="43">
        <v>4205060</v>
      </c>
      <c r="E3721" t="s">
        <v>130</v>
      </c>
      <c r="F3721" s="47" t="str">
        <f>+Centro_Cuenta8[[#This Row],[Codigo Centro Gestion]]&amp;" - "&amp;Centro_Cuenta8[[#This Row],[Nombre Centro Gestion]]</f>
        <v>9909 - PV Colegio Saint Margaret</v>
      </c>
      <c r="G3721" s="47" t="str">
        <f>+Centro_Cuenta8[[#This Row],[Código Cuenta Contable]]&amp;" - "&amp;Centro_Cuenta8[[#This Row],[Nombre de Cuenta Contable]]</f>
        <v>4205060 - Gtos Grales Entrega y PV</v>
      </c>
      <c r="H3721" s="146" t="str">
        <f>+VLOOKUP(D3721,'3. Cuentas'!A:F,6,0)</f>
        <v>SI</v>
      </c>
    </row>
    <row r="3722" spans="1:8" x14ac:dyDescent="0.25">
      <c r="A3722" s="43">
        <v>9910</v>
      </c>
      <c r="B3722" t="s">
        <v>686</v>
      </c>
      <c r="C3722" s="43" t="s">
        <v>328</v>
      </c>
      <c r="D3722" s="43">
        <v>1110040</v>
      </c>
      <c r="E3722" t="s">
        <v>1505</v>
      </c>
      <c r="F3722" s="47" t="str">
        <f>+Centro_Cuenta8[[#This Row],[Codigo Centro Gestion]]&amp;" - "&amp;Centro_Cuenta8[[#This Row],[Nombre Centro Gestion]]</f>
        <v>9910 - PV Colegio Saint Paul</v>
      </c>
      <c r="G3722" s="47" t="str">
        <f>+Centro_Cuenta8[[#This Row],[Código Cuenta Contable]]&amp;" - "&amp;Centro_Cuenta8[[#This Row],[Nombre de Cuenta Contable]]</f>
        <v>1110040 - Garantía Pagadas</v>
      </c>
      <c r="H3722" s="146" t="str">
        <f>+VLOOKUP(D3722,'3. Cuentas'!A:F,6,0)</f>
        <v>SI</v>
      </c>
    </row>
    <row r="3723" spans="1:8" x14ac:dyDescent="0.25">
      <c r="A3723" s="43">
        <v>9910</v>
      </c>
      <c r="B3723" t="s">
        <v>686</v>
      </c>
      <c r="C3723" s="43" t="s">
        <v>328</v>
      </c>
      <c r="D3723" s="43">
        <v>4205060</v>
      </c>
      <c r="E3723" t="s">
        <v>130</v>
      </c>
      <c r="F3723" s="47" t="str">
        <f>+Centro_Cuenta8[[#This Row],[Codigo Centro Gestion]]&amp;" - "&amp;Centro_Cuenta8[[#This Row],[Nombre Centro Gestion]]</f>
        <v>9910 - PV Colegio Saint Paul</v>
      </c>
      <c r="G3723" s="47" t="str">
        <f>+Centro_Cuenta8[[#This Row],[Código Cuenta Contable]]&amp;" - "&amp;Centro_Cuenta8[[#This Row],[Nombre de Cuenta Contable]]</f>
        <v>4205060 - Gtos Grales Entrega y PV</v>
      </c>
      <c r="H3723" s="146" t="str">
        <f>+VLOOKUP(D3723,'3. Cuentas'!A:F,6,0)</f>
        <v>SI</v>
      </c>
    </row>
    <row r="3724" spans="1:8" x14ac:dyDescent="0.25">
      <c r="A3724" s="43">
        <v>9911</v>
      </c>
      <c r="B3724" t="s">
        <v>687</v>
      </c>
      <c r="C3724" s="43" t="s">
        <v>328</v>
      </c>
      <c r="D3724" s="43">
        <v>1110040</v>
      </c>
      <c r="E3724" t="s">
        <v>1505</v>
      </c>
      <c r="F3724" s="47" t="str">
        <f>+Centro_Cuenta8[[#This Row],[Codigo Centro Gestion]]&amp;" - "&amp;Centro_Cuenta8[[#This Row],[Nombre Centro Gestion]]</f>
        <v>9911 - PV Tribunales Valparaiso</v>
      </c>
      <c r="G3724" s="47" t="str">
        <f>+Centro_Cuenta8[[#This Row],[Código Cuenta Contable]]&amp;" - "&amp;Centro_Cuenta8[[#This Row],[Nombre de Cuenta Contable]]</f>
        <v>1110040 - Garantía Pagadas</v>
      </c>
      <c r="H3724" s="146" t="str">
        <f>+VLOOKUP(D3724,'3. Cuentas'!A:F,6,0)</f>
        <v>SI</v>
      </c>
    </row>
    <row r="3725" spans="1:8" x14ac:dyDescent="0.25">
      <c r="A3725" s="43">
        <v>9911</v>
      </c>
      <c r="B3725" t="s">
        <v>687</v>
      </c>
      <c r="C3725" s="43" t="s">
        <v>328</v>
      </c>
      <c r="D3725" s="43">
        <v>4205060</v>
      </c>
      <c r="E3725" t="s">
        <v>130</v>
      </c>
      <c r="F3725" s="47" t="str">
        <f>+Centro_Cuenta8[[#This Row],[Codigo Centro Gestion]]&amp;" - "&amp;Centro_Cuenta8[[#This Row],[Nombre Centro Gestion]]</f>
        <v>9911 - PV Tribunales Valparaiso</v>
      </c>
      <c r="G3725" s="47" t="str">
        <f>+Centro_Cuenta8[[#This Row],[Código Cuenta Contable]]&amp;" - "&amp;Centro_Cuenta8[[#This Row],[Nombre de Cuenta Contable]]</f>
        <v>4205060 - Gtos Grales Entrega y PV</v>
      </c>
      <c r="H3725" s="146" t="str">
        <f>+VLOOKUP(D3725,'3. Cuentas'!A:F,6,0)</f>
        <v>SI</v>
      </c>
    </row>
    <row r="3726" spans="1:8" x14ac:dyDescent="0.25">
      <c r="A3726" s="43">
        <v>9912</v>
      </c>
      <c r="B3726" t="s">
        <v>688</v>
      </c>
      <c r="C3726" s="43" t="s">
        <v>328</v>
      </c>
      <c r="D3726" s="43">
        <v>1110040</v>
      </c>
      <c r="E3726" t="s">
        <v>1505</v>
      </c>
      <c r="F3726" s="47" t="str">
        <f>+Centro_Cuenta8[[#This Row],[Codigo Centro Gestion]]&amp;" - "&amp;Centro_Cuenta8[[#This Row],[Nombre Centro Gestion]]</f>
        <v>9912 - PV Casa Zapallar</v>
      </c>
      <c r="G3726" s="47" t="str">
        <f>+Centro_Cuenta8[[#This Row],[Código Cuenta Contable]]&amp;" - "&amp;Centro_Cuenta8[[#This Row],[Nombre de Cuenta Contable]]</f>
        <v>1110040 - Garantía Pagadas</v>
      </c>
      <c r="H3726" s="146" t="str">
        <f>+VLOOKUP(D3726,'3. Cuentas'!A:F,6,0)</f>
        <v>SI</v>
      </c>
    </row>
    <row r="3727" spans="1:8" x14ac:dyDescent="0.25">
      <c r="A3727" s="43">
        <v>9912</v>
      </c>
      <c r="B3727" t="s">
        <v>688</v>
      </c>
      <c r="C3727" s="43" t="s">
        <v>328</v>
      </c>
      <c r="D3727" s="43">
        <v>4205060</v>
      </c>
      <c r="E3727" t="s">
        <v>130</v>
      </c>
      <c r="F3727" s="47" t="str">
        <f>+Centro_Cuenta8[[#This Row],[Codigo Centro Gestion]]&amp;" - "&amp;Centro_Cuenta8[[#This Row],[Nombre Centro Gestion]]</f>
        <v>9912 - PV Casa Zapallar</v>
      </c>
      <c r="G3727" s="47" t="str">
        <f>+Centro_Cuenta8[[#This Row],[Código Cuenta Contable]]&amp;" - "&amp;Centro_Cuenta8[[#This Row],[Nombre de Cuenta Contable]]</f>
        <v>4205060 - Gtos Grales Entrega y PV</v>
      </c>
      <c r="H3727" s="146" t="str">
        <f>+VLOOKUP(D3727,'3. Cuentas'!A:F,6,0)</f>
        <v>SI</v>
      </c>
    </row>
    <row r="3728" spans="1:8" x14ac:dyDescent="0.25">
      <c r="A3728" s="43">
        <v>9913</v>
      </c>
      <c r="B3728" t="s">
        <v>689</v>
      </c>
      <c r="C3728" s="43" t="s">
        <v>328</v>
      </c>
      <c r="D3728" s="43">
        <v>1110040</v>
      </c>
      <c r="E3728" t="s">
        <v>1505</v>
      </c>
      <c r="F3728" s="47" t="str">
        <f>+Centro_Cuenta8[[#This Row],[Codigo Centro Gestion]]&amp;" - "&amp;Centro_Cuenta8[[#This Row],[Nombre Centro Gestion]]</f>
        <v>9913 - PV Edificio Doña Teresa</v>
      </c>
      <c r="G3728" s="47" t="str">
        <f>+Centro_Cuenta8[[#This Row],[Código Cuenta Contable]]&amp;" - "&amp;Centro_Cuenta8[[#This Row],[Nombre de Cuenta Contable]]</f>
        <v>1110040 - Garantía Pagadas</v>
      </c>
      <c r="H3728" s="146" t="str">
        <f>+VLOOKUP(D3728,'3. Cuentas'!A:F,6,0)</f>
        <v>SI</v>
      </c>
    </row>
    <row r="3729" spans="1:8" x14ac:dyDescent="0.25">
      <c r="A3729" s="43">
        <v>9913</v>
      </c>
      <c r="B3729" t="s">
        <v>689</v>
      </c>
      <c r="C3729" s="43" t="s">
        <v>328</v>
      </c>
      <c r="D3729" s="43">
        <v>4205060</v>
      </c>
      <c r="E3729" t="s">
        <v>130</v>
      </c>
      <c r="F3729" s="47" t="str">
        <f>+Centro_Cuenta8[[#This Row],[Codigo Centro Gestion]]&amp;" - "&amp;Centro_Cuenta8[[#This Row],[Nombre Centro Gestion]]</f>
        <v>9913 - PV Edificio Doña Teresa</v>
      </c>
      <c r="G3729" s="47" t="str">
        <f>+Centro_Cuenta8[[#This Row],[Código Cuenta Contable]]&amp;" - "&amp;Centro_Cuenta8[[#This Row],[Nombre de Cuenta Contable]]</f>
        <v>4205060 - Gtos Grales Entrega y PV</v>
      </c>
      <c r="H3729" s="146" t="str">
        <f>+VLOOKUP(D3729,'3. Cuentas'!A:F,6,0)</f>
        <v>SI</v>
      </c>
    </row>
    <row r="3730" spans="1:8" x14ac:dyDescent="0.25">
      <c r="A3730" s="43">
        <v>9914</v>
      </c>
      <c r="B3730" t="s">
        <v>690</v>
      </c>
      <c r="C3730" s="43" t="s">
        <v>328</v>
      </c>
      <c r="D3730" s="43">
        <v>1110040</v>
      </c>
      <c r="E3730" t="s">
        <v>1505</v>
      </c>
      <c r="F3730" s="47" t="str">
        <f>+Centro_Cuenta8[[#This Row],[Codigo Centro Gestion]]&amp;" - "&amp;Centro_Cuenta8[[#This Row],[Nombre Centro Gestion]]</f>
        <v>9914 - PV Edificio Sacramentinos I</v>
      </c>
      <c r="G3730" s="47" t="str">
        <f>+Centro_Cuenta8[[#This Row],[Código Cuenta Contable]]&amp;" - "&amp;Centro_Cuenta8[[#This Row],[Nombre de Cuenta Contable]]</f>
        <v>1110040 - Garantía Pagadas</v>
      </c>
      <c r="H3730" s="146" t="str">
        <f>+VLOOKUP(D3730,'3. Cuentas'!A:F,6,0)</f>
        <v>SI</v>
      </c>
    </row>
    <row r="3731" spans="1:8" x14ac:dyDescent="0.25">
      <c r="A3731" s="43">
        <v>9914</v>
      </c>
      <c r="B3731" t="s">
        <v>690</v>
      </c>
      <c r="C3731" s="43" t="s">
        <v>328</v>
      </c>
      <c r="D3731" s="43">
        <v>4205060</v>
      </c>
      <c r="E3731" t="s">
        <v>130</v>
      </c>
      <c r="F3731" s="47" t="str">
        <f>+Centro_Cuenta8[[#This Row],[Codigo Centro Gestion]]&amp;" - "&amp;Centro_Cuenta8[[#This Row],[Nombre Centro Gestion]]</f>
        <v>9914 - PV Edificio Sacramentinos I</v>
      </c>
      <c r="G3731" s="47" t="str">
        <f>+Centro_Cuenta8[[#This Row],[Código Cuenta Contable]]&amp;" - "&amp;Centro_Cuenta8[[#This Row],[Nombre de Cuenta Contable]]</f>
        <v>4205060 - Gtos Grales Entrega y PV</v>
      </c>
      <c r="H3731" s="146" t="str">
        <f>+VLOOKUP(D3731,'3. Cuentas'!A:F,6,0)</f>
        <v>SI</v>
      </c>
    </row>
    <row r="3732" spans="1:8" x14ac:dyDescent="0.25">
      <c r="A3732" s="43">
        <v>9915</v>
      </c>
      <c r="B3732" t="s">
        <v>691</v>
      </c>
      <c r="C3732" s="43" t="s">
        <v>328</v>
      </c>
      <c r="D3732" s="43">
        <v>1110040</v>
      </c>
      <c r="E3732" t="s">
        <v>1505</v>
      </c>
      <c r="F3732" s="47" t="str">
        <f>+Centro_Cuenta8[[#This Row],[Codigo Centro Gestion]]&amp;" - "&amp;Centro_Cuenta8[[#This Row],[Nombre Centro Gestion]]</f>
        <v>9915 - PV Edificio Sacramentinos II</v>
      </c>
      <c r="G3732" s="47" t="str">
        <f>+Centro_Cuenta8[[#This Row],[Código Cuenta Contable]]&amp;" - "&amp;Centro_Cuenta8[[#This Row],[Nombre de Cuenta Contable]]</f>
        <v>1110040 - Garantía Pagadas</v>
      </c>
      <c r="H3732" s="146" t="str">
        <f>+VLOOKUP(D3732,'3. Cuentas'!A:F,6,0)</f>
        <v>SI</v>
      </c>
    </row>
    <row r="3733" spans="1:8" x14ac:dyDescent="0.25">
      <c r="A3733" s="43">
        <v>9915</v>
      </c>
      <c r="B3733" t="s">
        <v>691</v>
      </c>
      <c r="C3733" s="43" t="s">
        <v>328</v>
      </c>
      <c r="D3733" s="43">
        <v>4205060</v>
      </c>
      <c r="E3733" t="s">
        <v>130</v>
      </c>
      <c r="F3733" s="47" t="str">
        <f>+Centro_Cuenta8[[#This Row],[Codigo Centro Gestion]]&amp;" - "&amp;Centro_Cuenta8[[#This Row],[Nombre Centro Gestion]]</f>
        <v>9915 - PV Edificio Sacramentinos II</v>
      </c>
      <c r="G3733" s="47" t="str">
        <f>+Centro_Cuenta8[[#This Row],[Código Cuenta Contable]]&amp;" - "&amp;Centro_Cuenta8[[#This Row],[Nombre de Cuenta Contable]]</f>
        <v>4205060 - Gtos Grales Entrega y PV</v>
      </c>
      <c r="H3733" s="146" t="str">
        <f>+VLOOKUP(D3733,'3. Cuentas'!A:F,6,0)</f>
        <v>SI</v>
      </c>
    </row>
    <row r="3734" spans="1:8" x14ac:dyDescent="0.25">
      <c r="A3734" s="43">
        <v>9916</v>
      </c>
      <c r="B3734" t="s">
        <v>692</v>
      </c>
      <c r="C3734" s="43" t="s">
        <v>328</v>
      </c>
      <c r="D3734" s="43">
        <v>1110040</v>
      </c>
      <c r="E3734" t="s">
        <v>1505</v>
      </c>
      <c r="F3734" s="47" t="str">
        <f>+Centro_Cuenta8[[#This Row],[Codigo Centro Gestion]]&amp;" - "&amp;Centro_Cuenta8[[#This Row],[Nombre Centro Gestion]]</f>
        <v>9916 - PV Edificio Sacramentinos III</v>
      </c>
      <c r="G3734" s="47" t="str">
        <f>+Centro_Cuenta8[[#This Row],[Código Cuenta Contable]]&amp;" - "&amp;Centro_Cuenta8[[#This Row],[Nombre de Cuenta Contable]]</f>
        <v>1110040 - Garantía Pagadas</v>
      </c>
      <c r="H3734" s="146" t="str">
        <f>+VLOOKUP(D3734,'3. Cuentas'!A:F,6,0)</f>
        <v>SI</v>
      </c>
    </row>
    <row r="3735" spans="1:8" x14ac:dyDescent="0.25">
      <c r="A3735" s="43">
        <v>9916</v>
      </c>
      <c r="B3735" t="s">
        <v>692</v>
      </c>
      <c r="C3735" s="43" t="s">
        <v>328</v>
      </c>
      <c r="D3735" s="43">
        <v>4205060</v>
      </c>
      <c r="E3735" t="s">
        <v>130</v>
      </c>
      <c r="F3735" s="47" t="str">
        <f>+Centro_Cuenta8[[#This Row],[Codigo Centro Gestion]]&amp;" - "&amp;Centro_Cuenta8[[#This Row],[Nombre Centro Gestion]]</f>
        <v>9916 - PV Edificio Sacramentinos III</v>
      </c>
      <c r="G3735" s="47" t="str">
        <f>+Centro_Cuenta8[[#This Row],[Código Cuenta Contable]]&amp;" - "&amp;Centro_Cuenta8[[#This Row],[Nombre de Cuenta Contable]]</f>
        <v>4205060 - Gtos Grales Entrega y PV</v>
      </c>
      <c r="H3735" s="146" t="str">
        <f>+VLOOKUP(D3735,'3. Cuentas'!A:F,6,0)</f>
        <v>SI</v>
      </c>
    </row>
    <row r="3736" spans="1:8" x14ac:dyDescent="0.25">
      <c r="A3736" s="43">
        <v>9917</v>
      </c>
      <c r="B3736" t="s">
        <v>693</v>
      </c>
      <c r="C3736" s="43" t="s">
        <v>328</v>
      </c>
      <c r="D3736" s="43">
        <v>1110040</v>
      </c>
      <c r="E3736" t="s">
        <v>1505</v>
      </c>
      <c r="F3736" s="47" t="str">
        <f>+Centro_Cuenta8[[#This Row],[Codigo Centro Gestion]]&amp;" - "&amp;Centro_Cuenta8[[#This Row],[Nombre Centro Gestion]]</f>
        <v>9917 - PV Edificio Galvarino Gallardo</v>
      </c>
      <c r="G3736" s="47" t="str">
        <f>+Centro_Cuenta8[[#This Row],[Código Cuenta Contable]]&amp;" - "&amp;Centro_Cuenta8[[#This Row],[Nombre de Cuenta Contable]]</f>
        <v>1110040 - Garantía Pagadas</v>
      </c>
      <c r="H3736" s="146" t="str">
        <f>+VLOOKUP(D3736,'3. Cuentas'!A:F,6,0)</f>
        <v>SI</v>
      </c>
    </row>
    <row r="3737" spans="1:8" x14ac:dyDescent="0.25">
      <c r="A3737" s="43">
        <v>9917</v>
      </c>
      <c r="B3737" t="s">
        <v>693</v>
      </c>
      <c r="C3737" s="43" t="s">
        <v>328</v>
      </c>
      <c r="D3737" s="43">
        <v>4205060</v>
      </c>
      <c r="E3737" t="s">
        <v>130</v>
      </c>
      <c r="F3737" s="47" t="str">
        <f>+Centro_Cuenta8[[#This Row],[Codigo Centro Gestion]]&amp;" - "&amp;Centro_Cuenta8[[#This Row],[Nombre Centro Gestion]]</f>
        <v>9917 - PV Edificio Galvarino Gallardo</v>
      </c>
      <c r="G3737" s="47" t="str">
        <f>+Centro_Cuenta8[[#This Row],[Código Cuenta Contable]]&amp;" - "&amp;Centro_Cuenta8[[#This Row],[Nombre de Cuenta Contable]]</f>
        <v>4205060 - Gtos Grales Entrega y PV</v>
      </c>
      <c r="H3737" s="146" t="str">
        <f>+VLOOKUP(D3737,'3. Cuentas'!A:F,6,0)</f>
        <v>SI</v>
      </c>
    </row>
    <row r="3738" spans="1:8" x14ac:dyDescent="0.25">
      <c r="A3738" s="43">
        <v>9918</v>
      </c>
      <c r="B3738" t="s">
        <v>694</v>
      </c>
      <c r="C3738" s="43" t="s">
        <v>328</v>
      </c>
      <c r="D3738" s="43">
        <v>1110040</v>
      </c>
      <c r="E3738" t="s">
        <v>1505</v>
      </c>
      <c r="F3738" s="47" t="str">
        <f>+Centro_Cuenta8[[#This Row],[Codigo Centro Gestion]]&amp;" - "&amp;Centro_Cuenta8[[#This Row],[Nombre Centro Gestion]]</f>
        <v>9918 - PV Templo Mormon</v>
      </c>
      <c r="G3738" s="47" t="str">
        <f>+Centro_Cuenta8[[#This Row],[Código Cuenta Contable]]&amp;" - "&amp;Centro_Cuenta8[[#This Row],[Nombre de Cuenta Contable]]</f>
        <v>1110040 - Garantía Pagadas</v>
      </c>
      <c r="H3738" s="146" t="str">
        <f>+VLOOKUP(D3738,'3. Cuentas'!A:F,6,0)</f>
        <v>SI</v>
      </c>
    </row>
    <row r="3739" spans="1:8" x14ac:dyDescent="0.25">
      <c r="A3739" s="43">
        <v>9918</v>
      </c>
      <c r="B3739" t="s">
        <v>694</v>
      </c>
      <c r="C3739" s="43" t="s">
        <v>328</v>
      </c>
      <c r="D3739" s="43">
        <v>4205060</v>
      </c>
      <c r="E3739" t="s">
        <v>130</v>
      </c>
      <c r="F3739" s="47" t="str">
        <f>+Centro_Cuenta8[[#This Row],[Codigo Centro Gestion]]&amp;" - "&amp;Centro_Cuenta8[[#This Row],[Nombre Centro Gestion]]</f>
        <v>9918 - PV Templo Mormon</v>
      </c>
      <c r="G3739" s="47" t="str">
        <f>+Centro_Cuenta8[[#This Row],[Código Cuenta Contable]]&amp;" - "&amp;Centro_Cuenta8[[#This Row],[Nombre de Cuenta Contable]]</f>
        <v>4205060 - Gtos Grales Entrega y PV</v>
      </c>
      <c r="H3739" s="146" t="str">
        <f>+VLOOKUP(D3739,'3. Cuentas'!A:F,6,0)</f>
        <v>SI</v>
      </c>
    </row>
    <row r="3740" spans="1:8" x14ac:dyDescent="0.25">
      <c r="A3740" s="43">
        <v>9919</v>
      </c>
      <c r="B3740" t="s">
        <v>695</v>
      </c>
      <c r="C3740" s="43" t="s">
        <v>328</v>
      </c>
      <c r="D3740" s="43">
        <v>1110040</v>
      </c>
      <c r="E3740" t="s">
        <v>1505</v>
      </c>
      <c r="F3740" s="47" t="str">
        <f>+Centro_Cuenta8[[#This Row],[Codigo Centro Gestion]]&amp;" - "&amp;Centro_Cuenta8[[#This Row],[Nombre Centro Gestion]]</f>
        <v>9919 - PV Consultorio Pudahuel</v>
      </c>
      <c r="G3740" s="47" t="str">
        <f>+Centro_Cuenta8[[#This Row],[Código Cuenta Contable]]&amp;" - "&amp;Centro_Cuenta8[[#This Row],[Nombre de Cuenta Contable]]</f>
        <v>1110040 - Garantía Pagadas</v>
      </c>
      <c r="H3740" s="146" t="str">
        <f>+VLOOKUP(D3740,'3. Cuentas'!A:F,6,0)</f>
        <v>SI</v>
      </c>
    </row>
    <row r="3741" spans="1:8" x14ac:dyDescent="0.25">
      <c r="A3741" s="43">
        <v>9919</v>
      </c>
      <c r="B3741" t="s">
        <v>695</v>
      </c>
      <c r="C3741" s="43" t="s">
        <v>328</v>
      </c>
      <c r="D3741" s="43">
        <v>4205060</v>
      </c>
      <c r="E3741" t="s">
        <v>130</v>
      </c>
      <c r="F3741" s="47" t="str">
        <f>+Centro_Cuenta8[[#This Row],[Codigo Centro Gestion]]&amp;" - "&amp;Centro_Cuenta8[[#This Row],[Nombre Centro Gestion]]</f>
        <v>9919 - PV Consultorio Pudahuel</v>
      </c>
      <c r="G3741" s="47" t="str">
        <f>+Centro_Cuenta8[[#This Row],[Código Cuenta Contable]]&amp;" - "&amp;Centro_Cuenta8[[#This Row],[Nombre de Cuenta Contable]]</f>
        <v>4205060 - Gtos Grales Entrega y PV</v>
      </c>
      <c r="H3741" s="146" t="str">
        <f>+VLOOKUP(D3741,'3. Cuentas'!A:F,6,0)</f>
        <v>SI</v>
      </c>
    </row>
    <row r="3742" spans="1:8" x14ac:dyDescent="0.25">
      <c r="A3742" s="43">
        <v>9920</v>
      </c>
      <c r="B3742" t="s">
        <v>696</v>
      </c>
      <c r="C3742" s="43" t="s">
        <v>328</v>
      </c>
      <c r="D3742" s="43">
        <v>1110040</v>
      </c>
      <c r="E3742" t="s">
        <v>1505</v>
      </c>
      <c r="F3742" s="47" t="str">
        <f>+Centro_Cuenta8[[#This Row],[Codigo Centro Gestion]]&amp;" - "&amp;Centro_Cuenta8[[#This Row],[Nombre Centro Gestion]]</f>
        <v>9920 - PV Consultorio Santa Amalia</v>
      </c>
      <c r="G3742" s="47" t="str">
        <f>+Centro_Cuenta8[[#This Row],[Código Cuenta Contable]]&amp;" - "&amp;Centro_Cuenta8[[#This Row],[Nombre de Cuenta Contable]]</f>
        <v>1110040 - Garantía Pagadas</v>
      </c>
      <c r="H3742" s="146" t="str">
        <f>+VLOOKUP(D3742,'3. Cuentas'!A:F,6,0)</f>
        <v>SI</v>
      </c>
    </row>
    <row r="3743" spans="1:8" x14ac:dyDescent="0.25">
      <c r="A3743" s="43">
        <v>9920</v>
      </c>
      <c r="B3743" t="s">
        <v>696</v>
      </c>
      <c r="C3743" s="43" t="s">
        <v>328</v>
      </c>
      <c r="D3743" s="43">
        <v>4205060</v>
      </c>
      <c r="E3743" t="s">
        <v>130</v>
      </c>
      <c r="F3743" s="47" t="str">
        <f>+Centro_Cuenta8[[#This Row],[Codigo Centro Gestion]]&amp;" - "&amp;Centro_Cuenta8[[#This Row],[Nombre Centro Gestion]]</f>
        <v>9920 - PV Consultorio Santa Amalia</v>
      </c>
      <c r="G3743" s="47" t="str">
        <f>+Centro_Cuenta8[[#This Row],[Código Cuenta Contable]]&amp;" - "&amp;Centro_Cuenta8[[#This Row],[Nombre de Cuenta Contable]]</f>
        <v>4205060 - Gtos Grales Entrega y PV</v>
      </c>
      <c r="H3743" s="146" t="str">
        <f>+VLOOKUP(D3743,'3. Cuentas'!A:F,6,0)</f>
        <v>SI</v>
      </c>
    </row>
    <row r="3744" spans="1:8" x14ac:dyDescent="0.25">
      <c r="A3744" s="43">
        <v>9921</v>
      </c>
      <c r="B3744" t="s">
        <v>697</v>
      </c>
      <c r="C3744" s="43" t="s">
        <v>328</v>
      </c>
      <c r="D3744" s="43">
        <v>1110040</v>
      </c>
      <c r="E3744" t="s">
        <v>1505</v>
      </c>
      <c r="F3744" s="47" t="str">
        <f>+Centro_Cuenta8[[#This Row],[Codigo Centro Gestion]]&amp;" - "&amp;Centro_Cuenta8[[#This Row],[Nombre Centro Gestion]]</f>
        <v>9921 - PV Clinica Los Tiempos</v>
      </c>
      <c r="G3744" s="47" t="str">
        <f>+Centro_Cuenta8[[#This Row],[Código Cuenta Contable]]&amp;" - "&amp;Centro_Cuenta8[[#This Row],[Nombre de Cuenta Contable]]</f>
        <v>1110040 - Garantía Pagadas</v>
      </c>
      <c r="H3744" s="146" t="str">
        <f>+VLOOKUP(D3744,'3. Cuentas'!A:F,6,0)</f>
        <v>SI</v>
      </c>
    </row>
    <row r="3745" spans="1:8" x14ac:dyDescent="0.25">
      <c r="A3745" s="43">
        <v>9921</v>
      </c>
      <c r="B3745" t="s">
        <v>697</v>
      </c>
      <c r="C3745" s="43" t="s">
        <v>328</v>
      </c>
      <c r="D3745" s="43">
        <v>4205060</v>
      </c>
      <c r="E3745" t="s">
        <v>130</v>
      </c>
      <c r="F3745" s="47" t="str">
        <f>+Centro_Cuenta8[[#This Row],[Codigo Centro Gestion]]&amp;" - "&amp;Centro_Cuenta8[[#This Row],[Nombre Centro Gestion]]</f>
        <v>9921 - PV Clinica Los Tiempos</v>
      </c>
      <c r="G3745" s="47" t="str">
        <f>+Centro_Cuenta8[[#This Row],[Código Cuenta Contable]]&amp;" - "&amp;Centro_Cuenta8[[#This Row],[Nombre de Cuenta Contable]]</f>
        <v>4205060 - Gtos Grales Entrega y PV</v>
      </c>
      <c r="H3745" s="146" t="str">
        <f>+VLOOKUP(D3745,'3. Cuentas'!A:F,6,0)</f>
        <v>SI</v>
      </c>
    </row>
    <row r="3746" spans="1:8" x14ac:dyDescent="0.25">
      <c r="A3746" s="43">
        <v>9923</v>
      </c>
      <c r="B3746" t="s">
        <v>698</v>
      </c>
      <c r="C3746" s="43" t="s">
        <v>328</v>
      </c>
      <c r="D3746" s="43">
        <v>1110040</v>
      </c>
      <c r="E3746" t="s">
        <v>1505</v>
      </c>
      <c r="F3746" s="47" t="str">
        <f>+Centro_Cuenta8[[#This Row],[Codigo Centro Gestion]]&amp;" - "&amp;Centro_Cuenta8[[#This Row],[Nombre Centro Gestion]]</f>
        <v>9923 - PV Casa Los Dominicos</v>
      </c>
      <c r="G3746" s="47" t="str">
        <f>+Centro_Cuenta8[[#This Row],[Código Cuenta Contable]]&amp;" - "&amp;Centro_Cuenta8[[#This Row],[Nombre de Cuenta Contable]]</f>
        <v>1110040 - Garantía Pagadas</v>
      </c>
      <c r="H3746" s="146" t="str">
        <f>+VLOOKUP(D3746,'3. Cuentas'!A:F,6,0)</f>
        <v>SI</v>
      </c>
    </row>
    <row r="3747" spans="1:8" x14ac:dyDescent="0.25">
      <c r="A3747" s="43">
        <v>9923</v>
      </c>
      <c r="B3747" t="s">
        <v>698</v>
      </c>
      <c r="C3747" s="43" t="s">
        <v>328</v>
      </c>
      <c r="D3747" s="43">
        <v>4205060</v>
      </c>
      <c r="E3747" t="s">
        <v>130</v>
      </c>
      <c r="F3747" s="47" t="str">
        <f>+Centro_Cuenta8[[#This Row],[Codigo Centro Gestion]]&amp;" - "&amp;Centro_Cuenta8[[#This Row],[Nombre Centro Gestion]]</f>
        <v>9923 - PV Casa Los Dominicos</v>
      </c>
      <c r="G3747" s="47" t="str">
        <f>+Centro_Cuenta8[[#This Row],[Código Cuenta Contable]]&amp;" - "&amp;Centro_Cuenta8[[#This Row],[Nombre de Cuenta Contable]]</f>
        <v>4205060 - Gtos Grales Entrega y PV</v>
      </c>
      <c r="H3747" s="146" t="str">
        <f>+VLOOKUP(D3747,'3. Cuentas'!A:F,6,0)</f>
        <v>SI</v>
      </c>
    </row>
    <row r="3748" spans="1:8" x14ac:dyDescent="0.25">
      <c r="A3748" s="43">
        <v>9924</v>
      </c>
      <c r="B3748" t="s">
        <v>699</v>
      </c>
      <c r="C3748" s="43" t="s">
        <v>328</v>
      </c>
      <c r="D3748" s="43">
        <v>1110040</v>
      </c>
      <c r="E3748" t="s">
        <v>1505</v>
      </c>
      <c r="F3748" s="47" t="str">
        <f>+Centro_Cuenta8[[#This Row],[Codigo Centro Gestion]]&amp;" - "&amp;Centro_Cuenta8[[#This Row],[Nombre Centro Gestion]]</f>
        <v>9924 - PV - Depto. IVM</v>
      </c>
      <c r="G3748" s="47" t="str">
        <f>+Centro_Cuenta8[[#This Row],[Código Cuenta Contable]]&amp;" - "&amp;Centro_Cuenta8[[#This Row],[Nombre de Cuenta Contable]]</f>
        <v>1110040 - Garantía Pagadas</v>
      </c>
      <c r="H3748" s="146" t="str">
        <f>+VLOOKUP(D3748,'3. Cuentas'!A:F,6,0)</f>
        <v>SI</v>
      </c>
    </row>
    <row r="3749" spans="1:8" x14ac:dyDescent="0.25">
      <c r="A3749" s="43">
        <v>9924</v>
      </c>
      <c r="B3749" t="s">
        <v>699</v>
      </c>
      <c r="C3749" s="43" t="s">
        <v>328</v>
      </c>
      <c r="D3749" s="43">
        <v>4205060</v>
      </c>
      <c r="E3749" t="s">
        <v>130</v>
      </c>
      <c r="F3749" s="47" t="str">
        <f>+Centro_Cuenta8[[#This Row],[Codigo Centro Gestion]]&amp;" - "&amp;Centro_Cuenta8[[#This Row],[Nombre Centro Gestion]]</f>
        <v>9924 - PV - Depto. IVM</v>
      </c>
      <c r="G3749" s="47" t="str">
        <f>+Centro_Cuenta8[[#This Row],[Código Cuenta Contable]]&amp;" - "&amp;Centro_Cuenta8[[#This Row],[Nombre de Cuenta Contable]]</f>
        <v>4205060 - Gtos Grales Entrega y PV</v>
      </c>
      <c r="H3749" s="146" t="str">
        <f>+VLOOKUP(D3749,'3. Cuentas'!A:F,6,0)</f>
        <v>SI</v>
      </c>
    </row>
  </sheetData>
  <phoneticPr fontId="13" type="noConversion"/>
  <conditionalFormatting sqref="A1">
    <cfRule type="duplicateValues" dxfId="0" priority="1"/>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7D53F2-8B40-4294-B984-0C5A7CD23B50}">
  <sheetPr codeName="Hoja7"/>
  <dimension ref="A1:D536"/>
  <sheetViews>
    <sheetView zoomScale="80" zoomScaleNormal="80" workbookViewId="0">
      <selection activeCell="D30" sqref="D30:G30"/>
    </sheetView>
  </sheetViews>
  <sheetFormatPr baseColWidth="10" defaultColWidth="11.42578125" defaultRowHeight="15" x14ac:dyDescent="0.25"/>
  <cols>
    <col min="1" max="1" width="18.85546875" style="43" bestFit="1" customWidth="1"/>
    <col min="2" max="2" width="10.85546875" style="43" bestFit="1" customWidth="1"/>
    <col min="3" max="3" width="58.140625" bestFit="1" customWidth="1"/>
    <col min="4" max="4" width="67.5703125" bestFit="1" customWidth="1"/>
  </cols>
  <sheetData>
    <row r="1" spans="1:4" ht="14.25" customHeight="1" x14ac:dyDescent="0.25">
      <c r="A1" s="42" t="s">
        <v>3097</v>
      </c>
      <c r="B1" s="42" t="s">
        <v>3098</v>
      </c>
      <c r="C1" s="42" t="s">
        <v>3099</v>
      </c>
      <c r="D1" s="46" t="s">
        <v>3480</v>
      </c>
    </row>
    <row r="2" spans="1:4" x14ac:dyDescent="0.25">
      <c r="A2" s="43" t="s">
        <v>65</v>
      </c>
      <c r="B2" s="43">
        <v>100000</v>
      </c>
      <c r="C2" t="s">
        <v>3100</v>
      </c>
      <c r="D2" t="str">
        <f>+B2&amp;" - "&amp;C2</f>
        <v>100000 - [OBRA] INGRESOS</v>
      </c>
    </row>
    <row r="3" spans="1:4" x14ac:dyDescent="0.25">
      <c r="A3" s="43" t="s">
        <v>65</v>
      </c>
      <c r="B3" s="43">
        <v>100101</v>
      </c>
      <c r="C3" t="s">
        <v>3101</v>
      </c>
      <c r="D3" t="str">
        <f t="shared" ref="D3:D66" si="0">+B3&amp;" - "&amp;C3</f>
        <v>100101 - [OBRA] DEMOLICIONES Y DESRATIZACIONES</v>
      </c>
    </row>
    <row r="4" spans="1:4" x14ac:dyDescent="0.25">
      <c r="A4" s="43" t="s">
        <v>65</v>
      </c>
      <c r="B4" s="43">
        <v>100102</v>
      </c>
      <c r="C4" t="s">
        <v>3102</v>
      </c>
      <c r="D4" t="str">
        <f t="shared" si="0"/>
        <v>100102 - [OBRA] SOCALZADOS Y ENTIBACIONES</v>
      </c>
    </row>
    <row r="5" spans="1:4" x14ac:dyDescent="0.25">
      <c r="A5" s="43" t="s">
        <v>65</v>
      </c>
      <c r="B5" s="43">
        <v>100103</v>
      </c>
      <c r="C5" t="s">
        <v>3103</v>
      </c>
      <c r="D5" t="str">
        <f t="shared" si="0"/>
        <v>100103 - [OBRA] CONSTRUCCIONES PROVISORIAS</v>
      </c>
    </row>
    <row r="6" spans="1:4" x14ac:dyDescent="0.25">
      <c r="A6" s="43" t="s">
        <v>65</v>
      </c>
      <c r="B6" s="43">
        <v>100104</v>
      </c>
      <c r="C6" t="s">
        <v>3104</v>
      </c>
      <c r="D6" t="str">
        <f t="shared" si="0"/>
        <v>100104 - [OBRA] INSTALACIONES</v>
      </c>
    </row>
    <row r="7" spans="1:4" x14ac:dyDescent="0.25">
      <c r="A7" s="43" t="s">
        <v>65</v>
      </c>
      <c r="B7" s="43">
        <v>100105</v>
      </c>
      <c r="C7" t="s">
        <v>3105</v>
      </c>
      <c r="D7" t="str">
        <f t="shared" si="0"/>
        <v>100105 - [OBRA] REPLANTEO, TRAZADOS Y NIVELES</v>
      </c>
    </row>
    <row r="8" spans="1:4" x14ac:dyDescent="0.25">
      <c r="A8" s="43" t="s">
        <v>65</v>
      </c>
      <c r="B8" s="43">
        <v>100106</v>
      </c>
      <c r="C8" t="s">
        <v>3106</v>
      </c>
      <c r="D8" t="str">
        <f t="shared" si="0"/>
        <v>100106 - [OBRA] SALA DE VENTAS Y PILOTO</v>
      </c>
    </row>
    <row r="9" spans="1:4" x14ac:dyDescent="0.25">
      <c r="A9" s="43" t="s">
        <v>65</v>
      </c>
      <c r="B9" s="43">
        <v>100107</v>
      </c>
      <c r="C9" t="s">
        <v>3107</v>
      </c>
      <c r="D9" t="str">
        <f t="shared" si="0"/>
        <v>100107 - [OBRA] OTRAS OBRAS PREVIAS</v>
      </c>
    </row>
    <row r="10" spans="1:4" x14ac:dyDescent="0.25">
      <c r="A10" s="43" t="s">
        <v>65</v>
      </c>
      <c r="B10" s="43">
        <v>100108</v>
      </c>
      <c r="C10" t="s">
        <v>3108</v>
      </c>
      <c r="D10" t="str">
        <f t="shared" si="0"/>
        <v>100108 - [OBRA] EXCAVACIONES MASIVAS</v>
      </c>
    </row>
    <row r="11" spans="1:4" x14ac:dyDescent="0.25">
      <c r="A11" s="43" t="s">
        <v>65</v>
      </c>
      <c r="B11" s="43">
        <v>100202</v>
      </c>
      <c r="C11" t="s">
        <v>3109</v>
      </c>
      <c r="D11" t="str">
        <f t="shared" si="0"/>
        <v>100202 - [OBRA] EXCAVACIONES DE FUNCACIONES</v>
      </c>
    </row>
    <row r="12" spans="1:4" x14ac:dyDescent="0.25">
      <c r="A12" s="43" t="s">
        <v>65</v>
      </c>
      <c r="B12" s="43">
        <v>100203</v>
      </c>
      <c r="C12" t="s">
        <v>3110</v>
      </c>
      <c r="D12" t="str">
        <f t="shared" si="0"/>
        <v>100203 - [OBRA] RELLENOS, COMPACTACIONES Y DRENES</v>
      </c>
    </row>
    <row r="13" spans="1:4" x14ac:dyDescent="0.25">
      <c r="A13" s="43" t="s">
        <v>65</v>
      </c>
      <c r="B13" s="43">
        <v>100204</v>
      </c>
      <c r="C13" t="s">
        <v>3111</v>
      </c>
      <c r="D13" t="str">
        <f t="shared" si="0"/>
        <v>100204 - [OBRA] MOLDAJE</v>
      </c>
    </row>
    <row r="14" spans="1:4" x14ac:dyDescent="0.25">
      <c r="A14" s="43" t="s">
        <v>65</v>
      </c>
      <c r="B14" s="43">
        <v>100205</v>
      </c>
      <c r="C14" t="s">
        <v>3112</v>
      </c>
      <c r="D14" t="str">
        <f t="shared" si="0"/>
        <v>100205 - [OBRA] ENFIERRADURA</v>
      </c>
    </row>
    <row r="15" spans="1:4" x14ac:dyDescent="0.25">
      <c r="A15" s="43" t="s">
        <v>65</v>
      </c>
      <c r="B15" s="43">
        <v>100206</v>
      </c>
      <c r="C15" t="s">
        <v>3113</v>
      </c>
      <c r="D15" t="str">
        <f t="shared" si="0"/>
        <v>100206 - [OBRA] HORMIGONES</v>
      </c>
    </row>
    <row r="16" spans="1:4" x14ac:dyDescent="0.25">
      <c r="A16" s="43" t="s">
        <v>65</v>
      </c>
      <c r="B16" s="43">
        <v>100207</v>
      </c>
      <c r="C16" t="s">
        <v>3114</v>
      </c>
      <c r="D16" t="str">
        <f t="shared" si="0"/>
        <v>100207 - [OBRA] ESTRUCTURAS METÁLICAS</v>
      </c>
    </row>
    <row r="17" spans="1:4" x14ac:dyDescent="0.25">
      <c r="A17" s="43" t="s">
        <v>65</v>
      </c>
      <c r="B17" s="43">
        <v>100208</v>
      </c>
      <c r="C17" t="s">
        <v>3115</v>
      </c>
      <c r="D17" t="str">
        <f t="shared" si="0"/>
        <v>100208 - [OBRA] ESTRUCTURA DE TECHUMBRE</v>
      </c>
    </row>
    <row r="18" spans="1:4" x14ac:dyDescent="0.25">
      <c r="A18" s="43" t="s">
        <v>65</v>
      </c>
      <c r="B18" s="43">
        <v>100209</v>
      </c>
      <c r="C18" t="s">
        <v>3116</v>
      </c>
      <c r="D18" t="str">
        <f t="shared" si="0"/>
        <v>100209 - [OBRA] ANCLAJES Y REFUERZO ESTRUCTURAL</v>
      </c>
    </row>
    <row r="19" spans="1:4" x14ac:dyDescent="0.25">
      <c r="A19" s="43" t="s">
        <v>65</v>
      </c>
      <c r="B19" s="43">
        <v>100211</v>
      </c>
      <c r="C19" t="s">
        <v>3117</v>
      </c>
      <c r="D19" t="str">
        <f t="shared" si="0"/>
        <v>100211 - [OBRA] OTRAS PARTIDAS DE OBRA GRUESA</v>
      </c>
    </row>
    <row r="20" spans="1:4" x14ac:dyDescent="0.25">
      <c r="A20" s="43" t="s">
        <v>65</v>
      </c>
      <c r="B20" s="43">
        <v>100212</v>
      </c>
      <c r="C20" t="s">
        <v>3118</v>
      </c>
      <c r="D20" t="str">
        <f t="shared" si="0"/>
        <v>100212 - [OBRA] GRÚAS</v>
      </c>
    </row>
    <row r="21" spans="1:4" x14ac:dyDescent="0.25">
      <c r="A21" s="43" t="s">
        <v>65</v>
      </c>
      <c r="B21" s="43">
        <v>100213</v>
      </c>
      <c r="C21" t="s">
        <v>3119</v>
      </c>
      <c r="D21" t="str">
        <f t="shared" si="0"/>
        <v>100213 - [OBRA] ANDAMIOS GENERALES Y CARRERAS</v>
      </c>
    </row>
    <row r="22" spans="1:4" x14ac:dyDescent="0.25">
      <c r="A22" s="43" t="s">
        <v>65</v>
      </c>
      <c r="B22" s="43">
        <v>100214</v>
      </c>
      <c r="C22" t="s">
        <v>3120</v>
      </c>
      <c r="D22" t="str">
        <f t="shared" si="0"/>
        <v>100214 - [OBRA] ANDAMIOS DE FACHADA</v>
      </c>
    </row>
    <row r="23" spans="1:4" x14ac:dyDescent="0.25">
      <c r="A23" s="43" t="s">
        <v>65</v>
      </c>
      <c r="B23" s="43">
        <v>100301</v>
      </c>
      <c r="C23" t="s">
        <v>3121</v>
      </c>
      <c r="D23" t="str">
        <f t="shared" si="0"/>
        <v>100301 - [OBRA] TABIQUERÍAS Y CIELOS FALSOS</v>
      </c>
    </row>
    <row r="24" spans="1:4" x14ac:dyDescent="0.25">
      <c r="A24" s="43" t="s">
        <v>65</v>
      </c>
      <c r="B24" s="43">
        <v>100302</v>
      </c>
      <c r="C24" t="s">
        <v>3122</v>
      </c>
      <c r="D24" t="str">
        <f t="shared" si="0"/>
        <v>100302 - [OBRA] IMPERMEABILIZACIÓN Y AISLACIÓN</v>
      </c>
    </row>
    <row r="25" spans="1:4" x14ac:dyDescent="0.25">
      <c r="A25" s="43" t="s">
        <v>65</v>
      </c>
      <c r="B25" s="43">
        <v>100303</v>
      </c>
      <c r="C25" t="s">
        <v>3123</v>
      </c>
      <c r="D25" t="str">
        <f t="shared" si="0"/>
        <v>100303 - [OBRA] ESTUCOS, YESOS Y MAQUILLAJES</v>
      </c>
    </row>
    <row r="26" spans="1:4" x14ac:dyDescent="0.25">
      <c r="A26" s="43" t="s">
        <v>65</v>
      </c>
      <c r="B26" s="43">
        <v>100304</v>
      </c>
      <c r="C26" t="s">
        <v>3124</v>
      </c>
      <c r="D26" t="str">
        <f t="shared" si="0"/>
        <v>100304 - [OBRA] PAVIMENTOS INTERIORES</v>
      </c>
    </row>
    <row r="27" spans="1:4" x14ac:dyDescent="0.25">
      <c r="A27" s="43" t="s">
        <v>65</v>
      </c>
      <c r="B27" s="43">
        <v>100305</v>
      </c>
      <c r="C27" t="s">
        <v>3125</v>
      </c>
      <c r="D27" t="str">
        <f t="shared" si="0"/>
        <v>100305 - [OBRA] PAVIMENTOS SECTORES COMUNES</v>
      </c>
    </row>
    <row r="28" spans="1:4" x14ac:dyDescent="0.25">
      <c r="A28" s="43" t="s">
        <v>65</v>
      </c>
      <c r="B28" s="43">
        <v>100306</v>
      </c>
      <c r="C28" t="s">
        <v>3126</v>
      </c>
      <c r="D28" t="str">
        <f t="shared" si="0"/>
        <v>100306 - [OBRA] REVESTIMIENTO INTERIOR Y PAPEL</v>
      </c>
    </row>
    <row r="29" spans="1:4" x14ac:dyDescent="0.25">
      <c r="A29" s="43" t="s">
        <v>65</v>
      </c>
      <c r="B29" s="43">
        <v>100307</v>
      </c>
      <c r="C29" t="s">
        <v>3127</v>
      </c>
      <c r="D29" t="str">
        <f t="shared" si="0"/>
        <v>100307 - [OBRA] REVESTIMIENTOS DE FACHADAS</v>
      </c>
    </row>
    <row r="30" spans="1:4" x14ac:dyDescent="0.25">
      <c r="A30" s="43" t="s">
        <v>65</v>
      </c>
      <c r="B30" s="43">
        <v>100308</v>
      </c>
      <c r="C30" t="s">
        <v>3128</v>
      </c>
      <c r="D30" t="str">
        <f t="shared" si="0"/>
        <v>100308 - [OBRA] PINTURAS</v>
      </c>
    </row>
    <row r="31" spans="1:4" x14ac:dyDescent="0.25">
      <c r="A31" s="43" t="s">
        <v>65</v>
      </c>
      <c r="B31" s="43">
        <v>100309</v>
      </c>
      <c r="C31" t="s">
        <v>3129</v>
      </c>
      <c r="D31" t="str">
        <f t="shared" si="0"/>
        <v>100309 - [OBRA] MARCOS, PUERTAS Y QUINCALLERÍA</v>
      </c>
    </row>
    <row r="32" spans="1:4" x14ac:dyDescent="0.25">
      <c r="A32" s="43" t="s">
        <v>65</v>
      </c>
      <c r="B32" s="43">
        <v>100310</v>
      </c>
      <c r="C32" t="s">
        <v>3130</v>
      </c>
      <c r="D32" t="str">
        <f t="shared" si="0"/>
        <v>100310 - [OBRA] VENTANAS Y ESPEJOS</v>
      </c>
    </row>
    <row r="33" spans="1:4" x14ac:dyDescent="0.25">
      <c r="A33" s="43" t="s">
        <v>65</v>
      </c>
      <c r="B33" s="43">
        <v>100311</v>
      </c>
      <c r="C33" t="s">
        <v>3131</v>
      </c>
      <c r="D33" t="str">
        <f t="shared" si="0"/>
        <v>100311 - [OBRA] MUEBLES</v>
      </c>
    </row>
    <row r="34" spans="1:4" x14ac:dyDescent="0.25">
      <c r="A34" s="43" t="s">
        <v>65</v>
      </c>
      <c r="B34" s="43">
        <v>100312</v>
      </c>
      <c r="C34" t="s">
        <v>3132</v>
      </c>
      <c r="D34" t="str">
        <f t="shared" si="0"/>
        <v>100312 - [OBRA] ARTEFACTOS SANITARIOS Y DE COCINA</v>
      </c>
    </row>
    <row r="35" spans="1:4" x14ac:dyDescent="0.25">
      <c r="A35" s="43" t="s">
        <v>65</v>
      </c>
      <c r="B35" s="43">
        <v>100313</v>
      </c>
      <c r="C35" t="s">
        <v>3133</v>
      </c>
      <c r="D35" t="str">
        <f t="shared" si="0"/>
        <v>100313 - [OBRA] SEÑALÉTICA</v>
      </c>
    </row>
    <row r="36" spans="1:4" x14ac:dyDescent="0.25">
      <c r="A36" s="43" t="s">
        <v>65</v>
      </c>
      <c r="B36" s="43">
        <v>100314</v>
      </c>
      <c r="C36" t="s">
        <v>3134</v>
      </c>
      <c r="D36" t="str">
        <f t="shared" si="0"/>
        <v>100314 - [OBRA] CARPINTERÍA METÁLICA</v>
      </c>
    </row>
    <row r="37" spans="1:4" x14ac:dyDescent="0.25">
      <c r="A37" s="43" t="s">
        <v>65</v>
      </c>
      <c r="B37" s="43">
        <v>100315</v>
      </c>
      <c r="C37" t="s">
        <v>3135</v>
      </c>
      <c r="D37" t="str">
        <f t="shared" si="0"/>
        <v>100315 - [OBRA] TERMINACIONES FINALES DEPARTAMENTOS Y ÁREAS COMUNES</v>
      </c>
    </row>
    <row r="38" spans="1:4" x14ac:dyDescent="0.25">
      <c r="A38" s="43" t="s">
        <v>65</v>
      </c>
      <c r="B38" s="43">
        <v>100401</v>
      </c>
      <c r="C38" t="s">
        <v>3136</v>
      </c>
      <c r="D38" t="str">
        <f t="shared" si="0"/>
        <v>100401 - [OBRA] INSTALACIONES SANITARIAS</v>
      </c>
    </row>
    <row r="39" spans="1:4" x14ac:dyDescent="0.25">
      <c r="A39" s="43" t="s">
        <v>65</v>
      </c>
      <c r="B39" s="43">
        <v>100402</v>
      </c>
      <c r="C39" t="s">
        <v>3137</v>
      </c>
      <c r="D39" t="str">
        <f t="shared" si="0"/>
        <v>100402 - [OBRA] INST. ELÉCT. Y CORRIENTES DÉBILES</v>
      </c>
    </row>
    <row r="40" spans="1:4" x14ac:dyDescent="0.25">
      <c r="A40" s="43" t="s">
        <v>65</v>
      </c>
      <c r="B40" s="43">
        <v>100403</v>
      </c>
      <c r="C40" t="s">
        <v>3138</v>
      </c>
      <c r="D40" t="str">
        <f t="shared" si="0"/>
        <v>100403 - [OBRA] EXTRACCIÓN DE BASURAS</v>
      </c>
    </row>
    <row r="41" spans="1:4" x14ac:dyDescent="0.25">
      <c r="A41" s="43" t="s">
        <v>65</v>
      </c>
      <c r="B41" s="43">
        <v>100404</v>
      </c>
      <c r="C41" t="s">
        <v>3139</v>
      </c>
      <c r="D41" t="str">
        <f t="shared" si="0"/>
        <v>100404 - [OBRA] ASCENSORES</v>
      </c>
    </row>
    <row r="42" spans="1:4" x14ac:dyDescent="0.25">
      <c r="A42" s="43" t="s">
        <v>65</v>
      </c>
      <c r="B42" s="43">
        <v>100405</v>
      </c>
      <c r="C42" t="s">
        <v>3140</v>
      </c>
      <c r="D42" t="str">
        <f t="shared" si="0"/>
        <v>100405 - [OBRA] EXTRACCIÓN FORZADA CLIMATIZACIÓN</v>
      </c>
    </row>
    <row r="43" spans="1:4" x14ac:dyDescent="0.25">
      <c r="A43" s="43" t="s">
        <v>65</v>
      </c>
      <c r="B43" s="43">
        <v>100406</v>
      </c>
      <c r="C43" t="s">
        <v>3141</v>
      </c>
      <c r="D43" t="str">
        <f t="shared" si="0"/>
        <v>100406 - [OBRA] INSTALACIONES ESPECIALES</v>
      </c>
    </row>
    <row r="44" spans="1:4" x14ac:dyDescent="0.25">
      <c r="A44" s="43" t="s">
        <v>65</v>
      </c>
      <c r="B44" s="43">
        <v>100407</v>
      </c>
      <c r="C44" t="s">
        <v>3142</v>
      </c>
      <c r="D44" t="str">
        <f t="shared" si="0"/>
        <v>100407 - [OBRA] OTRAS INSTALACIONES</v>
      </c>
    </row>
    <row r="45" spans="1:4" x14ac:dyDescent="0.25">
      <c r="A45" s="43" t="s">
        <v>65</v>
      </c>
      <c r="B45" s="43">
        <v>100408</v>
      </c>
      <c r="C45" t="s">
        <v>3143</v>
      </c>
      <c r="D45" t="str">
        <f t="shared" si="0"/>
        <v>100408 - [OBRA] EQUIPAMIENTOS</v>
      </c>
    </row>
    <row r="46" spans="1:4" x14ac:dyDescent="0.25">
      <c r="A46" s="43" t="s">
        <v>65</v>
      </c>
      <c r="B46" s="43">
        <v>100501</v>
      </c>
      <c r="C46" t="s">
        <v>3144</v>
      </c>
      <c r="D46" t="str">
        <f t="shared" si="0"/>
        <v>100501 - [OBRA] PAVIMENTOS</v>
      </c>
    </row>
    <row r="47" spans="1:4" x14ac:dyDescent="0.25">
      <c r="A47" s="43" t="s">
        <v>65</v>
      </c>
      <c r="B47" s="43">
        <v>100502</v>
      </c>
      <c r="C47" t="s">
        <v>3145</v>
      </c>
      <c r="D47" t="str">
        <f t="shared" si="0"/>
        <v>100502 - [OBRA] PISCINA</v>
      </c>
    </row>
    <row r="48" spans="1:4" x14ac:dyDescent="0.25">
      <c r="A48" s="43" t="s">
        <v>65</v>
      </c>
      <c r="B48" s="43">
        <v>100503</v>
      </c>
      <c r="C48" t="s">
        <v>3146</v>
      </c>
      <c r="D48" t="str">
        <f t="shared" si="0"/>
        <v>100503 - [OBRA] JARDINES Y RELLENOS</v>
      </c>
    </row>
    <row r="49" spans="1:4" x14ac:dyDescent="0.25">
      <c r="A49" s="43" t="s">
        <v>65</v>
      </c>
      <c r="B49" s="43">
        <v>100504</v>
      </c>
      <c r="C49" t="s">
        <v>3147</v>
      </c>
      <c r="D49" t="str">
        <f t="shared" si="0"/>
        <v>100504 - [OBRA] PÉRGOLAS Y QUINCHOS</v>
      </c>
    </row>
    <row r="50" spans="1:4" x14ac:dyDescent="0.25">
      <c r="A50" s="43" t="s">
        <v>65</v>
      </c>
      <c r="B50" s="43">
        <v>100505</v>
      </c>
      <c r="C50" t="s">
        <v>3148</v>
      </c>
      <c r="D50" t="str">
        <f t="shared" si="0"/>
        <v>100505 - [OBRA] REPARACIÓN DE VEREDAS Y CALZADAS</v>
      </c>
    </row>
    <row r="51" spans="1:4" x14ac:dyDescent="0.25">
      <c r="A51" s="43" t="s">
        <v>65</v>
      </c>
      <c r="B51" s="43">
        <v>100506</v>
      </c>
      <c r="C51" t="s">
        <v>3149</v>
      </c>
      <c r="D51" t="str">
        <f t="shared" si="0"/>
        <v>100506 - [OBRA] OBRAS DE IMPACTO VIAL</v>
      </c>
    </row>
    <row r="52" spans="1:4" x14ac:dyDescent="0.25">
      <c r="A52" s="43" t="s">
        <v>65</v>
      </c>
      <c r="B52" s="43">
        <v>100507</v>
      </c>
      <c r="C52" t="s">
        <v>3150</v>
      </c>
      <c r="D52" t="str">
        <f t="shared" si="0"/>
        <v>100507 - [OBRA] OTRAS OBRAS EXTERIORES</v>
      </c>
    </row>
    <row r="53" spans="1:4" x14ac:dyDescent="0.25">
      <c r="A53" s="43" t="s">
        <v>65</v>
      </c>
      <c r="B53" s="43">
        <v>100601</v>
      </c>
      <c r="C53" t="s">
        <v>3151</v>
      </c>
      <c r="D53" t="str">
        <f t="shared" si="0"/>
        <v>100601 - [OBRA] PERSONAL DIRECTIVO</v>
      </c>
    </row>
    <row r="54" spans="1:4" x14ac:dyDescent="0.25">
      <c r="A54" s="43" t="s">
        <v>65</v>
      </c>
      <c r="B54" s="43">
        <v>100602</v>
      </c>
      <c r="C54" t="s">
        <v>3152</v>
      </c>
      <c r="D54" t="str">
        <f t="shared" si="0"/>
        <v>100602 - [OBRA] PERSONAL DE APOYO</v>
      </c>
    </row>
    <row r="55" spans="1:4" x14ac:dyDescent="0.25">
      <c r="A55" s="43" t="s">
        <v>65</v>
      </c>
      <c r="B55" s="43">
        <v>100603</v>
      </c>
      <c r="C55" t="s">
        <v>3153</v>
      </c>
      <c r="D55" t="str">
        <f t="shared" si="0"/>
        <v>100603 - [OBRA] HERRAMIENTAS</v>
      </c>
    </row>
    <row r="56" spans="1:4" x14ac:dyDescent="0.25">
      <c r="A56" s="43" t="s">
        <v>65</v>
      </c>
      <c r="B56" s="43">
        <v>100604</v>
      </c>
      <c r="C56" t="s">
        <v>3154</v>
      </c>
      <c r="D56" t="str">
        <f t="shared" si="0"/>
        <v>100604 - [OBRA] MAQUINARIAS</v>
      </c>
    </row>
    <row r="57" spans="1:4" x14ac:dyDescent="0.25">
      <c r="A57" s="43" t="s">
        <v>65</v>
      </c>
      <c r="B57" s="43">
        <v>100606</v>
      </c>
      <c r="C57" t="s">
        <v>3155</v>
      </c>
      <c r="D57" t="str">
        <f t="shared" si="0"/>
        <v>100606 - [OBRA] ELEMENTOS DE SEGURIDAD</v>
      </c>
    </row>
    <row r="58" spans="1:4" x14ac:dyDescent="0.25">
      <c r="A58" s="43" t="s">
        <v>65</v>
      </c>
      <c r="B58" s="43">
        <v>100607</v>
      </c>
      <c r="C58" t="s">
        <v>3156</v>
      </c>
      <c r="D58" t="str">
        <f t="shared" si="0"/>
        <v>100607 - [OBRA] FLETES</v>
      </c>
    </row>
    <row r="59" spans="1:4" x14ac:dyDescent="0.25">
      <c r="A59" s="43" t="s">
        <v>65</v>
      </c>
      <c r="B59" s="43">
        <v>100610</v>
      </c>
      <c r="C59" t="s">
        <v>3157</v>
      </c>
      <c r="D59" t="str">
        <f t="shared" si="0"/>
        <v>100610 - [OBRA] COMUNICACIÓN Y DATOS</v>
      </c>
    </row>
    <row r="60" spans="1:4" x14ac:dyDescent="0.25">
      <c r="A60" s="43" t="s">
        <v>65</v>
      </c>
      <c r="B60" s="43">
        <v>100611</v>
      </c>
      <c r="C60" t="s">
        <v>3158</v>
      </c>
      <c r="D60" t="str">
        <f t="shared" si="0"/>
        <v>100611 - [OBRA] CONSUMOS PROVISORIOS DE OBRA</v>
      </c>
    </row>
    <row r="61" spans="1:4" x14ac:dyDescent="0.25">
      <c r="A61" s="43" t="s">
        <v>65</v>
      </c>
      <c r="B61" s="43">
        <v>100612</v>
      </c>
      <c r="C61" t="s">
        <v>3159</v>
      </c>
      <c r="D61" t="str">
        <f t="shared" si="0"/>
        <v>100612 - [OBRA] GASTOS MENORES Y CAJAS CHICAS</v>
      </c>
    </row>
    <row r="62" spans="1:4" x14ac:dyDescent="0.25">
      <c r="A62" s="43" t="s">
        <v>65</v>
      </c>
      <c r="B62" s="43">
        <v>100613</v>
      </c>
      <c r="C62" t="s">
        <v>3160</v>
      </c>
      <c r="D62" t="str">
        <f t="shared" si="0"/>
        <v>100613 - [OBRA] ENSAYOS</v>
      </c>
    </row>
    <row r="63" spans="1:4" x14ac:dyDescent="0.25">
      <c r="A63" s="43" t="s">
        <v>65</v>
      </c>
      <c r="B63" s="43">
        <v>100614</v>
      </c>
      <c r="C63" t="s">
        <v>3161</v>
      </c>
      <c r="D63" t="str">
        <f t="shared" si="0"/>
        <v>100614 - [OBRA] SEGUROS Y GARANTÍAS</v>
      </c>
    </row>
    <row r="64" spans="1:4" x14ac:dyDescent="0.25">
      <c r="A64" s="43" t="s">
        <v>65</v>
      </c>
      <c r="B64" s="43">
        <v>100615</v>
      </c>
      <c r="C64" t="s">
        <v>3162</v>
      </c>
      <c r="D64" t="str">
        <f t="shared" si="0"/>
        <v>100615 - [OBRA] HONORARIOS VARIOS</v>
      </c>
    </row>
    <row r="65" spans="1:4" x14ac:dyDescent="0.25">
      <c r="A65" s="43" t="s">
        <v>65</v>
      </c>
      <c r="B65" s="43">
        <v>100616</v>
      </c>
      <c r="C65" t="s">
        <v>3163</v>
      </c>
      <c r="D65" t="str">
        <f t="shared" si="0"/>
        <v>100616 - [OBRA] OTROS GASTOS GENERALES</v>
      </c>
    </row>
    <row r="66" spans="1:4" x14ac:dyDescent="0.25">
      <c r="A66" s="43" t="s">
        <v>65</v>
      </c>
      <c r="B66" s="43">
        <v>100617</v>
      </c>
      <c r="C66" t="s">
        <v>3164</v>
      </c>
      <c r="D66" t="str">
        <f t="shared" si="0"/>
        <v>100617 - [OBRA] INVESTIGACIÓN Y DESARROLLO</v>
      </c>
    </row>
    <row r="67" spans="1:4" x14ac:dyDescent="0.25">
      <c r="A67" s="43" t="s">
        <v>65</v>
      </c>
      <c r="B67" s="43">
        <v>100618</v>
      </c>
      <c r="C67" t="s">
        <v>3165</v>
      </c>
      <c r="D67" t="str">
        <f t="shared" ref="D67:D130" si="1">+B67&amp;" - "&amp;C67</f>
        <v>100618 - [OBRA] PROVISIÓN PARA POSTVENTA</v>
      </c>
    </row>
    <row r="68" spans="1:4" x14ac:dyDescent="0.25">
      <c r="A68" s="43" t="s">
        <v>65</v>
      </c>
      <c r="B68" s="43">
        <v>100619</v>
      </c>
      <c r="C68" t="s">
        <v>3166</v>
      </c>
      <c r="D68" t="str">
        <f t="shared" si="1"/>
        <v>100619 - [OBRA] GASTO GENERAL DE OFICINA CENTRAL</v>
      </c>
    </row>
    <row r="69" spans="1:4" x14ac:dyDescent="0.25">
      <c r="A69" s="43" t="s">
        <v>65</v>
      </c>
      <c r="B69" s="43">
        <v>100620</v>
      </c>
      <c r="C69" t="s">
        <v>3167</v>
      </c>
      <c r="D69" t="str">
        <f t="shared" si="1"/>
        <v>100620 - [OBRA] ASEO PERMANENTE DE OBRA</v>
      </c>
    </row>
    <row r="70" spans="1:4" x14ac:dyDescent="0.25">
      <c r="A70" s="43" t="s">
        <v>65</v>
      </c>
      <c r="B70" s="43">
        <v>100621</v>
      </c>
      <c r="C70" t="s">
        <v>3168</v>
      </c>
      <c r="D70" t="str">
        <f t="shared" si="1"/>
        <v>100621 - [OBRA] JORNALES</v>
      </c>
    </row>
    <row r="71" spans="1:4" x14ac:dyDescent="0.25">
      <c r="A71" s="43" t="s">
        <v>65</v>
      </c>
      <c r="B71" s="43">
        <v>100622</v>
      </c>
      <c r="C71" t="s">
        <v>3169</v>
      </c>
      <c r="D71" t="str">
        <f t="shared" si="1"/>
        <v>100622 - [OBRA] PERMISOS</v>
      </c>
    </row>
    <row r="72" spans="1:4" x14ac:dyDescent="0.25">
      <c r="A72" s="43" t="s">
        <v>65</v>
      </c>
      <c r="B72" s="43">
        <v>100623</v>
      </c>
      <c r="C72" t="s">
        <v>3170</v>
      </c>
      <c r="D72" t="str">
        <f t="shared" si="1"/>
        <v>100623 - [OBRA] GASTOS FINANCIEROS</v>
      </c>
    </row>
    <row r="73" spans="1:4" x14ac:dyDescent="0.25">
      <c r="A73" s="43" t="s">
        <v>65</v>
      </c>
      <c r="B73" s="43">
        <v>100624</v>
      </c>
      <c r="C73" t="s">
        <v>3171</v>
      </c>
      <c r="D73" t="str">
        <f t="shared" si="1"/>
        <v>100624 - [OBRA] DIFERENCIA DISTRIBUCIONES</v>
      </c>
    </row>
    <row r="74" spans="1:4" x14ac:dyDescent="0.25">
      <c r="A74" s="43" t="s">
        <v>65</v>
      </c>
      <c r="B74" s="43">
        <v>100625</v>
      </c>
      <c r="C74" t="s">
        <v>3172</v>
      </c>
      <c r="D74" t="str">
        <f t="shared" si="1"/>
        <v>100625 - [OBRA] PROVISION FINIQUITOS</v>
      </c>
    </row>
    <row r="75" spans="1:4" x14ac:dyDescent="0.25">
      <c r="A75" s="43" t="s">
        <v>65</v>
      </c>
      <c r="B75" s="43">
        <v>100626</v>
      </c>
      <c r="C75" t="s">
        <v>3173</v>
      </c>
      <c r="D75" t="str">
        <f t="shared" si="1"/>
        <v>100626 - [OBRA] BENEFICIOS EXTERNOS</v>
      </c>
    </row>
    <row r="76" spans="1:4" x14ac:dyDescent="0.25">
      <c r="A76" s="43" t="s">
        <v>65</v>
      </c>
      <c r="B76" s="43">
        <v>100701</v>
      </c>
      <c r="C76" t="s">
        <v>3174</v>
      </c>
      <c r="D76" t="str">
        <f t="shared" si="1"/>
        <v>100701 - NO UTILIZAR [OBRA] OBRA GRUESA</v>
      </c>
    </row>
    <row r="77" spans="1:4" x14ac:dyDescent="0.25">
      <c r="A77" s="43" t="s">
        <v>65</v>
      </c>
      <c r="B77" s="43">
        <v>100702</v>
      </c>
      <c r="C77" t="s">
        <v>3175</v>
      </c>
      <c r="D77" t="str">
        <f t="shared" si="1"/>
        <v>100702 - NO UTILIZAR [OBRA] TERMINACIONES</v>
      </c>
    </row>
    <row r="78" spans="1:4" x14ac:dyDescent="0.25">
      <c r="A78" s="43" t="s">
        <v>65</v>
      </c>
      <c r="B78" s="43">
        <v>100703</v>
      </c>
      <c r="C78" t="s">
        <v>3176</v>
      </c>
      <c r="D78" t="str">
        <f t="shared" si="1"/>
        <v>100703 - NO UTILIZAR [OBRA] INSTALACIONES</v>
      </c>
    </row>
    <row r="79" spans="1:4" x14ac:dyDescent="0.25">
      <c r="A79" s="43" t="s">
        <v>65</v>
      </c>
      <c r="B79" s="43">
        <v>100704</v>
      </c>
      <c r="C79" t="s">
        <v>3177</v>
      </c>
      <c r="D79" t="str">
        <f t="shared" si="1"/>
        <v>100704 - NO UTILIZAR [OBRA] OBRAS EXTERIORES</v>
      </c>
    </row>
    <row r="80" spans="1:4" x14ac:dyDescent="0.25">
      <c r="A80" s="43" t="s">
        <v>65</v>
      </c>
      <c r="B80" s="43">
        <v>100705</v>
      </c>
      <c r="C80" t="s">
        <v>3178</v>
      </c>
      <c r="D80" t="str">
        <f t="shared" si="1"/>
        <v>100705 - NO UTILIZAR [OBRA] OOEE GASTOS GENERALES</v>
      </c>
    </row>
    <row r="81" spans="1:4" x14ac:dyDescent="0.25">
      <c r="A81" s="43" t="s">
        <v>65</v>
      </c>
      <c r="B81" s="43">
        <v>100800</v>
      </c>
      <c r="C81" t="s">
        <v>3179</v>
      </c>
      <c r="D81" t="str">
        <f t="shared" si="1"/>
        <v>100800 - [OBRA] URBANIZACIÓN</v>
      </c>
    </row>
    <row r="82" spans="1:4" x14ac:dyDescent="0.25">
      <c r="A82" s="43" t="s">
        <v>65</v>
      </c>
      <c r="B82" s="43">
        <v>100801</v>
      </c>
      <c r="C82" t="s">
        <v>3180</v>
      </c>
      <c r="D82" t="str">
        <f t="shared" si="1"/>
        <v>100801 - [OBRA] PAVIMENTACIÓN PÚBLICA</v>
      </c>
    </row>
    <row r="83" spans="1:4" x14ac:dyDescent="0.25">
      <c r="A83" s="43" t="s">
        <v>65</v>
      </c>
      <c r="B83" s="43">
        <v>100802</v>
      </c>
      <c r="C83" t="s">
        <v>3181</v>
      </c>
      <c r="D83" t="str">
        <f t="shared" si="1"/>
        <v>100802 - [OBRA] AGUAS LLUVIAS PÚBLICA</v>
      </c>
    </row>
    <row r="84" spans="1:4" x14ac:dyDescent="0.25">
      <c r="A84" s="43" t="s">
        <v>65</v>
      </c>
      <c r="B84" s="43">
        <v>100803</v>
      </c>
      <c r="C84" t="s">
        <v>3182</v>
      </c>
      <c r="D84" t="str">
        <f t="shared" si="1"/>
        <v>100803 - [OBRA] AGUA POTABLE PÚBLICA</v>
      </c>
    </row>
    <row r="85" spans="1:4" x14ac:dyDescent="0.25">
      <c r="A85" s="43" t="s">
        <v>65</v>
      </c>
      <c r="B85" s="43">
        <v>100804</v>
      </c>
      <c r="C85" t="s">
        <v>3183</v>
      </c>
      <c r="D85" t="str">
        <f t="shared" si="1"/>
        <v>100804 - [OBRA] ALCANTARILLADO PÚBLICO</v>
      </c>
    </row>
    <row r="86" spans="1:4" x14ac:dyDescent="0.25">
      <c r="A86" s="43" t="s">
        <v>65</v>
      </c>
      <c r="B86" s="43">
        <v>100805</v>
      </c>
      <c r="C86" t="s">
        <v>3184</v>
      </c>
      <c r="D86" t="str">
        <f t="shared" si="1"/>
        <v>100805 - [OBRA] GAS PÚBLICO</v>
      </c>
    </row>
    <row r="87" spans="1:4" x14ac:dyDescent="0.25">
      <c r="A87" s="43" t="s">
        <v>65</v>
      </c>
      <c r="B87" s="43">
        <v>100806</v>
      </c>
      <c r="C87" t="s">
        <v>3185</v>
      </c>
      <c r="D87" t="str">
        <f t="shared" si="1"/>
        <v>100806 - [OBRA] ELECTRICIDAD PÚBLICA</v>
      </c>
    </row>
    <row r="88" spans="1:4" x14ac:dyDescent="0.25">
      <c r="A88" s="43" t="s">
        <v>65</v>
      </c>
      <c r="B88" s="43">
        <v>100807</v>
      </c>
      <c r="C88" t="s">
        <v>3186</v>
      </c>
      <c r="D88" t="str">
        <f t="shared" si="1"/>
        <v>100807 - [OBRA] SEÑALETICA PÚBLICA</v>
      </c>
    </row>
    <row r="89" spans="1:4" x14ac:dyDescent="0.25">
      <c r="A89" s="43" t="s">
        <v>65</v>
      </c>
      <c r="B89" s="43">
        <v>100808</v>
      </c>
      <c r="C89" t="s">
        <v>3187</v>
      </c>
      <c r="D89" t="str">
        <f t="shared" si="1"/>
        <v>100808 - [OBRA] DEMARCACIONES PÚBLICA</v>
      </c>
    </row>
    <row r="90" spans="1:4" x14ac:dyDescent="0.25">
      <c r="A90" s="43" t="s">
        <v>65</v>
      </c>
      <c r="B90" s="43">
        <v>100809</v>
      </c>
      <c r="C90" t="s">
        <v>3188</v>
      </c>
      <c r="D90" t="str">
        <f t="shared" si="1"/>
        <v>100809 - [OBRA] ÁREAS VERDES PÚBLICAS</v>
      </c>
    </row>
    <row r="91" spans="1:4" x14ac:dyDescent="0.25">
      <c r="A91" s="43" t="s">
        <v>65</v>
      </c>
      <c r="B91" s="43">
        <v>100811</v>
      </c>
      <c r="C91" t="s">
        <v>3189</v>
      </c>
      <c r="D91" t="str">
        <f t="shared" si="1"/>
        <v>100811 - [OBRA] PAVIMENTACIÓN PRIVADA</v>
      </c>
    </row>
    <row r="92" spans="1:4" x14ac:dyDescent="0.25">
      <c r="A92" s="43" t="s">
        <v>65</v>
      </c>
      <c r="B92" s="43">
        <v>100812</v>
      </c>
      <c r="C92" t="s">
        <v>3190</v>
      </c>
      <c r="D92" t="str">
        <f t="shared" si="1"/>
        <v>100812 - [OBRA] AGUAS LLUVIAS PRIVADA</v>
      </c>
    </row>
    <row r="93" spans="1:4" x14ac:dyDescent="0.25">
      <c r="A93" s="43" t="s">
        <v>65</v>
      </c>
      <c r="B93" s="43">
        <v>100813</v>
      </c>
      <c r="C93" t="s">
        <v>3191</v>
      </c>
      <c r="D93" t="str">
        <f t="shared" si="1"/>
        <v>100813 - [OBRA] AGUA POTABLE PRIVADA</v>
      </c>
    </row>
    <row r="94" spans="1:4" x14ac:dyDescent="0.25">
      <c r="A94" s="43" t="s">
        <v>65</v>
      </c>
      <c r="B94" s="43">
        <v>100814</v>
      </c>
      <c r="C94" t="s">
        <v>3192</v>
      </c>
      <c r="D94" t="str">
        <f t="shared" si="1"/>
        <v>100814 - [OBRA] ALCANTARILLADO PRIVADO</v>
      </c>
    </row>
    <row r="95" spans="1:4" x14ac:dyDescent="0.25">
      <c r="A95" s="43" t="s">
        <v>65</v>
      </c>
      <c r="B95" s="43">
        <v>100815</v>
      </c>
      <c r="C95" t="s">
        <v>3193</v>
      </c>
      <c r="D95" t="str">
        <f t="shared" si="1"/>
        <v>100815 - [OBRA] GAS PRIVADO</v>
      </c>
    </row>
    <row r="96" spans="1:4" x14ac:dyDescent="0.25">
      <c r="A96" s="43" t="s">
        <v>65</v>
      </c>
      <c r="B96" s="43">
        <v>100816</v>
      </c>
      <c r="C96" t="s">
        <v>3194</v>
      </c>
      <c r="D96" t="str">
        <f t="shared" si="1"/>
        <v>100816 - [OBRA] ELECTRICIDAD PRIVADA</v>
      </c>
    </row>
    <row r="97" spans="1:4" x14ac:dyDescent="0.25">
      <c r="A97" s="43" t="s">
        <v>65</v>
      </c>
      <c r="B97" s="43">
        <v>100817</v>
      </c>
      <c r="C97" t="s">
        <v>3195</v>
      </c>
      <c r="D97" t="str">
        <f t="shared" si="1"/>
        <v>100817 - [OBRA] SEÑALÉTICA PRIVADA</v>
      </c>
    </row>
    <row r="98" spans="1:4" x14ac:dyDescent="0.25">
      <c r="A98" s="43" t="s">
        <v>65</v>
      </c>
      <c r="B98" s="43">
        <v>100818</v>
      </c>
      <c r="C98" t="s">
        <v>3196</v>
      </c>
      <c r="D98" t="str">
        <f t="shared" si="1"/>
        <v>100818 - [OBRA] DEMARCACIONES PRIVADAS</v>
      </c>
    </row>
    <row r="99" spans="1:4" x14ac:dyDescent="0.25">
      <c r="A99" s="43" t="s">
        <v>65</v>
      </c>
      <c r="B99" s="43">
        <v>100819</v>
      </c>
      <c r="C99" t="s">
        <v>3197</v>
      </c>
      <c r="D99" t="str">
        <f t="shared" si="1"/>
        <v>100819 - [OBRA] ÁREAS VERDES PRIVADAS</v>
      </c>
    </row>
    <row r="100" spans="1:4" x14ac:dyDescent="0.25">
      <c r="A100" s="43" t="s">
        <v>65</v>
      </c>
      <c r="B100" s="43">
        <v>100901</v>
      </c>
      <c r="C100" t="s">
        <v>3198</v>
      </c>
      <c r="D100" t="str">
        <f t="shared" si="1"/>
        <v>100901 - [OBRA] DESCUENTO SUBCONTRATO</v>
      </c>
    </row>
    <row r="101" spans="1:4" x14ac:dyDescent="0.25">
      <c r="A101" s="43" t="s">
        <v>65</v>
      </c>
      <c r="B101" s="43">
        <v>109999</v>
      </c>
      <c r="C101" t="s">
        <v>3199</v>
      </c>
      <c r="D101" t="str">
        <f t="shared" si="1"/>
        <v>109999 - [OBRA] SALDO POR DISTRIBUIR</v>
      </c>
    </row>
    <row r="102" spans="1:4" x14ac:dyDescent="0.25">
      <c r="A102" s="43" t="s">
        <v>65</v>
      </c>
      <c r="B102" s="43" t="s">
        <v>3200</v>
      </c>
      <c r="C102" t="s">
        <v>3201</v>
      </c>
      <c r="D102" t="str">
        <f t="shared" si="1"/>
        <v>1   -  [INTEGRACION] PARTIDA SIN ASIGNAR  </v>
      </c>
    </row>
    <row r="103" spans="1:4" x14ac:dyDescent="0.25">
      <c r="A103" s="43" t="s">
        <v>65</v>
      </c>
      <c r="B103" s="43">
        <v>400001</v>
      </c>
      <c r="C103" t="s">
        <v>3202</v>
      </c>
      <c r="D103" t="str">
        <f t="shared" si="1"/>
        <v>400001 -  [INTEGRACION] AJUSTE DE PRECIO  </v>
      </c>
    </row>
    <row r="104" spans="1:4" x14ac:dyDescent="0.25">
      <c r="A104" s="43" t="s">
        <v>65</v>
      </c>
      <c r="B104" s="43">
        <v>400002</v>
      </c>
      <c r="C104" t="s">
        <v>3203</v>
      </c>
      <c r="D104" t="str">
        <f t="shared" si="1"/>
        <v>400002 -  [INTEGRACION] DESCUENTO SUBCONTRATOS</v>
      </c>
    </row>
    <row r="105" spans="1:4" x14ac:dyDescent="0.25">
      <c r="A105" s="43" t="s">
        <v>66</v>
      </c>
      <c r="B105" s="43">
        <v>200000</v>
      </c>
      <c r="C105" t="s">
        <v>3204</v>
      </c>
      <c r="D105" t="str">
        <f t="shared" si="1"/>
        <v>200000 -  [POSTVENTA] INGRESOS  </v>
      </c>
    </row>
    <row r="106" spans="1:4" x14ac:dyDescent="0.25">
      <c r="A106" s="43" t="s">
        <v>66</v>
      </c>
      <c r="B106" s="43">
        <v>200001</v>
      </c>
      <c r="C106" t="s">
        <v>3205</v>
      </c>
      <c r="D106" t="str">
        <f t="shared" si="1"/>
        <v>200001 -  [POSTVENTA] OBRA GRUESA  </v>
      </c>
    </row>
    <row r="107" spans="1:4" x14ac:dyDescent="0.25">
      <c r="A107" s="43" t="s">
        <v>66</v>
      </c>
      <c r="B107" s="43">
        <v>200002</v>
      </c>
      <c r="C107" t="s">
        <v>3206</v>
      </c>
      <c r="D107" t="str">
        <f t="shared" si="1"/>
        <v>200002 -  [POSTVENTA] TABIQUERÍAS Y CIELOS FALSOS  </v>
      </c>
    </row>
    <row r="108" spans="1:4" x14ac:dyDescent="0.25">
      <c r="A108" s="43" t="s">
        <v>66</v>
      </c>
      <c r="B108" s="43">
        <v>200003</v>
      </c>
      <c r="C108" t="s">
        <v>3207</v>
      </c>
      <c r="D108" t="str">
        <f t="shared" si="1"/>
        <v>200003 -  [POSTVENTA] IMPERMEABILIZACIONES Y AISLA </v>
      </c>
    </row>
    <row r="109" spans="1:4" x14ac:dyDescent="0.25">
      <c r="A109" s="43" t="s">
        <v>66</v>
      </c>
      <c r="B109" s="43">
        <v>200004</v>
      </c>
      <c r="C109" t="s">
        <v>3208</v>
      </c>
      <c r="D109" t="str">
        <f t="shared" si="1"/>
        <v>200004 -  [POSTVENTA] ESTUCOS, YESOS Y MAQUILLAJES </v>
      </c>
    </row>
    <row r="110" spans="1:4" x14ac:dyDescent="0.25">
      <c r="A110" s="43" t="s">
        <v>66</v>
      </c>
      <c r="B110" s="43">
        <v>200005</v>
      </c>
      <c r="C110" t="s">
        <v>3209</v>
      </c>
      <c r="D110" t="str">
        <f t="shared" si="1"/>
        <v>200005 -  [POSTVENTA] ALFOMBRA  </v>
      </c>
    </row>
    <row r="111" spans="1:4" x14ac:dyDescent="0.25">
      <c r="A111" s="43" t="s">
        <v>66</v>
      </c>
      <c r="B111" s="43">
        <v>200006</v>
      </c>
      <c r="C111" t="s">
        <v>3210</v>
      </c>
      <c r="D111" t="str">
        <f t="shared" si="1"/>
        <v>200006 -  [POSTVENTA] CERÁMICOS  </v>
      </c>
    </row>
    <row r="112" spans="1:4" x14ac:dyDescent="0.25">
      <c r="A112" s="43" t="s">
        <v>66</v>
      </c>
      <c r="B112" s="43">
        <v>200007</v>
      </c>
      <c r="C112" t="s">
        <v>3211</v>
      </c>
      <c r="D112" t="str">
        <f t="shared" si="1"/>
        <v>200007 -  [POSTVENTA] PISOS FOTOLAMINADOS  </v>
      </c>
    </row>
    <row r="113" spans="1:4" x14ac:dyDescent="0.25">
      <c r="A113" s="43" t="s">
        <v>66</v>
      </c>
      <c r="B113" s="43">
        <v>200008</v>
      </c>
      <c r="C113" t="s">
        <v>3212</v>
      </c>
      <c r="D113" t="str">
        <f t="shared" si="1"/>
        <v>200008 -  [POSTVENTA] REVESTIMIENTOS CERÁMICOS  </v>
      </c>
    </row>
    <row r="114" spans="1:4" x14ac:dyDescent="0.25">
      <c r="A114" s="43" t="s">
        <v>66</v>
      </c>
      <c r="B114" s="43">
        <v>200009</v>
      </c>
      <c r="C114" t="s">
        <v>3213</v>
      </c>
      <c r="D114" t="str">
        <f t="shared" si="1"/>
        <v>200009 -  [POSTVENTA] PAPELES  </v>
      </c>
    </row>
    <row r="115" spans="1:4" x14ac:dyDescent="0.25">
      <c r="A115" s="43" t="s">
        <v>66</v>
      </c>
      <c r="B115" s="43">
        <v>200010</v>
      </c>
      <c r="C115" t="s">
        <v>3214</v>
      </c>
      <c r="D115" t="str">
        <f t="shared" si="1"/>
        <v>200010 -  [POSTVENTA] PAVIMENTOS CERÁMICOS SECTORE </v>
      </c>
    </row>
    <row r="116" spans="1:4" x14ac:dyDescent="0.25">
      <c r="A116" s="43" t="s">
        <v>66</v>
      </c>
      <c r="B116" s="43">
        <v>200011</v>
      </c>
      <c r="C116" t="s">
        <v>3215</v>
      </c>
      <c r="D116" t="str">
        <f t="shared" si="1"/>
        <v>200011 -  [POSTVENTA] OTROS PAVIMENTOS SECTORES CO </v>
      </c>
    </row>
    <row r="117" spans="1:4" x14ac:dyDescent="0.25">
      <c r="A117" s="43" t="s">
        <v>66</v>
      </c>
      <c r="B117" s="43">
        <v>200012</v>
      </c>
      <c r="C117" t="s">
        <v>3216</v>
      </c>
      <c r="D117" t="str">
        <f t="shared" si="1"/>
        <v>200012 -  [POSTVENTA] REVESTIMIENTOS DE FACHADAS  </v>
      </c>
    </row>
    <row r="118" spans="1:4" x14ac:dyDescent="0.25">
      <c r="A118" s="43" t="s">
        <v>66</v>
      </c>
      <c r="B118" s="43">
        <v>200013</v>
      </c>
      <c r="C118" t="s">
        <v>3217</v>
      </c>
      <c r="D118" t="str">
        <f t="shared" si="1"/>
        <v>200013 -  [POSTVENTA] PINTURAS  </v>
      </c>
    </row>
    <row r="119" spans="1:4" x14ac:dyDescent="0.25">
      <c r="A119" s="43" t="s">
        <v>66</v>
      </c>
      <c r="B119" s="43">
        <v>200014</v>
      </c>
      <c r="C119" t="s">
        <v>3218</v>
      </c>
      <c r="D119" t="str">
        <f t="shared" si="1"/>
        <v>200014 -  [POSTVENTA] MARCOS Y PUERTAS  </v>
      </c>
    </row>
    <row r="120" spans="1:4" x14ac:dyDescent="0.25">
      <c r="A120" s="43" t="s">
        <v>66</v>
      </c>
      <c r="B120" s="43">
        <v>200015</v>
      </c>
      <c r="C120" t="s">
        <v>3219</v>
      </c>
      <c r="D120" t="str">
        <f t="shared" si="1"/>
        <v>200015 -  [POSTVENTA] QUINCALLERÍA  </v>
      </c>
    </row>
    <row r="121" spans="1:4" x14ac:dyDescent="0.25">
      <c r="A121" s="43" t="s">
        <v>66</v>
      </c>
      <c r="B121" s="43">
        <v>200016</v>
      </c>
      <c r="C121" t="s">
        <v>3220</v>
      </c>
      <c r="D121" t="str">
        <f t="shared" si="1"/>
        <v>200016 -  [POSTVENTA] VENTANAS  </v>
      </c>
    </row>
    <row r="122" spans="1:4" x14ac:dyDescent="0.25">
      <c r="A122" s="43" t="s">
        <v>66</v>
      </c>
      <c r="B122" s="43">
        <v>200017</v>
      </c>
      <c r="C122" t="s">
        <v>3221</v>
      </c>
      <c r="D122" t="str">
        <f t="shared" si="1"/>
        <v>200017 -  [POSTVENTA] MUEBLES  </v>
      </c>
    </row>
    <row r="123" spans="1:4" x14ac:dyDescent="0.25">
      <c r="A123" s="43" t="s">
        <v>66</v>
      </c>
      <c r="B123" s="43">
        <v>200018</v>
      </c>
      <c r="C123" t="s">
        <v>3222</v>
      </c>
      <c r="D123" t="str">
        <f t="shared" si="1"/>
        <v>200018 -  [POSTVENTA] ARTEFACTOS SANITARIOS Y DE C </v>
      </c>
    </row>
    <row r="124" spans="1:4" x14ac:dyDescent="0.25">
      <c r="A124" s="43" t="s">
        <v>66</v>
      </c>
      <c r="B124" s="43">
        <v>200019</v>
      </c>
      <c r="C124" t="s">
        <v>3223</v>
      </c>
      <c r="D124" t="str">
        <f t="shared" si="1"/>
        <v>200019 -  [POSTVENTA] GRIFERÍA</v>
      </c>
    </row>
    <row r="125" spans="1:4" x14ac:dyDescent="0.25">
      <c r="A125" s="43" t="s">
        <v>66</v>
      </c>
      <c r="B125" s="43">
        <v>200020</v>
      </c>
      <c r="C125" t="s">
        <v>3224</v>
      </c>
      <c r="D125" t="str">
        <f t="shared" si="1"/>
        <v>200020 -  [POSTVENTA] SEÑALÉTICA  </v>
      </c>
    </row>
    <row r="126" spans="1:4" x14ac:dyDescent="0.25">
      <c r="A126" s="43" t="s">
        <v>66</v>
      </c>
      <c r="B126" s="43">
        <v>200021</v>
      </c>
      <c r="C126" t="s">
        <v>3225</v>
      </c>
      <c r="D126" t="str">
        <f t="shared" si="1"/>
        <v>200021 -  [POSTVENTA] CARPINTERÍA METÁLICA  </v>
      </c>
    </row>
    <row r="127" spans="1:4" x14ac:dyDescent="0.25">
      <c r="A127" s="43" t="s">
        <v>66</v>
      </c>
      <c r="B127" s="43">
        <v>200022</v>
      </c>
      <c r="C127" t="s">
        <v>3226</v>
      </c>
      <c r="D127" t="str">
        <f t="shared" si="1"/>
        <v>200022 -  [POSTVENTA] OTRAS PARTIDAS DE TERMINACIO </v>
      </c>
    </row>
    <row r="128" spans="1:4" x14ac:dyDescent="0.25">
      <c r="A128" s="43" t="s">
        <v>66</v>
      </c>
      <c r="B128" s="43">
        <v>200023</v>
      </c>
      <c r="C128" t="s">
        <v>3227</v>
      </c>
      <c r="D128" t="str">
        <f t="shared" si="1"/>
        <v>200023 -  [POSTVENTA] INSTALACIONES SANITARIAS  </v>
      </c>
    </row>
    <row r="129" spans="1:4" x14ac:dyDescent="0.25">
      <c r="A129" s="43" t="s">
        <v>66</v>
      </c>
      <c r="B129" s="43">
        <v>200024</v>
      </c>
      <c r="C129" t="s">
        <v>3228</v>
      </c>
      <c r="D129" t="str">
        <f t="shared" si="1"/>
        <v>200024 -  [POSTVENTA] INSTALACIONES ELÉCTRICAS  </v>
      </c>
    </row>
    <row r="130" spans="1:4" x14ac:dyDescent="0.25">
      <c r="A130" s="43" t="s">
        <v>66</v>
      </c>
      <c r="B130" s="43">
        <v>200025</v>
      </c>
      <c r="C130" t="s">
        <v>3229</v>
      </c>
      <c r="D130" t="str">
        <f t="shared" si="1"/>
        <v>200025 -  [POSTVENTA] CORRIENTES DÉBILES  </v>
      </c>
    </row>
    <row r="131" spans="1:4" x14ac:dyDescent="0.25">
      <c r="A131" s="43" t="s">
        <v>66</v>
      </c>
      <c r="B131" s="43">
        <v>200026</v>
      </c>
      <c r="C131" t="s">
        <v>3230</v>
      </c>
      <c r="D131" t="str">
        <f t="shared" ref="D131:D194" si="2">+B131&amp;" - "&amp;C131</f>
        <v>200026 -  [POSTVENTA] EXTRACCIÓN DE BASURAS  </v>
      </c>
    </row>
    <row r="132" spans="1:4" x14ac:dyDescent="0.25">
      <c r="A132" s="43" t="s">
        <v>66</v>
      </c>
      <c r="B132" s="43">
        <v>200027</v>
      </c>
      <c r="C132" t="s">
        <v>3231</v>
      </c>
      <c r="D132" t="str">
        <f t="shared" si="2"/>
        <v>200027 -  [POSTVENTA] ASCENSORES  </v>
      </c>
    </row>
    <row r="133" spans="1:4" x14ac:dyDescent="0.25">
      <c r="A133" s="43" t="s">
        <v>66</v>
      </c>
      <c r="B133" s="43">
        <v>200028</v>
      </c>
      <c r="C133" t="s">
        <v>3232</v>
      </c>
      <c r="D133" t="str">
        <f t="shared" si="2"/>
        <v>200028 -  [POSTVENTA] EXTRACCIÓN FORZADA Y CLIMATI </v>
      </c>
    </row>
    <row r="134" spans="1:4" x14ac:dyDescent="0.25">
      <c r="A134" s="43" t="s">
        <v>66</v>
      </c>
      <c r="B134" s="43">
        <v>200029</v>
      </c>
      <c r="C134" t="s">
        <v>3233</v>
      </c>
      <c r="D134" t="str">
        <f t="shared" si="2"/>
        <v>200029 -  [POSTVENTA] INSTALACIONES ESPECIALES  </v>
      </c>
    </row>
    <row r="135" spans="1:4" x14ac:dyDescent="0.25">
      <c r="A135" s="43" t="s">
        <v>66</v>
      </c>
      <c r="B135" s="43">
        <v>200030</v>
      </c>
      <c r="C135" t="s">
        <v>3234</v>
      </c>
      <c r="D135" t="str">
        <f t="shared" si="2"/>
        <v>200030 -  [POSTVENTA] OTRAS INSTALACIONES  </v>
      </c>
    </row>
    <row r="136" spans="1:4" x14ac:dyDescent="0.25">
      <c r="A136" s="43" t="s">
        <v>66</v>
      </c>
      <c r="B136" s="43">
        <v>200031</v>
      </c>
      <c r="C136" t="s">
        <v>3235</v>
      </c>
      <c r="D136" t="str">
        <f t="shared" si="2"/>
        <v>200031 -  [POSTVENTA] OBRAS EXTERIORES  </v>
      </c>
    </row>
    <row r="137" spans="1:4" x14ac:dyDescent="0.25">
      <c r="A137" s="43" t="s">
        <v>66</v>
      </c>
      <c r="B137" s="43">
        <v>200032</v>
      </c>
      <c r="C137" t="s">
        <v>3236</v>
      </c>
      <c r="D137" t="str">
        <f t="shared" si="2"/>
        <v>200032 -  [POSTVENTA] PERSONAL DIRECTIVO  </v>
      </c>
    </row>
    <row r="138" spans="1:4" x14ac:dyDescent="0.25">
      <c r="A138" s="43" t="s">
        <v>66</v>
      </c>
      <c r="B138" s="43">
        <v>200033</v>
      </c>
      <c r="C138" t="s">
        <v>3237</v>
      </c>
      <c r="D138" t="str">
        <f t="shared" si="2"/>
        <v>200033 -  [POSTVENTA] PERSONAL DE APOYO  </v>
      </c>
    </row>
    <row r="139" spans="1:4" x14ac:dyDescent="0.25">
      <c r="A139" s="43" t="s">
        <v>66</v>
      </c>
      <c r="B139" s="43">
        <v>200034</v>
      </c>
      <c r="C139" t="s">
        <v>3238</v>
      </c>
      <c r="D139" t="str">
        <f t="shared" si="2"/>
        <v>200034 -  [POSTVENTA] HERRAMIENTAS  </v>
      </c>
    </row>
    <row r="140" spans="1:4" x14ac:dyDescent="0.25">
      <c r="A140" s="43" t="s">
        <v>66</v>
      </c>
      <c r="B140" s="43">
        <v>200035</v>
      </c>
      <c r="C140" t="s">
        <v>3239</v>
      </c>
      <c r="D140" t="str">
        <f t="shared" si="2"/>
        <v>200035 -  [POSTVENTA] ELEMENTOS DE SEGURIDAD  </v>
      </c>
    </row>
    <row r="141" spans="1:4" x14ac:dyDescent="0.25">
      <c r="A141" s="43" t="s">
        <v>66</v>
      </c>
      <c r="B141" s="43">
        <v>200036</v>
      </c>
      <c r="C141" t="s">
        <v>3240</v>
      </c>
      <c r="D141" t="str">
        <f t="shared" si="2"/>
        <v>200036 -  [POSTVENTA] FLETES  </v>
      </c>
    </row>
    <row r="142" spans="1:4" x14ac:dyDescent="0.25">
      <c r="A142" s="43" t="s">
        <v>66</v>
      </c>
      <c r="B142" s="43">
        <v>200037</v>
      </c>
      <c r="C142" t="s">
        <v>3241</v>
      </c>
      <c r="D142" t="str">
        <f t="shared" si="2"/>
        <v>200037 -  [POSTVENTA] ANDAMIOS Y CARRERAS  </v>
      </c>
    </row>
    <row r="143" spans="1:4" x14ac:dyDescent="0.25">
      <c r="A143" s="43" t="s">
        <v>66</v>
      </c>
      <c r="B143" s="43">
        <v>200038</v>
      </c>
      <c r="C143" t="s">
        <v>3242</v>
      </c>
      <c r="D143" t="str">
        <f t="shared" si="2"/>
        <v>200038 -  [POSTVENTA] COMUNICACIÓN Y DATOS  </v>
      </c>
    </row>
    <row r="144" spans="1:4" x14ac:dyDescent="0.25">
      <c r="A144" s="43" t="s">
        <v>66</v>
      </c>
      <c r="B144" s="43">
        <v>200039</v>
      </c>
      <c r="C144" t="s">
        <v>3243</v>
      </c>
      <c r="D144" t="str">
        <f t="shared" si="2"/>
        <v>200039 -  [POSTVENTA] GASTOS MENORES Y CAJAS CHICA </v>
      </c>
    </row>
    <row r="145" spans="1:4" x14ac:dyDescent="0.25">
      <c r="A145" s="43" t="s">
        <v>66</v>
      </c>
      <c r="B145" s="43">
        <v>200040</v>
      </c>
      <c r="C145" t="s">
        <v>3244</v>
      </c>
      <c r="D145" t="str">
        <f t="shared" si="2"/>
        <v>200040 -  [POSTVENTA] ASEO  </v>
      </c>
    </row>
    <row r="146" spans="1:4" x14ac:dyDescent="0.25">
      <c r="A146" s="43" t="s">
        <v>66</v>
      </c>
      <c r="B146" s="43">
        <v>200041</v>
      </c>
      <c r="C146" t="s">
        <v>3245</v>
      </c>
      <c r="D146" t="str">
        <f t="shared" si="2"/>
        <v>200041 -  [POSTVENTA] ALFEIZAR / ANTEPECHOS  </v>
      </c>
    </row>
    <row r="147" spans="1:4" x14ac:dyDescent="0.25">
      <c r="A147" s="43" t="s">
        <v>66</v>
      </c>
      <c r="B147" s="43">
        <v>200042</v>
      </c>
      <c r="C147" t="s">
        <v>3246</v>
      </c>
      <c r="D147" t="str">
        <f t="shared" si="2"/>
        <v>200042 -  [POSTVENTA] GUARDAPOLVOS / JUNQUILLOS  </v>
      </c>
    </row>
    <row r="148" spans="1:4" x14ac:dyDescent="0.25">
      <c r="A148" s="43" t="s">
        <v>66</v>
      </c>
      <c r="B148" s="43">
        <v>200043</v>
      </c>
      <c r="C148" t="s">
        <v>3247</v>
      </c>
      <c r="D148" t="str">
        <f t="shared" si="2"/>
        <v>200043 -  [POSTVENTA] CORNISAS  </v>
      </c>
    </row>
    <row r="149" spans="1:4" x14ac:dyDescent="0.25">
      <c r="A149" s="43" t="s">
        <v>66</v>
      </c>
      <c r="B149" s="43">
        <v>200044</v>
      </c>
      <c r="C149" t="s">
        <v>3248</v>
      </c>
      <c r="D149" t="str">
        <f t="shared" si="2"/>
        <v>200044 -  [POSTVENTA] DAÑOS TERREMOTO  </v>
      </c>
    </row>
    <row r="150" spans="1:4" x14ac:dyDescent="0.25">
      <c r="A150" s="43" t="s">
        <v>66</v>
      </c>
      <c r="B150" s="43">
        <v>200045</v>
      </c>
      <c r="C150" t="s">
        <v>3249</v>
      </c>
      <c r="D150" t="str">
        <f t="shared" si="2"/>
        <v>200045 -  [POSTVENTA] REP. DEPTOS.  </v>
      </c>
    </row>
    <row r="151" spans="1:4" x14ac:dyDescent="0.25">
      <c r="A151" s="43" t="s">
        <v>66</v>
      </c>
      <c r="B151" s="43">
        <v>200046</v>
      </c>
      <c r="C151" t="s">
        <v>3250</v>
      </c>
      <c r="D151" t="str">
        <f t="shared" si="2"/>
        <v>200046 -  [POSTVENTA] PREPARACIÓN DEPTOS PARA ENTR </v>
      </c>
    </row>
    <row r="152" spans="1:4" x14ac:dyDescent="0.25">
      <c r="A152" s="43" t="s">
        <v>66</v>
      </c>
      <c r="B152" s="43">
        <v>200047</v>
      </c>
      <c r="C152" t="s">
        <v>3251</v>
      </c>
      <c r="D152" t="str">
        <f t="shared" si="2"/>
        <v>200047 -  [POSTVENTA] COMERCIAL  </v>
      </c>
    </row>
    <row r="153" spans="1:4" x14ac:dyDescent="0.25">
      <c r="A153" s="43" t="s">
        <v>66</v>
      </c>
      <c r="B153" s="43">
        <v>200048</v>
      </c>
      <c r="C153" t="s">
        <v>3252</v>
      </c>
      <c r="D153" t="str">
        <f t="shared" si="2"/>
        <v>200048 -  [POSTVENTA] INMOBILIARIA  </v>
      </c>
    </row>
    <row r="154" spans="1:4" x14ac:dyDescent="0.25">
      <c r="A154" s="43" t="s">
        <v>66</v>
      </c>
      <c r="B154" s="43">
        <v>200049</v>
      </c>
      <c r="C154" t="s">
        <v>3253</v>
      </c>
      <c r="D154" t="str">
        <f t="shared" si="2"/>
        <v>200049 -  [POSTVENTA] CONSTRUCTORA</v>
      </c>
    </row>
    <row r="155" spans="1:4" x14ac:dyDescent="0.25">
      <c r="A155" s="43" t="s">
        <v>66</v>
      </c>
      <c r="B155" s="43">
        <v>200050</v>
      </c>
      <c r="C155" t="s">
        <v>3254</v>
      </c>
      <c r="D155" t="str">
        <f t="shared" si="2"/>
        <v>200050 -  [POSTVENTA] GASTOS CLIENTES EXTRAS  </v>
      </c>
    </row>
    <row r="156" spans="1:4" x14ac:dyDescent="0.25">
      <c r="A156" s="43" t="s">
        <v>66</v>
      </c>
      <c r="B156" s="43">
        <v>299999</v>
      </c>
      <c r="C156" t="s">
        <v>3255</v>
      </c>
      <c r="D156" t="str">
        <f t="shared" si="2"/>
        <v>299999 -  [POSTVENTA] SALDO POR DISTRIBUIR</v>
      </c>
    </row>
    <row r="157" spans="1:4" x14ac:dyDescent="0.25">
      <c r="A157" s="43" t="s">
        <v>66</v>
      </c>
      <c r="B157" s="43" t="s">
        <v>3200</v>
      </c>
      <c r="C157" t="s">
        <v>3201</v>
      </c>
      <c r="D157" t="str">
        <f t="shared" si="2"/>
        <v>1   -  [INTEGRACION] PARTIDA SIN ASIGNAR  </v>
      </c>
    </row>
    <row r="158" spans="1:4" x14ac:dyDescent="0.25">
      <c r="A158" s="43" t="s">
        <v>66</v>
      </c>
      <c r="B158" s="43">
        <v>400001</v>
      </c>
      <c r="C158" t="s">
        <v>3202</v>
      </c>
      <c r="D158" t="str">
        <f t="shared" si="2"/>
        <v>400001 -  [INTEGRACION] AJUSTE DE PRECIO  </v>
      </c>
    </row>
    <row r="159" spans="1:4" x14ac:dyDescent="0.25">
      <c r="A159" s="43" t="s">
        <v>66</v>
      </c>
      <c r="B159" s="43">
        <v>400002</v>
      </c>
      <c r="C159" t="s">
        <v>3203</v>
      </c>
      <c r="D159" t="str">
        <f t="shared" si="2"/>
        <v>400002 -  [INTEGRACION] DESCUENTO SUBCONTRATOS</v>
      </c>
    </row>
    <row r="160" spans="1:4" x14ac:dyDescent="0.25">
      <c r="A160" s="43" t="s">
        <v>1686</v>
      </c>
      <c r="B160" s="43">
        <v>200000</v>
      </c>
      <c r="C160" t="s">
        <v>3204</v>
      </c>
      <c r="D160" t="str">
        <f t="shared" si="2"/>
        <v>200000 -  [POSTVENTA] INGRESOS  </v>
      </c>
    </row>
    <row r="161" spans="1:4" x14ac:dyDescent="0.25">
      <c r="A161" s="43" t="s">
        <v>1686</v>
      </c>
      <c r="B161" s="43">
        <v>200001</v>
      </c>
      <c r="C161" t="s">
        <v>3205</v>
      </c>
      <c r="D161" t="str">
        <f t="shared" si="2"/>
        <v>200001 -  [POSTVENTA] OBRA GRUESA  </v>
      </c>
    </row>
    <row r="162" spans="1:4" x14ac:dyDescent="0.25">
      <c r="A162" s="43" t="s">
        <v>1686</v>
      </c>
      <c r="B162" s="43">
        <v>200002</v>
      </c>
      <c r="C162" t="s">
        <v>3206</v>
      </c>
      <c r="D162" t="str">
        <f t="shared" si="2"/>
        <v>200002 -  [POSTVENTA] TABIQUERÍAS Y CIELOS FALSOS  </v>
      </c>
    </row>
    <row r="163" spans="1:4" x14ac:dyDescent="0.25">
      <c r="A163" s="43" t="s">
        <v>1686</v>
      </c>
      <c r="B163" s="43">
        <v>200003</v>
      </c>
      <c r="C163" t="s">
        <v>3207</v>
      </c>
      <c r="D163" t="str">
        <f t="shared" si="2"/>
        <v>200003 -  [POSTVENTA] IMPERMEABILIZACIONES Y AISLA </v>
      </c>
    </row>
    <row r="164" spans="1:4" x14ac:dyDescent="0.25">
      <c r="A164" s="43" t="s">
        <v>1686</v>
      </c>
      <c r="B164" s="43">
        <v>200004</v>
      </c>
      <c r="C164" t="s">
        <v>3208</v>
      </c>
      <c r="D164" t="str">
        <f t="shared" si="2"/>
        <v>200004 -  [POSTVENTA] ESTUCOS, YESOS Y MAQUILLAJES </v>
      </c>
    </row>
    <row r="165" spans="1:4" x14ac:dyDescent="0.25">
      <c r="A165" s="43" t="s">
        <v>1686</v>
      </c>
      <c r="B165" s="43">
        <v>200005</v>
      </c>
      <c r="C165" t="s">
        <v>3209</v>
      </c>
      <c r="D165" t="str">
        <f t="shared" si="2"/>
        <v>200005 -  [POSTVENTA] ALFOMBRA  </v>
      </c>
    </row>
    <row r="166" spans="1:4" x14ac:dyDescent="0.25">
      <c r="A166" s="43" t="s">
        <v>1686</v>
      </c>
      <c r="B166" s="43">
        <v>200006</v>
      </c>
      <c r="C166" t="s">
        <v>3210</v>
      </c>
      <c r="D166" t="str">
        <f t="shared" si="2"/>
        <v>200006 -  [POSTVENTA] CERÁMICOS  </v>
      </c>
    </row>
    <row r="167" spans="1:4" x14ac:dyDescent="0.25">
      <c r="A167" s="43" t="s">
        <v>1686</v>
      </c>
      <c r="B167" s="43">
        <v>200007</v>
      </c>
      <c r="C167" t="s">
        <v>3211</v>
      </c>
      <c r="D167" t="str">
        <f t="shared" si="2"/>
        <v>200007 -  [POSTVENTA] PISOS FOTOLAMINADOS  </v>
      </c>
    </row>
    <row r="168" spans="1:4" x14ac:dyDescent="0.25">
      <c r="A168" s="43" t="s">
        <v>1686</v>
      </c>
      <c r="B168" s="43">
        <v>200008</v>
      </c>
      <c r="C168" t="s">
        <v>3212</v>
      </c>
      <c r="D168" t="str">
        <f t="shared" si="2"/>
        <v>200008 -  [POSTVENTA] REVESTIMIENTOS CERÁMICOS  </v>
      </c>
    </row>
    <row r="169" spans="1:4" x14ac:dyDescent="0.25">
      <c r="A169" s="43" t="s">
        <v>1686</v>
      </c>
      <c r="B169" s="43">
        <v>200009</v>
      </c>
      <c r="C169" t="s">
        <v>3213</v>
      </c>
      <c r="D169" t="str">
        <f t="shared" si="2"/>
        <v>200009 -  [POSTVENTA] PAPELES  </v>
      </c>
    </row>
    <row r="170" spans="1:4" x14ac:dyDescent="0.25">
      <c r="A170" s="43" t="s">
        <v>1686</v>
      </c>
      <c r="B170" s="43">
        <v>200010</v>
      </c>
      <c r="C170" t="s">
        <v>3214</v>
      </c>
      <c r="D170" t="str">
        <f t="shared" si="2"/>
        <v>200010 -  [POSTVENTA] PAVIMENTOS CERÁMICOS SECTORE </v>
      </c>
    </row>
    <row r="171" spans="1:4" x14ac:dyDescent="0.25">
      <c r="A171" s="43" t="s">
        <v>1686</v>
      </c>
      <c r="B171" s="43">
        <v>200011</v>
      </c>
      <c r="C171" t="s">
        <v>3215</v>
      </c>
      <c r="D171" t="str">
        <f t="shared" si="2"/>
        <v>200011 -  [POSTVENTA] OTROS PAVIMENTOS SECTORES CO </v>
      </c>
    </row>
    <row r="172" spans="1:4" x14ac:dyDescent="0.25">
      <c r="A172" s="43" t="s">
        <v>1686</v>
      </c>
      <c r="B172" s="43">
        <v>200012</v>
      </c>
      <c r="C172" t="s">
        <v>3216</v>
      </c>
      <c r="D172" t="str">
        <f t="shared" si="2"/>
        <v>200012 -  [POSTVENTA] REVESTIMIENTOS DE FACHADAS  </v>
      </c>
    </row>
    <row r="173" spans="1:4" x14ac:dyDescent="0.25">
      <c r="A173" s="43" t="s">
        <v>1686</v>
      </c>
      <c r="B173" s="43">
        <v>200013</v>
      </c>
      <c r="C173" t="s">
        <v>3217</v>
      </c>
      <c r="D173" t="str">
        <f t="shared" si="2"/>
        <v>200013 -  [POSTVENTA] PINTURAS  </v>
      </c>
    </row>
    <row r="174" spans="1:4" x14ac:dyDescent="0.25">
      <c r="A174" s="43" t="s">
        <v>1686</v>
      </c>
      <c r="B174" s="43">
        <v>200014</v>
      </c>
      <c r="C174" t="s">
        <v>3218</v>
      </c>
      <c r="D174" t="str">
        <f t="shared" si="2"/>
        <v>200014 -  [POSTVENTA] MARCOS Y PUERTAS  </v>
      </c>
    </row>
    <row r="175" spans="1:4" x14ac:dyDescent="0.25">
      <c r="A175" s="43" t="s">
        <v>1686</v>
      </c>
      <c r="B175" s="43">
        <v>200015</v>
      </c>
      <c r="C175" t="s">
        <v>3219</v>
      </c>
      <c r="D175" t="str">
        <f t="shared" si="2"/>
        <v>200015 -  [POSTVENTA] QUINCALLERÍA  </v>
      </c>
    </row>
    <row r="176" spans="1:4" x14ac:dyDescent="0.25">
      <c r="A176" s="43" t="s">
        <v>1686</v>
      </c>
      <c r="B176" s="43">
        <v>200016</v>
      </c>
      <c r="C176" t="s">
        <v>3220</v>
      </c>
      <c r="D176" t="str">
        <f t="shared" si="2"/>
        <v>200016 -  [POSTVENTA] VENTANAS  </v>
      </c>
    </row>
    <row r="177" spans="1:4" x14ac:dyDescent="0.25">
      <c r="A177" s="43" t="s">
        <v>1686</v>
      </c>
      <c r="B177" s="43">
        <v>200017</v>
      </c>
      <c r="C177" t="s">
        <v>3221</v>
      </c>
      <c r="D177" t="str">
        <f t="shared" si="2"/>
        <v>200017 -  [POSTVENTA] MUEBLES  </v>
      </c>
    </row>
    <row r="178" spans="1:4" x14ac:dyDescent="0.25">
      <c r="A178" s="43" t="s">
        <v>1686</v>
      </c>
      <c r="B178" s="43">
        <v>200018</v>
      </c>
      <c r="C178" t="s">
        <v>3222</v>
      </c>
      <c r="D178" t="str">
        <f t="shared" si="2"/>
        <v>200018 -  [POSTVENTA] ARTEFACTOS SANITARIOS Y DE C </v>
      </c>
    </row>
    <row r="179" spans="1:4" x14ac:dyDescent="0.25">
      <c r="A179" s="43" t="s">
        <v>1686</v>
      </c>
      <c r="B179" s="43">
        <v>200019</v>
      </c>
      <c r="C179" t="s">
        <v>3223</v>
      </c>
      <c r="D179" t="str">
        <f t="shared" si="2"/>
        <v>200019 -  [POSTVENTA] GRIFERÍA</v>
      </c>
    </row>
    <row r="180" spans="1:4" x14ac:dyDescent="0.25">
      <c r="A180" s="43" t="s">
        <v>1686</v>
      </c>
      <c r="B180" s="43">
        <v>200020</v>
      </c>
      <c r="C180" t="s">
        <v>3224</v>
      </c>
      <c r="D180" t="str">
        <f t="shared" si="2"/>
        <v>200020 -  [POSTVENTA] SEÑALÉTICA  </v>
      </c>
    </row>
    <row r="181" spans="1:4" x14ac:dyDescent="0.25">
      <c r="A181" s="43" t="s">
        <v>1686</v>
      </c>
      <c r="B181" s="43">
        <v>200021</v>
      </c>
      <c r="C181" t="s">
        <v>3225</v>
      </c>
      <c r="D181" t="str">
        <f t="shared" si="2"/>
        <v>200021 -  [POSTVENTA] CARPINTERÍA METÁLICA  </v>
      </c>
    </row>
    <row r="182" spans="1:4" x14ac:dyDescent="0.25">
      <c r="A182" s="43" t="s">
        <v>1686</v>
      </c>
      <c r="B182" s="43">
        <v>200022</v>
      </c>
      <c r="C182" t="s">
        <v>3226</v>
      </c>
      <c r="D182" t="str">
        <f t="shared" si="2"/>
        <v>200022 -  [POSTVENTA] OTRAS PARTIDAS DE TERMINACIO </v>
      </c>
    </row>
    <row r="183" spans="1:4" x14ac:dyDescent="0.25">
      <c r="A183" s="43" t="s">
        <v>1686</v>
      </c>
      <c r="B183" s="43">
        <v>200023</v>
      </c>
      <c r="C183" t="s">
        <v>3227</v>
      </c>
      <c r="D183" t="str">
        <f t="shared" si="2"/>
        <v>200023 -  [POSTVENTA] INSTALACIONES SANITARIAS  </v>
      </c>
    </row>
    <row r="184" spans="1:4" x14ac:dyDescent="0.25">
      <c r="A184" s="43" t="s">
        <v>1686</v>
      </c>
      <c r="B184" s="43">
        <v>200024</v>
      </c>
      <c r="C184" t="s">
        <v>3228</v>
      </c>
      <c r="D184" t="str">
        <f t="shared" si="2"/>
        <v>200024 -  [POSTVENTA] INSTALACIONES ELÉCTRICAS  </v>
      </c>
    </row>
    <row r="185" spans="1:4" x14ac:dyDescent="0.25">
      <c r="A185" s="43" t="s">
        <v>1686</v>
      </c>
      <c r="B185" s="43">
        <v>200025</v>
      </c>
      <c r="C185" t="s">
        <v>3229</v>
      </c>
      <c r="D185" t="str">
        <f t="shared" si="2"/>
        <v>200025 -  [POSTVENTA] CORRIENTES DÉBILES  </v>
      </c>
    </row>
    <row r="186" spans="1:4" x14ac:dyDescent="0.25">
      <c r="A186" s="43" t="s">
        <v>1686</v>
      </c>
      <c r="B186" s="43">
        <v>200026</v>
      </c>
      <c r="C186" t="s">
        <v>3230</v>
      </c>
      <c r="D186" t="str">
        <f t="shared" si="2"/>
        <v>200026 -  [POSTVENTA] EXTRACCIÓN DE BASURAS  </v>
      </c>
    </row>
    <row r="187" spans="1:4" x14ac:dyDescent="0.25">
      <c r="A187" s="43" t="s">
        <v>1686</v>
      </c>
      <c r="B187" s="43">
        <v>200027</v>
      </c>
      <c r="C187" t="s">
        <v>3231</v>
      </c>
      <c r="D187" t="str">
        <f t="shared" si="2"/>
        <v>200027 -  [POSTVENTA] ASCENSORES  </v>
      </c>
    </row>
    <row r="188" spans="1:4" x14ac:dyDescent="0.25">
      <c r="A188" s="43" t="s">
        <v>1686</v>
      </c>
      <c r="B188" s="43">
        <v>200028</v>
      </c>
      <c r="C188" t="s">
        <v>3232</v>
      </c>
      <c r="D188" t="str">
        <f t="shared" si="2"/>
        <v>200028 -  [POSTVENTA] EXTRACCIÓN FORZADA Y CLIMATI </v>
      </c>
    </row>
    <row r="189" spans="1:4" x14ac:dyDescent="0.25">
      <c r="A189" s="43" t="s">
        <v>1686</v>
      </c>
      <c r="B189" s="43">
        <v>200029</v>
      </c>
      <c r="C189" t="s">
        <v>3233</v>
      </c>
      <c r="D189" t="str">
        <f t="shared" si="2"/>
        <v>200029 -  [POSTVENTA] INSTALACIONES ESPECIALES  </v>
      </c>
    </row>
    <row r="190" spans="1:4" x14ac:dyDescent="0.25">
      <c r="A190" s="43" t="s">
        <v>1686</v>
      </c>
      <c r="B190" s="43">
        <v>200030</v>
      </c>
      <c r="C190" t="s">
        <v>3234</v>
      </c>
      <c r="D190" t="str">
        <f t="shared" si="2"/>
        <v>200030 -  [POSTVENTA] OTRAS INSTALACIONES  </v>
      </c>
    </row>
    <row r="191" spans="1:4" x14ac:dyDescent="0.25">
      <c r="A191" s="43" t="s">
        <v>1686</v>
      </c>
      <c r="B191" s="43">
        <v>200031</v>
      </c>
      <c r="C191" t="s">
        <v>3235</v>
      </c>
      <c r="D191" t="str">
        <f t="shared" si="2"/>
        <v>200031 -  [POSTVENTA] OBRAS EXTERIORES  </v>
      </c>
    </row>
    <row r="192" spans="1:4" x14ac:dyDescent="0.25">
      <c r="A192" s="43" t="s">
        <v>1686</v>
      </c>
      <c r="B192" s="43">
        <v>200032</v>
      </c>
      <c r="C192" t="s">
        <v>3236</v>
      </c>
      <c r="D192" t="str">
        <f t="shared" si="2"/>
        <v>200032 -  [POSTVENTA] PERSONAL DIRECTIVO  </v>
      </c>
    </row>
    <row r="193" spans="1:4" x14ac:dyDescent="0.25">
      <c r="A193" s="43" t="s">
        <v>1686</v>
      </c>
      <c r="B193" s="43">
        <v>200033</v>
      </c>
      <c r="C193" t="s">
        <v>3237</v>
      </c>
      <c r="D193" t="str">
        <f t="shared" si="2"/>
        <v>200033 -  [POSTVENTA] PERSONAL DE APOYO  </v>
      </c>
    </row>
    <row r="194" spans="1:4" x14ac:dyDescent="0.25">
      <c r="A194" s="43" t="s">
        <v>1686</v>
      </c>
      <c r="B194" s="43">
        <v>200034</v>
      </c>
      <c r="C194" t="s">
        <v>3238</v>
      </c>
      <c r="D194" t="str">
        <f t="shared" si="2"/>
        <v>200034 -  [POSTVENTA] HERRAMIENTAS  </v>
      </c>
    </row>
    <row r="195" spans="1:4" x14ac:dyDescent="0.25">
      <c r="A195" s="43" t="s">
        <v>1686</v>
      </c>
      <c r="B195" s="43">
        <v>200035</v>
      </c>
      <c r="C195" t="s">
        <v>3239</v>
      </c>
      <c r="D195" t="str">
        <f t="shared" ref="D195:D258" si="3">+B195&amp;" - "&amp;C195</f>
        <v>200035 -  [POSTVENTA] ELEMENTOS DE SEGURIDAD  </v>
      </c>
    </row>
    <row r="196" spans="1:4" x14ac:dyDescent="0.25">
      <c r="A196" s="43" t="s">
        <v>1686</v>
      </c>
      <c r="B196" s="43">
        <v>200036</v>
      </c>
      <c r="C196" t="s">
        <v>3240</v>
      </c>
      <c r="D196" t="str">
        <f t="shared" si="3"/>
        <v>200036 -  [POSTVENTA] FLETES  </v>
      </c>
    </row>
    <row r="197" spans="1:4" x14ac:dyDescent="0.25">
      <c r="A197" s="43" t="s">
        <v>1686</v>
      </c>
      <c r="B197" s="43">
        <v>200037</v>
      </c>
      <c r="C197" t="s">
        <v>3241</v>
      </c>
      <c r="D197" t="str">
        <f t="shared" si="3"/>
        <v>200037 -  [POSTVENTA] ANDAMIOS Y CARRERAS  </v>
      </c>
    </row>
    <row r="198" spans="1:4" x14ac:dyDescent="0.25">
      <c r="A198" s="43" t="s">
        <v>1686</v>
      </c>
      <c r="B198" s="43">
        <v>200038</v>
      </c>
      <c r="C198" t="s">
        <v>3242</v>
      </c>
      <c r="D198" t="str">
        <f t="shared" si="3"/>
        <v>200038 -  [POSTVENTA] COMUNICACIÓN Y DATOS  </v>
      </c>
    </row>
    <row r="199" spans="1:4" x14ac:dyDescent="0.25">
      <c r="A199" s="43" t="s">
        <v>1686</v>
      </c>
      <c r="B199" s="43">
        <v>200039</v>
      </c>
      <c r="C199" t="s">
        <v>3243</v>
      </c>
      <c r="D199" t="str">
        <f t="shared" si="3"/>
        <v>200039 -  [POSTVENTA] GASTOS MENORES Y CAJAS CHICA </v>
      </c>
    </row>
    <row r="200" spans="1:4" x14ac:dyDescent="0.25">
      <c r="A200" s="43" t="s">
        <v>1686</v>
      </c>
      <c r="B200" s="43">
        <v>200040</v>
      </c>
      <c r="C200" t="s">
        <v>3244</v>
      </c>
      <c r="D200" t="str">
        <f t="shared" si="3"/>
        <v>200040 -  [POSTVENTA] ASEO  </v>
      </c>
    </row>
    <row r="201" spans="1:4" x14ac:dyDescent="0.25">
      <c r="A201" s="43" t="s">
        <v>1686</v>
      </c>
      <c r="B201" s="43">
        <v>200041</v>
      </c>
      <c r="C201" t="s">
        <v>3245</v>
      </c>
      <c r="D201" t="str">
        <f t="shared" si="3"/>
        <v>200041 -  [POSTVENTA] ALFEIZAR / ANTEPECHOS  </v>
      </c>
    </row>
    <row r="202" spans="1:4" x14ac:dyDescent="0.25">
      <c r="A202" s="43" t="s">
        <v>1686</v>
      </c>
      <c r="B202" s="43">
        <v>200042</v>
      </c>
      <c r="C202" t="s">
        <v>3246</v>
      </c>
      <c r="D202" t="str">
        <f t="shared" si="3"/>
        <v>200042 -  [POSTVENTA] GUARDAPOLVOS / JUNQUILLOS  </v>
      </c>
    </row>
    <row r="203" spans="1:4" x14ac:dyDescent="0.25">
      <c r="A203" s="43" t="s">
        <v>1686</v>
      </c>
      <c r="B203" s="43">
        <v>200043</v>
      </c>
      <c r="C203" t="s">
        <v>3247</v>
      </c>
      <c r="D203" t="str">
        <f t="shared" si="3"/>
        <v>200043 -  [POSTVENTA] CORNISAS  </v>
      </c>
    </row>
    <row r="204" spans="1:4" x14ac:dyDescent="0.25">
      <c r="A204" s="43" t="s">
        <v>1686</v>
      </c>
      <c r="B204" s="43">
        <v>200044</v>
      </c>
      <c r="C204" t="s">
        <v>3248</v>
      </c>
      <c r="D204" t="str">
        <f t="shared" si="3"/>
        <v>200044 -  [POSTVENTA] DAÑOS TERREMOTO  </v>
      </c>
    </row>
    <row r="205" spans="1:4" x14ac:dyDescent="0.25">
      <c r="A205" s="43" t="s">
        <v>1686</v>
      </c>
      <c r="B205" s="43">
        <v>200045</v>
      </c>
      <c r="C205" t="s">
        <v>3249</v>
      </c>
      <c r="D205" t="str">
        <f t="shared" si="3"/>
        <v>200045 -  [POSTVENTA] REP. DEPTOS.  </v>
      </c>
    </row>
    <row r="206" spans="1:4" x14ac:dyDescent="0.25">
      <c r="A206" s="43" t="s">
        <v>1686</v>
      </c>
      <c r="B206" s="43">
        <v>200046</v>
      </c>
      <c r="C206" t="s">
        <v>3250</v>
      </c>
      <c r="D206" t="str">
        <f t="shared" si="3"/>
        <v>200046 -  [POSTVENTA] PREPARACIÓN DEPTOS PARA ENTR </v>
      </c>
    </row>
    <row r="207" spans="1:4" x14ac:dyDescent="0.25">
      <c r="A207" s="43" t="s">
        <v>1686</v>
      </c>
      <c r="B207" s="43">
        <v>200047</v>
      </c>
      <c r="C207" t="s">
        <v>3251</v>
      </c>
      <c r="D207" t="str">
        <f t="shared" si="3"/>
        <v>200047 -  [POSTVENTA] COMERCIAL  </v>
      </c>
    </row>
    <row r="208" spans="1:4" x14ac:dyDescent="0.25">
      <c r="A208" s="43" t="s">
        <v>1686</v>
      </c>
      <c r="B208" s="43">
        <v>200048</v>
      </c>
      <c r="C208" t="s">
        <v>3252</v>
      </c>
      <c r="D208" t="str">
        <f t="shared" si="3"/>
        <v>200048 -  [POSTVENTA] INMOBILIARIA  </v>
      </c>
    </row>
    <row r="209" spans="1:4" x14ac:dyDescent="0.25">
      <c r="A209" s="43" t="s">
        <v>1686</v>
      </c>
      <c r="B209" s="43">
        <v>200049</v>
      </c>
      <c r="C209" t="s">
        <v>3253</v>
      </c>
      <c r="D209" t="str">
        <f t="shared" si="3"/>
        <v>200049 -  [POSTVENTA] CONSTRUCTORA</v>
      </c>
    </row>
    <row r="210" spans="1:4" x14ac:dyDescent="0.25">
      <c r="A210" s="43" t="s">
        <v>1686</v>
      </c>
      <c r="B210" s="43">
        <v>200050</v>
      </c>
      <c r="C210" t="s">
        <v>3254</v>
      </c>
      <c r="D210" t="str">
        <f t="shared" si="3"/>
        <v>200050 -  [POSTVENTA] GASTOS CLIENTES EXTRAS  </v>
      </c>
    </row>
    <row r="211" spans="1:4" x14ac:dyDescent="0.25">
      <c r="A211" s="43" t="s">
        <v>1686</v>
      </c>
      <c r="B211" s="43">
        <v>299999</v>
      </c>
      <c r="C211" t="s">
        <v>3255</v>
      </c>
      <c r="D211" t="str">
        <f t="shared" si="3"/>
        <v>299999 -  [POSTVENTA] SALDO POR DISTRIBUIR</v>
      </c>
    </row>
    <row r="212" spans="1:4" x14ac:dyDescent="0.25">
      <c r="A212" s="43" t="s">
        <v>1686</v>
      </c>
      <c r="B212" s="43" t="s">
        <v>3200</v>
      </c>
      <c r="C212" t="s">
        <v>3201</v>
      </c>
      <c r="D212" t="str">
        <f t="shared" si="3"/>
        <v>1   -  [INTEGRACION] PARTIDA SIN ASIGNAR  </v>
      </c>
    </row>
    <row r="213" spans="1:4" x14ac:dyDescent="0.25">
      <c r="A213" s="43" t="s">
        <v>1686</v>
      </c>
      <c r="B213" s="43">
        <v>400001</v>
      </c>
      <c r="C213" t="s">
        <v>3202</v>
      </c>
      <c r="D213" t="str">
        <f t="shared" si="3"/>
        <v>400001 -  [INTEGRACION] AJUSTE DE PRECIO  </v>
      </c>
    </row>
    <row r="214" spans="1:4" x14ac:dyDescent="0.25">
      <c r="A214" s="43" t="s">
        <v>1686</v>
      </c>
      <c r="B214" s="43">
        <v>400002</v>
      </c>
      <c r="C214" t="s">
        <v>3203</v>
      </c>
      <c r="D214" t="str">
        <f t="shared" si="3"/>
        <v>400002 -  [INTEGRACION] DESCUENTO SUBCONTRATOS</v>
      </c>
    </row>
    <row r="215" spans="1:4" x14ac:dyDescent="0.25">
      <c r="A215" s="43" t="s">
        <v>67</v>
      </c>
      <c r="B215" s="43">
        <v>300000</v>
      </c>
      <c r="C215" t="s">
        <v>3256</v>
      </c>
      <c r="D215" t="str">
        <f t="shared" si="3"/>
        <v>300000 -  [BODEGA] INGRESOS  </v>
      </c>
    </row>
    <row r="216" spans="1:4" x14ac:dyDescent="0.25">
      <c r="A216" s="43" t="s">
        <v>67</v>
      </c>
      <c r="B216" s="43">
        <v>301000</v>
      </c>
      <c r="C216" t="s">
        <v>3257</v>
      </c>
      <c r="D216" t="str">
        <f t="shared" si="3"/>
        <v>301000 -  [BODEGA] GRUPO MOTOR 10  </v>
      </c>
    </row>
    <row r="217" spans="1:4" x14ac:dyDescent="0.25">
      <c r="A217" s="43" t="s">
        <v>67</v>
      </c>
      <c r="B217" s="43">
        <v>301001</v>
      </c>
      <c r="C217" t="s">
        <v>3258</v>
      </c>
      <c r="D217" t="str">
        <f t="shared" si="3"/>
        <v>301001 -  [BODEGA] GRUPO MOTOR 01  </v>
      </c>
    </row>
    <row r="218" spans="1:4" x14ac:dyDescent="0.25">
      <c r="A218" s="43" t="s">
        <v>67</v>
      </c>
      <c r="B218" s="43">
        <v>301002</v>
      </c>
      <c r="C218" t="s">
        <v>3259</v>
      </c>
      <c r="D218" t="str">
        <f t="shared" si="3"/>
        <v>301002 -  [BODEGA] GRUPO MOTOR 02  </v>
      </c>
    </row>
    <row r="219" spans="1:4" x14ac:dyDescent="0.25">
      <c r="A219" s="43" t="s">
        <v>67</v>
      </c>
      <c r="B219" s="43">
        <v>301003</v>
      </c>
      <c r="C219" t="s">
        <v>3260</v>
      </c>
      <c r="D219" t="str">
        <f t="shared" si="3"/>
        <v>301003 -  [BODEGA] GRUPO MOTOR 03  </v>
      </c>
    </row>
    <row r="220" spans="1:4" x14ac:dyDescent="0.25">
      <c r="A220" s="43" t="s">
        <v>67</v>
      </c>
      <c r="B220" s="43">
        <v>301004</v>
      </c>
      <c r="C220" t="s">
        <v>3261</v>
      </c>
      <c r="D220" t="str">
        <f t="shared" si="3"/>
        <v>301004 -  [BODEGA] GRUPO MOTOR 04  </v>
      </c>
    </row>
    <row r="221" spans="1:4" x14ac:dyDescent="0.25">
      <c r="A221" s="43" t="s">
        <v>67</v>
      </c>
      <c r="B221" s="43">
        <v>301005</v>
      </c>
      <c r="C221" t="s">
        <v>3262</v>
      </c>
      <c r="D221" t="str">
        <f t="shared" si="3"/>
        <v>301005 -  [BODEGA] GRUPO MOTOR 05  </v>
      </c>
    </row>
    <row r="222" spans="1:4" x14ac:dyDescent="0.25">
      <c r="A222" s="43" t="s">
        <v>67</v>
      </c>
      <c r="B222" s="43">
        <v>301006</v>
      </c>
      <c r="C222" t="s">
        <v>3263</v>
      </c>
      <c r="D222" t="str">
        <f t="shared" si="3"/>
        <v>301006 -  [BODEGA] GRUPO MOTOR 06  </v>
      </c>
    </row>
    <row r="223" spans="1:4" x14ac:dyDescent="0.25">
      <c r="A223" s="43" t="s">
        <v>67</v>
      </c>
      <c r="B223" s="43">
        <v>301007</v>
      </c>
      <c r="C223" t="s">
        <v>3264</v>
      </c>
      <c r="D223" t="str">
        <f t="shared" si="3"/>
        <v>301007 -  [BODEGA] GRUPO MOTOR 07  </v>
      </c>
    </row>
    <row r="224" spans="1:4" x14ac:dyDescent="0.25">
      <c r="A224" s="43" t="s">
        <v>67</v>
      </c>
      <c r="B224" s="43">
        <v>301008</v>
      </c>
      <c r="C224" t="s">
        <v>3265</v>
      </c>
      <c r="D224" t="str">
        <f t="shared" si="3"/>
        <v>301008 -  [BODEGA] GRUPO MOTOR 08  </v>
      </c>
    </row>
    <row r="225" spans="1:4" x14ac:dyDescent="0.25">
      <c r="A225" s="43" t="s">
        <v>67</v>
      </c>
      <c r="B225" s="43">
        <v>301009</v>
      </c>
      <c r="C225" t="s">
        <v>3266</v>
      </c>
      <c r="D225" t="str">
        <f t="shared" si="3"/>
        <v>301009 -  [BODEGA] GRUPO MOTOR 09  </v>
      </c>
    </row>
    <row r="226" spans="1:4" x14ac:dyDescent="0.25">
      <c r="A226" s="43" t="s">
        <v>67</v>
      </c>
      <c r="B226" s="43">
        <v>301011</v>
      </c>
      <c r="C226" t="s">
        <v>3267</v>
      </c>
      <c r="D226" t="str">
        <f t="shared" si="3"/>
        <v>301011 -  [BODEGA] GRUPO MOTOR 11  </v>
      </c>
    </row>
    <row r="227" spans="1:4" x14ac:dyDescent="0.25">
      <c r="A227" s="43" t="s">
        <v>67</v>
      </c>
      <c r="B227" s="43">
        <v>301012</v>
      </c>
      <c r="C227" t="s">
        <v>3268</v>
      </c>
      <c r="D227" t="str">
        <f t="shared" si="3"/>
        <v>301012 -  [BODEGA] GRUPO MOTOR 12  </v>
      </c>
    </row>
    <row r="228" spans="1:4" x14ac:dyDescent="0.25">
      <c r="A228" s="43" t="s">
        <v>67</v>
      </c>
      <c r="B228" s="43">
        <v>301013</v>
      </c>
      <c r="C228" t="s">
        <v>3269</v>
      </c>
      <c r="D228" t="str">
        <f t="shared" si="3"/>
        <v>301013 -  [BODEGA] GRUPO MOTOR 13  </v>
      </c>
    </row>
    <row r="229" spans="1:4" x14ac:dyDescent="0.25">
      <c r="A229" s="43" t="s">
        <v>67</v>
      </c>
      <c r="B229" s="43">
        <v>301014</v>
      </c>
      <c r="C229" t="s">
        <v>3270</v>
      </c>
      <c r="D229" t="str">
        <f t="shared" si="3"/>
        <v>301014 -  [BODEGA] GRUPO MOTOR 14  </v>
      </c>
    </row>
    <row r="230" spans="1:4" x14ac:dyDescent="0.25">
      <c r="A230" s="43" t="s">
        <v>67</v>
      </c>
      <c r="B230" s="43">
        <v>301015</v>
      </c>
      <c r="C230" t="s">
        <v>3271</v>
      </c>
      <c r="D230" t="str">
        <f t="shared" si="3"/>
        <v>301015 -  [BODEGA] GRUPO MOTOR 15  </v>
      </c>
    </row>
    <row r="231" spans="1:4" x14ac:dyDescent="0.25">
      <c r="A231" s="43" t="s">
        <v>67</v>
      </c>
      <c r="B231" s="43">
        <v>301016</v>
      </c>
      <c r="C231" t="s">
        <v>3272</v>
      </c>
      <c r="D231" t="str">
        <f t="shared" si="3"/>
        <v>301016 -  [BODEGA] GRUPO MOTOR 16  </v>
      </c>
    </row>
    <row r="232" spans="1:4" x14ac:dyDescent="0.25">
      <c r="A232" s="43" t="s">
        <v>67</v>
      </c>
      <c r="B232" s="43">
        <v>301017</v>
      </c>
      <c r="C232" t="s">
        <v>3273</v>
      </c>
      <c r="D232" t="str">
        <f t="shared" si="3"/>
        <v>301017 -  [BODEGA] GRUPO MOTOR 17  </v>
      </c>
    </row>
    <row r="233" spans="1:4" x14ac:dyDescent="0.25">
      <c r="A233" s="43" t="s">
        <v>67</v>
      </c>
      <c r="B233" s="43">
        <v>301018</v>
      </c>
      <c r="C233" t="s">
        <v>3274</v>
      </c>
      <c r="D233" t="str">
        <f t="shared" si="3"/>
        <v>301018 -  [BODEGA] GRUPO MOTOR 18  </v>
      </c>
    </row>
    <row r="234" spans="1:4" x14ac:dyDescent="0.25">
      <c r="A234" s="43" t="s">
        <v>67</v>
      </c>
      <c r="B234" s="43">
        <v>301019</v>
      </c>
      <c r="C234" t="s">
        <v>3275</v>
      </c>
      <c r="D234" t="str">
        <f t="shared" si="3"/>
        <v>301019 -  [BODEGA] GRUPO MOTOR 19</v>
      </c>
    </row>
    <row r="235" spans="1:4" x14ac:dyDescent="0.25">
      <c r="A235" s="43" t="s">
        <v>67</v>
      </c>
      <c r="B235" s="43">
        <v>301020</v>
      </c>
      <c r="C235" t="s">
        <v>3276</v>
      </c>
      <c r="D235" t="str">
        <f t="shared" si="3"/>
        <v>301020 -  [BODEGA] GRUPO MOTOR 20  </v>
      </c>
    </row>
    <row r="236" spans="1:4" x14ac:dyDescent="0.25">
      <c r="A236" s="43" t="s">
        <v>67</v>
      </c>
      <c r="B236" s="43">
        <v>301099</v>
      </c>
      <c r="C236" t="s">
        <v>3277</v>
      </c>
      <c r="D236" t="str">
        <f t="shared" si="3"/>
        <v>301099 -  [BODEGA] REPUESTOS MANT. GRUPOS MOTOR  </v>
      </c>
    </row>
    <row r="237" spans="1:4" x14ac:dyDescent="0.25">
      <c r="A237" s="43" t="s">
        <v>67</v>
      </c>
      <c r="B237" s="43">
        <v>301101</v>
      </c>
      <c r="C237" t="s">
        <v>3278</v>
      </c>
      <c r="D237" t="str">
        <f t="shared" si="3"/>
        <v>301101 -  [BODEGA] ARMARIO ELÉCTRICO 01  </v>
      </c>
    </row>
    <row r="238" spans="1:4" x14ac:dyDescent="0.25">
      <c r="A238" s="43" t="s">
        <v>67</v>
      </c>
      <c r="B238" s="43">
        <v>301102</v>
      </c>
      <c r="C238" t="s">
        <v>3279</v>
      </c>
      <c r="D238" t="str">
        <f t="shared" si="3"/>
        <v>301102 -  [BODEGA] ARMARIO ELÉCTRICO 02  </v>
      </c>
    </row>
    <row r="239" spans="1:4" x14ac:dyDescent="0.25">
      <c r="A239" s="43" t="s">
        <v>67</v>
      </c>
      <c r="B239" s="43">
        <v>301103</v>
      </c>
      <c r="C239" t="s">
        <v>3280</v>
      </c>
      <c r="D239" t="str">
        <f t="shared" si="3"/>
        <v>301103 -  [BODEGA] ARMARIO ELÉCTRICO 03  </v>
      </c>
    </row>
    <row r="240" spans="1:4" x14ac:dyDescent="0.25">
      <c r="A240" s="43" t="s">
        <v>67</v>
      </c>
      <c r="B240" s="43">
        <v>301104</v>
      </c>
      <c r="C240" t="s">
        <v>3281</v>
      </c>
      <c r="D240" t="str">
        <f t="shared" si="3"/>
        <v>301104 -  [BODEGA] ARMARIO ELÉCTRICO 04  </v>
      </c>
    </row>
    <row r="241" spans="1:4" x14ac:dyDescent="0.25">
      <c r="A241" s="43" t="s">
        <v>67</v>
      </c>
      <c r="B241" s="43">
        <v>301105</v>
      </c>
      <c r="C241" t="s">
        <v>3282</v>
      </c>
      <c r="D241" t="str">
        <f t="shared" si="3"/>
        <v>301105 -  [BODEGA] ARMARIO ELÉCTRICO 05  </v>
      </c>
    </row>
    <row r="242" spans="1:4" x14ac:dyDescent="0.25">
      <c r="A242" s="43" t="s">
        <v>67</v>
      </c>
      <c r="B242" s="43">
        <v>301106</v>
      </c>
      <c r="C242" t="s">
        <v>3283</v>
      </c>
      <c r="D242" t="str">
        <f t="shared" si="3"/>
        <v>301106 -  [BODEGA] ARMARIO ELÉCTRICO 06  </v>
      </c>
    </row>
    <row r="243" spans="1:4" x14ac:dyDescent="0.25">
      <c r="A243" s="43" t="s">
        <v>67</v>
      </c>
      <c r="B243" s="43">
        <v>301107</v>
      </c>
      <c r="C243" t="s">
        <v>3284</v>
      </c>
      <c r="D243" t="str">
        <f t="shared" si="3"/>
        <v>301107 -  [BODEGA] ARMARIO ELÉCTRICO 07  </v>
      </c>
    </row>
    <row r="244" spans="1:4" x14ac:dyDescent="0.25">
      <c r="A244" s="43" t="s">
        <v>67</v>
      </c>
      <c r="B244" s="43">
        <v>301108</v>
      </c>
      <c r="C244" t="s">
        <v>3285</v>
      </c>
      <c r="D244" t="str">
        <f t="shared" si="3"/>
        <v>301108 -  [BODEGA] ARMARIO ELÉCTRICO 08  </v>
      </c>
    </row>
    <row r="245" spans="1:4" x14ac:dyDescent="0.25">
      <c r="A245" s="43" t="s">
        <v>67</v>
      </c>
      <c r="B245" s="43">
        <v>301109</v>
      </c>
      <c r="C245" t="s">
        <v>3286</v>
      </c>
      <c r="D245" t="str">
        <f t="shared" si="3"/>
        <v>301109 -  [BODEGA] ARMARIO ELÉCTRICO 09  </v>
      </c>
    </row>
    <row r="246" spans="1:4" x14ac:dyDescent="0.25">
      <c r="A246" s="43" t="s">
        <v>67</v>
      </c>
      <c r="B246" s="43">
        <v>301110</v>
      </c>
      <c r="C246" t="s">
        <v>3287</v>
      </c>
      <c r="D246" t="str">
        <f t="shared" si="3"/>
        <v>301110 -  [BODEGA] ARMARIO ELÉCTRICO 10  </v>
      </c>
    </row>
    <row r="247" spans="1:4" x14ac:dyDescent="0.25">
      <c r="A247" s="43" t="s">
        <v>67</v>
      </c>
      <c r="B247" s="43">
        <v>301111</v>
      </c>
      <c r="C247" t="s">
        <v>3288</v>
      </c>
      <c r="D247" t="str">
        <f t="shared" si="3"/>
        <v>301111 -  [BODEGA] ARMARIO ELÉCTRICO 11  </v>
      </c>
    </row>
    <row r="248" spans="1:4" x14ac:dyDescent="0.25">
      <c r="A248" s="43" t="s">
        <v>67</v>
      </c>
      <c r="B248" s="43">
        <v>301112</v>
      </c>
      <c r="C248" t="s">
        <v>3289</v>
      </c>
      <c r="D248" t="str">
        <f t="shared" si="3"/>
        <v>301112 -  [BODEGA] ARMARIO ELÉCTRICO 12  </v>
      </c>
    </row>
    <row r="249" spans="1:4" x14ac:dyDescent="0.25">
      <c r="A249" s="43" t="s">
        <v>67</v>
      </c>
      <c r="B249" s="43">
        <v>301113</v>
      </c>
      <c r="C249" t="s">
        <v>3290</v>
      </c>
      <c r="D249" t="str">
        <f t="shared" si="3"/>
        <v>301113 -  [BODEGA] ARMARIO ELÉCTRICO 13  </v>
      </c>
    </row>
    <row r="250" spans="1:4" x14ac:dyDescent="0.25">
      <c r="A250" s="43" t="s">
        <v>67</v>
      </c>
      <c r="B250" s="43">
        <v>301114</v>
      </c>
      <c r="C250" t="s">
        <v>3291</v>
      </c>
      <c r="D250" t="str">
        <f t="shared" si="3"/>
        <v>301114 -  [BODEGA] ARMARIO ELÉCTRICO 14  </v>
      </c>
    </row>
    <row r="251" spans="1:4" x14ac:dyDescent="0.25">
      <c r="A251" s="43" t="s">
        <v>67</v>
      </c>
      <c r="B251" s="43">
        <v>301115</v>
      </c>
      <c r="C251" t="s">
        <v>3292</v>
      </c>
      <c r="D251" t="str">
        <f t="shared" si="3"/>
        <v>301115 -  [BODEGA] ARMARIO ELÉCTRICO 15  </v>
      </c>
    </row>
    <row r="252" spans="1:4" x14ac:dyDescent="0.25">
      <c r="A252" s="43" t="s">
        <v>67</v>
      </c>
      <c r="B252" s="43">
        <v>301116</v>
      </c>
      <c r="C252" t="s">
        <v>3293</v>
      </c>
      <c r="D252" t="str">
        <f t="shared" si="3"/>
        <v>301116 -  [BODEGA] ARMARIO ELÉCTRICO 16  </v>
      </c>
    </row>
    <row r="253" spans="1:4" x14ac:dyDescent="0.25">
      <c r="A253" s="43" t="s">
        <v>67</v>
      </c>
      <c r="B253" s="43">
        <v>301199</v>
      </c>
      <c r="C253" t="s">
        <v>3294</v>
      </c>
      <c r="D253" t="str">
        <f t="shared" si="3"/>
        <v>301199 -  [BODEGA] REPUESTOS MANT. ARMARIOS ELÉCT. </v>
      </c>
    </row>
    <row r="254" spans="1:4" x14ac:dyDescent="0.25">
      <c r="A254" s="43" t="s">
        <v>67</v>
      </c>
      <c r="B254" s="43">
        <v>302003</v>
      </c>
      <c r="C254" t="s">
        <v>3295</v>
      </c>
      <c r="D254" t="str">
        <f t="shared" si="3"/>
        <v>302003 -  [BODEGA] GRÚA TORRE 1  </v>
      </c>
    </row>
    <row r="255" spans="1:4" x14ac:dyDescent="0.25">
      <c r="A255" s="43" t="s">
        <v>67</v>
      </c>
      <c r="B255" s="43">
        <v>302004</v>
      </c>
      <c r="C255" t="s">
        <v>3296</v>
      </c>
      <c r="D255" t="str">
        <f t="shared" si="3"/>
        <v>302004 -  [BODEGA] GRÚA TORRE 2  </v>
      </c>
    </row>
    <row r="256" spans="1:4" x14ac:dyDescent="0.25">
      <c r="A256" s="43" t="s">
        <v>67</v>
      </c>
      <c r="B256" s="43">
        <v>302005</v>
      </c>
      <c r="C256" t="s">
        <v>3297</v>
      </c>
      <c r="D256" t="str">
        <f t="shared" si="3"/>
        <v>302005 -  [BODEGA] GRÚA TORRE 3  </v>
      </c>
    </row>
    <row r="257" spans="1:4" x14ac:dyDescent="0.25">
      <c r="A257" s="43" t="s">
        <v>67</v>
      </c>
      <c r="B257" s="43">
        <v>302006</v>
      </c>
      <c r="C257" t="s">
        <v>3298</v>
      </c>
      <c r="D257" t="str">
        <f t="shared" si="3"/>
        <v>302006 -  [BODEGA] GRÚA TORRE 4  </v>
      </c>
    </row>
    <row r="258" spans="1:4" x14ac:dyDescent="0.25">
      <c r="A258" s="43" t="s">
        <v>67</v>
      </c>
      <c r="B258" s="43">
        <v>302007</v>
      </c>
      <c r="C258" t="s">
        <v>3299</v>
      </c>
      <c r="D258" t="str">
        <f t="shared" si="3"/>
        <v>302007 -  [BODEGA] GRÚA TORRE 5  </v>
      </c>
    </row>
    <row r="259" spans="1:4" x14ac:dyDescent="0.25">
      <c r="A259" s="43" t="s">
        <v>67</v>
      </c>
      <c r="B259" s="43">
        <v>302008</v>
      </c>
      <c r="C259" t="s">
        <v>3300</v>
      </c>
      <c r="D259" t="str">
        <f t="shared" ref="D259:D322" si="4">+B259&amp;" - "&amp;C259</f>
        <v>302008 -  [BODEGA] GRÚA TORRE 6  </v>
      </c>
    </row>
    <row r="260" spans="1:4" x14ac:dyDescent="0.25">
      <c r="A260" s="43" t="s">
        <v>67</v>
      </c>
      <c r="B260" s="43">
        <v>302009</v>
      </c>
      <c r="C260" t="s">
        <v>3301</v>
      </c>
      <c r="D260" t="str">
        <f t="shared" si="4"/>
        <v>302009 -  [BODEGA] GRÚA TORRE 7  </v>
      </c>
    </row>
    <row r="261" spans="1:4" x14ac:dyDescent="0.25">
      <c r="A261" s="43" t="s">
        <v>67</v>
      </c>
      <c r="B261" s="43">
        <v>302010</v>
      </c>
      <c r="C261" t="s">
        <v>3302</v>
      </c>
      <c r="D261" t="str">
        <f t="shared" si="4"/>
        <v>302010 -  [BODEGA] GRÚA TORRE 8  </v>
      </c>
    </row>
    <row r="262" spans="1:4" x14ac:dyDescent="0.25">
      <c r="A262" s="43" t="s">
        <v>67</v>
      </c>
      <c r="B262" s="43">
        <v>302011</v>
      </c>
      <c r="C262" t="s">
        <v>3303</v>
      </c>
      <c r="D262" t="str">
        <f t="shared" si="4"/>
        <v>302011 -  [BODEGA] GRÚA TORRE 9  </v>
      </c>
    </row>
    <row r="263" spans="1:4" x14ac:dyDescent="0.25">
      <c r="A263" s="43" t="s">
        <v>67</v>
      </c>
      <c r="B263" s="43">
        <v>302012</v>
      </c>
      <c r="C263" t="s">
        <v>3304</v>
      </c>
      <c r="D263" t="str">
        <f t="shared" si="4"/>
        <v>302012 -  [BODEGA] GRÚA TORRE 10  </v>
      </c>
    </row>
    <row r="264" spans="1:4" x14ac:dyDescent="0.25">
      <c r="A264" s="43" t="s">
        <v>67</v>
      </c>
      <c r="B264" s="43">
        <v>302013</v>
      </c>
      <c r="C264" t="s">
        <v>3305</v>
      </c>
      <c r="D264" t="str">
        <f t="shared" si="4"/>
        <v>302013 -  [BODEGA] GRÚA TORRE 11</v>
      </c>
    </row>
    <row r="265" spans="1:4" x14ac:dyDescent="0.25">
      <c r="A265" s="43" t="s">
        <v>67</v>
      </c>
      <c r="B265" s="43">
        <v>302014</v>
      </c>
      <c r="C265" t="s">
        <v>3306</v>
      </c>
      <c r="D265" t="str">
        <f t="shared" si="4"/>
        <v>302014 -  [BODEGA] GRÚA TORRE 12  </v>
      </c>
    </row>
    <row r="266" spans="1:4" x14ac:dyDescent="0.25">
      <c r="A266" s="43" t="s">
        <v>67</v>
      </c>
      <c r="B266" s="43">
        <v>302015</v>
      </c>
      <c r="C266" t="s">
        <v>3307</v>
      </c>
      <c r="D266" t="str">
        <f t="shared" si="4"/>
        <v>302015 -  [BODEGA] GRÚA TORRE 13  </v>
      </c>
    </row>
    <row r="267" spans="1:4" x14ac:dyDescent="0.25">
      <c r="A267" s="43" t="s">
        <v>67</v>
      </c>
      <c r="B267" s="43">
        <v>302016</v>
      </c>
      <c r="C267" t="s">
        <v>3308</v>
      </c>
      <c r="D267" t="str">
        <f t="shared" si="4"/>
        <v>302016 -  [BODEGA] GRÚA TORRE 14  </v>
      </c>
    </row>
    <row r="268" spans="1:4" x14ac:dyDescent="0.25">
      <c r="A268" s="43" t="s">
        <v>67</v>
      </c>
      <c r="B268" s="43">
        <v>302099</v>
      </c>
      <c r="C268" t="s">
        <v>3309</v>
      </c>
      <c r="D268" t="str">
        <f t="shared" si="4"/>
        <v>302099 -  [BODEGA] REPUESTOS PARA MANT. DE GRÚAS  </v>
      </c>
    </row>
    <row r="269" spans="1:4" x14ac:dyDescent="0.25">
      <c r="A269" s="43" t="s">
        <v>67</v>
      </c>
      <c r="B269" s="43">
        <v>302101</v>
      </c>
      <c r="C269" t="s">
        <v>3310</v>
      </c>
      <c r="D269" t="str">
        <f t="shared" si="4"/>
        <v>302101 -  [BODEGA] GRÚA AUTOMONTABLE 01  </v>
      </c>
    </row>
    <row r="270" spans="1:4" x14ac:dyDescent="0.25">
      <c r="A270" s="43" t="s">
        <v>67</v>
      </c>
      <c r="B270" s="43">
        <v>302102</v>
      </c>
      <c r="C270" t="s">
        <v>3311</v>
      </c>
      <c r="D270" t="str">
        <f t="shared" si="4"/>
        <v>302102 -  [BODEGA] GRÚA AUTOMONTABLE 02  </v>
      </c>
    </row>
    <row r="271" spans="1:4" x14ac:dyDescent="0.25">
      <c r="A271" s="43" t="s">
        <v>67</v>
      </c>
      <c r="B271" s="43">
        <v>302199</v>
      </c>
      <c r="C271" t="s">
        <v>3312</v>
      </c>
      <c r="D271" t="str">
        <f t="shared" si="4"/>
        <v>302199 -  [BODEGA] REPUESTOS GRÚAS AUTOMONTABLES  </v>
      </c>
    </row>
    <row r="272" spans="1:4" x14ac:dyDescent="0.25">
      <c r="A272" s="43" t="s">
        <v>67</v>
      </c>
      <c r="B272" s="43">
        <v>302201</v>
      </c>
      <c r="C272" t="s">
        <v>3313</v>
      </c>
      <c r="D272" t="str">
        <f t="shared" si="4"/>
        <v>302201 -  [BODEGA] CAPACHOS DESCARGA LATERAL  </v>
      </c>
    </row>
    <row r="273" spans="1:4" x14ac:dyDescent="0.25">
      <c r="A273" s="43" t="s">
        <v>67</v>
      </c>
      <c r="B273" s="43">
        <v>302202</v>
      </c>
      <c r="C273" t="s">
        <v>3313</v>
      </c>
      <c r="D273" t="str">
        <f t="shared" si="4"/>
        <v>302202 -  [BODEGA] CAPACHOS DESCARGA LATERAL  </v>
      </c>
    </row>
    <row r="274" spans="1:4" x14ac:dyDescent="0.25">
      <c r="A274" s="43" t="s">
        <v>67</v>
      </c>
      <c r="B274" s="43">
        <v>302203</v>
      </c>
      <c r="C274" t="s">
        <v>3314</v>
      </c>
      <c r="D274" t="str">
        <f t="shared" si="4"/>
        <v>302203 -  [BODEGA] CAPACHOS DESCARGA LATERAL</v>
      </c>
    </row>
    <row r="275" spans="1:4" x14ac:dyDescent="0.25">
      <c r="A275" s="43" t="s">
        <v>67</v>
      </c>
      <c r="B275" s="43">
        <v>302204</v>
      </c>
      <c r="C275" t="s">
        <v>3313</v>
      </c>
      <c r="D275" t="str">
        <f t="shared" si="4"/>
        <v>302204 -  [BODEGA] CAPACHOS DESCARGA LATERAL  </v>
      </c>
    </row>
    <row r="276" spans="1:4" x14ac:dyDescent="0.25">
      <c r="A276" s="43" t="s">
        <v>67</v>
      </c>
      <c r="B276" s="43">
        <v>302205</v>
      </c>
      <c r="C276" t="s">
        <v>3313</v>
      </c>
      <c r="D276" t="str">
        <f t="shared" si="4"/>
        <v>302205 -  [BODEGA] CAPACHOS DESCARGA LATERAL  </v>
      </c>
    </row>
    <row r="277" spans="1:4" x14ac:dyDescent="0.25">
      <c r="A277" s="43" t="s">
        <v>67</v>
      </c>
      <c r="B277" s="43">
        <v>302206</v>
      </c>
      <c r="C277" t="s">
        <v>3313</v>
      </c>
      <c r="D277" t="str">
        <f t="shared" si="4"/>
        <v>302206 -  [BODEGA] CAPACHOS DESCARGA LATERAL  </v>
      </c>
    </row>
    <row r="278" spans="1:4" x14ac:dyDescent="0.25">
      <c r="A278" s="43" t="s">
        <v>67</v>
      </c>
      <c r="B278" s="43">
        <v>302207</v>
      </c>
      <c r="C278" t="s">
        <v>3313</v>
      </c>
      <c r="D278" t="str">
        <f t="shared" si="4"/>
        <v>302207 -  [BODEGA] CAPACHOS DESCARGA LATERAL  </v>
      </c>
    </row>
    <row r="279" spans="1:4" x14ac:dyDescent="0.25">
      <c r="A279" s="43" t="s">
        <v>67</v>
      </c>
      <c r="B279" s="43">
        <v>302208</v>
      </c>
      <c r="C279" t="s">
        <v>3313</v>
      </c>
      <c r="D279" t="str">
        <f t="shared" si="4"/>
        <v>302208 -  [BODEGA] CAPACHOS DESCARGA LATERAL  </v>
      </c>
    </row>
    <row r="280" spans="1:4" x14ac:dyDescent="0.25">
      <c r="A280" s="43" t="s">
        <v>67</v>
      </c>
      <c r="B280" s="43">
        <v>302209</v>
      </c>
      <c r="C280" t="s">
        <v>3313</v>
      </c>
      <c r="D280" t="str">
        <f t="shared" si="4"/>
        <v>302209 -  [BODEGA] CAPACHOS DESCARGA LATERAL  </v>
      </c>
    </row>
    <row r="281" spans="1:4" x14ac:dyDescent="0.25">
      <c r="A281" s="43" t="s">
        <v>67</v>
      </c>
      <c r="B281" s="43">
        <v>302210</v>
      </c>
      <c r="C281" t="s">
        <v>3313</v>
      </c>
      <c r="D281" t="str">
        <f t="shared" si="4"/>
        <v>302210 -  [BODEGA] CAPACHOS DESCARGA LATERAL  </v>
      </c>
    </row>
    <row r="282" spans="1:4" x14ac:dyDescent="0.25">
      <c r="A282" s="43" t="s">
        <v>67</v>
      </c>
      <c r="B282" s="43">
        <v>302211</v>
      </c>
      <c r="C282" t="s">
        <v>3313</v>
      </c>
      <c r="D282" t="str">
        <f t="shared" si="4"/>
        <v>302211 -  [BODEGA] CAPACHOS DESCARGA LATERAL  </v>
      </c>
    </row>
    <row r="283" spans="1:4" x14ac:dyDescent="0.25">
      <c r="A283" s="43" t="s">
        <v>67</v>
      </c>
      <c r="B283" s="43">
        <v>302212</v>
      </c>
      <c r="C283" t="s">
        <v>3313</v>
      </c>
      <c r="D283" t="str">
        <f t="shared" si="4"/>
        <v>302212 -  [BODEGA] CAPACHOS DESCARGA LATERAL  </v>
      </c>
    </row>
    <row r="284" spans="1:4" x14ac:dyDescent="0.25">
      <c r="A284" s="43" t="s">
        <v>67</v>
      </c>
      <c r="B284" s="43">
        <v>302213</v>
      </c>
      <c r="C284" t="s">
        <v>3314</v>
      </c>
      <c r="D284" t="str">
        <f t="shared" si="4"/>
        <v>302213 -  [BODEGA] CAPACHOS DESCARGA LATERAL</v>
      </c>
    </row>
    <row r="285" spans="1:4" x14ac:dyDescent="0.25">
      <c r="A285" s="43" t="s">
        <v>67</v>
      </c>
      <c r="B285" s="43">
        <v>302214</v>
      </c>
      <c r="C285" t="s">
        <v>3313</v>
      </c>
      <c r="D285" t="str">
        <f t="shared" si="4"/>
        <v>302214 -  [BODEGA] CAPACHOS DESCARGA LATERAL  </v>
      </c>
    </row>
    <row r="286" spans="1:4" x14ac:dyDescent="0.25">
      <c r="A286" s="43" t="s">
        <v>67</v>
      </c>
      <c r="B286" s="43">
        <v>302215</v>
      </c>
      <c r="C286" t="s">
        <v>3313</v>
      </c>
      <c r="D286" t="str">
        <f t="shared" si="4"/>
        <v>302215 -  [BODEGA] CAPACHOS DESCARGA LATERAL  </v>
      </c>
    </row>
    <row r="287" spans="1:4" x14ac:dyDescent="0.25">
      <c r="A287" s="43" t="s">
        <v>67</v>
      </c>
      <c r="B287" s="43">
        <v>302216</v>
      </c>
      <c r="C287" t="s">
        <v>3313</v>
      </c>
      <c r="D287" t="str">
        <f t="shared" si="4"/>
        <v>302216 -  [BODEGA] CAPACHOS DESCARGA LATERAL  </v>
      </c>
    </row>
    <row r="288" spans="1:4" x14ac:dyDescent="0.25">
      <c r="A288" s="43" t="s">
        <v>67</v>
      </c>
      <c r="B288" s="43">
        <v>302217</v>
      </c>
      <c r="C288" t="s">
        <v>3313</v>
      </c>
      <c r="D288" t="str">
        <f t="shared" si="4"/>
        <v>302217 -  [BODEGA] CAPACHOS DESCARGA LATERAL  </v>
      </c>
    </row>
    <row r="289" spans="1:4" x14ac:dyDescent="0.25">
      <c r="A289" s="43" t="s">
        <v>67</v>
      </c>
      <c r="B289" s="43">
        <v>302218</v>
      </c>
      <c r="C289" t="s">
        <v>3313</v>
      </c>
      <c r="D289" t="str">
        <f t="shared" si="4"/>
        <v>302218 -  [BODEGA] CAPACHOS DESCARGA LATERAL  </v>
      </c>
    </row>
    <row r="290" spans="1:4" x14ac:dyDescent="0.25">
      <c r="A290" s="43" t="s">
        <v>67</v>
      </c>
      <c r="B290" s="43">
        <v>302219</v>
      </c>
      <c r="C290" t="s">
        <v>3313</v>
      </c>
      <c r="D290" t="str">
        <f t="shared" si="4"/>
        <v>302219 -  [BODEGA] CAPACHOS DESCARGA LATERAL  </v>
      </c>
    </row>
    <row r="291" spans="1:4" x14ac:dyDescent="0.25">
      <c r="A291" s="43" t="s">
        <v>67</v>
      </c>
      <c r="B291" s="43">
        <v>302220</v>
      </c>
      <c r="C291" t="s">
        <v>3313</v>
      </c>
      <c r="D291" t="str">
        <f t="shared" si="4"/>
        <v>302220 -  [BODEGA] CAPACHOS DESCARGA LATERAL  </v>
      </c>
    </row>
    <row r="292" spans="1:4" x14ac:dyDescent="0.25">
      <c r="A292" s="43" t="s">
        <v>67</v>
      </c>
      <c r="B292" s="43">
        <v>302301</v>
      </c>
      <c r="C292" t="s">
        <v>3315</v>
      </c>
      <c r="D292" t="str">
        <f t="shared" si="4"/>
        <v>302301 -  [BODEGA] CAPACHOS DESCARGA VERTICAL  </v>
      </c>
    </row>
    <row r="293" spans="1:4" x14ac:dyDescent="0.25">
      <c r="A293" s="43" t="s">
        <v>67</v>
      </c>
      <c r="B293" s="43">
        <v>302302</v>
      </c>
      <c r="C293" t="s">
        <v>3315</v>
      </c>
      <c r="D293" t="str">
        <f t="shared" si="4"/>
        <v>302302 -  [BODEGA] CAPACHOS DESCARGA VERTICAL  </v>
      </c>
    </row>
    <row r="294" spans="1:4" x14ac:dyDescent="0.25">
      <c r="A294" s="43" t="s">
        <v>67</v>
      </c>
      <c r="B294" s="43">
        <v>302303</v>
      </c>
      <c r="C294" t="s">
        <v>3316</v>
      </c>
      <c r="D294" t="str">
        <f t="shared" si="4"/>
        <v>302303 -  [BODEGA] CAPACHOS DESCARGA VERTICAL</v>
      </c>
    </row>
    <row r="295" spans="1:4" x14ac:dyDescent="0.25">
      <c r="A295" s="43" t="s">
        <v>67</v>
      </c>
      <c r="B295" s="43">
        <v>302304</v>
      </c>
      <c r="C295" t="s">
        <v>3315</v>
      </c>
      <c r="D295" t="str">
        <f t="shared" si="4"/>
        <v>302304 -  [BODEGA] CAPACHOS DESCARGA VERTICAL  </v>
      </c>
    </row>
    <row r="296" spans="1:4" x14ac:dyDescent="0.25">
      <c r="A296" s="43" t="s">
        <v>67</v>
      </c>
      <c r="B296" s="43">
        <v>302305</v>
      </c>
      <c r="C296" t="s">
        <v>3315</v>
      </c>
      <c r="D296" t="str">
        <f t="shared" si="4"/>
        <v>302305 -  [BODEGA] CAPACHOS DESCARGA VERTICAL  </v>
      </c>
    </row>
    <row r="297" spans="1:4" x14ac:dyDescent="0.25">
      <c r="A297" s="43" t="s">
        <v>67</v>
      </c>
      <c r="B297" s="43">
        <v>302306</v>
      </c>
      <c r="C297" t="s">
        <v>3315</v>
      </c>
      <c r="D297" t="str">
        <f t="shared" si="4"/>
        <v>302306 -  [BODEGA] CAPACHOS DESCARGA VERTICAL  </v>
      </c>
    </row>
    <row r="298" spans="1:4" x14ac:dyDescent="0.25">
      <c r="A298" s="43" t="s">
        <v>67</v>
      </c>
      <c r="B298" s="43">
        <v>302307</v>
      </c>
      <c r="C298" t="s">
        <v>3315</v>
      </c>
      <c r="D298" t="str">
        <f t="shared" si="4"/>
        <v>302307 -  [BODEGA] CAPACHOS DESCARGA VERTICAL  </v>
      </c>
    </row>
    <row r="299" spans="1:4" x14ac:dyDescent="0.25">
      <c r="A299" s="43" t="s">
        <v>67</v>
      </c>
      <c r="B299" s="43">
        <v>302308</v>
      </c>
      <c r="C299" t="s">
        <v>3315</v>
      </c>
      <c r="D299" t="str">
        <f t="shared" si="4"/>
        <v>302308 -  [BODEGA] CAPACHOS DESCARGA VERTICAL  </v>
      </c>
    </row>
    <row r="300" spans="1:4" x14ac:dyDescent="0.25">
      <c r="A300" s="43" t="s">
        <v>67</v>
      </c>
      <c r="B300" s="43">
        <v>302309</v>
      </c>
      <c r="C300" t="s">
        <v>3315</v>
      </c>
      <c r="D300" t="str">
        <f t="shared" si="4"/>
        <v>302309 -  [BODEGA] CAPACHOS DESCARGA VERTICAL  </v>
      </c>
    </row>
    <row r="301" spans="1:4" x14ac:dyDescent="0.25">
      <c r="A301" s="43" t="s">
        <v>67</v>
      </c>
      <c r="B301" s="43">
        <v>302310</v>
      </c>
      <c r="C301" t="s">
        <v>3315</v>
      </c>
      <c r="D301" t="str">
        <f t="shared" si="4"/>
        <v>302310 -  [BODEGA] CAPACHOS DESCARGA VERTICAL  </v>
      </c>
    </row>
    <row r="302" spans="1:4" x14ac:dyDescent="0.25">
      <c r="A302" s="43" t="s">
        <v>67</v>
      </c>
      <c r="B302" s="43">
        <v>302311</v>
      </c>
      <c r="C302" t="s">
        <v>3315</v>
      </c>
      <c r="D302" t="str">
        <f t="shared" si="4"/>
        <v>302311 -  [BODEGA] CAPACHOS DESCARGA VERTICAL  </v>
      </c>
    </row>
    <row r="303" spans="1:4" x14ac:dyDescent="0.25">
      <c r="A303" s="43" t="s">
        <v>67</v>
      </c>
      <c r="B303" s="43">
        <v>302312</v>
      </c>
      <c r="C303" t="s">
        <v>3315</v>
      </c>
      <c r="D303" t="str">
        <f t="shared" si="4"/>
        <v>302312 -  [BODEGA] CAPACHOS DESCARGA VERTICAL  </v>
      </c>
    </row>
    <row r="304" spans="1:4" x14ac:dyDescent="0.25">
      <c r="A304" s="43" t="s">
        <v>67</v>
      </c>
      <c r="B304" s="43">
        <v>302313</v>
      </c>
      <c r="C304" t="s">
        <v>3316</v>
      </c>
      <c r="D304" t="str">
        <f t="shared" si="4"/>
        <v>302313 -  [BODEGA] CAPACHOS DESCARGA VERTICAL</v>
      </c>
    </row>
    <row r="305" spans="1:4" x14ac:dyDescent="0.25">
      <c r="A305" s="43" t="s">
        <v>67</v>
      </c>
      <c r="B305" s="43">
        <v>302314</v>
      </c>
      <c r="C305" t="s">
        <v>3315</v>
      </c>
      <c r="D305" t="str">
        <f t="shared" si="4"/>
        <v>302314 -  [BODEGA] CAPACHOS DESCARGA VERTICAL  </v>
      </c>
    </row>
    <row r="306" spans="1:4" x14ac:dyDescent="0.25">
      <c r="A306" s="43" t="s">
        <v>67</v>
      </c>
      <c r="B306" s="43">
        <v>302315</v>
      </c>
      <c r="C306" t="s">
        <v>3315</v>
      </c>
      <c r="D306" t="str">
        <f t="shared" si="4"/>
        <v>302315 -  [BODEGA] CAPACHOS DESCARGA VERTICAL  </v>
      </c>
    </row>
    <row r="307" spans="1:4" x14ac:dyDescent="0.25">
      <c r="A307" s="43" t="s">
        <v>67</v>
      </c>
      <c r="B307" s="43">
        <v>302316</v>
      </c>
      <c r="C307" t="s">
        <v>3315</v>
      </c>
      <c r="D307" t="str">
        <f t="shared" si="4"/>
        <v>302316 -  [BODEGA] CAPACHOS DESCARGA VERTICAL  </v>
      </c>
    </row>
    <row r="308" spans="1:4" x14ac:dyDescent="0.25">
      <c r="A308" s="43" t="s">
        <v>67</v>
      </c>
      <c r="B308" s="43">
        <v>302317</v>
      </c>
      <c r="C308" t="s">
        <v>3315</v>
      </c>
      <c r="D308" t="str">
        <f t="shared" si="4"/>
        <v>302317 -  [BODEGA] CAPACHOS DESCARGA VERTICAL  </v>
      </c>
    </row>
    <row r="309" spans="1:4" x14ac:dyDescent="0.25">
      <c r="A309" s="43" t="s">
        <v>67</v>
      </c>
      <c r="B309" s="43">
        <v>302318</v>
      </c>
      <c r="C309" t="s">
        <v>3315</v>
      </c>
      <c r="D309" t="str">
        <f t="shared" si="4"/>
        <v>302318 -  [BODEGA] CAPACHOS DESCARGA VERTICAL  </v>
      </c>
    </row>
    <row r="310" spans="1:4" x14ac:dyDescent="0.25">
      <c r="A310" s="43" t="s">
        <v>67</v>
      </c>
      <c r="B310" s="43">
        <v>302319</v>
      </c>
      <c r="C310" t="s">
        <v>3315</v>
      </c>
      <c r="D310" t="str">
        <f t="shared" si="4"/>
        <v>302319 -  [BODEGA] CAPACHOS DESCARGA VERTICAL  </v>
      </c>
    </row>
    <row r="311" spans="1:4" x14ac:dyDescent="0.25">
      <c r="A311" s="43" t="s">
        <v>67</v>
      </c>
      <c r="B311" s="43">
        <v>302320</v>
      </c>
      <c r="C311" t="s">
        <v>3315</v>
      </c>
      <c r="D311" t="str">
        <f t="shared" si="4"/>
        <v>302320 -  [BODEGA] CAPACHOS DESCARGA VERTICAL  </v>
      </c>
    </row>
    <row r="312" spans="1:4" x14ac:dyDescent="0.25">
      <c r="A312" s="43" t="s">
        <v>67</v>
      </c>
      <c r="B312" s="43">
        <v>302499</v>
      </c>
      <c r="C312" t="s">
        <v>3317</v>
      </c>
      <c r="D312" t="str">
        <f t="shared" si="4"/>
        <v>302499 -  [BODEGA] REPUESTOS MANTENCIÓN CAPACHOS  </v>
      </c>
    </row>
    <row r="313" spans="1:4" x14ac:dyDescent="0.25">
      <c r="A313" s="43" t="s">
        <v>67</v>
      </c>
      <c r="B313" s="43">
        <v>302500</v>
      </c>
      <c r="C313" t="s">
        <v>3318</v>
      </c>
      <c r="D313" t="str">
        <f t="shared" si="4"/>
        <v>302500 -  [BODEGA] CUNA METÁLICA  </v>
      </c>
    </row>
    <row r="314" spans="1:4" x14ac:dyDescent="0.25">
      <c r="A314" s="43" t="s">
        <v>67</v>
      </c>
      <c r="B314" s="43">
        <v>303001</v>
      </c>
      <c r="C314" t="s">
        <v>3319</v>
      </c>
      <c r="D314" t="str">
        <f t="shared" si="4"/>
        <v>303001 -  [BODEGA] ASCENSOR 01  </v>
      </c>
    </row>
    <row r="315" spans="1:4" x14ac:dyDescent="0.25">
      <c r="A315" s="43" t="s">
        <v>67</v>
      </c>
      <c r="B315" s="43">
        <v>303002</v>
      </c>
      <c r="C315" t="s">
        <v>3320</v>
      </c>
      <c r="D315" t="str">
        <f t="shared" si="4"/>
        <v>303002 -  [BODEGA] ASCENSOR 02  </v>
      </c>
    </row>
    <row r="316" spans="1:4" x14ac:dyDescent="0.25">
      <c r="A316" s="43" t="s">
        <v>67</v>
      </c>
      <c r="B316" s="43">
        <v>303003</v>
      </c>
      <c r="C316" t="s">
        <v>3321</v>
      </c>
      <c r="D316" t="str">
        <f t="shared" si="4"/>
        <v>303003 -  [BODEGA] ASCENSOR 03  </v>
      </c>
    </row>
    <row r="317" spans="1:4" x14ac:dyDescent="0.25">
      <c r="A317" s="43" t="s">
        <v>67</v>
      </c>
      <c r="B317" s="43">
        <v>303004</v>
      </c>
      <c r="C317" t="s">
        <v>3322</v>
      </c>
      <c r="D317" t="str">
        <f t="shared" si="4"/>
        <v>303004 -  [BODEGA] ASCENSOR 04  </v>
      </c>
    </row>
    <row r="318" spans="1:4" x14ac:dyDescent="0.25">
      <c r="A318" s="43" t="s">
        <v>67</v>
      </c>
      <c r="B318" s="43">
        <v>303005</v>
      </c>
      <c r="C318" t="s">
        <v>3323</v>
      </c>
      <c r="D318" t="str">
        <f t="shared" si="4"/>
        <v>303005 -  [BODEGA] ASCENSOR 05  </v>
      </c>
    </row>
    <row r="319" spans="1:4" x14ac:dyDescent="0.25">
      <c r="A319" s="43" t="s">
        <v>67</v>
      </c>
      <c r="B319" s="43">
        <v>303006</v>
      </c>
      <c r="C319" t="s">
        <v>3324</v>
      </c>
      <c r="D319" t="str">
        <f t="shared" si="4"/>
        <v>303006 -  [BODEGA] ASCENSOR 06  </v>
      </c>
    </row>
    <row r="320" spans="1:4" x14ac:dyDescent="0.25">
      <c r="A320" s="43" t="s">
        <v>67</v>
      </c>
      <c r="B320" s="43">
        <v>303007</v>
      </c>
      <c r="C320" t="s">
        <v>3325</v>
      </c>
      <c r="D320" t="str">
        <f t="shared" si="4"/>
        <v>303007 -  [BODEGA] ASCENSOR 07  </v>
      </c>
    </row>
    <row r="321" spans="1:4" x14ac:dyDescent="0.25">
      <c r="A321" s="43" t="s">
        <v>67</v>
      </c>
      <c r="B321" s="43">
        <v>303008</v>
      </c>
      <c r="C321" t="s">
        <v>3326</v>
      </c>
      <c r="D321" t="str">
        <f t="shared" si="4"/>
        <v>303008 -  [BODEGA] ASCENSOR 08  </v>
      </c>
    </row>
    <row r="322" spans="1:4" x14ac:dyDescent="0.25">
      <c r="A322" s="43" t="s">
        <v>67</v>
      </c>
      <c r="B322" s="43">
        <v>303009</v>
      </c>
      <c r="C322" t="s">
        <v>3327</v>
      </c>
      <c r="D322" t="str">
        <f t="shared" si="4"/>
        <v>303009 -  [BODEGA] ASCENSOR 09  </v>
      </c>
    </row>
    <row r="323" spans="1:4" x14ac:dyDescent="0.25">
      <c r="A323" s="43" t="s">
        <v>67</v>
      </c>
      <c r="B323" s="43">
        <v>303010</v>
      </c>
      <c r="C323" t="s">
        <v>3328</v>
      </c>
      <c r="D323" t="str">
        <f t="shared" ref="D323:D386" si="5">+B323&amp;" - "&amp;C323</f>
        <v>303010 -  [BODEGA] ASCENSOR 10  </v>
      </c>
    </row>
    <row r="324" spans="1:4" x14ac:dyDescent="0.25">
      <c r="A324" s="43" t="s">
        <v>67</v>
      </c>
      <c r="B324" s="43">
        <v>303199</v>
      </c>
      <c r="C324" t="s">
        <v>3329</v>
      </c>
      <c r="D324" t="str">
        <f t="shared" si="5"/>
        <v>303199 -  [BODEGA] REPUESTOS MANTE. ASCENSORES</v>
      </c>
    </row>
    <row r="325" spans="1:4" x14ac:dyDescent="0.25">
      <c r="A325" s="43" t="s">
        <v>67</v>
      </c>
      <c r="B325" s="43">
        <v>304001</v>
      </c>
      <c r="C325" t="s">
        <v>3330</v>
      </c>
      <c r="D325" t="str">
        <f t="shared" si="5"/>
        <v>304001 -  [BODEGA] BRAZO DIST. HORM. Nº1  </v>
      </c>
    </row>
    <row r="326" spans="1:4" x14ac:dyDescent="0.25">
      <c r="A326" s="43" t="s">
        <v>67</v>
      </c>
      <c r="B326" s="43">
        <v>304002</v>
      </c>
      <c r="C326" t="s">
        <v>3331</v>
      </c>
      <c r="D326" t="str">
        <f t="shared" si="5"/>
        <v>304002 -  [BODEGA] BRAZO DIST. HORM. Nº2  </v>
      </c>
    </row>
    <row r="327" spans="1:4" x14ac:dyDescent="0.25">
      <c r="A327" s="43" t="s">
        <v>67</v>
      </c>
      <c r="B327" s="43">
        <v>304199</v>
      </c>
      <c r="C327" t="s">
        <v>3332</v>
      </c>
      <c r="D327" t="str">
        <f t="shared" si="5"/>
        <v>304199 -  [BODEGA] REPUESTOS BRAZOS DISTRIBUIDORES </v>
      </c>
    </row>
    <row r="328" spans="1:4" x14ac:dyDescent="0.25">
      <c r="A328" s="43" t="s">
        <v>67</v>
      </c>
      <c r="B328" s="43">
        <v>304201</v>
      </c>
      <c r="C328" t="s">
        <v>3333</v>
      </c>
      <c r="D328" t="str">
        <f t="shared" si="5"/>
        <v>304201 -  [BODEGA] BOMBA ESTACIONARIA PARA HORMIGI </v>
      </c>
    </row>
    <row r="329" spans="1:4" x14ac:dyDescent="0.25">
      <c r="A329" s="43" t="s">
        <v>67</v>
      </c>
      <c r="B329" s="43">
        <v>304202</v>
      </c>
      <c r="C329" t="s">
        <v>3333</v>
      </c>
      <c r="D329" t="str">
        <f t="shared" si="5"/>
        <v>304202 -  [BODEGA] BOMBA ESTACIONARIA PARA HORMIGI </v>
      </c>
    </row>
    <row r="330" spans="1:4" x14ac:dyDescent="0.25">
      <c r="A330" s="43" t="s">
        <v>67</v>
      </c>
      <c r="B330" s="43">
        <v>304203</v>
      </c>
      <c r="C330" t="s">
        <v>3334</v>
      </c>
      <c r="D330" t="str">
        <f t="shared" si="5"/>
        <v>304203 -  [BODEGA] BOMBA ESTACIONARIA PARA HORMIGO </v>
      </c>
    </row>
    <row r="331" spans="1:4" x14ac:dyDescent="0.25">
      <c r="A331" s="43" t="s">
        <v>67</v>
      </c>
      <c r="B331" s="43">
        <v>304204</v>
      </c>
      <c r="C331" t="s">
        <v>3334</v>
      </c>
      <c r="D331" t="str">
        <f t="shared" si="5"/>
        <v>304204 -  [BODEGA] BOMBA ESTACIONARIA PARA HORMIGO </v>
      </c>
    </row>
    <row r="332" spans="1:4" x14ac:dyDescent="0.25">
      <c r="A332" s="43" t="s">
        <v>67</v>
      </c>
      <c r="B332" s="43">
        <v>304205</v>
      </c>
      <c r="C332" t="s">
        <v>3334</v>
      </c>
      <c r="D332" t="str">
        <f t="shared" si="5"/>
        <v>304205 -  [BODEGA] BOMBA ESTACIONARIA PARA HORMIGO </v>
      </c>
    </row>
    <row r="333" spans="1:4" x14ac:dyDescent="0.25">
      <c r="A333" s="43" t="s">
        <v>67</v>
      </c>
      <c r="B333" s="43">
        <v>304206</v>
      </c>
      <c r="C333" t="s">
        <v>3335</v>
      </c>
      <c r="D333" t="str">
        <f t="shared" si="5"/>
        <v>304206 -  [BODEGA] BOMBA ESTACIONARIA PARA HORMIGÓ </v>
      </c>
    </row>
    <row r="334" spans="1:4" x14ac:dyDescent="0.25">
      <c r="A334" s="43" t="s">
        <v>67</v>
      </c>
      <c r="B334" s="43">
        <v>304207</v>
      </c>
      <c r="C334" t="s">
        <v>3335</v>
      </c>
      <c r="D334" t="str">
        <f t="shared" si="5"/>
        <v>304207 -  [BODEGA] BOMBA ESTACIONARIA PARA HORMIGÓ </v>
      </c>
    </row>
    <row r="335" spans="1:4" x14ac:dyDescent="0.25">
      <c r="A335" s="43" t="s">
        <v>67</v>
      </c>
      <c r="B335" s="43">
        <v>304299</v>
      </c>
      <c r="C335" t="s">
        <v>3336</v>
      </c>
      <c r="D335" t="str">
        <f t="shared" si="5"/>
        <v>304299 -  [BODEGA] REPUESTOS E INSUMOS PARA MANTEN </v>
      </c>
    </row>
    <row r="336" spans="1:4" x14ac:dyDescent="0.25">
      <c r="A336" s="43" t="s">
        <v>67</v>
      </c>
      <c r="B336" s="43">
        <v>304301</v>
      </c>
      <c r="C336" t="s">
        <v>3337</v>
      </c>
      <c r="D336" t="str">
        <f t="shared" si="5"/>
        <v>304301 -  [BODEGA] BRAZO DIST. HORM. MANUAL N°1  </v>
      </c>
    </row>
    <row r="337" spans="1:4" x14ac:dyDescent="0.25">
      <c r="A337" s="43" t="s">
        <v>67</v>
      </c>
      <c r="B337" s="43">
        <v>304302</v>
      </c>
      <c r="C337" t="s">
        <v>3338</v>
      </c>
      <c r="D337" t="str">
        <f t="shared" si="5"/>
        <v>304302 -  [BODEGA] BRAZO DIST. HORM. MANUAL N°2  </v>
      </c>
    </row>
    <row r="338" spans="1:4" x14ac:dyDescent="0.25">
      <c r="A338" s="43" t="s">
        <v>67</v>
      </c>
      <c r="B338" s="43">
        <v>304303</v>
      </c>
      <c r="C338" t="s">
        <v>3339</v>
      </c>
      <c r="D338" t="str">
        <f t="shared" si="5"/>
        <v>304303 -  [BODEGA] BRAZO DIST. HORM. MANUAL N°3  </v>
      </c>
    </row>
    <row r="339" spans="1:4" x14ac:dyDescent="0.25">
      <c r="A339" s="43" t="s">
        <v>67</v>
      </c>
      <c r="B339" s="43">
        <v>304304</v>
      </c>
      <c r="C339" t="s">
        <v>3340</v>
      </c>
      <c r="D339" t="str">
        <f t="shared" si="5"/>
        <v>304304 -  [BODEGA] BRAZO DIST. HORM. MANUAL N°4  </v>
      </c>
    </row>
    <row r="340" spans="1:4" x14ac:dyDescent="0.25">
      <c r="A340" s="43" t="s">
        <v>67</v>
      </c>
      <c r="B340" s="43">
        <v>304399</v>
      </c>
      <c r="C340" t="s">
        <v>3341</v>
      </c>
      <c r="D340" t="str">
        <f t="shared" si="5"/>
        <v>304399 -  [BODEGA] REPUESTOS E INSUMOS PARA MANT.  </v>
      </c>
    </row>
    <row r="341" spans="1:4" x14ac:dyDescent="0.25">
      <c r="A341" s="43" t="s">
        <v>67</v>
      </c>
      <c r="B341" s="43">
        <v>305001</v>
      </c>
      <c r="C341" t="s">
        <v>3342</v>
      </c>
      <c r="D341" t="str">
        <f t="shared" si="5"/>
        <v>305001 -  [BODEGA] CONTENEDORES 10  </v>
      </c>
    </row>
    <row r="342" spans="1:4" x14ac:dyDescent="0.25">
      <c r="A342" s="43" t="s">
        <v>67</v>
      </c>
      <c r="B342" s="43">
        <v>305002</v>
      </c>
      <c r="C342" t="s">
        <v>3342</v>
      </c>
      <c r="D342" t="str">
        <f t="shared" si="5"/>
        <v>305002 -  [BODEGA] CONTENEDORES 10  </v>
      </c>
    </row>
    <row r="343" spans="1:4" x14ac:dyDescent="0.25">
      <c r="A343" s="43" t="s">
        <v>67</v>
      </c>
      <c r="B343" s="43">
        <v>305003</v>
      </c>
      <c r="C343" t="s">
        <v>3342</v>
      </c>
      <c r="D343" t="str">
        <f t="shared" si="5"/>
        <v>305003 -  [BODEGA] CONTENEDORES 10  </v>
      </c>
    </row>
    <row r="344" spans="1:4" x14ac:dyDescent="0.25">
      <c r="A344" s="43" t="s">
        <v>67</v>
      </c>
      <c r="B344" s="43">
        <v>305004</v>
      </c>
      <c r="C344" t="s">
        <v>3342</v>
      </c>
      <c r="D344" t="str">
        <f t="shared" si="5"/>
        <v>305004 -  [BODEGA] CONTENEDORES 10  </v>
      </c>
    </row>
    <row r="345" spans="1:4" x14ac:dyDescent="0.25">
      <c r="A345" s="43" t="s">
        <v>67</v>
      </c>
      <c r="B345" s="43">
        <v>305005</v>
      </c>
      <c r="C345" t="s">
        <v>3342</v>
      </c>
      <c r="D345" t="str">
        <f t="shared" si="5"/>
        <v>305005 -  [BODEGA] CONTENEDORES 10  </v>
      </c>
    </row>
    <row r="346" spans="1:4" x14ac:dyDescent="0.25">
      <c r="A346" s="43" t="s">
        <v>67</v>
      </c>
      <c r="B346" s="43">
        <v>305006</v>
      </c>
      <c r="C346" t="s">
        <v>3342</v>
      </c>
      <c r="D346" t="str">
        <f t="shared" si="5"/>
        <v>305006 -  [BODEGA] CONTENEDORES 10  </v>
      </c>
    </row>
    <row r="347" spans="1:4" x14ac:dyDescent="0.25">
      <c r="A347" s="43" t="s">
        <v>67</v>
      </c>
      <c r="B347" s="43">
        <v>305007</v>
      </c>
      <c r="C347" t="s">
        <v>3342</v>
      </c>
      <c r="D347" t="str">
        <f t="shared" si="5"/>
        <v>305007 -  [BODEGA] CONTENEDORES 10  </v>
      </c>
    </row>
    <row r="348" spans="1:4" x14ac:dyDescent="0.25">
      <c r="A348" s="43" t="s">
        <v>67</v>
      </c>
      <c r="B348" s="43">
        <v>305008</v>
      </c>
      <c r="C348" t="s">
        <v>3342</v>
      </c>
      <c r="D348" t="str">
        <f t="shared" si="5"/>
        <v>305008 -  [BODEGA] CONTENEDORES 10  </v>
      </c>
    </row>
    <row r="349" spans="1:4" x14ac:dyDescent="0.25">
      <c r="A349" s="43" t="s">
        <v>67</v>
      </c>
      <c r="B349" s="43">
        <v>305009</v>
      </c>
      <c r="C349" t="s">
        <v>3342</v>
      </c>
      <c r="D349" t="str">
        <f t="shared" si="5"/>
        <v>305009 -  [BODEGA] CONTENEDORES 10  </v>
      </c>
    </row>
    <row r="350" spans="1:4" x14ac:dyDescent="0.25">
      <c r="A350" s="43" t="s">
        <v>67</v>
      </c>
      <c r="B350" s="43">
        <v>305010</v>
      </c>
      <c r="C350" t="s">
        <v>3342</v>
      </c>
      <c r="D350" t="str">
        <f t="shared" si="5"/>
        <v>305010 -  [BODEGA] CONTENEDORES 10  </v>
      </c>
    </row>
    <row r="351" spans="1:4" x14ac:dyDescent="0.25">
      <c r="A351" s="43" t="s">
        <v>67</v>
      </c>
      <c r="B351" s="43">
        <v>305101</v>
      </c>
      <c r="C351" t="s">
        <v>3343</v>
      </c>
      <c r="D351" t="str">
        <f t="shared" si="5"/>
        <v>305101 -  [BODEGA] CONTENEDORES 20  </v>
      </c>
    </row>
    <row r="352" spans="1:4" x14ac:dyDescent="0.25">
      <c r="A352" s="43" t="s">
        <v>67</v>
      </c>
      <c r="B352" s="43">
        <v>305102</v>
      </c>
      <c r="C352" t="s">
        <v>3343</v>
      </c>
      <c r="D352" t="str">
        <f t="shared" si="5"/>
        <v>305102 -  [BODEGA] CONTENEDORES 20  </v>
      </c>
    </row>
    <row r="353" spans="1:4" x14ac:dyDescent="0.25">
      <c r="A353" s="43" t="s">
        <v>67</v>
      </c>
      <c r="B353" s="43">
        <v>305103</v>
      </c>
      <c r="C353" t="s">
        <v>3343</v>
      </c>
      <c r="D353" t="str">
        <f t="shared" si="5"/>
        <v>305103 -  [BODEGA] CONTENEDORES 20  </v>
      </c>
    </row>
    <row r="354" spans="1:4" x14ac:dyDescent="0.25">
      <c r="A354" s="43" t="s">
        <v>67</v>
      </c>
      <c r="B354" s="43">
        <v>305104</v>
      </c>
      <c r="C354" t="s">
        <v>3344</v>
      </c>
      <c r="D354" t="str">
        <f t="shared" si="5"/>
        <v>305104 -  [BODEGA] CONTENEDORES 20</v>
      </c>
    </row>
    <row r="355" spans="1:4" x14ac:dyDescent="0.25">
      <c r="A355" s="43" t="s">
        <v>67</v>
      </c>
      <c r="B355" s="43">
        <v>305105</v>
      </c>
      <c r="C355" t="s">
        <v>3343</v>
      </c>
      <c r="D355" t="str">
        <f t="shared" si="5"/>
        <v>305105 -  [BODEGA] CONTENEDORES 20  </v>
      </c>
    </row>
    <row r="356" spans="1:4" x14ac:dyDescent="0.25">
      <c r="A356" s="43" t="s">
        <v>67</v>
      </c>
      <c r="B356" s="43">
        <v>305106</v>
      </c>
      <c r="C356" t="s">
        <v>3343</v>
      </c>
      <c r="D356" t="str">
        <f t="shared" si="5"/>
        <v>305106 -  [BODEGA] CONTENEDORES 20  </v>
      </c>
    </row>
    <row r="357" spans="1:4" x14ac:dyDescent="0.25">
      <c r="A357" s="43" t="s">
        <v>67</v>
      </c>
      <c r="B357" s="43">
        <v>305107</v>
      </c>
      <c r="C357" t="s">
        <v>3343</v>
      </c>
      <c r="D357" t="str">
        <f t="shared" si="5"/>
        <v>305107 -  [BODEGA] CONTENEDORES 20  </v>
      </c>
    </row>
    <row r="358" spans="1:4" x14ac:dyDescent="0.25">
      <c r="A358" s="43" t="s">
        <v>67</v>
      </c>
      <c r="B358" s="43">
        <v>305108</v>
      </c>
      <c r="C358" t="s">
        <v>3343</v>
      </c>
      <c r="D358" t="str">
        <f t="shared" si="5"/>
        <v>305108 -  [BODEGA] CONTENEDORES 20  </v>
      </c>
    </row>
    <row r="359" spans="1:4" x14ac:dyDescent="0.25">
      <c r="A359" s="43" t="s">
        <v>67</v>
      </c>
      <c r="B359" s="43">
        <v>305109</v>
      </c>
      <c r="C359" t="s">
        <v>3343</v>
      </c>
      <c r="D359" t="str">
        <f t="shared" si="5"/>
        <v>305109 -  [BODEGA] CONTENEDORES 20  </v>
      </c>
    </row>
    <row r="360" spans="1:4" x14ac:dyDescent="0.25">
      <c r="A360" s="43" t="s">
        <v>67</v>
      </c>
      <c r="B360" s="43">
        <v>305110</v>
      </c>
      <c r="C360" t="s">
        <v>3343</v>
      </c>
      <c r="D360" t="str">
        <f t="shared" si="5"/>
        <v>305110 -  [BODEGA] CONTENEDORES 20  </v>
      </c>
    </row>
    <row r="361" spans="1:4" x14ac:dyDescent="0.25">
      <c r="A361" s="43" t="s">
        <v>67</v>
      </c>
      <c r="B361" s="43">
        <v>305111</v>
      </c>
      <c r="C361" t="s">
        <v>3343</v>
      </c>
      <c r="D361" t="str">
        <f t="shared" si="5"/>
        <v>305111 -  [BODEGA] CONTENEDORES 20  </v>
      </c>
    </row>
    <row r="362" spans="1:4" x14ac:dyDescent="0.25">
      <c r="A362" s="43" t="s">
        <v>67</v>
      </c>
      <c r="B362" s="43">
        <v>305112</v>
      </c>
      <c r="C362" t="s">
        <v>3343</v>
      </c>
      <c r="D362" t="str">
        <f t="shared" si="5"/>
        <v>305112 -  [BODEGA] CONTENEDORES 20  </v>
      </c>
    </row>
    <row r="363" spans="1:4" x14ac:dyDescent="0.25">
      <c r="A363" s="43" t="s">
        <v>67</v>
      </c>
      <c r="B363" s="43">
        <v>305113</v>
      </c>
      <c r="C363" t="s">
        <v>3343</v>
      </c>
      <c r="D363" t="str">
        <f t="shared" si="5"/>
        <v>305113 -  [BODEGA] CONTENEDORES 20  </v>
      </c>
    </row>
    <row r="364" spans="1:4" x14ac:dyDescent="0.25">
      <c r="A364" s="43" t="s">
        <v>67</v>
      </c>
      <c r="B364" s="43">
        <v>305114</v>
      </c>
      <c r="C364" t="s">
        <v>3343</v>
      </c>
      <c r="D364" t="str">
        <f t="shared" si="5"/>
        <v>305114 -  [BODEGA] CONTENEDORES 20  </v>
      </c>
    </row>
    <row r="365" spans="1:4" x14ac:dyDescent="0.25">
      <c r="A365" s="43" t="s">
        <v>67</v>
      </c>
      <c r="B365" s="43">
        <v>305115</v>
      </c>
      <c r="C365" t="s">
        <v>3343</v>
      </c>
      <c r="D365" t="str">
        <f t="shared" si="5"/>
        <v>305115 -  [BODEGA] CONTENEDORES 20  </v>
      </c>
    </row>
    <row r="366" spans="1:4" x14ac:dyDescent="0.25">
      <c r="A366" s="43" t="s">
        <v>67</v>
      </c>
      <c r="B366" s="43">
        <v>305116</v>
      </c>
      <c r="C366" t="s">
        <v>3343</v>
      </c>
      <c r="D366" t="str">
        <f t="shared" si="5"/>
        <v>305116 -  [BODEGA] CONTENEDORES 20  </v>
      </c>
    </row>
    <row r="367" spans="1:4" x14ac:dyDescent="0.25">
      <c r="A367" s="43" t="s">
        <v>67</v>
      </c>
      <c r="B367" s="43">
        <v>305117</v>
      </c>
      <c r="C367" t="s">
        <v>3343</v>
      </c>
      <c r="D367" t="str">
        <f t="shared" si="5"/>
        <v>305117 -  [BODEGA] CONTENEDORES 20  </v>
      </c>
    </row>
    <row r="368" spans="1:4" x14ac:dyDescent="0.25">
      <c r="A368" s="43" t="s">
        <v>67</v>
      </c>
      <c r="B368" s="43">
        <v>305118</v>
      </c>
      <c r="C368" t="s">
        <v>3343</v>
      </c>
      <c r="D368" t="str">
        <f t="shared" si="5"/>
        <v>305118 -  [BODEGA] CONTENEDORES 20  </v>
      </c>
    </row>
    <row r="369" spans="1:4" x14ac:dyDescent="0.25">
      <c r="A369" s="43" t="s">
        <v>67</v>
      </c>
      <c r="B369" s="43">
        <v>305119</v>
      </c>
      <c r="C369" t="s">
        <v>3343</v>
      </c>
      <c r="D369" t="str">
        <f t="shared" si="5"/>
        <v>305119 -  [BODEGA] CONTENEDORES 20  </v>
      </c>
    </row>
    <row r="370" spans="1:4" x14ac:dyDescent="0.25">
      <c r="A370" s="43" t="s">
        <v>67</v>
      </c>
      <c r="B370" s="43">
        <v>305120</v>
      </c>
      <c r="C370" t="s">
        <v>3343</v>
      </c>
      <c r="D370" t="str">
        <f t="shared" si="5"/>
        <v>305120 -  [BODEGA] CONTENEDORES 20  </v>
      </c>
    </row>
    <row r="371" spans="1:4" x14ac:dyDescent="0.25">
      <c r="A371" s="43" t="s">
        <v>67</v>
      </c>
      <c r="B371" s="43">
        <v>305121</v>
      </c>
      <c r="C371" t="s">
        <v>3343</v>
      </c>
      <c r="D371" t="str">
        <f t="shared" si="5"/>
        <v>305121 -  [BODEGA] CONTENEDORES 20  </v>
      </c>
    </row>
    <row r="372" spans="1:4" x14ac:dyDescent="0.25">
      <c r="A372" s="43" t="s">
        <v>67</v>
      </c>
      <c r="B372" s="43">
        <v>305122</v>
      </c>
      <c r="C372" t="s">
        <v>3343</v>
      </c>
      <c r="D372" t="str">
        <f t="shared" si="5"/>
        <v>305122 -  [BODEGA] CONTENEDORES 20  </v>
      </c>
    </row>
    <row r="373" spans="1:4" x14ac:dyDescent="0.25">
      <c r="A373" s="43" t="s">
        <v>67</v>
      </c>
      <c r="B373" s="43">
        <v>305123</v>
      </c>
      <c r="C373" t="s">
        <v>3343</v>
      </c>
      <c r="D373" t="str">
        <f t="shared" si="5"/>
        <v>305123 -  [BODEGA] CONTENEDORES 20  </v>
      </c>
    </row>
    <row r="374" spans="1:4" x14ac:dyDescent="0.25">
      <c r="A374" s="43" t="s">
        <v>67</v>
      </c>
      <c r="B374" s="43">
        <v>305124</v>
      </c>
      <c r="C374" t="s">
        <v>3343</v>
      </c>
      <c r="D374" t="str">
        <f t="shared" si="5"/>
        <v>305124 -  [BODEGA] CONTENEDORES 20  </v>
      </c>
    </row>
    <row r="375" spans="1:4" x14ac:dyDescent="0.25">
      <c r="A375" s="43" t="s">
        <v>67</v>
      </c>
      <c r="B375" s="43">
        <v>305125</v>
      </c>
      <c r="C375" t="s">
        <v>3343</v>
      </c>
      <c r="D375" t="str">
        <f t="shared" si="5"/>
        <v>305125 -  [BODEGA] CONTENEDORES 20  </v>
      </c>
    </row>
    <row r="376" spans="1:4" x14ac:dyDescent="0.25">
      <c r="A376" s="43" t="s">
        <v>67</v>
      </c>
      <c r="B376" s="43">
        <v>305126</v>
      </c>
      <c r="C376" t="s">
        <v>3343</v>
      </c>
      <c r="D376" t="str">
        <f t="shared" si="5"/>
        <v>305126 -  [BODEGA] CONTENEDORES 20  </v>
      </c>
    </row>
    <row r="377" spans="1:4" x14ac:dyDescent="0.25">
      <c r="A377" s="43" t="s">
        <v>67</v>
      </c>
      <c r="B377" s="43">
        <v>305127</v>
      </c>
      <c r="C377" t="s">
        <v>3343</v>
      </c>
      <c r="D377" t="str">
        <f t="shared" si="5"/>
        <v>305127 -  [BODEGA] CONTENEDORES 20  </v>
      </c>
    </row>
    <row r="378" spans="1:4" x14ac:dyDescent="0.25">
      <c r="A378" s="43" t="s">
        <v>67</v>
      </c>
      <c r="B378" s="43">
        <v>305128</v>
      </c>
      <c r="C378" t="s">
        <v>3343</v>
      </c>
      <c r="D378" t="str">
        <f t="shared" si="5"/>
        <v>305128 -  [BODEGA] CONTENEDORES 20  </v>
      </c>
    </row>
    <row r="379" spans="1:4" x14ac:dyDescent="0.25">
      <c r="A379" s="43" t="s">
        <v>67</v>
      </c>
      <c r="B379" s="43">
        <v>305129</v>
      </c>
      <c r="C379" t="s">
        <v>3343</v>
      </c>
      <c r="D379" t="str">
        <f t="shared" si="5"/>
        <v>305129 -  [BODEGA] CONTENEDORES 20  </v>
      </c>
    </row>
    <row r="380" spans="1:4" x14ac:dyDescent="0.25">
      <c r="A380" s="43" t="s">
        <v>67</v>
      </c>
      <c r="B380" s="43">
        <v>305130</v>
      </c>
      <c r="C380" t="s">
        <v>3343</v>
      </c>
      <c r="D380" t="str">
        <f t="shared" si="5"/>
        <v>305130 -  [BODEGA] CONTENEDORES 20  </v>
      </c>
    </row>
    <row r="381" spans="1:4" x14ac:dyDescent="0.25">
      <c r="A381" s="43" t="s">
        <v>67</v>
      </c>
      <c r="B381" s="43">
        <v>305201</v>
      </c>
      <c r="C381" t="s">
        <v>3345</v>
      </c>
      <c r="D381" t="str">
        <f t="shared" si="5"/>
        <v>305201 -  [BODEGA] CONTENEDORES 40  </v>
      </c>
    </row>
    <row r="382" spans="1:4" x14ac:dyDescent="0.25">
      <c r="A382" s="43" t="s">
        <v>67</v>
      </c>
      <c r="B382" s="43">
        <v>305202</v>
      </c>
      <c r="C382" t="s">
        <v>3345</v>
      </c>
      <c r="D382" t="str">
        <f t="shared" si="5"/>
        <v>305202 -  [BODEGA] CONTENEDORES 40  </v>
      </c>
    </row>
    <row r="383" spans="1:4" x14ac:dyDescent="0.25">
      <c r="A383" s="43" t="s">
        <v>67</v>
      </c>
      <c r="B383" s="43">
        <v>305203</v>
      </c>
      <c r="C383" t="s">
        <v>3345</v>
      </c>
      <c r="D383" t="str">
        <f t="shared" si="5"/>
        <v>305203 -  [BODEGA] CONTENEDORES 40  </v>
      </c>
    </row>
    <row r="384" spans="1:4" x14ac:dyDescent="0.25">
      <c r="A384" s="43" t="s">
        <v>67</v>
      </c>
      <c r="B384" s="43">
        <v>305204</v>
      </c>
      <c r="C384" t="s">
        <v>3345</v>
      </c>
      <c r="D384" t="str">
        <f t="shared" si="5"/>
        <v>305204 -  [BODEGA] CONTENEDORES 40  </v>
      </c>
    </row>
    <row r="385" spans="1:4" x14ac:dyDescent="0.25">
      <c r="A385" s="43" t="s">
        <v>67</v>
      </c>
      <c r="B385" s="43">
        <v>305205</v>
      </c>
      <c r="C385" t="s">
        <v>3345</v>
      </c>
      <c r="D385" t="str">
        <f t="shared" si="5"/>
        <v>305205 -  [BODEGA] CONTENEDORES 40  </v>
      </c>
    </row>
    <row r="386" spans="1:4" x14ac:dyDescent="0.25">
      <c r="A386" s="43" t="s">
        <v>67</v>
      </c>
      <c r="B386" s="43">
        <v>305206</v>
      </c>
      <c r="C386" t="s">
        <v>3345</v>
      </c>
      <c r="D386" t="str">
        <f t="shared" si="5"/>
        <v>305206 -  [BODEGA] CONTENEDORES 40  </v>
      </c>
    </row>
    <row r="387" spans="1:4" x14ac:dyDescent="0.25">
      <c r="A387" s="43" t="s">
        <v>67</v>
      </c>
      <c r="B387" s="43">
        <v>305207</v>
      </c>
      <c r="C387" t="s">
        <v>3345</v>
      </c>
      <c r="D387" t="str">
        <f t="shared" ref="D387:D450" si="6">+B387&amp;" - "&amp;C387</f>
        <v>305207 -  [BODEGA] CONTENEDORES 40  </v>
      </c>
    </row>
    <row r="388" spans="1:4" x14ac:dyDescent="0.25">
      <c r="A388" s="43" t="s">
        <v>67</v>
      </c>
      <c r="B388" s="43">
        <v>305208</v>
      </c>
      <c r="C388" t="s">
        <v>3345</v>
      </c>
      <c r="D388" t="str">
        <f t="shared" si="6"/>
        <v>305208 -  [BODEGA] CONTENEDORES 40  </v>
      </c>
    </row>
    <row r="389" spans="1:4" x14ac:dyDescent="0.25">
      <c r="A389" s="43" t="s">
        <v>67</v>
      </c>
      <c r="B389" s="43">
        <v>305209</v>
      </c>
      <c r="C389" t="s">
        <v>3345</v>
      </c>
      <c r="D389" t="str">
        <f t="shared" si="6"/>
        <v>305209 -  [BODEGA] CONTENEDORES 40  </v>
      </c>
    </row>
    <row r="390" spans="1:4" x14ac:dyDescent="0.25">
      <c r="A390" s="43" t="s">
        <v>67</v>
      </c>
      <c r="B390" s="43">
        <v>305210</v>
      </c>
      <c r="C390" t="s">
        <v>3345</v>
      </c>
      <c r="D390" t="str">
        <f t="shared" si="6"/>
        <v>305210 -  [BODEGA] CONTENEDORES 40  </v>
      </c>
    </row>
    <row r="391" spans="1:4" x14ac:dyDescent="0.25">
      <c r="A391" s="43" t="s">
        <v>67</v>
      </c>
      <c r="B391" s="43">
        <v>305301</v>
      </c>
      <c r="C391" t="s">
        <v>3346</v>
      </c>
      <c r="D391" t="str">
        <f t="shared" si="6"/>
        <v>305301 -  [BODEGA] CONTENEDORES ABIERTOS  </v>
      </c>
    </row>
    <row r="392" spans="1:4" x14ac:dyDescent="0.25">
      <c r="A392" s="43" t="s">
        <v>67</v>
      </c>
      <c r="B392" s="43">
        <v>305302</v>
      </c>
      <c r="C392" t="s">
        <v>3346</v>
      </c>
      <c r="D392" t="str">
        <f t="shared" si="6"/>
        <v>305302 -  [BODEGA] CONTENEDORES ABIERTOS  </v>
      </c>
    </row>
    <row r="393" spans="1:4" x14ac:dyDescent="0.25">
      <c r="A393" s="43" t="s">
        <v>67</v>
      </c>
      <c r="B393" s="43">
        <v>305303</v>
      </c>
      <c r="C393" t="s">
        <v>3346</v>
      </c>
      <c r="D393" t="str">
        <f t="shared" si="6"/>
        <v>305303 -  [BODEGA] CONTENEDORES ABIERTOS  </v>
      </c>
    </row>
    <row r="394" spans="1:4" x14ac:dyDescent="0.25">
      <c r="A394" s="43" t="s">
        <v>67</v>
      </c>
      <c r="B394" s="43">
        <v>305304</v>
      </c>
      <c r="C394" t="s">
        <v>3347</v>
      </c>
      <c r="D394" t="str">
        <f t="shared" si="6"/>
        <v>305304 -  [BODEGA] CONTENEDORES ABIERTOS</v>
      </c>
    </row>
    <row r="395" spans="1:4" x14ac:dyDescent="0.25">
      <c r="A395" s="43" t="s">
        <v>67</v>
      </c>
      <c r="B395" s="43">
        <v>305305</v>
      </c>
      <c r="C395" t="s">
        <v>3346</v>
      </c>
      <c r="D395" t="str">
        <f t="shared" si="6"/>
        <v>305305 -  [BODEGA] CONTENEDORES ABIERTOS  </v>
      </c>
    </row>
    <row r="396" spans="1:4" x14ac:dyDescent="0.25">
      <c r="A396" s="43" t="s">
        <v>67</v>
      </c>
      <c r="B396" s="43">
        <v>305306</v>
      </c>
      <c r="C396" t="s">
        <v>3346</v>
      </c>
      <c r="D396" t="str">
        <f t="shared" si="6"/>
        <v>305306 -  [BODEGA] CONTENEDORES ABIERTOS  </v>
      </c>
    </row>
    <row r="397" spans="1:4" x14ac:dyDescent="0.25">
      <c r="A397" s="43" t="s">
        <v>67</v>
      </c>
      <c r="B397" s="43">
        <v>305307</v>
      </c>
      <c r="C397" t="s">
        <v>3346</v>
      </c>
      <c r="D397" t="str">
        <f t="shared" si="6"/>
        <v>305307 -  [BODEGA] CONTENEDORES ABIERTOS  </v>
      </c>
    </row>
    <row r="398" spans="1:4" x14ac:dyDescent="0.25">
      <c r="A398" s="43" t="s">
        <v>67</v>
      </c>
      <c r="B398" s="43">
        <v>305308</v>
      </c>
      <c r="C398" t="s">
        <v>3346</v>
      </c>
      <c r="D398" t="str">
        <f t="shared" si="6"/>
        <v>305308 -  [BODEGA] CONTENEDORES ABIERTOS  </v>
      </c>
    </row>
    <row r="399" spans="1:4" x14ac:dyDescent="0.25">
      <c r="A399" s="43" t="s">
        <v>67</v>
      </c>
      <c r="B399" s="43">
        <v>305309</v>
      </c>
      <c r="C399" t="s">
        <v>3346</v>
      </c>
      <c r="D399" t="str">
        <f t="shared" si="6"/>
        <v>305309 -  [BODEGA] CONTENEDORES ABIERTOS  </v>
      </c>
    </row>
    <row r="400" spans="1:4" x14ac:dyDescent="0.25">
      <c r="A400" s="43" t="s">
        <v>67</v>
      </c>
      <c r="B400" s="43">
        <v>305310</v>
      </c>
      <c r="C400" t="s">
        <v>3346</v>
      </c>
      <c r="D400" t="str">
        <f t="shared" si="6"/>
        <v>305310 -  [BODEGA] CONTENEDORES ABIERTOS  </v>
      </c>
    </row>
    <row r="401" spans="1:4" x14ac:dyDescent="0.25">
      <c r="A401" s="43" t="s">
        <v>67</v>
      </c>
      <c r="B401" s="43">
        <v>305401</v>
      </c>
      <c r="C401" t="s">
        <v>3348</v>
      </c>
      <c r="D401" t="str">
        <f t="shared" si="6"/>
        <v>305401 -  [BODEGA] CONTENEDOR OFICINA  </v>
      </c>
    </row>
    <row r="402" spans="1:4" x14ac:dyDescent="0.25">
      <c r="A402" s="43" t="s">
        <v>67</v>
      </c>
      <c r="B402" s="43">
        <v>305402</v>
      </c>
      <c r="C402" t="s">
        <v>3349</v>
      </c>
      <c r="D402" t="str">
        <f t="shared" si="6"/>
        <v>305402 -  [BODEGA] CONTENEDOR OFICINA CON BAÑO  </v>
      </c>
    </row>
    <row r="403" spans="1:4" x14ac:dyDescent="0.25">
      <c r="A403" s="43" t="s">
        <v>67</v>
      </c>
      <c r="B403" s="43">
        <v>305501</v>
      </c>
      <c r="C403" t="s">
        <v>3350</v>
      </c>
      <c r="D403" t="str">
        <f t="shared" si="6"/>
        <v>305501 -  [BODEGA] CONTENEDOR BAÑO  </v>
      </c>
    </row>
    <row r="404" spans="1:4" x14ac:dyDescent="0.25">
      <c r="A404" s="43" t="s">
        <v>67</v>
      </c>
      <c r="B404" s="43">
        <v>305601</v>
      </c>
      <c r="C404" t="s">
        <v>3351</v>
      </c>
      <c r="D404" t="str">
        <f t="shared" si="6"/>
        <v>305601 -  [BODEGA] CONTENEDOR DUCHA  </v>
      </c>
    </row>
    <row r="405" spans="1:4" x14ac:dyDescent="0.25">
      <c r="A405" s="43" t="s">
        <v>67</v>
      </c>
      <c r="B405" s="43">
        <v>305602</v>
      </c>
      <c r="C405" t="s">
        <v>3352</v>
      </c>
      <c r="D405" t="str">
        <f t="shared" si="6"/>
        <v>305602 -  [BODEGA] CONTENEDOR DUCHA C/ VESTIDOR  </v>
      </c>
    </row>
    <row r="406" spans="1:4" x14ac:dyDescent="0.25">
      <c r="A406" s="43" t="s">
        <v>67</v>
      </c>
      <c r="B406" s="43">
        <v>305701</v>
      </c>
      <c r="C406" t="s">
        <v>3353</v>
      </c>
      <c r="D406" t="str">
        <f t="shared" si="6"/>
        <v>305701 -  [BODEGA] CONTENEDOR VESTIDOR  </v>
      </c>
    </row>
    <row r="407" spans="1:4" x14ac:dyDescent="0.25">
      <c r="A407" s="43" t="s">
        <v>67</v>
      </c>
      <c r="B407" s="43">
        <v>306001</v>
      </c>
      <c r="C407" t="s">
        <v>3354</v>
      </c>
      <c r="D407" t="str">
        <f t="shared" si="6"/>
        <v>306001 -  [BODEGA] CONSUMO ELECTRICIDAD  </v>
      </c>
    </row>
    <row r="408" spans="1:4" x14ac:dyDescent="0.25">
      <c r="A408" s="43" t="s">
        <v>67</v>
      </c>
      <c r="B408" s="43">
        <v>306002</v>
      </c>
      <c r="C408" t="s">
        <v>3355</v>
      </c>
      <c r="D408" t="str">
        <f t="shared" si="6"/>
        <v>306002 -  [BODEGA] CONSUMO AGUA  </v>
      </c>
    </row>
    <row r="409" spans="1:4" x14ac:dyDescent="0.25">
      <c r="A409" s="43" t="s">
        <v>67</v>
      </c>
      <c r="B409" s="43">
        <v>306003</v>
      </c>
      <c r="C409" t="s">
        <v>3356</v>
      </c>
      <c r="D409" t="str">
        <f t="shared" si="6"/>
        <v>306003 -  [BODEGA] CONSUMO TELÉFONO E INTERNET  </v>
      </c>
    </row>
    <row r="410" spans="1:4" x14ac:dyDescent="0.25">
      <c r="A410" s="43" t="s">
        <v>67</v>
      </c>
      <c r="B410" s="43">
        <v>306004</v>
      </c>
      <c r="C410" t="s">
        <v>3357</v>
      </c>
      <c r="D410" t="str">
        <f t="shared" si="6"/>
        <v>306004 -  [BODEGA] CONSUMO DE GAS  </v>
      </c>
    </row>
    <row r="411" spans="1:4" x14ac:dyDescent="0.25">
      <c r="A411" s="43" t="s">
        <v>67</v>
      </c>
      <c r="B411" s="43">
        <v>306005</v>
      </c>
      <c r="C411" t="s">
        <v>3358</v>
      </c>
      <c r="D411" t="str">
        <f t="shared" si="6"/>
        <v>306005 -  [BODEGA] ASEO Y MANTENCIÓN DE BODEGA  </v>
      </c>
    </row>
    <row r="412" spans="1:4" x14ac:dyDescent="0.25">
      <c r="A412" s="43" t="s">
        <v>67</v>
      </c>
      <c r="B412" s="43">
        <v>307000</v>
      </c>
      <c r="C412" t="s">
        <v>3359</v>
      </c>
      <c r="D412" t="str">
        <f t="shared" si="6"/>
        <v>307000 -  [BODEGA] HERRAMIENTAS  </v>
      </c>
    </row>
    <row r="413" spans="1:4" x14ac:dyDescent="0.25">
      <c r="A413" s="43" t="s">
        <v>67</v>
      </c>
      <c r="B413" s="43">
        <v>307100</v>
      </c>
      <c r="C413" t="s">
        <v>3360</v>
      </c>
      <c r="D413" t="str">
        <f t="shared" si="6"/>
        <v>307100 -  [BODEGA] HERRAMIENTAS ELÉCTRICAS  </v>
      </c>
    </row>
    <row r="414" spans="1:4" x14ac:dyDescent="0.25">
      <c r="A414" s="43" t="s">
        <v>67</v>
      </c>
      <c r="B414" s="43">
        <v>307101</v>
      </c>
      <c r="C414" t="s">
        <v>3361</v>
      </c>
      <c r="D414" t="str">
        <f t="shared" si="6"/>
        <v>307101 -  [BODEGA] ASPIRADORAS ELÉCTRICAS</v>
      </c>
    </row>
    <row r="415" spans="1:4" x14ac:dyDescent="0.25">
      <c r="A415" s="43" t="s">
        <v>67</v>
      </c>
      <c r="B415" s="43">
        <v>307102</v>
      </c>
      <c r="C415" t="s">
        <v>3362</v>
      </c>
      <c r="D415" t="str">
        <f t="shared" si="6"/>
        <v>307102 -  [BODEGA] BANCO SIERRA  </v>
      </c>
    </row>
    <row r="416" spans="1:4" x14ac:dyDescent="0.25">
      <c r="A416" s="43" t="s">
        <v>67</v>
      </c>
      <c r="B416" s="43">
        <v>307103</v>
      </c>
      <c r="C416" t="s">
        <v>3363</v>
      </c>
      <c r="D416" t="str">
        <f t="shared" si="6"/>
        <v>307103 -  [BODEGA] BOMBA PARA ELEVACIÓN DE AGUAS  </v>
      </c>
    </row>
    <row r="417" spans="1:4" x14ac:dyDescent="0.25">
      <c r="A417" s="43" t="s">
        <v>67</v>
      </c>
      <c r="B417" s="43">
        <v>307104</v>
      </c>
      <c r="C417" t="s">
        <v>3364</v>
      </c>
      <c r="D417" t="str">
        <f t="shared" si="6"/>
        <v>307104 -  [BODEGA] CALADORAS  </v>
      </c>
    </row>
    <row r="418" spans="1:4" x14ac:dyDescent="0.25">
      <c r="A418" s="43" t="s">
        <v>67</v>
      </c>
      <c r="B418" s="43">
        <v>307105</v>
      </c>
      <c r="C418" t="s">
        <v>3365</v>
      </c>
      <c r="D418" t="str">
        <f t="shared" si="6"/>
        <v>307105 -  [BODEGA] CEPILLOS  </v>
      </c>
    </row>
    <row r="419" spans="1:4" x14ac:dyDescent="0.25">
      <c r="A419" s="43" t="s">
        <v>67</v>
      </c>
      <c r="B419" s="43">
        <v>307106</v>
      </c>
      <c r="C419" t="s">
        <v>3366</v>
      </c>
      <c r="D419" t="str">
        <f t="shared" si="6"/>
        <v>307106 -  [BODEGA] CORTADORA DE LADRILLOS  </v>
      </c>
    </row>
    <row r="420" spans="1:4" x14ac:dyDescent="0.25">
      <c r="A420" s="43" t="s">
        <v>67</v>
      </c>
      <c r="B420" s="43">
        <v>307107</v>
      </c>
      <c r="C420" t="s">
        <v>3367</v>
      </c>
      <c r="D420" t="str">
        <f t="shared" si="6"/>
        <v>307107 -  [BODEGA] CORTADORA DE MADERA  </v>
      </c>
    </row>
    <row r="421" spans="1:4" x14ac:dyDescent="0.25">
      <c r="A421" s="43" t="s">
        <v>67</v>
      </c>
      <c r="B421" s="43">
        <v>307108</v>
      </c>
      <c r="C421" t="s">
        <v>3368</v>
      </c>
      <c r="D421" t="str">
        <f t="shared" si="6"/>
        <v>307108 -  [BODEGA] ESMERILES ANGULARES 4,5"  </v>
      </c>
    </row>
    <row r="422" spans="1:4" x14ac:dyDescent="0.25">
      <c r="A422" s="43" t="s">
        <v>67</v>
      </c>
      <c r="B422" s="43">
        <v>307109</v>
      </c>
      <c r="C422" t="s">
        <v>3369</v>
      </c>
      <c r="D422" t="str">
        <f t="shared" si="6"/>
        <v>307109 -  [BODEGA] ESMERILES ANGULARES 5"  </v>
      </c>
    </row>
    <row r="423" spans="1:4" x14ac:dyDescent="0.25">
      <c r="A423" s="43" t="s">
        <v>67</v>
      </c>
      <c r="B423" s="43">
        <v>307110</v>
      </c>
      <c r="C423" t="s">
        <v>3370</v>
      </c>
      <c r="D423" t="str">
        <f t="shared" si="6"/>
        <v>307110 -  [BODEGA] ESMERILES ANGULARES 7"  </v>
      </c>
    </row>
    <row r="424" spans="1:4" x14ac:dyDescent="0.25">
      <c r="A424" s="43" t="s">
        <v>67</v>
      </c>
      <c r="B424" s="43">
        <v>307111</v>
      </c>
      <c r="C424" t="s">
        <v>3371</v>
      </c>
      <c r="D424" t="str">
        <f t="shared" si="6"/>
        <v>307111 -  [BODEGA] ESMERILES ANGULARES 9"  </v>
      </c>
    </row>
    <row r="425" spans="1:4" x14ac:dyDescent="0.25">
      <c r="A425" s="43" t="s">
        <v>67</v>
      </c>
      <c r="B425" s="43">
        <v>307112</v>
      </c>
      <c r="C425" t="s">
        <v>3372</v>
      </c>
      <c r="D425" t="str">
        <f t="shared" si="6"/>
        <v>307112 -  [BODEGA] FRESADORAS  </v>
      </c>
    </row>
    <row r="426" spans="1:4" x14ac:dyDescent="0.25">
      <c r="A426" s="43" t="s">
        <v>67</v>
      </c>
      <c r="B426" s="43">
        <v>307113</v>
      </c>
      <c r="C426" t="s">
        <v>3373</v>
      </c>
      <c r="D426" t="str">
        <f t="shared" si="6"/>
        <v>307113 -  [BODEGA] HIDROLAVADORAS  </v>
      </c>
    </row>
    <row r="427" spans="1:4" x14ac:dyDescent="0.25">
      <c r="A427" s="43" t="s">
        <v>67</v>
      </c>
      <c r="B427" s="43">
        <v>307114</v>
      </c>
      <c r="C427" t="s">
        <v>3374</v>
      </c>
      <c r="D427" t="str">
        <f t="shared" si="6"/>
        <v>307114 -  [BODEGA] LIJADORAS DE BANDAS  </v>
      </c>
    </row>
    <row r="428" spans="1:4" x14ac:dyDescent="0.25">
      <c r="A428" s="43" t="s">
        <v>67</v>
      </c>
      <c r="B428" s="43">
        <v>307115</v>
      </c>
      <c r="C428" t="s">
        <v>3375</v>
      </c>
      <c r="D428" t="str">
        <f t="shared" si="6"/>
        <v>307115 -  [BODEGA] SIERRAS CIRCULARES  </v>
      </c>
    </row>
    <row r="429" spans="1:4" x14ac:dyDescent="0.25">
      <c r="A429" s="43" t="s">
        <v>67</v>
      </c>
      <c r="B429" s="43">
        <v>307116</v>
      </c>
      <c r="C429" t="s">
        <v>3376</v>
      </c>
      <c r="D429" t="str">
        <f t="shared" si="6"/>
        <v>307116 -  [BODEGA] SOPLADORES AIRE FRÍO  </v>
      </c>
    </row>
    <row r="430" spans="1:4" x14ac:dyDescent="0.25">
      <c r="A430" s="43" t="s">
        <v>67</v>
      </c>
      <c r="B430" s="43">
        <v>307117</v>
      </c>
      <c r="C430" t="s">
        <v>3377</v>
      </c>
      <c r="D430" t="str">
        <f t="shared" si="6"/>
        <v>307117 -  [BODEGA] TALADROS DE PEDESTAL  </v>
      </c>
    </row>
    <row r="431" spans="1:4" x14ac:dyDescent="0.25">
      <c r="A431" s="43" t="s">
        <v>67</v>
      </c>
      <c r="B431" s="43">
        <v>307118</v>
      </c>
      <c r="C431" t="s">
        <v>3378</v>
      </c>
      <c r="D431" t="str">
        <f t="shared" si="6"/>
        <v>307118 -  [BODEGA] TALADROS MANDRIL  </v>
      </c>
    </row>
    <row r="432" spans="1:4" x14ac:dyDescent="0.25">
      <c r="A432" s="43" t="s">
        <v>67</v>
      </c>
      <c r="B432" s="43">
        <v>307119</v>
      </c>
      <c r="C432" t="s">
        <v>3379</v>
      </c>
      <c r="D432" t="str">
        <f t="shared" si="6"/>
        <v>307119 -  [BODEGA] TALADROS MENORES  </v>
      </c>
    </row>
    <row r="433" spans="1:4" x14ac:dyDescent="0.25">
      <c r="A433" s="43" t="s">
        <v>67</v>
      </c>
      <c r="B433" s="43">
        <v>307120</v>
      </c>
      <c r="C433" t="s">
        <v>3380</v>
      </c>
      <c r="D433" t="str">
        <f t="shared" si="6"/>
        <v>307120 -  [BODEGA] TALADROS PERCUTORES  </v>
      </c>
    </row>
    <row r="434" spans="1:4" x14ac:dyDescent="0.25">
      <c r="A434" s="43" t="s">
        <v>67</v>
      </c>
      <c r="B434" s="43">
        <v>307121</v>
      </c>
      <c r="C434" t="s">
        <v>3381</v>
      </c>
      <c r="D434" t="str">
        <f t="shared" si="6"/>
        <v>307121 -  [BODEGA] TALADROS PERCUTORES SPIT</v>
      </c>
    </row>
    <row r="435" spans="1:4" x14ac:dyDescent="0.25">
      <c r="A435" s="43" t="s">
        <v>67</v>
      </c>
      <c r="B435" s="43">
        <v>307122</v>
      </c>
      <c r="C435" t="s">
        <v>3382</v>
      </c>
      <c r="D435" t="str">
        <f t="shared" si="6"/>
        <v>307122 -  [BODEGA] TRONZADORA  </v>
      </c>
    </row>
    <row r="436" spans="1:4" x14ac:dyDescent="0.25">
      <c r="A436" s="43" t="s">
        <v>67</v>
      </c>
      <c r="B436" s="43">
        <v>308000</v>
      </c>
      <c r="C436" t="s">
        <v>3383</v>
      </c>
      <c r="D436" t="str">
        <f t="shared" si="6"/>
        <v>308000 -  [BODEGA] HERRAMIENTAS MANUALES  </v>
      </c>
    </row>
    <row r="437" spans="1:4" x14ac:dyDescent="0.25">
      <c r="A437" s="43" t="s">
        <v>67</v>
      </c>
      <c r="B437" s="43">
        <v>308001</v>
      </c>
      <c r="C437" t="s">
        <v>3384</v>
      </c>
      <c r="D437" t="str">
        <f t="shared" si="6"/>
        <v>308001 -  [BODEGA] CORTADORA DE PASTO  </v>
      </c>
    </row>
    <row r="438" spans="1:4" x14ac:dyDescent="0.25">
      <c r="A438" s="43" t="s">
        <v>67</v>
      </c>
      <c r="B438" s="43">
        <v>308002</v>
      </c>
      <c r="C438" t="s">
        <v>3385</v>
      </c>
      <c r="D438" t="str">
        <f t="shared" si="6"/>
        <v>308002 -  [BODEGA] DESATORNILLADORES  </v>
      </c>
    </row>
    <row r="439" spans="1:4" x14ac:dyDescent="0.25">
      <c r="A439" s="43" t="s">
        <v>67</v>
      </c>
      <c r="B439" s="43">
        <v>308003</v>
      </c>
      <c r="C439" t="s">
        <v>3386</v>
      </c>
      <c r="D439" t="str">
        <f t="shared" si="6"/>
        <v>308003 -  [BODEGA] CORTADORA DE CERÁMICA  </v>
      </c>
    </row>
    <row r="440" spans="1:4" x14ac:dyDescent="0.25">
      <c r="A440" s="43" t="s">
        <v>67</v>
      </c>
      <c r="B440" s="43">
        <v>308004</v>
      </c>
      <c r="C440" t="s">
        <v>3387</v>
      </c>
      <c r="D440" t="str">
        <f t="shared" si="6"/>
        <v>308004 -  [BODEGA] PISTOLAS DE IMPACTO  </v>
      </c>
    </row>
    <row r="441" spans="1:4" x14ac:dyDescent="0.25">
      <c r="A441" s="43" t="s">
        <v>67</v>
      </c>
      <c r="B441" s="43">
        <v>308005</v>
      </c>
      <c r="C441" t="s">
        <v>3388</v>
      </c>
      <c r="D441" t="str">
        <f t="shared" si="6"/>
        <v>308005 -  [BODEGA] TECLES MECÁNICOS  </v>
      </c>
    </row>
    <row r="442" spans="1:4" x14ac:dyDescent="0.25">
      <c r="A442" s="43" t="s">
        <v>67</v>
      </c>
      <c r="B442" s="43">
        <v>308006</v>
      </c>
      <c r="C442" t="s">
        <v>3389</v>
      </c>
      <c r="D442" t="str">
        <f t="shared" si="6"/>
        <v>308006 -  [BODEGA] TECLES PALANCAS  </v>
      </c>
    </row>
    <row r="443" spans="1:4" x14ac:dyDescent="0.25">
      <c r="A443" s="43" t="s">
        <v>67</v>
      </c>
      <c r="B443" s="43">
        <v>308007</v>
      </c>
      <c r="C443" t="s">
        <v>3390</v>
      </c>
      <c r="D443" t="str">
        <f t="shared" si="6"/>
        <v>308007 -  [BODEGA] TRASPALETA  </v>
      </c>
    </row>
    <row r="444" spans="1:4" x14ac:dyDescent="0.25">
      <c r="A444" s="43" t="s">
        <v>67</v>
      </c>
      <c r="B444" s="43">
        <v>309000</v>
      </c>
      <c r="C444" t="s">
        <v>3391</v>
      </c>
      <c r="D444" t="str">
        <f t="shared" si="6"/>
        <v>309000 -  [BODEGA] MAQUINARIA  </v>
      </c>
    </row>
    <row r="445" spans="1:4" x14ac:dyDescent="0.25">
      <c r="A445" s="43" t="s">
        <v>67</v>
      </c>
      <c r="B445" s="43">
        <v>309001</v>
      </c>
      <c r="C445" t="s">
        <v>3392</v>
      </c>
      <c r="D445" t="str">
        <f t="shared" si="6"/>
        <v>309001 -  [BODEGA] ALISADORAS DE PAVIMENTO  </v>
      </c>
    </row>
    <row r="446" spans="1:4" x14ac:dyDescent="0.25">
      <c r="A446" s="43" t="s">
        <v>67</v>
      </c>
      <c r="B446" s="43">
        <v>309002</v>
      </c>
      <c r="C446" t="s">
        <v>3393</v>
      </c>
      <c r="D446" t="str">
        <f t="shared" si="6"/>
        <v>309002 -  [BODEGA] BETONERA CONCRETERA  </v>
      </c>
    </row>
    <row r="447" spans="1:4" x14ac:dyDescent="0.25">
      <c r="A447" s="43" t="s">
        <v>67</v>
      </c>
      <c r="B447" s="43">
        <v>309003</v>
      </c>
      <c r="C447" t="s">
        <v>3394</v>
      </c>
      <c r="D447" t="str">
        <f t="shared" si="6"/>
        <v>309003 -  [BODEGA] CERCHA VIBRADORA  </v>
      </c>
    </row>
    <row r="448" spans="1:4" x14ac:dyDescent="0.25">
      <c r="A448" s="43" t="s">
        <v>67</v>
      </c>
      <c r="B448" s="43">
        <v>309004</v>
      </c>
      <c r="C448" t="s">
        <v>3395</v>
      </c>
      <c r="D448" t="str">
        <f t="shared" si="6"/>
        <v>309004 -  [BODEGA] COMPRESOR DE AIRE  </v>
      </c>
    </row>
    <row r="449" spans="1:4" x14ac:dyDescent="0.25">
      <c r="A449" s="43" t="s">
        <v>67</v>
      </c>
      <c r="B449" s="43">
        <v>309005</v>
      </c>
      <c r="C449" t="s">
        <v>3396</v>
      </c>
      <c r="D449" t="str">
        <f t="shared" si="6"/>
        <v>309005 -  [BODEGA] CONVERTIDOR ALTA FRECUENCIA  </v>
      </c>
    </row>
    <row r="450" spans="1:4" x14ac:dyDescent="0.25">
      <c r="A450" s="43" t="s">
        <v>67</v>
      </c>
      <c r="B450" s="43">
        <v>309006</v>
      </c>
      <c r="C450" t="s">
        <v>3397</v>
      </c>
      <c r="D450" t="str">
        <f t="shared" si="6"/>
        <v>309006 -  [BODEGA] DEMOLEDOR NEUMÁTICO  </v>
      </c>
    </row>
    <row r="451" spans="1:4" x14ac:dyDescent="0.25">
      <c r="A451" s="43" t="s">
        <v>67</v>
      </c>
      <c r="B451" s="43">
        <v>309007</v>
      </c>
      <c r="C451" t="s">
        <v>3398</v>
      </c>
      <c r="D451" t="str">
        <f t="shared" ref="D451:D514" si="7">+B451&amp;" - "&amp;C451</f>
        <v>309007 -  [BODEGA] DEMOLEDOR NEUMÁTICO MAC 15  </v>
      </c>
    </row>
    <row r="452" spans="1:4" x14ac:dyDescent="0.25">
      <c r="A452" s="43" t="s">
        <v>67</v>
      </c>
      <c r="B452" s="43">
        <v>309008</v>
      </c>
      <c r="C452" t="s">
        <v>3399</v>
      </c>
      <c r="D452" t="str">
        <f t="shared" si="7"/>
        <v>309008 -  [BODEGA] DEMOLEDOR NEUMÁTICO MAC 40  </v>
      </c>
    </row>
    <row r="453" spans="1:4" x14ac:dyDescent="0.25">
      <c r="A453" s="43" t="s">
        <v>67</v>
      </c>
      <c r="B453" s="43">
        <v>309009</v>
      </c>
      <c r="C453" t="s">
        <v>3400</v>
      </c>
      <c r="D453" t="str">
        <f t="shared" si="7"/>
        <v>309009 -  [BODEGA] EQUIPO DE OXICORTE  </v>
      </c>
    </row>
    <row r="454" spans="1:4" x14ac:dyDescent="0.25">
      <c r="A454" s="43" t="s">
        <v>67</v>
      </c>
      <c r="B454" s="43">
        <v>309010</v>
      </c>
      <c r="C454" t="s">
        <v>3401</v>
      </c>
      <c r="D454" t="str">
        <f t="shared" si="7"/>
        <v>309010 -  [BODEGA] ELEVADORES O HUINCHES</v>
      </c>
    </row>
    <row r="455" spans="1:4" x14ac:dyDescent="0.25">
      <c r="A455" s="43" t="s">
        <v>67</v>
      </c>
      <c r="B455" s="43">
        <v>309011</v>
      </c>
      <c r="C455" t="s">
        <v>3402</v>
      </c>
      <c r="D455" t="str">
        <f t="shared" si="7"/>
        <v>309011 -  [BODEGA] ESTIRADORA DE FIERRO  </v>
      </c>
    </row>
    <row r="456" spans="1:4" x14ac:dyDescent="0.25">
      <c r="A456" s="43" t="s">
        <v>67</v>
      </c>
      <c r="B456" s="43">
        <v>309012</v>
      </c>
      <c r="C456" t="s">
        <v>3403</v>
      </c>
      <c r="D456" t="str">
        <f t="shared" si="7"/>
        <v>309012 -  [BODEGA] ESTUCADORA  </v>
      </c>
    </row>
    <row r="457" spans="1:4" x14ac:dyDescent="0.25">
      <c r="A457" s="43" t="s">
        <v>67</v>
      </c>
      <c r="B457" s="43">
        <v>309013</v>
      </c>
      <c r="C457" t="s">
        <v>3404</v>
      </c>
      <c r="D457" t="str">
        <f t="shared" si="7"/>
        <v>309013 -  [BODEGA] GENERADOR AIRE OKLINA N° 1  </v>
      </c>
    </row>
    <row r="458" spans="1:4" x14ac:dyDescent="0.25">
      <c r="A458" s="43" t="s">
        <v>67</v>
      </c>
      <c r="B458" s="43">
        <v>309014</v>
      </c>
      <c r="C458" t="s">
        <v>3405</v>
      </c>
      <c r="D458" t="str">
        <f t="shared" si="7"/>
        <v>309014 -  [BODEGA] GENERADOR AIRE OKLINA N° 2  </v>
      </c>
    </row>
    <row r="459" spans="1:4" x14ac:dyDescent="0.25">
      <c r="A459" s="43" t="s">
        <v>67</v>
      </c>
      <c r="B459" s="43">
        <v>309015</v>
      </c>
      <c r="C459" t="s">
        <v>3406</v>
      </c>
      <c r="D459" t="str">
        <f t="shared" si="7"/>
        <v>309015 -  [BODEGA] GENERADORES DE AIRE  </v>
      </c>
    </row>
    <row r="460" spans="1:4" x14ac:dyDescent="0.25">
      <c r="A460" s="43" t="s">
        <v>67</v>
      </c>
      <c r="B460" s="43">
        <v>309016</v>
      </c>
      <c r="C460" t="s">
        <v>3407</v>
      </c>
      <c r="D460" t="str">
        <f t="shared" si="7"/>
        <v>309016 -  [BODEGA] GRUPO ELECT 150 KVA EMARESA N°1 </v>
      </c>
    </row>
    <row r="461" spans="1:4" x14ac:dyDescent="0.25">
      <c r="A461" s="43" t="s">
        <v>67</v>
      </c>
      <c r="B461" s="43">
        <v>309017</v>
      </c>
      <c r="C461" t="s">
        <v>3408</v>
      </c>
      <c r="D461" t="str">
        <f t="shared" si="7"/>
        <v>309017 -  [BODEGA] GRUPO ELECT 150 KVA CUMMIN N°2  </v>
      </c>
    </row>
    <row r="462" spans="1:4" x14ac:dyDescent="0.25">
      <c r="A462" s="43" t="s">
        <v>67</v>
      </c>
      <c r="B462" s="43">
        <v>309018</v>
      </c>
      <c r="C462" t="s">
        <v>3409</v>
      </c>
      <c r="D462" t="str">
        <f t="shared" si="7"/>
        <v>309018 -  [BODEGA] GRUPO ELECT 150 KVA CUMMIN N°3  </v>
      </c>
    </row>
    <row r="463" spans="1:4" x14ac:dyDescent="0.25">
      <c r="A463" s="43" t="s">
        <v>67</v>
      </c>
      <c r="B463" s="43">
        <v>309019</v>
      </c>
      <c r="C463" t="s">
        <v>3410</v>
      </c>
      <c r="D463" t="str">
        <f t="shared" si="7"/>
        <v>309019 -  [BODEGA] GRUPO ELECT 150 KVA CUMMIN N°4  </v>
      </c>
    </row>
    <row r="464" spans="1:4" x14ac:dyDescent="0.25">
      <c r="A464" s="43" t="s">
        <v>67</v>
      </c>
      <c r="B464" s="43">
        <v>309020</v>
      </c>
      <c r="C464" t="s">
        <v>3411</v>
      </c>
      <c r="D464" t="str">
        <f t="shared" si="7"/>
        <v>309020 -  [BODEGA] GRUPO ELECTRÓGENO 7,5 KVA HONDA </v>
      </c>
    </row>
    <row r="465" spans="1:4" x14ac:dyDescent="0.25">
      <c r="A465" s="43" t="s">
        <v>67</v>
      </c>
      <c r="B465" s="43">
        <v>309021</v>
      </c>
      <c r="C465" t="s">
        <v>3412</v>
      </c>
      <c r="D465" t="str">
        <f t="shared" si="7"/>
        <v>309021 -  [BODEGA] TELESCÓPICO CATERPILAR TH330  </v>
      </c>
    </row>
    <row r="466" spans="1:4" x14ac:dyDescent="0.25">
      <c r="A466" s="43" t="s">
        <v>67</v>
      </c>
      <c r="B466" s="43">
        <v>309022</v>
      </c>
      <c r="C466" t="s">
        <v>3413</v>
      </c>
      <c r="D466" t="str">
        <f t="shared" si="7"/>
        <v>309022 -  [BODEGA] MINICARGADOR CASE 1845-C N° 1  </v>
      </c>
    </row>
    <row r="467" spans="1:4" x14ac:dyDescent="0.25">
      <c r="A467" s="43" t="s">
        <v>67</v>
      </c>
      <c r="B467" s="43">
        <v>309023</v>
      </c>
      <c r="C467" t="s">
        <v>3414</v>
      </c>
      <c r="D467" t="str">
        <f t="shared" si="7"/>
        <v>309023 -  [BODEGA] MINICARGADOR CASE 1845-C N° 2  </v>
      </c>
    </row>
    <row r="468" spans="1:4" x14ac:dyDescent="0.25">
      <c r="A468" s="43" t="s">
        <v>67</v>
      </c>
      <c r="B468" s="43">
        <v>309024</v>
      </c>
      <c r="C468" t="s">
        <v>3415</v>
      </c>
      <c r="D468" t="str">
        <f t="shared" si="7"/>
        <v>309024 -  [BODEGA] PLACA COMPACTADORA BECINERA  </v>
      </c>
    </row>
    <row r="469" spans="1:4" x14ac:dyDescent="0.25">
      <c r="A469" s="43" t="s">
        <v>67</v>
      </c>
      <c r="B469" s="43">
        <v>309025</v>
      </c>
      <c r="C469" t="s">
        <v>3416</v>
      </c>
      <c r="D469" t="str">
        <f t="shared" si="7"/>
        <v>309025 -  [BODEGA] PLACA COMPACTADORA PETROLERA  </v>
      </c>
    </row>
    <row r="470" spans="1:4" x14ac:dyDescent="0.25">
      <c r="A470" s="43" t="s">
        <v>67</v>
      </c>
      <c r="B470" s="43">
        <v>309026</v>
      </c>
      <c r="C470" t="s">
        <v>3417</v>
      </c>
      <c r="D470" t="str">
        <f t="shared" si="7"/>
        <v>309026 -  [BODEGA] PLATAFORMA MOV. DE MATERIALES  </v>
      </c>
    </row>
    <row r="471" spans="1:4" x14ac:dyDescent="0.25">
      <c r="A471" s="43" t="s">
        <v>67</v>
      </c>
      <c r="B471" s="43">
        <v>309027</v>
      </c>
      <c r="C471" t="s">
        <v>3418</v>
      </c>
      <c r="D471" t="str">
        <f t="shared" si="7"/>
        <v>309027 -  [BODEGA] RETROEXCAVADORA NEW HOLLAND B95 </v>
      </c>
    </row>
    <row r="472" spans="1:4" x14ac:dyDescent="0.25">
      <c r="A472" s="43" t="s">
        <v>67</v>
      </c>
      <c r="B472" s="43">
        <v>309028</v>
      </c>
      <c r="C472" t="s">
        <v>3419</v>
      </c>
      <c r="D472" t="str">
        <f t="shared" si="7"/>
        <v>309028 -  [BODEGA] RODILLO VIBRADOR DYNAPAC C 122  </v>
      </c>
    </row>
    <row r="473" spans="1:4" x14ac:dyDescent="0.25">
      <c r="A473" s="43" t="s">
        <v>67</v>
      </c>
      <c r="B473" s="43">
        <v>309029</v>
      </c>
      <c r="C473" t="s">
        <v>3420</v>
      </c>
      <c r="D473" t="str">
        <f t="shared" si="7"/>
        <v>309029 -  [BODEGA] SONDA CONVENCIONALES  </v>
      </c>
    </row>
    <row r="474" spans="1:4" x14ac:dyDescent="0.25">
      <c r="A474" s="43" t="s">
        <v>67</v>
      </c>
      <c r="B474" s="43">
        <v>309030</v>
      </c>
      <c r="C474" t="s">
        <v>3421</v>
      </c>
      <c r="D474" t="str">
        <f t="shared" si="7"/>
        <v>309030 -  [BODEGA] SONDA DE ALTA FRENCUENCIA  </v>
      </c>
    </row>
    <row r="475" spans="1:4" x14ac:dyDescent="0.25">
      <c r="A475" s="43" t="s">
        <v>67</v>
      </c>
      <c r="B475" s="43">
        <v>309031</v>
      </c>
      <c r="C475" t="s">
        <v>3422</v>
      </c>
      <c r="D475" t="str">
        <f t="shared" si="7"/>
        <v>309031 -  [BODEGA] SOPLADORES AIRE CALIENTE  </v>
      </c>
    </row>
    <row r="476" spans="1:4" x14ac:dyDescent="0.25">
      <c r="A476" s="43" t="s">
        <v>67</v>
      </c>
      <c r="B476" s="43">
        <v>309032</v>
      </c>
      <c r="C476" t="s">
        <v>3423</v>
      </c>
      <c r="D476" t="str">
        <f t="shared" si="7"/>
        <v>309032 -  [BODEGA] SOLDADORAS  </v>
      </c>
    </row>
    <row r="477" spans="1:4" x14ac:dyDescent="0.25">
      <c r="A477" s="43" t="s">
        <v>67</v>
      </c>
      <c r="B477" s="43">
        <v>309033</v>
      </c>
      <c r="C477" t="s">
        <v>3424</v>
      </c>
      <c r="D477" t="str">
        <f t="shared" si="7"/>
        <v>309033 -  [BODEGA] TORRE CONCRETERA  </v>
      </c>
    </row>
    <row r="478" spans="1:4" x14ac:dyDescent="0.25">
      <c r="A478" s="43" t="s">
        <v>67</v>
      </c>
      <c r="B478" s="43">
        <v>309034</v>
      </c>
      <c r="C478" t="s">
        <v>3425</v>
      </c>
      <c r="D478" t="str">
        <f t="shared" si="7"/>
        <v>309034 -  [BODEGA] TROMPO CONCRETERO  </v>
      </c>
    </row>
    <row r="479" spans="1:4" x14ac:dyDescent="0.25">
      <c r="A479" s="43" t="s">
        <v>67</v>
      </c>
      <c r="B479" s="43">
        <v>309035</v>
      </c>
      <c r="C479" t="s">
        <v>3426</v>
      </c>
      <c r="D479" t="str">
        <f t="shared" si="7"/>
        <v>309035 -  [BODEGA] UNIDAD MOTRIZ A GASOLINA  </v>
      </c>
    </row>
    <row r="480" spans="1:4" x14ac:dyDescent="0.25">
      <c r="A480" s="43" t="s">
        <v>67</v>
      </c>
      <c r="B480" s="43">
        <v>309036</v>
      </c>
      <c r="C480" t="s">
        <v>3427</v>
      </c>
      <c r="D480" t="str">
        <f t="shared" si="7"/>
        <v>309036 -  [BODEGA] UNIDAD MOTRIZ ELÉCTRICA  </v>
      </c>
    </row>
    <row r="481" spans="1:4" x14ac:dyDescent="0.25">
      <c r="A481" s="43" t="s">
        <v>67</v>
      </c>
      <c r="B481" s="43">
        <v>309037</v>
      </c>
      <c r="C481" t="s">
        <v>3428</v>
      </c>
      <c r="D481" t="str">
        <f t="shared" si="7"/>
        <v>309037 -  [BODEGA] VIBRO PISÓN  </v>
      </c>
    </row>
    <row r="482" spans="1:4" x14ac:dyDescent="0.25">
      <c r="A482" s="43" t="s">
        <v>67</v>
      </c>
      <c r="B482" s="43">
        <v>309038</v>
      </c>
      <c r="C482" t="s">
        <v>3429</v>
      </c>
      <c r="D482" t="str">
        <f t="shared" si="7"/>
        <v>309038 -  [BODEGA] VIBRO PISÓN WACKER  </v>
      </c>
    </row>
    <row r="483" spans="1:4" x14ac:dyDescent="0.25">
      <c r="A483" s="43" t="s">
        <v>67</v>
      </c>
      <c r="B483" s="43">
        <v>309039</v>
      </c>
      <c r="C483" t="s">
        <v>3430</v>
      </c>
      <c r="D483" t="str">
        <f t="shared" si="7"/>
        <v>309039 -  [BODEGA] VIBRO PISÓN WEIWA N° 1  </v>
      </c>
    </row>
    <row r="484" spans="1:4" x14ac:dyDescent="0.25">
      <c r="A484" s="43" t="s">
        <v>67</v>
      </c>
      <c r="B484" s="43">
        <v>309040</v>
      </c>
      <c r="C484" t="s">
        <v>3431</v>
      </c>
      <c r="D484" t="str">
        <f t="shared" si="7"/>
        <v>309040 -  [BODEGA] VIBRO PISÓN WEIWA N° 2</v>
      </c>
    </row>
    <row r="485" spans="1:4" x14ac:dyDescent="0.25">
      <c r="A485" s="43" t="s">
        <v>67</v>
      </c>
      <c r="B485" s="43">
        <v>309099</v>
      </c>
      <c r="C485" t="s">
        <v>3432</v>
      </c>
      <c r="D485" t="str">
        <f t="shared" si="7"/>
        <v>309099 -  [BODEGA] REPUESTOS MANT. DE MAQUINARIA  </v>
      </c>
    </row>
    <row r="486" spans="1:4" x14ac:dyDescent="0.25">
      <c r="A486" s="43" t="s">
        <v>67</v>
      </c>
      <c r="B486" s="43">
        <v>310000</v>
      </c>
      <c r="C486" t="s">
        <v>3433</v>
      </c>
      <c r="D486" t="str">
        <f t="shared" si="7"/>
        <v>310000 -  [BODEGA] CAMIONES Y CAMIONETAS  </v>
      </c>
    </row>
    <row r="487" spans="1:4" x14ac:dyDescent="0.25">
      <c r="A487" s="43" t="s">
        <v>67</v>
      </c>
      <c r="B487" s="43">
        <v>310001</v>
      </c>
      <c r="C487" t="s">
        <v>3434</v>
      </c>
      <c r="D487" t="str">
        <f t="shared" si="7"/>
        <v>310001 -  [BODEGA] CAMIÓN INTERNATIONAL SV 1691  </v>
      </c>
    </row>
    <row r="488" spans="1:4" x14ac:dyDescent="0.25">
      <c r="A488" s="43" t="s">
        <v>67</v>
      </c>
      <c r="B488" s="43">
        <v>310002</v>
      </c>
      <c r="C488" t="s">
        <v>3435</v>
      </c>
      <c r="D488" t="str">
        <f t="shared" si="7"/>
        <v>310002 -  [BODEGA] CAMIONETA KIA FRONTIER DYGR 18  </v>
      </c>
    </row>
    <row r="489" spans="1:4" x14ac:dyDescent="0.25">
      <c r="A489" s="43" t="s">
        <v>67</v>
      </c>
      <c r="B489" s="43">
        <v>310003</v>
      </c>
      <c r="C489" t="s">
        <v>3436</v>
      </c>
      <c r="D489" t="str">
        <f t="shared" si="7"/>
        <v>310003 -  [BODEGA] CAMIONETA KIA FRONTIER DYGR 19  </v>
      </c>
    </row>
    <row r="490" spans="1:4" x14ac:dyDescent="0.25">
      <c r="A490" s="43" t="s">
        <v>67</v>
      </c>
      <c r="B490" s="43">
        <v>310004</v>
      </c>
      <c r="C490" t="s">
        <v>3437</v>
      </c>
      <c r="D490" t="str">
        <f t="shared" si="7"/>
        <v>310004 -  [BODEGA] CAMIONETA GREAT WALL CZXH 37  </v>
      </c>
    </row>
    <row r="491" spans="1:4" x14ac:dyDescent="0.25">
      <c r="A491" s="43" t="s">
        <v>67</v>
      </c>
      <c r="B491" s="43">
        <v>311000</v>
      </c>
      <c r="C491" t="s">
        <v>3438</v>
      </c>
      <c r="D491" t="str">
        <f t="shared" si="7"/>
        <v>311000 -  [BODEGA] VIGA DE MADERA H 20  </v>
      </c>
    </row>
    <row r="492" spans="1:4" x14ac:dyDescent="0.25">
      <c r="A492" s="43" t="s">
        <v>67</v>
      </c>
      <c r="B492" s="43">
        <v>311001</v>
      </c>
      <c r="C492" t="s">
        <v>3439</v>
      </c>
      <c r="D492" t="str">
        <f t="shared" si="7"/>
        <v>311001 -  [BODEGA] INSUMOS PARA VIGA DE MADERA H 2 </v>
      </c>
    </row>
    <row r="493" spans="1:4" x14ac:dyDescent="0.25">
      <c r="A493" s="43" t="s">
        <v>67</v>
      </c>
      <c r="B493" s="43">
        <v>311002</v>
      </c>
      <c r="C493" t="s">
        <v>3440</v>
      </c>
      <c r="D493" t="str">
        <f t="shared" si="7"/>
        <v>311002 -  [BODEGA] PLACHAS  </v>
      </c>
    </row>
    <row r="494" spans="1:4" x14ac:dyDescent="0.25">
      <c r="A494" s="43" t="s">
        <v>67</v>
      </c>
      <c r="B494" s="43">
        <v>312000</v>
      </c>
      <c r="C494" t="s">
        <v>3441</v>
      </c>
      <c r="D494" t="str">
        <f t="shared" si="7"/>
        <v>312000 -  [BODEGA] ESTRUCTURAS Y MECANISMOS  </v>
      </c>
    </row>
    <row r="495" spans="1:4" x14ac:dyDescent="0.25">
      <c r="A495" s="43" t="s">
        <v>67</v>
      </c>
      <c r="B495" s="43">
        <v>312001</v>
      </c>
      <c r="C495" t="s">
        <v>3442</v>
      </c>
      <c r="D495" t="str">
        <f t="shared" si="7"/>
        <v>312001 -  [BODEGA] MOLDAJES Y ACCESORIOS  </v>
      </c>
    </row>
    <row r="496" spans="1:4" x14ac:dyDescent="0.25">
      <c r="A496" s="43" t="s">
        <v>67</v>
      </c>
      <c r="B496" s="43">
        <v>312099</v>
      </c>
      <c r="C496" t="s">
        <v>3443</v>
      </c>
      <c r="D496" t="str">
        <f t="shared" si="7"/>
        <v>312099 -  [BODEGA] REPUESTOS MANT. DE MOLDAJE  </v>
      </c>
    </row>
    <row r="497" spans="1:4" x14ac:dyDescent="0.25">
      <c r="A497" s="43" t="s">
        <v>67</v>
      </c>
      <c r="B497" s="43">
        <v>313000</v>
      </c>
      <c r="C497" t="s">
        <v>3444</v>
      </c>
      <c r="D497" t="str">
        <f t="shared" si="7"/>
        <v>313000 -  [BODEGA] CUERPOS DE ANDAMIOS Y TABLONES  </v>
      </c>
    </row>
    <row r="498" spans="1:4" x14ac:dyDescent="0.25">
      <c r="A498" s="43" t="s">
        <v>67</v>
      </c>
      <c r="B498" s="43">
        <v>313001</v>
      </c>
      <c r="C498" t="s">
        <v>3445</v>
      </c>
      <c r="D498" t="str">
        <f t="shared" si="7"/>
        <v>313001 -  [BODEGA] ANDAMIOS LAYHER  </v>
      </c>
    </row>
    <row r="499" spans="1:4" x14ac:dyDescent="0.25">
      <c r="A499" s="43" t="s">
        <v>67</v>
      </c>
      <c r="B499" s="43">
        <v>313002</v>
      </c>
      <c r="C499" t="s">
        <v>3446</v>
      </c>
      <c r="D499" t="str">
        <f t="shared" si="7"/>
        <v>313002 -  [BODEGA] TORRES ESCALA  </v>
      </c>
    </row>
    <row r="500" spans="1:4" x14ac:dyDescent="0.25">
      <c r="A500" s="43" t="s">
        <v>67</v>
      </c>
      <c r="B500" s="43">
        <v>313003</v>
      </c>
      <c r="C500" t="s">
        <v>3447</v>
      </c>
      <c r="D500" t="str">
        <f t="shared" si="7"/>
        <v>313003 -  [BODEGA] ANDAMIO ESTÁNDAR  </v>
      </c>
    </row>
    <row r="501" spans="1:4" x14ac:dyDescent="0.25">
      <c r="A501" s="43" t="s">
        <v>67</v>
      </c>
      <c r="B501" s="43">
        <v>313004</v>
      </c>
      <c r="C501" t="s">
        <v>3448</v>
      </c>
      <c r="D501" t="str">
        <f t="shared" si="7"/>
        <v>313004 -  [BODEGA] ANDAMIO COLGANTE MANUAL  </v>
      </c>
    </row>
    <row r="502" spans="1:4" x14ac:dyDescent="0.25">
      <c r="A502" s="43" t="s">
        <v>67</v>
      </c>
      <c r="B502" s="43">
        <v>313099</v>
      </c>
      <c r="C502" t="s">
        <v>3449</v>
      </c>
      <c r="D502" t="str">
        <f t="shared" si="7"/>
        <v>313099 -  [BODEGA] REPUESTOS MANT. DE ANDAMIOS  </v>
      </c>
    </row>
    <row r="503" spans="1:4" x14ac:dyDescent="0.25">
      <c r="A503" s="43" t="s">
        <v>67</v>
      </c>
      <c r="B503" s="43">
        <v>313101</v>
      </c>
      <c r="C503" t="s">
        <v>3450</v>
      </c>
      <c r="D503" t="str">
        <f t="shared" si="7"/>
        <v>313101 -  [BODEGA] ANDAMIO COLGANTE ELÉCTRICO N°1  </v>
      </c>
    </row>
    <row r="504" spans="1:4" x14ac:dyDescent="0.25">
      <c r="A504" s="43" t="s">
        <v>67</v>
      </c>
      <c r="B504" s="43">
        <v>313102</v>
      </c>
      <c r="C504" t="s">
        <v>3451</v>
      </c>
      <c r="D504" t="str">
        <f t="shared" si="7"/>
        <v>313102 -  [BODEGA] ANDAMIO COLGANTE ELÉCTRICO N°2</v>
      </c>
    </row>
    <row r="505" spans="1:4" x14ac:dyDescent="0.25">
      <c r="A505" s="43" t="s">
        <v>67</v>
      </c>
      <c r="B505" s="43">
        <v>313103</v>
      </c>
      <c r="C505" t="s">
        <v>3452</v>
      </c>
      <c r="D505" t="str">
        <f t="shared" si="7"/>
        <v>313103 -  [BODEGA] ANDAMIO COLGANTE ELÉCTRICO N°3  </v>
      </c>
    </row>
    <row r="506" spans="1:4" x14ac:dyDescent="0.25">
      <c r="A506" s="43" t="s">
        <v>67</v>
      </c>
      <c r="B506" s="43">
        <v>313104</v>
      </c>
      <c r="C506" t="s">
        <v>3453</v>
      </c>
      <c r="D506" t="str">
        <f t="shared" si="7"/>
        <v>313104 -  [BODEGA] ANDAMIO COLGANTE ELÉCTRICO N°4  </v>
      </c>
    </row>
    <row r="507" spans="1:4" x14ac:dyDescent="0.25">
      <c r="A507" s="43" t="s">
        <v>67</v>
      </c>
      <c r="B507" s="43">
        <v>313105</v>
      </c>
      <c r="C507" t="s">
        <v>3454</v>
      </c>
      <c r="D507" t="str">
        <f t="shared" si="7"/>
        <v>313105 -  [BODEGA] ANDAMIO COLGANTE ELÉCTRICO N°5  </v>
      </c>
    </row>
    <row r="508" spans="1:4" x14ac:dyDescent="0.25">
      <c r="A508" s="43" t="s">
        <v>67</v>
      </c>
      <c r="B508" s="43">
        <v>313106</v>
      </c>
      <c r="C508" t="s">
        <v>3455</v>
      </c>
      <c r="D508" t="str">
        <f t="shared" si="7"/>
        <v>313106 -  [BODEGA] ANDAMIO COLGANTE ELÉCTRICO N°6  </v>
      </c>
    </row>
    <row r="509" spans="1:4" x14ac:dyDescent="0.25">
      <c r="A509" s="43" t="s">
        <v>67</v>
      </c>
      <c r="B509" s="43">
        <v>313199</v>
      </c>
      <c r="C509" t="s">
        <v>3341</v>
      </c>
      <c r="D509" t="str">
        <f t="shared" si="7"/>
        <v>313199 -  [BODEGA] REPUESTOS E INSUMOS PARA MANT.  </v>
      </c>
    </row>
    <row r="510" spans="1:4" x14ac:dyDescent="0.25">
      <c r="A510" s="43" t="s">
        <v>67</v>
      </c>
      <c r="B510" s="43">
        <v>314000</v>
      </c>
      <c r="C510" t="s">
        <v>3456</v>
      </c>
      <c r="D510" t="str">
        <f t="shared" si="7"/>
        <v>314000 -  [BODEGA] NIVELES LASER  </v>
      </c>
    </row>
    <row r="511" spans="1:4" x14ac:dyDescent="0.25">
      <c r="A511" s="43" t="s">
        <v>67</v>
      </c>
      <c r="B511" s="43">
        <v>314001</v>
      </c>
      <c r="C511" t="s">
        <v>3457</v>
      </c>
      <c r="D511" t="str">
        <f t="shared" si="7"/>
        <v>314001 -  [BODEGA] TAQUIMETROS  </v>
      </c>
    </row>
    <row r="512" spans="1:4" x14ac:dyDescent="0.25">
      <c r="A512" s="43" t="s">
        <v>67</v>
      </c>
      <c r="B512" s="43">
        <v>314002</v>
      </c>
      <c r="C512" t="s">
        <v>3458</v>
      </c>
      <c r="D512" t="str">
        <f t="shared" si="7"/>
        <v>314002 -  [BODEGA] ESTACIÓN TOTAL LEYCA  </v>
      </c>
    </row>
    <row r="513" spans="1:4" x14ac:dyDescent="0.25">
      <c r="A513" s="43" t="s">
        <v>67</v>
      </c>
      <c r="B513" s="43">
        <v>314003</v>
      </c>
      <c r="C513" t="s">
        <v>3459</v>
      </c>
      <c r="D513" t="str">
        <f t="shared" si="7"/>
        <v>314003 -  [BODEGA] NIVELES TOPOGRÁFICOS  </v>
      </c>
    </row>
    <row r="514" spans="1:4" x14ac:dyDescent="0.25">
      <c r="A514" s="43" t="s">
        <v>67</v>
      </c>
      <c r="B514" s="43">
        <v>315000</v>
      </c>
      <c r="C514" t="s">
        <v>3460</v>
      </c>
      <c r="D514" t="str">
        <f t="shared" si="7"/>
        <v>315000 -  [BODEGA] COMPUTADORES  </v>
      </c>
    </row>
    <row r="515" spans="1:4" x14ac:dyDescent="0.25">
      <c r="A515" s="43" t="s">
        <v>67</v>
      </c>
      <c r="B515" s="43">
        <v>315001</v>
      </c>
      <c r="C515" t="s">
        <v>3461</v>
      </c>
      <c r="D515" t="str">
        <f t="shared" ref="D515:D536" si="8">+B515&amp;" - "&amp;C515</f>
        <v>315001 -  [BODEGA] IMPRESORAS  </v>
      </c>
    </row>
    <row r="516" spans="1:4" x14ac:dyDescent="0.25">
      <c r="A516" s="43" t="s">
        <v>67</v>
      </c>
      <c r="B516" s="43">
        <v>315002</v>
      </c>
      <c r="C516" t="s">
        <v>3462</v>
      </c>
      <c r="D516" t="str">
        <f t="shared" si="8"/>
        <v>315002 -  [BODEGA] TELEFONOS  </v>
      </c>
    </row>
    <row r="517" spans="1:4" x14ac:dyDescent="0.25">
      <c r="A517" s="43" t="s">
        <v>67</v>
      </c>
      <c r="B517" s="43">
        <v>315003</v>
      </c>
      <c r="C517" t="s">
        <v>3463</v>
      </c>
      <c r="D517" t="str">
        <f t="shared" si="8"/>
        <v>315003 -  [BODEGA] FAX  </v>
      </c>
    </row>
    <row r="518" spans="1:4" x14ac:dyDescent="0.25">
      <c r="A518" s="43" t="s">
        <v>67</v>
      </c>
      <c r="B518" s="43">
        <v>316000</v>
      </c>
      <c r="C518" t="s">
        <v>3464</v>
      </c>
      <c r="D518" t="str">
        <f t="shared" si="8"/>
        <v>316000 -  [BODEGA] MATERIALES E INSUMOS DE OFICINA </v>
      </c>
    </row>
    <row r="519" spans="1:4" x14ac:dyDescent="0.25">
      <c r="A519" s="43" t="s">
        <v>67</v>
      </c>
      <c r="B519" s="43">
        <v>317000</v>
      </c>
      <c r="C519" t="s">
        <v>3465</v>
      </c>
      <c r="D519" t="str">
        <f t="shared" si="8"/>
        <v>317000 -  [BODEGA] EQUIPOS DE RADIO  </v>
      </c>
    </row>
    <row r="520" spans="1:4" x14ac:dyDescent="0.25">
      <c r="A520" s="43" t="s">
        <v>67</v>
      </c>
      <c r="B520" s="43">
        <v>318099</v>
      </c>
      <c r="C520" t="s">
        <v>3466</v>
      </c>
      <c r="D520" t="str">
        <f t="shared" si="8"/>
        <v>318099 -  [BODEGA] INSUMOS PARA OXICORTE  </v>
      </c>
    </row>
    <row r="521" spans="1:4" x14ac:dyDescent="0.25">
      <c r="A521" s="43" t="s">
        <v>67</v>
      </c>
      <c r="B521" s="43">
        <v>319099</v>
      </c>
      <c r="C521" t="s">
        <v>3467</v>
      </c>
      <c r="D521" t="str">
        <f t="shared" si="8"/>
        <v>319099 -  [BODEGA] INSUMOS PARA SOLDADURA  </v>
      </c>
    </row>
    <row r="522" spans="1:4" x14ac:dyDescent="0.25">
      <c r="A522" s="43" t="s">
        <v>67</v>
      </c>
      <c r="B522" s="43">
        <v>320000</v>
      </c>
      <c r="C522" t="s">
        <v>3468</v>
      </c>
      <c r="D522" t="str">
        <f t="shared" si="8"/>
        <v>320000 -  [BODEGA] FLETES EXTERNOS  </v>
      </c>
    </row>
    <row r="523" spans="1:4" x14ac:dyDescent="0.25">
      <c r="A523" s="43" t="s">
        <v>67</v>
      </c>
      <c r="B523" s="43">
        <v>321000</v>
      </c>
      <c r="C523" t="s">
        <v>3469</v>
      </c>
      <c r="D523" t="str">
        <f t="shared" si="8"/>
        <v>321000 -  [BODEGA] ELEMENTOS PARA PROTECCIÓN PERSO </v>
      </c>
    </row>
    <row r="524" spans="1:4" x14ac:dyDescent="0.25">
      <c r="A524" s="43" t="s">
        <v>67</v>
      </c>
      <c r="B524" s="43">
        <v>322000</v>
      </c>
      <c r="C524" t="s">
        <v>3470</v>
      </c>
      <c r="D524" t="str">
        <f t="shared" si="8"/>
        <v>322000 -  [BODEGA] SEGUROS Y GARANTÍAS</v>
      </c>
    </row>
    <row r="525" spans="1:4" x14ac:dyDescent="0.25">
      <c r="A525" s="43" t="s">
        <v>67</v>
      </c>
      <c r="B525" s="43">
        <v>323000</v>
      </c>
      <c r="C525" t="s">
        <v>3471</v>
      </c>
      <c r="D525" t="str">
        <f t="shared" si="8"/>
        <v>323000 -  [BODEGA] MOBILIARIO  </v>
      </c>
    </row>
    <row r="526" spans="1:4" x14ac:dyDescent="0.25">
      <c r="A526" s="43" t="s">
        <v>67</v>
      </c>
      <c r="B526" s="43">
        <v>324000</v>
      </c>
      <c r="C526" t="s">
        <v>3472</v>
      </c>
      <c r="D526" t="str">
        <f t="shared" si="8"/>
        <v>324000 -  [BODEGA] PERSONAL  </v>
      </c>
    </row>
    <row r="527" spans="1:4" x14ac:dyDescent="0.25">
      <c r="A527" s="43" t="s">
        <v>67</v>
      </c>
      <c r="B527" s="43">
        <v>325000</v>
      </c>
      <c r="C527" t="s">
        <v>3473</v>
      </c>
      <c r="D527" t="str">
        <f t="shared" si="8"/>
        <v>325000 -  [BODEGA] GASTOS MENORES Y CAJAS CHICAS  </v>
      </c>
    </row>
    <row r="528" spans="1:4" x14ac:dyDescent="0.25">
      <c r="A528" s="43" t="s">
        <v>67</v>
      </c>
      <c r="B528" s="43">
        <v>326000</v>
      </c>
      <c r="C528" t="s">
        <v>3474</v>
      </c>
      <c r="D528" t="str">
        <f t="shared" si="8"/>
        <v>326000 -  [BODEGA] OTROS GASTOS  </v>
      </c>
    </row>
    <row r="529" spans="1:4" x14ac:dyDescent="0.25">
      <c r="A529" s="43" t="s">
        <v>67</v>
      </c>
      <c r="B529" s="43">
        <v>327000</v>
      </c>
      <c r="C529" t="s">
        <v>3475</v>
      </c>
      <c r="D529" t="str">
        <f t="shared" si="8"/>
        <v>327000 -  [BODEGA] VISICOOLER (CONSERVADORA VERTIC </v>
      </c>
    </row>
    <row r="530" spans="1:4" x14ac:dyDescent="0.25">
      <c r="A530" s="43" t="s">
        <v>67</v>
      </c>
      <c r="B530" s="43">
        <v>328000</v>
      </c>
      <c r="C530" t="s">
        <v>3476</v>
      </c>
      <c r="D530" t="str">
        <f t="shared" si="8"/>
        <v>328000 -  [BODEGA] IMPRENTA  </v>
      </c>
    </row>
    <row r="531" spans="1:4" x14ac:dyDescent="0.25">
      <c r="A531" s="43" t="s">
        <v>67</v>
      </c>
      <c r="B531" s="43">
        <v>329001</v>
      </c>
      <c r="C531" t="s">
        <v>3477</v>
      </c>
      <c r="D531" t="str">
        <f t="shared" si="8"/>
        <v>329001 -  [BODEGA] DISEÑO Y PUBLICIDAD CORPORATIVA </v>
      </c>
    </row>
    <row r="532" spans="1:4" x14ac:dyDescent="0.25">
      <c r="A532" s="43" t="s">
        <v>67</v>
      </c>
      <c r="B532" s="43">
        <v>331001</v>
      </c>
      <c r="C532" t="s">
        <v>3478</v>
      </c>
      <c r="D532" t="str">
        <f t="shared" si="8"/>
        <v>331001 -  [BODEGA] ALAMBRE PARA PISTOLAS</v>
      </c>
    </row>
    <row r="533" spans="1:4" x14ac:dyDescent="0.25">
      <c r="A533" s="43" t="s">
        <v>67</v>
      </c>
      <c r="B533" s="43">
        <v>330002</v>
      </c>
      <c r="C533" t="s">
        <v>3479</v>
      </c>
      <c r="D533" t="str">
        <f t="shared" si="8"/>
        <v>330002 -  [BODEGA] SILO DE CEMENTO DE 60 T</v>
      </c>
    </row>
    <row r="534" spans="1:4" x14ac:dyDescent="0.25">
      <c r="A534" s="43" t="s">
        <v>67</v>
      </c>
      <c r="B534" s="43" t="s">
        <v>3200</v>
      </c>
      <c r="C534" t="s">
        <v>3201</v>
      </c>
      <c r="D534" t="str">
        <f t="shared" si="8"/>
        <v>1   -  [INTEGRACION] PARTIDA SIN ASIGNAR  </v>
      </c>
    </row>
    <row r="535" spans="1:4" x14ac:dyDescent="0.25">
      <c r="A535" s="43" t="s">
        <v>67</v>
      </c>
      <c r="B535" s="43">
        <v>400001</v>
      </c>
      <c r="C535" t="s">
        <v>3202</v>
      </c>
      <c r="D535" t="str">
        <f t="shared" si="8"/>
        <v>400001 -  [INTEGRACION] AJUSTE DE PRECIO  </v>
      </c>
    </row>
    <row r="536" spans="1:4" x14ac:dyDescent="0.25">
      <c r="A536" s="43" t="s">
        <v>67</v>
      </c>
      <c r="B536" s="43">
        <v>400002</v>
      </c>
      <c r="C536" t="s">
        <v>3203</v>
      </c>
      <c r="D536" t="str">
        <f t="shared" si="8"/>
        <v>400002 -  [INTEGRACION] DESCUENTO SUBCONTRATOS</v>
      </c>
    </row>
  </sheetData>
  <phoneticPr fontId="1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D67332-854C-4C01-878C-4D89DAAE96E4}">
  <sheetPr codeName="Hoja8"/>
  <dimension ref="A1:F2341"/>
  <sheetViews>
    <sheetView zoomScale="80" zoomScaleNormal="80" workbookViewId="0">
      <selection activeCell="C2367" sqref="C2367"/>
    </sheetView>
  </sheetViews>
  <sheetFormatPr baseColWidth="10" defaultColWidth="11.42578125" defaultRowHeight="15" x14ac:dyDescent="0.25"/>
  <cols>
    <col min="1" max="1" width="24.7109375" bestFit="1" customWidth="1"/>
    <col min="2" max="2" width="34.7109375" bestFit="1" customWidth="1"/>
    <col min="3" max="3" width="31.28515625" bestFit="1" customWidth="1"/>
    <col min="4" max="4" width="35.42578125" bestFit="1" customWidth="1"/>
    <col min="5" max="5" width="43.28515625" bestFit="1" customWidth="1"/>
    <col min="6" max="6" width="42.140625" bestFit="1" customWidth="1"/>
  </cols>
  <sheetData>
    <row r="1" spans="1:6" ht="15.75" thickBot="1" x14ac:dyDescent="0.3">
      <c r="A1" s="108" t="s">
        <v>348</v>
      </c>
      <c r="B1" s="108" t="s">
        <v>1495</v>
      </c>
      <c r="C1" s="108" t="s">
        <v>2694</v>
      </c>
      <c r="D1" s="108" t="s">
        <v>2695</v>
      </c>
      <c r="E1" s="109" t="s">
        <v>1654</v>
      </c>
      <c r="F1" s="109" t="s">
        <v>3095</v>
      </c>
    </row>
    <row r="2" spans="1:6" x14ac:dyDescent="0.25">
      <c r="A2" s="43">
        <v>1203020</v>
      </c>
      <c r="B2" t="s">
        <v>220</v>
      </c>
      <c r="C2" s="43">
        <v>10028</v>
      </c>
      <c r="D2" t="s">
        <v>2696</v>
      </c>
      <c r="E2" s="47" t="str">
        <f>+Cuenta_Clasificacion[[#This Row],[Código Cuenta Contable]]&amp;" - "&amp;Cuenta_Clasificacion[[#This Row],[Nombre de Cuenta Contable]]</f>
        <v>1203020 - Maquinarias</v>
      </c>
      <c r="F2" s="47" t="str">
        <f>+Cuenta_Clasificacion[[#This Row],[Codigo Concepto de imputación]]&amp;" - "&amp;Cuenta_Clasificacion[[#This Row],[Nombre Concepto de imputación]]</f>
        <v>10028 - Equipamiento</v>
      </c>
    </row>
    <row r="3" spans="1:6" x14ac:dyDescent="0.25">
      <c r="A3" s="43">
        <v>1203020</v>
      </c>
      <c r="B3" t="s">
        <v>220</v>
      </c>
      <c r="C3" s="43">
        <v>10038</v>
      </c>
      <c r="D3" t="s">
        <v>2697</v>
      </c>
      <c r="E3" s="47" t="str">
        <f>+Cuenta_Clasificacion[[#This Row],[Código Cuenta Contable]]&amp;" - "&amp;Cuenta_Clasificacion[[#This Row],[Nombre de Cuenta Contable]]</f>
        <v>1203020 - Maquinarias</v>
      </c>
      <c r="F3" s="47" t="str">
        <f>+Cuenta_Clasificacion[[#This Row],[Codigo Concepto de imputación]]&amp;" - "&amp;Cuenta_Clasificacion[[#This Row],[Nombre Concepto de imputación]]</f>
        <v>10038 - Fletes (por orden de compra)</v>
      </c>
    </row>
    <row r="4" spans="1:6" x14ac:dyDescent="0.25">
      <c r="A4" s="43">
        <v>1203020</v>
      </c>
      <c r="B4" t="s">
        <v>220</v>
      </c>
      <c r="C4" s="43">
        <v>10042</v>
      </c>
      <c r="D4" t="s">
        <v>2698</v>
      </c>
      <c r="E4" s="47" t="str">
        <f>+Cuenta_Clasificacion[[#This Row],[Código Cuenta Contable]]&amp;" - "&amp;Cuenta_Clasificacion[[#This Row],[Nombre de Cuenta Contable]]</f>
        <v>1203020 - Maquinarias</v>
      </c>
      <c r="F4" s="47" t="str">
        <f>+Cuenta_Clasificacion[[#This Row],[Codigo Concepto de imputación]]&amp;" - "&amp;Cuenta_Clasificacion[[#This Row],[Nombre Concepto de imputación]]</f>
        <v>10042 - Hormigones</v>
      </c>
    </row>
    <row r="5" spans="1:6" x14ac:dyDescent="0.25">
      <c r="A5" s="43">
        <v>1203020</v>
      </c>
      <c r="B5" t="s">
        <v>220</v>
      </c>
      <c r="C5" s="43">
        <v>10080</v>
      </c>
      <c r="D5" t="s">
        <v>2699</v>
      </c>
      <c r="E5" s="47" t="str">
        <f>+Cuenta_Clasificacion[[#This Row],[Código Cuenta Contable]]&amp;" - "&amp;Cuenta_Clasificacion[[#This Row],[Nombre de Cuenta Contable]]</f>
        <v>1203020 - Maquinarias</v>
      </c>
      <c r="F5" s="47" t="str">
        <f>+Cuenta_Clasificacion[[#This Row],[Codigo Concepto de imputación]]&amp;" - "&amp;Cuenta_Clasificacion[[#This Row],[Nombre Concepto de imputación]]</f>
        <v>10080 - Ajuste de Precio</v>
      </c>
    </row>
    <row r="6" spans="1:6" x14ac:dyDescent="0.25">
      <c r="A6" s="43">
        <v>1203020</v>
      </c>
      <c r="B6" t="s">
        <v>220</v>
      </c>
      <c r="C6" s="43">
        <v>30005</v>
      </c>
      <c r="D6" t="s">
        <v>2700</v>
      </c>
      <c r="E6" s="47" t="str">
        <f>+Cuenta_Clasificacion[[#This Row],[Código Cuenta Contable]]&amp;" - "&amp;Cuenta_Clasificacion[[#This Row],[Nombre de Cuenta Contable]]</f>
        <v>1203020 - Maquinarias</v>
      </c>
      <c r="F6" s="47" t="str">
        <f>+Cuenta_Clasificacion[[#This Row],[Codigo Concepto de imputación]]&amp;" - "&amp;Cuenta_Clasificacion[[#This Row],[Nombre Concepto de imputación]]</f>
        <v>30005 - Elevadores y Grúas</v>
      </c>
    </row>
    <row r="7" spans="1:6" x14ac:dyDescent="0.25">
      <c r="A7" s="43">
        <v>1203020</v>
      </c>
      <c r="B7" t="s">
        <v>220</v>
      </c>
      <c r="C7" s="43">
        <v>30010</v>
      </c>
      <c r="D7" t="s">
        <v>2701</v>
      </c>
      <c r="E7" s="47" t="str">
        <f>+Cuenta_Clasificacion[[#This Row],[Código Cuenta Contable]]&amp;" - "&amp;Cuenta_Clasificacion[[#This Row],[Nombre de Cuenta Contable]]</f>
        <v>1203020 - Maquinarias</v>
      </c>
      <c r="F7" s="47" t="str">
        <f>+Cuenta_Clasificacion[[#This Row],[Codigo Concepto de imputación]]&amp;" - "&amp;Cuenta_Clasificacion[[#This Row],[Nombre Concepto de imputación]]</f>
        <v>30010 - Motores y Bombas</v>
      </c>
    </row>
    <row r="8" spans="1:6" x14ac:dyDescent="0.25">
      <c r="A8" s="43">
        <v>1203020</v>
      </c>
      <c r="B8" t="s">
        <v>220</v>
      </c>
      <c r="C8" s="43">
        <v>30011</v>
      </c>
      <c r="D8" t="s">
        <v>2702</v>
      </c>
      <c r="E8" s="47" t="str">
        <f>+Cuenta_Clasificacion[[#This Row],[Código Cuenta Contable]]&amp;" - "&amp;Cuenta_Clasificacion[[#This Row],[Nombre de Cuenta Contable]]</f>
        <v>1203020 - Maquinarias</v>
      </c>
      <c r="F8" s="47" t="str">
        <f>+Cuenta_Clasificacion[[#This Row],[Codigo Concepto de imputación]]&amp;" - "&amp;Cuenta_Clasificacion[[#This Row],[Nombre Concepto de imputación]]</f>
        <v>30011 - Reparac/Mant Eq</v>
      </c>
    </row>
    <row r="9" spans="1:6" x14ac:dyDescent="0.25">
      <c r="A9" s="43">
        <v>1203020</v>
      </c>
      <c r="B9" t="s">
        <v>220</v>
      </c>
      <c r="C9" s="43">
        <v>77777</v>
      </c>
      <c r="D9" t="s">
        <v>2703</v>
      </c>
      <c r="E9" s="47" t="str">
        <f>+Cuenta_Clasificacion[[#This Row],[Código Cuenta Contable]]&amp;" - "&amp;Cuenta_Clasificacion[[#This Row],[Nombre de Cuenta Contable]]</f>
        <v>1203020 - Maquinarias</v>
      </c>
      <c r="F9" s="47" t="str">
        <f>+Cuenta_Clasificacion[[#This Row],[Codigo Concepto de imputación]]&amp;" - "&amp;Cuenta_Clasificacion[[#This Row],[Nombre Concepto de imputación]]</f>
        <v>77777 - REGULARIZACIONES</v>
      </c>
    </row>
    <row r="10" spans="1:6" x14ac:dyDescent="0.25">
      <c r="A10" s="43">
        <v>1206011</v>
      </c>
      <c r="B10" t="s">
        <v>122</v>
      </c>
      <c r="C10" s="43">
        <v>30007</v>
      </c>
      <c r="D10" t="s">
        <v>2704</v>
      </c>
      <c r="E10" s="47" t="str">
        <f>+Cuenta_Clasificacion[[#This Row],[Código Cuenta Contable]]&amp;" - "&amp;Cuenta_Clasificacion[[#This Row],[Nombre de Cuenta Contable]]</f>
        <v>1206011 - Cuenta Puente Activo Fijo Constructora</v>
      </c>
      <c r="F10" s="47" t="str">
        <f>+Cuenta_Clasificacion[[#This Row],[Codigo Concepto de imputación]]&amp;" - "&amp;Cuenta_Clasificacion[[#This Row],[Nombre Concepto de imputación]]</f>
        <v>30007 - Eq Varios</v>
      </c>
    </row>
    <row r="11" spans="1:6" x14ac:dyDescent="0.25">
      <c r="A11" s="43">
        <v>2111006</v>
      </c>
      <c r="B11" t="s">
        <v>209</v>
      </c>
      <c r="C11" s="43">
        <v>50029</v>
      </c>
      <c r="D11" t="s">
        <v>103</v>
      </c>
      <c r="E11" s="47" t="str">
        <f>+Cuenta_Clasificacion[[#This Row],[Código Cuenta Contable]]&amp;" - "&amp;Cuenta_Clasificacion[[#This Row],[Nombre de Cuenta Contable]]</f>
        <v>2111006 - Provisión Bienestar</v>
      </c>
      <c r="F11" s="47" t="str">
        <f>+Cuenta_Clasificacion[[#This Row],[Codigo Concepto de imputación]]&amp;" - "&amp;Cuenta_Clasificacion[[#This Row],[Nombre Concepto de imputación]]</f>
        <v>50029 - Bienestar</v>
      </c>
    </row>
    <row r="12" spans="1:6" x14ac:dyDescent="0.25">
      <c r="A12" s="43">
        <v>3102010</v>
      </c>
      <c r="B12" t="s">
        <v>349</v>
      </c>
      <c r="C12" s="43">
        <v>60001</v>
      </c>
      <c r="D12" t="s">
        <v>2705</v>
      </c>
      <c r="E12" s="47" t="str">
        <f>+Cuenta_Clasificacion[[#This Row],[Código Cuenta Contable]]&amp;" - "&amp;Cuenta_Clasificacion[[#This Row],[Nombre de Cuenta Contable]]</f>
        <v>3102010 - Ventas Estado de Pago Terceros</v>
      </c>
      <c r="F12" s="47" t="str">
        <f>+Cuenta_Clasificacion[[#This Row],[Codigo Concepto de imputación]]&amp;" - "&amp;Cuenta_Clasificacion[[#This Row],[Nombre Concepto de imputación]]</f>
        <v>60001 - Normal</v>
      </c>
    </row>
    <row r="13" spans="1:6" x14ac:dyDescent="0.25">
      <c r="A13" s="43">
        <v>3102010</v>
      </c>
      <c r="B13" t="s">
        <v>349</v>
      </c>
      <c r="C13" s="43">
        <v>60002</v>
      </c>
      <c r="D13" t="s">
        <v>2706</v>
      </c>
      <c r="E13" s="47" t="str">
        <f>+Cuenta_Clasificacion[[#This Row],[Código Cuenta Contable]]&amp;" - "&amp;Cuenta_Clasificacion[[#This Row],[Nombre de Cuenta Contable]]</f>
        <v>3102010 - Ventas Estado de Pago Terceros</v>
      </c>
      <c r="F13" s="47" t="str">
        <f>+Cuenta_Clasificacion[[#This Row],[Codigo Concepto de imputación]]&amp;" - "&amp;Cuenta_Clasificacion[[#This Row],[Nombre Concepto de imputación]]</f>
        <v>60002 - Adicional</v>
      </c>
    </row>
    <row r="14" spans="1:6" x14ac:dyDescent="0.25">
      <c r="A14" s="43">
        <v>3102010</v>
      </c>
      <c r="B14" t="s">
        <v>349</v>
      </c>
      <c r="C14" s="43">
        <v>60003</v>
      </c>
      <c r="D14" t="s">
        <v>2707</v>
      </c>
      <c r="E14" s="47" t="str">
        <f>+Cuenta_Clasificacion[[#This Row],[Código Cuenta Contable]]&amp;" - "&amp;Cuenta_Clasificacion[[#This Row],[Nombre de Cuenta Contable]]</f>
        <v>3102010 - Ventas Estado de Pago Terceros</v>
      </c>
      <c r="F14" s="47" t="str">
        <f>+Cuenta_Clasificacion[[#This Row],[Codigo Concepto de imputación]]&amp;" - "&amp;Cuenta_Clasificacion[[#This Row],[Nombre Concepto de imputación]]</f>
        <v>60003 - Extras</v>
      </c>
    </row>
    <row r="15" spans="1:6" x14ac:dyDescent="0.25">
      <c r="A15" s="43">
        <v>3102020</v>
      </c>
      <c r="B15" t="s">
        <v>339</v>
      </c>
      <c r="C15" s="43">
        <v>60001</v>
      </c>
      <c r="D15" t="s">
        <v>2705</v>
      </c>
      <c r="E15" s="47" t="str">
        <f>+Cuenta_Clasificacion[[#This Row],[Código Cuenta Contable]]&amp;" - "&amp;Cuenta_Clasificacion[[#This Row],[Nombre de Cuenta Contable]]</f>
        <v>3102020 - Ventas Estado de Pago Propios</v>
      </c>
      <c r="F15" s="47" t="str">
        <f>+Cuenta_Clasificacion[[#This Row],[Codigo Concepto de imputación]]&amp;" - "&amp;Cuenta_Clasificacion[[#This Row],[Nombre Concepto de imputación]]</f>
        <v>60001 - Normal</v>
      </c>
    </row>
    <row r="16" spans="1:6" x14ac:dyDescent="0.25">
      <c r="A16" s="43">
        <v>3102020</v>
      </c>
      <c r="B16" t="s">
        <v>339</v>
      </c>
      <c r="C16" s="43">
        <v>60002</v>
      </c>
      <c r="D16" t="s">
        <v>2706</v>
      </c>
      <c r="E16" s="47" t="str">
        <f>+Cuenta_Clasificacion[[#This Row],[Código Cuenta Contable]]&amp;" - "&amp;Cuenta_Clasificacion[[#This Row],[Nombre de Cuenta Contable]]</f>
        <v>3102020 - Ventas Estado de Pago Propios</v>
      </c>
      <c r="F16" s="47" t="str">
        <f>+Cuenta_Clasificacion[[#This Row],[Codigo Concepto de imputación]]&amp;" - "&amp;Cuenta_Clasificacion[[#This Row],[Nombre Concepto de imputación]]</f>
        <v>60002 - Adicional</v>
      </c>
    </row>
    <row r="17" spans="1:6" x14ac:dyDescent="0.25">
      <c r="A17" s="43">
        <v>3102020</v>
      </c>
      <c r="B17" t="s">
        <v>339</v>
      </c>
      <c r="C17" s="43">
        <v>60003</v>
      </c>
      <c r="D17" t="s">
        <v>2707</v>
      </c>
      <c r="E17" s="47" t="str">
        <f>+Cuenta_Clasificacion[[#This Row],[Código Cuenta Contable]]&amp;" - "&amp;Cuenta_Clasificacion[[#This Row],[Nombre de Cuenta Contable]]</f>
        <v>3102020 - Ventas Estado de Pago Propios</v>
      </c>
      <c r="F17" s="47" t="str">
        <f>+Cuenta_Clasificacion[[#This Row],[Codigo Concepto de imputación]]&amp;" - "&amp;Cuenta_Clasificacion[[#This Row],[Nombre Concepto de imputación]]</f>
        <v>60003 - Extras</v>
      </c>
    </row>
    <row r="18" spans="1:6" x14ac:dyDescent="0.25">
      <c r="A18" s="43">
        <v>3102020</v>
      </c>
      <c r="B18" t="s">
        <v>339</v>
      </c>
      <c r="C18" s="43">
        <v>77777</v>
      </c>
      <c r="D18" t="s">
        <v>2703</v>
      </c>
      <c r="E18" s="47" t="str">
        <f>+Cuenta_Clasificacion[[#This Row],[Código Cuenta Contable]]&amp;" - "&amp;Cuenta_Clasificacion[[#This Row],[Nombre de Cuenta Contable]]</f>
        <v>3102020 - Ventas Estado de Pago Propios</v>
      </c>
      <c r="F18" s="47" t="str">
        <f>+Cuenta_Clasificacion[[#This Row],[Codigo Concepto de imputación]]&amp;" - "&amp;Cuenta_Clasificacion[[#This Row],[Nombre Concepto de imputación]]</f>
        <v>77777 - REGULARIZACIONES</v>
      </c>
    </row>
    <row r="19" spans="1:6" x14ac:dyDescent="0.25">
      <c r="A19" s="43">
        <v>4101001</v>
      </c>
      <c r="B19" t="s">
        <v>69</v>
      </c>
      <c r="C19" s="43">
        <v>10001</v>
      </c>
      <c r="D19" t="s">
        <v>2708</v>
      </c>
      <c r="E19" s="47" t="str">
        <f>+Cuenta_Clasificacion[[#This Row],[Código Cuenta Contable]]&amp;" - "&amp;Cuenta_Clasificacion[[#This Row],[Nombre de Cuenta Contable]]</f>
        <v>4101001 - Costos Materiales de Obra</v>
      </c>
      <c r="F19" s="47" t="str">
        <f>+Cuenta_Clasificacion[[#This Row],[Codigo Concepto de imputación]]&amp;" - "&amp;Cuenta_Clasificacion[[#This Row],[Nombre Concepto de imputación]]</f>
        <v>10001 - Accesorios Sanitarios</v>
      </c>
    </row>
    <row r="20" spans="1:6" x14ac:dyDescent="0.25">
      <c r="A20" s="43">
        <v>4101001</v>
      </c>
      <c r="B20" t="s">
        <v>69</v>
      </c>
      <c r="C20" s="43">
        <v>10002</v>
      </c>
      <c r="D20" t="s">
        <v>2709</v>
      </c>
      <c r="E20" s="47" t="str">
        <f>+Cuenta_Clasificacion[[#This Row],[Código Cuenta Contable]]&amp;" - "&amp;Cuenta_Clasificacion[[#This Row],[Nombre de Cuenta Contable]]</f>
        <v>4101001 - Costos Materiales de Obra</v>
      </c>
      <c r="F20" s="47" t="str">
        <f>+Cuenta_Clasificacion[[#This Row],[Codigo Concepto de imputación]]&amp;" - "&amp;Cuenta_Clasificacion[[#This Row],[Nombre Concepto de imputación]]</f>
        <v>10002 - Adhesivos</v>
      </c>
    </row>
    <row r="21" spans="1:6" x14ac:dyDescent="0.25">
      <c r="A21" s="43">
        <v>4101001</v>
      </c>
      <c r="B21" t="s">
        <v>69</v>
      </c>
      <c r="C21" s="43">
        <v>10003</v>
      </c>
      <c r="D21" t="s">
        <v>2710</v>
      </c>
      <c r="E21" s="47" t="str">
        <f>+Cuenta_Clasificacion[[#This Row],[Código Cuenta Contable]]&amp;" - "&amp;Cuenta_Clasificacion[[#This Row],[Nombre de Cuenta Contable]]</f>
        <v>4101001 - Costos Materiales de Obra</v>
      </c>
      <c r="F21" s="47" t="str">
        <f>+Cuenta_Clasificacion[[#This Row],[Codigo Concepto de imputación]]&amp;" - "&amp;Cuenta_Clasificacion[[#This Row],[Nombre Concepto de imputación]]</f>
        <v>10003 - Aditivos</v>
      </c>
    </row>
    <row r="22" spans="1:6" x14ac:dyDescent="0.25">
      <c r="A22" s="43">
        <v>4101001</v>
      </c>
      <c r="B22" t="s">
        <v>69</v>
      </c>
      <c r="C22" s="43">
        <v>10004</v>
      </c>
      <c r="D22" t="s">
        <v>2711</v>
      </c>
      <c r="E22" s="47" t="str">
        <f>+Cuenta_Clasificacion[[#This Row],[Código Cuenta Contable]]&amp;" - "&amp;Cuenta_Clasificacion[[#This Row],[Nombre de Cuenta Contable]]</f>
        <v>4101001 - Costos Materiales de Obra</v>
      </c>
      <c r="F22" s="47" t="str">
        <f>+Cuenta_Clasificacion[[#This Row],[Codigo Concepto de imputación]]&amp;" - "&amp;Cuenta_Clasificacion[[#This Row],[Nombre Concepto de imputación]]</f>
        <v>10004 - Aislación</v>
      </c>
    </row>
    <row r="23" spans="1:6" x14ac:dyDescent="0.25">
      <c r="A23" s="43">
        <v>4101001</v>
      </c>
      <c r="B23" t="s">
        <v>69</v>
      </c>
      <c r="C23" s="43">
        <v>10005</v>
      </c>
      <c r="D23" t="s">
        <v>2712</v>
      </c>
      <c r="E23" s="47" t="str">
        <f>+Cuenta_Clasificacion[[#This Row],[Código Cuenta Contable]]&amp;" - "&amp;Cuenta_Clasificacion[[#This Row],[Nombre de Cuenta Contable]]</f>
        <v>4101001 - Costos Materiales de Obra</v>
      </c>
      <c r="F23" s="47" t="str">
        <f>+Cuenta_Clasificacion[[#This Row],[Codigo Concepto de imputación]]&amp;" - "&amp;Cuenta_Clasificacion[[#This Row],[Nombre Concepto de imputación]]</f>
        <v>10005 - Alambre</v>
      </c>
    </row>
    <row r="24" spans="1:6" x14ac:dyDescent="0.25">
      <c r="A24" s="43">
        <v>4101001</v>
      </c>
      <c r="B24" t="s">
        <v>69</v>
      </c>
      <c r="C24" s="43">
        <v>10006</v>
      </c>
      <c r="D24" t="s">
        <v>2713</v>
      </c>
      <c r="E24" s="47" t="str">
        <f>+Cuenta_Clasificacion[[#This Row],[Código Cuenta Contable]]&amp;" - "&amp;Cuenta_Clasificacion[[#This Row],[Nombre de Cuenta Contable]]</f>
        <v>4101001 - Costos Materiales de Obra</v>
      </c>
      <c r="F24" s="47" t="str">
        <f>+Cuenta_Clasificacion[[#This Row],[Codigo Concepto de imputación]]&amp;" - "&amp;Cuenta_Clasificacion[[#This Row],[Nombre Concepto de imputación]]</f>
        <v>10006 - Alcantarillado</v>
      </c>
    </row>
    <row r="25" spans="1:6" x14ac:dyDescent="0.25">
      <c r="A25" s="43">
        <v>4101001</v>
      </c>
      <c r="B25" t="s">
        <v>69</v>
      </c>
      <c r="C25" s="43">
        <v>10007</v>
      </c>
      <c r="D25" t="s">
        <v>2714</v>
      </c>
      <c r="E25" s="47" t="str">
        <f>+Cuenta_Clasificacion[[#This Row],[Código Cuenta Contable]]&amp;" - "&amp;Cuenta_Clasificacion[[#This Row],[Nombre de Cuenta Contable]]</f>
        <v>4101001 - Costos Materiales de Obra</v>
      </c>
      <c r="F25" s="47" t="str">
        <f>+Cuenta_Clasificacion[[#This Row],[Codigo Concepto de imputación]]&amp;" - "&amp;Cuenta_Clasificacion[[#This Row],[Nombre Concepto de imputación]]</f>
        <v>10007 - Alfombras</v>
      </c>
    </row>
    <row r="26" spans="1:6" x14ac:dyDescent="0.25">
      <c r="A26" s="43">
        <v>4101001</v>
      </c>
      <c r="B26" t="s">
        <v>69</v>
      </c>
      <c r="C26" s="43">
        <v>10008</v>
      </c>
      <c r="D26" t="s">
        <v>2715</v>
      </c>
      <c r="E26" s="47" t="str">
        <f>+Cuenta_Clasificacion[[#This Row],[Código Cuenta Contable]]&amp;" - "&amp;Cuenta_Clasificacion[[#This Row],[Nombre de Cuenta Contable]]</f>
        <v>4101001 - Costos Materiales de Obra</v>
      </c>
      <c r="F26" s="47" t="str">
        <f>+Cuenta_Clasificacion[[#This Row],[Codigo Concepto de imputación]]&amp;" - "&amp;Cuenta_Clasificacion[[#This Row],[Nombre Concepto de imputación]]</f>
        <v>10008 - Aluminios</v>
      </c>
    </row>
    <row r="27" spans="1:6" x14ac:dyDescent="0.25">
      <c r="A27" s="43">
        <v>4101001</v>
      </c>
      <c r="B27" t="s">
        <v>69</v>
      </c>
      <c r="C27" s="43">
        <v>10009</v>
      </c>
      <c r="D27" t="s">
        <v>2716</v>
      </c>
      <c r="E27" s="47" t="str">
        <f>+Cuenta_Clasificacion[[#This Row],[Código Cuenta Contable]]&amp;" - "&amp;Cuenta_Clasificacion[[#This Row],[Nombre de Cuenta Contable]]</f>
        <v>4101001 - Costos Materiales de Obra</v>
      </c>
      <c r="F27" s="47" t="str">
        <f>+Cuenta_Clasificacion[[#This Row],[Codigo Concepto de imputación]]&amp;" - "&amp;Cuenta_Clasificacion[[#This Row],[Nombre Concepto de imputación]]</f>
        <v>10009 - Áridos</v>
      </c>
    </row>
    <row r="28" spans="1:6" x14ac:dyDescent="0.25">
      <c r="A28" s="43">
        <v>4101001</v>
      </c>
      <c r="B28" t="s">
        <v>69</v>
      </c>
      <c r="C28" s="43">
        <v>10010</v>
      </c>
      <c r="D28" t="s">
        <v>2717</v>
      </c>
      <c r="E28" s="47" t="str">
        <f>+Cuenta_Clasificacion[[#This Row],[Código Cuenta Contable]]&amp;" - "&amp;Cuenta_Clasificacion[[#This Row],[Nombre de Cuenta Contable]]</f>
        <v>4101001 - Costos Materiales de Obra</v>
      </c>
      <c r="F28" s="47" t="str">
        <f>+Cuenta_Clasificacion[[#This Row],[Codigo Concepto de imputación]]&amp;" - "&amp;Cuenta_Clasificacion[[#This Row],[Nombre Concepto de imputación]]</f>
        <v>10010 - Artículos Eléctricos</v>
      </c>
    </row>
    <row r="29" spans="1:6" x14ac:dyDescent="0.25">
      <c r="A29" s="43">
        <v>4101001</v>
      </c>
      <c r="B29" t="s">
        <v>69</v>
      </c>
      <c r="C29" s="43">
        <v>10011</v>
      </c>
      <c r="D29" t="s">
        <v>2718</v>
      </c>
      <c r="E29" s="47" t="str">
        <f>+Cuenta_Clasificacion[[#This Row],[Código Cuenta Contable]]&amp;" - "&amp;Cuenta_Clasificacion[[#This Row],[Nombre de Cuenta Contable]]</f>
        <v>4101001 - Costos Materiales de Obra</v>
      </c>
      <c r="F29" s="47" t="str">
        <f>+Cuenta_Clasificacion[[#This Row],[Codigo Concepto de imputación]]&amp;" - "&amp;Cuenta_Clasificacion[[#This Row],[Nombre Concepto de imputación]]</f>
        <v>10011 - Artículos Gas</v>
      </c>
    </row>
    <row r="30" spans="1:6" x14ac:dyDescent="0.25">
      <c r="A30" s="43">
        <v>4101001</v>
      </c>
      <c r="B30" t="s">
        <v>69</v>
      </c>
      <c r="C30" s="43">
        <v>10012</v>
      </c>
      <c r="D30" t="s">
        <v>2719</v>
      </c>
      <c r="E30" s="47" t="str">
        <f>+Cuenta_Clasificacion[[#This Row],[Código Cuenta Contable]]&amp;" - "&amp;Cuenta_Clasificacion[[#This Row],[Nombre de Cuenta Contable]]</f>
        <v>4101001 - Costos Materiales de Obra</v>
      </c>
      <c r="F30" s="47" t="str">
        <f>+Cuenta_Clasificacion[[#This Row],[Codigo Concepto de imputación]]&amp;" - "&amp;Cuenta_Clasificacion[[#This Row],[Nombre Concepto de imputación]]</f>
        <v>10012 - Artículos Sanitarios</v>
      </c>
    </row>
    <row r="31" spans="1:6" x14ac:dyDescent="0.25">
      <c r="A31" s="43">
        <v>4101001</v>
      </c>
      <c r="B31" t="s">
        <v>69</v>
      </c>
      <c r="C31" s="43">
        <v>10013</v>
      </c>
      <c r="D31" t="s">
        <v>2720</v>
      </c>
      <c r="E31" s="47" t="str">
        <f>+Cuenta_Clasificacion[[#This Row],[Código Cuenta Contable]]&amp;" - "&amp;Cuenta_Clasificacion[[#This Row],[Nombre de Cuenta Contable]]</f>
        <v>4101001 - Costos Materiales de Obra</v>
      </c>
      <c r="F31" s="47" t="str">
        <f>+Cuenta_Clasificacion[[#This Row],[Codigo Concepto de imputación]]&amp;" - "&amp;Cuenta_Clasificacion[[#This Row],[Nombre Concepto de imputación]]</f>
        <v>10013 - Cables</v>
      </c>
    </row>
    <row r="32" spans="1:6" x14ac:dyDescent="0.25">
      <c r="A32" s="43">
        <v>4101001</v>
      </c>
      <c r="B32" t="s">
        <v>69</v>
      </c>
      <c r="C32" s="43">
        <v>10014</v>
      </c>
      <c r="D32" t="s">
        <v>2721</v>
      </c>
      <c r="E32" s="47" t="str">
        <f>+Cuenta_Clasificacion[[#This Row],[Código Cuenta Contable]]&amp;" - "&amp;Cuenta_Clasificacion[[#This Row],[Nombre de Cuenta Contable]]</f>
        <v>4101001 - Costos Materiales de Obra</v>
      </c>
      <c r="F32" s="47" t="str">
        <f>+Cuenta_Clasificacion[[#This Row],[Codigo Concepto de imputación]]&amp;" - "&amp;Cuenta_Clasificacion[[#This Row],[Nombre Concepto de imputación]]</f>
        <v>10014 - Cadenas</v>
      </c>
    </row>
    <row r="33" spans="1:6" x14ac:dyDescent="0.25">
      <c r="A33" s="43">
        <v>4101001</v>
      </c>
      <c r="B33" t="s">
        <v>69</v>
      </c>
      <c r="C33" s="43">
        <v>10015</v>
      </c>
      <c r="D33" t="s">
        <v>2722</v>
      </c>
      <c r="E33" s="47" t="str">
        <f>+Cuenta_Clasificacion[[#This Row],[Código Cuenta Contable]]&amp;" - "&amp;Cuenta_Clasificacion[[#This Row],[Nombre de Cuenta Contable]]</f>
        <v>4101001 - Costos Materiales de Obra</v>
      </c>
      <c r="F33" s="47" t="str">
        <f>+Cuenta_Clasificacion[[#This Row],[Codigo Concepto de imputación]]&amp;" - "&amp;Cuenta_Clasificacion[[#This Row],[Nombre Concepto de imputación]]</f>
        <v>10015 - Cañerías Acero</v>
      </c>
    </row>
    <row r="34" spans="1:6" x14ac:dyDescent="0.25">
      <c r="A34" s="43">
        <v>4101001</v>
      </c>
      <c r="B34" t="s">
        <v>69</v>
      </c>
      <c r="C34" s="43">
        <v>10016</v>
      </c>
      <c r="D34" t="s">
        <v>2723</v>
      </c>
      <c r="E34" s="47" t="str">
        <f>+Cuenta_Clasificacion[[#This Row],[Código Cuenta Contable]]&amp;" - "&amp;Cuenta_Clasificacion[[#This Row],[Nombre de Cuenta Contable]]</f>
        <v>4101001 - Costos Materiales de Obra</v>
      </c>
      <c r="F34" s="47" t="str">
        <f>+Cuenta_Clasificacion[[#This Row],[Codigo Concepto de imputación]]&amp;" - "&amp;Cuenta_Clasificacion[[#This Row],[Nombre Concepto de imputación]]</f>
        <v>10016 - Cañerías Cobre</v>
      </c>
    </row>
    <row r="35" spans="1:6" x14ac:dyDescent="0.25">
      <c r="A35" s="43">
        <v>4101001</v>
      </c>
      <c r="B35" t="s">
        <v>69</v>
      </c>
      <c r="C35" s="43">
        <v>10017</v>
      </c>
      <c r="D35" t="s">
        <v>2724</v>
      </c>
      <c r="E35" s="47" t="str">
        <f>+Cuenta_Clasificacion[[#This Row],[Código Cuenta Contable]]&amp;" - "&amp;Cuenta_Clasificacion[[#This Row],[Nombre de Cuenta Contable]]</f>
        <v>4101001 - Costos Materiales de Obra</v>
      </c>
      <c r="F35" s="47" t="str">
        <f>+Cuenta_Clasificacion[[#This Row],[Codigo Concepto de imputación]]&amp;" - "&amp;Cuenta_Clasificacion[[#This Row],[Nombre Concepto de imputación]]</f>
        <v>10017 - Cañerías PVC</v>
      </c>
    </row>
    <row r="36" spans="1:6" x14ac:dyDescent="0.25">
      <c r="A36" s="43">
        <v>4101001</v>
      </c>
      <c r="B36" t="s">
        <v>69</v>
      </c>
      <c r="C36" s="43">
        <v>10018</v>
      </c>
      <c r="D36" t="s">
        <v>2725</v>
      </c>
      <c r="E36" s="47" t="str">
        <f>+Cuenta_Clasificacion[[#This Row],[Código Cuenta Contable]]&amp;" - "&amp;Cuenta_Clasificacion[[#This Row],[Nombre de Cuenta Contable]]</f>
        <v>4101001 - Costos Materiales de Obra</v>
      </c>
      <c r="F36" s="47" t="str">
        <f>+Cuenta_Clasificacion[[#This Row],[Codigo Concepto de imputación]]&amp;" - "&amp;Cuenta_Clasificacion[[#This Row],[Nombre Concepto de imputación]]</f>
        <v>10018 - Cementos</v>
      </c>
    </row>
    <row r="37" spans="1:6" x14ac:dyDescent="0.25">
      <c r="A37" s="43">
        <v>4101001</v>
      </c>
      <c r="B37" t="s">
        <v>69</v>
      </c>
      <c r="C37" s="43">
        <v>10019</v>
      </c>
      <c r="D37" t="s">
        <v>2726</v>
      </c>
      <c r="E37" s="47" t="str">
        <f>+Cuenta_Clasificacion[[#This Row],[Código Cuenta Contable]]&amp;" - "&amp;Cuenta_Clasificacion[[#This Row],[Nombre de Cuenta Contable]]</f>
        <v>4101001 - Costos Materiales de Obra</v>
      </c>
      <c r="F37" s="47" t="str">
        <f>+Cuenta_Clasificacion[[#This Row],[Codigo Concepto de imputación]]&amp;" - "&amp;Cuenta_Clasificacion[[#This Row],[Nombre Concepto de imputación]]</f>
        <v>10019 - Cerámicos y Baldosas</v>
      </c>
    </row>
    <row r="38" spans="1:6" x14ac:dyDescent="0.25">
      <c r="A38" s="43">
        <v>4101001</v>
      </c>
      <c r="B38" t="s">
        <v>69</v>
      </c>
      <c r="C38" s="43">
        <v>10020</v>
      </c>
      <c r="D38" t="s">
        <v>2727</v>
      </c>
      <c r="E38" s="47" t="str">
        <f>+Cuenta_Clasificacion[[#This Row],[Código Cuenta Contable]]&amp;" - "&amp;Cuenta_Clasificacion[[#This Row],[Nombre de Cuenta Contable]]</f>
        <v>4101001 - Costos Materiales de Obra</v>
      </c>
      <c r="F38" s="47" t="str">
        <f>+Cuenta_Clasificacion[[#This Row],[Codigo Concepto de imputación]]&amp;" - "&amp;Cuenta_Clasificacion[[#This Row],[Nombre Concepto de imputación]]</f>
        <v>10020 - Cielo Modular</v>
      </c>
    </row>
    <row r="39" spans="1:6" x14ac:dyDescent="0.25">
      <c r="A39" s="43">
        <v>4101001</v>
      </c>
      <c r="B39" t="s">
        <v>69</v>
      </c>
      <c r="C39" s="43">
        <v>10021</v>
      </c>
      <c r="D39" t="s">
        <v>2728</v>
      </c>
      <c r="E39" s="47" t="str">
        <f>+Cuenta_Clasificacion[[#This Row],[Código Cuenta Contable]]&amp;" - "&amp;Cuenta_Clasificacion[[#This Row],[Nombre de Cuenta Contable]]</f>
        <v>4101001 - Costos Materiales de Obra</v>
      </c>
      <c r="F39" s="47" t="str">
        <f>+Cuenta_Clasificacion[[#This Row],[Codigo Concepto de imputación]]&amp;" - "&amp;Cuenta_Clasificacion[[#This Row],[Nombre Concepto de imputación]]</f>
        <v>10021 - Cierros</v>
      </c>
    </row>
    <row r="40" spans="1:6" x14ac:dyDescent="0.25">
      <c r="A40" s="43">
        <v>4101001</v>
      </c>
      <c r="B40" t="s">
        <v>69</v>
      </c>
      <c r="C40" s="43">
        <v>10022</v>
      </c>
      <c r="D40" t="s">
        <v>2729</v>
      </c>
      <c r="E40" s="47" t="str">
        <f>+Cuenta_Clasificacion[[#This Row],[Código Cuenta Contable]]&amp;" - "&amp;Cuenta_Clasificacion[[#This Row],[Nombre de Cuenta Contable]]</f>
        <v>4101001 - Costos Materiales de Obra</v>
      </c>
      <c r="F40" s="47" t="str">
        <f>+Cuenta_Clasificacion[[#This Row],[Codigo Concepto de imputación]]&amp;" - "&amp;Cuenta_Clasificacion[[#This Row],[Nombre Concepto de imputación]]</f>
        <v>10022 - Combustibles</v>
      </c>
    </row>
    <row r="41" spans="1:6" x14ac:dyDescent="0.25">
      <c r="A41" s="43">
        <v>4101001</v>
      </c>
      <c r="B41" t="s">
        <v>69</v>
      </c>
      <c r="C41" s="43">
        <v>10023</v>
      </c>
      <c r="D41" t="s">
        <v>2730</v>
      </c>
      <c r="E41" s="47" t="str">
        <f>+Cuenta_Clasificacion[[#This Row],[Código Cuenta Contable]]&amp;" - "&amp;Cuenta_Clasificacion[[#This Row],[Nombre de Cuenta Contable]]</f>
        <v>4101001 - Costos Materiales de Obra</v>
      </c>
      <c r="F41" s="47" t="str">
        <f>+Cuenta_Clasificacion[[#This Row],[Codigo Concepto de imputación]]&amp;" - "&amp;Cuenta_Clasificacion[[#This Row],[Nombre Concepto de imputación]]</f>
        <v>10023 - Cubrejuntas y Dilataciones</v>
      </c>
    </row>
    <row r="42" spans="1:6" x14ac:dyDescent="0.25">
      <c r="A42" s="43">
        <v>4101001</v>
      </c>
      <c r="B42" t="s">
        <v>69</v>
      </c>
      <c r="C42" s="43">
        <v>10024</v>
      </c>
      <c r="D42" t="s">
        <v>2731</v>
      </c>
      <c r="E42" s="47" t="str">
        <f>+Cuenta_Clasificacion[[#This Row],[Código Cuenta Contable]]&amp;" - "&amp;Cuenta_Clasificacion[[#This Row],[Nombre de Cuenta Contable]]</f>
        <v>4101001 - Costos Materiales de Obra</v>
      </c>
      <c r="F42" s="47" t="str">
        <f>+Cuenta_Clasificacion[[#This Row],[Codigo Concepto de imputación]]&amp;" - "&amp;Cuenta_Clasificacion[[#This Row],[Nombre Concepto de imputación]]</f>
        <v>10024 - Dren</v>
      </c>
    </row>
    <row r="43" spans="1:6" x14ac:dyDescent="0.25">
      <c r="A43" s="43">
        <v>4101001</v>
      </c>
      <c r="B43" t="s">
        <v>69</v>
      </c>
      <c r="C43" s="43">
        <v>10025</v>
      </c>
      <c r="D43" t="s">
        <v>2732</v>
      </c>
      <c r="E43" s="47" t="str">
        <f>+Cuenta_Clasificacion[[#This Row],[Código Cuenta Contable]]&amp;" - "&amp;Cuenta_Clasificacion[[#This Row],[Nombre de Cuenta Contable]]</f>
        <v>4101001 - Costos Materiales de Obra</v>
      </c>
      <c r="F43" s="47" t="str">
        <f>+Cuenta_Clasificacion[[#This Row],[Codigo Concepto de imputación]]&amp;" - "&amp;Cuenta_Clasificacion[[#This Row],[Nombre Concepto de imputación]]</f>
        <v>10025 - Elementos Seguridad</v>
      </c>
    </row>
    <row r="44" spans="1:6" x14ac:dyDescent="0.25">
      <c r="A44" s="43">
        <v>4101001</v>
      </c>
      <c r="B44" t="s">
        <v>69</v>
      </c>
      <c r="C44" s="43">
        <v>10026</v>
      </c>
      <c r="D44" t="s">
        <v>2733</v>
      </c>
      <c r="E44" s="47" t="str">
        <f>+Cuenta_Clasificacion[[#This Row],[Código Cuenta Contable]]&amp;" - "&amp;Cuenta_Clasificacion[[#This Row],[Nombre de Cuenta Contable]]</f>
        <v>4101001 - Costos Materiales de Obra</v>
      </c>
      <c r="F44" s="47" t="str">
        <f>+Cuenta_Clasificacion[[#This Row],[Codigo Concepto de imputación]]&amp;" - "&amp;Cuenta_Clasificacion[[#This Row],[Nombre Concepto de imputación]]</f>
        <v>10026 - Ensayos</v>
      </c>
    </row>
    <row r="45" spans="1:6" x14ac:dyDescent="0.25">
      <c r="A45" s="43">
        <v>4101001</v>
      </c>
      <c r="B45" t="s">
        <v>69</v>
      </c>
      <c r="C45" s="43">
        <v>10027</v>
      </c>
      <c r="D45" t="s">
        <v>2734</v>
      </c>
      <c r="E45" s="47" t="str">
        <f>+Cuenta_Clasificacion[[#This Row],[Código Cuenta Contable]]&amp;" - "&amp;Cuenta_Clasificacion[[#This Row],[Nombre de Cuenta Contable]]</f>
        <v>4101001 - Costos Materiales de Obra</v>
      </c>
      <c r="F45" s="47" t="str">
        <f>+Cuenta_Clasificacion[[#This Row],[Codigo Concepto de imputación]]&amp;" - "&amp;Cuenta_Clasificacion[[#This Row],[Nombre Concepto de imputación]]</f>
        <v>10027 - Eq Comp/Eléct Oficina</v>
      </c>
    </row>
    <row r="46" spans="1:6" x14ac:dyDescent="0.25">
      <c r="A46" s="43">
        <v>4101001</v>
      </c>
      <c r="B46" t="s">
        <v>69</v>
      </c>
      <c r="C46" s="43">
        <v>10028</v>
      </c>
      <c r="D46" t="s">
        <v>2696</v>
      </c>
      <c r="E46" s="47" t="str">
        <f>+Cuenta_Clasificacion[[#This Row],[Código Cuenta Contable]]&amp;" - "&amp;Cuenta_Clasificacion[[#This Row],[Nombre de Cuenta Contable]]</f>
        <v>4101001 - Costos Materiales de Obra</v>
      </c>
      <c r="F46" s="47" t="str">
        <f>+Cuenta_Clasificacion[[#This Row],[Codigo Concepto de imputación]]&amp;" - "&amp;Cuenta_Clasificacion[[#This Row],[Nombre Concepto de imputación]]</f>
        <v>10028 - Equipamiento</v>
      </c>
    </row>
    <row r="47" spans="1:6" x14ac:dyDescent="0.25">
      <c r="A47" s="43">
        <v>4101001</v>
      </c>
      <c r="B47" t="s">
        <v>69</v>
      </c>
      <c r="C47" s="43">
        <v>10029</v>
      </c>
      <c r="D47" t="s">
        <v>2735</v>
      </c>
      <c r="E47" s="47" t="str">
        <f>+Cuenta_Clasificacion[[#This Row],[Código Cuenta Contable]]&amp;" - "&amp;Cuenta_Clasificacion[[#This Row],[Nombre de Cuenta Contable]]</f>
        <v>4101001 - Costos Materiales de Obra</v>
      </c>
      <c r="F47" s="47" t="str">
        <f>+Cuenta_Clasificacion[[#This Row],[Codigo Concepto de imputación]]&amp;" - "&amp;Cuenta_Clasificacion[[#This Row],[Nombre Concepto de imputación]]</f>
        <v>10029 - Estructura Volcometal</v>
      </c>
    </row>
    <row r="48" spans="1:6" x14ac:dyDescent="0.25">
      <c r="A48" s="43">
        <v>4101001</v>
      </c>
      <c r="B48" t="s">
        <v>69</v>
      </c>
      <c r="C48" s="43">
        <v>10030</v>
      </c>
      <c r="D48" t="s">
        <v>2736</v>
      </c>
      <c r="E48" s="47" t="str">
        <f>+Cuenta_Clasificacion[[#This Row],[Código Cuenta Contable]]&amp;" - "&amp;Cuenta_Clasificacion[[#This Row],[Nombre de Cuenta Contable]]</f>
        <v>4101001 - Costos Materiales de Obra</v>
      </c>
      <c r="F48" s="47" t="str">
        <f>+Cuenta_Clasificacion[[#This Row],[Codigo Concepto de imputación]]&amp;" - "&amp;Cuenta_Clasificacion[[#This Row],[Nombre Concepto de imputación]]</f>
        <v>10030 - Eventos y Recreac. Obra</v>
      </c>
    </row>
    <row r="49" spans="1:6" x14ac:dyDescent="0.25">
      <c r="A49" s="43">
        <v>4101001</v>
      </c>
      <c r="B49" t="s">
        <v>69</v>
      </c>
      <c r="C49" s="43">
        <v>10031</v>
      </c>
      <c r="D49" t="s">
        <v>2737</v>
      </c>
      <c r="E49" s="47" t="str">
        <f>+Cuenta_Clasificacion[[#This Row],[Código Cuenta Contable]]&amp;" - "&amp;Cuenta_Clasificacion[[#This Row],[Nombre de Cuenta Contable]]</f>
        <v>4101001 - Costos Materiales de Obra</v>
      </c>
      <c r="F49" s="47" t="str">
        <f>+Cuenta_Clasificacion[[#This Row],[Codigo Concepto de imputación]]&amp;" - "&amp;Cuenta_Clasificacion[[#This Row],[Nombre Concepto de imputación]]</f>
        <v>10031 - Extracción Basura y Escombros</v>
      </c>
    </row>
    <row r="50" spans="1:6" x14ac:dyDescent="0.25">
      <c r="A50" s="43">
        <v>4101001</v>
      </c>
      <c r="B50" t="s">
        <v>69</v>
      </c>
      <c r="C50" s="43">
        <v>10032</v>
      </c>
      <c r="D50" t="s">
        <v>2738</v>
      </c>
      <c r="E50" s="47" t="str">
        <f>+Cuenta_Clasificacion[[#This Row],[Código Cuenta Contable]]&amp;" - "&amp;Cuenta_Clasificacion[[#This Row],[Nombre de Cuenta Contable]]</f>
        <v>4101001 - Costos Materiales de Obra</v>
      </c>
      <c r="F50" s="47" t="str">
        <f>+Cuenta_Clasificacion[[#This Row],[Codigo Concepto de imputación]]&amp;" - "&amp;Cuenta_Clasificacion[[#This Row],[Nombre Concepto de imputación]]</f>
        <v>10032 - Fieltros y Barreras</v>
      </c>
    </row>
    <row r="51" spans="1:6" x14ac:dyDescent="0.25">
      <c r="A51" s="43">
        <v>4101001</v>
      </c>
      <c r="B51" t="s">
        <v>69</v>
      </c>
      <c r="C51" s="43">
        <v>10033</v>
      </c>
      <c r="D51" t="s">
        <v>2739</v>
      </c>
      <c r="E51" s="47" t="str">
        <f>+Cuenta_Clasificacion[[#This Row],[Código Cuenta Contable]]&amp;" - "&amp;Cuenta_Clasificacion[[#This Row],[Nombre de Cuenta Contable]]</f>
        <v>4101001 - Costos Materiales de Obra</v>
      </c>
      <c r="F51" s="47" t="str">
        <f>+Cuenta_Clasificacion[[#This Row],[Codigo Concepto de imputación]]&amp;" - "&amp;Cuenta_Clasificacion[[#This Row],[Nombre Concepto de imputación]]</f>
        <v>10033 - Fierro</v>
      </c>
    </row>
    <row r="52" spans="1:6" x14ac:dyDescent="0.25">
      <c r="A52" s="43">
        <v>4101001</v>
      </c>
      <c r="B52" t="s">
        <v>69</v>
      </c>
      <c r="C52" s="43">
        <v>10034</v>
      </c>
      <c r="D52" t="s">
        <v>2740</v>
      </c>
      <c r="E52" s="47" t="str">
        <f>+Cuenta_Clasificacion[[#This Row],[Código Cuenta Contable]]&amp;" - "&amp;Cuenta_Clasificacion[[#This Row],[Nombre de Cuenta Contable]]</f>
        <v>4101001 - Costos Materiales de Obra</v>
      </c>
      <c r="F52" s="47" t="str">
        <f>+Cuenta_Clasificacion[[#This Row],[Codigo Concepto de imputación]]&amp;" - "&amp;Cuenta_Clasificacion[[#This Row],[Nombre Concepto de imputación]]</f>
        <v>10034 - Fierro Redondo Liso</v>
      </c>
    </row>
    <row r="53" spans="1:6" x14ac:dyDescent="0.25">
      <c r="A53" s="43">
        <v>4101001</v>
      </c>
      <c r="B53" t="s">
        <v>69</v>
      </c>
      <c r="C53" s="43">
        <v>10035</v>
      </c>
      <c r="D53" t="s">
        <v>2741</v>
      </c>
      <c r="E53" s="47" t="str">
        <f>+Cuenta_Clasificacion[[#This Row],[Código Cuenta Contable]]&amp;" - "&amp;Cuenta_Clasificacion[[#This Row],[Nombre de Cuenta Contable]]</f>
        <v>4101001 - Costos Materiales de Obra</v>
      </c>
      <c r="F53" s="47" t="str">
        <f>+Cuenta_Clasificacion[[#This Row],[Codigo Concepto de imputación]]&amp;" - "&amp;Cuenta_Clasificacion[[#This Row],[Nombre Concepto de imputación]]</f>
        <v>10035 - Fijaciones</v>
      </c>
    </row>
    <row r="54" spans="1:6" x14ac:dyDescent="0.25">
      <c r="A54" s="43">
        <v>4101001</v>
      </c>
      <c r="B54" t="s">
        <v>69</v>
      </c>
      <c r="C54" s="43">
        <v>10036</v>
      </c>
      <c r="D54" t="s">
        <v>2742</v>
      </c>
      <c r="E54" s="47" t="str">
        <f>+Cuenta_Clasificacion[[#This Row],[Código Cuenta Contable]]&amp;" - "&amp;Cuenta_Clasificacion[[#This Row],[Nombre de Cuenta Contable]]</f>
        <v>4101001 - Costos Materiales de Obra</v>
      </c>
      <c r="F54" s="47" t="str">
        <f>+Cuenta_Clasificacion[[#This Row],[Codigo Concepto de imputación]]&amp;" - "&amp;Cuenta_Clasificacion[[#This Row],[Nombre Concepto de imputación]]</f>
        <v>10036 - Fitting</v>
      </c>
    </row>
    <row r="55" spans="1:6" x14ac:dyDescent="0.25">
      <c r="A55" s="43">
        <v>4101001</v>
      </c>
      <c r="B55" t="s">
        <v>69</v>
      </c>
      <c r="C55" s="43">
        <v>10037</v>
      </c>
      <c r="D55" t="s">
        <v>2743</v>
      </c>
      <c r="E55" s="47" t="str">
        <f>+Cuenta_Clasificacion[[#This Row],[Código Cuenta Contable]]&amp;" - "&amp;Cuenta_Clasificacion[[#This Row],[Nombre de Cuenta Contable]]</f>
        <v>4101001 - Costos Materiales de Obra</v>
      </c>
      <c r="F55" s="47" t="str">
        <f>+Cuenta_Clasificacion[[#This Row],[Codigo Concepto de imputación]]&amp;" - "&amp;Cuenta_Clasificacion[[#This Row],[Nombre Concepto de imputación]]</f>
        <v>10037 - Flete Perfiles</v>
      </c>
    </row>
    <row r="56" spans="1:6" x14ac:dyDescent="0.25">
      <c r="A56" s="43">
        <v>4101001</v>
      </c>
      <c r="B56" t="s">
        <v>69</v>
      </c>
      <c r="C56" s="43">
        <v>10038</v>
      </c>
      <c r="D56" t="s">
        <v>2697</v>
      </c>
      <c r="E56" s="47" t="str">
        <f>+Cuenta_Clasificacion[[#This Row],[Código Cuenta Contable]]&amp;" - "&amp;Cuenta_Clasificacion[[#This Row],[Nombre de Cuenta Contable]]</f>
        <v>4101001 - Costos Materiales de Obra</v>
      </c>
      <c r="F56" s="47" t="str">
        <f>+Cuenta_Clasificacion[[#This Row],[Codigo Concepto de imputación]]&amp;" - "&amp;Cuenta_Clasificacion[[#This Row],[Nombre Concepto de imputación]]</f>
        <v>10038 - Fletes (por orden de compra)</v>
      </c>
    </row>
    <row r="57" spans="1:6" x14ac:dyDescent="0.25">
      <c r="A57" s="43">
        <v>4101001</v>
      </c>
      <c r="B57" t="s">
        <v>69</v>
      </c>
      <c r="C57" s="43">
        <v>10039</v>
      </c>
      <c r="D57" t="s">
        <v>2744</v>
      </c>
      <c r="E57" s="47" t="str">
        <f>+Cuenta_Clasificacion[[#This Row],[Código Cuenta Contable]]&amp;" - "&amp;Cuenta_Clasificacion[[#This Row],[Nombre de Cuenta Contable]]</f>
        <v>4101001 - Costos Materiales de Obra</v>
      </c>
      <c r="F57" s="47" t="str">
        <f>+Cuenta_Clasificacion[[#This Row],[Codigo Concepto de imputación]]&amp;" - "&amp;Cuenta_Clasificacion[[#This Row],[Nombre Concepto de imputación]]</f>
        <v>10039 - Grifería</v>
      </c>
    </row>
    <row r="58" spans="1:6" x14ac:dyDescent="0.25">
      <c r="A58" s="43">
        <v>4101001</v>
      </c>
      <c r="B58" t="s">
        <v>69</v>
      </c>
      <c r="C58" s="43">
        <v>10040</v>
      </c>
      <c r="D58" t="s">
        <v>2745</v>
      </c>
      <c r="E58" s="47" t="str">
        <f>+Cuenta_Clasificacion[[#This Row],[Código Cuenta Contable]]&amp;" - "&amp;Cuenta_Clasificacion[[#This Row],[Nombre de Cuenta Contable]]</f>
        <v>4101001 - Costos Materiales de Obra</v>
      </c>
      <c r="F58" s="47" t="str">
        <f>+Cuenta_Clasificacion[[#This Row],[Codigo Concepto de imputación]]&amp;" - "&amp;Cuenta_Clasificacion[[#This Row],[Nombre Concepto de imputación]]</f>
        <v>10040 - Herramientas</v>
      </c>
    </row>
    <row r="59" spans="1:6" x14ac:dyDescent="0.25">
      <c r="A59" s="43">
        <v>4101001</v>
      </c>
      <c r="B59" t="s">
        <v>69</v>
      </c>
      <c r="C59" s="43">
        <v>10041</v>
      </c>
      <c r="D59" t="s">
        <v>2746</v>
      </c>
      <c r="E59" s="47" t="str">
        <f>+Cuenta_Clasificacion[[#This Row],[Código Cuenta Contable]]&amp;" - "&amp;Cuenta_Clasificacion[[#This Row],[Nombre de Cuenta Contable]]</f>
        <v>4101001 - Costos Materiales de Obra</v>
      </c>
      <c r="F59" s="47" t="str">
        <f>+Cuenta_Clasificacion[[#This Row],[Codigo Concepto de imputación]]&amp;" - "&amp;Cuenta_Clasificacion[[#This Row],[Nombre Concepto de imputación]]</f>
        <v>10041 - Hojalatería y Techumbres</v>
      </c>
    </row>
    <row r="60" spans="1:6" x14ac:dyDescent="0.25">
      <c r="A60" s="43">
        <v>4101001</v>
      </c>
      <c r="B60" t="s">
        <v>69</v>
      </c>
      <c r="C60" s="43">
        <v>10042</v>
      </c>
      <c r="D60" t="s">
        <v>2698</v>
      </c>
      <c r="E60" s="47" t="str">
        <f>+Cuenta_Clasificacion[[#This Row],[Código Cuenta Contable]]&amp;" - "&amp;Cuenta_Clasificacion[[#This Row],[Nombre de Cuenta Contable]]</f>
        <v>4101001 - Costos Materiales de Obra</v>
      </c>
      <c r="F60" s="47" t="str">
        <f>+Cuenta_Clasificacion[[#This Row],[Codigo Concepto de imputación]]&amp;" - "&amp;Cuenta_Clasificacion[[#This Row],[Nombre Concepto de imputación]]</f>
        <v>10042 - Hormigones</v>
      </c>
    </row>
    <row r="61" spans="1:6" x14ac:dyDescent="0.25">
      <c r="A61" s="43">
        <v>4101001</v>
      </c>
      <c r="B61" t="s">
        <v>69</v>
      </c>
      <c r="C61" s="43">
        <v>10043</v>
      </c>
      <c r="D61" t="s">
        <v>2747</v>
      </c>
      <c r="E61" s="47" t="str">
        <f>+Cuenta_Clasificacion[[#This Row],[Código Cuenta Contable]]&amp;" - "&amp;Cuenta_Clasificacion[[#This Row],[Nombre de Cuenta Contable]]</f>
        <v>4101001 - Costos Materiales de Obra</v>
      </c>
      <c r="F61" s="47" t="str">
        <f>+Cuenta_Clasificacion[[#This Row],[Codigo Concepto de imputación]]&amp;" - "&amp;Cuenta_Clasificacion[[#This Row],[Nombre Concepto de imputación]]</f>
        <v>10043 - Hta Menor</v>
      </c>
    </row>
    <row r="62" spans="1:6" x14ac:dyDescent="0.25">
      <c r="A62" s="43">
        <v>4101001</v>
      </c>
      <c r="B62" t="s">
        <v>69</v>
      </c>
      <c r="C62" s="43">
        <v>10044</v>
      </c>
      <c r="D62" t="s">
        <v>2748</v>
      </c>
      <c r="E62" s="47" t="str">
        <f>+Cuenta_Clasificacion[[#This Row],[Código Cuenta Contable]]&amp;" - "&amp;Cuenta_Clasificacion[[#This Row],[Nombre de Cuenta Contable]]</f>
        <v>4101001 - Costos Materiales de Obra</v>
      </c>
      <c r="F62" s="47" t="str">
        <f>+Cuenta_Clasificacion[[#This Row],[Codigo Concepto de imputación]]&amp;" - "&amp;Cuenta_Clasificacion[[#This Row],[Nombre Concepto de imputación]]</f>
        <v>10044 - Incendio y Alarmas</v>
      </c>
    </row>
    <row r="63" spans="1:6" x14ac:dyDescent="0.25">
      <c r="A63" s="43">
        <v>4101001</v>
      </c>
      <c r="B63" t="s">
        <v>69</v>
      </c>
      <c r="C63" s="43">
        <v>10045</v>
      </c>
      <c r="D63" t="s">
        <v>2749</v>
      </c>
      <c r="E63" s="47" t="str">
        <f>+Cuenta_Clasificacion[[#This Row],[Código Cuenta Contable]]&amp;" - "&amp;Cuenta_Clasificacion[[#This Row],[Nombre de Cuenta Contable]]</f>
        <v>4101001 - Costos Materiales de Obra</v>
      </c>
      <c r="F63" s="47" t="str">
        <f>+Cuenta_Clasificacion[[#This Row],[Codigo Concepto de imputación]]&amp;" - "&amp;Cuenta_Clasificacion[[#This Row],[Nombre Concepto de imputación]]</f>
        <v>10045 - Insumos</v>
      </c>
    </row>
    <row r="64" spans="1:6" x14ac:dyDescent="0.25">
      <c r="A64" s="43">
        <v>4101001</v>
      </c>
      <c r="B64" t="s">
        <v>69</v>
      </c>
      <c r="C64" s="43">
        <v>10046</v>
      </c>
      <c r="D64" t="s">
        <v>2750</v>
      </c>
      <c r="E64" s="47" t="str">
        <f>+Cuenta_Clasificacion[[#This Row],[Código Cuenta Contable]]&amp;" - "&amp;Cuenta_Clasificacion[[#This Row],[Nombre de Cuenta Contable]]</f>
        <v>4101001 - Costos Materiales de Obra</v>
      </c>
      <c r="F64" s="47" t="str">
        <f>+Cuenta_Clasificacion[[#This Row],[Codigo Concepto de imputación]]&amp;" - "&amp;Cuenta_Clasificacion[[#This Row],[Nombre Concepto de imputación]]</f>
        <v>10046 - Izaje</v>
      </c>
    </row>
    <row r="65" spans="1:6" x14ac:dyDescent="0.25">
      <c r="A65" s="43">
        <v>4101001</v>
      </c>
      <c r="B65" t="s">
        <v>69</v>
      </c>
      <c r="C65" s="43">
        <v>10047</v>
      </c>
      <c r="D65" t="s">
        <v>2751</v>
      </c>
      <c r="E65" s="47" t="str">
        <f>+Cuenta_Clasificacion[[#This Row],[Código Cuenta Contable]]&amp;" - "&amp;Cuenta_Clasificacion[[#This Row],[Nombre de Cuenta Contable]]</f>
        <v>4101001 - Costos Materiales de Obra</v>
      </c>
      <c r="F65" s="47" t="str">
        <f>+Cuenta_Clasificacion[[#This Row],[Codigo Concepto de imputación]]&amp;" - "&amp;Cuenta_Clasificacion[[#This Row],[Nombre Concepto de imputación]]</f>
        <v>10047 - Jardinería</v>
      </c>
    </row>
    <row r="66" spans="1:6" x14ac:dyDescent="0.25">
      <c r="A66" s="43">
        <v>4101001</v>
      </c>
      <c r="B66" t="s">
        <v>69</v>
      </c>
      <c r="C66" s="43">
        <v>10048</v>
      </c>
      <c r="D66" t="s">
        <v>2752</v>
      </c>
      <c r="E66" s="47" t="str">
        <f>+Cuenta_Clasificacion[[#This Row],[Código Cuenta Contable]]&amp;" - "&amp;Cuenta_Clasificacion[[#This Row],[Nombre de Cuenta Contable]]</f>
        <v>4101001 - Costos Materiales de Obra</v>
      </c>
      <c r="F66" s="47" t="str">
        <f>+Cuenta_Clasificacion[[#This Row],[Codigo Concepto de imputación]]&amp;" - "&amp;Cuenta_Clasificacion[[#This Row],[Nombre Concepto de imputación]]</f>
        <v>10048 - Ladrillos</v>
      </c>
    </row>
    <row r="67" spans="1:6" x14ac:dyDescent="0.25">
      <c r="A67" s="43">
        <v>4101001</v>
      </c>
      <c r="B67" t="s">
        <v>69</v>
      </c>
      <c r="C67" s="43">
        <v>10049</v>
      </c>
      <c r="D67" t="s">
        <v>2753</v>
      </c>
      <c r="E67" s="47" t="str">
        <f>+Cuenta_Clasificacion[[#This Row],[Código Cuenta Contable]]&amp;" - "&amp;Cuenta_Clasificacion[[#This Row],[Nombre de Cuenta Contable]]</f>
        <v>4101001 - Costos Materiales de Obra</v>
      </c>
      <c r="F67" s="47" t="str">
        <f>+Cuenta_Clasificacion[[#This Row],[Codigo Concepto de imputación]]&amp;" - "&amp;Cuenta_Clasificacion[[#This Row],[Nombre Concepto de imputación]]</f>
        <v>10049 - Licencias Softwares</v>
      </c>
    </row>
    <row r="68" spans="1:6" x14ac:dyDescent="0.25">
      <c r="A68" s="43">
        <v>4101001</v>
      </c>
      <c r="B68" t="s">
        <v>69</v>
      </c>
      <c r="C68" s="43">
        <v>10050</v>
      </c>
      <c r="D68" t="s">
        <v>2754</v>
      </c>
      <c r="E68" s="47" t="str">
        <f>+Cuenta_Clasificacion[[#This Row],[Código Cuenta Contable]]&amp;" - "&amp;Cuenta_Clasificacion[[#This Row],[Nombre de Cuenta Contable]]</f>
        <v>4101001 - Costos Materiales de Obra</v>
      </c>
      <c r="F68" s="47" t="str">
        <f>+Cuenta_Clasificacion[[#This Row],[Codigo Concepto de imputación]]&amp;" - "&amp;Cuenta_Clasificacion[[#This Row],[Nombre Concepto de imputación]]</f>
        <v>10050 - Lubricantes</v>
      </c>
    </row>
    <row r="69" spans="1:6" x14ac:dyDescent="0.25">
      <c r="A69" s="43">
        <v>4101001</v>
      </c>
      <c r="B69" t="s">
        <v>69</v>
      </c>
      <c r="C69" s="43">
        <v>10051</v>
      </c>
      <c r="D69" t="s">
        <v>2755</v>
      </c>
      <c r="E69" s="47" t="str">
        <f>+Cuenta_Clasificacion[[#This Row],[Código Cuenta Contable]]&amp;" - "&amp;Cuenta_Clasificacion[[#This Row],[Nombre de Cuenta Contable]]</f>
        <v>4101001 - Costos Materiales de Obra</v>
      </c>
      <c r="F69" s="47" t="str">
        <f>+Cuenta_Clasificacion[[#This Row],[Codigo Concepto de imputación]]&amp;" - "&amp;Cuenta_Clasificacion[[#This Row],[Nombre Concepto de imputación]]</f>
        <v>10051 - Luminarias</v>
      </c>
    </row>
    <row r="70" spans="1:6" x14ac:dyDescent="0.25">
      <c r="A70" s="43">
        <v>4101001</v>
      </c>
      <c r="B70" t="s">
        <v>69</v>
      </c>
      <c r="C70" s="43">
        <v>10052</v>
      </c>
      <c r="D70" t="s">
        <v>2756</v>
      </c>
      <c r="E70" s="47" t="str">
        <f>+Cuenta_Clasificacion[[#This Row],[Código Cuenta Contable]]&amp;" - "&amp;Cuenta_Clasificacion[[#This Row],[Nombre de Cuenta Contable]]</f>
        <v>4101001 - Costos Materiales de Obra</v>
      </c>
      <c r="F70" s="47" t="str">
        <f>+Cuenta_Clasificacion[[#This Row],[Codigo Concepto de imputación]]&amp;" - "&amp;Cuenta_Clasificacion[[#This Row],[Nombre Concepto de imputación]]</f>
        <v>10052 - Maderas</v>
      </c>
    </row>
    <row r="71" spans="1:6" x14ac:dyDescent="0.25">
      <c r="A71" s="43">
        <v>4101001</v>
      </c>
      <c r="B71" t="s">
        <v>69</v>
      </c>
      <c r="C71" s="43">
        <v>10053</v>
      </c>
      <c r="D71" t="s">
        <v>2757</v>
      </c>
      <c r="E71" s="47" t="str">
        <f>+Cuenta_Clasificacion[[#This Row],[Código Cuenta Contable]]&amp;" - "&amp;Cuenta_Clasificacion[[#This Row],[Nombre de Cuenta Contable]]</f>
        <v>4101001 - Costos Materiales de Obra</v>
      </c>
      <c r="F71" s="47" t="str">
        <f>+Cuenta_Clasificacion[[#This Row],[Codigo Concepto de imputación]]&amp;" - "&amp;Cuenta_Clasificacion[[#This Row],[Nombre Concepto de imputación]]</f>
        <v>10053 - Malla Acma</v>
      </c>
    </row>
    <row r="72" spans="1:6" x14ac:dyDescent="0.25">
      <c r="A72" s="43">
        <v>4101001</v>
      </c>
      <c r="B72" t="s">
        <v>69</v>
      </c>
      <c r="C72" s="43">
        <v>10054</v>
      </c>
      <c r="D72" t="s">
        <v>2758</v>
      </c>
      <c r="E72" s="47" t="str">
        <f>+Cuenta_Clasificacion[[#This Row],[Código Cuenta Contable]]&amp;" - "&amp;Cuenta_Clasificacion[[#This Row],[Nombre de Cuenta Contable]]</f>
        <v>4101001 - Costos Materiales de Obra</v>
      </c>
      <c r="F72" s="47" t="str">
        <f>+Cuenta_Clasificacion[[#This Row],[Codigo Concepto de imputación]]&amp;" - "&amp;Cuenta_Clasificacion[[#This Row],[Nombre Concepto de imputación]]</f>
        <v>10054 - Malla Raschel</v>
      </c>
    </row>
    <row r="73" spans="1:6" x14ac:dyDescent="0.25">
      <c r="A73" s="43">
        <v>4101001</v>
      </c>
      <c r="B73" t="s">
        <v>69</v>
      </c>
      <c r="C73" s="43">
        <v>10055</v>
      </c>
      <c r="D73" t="s">
        <v>2759</v>
      </c>
      <c r="E73" s="47" t="str">
        <f>+Cuenta_Clasificacion[[#This Row],[Código Cuenta Contable]]&amp;" - "&amp;Cuenta_Clasificacion[[#This Row],[Nombre de Cuenta Contable]]</f>
        <v>4101001 - Costos Materiales de Obra</v>
      </c>
      <c r="F73" s="47" t="str">
        <f>+Cuenta_Clasificacion[[#This Row],[Codigo Concepto de imputación]]&amp;" - "&amp;Cuenta_Clasificacion[[#This Row],[Nombre Concepto de imputación]]</f>
        <v>10055 - Mallas Varias</v>
      </c>
    </row>
    <row r="74" spans="1:6" x14ac:dyDescent="0.25">
      <c r="A74" s="43">
        <v>4101001</v>
      </c>
      <c r="B74" t="s">
        <v>69</v>
      </c>
      <c r="C74" s="43">
        <v>10056</v>
      </c>
      <c r="D74" t="s">
        <v>2760</v>
      </c>
      <c r="E74" s="47" t="str">
        <f>+Cuenta_Clasificacion[[#This Row],[Código Cuenta Contable]]&amp;" - "&amp;Cuenta_Clasificacion[[#This Row],[Nombre de Cuenta Contable]]</f>
        <v>4101001 - Costos Materiales de Obra</v>
      </c>
      <c r="F74" s="47" t="str">
        <f>+Cuenta_Clasificacion[[#This Row],[Codigo Concepto de imputación]]&amp;" - "&amp;Cuenta_Clasificacion[[#This Row],[Nombre Concepto de imputación]]</f>
        <v>10056 - Mangueras</v>
      </c>
    </row>
    <row r="75" spans="1:6" x14ac:dyDescent="0.25">
      <c r="A75" s="43">
        <v>4101001</v>
      </c>
      <c r="B75" t="s">
        <v>69</v>
      </c>
      <c r="C75" s="43">
        <v>10057</v>
      </c>
      <c r="D75" t="s">
        <v>2761</v>
      </c>
      <c r="E75" s="47" t="str">
        <f>+Cuenta_Clasificacion[[#This Row],[Código Cuenta Contable]]&amp;" - "&amp;Cuenta_Clasificacion[[#This Row],[Nombre de Cuenta Contable]]</f>
        <v>4101001 - Costos Materiales de Obra</v>
      </c>
      <c r="F75" s="47" t="str">
        <f>+Cuenta_Clasificacion[[#This Row],[Codigo Concepto de imputación]]&amp;" - "&amp;Cuenta_Clasificacion[[#This Row],[Nombre Concepto de imputación]]</f>
        <v>10057 - Molduras</v>
      </c>
    </row>
    <row r="76" spans="1:6" x14ac:dyDescent="0.25">
      <c r="A76" s="43">
        <v>4101001</v>
      </c>
      <c r="B76" t="s">
        <v>69</v>
      </c>
      <c r="C76" s="43">
        <v>10058</v>
      </c>
      <c r="D76" t="s">
        <v>2762</v>
      </c>
      <c r="E76" s="47" t="str">
        <f>+Cuenta_Clasificacion[[#This Row],[Código Cuenta Contable]]&amp;" - "&amp;Cuenta_Clasificacion[[#This Row],[Nombre de Cuenta Contable]]</f>
        <v>4101001 - Costos Materiales de Obra</v>
      </c>
      <c r="F76" s="47" t="str">
        <f>+Cuenta_Clasificacion[[#This Row],[Codigo Concepto de imputación]]&amp;" - "&amp;Cuenta_Clasificacion[[#This Row],[Nombre Concepto de imputación]]</f>
        <v>10058 - Morteros e Impermeabilizantes</v>
      </c>
    </row>
    <row r="77" spans="1:6" x14ac:dyDescent="0.25">
      <c r="A77" s="43">
        <v>4101001</v>
      </c>
      <c r="B77" t="s">
        <v>69</v>
      </c>
      <c r="C77" s="43">
        <v>10059</v>
      </c>
      <c r="D77" t="s">
        <v>2763</v>
      </c>
      <c r="E77" s="47" t="str">
        <f>+Cuenta_Clasificacion[[#This Row],[Código Cuenta Contable]]&amp;" - "&amp;Cuenta_Clasificacion[[#This Row],[Nombre de Cuenta Contable]]</f>
        <v>4101001 - Costos Materiales de Obra</v>
      </c>
      <c r="F77" s="47" t="str">
        <f>+Cuenta_Clasificacion[[#This Row],[Codigo Concepto de imputación]]&amp;" - "&amp;Cuenta_Clasificacion[[#This Row],[Nombre Concepto de imputación]]</f>
        <v>10059 - Muebles</v>
      </c>
    </row>
    <row r="78" spans="1:6" x14ac:dyDescent="0.25">
      <c r="A78" s="43">
        <v>4101001</v>
      </c>
      <c r="B78" t="s">
        <v>69</v>
      </c>
      <c r="C78" s="43">
        <v>10060</v>
      </c>
      <c r="D78" t="s">
        <v>2764</v>
      </c>
      <c r="E78" s="47" t="str">
        <f>+Cuenta_Clasificacion[[#This Row],[Código Cuenta Contable]]&amp;" - "&amp;Cuenta_Clasificacion[[#This Row],[Nombre de Cuenta Contable]]</f>
        <v>4101001 - Costos Materiales de Obra</v>
      </c>
      <c r="F78" s="47" t="str">
        <f>+Cuenta_Clasificacion[[#This Row],[Codigo Concepto de imputación]]&amp;" - "&amp;Cuenta_Clasificacion[[#This Row],[Nombre Concepto de imputación]]</f>
        <v>10060 - Muebles e Inst Faena</v>
      </c>
    </row>
    <row r="79" spans="1:6" x14ac:dyDescent="0.25">
      <c r="A79" s="43">
        <v>4101001</v>
      </c>
      <c r="B79" t="s">
        <v>69</v>
      </c>
      <c r="C79" s="43">
        <v>10061</v>
      </c>
      <c r="D79" t="s">
        <v>2765</v>
      </c>
      <c r="E79" s="47" t="str">
        <f>+Cuenta_Clasificacion[[#This Row],[Código Cuenta Contable]]&amp;" - "&amp;Cuenta_Clasificacion[[#This Row],[Nombre de Cuenta Contable]]</f>
        <v>4101001 - Costos Materiales de Obra</v>
      </c>
      <c r="F79" s="47" t="str">
        <f>+Cuenta_Clasificacion[[#This Row],[Codigo Concepto de imputación]]&amp;" - "&amp;Cuenta_Clasificacion[[#This Row],[Nombre Concepto de imputación]]</f>
        <v>10061 - Papel Mural</v>
      </c>
    </row>
    <row r="80" spans="1:6" x14ac:dyDescent="0.25">
      <c r="A80" s="43">
        <v>4101001</v>
      </c>
      <c r="B80" t="s">
        <v>69</v>
      </c>
      <c r="C80" s="43">
        <v>10062</v>
      </c>
      <c r="D80" t="s">
        <v>2766</v>
      </c>
      <c r="E80" s="47" t="str">
        <f>+Cuenta_Clasificacion[[#This Row],[Código Cuenta Contable]]&amp;" - "&amp;Cuenta_Clasificacion[[#This Row],[Nombre de Cuenta Contable]]</f>
        <v>4101001 - Costos Materiales de Obra</v>
      </c>
      <c r="F80" s="47" t="str">
        <f>+Cuenta_Clasificacion[[#This Row],[Codigo Concepto de imputación]]&amp;" - "&amp;Cuenta_Clasificacion[[#This Row],[Nombre Concepto de imputación]]</f>
        <v>10062 - Pavimentos</v>
      </c>
    </row>
    <row r="81" spans="1:6" x14ac:dyDescent="0.25">
      <c r="A81" s="43">
        <v>4101001</v>
      </c>
      <c r="B81" t="s">
        <v>69</v>
      </c>
      <c r="C81" s="43">
        <v>10063</v>
      </c>
      <c r="D81" t="s">
        <v>2767</v>
      </c>
      <c r="E81" s="47" t="str">
        <f>+Cuenta_Clasificacion[[#This Row],[Código Cuenta Contable]]&amp;" - "&amp;Cuenta_Clasificacion[[#This Row],[Nombre de Cuenta Contable]]</f>
        <v>4101001 - Costos Materiales de Obra</v>
      </c>
      <c r="F81" s="47" t="str">
        <f>+Cuenta_Clasificacion[[#This Row],[Codigo Concepto de imputación]]&amp;" - "&amp;Cuenta_Clasificacion[[#This Row],[Nombre Concepto de imputación]]</f>
        <v>10063 - Pendones</v>
      </c>
    </row>
    <row r="82" spans="1:6" x14ac:dyDescent="0.25">
      <c r="A82" s="43">
        <v>4101001</v>
      </c>
      <c r="B82" t="s">
        <v>69</v>
      </c>
      <c r="C82" s="43">
        <v>10064</v>
      </c>
      <c r="D82" t="s">
        <v>2768</v>
      </c>
      <c r="E82" s="47" t="str">
        <f>+Cuenta_Clasificacion[[#This Row],[Código Cuenta Contable]]&amp;" - "&amp;Cuenta_Clasificacion[[#This Row],[Nombre de Cuenta Contable]]</f>
        <v>4101001 - Costos Materiales de Obra</v>
      </c>
      <c r="F82" s="47" t="str">
        <f>+Cuenta_Clasificacion[[#This Row],[Codigo Concepto de imputación]]&amp;" - "&amp;Cuenta_Clasificacion[[#This Row],[Nombre Concepto de imputación]]</f>
        <v>10064 - Perfiles y Tubos</v>
      </c>
    </row>
    <row r="83" spans="1:6" x14ac:dyDescent="0.25">
      <c r="A83" s="43">
        <v>4101001</v>
      </c>
      <c r="B83" t="s">
        <v>69</v>
      </c>
      <c r="C83" s="43">
        <v>10065</v>
      </c>
      <c r="D83" t="s">
        <v>2769</v>
      </c>
      <c r="E83" s="47" t="str">
        <f>+Cuenta_Clasificacion[[#This Row],[Código Cuenta Contable]]&amp;" - "&amp;Cuenta_Clasificacion[[#This Row],[Nombre de Cuenta Contable]]</f>
        <v>4101001 - Costos Materiales de Obra</v>
      </c>
      <c r="F83" s="47" t="str">
        <f>+Cuenta_Clasificacion[[#This Row],[Codigo Concepto de imputación]]&amp;" - "&amp;Cuenta_Clasificacion[[#This Row],[Nombre Concepto de imputación]]</f>
        <v>10065 - Persianas</v>
      </c>
    </row>
    <row r="84" spans="1:6" x14ac:dyDescent="0.25">
      <c r="A84" s="43">
        <v>4101001</v>
      </c>
      <c r="B84" t="s">
        <v>69</v>
      </c>
      <c r="C84" s="43">
        <v>10066</v>
      </c>
      <c r="D84" t="s">
        <v>2770</v>
      </c>
      <c r="E84" s="47" t="str">
        <f>+Cuenta_Clasificacion[[#This Row],[Código Cuenta Contable]]&amp;" - "&amp;Cuenta_Clasificacion[[#This Row],[Nombre de Cuenta Contable]]</f>
        <v>4101001 - Costos Materiales de Obra</v>
      </c>
      <c r="F84" s="47" t="str">
        <f>+Cuenta_Clasificacion[[#This Row],[Codigo Concepto de imputación]]&amp;" - "&amp;Cuenta_Clasificacion[[#This Row],[Nombre Concepto de imputación]]</f>
        <v>10066 - Pinturas</v>
      </c>
    </row>
    <row r="85" spans="1:6" x14ac:dyDescent="0.25">
      <c r="A85" s="43">
        <v>4101001</v>
      </c>
      <c r="B85" t="s">
        <v>69</v>
      </c>
      <c r="C85" s="43">
        <v>10067</v>
      </c>
      <c r="D85" t="s">
        <v>2771</v>
      </c>
      <c r="E85" s="47" t="str">
        <f>+Cuenta_Clasificacion[[#This Row],[Código Cuenta Contable]]&amp;" - "&amp;Cuenta_Clasificacion[[#This Row],[Nombre de Cuenta Contable]]</f>
        <v>4101001 - Costos Materiales de Obra</v>
      </c>
      <c r="F85" s="47" t="str">
        <f>+Cuenta_Clasificacion[[#This Row],[Codigo Concepto de imputación]]&amp;" - "&amp;Cuenta_Clasificacion[[#This Row],[Nombre Concepto de imputación]]</f>
        <v>10067 - Piscinas</v>
      </c>
    </row>
    <row r="86" spans="1:6" x14ac:dyDescent="0.25">
      <c r="A86" s="43">
        <v>4101001</v>
      </c>
      <c r="B86" t="s">
        <v>69</v>
      </c>
      <c r="C86" s="43">
        <v>10068</v>
      </c>
      <c r="D86" t="s">
        <v>2772</v>
      </c>
      <c r="E86" s="47" t="str">
        <f>+Cuenta_Clasificacion[[#This Row],[Código Cuenta Contable]]&amp;" - "&amp;Cuenta_Clasificacion[[#This Row],[Nombre de Cuenta Contable]]</f>
        <v>4101001 - Costos Materiales de Obra</v>
      </c>
      <c r="F86" s="47" t="str">
        <f>+Cuenta_Clasificacion[[#This Row],[Codigo Concepto de imputación]]&amp;" - "&amp;Cuenta_Clasificacion[[#This Row],[Nombre Concepto de imputación]]</f>
        <v>10068 - Placas Aglomeradas</v>
      </c>
    </row>
    <row r="87" spans="1:6" x14ac:dyDescent="0.25">
      <c r="A87" s="43">
        <v>4101001</v>
      </c>
      <c r="B87" t="s">
        <v>69</v>
      </c>
      <c r="C87" s="43">
        <v>10069</v>
      </c>
      <c r="D87" t="s">
        <v>2773</v>
      </c>
      <c r="E87" s="47" t="str">
        <f>+Cuenta_Clasificacion[[#This Row],[Código Cuenta Contable]]&amp;" - "&amp;Cuenta_Clasificacion[[#This Row],[Nombre de Cuenta Contable]]</f>
        <v>4101001 - Costos Materiales de Obra</v>
      </c>
      <c r="F87" s="47" t="str">
        <f>+Cuenta_Clasificacion[[#This Row],[Codigo Concepto de imputación]]&amp;" - "&amp;Cuenta_Clasificacion[[#This Row],[Nombre Concepto de imputación]]</f>
        <v>10069 - Planchas</v>
      </c>
    </row>
    <row r="88" spans="1:6" x14ac:dyDescent="0.25">
      <c r="A88" s="43">
        <v>4101001</v>
      </c>
      <c r="B88" t="s">
        <v>69</v>
      </c>
      <c r="C88" s="43">
        <v>10070</v>
      </c>
      <c r="D88" t="s">
        <v>2774</v>
      </c>
      <c r="E88" s="47" t="str">
        <f>+Cuenta_Clasificacion[[#This Row],[Código Cuenta Contable]]&amp;" - "&amp;Cuenta_Clasificacion[[#This Row],[Nombre de Cuenta Contable]]</f>
        <v>4101001 - Costos Materiales de Obra</v>
      </c>
      <c r="F88" s="47" t="str">
        <f>+Cuenta_Clasificacion[[#This Row],[Codigo Concepto de imputación]]&amp;" - "&amp;Cuenta_Clasificacion[[#This Row],[Nombre Concepto de imputación]]</f>
        <v>10070 - Prefabricados Hormigón</v>
      </c>
    </row>
    <row r="89" spans="1:6" x14ac:dyDescent="0.25">
      <c r="A89" s="43">
        <v>4101001</v>
      </c>
      <c r="B89" t="s">
        <v>69</v>
      </c>
      <c r="C89" s="43">
        <v>10071</v>
      </c>
      <c r="D89" t="s">
        <v>2775</v>
      </c>
      <c r="E89" s="47" t="str">
        <f>+Cuenta_Clasificacion[[#This Row],[Código Cuenta Contable]]&amp;" - "&amp;Cuenta_Clasificacion[[#This Row],[Nombre de Cuenta Contable]]</f>
        <v>4101001 - Costos Materiales de Obra</v>
      </c>
      <c r="F89" s="47" t="str">
        <f>+Cuenta_Clasificacion[[#This Row],[Codigo Concepto de imputación]]&amp;" - "&amp;Cuenta_Clasificacion[[#This Row],[Nombre Concepto de imputación]]</f>
        <v>10071 - Puertas y Ventanas</v>
      </c>
    </row>
    <row r="90" spans="1:6" x14ac:dyDescent="0.25">
      <c r="A90" s="43">
        <v>4101001</v>
      </c>
      <c r="B90" t="s">
        <v>69</v>
      </c>
      <c r="C90" s="43">
        <v>10072</v>
      </c>
      <c r="D90" t="s">
        <v>2776</v>
      </c>
      <c r="E90" s="47" t="str">
        <f>+Cuenta_Clasificacion[[#This Row],[Código Cuenta Contable]]&amp;" - "&amp;Cuenta_Clasificacion[[#This Row],[Nombre de Cuenta Contable]]</f>
        <v>4101001 - Costos Materiales de Obra</v>
      </c>
      <c r="F90" s="47" t="str">
        <f>+Cuenta_Clasificacion[[#This Row],[Codigo Concepto de imputación]]&amp;" - "&amp;Cuenta_Clasificacion[[#This Row],[Nombre Concepto de imputación]]</f>
        <v>10072 - Quincallería</v>
      </c>
    </row>
    <row r="91" spans="1:6" x14ac:dyDescent="0.25">
      <c r="A91" s="43">
        <v>4101001</v>
      </c>
      <c r="B91" t="s">
        <v>69</v>
      </c>
      <c r="C91" s="43">
        <v>10073</v>
      </c>
      <c r="D91" t="s">
        <v>2777</v>
      </c>
      <c r="E91" s="47" t="str">
        <f>+Cuenta_Clasificacion[[#This Row],[Código Cuenta Contable]]&amp;" - "&amp;Cuenta_Clasificacion[[#This Row],[Nombre de Cuenta Contable]]</f>
        <v>4101001 - Costos Materiales de Obra</v>
      </c>
      <c r="F91" s="47" t="str">
        <f>+Cuenta_Clasificacion[[#This Row],[Codigo Concepto de imputación]]&amp;" - "&amp;Cuenta_Clasificacion[[#This Row],[Nombre Concepto de imputación]]</f>
        <v>10073 - Revestimientos</v>
      </c>
    </row>
    <row r="92" spans="1:6" x14ac:dyDescent="0.25">
      <c r="A92" s="43">
        <v>4101001</v>
      </c>
      <c r="B92" t="s">
        <v>69</v>
      </c>
      <c r="C92" s="43">
        <v>10074</v>
      </c>
      <c r="D92" t="s">
        <v>2778</v>
      </c>
      <c r="E92" s="47" t="str">
        <f>+Cuenta_Clasificacion[[#This Row],[Código Cuenta Contable]]&amp;" - "&amp;Cuenta_Clasificacion[[#This Row],[Nombre de Cuenta Contable]]</f>
        <v>4101001 - Costos Materiales de Obra</v>
      </c>
      <c r="F92" s="47" t="str">
        <f>+Cuenta_Clasificacion[[#This Row],[Codigo Concepto de imputación]]&amp;" - "&amp;Cuenta_Clasificacion[[#This Row],[Nombre Concepto de imputación]]</f>
        <v>10074 - Rollizos y Postes Madera</v>
      </c>
    </row>
    <row r="93" spans="1:6" x14ac:dyDescent="0.25">
      <c r="A93" s="43">
        <v>4101001</v>
      </c>
      <c r="B93" t="s">
        <v>69</v>
      </c>
      <c r="C93" s="43">
        <v>10075</v>
      </c>
      <c r="D93" t="s">
        <v>2779</v>
      </c>
      <c r="E93" s="47" t="str">
        <f>+Cuenta_Clasificacion[[#This Row],[Código Cuenta Contable]]&amp;" - "&amp;Cuenta_Clasificacion[[#This Row],[Nombre de Cuenta Contable]]</f>
        <v>4101001 - Costos Materiales de Obra</v>
      </c>
      <c r="F93" s="47" t="str">
        <f>+Cuenta_Clasificacion[[#This Row],[Codigo Concepto de imputación]]&amp;" - "&amp;Cuenta_Clasificacion[[#This Row],[Nombre Concepto de imputación]]</f>
        <v>10075 - Señalética</v>
      </c>
    </row>
    <row r="94" spans="1:6" x14ac:dyDescent="0.25">
      <c r="A94" s="43">
        <v>4101001</v>
      </c>
      <c r="B94" t="s">
        <v>69</v>
      </c>
      <c r="C94" s="43">
        <v>10076</v>
      </c>
      <c r="D94" t="s">
        <v>2780</v>
      </c>
      <c r="E94" s="47" t="str">
        <f>+Cuenta_Clasificacion[[#This Row],[Código Cuenta Contable]]&amp;" - "&amp;Cuenta_Clasificacion[[#This Row],[Nombre de Cuenta Contable]]</f>
        <v>4101001 - Costos Materiales de Obra</v>
      </c>
      <c r="F94" s="47" t="str">
        <f>+Cuenta_Clasificacion[[#This Row],[Codigo Concepto de imputación]]&amp;" - "&amp;Cuenta_Clasificacion[[#This Row],[Nombre Concepto de imputación]]</f>
        <v>10076 - Soldadura</v>
      </c>
    </row>
    <row r="95" spans="1:6" x14ac:dyDescent="0.25">
      <c r="A95" s="43">
        <v>4101001</v>
      </c>
      <c r="B95" t="s">
        <v>69</v>
      </c>
      <c r="C95" s="43">
        <v>10077</v>
      </c>
      <c r="D95" t="s">
        <v>2781</v>
      </c>
      <c r="E95" s="47" t="str">
        <f>+Cuenta_Clasificacion[[#This Row],[Código Cuenta Contable]]&amp;" - "&amp;Cuenta_Clasificacion[[#This Row],[Nombre de Cuenta Contable]]</f>
        <v>4101001 - Costos Materiales de Obra</v>
      </c>
      <c r="F95" s="47" t="str">
        <f>+Cuenta_Clasificacion[[#This Row],[Codigo Concepto de imputación]]&amp;" - "&amp;Cuenta_Clasificacion[[#This Row],[Nombre Concepto de imputación]]</f>
        <v>10077 - Sum. e Inst. Anclajes Postens.</v>
      </c>
    </row>
    <row r="96" spans="1:6" x14ac:dyDescent="0.25">
      <c r="A96" s="43">
        <v>4101001</v>
      </c>
      <c r="B96" t="s">
        <v>69</v>
      </c>
      <c r="C96" s="43">
        <v>10078</v>
      </c>
      <c r="D96" t="s">
        <v>2782</v>
      </c>
      <c r="E96" s="47" t="str">
        <f>+Cuenta_Clasificacion[[#This Row],[Código Cuenta Contable]]&amp;" - "&amp;Cuenta_Clasificacion[[#This Row],[Nombre de Cuenta Contable]]</f>
        <v>4101001 - Costos Materiales de Obra</v>
      </c>
      <c r="F96" s="47" t="str">
        <f>+Cuenta_Clasificacion[[#This Row],[Codigo Concepto de imputación]]&amp;" - "&amp;Cuenta_Clasificacion[[#This Row],[Nombre Concepto de imputación]]</f>
        <v>10078 - Tabiques</v>
      </c>
    </row>
    <row r="97" spans="1:6" x14ac:dyDescent="0.25">
      <c r="A97" s="43">
        <v>4101001</v>
      </c>
      <c r="B97" t="s">
        <v>69</v>
      </c>
      <c r="C97" s="43">
        <v>10079</v>
      </c>
      <c r="D97" t="s">
        <v>2783</v>
      </c>
      <c r="E97" s="47" t="str">
        <f>+Cuenta_Clasificacion[[#This Row],[Código Cuenta Contable]]&amp;" - "&amp;Cuenta_Clasificacion[[#This Row],[Nombre de Cuenta Contable]]</f>
        <v>4101001 - Costos Materiales de Obra</v>
      </c>
      <c r="F97" s="47" t="str">
        <f>+Cuenta_Clasificacion[[#This Row],[Codigo Concepto de imputación]]&amp;" - "&amp;Cuenta_Clasificacion[[#This Row],[Nombre Concepto de imputación]]</f>
        <v>10079 - Yeso y Cal</v>
      </c>
    </row>
    <row r="98" spans="1:6" x14ac:dyDescent="0.25">
      <c r="A98" s="43">
        <v>4101001</v>
      </c>
      <c r="B98" t="s">
        <v>69</v>
      </c>
      <c r="C98" s="43">
        <v>10080</v>
      </c>
      <c r="D98" t="s">
        <v>2699</v>
      </c>
      <c r="E98" s="47" t="str">
        <f>+Cuenta_Clasificacion[[#This Row],[Código Cuenta Contable]]&amp;" - "&amp;Cuenta_Clasificacion[[#This Row],[Nombre de Cuenta Contable]]</f>
        <v>4101001 - Costos Materiales de Obra</v>
      </c>
      <c r="F98" s="47" t="str">
        <f>+Cuenta_Clasificacion[[#This Row],[Codigo Concepto de imputación]]&amp;" - "&amp;Cuenta_Clasificacion[[#This Row],[Nombre Concepto de imputación]]</f>
        <v>10080 - Ajuste de Precio</v>
      </c>
    </row>
    <row r="99" spans="1:6" x14ac:dyDescent="0.25">
      <c r="A99" s="43">
        <v>4101001</v>
      </c>
      <c r="B99" t="s">
        <v>69</v>
      </c>
      <c r="C99" s="43">
        <v>10081</v>
      </c>
      <c r="D99" t="s">
        <v>2784</v>
      </c>
      <c r="E99" s="47" t="str">
        <f>+Cuenta_Clasificacion[[#This Row],[Código Cuenta Contable]]&amp;" - "&amp;Cuenta_Clasificacion[[#This Row],[Nombre de Cuenta Contable]]</f>
        <v>4101001 - Costos Materiales de Obra</v>
      </c>
      <c r="F99" s="47" t="str">
        <f>+Cuenta_Clasificacion[[#This Row],[Codigo Concepto de imputación]]&amp;" - "&amp;Cuenta_Clasificacion[[#This Row],[Nombre Concepto de imputación]]</f>
        <v>10081 - Prefabricados Madera</v>
      </c>
    </row>
    <row r="100" spans="1:6" x14ac:dyDescent="0.25">
      <c r="A100" s="43">
        <v>4101001</v>
      </c>
      <c r="B100" t="s">
        <v>69</v>
      </c>
      <c r="C100" s="43">
        <v>20001</v>
      </c>
      <c r="D100" t="s">
        <v>2785</v>
      </c>
      <c r="E100" s="47" t="str">
        <f>+Cuenta_Clasificacion[[#This Row],[Código Cuenta Contable]]&amp;" - "&amp;Cuenta_Clasificacion[[#This Row],[Nombre de Cuenta Contable]]</f>
        <v>4101001 - Costos Materiales de Obra</v>
      </c>
      <c r="F100" s="47" t="str">
        <f>+Cuenta_Clasificacion[[#This Row],[Codigo Concepto de imputación]]&amp;" - "&amp;Cuenta_Clasificacion[[#This Row],[Nombre Concepto de imputación]]</f>
        <v>20001 - Sbctto Agua Potable Domic.</v>
      </c>
    </row>
    <row r="101" spans="1:6" x14ac:dyDescent="0.25">
      <c r="A101" s="43">
        <v>4101001</v>
      </c>
      <c r="B101" t="s">
        <v>69</v>
      </c>
      <c r="C101" s="43">
        <v>20002</v>
      </c>
      <c r="D101" t="s">
        <v>2786</v>
      </c>
      <c r="E101" s="47" t="str">
        <f>+Cuenta_Clasificacion[[#This Row],[Código Cuenta Contable]]&amp;" - "&amp;Cuenta_Clasificacion[[#This Row],[Nombre de Cuenta Contable]]</f>
        <v>4101001 - Costos Materiales de Obra</v>
      </c>
      <c r="F101" s="47" t="str">
        <f>+Cuenta_Clasificacion[[#This Row],[Codigo Concepto de imputación]]&amp;" - "&amp;Cuenta_Clasificacion[[#This Row],[Nombre Concepto de imputación]]</f>
        <v>20002 - Sbctto Agua Potable Provisorio</v>
      </c>
    </row>
    <row r="102" spans="1:6" x14ac:dyDescent="0.25">
      <c r="A102" s="43">
        <v>4101001</v>
      </c>
      <c r="B102" t="s">
        <v>69</v>
      </c>
      <c r="C102" s="43">
        <v>20003</v>
      </c>
      <c r="D102" t="s">
        <v>2787</v>
      </c>
      <c r="E102" s="47" t="str">
        <f>+Cuenta_Clasificacion[[#This Row],[Código Cuenta Contable]]&amp;" - "&amp;Cuenta_Clasificacion[[#This Row],[Nombre de Cuenta Contable]]</f>
        <v>4101001 - Costos Materiales de Obra</v>
      </c>
      <c r="F102" s="47" t="str">
        <f>+Cuenta_Clasificacion[[#This Row],[Codigo Concepto de imputación]]&amp;" - "&amp;Cuenta_Clasificacion[[#This Row],[Nombre Concepto de imputación]]</f>
        <v>20003 - Sbctto Aire Acondicionado</v>
      </c>
    </row>
    <row r="103" spans="1:6" x14ac:dyDescent="0.25">
      <c r="A103" s="43">
        <v>4101001</v>
      </c>
      <c r="B103" t="s">
        <v>69</v>
      </c>
      <c r="C103" s="43">
        <v>20004</v>
      </c>
      <c r="D103" t="s">
        <v>2788</v>
      </c>
      <c r="E103" s="47" t="str">
        <f>+Cuenta_Clasificacion[[#This Row],[Código Cuenta Contable]]&amp;" - "&amp;Cuenta_Clasificacion[[#This Row],[Nombre de Cuenta Contable]]</f>
        <v>4101001 - Costos Materiales de Obra</v>
      </c>
      <c r="F103" s="47" t="str">
        <f>+Cuenta_Clasificacion[[#This Row],[Codigo Concepto de imputación]]&amp;" - "&amp;Cuenta_Clasificacion[[#This Row],[Nombre Concepto de imputación]]</f>
        <v>20004 - Sbctto Alarmas Contra Incendio</v>
      </c>
    </row>
    <row r="104" spans="1:6" x14ac:dyDescent="0.25">
      <c r="A104" s="43">
        <v>4101001</v>
      </c>
      <c r="B104" t="s">
        <v>69</v>
      </c>
      <c r="C104" s="43">
        <v>20005</v>
      </c>
      <c r="D104" t="s">
        <v>2789</v>
      </c>
      <c r="E104" s="47" t="str">
        <f>+Cuenta_Clasificacion[[#This Row],[Código Cuenta Contable]]&amp;" - "&amp;Cuenta_Clasificacion[[#This Row],[Nombre de Cuenta Contable]]</f>
        <v>4101001 - Costos Materiales de Obra</v>
      </c>
      <c r="F104" s="47" t="str">
        <f>+Cuenta_Clasificacion[[#This Row],[Codigo Concepto de imputación]]&amp;" - "&amp;Cuenta_Clasificacion[[#This Row],[Nombre Concepto de imputación]]</f>
        <v>20005 - Sbctto Alarmas Contra Robos</v>
      </c>
    </row>
    <row r="105" spans="1:6" x14ac:dyDescent="0.25">
      <c r="A105" s="43">
        <v>4101001</v>
      </c>
      <c r="B105" t="s">
        <v>69</v>
      </c>
      <c r="C105" s="43">
        <v>20006</v>
      </c>
      <c r="D105" t="s">
        <v>2790</v>
      </c>
      <c r="E105" s="47" t="str">
        <f>+Cuenta_Clasificacion[[#This Row],[Código Cuenta Contable]]&amp;" - "&amp;Cuenta_Clasificacion[[#This Row],[Nombre de Cuenta Contable]]</f>
        <v>4101001 - Costos Materiales de Obra</v>
      </c>
      <c r="F105" s="47" t="str">
        <f>+Cuenta_Clasificacion[[#This Row],[Codigo Concepto de imputación]]&amp;" - "&amp;Cuenta_Clasificacion[[#This Row],[Nombre Concepto de imputación]]</f>
        <v>20006 - Sbctto Alcantarillado Domic.</v>
      </c>
    </row>
    <row r="106" spans="1:6" x14ac:dyDescent="0.25">
      <c r="A106" s="43">
        <v>4101001</v>
      </c>
      <c r="B106" t="s">
        <v>69</v>
      </c>
      <c r="C106" s="43">
        <v>20007</v>
      </c>
      <c r="D106" t="s">
        <v>2791</v>
      </c>
      <c r="E106" s="47" t="str">
        <f>+Cuenta_Clasificacion[[#This Row],[Código Cuenta Contable]]&amp;" - "&amp;Cuenta_Clasificacion[[#This Row],[Nombre de Cuenta Contable]]</f>
        <v>4101001 - Costos Materiales de Obra</v>
      </c>
      <c r="F106" s="47" t="str">
        <f>+Cuenta_Clasificacion[[#This Row],[Codigo Concepto de imputación]]&amp;" - "&amp;Cuenta_Clasificacion[[#This Row],[Nombre Concepto de imputación]]</f>
        <v>20007 - Sbctto Alcantarillado Publico</v>
      </c>
    </row>
    <row r="107" spans="1:6" x14ac:dyDescent="0.25">
      <c r="A107" s="43">
        <v>4101001</v>
      </c>
      <c r="B107" t="s">
        <v>69</v>
      </c>
      <c r="C107" s="43">
        <v>20008</v>
      </c>
      <c r="D107" t="s">
        <v>2792</v>
      </c>
      <c r="E107" s="47" t="str">
        <f>+Cuenta_Clasificacion[[#This Row],[Código Cuenta Contable]]&amp;" - "&amp;Cuenta_Clasificacion[[#This Row],[Nombre de Cuenta Contable]]</f>
        <v>4101001 - Costos Materiales de Obra</v>
      </c>
      <c r="F107" s="47" t="str">
        <f>+Cuenta_Clasificacion[[#This Row],[Codigo Concepto de imputación]]&amp;" - "&amp;Cuenta_Clasificacion[[#This Row],[Nombre Concepto de imputación]]</f>
        <v>20008 - Sbctto Alfombra</v>
      </c>
    </row>
    <row r="108" spans="1:6" x14ac:dyDescent="0.25">
      <c r="A108" s="43">
        <v>4101001</v>
      </c>
      <c r="B108" t="s">
        <v>69</v>
      </c>
      <c r="C108" s="43">
        <v>20009</v>
      </c>
      <c r="D108" t="s">
        <v>2793</v>
      </c>
      <c r="E108" s="47" t="str">
        <f>+Cuenta_Clasificacion[[#This Row],[Código Cuenta Contable]]&amp;" - "&amp;Cuenta_Clasificacion[[#This Row],[Nombre de Cuenta Contable]]</f>
        <v>4101001 - Costos Materiales de Obra</v>
      </c>
      <c r="F108" s="47" t="str">
        <f>+Cuenta_Clasificacion[[#This Row],[Codigo Concepto de imputación]]&amp;" - "&amp;Cuenta_Clasificacion[[#This Row],[Nombre Concepto de imputación]]</f>
        <v>20009 - Sbctto Aluminios</v>
      </c>
    </row>
    <row r="109" spans="1:6" x14ac:dyDescent="0.25">
      <c r="A109" s="43">
        <v>4101001</v>
      </c>
      <c r="B109" t="s">
        <v>69</v>
      </c>
      <c r="C109" s="43">
        <v>20010</v>
      </c>
      <c r="D109" t="s">
        <v>2794</v>
      </c>
      <c r="E109" s="47" t="str">
        <f>+Cuenta_Clasificacion[[#This Row],[Código Cuenta Contable]]&amp;" - "&amp;Cuenta_Clasificacion[[#This Row],[Nombre de Cuenta Contable]]</f>
        <v>4101001 - Costos Materiales de Obra</v>
      </c>
      <c r="F109" s="47" t="str">
        <f>+Cuenta_Clasificacion[[#This Row],[Codigo Concepto de imputación]]&amp;" - "&amp;Cuenta_Clasificacion[[#This Row],[Nombre Concepto de imputación]]</f>
        <v>20010 - Sbctto Ascensores</v>
      </c>
    </row>
    <row r="110" spans="1:6" x14ac:dyDescent="0.25">
      <c r="A110" s="43">
        <v>4101001</v>
      </c>
      <c r="B110" t="s">
        <v>69</v>
      </c>
      <c r="C110" s="43">
        <v>20011</v>
      </c>
      <c r="D110" t="s">
        <v>2795</v>
      </c>
      <c r="E110" s="47" t="str">
        <f>+Cuenta_Clasificacion[[#This Row],[Código Cuenta Contable]]&amp;" - "&amp;Cuenta_Clasificacion[[#This Row],[Nombre de Cuenta Contable]]</f>
        <v>4101001 - Costos Materiales de Obra</v>
      </c>
      <c r="F110" s="47" t="str">
        <f>+Cuenta_Clasificacion[[#This Row],[Codigo Concepto de imputación]]&amp;" - "&amp;Cuenta_Clasificacion[[#This Row],[Nombre Concepto de imputación]]</f>
        <v>20011 - Sbctto Baldosas</v>
      </c>
    </row>
    <row r="111" spans="1:6" x14ac:dyDescent="0.25">
      <c r="A111" s="43">
        <v>4101001</v>
      </c>
      <c r="B111" t="s">
        <v>69</v>
      </c>
      <c r="C111" s="43">
        <v>20012</v>
      </c>
      <c r="D111" t="s">
        <v>2796</v>
      </c>
      <c r="E111" s="47" t="str">
        <f>+Cuenta_Clasificacion[[#This Row],[Código Cuenta Contable]]&amp;" - "&amp;Cuenta_Clasificacion[[#This Row],[Nombre de Cuenta Contable]]</f>
        <v>4101001 - Costos Materiales de Obra</v>
      </c>
      <c r="F111" s="47" t="str">
        <f>+Cuenta_Clasificacion[[#This Row],[Codigo Concepto de imputación]]&amp;" - "&amp;Cuenta_Clasificacion[[#This Row],[Nombre Concepto de imputación]]</f>
        <v>20012 - Sbctto Carpintería en Madera</v>
      </c>
    </row>
    <row r="112" spans="1:6" x14ac:dyDescent="0.25">
      <c r="A112" s="43">
        <v>4101001</v>
      </c>
      <c r="B112" t="s">
        <v>69</v>
      </c>
      <c r="C112" s="43">
        <v>20013</v>
      </c>
      <c r="D112" t="s">
        <v>2797</v>
      </c>
      <c r="E112" s="47" t="str">
        <f>+Cuenta_Clasificacion[[#This Row],[Código Cuenta Contable]]&amp;" - "&amp;Cuenta_Clasificacion[[#This Row],[Nombre de Cuenta Contable]]</f>
        <v>4101001 - Costos Materiales de Obra</v>
      </c>
      <c r="F112" s="47" t="str">
        <f>+Cuenta_Clasificacion[[#This Row],[Codigo Concepto de imputación]]&amp;" - "&amp;Cuenta_Clasificacion[[#This Row],[Nombre Concepto de imputación]]</f>
        <v>20013 - Sbctto Cerámica</v>
      </c>
    </row>
    <row r="113" spans="1:6" x14ac:dyDescent="0.25">
      <c r="A113" s="43">
        <v>4101001</v>
      </c>
      <c r="B113" t="s">
        <v>69</v>
      </c>
      <c r="C113" s="43">
        <v>20014</v>
      </c>
      <c r="D113" t="s">
        <v>2798</v>
      </c>
      <c r="E113" s="47" t="str">
        <f>+Cuenta_Clasificacion[[#This Row],[Código Cuenta Contable]]&amp;" - "&amp;Cuenta_Clasificacion[[#This Row],[Nombre de Cuenta Contable]]</f>
        <v>4101001 - Costos Materiales de Obra</v>
      </c>
      <c r="F113" s="47" t="str">
        <f>+Cuenta_Clasificacion[[#This Row],[Codigo Concepto de imputación]]&amp;" - "&amp;Cuenta_Clasificacion[[#This Row],[Nombre Concepto de imputación]]</f>
        <v>20014 - Sbctto Cielos</v>
      </c>
    </row>
    <row r="114" spans="1:6" x14ac:dyDescent="0.25">
      <c r="A114" s="43">
        <v>4101001</v>
      </c>
      <c r="B114" t="s">
        <v>69</v>
      </c>
      <c r="C114" s="43">
        <v>20015</v>
      </c>
      <c r="D114" t="s">
        <v>2799</v>
      </c>
      <c r="E114" s="47" t="str">
        <f>+Cuenta_Clasificacion[[#This Row],[Código Cuenta Contable]]&amp;" - "&amp;Cuenta_Clasificacion[[#This Row],[Nombre de Cuenta Contable]]</f>
        <v>4101001 - Costos Materiales de Obra</v>
      </c>
      <c r="F114" s="47" t="str">
        <f>+Cuenta_Clasificacion[[#This Row],[Codigo Concepto de imputación]]&amp;" - "&amp;Cuenta_Clasificacion[[#This Row],[Nombre Concepto de imputación]]</f>
        <v>20015 - Sbctto Circuito Cerrado de TV</v>
      </c>
    </row>
    <row r="115" spans="1:6" x14ac:dyDescent="0.25">
      <c r="A115" s="43">
        <v>4101001</v>
      </c>
      <c r="B115" t="s">
        <v>69</v>
      </c>
      <c r="C115" s="43">
        <v>20016</v>
      </c>
      <c r="D115" t="s">
        <v>2800</v>
      </c>
      <c r="E115" s="47" t="str">
        <f>+Cuenta_Clasificacion[[#This Row],[Código Cuenta Contable]]&amp;" - "&amp;Cuenta_Clasificacion[[#This Row],[Nombre de Cuenta Contable]]</f>
        <v>4101001 - Costos Materiales de Obra</v>
      </c>
      <c r="F115" s="47" t="str">
        <f>+Cuenta_Clasificacion[[#This Row],[Codigo Concepto de imputación]]&amp;" - "&amp;Cuenta_Clasificacion[[#This Row],[Nombre Concepto de imputación]]</f>
        <v>20016 - Sbctto Control Centralizado</v>
      </c>
    </row>
    <row r="116" spans="1:6" x14ac:dyDescent="0.25">
      <c r="A116" s="43">
        <v>4101001</v>
      </c>
      <c r="B116" t="s">
        <v>69</v>
      </c>
      <c r="C116" s="43">
        <v>20017</v>
      </c>
      <c r="D116" t="s">
        <v>2801</v>
      </c>
      <c r="E116" s="47" t="str">
        <f>+Cuenta_Clasificacion[[#This Row],[Código Cuenta Contable]]&amp;" - "&amp;Cuenta_Clasificacion[[#This Row],[Nombre de Cuenta Contable]]</f>
        <v>4101001 - Costos Materiales de Obra</v>
      </c>
      <c r="F116" s="47" t="str">
        <f>+Cuenta_Clasificacion[[#This Row],[Codigo Concepto de imputación]]&amp;" - "&amp;Cuenta_Clasificacion[[#This Row],[Nombre Concepto de imputación]]</f>
        <v>20017 - Sbctto Control de Accesos</v>
      </c>
    </row>
    <row r="117" spans="1:6" x14ac:dyDescent="0.25">
      <c r="A117" s="43">
        <v>4101001</v>
      </c>
      <c r="B117" t="s">
        <v>69</v>
      </c>
      <c r="C117" s="43">
        <v>20018</v>
      </c>
      <c r="D117" t="s">
        <v>2802</v>
      </c>
      <c r="E117" s="47" t="str">
        <f>+Cuenta_Clasificacion[[#This Row],[Código Cuenta Contable]]&amp;" - "&amp;Cuenta_Clasificacion[[#This Row],[Nombre de Cuenta Contable]]</f>
        <v>4101001 - Costos Materiales de Obra</v>
      </c>
      <c r="F117" s="47" t="str">
        <f>+Cuenta_Clasificacion[[#This Row],[Codigo Concepto de imputación]]&amp;" - "&amp;Cuenta_Clasificacion[[#This Row],[Nombre Concepto de imputación]]</f>
        <v>20018 - Sbctto Corte de Pavimento</v>
      </c>
    </row>
    <row r="118" spans="1:6" x14ac:dyDescent="0.25">
      <c r="A118" s="43">
        <v>4101001</v>
      </c>
      <c r="B118" t="s">
        <v>69</v>
      </c>
      <c r="C118" s="43">
        <v>20019</v>
      </c>
      <c r="D118" t="s">
        <v>2803</v>
      </c>
      <c r="E118" s="47" t="str">
        <f>+Cuenta_Clasificacion[[#This Row],[Código Cuenta Contable]]&amp;" - "&amp;Cuenta_Clasificacion[[#This Row],[Nombre de Cuenta Contable]]</f>
        <v>4101001 - Costos Materiales de Obra</v>
      </c>
      <c r="F118" s="47" t="str">
        <f>+Cuenta_Clasificacion[[#This Row],[Codigo Concepto de imputación]]&amp;" - "&amp;Cuenta_Clasificacion[[#This Row],[Nombre Concepto de imputación]]</f>
        <v>20019 - Sbctto Demolición</v>
      </c>
    </row>
    <row r="119" spans="1:6" x14ac:dyDescent="0.25">
      <c r="A119" s="43">
        <v>4101001</v>
      </c>
      <c r="B119" t="s">
        <v>69</v>
      </c>
      <c r="C119" s="43">
        <v>20020</v>
      </c>
      <c r="D119" t="s">
        <v>2804</v>
      </c>
      <c r="E119" s="47" t="str">
        <f>+Cuenta_Clasificacion[[#This Row],[Código Cuenta Contable]]&amp;" - "&amp;Cuenta_Clasificacion[[#This Row],[Nombre de Cuenta Contable]]</f>
        <v>4101001 - Costos Materiales de Obra</v>
      </c>
      <c r="F119" s="47" t="str">
        <f>+Cuenta_Clasificacion[[#This Row],[Codigo Concepto de imputación]]&amp;" - "&amp;Cuenta_Clasificacion[[#This Row],[Nombre Concepto de imputación]]</f>
        <v>20020 - Sbctto Divisiones Exteriores</v>
      </c>
    </row>
    <row r="120" spans="1:6" x14ac:dyDescent="0.25">
      <c r="A120" s="43">
        <v>4101001</v>
      </c>
      <c r="B120" t="s">
        <v>69</v>
      </c>
      <c r="C120" s="43">
        <v>20021</v>
      </c>
      <c r="D120" t="s">
        <v>2805</v>
      </c>
      <c r="E120" s="47" t="str">
        <f>+Cuenta_Clasificacion[[#This Row],[Código Cuenta Contable]]&amp;" - "&amp;Cuenta_Clasificacion[[#This Row],[Nombre de Cuenta Contable]]</f>
        <v>4101001 - Costos Materiales de Obra</v>
      </c>
      <c r="F120" s="47" t="str">
        <f>+Cuenta_Clasificacion[[#This Row],[Codigo Concepto de imputación]]&amp;" - "&amp;Cuenta_Clasificacion[[#This Row],[Nombre Concepto de imputación]]</f>
        <v>20021 - Sbctto Divisiones Interiores</v>
      </c>
    </row>
    <row r="121" spans="1:6" x14ac:dyDescent="0.25">
      <c r="A121" s="43">
        <v>4101001</v>
      </c>
      <c r="B121" t="s">
        <v>69</v>
      </c>
      <c r="C121" s="43">
        <v>20022</v>
      </c>
      <c r="D121" t="s">
        <v>2806</v>
      </c>
      <c r="E121" s="47" t="str">
        <f>+Cuenta_Clasificacion[[#This Row],[Código Cuenta Contable]]&amp;" - "&amp;Cuenta_Clasificacion[[#This Row],[Nombre de Cuenta Contable]]</f>
        <v>4101001 - Costos Materiales de Obra</v>
      </c>
      <c r="F121" s="47" t="str">
        <f>+Cuenta_Clasificacion[[#This Row],[Codigo Concepto de imputación]]&amp;" - "&amp;Cuenta_Clasificacion[[#This Row],[Nombre Concepto de imputación]]</f>
        <v>20022 - Sbctto Elect. Domiciliario</v>
      </c>
    </row>
    <row r="122" spans="1:6" x14ac:dyDescent="0.25">
      <c r="A122" s="43">
        <v>4101001</v>
      </c>
      <c r="B122" t="s">
        <v>69</v>
      </c>
      <c r="C122" s="43">
        <v>20023</v>
      </c>
      <c r="D122" t="s">
        <v>2807</v>
      </c>
      <c r="E122" s="47" t="str">
        <f>+Cuenta_Clasificacion[[#This Row],[Código Cuenta Contable]]&amp;" - "&amp;Cuenta_Clasificacion[[#This Row],[Nombre de Cuenta Contable]]</f>
        <v>4101001 - Costos Materiales de Obra</v>
      </c>
      <c r="F122" s="47" t="str">
        <f>+Cuenta_Clasificacion[[#This Row],[Codigo Concepto de imputación]]&amp;" - "&amp;Cuenta_Clasificacion[[#This Row],[Nombre Concepto de imputación]]</f>
        <v>20023 - Sbctto Electricidad Industrial</v>
      </c>
    </row>
    <row r="123" spans="1:6" x14ac:dyDescent="0.25">
      <c r="A123" s="43">
        <v>4101001</v>
      </c>
      <c r="B123" t="s">
        <v>69</v>
      </c>
      <c r="C123" s="43">
        <v>20024</v>
      </c>
      <c r="D123" t="s">
        <v>2808</v>
      </c>
      <c r="E123" s="47" t="str">
        <f>+Cuenta_Clasificacion[[#This Row],[Código Cuenta Contable]]&amp;" - "&amp;Cuenta_Clasificacion[[#This Row],[Nombre de Cuenta Contable]]</f>
        <v>4101001 - Costos Materiales de Obra</v>
      </c>
      <c r="F123" s="47" t="str">
        <f>+Cuenta_Clasificacion[[#This Row],[Codigo Concepto de imputación]]&amp;" - "&amp;Cuenta_Clasificacion[[#This Row],[Nombre Concepto de imputación]]</f>
        <v>20024 - Sbctto Electricidad Provisoria</v>
      </c>
    </row>
    <row r="124" spans="1:6" x14ac:dyDescent="0.25">
      <c r="A124" s="43">
        <v>4101001</v>
      </c>
      <c r="B124" t="s">
        <v>69</v>
      </c>
      <c r="C124" s="43">
        <v>20025</v>
      </c>
      <c r="D124" t="s">
        <v>2809</v>
      </c>
      <c r="E124" s="47" t="str">
        <f>+Cuenta_Clasificacion[[#This Row],[Código Cuenta Contable]]&amp;" - "&amp;Cuenta_Clasificacion[[#This Row],[Nombre de Cuenta Contable]]</f>
        <v>4101001 - Costos Materiales de Obra</v>
      </c>
      <c r="F124" s="47" t="str">
        <f>+Cuenta_Clasificacion[[#This Row],[Codigo Concepto de imputación]]&amp;" - "&amp;Cuenta_Clasificacion[[#This Row],[Nombre Concepto de imputación]]</f>
        <v>20025 - Sbctto Enfierradura</v>
      </c>
    </row>
    <row r="125" spans="1:6" x14ac:dyDescent="0.25">
      <c r="A125" s="43">
        <v>4101001</v>
      </c>
      <c r="B125" t="s">
        <v>69</v>
      </c>
      <c r="C125" s="43">
        <v>20026</v>
      </c>
      <c r="D125" t="s">
        <v>2810</v>
      </c>
      <c r="E125" s="47" t="str">
        <f>+Cuenta_Clasificacion[[#This Row],[Código Cuenta Contable]]&amp;" - "&amp;Cuenta_Clasificacion[[#This Row],[Nombre de Cuenta Contable]]</f>
        <v>4101001 - Costos Materiales de Obra</v>
      </c>
      <c r="F125" s="47" t="str">
        <f>+Cuenta_Clasificacion[[#This Row],[Codigo Concepto de imputación]]&amp;" - "&amp;Cuenta_Clasificacion[[#This Row],[Nombre Concepto de imputación]]</f>
        <v>20026 - Sbctto Espejos</v>
      </c>
    </row>
    <row r="126" spans="1:6" x14ac:dyDescent="0.25">
      <c r="A126" s="43">
        <v>4101001</v>
      </c>
      <c r="B126" t="s">
        <v>69</v>
      </c>
      <c r="C126" s="43">
        <v>20027</v>
      </c>
      <c r="D126" t="s">
        <v>2811</v>
      </c>
      <c r="E126" s="47" t="str">
        <f>+Cuenta_Clasificacion[[#This Row],[Código Cuenta Contable]]&amp;" - "&amp;Cuenta_Clasificacion[[#This Row],[Nombre de Cuenta Contable]]</f>
        <v>4101001 - Costos Materiales de Obra</v>
      </c>
      <c r="F126" s="47" t="str">
        <f>+Cuenta_Clasificacion[[#This Row],[Codigo Concepto de imputación]]&amp;" - "&amp;Cuenta_Clasificacion[[#This Row],[Nombre Concepto de imputación]]</f>
        <v>20027 - Sbctto Estructuras Metálicas</v>
      </c>
    </row>
    <row r="127" spans="1:6" x14ac:dyDescent="0.25">
      <c r="A127" s="43">
        <v>4101001</v>
      </c>
      <c r="B127" t="s">
        <v>69</v>
      </c>
      <c r="C127" s="43">
        <v>20028</v>
      </c>
      <c r="D127" t="s">
        <v>2812</v>
      </c>
      <c r="E127" s="47" t="str">
        <f>+Cuenta_Clasificacion[[#This Row],[Código Cuenta Contable]]&amp;" - "&amp;Cuenta_Clasificacion[[#This Row],[Nombre de Cuenta Contable]]</f>
        <v>4101001 - Costos Materiales de Obra</v>
      </c>
      <c r="F127" s="47" t="str">
        <f>+Cuenta_Clasificacion[[#This Row],[Codigo Concepto de imputación]]&amp;" - "&amp;Cuenta_Clasificacion[[#This Row],[Nombre Concepto de imputación]]</f>
        <v>20028 - Sbctto Estuco</v>
      </c>
    </row>
    <row r="128" spans="1:6" x14ac:dyDescent="0.25">
      <c r="A128" s="43">
        <v>4101001</v>
      </c>
      <c r="B128" t="s">
        <v>69</v>
      </c>
      <c r="C128" s="43">
        <v>20029</v>
      </c>
      <c r="D128" t="s">
        <v>2813</v>
      </c>
      <c r="E128" s="47" t="str">
        <f>+Cuenta_Clasificacion[[#This Row],[Código Cuenta Contable]]&amp;" - "&amp;Cuenta_Clasificacion[[#This Row],[Nombre de Cuenta Contable]]</f>
        <v>4101001 - Costos Materiales de Obra</v>
      </c>
      <c r="F128" s="47" t="str">
        <f>+Cuenta_Clasificacion[[#This Row],[Codigo Concepto de imputación]]&amp;" - "&amp;Cuenta_Clasificacion[[#This Row],[Nombre Concepto de imputación]]</f>
        <v>20029 - Sbctto Excavaciones</v>
      </c>
    </row>
    <row r="129" spans="1:6" x14ac:dyDescent="0.25">
      <c r="A129" s="43">
        <v>4101001</v>
      </c>
      <c r="B129" t="s">
        <v>69</v>
      </c>
      <c r="C129" s="43">
        <v>20030</v>
      </c>
      <c r="D129" t="s">
        <v>2814</v>
      </c>
      <c r="E129" s="47" t="str">
        <f>+Cuenta_Clasificacion[[#This Row],[Código Cuenta Contable]]&amp;" - "&amp;Cuenta_Clasificacion[[#This Row],[Nombre de Cuenta Contable]]</f>
        <v>4101001 - Costos Materiales de Obra</v>
      </c>
      <c r="F129" s="47" t="str">
        <f>+Cuenta_Clasificacion[[#This Row],[Codigo Concepto de imputación]]&amp;" - "&amp;Cuenta_Clasificacion[[#This Row],[Nombre Concepto de imputación]]</f>
        <v>20030 - Sbctto Extracción de Escombros</v>
      </c>
    </row>
    <row r="130" spans="1:6" x14ac:dyDescent="0.25">
      <c r="A130" s="43">
        <v>4101001</v>
      </c>
      <c r="B130" t="s">
        <v>69</v>
      </c>
      <c r="C130" s="43">
        <v>20031</v>
      </c>
      <c r="D130" t="s">
        <v>2815</v>
      </c>
      <c r="E130" s="47" t="str">
        <f>+Cuenta_Clasificacion[[#This Row],[Código Cuenta Contable]]&amp;" - "&amp;Cuenta_Clasificacion[[#This Row],[Nombre de Cuenta Contable]]</f>
        <v>4101001 - Costos Materiales de Obra</v>
      </c>
      <c r="F130" s="47" t="str">
        <f>+Cuenta_Clasificacion[[#This Row],[Codigo Concepto de imputación]]&amp;" - "&amp;Cuenta_Clasificacion[[#This Row],[Nombre Concepto de imputación]]</f>
        <v>20031 - Sbctto Gas</v>
      </c>
    </row>
    <row r="131" spans="1:6" x14ac:dyDescent="0.25">
      <c r="A131" s="43">
        <v>4101001</v>
      </c>
      <c r="B131" t="s">
        <v>69</v>
      </c>
      <c r="C131" s="43">
        <v>20032</v>
      </c>
      <c r="D131" t="s">
        <v>2816</v>
      </c>
      <c r="E131" s="47" t="str">
        <f>+Cuenta_Clasificacion[[#This Row],[Código Cuenta Contable]]&amp;" - "&amp;Cuenta_Clasificacion[[#This Row],[Nombre de Cuenta Contable]]</f>
        <v>4101001 - Costos Materiales de Obra</v>
      </c>
      <c r="F131" s="47" t="str">
        <f>+Cuenta_Clasificacion[[#This Row],[Codigo Concepto de imputación]]&amp;" - "&amp;Cuenta_Clasificacion[[#This Row],[Nombre Concepto de imputación]]</f>
        <v>20032 - Sbctto Hojalatería</v>
      </c>
    </row>
    <row r="132" spans="1:6" x14ac:dyDescent="0.25">
      <c r="A132" s="43">
        <v>4101001</v>
      </c>
      <c r="B132" t="s">
        <v>69</v>
      </c>
      <c r="C132" s="43">
        <v>20033</v>
      </c>
      <c r="D132" t="s">
        <v>2817</v>
      </c>
      <c r="E132" s="47" t="str">
        <f>+Cuenta_Clasificacion[[#This Row],[Código Cuenta Contable]]&amp;" - "&amp;Cuenta_Clasificacion[[#This Row],[Nombre de Cuenta Contable]]</f>
        <v>4101001 - Costos Materiales de Obra</v>
      </c>
      <c r="F132" s="47" t="str">
        <f>+Cuenta_Clasificacion[[#This Row],[Codigo Concepto de imputación]]&amp;" - "&amp;Cuenta_Clasificacion[[#This Row],[Nombre Concepto de imputación]]</f>
        <v>20033 - Sbctto Hormigón Celular</v>
      </c>
    </row>
    <row r="133" spans="1:6" x14ac:dyDescent="0.25">
      <c r="A133" s="43">
        <v>4101001</v>
      </c>
      <c r="B133" t="s">
        <v>69</v>
      </c>
      <c r="C133" s="43">
        <v>20034</v>
      </c>
      <c r="D133" t="s">
        <v>2818</v>
      </c>
      <c r="E133" s="47" t="str">
        <f>+Cuenta_Clasificacion[[#This Row],[Código Cuenta Contable]]&amp;" - "&amp;Cuenta_Clasificacion[[#This Row],[Nombre de Cuenta Contable]]</f>
        <v>4101001 - Costos Materiales de Obra</v>
      </c>
      <c r="F133" s="47" t="str">
        <f>+Cuenta_Clasificacion[[#This Row],[Codigo Concepto de imputación]]&amp;" - "&amp;Cuenta_Clasificacion[[#This Row],[Nombre Concepto de imputación]]</f>
        <v>20034 - Sbctto Hormigón Premezclado</v>
      </c>
    </row>
    <row r="134" spans="1:6" x14ac:dyDescent="0.25">
      <c r="A134" s="43">
        <v>4101001</v>
      </c>
      <c r="B134" t="s">
        <v>69</v>
      </c>
      <c r="C134" s="43">
        <v>20035</v>
      </c>
      <c r="D134" t="s">
        <v>2819</v>
      </c>
      <c r="E134" s="47" t="str">
        <f>+Cuenta_Clasificacion[[#This Row],[Código Cuenta Contable]]&amp;" - "&amp;Cuenta_Clasificacion[[#This Row],[Nombre de Cuenta Contable]]</f>
        <v>4101001 - Costos Materiales de Obra</v>
      </c>
      <c r="F134" s="47" t="str">
        <f>+Cuenta_Clasificacion[[#This Row],[Codigo Concepto de imputación]]&amp;" - "&amp;Cuenta_Clasificacion[[#This Row],[Nombre Concepto de imputación]]</f>
        <v>20035 - Sbctto Impermeabilizaciones</v>
      </c>
    </row>
    <row r="135" spans="1:6" x14ac:dyDescent="0.25">
      <c r="A135" s="43">
        <v>4101001</v>
      </c>
      <c r="B135" t="s">
        <v>69</v>
      </c>
      <c r="C135" s="43">
        <v>20036</v>
      </c>
      <c r="D135" t="s">
        <v>2820</v>
      </c>
      <c r="E135" s="47" t="str">
        <f>+Cuenta_Clasificacion[[#This Row],[Código Cuenta Contable]]&amp;" - "&amp;Cuenta_Clasificacion[[#This Row],[Nombre de Cuenta Contable]]</f>
        <v>4101001 - Costos Materiales de Obra</v>
      </c>
      <c r="F135" s="47" t="str">
        <f>+Cuenta_Clasificacion[[#This Row],[Codigo Concepto de imputación]]&amp;" - "&amp;Cuenta_Clasificacion[[#This Row],[Nombre Concepto de imputación]]</f>
        <v>20036 - Sbctto Incendio Red Húmeda</v>
      </c>
    </row>
    <row r="136" spans="1:6" x14ac:dyDescent="0.25">
      <c r="A136" s="43">
        <v>4101001</v>
      </c>
      <c r="B136" t="s">
        <v>69</v>
      </c>
      <c r="C136" s="43">
        <v>20037</v>
      </c>
      <c r="D136" t="s">
        <v>2821</v>
      </c>
      <c r="E136" s="47" t="str">
        <f>+Cuenta_Clasificacion[[#This Row],[Código Cuenta Contable]]&amp;" - "&amp;Cuenta_Clasificacion[[#This Row],[Nombre de Cuenta Contable]]</f>
        <v>4101001 - Costos Materiales de Obra</v>
      </c>
      <c r="F136" s="47" t="str">
        <f>+Cuenta_Clasificacion[[#This Row],[Codigo Concepto de imputación]]&amp;" - "&amp;Cuenta_Clasificacion[[#This Row],[Nombre Concepto de imputación]]</f>
        <v>20037 - Sbctto Incendio Red Seca</v>
      </c>
    </row>
    <row r="137" spans="1:6" x14ac:dyDescent="0.25">
      <c r="A137" s="43">
        <v>4101001</v>
      </c>
      <c r="B137" t="s">
        <v>69</v>
      </c>
      <c r="C137" s="43">
        <v>20038</v>
      </c>
      <c r="D137" t="s">
        <v>2822</v>
      </c>
      <c r="E137" s="47" t="str">
        <f>+Cuenta_Clasificacion[[#This Row],[Código Cuenta Contable]]&amp;" - "&amp;Cuenta_Clasificacion[[#This Row],[Nombre de Cuenta Contable]]</f>
        <v>4101001 - Costos Materiales de Obra</v>
      </c>
      <c r="F137" s="47" t="str">
        <f>+Cuenta_Clasificacion[[#This Row],[Codigo Concepto de imputación]]&amp;" - "&amp;Cuenta_Clasificacion[[#This Row],[Nombre Concepto de imputación]]</f>
        <v>20038 - Sbctto Inst. Cornisas</v>
      </c>
    </row>
    <row r="138" spans="1:6" x14ac:dyDescent="0.25">
      <c r="A138" s="43">
        <v>4101001</v>
      </c>
      <c r="B138" t="s">
        <v>69</v>
      </c>
      <c r="C138" s="43">
        <v>20039</v>
      </c>
      <c r="D138" t="s">
        <v>2823</v>
      </c>
      <c r="E138" s="47" t="str">
        <f>+Cuenta_Clasificacion[[#This Row],[Código Cuenta Contable]]&amp;" - "&amp;Cuenta_Clasificacion[[#This Row],[Nombre de Cuenta Contable]]</f>
        <v>4101001 - Costos Materiales de Obra</v>
      </c>
      <c r="F138" s="47" t="str">
        <f>+Cuenta_Clasificacion[[#This Row],[Codigo Concepto de imputación]]&amp;" - "&amp;Cuenta_Clasificacion[[#This Row],[Nombre Concepto de imputación]]</f>
        <v>20039 - Sbctto Inst. Papel Mural</v>
      </c>
    </row>
    <row r="139" spans="1:6" x14ac:dyDescent="0.25">
      <c r="A139" s="43">
        <v>4101001</v>
      </c>
      <c r="B139" t="s">
        <v>69</v>
      </c>
      <c r="C139" s="43">
        <v>20040</v>
      </c>
      <c r="D139" t="s">
        <v>2824</v>
      </c>
      <c r="E139" s="47" t="str">
        <f>+Cuenta_Clasificacion[[#This Row],[Código Cuenta Contable]]&amp;" - "&amp;Cuenta_Clasificacion[[#This Row],[Nombre de Cuenta Contable]]</f>
        <v>4101001 - Costos Materiales de Obra</v>
      </c>
      <c r="F139" s="47" t="str">
        <f>+Cuenta_Clasificacion[[#This Row],[Codigo Concepto de imputación]]&amp;" - "&amp;Cuenta_Clasificacion[[#This Row],[Nombre Concepto de imputación]]</f>
        <v>20040 - Sbctto Inst. Piso Deck</v>
      </c>
    </row>
    <row r="140" spans="1:6" x14ac:dyDescent="0.25">
      <c r="A140" s="43">
        <v>4101001</v>
      </c>
      <c r="B140" t="s">
        <v>69</v>
      </c>
      <c r="C140" s="43">
        <v>20041</v>
      </c>
      <c r="D140" t="s">
        <v>2825</v>
      </c>
      <c r="E140" s="47" t="str">
        <f>+Cuenta_Clasificacion[[#This Row],[Código Cuenta Contable]]&amp;" - "&amp;Cuenta_Clasificacion[[#This Row],[Nombre de Cuenta Contable]]</f>
        <v>4101001 - Costos Materiales de Obra</v>
      </c>
      <c r="F140" s="47" t="str">
        <f>+Cuenta_Clasificacion[[#This Row],[Codigo Concepto de imputación]]&amp;" - "&amp;Cuenta_Clasificacion[[#This Row],[Nombre Concepto de imputación]]</f>
        <v>20041 - Sbctto Jardines</v>
      </c>
    </row>
    <row r="141" spans="1:6" x14ac:dyDescent="0.25">
      <c r="A141" s="43">
        <v>4101001</v>
      </c>
      <c r="B141" t="s">
        <v>69</v>
      </c>
      <c r="C141" s="43">
        <v>20042</v>
      </c>
      <c r="D141" t="s">
        <v>2826</v>
      </c>
      <c r="E141" s="47" t="str">
        <f>+Cuenta_Clasificacion[[#This Row],[Código Cuenta Contable]]&amp;" - "&amp;Cuenta_Clasificacion[[#This Row],[Nombre de Cuenta Contable]]</f>
        <v>4101001 - Costos Materiales de Obra</v>
      </c>
      <c r="F141" s="47" t="str">
        <f>+Cuenta_Clasificacion[[#This Row],[Codigo Concepto de imputación]]&amp;" - "&amp;Cuenta_Clasificacion[[#This Row],[Nombre Concepto de imputación]]</f>
        <v>20042 - Sbctto Junturas de Tabiques</v>
      </c>
    </row>
    <row r="142" spans="1:6" x14ac:dyDescent="0.25">
      <c r="A142" s="43">
        <v>4101001</v>
      </c>
      <c r="B142" t="s">
        <v>69</v>
      </c>
      <c r="C142" s="43">
        <v>20043</v>
      </c>
      <c r="D142" t="s">
        <v>2827</v>
      </c>
      <c r="E142" s="47" t="str">
        <f>+Cuenta_Clasificacion[[#This Row],[Código Cuenta Contable]]&amp;" - "&amp;Cuenta_Clasificacion[[#This Row],[Nombre de Cuenta Contable]]</f>
        <v>4101001 - Costos Materiales de Obra</v>
      </c>
      <c r="F142" s="47" t="str">
        <f>+Cuenta_Clasificacion[[#This Row],[Codigo Concepto de imputación]]&amp;" - "&amp;Cuenta_Clasificacion[[#This Row],[Nombre Concepto de imputación]]</f>
        <v>20043 - Sbctto Lab. de Hormigones</v>
      </c>
    </row>
    <row r="143" spans="1:6" x14ac:dyDescent="0.25">
      <c r="A143" s="43">
        <v>4101001</v>
      </c>
      <c r="B143" t="s">
        <v>69</v>
      </c>
      <c r="C143" s="43">
        <v>20044</v>
      </c>
      <c r="D143" t="s">
        <v>2828</v>
      </c>
      <c r="E143" s="47" t="str">
        <f>+Cuenta_Clasificacion[[#This Row],[Código Cuenta Contable]]&amp;" - "&amp;Cuenta_Clasificacion[[#This Row],[Nombre de Cuenta Contable]]</f>
        <v>4101001 - Costos Materiales de Obra</v>
      </c>
      <c r="F143" s="47" t="str">
        <f>+Cuenta_Clasificacion[[#This Row],[Codigo Concepto de imputación]]&amp;" - "&amp;Cuenta_Clasificacion[[#This Row],[Nombre Concepto de imputación]]</f>
        <v>20044 - Sbctto Mármol</v>
      </c>
    </row>
    <row r="144" spans="1:6" x14ac:dyDescent="0.25">
      <c r="A144" s="43">
        <v>4101001</v>
      </c>
      <c r="B144" t="s">
        <v>69</v>
      </c>
      <c r="C144" s="43">
        <v>20045</v>
      </c>
      <c r="D144" t="s">
        <v>2829</v>
      </c>
      <c r="E144" s="47" t="str">
        <f>+Cuenta_Clasificacion[[#This Row],[Código Cuenta Contable]]&amp;" - "&amp;Cuenta_Clasificacion[[#This Row],[Nombre de Cuenta Contable]]</f>
        <v>4101001 - Costos Materiales de Obra</v>
      </c>
      <c r="F144" s="47" t="str">
        <f>+Cuenta_Clasificacion[[#This Row],[Codigo Concepto de imputación]]&amp;" - "&amp;Cuenta_Clasificacion[[#This Row],[Nombre Concepto de imputación]]</f>
        <v>20045 - Sbctto Molduras</v>
      </c>
    </row>
    <row r="145" spans="1:6" x14ac:dyDescent="0.25">
      <c r="A145" s="43">
        <v>4101001</v>
      </c>
      <c r="B145" t="s">
        <v>69</v>
      </c>
      <c r="C145" s="43">
        <v>20046</v>
      </c>
      <c r="D145" t="s">
        <v>2830</v>
      </c>
      <c r="E145" s="47" t="str">
        <f>+Cuenta_Clasificacion[[#This Row],[Código Cuenta Contable]]&amp;" - "&amp;Cuenta_Clasificacion[[#This Row],[Nombre de Cuenta Contable]]</f>
        <v>4101001 - Costos Materiales de Obra</v>
      </c>
      <c r="F145" s="47" t="str">
        <f>+Cuenta_Clasificacion[[#This Row],[Codigo Concepto de imputación]]&amp;" - "&amp;Cuenta_Clasificacion[[#This Row],[Nombre Concepto de imputación]]</f>
        <v>20046 - Sbctto Montaje de Equipos</v>
      </c>
    </row>
    <row r="146" spans="1:6" x14ac:dyDescent="0.25">
      <c r="A146" s="43">
        <v>4101001</v>
      </c>
      <c r="B146" t="s">
        <v>69</v>
      </c>
      <c r="C146" s="43">
        <v>20047</v>
      </c>
      <c r="D146" t="s">
        <v>2831</v>
      </c>
      <c r="E146" s="47" t="str">
        <f>+Cuenta_Clasificacion[[#This Row],[Código Cuenta Contable]]&amp;" - "&amp;Cuenta_Clasificacion[[#This Row],[Nombre de Cuenta Contable]]</f>
        <v>4101001 - Costos Materiales de Obra</v>
      </c>
      <c r="F146" s="47" t="str">
        <f>+Cuenta_Clasificacion[[#This Row],[Codigo Concepto de imputación]]&amp;" - "&amp;Cuenta_Clasificacion[[#This Row],[Nombre Concepto de imputación]]</f>
        <v>20047 - Sbctto Muebles de Baño</v>
      </c>
    </row>
    <row r="147" spans="1:6" x14ac:dyDescent="0.25">
      <c r="A147" s="43">
        <v>4101001</v>
      </c>
      <c r="B147" t="s">
        <v>69</v>
      </c>
      <c r="C147" s="43">
        <v>20048</v>
      </c>
      <c r="D147" t="s">
        <v>2832</v>
      </c>
      <c r="E147" s="47" t="str">
        <f>+Cuenta_Clasificacion[[#This Row],[Código Cuenta Contable]]&amp;" - "&amp;Cuenta_Clasificacion[[#This Row],[Nombre de Cuenta Contable]]</f>
        <v>4101001 - Costos Materiales de Obra</v>
      </c>
      <c r="F147" s="47" t="str">
        <f>+Cuenta_Clasificacion[[#This Row],[Codigo Concepto de imputación]]&amp;" - "&amp;Cuenta_Clasificacion[[#This Row],[Nombre Concepto de imputación]]</f>
        <v>20048 - Sbctto Muebles de Closet</v>
      </c>
    </row>
    <row r="148" spans="1:6" x14ac:dyDescent="0.25">
      <c r="A148" s="43">
        <v>4101001</v>
      </c>
      <c r="B148" t="s">
        <v>69</v>
      </c>
      <c r="C148" s="43">
        <v>20049</v>
      </c>
      <c r="D148" t="s">
        <v>2833</v>
      </c>
      <c r="E148" s="47" t="str">
        <f>+Cuenta_Clasificacion[[#This Row],[Código Cuenta Contable]]&amp;" - "&amp;Cuenta_Clasificacion[[#This Row],[Nombre de Cuenta Contable]]</f>
        <v>4101001 - Costos Materiales de Obra</v>
      </c>
      <c r="F148" s="47" t="str">
        <f>+Cuenta_Clasificacion[[#This Row],[Codigo Concepto de imputación]]&amp;" - "&amp;Cuenta_Clasificacion[[#This Row],[Nombre Concepto de imputación]]</f>
        <v>20049 - Sbctto Muebles de Cocina</v>
      </c>
    </row>
    <row r="149" spans="1:6" x14ac:dyDescent="0.25">
      <c r="A149" s="43">
        <v>4101001</v>
      </c>
      <c r="B149" t="s">
        <v>69</v>
      </c>
      <c r="C149" s="43">
        <v>20050</v>
      </c>
      <c r="D149" t="s">
        <v>2834</v>
      </c>
      <c r="E149" s="47" t="str">
        <f>+Cuenta_Clasificacion[[#This Row],[Código Cuenta Contable]]&amp;" - "&amp;Cuenta_Clasificacion[[#This Row],[Nombre de Cuenta Contable]]</f>
        <v>4101001 - Costos Materiales de Obra</v>
      </c>
      <c r="F149" s="47" t="str">
        <f>+Cuenta_Clasificacion[[#This Row],[Codigo Concepto de imputación]]&amp;" - "&amp;Cuenta_Clasificacion[[#This Row],[Nombre Concepto de imputación]]</f>
        <v>20050 - Sbctto Muebles de Oficina</v>
      </c>
    </row>
    <row r="150" spans="1:6" x14ac:dyDescent="0.25">
      <c r="A150" s="43">
        <v>4101001</v>
      </c>
      <c r="B150" t="s">
        <v>69</v>
      </c>
      <c r="C150" s="43">
        <v>20051</v>
      </c>
      <c r="D150" t="s">
        <v>2835</v>
      </c>
      <c r="E150" s="47" t="str">
        <f>+Cuenta_Clasificacion[[#This Row],[Código Cuenta Contable]]&amp;" - "&amp;Cuenta_Clasificacion[[#This Row],[Nombre de Cuenta Contable]]</f>
        <v>4101001 - Costos Materiales de Obra</v>
      </c>
      <c r="F150" s="47" t="str">
        <f>+Cuenta_Clasificacion[[#This Row],[Codigo Concepto de imputación]]&amp;" - "&amp;Cuenta_Clasificacion[[#This Row],[Nombre Concepto de imputación]]</f>
        <v>20051 - Sbctto Otros Ensayos</v>
      </c>
    </row>
    <row r="151" spans="1:6" x14ac:dyDescent="0.25">
      <c r="A151" s="43">
        <v>4101001</v>
      </c>
      <c r="B151" t="s">
        <v>69</v>
      </c>
      <c r="C151" s="43">
        <v>20052</v>
      </c>
      <c r="D151" t="s">
        <v>2836</v>
      </c>
      <c r="E151" s="47" t="str">
        <f>+Cuenta_Clasificacion[[#This Row],[Código Cuenta Contable]]&amp;" - "&amp;Cuenta_Clasificacion[[#This Row],[Nombre de Cuenta Contable]]</f>
        <v>4101001 - Costos Materiales de Obra</v>
      </c>
      <c r="F151" s="47" t="str">
        <f>+Cuenta_Clasificacion[[#This Row],[Codigo Concepto de imputación]]&amp;" - "&amp;Cuenta_Clasificacion[[#This Row],[Nombre Concepto de imputación]]</f>
        <v>20052 - Sbctto Otros Muebles</v>
      </c>
    </row>
    <row r="152" spans="1:6" x14ac:dyDescent="0.25">
      <c r="A152" s="43">
        <v>4101001</v>
      </c>
      <c r="B152" t="s">
        <v>69</v>
      </c>
      <c r="C152" s="43">
        <v>20053</v>
      </c>
      <c r="D152" t="s">
        <v>2837</v>
      </c>
      <c r="E152" s="47" t="str">
        <f>+Cuenta_Clasificacion[[#This Row],[Código Cuenta Contable]]&amp;" - "&amp;Cuenta_Clasificacion[[#This Row],[Nombre de Cuenta Contable]]</f>
        <v>4101001 - Costos Materiales de Obra</v>
      </c>
      <c r="F152" s="47" t="str">
        <f>+Cuenta_Clasificacion[[#This Row],[Codigo Concepto de imputación]]&amp;" - "&amp;Cuenta_Clasificacion[[#This Row],[Nombre Concepto de imputación]]</f>
        <v>20053 - Sbctto Otros Pisos</v>
      </c>
    </row>
    <row r="153" spans="1:6" x14ac:dyDescent="0.25">
      <c r="A153" s="43">
        <v>4101001</v>
      </c>
      <c r="B153" t="s">
        <v>69</v>
      </c>
      <c r="C153" s="43">
        <v>20054</v>
      </c>
      <c r="D153" t="s">
        <v>2838</v>
      </c>
      <c r="E153" s="47" t="str">
        <f>+Cuenta_Clasificacion[[#This Row],[Código Cuenta Contable]]&amp;" - "&amp;Cuenta_Clasificacion[[#This Row],[Nombre de Cuenta Contable]]</f>
        <v>4101001 - Costos Materiales de Obra</v>
      </c>
      <c r="F153" s="47" t="str">
        <f>+Cuenta_Clasificacion[[#This Row],[Codigo Concepto de imputación]]&amp;" - "&amp;Cuenta_Clasificacion[[#This Row],[Nombre Concepto de imputación]]</f>
        <v>20054 - Sbctto Papel Mural</v>
      </c>
    </row>
    <row r="154" spans="1:6" x14ac:dyDescent="0.25">
      <c r="A154" s="43">
        <v>4101001</v>
      </c>
      <c r="B154" t="s">
        <v>69</v>
      </c>
      <c r="C154" s="43">
        <v>20055</v>
      </c>
      <c r="D154" t="s">
        <v>2839</v>
      </c>
      <c r="E154" s="47" t="str">
        <f>+Cuenta_Clasificacion[[#This Row],[Código Cuenta Contable]]&amp;" - "&amp;Cuenta_Clasificacion[[#This Row],[Nombre de Cuenta Contable]]</f>
        <v>4101001 - Costos Materiales de Obra</v>
      </c>
      <c r="F154" s="47" t="str">
        <f>+Cuenta_Clasificacion[[#This Row],[Codigo Concepto de imputación]]&amp;" - "&amp;Cuenta_Clasificacion[[#This Row],[Nombre Concepto de imputación]]</f>
        <v>20055 - Sbctto Pavimentos</v>
      </c>
    </row>
    <row r="155" spans="1:6" x14ac:dyDescent="0.25">
      <c r="A155" s="43">
        <v>4101001</v>
      </c>
      <c r="B155" t="s">
        <v>69</v>
      </c>
      <c r="C155" s="43">
        <v>20056</v>
      </c>
      <c r="D155" t="s">
        <v>2840</v>
      </c>
      <c r="E155" s="47" t="str">
        <f>+Cuenta_Clasificacion[[#This Row],[Código Cuenta Contable]]&amp;" - "&amp;Cuenta_Clasificacion[[#This Row],[Nombre de Cuenta Contable]]</f>
        <v>4101001 - Costos Materiales de Obra</v>
      </c>
      <c r="F155" s="47" t="str">
        <f>+Cuenta_Clasificacion[[#This Row],[Codigo Concepto de imputación]]&amp;" - "&amp;Cuenta_Clasificacion[[#This Row],[Nombre Concepto de imputación]]</f>
        <v>20056 - Sbctto Perforación de Hormigón</v>
      </c>
    </row>
    <row r="156" spans="1:6" x14ac:dyDescent="0.25">
      <c r="A156" s="43">
        <v>4101001</v>
      </c>
      <c r="B156" t="s">
        <v>69</v>
      </c>
      <c r="C156" s="43">
        <v>20057</v>
      </c>
      <c r="D156" t="s">
        <v>2841</v>
      </c>
      <c r="E156" s="47" t="str">
        <f>+Cuenta_Clasificacion[[#This Row],[Código Cuenta Contable]]&amp;" - "&amp;Cuenta_Clasificacion[[#This Row],[Nombre de Cuenta Contable]]</f>
        <v>4101001 - Costos Materiales de Obra</v>
      </c>
      <c r="F156" s="47" t="str">
        <f>+Cuenta_Clasificacion[[#This Row],[Codigo Concepto de imputación]]&amp;" - "&amp;Cuenta_Clasificacion[[#This Row],[Nombre Concepto de imputación]]</f>
        <v>20057 - Sbctto Pilas</v>
      </c>
    </row>
    <row r="157" spans="1:6" x14ac:dyDescent="0.25">
      <c r="A157" s="43">
        <v>4101001</v>
      </c>
      <c r="B157" t="s">
        <v>69</v>
      </c>
      <c r="C157" s="43">
        <v>20058</v>
      </c>
      <c r="D157" t="s">
        <v>2842</v>
      </c>
      <c r="E157" s="47" t="str">
        <f>+Cuenta_Clasificacion[[#This Row],[Código Cuenta Contable]]&amp;" - "&amp;Cuenta_Clasificacion[[#This Row],[Nombre de Cuenta Contable]]</f>
        <v>4101001 - Costos Materiales de Obra</v>
      </c>
      <c r="F157" s="47" t="str">
        <f>+Cuenta_Clasificacion[[#This Row],[Codigo Concepto de imputación]]&amp;" - "&amp;Cuenta_Clasificacion[[#This Row],[Nombre Concepto de imputación]]</f>
        <v>20058 - Sbctto Pinturas</v>
      </c>
    </row>
    <row r="158" spans="1:6" x14ac:dyDescent="0.25">
      <c r="A158" s="43">
        <v>4101001</v>
      </c>
      <c r="B158" t="s">
        <v>69</v>
      </c>
      <c r="C158" s="43">
        <v>20059</v>
      </c>
      <c r="D158" t="s">
        <v>2843</v>
      </c>
      <c r="E158" s="47" t="str">
        <f>+Cuenta_Clasificacion[[#This Row],[Código Cuenta Contable]]&amp;" - "&amp;Cuenta_Clasificacion[[#This Row],[Nombre de Cuenta Contable]]</f>
        <v>4101001 - Costos Materiales de Obra</v>
      </c>
      <c r="F158" s="47" t="str">
        <f>+Cuenta_Clasificacion[[#This Row],[Codigo Concepto de imputación]]&amp;" - "&amp;Cuenta_Clasificacion[[#This Row],[Nombre Concepto de imputación]]</f>
        <v>20059 - Sbctto Piso Flotante</v>
      </c>
    </row>
    <row r="159" spans="1:6" x14ac:dyDescent="0.25">
      <c r="A159" s="43">
        <v>4101001</v>
      </c>
      <c r="B159" t="s">
        <v>69</v>
      </c>
      <c r="C159" s="43">
        <v>20060</v>
      </c>
      <c r="D159" t="s">
        <v>2844</v>
      </c>
      <c r="E159" s="47" t="str">
        <f>+Cuenta_Clasificacion[[#This Row],[Código Cuenta Contable]]&amp;" - "&amp;Cuenta_Clasificacion[[#This Row],[Nombre de Cuenta Contable]]</f>
        <v>4101001 - Costos Materiales de Obra</v>
      </c>
      <c r="F159" s="47" t="str">
        <f>+Cuenta_Clasificacion[[#This Row],[Codigo Concepto de imputación]]&amp;" - "&amp;Cuenta_Clasificacion[[#This Row],[Nombre Concepto de imputación]]</f>
        <v>20060 - Sbctto Plásticos</v>
      </c>
    </row>
    <row r="160" spans="1:6" x14ac:dyDescent="0.25">
      <c r="A160" s="43">
        <v>4101001</v>
      </c>
      <c r="B160" t="s">
        <v>69</v>
      </c>
      <c r="C160" s="43">
        <v>20061</v>
      </c>
      <c r="D160" t="s">
        <v>2845</v>
      </c>
      <c r="E160" s="47" t="str">
        <f>+Cuenta_Clasificacion[[#This Row],[Código Cuenta Contable]]&amp;" - "&amp;Cuenta_Clasificacion[[#This Row],[Nombre de Cuenta Contable]]</f>
        <v>4101001 - Costos Materiales de Obra</v>
      </c>
      <c r="F160" s="47" t="str">
        <f>+Cuenta_Clasificacion[[#This Row],[Codigo Concepto de imputación]]&amp;" - "&amp;Cuenta_Clasificacion[[#This Row],[Nombre Concepto de imputación]]</f>
        <v>20061 - Sbctto Preparación de Muros</v>
      </c>
    </row>
    <row r="161" spans="1:6" x14ac:dyDescent="0.25">
      <c r="A161" s="43">
        <v>4101001</v>
      </c>
      <c r="B161" t="s">
        <v>69</v>
      </c>
      <c r="C161" s="43">
        <v>20062</v>
      </c>
      <c r="D161" t="s">
        <v>2846</v>
      </c>
      <c r="E161" s="47" t="str">
        <f>+Cuenta_Clasificacion[[#This Row],[Código Cuenta Contable]]&amp;" - "&amp;Cuenta_Clasificacion[[#This Row],[Nombre de Cuenta Contable]]</f>
        <v>4101001 - Costos Materiales de Obra</v>
      </c>
      <c r="F161" s="47" t="str">
        <f>+Cuenta_Clasificacion[[#This Row],[Codigo Concepto de imputación]]&amp;" - "&amp;Cuenta_Clasificacion[[#This Row],[Nombre Concepto de imputación]]</f>
        <v>20062 - Sbctto Presurización</v>
      </c>
    </row>
    <row r="162" spans="1:6" x14ac:dyDescent="0.25">
      <c r="A162" s="43">
        <v>4101001</v>
      </c>
      <c r="B162" t="s">
        <v>69</v>
      </c>
      <c r="C162" s="43">
        <v>20063</v>
      </c>
      <c r="D162" t="s">
        <v>2847</v>
      </c>
      <c r="E162" s="47" t="str">
        <f>+Cuenta_Clasificacion[[#This Row],[Código Cuenta Contable]]&amp;" - "&amp;Cuenta_Clasificacion[[#This Row],[Nombre de Cuenta Contable]]</f>
        <v>4101001 - Costos Materiales de Obra</v>
      </c>
      <c r="F162" s="47" t="str">
        <f>+Cuenta_Clasificacion[[#This Row],[Codigo Concepto de imputación]]&amp;" - "&amp;Cuenta_Clasificacion[[#This Row],[Nombre Concepto de imputación]]</f>
        <v>20063 - Sbctto Puertas</v>
      </c>
    </row>
    <row r="163" spans="1:6" x14ac:dyDescent="0.25">
      <c r="A163" s="43">
        <v>4101001</v>
      </c>
      <c r="B163" t="s">
        <v>69</v>
      </c>
      <c r="C163" s="43">
        <v>20064</v>
      </c>
      <c r="D163" t="s">
        <v>2848</v>
      </c>
      <c r="E163" s="47" t="str">
        <f>+Cuenta_Clasificacion[[#This Row],[Código Cuenta Contable]]&amp;" - "&amp;Cuenta_Clasificacion[[#This Row],[Nombre de Cuenta Contable]]</f>
        <v>4101001 - Costos Materiales de Obra</v>
      </c>
      <c r="F163" s="47" t="str">
        <f>+Cuenta_Clasificacion[[#This Row],[Codigo Concepto de imputación]]&amp;" - "&amp;Cuenta_Clasificacion[[#This Row],[Nombre Concepto de imputación]]</f>
        <v>20064 - Sbctto Pulido de Pisos</v>
      </c>
    </row>
    <row r="164" spans="1:6" x14ac:dyDescent="0.25">
      <c r="A164" s="43">
        <v>4101001</v>
      </c>
      <c r="B164" t="s">
        <v>69</v>
      </c>
      <c r="C164" s="43">
        <v>20065</v>
      </c>
      <c r="D164" t="s">
        <v>2849</v>
      </c>
      <c r="E164" s="47" t="str">
        <f>+Cuenta_Clasificacion[[#This Row],[Código Cuenta Contable]]&amp;" - "&amp;Cuenta_Clasificacion[[#This Row],[Nombre de Cuenta Contable]]</f>
        <v>4101001 - Costos Materiales de Obra</v>
      </c>
      <c r="F164" s="47" t="str">
        <f>+Cuenta_Clasificacion[[#This Row],[Codigo Concepto de imputación]]&amp;" - "&amp;Cuenta_Clasificacion[[#This Row],[Nombre Concepto de imputación]]</f>
        <v>20065 - Sbctto Quincallería</v>
      </c>
    </row>
    <row r="165" spans="1:6" x14ac:dyDescent="0.25">
      <c r="A165" s="43">
        <v>4101001</v>
      </c>
      <c r="B165" t="s">
        <v>69</v>
      </c>
      <c r="C165" s="43">
        <v>20066</v>
      </c>
      <c r="D165" t="s">
        <v>2850</v>
      </c>
      <c r="E165" s="47" t="str">
        <f>+Cuenta_Clasificacion[[#This Row],[Código Cuenta Contable]]&amp;" - "&amp;Cuenta_Clasificacion[[#This Row],[Nombre de Cuenta Contable]]</f>
        <v>4101001 - Costos Materiales de Obra</v>
      </c>
      <c r="F165" s="47" t="str">
        <f>+Cuenta_Clasificacion[[#This Row],[Codigo Concepto de imputación]]&amp;" - "&amp;Cuenta_Clasificacion[[#This Row],[Nombre Concepto de imputación]]</f>
        <v>20066 - Sbctto Red de Calefacción</v>
      </c>
    </row>
    <row r="166" spans="1:6" x14ac:dyDescent="0.25">
      <c r="A166" s="43">
        <v>4101001</v>
      </c>
      <c r="B166" t="s">
        <v>69</v>
      </c>
      <c r="C166" s="43">
        <v>20067</v>
      </c>
      <c r="D166" t="s">
        <v>2851</v>
      </c>
      <c r="E166" s="47" t="str">
        <f>+Cuenta_Clasificacion[[#This Row],[Código Cuenta Contable]]&amp;" - "&amp;Cuenta_Clasificacion[[#This Row],[Nombre de Cuenta Contable]]</f>
        <v>4101001 - Costos Materiales de Obra</v>
      </c>
      <c r="F166" s="47" t="str">
        <f>+Cuenta_Clasificacion[[#This Row],[Codigo Concepto de imputación]]&amp;" - "&amp;Cuenta_Clasificacion[[#This Row],[Nombre Concepto de imputación]]</f>
        <v>20067 - Sbctto Retiro Escombros</v>
      </c>
    </row>
    <row r="167" spans="1:6" x14ac:dyDescent="0.25">
      <c r="A167" s="43">
        <v>4101001</v>
      </c>
      <c r="B167" t="s">
        <v>69</v>
      </c>
      <c r="C167" s="43">
        <v>20068</v>
      </c>
      <c r="D167" t="s">
        <v>2852</v>
      </c>
      <c r="E167" s="47" t="str">
        <f>+Cuenta_Clasificacion[[#This Row],[Código Cuenta Contable]]&amp;" - "&amp;Cuenta_Clasificacion[[#This Row],[Nombre de Cuenta Contable]]</f>
        <v>4101001 - Costos Materiales de Obra</v>
      </c>
      <c r="F167" s="47" t="str">
        <f>+Cuenta_Clasificacion[[#This Row],[Codigo Concepto de imputación]]&amp;" - "&amp;Cuenta_Clasificacion[[#This Row],[Nombre Concepto de imputación]]</f>
        <v>20068 - Sbctto Señalética</v>
      </c>
    </row>
    <row r="168" spans="1:6" x14ac:dyDescent="0.25">
      <c r="A168" s="43">
        <v>4101001</v>
      </c>
      <c r="B168" t="s">
        <v>69</v>
      </c>
      <c r="C168" s="43">
        <v>20069</v>
      </c>
      <c r="D168" t="s">
        <v>2853</v>
      </c>
      <c r="E168" s="47" t="str">
        <f>+Cuenta_Clasificacion[[#This Row],[Código Cuenta Contable]]&amp;" - "&amp;Cuenta_Clasificacion[[#This Row],[Nombre de Cuenta Contable]]</f>
        <v>4101001 - Costos Materiales de Obra</v>
      </c>
      <c r="F168" s="47" t="str">
        <f>+Cuenta_Clasificacion[[#This Row],[Codigo Concepto de imputación]]&amp;" - "&amp;Cuenta_Clasificacion[[#This Row],[Nombre Concepto de imputación]]</f>
        <v>20069 - Sbctto Servicio de Aseo</v>
      </c>
    </row>
    <row r="169" spans="1:6" x14ac:dyDescent="0.25">
      <c r="A169" s="43">
        <v>4101001</v>
      </c>
      <c r="B169" t="s">
        <v>69</v>
      </c>
      <c r="C169" s="43">
        <v>20070</v>
      </c>
      <c r="D169" t="s">
        <v>2854</v>
      </c>
      <c r="E169" s="47" t="str">
        <f>+Cuenta_Clasificacion[[#This Row],[Código Cuenta Contable]]&amp;" - "&amp;Cuenta_Clasificacion[[#This Row],[Nombre de Cuenta Contable]]</f>
        <v>4101001 - Costos Materiales de Obra</v>
      </c>
      <c r="F169" s="47" t="str">
        <f>+Cuenta_Clasificacion[[#This Row],[Codigo Concepto de imputación]]&amp;" - "&amp;Cuenta_Clasificacion[[#This Row],[Nombre Concepto de imputación]]</f>
        <v>20070 - Sbctto Suelos</v>
      </c>
    </row>
    <row r="170" spans="1:6" x14ac:dyDescent="0.25">
      <c r="A170" s="43">
        <v>4101001</v>
      </c>
      <c r="B170" t="s">
        <v>69</v>
      </c>
      <c r="C170" s="43">
        <v>20071</v>
      </c>
      <c r="D170" t="s">
        <v>2855</v>
      </c>
      <c r="E170" s="47" t="str">
        <f>+Cuenta_Clasificacion[[#This Row],[Código Cuenta Contable]]&amp;" - "&amp;Cuenta_Clasificacion[[#This Row],[Nombre de Cuenta Contable]]</f>
        <v>4101001 - Costos Materiales de Obra</v>
      </c>
      <c r="F170" s="47" t="str">
        <f>+Cuenta_Clasificacion[[#This Row],[Codigo Concepto de imputación]]&amp;" - "&amp;Cuenta_Clasificacion[[#This Row],[Nombre Concepto de imputación]]</f>
        <v>20071 - Sbctto Tabiques</v>
      </c>
    </row>
    <row r="171" spans="1:6" x14ac:dyDescent="0.25">
      <c r="A171" s="43">
        <v>4101001</v>
      </c>
      <c r="B171" t="s">
        <v>69</v>
      </c>
      <c r="C171" s="43">
        <v>20072</v>
      </c>
      <c r="D171" t="s">
        <v>2856</v>
      </c>
      <c r="E171" s="47" t="str">
        <f>+Cuenta_Clasificacion[[#This Row],[Código Cuenta Contable]]&amp;" - "&amp;Cuenta_Clasificacion[[#This Row],[Nombre de Cuenta Contable]]</f>
        <v>4101001 - Costos Materiales de Obra</v>
      </c>
      <c r="F171" s="47" t="str">
        <f>+Cuenta_Clasificacion[[#This Row],[Codigo Concepto de imputación]]&amp;" - "&amp;Cuenta_Clasificacion[[#This Row],[Nombre Concepto de imputación]]</f>
        <v>20072 - Sbctto Techumbres y Cubiertas</v>
      </c>
    </row>
    <row r="172" spans="1:6" x14ac:dyDescent="0.25">
      <c r="A172" s="43">
        <v>4101001</v>
      </c>
      <c r="B172" t="s">
        <v>69</v>
      </c>
      <c r="C172" s="43">
        <v>20073</v>
      </c>
      <c r="D172" t="s">
        <v>2857</v>
      </c>
      <c r="E172" s="47" t="str">
        <f>+Cuenta_Clasificacion[[#This Row],[Código Cuenta Contable]]&amp;" - "&amp;Cuenta_Clasificacion[[#This Row],[Nombre de Cuenta Contable]]</f>
        <v>4101001 - Costos Materiales de Obra</v>
      </c>
      <c r="F172" s="47" t="str">
        <f>+Cuenta_Clasificacion[[#This Row],[Codigo Concepto de imputación]]&amp;" - "&amp;Cuenta_Clasificacion[[#This Row],[Nombre Concepto de imputación]]</f>
        <v>20073 - Sbctto Topografía</v>
      </c>
    </row>
    <row r="173" spans="1:6" x14ac:dyDescent="0.25">
      <c r="A173" s="43">
        <v>4101001</v>
      </c>
      <c r="B173" t="s">
        <v>69</v>
      </c>
      <c r="C173" s="43">
        <v>20074</v>
      </c>
      <c r="D173" t="s">
        <v>2858</v>
      </c>
      <c r="E173" s="47" t="str">
        <f>+Cuenta_Clasificacion[[#This Row],[Código Cuenta Contable]]&amp;" - "&amp;Cuenta_Clasificacion[[#This Row],[Nombre de Cuenta Contable]]</f>
        <v>4101001 - Costos Materiales de Obra</v>
      </c>
      <c r="F173" s="47" t="str">
        <f>+Cuenta_Clasificacion[[#This Row],[Codigo Concepto de imputación]]&amp;" - "&amp;Cuenta_Clasificacion[[#This Row],[Nombre Concepto de imputación]]</f>
        <v>20074 - Sbctto Trámites</v>
      </c>
    </row>
    <row r="174" spans="1:6" x14ac:dyDescent="0.25">
      <c r="A174" s="43">
        <v>4101001</v>
      </c>
      <c r="B174" t="s">
        <v>69</v>
      </c>
      <c r="C174" s="43">
        <v>20075</v>
      </c>
      <c r="D174" t="s">
        <v>2859</v>
      </c>
      <c r="E174" s="47" t="str">
        <f>+Cuenta_Clasificacion[[#This Row],[Código Cuenta Contable]]&amp;" - "&amp;Cuenta_Clasificacion[[#This Row],[Nombre de Cuenta Contable]]</f>
        <v>4101001 - Costos Materiales de Obra</v>
      </c>
      <c r="F174" s="47" t="str">
        <f>+Cuenta_Clasificacion[[#This Row],[Codigo Concepto de imputación]]&amp;" - "&amp;Cuenta_Clasificacion[[#This Row],[Nombre Concepto de imputación]]</f>
        <v>20075 - Sbctto Transporte</v>
      </c>
    </row>
    <row r="175" spans="1:6" x14ac:dyDescent="0.25">
      <c r="A175" s="43">
        <v>4101001</v>
      </c>
      <c r="B175" t="s">
        <v>69</v>
      </c>
      <c r="C175" s="43">
        <v>20076</v>
      </c>
      <c r="D175" t="s">
        <v>2860</v>
      </c>
      <c r="E175" s="47" t="str">
        <f>+Cuenta_Clasificacion[[#This Row],[Código Cuenta Contable]]&amp;" - "&amp;Cuenta_Clasificacion[[#This Row],[Nombre de Cuenta Contable]]</f>
        <v>4101001 - Costos Materiales de Obra</v>
      </c>
      <c r="F175" s="47" t="str">
        <f>+Cuenta_Clasificacion[[#This Row],[Codigo Concepto de imputación]]&amp;" - "&amp;Cuenta_Clasificacion[[#This Row],[Nombre Concepto de imputación]]</f>
        <v>20076 - Sbctto Ventanas</v>
      </c>
    </row>
    <row r="176" spans="1:6" x14ac:dyDescent="0.25">
      <c r="A176" s="43">
        <v>4101001</v>
      </c>
      <c r="B176" t="s">
        <v>69</v>
      </c>
      <c r="C176" s="43">
        <v>20077</v>
      </c>
      <c r="D176" t="s">
        <v>2861</v>
      </c>
      <c r="E176" s="47" t="str">
        <f>+Cuenta_Clasificacion[[#This Row],[Código Cuenta Contable]]&amp;" - "&amp;Cuenta_Clasificacion[[#This Row],[Nombre de Cuenta Contable]]</f>
        <v>4101001 - Costos Materiales de Obra</v>
      </c>
      <c r="F176" s="47" t="str">
        <f>+Cuenta_Clasificacion[[#This Row],[Codigo Concepto de imputación]]&amp;" - "&amp;Cuenta_Clasificacion[[#This Row],[Nombre Concepto de imputación]]</f>
        <v>20077 - Sbctto Vitrificado</v>
      </c>
    </row>
    <row r="177" spans="1:6" x14ac:dyDescent="0.25">
      <c r="A177" s="43">
        <v>4101001</v>
      </c>
      <c r="B177" t="s">
        <v>69</v>
      </c>
      <c r="C177" s="43">
        <v>20078</v>
      </c>
      <c r="D177" t="s">
        <v>2862</v>
      </c>
      <c r="E177" s="47" t="str">
        <f>+Cuenta_Clasificacion[[#This Row],[Código Cuenta Contable]]&amp;" - "&amp;Cuenta_Clasificacion[[#This Row],[Nombre de Cuenta Contable]]</f>
        <v>4101001 - Costos Materiales de Obra</v>
      </c>
      <c r="F177" s="47" t="str">
        <f>+Cuenta_Clasificacion[[#This Row],[Codigo Concepto de imputación]]&amp;" - "&amp;Cuenta_Clasificacion[[#This Row],[Nombre Concepto de imputación]]</f>
        <v>20078 - Sbctto Zincado, Galvanizado</v>
      </c>
    </row>
    <row r="178" spans="1:6" x14ac:dyDescent="0.25">
      <c r="A178" s="43">
        <v>4101001</v>
      </c>
      <c r="B178" t="s">
        <v>69</v>
      </c>
      <c r="C178" s="43">
        <v>20079</v>
      </c>
      <c r="D178" t="s">
        <v>2863</v>
      </c>
      <c r="E178" s="47" t="str">
        <f>+Cuenta_Clasificacion[[#This Row],[Código Cuenta Contable]]&amp;" - "&amp;Cuenta_Clasificacion[[#This Row],[Nombre de Cuenta Contable]]</f>
        <v>4101001 - Costos Materiales de Obra</v>
      </c>
      <c r="F178" s="47" t="str">
        <f>+Cuenta_Clasificacion[[#This Row],[Codigo Concepto de imputación]]&amp;" - "&amp;Cuenta_Clasificacion[[#This Row],[Nombre Concepto de imputación]]</f>
        <v>20079 - Servicio Vigilancia</v>
      </c>
    </row>
    <row r="179" spans="1:6" x14ac:dyDescent="0.25">
      <c r="A179" s="43">
        <v>4101001</v>
      </c>
      <c r="B179" t="s">
        <v>69</v>
      </c>
      <c r="C179" s="43">
        <v>20080</v>
      </c>
      <c r="D179" t="s">
        <v>2864</v>
      </c>
      <c r="E179" s="47" t="str">
        <f>+Cuenta_Clasificacion[[#This Row],[Código Cuenta Contable]]&amp;" - "&amp;Cuenta_Clasificacion[[#This Row],[Nombre de Cuenta Contable]]</f>
        <v>4101001 - Costos Materiales de Obra</v>
      </c>
      <c r="F179" s="47" t="str">
        <f>+Cuenta_Clasificacion[[#This Row],[Codigo Concepto de imputación]]&amp;" - "&amp;Cuenta_Clasificacion[[#This Row],[Nombre Concepto de imputación]]</f>
        <v>20080 - Sbctto Instalación Especial</v>
      </c>
    </row>
    <row r="180" spans="1:6" x14ac:dyDescent="0.25">
      <c r="A180" s="43">
        <v>4101001</v>
      </c>
      <c r="B180" t="s">
        <v>69</v>
      </c>
      <c r="C180" s="43">
        <v>20081</v>
      </c>
      <c r="D180" t="s">
        <v>2865</v>
      </c>
      <c r="E180" s="47" t="str">
        <f>+Cuenta_Clasificacion[[#This Row],[Código Cuenta Contable]]&amp;" - "&amp;Cuenta_Clasificacion[[#This Row],[Nombre de Cuenta Contable]]</f>
        <v>4101001 - Costos Materiales de Obra</v>
      </c>
      <c r="F180" s="47" t="str">
        <f>+Cuenta_Clasificacion[[#This Row],[Codigo Concepto de imputación]]&amp;" - "&amp;Cuenta_Clasificacion[[#This Row],[Nombre Concepto de imputación]]</f>
        <v>20081 - Instalación Sist Computacional</v>
      </c>
    </row>
    <row r="181" spans="1:6" x14ac:dyDescent="0.25">
      <c r="A181" s="43">
        <v>4101001</v>
      </c>
      <c r="B181" t="s">
        <v>69</v>
      </c>
      <c r="C181" s="43">
        <v>20082</v>
      </c>
      <c r="D181" t="s">
        <v>2866</v>
      </c>
      <c r="E181" s="47" t="str">
        <f>+Cuenta_Clasificacion[[#This Row],[Código Cuenta Contable]]&amp;" - "&amp;Cuenta_Clasificacion[[#This Row],[Nombre de Cuenta Contable]]</f>
        <v>4101001 - Costos Materiales de Obra</v>
      </c>
      <c r="F181" s="47" t="str">
        <f>+Cuenta_Clasificacion[[#This Row],[Codigo Concepto de imputación]]&amp;" - "&amp;Cuenta_Clasificacion[[#This Row],[Nombre Concepto de imputación]]</f>
        <v>20082 - Operador Sbctto Arriendo</v>
      </c>
    </row>
    <row r="182" spans="1:6" x14ac:dyDescent="0.25">
      <c r="A182" s="43">
        <v>4101001</v>
      </c>
      <c r="B182" t="s">
        <v>69</v>
      </c>
      <c r="C182" s="43">
        <v>20083</v>
      </c>
      <c r="D182" t="s">
        <v>2867</v>
      </c>
      <c r="E182" s="47" t="str">
        <f>+Cuenta_Clasificacion[[#This Row],[Código Cuenta Contable]]&amp;" - "&amp;Cuenta_Clasificacion[[#This Row],[Nombre de Cuenta Contable]]</f>
        <v>4101001 - Costos Materiales de Obra</v>
      </c>
      <c r="F182" s="47" t="str">
        <f>+Cuenta_Clasificacion[[#This Row],[Codigo Concepto de imputación]]&amp;" - "&amp;Cuenta_Clasificacion[[#This Row],[Nombre Concepto de imputación]]</f>
        <v>20083 - Descuento Subcontrato</v>
      </c>
    </row>
    <row r="183" spans="1:6" x14ac:dyDescent="0.25">
      <c r="A183" s="43">
        <v>4101001</v>
      </c>
      <c r="B183" t="s">
        <v>69</v>
      </c>
      <c r="C183" s="43">
        <v>20086</v>
      </c>
      <c r="D183" t="s">
        <v>2868</v>
      </c>
      <c r="E183" s="47" t="str">
        <f>+Cuenta_Clasificacion[[#This Row],[Código Cuenta Contable]]&amp;" - "&amp;Cuenta_Clasificacion[[#This Row],[Nombre de Cuenta Contable]]</f>
        <v>4101001 - Costos Materiales de Obra</v>
      </c>
      <c r="F183" s="47" t="str">
        <f>+Cuenta_Clasificacion[[#This Row],[Codigo Concepto de imputación]]&amp;" - "&amp;Cuenta_Clasificacion[[#This Row],[Nombre Concepto de imputación]]</f>
        <v>20086 - Sbctto Otros Subcttos</v>
      </c>
    </row>
    <row r="184" spans="1:6" x14ac:dyDescent="0.25">
      <c r="A184" s="43">
        <v>4101001</v>
      </c>
      <c r="B184" t="s">
        <v>69</v>
      </c>
      <c r="C184" s="43">
        <v>30001</v>
      </c>
      <c r="D184" t="s">
        <v>2869</v>
      </c>
      <c r="E184" s="47" t="str">
        <f>+Cuenta_Clasificacion[[#This Row],[Código Cuenta Contable]]&amp;" - "&amp;Cuenta_Clasificacion[[#This Row],[Nombre de Cuenta Contable]]</f>
        <v>4101001 - Costos Materiales de Obra</v>
      </c>
      <c r="F184" s="47" t="str">
        <f>+Cuenta_Clasificacion[[#This Row],[Codigo Concepto de imputación]]&amp;" - "&amp;Cuenta_Clasificacion[[#This Row],[Nombre Concepto de imputación]]</f>
        <v>30001 - Andamios</v>
      </c>
    </row>
    <row r="185" spans="1:6" x14ac:dyDescent="0.25">
      <c r="A185" s="43">
        <v>4101001</v>
      </c>
      <c r="B185" t="s">
        <v>69</v>
      </c>
      <c r="C185" s="43">
        <v>30002</v>
      </c>
      <c r="D185" t="s">
        <v>2870</v>
      </c>
      <c r="E185" s="47" t="str">
        <f>+Cuenta_Clasificacion[[#This Row],[Código Cuenta Contable]]&amp;" - "&amp;Cuenta_Clasificacion[[#This Row],[Nombre de Cuenta Contable]]</f>
        <v>4101001 - Costos Materiales de Obra</v>
      </c>
      <c r="F185" s="47" t="str">
        <f>+Cuenta_Clasificacion[[#This Row],[Codigo Concepto de imputación]]&amp;" - "&amp;Cuenta_Clasificacion[[#This Row],[Nombre Concepto de imputación]]</f>
        <v>30002 - Camioneta</v>
      </c>
    </row>
    <row r="186" spans="1:6" x14ac:dyDescent="0.25">
      <c r="A186" s="43">
        <v>4101001</v>
      </c>
      <c r="B186" t="s">
        <v>69</v>
      </c>
      <c r="C186" s="43">
        <v>30003</v>
      </c>
      <c r="D186" t="s">
        <v>2871</v>
      </c>
      <c r="E186" s="47" t="str">
        <f>+Cuenta_Clasificacion[[#This Row],[Código Cuenta Contable]]&amp;" - "&amp;Cuenta_Clasificacion[[#This Row],[Nombre de Cuenta Contable]]</f>
        <v>4101001 - Costos Materiales de Obra</v>
      </c>
      <c r="F186" s="47" t="str">
        <f>+Cuenta_Clasificacion[[#This Row],[Codigo Concepto de imputación]]&amp;" - "&amp;Cuenta_Clasificacion[[#This Row],[Nombre Concepto de imputación]]</f>
        <v>30003 - Compactadores</v>
      </c>
    </row>
    <row r="187" spans="1:6" x14ac:dyDescent="0.25">
      <c r="A187" s="43">
        <v>4101001</v>
      </c>
      <c r="B187" t="s">
        <v>69</v>
      </c>
      <c r="C187" s="43">
        <v>30004</v>
      </c>
      <c r="D187" t="s">
        <v>2872</v>
      </c>
      <c r="E187" s="47" t="str">
        <f>+Cuenta_Clasificacion[[#This Row],[Código Cuenta Contable]]&amp;" - "&amp;Cuenta_Clasificacion[[#This Row],[Nombre de Cuenta Contable]]</f>
        <v>4101001 - Costos Materiales de Obra</v>
      </c>
      <c r="F187" s="47" t="str">
        <f>+Cuenta_Clasificacion[[#This Row],[Codigo Concepto de imputación]]&amp;" - "&amp;Cuenta_Clasificacion[[#This Row],[Nombre Concepto de imputación]]</f>
        <v>30004 - Compresores</v>
      </c>
    </row>
    <row r="188" spans="1:6" x14ac:dyDescent="0.25">
      <c r="A188" s="43">
        <v>4101001</v>
      </c>
      <c r="B188" t="s">
        <v>69</v>
      </c>
      <c r="C188" s="43">
        <v>30005</v>
      </c>
      <c r="D188" t="s">
        <v>2700</v>
      </c>
      <c r="E188" s="47" t="str">
        <f>+Cuenta_Clasificacion[[#This Row],[Código Cuenta Contable]]&amp;" - "&amp;Cuenta_Clasificacion[[#This Row],[Nombre de Cuenta Contable]]</f>
        <v>4101001 - Costos Materiales de Obra</v>
      </c>
      <c r="F188" s="47" t="str">
        <f>+Cuenta_Clasificacion[[#This Row],[Codigo Concepto de imputación]]&amp;" - "&amp;Cuenta_Clasificacion[[#This Row],[Nombre Concepto de imputación]]</f>
        <v>30005 - Elevadores y Grúas</v>
      </c>
    </row>
    <row r="189" spans="1:6" x14ac:dyDescent="0.25">
      <c r="A189" s="43">
        <v>4101001</v>
      </c>
      <c r="B189" t="s">
        <v>69</v>
      </c>
      <c r="C189" s="43">
        <v>30006</v>
      </c>
      <c r="D189" t="s">
        <v>2873</v>
      </c>
      <c r="E189" s="47" t="str">
        <f>+Cuenta_Clasificacion[[#This Row],[Código Cuenta Contable]]&amp;" - "&amp;Cuenta_Clasificacion[[#This Row],[Nombre de Cuenta Contable]]</f>
        <v>4101001 - Costos Materiales de Obra</v>
      </c>
      <c r="F189" s="47" t="str">
        <f>+Cuenta_Clasificacion[[#This Row],[Codigo Concepto de imputación]]&amp;" - "&amp;Cuenta_Clasificacion[[#This Row],[Nombre Concepto de imputación]]</f>
        <v>30006 - Eq Topográfico</v>
      </c>
    </row>
    <row r="190" spans="1:6" x14ac:dyDescent="0.25">
      <c r="A190" s="43">
        <v>4101001</v>
      </c>
      <c r="B190" t="s">
        <v>69</v>
      </c>
      <c r="C190" s="43">
        <v>30007</v>
      </c>
      <c r="D190" t="s">
        <v>2704</v>
      </c>
      <c r="E190" s="47" t="str">
        <f>+Cuenta_Clasificacion[[#This Row],[Código Cuenta Contable]]&amp;" - "&amp;Cuenta_Clasificacion[[#This Row],[Nombre de Cuenta Contable]]</f>
        <v>4101001 - Costos Materiales de Obra</v>
      </c>
      <c r="F190" s="47" t="str">
        <f>+Cuenta_Clasificacion[[#This Row],[Codigo Concepto de imputación]]&amp;" - "&amp;Cuenta_Clasificacion[[#This Row],[Nombre Concepto de imputación]]</f>
        <v>30007 - Eq Varios</v>
      </c>
    </row>
    <row r="191" spans="1:6" x14ac:dyDescent="0.25">
      <c r="A191" s="43">
        <v>4101001</v>
      </c>
      <c r="B191" t="s">
        <v>69</v>
      </c>
      <c r="C191" s="43">
        <v>30008</v>
      </c>
      <c r="D191" t="s">
        <v>2874</v>
      </c>
      <c r="E191" s="47" t="str">
        <f>+Cuenta_Clasificacion[[#This Row],[Código Cuenta Contable]]&amp;" - "&amp;Cuenta_Clasificacion[[#This Row],[Nombre de Cuenta Contable]]</f>
        <v>4101001 - Costos Materiales de Obra</v>
      </c>
      <c r="F191" s="47" t="str">
        <f>+Cuenta_Clasificacion[[#This Row],[Codigo Concepto de imputación]]&amp;" - "&amp;Cuenta_Clasificacion[[#This Row],[Nombre Concepto de imputación]]</f>
        <v>30008 - Grupo Electrógeno</v>
      </c>
    </row>
    <row r="192" spans="1:6" x14ac:dyDescent="0.25">
      <c r="A192" s="43">
        <v>4101001</v>
      </c>
      <c r="B192" t="s">
        <v>69</v>
      </c>
      <c r="C192" s="43">
        <v>30009</v>
      </c>
      <c r="D192" t="s">
        <v>2875</v>
      </c>
      <c r="E192" s="47" t="str">
        <f>+Cuenta_Clasificacion[[#This Row],[Código Cuenta Contable]]&amp;" - "&amp;Cuenta_Clasificacion[[#This Row],[Nombre de Cuenta Contable]]</f>
        <v>4101001 - Costos Materiales de Obra</v>
      </c>
      <c r="F192" s="47" t="str">
        <f>+Cuenta_Clasificacion[[#This Row],[Codigo Concepto de imputación]]&amp;" - "&amp;Cuenta_Clasificacion[[#This Row],[Nombre Concepto de imputación]]</f>
        <v>30009 - Moldajes</v>
      </c>
    </row>
    <row r="193" spans="1:6" x14ac:dyDescent="0.25">
      <c r="A193" s="43">
        <v>4101001</v>
      </c>
      <c r="B193" t="s">
        <v>69</v>
      </c>
      <c r="C193" s="43">
        <v>30010</v>
      </c>
      <c r="D193" t="s">
        <v>2701</v>
      </c>
      <c r="E193" s="47" t="str">
        <f>+Cuenta_Clasificacion[[#This Row],[Código Cuenta Contable]]&amp;" - "&amp;Cuenta_Clasificacion[[#This Row],[Nombre de Cuenta Contable]]</f>
        <v>4101001 - Costos Materiales de Obra</v>
      </c>
      <c r="F193" s="47" t="str">
        <f>+Cuenta_Clasificacion[[#This Row],[Codigo Concepto de imputación]]&amp;" - "&amp;Cuenta_Clasificacion[[#This Row],[Nombre Concepto de imputación]]</f>
        <v>30010 - Motores y Bombas</v>
      </c>
    </row>
    <row r="194" spans="1:6" x14ac:dyDescent="0.25">
      <c r="A194" s="43">
        <v>4101001</v>
      </c>
      <c r="B194" t="s">
        <v>69</v>
      </c>
      <c r="C194" s="43">
        <v>30011</v>
      </c>
      <c r="D194" t="s">
        <v>2702</v>
      </c>
      <c r="E194" s="47" t="str">
        <f>+Cuenta_Clasificacion[[#This Row],[Código Cuenta Contable]]&amp;" - "&amp;Cuenta_Clasificacion[[#This Row],[Nombre de Cuenta Contable]]</f>
        <v>4101001 - Costos Materiales de Obra</v>
      </c>
      <c r="F194" s="47" t="str">
        <f>+Cuenta_Clasificacion[[#This Row],[Codigo Concepto de imputación]]&amp;" - "&amp;Cuenta_Clasificacion[[#This Row],[Nombre Concepto de imputación]]</f>
        <v>30011 - Reparac/Mant Eq</v>
      </c>
    </row>
    <row r="195" spans="1:6" x14ac:dyDescent="0.25">
      <c r="A195" s="43">
        <v>4101001</v>
      </c>
      <c r="B195" t="s">
        <v>69</v>
      </c>
      <c r="C195" s="43">
        <v>30012</v>
      </c>
      <c r="D195" t="s">
        <v>2876</v>
      </c>
      <c r="E195" s="47" t="str">
        <f>+Cuenta_Clasificacion[[#This Row],[Código Cuenta Contable]]&amp;" - "&amp;Cuenta_Clasificacion[[#This Row],[Nombre de Cuenta Contable]]</f>
        <v>4101001 - Costos Materiales de Obra</v>
      </c>
      <c r="F195" s="47" t="str">
        <f>+Cuenta_Clasificacion[[#This Row],[Codigo Concepto de imputación]]&amp;" - "&amp;Cuenta_Clasificacion[[#This Row],[Nombre Concepto de imputación]]</f>
        <v>30012 - Retroexcavadora y Bulldozer</v>
      </c>
    </row>
    <row r="196" spans="1:6" x14ac:dyDescent="0.25">
      <c r="A196" s="43">
        <v>4101001</v>
      </c>
      <c r="B196" t="s">
        <v>69</v>
      </c>
      <c r="C196" s="43">
        <v>30013</v>
      </c>
      <c r="D196" t="s">
        <v>2877</v>
      </c>
      <c r="E196" s="47" t="str">
        <f>+Cuenta_Clasificacion[[#This Row],[Código Cuenta Contable]]&amp;" - "&amp;Cuenta_Clasificacion[[#This Row],[Nombre de Cuenta Contable]]</f>
        <v>4101001 - Costos Materiales de Obra</v>
      </c>
      <c r="F196" s="47" t="str">
        <f>+Cuenta_Clasificacion[[#This Row],[Codigo Concepto de imputación]]&amp;" - "&amp;Cuenta_Clasificacion[[#This Row],[Nombre Concepto de imputación]]</f>
        <v>30013 - Rotomartillos</v>
      </c>
    </row>
    <row r="197" spans="1:6" x14ac:dyDescent="0.25">
      <c r="A197" s="43">
        <v>4101001</v>
      </c>
      <c r="B197" t="s">
        <v>69</v>
      </c>
      <c r="C197" s="43">
        <v>30014</v>
      </c>
      <c r="D197" t="s">
        <v>2878</v>
      </c>
      <c r="E197" s="47" t="str">
        <f>+Cuenta_Clasificacion[[#This Row],[Código Cuenta Contable]]&amp;" - "&amp;Cuenta_Clasificacion[[#This Row],[Nombre de Cuenta Contable]]</f>
        <v>4101001 - Costos Materiales de Obra</v>
      </c>
      <c r="F197" s="47" t="str">
        <f>+Cuenta_Clasificacion[[#This Row],[Codigo Concepto de imputación]]&amp;" - "&amp;Cuenta_Clasificacion[[#This Row],[Nombre Concepto de imputación]]</f>
        <v>30014 - Trompos/Betoneras</v>
      </c>
    </row>
    <row r="198" spans="1:6" x14ac:dyDescent="0.25">
      <c r="A198" s="43">
        <v>4101001</v>
      </c>
      <c r="B198" t="s">
        <v>69</v>
      </c>
      <c r="C198" s="43">
        <v>30015</v>
      </c>
      <c r="D198" t="s">
        <v>2879</v>
      </c>
      <c r="E198" s="47" t="str">
        <f>+Cuenta_Clasificacion[[#This Row],[Código Cuenta Contable]]&amp;" - "&amp;Cuenta_Clasificacion[[#This Row],[Nombre de Cuenta Contable]]</f>
        <v>4101001 - Costos Materiales de Obra</v>
      </c>
      <c r="F198" s="47" t="str">
        <f>+Cuenta_Clasificacion[[#This Row],[Codigo Concepto de imputación]]&amp;" - "&amp;Cuenta_Clasificacion[[#This Row],[Nombre Concepto de imputación]]</f>
        <v>30015 - Vibradores</v>
      </c>
    </row>
    <row r="199" spans="1:6" x14ac:dyDescent="0.25">
      <c r="A199" s="43">
        <v>4101001</v>
      </c>
      <c r="B199" t="s">
        <v>69</v>
      </c>
      <c r="C199" s="43">
        <v>30016</v>
      </c>
      <c r="D199" t="s">
        <v>2880</v>
      </c>
      <c r="E199" s="47" t="str">
        <f>+Cuenta_Clasificacion[[#This Row],[Código Cuenta Contable]]&amp;" - "&amp;Cuenta_Clasificacion[[#This Row],[Nombre de Cuenta Contable]]</f>
        <v>4101001 - Costos Materiales de Obra</v>
      </c>
      <c r="F199" s="47" t="str">
        <f>+Cuenta_Clasificacion[[#This Row],[Codigo Concepto de imputación]]&amp;" - "&amp;Cuenta_Clasificacion[[#This Row],[Nombre Concepto de imputación]]</f>
        <v>30016 - Sbctto Arr Andamios</v>
      </c>
    </row>
    <row r="200" spans="1:6" x14ac:dyDescent="0.25">
      <c r="A200" s="43">
        <v>4101001</v>
      </c>
      <c r="B200" t="s">
        <v>69</v>
      </c>
      <c r="C200" s="43">
        <v>30017</v>
      </c>
      <c r="D200" t="s">
        <v>2881</v>
      </c>
      <c r="E200" s="47" t="str">
        <f>+Cuenta_Clasificacion[[#This Row],[Código Cuenta Contable]]&amp;" - "&amp;Cuenta_Clasificacion[[#This Row],[Nombre de Cuenta Contable]]</f>
        <v>4101001 - Costos Materiales de Obra</v>
      </c>
      <c r="F200" s="47" t="str">
        <f>+Cuenta_Clasificacion[[#This Row],[Codigo Concepto de imputación]]&amp;" - "&amp;Cuenta_Clasificacion[[#This Row],[Nombre Concepto de imputación]]</f>
        <v>30017 - Sbctto Arr Baños y Duchas</v>
      </c>
    </row>
    <row r="201" spans="1:6" x14ac:dyDescent="0.25">
      <c r="A201" s="43">
        <v>4101001</v>
      </c>
      <c r="B201" t="s">
        <v>69</v>
      </c>
      <c r="C201" s="43">
        <v>30018</v>
      </c>
      <c r="D201" t="s">
        <v>2882</v>
      </c>
      <c r="E201" s="47" t="str">
        <f>+Cuenta_Clasificacion[[#This Row],[Código Cuenta Contable]]&amp;" - "&amp;Cuenta_Clasificacion[[#This Row],[Nombre de Cuenta Contable]]</f>
        <v>4101001 - Costos Materiales de Obra</v>
      </c>
      <c r="F201" s="47" t="str">
        <f>+Cuenta_Clasificacion[[#This Row],[Codigo Concepto de imputación]]&amp;" - "&amp;Cuenta_Clasificacion[[#This Row],[Nombre Concepto de imputación]]</f>
        <v>30018 - Sbctto Arr Camiones</v>
      </c>
    </row>
    <row r="202" spans="1:6" x14ac:dyDescent="0.25">
      <c r="A202" s="43">
        <v>4101001</v>
      </c>
      <c r="B202" t="s">
        <v>69</v>
      </c>
      <c r="C202" s="43">
        <v>30019</v>
      </c>
      <c r="D202" t="s">
        <v>2883</v>
      </c>
      <c r="E202" s="47" t="str">
        <f>+Cuenta_Clasificacion[[#This Row],[Código Cuenta Contable]]&amp;" - "&amp;Cuenta_Clasificacion[[#This Row],[Nombre de Cuenta Contable]]</f>
        <v>4101001 - Costos Materiales de Obra</v>
      </c>
      <c r="F202" s="47" t="str">
        <f>+Cuenta_Clasificacion[[#This Row],[Codigo Concepto de imputación]]&amp;" - "&amp;Cuenta_Clasificacion[[#This Row],[Nombre Concepto de imputación]]</f>
        <v>30019 - Sbctto Arr Compactadores</v>
      </c>
    </row>
    <row r="203" spans="1:6" x14ac:dyDescent="0.25">
      <c r="A203" s="43">
        <v>4101001</v>
      </c>
      <c r="B203" t="s">
        <v>69</v>
      </c>
      <c r="C203" s="43">
        <v>30020</v>
      </c>
      <c r="D203" t="s">
        <v>2884</v>
      </c>
      <c r="E203" s="47" t="str">
        <f>+Cuenta_Clasificacion[[#This Row],[Código Cuenta Contable]]&amp;" - "&amp;Cuenta_Clasificacion[[#This Row],[Nombre de Cuenta Contable]]</f>
        <v>4101001 - Costos Materiales de Obra</v>
      </c>
      <c r="F203" s="47" t="str">
        <f>+Cuenta_Clasificacion[[#This Row],[Codigo Concepto de imputación]]&amp;" - "&amp;Cuenta_Clasificacion[[#This Row],[Nombre Concepto de imputación]]</f>
        <v>30020 - Sbctto Arr Compresores</v>
      </c>
    </row>
    <row r="204" spans="1:6" x14ac:dyDescent="0.25">
      <c r="A204" s="43">
        <v>4101001</v>
      </c>
      <c r="B204" t="s">
        <v>69</v>
      </c>
      <c r="C204" s="43">
        <v>30021</v>
      </c>
      <c r="D204" t="s">
        <v>2885</v>
      </c>
      <c r="E204" s="47" t="str">
        <f>+Cuenta_Clasificacion[[#This Row],[Código Cuenta Contable]]&amp;" - "&amp;Cuenta_Clasificacion[[#This Row],[Nombre de Cuenta Contable]]</f>
        <v>4101001 - Costos Materiales de Obra</v>
      </c>
      <c r="F204" s="47" t="str">
        <f>+Cuenta_Clasificacion[[#This Row],[Codigo Concepto de imputación]]&amp;" - "&amp;Cuenta_Clasificacion[[#This Row],[Nombre Concepto de imputación]]</f>
        <v>30021 - Sbctto Arr Contenedor</v>
      </c>
    </row>
    <row r="205" spans="1:6" x14ac:dyDescent="0.25">
      <c r="A205" s="43">
        <v>4101001</v>
      </c>
      <c r="B205" t="s">
        <v>69</v>
      </c>
      <c r="C205" s="43">
        <v>30022</v>
      </c>
      <c r="D205" t="s">
        <v>2886</v>
      </c>
      <c r="E205" s="47" t="str">
        <f>+Cuenta_Clasificacion[[#This Row],[Código Cuenta Contable]]&amp;" - "&amp;Cuenta_Clasificacion[[#This Row],[Nombre de Cuenta Contable]]</f>
        <v>4101001 - Costos Materiales de Obra</v>
      </c>
      <c r="F205" s="47" t="str">
        <f>+Cuenta_Clasificacion[[#This Row],[Codigo Concepto de imputación]]&amp;" - "&amp;Cuenta_Clasificacion[[#This Row],[Nombre Concepto de imputación]]</f>
        <v>30022 - Sbctto Arr Elevadores y Grúas</v>
      </c>
    </row>
    <row r="206" spans="1:6" x14ac:dyDescent="0.25">
      <c r="A206" s="43">
        <v>4101001</v>
      </c>
      <c r="B206" t="s">
        <v>69</v>
      </c>
      <c r="C206" s="43">
        <v>30023</v>
      </c>
      <c r="D206" t="s">
        <v>2887</v>
      </c>
      <c r="E206" s="47" t="str">
        <f>+Cuenta_Clasificacion[[#This Row],[Código Cuenta Contable]]&amp;" - "&amp;Cuenta_Clasificacion[[#This Row],[Nombre de Cuenta Contable]]</f>
        <v>4101001 - Costos Materiales de Obra</v>
      </c>
      <c r="F206" s="47" t="str">
        <f>+Cuenta_Clasificacion[[#This Row],[Codigo Concepto de imputación]]&amp;" - "&amp;Cuenta_Clasificacion[[#This Row],[Nombre Concepto de imputación]]</f>
        <v>30023 - Sbctto Arr Eq Topográfico</v>
      </c>
    </row>
    <row r="207" spans="1:6" x14ac:dyDescent="0.25">
      <c r="A207" s="43">
        <v>4101001</v>
      </c>
      <c r="B207" t="s">
        <v>69</v>
      </c>
      <c r="C207" s="43">
        <v>30024</v>
      </c>
      <c r="D207" t="s">
        <v>2888</v>
      </c>
      <c r="E207" s="47" t="str">
        <f>+Cuenta_Clasificacion[[#This Row],[Código Cuenta Contable]]&amp;" - "&amp;Cuenta_Clasificacion[[#This Row],[Nombre de Cuenta Contable]]</f>
        <v>4101001 - Costos Materiales de Obra</v>
      </c>
      <c r="F207" s="47" t="str">
        <f>+Cuenta_Clasificacion[[#This Row],[Codigo Concepto de imputación]]&amp;" - "&amp;Cuenta_Clasificacion[[#This Row],[Nombre Concepto de imputación]]</f>
        <v>30024 - Sbctto Arr Eq Varios</v>
      </c>
    </row>
    <row r="208" spans="1:6" x14ac:dyDescent="0.25">
      <c r="A208" s="43">
        <v>4101001</v>
      </c>
      <c r="B208" t="s">
        <v>69</v>
      </c>
      <c r="C208" s="43">
        <v>30025</v>
      </c>
      <c r="D208" t="s">
        <v>2889</v>
      </c>
      <c r="E208" s="47" t="str">
        <f>+Cuenta_Clasificacion[[#This Row],[Código Cuenta Contable]]&amp;" - "&amp;Cuenta_Clasificacion[[#This Row],[Nombre de Cuenta Contable]]</f>
        <v>4101001 - Costos Materiales de Obra</v>
      </c>
      <c r="F208" s="47" t="str">
        <f>+Cuenta_Clasificacion[[#This Row],[Codigo Concepto de imputación]]&amp;" - "&amp;Cuenta_Clasificacion[[#This Row],[Nombre Concepto de imputación]]</f>
        <v>30025 - Sbctto Arr Grupo Electrógeno</v>
      </c>
    </row>
    <row r="209" spans="1:6" x14ac:dyDescent="0.25">
      <c r="A209" s="43">
        <v>4101001</v>
      </c>
      <c r="B209" t="s">
        <v>69</v>
      </c>
      <c r="C209" s="43">
        <v>30026</v>
      </c>
      <c r="D209" t="s">
        <v>2890</v>
      </c>
      <c r="E209" s="47" t="str">
        <f>+Cuenta_Clasificacion[[#This Row],[Código Cuenta Contable]]&amp;" - "&amp;Cuenta_Clasificacion[[#This Row],[Nombre de Cuenta Contable]]</f>
        <v>4101001 - Costos Materiales de Obra</v>
      </c>
      <c r="F209" s="47" t="str">
        <f>+Cuenta_Clasificacion[[#This Row],[Codigo Concepto de imputación]]&amp;" - "&amp;Cuenta_Clasificacion[[#This Row],[Nombre Concepto de imputación]]</f>
        <v>30026 - Sbctto Arr Moldajes</v>
      </c>
    </row>
    <row r="210" spans="1:6" x14ac:dyDescent="0.25">
      <c r="A210" s="43">
        <v>4101001</v>
      </c>
      <c r="B210" t="s">
        <v>69</v>
      </c>
      <c r="C210" s="43">
        <v>30027</v>
      </c>
      <c r="D210" t="s">
        <v>2891</v>
      </c>
      <c r="E210" s="47" t="str">
        <f>+Cuenta_Clasificacion[[#This Row],[Código Cuenta Contable]]&amp;" - "&amp;Cuenta_Clasificacion[[#This Row],[Nombre de Cuenta Contable]]</f>
        <v>4101001 - Costos Materiales de Obra</v>
      </c>
      <c r="F210" s="47" t="str">
        <f>+Cuenta_Clasificacion[[#This Row],[Codigo Concepto de imputación]]&amp;" - "&amp;Cuenta_Clasificacion[[#This Row],[Nombre Concepto de imputación]]</f>
        <v>30027 - Sbctto Arr Motobombas</v>
      </c>
    </row>
    <row r="211" spans="1:6" x14ac:dyDescent="0.25">
      <c r="A211" s="43">
        <v>4101001</v>
      </c>
      <c r="B211" t="s">
        <v>69</v>
      </c>
      <c r="C211" s="43">
        <v>30028</v>
      </c>
      <c r="D211" t="s">
        <v>2892</v>
      </c>
      <c r="E211" s="47" t="str">
        <f>+Cuenta_Clasificacion[[#This Row],[Código Cuenta Contable]]&amp;" - "&amp;Cuenta_Clasificacion[[#This Row],[Nombre de Cuenta Contable]]</f>
        <v>4101001 - Costos Materiales de Obra</v>
      </c>
      <c r="F211" s="47" t="str">
        <f>+Cuenta_Clasificacion[[#This Row],[Codigo Concepto de imputación]]&amp;" - "&amp;Cuenta_Clasificacion[[#This Row],[Nombre Concepto de imputación]]</f>
        <v>30028 - Sbctto Arr Retro. y Bulldozer</v>
      </c>
    </row>
    <row r="212" spans="1:6" x14ac:dyDescent="0.25">
      <c r="A212" s="43">
        <v>4101001</v>
      </c>
      <c r="B212" t="s">
        <v>69</v>
      </c>
      <c r="C212" s="43">
        <v>30029</v>
      </c>
      <c r="D212" t="s">
        <v>2893</v>
      </c>
      <c r="E212" s="47" t="str">
        <f>+Cuenta_Clasificacion[[#This Row],[Código Cuenta Contable]]&amp;" - "&amp;Cuenta_Clasificacion[[#This Row],[Nombre de Cuenta Contable]]</f>
        <v>4101001 - Costos Materiales de Obra</v>
      </c>
      <c r="F212" s="47" t="str">
        <f>+Cuenta_Clasificacion[[#This Row],[Codigo Concepto de imputación]]&amp;" - "&amp;Cuenta_Clasificacion[[#This Row],[Nombre Concepto de imputación]]</f>
        <v>30029 - Sbctto Arr Rotomartillos</v>
      </c>
    </row>
    <row r="213" spans="1:6" x14ac:dyDescent="0.25">
      <c r="A213" s="43">
        <v>4101001</v>
      </c>
      <c r="B213" t="s">
        <v>69</v>
      </c>
      <c r="C213" s="43">
        <v>30030</v>
      </c>
      <c r="D213" t="s">
        <v>2894</v>
      </c>
      <c r="E213" s="47" t="str">
        <f>+Cuenta_Clasificacion[[#This Row],[Código Cuenta Contable]]&amp;" - "&amp;Cuenta_Clasificacion[[#This Row],[Nombre de Cuenta Contable]]</f>
        <v>4101001 - Costos Materiales de Obra</v>
      </c>
      <c r="F213" s="47" t="str">
        <f>+Cuenta_Clasificacion[[#This Row],[Codigo Concepto de imputación]]&amp;" - "&amp;Cuenta_Clasificacion[[#This Row],[Nombre Concepto de imputación]]</f>
        <v>30030 - Sbctto Arr Trompos/Betoneras</v>
      </c>
    </row>
    <row r="214" spans="1:6" x14ac:dyDescent="0.25">
      <c r="A214" s="43">
        <v>4101001</v>
      </c>
      <c r="B214" t="s">
        <v>69</v>
      </c>
      <c r="C214" s="43">
        <v>30031</v>
      </c>
      <c r="D214" t="s">
        <v>2895</v>
      </c>
      <c r="E214" s="47" t="str">
        <f>+Cuenta_Clasificacion[[#This Row],[Código Cuenta Contable]]&amp;" - "&amp;Cuenta_Clasificacion[[#This Row],[Nombre de Cuenta Contable]]</f>
        <v>4101001 - Costos Materiales de Obra</v>
      </c>
      <c r="F214" s="47" t="str">
        <f>+Cuenta_Clasificacion[[#This Row],[Codigo Concepto de imputación]]&amp;" - "&amp;Cuenta_Clasificacion[[#This Row],[Nombre Concepto de imputación]]</f>
        <v>30031 - Sbctto Arr Vibradores</v>
      </c>
    </row>
    <row r="215" spans="1:6" x14ac:dyDescent="0.25">
      <c r="A215" s="43">
        <v>4101001</v>
      </c>
      <c r="B215" t="s">
        <v>69</v>
      </c>
      <c r="C215" s="43">
        <v>30032</v>
      </c>
      <c r="D215" t="s">
        <v>2896</v>
      </c>
      <c r="E215" s="47" t="str">
        <f>+Cuenta_Clasificacion[[#This Row],[Código Cuenta Contable]]&amp;" - "&amp;Cuenta_Clasificacion[[#This Row],[Nombre de Cuenta Contable]]</f>
        <v>4101001 - Costos Materiales de Obra</v>
      </c>
      <c r="F215" s="47" t="str">
        <f>+Cuenta_Clasificacion[[#This Row],[Codigo Concepto de imputación]]&amp;" - "&amp;Cuenta_Clasificacion[[#This Row],[Nombre Concepto de imputación]]</f>
        <v>30032 - Sbctto Generador Eléctrico</v>
      </c>
    </row>
    <row r="216" spans="1:6" x14ac:dyDescent="0.25">
      <c r="A216" s="43">
        <v>4101001</v>
      </c>
      <c r="B216" t="s">
        <v>69</v>
      </c>
      <c r="C216" s="43">
        <v>50008</v>
      </c>
      <c r="D216" t="s">
        <v>2897</v>
      </c>
      <c r="E216" s="47" t="str">
        <f>+Cuenta_Clasificacion[[#This Row],[Código Cuenta Contable]]&amp;" - "&amp;Cuenta_Clasificacion[[#This Row],[Nombre de Cuenta Contable]]</f>
        <v>4101001 - Costos Materiales de Obra</v>
      </c>
      <c r="F216" s="47" t="str">
        <f>+Cuenta_Clasificacion[[#This Row],[Codigo Concepto de imputación]]&amp;" - "&amp;Cuenta_Clasificacion[[#This Row],[Nombre Concepto de imputación]]</f>
        <v>50008 - Alimentos</v>
      </c>
    </row>
    <row r="217" spans="1:6" x14ac:dyDescent="0.25">
      <c r="A217" s="43">
        <v>4101001</v>
      </c>
      <c r="B217" t="s">
        <v>69</v>
      </c>
      <c r="C217" s="43">
        <v>50009</v>
      </c>
      <c r="D217" t="s">
        <v>2898</v>
      </c>
      <c r="E217" s="47" t="str">
        <f>+Cuenta_Clasificacion[[#This Row],[Código Cuenta Contable]]&amp;" - "&amp;Cuenta_Clasificacion[[#This Row],[Nombre de Cuenta Contable]]</f>
        <v>4101001 - Costos Materiales de Obra</v>
      </c>
      <c r="F217" s="47" t="str">
        <f>+Cuenta_Clasificacion[[#This Row],[Codigo Concepto de imputación]]&amp;" - "&amp;Cuenta_Clasificacion[[#This Row],[Nombre Concepto de imputación]]</f>
        <v>50009 - Aseo y Cocina</v>
      </c>
    </row>
    <row r="218" spans="1:6" x14ac:dyDescent="0.25">
      <c r="A218" s="43">
        <v>4101001</v>
      </c>
      <c r="B218" t="s">
        <v>69</v>
      </c>
      <c r="C218" s="43">
        <v>50010</v>
      </c>
      <c r="D218" t="s">
        <v>2899</v>
      </c>
      <c r="E218" s="47" t="str">
        <f>+Cuenta_Clasificacion[[#This Row],[Código Cuenta Contable]]&amp;" - "&amp;Cuenta_Clasificacion[[#This Row],[Nombre de Cuenta Contable]]</f>
        <v>4101001 - Costos Materiales de Obra</v>
      </c>
      <c r="F218" s="47" t="str">
        <f>+Cuenta_Clasificacion[[#This Row],[Codigo Concepto de imputación]]&amp;" - "&amp;Cuenta_Clasificacion[[#This Row],[Nombre Concepto de imputación]]</f>
        <v>50010 - Buses y Radiotaxi</v>
      </c>
    </row>
    <row r="219" spans="1:6" x14ac:dyDescent="0.25">
      <c r="A219" s="43">
        <v>4101001</v>
      </c>
      <c r="B219" t="s">
        <v>69</v>
      </c>
      <c r="C219" s="43">
        <v>50011</v>
      </c>
      <c r="D219" t="s">
        <v>2900</v>
      </c>
      <c r="E219" s="47" t="str">
        <f>+Cuenta_Clasificacion[[#This Row],[Código Cuenta Contable]]&amp;" - "&amp;Cuenta_Clasificacion[[#This Row],[Nombre de Cuenta Contable]]</f>
        <v>4101001 - Costos Materiales de Obra</v>
      </c>
      <c r="F219" s="47" t="str">
        <f>+Cuenta_Clasificacion[[#This Row],[Codigo Concepto de imputación]]&amp;" - "&amp;Cuenta_Clasificacion[[#This Row],[Nombre Concepto de imputación]]</f>
        <v>50011 - Capacitación</v>
      </c>
    </row>
    <row r="220" spans="1:6" x14ac:dyDescent="0.25">
      <c r="A220" s="43">
        <v>4101001</v>
      </c>
      <c r="B220" t="s">
        <v>69</v>
      </c>
      <c r="C220" s="43">
        <v>50012</v>
      </c>
      <c r="D220" t="s">
        <v>2901</v>
      </c>
      <c r="E220" s="47" t="str">
        <f>+Cuenta_Clasificacion[[#This Row],[Código Cuenta Contable]]&amp;" - "&amp;Cuenta_Clasificacion[[#This Row],[Nombre de Cuenta Contable]]</f>
        <v>4101001 - Costos Materiales de Obra</v>
      </c>
      <c r="F220" s="47" t="str">
        <f>+Cuenta_Clasificacion[[#This Row],[Codigo Concepto de imputación]]&amp;" - "&amp;Cuenta_Clasificacion[[#This Row],[Nombre Concepto de imputación]]</f>
        <v>50012 - Honorarios y Asesorías</v>
      </c>
    </row>
    <row r="221" spans="1:6" x14ac:dyDescent="0.25">
      <c r="A221" s="43">
        <v>4101001</v>
      </c>
      <c r="B221" t="s">
        <v>69</v>
      </c>
      <c r="C221" s="43">
        <v>50013</v>
      </c>
      <c r="D221" t="s">
        <v>2902</v>
      </c>
      <c r="E221" s="47" t="str">
        <f>+Cuenta_Clasificacion[[#This Row],[Código Cuenta Contable]]&amp;" - "&amp;Cuenta_Clasificacion[[#This Row],[Nombre de Cuenta Contable]]</f>
        <v>4101001 - Costos Materiales de Obra</v>
      </c>
      <c r="F221" s="47" t="str">
        <f>+Cuenta_Clasificacion[[#This Row],[Codigo Concepto de imputación]]&amp;" - "&amp;Cuenta_Clasificacion[[#This Row],[Nombre Concepto de imputación]]</f>
        <v>50013 - Seguros</v>
      </c>
    </row>
    <row r="222" spans="1:6" x14ac:dyDescent="0.25">
      <c r="A222" s="43">
        <v>4101001</v>
      </c>
      <c r="B222" t="s">
        <v>69</v>
      </c>
      <c r="C222" s="43">
        <v>50014</v>
      </c>
      <c r="D222" t="s">
        <v>2903</v>
      </c>
      <c r="E222" s="47" t="str">
        <f>+Cuenta_Clasificacion[[#This Row],[Código Cuenta Contable]]&amp;" - "&amp;Cuenta_Clasificacion[[#This Row],[Nombre de Cuenta Contable]]</f>
        <v>4101001 - Costos Materiales de Obra</v>
      </c>
      <c r="F222" s="47" t="str">
        <f>+Cuenta_Clasificacion[[#This Row],[Codigo Concepto de imputación]]&amp;" - "&amp;Cuenta_Clasificacion[[#This Row],[Nombre Concepto de imputación]]</f>
        <v>50014 - Tramitaciones</v>
      </c>
    </row>
    <row r="223" spans="1:6" x14ac:dyDescent="0.25">
      <c r="A223" s="43">
        <v>4101001</v>
      </c>
      <c r="B223" t="s">
        <v>69</v>
      </c>
      <c r="C223" s="43">
        <v>50015</v>
      </c>
      <c r="D223" t="s">
        <v>2904</v>
      </c>
      <c r="E223" s="47" t="str">
        <f>+Cuenta_Clasificacion[[#This Row],[Código Cuenta Contable]]&amp;" - "&amp;Cuenta_Clasificacion[[#This Row],[Nombre de Cuenta Contable]]</f>
        <v>4101001 - Costos Materiales de Obra</v>
      </c>
      <c r="F223" s="47" t="str">
        <f>+Cuenta_Clasificacion[[#This Row],[Codigo Concepto de imputación]]&amp;" - "&amp;Cuenta_Clasificacion[[#This Row],[Nombre Concepto de imputación]]</f>
        <v>50015 - Transporte</v>
      </c>
    </row>
    <row r="224" spans="1:6" x14ac:dyDescent="0.25">
      <c r="A224" s="43">
        <v>4101001</v>
      </c>
      <c r="B224" t="s">
        <v>69</v>
      </c>
      <c r="C224" s="43">
        <v>50016</v>
      </c>
      <c r="D224" t="s">
        <v>2905</v>
      </c>
      <c r="E224" s="47" t="str">
        <f>+Cuenta_Clasificacion[[#This Row],[Código Cuenta Contable]]&amp;" - "&amp;Cuenta_Clasificacion[[#This Row],[Nombre de Cuenta Contable]]</f>
        <v>4101001 - Costos Materiales de Obra</v>
      </c>
      <c r="F224" s="47" t="str">
        <f>+Cuenta_Clasificacion[[#This Row],[Codigo Concepto de imputación]]&amp;" - "&amp;Cuenta_Clasificacion[[#This Row],[Nombre Concepto de imputación]]</f>
        <v>50016 - Útiles Oficina</v>
      </c>
    </row>
    <row r="225" spans="1:6" x14ac:dyDescent="0.25">
      <c r="A225" s="43">
        <v>4101001</v>
      </c>
      <c r="B225" t="s">
        <v>69</v>
      </c>
      <c r="C225" s="43">
        <v>50017</v>
      </c>
      <c r="D225" t="s">
        <v>2906</v>
      </c>
      <c r="E225" s="47" t="str">
        <f>+Cuenta_Clasificacion[[#This Row],[Código Cuenta Contable]]&amp;" - "&amp;Cuenta_Clasificacion[[#This Row],[Nombre de Cuenta Contable]]</f>
        <v>4101001 - Costos Materiales de Obra</v>
      </c>
      <c r="F225" s="47" t="str">
        <f>+Cuenta_Clasificacion[[#This Row],[Codigo Concepto de imputación]]&amp;" - "&amp;Cuenta_Clasificacion[[#This Row],[Nombre Concepto de imputación]]</f>
        <v>50017 - Consumos Básicos</v>
      </c>
    </row>
    <row r="226" spans="1:6" x14ac:dyDescent="0.25">
      <c r="A226" s="43">
        <v>4101001</v>
      </c>
      <c r="B226" t="s">
        <v>69</v>
      </c>
      <c r="C226" s="43">
        <v>50021</v>
      </c>
      <c r="D226" t="s">
        <v>2907</v>
      </c>
      <c r="E226" s="47" t="str">
        <f>+Cuenta_Clasificacion[[#This Row],[Código Cuenta Contable]]&amp;" - "&amp;Cuenta_Clasificacion[[#This Row],[Nombre de Cuenta Contable]]</f>
        <v>4101001 - Costos Materiales de Obra</v>
      </c>
      <c r="F226" s="47" t="str">
        <f>+Cuenta_Clasificacion[[#This Row],[Codigo Concepto de imputación]]&amp;" - "&amp;Cuenta_Clasificacion[[#This Row],[Nombre Concepto de imputación]]</f>
        <v>50021 - Consumos de Obra</v>
      </c>
    </row>
    <row r="227" spans="1:6" x14ac:dyDescent="0.25">
      <c r="A227" s="43">
        <v>4101001</v>
      </c>
      <c r="B227" t="s">
        <v>69</v>
      </c>
      <c r="C227" s="43">
        <v>50023</v>
      </c>
      <c r="D227" t="s">
        <v>2908</v>
      </c>
      <c r="E227" s="47" t="str">
        <f>+Cuenta_Clasificacion[[#This Row],[Código Cuenta Contable]]&amp;" - "&amp;Cuenta_Clasificacion[[#This Row],[Nombre de Cuenta Contable]]</f>
        <v>4101001 - Costos Materiales de Obra</v>
      </c>
      <c r="F227" s="47" t="str">
        <f>+Cuenta_Clasificacion[[#This Row],[Codigo Concepto de imputación]]&amp;" - "&amp;Cuenta_Clasificacion[[#This Row],[Nombre Concepto de imputación]]</f>
        <v>50023 - Pasajes, Hotel y Otros GG</v>
      </c>
    </row>
    <row r="228" spans="1:6" x14ac:dyDescent="0.25">
      <c r="A228" s="43">
        <v>4101001</v>
      </c>
      <c r="B228" t="s">
        <v>69</v>
      </c>
      <c r="C228" s="43">
        <v>50024</v>
      </c>
      <c r="D228" t="s">
        <v>2729</v>
      </c>
      <c r="E228" s="47" t="str">
        <f>+Cuenta_Clasificacion[[#This Row],[Código Cuenta Contable]]&amp;" - "&amp;Cuenta_Clasificacion[[#This Row],[Nombre de Cuenta Contable]]</f>
        <v>4101001 - Costos Materiales de Obra</v>
      </c>
      <c r="F228" s="47" t="str">
        <f>+Cuenta_Clasificacion[[#This Row],[Codigo Concepto de imputación]]&amp;" - "&amp;Cuenta_Clasificacion[[#This Row],[Nombre Concepto de imputación]]</f>
        <v>50024 - Combustibles</v>
      </c>
    </row>
    <row r="229" spans="1:6" x14ac:dyDescent="0.25">
      <c r="A229" s="43">
        <v>4101001</v>
      </c>
      <c r="B229" t="s">
        <v>69</v>
      </c>
      <c r="C229" s="43">
        <v>50028</v>
      </c>
      <c r="D229" t="s">
        <v>2909</v>
      </c>
      <c r="E229" s="47" t="str">
        <f>+Cuenta_Clasificacion[[#This Row],[Código Cuenta Contable]]&amp;" - "&amp;Cuenta_Clasificacion[[#This Row],[Nombre de Cuenta Contable]]</f>
        <v>4101001 - Costos Materiales de Obra</v>
      </c>
      <c r="F229" s="47" t="str">
        <f>+Cuenta_Clasificacion[[#This Row],[Codigo Concepto de imputación]]&amp;" - "&amp;Cuenta_Clasificacion[[#This Row],[Nombre Concepto de imputación]]</f>
        <v>50028 - Boletas de Garantía</v>
      </c>
    </row>
    <row r="230" spans="1:6" x14ac:dyDescent="0.25">
      <c r="A230" s="43">
        <v>4101001</v>
      </c>
      <c r="B230" t="s">
        <v>69</v>
      </c>
      <c r="C230" s="43">
        <v>50031</v>
      </c>
      <c r="D230" t="s">
        <v>2910</v>
      </c>
      <c r="E230" s="47" t="str">
        <f>+Cuenta_Clasificacion[[#This Row],[Código Cuenta Contable]]&amp;" - "&amp;Cuenta_Clasificacion[[#This Row],[Nombre de Cuenta Contable]]</f>
        <v>4101001 - Costos Materiales de Obra</v>
      </c>
      <c r="F230" s="47" t="str">
        <f>+Cuenta_Clasificacion[[#This Row],[Codigo Concepto de imputación]]&amp;" - "&amp;Cuenta_Clasificacion[[#This Row],[Nombre Concepto de imputación]]</f>
        <v>50031 - COVID</v>
      </c>
    </row>
    <row r="231" spans="1:6" x14ac:dyDescent="0.25">
      <c r="A231" s="43">
        <v>4101001</v>
      </c>
      <c r="B231" t="s">
        <v>69</v>
      </c>
      <c r="C231" s="43">
        <v>77777</v>
      </c>
      <c r="D231" t="s">
        <v>2703</v>
      </c>
      <c r="E231" s="47" t="str">
        <f>+Cuenta_Clasificacion[[#This Row],[Código Cuenta Contable]]&amp;" - "&amp;Cuenta_Clasificacion[[#This Row],[Nombre de Cuenta Contable]]</f>
        <v>4101001 - Costos Materiales de Obra</v>
      </c>
      <c r="F231" s="47" t="str">
        <f>+Cuenta_Clasificacion[[#This Row],[Codigo Concepto de imputación]]&amp;" - "&amp;Cuenta_Clasificacion[[#This Row],[Nombre Concepto de imputación]]</f>
        <v>77777 - REGULARIZACIONES</v>
      </c>
    </row>
    <row r="232" spans="1:6" x14ac:dyDescent="0.25">
      <c r="A232" s="43">
        <v>4102001</v>
      </c>
      <c r="B232" t="s">
        <v>152</v>
      </c>
      <c r="C232" s="43">
        <v>10001</v>
      </c>
      <c r="D232" t="s">
        <v>2708</v>
      </c>
      <c r="E232" s="47" t="str">
        <f>+Cuenta_Clasificacion[[#This Row],[Código Cuenta Contable]]&amp;" - "&amp;Cuenta_Clasificacion[[#This Row],[Nombre de Cuenta Contable]]</f>
        <v>4102001 - Costos Subcontratos</v>
      </c>
      <c r="F232" s="47" t="str">
        <f>+Cuenta_Clasificacion[[#This Row],[Codigo Concepto de imputación]]&amp;" - "&amp;Cuenta_Clasificacion[[#This Row],[Nombre Concepto de imputación]]</f>
        <v>10001 - Accesorios Sanitarios</v>
      </c>
    </row>
    <row r="233" spans="1:6" x14ac:dyDescent="0.25">
      <c r="A233" s="43">
        <v>4102001</v>
      </c>
      <c r="B233" t="s">
        <v>152</v>
      </c>
      <c r="C233" s="43">
        <v>10002</v>
      </c>
      <c r="D233" t="s">
        <v>2709</v>
      </c>
      <c r="E233" s="47" t="str">
        <f>+Cuenta_Clasificacion[[#This Row],[Código Cuenta Contable]]&amp;" - "&amp;Cuenta_Clasificacion[[#This Row],[Nombre de Cuenta Contable]]</f>
        <v>4102001 - Costos Subcontratos</v>
      </c>
      <c r="F233" s="47" t="str">
        <f>+Cuenta_Clasificacion[[#This Row],[Codigo Concepto de imputación]]&amp;" - "&amp;Cuenta_Clasificacion[[#This Row],[Nombre Concepto de imputación]]</f>
        <v>10002 - Adhesivos</v>
      </c>
    </row>
    <row r="234" spans="1:6" x14ac:dyDescent="0.25">
      <c r="A234" s="43">
        <v>4102001</v>
      </c>
      <c r="B234" t="s">
        <v>152</v>
      </c>
      <c r="C234" s="43">
        <v>10003</v>
      </c>
      <c r="D234" t="s">
        <v>2710</v>
      </c>
      <c r="E234" s="47" t="str">
        <f>+Cuenta_Clasificacion[[#This Row],[Código Cuenta Contable]]&amp;" - "&amp;Cuenta_Clasificacion[[#This Row],[Nombre de Cuenta Contable]]</f>
        <v>4102001 - Costos Subcontratos</v>
      </c>
      <c r="F234" s="47" t="str">
        <f>+Cuenta_Clasificacion[[#This Row],[Codigo Concepto de imputación]]&amp;" - "&amp;Cuenta_Clasificacion[[#This Row],[Nombre Concepto de imputación]]</f>
        <v>10003 - Aditivos</v>
      </c>
    </row>
    <row r="235" spans="1:6" x14ac:dyDescent="0.25">
      <c r="A235" s="43">
        <v>4102001</v>
      </c>
      <c r="B235" t="s">
        <v>152</v>
      </c>
      <c r="C235" s="43">
        <v>10004</v>
      </c>
      <c r="D235" t="s">
        <v>2711</v>
      </c>
      <c r="E235" s="47" t="str">
        <f>+Cuenta_Clasificacion[[#This Row],[Código Cuenta Contable]]&amp;" - "&amp;Cuenta_Clasificacion[[#This Row],[Nombre de Cuenta Contable]]</f>
        <v>4102001 - Costos Subcontratos</v>
      </c>
      <c r="F235" s="47" t="str">
        <f>+Cuenta_Clasificacion[[#This Row],[Codigo Concepto de imputación]]&amp;" - "&amp;Cuenta_Clasificacion[[#This Row],[Nombre Concepto de imputación]]</f>
        <v>10004 - Aislación</v>
      </c>
    </row>
    <row r="236" spans="1:6" x14ac:dyDescent="0.25">
      <c r="A236" s="43">
        <v>4102001</v>
      </c>
      <c r="B236" t="s">
        <v>152</v>
      </c>
      <c r="C236" s="43">
        <v>10005</v>
      </c>
      <c r="D236" t="s">
        <v>2712</v>
      </c>
      <c r="E236" s="47" t="str">
        <f>+Cuenta_Clasificacion[[#This Row],[Código Cuenta Contable]]&amp;" - "&amp;Cuenta_Clasificacion[[#This Row],[Nombre de Cuenta Contable]]</f>
        <v>4102001 - Costos Subcontratos</v>
      </c>
      <c r="F236" s="47" t="str">
        <f>+Cuenta_Clasificacion[[#This Row],[Codigo Concepto de imputación]]&amp;" - "&amp;Cuenta_Clasificacion[[#This Row],[Nombre Concepto de imputación]]</f>
        <v>10005 - Alambre</v>
      </c>
    </row>
    <row r="237" spans="1:6" x14ac:dyDescent="0.25">
      <c r="A237" s="43">
        <v>4102001</v>
      </c>
      <c r="B237" t="s">
        <v>152</v>
      </c>
      <c r="C237" s="43">
        <v>10006</v>
      </c>
      <c r="D237" t="s">
        <v>2713</v>
      </c>
      <c r="E237" s="47" t="str">
        <f>+Cuenta_Clasificacion[[#This Row],[Código Cuenta Contable]]&amp;" - "&amp;Cuenta_Clasificacion[[#This Row],[Nombre de Cuenta Contable]]</f>
        <v>4102001 - Costos Subcontratos</v>
      </c>
      <c r="F237" s="47" t="str">
        <f>+Cuenta_Clasificacion[[#This Row],[Codigo Concepto de imputación]]&amp;" - "&amp;Cuenta_Clasificacion[[#This Row],[Nombre Concepto de imputación]]</f>
        <v>10006 - Alcantarillado</v>
      </c>
    </row>
    <row r="238" spans="1:6" x14ac:dyDescent="0.25">
      <c r="A238" s="43">
        <v>4102001</v>
      </c>
      <c r="B238" t="s">
        <v>152</v>
      </c>
      <c r="C238" s="43">
        <v>10007</v>
      </c>
      <c r="D238" t="s">
        <v>2714</v>
      </c>
      <c r="E238" s="47" t="str">
        <f>+Cuenta_Clasificacion[[#This Row],[Código Cuenta Contable]]&amp;" - "&amp;Cuenta_Clasificacion[[#This Row],[Nombre de Cuenta Contable]]</f>
        <v>4102001 - Costos Subcontratos</v>
      </c>
      <c r="F238" s="47" t="str">
        <f>+Cuenta_Clasificacion[[#This Row],[Codigo Concepto de imputación]]&amp;" - "&amp;Cuenta_Clasificacion[[#This Row],[Nombre Concepto de imputación]]</f>
        <v>10007 - Alfombras</v>
      </c>
    </row>
    <row r="239" spans="1:6" x14ac:dyDescent="0.25">
      <c r="A239" s="43">
        <v>4102001</v>
      </c>
      <c r="B239" t="s">
        <v>152</v>
      </c>
      <c r="C239" s="43">
        <v>10008</v>
      </c>
      <c r="D239" t="s">
        <v>2715</v>
      </c>
      <c r="E239" s="47" t="str">
        <f>+Cuenta_Clasificacion[[#This Row],[Código Cuenta Contable]]&amp;" - "&amp;Cuenta_Clasificacion[[#This Row],[Nombre de Cuenta Contable]]</f>
        <v>4102001 - Costos Subcontratos</v>
      </c>
      <c r="F239" s="47" t="str">
        <f>+Cuenta_Clasificacion[[#This Row],[Codigo Concepto de imputación]]&amp;" - "&amp;Cuenta_Clasificacion[[#This Row],[Nombre Concepto de imputación]]</f>
        <v>10008 - Aluminios</v>
      </c>
    </row>
    <row r="240" spans="1:6" x14ac:dyDescent="0.25">
      <c r="A240" s="43">
        <v>4102001</v>
      </c>
      <c r="B240" t="s">
        <v>152</v>
      </c>
      <c r="C240" s="43">
        <v>10009</v>
      </c>
      <c r="D240" t="s">
        <v>2716</v>
      </c>
      <c r="E240" s="47" t="str">
        <f>+Cuenta_Clasificacion[[#This Row],[Código Cuenta Contable]]&amp;" - "&amp;Cuenta_Clasificacion[[#This Row],[Nombre de Cuenta Contable]]</f>
        <v>4102001 - Costos Subcontratos</v>
      </c>
      <c r="F240" s="47" t="str">
        <f>+Cuenta_Clasificacion[[#This Row],[Codigo Concepto de imputación]]&amp;" - "&amp;Cuenta_Clasificacion[[#This Row],[Nombre Concepto de imputación]]</f>
        <v>10009 - Áridos</v>
      </c>
    </row>
    <row r="241" spans="1:6" x14ac:dyDescent="0.25">
      <c r="A241" s="43">
        <v>4102001</v>
      </c>
      <c r="B241" t="s">
        <v>152</v>
      </c>
      <c r="C241" s="43">
        <v>10010</v>
      </c>
      <c r="D241" t="s">
        <v>2717</v>
      </c>
      <c r="E241" s="47" t="str">
        <f>+Cuenta_Clasificacion[[#This Row],[Código Cuenta Contable]]&amp;" - "&amp;Cuenta_Clasificacion[[#This Row],[Nombre de Cuenta Contable]]</f>
        <v>4102001 - Costos Subcontratos</v>
      </c>
      <c r="F241" s="47" t="str">
        <f>+Cuenta_Clasificacion[[#This Row],[Codigo Concepto de imputación]]&amp;" - "&amp;Cuenta_Clasificacion[[#This Row],[Nombre Concepto de imputación]]</f>
        <v>10010 - Artículos Eléctricos</v>
      </c>
    </row>
    <row r="242" spans="1:6" x14ac:dyDescent="0.25">
      <c r="A242" s="43">
        <v>4102001</v>
      </c>
      <c r="B242" t="s">
        <v>152</v>
      </c>
      <c r="C242" s="43">
        <v>10011</v>
      </c>
      <c r="D242" t="s">
        <v>2718</v>
      </c>
      <c r="E242" s="47" t="str">
        <f>+Cuenta_Clasificacion[[#This Row],[Código Cuenta Contable]]&amp;" - "&amp;Cuenta_Clasificacion[[#This Row],[Nombre de Cuenta Contable]]</f>
        <v>4102001 - Costos Subcontratos</v>
      </c>
      <c r="F242" s="47" t="str">
        <f>+Cuenta_Clasificacion[[#This Row],[Codigo Concepto de imputación]]&amp;" - "&amp;Cuenta_Clasificacion[[#This Row],[Nombre Concepto de imputación]]</f>
        <v>10011 - Artículos Gas</v>
      </c>
    </row>
    <row r="243" spans="1:6" x14ac:dyDescent="0.25">
      <c r="A243" s="43">
        <v>4102001</v>
      </c>
      <c r="B243" t="s">
        <v>152</v>
      </c>
      <c r="C243" s="43">
        <v>10012</v>
      </c>
      <c r="D243" t="s">
        <v>2719</v>
      </c>
      <c r="E243" s="47" t="str">
        <f>+Cuenta_Clasificacion[[#This Row],[Código Cuenta Contable]]&amp;" - "&amp;Cuenta_Clasificacion[[#This Row],[Nombre de Cuenta Contable]]</f>
        <v>4102001 - Costos Subcontratos</v>
      </c>
      <c r="F243" s="47" t="str">
        <f>+Cuenta_Clasificacion[[#This Row],[Codigo Concepto de imputación]]&amp;" - "&amp;Cuenta_Clasificacion[[#This Row],[Nombre Concepto de imputación]]</f>
        <v>10012 - Artículos Sanitarios</v>
      </c>
    </row>
    <row r="244" spans="1:6" x14ac:dyDescent="0.25">
      <c r="A244" s="43">
        <v>4102001</v>
      </c>
      <c r="B244" t="s">
        <v>152</v>
      </c>
      <c r="C244" s="43">
        <v>10013</v>
      </c>
      <c r="D244" t="s">
        <v>2720</v>
      </c>
      <c r="E244" s="47" t="str">
        <f>+Cuenta_Clasificacion[[#This Row],[Código Cuenta Contable]]&amp;" - "&amp;Cuenta_Clasificacion[[#This Row],[Nombre de Cuenta Contable]]</f>
        <v>4102001 - Costos Subcontratos</v>
      </c>
      <c r="F244" s="47" t="str">
        <f>+Cuenta_Clasificacion[[#This Row],[Codigo Concepto de imputación]]&amp;" - "&amp;Cuenta_Clasificacion[[#This Row],[Nombre Concepto de imputación]]</f>
        <v>10013 - Cables</v>
      </c>
    </row>
    <row r="245" spans="1:6" x14ac:dyDescent="0.25">
      <c r="A245" s="43">
        <v>4102001</v>
      </c>
      <c r="B245" t="s">
        <v>152</v>
      </c>
      <c r="C245" s="43">
        <v>10014</v>
      </c>
      <c r="D245" t="s">
        <v>2721</v>
      </c>
      <c r="E245" s="47" t="str">
        <f>+Cuenta_Clasificacion[[#This Row],[Código Cuenta Contable]]&amp;" - "&amp;Cuenta_Clasificacion[[#This Row],[Nombre de Cuenta Contable]]</f>
        <v>4102001 - Costos Subcontratos</v>
      </c>
      <c r="F245" s="47" t="str">
        <f>+Cuenta_Clasificacion[[#This Row],[Codigo Concepto de imputación]]&amp;" - "&amp;Cuenta_Clasificacion[[#This Row],[Nombre Concepto de imputación]]</f>
        <v>10014 - Cadenas</v>
      </c>
    </row>
    <row r="246" spans="1:6" x14ac:dyDescent="0.25">
      <c r="A246" s="43">
        <v>4102001</v>
      </c>
      <c r="B246" t="s">
        <v>152</v>
      </c>
      <c r="C246" s="43">
        <v>10015</v>
      </c>
      <c r="D246" t="s">
        <v>2722</v>
      </c>
      <c r="E246" s="47" t="str">
        <f>+Cuenta_Clasificacion[[#This Row],[Código Cuenta Contable]]&amp;" - "&amp;Cuenta_Clasificacion[[#This Row],[Nombre de Cuenta Contable]]</f>
        <v>4102001 - Costos Subcontratos</v>
      </c>
      <c r="F246" s="47" t="str">
        <f>+Cuenta_Clasificacion[[#This Row],[Codigo Concepto de imputación]]&amp;" - "&amp;Cuenta_Clasificacion[[#This Row],[Nombre Concepto de imputación]]</f>
        <v>10015 - Cañerías Acero</v>
      </c>
    </row>
    <row r="247" spans="1:6" x14ac:dyDescent="0.25">
      <c r="A247" s="43">
        <v>4102001</v>
      </c>
      <c r="B247" t="s">
        <v>152</v>
      </c>
      <c r="C247" s="43">
        <v>10016</v>
      </c>
      <c r="D247" t="s">
        <v>2723</v>
      </c>
      <c r="E247" s="47" t="str">
        <f>+Cuenta_Clasificacion[[#This Row],[Código Cuenta Contable]]&amp;" - "&amp;Cuenta_Clasificacion[[#This Row],[Nombre de Cuenta Contable]]</f>
        <v>4102001 - Costos Subcontratos</v>
      </c>
      <c r="F247" s="47" t="str">
        <f>+Cuenta_Clasificacion[[#This Row],[Codigo Concepto de imputación]]&amp;" - "&amp;Cuenta_Clasificacion[[#This Row],[Nombre Concepto de imputación]]</f>
        <v>10016 - Cañerías Cobre</v>
      </c>
    </row>
    <row r="248" spans="1:6" x14ac:dyDescent="0.25">
      <c r="A248" s="43">
        <v>4102001</v>
      </c>
      <c r="B248" t="s">
        <v>152</v>
      </c>
      <c r="C248" s="43">
        <v>10017</v>
      </c>
      <c r="D248" t="s">
        <v>2724</v>
      </c>
      <c r="E248" s="47" t="str">
        <f>+Cuenta_Clasificacion[[#This Row],[Código Cuenta Contable]]&amp;" - "&amp;Cuenta_Clasificacion[[#This Row],[Nombre de Cuenta Contable]]</f>
        <v>4102001 - Costos Subcontratos</v>
      </c>
      <c r="F248" s="47" t="str">
        <f>+Cuenta_Clasificacion[[#This Row],[Codigo Concepto de imputación]]&amp;" - "&amp;Cuenta_Clasificacion[[#This Row],[Nombre Concepto de imputación]]</f>
        <v>10017 - Cañerías PVC</v>
      </c>
    </row>
    <row r="249" spans="1:6" x14ac:dyDescent="0.25">
      <c r="A249" s="43">
        <v>4102001</v>
      </c>
      <c r="B249" t="s">
        <v>152</v>
      </c>
      <c r="C249" s="43">
        <v>10018</v>
      </c>
      <c r="D249" t="s">
        <v>2725</v>
      </c>
      <c r="E249" s="47" t="str">
        <f>+Cuenta_Clasificacion[[#This Row],[Código Cuenta Contable]]&amp;" - "&amp;Cuenta_Clasificacion[[#This Row],[Nombre de Cuenta Contable]]</f>
        <v>4102001 - Costos Subcontratos</v>
      </c>
      <c r="F249" s="47" t="str">
        <f>+Cuenta_Clasificacion[[#This Row],[Codigo Concepto de imputación]]&amp;" - "&amp;Cuenta_Clasificacion[[#This Row],[Nombre Concepto de imputación]]</f>
        <v>10018 - Cementos</v>
      </c>
    </row>
    <row r="250" spans="1:6" x14ac:dyDescent="0.25">
      <c r="A250" s="43">
        <v>4102001</v>
      </c>
      <c r="B250" t="s">
        <v>152</v>
      </c>
      <c r="C250" s="43">
        <v>10019</v>
      </c>
      <c r="D250" t="s">
        <v>2726</v>
      </c>
      <c r="E250" s="47" t="str">
        <f>+Cuenta_Clasificacion[[#This Row],[Código Cuenta Contable]]&amp;" - "&amp;Cuenta_Clasificacion[[#This Row],[Nombre de Cuenta Contable]]</f>
        <v>4102001 - Costos Subcontratos</v>
      </c>
      <c r="F250" s="47" t="str">
        <f>+Cuenta_Clasificacion[[#This Row],[Codigo Concepto de imputación]]&amp;" - "&amp;Cuenta_Clasificacion[[#This Row],[Nombre Concepto de imputación]]</f>
        <v>10019 - Cerámicos y Baldosas</v>
      </c>
    </row>
    <row r="251" spans="1:6" x14ac:dyDescent="0.25">
      <c r="A251" s="43">
        <v>4102001</v>
      </c>
      <c r="B251" t="s">
        <v>152</v>
      </c>
      <c r="C251" s="43">
        <v>10020</v>
      </c>
      <c r="D251" t="s">
        <v>2727</v>
      </c>
      <c r="E251" s="47" t="str">
        <f>+Cuenta_Clasificacion[[#This Row],[Código Cuenta Contable]]&amp;" - "&amp;Cuenta_Clasificacion[[#This Row],[Nombre de Cuenta Contable]]</f>
        <v>4102001 - Costos Subcontratos</v>
      </c>
      <c r="F251" s="47" t="str">
        <f>+Cuenta_Clasificacion[[#This Row],[Codigo Concepto de imputación]]&amp;" - "&amp;Cuenta_Clasificacion[[#This Row],[Nombre Concepto de imputación]]</f>
        <v>10020 - Cielo Modular</v>
      </c>
    </row>
    <row r="252" spans="1:6" x14ac:dyDescent="0.25">
      <c r="A252" s="43">
        <v>4102001</v>
      </c>
      <c r="B252" t="s">
        <v>152</v>
      </c>
      <c r="C252" s="43">
        <v>10021</v>
      </c>
      <c r="D252" t="s">
        <v>2728</v>
      </c>
      <c r="E252" s="47" t="str">
        <f>+Cuenta_Clasificacion[[#This Row],[Código Cuenta Contable]]&amp;" - "&amp;Cuenta_Clasificacion[[#This Row],[Nombre de Cuenta Contable]]</f>
        <v>4102001 - Costos Subcontratos</v>
      </c>
      <c r="F252" s="47" t="str">
        <f>+Cuenta_Clasificacion[[#This Row],[Codigo Concepto de imputación]]&amp;" - "&amp;Cuenta_Clasificacion[[#This Row],[Nombre Concepto de imputación]]</f>
        <v>10021 - Cierros</v>
      </c>
    </row>
    <row r="253" spans="1:6" x14ac:dyDescent="0.25">
      <c r="A253" s="43">
        <v>4102001</v>
      </c>
      <c r="B253" t="s">
        <v>152</v>
      </c>
      <c r="C253" s="43">
        <v>10023</v>
      </c>
      <c r="D253" t="s">
        <v>2730</v>
      </c>
      <c r="E253" s="47" t="str">
        <f>+Cuenta_Clasificacion[[#This Row],[Código Cuenta Contable]]&amp;" - "&amp;Cuenta_Clasificacion[[#This Row],[Nombre de Cuenta Contable]]</f>
        <v>4102001 - Costos Subcontratos</v>
      </c>
      <c r="F253" s="47" t="str">
        <f>+Cuenta_Clasificacion[[#This Row],[Codigo Concepto de imputación]]&amp;" - "&amp;Cuenta_Clasificacion[[#This Row],[Nombre Concepto de imputación]]</f>
        <v>10023 - Cubrejuntas y Dilataciones</v>
      </c>
    </row>
    <row r="254" spans="1:6" x14ac:dyDescent="0.25">
      <c r="A254" s="43">
        <v>4102001</v>
      </c>
      <c r="B254" t="s">
        <v>152</v>
      </c>
      <c r="C254" s="43">
        <v>10024</v>
      </c>
      <c r="D254" t="s">
        <v>2731</v>
      </c>
      <c r="E254" s="47" t="str">
        <f>+Cuenta_Clasificacion[[#This Row],[Código Cuenta Contable]]&amp;" - "&amp;Cuenta_Clasificacion[[#This Row],[Nombre de Cuenta Contable]]</f>
        <v>4102001 - Costos Subcontratos</v>
      </c>
      <c r="F254" s="47" t="str">
        <f>+Cuenta_Clasificacion[[#This Row],[Codigo Concepto de imputación]]&amp;" - "&amp;Cuenta_Clasificacion[[#This Row],[Nombre Concepto de imputación]]</f>
        <v>10024 - Dren</v>
      </c>
    </row>
    <row r="255" spans="1:6" x14ac:dyDescent="0.25">
      <c r="A255" s="43">
        <v>4102001</v>
      </c>
      <c r="B255" t="s">
        <v>152</v>
      </c>
      <c r="C255" s="43">
        <v>10025</v>
      </c>
      <c r="D255" t="s">
        <v>2732</v>
      </c>
      <c r="E255" s="47" t="str">
        <f>+Cuenta_Clasificacion[[#This Row],[Código Cuenta Contable]]&amp;" - "&amp;Cuenta_Clasificacion[[#This Row],[Nombre de Cuenta Contable]]</f>
        <v>4102001 - Costos Subcontratos</v>
      </c>
      <c r="F255" s="47" t="str">
        <f>+Cuenta_Clasificacion[[#This Row],[Codigo Concepto de imputación]]&amp;" - "&amp;Cuenta_Clasificacion[[#This Row],[Nombre Concepto de imputación]]</f>
        <v>10025 - Elementos Seguridad</v>
      </c>
    </row>
    <row r="256" spans="1:6" x14ac:dyDescent="0.25">
      <c r="A256" s="43">
        <v>4102001</v>
      </c>
      <c r="B256" t="s">
        <v>152</v>
      </c>
      <c r="C256" s="43">
        <v>10027</v>
      </c>
      <c r="D256" t="s">
        <v>2734</v>
      </c>
      <c r="E256" s="47" t="str">
        <f>+Cuenta_Clasificacion[[#This Row],[Código Cuenta Contable]]&amp;" - "&amp;Cuenta_Clasificacion[[#This Row],[Nombre de Cuenta Contable]]</f>
        <v>4102001 - Costos Subcontratos</v>
      </c>
      <c r="F256" s="47" t="str">
        <f>+Cuenta_Clasificacion[[#This Row],[Codigo Concepto de imputación]]&amp;" - "&amp;Cuenta_Clasificacion[[#This Row],[Nombre Concepto de imputación]]</f>
        <v>10027 - Eq Comp/Eléct Oficina</v>
      </c>
    </row>
    <row r="257" spans="1:6" x14ac:dyDescent="0.25">
      <c r="A257" s="43">
        <v>4102001</v>
      </c>
      <c r="B257" t="s">
        <v>152</v>
      </c>
      <c r="C257" s="43">
        <v>10028</v>
      </c>
      <c r="D257" t="s">
        <v>2696</v>
      </c>
      <c r="E257" s="47" t="str">
        <f>+Cuenta_Clasificacion[[#This Row],[Código Cuenta Contable]]&amp;" - "&amp;Cuenta_Clasificacion[[#This Row],[Nombre de Cuenta Contable]]</f>
        <v>4102001 - Costos Subcontratos</v>
      </c>
      <c r="F257" s="47" t="str">
        <f>+Cuenta_Clasificacion[[#This Row],[Codigo Concepto de imputación]]&amp;" - "&amp;Cuenta_Clasificacion[[#This Row],[Nombre Concepto de imputación]]</f>
        <v>10028 - Equipamiento</v>
      </c>
    </row>
    <row r="258" spans="1:6" x14ac:dyDescent="0.25">
      <c r="A258" s="43">
        <v>4102001</v>
      </c>
      <c r="B258" t="s">
        <v>152</v>
      </c>
      <c r="C258" s="43">
        <v>10029</v>
      </c>
      <c r="D258" t="s">
        <v>2735</v>
      </c>
      <c r="E258" s="47" t="str">
        <f>+Cuenta_Clasificacion[[#This Row],[Código Cuenta Contable]]&amp;" - "&amp;Cuenta_Clasificacion[[#This Row],[Nombre de Cuenta Contable]]</f>
        <v>4102001 - Costos Subcontratos</v>
      </c>
      <c r="F258" s="47" t="str">
        <f>+Cuenta_Clasificacion[[#This Row],[Codigo Concepto de imputación]]&amp;" - "&amp;Cuenta_Clasificacion[[#This Row],[Nombre Concepto de imputación]]</f>
        <v>10029 - Estructura Volcometal</v>
      </c>
    </row>
    <row r="259" spans="1:6" x14ac:dyDescent="0.25">
      <c r="A259" s="43">
        <v>4102001</v>
      </c>
      <c r="B259" t="s">
        <v>152</v>
      </c>
      <c r="C259" s="43">
        <v>10031</v>
      </c>
      <c r="D259" t="s">
        <v>2737</v>
      </c>
      <c r="E259" s="47" t="str">
        <f>+Cuenta_Clasificacion[[#This Row],[Código Cuenta Contable]]&amp;" - "&amp;Cuenta_Clasificacion[[#This Row],[Nombre de Cuenta Contable]]</f>
        <v>4102001 - Costos Subcontratos</v>
      </c>
      <c r="F259" s="47" t="str">
        <f>+Cuenta_Clasificacion[[#This Row],[Codigo Concepto de imputación]]&amp;" - "&amp;Cuenta_Clasificacion[[#This Row],[Nombre Concepto de imputación]]</f>
        <v>10031 - Extracción Basura y Escombros</v>
      </c>
    </row>
    <row r="260" spans="1:6" x14ac:dyDescent="0.25">
      <c r="A260" s="43">
        <v>4102001</v>
      </c>
      <c r="B260" t="s">
        <v>152</v>
      </c>
      <c r="C260" s="43">
        <v>10032</v>
      </c>
      <c r="D260" t="s">
        <v>2738</v>
      </c>
      <c r="E260" s="47" t="str">
        <f>+Cuenta_Clasificacion[[#This Row],[Código Cuenta Contable]]&amp;" - "&amp;Cuenta_Clasificacion[[#This Row],[Nombre de Cuenta Contable]]</f>
        <v>4102001 - Costos Subcontratos</v>
      </c>
      <c r="F260" s="47" t="str">
        <f>+Cuenta_Clasificacion[[#This Row],[Codigo Concepto de imputación]]&amp;" - "&amp;Cuenta_Clasificacion[[#This Row],[Nombre Concepto de imputación]]</f>
        <v>10032 - Fieltros y Barreras</v>
      </c>
    </row>
    <row r="261" spans="1:6" x14ac:dyDescent="0.25">
      <c r="A261" s="43">
        <v>4102001</v>
      </c>
      <c r="B261" t="s">
        <v>152</v>
      </c>
      <c r="C261" s="43">
        <v>10033</v>
      </c>
      <c r="D261" t="s">
        <v>2739</v>
      </c>
      <c r="E261" s="47" t="str">
        <f>+Cuenta_Clasificacion[[#This Row],[Código Cuenta Contable]]&amp;" - "&amp;Cuenta_Clasificacion[[#This Row],[Nombre de Cuenta Contable]]</f>
        <v>4102001 - Costos Subcontratos</v>
      </c>
      <c r="F261" s="47" t="str">
        <f>+Cuenta_Clasificacion[[#This Row],[Codigo Concepto de imputación]]&amp;" - "&amp;Cuenta_Clasificacion[[#This Row],[Nombre Concepto de imputación]]</f>
        <v>10033 - Fierro</v>
      </c>
    </row>
    <row r="262" spans="1:6" x14ac:dyDescent="0.25">
      <c r="A262" s="43">
        <v>4102001</v>
      </c>
      <c r="B262" t="s">
        <v>152</v>
      </c>
      <c r="C262" s="43">
        <v>10034</v>
      </c>
      <c r="D262" t="s">
        <v>2740</v>
      </c>
      <c r="E262" s="47" t="str">
        <f>+Cuenta_Clasificacion[[#This Row],[Código Cuenta Contable]]&amp;" - "&amp;Cuenta_Clasificacion[[#This Row],[Nombre de Cuenta Contable]]</f>
        <v>4102001 - Costos Subcontratos</v>
      </c>
      <c r="F262" s="47" t="str">
        <f>+Cuenta_Clasificacion[[#This Row],[Codigo Concepto de imputación]]&amp;" - "&amp;Cuenta_Clasificacion[[#This Row],[Nombre Concepto de imputación]]</f>
        <v>10034 - Fierro Redondo Liso</v>
      </c>
    </row>
    <row r="263" spans="1:6" x14ac:dyDescent="0.25">
      <c r="A263" s="43">
        <v>4102001</v>
      </c>
      <c r="B263" t="s">
        <v>152</v>
      </c>
      <c r="C263" s="43">
        <v>10035</v>
      </c>
      <c r="D263" t="s">
        <v>2741</v>
      </c>
      <c r="E263" s="47" t="str">
        <f>+Cuenta_Clasificacion[[#This Row],[Código Cuenta Contable]]&amp;" - "&amp;Cuenta_Clasificacion[[#This Row],[Nombre de Cuenta Contable]]</f>
        <v>4102001 - Costos Subcontratos</v>
      </c>
      <c r="F263" s="47" t="str">
        <f>+Cuenta_Clasificacion[[#This Row],[Codigo Concepto de imputación]]&amp;" - "&amp;Cuenta_Clasificacion[[#This Row],[Nombre Concepto de imputación]]</f>
        <v>10035 - Fijaciones</v>
      </c>
    </row>
    <row r="264" spans="1:6" x14ac:dyDescent="0.25">
      <c r="A264" s="43">
        <v>4102001</v>
      </c>
      <c r="B264" t="s">
        <v>152</v>
      </c>
      <c r="C264" s="43">
        <v>10036</v>
      </c>
      <c r="D264" t="s">
        <v>2742</v>
      </c>
      <c r="E264" s="47" t="str">
        <f>+Cuenta_Clasificacion[[#This Row],[Código Cuenta Contable]]&amp;" - "&amp;Cuenta_Clasificacion[[#This Row],[Nombre de Cuenta Contable]]</f>
        <v>4102001 - Costos Subcontratos</v>
      </c>
      <c r="F264" s="47" t="str">
        <f>+Cuenta_Clasificacion[[#This Row],[Codigo Concepto de imputación]]&amp;" - "&amp;Cuenta_Clasificacion[[#This Row],[Nombre Concepto de imputación]]</f>
        <v>10036 - Fitting</v>
      </c>
    </row>
    <row r="265" spans="1:6" x14ac:dyDescent="0.25">
      <c r="A265" s="43">
        <v>4102001</v>
      </c>
      <c r="B265" t="s">
        <v>152</v>
      </c>
      <c r="C265" s="43">
        <v>10037</v>
      </c>
      <c r="D265" t="s">
        <v>2743</v>
      </c>
      <c r="E265" s="47" t="str">
        <f>+Cuenta_Clasificacion[[#This Row],[Código Cuenta Contable]]&amp;" - "&amp;Cuenta_Clasificacion[[#This Row],[Nombre de Cuenta Contable]]</f>
        <v>4102001 - Costos Subcontratos</v>
      </c>
      <c r="F265" s="47" t="str">
        <f>+Cuenta_Clasificacion[[#This Row],[Codigo Concepto de imputación]]&amp;" - "&amp;Cuenta_Clasificacion[[#This Row],[Nombre Concepto de imputación]]</f>
        <v>10037 - Flete Perfiles</v>
      </c>
    </row>
    <row r="266" spans="1:6" x14ac:dyDescent="0.25">
      <c r="A266" s="43">
        <v>4102001</v>
      </c>
      <c r="B266" t="s">
        <v>152</v>
      </c>
      <c r="C266" s="43">
        <v>10038</v>
      </c>
      <c r="D266" t="s">
        <v>2697</v>
      </c>
      <c r="E266" s="47" t="str">
        <f>+Cuenta_Clasificacion[[#This Row],[Código Cuenta Contable]]&amp;" - "&amp;Cuenta_Clasificacion[[#This Row],[Nombre de Cuenta Contable]]</f>
        <v>4102001 - Costos Subcontratos</v>
      </c>
      <c r="F266" s="47" t="str">
        <f>+Cuenta_Clasificacion[[#This Row],[Codigo Concepto de imputación]]&amp;" - "&amp;Cuenta_Clasificacion[[#This Row],[Nombre Concepto de imputación]]</f>
        <v>10038 - Fletes (por orden de compra)</v>
      </c>
    </row>
    <row r="267" spans="1:6" x14ac:dyDescent="0.25">
      <c r="A267" s="43">
        <v>4102001</v>
      </c>
      <c r="B267" t="s">
        <v>152</v>
      </c>
      <c r="C267" s="43">
        <v>10039</v>
      </c>
      <c r="D267" t="s">
        <v>2744</v>
      </c>
      <c r="E267" s="47" t="str">
        <f>+Cuenta_Clasificacion[[#This Row],[Código Cuenta Contable]]&amp;" - "&amp;Cuenta_Clasificacion[[#This Row],[Nombre de Cuenta Contable]]</f>
        <v>4102001 - Costos Subcontratos</v>
      </c>
      <c r="F267" s="47" t="str">
        <f>+Cuenta_Clasificacion[[#This Row],[Codigo Concepto de imputación]]&amp;" - "&amp;Cuenta_Clasificacion[[#This Row],[Nombre Concepto de imputación]]</f>
        <v>10039 - Grifería</v>
      </c>
    </row>
    <row r="268" spans="1:6" x14ac:dyDescent="0.25">
      <c r="A268" s="43">
        <v>4102001</v>
      </c>
      <c r="B268" t="s">
        <v>152</v>
      </c>
      <c r="C268" s="43">
        <v>10040</v>
      </c>
      <c r="D268" t="s">
        <v>2745</v>
      </c>
      <c r="E268" s="47" t="str">
        <f>+Cuenta_Clasificacion[[#This Row],[Código Cuenta Contable]]&amp;" - "&amp;Cuenta_Clasificacion[[#This Row],[Nombre de Cuenta Contable]]</f>
        <v>4102001 - Costos Subcontratos</v>
      </c>
      <c r="F268" s="47" t="str">
        <f>+Cuenta_Clasificacion[[#This Row],[Codigo Concepto de imputación]]&amp;" - "&amp;Cuenta_Clasificacion[[#This Row],[Nombre Concepto de imputación]]</f>
        <v>10040 - Herramientas</v>
      </c>
    </row>
    <row r="269" spans="1:6" x14ac:dyDescent="0.25">
      <c r="A269" s="43">
        <v>4102001</v>
      </c>
      <c r="B269" t="s">
        <v>152</v>
      </c>
      <c r="C269" s="43">
        <v>10041</v>
      </c>
      <c r="D269" t="s">
        <v>2746</v>
      </c>
      <c r="E269" s="47" t="str">
        <f>+Cuenta_Clasificacion[[#This Row],[Código Cuenta Contable]]&amp;" - "&amp;Cuenta_Clasificacion[[#This Row],[Nombre de Cuenta Contable]]</f>
        <v>4102001 - Costos Subcontratos</v>
      </c>
      <c r="F269" s="47" t="str">
        <f>+Cuenta_Clasificacion[[#This Row],[Codigo Concepto de imputación]]&amp;" - "&amp;Cuenta_Clasificacion[[#This Row],[Nombre Concepto de imputación]]</f>
        <v>10041 - Hojalatería y Techumbres</v>
      </c>
    </row>
    <row r="270" spans="1:6" x14ac:dyDescent="0.25">
      <c r="A270" s="43">
        <v>4102001</v>
      </c>
      <c r="B270" t="s">
        <v>152</v>
      </c>
      <c r="C270" s="43">
        <v>10042</v>
      </c>
      <c r="D270" t="s">
        <v>2698</v>
      </c>
      <c r="E270" s="47" t="str">
        <f>+Cuenta_Clasificacion[[#This Row],[Código Cuenta Contable]]&amp;" - "&amp;Cuenta_Clasificacion[[#This Row],[Nombre de Cuenta Contable]]</f>
        <v>4102001 - Costos Subcontratos</v>
      </c>
      <c r="F270" s="47" t="str">
        <f>+Cuenta_Clasificacion[[#This Row],[Codigo Concepto de imputación]]&amp;" - "&amp;Cuenta_Clasificacion[[#This Row],[Nombre Concepto de imputación]]</f>
        <v>10042 - Hormigones</v>
      </c>
    </row>
    <row r="271" spans="1:6" x14ac:dyDescent="0.25">
      <c r="A271" s="43">
        <v>4102001</v>
      </c>
      <c r="B271" t="s">
        <v>152</v>
      </c>
      <c r="C271" s="43">
        <v>10043</v>
      </c>
      <c r="D271" t="s">
        <v>2747</v>
      </c>
      <c r="E271" s="47" t="str">
        <f>+Cuenta_Clasificacion[[#This Row],[Código Cuenta Contable]]&amp;" - "&amp;Cuenta_Clasificacion[[#This Row],[Nombre de Cuenta Contable]]</f>
        <v>4102001 - Costos Subcontratos</v>
      </c>
      <c r="F271" s="47" t="str">
        <f>+Cuenta_Clasificacion[[#This Row],[Codigo Concepto de imputación]]&amp;" - "&amp;Cuenta_Clasificacion[[#This Row],[Nombre Concepto de imputación]]</f>
        <v>10043 - Hta Menor</v>
      </c>
    </row>
    <row r="272" spans="1:6" x14ac:dyDescent="0.25">
      <c r="A272" s="43">
        <v>4102001</v>
      </c>
      <c r="B272" t="s">
        <v>152</v>
      </c>
      <c r="C272" s="43">
        <v>10044</v>
      </c>
      <c r="D272" t="s">
        <v>2748</v>
      </c>
      <c r="E272" s="47" t="str">
        <f>+Cuenta_Clasificacion[[#This Row],[Código Cuenta Contable]]&amp;" - "&amp;Cuenta_Clasificacion[[#This Row],[Nombre de Cuenta Contable]]</f>
        <v>4102001 - Costos Subcontratos</v>
      </c>
      <c r="F272" s="47" t="str">
        <f>+Cuenta_Clasificacion[[#This Row],[Codigo Concepto de imputación]]&amp;" - "&amp;Cuenta_Clasificacion[[#This Row],[Nombre Concepto de imputación]]</f>
        <v>10044 - Incendio y Alarmas</v>
      </c>
    </row>
    <row r="273" spans="1:6" x14ac:dyDescent="0.25">
      <c r="A273" s="43">
        <v>4102001</v>
      </c>
      <c r="B273" t="s">
        <v>152</v>
      </c>
      <c r="C273" s="43">
        <v>10045</v>
      </c>
      <c r="D273" t="s">
        <v>2749</v>
      </c>
      <c r="E273" s="47" t="str">
        <f>+Cuenta_Clasificacion[[#This Row],[Código Cuenta Contable]]&amp;" - "&amp;Cuenta_Clasificacion[[#This Row],[Nombre de Cuenta Contable]]</f>
        <v>4102001 - Costos Subcontratos</v>
      </c>
      <c r="F273" s="47" t="str">
        <f>+Cuenta_Clasificacion[[#This Row],[Codigo Concepto de imputación]]&amp;" - "&amp;Cuenta_Clasificacion[[#This Row],[Nombre Concepto de imputación]]</f>
        <v>10045 - Insumos</v>
      </c>
    </row>
    <row r="274" spans="1:6" x14ac:dyDescent="0.25">
      <c r="A274" s="43">
        <v>4102001</v>
      </c>
      <c r="B274" t="s">
        <v>152</v>
      </c>
      <c r="C274" s="43">
        <v>10046</v>
      </c>
      <c r="D274" t="s">
        <v>2750</v>
      </c>
      <c r="E274" s="47" t="str">
        <f>+Cuenta_Clasificacion[[#This Row],[Código Cuenta Contable]]&amp;" - "&amp;Cuenta_Clasificacion[[#This Row],[Nombre de Cuenta Contable]]</f>
        <v>4102001 - Costos Subcontratos</v>
      </c>
      <c r="F274" s="47" t="str">
        <f>+Cuenta_Clasificacion[[#This Row],[Codigo Concepto de imputación]]&amp;" - "&amp;Cuenta_Clasificacion[[#This Row],[Nombre Concepto de imputación]]</f>
        <v>10046 - Izaje</v>
      </c>
    </row>
    <row r="275" spans="1:6" x14ac:dyDescent="0.25">
      <c r="A275" s="43">
        <v>4102001</v>
      </c>
      <c r="B275" t="s">
        <v>152</v>
      </c>
      <c r="C275" s="43">
        <v>10047</v>
      </c>
      <c r="D275" t="s">
        <v>2751</v>
      </c>
      <c r="E275" s="47" t="str">
        <f>+Cuenta_Clasificacion[[#This Row],[Código Cuenta Contable]]&amp;" - "&amp;Cuenta_Clasificacion[[#This Row],[Nombre de Cuenta Contable]]</f>
        <v>4102001 - Costos Subcontratos</v>
      </c>
      <c r="F275" s="47" t="str">
        <f>+Cuenta_Clasificacion[[#This Row],[Codigo Concepto de imputación]]&amp;" - "&amp;Cuenta_Clasificacion[[#This Row],[Nombre Concepto de imputación]]</f>
        <v>10047 - Jardinería</v>
      </c>
    </row>
    <row r="276" spans="1:6" x14ac:dyDescent="0.25">
      <c r="A276" s="43">
        <v>4102001</v>
      </c>
      <c r="B276" t="s">
        <v>152</v>
      </c>
      <c r="C276" s="43">
        <v>10048</v>
      </c>
      <c r="D276" t="s">
        <v>2752</v>
      </c>
      <c r="E276" s="47" t="str">
        <f>+Cuenta_Clasificacion[[#This Row],[Código Cuenta Contable]]&amp;" - "&amp;Cuenta_Clasificacion[[#This Row],[Nombre de Cuenta Contable]]</f>
        <v>4102001 - Costos Subcontratos</v>
      </c>
      <c r="F276" s="47" t="str">
        <f>+Cuenta_Clasificacion[[#This Row],[Codigo Concepto de imputación]]&amp;" - "&amp;Cuenta_Clasificacion[[#This Row],[Nombre Concepto de imputación]]</f>
        <v>10048 - Ladrillos</v>
      </c>
    </row>
    <row r="277" spans="1:6" x14ac:dyDescent="0.25">
      <c r="A277" s="43">
        <v>4102001</v>
      </c>
      <c r="B277" t="s">
        <v>152</v>
      </c>
      <c r="C277" s="43">
        <v>10051</v>
      </c>
      <c r="D277" t="s">
        <v>2755</v>
      </c>
      <c r="E277" s="47" t="str">
        <f>+Cuenta_Clasificacion[[#This Row],[Código Cuenta Contable]]&amp;" - "&amp;Cuenta_Clasificacion[[#This Row],[Nombre de Cuenta Contable]]</f>
        <v>4102001 - Costos Subcontratos</v>
      </c>
      <c r="F277" s="47" t="str">
        <f>+Cuenta_Clasificacion[[#This Row],[Codigo Concepto de imputación]]&amp;" - "&amp;Cuenta_Clasificacion[[#This Row],[Nombre Concepto de imputación]]</f>
        <v>10051 - Luminarias</v>
      </c>
    </row>
    <row r="278" spans="1:6" x14ac:dyDescent="0.25">
      <c r="A278" s="43">
        <v>4102001</v>
      </c>
      <c r="B278" t="s">
        <v>152</v>
      </c>
      <c r="C278" s="43">
        <v>10052</v>
      </c>
      <c r="D278" t="s">
        <v>2756</v>
      </c>
      <c r="E278" s="47" t="str">
        <f>+Cuenta_Clasificacion[[#This Row],[Código Cuenta Contable]]&amp;" - "&amp;Cuenta_Clasificacion[[#This Row],[Nombre de Cuenta Contable]]</f>
        <v>4102001 - Costos Subcontratos</v>
      </c>
      <c r="F278" s="47" t="str">
        <f>+Cuenta_Clasificacion[[#This Row],[Codigo Concepto de imputación]]&amp;" - "&amp;Cuenta_Clasificacion[[#This Row],[Nombre Concepto de imputación]]</f>
        <v>10052 - Maderas</v>
      </c>
    </row>
    <row r="279" spans="1:6" x14ac:dyDescent="0.25">
      <c r="A279" s="43">
        <v>4102001</v>
      </c>
      <c r="B279" t="s">
        <v>152</v>
      </c>
      <c r="C279" s="43">
        <v>10053</v>
      </c>
      <c r="D279" t="s">
        <v>2757</v>
      </c>
      <c r="E279" s="47" t="str">
        <f>+Cuenta_Clasificacion[[#This Row],[Código Cuenta Contable]]&amp;" - "&amp;Cuenta_Clasificacion[[#This Row],[Nombre de Cuenta Contable]]</f>
        <v>4102001 - Costos Subcontratos</v>
      </c>
      <c r="F279" s="47" t="str">
        <f>+Cuenta_Clasificacion[[#This Row],[Codigo Concepto de imputación]]&amp;" - "&amp;Cuenta_Clasificacion[[#This Row],[Nombre Concepto de imputación]]</f>
        <v>10053 - Malla Acma</v>
      </c>
    </row>
    <row r="280" spans="1:6" x14ac:dyDescent="0.25">
      <c r="A280" s="43">
        <v>4102001</v>
      </c>
      <c r="B280" t="s">
        <v>152</v>
      </c>
      <c r="C280" s="43">
        <v>10054</v>
      </c>
      <c r="D280" t="s">
        <v>2758</v>
      </c>
      <c r="E280" s="47" t="str">
        <f>+Cuenta_Clasificacion[[#This Row],[Código Cuenta Contable]]&amp;" - "&amp;Cuenta_Clasificacion[[#This Row],[Nombre de Cuenta Contable]]</f>
        <v>4102001 - Costos Subcontratos</v>
      </c>
      <c r="F280" s="47" t="str">
        <f>+Cuenta_Clasificacion[[#This Row],[Codigo Concepto de imputación]]&amp;" - "&amp;Cuenta_Clasificacion[[#This Row],[Nombre Concepto de imputación]]</f>
        <v>10054 - Malla Raschel</v>
      </c>
    </row>
    <row r="281" spans="1:6" x14ac:dyDescent="0.25">
      <c r="A281" s="43">
        <v>4102001</v>
      </c>
      <c r="B281" t="s">
        <v>152</v>
      </c>
      <c r="C281" s="43">
        <v>10055</v>
      </c>
      <c r="D281" t="s">
        <v>2759</v>
      </c>
      <c r="E281" s="47" t="str">
        <f>+Cuenta_Clasificacion[[#This Row],[Código Cuenta Contable]]&amp;" - "&amp;Cuenta_Clasificacion[[#This Row],[Nombre de Cuenta Contable]]</f>
        <v>4102001 - Costos Subcontratos</v>
      </c>
      <c r="F281" s="47" t="str">
        <f>+Cuenta_Clasificacion[[#This Row],[Codigo Concepto de imputación]]&amp;" - "&amp;Cuenta_Clasificacion[[#This Row],[Nombre Concepto de imputación]]</f>
        <v>10055 - Mallas Varias</v>
      </c>
    </row>
    <row r="282" spans="1:6" x14ac:dyDescent="0.25">
      <c r="A282" s="43">
        <v>4102001</v>
      </c>
      <c r="B282" t="s">
        <v>152</v>
      </c>
      <c r="C282" s="43">
        <v>10056</v>
      </c>
      <c r="D282" t="s">
        <v>2760</v>
      </c>
      <c r="E282" s="47" t="str">
        <f>+Cuenta_Clasificacion[[#This Row],[Código Cuenta Contable]]&amp;" - "&amp;Cuenta_Clasificacion[[#This Row],[Nombre de Cuenta Contable]]</f>
        <v>4102001 - Costos Subcontratos</v>
      </c>
      <c r="F282" s="47" t="str">
        <f>+Cuenta_Clasificacion[[#This Row],[Codigo Concepto de imputación]]&amp;" - "&amp;Cuenta_Clasificacion[[#This Row],[Nombre Concepto de imputación]]</f>
        <v>10056 - Mangueras</v>
      </c>
    </row>
    <row r="283" spans="1:6" x14ac:dyDescent="0.25">
      <c r="A283" s="43">
        <v>4102001</v>
      </c>
      <c r="B283" t="s">
        <v>152</v>
      </c>
      <c r="C283" s="43">
        <v>10057</v>
      </c>
      <c r="D283" t="s">
        <v>2761</v>
      </c>
      <c r="E283" s="47" t="str">
        <f>+Cuenta_Clasificacion[[#This Row],[Código Cuenta Contable]]&amp;" - "&amp;Cuenta_Clasificacion[[#This Row],[Nombre de Cuenta Contable]]</f>
        <v>4102001 - Costos Subcontratos</v>
      </c>
      <c r="F283" s="47" t="str">
        <f>+Cuenta_Clasificacion[[#This Row],[Codigo Concepto de imputación]]&amp;" - "&amp;Cuenta_Clasificacion[[#This Row],[Nombre Concepto de imputación]]</f>
        <v>10057 - Molduras</v>
      </c>
    </row>
    <row r="284" spans="1:6" x14ac:dyDescent="0.25">
      <c r="A284" s="43">
        <v>4102001</v>
      </c>
      <c r="B284" t="s">
        <v>152</v>
      </c>
      <c r="C284" s="43">
        <v>10058</v>
      </c>
      <c r="D284" t="s">
        <v>2762</v>
      </c>
      <c r="E284" s="47" t="str">
        <f>+Cuenta_Clasificacion[[#This Row],[Código Cuenta Contable]]&amp;" - "&amp;Cuenta_Clasificacion[[#This Row],[Nombre de Cuenta Contable]]</f>
        <v>4102001 - Costos Subcontratos</v>
      </c>
      <c r="F284" s="47" t="str">
        <f>+Cuenta_Clasificacion[[#This Row],[Codigo Concepto de imputación]]&amp;" - "&amp;Cuenta_Clasificacion[[#This Row],[Nombre Concepto de imputación]]</f>
        <v>10058 - Morteros e Impermeabilizantes</v>
      </c>
    </row>
    <row r="285" spans="1:6" x14ac:dyDescent="0.25">
      <c r="A285" s="43">
        <v>4102001</v>
      </c>
      <c r="B285" t="s">
        <v>152</v>
      </c>
      <c r="C285" s="43">
        <v>10059</v>
      </c>
      <c r="D285" t="s">
        <v>2763</v>
      </c>
      <c r="E285" s="47" t="str">
        <f>+Cuenta_Clasificacion[[#This Row],[Código Cuenta Contable]]&amp;" - "&amp;Cuenta_Clasificacion[[#This Row],[Nombre de Cuenta Contable]]</f>
        <v>4102001 - Costos Subcontratos</v>
      </c>
      <c r="F285" s="47" t="str">
        <f>+Cuenta_Clasificacion[[#This Row],[Codigo Concepto de imputación]]&amp;" - "&amp;Cuenta_Clasificacion[[#This Row],[Nombre Concepto de imputación]]</f>
        <v>10059 - Muebles</v>
      </c>
    </row>
    <row r="286" spans="1:6" x14ac:dyDescent="0.25">
      <c r="A286" s="43">
        <v>4102001</v>
      </c>
      <c r="B286" t="s">
        <v>152</v>
      </c>
      <c r="C286" s="43">
        <v>10060</v>
      </c>
      <c r="D286" t="s">
        <v>2764</v>
      </c>
      <c r="E286" s="47" t="str">
        <f>+Cuenta_Clasificacion[[#This Row],[Código Cuenta Contable]]&amp;" - "&amp;Cuenta_Clasificacion[[#This Row],[Nombre de Cuenta Contable]]</f>
        <v>4102001 - Costos Subcontratos</v>
      </c>
      <c r="F286" s="47" t="str">
        <f>+Cuenta_Clasificacion[[#This Row],[Codigo Concepto de imputación]]&amp;" - "&amp;Cuenta_Clasificacion[[#This Row],[Nombre Concepto de imputación]]</f>
        <v>10060 - Muebles e Inst Faena</v>
      </c>
    </row>
    <row r="287" spans="1:6" x14ac:dyDescent="0.25">
      <c r="A287" s="43">
        <v>4102001</v>
      </c>
      <c r="B287" t="s">
        <v>152</v>
      </c>
      <c r="C287" s="43">
        <v>10061</v>
      </c>
      <c r="D287" t="s">
        <v>2765</v>
      </c>
      <c r="E287" s="47" t="str">
        <f>+Cuenta_Clasificacion[[#This Row],[Código Cuenta Contable]]&amp;" - "&amp;Cuenta_Clasificacion[[#This Row],[Nombre de Cuenta Contable]]</f>
        <v>4102001 - Costos Subcontratos</v>
      </c>
      <c r="F287" s="47" t="str">
        <f>+Cuenta_Clasificacion[[#This Row],[Codigo Concepto de imputación]]&amp;" - "&amp;Cuenta_Clasificacion[[#This Row],[Nombre Concepto de imputación]]</f>
        <v>10061 - Papel Mural</v>
      </c>
    </row>
    <row r="288" spans="1:6" x14ac:dyDescent="0.25">
      <c r="A288" s="43">
        <v>4102001</v>
      </c>
      <c r="B288" t="s">
        <v>152</v>
      </c>
      <c r="C288" s="43">
        <v>10062</v>
      </c>
      <c r="D288" t="s">
        <v>2766</v>
      </c>
      <c r="E288" s="47" t="str">
        <f>+Cuenta_Clasificacion[[#This Row],[Código Cuenta Contable]]&amp;" - "&amp;Cuenta_Clasificacion[[#This Row],[Nombre de Cuenta Contable]]</f>
        <v>4102001 - Costos Subcontratos</v>
      </c>
      <c r="F288" s="47" t="str">
        <f>+Cuenta_Clasificacion[[#This Row],[Codigo Concepto de imputación]]&amp;" - "&amp;Cuenta_Clasificacion[[#This Row],[Nombre Concepto de imputación]]</f>
        <v>10062 - Pavimentos</v>
      </c>
    </row>
    <row r="289" spans="1:6" x14ac:dyDescent="0.25">
      <c r="A289" s="43">
        <v>4102001</v>
      </c>
      <c r="B289" t="s">
        <v>152</v>
      </c>
      <c r="C289" s="43">
        <v>10064</v>
      </c>
      <c r="D289" t="s">
        <v>2768</v>
      </c>
      <c r="E289" s="47" t="str">
        <f>+Cuenta_Clasificacion[[#This Row],[Código Cuenta Contable]]&amp;" - "&amp;Cuenta_Clasificacion[[#This Row],[Nombre de Cuenta Contable]]</f>
        <v>4102001 - Costos Subcontratos</v>
      </c>
      <c r="F289" s="47" t="str">
        <f>+Cuenta_Clasificacion[[#This Row],[Codigo Concepto de imputación]]&amp;" - "&amp;Cuenta_Clasificacion[[#This Row],[Nombre Concepto de imputación]]</f>
        <v>10064 - Perfiles y Tubos</v>
      </c>
    </row>
    <row r="290" spans="1:6" x14ac:dyDescent="0.25">
      <c r="A290" s="43">
        <v>4102001</v>
      </c>
      <c r="B290" t="s">
        <v>152</v>
      </c>
      <c r="C290" s="43">
        <v>10065</v>
      </c>
      <c r="D290" t="s">
        <v>2769</v>
      </c>
      <c r="E290" s="47" t="str">
        <f>+Cuenta_Clasificacion[[#This Row],[Código Cuenta Contable]]&amp;" - "&amp;Cuenta_Clasificacion[[#This Row],[Nombre de Cuenta Contable]]</f>
        <v>4102001 - Costos Subcontratos</v>
      </c>
      <c r="F290" s="47" t="str">
        <f>+Cuenta_Clasificacion[[#This Row],[Codigo Concepto de imputación]]&amp;" - "&amp;Cuenta_Clasificacion[[#This Row],[Nombre Concepto de imputación]]</f>
        <v>10065 - Persianas</v>
      </c>
    </row>
    <row r="291" spans="1:6" x14ac:dyDescent="0.25">
      <c r="A291" s="43">
        <v>4102001</v>
      </c>
      <c r="B291" t="s">
        <v>152</v>
      </c>
      <c r="C291" s="43">
        <v>10066</v>
      </c>
      <c r="D291" t="s">
        <v>2770</v>
      </c>
      <c r="E291" s="47" t="str">
        <f>+Cuenta_Clasificacion[[#This Row],[Código Cuenta Contable]]&amp;" - "&amp;Cuenta_Clasificacion[[#This Row],[Nombre de Cuenta Contable]]</f>
        <v>4102001 - Costos Subcontratos</v>
      </c>
      <c r="F291" s="47" t="str">
        <f>+Cuenta_Clasificacion[[#This Row],[Codigo Concepto de imputación]]&amp;" - "&amp;Cuenta_Clasificacion[[#This Row],[Nombre Concepto de imputación]]</f>
        <v>10066 - Pinturas</v>
      </c>
    </row>
    <row r="292" spans="1:6" x14ac:dyDescent="0.25">
      <c r="A292" s="43">
        <v>4102001</v>
      </c>
      <c r="B292" t="s">
        <v>152</v>
      </c>
      <c r="C292" s="43">
        <v>10067</v>
      </c>
      <c r="D292" t="s">
        <v>2771</v>
      </c>
      <c r="E292" s="47" t="str">
        <f>+Cuenta_Clasificacion[[#This Row],[Código Cuenta Contable]]&amp;" - "&amp;Cuenta_Clasificacion[[#This Row],[Nombre de Cuenta Contable]]</f>
        <v>4102001 - Costos Subcontratos</v>
      </c>
      <c r="F292" s="47" t="str">
        <f>+Cuenta_Clasificacion[[#This Row],[Codigo Concepto de imputación]]&amp;" - "&amp;Cuenta_Clasificacion[[#This Row],[Nombre Concepto de imputación]]</f>
        <v>10067 - Piscinas</v>
      </c>
    </row>
    <row r="293" spans="1:6" x14ac:dyDescent="0.25">
      <c r="A293" s="43">
        <v>4102001</v>
      </c>
      <c r="B293" t="s">
        <v>152</v>
      </c>
      <c r="C293" s="43">
        <v>10068</v>
      </c>
      <c r="D293" t="s">
        <v>2772</v>
      </c>
      <c r="E293" s="47" t="str">
        <f>+Cuenta_Clasificacion[[#This Row],[Código Cuenta Contable]]&amp;" - "&amp;Cuenta_Clasificacion[[#This Row],[Nombre de Cuenta Contable]]</f>
        <v>4102001 - Costos Subcontratos</v>
      </c>
      <c r="F293" s="47" t="str">
        <f>+Cuenta_Clasificacion[[#This Row],[Codigo Concepto de imputación]]&amp;" - "&amp;Cuenta_Clasificacion[[#This Row],[Nombre Concepto de imputación]]</f>
        <v>10068 - Placas Aglomeradas</v>
      </c>
    </row>
    <row r="294" spans="1:6" x14ac:dyDescent="0.25">
      <c r="A294" s="43">
        <v>4102001</v>
      </c>
      <c r="B294" t="s">
        <v>152</v>
      </c>
      <c r="C294" s="43">
        <v>10069</v>
      </c>
      <c r="D294" t="s">
        <v>2773</v>
      </c>
      <c r="E294" s="47" t="str">
        <f>+Cuenta_Clasificacion[[#This Row],[Código Cuenta Contable]]&amp;" - "&amp;Cuenta_Clasificacion[[#This Row],[Nombre de Cuenta Contable]]</f>
        <v>4102001 - Costos Subcontratos</v>
      </c>
      <c r="F294" s="47" t="str">
        <f>+Cuenta_Clasificacion[[#This Row],[Codigo Concepto de imputación]]&amp;" - "&amp;Cuenta_Clasificacion[[#This Row],[Nombre Concepto de imputación]]</f>
        <v>10069 - Planchas</v>
      </c>
    </row>
    <row r="295" spans="1:6" x14ac:dyDescent="0.25">
      <c r="A295" s="43">
        <v>4102001</v>
      </c>
      <c r="B295" t="s">
        <v>152</v>
      </c>
      <c r="C295" s="43">
        <v>10070</v>
      </c>
      <c r="D295" t="s">
        <v>2774</v>
      </c>
      <c r="E295" s="47" t="str">
        <f>+Cuenta_Clasificacion[[#This Row],[Código Cuenta Contable]]&amp;" - "&amp;Cuenta_Clasificacion[[#This Row],[Nombre de Cuenta Contable]]</f>
        <v>4102001 - Costos Subcontratos</v>
      </c>
      <c r="F295" s="47" t="str">
        <f>+Cuenta_Clasificacion[[#This Row],[Codigo Concepto de imputación]]&amp;" - "&amp;Cuenta_Clasificacion[[#This Row],[Nombre Concepto de imputación]]</f>
        <v>10070 - Prefabricados Hormigón</v>
      </c>
    </row>
    <row r="296" spans="1:6" x14ac:dyDescent="0.25">
      <c r="A296" s="43">
        <v>4102001</v>
      </c>
      <c r="B296" t="s">
        <v>152</v>
      </c>
      <c r="C296" s="43">
        <v>10071</v>
      </c>
      <c r="D296" t="s">
        <v>2775</v>
      </c>
      <c r="E296" s="47" t="str">
        <f>+Cuenta_Clasificacion[[#This Row],[Código Cuenta Contable]]&amp;" - "&amp;Cuenta_Clasificacion[[#This Row],[Nombre de Cuenta Contable]]</f>
        <v>4102001 - Costos Subcontratos</v>
      </c>
      <c r="F296" s="47" t="str">
        <f>+Cuenta_Clasificacion[[#This Row],[Codigo Concepto de imputación]]&amp;" - "&amp;Cuenta_Clasificacion[[#This Row],[Nombre Concepto de imputación]]</f>
        <v>10071 - Puertas y Ventanas</v>
      </c>
    </row>
    <row r="297" spans="1:6" x14ac:dyDescent="0.25">
      <c r="A297" s="43">
        <v>4102001</v>
      </c>
      <c r="B297" t="s">
        <v>152</v>
      </c>
      <c r="C297" s="43">
        <v>10072</v>
      </c>
      <c r="D297" t="s">
        <v>2776</v>
      </c>
      <c r="E297" s="47" t="str">
        <f>+Cuenta_Clasificacion[[#This Row],[Código Cuenta Contable]]&amp;" - "&amp;Cuenta_Clasificacion[[#This Row],[Nombre de Cuenta Contable]]</f>
        <v>4102001 - Costos Subcontratos</v>
      </c>
      <c r="F297" s="47" t="str">
        <f>+Cuenta_Clasificacion[[#This Row],[Codigo Concepto de imputación]]&amp;" - "&amp;Cuenta_Clasificacion[[#This Row],[Nombre Concepto de imputación]]</f>
        <v>10072 - Quincallería</v>
      </c>
    </row>
    <row r="298" spans="1:6" x14ac:dyDescent="0.25">
      <c r="A298" s="43">
        <v>4102001</v>
      </c>
      <c r="B298" t="s">
        <v>152</v>
      </c>
      <c r="C298" s="43">
        <v>10073</v>
      </c>
      <c r="D298" t="s">
        <v>2777</v>
      </c>
      <c r="E298" s="47" t="str">
        <f>+Cuenta_Clasificacion[[#This Row],[Código Cuenta Contable]]&amp;" - "&amp;Cuenta_Clasificacion[[#This Row],[Nombre de Cuenta Contable]]</f>
        <v>4102001 - Costos Subcontratos</v>
      </c>
      <c r="F298" s="47" t="str">
        <f>+Cuenta_Clasificacion[[#This Row],[Codigo Concepto de imputación]]&amp;" - "&amp;Cuenta_Clasificacion[[#This Row],[Nombre Concepto de imputación]]</f>
        <v>10073 - Revestimientos</v>
      </c>
    </row>
    <row r="299" spans="1:6" x14ac:dyDescent="0.25">
      <c r="A299" s="43">
        <v>4102001</v>
      </c>
      <c r="B299" t="s">
        <v>152</v>
      </c>
      <c r="C299" s="43">
        <v>10074</v>
      </c>
      <c r="D299" t="s">
        <v>2778</v>
      </c>
      <c r="E299" s="47" t="str">
        <f>+Cuenta_Clasificacion[[#This Row],[Código Cuenta Contable]]&amp;" - "&amp;Cuenta_Clasificacion[[#This Row],[Nombre de Cuenta Contable]]</f>
        <v>4102001 - Costos Subcontratos</v>
      </c>
      <c r="F299" s="47" t="str">
        <f>+Cuenta_Clasificacion[[#This Row],[Codigo Concepto de imputación]]&amp;" - "&amp;Cuenta_Clasificacion[[#This Row],[Nombre Concepto de imputación]]</f>
        <v>10074 - Rollizos y Postes Madera</v>
      </c>
    </row>
    <row r="300" spans="1:6" x14ac:dyDescent="0.25">
      <c r="A300" s="43">
        <v>4102001</v>
      </c>
      <c r="B300" t="s">
        <v>152</v>
      </c>
      <c r="C300" s="43">
        <v>10075</v>
      </c>
      <c r="D300" t="s">
        <v>2779</v>
      </c>
      <c r="E300" s="47" t="str">
        <f>+Cuenta_Clasificacion[[#This Row],[Código Cuenta Contable]]&amp;" - "&amp;Cuenta_Clasificacion[[#This Row],[Nombre de Cuenta Contable]]</f>
        <v>4102001 - Costos Subcontratos</v>
      </c>
      <c r="F300" s="47" t="str">
        <f>+Cuenta_Clasificacion[[#This Row],[Codigo Concepto de imputación]]&amp;" - "&amp;Cuenta_Clasificacion[[#This Row],[Nombre Concepto de imputación]]</f>
        <v>10075 - Señalética</v>
      </c>
    </row>
    <row r="301" spans="1:6" x14ac:dyDescent="0.25">
      <c r="A301" s="43">
        <v>4102001</v>
      </c>
      <c r="B301" t="s">
        <v>152</v>
      </c>
      <c r="C301" s="43">
        <v>10076</v>
      </c>
      <c r="D301" t="s">
        <v>2780</v>
      </c>
      <c r="E301" s="47" t="str">
        <f>+Cuenta_Clasificacion[[#This Row],[Código Cuenta Contable]]&amp;" - "&amp;Cuenta_Clasificacion[[#This Row],[Nombre de Cuenta Contable]]</f>
        <v>4102001 - Costos Subcontratos</v>
      </c>
      <c r="F301" s="47" t="str">
        <f>+Cuenta_Clasificacion[[#This Row],[Codigo Concepto de imputación]]&amp;" - "&amp;Cuenta_Clasificacion[[#This Row],[Nombre Concepto de imputación]]</f>
        <v>10076 - Soldadura</v>
      </c>
    </row>
    <row r="302" spans="1:6" x14ac:dyDescent="0.25">
      <c r="A302" s="43">
        <v>4102001</v>
      </c>
      <c r="B302" t="s">
        <v>152</v>
      </c>
      <c r="C302" s="43">
        <v>10077</v>
      </c>
      <c r="D302" t="s">
        <v>2781</v>
      </c>
      <c r="E302" s="47" t="str">
        <f>+Cuenta_Clasificacion[[#This Row],[Código Cuenta Contable]]&amp;" - "&amp;Cuenta_Clasificacion[[#This Row],[Nombre de Cuenta Contable]]</f>
        <v>4102001 - Costos Subcontratos</v>
      </c>
      <c r="F302" s="47" t="str">
        <f>+Cuenta_Clasificacion[[#This Row],[Codigo Concepto de imputación]]&amp;" - "&amp;Cuenta_Clasificacion[[#This Row],[Nombre Concepto de imputación]]</f>
        <v>10077 - Sum. e Inst. Anclajes Postens.</v>
      </c>
    </row>
    <row r="303" spans="1:6" x14ac:dyDescent="0.25">
      <c r="A303" s="43">
        <v>4102001</v>
      </c>
      <c r="B303" t="s">
        <v>152</v>
      </c>
      <c r="C303" s="43">
        <v>10078</v>
      </c>
      <c r="D303" t="s">
        <v>2782</v>
      </c>
      <c r="E303" s="47" t="str">
        <f>+Cuenta_Clasificacion[[#This Row],[Código Cuenta Contable]]&amp;" - "&amp;Cuenta_Clasificacion[[#This Row],[Nombre de Cuenta Contable]]</f>
        <v>4102001 - Costos Subcontratos</v>
      </c>
      <c r="F303" s="47" t="str">
        <f>+Cuenta_Clasificacion[[#This Row],[Codigo Concepto de imputación]]&amp;" - "&amp;Cuenta_Clasificacion[[#This Row],[Nombre Concepto de imputación]]</f>
        <v>10078 - Tabiques</v>
      </c>
    </row>
    <row r="304" spans="1:6" x14ac:dyDescent="0.25">
      <c r="A304" s="43">
        <v>4102001</v>
      </c>
      <c r="B304" t="s">
        <v>152</v>
      </c>
      <c r="C304" s="43">
        <v>10079</v>
      </c>
      <c r="D304" t="s">
        <v>2783</v>
      </c>
      <c r="E304" s="47" t="str">
        <f>+Cuenta_Clasificacion[[#This Row],[Código Cuenta Contable]]&amp;" - "&amp;Cuenta_Clasificacion[[#This Row],[Nombre de Cuenta Contable]]</f>
        <v>4102001 - Costos Subcontratos</v>
      </c>
      <c r="F304" s="47" t="str">
        <f>+Cuenta_Clasificacion[[#This Row],[Codigo Concepto de imputación]]&amp;" - "&amp;Cuenta_Clasificacion[[#This Row],[Nombre Concepto de imputación]]</f>
        <v>10079 - Yeso y Cal</v>
      </c>
    </row>
    <row r="305" spans="1:6" x14ac:dyDescent="0.25">
      <c r="A305" s="43">
        <v>4102001</v>
      </c>
      <c r="B305" t="s">
        <v>152</v>
      </c>
      <c r="C305" s="43">
        <v>10080</v>
      </c>
      <c r="D305" t="s">
        <v>2699</v>
      </c>
      <c r="E305" s="47" t="str">
        <f>+Cuenta_Clasificacion[[#This Row],[Código Cuenta Contable]]&amp;" - "&amp;Cuenta_Clasificacion[[#This Row],[Nombre de Cuenta Contable]]</f>
        <v>4102001 - Costos Subcontratos</v>
      </c>
      <c r="F305" s="47" t="str">
        <f>+Cuenta_Clasificacion[[#This Row],[Codigo Concepto de imputación]]&amp;" - "&amp;Cuenta_Clasificacion[[#This Row],[Nombre Concepto de imputación]]</f>
        <v>10080 - Ajuste de Precio</v>
      </c>
    </row>
    <row r="306" spans="1:6" x14ac:dyDescent="0.25">
      <c r="A306" s="43">
        <v>4102001</v>
      </c>
      <c r="B306" t="s">
        <v>152</v>
      </c>
      <c r="C306" s="43">
        <v>20001</v>
      </c>
      <c r="D306" t="s">
        <v>2785</v>
      </c>
      <c r="E306" s="47" t="str">
        <f>+Cuenta_Clasificacion[[#This Row],[Código Cuenta Contable]]&amp;" - "&amp;Cuenta_Clasificacion[[#This Row],[Nombre de Cuenta Contable]]</f>
        <v>4102001 - Costos Subcontratos</v>
      </c>
      <c r="F306" s="47" t="str">
        <f>+Cuenta_Clasificacion[[#This Row],[Codigo Concepto de imputación]]&amp;" - "&amp;Cuenta_Clasificacion[[#This Row],[Nombre Concepto de imputación]]</f>
        <v>20001 - Sbctto Agua Potable Domic.</v>
      </c>
    </row>
    <row r="307" spans="1:6" x14ac:dyDescent="0.25">
      <c r="A307" s="43">
        <v>4102001</v>
      </c>
      <c r="B307" t="s">
        <v>152</v>
      </c>
      <c r="C307" s="43">
        <v>20002</v>
      </c>
      <c r="D307" t="s">
        <v>2786</v>
      </c>
      <c r="E307" s="47" t="str">
        <f>+Cuenta_Clasificacion[[#This Row],[Código Cuenta Contable]]&amp;" - "&amp;Cuenta_Clasificacion[[#This Row],[Nombre de Cuenta Contable]]</f>
        <v>4102001 - Costos Subcontratos</v>
      </c>
      <c r="F307" s="47" t="str">
        <f>+Cuenta_Clasificacion[[#This Row],[Codigo Concepto de imputación]]&amp;" - "&amp;Cuenta_Clasificacion[[#This Row],[Nombre Concepto de imputación]]</f>
        <v>20002 - Sbctto Agua Potable Provisorio</v>
      </c>
    </row>
    <row r="308" spans="1:6" x14ac:dyDescent="0.25">
      <c r="A308" s="43">
        <v>4102001</v>
      </c>
      <c r="B308" t="s">
        <v>152</v>
      </c>
      <c r="C308" s="43">
        <v>20003</v>
      </c>
      <c r="D308" t="s">
        <v>2787</v>
      </c>
      <c r="E308" s="47" t="str">
        <f>+Cuenta_Clasificacion[[#This Row],[Código Cuenta Contable]]&amp;" - "&amp;Cuenta_Clasificacion[[#This Row],[Nombre de Cuenta Contable]]</f>
        <v>4102001 - Costos Subcontratos</v>
      </c>
      <c r="F308" s="47" t="str">
        <f>+Cuenta_Clasificacion[[#This Row],[Codigo Concepto de imputación]]&amp;" - "&amp;Cuenta_Clasificacion[[#This Row],[Nombre Concepto de imputación]]</f>
        <v>20003 - Sbctto Aire Acondicionado</v>
      </c>
    </row>
    <row r="309" spans="1:6" x14ac:dyDescent="0.25">
      <c r="A309" s="43">
        <v>4102001</v>
      </c>
      <c r="B309" t="s">
        <v>152</v>
      </c>
      <c r="C309" s="43">
        <v>20004</v>
      </c>
      <c r="D309" t="s">
        <v>2788</v>
      </c>
      <c r="E309" s="47" t="str">
        <f>+Cuenta_Clasificacion[[#This Row],[Código Cuenta Contable]]&amp;" - "&amp;Cuenta_Clasificacion[[#This Row],[Nombre de Cuenta Contable]]</f>
        <v>4102001 - Costos Subcontratos</v>
      </c>
      <c r="F309" s="47" t="str">
        <f>+Cuenta_Clasificacion[[#This Row],[Codigo Concepto de imputación]]&amp;" - "&amp;Cuenta_Clasificacion[[#This Row],[Nombre Concepto de imputación]]</f>
        <v>20004 - Sbctto Alarmas Contra Incendio</v>
      </c>
    </row>
    <row r="310" spans="1:6" x14ac:dyDescent="0.25">
      <c r="A310" s="43">
        <v>4102001</v>
      </c>
      <c r="B310" t="s">
        <v>152</v>
      </c>
      <c r="C310" s="43">
        <v>20005</v>
      </c>
      <c r="D310" t="s">
        <v>2789</v>
      </c>
      <c r="E310" s="47" t="str">
        <f>+Cuenta_Clasificacion[[#This Row],[Código Cuenta Contable]]&amp;" - "&amp;Cuenta_Clasificacion[[#This Row],[Nombre de Cuenta Contable]]</f>
        <v>4102001 - Costos Subcontratos</v>
      </c>
      <c r="F310" s="47" t="str">
        <f>+Cuenta_Clasificacion[[#This Row],[Codigo Concepto de imputación]]&amp;" - "&amp;Cuenta_Clasificacion[[#This Row],[Nombre Concepto de imputación]]</f>
        <v>20005 - Sbctto Alarmas Contra Robos</v>
      </c>
    </row>
    <row r="311" spans="1:6" x14ac:dyDescent="0.25">
      <c r="A311" s="43">
        <v>4102001</v>
      </c>
      <c r="B311" t="s">
        <v>152</v>
      </c>
      <c r="C311" s="43">
        <v>20006</v>
      </c>
      <c r="D311" t="s">
        <v>2790</v>
      </c>
      <c r="E311" s="47" t="str">
        <f>+Cuenta_Clasificacion[[#This Row],[Código Cuenta Contable]]&amp;" - "&amp;Cuenta_Clasificacion[[#This Row],[Nombre de Cuenta Contable]]</f>
        <v>4102001 - Costos Subcontratos</v>
      </c>
      <c r="F311" s="47" t="str">
        <f>+Cuenta_Clasificacion[[#This Row],[Codigo Concepto de imputación]]&amp;" - "&amp;Cuenta_Clasificacion[[#This Row],[Nombre Concepto de imputación]]</f>
        <v>20006 - Sbctto Alcantarillado Domic.</v>
      </c>
    </row>
    <row r="312" spans="1:6" x14ac:dyDescent="0.25">
      <c r="A312" s="43">
        <v>4102001</v>
      </c>
      <c r="B312" t="s">
        <v>152</v>
      </c>
      <c r="C312" s="43">
        <v>20007</v>
      </c>
      <c r="D312" t="s">
        <v>2791</v>
      </c>
      <c r="E312" s="47" t="str">
        <f>+Cuenta_Clasificacion[[#This Row],[Código Cuenta Contable]]&amp;" - "&amp;Cuenta_Clasificacion[[#This Row],[Nombre de Cuenta Contable]]</f>
        <v>4102001 - Costos Subcontratos</v>
      </c>
      <c r="F312" s="47" t="str">
        <f>+Cuenta_Clasificacion[[#This Row],[Codigo Concepto de imputación]]&amp;" - "&amp;Cuenta_Clasificacion[[#This Row],[Nombre Concepto de imputación]]</f>
        <v>20007 - Sbctto Alcantarillado Publico</v>
      </c>
    </row>
    <row r="313" spans="1:6" x14ac:dyDescent="0.25">
      <c r="A313" s="43">
        <v>4102001</v>
      </c>
      <c r="B313" t="s">
        <v>152</v>
      </c>
      <c r="C313" s="43">
        <v>20008</v>
      </c>
      <c r="D313" t="s">
        <v>2792</v>
      </c>
      <c r="E313" s="47" t="str">
        <f>+Cuenta_Clasificacion[[#This Row],[Código Cuenta Contable]]&amp;" - "&amp;Cuenta_Clasificacion[[#This Row],[Nombre de Cuenta Contable]]</f>
        <v>4102001 - Costos Subcontratos</v>
      </c>
      <c r="F313" s="47" t="str">
        <f>+Cuenta_Clasificacion[[#This Row],[Codigo Concepto de imputación]]&amp;" - "&amp;Cuenta_Clasificacion[[#This Row],[Nombre Concepto de imputación]]</f>
        <v>20008 - Sbctto Alfombra</v>
      </c>
    </row>
    <row r="314" spans="1:6" x14ac:dyDescent="0.25">
      <c r="A314" s="43">
        <v>4102001</v>
      </c>
      <c r="B314" t="s">
        <v>152</v>
      </c>
      <c r="C314" s="43">
        <v>20009</v>
      </c>
      <c r="D314" t="s">
        <v>2793</v>
      </c>
      <c r="E314" s="47" t="str">
        <f>+Cuenta_Clasificacion[[#This Row],[Código Cuenta Contable]]&amp;" - "&amp;Cuenta_Clasificacion[[#This Row],[Nombre de Cuenta Contable]]</f>
        <v>4102001 - Costos Subcontratos</v>
      </c>
      <c r="F314" s="47" t="str">
        <f>+Cuenta_Clasificacion[[#This Row],[Codigo Concepto de imputación]]&amp;" - "&amp;Cuenta_Clasificacion[[#This Row],[Nombre Concepto de imputación]]</f>
        <v>20009 - Sbctto Aluminios</v>
      </c>
    </row>
    <row r="315" spans="1:6" x14ac:dyDescent="0.25">
      <c r="A315" s="43">
        <v>4102001</v>
      </c>
      <c r="B315" t="s">
        <v>152</v>
      </c>
      <c r="C315" s="43">
        <v>20010</v>
      </c>
      <c r="D315" t="s">
        <v>2794</v>
      </c>
      <c r="E315" s="47" t="str">
        <f>+Cuenta_Clasificacion[[#This Row],[Código Cuenta Contable]]&amp;" - "&amp;Cuenta_Clasificacion[[#This Row],[Nombre de Cuenta Contable]]</f>
        <v>4102001 - Costos Subcontratos</v>
      </c>
      <c r="F315" s="47" t="str">
        <f>+Cuenta_Clasificacion[[#This Row],[Codigo Concepto de imputación]]&amp;" - "&amp;Cuenta_Clasificacion[[#This Row],[Nombre Concepto de imputación]]</f>
        <v>20010 - Sbctto Ascensores</v>
      </c>
    </row>
    <row r="316" spans="1:6" x14ac:dyDescent="0.25">
      <c r="A316" s="43">
        <v>4102001</v>
      </c>
      <c r="B316" t="s">
        <v>152</v>
      </c>
      <c r="C316" s="43">
        <v>20011</v>
      </c>
      <c r="D316" t="s">
        <v>2795</v>
      </c>
      <c r="E316" s="47" t="str">
        <f>+Cuenta_Clasificacion[[#This Row],[Código Cuenta Contable]]&amp;" - "&amp;Cuenta_Clasificacion[[#This Row],[Nombre de Cuenta Contable]]</f>
        <v>4102001 - Costos Subcontratos</v>
      </c>
      <c r="F316" s="47" t="str">
        <f>+Cuenta_Clasificacion[[#This Row],[Codigo Concepto de imputación]]&amp;" - "&amp;Cuenta_Clasificacion[[#This Row],[Nombre Concepto de imputación]]</f>
        <v>20011 - Sbctto Baldosas</v>
      </c>
    </row>
    <row r="317" spans="1:6" x14ac:dyDescent="0.25">
      <c r="A317" s="43">
        <v>4102001</v>
      </c>
      <c r="B317" t="s">
        <v>152</v>
      </c>
      <c r="C317" s="43">
        <v>20012</v>
      </c>
      <c r="D317" t="s">
        <v>2796</v>
      </c>
      <c r="E317" s="47" t="str">
        <f>+Cuenta_Clasificacion[[#This Row],[Código Cuenta Contable]]&amp;" - "&amp;Cuenta_Clasificacion[[#This Row],[Nombre de Cuenta Contable]]</f>
        <v>4102001 - Costos Subcontratos</v>
      </c>
      <c r="F317" s="47" t="str">
        <f>+Cuenta_Clasificacion[[#This Row],[Codigo Concepto de imputación]]&amp;" - "&amp;Cuenta_Clasificacion[[#This Row],[Nombre Concepto de imputación]]</f>
        <v>20012 - Sbctto Carpintería en Madera</v>
      </c>
    </row>
    <row r="318" spans="1:6" x14ac:dyDescent="0.25">
      <c r="A318" s="43">
        <v>4102001</v>
      </c>
      <c r="B318" t="s">
        <v>152</v>
      </c>
      <c r="C318" s="43">
        <v>20013</v>
      </c>
      <c r="D318" t="s">
        <v>2797</v>
      </c>
      <c r="E318" s="47" t="str">
        <f>+Cuenta_Clasificacion[[#This Row],[Código Cuenta Contable]]&amp;" - "&amp;Cuenta_Clasificacion[[#This Row],[Nombre de Cuenta Contable]]</f>
        <v>4102001 - Costos Subcontratos</v>
      </c>
      <c r="F318" s="47" t="str">
        <f>+Cuenta_Clasificacion[[#This Row],[Codigo Concepto de imputación]]&amp;" - "&amp;Cuenta_Clasificacion[[#This Row],[Nombre Concepto de imputación]]</f>
        <v>20013 - Sbctto Cerámica</v>
      </c>
    </row>
    <row r="319" spans="1:6" x14ac:dyDescent="0.25">
      <c r="A319" s="43">
        <v>4102001</v>
      </c>
      <c r="B319" t="s">
        <v>152</v>
      </c>
      <c r="C319" s="43">
        <v>20014</v>
      </c>
      <c r="D319" t="s">
        <v>2798</v>
      </c>
      <c r="E319" s="47" t="str">
        <f>+Cuenta_Clasificacion[[#This Row],[Código Cuenta Contable]]&amp;" - "&amp;Cuenta_Clasificacion[[#This Row],[Nombre de Cuenta Contable]]</f>
        <v>4102001 - Costos Subcontratos</v>
      </c>
      <c r="F319" s="47" t="str">
        <f>+Cuenta_Clasificacion[[#This Row],[Codigo Concepto de imputación]]&amp;" - "&amp;Cuenta_Clasificacion[[#This Row],[Nombre Concepto de imputación]]</f>
        <v>20014 - Sbctto Cielos</v>
      </c>
    </row>
    <row r="320" spans="1:6" x14ac:dyDescent="0.25">
      <c r="A320" s="43">
        <v>4102001</v>
      </c>
      <c r="B320" t="s">
        <v>152</v>
      </c>
      <c r="C320" s="43">
        <v>20015</v>
      </c>
      <c r="D320" t="s">
        <v>2799</v>
      </c>
      <c r="E320" s="47" t="str">
        <f>+Cuenta_Clasificacion[[#This Row],[Código Cuenta Contable]]&amp;" - "&amp;Cuenta_Clasificacion[[#This Row],[Nombre de Cuenta Contable]]</f>
        <v>4102001 - Costos Subcontratos</v>
      </c>
      <c r="F320" s="47" t="str">
        <f>+Cuenta_Clasificacion[[#This Row],[Codigo Concepto de imputación]]&amp;" - "&amp;Cuenta_Clasificacion[[#This Row],[Nombre Concepto de imputación]]</f>
        <v>20015 - Sbctto Circuito Cerrado de TV</v>
      </c>
    </row>
    <row r="321" spans="1:6" x14ac:dyDescent="0.25">
      <c r="A321" s="43">
        <v>4102001</v>
      </c>
      <c r="B321" t="s">
        <v>152</v>
      </c>
      <c r="C321" s="43">
        <v>20016</v>
      </c>
      <c r="D321" t="s">
        <v>2800</v>
      </c>
      <c r="E321" s="47" t="str">
        <f>+Cuenta_Clasificacion[[#This Row],[Código Cuenta Contable]]&amp;" - "&amp;Cuenta_Clasificacion[[#This Row],[Nombre de Cuenta Contable]]</f>
        <v>4102001 - Costos Subcontratos</v>
      </c>
      <c r="F321" s="47" t="str">
        <f>+Cuenta_Clasificacion[[#This Row],[Codigo Concepto de imputación]]&amp;" - "&amp;Cuenta_Clasificacion[[#This Row],[Nombre Concepto de imputación]]</f>
        <v>20016 - Sbctto Control Centralizado</v>
      </c>
    </row>
    <row r="322" spans="1:6" x14ac:dyDescent="0.25">
      <c r="A322" s="43">
        <v>4102001</v>
      </c>
      <c r="B322" t="s">
        <v>152</v>
      </c>
      <c r="C322" s="43">
        <v>20017</v>
      </c>
      <c r="D322" t="s">
        <v>2801</v>
      </c>
      <c r="E322" s="47" t="str">
        <f>+Cuenta_Clasificacion[[#This Row],[Código Cuenta Contable]]&amp;" - "&amp;Cuenta_Clasificacion[[#This Row],[Nombre de Cuenta Contable]]</f>
        <v>4102001 - Costos Subcontratos</v>
      </c>
      <c r="F322" s="47" t="str">
        <f>+Cuenta_Clasificacion[[#This Row],[Codigo Concepto de imputación]]&amp;" - "&amp;Cuenta_Clasificacion[[#This Row],[Nombre Concepto de imputación]]</f>
        <v>20017 - Sbctto Control de Accesos</v>
      </c>
    </row>
    <row r="323" spans="1:6" x14ac:dyDescent="0.25">
      <c r="A323" s="43">
        <v>4102001</v>
      </c>
      <c r="B323" t="s">
        <v>152</v>
      </c>
      <c r="C323" s="43">
        <v>20018</v>
      </c>
      <c r="D323" t="s">
        <v>2802</v>
      </c>
      <c r="E323" s="47" t="str">
        <f>+Cuenta_Clasificacion[[#This Row],[Código Cuenta Contable]]&amp;" - "&amp;Cuenta_Clasificacion[[#This Row],[Nombre de Cuenta Contable]]</f>
        <v>4102001 - Costos Subcontratos</v>
      </c>
      <c r="F323" s="47" t="str">
        <f>+Cuenta_Clasificacion[[#This Row],[Codigo Concepto de imputación]]&amp;" - "&amp;Cuenta_Clasificacion[[#This Row],[Nombre Concepto de imputación]]</f>
        <v>20018 - Sbctto Corte de Pavimento</v>
      </c>
    </row>
    <row r="324" spans="1:6" x14ac:dyDescent="0.25">
      <c r="A324" s="43">
        <v>4102001</v>
      </c>
      <c r="B324" t="s">
        <v>152</v>
      </c>
      <c r="C324" s="43">
        <v>20019</v>
      </c>
      <c r="D324" t="s">
        <v>2803</v>
      </c>
      <c r="E324" s="47" t="str">
        <f>+Cuenta_Clasificacion[[#This Row],[Código Cuenta Contable]]&amp;" - "&amp;Cuenta_Clasificacion[[#This Row],[Nombre de Cuenta Contable]]</f>
        <v>4102001 - Costos Subcontratos</v>
      </c>
      <c r="F324" s="47" t="str">
        <f>+Cuenta_Clasificacion[[#This Row],[Codigo Concepto de imputación]]&amp;" - "&amp;Cuenta_Clasificacion[[#This Row],[Nombre Concepto de imputación]]</f>
        <v>20019 - Sbctto Demolición</v>
      </c>
    </row>
    <row r="325" spans="1:6" x14ac:dyDescent="0.25">
      <c r="A325" s="43">
        <v>4102001</v>
      </c>
      <c r="B325" t="s">
        <v>152</v>
      </c>
      <c r="C325" s="43">
        <v>20020</v>
      </c>
      <c r="D325" t="s">
        <v>2804</v>
      </c>
      <c r="E325" s="47" t="str">
        <f>+Cuenta_Clasificacion[[#This Row],[Código Cuenta Contable]]&amp;" - "&amp;Cuenta_Clasificacion[[#This Row],[Nombre de Cuenta Contable]]</f>
        <v>4102001 - Costos Subcontratos</v>
      </c>
      <c r="F325" s="47" t="str">
        <f>+Cuenta_Clasificacion[[#This Row],[Codigo Concepto de imputación]]&amp;" - "&amp;Cuenta_Clasificacion[[#This Row],[Nombre Concepto de imputación]]</f>
        <v>20020 - Sbctto Divisiones Exteriores</v>
      </c>
    </row>
    <row r="326" spans="1:6" x14ac:dyDescent="0.25">
      <c r="A326" s="43">
        <v>4102001</v>
      </c>
      <c r="B326" t="s">
        <v>152</v>
      </c>
      <c r="C326" s="43">
        <v>20021</v>
      </c>
      <c r="D326" t="s">
        <v>2805</v>
      </c>
      <c r="E326" s="47" t="str">
        <f>+Cuenta_Clasificacion[[#This Row],[Código Cuenta Contable]]&amp;" - "&amp;Cuenta_Clasificacion[[#This Row],[Nombre de Cuenta Contable]]</f>
        <v>4102001 - Costos Subcontratos</v>
      </c>
      <c r="F326" s="47" t="str">
        <f>+Cuenta_Clasificacion[[#This Row],[Codigo Concepto de imputación]]&amp;" - "&amp;Cuenta_Clasificacion[[#This Row],[Nombre Concepto de imputación]]</f>
        <v>20021 - Sbctto Divisiones Interiores</v>
      </c>
    </row>
    <row r="327" spans="1:6" x14ac:dyDescent="0.25">
      <c r="A327" s="43">
        <v>4102001</v>
      </c>
      <c r="B327" t="s">
        <v>152</v>
      </c>
      <c r="C327" s="43">
        <v>20022</v>
      </c>
      <c r="D327" t="s">
        <v>2806</v>
      </c>
      <c r="E327" s="47" t="str">
        <f>+Cuenta_Clasificacion[[#This Row],[Código Cuenta Contable]]&amp;" - "&amp;Cuenta_Clasificacion[[#This Row],[Nombre de Cuenta Contable]]</f>
        <v>4102001 - Costos Subcontratos</v>
      </c>
      <c r="F327" s="47" t="str">
        <f>+Cuenta_Clasificacion[[#This Row],[Codigo Concepto de imputación]]&amp;" - "&amp;Cuenta_Clasificacion[[#This Row],[Nombre Concepto de imputación]]</f>
        <v>20022 - Sbctto Elect. Domiciliario</v>
      </c>
    </row>
    <row r="328" spans="1:6" x14ac:dyDescent="0.25">
      <c r="A328" s="43">
        <v>4102001</v>
      </c>
      <c r="B328" t="s">
        <v>152</v>
      </c>
      <c r="C328" s="43">
        <v>20023</v>
      </c>
      <c r="D328" t="s">
        <v>2807</v>
      </c>
      <c r="E328" s="47" t="str">
        <f>+Cuenta_Clasificacion[[#This Row],[Código Cuenta Contable]]&amp;" - "&amp;Cuenta_Clasificacion[[#This Row],[Nombre de Cuenta Contable]]</f>
        <v>4102001 - Costos Subcontratos</v>
      </c>
      <c r="F328" s="47" t="str">
        <f>+Cuenta_Clasificacion[[#This Row],[Codigo Concepto de imputación]]&amp;" - "&amp;Cuenta_Clasificacion[[#This Row],[Nombre Concepto de imputación]]</f>
        <v>20023 - Sbctto Electricidad Industrial</v>
      </c>
    </row>
    <row r="329" spans="1:6" x14ac:dyDescent="0.25">
      <c r="A329" s="43">
        <v>4102001</v>
      </c>
      <c r="B329" t="s">
        <v>152</v>
      </c>
      <c r="C329" s="43">
        <v>20024</v>
      </c>
      <c r="D329" t="s">
        <v>2808</v>
      </c>
      <c r="E329" s="47" t="str">
        <f>+Cuenta_Clasificacion[[#This Row],[Código Cuenta Contable]]&amp;" - "&amp;Cuenta_Clasificacion[[#This Row],[Nombre de Cuenta Contable]]</f>
        <v>4102001 - Costos Subcontratos</v>
      </c>
      <c r="F329" s="47" t="str">
        <f>+Cuenta_Clasificacion[[#This Row],[Codigo Concepto de imputación]]&amp;" - "&amp;Cuenta_Clasificacion[[#This Row],[Nombre Concepto de imputación]]</f>
        <v>20024 - Sbctto Electricidad Provisoria</v>
      </c>
    </row>
    <row r="330" spans="1:6" x14ac:dyDescent="0.25">
      <c r="A330" s="43">
        <v>4102001</v>
      </c>
      <c r="B330" t="s">
        <v>152</v>
      </c>
      <c r="C330" s="43">
        <v>20025</v>
      </c>
      <c r="D330" t="s">
        <v>2809</v>
      </c>
      <c r="E330" s="47" t="str">
        <f>+Cuenta_Clasificacion[[#This Row],[Código Cuenta Contable]]&amp;" - "&amp;Cuenta_Clasificacion[[#This Row],[Nombre de Cuenta Contable]]</f>
        <v>4102001 - Costos Subcontratos</v>
      </c>
      <c r="F330" s="47" t="str">
        <f>+Cuenta_Clasificacion[[#This Row],[Codigo Concepto de imputación]]&amp;" - "&amp;Cuenta_Clasificacion[[#This Row],[Nombre Concepto de imputación]]</f>
        <v>20025 - Sbctto Enfierradura</v>
      </c>
    </row>
    <row r="331" spans="1:6" x14ac:dyDescent="0.25">
      <c r="A331" s="43">
        <v>4102001</v>
      </c>
      <c r="B331" t="s">
        <v>152</v>
      </c>
      <c r="C331" s="43">
        <v>20026</v>
      </c>
      <c r="D331" t="s">
        <v>2810</v>
      </c>
      <c r="E331" s="47" t="str">
        <f>+Cuenta_Clasificacion[[#This Row],[Código Cuenta Contable]]&amp;" - "&amp;Cuenta_Clasificacion[[#This Row],[Nombre de Cuenta Contable]]</f>
        <v>4102001 - Costos Subcontratos</v>
      </c>
      <c r="F331" s="47" t="str">
        <f>+Cuenta_Clasificacion[[#This Row],[Codigo Concepto de imputación]]&amp;" - "&amp;Cuenta_Clasificacion[[#This Row],[Nombre Concepto de imputación]]</f>
        <v>20026 - Sbctto Espejos</v>
      </c>
    </row>
    <row r="332" spans="1:6" x14ac:dyDescent="0.25">
      <c r="A332" s="43">
        <v>4102001</v>
      </c>
      <c r="B332" t="s">
        <v>152</v>
      </c>
      <c r="C332" s="43">
        <v>20027</v>
      </c>
      <c r="D332" t="s">
        <v>2811</v>
      </c>
      <c r="E332" s="47" t="str">
        <f>+Cuenta_Clasificacion[[#This Row],[Código Cuenta Contable]]&amp;" - "&amp;Cuenta_Clasificacion[[#This Row],[Nombre de Cuenta Contable]]</f>
        <v>4102001 - Costos Subcontratos</v>
      </c>
      <c r="F332" s="47" t="str">
        <f>+Cuenta_Clasificacion[[#This Row],[Codigo Concepto de imputación]]&amp;" - "&amp;Cuenta_Clasificacion[[#This Row],[Nombre Concepto de imputación]]</f>
        <v>20027 - Sbctto Estructuras Metálicas</v>
      </c>
    </row>
    <row r="333" spans="1:6" x14ac:dyDescent="0.25">
      <c r="A333" s="43">
        <v>4102001</v>
      </c>
      <c r="B333" t="s">
        <v>152</v>
      </c>
      <c r="C333" s="43">
        <v>20028</v>
      </c>
      <c r="D333" t="s">
        <v>2812</v>
      </c>
      <c r="E333" s="47" t="str">
        <f>+Cuenta_Clasificacion[[#This Row],[Código Cuenta Contable]]&amp;" - "&amp;Cuenta_Clasificacion[[#This Row],[Nombre de Cuenta Contable]]</f>
        <v>4102001 - Costos Subcontratos</v>
      </c>
      <c r="F333" s="47" t="str">
        <f>+Cuenta_Clasificacion[[#This Row],[Codigo Concepto de imputación]]&amp;" - "&amp;Cuenta_Clasificacion[[#This Row],[Nombre Concepto de imputación]]</f>
        <v>20028 - Sbctto Estuco</v>
      </c>
    </row>
    <row r="334" spans="1:6" x14ac:dyDescent="0.25">
      <c r="A334" s="43">
        <v>4102001</v>
      </c>
      <c r="B334" t="s">
        <v>152</v>
      </c>
      <c r="C334" s="43">
        <v>20029</v>
      </c>
      <c r="D334" t="s">
        <v>2813</v>
      </c>
      <c r="E334" s="47" t="str">
        <f>+Cuenta_Clasificacion[[#This Row],[Código Cuenta Contable]]&amp;" - "&amp;Cuenta_Clasificacion[[#This Row],[Nombre de Cuenta Contable]]</f>
        <v>4102001 - Costos Subcontratos</v>
      </c>
      <c r="F334" s="47" t="str">
        <f>+Cuenta_Clasificacion[[#This Row],[Codigo Concepto de imputación]]&amp;" - "&amp;Cuenta_Clasificacion[[#This Row],[Nombre Concepto de imputación]]</f>
        <v>20029 - Sbctto Excavaciones</v>
      </c>
    </row>
    <row r="335" spans="1:6" x14ac:dyDescent="0.25">
      <c r="A335" s="43">
        <v>4102001</v>
      </c>
      <c r="B335" t="s">
        <v>152</v>
      </c>
      <c r="C335" s="43">
        <v>20030</v>
      </c>
      <c r="D335" t="s">
        <v>2814</v>
      </c>
      <c r="E335" s="47" t="str">
        <f>+Cuenta_Clasificacion[[#This Row],[Código Cuenta Contable]]&amp;" - "&amp;Cuenta_Clasificacion[[#This Row],[Nombre de Cuenta Contable]]</f>
        <v>4102001 - Costos Subcontratos</v>
      </c>
      <c r="F335" s="47" t="str">
        <f>+Cuenta_Clasificacion[[#This Row],[Codigo Concepto de imputación]]&amp;" - "&amp;Cuenta_Clasificacion[[#This Row],[Nombre Concepto de imputación]]</f>
        <v>20030 - Sbctto Extracción de Escombros</v>
      </c>
    </row>
    <row r="336" spans="1:6" x14ac:dyDescent="0.25">
      <c r="A336" s="43">
        <v>4102001</v>
      </c>
      <c r="B336" t="s">
        <v>152</v>
      </c>
      <c r="C336" s="43">
        <v>20031</v>
      </c>
      <c r="D336" t="s">
        <v>2815</v>
      </c>
      <c r="E336" s="47" t="str">
        <f>+Cuenta_Clasificacion[[#This Row],[Código Cuenta Contable]]&amp;" - "&amp;Cuenta_Clasificacion[[#This Row],[Nombre de Cuenta Contable]]</f>
        <v>4102001 - Costos Subcontratos</v>
      </c>
      <c r="F336" s="47" t="str">
        <f>+Cuenta_Clasificacion[[#This Row],[Codigo Concepto de imputación]]&amp;" - "&amp;Cuenta_Clasificacion[[#This Row],[Nombre Concepto de imputación]]</f>
        <v>20031 - Sbctto Gas</v>
      </c>
    </row>
    <row r="337" spans="1:6" x14ac:dyDescent="0.25">
      <c r="A337" s="43">
        <v>4102001</v>
      </c>
      <c r="B337" t="s">
        <v>152</v>
      </c>
      <c r="C337" s="43">
        <v>20032</v>
      </c>
      <c r="D337" t="s">
        <v>2816</v>
      </c>
      <c r="E337" s="47" t="str">
        <f>+Cuenta_Clasificacion[[#This Row],[Código Cuenta Contable]]&amp;" - "&amp;Cuenta_Clasificacion[[#This Row],[Nombre de Cuenta Contable]]</f>
        <v>4102001 - Costos Subcontratos</v>
      </c>
      <c r="F337" s="47" t="str">
        <f>+Cuenta_Clasificacion[[#This Row],[Codigo Concepto de imputación]]&amp;" - "&amp;Cuenta_Clasificacion[[#This Row],[Nombre Concepto de imputación]]</f>
        <v>20032 - Sbctto Hojalatería</v>
      </c>
    </row>
    <row r="338" spans="1:6" x14ac:dyDescent="0.25">
      <c r="A338" s="43">
        <v>4102001</v>
      </c>
      <c r="B338" t="s">
        <v>152</v>
      </c>
      <c r="C338" s="43">
        <v>20033</v>
      </c>
      <c r="D338" t="s">
        <v>2817</v>
      </c>
      <c r="E338" s="47" t="str">
        <f>+Cuenta_Clasificacion[[#This Row],[Código Cuenta Contable]]&amp;" - "&amp;Cuenta_Clasificacion[[#This Row],[Nombre de Cuenta Contable]]</f>
        <v>4102001 - Costos Subcontratos</v>
      </c>
      <c r="F338" s="47" t="str">
        <f>+Cuenta_Clasificacion[[#This Row],[Codigo Concepto de imputación]]&amp;" - "&amp;Cuenta_Clasificacion[[#This Row],[Nombre Concepto de imputación]]</f>
        <v>20033 - Sbctto Hormigón Celular</v>
      </c>
    </row>
    <row r="339" spans="1:6" x14ac:dyDescent="0.25">
      <c r="A339" s="43">
        <v>4102001</v>
      </c>
      <c r="B339" t="s">
        <v>152</v>
      </c>
      <c r="C339" s="43">
        <v>20034</v>
      </c>
      <c r="D339" t="s">
        <v>2818</v>
      </c>
      <c r="E339" s="47" t="str">
        <f>+Cuenta_Clasificacion[[#This Row],[Código Cuenta Contable]]&amp;" - "&amp;Cuenta_Clasificacion[[#This Row],[Nombre de Cuenta Contable]]</f>
        <v>4102001 - Costos Subcontratos</v>
      </c>
      <c r="F339" s="47" t="str">
        <f>+Cuenta_Clasificacion[[#This Row],[Codigo Concepto de imputación]]&amp;" - "&amp;Cuenta_Clasificacion[[#This Row],[Nombre Concepto de imputación]]</f>
        <v>20034 - Sbctto Hormigón Premezclado</v>
      </c>
    </row>
    <row r="340" spans="1:6" x14ac:dyDescent="0.25">
      <c r="A340" s="43">
        <v>4102001</v>
      </c>
      <c r="B340" t="s">
        <v>152</v>
      </c>
      <c r="C340" s="43">
        <v>20035</v>
      </c>
      <c r="D340" t="s">
        <v>2819</v>
      </c>
      <c r="E340" s="47" t="str">
        <f>+Cuenta_Clasificacion[[#This Row],[Código Cuenta Contable]]&amp;" - "&amp;Cuenta_Clasificacion[[#This Row],[Nombre de Cuenta Contable]]</f>
        <v>4102001 - Costos Subcontratos</v>
      </c>
      <c r="F340" s="47" t="str">
        <f>+Cuenta_Clasificacion[[#This Row],[Codigo Concepto de imputación]]&amp;" - "&amp;Cuenta_Clasificacion[[#This Row],[Nombre Concepto de imputación]]</f>
        <v>20035 - Sbctto Impermeabilizaciones</v>
      </c>
    </row>
    <row r="341" spans="1:6" x14ac:dyDescent="0.25">
      <c r="A341" s="43">
        <v>4102001</v>
      </c>
      <c r="B341" t="s">
        <v>152</v>
      </c>
      <c r="C341" s="43">
        <v>20036</v>
      </c>
      <c r="D341" t="s">
        <v>2820</v>
      </c>
      <c r="E341" s="47" t="str">
        <f>+Cuenta_Clasificacion[[#This Row],[Código Cuenta Contable]]&amp;" - "&amp;Cuenta_Clasificacion[[#This Row],[Nombre de Cuenta Contable]]</f>
        <v>4102001 - Costos Subcontratos</v>
      </c>
      <c r="F341" s="47" t="str">
        <f>+Cuenta_Clasificacion[[#This Row],[Codigo Concepto de imputación]]&amp;" - "&amp;Cuenta_Clasificacion[[#This Row],[Nombre Concepto de imputación]]</f>
        <v>20036 - Sbctto Incendio Red Húmeda</v>
      </c>
    </row>
    <row r="342" spans="1:6" x14ac:dyDescent="0.25">
      <c r="A342" s="43">
        <v>4102001</v>
      </c>
      <c r="B342" t="s">
        <v>152</v>
      </c>
      <c r="C342" s="43">
        <v>20037</v>
      </c>
      <c r="D342" t="s">
        <v>2821</v>
      </c>
      <c r="E342" s="47" t="str">
        <f>+Cuenta_Clasificacion[[#This Row],[Código Cuenta Contable]]&amp;" - "&amp;Cuenta_Clasificacion[[#This Row],[Nombre de Cuenta Contable]]</f>
        <v>4102001 - Costos Subcontratos</v>
      </c>
      <c r="F342" s="47" t="str">
        <f>+Cuenta_Clasificacion[[#This Row],[Codigo Concepto de imputación]]&amp;" - "&amp;Cuenta_Clasificacion[[#This Row],[Nombre Concepto de imputación]]</f>
        <v>20037 - Sbctto Incendio Red Seca</v>
      </c>
    </row>
    <row r="343" spans="1:6" x14ac:dyDescent="0.25">
      <c r="A343" s="43">
        <v>4102001</v>
      </c>
      <c r="B343" t="s">
        <v>152</v>
      </c>
      <c r="C343" s="43">
        <v>20038</v>
      </c>
      <c r="D343" t="s">
        <v>2822</v>
      </c>
      <c r="E343" s="47" t="str">
        <f>+Cuenta_Clasificacion[[#This Row],[Código Cuenta Contable]]&amp;" - "&amp;Cuenta_Clasificacion[[#This Row],[Nombre de Cuenta Contable]]</f>
        <v>4102001 - Costos Subcontratos</v>
      </c>
      <c r="F343" s="47" t="str">
        <f>+Cuenta_Clasificacion[[#This Row],[Codigo Concepto de imputación]]&amp;" - "&amp;Cuenta_Clasificacion[[#This Row],[Nombre Concepto de imputación]]</f>
        <v>20038 - Sbctto Inst. Cornisas</v>
      </c>
    </row>
    <row r="344" spans="1:6" x14ac:dyDescent="0.25">
      <c r="A344" s="43">
        <v>4102001</v>
      </c>
      <c r="B344" t="s">
        <v>152</v>
      </c>
      <c r="C344" s="43">
        <v>20039</v>
      </c>
      <c r="D344" t="s">
        <v>2823</v>
      </c>
      <c r="E344" s="47" t="str">
        <f>+Cuenta_Clasificacion[[#This Row],[Código Cuenta Contable]]&amp;" - "&amp;Cuenta_Clasificacion[[#This Row],[Nombre de Cuenta Contable]]</f>
        <v>4102001 - Costos Subcontratos</v>
      </c>
      <c r="F344" s="47" t="str">
        <f>+Cuenta_Clasificacion[[#This Row],[Codigo Concepto de imputación]]&amp;" - "&amp;Cuenta_Clasificacion[[#This Row],[Nombre Concepto de imputación]]</f>
        <v>20039 - Sbctto Inst. Papel Mural</v>
      </c>
    </row>
    <row r="345" spans="1:6" x14ac:dyDescent="0.25">
      <c r="A345" s="43">
        <v>4102001</v>
      </c>
      <c r="B345" t="s">
        <v>152</v>
      </c>
      <c r="C345" s="43">
        <v>20040</v>
      </c>
      <c r="D345" t="s">
        <v>2824</v>
      </c>
      <c r="E345" s="47" t="str">
        <f>+Cuenta_Clasificacion[[#This Row],[Código Cuenta Contable]]&amp;" - "&amp;Cuenta_Clasificacion[[#This Row],[Nombre de Cuenta Contable]]</f>
        <v>4102001 - Costos Subcontratos</v>
      </c>
      <c r="F345" s="47" t="str">
        <f>+Cuenta_Clasificacion[[#This Row],[Codigo Concepto de imputación]]&amp;" - "&amp;Cuenta_Clasificacion[[#This Row],[Nombre Concepto de imputación]]</f>
        <v>20040 - Sbctto Inst. Piso Deck</v>
      </c>
    </row>
    <row r="346" spans="1:6" x14ac:dyDescent="0.25">
      <c r="A346" s="43">
        <v>4102001</v>
      </c>
      <c r="B346" t="s">
        <v>152</v>
      </c>
      <c r="C346" s="43">
        <v>20041</v>
      </c>
      <c r="D346" t="s">
        <v>2825</v>
      </c>
      <c r="E346" s="47" t="str">
        <f>+Cuenta_Clasificacion[[#This Row],[Código Cuenta Contable]]&amp;" - "&amp;Cuenta_Clasificacion[[#This Row],[Nombre de Cuenta Contable]]</f>
        <v>4102001 - Costos Subcontratos</v>
      </c>
      <c r="F346" s="47" t="str">
        <f>+Cuenta_Clasificacion[[#This Row],[Codigo Concepto de imputación]]&amp;" - "&amp;Cuenta_Clasificacion[[#This Row],[Nombre Concepto de imputación]]</f>
        <v>20041 - Sbctto Jardines</v>
      </c>
    </row>
    <row r="347" spans="1:6" x14ac:dyDescent="0.25">
      <c r="A347" s="43">
        <v>4102001</v>
      </c>
      <c r="B347" t="s">
        <v>152</v>
      </c>
      <c r="C347" s="43">
        <v>20042</v>
      </c>
      <c r="D347" t="s">
        <v>2826</v>
      </c>
      <c r="E347" s="47" t="str">
        <f>+Cuenta_Clasificacion[[#This Row],[Código Cuenta Contable]]&amp;" - "&amp;Cuenta_Clasificacion[[#This Row],[Nombre de Cuenta Contable]]</f>
        <v>4102001 - Costos Subcontratos</v>
      </c>
      <c r="F347" s="47" t="str">
        <f>+Cuenta_Clasificacion[[#This Row],[Codigo Concepto de imputación]]&amp;" - "&amp;Cuenta_Clasificacion[[#This Row],[Nombre Concepto de imputación]]</f>
        <v>20042 - Sbctto Junturas de Tabiques</v>
      </c>
    </row>
    <row r="348" spans="1:6" x14ac:dyDescent="0.25">
      <c r="A348" s="43">
        <v>4102001</v>
      </c>
      <c r="B348" t="s">
        <v>152</v>
      </c>
      <c r="C348" s="43">
        <v>20043</v>
      </c>
      <c r="D348" t="s">
        <v>2827</v>
      </c>
      <c r="E348" s="47" t="str">
        <f>+Cuenta_Clasificacion[[#This Row],[Código Cuenta Contable]]&amp;" - "&amp;Cuenta_Clasificacion[[#This Row],[Nombre de Cuenta Contable]]</f>
        <v>4102001 - Costos Subcontratos</v>
      </c>
      <c r="F348" s="47" t="str">
        <f>+Cuenta_Clasificacion[[#This Row],[Codigo Concepto de imputación]]&amp;" - "&amp;Cuenta_Clasificacion[[#This Row],[Nombre Concepto de imputación]]</f>
        <v>20043 - Sbctto Lab. de Hormigones</v>
      </c>
    </row>
    <row r="349" spans="1:6" x14ac:dyDescent="0.25">
      <c r="A349" s="43">
        <v>4102001</v>
      </c>
      <c r="B349" t="s">
        <v>152</v>
      </c>
      <c r="C349" s="43">
        <v>20044</v>
      </c>
      <c r="D349" t="s">
        <v>2828</v>
      </c>
      <c r="E349" s="47" t="str">
        <f>+Cuenta_Clasificacion[[#This Row],[Código Cuenta Contable]]&amp;" - "&amp;Cuenta_Clasificacion[[#This Row],[Nombre de Cuenta Contable]]</f>
        <v>4102001 - Costos Subcontratos</v>
      </c>
      <c r="F349" s="47" t="str">
        <f>+Cuenta_Clasificacion[[#This Row],[Codigo Concepto de imputación]]&amp;" - "&amp;Cuenta_Clasificacion[[#This Row],[Nombre Concepto de imputación]]</f>
        <v>20044 - Sbctto Mármol</v>
      </c>
    </row>
    <row r="350" spans="1:6" x14ac:dyDescent="0.25">
      <c r="A350" s="43">
        <v>4102001</v>
      </c>
      <c r="B350" t="s">
        <v>152</v>
      </c>
      <c r="C350" s="43">
        <v>20045</v>
      </c>
      <c r="D350" t="s">
        <v>2829</v>
      </c>
      <c r="E350" s="47" t="str">
        <f>+Cuenta_Clasificacion[[#This Row],[Código Cuenta Contable]]&amp;" - "&amp;Cuenta_Clasificacion[[#This Row],[Nombre de Cuenta Contable]]</f>
        <v>4102001 - Costos Subcontratos</v>
      </c>
      <c r="F350" s="47" t="str">
        <f>+Cuenta_Clasificacion[[#This Row],[Codigo Concepto de imputación]]&amp;" - "&amp;Cuenta_Clasificacion[[#This Row],[Nombre Concepto de imputación]]</f>
        <v>20045 - Sbctto Molduras</v>
      </c>
    </row>
    <row r="351" spans="1:6" x14ac:dyDescent="0.25">
      <c r="A351" s="43">
        <v>4102001</v>
      </c>
      <c r="B351" t="s">
        <v>152</v>
      </c>
      <c r="C351" s="43">
        <v>20046</v>
      </c>
      <c r="D351" t="s">
        <v>2830</v>
      </c>
      <c r="E351" s="47" t="str">
        <f>+Cuenta_Clasificacion[[#This Row],[Código Cuenta Contable]]&amp;" - "&amp;Cuenta_Clasificacion[[#This Row],[Nombre de Cuenta Contable]]</f>
        <v>4102001 - Costos Subcontratos</v>
      </c>
      <c r="F351" s="47" t="str">
        <f>+Cuenta_Clasificacion[[#This Row],[Codigo Concepto de imputación]]&amp;" - "&amp;Cuenta_Clasificacion[[#This Row],[Nombre Concepto de imputación]]</f>
        <v>20046 - Sbctto Montaje de Equipos</v>
      </c>
    </row>
    <row r="352" spans="1:6" x14ac:dyDescent="0.25">
      <c r="A352" s="43">
        <v>4102001</v>
      </c>
      <c r="B352" t="s">
        <v>152</v>
      </c>
      <c r="C352" s="43">
        <v>20047</v>
      </c>
      <c r="D352" t="s">
        <v>2831</v>
      </c>
      <c r="E352" s="47" t="str">
        <f>+Cuenta_Clasificacion[[#This Row],[Código Cuenta Contable]]&amp;" - "&amp;Cuenta_Clasificacion[[#This Row],[Nombre de Cuenta Contable]]</f>
        <v>4102001 - Costos Subcontratos</v>
      </c>
      <c r="F352" s="47" t="str">
        <f>+Cuenta_Clasificacion[[#This Row],[Codigo Concepto de imputación]]&amp;" - "&amp;Cuenta_Clasificacion[[#This Row],[Nombre Concepto de imputación]]</f>
        <v>20047 - Sbctto Muebles de Baño</v>
      </c>
    </row>
    <row r="353" spans="1:6" x14ac:dyDescent="0.25">
      <c r="A353" s="43">
        <v>4102001</v>
      </c>
      <c r="B353" t="s">
        <v>152</v>
      </c>
      <c r="C353" s="43">
        <v>20048</v>
      </c>
      <c r="D353" t="s">
        <v>2832</v>
      </c>
      <c r="E353" s="47" t="str">
        <f>+Cuenta_Clasificacion[[#This Row],[Código Cuenta Contable]]&amp;" - "&amp;Cuenta_Clasificacion[[#This Row],[Nombre de Cuenta Contable]]</f>
        <v>4102001 - Costos Subcontratos</v>
      </c>
      <c r="F353" s="47" t="str">
        <f>+Cuenta_Clasificacion[[#This Row],[Codigo Concepto de imputación]]&amp;" - "&amp;Cuenta_Clasificacion[[#This Row],[Nombre Concepto de imputación]]</f>
        <v>20048 - Sbctto Muebles de Closet</v>
      </c>
    </row>
    <row r="354" spans="1:6" x14ac:dyDescent="0.25">
      <c r="A354" s="43">
        <v>4102001</v>
      </c>
      <c r="B354" t="s">
        <v>152</v>
      </c>
      <c r="C354" s="43">
        <v>20049</v>
      </c>
      <c r="D354" t="s">
        <v>2833</v>
      </c>
      <c r="E354" s="47" t="str">
        <f>+Cuenta_Clasificacion[[#This Row],[Código Cuenta Contable]]&amp;" - "&amp;Cuenta_Clasificacion[[#This Row],[Nombre de Cuenta Contable]]</f>
        <v>4102001 - Costos Subcontratos</v>
      </c>
      <c r="F354" s="47" t="str">
        <f>+Cuenta_Clasificacion[[#This Row],[Codigo Concepto de imputación]]&amp;" - "&amp;Cuenta_Clasificacion[[#This Row],[Nombre Concepto de imputación]]</f>
        <v>20049 - Sbctto Muebles de Cocina</v>
      </c>
    </row>
    <row r="355" spans="1:6" x14ac:dyDescent="0.25">
      <c r="A355" s="43">
        <v>4102001</v>
      </c>
      <c r="B355" t="s">
        <v>152</v>
      </c>
      <c r="C355" s="43">
        <v>20050</v>
      </c>
      <c r="D355" t="s">
        <v>2834</v>
      </c>
      <c r="E355" s="47" t="str">
        <f>+Cuenta_Clasificacion[[#This Row],[Código Cuenta Contable]]&amp;" - "&amp;Cuenta_Clasificacion[[#This Row],[Nombre de Cuenta Contable]]</f>
        <v>4102001 - Costos Subcontratos</v>
      </c>
      <c r="F355" s="47" t="str">
        <f>+Cuenta_Clasificacion[[#This Row],[Codigo Concepto de imputación]]&amp;" - "&amp;Cuenta_Clasificacion[[#This Row],[Nombre Concepto de imputación]]</f>
        <v>20050 - Sbctto Muebles de Oficina</v>
      </c>
    </row>
    <row r="356" spans="1:6" x14ac:dyDescent="0.25">
      <c r="A356" s="43">
        <v>4102001</v>
      </c>
      <c r="B356" t="s">
        <v>152</v>
      </c>
      <c r="C356" s="43">
        <v>20051</v>
      </c>
      <c r="D356" t="s">
        <v>2835</v>
      </c>
      <c r="E356" s="47" t="str">
        <f>+Cuenta_Clasificacion[[#This Row],[Código Cuenta Contable]]&amp;" - "&amp;Cuenta_Clasificacion[[#This Row],[Nombre de Cuenta Contable]]</f>
        <v>4102001 - Costos Subcontratos</v>
      </c>
      <c r="F356" s="47" t="str">
        <f>+Cuenta_Clasificacion[[#This Row],[Codigo Concepto de imputación]]&amp;" - "&amp;Cuenta_Clasificacion[[#This Row],[Nombre Concepto de imputación]]</f>
        <v>20051 - Sbctto Otros Ensayos</v>
      </c>
    </row>
    <row r="357" spans="1:6" x14ac:dyDescent="0.25">
      <c r="A357" s="43">
        <v>4102001</v>
      </c>
      <c r="B357" t="s">
        <v>152</v>
      </c>
      <c r="C357" s="43">
        <v>20052</v>
      </c>
      <c r="D357" t="s">
        <v>2836</v>
      </c>
      <c r="E357" s="47" t="str">
        <f>+Cuenta_Clasificacion[[#This Row],[Código Cuenta Contable]]&amp;" - "&amp;Cuenta_Clasificacion[[#This Row],[Nombre de Cuenta Contable]]</f>
        <v>4102001 - Costos Subcontratos</v>
      </c>
      <c r="F357" s="47" t="str">
        <f>+Cuenta_Clasificacion[[#This Row],[Codigo Concepto de imputación]]&amp;" - "&amp;Cuenta_Clasificacion[[#This Row],[Nombre Concepto de imputación]]</f>
        <v>20052 - Sbctto Otros Muebles</v>
      </c>
    </row>
    <row r="358" spans="1:6" x14ac:dyDescent="0.25">
      <c r="A358" s="43">
        <v>4102001</v>
      </c>
      <c r="B358" t="s">
        <v>152</v>
      </c>
      <c r="C358" s="43">
        <v>20053</v>
      </c>
      <c r="D358" t="s">
        <v>2837</v>
      </c>
      <c r="E358" s="47" t="str">
        <f>+Cuenta_Clasificacion[[#This Row],[Código Cuenta Contable]]&amp;" - "&amp;Cuenta_Clasificacion[[#This Row],[Nombre de Cuenta Contable]]</f>
        <v>4102001 - Costos Subcontratos</v>
      </c>
      <c r="F358" s="47" t="str">
        <f>+Cuenta_Clasificacion[[#This Row],[Codigo Concepto de imputación]]&amp;" - "&amp;Cuenta_Clasificacion[[#This Row],[Nombre Concepto de imputación]]</f>
        <v>20053 - Sbctto Otros Pisos</v>
      </c>
    </row>
    <row r="359" spans="1:6" x14ac:dyDescent="0.25">
      <c r="A359" s="43">
        <v>4102001</v>
      </c>
      <c r="B359" t="s">
        <v>152</v>
      </c>
      <c r="C359" s="43">
        <v>20054</v>
      </c>
      <c r="D359" t="s">
        <v>2838</v>
      </c>
      <c r="E359" s="47" t="str">
        <f>+Cuenta_Clasificacion[[#This Row],[Código Cuenta Contable]]&amp;" - "&amp;Cuenta_Clasificacion[[#This Row],[Nombre de Cuenta Contable]]</f>
        <v>4102001 - Costos Subcontratos</v>
      </c>
      <c r="F359" s="47" t="str">
        <f>+Cuenta_Clasificacion[[#This Row],[Codigo Concepto de imputación]]&amp;" - "&amp;Cuenta_Clasificacion[[#This Row],[Nombre Concepto de imputación]]</f>
        <v>20054 - Sbctto Papel Mural</v>
      </c>
    </row>
    <row r="360" spans="1:6" x14ac:dyDescent="0.25">
      <c r="A360" s="43">
        <v>4102001</v>
      </c>
      <c r="B360" t="s">
        <v>152</v>
      </c>
      <c r="C360" s="43">
        <v>20055</v>
      </c>
      <c r="D360" t="s">
        <v>2839</v>
      </c>
      <c r="E360" s="47" t="str">
        <f>+Cuenta_Clasificacion[[#This Row],[Código Cuenta Contable]]&amp;" - "&amp;Cuenta_Clasificacion[[#This Row],[Nombre de Cuenta Contable]]</f>
        <v>4102001 - Costos Subcontratos</v>
      </c>
      <c r="F360" s="47" t="str">
        <f>+Cuenta_Clasificacion[[#This Row],[Codigo Concepto de imputación]]&amp;" - "&amp;Cuenta_Clasificacion[[#This Row],[Nombre Concepto de imputación]]</f>
        <v>20055 - Sbctto Pavimentos</v>
      </c>
    </row>
    <row r="361" spans="1:6" x14ac:dyDescent="0.25">
      <c r="A361" s="43">
        <v>4102001</v>
      </c>
      <c r="B361" t="s">
        <v>152</v>
      </c>
      <c r="C361" s="43">
        <v>20056</v>
      </c>
      <c r="D361" t="s">
        <v>2840</v>
      </c>
      <c r="E361" s="47" t="str">
        <f>+Cuenta_Clasificacion[[#This Row],[Código Cuenta Contable]]&amp;" - "&amp;Cuenta_Clasificacion[[#This Row],[Nombre de Cuenta Contable]]</f>
        <v>4102001 - Costos Subcontratos</v>
      </c>
      <c r="F361" s="47" t="str">
        <f>+Cuenta_Clasificacion[[#This Row],[Codigo Concepto de imputación]]&amp;" - "&amp;Cuenta_Clasificacion[[#This Row],[Nombre Concepto de imputación]]</f>
        <v>20056 - Sbctto Perforación de Hormigón</v>
      </c>
    </row>
    <row r="362" spans="1:6" x14ac:dyDescent="0.25">
      <c r="A362" s="43">
        <v>4102001</v>
      </c>
      <c r="B362" t="s">
        <v>152</v>
      </c>
      <c r="C362" s="43">
        <v>20057</v>
      </c>
      <c r="D362" t="s">
        <v>2841</v>
      </c>
      <c r="E362" s="47" t="str">
        <f>+Cuenta_Clasificacion[[#This Row],[Código Cuenta Contable]]&amp;" - "&amp;Cuenta_Clasificacion[[#This Row],[Nombre de Cuenta Contable]]</f>
        <v>4102001 - Costos Subcontratos</v>
      </c>
      <c r="F362" s="47" t="str">
        <f>+Cuenta_Clasificacion[[#This Row],[Codigo Concepto de imputación]]&amp;" - "&amp;Cuenta_Clasificacion[[#This Row],[Nombre Concepto de imputación]]</f>
        <v>20057 - Sbctto Pilas</v>
      </c>
    </row>
    <row r="363" spans="1:6" x14ac:dyDescent="0.25">
      <c r="A363" s="43">
        <v>4102001</v>
      </c>
      <c r="B363" t="s">
        <v>152</v>
      </c>
      <c r="C363" s="43">
        <v>20058</v>
      </c>
      <c r="D363" t="s">
        <v>2842</v>
      </c>
      <c r="E363" s="47" t="str">
        <f>+Cuenta_Clasificacion[[#This Row],[Código Cuenta Contable]]&amp;" - "&amp;Cuenta_Clasificacion[[#This Row],[Nombre de Cuenta Contable]]</f>
        <v>4102001 - Costos Subcontratos</v>
      </c>
      <c r="F363" s="47" t="str">
        <f>+Cuenta_Clasificacion[[#This Row],[Codigo Concepto de imputación]]&amp;" - "&amp;Cuenta_Clasificacion[[#This Row],[Nombre Concepto de imputación]]</f>
        <v>20058 - Sbctto Pinturas</v>
      </c>
    </row>
    <row r="364" spans="1:6" x14ac:dyDescent="0.25">
      <c r="A364" s="43">
        <v>4102001</v>
      </c>
      <c r="B364" t="s">
        <v>152</v>
      </c>
      <c r="C364" s="43">
        <v>20059</v>
      </c>
      <c r="D364" t="s">
        <v>2843</v>
      </c>
      <c r="E364" s="47" t="str">
        <f>+Cuenta_Clasificacion[[#This Row],[Código Cuenta Contable]]&amp;" - "&amp;Cuenta_Clasificacion[[#This Row],[Nombre de Cuenta Contable]]</f>
        <v>4102001 - Costos Subcontratos</v>
      </c>
      <c r="F364" s="47" t="str">
        <f>+Cuenta_Clasificacion[[#This Row],[Codigo Concepto de imputación]]&amp;" - "&amp;Cuenta_Clasificacion[[#This Row],[Nombre Concepto de imputación]]</f>
        <v>20059 - Sbctto Piso Flotante</v>
      </c>
    </row>
    <row r="365" spans="1:6" x14ac:dyDescent="0.25">
      <c r="A365" s="43">
        <v>4102001</v>
      </c>
      <c r="B365" t="s">
        <v>152</v>
      </c>
      <c r="C365" s="43">
        <v>20060</v>
      </c>
      <c r="D365" t="s">
        <v>2844</v>
      </c>
      <c r="E365" s="47" t="str">
        <f>+Cuenta_Clasificacion[[#This Row],[Código Cuenta Contable]]&amp;" - "&amp;Cuenta_Clasificacion[[#This Row],[Nombre de Cuenta Contable]]</f>
        <v>4102001 - Costos Subcontratos</v>
      </c>
      <c r="F365" s="47" t="str">
        <f>+Cuenta_Clasificacion[[#This Row],[Codigo Concepto de imputación]]&amp;" - "&amp;Cuenta_Clasificacion[[#This Row],[Nombre Concepto de imputación]]</f>
        <v>20060 - Sbctto Plásticos</v>
      </c>
    </row>
    <row r="366" spans="1:6" x14ac:dyDescent="0.25">
      <c r="A366" s="43">
        <v>4102001</v>
      </c>
      <c r="B366" t="s">
        <v>152</v>
      </c>
      <c r="C366" s="43">
        <v>20061</v>
      </c>
      <c r="D366" t="s">
        <v>2845</v>
      </c>
      <c r="E366" s="47" t="str">
        <f>+Cuenta_Clasificacion[[#This Row],[Código Cuenta Contable]]&amp;" - "&amp;Cuenta_Clasificacion[[#This Row],[Nombre de Cuenta Contable]]</f>
        <v>4102001 - Costos Subcontratos</v>
      </c>
      <c r="F366" s="47" t="str">
        <f>+Cuenta_Clasificacion[[#This Row],[Codigo Concepto de imputación]]&amp;" - "&amp;Cuenta_Clasificacion[[#This Row],[Nombre Concepto de imputación]]</f>
        <v>20061 - Sbctto Preparación de Muros</v>
      </c>
    </row>
    <row r="367" spans="1:6" x14ac:dyDescent="0.25">
      <c r="A367" s="43">
        <v>4102001</v>
      </c>
      <c r="B367" t="s">
        <v>152</v>
      </c>
      <c r="C367" s="43">
        <v>20062</v>
      </c>
      <c r="D367" t="s">
        <v>2846</v>
      </c>
      <c r="E367" s="47" t="str">
        <f>+Cuenta_Clasificacion[[#This Row],[Código Cuenta Contable]]&amp;" - "&amp;Cuenta_Clasificacion[[#This Row],[Nombre de Cuenta Contable]]</f>
        <v>4102001 - Costos Subcontratos</v>
      </c>
      <c r="F367" s="47" t="str">
        <f>+Cuenta_Clasificacion[[#This Row],[Codigo Concepto de imputación]]&amp;" - "&amp;Cuenta_Clasificacion[[#This Row],[Nombre Concepto de imputación]]</f>
        <v>20062 - Sbctto Presurización</v>
      </c>
    </row>
    <row r="368" spans="1:6" x14ac:dyDescent="0.25">
      <c r="A368" s="43">
        <v>4102001</v>
      </c>
      <c r="B368" t="s">
        <v>152</v>
      </c>
      <c r="C368" s="43">
        <v>20063</v>
      </c>
      <c r="D368" t="s">
        <v>2847</v>
      </c>
      <c r="E368" s="47" t="str">
        <f>+Cuenta_Clasificacion[[#This Row],[Código Cuenta Contable]]&amp;" - "&amp;Cuenta_Clasificacion[[#This Row],[Nombre de Cuenta Contable]]</f>
        <v>4102001 - Costos Subcontratos</v>
      </c>
      <c r="F368" s="47" t="str">
        <f>+Cuenta_Clasificacion[[#This Row],[Codigo Concepto de imputación]]&amp;" - "&amp;Cuenta_Clasificacion[[#This Row],[Nombre Concepto de imputación]]</f>
        <v>20063 - Sbctto Puertas</v>
      </c>
    </row>
    <row r="369" spans="1:6" x14ac:dyDescent="0.25">
      <c r="A369" s="43">
        <v>4102001</v>
      </c>
      <c r="B369" t="s">
        <v>152</v>
      </c>
      <c r="C369" s="43">
        <v>20064</v>
      </c>
      <c r="D369" t="s">
        <v>2848</v>
      </c>
      <c r="E369" s="47" t="str">
        <f>+Cuenta_Clasificacion[[#This Row],[Código Cuenta Contable]]&amp;" - "&amp;Cuenta_Clasificacion[[#This Row],[Nombre de Cuenta Contable]]</f>
        <v>4102001 - Costos Subcontratos</v>
      </c>
      <c r="F369" s="47" t="str">
        <f>+Cuenta_Clasificacion[[#This Row],[Codigo Concepto de imputación]]&amp;" - "&amp;Cuenta_Clasificacion[[#This Row],[Nombre Concepto de imputación]]</f>
        <v>20064 - Sbctto Pulido de Pisos</v>
      </c>
    </row>
    <row r="370" spans="1:6" x14ac:dyDescent="0.25">
      <c r="A370" s="43">
        <v>4102001</v>
      </c>
      <c r="B370" t="s">
        <v>152</v>
      </c>
      <c r="C370" s="43">
        <v>20065</v>
      </c>
      <c r="D370" t="s">
        <v>2849</v>
      </c>
      <c r="E370" s="47" t="str">
        <f>+Cuenta_Clasificacion[[#This Row],[Código Cuenta Contable]]&amp;" - "&amp;Cuenta_Clasificacion[[#This Row],[Nombre de Cuenta Contable]]</f>
        <v>4102001 - Costos Subcontratos</v>
      </c>
      <c r="F370" s="47" t="str">
        <f>+Cuenta_Clasificacion[[#This Row],[Codigo Concepto de imputación]]&amp;" - "&amp;Cuenta_Clasificacion[[#This Row],[Nombre Concepto de imputación]]</f>
        <v>20065 - Sbctto Quincallería</v>
      </c>
    </row>
    <row r="371" spans="1:6" x14ac:dyDescent="0.25">
      <c r="A371" s="43">
        <v>4102001</v>
      </c>
      <c r="B371" t="s">
        <v>152</v>
      </c>
      <c r="C371" s="43">
        <v>20066</v>
      </c>
      <c r="D371" t="s">
        <v>2850</v>
      </c>
      <c r="E371" s="47" t="str">
        <f>+Cuenta_Clasificacion[[#This Row],[Código Cuenta Contable]]&amp;" - "&amp;Cuenta_Clasificacion[[#This Row],[Nombre de Cuenta Contable]]</f>
        <v>4102001 - Costos Subcontratos</v>
      </c>
      <c r="F371" s="47" t="str">
        <f>+Cuenta_Clasificacion[[#This Row],[Codigo Concepto de imputación]]&amp;" - "&amp;Cuenta_Clasificacion[[#This Row],[Nombre Concepto de imputación]]</f>
        <v>20066 - Sbctto Red de Calefacción</v>
      </c>
    </row>
    <row r="372" spans="1:6" x14ac:dyDescent="0.25">
      <c r="A372" s="43">
        <v>4102001</v>
      </c>
      <c r="B372" t="s">
        <v>152</v>
      </c>
      <c r="C372" s="43">
        <v>20067</v>
      </c>
      <c r="D372" t="s">
        <v>2851</v>
      </c>
      <c r="E372" s="47" t="str">
        <f>+Cuenta_Clasificacion[[#This Row],[Código Cuenta Contable]]&amp;" - "&amp;Cuenta_Clasificacion[[#This Row],[Nombre de Cuenta Contable]]</f>
        <v>4102001 - Costos Subcontratos</v>
      </c>
      <c r="F372" s="47" t="str">
        <f>+Cuenta_Clasificacion[[#This Row],[Codigo Concepto de imputación]]&amp;" - "&amp;Cuenta_Clasificacion[[#This Row],[Nombre Concepto de imputación]]</f>
        <v>20067 - Sbctto Retiro Escombros</v>
      </c>
    </row>
    <row r="373" spans="1:6" x14ac:dyDescent="0.25">
      <c r="A373" s="43">
        <v>4102001</v>
      </c>
      <c r="B373" t="s">
        <v>152</v>
      </c>
      <c r="C373" s="43">
        <v>20068</v>
      </c>
      <c r="D373" t="s">
        <v>2852</v>
      </c>
      <c r="E373" s="47" t="str">
        <f>+Cuenta_Clasificacion[[#This Row],[Código Cuenta Contable]]&amp;" - "&amp;Cuenta_Clasificacion[[#This Row],[Nombre de Cuenta Contable]]</f>
        <v>4102001 - Costos Subcontratos</v>
      </c>
      <c r="F373" s="47" t="str">
        <f>+Cuenta_Clasificacion[[#This Row],[Codigo Concepto de imputación]]&amp;" - "&amp;Cuenta_Clasificacion[[#This Row],[Nombre Concepto de imputación]]</f>
        <v>20068 - Sbctto Señalética</v>
      </c>
    </row>
    <row r="374" spans="1:6" x14ac:dyDescent="0.25">
      <c r="A374" s="43">
        <v>4102001</v>
      </c>
      <c r="B374" t="s">
        <v>152</v>
      </c>
      <c r="C374" s="43">
        <v>20069</v>
      </c>
      <c r="D374" t="s">
        <v>2853</v>
      </c>
      <c r="E374" s="47" t="str">
        <f>+Cuenta_Clasificacion[[#This Row],[Código Cuenta Contable]]&amp;" - "&amp;Cuenta_Clasificacion[[#This Row],[Nombre de Cuenta Contable]]</f>
        <v>4102001 - Costos Subcontratos</v>
      </c>
      <c r="F374" s="47" t="str">
        <f>+Cuenta_Clasificacion[[#This Row],[Codigo Concepto de imputación]]&amp;" - "&amp;Cuenta_Clasificacion[[#This Row],[Nombre Concepto de imputación]]</f>
        <v>20069 - Sbctto Servicio de Aseo</v>
      </c>
    </row>
    <row r="375" spans="1:6" x14ac:dyDescent="0.25">
      <c r="A375" s="43">
        <v>4102001</v>
      </c>
      <c r="B375" t="s">
        <v>152</v>
      </c>
      <c r="C375" s="43">
        <v>20070</v>
      </c>
      <c r="D375" t="s">
        <v>2854</v>
      </c>
      <c r="E375" s="47" t="str">
        <f>+Cuenta_Clasificacion[[#This Row],[Código Cuenta Contable]]&amp;" - "&amp;Cuenta_Clasificacion[[#This Row],[Nombre de Cuenta Contable]]</f>
        <v>4102001 - Costos Subcontratos</v>
      </c>
      <c r="F375" s="47" t="str">
        <f>+Cuenta_Clasificacion[[#This Row],[Codigo Concepto de imputación]]&amp;" - "&amp;Cuenta_Clasificacion[[#This Row],[Nombre Concepto de imputación]]</f>
        <v>20070 - Sbctto Suelos</v>
      </c>
    </row>
    <row r="376" spans="1:6" x14ac:dyDescent="0.25">
      <c r="A376" s="43">
        <v>4102001</v>
      </c>
      <c r="B376" t="s">
        <v>152</v>
      </c>
      <c r="C376" s="43">
        <v>20071</v>
      </c>
      <c r="D376" t="s">
        <v>2855</v>
      </c>
      <c r="E376" s="47" t="str">
        <f>+Cuenta_Clasificacion[[#This Row],[Código Cuenta Contable]]&amp;" - "&amp;Cuenta_Clasificacion[[#This Row],[Nombre de Cuenta Contable]]</f>
        <v>4102001 - Costos Subcontratos</v>
      </c>
      <c r="F376" s="47" t="str">
        <f>+Cuenta_Clasificacion[[#This Row],[Codigo Concepto de imputación]]&amp;" - "&amp;Cuenta_Clasificacion[[#This Row],[Nombre Concepto de imputación]]</f>
        <v>20071 - Sbctto Tabiques</v>
      </c>
    </row>
    <row r="377" spans="1:6" x14ac:dyDescent="0.25">
      <c r="A377" s="43">
        <v>4102001</v>
      </c>
      <c r="B377" t="s">
        <v>152</v>
      </c>
      <c r="C377" s="43">
        <v>20072</v>
      </c>
      <c r="D377" t="s">
        <v>2856</v>
      </c>
      <c r="E377" s="47" t="str">
        <f>+Cuenta_Clasificacion[[#This Row],[Código Cuenta Contable]]&amp;" - "&amp;Cuenta_Clasificacion[[#This Row],[Nombre de Cuenta Contable]]</f>
        <v>4102001 - Costos Subcontratos</v>
      </c>
      <c r="F377" s="47" t="str">
        <f>+Cuenta_Clasificacion[[#This Row],[Codigo Concepto de imputación]]&amp;" - "&amp;Cuenta_Clasificacion[[#This Row],[Nombre Concepto de imputación]]</f>
        <v>20072 - Sbctto Techumbres y Cubiertas</v>
      </c>
    </row>
    <row r="378" spans="1:6" x14ac:dyDescent="0.25">
      <c r="A378" s="43">
        <v>4102001</v>
      </c>
      <c r="B378" t="s">
        <v>152</v>
      </c>
      <c r="C378" s="43">
        <v>20073</v>
      </c>
      <c r="D378" t="s">
        <v>2857</v>
      </c>
      <c r="E378" s="47" t="str">
        <f>+Cuenta_Clasificacion[[#This Row],[Código Cuenta Contable]]&amp;" - "&amp;Cuenta_Clasificacion[[#This Row],[Nombre de Cuenta Contable]]</f>
        <v>4102001 - Costos Subcontratos</v>
      </c>
      <c r="F378" s="47" t="str">
        <f>+Cuenta_Clasificacion[[#This Row],[Codigo Concepto de imputación]]&amp;" - "&amp;Cuenta_Clasificacion[[#This Row],[Nombre Concepto de imputación]]</f>
        <v>20073 - Sbctto Topografía</v>
      </c>
    </row>
    <row r="379" spans="1:6" x14ac:dyDescent="0.25">
      <c r="A379" s="43">
        <v>4102001</v>
      </c>
      <c r="B379" t="s">
        <v>152</v>
      </c>
      <c r="C379" s="43">
        <v>20074</v>
      </c>
      <c r="D379" t="s">
        <v>2858</v>
      </c>
      <c r="E379" s="47" t="str">
        <f>+Cuenta_Clasificacion[[#This Row],[Código Cuenta Contable]]&amp;" - "&amp;Cuenta_Clasificacion[[#This Row],[Nombre de Cuenta Contable]]</f>
        <v>4102001 - Costos Subcontratos</v>
      </c>
      <c r="F379" s="47" t="str">
        <f>+Cuenta_Clasificacion[[#This Row],[Codigo Concepto de imputación]]&amp;" - "&amp;Cuenta_Clasificacion[[#This Row],[Nombre Concepto de imputación]]</f>
        <v>20074 - Sbctto Trámites</v>
      </c>
    </row>
    <row r="380" spans="1:6" x14ac:dyDescent="0.25">
      <c r="A380" s="43">
        <v>4102001</v>
      </c>
      <c r="B380" t="s">
        <v>152</v>
      </c>
      <c r="C380" s="43">
        <v>20075</v>
      </c>
      <c r="D380" t="s">
        <v>2859</v>
      </c>
      <c r="E380" s="47" t="str">
        <f>+Cuenta_Clasificacion[[#This Row],[Código Cuenta Contable]]&amp;" - "&amp;Cuenta_Clasificacion[[#This Row],[Nombre de Cuenta Contable]]</f>
        <v>4102001 - Costos Subcontratos</v>
      </c>
      <c r="F380" s="47" t="str">
        <f>+Cuenta_Clasificacion[[#This Row],[Codigo Concepto de imputación]]&amp;" - "&amp;Cuenta_Clasificacion[[#This Row],[Nombre Concepto de imputación]]</f>
        <v>20075 - Sbctto Transporte</v>
      </c>
    </row>
    <row r="381" spans="1:6" x14ac:dyDescent="0.25">
      <c r="A381" s="43">
        <v>4102001</v>
      </c>
      <c r="B381" t="s">
        <v>152</v>
      </c>
      <c r="C381" s="43">
        <v>20076</v>
      </c>
      <c r="D381" t="s">
        <v>2860</v>
      </c>
      <c r="E381" s="47" t="str">
        <f>+Cuenta_Clasificacion[[#This Row],[Código Cuenta Contable]]&amp;" - "&amp;Cuenta_Clasificacion[[#This Row],[Nombre de Cuenta Contable]]</f>
        <v>4102001 - Costos Subcontratos</v>
      </c>
      <c r="F381" s="47" t="str">
        <f>+Cuenta_Clasificacion[[#This Row],[Codigo Concepto de imputación]]&amp;" - "&amp;Cuenta_Clasificacion[[#This Row],[Nombre Concepto de imputación]]</f>
        <v>20076 - Sbctto Ventanas</v>
      </c>
    </row>
    <row r="382" spans="1:6" x14ac:dyDescent="0.25">
      <c r="A382" s="43">
        <v>4102001</v>
      </c>
      <c r="B382" t="s">
        <v>152</v>
      </c>
      <c r="C382" s="43">
        <v>20077</v>
      </c>
      <c r="D382" t="s">
        <v>2861</v>
      </c>
      <c r="E382" s="47" t="str">
        <f>+Cuenta_Clasificacion[[#This Row],[Código Cuenta Contable]]&amp;" - "&amp;Cuenta_Clasificacion[[#This Row],[Nombre de Cuenta Contable]]</f>
        <v>4102001 - Costos Subcontratos</v>
      </c>
      <c r="F382" s="47" t="str">
        <f>+Cuenta_Clasificacion[[#This Row],[Codigo Concepto de imputación]]&amp;" - "&amp;Cuenta_Clasificacion[[#This Row],[Nombre Concepto de imputación]]</f>
        <v>20077 - Sbctto Vitrificado</v>
      </c>
    </row>
    <row r="383" spans="1:6" x14ac:dyDescent="0.25">
      <c r="A383" s="43">
        <v>4102001</v>
      </c>
      <c r="B383" t="s">
        <v>152</v>
      </c>
      <c r="C383" s="43">
        <v>20078</v>
      </c>
      <c r="D383" t="s">
        <v>2862</v>
      </c>
      <c r="E383" s="47" t="str">
        <f>+Cuenta_Clasificacion[[#This Row],[Código Cuenta Contable]]&amp;" - "&amp;Cuenta_Clasificacion[[#This Row],[Nombre de Cuenta Contable]]</f>
        <v>4102001 - Costos Subcontratos</v>
      </c>
      <c r="F383" s="47" t="str">
        <f>+Cuenta_Clasificacion[[#This Row],[Codigo Concepto de imputación]]&amp;" - "&amp;Cuenta_Clasificacion[[#This Row],[Nombre Concepto de imputación]]</f>
        <v>20078 - Sbctto Zincado, Galvanizado</v>
      </c>
    </row>
    <row r="384" spans="1:6" x14ac:dyDescent="0.25">
      <c r="A384" s="43">
        <v>4102001</v>
      </c>
      <c r="B384" t="s">
        <v>152</v>
      </c>
      <c r="C384" s="43">
        <v>20079</v>
      </c>
      <c r="D384" t="s">
        <v>2863</v>
      </c>
      <c r="E384" s="47" t="str">
        <f>+Cuenta_Clasificacion[[#This Row],[Código Cuenta Contable]]&amp;" - "&amp;Cuenta_Clasificacion[[#This Row],[Nombre de Cuenta Contable]]</f>
        <v>4102001 - Costos Subcontratos</v>
      </c>
      <c r="F384" s="47" t="str">
        <f>+Cuenta_Clasificacion[[#This Row],[Codigo Concepto de imputación]]&amp;" - "&amp;Cuenta_Clasificacion[[#This Row],[Nombre Concepto de imputación]]</f>
        <v>20079 - Servicio Vigilancia</v>
      </c>
    </row>
    <row r="385" spans="1:6" x14ac:dyDescent="0.25">
      <c r="A385" s="43">
        <v>4102001</v>
      </c>
      <c r="B385" t="s">
        <v>152</v>
      </c>
      <c r="C385" s="43">
        <v>20080</v>
      </c>
      <c r="D385" t="s">
        <v>2864</v>
      </c>
      <c r="E385" s="47" t="str">
        <f>+Cuenta_Clasificacion[[#This Row],[Código Cuenta Contable]]&amp;" - "&amp;Cuenta_Clasificacion[[#This Row],[Nombre de Cuenta Contable]]</f>
        <v>4102001 - Costos Subcontratos</v>
      </c>
      <c r="F385" s="47" t="str">
        <f>+Cuenta_Clasificacion[[#This Row],[Codigo Concepto de imputación]]&amp;" - "&amp;Cuenta_Clasificacion[[#This Row],[Nombre Concepto de imputación]]</f>
        <v>20080 - Sbctto Instalación Especial</v>
      </c>
    </row>
    <row r="386" spans="1:6" x14ac:dyDescent="0.25">
      <c r="A386" s="43">
        <v>4102001</v>
      </c>
      <c r="B386" t="s">
        <v>152</v>
      </c>
      <c r="C386" s="43">
        <v>20081</v>
      </c>
      <c r="D386" t="s">
        <v>2865</v>
      </c>
      <c r="E386" s="47" t="str">
        <f>+Cuenta_Clasificacion[[#This Row],[Código Cuenta Contable]]&amp;" - "&amp;Cuenta_Clasificacion[[#This Row],[Nombre de Cuenta Contable]]</f>
        <v>4102001 - Costos Subcontratos</v>
      </c>
      <c r="F386" s="47" t="str">
        <f>+Cuenta_Clasificacion[[#This Row],[Codigo Concepto de imputación]]&amp;" - "&amp;Cuenta_Clasificacion[[#This Row],[Nombre Concepto de imputación]]</f>
        <v>20081 - Instalación Sist Computacional</v>
      </c>
    </row>
    <row r="387" spans="1:6" x14ac:dyDescent="0.25">
      <c r="A387" s="43">
        <v>4102001</v>
      </c>
      <c r="B387" t="s">
        <v>152</v>
      </c>
      <c r="C387" s="43">
        <v>20082</v>
      </c>
      <c r="D387" t="s">
        <v>2866</v>
      </c>
      <c r="E387" s="47" t="str">
        <f>+Cuenta_Clasificacion[[#This Row],[Código Cuenta Contable]]&amp;" - "&amp;Cuenta_Clasificacion[[#This Row],[Nombre de Cuenta Contable]]</f>
        <v>4102001 - Costos Subcontratos</v>
      </c>
      <c r="F387" s="47" t="str">
        <f>+Cuenta_Clasificacion[[#This Row],[Codigo Concepto de imputación]]&amp;" - "&amp;Cuenta_Clasificacion[[#This Row],[Nombre Concepto de imputación]]</f>
        <v>20082 - Operador Sbctto Arriendo</v>
      </c>
    </row>
    <row r="388" spans="1:6" x14ac:dyDescent="0.25">
      <c r="A388" s="43">
        <v>4102001</v>
      </c>
      <c r="B388" t="s">
        <v>152</v>
      </c>
      <c r="C388" s="43">
        <v>20083</v>
      </c>
      <c r="D388" t="s">
        <v>2867</v>
      </c>
      <c r="E388" s="47" t="str">
        <f>+Cuenta_Clasificacion[[#This Row],[Código Cuenta Contable]]&amp;" - "&amp;Cuenta_Clasificacion[[#This Row],[Nombre de Cuenta Contable]]</f>
        <v>4102001 - Costos Subcontratos</v>
      </c>
      <c r="F388" s="47" t="str">
        <f>+Cuenta_Clasificacion[[#This Row],[Codigo Concepto de imputación]]&amp;" - "&amp;Cuenta_Clasificacion[[#This Row],[Nombre Concepto de imputación]]</f>
        <v>20083 - Descuento Subcontrato</v>
      </c>
    </row>
    <row r="389" spans="1:6" x14ac:dyDescent="0.25">
      <c r="A389" s="43">
        <v>4102001</v>
      </c>
      <c r="B389" t="s">
        <v>152</v>
      </c>
      <c r="C389" s="43">
        <v>20084</v>
      </c>
      <c r="D389" t="s">
        <v>2911</v>
      </c>
      <c r="E389" s="47" t="str">
        <f>+Cuenta_Clasificacion[[#This Row],[Código Cuenta Contable]]&amp;" - "&amp;Cuenta_Clasificacion[[#This Row],[Nombre de Cuenta Contable]]</f>
        <v>4102001 - Costos Subcontratos</v>
      </c>
      <c r="F389" s="47" t="str">
        <f>+Cuenta_Clasificacion[[#This Row],[Codigo Concepto de imputación]]&amp;" - "&amp;Cuenta_Clasificacion[[#This Row],[Nombre Concepto de imputación]]</f>
        <v>20084 - Sbctto Trabajos Misceláneos</v>
      </c>
    </row>
    <row r="390" spans="1:6" x14ac:dyDescent="0.25">
      <c r="A390" s="43">
        <v>4102001</v>
      </c>
      <c r="B390" t="s">
        <v>152</v>
      </c>
      <c r="C390" s="43">
        <v>20085</v>
      </c>
      <c r="D390" t="s">
        <v>2912</v>
      </c>
      <c r="E390" s="47" t="str">
        <f>+Cuenta_Clasificacion[[#This Row],[Código Cuenta Contable]]&amp;" - "&amp;Cuenta_Clasificacion[[#This Row],[Nombre de Cuenta Contable]]</f>
        <v>4102001 - Costos Subcontratos</v>
      </c>
      <c r="F390" s="47" t="str">
        <f>+Cuenta_Clasificacion[[#This Row],[Codigo Concepto de imputación]]&amp;" - "&amp;Cuenta_Clasificacion[[#This Row],[Nombre Concepto de imputación]]</f>
        <v>20085 - Sbctto Agotamiento Napas</v>
      </c>
    </row>
    <row r="391" spans="1:6" x14ac:dyDescent="0.25">
      <c r="A391" s="43">
        <v>4102001</v>
      </c>
      <c r="B391" t="s">
        <v>152</v>
      </c>
      <c r="C391" s="43">
        <v>20086</v>
      </c>
      <c r="D391" t="s">
        <v>2868</v>
      </c>
      <c r="E391" s="47" t="str">
        <f>+Cuenta_Clasificacion[[#This Row],[Código Cuenta Contable]]&amp;" - "&amp;Cuenta_Clasificacion[[#This Row],[Nombre de Cuenta Contable]]</f>
        <v>4102001 - Costos Subcontratos</v>
      </c>
      <c r="F391" s="47" t="str">
        <f>+Cuenta_Clasificacion[[#This Row],[Codigo Concepto de imputación]]&amp;" - "&amp;Cuenta_Clasificacion[[#This Row],[Nombre Concepto de imputación]]</f>
        <v>20086 - Sbctto Otros Subcttos</v>
      </c>
    </row>
    <row r="392" spans="1:6" x14ac:dyDescent="0.25">
      <c r="A392" s="43">
        <v>4102001</v>
      </c>
      <c r="B392" t="s">
        <v>152</v>
      </c>
      <c r="C392" s="43">
        <v>20087</v>
      </c>
      <c r="D392" t="s">
        <v>2913</v>
      </c>
      <c r="E392" s="47" t="str">
        <f>+Cuenta_Clasificacion[[#This Row],[Código Cuenta Contable]]&amp;" - "&amp;Cuenta_Clasificacion[[#This Row],[Nombre de Cuenta Contable]]</f>
        <v>4102001 - Costos Subcontratos</v>
      </c>
      <c r="F392" s="47" t="str">
        <f>+Cuenta_Clasificacion[[#This Row],[Codigo Concepto de imputación]]&amp;" - "&amp;Cuenta_Clasificacion[[#This Row],[Nombre Concepto de imputación]]</f>
        <v>20087 - Pago Sueldos/Finiq Trab Sbctto</v>
      </c>
    </row>
    <row r="393" spans="1:6" x14ac:dyDescent="0.25">
      <c r="A393" s="43">
        <v>4102001</v>
      </c>
      <c r="B393" t="s">
        <v>152</v>
      </c>
      <c r="C393" s="43">
        <v>20088</v>
      </c>
      <c r="D393" t="s">
        <v>2914</v>
      </c>
      <c r="E393" s="47" t="str">
        <f>+Cuenta_Clasificacion[[#This Row],[Código Cuenta Contable]]&amp;" - "&amp;Cuenta_Clasificacion[[#This Row],[Nombre de Cuenta Contable]]</f>
        <v>4102001 - Costos Subcontratos</v>
      </c>
      <c r="F393" s="47" t="str">
        <f>+Cuenta_Clasificacion[[#This Row],[Codigo Concepto de imputación]]&amp;" - "&amp;Cuenta_Clasificacion[[#This Row],[Nombre Concepto de imputación]]</f>
        <v>20088 - Pago Imposiciones Trab Sbctto</v>
      </c>
    </row>
    <row r="394" spans="1:6" x14ac:dyDescent="0.25">
      <c r="A394" s="43">
        <v>4102001</v>
      </c>
      <c r="B394" t="s">
        <v>152</v>
      </c>
      <c r="C394" s="43">
        <v>30001</v>
      </c>
      <c r="D394" t="s">
        <v>2869</v>
      </c>
      <c r="E394" s="47" t="str">
        <f>+Cuenta_Clasificacion[[#This Row],[Código Cuenta Contable]]&amp;" - "&amp;Cuenta_Clasificacion[[#This Row],[Nombre de Cuenta Contable]]</f>
        <v>4102001 - Costos Subcontratos</v>
      </c>
      <c r="F394" s="47" t="str">
        <f>+Cuenta_Clasificacion[[#This Row],[Codigo Concepto de imputación]]&amp;" - "&amp;Cuenta_Clasificacion[[#This Row],[Nombre Concepto de imputación]]</f>
        <v>30001 - Andamios</v>
      </c>
    </row>
    <row r="395" spans="1:6" x14ac:dyDescent="0.25">
      <c r="A395" s="43">
        <v>4102001</v>
      </c>
      <c r="B395" t="s">
        <v>152</v>
      </c>
      <c r="C395" s="43">
        <v>30002</v>
      </c>
      <c r="D395" t="s">
        <v>2870</v>
      </c>
      <c r="E395" s="47" t="str">
        <f>+Cuenta_Clasificacion[[#This Row],[Código Cuenta Contable]]&amp;" - "&amp;Cuenta_Clasificacion[[#This Row],[Nombre de Cuenta Contable]]</f>
        <v>4102001 - Costos Subcontratos</v>
      </c>
      <c r="F395" s="47" t="str">
        <f>+Cuenta_Clasificacion[[#This Row],[Codigo Concepto de imputación]]&amp;" - "&amp;Cuenta_Clasificacion[[#This Row],[Nombre Concepto de imputación]]</f>
        <v>30002 - Camioneta</v>
      </c>
    </row>
    <row r="396" spans="1:6" x14ac:dyDescent="0.25">
      <c r="A396" s="43">
        <v>4102001</v>
      </c>
      <c r="B396" t="s">
        <v>152</v>
      </c>
      <c r="C396" s="43">
        <v>30003</v>
      </c>
      <c r="D396" t="s">
        <v>2871</v>
      </c>
      <c r="E396" s="47" t="str">
        <f>+Cuenta_Clasificacion[[#This Row],[Código Cuenta Contable]]&amp;" - "&amp;Cuenta_Clasificacion[[#This Row],[Nombre de Cuenta Contable]]</f>
        <v>4102001 - Costos Subcontratos</v>
      </c>
      <c r="F396" s="47" t="str">
        <f>+Cuenta_Clasificacion[[#This Row],[Codigo Concepto de imputación]]&amp;" - "&amp;Cuenta_Clasificacion[[#This Row],[Nombre Concepto de imputación]]</f>
        <v>30003 - Compactadores</v>
      </c>
    </row>
    <row r="397" spans="1:6" x14ac:dyDescent="0.25">
      <c r="A397" s="43">
        <v>4102001</v>
      </c>
      <c r="B397" t="s">
        <v>152</v>
      </c>
      <c r="C397" s="43">
        <v>30004</v>
      </c>
      <c r="D397" t="s">
        <v>2872</v>
      </c>
      <c r="E397" s="47" t="str">
        <f>+Cuenta_Clasificacion[[#This Row],[Código Cuenta Contable]]&amp;" - "&amp;Cuenta_Clasificacion[[#This Row],[Nombre de Cuenta Contable]]</f>
        <v>4102001 - Costos Subcontratos</v>
      </c>
      <c r="F397" s="47" t="str">
        <f>+Cuenta_Clasificacion[[#This Row],[Codigo Concepto de imputación]]&amp;" - "&amp;Cuenta_Clasificacion[[#This Row],[Nombre Concepto de imputación]]</f>
        <v>30004 - Compresores</v>
      </c>
    </row>
    <row r="398" spans="1:6" x14ac:dyDescent="0.25">
      <c r="A398" s="43">
        <v>4102001</v>
      </c>
      <c r="B398" t="s">
        <v>152</v>
      </c>
      <c r="C398" s="43">
        <v>30005</v>
      </c>
      <c r="D398" t="s">
        <v>2700</v>
      </c>
      <c r="E398" s="47" t="str">
        <f>+Cuenta_Clasificacion[[#This Row],[Código Cuenta Contable]]&amp;" - "&amp;Cuenta_Clasificacion[[#This Row],[Nombre de Cuenta Contable]]</f>
        <v>4102001 - Costos Subcontratos</v>
      </c>
      <c r="F398" s="47" t="str">
        <f>+Cuenta_Clasificacion[[#This Row],[Codigo Concepto de imputación]]&amp;" - "&amp;Cuenta_Clasificacion[[#This Row],[Nombre Concepto de imputación]]</f>
        <v>30005 - Elevadores y Grúas</v>
      </c>
    </row>
    <row r="399" spans="1:6" x14ac:dyDescent="0.25">
      <c r="A399" s="43">
        <v>4102001</v>
      </c>
      <c r="B399" t="s">
        <v>152</v>
      </c>
      <c r="C399" s="43">
        <v>30006</v>
      </c>
      <c r="D399" t="s">
        <v>2873</v>
      </c>
      <c r="E399" s="47" t="str">
        <f>+Cuenta_Clasificacion[[#This Row],[Código Cuenta Contable]]&amp;" - "&amp;Cuenta_Clasificacion[[#This Row],[Nombre de Cuenta Contable]]</f>
        <v>4102001 - Costos Subcontratos</v>
      </c>
      <c r="F399" s="47" t="str">
        <f>+Cuenta_Clasificacion[[#This Row],[Codigo Concepto de imputación]]&amp;" - "&amp;Cuenta_Clasificacion[[#This Row],[Nombre Concepto de imputación]]</f>
        <v>30006 - Eq Topográfico</v>
      </c>
    </row>
    <row r="400" spans="1:6" x14ac:dyDescent="0.25">
      <c r="A400" s="43">
        <v>4102001</v>
      </c>
      <c r="B400" t="s">
        <v>152</v>
      </c>
      <c r="C400" s="43">
        <v>30007</v>
      </c>
      <c r="D400" t="s">
        <v>2704</v>
      </c>
      <c r="E400" s="47" t="str">
        <f>+Cuenta_Clasificacion[[#This Row],[Código Cuenta Contable]]&amp;" - "&amp;Cuenta_Clasificacion[[#This Row],[Nombre de Cuenta Contable]]</f>
        <v>4102001 - Costos Subcontratos</v>
      </c>
      <c r="F400" s="47" t="str">
        <f>+Cuenta_Clasificacion[[#This Row],[Codigo Concepto de imputación]]&amp;" - "&amp;Cuenta_Clasificacion[[#This Row],[Nombre Concepto de imputación]]</f>
        <v>30007 - Eq Varios</v>
      </c>
    </row>
    <row r="401" spans="1:6" x14ac:dyDescent="0.25">
      <c r="A401" s="43">
        <v>4102001</v>
      </c>
      <c r="B401" t="s">
        <v>152</v>
      </c>
      <c r="C401" s="43">
        <v>30008</v>
      </c>
      <c r="D401" t="s">
        <v>2874</v>
      </c>
      <c r="E401" s="47" t="str">
        <f>+Cuenta_Clasificacion[[#This Row],[Código Cuenta Contable]]&amp;" - "&amp;Cuenta_Clasificacion[[#This Row],[Nombre de Cuenta Contable]]</f>
        <v>4102001 - Costos Subcontratos</v>
      </c>
      <c r="F401" s="47" t="str">
        <f>+Cuenta_Clasificacion[[#This Row],[Codigo Concepto de imputación]]&amp;" - "&amp;Cuenta_Clasificacion[[#This Row],[Nombre Concepto de imputación]]</f>
        <v>30008 - Grupo Electrógeno</v>
      </c>
    </row>
    <row r="402" spans="1:6" x14ac:dyDescent="0.25">
      <c r="A402" s="43">
        <v>4102001</v>
      </c>
      <c r="B402" t="s">
        <v>152</v>
      </c>
      <c r="C402" s="43">
        <v>30009</v>
      </c>
      <c r="D402" t="s">
        <v>2875</v>
      </c>
      <c r="E402" s="47" t="str">
        <f>+Cuenta_Clasificacion[[#This Row],[Código Cuenta Contable]]&amp;" - "&amp;Cuenta_Clasificacion[[#This Row],[Nombre de Cuenta Contable]]</f>
        <v>4102001 - Costos Subcontratos</v>
      </c>
      <c r="F402" s="47" t="str">
        <f>+Cuenta_Clasificacion[[#This Row],[Codigo Concepto de imputación]]&amp;" - "&amp;Cuenta_Clasificacion[[#This Row],[Nombre Concepto de imputación]]</f>
        <v>30009 - Moldajes</v>
      </c>
    </row>
    <row r="403" spans="1:6" x14ac:dyDescent="0.25">
      <c r="A403" s="43">
        <v>4102001</v>
      </c>
      <c r="B403" t="s">
        <v>152</v>
      </c>
      <c r="C403" s="43">
        <v>30010</v>
      </c>
      <c r="D403" t="s">
        <v>2701</v>
      </c>
      <c r="E403" s="47" t="str">
        <f>+Cuenta_Clasificacion[[#This Row],[Código Cuenta Contable]]&amp;" - "&amp;Cuenta_Clasificacion[[#This Row],[Nombre de Cuenta Contable]]</f>
        <v>4102001 - Costos Subcontratos</v>
      </c>
      <c r="F403" s="47" t="str">
        <f>+Cuenta_Clasificacion[[#This Row],[Codigo Concepto de imputación]]&amp;" - "&amp;Cuenta_Clasificacion[[#This Row],[Nombre Concepto de imputación]]</f>
        <v>30010 - Motores y Bombas</v>
      </c>
    </row>
    <row r="404" spans="1:6" x14ac:dyDescent="0.25">
      <c r="A404" s="43">
        <v>4102001</v>
      </c>
      <c r="B404" t="s">
        <v>152</v>
      </c>
      <c r="C404" s="43">
        <v>30011</v>
      </c>
      <c r="D404" t="s">
        <v>2702</v>
      </c>
      <c r="E404" s="47" t="str">
        <f>+Cuenta_Clasificacion[[#This Row],[Código Cuenta Contable]]&amp;" - "&amp;Cuenta_Clasificacion[[#This Row],[Nombre de Cuenta Contable]]</f>
        <v>4102001 - Costos Subcontratos</v>
      </c>
      <c r="F404" s="47" t="str">
        <f>+Cuenta_Clasificacion[[#This Row],[Codigo Concepto de imputación]]&amp;" - "&amp;Cuenta_Clasificacion[[#This Row],[Nombre Concepto de imputación]]</f>
        <v>30011 - Reparac/Mant Eq</v>
      </c>
    </row>
    <row r="405" spans="1:6" x14ac:dyDescent="0.25">
      <c r="A405" s="43">
        <v>4102001</v>
      </c>
      <c r="B405" t="s">
        <v>152</v>
      </c>
      <c r="C405" s="43">
        <v>30012</v>
      </c>
      <c r="D405" t="s">
        <v>2876</v>
      </c>
      <c r="E405" s="47" t="str">
        <f>+Cuenta_Clasificacion[[#This Row],[Código Cuenta Contable]]&amp;" - "&amp;Cuenta_Clasificacion[[#This Row],[Nombre de Cuenta Contable]]</f>
        <v>4102001 - Costos Subcontratos</v>
      </c>
      <c r="F405" s="47" t="str">
        <f>+Cuenta_Clasificacion[[#This Row],[Codigo Concepto de imputación]]&amp;" - "&amp;Cuenta_Clasificacion[[#This Row],[Nombre Concepto de imputación]]</f>
        <v>30012 - Retroexcavadora y Bulldozer</v>
      </c>
    </row>
    <row r="406" spans="1:6" x14ac:dyDescent="0.25">
      <c r="A406" s="43">
        <v>4102001</v>
      </c>
      <c r="B406" t="s">
        <v>152</v>
      </c>
      <c r="C406" s="43">
        <v>30013</v>
      </c>
      <c r="D406" t="s">
        <v>2877</v>
      </c>
      <c r="E406" s="47" t="str">
        <f>+Cuenta_Clasificacion[[#This Row],[Código Cuenta Contable]]&amp;" - "&amp;Cuenta_Clasificacion[[#This Row],[Nombre de Cuenta Contable]]</f>
        <v>4102001 - Costos Subcontratos</v>
      </c>
      <c r="F406" s="47" t="str">
        <f>+Cuenta_Clasificacion[[#This Row],[Codigo Concepto de imputación]]&amp;" - "&amp;Cuenta_Clasificacion[[#This Row],[Nombre Concepto de imputación]]</f>
        <v>30013 - Rotomartillos</v>
      </c>
    </row>
    <row r="407" spans="1:6" x14ac:dyDescent="0.25">
      <c r="A407" s="43">
        <v>4102001</v>
      </c>
      <c r="B407" t="s">
        <v>152</v>
      </c>
      <c r="C407" s="43">
        <v>30014</v>
      </c>
      <c r="D407" t="s">
        <v>2878</v>
      </c>
      <c r="E407" s="47" t="str">
        <f>+Cuenta_Clasificacion[[#This Row],[Código Cuenta Contable]]&amp;" - "&amp;Cuenta_Clasificacion[[#This Row],[Nombre de Cuenta Contable]]</f>
        <v>4102001 - Costos Subcontratos</v>
      </c>
      <c r="F407" s="47" t="str">
        <f>+Cuenta_Clasificacion[[#This Row],[Codigo Concepto de imputación]]&amp;" - "&amp;Cuenta_Clasificacion[[#This Row],[Nombre Concepto de imputación]]</f>
        <v>30014 - Trompos/Betoneras</v>
      </c>
    </row>
    <row r="408" spans="1:6" x14ac:dyDescent="0.25">
      <c r="A408" s="43">
        <v>4102001</v>
      </c>
      <c r="B408" t="s">
        <v>152</v>
      </c>
      <c r="C408" s="43">
        <v>30015</v>
      </c>
      <c r="D408" t="s">
        <v>2879</v>
      </c>
      <c r="E408" s="47" t="str">
        <f>+Cuenta_Clasificacion[[#This Row],[Código Cuenta Contable]]&amp;" - "&amp;Cuenta_Clasificacion[[#This Row],[Nombre de Cuenta Contable]]</f>
        <v>4102001 - Costos Subcontratos</v>
      </c>
      <c r="F408" s="47" t="str">
        <f>+Cuenta_Clasificacion[[#This Row],[Codigo Concepto de imputación]]&amp;" - "&amp;Cuenta_Clasificacion[[#This Row],[Nombre Concepto de imputación]]</f>
        <v>30015 - Vibradores</v>
      </c>
    </row>
    <row r="409" spans="1:6" x14ac:dyDescent="0.25">
      <c r="A409" s="43">
        <v>4102001</v>
      </c>
      <c r="B409" t="s">
        <v>152</v>
      </c>
      <c r="C409" s="43">
        <v>30016</v>
      </c>
      <c r="D409" t="s">
        <v>2880</v>
      </c>
      <c r="E409" s="47" t="str">
        <f>+Cuenta_Clasificacion[[#This Row],[Código Cuenta Contable]]&amp;" - "&amp;Cuenta_Clasificacion[[#This Row],[Nombre de Cuenta Contable]]</f>
        <v>4102001 - Costos Subcontratos</v>
      </c>
      <c r="F409" s="47" t="str">
        <f>+Cuenta_Clasificacion[[#This Row],[Codigo Concepto de imputación]]&amp;" - "&amp;Cuenta_Clasificacion[[#This Row],[Nombre Concepto de imputación]]</f>
        <v>30016 - Sbctto Arr Andamios</v>
      </c>
    </row>
    <row r="410" spans="1:6" x14ac:dyDescent="0.25">
      <c r="A410" s="43">
        <v>4102001</v>
      </c>
      <c r="B410" t="s">
        <v>152</v>
      </c>
      <c r="C410" s="43">
        <v>30017</v>
      </c>
      <c r="D410" t="s">
        <v>2881</v>
      </c>
      <c r="E410" s="47" t="str">
        <f>+Cuenta_Clasificacion[[#This Row],[Código Cuenta Contable]]&amp;" - "&amp;Cuenta_Clasificacion[[#This Row],[Nombre de Cuenta Contable]]</f>
        <v>4102001 - Costos Subcontratos</v>
      </c>
      <c r="F410" s="47" t="str">
        <f>+Cuenta_Clasificacion[[#This Row],[Codigo Concepto de imputación]]&amp;" - "&amp;Cuenta_Clasificacion[[#This Row],[Nombre Concepto de imputación]]</f>
        <v>30017 - Sbctto Arr Baños y Duchas</v>
      </c>
    </row>
    <row r="411" spans="1:6" x14ac:dyDescent="0.25">
      <c r="A411" s="43">
        <v>4102001</v>
      </c>
      <c r="B411" t="s">
        <v>152</v>
      </c>
      <c r="C411" s="43">
        <v>30018</v>
      </c>
      <c r="D411" t="s">
        <v>2882</v>
      </c>
      <c r="E411" s="47" t="str">
        <f>+Cuenta_Clasificacion[[#This Row],[Código Cuenta Contable]]&amp;" - "&amp;Cuenta_Clasificacion[[#This Row],[Nombre de Cuenta Contable]]</f>
        <v>4102001 - Costos Subcontratos</v>
      </c>
      <c r="F411" s="47" t="str">
        <f>+Cuenta_Clasificacion[[#This Row],[Codigo Concepto de imputación]]&amp;" - "&amp;Cuenta_Clasificacion[[#This Row],[Nombre Concepto de imputación]]</f>
        <v>30018 - Sbctto Arr Camiones</v>
      </c>
    </row>
    <row r="412" spans="1:6" x14ac:dyDescent="0.25">
      <c r="A412" s="43">
        <v>4102001</v>
      </c>
      <c r="B412" t="s">
        <v>152</v>
      </c>
      <c r="C412" s="43">
        <v>30019</v>
      </c>
      <c r="D412" t="s">
        <v>2883</v>
      </c>
      <c r="E412" s="47" t="str">
        <f>+Cuenta_Clasificacion[[#This Row],[Código Cuenta Contable]]&amp;" - "&amp;Cuenta_Clasificacion[[#This Row],[Nombre de Cuenta Contable]]</f>
        <v>4102001 - Costos Subcontratos</v>
      </c>
      <c r="F412" s="47" t="str">
        <f>+Cuenta_Clasificacion[[#This Row],[Codigo Concepto de imputación]]&amp;" - "&amp;Cuenta_Clasificacion[[#This Row],[Nombre Concepto de imputación]]</f>
        <v>30019 - Sbctto Arr Compactadores</v>
      </c>
    </row>
    <row r="413" spans="1:6" x14ac:dyDescent="0.25">
      <c r="A413" s="43">
        <v>4102001</v>
      </c>
      <c r="B413" t="s">
        <v>152</v>
      </c>
      <c r="C413" s="43">
        <v>30020</v>
      </c>
      <c r="D413" t="s">
        <v>2884</v>
      </c>
      <c r="E413" s="47" t="str">
        <f>+Cuenta_Clasificacion[[#This Row],[Código Cuenta Contable]]&amp;" - "&amp;Cuenta_Clasificacion[[#This Row],[Nombre de Cuenta Contable]]</f>
        <v>4102001 - Costos Subcontratos</v>
      </c>
      <c r="F413" s="47" t="str">
        <f>+Cuenta_Clasificacion[[#This Row],[Codigo Concepto de imputación]]&amp;" - "&amp;Cuenta_Clasificacion[[#This Row],[Nombre Concepto de imputación]]</f>
        <v>30020 - Sbctto Arr Compresores</v>
      </c>
    </row>
    <row r="414" spans="1:6" x14ac:dyDescent="0.25">
      <c r="A414" s="43">
        <v>4102001</v>
      </c>
      <c r="B414" t="s">
        <v>152</v>
      </c>
      <c r="C414" s="43">
        <v>30021</v>
      </c>
      <c r="D414" t="s">
        <v>2885</v>
      </c>
      <c r="E414" s="47" t="str">
        <f>+Cuenta_Clasificacion[[#This Row],[Código Cuenta Contable]]&amp;" - "&amp;Cuenta_Clasificacion[[#This Row],[Nombre de Cuenta Contable]]</f>
        <v>4102001 - Costos Subcontratos</v>
      </c>
      <c r="F414" s="47" t="str">
        <f>+Cuenta_Clasificacion[[#This Row],[Codigo Concepto de imputación]]&amp;" - "&amp;Cuenta_Clasificacion[[#This Row],[Nombre Concepto de imputación]]</f>
        <v>30021 - Sbctto Arr Contenedor</v>
      </c>
    </row>
    <row r="415" spans="1:6" x14ac:dyDescent="0.25">
      <c r="A415" s="43">
        <v>4102001</v>
      </c>
      <c r="B415" t="s">
        <v>152</v>
      </c>
      <c r="C415" s="43">
        <v>30022</v>
      </c>
      <c r="D415" t="s">
        <v>2886</v>
      </c>
      <c r="E415" s="47" t="str">
        <f>+Cuenta_Clasificacion[[#This Row],[Código Cuenta Contable]]&amp;" - "&amp;Cuenta_Clasificacion[[#This Row],[Nombre de Cuenta Contable]]</f>
        <v>4102001 - Costos Subcontratos</v>
      </c>
      <c r="F415" s="47" t="str">
        <f>+Cuenta_Clasificacion[[#This Row],[Codigo Concepto de imputación]]&amp;" - "&amp;Cuenta_Clasificacion[[#This Row],[Nombre Concepto de imputación]]</f>
        <v>30022 - Sbctto Arr Elevadores y Grúas</v>
      </c>
    </row>
    <row r="416" spans="1:6" x14ac:dyDescent="0.25">
      <c r="A416" s="43">
        <v>4102001</v>
      </c>
      <c r="B416" t="s">
        <v>152</v>
      </c>
      <c r="C416" s="43">
        <v>30023</v>
      </c>
      <c r="D416" t="s">
        <v>2887</v>
      </c>
      <c r="E416" s="47" t="str">
        <f>+Cuenta_Clasificacion[[#This Row],[Código Cuenta Contable]]&amp;" - "&amp;Cuenta_Clasificacion[[#This Row],[Nombre de Cuenta Contable]]</f>
        <v>4102001 - Costos Subcontratos</v>
      </c>
      <c r="F416" s="47" t="str">
        <f>+Cuenta_Clasificacion[[#This Row],[Codigo Concepto de imputación]]&amp;" - "&amp;Cuenta_Clasificacion[[#This Row],[Nombre Concepto de imputación]]</f>
        <v>30023 - Sbctto Arr Eq Topográfico</v>
      </c>
    </row>
    <row r="417" spans="1:6" x14ac:dyDescent="0.25">
      <c r="A417" s="43">
        <v>4102001</v>
      </c>
      <c r="B417" t="s">
        <v>152</v>
      </c>
      <c r="C417" s="43">
        <v>30024</v>
      </c>
      <c r="D417" t="s">
        <v>2888</v>
      </c>
      <c r="E417" s="47" t="str">
        <f>+Cuenta_Clasificacion[[#This Row],[Código Cuenta Contable]]&amp;" - "&amp;Cuenta_Clasificacion[[#This Row],[Nombre de Cuenta Contable]]</f>
        <v>4102001 - Costos Subcontratos</v>
      </c>
      <c r="F417" s="47" t="str">
        <f>+Cuenta_Clasificacion[[#This Row],[Codigo Concepto de imputación]]&amp;" - "&amp;Cuenta_Clasificacion[[#This Row],[Nombre Concepto de imputación]]</f>
        <v>30024 - Sbctto Arr Eq Varios</v>
      </c>
    </row>
    <row r="418" spans="1:6" x14ac:dyDescent="0.25">
      <c r="A418" s="43">
        <v>4102001</v>
      </c>
      <c r="B418" t="s">
        <v>152</v>
      </c>
      <c r="C418" s="43">
        <v>30025</v>
      </c>
      <c r="D418" t="s">
        <v>2889</v>
      </c>
      <c r="E418" s="47" t="str">
        <f>+Cuenta_Clasificacion[[#This Row],[Código Cuenta Contable]]&amp;" - "&amp;Cuenta_Clasificacion[[#This Row],[Nombre de Cuenta Contable]]</f>
        <v>4102001 - Costos Subcontratos</v>
      </c>
      <c r="F418" s="47" t="str">
        <f>+Cuenta_Clasificacion[[#This Row],[Codigo Concepto de imputación]]&amp;" - "&amp;Cuenta_Clasificacion[[#This Row],[Nombre Concepto de imputación]]</f>
        <v>30025 - Sbctto Arr Grupo Electrógeno</v>
      </c>
    </row>
    <row r="419" spans="1:6" x14ac:dyDescent="0.25">
      <c r="A419" s="43">
        <v>4102001</v>
      </c>
      <c r="B419" t="s">
        <v>152</v>
      </c>
      <c r="C419" s="43">
        <v>30026</v>
      </c>
      <c r="D419" t="s">
        <v>2890</v>
      </c>
      <c r="E419" s="47" t="str">
        <f>+Cuenta_Clasificacion[[#This Row],[Código Cuenta Contable]]&amp;" - "&amp;Cuenta_Clasificacion[[#This Row],[Nombre de Cuenta Contable]]</f>
        <v>4102001 - Costos Subcontratos</v>
      </c>
      <c r="F419" s="47" t="str">
        <f>+Cuenta_Clasificacion[[#This Row],[Codigo Concepto de imputación]]&amp;" - "&amp;Cuenta_Clasificacion[[#This Row],[Nombre Concepto de imputación]]</f>
        <v>30026 - Sbctto Arr Moldajes</v>
      </c>
    </row>
    <row r="420" spans="1:6" x14ac:dyDescent="0.25">
      <c r="A420" s="43">
        <v>4102001</v>
      </c>
      <c r="B420" t="s">
        <v>152</v>
      </c>
      <c r="C420" s="43">
        <v>30027</v>
      </c>
      <c r="D420" t="s">
        <v>2891</v>
      </c>
      <c r="E420" s="47" t="str">
        <f>+Cuenta_Clasificacion[[#This Row],[Código Cuenta Contable]]&amp;" - "&amp;Cuenta_Clasificacion[[#This Row],[Nombre de Cuenta Contable]]</f>
        <v>4102001 - Costos Subcontratos</v>
      </c>
      <c r="F420" s="47" t="str">
        <f>+Cuenta_Clasificacion[[#This Row],[Codigo Concepto de imputación]]&amp;" - "&amp;Cuenta_Clasificacion[[#This Row],[Nombre Concepto de imputación]]</f>
        <v>30027 - Sbctto Arr Motobombas</v>
      </c>
    </row>
    <row r="421" spans="1:6" x14ac:dyDescent="0.25">
      <c r="A421" s="43">
        <v>4102001</v>
      </c>
      <c r="B421" t="s">
        <v>152</v>
      </c>
      <c r="C421" s="43">
        <v>30028</v>
      </c>
      <c r="D421" t="s">
        <v>2892</v>
      </c>
      <c r="E421" s="47" t="str">
        <f>+Cuenta_Clasificacion[[#This Row],[Código Cuenta Contable]]&amp;" - "&amp;Cuenta_Clasificacion[[#This Row],[Nombre de Cuenta Contable]]</f>
        <v>4102001 - Costos Subcontratos</v>
      </c>
      <c r="F421" s="47" t="str">
        <f>+Cuenta_Clasificacion[[#This Row],[Codigo Concepto de imputación]]&amp;" - "&amp;Cuenta_Clasificacion[[#This Row],[Nombre Concepto de imputación]]</f>
        <v>30028 - Sbctto Arr Retro. y Bulldozer</v>
      </c>
    </row>
    <row r="422" spans="1:6" x14ac:dyDescent="0.25">
      <c r="A422" s="43">
        <v>4102001</v>
      </c>
      <c r="B422" t="s">
        <v>152</v>
      </c>
      <c r="C422" s="43">
        <v>30029</v>
      </c>
      <c r="D422" t="s">
        <v>2893</v>
      </c>
      <c r="E422" s="47" t="str">
        <f>+Cuenta_Clasificacion[[#This Row],[Código Cuenta Contable]]&amp;" - "&amp;Cuenta_Clasificacion[[#This Row],[Nombre de Cuenta Contable]]</f>
        <v>4102001 - Costos Subcontratos</v>
      </c>
      <c r="F422" s="47" t="str">
        <f>+Cuenta_Clasificacion[[#This Row],[Codigo Concepto de imputación]]&amp;" - "&amp;Cuenta_Clasificacion[[#This Row],[Nombre Concepto de imputación]]</f>
        <v>30029 - Sbctto Arr Rotomartillos</v>
      </c>
    </row>
    <row r="423" spans="1:6" x14ac:dyDescent="0.25">
      <c r="A423" s="43">
        <v>4102001</v>
      </c>
      <c r="B423" t="s">
        <v>152</v>
      </c>
      <c r="C423" s="43">
        <v>30030</v>
      </c>
      <c r="D423" t="s">
        <v>2894</v>
      </c>
      <c r="E423" s="47" t="str">
        <f>+Cuenta_Clasificacion[[#This Row],[Código Cuenta Contable]]&amp;" - "&amp;Cuenta_Clasificacion[[#This Row],[Nombre de Cuenta Contable]]</f>
        <v>4102001 - Costos Subcontratos</v>
      </c>
      <c r="F423" s="47" t="str">
        <f>+Cuenta_Clasificacion[[#This Row],[Codigo Concepto de imputación]]&amp;" - "&amp;Cuenta_Clasificacion[[#This Row],[Nombre Concepto de imputación]]</f>
        <v>30030 - Sbctto Arr Trompos/Betoneras</v>
      </c>
    </row>
    <row r="424" spans="1:6" x14ac:dyDescent="0.25">
      <c r="A424" s="43">
        <v>4102001</v>
      </c>
      <c r="B424" t="s">
        <v>152</v>
      </c>
      <c r="C424" s="43">
        <v>30031</v>
      </c>
      <c r="D424" t="s">
        <v>2895</v>
      </c>
      <c r="E424" s="47" t="str">
        <f>+Cuenta_Clasificacion[[#This Row],[Código Cuenta Contable]]&amp;" - "&amp;Cuenta_Clasificacion[[#This Row],[Nombre de Cuenta Contable]]</f>
        <v>4102001 - Costos Subcontratos</v>
      </c>
      <c r="F424" s="47" t="str">
        <f>+Cuenta_Clasificacion[[#This Row],[Codigo Concepto de imputación]]&amp;" - "&amp;Cuenta_Clasificacion[[#This Row],[Nombre Concepto de imputación]]</f>
        <v>30031 - Sbctto Arr Vibradores</v>
      </c>
    </row>
    <row r="425" spans="1:6" x14ac:dyDescent="0.25">
      <c r="A425" s="43">
        <v>4102001</v>
      </c>
      <c r="B425" t="s">
        <v>152</v>
      </c>
      <c r="C425" s="43">
        <v>30032</v>
      </c>
      <c r="D425" t="s">
        <v>2896</v>
      </c>
      <c r="E425" s="47" t="str">
        <f>+Cuenta_Clasificacion[[#This Row],[Código Cuenta Contable]]&amp;" - "&amp;Cuenta_Clasificacion[[#This Row],[Nombre de Cuenta Contable]]</f>
        <v>4102001 - Costos Subcontratos</v>
      </c>
      <c r="F425" s="47" t="str">
        <f>+Cuenta_Clasificacion[[#This Row],[Codigo Concepto de imputación]]&amp;" - "&amp;Cuenta_Clasificacion[[#This Row],[Nombre Concepto de imputación]]</f>
        <v>30032 - Sbctto Generador Eléctrico</v>
      </c>
    </row>
    <row r="426" spans="1:6" x14ac:dyDescent="0.25">
      <c r="A426" s="43">
        <v>4102001</v>
      </c>
      <c r="B426" t="s">
        <v>152</v>
      </c>
      <c r="C426" s="43">
        <v>50009</v>
      </c>
      <c r="D426" t="s">
        <v>2898</v>
      </c>
      <c r="E426" s="47" t="str">
        <f>+Cuenta_Clasificacion[[#This Row],[Código Cuenta Contable]]&amp;" - "&amp;Cuenta_Clasificacion[[#This Row],[Nombre de Cuenta Contable]]</f>
        <v>4102001 - Costos Subcontratos</v>
      </c>
      <c r="F426" s="47" t="str">
        <f>+Cuenta_Clasificacion[[#This Row],[Codigo Concepto de imputación]]&amp;" - "&amp;Cuenta_Clasificacion[[#This Row],[Nombre Concepto de imputación]]</f>
        <v>50009 - Aseo y Cocina</v>
      </c>
    </row>
    <row r="427" spans="1:6" x14ac:dyDescent="0.25">
      <c r="A427" s="43">
        <v>4102001</v>
      </c>
      <c r="B427" t="s">
        <v>152</v>
      </c>
      <c r="C427" s="43">
        <v>50010</v>
      </c>
      <c r="D427" t="s">
        <v>2899</v>
      </c>
      <c r="E427" s="47" t="str">
        <f>+Cuenta_Clasificacion[[#This Row],[Código Cuenta Contable]]&amp;" - "&amp;Cuenta_Clasificacion[[#This Row],[Nombre de Cuenta Contable]]</f>
        <v>4102001 - Costos Subcontratos</v>
      </c>
      <c r="F427" s="47" t="str">
        <f>+Cuenta_Clasificacion[[#This Row],[Codigo Concepto de imputación]]&amp;" - "&amp;Cuenta_Clasificacion[[#This Row],[Nombre Concepto de imputación]]</f>
        <v>50010 - Buses y Radiotaxi</v>
      </c>
    </row>
    <row r="428" spans="1:6" x14ac:dyDescent="0.25">
      <c r="A428" s="43">
        <v>4102001</v>
      </c>
      <c r="B428" t="s">
        <v>152</v>
      </c>
      <c r="C428" s="43">
        <v>50011</v>
      </c>
      <c r="D428" t="s">
        <v>2900</v>
      </c>
      <c r="E428" s="47" t="str">
        <f>+Cuenta_Clasificacion[[#This Row],[Código Cuenta Contable]]&amp;" - "&amp;Cuenta_Clasificacion[[#This Row],[Nombre de Cuenta Contable]]</f>
        <v>4102001 - Costos Subcontratos</v>
      </c>
      <c r="F428" s="47" t="str">
        <f>+Cuenta_Clasificacion[[#This Row],[Codigo Concepto de imputación]]&amp;" - "&amp;Cuenta_Clasificacion[[#This Row],[Nombre Concepto de imputación]]</f>
        <v>50011 - Capacitación</v>
      </c>
    </row>
    <row r="429" spans="1:6" x14ac:dyDescent="0.25">
      <c r="A429" s="43">
        <v>4102001</v>
      </c>
      <c r="B429" t="s">
        <v>152</v>
      </c>
      <c r="C429" s="43">
        <v>50012</v>
      </c>
      <c r="D429" t="s">
        <v>2901</v>
      </c>
      <c r="E429" s="47" t="str">
        <f>+Cuenta_Clasificacion[[#This Row],[Código Cuenta Contable]]&amp;" - "&amp;Cuenta_Clasificacion[[#This Row],[Nombre de Cuenta Contable]]</f>
        <v>4102001 - Costos Subcontratos</v>
      </c>
      <c r="F429" s="47" t="str">
        <f>+Cuenta_Clasificacion[[#This Row],[Codigo Concepto de imputación]]&amp;" - "&amp;Cuenta_Clasificacion[[#This Row],[Nombre Concepto de imputación]]</f>
        <v>50012 - Honorarios y Asesorías</v>
      </c>
    </row>
    <row r="430" spans="1:6" x14ac:dyDescent="0.25">
      <c r="A430" s="43">
        <v>4102001</v>
      </c>
      <c r="B430" t="s">
        <v>152</v>
      </c>
      <c r="C430" s="43">
        <v>50013</v>
      </c>
      <c r="D430" t="s">
        <v>2902</v>
      </c>
      <c r="E430" s="47" t="str">
        <f>+Cuenta_Clasificacion[[#This Row],[Código Cuenta Contable]]&amp;" - "&amp;Cuenta_Clasificacion[[#This Row],[Nombre de Cuenta Contable]]</f>
        <v>4102001 - Costos Subcontratos</v>
      </c>
      <c r="F430" s="47" t="str">
        <f>+Cuenta_Clasificacion[[#This Row],[Codigo Concepto de imputación]]&amp;" - "&amp;Cuenta_Clasificacion[[#This Row],[Nombre Concepto de imputación]]</f>
        <v>50013 - Seguros</v>
      </c>
    </row>
    <row r="431" spans="1:6" x14ac:dyDescent="0.25">
      <c r="A431" s="43">
        <v>4102001</v>
      </c>
      <c r="B431" t="s">
        <v>152</v>
      </c>
      <c r="C431" s="43">
        <v>50014</v>
      </c>
      <c r="D431" t="s">
        <v>2903</v>
      </c>
      <c r="E431" s="47" t="str">
        <f>+Cuenta_Clasificacion[[#This Row],[Código Cuenta Contable]]&amp;" - "&amp;Cuenta_Clasificacion[[#This Row],[Nombre de Cuenta Contable]]</f>
        <v>4102001 - Costos Subcontratos</v>
      </c>
      <c r="F431" s="47" t="str">
        <f>+Cuenta_Clasificacion[[#This Row],[Codigo Concepto de imputación]]&amp;" - "&amp;Cuenta_Clasificacion[[#This Row],[Nombre Concepto de imputación]]</f>
        <v>50014 - Tramitaciones</v>
      </c>
    </row>
    <row r="432" spans="1:6" x14ac:dyDescent="0.25">
      <c r="A432" s="43">
        <v>4102001</v>
      </c>
      <c r="B432" t="s">
        <v>152</v>
      </c>
      <c r="C432" s="43">
        <v>50015</v>
      </c>
      <c r="D432" t="s">
        <v>2904</v>
      </c>
      <c r="E432" s="47" t="str">
        <f>+Cuenta_Clasificacion[[#This Row],[Código Cuenta Contable]]&amp;" - "&amp;Cuenta_Clasificacion[[#This Row],[Nombre de Cuenta Contable]]</f>
        <v>4102001 - Costos Subcontratos</v>
      </c>
      <c r="F432" s="47" t="str">
        <f>+Cuenta_Clasificacion[[#This Row],[Codigo Concepto de imputación]]&amp;" - "&amp;Cuenta_Clasificacion[[#This Row],[Nombre Concepto de imputación]]</f>
        <v>50015 - Transporte</v>
      </c>
    </row>
    <row r="433" spans="1:6" x14ac:dyDescent="0.25">
      <c r="A433" s="43">
        <v>4102001</v>
      </c>
      <c r="B433" t="s">
        <v>152</v>
      </c>
      <c r="C433" s="43">
        <v>50016</v>
      </c>
      <c r="D433" t="s">
        <v>2905</v>
      </c>
      <c r="E433" s="47" t="str">
        <f>+Cuenta_Clasificacion[[#This Row],[Código Cuenta Contable]]&amp;" - "&amp;Cuenta_Clasificacion[[#This Row],[Nombre de Cuenta Contable]]</f>
        <v>4102001 - Costos Subcontratos</v>
      </c>
      <c r="F433" s="47" t="str">
        <f>+Cuenta_Clasificacion[[#This Row],[Codigo Concepto de imputación]]&amp;" - "&amp;Cuenta_Clasificacion[[#This Row],[Nombre Concepto de imputación]]</f>
        <v>50016 - Útiles Oficina</v>
      </c>
    </row>
    <row r="434" spans="1:6" x14ac:dyDescent="0.25">
      <c r="A434" s="43">
        <v>4102001</v>
      </c>
      <c r="B434" t="s">
        <v>152</v>
      </c>
      <c r="C434" s="43">
        <v>50023</v>
      </c>
      <c r="D434" t="s">
        <v>2908</v>
      </c>
      <c r="E434" s="47" t="str">
        <f>+Cuenta_Clasificacion[[#This Row],[Código Cuenta Contable]]&amp;" - "&amp;Cuenta_Clasificacion[[#This Row],[Nombre de Cuenta Contable]]</f>
        <v>4102001 - Costos Subcontratos</v>
      </c>
      <c r="F434" s="47" t="str">
        <f>+Cuenta_Clasificacion[[#This Row],[Codigo Concepto de imputación]]&amp;" - "&amp;Cuenta_Clasificacion[[#This Row],[Nombre Concepto de imputación]]</f>
        <v>50023 - Pasajes, Hotel y Otros GG</v>
      </c>
    </row>
    <row r="435" spans="1:6" x14ac:dyDescent="0.25">
      <c r="A435" s="43">
        <v>4102001</v>
      </c>
      <c r="B435" t="s">
        <v>152</v>
      </c>
      <c r="C435" s="43">
        <v>77777</v>
      </c>
      <c r="D435" t="s">
        <v>2703</v>
      </c>
      <c r="E435" s="47" t="str">
        <f>+Cuenta_Clasificacion[[#This Row],[Código Cuenta Contable]]&amp;" - "&amp;Cuenta_Clasificacion[[#This Row],[Nombre de Cuenta Contable]]</f>
        <v>4102001 - Costos Subcontratos</v>
      </c>
      <c r="F435" s="47" t="str">
        <f>+Cuenta_Clasificacion[[#This Row],[Codigo Concepto de imputación]]&amp;" - "&amp;Cuenta_Clasificacion[[#This Row],[Nombre Concepto de imputación]]</f>
        <v>77777 - REGULARIZACIONES</v>
      </c>
    </row>
    <row r="436" spans="1:6" x14ac:dyDescent="0.25">
      <c r="A436" s="43">
        <v>4103001</v>
      </c>
      <c r="B436" t="s">
        <v>223</v>
      </c>
      <c r="C436" s="43">
        <v>10001</v>
      </c>
      <c r="D436" t="s">
        <v>2708</v>
      </c>
      <c r="E436" s="47" t="str">
        <f>+Cuenta_Clasificacion[[#This Row],[Código Cuenta Contable]]&amp;" - "&amp;Cuenta_Clasificacion[[#This Row],[Nombre de Cuenta Contable]]</f>
        <v>4103001 - Costos Maquinarias y Equipos</v>
      </c>
      <c r="F436" s="47" t="str">
        <f>+Cuenta_Clasificacion[[#This Row],[Codigo Concepto de imputación]]&amp;" - "&amp;Cuenta_Clasificacion[[#This Row],[Nombre Concepto de imputación]]</f>
        <v>10001 - Accesorios Sanitarios</v>
      </c>
    </row>
    <row r="437" spans="1:6" x14ac:dyDescent="0.25">
      <c r="A437" s="43">
        <v>4103001</v>
      </c>
      <c r="B437" t="s">
        <v>223</v>
      </c>
      <c r="C437" s="43">
        <v>10002</v>
      </c>
      <c r="D437" t="s">
        <v>2709</v>
      </c>
      <c r="E437" s="47" t="str">
        <f>+Cuenta_Clasificacion[[#This Row],[Código Cuenta Contable]]&amp;" - "&amp;Cuenta_Clasificacion[[#This Row],[Nombre de Cuenta Contable]]</f>
        <v>4103001 - Costos Maquinarias y Equipos</v>
      </c>
      <c r="F437" s="47" t="str">
        <f>+Cuenta_Clasificacion[[#This Row],[Codigo Concepto de imputación]]&amp;" - "&amp;Cuenta_Clasificacion[[#This Row],[Nombre Concepto de imputación]]</f>
        <v>10002 - Adhesivos</v>
      </c>
    </row>
    <row r="438" spans="1:6" x14ac:dyDescent="0.25">
      <c r="A438" s="43">
        <v>4103001</v>
      </c>
      <c r="B438" t="s">
        <v>223</v>
      </c>
      <c r="C438" s="43">
        <v>10003</v>
      </c>
      <c r="D438" t="s">
        <v>2710</v>
      </c>
      <c r="E438" s="47" t="str">
        <f>+Cuenta_Clasificacion[[#This Row],[Código Cuenta Contable]]&amp;" - "&amp;Cuenta_Clasificacion[[#This Row],[Nombre de Cuenta Contable]]</f>
        <v>4103001 - Costos Maquinarias y Equipos</v>
      </c>
      <c r="F438" s="47" t="str">
        <f>+Cuenta_Clasificacion[[#This Row],[Codigo Concepto de imputación]]&amp;" - "&amp;Cuenta_Clasificacion[[#This Row],[Nombre Concepto de imputación]]</f>
        <v>10003 - Aditivos</v>
      </c>
    </row>
    <row r="439" spans="1:6" x14ac:dyDescent="0.25">
      <c r="A439" s="43">
        <v>4103001</v>
      </c>
      <c r="B439" t="s">
        <v>223</v>
      </c>
      <c r="C439" s="43">
        <v>10004</v>
      </c>
      <c r="D439" t="s">
        <v>2711</v>
      </c>
      <c r="E439" s="47" t="str">
        <f>+Cuenta_Clasificacion[[#This Row],[Código Cuenta Contable]]&amp;" - "&amp;Cuenta_Clasificacion[[#This Row],[Nombre de Cuenta Contable]]</f>
        <v>4103001 - Costos Maquinarias y Equipos</v>
      </c>
      <c r="F439" s="47" t="str">
        <f>+Cuenta_Clasificacion[[#This Row],[Codigo Concepto de imputación]]&amp;" - "&amp;Cuenta_Clasificacion[[#This Row],[Nombre Concepto de imputación]]</f>
        <v>10004 - Aislación</v>
      </c>
    </row>
    <row r="440" spans="1:6" x14ac:dyDescent="0.25">
      <c r="A440" s="43">
        <v>4103001</v>
      </c>
      <c r="B440" t="s">
        <v>223</v>
      </c>
      <c r="C440" s="43">
        <v>10005</v>
      </c>
      <c r="D440" t="s">
        <v>2712</v>
      </c>
      <c r="E440" s="47" t="str">
        <f>+Cuenta_Clasificacion[[#This Row],[Código Cuenta Contable]]&amp;" - "&amp;Cuenta_Clasificacion[[#This Row],[Nombre de Cuenta Contable]]</f>
        <v>4103001 - Costos Maquinarias y Equipos</v>
      </c>
      <c r="F440" s="47" t="str">
        <f>+Cuenta_Clasificacion[[#This Row],[Codigo Concepto de imputación]]&amp;" - "&amp;Cuenta_Clasificacion[[#This Row],[Nombre Concepto de imputación]]</f>
        <v>10005 - Alambre</v>
      </c>
    </row>
    <row r="441" spans="1:6" x14ac:dyDescent="0.25">
      <c r="A441" s="43">
        <v>4103001</v>
      </c>
      <c r="B441" t="s">
        <v>223</v>
      </c>
      <c r="C441" s="43">
        <v>10006</v>
      </c>
      <c r="D441" t="s">
        <v>2713</v>
      </c>
      <c r="E441" s="47" t="str">
        <f>+Cuenta_Clasificacion[[#This Row],[Código Cuenta Contable]]&amp;" - "&amp;Cuenta_Clasificacion[[#This Row],[Nombre de Cuenta Contable]]</f>
        <v>4103001 - Costos Maquinarias y Equipos</v>
      </c>
      <c r="F441" s="47" t="str">
        <f>+Cuenta_Clasificacion[[#This Row],[Codigo Concepto de imputación]]&amp;" - "&amp;Cuenta_Clasificacion[[#This Row],[Nombre Concepto de imputación]]</f>
        <v>10006 - Alcantarillado</v>
      </c>
    </row>
    <row r="442" spans="1:6" x14ac:dyDescent="0.25">
      <c r="A442" s="43">
        <v>4103001</v>
      </c>
      <c r="B442" t="s">
        <v>223</v>
      </c>
      <c r="C442" s="43">
        <v>10007</v>
      </c>
      <c r="D442" t="s">
        <v>2714</v>
      </c>
      <c r="E442" s="47" t="str">
        <f>+Cuenta_Clasificacion[[#This Row],[Código Cuenta Contable]]&amp;" - "&amp;Cuenta_Clasificacion[[#This Row],[Nombre de Cuenta Contable]]</f>
        <v>4103001 - Costos Maquinarias y Equipos</v>
      </c>
      <c r="F442" s="47" t="str">
        <f>+Cuenta_Clasificacion[[#This Row],[Codigo Concepto de imputación]]&amp;" - "&amp;Cuenta_Clasificacion[[#This Row],[Nombre Concepto de imputación]]</f>
        <v>10007 - Alfombras</v>
      </c>
    </row>
    <row r="443" spans="1:6" x14ac:dyDescent="0.25">
      <c r="A443" s="43">
        <v>4103001</v>
      </c>
      <c r="B443" t="s">
        <v>223</v>
      </c>
      <c r="C443" s="43">
        <v>10008</v>
      </c>
      <c r="D443" t="s">
        <v>2715</v>
      </c>
      <c r="E443" s="47" t="str">
        <f>+Cuenta_Clasificacion[[#This Row],[Código Cuenta Contable]]&amp;" - "&amp;Cuenta_Clasificacion[[#This Row],[Nombre de Cuenta Contable]]</f>
        <v>4103001 - Costos Maquinarias y Equipos</v>
      </c>
      <c r="F443" s="47" t="str">
        <f>+Cuenta_Clasificacion[[#This Row],[Codigo Concepto de imputación]]&amp;" - "&amp;Cuenta_Clasificacion[[#This Row],[Nombre Concepto de imputación]]</f>
        <v>10008 - Aluminios</v>
      </c>
    </row>
    <row r="444" spans="1:6" x14ac:dyDescent="0.25">
      <c r="A444" s="43">
        <v>4103001</v>
      </c>
      <c r="B444" t="s">
        <v>223</v>
      </c>
      <c r="C444" s="43">
        <v>10009</v>
      </c>
      <c r="D444" t="s">
        <v>2716</v>
      </c>
      <c r="E444" s="47" t="str">
        <f>+Cuenta_Clasificacion[[#This Row],[Código Cuenta Contable]]&amp;" - "&amp;Cuenta_Clasificacion[[#This Row],[Nombre de Cuenta Contable]]</f>
        <v>4103001 - Costos Maquinarias y Equipos</v>
      </c>
      <c r="F444" s="47" t="str">
        <f>+Cuenta_Clasificacion[[#This Row],[Codigo Concepto de imputación]]&amp;" - "&amp;Cuenta_Clasificacion[[#This Row],[Nombre Concepto de imputación]]</f>
        <v>10009 - Áridos</v>
      </c>
    </row>
    <row r="445" spans="1:6" x14ac:dyDescent="0.25">
      <c r="A445" s="43">
        <v>4103001</v>
      </c>
      <c r="B445" t="s">
        <v>223</v>
      </c>
      <c r="C445" s="43">
        <v>10010</v>
      </c>
      <c r="D445" t="s">
        <v>2717</v>
      </c>
      <c r="E445" s="47" t="str">
        <f>+Cuenta_Clasificacion[[#This Row],[Código Cuenta Contable]]&amp;" - "&amp;Cuenta_Clasificacion[[#This Row],[Nombre de Cuenta Contable]]</f>
        <v>4103001 - Costos Maquinarias y Equipos</v>
      </c>
      <c r="F445" s="47" t="str">
        <f>+Cuenta_Clasificacion[[#This Row],[Codigo Concepto de imputación]]&amp;" - "&amp;Cuenta_Clasificacion[[#This Row],[Nombre Concepto de imputación]]</f>
        <v>10010 - Artículos Eléctricos</v>
      </c>
    </row>
    <row r="446" spans="1:6" x14ac:dyDescent="0.25">
      <c r="A446" s="43">
        <v>4103001</v>
      </c>
      <c r="B446" t="s">
        <v>223</v>
      </c>
      <c r="C446" s="43">
        <v>10011</v>
      </c>
      <c r="D446" t="s">
        <v>2718</v>
      </c>
      <c r="E446" s="47" t="str">
        <f>+Cuenta_Clasificacion[[#This Row],[Código Cuenta Contable]]&amp;" - "&amp;Cuenta_Clasificacion[[#This Row],[Nombre de Cuenta Contable]]</f>
        <v>4103001 - Costos Maquinarias y Equipos</v>
      </c>
      <c r="F446" s="47" t="str">
        <f>+Cuenta_Clasificacion[[#This Row],[Codigo Concepto de imputación]]&amp;" - "&amp;Cuenta_Clasificacion[[#This Row],[Nombre Concepto de imputación]]</f>
        <v>10011 - Artículos Gas</v>
      </c>
    </row>
    <row r="447" spans="1:6" x14ac:dyDescent="0.25">
      <c r="A447" s="43">
        <v>4103001</v>
      </c>
      <c r="B447" t="s">
        <v>223</v>
      </c>
      <c r="C447" s="43">
        <v>10012</v>
      </c>
      <c r="D447" t="s">
        <v>2719</v>
      </c>
      <c r="E447" s="47" t="str">
        <f>+Cuenta_Clasificacion[[#This Row],[Código Cuenta Contable]]&amp;" - "&amp;Cuenta_Clasificacion[[#This Row],[Nombre de Cuenta Contable]]</f>
        <v>4103001 - Costos Maquinarias y Equipos</v>
      </c>
      <c r="F447" s="47" t="str">
        <f>+Cuenta_Clasificacion[[#This Row],[Codigo Concepto de imputación]]&amp;" - "&amp;Cuenta_Clasificacion[[#This Row],[Nombre Concepto de imputación]]</f>
        <v>10012 - Artículos Sanitarios</v>
      </c>
    </row>
    <row r="448" spans="1:6" x14ac:dyDescent="0.25">
      <c r="A448" s="43">
        <v>4103001</v>
      </c>
      <c r="B448" t="s">
        <v>223</v>
      </c>
      <c r="C448" s="43">
        <v>10013</v>
      </c>
      <c r="D448" t="s">
        <v>2720</v>
      </c>
      <c r="E448" s="47" t="str">
        <f>+Cuenta_Clasificacion[[#This Row],[Código Cuenta Contable]]&amp;" - "&amp;Cuenta_Clasificacion[[#This Row],[Nombre de Cuenta Contable]]</f>
        <v>4103001 - Costos Maquinarias y Equipos</v>
      </c>
      <c r="F448" s="47" t="str">
        <f>+Cuenta_Clasificacion[[#This Row],[Codigo Concepto de imputación]]&amp;" - "&amp;Cuenta_Clasificacion[[#This Row],[Nombre Concepto de imputación]]</f>
        <v>10013 - Cables</v>
      </c>
    </row>
    <row r="449" spans="1:6" x14ac:dyDescent="0.25">
      <c r="A449" s="43">
        <v>4103001</v>
      </c>
      <c r="B449" t="s">
        <v>223</v>
      </c>
      <c r="C449" s="43">
        <v>10014</v>
      </c>
      <c r="D449" t="s">
        <v>2721</v>
      </c>
      <c r="E449" s="47" t="str">
        <f>+Cuenta_Clasificacion[[#This Row],[Código Cuenta Contable]]&amp;" - "&amp;Cuenta_Clasificacion[[#This Row],[Nombre de Cuenta Contable]]</f>
        <v>4103001 - Costos Maquinarias y Equipos</v>
      </c>
      <c r="F449" s="47" t="str">
        <f>+Cuenta_Clasificacion[[#This Row],[Codigo Concepto de imputación]]&amp;" - "&amp;Cuenta_Clasificacion[[#This Row],[Nombre Concepto de imputación]]</f>
        <v>10014 - Cadenas</v>
      </c>
    </row>
    <row r="450" spans="1:6" x14ac:dyDescent="0.25">
      <c r="A450" s="43">
        <v>4103001</v>
      </c>
      <c r="B450" t="s">
        <v>223</v>
      </c>
      <c r="C450" s="43">
        <v>10015</v>
      </c>
      <c r="D450" t="s">
        <v>2722</v>
      </c>
      <c r="E450" s="47" t="str">
        <f>+Cuenta_Clasificacion[[#This Row],[Código Cuenta Contable]]&amp;" - "&amp;Cuenta_Clasificacion[[#This Row],[Nombre de Cuenta Contable]]</f>
        <v>4103001 - Costos Maquinarias y Equipos</v>
      </c>
      <c r="F450" s="47" t="str">
        <f>+Cuenta_Clasificacion[[#This Row],[Codigo Concepto de imputación]]&amp;" - "&amp;Cuenta_Clasificacion[[#This Row],[Nombre Concepto de imputación]]</f>
        <v>10015 - Cañerías Acero</v>
      </c>
    </row>
    <row r="451" spans="1:6" x14ac:dyDescent="0.25">
      <c r="A451" s="43">
        <v>4103001</v>
      </c>
      <c r="B451" t="s">
        <v>223</v>
      </c>
      <c r="C451" s="43">
        <v>10016</v>
      </c>
      <c r="D451" t="s">
        <v>2723</v>
      </c>
      <c r="E451" s="47" t="str">
        <f>+Cuenta_Clasificacion[[#This Row],[Código Cuenta Contable]]&amp;" - "&amp;Cuenta_Clasificacion[[#This Row],[Nombre de Cuenta Contable]]</f>
        <v>4103001 - Costos Maquinarias y Equipos</v>
      </c>
      <c r="F451" s="47" t="str">
        <f>+Cuenta_Clasificacion[[#This Row],[Codigo Concepto de imputación]]&amp;" - "&amp;Cuenta_Clasificacion[[#This Row],[Nombre Concepto de imputación]]</f>
        <v>10016 - Cañerías Cobre</v>
      </c>
    </row>
    <row r="452" spans="1:6" x14ac:dyDescent="0.25">
      <c r="A452" s="43">
        <v>4103001</v>
      </c>
      <c r="B452" t="s">
        <v>223</v>
      </c>
      <c r="C452" s="43">
        <v>10017</v>
      </c>
      <c r="D452" t="s">
        <v>2724</v>
      </c>
      <c r="E452" s="47" t="str">
        <f>+Cuenta_Clasificacion[[#This Row],[Código Cuenta Contable]]&amp;" - "&amp;Cuenta_Clasificacion[[#This Row],[Nombre de Cuenta Contable]]</f>
        <v>4103001 - Costos Maquinarias y Equipos</v>
      </c>
      <c r="F452" s="47" t="str">
        <f>+Cuenta_Clasificacion[[#This Row],[Codigo Concepto de imputación]]&amp;" - "&amp;Cuenta_Clasificacion[[#This Row],[Nombre Concepto de imputación]]</f>
        <v>10017 - Cañerías PVC</v>
      </c>
    </row>
    <row r="453" spans="1:6" x14ac:dyDescent="0.25">
      <c r="A453" s="43">
        <v>4103001</v>
      </c>
      <c r="B453" t="s">
        <v>223</v>
      </c>
      <c r="C453" s="43">
        <v>10018</v>
      </c>
      <c r="D453" t="s">
        <v>2725</v>
      </c>
      <c r="E453" s="47" t="str">
        <f>+Cuenta_Clasificacion[[#This Row],[Código Cuenta Contable]]&amp;" - "&amp;Cuenta_Clasificacion[[#This Row],[Nombre de Cuenta Contable]]</f>
        <v>4103001 - Costos Maquinarias y Equipos</v>
      </c>
      <c r="F453" s="47" t="str">
        <f>+Cuenta_Clasificacion[[#This Row],[Codigo Concepto de imputación]]&amp;" - "&amp;Cuenta_Clasificacion[[#This Row],[Nombre Concepto de imputación]]</f>
        <v>10018 - Cementos</v>
      </c>
    </row>
    <row r="454" spans="1:6" x14ac:dyDescent="0.25">
      <c r="A454" s="43">
        <v>4103001</v>
      </c>
      <c r="B454" t="s">
        <v>223</v>
      </c>
      <c r="C454" s="43">
        <v>10019</v>
      </c>
      <c r="D454" t="s">
        <v>2726</v>
      </c>
      <c r="E454" s="47" t="str">
        <f>+Cuenta_Clasificacion[[#This Row],[Código Cuenta Contable]]&amp;" - "&amp;Cuenta_Clasificacion[[#This Row],[Nombre de Cuenta Contable]]</f>
        <v>4103001 - Costos Maquinarias y Equipos</v>
      </c>
      <c r="F454" s="47" t="str">
        <f>+Cuenta_Clasificacion[[#This Row],[Codigo Concepto de imputación]]&amp;" - "&amp;Cuenta_Clasificacion[[#This Row],[Nombre Concepto de imputación]]</f>
        <v>10019 - Cerámicos y Baldosas</v>
      </c>
    </row>
    <row r="455" spans="1:6" x14ac:dyDescent="0.25">
      <c r="A455" s="43">
        <v>4103001</v>
      </c>
      <c r="B455" t="s">
        <v>223</v>
      </c>
      <c r="C455" s="43">
        <v>10020</v>
      </c>
      <c r="D455" t="s">
        <v>2727</v>
      </c>
      <c r="E455" s="47" t="str">
        <f>+Cuenta_Clasificacion[[#This Row],[Código Cuenta Contable]]&amp;" - "&amp;Cuenta_Clasificacion[[#This Row],[Nombre de Cuenta Contable]]</f>
        <v>4103001 - Costos Maquinarias y Equipos</v>
      </c>
      <c r="F455" s="47" t="str">
        <f>+Cuenta_Clasificacion[[#This Row],[Codigo Concepto de imputación]]&amp;" - "&amp;Cuenta_Clasificacion[[#This Row],[Nombre Concepto de imputación]]</f>
        <v>10020 - Cielo Modular</v>
      </c>
    </row>
    <row r="456" spans="1:6" x14ac:dyDescent="0.25">
      <c r="A456" s="43">
        <v>4103001</v>
      </c>
      <c r="B456" t="s">
        <v>223</v>
      </c>
      <c r="C456" s="43">
        <v>10021</v>
      </c>
      <c r="D456" t="s">
        <v>2728</v>
      </c>
      <c r="E456" s="47" t="str">
        <f>+Cuenta_Clasificacion[[#This Row],[Código Cuenta Contable]]&amp;" - "&amp;Cuenta_Clasificacion[[#This Row],[Nombre de Cuenta Contable]]</f>
        <v>4103001 - Costos Maquinarias y Equipos</v>
      </c>
      <c r="F456" s="47" t="str">
        <f>+Cuenta_Clasificacion[[#This Row],[Codigo Concepto de imputación]]&amp;" - "&amp;Cuenta_Clasificacion[[#This Row],[Nombre Concepto de imputación]]</f>
        <v>10021 - Cierros</v>
      </c>
    </row>
    <row r="457" spans="1:6" x14ac:dyDescent="0.25">
      <c r="A457" s="43">
        <v>4103001</v>
      </c>
      <c r="B457" t="s">
        <v>223</v>
      </c>
      <c r="C457" s="43">
        <v>10022</v>
      </c>
      <c r="D457" t="s">
        <v>2729</v>
      </c>
      <c r="E457" s="47" t="str">
        <f>+Cuenta_Clasificacion[[#This Row],[Código Cuenta Contable]]&amp;" - "&amp;Cuenta_Clasificacion[[#This Row],[Nombre de Cuenta Contable]]</f>
        <v>4103001 - Costos Maquinarias y Equipos</v>
      </c>
      <c r="F457" s="47" t="str">
        <f>+Cuenta_Clasificacion[[#This Row],[Codigo Concepto de imputación]]&amp;" - "&amp;Cuenta_Clasificacion[[#This Row],[Nombre Concepto de imputación]]</f>
        <v>10022 - Combustibles</v>
      </c>
    </row>
    <row r="458" spans="1:6" x14ac:dyDescent="0.25">
      <c r="A458" s="43">
        <v>4103001</v>
      </c>
      <c r="B458" t="s">
        <v>223</v>
      </c>
      <c r="C458" s="43">
        <v>10023</v>
      </c>
      <c r="D458" t="s">
        <v>2730</v>
      </c>
      <c r="E458" s="47" t="str">
        <f>+Cuenta_Clasificacion[[#This Row],[Código Cuenta Contable]]&amp;" - "&amp;Cuenta_Clasificacion[[#This Row],[Nombre de Cuenta Contable]]</f>
        <v>4103001 - Costos Maquinarias y Equipos</v>
      </c>
      <c r="F458" s="47" t="str">
        <f>+Cuenta_Clasificacion[[#This Row],[Codigo Concepto de imputación]]&amp;" - "&amp;Cuenta_Clasificacion[[#This Row],[Nombre Concepto de imputación]]</f>
        <v>10023 - Cubrejuntas y Dilataciones</v>
      </c>
    </row>
    <row r="459" spans="1:6" x14ac:dyDescent="0.25">
      <c r="A459" s="43">
        <v>4103001</v>
      </c>
      <c r="B459" t="s">
        <v>223</v>
      </c>
      <c r="C459" s="43">
        <v>10024</v>
      </c>
      <c r="D459" t="s">
        <v>2731</v>
      </c>
      <c r="E459" s="47" t="str">
        <f>+Cuenta_Clasificacion[[#This Row],[Código Cuenta Contable]]&amp;" - "&amp;Cuenta_Clasificacion[[#This Row],[Nombre de Cuenta Contable]]</f>
        <v>4103001 - Costos Maquinarias y Equipos</v>
      </c>
      <c r="F459" s="47" t="str">
        <f>+Cuenta_Clasificacion[[#This Row],[Codigo Concepto de imputación]]&amp;" - "&amp;Cuenta_Clasificacion[[#This Row],[Nombre Concepto de imputación]]</f>
        <v>10024 - Dren</v>
      </c>
    </row>
    <row r="460" spans="1:6" x14ac:dyDescent="0.25">
      <c r="A460" s="43">
        <v>4103001</v>
      </c>
      <c r="B460" t="s">
        <v>223</v>
      </c>
      <c r="C460" s="43">
        <v>10025</v>
      </c>
      <c r="D460" t="s">
        <v>2732</v>
      </c>
      <c r="E460" s="47" t="str">
        <f>+Cuenta_Clasificacion[[#This Row],[Código Cuenta Contable]]&amp;" - "&amp;Cuenta_Clasificacion[[#This Row],[Nombre de Cuenta Contable]]</f>
        <v>4103001 - Costos Maquinarias y Equipos</v>
      </c>
      <c r="F460" s="47" t="str">
        <f>+Cuenta_Clasificacion[[#This Row],[Codigo Concepto de imputación]]&amp;" - "&amp;Cuenta_Clasificacion[[#This Row],[Nombre Concepto de imputación]]</f>
        <v>10025 - Elementos Seguridad</v>
      </c>
    </row>
    <row r="461" spans="1:6" x14ac:dyDescent="0.25">
      <c r="A461" s="43">
        <v>4103001</v>
      </c>
      <c r="B461" t="s">
        <v>223</v>
      </c>
      <c r="C461" s="43">
        <v>10027</v>
      </c>
      <c r="D461" t="s">
        <v>2734</v>
      </c>
      <c r="E461" s="47" t="str">
        <f>+Cuenta_Clasificacion[[#This Row],[Código Cuenta Contable]]&amp;" - "&amp;Cuenta_Clasificacion[[#This Row],[Nombre de Cuenta Contable]]</f>
        <v>4103001 - Costos Maquinarias y Equipos</v>
      </c>
      <c r="F461" s="47" t="str">
        <f>+Cuenta_Clasificacion[[#This Row],[Codigo Concepto de imputación]]&amp;" - "&amp;Cuenta_Clasificacion[[#This Row],[Nombre Concepto de imputación]]</f>
        <v>10027 - Eq Comp/Eléct Oficina</v>
      </c>
    </row>
    <row r="462" spans="1:6" x14ac:dyDescent="0.25">
      <c r="A462" s="43">
        <v>4103001</v>
      </c>
      <c r="B462" t="s">
        <v>223</v>
      </c>
      <c r="C462" s="43">
        <v>10028</v>
      </c>
      <c r="D462" t="s">
        <v>2696</v>
      </c>
      <c r="E462" s="47" t="str">
        <f>+Cuenta_Clasificacion[[#This Row],[Código Cuenta Contable]]&amp;" - "&amp;Cuenta_Clasificacion[[#This Row],[Nombre de Cuenta Contable]]</f>
        <v>4103001 - Costos Maquinarias y Equipos</v>
      </c>
      <c r="F462" s="47" t="str">
        <f>+Cuenta_Clasificacion[[#This Row],[Codigo Concepto de imputación]]&amp;" - "&amp;Cuenta_Clasificacion[[#This Row],[Nombre Concepto de imputación]]</f>
        <v>10028 - Equipamiento</v>
      </c>
    </row>
    <row r="463" spans="1:6" x14ac:dyDescent="0.25">
      <c r="A463" s="43">
        <v>4103001</v>
      </c>
      <c r="B463" t="s">
        <v>223</v>
      </c>
      <c r="C463" s="43">
        <v>10029</v>
      </c>
      <c r="D463" t="s">
        <v>2735</v>
      </c>
      <c r="E463" s="47" t="str">
        <f>+Cuenta_Clasificacion[[#This Row],[Código Cuenta Contable]]&amp;" - "&amp;Cuenta_Clasificacion[[#This Row],[Nombre de Cuenta Contable]]</f>
        <v>4103001 - Costos Maquinarias y Equipos</v>
      </c>
      <c r="F463" s="47" t="str">
        <f>+Cuenta_Clasificacion[[#This Row],[Codigo Concepto de imputación]]&amp;" - "&amp;Cuenta_Clasificacion[[#This Row],[Nombre Concepto de imputación]]</f>
        <v>10029 - Estructura Volcometal</v>
      </c>
    </row>
    <row r="464" spans="1:6" x14ac:dyDescent="0.25">
      <c r="A464" s="43">
        <v>4103001</v>
      </c>
      <c r="B464" t="s">
        <v>223</v>
      </c>
      <c r="C464" s="43">
        <v>10031</v>
      </c>
      <c r="D464" t="s">
        <v>2737</v>
      </c>
      <c r="E464" s="47" t="str">
        <f>+Cuenta_Clasificacion[[#This Row],[Código Cuenta Contable]]&amp;" - "&amp;Cuenta_Clasificacion[[#This Row],[Nombre de Cuenta Contable]]</f>
        <v>4103001 - Costos Maquinarias y Equipos</v>
      </c>
      <c r="F464" s="47" t="str">
        <f>+Cuenta_Clasificacion[[#This Row],[Codigo Concepto de imputación]]&amp;" - "&amp;Cuenta_Clasificacion[[#This Row],[Nombre Concepto de imputación]]</f>
        <v>10031 - Extracción Basura y Escombros</v>
      </c>
    </row>
    <row r="465" spans="1:6" x14ac:dyDescent="0.25">
      <c r="A465" s="43">
        <v>4103001</v>
      </c>
      <c r="B465" t="s">
        <v>223</v>
      </c>
      <c r="C465" s="43">
        <v>10032</v>
      </c>
      <c r="D465" t="s">
        <v>2738</v>
      </c>
      <c r="E465" s="47" t="str">
        <f>+Cuenta_Clasificacion[[#This Row],[Código Cuenta Contable]]&amp;" - "&amp;Cuenta_Clasificacion[[#This Row],[Nombre de Cuenta Contable]]</f>
        <v>4103001 - Costos Maquinarias y Equipos</v>
      </c>
      <c r="F465" s="47" t="str">
        <f>+Cuenta_Clasificacion[[#This Row],[Codigo Concepto de imputación]]&amp;" - "&amp;Cuenta_Clasificacion[[#This Row],[Nombre Concepto de imputación]]</f>
        <v>10032 - Fieltros y Barreras</v>
      </c>
    </row>
    <row r="466" spans="1:6" x14ac:dyDescent="0.25">
      <c r="A466" s="43">
        <v>4103001</v>
      </c>
      <c r="B466" t="s">
        <v>223</v>
      </c>
      <c r="C466" s="43">
        <v>10033</v>
      </c>
      <c r="D466" t="s">
        <v>2739</v>
      </c>
      <c r="E466" s="47" t="str">
        <f>+Cuenta_Clasificacion[[#This Row],[Código Cuenta Contable]]&amp;" - "&amp;Cuenta_Clasificacion[[#This Row],[Nombre de Cuenta Contable]]</f>
        <v>4103001 - Costos Maquinarias y Equipos</v>
      </c>
      <c r="F466" s="47" t="str">
        <f>+Cuenta_Clasificacion[[#This Row],[Codigo Concepto de imputación]]&amp;" - "&amp;Cuenta_Clasificacion[[#This Row],[Nombre Concepto de imputación]]</f>
        <v>10033 - Fierro</v>
      </c>
    </row>
    <row r="467" spans="1:6" x14ac:dyDescent="0.25">
      <c r="A467" s="43">
        <v>4103001</v>
      </c>
      <c r="B467" t="s">
        <v>223</v>
      </c>
      <c r="C467" s="43">
        <v>10034</v>
      </c>
      <c r="D467" t="s">
        <v>2740</v>
      </c>
      <c r="E467" s="47" t="str">
        <f>+Cuenta_Clasificacion[[#This Row],[Código Cuenta Contable]]&amp;" - "&amp;Cuenta_Clasificacion[[#This Row],[Nombre de Cuenta Contable]]</f>
        <v>4103001 - Costos Maquinarias y Equipos</v>
      </c>
      <c r="F467" s="47" t="str">
        <f>+Cuenta_Clasificacion[[#This Row],[Codigo Concepto de imputación]]&amp;" - "&amp;Cuenta_Clasificacion[[#This Row],[Nombre Concepto de imputación]]</f>
        <v>10034 - Fierro Redondo Liso</v>
      </c>
    </row>
    <row r="468" spans="1:6" x14ac:dyDescent="0.25">
      <c r="A468" s="43">
        <v>4103001</v>
      </c>
      <c r="B468" t="s">
        <v>223</v>
      </c>
      <c r="C468" s="43">
        <v>10035</v>
      </c>
      <c r="D468" t="s">
        <v>2741</v>
      </c>
      <c r="E468" s="47" t="str">
        <f>+Cuenta_Clasificacion[[#This Row],[Código Cuenta Contable]]&amp;" - "&amp;Cuenta_Clasificacion[[#This Row],[Nombre de Cuenta Contable]]</f>
        <v>4103001 - Costos Maquinarias y Equipos</v>
      </c>
      <c r="F468" s="47" t="str">
        <f>+Cuenta_Clasificacion[[#This Row],[Codigo Concepto de imputación]]&amp;" - "&amp;Cuenta_Clasificacion[[#This Row],[Nombre Concepto de imputación]]</f>
        <v>10035 - Fijaciones</v>
      </c>
    </row>
    <row r="469" spans="1:6" x14ac:dyDescent="0.25">
      <c r="A469" s="43">
        <v>4103001</v>
      </c>
      <c r="B469" t="s">
        <v>223</v>
      </c>
      <c r="C469" s="43">
        <v>10036</v>
      </c>
      <c r="D469" t="s">
        <v>2742</v>
      </c>
      <c r="E469" s="47" t="str">
        <f>+Cuenta_Clasificacion[[#This Row],[Código Cuenta Contable]]&amp;" - "&amp;Cuenta_Clasificacion[[#This Row],[Nombre de Cuenta Contable]]</f>
        <v>4103001 - Costos Maquinarias y Equipos</v>
      </c>
      <c r="F469" s="47" t="str">
        <f>+Cuenta_Clasificacion[[#This Row],[Codigo Concepto de imputación]]&amp;" - "&amp;Cuenta_Clasificacion[[#This Row],[Nombre Concepto de imputación]]</f>
        <v>10036 - Fitting</v>
      </c>
    </row>
    <row r="470" spans="1:6" x14ac:dyDescent="0.25">
      <c r="A470" s="43">
        <v>4103001</v>
      </c>
      <c r="B470" t="s">
        <v>223</v>
      </c>
      <c r="C470" s="43">
        <v>10037</v>
      </c>
      <c r="D470" t="s">
        <v>2743</v>
      </c>
      <c r="E470" s="47" t="str">
        <f>+Cuenta_Clasificacion[[#This Row],[Código Cuenta Contable]]&amp;" - "&amp;Cuenta_Clasificacion[[#This Row],[Nombre de Cuenta Contable]]</f>
        <v>4103001 - Costos Maquinarias y Equipos</v>
      </c>
      <c r="F470" s="47" t="str">
        <f>+Cuenta_Clasificacion[[#This Row],[Codigo Concepto de imputación]]&amp;" - "&amp;Cuenta_Clasificacion[[#This Row],[Nombre Concepto de imputación]]</f>
        <v>10037 - Flete Perfiles</v>
      </c>
    </row>
    <row r="471" spans="1:6" x14ac:dyDescent="0.25">
      <c r="A471" s="43">
        <v>4103001</v>
      </c>
      <c r="B471" t="s">
        <v>223</v>
      </c>
      <c r="C471" s="43">
        <v>10038</v>
      </c>
      <c r="D471" t="s">
        <v>2697</v>
      </c>
      <c r="E471" s="47" t="str">
        <f>+Cuenta_Clasificacion[[#This Row],[Código Cuenta Contable]]&amp;" - "&amp;Cuenta_Clasificacion[[#This Row],[Nombre de Cuenta Contable]]</f>
        <v>4103001 - Costos Maquinarias y Equipos</v>
      </c>
      <c r="F471" s="47" t="str">
        <f>+Cuenta_Clasificacion[[#This Row],[Codigo Concepto de imputación]]&amp;" - "&amp;Cuenta_Clasificacion[[#This Row],[Nombre Concepto de imputación]]</f>
        <v>10038 - Fletes (por orden de compra)</v>
      </c>
    </row>
    <row r="472" spans="1:6" x14ac:dyDescent="0.25">
      <c r="A472" s="43">
        <v>4103001</v>
      </c>
      <c r="B472" t="s">
        <v>223</v>
      </c>
      <c r="C472" s="43">
        <v>10039</v>
      </c>
      <c r="D472" t="s">
        <v>2744</v>
      </c>
      <c r="E472" s="47" t="str">
        <f>+Cuenta_Clasificacion[[#This Row],[Código Cuenta Contable]]&amp;" - "&amp;Cuenta_Clasificacion[[#This Row],[Nombre de Cuenta Contable]]</f>
        <v>4103001 - Costos Maquinarias y Equipos</v>
      </c>
      <c r="F472" s="47" t="str">
        <f>+Cuenta_Clasificacion[[#This Row],[Codigo Concepto de imputación]]&amp;" - "&amp;Cuenta_Clasificacion[[#This Row],[Nombre Concepto de imputación]]</f>
        <v>10039 - Grifería</v>
      </c>
    </row>
    <row r="473" spans="1:6" x14ac:dyDescent="0.25">
      <c r="A473" s="43">
        <v>4103001</v>
      </c>
      <c r="B473" t="s">
        <v>223</v>
      </c>
      <c r="C473" s="43">
        <v>10040</v>
      </c>
      <c r="D473" t="s">
        <v>2745</v>
      </c>
      <c r="E473" s="47" t="str">
        <f>+Cuenta_Clasificacion[[#This Row],[Código Cuenta Contable]]&amp;" - "&amp;Cuenta_Clasificacion[[#This Row],[Nombre de Cuenta Contable]]</f>
        <v>4103001 - Costos Maquinarias y Equipos</v>
      </c>
      <c r="F473" s="47" t="str">
        <f>+Cuenta_Clasificacion[[#This Row],[Codigo Concepto de imputación]]&amp;" - "&amp;Cuenta_Clasificacion[[#This Row],[Nombre Concepto de imputación]]</f>
        <v>10040 - Herramientas</v>
      </c>
    </row>
    <row r="474" spans="1:6" x14ac:dyDescent="0.25">
      <c r="A474" s="43">
        <v>4103001</v>
      </c>
      <c r="B474" t="s">
        <v>223</v>
      </c>
      <c r="C474" s="43">
        <v>10041</v>
      </c>
      <c r="D474" t="s">
        <v>2746</v>
      </c>
      <c r="E474" s="47" t="str">
        <f>+Cuenta_Clasificacion[[#This Row],[Código Cuenta Contable]]&amp;" - "&amp;Cuenta_Clasificacion[[#This Row],[Nombre de Cuenta Contable]]</f>
        <v>4103001 - Costos Maquinarias y Equipos</v>
      </c>
      <c r="F474" s="47" t="str">
        <f>+Cuenta_Clasificacion[[#This Row],[Codigo Concepto de imputación]]&amp;" - "&amp;Cuenta_Clasificacion[[#This Row],[Nombre Concepto de imputación]]</f>
        <v>10041 - Hojalatería y Techumbres</v>
      </c>
    </row>
    <row r="475" spans="1:6" x14ac:dyDescent="0.25">
      <c r="A475" s="43">
        <v>4103001</v>
      </c>
      <c r="B475" t="s">
        <v>223</v>
      </c>
      <c r="C475" s="43">
        <v>10042</v>
      </c>
      <c r="D475" t="s">
        <v>2698</v>
      </c>
      <c r="E475" s="47" t="str">
        <f>+Cuenta_Clasificacion[[#This Row],[Código Cuenta Contable]]&amp;" - "&amp;Cuenta_Clasificacion[[#This Row],[Nombre de Cuenta Contable]]</f>
        <v>4103001 - Costos Maquinarias y Equipos</v>
      </c>
      <c r="F475" s="47" t="str">
        <f>+Cuenta_Clasificacion[[#This Row],[Codigo Concepto de imputación]]&amp;" - "&amp;Cuenta_Clasificacion[[#This Row],[Nombre Concepto de imputación]]</f>
        <v>10042 - Hormigones</v>
      </c>
    </row>
    <row r="476" spans="1:6" x14ac:dyDescent="0.25">
      <c r="A476" s="43">
        <v>4103001</v>
      </c>
      <c r="B476" t="s">
        <v>223</v>
      </c>
      <c r="C476" s="43">
        <v>10043</v>
      </c>
      <c r="D476" t="s">
        <v>2747</v>
      </c>
      <c r="E476" s="47" t="str">
        <f>+Cuenta_Clasificacion[[#This Row],[Código Cuenta Contable]]&amp;" - "&amp;Cuenta_Clasificacion[[#This Row],[Nombre de Cuenta Contable]]</f>
        <v>4103001 - Costos Maquinarias y Equipos</v>
      </c>
      <c r="F476" s="47" t="str">
        <f>+Cuenta_Clasificacion[[#This Row],[Codigo Concepto de imputación]]&amp;" - "&amp;Cuenta_Clasificacion[[#This Row],[Nombre Concepto de imputación]]</f>
        <v>10043 - Hta Menor</v>
      </c>
    </row>
    <row r="477" spans="1:6" x14ac:dyDescent="0.25">
      <c r="A477" s="43">
        <v>4103001</v>
      </c>
      <c r="B477" t="s">
        <v>223</v>
      </c>
      <c r="C477" s="43">
        <v>10044</v>
      </c>
      <c r="D477" t="s">
        <v>2748</v>
      </c>
      <c r="E477" s="47" t="str">
        <f>+Cuenta_Clasificacion[[#This Row],[Código Cuenta Contable]]&amp;" - "&amp;Cuenta_Clasificacion[[#This Row],[Nombre de Cuenta Contable]]</f>
        <v>4103001 - Costos Maquinarias y Equipos</v>
      </c>
      <c r="F477" s="47" t="str">
        <f>+Cuenta_Clasificacion[[#This Row],[Codigo Concepto de imputación]]&amp;" - "&amp;Cuenta_Clasificacion[[#This Row],[Nombre Concepto de imputación]]</f>
        <v>10044 - Incendio y Alarmas</v>
      </c>
    </row>
    <row r="478" spans="1:6" x14ac:dyDescent="0.25">
      <c r="A478" s="43">
        <v>4103001</v>
      </c>
      <c r="B478" t="s">
        <v>223</v>
      </c>
      <c r="C478" s="43">
        <v>10045</v>
      </c>
      <c r="D478" t="s">
        <v>2749</v>
      </c>
      <c r="E478" s="47" t="str">
        <f>+Cuenta_Clasificacion[[#This Row],[Código Cuenta Contable]]&amp;" - "&amp;Cuenta_Clasificacion[[#This Row],[Nombre de Cuenta Contable]]</f>
        <v>4103001 - Costos Maquinarias y Equipos</v>
      </c>
      <c r="F478" s="47" t="str">
        <f>+Cuenta_Clasificacion[[#This Row],[Codigo Concepto de imputación]]&amp;" - "&amp;Cuenta_Clasificacion[[#This Row],[Nombre Concepto de imputación]]</f>
        <v>10045 - Insumos</v>
      </c>
    </row>
    <row r="479" spans="1:6" x14ac:dyDescent="0.25">
      <c r="A479" s="43">
        <v>4103001</v>
      </c>
      <c r="B479" t="s">
        <v>223</v>
      </c>
      <c r="C479" s="43">
        <v>10046</v>
      </c>
      <c r="D479" t="s">
        <v>2750</v>
      </c>
      <c r="E479" s="47" t="str">
        <f>+Cuenta_Clasificacion[[#This Row],[Código Cuenta Contable]]&amp;" - "&amp;Cuenta_Clasificacion[[#This Row],[Nombre de Cuenta Contable]]</f>
        <v>4103001 - Costos Maquinarias y Equipos</v>
      </c>
      <c r="F479" s="47" t="str">
        <f>+Cuenta_Clasificacion[[#This Row],[Codigo Concepto de imputación]]&amp;" - "&amp;Cuenta_Clasificacion[[#This Row],[Nombre Concepto de imputación]]</f>
        <v>10046 - Izaje</v>
      </c>
    </row>
    <row r="480" spans="1:6" x14ac:dyDescent="0.25">
      <c r="A480" s="43">
        <v>4103001</v>
      </c>
      <c r="B480" t="s">
        <v>223</v>
      </c>
      <c r="C480" s="43">
        <v>10047</v>
      </c>
      <c r="D480" t="s">
        <v>2751</v>
      </c>
      <c r="E480" s="47" t="str">
        <f>+Cuenta_Clasificacion[[#This Row],[Código Cuenta Contable]]&amp;" - "&amp;Cuenta_Clasificacion[[#This Row],[Nombre de Cuenta Contable]]</f>
        <v>4103001 - Costos Maquinarias y Equipos</v>
      </c>
      <c r="F480" s="47" t="str">
        <f>+Cuenta_Clasificacion[[#This Row],[Codigo Concepto de imputación]]&amp;" - "&amp;Cuenta_Clasificacion[[#This Row],[Nombre Concepto de imputación]]</f>
        <v>10047 - Jardinería</v>
      </c>
    </row>
    <row r="481" spans="1:6" x14ac:dyDescent="0.25">
      <c r="A481" s="43">
        <v>4103001</v>
      </c>
      <c r="B481" t="s">
        <v>223</v>
      </c>
      <c r="C481" s="43">
        <v>10048</v>
      </c>
      <c r="D481" t="s">
        <v>2752</v>
      </c>
      <c r="E481" s="47" t="str">
        <f>+Cuenta_Clasificacion[[#This Row],[Código Cuenta Contable]]&amp;" - "&amp;Cuenta_Clasificacion[[#This Row],[Nombre de Cuenta Contable]]</f>
        <v>4103001 - Costos Maquinarias y Equipos</v>
      </c>
      <c r="F481" s="47" t="str">
        <f>+Cuenta_Clasificacion[[#This Row],[Codigo Concepto de imputación]]&amp;" - "&amp;Cuenta_Clasificacion[[#This Row],[Nombre Concepto de imputación]]</f>
        <v>10048 - Ladrillos</v>
      </c>
    </row>
    <row r="482" spans="1:6" x14ac:dyDescent="0.25">
      <c r="A482" s="43">
        <v>4103001</v>
      </c>
      <c r="B482" t="s">
        <v>223</v>
      </c>
      <c r="C482" s="43">
        <v>10050</v>
      </c>
      <c r="D482" t="s">
        <v>2754</v>
      </c>
      <c r="E482" s="47" t="str">
        <f>+Cuenta_Clasificacion[[#This Row],[Código Cuenta Contable]]&amp;" - "&amp;Cuenta_Clasificacion[[#This Row],[Nombre de Cuenta Contable]]</f>
        <v>4103001 - Costos Maquinarias y Equipos</v>
      </c>
      <c r="F482" s="47" t="str">
        <f>+Cuenta_Clasificacion[[#This Row],[Codigo Concepto de imputación]]&amp;" - "&amp;Cuenta_Clasificacion[[#This Row],[Nombre Concepto de imputación]]</f>
        <v>10050 - Lubricantes</v>
      </c>
    </row>
    <row r="483" spans="1:6" x14ac:dyDescent="0.25">
      <c r="A483" s="43">
        <v>4103001</v>
      </c>
      <c r="B483" t="s">
        <v>223</v>
      </c>
      <c r="C483" s="43">
        <v>10051</v>
      </c>
      <c r="D483" t="s">
        <v>2755</v>
      </c>
      <c r="E483" s="47" t="str">
        <f>+Cuenta_Clasificacion[[#This Row],[Código Cuenta Contable]]&amp;" - "&amp;Cuenta_Clasificacion[[#This Row],[Nombre de Cuenta Contable]]</f>
        <v>4103001 - Costos Maquinarias y Equipos</v>
      </c>
      <c r="F483" s="47" t="str">
        <f>+Cuenta_Clasificacion[[#This Row],[Codigo Concepto de imputación]]&amp;" - "&amp;Cuenta_Clasificacion[[#This Row],[Nombre Concepto de imputación]]</f>
        <v>10051 - Luminarias</v>
      </c>
    </row>
    <row r="484" spans="1:6" x14ac:dyDescent="0.25">
      <c r="A484" s="43">
        <v>4103001</v>
      </c>
      <c r="B484" t="s">
        <v>223</v>
      </c>
      <c r="C484" s="43">
        <v>10052</v>
      </c>
      <c r="D484" t="s">
        <v>2756</v>
      </c>
      <c r="E484" s="47" t="str">
        <f>+Cuenta_Clasificacion[[#This Row],[Código Cuenta Contable]]&amp;" - "&amp;Cuenta_Clasificacion[[#This Row],[Nombre de Cuenta Contable]]</f>
        <v>4103001 - Costos Maquinarias y Equipos</v>
      </c>
      <c r="F484" s="47" t="str">
        <f>+Cuenta_Clasificacion[[#This Row],[Codigo Concepto de imputación]]&amp;" - "&amp;Cuenta_Clasificacion[[#This Row],[Nombre Concepto de imputación]]</f>
        <v>10052 - Maderas</v>
      </c>
    </row>
    <row r="485" spans="1:6" x14ac:dyDescent="0.25">
      <c r="A485" s="43">
        <v>4103001</v>
      </c>
      <c r="B485" t="s">
        <v>223</v>
      </c>
      <c r="C485" s="43">
        <v>10053</v>
      </c>
      <c r="D485" t="s">
        <v>2757</v>
      </c>
      <c r="E485" s="47" t="str">
        <f>+Cuenta_Clasificacion[[#This Row],[Código Cuenta Contable]]&amp;" - "&amp;Cuenta_Clasificacion[[#This Row],[Nombre de Cuenta Contable]]</f>
        <v>4103001 - Costos Maquinarias y Equipos</v>
      </c>
      <c r="F485" s="47" t="str">
        <f>+Cuenta_Clasificacion[[#This Row],[Codigo Concepto de imputación]]&amp;" - "&amp;Cuenta_Clasificacion[[#This Row],[Nombre Concepto de imputación]]</f>
        <v>10053 - Malla Acma</v>
      </c>
    </row>
    <row r="486" spans="1:6" x14ac:dyDescent="0.25">
      <c r="A486" s="43">
        <v>4103001</v>
      </c>
      <c r="B486" t="s">
        <v>223</v>
      </c>
      <c r="C486" s="43">
        <v>10054</v>
      </c>
      <c r="D486" t="s">
        <v>2758</v>
      </c>
      <c r="E486" s="47" t="str">
        <f>+Cuenta_Clasificacion[[#This Row],[Código Cuenta Contable]]&amp;" - "&amp;Cuenta_Clasificacion[[#This Row],[Nombre de Cuenta Contable]]</f>
        <v>4103001 - Costos Maquinarias y Equipos</v>
      </c>
      <c r="F486" s="47" t="str">
        <f>+Cuenta_Clasificacion[[#This Row],[Codigo Concepto de imputación]]&amp;" - "&amp;Cuenta_Clasificacion[[#This Row],[Nombre Concepto de imputación]]</f>
        <v>10054 - Malla Raschel</v>
      </c>
    </row>
    <row r="487" spans="1:6" x14ac:dyDescent="0.25">
      <c r="A487" s="43">
        <v>4103001</v>
      </c>
      <c r="B487" t="s">
        <v>223</v>
      </c>
      <c r="C487" s="43">
        <v>10055</v>
      </c>
      <c r="D487" t="s">
        <v>2759</v>
      </c>
      <c r="E487" s="47" t="str">
        <f>+Cuenta_Clasificacion[[#This Row],[Código Cuenta Contable]]&amp;" - "&amp;Cuenta_Clasificacion[[#This Row],[Nombre de Cuenta Contable]]</f>
        <v>4103001 - Costos Maquinarias y Equipos</v>
      </c>
      <c r="F487" s="47" t="str">
        <f>+Cuenta_Clasificacion[[#This Row],[Codigo Concepto de imputación]]&amp;" - "&amp;Cuenta_Clasificacion[[#This Row],[Nombre Concepto de imputación]]</f>
        <v>10055 - Mallas Varias</v>
      </c>
    </row>
    <row r="488" spans="1:6" x14ac:dyDescent="0.25">
      <c r="A488" s="43">
        <v>4103001</v>
      </c>
      <c r="B488" t="s">
        <v>223</v>
      </c>
      <c r="C488" s="43">
        <v>10056</v>
      </c>
      <c r="D488" t="s">
        <v>2760</v>
      </c>
      <c r="E488" s="47" t="str">
        <f>+Cuenta_Clasificacion[[#This Row],[Código Cuenta Contable]]&amp;" - "&amp;Cuenta_Clasificacion[[#This Row],[Nombre de Cuenta Contable]]</f>
        <v>4103001 - Costos Maquinarias y Equipos</v>
      </c>
      <c r="F488" s="47" t="str">
        <f>+Cuenta_Clasificacion[[#This Row],[Codigo Concepto de imputación]]&amp;" - "&amp;Cuenta_Clasificacion[[#This Row],[Nombre Concepto de imputación]]</f>
        <v>10056 - Mangueras</v>
      </c>
    </row>
    <row r="489" spans="1:6" x14ac:dyDescent="0.25">
      <c r="A489" s="43">
        <v>4103001</v>
      </c>
      <c r="B489" t="s">
        <v>223</v>
      </c>
      <c r="C489" s="43">
        <v>10057</v>
      </c>
      <c r="D489" t="s">
        <v>2761</v>
      </c>
      <c r="E489" s="47" t="str">
        <f>+Cuenta_Clasificacion[[#This Row],[Código Cuenta Contable]]&amp;" - "&amp;Cuenta_Clasificacion[[#This Row],[Nombre de Cuenta Contable]]</f>
        <v>4103001 - Costos Maquinarias y Equipos</v>
      </c>
      <c r="F489" s="47" t="str">
        <f>+Cuenta_Clasificacion[[#This Row],[Codigo Concepto de imputación]]&amp;" - "&amp;Cuenta_Clasificacion[[#This Row],[Nombre Concepto de imputación]]</f>
        <v>10057 - Molduras</v>
      </c>
    </row>
    <row r="490" spans="1:6" x14ac:dyDescent="0.25">
      <c r="A490" s="43">
        <v>4103001</v>
      </c>
      <c r="B490" t="s">
        <v>223</v>
      </c>
      <c r="C490" s="43">
        <v>10058</v>
      </c>
      <c r="D490" t="s">
        <v>2762</v>
      </c>
      <c r="E490" s="47" t="str">
        <f>+Cuenta_Clasificacion[[#This Row],[Código Cuenta Contable]]&amp;" - "&amp;Cuenta_Clasificacion[[#This Row],[Nombre de Cuenta Contable]]</f>
        <v>4103001 - Costos Maquinarias y Equipos</v>
      </c>
      <c r="F490" s="47" t="str">
        <f>+Cuenta_Clasificacion[[#This Row],[Codigo Concepto de imputación]]&amp;" - "&amp;Cuenta_Clasificacion[[#This Row],[Nombre Concepto de imputación]]</f>
        <v>10058 - Morteros e Impermeabilizantes</v>
      </c>
    </row>
    <row r="491" spans="1:6" x14ac:dyDescent="0.25">
      <c r="A491" s="43">
        <v>4103001</v>
      </c>
      <c r="B491" t="s">
        <v>223</v>
      </c>
      <c r="C491" s="43">
        <v>10059</v>
      </c>
      <c r="D491" t="s">
        <v>2763</v>
      </c>
      <c r="E491" s="47" t="str">
        <f>+Cuenta_Clasificacion[[#This Row],[Código Cuenta Contable]]&amp;" - "&amp;Cuenta_Clasificacion[[#This Row],[Nombre de Cuenta Contable]]</f>
        <v>4103001 - Costos Maquinarias y Equipos</v>
      </c>
      <c r="F491" s="47" t="str">
        <f>+Cuenta_Clasificacion[[#This Row],[Codigo Concepto de imputación]]&amp;" - "&amp;Cuenta_Clasificacion[[#This Row],[Nombre Concepto de imputación]]</f>
        <v>10059 - Muebles</v>
      </c>
    </row>
    <row r="492" spans="1:6" x14ac:dyDescent="0.25">
      <c r="A492" s="43">
        <v>4103001</v>
      </c>
      <c r="B492" t="s">
        <v>223</v>
      </c>
      <c r="C492" s="43">
        <v>10060</v>
      </c>
      <c r="D492" t="s">
        <v>2764</v>
      </c>
      <c r="E492" s="47" t="str">
        <f>+Cuenta_Clasificacion[[#This Row],[Código Cuenta Contable]]&amp;" - "&amp;Cuenta_Clasificacion[[#This Row],[Nombre de Cuenta Contable]]</f>
        <v>4103001 - Costos Maquinarias y Equipos</v>
      </c>
      <c r="F492" s="47" t="str">
        <f>+Cuenta_Clasificacion[[#This Row],[Codigo Concepto de imputación]]&amp;" - "&amp;Cuenta_Clasificacion[[#This Row],[Nombre Concepto de imputación]]</f>
        <v>10060 - Muebles e Inst Faena</v>
      </c>
    </row>
    <row r="493" spans="1:6" x14ac:dyDescent="0.25">
      <c r="A493" s="43">
        <v>4103001</v>
      </c>
      <c r="B493" t="s">
        <v>223</v>
      </c>
      <c r="C493" s="43">
        <v>10061</v>
      </c>
      <c r="D493" t="s">
        <v>2765</v>
      </c>
      <c r="E493" s="47" t="str">
        <f>+Cuenta_Clasificacion[[#This Row],[Código Cuenta Contable]]&amp;" - "&amp;Cuenta_Clasificacion[[#This Row],[Nombre de Cuenta Contable]]</f>
        <v>4103001 - Costos Maquinarias y Equipos</v>
      </c>
      <c r="F493" s="47" t="str">
        <f>+Cuenta_Clasificacion[[#This Row],[Codigo Concepto de imputación]]&amp;" - "&amp;Cuenta_Clasificacion[[#This Row],[Nombre Concepto de imputación]]</f>
        <v>10061 - Papel Mural</v>
      </c>
    </row>
    <row r="494" spans="1:6" x14ac:dyDescent="0.25">
      <c r="A494" s="43">
        <v>4103001</v>
      </c>
      <c r="B494" t="s">
        <v>223</v>
      </c>
      <c r="C494" s="43">
        <v>10062</v>
      </c>
      <c r="D494" t="s">
        <v>2766</v>
      </c>
      <c r="E494" s="47" t="str">
        <f>+Cuenta_Clasificacion[[#This Row],[Código Cuenta Contable]]&amp;" - "&amp;Cuenta_Clasificacion[[#This Row],[Nombre de Cuenta Contable]]</f>
        <v>4103001 - Costos Maquinarias y Equipos</v>
      </c>
      <c r="F494" s="47" t="str">
        <f>+Cuenta_Clasificacion[[#This Row],[Codigo Concepto de imputación]]&amp;" - "&amp;Cuenta_Clasificacion[[#This Row],[Nombre Concepto de imputación]]</f>
        <v>10062 - Pavimentos</v>
      </c>
    </row>
    <row r="495" spans="1:6" x14ac:dyDescent="0.25">
      <c r="A495" s="43">
        <v>4103001</v>
      </c>
      <c r="B495" t="s">
        <v>223</v>
      </c>
      <c r="C495" s="43">
        <v>10063</v>
      </c>
      <c r="D495" t="s">
        <v>2767</v>
      </c>
      <c r="E495" s="47" t="str">
        <f>+Cuenta_Clasificacion[[#This Row],[Código Cuenta Contable]]&amp;" - "&amp;Cuenta_Clasificacion[[#This Row],[Nombre de Cuenta Contable]]</f>
        <v>4103001 - Costos Maquinarias y Equipos</v>
      </c>
      <c r="F495" s="47" t="str">
        <f>+Cuenta_Clasificacion[[#This Row],[Codigo Concepto de imputación]]&amp;" - "&amp;Cuenta_Clasificacion[[#This Row],[Nombre Concepto de imputación]]</f>
        <v>10063 - Pendones</v>
      </c>
    </row>
    <row r="496" spans="1:6" x14ac:dyDescent="0.25">
      <c r="A496" s="43">
        <v>4103001</v>
      </c>
      <c r="B496" t="s">
        <v>223</v>
      </c>
      <c r="C496" s="43">
        <v>10064</v>
      </c>
      <c r="D496" t="s">
        <v>2768</v>
      </c>
      <c r="E496" s="47" t="str">
        <f>+Cuenta_Clasificacion[[#This Row],[Código Cuenta Contable]]&amp;" - "&amp;Cuenta_Clasificacion[[#This Row],[Nombre de Cuenta Contable]]</f>
        <v>4103001 - Costos Maquinarias y Equipos</v>
      </c>
      <c r="F496" s="47" t="str">
        <f>+Cuenta_Clasificacion[[#This Row],[Codigo Concepto de imputación]]&amp;" - "&amp;Cuenta_Clasificacion[[#This Row],[Nombre Concepto de imputación]]</f>
        <v>10064 - Perfiles y Tubos</v>
      </c>
    </row>
    <row r="497" spans="1:6" x14ac:dyDescent="0.25">
      <c r="A497" s="43">
        <v>4103001</v>
      </c>
      <c r="B497" t="s">
        <v>223</v>
      </c>
      <c r="C497" s="43">
        <v>10065</v>
      </c>
      <c r="D497" t="s">
        <v>2769</v>
      </c>
      <c r="E497" s="47" t="str">
        <f>+Cuenta_Clasificacion[[#This Row],[Código Cuenta Contable]]&amp;" - "&amp;Cuenta_Clasificacion[[#This Row],[Nombre de Cuenta Contable]]</f>
        <v>4103001 - Costos Maquinarias y Equipos</v>
      </c>
      <c r="F497" s="47" t="str">
        <f>+Cuenta_Clasificacion[[#This Row],[Codigo Concepto de imputación]]&amp;" - "&amp;Cuenta_Clasificacion[[#This Row],[Nombre Concepto de imputación]]</f>
        <v>10065 - Persianas</v>
      </c>
    </row>
    <row r="498" spans="1:6" x14ac:dyDescent="0.25">
      <c r="A498" s="43">
        <v>4103001</v>
      </c>
      <c r="B498" t="s">
        <v>223</v>
      </c>
      <c r="C498" s="43">
        <v>10066</v>
      </c>
      <c r="D498" t="s">
        <v>2770</v>
      </c>
      <c r="E498" s="47" t="str">
        <f>+Cuenta_Clasificacion[[#This Row],[Código Cuenta Contable]]&amp;" - "&amp;Cuenta_Clasificacion[[#This Row],[Nombre de Cuenta Contable]]</f>
        <v>4103001 - Costos Maquinarias y Equipos</v>
      </c>
      <c r="F498" s="47" t="str">
        <f>+Cuenta_Clasificacion[[#This Row],[Codigo Concepto de imputación]]&amp;" - "&amp;Cuenta_Clasificacion[[#This Row],[Nombre Concepto de imputación]]</f>
        <v>10066 - Pinturas</v>
      </c>
    </row>
    <row r="499" spans="1:6" x14ac:dyDescent="0.25">
      <c r="A499" s="43">
        <v>4103001</v>
      </c>
      <c r="B499" t="s">
        <v>223</v>
      </c>
      <c r="C499" s="43">
        <v>10067</v>
      </c>
      <c r="D499" t="s">
        <v>2771</v>
      </c>
      <c r="E499" s="47" t="str">
        <f>+Cuenta_Clasificacion[[#This Row],[Código Cuenta Contable]]&amp;" - "&amp;Cuenta_Clasificacion[[#This Row],[Nombre de Cuenta Contable]]</f>
        <v>4103001 - Costos Maquinarias y Equipos</v>
      </c>
      <c r="F499" s="47" t="str">
        <f>+Cuenta_Clasificacion[[#This Row],[Codigo Concepto de imputación]]&amp;" - "&amp;Cuenta_Clasificacion[[#This Row],[Nombre Concepto de imputación]]</f>
        <v>10067 - Piscinas</v>
      </c>
    </row>
    <row r="500" spans="1:6" x14ac:dyDescent="0.25">
      <c r="A500" s="43">
        <v>4103001</v>
      </c>
      <c r="B500" t="s">
        <v>223</v>
      </c>
      <c r="C500" s="43">
        <v>10068</v>
      </c>
      <c r="D500" t="s">
        <v>2772</v>
      </c>
      <c r="E500" s="47" t="str">
        <f>+Cuenta_Clasificacion[[#This Row],[Código Cuenta Contable]]&amp;" - "&amp;Cuenta_Clasificacion[[#This Row],[Nombre de Cuenta Contable]]</f>
        <v>4103001 - Costos Maquinarias y Equipos</v>
      </c>
      <c r="F500" s="47" t="str">
        <f>+Cuenta_Clasificacion[[#This Row],[Codigo Concepto de imputación]]&amp;" - "&amp;Cuenta_Clasificacion[[#This Row],[Nombre Concepto de imputación]]</f>
        <v>10068 - Placas Aglomeradas</v>
      </c>
    </row>
    <row r="501" spans="1:6" x14ac:dyDescent="0.25">
      <c r="A501" s="43">
        <v>4103001</v>
      </c>
      <c r="B501" t="s">
        <v>223</v>
      </c>
      <c r="C501" s="43">
        <v>10069</v>
      </c>
      <c r="D501" t="s">
        <v>2773</v>
      </c>
      <c r="E501" s="47" t="str">
        <f>+Cuenta_Clasificacion[[#This Row],[Código Cuenta Contable]]&amp;" - "&amp;Cuenta_Clasificacion[[#This Row],[Nombre de Cuenta Contable]]</f>
        <v>4103001 - Costos Maquinarias y Equipos</v>
      </c>
      <c r="F501" s="47" t="str">
        <f>+Cuenta_Clasificacion[[#This Row],[Codigo Concepto de imputación]]&amp;" - "&amp;Cuenta_Clasificacion[[#This Row],[Nombre Concepto de imputación]]</f>
        <v>10069 - Planchas</v>
      </c>
    </row>
    <row r="502" spans="1:6" x14ac:dyDescent="0.25">
      <c r="A502" s="43">
        <v>4103001</v>
      </c>
      <c r="B502" t="s">
        <v>223</v>
      </c>
      <c r="C502" s="43">
        <v>10070</v>
      </c>
      <c r="D502" t="s">
        <v>2774</v>
      </c>
      <c r="E502" s="47" t="str">
        <f>+Cuenta_Clasificacion[[#This Row],[Código Cuenta Contable]]&amp;" - "&amp;Cuenta_Clasificacion[[#This Row],[Nombre de Cuenta Contable]]</f>
        <v>4103001 - Costos Maquinarias y Equipos</v>
      </c>
      <c r="F502" s="47" t="str">
        <f>+Cuenta_Clasificacion[[#This Row],[Codigo Concepto de imputación]]&amp;" - "&amp;Cuenta_Clasificacion[[#This Row],[Nombre Concepto de imputación]]</f>
        <v>10070 - Prefabricados Hormigón</v>
      </c>
    </row>
    <row r="503" spans="1:6" x14ac:dyDescent="0.25">
      <c r="A503" s="43">
        <v>4103001</v>
      </c>
      <c r="B503" t="s">
        <v>223</v>
      </c>
      <c r="C503" s="43">
        <v>10071</v>
      </c>
      <c r="D503" t="s">
        <v>2775</v>
      </c>
      <c r="E503" s="47" t="str">
        <f>+Cuenta_Clasificacion[[#This Row],[Código Cuenta Contable]]&amp;" - "&amp;Cuenta_Clasificacion[[#This Row],[Nombre de Cuenta Contable]]</f>
        <v>4103001 - Costos Maquinarias y Equipos</v>
      </c>
      <c r="F503" s="47" t="str">
        <f>+Cuenta_Clasificacion[[#This Row],[Codigo Concepto de imputación]]&amp;" - "&amp;Cuenta_Clasificacion[[#This Row],[Nombre Concepto de imputación]]</f>
        <v>10071 - Puertas y Ventanas</v>
      </c>
    </row>
    <row r="504" spans="1:6" x14ac:dyDescent="0.25">
      <c r="A504" s="43">
        <v>4103001</v>
      </c>
      <c r="B504" t="s">
        <v>223</v>
      </c>
      <c r="C504" s="43">
        <v>10072</v>
      </c>
      <c r="D504" t="s">
        <v>2776</v>
      </c>
      <c r="E504" s="47" t="str">
        <f>+Cuenta_Clasificacion[[#This Row],[Código Cuenta Contable]]&amp;" - "&amp;Cuenta_Clasificacion[[#This Row],[Nombre de Cuenta Contable]]</f>
        <v>4103001 - Costos Maquinarias y Equipos</v>
      </c>
      <c r="F504" s="47" t="str">
        <f>+Cuenta_Clasificacion[[#This Row],[Codigo Concepto de imputación]]&amp;" - "&amp;Cuenta_Clasificacion[[#This Row],[Nombre Concepto de imputación]]</f>
        <v>10072 - Quincallería</v>
      </c>
    </row>
    <row r="505" spans="1:6" x14ac:dyDescent="0.25">
      <c r="A505" s="43">
        <v>4103001</v>
      </c>
      <c r="B505" t="s">
        <v>223</v>
      </c>
      <c r="C505" s="43">
        <v>10073</v>
      </c>
      <c r="D505" t="s">
        <v>2777</v>
      </c>
      <c r="E505" s="47" t="str">
        <f>+Cuenta_Clasificacion[[#This Row],[Código Cuenta Contable]]&amp;" - "&amp;Cuenta_Clasificacion[[#This Row],[Nombre de Cuenta Contable]]</f>
        <v>4103001 - Costos Maquinarias y Equipos</v>
      </c>
      <c r="F505" s="47" t="str">
        <f>+Cuenta_Clasificacion[[#This Row],[Codigo Concepto de imputación]]&amp;" - "&amp;Cuenta_Clasificacion[[#This Row],[Nombre Concepto de imputación]]</f>
        <v>10073 - Revestimientos</v>
      </c>
    </row>
    <row r="506" spans="1:6" x14ac:dyDescent="0.25">
      <c r="A506" s="43">
        <v>4103001</v>
      </c>
      <c r="B506" t="s">
        <v>223</v>
      </c>
      <c r="C506" s="43">
        <v>10074</v>
      </c>
      <c r="D506" t="s">
        <v>2778</v>
      </c>
      <c r="E506" s="47" t="str">
        <f>+Cuenta_Clasificacion[[#This Row],[Código Cuenta Contable]]&amp;" - "&amp;Cuenta_Clasificacion[[#This Row],[Nombre de Cuenta Contable]]</f>
        <v>4103001 - Costos Maquinarias y Equipos</v>
      </c>
      <c r="F506" s="47" t="str">
        <f>+Cuenta_Clasificacion[[#This Row],[Codigo Concepto de imputación]]&amp;" - "&amp;Cuenta_Clasificacion[[#This Row],[Nombre Concepto de imputación]]</f>
        <v>10074 - Rollizos y Postes Madera</v>
      </c>
    </row>
    <row r="507" spans="1:6" x14ac:dyDescent="0.25">
      <c r="A507" s="43">
        <v>4103001</v>
      </c>
      <c r="B507" t="s">
        <v>223</v>
      </c>
      <c r="C507" s="43">
        <v>10076</v>
      </c>
      <c r="D507" t="s">
        <v>2780</v>
      </c>
      <c r="E507" s="47" t="str">
        <f>+Cuenta_Clasificacion[[#This Row],[Código Cuenta Contable]]&amp;" - "&amp;Cuenta_Clasificacion[[#This Row],[Nombre de Cuenta Contable]]</f>
        <v>4103001 - Costos Maquinarias y Equipos</v>
      </c>
      <c r="F507" s="47" t="str">
        <f>+Cuenta_Clasificacion[[#This Row],[Codigo Concepto de imputación]]&amp;" - "&amp;Cuenta_Clasificacion[[#This Row],[Nombre Concepto de imputación]]</f>
        <v>10076 - Soldadura</v>
      </c>
    </row>
    <row r="508" spans="1:6" x14ac:dyDescent="0.25">
      <c r="A508" s="43">
        <v>4103001</v>
      </c>
      <c r="B508" t="s">
        <v>223</v>
      </c>
      <c r="C508" s="43">
        <v>10077</v>
      </c>
      <c r="D508" t="s">
        <v>2781</v>
      </c>
      <c r="E508" s="47" t="str">
        <f>+Cuenta_Clasificacion[[#This Row],[Código Cuenta Contable]]&amp;" - "&amp;Cuenta_Clasificacion[[#This Row],[Nombre de Cuenta Contable]]</f>
        <v>4103001 - Costos Maquinarias y Equipos</v>
      </c>
      <c r="F508" s="47" t="str">
        <f>+Cuenta_Clasificacion[[#This Row],[Codigo Concepto de imputación]]&amp;" - "&amp;Cuenta_Clasificacion[[#This Row],[Nombre Concepto de imputación]]</f>
        <v>10077 - Sum. e Inst. Anclajes Postens.</v>
      </c>
    </row>
    <row r="509" spans="1:6" x14ac:dyDescent="0.25">
      <c r="A509" s="43">
        <v>4103001</v>
      </c>
      <c r="B509" t="s">
        <v>223</v>
      </c>
      <c r="C509" s="43">
        <v>10078</v>
      </c>
      <c r="D509" t="s">
        <v>2782</v>
      </c>
      <c r="E509" s="47" t="str">
        <f>+Cuenta_Clasificacion[[#This Row],[Código Cuenta Contable]]&amp;" - "&amp;Cuenta_Clasificacion[[#This Row],[Nombre de Cuenta Contable]]</f>
        <v>4103001 - Costos Maquinarias y Equipos</v>
      </c>
      <c r="F509" s="47" t="str">
        <f>+Cuenta_Clasificacion[[#This Row],[Codigo Concepto de imputación]]&amp;" - "&amp;Cuenta_Clasificacion[[#This Row],[Nombre Concepto de imputación]]</f>
        <v>10078 - Tabiques</v>
      </c>
    </row>
    <row r="510" spans="1:6" x14ac:dyDescent="0.25">
      <c r="A510" s="43">
        <v>4103001</v>
      </c>
      <c r="B510" t="s">
        <v>223</v>
      </c>
      <c r="C510" s="43">
        <v>10079</v>
      </c>
      <c r="D510" t="s">
        <v>2783</v>
      </c>
      <c r="E510" s="47" t="str">
        <f>+Cuenta_Clasificacion[[#This Row],[Código Cuenta Contable]]&amp;" - "&amp;Cuenta_Clasificacion[[#This Row],[Nombre de Cuenta Contable]]</f>
        <v>4103001 - Costos Maquinarias y Equipos</v>
      </c>
      <c r="F510" s="47" t="str">
        <f>+Cuenta_Clasificacion[[#This Row],[Codigo Concepto de imputación]]&amp;" - "&amp;Cuenta_Clasificacion[[#This Row],[Nombre Concepto de imputación]]</f>
        <v>10079 - Yeso y Cal</v>
      </c>
    </row>
    <row r="511" spans="1:6" x14ac:dyDescent="0.25">
      <c r="A511" s="43">
        <v>4103001</v>
      </c>
      <c r="B511" t="s">
        <v>223</v>
      </c>
      <c r="C511" s="43">
        <v>10080</v>
      </c>
      <c r="D511" t="s">
        <v>2699</v>
      </c>
      <c r="E511" s="47" t="str">
        <f>+Cuenta_Clasificacion[[#This Row],[Código Cuenta Contable]]&amp;" - "&amp;Cuenta_Clasificacion[[#This Row],[Nombre de Cuenta Contable]]</f>
        <v>4103001 - Costos Maquinarias y Equipos</v>
      </c>
      <c r="F511" s="47" t="str">
        <f>+Cuenta_Clasificacion[[#This Row],[Codigo Concepto de imputación]]&amp;" - "&amp;Cuenta_Clasificacion[[#This Row],[Nombre Concepto de imputación]]</f>
        <v>10080 - Ajuste de Precio</v>
      </c>
    </row>
    <row r="512" spans="1:6" x14ac:dyDescent="0.25">
      <c r="A512" s="43">
        <v>4103001</v>
      </c>
      <c r="B512" t="s">
        <v>223</v>
      </c>
      <c r="C512" s="43">
        <v>20001</v>
      </c>
      <c r="D512" t="s">
        <v>2785</v>
      </c>
      <c r="E512" s="47" t="str">
        <f>+Cuenta_Clasificacion[[#This Row],[Código Cuenta Contable]]&amp;" - "&amp;Cuenta_Clasificacion[[#This Row],[Nombre de Cuenta Contable]]</f>
        <v>4103001 - Costos Maquinarias y Equipos</v>
      </c>
      <c r="F512" s="47" t="str">
        <f>+Cuenta_Clasificacion[[#This Row],[Codigo Concepto de imputación]]&amp;" - "&amp;Cuenta_Clasificacion[[#This Row],[Nombre Concepto de imputación]]</f>
        <v>20001 - Sbctto Agua Potable Domic.</v>
      </c>
    </row>
    <row r="513" spans="1:6" x14ac:dyDescent="0.25">
      <c r="A513" s="43">
        <v>4103001</v>
      </c>
      <c r="B513" t="s">
        <v>223</v>
      </c>
      <c r="C513" s="43">
        <v>20002</v>
      </c>
      <c r="D513" t="s">
        <v>2786</v>
      </c>
      <c r="E513" s="47" t="str">
        <f>+Cuenta_Clasificacion[[#This Row],[Código Cuenta Contable]]&amp;" - "&amp;Cuenta_Clasificacion[[#This Row],[Nombre de Cuenta Contable]]</f>
        <v>4103001 - Costos Maquinarias y Equipos</v>
      </c>
      <c r="F513" s="47" t="str">
        <f>+Cuenta_Clasificacion[[#This Row],[Codigo Concepto de imputación]]&amp;" - "&amp;Cuenta_Clasificacion[[#This Row],[Nombre Concepto de imputación]]</f>
        <v>20002 - Sbctto Agua Potable Provisorio</v>
      </c>
    </row>
    <row r="514" spans="1:6" x14ac:dyDescent="0.25">
      <c r="A514" s="43">
        <v>4103001</v>
      </c>
      <c r="B514" t="s">
        <v>223</v>
      </c>
      <c r="C514" s="43">
        <v>20003</v>
      </c>
      <c r="D514" t="s">
        <v>2787</v>
      </c>
      <c r="E514" s="47" t="str">
        <f>+Cuenta_Clasificacion[[#This Row],[Código Cuenta Contable]]&amp;" - "&amp;Cuenta_Clasificacion[[#This Row],[Nombre de Cuenta Contable]]</f>
        <v>4103001 - Costos Maquinarias y Equipos</v>
      </c>
      <c r="F514" s="47" t="str">
        <f>+Cuenta_Clasificacion[[#This Row],[Codigo Concepto de imputación]]&amp;" - "&amp;Cuenta_Clasificacion[[#This Row],[Nombre Concepto de imputación]]</f>
        <v>20003 - Sbctto Aire Acondicionado</v>
      </c>
    </row>
    <row r="515" spans="1:6" x14ac:dyDescent="0.25">
      <c r="A515" s="43">
        <v>4103001</v>
      </c>
      <c r="B515" t="s">
        <v>223</v>
      </c>
      <c r="C515" s="43">
        <v>20004</v>
      </c>
      <c r="D515" t="s">
        <v>2788</v>
      </c>
      <c r="E515" s="47" t="str">
        <f>+Cuenta_Clasificacion[[#This Row],[Código Cuenta Contable]]&amp;" - "&amp;Cuenta_Clasificacion[[#This Row],[Nombre de Cuenta Contable]]</f>
        <v>4103001 - Costos Maquinarias y Equipos</v>
      </c>
      <c r="F515" s="47" t="str">
        <f>+Cuenta_Clasificacion[[#This Row],[Codigo Concepto de imputación]]&amp;" - "&amp;Cuenta_Clasificacion[[#This Row],[Nombre Concepto de imputación]]</f>
        <v>20004 - Sbctto Alarmas Contra Incendio</v>
      </c>
    </row>
    <row r="516" spans="1:6" x14ac:dyDescent="0.25">
      <c r="A516" s="43">
        <v>4103001</v>
      </c>
      <c r="B516" t="s">
        <v>223</v>
      </c>
      <c r="C516" s="43">
        <v>20005</v>
      </c>
      <c r="D516" t="s">
        <v>2789</v>
      </c>
      <c r="E516" s="47" t="str">
        <f>+Cuenta_Clasificacion[[#This Row],[Código Cuenta Contable]]&amp;" - "&amp;Cuenta_Clasificacion[[#This Row],[Nombre de Cuenta Contable]]</f>
        <v>4103001 - Costos Maquinarias y Equipos</v>
      </c>
      <c r="F516" s="47" t="str">
        <f>+Cuenta_Clasificacion[[#This Row],[Codigo Concepto de imputación]]&amp;" - "&amp;Cuenta_Clasificacion[[#This Row],[Nombre Concepto de imputación]]</f>
        <v>20005 - Sbctto Alarmas Contra Robos</v>
      </c>
    </row>
    <row r="517" spans="1:6" x14ac:dyDescent="0.25">
      <c r="A517" s="43">
        <v>4103001</v>
      </c>
      <c r="B517" t="s">
        <v>223</v>
      </c>
      <c r="C517" s="43">
        <v>20007</v>
      </c>
      <c r="D517" t="s">
        <v>2791</v>
      </c>
      <c r="E517" s="47" t="str">
        <f>+Cuenta_Clasificacion[[#This Row],[Código Cuenta Contable]]&amp;" - "&amp;Cuenta_Clasificacion[[#This Row],[Nombre de Cuenta Contable]]</f>
        <v>4103001 - Costos Maquinarias y Equipos</v>
      </c>
      <c r="F517" s="47" t="str">
        <f>+Cuenta_Clasificacion[[#This Row],[Codigo Concepto de imputación]]&amp;" - "&amp;Cuenta_Clasificacion[[#This Row],[Nombre Concepto de imputación]]</f>
        <v>20007 - Sbctto Alcantarillado Publico</v>
      </c>
    </row>
    <row r="518" spans="1:6" x14ac:dyDescent="0.25">
      <c r="A518" s="43">
        <v>4103001</v>
      </c>
      <c r="B518" t="s">
        <v>223</v>
      </c>
      <c r="C518" s="43">
        <v>20008</v>
      </c>
      <c r="D518" t="s">
        <v>2792</v>
      </c>
      <c r="E518" s="47" t="str">
        <f>+Cuenta_Clasificacion[[#This Row],[Código Cuenta Contable]]&amp;" - "&amp;Cuenta_Clasificacion[[#This Row],[Nombre de Cuenta Contable]]</f>
        <v>4103001 - Costos Maquinarias y Equipos</v>
      </c>
      <c r="F518" s="47" t="str">
        <f>+Cuenta_Clasificacion[[#This Row],[Codigo Concepto de imputación]]&amp;" - "&amp;Cuenta_Clasificacion[[#This Row],[Nombre Concepto de imputación]]</f>
        <v>20008 - Sbctto Alfombra</v>
      </c>
    </row>
    <row r="519" spans="1:6" x14ac:dyDescent="0.25">
      <c r="A519" s="43">
        <v>4103001</v>
      </c>
      <c r="B519" t="s">
        <v>223</v>
      </c>
      <c r="C519" s="43">
        <v>20009</v>
      </c>
      <c r="D519" t="s">
        <v>2793</v>
      </c>
      <c r="E519" s="47" t="str">
        <f>+Cuenta_Clasificacion[[#This Row],[Código Cuenta Contable]]&amp;" - "&amp;Cuenta_Clasificacion[[#This Row],[Nombre de Cuenta Contable]]</f>
        <v>4103001 - Costos Maquinarias y Equipos</v>
      </c>
      <c r="F519" s="47" t="str">
        <f>+Cuenta_Clasificacion[[#This Row],[Codigo Concepto de imputación]]&amp;" - "&amp;Cuenta_Clasificacion[[#This Row],[Nombre Concepto de imputación]]</f>
        <v>20009 - Sbctto Aluminios</v>
      </c>
    </row>
    <row r="520" spans="1:6" x14ac:dyDescent="0.25">
      <c r="A520" s="43">
        <v>4103001</v>
      </c>
      <c r="B520" t="s">
        <v>223</v>
      </c>
      <c r="C520" s="43">
        <v>20010</v>
      </c>
      <c r="D520" t="s">
        <v>2794</v>
      </c>
      <c r="E520" s="47" t="str">
        <f>+Cuenta_Clasificacion[[#This Row],[Código Cuenta Contable]]&amp;" - "&amp;Cuenta_Clasificacion[[#This Row],[Nombre de Cuenta Contable]]</f>
        <v>4103001 - Costos Maquinarias y Equipos</v>
      </c>
      <c r="F520" s="47" t="str">
        <f>+Cuenta_Clasificacion[[#This Row],[Codigo Concepto de imputación]]&amp;" - "&amp;Cuenta_Clasificacion[[#This Row],[Nombre Concepto de imputación]]</f>
        <v>20010 - Sbctto Ascensores</v>
      </c>
    </row>
    <row r="521" spans="1:6" x14ac:dyDescent="0.25">
      <c r="A521" s="43">
        <v>4103001</v>
      </c>
      <c r="B521" t="s">
        <v>223</v>
      </c>
      <c r="C521" s="43">
        <v>20011</v>
      </c>
      <c r="D521" t="s">
        <v>2795</v>
      </c>
      <c r="E521" s="47" t="str">
        <f>+Cuenta_Clasificacion[[#This Row],[Código Cuenta Contable]]&amp;" - "&amp;Cuenta_Clasificacion[[#This Row],[Nombre de Cuenta Contable]]</f>
        <v>4103001 - Costos Maquinarias y Equipos</v>
      </c>
      <c r="F521" s="47" t="str">
        <f>+Cuenta_Clasificacion[[#This Row],[Codigo Concepto de imputación]]&amp;" - "&amp;Cuenta_Clasificacion[[#This Row],[Nombre Concepto de imputación]]</f>
        <v>20011 - Sbctto Baldosas</v>
      </c>
    </row>
    <row r="522" spans="1:6" x14ac:dyDescent="0.25">
      <c r="A522" s="43">
        <v>4103001</v>
      </c>
      <c r="B522" t="s">
        <v>223</v>
      </c>
      <c r="C522" s="43">
        <v>20012</v>
      </c>
      <c r="D522" t="s">
        <v>2796</v>
      </c>
      <c r="E522" s="47" t="str">
        <f>+Cuenta_Clasificacion[[#This Row],[Código Cuenta Contable]]&amp;" - "&amp;Cuenta_Clasificacion[[#This Row],[Nombre de Cuenta Contable]]</f>
        <v>4103001 - Costos Maquinarias y Equipos</v>
      </c>
      <c r="F522" s="47" t="str">
        <f>+Cuenta_Clasificacion[[#This Row],[Codigo Concepto de imputación]]&amp;" - "&amp;Cuenta_Clasificacion[[#This Row],[Nombre Concepto de imputación]]</f>
        <v>20012 - Sbctto Carpintería en Madera</v>
      </c>
    </row>
    <row r="523" spans="1:6" x14ac:dyDescent="0.25">
      <c r="A523" s="43">
        <v>4103001</v>
      </c>
      <c r="B523" t="s">
        <v>223</v>
      </c>
      <c r="C523" s="43">
        <v>20013</v>
      </c>
      <c r="D523" t="s">
        <v>2797</v>
      </c>
      <c r="E523" s="47" t="str">
        <f>+Cuenta_Clasificacion[[#This Row],[Código Cuenta Contable]]&amp;" - "&amp;Cuenta_Clasificacion[[#This Row],[Nombre de Cuenta Contable]]</f>
        <v>4103001 - Costos Maquinarias y Equipos</v>
      </c>
      <c r="F523" s="47" t="str">
        <f>+Cuenta_Clasificacion[[#This Row],[Codigo Concepto de imputación]]&amp;" - "&amp;Cuenta_Clasificacion[[#This Row],[Nombre Concepto de imputación]]</f>
        <v>20013 - Sbctto Cerámica</v>
      </c>
    </row>
    <row r="524" spans="1:6" x14ac:dyDescent="0.25">
      <c r="A524" s="43">
        <v>4103001</v>
      </c>
      <c r="B524" t="s">
        <v>223</v>
      </c>
      <c r="C524" s="43">
        <v>20014</v>
      </c>
      <c r="D524" t="s">
        <v>2798</v>
      </c>
      <c r="E524" s="47" t="str">
        <f>+Cuenta_Clasificacion[[#This Row],[Código Cuenta Contable]]&amp;" - "&amp;Cuenta_Clasificacion[[#This Row],[Nombre de Cuenta Contable]]</f>
        <v>4103001 - Costos Maquinarias y Equipos</v>
      </c>
      <c r="F524" s="47" t="str">
        <f>+Cuenta_Clasificacion[[#This Row],[Codigo Concepto de imputación]]&amp;" - "&amp;Cuenta_Clasificacion[[#This Row],[Nombre Concepto de imputación]]</f>
        <v>20014 - Sbctto Cielos</v>
      </c>
    </row>
    <row r="525" spans="1:6" x14ac:dyDescent="0.25">
      <c r="A525" s="43">
        <v>4103001</v>
      </c>
      <c r="B525" t="s">
        <v>223</v>
      </c>
      <c r="C525" s="43">
        <v>20015</v>
      </c>
      <c r="D525" t="s">
        <v>2799</v>
      </c>
      <c r="E525" s="47" t="str">
        <f>+Cuenta_Clasificacion[[#This Row],[Código Cuenta Contable]]&amp;" - "&amp;Cuenta_Clasificacion[[#This Row],[Nombre de Cuenta Contable]]</f>
        <v>4103001 - Costos Maquinarias y Equipos</v>
      </c>
      <c r="F525" s="47" t="str">
        <f>+Cuenta_Clasificacion[[#This Row],[Codigo Concepto de imputación]]&amp;" - "&amp;Cuenta_Clasificacion[[#This Row],[Nombre Concepto de imputación]]</f>
        <v>20015 - Sbctto Circuito Cerrado de TV</v>
      </c>
    </row>
    <row r="526" spans="1:6" x14ac:dyDescent="0.25">
      <c r="A526" s="43">
        <v>4103001</v>
      </c>
      <c r="B526" t="s">
        <v>223</v>
      </c>
      <c r="C526" s="43">
        <v>20016</v>
      </c>
      <c r="D526" t="s">
        <v>2800</v>
      </c>
      <c r="E526" s="47" t="str">
        <f>+Cuenta_Clasificacion[[#This Row],[Código Cuenta Contable]]&amp;" - "&amp;Cuenta_Clasificacion[[#This Row],[Nombre de Cuenta Contable]]</f>
        <v>4103001 - Costos Maquinarias y Equipos</v>
      </c>
      <c r="F526" s="47" t="str">
        <f>+Cuenta_Clasificacion[[#This Row],[Codigo Concepto de imputación]]&amp;" - "&amp;Cuenta_Clasificacion[[#This Row],[Nombre Concepto de imputación]]</f>
        <v>20016 - Sbctto Control Centralizado</v>
      </c>
    </row>
    <row r="527" spans="1:6" x14ac:dyDescent="0.25">
      <c r="A527" s="43">
        <v>4103001</v>
      </c>
      <c r="B527" t="s">
        <v>223</v>
      </c>
      <c r="C527" s="43">
        <v>20017</v>
      </c>
      <c r="D527" t="s">
        <v>2801</v>
      </c>
      <c r="E527" s="47" t="str">
        <f>+Cuenta_Clasificacion[[#This Row],[Código Cuenta Contable]]&amp;" - "&amp;Cuenta_Clasificacion[[#This Row],[Nombre de Cuenta Contable]]</f>
        <v>4103001 - Costos Maquinarias y Equipos</v>
      </c>
      <c r="F527" s="47" t="str">
        <f>+Cuenta_Clasificacion[[#This Row],[Codigo Concepto de imputación]]&amp;" - "&amp;Cuenta_Clasificacion[[#This Row],[Nombre Concepto de imputación]]</f>
        <v>20017 - Sbctto Control de Accesos</v>
      </c>
    </row>
    <row r="528" spans="1:6" x14ac:dyDescent="0.25">
      <c r="A528" s="43">
        <v>4103001</v>
      </c>
      <c r="B528" t="s">
        <v>223</v>
      </c>
      <c r="C528" s="43">
        <v>20018</v>
      </c>
      <c r="D528" t="s">
        <v>2802</v>
      </c>
      <c r="E528" s="47" t="str">
        <f>+Cuenta_Clasificacion[[#This Row],[Código Cuenta Contable]]&amp;" - "&amp;Cuenta_Clasificacion[[#This Row],[Nombre de Cuenta Contable]]</f>
        <v>4103001 - Costos Maquinarias y Equipos</v>
      </c>
      <c r="F528" s="47" t="str">
        <f>+Cuenta_Clasificacion[[#This Row],[Codigo Concepto de imputación]]&amp;" - "&amp;Cuenta_Clasificacion[[#This Row],[Nombre Concepto de imputación]]</f>
        <v>20018 - Sbctto Corte de Pavimento</v>
      </c>
    </row>
    <row r="529" spans="1:6" x14ac:dyDescent="0.25">
      <c r="A529" s="43">
        <v>4103001</v>
      </c>
      <c r="B529" t="s">
        <v>223</v>
      </c>
      <c r="C529" s="43">
        <v>20019</v>
      </c>
      <c r="D529" t="s">
        <v>2803</v>
      </c>
      <c r="E529" s="47" t="str">
        <f>+Cuenta_Clasificacion[[#This Row],[Código Cuenta Contable]]&amp;" - "&amp;Cuenta_Clasificacion[[#This Row],[Nombre de Cuenta Contable]]</f>
        <v>4103001 - Costos Maquinarias y Equipos</v>
      </c>
      <c r="F529" s="47" t="str">
        <f>+Cuenta_Clasificacion[[#This Row],[Codigo Concepto de imputación]]&amp;" - "&amp;Cuenta_Clasificacion[[#This Row],[Nombre Concepto de imputación]]</f>
        <v>20019 - Sbctto Demolición</v>
      </c>
    </row>
    <row r="530" spans="1:6" x14ac:dyDescent="0.25">
      <c r="A530" s="43">
        <v>4103001</v>
      </c>
      <c r="B530" t="s">
        <v>223</v>
      </c>
      <c r="C530" s="43">
        <v>20020</v>
      </c>
      <c r="D530" t="s">
        <v>2804</v>
      </c>
      <c r="E530" s="47" t="str">
        <f>+Cuenta_Clasificacion[[#This Row],[Código Cuenta Contable]]&amp;" - "&amp;Cuenta_Clasificacion[[#This Row],[Nombre de Cuenta Contable]]</f>
        <v>4103001 - Costos Maquinarias y Equipos</v>
      </c>
      <c r="F530" s="47" t="str">
        <f>+Cuenta_Clasificacion[[#This Row],[Codigo Concepto de imputación]]&amp;" - "&amp;Cuenta_Clasificacion[[#This Row],[Nombre Concepto de imputación]]</f>
        <v>20020 - Sbctto Divisiones Exteriores</v>
      </c>
    </row>
    <row r="531" spans="1:6" x14ac:dyDescent="0.25">
      <c r="A531" s="43">
        <v>4103001</v>
      </c>
      <c r="B531" t="s">
        <v>223</v>
      </c>
      <c r="C531" s="43">
        <v>20021</v>
      </c>
      <c r="D531" t="s">
        <v>2805</v>
      </c>
      <c r="E531" s="47" t="str">
        <f>+Cuenta_Clasificacion[[#This Row],[Código Cuenta Contable]]&amp;" - "&amp;Cuenta_Clasificacion[[#This Row],[Nombre de Cuenta Contable]]</f>
        <v>4103001 - Costos Maquinarias y Equipos</v>
      </c>
      <c r="F531" s="47" t="str">
        <f>+Cuenta_Clasificacion[[#This Row],[Codigo Concepto de imputación]]&amp;" - "&amp;Cuenta_Clasificacion[[#This Row],[Nombre Concepto de imputación]]</f>
        <v>20021 - Sbctto Divisiones Interiores</v>
      </c>
    </row>
    <row r="532" spans="1:6" x14ac:dyDescent="0.25">
      <c r="A532" s="43">
        <v>4103001</v>
      </c>
      <c r="B532" t="s">
        <v>223</v>
      </c>
      <c r="C532" s="43">
        <v>20022</v>
      </c>
      <c r="D532" t="s">
        <v>2806</v>
      </c>
      <c r="E532" s="47" t="str">
        <f>+Cuenta_Clasificacion[[#This Row],[Código Cuenta Contable]]&amp;" - "&amp;Cuenta_Clasificacion[[#This Row],[Nombre de Cuenta Contable]]</f>
        <v>4103001 - Costos Maquinarias y Equipos</v>
      </c>
      <c r="F532" s="47" t="str">
        <f>+Cuenta_Clasificacion[[#This Row],[Codigo Concepto de imputación]]&amp;" - "&amp;Cuenta_Clasificacion[[#This Row],[Nombre Concepto de imputación]]</f>
        <v>20022 - Sbctto Elect. Domiciliario</v>
      </c>
    </row>
    <row r="533" spans="1:6" x14ac:dyDescent="0.25">
      <c r="A533" s="43">
        <v>4103001</v>
      </c>
      <c r="B533" t="s">
        <v>223</v>
      </c>
      <c r="C533" s="43">
        <v>20023</v>
      </c>
      <c r="D533" t="s">
        <v>2807</v>
      </c>
      <c r="E533" s="47" t="str">
        <f>+Cuenta_Clasificacion[[#This Row],[Código Cuenta Contable]]&amp;" - "&amp;Cuenta_Clasificacion[[#This Row],[Nombre de Cuenta Contable]]</f>
        <v>4103001 - Costos Maquinarias y Equipos</v>
      </c>
      <c r="F533" s="47" t="str">
        <f>+Cuenta_Clasificacion[[#This Row],[Codigo Concepto de imputación]]&amp;" - "&amp;Cuenta_Clasificacion[[#This Row],[Nombre Concepto de imputación]]</f>
        <v>20023 - Sbctto Electricidad Industrial</v>
      </c>
    </row>
    <row r="534" spans="1:6" x14ac:dyDescent="0.25">
      <c r="A534" s="43">
        <v>4103001</v>
      </c>
      <c r="B534" t="s">
        <v>223</v>
      </c>
      <c r="C534" s="43">
        <v>20024</v>
      </c>
      <c r="D534" t="s">
        <v>2808</v>
      </c>
      <c r="E534" s="47" t="str">
        <f>+Cuenta_Clasificacion[[#This Row],[Código Cuenta Contable]]&amp;" - "&amp;Cuenta_Clasificacion[[#This Row],[Nombre de Cuenta Contable]]</f>
        <v>4103001 - Costos Maquinarias y Equipos</v>
      </c>
      <c r="F534" s="47" t="str">
        <f>+Cuenta_Clasificacion[[#This Row],[Codigo Concepto de imputación]]&amp;" - "&amp;Cuenta_Clasificacion[[#This Row],[Nombre Concepto de imputación]]</f>
        <v>20024 - Sbctto Electricidad Provisoria</v>
      </c>
    </row>
    <row r="535" spans="1:6" x14ac:dyDescent="0.25">
      <c r="A535" s="43">
        <v>4103001</v>
      </c>
      <c r="B535" t="s">
        <v>223</v>
      </c>
      <c r="C535" s="43">
        <v>20025</v>
      </c>
      <c r="D535" t="s">
        <v>2809</v>
      </c>
      <c r="E535" s="47" t="str">
        <f>+Cuenta_Clasificacion[[#This Row],[Código Cuenta Contable]]&amp;" - "&amp;Cuenta_Clasificacion[[#This Row],[Nombre de Cuenta Contable]]</f>
        <v>4103001 - Costos Maquinarias y Equipos</v>
      </c>
      <c r="F535" s="47" t="str">
        <f>+Cuenta_Clasificacion[[#This Row],[Codigo Concepto de imputación]]&amp;" - "&amp;Cuenta_Clasificacion[[#This Row],[Nombre Concepto de imputación]]</f>
        <v>20025 - Sbctto Enfierradura</v>
      </c>
    </row>
    <row r="536" spans="1:6" x14ac:dyDescent="0.25">
      <c r="A536" s="43">
        <v>4103001</v>
      </c>
      <c r="B536" t="s">
        <v>223</v>
      </c>
      <c r="C536" s="43">
        <v>20026</v>
      </c>
      <c r="D536" t="s">
        <v>2810</v>
      </c>
      <c r="E536" s="47" t="str">
        <f>+Cuenta_Clasificacion[[#This Row],[Código Cuenta Contable]]&amp;" - "&amp;Cuenta_Clasificacion[[#This Row],[Nombre de Cuenta Contable]]</f>
        <v>4103001 - Costos Maquinarias y Equipos</v>
      </c>
      <c r="F536" s="47" t="str">
        <f>+Cuenta_Clasificacion[[#This Row],[Codigo Concepto de imputación]]&amp;" - "&amp;Cuenta_Clasificacion[[#This Row],[Nombre Concepto de imputación]]</f>
        <v>20026 - Sbctto Espejos</v>
      </c>
    </row>
    <row r="537" spans="1:6" x14ac:dyDescent="0.25">
      <c r="A537" s="43">
        <v>4103001</v>
      </c>
      <c r="B537" t="s">
        <v>223</v>
      </c>
      <c r="C537" s="43">
        <v>20027</v>
      </c>
      <c r="D537" t="s">
        <v>2811</v>
      </c>
      <c r="E537" s="47" t="str">
        <f>+Cuenta_Clasificacion[[#This Row],[Código Cuenta Contable]]&amp;" - "&amp;Cuenta_Clasificacion[[#This Row],[Nombre de Cuenta Contable]]</f>
        <v>4103001 - Costos Maquinarias y Equipos</v>
      </c>
      <c r="F537" s="47" t="str">
        <f>+Cuenta_Clasificacion[[#This Row],[Codigo Concepto de imputación]]&amp;" - "&amp;Cuenta_Clasificacion[[#This Row],[Nombre Concepto de imputación]]</f>
        <v>20027 - Sbctto Estructuras Metálicas</v>
      </c>
    </row>
    <row r="538" spans="1:6" x14ac:dyDescent="0.25">
      <c r="A538" s="43">
        <v>4103001</v>
      </c>
      <c r="B538" t="s">
        <v>223</v>
      </c>
      <c r="C538" s="43">
        <v>20028</v>
      </c>
      <c r="D538" t="s">
        <v>2812</v>
      </c>
      <c r="E538" s="47" t="str">
        <f>+Cuenta_Clasificacion[[#This Row],[Código Cuenta Contable]]&amp;" - "&amp;Cuenta_Clasificacion[[#This Row],[Nombre de Cuenta Contable]]</f>
        <v>4103001 - Costos Maquinarias y Equipos</v>
      </c>
      <c r="F538" s="47" t="str">
        <f>+Cuenta_Clasificacion[[#This Row],[Codigo Concepto de imputación]]&amp;" - "&amp;Cuenta_Clasificacion[[#This Row],[Nombre Concepto de imputación]]</f>
        <v>20028 - Sbctto Estuco</v>
      </c>
    </row>
    <row r="539" spans="1:6" x14ac:dyDescent="0.25">
      <c r="A539" s="43">
        <v>4103001</v>
      </c>
      <c r="B539" t="s">
        <v>223</v>
      </c>
      <c r="C539" s="43">
        <v>20029</v>
      </c>
      <c r="D539" t="s">
        <v>2813</v>
      </c>
      <c r="E539" s="47" t="str">
        <f>+Cuenta_Clasificacion[[#This Row],[Código Cuenta Contable]]&amp;" - "&amp;Cuenta_Clasificacion[[#This Row],[Nombre de Cuenta Contable]]</f>
        <v>4103001 - Costos Maquinarias y Equipos</v>
      </c>
      <c r="F539" s="47" t="str">
        <f>+Cuenta_Clasificacion[[#This Row],[Codigo Concepto de imputación]]&amp;" - "&amp;Cuenta_Clasificacion[[#This Row],[Nombre Concepto de imputación]]</f>
        <v>20029 - Sbctto Excavaciones</v>
      </c>
    </row>
    <row r="540" spans="1:6" x14ac:dyDescent="0.25">
      <c r="A540" s="43">
        <v>4103001</v>
      </c>
      <c r="B540" t="s">
        <v>223</v>
      </c>
      <c r="C540" s="43">
        <v>20030</v>
      </c>
      <c r="D540" t="s">
        <v>2814</v>
      </c>
      <c r="E540" s="47" t="str">
        <f>+Cuenta_Clasificacion[[#This Row],[Código Cuenta Contable]]&amp;" - "&amp;Cuenta_Clasificacion[[#This Row],[Nombre de Cuenta Contable]]</f>
        <v>4103001 - Costos Maquinarias y Equipos</v>
      </c>
      <c r="F540" s="47" t="str">
        <f>+Cuenta_Clasificacion[[#This Row],[Codigo Concepto de imputación]]&amp;" - "&amp;Cuenta_Clasificacion[[#This Row],[Nombre Concepto de imputación]]</f>
        <v>20030 - Sbctto Extracción de Escombros</v>
      </c>
    </row>
    <row r="541" spans="1:6" x14ac:dyDescent="0.25">
      <c r="A541" s="43">
        <v>4103001</v>
      </c>
      <c r="B541" t="s">
        <v>223</v>
      </c>
      <c r="C541" s="43">
        <v>20031</v>
      </c>
      <c r="D541" t="s">
        <v>2815</v>
      </c>
      <c r="E541" s="47" t="str">
        <f>+Cuenta_Clasificacion[[#This Row],[Código Cuenta Contable]]&amp;" - "&amp;Cuenta_Clasificacion[[#This Row],[Nombre de Cuenta Contable]]</f>
        <v>4103001 - Costos Maquinarias y Equipos</v>
      </c>
      <c r="F541" s="47" t="str">
        <f>+Cuenta_Clasificacion[[#This Row],[Codigo Concepto de imputación]]&amp;" - "&amp;Cuenta_Clasificacion[[#This Row],[Nombre Concepto de imputación]]</f>
        <v>20031 - Sbctto Gas</v>
      </c>
    </row>
    <row r="542" spans="1:6" x14ac:dyDescent="0.25">
      <c r="A542" s="43">
        <v>4103001</v>
      </c>
      <c r="B542" t="s">
        <v>223</v>
      </c>
      <c r="C542" s="43">
        <v>20032</v>
      </c>
      <c r="D542" t="s">
        <v>2816</v>
      </c>
      <c r="E542" s="47" t="str">
        <f>+Cuenta_Clasificacion[[#This Row],[Código Cuenta Contable]]&amp;" - "&amp;Cuenta_Clasificacion[[#This Row],[Nombre de Cuenta Contable]]</f>
        <v>4103001 - Costos Maquinarias y Equipos</v>
      </c>
      <c r="F542" s="47" t="str">
        <f>+Cuenta_Clasificacion[[#This Row],[Codigo Concepto de imputación]]&amp;" - "&amp;Cuenta_Clasificacion[[#This Row],[Nombre Concepto de imputación]]</f>
        <v>20032 - Sbctto Hojalatería</v>
      </c>
    </row>
    <row r="543" spans="1:6" x14ac:dyDescent="0.25">
      <c r="A543" s="43">
        <v>4103001</v>
      </c>
      <c r="B543" t="s">
        <v>223</v>
      </c>
      <c r="C543" s="43">
        <v>20033</v>
      </c>
      <c r="D543" t="s">
        <v>2817</v>
      </c>
      <c r="E543" s="47" t="str">
        <f>+Cuenta_Clasificacion[[#This Row],[Código Cuenta Contable]]&amp;" - "&amp;Cuenta_Clasificacion[[#This Row],[Nombre de Cuenta Contable]]</f>
        <v>4103001 - Costos Maquinarias y Equipos</v>
      </c>
      <c r="F543" s="47" t="str">
        <f>+Cuenta_Clasificacion[[#This Row],[Codigo Concepto de imputación]]&amp;" - "&amp;Cuenta_Clasificacion[[#This Row],[Nombre Concepto de imputación]]</f>
        <v>20033 - Sbctto Hormigón Celular</v>
      </c>
    </row>
    <row r="544" spans="1:6" x14ac:dyDescent="0.25">
      <c r="A544" s="43">
        <v>4103001</v>
      </c>
      <c r="B544" t="s">
        <v>223</v>
      </c>
      <c r="C544" s="43">
        <v>20034</v>
      </c>
      <c r="D544" t="s">
        <v>2818</v>
      </c>
      <c r="E544" s="47" t="str">
        <f>+Cuenta_Clasificacion[[#This Row],[Código Cuenta Contable]]&amp;" - "&amp;Cuenta_Clasificacion[[#This Row],[Nombre de Cuenta Contable]]</f>
        <v>4103001 - Costos Maquinarias y Equipos</v>
      </c>
      <c r="F544" s="47" t="str">
        <f>+Cuenta_Clasificacion[[#This Row],[Codigo Concepto de imputación]]&amp;" - "&amp;Cuenta_Clasificacion[[#This Row],[Nombre Concepto de imputación]]</f>
        <v>20034 - Sbctto Hormigón Premezclado</v>
      </c>
    </row>
    <row r="545" spans="1:6" x14ac:dyDescent="0.25">
      <c r="A545" s="43">
        <v>4103001</v>
      </c>
      <c r="B545" t="s">
        <v>223</v>
      </c>
      <c r="C545" s="43">
        <v>20035</v>
      </c>
      <c r="D545" t="s">
        <v>2819</v>
      </c>
      <c r="E545" s="47" t="str">
        <f>+Cuenta_Clasificacion[[#This Row],[Código Cuenta Contable]]&amp;" - "&amp;Cuenta_Clasificacion[[#This Row],[Nombre de Cuenta Contable]]</f>
        <v>4103001 - Costos Maquinarias y Equipos</v>
      </c>
      <c r="F545" s="47" t="str">
        <f>+Cuenta_Clasificacion[[#This Row],[Codigo Concepto de imputación]]&amp;" - "&amp;Cuenta_Clasificacion[[#This Row],[Nombre Concepto de imputación]]</f>
        <v>20035 - Sbctto Impermeabilizaciones</v>
      </c>
    </row>
    <row r="546" spans="1:6" x14ac:dyDescent="0.25">
      <c r="A546" s="43">
        <v>4103001</v>
      </c>
      <c r="B546" t="s">
        <v>223</v>
      </c>
      <c r="C546" s="43">
        <v>20036</v>
      </c>
      <c r="D546" t="s">
        <v>2820</v>
      </c>
      <c r="E546" s="47" t="str">
        <f>+Cuenta_Clasificacion[[#This Row],[Código Cuenta Contable]]&amp;" - "&amp;Cuenta_Clasificacion[[#This Row],[Nombre de Cuenta Contable]]</f>
        <v>4103001 - Costos Maquinarias y Equipos</v>
      </c>
      <c r="F546" s="47" t="str">
        <f>+Cuenta_Clasificacion[[#This Row],[Codigo Concepto de imputación]]&amp;" - "&amp;Cuenta_Clasificacion[[#This Row],[Nombre Concepto de imputación]]</f>
        <v>20036 - Sbctto Incendio Red Húmeda</v>
      </c>
    </row>
    <row r="547" spans="1:6" x14ac:dyDescent="0.25">
      <c r="A547" s="43">
        <v>4103001</v>
      </c>
      <c r="B547" t="s">
        <v>223</v>
      </c>
      <c r="C547" s="43">
        <v>20037</v>
      </c>
      <c r="D547" t="s">
        <v>2821</v>
      </c>
      <c r="E547" s="47" t="str">
        <f>+Cuenta_Clasificacion[[#This Row],[Código Cuenta Contable]]&amp;" - "&amp;Cuenta_Clasificacion[[#This Row],[Nombre de Cuenta Contable]]</f>
        <v>4103001 - Costos Maquinarias y Equipos</v>
      </c>
      <c r="F547" s="47" t="str">
        <f>+Cuenta_Clasificacion[[#This Row],[Codigo Concepto de imputación]]&amp;" - "&amp;Cuenta_Clasificacion[[#This Row],[Nombre Concepto de imputación]]</f>
        <v>20037 - Sbctto Incendio Red Seca</v>
      </c>
    </row>
    <row r="548" spans="1:6" x14ac:dyDescent="0.25">
      <c r="A548" s="43">
        <v>4103001</v>
      </c>
      <c r="B548" t="s">
        <v>223</v>
      </c>
      <c r="C548" s="43">
        <v>20038</v>
      </c>
      <c r="D548" t="s">
        <v>2822</v>
      </c>
      <c r="E548" s="47" t="str">
        <f>+Cuenta_Clasificacion[[#This Row],[Código Cuenta Contable]]&amp;" - "&amp;Cuenta_Clasificacion[[#This Row],[Nombre de Cuenta Contable]]</f>
        <v>4103001 - Costos Maquinarias y Equipos</v>
      </c>
      <c r="F548" s="47" t="str">
        <f>+Cuenta_Clasificacion[[#This Row],[Codigo Concepto de imputación]]&amp;" - "&amp;Cuenta_Clasificacion[[#This Row],[Nombre Concepto de imputación]]</f>
        <v>20038 - Sbctto Inst. Cornisas</v>
      </c>
    </row>
    <row r="549" spans="1:6" x14ac:dyDescent="0.25">
      <c r="A549" s="43">
        <v>4103001</v>
      </c>
      <c r="B549" t="s">
        <v>223</v>
      </c>
      <c r="C549" s="43">
        <v>20039</v>
      </c>
      <c r="D549" t="s">
        <v>2823</v>
      </c>
      <c r="E549" s="47" t="str">
        <f>+Cuenta_Clasificacion[[#This Row],[Código Cuenta Contable]]&amp;" - "&amp;Cuenta_Clasificacion[[#This Row],[Nombre de Cuenta Contable]]</f>
        <v>4103001 - Costos Maquinarias y Equipos</v>
      </c>
      <c r="F549" s="47" t="str">
        <f>+Cuenta_Clasificacion[[#This Row],[Codigo Concepto de imputación]]&amp;" - "&amp;Cuenta_Clasificacion[[#This Row],[Nombre Concepto de imputación]]</f>
        <v>20039 - Sbctto Inst. Papel Mural</v>
      </c>
    </row>
    <row r="550" spans="1:6" x14ac:dyDescent="0.25">
      <c r="A550" s="43">
        <v>4103001</v>
      </c>
      <c r="B550" t="s">
        <v>223</v>
      </c>
      <c r="C550" s="43">
        <v>20040</v>
      </c>
      <c r="D550" t="s">
        <v>2824</v>
      </c>
      <c r="E550" s="47" t="str">
        <f>+Cuenta_Clasificacion[[#This Row],[Código Cuenta Contable]]&amp;" - "&amp;Cuenta_Clasificacion[[#This Row],[Nombre de Cuenta Contable]]</f>
        <v>4103001 - Costos Maquinarias y Equipos</v>
      </c>
      <c r="F550" s="47" t="str">
        <f>+Cuenta_Clasificacion[[#This Row],[Codigo Concepto de imputación]]&amp;" - "&amp;Cuenta_Clasificacion[[#This Row],[Nombre Concepto de imputación]]</f>
        <v>20040 - Sbctto Inst. Piso Deck</v>
      </c>
    </row>
    <row r="551" spans="1:6" x14ac:dyDescent="0.25">
      <c r="A551" s="43">
        <v>4103001</v>
      </c>
      <c r="B551" t="s">
        <v>223</v>
      </c>
      <c r="C551" s="43">
        <v>20041</v>
      </c>
      <c r="D551" t="s">
        <v>2825</v>
      </c>
      <c r="E551" s="47" t="str">
        <f>+Cuenta_Clasificacion[[#This Row],[Código Cuenta Contable]]&amp;" - "&amp;Cuenta_Clasificacion[[#This Row],[Nombre de Cuenta Contable]]</f>
        <v>4103001 - Costos Maquinarias y Equipos</v>
      </c>
      <c r="F551" s="47" t="str">
        <f>+Cuenta_Clasificacion[[#This Row],[Codigo Concepto de imputación]]&amp;" - "&amp;Cuenta_Clasificacion[[#This Row],[Nombre Concepto de imputación]]</f>
        <v>20041 - Sbctto Jardines</v>
      </c>
    </row>
    <row r="552" spans="1:6" x14ac:dyDescent="0.25">
      <c r="A552" s="43">
        <v>4103001</v>
      </c>
      <c r="B552" t="s">
        <v>223</v>
      </c>
      <c r="C552" s="43">
        <v>20042</v>
      </c>
      <c r="D552" t="s">
        <v>2826</v>
      </c>
      <c r="E552" s="47" t="str">
        <f>+Cuenta_Clasificacion[[#This Row],[Código Cuenta Contable]]&amp;" - "&amp;Cuenta_Clasificacion[[#This Row],[Nombre de Cuenta Contable]]</f>
        <v>4103001 - Costos Maquinarias y Equipos</v>
      </c>
      <c r="F552" s="47" t="str">
        <f>+Cuenta_Clasificacion[[#This Row],[Codigo Concepto de imputación]]&amp;" - "&amp;Cuenta_Clasificacion[[#This Row],[Nombre Concepto de imputación]]</f>
        <v>20042 - Sbctto Junturas de Tabiques</v>
      </c>
    </row>
    <row r="553" spans="1:6" x14ac:dyDescent="0.25">
      <c r="A553" s="43">
        <v>4103001</v>
      </c>
      <c r="B553" t="s">
        <v>223</v>
      </c>
      <c r="C553" s="43">
        <v>20043</v>
      </c>
      <c r="D553" t="s">
        <v>2827</v>
      </c>
      <c r="E553" s="47" t="str">
        <f>+Cuenta_Clasificacion[[#This Row],[Código Cuenta Contable]]&amp;" - "&amp;Cuenta_Clasificacion[[#This Row],[Nombre de Cuenta Contable]]</f>
        <v>4103001 - Costos Maquinarias y Equipos</v>
      </c>
      <c r="F553" s="47" t="str">
        <f>+Cuenta_Clasificacion[[#This Row],[Codigo Concepto de imputación]]&amp;" - "&amp;Cuenta_Clasificacion[[#This Row],[Nombre Concepto de imputación]]</f>
        <v>20043 - Sbctto Lab. de Hormigones</v>
      </c>
    </row>
    <row r="554" spans="1:6" x14ac:dyDescent="0.25">
      <c r="A554" s="43">
        <v>4103001</v>
      </c>
      <c r="B554" t="s">
        <v>223</v>
      </c>
      <c r="C554" s="43">
        <v>20044</v>
      </c>
      <c r="D554" t="s">
        <v>2828</v>
      </c>
      <c r="E554" s="47" t="str">
        <f>+Cuenta_Clasificacion[[#This Row],[Código Cuenta Contable]]&amp;" - "&amp;Cuenta_Clasificacion[[#This Row],[Nombre de Cuenta Contable]]</f>
        <v>4103001 - Costos Maquinarias y Equipos</v>
      </c>
      <c r="F554" s="47" t="str">
        <f>+Cuenta_Clasificacion[[#This Row],[Codigo Concepto de imputación]]&amp;" - "&amp;Cuenta_Clasificacion[[#This Row],[Nombre Concepto de imputación]]</f>
        <v>20044 - Sbctto Mármol</v>
      </c>
    </row>
    <row r="555" spans="1:6" x14ac:dyDescent="0.25">
      <c r="A555" s="43">
        <v>4103001</v>
      </c>
      <c r="B555" t="s">
        <v>223</v>
      </c>
      <c r="C555" s="43">
        <v>20045</v>
      </c>
      <c r="D555" t="s">
        <v>2829</v>
      </c>
      <c r="E555" s="47" t="str">
        <f>+Cuenta_Clasificacion[[#This Row],[Código Cuenta Contable]]&amp;" - "&amp;Cuenta_Clasificacion[[#This Row],[Nombre de Cuenta Contable]]</f>
        <v>4103001 - Costos Maquinarias y Equipos</v>
      </c>
      <c r="F555" s="47" t="str">
        <f>+Cuenta_Clasificacion[[#This Row],[Codigo Concepto de imputación]]&amp;" - "&amp;Cuenta_Clasificacion[[#This Row],[Nombre Concepto de imputación]]</f>
        <v>20045 - Sbctto Molduras</v>
      </c>
    </row>
    <row r="556" spans="1:6" x14ac:dyDescent="0.25">
      <c r="A556" s="43">
        <v>4103001</v>
      </c>
      <c r="B556" t="s">
        <v>223</v>
      </c>
      <c r="C556" s="43">
        <v>20046</v>
      </c>
      <c r="D556" t="s">
        <v>2830</v>
      </c>
      <c r="E556" s="47" t="str">
        <f>+Cuenta_Clasificacion[[#This Row],[Código Cuenta Contable]]&amp;" - "&amp;Cuenta_Clasificacion[[#This Row],[Nombre de Cuenta Contable]]</f>
        <v>4103001 - Costos Maquinarias y Equipos</v>
      </c>
      <c r="F556" s="47" t="str">
        <f>+Cuenta_Clasificacion[[#This Row],[Codigo Concepto de imputación]]&amp;" - "&amp;Cuenta_Clasificacion[[#This Row],[Nombre Concepto de imputación]]</f>
        <v>20046 - Sbctto Montaje de Equipos</v>
      </c>
    </row>
    <row r="557" spans="1:6" x14ac:dyDescent="0.25">
      <c r="A557" s="43">
        <v>4103001</v>
      </c>
      <c r="B557" t="s">
        <v>223</v>
      </c>
      <c r="C557" s="43">
        <v>20047</v>
      </c>
      <c r="D557" t="s">
        <v>2831</v>
      </c>
      <c r="E557" s="47" t="str">
        <f>+Cuenta_Clasificacion[[#This Row],[Código Cuenta Contable]]&amp;" - "&amp;Cuenta_Clasificacion[[#This Row],[Nombre de Cuenta Contable]]</f>
        <v>4103001 - Costos Maquinarias y Equipos</v>
      </c>
      <c r="F557" s="47" t="str">
        <f>+Cuenta_Clasificacion[[#This Row],[Codigo Concepto de imputación]]&amp;" - "&amp;Cuenta_Clasificacion[[#This Row],[Nombre Concepto de imputación]]</f>
        <v>20047 - Sbctto Muebles de Baño</v>
      </c>
    </row>
    <row r="558" spans="1:6" x14ac:dyDescent="0.25">
      <c r="A558" s="43">
        <v>4103001</v>
      </c>
      <c r="B558" t="s">
        <v>223</v>
      </c>
      <c r="C558" s="43">
        <v>20048</v>
      </c>
      <c r="D558" t="s">
        <v>2832</v>
      </c>
      <c r="E558" s="47" t="str">
        <f>+Cuenta_Clasificacion[[#This Row],[Código Cuenta Contable]]&amp;" - "&amp;Cuenta_Clasificacion[[#This Row],[Nombre de Cuenta Contable]]</f>
        <v>4103001 - Costos Maquinarias y Equipos</v>
      </c>
      <c r="F558" s="47" t="str">
        <f>+Cuenta_Clasificacion[[#This Row],[Codigo Concepto de imputación]]&amp;" - "&amp;Cuenta_Clasificacion[[#This Row],[Nombre Concepto de imputación]]</f>
        <v>20048 - Sbctto Muebles de Closet</v>
      </c>
    </row>
    <row r="559" spans="1:6" x14ac:dyDescent="0.25">
      <c r="A559" s="43">
        <v>4103001</v>
      </c>
      <c r="B559" t="s">
        <v>223</v>
      </c>
      <c r="C559" s="43">
        <v>20049</v>
      </c>
      <c r="D559" t="s">
        <v>2833</v>
      </c>
      <c r="E559" s="47" t="str">
        <f>+Cuenta_Clasificacion[[#This Row],[Código Cuenta Contable]]&amp;" - "&amp;Cuenta_Clasificacion[[#This Row],[Nombre de Cuenta Contable]]</f>
        <v>4103001 - Costos Maquinarias y Equipos</v>
      </c>
      <c r="F559" s="47" t="str">
        <f>+Cuenta_Clasificacion[[#This Row],[Codigo Concepto de imputación]]&amp;" - "&amp;Cuenta_Clasificacion[[#This Row],[Nombre Concepto de imputación]]</f>
        <v>20049 - Sbctto Muebles de Cocina</v>
      </c>
    </row>
    <row r="560" spans="1:6" x14ac:dyDescent="0.25">
      <c r="A560" s="43">
        <v>4103001</v>
      </c>
      <c r="B560" t="s">
        <v>223</v>
      </c>
      <c r="C560" s="43">
        <v>20050</v>
      </c>
      <c r="D560" t="s">
        <v>2834</v>
      </c>
      <c r="E560" s="47" t="str">
        <f>+Cuenta_Clasificacion[[#This Row],[Código Cuenta Contable]]&amp;" - "&amp;Cuenta_Clasificacion[[#This Row],[Nombre de Cuenta Contable]]</f>
        <v>4103001 - Costos Maquinarias y Equipos</v>
      </c>
      <c r="F560" s="47" t="str">
        <f>+Cuenta_Clasificacion[[#This Row],[Codigo Concepto de imputación]]&amp;" - "&amp;Cuenta_Clasificacion[[#This Row],[Nombre Concepto de imputación]]</f>
        <v>20050 - Sbctto Muebles de Oficina</v>
      </c>
    </row>
    <row r="561" spans="1:6" x14ac:dyDescent="0.25">
      <c r="A561" s="43">
        <v>4103001</v>
      </c>
      <c r="B561" t="s">
        <v>223</v>
      </c>
      <c r="C561" s="43">
        <v>20051</v>
      </c>
      <c r="D561" t="s">
        <v>2835</v>
      </c>
      <c r="E561" s="47" t="str">
        <f>+Cuenta_Clasificacion[[#This Row],[Código Cuenta Contable]]&amp;" - "&amp;Cuenta_Clasificacion[[#This Row],[Nombre de Cuenta Contable]]</f>
        <v>4103001 - Costos Maquinarias y Equipos</v>
      </c>
      <c r="F561" s="47" t="str">
        <f>+Cuenta_Clasificacion[[#This Row],[Codigo Concepto de imputación]]&amp;" - "&amp;Cuenta_Clasificacion[[#This Row],[Nombre Concepto de imputación]]</f>
        <v>20051 - Sbctto Otros Ensayos</v>
      </c>
    </row>
    <row r="562" spans="1:6" x14ac:dyDescent="0.25">
      <c r="A562" s="43">
        <v>4103001</v>
      </c>
      <c r="B562" t="s">
        <v>223</v>
      </c>
      <c r="C562" s="43">
        <v>20052</v>
      </c>
      <c r="D562" t="s">
        <v>2836</v>
      </c>
      <c r="E562" s="47" t="str">
        <f>+Cuenta_Clasificacion[[#This Row],[Código Cuenta Contable]]&amp;" - "&amp;Cuenta_Clasificacion[[#This Row],[Nombre de Cuenta Contable]]</f>
        <v>4103001 - Costos Maquinarias y Equipos</v>
      </c>
      <c r="F562" s="47" t="str">
        <f>+Cuenta_Clasificacion[[#This Row],[Codigo Concepto de imputación]]&amp;" - "&amp;Cuenta_Clasificacion[[#This Row],[Nombre Concepto de imputación]]</f>
        <v>20052 - Sbctto Otros Muebles</v>
      </c>
    </row>
    <row r="563" spans="1:6" x14ac:dyDescent="0.25">
      <c r="A563" s="43">
        <v>4103001</v>
      </c>
      <c r="B563" t="s">
        <v>223</v>
      </c>
      <c r="C563" s="43">
        <v>20053</v>
      </c>
      <c r="D563" t="s">
        <v>2837</v>
      </c>
      <c r="E563" s="47" t="str">
        <f>+Cuenta_Clasificacion[[#This Row],[Código Cuenta Contable]]&amp;" - "&amp;Cuenta_Clasificacion[[#This Row],[Nombre de Cuenta Contable]]</f>
        <v>4103001 - Costos Maquinarias y Equipos</v>
      </c>
      <c r="F563" s="47" t="str">
        <f>+Cuenta_Clasificacion[[#This Row],[Codigo Concepto de imputación]]&amp;" - "&amp;Cuenta_Clasificacion[[#This Row],[Nombre Concepto de imputación]]</f>
        <v>20053 - Sbctto Otros Pisos</v>
      </c>
    </row>
    <row r="564" spans="1:6" x14ac:dyDescent="0.25">
      <c r="A564" s="43">
        <v>4103001</v>
      </c>
      <c r="B564" t="s">
        <v>223</v>
      </c>
      <c r="C564" s="43">
        <v>20054</v>
      </c>
      <c r="D564" t="s">
        <v>2838</v>
      </c>
      <c r="E564" s="47" t="str">
        <f>+Cuenta_Clasificacion[[#This Row],[Código Cuenta Contable]]&amp;" - "&amp;Cuenta_Clasificacion[[#This Row],[Nombre de Cuenta Contable]]</f>
        <v>4103001 - Costos Maquinarias y Equipos</v>
      </c>
      <c r="F564" s="47" t="str">
        <f>+Cuenta_Clasificacion[[#This Row],[Codigo Concepto de imputación]]&amp;" - "&amp;Cuenta_Clasificacion[[#This Row],[Nombre Concepto de imputación]]</f>
        <v>20054 - Sbctto Papel Mural</v>
      </c>
    </row>
    <row r="565" spans="1:6" x14ac:dyDescent="0.25">
      <c r="A565" s="43">
        <v>4103001</v>
      </c>
      <c r="B565" t="s">
        <v>223</v>
      </c>
      <c r="C565" s="43">
        <v>20055</v>
      </c>
      <c r="D565" t="s">
        <v>2839</v>
      </c>
      <c r="E565" s="47" t="str">
        <f>+Cuenta_Clasificacion[[#This Row],[Código Cuenta Contable]]&amp;" - "&amp;Cuenta_Clasificacion[[#This Row],[Nombre de Cuenta Contable]]</f>
        <v>4103001 - Costos Maquinarias y Equipos</v>
      </c>
      <c r="F565" s="47" t="str">
        <f>+Cuenta_Clasificacion[[#This Row],[Codigo Concepto de imputación]]&amp;" - "&amp;Cuenta_Clasificacion[[#This Row],[Nombre Concepto de imputación]]</f>
        <v>20055 - Sbctto Pavimentos</v>
      </c>
    </row>
    <row r="566" spans="1:6" x14ac:dyDescent="0.25">
      <c r="A566" s="43">
        <v>4103001</v>
      </c>
      <c r="B566" t="s">
        <v>223</v>
      </c>
      <c r="C566" s="43">
        <v>20056</v>
      </c>
      <c r="D566" t="s">
        <v>2840</v>
      </c>
      <c r="E566" s="47" t="str">
        <f>+Cuenta_Clasificacion[[#This Row],[Código Cuenta Contable]]&amp;" - "&amp;Cuenta_Clasificacion[[#This Row],[Nombre de Cuenta Contable]]</f>
        <v>4103001 - Costos Maquinarias y Equipos</v>
      </c>
      <c r="F566" s="47" t="str">
        <f>+Cuenta_Clasificacion[[#This Row],[Codigo Concepto de imputación]]&amp;" - "&amp;Cuenta_Clasificacion[[#This Row],[Nombre Concepto de imputación]]</f>
        <v>20056 - Sbctto Perforación de Hormigón</v>
      </c>
    </row>
    <row r="567" spans="1:6" x14ac:dyDescent="0.25">
      <c r="A567" s="43">
        <v>4103001</v>
      </c>
      <c r="B567" t="s">
        <v>223</v>
      </c>
      <c r="C567" s="43">
        <v>20057</v>
      </c>
      <c r="D567" t="s">
        <v>2841</v>
      </c>
      <c r="E567" s="47" t="str">
        <f>+Cuenta_Clasificacion[[#This Row],[Código Cuenta Contable]]&amp;" - "&amp;Cuenta_Clasificacion[[#This Row],[Nombre de Cuenta Contable]]</f>
        <v>4103001 - Costos Maquinarias y Equipos</v>
      </c>
      <c r="F567" s="47" t="str">
        <f>+Cuenta_Clasificacion[[#This Row],[Codigo Concepto de imputación]]&amp;" - "&amp;Cuenta_Clasificacion[[#This Row],[Nombre Concepto de imputación]]</f>
        <v>20057 - Sbctto Pilas</v>
      </c>
    </row>
    <row r="568" spans="1:6" x14ac:dyDescent="0.25">
      <c r="A568" s="43">
        <v>4103001</v>
      </c>
      <c r="B568" t="s">
        <v>223</v>
      </c>
      <c r="C568" s="43">
        <v>20058</v>
      </c>
      <c r="D568" t="s">
        <v>2842</v>
      </c>
      <c r="E568" s="47" t="str">
        <f>+Cuenta_Clasificacion[[#This Row],[Código Cuenta Contable]]&amp;" - "&amp;Cuenta_Clasificacion[[#This Row],[Nombre de Cuenta Contable]]</f>
        <v>4103001 - Costos Maquinarias y Equipos</v>
      </c>
      <c r="F568" s="47" t="str">
        <f>+Cuenta_Clasificacion[[#This Row],[Codigo Concepto de imputación]]&amp;" - "&amp;Cuenta_Clasificacion[[#This Row],[Nombre Concepto de imputación]]</f>
        <v>20058 - Sbctto Pinturas</v>
      </c>
    </row>
    <row r="569" spans="1:6" x14ac:dyDescent="0.25">
      <c r="A569" s="43">
        <v>4103001</v>
      </c>
      <c r="B569" t="s">
        <v>223</v>
      </c>
      <c r="C569" s="43">
        <v>20059</v>
      </c>
      <c r="D569" t="s">
        <v>2843</v>
      </c>
      <c r="E569" s="47" t="str">
        <f>+Cuenta_Clasificacion[[#This Row],[Código Cuenta Contable]]&amp;" - "&amp;Cuenta_Clasificacion[[#This Row],[Nombre de Cuenta Contable]]</f>
        <v>4103001 - Costos Maquinarias y Equipos</v>
      </c>
      <c r="F569" s="47" t="str">
        <f>+Cuenta_Clasificacion[[#This Row],[Codigo Concepto de imputación]]&amp;" - "&amp;Cuenta_Clasificacion[[#This Row],[Nombre Concepto de imputación]]</f>
        <v>20059 - Sbctto Piso Flotante</v>
      </c>
    </row>
    <row r="570" spans="1:6" x14ac:dyDescent="0.25">
      <c r="A570" s="43">
        <v>4103001</v>
      </c>
      <c r="B570" t="s">
        <v>223</v>
      </c>
      <c r="C570" s="43">
        <v>20060</v>
      </c>
      <c r="D570" t="s">
        <v>2844</v>
      </c>
      <c r="E570" s="47" t="str">
        <f>+Cuenta_Clasificacion[[#This Row],[Código Cuenta Contable]]&amp;" - "&amp;Cuenta_Clasificacion[[#This Row],[Nombre de Cuenta Contable]]</f>
        <v>4103001 - Costos Maquinarias y Equipos</v>
      </c>
      <c r="F570" s="47" t="str">
        <f>+Cuenta_Clasificacion[[#This Row],[Codigo Concepto de imputación]]&amp;" - "&amp;Cuenta_Clasificacion[[#This Row],[Nombre Concepto de imputación]]</f>
        <v>20060 - Sbctto Plásticos</v>
      </c>
    </row>
    <row r="571" spans="1:6" x14ac:dyDescent="0.25">
      <c r="A571" s="43">
        <v>4103001</v>
      </c>
      <c r="B571" t="s">
        <v>223</v>
      </c>
      <c r="C571" s="43">
        <v>20061</v>
      </c>
      <c r="D571" t="s">
        <v>2845</v>
      </c>
      <c r="E571" s="47" t="str">
        <f>+Cuenta_Clasificacion[[#This Row],[Código Cuenta Contable]]&amp;" - "&amp;Cuenta_Clasificacion[[#This Row],[Nombre de Cuenta Contable]]</f>
        <v>4103001 - Costos Maquinarias y Equipos</v>
      </c>
      <c r="F571" s="47" t="str">
        <f>+Cuenta_Clasificacion[[#This Row],[Codigo Concepto de imputación]]&amp;" - "&amp;Cuenta_Clasificacion[[#This Row],[Nombre Concepto de imputación]]</f>
        <v>20061 - Sbctto Preparación de Muros</v>
      </c>
    </row>
    <row r="572" spans="1:6" x14ac:dyDescent="0.25">
      <c r="A572" s="43">
        <v>4103001</v>
      </c>
      <c r="B572" t="s">
        <v>223</v>
      </c>
      <c r="C572" s="43">
        <v>20062</v>
      </c>
      <c r="D572" t="s">
        <v>2846</v>
      </c>
      <c r="E572" s="47" t="str">
        <f>+Cuenta_Clasificacion[[#This Row],[Código Cuenta Contable]]&amp;" - "&amp;Cuenta_Clasificacion[[#This Row],[Nombre de Cuenta Contable]]</f>
        <v>4103001 - Costos Maquinarias y Equipos</v>
      </c>
      <c r="F572" s="47" t="str">
        <f>+Cuenta_Clasificacion[[#This Row],[Codigo Concepto de imputación]]&amp;" - "&amp;Cuenta_Clasificacion[[#This Row],[Nombre Concepto de imputación]]</f>
        <v>20062 - Sbctto Presurización</v>
      </c>
    </row>
    <row r="573" spans="1:6" x14ac:dyDescent="0.25">
      <c r="A573" s="43">
        <v>4103001</v>
      </c>
      <c r="B573" t="s">
        <v>223</v>
      </c>
      <c r="C573" s="43">
        <v>20063</v>
      </c>
      <c r="D573" t="s">
        <v>2847</v>
      </c>
      <c r="E573" s="47" t="str">
        <f>+Cuenta_Clasificacion[[#This Row],[Código Cuenta Contable]]&amp;" - "&amp;Cuenta_Clasificacion[[#This Row],[Nombre de Cuenta Contable]]</f>
        <v>4103001 - Costos Maquinarias y Equipos</v>
      </c>
      <c r="F573" s="47" t="str">
        <f>+Cuenta_Clasificacion[[#This Row],[Codigo Concepto de imputación]]&amp;" - "&amp;Cuenta_Clasificacion[[#This Row],[Nombre Concepto de imputación]]</f>
        <v>20063 - Sbctto Puertas</v>
      </c>
    </row>
    <row r="574" spans="1:6" x14ac:dyDescent="0.25">
      <c r="A574" s="43">
        <v>4103001</v>
      </c>
      <c r="B574" t="s">
        <v>223</v>
      </c>
      <c r="C574" s="43">
        <v>20064</v>
      </c>
      <c r="D574" t="s">
        <v>2848</v>
      </c>
      <c r="E574" s="47" t="str">
        <f>+Cuenta_Clasificacion[[#This Row],[Código Cuenta Contable]]&amp;" - "&amp;Cuenta_Clasificacion[[#This Row],[Nombre de Cuenta Contable]]</f>
        <v>4103001 - Costos Maquinarias y Equipos</v>
      </c>
      <c r="F574" s="47" t="str">
        <f>+Cuenta_Clasificacion[[#This Row],[Codigo Concepto de imputación]]&amp;" - "&amp;Cuenta_Clasificacion[[#This Row],[Nombre Concepto de imputación]]</f>
        <v>20064 - Sbctto Pulido de Pisos</v>
      </c>
    </row>
    <row r="575" spans="1:6" x14ac:dyDescent="0.25">
      <c r="A575" s="43">
        <v>4103001</v>
      </c>
      <c r="B575" t="s">
        <v>223</v>
      </c>
      <c r="C575" s="43">
        <v>20065</v>
      </c>
      <c r="D575" t="s">
        <v>2849</v>
      </c>
      <c r="E575" s="47" t="str">
        <f>+Cuenta_Clasificacion[[#This Row],[Código Cuenta Contable]]&amp;" - "&amp;Cuenta_Clasificacion[[#This Row],[Nombre de Cuenta Contable]]</f>
        <v>4103001 - Costos Maquinarias y Equipos</v>
      </c>
      <c r="F575" s="47" t="str">
        <f>+Cuenta_Clasificacion[[#This Row],[Codigo Concepto de imputación]]&amp;" - "&amp;Cuenta_Clasificacion[[#This Row],[Nombre Concepto de imputación]]</f>
        <v>20065 - Sbctto Quincallería</v>
      </c>
    </row>
    <row r="576" spans="1:6" x14ac:dyDescent="0.25">
      <c r="A576" s="43">
        <v>4103001</v>
      </c>
      <c r="B576" t="s">
        <v>223</v>
      </c>
      <c r="C576" s="43">
        <v>20066</v>
      </c>
      <c r="D576" t="s">
        <v>2850</v>
      </c>
      <c r="E576" s="47" t="str">
        <f>+Cuenta_Clasificacion[[#This Row],[Código Cuenta Contable]]&amp;" - "&amp;Cuenta_Clasificacion[[#This Row],[Nombre de Cuenta Contable]]</f>
        <v>4103001 - Costos Maquinarias y Equipos</v>
      </c>
      <c r="F576" s="47" t="str">
        <f>+Cuenta_Clasificacion[[#This Row],[Codigo Concepto de imputación]]&amp;" - "&amp;Cuenta_Clasificacion[[#This Row],[Nombre Concepto de imputación]]</f>
        <v>20066 - Sbctto Red de Calefacción</v>
      </c>
    </row>
    <row r="577" spans="1:6" x14ac:dyDescent="0.25">
      <c r="A577" s="43">
        <v>4103001</v>
      </c>
      <c r="B577" t="s">
        <v>223</v>
      </c>
      <c r="C577" s="43">
        <v>20067</v>
      </c>
      <c r="D577" t="s">
        <v>2851</v>
      </c>
      <c r="E577" s="47" t="str">
        <f>+Cuenta_Clasificacion[[#This Row],[Código Cuenta Contable]]&amp;" - "&amp;Cuenta_Clasificacion[[#This Row],[Nombre de Cuenta Contable]]</f>
        <v>4103001 - Costos Maquinarias y Equipos</v>
      </c>
      <c r="F577" s="47" t="str">
        <f>+Cuenta_Clasificacion[[#This Row],[Codigo Concepto de imputación]]&amp;" - "&amp;Cuenta_Clasificacion[[#This Row],[Nombre Concepto de imputación]]</f>
        <v>20067 - Sbctto Retiro Escombros</v>
      </c>
    </row>
    <row r="578" spans="1:6" x14ac:dyDescent="0.25">
      <c r="A578" s="43">
        <v>4103001</v>
      </c>
      <c r="B578" t="s">
        <v>223</v>
      </c>
      <c r="C578" s="43">
        <v>20068</v>
      </c>
      <c r="D578" t="s">
        <v>2852</v>
      </c>
      <c r="E578" s="47" t="str">
        <f>+Cuenta_Clasificacion[[#This Row],[Código Cuenta Contable]]&amp;" - "&amp;Cuenta_Clasificacion[[#This Row],[Nombre de Cuenta Contable]]</f>
        <v>4103001 - Costos Maquinarias y Equipos</v>
      </c>
      <c r="F578" s="47" t="str">
        <f>+Cuenta_Clasificacion[[#This Row],[Codigo Concepto de imputación]]&amp;" - "&amp;Cuenta_Clasificacion[[#This Row],[Nombre Concepto de imputación]]</f>
        <v>20068 - Sbctto Señalética</v>
      </c>
    </row>
    <row r="579" spans="1:6" x14ac:dyDescent="0.25">
      <c r="A579" s="43">
        <v>4103001</v>
      </c>
      <c r="B579" t="s">
        <v>223</v>
      </c>
      <c r="C579" s="43">
        <v>20069</v>
      </c>
      <c r="D579" t="s">
        <v>2853</v>
      </c>
      <c r="E579" s="47" t="str">
        <f>+Cuenta_Clasificacion[[#This Row],[Código Cuenta Contable]]&amp;" - "&amp;Cuenta_Clasificacion[[#This Row],[Nombre de Cuenta Contable]]</f>
        <v>4103001 - Costos Maquinarias y Equipos</v>
      </c>
      <c r="F579" s="47" t="str">
        <f>+Cuenta_Clasificacion[[#This Row],[Codigo Concepto de imputación]]&amp;" - "&amp;Cuenta_Clasificacion[[#This Row],[Nombre Concepto de imputación]]</f>
        <v>20069 - Sbctto Servicio de Aseo</v>
      </c>
    </row>
    <row r="580" spans="1:6" x14ac:dyDescent="0.25">
      <c r="A580" s="43">
        <v>4103001</v>
      </c>
      <c r="B580" t="s">
        <v>223</v>
      </c>
      <c r="C580" s="43">
        <v>20070</v>
      </c>
      <c r="D580" t="s">
        <v>2854</v>
      </c>
      <c r="E580" s="47" t="str">
        <f>+Cuenta_Clasificacion[[#This Row],[Código Cuenta Contable]]&amp;" - "&amp;Cuenta_Clasificacion[[#This Row],[Nombre de Cuenta Contable]]</f>
        <v>4103001 - Costos Maquinarias y Equipos</v>
      </c>
      <c r="F580" s="47" t="str">
        <f>+Cuenta_Clasificacion[[#This Row],[Codigo Concepto de imputación]]&amp;" - "&amp;Cuenta_Clasificacion[[#This Row],[Nombre Concepto de imputación]]</f>
        <v>20070 - Sbctto Suelos</v>
      </c>
    </row>
    <row r="581" spans="1:6" x14ac:dyDescent="0.25">
      <c r="A581" s="43">
        <v>4103001</v>
      </c>
      <c r="B581" t="s">
        <v>223</v>
      </c>
      <c r="C581" s="43">
        <v>20071</v>
      </c>
      <c r="D581" t="s">
        <v>2855</v>
      </c>
      <c r="E581" s="47" t="str">
        <f>+Cuenta_Clasificacion[[#This Row],[Código Cuenta Contable]]&amp;" - "&amp;Cuenta_Clasificacion[[#This Row],[Nombre de Cuenta Contable]]</f>
        <v>4103001 - Costos Maquinarias y Equipos</v>
      </c>
      <c r="F581" s="47" t="str">
        <f>+Cuenta_Clasificacion[[#This Row],[Codigo Concepto de imputación]]&amp;" - "&amp;Cuenta_Clasificacion[[#This Row],[Nombre Concepto de imputación]]</f>
        <v>20071 - Sbctto Tabiques</v>
      </c>
    </row>
    <row r="582" spans="1:6" x14ac:dyDescent="0.25">
      <c r="A582" s="43">
        <v>4103001</v>
      </c>
      <c r="B582" t="s">
        <v>223</v>
      </c>
      <c r="C582" s="43">
        <v>20072</v>
      </c>
      <c r="D582" t="s">
        <v>2856</v>
      </c>
      <c r="E582" s="47" t="str">
        <f>+Cuenta_Clasificacion[[#This Row],[Código Cuenta Contable]]&amp;" - "&amp;Cuenta_Clasificacion[[#This Row],[Nombre de Cuenta Contable]]</f>
        <v>4103001 - Costos Maquinarias y Equipos</v>
      </c>
      <c r="F582" s="47" t="str">
        <f>+Cuenta_Clasificacion[[#This Row],[Codigo Concepto de imputación]]&amp;" - "&amp;Cuenta_Clasificacion[[#This Row],[Nombre Concepto de imputación]]</f>
        <v>20072 - Sbctto Techumbres y Cubiertas</v>
      </c>
    </row>
    <row r="583" spans="1:6" x14ac:dyDescent="0.25">
      <c r="A583" s="43">
        <v>4103001</v>
      </c>
      <c r="B583" t="s">
        <v>223</v>
      </c>
      <c r="C583" s="43">
        <v>20073</v>
      </c>
      <c r="D583" t="s">
        <v>2857</v>
      </c>
      <c r="E583" s="47" t="str">
        <f>+Cuenta_Clasificacion[[#This Row],[Código Cuenta Contable]]&amp;" - "&amp;Cuenta_Clasificacion[[#This Row],[Nombre de Cuenta Contable]]</f>
        <v>4103001 - Costos Maquinarias y Equipos</v>
      </c>
      <c r="F583" s="47" t="str">
        <f>+Cuenta_Clasificacion[[#This Row],[Codigo Concepto de imputación]]&amp;" - "&amp;Cuenta_Clasificacion[[#This Row],[Nombre Concepto de imputación]]</f>
        <v>20073 - Sbctto Topografía</v>
      </c>
    </row>
    <row r="584" spans="1:6" x14ac:dyDescent="0.25">
      <c r="A584" s="43">
        <v>4103001</v>
      </c>
      <c r="B584" t="s">
        <v>223</v>
      </c>
      <c r="C584" s="43">
        <v>20074</v>
      </c>
      <c r="D584" t="s">
        <v>2858</v>
      </c>
      <c r="E584" s="47" t="str">
        <f>+Cuenta_Clasificacion[[#This Row],[Código Cuenta Contable]]&amp;" - "&amp;Cuenta_Clasificacion[[#This Row],[Nombre de Cuenta Contable]]</f>
        <v>4103001 - Costos Maquinarias y Equipos</v>
      </c>
      <c r="F584" s="47" t="str">
        <f>+Cuenta_Clasificacion[[#This Row],[Codigo Concepto de imputación]]&amp;" - "&amp;Cuenta_Clasificacion[[#This Row],[Nombre Concepto de imputación]]</f>
        <v>20074 - Sbctto Trámites</v>
      </c>
    </row>
    <row r="585" spans="1:6" x14ac:dyDescent="0.25">
      <c r="A585" s="43">
        <v>4103001</v>
      </c>
      <c r="B585" t="s">
        <v>223</v>
      </c>
      <c r="C585" s="43">
        <v>20075</v>
      </c>
      <c r="D585" t="s">
        <v>2859</v>
      </c>
      <c r="E585" s="47" t="str">
        <f>+Cuenta_Clasificacion[[#This Row],[Código Cuenta Contable]]&amp;" - "&amp;Cuenta_Clasificacion[[#This Row],[Nombre de Cuenta Contable]]</f>
        <v>4103001 - Costos Maquinarias y Equipos</v>
      </c>
      <c r="F585" s="47" t="str">
        <f>+Cuenta_Clasificacion[[#This Row],[Codigo Concepto de imputación]]&amp;" - "&amp;Cuenta_Clasificacion[[#This Row],[Nombre Concepto de imputación]]</f>
        <v>20075 - Sbctto Transporte</v>
      </c>
    </row>
    <row r="586" spans="1:6" x14ac:dyDescent="0.25">
      <c r="A586" s="43">
        <v>4103001</v>
      </c>
      <c r="B586" t="s">
        <v>223</v>
      </c>
      <c r="C586" s="43">
        <v>20076</v>
      </c>
      <c r="D586" t="s">
        <v>2860</v>
      </c>
      <c r="E586" s="47" t="str">
        <f>+Cuenta_Clasificacion[[#This Row],[Código Cuenta Contable]]&amp;" - "&amp;Cuenta_Clasificacion[[#This Row],[Nombre de Cuenta Contable]]</f>
        <v>4103001 - Costos Maquinarias y Equipos</v>
      </c>
      <c r="F586" s="47" t="str">
        <f>+Cuenta_Clasificacion[[#This Row],[Codigo Concepto de imputación]]&amp;" - "&amp;Cuenta_Clasificacion[[#This Row],[Nombre Concepto de imputación]]</f>
        <v>20076 - Sbctto Ventanas</v>
      </c>
    </row>
    <row r="587" spans="1:6" x14ac:dyDescent="0.25">
      <c r="A587" s="43">
        <v>4103001</v>
      </c>
      <c r="B587" t="s">
        <v>223</v>
      </c>
      <c r="C587" s="43">
        <v>20077</v>
      </c>
      <c r="D587" t="s">
        <v>2861</v>
      </c>
      <c r="E587" s="47" t="str">
        <f>+Cuenta_Clasificacion[[#This Row],[Código Cuenta Contable]]&amp;" - "&amp;Cuenta_Clasificacion[[#This Row],[Nombre de Cuenta Contable]]</f>
        <v>4103001 - Costos Maquinarias y Equipos</v>
      </c>
      <c r="F587" s="47" t="str">
        <f>+Cuenta_Clasificacion[[#This Row],[Codigo Concepto de imputación]]&amp;" - "&amp;Cuenta_Clasificacion[[#This Row],[Nombre Concepto de imputación]]</f>
        <v>20077 - Sbctto Vitrificado</v>
      </c>
    </row>
    <row r="588" spans="1:6" x14ac:dyDescent="0.25">
      <c r="A588" s="43">
        <v>4103001</v>
      </c>
      <c r="B588" t="s">
        <v>223</v>
      </c>
      <c r="C588" s="43">
        <v>20078</v>
      </c>
      <c r="D588" t="s">
        <v>2862</v>
      </c>
      <c r="E588" s="47" t="str">
        <f>+Cuenta_Clasificacion[[#This Row],[Código Cuenta Contable]]&amp;" - "&amp;Cuenta_Clasificacion[[#This Row],[Nombre de Cuenta Contable]]</f>
        <v>4103001 - Costos Maquinarias y Equipos</v>
      </c>
      <c r="F588" s="47" t="str">
        <f>+Cuenta_Clasificacion[[#This Row],[Codigo Concepto de imputación]]&amp;" - "&amp;Cuenta_Clasificacion[[#This Row],[Nombre Concepto de imputación]]</f>
        <v>20078 - Sbctto Zincado, Galvanizado</v>
      </c>
    </row>
    <row r="589" spans="1:6" x14ac:dyDescent="0.25">
      <c r="A589" s="43">
        <v>4103001</v>
      </c>
      <c r="B589" t="s">
        <v>223</v>
      </c>
      <c r="C589" s="43">
        <v>20080</v>
      </c>
      <c r="D589" t="s">
        <v>2864</v>
      </c>
      <c r="E589" s="47" t="str">
        <f>+Cuenta_Clasificacion[[#This Row],[Código Cuenta Contable]]&amp;" - "&amp;Cuenta_Clasificacion[[#This Row],[Nombre de Cuenta Contable]]</f>
        <v>4103001 - Costos Maquinarias y Equipos</v>
      </c>
      <c r="F589" s="47" t="str">
        <f>+Cuenta_Clasificacion[[#This Row],[Codigo Concepto de imputación]]&amp;" - "&amp;Cuenta_Clasificacion[[#This Row],[Nombre Concepto de imputación]]</f>
        <v>20080 - Sbctto Instalación Especial</v>
      </c>
    </row>
    <row r="590" spans="1:6" x14ac:dyDescent="0.25">
      <c r="A590" s="43">
        <v>4103001</v>
      </c>
      <c r="B590" t="s">
        <v>223</v>
      </c>
      <c r="C590" s="43">
        <v>20082</v>
      </c>
      <c r="D590" t="s">
        <v>2866</v>
      </c>
      <c r="E590" s="47" t="str">
        <f>+Cuenta_Clasificacion[[#This Row],[Código Cuenta Contable]]&amp;" - "&amp;Cuenta_Clasificacion[[#This Row],[Nombre de Cuenta Contable]]</f>
        <v>4103001 - Costos Maquinarias y Equipos</v>
      </c>
      <c r="F590" s="47" t="str">
        <f>+Cuenta_Clasificacion[[#This Row],[Codigo Concepto de imputación]]&amp;" - "&amp;Cuenta_Clasificacion[[#This Row],[Nombre Concepto de imputación]]</f>
        <v>20082 - Operador Sbctto Arriendo</v>
      </c>
    </row>
    <row r="591" spans="1:6" x14ac:dyDescent="0.25">
      <c r="A591" s="43">
        <v>4103001</v>
      </c>
      <c r="B591" t="s">
        <v>223</v>
      </c>
      <c r="C591" s="43">
        <v>20083</v>
      </c>
      <c r="D591" t="s">
        <v>2867</v>
      </c>
      <c r="E591" s="47" t="str">
        <f>+Cuenta_Clasificacion[[#This Row],[Código Cuenta Contable]]&amp;" - "&amp;Cuenta_Clasificacion[[#This Row],[Nombre de Cuenta Contable]]</f>
        <v>4103001 - Costos Maquinarias y Equipos</v>
      </c>
      <c r="F591" s="47" t="str">
        <f>+Cuenta_Clasificacion[[#This Row],[Codigo Concepto de imputación]]&amp;" - "&amp;Cuenta_Clasificacion[[#This Row],[Nombre Concepto de imputación]]</f>
        <v>20083 - Descuento Subcontrato</v>
      </c>
    </row>
    <row r="592" spans="1:6" x14ac:dyDescent="0.25">
      <c r="A592" s="43">
        <v>4103001</v>
      </c>
      <c r="B592" t="s">
        <v>223</v>
      </c>
      <c r="C592" s="43">
        <v>30001</v>
      </c>
      <c r="D592" t="s">
        <v>2869</v>
      </c>
      <c r="E592" s="47" t="str">
        <f>+Cuenta_Clasificacion[[#This Row],[Código Cuenta Contable]]&amp;" - "&amp;Cuenta_Clasificacion[[#This Row],[Nombre de Cuenta Contable]]</f>
        <v>4103001 - Costos Maquinarias y Equipos</v>
      </c>
      <c r="F592" s="47" t="str">
        <f>+Cuenta_Clasificacion[[#This Row],[Codigo Concepto de imputación]]&amp;" - "&amp;Cuenta_Clasificacion[[#This Row],[Nombre Concepto de imputación]]</f>
        <v>30001 - Andamios</v>
      </c>
    </row>
    <row r="593" spans="1:6" x14ac:dyDescent="0.25">
      <c r="A593" s="43">
        <v>4103001</v>
      </c>
      <c r="B593" t="s">
        <v>223</v>
      </c>
      <c r="C593" s="43">
        <v>30002</v>
      </c>
      <c r="D593" t="s">
        <v>2870</v>
      </c>
      <c r="E593" s="47" t="str">
        <f>+Cuenta_Clasificacion[[#This Row],[Código Cuenta Contable]]&amp;" - "&amp;Cuenta_Clasificacion[[#This Row],[Nombre de Cuenta Contable]]</f>
        <v>4103001 - Costos Maquinarias y Equipos</v>
      </c>
      <c r="F593" s="47" t="str">
        <f>+Cuenta_Clasificacion[[#This Row],[Codigo Concepto de imputación]]&amp;" - "&amp;Cuenta_Clasificacion[[#This Row],[Nombre Concepto de imputación]]</f>
        <v>30002 - Camioneta</v>
      </c>
    </row>
    <row r="594" spans="1:6" x14ac:dyDescent="0.25">
      <c r="A594" s="43">
        <v>4103001</v>
      </c>
      <c r="B594" t="s">
        <v>223</v>
      </c>
      <c r="C594" s="43">
        <v>30003</v>
      </c>
      <c r="D594" t="s">
        <v>2871</v>
      </c>
      <c r="E594" s="47" t="str">
        <f>+Cuenta_Clasificacion[[#This Row],[Código Cuenta Contable]]&amp;" - "&amp;Cuenta_Clasificacion[[#This Row],[Nombre de Cuenta Contable]]</f>
        <v>4103001 - Costos Maquinarias y Equipos</v>
      </c>
      <c r="F594" s="47" t="str">
        <f>+Cuenta_Clasificacion[[#This Row],[Codigo Concepto de imputación]]&amp;" - "&amp;Cuenta_Clasificacion[[#This Row],[Nombre Concepto de imputación]]</f>
        <v>30003 - Compactadores</v>
      </c>
    </row>
    <row r="595" spans="1:6" x14ac:dyDescent="0.25">
      <c r="A595" s="43">
        <v>4103001</v>
      </c>
      <c r="B595" t="s">
        <v>223</v>
      </c>
      <c r="C595" s="43">
        <v>30004</v>
      </c>
      <c r="D595" t="s">
        <v>2872</v>
      </c>
      <c r="E595" s="47" t="str">
        <f>+Cuenta_Clasificacion[[#This Row],[Código Cuenta Contable]]&amp;" - "&amp;Cuenta_Clasificacion[[#This Row],[Nombre de Cuenta Contable]]</f>
        <v>4103001 - Costos Maquinarias y Equipos</v>
      </c>
      <c r="F595" s="47" t="str">
        <f>+Cuenta_Clasificacion[[#This Row],[Codigo Concepto de imputación]]&amp;" - "&amp;Cuenta_Clasificacion[[#This Row],[Nombre Concepto de imputación]]</f>
        <v>30004 - Compresores</v>
      </c>
    </row>
    <row r="596" spans="1:6" x14ac:dyDescent="0.25">
      <c r="A596" s="43">
        <v>4103001</v>
      </c>
      <c r="B596" t="s">
        <v>223</v>
      </c>
      <c r="C596" s="43">
        <v>30005</v>
      </c>
      <c r="D596" t="s">
        <v>2700</v>
      </c>
      <c r="E596" s="47" t="str">
        <f>+Cuenta_Clasificacion[[#This Row],[Código Cuenta Contable]]&amp;" - "&amp;Cuenta_Clasificacion[[#This Row],[Nombre de Cuenta Contable]]</f>
        <v>4103001 - Costos Maquinarias y Equipos</v>
      </c>
      <c r="F596" s="47" t="str">
        <f>+Cuenta_Clasificacion[[#This Row],[Codigo Concepto de imputación]]&amp;" - "&amp;Cuenta_Clasificacion[[#This Row],[Nombre Concepto de imputación]]</f>
        <v>30005 - Elevadores y Grúas</v>
      </c>
    </row>
    <row r="597" spans="1:6" x14ac:dyDescent="0.25">
      <c r="A597" s="43">
        <v>4103001</v>
      </c>
      <c r="B597" t="s">
        <v>223</v>
      </c>
      <c r="C597" s="43">
        <v>30006</v>
      </c>
      <c r="D597" t="s">
        <v>2873</v>
      </c>
      <c r="E597" s="47" t="str">
        <f>+Cuenta_Clasificacion[[#This Row],[Código Cuenta Contable]]&amp;" - "&amp;Cuenta_Clasificacion[[#This Row],[Nombre de Cuenta Contable]]</f>
        <v>4103001 - Costos Maquinarias y Equipos</v>
      </c>
      <c r="F597" s="47" t="str">
        <f>+Cuenta_Clasificacion[[#This Row],[Codigo Concepto de imputación]]&amp;" - "&amp;Cuenta_Clasificacion[[#This Row],[Nombre Concepto de imputación]]</f>
        <v>30006 - Eq Topográfico</v>
      </c>
    </row>
    <row r="598" spans="1:6" x14ac:dyDescent="0.25">
      <c r="A598" s="43">
        <v>4103001</v>
      </c>
      <c r="B598" t="s">
        <v>223</v>
      </c>
      <c r="C598" s="43">
        <v>30007</v>
      </c>
      <c r="D598" t="s">
        <v>2704</v>
      </c>
      <c r="E598" s="47" t="str">
        <f>+Cuenta_Clasificacion[[#This Row],[Código Cuenta Contable]]&amp;" - "&amp;Cuenta_Clasificacion[[#This Row],[Nombre de Cuenta Contable]]</f>
        <v>4103001 - Costos Maquinarias y Equipos</v>
      </c>
      <c r="F598" s="47" t="str">
        <f>+Cuenta_Clasificacion[[#This Row],[Codigo Concepto de imputación]]&amp;" - "&amp;Cuenta_Clasificacion[[#This Row],[Nombre Concepto de imputación]]</f>
        <v>30007 - Eq Varios</v>
      </c>
    </row>
    <row r="599" spans="1:6" x14ac:dyDescent="0.25">
      <c r="A599" s="43">
        <v>4103001</v>
      </c>
      <c r="B599" t="s">
        <v>223</v>
      </c>
      <c r="C599" s="43">
        <v>30008</v>
      </c>
      <c r="D599" t="s">
        <v>2874</v>
      </c>
      <c r="E599" s="47" t="str">
        <f>+Cuenta_Clasificacion[[#This Row],[Código Cuenta Contable]]&amp;" - "&amp;Cuenta_Clasificacion[[#This Row],[Nombre de Cuenta Contable]]</f>
        <v>4103001 - Costos Maquinarias y Equipos</v>
      </c>
      <c r="F599" s="47" t="str">
        <f>+Cuenta_Clasificacion[[#This Row],[Codigo Concepto de imputación]]&amp;" - "&amp;Cuenta_Clasificacion[[#This Row],[Nombre Concepto de imputación]]</f>
        <v>30008 - Grupo Electrógeno</v>
      </c>
    </row>
    <row r="600" spans="1:6" x14ac:dyDescent="0.25">
      <c r="A600" s="43">
        <v>4103001</v>
      </c>
      <c r="B600" t="s">
        <v>223</v>
      </c>
      <c r="C600" s="43">
        <v>30009</v>
      </c>
      <c r="D600" t="s">
        <v>2875</v>
      </c>
      <c r="E600" s="47" t="str">
        <f>+Cuenta_Clasificacion[[#This Row],[Código Cuenta Contable]]&amp;" - "&amp;Cuenta_Clasificacion[[#This Row],[Nombre de Cuenta Contable]]</f>
        <v>4103001 - Costos Maquinarias y Equipos</v>
      </c>
      <c r="F600" s="47" t="str">
        <f>+Cuenta_Clasificacion[[#This Row],[Codigo Concepto de imputación]]&amp;" - "&amp;Cuenta_Clasificacion[[#This Row],[Nombre Concepto de imputación]]</f>
        <v>30009 - Moldajes</v>
      </c>
    </row>
    <row r="601" spans="1:6" x14ac:dyDescent="0.25">
      <c r="A601" s="43">
        <v>4103001</v>
      </c>
      <c r="B601" t="s">
        <v>223</v>
      </c>
      <c r="C601" s="43">
        <v>30010</v>
      </c>
      <c r="D601" t="s">
        <v>2701</v>
      </c>
      <c r="E601" s="47" t="str">
        <f>+Cuenta_Clasificacion[[#This Row],[Código Cuenta Contable]]&amp;" - "&amp;Cuenta_Clasificacion[[#This Row],[Nombre de Cuenta Contable]]</f>
        <v>4103001 - Costos Maquinarias y Equipos</v>
      </c>
      <c r="F601" s="47" t="str">
        <f>+Cuenta_Clasificacion[[#This Row],[Codigo Concepto de imputación]]&amp;" - "&amp;Cuenta_Clasificacion[[#This Row],[Nombre Concepto de imputación]]</f>
        <v>30010 - Motores y Bombas</v>
      </c>
    </row>
    <row r="602" spans="1:6" x14ac:dyDescent="0.25">
      <c r="A602" s="43">
        <v>4103001</v>
      </c>
      <c r="B602" t="s">
        <v>223</v>
      </c>
      <c r="C602" s="43">
        <v>30011</v>
      </c>
      <c r="D602" t="s">
        <v>2702</v>
      </c>
      <c r="E602" s="47" t="str">
        <f>+Cuenta_Clasificacion[[#This Row],[Código Cuenta Contable]]&amp;" - "&amp;Cuenta_Clasificacion[[#This Row],[Nombre de Cuenta Contable]]</f>
        <v>4103001 - Costos Maquinarias y Equipos</v>
      </c>
      <c r="F602" s="47" t="str">
        <f>+Cuenta_Clasificacion[[#This Row],[Codigo Concepto de imputación]]&amp;" - "&amp;Cuenta_Clasificacion[[#This Row],[Nombre Concepto de imputación]]</f>
        <v>30011 - Reparac/Mant Eq</v>
      </c>
    </row>
    <row r="603" spans="1:6" x14ac:dyDescent="0.25">
      <c r="A603" s="43">
        <v>4103001</v>
      </c>
      <c r="B603" t="s">
        <v>223</v>
      </c>
      <c r="C603" s="43">
        <v>30012</v>
      </c>
      <c r="D603" t="s">
        <v>2876</v>
      </c>
      <c r="E603" s="47" t="str">
        <f>+Cuenta_Clasificacion[[#This Row],[Código Cuenta Contable]]&amp;" - "&amp;Cuenta_Clasificacion[[#This Row],[Nombre de Cuenta Contable]]</f>
        <v>4103001 - Costos Maquinarias y Equipos</v>
      </c>
      <c r="F603" s="47" t="str">
        <f>+Cuenta_Clasificacion[[#This Row],[Codigo Concepto de imputación]]&amp;" - "&amp;Cuenta_Clasificacion[[#This Row],[Nombre Concepto de imputación]]</f>
        <v>30012 - Retroexcavadora y Bulldozer</v>
      </c>
    </row>
    <row r="604" spans="1:6" x14ac:dyDescent="0.25">
      <c r="A604" s="43">
        <v>4103001</v>
      </c>
      <c r="B604" t="s">
        <v>223</v>
      </c>
      <c r="C604" s="43">
        <v>30013</v>
      </c>
      <c r="D604" t="s">
        <v>2877</v>
      </c>
      <c r="E604" s="47" t="str">
        <f>+Cuenta_Clasificacion[[#This Row],[Código Cuenta Contable]]&amp;" - "&amp;Cuenta_Clasificacion[[#This Row],[Nombre de Cuenta Contable]]</f>
        <v>4103001 - Costos Maquinarias y Equipos</v>
      </c>
      <c r="F604" s="47" t="str">
        <f>+Cuenta_Clasificacion[[#This Row],[Codigo Concepto de imputación]]&amp;" - "&amp;Cuenta_Clasificacion[[#This Row],[Nombre Concepto de imputación]]</f>
        <v>30013 - Rotomartillos</v>
      </c>
    </row>
    <row r="605" spans="1:6" x14ac:dyDescent="0.25">
      <c r="A605" s="43">
        <v>4103001</v>
      </c>
      <c r="B605" t="s">
        <v>223</v>
      </c>
      <c r="C605" s="43">
        <v>30014</v>
      </c>
      <c r="D605" t="s">
        <v>2878</v>
      </c>
      <c r="E605" s="47" t="str">
        <f>+Cuenta_Clasificacion[[#This Row],[Código Cuenta Contable]]&amp;" - "&amp;Cuenta_Clasificacion[[#This Row],[Nombre de Cuenta Contable]]</f>
        <v>4103001 - Costos Maquinarias y Equipos</v>
      </c>
      <c r="F605" s="47" t="str">
        <f>+Cuenta_Clasificacion[[#This Row],[Codigo Concepto de imputación]]&amp;" - "&amp;Cuenta_Clasificacion[[#This Row],[Nombre Concepto de imputación]]</f>
        <v>30014 - Trompos/Betoneras</v>
      </c>
    </row>
    <row r="606" spans="1:6" x14ac:dyDescent="0.25">
      <c r="A606" s="43">
        <v>4103001</v>
      </c>
      <c r="B606" t="s">
        <v>223</v>
      </c>
      <c r="C606" s="43">
        <v>30015</v>
      </c>
      <c r="D606" t="s">
        <v>2879</v>
      </c>
      <c r="E606" s="47" t="str">
        <f>+Cuenta_Clasificacion[[#This Row],[Código Cuenta Contable]]&amp;" - "&amp;Cuenta_Clasificacion[[#This Row],[Nombre de Cuenta Contable]]</f>
        <v>4103001 - Costos Maquinarias y Equipos</v>
      </c>
      <c r="F606" s="47" t="str">
        <f>+Cuenta_Clasificacion[[#This Row],[Codigo Concepto de imputación]]&amp;" - "&amp;Cuenta_Clasificacion[[#This Row],[Nombre Concepto de imputación]]</f>
        <v>30015 - Vibradores</v>
      </c>
    </row>
    <row r="607" spans="1:6" x14ac:dyDescent="0.25">
      <c r="A607" s="43">
        <v>4103001</v>
      </c>
      <c r="B607" t="s">
        <v>223</v>
      </c>
      <c r="C607" s="43">
        <v>30016</v>
      </c>
      <c r="D607" t="s">
        <v>2880</v>
      </c>
      <c r="E607" s="47" t="str">
        <f>+Cuenta_Clasificacion[[#This Row],[Código Cuenta Contable]]&amp;" - "&amp;Cuenta_Clasificacion[[#This Row],[Nombre de Cuenta Contable]]</f>
        <v>4103001 - Costos Maquinarias y Equipos</v>
      </c>
      <c r="F607" s="47" t="str">
        <f>+Cuenta_Clasificacion[[#This Row],[Codigo Concepto de imputación]]&amp;" - "&amp;Cuenta_Clasificacion[[#This Row],[Nombre Concepto de imputación]]</f>
        <v>30016 - Sbctto Arr Andamios</v>
      </c>
    </row>
    <row r="608" spans="1:6" x14ac:dyDescent="0.25">
      <c r="A608" s="43">
        <v>4103001</v>
      </c>
      <c r="B608" t="s">
        <v>223</v>
      </c>
      <c r="C608" s="43">
        <v>30017</v>
      </c>
      <c r="D608" t="s">
        <v>2881</v>
      </c>
      <c r="E608" s="47" t="str">
        <f>+Cuenta_Clasificacion[[#This Row],[Código Cuenta Contable]]&amp;" - "&amp;Cuenta_Clasificacion[[#This Row],[Nombre de Cuenta Contable]]</f>
        <v>4103001 - Costos Maquinarias y Equipos</v>
      </c>
      <c r="F608" s="47" t="str">
        <f>+Cuenta_Clasificacion[[#This Row],[Codigo Concepto de imputación]]&amp;" - "&amp;Cuenta_Clasificacion[[#This Row],[Nombre Concepto de imputación]]</f>
        <v>30017 - Sbctto Arr Baños y Duchas</v>
      </c>
    </row>
    <row r="609" spans="1:6" x14ac:dyDescent="0.25">
      <c r="A609" s="43">
        <v>4103001</v>
      </c>
      <c r="B609" t="s">
        <v>223</v>
      </c>
      <c r="C609" s="43">
        <v>30018</v>
      </c>
      <c r="D609" t="s">
        <v>2882</v>
      </c>
      <c r="E609" s="47" t="str">
        <f>+Cuenta_Clasificacion[[#This Row],[Código Cuenta Contable]]&amp;" - "&amp;Cuenta_Clasificacion[[#This Row],[Nombre de Cuenta Contable]]</f>
        <v>4103001 - Costos Maquinarias y Equipos</v>
      </c>
      <c r="F609" s="47" t="str">
        <f>+Cuenta_Clasificacion[[#This Row],[Codigo Concepto de imputación]]&amp;" - "&amp;Cuenta_Clasificacion[[#This Row],[Nombre Concepto de imputación]]</f>
        <v>30018 - Sbctto Arr Camiones</v>
      </c>
    </row>
    <row r="610" spans="1:6" x14ac:dyDescent="0.25">
      <c r="A610" s="43">
        <v>4103001</v>
      </c>
      <c r="B610" t="s">
        <v>223</v>
      </c>
      <c r="C610" s="43">
        <v>30019</v>
      </c>
      <c r="D610" t="s">
        <v>2883</v>
      </c>
      <c r="E610" s="47" t="str">
        <f>+Cuenta_Clasificacion[[#This Row],[Código Cuenta Contable]]&amp;" - "&amp;Cuenta_Clasificacion[[#This Row],[Nombre de Cuenta Contable]]</f>
        <v>4103001 - Costos Maquinarias y Equipos</v>
      </c>
      <c r="F610" s="47" t="str">
        <f>+Cuenta_Clasificacion[[#This Row],[Codigo Concepto de imputación]]&amp;" - "&amp;Cuenta_Clasificacion[[#This Row],[Nombre Concepto de imputación]]</f>
        <v>30019 - Sbctto Arr Compactadores</v>
      </c>
    </row>
    <row r="611" spans="1:6" x14ac:dyDescent="0.25">
      <c r="A611" s="43">
        <v>4103001</v>
      </c>
      <c r="B611" t="s">
        <v>223</v>
      </c>
      <c r="C611" s="43">
        <v>30020</v>
      </c>
      <c r="D611" t="s">
        <v>2884</v>
      </c>
      <c r="E611" s="47" t="str">
        <f>+Cuenta_Clasificacion[[#This Row],[Código Cuenta Contable]]&amp;" - "&amp;Cuenta_Clasificacion[[#This Row],[Nombre de Cuenta Contable]]</f>
        <v>4103001 - Costos Maquinarias y Equipos</v>
      </c>
      <c r="F611" s="47" t="str">
        <f>+Cuenta_Clasificacion[[#This Row],[Codigo Concepto de imputación]]&amp;" - "&amp;Cuenta_Clasificacion[[#This Row],[Nombre Concepto de imputación]]</f>
        <v>30020 - Sbctto Arr Compresores</v>
      </c>
    </row>
    <row r="612" spans="1:6" x14ac:dyDescent="0.25">
      <c r="A612" s="43">
        <v>4103001</v>
      </c>
      <c r="B612" t="s">
        <v>223</v>
      </c>
      <c r="C612" s="43">
        <v>30021</v>
      </c>
      <c r="D612" t="s">
        <v>2885</v>
      </c>
      <c r="E612" s="47" t="str">
        <f>+Cuenta_Clasificacion[[#This Row],[Código Cuenta Contable]]&amp;" - "&amp;Cuenta_Clasificacion[[#This Row],[Nombre de Cuenta Contable]]</f>
        <v>4103001 - Costos Maquinarias y Equipos</v>
      </c>
      <c r="F612" s="47" t="str">
        <f>+Cuenta_Clasificacion[[#This Row],[Codigo Concepto de imputación]]&amp;" - "&amp;Cuenta_Clasificacion[[#This Row],[Nombre Concepto de imputación]]</f>
        <v>30021 - Sbctto Arr Contenedor</v>
      </c>
    </row>
    <row r="613" spans="1:6" x14ac:dyDescent="0.25">
      <c r="A613" s="43">
        <v>4103001</v>
      </c>
      <c r="B613" t="s">
        <v>223</v>
      </c>
      <c r="C613" s="43">
        <v>30022</v>
      </c>
      <c r="D613" t="s">
        <v>2886</v>
      </c>
      <c r="E613" s="47" t="str">
        <f>+Cuenta_Clasificacion[[#This Row],[Código Cuenta Contable]]&amp;" - "&amp;Cuenta_Clasificacion[[#This Row],[Nombre de Cuenta Contable]]</f>
        <v>4103001 - Costos Maquinarias y Equipos</v>
      </c>
      <c r="F613" s="47" t="str">
        <f>+Cuenta_Clasificacion[[#This Row],[Codigo Concepto de imputación]]&amp;" - "&amp;Cuenta_Clasificacion[[#This Row],[Nombre Concepto de imputación]]</f>
        <v>30022 - Sbctto Arr Elevadores y Grúas</v>
      </c>
    </row>
    <row r="614" spans="1:6" x14ac:dyDescent="0.25">
      <c r="A614" s="43">
        <v>4103001</v>
      </c>
      <c r="B614" t="s">
        <v>223</v>
      </c>
      <c r="C614" s="43">
        <v>30023</v>
      </c>
      <c r="D614" t="s">
        <v>2887</v>
      </c>
      <c r="E614" s="47" t="str">
        <f>+Cuenta_Clasificacion[[#This Row],[Código Cuenta Contable]]&amp;" - "&amp;Cuenta_Clasificacion[[#This Row],[Nombre de Cuenta Contable]]</f>
        <v>4103001 - Costos Maquinarias y Equipos</v>
      </c>
      <c r="F614" s="47" t="str">
        <f>+Cuenta_Clasificacion[[#This Row],[Codigo Concepto de imputación]]&amp;" - "&amp;Cuenta_Clasificacion[[#This Row],[Nombre Concepto de imputación]]</f>
        <v>30023 - Sbctto Arr Eq Topográfico</v>
      </c>
    </row>
    <row r="615" spans="1:6" x14ac:dyDescent="0.25">
      <c r="A615" s="43">
        <v>4103001</v>
      </c>
      <c r="B615" t="s">
        <v>223</v>
      </c>
      <c r="C615" s="43">
        <v>30024</v>
      </c>
      <c r="D615" t="s">
        <v>2888</v>
      </c>
      <c r="E615" s="47" t="str">
        <f>+Cuenta_Clasificacion[[#This Row],[Código Cuenta Contable]]&amp;" - "&amp;Cuenta_Clasificacion[[#This Row],[Nombre de Cuenta Contable]]</f>
        <v>4103001 - Costos Maquinarias y Equipos</v>
      </c>
      <c r="F615" s="47" t="str">
        <f>+Cuenta_Clasificacion[[#This Row],[Codigo Concepto de imputación]]&amp;" - "&amp;Cuenta_Clasificacion[[#This Row],[Nombre Concepto de imputación]]</f>
        <v>30024 - Sbctto Arr Eq Varios</v>
      </c>
    </row>
    <row r="616" spans="1:6" x14ac:dyDescent="0.25">
      <c r="A616" s="43">
        <v>4103001</v>
      </c>
      <c r="B616" t="s">
        <v>223</v>
      </c>
      <c r="C616" s="43">
        <v>30025</v>
      </c>
      <c r="D616" t="s">
        <v>2889</v>
      </c>
      <c r="E616" s="47" t="str">
        <f>+Cuenta_Clasificacion[[#This Row],[Código Cuenta Contable]]&amp;" - "&amp;Cuenta_Clasificacion[[#This Row],[Nombre de Cuenta Contable]]</f>
        <v>4103001 - Costos Maquinarias y Equipos</v>
      </c>
      <c r="F616" s="47" t="str">
        <f>+Cuenta_Clasificacion[[#This Row],[Codigo Concepto de imputación]]&amp;" - "&amp;Cuenta_Clasificacion[[#This Row],[Nombre Concepto de imputación]]</f>
        <v>30025 - Sbctto Arr Grupo Electrógeno</v>
      </c>
    </row>
    <row r="617" spans="1:6" x14ac:dyDescent="0.25">
      <c r="A617" s="43">
        <v>4103001</v>
      </c>
      <c r="B617" t="s">
        <v>223</v>
      </c>
      <c r="C617" s="43">
        <v>30026</v>
      </c>
      <c r="D617" t="s">
        <v>2890</v>
      </c>
      <c r="E617" s="47" t="str">
        <f>+Cuenta_Clasificacion[[#This Row],[Código Cuenta Contable]]&amp;" - "&amp;Cuenta_Clasificacion[[#This Row],[Nombre de Cuenta Contable]]</f>
        <v>4103001 - Costos Maquinarias y Equipos</v>
      </c>
      <c r="F617" s="47" t="str">
        <f>+Cuenta_Clasificacion[[#This Row],[Codigo Concepto de imputación]]&amp;" - "&amp;Cuenta_Clasificacion[[#This Row],[Nombre Concepto de imputación]]</f>
        <v>30026 - Sbctto Arr Moldajes</v>
      </c>
    </row>
    <row r="618" spans="1:6" x14ac:dyDescent="0.25">
      <c r="A618" s="43">
        <v>4103001</v>
      </c>
      <c r="B618" t="s">
        <v>223</v>
      </c>
      <c r="C618" s="43">
        <v>30027</v>
      </c>
      <c r="D618" t="s">
        <v>2891</v>
      </c>
      <c r="E618" s="47" t="str">
        <f>+Cuenta_Clasificacion[[#This Row],[Código Cuenta Contable]]&amp;" - "&amp;Cuenta_Clasificacion[[#This Row],[Nombre de Cuenta Contable]]</f>
        <v>4103001 - Costos Maquinarias y Equipos</v>
      </c>
      <c r="F618" s="47" t="str">
        <f>+Cuenta_Clasificacion[[#This Row],[Codigo Concepto de imputación]]&amp;" - "&amp;Cuenta_Clasificacion[[#This Row],[Nombre Concepto de imputación]]</f>
        <v>30027 - Sbctto Arr Motobombas</v>
      </c>
    </row>
    <row r="619" spans="1:6" x14ac:dyDescent="0.25">
      <c r="A619" s="43">
        <v>4103001</v>
      </c>
      <c r="B619" t="s">
        <v>223</v>
      </c>
      <c r="C619" s="43">
        <v>30028</v>
      </c>
      <c r="D619" t="s">
        <v>2892</v>
      </c>
      <c r="E619" s="47" t="str">
        <f>+Cuenta_Clasificacion[[#This Row],[Código Cuenta Contable]]&amp;" - "&amp;Cuenta_Clasificacion[[#This Row],[Nombre de Cuenta Contable]]</f>
        <v>4103001 - Costos Maquinarias y Equipos</v>
      </c>
      <c r="F619" s="47" t="str">
        <f>+Cuenta_Clasificacion[[#This Row],[Codigo Concepto de imputación]]&amp;" - "&amp;Cuenta_Clasificacion[[#This Row],[Nombre Concepto de imputación]]</f>
        <v>30028 - Sbctto Arr Retro. y Bulldozer</v>
      </c>
    </row>
    <row r="620" spans="1:6" x14ac:dyDescent="0.25">
      <c r="A620" s="43">
        <v>4103001</v>
      </c>
      <c r="B620" t="s">
        <v>223</v>
      </c>
      <c r="C620" s="43">
        <v>30029</v>
      </c>
      <c r="D620" t="s">
        <v>2893</v>
      </c>
      <c r="E620" s="47" t="str">
        <f>+Cuenta_Clasificacion[[#This Row],[Código Cuenta Contable]]&amp;" - "&amp;Cuenta_Clasificacion[[#This Row],[Nombre de Cuenta Contable]]</f>
        <v>4103001 - Costos Maquinarias y Equipos</v>
      </c>
      <c r="F620" s="47" t="str">
        <f>+Cuenta_Clasificacion[[#This Row],[Codigo Concepto de imputación]]&amp;" - "&amp;Cuenta_Clasificacion[[#This Row],[Nombre Concepto de imputación]]</f>
        <v>30029 - Sbctto Arr Rotomartillos</v>
      </c>
    </row>
    <row r="621" spans="1:6" x14ac:dyDescent="0.25">
      <c r="A621" s="43">
        <v>4103001</v>
      </c>
      <c r="B621" t="s">
        <v>223</v>
      </c>
      <c r="C621" s="43">
        <v>30030</v>
      </c>
      <c r="D621" t="s">
        <v>2894</v>
      </c>
      <c r="E621" s="47" t="str">
        <f>+Cuenta_Clasificacion[[#This Row],[Código Cuenta Contable]]&amp;" - "&amp;Cuenta_Clasificacion[[#This Row],[Nombre de Cuenta Contable]]</f>
        <v>4103001 - Costos Maquinarias y Equipos</v>
      </c>
      <c r="F621" s="47" t="str">
        <f>+Cuenta_Clasificacion[[#This Row],[Codigo Concepto de imputación]]&amp;" - "&amp;Cuenta_Clasificacion[[#This Row],[Nombre Concepto de imputación]]</f>
        <v>30030 - Sbctto Arr Trompos/Betoneras</v>
      </c>
    </row>
    <row r="622" spans="1:6" x14ac:dyDescent="0.25">
      <c r="A622" s="43">
        <v>4103001</v>
      </c>
      <c r="B622" t="s">
        <v>223</v>
      </c>
      <c r="C622" s="43">
        <v>30031</v>
      </c>
      <c r="D622" t="s">
        <v>2895</v>
      </c>
      <c r="E622" s="47" t="str">
        <f>+Cuenta_Clasificacion[[#This Row],[Código Cuenta Contable]]&amp;" - "&amp;Cuenta_Clasificacion[[#This Row],[Nombre de Cuenta Contable]]</f>
        <v>4103001 - Costos Maquinarias y Equipos</v>
      </c>
      <c r="F622" s="47" t="str">
        <f>+Cuenta_Clasificacion[[#This Row],[Codigo Concepto de imputación]]&amp;" - "&amp;Cuenta_Clasificacion[[#This Row],[Nombre Concepto de imputación]]</f>
        <v>30031 - Sbctto Arr Vibradores</v>
      </c>
    </row>
    <row r="623" spans="1:6" x14ac:dyDescent="0.25">
      <c r="A623" s="43">
        <v>4103001</v>
      </c>
      <c r="B623" t="s">
        <v>223</v>
      </c>
      <c r="C623" s="43">
        <v>30032</v>
      </c>
      <c r="D623" t="s">
        <v>2896</v>
      </c>
      <c r="E623" s="47" t="str">
        <f>+Cuenta_Clasificacion[[#This Row],[Código Cuenta Contable]]&amp;" - "&amp;Cuenta_Clasificacion[[#This Row],[Nombre de Cuenta Contable]]</f>
        <v>4103001 - Costos Maquinarias y Equipos</v>
      </c>
      <c r="F623" s="47" t="str">
        <f>+Cuenta_Clasificacion[[#This Row],[Codigo Concepto de imputación]]&amp;" - "&amp;Cuenta_Clasificacion[[#This Row],[Nombre Concepto de imputación]]</f>
        <v>30032 - Sbctto Generador Eléctrico</v>
      </c>
    </row>
    <row r="624" spans="1:6" x14ac:dyDescent="0.25">
      <c r="A624" s="43">
        <v>4103001</v>
      </c>
      <c r="B624" t="s">
        <v>223</v>
      </c>
      <c r="C624" s="43">
        <v>30033</v>
      </c>
      <c r="D624" t="s">
        <v>2915</v>
      </c>
      <c r="E624" s="47" t="str">
        <f>+Cuenta_Clasificacion[[#This Row],[Código Cuenta Contable]]&amp;" - "&amp;Cuenta_Clasificacion[[#This Row],[Nombre de Cuenta Contable]]</f>
        <v>4103001 - Costos Maquinarias y Equipos</v>
      </c>
      <c r="F624" s="47" t="str">
        <f>+Cuenta_Clasificacion[[#This Row],[Codigo Concepto de imputación]]&amp;" - "&amp;Cuenta_Clasificacion[[#This Row],[Nombre Concepto de imputación]]</f>
        <v>30033 - Bodega - Grupo Motor</v>
      </c>
    </row>
    <row r="625" spans="1:6" x14ac:dyDescent="0.25">
      <c r="A625" s="43">
        <v>4103001</v>
      </c>
      <c r="B625" t="s">
        <v>223</v>
      </c>
      <c r="C625" s="43">
        <v>30034</v>
      </c>
      <c r="D625" t="s">
        <v>2916</v>
      </c>
      <c r="E625" s="47" t="str">
        <f>+Cuenta_Clasificacion[[#This Row],[Código Cuenta Contable]]&amp;" - "&amp;Cuenta_Clasificacion[[#This Row],[Nombre de Cuenta Contable]]</f>
        <v>4103001 - Costos Maquinarias y Equipos</v>
      </c>
      <c r="F625" s="47" t="str">
        <f>+Cuenta_Clasificacion[[#This Row],[Codigo Concepto de imputación]]&amp;" - "&amp;Cuenta_Clasificacion[[#This Row],[Nombre Concepto de imputación]]</f>
        <v>30034 - Bodega - Armario Eléctrico</v>
      </c>
    </row>
    <row r="626" spans="1:6" x14ac:dyDescent="0.25">
      <c r="A626" s="43">
        <v>4103001</v>
      </c>
      <c r="B626" t="s">
        <v>223</v>
      </c>
      <c r="C626" s="43">
        <v>30035</v>
      </c>
      <c r="D626" t="s">
        <v>2917</v>
      </c>
      <c r="E626" s="47" t="str">
        <f>+Cuenta_Clasificacion[[#This Row],[Código Cuenta Contable]]&amp;" - "&amp;Cuenta_Clasificacion[[#This Row],[Nombre de Cuenta Contable]]</f>
        <v>4103001 - Costos Maquinarias y Equipos</v>
      </c>
      <c r="F626" s="47" t="str">
        <f>+Cuenta_Clasificacion[[#This Row],[Codigo Concepto de imputación]]&amp;" - "&amp;Cuenta_Clasificacion[[#This Row],[Nombre Concepto de imputación]]</f>
        <v>30035 - Bodega - Grúa Torre</v>
      </c>
    </row>
    <row r="627" spans="1:6" x14ac:dyDescent="0.25">
      <c r="A627" s="43">
        <v>4103001</v>
      </c>
      <c r="B627" t="s">
        <v>223</v>
      </c>
      <c r="C627" s="43">
        <v>30036</v>
      </c>
      <c r="D627" t="s">
        <v>2918</v>
      </c>
      <c r="E627" s="47" t="str">
        <f>+Cuenta_Clasificacion[[#This Row],[Código Cuenta Contable]]&amp;" - "&amp;Cuenta_Clasificacion[[#This Row],[Nombre de Cuenta Contable]]</f>
        <v>4103001 - Costos Maquinarias y Equipos</v>
      </c>
      <c r="F627" s="47" t="str">
        <f>+Cuenta_Clasificacion[[#This Row],[Codigo Concepto de imputación]]&amp;" - "&amp;Cuenta_Clasificacion[[#This Row],[Nombre Concepto de imputación]]</f>
        <v>30036 - Bodega - Grúa Automontable</v>
      </c>
    </row>
    <row r="628" spans="1:6" x14ac:dyDescent="0.25">
      <c r="A628" s="43">
        <v>4103001</v>
      </c>
      <c r="B628" t="s">
        <v>223</v>
      </c>
      <c r="C628" s="43">
        <v>30037</v>
      </c>
      <c r="D628" t="s">
        <v>2919</v>
      </c>
      <c r="E628" s="47" t="str">
        <f>+Cuenta_Clasificacion[[#This Row],[Código Cuenta Contable]]&amp;" - "&amp;Cuenta_Clasificacion[[#This Row],[Nombre de Cuenta Contable]]</f>
        <v>4103001 - Costos Maquinarias y Equipos</v>
      </c>
      <c r="F628" s="47" t="str">
        <f>+Cuenta_Clasificacion[[#This Row],[Codigo Concepto de imputación]]&amp;" - "&amp;Cuenta_Clasificacion[[#This Row],[Nombre Concepto de imputación]]</f>
        <v>30037 - Bodega - Capachos</v>
      </c>
    </row>
    <row r="629" spans="1:6" x14ac:dyDescent="0.25">
      <c r="A629" s="43">
        <v>4103001</v>
      </c>
      <c r="B629" t="s">
        <v>223</v>
      </c>
      <c r="C629" s="43">
        <v>30038</v>
      </c>
      <c r="D629" t="s">
        <v>2920</v>
      </c>
      <c r="E629" s="47" t="str">
        <f>+Cuenta_Clasificacion[[#This Row],[Código Cuenta Contable]]&amp;" - "&amp;Cuenta_Clasificacion[[#This Row],[Nombre de Cuenta Contable]]</f>
        <v>4103001 - Costos Maquinarias y Equipos</v>
      </c>
      <c r="F629" s="47" t="str">
        <f>+Cuenta_Clasificacion[[#This Row],[Codigo Concepto de imputación]]&amp;" - "&amp;Cuenta_Clasificacion[[#This Row],[Nombre Concepto de imputación]]</f>
        <v>30038 - Bodega - Cuna Metálica</v>
      </c>
    </row>
    <row r="630" spans="1:6" x14ac:dyDescent="0.25">
      <c r="A630" s="43">
        <v>4103001</v>
      </c>
      <c r="B630" t="s">
        <v>223</v>
      </c>
      <c r="C630" s="43">
        <v>30039</v>
      </c>
      <c r="D630" t="s">
        <v>2921</v>
      </c>
      <c r="E630" s="47" t="str">
        <f>+Cuenta_Clasificacion[[#This Row],[Código Cuenta Contable]]&amp;" - "&amp;Cuenta_Clasificacion[[#This Row],[Nombre de Cuenta Contable]]</f>
        <v>4103001 - Costos Maquinarias y Equipos</v>
      </c>
      <c r="F630" s="47" t="str">
        <f>+Cuenta_Clasificacion[[#This Row],[Codigo Concepto de imputación]]&amp;" - "&amp;Cuenta_Clasificacion[[#This Row],[Nombre Concepto de imputación]]</f>
        <v>30039 - Bodega - Ascensores</v>
      </c>
    </row>
    <row r="631" spans="1:6" x14ac:dyDescent="0.25">
      <c r="A631" s="43">
        <v>4103001</v>
      </c>
      <c r="B631" t="s">
        <v>223</v>
      </c>
      <c r="C631" s="43">
        <v>30040</v>
      </c>
      <c r="D631" t="s">
        <v>2922</v>
      </c>
      <c r="E631" s="47" t="str">
        <f>+Cuenta_Clasificacion[[#This Row],[Código Cuenta Contable]]&amp;" - "&amp;Cuenta_Clasificacion[[#This Row],[Nombre de Cuenta Contable]]</f>
        <v>4103001 - Costos Maquinarias y Equipos</v>
      </c>
      <c r="F631" s="47" t="str">
        <f>+Cuenta_Clasificacion[[#This Row],[Codigo Concepto de imputación]]&amp;" - "&amp;Cuenta_Clasificacion[[#This Row],[Nombre Concepto de imputación]]</f>
        <v>30040 - Bodega - Brazo Dist. Hormigón</v>
      </c>
    </row>
    <row r="632" spans="1:6" x14ac:dyDescent="0.25">
      <c r="A632" s="43">
        <v>4103001</v>
      </c>
      <c r="B632" t="s">
        <v>223</v>
      </c>
      <c r="C632" s="43">
        <v>30041</v>
      </c>
      <c r="D632" t="s">
        <v>2923</v>
      </c>
      <c r="E632" s="47" t="str">
        <f>+Cuenta_Clasificacion[[#This Row],[Código Cuenta Contable]]&amp;" - "&amp;Cuenta_Clasificacion[[#This Row],[Nombre de Cuenta Contable]]</f>
        <v>4103001 - Costos Maquinarias y Equipos</v>
      </c>
      <c r="F632" s="47" t="str">
        <f>+Cuenta_Clasificacion[[#This Row],[Codigo Concepto de imputación]]&amp;" - "&amp;Cuenta_Clasificacion[[#This Row],[Nombre Concepto de imputación]]</f>
        <v>30041 - Bodega - Contenedores</v>
      </c>
    </row>
    <row r="633" spans="1:6" x14ac:dyDescent="0.25">
      <c r="A633" s="43">
        <v>4103001</v>
      </c>
      <c r="B633" t="s">
        <v>223</v>
      </c>
      <c r="C633" s="43">
        <v>30042</v>
      </c>
      <c r="D633" t="s">
        <v>2924</v>
      </c>
      <c r="E633" s="47" t="str">
        <f>+Cuenta_Clasificacion[[#This Row],[Código Cuenta Contable]]&amp;" - "&amp;Cuenta_Clasificacion[[#This Row],[Nombre de Cuenta Contable]]</f>
        <v>4103001 - Costos Maquinarias y Equipos</v>
      </c>
      <c r="F633" s="47" t="str">
        <f>+Cuenta_Clasificacion[[#This Row],[Codigo Concepto de imputación]]&amp;" - "&amp;Cuenta_Clasificacion[[#This Row],[Nombre Concepto de imputación]]</f>
        <v>30042 - Bodega - Herramientas</v>
      </c>
    </row>
    <row r="634" spans="1:6" x14ac:dyDescent="0.25">
      <c r="A634" s="43">
        <v>4103001</v>
      </c>
      <c r="B634" t="s">
        <v>223</v>
      </c>
      <c r="C634" s="43">
        <v>30043</v>
      </c>
      <c r="D634" t="s">
        <v>2925</v>
      </c>
      <c r="E634" s="47" t="str">
        <f>+Cuenta_Clasificacion[[#This Row],[Código Cuenta Contable]]&amp;" - "&amp;Cuenta_Clasificacion[[#This Row],[Nombre de Cuenta Contable]]</f>
        <v>4103001 - Costos Maquinarias y Equipos</v>
      </c>
      <c r="F634" s="47" t="str">
        <f>+Cuenta_Clasificacion[[#This Row],[Codigo Concepto de imputación]]&amp;" - "&amp;Cuenta_Clasificacion[[#This Row],[Nombre Concepto de imputación]]</f>
        <v>30043 - Bodega - Herramienta Eléctrica</v>
      </c>
    </row>
    <row r="635" spans="1:6" x14ac:dyDescent="0.25">
      <c r="A635" s="43">
        <v>4103001</v>
      </c>
      <c r="B635" t="s">
        <v>223</v>
      </c>
      <c r="C635" s="43">
        <v>30044</v>
      </c>
      <c r="D635" t="s">
        <v>2926</v>
      </c>
      <c r="E635" s="47" t="str">
        <f>+Cuenta_Clasificacion[[#This Row],[Código Cuenta Contable]]&amp;" - "&amp;Cuenta_Clasificacion[[#This Row],[Nombre de Cuenta Contable]]</f>
        <v>4103001 - Costos Maquinarias y Equipos</v>
      </c>
      <c r="F635" s="47" t="str">
        <f>+Cuenta_Clasificacion[[#This Row],[Codigo Concepto de imputación]]&amp;" - "&amp;Cuenta_Clasificacion[[#This Row],[Nombre Concepto de imputación]]</f>
        <v>30044 - Bodega - Herramientas Manuales</v>
      </c>
    </row>
    <row r="636" spans="1:6" x14ac:dyDescent="0.25">
      <c r="A636" s="43">
        <v>4103001</v>
      </c>
      <c r="B636" t="s">
        <v>223</v>
      </c>
      <c r="C636" s="43">
        <v>30045</v>
      </c>
      <c r="D636" t="s">
        <v>2927</v>
      </c>
      <c r="E636" s="47" t="str">
        <f>+Cuenta_Clasificacion[[#This Row],[Código Cuenta Contable]]&amp;" - "&amp;Cuenta_Clasificacion[[#This Row],[Nombre de Cuenta Contable]]</f>
        <v>4103001 - Costos Maquinarias y Equipos</v>
      </c>
      <c r="F636" s="47" t="str">
        <f>+Cuenta_Clasificacion[[#This Row],[Codigo Concepto de imputación]]&amp;" - "&amp;Cuenta_Clasificacion[[#This Row],[Nombre Concepto de imputación]]</f>
        <v>30045 - Bodega - Maquinaria</v>
      </c>
    </row>
    <row r="637" spans="1:6" x14ac:dyDescent="0.25">
      <c r="A637" s="43">
        <v>4103001</v>
      </c>
      <c r="B637" t="s">
        <v>223</v>
      </c>
      <c r="C637" s="43">
        <v>30046</v>
      </c>
      <c r="D637" t="s">
        <v>2928</v>
      </c>
      <c r="E637" s="47" t="str">
        <f>+Cuenta_Clasificacion[[#This Row],[Código Cuenta Contable]]&amp;" - "&amp;Cuenta_Clasificacion[[#This Row],[Nombre de Cuenta Contable]]</f>
        <v>4103001 - Costos Maquinarias y Equipos</v>
      </c>
      <c r="F637" s="47" t="str">
        <f>+Cuenta_Clasificacion[[#This Row],[Codigo Concepto de imputación]]&amp;" - "&amp;Cuenta_Clasificacion[[#This Row],[Nombre Concepto de imputación]]</f>
        <v>30046 - Bodega - Camiones y Camionetas</v>
      </c>
    </row>
    <row r="638" spans="1:6" x14ac:dyDescent="0.25">
      <c r="A638" s="43">
        <v>4103001</v>
      </c>
      <c r="B638" t="s">
        <v>223</v>
      </c>
      <c r="C638" s="43">
        <v>30047</v>
      </c>
      <c r="D638" t="s">
        <v>2929</v>
      </c>
      <c r="E638" s="47" t="str">
        <f>+Cuenta_Clasificacion[[#This Row],[Código Cuenta Contable]]&amp;" - "&amp;Cuenta_Clasificacion[[#This Row],[Nombre de Cuenta Contable]]</f>
        <v>4103001 - Costos Maquinarias y Equipos</v>
      </c>
      <c r="F638" s="47" t="str">
        <f>+Cuenta_Clasificacion[[#This Row],[Codigo Concepto de imputación]]&amp;" - "&amp;Cuenta_Clasificacion[[#This Row],[Nombre Concepto de imputación]]</f>
        <v>30047 - Bodega - Viga de Madera</v>
      </c>
    </row>
    <row r="639" spans="1:6" x14ac:dyDescent="0.25">
      <c r="A639" s="43">
        <v>4103001</v>
      </c>
      <c r="B639" t="s">
        <v>223</v>
      </c>
      <c r="C639" s="43">
        <v>30048</v>
      </c>
      <c r="D639" t="s">
        <v>2930</v>
      </c>
      <c r="E639" s="47" t="str">
        <f>+Cuenta_Clasificacion[[#This Row],[Código Cuenta Contable]]&amp;" - "&amp;Cuenta_Clasificacion[[#This Row],[Nombre de Cuenta Contable]]</f>
        <v>4103001 - Costos Maquinarias y Equipos</v>
      </c>
      <c r="F639" s="47" t="str">
        <f>+Cuenta_Clasificacion[[#This Row],[Codigo Concepto de imputación]]&amp;" - "&amp;Cuenta_Clasificacion[[#This Row],[Nombre Concepto de imputación]]</f>
        <v>30048 - Bodega - Plachas</v>
      </c>
    </row>
    <row r="640" spans="1:6" x14ac:dyDescent="0.25">
      <c r="A640" s="43">
        <v>4103001</v>
      </c>
      <c r="B640" t="s">
        <v>223</v>
      </c>
      <c r="C640" s="43">
        <v>30049</v>
      </c>
      <c r="D640" t="s">
        <v>2931</v>
      </c>
      <c r="E640" s="47" t="str">
        <f>+Cuenta_Clasificacion[[#This Row],[Código Cuenta Contable]]&amp;" - "&amp;Cuenta_Clasificacion[[#This Row],[Nombre de Cuenta Contable]]</f>
        <v>4103001 - Costos Maquinarias y Equipos</v>
      </c>
      <c r="F640" s="47" t="str">
        <f>+Cuenta_Clasificacion[[#This Row],[Codigo Concepto de imputación]]&amp;" - "&amp;Cuenta_Clasificacion[[#This Row],[Nombre Concepto de imputación]]</f>
        <v>30049 - Bodega - Moldajes</v>
      </c>
    </row>
    <row r="641" spans="1:6" x14ac:dyDescent="0.25">
      <c r="A641" s="43">
        <v>4103001</v>
      </c>
      <c r="B641" t="s">
        <v>223</v>
      </c>
      <c r="C641" s="43">
        <v>30050</v>
      </c>
      <c r="D641" t="s">
        <v>2932</v>
      </c>
      <c r="E641" s="47" t="str">
        <f>+Cuenta_Clasificacion[[#This Row],[Código Cuenta Contable]]&amp;" - "&amp;Cuenta_Clasificacion[[#This Row],[Nombre de Cuenta Contable]]</f>
        <v>4103001 - Costos Maquinarias y Equipos</v>
      </c>
      <c r="F641" s="47" t="str">
        <f>+Cuenta_Clasificacion[[#This Row],[Codigo Concepto de imputación]]&amp;" - "&amp;Cuenta_Clasificacion[[#This Row],[Nombre Concepto de imputación]]</f>
        <v>30050 - Bodega - Andamios</v>
      </c>
    </row>
    <row r="642" spans="1:6" x14ac:dyDescent="0.25">
      <c r="A642" s="43">
        <v>4103001</v>
      </c>
      <c r="B642" t="s">
        <v>223</v>
      </c>
      <c r="C642" s="43">
        <v>30051</v>
      </c>
      <c r="D642" t="s">
        <v>2933</v>
      </c>
      <c r="E642" s="47" t="str">
        <f>+Cuenta_Clasificacion[[#This Row],[Código Cuenta Contable]]&amp;" - "&amp;Cuenta_Clasificacion[[#This Row],[Nombre de Cuenta Contable]]</f>
        <v>4103001 - Costos Maquinarias y Equipos</v>
      </c>
      <c r="F642" s="47" t="str">
        <f>+Cuenta_Clasificacion[[#This Row],[Codigo Concepto de imputación]]&amp;" - "&amp;Cuenta_Clasificacion[[#This Row],[Nombre Concepto de imputación]]</f>
        <v>30051 - Bodega - Topográficos</v>
      </c>
    </row>
    <row r="643" spans="1:6" x14ac:dyDescent="0.25">
      <c r="A643" s="43">
        <v>4103001</v>
      </c>
      <c r="B643" t="s">
        <v>223</v>
      </c>
      <c r="C643" s="43">
        <v>30052</v>
      </c>
      <c r="D643" t="s">
        <v>2934</v>
      </c>
      <c r="E643" s="47" t="str">
        <f>+Cuenta_Clasificacion[[#This Row],[Código Cuenta Contable]]&amp;" - "&amp;Cuenta_Clasificacion[[#This Row],[Nombre de Cuenta Contable]]</f>
        <v>4103001 - Costos Maquinarias y Equipos</v>
      </c>
      <c r="F643" s="47" t="str">
        <f>+Cuenta_Clasificacion[[#This Row],[Codigo Concepto de imputación]]&amp;" - "&amp;Cuenta_Clasificacion[[#This Row],[Nombre Concepto de imputación]]</f>
        <v>30052 - Bodega - Eq. Oficina</v>
      </c>
    </row>
    <row r="644" spans="1:6" x14ac:dyDescent="0.25">
      <c r="A644" s="43">
        <v>4103001</v>
      </c>
      <c r="B644" t="s">
        <v>223</v>
      </c>
      <c r="C644" s="43">
        <v>30053</v>
      </c>
      <c r="D644" t="s">
        <v>2935</v>
      </c>
      <c r="E644" s="47" t="str">
        <f>+Cuenta_Clasificacion[[#This Row],[Código Cuenta Contable]]&amp;" - "&amp;Cuenta_Clasificacion[[#This Row],[Nombre de Cuenta Contable]]</f>
        <v>4103001 - Costos Maquinarias y Equipos</v>
      </c>
      <c r="F644" s="47" t="str">
        <f>+Cuenta_Clasificacion[[#This Row],[Codigo Concepto de imputación]]&amp;" - "&amp;Cuenta_Clasificacion[[#This Row],[Nombre Concepto de imputación]]</f>
        <v>30053 - Bodega - Eq. Radio</v>
      </c>
    </row>
    <row r="645" spans="1:6" x14ac:dyDescent="0.25">
      <c r="A645" s="43">
        <v>4103001</v>
      </c>
      <c r="B645" t="s">
        <v>223</v>
      </c>
      <c r="C645" s="43">
        <v>30054</v>
      </c>
      <c r="D645" t="s">
        <v>2936</v>
      </c>
      <c r="E645" s="47" t="str">
        <f>+Cuenta_Clasificacion[[#This Row],[Código Cuenta Contable]]&amp;" - "&amp;Cuenta_Clasificacion[[#This Row],[Nombre de Cuenta Contable]]</f>
        <v>4103001 - Costos Maquinarias y Equipos</v>
      </c>
      <c r="F645" s="47" t="str">
        <f>+Cuenta_Clasificacion[[#This Row],[Codigo Concepto de imputación]]&amp;" - "&amp;Cuenta_Clasificacion[[#This Row],[Nombre Concepto de imputación]]</f>
        <v>30054 - Bodega - Insumos Bodega</v>
      </c>
    </row>
    <row r="646" spans="1:6" x14ac:dyDescent="0.25">
      <c r="A646" s="43">
        <v>4103001</v>
      </c>
      <c r="B646" t="s">
        <v>223</v>
      </c>
      <c r="C646" s="43">
        <v>30055</v>
      </c>
      <c r="D646" t="s">
        <v>2937</v>
      </c>
      <c r="E646" s="47" t="str">
        <f>+Cuenta_Clasificacion[[#This Row],[Código Cuenta Contable]]&amp;" - "&amp;Cuenta_Clasificacion[[#This Row],[Nombre de Cuenta Contable]]</f>
        <v>4103001 - Costos Maquinarias y Equipos</v>
      </c>
      <c r="F646" s="47" t="str">
        <f>+Cuenta_Clasificacion[[#This Row],[Codigo Concepto de imputación]]&amp;" - "&amp;Cuenta_Clasificacion[[#This Row],[Nombre Concepto de imputación]]</f>
        <v>30055 - Bodega - Fletes</v>
      </c>
    </row>
    <row r="647" spans="1:6" x14ac:dyDescent="0.25">
      <c r="A647" s="43">
        <v>4103001</v>
      </c>
      <c r="B647" t="s">
        <v>223</v>
      </c>
      <c r="C647" s="43">
        <v>30056</v>
      </c>
      <c r="D647" t="s">
        <v>2938</v>
      </c>
      <c r="E647" s="47" t="str">
        <f>+Cuenta_Clasificacion[[#This Row],[Código Cuenta Contable]]&amp;" - "&amp;Cuenta_Clasificacion[[#This Row],[Nombre de Cuenta Contable]]</f>
        <v>4103001 - Costos Maquinarias y Equipos</v>
      </c>
      <c r="F647" s="47" t="str">
        <f>+Cuenta_Clasificacion[[#This Row],[Codigo Concepto de imputación]]&amp;" - "&amp;Cuenta_Clasificacion[[#This Row],[Nombre Concepto de imputación]]</f>
        <v>30056 - Bodega - EPP</v>
      </c>
    </row>
    <row r="648" spans="1:6" x14ac:dyDescent="0.25">
      <c r="A648" s="43">
        <v>4103001</v>
      </c>
      <c r="B648" t="s">
        <v>223</v>
      </c>
      <c r="C648" s="43">
        <v>30057</v>
      </c>
      <c r="D648" t="s">
        <v>2939</v>
      </c>
      <c r="E648" s="47" t="str">
        <f>+Cuenta_Clasificacion[[#This Row],[Código Cuenta Contable]]&amp;" - "&amp;Cuenta_Clasificacion[[#This Row],[Nombre de Cuenta Contable]]</f>
        <v>4103001 - Costos Maquinarias y Equipos</v>
      </c>
      <c r="F648" s="47" t="str">
        <f>+Cuenta_Clasificacion[[#This Row],[Codigo Concepto de imputación]]&amp;" - "&amp;Cuenta_Clasificacion[[#This Row],[Nombre Concepto de imputación]]</f>
        <v>30057 - Bodega - Mobiliario</v>
      </c>
    </row>
    <row r="649" spans="1:6" x14ac:dyDescent="0.25">
      <c r="A649" s="43">
        <v>4103001</v>
      </c>
      <c r="B649" t="s">
        <v>223</v>
      </c>
      <c r="C649" s="43">
        <v>30058</v>
      </c>
      <c r="D649" t="s">
        <v>2940</v>
      </c>
      <c r="E649" s="47" t="str">
        <f>+Cuenta_Clasificacion[[#This Row],[Código Cuenta Contable]]&amp;" - "&amp;Cuenta_Clasificacion[[#This Row],[Nombre de Cuenta Contable]]</f>
        <v>4103001 - Costos Maquinarias y Equipos</v>
      </c>
      <c r="F649" s="47" t="str">
        <f>+Cuenta_Clasificacion[[#This Row],[Codigo Concepto de imputación]]&amp;" - "&amp;Cuenta_Clasificacion[[#This Row],[Nombre Concepto de imputación]]</f>
        <v>30058 - Bodega - Visicooler</v>
      </c>
    </row>
    <row r="650" spans="1:6" x14ac:dyDescent="0.25">
      <c r="A650" s="43">
        <v>4103001</v>
      </c>
      <c r="B650" t="s">
        <v>223</v>
      </c>
      <c r="C650" s="43">
        <v>50008</v>
      </c>
      <c r="D650" t="s">
        <v>2897</v>
      </c>
      <c r="E650" s="47" t="str">
        <f>+Cuenta_Clasificacion[[#This Row],[Código Cuenta Contable]]&amp;" - "&amp;Cuenta_Clasificacion[[#This Row],[Nombre de Cuenta Contable]]</f>
        <v>4103001 - Costos Maquinarias y Equipos</v>
      </c>
      <c r="F650" s="47" t="str">
        <f>+Cuenta_Clasificacion[[#This Row],[Codigo Concepto de imputación]]&amp;" - "&amp;Cuenta_Clasificacion[[#This Row],[Nombre Concepto de imputación]]</f>
        <v>50008 - Alimentos</v>
      </c>
    </row>
    <row r="651" spans="1:6" x14ac:dyDescent="0.25">
      <c r="A651" s="43">
        <v>4103001</v>
      </c>
      <c r="B651" t="s">
        <v>223</v>
      </c>
      <c r="C651" s="43">
        <v>50009</v>
      </c>
      <c r="D651" t="s">
        <v>2898</v>
      </c>
      <c r="E651" s="47" t="str">
        <f>+Cuenta_Clasificacion[[#This Row],[Código Cuenta Contable]]&amp;" - "&amp;Cuenta_Clasificacion[[#This Row],[Nombre de Cuenta Contable]]</f>
        <v>4103001 - Costos Maquinarias y Equipos</v>
      </c>
      <c r="F651" s="47" t="str">
        <f>+Cuenta_Clasificacion[[#This Row],[Codigo Concepto de imputación]]&amp;" - "&amp;Cuenta_Clasificacion[[#This Row],[Nombre Concepto de imputación]]</f>
        <v>50009 - Aseo y Cocina</v>
      </c>
    </row>
    <row r="652" spans="1:6" x14ac:dyDescent="0.25">
      <c r="A652" s="43">
        <v>4103001</v>
      </c>
      <c r="B652" t="s">
        <v>223</v>
      </c>
      <c r="C652" s="43">
        <v>50010</v>
      </c>
      <c r="D652" t="s">
        <v>2899</v>
      </c>
      <c r="E652" s="47" t="str">
        <f>+Cuenta_Clasificacion[[#This Row],[Código Cuenta Contable]]&amp;" - "&amp;Cuenta_Clasificacion[[#This Row],[Nombre de Cuenta Contable]]</f>
        <v>4103001 - Costos Maquinarias y Equipos</v>
      </c>
      <c r="F652" s="47" t="str">
        <f>+Cuenta_Clasificacion[[#This Row],[Codigo Concepto de imputación]]&amp;" - "&amp;Cuenta_Clasificacion[[#This Row],[Nombre Concepto de imputación]]</f>
        <v>50010 - Buses y Radiotaxi</v>
      </c>
    </row>
    <row r="653" spans="1:6" x14ac:dyDescent="0.25">
      <c r="A653" s="43">
        <v>4103001</v>
      </c>
      <c r="B653" t="s">
        <v>223</v>
      </c>
      <c r="C653" s="43">
        <v>50013</v>
      </c>
      <c r="D653" t="s">
        <v>2902</v>
      </c>
      <c r="E653" s="47" t="str">
        <f>+Cuenta_Clasificacion[[#This Row],[Código Cuenta Contable]]&amp;" - "&amp;Cuenta_Clasificacion[[#This Row],[Nombre de Cuenta Contable]]</f>
        <v>4103001 - Costos Maquinarias y Equipos</v>
      </c>
      <c r="F653" s="47" t="str">
        <f>+Cuenta_Clasificacion[[#This Row],[Codigo Concepto de imputación]]&amp;" - "&amp;Cuenta_Clasificacion[[#This Row],[Nombre Concepto de imputación]]</f>
        <v>50013 - Seguros</v>
      </c>
    </row>
    <row r="654" spans="1:6" x14ac:dyDescent="0.25">
      <c r="A654" s="43">
        <v>4103001</v>
      </c>
      <c r="B654" t="s">
        <v>223</v>
      </c>
      <c r="C654" s="43">
        <v>50014</v>
      </c>
      <c r="D654" t="s">
        <v>2903</v>
      </c>
      <c r="E654" s="47" t="str">
        <f>+Cuenta_Clasificacion[[#This Row],[Código Cuenta Contable]]&amp;" - "&amp;Cuenta_Clasificacion[[#This Row],[Nombre de Cuenta Contable]]</f>
        <v>4103001 - Costos Maquinarias y Equipos</v>
      </c>
      <c r="F654" s="47" t="str">
        <f>+Cuenta_Clasificacion[[#This Row],[Codigo Concepto de imputación]]&amp;" - "&amp;Cuenta_Clasificacion[[#This Row],[Nombre Concepto de imputación]]</f>
        <v>50014 - Tramitaciones</v>
      </c>
    </row>
    <row r="655" spans="1:6" x14ac:dyDescent="0.25">
      <c r="A655" s="43">
        <v>4103001</v>
      </c>
      <c r="B655" t="s">
        <v>223</v>
      </c>
      <c r="C655" s="43">
        <v>50015</v>
      </c>
      <c r="D655" t="s">
        <v>2904</v>
      </c>
      <c r="E655" s="47" t="str">
        <f>+Cuenta_Clasificacion[[#This Row],[Código Cuenta Contable]]&amp;" - "&amp;Cuenta_Clasificacion[[#This Row],[Nombre de Cuenta Contable]]</f>
        <v>4103001 - Costos Maquinarias y Equipos</v>
      </c>
      <c r="F655" s="47" t="str">
        <f>+Cuenta_Clasificacion[[#This Row],[Codigo Concepto de imputación]]&amp;" - "&amp;Cuenta_Clasificacion[[#This Row],[Nombre Concepto de imputación]]</f>
        <v>50015 - Transporte</v>
      </c>
    </row>
    <row r="656" spans="1:6" x14ac:dyDescent="0.25">
      <c r="A656" s="43">
        <v>4103001</v>
      </c>
      <c r="B656" t="s">
        <v>223</v>
      </c>
      <c r="C656" s="43">
        <v>50016</v>
      </c>
      <c r="D656" t="s">
        <v>2905</v>
      </c>
      <c r="E656" s="47" t="str">
        <f>+Cuenta_Clasificacion[[#This Row],[Código Cuenta Contable]]&amp;" - "&amp;Cuenta_Clasificacion[[#This Row],[Nombre de Cuenta Contable]]</f>
        <v>4103001 - Costos Maquinarias y Equipos</v>
      </c>
      <c r="F656" s="47" t="str">
        <f>+Cuenta_Clasificacion[[#This Row],[Codigo Concepto de imputación]]&amp;" - "&amp;Cuenta_Clasificacion[[#This Row],[Nombre Concepto de imputación]]</f>
        <v>50016 - Útiles Oficina</v>
      </c>
    </row>
    <row r="657" spans="1:6" x14ac:dyDescent="0.25">
      <c r="A657" s="43">
        <v>4103001</v>
      </c>
      <c r="B657" t="s">
        <v>223</v>
      </c>
      <c r="C657" s="43">
        <v>50021</v>
      </c>
      <c r="D657" t="s">
        <v>2907</v>
      </c>
      <c r="E657" s="47" t="str">
        <f>+Cuenta_Clasificacion[[#This Row],[Código Cuenta Contable]]&amp;" - "&amp;Cuenta_Clasificacion[[#This Row],[Nombre de Cuenta Contable]]</f>
        <v>4103001 - Costos Maquinarias y Equipos</v>
      </c>
      <c r="F657" s="47" t="str">
        <f>+Cuenta_Clasificacion[[#This Row],[Codigo Concepto de imputación]]&amp;" - "&amp;Cuenta_Clasificacion[[#This Row],[Nombre Concepto de imputación]]</f>
        <v>50021 - Consumos de Obra</v>
      </c>
    </row>
    <row r="658" spans="1:6" x14ac:dyDescent="0.25">
      <c r="A658" s="43">
        <v>4103001</v>
      </c>
      <c r="B658" t="s">
        <v>223</v>
      </c>
      <c r="C658" s="43">
        <v>50023</v>
      </c>
      <c r="D658" t="s">
        <v>2908</v>
      </c>
      <c r="E658" s="47" t="str">
        <f>+Cuenta_Clasificacion[[#This Row],[Código Cuenta Contable]]&amp;" - "&amp;Cuenta_Clasificacion[[#This Row],[Nombre de Cuenta Contable]]</f>
        <v>4103001 - Costos Maquinarias y Equipos</v>
      </c>
      <c r="F658" s="47" t="str">
        <f>+Cuenta_Clasificacion[[#This Row],[Codigo Concepto de imputación]]&amp;" - "&amp;Cuenta_Clasificacion[[#This Row],[Nombre Concepto de imputación]]</f>
        <v>50023 - Pasajes, Hotel y Otros GG</v>
      </c>
    </row>
    <row r="659" spans="1:6" x14ac:dyDescent="0.25">
      <c r="A659" s="43">
        <v>4103001</v>
      </c>
      <c r="B659" t="s">
        <v>223</v>
      </c>
      <c r="C659" s="43">
        <v>50024</v>
      </c>
      <c r="D659" t="s">
        <v>2729</v>
      </c>
      <c r="E659" s="47" t="str">
        <f>+Cuenta_Clasificacion[[#This Row],[Código Cuenta Contable]]&amp;" - "&amp;Cuenta_Clasificacion[[#This Row],[Nombre de Cuenta Contable]]</f>
        <v>4103001 - Costos Maquinarias y Equipos</v>
      </c>
      <c r="F659" s="47" t="str">
        <f>+Cuenta_Clasificacion[[#This Row],[Codigo Concepto de imputación]]&amp;" - "&amp;Cuenta_Clasificacion[[#This Row],[Nombre Concepto de imputación]]</f>
        <v>50024 - Combustibles</v>
      </c>
    </row>
    <row r="660" spans="1:6" x14ac:dyDescent="0.25">
      <c r="A660" s="43">
        <v>4103001</v>
      </c>
      <c r="B660" t="s">
        <v>223</v>
      </c>
      <c r="C660" s="43">
        <v>77777</v>
      </c>
      <c r="D660" t="s">
        <v>2703</v>
      </c>
      <c r="E660" s="47" t="str">
        <f>+Cuenta_Clasificacion[[#This Row],[Código Cuenta Contable]]&amp;" - "&amp;Cuenta_Clasificacion[[#This Row],[Nombre de Cuenta Contable]]</f>
        <v>4103001 - Costos Maquinarias y Equipos</v>
      </c>
      <c r="F660" s="47" t="str">
        <f>+Cuenta_Clasificacion[[#This Row],[Codigo Concepto de imputación]]&amp;" - "&amp;Cuenta_Clasificacion[[#This Row],[Nombre Concepto de imputación]]</f>
        <v>77777 - REGULARIZACIONES</v>
      </c>
    </row>
    <row r="661" spans="1:6" x14ac:dyDescent="0.25">
      <c r="A661" s="43">
        <v>4103020</v>
      </c>
      <c r="B661" t="s">
        <v>224</v>
      </c>
      <c r="C661" s="43">
        <v>10038</v>
      </c>
      <c r="D661" t="s">
        <v>2697</v>
      </c>
      <c r="E661" s="47" t="str">
        <f>+Cuenta_Clasificacion[[#This Row],[Código Cuenta Contable]]&amp;" - "&amp;Cuenta_Clasificacion[[#This Row],[Nombre de Cuenta Contable]]</f>
        <v>4103020 - Arriendos Internos</v>
      </c>
      <c r="F661" s="47" t="str">
        <f>+Cuenta_Clasificacion[[#This Row],[Codigo Concepto de imputación]]&amp;" - "&amp;Cuenta_Clasificacion[[#This Row],[Nombre Concepto de imputación]]</f>
        <v>10038 - Fletes (por orden de compra)</v>
      </c>
    </row>
    <row r="662" spans="1:6" x14ac:dyDescent="0.25">
      <c r="A662" s="43">
        <v>4103020</v>
      </c>
      <c r="B662" t="s">
        <v>224</v>
      </c>
      <c r="C662" s="43">
        <v>30001</v>
      </c>
      <c r="D662" t="s">
        <v>2869</v>
      </c>
      <c r="E662" s="47" t="str">
        <f>+Cuenta_Clasificacion[[#This Row],[Código Cuenta Contable]]&amp;" - "&amp;Cuenta_Clasificacion[[#This Row],[Nombre de Cuenta Contable]]</f>
        <v>4103020 - Arriendos Internos</v>
      </c>
      <c r="F662" s="47" t="str">
        <f>+Cuenta_Clasificacion[[#This Row],[Codigo Concepto de imputación]]&amp;" - "&amp;Cuenta_Clasificacion[[#This Row],[Nombre Concepto de imputación]]</f>
        <v>30001 - Andamios</v>
      </c>
    </row>
    <row r="663" spans="1:6" x14ac:dyDescent="0.25">
      <c r="A663" s="43">
        <v>4103020</v>
      </c>
      <c r="B663" t="s">
        <v>224</v>
      </c>
      <c r="C663" s="43">
        <v>30013</v>
      </c>
      <c r="D663" t="s">
        <v>2877</v>
      </c>
      <c r="E663" s="47" t="str">
        <f>+Cuenta_Clasificacion[[#This Row],[Código Cuenta Contable]]&amp;" - "&amp;Cuenta_Clasificacion[[#This Row],[Nombre de Cuenta Contable]]</f>
        <v>4103020 - Arriendos Internos</v>
      </c>
      <c r="F663" s="47" t="str">
        <f>+Cuenta_Clasificacion[[#This Row],[Codigo Concepto de imputación]]&amp;" - "&amp;Cuenta_Clasificacion[[#This Row],[Nombre Concepto de imputación]]</f>
        <v>30013 - Rotomartillos</v>
      </c>
    </row>
    <row r="664" spans="1:6" x14ac:dyDescent="0.25">
      <c r="A664" s="43">
        <v>4103020</v>
      </c>
      <c r="B664" t="s">
        <v>224</v>
      </c>
      <c r="C664" s="43">
        <v>30017</v>
      </c>
      <c r="D664" t="s">
        <v>2881</v>
      </c>
      <c r="E664" s="47" t="str">
        <f>+Cuenta_Clasificacion[[#This Row],[Código Cuenta Contable]]&amp;" - "&amp;Cuenta_Clasificacion[[#This Row],[Nombre de Cuenta Contable]]</f>
        <v>4103020 - Arriendos Internos</v>
      </c>
      <c r="F664" s="47" t="str">
        <f>+Cuenta_Clasificacion[[#This Row],[Codigo Concepto de imputación]]&amp;" - "&amp;Cuenta_Clasificacion[[#This Row],[Nombre Concepto de imputación]]</f>
        <v>30017 - Sbctto Arr Baños y Duchas</v>
      </c>
    </row>
    <row r="665" spans="1:6" x14ac:dyDescent="0.25">
      <c r="A665" s="43">
        <v>4103020</v>
      </c>
      <c r="B665" t="s">
        <v>224</v>
      </c>
      <c r="C665" s="43">
        <v>30020</v>
      </c>
      <c r="D665" t="s">
        <v>2884</v>
      </c>
      <c r="E665" s="47" t="str">
        <f>+Cuenta_Clasificacion[[#This Row],[Código Cuenta Contable]]&amp;" - "&amp;Cuenta_Clasificacion[[#This Row],[Nombre de Cuenta Contable]]</f>
        <v>4103020 - Arriendos Internos</v>
      </c>
      <c r="F665" s="47" t="str">
        <f>+Cuenta_Clasificacion[[#This Row],[Codigo Concepto de imputación]]&amp;" - "&amp;Cuenta_Clasificacion[[#This Row],[Nombre Concepto de imputación]]</f>
        <v>30020 - Sbctto Arr Compresores</v>
      </c>
    </row>
    <row r="666" spans="1:6" x14ac:dyDescent="0.25">
      <c r="A666" s="43">
        <v>4103020</v>
      </c>
      <c r="B666" t="s">
        <v>224</v>
      </c>
      <c r="C666" s="43">
        <v>30024</v>
      </c>
      <c r="D666" t="s">
        <v>2888</v>
      </c>
      <c r="E666" s="47" t="str">
        <f>+Cuenta_Clasificacion[[#This Row],[Código Cuenta Contable]]&amp;" - "&amp;Cuenta_Clasificacion[[#This Row],[Nombre de Cuenta Contable]]</f>
        <v>4103020 - Arriendos Internos</v>
      </c>
      <c r="F666" s="47" t="str">
        <f>+Cuenta_Clasificacion[[#This Row],[Codigo Concepto de imputación]]&amp;" - "&amp;Cuenta_Clasificacion[[#This Row],[Nombre Concepto de imputación]]</f>
        <v>30024 - Sbctto Arr Eq Varios</v>
      </c>
    </row>
    <row r="667" spans="1:6" x14ac:dyDescent="0.25">
      <c r="A667" s="43">
        <v>4103020</v>
      </c>
      <c r="B667" t="s">
        <v>224</v>
      </c>
      <c r="C667" s="43">
        <v>30029</v>
      </c>
      <c r="D667" t="s">
        <v>2893</v>
      </c>
      <c r="E667" s="47" t="str">
        <f>+Cuenta_Clasificacion[[#This Row],[Código Cuenta Contable]]&amp;" - "&amp;Cuenta_Clasificacion[[#This Row],[Nombre de Cuenta Contable]]</f>
        <v>4103020 - Arriendos Internos</v>
      </c>
      <c r="F667" s="47" t="str">
        <f>+Cuenta_Clasificacion[[#This Row],[Codigo Concepto de imputación]]&amp;" - "&amp;Cuenta_Clasificacion[[#This Row],[Nombre Concepto de imputación]]</f>
        <v>30029 - Sbctto Arr Rotomartillos</v>
      </c>
    </row>
    <row r="668" spans="1:6" x14ac:dyDescent="0.25">
      <c r="A668" s="43">
        <v>4103020</v>
      </c>
      <c r="B668" t="s">
        <v>224</v>
      </c>
      <c r="C668" s="43">
        <v>30035</v>
      </c>
      <c r="D668" t="s">
        <v>2917</v>
      </c>
      <c r="E668" s="47" t="str">
        <f>+Cuenta_Clasificacion[[#This Row],[Código Cuenta Contable]]&amp;" - "&amp;Cuenta_Clasificacion[[#This Row],[Nombre de Cuenta Contable]]</f>
        <v>4103020 - Arriendos Internos</v>
      </c>
      <c r="F668" s="47" t="str">
        <f>+Cuenta_Clasificacion[[#This Row],[Codigo Concepto de imputación]]&amp;" - "&amp;Cuenta_Clasificacion[[#This Row],[Nombre Concepto de imputación]]</f>
        <v>30035 - Bodega - Grúa Torre</v>
      </c>
    </row>
    <row r="669" spans="1:6" x14ac:dyDescent="0.25">
      <c r="A669" s="43">
        <v>4103020</v>
      </c>
      <c r="B669" t="s">
        <v>224</v>
      </c>
      <c r="C669" s="43">
        <v>30039</v>
      </c>
      <c r="D669" t="s">
        <v>2921</v>
      </c>
      <c r="E669" s="47" t="str">
        <f>+Cuenta_Clasificacion[[#This Row],[Código Cuenta Contable]]&amp;" - "&amp;Cuenta_Clasificacion[[#This Row],[Nombre de Cuenta Contable]]</f>
        <v>4103020 - Arriendos Internos</v>
      </c>
      <c r="F669" s="47" t="str">
        <f>+Cuenta_Clasificacion[[#This Row],[Codigo Concepto de imputación]]&amp;" - "&amp;Cuenta_Clasificacion[[#This Row],[Nombre Concepto de imputación]]</f>
        <v>30039 - Bodega - Ascensores</v>
      </c>
    </row>
    <row r="670" spans="1:6" x14ac:dyDescent="0.25">
      <c r="A670" s="43">
        <v>4103020</v>
      </c>
      <c r="B670" t="s">
        <v>224</v>
      </c>
      <c r="C670" s="43">
        <v>30040</v>
      </c>
      <c r="D670" t="s">
        <v>2922</v>
      </c>
      <c r="E670" s="47" t="str">
        <f>+Cuenta_Clasificacion[[#This Row],[Código Cuenta Contable]]&amp;" - "&amp;Cuenta_Clasificacion[[#This Row],[Nombre de Cuenta Contable]]</f>
        <v>4103020 - Arriendos Internos</v>
      </c>
      <c r="F670" s="47" t="str">
        <f>+Cuenta_Clasificacion[[#This Row],[Codigo Concepto de imputación]]&amp;" - "&amp;Cuenta_Clasificacion[[#This Row],[Nombre Concepto de imputación]]</f>
        <v>30040 - Bodega - Brazo Dist. Hormigón</v>
      </c>
    </row>
    <row r="671" spans="1:6" x14ac:dyDescent="0.25">
      <c r="A671" s="43">
        <v>4103020</v>
      </c>
      <c r="B671" t="s">
        <v>224</v>
      </c>
      <c r="C671" s="43">
        <v>30041</v>
      </c>
      <c r="D671" t="s">
        <v>2923</v>
      </c>
      <c r="E671" s="47" t="str">
        <f>+Cuenta_Clasificacion[[#This Row],[Código Cuenta Contable]]&amp;" - "&amp;Cuenta_Clasificacion[[#This Row],[Nombre de Cuenta Contable]]</f>
        <v>4103020 - Arriendos Internos</v>
      </c>
      <c r="F671" s="47" t="str">
        <f>+Cuenta_Clasificacion[[#This Row],[Codigo Concepto de imputación]]&amp;" - "&amp;Cuenta_Clasificacion[[#This Row],[Nombre Concepto de imputación]]</f>
        <v>30041 - Bodega - Contenedores</v>
      </c>
    </row>
    <row r="672" spans="1:6" x14ac:dyDescent="0.25">
      <c r="A672" s="43">
        <v>4103020</v>
      </c>
      <c r="B672" t="s">
        <v>224</v>
      </c>
      <c r="C672" s="43">
        <v>30045</v>
      </c>
      <c r="D672" t="s">
        <v>2927</v>
      </c>
      <c r="E672" s="47" t="str">
        <f>+Cuenta_Clasificacion[[#This Row],[Código Cuenta Contable]]&amp;" - "&amp;Cuenta_Clasificacion[[#This Row],[Nombre de Cuenta Contable]]</f>
        <v>4103020 - Arriendos Internos</v>
      </c>
      <c r="F672" s="47" t="str">
        <f>+Cuenta_Clasificacion[[#This Row],[Codigo Concepto de imputación]]&amp;" - "&amp;Cuenta_Clasificacion[[#This Row],[Nombre Concepto de imputación]]</f>
        <v>30045 - Bodega - Maquinaria</v>
      </c>
    </row>
    <row r="673" spans="1:6" x14ac:dyDescent="0.25">
      <c r="A673" s="43">
        <v>4103020</v>
      </c>
      <c r="B673" t="s">
        <v>224</v>
      </c>
      <c r="C673" s="43">
        <v>30049</v>
      </c>
      <c r="D673" t="s">
        <v>2931</v>
      </c>
      <c r="E673" s="47" t="str">
        <f>+Cuenta_Clasificacion[[#This Row],[Código Cuenta Contable]]&amp;" - "&amp;Cuenta_Clasificacion[[#This Row],[Nombre de Cuenta Contable]]</f>
        <v>4103020 - Arriendos Internos</v>
      </c>
      <c r="F673" s="47" t="str">
        <f>+Cuenta_Clasificacion[[#This Row],[Codigo Concepto de imputación]]&amp;" - "&amp;Cuenta_Clasificacion[[#This Row],[Nombre Concepto de imputación]]</f>
        <v>30049 - Bodega - Moldajes</v>
      </c>
    </row>
    <row r="674" spans="1:6" x14ac:dyDescent="0.25">
      <c r="A674" s="43">
        <v>4103020</v>
      </c>
      <c r="B674" t="s">
        <v>224</v>
      </c>
      <c r="C674" s="43">
        <v>30050</v>
      </c>
      <c r="D674" t="s">
        <v>2932</v>
      </c>
      <c r="E674" s="47" t="str">
        <f>+Cuenta_Clasificacion[[#This Row],[Código Cuenta Contable]]&amp;" - "&amp;Cuenta_Clasificacion[[#This Row],[Nombre de Cuenta Contable]]</f>
        <v>4103020 - Arriendos Internos</v>
      </c>
      <c r="F674" s="47" t="str">
        <f>+Cuenta_Clasificacion[[#This Row],[Codigo Concepto de imputación]]&amp;" - "&amp;Cuenta_Clasificacion[[#This Row],[Nombre Concepto de imputación]]</f>
        <v>30050 - Bodega - Andamios</v>
      </c>
    </row>
    <row r="675" spans="1:6" x14ac:dyDescent="0.25">
      <c r="A675" s="43">
        <v>4103020</v>
      </c>
      <c r="B675" t="s">
        <v>224</v>
      </c>
      <c r="C675" s="43">
        <v>30054</v>
      </c>
      <c r="D675" t="s">
        <v>2936</v>
      </c>
      <c r="E675" s="47" t="str">
        <f>+Cuenta_Clasificacion[[#This Row],[Código Cuenta Contable]]&amp;" - "&amp;Cuenta_Clasificacion[[#This Row],[Nombre de Cuenta Contable]]</f>
        <v>4103020 - Arriendos Internos</v>
      </c>
      <c r="F675" s="47" t="str">
        <f>+Cuenta_Clasificacion[[#This Row],[Codigo Concepto de imputación]]&amp;" - "&amp;Cuenta_Clasificacion[[#This Row],[Nombre Concepto de imputación]]</f>
        <v>30054 - Bodega - Insumos Bodega</v>
      </c>
    </row>
    <row r="676" spans="1:6" x14ac:dyDescent="0.25">
      <c r="A676" s="43">
        <v>4103020</v>
      </c>
      <c r="B676" t="s">
        <v>224</v>
      </c>
      <c r="C676" s="43">
        <v>30055</v>
      </c>
      <c r="D676" t="s">
        <v>2937</v>
      </c>
      <c r="E676" s="47" t="str">
        <f>+Cuenta_Clasificacion[[#This Row],[Código Cuenta Contable]]&amp;" - "&amp;Cuenta_Clasificacion[[#This Row],[Nombre de Cuenta Contable]]</f>
        <v>4103020 - Arriendos Internos</v>
      </c>
      <c r="F676" s="47" t="str">
        <f>+Cuenta_Clasificacion[[#This Row],[Codigo Concepto de imputación]]&amp;" - "&amp;Cuenta_Clasificacion[[#This Row],[Nombre Concepto de imputación]]</f>
        <v>30055 - Bodega - Fletes</v>
      </c>
    </row>
    <row r="677" spans="1:6" x14ac:dyDescent="0.25">
      <c r="A677" s="43">
        <v>4103020</v>
      </c>
      <c r="B677" t="s">
        <v>224</v>
      </c>
      <c r="C677" s="43">
        <v>30057</v>
      </c>
      <c r="D677" t="s">
        <v>2939</v>
      </c>
      <c r="E677" s="47" t="str">
        <f>+Cuenta_Clasificacion[[#This Row],[Código Cuenta Contable]]&amp;" - "&amp;Cuenta_Clasificacion[[#This Row],[Nombre de Cuenta Contable]]</f>
        <v>4103020 - Arriendos Internos</v>
      </c>
      <c r="F677" s="47" t="str">
        <f>+Cuenta_Clasificacion[[#This Row],[Codigo Concepto de imputación]]&amp;" - "&amp;Cuenta_Clasificacion[[#This Row],[Nombre Concepto de imputación]]</f>
        <v>30057 - Bodega - Mobiliario</v>
      </c>
    </row>
    <row r="678" spans="1:6" x14ac:dyDescent="0.25">
      <c r="A678" s="43">
        <v>4103020</v>
      </c>
      <c r="B678" t="s">
        <v>224</v>
      </c>
      <c r="C678" s="43">
        <v>50001</v>
      </c>
      <c r="D678" t="s">
        <v>2941</v>
      </c>
      <c r="E678" s="47" t="str">
        <f>+Cuenta_Clasificacion[[#This Row],[Código Cuenta Contable]]&amp;" - "&amp;Cuenta_Clasificacion[[#This Row],[Nombre de Cuenta Contable]]</f>
        <v>4103020 - Arriendos Internos</v>
      </c>
      <c r="F678" s="47" t="str">
        <f>+Cuenta_Clasificacion[[#This Row],[Codigo Concepto de imputación]]&amp;" - "&amp;Cuenta_Clasificacion[[#This Row],[Nombre Concepto de imputación]]</f>
        <v>50001 - Bodega - Consumo Básico</v>
      </c>
    </row>
    <row r="679" spans="1:6" x14ac:dyDescent="0.25">
      <c r="A679" s="43">
        <v>4103020</v>
      </c>
      <c r="B679" t="s">
        <v>224</v>
      </c>
      <c r="C679" s="43">
        <v>50009</v>
      </c>
      <c r="D679" t="s">
        <v>2898</v>
      </c>
      <c r="E679" s="47" t="str">
        <f>+Cuenta_Clasificacion[[#This Row],[Código Cuenta Contable]]&amp;" - "&amp;Cuenta_Clasificacion[[#This Row],[Nombre de Cuenta Contable]]</f>
        <v>4103020 - Arriendos Internos</v>
      </c>
      <c r="F679" s="47" t="str">
        <f>+Cuenta_Clasificacion[[#This Row],[Codigo Concepto de imputación]]&amp;" - "&amp;Cuenta_Clasificacion[[#This Row],[Nombre Concepto de imputación]]</f>
        <v>50009 - Aseo y Cocina</v>
      </c>
    </row>
    <row r="680" spans="1:6" x14ac:dyDescent="0.25">
      <c r="A680" s="43">
        <v>4103020</v>
      </c>
      <c r="B680" t="s">
        <v>224</v>
      </c>
      <c r="C680" s="43">
        <v>77777</v>
      </c>
      <c r="D680" t="s">
        <v>2703</v>
      </c>
      <c r="E680" s="47" t="str">
        <f>+Cuenta_Clasificacion[[#This Row],[Código Cuenta Contable]]&amp;" - "&amp;Cuenta_Clasificacion[[#This Row],[Nombre de Cuenta Contable]]</f>
        <v>4103020 - Arriendos Internos</v>
      </c>
      <c r="F680" s="47" t="str">
        <f>+Cuenta_Clasificacion[[#This Row],[Codigo Concepto de imputación]]&amp;" - "&amp;Cuenta_Clasificacion[[#This Row],[Nombre Concepto de imputación]]</f>
        <v>77777 - REGULARIZACIONES</v>
      </c>
    </row>
    <row r="681" spans="1:6" x14ac:dyDescent="0.25">
      <c r="A681" s="43">
        <v>4104016</v>
      </c>
      <c r="B681" t="s">
        <v>340</v>
      </c>
      <c r="C681" s="43">
        <v>60004</v>
      </c>
      <c r="D681" t="s">
        <v>2942</v>
      </c>
      <c r="E681" s="47" t="str">
        <f>+Cuenta_Clasificacion[[#This Row],[Código Cuenta Contable]]&amp;" - "&amp;Cuenta_Clasificacion[[#This Row],[Nombre de Cuenta Contable]]</f>
        <v>4104016 - Otros Ingreso Zona Extrema</v>
      </c>
      <c r="F681" s="47" t="str">
        <f>+Cuenta_Clasificacion[[#This Row],[Codigo Concepto de imputación]]&amp;" - "&amp;Cuenta_Clasificacion[[#This Row],[Nombre Concepto de imputación]]</f>
        <v>60004 - Ingresos Zona Extrema</v>
      </c>
    </row>
    <row r="682" spans="1:6" x14ac:dyDescent="0.25">
      <c r="A682" s="43">
        <v>4104025</v>
      </c>
      <c r="B682" t="s">
        <v>341</v>
      </c>
      <c r="C682" s="43">
        <v>40500</v>
      </c>
      <c r="D682" t="s">
        <v>2943</v>
      </c>
      <c r="E682" s="47" t="str">
        <f>+Cuenta_Clasificacion[[#This Row],[Código Cuenta Contable]]&amp;" - "&amp;Cuenta_Clasificacion[[#This Row],[Nombre de Cuenta Contable]]</f>
        <v>4104025 - Subsidio</v>
      </c>
      <c r="F682" s="47" t="str">
        <f>+Cuenta_Clasificacion[[#This Row],[Codigo Concepto de imputación]]&amp;" - "&amp;Cuenta_Clasificacion[[#This Row],[Nombre Concepto de imputación]]</f>
        <v>40500 - Distribución</v>
      </c>
    </row>
    <row r="683" spans="1:6" x14ac:dyDescent="0.25">
      <c r="A683" s="43">
        <v>4104030</v>
      </c>
      <c r="B683" t="s">
        <v>177</v>
      </c>
      <c r="C683" s="43">
        <v>40001</v>
      </c>
      <c r="D683" t="s">
        <v>2944</v>
      </c>
      <c r="E683" s="47" t="str">
        <f>+Cuenta_Clasificacion[[#This Row],[Código Cuenta Contable]]&amp;" - "&amp;Cuenta_Clasificacion[[#This Row],[Nombre de Cuenta Contable]]</f>
        <v>4104030 - Distribución Remuneraciones (MOD)</v>
      </c>
      <c r="F683" s="47" t="str">
        <f>+Cuenta_Clasificacion[[#This Row],[Codigo Concepto de imputación]]&amp;" - "&amp;Cuenta_Clasificacion[[#This Row],[Nombre Concepto de imputación]]</f>
        <v>40001 - Administrador de Obra</v>
      </c>
    </row>
    <row r="684" spans="1:6" x14ac:dyDescent="0.25">
      <c r="A684" s="43">
        <v>4104030</v>
      </c>
      <c r="B684" t="s">
        <v>177</v>
      </c>
      <c r="C684" s="43">
        <v>40002</v>
      </c>
      <c r="D684" t="s">
        <v>2945</v>
      </c>
      <c r="E684" s="47" t="str">
        <f>+Cuenta_Clasificacion[[#This Row],[Código Cuenta Contable]]&amp;" - "&amp;Cuenta_Clasificacion[[#This Row],[Nombre de Cuenta Contable]]</f>
        <v>4104030 - Distribución Remuneraciones (MOD)</v>
      </c>
      <c r="F684" s="47" t="str">
        <f>+Cuenta_Clasificacion[[#This Row],[Codigo Concepto de imputación]]&amp;" - "&amp;Cuenta_Clasificacion[[#This Row],[Nombre Concepto de imputación]]</f>
        <v>40002 - Administrador General</v>
      </c>
    </row>
    <row r="685" spans="1:6" x14ac:dyDescent="0.25">
      <c r="A685" s="43">
        <v>4104030</v>
      </c>
      <c r="B685" t="s">
        <v>177</v>
      </c>
      <c r="C685" s="43">
        <v>40003</v>
      </c>
      <c r="D685" t="s">
        <v>2946</v>
      </c>
      <c r="E685" s="47" t="str">
        <f>+Cuenta_Clasificacion[[#This Row],[Código Cuenta Contable]]&amp;" - "&amp;Cuenta_Clasificacion[[#This Row],[Nombre de Cuenta Contable]]</f>
        <v>4104030 - Distribución Remuneraciones (MOD)</v>
      </c>
      <c r="F685" s="47" t="str">
        <f>+Cuenta_Clasificacion[[#This Row],[Codigo Concepto de imputación]]&amp;" - "&amp;Cuenta_Clasificacion[[#This Row],[Nombre Concepto de imputación]]</f>
        <v>40003 - Administrativo de Obra</v>
      </c>
    </row>
    <row r="686" spans="1:6" x14ac:dyDescent="0.25">
      <c r="A686" s="43">
        <v>4104030</v>
      </c>
      <c r="B686" t="s">
        <v>177</v>
      </c>
      <c r="C686" s="43">
        <v>40004</v>
      </c>
      <c r="D686" t="s">
        <v>2947</v>
      </c>
      <c r="E686" s="47" t="str">
        <f>+Cuenta_Clasificacion[[#This Row],[Código Cuenta Contable]]&amp;" - "&amp;Cuenta_Clasificacion[[#This Row],[Nombre de Cuenta Contable]]</f>
        <v>4104030 - Distribución Remuneraciones (MOD)</v>
      </c>
      <c r="F686" s="47" t="str">
        <f>+Cuenta_Clasificacion[[#This Row],[Codigo Concepto de imputación]]&amp;" - "&amp;Cuenta_Clasificacion[[#This Row],[Nombre Concepto de imputación]]</f>
        <v>40004 - Albañil</v>
      </c>
    </row>
    <row r="687" spans="1:6" x14ac:dyDescent="0.25">
      <c r="A687" s="43">
        <v>4104030</v>
      </c>
      <c r="B687" t="s">
        <v>177</v>
      </c>
      <c r="C687" s="43">
        <v>40005</v>
      </c>
      <c r="D687" t="s">
        <v>2948</v>
      </c>
      <c r="E687" s="47" t="str">
        <f>+Cuenta_Clasificacion[[#This Row],[Código Cuenta Contable]]&amp;" - "&amp;Cuenta_Clasificacion[[#This Row],[Nombre de Cuenta Contable]]</f>
        <v>4104030 - Distribución Remuneraciones (MOD)</v>
      </c>
      <c r="F687" s="47" t="str">
        <f>+Cuenta_Clasificacion[[#This Row],[Codigo Concepto de imputación]]&amp;" - "&amp;Cuenta_Clasificacion[[#This Row],[Nombre Concepto de imputación]]</f>
        <v>40005 - Andamiero</v>
      </c>
    </row>
    <row r="688" spans="1:6" x14ac:dyDescent="0.25">
      <c r="A688" s="43">
        <v>4104030</v>
      </c>
      <c r="B688" t="s">
        <v>177</v>
      </c>
      <c r="C688" s="43">
        <v>40006</v>
      </c>
      <c r="D688" t="s">
        <v>2949</v>
      </c>
      <c r="E688" s="47" t="str">
        <f>+Cuenta_Clasificacion[[#This Row],[Código Cuenta Contable]]&amp;" - "&amp;Cuenta_Clasificacion[[#This Row],[Nombre de Cuenta Contable]]</f>
        <v>4104030 - Distribución Remuneraciones (MOD)</v>
      </c>
      <c r="F688" s="47" t="str">
        <f>+Cuenta_Clasificacion[[#This Row],[Codigo Concepto de imputación]]&amp;" - "&amp;Cuenta_Clasificacion[[#This Row],[Nombre Concepto de imputación]]</f>
        <v>40006 - Arquitecto</v>
      </c>
    </row>
    <row r="689" spans="1:6" x14ac:dyDescent="0.25">
      <c r="A689" s="43">
        <v>4104030</v>
      </c>
      <c r="B689" t="s">
        <v>177</v>
      </c>
      <c r="C689" s="43">
        <v>40007</v>
      </c>
      <c r="D689" t="s">
        <v>2950</v>
      </c>
      <c r="E689" s="47" t="str">
        <f>+Cuenta_Clasificacion[[#This Row],[Código Cuenta Contable]]&amp;" - "&amp;Cuenta_Clasificacion[[#This Row],[Nombre de Cuenta Contable]]</f>
        <v>4104030 - Distribución Remuneraciones (MOD)</v>
      </c>
      <c r="F689" s="47" t="str">
        <f>+Cuenta_Clasificacion[[#This Row],[Codigo Concepto de imputación]]&amp;" - "&amp;Cuenta_Clasificacion[[#This Row],[Nombre Concepto de imputación]]</f>
        <v>40007 - Asistente Supervisor Zonal</v>
      </c>
    </row>
    <row r="690" spans="1:6" x14ac:dyDescent="0.25">
      <c r="A690" s="43">
        <v>4104030</v>
      </c>
      <c r="B690" t="s">
        <v>177</v>
      </c>
      <c r="C690" s="43">
        <v>40008</v>
      </c>
      <c r="D690" t="s">
        <v>2951</v>
      </c>
      <c r="E690" s="47" t="str">
        <f>+Cuenta_Clasificacion[[#This Row],[Código Cuenta Contable]]&amp;" - "&amp;Cuenta_Clasificacion[[#This Row],[Nombre de Cuenta Contable]]</f>
        <v>4104030 - Distribución Remuneraciones (MOD)</v>
      </c>
      <c r="F690" s="47" t="str">
        <f>+Cuenta_Clasificacion[[#This Row],[Codigo Concepto de imputación]]&amp;" - "&amp;Cuenta_Clasificacion[[#This Row],[Nombre Concepto de imputación]]</f>
        <v>40008 - Auditor Int. Prev. de Riesgos</v>
      </c>
    </row>
    <row r="691" spans="1:6" x14ac:dyDescent="0.25">
      <c r="A691" s="43">
        <v>4104030</v>
      </c>
      <c r="B691" t="s">
        <v>177</v>
      </c>
      <c r="C691" s="43">
        <v>40009</v>
      </c>
      <c r="D691" t="s">
        <v>2952</v>
      </c>
      <c r="E691" s="47" t="str">
        <f>+Cuenta_Clasificacion[[#This Row],[Código Cuenta Contable]]&amp;" - "&amp;Cuenta_Clasificacion[[#This Row],[Nombre de Cuenta Contable]]</f>
        <v>4104030 - Distribución Remuneraciones (MOD)</v>
      </c>
      <c r="F691" s="47" t="str">
        <f>+Cuenta_Clasificacion[[#This Row],[Codigo Concepto de imputación]]&amp;" - "&amp;Cuenta_Clasificacion[[#This Row],[Nombre Concepto de imputación]]</f>
        <v>40009 - Ayudante Administrativo</v>
      </c>
    </row>
    <row r="692" spans="1:6" x14ac:dyDescent="0.25">
      <c r="A692" s="43">
        <v>4104030</v>
      </c>
      <c r="B692" t="s">
        <v>177</v>
      </c>
      <c r="C692" s="43">
        <v>40010</v>
      </c>
      <c r="D692" t="s">
        <v>2953</v>
      </c>
      <c r="E692" s="47" t="str">
        <f>+Cuenta_Clasificacion[[#This Row],[Código Cuenta Contable]]&amp;" - "&amp;Cuenta_Clasificacion[[#This Row],[Nombre de Cuenta Contable]]</f>
        <v>4104030 - Distribución Remuneraciones (MOD)</v>
      </c>
      <c r="F692" s="47" t="str">
        <f>+Cuenta_Clasificacion[[#This Row],[Codigo Concepto de imputación]]&amp;" - "&amp;Cuenta_Clasificacion[[#This Row],[Nombre Concepto de imputación]]</f>
        <v>40010 - Ayudante Albañil</v>
      </c>
    </row>
    <row r="693" spans="1:6" x14ac:dyDescent="0.25">
      <c r="A693" s="43">
        <v>4104030</v>
      </c>
      <c r="B693" t="s">
        <v>177</v>
      </c>
      <c r="C693" s="43">
        <v>40011</v>
      </c>
      <c r="D693" t="s">
        <v>2954</v>
      </c>
      <c r="E693" s="47" t="str">
        <f>+Cuenta_Clasificacion[[#This Row],[Código Cuenta Contable]]&amp;" - "&amp;Cuenta_Clasificacion[[#This Row],[Nombre de Cuenta Contable]]</f>
        <v>4104030 - Distribución Remuneraciones (MOD)</v>
      </c>
      <c r="F693" s="47" t="str">
        <f>+Cuenta_Clasificacion[[#This Row],[Codigo Concepto de imputación]]&amp;" - "&amp;Cuenta_Clasificacion[[#This Row],[Nombre Concepto de imputación]]</f>
        <v>40011 - Ayudante Bodega</v>
      </c>
    </row>
    <row r="694" spans="1:6" x14ac:dyDescent="0.25">
      <c r="A694" s="43">
        <v>4104030</v>
      </c>
      <c r="B694" t="s">
        <v>177</v>
      </c>
      <c r="C694" s="43">
        <v>40012</v>
      </c>
      <c r="D694" t="s">
        <v>2955</v>
      </c>
      <c r="E694" s="47" t="str">
        <f>+Cuenta_Clasificacion[[#This Row],[Código Cuenta Contable]]&amp;" - "&amp;Cuenta_Clasificacion[[#This Row],[Nombre de Cuenta Contable]]</f>
        <v>4104030 - Distribución Remuneraciones (MOD)</v>
      </c>
      <c r="F694" s="47" t="str">
        <f>+Cuenta_Clasificacion[[#This Row],[Codigo Concepto de imputación]]&amp;" - "&amp;Cuenta_Clasificacion[[#This Row],[Nombre Concepto de imputación]]</f>
        <v>40012 - Ayudante Capataz</v>
      </c>
    </row>
    <row r="695" spans="1:6" x14ac:dyDescent="0.25">
      <c r="A695" s="43">
        <v>4104030</v>
      </c>
      <c r="B695" t="s">
        <v>177</v>
      </c>
      <c r="C695" s="43">
        <v>40013</v>
      </c>
      <c r="D695" t="s">
        <v>2956</v>
      </c>
      <c r="E695" s="47" t="str">
        <f>+Cuenta_Clasificacion[[#This Row],[Código Cuenta Contable]]&amp;" - "&amp;Cuenta_Clasificacion[[#This Row],[Nombre de Cuenta Contable]]</f>
        <v>4104030 - Distribución Remuneraciones (MOD)</v>
      </c>
      <c r="F695" s="47" t="str">
        <f>+Cuenta_Clasificacion[[#This Row],[Codigo Concepto de imputación]]&amp;" - "&amp;Cuenta_Clasificacion[[#This Row],[Nombre Concepto de imputación]]</f>
        <v>40013 - Ayudante Carpintero</v>
      </c>
    </row>
    <row r="696" spans="1:6" x14ac:dyDescent="0.25">
      <c r="A696" s="43">
        <v>4104030</v>
      </c>
      <c r="B696" t="s">
        <v>177</v>
      </c>
      <c r="C696" s="43">
        <v>40014</v>
      </c>
      <c r="D696" t="s">
        <v>2957</v>
      </c>
      <c r="E696" s="47" t="str">
        <f>+Cuenta_Clasificacion[[#This Row],[Código Cuenta Contable]]&amp;" - "&amp;Cuenta_Clasificacion[[#This Row],[Nombre de Cuenta Contable]]</f>
        <v>4104030 - Distribución Remuneraciones (MOD)</v>
      </c>
      <c r="F696" s="47" t="str">
        <f>+Cuenta_Clasificacion[[#This Row],[Codigo Concepto de imputación]]&amp;" - "&amp;Cuenta_Clasificacion[[#This Row],[Nombre Concepto de imputación]]</f>
        <v>40014 - Bodega – Personal</v>
      </c>
    </row>
    <row r="697" spans="1:6" x14ac:dyDescent="0.25">
      <c r="A697" s="43">
        <v>4104030</v>
      </c>
      <c r="B697" t="s">
        <v>177</v>
      </c>
      <c r="C697" s="43">
        <v>40015</v>
      </c>
      <c r="D697" t="s">
        <v>2958</v>
      </c>
      <c r="E697" s="47" t="str">
        <f>+Cuenta_Clasificacion[[#This Row],[Código Cuenta Contable]]&amp;" - "&amp;Cuenta_Clasificacion[[#This Row],[Nombre de Cuenta Contable]]</f>
        <v>4104030 - Distribución Remuneraciones (MOD)</v>
      </c>
      <c r="F697" s="47" t="str">
        <f>+Cuenta_Clasificacion[[#This Row],[Codigo Concepto de imputación]]&amp;" - "&amp;Cuenta_Clasificacion[[#This Row],[Nombre Concepto de imputación]]</f>
        <v>40015 - Ayudante Jefe Patio</v>
      </c>
    </row>
    <row r="698" spans="1:6" x14ac:dyDescent="0.25">
      <c r="A698" s="43">
        <v>4104030</v>
      </c>
      <c r="B698" t="s">
        <v>177</v>
      </c>
      <c r="C698" s="43">
        <v>40016</v>
      </c>
      <c r="D698" t="s">
        <v>2959</v>
      </c>
      <c r="E698" s="47" t="str">
        <f>+Cuenta_Clasificacion[[#This Row],[Código Cuenta Contable]]&amp;" - "&amp;Cuenta_Clasificacion[[#This Row],[Nombre de Cuenta Contable]]</f>
        <v>4104030 - Distribución Remuneraciones (MOD)</v>
      </c>
      <c r="F698" s="47" t="str">
        <f>+Cuenta_Clasificacion[[#This Row],[Codigo Concepto de imputación]]&amp;" - "&amp;Cuenta_Clasificacion[[#This Row],[Nombre Concepto de imputación]]</f>
        <v>40016 - Ayudante Maestro Albañil</v>
      </c>
    </row>
    <row r="699" spans="1:6" x14ac:dyDescent="0.25">
      <c r="A699" s="43">
        <v>4104030</v>
      </c>
      <c r="B699" t="s">
        <v>177</v>
      </c>
      <c r="C699" s="43">
        <v>40017</v>
      </c>
      <c r="D699" t="s">
        <v>2960</v>
      </c>
      <c r="E699" s="47" t="str">
        <f>+Cuenta_Clasificacion[[#This Row],[Código Cuenta Contable]]&amp;" - "&amp;Cuenta_Clasificacion[[#This Row],[Nombre de Cuenta Contable]]</f>
        <v>4104030 - Distribución Remuneraciones (MOD)</v>
      </c>
      <c r="F699" s="47" t="str">
        <f>+Cuenta_Clasificacion[[#This Row],[Codigo Concepto de imputación]]&amp;" - "&amp;Cuenta_Clasificacion[[#This Row],[Nombre Concepto de imputación]]</f>
        <v>40017 - Ayudante Mantención</v>
      </c>
    </row>
    <row r="700" spans="1:6" x14ac:dyDescent="0.25">
      <c r="A700" s="43">
        <v>4104030</v>
      </c>
      <c r="B700" t="s">
        <v>177</v>
      </c>
      <c r="C700" s="43">
        <v>40018</v>
      </c>
      <c r="D700" t="s">
        <v>2961</v>
      </c>
      <c r="E700" s="47" t="str">
        <f>+Cuenta_Clasificacion[[#This Row],[Código Cuenta Contable]]&amp;" - "&amp;Cuenta_Clasificacion[[#This Row],[Nombre de Cuenta Contable]]</f>
        <v>4104030 - Distribución Remuneraciones (MOD)</v>
      </c>
      <c r="F700" s="47" t="str">
        <f>+Cuenta_Clasificacion[[#This Row],[Codigo Concepto de imputación]]&amp;" - "&amp;Cuenta_Clasificacion[[#This Row],[Nombre Concepto de imputación]]</f>
        <v>40018 - Ayudante Montaje Grúas Torre</v>
      </c>
    </row>
    <row r="701" spans="1:6" x14ac:dyDescent="0.25">
      <c r="A701" s="43">
        <v>4104030</v>
      </c>
      <c r="B701" t="s">
        <v>177</v>
      </c>
      <c r="C701" s="43">
        <v>40019</v>
      </c>
      <c r="D701" t="s">
        <v>2962</v>
      </c>
      <c r="E701" s="47" t="str">
        <f>+Cuenta_Clasificacion[[#This Row],[Código Cuenta Contable]]&amp;" - "&amp;Cuenta_Clasificacion[[#This Row],[Nombre de Cuenta Contable]]</f>
        <v>4104030 - Distribución Remuneraciones (MOD)</v>
      </c>
      <c r="F701" s="47" t="str">
        <f>+Cuenta_Clasificacion[[#This Row],[Codigo Concepto de imputación]]&amp;" - "&amp;Cuenta_Clasificacion[[#This Row],[Nombre Concepto de imputación]]</f>
        <v>40019 - Ayudante Obra</v>
      </c>
    </row>
    <row r="702" spans="1:6" x14ac:dyDescent="0.25">
      <c r="A702" s="43">
        <v>4104030</v>
      </c>
      <c r="B702" t="s">
        <v>177</v>
      </c>
      <c r="C702" s="43">
        <v>40020</v>
      </c>
      <c r="D702" t="s">
        <v>2963</v>
      </c>
      <c r="E702" s="47" t="str">
        <f>+Cuenta_Clasificacion[[#This Row],[Código Cuenta Contable]]&amp;" - "&amp;Cuenta_Clasificacion[[#This Row],[Nombre de Cuenta Contable]]</f>
        <v>4104030 - Distribución Remuneraciones (MOD)</v>
      </c>
      <c r="F702" s="47" t="str">
        <f>+Cuenta_Clasificacion[[#This Row],[Codigo Concepto de imputación]]&amp;" - "&amp;Cuenta_Clasificacion[[#This Row],[Nombre Concepto de imputación]]</f>
        <v>40020 - Ayudante Of. Técnica</v>
      </c>
    </row>
    <row r="703" spans="1:6" x14ac:dyDescent="0.25">
      <c r="A703" s="43">
        <v>4104030</v>
      </c>
      <c r="B703" t="s">
        <v>177</v>
      </c>
      <c r="C703" s="43">
        <v>40021</v>
      </c>
      <c r="D703" t="s">
        <v>2964</v>
      </c>
      <c r="E703" s="47" t="str">
        <f>+Cuenta_Clasificacion[[#This Row],[Código Cuenta Contable]]&amp;" - "&amp;Cuenta_Clasificacion[[#This Row],[Nombre de Cuenta Contable]]</f>
        <v>4104030 - Distribución Remuneraciones (MOD)</v>
      </c>
      <c r="F703" s="47" t="str">
        <f>+Cuenta_Clasificacion[[#This Row],[Codigo Concepto de imputación]]&amp;" - "&amp;Cuenta_Clasificacion[[#This Row],[Nombre Concepto de imputación]]</f>
        <v>40021 - Ayudante Pañol</v>
      </c>
    </row>
    <row r="704" spans="1:6" x14ac:dyDescent="0.25">
      <c r="A704" s="43">
        <v>4104030</v>
      </c>
      <c r="B704" t="s">
        <v>177</v>
      </c>
      <c r="C704" s="43">
        <v>40022</v>
      </c>
      <c r="D704" t="s">
        <v>2965</v>
      </c>
      <c r="E704" s="47" t="str">
        <f>+Cuenta_Clasificacion[[#This Row],[Código Cuenta Contable]]&amp;" - "&amp;Cuenta_Clasificacion[[#This Row],[Nombre de Cuenta Contable]]</f>
        <v>4104030 - Distribución Remuneraciones (MOD)</v>
      </c>
      <c r="F704" s="47" t="str">
        <f>+Cuenta_Clasificacion[[#This Row],[Codigo Concepto de imputación]]&amp;" - "&amp;Cuenta_Clasificacion[[#This Row],[Nombre Concepto de imputación]]</f>
        <v>40022 - Ayudante Prev. de Riesgos</v>
      </c>
    </row>
    <row r="705" spans="1:6" x14ac:dyDescent="0.25">
      <c r="A705" s="43">
        <v>4104030</v>
      </c>
      <c r="B705" t="s">
        <v>177</v>
      </c>
      <c r="C705" s="43">
        <v>40023</v>
      </c>
      <c r="D705" t="s">
        <v>2966</v>
      </c>
      <c r="E705" s="47" t="str">
        <f>+Cuenta_Clasificacion[[#This Row],[Código Cuenta Contable]]&amp;" - "&amp;Cuenta_Clasificacion[[#This Row],[Nombre de Cuenta Contable]]</f>
        <v>4104030 - Distribución Remuneraciones (MOD)</v>
      </c>
      <c r="F705" s="47" t="str">
        <f>+Cuenta_Clasificacion[[#This Row],[Codigo Concepto de imputación]]&amp;" - "&amp;Cuenta_Clasificacion[[#This Row],[Nombre Concepto de imputación]]</f>
        <v>40023 - Ayudante Soldador</v>
      </c>
    </row>
    <row r="706" spans="1:6" x14ac:dyDescent="0.25">
      <c r="A706" s="43">
        <v>4104030</v>
      </c>
      <c r="B706" t="s">
        <v>177</v>
      </c>
      <c r="C706" s="43">
        <v>40024</v>
      </c>
      <c r="D706" t="s">
        <v>2967</v>
      </c>
      <c r="E706" s="47" t="str">
        <f>+Cuenta_Clasificacion[[#This Row],[Código Cuenta Contable]]&amp;" - "&amp;Cuenta_Clasificacion[[#This Row],[Nombre de Cuenta Contable]]</f>
        <v>4104030 - Distribución Remuneraciones (MOD)</v>
      </c>
      <c r="F706" s="47" t="str">
        <f>+Cuenta_Clasificacion[[#This Row],[Codigo Concepto de imputación]]&amp;" - "&amp;Cuenta_Clasificacion[[#This Row],[Nombre Concepto de imputación]]</f>
        <v>40024 - Ayudante Trazador</v>
      </c>
    </row>
    <row r="707" spans="1:6" x14ac:dyDescent="0.25">
      <c r="A707" s="43">
        <v>4104030</v>
      </c>
      <c r="B707" t="s">
        <v>177</v>
      </c>
      <c r="C707" s="43">
        <v>40025</v>
      </c>
      <c r="D707" t="s">
        <v>2968</v>
      </c>
      <c r="E707" s="47" t="str">
        <f>+Cuenta_Clasificacion[[#This Row],[Código Cuenta Contable]]&amp;" - "&amp;Cuenta_Clasificacion[[#This Row],[Nombre de Cuenta Contable]]</f>
        <v>4104030 - Distribución Remuneraciones (MOD)</v>
      </c>
      <c r="F707" s="47" t="str">
        <f>+Cuenta_Clasificacion[[#This Row],[Codigo Concepto de imputación]]&amp;" - "&amp;Cuenta_Clasificacion[[#This Row],[Nombre Concepto de imputación]]</f>
        <v>40025 - Bodeguero</v>
      </c>
    </row>
    <row r="708" spans="1:6" x14ac:dyDescent="0.25">
      <c r="A708" s="43">
        <v>4104030</v>
      </c>
      <c r="B708" t="s">
        <v>177</v>
      </c>
      <c r="C708" s="43">
        <v>40026</v>
      </c>
      <c r="D708" t="s">
        <v>2969</v>
      </c>
      <c r="E708" s="47" t="str">
        <f>+Cuenta_Clasificacion[[#This Row],[Código Cuenta Contable]]&amp;" - "&amp;Cuenta_Clasificacion[[#This Row],[Nombre de Cuenta Contable]]</f>
        <v>4104030 - Distribución Remuneraciones (MOD)</v>
      </c>
      <c r="F708" s="47" t="str">
        <f>+Cuenta_Clasificacion[[#This Row],[Codigo Concepto de imputación]]&amp;" - "&amp;Cuenta_Clasificacion[[#This Row],[Nombre Concepto de imputación]]</f>
        <v>40026 - Capataz</v>
      </c>
    </row>
    <row r="709" spans="1:6" x14ac:dyDescent="0.25">
      <c r="A709" s="43">
        <v>4104030</v>
      </c>
      <c r="B709" t="s">
        <v>177</v>
      </c>
      <c r="C709" s="43">
        <v>40027</v>
      </c>
      <c r="D709" t="s">
        <v>2970</v>
      </c>
      <c r="E709" s="47" t="str">
        <f>+Cuenta_Clasificacion[[#This Row],[Código Cuenta Contable]]&amp;" - "&amp;Cuenta_Clasificacion[[#This Row],[Nombre de Cuenta Contable]]</f>
        <v>4104030 - Distribución Remuneraciones (MOD)</v>
      </c>
      <c r="F709" s="47" t="str">
        <f>+Cuenta_Clasificacion[[#This Row],[Codigo Concepto de imputación]]&amp;" - "&amp;Cuenta_Clasificacion[[#This Row],[Nombre Concepto de imputación]]</f>
        <v>40027 - Capataz de Exteriores</v>
      </c>
    </row>
    <row r="710" spans="1:6" x14ac:dyDescent="0.25">
      <c r="A710" s="43">
        <v>4104030</v>
      </c>
      <c r="B710" t="s">
        <v>177</v>
      </c>
      <c r="C710" s="43">
        <v>40028</v>
      </c>
      <c r="D710" t="s">
        <v>2971</v>
      </c>
      <c r="E710" s="47" t="str">
        <f>+Cuenta_Clasificacion[[#This Row],[Código Cuenta Contable]]&amp;" - "&amp;Cuenta_Clasificacion[[#This Row],[Nombre de Cuenta Contable]]</f>
        <v>4104030 - Distribución Remuneraciones (MOD)</v>
      </c>
      <c r="F710" s="47" t="str">
        <f>+Cuenta_Clasificacion[[#This Row],[Codigo Concepto de imputación]]&amp;" - "&amp;Cuenta_Clasificacion[[#This Row],[Nombre Concepto de imputación]]</f>
        <v>40028 - Capataz de Hormigón</v>
      </c>
    </row>
    <row r="711" spans="1:6" x14ac:dyDescent="0.25">
      <c r="A711" s="43">
        <v>4104030</v>
      </c>
      <c r="B711" t="s">
        <v>177</v>
      </c>
      <c r="C711" s="43">
        <v>40029</v>
      </c>
      <c r="D711" t="s">
        <v>2972</v>
      </c>
      <c r="E711" s="47" t="str">
        <f>+Cuenta_Clasificacion[[#This Row],[Código Cuenta Contable]]&amp;" - "&amp;Cuenta_Clasificacion[[#This Row],[Nombre de Cuenta Contable]]</f>
        <v>4104030 - Distribución Remuneraciones (MOD)</v>
      </c>
      <c r="F711" s="47" t="str">
        <f>+Cuenta_Clasificacion[[#This Row],[Codigo Concepto de imputación]]&amp;" - "&amp;Cuenta_Clasificacion[[#This Row],[Nombre Concepto de imputación]]</f>
        <v>40029 - Capataz de Instalaciones</v>
      </c>
    </row>
    <row r="712" spans="1:6" x14ac:dyDescent="0.25">
      <c r="A712" s="43">
        <v>4104030</v>
      </c>
      <c r="B712" t="s">
        <v>177</v>
      </c>
      <c r="C712" s="43">
        <v>40030</v>
      </c>
      <c r="D712" t="s">
        <v>2973</v>
      </c>
      <c r="E712" s="47" t="str">
        <f>+Cuenta_Clasificacion[[#This Row],[Código Cuenta Contable]]&amp;" - "&amp;Cuenta_Clasificacion[[#This Row],[Nombre de Cuenta Contable]]</f>
        <v>4104030 - Distribución Remuneraciones (MOD)</v>
      </c>
      <c r="F712" s="47" t="str">
        <f>+Cuenta_Clasificacion[[#This Row],[Codigo Concepto de imputación]]&amp;" - "&amp;Cuenta_Clasificacion[[#This Row],[Nombre Concepto de imputación]]</f>
        <v>40030 - Capataz de Moldaje</v>
      </c>
    </row>
    <row r="713" spans="1:6" x14ac:dyDescent="0.25">
      <c r="A713" s="43">
        <v>4104030</v>
      </c>
      <c r="B713" t="s">
        <v>177</v>
      </c>
      <c r="C713" s="43">
        <v>40031</v>
      </c>
      <c r="D713" t="s">
        <v>2974</v>
      </c>
      <c r="E713" s="47" t="str">
        <f>+Cuenta_Clasificacion[[#This Row],[Código Cuenta Contable]]&amp;" - "&amp;Cuenta_Clasificacion[[#This Row],[Nombre de Cuenta Contable]]</f>
        <v>4104030 - Distribución Remuneraciones (MOD)</v>
      </c>
      <c r="F713" s="47" t="str">
        <f>+Cuenta_Clasificacion[[#This Row],[Codigo Concepto de imputación]]&amp;" - "&amp;Cuenta_Clasificacion[[#This Row],[Nombre Concepto de imputación]]</f>
        <v>40031 - Capataz de Patio</v>
      </c>
    </row>
    <row r="714" spans="1:6" x14ac:dyDescent="0.25">
      <c r="A714" s="43">
        <v>4104030</v>
      </c>
      <c r="B714" t="s">
        <v>177</v>
      </c>
      <c r="C714" s="43">
        <v>40032</v>
      </c>
      <c r="D714" t="s">
        <v>2975</v>
      </c>
      <c r="E714" s="47" t="str">
        <f>+Cuenta_Clasificacion[[#This Row],[Código Cuenta Contable]]&amp;" - "&amp;Cuenta_Clasificacion[[#This Row],[Nombre de Cuenta Contable]]</f>
        <v>4104030 - Distribución Remuneraciones (MOD)</v>
      </c>
      <c r="F714" s="47" t="str">
        <f>+Cuenta_Clasificacion[[#This Row],[Codigo Concepto de imputación]]&amp;" - "&amp;Cuenta_Clasificacion[[#This Row],[Nombre Concepto de imputación]]</f>
        <v>40032 - Capataz de Post Venta</v>
      </c>
    </row>
    <row r="715" spans="1:6" x14ac:dyDescent="0.25">
      <c r="A715" s="43">
        <v>4104030</v>
      </c>
      <c r="B715" t="s">
        <v>177</v>
      </c>
      <c r="C715" s="43">
        <v>40033</v>
      </c>
      <c r="D715" t="s">
        <v>2976</v>
      </c>
      <c r="E715" s="47" t="str">
        <f>+Cuenta_Clasificacion[[#This Row],[Código Cuenta Contable]]&amp;" - "&amp;Cuenta_Clasificacion[[#This Row],[Nombre de Cuenta Contable]]</f>
        <v>4104030 - Distribución Remuneraciones (MOD)</v>
      </c>
      <c r="F715" s="47" t="str">
        <f>+Cuenta_Clasificacion[[#This Row],[Codigo Concepto de imputación]]&amp;" - "&amp;Cuenta_Clasificacion[[#This Row],[Nombre Concepto de imputación]]</f>
        <v>40033 - Capataz de Terminaciones</v>
      </c>
    </row>
    <row r="716" spans="1:6" x14ac:dyDescent="0.25">
      <c r="A716" s="43">
        <v>4104030</v>
      </c>
      <c r="B716" t="s">
        <v>177</v>
      </c>
      <c r="C716" s="43">
        <v>40034</v>
      </c>
      <c r="D716" t="s">
        <v>2977</v>
      </c>
      <c r="E716" s="47" t="str">
        <f>+Cuenta_Clasificacion[[#This Row],[Código Cuenta Contable]]&amp;" - "&amp;Cuenta_Clasificacion[[#This Row],[Nombre de Cuenta Contable]]</f>
        <v>4104030 - Distribución Remuneraciones (MOD)</v>
      </c>
      <c r="F716" s="47" t="str">
        <f>+Cuenta_Clasificacion[[#This Row],[Codigo Concepto de imputación]]&amp;" - "&amp;Cuenta_Clasificacion[[#This Row],[Nombre Concepto de imputación]]</f>
        <v>40034 - Carpintero</v>
      </c>
    </row>
    <row r="717" spans="1:6" x14ac:dyDescent="0.25">
      <c r="A717" s="43">
        <v>4104030</v>
      </c>
      <c r="B717" t="s">
        <v>177</v>
      </c>
      <c r="C717" s="43">
        <v>40035</v>
      </c>
      <c r="D717" t="s">
        <v>2978</v>
      </c>
      <c r="E717" s="47" t="str">
        <f>+Cuenta_Clasificacion[[#This Row],[Código Cuenta Contable]]&amp;" - "&amp;Cuenta_Clasificacion[[#This Row],[Nombre de Cuenta Contable]]</f>
        <v>4104030 - Distribución Remuneraciones (MOD)</v>
      </c>
      <c r="F717" s="47" t="str">
        <f>+Cuenta_Clasificacion[[#This Row],[Codigo Concepto de imputación]]&amp;" - "&amp;Cuenta_Clasificacion[[#This Row],[Nombre Concepto de imputación]]</f>
        <v>40035 - Carpintero de Obra Gruesa</v>
      </c>
    </row>
    <row r="718" spans="1:6" x14ac:dyDescent="0.25">
      <c r="A718" s="43">
        <v>4104030</v>
      </c>
      <c r="B718" t="s">
        <v>177</v>
      </c>
      <c r="C718" s="43">
        <v>40036</v>
      </c>
      <c r="D718" t="s">
        <v>2979</v>
      </c>
      <c r="E718" s="47" t="str">
        <f>+Cuenta_Clasificacion[[#This Row],[Código Cuenta Contable]]&amp;" - "&amp;Cuenta_Clasificacion[[#This Row],[Nombre de Cuenta Contable]]</f>
        <v>4104030 - Distribución Remuneraciones (MOD)</v>
      </c>
      <c r="F718" s="47" t="str">
        <f>+Cuenta_Clasificacion[[#This Row],[Codigo Concepto de imputación]]&amp;" - "&amp;Cuenta_Clasificacion[[#This Row],[Nombre Concepto de imputación]]</f>
        <v>40036 - Carpintero de Terminaciones</v>
      </c>
    </row>
    <row r="719" spans="1:6" x14ac:dyDescent="0.25">
      <c r="A719" s="43">
        <v>4104030</v>
      </c>
      <c r="B719" t="s">
        <v>177</v>
      </c>
      <c r="C719" s="43">
        <v>40037</v>
      </c>
      <c r="D719" t="s">
        <v>2980</v>
      </c>
      <c r="E719" s="47" t="str">
        <f>+Cuenta_Clasificacion[[#This Row],[Código Cuenta Contable]]&amp;" - "&amp;Cuenta_Clasificacion[[#This Row],[Nombre de Cuenta Contable]]</f>
        <v>4104030 - Distribución Remuneraciones (MOD)</v>
      </c>
      <c r="F719" s="47" t="str">
        <f>+Cuenta_Clasificacion[[#This Row],[Codigo Concepto de imputación]]&amp;" - "&amp;Cuenta_Clasificacion[[#This Row],[Nombre Concepto de imputación]]</f>
        <v>40037 - Chofer</v>
      </c>
    </row>
    <row r="720" spans="1:6" x14ac:dyDescent="0.25">
      <c r="A720" s="43">
        <v>4104030</v>
      </c>
      <c r="B720" t="s">
        <v>177</v>
      </c>
      <c r="C720" s="43">
        <v>40038</v>
      </c>
      <c r="D720" t="s">
        <v>2981</v>
      </c>
      <c r="E720" s="47" t="str">
        <f>+Cuenta_Clasificacion[[#This Row],[Código Cuenta Contable]]&amp;" - "&amp;Cuenta_Clasificacion[[#This Row],[Nombre de Cuenta Contable]]</f>
        <v>4104030 - Distribución Remuneraciones (MOD)</v>
      </c>
      <c r="F720" s="47" t="str">
        <f>+Cuenta_Clasificacion[[#This Row],[Codigo Concepto de imputación]]&amp;" - "&amp;Cuenta_Clasificacion[[#This Row],[Nombre Concepto de imputación]]</f>
        <v>40038 - Concretero</v>
      </c>
    </row>
    <row r="721" spans="1:6" x14ac:dyDescent="0.25">
      <c r="A721" s="43">
        <v>4104030</v>
      </c>
      <c r="B721" t="s">
        <v>177</v>
      </c>
      <c r="C721" s="43">
        <v>40039</v>
      </c>
      <c r="D721" t="s">
        <v>2982</v>
      </c>
      <c r="E721" s="47" t="str">
        <f>+Cuenta_Clasificacion[[#This Row],[Código Cuenta Contable]]&amp;" - "&amp;Cuenta_Clasificacion[[#This Row],[Nombre de Cuenta Contable]]</f>
        <v>4104030 - Distribución Remuneraciones (MOD)</v>
      </c>
      <c r="F721" s="47" t="str">
        <f>+Cuenta_Clasificacion[[#This Row],[Codigo Concepto de imputación]]&amp;" - "&amp;Cuenta_Clasificacion[[#This Row],[Nombre Concepto de imputación]]</f>
        <v>40039 - Constructor</v>
      </c>
    </row>
    <row r="722" spans="1:6" x14ac:dyDescent="0.25">
      <c r="A722" s="43">
        <v>4104030</v>
      </c>
      <c r="B722" t="s">
        <v>177</v>
      </c>
      <c r="C722" s="43">
        <v>40040</v>
      </c>
      <c r="D722" t="s">
        <v>2983</v>
      </c>
      <c r="E722" s="47" t="str">
        <f>+Cuenta_Clasificacion[[#This Row],[Código Cuenta Contable]]&amp;" - "&amp;Cuenta_Clasificacion[[#This Row],[Nombre de Cuenta Contable]]</f>
        <v>4104030 - Distribución Remuneraciones (MOD)</v>
      </c>
      <c r="F722" s="47" t="str">
        <f>+Cuenta_Clasificacion[[#This Row],[Codigo Concepto de imputación]]&amp;" - "&amp;Cuenta_Clasificacion[[#This Row],[Nombre Concepto de imputación]]</f>
        <v>40040 - Control de Obras</v>
      </c>
    </row>
    <row r="723" spans="1:6" x14ac:dyDescent="0.25">
      <c r="A723" s="43">
        <v>4104030</v>
      </c>
      <c r="B723" t="s">
        <v>177</v>
      </c>
      <c r="C723" s="43">
        <v>40041</v>
      </c>
      <c r="D723" t="s">
        <v>2984</v>
      </c>
      <c r="E723" s="47" t="str">
        <f>+Cuenta_Clasificacion[[#This Row],[Código Cuenta Contable]]&amp;" - "&amp;Cuenta_Clasificacion[[#This Row],[Nombre de Cuenta Contable]]</f>
        <v>4104030 - Distribución Remuneraciones (MOD)</v>
      </c>
      <c r="F723" s="47" t="str">
        <f>+Cuenta_Clasificacion[[#This Row],[Codigo Concepto de imputación]]&amp;" - "&amp;Cuenta_Clasificacion[[#This Row],[Nombre Concepto de imputación]]</f>
        <v>40041 - Control de Gest. y Avance de O</v>
      </c>
    </row>
    <row r="724" spans="1:6" x14ac:dyDescent="0.25">
      <c r="A724" s="43">
        <v>4104030</v>
      </c>
      <c r="B724" t="s">
        <v>177</v>
      </c>
      <c r="C724" s="43">
        <v>40042</v>
      </c>
      <c r="D724" t="s">
        <v>2985</v>
      </c>
      <c r="E724" s="47" t="str">
        <f>+Cuenta_Clasificacion[[#This Row],[Código Cuenta Contable]]&amp;" - "&amp;Cuenta_Clasificacion[[#This Row],[Nombre de Cuenta Contable]]</f>
        <v>4104030 - Distribución Remuneraciones (MOD)</v>
      </c>
      <c r="F724" s="47" t="str">
        <f>+Cuenta_Clasificacion[[#This Row],[Codigo Concepto de imputación]]&amp;" - "&amp;Cuenta_Clasificacion[[#This Row],[Nombre Concepto de imputación]]</f>
        <v>40042 - Coordinador de ITOs</v>
      </c>
    </row>
    <row r="725" spans="1:6" x14ac:dyDescent="0.25">
      <c r="A725" s="43">
        <v>4104030</v>
      </c>
      <c r="B725" t="s">
        <v>177</v>
      </c>
      <c r="C725" s="43">
        <v>40043</v>
      </c>
      <c r="D725" t="s">
        <v>2986</v>
      </c>
      <c r="E725" s="47" t="str">
        <f>+Cuenta_Clasificacion[[#This Row],[Código Cuenta Contable]]&amp;" - "&amp;Cuenta_Clasificacion[[#This Row],[Nombre de Cuenta Contable]]</f>
        <v>4104030 - Distribución Remuneraciones (MOD)</v>
      </c>
      <c r="F725" s="47" t="str">
        <f>+Cuenta_Clasificacion[[#This Row],[Codigo Concepto de imputación]]&amp;" - "&amp;Cuenta_Clasificacion[[#This Row],[Nombre Concepto de imputación]]</f>
        <v>40043 - Coordinador de Proyectos</v>
      </c>
    </row>
    <row r="726" spans="1:6" x14ac:dyDescent="0.25">
      <c r="A726" s="43">
        <v>4104030</v>
      </c>
      <c r="B726" t="s">
        <v>177</v>
      </c>
      <c r="C726" s="43">
        <v>40044</v>
      </c>
      <c r="D726" t="s">
        <v>2987</v>
      </c>
      <c r="E726" s="47" t="str">
        <f>+Cuenta_Clasificacion[[#This Row],[Código Cuenta Contable]]&amp;" - "&amp;Cuenta_Clasificacion[[#This Row],[Nombre de Cuenta Contable]]</f>
        <v>4104030 - Distribución Remuneraciones (MOD)</v>
      </c>
      <c r="F726" s="47" t="str">
        <f>+Cuenta_Clasificacion[[#This Row],[Codigo Concepto de imputación]]&amp;" - "&amp;Cuenta_Clasificacion[[#This Row],[Nombre Concepto de imputación]]</f>
        <v>40044 - Coord. Gral. de Instalacione</v>
      </c>
    </row>
    <row r="727" spans="1:6" x14ac:dyDescent="0.25">
      <c r="A727" s="43">
        <v>4104030</v>
      </c>
      <c r="B727" t="s">
        <v>177</v>
      </c>
      <c r="C727" s="43">
        <v>40045</v>
      </c>
      <c r="D727" t="s">
        <v>2988</v>
      </c>
      <c r="E727" s="47" t="str">
        <f>+Cuenta_Clasificacion[[#This Row],[Código Cuenta Contable]]&amp;" - "&amp;Cuenta_Clasificacion[[#This Row],[Nombre de Cuenta Contable]]</f>
        <v>4104030 - Distribución Remuneraciones (MOD)</v>
      </c>
      <c r="F727" s="47" t="str">
        <f>+Cuenta_Clasificacion[[#This Row],[Codigo Concepto de imputación]]&amp;" - "&amp;Cuenta_Clasificacion[[#This Row],[Nombre Concepto de imputación]]</f>
        <v>40045 - Diseñador</v>
      </c>
    </row>
    <row r="728" spans="1:6" x14ac:dyDescent="0.25">
      <c r="A728" s="43">
        <v>4104030</v>
      </c>
      <c r="B728" t="s">
        <v>177</v>
      </c>
      <c r="C728" s="43">
        <v>40046</v>
      </c>
      <c r="D728" t="s">
        <v>2989</v>
      </c>
      <c r="E728" s="47" t="str">
        <f>+Cuenta_Clasificacion[[#This Row],[Código Cuenta Contable]]&amp;" - "&amp;Cuenta_Clasificacion[[#This Row],[Nombre de Cuenta Contable]]</f>
        <v>4104030 - Distribución Remuneraciones (MOD)</v>
      </c>
      <c r="F728" s="47" t="str">
        <f>+Cuenta_Clasificacion[[#This Row],[Codigo Concepto de imputación]]&amp;" - "&amp;Cuenta_Clasificacion[[#This Row],[Nombre Concepto de imputación]]</f>
        <v>40046 - Eléctrico</v>
      </c>
    </row>
    <row r="729" spans="1:6" x14ac:dyDescent="0.25">
      <c r="A729" s="43">
        <v>4104030</v>
      </c>
      <c r="B729" t="s">
        <v>177</v>
      </c>
      <c r="C729" s="43">
        <v>40047</v>
      </c>
      <c r="D729" t="s">
        <v>2990</v>
      </c>
      <c r="E729" s="47" t="str">
        <f>+Cuenta_Clasificacion[[#This Row],[Código Cuenta Contable]]&amp;" - "&amp;Cuenta_Clasificacion[[#This Row],[Nombre de Cuenta Contable]]</f>
        <v>4104030 - Distribución Remuneraciones (MOD)</v>
      </c>
      <c r="F729" s="47" t="str">
        <f>+Cuenta_Clasificacion[[#This Row],[Codigo Concepto de imputación]]&amp;" - "&amp;Cuenta_Clasificacion[[#This Row],[Nombre Concepto de imputación]]</f>
        <v>40047 - Electromecánico</v>
      </c>
    </row>
    <row r="730" spans="1:6" x14ac:dyDescent="0.25">
      <c r="A730" s="43">
        <v>4104030</v>
      </c>
      <c r="B730" t="s">
        <v>177</v>
      </c>
      <c r="C730" s="43">
        <v>40048</v>
      </c>
      <c r="D730" t="s">
        <v>2991</v>
      </c>
      <c r="E730" s="47" t="str">
        <f>+Cuenta_Clasificacion[[#This Row],[Código Cuenta Contable]]&amp;" - "&amp;Cuenta_Clasificacion[[#This Row],[Nombre de Cuenta Contable]]</f>
        <v>4104030 - Distribución Remuneraciones (MOD)</v>
      </c>
      <c r="F730" s="47" t="str">
        <f>+Cuenta_Clasificacion[[#This Row],[Codigo Concepto de imputación]]&amp;" - "&amp;Cuenta_Clasificacion[[#This Row],[Nombre Concepto de imputación]]</f>
        <v>40048 - Elect. de Mant. y Montaje</v>
      </c>
    </row>
    <row r="731" spans="1:6" x14ac:dyDescent="0.25">
      <c r="A731" s="43">
        <v>4104030</v>
      </c>
      <c r="B731" t="s">
        <v>177</v>
      </c>
      <c r="C731" s="43">
        <v>40049</v>
      </c>
      <c r="D731" t="s">
        <v>2992</v>
      </c>
      <c r="E731" s="47" t="str">
        <f>+Cuenta_Clasificacion[[#This Row],[Código Cuenta Contable]]&amp;" - "&amp;Cuenta_Clasificacion[[#This Row],[Nombre de Cuenta Contable]]</f>
        <v>4104030 - Distribución Remuneraciones (MOD)</v>
      </c>
      <c r="F731" s="47" t="str">
        <f>+Cuenta_Clasificacion[[#This Row],[Codigo Concepto de imputación]]&amp;" - "&amp;Cuenta_Clasificacion[[#This Row],[Nombre Concepto de imputación]]</f>
        <v>40049 - Encargado de Arriendos</v>
      </c>
    </row>
    <row r="732" spans="1:6" x14ac:dyDescent="0.25">
      <c r="A732" s="43">
        <v>4104030</v>
      </c>
      <c r="B732" t="s">
        <v>177</v>
      </c>
      <c r="C732" s="43">
        <v>40050</v>
      </c>
      <c r="D732" t="s">
        <v>2993</v>
      </c>
      <c r="E732" s="47" t="str">
        <f>+Cuenta_Clasificacion[[#This Row],[Código Cuenta Contable]]&amp;" - "&amp;Cuenta_Clasificacion[[#This Row],[Nombre de Cuenta Contable]]</f>
        <v>4104030 - Distribución Remuneraciones (MOD)</v>
      </c>
      <c r="F732" s="47" t="str">
        <f>+Cuenta_Clasificacion[[#This Row],[Codigo Concepto de imputación]]&amp;" - "&amp;Cuenta_Clasificacion[[#This Row],[Nombre Concepto de imputación]]</f>
        <v>40050 - Encargado de Bodega</v>
      </c>
    </row>
    <row r="733" spans="1:6" x14ac:dyDescent="0.25">
      <c r="A733" s="43">
        <v>4104030</v>
      </c>
      <c r="B733" t="s">
        <v>177</v>
      </c>
      <c r="C733" s="43">
        <v>40051</v>
      </c>
      <c r="D733" t="s">
        <v>2994</v>
      </c>
      <c r="E733" s="47" t="str">
        <f>+Cuenta_Clasificacion[[#This Row],[Código Cuenta Contable]]&amp;" - "&amp;Cuenta_Clasificacion[[#This Row],[Nombre de Cuenta Contable]]</f>
        <v>4104030 - Distribución Remuneraciones (MOD)</v>
      </c>
      <c r="F733" s="47" t="str">
        <f>+Cuenta_Clasificacion[[#This Row],[Codigo Concepto de imputación]]&amp;" - "&amp;Cuenta_Clasificacion[[#This Row],[Nombre Concepto de imputación]]</f>
        <v>40051 - Encargado Control Avance Obra</v>
      </c>
    </row>
    <row r="734" spans="1:6" x14ac:dyDescent="0.25">
      <c r="A734" s="43">
        <v>4104030</v>
      </c>
      <c r="B734" t="s">
        <v>177</v>
      </c>
      <c r="C734" s="43">
        <v>40052</v>
      </c>
      <c r="D734" t="s">
        <v>2995</v>
      </c>
      <c r="E734" s="47" t="str">
        <f>+Cuenta_Clasificacion[[#This Row],[Código Cuenta Contable]]&amp;" - "&amp;Cuenta_Clasificacion[[#This Row],[Nombre de Cuenta Contable]]</f>
        <v>4104030 - Distribución Remuneraciones (MOD)</v>
      </c>
      <c r="F734" s="47" t="str">
        <f>+Cuenta_Clasificacion[[#This Row],[Codigo Concepto de imputación]]&amp;" - "&amp;Cuenta_Clasificacion[[#This Row],[Nombre Concepto de imputación]]</f>
        <v>40052 - Encargado de Inspección</v>
      </c>
    </row>
    <row r="735" spans="1:6" x14ac:dyDescent="0.25">
      <c r="A735" s="43">
        <v>4104030</v>
      </c>
      <c r="B735" t="s">
        <v>177</v>
      </c>
      <c r="C735" s="43">
        <v>40053</v>
      </c>
      <c r="D735" t="s">
        <v>2996</v>
      </c>
      <c r="E735" s="47" t="str">
        <f>+Cuenta_Clasificacion[[#This Row],[Código Cuenta Contable]]&amp;" - "&amp;Cuenta_Clasificacion[[#This Row],[Nombre de Cuenta Contable]]</f>
        <v>4104030 - Distribución Remuneraciones (MOD)</v>
      </c>
      <c r="F735" s="47" t="str">
        <f>+Cuenta_Clasificacion[[#This Row],[Codigo Concepto de imputación]]&amp;" - "&amp;Cuenta_Clasificacion[[#This Row],[Nombre Concepto de imputación]]</f>
        <v>40053 - Encargado de Mantención</v>
      </c>
    </row>
    <row r="736" spans="1:6" x14ac:dyDescent="0.25">
      <c r="A736" s="43">
        <v>4104030</v>
      </c>
      <c r="B736" t="s">
        <v>177</v>
      </c>
      <c r="C736" s="43">
        <v>40054</v>
      </c>
      <c r="D736" t="s">
        <v>2997</v>
      </c>
      <c r="E736" s="47" t="str">
        <f>+Cuenta_Clasificacion[[#This Row],[Código Cuenta Contable]]&amp;" - "&amp;Cuenta_Clasificacion[[#This Row],[Nombre de Cuenta Contable]]</f>
        <v>4104030 - Distribución Remuneraciones (MOD)</v>
      </c>
      <c r="F736" s="47" t="str">
        <f>+Cuenta_Clasificacion[[#This Row],[Codigo Concepto de imputación]]&amp;" - "&amp;Cuenta_Clasificacion[[#This Row],[Nombre Concepto de imputación]]</f>
        <v>40054 - Encargado de Oficina Técnica</v>
      </c>
    </row>
    <row r="737" spans="1:6" x14ac:dyDescent="0.25">
      <c r="A737" s="43">
        <v>4104030</v>
      </c>
      <c r="B737" t="s">
        <v>177</v>
      </c>
      <c r="C737" s="43">
        <v>40055</v>
      </c>
      <c r="D737" t="s">
        <v>2998</v>
      </c>
      <c r="E737" s="47" t="str">
        <f>+Cuenta_Clasificacion[[#This Row],[Código Cuenta Contable]]&amp;" - "&amp;Cuenta_Clasificacion[[#This Row],[Nombre de Cuenta Contable]]</f>
        <v>4104030 - Distribución Remuneraciones (MOD)</v>
      </c>
      <c r="F737" s="47" t="str">
        <f>+Cuenta_Clasificacion[[#This Row],[Codigo Concepto de imputación]]&amp;" - "&amp;Cuenta_Clasificacion[[#This Row],[Nombre Concepto de imputación]]</f>
        <v>40055 - Enfierrador</v>
      </c>
    </row>
    <row r="738" spans="1:6" x14ac:dyDescent="0.25">
      <c r="A738" s="43">
        <v>4104030</v>
      </c>
      <c r="B738" t="s">
        <v>177</v>
      </c>
      <c r="C738" s="43">
        <v>40056</v>
      </c>
      <c r="D738" t="s">
        <v>2999</v>
      </c>
      <c r="E738" s="47" t="str">
        <f>+Cuenta_Clasificacion[[#This Row],[Código Cuenta Contable]]&amp;" - "&amp;Cuenta_Clasificacion[[#This Row],[Nombre de Cuenta Contable]]</f>
        <v>4104030 - Distribución Remuneraciones (MOD)</v>
      </c>
      <c r="F738" s="47" t="str">
        <f>+Cuenta_Clasificacion[[#This Row],[Codigo Concepto de imputación]]&amp;" - "&amp;Cuenta_Clasificacion[[#This Row],[Nombre Concepto de imputación]]</f>
        <v>40056 - Especialista Eléctrico</v>
      </c>
    </row>
    <row r="739" spans="1:6" x14ac:dyDescent="0.25">
      <c r="A739" s="43">
        <v>4104030</v>
      </c>
      <c r="B739" t="s">
        <v>177</v>
      </c>
      <c r="C739" s="43">
        <v>40057</v>
      </c>
      <c r="D739" t="s">
        <v>3000</v>
      </c>
      <c r="E739" s="47" t="str">
        <f>+Cuenta_Clasificacion[[#This Row],[Código Cuenta Contable]]&amp;" - "&amp;Cuenta_Clasificacion[[#This Row],[Nombre de Cuenta Contable]]</f>
        <v>4104030 - Distribución Remuneraciones (MOD)</v>
      </c>
      <c r="F739" s="47" t="str">
        <f>+Cuenta_Clasificacion[[#This Row],[Codigo Concepto de imputación]]&amp;" - "&amp;Cuenta_Clasificacion[[#This Row],[Nombre Concepto de imputación]]</f>
        <v>40057 - Estafeta</v>
      </c>
    </row>
    <row r="740" spans="1:6" x14ac:dyDescent="0.25">
      <c r="A740" s="43">
        <v>4104030</v>
      </c>
      <c r="B740" t="s">
        <v>177</v>
      </c>
      <c r="C740" s="43">
        <v>40058</v>
      </c>
      <c r="D740" t="s">
        <v>3001</v>
      </c>
      <c r="E740" s="47" t="str">
        <f>+Cuenta_Clasificacion[[#This Row],[Código Cuenta Contable]]&amp;" - "&amp;Cuenta_Clasificacion[[#This Row],[Nombre de Cuenta Contable]]</f>
        <v>4104030 - Distribución Remuneraciones (MOD)</v>
      </c>
      <c r="F740" s="47" t="str">
        <f>+Cuenta_Clasificacion[[#This Row],[Codigo Concepto de imputación]]&amp;" - "&amp;Cuenta_Clasificacion[[#This Row],[Nombre Concepto de imputación]]</f>
        <v>40058 - Estucador</v>
      </c>
    </row>
    <row r="741" spans="1:6" x14ac:dyDescent="0.25">
      <c r="A741" s="43">
        <v>4104030</v>
      </c>
      <c r="B741" t="s">
        <v>177</v>
      </c>
      <c r="C741" s="43">
        <v>40059</v>
      </c>
      <c r="D741" t="s">
        <v>3002</v>
      </c>
      <c r="E741" s="47" t="str">
        <f>+Cuenta_Clasificacion[[#This Row],[Código Cuenta Contable]]&amp;" - "&amp;Cuenta_Clasificacion[[#This Row],[Nombre de Cuenta Contable]]</f>
        <v>4104030 - Distribución Remuneraciones (MOD)</v>
      </c>
      <c r="F741" s="47" t="str">
        <f>+Cuenta_Clasificacion[[#This Row],[Codigo Concepto de imputación]]&amp;" - "&amp;Cuenta_Clasificacion[[#This Row],[Nombre Concepto de imputación]]</f>
        <v>40059 - Experto en  Prev. de Riesgos</v>
      </c>
    </row>
    <row r="742" spans="1:6" x14ac:dyDescent="0.25">
      <c r="A742" s="43">
        <v>4104030</v>
      </c>
      <c r="B742" t="s">
        <v>177</v>
      </c>
      <c r="C742" s="43">
        <v>40060</v>
      </c>
      <c r="D742" t="s">
        <v>3003</v>
      </c>
      <c r="E742" s="47" t="str">
        <f>+Cuenta_Clasificacion[[#This Row],[Código Cuenta Contable]]&amp;" - "&amp;Cuenta_Clasificacion[[#This Row],[Nombre de Cuenta Contable]]</f>
        <v>4104030 - Distribución Remuneraciones (MOD)</v>
      </c>
      <c r="F742" s="47" t="str">
        <f>+Cuenta_Clasificacion[[#This Row],[Codigo Concepto de imputación]]&amp;" - "&amp;Cuenta_Clasificacion[[#This Row],[Nombre Concepto de imputación]]</f>
        <v>40060 - Gasfiter</v>
      </c>
    </row>
    <row r="743" spans="1:6" x14ac:dyDescent="0.25">
      <c r="A743" s="43">
        <v>4104030</v>
      </c>
      <c r="B743" t="s">
        <v>177</v>
      </c>
      <c r="C743" s="43">
        <v>40061</v>
      </c>
      <c r="D743" t="s">
        <v>3004</v>
      </c>
      <c r="E743" s="47" t="str">
        <f>+Cuenta_Clasificacion[[#This Row],[Código Cuenta Contable]]&amp;" - "&amp;Cuenta_Clasificacion[[#This Row],[Nombre de Cuenta Contable]]</f>
        <v>4104030 - Distribución Remuneraciones (MOD)</v>
      </c>
      <c r="F743" s="47" t="str">
        <f>+Cuenta_Clasificacion[[#This Row],[Codigo Concepto de imputación]]&amp;" - "&amp;Cuenta_Clasificacion[[#This Row],[Nombre Concepto de imputación]]</f>
        <v>40061 - Gerente de Obra</v>
      </c>
    </row>
    <row r="744" spans="1:6" x14ac:dyDescent="0.25">
      <c r="A744" s="43">
        <v>4104030</v>
      </c>
      <c r="B744" t="s">
        <v>177</v>
      </c>
      <c r="C744" s="43">
        <v>40062</v>
      </c>
      <c r="D744" t="s">
        <v>3005</v>
      </c>
      <c r="E744" s="47" t="str">
        <f>+Cuenta_Clasificacion[[#This Row],[Código Cuenta Contable]]&amp;" - "&amp;Cuenta_Clasificacion[[#This Row],[Nombre de Cuenta Contable]]</f>
        <v>4104030 - Distribución Remuneraciones (MOD)</v>
      </c>
      <c r="F744" s="47" t="str">
        <f>+Cuenta_Clasificacion[[#This Row],[Codigo Concepto de imputación]]&amp;" - "&amp;Cuenta_Clasificacion[[#This Row],[Nombre Concepto de imputación]]</f>
        <v>40062 - Ingeniero</v>
      </c>
    </row>
    <row r="745" spans="1:6" x14ac:dyDescent="0.25">
      <c r="A745" s="43">
        <v>4104030</v>
      </c>
      <c r="B745" t="s">
        <v>177</v>
      </c>
      <c r="C745" s="43">
        <v>40063</v>
      </c>
      <c r="D745" t="s">
        <v>3006</v>
      </c>
      <c r="E745" s="47" t="str">
        <f>+Cuenta_Clasificacion[[#This Row],[Código Cuenta Contable]]&amp;" - "&amp;Cuenta_Clasificacion[[#This Row],[Nombre de Cuenta Contable]]</f>
        <v>4104030 - Distribución Remuneraciones (MOD)</v>
      </c>
      <c r="F745" s="47" t="str">
        <f>+Cuenta_Clasificacion[[#This Row],[Codigo Concepto de imputación]]&amp;" - "&amp;Cuenta_Clasificacion[[#This Row],[Nombre Concepto de imputación]]</f>
        <v>40063 - Insp. Técnico de Obra Interno</v>
      </c>
    </row>
    <row r="746" spans="1:6" x14ac:dyDescent="0.25">
      <c r="A746" s="43">
        <v>4104030</v>
      </c>
      <c r="B746" t="s">
        <v>177</v>
      </c>
      <c r="C746" s="43">
        <v>40064</v>
      </c>
      <c r="D746" t="s">
        <v>3007</v>
      </c>
      <c r="E746" s="47" t="str">
        <f>+Cuenta_Clasificacion[[#This Row],[Código Cuenta Contable]]&amp;" - "&amp;Cuenta_Clasificacion[[#This Row],[Nombre de Cuenta Contable]]</f>
        <v>4104030 - Distribución Remuneraciones (MOD)</v>
      </c>
      <c r="F746" s="47" t="str">
        <f>+Cuenta_Clasificacion[[#This Row],[Codigo Concepto de imputación]]&amp;" - "&amp;Cuenta_Clasificacion[[#This Row],[Nombre Concepto de imputación]]</f>
        <v>40064 - Inspector Técnico de Obra</v>
      </c>
    </row>
    <row r="747" spans="1:6" x14ac:dyDescent="0.25">
      <c r="A747" s="43">
        <v>4104030</v>
      </c>
      <c r="B747" t="s">
        <v>177</v>
      </c>
      <c r="C747" s="43">
        <v>40065</v>
      </c>
      <c r="D747" t="s">
        <v>3008</v>
      </c>
      <c r="E747" s="47" t="str">
        <f>+Cuenta_Clasificacion[[#This Row],[Código Cuenta Contable]]&amp;" - "&amp;Cuenta_Clasificacion[[#This Row],[Nombre de Cuenta Contable]]</f>
        <v>4104030 - Distribución Remuneraciones (MOD)</v>
      </c>
      <c r="F747" s="47" t="str">
        <f>+Cuenta_Clasificacion[[#This Row],[Codigo Concepto de imputación]]&amp;" - "&amp;Cuenta_Clasificacion[[#This Row],[Nombre Concepto de imputación]]</f>
        <v>40065 - Jefe de Adquisiciones</v>
      </c>
    </row>
    <row r="748" spans="1:6" x14ac:dyDescent="0.25">
      <c r="A748" s="43">
        <v>4104030</v>
      </c>
      <c r="B748" t="s">
        <v>177</v>
      </c>
      <c r="C748" s="43">
        <v>40066</v>
      </c>
      <c r="D748" t="s">
        <v>3009</v>
      </c>
      <c r="E748" s="47" t="str">
        <f>+Cuenta_Clasificacion[[#This Row],[Código Cuenta Contable]]&amp;" - "&amp;Cuenta_Clasificacion[[#This Row],[Nombre de Cuenta Contable]]</f>
        <v>4104030 - Distribución Remuneraciones (MOD)</v>
      </c>
      <c r="F748" s="47" t="str">
        <f>+Cuenta_Clasificacion[[#This Row],[Codigo Concepto de imputación]]&amp;" - "&amp;Cuenta_Clasificacion[[#This Row],[Nombre Concepto de imputación]]</f>
        <v>40066 - Jefe de Bodega</v>
      </c>
    </row>
    <row r="749" spans="1:6" x14ac:dyDescent="0.25">
      <c r="A749" s="43">
        <v>4104030</v>
      </c>
      <c r="B749" t="s">
        <v>177</v>
      </c>
      <c r="C749" s="43">
        <v>40067</v>
      </c>
      <c r="D749" t="s">
        <v>3010</v>
      </c>
      <c r="E749" s="47" t="str">
        <f>+Cuenta_Clasificacion[[#This Row],[Código Cuenta Contable]]&amp;" - "&amp;Cuenta_Clasificacion[[#This Row],[Nombre de Cuenta Contable]]</f>
        <v>4104030 - Distribución Remuneraciones (MOD)</v>
      </c>
      <c r="F749" s="47" t="str">
        <f>+Cuenta_Clasificacion[[#This Row],[Codigo Concepto de imputación]]&amp;" - "&amp;Cuenta_Clasificacion[[#This Row],[Nombre Concepto de imputación]]</f>
        <v>40067 - Jefe de Maq. y Bodega Central</v>
      </c>
    </row>
    <row r="750" spans="1:6" x14ac:dyDescent="0.25">
      <c r="A750" s="43">
        <v>4104030</v>
      </c>
      <c r="B750" t="s">
        <v>177</v>
      </c>
      <c r="C750" s="43">
        <v>40068</v>
      </c>
      <c r="D750" t="s">
        <v>3011</v>
      </c>
      <c r="E750" s="47" t="str">
        <f>+Cuenta_Clasificacion[[#This Row],[Código Cuenta Contable]]&amp;" - "&amp;Cuenta_Clasificacion[[#This Row],[Nombre de Cuenta Contable]]</f>
        <v>4104030 - Distribución Remuneraciones (MOD)</v>
      </c>
      <c r="F750" s="47" t="str">
        <f>+Cuenta_Clasificacion[[#This Row],[Codigo Concepto de imputación]]&amp;" - "&amp;Cuenta_Clasificacion[[#This Row],[Nombre Concepto de imputación]]</f>
        <v>40068 - Jefe de Obra</v>
      </c>
    </row>
    <row r="751" spans="1:6" x14ac:dyDescent="0.25">
      <c r="A751" s="43">
        <v>4104030</v>
      </c>
      <c r="B751" t="s">
        <v>177</v>
      </c>
      <c r="C751" s="43">
        <v>40069</v>
      </c>
      <c r="D751" t="s">
        <v>3012</v>
      </c>
      <c r="E751" s="47" t="str">
        <f>+Cuenta_Clasificacion[[#This Row],[Código Cuenta Contable]]&amp;" - "&amp;Cuenta_Clasificacion[[#This Row],[Nombre de Cuenta Contable]]</f>
        <v>4104030 - Distribución Remuneraciones (MOD)</v>
      </c>
      <c r="F751" s="47" t="str">
        <f>+Cuenta_Clasificacion[[#This Row],[Codigo Concepto de imputación]]&amp;" - "&amp;Cuenta_Clasificacion[[#This Row],[Nombre Concepto de imputación]]</f>
        <v>40069 - Jefe de Patio</v>
      </c>
    </row>
    <row r="752" spans="1:6" x14ac:dyDescent="0.25">
      <c r="A752" s="43">
        <v>4104030</v>
      </c>
      <c r="B752" t="s">
        <v>177</v>
      </c>
      <c r="C752" s="43">
        <v>40070</v>
      </c>
      <c r="D752" t="s">
        <v>3013</v>
      </c>
      <c r="E752" s="47" t="str">
        <f>+Cuenta_Clasificacion[[#This Row],[Código Cuenta Contable]]&amp;" - "&amp;Cuenta_Clasificacion[[#This Row],[Nombre de Cuenta Contable]]</f>
        <v>4104030 - Distribución Remuneraciones (MOD)</v>
      </c>
      <c r="F752" s="47" t="str">
        <f>+Cuenta_Clasificacion[[#This Row],[Codigo Concepto de imputación]]&amp;" - "&amp;Cuenta_Clasificacion[[#This Row],[Nombre Concepto de imputación]]</f>
        <v>40070 - Jefe de Post Venta</v>
      </c>
    </row>
    <row r="753" spans="1:6" x14ac:dyDescent="0.25">
      <c r="A753" s="43">
        <v>4104030</v>
      </c>
      <c r="B753" t="s">
        <v>177</v>
      </c>
      <c r="C753" s="43">
        <v>40071</v>
      </c>
      <c r="D753" t="s">
        <v>3014</v>
      </c>
      <c r="E753" s="47" t="str">
        <f>+Cuenta_Clasificacion[[#This Row],[Código Cuenta Contable]]&amp;" - "&amp;Cuenta_Clasificacion[[#This Row],[Nombre de Cuenta Contable]]</f>
        <v>4104030 - Distribución Remuneraciones (MOD)</v>
      </c>
      <c r="F753" s="47" t="str">
        <f>+Cuenta_Clasificacion[[#This Row],[Codigo Concepto de imputación]]&amp;" - "&amp;Cuenta_Clasificacion[[#This Row],[Nombre Concepto de imputación]]</f>
        <v>40071 - Jefe de Procesos</v>
      </c>
    </row>
    <row r="754" spans="1:6" x14ac:dyDescent="0.25">
      <c r="A754" s="43">
        <v>4104030</v>
      </c>
      <c r="B754" t="s">
        <v>177</v>
      </c>
      <c r="C754" s="43">
        <v>40072</v>
      </c>
      <c r="D754" t="s">
        <v>3015</v>
      </c>
      <c r="E754" s="47" t="str">
        <f>+Cuenta_Clasificacion[[#This Row],[Código Cuenta Contable]]&amp;" - "&amp;Cuenta_Clasificacion[[#This Row],[Nombre de Cuenta Contable]]</f>
        <v>4104030 - Distribución Remuneraciones (MOD)</v>
      </c>
      <c r="F754" s="47" t="str">
        <f>+Cuenta_Clasificacion[[#This Row],[Codigo Concepto de imputación]]&amp;" - "&amp;Cuenta_Clasificacion[[#This Row],[Nombre Concepto de imputación]]</f>
        <v>40072 - Jefe de Terreno</v>
      </c>
    </row>
    <row r="755" spans="1:6" x14ac:dyDescent="0.25">
      <c r="A755" s="43">
        <v>4104030</v>
      </c>
      <c r="B755" t="s">
        <v>177</v>
      </c>
      <c r="C755" s="43">
        <v>40073</v>
      </c>
      <c r="D755" t="s">
        <v>3016</v>
      </c>
      <c r="E755" s="47" t="str">
        <f>+Cuenta_Clasificacion[[#This Row],[Código Cuenta Contable]]&amp;" - "&amp;Cuenta_Clasificacion[[#This Row],[Nombre de Cuenta Contable]]</f>
        <v>4104030 - Distribución Remuneraciones (MOD)</v>
      </c>
      <c r="F755" s="47" t="str">
        <f>+Cuenta_Clasificacion[[#This Row],[Codigo Concepto de imputación]]&amp;" - "&amp;Cuenta_Clasificacion[[#This Row],[Nombre Concepto de imputación]]</f>
        <v>40073 - Jornal</v>
      </c>
    </row>
    <row r="756" spans="1:6" x14ac:dyDescent="0.25">
      <c r="A756" s="43">
        <v>4104030</v>
      </c>
      <c r="B756" t="s">
        <v>177</v>
      </c>
      <c r="C756" s="43">
        <v>40074</v>
      </c>
      <c r="D756" t="s">
        <v>3017</v>
      </c>
      <c r="E756" s="47" t="str">
        <f>+Cuenta_Clasificacion[[#This Row],[Código Cuenta Contable]]&amp;" - "&amp;Cuenta_Clasificacion[[#This Row],[Nombre de Cuenta Contable]]</f>
        <v>4104030 - Distribución Remuneraciones (MOD)</v>
      </c>
      <c r="F756" s="47" t="str">
        <f>+Cuenta_Clasificacion[[#This Row],[Codigo Concepto de imputación]]&amp;" - "&amp;Cuenta_Clasificacion[[#This Row],[Nombre Concepto de imputación]]</f>
        <v>40074 - Jornal Andamiero</v>
      </c>
    </row>
    <row r="757" spans="1:6" x14ac:dyDescent="0.25">
      <c r="A757" s="43">
        <v>4104030</v>
      </c>
      <c r="B757" t="s">
        <v>177</v>
      </c>
      <c r="C757" s="43">
        <v>40075</v>
      </c>
      <c r="D757" t="s">
        <v>3018</v>
      </c>
      <c r="E757" s="47" t="str">
        <f>+Cuenta_Clasificacion[[#This Row],[Código Cuenta Contable]]&amp;" - "&amp;Cuenta_Clasificacion[[#This Row],[Nombre de Cuenta Contable]]</f>
        <v>4104030 - Distribución Remuneraciones (MOD)</v>
      </c>
      <c r="F757" s="47" t="str">
        <f>+Cuenta_Clasificacion[[#This Row],[Codigo Concepto de imputación]]&amp;" - "&amp;Cuenta_Clasificacion[[#This Row],[Nombre Concepto de imputación]]</f>
        <v>40075 - Jornal Canguero</v>
      </c>
    </row>
    <row r="758" spans="1:6" x14ac:dyDescent="0.25">
      <c r="A758" s="43">
        <v>4104030</v>
      </c>
      <c r="B758" t="s">
        <v>177</v>
      </c>
      <c r="C758" s="43">
        <v>40076</v>
      </c>
      <c r="D758" t="s">
        <v>3019</v>
      </c>
      <c r="E758" s="47" t="str">
        <f>+Cuenta_Clasificacion[[#This Row],[Código Cuenta Contable]]&amp;" - "&amp;Cuenta_Clasificacion[[#This Row],[Nombre de Cuenta Contable]]</f>
        <v>4104030 - Distribución Remuneraciones (MOD)</v>
      </c>
      <c r="F758" s="47" t="str">
        <f>+Cuenta_Clasificacion[[#This Row],[Codigo Concepto de imputación]]&amp;" - "&amp;Cuenta_Clasificacion[[#This Row],[Nombre Concepto de imputación]]</f>
        <v>40076 - Jornal Concretero</v>
      </c>
    </row>
    <row r="759" spans="1:6" x14ac:dyDescent="0.25">
      <c r="A759" s="43">
        <v>4104030</v>
      </c>
      <c r="B759" t="s">
        <v>177</v>
      </c>
      <c r="C759" s="43">
        <v>40077</v>
      </c>
      <c r="D759" t="s">
        <v>3020</v>
      </c>
      <c r="E759" s="47" t="str">
        <f>+Cuenta_Clasificacion[[#This Row],[Código Cuenta Contable]]&amp;" - "&amp;Cuenta_Clasificacion[[#This Row],[Nombre de Cuenta Contable]]</f>
        <v>4104030 - Distribución Remuneraciones (MOD)</v>
      </c>
      <c r="F759" s="47" t="str">
        <f>+Cuenta_Clasificacion[[#This Row],[Codigo Concepto de imputación]]&amp;" - "&amp;Cuenta_Clasificacion[[#This Row],[Nombre Concepto de imputación]]</f>
        <v>40077 - Jornal de Aseo</v>
      </c>
    </row>
    <row r="760" spans="1:6" x14ac:dyDescent="0.25">
      <c r="A760" s="43">
        <v>4104030</v>
      </c>
      <c r="B760" t="s">
        <v>177</v>
      </c>
      <c r="C760" s="43">
        <v>40078</v>
      </c>
      <c r="D760" t="s">
        <v>3021</v>
      </c>
      <c r="E760" s="47" t="str">
        <f>+Cuenta_Clasificacion[[#This Row],[Código Cuenta Contable]]&amp;" - "&amp;Cuenta_Clasificacion[[#This Row],[Nombre de Cuenta Contable]]</f>
        <v>4104030 - Distribución Remuneraciones (MOD)</v>
      </c>
      <c r="F760" s="47" t="str">
        <f>+Cuenta_Clasificacion[[#This Row],[Codigo Concepto de imputación]]&amp;" - "&amp;Cuenta_Clasificacion[[#This Row],[Nombre Concepto de imputación]]</f>
        <v>40078 - Jornal Llavero</v>
      </c>
    </row>
    <row r="761" spans="1:6" x14ac:dyDescent="0.25">
      <c r="A761" s="43">
        <v>4104030</v>
      </c>
      <c r="B761" t="s">
        <v>177</v>
      </c>
      <c r="C761" s="43">
        <v>40079</v>
      </c>
      <c r="D761" t="s">
        <v>3022</v>
      </c>
      <c r="E761" s="47" t="str">
        <f>+Cuenta_Clasificacion[[#This Row],[Código Cuenta Contable]]&amp;" - "&amp;Cuenta_Clasificacion[[#This Row],[Nombre de Cuenta Contable]]</f>
        <v>4104030 - Distribución Remuneraciones (MOD)</v>
      </c>
      <c r="F761" s="47" t="str">
        <f>+Cuenta_Clasificacion[[#This Row],[Codigo Concepto de imputación]]&amp;" - "&amp;Cuenta_Clasificacion[[#This Row],[Nombre Concepto de imputación]]</f>
        <v>40079 - Junior</v>
      </c>
    </row>
    <row r="762" spans="1:6" x14ac:dyDescent="0.25">
      <c r="A762" s="43">
        <v>4104030</v>
      </c>
      <c r="B762" t="s">
        <v>177</v>
      </c>
      <c r="C762" s="43">
        <v>40080</v>
      </c>
      <c r="D762" t="s">
        <v>3023</v>
      </c>
      <c r="E762" s="47" t="str">
        <f>+Cuenta_Clasificacion[[#This Row],[Código Cuenta Contable]]&amp;" - "&amp;Cuenta_Clasificacion[[#This Row],[Nombre de Cuenta Contable]]</f>
        <v>4104030 - Distribución Remuneraciones (MOD)</v>
      </c>
      <c r="F762" s="47" t="str">
        <f>+Cuenta_Clasificacion[[#This Row],[Codigo Concepto de imputación]]&amp;" - "&amp;Cuenta_Clasificacion[[#This Row],[Nombre Concepto de imputación]]</f>
        <v>40080 - Maestro</v>
      </c>
    </row>
    <row r="763" spans="1:6" x14ac:dyDescent="0.25">
      <c r="A763" s="43">
        <v>4104030</v>
      </c>
      <c r="B763" t="s">
        <v>177</v>
      </c>
      <c r="C763" s="43">
        <v>40081</v>
      </c>
      <c r="D763" t="s">
        <v>3024</v>
      </c>
      <c r="E763" s="47" t="str">
        <f>+Cuenta_Clasificacion[[#This Row],[Código Cuenta Contable]]&amp;" - "&amp;Cuenta_Clasificacion[[#This Row],[Nombre de Cuenta Contable]]</f>
        <v>4104030 - Distribución Remuneraciones (MOD)</v>
      </c>
      <c r="F763" s="47" t="str">
        <f>+Cuenta_Clasificacion[[#This Row],[Codigo Concepto de imputación]]&amp;" - "&amp;Cuenta_Clasificacion[[#This Row],[Nombre Concepto de imputación]]</f>
        <v>40081 - Maestro Albañil</v>
      </c>
    </row>
    <row r="764" spans="1:6" x14ac:dyDescent="0.25">
      <c r="A764" s="43">
        <v>4104030</v>
      </c>
      <c r="B764" t="s">
        <v>177</v>
      </c>
      <c r="C764" s="43">
        <v>40082</v>
      </c>
      <c r="D764" t="s">
        <v>3025</v>
      </c>
      <c r="E764" s="47" t="str">
        <f>+Cuenta_Clasificacion[[#This Row],[Código Cuenta Contable]]&amp;" - "&amp;Cuenta_Clasificacion[[#This Row],[Nombre de Cuenta Contable]]</f>
        <v>4104030 - Distribución Remuneraciones (MOD)</v>
      </c>
      <c r="F764" s="47" t="str">
        <f>+Cuenta_Clasificacion[[#This Row],[Codigo Concepto de imputación]]&amp;" - "&amp;Cuenta_Clasificacion[[#This Row],[Nombre Concepto de imputación]]</f>
        <v>40082 - Maestro Carpintero</v>
      </c>
    </row>
    <row r="765" spans="1:6" x14ac:dyDescent="0.25">
      <c r="A765" s="43">
        <v>4104030</v>
      </c>
      <c r="B765" t="s">
        <v>177</v>
      </c>
      <c r="C765" s="43">
        <v>40083</v>
      </c>
      <c r="D765" t="s">
        <v>3026</v>
      </c>
      <c r="E765" s="47" t="str">
        <f>+Cuenta_Clasificacion[[#This Row],[Código Cuenta Contable]]&amp;" - "&amp;Cuenta_Clasificacion[[#This Row],[Nombre de Cuenta Contable]]</f>
        <v>4104030 - Distribución Remuneraciones (MOD)</v>
      </c>
      <c r="F765" s="47" t="str">
        <f>+Cuenta_Clasificacion[[#This Row],[Codigo Concepto de imputación]]&amp;" - "&amp;Cuenta_Clasificacion[[#This Row],[Nombre Concepto de imputación]]</f>
        <v>40083 - Maestro Ceramista</v>
      </c>
    </row>
    <row r="766" spans="1:6" x14ac:dyDescent="0.25">
      <c r="A766" s="43">
        <v>4104030</v>
      </c>
      <c r="B766" t="s">
        <v>177</v>
      </c>
      <c r="C766" s="43">
        <v>40084</v>
      </c>
      <c r="D766" t="s">
        <v>3027</v>
      </c>
      <c r="E766" s="47" t="str">
        <f>+Cuenta_Clasificacion[[#This Row],[Código Cuenta Contable]]&amp;" - "&amp;Cuenta_Clasificacion[[#This Row],[Nombre de Cuenta Contable]]</f>
        <v>4104030 - Distribución Remuneraciones (MOD)</v>
      </c>
      <c r="F766" s="47" t="str">
        <f>+Cuenta_Clasificacion[[#This Row],[Codigo Concepto de imputación]]&amp;" - "&amp;Cuenta_Clasificacion[[#This Row],[Nombre Concepto de imputación]]</f>
        <v>40084 - Maestro Fragüero</v>
      </c>
    </row>
    <row r="767" spans="1:6" x14ac:dyDescent="0.25">
      <c r="A767" s="43">
        <v>4104030</v>
      </c>
      <c r="B767" t="s">
        <v>177</v>
      </c>
      <c r="C767" s="43">
        <v>40085</v>
      </c>
      <c r="D767" t="s">
        <v>3028</v>
      </c>
      <c r="E767" s="47" t="str">
        <f>+Cuenta_Clasificacion[[#This Row],[Código Cuenta Contable]]&amp;" - "&amp;Cuenta_Clasificacion[[#This Row],[Nombre de Cuenta Contable]]</f>
        <v>4104030 - Distribución Remuneraciones (MOD)</v>
      </c>
      <c r="F767" s="47" t="str">
        <f>+Cuenta_Clasificacion[[#This Row],[Codigo Concepto de imputación]]&amp;" - "&amp;Cuenta_Clasificacion[[#This Row],[Nombre Concepto de imputación]]</f>
        <v>40085 - Maestro Trazador</v>
      </c>
    </row>
    <row r="768" spans="1:6" x14ac:dyDescent="0.25">
      <c r="A768" s="43">
        <v>4104030</v>
      </c>
      <c r="B768" t="s">
        <v>177</v>
      </c>
      <c r="C768" s="43">
        <v>40086</v>
      </c>
      <c r="D768" t="s">
        <v>3029</v>
      </c>
      <c r="E768" s="47" t="str">
        <f>+Cuenta_Clasificacion[[#This Row],[Código Cuenta Contable]]&amp;" - "&amp;Cuenta_Clasificacion[[#This Row],[Nombre de Cuenta Contable]]</f>
        <v>4104030 - Distribución Remuneraciones (MOD)</v>
      </c>
      <c r="F768" s="47" t="str">
        <f>+Cuenta_Clasificacion[[#This Row],[Codigo Concepto de imputación]]&amp;" - "&amp;Cuenta_Clasificacion[[#This Row],[Nombre Concepto de imputación]]</f>
        <v>40086 - Mantención</v>
      </c>
    </row>
    <row r="769" spans="1:6" x14ac:dyDescent="0.25">
      <c r="A769" s="43">
        <v>4104030</v>
      </c>
      <c r="B769" t="s">
        <v>177</v>
      </c>
      <c r="C769" s="43">
        <v>40087</v>
      </c>
      <c r="D769" t="s">
        <v>3030</v>
      </c>
      <c r="E769" s="47" t="str">
        <f>+Cuenta_Clasificacion[[#This Row],[Código Cuenta Contable]]&amp;" - "&amp;Cuenta_Clasificacion[[#This Row],[Nombre de Cuenta Contable]]</f>
        <v>4104030 - Distribución Remuneraciones (MOD)</v>
      </c>
      <c r="F769" s="47" t="str">
        <f>+Cuenta_Clasificacion[[#This Row],[Codigo Concepto de imputación]]&amp;" - "&amp;Cuenta_Clasificacion[[#This Row],[Nombre Concepto de imputación]]</f>
        <v>40087 - Mayordomo</v>
      </c>
    </row>
    <row r="770" spans="1:6" x14ac:dyDescent="0.25">
      <c r="A770" s="43">
        <v>4104030</v>
      </c>
      <c r="B770" t="s">
        <v>177</v>
      </c>
      <c r="C770" s="43">
        <v>40088</v>
      </c>
      <c r="D770" t="s">
        <v>3031</v>
      </c>
      <c r="E770" s="47" t="str">
        <f>+Cuenta_Clasificacion[[#This Row],[Código Cuenta Contable]]&amp;" - "&amp;Cuenta_Clasificacion[[#This Row],[Nombre de Cuenta Contable]]</f>
        <v>4104030 - Distribución Remuneraciones (MOD)</v>
      </c>
      <c r="F770" s="47" t="str">
        <f>+Cuenta_Clasificacion[[#This Row],[Codigo Concepto de imputación]]&amp;" - "&amp;Cuenta_Clasificacion[[#This Row],[Nombre Concepto de imputación]]</f>
        <v>40088 - Oficina Técnica</v>
      </c>
    </row>
    <row r="771" spans="1:6" x14ac:dyDescent="0.25">
      <c r="A771" s="43">
        <v>4104030</v>
      </c>
      <c r="B771" t="s">
        <v>177</v>
      </c>
      <c r="C771" s="43">
        <v>40089</v>
      </c>
      <c r="D771" t="s">
        <v>3032</v>
      </c>
      <c r="E771" s="47" t="str">
        <f>+Cuenta_Clasificacion[[#This Row],[Código Cuenta Contable]]&amp;" - "&amp;Cuenta_Clasificacion[[#This Row],[Nombre de Cuenta Contable]]</f>
        <v>4104030 - Distribución Remuneraciones (MOD)</v>
      </c>
      <c r="F771" s="47" t="str">
        <f>+Cuenta_Clasificacion[[#This Row],[Codigo Concepto de imputación]]&amp;" - "&amp;Cuenta_Clasificacion[[#This Row],[Nombre Concepto de imputación]]</f>
        <v>40089 - Operador</v>
      </c>
    </row>
    <row r="772" spans="1:6" x14ac:dyDescent="0.25">
      <c r="A772" s="43">
        <v>4104030</v>
      </c>
      <c r="B772" t="s">
        <v>177</v>
      </c>
      <c r="C772" s="43">
        <v>40090</v>
      </c>
      <c r="D772" t="s">
        <v>3033</v>
      </c>
      <c r="E772" s="47" t="str">
        <f>+Cuenta_Clasificacion[[#This Row],[Código Cuenta Contable]]&amp;" - "&amp;Cuenta_Clasificacion[[#This Row],[Nombre de Cuenta Contable]]</f>
        <v>4104030 - Distribución Remuneraciones (MOD)</v>
      </c>
      <c r="F772" s="47" t="str">
        <f>+Cuenta_Clasificacion[[#This Row],[Codigo Concepto de imputación]]&amp;" - "&amp;Cuenta_Clasificacion[[#This Row],[Nombre Concepto de imputación]]</f>
        <v>40090 - Operador de Grúa</v>
      </c>
    </row>
    <row r="773" spans="1:6" x14ac:dyDescent="0.25">
      <c r="A773" s="43">
        <v>4104030</v>
      </c>
      <c r="B773" t="s">
        <v>177</v>
      </c>
      <c r="C773" s="43">
        <v>40091</v>
      </c>
      <c r="D773" t="s">
        <v>3034</v>
      </c>
      <c r="E773" s="47" t="str">
        <f>+Cuenta_Clasificacion[[#This Row],[Código Cuenta Contable]]&amp;" - "&amp;Cuenta_Clasificacion[[#This Row],[Nombre de Cuenta Contable]]</f>
        <v>4104030 - Distribución Remuneraciones (MOD)</v>
      </c>
      <c r="F773" s="47" t="str">
        <f>+Cuenta_Clasificacion[[#This Row],[Codigo Concepto de imputación]]&amp;" - "&amp;Cuenta_Clasificacion[[#This Row],[Nombre Concepto de imputación]]</f>
        <v>40091 - Operador de Minicargador</v>
      </c>
    </row>
    <row r="774" spans="1:6" x14ac:dyDescent="0.25">
      <c r="A774" s="43">
        <v>4104030</v>
      </c>
      <c r="B774" t="s">
        <v>177</v>
      </c>
      <c r="C774" s="43">
        <v>40092</v>
      </c>
      <c r="D774" t="s">
        <v>3035</v>
      </c>
      <c r="E774" s="47" t="str">
        <f>+Cuenta_Clasificacion[[#This Row],[Código Cuenta Contable]]&amp;" - "&amp;Cuenta_Clasificacion[[#This Row],[Nombre de Cuenta Contable]]</f>
        <v>4104030 - Distribución Remuneraciones (MOD)</v>
      </c>
      <c r="F774" s="47" t="str">
        <f>+Cuenta_Clasificacion[[#This Row],[Codigo Concepto de imputación]]&amp;" - "&amp;Cuenta_Clasificacion[[#This Row],[Nombre Concepto de imputación]]</f>
        <v>40092 - Pañolero</v>
      </c>
    </row>
    <row r="775" spans="1:6" x14ac:dyDescent="0.25">
      <c r="A775" s="43">
        <v>4104030</v>
      </c>
      <c r="B775" t="s">
        <v>177</v>
      </c>
      <c r="C775" s="43">
        <v>40093</v>
      </c>
      <c r="D775" t="s">
        <v>3036</v>
      </c>
      <c r="E775" s="47" t="str">
        <f>+Cuenta_Clasificacion[[#This Row],[Código Cuenta Contable]]&amp;" - "&amp;Cuenta_Clasificacion[[#This Row],[Nombre de Cuenta Contable]]</f>
        <v>4104030 - Distribución Remuneraciones (MOD)</v>
      </c>
      <c r="F775" s="47" t="str">
        <f>+Cuenta_Clasificacion[[#This Row],[Codigo Concepto de imputación]]&amp;" - "&amp;Cuenta_Clasificacion[[#This Row],[Nombre Concepto de imputación]]</f>
        <v>40093 - Pintor</v>
      </c>
    </row>
    <row r="776" spans="1:6" x14ac:dyDescent="0.25">
      <c r="A776" s="43">
        <v>4104030</v>
      </c>
      <c r="B776" t="s">
        <v>177</v>
      </c>
      <c r="C776" s="43">
        <v>40094</v>
      </c>
      <c r="D776" t="s">
        <v>3037</v>
      </c>
      <c r="E776" s="47" t="str">
        <f>+Cuenta_Clasificacion[[#This Row],[Código Cuenta Contable]]&amp;" - "&amp;Cuenta_Clasificacion[[#This Row],[Nombre de Cuenta Contable]]</f>
        <v>4104030 - Distribución Remuneraciones (MOD)</v>
      </c>
      <c r="F776" s="47" t="str">
        <f>+Cuenta_Clasificacion[[#This Row],[Codigo Concepto de imputación]]&amp;" - "&amp;Cuenta_Clasificacion[[#This Row],[Nombre Concepto de imputación]]</f>
        <v>40094 - Portero</v>
      </c>
    </row>
    <row r="777" spans="1:6" x14ac:dyDescent="0.25">
      <c r="A777" s="43">
        <v>4104030</v>
      </c>
      <c r="B777" t="s">
        <v>177</v>
      </c>
      <c r="C777" s="43">
        <v>40095</v>
      </c>
      <c r="D777" t="s">
        <v>3038</v>
      </c>
      <c r="E777" s="47" t="str">
        <f>+Cuenta_Clasificacion[[#This Row],[Código Cuenta Contable]]&amp;" - "&amp;Cuenta_Clasificacion[[#This Row],[Nombre de Cuenta Contable]]</f>
        <v>4104030 - Distribución Remuneraciones (MOD)</v>
      </c>
      <c r="F777" s="47" t="str">
        <f>+Cuenta_Clasificacion[[#This Row],[Codigo Concepto de imputación]]&amp;" - "&amp;Cuenta_Clasificacion[[#This Row],[Nombre Concepto de imputación]]</f>
        <v>40095 - Post Venta Obra</v>
      </c>
    </row>
    <row r="778" spans="1:6" x14ac:dyDescent="0.25">
      <c r="A778" s="43">
        <v>4104030</v>
      </c>
      <c r="B778" t="s">
        <v>177</v>
      </c>
      <c r="C778" s="43">
        <v>40096</v>
      </c>
      <c r="D778" t="s">
        <v>3039</v>
      </c>
      <c r="E778" s="47" t="str">
        <f>+Cuenta_Clasificacion[[#This Row],[Código Cuenta Contable]]&amp;" - "&amp;Cuenta_Clasificacion[[#This Row],[Nombre de Cuenta Contable]]</f>
        <v>4104030 - Distribución Remuneraciones (MOD)</v>
      </c>
      <c r="F778" s="47" t="str">
        <f>+Cuenta_Clasificacion[[#This Row],[Codigo Concepto de imputación]]&amp;" - "&amp;Cuenta_Clasificacion[[#This Row],[Nombre Concepto de imputación]]</f>
        <v>40096 - Prevencionista</v>
      </c>
    </row>
    <row r="779" spans="1:6" x14ac:dyDescent="0.25">
      <c r="A779" s="43">
        <v>4104030</v>
      </c>
      <c r="B779" t="s">
        <v>177</v>
      </c>
      <c r="C779" s="43">
        <v>40097</v>
      </c>
      <c r="D779" t="s">
        <v>3040</v>
      </c>
      <c r="E779" s="47" t="str">
        <f>+Cuenta_Clasificacion[[#This Row],[Código Cuenta Contable]]&amp;" - "&amp;Cuenta_Clasificacion[[#This Row],[Nombre de Cuenta Contable]]</f>
        <v>4104030 - Distribución Remuneraciones (MOD)</v>
      </c>
      <c r="F779" s="47" t="str">
        <f>+Cuenta_Clasificacion[[#This Row],[Codigo Concepto de imputación]]&amp;" - "&amp;Cuenta_Clasificacion[[#This Row],[Nombre Concepto de imputación]]</f>
        <v>40097 - Profesional de Calidad y Seg.</v>
      </c>
    </row>
    <row r="780" spans="1:6" x14ac:dyDescent="0.25">
      <c r="A780" s="43">
        <v>4104030</v>
      </c>
      <c r="B780" t="s">
        <v>177</v>
      </c>
      <c r="C780" s="43">
        <v>40098</v>
      </c>
      <c r="D780" t="s">
        <v>3041</v>
      </c>
      <c r="E780" s="47" t="str">
        <f>+Cuenta_Clasificacion[[#This Row],[Código Cuenta Contable]]&amp;" - "&amp;Cuenta_Clasificacion[[#This Row],[Nombre de Cuenta Contable]]</f>
        <v>4104030 - Distribución Remuneraciones (MOD)</v>
      </c>
      <c r="F780" s="47" t="str">
        <f>+Cuenta_Clasificacion[[#This Row],[Codigo Concepto de imputación]]&amp;" - "&amp;Cuenta_Clasificacion[[#This Row],[Nombre Concepto de imputación]]</f>
        <v>40098 - Profesional de Terreno Trainee</v>
      </c>
    </row>
    <row r="781" spans="1:6" x14ac:dyDescent="0.25">
      <c r="A781" s="43">
        <v>4104030</v>
      </c>
      <c r="B781" t="s">
        <v>177</v>
      </c>
      <c r="C781" s="43">
        <v>40099</v>
      </c>
      <c r="D781" t="s">
        <v>3042</v>
      </c>
      <c r="E781" s="47" t="str">
        <f>+Cuenta_Clasificacion[[#This Row],[Código Cuenta Contable]]&amp;" - "&amp;Cuenta_Clasificacion[[#This Row],[Nombre de Cuenta Contable]]</f>
        <v>4104030 - Distribución Remuneraciones (MOD)</v>
      </c>
      <c r="F781" s="47" t="str">
        <f>+Cuenta_Clasificacion[[#This Row],[Codigo Concepto de imputación]]&amp;" - "&amp;Cuenta_Clasificacion[[#This Row],[Nombre Concepto de imputación]]</f>
        <v>40099 - Señalero</v>
      </c>
    </row>
    <row r="782" spans="1:6" x14ac:dyDescent="0.25">
      <c r="A782" s="43">
        <v>4104030</v>
      </c>
      <c r="B782" t="s">
        <v>177</v>
      </c>
      <c r="C782" s="43">
        <v>40100</v>
      </c>
      <c r="D782" t="s">
        <v>3043</v>
      </c>
      <c r="E782" s="47" t="str">
        <f>+Cuenta_Clasificacion[[#This Row],[Código Cuenta Contable]]&amp;" - "&amp;Cuenta_Clasificacion[[#This Row],[Nombre de Cuenta Contable]]</f>
        <v>4104030 - Distribución Remuneraciones (MOD)</v>
      </c>
      <c r="F782" s="47" t="str">
        <f>+Cuenta_Clasificacion[[#This Row],[Codigo Concepto de imputación]]&amp;" - "&amp;Cuenta_Clasificacion[[#This Row],[Nombre Concepto de imputación]]</f>
        <v>40100 - Soldador</v>
      </c>
    </row>
    <row r="783" spans="1:6" x14ac:dyDescent="0.25">
      <c r="A783" s="43">
        <v>4104030</v>
      </c>
      <c r="B783" t="s">
        <v>177</v>
      </c>
      <c r="C783" s="43">
        <v>40101</v>
      </c>
      <c r="D783" t="s">
        <v>3044</v>
      </c>
      <c r="E783" s="47" t="str">
        <f>+Cuenta_Clasificacion[[#This Row],[Código Cuenta Contable]]&amp;" - "&amp;Cuenta_Clasificacion[[#This Row],[Nombre de Cuenta Contable]]</f>
        <v>4104030 - Distribución Remuneraciones (MOD)</v>
      </c>
      <c r="F783" s="47" t="str">
        <f>+Cuenta_Clasificacion[[#This Row],[Codigo Concepto de imputación]]&amp;" - "&amp;Cuenta_Clasificacion[[#This Row],[Nombre Concepto de imputación]]</f>
        <v>40101 - Sup. de Bodega, Maq. y Equipos</v>
      </c>
    </row>
    <row r="784" spans="1:6" x14ac:dyDescent="0.25">
      <c r="A784" s="43">
        <v>4104030</v>
      </c>
      <c r="B784" t="s">
        <v>177</v>
      </c>
      <c r="C784" s="43">
        <v>40102</v>
      </c>
      <c r="D784" t="s">
        <v>3045</v>
      </c>
      <c r="E784" s="47" t="str">
        <f>+Cuenta_Clasificacion[[#This Row],[Código Cuenta Contable]]&amp;" - "&amp;Cuenta_Clasificacion[[#This Row],[Nombre de Cuenta Contable]]</f>
        <v>4104030 - Distribución Remuneraciones (MOD)</v>
      </c>
      <c r="F784" s="47" t="str">
        <f>+Cuenta_Clasificacion[[#This Row],[Codigo Concepto de imputación]]&amp;" - "&amp;Cuenta_Clasificacion[[#This Row],[Nombre Concepto de imputación]]</f>
        <v>40102 - Supervisor</v>
      </c>
    </row>
    <row r="785" spans="1:6" x14ac:dyDescent="0.25">
      <c r="A785" s="43">
        <v>4104030</v>
      </c>
      <c r="B785" t="s">
        <v>177</v>
      </c>
      <c r="C785" s="43">
        <v>40103</v>
      </c>
      <c r="D785" t="s">
        <v>3046</v>
      </c>
      <c r="E785" s="47" t="str">
        <f>+Cuenta_Clasificacion[[#This Row],[Código Cuenta Contable]]&amp;" - "&amp;Cuenta_Clasificacion[[#This Row],[Nombre de Cuenta Contable]]</f>
        <v>4104030 - Distribución Remuneraciones (MOD)</v>
      </c>
      <c r="F785" s="47" t="str">
        <f>+Cuenta_Clasificacion[[#This Row],[Codigo Concepto de imputación]]&amp;" - "&amp;Cuenta_Clasificacion[[#This Row],[Nombre Concepto de imputación]]</f>
        <v>40103 - Sup. Administrativo de Obras</v>
      </c>
    </row>
    <row r="786" spans="1:6" x14ac:dyDescent="0.25">
      <c r="A786" s="43">
        <v>4104030</v>
      </c>
      <c r="B786" t="s">
        <v>177</v>
      </c>
      <c r="C786" s="43">
        <v>40104</v>
      </c>
      <c r="D786" t="s">
        <v>3047</v>
      </c>
      <c r="E786" s="47" t="str">
        <f>+Cuenta_Clasificacion[[#This Row],[Código Cuenta Contable]]&amp;" - "&amp;Cuenta_Clasificacion[[#This Row],[Nombre de Cuenta Contable]]</f>
        <v>4104030 - Distribución Remuneraciones (MOD)</v>
      </c>
      <c r="F786" s="47" t="str">
        <f>+Cuenta_Clasificacion[[#This Row],[Codigo Concepto de imputación]]&amp;" - "&amp;Cuenta_Clasificacion[[#This Row],[Nombre Concepto de imputación]]</f>
        <v>40104 - Supervisor de Instalaciones</v>
      </c>
    </row>
    <row r="787" spans="1:6" x14ac:dyDescent="0.25">
      <c r="A787" s="43">
        <v>4104030</v>
      </c>
      <c r="B787" t="s">
        <v>177</v>
      </c>
      <c r="C787" s="43">
        <v>40105</v>
      </c>
      <c r="D787" t="s">
        <v>3048</v>
      </c>
      <c r="E787" s="47" t="str">
        <f>+Cuenta_Clasificacion[[#This Row],[Código Cuenta Contable]]&amp;" - "&amp;Cuenta_Clasificacion[[#This Row],[Nombre de Cuenta Contable]]</f>
        <v>4104030 - Distribución Remuneraciones (MOD)</v>
      </c>
      <c r="F787" s="47" t="str">
        <f>+Cuenta_Clasificacion[[#This Row],[Codigo Concepto de imputación]]&amp;" - "&amp;Cuenta_Clasificacion[[#This Row],[Nombre Concepto de imputación]]</f>
        <v>40105 - Sup. de Instalaciones Eléct.</v>
      </c>
    </row>
    <row r="788" spans="1:6" x14ac:dyDescent="0.25">
      <c r="A788" s="43">
        <v>4104030</v>
      </c>
      <c r="B788" t="s">
        <v>177</v>
      </c>
      <c r="C788" s="43">
        <v>40106</v>
      </c>
      <c r="D788" t="s">
        <v>3049</v>
      </c>
      <c r="E788" s="47" t="str">
        <f>+Cuenta_Clasificacion[[#This Row],[Código Cuenta Contable]]&amp;" - "&amp;Cuenta_Clasificacion[[#This Row],[Nombre de Cuenta Contable]]</f>
        <v>4104030 - Distribución Remuneraciones (MOD)</v>
      </c>
      <c r="F788" s="47" t="str">
        <f>+Cuenta_Clasificacion[[#This Row],[Codigo Concepto de imputación]]&amp;" - "&amp;Cuenta_Clasificacion[[#This Row],[Nombre Concepto de imputación]]</f>
        <v>40106 - Sup. de Mantención y Montaje</v>
      </c>
    </row>
    <row r="789" spans="1:6" x14ac:dyDescent="0.25">
      <c r="A789" s="43">
        <v>4104030</v>
      </c>
      <c r="B789" t="s">
        <v>177</v>
      </c>
      <c r="C789" s="43">
        <v>40107</v>
      </c>
      <c r="D789" t="s">
        <v>3050</v>
      </c>
      <c r="E789" s="47" t="str">
        <f>+Cuenta_Clasificacion[[#This Row],[Código Cuenta Contable]]&amp;" - "&amp;Cuenta_Clasificacion[[#This Row],[Nombre de Cuenta Contable]]</f>
        <v>4104030 - Distribución Remuneraciones (MOD)</v>
      </c>
      <c r="F789" s="47" t="str">
        <f>+Cuenta_Clasificacion[[#This Row],[Codigo Concepto de imputación]]&amp;" - "&amp;Cuenta_Clasificacion[[#This Row],[Nombre Concepto de imputación]]</f>
        <v>40107 - Supervisor Regional Post Vta</v>
      </c>
    </row>
    <row r="790" spans="1:6" x14ac:dyDescent="0.25">
      <c r="A790" s="43">
        <v>4104030</v>
      </c>
      <c r="B790" t="s">
        <v>177</v>
      </c>
      <c r="C790" s="43">
        <v>40108</v>
      </c>
      <c r="D790" t="s">
        <v>3051</v>
      </c>
      <c r="E790" s="47" t="str">
        <f>+Cuenta_Clasificacion[[#This Row],[Código Cuenta Contable]]&amp;" - "&amp;Cuenta_Clasificacion[[#This Row],[Nombre de Cuenta Contable]]</f>
        <v>4104030 - Distribución Remuneraciones (MOD)</v>
      </c>
      <c r="F790" s="47" t="str">
        <f>+Cuenta_Clasificacion[[#This Row],[Codigo Concepto de imputación]]&amp;" - "&amp;Cuenta_Clasificacion[[#This Row],[Nombre Concepto de imputación]]</f>
        <v>40108 - Supervisor Zonal</v>
      </c>
    </row>
    <row r="791" spans="1:6" x14ac:dyDescent="0.25">
      <c r="A791" s="43">
        <v>4104030</v>
      </c>
      <c r="B791" t="s">
        <v>177</v>
      </c>
      <c r="C791" s="43">
        <v>40109</v>
      </c>
      <c r="D791" t="s">
        <v>3052</v>
      </c>
      <c r="E791" s="47" t="str">
        <f>+Cuenta_Clasificacion[[#This Row],[Código Cuenta Contable]]&amp;" - "&amp;Cuenta_Clasificacion[[#This Row],[Nombre de Cuenta Contable]]</f>
        <v>4104030 - Distribución Remuneraciones (MOD)</v>
      </c>
      <c r="F791" s="47" t="str">
        <f>+Cuenta_Clasificacion[[#This Row],[Codigo Concepto de imputación]]&amp;" - "&amp;Cuenta_Clasificacion[[#This Row],[Nombre Concepto de imputación]]</f>
        <v>40109 - Técnico</v>
      </c>
    </row>
    <row r="792" spans="1:6" x14ac:dyDescent="0.25">
      <c r="A792" s="43">
        <v>4104030</v>
      </c>
      <c r="B792" t="s">
        <v>177</v>
      </c>
      <c r="C792" s="43">
        <v>40110</v>
      </c>
      <c r="D792" t="s">
        <v>3053</v>
      </c>
      <c r="E792" s="47" t="str">
        <f>+Cuenta_Clasificacion[[#This Row],[Código Cuenta Contable]]&amp;" - "&amp;Cuenta_Clasificacion[[#This Row],[Nombre de Cuenta Contable]]</f>
        <v>4104030 - Distribución Remuneraciones (MOD)</v>
      </c>
      <c r="F792" s="47" t="str">
        <f>+Cuenta_Clasificacion[[#This Row],[Codigo Concepto de imputación]]&amp;" - "&amp;Cuenta_Clasificacion[[#This Row],[Nombre Concepto de imputación]]</f>
        <v>40110 - Técnico Geomensor</v>
      </c>
    </row>
    <row r="793" spans="1:6" x14ac:dyDescent="0.25">
      <c r="A793" s="43">
        <v>4104030</v>
      </c>
      <c r="B793" t="s">
        <v>177</v>
      </c>
      <c r="C793" s="43">
        <v>40111</v>
      </c>
      <c r="D793" t="s">
        <v>3054</v>
      </c>
      <c r="E793" s="47" t="str">
        <f>+Cuenta_Clasificacion[[#This Row],[Código Cuenta Contable]]&amp;" - "&amp;Cuenta_Clasificacion[[#This Row],[Nombre de Cuenta Contable]]</f>
        <v>4104030 - Distribución Remuneraciones (MOD)</v>
      </c>
      <c r="F793" s="47" t="str">
        <f>+Cuenta_Clasificacion[[#This Row],[Codigo Concepto de imputación]]&amp;" - "&amp;Cuenta_Clasificacion[[#This Row],[Nombre Concepto de imputación]]</f>
        <v>40111 - Trazador</v>
      </c>
    </row>
    <row r="794" spans="1:6" x14ac:dyDescent="0.25">
      <c r="A794" s="43">
        <v>4104030</v>
      </c>
      <c r="B794" t="s">
        <v>177</v>
      </c>
      <c r="C794" s="43">
        <v>40112</v>
      </c>
      <c r="D794" t="s">
        <v>3055</v>
      </c>
      <c r="E794" s="47" t="str">
        <f>+Cuenta_Clasificacion[[#This Row],[Código Cuenta Contable]]&amp;" - "&amp;Cuenta_Clasificacion[[#This Row],[Nombre de Cuenta Contable]]</f>
        <v>4104030 - Distribución Remuneraciones (MOD)</v>
      </c>
      <c r="F794" s="47" t="str">
        <f>+Cuenta_Clasificacion[[#This Row],[Codigo Concepto de imputación]]&amp;" - "&amp;Cuenta_Clasificacion[[#This Row],[Nombre Concepto de imputación]]</f>
        <v>40112 - Vibradorista</v>
      </c>
    </row>
    <row r="795" spans="1:6" x14ac:dyDescent="0.25">
      <c r="A795" s="43">
        <v>4104030</v>
      </c>
      <c r="B795" t="s">
        <v>177</v>
      </c>
      <c r="C795" s="43">
        <v>40113</v>
      </c>
      <c r="D795" t="s">
        <v>3056</v>
      </c>
      <c r="E795" s="47" t="str">
        <f>+Cuenta_Clasificacion[[#This Row],[Código Cuenta Contable]]&amp;" - "&amp;Cuenta_Clasificacion[[#This Row],[Nombre de Cuenta Contable]]</f>
        <v>4104030 - Distribución Remuneraciones (MOD)</v>
      </c>
      <c r="F795" s="47" t="str">
        <f>+Cuenta_Clasificacion[[#This Row],[Codigo Concepto de imputación]]&amp;" - "&amp;Cuenta_Clasificacion[[#This Row],[Nombre Concepto de imputación]]</f>
        <v>40113 - Yesero</v>
      </c>
    </row>
    <row r="796" spans="1:6" x14ac:dyDescent="0.25">
      <c r="A796" s="43">
        <v>4104030</v>
      </c>
      <c r="B796" t="s">
        <v>177</v>
      </c>
      <c r="C796" s="43">
        <v>40114</v>
      </c>
      <c r="D796" t="s">
        <v>3057</v>
      </c>
      <c r="E796" s="47" t="str">
        <f>+Cuenta_Clasificacion[[#This Row],[Código Cuenta Contable]]&amp;" - "&amp;Cuenta_Clasificacion[[#This Row],[Nombre de Cuenta Contable]]</f>
        <v>4104030 - Distribución Remuneraciones (MOD)</v>
      </c>
      <c r="F796" s="47" t="str">
        <f>+Cuenta_Clasificacion[[#This Row],[Codigo Concepto de imputación]]&amp;" - "&amp;Cuenta_Clasificacion[[#This Row],[Nombre Concepto de imputación]]</f>
        <v>40114 - Bodega - Personal</v>
      </c>
    </row>
    <row r="797" spans="1:6" x14ac:dyDescent="0.25">
      <c r="A797" s="43">
        <v>4104030</v>
      </c>
      <c r="B797" t="s">
        <v>177</v>
      </c>
      <c r="C797" s="43">
        <v>40115</v>
      </c>
      <c r="D797" t="s">
        <v>3058</v>
      </c>
      <c r="E797" s="47" t="str">
        <f>+Cuenta_Clasificacion[[#This Row],[Código Cuenta Contable]]&amp;" - "&amp;Cuenta_Clasificacion[[#This Row],[Nombre de Cuenta Contable]]</f>
        <v>4104030 - Distribución Remuneraciones (MOD)</v>
      </c>
      <c r="F797" s="47" t="str">
        <f>+Cuenta_Clasificacion[[#This Row],[Codigo Concepto de imputación]]&amp;" - "&amp;Cuenta_Clasificacion[[#This Row],[Nombre Concepto de imputación]]</f>
        <v>40115 - Rol Privado</v>
      </c>
    </row>
    <row r="798" spans="1:6" x14ac:dyDescent="0.25">
      <c r="A798" s="43">
        <v>4104030</v>
      </c>
      <c r="B798" t="s">
        <v>177</v>
      </c>
      <c r="C798" s="43">
        <v>40116</v>
      </c>
      <c r="D798" t="s">
        <v>3059</v>
      </c>
      <c r="E798" s="47" t="str">
        <f>+Cuenta_Clasificacion[[#This Row],[Código Cuenta Contable]]&amp;" - "&amp;Cuenta_Clasificacion[[#This Row],[Nombre de Cuenta Contable]]</f>
        <v>4104030 - Distribución Remuneraciones (MOD)</v>
      </c>
      <c r="F798" s="47" t="str">
        <f>+Cuenta_Clasificacion[[#This Row],[Codigo Concepto de imputación]]&amp;" - "&amp;Cuenta_Clasificacion[[#This Row],[Nombre Concepto de imputación]]</f>
        <v>40116 - Aux. de Aseo y Mantención</v>
      </c>
    </row>
    <row r="799" spans="1:6" x14ac:dyDescent="0.25">
      <c r="A799" s="43">
        <v>4104030</v>
      </c>
      <c r="B799" t="s">
        <v>177</v>
      </c>
      <c r="C799" s="43">
        <v>40117</v>
      </c>
      <c r="D799" t="s">
        <v>3060</v>
      </c>
      <c r="E799" s="47" t="str">
        <f>+Cuenta_Clasificacion[[#This Row],[Código Cuenta Contable]]&amp;" - "&amp;Cuenta_Clasificacion[[#This Row],[Nombre de Cuenta Contable]]</f>
        <v>4104030 - Distribución Remuneraciones (MOD)</v>
      </c>
      <c r="F799" s="47" t="str">
        <f>+Cuenta_Clasificacion[[#This Row],[Codigo Concepto de imputación]]&amp;" - "&amp;Cuenta_Clasificacion[[#This Row],[Nombre Concepto de imputación]]</f>
        <v>40117 - Topografo</v>
      </c>
    </row>
    <row r="800" spans="1:6" x14ac:dyDescent="0.25">
      <c r="A800" s="43">
        <v>4104030</v>
      </c>
      <c r="B800" t="s">
        <v>177</v>
      </c>
      <c r="C800" s="43">
        <v>40118</v>
      </c>
      <c r="D800" t="s">
        <v>3061</v>
      </c>
      <c r="E800" s="47" t="str">
        <f>+Cuenta_Clasificacion[[#This Row],[Código Cuenta Contable]]&amp;" - "&amp;Cuenta_Clasificacion[[#This Row],[Nombre de Cuenta Contable]]</f>
        <v>4104030 - Distribución Remuneraciones (MOD)</v>
      </c>
      <c r="F800" s="47" t="str">
        <f>+Cuenta_Clasificacion[[#This Row],[Codigo Concepto de imputación]]&amp;" - "&amp;Cuenta_Clasificacion[[#This Row],[Nombre Concepto de imputación]]</f>
        <v>40118 - Coordinador Post Venta</v>
      </c>
    </row>
    <row r="801" spans="1:6" x14ac:dyDescent="0.25">
      <c r="A801" s="43">
        <v>4104030</v>
      </c>
      <c r="B801" t="s">
        <v>177</v>
      </c>
      <c r="C801" s="43">
        <v>40119</v>
      </c>
      <c r="D801" t="s">
        <v>3062</v>
      </c>
      <c r="E801" s="47" t="str">
        <f>+Cuenta_Clasificacion[[#This Row],[Código Cuenta Contable]]&amp;" - "&amp;Cuenta_Clasificacion[[#This Row],[Nombre de Cuenta Contable]]</f>
        <v>4104030 - Distribución Remuneraciones (MOD)</v>
      </c>
      <c r="F801" s="47" t="str">
        <f>+Cuenta_Clasificacion[[#This Row],[Codigo Concepto de imputación]]&amp;" - "&amp;Cuenta_Clasificacion[[#This Row],[Nombre Concepto de imputación]]</f>
        <v>40119 - Asistente Post Venta</v>
      </c>
    </row>
    <row r="802" spans="1:6" x14ac:dyDescent="0.25">
      <c r="A802" s="43">
        <v>4104030</v>
      </c>
      <c r="B802" t="s">
        <v>177</v>
      </c>
      <c r="C802" s="43">
        <v>40120</v>
      </c>
      <c r="D802" t="s">
        <v>3063</v>
      </c>
      <c r="E802" s="47" t="str">
        <f>+Cuenta_Clasificacion[[#This Row],[Código Cuenta Contable]]&amp;" - "&amp;Cuenta_Clasificacion[[#This Row],[Nombre de Cuenta Contable]]</f>
        <v>4104030 - Distribución Remuneraciones (MOD)</v>
      </c>
      <c r="F802" s="47" t="str">
        <f>+Cuenta_Clasificacion[[#This Row],[Codigo Concepto de imputación]]&amp;" - "&amp;Cuenta_Clasificacion[[#This Row],[Nombre Concepto de imputación]]</f>
        <v>40120 - Rigger</v>
      </c>
    </row>
    <row r="803" spans="1:6" x14ac:dyDescent="0.25">
      <c r="A803" s="43">
        <v>4104030</v>
      </c>
      <c r="B803" t="s">
        <v>177</v>
      </c>
      <c r="C803" s="43">
        <v>40121</v>
      </c>
      <c r="D803" t="s">
        <v>3064</v>
      </c>
      <c r="E803" s="47" t="str">
        <f>+Cuenta_Clasificacion[[#This Row],[Código Cuenta Contable]]&amp;" - "&amp;Cuenta_Clasificacion[[#This Row],[Nombre de Cuenta Contable]]</f>
        <v>4104030 - Distribución Remuneraciones (MOD)</v>
      </c>
      <c r="F803" s="47" t="str">
        <f>+Cuenta_Clasificacion[[#This Row],[Codigo Concepto de imputación]]&amp;" - "&amp;Cuenta_Clasificacion[[#This Row],[Nombre Concepto de imputación]]</f>
        <v>40121 - Carpintero Tabiquero</v>
      </c>
    </row>
    <row r="804" spans="1:6" x14ac:dyDescent="0.25">
      <c r="A804" s="43">
        <v>4104030</v>
      </c>
      <c r="B804" t="s">
        <v>177</v>
      </c>
      <c r="C804" s="43">
        <v>40122</v>
      </c>
      <c r="D804" t="s">
        <v>3065</v>
      </c>
      <c r="E804" s="47" t="str">
        <f>+Cuenta_Clasificacion[[#This Row],[Código Cuenta Contable]]&amp;" - "&amp;Cuenta_Clasificacion[[#This Row],[Nombre de Cuenta Contable]]</f>
        <v>4104030 - Distribución Remuneraciones (MOD)</v>
      </c>
      <c r="F804" s="47" t="str">
        <f>+Cuenta_Clasificacion[[#This Row],[Codigo Concepto de imputación]]&amp;" - "&amp;Cuenta_Clasificacion[[#This Row],[Nombre Concepto de imputación]]</f>
        <v>40122 - Carpintero Bodega Central</v>
      </c>
    </row>
    <row r="805" spans="1:6" x14ac:dyDescent="0.25">
      <c r="A805" s="43">
        <v>4104030</v>
      </c>
      <c r="B805" t="s">
        <v>177</v>
      </c>
      <c r="C805" s="43">
        <v>40123</v>
      </c>
      <c r="D805" t="s">
        <v>3066</v>
      </c>
      <c r="E805" s="47" t="str">
        <f>+Cuenta_Clasificacion[[#This Row],[Código Cuenta Contable]]&amp;" - "&amp;Cuenta_Clasificacion[[#This Row],[Nombre de Cuenta Contable]]</f>
        <v>4104030 - Distribución Remuneraciones (MOD)</v>
      </c>
      <c r="F805" s="47" t="str">
        <f>+Cuenta_Clasificacion[[#This Row],[Codigo Concepto de imputación]]&amp;" - "&amp;Cuenta_Clasificacion[[#This Row],[Nombre Concepto de imputación]]</f>
        <v>40123 - Operador de Montacarga</v>
      </c>
    </row>
    <row r="806" spans="1:6" x14ac:dyDescent="0.25">
      <c r="A806" s="43">
        <v>4104030</v>
      </c>
      <c r="B806" t="s">
        <v>177</v>
      </c>
      <c r="C806" s="43">
        <v>40124</v>
      </c>
      <c r="D806" t="s">
        <v>3067</v>
      </c>
      <c r="E806" s="47" t="str">
        <f>+Cuenta_Clasificacion[[#This Row],[Código Cuenta Contable]]&amp;" - "&amp;Cuenta_Clasificacion[[#This Row],[Nombre de Cuenta Contable]]</f>
        <v>4104030 - Distribución Remuneraciones (MOD)</v>
      </c>
      <c r="F806" s="47" t="str">
        <f>+Cuenta_Clasificacion[[#This Row],[Codigo Concepto de imputación]]&amp;" - "&amp;Cuenta_Clasificacion[[#This Row],[Nombre Concepto de imputación]]</f>
        <v>40124 - Encargado de Patio</v>
      </c>
    </row>
    <row r="807" spans="1:6" x14ac:dyDescent="0.25">
      <c r="A807" s="43">
        <v>4104030</v>
      </c>
      <c r="B807" t="s">
        <v>177</v>
      </c>
      <c r="C807" s="43">
        <v>40125</v>
      </c>
      <c r="D807" t="s">
        <v>3068</v>
      </c>
      <c r="E807" s="47" t="str">
        <f>+Cuenta_Clasificacion[[#This Row],[Código Cuenta Contable]]&amp;" - "&amp;Cuenta_Clasificacion[[#This Row],[Nombre de Cuenta Contable]]</f>
        <v>4104030 - Distribución Remuneraciones (MOD)</v>
      </c>
      <c r="F807" s="47" t="str">
        <f>+Cuenta_Clasificacion[[#This Row],[Codigo Concepto de imputación]]&amp;" - "&amp;Cuenta_Clasificacion[[#This Row],[Nombre Concepto de imputación]]</f>
        <v>40125 - Canguero</v>
      </c>
    </row>
    <row r="808" spans="1:6" x14ac:dyDescent="0.25">
      <c r="A808" s="43">
        <v>4104030</v>
      </c>
      <c r="B808" t="s">
        <v>177</v>
      </c>
      <c r="C808" s="43">
        <v>40126</v>
      </c>
      <c r="D808" t="s">
        <v>3069</v>
      </c>
      <c r="E808" s="47" t="str">
        <f>+Cuenta_Clasificacion[[#This Row],[Código Cuenta Contable]]&amp;" - "&amp;Cuenta_Clasificacion[[#This Row],[Nombre de Cuenta Contable]]</f>
        <v>4104030 - Distribución Remuneraciones (MOD)</v>
      </c>
      <c r="F808" s="47" t="str">
        <f>+Cuenta_Clasificacion[[#This Row],[Codigo Concepto de imputación]]&amp;" - "&amp;Cuenta_Clasificacion[[#This Row],[Nombre Concepto de imputación]]</f>
        <v>40126 - Pulidor</v>
      </c>
    </row>
    <row r="809" spans="1:6" x14ac:dyDescent="0.25">
      <c r="A809" s="43">
        <v>4104030</v>
      </c>
      <c r="B809" t="s">
        <v>177</v>
      </c>
      <c r="C809" s="43">
        <v>40127</v>
      </c>
      <c r="D809" t="s">
        <v>3070</v>
      </c>
      <c r="E809" s="47" t="str">
        <f>+Cuenta_Clasificacion[[#This Row],[Código Cuenta Contable]]&amp;" - "&amp;Cuenta_Clasificacion[[#This Row],[Nombre de Cuenta Contable]]</f>
        <v>4104030 - Distribución Remuneraciones (MOD)</v>
      </c>
      <c r="F809" s="47" t="str">
        <f>+Cuenta_Clasificacion[[#This Row],[Codigo Concepto de imputación]]&amp;" - "&amp;Cuenta_Clasificacion[[#This Row],[Nombre Concepto de imputación]]</f>
        <v>40127 - Chofer - Operador Maq. Doblado</v>
      </c>
    </row>
    <row r="810" spans="1:6" x14ac:dyDescent="0.25">
      <c r="A810" s="43">
        <v>4104030</v>
      </c>
      <c r="B810" t="s">
        <v>177</v>
      </c>
      <c r="C810" s="43">
        <v>40128</v>
      </c>
      <c r="D810" t="s">
        <v>3071</v>
      </c>
      <c r="E810" s="47" t="str">
        <f>+Cuenta_Clasificacion[[#This Row],[Código Cuenta Contable]]&amp;" - "&amp;Cuenta_Clasificacion[[#This Row],[Nombre de Cuenta Contable]]</f>
        <v>4104030 - Distribución Remuneraciones (MOD)</v>
      </c>
      <c r="F810" s="47" t="str">
        <f>+Cuenta_Clasificacion[[#This Row],[Codigo Concepto de imputación]]&amp;" - "&amp;Cuenta_Clasificacion[[#This Row],[Nombre Concepto de imputación]]</f>
        <v>40128 - Supervisor de Pagos a Subcontratos</v>
      </c>
    </row>
    <row r="811" spans="1:6" x14ac:dyDescent="0.25">
      <c r="A811" s="43">
        <v>4104030</v>
      </c>
      <c r="B811" t="s">
        <v>177</v>
      </c>
      <c r="C811" s="43">
        <v>40129</v>
      </c>
      <c r="D811" t="s">
        <v>3072</v>
      </c>
      <c r="E811" s="47" t="str">
        <f>+Cuenta_Clasificacion[[#This Row],[Código Cuenta Contable]]&amp;" - "&amp;Cuenta_Clasificacion[[#This Row],[Nombre de Cuenta Contable]]</f>
        <v>4104030 - Distribución Remuneraciones (MOD)</v>
      </c>
      <c r="F811" s="47" t="str">
        <f>+Cuenta_Clasificacion[[#This Row],[Codigo Concepto de imputación]]&amp;" - "&amp;Cuenta_Clasificacion[[#This Row],[Nombre Concepto de imputación]]</f>
        <v>40129 - Supervisor de Administración en Terreno</v>
      </c>
    </row>
    <row r="812" spans="1:6" x14ac:dyDescent="0.25">
      <c r="A812" s="43">
        <v>4104030</v>
      </c>
      <c r="B812" t="s">
        <v>177</v>
      </c>
      <c r="C812" s="43">
        <v>40130</v>
      </c>
      <c r="D812" t="s">
        <v>3073</v>
      </c>
      <c r="E812" s="47" t="str">
        <f>+Cuenta_Clasificacion[[#This Row],[Código Cuenta Contable]]&amp;" - "&amp;Cuenta_Clasificacion[[#This Row],[Nombre de Cuenta Contable]]</f>
        <v>4104030 - Distribución Remuneraciones (MOD)</v>
      </c>
      <c r="F812" s="47" t="str">
        <f>+Cuenta_Clasificacion[[#This Row],[Codigo Concepto de imputación]]&amp;" - "&amp;Cuenta_Clasificacion[[#This Row],[Nombre Concepto de imputación]]</f>
        <v>40130 - Ejecutivo de Caja Chica y Fondos al Personal</v>
      </c>
    </row>
    <row r="813" spans="1:6" x14ac:dyDescent="0.25">
      <c r="A813" s="43">
        <v>4104030</v>
      </c>
      <c r="B813" t="s">
        <v>177</v>
      </c>
      <c r="C813" s="43">
        <v>40131</v>
      </c>
      <c r="D813" t="s">
        <v>3074</v>
      </c>
      <c r="E813" s="47" t="str">
        <f>+Cuenta_Clasificacion[[#This Row],[Código Cuenta Contable]]&amp;" - "&amp;Cuenta_Clasificacion[[#This Row],[Nombre de Cuenta Contable]]</f>
        <v>4104030 - Distribución Remuneraciones (MOD)</v>
      </c>
      <c r="F813" s="47" t="str">
        <f>+Cuenta_Clasificacion[[#This Row],[Codigo Concepto de imputación]]&amp;" - "&amp;Cuenta_Clasificacion[[#This Row],[Nombre Concepto de imputación]]</f>
        <v>40131 - Auxiliar de Aseo y Mantención Inmobiliaria</v>
      </c>
    </row>
    <row r="814" spans="1:6" x14ac:dyDescent="0.25">
      <c r="A814" s="43">
        <v>4104030</v>
      </c>
      <c r="B814" t="s">
        <v>177</v>
      </c>
      <c r="C814" s="43">
        <v>40132</v>
      </c>
      <c r="D814" t="s">
        <v>3075</v>
      </c>
      <c r="E814" s="47" t="str">
        <f>+Cuenta_Clasificacion[[#This Row],[Código Cuenta Contable]]&amp;" - "&amp;Cuenta_Clasificacion[[#This Row],[Nombre de Cuenta Contable]]</f>
        <v>4104030 - Distribución Remuneraciones (MOD)</v>
      </c>
      <c r="F814" s="47" t="str">
        <f>+Cuenta_Clasificacion[[#This Row],[Codigo Concepto de imputación]]&amp;" - "&amp;Cuenta_Clasificacion[[#This Row],[Nombre Concepto de imputación]]</f>
        <v>40132 - Pilotera y mantención</v>
      </c>
    </row>
    <row r="815" spans="1:6" x14ac:dyDescent="0.25">
      <c r="A815" s="43">
        <v>4104030</v>
      </c>
      <c r="B815" t="s">
        <v>177</v>
      </c>
      <c r="C815" s="43">
        <v>40133</v>
      </c>
      <c r="D815" t="s">
        <v>3076</v>
      </c>
      <c r="E815" s="47" t="str">
        <f>+Cuenta_Clasificacion[[#This Row],[Código Cuenta Contable]]&amp;" - "&amp;Cuenta_Clasificacion[[#This Row],[Nombre de Cuenta Contable]]</f>
        <v>4104030 - Distribución Remuneraciones (MOD)</v>
      </c>
      <c r="F815" s="47" t="str">
        <f>+Cuenta_Clasificacion[[#This Row],[Codigo Concepto de imputación]]&amp;" - "&amp;Cuenta_Clasificacion[[#This Row],[Nombre Concepto de imputación]]</f>
        <v>40133 - Administrativo Zonal de clientes</v>
      </c>
    </row>
    <row r="816" spans="1:6" x14ac:dyDescent="0.25">
      <c r="A816" s="43">
        <v>4104030</v>
      </c>
      <c r="B816" t="s">
        <v>177</v>
      </c>
      <c r="C816" s="43">
        <v>40134</v>
      </c>
      <c r="D816" t="s">
        <v>3077</v>
      </c>
      <c r="E816" s="47" t="str">
        <f>+Cuenta_Clasificacion[[#This Row],[Código Cuenta Contable]]&amp;" - "&amp;Cuenta_Clasificacion[[#This Row],[Nombre de Cuenta Contable]]</f>
        <v>4104030 - Distribución Remuneraciones (MOD)</v>
      </c>
      <c r="F816" s="47" t="str">
        <f>+Cuenta_Clasificacion[[#This Row],[Codigo Concepto de imputación]]&amp;" - "&amp;Cuenta_Clasificacion[[#This Row],[Nombre Concepto de imputación]]</f>
        <v xml:space="preserve">40134 - Maestro Enfierrador         </v>
      </c>
    </row>
    <row r="817" spans="1:6" x14ac:dyDescent="0.25">
      <c r="A817" s="43">
        <v>4104030</v>
      </c>
      <c r="B817" t="s">
        <v>177</v>
      </c>
      <c r="C817" s="43">
        <v>40135</v>
      </c>
      <c r="D817" t="s">
        <v>3078</v>
      </c>
      <c r="E817" s="47" t="str">
        <f>+Cuenta_Clasificacion[[#This Row],[Código Cuenta Contable]]&amp;" - "&amp;Cuenta_Clasificacion[[#This Row],[Nombre de Cuenta Contable]]</f>
        <v>4104030 - Distribución Remuneraciones (MOD)</v>
      </c>
      <c r="F817" s="47" t="str">
        <f>+Cuenta_Clasificacion[[#This Row],[Codigo Concepto de imputación]]&amp;" - "&amp;Cuenta_Clasificacion[[#This Row],[Nombre Concepto de imputación]]</f>
        <v>40135 - Jornal Llavero y Entrega</v>
      </c>
    </row>
    <row r="818" spans="1:6" x14ac:dyDescent="0.25">
      <c r="A818" s="43">
        <v>4104030</v>
      </c>
      <c r="B818" t="s">
        <v>177</v>
      </c>
      <c r="C818" s="43">
        <v>40142</v>
      </c>
      <c r="D818" t="s">
        <v>3079</v>
      </c>
      <c r="E818" s="47" t="str">
        <f>+Cuenta_Clasificacion[[#This Row],[Código Cuenta Contable]]&amp;" - "&amp;Cuenta_Clasificacion[[#This Row],[Nombre de Cuenta Contable]]</f>
        <v>4104030 - Distribución Remuneraciones (MOD)</v>
      </c>
      <c r="F818" s="47" t="str">
        <f>+Cuenta_Clasificacion[[#This Row],[Codigo Concepto de imputación]]&amp;" - "&amp;Cuenta_Clasificacion[[#This Row],[Nombre Concepto de imputación]]</f>
        <v>40142 - Encargado de Mantención línea de Izaje</v>
      </c>
    </row>
    <row r="819" spans="1:6" x14ac:dyDescent="0.25">
      <c r="A819" s="43">
        <v>4104030</v>
      </c>
      <c r="B819" t="s">
        <v>177</v>
      </c>
      <c r="C819" s="43">
        <v>40143</v>
      </c>
      <c r="D819" t="s">
        <v>3080</v>
      </c>
      <c r="E819" s="47" t="str">
        <f>+Cuenta_Clasificacion[[#This Row],[Código Cuenta Contable]]&amp;" - "&amp;Cuenta_Clasificacion[[#This Row],[Nombre de Cuenta Contable]]</f>
        <v>4104030 - Distribución Remuneraciones (MOD)</v>
      </c>
      <c r="F819" s="47" t="str">
        <f>+Cuenta_Clasificacion[[#This Row],[Codigo Concepto de imputación]]&amp;" - "&amp;Cuenta_Clasificacion[[#This Row],[Nombre Concepto de imputación]]</f>
        <v>40143 - Encargado de Montajes</v>
      </c>
    </row>
    <row r="820" spans="1:6" x14ac:dyDescent="0.25">
      <c r="A820" s="43">
        <v>4104030</v>
      </c>
      <c r="B820" t="s">
        <v>177</v>
      </c>
      <c r="C820" s="43">
        <v>40144</v>
      </c>
      <c r="D820" t="s">
        <v>3081</v>
      </c>
      <c r="E820" s="47" t="str">
        <f>+Cuenta_Clasificacion[[#This Row],[Código Cuenta Contable]]&amp;" - "&amp;Cuenta_Clasificacion[[#This Row],[Nombre de Cuenta Contable]]</f>
        <v>4104030 - Distribución Remuneraciones (MOD)</v>
      </c>
      <c r="F820" s="47" t="str">
        <f>+Cuenta_Clasificacion[[#This Row],[Codigo Concepto de imputación]]&amp;" - "&amp;Cuenta_Clasificacion[[#This Row],[Nombre Concepto de imputación]]</f>
        <v xml:space="preserve">40144 - Operador de Planta de Hormigón </v>
      </c>
    </row>
    <row r="821" spans="1:6" x14ac:dyDescent="0.25">
      <c r="A821" s="43">
        <v>4104030</v>
      </c>
      <c r="B821" t="s">
        <v>177</v>
      </c>
      <c r="C821" s="43">
        <v>40500</v>
      </c>
      <c r="D821" t="s">
        <v>2943</v>
      </c>
      <c r="E821" s="47" t="str">
        <f>+Cuenta_Clasificacion[[#This Row],[Código Cuenta Contable]]&amp;" - "&amp;Cuenta_Clasificacion[[#This Row],[Nombre de Cuenta Contable]]</f>
        <v>4104030 - Distribución Remuneraciones (MOD)</v>
      </c>
      <c r="F821" s="47" t="str">
        <f>+Cuenta_Clasificacion[[#This Row],[Codigo Concepto de imputación]]&amp;" - "&amp;Cuenta_Clasificacion[[#This Row],[Nombre Concepto de imputación]]</f>
        <v>40500 - Distribución</v>
      </c>
    </row>
    <row r="822" spans="1:6" x14ac:dyDescent="0.25">
      <c r="A822" s="43">
        <v>4104030</v>
      </c>
      <c r="B822" t="s">
        <v>177</v>
      </c>
      <c r="C822" s="43">
        <v>50012</v>
      </c>
      <c r="D822" t="s">
        <v>2901</v>
      </c>
      <c r="E822" s="47" t="str">
        <f>+Cuenta_Clasificacion[[#This Row],[Código Cuenta Contable]]&amp;" - "&amp;Cuenta_Clasificacion[[#This Row],[Nombre de Cuenta Contable]]</f>
        <v>4104030 - Distribución Remuneraciones (MOD)</v>
      </c>
      <c r="F822" s="47" t="str">
        <f>+Cuenta_Clasificacion[[#This Row],[Codigo Concepto de imputación]]&amp;" - "&amp;Cuenta_Clasificacion[[#This Row],[Nombre Concepto de imputación]]</f>
        <v>50012 - Honorarios y Asesorías</v>
      </c>
    </row>
    <row r="823" spans="1:6" x14ac:dyDescent="0.25">
      <c r="A823" s="43">
        <v>4104030</v>
      </c>
      <c r="B823" t="s">
        <v>177</v>
      </c>
      <c r="C823" s="43">
        <v>50014</v>
      </c>
      <c r="D823" t="s">
        <v>2903</v>
      </c>
      <c r="E823" s="47" t="str">
        <f>+Cuenta_Clasificacion[[#This Row],[Código Cuenta Contable]]&amp;" - "&amp;Cuenta_Clasificacion[[#This Row],[Nombre de Cuenta Contable]]</f>
        <v>4104030 - Distribución Remuneraciones (MOD)</v>
      </c>
      <c r="F823" s="47" t="str">
        <f>+Cuenta_Clasificacion[[#This Row],[Codigo Concepto de imputación]]&amp;" - "&amp;Cuenta_Clasificacion[[#This Row],[Nombre Concepto de imputación]]</f>
        <v>50014 - Tramitaciones</v>
      </c>
    </row>
    <row r="824" spans="1:6" x14ac:dyDescent="0.25">
      <c r="A824" s="43">
        <v>4104030</v>
      </c>
      <c r="B824" t="s">
        <v>177</v>
      </c>
      <c r="C824" s="43">
        <v>50023</v>
      </c>
      <c r="D824" t="s">
        <v>2908</v>
      </c>
      <c r="E824" s="47" t="str">
        <f>+Cuenta_Clasificacion[[#This Row],[Código Cuenta Contable]]&amp;" - "&amp;Cuenta_Clasificacion[[#This Row],[Nombre de Cuenta Contable]]</f>
        <v>4104030 - Distribución Remuneraciones (MOD)</v>
      </c>
      <c r="F824" s="47" t="str">
        <f>+Cuenta_Clasificacion[[#This Row],[Codigo Concepto de imputación]]&amp;" - "&amp;Cuenta_Clasificacion[[#This Row],[Nombre Concepto de imputación]]</f>
        <v>50023 - Pasajes, Hotel y Otros GG</v>
      </c>
    </row>
    <row r="825" spans="1:6" x14ac:dyDescent="0.25">
      <c r="A825" s="43">
        <v>4104030</v>
      </c>
      <c r="B825" t="s">
        <v>177</v>
      </c>
      <c r="C825" s="43">
        <v>77777</v>
      </c>
      <c r="D825" t="s">
        <v>2703</v>
      </c>
      <c r="E825" s="47" t="str">
        <f>+Cuenta_Clasificacion[[#This Row],[Código Cuenta Contable]]&amp;" - "&amp;Cuenta_Clasificacion[[#This Row],[Nombre de Cuenta Contable]]</f>
        <v>4104030 - Distribución Remuneraciones (MOD)</v>
      </c>
      <c r="F825" s="47" t="str">
        <f>+Cuenta_Clasificacion[[#This Row],[Codigo Concepto de imputación]]&amp;" - "&amp;Cuenta_Clasificacion[[#This Row],[Nombre Concepto de imputación]]</f>
        <v>77777 - REGULARIZACIONES</v>
      </c>
    </row>
    <row r="826" spans="1:6" x14ac:dyDescent="0.25">
      <c r="A826" s="43">
        <v>4105001</v>
      </c>
      <c r="B826" t="s">
        <v>70</v>
      </c>
      <c r="C826" s="43">
        <v>10001</v>
      </c>
      <c r="D826" t="s">
        <v>2708</v>
      </c>
      <c r="E826" s="47" t="str">
        <f>+Cuenta_Clasificacion[[#This Row],[Código Cuenta Contable]]&amp;" - "&amp;Cuenta_Clasificacion[[#This Row],[Nombre de Cuenta Contable]]</f>
        <v>4105001 - Costos Generales de Obra</v>
      </c>
      <c r="F826" s="47" t="str">
        <f>+Cuenta_Clasificacion[[#This Row],[Codigo Concepto de imputación]]&amp;" - "&amp;Cuenta_Clasificacion[[#This Row],[Nombre Concepto de imputación]]</f>
        <v>10001 - Accesorios Sanitarios</v>
      </c>
    </row>
    <row r="827" spans="1:6" x14ac:dyDescent="0.25">
      <c r="A827" s="43">
        <v>4105001</v>
      </c>
      <c r="B827" t="s">
        <v>70</v>
      </c>
      <c r="C827" s="43">
        <v>10002</v>
      </c>
      <c r="D827" t="s">
        <v>2709</v>
      </c>
      <c r="E827" s="47" t="str">
        <f>+Cuenta_Clasificacion[[#This Row],[Código Cuenta Contable]]&amp;" - "&amp;Cuenta_Clasificacion[[#This Row],[Nombre de Cuenta Contable]]</f>
        <v>4105001 - Costos Generales de Obra</v>
      </c>
      <c r="F827" s="47" t="str">
        <f>+Cuenta_Clasificacion[[#This Row],[Codigo Concepto de imputación]]&amp;" - "&amp;Cuenta_Clasificacion[[#This Row],[Nombre Concepto de imputación]]</f>
        <v>10002 - Adhesivos</v>
      </c>
    </row>
    <row r="828" spans="1:6" x14ac:dyDescent="0.25">
      <c r="A828" s="43">
        <v>4105001</v>
      </c>
      <c r="B828" t="s">
        <v>70</v>
      </c>
      <c r="C828" s="43">
        <v>10003</v>
      </c>
      <c r="D828" t="s">
        <v>2710</v>
      </c>
      <c r="E828" s="47" t="str">
        <f>+Cuenta_Clasificacion[[#This Row],[Código Cuenta Contable]]&amp;" - "&amp;Cuenta_Clasificacion[[#This Row],[Nombre de Cuenta Contable]]</f>
        <v>4105001 - Costos Generales de Obra</v>
      </c>
      <c r="F828" s="47" t="str">
        <f>+Cuenta_Clasificacion[[#This Row],[Codigo Concepto de imputación]]&amp;" - "&amp;Cuenta_Clasificacion[[#This Row],[Nombre Concepto de imputación]]</f>
        <v>10003 - Aditivos</v>
      </c>
    </row>
    <row r="829" spans="1:6" x14ac:dyDescent="0.25">
      <c r="A829" s="43">
        <v>4105001</v>
      </c>
      <c r="B829" t="s">
        <v>70</v>
      </c>
      <c r="C829" s="43">
        <v>10004</v>
      </c>
      <c r="D829" t="s">
        <v>2711</v>
      </c>
      <c r="E829" s="47" t="str">
        <f>+Cuenta_Clasificacion[[#This Row],[Código Cuenta Contable]]&amp;" - "&amp;Cuenta_Clasificacion[[#This Row],[Nombre de Cuenta Contable]]</f>
        <v>4105001 - Costos Generales de Obra</v>
      </c>
      <c r="F829" s="47" t="str">
        <f>+Cuenta_Clasificacion[[#This Row],[Codigo Concepto de imputación]]&amp;" - "&amp;Cuenta_Clasificacion[[#This Row],[Nombre Concepto de imputación]]</f>
        <v>10004 - Aislación</v>
      </c>
    </row>
    <row r="830" spans="1:6" x14ac:dyDescent="0.25">
      <c r="A830" s="43">
        <v>4105001</v>
      </c>
      <c r="B830" t="s">
        <v>70</v>
      </c>
      <c r="C830" s="43">
        <v>10005</v>
      </c>
      <c r="D830" t="s">
        <v>2712</v>
      </c>
      <c r="E830" s="47" t="str">
        <f>+Cuenta_Clasificacion[[#This Row],[Código Cuenta Contable]]&amp;" - "&amp;Cuenta_Clasificacion[[#This Row],[Nombre de Cuenta Contable]]</f>
        <v>4105001 - Costos Generales de Obra</v>
      </c>
      <c r="F830" s="47" t="str">
        <f>+Cuenta_Clasificacion[[#This Row],[Codigo Concepto de imputación]]&amp;" - "&amp;Cuenta_Clasificacion[[#This Row],[Nombre Concepto de imputación]]</f>
        <v>10005 - Alambre</v>
      </c>
    </row>
    <row r="831" spans="1:6" x14ac:dyDescent="0.25">
      <c r="A831" s="43">
        <v>4105001</v>
      </c>
      <c r="B831" t="s">
        <v>70</v>
      </c>
      <c r="C831" s="43">
        <v>10007</v>
      </c>
      <c r="D831" t="s">
        <v>2714</v>
      </c>
      <c r="E831" s="47" t="str">
        <f>+Cuenta_Clasificacion[[#This Row],[Código Cuenta Contable]]&amp;" - "&amp;Cuenta_Clasificacion[[#This Row],[Nombre de Cuenta Contable]]</f>
        <v>4105001 - Costos Generales de Obra</v>
      </c>
      <c r="F831" s="47" t="str">
        <f>+Cuenta_Clasificacion[[#This Row],[Codigo Concepto de imputación]]&amp;" - "&amp;Cuenta_Clasificacion[[#This Row],[Nombre Concepto de imputación]]</f>
        <v>10007 - Alfombras</v>
      </c>
    </row>
    <row r="832" spans="1:6" x14ac:dyDescent="0.25">
      <c r="A832" s="43">
        <v>4105001</v>
      </c>
      <c r="B832" t="s">
        <v>70</v>
      </c>
      <c r="C832" s="43">
        <v>10008</v>
      </c>
      <c r="D832" t="s">
        <v>2715</v>
      </c>
      <c r="E832" s="47" t="str">
        <f>+Cuenta_Clasificacion[[#This Row],[Código Cuenta Contable]]&amp;" - "&amp;Cuenta_Clasificacion[[#This Row],[Nombre de Cuenta Contable]]</f>
        <v>4105001 - Costos Generales de Obra</v>
      </c>
      <c r="F832" s="47" t="str">
        <f>+Cuenta_Clasificacion[[#This Row],[Codigo Concepto de imputación]]&amp;" - "&amp;Cuenta_Clasificacion[[#This Row],[Nombre Concepto de imputación]]</f>
        <v>10008 - Aluminios</v>
      </c>
    </row>
    <row r="833" spans="1:6" x14ac:dyDescent="0.25">
      <c r="A833" s="43">
        <v>4105001</v>
      </c>
      <c r="B833" t="s">
        <v>70</v>
      </c>
      <c r="C833" s="43">
        <v>10009</v>
      </c>
      <c r="D833" t="s">
        <v>2716</v>
      </c>
      <c r="E833" s="47" t="str">
        <f>+Cuenta_Clasificacion[[#This Row],[Código Cuenta Contable]]&amp;" - "&amp;Cuenta_Clasificacion[[#This Row],[Nombre de Cuenta Contable]]</f>
        <v>4105001 - Costos Generales de Obra</v>
      </c>
      <c r="F833" s="47" t="str">
        <f>+Cuenta_Clasificacion[[#This Row],[Codigo Concepto de imputación]]&amp;" - "&amp;Cuenta_Clasificacion[[#This Row],[Nombre Concepto de imputación]]</f>
        <v>10009 - Áridos</v>
      </c>
    </row>
    <row r="834" spans="1:6" x14ac:dyDescent="0.25">
      <c r="A834" s="43">
        <v>4105001</v>
      </c>
      <c r="B834" t="s">
        <v>70</v>
      </c>
      <c r="C834" s="43">
        <v>10010</v>
      </c>
      <c r="D834" t="s">
        <v>2717</v>
      </c>
      <c r="E834" s="47" t="str">
        <f>+Cuenta_Clasificacion[[#This Row],[Código Cuenta Contable]]&amp;" - "&amp;Cuenta_Clasificacion[[#This Row],[Nombre de Cuenta Contable]]</f>
        <v>4105001 - Costos Generales de Obra</v>
      </c>
      <c r="F834" s="47" t="str">
        <f>+Cuenta_Clasificacion[[#This Row],[Codigo Concepto de imputación]]&amp;" - "&amp;Cuenta_Clasificacion[[#This Row],[Nombre Concepto de imputación]]</f>
        <v>10010 - Artículos Eléctricos</v>
      </c>
    </row>
    <row r="835" spans="1:6" x14ac:dyDescent="0.25">
      <c r="A835" s="43">
        <v>4105001</v>
      </c>
      <c r="B835" t="s">
        <v>70</v>
      </c>
      <c r="C835" s="43">
        <v>10011</v>
      </c>
      <c r="D835" t="s">
        <v>2718</v>
      </c>
      <c r="E835" s="47" t="str">
        <f>+Cuenta_Clasificacion[[#This Row],[Código Cuenta Contable]]&amp;" - "&amp;Cuenta_Clasificacion[[#This Row],[Nombre de Cuenta Contable]]</f>
        <v>4105001 - Costos Generales de Obra</v>
      </c>
      <c r="F835" s="47" t="str">
        <f>+Cuenta_Clasificacion[[#This Row],[Codigo Concepto de imputación]]&amp;" - "&amp;Cuenta_Clasificacion[[#This Row],[Nombre Concepto de imputación]]</f>
        <v>10011 - Artículos Gas</v>
      </c>
    </row>
    <row r="836" spans="1:6" x14ac:dyDescent="0.25">
      <c r="A836" s="43">
        <v>4105001</v>
      </c>
      <c r="B836" t="s">
        <v>70</v>
      </c>
      <c r="C836" s="43">
        <v>10012</v>
      </c>
      <c r="D836" t="s">
        <v>2719</v>
      </c>
      <c r="E836" s="47" t="str">
        <f>+Cuenta_Clasificacion[[#This Row],[Código Cuenta Contable]]&amp;" - "&amp;Cuenta_Clasificacion[[#This Row],[Nombre de Cuenta Contable]]</f>
        <v>4105001 - Costos Generales de Obra</v>
      </c>
      <c r="F836" s="47" t="str">
        <f>+Cuenta_Clasificacion[[#This Row],[Codigo Concepto de imputación]]&amp;" - "&amp;Cuenta_Clasificacion[[#This Row],[Nombre Concepto de imputación]]</f>
        <v>10012 - Artículos Sanitarios</v>
      </c>
    </row>
    <row r="837" spans="1:6" x14ac:dyDescent="0.25">
      <c r="A837" s="43">
        <v>4105001</v>
      </c>
      <c r="B837" t="s">
        <v>70</v>
      </c>
      <c r="C837" s="43">
        <v>10013</v>
      </c>
      <c r="D837" t="s">
        <v>2720</v>
      </c>
      <c r="E837" s="47" t="str">
        <f>+Cuenta_Clasificacion[[#This Row],[Código Cuenta Contable]]&amp;" - "&amp;Cuenta_Clasificacion[[#This Row],[Nombre de Cuenta Contable]]</f>
        <v>4105001 - Costos Generales de Obra</v>
      </c>
      <c r="F837" s="47" t="str">
        <f>+Cuenta_Clasificacion[[#This Row],[Codigo Concepto de imputación]]&amp;" - "&amp;Cuenta_Clasificacion[[#This Row],[Nombre Concepto de imputación]]</f>
        <v>10013 - Cables</v>
      </c>
    </row>
    <row r="838" spans="1:6" x14ac:dyDescent="0.25">
      <c r="A838" s="43">
        <v>4105001</v>
      </c>
      <c r="B838" t="s">
        <v>70</v>
      </c>
      <c r="C838" s="43">
        <v>10014</v>
      </c>
      <c r="D838" t="s">
        <v>2721</v>
      </c>
      <c r="E838" s="47" t="str">
        <f>+Cuenta_Clasificacion[[#This Row],[Código Cuenta Contable]]&amp;" - "&amp;Cuenta_Clasificacion[[#This Row],[Nombre de Cuenta Contable]]</f>
        <v>4105001 - Costos Generales de Obra</v>
      </c>
      <c r="F838" s="47" t="str">
        <f>+Cuenta_Clasificacion[[#This Row],[Codigo Concepto de imputación]]&amp;" - "&amp;Cuenta_Clasificacion[[#This Row],[Nombre Concepto de imputación]]</f>
        <v>10014 - Cadenas</v>
      </c>
    </row>
    <row r="839" spans="1:6" x14ac:dyDescent="0.25">
      <c r="A839" s="43">
        <v>4105001</v>
      </c>
      <c r="B839" t="s">
        <v>70</v>
      </c>
      <c r="C839" s="43">
        <v>10015</v>
      </c>
      <c r="D839" t="s">
        <v>2722</v>
      </c>
      <c r="E839" s="47" t="str">
        <f>+Cuenta_Clasificacion[[#This Row],[Código Cuenta Contable]]&amp;" - "&amp;Cuenta_Clasificacion[[#This Row],[Nombre de Cuenta Contable]]</f>
        <v>4105001 - Costos Generales de Obra</v>
      </c>
      <c r="F839" s="47" t="str">
        <f>+Cuenta_Clasificacion[[#This Row],[Codigo Concepto de imputación]]&amp;" - "&amp;Cuenta_Clasificacion[[#This Row],[Nombre Concepto de imputación]]</f>
        <v>10015 - Cañerías Acero</v>
      </c>
    </row>
    <row r="840" spans="1:6" x14ac:dyDescent="0.25">
      <c r="A840" s="43">
        <v>4105001</v>
      </c>
      <c r="B840" t="s">
        <v>70</v>
      </c>
      <c r="C840" s="43">
        <v>10016</v>
      </c>
      <c r="D840" t="s">
        <v>2723</v>
      </c>
      <c r="E840" s="47" t="str">
        <f>+Cuenta_Clasificacion[[#This Row],[Código Cuenta Contable]]&amp;" - "&amp;Cuenta_Clasificacion[[#This Row],[Nombre de Cuenta Contable]]</f>
        <v>4105001 - Costos Generales de Obra</v>
      </c>
      <c r="F840" s="47" t="str">
        <f>+Cuenta_Clasificacion[[#This Row],[Codigo Concepto de imputación]]&amp;" - "&amp;Cuenta_Clasificacion[[#This Row],[Nombre Concepto de imputación]]</f>
        <v>10016 - Cañerías Cobre</v>
      </c>
    </row>
    <row r="841" spans="1:6" x14ac:dyDescent="0.25">
      <c r="A841" s="43">
        <v>4105001</v>
      </c>
      <c r="B841" t="s">
        <v>70</v>
      </c>
      <c r="C841" s="43">
        <v>10017</v>
      </c>
      <c r="D841" t="s">
        <v>2724</v>
      </c>
      <c r="E841" s="47" t="str">
        <f>+Cuenta_Clasificacion[[#This Row],[Código Cuenta Contable]]&amp;" - "&amp;Cuenta_Clasificacion[[#This Row],[Nombre de Cuenta Contable]]</f>
        <v>4105001 - Costos Generales de Obra</v>
      </c>
      <c r="F841" s="47" t="str">
        <f>+Cuenta_Clasificacion[[#This Row],[Codigo Concepto de imputación]]&amp;" - "&amp;Cuenta_Clasificacion[[#This Row],[Nombre Concepto de imputación]]</f>
        <v>10017 - Cañerías PVC</v>
      </c>
    </row>
    <row r="842" spans="1:6" x14ac:dyDescent="0.25">
      <c r="A842" s="43">
        <v>4105001</v>
      </c>
      <c r="B842" t="s">
        <v>70</v>
      </c>
      <c r="C842" s="43">
        <v>10018</v>
      </c>
      <c r="D842" t="s">
        <v>2725</v>
      </c>
      <c r="E842" s="47" t="str">
        <f>+Cuenta_Clasificacion[[#This Row],[Código Cuenta Contable]]&amp;" - "&amp;Cuenta_Clasificacion[[#This Row],[Nombre de Cuenta Contable]]</f>
        <v>4105001 - Costos Generales de Obra</v>
      </c>
      <c r="F842" s="47" t="str">
        <f>+Cuenta_Clasificacion[[#This Row],[Codigo Concepto de imputación]]&amp;" - "&amp;Cuenta_Clasificacion[[#This Row],[Nombre Concepto de imputación]]</f>
        <v>10018 - Cementos</v>
      </c>
    </row>
    <row r="843" spans="1:6" x14ac:dyDescent="0.25">
      <c r="A843" s="43">
        <v>4105001</v>
      </c>
      <c r="B843" t="s">
        <v>70</v>
      </c>
      <c r="C843" s="43">
        <v>10022</v>
      </c>
      <c r="D843" t="s">
        <v>2729</v>
      </c>
      <c r="E843" s="47" t="str">
        <f>+Cuenta_Clasificacion[[#This Row],[Código Cuenta Contable]]&amp;" - "&amp;Cuenta_Clasificacion[[#This Row],[Nombre de Cuenta Contable]]</f>
        <v>4105001 - Costos Generales de Obra</v>
      </c>
      <c r="F843" s="47" t="str">
        <f>+Cuenta_Clasificacion[[#This Row],[Codigo Concepto de imputación]]&amp;" - "&amp;Cuenta_Clasificacion[[#This Row],[Nombre Concepto de imputación]]</f>
        <v>10022 - Combustibles</v>
      </c>
    </row>
    <row r="844" spans="1:6" x14ac:dyDescent="0.25">
      <c r="A844" s="43">
        <v>4105001</v>
      </c>
      <c r="B844" t="s">
        <v>70</v>
      </c>
      <c r="C844" s="43">
        <v>10023</v>
      </c>
      <c r="D844" t="s">
        <v>2730</v>
      </c>
      <c r="E844" s="47" t="str">
        <f>+Cuenta_Clasificacion[[#This Row],[Código Cuenta Contable]]&amp;" - "&amp;Cuenta_Clasificacion[[#This Row],[Nombre de Cuenta Contable]]</f>
        <v>4105001 - Costos Generales de Obra</v>
      </c>
      <c r="F844" s="47" t="str">
        <f>+Cuenta_Clasificacion[[#This Row],[Codigo Concepto de imputación]]&amp;" - "&amp;Cuenta_Clasificacion[[#This Row],[Nombre Concepto de imputación]]</f>
        <v>10023 - Cubrejuntas y Dilataciones</v>
      </c>
    </row>
    <row r="845" spans="1:6" x14ac:dyDescent="0.25">
      <c r="A845" s="43">
        <v>4105001</v>
      </c>
      <c r="B845" t="s">
        <v>70</v>
      </c>
      <c r="C845" s="43">
        <v>10025</v>
      </c>
      <c r="D845" t="s">
        <v>2732</v>
      </c>
      <c r="E845" s="47" t="str">
        <f>+Cuenta_Clasificacion[[#This Row],[Código Cuenta Contable]]&amp;" - "&amp;Cuenta_Clasificacion[[#This Row],[Nombre de Cuenta Contable]]</f>
        <v>4105001 - Costos Generales de Obra</v>
      </c>
      <c r="F845" s="47" t="str">
        <f>+Cuenta_Clasificacion[[#This Row],[Codigo Concepto de imputación]]&amp;" - "&amp;Cuenta_Clasificacion[[#This Row],[Nombre Concepto de imputación]]</f>
        <v>10025 - Elementos Seguridad</v>
      </c>
    </row>
    <row r="846" spans="1:6" x14ac:dyDescent="0.25">
      <c r="A846" s="43">
        <v>4105001</v>
      </c>
      <c r="B846" t="s">
        <v>70</v>
      </c>
      <c r="C846" s="43">
        <v>10026</v>
      </c>
      <c r="D846" t="s">
        <v>2733</v>
      </c>
      <c r="E846" s="47" t="str">
        <f>+Cuenta_Clasificacion[[#This Row],[Código Cuenta Contable]]&amp;" - "&amp;Cuenta_Clasificacion[[#This Row],[Nombre de Cuenta Contable]]</f>
        <v>4105001 - Costos Generales de Obra</v>
      </c>
      <c r="F846" s="47" t="str">
        <f>+Cuenta_Clasificacion[[#This Row],[Codigo Concepto de imputación]]&amp;" - "&amp;Cuenta_Clasificacion[[#This Row],[Nombre Concepto de imputación]]</f>
        <v>10026 - Ensayos</v>
      </c>
    </row>
    <row r="847" spans="1:6" x14ac:dyDescent="0.25">
      <c r="A847" s="43">
        <v>4105001</v>
      </c>
      <c r="B847" t="s">
        <v>70</v>
      </c>
      <c r="C847" s="43">
        <v>10027</v>
      </c>
      <c r="D847" t="s">
        <v>2734</v>
      </c>
      <c r="E847" s="47" t="str">
        <f>+Cuenta_Clasificacion[[#This Row],[Código Cuenta Contable]]&amp;" - "&amp;Cuenta_Clasificacion[[#This Row],[Nombre de Cuenta Contable]]</f>
        <v>4105001 - Costos Generales de Obra</v>
      </c>
      <c r="F847" s="47" t="str">
        <f>+Cuenta_Clasificacion[[#This Row],[Codigo Concepto de imputación]]&amp;" - "&amp;Cuenta_Clasificacion[[#This Row],[Nombre Concepto de imputación]]</f>
        <v>10027 - Eq Comp/Eléct Oficina</v>
      </c>
    </row>
    <row r="848" spans="1:6" x14ac:dyDescent="0.25">
      <c r="A848" s="43">
        <v>4105001</v>
      </c>
      <c r="B848" t="s">
        <v>70</v>
      </c>
      <c r="C848" s="43">
        <v>10028</v>
      </c>
      <c r="D848" t="s">
        <v>2696</v>
      </c>
      <c r="E848" s="47" t="str">
        <f>+Cuenta_Clasificacion[[#This Row],[Código Cuenta Contable]]&amp;" - "&amp;Cuenta_Clasificacion[[#This Row],[Nombre de Cuenta Contable]]</f>
        <v>4105001 - Costos Generales de Obra</v>
      </c>
      <c r="F848" s="47" t="str">
        <f>+Cuenta_Clasificacion[[#This Row],[Codigo Concepto de imputación]]&amp;" - "&amp;Cuenta_Clasificacion[[#This Row],[Nombre Concepto de imputación]]</f>
        <v>10028 - Equipamiento</v>
      </c>
    </row>
    <row r="849" spans="1:6" x14ac:dyDescent="0.25">
      <c r="A849" s="43">
        <v>4105001</v>
      </c>
      <c r="B849" t="s">
        <v>70</v>
      </c>
      <c r="C849" s="43">
        <v>10029</v>
      </c>
      <c r="D849" t="s">
        <v>2735</v>
      </c>
      <c r="E849" s="47" t="str">
        <f>+Cuenta_Clasificacion[[#This Row],[Código Cuenta Contable]]&amp;" - "&amp;Cuenta_Clasificacion[[#This Row],[Nombre de Cuenta Contable]]</f>
        <v>4105001 - Costos Generales de Obra</v>
      </c>
      <c r="F849" s="47" t="str">
        <f>+Cuenta_Clasificacion[[#This Row],[Codigo Concepto de imputación]]&amp;" - "&amp;Cuenta_Clasificacion[[#This Row],[Nombre Concepto de imputación]]</f>
        <v>10029 - Estructura Volcometal</v>
      </c>
    </row>
    <row r="850" spans="1:6" x14ac:dyDescent="0.25">
      <c r="A850" s="43">
        <v>4105001</v>
      </c>
      <c r="B850" t="s">
        <v>70</v>
      </c>
      <c r="C850" s="43">
        <v>10030</v>
      </c>
      <c r="D850" t="s">
        <v>2736</v>
      </c>
      <c r="E850" s="47" t="str">
        <f>+Cuenta_Clasificacion[[#This Row],[Código Cuenta Contable]]&amp;" - "&amp;Cuenta_Clasificacion[[#This Row],[Nombre de Cuenta Contable]]</f>
        <v>4105001 - Costos Generales de Obra</v>
      </c>
      <c r="F850" s="47" t="str">
        <f>+Cuenta_Clasificacion[[#This Row],[Codigo Concepto de imputación]]&amp;" - "&amp;Cuenta_Clasificacion[[#This Row],[Nombre Concepto de imputación]]</f>
        <v>10030 - Eventos y Recreac. Obra</v>
      </c>
    </row>
    <row r="851" spans="1:6" x14ac:dyDescent="0.25">
      <c r="A851" s="43">
        <v>4105001</v>
      </c>
      <c r="B851" t="s">
        <v>70</v>
      </c>
      <c r="C851" s="43">
        <v>10031</v>
      </c>
      <c r="D851" t="s">
        <v>2737</v>
      </c>
      <c r="E851" s="47" t="str">
        <f>+Cuenta_Clasificacion[[#This Row],[Código Cuenta Contable]]&amp;" - "&amp;Cuenta_Clasificacion[[#This Row],[Nombre de Cuenta Contable]]</f>
        <v>4105001 - Costos Generales de Obra</v>
      </c>
      <c r="F851" s="47" t="str">
        <f>+Cuenta_Clasificacion[[#This Row],[Codigo Concepto de imputación]]&amp;" - "&amp;Cuenta_Clasificacion[[#This Row],[Nombre Concepto de imputación]]</f>
        <v>10031 - Extracción Basura y Escombros</v>
      </c>
    </row>
    <row r="852" spans="1:6" x14ac:dyDescent="0.25">
      <c r="A852" s="43">
        <v>4105001</v>
      </c>
      <c r="B852" t="s">
        <v>70</v>
      </c>
      <c r="C852" s="43">
        <v>10032</v>
      </c>
      <c r="D852" t="s">
        <v>2738</v>
      </c>
      <c r="E852" s="47" t="str">
        <f>+Cuenta_Clasificacion[[#This Row],[Código Cuenta Contable]]&amp;" - "&amp;Cuenta_Clasificacion[[#This Row],[Nombre de Cuenta Contable]]</f>
        <v>4105001 - Costos Generales de Obra</v>
      </c>
      <c r="F852" s="47" t="str">
        <f>+Cuenta_Clasificacion[[#This Row],[Codigo Concepto de imputación]]&amp;" - "&amp;Cuenta_Clasificacion[[#This Row],[Nombre Concepto de imputación]]</f>
        <v>10032 - Fieltros y Barreras</v>
      </c>
    </row>
    <row r="853" spans="1:6" x14ac:dyDescent="0.25">
      <c r="A853" s="43">
        <v>4105001</v>
      </c>
      <c r="B853" t="s">
        <v>70</v>
      </c>
      <c r="C853" s="43">
        <v>10033</v>
      </c>
      <c r="D853" t="s">
        <v>2739</v>
      </c>
      <c r="E853" s="47" t="str">
        <f>+Cuenta_Clasificacion[[#This Row],[Código Cuenta Contable]]&amp;" - "&amp;Cuenta_Clasificacion[[#This Row],[Nombre de Cuenta Contable]]</f>
        <v>4105001 - Costos Generales de Obra</v>
      </c>
      <c r="F853" s="47" t="str">
        <f>+Cuenta_Clasificacion[[#This Row],[Codigo Concepto de imputación]]&amp;" - "&amp;Cuenta_Clasificacion[[#This Row],[Nombre Concepto de imputación]]</f>
        <v>10033 - Fierro</v>
      </c>
    </row>
    <row r="854" spans="1:6" x14ac:dyDescent="0.25">
      <c r="A854" s="43">
        <v>4105001</v>
      </c>
      <c r="B854" t="s">
        <v>70</v>
      </c>
      <c r="C854" s="43">
        <v>10034</v>
      </c>
      <c r="D854" t="s">
        <v>2740</v>
      </c>
      <c r="E854" s="47" t="str">
        <f>+Cuenta_Clasificacion[[#This Row],[Código Cuenta Contable]]&amp;" - "&amp;Cuenta_Clasificacion[[#This Row],[Nombre de Cuenta Contable]]</f>
        <v>4105001 - Costos Generales de Obra</v>
      </c>
      <c r="F854" s="47" t="str">
        <f>+Cuenta_Clasificacion[[#This Row],[Codigo Concepto de imputación]]&amp;" - "&amp;Cuenta_Clasificacion[[#This Row],[Nombre Concepto de imputación]]</f>
        <v>10034 - Fierro Redondo Liso</v>
      </c>
    </row>
    <row r="855" spans="1:6" x14ac:dyDescent="0.25">
      <c r="A855" s="43">
        <v>4105001</v>
      </c>
      <c r="B855" t="s">
        <v>70</v>
      </c>
      <c r="C855" s="43">
        <v>10035</v>
      </c>
      <c r="D855" t="s">
        <v>2741</v>
      </c>
      <c r="E855" s="47" t="str">
        <f>+Cuenta_Clasificacion[[#This Row],[Código Cuenta Contable]]&amp;" - "&amp;Cuenta_Clasificacion[[#This Row],[Nombre de Cuenta Contable]]</f>
        <v>4105001 - Costos Generales de Obra</v>
      </c>
      <c r="F855" s="47" t="str">
        <f>+Cuenta_Clasificacion[[#This Row],[Codigo Concepto de imputación]]&amp;" - "&amp;Cuenta_Clasificacion[[#This Row],[Nombre Concepto de imputación]]</f>
        <v>10035 - Fijaciones</v>
      </c>
    </row>
    <row r="856" spans="1:6" x14ac:dyDescent="0.25">
      <c r="A856" s="43">
        <v>4105001</v>
      </c>
      <c r="B856" t="s">
        <v>70</v>
      </c>
      <c r="C856" s="43">
        <v>10036</v>
      </c>
      <c r="D856" t="s">
        <v>2742</v>
      </c>
      <c r="E856" s="47" t="str">
        <f>+Cuenta_Clasificacion[[#This Row],[Código Cuenta Contable]]&amp;" - "&amp;Cuenta_Clasificacion[[#This Row],[Nombre de Cuenta Contable]]</f>
        <v>4105001 - Costos Generales de Obra</v>
      </c>
      <c r="F856" s="47" t="str">
        <f>+Cuenta_Clasificacion[[#This Row],[Codigo Concepto de imputación]]&amp;" - "&amp;Cuenta_Clasificacion[[#This Row],[Nombre Concepto de imputación]]</f>
        <v>10036 - Fitting</v>
      </c>
    </row>
    <row r="857" spans="1:6" x14ac:dyDescent="0.25">
      <c r="A857" s="43">
        <v>4105001</v>
      </c>
      <c r="B857" t="s">
        <v>70</v>
      </c>
      <c r="C857" s="43">
        <v>10037</v>
      </c>
      <c r="D857" t="s">
        <v>2743</v>
      </c>
      <c r="E857" s="47" t="str">
        <f>+Cuenta_Clasificacion[[#This Row],[Código Cuenta Contable]]&amp;" - "&amp;Cuenta_Clasificacion[[#This Row],[Nombre de Cuenta Contable]]</f>
        <v>4105001 - Costos Generales de Obra</v>
      </c>
      <c r="F857" s="47" t="str">
        <f>+Cuenta_Clasificacion[[#This Row],[Codigo Concepto de imputación]]&amp;" - "&amp;Cuenta_Clasificacion[[#This Row],[Nombre Concepto de imputación]]</f>
        <v>10037 - Flete Perfiles</v>
      </c>
    </row>
    <row r="858" spans="1:6" x14ac:dyDescent="0.25">
      <c r="A858" s="43">
        <v>4105001</v>
      </c>
      <c r="B858" t="s">
        <v>70</v>
      </c>
      <c r="C858" s="43">
        <v>10038</v>
      </c>
      <c r="D858" t="s">
        <v>2697</v>
      </c>
      <c r="E858" s="47" t="str">
        <f>+Cuenta_Clasificacion[[#This Row],[Código Cuenta Contable]]&amp;" - "&amp;Cuenta_Clasificacion[[#This Row],[Nombre de Cuenta Contable]]</f>
        <v>4105001 - Costos Generales de Obra</v>
      </c>
      <c r="F858" s="47" t="str">
        <f>+Cuenta_Clasificacion[[#This Row],[Codigo Concepto de imputación]]&amp;" - "&amp;Cuenta_Clasificacion[[#This Row],[Nombre Concepto de imputación]]</f>
        <v>10038 - Fletes (por orden de compra)</v>
      </c>
    </row>
    <row r="859" spans="1:6" x14ac:dyDescent="0.25">
      <c r="A859" s="43">
        <v>4105001</v>
      </c>
      <c r="B859" t="s">
        <v>70</v>
      </c>
      <c r="C859" s="43">
        <v>10039</v>
      </c>
      <c r="D859" t="s">
        <v>2744</v>
      </c>
      <c r="E859" s="47" t="str">
        <f>+Cuenta_Clasificacion[[#This Row],[Código Cuenta Contable]]&amp;" - "&amp;Cuenta_Clasificacion[[#This Row],[Nombre de Cuenta Contable]]</f>
        <v>4105001 - Costos Generales de Obra</v>
      </c>
      <c r="F859" s="47" t="str">
        <f>+Cuenta_Clasificacion[[#This Row],[Codigo Concepto de imputación]]&amp;" - "&amp;Cuenta_Clasificacion[[#This Row],[Nombre Concepto de imputación]]</f>
        <v>10039 - Grifería</v>
      </c>
    </row>
    <row r="860" spans="1:6" x14ac:dyDescent="0.25">
      <c r="A860" s="43">
        <v>4105001</v>
      </c>
      <c r="B860" t="s">
        <v>70</v>
      </c>
      <c r="C860" s="43">
        <v>10040</v>
      </c>
      <c r="D860" t="s">
        <v>2745</v>
      </c>
      <c r="E860" s="47" t="str">
        <f>+Cuenta_Clasificacion[[#This Row],[Código Cuenta Contable]]&amp;" - "&amp;Cuenta_Clasificacion[[#This Row],[Nombre de Cuenta Contable]]</f>
        <v>4105001 - Costos Generales de Obra</v>
      </c>
      <c r="F860" s="47" t="str">
        <f>+Cuenta_Clasificacion[[#This Row],[Codigo Concepto de imputación]]&amp;" - "&amp;Cuenta_Clasificacion[[#This Row],[Nombre Concepto de imputación]]</f>
        <v>10040 - Herramientas</v>
      </c>
    </row>
    <row r="861" spans="1:6" x14ac:dyDescent="0.25">
      <c r="A861" s="43">
        <v>4105001</v>
      </c>
      <c r="B861" t="s">
        <v>70</v>
      </c>
      <c r="C861" s="43">
        <v>10041</v>
      </c>
      <c r="D861" t="s">
        <v>2746</v>
      </c>
      <c r="E861" s="47" t="str">
        <f>+Cuenta_Clasificacion[[#This Row],[Código Cuenta Contable]]&amp;" - "&amp;Cuenta_Clasificacion[[#This Row],[Nombre de Cuenta Contable]]</f>
        <v>4105001 - Costos Generales de Obra</v>
      </c>
      <c r="F861" s="47" t="str">
        <f>+Cuenta_Clasificacion[[#This Row],[Codigo Concepto de imputación]]&amp;" - "&amp;Cuenta_Clasificacion[[#This Row],[Nombre Concepto de imputación]]</f>
        <v>10041 - Hojalatería y Techumbres</v>
      </c>
    </row>
    <row r="862" spans="1:6" x14ac:dyDescent="0.25">
      <c r="A862" s="43">
        <v>4105001</v>
      </c>
      <c r="B862" t="s">
        <v>70</v>
      </c>
      <c r="C862" s="43">
        <v>10042</v>
      </c>
      <c r="D862" t="s">
        <v>2698</v>
      </c>
      <c r="E862" s="47" t="str">
        <f>+Cuenta_Clasificacion[[#This Row],[Código Cuenta Contable]]&amp;" - "&amp;Cuenta_Clasificacion[[#This Row],[Nombre de Cuenta Contable]]</f>
        <v>4105001 - Costos Generales de Obra</v>
      </c>
      <c r="F862" s="47" t="str">
        <f>+Cuenta_Clasificacion[[#This Row],[Codigo Concepto de imputación]]&amp;" - "&amp;Cuenta_Clasificacion[[#This Row],[Nombre Concepto de imputación]]</f>
        <v>10042 - Hormigones</v>
      </c>
    </row>
    <row r="863" spans="1:6" x14ac:dyDescent="0.25">
      <c r="A863" s="43">
        <v>4105001</v>
      </c>
      <c r="B863" t="s">
        <v>70</v>
      </c>
      <c r="C863" s="43">
        <v>10043</v>
      </c>
      <c r="D863" t="s">
        <v>2747</v>
      </c>
      <c r="E863" s="47" t="str">
        <f>+Cuenta_Clasificacion[[#This Row],[Código Cuenta Contable]]&amp;" - "&amp;Cuenta_Clasificacion[[#This Row],[Nombre de Cuenta Contable]]</f>
        <v>4105001 - Costos Generales de Obra</v>
      </c>
      <c r="F863" s="47" t="str">
        <f>+Cuenta_Clasificacion[[#This Row],[Codigo Concepto de imputación]]&amp;" - "&amp;Cuenta_Clasificacion[[#This Row],[Nombre Concepto de imputación]]</f>
        <v>10043 - Hta Menor</v>
      </c>
    </row>
    <row r="864" spans="1:6" x14ac:dyDescent="0.25">
      <c r="A864" s="43">
        <v>4105001</v>
      </c>
      <c r="B864" t="s">
        <v>70</v>
      </c>
      <c r="C864" s="43">
        <v>10044</v>
      </c>
      <c r="D864" t="s">
        <v>2748</v>
      </c>
      <c r="E864" s="47" t="str">
        <f>+Cuenta_Clasificacion[[#This Row],[Código Cuenta Contable]]&amp;" - "&amp;Cuenta_Clasificacion[[#This Row],[Nombre de Cuenta Contable]]</f>
        <v>4105001 - Costos Generales de Obra</v>
      </c>
      <c r="F864" s="47" t="str">
        <f>+Cuenta_Clasificacion[[#This Row],[Codigo Concepto de imputación]]&amp;" - "&amp;Cuenta_Clasificacion[[#This Row],[Nombre Concepto de imputación]]</f>
        <v>10044 - Incendio y Alarmas</v>
      </c>
    </row>
    <row r="865" spans="1:6" x14ac:dyDescent="0.25">
      <c r="A865" s="43">
        <v>4105001</v>
      </c>
      <c r="B865" t="s">
        <v>70</v>
      </c>
      <c r="C865" s="43">
        <v>10045</v>
      </c>
      <c r="D865" t="s">
        <v>2749</v>
      </c>
      <c r="E865" s="47" t="str">
        <f>+Cuenta_Clasificacion[[#This Row],[Código Cuenta Contable]]&amp;" - "&amp;Cuenta_Clasificacion[[#This Row],[Nombre de Cuenta Contable]]</f>
        <v>4105001 - Costos Generales de Obra</v>
      </c>
      <c r="F865" s="47" t="str">
        <f>+Cuenta_Clasificacion[[#This Row],[Codigo Concepto de imputación]]&amp;" - "&amp;Cuenta_Clasificacion[[#This Row],[Nombre Concepto de imputación]]</f>
        <v>10045 - Insumos</v>
      </c>
    </row>
    <row r="866" spans="1:6" x14ac:dyDescent="0.25">
      <c r="A866" s="43">
        <v>4105001</v>
      </c>
      <c r="B866" t="s">
        <v>70</v>
      </c>
      <c r="C866" s="43">
        <v>10046</v>
      </c>
      <c r="D866" t="s">
        <v>2750</v>
      </c>
      <c r="E866" s="47" t="str">
        <f>+Cuenta_Clasificacion[[#This Row],[Código Cuenta Contable]]&amp;" - "&amp;Cuenta_Clasificacion[[#This Row],[Nombre de Cuenta Contable]]</f>
        <v>4105001 - Costos Generales de Obra</v>
      </c>
      <c r="F866" s="47" t="str">
        <f>+Cuenta_Clasificacion[[#This Row],[Codigo Concepto de imputación]]&amp;" - "&amp;Cuenta_Clasificacion[[#This Row],[Nombre Concepto de imputación]]</f>
        <v>10046 - Izaje</v>
      </c>
    </row>
    <row r="867" spans="1:6" x14ac:dyDescent="0.25">
      <c r="A867" s="43">
        <v>4105001</v>
      </c>
      <c r="B867" t="s">
        <v>70</v>
      </c>
      <c r="C867" s="43">
        <v>10047</v>
      </c>
      <c r="D867" t="s">
        <v>2751</v>
      </c>
      <c r="E867" s="47" t="str">
        <f>+Cuenta_Clasificacion[[#This Row],[Código Cuenta Contable]]&amp;" - "&amp;Cuenta_Clasificacion[[#This Row],[Nombre de Cuenta Contable]]</f>
        <v>4105001 - Costos Generales de Obra</v>
      </c>
      <c r="F867" s="47" t="str">
        <f>+Cuenta_Clasificacion[[#This Row],[Codigo Concepto de imputación]]&amp;" - "&amp;Cuenta_Clasificacion[[#This Row],[Nombre Concepto de imputación]]</f>
        <v>10047 - Jardinería</v>
      </c>
    </row>
    <row r="868" spans="1:6" x14ac:dyDescent="0.25">
      <c r="A868" s="43">
        <v>4105001</v>
      </c>
      <c r="B868" t="s">
        <v>70</v>
      </c>
      <c r="C868" s="43">
        <v>10049</v>
      </c>
      <c r="D868" t="s">
        <v>2753</v>
      </c>
      <c r="E868" s="47" t="str">
        <f>+Cuenta_Clasificacion[[#This Row],[Código Cuenta Contable]]&amp;" - "&amp;Cuenta_Clasificacion[[#This Row],[Nombre de Cuenta Contable]]</f>
        <v>4105001 - Costos Generales de Obra</v>
      </c>
      <c r="F868" s="47" t="str">
        <f>+Cuenta_Clasificacion[[#This Row],[Codigo Concepto de imputación]]&amp;" - "&amp;Cuenta_Clasificacion[[#This Row],[Nombre Concepto de imputación]]</f>
        <v>10049 - Licencias Softwares</v>
      </c>
    </row>
    <row r="869" spans="1:6" x14ac:dyDescent="0.25">
      <c r="A869" s="43">
        <v>4105001</v>
      </c>
      <c r="B869" t="s">
        <v>70</v>
      </c>
      <c r="C869" s="43">
        <v>10050</v>
      </c>
      <c r="D869" t="s">
        <v>2754</v>
      </c>
      <c r="E869" s="47" t="str">
        <f>+Cuenta_Clasificacion[[#This Row],[Código Cuenta Contable]]&amp;" - "&amp;Cuenta_Clasificacion[[#This Row],[Nombre de Cuenta Contable]]</f>
        <v>4105001 - Costos Generales de Obra</v>
      </c>
      <c r="F869" s="47" t="str">
        <f>+Cuenta_Clasificacion[[#This Row],[Codigo Concepto de imputación]]&amp;" - "&amp;Cuenta_Clasificacion[[#This Row],[Nombre Concepto de imputación]]</f>
        <v>10050 - Lubricantes</v>
      </c>
    </row>
    <row r="870" spans="1:6" x14ac:dyDescent="0.25">
      <c r="A870" s="43">
        <v>4105001</v>
      </c>
      <c r="B870" t="s">
        <v>70</v>
      </c>
      <c r="C870" s="43">
        <v>10051</v>
      </c>
      <c r="D870" t="s">
        <v>2755</v>
      </c>
      <c r="E870" s="47" t="str">
        <f>+Cuenta_Clasificacion[[#This Row],[Código Cuenta Contable]]&amp;" - "&amp;Cuenta_Clasificacion[[#This Row],[Nombre de Cuenta Contable]]</f>
        <v>4105001 - Costos Generales de Obra</v>
      </c>
      <c r="F870" s="47" t="str">
        <f>+Cuenta_Clasificacion[[#This Row],[Codigo Concepto de imputación]]&amp;" - "&amp;Cuenta_Clasificacion[[#This Row],[Nombre Concepto de imputación]]</f>
        <v>10051 - Luminarias</v>
      </c>
    </row>
    <row r="871" spans="1:6" x14ac:dyDescent="0.25">
      <c r="A871" s="43">
        <v>4105001</v>
      </c>
      <c r="B871" t="s">
        <v>70</v>
      </c>
      <c r="C871" s="43">
        <v>10052</v>
      </c>
      <c r="D871" t="s">
        <v>2756</v>
      </c>
      <c r="E871" s="47" t="str">
        <f>+Cuenta_Clasificacion[[#This Row],[Código Cuenta Contable]]&amp;" - "&amp;Cuenta_Clasificacion[[#This Row],[Nombre de Cuenta Contable]]</f>
        <v>4105001 - Costos Generales de Obra</v>
      </c>
      <c r="F871" s="47" t="str">
        <f>+Cuenta_Clasificacion[[#This Row],[Codigo Concepto de imputación]]&amp;" - "&amp;Cuenta_Clasificacion[[#This Row],[Nombre Concepto de imputación]]</f>
        <v>10052 - Maderas</v>
      </c>
    </row>
    <row r="872" spans="1:6" x14ac:dyDescent="0.25">
      <c r="A872" s="43">
        <v>4105001</v>
      </c>
      <c r="B872" t="s">
        <v>70</v>
      </c>
      <c r="C872" s="43">
        <v>10053</v>
      </c>
      <c r="D872" t="s">
        <v>2757</v>
      </c>
      <c r="E872" s="47" t="str">
        <f>+Cuenta_Clasificacion[[#This Row],[Código Cuenta Contable]]&amp;" - "&amp;Cuenta_Clasificacion[[#This Row],[Nombre de Cuenta Contable]]</f>
        <v>4105001 - Costos Generales de Obra</v>
      </c>
      <c r="F872" s="47" t="str">
        <f>+Cuenta_Clasificacion[[#This Row],[Codigo Concepto de imputación]]&amp;" - "&amp;Cuenta_Clasificacion[[#This Row],[Nombre Concepto de imputación]]</f>
        <v>10053 - Malla Acma</v>
      </c>
    </row>
    <row r="873" spans="1:6" x14ac:dyDescent="0.25">
      <c r="A873" s="43">
        <v>4105001</v>
      </c>
      <c r="B873" t="s">
        <v>70</v>
      </c>
      <c r="C873" s="43">
        <v>10054</v>
      </c>
      <c r="D873" t="s">
        <v>2758</v>
      </c>
      <c r="E873" s="47" t="str">
        <f>+Cuenta_Clasificacion[[#This Row],[Código Cuenta Contable]]&amp;" - "&amp;Cuenta_Clasificacion[[#This Row],[Nombre de Cuenta Contable]]</f>
        <v>4105001 - Costos Generales de Obra</v>
      </c>
      <c r="F873" s="47" t="str">
        <f>+Cuenta_Clasificacion[[#This Row],[Codigo Concepto de imputación]]&amp;" - "&amp;Cuenta_Clasificacion[[#This Row],[Nombre Concepto de imputación]]</f>
        <v>10054 - Malla Raschel</v>
      </c>
    </row>
    <row r="874" spans="1:6" x14ac:dyDescent="0.25">
      <c r="A874" s="43">
        <v>4105001</v>
      </c>
      <c r="B874" t="s">
        <v>70</v>
      </c>
      <c r="C874" s="43">
        <v>10055</v>
      </c>
      <c r="D874" t="s">
        <v>2759</v>
      </c>
      <c r="E874" s="47" t="str">
        <f>+Cuenta_Clasificacion[[#This Row],[Código Cuenta Contable]]&amp;" - "&amp;Cuenta_Clasificacion[[#This Row],[Nombre de Cuenta Contable]]</f>
        <v>4105001 - Costos Generales de Obra</v>
      </c>
      <c r="F874" s="47" t="str">
        <f>+Cuenta_Clasificacion[[#This Row],[Codigo Concepto de imputación]]&amp;" - "&amp;Cuenta_Clasificacion[[#This Row],[Nombre Concepto de imputación]]</f>
        <v>10055 - Mallas Varias</v>
      </c>
    </row>
    <row r="875" spans="1:6" x14ac:dyDescent="0.25">
      <c r="A875" s="43">
        <v>4105001</v>
      </c>
      <c r="B875" t="s">
        <v>70</v>
      </c>
      <c r="C875" s="43">
        <v>10056</v>
      </c>
      <c r="D875" t="s">
        <v>2760</v>
      </c>
      <c r="E875" s="47" t="str">
        <f>+Cuenta_Clasificacion[[#This Row],[Código Cuenta Contable]]&amp;" - "&amp;Cuenta_Clasificacion[[#This Row],[Nombre de Cuenta Contable]]</f>
        <v>4105001 - Costos Generales de Obra</v>
      </c>
      <c r="F875" s="47" t="str">
        <f>+Cuenta_Clasificacion[[#This Row],[Codigo Concepto de imputación]]&amp;" - "&amp;Cuenta_Clasificacion[[#This Row],[Nombre Concepto de imputación]]</f>
        <v>10056 - Mangueras</v>
      </c>
    </row>
    <row r="876" spans="1:6" x14ac:dyDescent="0.25">
      <c r="A876" s="43">
        <v>4105001</v>
      </c>
      <c r="B876" t="s">
        <v>70</v>
      </c>
      <c r="C876" s="43">
        <v>10057</v>
      </c>
      <c r="D876" t="s">
        <v>2761</v>
      </c>
      <c r="E876" s="47" t="str">
        <f>+Cuenta_Clasificacion[[#This Row],[Código Cuenta Contable]]&amp;" - "&amp;Cuenta_Clasificacion[[#This Row],[Nombre de Cuenta Contable]]</f>
        <v>4105001 - Costos Generales de Obra</v>
      </c>
      <c r="F876" s="47" t="str">
        <f>+Cuenta_Clasificacion[[#This Row],[Codigo Concepto de imputación]]&amp;" - "&amp;Cuenta_Clasificacion[[#This Row],[Nombre Concepto de imputación]]</f>
        <v>10057 - Molduras</v>
      </c>
    </row>
    <row r="877" spans="1:6" x14ac:dyDescent="0.25">
      <c r="A877" s="43">
        <v>4105001</v>
      </c>
      <c r="B877" t="s">
        <v>70</v>
      </c>
      <c r="C877" s="43">
        <v>10058</v>
      </c>
      <c r="D877" t="s">
        <v>2762</v>
      </c>
      <c r="E877" s="47" t="str">
        <f>+Cuenta_Clasificacion[[#This Row],[Código Cuenta Contable]]&amp;" - "&amp;Cuenta_Clasificacion[[#This Row],[Nombre de Cuenta Contable]]</f>
        <v>4105001 - Costos Generales de Obra</v>
      </c>
      <c r="F877" s="47" t="str">
        <f>+Cuenta_Clasificacion[[#This Row],[Codigo Concepto de imputación]]&amp;" - "&amp;Cuenta_Clasificacion[[#This Row],[Nombre Concepto de imputación]]</f>
        <v>10058 - Morteros e Impermeabilizantes</v>
      </c>
    </row>
    <row r="878" spans="1:6" x14ac:dyDescent="0.25">
      <c r="A878" s="43">
        <v>4105001</v>
      </c>
      <c r="B878" t="s">
        <v>70</v>
      </c>
      <c r="C878" s="43">
        <v>10059</v>
      </c>
      <c r="D878" t="s">
        <v>2763</v>
      </c>
      <c r="E878" s="47" t="str">
        <f>+Cuenta_Clasificacion[[#This Row],[Código Cuenta Contable]]&amp;" - "&amp;Cuenta_Clasificacion[[#This Row],[Nombre de Cuenta Contable]]</f>
        <v>4105001 - Costos Generales de Obra</v>
      </c>
      <c r="F878" s="47" t="str">
        <f>+Cuenta_Clasificacion[[#This Row],[Codigo Concepto de imputación]]&amp;" - "&amp;Cuenta_Clasificacion[[#This Row],[Nombre Concepto de imputación]]</f>
        <v>10059 - Muebles</v>
      </c>
    </row>
    <row r="879" spans="1:6" x14ac:dyDescent="0.25">
      <c r="A879" s="43">
        <v>4105001</v>
      </c>
      <c r="B879" t="s">
        <v>70</v>
      </c>
      <c r="C879" s="43">
        <v>10060</v>
      </c>
      <c r="D879" t="s">
        <v>2764</v>
      </c>
      <c r="E879" s="47" t="str">
        <f>+Cuenta_Clasificacion[[#This Row],[Código Cuenta Contable]]&amp;" - "&amp;Cuenta_Clasificacion[[#This Row],[Nombre de Cuenta Contable]]</f>
        <v>4105001 - Costos Generales de Obra</v>
      </c>
      <c r="F879" s="47" t="str">
        <f>+Cuenta_Clasificacion[[#This Row],[Codigo Concepto de imputación]]&amp;" - "&amp;Cuenta_Clasificacion[[#This Row],[Nombre Concepto de imputación]]</f>
        <v>10060 - Muebles e Inst Faena</v>
      </c>
    </row>
    <row r="880" spans="1:6" x14ac:dyDescent="0.25">
      <c r="A880" s="43">
        <v>4105001</v>
      </c>
      <c r="B880" t="s">
        <v>70</v>
      </c>
      <c r="C880" s="43">
        <v>10062</v>
      </c>
      <c r="D880" t="s">
        <v>2766</v>
      </c>
      <c r="E880" s="47" t="str">
        <f>+Cuenta_Clasificacion[[#This Row],[Código Cuenta Contable]]&amp;" - "&amp;Cuenta_Clasificacion[[#This Row],[Nombre de Cuenta Contable]]</f>
        <v>4105001 - Costos Generales de Obra</v>
      </c>
      <c r="F880" s="47" t="str">
        <f>+Cuenta_Clasificacion[[#This Row],[Codigo Concepto de imputación]]&amp;" - "&amp;Cuenta_Clasificacion[[#This Row],[Nombre Concepto de imputación]]</f>
        <v>10062 - Pavimentos</v>
      </c>
    </row>
    <row r="881" spans="1:6" x14ac:dyDescent="0.25">
      <c r="A881" s="43">
        <v>4105001</v>
      </c>
      <c r="B881" t="s">
        <v>70</v>
      </c>
      <c r="C881" s="43">
        <v>10063</v>
      </c>
      <c r="D881" t="s">
        <v>2767</v>
      </c>
      <c r="E881" s="47" t="str">
        <f>+Cuenta_Clasificacion[[#This Row],[Código Cuenta Contable]]&amp;" - "&amp;Cuenta_Clasificacion[[#This Row],[Nombre de Cuenta Contable]]</f>
        <v>4105001 - Costos Generales de Obra</v>
      </c>
      <c r="F881" s="47" t="str">
        <f>+Cuenta_Clasificacion[[#This Row],[Codigo Concepto de imputación]]&amp;" - "&amp;Cuenta_Clasificacion[[#This Row],[Nombre Concepto de imputación]]</f>
        <v>10063 - Pendones</v>
      </c>
    </row>
    <row r="882" spans="1:6" x14ac:dyDescent="0.25">
      <c r="A882" s="43">
        <v>4105001</v>
      </c>
      <c r="B882" t="s">
        <v>70</v>
      </c>
      <c r="C882" s="43">
        <v>10064</v>
      </c>
      <c r="D882" t="s">
        <v>2768</v>
      </c>
      <c r="E882" s="47" t="str">
        <f>+Cuenta_Clasificacion[[#This Row],[Código Cuenta Contable]]&amp;" - "&amp;Cuenta_Clasificacion[[#This Row],[Nombre de Cuenta Contable]]</f>
        <v>4105001 - Costos Generales de Obra</v>
      </c>
      <c r="F882" s="47" t="str">
        <f>+Cuenta_Clasificacion[[#This Row],[Codigo Concepto de imputación]]&amp;" - "&amp;Cuenta_Clasificacion[[#This Row],[Nombre Concepto de imputación]]</f>
        <v>10064 - Perfiles y Tubos</v>
      </c>
    </row>
    <row r="883" spans="1:6" x14ac:dyDescent="0.25">
      <c r="A883" s="43">
        <v>4105001</v>
      </c>
      <c r="B883" t="s">
        <v>70</v>
      </c>
      <c r="C883" s="43">
        <v>10065</v>
      </c>
      <c r="D883" t="s">
        <v>2769</v>
      </c>
      <c r="E883" s="47" t="str">
        <f>+Cuenta_Clasificacion[[#This Row],[Código Cuenta Contable]]&amp;" - "&amp;Cuenta_Clasificacion[[#This Row],[Nombre de Cuenta Contable]]</f>
        <v>4105001 - Costos Generales de Obra</v>
      </c>
      <c r="F883" s="47" t="str">
        <f>+Cuenta_Clasificacion[[#This Row],[Codigo Concepto de imputación]]&amp;" - "&amp;Cuenta_Clasificacion[[#This Row],[Nombre Concepto de imputación]]</f>
        <v>10065 - Persianas</v>
      </c>
    </row>
    <row r="884" spans="1:6" x14ac:dyDescent="0.25">
      <c r="A884" s="43">
        <v>4105001</v>
      </c>
      <c r="B884" t="s">
        <v>70</v>
      </c>
      <c r="C884" s="43">
        <v>10066</v>
      </c>
      <c r="D884" t="s">
        <v>2770</v>
      </c>
      <c r="E884" s="47" t="str">
        <f>+Cuenta_Clasificacion[[#This Row],[Código Cuenta Contable]]&amp;" - "&amp;Cuenta_Clasificacion[[#This Row],[Nombre de Cuenta Contable]]</f>
        <v>4105001 - Costos Generales de Obra</v>
      </c>
      <c r="F884" s="47" t="str">
        <f>+Cuenta_Clasificacion[[#This Row],[Codigo Concepto de imputación]]&amp;" - "&amp;Cuenta_Clasificacion[[#This Row],[Nombre Concepto de imputación]]</f>
        <v>10066 - Pinturas</v>
      </c>
    </row>
    <row r="885" spans="1:6" x14ac:dyDescent="0.25">
      <c r="A885" s="43">
        <v>4105001</v>
      </c>
      <c r="B885" t="s">
        <v>70</v>
      </c>
      <c r="C885" s="43">
        <v>10067</v>
      </c>
      <c r="D885" t="s">
        <v>2771</v>
      </c>
      <c r="E885" s="47" t="str">
        <f>+Cuenta_Clasificacion[[#This Row],[Código Cuenta Contable]]&amp;" - "&amp;Cuenta_Clasificacion[[#This Row],[Nombre de Cuenta Contable]]</f>
        <v>4105001 - Costos Generales de Obra</v>
      </c>
      <c r="F885" s="47" t="str">
        <f>+Cuenta_Clasificacion[[#This Row],[Codigo Concepto de imputación]]&amp;" - "&amp;Cuenta_Clasificacion[[#This Row],[Nombre Concepto de imputación]]</f>
        <v>10067 - Piscinas</v>
      </c>
    </row>
    <row r="886" spans="1:6" x14ac:dyDescent="0.25">
      <c r="A886" s="43">
        <v>4105001</v>
      </c>
      <c r="B886" t="s">
        <v>70</v>
      </c>
      <c r="C886" s="43">
        <v>10068</v>
      </c>
      <c r="D886" t="s">
        <v>2772</v>
      </c>
      <c r="E886" s="47" t="str">
        <f>+Cuenta_Clasificacion[[#This Row],[Código Cuenta Contable]]&amp;" - "&amp;Cuenta_Clasificacion[[#This Row],[Nombre de Cuenta Contable]]</f>
        <v>4105001 - Costos Generales de Obra</v>
      </c>
      <c r="F886" s="47" t="str">
        <f>+Cuenta_Clasificacion[[#This Row],[Codigo Concepto de imputación]]&amp;" - "&amp;Cuenta_Clasificacion[[#This Row],[Nombre Concepto de imputación]]</f>
        <v>10068 - Placas Aglomeradas</v>
      </c>
    </row>
    <row r="887" spans="1:6" x14ac:dyDescent="0.25">
      <c r="A887" s="43">
        <v>4105001</v>
      </c>
      <c r="B887" t="s">
        <v>70</v>
      </c>
      <c r="C887" s="43">
        <v>10069</v>
      </c>
      <c r="D887" t="s">
        <v>2773</v>
      </c>
      <c r="E887" s="47" t="str">
        <f>+Cuenta_Clasificacion[[#This Row],[Código Cuenta Contable]]&amp;" - "&amp;Cuenta_Clasificacion[[#This Row],[Nombre de Cuenta Contable]]</f>
        <v>4105001 - Costos Generales de Obra</v>
      </c>
      <c r="F887" s="47" t="str">
        <f>+Cuenta_Clasificacion[[#This Row],[Codigo Concepto de imputación]]&amp;" - "&amp;Cuenta_Clasificacion[[#This Row],[Nombre Concepto de imputación]]</f>
        <v>10069 - Planchas</v>
      </c>
    </row>
    <row r="888" spans="1:6" x14ac:dyDescent="0.25">
      <c r="A888" s="43">
        <v>4105001</v>
      </c>
      <c r="B888" t="s">
        <v>70</v>
      </c>
      <c r="C888" s="43">
        <v>10070</v>
      </c>
      <c r="D888" t="s">
        <v>2774</v>
      </c>
      <c r="E888" s="47" t="str">
        <f>+Cuenta_Clasificacion[[#This Row],[Código Cuenta Contable]]&amp;" - "&amp;Cuenta_Clasificacion[[#This Row],[Nombre de Cuenta Contable]]</f>
        <v>4105001 - Costos Generales de Obra</v>
      </c>
      <c r="F888" s="47" t="str">
        <f>+Cuenta_Clasificacion[[#This Row],[Codigo Concepto de imputación]]&amp;" - "&amp;Cuenta_Clasificacion[[#This Row],[Nombre Concepto de imputación]]</f>
        <v>10070 - Prefabricados Hormigón</v>
      </c>
    </row>
    <row r="889" spans="1:6" x14ac:dyDescent="0.25">
      <c r="A889" s="43">
        <v>4105001</v>
      </c>
      <c r="B889" t="s">
        <v>70</v>
      </c>
      <c r="C889" s="43">
        <v>10071</v>
      </c>
      <c r="D889" t="s">
        <v>2775</v>
      </c>
      <c r="E889" s="47" t="str">
        <f>+Cuenta_Clasificacion[[#This Row],[Código Cuenta Contable]]&amp;" - "&amp;Cuenta_Clasificacion[[#This Row],[Nombre de Cuenta Contable]]</f>
        <v>4105001 - Costos Generales de Obra</v>
      </c>
      <c r="F889" s="47" t="str">
        <f>+Cuenta_Clasificacion[[#This Row],[Codigo Concepto de imputación]]&amp;" - "&amp;Cuenta_Clasificacion[[#This Row],[Nombre Concepto de imputación]]</f>
        <v>10071 - Puertas y Ventanas</v>
      </c>
    </row>
    <row r="890" spans="1:6" x14ac:dyDescent="0.25">
      <c r="A890" s="43">
        <v>4105001</v>
      </c>
      <c r="B890" t="s">
        <v>70</v>
      </c>
      <c r="C890" s="43">
        <v>10072</v>
      </c>
      <c r="D890" t="s">
        <v>2776</v>
      </c>
      <c r="E890" s="47" t="str">
        <f>+Cuenta_Clasificacion[[#This Row],[Código Cuenta Contable]]&amp;" - "&amp;Cuenta_Clasificacion[[#This Row],[Nombre de Cuenta Contable]]</f>
        <v>4105001 - Costos Generales de Obra</v>
      </c>
      <c r="F890" s="47" t="str">
        <f>+Cuenta_Clasificacion[[#This Row],[Codigo Concepto de imputación]]&amp;" - "&amp;Cuenta_Clasificacion[[#This Row],[Nombre Concepto de imputación]]</f>
        <v>10072 - Quincallería</v>
      </c>
    </row>
    <row r="891" spans="1:6" x14ac:dyDescent="0.25">
      <c r="A891" s="43">
        <v>4105001</v>
      </c>
      <c r="B891" t="s">
        <v>70</v>
      </c>
      <c r="C891" s="43">
        <v>10073</v>
      </c>
      <c r="D891" t="s">
        <v>2777</v>
      </c>
      <c r="E891" s="47" t="str">
        <f>+Cuenta_Clasificacion[[#This Row],[Código Cuenta Contable]]&amp;" - "&amp;Cuenta_Clasificacion[[#This Row],[Nombre de Cuenta Contable]]</f>
        <v>4105001 - Costos Generales de Obra</v>
      </c>
      <c r="F891" s="47" t="str">
        <f>+Cuenta_Clasificacion[[#This Row],[Codigo Concepto de imputación]]&amp;" - "&amp;Cuenta_Clasificacion[[#This Row],[Nombre Concepto de imputación]]</f>
        <v>10073 - Revestimientos</v>
      </c>
    </row>
    <row r="892" spans="1:6" x14ac:dyDescent="0.25">
      <c r="A892" s="43">
        <v>4105001</v>
      </c>
      <c r="B892" t="s">
        <v>70</v>
      </c>
      <c r="C892" s="43">
        <v>10074</v>
      </c>
      <c r="D892" t="s">
        <v>2778</v>
      </c>
      <c r="E892" s="47" t="str">
        <f>+Cuenta_Clasificacion[[#This Row],[Código Cuenta Contable]]&amp;" - "&amp;Cuenta_Clasificacion[[#This Row],[Nombre de Cuenta Contable]]</f>
        <v>4105001 - Costos Generales de Obra</v>
      </c>
      <c r="F892" s="47" t="str">
        <f>+Cuenta_Clasificacion[[#This Row],[Codigo Concepto de imputación]]&amp;" - "&amp;Cuenta_Clasificacion[[#This Row],[Nombre Concepto de imputación]]</f>
        <v>10074 - Rollizos y Postes Madera</v>
      </c>
    </row>
    <row r="893" spans="1:6" x14ac:dyDescent="0.25">
      <c r="A893" s="43">
        <v>4105001</v>
      </c>
      <c r="B893" t="s">
        <v>70</v>
      </c>
      <c r="C893" s="43">
        <v>10075</v>
      </c>
      <c r="D893" t="s">
        <v>2779</v>
      </c>
      <c r="E893" s="47" t="str">
        <f>+Cuenta_Clasificacion[[#This Row],[Código Cuenta Contable]]&amp;" - "&amp;Cuenta_Clasificacion[[#This Row],[Nombre de Cuenta Contable]]</f>
        <v>4105001 - Costos Generales de Obra</v>
      </c>
      <c r="F893" s="47" t="str">
        <f>+Cuenta_Clasificacion[[#This Row],[Codigo Concepto de imputación]]&amp;" - "&amp;Cuenta_Clasificacion[[#This Row],[Nombre Concepto de imputación]]</f>
        <v>10075 - Señalética</v>
      </c>
    </row>
    <row r="894" spans="1:6" x14ac:dyDescent="0.25">
      <c r="A894" s="43">
        <v>4105001</v>
      </c>
      <c r="B894" t="s">
        <v>70</v>
      </c>
      <c r="C894" s="43">
        <v>10076</v>
      </c>
      <c r="D894" t="s">
        <v>2780</v>
      </c>
      <c r="E894" s="47" t="str">
        <f>+Cuenta_Clasificacion[[#This Row],[Código Cuenta Contable]]&amp;" - "&amp;Cuenta_Clasificacion[[#This Row],[Nombre de Cuenta Contable]]</f>
        <v>4105001 - Costos Generales de Obra</v>
      </c>
      <c r="F894" s="47" t="str">
        <f>+Cuenta_Clasificacion[[#This Row],[Codigo Concepto de imputación]]&amp;" - "&amp;Cuenta_Clasificacion[[#This Row],[Nombre Concepto de imputación]]</f>
        <v>10076 - Soldadura</v>
      </c>
    </row>
    <row r="895" spans="1:6" x14ac:dyDescent="0.25">
      <c r="A895" s="43">
        <v>4105001</v>
      </c>
      <c r="B895" t="s">
        <v>70</v>
      </c>
      <c r="C895" s="43">
        <v>10078</v>
      </c>
      <c r="D895" t="s">
        <v>2782</v>
      </c>
      <c r="E895" s="47" t="str">
        <f>+Cuenta_Clasificacion[[#This Row],[Código Cuenta Contable]]&amp;" - "&amp;Cuenta_Clasificacion[[#This Row],[Nombre de Cuenta Contable]]</f>
        <v>4105001 - Costos Generales de Obra</v>
      </c>
      <c r="F895" s="47" t="str">
        <f>+Cuenta_Clasificacion[[#This Row],[Codigo Concepto de imputación]]&amp;" - "&amp;Cuenta_Clasificacion[[#This Row],[Nombre Concepto de imputación]]</f>
        <v>10078 - Tabiques</v>
      </c>
    </row>
    <row r="896" spans="1:6" x14ac:dyDescent="0.25">
      <c r="A896" s="43">
        <v>4105001</v>
      </c>
      <c r="B896" t="s">
        <v>70</v>
      </c>
      <c r="C896" s="43">
        <v>10079</v>
      </c>
      <c r="D896" t="s">
        <v>2783</v>
      </c>
      <c r="E896" s="47" t="str">
        <f>+Cuenta_Clasificacion[[#This Row],[Código Cuenta Contable]]&amp;" - "&amp;Cuenta_Clasificacion[[#This Row],[Nombre de Cuenta Contable]]</f>
        <v>4105001 - Costos Generales de Obra</v>
      </c>
      <c r="F896" s="47" t="str">
        <f>+Cuenta_Clasificacion[[#This Row],[Codigo Concepto de imputación]]&amp;" - "&amp;Cuenta_Clasificacion[[#This Row],[Nombre Concepto de imputación]]</f>
        <v>10079 - Yeso y Cal</v>
      </c>
    </row>
    <row r="897" spans="1:6" x14ac:dyDescent="0.25">
      <c r="A897" s="43">
        <v>4105001</v>
      </c>
      <c r="B897" t="s">
        <v>70</v>
      </c>
      <c r="C897" s="43">
        <v>10080</v>
      </c>
      <c r="D897" t="s">
        <v>2699</v>
      </c>
      <c r="E897" s="47" t="str">
        <f>+Cuenta_Clasificacion[[#This Row],[Código Cuenta Contable]]&amp;" - "&amp;Cuenta_Clasificacion[[#This Row],[Nombre de Cuenta Contable]]</f>
        <v>4105001 - Costos Generales de Obra</v>
      </c>
      <c r="F897" s="47" t="str">
        <f>+Cuenta_Clasificacion[[#This Row],[Codigo Concepto de imputación]]&amp;" - "&amp;Cuenta_Clasificacion[[#This Row],[Nombre Concepto de imputación]]</f>
        <v>10080 - Ajuste de Precio</v>
      </c>
    </row>
    <row r="898" spans="1:6" x14ac:dyDescent="0.25">
      <c r="A898" s="43">
        <v>4105001</v>
      </c>
      <c r="B898" t="s">
        <v>70</v>
      </c>
      <c r="C898" s="43">
        <v>20001</v>
      </c>
      <c r="D898" t="s">
        <v>2785</v>
      </c>
      <c r="E898" s="47" t="str">
        <f>+Cuenta_Clasificacion[[#This Row],[Código Cuenta Contable]]&amp;" - "&amp;Cuenta_Clasificacion[[#This Row],[Nombre de Cuenta Contable]]</f>
        <v>4105001 - Costos Generales de Obra</v>
      </c>
      <c r="F898" s="47" t="str">
        <f>+Cuenta_Clasificacion[[#This Row],[Codigo Concepto de imputación]]&amp;" - "&amp;Cuenta_Clasificacion[[#This Row],[Nombre Concepto de imputación]]</f>
        <v>20001 - Sbctto Agua Potable Domic.</v>
      </c>
    </row>
    <row r="899" spans="1:6" x14ac:dyDescent="0.25">
      <c r="A899" s="43">
        <v>4105001</v>
      </c>
      <c r="B899" t="s">
        <v>70</v>
      </c>
      <c r="C899" s="43">
        <v>20003</v>
      </c>
      <c r="D899" t="s">
        <v>2787</v>
      </c>
      <c r="E899" s="47" t="str">
        <f>+Cuenta_Clasificacion[[#This Row],[Código Cuenta Contable]]&amp;" - "&amp;Cuenta_Clasificacion[[#This Row],[Nombre de Cuenta Contable]]</f>
        <v>4105001 - Costos Generales de Obra</v>
      </c>
      <c r="F899" s="47" t="str">
        <f>+Cuenta_Clasificacion[[#This Row],[Codigo Concepto de imputación]]&amp;" - "&amp;Cuenta_Clasificacion[[#This Row],[Nombre Concepto de imputación]]</f>
        <v>20003 - Sbctto Aire Acondicionado</v>
      </c>
    </row>
    <row r="900" spans="1:6" x14ac:dyDescent="0.25">
      <c r="A900" s="43">
        <v>4105001</v>
      </c>
      <c r="B900" t="s">
        <v>70</v>
      </c>
      <c r="C900" s="43">
        <v>20009</v>
      </c>
      <c r="D900" t="s">
        <v>2793</v>
      </c>
      <c r="E900" s="47" t="str">
        <f>+Cuenta_Clasificacion[[#This Row],[Código Cuenta Contable]]&amp;" - "&amp;Cuenta_Clasificacion[[#This Row],[Nombre de Cuenta Contable]]</f>
        <v>4105001 - Costos Generales de Obra</v>
      </c>
      <c r="F900" s="47" t="str">
        <f>+Cuenta_Clasificacion[[#This Row],[Codigo Concepto de imputación]]&amp;" - "&amp;Cuenta_Clasificacion[[#This Row],[Nombre Concepto de imputación]]</f>
        <v>20009 - Sbctto Aluminios</v>
      </c>
    </row>
    <row r="901" spans="1:6" x14ac:dyDescent="0.25">
      <c r="A901" s="43">
        <v>4105001</v>
      </c>
      <c r="B901" t="s">
        <v>70</v>
      </c>
      <c r="C901" s="43">
        <v>20015</v>
      </c>
      <c r="D901" t="s">
        <v>2799</v>
      </c>
      <c r="E901" s="47" t="str">
        <f>+Cuenta_Clasificacion[[#This Row],[Código Cuenta Contable]]&amp;" - "&amp;Cuenta_Clasificacion[[#This Row],[Nombre de Cuenta Contable]]</f>
        <v>4105001 - Costos Generales de Obra</v>
      </c>
      <c r="F901" s="47" t="str">
        <f>+Cuenta_Clasificacion[[#This Row],[Codigo Concepto de imputación]]&amp;" - "&amp;Cuenta_Clasificacion[[#This Row],[Nombre Concepto de imputación]]</f>
        <v>20015 - Sbctto Circuito Cerrado de TV</v>
      </c>
    </row>
    <row r="902" spans="1:6" x14ac:dyDescent="0.25">
      <c r="A902" s="43">
        <v>4105001</v>
      </c>
      <c r="B902" t="s">
        <v>70</v>
      </c>
      <c r="C902" s="43">
        <v>20016</v>
      </c>
      <c r="D902" t="s">
        <v>2800</v>
      </c>
      <c r="E902" s="47" t="str">
        <f>+Cuenta_Clasificacion[[#This Row],[Código Cuenta Contable]]&amp;" - "&amp;Cuenta_Clasificacion[[#This Row],[Nombre de Cuenta Contable]]</f>
        <v>4105001 - Costos Generales de Obra</v>
      </c>
      <c r="F902" s="47" t="str">
        <f>+Cuenta_Clasificacion[[#This Row],[Codigo Concepto de imputación]]&amp;" - "&amp;Cuenta_Clasificacion[[#This Row],[Nombre Concepto de imputación]]</f>
        <v>20016 - Sbctto Control Centralizado</v>
      </c>
    </row>
    <row r="903" spans="1:6" x14ac:dyDescent="0.25">
      <c r="A903" s="43">
        <v>4105001</v>
      </c>
      <c r="B903" t="s">
        <v>70</v>
      </c>
      <c r="C903" s="43">
        <v>20019</v>
      </c>
      <c r="D903" t="s">
        <v>2803</v>
      </c>
      <c r="E903" s="47" t="str">
        <f>+Cuenta_Clasificacion[[#This Row],[Código Cuenta Contable]]&amp;" - "&amp;Cuenta_Clasificacion[[#This Row],[Nombre de Cuenta Contable]]</f>
        <v>4105001 - Costos Generales de Obra</v>
      </c>
      <c r="F903" s="47" t="str">
        <f>+Cuenta_Clasificacion[[#This Row],[Codigo Concepto de imputación]]&amp;" - "&amp;Cuenta_Clasificacion[[#This Row],[Nombre Concepto de imputación]]</f>
        <v>20019 - Sbctto Demolición</v>
      </c>
    </row>
    <row r="904" spans="1:6" x14ac:dyDescent="0.25">
      <c r="A904" s="43">
        <v>4105001</v>
      </c>
      <c r="B904" t="s">
        <v>70</v>
      </c>
      <c r="C904" s="43">
        <v>20022</v>
      </c>
      <c r="D904" t="s">
        <v>2806</v>
      </c>
      <c r="E904" s="47" t="str">
        <f>+Cuenta_Clasificacion[[#This Row],[Código Cuenta Contable]]&amp;" - "&amp;Cuenta_Clasificacion[[#This Row],[Nombre de Cuenta Contable]]</f>
        <v>4105001 - Costos Generales de Obra</v>
      </c>
      <c r="F904" s="47" t="str">
        <f>+Cuenta_Clasificacion[[#This Row],[Codigo Concepto de imputación]]&amp;" - "&amp;Cuenta_Clasificacion[[#This Row],[Nombre Concepto de imputación]]</f>
        <v>20022 - Sbctto Elect. Domiciliario</v>
      </c>
    </row>
    <row r="905" spans="1:6" x14ac:dyDescent="0.25">
      <c r="A905" s="43">
        <v>4105001</v>
      </c>
      <c r="B905" t="s">
        <v>70</v>
      </c>
      <c r="C905" s="43">
        <v>20027</v>
      </c>
      <c r="D905" t="s">
        <v>2811</v>
      </c>
      <c r="E905" s="47" t="str">
        <f>+Cuenta_Clasificacion[[#This Row],[Código Cuenta Contable]]&amp;" - "&amp;Cuenta_Clasificacion[[#This Row],[Nombre de Cuenta Contable]]</f>
        <v>4105001 - Costos Generales de Obra</v>
      </c>
      <c r="F905" s="47" t="str">
        <f>+Cuenta_Clasificacion[[#This Row],[Codigo Concepto de imputación]]&amp;" - "&amp;Cuenta_Clasificacion[[#This Row],[Nombre Concepto de imputación]]</f>
        <v>20027 - Sbctto Estructuras Metálicas</v>
      </c>
    </row>
    <row r="906" spans="1:6" x14ac:dyDescent="0.25">
      <c r="A906" s="43">
        <v>4105001</v>
      </c>
      <c r="B906" t="s">
        <v>70</v>
      </c>
      <c r="C906" s="43">
        <v>20028</v>
      </c>
      <c r="D906" t="s">
        <v>2812</v>
      </c>
      <c r="E906" s="47" t="str">
        <f>+Cuenta_Clasificacion[[#This Row],[Código Cuenta Contable]]&amp;" - "&amp;Cuenta_Clasificacion[[#This Row],[Nombre de Cuenta Contable]]</f>
        <v>4105001 - Costos Generales de Obra</v>
      </c>
      <c r="F906" s="47" t="str">
        <f>+Cuenta_Clasificacion[[#This Row],[Codigo Concepto de imputación]]&amp;" - "&amp;Cuenta_Clasificacion[[#This Row],[Nombre Concepto de imputación]]</f>
        <v>20028 - Sbctto Estuco</v>
      </c>
    </row>
    <row r="907" spans="1:6" x14ac:dyDescent="0.25">
      <c r="A907" s="43">
        <v>4105001</v>
      </c>
      <c r="B907" t="s">
        <v>70</v>
      </c>
      <c r="C907" s="43">
        <v>20031</v>
      </c>
      <c r="D907" t="s">
        <v>2815</v>
      </c>
      <c r="E907" s="47" t="str">
        <f>+Cuenta_Clasificacion[[#This Row],[Código Cuenta Contable]]&amp;" - "&amp;Cuenta_Clasificacion[[#This Row],[Nombre de Cuenta Contable]]</f>
        <v>4105001 - Costos Generales de Obra</v>
      </c>
      <c r="F907" s="47" t="str">
        <f>+Cuenta_Clasificacion[[#This Row],[Codigo Concepto de imputación]]&amp;" - "&amp;Cuenta_Clasificacion[[#This Row],[Nombre Concepto de imputación]]</f>
        <v>20031 - Sbctto Gas</v>
      </c>
    </row>
    <row r="908" spans="1:6" x14ac:dyDescent="0.25">
      <c r="A908" s="43">
        <v>4105001</v>
      </c>
      <c r="B908" t="s">
        <v>70</v>
      </c>
      <c r="C908" s="43">
        <v>20041</v>
      </c>
      <c r="D908" t="s">
        <v>2825</v>
      </c>
      <c r="E908" s="47" t="str">
        <f>+Cuenta_Clasificacion[[#This Row],[Código Cuenta Contable]]&amp;" - "&amp;Cuenta_Clasificacion[[#This Row],[Nombre de Cuenta Contable]]</f>
        <v>4105001 - Costos Generales de Obra</v>
      </c>
      <c r="F908" s="47" t="str">
        <f>+Cuenta_Clasificacion[[#This Row],[Codigo Concepto de imputación]]&amp;" - "&amp;Cuenta_Clasificacion[[#This Row],[Nombre Concepto de imputación]]</f>
        <v>20041 - Sbctto Jardines</v>
      </c>
    </row>
    <row r="909" spans="1:6" x14ac:dyDescent="0.25">
      <c r="A909" s="43">
        <v>4105001</v>
      </c>
      <c r="B909" t="s">
        <v>70</v>
      </c>
      <c r="C909" s="43">
        <v>20043</v>
      </c>
      <c r="D909" t="s">
        <v>2827</v>
      </c>
      <c r="E909" s="47" t="str">
        <f>+Cuenta_Clasificacion[[#This Row],[Código Cuenta Contable]]&amp;" - "&amp;Cuenta_Clasificacion[[#This Row],[Nombre de Cuenta Contable]]</f>
        <v>4105001 - Costos Generales de Obra</v>
      </c>
      <c r="F909" s="47" t="str">
        <f>+Cuenta_Clasificacion[[#This Row],[Codigo Concepto de imputación]]&amp;" - "&amp;Cuenta_Clasificacion[[#This Row],[Nombre Concepto de imputación]]</f>
        <v>20043 - Sbctto Lab. de Hormigones</v>
      </c>
    </row>
    <row r="910" spans="1:6" x14ac:dyDescent="0.25">
      <c r="A910" s="43">
        <v>4105001</v>
      </c>
      <c r="B910" t="s">
        <v>70</v>
      </c>
      <c r="C910" s="43">
        <v>20046</v>
      </c>
      <c r="D910" t="s">
        <v>2830</v>
      </c>
      <c r="E910" s="47" t="str">
        <f>+Cuenta_Clasificacion[[#This Row],[Código Cuenta Contable]]&amp;" - "&amp;Cuenta_Clasificacion[[#This Row],[Nombre de Cuenta Contable]]</f>
        <v>4105001 - Costos Generales de Obra</v>
      </c>
      <c r="F910" s="47" t="str">
        <f>+Cuenta_Clasificacion[[#This Row],[Codigo Concepto de imputación]]&amp;" - "&amp;Cuenta_Clasificacion[[#This Row],[Nombre Concepto de imputación]]</f>
        <v>20046 - Sbctto Montaje de Equipos</v>
      </c>
    </row>
    <row r="911" spans="1:6" x14ac:dyDescent="0.25">
      <c r="A911" s="43">
        <v>4105001</v>
      </c>
      <c r="B911" t="s">
        <v>70</v>
      </c>
      <c r="C911" s="43">
        <v>20051</v>
      </c>
      <c r="D911" t="s">
        <v>2835</v>
      </c>
      <c r="E911" s="47" t="str">
        <f>+Cuenta_Clasificacion[[#This Row],[Código Cuenta Contable]]&amp;" - "&amp;Cuenta_Clasificacion[[#This Row],[Nombre de Cuenta Contable]]</f>
        <v>4105001 - Costos Generales de Obra</v>
      </c>
      <c r="F911" s="47" t="str">
        <f>+Cuenta_Clasificacion[[#This Row],[Codigo Concepto de imputación]]&amp;" - "&amp;Cuenta_Clasificacion[[#This Row],[Nombre Concepto de imputación]]</f>
        <v>20051 - Sbctto Otros Ensayos</v>
      </c>
    </row>
    <row r="912" spans="1:6" x14ac:dyDescent="0.25">
      <c r="A912" s="43">
        <v>4105001</v>
      </c>
      <c r="B912" t="s">
        <v>70</v>
      </c>
      <c r="C912" s="43">
        <v>20056</v>
      </c>
      <c r="D912" t="s">
        <v>2840</v>
      </c>
      <c r="E912" s="47" t="str">
        <f>+Cuenta_Clasificacion[[#This Row],[Código Cuenta Contable]]&amp;" - "&amp;Cuenta_Clasificacion[[#This Row],[Nombre de Cuenta Contable]]</f>
        <v>4105001 - Costos Generales de Obra</v>
      </c>
      <c r="F912" s="47" t="str">
        <f>+Cuenta_Clasificacion[[#This Row],[Codigo Concepto de imputación]]&amp;" - "&amp;Cuenta_Clasificacion[[#This Row],[Nombre Concepto de imputación]]</f>
        <v>20056 - Sbctto Perforación de Hormigón</v>
      </c>
    </row>
    <row r="913" spans="1:6" x14ac:dyDescent="0.25">
      <c r="A913" s="43">
        <v>4105001</v>
      </c>
      <c r="B913" t="s">
        <v>70</v>
      </c>
      <c r="C913" s="43">
        <v>20057</v>
      </c>
      <c r="D913" t="s">
        <v>2841</v>
      </c>
      <c r="E913" s="47" t="str">
        <f>+Cuenta_Clasificacion[[#This Row],[Código Cuenta Contable]]&amp;" - "&amp;Cuenta_Clasificacion[[#This Row],[Nombre de Cuenta Contable]]</f>
        <v>4105001 - Costos Generales de Obra</v>
      </c>
      <c r="F913" s="47" t="str">
        <f>+Cuenta_Clasificacion[[#This Row],[Codigo Concepto de imputación]]&amp;" - "&amp;Cuenta_Clasificacion[[#This Row],[Nombre Concepto de imputación]]</f>
        <v>20057 - Sbctto Pilas</v>
      </c>
    </row>
    <row r="914" spans="1:6" x14ac:dyDescent="0.25">
      <c r="A914" s="43">
        <v>4105001</v>
      </c>
      <c r="B914" t="s">
        <v>70</v>
      </c>
      <c r="C914" s="43">
        <v>20067</v>
      </c>
      <c r="D914" t="s">
        <v>2851</v>
      </c>
      <c r="E914" s="47" t="str">
        <f>+Cuenta_Clasificacion[[#This Row],[Código Cuenta Contable]]&amp;" - "&amp;Cuenta_Clasificacion[[#This Row],[Nombre de Cuenta Contable]]</f>
        <v>4105001 - Costos Generales de Obra</v>
      </c>
      <c r="F914" s="47" t="str">
        <f>+Cuenta_Clasificacion[[#This Row],[Codigo Concepto de imputación]]&amp;" - "&amp;Cuenta_Clasificacion[[#This Row],[Nombre Concepto de imputación]]</f>
        <v>20067 - Sbctto Retiro Escombros</v>
      </c>
    </row>
    <row r="915" spans="1:6" x14ac:dyDescent="0.25">
      <c r="A915" s="43">
        <v>4105001</v>
      </c>
      <c r="B915" t="s">
        <v>70</v>
      </c>
      <c r="C915" s="43">
        <v>20069</v>
      </c>
      <c r="D915" t="s">
        <v>2853</v>
      </c>
      <c r="E915" s="47" t="str">
        <f>+Cuenta_Clasificacion[[#This Row],[Código Cuenta Contable]]&amp;" - "&amp;Cuenta_Clasificacion[[#This Row],[Nombre de Cuenta Contable]]</f>
        <v>4105001 - Costos Generales de Obra</v>
      </c>
      <c r="F915" s="47" t="str">
        <f>+Cuenta_Clasificacion[[#This Row],[Codigo Concepto de imputación]]&amp;" - "&amp;Cuenta_Clasificacion[[#This Row],[Nombre Concepto de imputación]]</f>
        <v>20069 - Sbctto Servicio de Aseo</v>
      </c>
    </row>
    <row r="916" spans="1:6" x14ac:dyDescent="0.25">
      <c r="A916" s="43">
        <v>4105001</v>
      </c>
      <c r="B916" t="s">
        <v>70</v>
      </c>
      <c r="C916" s="43">
        <v>20070</v>
      </c>
      <c r="D916" t="s">
        <v>2854</v>
      </c>
      <c r="E916" s="47" t="str">
        <f>+Cuenta_Clasificacion[[#This Row],[Código Cuenta Contable]]&amp;" - "&amp;Cuenta_Clasificacion[[#This Row],[Nombre de Cuenta Contable]]</f>
        <v>4105001 - Costos Generales de Obra</v>
      </c>
      <c r="F916" s="47" t="str">
        <f>+Cuenta_Clasificacion[[#This Row],[Codigo Concepto de imputación]]&amp;" - "&amp;Cuenta_Clasificacion[[#This Row],[Nombre Concepto de imputación]]</f>
        <v>20070 - Sbctto Suelos</v>
      </c>
    </row>
    <row r="917" spans="1:6" x14ac:dyDescent="0.25">
      <c r="A917" s="43">
        <v>4105001</v>
      </c>
      <c r="B917" t="s">
        <v>70</v>
      </c>
      <c r="C917" s="43">
        <v>20074</v>
      </c>
      <c r="D917" t="s">
        <v>2858</v>
      </c>
      <c r="E917" s="47" t="str">
        <f>+Cuenta_Clasificacion[[#This Row],[Código Cuenta Contable]]&amp;" - "&amp;Cuenta_Clasificacion[[#This Row],[Nombre de Cuenta Contable]]</f>
        <v>4105001 - Costos Generales de Obra</v>
      </c>
      <c r="F917" s="47" t="str">
        <f>+Cuenta_Clasificacion[[#This Row],[Codigo Concepto de imputación]]&amp;" - "&amp;Cuenta_Clasificacion[[#This Row],[Nombre Concepto de imputación]]</f>
        <v>20074 - Sbctto Trámites</v>
      </c>
    </row>
    <row r="918" spans="1:6" x14ac:dyDescent="0.25">
      <c r="A918" s="43">
        <v>4105001</v>
      </c>
      <c r="B918" t="s">
        <v>70</v>
      </c>
      <c r="C918" s="43">
        <v>20075</v>
      </c>
      <c r="D918" t="s">
        <v>2859</v>
      </c>
      <c r="E918" s="47" t="str">
        <f>+Cuenta_Clasificacion[[#This Row],[Código Cuenta Contable]]&amp;" - "&amp;Cuenta_Clasificacion[[#This Row],[Nombre de Cuenta Contable]]</f>
        <v>4105001 - Costos Generales de Obra</v>
      </c>
      <c r="F918" s="47" t="str">
        <f>+Cuenta_Clasificacion[[#This Row],[Codigo Concepto de imputación]]&amp;" - "&amp;Cuenta_Clasificacion[[#This Row],[Nombre Concepto de imputación]]</f>
        <v>20075 - Sbctto Transporte</v>
      </c>
    </row>
    <row r="919" spans="1:6" x14ac:dyDescent="0.25">
      <c r="A919" s="43">
        <v>4105001</v>
      </c>
      <c r="B919" t="s">
        <v>70</v>
      </c>
      <c r="C919" s="43">
        <v>20078</v>
      </c>
      <c r="D919" t="s">
        <v>2862</v>
      </c>
      <c r="E919" s="47" t="str">
        <f>+Cuenta_Clasificacion[[#This Row],[Código Cuenta Contable]]&amp;" - "&amp;Cuenta_Clasificacion[[#This Row],[Nombre de Cuenta Contable]]</f>
        <v>4105001 - Costos Generales de Obra</v>
      </c>
      <c r="F919" s="47" t="str">
        <f>+Cuenta_Clasificacion[[#This Row],[Codigo Concepto de imputación]]&amp;" - "&amp;Cuenta_Clasificacion[[#This Row],[Nombre Concepto de imputación]]</f>
        <v>20078 - Sbctto Zincado, Galvanizado</v>
      </c>
    </row>
    <row r="920" spans="1:6" x14ac:dyDescent="0.25">
      <c r="A920" s="43">
        <v>4105001</v>
      </c>
      <c r="B920" t="s">
        <v>70</v>
      </c>
      <c r="C920" s="43">
        <v>20079</v>
      </c>
      <c r="D920" t="s">
        <v>2863</v>
      </c>
      <c r="E920" s="47" t="str">
        <f>+Cuenta_Clasificacion[[#This Row],[Código Cuenta Contable]]&amp;" - "&amp;Cuenta_Clasificacion[[#This Row],[Nombre de Cuenta Contable]]</f>
        <v>4105001 - Costos Generales de Obra</v>
      </c>
      <c r="F920" s="47" t="str">
        <f>+Cuenta_Clasificacion[[#This Row],[Codigo Concepto de imputación]]&amp;" - "&amp;Cuenta_Clasificacion[[#This Row],[Nombre Concepto de imputación]]</f>
        <v>20079 - Servicio Vigilancia</v>
      </c>
    </row>
    <row r="921" spans="1:6" x14ac:dyDescent="0.25">
      <c r="A921" s="43">
        <v>4105001</v>
      </c>
      <c r="B921" t="s">
        <v>70</v>
      </c>
      <c r="C921" s="43">
        <v>20081</v>
      </c>
      <c r="D921" t="s">
        <v>2865</v>
      </c>
      <c r="E921" s="47" t="str">
        <f>+Cuenta_Clasificacion[[#This Row],[Código Cuenta Contable]]&amp;" - "&amp;Cuenta_Clasificacion[[#This Row],[Nombre de Cuenta Contable]]</f>
        <v>4105001 - Costos Generales de Obra</v>
      </c>
      <c r="F921" s="47" t="str">
        <f>+Cuenta_Clasificacion[[#This Row],[Codigo Concepto de imputación]]&amp;" - "&amp;Cuenta_Clasificacion[[#This Row],[Nombre Concepto de imputación]]</f>
        <v>20081 - Instalación Sist Computacional</v>
      </c>
    </row>
    <row r="922" spans="1:6" x14ac:dyDescent="0.25">
      <c r="A922" s="43">
        <v>4105001</v>
      </c>
      <c r="B922" t="s">
        <v>70</v>
      </c>
      <c r="C922" s="43">
        <v>20082</v>
      </c>
      <c r="D922" t="s">
        <v>2866</v>
      </c>
      <c r="E922" s="47" t="str">
        <f>+Cuenta_Clasificacion[[#This Row],[Código Cuenta Contable]]&amp;" - "&amp;Cuenta_Clasificacion[[#This Row],[Nombre de Cuenta Contable]]</f>
        <v>4105001 - Costos Generales de Obra</v>
      </c>
      <c r="F922" s="47" t="str">
        <f>+Cuenta_Clasificacion[[#This Row],[Codigo Concepto de imputación]]&amp;" - "&amp;Cuenta_Clasificacion[[#This Row],[Nombre Concepto de imputación]]</f>
        <v>20082 - Operador Sbctto Arriendo</v>
      </c>
    </row>
    <row r="923" spans="1:6" x14ac:dyDescent="0.25">
      <c r="A923" s="43">
        <v>4105001</v>
      </c>
      <c r="B923" t="s">
        <v>70</v>
      </c>
      <c r="C923" s="43">
        <v>20083</v>
      </c>
      <c r="D923" t="s">
        <v>2867</v>
      </c>
      <c r="E923" s="47" t="str">
        <f>+Cuenta_Clasificacion[[#This Row],[Código Cuenta Contable]]&amp;" - "&amp;Cuenta_Clasificacion[[#This Row],[Nombre de Cuenta Contable]]</f>
        <v>4105001 - Costos Generales de Obra</v>
      </c>
      <c r="F923" s="47" t="str">
        <f>+Cuenta_Clasificacion[[#This Row],[Codigo Concepto de imputación]]&amp;" - "&amp;Cuenta_Clasificacion[[#This Row],[Nombre Concepto de imputación]]</f>
        <v>20083 - Descuento Subcontrato</v>
      </c>
    </row>
    <row r="924" spans="1:6" x14ac:dyDescent="0.25">
      <c r="A924" s="43">
        <v>4105001</v>
      </c>
      <c r="B924" t="s">
        <v>70</v>
      </c>
      <c r="C924" s="43">
        <v>20086</v>
      </c>
      <c r="D924" t="s">
        <v>2868</v>
      </c>
      <c r="E924" s="47" t="str">
        <f>+Cuenta_Clasificacion[[#This Row],[Código Cuenta Contable]]&amp;" - "&amp;Cuenta_Clasificacion[[#This Row],[Nombre de Cuenta Contable]]</f>
        <v>4105001 - Costos Generales de Obra</v>
      </c>
      <c r="F924" s="47" t="str">
        <f>+Cuenta_Clasificacion[[#This Row],[Codigo Concepto de imputación]]&amp;" - "&amp;Cuenta_Clasificacion[[#This Row],[Nombre Concepto de imputación]]</f>
        <v>20086 - Sbctto Otros Subcttos</v>
      </c>
    </row>
    <row r="925" spans="1:6" x14ac:dyDescent="0.25">
      <c r="A925" s="43">
        <v>4105001</v>
      </c>
      <c r="B925" t="s">
        <v>70</v>
      </c>
      <c r="C925" s="43">
        <v>30001</v>
      </c>
      <c r="D925" t="s">
        <v>2869</v>
      </c>
      <c r="E925" s="47" t="str">
        <f>+Cuenta_Clasificacion[[#This Row],[Código Cuenta Contable]]&amp;" - "&amp;Cuenta_Clasificacion[[#This Row],[Nombre de Cuenta Contable]]</f>
        <v>4105001 - Costos Generales de Obra</v>
      </c>
      <c r="F925" s="47" t="str">
        <f>+Cuenta_Clasificacion[[#This Row],[Codigo Concepto de imputación]]&amp;" - "&amp;Cuenta_Clasificacion[[#This Row],[Nombre Concepto de imputación]]</f>
        <v>30001 - Andamios</v>
      </c>
    </row>
    <row r="926" spans="1:6" x14ac:dyDescent="0.25">
      <c r="A926" s="43">
        <v>4105001</v>
      </c>
      <c r="B926" t="s">
        <v>70</v>
      </c>
      <c r="C926" s="43">
        <v>30002</v>
      </c>
      <c r="D926" t="s">
        <v>2870</v>
      </c>
      <c r="E926" s="47" t="str">
        <f>+Cuenta_Clasificacion[[#This Row],[Código Cuenta Contable]]&amp;" - "&amp;Cuenta_Clasificacion[[#This Row],[Nombre de Cuenta Contable]]</f>
        <v>4105001 - Costos Generales de Obra</v>
      </c>
      <c r="F926" s="47" t="str">
        <f>+Cuenta_Clasificacion[[#This Row],[Codigo Concepto de imputación]]&amp;" - "&amp;Cuenta_Clasificacion[[#This Row],[Nombre Concepto de imputación]]</f>
        <v>30002 - Camioneta</v>
      </c>
    </row>
    <row r="927" spans="1:6" x14ac:dyDescent="0.25">
      <c r="A927" s="43">
        <v>4105001</v>
      </c>
      <c r="B927" t="s">
        <v>70</v>
      </c>
      <c r="C927" s="43">
        <v>30004</v>
      </c>
      <c r="D927" t="s">
        <v>2872</v>
      </c>
      <c r="E927" s="47" t="str">
        <f>+Cuenta_Clasificacion[[#This Row],[Código Cuenta Contable]]&amp;" - "&amp;Cuenta_Clasificacion[[#This Row],[Nombre de Cuenta Contable]]</f>
        <v>4105001 - Costos Generales de Obra</v>
      </c>
      <c r="F927" s="47" t="str">
        <f>+Cuenta_Clasificacion[[#This Row],[Codigo Concepto de imputación]]&amp;" - "&amp;Cuenta_Clasificacion[[#This Row],[Nombre Concepto de imputación]]</f>
        <v>30004 - Compresores</v>
      </c>
    </row>
    <row r="928" spans="1:6" x14ac:dyDescent="0.25">
      <c r="A928" s="43">
        <v>4105001</v>
      </c>
      <c r="B928" t="s">
        <v>70</v>
      </c>
      <c r="C928" s="43">
        <v>30005</v>
      </c>
      <c r="D928" t="s">
        <v>2700</v>
      </c>
      <c r="E928" s="47" t="str">
        <f>+Cuenta_Clasificacion[[#This Row],[Código Cuenta Contable]]&amp;" - "&amp;Cuenta_Clasificacion[[#This Row],[Nombre de Cuenta Contable]]</f>
        <v>4105001 - Costos Generales de Obra</v>
      </c>
      <c r="F928" s="47" t="str">
        <f>+Cuenta_Clasificacion[[#This Row],[Codigo Concepto de imputación]]&amp;" - "&amp;Cuenta_Clasificacion[[#This Row],[Nombre Concepto de imputación]]</f>
        <v>30005 - Elevadores y Grúas</v>
      </c>
    </row>
    <row r="929" spans="1:6" x14ac:dyDescent="0.25">
      <c r="A929" s="43">
        <v>4105001</v>
      </c>
      <c r="B929" t="s">
        <v>70</v>
      </c>
      <c r="C929" s="43">
        <v>30006</v>
      </c>
      <c r="D929" t="s">
        <v>2873</v>
      </c>
      <c r="E929" s="47" t="str">
        <f>+Cuenta_Clasificacion[[#This Row],[Código Cuenta Contable]]&amp;" - "&amp;Cuenta_Clasificacion[[#This Row],[Nombre de Cuenta Contable]]</f>
        <v>4105001 - Costos Generales de Obra</v>
      </c>
      <c r="F929" s="47" t="str">
        <f>+Cuenta_Clasificacion[[#This Row],[Codigo Concepto de imputación]]&amp;" - "&amp;Cuenta_Clasificacion[[#This Row],[Nombre Concepto de imputación]]</f>
        <v>30006 - Eq Topográfico</v>
      </c>
    </row>
    <row r="930" spans="1:6" x14ac:dyDescent="0.25">
      <c r="A930" s="43">
        <v>4105001</v>
      </c>
      <c r="B930" t="s">
        <v>70</v>
      </c>
      <c r="C930" s="43">
        <v>30007</v>
      </c>
      <c r="D930" t="s">
        <v>2704</v>
      </c>
      <c r="E930" s="47" t="str">
        <f>+Cuenta_Clasificacion[[#This Row],[Código Cuenta Contable]]&amp;" - "&amp;Cuenta_Clasificacion[[#This Row],[Nombre de Cuenta Contable]]</f>
        <v>4105001 - Costos Generales de Obra</v>
      </c>
      <c r="F930" s="47" t="str">
        <f>+Cuenta_Clasificacion[[#This Row],[Codigo Concepto de imputación]]&amp;" - "&amp;Cuenta_Clasificacion[[#This Row],[Nombre Concepto de imputación]]</f>
        <v>30007 - Eq Varios</v>
      </c>
    </row>
    <row r="931" spans="1:6" x14ac:dyDescent="0.25">
      <c r="A931" s="43">
        <v>4105001</v>
      </c>
      <c r="B931" t="s">
        <v>70</v>
      </c>
      <c r="C931" s="43">
        <v>30008</v>
      </c>
      <c r="D931" t="s">
        <v>2874</v>
      </c>
      <c r="E931" s="47" t="str">
        <f>+Cuenta_Clasificacion[[#This Row],[Código Cuenta Contable]]&amp;" - "&amp;Cuenta_Clasificacion[[#This Row],[Nombre de Cuenta Contable]]</f>
        <v>4105001 - Costos Generales de Obra</v>
      </c>
      <c r="F931" s="47" t="str">
        <f>+Cuenta_Clasificacion[[#This Row],[Codigo Concepto de imputación]]&amp;" - "&amp;Cuenta_Clasificacion[[#This Row],[Nombre Concepto de imputación]]</f>
        <v>30008 - Grupo Electrógeno</v>
      </c>
    </row>
    <row r="932" spans="1:6" x14ac:dyDescent="0.25">
      <c r="A932" s="43">
        <v>4105001</v>
      </c>
      <c r="B932" t="s">
        <v>70</v>
      </c>
      <c r="C932" s="43">
        <v>30009</v>
      </c>
      <c r="D932" t="s">
        <v>2875</v>
      </c>
      <c r="E932" s="47" t="str">
        <f>+Cuenta_Clasificacion[[#This Row],[Código Cuenta Contable]]&amp;" - "&amp;Cuenta_Clasificacion[[#This Row],[Nombre de Cuenta Contable]]</f>
        <v>4105001 - Costos Generales de Obra</v>
      </c>
      <c r="F932" s="47" t="str">
        <f>+Cuenta_Clasificacion[[#This Row],[Codigo Concepto de imputación]]&amp;" - "&amp;Cuenta_Clasificacion[[#This Row],[Nombre Concepto de imputación]]</f>
        <v>30009 - Moldajes</v>
      </c>
    </row>
    <row r="933" spans="1:6" x14ac:dyDescent="0.25">
      <c r="A933" s="43">
        <v>4105001</v>
      </c>
      <c r="B933" t="s">
        <v>70</v>
      </c>
      <c r="C933" s="43">
        <v>30011</v>
      </c>
      <c r="D933" t="s">
        <v>2702</v>
      </c>
      <c r="E933" s="47" t="str">
        <f>+Cuenta_Clasificacion[[#This Row],[Código Cuenta Contable]]&amp;" - "&amp;Cuenta_Clasificacion[[#This Row],[Nombre de Cuenta Contable]]</f>
        <v>4105001 - Costos Generales de Obra</v>
      </c>
      <c r="F933" s="47" t="str">
        <f>+Cuenta_Clasificacion[[#This Row],[Codigo Concepto de imputación]]&amp;" - "&amp;Cuenta_Clasificacion[[#This Row],[Nombre Concepto de imputación]]</f>
        <v>30011 - Reparac/Mant Eq</v>
      </c>
    </row>
    <row r="934" spans="1:6" x14ac:dyDescent="0.25">
      <c r="A934" s="43">
        <v>4105001</v>
      </c>
      <c r="B934" t="s">
        <v>70</v>
      </c>
      <c r="C934" s="43">
        <v>30013</v>
      </c>
      <c r="D934" t="s">
        <v>2877</v>
      </c>
      <c r="E934" s="47" t="str">
        <f>+Cuenta_Clasificacion[[#This Row],[Código Cuenta Contable]]&amp;" - "&amp;Cuenta_Clasificacion[[#This Row],[Nombre de Cuenta Contable]]</f>
        <v>4105001 - Costos Generales de Obra</v>
      </c>
      <c r="F934" s="47" t="str">
        <f>+Cuenta_Clasificacion[[#This Row],[Codigo Concepto de imputación]]&amp;" - "&amp;Cuenta_Clasificacion[[#This Row],[Nombre Concepto de imputación]]</f>
        <v>30013 - Rotomartillos</v>
      </c>
    </row>
    <row r="935" spans="1:6" x14ac:dyDescent="0.25">
      <c r="A935" s="43">
        <v>4105001</v>
      </c>
      <c r="B935" t="s">
        <v>70</v>
      </c>
      <c r="C935" s="43">
        <v>30015</v>
      </c>
      <c r="D935" t="s">
        <v>2879</v>
      </c>
      <c r="E935" s="47" t="str">
        <f>+Cuenta_Clasificacion[[#This Row],[Código Cuenta Contable]]&amp;" - "&amp;Cuenta_Clasificacion[[#This Row],[Nombre de Cuenta Contable]]</f>
        <v>4105001 - Costos Generales de Obra</v>
      </c>
      <c r="F935" s="47" t="str">
        <f>+Cuenta_Clasificacion[[#This Row],[Codigo Concepto de imputación]]&amp;" - "&amp;Cuenta_Clasificacion[[#This Row],[Nombre Concepto de imputación]]</f>
        <v>30015 - Vibradores</v>
      </c>
    </row>
    <row r="936" spans="1:6" x14ac:dyDescent="0.25">
      <c r="A936" s="43">
        <v>4105001</v>
      </c>
      <c r="B936" t="s">
        <v>70</v>
      </c>
      <c r="C936" s="43">
        <v>30016</v>
      </c>
      <c r="D936" t="s">
        <v>2880</v>
      </c>
      <c r="E936" s="47" t="str">
        <f>+Cuenta_Clasificacion[[#This Row],[Código Cuenta Contable]]&amp;" - "&amp;Cuenta_Clasificacion[[#This Row],[Nombre de Cuenta Contable]]</f>
        <v>4105001 - Costos Generales de Obra</v>
      </c>
      <c r="F936" s="47" t="str">
        <f>+Cuenta_Clasificacion[[#This Row],[Codigo Concepto de imputación]]&amp;" - "&amp;Cuenta_Clasificacion[[#This Row],[Nombre Concepto de imputación]]</f>
        <v>30016 - Sbctto Arr Andamios</v>
      </c>
    </row>
    <row r="937" spans="1:6" x14ac:dyDescent="0.25">
      <c r="A937" s="43">
        <v>4105001</v>
      </c>
      <c r="B937" t="s">
        <v>70</v>
      </c>
      <c r="C937" s="43">
        <v>30017</v>
      </c>
      <c r="D937" t="s">
        <v>2881</v>
      </c>
      <c r="E937" s="47" t="str">
        <f>+Cuenta_Clasificacion[[#This Row],[Código Cuenta Contable]]&amp;" - "&amp;Cuenta_Clasificacion[[#This Row],[Nombre de Cuenta Contable]]</f>
        <v>4105001 - Costos Generales de Obra</v>
      </c>
      <c r="F937" s="47" t="str">
        <f>+Cuenta_Clasificacion[[#This Row],[Codigo Concepto de imputación]]&amp;" - "&amp;Cuenta_Clasificacion[[#This Row],[Nombre Concepto de imputación]]</f>
        <v>30017 - Sbctto Arr Baños y Duchas</v>
      </c>
    </row>
    <row r="938" spans="1:6" x14ac:dyDescent="0.25">
      <c r="A938" s="43">
        <v>4105001</v>
      </c>
      <c r="B938" t="s">
        <v>70</v>
      </c>
      <c r="C938" s="43">
        <v>30018</v>
      </c>
      <c r="D938" t="s">
        <v>2882</v>
      </c>
      <c r="E938" s="47" t="str">
        <f>+Cuenta_Clasificacion[[#This Row],[Código Cuenta Contable]]&amp;" - "&amp;Cuenta_Clasificacion[[#This Row],[Nombre de Cuenta Contable]]</f>
        <v>4105001 - Costos Generales de Obra</v>
      </c>
      <c r="F938" s="47" t="str">
        <f>+Cuenta_Clasificacion[[#This Row],[Codigo Concepto de imputación]]&amp;" - "&amp;Cuenta_Clasificacion[[#This Row],[Nombre Concepto de imputación]]</f>
        <v>30018 - Sbctto Arr Camiones</v>
      </c>
    </row>
    <row r="939" spans="1:6" x14ac:dyDescent="0.25">
      <c r="A939" s="43">
        <v>4105001</v>
      </c>
      <c r="B939" t="s">
        <v>70</v>
      </c>
      <c r="C939" s="43">
        <v>30019</v>
      </c>
      <c r="D939" t="s">
        <v>2883</v>
      </c>
      <c r="E939" s="47" t="str">
        <f>+Cuenta_Clasificacion[[#This Row],[Código Cuenta Contable]]&amp;" - "&amp;Cuenta_Clasificacion[[#This Row],[Nombre de Cuenta Contable]]</f>
        <v>4105001 - Costos Generales de Obra</v>
      </c>
      <c r="F939" s="47" t="str">
        <f>+Cuenta_Clasificacion[[#This Row],[Codigo Concepto de imputación]]&amp;" - "&amp;Cuenta_Clasificacion[[#This Row],[Nombre Concepto de imputación]]</f>
        <v>30019 - Sbctto Arr Compactadores</v>
      </c>
    </row>
    <row r="940" spans="1:6" x14ac:dyDescent="0.25">
      <c r="A940" s="43">
        <v>4105001</v>
      </c>
      <c r="B940" t="s">
        <v>70</v>
      </c>
      <c r="C940" s="43">
        <v>30020</v>
      </c>
      <c r="D940" t="s">
        <v>2884</v>
      </c>
      <c r="E940" s="47" t="str">
        <f>+Cuenta_Clasificacion[[#This Row],[Código Cuenta Contable]]&amp;" - "&amp;Cuenta_Clasificacion[[#This Row],[Nombre de Cuenta Contable]]</f>
        <v>4105001 - Costos Generales de Obra</v>
      </c>
      <c r="F940" s="47" t="str">
        <f>+Cuenta_Clasificacion[[#This Row],[Codigo Concepto de imputación]]&amp;" - "&amp;Cuenta_Clasificacion[[#This Row],[Nombre Concepto de imputación]]</f>
        <v>30020 - Sbctto Arr Compresores</v>
      </c>
    </row>
    <row r="941" spans="1:6" x14ac:dyDescent="0.25">
      <c r="A941" s="43">
        <v>4105001</v>
      </c>
      <c r="B941" t="s">
        <v>70</v>
      </c>
      <c r="C941" s="43">
        <v>30022</v>
      </c>
      <c r="D941" t="s">
        <v>2886</v>
      </c>
      <c r="E941" s="47" t="str">
        <f>+Cuenta_Clasificacion[[#This Row],[Código Cuenta Contable]]&amp;" - "&amp;Cuenta_Clasificacion[[#This Row],[Nombre de Cuenta Contable]]</f>
        <v>4105001 - Costos Generales de Obra</v>
      </c>
      <c r="F941" s="47" t="str">
        <f>+Cuenta_Clasificacion[[#This Row],[Codigo Concepto de imputación]]&amp;" - "&amp;Cuenta_Clasificacion[[#This Row],[Nombre Concepto de imputación]]</f>
        <v>30022 - Sbctto Arr Elevadores y Grúas</v>
      </c>
    </row>
    <row r="942" spans="1:6" x14ac:dyDescent="0.25">
      <c r="A942" s="43">
        <v>4105001</v>
      </c>
      <c r="B942" t="s">
        <v>70</v>
      </c>
      <c r="C942" s="43">
        <v>30023</v>
      </c>
      <c r="D942" t="s">
        <v>2887</v>
      </c>
      <c r="E942" s="47" t="str">
        <f>+Cuenta_Clasificacion[[#This Row],[Código Cuenta Contable]]&amp;" - "&amp;Cuenta_Clasificacion[[#This Row],[Nombre de Cuenta Contable]]</f>
        <v>4105001 - Costos Generales de Obra</v>
      </c>
      <c r="F942" s="47" t="str">
        <f>+Cuenta_Clasificacion[[#This Row],[Codigo Concepto de imputación]]&amp;" - "&amp;Cuenta_Clasificacion[[#This Row],[Nombre Concepto de imputación]]</f>
        <v>30023 - Sbctto Arr Eq Topográfico</v>
      </c>
    </row>
    <row r="943" spans="1:6" x14ac:dyDescent="0.25">
      <c r="A943" s="43">
        <v>4105001</v>
      </c>
      <c r="B943" t="s">
        <v>70</v>
      </c>
      <c r="C943" s="43">
        <v>30024</v>
      </c>
      <c r="D943" t="s">
        <v>2888</v>
      </c>
      <c r="E943" s="47" t="str">
        <f>+Cuenta_Clasificacion[[#This Row],[Código Cuenta Contable]]&amp;" - "&amp;Cuenta_Clasificacion[[#This Row],[Nombre de Cuenta Contable]]</f>
        <v>4105001 - Costos Generales de Obra</v>
      </c>
      <c r="F943" s="47" t="str">
        <f>+Cuenta_Clasificacion[[#This Row],[Codigo Concepto de imputación]]&amp;" - "&amp;Cuenta_Clasificacion[[#This Row],[Nombre Concepto de imputación]]</f>
        <v>30024 - Sbctto Arr Eq Varios</v>
      </c>
    </row>
    <row r="944" spans="1:6" x14ac:dyDescent="0.25">
      <c r="A944" s="43">
        <v>4105001</v>
      </c>
      <c r="B944" t="s">
        <v>70</v>
      </c>
      <c r="C944" s="43">
        <v>30025</v>
      </c>
      <c r="D944" t="s">
        <v>2889</v>
      </c>
      <c r="E944" s="47" t="str">
        <f>+Cuenta_Clasificacion[[#This Row],[Código Cuenta Contable]]&amp;" - "&amp;Cuenta_Clasificacion[[#This Row],[Nombre de Cuenta Contable]]</f>
        <v>4105001 - Costos Generales de Obra</v>
      </c>
      <c r="F944" s="47" t="str">
        <f>+Cuenta_Clasificacion[[#This Row],[Codigo Concepto de imputación]]&amp;" - "&amp;Cuenta_Clasificacion[[#This Row],[Nombre Concepto de imputación]]</f>
        <v>30025 - Sbctto Arr Grupo Electrógeno</v>
      </c>
    </row>
    <row r="945" spans="1:6" x14ac:dyDescent="0.25">
      <c r="A945" s="43">
        <v>4105001</v>
      </c>
      <c r="B945" t="s">
        <v>70</v>
      </c>
      <c r="C945" s="43">
        <v>30026</v>
      </c>
      <c r="D945" t="s">
        <v>2890</v>
      </c>
      <c r="E945" s="47" t="str">
        <f>+Cuenta_Clasificacion[[#This Row],[Código Cuenta Contable]]&amp;" - "&amp;Cuenta_Clasificacion[[#This Row],[Nombre de Cuenta Contable]]</f>
        <v>4105001 - Costos Generales de Obra</v>
      </c>
      <c r="F945" s="47" t="str">
        <f>+Cuenta_Clasificacion[[#This Row],[Codigo Concepto de imputación]]&amp;" - "&amp;Cuenta_Clasificacion[[#This Row],[Nombre Concepto de imputación]]</f>
        <v>30026 - Sbctto Arr Moldajes</v>
      </c>
    </row>
    <row r="946" spans="1:6" x14ac:dyDescent="0.25">
      <c r="A946" s="43">
        <v>4105001</v>
      </c>
      <c r="B946" t="s">
        <v>70</v>
      </c>
      <c r="C946" s="43">
        <v>30028</v>
      </c>
      <c r="D946" t="s">
        <v>2892</v>
      </c>
      <c r="E946" s="47" t="str">
        <f>+Cuenta_Clasificacion[[#This Row],[Código Cuenta Contable]]&amp;" - "&amp;Cuenta_Clasificacion[[#This Row],[Nombre de Cuenta Contable]]</f>
        <v>4105001 - Costos Generales de Obra</v>
      </c>
      <c r="F946" s="47" t="str">
        <f>+Cuenta_Clasificacion[[#This Row],[Codigo Concepto de imputación]]&amp;" - "&amp;Cuenta_Clasificacion[[#This Row],[Nombre Concepto de imputación]]</f>
        <v>30028 - Sbctto Arr Retro. y Bulldozer</v>
      </c>
    </row>
    <row r="947" spans="1:6" x14ac:dyDescent="0.25">
      <c r="A947" s="43">
        <v>4105001</v>
      </c>
      <c r="B947" t="s">
        <v>70</v>
      </c>
      <c r="C947" s="43">
        <v>30029</v>
      </c>
      <c r="D947" t="s">
        <v>2893</v>
      </c>
      <c r="E947" s="47" t="str">
        <f>+Cuenta_Clasificacion[[#This Row],[Código Cuenta Contable]]&amp;" - "&amp;Cuenta_Clasificacion[[#This Row],[Nombre de Cuenta Contable]]</f>
        <v>4105001 - Costos Generales de Obra</v>
      </c>
      <c r="F947" s="47" t="str">
        <f>+Cuenta_Clasificacion[[#This Row],[Codigo Concepto de imputación]]&amp;" - "&amp;Cuenta_Clasificacion[[#This Row],[Nombre Concepto de imputación]]</f>
        <v>30029 - Sbctto Arr Rotomartillos</v>
      </c>
    </row>
    <row r="948" spans="1:6" x14ac:dyDescent="0.25">
      <c r="A948" s="43">
        <v>4105001</v>
      </c>
      <c r="B948" t="s">
        <v>70</v>
      </c>
      <c r="C948" s="43">
        <v>30030</v>
      </c>
      <c r="D948" t="s">
        <v>2894</v>
      </c>
      <c r="E948" s="47" t="str">
        <f>+Cuenta_Clasificacion[[#This Row],[Código Cuenta Contable]]&amp;" - "&amp;Cuenta_Clasificacion[[#This Row],[Nombre de Cuenta Contable]]</f>
        <v>4105001 - Costos Generales de Obra</v>
      </c>
      <c r="F948" s="47" t="str">
        <f>+Cuenta_Clasificacion[[#This Row],[Codigo Concepto de imputación]]&amp;" - "&amp;Cuenta_Clasificacion[[#This Row],[Nombre Concepto de imputación]]</f>
        <v>30030 - Sbctto Arr Trompos/Betoneras</v>
      </c>
    </row>
    <row r="949" spans="1:6" x14ac:dyDescent="0.25">
      <c r="A949" s="43">
        <v>4105001</v>
      </c>
      <c r="B949" t="s">
        <v>70</v>
      </c>
      <c r="C949" s="43">
        <v>30031</v>
      </c>
      <c r="D949" t="s">
        <v>2895</v>
      </c>
      <c r="E949" s="47" t="str">
        <f>+Cuenta_Clasificacion[[#This Row],[Código Cuenta Contable]]&amp;" - "&amp;Cuenta_Clasificacion[[#This Row],[Nombre de Cuenta Contable]]</f>
        <v>4105001 - Costos Generales de Obra</v>
      </c>
      <c r="F949" s="47" t="str">
        <f>+Cuenta_Clasificacion[[#This Row],[Codigo Concepto de imputación]]&amp;" - "&amp;Cuenta_Clasificacion[[#This Row],[Nombre Concepto de imputación]]</f>
        <v>30031 - Sbctto Arr Vibradores</v>
      </c>
    </row>
    <row r="950" spans="1:6" x14ac:dyDescent="0.25">
      <c r="A950" s="43">
        <v>4105001</v>
      </c>
      <c r="B950" t="s">
        <v>70</v>
      </c>
      <c r="C950" s="43">
        <v>40019</v>
      </c>
      <c r="D950" t="s">
        <v>2962</v>
      </c>
      <c r="E950" s="47" t="str">
        <f>+Cuenta_Clasificacion[[#This Row],[Código Cuenta Contable]]&amp;" - "&amp;Cuenta_Clasificacion[[#This Row],[Nombre de Cuenta Contable]]</f>
        <v>4105001 - Costos Generales de Obra</v>
      </c>
      <c r="F950" s="47" t="str">
        <f>+Cuenta_Clasificacion[[#This Row],[Codigo Concepto de imputación]]&amp;" - "&amp;Cuenta_Clasificacion[[#This Row],[Nombre Concepto de imputación]]</f>
        <v>40019 - Ayudante Obra</v>
      </c>
    </row>
    <row r="951" spans="1:6" x14ac:dyDescent="0.25">
      <c r="A951" s="43">
        <v>4105001</v>
      </c>
      <c r="B951" t="s">
        <v>70</v>
      </c>
      <c r="C951" s="43">
        <v>40022</v>
      </c>
      <c r="D951" t="s">
        <v>2965</v>
      </c>
      <c r="E951" s="47" t="str">
        <f>+Cuenta_Clasificacion[[#This Row],[Código Cuenta Contable]]&amp;" - "&amp;Cuenta_Clasificacion[[#This Row],[Nombre de Cuenta Contable]]</f>
        <v>4105001 - Costos Generales de Obra</v>
      </c>
      <c r="F951" s="47" t="str">
        <f>+Cuenta_Clasificacion[[#This Row],[Codigo Concepto de imputación]]&amp;" - "&amp;Cuenta_Clasificacion[[#This Row],[Nombre Concepto de imputación]]</f>
        <v>40022 - Ayudante Prev. de Riesgos</v>
      </c>
    </row>
    <row r="952" spans="1:6" x14ac:dyDescent="0.25">
      <c r="A952" s="43">
        <v>4105001</v>
      </c>
      <c r="B952" t="s">
        <v>70</v>
      </c>
      <c r="C952" s="43">
        <v>40023</v>
      </c>
      <c r="D952" t="s">
        <v>2966</v>
      </c>
      <c r="E952" s="47" t="str">
        <f>+Cuenta_Clasificacion[[#This Row],[Código Cuenta Contable]]&amp;" - "&amp;Cuenta_Clasificacion[[#This Row],[Nombre de Cuenta Contable]]</f>
        <v>4105001 - Costos Generales de Obra</v>
      </c>
      <c r="F952" s="47" t="str">
        <f>+Cuenta_Clasificacion[[#This Row],[Codigo Concepto de imputación]]&amp;" - "&amp;Cuenta_Clasificacion[[#This Row],[Nombre Concepto de imputación]]</f>
        <v>40023 - Ayudante Soldador</v>
      </c>
    </row>
    <row r="953" spans="1:6" x14ac:dyDescent="0.25">
      <c r="A953" s="43">
        <v>4105001</v>
      </c>
      <c r="B953" t="s">
        <v>70</v>
      </c>
      <c r="C953" s="43">
        <v>40024</v>
      </c>
      <c r="D953" t="s">
        <v>2967</v>
      </c>
      <c r="E953" s="47" t="str">
        <f>+Cuenta_Clasificacion[[#This Row],[Código Cuenta Contable]]&amp;" - "&amp;Cuenta_Clasificacion[[#This Row],[Nombre de Cuenta Contable]]</f>
        <v>4105001 - Costos Generales de Obra</v>
      </c>
      <c r="F953" s="47" t="str">
        <f>+Cuenta_Clasificacion[[#This Row],[Codigo Concepto de imputación]]&amp;" - "&amp;Cuenta_Clasificacion[[#This Row],[Nombre Concepto de imputación]]</f>
        <v>40024 - Ayudante Trazador</v>
      </c>
    </row>
    <row r="954" spans="1:6" x14ac:dyDescent="0.25">
      <c r="A954" s="43">
        <v>4105001</v>
      </c>
      <c r="B954" t="s">
        <v>70</v>
      </c>
      <c r="C954" s="43">
        <v>40035</v>
      </c>
      <c r="D954" t="s">
        <v>2978</v>
      </c>
      <c r="E954" s="47" t="str">
        <f>+Cuenta_Clasificacion[[#This Row],[Código Cuenta Contable]]&amp;" - "&amp;Cuenta_Clasificacion[[#This Row],[Nombre de Cuenta Contable]]</f>
        <v>4105001 - Costos Generales de Obra</v>
      </c>
      <c r="F954" s="47" t="str">
        <f>+Cuenta_Clasificacion[[#This Row],[Codigo Concepto de imputación]]&amp;" - "&amp;Cuenta_Clasificacion[[#This Row],[Nombre Concepto de imputación]]</f>
        <v>40035 - Carpintero de Obra Gruesa</v>
      </c>
    </row>
    <row r="955" spans="1:6" x14ac:dyDescent="0.25">
      <c r="A955" s="43">
        <v>4105001</v>
      </c>
      <c r="B955" t="s">
        <v>70</v>
      </c>
      <c r="C955" s="43">
        <v>40036</v>
      </c>
      <c r="D955" t="s">
        <v>2979</v>
      </c>
      <c r="E955" s="47" t="str">
        <f>+Cuenta_Clasificacion[[#This Row],[Código Cuenta Contable]]&amp;" - "&amp;Cuenta_Clasificacion[[#This Row],[Nombre de Cuenta Contable]]</f>
        <v>4105001 - Costos Generales de Obra</v>
      </c>
      <c r="F955" s="47" t="str">
        <f>+Cuenta_Clasificacion[[#This Row],[Codigo Concepto de imputación]]&amp;" - "&amp;Cuenta_Clasificacion[[#This Row],[Nombre Concepto de imputación]]</f>
        <v>40036 - Carpintero de Terminaciones</v>
      </c>
    </row>
    <row r="956" spans="1:6" x14ac:dyDescent="0.25">
      <c r="A956" s="43">
        <v>4105001</v>
      </c>
      <c r="B956" t="s">
        <v>70</v>
      </c>
      <c r="C956" s="43">
        <v>50001</v>
      </c>
      <c r="D956" t="s">
        <v>2941</v>
      </c>
      <c r="E956" s="47" t="str">
        <f>+Cuenta_Clasificacion[[#This Row],[Código Cuenta Contable]]&amp;" - "&amp;Cuenta_Clasificacion[[#This Row],[Nombre de Cuenta Contable]]</f>
        <v>4105001 - Costos Generales de Obra</v>
      </c>
      <c r="F956" s="47" t="str">
        <f>+Cuenta_Clasificacion[[#This Row],[Codigo Concepto de imputación]]&amp;" - "&amp;Cuenta_Clasificacion[[#This Row],[Nombre Concepto de imputación]]</f>
        <v>50001 - Bodega - Consumo Básico</v>
      </c>
    </row>
    <row r="957" spans="1:6" x14ac:dyDescent="0.25">
      <c r="A957" s="43">
        <v>4105001</v>
      </c>
      <c r="B957" t="s">
        <v>70</v>
      </c>
      <c r="C957" s="43">
        <v>50002</v>
      </c>
      <c r="D957" t="s">
        <v>3082</v>
      </c>
      <c r="E957" s="47" t="str">
        <f>+Cuenta_Clasificacion[[#This Row],[Código Cuenta Contable]]&amp;" - "&amp;Cuenta_Clasificacion[[#This Row],[Nombre de Cuenta Contable]]</f>
        <v>4105001 - Costos Generales de Obra</v>
      </c>
      <c r="F957" s="47" t="str">
        <f>+Cuenta_Clasificacion[[#This Row],[Codigo Concepto de imputación]]&amp;" - "&amp;Cuenta_Clasificacion[[#This Row],[Nombre Concepto de imputación]]</f>
        <v>50002 - Bodega - Materiales Oficina</v>
      </c>
    </row>
    <row r="958" spans="1:6" x14ac:dyDescent="0.25">
      <c r="A958" s="43">
        <v>4105001</v>
      </c>
      <c r="B958" t="s">
        <v>70</v>
      </c>
      <c r="C958" s="43">
        <v>50003</v>
      </c>
      <c r="D958" t="s">
        <v>3083</v>
      </c>
      <c r="E958" s="47" t="str">
        <f>+Cuenta_Clasificacion[[#This Row],[Código Cuenta Contable]]&amp;" - "&amp;Cuenta_Clasificacion[[#This Row],[Nombre de Cuenta Contable]]</f>
        <v>4105001 - Costos Generales de Obra</v>
      </c>
      <c r="F958" s="47" t="str">
        <f>+Cuenta_Clasificacion[[#This Row],[Codigo Concepto de imputación]]&amp;" - "&amp;Cuenta_Clasificacion[[#This Row],[Nombre Concepto de imputación]]</f>
        <v>50003 - Bodega - Seguros y Garantías</v>
      </c>
    </row>
    <row r="959" spans="1:6" x14ac:dyDescent="0.25">
      <c r="A959" s="43">
        <v>4105001</v>
      </c>
      <c r="B959" t="s">
        <v>70</v>
      </c>
      <c r="C959" s="43">
        <v>50004</v>
      </c>
      <c r="D959" t="s">
        <v>3084</v>
      </c>
      <c r="E959" s="47" t="str">
        <f>+Cuenta_Clasificacion[[#This Row],[Código Cuenta Contable]]&amp;" - "&amp;Cuenta_Clasificacion[[#This Row],[Nombre de Cuenta Contable]]</f>
        <v>4105001 - Costos Generales de Obra</v>
      </c>
      <c r="F959" s="47" t="str">
        <f>+Cuenta_Clasificacion[[#This Row],[Codigo Concepto de imputación]]&amp;" - "&amp;Cuenta_Clasificacion[[#This Row],[Nombre Concepto de imputación]]</f>
        <v>50004 - Bodega - Gastos Menores</v>
      </c>
    </row>
    <row r="960" spans="1:6" x14ac:dyDescent="0.25">
      <c r="A960" s="43">
        <v>4105001</v>
      </c>
      <c r="B960" t="s">
        <v>70</v>
      </c>
      <c r="C960" s="43">
        <v>50005</v>
      </c>
      <c r="D960" t="s">
        <v>3085</v>
      </c>
      <c r="E960" s="47" t="str">
        <f>+Cuenta_Clasificacion[[#This Row],[Código Cuenta Contable]]&amp;" - "&amp;Cuenta_Clasificacion[[#This Row],[Nombre de Cuenta Contable]]</f>
        <v>4105001 - Costos Generales de Obra</v>
      </c>
      <c r="F960" s="47" t="str">
        <f>+Cuenta_Clasificacion[[#This Row],[Codigo Concepto de imputación]]&amp;" - "&amp;Cuenta_Clasificacion[[#This Row],[Nombre Concepto de imputación]]</f>
        <v>50005 - Bodega - Otros Gastos</v>
      </c>
    </row>
    <row r="961" spans="1:6" x14ac:dyDescent="0.25">
      <c r="A961" s="43">
        <v>4105001</v>
      </c>
      <c r="B961" t="s">
        <v>70</v>
      </c>
      <c r="C961" s="43">
        <v>50006</v>
      </c>
      <c r="D961" t="s">
        <v>3086</v>
      </c>
      <c r="E961" s="47" t="str">
        <f>+Cuenta_Clasificacion[[#This Row],[Código Cuenta Contable]]&amp;" - "&amp;Cuenta_Clasificacion[[#This Row],[Nombre de Cuenta Contable]]</f>
        <v>4105001 - Costos Generales de Obra</v>
      </c>
      <c r="F961" s="47" t="str">
        <f>+Cuenta_Clasificacion[[#This Row],[Codigo Concepto de imputación]]&amp;" - "&amp;Cuenta_Clasificacion[[#This Row],[Nombre Concepto de imputación]]</f>
        <v>50006 - Bodega - Imprenta</v>
      </c>
    </row>
    <row r="962" spans="1:6" x14ac:dyDescent="0.25">
      <c r="A962" s="43">
        <v>4105001</v>
      </c>
      <c r="B962" t="s">
        <v>70</v>
      </c>
      <c r="C962" s="43">
        <v>50007</v>
      </c>
      <c r="D962" t="s">
        <v>3087</v>
      </c>
      <c r="E962" s="47" t="str">
        <f>+Cuenta_Clasificacion[[#This Row],[Código Cuenta Contable]]&amp;" - "&amp;Cuenta_Clasificacion[[#This Row],[Nombre de Cuenta Contable]]</f>
        <v>4105001 - Costos Generales de Obra</v>
      </c>
      <c r="F962" s="47" t="str">
        <f>+Cuenta_Clasificacion[[#This Row],[Codigo Concepto de imputación]]&amp;" - "&amp;Cuenta_Clasificacion[[#This Row],[Nombre Concepto de imputación]]</f>
        <v>50007 - Bodega - Diseño y Publicidad</v>
      </c>
    </row>
    <row r="963" spans="1:6" x14ac:dyDescent="0.25">
      <c r="A963" s="43">
        <v>4105001</v>
      </c>
      <c r="B963" t="s">
        <v>70</v>
      </c>
      <c r="C963" s="43">
        <v>50008</v>
      </c>
      <c r="D963" t="s">
        <v>2897</v>
      </c>
      <c r="E963" s="47" t="str">
        <f>+Cuenta_Clasificacion[[#This Row],[Código Cuenta Contable]]&amp;" - "&amp;Cuenta_Clasificacion[[#This Row],[Nombre de Cuenta Contable]]</f>
        <v>4105001 - Costos Generales de Obra</v>
      </c>
      <c r="F963" s="47" t="str">
        <f>+Cuenta_Clasificacion[[#This Row],[Codigo Concepto de imputación]]&amp;" - "&amp;Cuenta_Clasificacion[[#This Row],[Nombre Concepto de imputación]]</f>
        <v>50008 - Alimentos</v>
      </c>
    </row>
    <row r="964" spans="1:6" x14ac:dyDescent="0.25">
      <c r="A964" s="43">
        <v>4105001</v>
      </c>
      <c r="B964" t="s">
        <v>70</v>
      </c>
      <c r="C964" s="43">
        <v>50009</v>
      </c>
      <c r="D964" t="s">
        <v>2898</v>
      </c>
      <c r="E964" s="47" t="str">
        <f>+Cuenta_Clasificacion[[#This Row],[Código Cuenta Contable]]&amp;" - "&amp;Cuenta_Clasificacion[[#This Row],[Nombre de Cuenta Contable]]</f>
        <v>4105001 - Costos Generales de Obra</v>
      </c>
      <c r="F964" s="47" t="str">
        <f>+Cuenta_Clasificacion[[#This Row],[Codigo Concepto de imputación]]&amp;" - "&amp;Cuenta_Clasificacion[[#This Row],[Nombre Concepto de imputación]]</f>
        <v>50009 - Aseo y Cocina</v>
      </c>
    </row>
    <row r="965" spans="1:6" x14ac:dyDescent="0.25">
      <c r="A965" s="43">
        <v>4105001</v>
      </c>
      <c r="B965" t="s">
        <v>70</v>
      </c>
      <c r="C965" s="43">
        <v>50010</v>
      </c>
      <c r="D965" t="s">
        <v>2899</v>
      </c>
      <c r="E965" s="47" t="str">
        <f>+Cuenta_Clasificacion[[#This Row],[Código Cuenta Contable]]&amp;" - "&amp;Cuenta_Clasificacion[[#This Row],[Nombre de Cuenta Contable]]</f>
        <v>4105001 - Costos Generales de Obra</v>
      </c>
      <c r="F965" s="47" t="str">
        <f>+Cuenta_Clasificacion[[#This Row],[Codigo Concepto de imputación]]&amp;" - "&amp;Cuenta_Clasificacion[[#This Row],[Nombre Concepto de imputación]]</f>
        <v>50010 - Buses y Radiotaxi</v>
      </c>
    </row>
    <row r="966" spans="1:6" x14ac:dyDescent="0.25">
      <c r="A966" s="43">
        <v>4105001</v>
      </c>
      <c r="B966" t="s">
        <v>70</v>
      </c>
      <c r="C966" s="43">
        <v>50011</v>
      </c>
      <c r="D966" t="s">
        <v>2900</v>
      </c>
      <c r="E966" s="47" t="str">
        <f>+Cuenta_Clasificacion[[#This Row],[Código Cuenta Contable]]&amp;" - "&amp;Cuenta_Clasificacion[[#This Row],[Nombre de Cuenta Contable]]</f>
        <v>4105001 - Costos Generales de Obra</v>
      </c>
      <c r="F966" s="47" t="str">
        <f>+Cuenta_Clasificacion[[#This Row],[Codigo Concepto de imputación]]&amp;" - "&amp;Cuenta_Clasificacion[[#This Row],[Nombre Concepto de imputación]]</f>
        <v>50011 - Capacitación</v>
      </c>
    </row>
    <row r="967" spans="1:6" x14ac:dyDescent="0.25">
      <c r="A967" s="43">
        <v>4105001</v>
      </c>
      <c r="B967" t="s">
        <v>70</v>
      </c>
      <c r="C967" s="43">
        <v>50012</v>
      </c>
      <c r="D967" t="s">
        <v>2901</v>
      </c>
      <c r="E967" s="47" t="str">
        <f>+Cuenta_Clasificacion[[#This Row],[Código Cuenta Contable]]&amp;" - "&amp;Cuenta_Clasificacion[[#This Row],[Nombre de Cuenta Contable]]</f>
        <v>4105001 - Costos Generales de Obra</v>
      </c>
      <c r="F967" s="47" t="str">
        <f>+Cuenta_Clasificacion[[#This Row],[Codigo Concepto de imputación]]&amp;" - "&amp;Cuenta_Clasificacion[[#This Row],[Nombre Concepto de imputación]]</f>
        <v>50012 - Honorarios y Asesorías</v>
      </c>
    </row>
    <row r="968" spans="1:6" x14ac:dyDescent="0.25">
      <c r="A968" s="43">
        <v>4105001</v>
      </c>
      <c r="B968" t="s">
        <v>70</v>
      </c>
      <c r="C968" s="43">
        <v>50013</v>
      </c>
      <c r="D968" t="s">
        <v>2902</v>
      </c>
      <c r="E968" s="47" t="str">
        <f>+Cuenta_Clasificacion[[#This Row],[Código Cuenta Contable]]&amp;" - "&amp;Cuenta_Clasificacion[[#This Row],[Nombre de Cuenta Contable]]</f>
        <v>4105001 - Costos Generales de Obra</v>
      </c>
      <c r="F968" s="47" t="str">
        <f>+Cuenta_Clasificacion[[#This Row],[Codigo Concepto de imputación]]&amp;" - "&amp;Cuenta_Clasificacion[[#This Row],[Nombre Concepto de imputación]]</f>
        <v>50013 - Seguros</v>
      </c>
    </row>
    <row r="969" spans="1:6" x14ac:dyDescent="0.25">
      <c r="A969" s="43">
        <v>4105001</v>
      </c>
      <c r="B969" t="s">
        <v>70</v>
      </c>
      <c r="C969" s="43">
        <v>50014</v>
      </c>
      <c r="D969" t="s">
        <v>2903</v>
      </c>
      <c r="E969" s="47" t="str">
        <f>+Cuenta_Clasificacion[[#This Row],[Código Cuenta Contable]]&amp;" - "&amp;Cuenta_Clasificacion[[#This Row],[Nombre de Cuenta Contable]]</f>
        <v>4105001 - Costos Generales de Obra</v>
      </c>
      <c r="F969" s="47" t="str">
        <f>+Cuenta_Clasificacion[[#This Row],[Codigo Concepto de imputación]]&amp;" - "&amp;Cuenta_Clasificacion[[#This Row],[Nombre Concepto de imputación]]</f>
        <v>50014 - Tramitaciones</v>
      </c>
    </row>
    <row r="970" spans="1:6" x14ac:dyDescent="0.25">
      <c r="A970" s="43">
        <v>4105001</v>
      </c>
      <c r="B970" t="s">
        <v>70</v>
      </c>
      <c r="C970" s="43">
        <v>50015</v>
      </c>
      <c r="D970" t="s">
        <v>2904</v>
      </c>
      <c r="E970" s="47" t="str">
        <f>+Cuenta_Clasificacion[[#This Row],[Código Cuenta Contable]]&amp;" - "&amp;Cuenta_Clasificacion[[#This Row],[Nombre de Cuenta Contable]]</f>
        <v>4105001 - Costos Generales de Obra</v>
      </c>
      <c r="F970" s="47" t="str">
        <f>+Cuenta_Clasificacion[[#This Row],[Codigo Concepto de imputación]]&amp;" - "&amp;Cuenta_Clasificacion[[#This Row],[Nombre Concepto de imputación]]</f>
        <v>50015 - Transporte</v>
      </c>
    </row>
    <row r="971" spans="1:6" x14ac:dyDescent="0.25">
      <c r="A971" s="43">
        <v>4105001</v>
      </c>
      <c r="B971" t="s">
        <v>70</v>
      </c>
      <c r="C971" s="43">
        <v>50016</v>
      </c>
      <c r="D971" t="s">
        <v>2905</v>
      </c>
      <c r="E971" s="47" t="str">
        <f>+Cuenta_Clasificacion[[#This Row],[Código Cuenta Contable]]&amp;" - "&amp;Cuenta_Clasificacion[[#This Row],[Nombre de Cuenta Contable]]</f>
        <v>4105001 - Costos Generales de Obra</v>
      </c>
      <c r="F971" s="47" t="str">
        <f>+Cuenta_Clasificacion[[#This Row],[Codigo Concepto de imputación]]&amp;" - "&amp;Cuenta_Clasificacion[[#This Row],[Nombre Concepto de imputación]]</f>
        <v>50016 - Útiles Oficina</v>
      </c>
    </row>
    <row r="972" spans="1:6" x14ac:dyDescent="0.25">
      <c r="A972" s="43">
        <v>4105001</v>
      </c>
      <c r="B972" t="s">
        <v>70</v>
      </c>
      <c r="C972" s="43">
        <v>50017</v>
      </c>
      <c r="D972" t="s">
        <v>2906</v>
      </c>
      <c r="E972" s="47" t="str">
        <f>+Cuenta_Clasificacion[[#This Row],[Código Cuenta Contable]]&amp;" - "&amp;Cuenta_Clasificacion[[#This Row],[Nombre de Cuenta Contable]]</f>
        <v>4105001 - Costos Generales de Obra</v>
      </c>
      <c r="F972" s="47" t="str">
        <f>+Cuenta_Clasificacion[[#This Row],[Codigo Concepto de imputación]]&amp;" - "&amp;Cuenta_Clasificacion[[#This Row],[Nombre Concepto de imputación]]</f>
        <v>50017 - Consumos Básicos</v>
      </c>
    </row>
    <row r="973" spans="1:6" x14ac:dyDescent="0.25">
      <c r="A973" s="43">
        <v>4105001</v>
      </c>
      <c r="B973" t="s">
        <v>70</v>
      </c>
      <c r="C973" s="43">
        <v>50018</v>
      </c>
      <c r="D973" t="s">
        <v>3088</v>
      </c>
      <c r="E973" s="47" t="str">
        <f>+Cuenta_Clasificacion[[#This Row],[Código Cuenta Contable]]&amp;" - "&amp;Cuenta_Clasificacion[[#This Row],[Nombre de Cuenta Contable]]</f>
        <v>4105001 - Costos Generales de Obra</v>
      </c>
      <c r="F973" s="47" t="str">
        <f>+Cuenta_Clasificacion[[#This Row],[Codigo Concepto de imputación]]&amp;" - "&amp;Cuenta_Clasificacion[[#This Row],[Nombre Concepto de imputación]]</f>
        <v>50018 - Consumos Telefónicos</v>
      </c>
    </row>
    <row r="974" spans="1:6" x14ac:dyDescent="0.25">
      <c r="A974" s="43">
        <v>4105001</v>
      </c>
      <c r="B974" t="s">
        <v>70</v>
      </c>
      <c r="C974" s="43">
        <v>50019</v>
      </c>
      <c r="D974" t="s">
        <v>1638</v>
      </c>
      <c r="E974" s="47" t="str">
        <f>+Cuenta_Clasificacion[[#This Row],[Código Cuenta Contable]]&amp;" - "&amp;Cuenta_Clasificacion[[#This Row],[Nombre de Cuenta Contable]]</f>
        <v>4105001 - Costos Generales de Obra</v>
      </c>
      <c r="F974" s="47" t="str">
        <f>+Cuenta_Clasificacion[[#This Row],[Codigo Concepto de imputación]]&amp;" - "&amp;Cuenta_Clasificacion[[#This Row],[Nombre Concepto de imputación]]</f>
        <v>50019 - Gastos Municipales</v>
      </c>
    </row>
    <row r="975" spans="1:6" x14ac:dyDescent="0.25">
      <c r="A975" s="43">
        <v>4105001</v>
      </c>
      <c r="B975" t="s">
        <v>70</v>
      </c>
      <c r="C975" s="43">
        <v>50020</v>
      </c>
      <c r="D975" t="s">
        <v>3089</v>
      </c>
      <c r="E975" s="47" t="str">
        <f>+Cuenta_Clasificacion[[#This Row],[Código Cuenta Contable]]&amp;" - "&amp;Cuenta_Clasificacion[[#This Row],[Nombre de Cuenta Contable]]</f>
        <v>4105001 - Costos Generales de Obra</v>
      </c>
      <c r="F975" s="47" t="str">
        <f>+Cuenta_Clasificacion[[#This Row],[Codigo Concepto de imputación]]&amp;" - "&amp;Cuenta_Clasificacion[[#This Row],[Nombre Concepto de imputación]]</f>
        <v>50020 - Gastos Notariales</v>
      </c>
    </row>
    <row r="976" spans="1:6" x14ac:dyDescent="0.25">
      <c r="A976" s="43">
        <v>4105001</v>
      </c>
      <c r="B976" t="s">
        <v>70</v>
      </c>
      <c r="C976" s="43">
        <v>50021</v>
      </c>
      <c r="D976" t="s">
        <v>2907</v>
      </c>
      <c r="E976" s="47" t="str">
        <f>+Cuenta_Clasificacion[[#This Row],[Código Cuenta Contable]]&amp;" - "&amp;Cuenta_Clasificacion[[#This Row],[Nombre de Cuenta Contable]]</f>
        <v>4105001 - Costos Generales de Obra</v>
      </c>
      <c r="F976" s="47" t="str">
        <f>+Cuenta_Clasificacion[[#This Row],[Codigo Concepto de imputación]]&amp;" - "&amp;Cuenta_Clasificacion[[#This Row],[Nombre Concepto de imputación]]</f>
        <v>50021 - Consumos de Obra</v>
      </c>
    </row>
    <row r="977" spans="1:6" x14ac:dyDescent="0.25">
      <c r="A977" s="43">
        <v>4105001</v>
      </c>
      <c r="B977" t="s">
        <v>70</v>
      </c>
      <c r="C977" s="43">
        <v>50022</v>
      </c>
      <c r="D977" t="s">
        <v>3090</v>
      </c>
      <c r="E977" s="47" t="str">
        <f>+Cuenta_Clasificacion[[#This Row],[Código Cuenta Contable]]&amp;" - "&amp;Cuenta_Clasificacion[[#This Row],[Nombre de Cuenta Contable]]</f>
        <v>4105001 - Costos Generales de Obra</v>
      </c>
      <c r="F977" s="47" t="str">
        <f>+Cuenta_Clasificacion[[#This Row],[Codigo Concepto de imputación]]&amp;" - "&amp;Cuenta_Clasificacion[[#This Row],[Nombre Concepto de imputación]]</f>
        <v>50022 - Gastos Viajes y Traslados</v>
      </c>
    </row>
    <row r="978" spans="1:6" x14ac:dyDescent="0.25">
      <c r="A978" s="43">
        <v>4105001</v>
      </c>
      <c r="B978" t="s">
        <v>70</v>
      </c>
      <c r="C978" s="43">
        <v>50023</v>
      </c>
      <c r="D978" t="s">
        <v>2908</v>
      </c>
      <c r="E978" s="47" t="str">
        <f>+Cuenta_Clasificacion[[#This Row],[Código Cuenta Contable]]&amp;" - "&amp;Cuenta_Clasificacion[[#This Row],[Nombre de Cuenta Contable]]</f>
        <v>4105001 - Costos Generales de Obra</v>
      </c>
      <c r="F978" s="47" t="str">
        <f>+Cuenta_Clasificacion[[#This Row],[Codigo Concepto de imputación]]&amp;" - "&amp;Cuenta_Clasificacion[[#This Row],[Nombre Concepto de imputación]]</f>
        <v>50023 - Pasajes, Hotel y Otros GG</v>
      </c>
    </row>
    <row r="979" spans="1:6" x14ac:dyDescent="0.25">
      <c r="A979" s="43">
        <v>4105001</v>
      </c>
      <c r="B979" t="s">
        <v>70</v>
      </c>
      <c r="C979" s="43">
        <v>50024</v>
      </c>
      <c r="D979" t="s">
        <v>2729</v>
      </c>
      <c r="E979" s="47" t="str">
        <f>+Cuenta_Clasificacion[[#This Row],[Código Cuenta Contable]]&amp;" - "&amp;Cuenta_Clasificacion[[#This Row],[Nombre de Cuenta Contable]]</f>
        <v>4105001 - Costos Generales de Obra</v>
      </c>
      <c r="F979" s="47" t="str">
        <f>+Cuenta_Clasificacion[[#This Row],[Codigo Concepto de imputación]]&amp;" - "&amp;Cuenta_Clasificacion[[#This Row],[Nombre Concepto de imputación]]</f>
        <v>50024 - Combustibles</v>
      </c>
    </row>
    <row r="980" spans="1:6" x14ac:dyDescent="0.25">
      <c r="A980" s="43">
        <v>4105001</v>
      </c>
      <c r="B980" t="s">
        <v>70</v>
      </c>
      <c r="C980" s="43">
        <v>50025</v>
      </c>
      <c r="D980" t="s">
        <v>3091</v>
      </c>
      <c r="E980" s="47" t="str">
        <f>+Cuenta_Clasificacion[[#This Row],[Código Cuenta Contable]]&amp;" - "&amp;Cuenta_Clasificacion[[#This Row],[Nombre de Cuenta Contable]]</f>
        <v>4105001 - Costos Generales de Obra</v>
      </c>
      <c r="F980" s="47" t="str">
        <f>+Cuenta_Clasificacion[[#This Row],[Codigo Concepto de imputación]]&amp;" - "&amp;Cuenta_Clasificacion[[#This Row],[Nombre Concepto de imputación]]</f>
        <v>50025 - Prov. GGoc/PV</v>
      </c>
    </row>
    <row r="981" spans="1:6" x14ac:dyDescent="0.25">
      <c r="A981" s="43">
        <v>4105001</v>
      </c>
      <c r="B981" t="s">
        <v>70</v>
      </c>
      <c r="C981" s="43">
        <v>50026</v>
      </c>
      <c r="D981" t="s">
        <v>1500</v>
      </c>
      <c r="E981" s="47" t="str">
        <f>+Cuenta_Clasificacion[[#This Row],[Código Cuenta Contable]]&amp;" - "&amp;Cuenta_Clasificacion[[#This Row],[Nombre de Cuenta Contable]]</f>
        <v>4105001 - Costos Generales de Obra</v>
      </c>
      <c r="F981" s="47" t="str">
        <f>+Cuenta_Clasificacion[[#This Row],[Codigo Concepto de imputación]]&amp;" - "&amp;Cuenta_Clasificacion[[#This Row],[Nombre Concepto de imputación]]</f>
        <v>50026 - Oficina Central</v>
      </c>
    </row>
    <row r="982" spans="1:6" x14ac:dyDescent="0.25">
      <c r="A982" s="43">
        <v>4105001</v>
      </c>
      <c r="B982" t="s">
        <v>70</v>
      </c>
      <c r="C982" s="43">
        <v>50027</v>
      </c>
      <c r="D982" t="s">
        <v>3092</v>
      </c>
      <c r="E982" s="47" t="str">
        <f>+Cuenta_Clasificacion[[#This Row],[Código Cuenta Contable]]&amp;" - "&amp;Cuenta_Clasificacion[[#This Row],[Nombre de Cuenta Contable]]</f>
        <v>4105001 - Costos Generales de Obra</v>
      </c>
      <c r="F982" s="47" t="str">
        <f>+Cuenta_Clasificacion[[#This Row],[Codigo Concepto de imputación]]&amp;" - "&amp;Cuenta_Clasificacion[[#This Row],[Nombre Concepto de imputación]]</f>
        <v>50027 - Desemp. Prev. Riesgos</v>
      </c>
    </row>
    <row r="983" spans="1:6" x14ac:dyDescent="0.25">
      <c r="A983" s="43">
        <v>4105001</v>
      </c>
      <c r="B983" t="s">
        <v>70</v>
      </c>
      <c r="C983" s="43">
        <v>50028</v>
      </c>
      <c r="D983" t="s">
        <v>2909</v>
      </c>
      <c r="E983" s="47" t="str">
        <f>+Cuenta_Clasificacion[[#This Row],[Código Cuenta Contable]]&amp;" - "&amp;Cuenta_Clasificacion[[#This Row],[Nombre de Cuenta Contable]]</f>
        <v>4105001 - Costos Generales de Obra</v>
      </c>
      <c r="F983" s="47" t="str">
        <f>+Cuenta_Clasificacion[[#This Row],[Codigo Concepto de imputación]]&amp;" - "&amp;Cuenta_Clasificacion[[#This Row],[Nombre Concepto de imputación]]</f>
        <v>50028 - Boletas de Garantía</v>
      </c>
    </row>
    <row r="984" spans="1:6" x14ac:dyDescent="0.25">
      <c r="A984" s="43">
        <v>4105001</v>
      </c>
      <c r="B984" t="s">
        <v>70</v>
      </c>
      <c r="C984" s="43">
        <v>60002</v>
      </c>
      <c r="D984" t="s">
        <v>2706</v>
      </c>
      <c r="E984" s="47" t="str">
        <f>+Cuenta_Clasificacion[[#This Row],[Código Cuenta Contable]]&amp;" - "&amp;Cuenta_Clasificacion[[#This Row],[Nombre de Cuenta Contable]]</f>
        <v>4105001 - Costos Generales de Obra</v>
      </c>
      <c r="F984" s="47" t="str">
        <f>+Cuenta_Clasificacion[[#This Row],[Codigo Concepto de imputación]]&amp;" - "&amp;Cuenta_Clasificacion[[#This Row],[Nombre Concepto de imputación]]</f>
        <v>60002 - Adicional</v>
      </c>
    </row>
    <row r="985" spans="1:6" x14ac:dyDescent="0.25">
      <c r="A985" s="43">
        <v>4105001</v>
      </c>
      <c r="B985" t="s">
        <v>70</v>
      </c>
      <c r="C985" s="43">
        <v>60004</v>
      </c>
      <c r="D985" t="s">
        <v>2942</v>
      </c>
      <c r="E985" s="47" t="str">
        <f>+Cuenta_Clasificacion[[#This Row],[Código Cuenta Contable]]&amp;" - "&amp;Cuenta_Clasificacion[[#This Row],[Nombre de Cuenta Contable]]</f>
        <v>4105001 - Costos Generales de Obra</v>
      </c>
      <c r="F985" s="47" t="str">
        <f>+Cuenta_Clasificacion[[#This Row],[Codigo Concepto de imputación]]&amp;" - "&amp;Cuenta_Clasificacion[[#This Row],[Nombre Concepto de imputación]]</f>
        <v>60004 - Ingresos Zona Extrema</v>
      </c>
    </row>
    <row r="986" spans="1:6" x14ac:dyDescent="0.25">
      <c r="A986" s="43">
        <v>4105001</v>
      </c>
      <c r="B986" t="s">
        <v>70</v>
      </c>
      <c r="C986" s="43">
        <v>77777</v>
      </c>
      <c r="D986" t="s">
        <v>2703</v>
      </c>
      <c r="E986" s="47" t="str">
        <f>+Cuenta_Clasificacion[[#This Row],[Código Cuenta Contable]]&amp;" - "&amp;Cuenta_Clasificacion[[#This Row],[Nombre de Cuenta Contable]]</f>
        <v>4105001 - Costos Generales de Obra</v>
      </c>
      <c r="F986" s="47" t="str">
        <f>+Cuenta_Clasificacion[[#This Row],[Codigo Concepto de imputación]]&amp;" - "&amp;Cuenta_Clasificacion[[#This Row],[Nombre Concepto de imputación]]</f>
        <v>77777 - REGULARIZACIONES</v>
      </c>
    </row>
    <row r="987" spans="1:6" x14ac:dyDescent="0.25">
      <c r="A987" s="43">
        <v>4105002</v>
      </c>
      <c r="B987" t="s">
        <v>342</v>
      </c>
      <c r="C987" s="43">
        <v>50029</v>
      </c>
      <c r="D987" t="s">
        <v>103</v>
      </c>
      <c r="E987" s="47" t="str">
        <f>+Cuenta_Clasificacion[[#This Row],[Código Cuenta Contable]]&amp;" - "&amp;Cuenta_Clasificacion[[#This Row],[Nombre de Cuenta Contable]]</f>
        <v>4105002 - Aporte Bienestar</v>
      </c>
      <c r="F987" s="47" t="str">
        <f>+Cuenta_Clasificacion[[#This Row],[Codigo Concepto de imputación]]&amp;" - "&amp;Cuenta_Clasificacion[[#This Row],[Nombre Concepto de imputación]]</f>
        <v>50029 - Bienestar</v>
      </c>
    </row>
    <row r="988" spans="1:6" x14ac:dyDescent="0.25">
      <c r="A988" s="43">
        <v>4202045</v>
      </c>
      <c r="B988" t="s">
        <v>155</v>
      </c>
      <c r="C988" s="43">
        <v>50029</v>
      </c>
      <c r="D988" t="s">
        <v>103</v>
      </c>
      <c r="E988" s="47" t="str">
        <f>+Cuenta_Clasificacion[[#This Row],[Código Cuenta Contable]]&amp;" - "&amp;Cuenta_Clasificacion[[#This Row],[Nombre de Cuenta Contable]]</f>
        <v>4202045 - Aplicación Gastos Bienestar</v>
      </c>
      <c r="F988" s="47" t="str">
        <f>+Cuenta_Clasificacion[[#This Row],[Codigo Concepto de imputación]]&amp;" - "&amp;Cuenta_Clasificacion[[#This Row],[Nombre Concepto de imputación]]</f>
        <v>50029 - Bienestar</v>
      </c>
    </row>
    <row r="989" spans="1:6" x14ac:dyDescent="0.25">
      <c r="A989" s="43">
        <v>4210060</v>
      </c>
      <c r="B989" t="s">
        <v>345</v>
      </c>
      <c r="C989" s="43">
        <v>50025</v>
      </c>
      <c r="D989" t="s">
        <v>3091</v>
      </c>
      <c r="E989" s="47" t="str">
        <f>+Cuenta_Clasificacion[[#This Row],[Código Cuenta Contable]]&amp;" - "&amp;Cuenta_Clasificacion[[#This Row],[Nombre de Cuenta Contable]]</f>
        <v>4210060 - Cobros Internos Oficina</v>
      </c>
      <c r="F989" s="47" t="str">
        <f>+Cuenta_Clasificacion[[#This Row],[Codigo Concepto de imputación]]&amp;" - "&amp;Cuenta_Clasificacion[[#This Row],[Nombre Concepto de imputación]]</f>
        <v>50025 - Prov. GGoc/PV</v>
      </c>
    </row>
    <row r="990" spans="1:6" x14ac:dyDescent="0.25">
      <c r="A990" s="43">
        <v>4210070</v>
      </c>
      <c r="B990" t="s">
        <v>347</v>
      </c>
      <c r="C990" s="43">
        <v>50025</v>
      </c>
      <c r="D990" t="s">
        <v>3091</v>
      </c>
      <c r="E990" s="47" t="str">
        <f>+Cuenta_Clasificacion[[#This Row],[Código Cuenta Contable]]&amp;" - "&amp;Cuenta_Clasificacion[[#This Row],[Nombre de Cuenta Contable]]</f>
        <v>4210070 - Provisión PostVenta</v>
      </c>
      <c r="F990" s="47" t="str">
        <f>+Cuenta_Clasificacion[[#This Row],[Codigo Concepto de imputación]]&amp;" - "&amp;Cuenta_Clasificacion[[#This Row],[Nombre Concepto de imputación]]</f>
        <v>50025 - Prov. GGoc/PV</v>
      </c>
    </row>
    <row r="991" spans="1:6" x14ac:dyDescent="0.25">
      <c r="A991" s="43">
        <v>4501081</v>
      </c>
      <c r="B991" t="s">
        <v>350</v>
      </c>
      <c r="C991" s="43">
        <v>50030</v>
      </c>
      <c r="D991" t="s">
        <v>3093</v>
      </c>
      <c r="E991" s="47" t="str">
        <f>+Cuenta_Clasificacion[[#This Row],[Código Cuenta Contable]]&amp;" - "&amp;Cuenta_Clasificacion[[#This Row],[Nombre de Cuenta Contable]]</f>
        <v>4501081 - Comisiones Bancarias (Obra)</v>
      </c>
      <c r="F991" s="47" t="str">
        <f>+Cuenta_Clasificacion[[#This Row],[Codigo Concepto de imputación]]&amp;" - "&amp;Cuenta_Clasificacion[[#This Row],[Nombre Concepto de imputación]]</f>
        <v>50030 - Gastos Financieros</v>
      </c>
    </row>
    <row r="992" spans="1:6" x14ac:dyDescent="0.25">
      <c r="A992" s="43">
        <v>4501121</v>
      </c>
      <c r="B992" t="s">
        <v>351</v>
      </c>
      <c r="C992" s="43">
        <v>50030</v>
      </c>
      <c r="D992" t="s">
        <v>3093</v>
      </c>
      <c r="E992" s="47" t="str">
        <f>+Cuenta_Clasificacion[[#This Row],[Código Cuenta Contable]]&amp;" - "&amp;Cuenta_Clasificacion[[#This Row],[Nombre de Cuenta Contable]]</f>
        <v>4501121 - Gastos Comercio Exterior (Obra)</v>
      </c>
      <c r="F992" s="47" t="str">
        <f>+Cuenta_Clasificacion[[#This Row],[Codigo Concepto de imputación]]&amp;" - "&amp;Cuenta_Clasificacion[[#This Row],[Nombre Concepto de imputación]]</f>
        <v>50030 - Gastos Financieros</v>
      </c>
    </row>
    <row r="993" spans="1:6" x14ac:dyDescent="0.25">
      <c r="A993" s="43">
        <v>4501131</v>
      </c>
      <c r="B993" t="s">
        <v>352</v>
      </c>
      <c r="C993" s="43">
        <v>50030</v>
      </c>
      <c r="D993" t="s">
        <v>3093</v>
      </c>
      <c r="E993" s="47" t="str">
        <f>+Cuenta_Clasificacion[[#This Row],[Código Cuenta Contable]]&amp;" - "&amp;Cuenta_Clasificacion[[#This Row],[Nombre de Cuenta Contable]]</f>
        <v>4501131 - Gastos Financieros Boletas Garantía (Obra)</v>
      </c>
      <c r="F993" s="47" t="str">
        <f>+Cuenta_Clasificacion[[#This Row],[Codigo Concepto de imputación]]&amp;" - "&amp;Cuenta_Clasificacion[[#This Row],[Nombre Concepto de imputación]]</f>
        <v>50030 - Gastos Financieros</v>
      </c>
    </row>
    <row r="994" spans="1:6" x14ac:dyDescent="0.25">
      <c r="A994" s="43">
        <v>4101002</v>
      </c>
      <c r="B994" t="s">
        <v>1498</v>
      </c>
      <c r="C994" s="43">
        <v>10001</v>
      </c>
      <c r="D994" t="s">
        <v>2708</v>
      </c>
      <c r="E994" s="47" t="str">
        <f>+Cuenta_Clasificacion[[#This Row],[Código Cuenta Contable]]&amp;" - "&amp;Cuenta_Clasificacion[[#This Row],[Nombre de Cuenta Contable]]</f>
        <v>4101002 - IVA Proveedores DS-19</v>
      </c>
      <c r="F994" s="47" t="str">
        <f>+Cuenta_Clasificacion[[#This Row],[Codigo Concepto de imputación]]&amp;" - "&amp;Cuenta_Clasificacion[[#This Row],[Nombre Concepto de imputación]]</f>
        <v>10001 - Accesorios Sanitarios</v>
      </c>
    </row>
    <row r="995" spans="1:6" x14ac:dyDescent="0.25">
      <c r="A995" s="43">
        <v>4101002</v>
      </c>
      <c r="B995" t="s">
        <v>1498</v>
      </c>
      <c r="C995" s="43">
        <v>10002</v>
      </c>
      <c r="D995" t="s">
        <v>2709</v>
      </c>
      <c r="E995" s="47" t="str">
        <f>+Cuenta_Clasificacion[[#This Row],[Código Cuenta Contable]]&amp;" - "&amp;Cuenta_Clasificacion[[#This Row],[Nombre de Cuenta Contable]]</f>
        <v>4101002 - IVA Proveedores DS-19</v>
      </c>
      <c r="F995" s="47" t="str">
        <f>+Cuenta_Clasificacion[[#This Row],[Codigo Concepto de imputación]]&amp;" - "&amp;Cuenta_Clasificacion[[#This Row],[Nombre Concepto de imputación]]</f>
        <v>10002 - Adhesivos</v>
      </c>
    </row>
    <row r="996" spans="1:6" x14ac:dyDescent="0.25">
      <c r="A996" s="43">
        <v>4101002</v>
      </c>
      <c r="B996" t="s">
        <v>1498</v>
      </c>
      <c r="C996" s="43">
        <v>10003</v>
      </c>
      <c r="D996" t="s">
        <v>2710</v>
      </c>
      <c r="E996" s="47" t="str">
        <f>+Cuenta_Clasificacion[[#This Row],[Código Cuenta Contable]]&amp;" - "&amp;Cuenta_Clasificacion[[#This Row],[Nombre de Cuenta Contable]]</f>
        <v>4101002 - IVA Proveedores DS-19</v>
      </c>
      <c r="F996" s="47" t="str">
        <f>+Cuenta_Clasificacion[[#This Row],[Codigo Concepto de imputación]]&amp;" - "&amp;Cuenta_Clasificacion[[#This Row],[Nombre Concepto de imputación]]</f>
        <v>10003 - Aditivos</v>
      </c>
    </row>
    <row r="997" spans="1:6" x14ac:dyDescent="0.25">
      <c r="A997" s="43">
        <v>4101002</v>
      </c>
      <c r="B997" t="s">
        <v>1498</v>
      </c>
      <c r="C997" s="43">
        <v>10004</v>
      </c>
      <c r="D997" t="s">
        <v>2711</v>
      </c>
      <c r="E997" s="47" t="str">
        <f>+Cuenta_Clasificacion[[#This Row],[Código Cuenta Contable]]&amp;" - "&amp;Cuenta_Clasificacion[[#This Row],[Nombre de Cuenta Contable]]</f>
        <v>4101002 - IVA Proveedores DS-19</v>
      </c>
      <c r="F997" s="47" t="str">
        <f>+Cuenta_Clasificacion[[#This Row],[Codigo Concepto de imputación]]&amp;" - "&amp;Cuenta_Clasificacion[[#This Row],[Nombre Concepto de imputación]]</f>
        <v>10004 - Aislación</v>
      </c>
    </row>
    <row r="998" spans="1:6" x14ac:dyDescent="0.25">
      <c r="A998" s="43">
        <v>4101002</v>
      </c>
      <c r="B998" t="s">
        <v>1498</v>
      </c>
      <c r="C998" s="43">
        <v>10005</v>
      </c>
      <c r="D998" t="s">
        <v>2712</v>
      </c>
      <c r="E998" s="47" t="str">
        <f>+Cuenta_Clasificacion[[#This Row],[Código Cuenta Contable]]&amp;" - "&amp;Cuenta_Clasificacion[[#This Row],[Nombre de Cuenta Contable]]</f>
        <v>4101002 - IVA Proveedores DS-19</v>
      </c>
      <c r="F998" s="47" t="str">
        <f>+Cuenta_Clasificacion[[#This Row],[Codigo Concepto de imputación]]&amp;" - "&amp;Cuenta_Clasificacion[[#This Row],[Nombre Concepto de imputación]]</f>
        <v>10005 - Alambre</v>
      </c>
    </row>
    <row r="999" spans="1:6" x14ac:dyDescent="0.25">
      <c r="A999" s="43">
        <v>4101002</v>
      </c>
      <c r="B999" t="s">
        <v>1498</v>
      </c>
      <c r="C999" s="43">
        <v>10006</v>
      </c>
      <c r="D999" t="s">
        <v>2713</v>
      </c>
      <c r="E999" s="47" t="str">
        <f>+Cuenta_Clasificacion[[#This Row],[Código Cuenta Contable]]&amp;" - "&amp;Cuenta_Clasificacion[[#This Row],[Nombre de Cuenta Contable]]</f>
        <v>4101002 - IVA Proveedores DS-19</v>
      </c>
      <c r="F999" s="47" t="str">
        <f>+Cuenta_Clasificacion[[#This Row],[Codigo Concepto de imputación]]&amp;" - "&amp;Cuenta_Clasificacion[[#This Row],[Nombre Concepto de imputación]]</f>
        <v>10006 - Alcantarillado</v>
      </c>
    </row>
    <row r="1000" spans="1:6" x14ac:dyDescent="0.25">
      <c r="A1000" s="43">
        <v>4101002</v>
      </c>
      <c r="B1000" t="s">
        <v>1498</v>
      </c>
      <c r="C1000" s="43">
        <v>10007</v>
      </c>
      <c r="D1000" t="s">
        <v>2714</v>
      </c>
      <c r="E1000" s="47" t="str">
        <f>+Cuenta_Clasificacion[[#This Row],[Código Cuenta Contable]]&amp;" - "&amp;Cuenta_Clasificacion[[#This Row],[Nombre de Cuenta Contable]]</f>
        <v>4101002 - IVA Proveedores DS-19</v>
      </c>
      <c r="F1000" s="47" t="str">
        <f>+Cuenta_Clasificacion[[#This Row],[Codigo Concepto de imputación]]&amp;" - "&amp;Cuenta_Clasificacion[[#This Row],[Nombre Concepto de imputación]]</f>
        <v>10007 - Alfombras</v>
      </c>
    </row>
    <row r="1001" spans="1:6" x14ac:dyDescent="0.25">
      <c r="A1001" s="43">
        <v>4101002</v>
      </c>
      <c r="B1001" t="s">
        <v>1498</v>
      </c>
      <c r="C1001" s="43">
        <v>10008</v>
      </c>
      <c r="D1001" t="s">
        <v>2715</v>
      </c>
      <c r="E1001" s="47" t="str">
        <f>+Cuenta_Clasificacion[[#This Row],[Código Cuenta Contable]]&amp;" - "&amp;Cuenta_Clasificacion[[#This Row],[Nombre de Cuenta Contable]]</f>
        <v>4101002 - IVA Proveedores DS-19</v>
      </c>
      <c r="F1001" s="47" t="str">
        <f>+Cuenta_Clasificacion[[#This Row],[Codigo Concepto de imputación]]&amp;" - "&amp;Cuenta_Clasificacion[[#This Row],[Nombre Concepto de imputación]]</f>
        <v>10008 - Aluminios</v>
      </c>
    </row>
    <row r="1002" spans="1:6" x14ac:dyDescent="0.25">
      <c r="A1002" s="43">
        <v>4101002</v>
      </c>
      <c r="B1002" t="s">
        <v>1498</v>
      </c>
      <c r="C1002" s="43">
        <v>10009</v>
      </c>
      <c r="D1002" t="s">
        <v>2716</v>
      </c>
      <c r="E1002" s="47" t="str">
        <f>+Cuenta_Clasificacion[[#This Row],[Código Cuenta Contable]]&amp;" - "&amp;Cuenta_Clasificacion[[#This Row],[Nombre de Cuenta Contable]]</f>
        <v>4101002 - IVA Proveedores DS-19</v>
      </c>
      <c r="F1002" s="47" t="str">
        <f>+Cuenta_Clasificacion[[#This Row],[Codigo Concepto de imputación]]&amp;" - "&amp;Cuenta_Clasificacion[[#This Row],[Nombre Concepto de imputación]]</f>
        <v>10009 - Áridos</v>
      </c>
    </row>
    <row r="1003" spans="1:6" x14ac:dyDescent="0.25">
      <c r="A1003" s="43">
        <v>4101002</v>
      </c>
      <c r="B1003" t="s">
        <v>1498</v>
      </c>
      <c r="C1003" s="43">
        <v>10010</v>
      </c>
      <c r="D1003" t="s">
        <v>2717</v>
      </c>
      <c r="E1003" s="47" t="str">
        <f>+Cuenta_Clasificacion[[#This Row],[Código Cuenta Contable]]&amp;" - "&amp;Cuenta_Clasificacion[[#This Row],[Nombre de Cuenta Contable]]</f>
        <v>4101002 - IVA Proveedores DS-19</v>
      </c>
      <c r="F1003" s="47" t="str">
        <f>+Cuenta_Clasificacion[[#This Row],[Codigo Concepto de imputación]]&amp;" - "&amp;Cuenta_Clasificacion[[#This Row],[Nombre Concepto de imputación]]</f>
        <v>10010 - Artículos Eléctricos</v>
      </c>
    </row>
    <row r="1004" spans="1:6" x14ac:dyDescent="0.25">
      <c r="A1004" s="43">
        <v>4101002</v>
      </c>
      <c r="B1004" t="s">
        <v>1498</v>
      </c>
      <c r="C1004" s="43">
        <v>10011</v>
      </c>
      <c r="D1004" t="s">
        <v>2718</v>
      </c>
      <c r="E1004" s="47" t="str">
        <f>+Cuenta_Clasificacion[[#This Row],[Código Cuenta Contable]]&amp;" - "&amp;Cuenta_Clasificacion[[#This Row],[Nombre de Cuenta Contable]]</f>
        <v>4101002 - IVA Proveedores DS-19</v>
      </c>
      <c r="F1004" s="47" t="str">
        <f>+Cuenta_Clasificacion[[#This Row],[Codigo Concepto de imputación]]&amp;" - "&amp;Cuenta_Clasificacion[[#This Row],[Nombre Concepto de imputación]]</f>
        <v>10011 - Artículos Gas</v>
      </c>
    </row>
    <row r="1005" spans="1:6" x14ac:dyDescent="0.25">
      <c r="A1005" s="43">
        <v>4101002</v>
      </c>
      <c r="B1005" t="s">
        <v>1498</v>
      </c>
      <c r="C1005" s="43">
        <v>10012</v>
      </c>
      <c r="D1005" t="s">
        <v>2719</v>
      </c>
      <c r="E1005" s="47" t="str">
        <f>+Cuenta_Clasificacion[[#This Row],[Código Cuenta Contable]]&amp;" - "&amp;Cuenta_Clasificacion[[#This Row],[Nombre de Cuenta Contable]]</f>
        <v>4101002 - IVA Proveedores DS-19</v>
      </c>
      <c r="F1005" s="47" t="str">
        <f>+Cuenta_Clasificacion[[#This Row],[Codigo Concepto de imputación]]&amp;" - "&amp;Cuenta_Clasificacion[[#This Row],[Nombre Concepto de imputación]]</f>
        <v>10012 - Artículos Sanitarios</v>
      </c>
    </row>
    <row r="1006" spans="1:6" x14ac:dyDescent="0.25">
      <c r="A1006" s="43">
        <v>4101002</v>
      </c>
      <c r="B1006" t="s">
        <v>1498</v>
      </c>
      <c r="C1006" s="43">
        <v>10013</v>
      </c>
      <c r="D1006" t="s">
        <v>2720</v>
      </c>
      <c r="E1006" s="47" t="str">
        <f>+Cuenta_Clasificacion[[#This Row],[Código Cuenta Contable]]&amp;" - "&amp;Cuenta_Clasificacion[[#This Row],[Nombre de Cuenta Contable]]</f>
        <v>4101002 - IVA Proveedores DS-19</v>
      </c>
      <c r="F1006" s="47" t="str">
        <f>+Cuenta_Clasificacion[[#This Row],[Codigo Concepto de imputación]]&amp;" - "&amp;Cuenta_Clasificacion[[#This Row],[Nombre Concepto de imputación]]</f>
        <v>10013 - Cables</v>
      </c>
    </row>
    <row r="1007" spans="1:6" x14ac:dyDescent="0.25">
      <c r="A1007" s="43">
        <v>4101002</v>
      </c>
      <c r="B1007" t="s">
        <v>1498</v>
      </c>
      <c r="C1007" s="43">
        <v>10014</v>
      </c>
      <c r="D1007" t="s">
        <v>2721</v>
      </c>
      <c r="E1007" s="47" t="str">
        <f>+Cuenta_Clasificacion[[#This Row],[Código Cuenta Contable]]&amp;" - "&amp;Cuenta_Clasificacion[[#This Row],[Nombre de Cuenta Contable]]</f>
        <v>4101002 - IVA Proveedores DS-19</v>
      </c>
      <c r="F1007" s="47" t="str">
        <f>+Cuenta_Clasificacion[[#This Row],[Codigo Concepto de imputación]]&amp;" - "&amp;Cuenta_Clasificacion[[#This Row],[Nombre Concepto de imputación]]</f>
        <v>10014 - Cadenas</v>
      </c>
    </row>
    <row r="1008" spans="1:6" x14ac:dyDescent="0.25">
      <c r="A1008" s="43">
        <v>4101002</v>
      </c>
      <c r="B1008" t="s">
        <v>1498</v>
      </c>
      <c r="C1008" s="43">
        <v>10015</v>
      </c>
      <c r="D1008" t="s">
        <v>2722</v>
      </c>
      <c r="E1008" s="47" t="str">
        <f>+Cuenta_Clasificacion[[#This Row],[Código Cuenta Contable]]&amp;" - "&amp;Cuenta_Clasificacion[[#This Row],[Nombre de Cuenta Contable]]</f>
        <v>4101002 - IVA Proveedores DS-19</v>
      </c>
      <c r="F1008" s="47" t="str">
        <f>+Cuenta_Clasificacion[[#This Row],[Codigo Concepto de imputación]]&amp;" - "&amp;Cuenta_Clasificacion[[#This Row],[Nombre Concepto de imputación]]</f>
        <v>10015 - Cañerías Acero</v>
      </c>
    </row>
    <row r="1009" spans="1:6" x14ac:dyDescent="0.25">
      <c r="A1009" s="43">
        <v>4101002</v>
      </c>
      <c r="B1009" t="s">
        <v>1498</v>
      </c>
      <c r="C1009" s="43">
        <v>10016</v>
      </c>
      <c r="D1009" t="s">
        <v>2723</v>
      </c>
      <c r="E1009" s="47" t="str">
        <f>+Cuenta_Clasificacion[[#This Row],[Código Cuenta Contable]]&amp;" - "&amp;Cuenta_Clasificacion[[#This Row],[Nombre de Cuenta Contable]]</f>
        <v>4101002 - IVA Proveedores DS-19</v>
      </c>
      <c r="F1009" s="47" t="str">
        <f>+Cuenta_Clasificacion[[#This Row],[Codigo Concepto de imputación]]&amp;" - "&amp;Cuenta_Clasificacion[[#This Row],[Nombre Concepto de imputación]]</f>
        <v>10016 - Cañerías Cobre</v>
      </c>
    </row>
    <row r="1010" spans="1:6" x14ac:dyDescent="0.25">
      <c r="A1010" s="43">
        <v>4101002</v>
      </c>
      <c r="B1010" t="s">
        <v>1498</v>
      </c>
      <c r="C1010" s="43">
        <v>10017</v>
      </c>
      <c r="D1010" t="s">
        <v>2724</v>
      </c>
      <c r="E1010" s="47" t="str">
        <f>+Cuenta_Clasificacion[[#This Row],[Código Cuenta Contable]]&amp;" - "&amp;Cuenta_Clasificacion[[#This Row],[Nombre de Cuenta Contable]]</f>
        <v>4101002 - IVA Proveedores DS-19</v>
      </c>
      <c r="F1010" s="47" t="str">
        <f>+Cuenta_Clasificacion[[#This Row],[Codigo Concepto de imputación]]&amp;" - "&amp;Cuenta_Clasificacion[[#This Row],[Nombre Concepto de imputación]]</f>
        <v>10017 - Cañerías PVC</v>
      </c>
    </row>
    <row r="1011" spans="1:6" x14ac:dyDescent="0.25">
      <c r="A1011" s="43">
        <v>4101002</v>
      </c>
      <c r="B1011" t="s">
        <v>1498</v>
      </c>
      <c r="C1011" s="43">
        <v>10018</v>
      </c>
      <c r="D1011" t="s">
        <v>2725</v>
      </c>
      <c r="E1011" s="47" t="str">
        <f>+Cuenta_Clasificacion[[#This Row],[Código Cuenta Contable]]&amp;" - "&amp;Cuenta_Clasificacion[[#This Row],[Nombre de Cuenta Contable]]</f>
        <v>4101002 - IVA Proveedores DS-19</v>
      </c>
      <c r="F1011" s="47" t="str">
        <f>+Cuenta_Clasificacion[[#This Row],[Codigo Concepto de imputación]]&amp;" - "&amp;Cuenta_Clasificacion[[#This Row],[Nombre Concepto de imputación]]</f>
        <v>10018 - Cementos</v>
      </c>
    </row>
    <row r="1012" spans="1:6" x14ac:dyDescent="0.25">
      <c r="A1012" s="43">
        <v>4101002</v>
      </c>
      <c r="B1012" t="s">
        <v>1498</v>
      </c>
      <c r="C1012" s="43">
        <v>10019</v>
      </c>
      <c r="D1012" t="s">
        <v>2726</v>
      </c>
      <c r="E1012" s="47" t="str">
        <f>+Cuenta_Clasificacion[[#This Row],[Código Cuenta Contable]]&amp;" - "&amp;Cuenta_Clasificacion[[#This Row],[Nombre de Cuenta Contable]]</f>
        <v>4101002 - IVA Proveedores DS-19</v>
      </c>
      <c r="F1012" s="47" t="str">
        <f>+Cuenta_Clasificacion[[#This Row],[Codigo Concepto de imputación]]&amp;" - "&amp;Cuenta_Clasificacion[[#This Row],[Nombre Concepto de imputación]]</f>
        <v>10019 - Cerámicos y Baldosas</v>
      </c>
    </row>
    <row r="1013" spans="1:6" x14ac:dyDescent="0.25">
      <c r="A1013" s="43">
        <v>4101002</v>
      </c>
      <c r="B1013" t="s">
        <v>1498</v>
      </c>
      <c r="C1013" s="43">
        <v>10020</v>
      </c>
      <c r="D1013" t="s">
        <v>2727</v>
      </c>
      <c r="E1013" s="47" t="str">
        <f>+Cuenta_Clasificacion[[#This Row],[Código Cuenta Contable]]&amp;" - "&amp;Cuenta_Clasificacion[[#This Row],[Nombre de Cuenta Contable]]</f>
        <v>4101002 - IVA Proveedores DS-19</v>
      </c>
      <c r="F1013" s="47" t="str">
        <f>+Cuenta_Clasificacion[[#This Row],[Codigo Concepto de imputación]]&amp;" - "&amp;Cuenta_Clasificacion[[#This Row],[Nombre Concepto de imputación]]</f>
        <v>10020 - Cielo Modular</v>
      </c>
    </row>
    <row r="1014" spans="1:6" x14ac:dyDescent="0.25">
      <c r="A1014" s="43">
        <v>4101002</v>
      </c>
      <c r="B1014" t="s">
        <v>1498</v>
      </c>
      <c r="C1014" s="43">
        <v>10021</v>
      </c>
      <c r="D1014" t="s">
        <v>2728</v>
      </c>
      <c r="E1014" s="47" t="str">
        <f>+Cuenta_Clasificacion[[#This Row],[Código Cuenta Contable]]&amp;" - "&amp;Cuenta_Clasificacion[[#This Row],[Nombre de Cuenta Contable]]</f>
        <v>4101002 - IVA Proveedores DS-19</v>
      </c>
      <c r="F1014" s="47" t="str">
        <f>+Cuenta_Clasificacion[[#This Row],[Codigo Concepto de imputación]]&amp;" - "&amp;Cuenta_Clasificacion[[#This Row],[Nombre Concepto de imputación]]</f>
        <v>10021 - Cierros</v>
      </c>
    </row>
    <row r="1015" spans="1:6" x14ac:dyDescent="0.25">
      <c r="A1015" s="43">
        <v>4101002</v>
      </c>
      <c r="B1015" t="s">
        <v>1498</v>
      </c>
      <c r="C1015" s="43">
        <v>10022</v>
      </c>
      <c r="D1015" t="s">
        <v>2729</v>
      </c>
      <c r="E1015" s="47" t="str">
        <f>+Cuenta_Clasificacion[[#This Row],[Código Cuenta Contable]]&amp;" - "&amp;Cuenta_Clasificacion[[#This Row],[Nombre de Cuenta Contable]]</f>
        <v>4101002 - IVA Proveedores DS-19</v>
      </c>
      <c r="F1015" s="47" t="str">
        <f>+Cuenta_Clasificacion[[#This Row],[Codigo Concepto de imputación]]&amp;" - "&amp;Cuenta_Clasificacion[[#This Row],[Nombre Concepto de imputación]]</f>
        <v>10022 - Combustibles</v>
      </c>
    </row>
    <row r="1016" spans="1:6" x14ac:dyDescent="0.25">
      <c r="A1016" s="43">
        <v>4101002</v>
      </c>
      <c r="B1016" t="s">
        <v>1498</v>
      </c>
      <c r="C1016" s="43">
        <v>10023</v>
      </c>
      <c r="D1016" t="s">
        <v>2730</v>
      </c>
      <c r="E1016" s="47" t="str">
        <f>+Cuenta_Clasificacion[[#This Row],[Código Cuenta Contable]]&amp;" - "&amp;Cuenta_Clasificacion[[#This Row],[Nombre de Cuenta Contable]]</f>
        <v>4101002 - IVA Proveedores DS-19</v>
      </c>
      <c r="F1016" s="47" t="str">
        <f>+Cuenta_Clasificacion[[#This Row],[Codigo Concepto de imputación]]&amp;" - "&amp;Cuenta_Clasificacion[[#This Row],[Nombre Concepto de imputación]]</f>
        <v>10023 - Cubrejuntas y Dilataciones</v>
      </c>
    </row>
    <row r="1017" spans="1:6" x14ac:dyDescent="0.25">
      <c r="A1017" s="43">
        <v>4101002</v>
      </c>
      <c r="B1017" t="s">
        <v>1498</v>
      </c>
      <c r="C1017" s="43">
        <v>10024</v>
      </c>
      <c r="D1017" t="s">
        <v>2731</v>
      </c>
      <c r="E1017" s="47" t="str">
        <f>+Cuenta_Clasificacion[[#This Row],[Código Cuenta Contable]]&amp;" - "&amp;Cuenta_Clasificacion[[#This Row],[Nombre de Cuenta Contable]]</f>
        <v>4101002 - IVA Proveedores DS-19</v>
      </c>
      <c r="F1017" s="47" t="str">
        <f>+Cuenta_Clasificacion[[#This Row],[Codigo Concepto de imputación]]&amp;" - "&amp;Cuenta_Clasificacion[[#This Row],[Nombre Concepto de imputación]]</f>
        <v>10024 - Dren</v>
      </c>
    </row>
    <row r="1018" spans="1:6" x14ac:dyDescent="0.25">
      <c r="A1018" s="43">
        <v>4101002</v>
      </c>
      <c r="B1018" t="s">
        <v>1498</v>
      </c>
      <c r="C1018" s="43">
        <v>10025</v>
      </c>
      <c r="D1018" t="s">
        <v>2732</v>
      </c>
      <c r="E1018" s="47" t="str">
        <f>+Cuenta_Clasificacion[[#This Row],[Código Cuenta Contable]]&amp;" - "&amp;Cuenta_Clasificacion[[#This Row],[Nombre de Cuenta Contable]]</f>
        <v>4101002 - IVA Proveedores DS-19</v>
      </c>
      <c r="F1018" s="47" t="str">
        <f>+Cuenta_Clasificacion[[#This Row],[Codigo Concepto de imputación]]&amp;" - "&amp;Cuenta_Clasificacion[[#This Row],[Nombre Concepto de imputación]]</f>
        <v>10025 - Elementos Seguridad</v>
      </c>
    </row>
    <row r="1019" spans="1:6" x14ac:dyDescent="0.25">
      <c r="A1019" s="43">
        <v>4101002</v>
      </c>
      <c r="B1019" t="s">
        <v>1498</v>
      </c>
      <c r="C1019" s="43">
        <v>10026</v>
      </c>
      <c r="D1019" t="s">
        <v>2733</v>
      </c>
      <c r="E1019" s="47" t="str">
        <f>+Cuenta_Clasificacion[[#This Row],[Código Cuenta Contable]]&amp;" - "&amp;Cuenta_Clasificacion[[#This Row],[Nombre de Cuenta Contable]]</f>
        <v>4101002 - IVA Proveedores DS-19</v>
      </c>
      <c r="F1019" s="47" t="str">
        <f>+Cuenta_Clasificacion[[#This Row],[Codigo Concepto de imputación]]&amp;" - "&amp;Cuenta_Clasificacion[[#This Row],[Nombre Concepto de imputación]]</f>
        <v>10026 - Ensayos</v>
      </c>
    </row>
    <row r="1020" spans="1:6" x14ac:dyDescent="0.25">
      <c r="A1020" s="43">
        <v>4101002</v>
      </c>
      <c r="B1020" t="s">
        <v>1498</v>
      </c>
      <c r="C1020" s="43">
        <v>10027</v>
      </c>
      <c r="D1020" t="s">
        <v>2734</v>
      </c>
      <c r="E1020" s="47" t="str">
        <f>+Cuenta_Clasificacion[[#This Row],[Código Cuenta Contable]]&amp;" - "&amp;Cuenta_Clasificacion[[#This Row],[Nombre de Cuenta Contable]]</f>
        <v>4101002 - IVA Proveedores DS-19</v>
      </c>
      <c r="F1020" s="47" t="str">
        <f>+Cuenta_Clasificacion[[#This Row],[Codigo Concepto de imputación]]&amp;" - "&amp;Cuenta_Clasificacion[[#This Row],[Nombre Concepto de imputación]]</f>
        <v>10027 - Eq Comp/Eléct Oficina</v>
      </c>
    </row>
    <row r="1021" spans="1:6" x14ac:dyDescent="0.25">
      <c r="A1021" s="43">
        <v>4101002</v>
      </c>
      <c r="B1021" t="s">
        <v>1498</v>
      </c>
      <c r="C1021" s="43">
        <v>10028</v>
      </c>
      <c r="D1021" t="s">
        <v>2696</v>
      </c>
      <c r="E1021" s="47" t="str">
        <f>+Cuenta_Clasificacion[[#This Row],[Código Cuenta Contable]]&amp;" - "&amp;Cuenta_Clasificacion[[#This Row],[Nombre de Cuenta Contable]]</f>
        <v>4101002 - IVA Proveedores DS-19</v>
      </c>
      <c r="F1021" s="47" t="str">
        <f>+Cuenta_Clasificacion[[#This Row],[Codigo Concepto de imputación]]&amp;" - "&amp;Cuenta_Clasificacion[[#This Row],[Nombre Concepto de imputación]]</f>
        <v>10028 - Equipamiento</v>
      </c>
    </row>
    <row r="1022" spans="1:6" x14ac:dyDescent="0.25">
      <c r="A1022" s="43">
        <v>4101002</v>
      </c>
      <c r="B1022" t="s">
        <v>1498</v>
      </c>
      <c r="C1022" s="43">
        <v>10029</v>
      </c>
      <c r="D1022" t="s">
        <v>2735</v>
      </c>
      <c r="E1022" s="47" t="str">
        <f>+Cuenta_Clasificacion[[#This Row],[Código Cuenta Contable]]&amp;" - "&amp;Cuenta_Clasificacion[[#This Row],[Nombre de Cuenta Contable]]</f>
        <v>4101002 - IVA Proveedores DS-19</v>
      </c>
      <c r="F1022" s="47" t="str">
        <f>+Cuenta_Clasificacion[[#This Row],[Codigo Concepto de imputación]]&amp;" - "&amp;Cuenta_Clasificacion[[#This Row],[Nombre Concepto de imputación]]</f>
        <v>10029 - Estructura Volcometal</v>
      </c>
    </row>
    <row r="1023" spans="1:6" x14ac:dyDescent="0.25">
      <c r="A1023" s="43">
        <v>4101002</v>
      </c>
      <c r="B1023" t="s">
        <v>1498</v>
      </c>
      <c r="C1023" s="43">
        <v>10030</v>
      </c>
      <c r="D1023" t="s">
        <v>2736</v>
      </c>
      <c r="E1023" s="47" t="str">
        <f>+Cuenta_Clasificacion[[#This Row],[Código Cuenta Contable]]&amp;" - "&amp;Cuenta_Clasificacion[[#This Row],[Nombre de Cuenta Contable]]</f>
        <v>4101002 - IVA Proveedores DS-19</v>
      </c>
      <c r="F1023" s="47" t="str">
        <f>+Cuenta_Clasificacion[[#This Row],[Codigo Concepto de imputación]]&amp;" - "&amp;Cuenta_Clasificacion[[#This Row],[Nombre Concepto de imputación]]</f>
        <v>10030 - Eventos y Recreac. Obra</v>
      </c>
    </row>
    <row r="1024" spans="1:6" x14ac:dyDescent="0.25">
      <c r="A1024" s="43">
        <v>4101002</v>
      </c>
      <c r="B1024" t="s">
        <v>1498</v>
      </c>
      <c r="C1024" s="43">
        <v>10031</v>
      </c>
      <c r="D1024" t="s">
        <v>2737</v>
      </c>
      <c r="E1024" s="47" t="str">
        <f>+Cuenta_Clasificacion[[#This Row],[Código Cuenta Contable]]&amp;" - "&amp;Cuenta_Clasificacion[[#This Row],[Nombre de Cuenta Contable]]</f>
        <v>4101002 - IVA Proveedores DS-19</v>
      </c>
      <c r="F1024" s="47" t="str">
        <f>+Cuenta_Clasificacion[[#This Row],[Codigo Concepto de imputación]]&amp;" - "&amp;Cuenta_Clasificacion[[#This Row],[Nombre Concepto de imputación]]</f>
        <v>10031 - Extracción Basura y Escombros</v>
      </c>
    </row>
    <row r="1025" spans="1:6" x14ac:dyDescent="0.25">
      <c r="A1025" s="43">
        <v>4101002</v>
      </c>
      <c r="B1025" t="s">
        <v>1498</v>
      </c>
      <c r="C1025" s="43">
        <v>10032</v>
      </c>
      <c r="D1025" t="s">
        <v>2738</v>
      </c>
      <c r="E1025" s="47" t="str">
        <f>+Cuenta_Clasificacion[[#This Row],[Código Cuenta Contable]]&amp;" - "&amp;Cuenta_Clasificacion[[#This Row],[Nombre de Cuenta Contable]]</f>
        <v>4101002 - IVA Proveedores DS-19</v>
      </c>
      <c r="F1025" s="47" t="str">
        <f>+Cuenta_Clasificacion[[#This Row],[Codigo Concepto de imputación]]&amp;" - "&amp;Cuenta_Clasificacion[[#This Row],[Nombre Concepto de imputación]]</f>
        <v>10032 - Fieltros y Barreras</v>
      </c>
    </row>
    <row r="1026" spans="1:6" x14ac:dyDescent="0.25">
      <c r="A1026" s="43">
        <v>4101002</v>
      </c>
      <c r="B1026" t="s">
        <v>1498</v>
      </c>
      <c r="C1026" s="43">
        <v>10033</v>
      </c>
      <c r="D1026" t="s">
        <v>2739</v>
      </c>
      <c r="E1026" s="47" t="str">
        <f>+Cuenta_Clasificacion[[#This Row],[Código Cuenta Contable]]&amp;" - "&amp;Cuenta_Clasificacion[[#This Row],[Nombre de Cuenta Contable]]</f>
        <v>4101002 - IVA Proveedores DS-19</v>
      </c>
      <c r="F1026" s="47" t="str">
        <f>+Cuenta_Clasificacion[[#This Row],[Codigo Concepto de imputación]]&amp;" - "&amp;Cuenta_Clasificacion[[#This Row],[Nombre Concepto de imputación]]</f>
        <v>10033 - Fierro</v>
      </c>
    </row>
    <row r="1027" spans="1:6" x14ac:dyDescent="0.25">
      <c r="A1027" s="43">
        <v>4101002</v>
      </c>
      <c r="B1027" t="s">
        <v>1498</v>
      </c>
      <c r="C1027" s="43">
        <v>10034</v>
      </c>
      <c r="D1027" t="s">
        <v>2740</v>
      </c>
      <c r="E1027" s="47" t="str">
        <f>+Cuenta_Clasificacion[[#This Row],[Código Cuenta Contable]]&amp;" - "&amp;Cuenta_Clasificacion[[#This Row],[Nombre de Cuenta Contable]]</f>
        <v>4101002 - IVA Proveedores DS-19</v>
      </c>
      <c r="F1027" s="47" t="str">
        <f>+Cuenta_Clasificacion[[#This Row],[Codigo Concepto de imputación]]&amp;" - "&amp;Cuenta_Clasificacion[[#This Row],[Nombre Concepto de imputación]]</f>
        <v>10034 - Fierro Redondo Liso</v>
      </c>
    </row>
    <row r="1028" spans="1:6" x14ac:dyDescent="0.25">
      <c r="A1028" s="43">
        <v>4101002</v>
      </c>
      <c r="B1028" t="s">
        <v>1498</v>
      </c>
      <c r="C1028" s="43">
        <v>10035</v>
      </c>
      <c r="D1028" t="s">
        <v>2741</v>
      </c>
      <c r="E1028" s="47" t="str">
        <f>+Cuenta_Clasificacion[[#This Row],[Código Cuenta Contable]]&amp;" - "&amp;Cuenta_Clasificacion[[#This Row],[Nombre de Cuenta Contable]]</f>
        <v>4101002 - IVA Proveedores DS-19</v>
      </c>
      <c r="F1028" s="47" t="str">
        <f>+Cuenta_Clasificacion[[#This Row],[Codigo Concepto de imputación]]&amp;" - "&amp;Cuenta_Clasificacion[[#This Row],[Nombre Concepto de imputación]]</f>
        <v>10035 - Fijaciones</v>
      </c>
    </row>
    <row r="1029" spans="1:6" x14ac:dyDescent="0.25">
      <c r="A1029" s="43">
        <v>4101002</v>
      </c>
      <c r="B1029" t="s">
        <v>1498</v>
      </c>
      <c r="C1029" s="43">
        <v>10036</v>
      </c>
      <c r="D1029" t="s">
        <v>2742</v>
      </c>
      <c r="E1029" s="47" t="str">
        <f>+Cuenta_Clasificacion[[#This Row],[Código Cuenta Contable]]&amp;" - "&amp;Cuenta_Clasificacion[[#This Row],[Nombre de Cuenta Contable]]</f>
        <v>4101002 - IVA Proveedores DS-19</v>
      </c>
      <c r="F1029" s="47" t="str">
        <f>+Cuenta_Clasificacion[[#This Row],[Codigo Concepto de imputación]]&amp;" - "&amp;Cuenta_Clasificacion[[#This Row],[Nombre Concepto de imputación]]</f>
        <v>10036 - Fitting</v>
      </c>
    </row>
    <row r="1030" spans="1:6" x14ac:dyDescent="0.25">
      <c r="A1030" s="43">
        <v>4101002</v>
      </c>
      <c r="B1030" t="s">
        <v>1498</v>
      </c>
      <c r="C1030" s="43">
        <v>10037</v>
      </c>
      <c r="D1030" t="s">
        <v>2743</v>
      </c>
      <c r="E1030" s="47" t="str">
        <f>+Cuenta_Clasificacion[[#This Row],[Código Cuenta Contable]]&amp;" - "&amp;Cuenta_Clasificacion[[#This Row],[Nombre de Cuenta Contable]]</f>
        <v>4101002 - IVA Proveedores DS-19</v>
      </c>
      <c r="F1030" s="47" t="str">
        <f>+Cuenta_Clasificacion[[#This Row],[Codigo Concepto de imputación]]&amp;" - "&amp;Cuenta_Clasificacion[[#This Row],[Nombre Concepto de imputación]]</f>
        <v>10037 - Flete Perfiles</v>
      </c>
    </row>
    <row r="1031" spans="1:6" x14ac:dyDescent="0.25">
      <c r="A1031" s="43">
        <v>4101002</v>
      </c>
      <c r="B1031" t="s">
        <v>1498</v>
      </c>
      <c r="C1031" s="43">
        <v>10038</v>
      </c>
      <c r="D1031" t="s">
        <v>2697</v>
      </c>
      <c r="E1031" s="47" t="str">
        <f>+Cuenta_Clasificacion[[#This Row],[Código Cuenta Contable]]&amp;" - "&amp;Cuenta_Clasificacion[[#This Row],[Nombre de Cuenta Contable]]</f>
        <v>4101002 - IVA Proveedores DS-19</v>
      </c>
      <c r="F1031" s="47" t="str">
        <f>+Cuenta_Clasificacion[[#This Row],[Codigo Concepto de imputación]]&amp;" - "&amp;Cuenta_Clasificacion[[#This Row],[Nombre Concepto de imputación]]</f>
        <v>10038 - Fletes (por orden de compra)</v>
      </c>
    </row>
    <row r="1032" spans="1:6" x14ac:dyDescent="0.25">
      <c r="A1032" s="43">
        <v>4101002</v>
      </c>
      <c r="B1032" t="s">
        <v>1498</v>
      </c>
      <c r="C1032" s="43">
        <v>10039</v>
      </c>
      <c r="D1032" t="s">
        <v>2744</v>
      </c>
      <c r="E1032" s="47" t="str">
        <f>+Cuenta_Clasificacion[[#This Row],[Código Cuenta Contable]]&amp;" - "&amp;Cuenta_Clasificacion[[#This Row],[Nombre de Cuenta Contable]]</f>
        <v>4101002 - IVA Proveedores DS-19</v>
      </c>
      <c r="F1032" s="47" t="str">
        <f>+Cuenta_Clasificacion[[#This Row],[Codigo Concepto de imputación]]&amp;" - "&amp;Cuenta_Clasificacion[[#This Row],[Nombre Concepto de imputación]]</f>
        <v>10039 - Grifería</v>
      </c>
    </row>
    <row r="1033" spans="1:6" x14ac:dyDescent="0.25">
      <c r="A1033" s="43">
        <v>4101002</v>
      </c>
      <c r="B1033" t="s">
        <v>1498</v>
      </c>
      <c r="C1033" s="43">
        <v>10040</v>
      </c>
      <c r="D1033" t="s">
        <v>2745</v>
      </c>
      <c r="E1033" s="47" t="str">
        <f>+Cuenta_Clasificacion[[#This Row],[Código Cuenta Contable]]&amp;" - "&amp;Cuenta_Clasificacion[[#This Row],[Nombre de Cuenta Contable]]</f>
        <v>4101002 - IVA Proveedores DS-19</v>
      </c>
      <c r="F1033" s="47" t="str">
        <f>+Cuenta_Clasificacion[[#This Row],[Codigo Concepto de imputación]]&amp;" - "&amp;Cuenta_Clasificacion[[#This Row],[Nombre Concepto de imputación]]</f>
        <v>10040 - Herramientas</v>
      </c>
    </row>
    <row r="1034" spans="1:6" x14ac:dyDescent="0.25">
      <c r="A1034" s="43">
        <v>4101002</v>
      </c>
      <c r="B1034" t="s">
        <v>1498</v>
      </c>
      <c r="C1034" s="43">
        <v>10041</v>
      </c>
      <c r="D1034" t="s">
        <v>2746</v>
      </c>
      <c r="E1034" s="47" t="str">
        <f>+Cuenta_Clasificacion[[#This Row],[Código Cuenta Contable]]&amp;" - "&amp;Cuenta_Clasificacion[[#This Row],[Nombre de Cuenta Contable]]</f>
        <v>4101002 - IVA Proveedores DS-19</v>
      </c>
      <c r="F1034" s="47" t="str">
        <f>+Cuenta_Clasificacion[[#This Row],[Codigo Concepto de imputación]]&amp;" - "&amp;Cuenta_Clasificacion[[#This Row],[Nombre Concepto de imputación]]</f>
        <v>10041 - Hojalatería y Techumbres</v>
      </c>
    </row>
    <row r="1035" spans="1:6" x14ac:dyDescent="0.25">
      <c r="A1035" s="43">
        <v>4101002</v>
      </c>
      <c r="B1035" t="s">
        <v>1498</v>
      </c>
      <c r="C1035" s="43">
        <v>10042</v>
      </c>
      <c r="D1035" t="s">
        <v>2698</v>
      </c>
      <c r="E1035" s="47" t="str">
        <f>+Cuenta_Clasificacion[[#This Row],[Código Cuenta Contable]]&amp;" - "&amp;Cuenta_Clasificacion[[#This Row],[Nombre de Cuenta Contable]]</f>
        <v>4101002 - IVA Proveedores DS-19</v>
      </c>
      <c r="F1035" s="47" t="str">
        <f>+Cuenta_Clasificacion[[#This Row],[Codigo Concepto de imputación]]&amp;" - "&amp;Cuenta_Clasificacion[[#This Row],[Nombre Concepto de imputación]]</f>
        <v>10042 - Hormigones</v>
      </c>
    </row>
    <row r="1036" spans="1:6" x14ac:dyDescent="0.25">
      <c r="A1036" s="43">
        <v>4101002</v>
      </c>
      <c r="B1036" t="s">
        <v>1498</v>
      </c>
      <c r="C1036" s="43">
        <v>10043</v>
      </c>
      <c r="D1036" t="s">
        <v>2747</v>
      </c>
      <c r="E1036" s="47" t="str">
        <f>+Cuenta_Clasificacion[[#This Row],[Código Cuenta Contable]]&amp;" - "&amp;Cuenta_Clasificacion[[#This Row],[Nombre de Cuenta Contable]]</f>
        <v>4101002 - IVA Proveedores DS-19</v>
      </c>
      <c r="F1036" s="47" t="str">
        <f>+Cuenta_Clasificacion[[#This Row],[Codigo Concepto de imputación]]&amp;" - "&amp;Cuenta_Clasificacion[[#This Row],[Nombre Concepto de imputación]]</f>
        <v>10043 - Hta Menor</v>
      </c>
    </row>
    <row r="1037" spans="1:6" x14ac:dyDescent="0.25">
      <c r="A1037" s="43">
        <v>4101002</v>
      </c>
      <c r="B1037" t="s">
        <v>1498</v>
      </c>
      <c r="C1037" s="43">
        <v>10044</v>
      </c>
      <c r="D1037" t="s">
        <v>2748</v>
      </c>
      <c r="E1037" s="47" t="str">
        <f>+Cuenta_Clasificacion[[#This Row],[Código Cuenta Contable]]&amp;" - "&amp;Cuenta_Clasificacion[[#This Row],[Nombre de Cuenta Contable]]</f>
        <v>4101002 - IVA Proveedores DS-19</v>
      </c>
      <c r="F1037" s="47" t="str">
        <f>+Cuenta_Clasificacion[[#This Row],[Codigo Concepto de imputación]]&amp;" - "&amp;Cuenta_Clasificacion[[#This Row],[Nombre Concepto de imputación]]</f>
        <v>10044 - Incendio y Alarmas</v>
      </c>
    </row>
    <row r="1038" spans="1:6" x14ac:dyDescent="0.25">
      <c r="A1038" s="43">
        <v>4101002</v>
      </c>
      <c r="B1038" t="s">
        <v>1498</v>
      </c>
      <c r="C1038" s="43">
        <v>10045</v>
      </c>
      <c r="D1038" t="s">
        <v>2749</v>
      </c>
      <c r="E1038" s="47" t="str">
        <f>+Cuenta_Clasificacion[[#This Row],[Código Cuenta Contable]]&amp;" - "&amp;Cuenta_Clasificacion[[#This Row],[Nombre de Cuenta Contable]]</f>
        <v>4101002 - IVA Proveedores DS-19</v>
      </c>
      <c r="F1038" s="47" t="str">
        <f>+Cuenta_Clasificacion[[#This Row],[Codigo Concepto de imputación]]&amp;" - "&amp;Cuenta_Clasificacion[[#This Row],[Nombre Concepto de imputación]]</f>
        <v>10045 - Insumos</v>
      </c>
    </row>
    <row r="1039" spans="1:6" x14ac:dyDescent="0.25">
      <c r="A1039" s="43">
        <v>4101002</v>
      </c>
      <c r="B1039" t="s">
        <v>1498</v>
      </c>
      <c r="C1039" s="43">
        <v>10046</v>
      </c>
      <c r="D1039" t="s">
        <v>2750</v>
      </c>
      <c r="E1039" s="47" t="str">
        <f>+Cuenta_Clasificacion[[#This Row],[Código Cuenta Contable]]&amp;" - "&amp;Cuenta_Clasificacion[[#This Row],[Nombre de Cuenta Contable]]</f>
        <v>4101002 - IVA Proveedores DS-19</v>
      </c>
      <c r="F1039" s="47" t="str">
        <f>+Cuenta_Clasificacion[[#This Row],[Codigo Concepto de imputación]]&amp;" - "&amp;Cuenta_Clasificacion[[#This Row],[Nombre Concepto de imputación]]</f>
        <v>10046 - Izaje</v>
      </c>
    </row>
    <row r="1040" spans="1:6" x14ac:dyDescent="0.25">
      <c r="A1040" s="43">
        <v>4101002</v>
      </c>
      <c r="B1040" t="s">
        <v>1498</v>
      </c>
      <c r="C1040" s="43">
        <v>10047</v>
      </c>
      <c r="D1040" t="s">
        <v>2751</v>
      </c>
      <c r="E1040" s="47" t="str">
        <f>+Cuenta_Clasificacion[[#This Row],[Código Cuenta Contable]]&amp;" - "&amp;Cuenta_Clasificacion[[#This Row],[Nombre de Cuenta Contable]]</f>
        <v>4101002 - IVA Proveedores DS-19</v>
      </c>
      <c r="F1040" s="47" t="str">
        <f>+Cuenta_Clasificacion[[#This Row],[Codigo Concepto de imputación]]&amp;" - "&amp;Cuenta_Clasificacion[[#This Row],[Nombre Concepto de imputación]]</f>
        <v>10047 - Jardinería</v>
      </c>
    </row>
    <row r="1041" spans="1:6" x14ac:dyDescent="0.25">
      <c r="A1041" s="43">
        <v>4101002</v>
      </c>
      <c r="B1041" t="s">
        <v>1498</v>
      </c>
      <c r="C1041" s="43">
        <v>10048</v>
      </c>
      <c r="D1041" t="s">
        <v>2752</v>
      </c>
      <c r="E1041" s="47" t="str">
        <f>+Cuenta_Clasificacion[[#This Row],[Código Cuenta Contable]]&amp;" - "&amp;Cuenta_Clasificacion[[#This Row],[Nombre de Cuenta Contable]]</f>
        <v>4101002 - IVA Proveedores DS-19</v>
      </c>
      <c r="F1041" s="47" t="str">
        <f>+Cuenta_Clasificacion[[#This Row],[Codigo Concepto de imputación]]&amp;" - "&amp;Cuenta_Clasificacion[[#This Row],[Nombre Concepto de imputación]]</f>
        <v>10048 - Ladrillos</v>
      </c>
    </row>
    <row r="1042" spans="1:6" x14ac:dyDescent="0.25">
      <c r="A1042" s="43">
        <v>4101002</v>
      </c>
      <c r="B1042" t="s">
        <v>1498</v>
      </c>
      <c r="C1042" s="43">
        <v>10049</v>
      </c>
      <c r="D1042" t="s">
        <v>2753</v>
      </c>
      <c r="E1042" s="47" t="str">
        <f>+Cuenta_Clasificacion[[#This Row],[Código Cuenta Contable]]&amp;" - "&amp;Cuenta_Clasificacion[[#This Row],[Nombre de Cuenta Contable]]</f>
        <v>4101002 - IVA Proveedores DS-19</v>
      </c>
      <c r="F1042" s="47" t="str">
        <f>+Cuenta_Clasificacion[[#This Row],[Codigo Concepto de imputación]]&amp;" - "&amp;Cuenta_Clasificacion[[#This Row],[Nombre Concepto de imputación]]</f>
        <v>10049 - Licencias Softwares</v>
      </c>
    </row>
    <row r="1043" spans="1:6" x14ac:dyDescent="0.25">
      <c r="A1043" s="43">
        <v>4101002</v>
      </c>
      <c r="B1043" t="s">
        <v>1498</v>
      </c>
      <c r="C1043" s="43">
        <v>10050</v>
      </c>
      <c r="D1043" t="s">
        <v>2754</v>
      </c>
      <c r="E1043" s="47" t="str">
        <f>+Cuenta_Clasificacion[[#This Row],[Código Cuenta Contable]]&amp;" - "&amp;Cuenta_Clasificacion[[#This Row],[Nombre de Cuenta Contable]]</f>
        <v>4101002 - IVA Proveedores DS-19</v>
      </c>
      <c r="F1043" s="47" t="str">
        <f>+Cuenta_Clasificacion[[#This Row],[Codigo Concepto de imputación]]&amp;" - "&amp;Cuenta_Clasificacion[[#This Row],[Nombre Concepto de imputación]]</f>
        <v>10050 - Lubricantes</v>
      </c>
    </row>
    <row r="1044" spans="1:6" x14ac:dyDescent="0.25">
      <c r="A1044" s="43">
        <v>4101002</v>
      </c>
      <c r="B1044" t="s">
        <v>1498</v>
      </c>
      <c r="C1044" s="43">
        <v>10051</v>
      </c>
      <c r="D1044" t="s">
        <v>2755</v>
      </c>
      <c r="E1044" s="47" t="str">
        <f>+Cuenta_Clasificacion[[#This Row],[Código Cuenta Contable]]&amp;" - "&amp;Cuenta_Clasificacion[[#This Row],[Nombre de Cuenta Contable]]</f>
        <v>4101002 - IVA Proveedores DS-19</v>
      </c>
      <c r="F1044" s="47" t="str">
        <f>+Cuenta_Clasificacion[[#This Row],[Codigo Concepto de imputación]]&amp;" - "&amp;Cuenta_Clasificacion[[#This Row],[Nombre Concepto de imputación]]</f>
        <v>10051 - Luminarias</v>
      </c>
    </row>
    <row r="1045" spans="1:6" x14ac:dyDescent="0.25">
      <c r="A1045" s="43">
        <v>4101002</v>
      </c>
      <c r="B1045" t="s">
        <v>1498</v>
      </c>
      <c r="C1045" s="43">
        <v>10052</v>
      </c>
      <c r="D1045" t="s">
        <v>2756</v>
      </c>
      <c r="E1045" s="47" t="str">
        <f>+Cuenta_Clasificacion[[#This Row],[Código Cuenta Contable]]&amp;" - "&amp;Cuenta_Clasificacion[[#This Row],[Nombre de Cuenta Contable]]</f>
        <v>4101002 - IVA Proveedores DS-19</v>
      </c>
      <c r="F1045" s="47" t="str">
        <f>+Cuenta_Clasificacion[[#This Row],[Codigo Concepto de imputación]]&amp;" - "&amp;Cuenta_Clasificacion[[#This Row],[Nombre Concepto de imputación]]</f>
        <v>10052 - Maderas</v>
      </c>
    </row>
    <row r="1046" spans="1:6" x14ac:dyDescent="0.25">
      <c r="A1046" s="43">
        <v>4101002</v>
      </c>
      <c r="B1046" t="s">
        <v>1498</v>
      </c>
      <c r="C1046" s="43">
        <v>10053</v>
      </c>
      <c r="D1046" t="s">
        <v>2757</v>
      </c>
      <c r="E1046" s="47" t="str">
        <f>+Cuenta_Clasificacion[[#This Row],[Código Cuenta Contable]]&amp;" - "&amp;Cuenta_Clasificacion[[#This Row],[Nombre de Cuenta Contable]]</f>
        <v>4101002 - IVA Proveedores DS-19</v>
      </c>
      <c r="F1046" s="47" t="str">
        <f>+Cuenta_Clasificacion[[#This Row],[Codigo Concepto de imputación]]&amp;" - "&amp;Cuenta_Clasificacion[[#This Row],[Nombre Concepto de imputación]]</f>
        <v>10053 - Malla Acma</v>
      </c>
    </row>
    <row r="1047" spans="1:6" x14ac:dyDescent="0.25">
      <c r="A1047" s="43">
        <v>4101002</v>
      </c>
      <c r="B1047" t="s">
        <v>1498</v>
      </c>
      <c r="C1047" s="43">
        <v>10054</v>
      </c>
      <c r="D1047" t="s">
        <v>2758</v>
      </c>
      <c r="E1047" s="47" t="str">
        <f>+Cuenta_Clasificacion[[#This Row],[Código Cuenta Contable]]&amp;" - "&amp;Cuenta_Clasificacion[[#This Row],[Nombre de Cuenta Contable]]</f>
        <v>4101002 - IVA Proveedores DS-19</v>
      </c>
      <c r="F1047" s="47" t="str">
        <f>+Cuenta_Clasificacion[[#This Row],[Codigo Concepto de imputación]]&amp;" - "&amp;Cuenta_Clasificacion[[#This Row],[Nombre Concepto de imputación]]</f>
        <v>10054 - Malla Raschel</v>
      </c>
    </row>
    <row r="1048" spans="1:6" x14ac:dyDescent="0.25">
      <c r="A1048" s="43">
        <v>4101002</v>
      </c>
      <c r="B1048" t="s">
        <v>1498</v>
      </c>
      <c r="C1048" s="43">
        <v>10055</v>
      </c>
      <c r="D1048" t="s">
        <v>2759</v>
      </c>
      <c r="E1048" s="47" t="str">
        <f>+Cuenta_Clasificacion[[#This Row],[Código Cuenta Contable]]&amp;" - "&amp;Cuenta_Clasificacion[[#This Row],[Nombre de Cuenta Contable]]</f>
        <v>4101002 - IVA Proveedores DS-19</v>
      </c>
      <c r="F1048" s="47" t="str">
        <f>+Cuenta_Clasificacion[[#This Row],[Codigo Concepto de imputación]]&amp;" - "&amp;Cuenta_Clasificacion[[#This Row],[Nombre Concepto de imputación]]</f>
        <v>10055 - Mallas Varias</v>
      </c>
    </row>
    <row r="1049" spans="1:6" x14ac:dyDescent="0.25">
      <c r="A1049" s="43">
        <v>4101002</v>
      </c>
      <c r="B1049" t="s">
        <v>1498</v>
      </c>
      <c r="C1049" s="43">
        <v>10056</v>
      </c>
      <c r="D1049" t="s">
        <v>2760</v>
      </c>
      <c r="E1049" s="47" t="str">
        <f>+Cuenta_Clasificacion[[#This Row],[Código Cuenta Contable]]&amp;" - "&amp;Cuenta_Clasificacion[[#This Row],[Nombre de Cuenta Contable]]</f>
        <v>4101002 - IVA Proveedores DS-19</v>
      </c>
      <c r="F1049" s="47" t="str">
        <f>+Cuenta_Clasificacion[[#This Row],[Codigo Concepto de imputación]]&amp;" - "&amp;Cuenta_Clasificacion[[#This Row],[Nombre Concepto de imputación]]</f>
        <v>10056 - Mangueras</v>
      </c>
    </row>
    <row r="1050" spans="1:6" x14ac:dyDescent="0.25">
      <c r="A1050" s="43">
        <v>4101002</v>
      </c>
      <c r="B1050" t="s">
        <v>1498</v>
      </c>
      <c r="C1050" s="43">
        <v>10057</v>
      </c>
      <c r="D1050" t="s">
        <v>2761</v>
      </c>
      <c r="E1050" s="47" t="str">
        <f>+Cuenta_Clasificacion[[#This Row],[Código Cuenta Contable]]&amp;" - "&amp;Cuenta_Clasificacion[[#This Row],[Nombre de Cuenta Contable]]</f>
        <v>4101002 - IVA Proveedores DS-19</v>
      </c>
      <c r="F1050" s="47" t="str">
        <f>+Cuenta_Clasificacion[[#This Row],[Codigo Concepto de imputación]]&amp;" - "&amp;Cuenta_Clasificacion[[#This Row],[Nombre Concepto de imputación]]</f>
        <v>10057 - Molduras</v>
      </c>
    </row>
    <row r="1051" spans="1:6" x14ac:dyDescent="0.25">
      <c r="A1051" s="43">
        <v>4101002</v>
      </c>
      <c r="B1051" t="s">
        <v>1498</v>
      </c>
      <c r="C1051" s="43">
        <v>10058</v>
      </c>
      <c r="D1051" t="s">
        <v>2762</v>
      </c>
      <c r="E1051" s="47" t="str">
        <f>+Cuenta_Clasificacion[[#This Row],[Código Cuenta Contable]]&amp;" - "&amp;Cuenta_Clasificacion[[#This Row],[Nombre de Cuenta Contable]]</f>
        <v>4101002 - IVA Proveedores DS-19</v>
      </c>
      <c r="F1051" s="47" t="str">
        <f>+Cuenta_Clasificacion[[#This Row],[Codigo Concepto de imputación]]&amp;" - "&amp;Cuenta_Clasificacion[[#This Row],[Nombre Concepto de imputación]]</f>
        <v>10058 - Morteros e Impermeabilizantes</v>
      </c>
    </row>
    <row r="1052" spans="1:6" x14ac:dyDescent="0.25">
      <c r="A1052" s="43">
        <v>4101002</v>
      </c>
      <c r="B1052" t="s">
        <v>1498</v>
      </c>
      <c r="C1052" s="43">
        <v>10059</v>
      </c>
      <c r="D1052" t="s">
        <v>2763</v>
      </c>
      <c r="E1052" s="47" t="str">
        <f>+Cuenta_Clasificacion[[#This Row],[Código Cuenta Contable]]&amp;" - "&amp;Cuenta_Clasificacion[[#This Row],[Nombre de Cuenta Contable]]</f>
        <v>4101002 - IVA Proveedores DS-19</v>
      </c>
      <c r="F1052" s="47" t="str">
        <f>+Cuenta_Clasificacion[[#This Row],[Codigo Concepto de imputación]]&amp;" - "&amp;Cuenta_Clasificacion[[#This Row],[Nombre Concepto de imputación]]</f>
        <v>10059 - Muebles</v>
      </c>
    </row>
    <row r="1053" spans="1:6" x14ac:dyDescent="0.25">
      <c r="A1053" s="43">
        <v>4101002</v>
      </c>
      <c r="B1053" t="s">
        <v>1498</v>
      </c>
      <c r="C1053" s="43">
        <v>10060</v>
      </c>
      <c r="D1053" t="s">
        <v>2764</v>
      </c>
      <c r="E1053" s="47" t="str">
        <f>+Cuenta_Clasificacion[[#This Row],[Código Cuenta Contable]]&amp;" - "&amp;Cuenta_Clasificacion[[#This Row],[Nombre de Cuenta Contable]]</f>
        <v>4101002 - IVA Proveedores DS-19</v>
      </c>
      <c r="F1053" s="47" t="str">
        <f>+Cuenta_Clasificacion[[#This Row],[Codigo Concepto de imputación]]&amp;" - "&amp;Cuenta_Clasificacion[[#This Row],[Nombre Concepto de imputación]]</f>
        <v>10060 - Muebles e Inst Faena</v>
      </c>
    </row>
    <row r="1054" spans="1:6" x14ac:dyDescent="0.25">
      <c r="A1054" s="43">
        <v>4101002</v>
      </c>
      <c r="B1054" t="s">
        <v>1498</v>
      </c>
      <c r="C1054" s="43">
        <v>10061</v>
      </c>
      <c r="D1054" t="s">
        <v>2765</v>
      </c>
      <c r="E1054" s="47" t="str">
        <f>+Cuenta_Clasificacion[[#This Row],[Código Cuenta Contable]]&amp;" - "&amp;Cuenta_Clasificacion[[#This Row],[Nombre de Cuenta Contable]]</f>
        <v>4101002 - IVA Proveedores DS-19</v>
      </c>
      <c r="F1054" s="47" t="str">
        <f>+Cuenta_Clasificacion[[#This Row],[Codigo Concepto de imputación]]&amp;" - "&amp;Cuenta_Clasificacion[[#This Row],[Nombre Concepto de imputación]]</f>
        <v>10061 - Papel Mural</v>
      </c>
    </row>
    <row r="1055" spans="1:6" x14ac:dyDescent="0.25">
      <c r="A1055" s="43">
        <v>4101002</v>
      </c>
      <c r="B1055" t="s">
        <v>1498</v>
      </c>
      <c r="C1055" s="43">
        <v>10062</v>
      </c>
      <c r="D1055" t="s">
        <v>2766</v>
      </c>
      <c r="E1055" s="47" t="str">
        <f>+Cuenta_Clasificacion[[#This Row],[Código Cuenta Contable]]&amp;" - "&amp;Cuenta_Clasificacion[[#This Row],[Nombre de Cuenta Contable]]</f>
        <v>4101002 - IVA Proveedores DS-19</v>
      </c>
      <c r="F1055" s="47" t="str">
        <f>+Cuenta_Clasificacion[[#This Row],[Codigo Concepto de imputación]]&amp;" - "&amp;Cuenta_Clasificacion[[#This Row],[Nombre Concepto de imputación]]</f>
        <v>10062 - Pavimentos</v>
      </c>
    </row>
    <row r="1056" spans="1:6" x14ac:dyDescent="0.25">
      <c r="A1056" s="43">
        <v>4101002</v>
      </c>
      <c r="B1056" t="s">
        <v>1498</v>
      </c>
      <c r="C1056" s="43">
        <v>10063</v>
      </c>
      <c r="D1056" t="s">
        <v>2767</v>
      </c>
      <c r="E1056" s="47" t="str">
        <f>+Cuenta_Clasificacion[[#This Row],[Código Cuenta Contable]]&amp;" - "&amp;Cuenta_Clasificacion[[#This Row],[Nombre de Cuenta Contable]]</f>
        <v>4101002 - IVA Proveedores DS-19</v>
      </c>
      <c r="F1056" s="47" t="str">
        <f>+Cuenta_Clasificacion[[#This Row],[Codigo Concepto de imputación]]&amp;" - "&amp;Cuenta_Clasificacion[[#This Row],[Nombre Concepto de imputación]]</f>
        <v>10063 - Pendones</v>
      </c>
    </row>
    <row r="1057" spans="1:6" x14ac:dyDescent="0.25">
      <c r="A1057" s="43">
        <v>4101002</v>
      </c>
      <c r="B1057" t="s">
        <v>1498</v>
      </c>
      <c r="C1057" s="43">
        <v>10064</v>
      </c>
      <c r="D1057" t="s">
        <v>2768</v>
      </c>
      <c r="E1057" s="47" t="str">
        <f>+Cuenta_Clasificacion[[#This Row],[Código Cuenta Contable]]&amp;" - "&amp;Cuenta_Clasificacion[[#This Row],[Nombre de Cuenta Contable]]</f>
        <v>4101002 - IVA Proveedores DS-19</v>
      </c>
      <c r="F1057" s="47" t="str">
        <f>+Cuenta_Clasificacion[[#This Row],[Codigo Concepto de imputación]]&amp;" - "&amp;Cuenta_Clasificacion[[#This Row],[Nombre Concepto de imputación]]</f>
        <v>10064 - Perfiles y Tubos</v>
      </c>
    </row>
    <row r="1058" spans="1:6" x14ac:dyDescent="0.25">
      <c r="A1058" s="43">
        <v>4101002</v>
      </c>
      <c r="B1058" t="s">
        <v>1498</v>
      </c>
      <c r="C1058" s="43">
        <v>10065</v>
      </c>
      <c r="D1058" t="s">
        <v>2769</v>
      </c>
      <c r="E1058" s="47" t="str">
        <f>+Cuenta_Clasificacion[[#This Row],[Código Cuenta Contable]]&amp;" - "&amp;Cuenta_Clasificacion[[#This Row],[Nombre de Cuenta Contable]]</f>
        <v>4101002 - IVA Proveedores DS-19</v>
      </c>
      <c r="F1058" s="47" t="str">
        <f>+Cuenta_Clasificacion[[#This Row],[Codigo Concepto de imputación]]&amp;" - "&amp;Cuenta_Clasificacion[[#This Row],[Nombre Concepto de imputación]]</f>
        <v>10065 - Persianas</v>
      </c>
    </row>
    <row r="1059" spans="1:6" x14ac:dyDescent="0.25">
      <c r="A1059" s="43">
        <v>4101002</v>
      </c>
      <c r="B1059" t="s">
        <v>1498</v>
      </c>
      <c r="C1059" s="43">
        <v>10066</v>
      </c>
      <c r="D1059" t="s">
        <v>2770</v>
      </c>
      <c r="E1059" s="47" t="str">
        <f>+Cuenta_Clasificacion[[#This Row],[Código Cuenta Contable]]&amp;" - "&amp;Cuenta_Clasificacion[[#This Row],[Nombre de Cuenta Contable]]</f>
        <v>4101002 - IVA Proveedores DS-19</v>
      </c>
      <c r="F1059" s="47" t="str">
        <f>+Cuenta_Clasificacion[[#This Row],[Codigo Concepto de imputación]]&amp;" - "&amp;Cuenta_Clasificacion[[#This Row],[Nombre Concepto de imputación]]</f>
        <v>10066 - Pinturas</v>
      </c>
    </row>
    <row r="1060" spans="1:6" x14ac:dyDescent="0.25">
      <c r="A1060" s="43">
        <v>4101002</v>
      </c>
      <c r="B1060" t="s">
        <v>1498</v>
      </c>
      <c r="C1060" s="43">
        <v>10067</v>
      </c>
      <c r="D1060" t="s">
        <v>2771</v>
      </c>
      <c r="E1060" s="47" t="str">
        <f>+Cuenta_Clasificacion[[#This Row],[Código Cuenta Contable]]&amp;" - "&amp;Cuenta_Clasificacion[[#This Row],[Nombre de Cuenta Contable]]</f>
        <v>4101002 - IVA Proveedores DS-19</v>
      </c>
      <c r="F1060" s="47" t="str">
        <f>+Cuenta_Clasificacion[[#This Row],[Codigo Concepto de imputación]]&amp;" - "&amp;Cuenta_Clasificacion[[#This Row],[Nombre Concepto de imputación]]</f>
        <v>10067 - Piscinas</v>
      </c>
    </row>
    <row r="1061" spans="1:6" x14ac:dyDescent="0.25">
      <c r="A1061" s="43">
        <v>4101002</v>
      </c>
      <c r="B1061" t="s">
        <v>1498</v>
      </c>
      <c r="C1061" s="43">
        <v>10068</v>
      </c>
      <c r="D1061" t="s">
        <v>2772</v>
      </c>
      <c r="E1061" s="47" t="str">
        <f>+Cuenta_Clasificacion[[#This Row],[Código Cuenta Contable]]&amp;" - "&amp;Cuenta_Clasificacion[[#This Row],[Nombre de Cuenta Contable]]</f>
        <v>4101002 - IVA Proveedores DS-19</v>
      </c>
      <c r="F1061" s="47" t="str">
        <f>+Cuenta_Clasificacion[[#This Row],[Codigo Concepto de imputación]]&amp;" - "&amp;Cuenta_Clasificacion[[#This Row],[Nombre Concepto de imputación]]</f>
        <v>10068 - Placas Aglomeradas</v>
      </c>
    </row>
    <row r="1062" spans="1:6" x14ac:dyDescent="0.25">
      <c r="A1062" s="43">
        <v>4101002</v>
      </c>
      <c r="B1062" t="s">
        <v>1498</v>
      </c>
      <c r="C1062" s="43">
        <v>10069</v>
      </c>
      <c r="D1062" t="s">
        <v>2773</v>
      </c>
      <c r="E1062" s="47" t="str">
        <f>+Cuenta_Clasificacion[[#This Row],[Código Cuenta Contable]]&amp;" - "&amp;Cuenta_Clasificacion[[#This Row],[Nombre de Cuenta Contable]]</f>
        <v>4101002 - IVA Proveedores DS-19</v>
      </c>
      <c r="F1062" s="47" t="str">
        <f>+Cuenta_Clasificacion[[#This Row],[Codigo Concepto de imputación]]&amp;" - "&amp;Cuenta_Clasificacion[[#This Row],[Nombre Concepto de imputación]]</f>
        <v>10069 - Planchas</v>
      </c>
    </row>
    <row r="1063" spans="1:6" x14ac:dyDescent="0.25">
      <c r="A1063" s="43">
        <v>4101002</v>
      </c>
      <c r="B1063" t="s">
        <v>1498</v>
      </c>
      <c r="C1063" s="43">
        <v>10070</v>
      </c>
      <c r="D1063" t="s">
        <v>2774</v>
      </c>
      <c r="E1063" s="47" t="str">
        <f>+Cuenta_Clasificacion[[#This Row],[Código Cuenta Contable]]&amp;" - "&amp;Cuenta_Clasificacion[[#This Row],[Nombre de Cuenta Contable]]</f>
        <v>4101002 - IVA Proveedores DS-19</v>
      </c>
      <c r="F1063" s="47" t="str">
        <f>+Cuenta_Clasificacion[[#This Row],[Codigo Concepto de imputación]]&amp;" - "&amp;Cuenta_Clasificacion[[#This Row],[Nombre Concepto de imputación]]</f>
        <v>10070 - Prefabricados Hormigón</v>
      </c>
    </row>
    <row r="1064" spans="1:6" x14ac:dyDescent="0.25">
      <c r="A1064" s="43">
        <v>4101002</v>
      </c>
      <c r="B1064" t="s">
        <v>1498</v>
      </c>
      <c r="C1064" s="43">
        <v>10071</v>
      </c>
      <c r="D1064" t="s">
        <v>2775</v>
      </c>
      <c r="E1064" s="47" t="str">
        <f>+Cuenta_Clasificacion[[#This Row],[Código Cuenta Contable]]&amp;" - "&amp;Cuenta_Clasificacion[[#This Row],[Nombre de Cuenta Contable]]</f>
        <v>4101002 - IVA Proveedores DS-19</v>
      </c>
      <c r="F1064" s="47" t="str">
        <f>+Cuenta_Clasificacion[[#This Row],[Codigo Concepto de imputación]]&amp;" - "&amp;Cuenta_Clasificacion[[#This Row],[Nombre Concepto de imputación]]</f>
        <v>10071 - Puertas y Ventanas</v>
      </c>
    </row>
    <row r="1065" spans="1:6" x14ac:dyDescent="0.25">
      <c r="A1065" s="43">
        <v>4101002</v>
      </c>
      <c r="B1065" t="s">
        <v>1498</v>
      </c>
      <c r="C1065" s="43">
        <v>10072</v>
      </c>
      <c r="D1065" t="s">
        <v>2776</v>
      </c>
      <c r="E1065" s="47" t="str">
        <f>+Cuenta_Clasificacion[[#This Row],[Código Cuenta Contable]]&amp;" - "&amp;Cuenta_Clasificacion[[#This Row],[Nombre de Cuenta Contable]]</f>
        <v>4101002 - IVA Proveedores DS-19</v>
      </c>
      <c r="F1065" s="47" t="str">
        <f>+Cuenta_Clasificacion[[#This Row],[Codigo Concepto de imputación]]&amp;" - "&amp;Cuenta_Clasificacion[[#This Row],[Nombre Concepto de imputación]]</f>
        <v>10072 - Quincallería</v>
      </c>
    </row>
    <row r="1066" spans="1:6" x14ac:dyDescent="0.25">
      <c r="A1066" s="43">
        <v>4101002</v>
      </c>
      <c r="B1066" t="s">
        <v>1498</v>
      </c>
      <c r="C1066" s="43">
        <v>10073</v>
      </c>
      <c r="D1066" t="s">
        <v>2777</v>
      </c>
      <c r="E1066" s="47" t="str">
        <f>+Cuenta_Clasificacion[[#This Row],[Código Cuenta Contable]]&amp;" - "&amp;Cuenta_Clasificacion[[#This Row],[Nombre de Cuenta Contable]]</f>
        <v>4101002 - IVA Proveedores DS-19</v>
      </c>
      <c r="F1066" s="47" t="str">
        <f>+Cuenta_Clasificacion[[#This Row],[Codigo Concepto de imputación]]&amp;" - "&amp;Cuenta_Clasificacion[[#This Row],[Nombre Concepto de imputación]]</f>
        <v>10073 - Revestimientos</v>
      </c>
    </row>
    <row r="1067" spans="1:6" x14ac:dyDescent="0.25">
      <c r="A1067" s="43">
        <v>4101002</v>
      </c>
      <c r="B1067" t="s">
        <v>1498</v>
      </c>
      <c r="C1067" s="43">
        <v>10074</v>
      </c>
      <c r="D1067" t="s">
        <v>2778</v>
      </c>
      <c r="E1067" s="47" t="str">
        <f>+Cuenta_Clasificacion[[#This Row],[Código Cuenta Contable]]&amp;" - "&amp;Cuenta_Clasificacion[[#This Row],[Nombre de Cuenta Contable]]</f>
        <v>4101002 - IVA Proveedores DS-19</v>
      </c>
      <c r="F1067" s="47" t="str">
        <f>+Cuenta_Clasificacion[[#This Row],[Codigo Concepto de imputación]]&amp;" - "&amp;Cuenta_Clasificacion[[#This Row],[Nombre Concepto de imputación]]</f>
        <v>10074 - Rollizos y Postes Madera</v>
      </c>
    </row>
    <row r="1068" spans="1:6" x14ac:dyDescent="0.25">
      <c r="A1068" s="43">
        <v>4101002</v>
      </c>
      <c r="B1068" t="s">
        <v>1498</v>
      </c>
      <c r="C1068" s="43">
        <v>10075</v>
      </c>
      <c r="D1068" t="s">
        <v>2779</v>
      </c>
      <c r="E1068" s="47" t="str">
        <f>+Cuenta_Clasificacion[[#This Row],[Código Cuenta Contable]]&amp;" - "&amp;Cuenta_Clasificacion[[#This Row],[Nombre de Cuenta Contable]]</f>
        <v>4101002 - IVA Proveedores DS-19</v>
      </c>
      <c r="F1068" s="47" t="str">
        <f>+Cuenta_Clasificacion[[#This Row],[Codigo Concepto de imputación]]&amp;" - "&amp;Cuenta_Clasificacion[[#This Row],[Nombre Concepto de imputación]]</f>
        <v>10075 - Señalética</v>
      </c>
    </row>
    <row r="1069" spans="1:6" x14ac:dyDescent="0.25">
      <c r="A1069" s="43">
        <v>4101002</v>
      </c>
      <c r="B1069" t="s">
        <v>1498</v>
      </c>
      <c r="C1069" s="43">
        <v>10076</v>
      </c>
      <c r="D1069" t="s">
        <v>2780</v>
      </c>
      <c r="E1069" s="47" t="str">
        <f>+Cuenta_Clasificacion[[#This Row],[Código Cuenta Contable]]&amp;" - "&amp;Cuenta_Clasificacion[[#This Row],[Nombre de Cuenta Contable]]</f>
        <v>4101002 - IVA Proveedores DS-19</v>
      </c>
      <c r="F1069" s="47" t="str">
        <f>+Cuenta_Clasificacion[[#This Row],[Codigo Concepto de imputación]]&amp;" - "&amp;Cuenta_Clasificacion[[#This Row],[Nombre Concepto de imputación]]</f>
        <v>10076 - Soldadura</v>
      </c>
    </row>
    <row r="1070" spans="1:6" x14ac:dyDescent="0.25">
      <c r="A1070" s="43">
        <v>4101002</v>
      </c>
      <c r="B1070" t="s">
        <v>1498</v>
      </c>
      <c r="C1070" s="43">
        <v>10077</v>
      </c>
      <c r="D1070" t="s">
        <v>2781</v>
      </c>
      <c r="E1070" s="47" t="str">
        <f>+Cuenta_Clasificacion[[#This Row],[Código Cuenta Contable]]&amp;" - "&amp;Cuenta_Clasificacion[[#This Row],[Nombre de Cuenta Contable]]</f>
        <v>4101002 - IVA Proveedores DS-19</v>
      </c>
      <c r="F1070" s="47" t="str">
        <f>+Cuenta_Clasificacion[[#This Row],[Codigo Concepto de imputación]]&amp;" - "&amp;Cuenta_Clasificacion[[#This Row],[Nombre Concepto de imputación]]</f>
        <v>10077 - Sum. e Inst. Anclajes Postens.</v>
      </c>
    </row>
    <row r="1071" spans="1:6" x14ac:dyDescent="0.25">
      <c r="A1071" s="43">
        <v>4101002</v>
      </c>
      <c r="B1071" t="s">
        <v>1498</v>
      </c>
      <c r="C1071" s="43">
        <v>10078</v>
      </c>
      <c r="D1071" t="s">
        <v>2782</v>
      </c>
      <c r="E1071" s="47" t="str">
        <f>+Cuenta_Clasificacion[[#This Row],[Código Cuenta Contable]]&amp;" - "&amp;Cuenta_Clasificacion[[#This Row],[Nombre de Cuenta Contable]]</f>
        <v>4101002 - IVA Proveedores DS-19</v>
      </c>
      <c r="F1071" s="47" t="str">
        <f>+Cuenta_Clasificacion[[#This Row],[Codigo Concepto de imputación]]&amp;" - "&amp;Cuenta_Clasificacion[[#This Row],[Nombre Concepto de imputación]]</f>
        <v>10078 - Tabiques</v>
      </c>
    </row>
    <row r="1072" spans="1:6" x14ac:dyDescent="0.25">
      <c r="A1072" s="43">
        <v>4101002</v>
      </c>
      <c r="B1072" t="s">
        <v>1498</v>
      </c>
      <c r="C1072" s="43">
        <v>10079</v>
      </c>
      <c r="D1072" t="s">
        <v>2783</v>
      </c>
      <c r="E1072" s="47" t="str">
        <f>+Cuenta_Clasificacion[[#This Row],[Código Cuenta Contable]]&amp;" - "&amp;Cuenta_Clasificacion[[#This Row],[Nombre de Cuenta Contable]]</f>
        <v>4101002 - IVA Proveedores DS-19</v>
      </c>
      <c r="F1072" s="47" t="str">
        <f>+Cuenta_Clasificacion[[#This Row],[Codigo Concepto de imputación]]&amp;" - "&amp;Cuenta_Clasificacion[[#This Row],[Nombre Concepto de imputación]]</f>
        <v>10079 - Yeso y Cal</v>
      </c>
    </row>
    <row r="1073" spans="1:6" x14ac:dyDescent="0.25">
      <c r="A1073" s="43">
        <v>4101002</v>
      </c>
      <c r="B1073" t="s">
        <v>1498</v>
      </c>
      <c r="C1073" s="43">
        <v>10080</v>
      </c>
      <c r="D1073" t="s">
        <v>2699</v>
      </c>
      <c r="E1073" s="47" t="str">
        <f>+Cuenta_Clasificacion[[#This Row],[Código Cuenta Contable]]&amp;" - "&amp;Cuenta_Clasificacion[[#This Row],[Nombre de Cuenta Contable]]</f>
        <v>4101002 - IVA Proveedores DS-19</v>
      </c>
      <c r="F1073" s="47" t="str">
        <f>+Cuenta_Clasificacion[[#This Row],[Codigo Concepto de imputación]]&amp;" - "&amp;Cuenta_Clasificacion[[#This Row],[Nombre Concepto de imputación]]</f>
        <v>10080 - Ajuste de Precio</v>
      </c>
    </row>
    <row r="1074" spans="1:6" x14ac:dyDescent="0.25">
      <c r="A1074" s="43">
        <v>4101002</v>
      </c>
      <c r="B1074" t="s">
        <v>1498</v>
      </c>
      <c r="C1074" s="43">
        <v>10081</v>
      </c>
      <c r="D1074" t="s">
        <v>2784</v>
      </c>
      <c r="E1074" s="47" t="str">
        <f>+Cuenta_Clasificacion[[#This Row],[Código Cuenta Contable]]&amp;" - "&amp;Cuenta_Clasificacion[[#This Row],[Nombre de Cuenta Contable]]</f>
        <v>4101002 - IVA Proveedores DS-19</v>
      </c>
      <c r="F1074" s="47" t="str">
        <f>+Cuenta_Clasificacion[[#This Row],[Codigo Concepto de imputación]]&amp;" - "&amp;Cuenta_Clasificacion[[#This Row],[Nombre Concepto de imputación]]</f>
        <v>10081 - Prefabricados Madera</v>
      </c>
    </row>
    <row r="1075" spans="1:6" x14ac:dyDescent="0.25">
      <c r="A1075" s="43">
        <v>4101002</v>
      </c>
      <c r="B1075" t="s">
        <v>1498</v>
      </c>
      <c r="C1075" s="43">
        <v>20001</v>
      </c>
      <c r="D1075" t="s">
        <v>2785</v>
      </c>
      <c r="E1075" s="47" t="str">
        <f>+Cuenta_Clasificacion[[#This Row],[Código Cuenta Contable]]&amp;" - "&amp;Cuenta_Clasificacion[[#This Row],[Nombre de Cuenta Contable]]</f>
        <v>4101002 - IVA Proveedores DS-19</v>
      </c>
      <c r="F1075" s="47" t="str">
        <f>+Cuenta_Clasificacion[[#This Row],[Codigo Concepto de imputación]]&amp;" - "&amp;Cuenta_Clasificacion[[#This Row],[Nombre Concepto de imputación]]</f>
        <v>20001 - Sbctto Agua Potable Domic.</v>
      </c>
    </row>
    <row r="1076" spans="1:6" x14ac:dyDescent="0.25">
      <c r="A1076" s="43">
        <v>4101002</v>
      </c>
      <c r="B1076" t="s">
        <v>1498</v>
      </c>
      <c r="C1076" s="43">
        <v>20002</v>
      </c>
      <c r="D1076" t="s">
        <v>2786</v>
      </c>
      <c r="E1076" s="47" t="str">
        <f>+Cuenta_Clasificacion[[#This Row],[Código Cuenta Contable]]&amp;" - "&amp;Cuenta_Clasificacion[[#This Row],[Nombre de Cuenta Contable]]</f>
        <v>4101002 - IVA Proveedores DS-19</v>
      </c>
      <c r="F1076" s="47" t="str">
        <f>+Cuenta_Clasificacion[[#This Row],[Codigo Concepto de imputación]]&amp;" - "&amp;Cuenta_Clasificacion[[#This Row],[Nombre Concepto de imputación]]</f>
        <v>20002 - Sbctto Agua Potable Provisorio</v>
      </c>
    </row>
    <row r="1077" spans="1:6" x14ac:dyDescent="0.25">
      <c r="A1077" s="43">
        <v>4101002</v>
      </c>
      <c r="B1077" t="s">
        <v>1498</v>
      </c>
      <c r="C1077" s="43">
        <v>20003</v>
      </c>
      <c r="D1077" t="s">
        <v>2787</v>
      </c>
      <c r="E1077" s="47" t="str">
        <f>+Cuenta_Clasificacion[[#This Row],[Código Cuenta Contable]]&amp;" - "&amp;Cuenta_Clasificacion[[#This Row],[Nombre de Cuenta Contable]]</f>
        <v>4101002 - IVA Proveedores DS-19</v>
      </c>
      <c r="F1077" s="47" t="str">
        <f>+Cuenta_Clasificacion[[#This Row],[Codigo Concepto de imputación]]&amp;" - "&amp;Cuenta_Clasificacion[[#This Row],[Nombre Concepto de imputación]]</f>
        <v>20003 - Sbctto Aire Acondicionado</v>
      </c>
    </row>
    <row r="1078" spans="1:6" x14ac:dyDescent="0.25">
      <c r="A1078" s="43">
        <v>4101002</v>
      </c>
      <c r="B1078" t="s">
        <v>1498</v>
      </c>
      <c r="C1078" s="43">
        <v>20004</v>
      </c>
      <c r="D1078" t="s">
        <v>2788</v>
      </c>
      <c r="E1078" s="47" t="str">
        <f>+Cuenta_Clasificacion[[#This Row],[Código Cuenta Contable]]&amp;" - "&amp;Cuenta_Clasificacion[[#This Row],[Nombre de Cuenta Contable]]</f>
        <v>4101002 - IVA Proveedores DS-19</v>
      </c>
      <c r="F1078" s="47" t="str">
        <f>+Cuenta_Clasificacion[[#This Row],[Codigo Concepto de imputación]]&amp;" - "&amp;Cuenta_Clasificacion[[#This Row],[Nombre Concepto de imputación]]</f>
        <v>20004 - Sbctto Alarmas Contra Incendio</v>
      </c>
    </row>
    <row r="1079" spans="1:6" x14ac:dyDescent="0.25">
      <c r="A1079" s="43">
        <v>4101002</v>
      </c>
      <c r="B1079" t="s">
        <v>1498</v>
      </c>
      <c r="C1079" s="43">
        <v>20005</v>
      </c>
      <c r="D1079" t="s">
        <v>2789</v>
      </c>
      <c r="E1079" s="47" t="str">
        <f>+Cuenta_Clasificacion[[#This Row],[Código Cuenta Contable]]&amp;" - "&amp;Cuenta_Clasificacion[[#This Row],[Nombre de Cuenta Contable]]</f>
        <v>4101002 - IVA Proveedores DS-19</v>
      </c>
      <c r="F1079" s="47" t="str">
        <f>+Cuenta_Clasificacion[[#This Row],[Codigo Concepto de imputación]]&amp;" - "&amp;Cuenta_Clasificacion[[#This Row],[Nombre Concepto de imputación]]</f>
        <v>20005 - Sbctto Alarmas Contra Robos</v>
      </c>
    </row>
    <row r="1080" spans="1:6" x14ac:dyDescent="0.25">
      <c r="A1080" s="43">
        <v>4101002</v>
      </c>
      <c r="B1080" t="s">
        <v>1498</v>
      </c>
      <c r="C1080" s="43">
        <v>20006</v>
      </c>
      <c r="D1080" t="s">
        <v>2790</v>
      </c>
      <c r="E1080" s="47" t="str">
        <f>+Cuenta_Clasificacion[[#This Row],[Código Cuenta Contable]]&amp;" - "&amp;Cuenta_Clasificacion[[#This Row],[Nombre de Cuenta Contable]]</f>
        <v>4101002 - IVA Proveedores DS-19</v>
      </c>
      <c r="F1080" s="47" t="str">
        <f>+Cuenta_Clasificacion[[#This Row],[Codigo Concepto de imputación]]&amp;" - "&amp;Cuenta_Clasificacion[[#This Row],[Nombre Concepto de imputación]]</f>
        <v>20006 - Sbctto Alcantarillado Domic.</v>
      </c>
    </row>
    <row r="1081" spans="1:6" x14ac:dyDescent="0.25">
      <c r="A1081" s="43">
        <v>4101002</v>
      </c>
      <c r="B1081" t="s">
        <v>1498</v>
      </c>
      <c r="C1081" s="43">
        <v>20007</v>
      </c>
      <c r="D1081" t="s">
        <v>2791</v>
      </c>
      <c r="E1081" s="47" t="str">
        <f>+Cuenta_Clasificacion[[#This Row],[Código Cuenta Contable]]&amp;" - "&amp;Cuenta_Clasificacion[[#This Row],[Nombre de Cuenta Contable]]</f>
        <v>4101002 - IVA Proveedores DS-19</v>
      </c>
      <c r="F1081" s="47" t="str">
        <f>+Cuenta_Clasificacion[[#This Row],[Codigo Concepto de imputación]]&amp;" - "&amp;Cuenta_Clasificacion[[#This Row],[Nombre Concepto de imputación]]</f>
        <v>20007 - Sbctto Alcantarillado Publico</v>
      </c>
    </row>
    <row r="1082" spans="1:6" x14ac:dyDescent="0.25">
      <c r="A1082" s="43">
        <v>4101002</v>
      </c>
      <c r="B1082" t="s">
        <v>1498</v>
      </c>
      <c r="C1082" s="43">
        <v>20008</v>
      </c>
      <c r="D1082" t="s">
        <v>2792</v>
      </c>
      <c r="E1082" s="47" t="str">
        <f>+Cuenta_Clasificacion[[#This Row],[Código Cuenta Contable]]&amp;" - "&amp;Cuenta_Clasificacion[[#This Row],[Nombre de Cuenta Contable]]</f>
        <v>4101002 - IVA Proveedores DS-19</v>
      </c>
      <c r="F1082" s="47" t="str">
        <f>+Cuenta_Clasificacion[[#This Row],[Codigo Concepto de imputación]]&amp;" - "&amp;Cuenta_Clasificacion[[#This Row],[Nombre Concepto de imputación]]</f>
        <v>20008 - Sbctto Alfombra</v>
      </c>
    </row>
    <row r="1083" spans="1:6" x14ac:dyDescent="0.25">
      <c r="A1083" s="43">
        <v>4101002</v>
      </c>
      <c r="B1083" t="s">
        <v>1498</v>
      </c>
      <c r="C1083" s="43">
        <v>20009</v>
      </c>
      <c r="D1083" t="s">
        <v>2793</v>
      </c>
      <c r="E1083" s="47" t="str">
        <f>+Cuenta_Clasificacion[[#This Row],[Código Cuenta Contable]]&amp;" - "&amp;Cuenta_Clasificacion[[#This Row],[Nombre de Cuenta Contable]]</f>
        <v>4101002 - IVA Proveedores DS-19</v>
      </c>
      <c r="F1083" s="47" t="str">
        <f>+Cuenta_Clasificacion[[#This Row],[Codigo Concepto de imputación]]&amp;" - "&amp;Cuenta_Clasificacion[[#This Row],[Nombre Concepto de imputación]]</f>
        <v>20009 - Sbctto Aluminios</v>
      </c>
    </row>
    <row r="1084" spans="1:6" x14ac:dyDescent="0.25">
      <c r="A1084" s="43">
        <v>4101002</v>
      </c>
      <c r="B1084" t="s">
        <v>1498</v>
      </c>
      <c r="C1084" s="43">
        <v>20010</v>
      </c>
      <c r="D1084" t="s">
        <v>2794</v>
      </c>
      <c r="E1084" s="47" t="str">
        <f>+Cuenta_Clasificacion[[#This Row],[Código Cuenta Contable]]&amp;" - "&amp;Cuenta_Clasificacion[[#This Row],[Nombre de Cuenta Contable]]</f>
        <v>4101002 - IVA Proveedores DS-19</v>
      </c>
      <c r="F1084" s="47" t="str">
        <f>+Cuenta_Clasificacion[[#This Row],[Codigo Concepto de imputación]]&amp;" - "&amp;Cuenta_Clasificacion[[#This Row],[Nombre Concepto de imputación]]</f>
        <v>20010 - Sbctto Ascensores</v>
      </c>
    </row>
    <row r="1085" spans="1:6" x14ac:dyDescent="0.25">
      <c r="A1085" s="43">
        <v>4101002</v>
      </c>
      <c r="B1085" t="s">
        <v>1498</v>
      </c>
      <c r="C1085" s="43">
        <v>20011</v>
      </c>
      <c r="D1085" t="s">
        <v>2795</v>
      </c>
      <c r="E1085" s="47" t="str">
        <f>+Cuenta_Clasificacion[[#This Row],[Código Cuenta Contable]]&amp;" - "&amp;Cuenta_Clasificacion[[#This Row],[Nombre de Cuenta Contable]]</f>
        <v>4101002 - IVA Proveedores DS-19</v>
      </c>
      <c r="F1085" s="47" t="str">
        <f>+Cuenta_Clasificacion[[#This Row],[Codigo Concepto de imputación]]&amp;" - "&amp;Cuenta_Clasificacion[[#This Row],[Nombre Concepto de imputación]]</f>
        <v>20011 - Sbctto Baldosas</v>
      </c>
    </row>
    <row r="1086" spans="1:6" x14ac:dyDescent="0.25">
      <c r="A1086" s="43">
        <v>4101002</v>
      </c>
      <c r="B1086" t="s">
        <v>1498</v>
      </c>
      <c r="C1086" s="43">
        <v>20012</v>
      </c>
      <c r="D1086" t="s">
        <v>2796</v>
      </c>
      <c r="E1086" s="47" t="str">
        <f>+Cuenta_Clasificacion[[#This Row],[Código Cuenta Contable]]&amp;" - "&amp;Cuenta_Clasificacion[[#This Row],[Nombre de Cuenta Contable]]</f>
        <v>4101002 - IVA Proveedores DS-19</v>
      </c>
      <c r="F1086" s="47" t="str">
        <f>+Cuenta_Clasificacion[[#This Row],[Codigo Concepto de imputación]]&amp;" - "&amp;Cuenta_Clasificacion[[#This Row],[Nombre Concepto de imputación]]</f>
        <v>20012 - Sbctto Carpintería en Madera</v>
      </c>
    </row>
    <row r="1087" spans="1:6" x14ac:dyDescent="0.25">
      <c r="A1087" s="43">
        <v>4101002</v>
      </c>
      <c r="B1087" t="s">
        <v>1498</v>
      </c>
      <c r="C1087" s="43">
        <v>20013</v>
      </c>
      <c r="D1087" t="s">
        <v>2797</v>
      </c>
      <c r="E1087" s="47" t="str">
        <f>+Cuenta_Clasificacion[[#This Row],[Código Cuenta Contable]]&amp;" - "&amp;Cuenta_Clasificacion[[#This Row],[Nombre de Cuenta Contable]]</f>
        <v>4101002 - IVA Proveedores DS-19</v>
      </c>
      <c r="F1087" s="47" t="str">
        <f>+Cuenta_Clasificacion[[#This Row],[Codigo Concepto de imputación]]&amp;" - "&amp;Cuenta_Clasificacion[[#This Row],[Nombre Concepto de imputación]]</f>
        <v>20013 - Sbctto Cerámica</v>
      </c>
    </row>
    <row r="1088" spans="1:6" x14ac:dyDescent="0.25">
      <c r="A1088" s="43">
        <v>4101002</v>
      </c>
      <c r="B1088" t="s">
        <v>1498</v>
      </c>
      <c r="C1088" s="43">
        <v>20014</v>
      </c>
      <c r="D1088" t="s">
        <v>2798</v>
      </c>
      <c r="E1088" s="47" t="str">
        <f>+Cuenta_Clasificacion[[#This Row],[Código Cuenta Contable]]&amp;" - "&amp;Cuenta_Clasificacion[[#This Row],[Nombre de Cuenta Contable]]</f>
        <v>4101002 - IVA Proveedores DS-19</v>
      </c>
      <c r="F1088" s="47" t="str">
        <f>+Cuenta_Clasificacion[[#This Row],[Codigo Concepto de imputación]]&amp;" - "&amp;Cuenta_Clasificacion[[#This Row],[Nombre Concepto de imputación]]</f>
        <v>20014 - Sbctto Cielos</v>
      </c>
    </row>
    <row r="1089" spans="1:6" x14ac:dyDescent="0.25">
      <c r="A1089" s="43">
        <v>4101002</v>
      </c>
      <c r="B1089" t="s">
        <v>1498</v>
      </c>
      <c r="C1089" s="43">
        <v>20015</v>
      </c>
      <c r="D1089" t="s">
        <v>2799</v>
      </c>
      <c r="E1089" s="47" t="str">
        <f>+Cuenta_Clasificacion[[#This Row],[Código Cuenta Contable]]&amp;" - "&amp;Cuenta_Clasificacion[[#This Row],[Nombre de Cuenta Contable]]</f>
        <v>4101002 - IVA Proveedores DS-19</v>
      </c>
      <c r="F1089" s="47" t="str">
        <f>+Cuenta_Clasificacion[[#This Row],[Codigo Concepto de imputación]]&amp;" - "&amp;Cuenta_Clasificacion[[#This Row],[Nombre Concepto de imputación]]</f>
        <v>20015 - Sbctto Circuito Cerrado de TV</v>
      </c>
    </row>
    <row r="1090" spans="1:6" x14ac:dyDescent="0.25">
      <c r="A1090" s="43">
        <v>4101002</v>
      </c>
      <c r="B1090" t="s">
        <v>1498</v>
      </c>
      <c r="C1090" s="43">
        <v>20016</v>
      </c>
      <c r="D1090" t="s">
        <v>2800</v>
      </c>
      <c r="E1090" s="47" t="str">
        <f>+Cuenta_Clasificacion[[#This Row],[Código Cuenta Contable]]&amp;" - "&amp;Cuenta_Clasificacion[[#This Row],[Nombre de Cuenta Contable]]</f>
        <v>4101002 - IVA Proveedores DS-19</v>
      </c>
      <c r="F1090" s="47" t="str">
        <f>+Cuenta_Clasificacion[[#This Row],[Codigo Concepto de imputación]]&amp;" - "&amp;Cuenta_Clasificacion[[#This Row],[Nombre Concepto de imputación]]</f>
        <v>20016 - Sbctto Control Centralizado</v>
      </c>
    </row>
    <row r="1091" spans="1:6" x14ac:dyDescent="0.25">
      <c r="A1091" s="43">
        <v>4101002</v>
      </c>
      <c r="B1091" t="s">
        <v>1498</v>
      </c>
      <c r="C1091" s="43">
        <v>20017</v>
      </c>
      <c r="D1091" t="s">
        <v>2801</v>
      </c>
      <c r="E1091" s="47" t="str">
        <f>+Cuenta_Clasificacion[[#This Row],[Código Cuenta Contable]]&amp;" - "&amp;Cuenta_Clasificacion[[#This Row],[Nombre de Cuenta Contable]]</f>
        <v>4101002 - IVA Proveedores DS-19</v>
      </c>
      <c r="F1091" s="47" t="str">
        <f>+Cuenta_Clasificacion[[#This Row],[Codigo Concepto de imputación]]&amp;" - "&amp;Cuenta_Clasificacion[[#This Row],[Nombre Concepto de imputación]]</f>
        <v>20017 - Sbctto Control de Accesos</v>
      </c>
    </row>
    <row r="1092" spans="1:6" x14ac:dyDescent="0.25">
      <c r="A1092" s="43">
        <v>4101002</v>
      </c>
      <c r="B1092" t="s">
        <v>1498</v>
      </c>
      <c r="C1092" s="43">
        <v>20018</v>
      </c>
      <c r="D1092" t="s">
        <v>2802</v>
      </c>
      <c r="E1092" s="47" t="str">
        <f>+Cuenta_Clasificacion[[#This Row],[Código Cuenta Contable]]&amp;" - "&amp;Cuenta_Clasificacion[[#This Row],[Nombre de Cuenta Contable]]</f>
        <v>4101002 - IVA Proveedores DS-19</v>
      </c>
      <c r="F1092" s="47" t="str">
        <f>+Cuenta_Clasificacion[[#This Row],[Codigo Concepto de imputación]]&amp;" - "&amp;Cuenta_Clasificacion[[#This Row],[Nombre Concepto de imputación]]</f>
        <v>20018 - Sbctto Corte de Pavimento</v>
      </c>
    </row>
    <row r="1093" spans="1:6" x14ac:dyDescent="0.25">
      <c r="A1093" s="43">
        <v>4101002</v>
      </c>
      <c r="B1093" t="s">
        <v>1498</v>
      </c>
      <c r="C1093" s="43">
        <v>20019</v>
      </c>
      <c r="D1093" t="s">
        <v>2803</v>
      </c>
      <c r="E1093" s="47" t="str">
        <f>+Cuenta_Clasificacion[[#This Row],[Código Cuenta Contable]]&amp;" - "&amp;Cuenta_Clasificacion[[#This Row],[Nombre de Cuenta Contable]]</f>
        <v>4101002 - IVA Proveedores DS-19</v>
      </c>
      <c r="F1093" s="47" t="str">
        <f>+Cuenta_Clasificacion[[#This Row],[Codigo Concepto de imputación]]&amp;" - "&amp;Cuenta_Clasificacion[[#This Row],[Nombre Concepto de imputación]]</f>
        <v>20019 - Sbctto Demolición</v>
      </c>
    </row>
    <row r="1094" spans="1:6" x14ac:dyDescent="0.25">
      <c r="A1094" s="43">
        <v>4101002</v>
      </c>
      <c r="B1094" t="s">
        <v>1498</v>
      </c>
      <c r="C1094" s="43">
        <v>20020</v>
      </c>
      <c r="D1094" t="s">
        <v>2804</v>
      </c>
      <c r="E1094" s="47" t="str">
        <f>+Cuenta_Clasificacion[[#This Row],[Código Cuenta Contable]]&amp;" - "&amp;Cuenta_Clasificacion[[#This Row],[Nombre de Cuenta Contable]]</f>
        <v>4101002 - IVA Proveedores DS-19</v>
      </c>
      <c r="F1094" s="47" t="str">
        <f>+Cuenta_Clasificacion[[#This Row],[Codigo Concepto de imputación]]&amp;" - "&amp;Cuenta_Clasificacion[[#This Row],[Nombre Concepto de imputación]]</f>
        <v>20020 - Sbctto Divisiones Exteriores</v>
      </c>
    </row>
    <row r="1095" spans="1:6" x14ac:dyDescent="0.25">
      <c r="A1095" s="43">
        <v>4101002</v>
      </c>
      <c r="B1095" t="s">
        <v>1498</v>
      </c>
      <c r="C1095" s="43">
        <v>20021</v>
      </c>
      <c r="D1095" t="s">
        <v>2805</v>
      </c>
      <c r="E1095" s="47" t="str">
        <f>+Cuenta_Clasificacion[[#This Row],[Código Cuenta Contable]]&amp;" - "&amp;Cuenta_Clasificacion[[#This Row],[Nombre de Cuenta Contable]]</f>
        <v>4101002 - IVA Proveedores DS-19</v>
      </c>
      <c r="F1095" s="47" t="str">
        <f>+Cuenta_Clasificacion[[#This Row],[Codigo Concepto de imputación]]&amp;" - "&amp;Cuenta_Clasificacion[[#This Row],[Nombre Concepto de imputación]]</f>
        <v>20021 - Sbctto Divisiones Interiores</v>
      </c>
    </row>
    <row r="1096" spans="1:6" x14ac:dyDescent="0.25">
      <c r="A1096" s="43">
        <v>4101002</v>
      </c>
      <c r="B1096" t="s">
        <v>1498</v>
      </c>
      <c r="C1096" s="43">
        <v>20022</v>
      </c>
      <c r="D1096" t="s">
        <v>2806</v>
      </c>
      <c r="E1096" s="47" t="str">
        <f>+Cuenta_Clasificacion[[#This Row],[Código Cuenta Contable]]&amp;" - "&amp;Cuenta_Clasificacion[[#This Row],[Nombre de Cuenta Contable]]</f>
        <v>4101002 - IVA Proveedores DS-19</v>
      </c>
      <c r="F1096" s="47" t="str">
        <f>+Cuenta_Clasificacion[[#This Row],[Codigo Concepto de imputación]]&amp;" - "&amp;Cuenta_Clasificacion[[#This Row],[Nombre Concepto de imputación]]</f>
        <v>20022 - Sbctto Elect. Domiciliario</v>
      </c>
    </row>
    <row r="1097" spans="1:6" x14ac:dyDescent="0.25">
      <c r="A1097" s="43">
        <v>4101002</v>
      </c>
      <c r="B1097" t="s">
        <v>1498</v>
      </c>
      <c r="C1097" s="43">
        <v>20023</v>
      </c>
      <c r="D1097" t="s">
        <v>2807</v>
      </c>
      <c r="E1097" s="47" t="str">
        <f>+Cuenta_Clasificacion[[#This Row],[Código Cuenta Contable]]&amp;" - "&amp;Cuenta_Clasificacion[[#This Row],[Nombre de Cuenta Contable]]</f>
        <v>4101002 - IVA Proveedores DS-19</v>
      </c>
      <c r="F1097" s="47" t="str">
        <f>+Cuenta_Clasificacion[[#This Row],[Codigo Concepto de imputación]]&amp;" - "&amp;Cuenta_Clasificacion[[#This Row],[Nombre Concepto de imputación]]</f>
        <v>20023 - Sbctto Electricidad Industrial</v>
      </c>
    </row>
    <row r="1098" spans="1:6" x14ac:dyDescent="0.25">
      <c r="A1098" s="43">
        <v>4101002</v>
      </c>
      <c r="B1098" t="s">
        <v>1498</v>
      </c>
      <c r="C1098" s="43">
        <v>20024</v>
      </c>
      <c r="D1098" t="s">
        <v>2808</v>
      </c>
      <c r="E1098" s="47" t="str">
        <f>+Cuenta_Clasificacion[[#This Row],[Código Cuenta Contable]]&amp;" - "&amp;Cuenta_Clasificacion[[#This Row],[Nombre de Cuenta Contable]]</f>
        <v>4101002 - IVA Proveedores DS-19</v>
      </c>
      <c r="F1098" s="47" t="str">
        <f>+Cuenta_Clasificacion[[#This Row],[Codigo Concepto de imputación]]&amp;" - "&amp;Cuenta_Clasificacion[[#This Row],[Nombre Concepto de imputación]]</f>
        <v>20024 - Sbctto Electricidad Provisoria</v>
      </c>
    </row>
    <row r="1099" spans="1:6" x14ac:dyDescent="0.25">
      <c r="A1099" s="43">
        <v>4101002</v>
      </c>
      <c r="B1099" t="s">
        <v>1498</v>
      </c>
      <c r="C1099" s="43">
        <v>20025</v>
      </c>
      <c r="D1099" t="s">
        <v>2809</v>
      </c>
      <c r="E1099" s="47" t="str">
        <f>+Cuenta_Clasificacion[[#This Row],[Código Cuenta Contable]]&amp;" - "&amp;Cuenta_Clasificacion[[#This Row],[Nombre de Cuenta Contable]]</f>
        <v>4101002 - IVA Proveedores DS-19</v>
      </c>
      <c r="F1099" s="47" t="str">
        <f>+Cuenta_Clasificacion[[#This Row],[Codigo Concepto de imputación]]&amp;" - "&amp;Cuenta_Clasificacion[[#This Row],[Nombre Concepto de imputación]]</f>
        <v>20025 - Sbctto Enfierradura</v>
      </c>
    </row>
    <row r="1100" spans="1:6" x14ac:dyDescent="0.25">
      <c r="A1100" s="43">
        <v>4101002</v>
      </c>
      <c r="B1100" t="s">
        <v>1498</v>
      </c>
      <c r="C1100" s="43">
        <v>20026</v>
      </c>
      <c r="D1100" t="s">
        <v>2810</v>
      </c>
      <c r="E1100" s="47" t="str">
        <f>+Cuenta_Clasificacion[[#This Row],[Código Cuenta Contable]]&amp;" - "&amp;Cuenta_Clasificacion[[#This Row],[Nombre de Cuenta Contable]]</f>
        <v>4101002 - IVA Proveedores DS-19</v>
      </c>
      <c r="F1100" s="47" t="str">
        <f>+Cuenta_Clasificacion[[#This Row],[Codigo Concepto de imputación]]&amp;" - "&amp;Cuenta_Clasificacion[[#This Row],[Nombre Concepto de imputación]]</f>
        <v>20026 - Sbctto Espejos</v>
      </c>
    </row>
    <row r="1101" spans="1:6" x14ac:dyDescent="0.25">
      <c r="A1101" s="43">
        <v>4101002</v>
      </c>
      <c r="B1101" t="s">
        <v>1498</v>
      </c>
      <c r="C1101" s="43">
        <v>20027</v>
      </c>
      <c r="D1101" t="s">
        <v>2811</v>
      </c>
      <c r="E1101" s="47" t="str">
        <f>+Cuenta_Clasificacion[[#This Row],[Código Cuenta Contable]]&amp;" - "&amp;Cuenta_Clasificacion[[#This Row],[Nombre de Cuenta Contable]]</f>
        <v>4101002 - IVA Proveedores DS-19</v>
      </c>
      <c r="F1101" s="47" t="str">
        <f>+Cuenta_Clasificacion[[#This Row],[Codigo Concepto de imputación]]&amp;" - "&amp;Cuenta_Clasificacion[[#This Row],[Nombre Concepto de imputación]]</f>
        <v>20027 - Sbctto Estructuras Metálicas</v>
      </c>
    </row>
    <row r="1102" spans="1:6" x14ac:dyDescent="0.25">
      <c r="A1102" s="43">
        <v>4101002</v>
      </c>
      <c r="B1102" t="s">
        <v>1498</v>
      </c>
      <c r="C1102" s="43">
        <v>20028</v>
      </c>
      <c r="D1102" t="s">
        <v>2812</v>
      </c>
      <c r="E1102" s="47" t="str">
        <f>+Cuenta_Clasificacion[[#This Row],[Código Cuenta Contable]]&amp;" - "&amp;Cuenta_Clasificacion[[#This Row],[Nombre de Cuenta Contable]]</f>
        <v>4101002 - IVA Proveedores DS-19</v>
      </c>
      <c r="F1102" s="47" t="str">
        <f>+Cuenta_Clasificacion[[#This Row],[Codigo Concepto de imputación]]&amp;" - "&amp;Cuenta_Clasificacion[[#This Row],[Nombre Concepto de imputación]]</f>
        <v>20028 - Sbctto Estuco</v>
      </c>
    </row>
    <row r="1103" spans="1:6" x14ac:dyDescent="0.25">
      <c r="A1103" s="43">
        <v>4101002</v>
      </c>
      <c r="B1103" t="s">
        <v>1498</v>
      </c>
      <c r="C1103" s="43">
        <v>20029</v>
      </c>
      <c r="D1103" t="s">
        <v>2813</v>
      </c>
      <c r="E1103" s="47" t="str">
        <f>+Cuenta_Clasificacion[[#This Row],[Código Cuenta Contable]]&amp;" - "&amp;Cuenta_Clasificacion[[#This Row],[Nombre de Cuenta Contable]]</f>
        <v>4101002 - IVA Proveedores DS-19</v>
      </c>
      <c r="F1103" s="47" t="str">
        <f>+Cuenta_Clasificacion[[#This Row],[Codigo Concepto de imputación]]&amp;" - "&amp;Cuenta_Clasificacion[[#This Row],[Nombre Concepto de imputación]]</f>
        <v>20029 - Sbctto Excavaciones</v>
      </c>
    </row>
    <row r="1104" spans="1:6" x14ac:dyDescent="0.25">
      <c r="A1104" s="43">
        <v>4101002</v>
      </c>
      <c r="B1104" t="s">
        <v>1498</v>
      </c>
      <c r="C1104" s="43">
        <v>20030</v>
      </c>
      <c r="D1104" t="s">
        <v>2814</v>
      </c>
      <c r="E1104" s="47" t="str">
        <f>+Cuenta_Clasificacion[[#This Row],[Código Cuenta Contable]]&amp;" - "&amp;Cuenta_Clasificacion[[#This Row],[Nombre de Cuenta Contable]]</f>
        <v>4101002 - IVA Proveedores DS-19</v>
      </c>
      <c r="F1104" s="47" t="str">
        <f>+Cuenta_Clasificacion[[#This Row],[Codigo Concepto de imputación]]&amp;" - "&amp;Cuenta_Clasificacion[[#This Row],[Nombre Concepto de imputación]]</f>
        <v>20030 - Sbctto Extracción de Escombros</v>
      </c>
    </row>
    <row r="1105" spans="1:6" x14ac:dyDescent="0.25">
      <c r="A1105" s="43">
        <v>4101002</v>
      </c>
      <c r="B1105" t="s">
        <v>1498</v>
      </c>
      <c r="C1105" s="43">
        <v>20031</v>
      </c>
      <c r="D1105" t="s">
        <v>2815</v>
      </c>
      <c r="E1105" s="47" t="str">
        <f>+Cuenta_Clasificacion[[#This Row],[Código Cuenta Contable]]&amp;" - "&amp;Cuenta_Clasificacion[[#This Row],[Nombre de Cuenta Contable]]</f>
        <v>4101002 - IVA Proveedores DS-19</v>
      </c>
      <c r="F1105" s="47" t="str">
        <f>+Cuenta_Clasificacion[[#This Row],[Codigo Concepto de imputación]]&amp;" - "&amp;Cuenta_Clasificacion[[#This Row],[Nombre Concepto de imputación]]</f>
        <v>20031 - Sbctto Gas</v>
      </c>
    </row>
    <row r="1106" spans="1:6" x14ac:dyDescent="0.25">
      <c r="A1106" s="43">
        <v>4101002</v>
      </c>
      <c r="B1106" t="s">
        <v>1498</v>
      </c>
      <c r="C1106" s="43">
        <v>20032</v>
      </c>
      <c r="D1106" t="s">
        <v>2816</v>
      </c>
      <c r="E1106" s="47" t="str">
        <f>+Cuenta_Clasificacion[[#This Row],[Código Cuenta Contable]]&amp;" - "&amp;Cuenta_Clasificacion[[#This Row],[Nombre de Cuenta Contable]]</f>
        <v>4101002 - IVA Proveedores DS-19</v>
      </c>
      <c r="F1106" s="47" t="str">
        <f>+Cuenta_Clasificacion[[#This Row],[Codigo Concepto de imputación]]&amp;" - "&amp;Cuenta_Clasificacion[[#This Row],[Nombre Concepto de imputación]]</f>
        <v>20032 - Sbctto Hojalatería</v>
      </c>
    </row>
    <row r="1107" spans="1:6" x14ac:dyDescent="0.25">
      <c r="A1107" s="43">
        <v>4101002</v>
      </c>
      <c r="B1107" t="s">
        <v>1498</v>
      </c>
      <c r="C1107" s="43">
        <v>20033</v>
      </c>
      <c r="D1107" t="s">
        <v>2817</v>
      </c>
      <c r="E1107" s="47" t="str">
        <f>+Cuenta_Clasificacion[[#This Row],[Código Cuenta Contable]]&amp;" - "&amp;Cuenta_Clasificacion[[#This Row],[Nombre de Cuenta Contable]]</f>
        <v>4101002 - IVA Proveedores DS-19</v>
      </c>
      <c r="F1107" s="47" t="str">
        <f>+Cuenta_Clasificacion[[#This Row],[Codigo Concepto de imputación]]&amp;" - "&amp;Cuenta_Clasificacion[[#This Row],[Nombre Concepto de imputación]]</f>
        <v>20033 - Sbctto Hormigón Celular</v>
      </c>
    </row>
    <row r="1108" spans="1:6" x14ac:dyDescent="0.25">
      <c r="A1108" s="43">
        <v>4101002</v>
      </c>
      <c r="B1108" t="s">
        <v>1498</v>
      </c>
      <c r="C1108" s="43">
        <v>20034</v>
      </c>
      <c r="D1108" t="s">
        <v>2818</v>
      </c>
      <c r="E1108" s="47" t="str">
        <f>+Cuenta_Clasificacion[[#This Row],[Código Cuenta Contable]]&amp;" - "&amp;Cuenta_Clasificacion[[#This Row],[Nombre de Cuenta Contable]]</f>
        <v>4101002 - IVA Proveedores DS-19</v>
      </c>
      <c r="F1108" s="47" t="str">
        <f>+Cuenta_Clasificacion[[#This Row],[Codigo Concepto de imputación]]&amp;" - "&amp;Cuenta_Clasificacion[[#This Row],[Nombre Concepto de imputación]]</f>
        <v>20034 - Sbctto Hormigón Premezclado</v>
      </c>
    </row>
    <row r="1109" spans="1:6" x14ac:dyDescent="0.25">
      <c r="A1109" s="43">
        <v>4101002</v>
      </c>
      <c r="B1109" t="s">
        <v>1498</v>
      </c>
      <c r="C1109" s="43">
        <v>20035</v>
      </c>
      <c r="D1109" t="s">
        <v>2819</v>
      </c>
      <c r="E1109" s="47" t="str">
        <f>+Cuenta_Clasificacion[[#This Row],[Código Cuenta Contable]]&amp;" - "&amp;Cuenta_Clasificacion[[#This Row],[Nombre de Cuenta Contable]]</f>
        <v>4101002 - IVA Proveedores DS-19</v>
      </c>
      <c r="F1109" s="47" t="str">
        <f>+Cuenta_Clasificacion[[#This Row],[Codigo Concepto de imputación]]&amp;" - "&amp;Cuenta_Clasificacion[[#This Row],[Nombre Concepto de imputación]]</f>
        <v>20035 - Sbctto Impermeabilizaciones</v>
      </c>
    </row>
    <row r="1110" spans="1:6" x14ac:dyDescent="0.25">
      <c r="A1110" s="43">
        <v>4101002</v>
      </c>
      <c r="B1110" t="s">
        <v>1498</v>
      </c>
      <c r="C1110" s="43">
        <v>20036</v>
      </c>
      <c r="D1110" t="s">
        <v>2820</v>
      </c>
      <c r="E1110" s="47" t="str">
        <f>+Cuenta_Clasificacion[[#This Row],[Código Cuenta Contable]]&amp;" - "&amp;Cuenta_Clasificacion[[#This Row],[Nombre de Cuenta Contable]]</f>
        <v>4101002 - IVA Proveedores DS-19</v>
      </c>
      <c r="F1110" s="47" t="str">
        <f>+Cuenta_Clasificacion[[#This Row],[Codigo Concepto de imputación]]&amp;" - "&amp;Cuenta_Clasificacion[[#This Row],[Nombre Concepto de imputación]]</f>
        <v>20036 - Sbctto Incendio Red Húmeda</v>
      </c>
    </row>
    <row r="1111" spans="1:6" x14ac:dyDescent="0.25">
      <c r="A1111" s="43">
        <v>4101002</v>
      </c>
      <c r="B1111" t="s">
        <v>1498</v>
      </c>
      <c r="C1111" s="43">
        <v>20037</v>
      </c>
      <c r="D1111" t="s">
        <v>2821</v>
      </c>
      <c r="E1111" s="47" t="str">
        <f>+Cuenta_Clasificacion[[#This Row],[Código Cuenta Contable]]&amp;" - "&amp;Cuenta_Clasificacion[[#This Row],[Nombre de Cuenta Contable]]</f>
        <v>4101002 - IVA Proveedores DS-19</v>
      </c>
      <c r="F1111" s="47" t="str">
        <f>+Cuenta_Clasificacion[[#This Row],[Codigo Concepto de imputación]]&amp;" - "&amp;Cuenta_Clasificacion[[#This Row],[Nombre Concepto de imputación]]</f>
        <v>20037 - Sbctto Incendio Red Seca</v>
      </c>
    </row>
    <row r="1112" spans="1:6" x14ac:dyDescent="0.25">
      <c r="A1112" s="43">
        <v>4101002</v>
      </c>
      <c r="B1112" t="s">
        <v>1498</v>
      </c>
      <c r="C1112" s="43">
        <v>20038</v>
      </c>
      <c r="D1112" t="s">
        <v>2822</v>
      </c>
      <c r="E1112" s="47" t="str">
        <f>+Cuenta_Clasificacion[[#This Row],[Código Cuenta Contable]]&amp;" - "&amp;Cuenta_Clasificacion[[#This Row],[Nombre de Cuenta Contable]]</f>
        <v>4101002 - IVA Proveedores DS-19</v>
      </c>
      <c r="F1112" s="47" t="str">
        <f>+Cuenta_Clasificacion[[#This Row],[Codigo Concepto de imputación]]&amp;" - "&amp;Cuenta_Clasificacion[[#This Row],[Nombre Concepto de imputación]]</f>
        <v>20038 - Sbctto Inst. Cornisas</v>
      </c>
    </row>
    <row r="1113" spans="1:6" x14ac:dyDescent="0.25">
      <c r="A1113" s="43">
        <v>4101002</v>
      </c>
      <c r="B1113" t="s">
        <v>1498</v>
      </c>
      <c r="C1113" s="43">
        <v>20039</v>
      </c>
      <c r="D1113" t="s">
        <v>2823</v>
      </c>
      <c r="E1113" s="47" t="str">
        <f>+Cuenta_Clasificacion[[#This Row],[Código Cuenta Contable]]&amp;" - "&amp;Cuenta_Clasificacion[[#This Row],[Nombre de Cuenta Contable]]</f>
        <v>4101002 - IVA Proveedores DS-19</v>
      </c>
      <c r="F1113" s="47" t="str">
        <f>+Cuenta_Clasificacion[[#This Row],[Codigo Concepto de imputación]]&amp;" - "&amp;Cuenta_Clasificacion[[#This Row],[Nombre Concepto de imputación]]</f>
        <v>20039 - Sbctto Inst. Papel Mural</v>
      </c>
    </row>
    <row r="1114" spans="1:6" x14ac:dyDescent="0.25">
      <c r="A1114" s="43">
        <v>4101002</v>
      </c>
      <c r="B1114" t="s">
        <v>1498</v>
      </c>
      <c r="C1114" s="43">
        <v>20040</v>
      </c>
      <c r="D1114" t="s">
        <v>2824</v>
      </c>
      <c r="E1114" s="47" t="str">
        <f>+Cuenta_Clasificacion[[#This Row],[Código Cuenta Contable]]&amp;" - "&amp;Cuenta_Clasificacion[[#This Row],[Nombre de Cuenta Contable]]</f>
        <v>4101002 - IVA Proveedores DS-19</v>
      </c>
      <c r="F1114" s="47" t="str">
        <f>+Cuenta_Clasificacion[[#This Row],[Codigo Concepto de imputación]]&amp;" - "&amp;Cuenta_Clasificacion[[#This Row],[Nombre Concepto de imputación]]</f>
        <v>20040 - Sbctto Inst. Piso Deck</v>
      </c>
    </row>
    <row r="1115" spans="1:6" x14ac:dyDescent="0.25">
      <c r="A1115" s="43">
        <v>4101002</v>
      </c>
      <c r="B1115" t="s">
        <v>1498</v>
      </c>
      <c r="C1115" s="43">
        <v>20041</v>
      </c>
      <c r="D1115" t="s">
        <v>2825</v>
      </c>
      <c r="E1115" s="47" t="str">
        <f>+Cuenta_Clasificacion[[#This Row],[Código Cuenta Contable]]&amp;" - "&amp;Cuenta_Clasificacion[[#This Row],[Nombre de Cuenta Contable]]</f>
        <v>4101002 - IVA Proveedores DS-19</v>
      </c>
      <c r="F1115" s="47" t="str">
        <f>+Cuenta_Clasificacion[[#This Row],[Codigo Concepto de imputación]]&amp;" - "&amp;Cuenta_Clasificacion[[#This Row],[Nombre Concepto de imputación]]</f>
        <v>20041 - Sbctto Jardines</v>
      </c>
    </row>
    <row r="1116" spans="1:6" x14ac:dyDescent="0.25">
      <c r="A1116" s="43">
        <v>4101002</v>
      </c>
      <c r="B1116" t="s">
        <v>1498</v>
      </c>
      <c r="C1116" s="43">
        <v>20042</v>
      </c>
      <c r="D1116" t="s">
        <v>2826</v>
      </c>
      <c r="E1116" s="47" t="str">
        <f>+Cuenta_Clasificacion[[#This Row],[Código Cuenta Contable]]&amp;" - "&amp;Cuenta_Clasificacion[[#This Row],[Nombre de Cuenta Contable]]</f>
        <v>4101002 - IVA Proveedores DS-19</v>
      </c>
      <c r="F1116" s="47" t="str">
        <f>+Cuenta_Clasificacion[[#This Row],[Codigo Concepto de imputación]]&amp;" - "&amp;Cuenta_Clasificacion[[#This Row],[Nombre Concepto de imputación]]</f>
        <v>20042 - Sbctto Junturas de Tabiques</v>
      </c>
    </row>
    <row r="1117" spans="1:6" x14ac:dyDescent="0.25">
      <c r="A1117" s="43">
        <v>4101002</v>
      </c>
      <c r="B1117" t="s">
        <v>1498</v>
      </c>
      <c r="C1117" s="43">
        <v>20043</v>
      </c>
      <c r="D1117" t="s">
        <v>2827</v>
      </c>
      <c r="E1117" s="47" t="str">
        <f>+Cuenta_Clasificacion[[#This Row],[Código Cuenta Contable]]&amp;" - "&amp;Cuenta_Clasificacion[[#This Row],[Nombre de Cuenta Contable]]</f>
        <v>4101002 - IVA Proveedores DS-19</v>
      </c>
      <c r="F1117" s="47" t="str">
        <f>+Cuenta_Clasificacion[[#This Row],[Codigo Concepto de imputación]]&amp;" - "&amp;Cuenta_Clasificacion[[#This Row],[Nombre Concepto de imputación]]</f>
        <v>20043 - Sbctto Lab. de Hormigones</v>
      </c>
    </row>
    <row r="1118" spans="1:6" x14ac:dyDescent="0.25">
      <c r="A1118" s="43">
        <v>4101002</v>
      </c>
      <c r="B1118" t="s">
        <v>1498</v>
      </c>
      <c r="C1118" s="43">
        <v>20044</v>
      </c>
      <c r="D1118" t="s">
        <v>2828</v>
      </c>
      <c r="E1118" s="47" t="str">
        <f>+Cuenta_Clasificacion[[#This Row],[Código Cuenta Contable]]&amp;" - "&amp;Cuenta_Clasificacion[[#This Row],[Nombre de Cuenta Contable]]</f>
        <v>4101002 - IVA Proveedores DS-19</v>
      </c>
      <c r="F1118" s="47" t="str">
        <f>+Cuenta_Clasificacion[[#This Row],[Codigo Concepto de imputación]]&amp;" - "&amp;Cuenta_Clasificacion[[#This Row],[Nombre Concepto de imputación]]</f>
        <v>20044 - Sbctto Mármol</v>
      </c>
    </row>
    <row r="1119" spans="1:6" x14ac:dyDescent="0.25">
      <c r="A1119" s="43">
        <v>4101002</v>
      </c>
      <c r="B1119" t="s">
        <v>1498</v>
      </c>
      <c r="C1119" s="43">
        <v>20045</v>
      </c>
      <c r="D1119" t="s">
        <v>2829</v>
      </c>
      <c r="E1119" s="47" t="str">
        <f>+Cuenta_Clasificacion[[#This Row],[Código Cuenta Contable]]&amp;" - "&amp;Cuenta_Clasificacion[[#This Row],[Nombre de Cuenta Contable]]</f>
        <v>4101002 - IVA Proveedores DS-19</v>
      </c>
      <c r="F1119" s="47" t="str">
        <f>+Cuenta_Clasificacion[[#This Row],[Codigo Concepto de imputación]]&amp;" - "&amp;Cuenta_Clasificacion[[#This Row],[Nombre Concepto de imputación]]</f>
        <v>20045 - Sbctto Molduras</v>
      </c>
    </row>
    <row r="1120" spans="1:6" x14ac:dyDescent="0.25">
      <c r="A1120" s="43">
        <v>4101002</v>
      </c>
      <c r="B1120" t="s">
        <v>1498</v>
      </c>
      <c r="C1120" s="43">
        <v>20046</v>
      </c>
      <c r="D1120" t="s">
        <v>2830</v>
      </c>
      <c r="E1120" s="47" t="str">
        <f>+Cuenta_Clasificacion[[#This Row],[Código Cuenta Contable]]&amp;" - "&amp;Cuenta_Clasificacion[[#This Row],[Nombre de Cuenta Contable]]</f>
        <v>4101002 - IVA Proveedores DS-19</v>
      </c>
      <c r="F1120" s="47" t="str">
        <f>+Cuenta_Clasificacion[[#This Row],[Codigo Concepto de imputación]]&amp;" - "&amp;Cuenta_Clasificacion[[#This Row],[Nombre Concepto de imputación]]</f>
        <v>20046 - Sbctto Montaje de Equipos</v>
      </c>
    </row>
    <row r="1121" spans="1:6" x14ac:dyDescent="0.25">
      <c r="A1121" s="43">
        <v>4101002</v>
      </c>
      <c r="B1121" t="s">
        <v>1498</v>
      </c>
      <c r="C1121" s="43">
        <v>20047</v>
      </c>
      <c r="D1121" t="s">
        <v>2831</v>
      </c>
      <c r="E1121" s="47" t="str">
        <f>+Cuenta_Clasificacion[[#This Row],[Código Cuenta Contable]]&amp;" - "&amp;Cuenta_Clasificacion[[#This Row],[Nombre de Cuenta Contable]]</f>
        <v>4101002 - IVA Proveedores DS-19</v>
      </c>
      <c r="F1121" s="47" t="str">
        <f>+Cuenta_Clasificacion[[#This Row],[Codigo Concepto de imputación]]&amp;" - "&amp;Cuenta_Clasificacion[[#This Row],[Nombre Concepto de imputación]]</f>
        <v>20047 - Sbctto Muebles de Baño</v>
      </c>
    </row>
    <row r="1122" spans="1:6" x14ac:dyDescent="0.25">
      <c r="A1122" s="43">
        <v>4101002</v>
      </c>
      <c r="B1122" t="s">
        <v>1498</v>
      </c>
      <c r="C1122" s="43">
        <v>20048</v>
      </c>
      <c r="D1122" t="s">
        <v>2832</v>
      </c>
      <c r="E1122" s="47" t="str">
        <f>+Cuenta_Clasificacion[[#This Row],[Código Cuenta Contable]]&amp;" - "&amp;Cuenta_Clasificacion[[#This Row],[Nombre de Cuenta Contable]]</f>
        <v>4101002 - IVA Proveedores DS-19</v>
      </c>
      <c r="F1122" s="47" t="str">
        <f>+Cuenta_Clasificacion[[#This Row],[Codigo Concepto de imputación]]&amp;" - "&amp;Cuenta_Clasificacion[[#This Row],[Nombre Concepto de imputación]]</f>
        <v>20048 - Sbctto Muebles de Closet</v>
      </c>
    </row>
    <row r="1123" spans="1:6" x14ac:dyDescent="0.25">
      <c r="A1123" s="43">
        <v>4101002</v>
      </c>
      <c r="B1123" t="s">
        <v>1498</v>
      </c>
      <c r="C1123" s="43">
        <v>20049</v>
      </c>
      <c r="D1123" t="s">
        <v>2833</v>
      </c>
      <c r="E1123" s="47" t="str">
        <f>+Cuenta_Clasificacion[[#This Row],[Código Cuenta Contable]]&amp;" - "&amp;Cuenta_Clasificacion[[#This Row],[Nombre de Cuenta Contable]]</f>
        <v>4101002 - IVA Proveedores DS-19</v>
      </c>
      <c r="F1123" s="47" t="str">
        <f>+Cuenta_Clasificacion[[#This Row],[Codigo Concepto de imputación]]&amp;" - "&amp;Cuenta_Clasificacion[[#This Row],[Nombre Concepto de imputación]]</f>
        <v>20049 - Sbctto Muebles de Cocina</v>
      </c>
    </row>
    <row r="1124" spans="1:6" x14ac:dyDescent="0.25">
      <c r="A1124" s="43">
        <v>4101002</v>
      </c>
      <c r="B1124" t="s">
        <v>1498</v>
      </c>
      <c r="C1124" s="43">
        <v>20050</v>
      </c>
      <c r="D1124" t="s">
        <v>2834</v>
      </c>
      <c r="E1124" s="47" t="str">
        <f>+Cuenta_Clasificacion[[#This Row],[Código Cuenta Contable]]&amp;" - "&amp;Cuenta_Clasificacion[[#This Row],[Nombre de Cuenta Contable]]</f>
        <v>4101002 - IVA Proveedores DS-19</v>
      </c>
      <c r="F1124" s="47" t="str">
        <f>+Cuenta_Clasificacion[[#This Row],[Codigo Concepto de imputación]]&amp;" - "&amp;Cuenta_Clasificacion[[#This Row],[Nombre Concepto de imputación]]</f>
        <v>20050 - Sbctto Muebles de Oficina</v>
      </c>
    </row>
    <row r="1125" spans="1:6" x14ac:dyDescent="0.25">
      <c r="A1125" s="43">
        <v>4101002</v>
      </c>
      <c r="B1125" t="s">
        <v>1498</v>
      </c>
      <c r="C1125" s="43">
        <v>20051</v>
      </c>
      <c r="D1125" t="s">
        <v>2835</v>
      </c>
      <c r="E1125" s="47" t="str">
        <f>+Cuenta_Clasificacion[[#This Row],[Código Cuenta Contable]]&amp;" - "&amp;Cuenta_Clasificacion[[#This Row],[Nombre de Cuenta Contable]]</f>
        <v>4101002 - IVA Proveedores DS-19</v>
      </c>
      <c r="F1125" s="47" t="str">
        <f>+Cuenta_Clasificacion[[#This Row],[Codigo Concepto de imputación]]&amp;" - "&amp;Cuenta_Clasificacion[[#This Row],[Nombre Concepto de imputación]]</f>
        <v>20051 - Sbctto Otros Ensayos</v>
      </c>
    </row>
    <row r="1126" spans="1:6" x14ac:dyDescent="0.25">
      <c r="A1126" s="43">
        <v>4101002</v>
      </c>
      <c r="B1126" t="s">
        <v>1498</v>
      </c>
      <c r="C1126" s="43">
        <v>20052</v>
      </c>
      <c r="D1126" t="s">
        <v>2836</v>
      </c>
      <c r="E1126" s="47" t="str">
        <f>+Cuenta_Clasificacion[[#This Row],[Código Cuenta Contable]]&amp;" - "&amp;Cuenta_Clasificacion[[#This Row],[Nombre de Cuenta Contable]]</f>
        <v>4101002 - IVA Proveedores DS-19</v>
      </c>
      <c r="F1126" s="47" t="str">
        <f>+Cuenta_Clasificacion[[#This Row],[Codigo Concepto de imputación]]&amp;" - "&amp;Cuenta_Clasificacion[[#This Row],[Nombre Concepto de imputación]]</f>
        <v>20052 - Sbctto Otros Muebles</v>
      </c>
    </row>
    <row r="1127" spans="1:6" x14ac:dyDescent="0.25">
      <c r="A1127" s="43">
        <v>4101002</v>
      </c>
      <c r="B1127" t="s">
        <v>1498</v>
      </c>
      <c r="C1127" s="43">
        <v>20053</v>
      </c>
      <c r="D1127" t="s">
        <v>2837</v>
      </c>
      <c r="E1127" s="47" t="str">
        <f>+Cuenta_Clasificacion[[#This Row],[Código Cuenta Contable]]&amp;" - "&amp;Cuenta_Clasificacion[[#This Row],[Nombre de Cuenta Contable]]</f>
        <v>4101002 - IVA Proveedores DS-19</v>
      </c>
      <c r="F1127" s="47" t="str">
        <f>+Cuenta_Clasificacion[[#This Row],[Codigo Concepto de imputación]]&amp;" - "&amp;Cuenta_Clasificacion[[#This Row],[Nombre Concepto de imputación]]</f>
        <v>20053 - Sbctto Otros Pisos</v>
      </c>
    </row>
    <row r="1128" spans="1:6" x14ac:dyDescent="0.25">
      <c r="A1128" s="43">
        <v>4101002</v>
      </c>
      <c r="B1128" t="s">
        <v>1498</v>
      </c>
      <c r="C1128" s="43">
        <v>20054</v>
      </c>
      <c r="D1128" t="s">
        <v>2838</v>
      </c>
      <c r="E1128" s="47" t="str">
        <f>+Cuenta_Clasificacion[[#This Row],[Código Cuenta Contable]]&amp;" - "&amp;Cuenta_Clasificacion[[#This Row],[Nombre de Cuenta Contable]]</f>
        <v>4101002 - IVA Proveedores DS-19</v>
      </c>
      <c r="F1128" s="47" t="str">
        <f>+Cuenta_Clasificacion[[#This Row],[Codigo Concepto de imputación]]&amp;" - "&amp;Cuenta_Clasificacion[[#This Row],[Nombre Concepto de imputación]]</f>
        <v>20054 - Sbctto Papel Mural</v>
      </c>
    </row>
    <row r="1129" spans="1:6" x14ac:dyDescent="0.25">
      <c r="A1129" s="43">
        <v>4101002</v>
      </c>
      <c r="B1129" t="s">
        <v>1498</v>
      </c>
      <c r="C1129" s="43">
        <v>20055</v>
      </c>
      <c r="D1129" t="s">
        <v>2839</v>
      </c>
      <c r="E1129" s="47" t="str">
        <f>+Cuenta_Clasificacion[[#This Row],[Código Cuenta Contable]]&amp;" - "&amp;Cuenta_Clasificacion[[#This Row],[Nombre de Cuenta Contable]]</f>
        <v>4101002 - IVA Proveedores DS-19</v>
      </c>
      <c r="F1129" s="47" t="str">
        <f>+Cuenta_Clasificacion[[#This Row],[Codigo Concepto de imputación]]&amp;" - "&amp;Cuenta_Clasificacion[[#This Row],[Nombre Concepto de imputación]]</f>
        <v>20055 - Sbctto Pavimentos</v>
      </c>
    </row>
    <row r="1130" spans="1:6" x14ac:dyDescent="0.25">
      <c r="A1130" s="43">
        <v>4101002</v>
      </c>
      <c r="B1130" t="s">
        <v>1498</v>
      </c>
      <c r="C1130" s="43">
        <v>20056</v>
      </c>
      <c r="D1130" t="s">
        <v>2840</v>
      </c>
      <c r="E1130" s="47" t="str">
        <f>+Cuenta_Clasificacion[[#This Row],[Código Cuenta Contable]]&amp;" - "&amp;Cuenta_Clasificacion[[#This Row],[Nombre de Cuenta Contable]]</f>
        <v>4101002 - IVA Proveedores DS-19</v>
      </c>
      <c r="F1130" s="47" t="str">
        <f>+Cuenta_Clasificacion[[#This Row],[Codigo Concepto de imputación]]&amp;" - "&amp;Cuenta_Clasificacion[[#This Row],[Nombre Concepto de imputación]]</f>
        <v>20056 - Sbctto Perforación de Hormigón</v>
      </c>
    </row>
    <row r="1131" spans="1:6" x14ac:dyDescent="0.25">
      <c r="A1131" s="43">
        <v>4101002</v>
      </c>
      <c r="B1131" t="s">
        <v>1498</v>
      </c>
      <c r="C1131" s="43">
        <v>20057</v>
      </c>
      <c r="D1131" t="s">
        <v>2841</v>
      </c>
      <c r="E1131" s="47" t="str">
        <f>+Cuenta_Clasificacion[[#This Row],[Código Cuenta Contable]]&amp;" - "&amp;Cuenta_Clasificacion[[#This Row],[Nombre de Cuenta Contable]]</f>
        <v>4101002 - IVA Proveedores DS-19</v>
      </c>
      <c r="F1131" s="47" t="str">
        <f>+Cuenta_Clasificacion[[#This Row],[Codigo Concepto de imputación]]&amp;" - "&amp;Cuenta_Clasificacion[[#This Row],[Nombre Concepto de imputación]]</f>
        <v>20057 - Sbctto Pilas</v>
      </c>
    </row>
    <row r="1132" spans="1:6" x14ac:dyDescent="0.25">
      <c r="A1132" s="43">
        <v>4101002</v>
      </c>
      <c r="B1132" t="s">
        <v>1498</v>
      </c>
      <c r="C1132" s="43">
        <v>20058</v>
      </c>
      <c r="D1132" t="s">
        <v>2842</v>
      </c>
      <c r="E1132" s="47" t="str">
        <f>+Cuenta_Clasificacion[[#This Row],[Código Cuenta Contable]]&amp;" - "&amp;Cuenta_Clasificacion[[#This Row],[Nombre de Cuenta Contable]]</f>
        <v>4101002 - IVA Proveedores DS-19</v>
      </c>
      <c r="F1132" s="47" t="str">
        <f>+Cuenta_Clasificacion[[#This Row],[Codigo Concepto de imputación]]&amp;" - "&amp;Cuenta_Clasificacion[[#This Row],[Nombre Concepto de imputación]]</f>
        <v>20058 - Sbctto Pinturas</v>
      </c>
    </row>
    <row r="1133" spans="1:6" x14ac:dyDescent="0.25">
      <c r="A1133" s="43">
        <v>4101002</v>
      </c>
      <c r="B1133" t="s">
        <v>1498</v>
      </c>
      <c r="C1133" s="43">
        <v>20059</v>
      </c>
      <c r="D1133" t="s">
        <v>2843</v>
      </c>
      <c r="E1133" s="47" t="str">
        <f>+Cuenta_Clasificacion[[#This Row],[Código Cuenta Contable]]&amp;" - "&amp;Cuenta_Clasificacion[[#This Row],[Nombre de Cuenta Contable]]</f>
        <v>4101002 - IVA Proveedores DS-19</v>
      </c>
      <c r="F1133" s="47" t="str">
        <f>+Cuenta_Clasificacion[[#This Row],[Codigo Concepto de imputación]]&amp;" - "&amp;Cuenta_Clasificacion[[#This Row],[Nombre Concepto de imputación]]</f>
        <v>20059 - Sbctto Piso Flotante</v>
      </c>
    </row>
    <row r="1134" spans="1:6" x14ac:dyDescent="0.25">
      <c r="A1134" s="43">
        <v>4101002</v>
      </c>
      <c r="B1134" t="s">
        <v>1498</v>
      </c>
      <c r="C1134" s="43">
        <v>20060</v>
      </c>
      <c r="D1134" t="s">
        <v>2844</v>
      </c>
      <c r="E1134" s="47" t="str">
        <f>+Cuenta_Clasificacion[[#This Row],[Código Cuenta Contable]]&amp;" - "&amp;Cuenta_Clasificacion[[#This Row],[Nombre de Cuenta Contable]]</f>
        <v>4101002 - IVA Proveedores DS-19</v>
      </c>
      <c r="F1134" s="47" t="str">
        <f>+Cuenta_Clasificacion[[#This Row],[Codigo Concepto de imputación]]&amp;" - "&amp;Cuenta_Clasificacion[[#This Row],[Nombre Concepto de imputación]]</f>
        <v>20060 - Sbctto Plásticos</v>
      </c>
    </row>
    <row r="1135" spans="1:6" x14ac:dyDescent="0.25">
      <c r="A1135" s="43">
        <v>4101002</v>
      </c>
      <c r="B1135" t="s">
        <v>1498</v>
      </c>
      <c r="C1135" s="43">
        <v>20061</v>
      </c>
      <c r="D1135" t="s">
        <v>2845</v>
      </c>
      <c r="E1135" s="47" t="str">
        <f>+Cuenta_Clasificacion[[#This Row],[Código Cuenta Contable]]&amp;" - "&amp;Cuenta_Clasificacion[[#This Row],[Nombre de Cuenta Contable]]</f>
        <v>4101002 - IVA Proveedores DS-19</v>
      </c>
      <c r="F1135" s="47" t="str">
        <f>+Cuenta_Clasificacion[[#This Row],[Codigo Concepto de imputación]]&amp;" - "&amp;Cuenta_Clasificacion[[#This Row],[Nombre Concepto de imputación]]</f>
        <v>20061 - Sbctto Preparación de Muros</v>
      </c>
    </row>
    <row r="1136" spans="1:6" x14ac:dyDescent="0.25">
      <c r="A1136" s="43">
        <v>4101002</v>
      </c>
      <c r="B1136" t="s">
        <v>1498</v>
      </c>
      <c r="C1136" s="43">
        <v>20062</v>
      </c>
      <c r="D1136" t="s">
        <v>2846</v>
      </c>
      <c r="E1136" s="47" t="str">
        <f>+Cuenta_Clasificacion[[#This Row],[Código Cuenta Contable]]&amp;" - "&amp;Cuenta_Clasificacion[[#This Row],[Nombre de Cuenta Contable]]</f>
        <v>4101002 - IVA Proveedores DS-19</v>
      </c>
      <c r="F1136" s="47" t="str">
        <f>+Cuenta_Clasificacion[[#This Row],[Codigo Concepto de imputación]]&amp;" - "&amp;Cuenta_Clasificacion[[#This Row],[Nombre Concepto de imputación]]</f>
        <v>20062 - Sbctto Presurización</v>
      </c>
    </row>
    <row r="1137" spans="1:6" x14ac:dyDescent="0.25">
      <c r="A1137" s="43">
        <v>4101002</v>
      </c>
      <c r="B1137" t="s">
        <v>1498</v>
      </c>
      <c r="C1137" s="43">
        <v>20063</v>
      </c>
      <c r="D1137" t="s">
        <v>2847</v>
      </c>
      <c r="E1137" s="47" t="str">
        <f>+Cuenta_Clasificacion[[#This Row],[Código Cuenta Contable]]&amp;" - "&amp;Cuenta_Clasificacion[[#This Row],[Nombre de Cuenta Contable]]</f>
        <v>4101002 - IVA Proveedores DS-19</v>
      </c>
      <c r="F1137" s="47" t="str">
        <f>+Cuenta_Clasificacion[[#This Row],[Codigo Concepto de imputación]]&amp;" - "&amp;Cuenta_Clasificacion[[#This Row],[Nombre Concepto de imputación]]</f>
        <v>20063 - Sbctto Puertas</v>
      </c>
    </row>
    <row r="1138" spans="1:6" x14ac:dyDescent="0.25">
      <c r="A1138" s="43">
        <v>4101002</v>
      </c>
      <c r="B1138" t="s">
        <v>1498</v>
      </c>
      <c r="C1138" s="43">
        <v>20064</v>
      </c>
      <c r="D1138" t="s">
        <v>2848</v>
      </c>
      <c r="E1138" s="47" t="str">
        <f>+Cuenta_Clasificacion[[#This Row],[Código Cuenta Contable]]&amp;" - "&amp;Cuenta_Clasificacion[[#This Row],[Nombre de Cuenta Contable]]</f>
        <v>4101002 - IVA Proveedores DS-19</v>
      </c>
      <c r="F1138" s="47" t="str">
        <f>+Cuenta_Clasificacion[[#This Row],[Codigo Concepto de imputación]]&amp;" - "&amp;Cuenta_Clasificacion[[#This Row],[Nombre Concepto de imputación]]</f>
        <v>20064 - Sbctto Pulido de Pisos</v>
      </c>
    </row>
    <row r="1139" spans="1:6" x14ac:dyDescent="0.25">
      <c r="A1139" s="43">
        <v>4101002</v>
      </c>
      <c r="B1139" t="s">
        <v>1498</v>
      </c>
      <c r="C1139" s="43">
        <v>20065</v>
      </c>
      <c r="D1139" t="s">
        <v>2849</v>
      </c>
      <c r="E1139" s="47" t="str">
        <f>+Cuenta_Clasificacion[[#This Row],[Código Cuenta Contable]]&amp;" - "&amp;Cuenta_Clasificacion[[#This Row],[Nombre de Cuenta Contable]]</f>
        <v>4101002 - IVA Proveedores DS-19</v>
      </c>
      <c r="F1139" s="47" t="str">
        <f>+Cuenta_Clasificacion[[#This Row],[Codigo Concepto de imputación]]&amp;" - "&amp;Cuenta_Clasificacion[[#This Row],[Nombre Concepto de imputación]]</f>
        <v>20065 - Sbctto Quincallería</v>
      </c>
    </row>
    <row r="1140" spans="1:6" x14ac:dyDescent="0.25">
      <c r="A1140" s="43">
        <v>4101002</v>
      </c>
      <c r="B1140" t="s">
        <v>1498</v>
      </c>
      <c r="C1140" s="43">
        <v>20066</v>
      </c>
      <c r="D1140" t="s">
        <v>2850</v>
      </c>
      <c r="E1140" s="47" t="str">
        <f>+Cuenta_Clasificacion[[#This Row],[Código Cuenta Contable]]&amp;" - "&amp;Cuenta_Clasificacion[[#This Row],[Nombre de Cuenta Contable]]</f>
        <v>4101002 - IVA Proveedores DS-19</v>
      </c>
      <c r="F1140" s="47" t="str">
        <f>+Cuenta_Clasificacion[[#This Row],[Codigo Concepto de imputación]]&amp;" - "&amp;Cuenta_Clasificacion[[#This Row],[Nombre Concepto de imputación]]</f>
        <v>20066 - Sbctto Red de Calefacción</v>
      </c>
    </row>
    <row r="1141" spans="1:6" x14ac:dyDescent="0.25">
      <c r="A1141" s="43">
        <v>4101002</v>
      </c>
      <c r="B1141" t="s">
        <v>1498</v>
      </c>
      <c r="C1141" s="43">
        <v>20067</v>
      </c>
      <c r="D1141" t="s">
        <v>2851</v>
      </c>
      <c r="E1141" s="47" t="str">
        <f>+Cuenta_Clasificacion[[#This Row],[Código Cuenta Contable]]&amp;" - "&amp;Cuenta_Clasificacion[[#This Row],[Nombre de Cuenta Contable]]</f>
        <v>4101002 - IVA Proveedores DS-19</v>
      </c>
      <c r="F1141" s="47" t="str">
        <f>+Cuenta_Clasificacion[[#This Row],[Codigo Concepto de imputación]]&amp;" - "&amp;Cuenta_Clasificacion[[#This Row],[Nombre Concepto de imputación]]</f>
        <v>20067 - Sbctto Retiro Escombros</v>
      </c>
    </row>
    <row r="1142" spans="1:6" x14ac:dyDescent="0.25">
      <c r="A1142" s="43">
        <v>4101002</v>
      </c>
      <c r="B1142" t="s">
        <v>1498</v>
      </c>
      <c r="C1142" s="43">
        <v>20068</v>
      </c>
      <c r="D1142" t="s">
        <v>2852</v>
      </c>
      <c r="E1142" s="47" t="str">
        <f>+Cuenta_Clasificacion[[#This Row],[Código Cuenta Contable]]&amp;" - "&amp;Cuenta_Clasificacion[[#This Row],[Nombre de Cuenta Contable]]</f>
        <v>4101002 - IVA Proveedores DS-19</v>
      </c>
      <c r="F1142" s="47" t="str">
        <f>+Cuenta_Clasificacion[[#This Row],[Codigo Concepto de imputación]]&amp;" - "&amp;Cuenta_Clasificacion[[#This Row],[Nombre Concepto de imputación]]</f>
        <v>20068 - Sbctto Señalética</v>
      </c>
    </row>
    <row r="1143" spans="1:6" x14ac:dyDescent="0.25">
      <c r="A1143" s="43">
        <v>4101002</v>
      </c>
      <c r="B1143" t="s">
        <v>1498</v>
      </c>
      <c r="C1143" s="43">
        <v>20069</v>
      </c>
      <c r="D1143" t="s">
        <v>2853</v>
      </c>
      <c r="E1143" s="47" t="str">
        <f>+Cuenta_Clasificacion[[#This Row],[Código Cuenta Contable]]&amp;" - "&amp;Cuenta_Clasificacion[[#This Row],[Nombre de Cuenta Contable]]</f>
        <v>4101002 - IVA Proveedores DS-19</v>
      </c>
      <c r="F1143" s="47" t="str">
        <f>+Cuenta_Clasificacion[[#This Row],[Codigo Concepto de imputación]]&amp;" - "&amp;Cuenta_Clasificacion[[#This Row],[Nombre Concepto de imputación]]</f>
        <v>20069 - Sbctto Servicio de Aseo</v>
      </c>
    </row>
    <row r="1144" spans="1:6" x14ac:dyDescent="0.25">
      <c r="A1144" s="43">
        <v>4101002</v>
      </c>
      <c r="B1144" t="s">
        <v>1498</v>
      </c>
      <c r="C1144" s="43">
        <v>20070</v>
      </c>
      <c r="D1144" t="s">
        <v>2854</v>
      </c>
      <c r="E1144" s="47" t="str">
        <f>+Cuenta_Clasificacion[[#This Row],[Código Cuenta Contable]]&amp;" - "&amp;Cuenta_Clasificacion[[#This Row],[Nombre de Cuenta Contable]]</f>
        <v>4101002 - IVA Proveedores DS-19</v>
      </c>
      <c r="F1144" s="47" t="str">
        <f>+Cuenta_Clasificacion[[#This Row],[Codigo Concepto de imputación]]&amp;" - "&amp;Cuenta_Clasificacion[[#This Row],[Nombre Concepto de imputación]]</f>
        <v>20070 - Sbctto Suelos</v>
      </c>
    </row>
    <row r="1145" spans="1:6" x14ac:dyDescent="0.25">
      <c r="A1145" s="43">
        <v>4101002</v>
      </c>
      <c r="B1145" t="s">
        <v>1498</v>
      </c>
      <c r="C1145" s="43">
        <v>20071</v>
      </c>
      <c r="D1145" t="s">
        <v>2855</v>
      </c>
      <c r="E1145" s="47" t="str">
        <f>+Cuenta_Clasificacion[[#This Row],[Código Cuenta Contable]]&amp;" - "&amp;Cuenta_Clasificacion[[#This Row],[Nombre de Cuenta Contable]]</f>
        <v>4101002 - IVA Proveedores DS-19</v>
      </c>
      <c r="F1145" s="47" t="str">
        <f>+Cuenta_Clasificacion[[#This Row],[Codigo Concepto de imputación]]&amp;" - "&amp;Cuenta_Clasificacion[[#This Row],[Nombre Concepto de imputación]]</f>
        <v>20071 - Sbctto Tabiques</v>
      </c>
    </row>
    <row r="1146" spans="1:6" x14ac:dyDescent="0.25">
      <c r="A1146" s="43">
        <v>4101002</v>
      </c>
      <c r="B1146" t="s">
        <v>1498</v>
      </c>
      <c r="C1146" s="43">
        <v>20072</v>
      </c>
      <c r="D1146" t="s">
        <v>2856</v>
      </c>
      <c r="E1146" s="47" t="str">
        <f>+Cuenta_Clasificacion[[#This Row],[Código Cuenta Contable]]&amp;" - "&amp;Cuenta_Clasificacion[[#This Row],[Nombre de Cuenta Contable]]</f>
        <v>4101002 - IVA Proveedores DS-19</v>
      </c>
      <c r="F1146" s="47" t="str">
        <f>+Cuenta_Clasificacion[[#This Row],[Codigo Concepto de imputación]]&amp;" - "&amp;Cuenta_Clasificacion[[#This Row],[Nombre Concepto de imputación]]</f>
        <v>20072 - Sbctto Techumbres y Cubiertas</v>
      </c>
    </row>
    <row r="1147" spans="1:6" x14ac:dyDescent="0.25">
      <c r="A1147" s="43">
        <v>4101002</v>
      </c>
      <c r="B1147" t="s">
        <v>1498</v>
      </c>
      <c r="C1147" s="43">
        <v>20073</v>
      </c>
      <c r="D1147" t="s">
        <v>2857</v>
      </c>
      <c r="E1147" s="47" t="str">
        <f>+Cuenta_Clasificacion[[#This Row],[Código Cuenta Contable]]&amp;" - "&amp;Cuenta_Clasificacion[[#This Row],[Nombre de Cuenta Contable]]</f>
        <v>4101002 - IVA Proveedores DS-19</v>
      </c>
      <c r="F1147" s="47" t="str">
        <f>+Cuenta_Clasificacion[[#This Row],[Codigo Concepto de imputación]]&amp;" - "&amp;Cuenta_Clasificacion[[#This Row],[Nombre Concepto de imputación]]</f>
        <v>20073 - Sbctto Topografía</v>
      </c>
    </row>
    <row r="1148" spans="1:6" x14ac:dyDescent="0.25">
      <c r="A1148" s="43">
        <v>4101002</v>
      </c>
      <c r="B1148" t="s">
        <v>1498</v>
      </c>
      <c r="C1148" s="43">
        <v>20074</v>
      </c>
      <c r="D1148" t="s">
        <v>2858</v>
      </c>
      <c r="E1148" s="47" t="str">
        <f>+Cuenta_Clasificacion[[#This Row],[Código Cuenta Contable]]&amp;" - "&amp;Cuenta_Clasificacion[[#This Row],[Nombre de Cuenta Contable]]</f>
        <v>4101002 - IVA Proveedores DS-19</v>
      </c>
      <c r="F1148" s="47" t="str">
        <f>+Cuenta_Clasificacion[[#This Row],[Codigo Concepto de imputación]]&amp;" - "&amp;Cuenta_Clasificacion[[#This Row],[Nombre Concepto de imputación]]</f>
        <v>20074 - Sbctto Trámites</v>
      </c>
    </row>
    <row r="1149" spans="1:6" x14ac:dyDescent="0.25">
      <c r="A1149" s="43">
        <v>4101002</v>
      </c>
      <c r="B1149" t="s">
        <v>1498</v>
      </c>
      <c r="C1149" s="43">
        <v>20075</v>
      </c>
      <c r="D1149" t="s">
        <v>2859</v>
      </c>
      <c r="E1149" s="47" t="str">
        <f>+Cuenta_Clasificacion[[#This Row],[Código Cuenta Contable]]&amp;" - "&amp;Cuenta_Clasificacion[[#This Row],[Nombre de Cuenta Contable]]</f>
        <v>4101002 - IVA Proveedores DS-19</v>
      </c>
      <c r="F1149" s="47" t="str">
        <f>+Cuenta_Clasificacion[[#This Row],[Codigo Concepto de imputación]]&amp;" - "&amp;Cuenta_Clasificacion[[#This Row],[Nombre Concepto de imputación]]</f>
        <v>20075 - Sbctto Transporte</v>
      </c>
    </row>
    <row r="1150" spans="1:6" x14ac:dyDescent="0.25">
      <c r="A1150" s="43">
        <v>4101002</v>
      </c>
      <c r="B1150" t="s">
        <v>1498</v>
      </c>
      <c r="C1150" s="43">
        <v>20076</v>
      </c>
      <c r="D1150" t="s">
        <v>2860</v>
      </c>
      <c r="E1150" s="47" t="str">
        <f>+Cuenta_Clasificacion[[#This Row],[Código Cuenta Contable]]&amp;" - "&amp;Cuenta_Clasificacion[[#This Row],[Nombre de Cuenta Contable]]</f>
        <v>4101002 - IVA Proveedores DS-19</v>
      </c>
      <c r="F1150" s="47" t="str">
        <f>+Cuenta_Clasificacion[[#This Row],[Codigo Concepto de imputación]]&amp;" - "&amp;Cuenta_Clasificacion[[#This Row],[Nombre Concepto de imputación]]</f>
        <v>20076 - Sbctto Ventanas</v>
      </c>
    </row>
    <row r="1151" spans="1:6" x14ac:dyDescent="0.25">
      <c r="A1151" s="43">
        <v>4101002</v>
      </c>
      <c r="B1151" t="s">
        <v>1498</v>
      </c>
      <c r="C1151" s="43">
        <v>20077</v>
      </c>
      <c r="D1151" t="s">
        <v>2861</v>
      </c>
      <c r="E1151" s="47" t="str">
        <f>+Cuenta_Clasificacion[[#This Row],[Código Cuenta Contable]]&amp;" - "&amp;Cuenta_Clasificacion[[#This Row],[Nombre de Cuenta Contable]]</f>
        <v>4101002 - IVA Proveedores DS-19</v>
      </c>
      <c r="F1151" s="47" t="str">
        <f>+Cuenta_Clasificacion[[#This Row],[Codigo Concepto de imputación]]&amp;" - "&amp;Cuenta_Clasificacion[[#This Row],[Nombre Concepto de imputación]]</f>
        <v>20077 - Sbctto Vitrificado</v>
      </c>
    </row>
    <row r="1152" spans="1:6" x14ac:dyDescent="0.25">
      <c r="A1152" s="43">
        <v>4101002</v>
      </c>
      <c r="B1152" t="s">
        <v>1498</v>
      </c>
      <c r="C1152" s="43">
        <v>20078</v>
      </c>
      <c r="D1152" t="s">
        <v>2862</v>
      </c>
      <c r="E1152" s="47" t="str">
        <f>+Cuenta_Clasificacion[[#This Row],[Código Cuenta Contable]]&amp;" - "&amp;Cuenta_Clasificacion[[#This Row],[Nombre de Cuenta Contable]]</f>
        <v>4101002 - IVA Proveedores DS-19</v>
      </c>
      <c r="F1152" s="47" t="str">
        <f>+Cuenta_Clasificacion[[#This Row],[Codigo Concepto de imputación]]&amp;" - "&amp;Cuenta_Clasificacion[[#This Row],[Nombre Concepto de imputación]]</f>
        <v>20078 - Sbctto Zincado, Galvanizado</v>
      </c>
    </row>
    <row r="1153" spans="1:6" x14ac:dyDescent="0.25">
      <c r="A1153" s="43">
        <v>4101002</v>
      </c>
      <c r="B1153" t="s">
        <v>1498</v>
      </c>
      <c r="C1153" s="43">
        <v>20079</v>
      </c>
      <c r="D1153" t="s">
        <v>2863</v>
      </c>
      <c r="E1153" s="47" t="str">
        <f>+Cuenta_Clasificacion[[#This Row],[Código Cuenta Contable]]&amp;" - "&amp;Cuenta_Clasificacion[[#This Row],[Nombre de Cuenta Contable]]</f>
        <v>4101002 - IVA Proveedores DS-19</v>
      </c>
      <c r="F1153" s="47" t="str">
        <f>+Cuenta_Clasificacion[[#This Row],[Codigo Concepto de imputación]]&amp;" - "&amp;Cuenta_Clasificacion[[#This Row],[Nombre Concepto de imputación]]</f>
        <v>20079 - Servicio Vigilancia</v>
      </c>
    </row>
    <row r="1154" spans="1:6" x14ac:dyDescent="0.25">
      <c r="A1154" s="43">
        <v>4101002</v>
      </c>
      <c r="B1154" t="s">
        <v>1498</v>
      </c>
      <c r="C1154" s="43">
        <v>20080</v>
      </c>
      <c r="D1154" t="s">
        <v>2864</v>
      </c>
      <c r="E1154" s="47" t="str">
        <f>+Cuenta_Clasificacion[[#This Row],[Código Cuenta Contable]]&amp;" - "&amp;Cuenta_Clasificacion[[#This Row],[Nombre de Cuenta Contable]]</f>
        <v>4101002 - IVA Proveedores DS-19</v>
      </c>
      <c r="F1154" s="47" t="str">
        <f>+Cuenta_Clasificacion[[#This Row],[Codigo Concepto de imputación]]&amp;" - "&amp;Cuenta_Clasificacion[[#This Row],[Nombre Concepto de imputación]]</f>
        <v>20080 - Sbctto Instalación Especial</v>
      </c>
    </row>
    <row r="1155" spans="1:6" x14ac:dyDescent="0.25">
      <c r="A1155" s="43">
        <v>4101002</v>
      </c>
      <c r="B1155" t="s">
        <v>1498</v>
      </c>
      <c r="C1155" s="43">
        <v>20081</v>
      </c>
      <c r="D1155" t="s">
        <v>2865</v>
      </c>
      <c r="E1155" s="47" t="str">
        <f>+Cuenta_Clasificacion[[#This Row],[Código Cuenta Contable]]&amp;" - "&amp;Cuenta_Clasificacion[[#This Row],[Nombre de Cuenta Contable]]</f>
        <v>4101002 - IVA Proveedores DS-19</v>
      </c>
      <c r="F1155" s="47" t="str">
        <f>+Cuenta_Clasificacion[[#This Row],[Codigo Concepto de imputación]]&amp;" - "&amp;Cuenta_Clasificacion[[#This Row],[Nombre Concepto de imputación]]</f>
        <v>20081 - Instalación Sist Computacional</v>
      </c>
    </row>
    <row r="1156" spans="1:6" x14ac:dyDescent="0.25">
      <c r="A1156" s="43">
        <v>4101002</v>
      </c>
      <c r="B1156" t="s">
        <v>1498</v>
      </c>
      <c r="C1156" s="43">
        <v>20082</v>
      </c>
      <c r="D1156" t="s">
        <v>2866</v>
      </c>
      <c r="E1156" s="47" t="str">
        <f>+Cuenta_Clasificacion[[#This Row],[Código Cuenta Contable]]&amp;" - "&amp;Cuenta_Clasificacion[[#This Row],[Nombre de Cuenta Contable]]</f>
        <v>4101002 - IVA Proveedores DS-19</v>
      </c>
      <c r="F1156" s="47" t="str">
        <f>+Cuenta_Clasificacion[[#This Row],[Codigo Concepto de imputación]]&amp;" - "&amp;Cuenta_Clasificacion[[#This Row],[Nombre Concepto de imputación]]</f>
        <v>20082 - Operador Sbctto Arriendo</v>
      </c>
    </row>
    <row r="1157" spans="1:6" x14ac:dyDescent="0.25">
      <c r="A1157" s="43">
        <v>4101002</v>
      </c>
      <c r="B1157" t="s">
        <v>1498</v>
      </c>
      <c r="C1157" s="43">
        <v>20083</v>
      </c>
      <c r="D1157" t="s">
        <v>2867</v>
      </c>
      <c r="E1157" s="47" t="str">
        <f>+Cuenta_Clasificacion[[#This Row],[Código Cuenta Contable]]&amp;" - "&amp;Cuenta_Clasificacion[[#This Row],[Nombre de Cuenta Contable]]</f>
        <v>4101002 - IVA Proveedores DS-19</v>
      </c>
      <c r="F1157" s="47" t="str">
        <f>+Cuenta_Clasificacion[[#This Row],[Codigo Concepto de imputación]]&amp;" - "&amp;Cuenta_Clasificacion[[#This Row],[Nombre Concepto de imputación]]</f>
        <v>20083 - Descuento Subcontrato</v>
      </c>
    </row>
    <row r="1158" spans="1:6" x14ac:dyDescent="0.25">
      <c r="A1158" s="43">
        <v>4101002</v>
      </c>
      <c r="B1158" t="s">
        <v>1498</v>
      </c>
      <c r="C1158" s="43">
        <v>20084</v>
      </c>
      <c r="D1158" t="s">
        <v>2911</v>
      </c>
      <c r="E1158" s="47" t="str">
        <f>+Cuenta_Clasificacion[[#This Row],[Código Cuenta Contable]]&amp;" - "&amp;Cuenta_Clasificacion[[#This Row],[Nombre de Cuenta Contable]]</f>
        <v>4101002 - IVA Proveedores DS-19</v>
      </c>
      <c r="F1158" s="47" t="str">
        <f>+Cuenta_Clasificacion[[#This Row],[Codigo Concepto de imputación]]&amp;" - "&amp;Cuenta_Clasificacion[[#This Row],[Nombre Concepto de imputación]]</f>
        <v>20084 - Sbctto Trabajos Misceláneos</v>
      </c>
    </row>
    <row r="1159" spans="1:6" x14ac:dyDescent="0.25">
      <c r="A1159" s="43">
        <v>4101002</v>
      </c>
      <c r="B1159" t="s">
        <v>1498</v>
      </c>
      <c r="C1159" s="43">
        <v>20085</v>
      </c>
      <c r="D1159" t="s">
        <v>2912</v>
      </c>
      <c r="E1159" s="47" t="str">
        <f>+Cuenta_Clasificacion[[#This Row],[Código Cuenta Contable]]&amp;" - "&amp;Cuenta_Clasificacion[[#This Row],[Nombre de Cuenta Contable]]</f>
        <v>4101002 - IVA Proveedores DS-19</v>
      </c>
      <c r="F1159" s="47" t="str">
        <f>+Cuenta_Clasificacion[[#This Row],[Codigo Concepto de imputación]]&amp;" - "&amp;Cuenta_Clasificacion[[#This Row],[Nombre Concepto de imputación]]</f>
        <v>20085 - Sbctto Agotamiento Napas</v>
      </c>
    </row>
    <row r="1160" spans="1:6" x14ac:dyDescent="0.25">
      <c r="A1160" s="43">
        <v>4101002</v>
      </c>
      <c r="B1160" t="s">
        <v>1498</v>
      </c>
      <c r="C1160" s="43">
        <v>20086</v>
      </c>
      <c r="D1160" t="s">
        <v>2868</v>
      </c>
      <c r="E1160" s="47" t="str">
        <f>+Cuenta_Clasificacion[[#This Row],[Código Cuenta Contable]]&amp;" - "&amp;Cuenta_Clasificacion[[#This Row],[Nombre de Cuenta Contable]]</f>
        <v>4101002 - IVA Proveedores DS-19</v>
      </c>
      <c r="F1160" s="47" t="str">
        <f>+Cuenta_Clasificacion[[#This Row],[Codigo Concepto de imputación]]&amp;" - "&amp;Cuenta_Clasificacion[[#This Row],[Nombre Concepto de imputación]]</f>
        <v>20086 - Sbctto Otros Subcttos</v>
      </c>
    </row>
    <row r="1161" spans="1:6" x14ac:dyDescent="0.25">
      <c r="A1161" s="43">
        <v>4101002</v>
      </c>
      <c r="B1161" t="s">
        <v>1498</v>
      </c>
      <c r="C1161" s="43">
        <v>20087</v>
      </c>
      <c r="D1161" t="s">
        <v>2913</v>
      </c>
      <c r="E1161" s="47" t="str">
        <f>+Cuenta_Clasificacion[[#This Row],[Código Cuenta Contable]]&amp;" - "&amp;Cuenta_Clasificacion[[#This Row],[Nombre de Cuenta Contable]]</f>
        <v>4101002 - IVA Proveedores DS-19</v>
      </c>
      <c r="F1161" s="47" t="str">
        <f>+Cuenta_Clasificacion[[#This Row],[Codigo Concepto de imputación]]&amp;" - "&amp;Cuenta_Clasificacion[[#This Row],[Nombre Concepto de imputación]]</f>
        <v>20087 - Pago Sueldos/Finiq Trab Sbctto</v>
      </c>
    </row>
    <row r="1162" spans="1:6" x14ac:dyDescent="0.25">
      <c r="A1162" s="43">
        <v>4101002</v>
      </c>
      <c r="B1162" t="s">
        <v>1498</v>
      </c>
      <c r="C1162" s="43">
        <v>20088</v>
      </c>
      <c r="D1162" t="s">
        <v>2914</v>
      </c>
      <c r="E1162" s="47" t="str">
        <f>+Cuenta_Clasificacion[[#This Row],[Código Cuenta Contable]]&amp;" - "&amp;Cuenta_Clasificacion[[#This Row],[Nombre de Cuenta Contable]]</f>
        <v>4101002 - IVA Proveedores DS-19</v>
      </c>
      <c r="F1162" s="47" t="str">
        <f>+Cuenta_Clasificacion[[#This Row],[Codigo Concepto de imputación]]&amp;" - "&amp;Cuenta_Clasificacion[[#This Row],[Nombre Concepto de imputación]]</f>
        <v>20088 - Pago Imposiciones Trab Sbctto</v>
      </c>
    </row>
    <row r="1163" spans="1:6" x14ac:dyDescent="0.25">
      <c r="A1163" s="43">
        <v>4101002</v>
      </c>
      <c r="B1163" t="s">
        <v>1498</v>
      </c>
      <c r="C1163" s="43">
        <v>40001</v>
      </c>
      <c r="D1163" t="s">
        <v>2944</v>
      </c>
      <c r="E1163" s="47" t="str">
        <f>+Cuenta_Clasificacion[[#This Row],[Código Cuenta Contable]]&amp;" - "&amp;Cuenta_Clasificacion[[#This Row],[Nombre de Cuenta Contable]]</f>
        <v>4101002 - IVA Proveedores DS-19</v>
      </c>
      <c r="F1163" s="47" t="str">
        <f>+Cuenta_Clasificacion[[#This Row],[Codigo Concepto de imputación]]&amp;" - "&amp;Cuenta_Clasificacion[[#This Row],[Nombre Concepto de imputación]]</f>
        <v>40001 - Administrador de Obra</v>
      </c>
    </row>
    <row r="1164" spans="1:6" x14ac:dyDescent="0.25">
      <c r="A1164" s="43">
        <v>4101002</v>
      </c>
      <c r="B1164" t="s">
        <v>1498</v>
      </c>
      <c r="C1164" s="43">
        <v>40002</v>
      </c>
      <c r="D1164" t="s">
        <v>2945</v>
      </c>
      <c r="E1164" s="47" t="str">
        <f>+Cuenta_Clasificacion[[#This Row],[Código Cuenta Contable]]&amp;" - "&amp;Cuenta_Clasificacion[[#This Row],[Nombre de Cuenta Contable]]</f>
        <v>4101002 - IVA Proveedores DS-19</v>
      </c>
      <c r="F1164" s="47" t="str">
        <f>+Cuenta_Clasificacion[[#This Row],[Codigo Concepto de imputación]]&amp;" - "&amp;Cuenta_Clasificacion[[#This Row],[Nombre Concepto de imputación]]</f>
        <v>40002 - Administrador General</v>
      </c>
    </row>
    <row r="1165" spans="1:6" x14ac:dyDescent="0.25">
      <c r="A1165" s="43">
        <v>4101002</v>
      </c>
      <c r="B1165" t="s">
        <v>1498</v>
      </c>
      <c r="C1165" s="43">
        <v>40003</v>
      </c>
      <c r="D1165" t="s">
        <v>2946</v>
      </c>
      <c r="E1165" s="47" t="str">
        <f>+Cuenta_Clasificacion[[#This Row],[Código Cuenta Contable]]&amp;" - "&amp;Cuenta_Clasificacion[[#This Row],[Nombre de Cuenta Contable]]</f>
        <v>4101002 - IVA Proveedores DS-19</v>
      </c>
      <c r="F1165" s="47" t="str">
        <f>+Cuenta_Clasificacion[[#This Row],[Codigo Concepto de imputación]]&amp;" - "&amp;Cuenta_Clasificacion[[#This Row],[Nombre Concepto de imputación]]</f>
        <v>40003 - Administrativo de Obra</v>
      </c>
    </row>
    <row r="1166" spans="1:6" x14ac:dyDescent="0.25">
      <c r="A1166" s="43">
        <v>4101002</v>
      </c>
      <c r="B1166" t="s">
        <v>1498</v>
      </c>
      <c r="C1166" s="43">
        <v>40004</v>
      </c>
      <c r="D1166" t="s">
        <v>2947</v>
      </c>
      <c r="E1166" s="47" t="str">
        <f>+Cuenta_Clasificacion[[#This Row],[Código Cuenta Contable]]&amp;" - "&amp;Cuenta_Clasificacion[[#This Row],[Nombre de Cuenta Contable]]</f>
        <v>4101002 - IVA Proveedores DS-19</v>
      </c>
      <c r="F1166" s="47" t="str">
        <f>+Cuenta_Clasificacion[[#This Row],[Codigo Concepto de imputación]]&amp;" - "&amp;Cuenta_Clasificacion[[#This Row],[Nombre Concepto de imputación]]</f>
        <v>40004 - Albañil</v>
      </c>
    </row>
    <row r="1167" spans="1:6" x14ac:dyDescent="0.25">
      <c r="A1167" s="43">
        <v>4101002</v>
      </c>
      <c r="B1167" t="s">
        <v>1498</v>
      </c>
      <c r="C1167" s="43">
        <v>40005</v>
      </c>
      <c r="D1167" t="s">
        <v>2948</v>
      </c>
      <c r="E1167" s="47" t="str">
        <f>+Cuenta_Clasificacion[[#This Row],[Código Cuenta Contable]]&amp;" - "&amp;Cuenta_Clasificacion[[#This Row],[Nombre de Cuenta Contable]]</f>
        <v>4101002 - IVA Proveedores DS-19</v>
      </c>
      <c r="F1167" s="47" t="str">
        <f>+Cuenta_Clasificacion[[#This Row],[Codigo Concepto de imputación]]&amp;" - "&amp;Cuenta_Clasificacion[[#This Row],[Nombre Concepto de imputación]]</f>
        <v>40005 - Andamiero</v>
      </c>
    </row>
    <row r="1168" spans="1:6" x14ac:dyDescent="0.25">
      <c r="A1168" s="43">
        <v>4101002</v>
      </c>
      <c r="B1168" t="s">
        <v>1498</v>
      </c>
      <c r="C1168" s="43">
        <v>40006</v>
      </c>
      <c r="D1168" t="s">
        <v>2949</v>
      </c>
      <c r="E1168" s="47" t="str">
        <f>+Cuenta_Clasificacion[[#This Row],[Código Cuenta Contable]]&amp;" - "&amp;Cuenta_Clasificacion[[#This Row],[Nombre de Cuenta Contable]]</f>
        <v>4101002 - IVA Proveedores DS-19</v>
      </c>
      <c r="F1168" s="47" t="str">
        <f>+Cuenta_Clasificacion[[#This Row],[Codigo Concepto de imputación]]&amp;" - "&amp;Cuenta_Clasificacion[[#This Row],[Nombre Concepto de imputación]]</f>
        <v>40006 - Arquitecto</v>
      </c>
    </row>
    <row r="1169" spans="1:6" x14ac:dyDescent="0.25">
      <c r="A1169" s="43">
        <v>4101002</v>
      </c>
      <c r="B1169" t="s">
        <v>1498</v>
      </c>
      <c r="C1169" s="43">
        <v>40007</v>
      </c>
      <c r="D1169" t="s">
        <v>2950</v>
      </c>
      <c r="E1169" s="47" t="str">
        <f>+Cuenta_Clasificacion[[#This Row],[Código Cuenta Contable]]&amp;" - "&amp;Cuenta_Clasificacion[[#This Row],[Nombre de Cuenta Contable]]</f>
        <v>4101002 - IVA Proveedores DS-19</v>
      </c>
      <c r="F1169" s="47" t="str">
        <f>+Cuenta_Clasificacion[[#This Row],[Codigo Concepto de imputación]]&amp;" - "&amp;Cuenta_Clasificacion[[#This Row],[Nombre Concepto de imputación]]</f>
        <v>40007 - Asistente Supervisor Zonal</v>
      </c>
    </row>
    <row r="1170" spans="1:6" x14ac:dyDescent="0.25">
      <c r="A1170" s="43">
        <v>4101002</v>
      </c>
      <c r="B1170" t="s">
        <v>1498</v>
      </c>
      <c r="C1170" s="43">
        <v>40008</v>
      </c>
      <c r="D1170" t="s">
        <v>2951</v>
      </c>
      <c r="E1170" s="47" t="str">
        <f>+Cuenta_Clasificacion[[#This Row],[Código Cuenta Contable]]&amp;" - "&amp;Cuenta_Clasificacion[[#This Row],[Nombre de Cuenta Contable]]</f>
        <v>4101002 - IVA Proveedores DS-19</v>
      </c>
      <c r="F1170" s="47" t="str">
        <f>+Cuenta_Clasificacion[[#This Row],[Codigo Concepto de imputación]]&amp;" - "&amp;Cuenta_Clasificacion[[#This Row],[Nombre Concepto de imputación]]</f>
        <v>40008 - Auditor Int. Prev. de Riesgos</v>
      </c>
    </row>
    <row r="1171" spans="1:6" x14ac:dyDescent="0.25">
      <c r="A1171" s="43">
        <v>4101002</v>
      </c>
      <c r="B1171" t="s">
        <v>1498</v>
      </c>
      <c r="C1171" s="43">
        <v>40009</v>
      </c>
      <c r="D1171" t="s">
        <v>2952</v>
      </c>
      <c r="E1171" s="47" t="str">
        <f>+Cuenta_Clasificacion[[#This Row],[Código Cuenta Contable]]&amp;" - "&amp;Cuenta_Clasificacion[[#This Row],[Nombre de Cuenta Contable]]</f>
        <v>4101002 - IVA Proveedores DS-19</v>
      </c>
      <c r="F1171" s="47" t="str">
        <f>+Cuenta_Clasificacion[[#This Row],[Codigo Concepto de imputación]]&amp;" - "&amp;Cuenta_Clasificacion[[#This Row],[Nombre Concepto de imputación]]</f>
        <v>40009 - Ayudante Administrativo</v>
      </c>
    </row>
    <row r="1172" spans="1:6" x14ac:dyDescent="0.25">
      <c r="A1172" s="43">
        <v>4101002</v>
      </c>
      <c r="B1172" t="s">
        <v>1498</v>
      </c>
      <c r="C1172" s="43">
        <v>40010</v>
      </c>
      <c r="D1172" t="s">
        <v>2953</v>
      </c>
      <c r="E1172" s="47" t="str">
        <f>+Cuenta_Clasificacion[[#This Row],[Código Cuenta Contable]]&amp;" - "&amp;Cuenta_Clasificacion[[#This Row],[Nombre de Cuenta Contable]]</f>
        <v>4101002 - IVA Proveedores DS-19</v>
      </c>
      <c r="F1172" s="47" t="str">
        <f>+Cuenta_Clasificacion[[#This Row],[Codigo Concepto de imputación]]&amp;" - "&amp;Cuenta_Clasificacion[[#This Row],[Nombre Concepto de imputación]]</f>
        <v>40010 - Ayudante Albañil</v>
      </c>
    </row>
    <row r="1173" spans="1:6" x14ac:dyDescent="0.25">
      <c r="A1173" s="43">
        <v>4101002</v>
      </c>
      <c r="B1173" t="s">
        <v>1498</v>
      </c>
      <c r="C1173" s="43">
        <v>40011</v>
      </c>
      <c r="D1173" t="s">
        <v>2954</v>
      </c>
      <c r="E1173" s="47" t="str">
        <f>+Cuenta_Clasificacion[[#This Row],[Código Cuenta Contable]]&amp;" - "&amp;Cuenta_Clasificacion[[#This Row],[Nombre de Cuenta Contable]]</f>
        <v>4101002 - IVA Proveedores DS-19</v>
      </c>
      <c r="F1173" s="47" t="str">
        <f>+Cuenta_Clasificacion[[#This Row],[Codigo Concepto de imputación]]&amp;" - "&amp;Cuenta_Clasificacion[[#This Row],[Nombre Concepto de imputación]]</f>
        <v>40011 - Ayudante Bodega</v>
      </c>
    </row>
    <row r="1174" spans="1:6" x14ac:dyDescent="0.25">
      <c r="A1174" s="43">
        <v>4101002</v>
      </c>
      <c r="B1174" t="s">
        <v>1498</v>
      </c>
      <c r="C1174" s="43">
        <v>40012</v>
      </c>
      <c r="D1174" t="s">
        <v>2955</v>
      </c>
      <c r="E1174" s="47" t="str">
        <f>+Cuenta_Clasificacion[[#This Row],[Código Cuenta Contable]]&amp;" - "&amp;Cuenta_Clasificacion[[#This Row],[Nombre de Cuenta Contable]]</f>
        <v>4101002 - IVA Proveedores DS-19</v>
      </c>
      <c r="F1174" s="47" t="str">
        <f>+Cuenta_Clasificacion[[#This Row],[Codigo Concepto de imputación]]&amp;" - "&amp;Cuenta_Clasificacion[[#This Row],[Nombre Concepto de imputación]]</f>
        <v>40012 - Ayudante Capataz</v>
      </c>
    </row>
    <row r="1175" spans="1:6" x14ac:dyDescent="0.25">
      <c r="A1175" s="43">
        <v>4101002</v>
      </c>
      <c r="B1175" t="s">
        <v>1498</v>
      </c>
      <c r="C1175" s="43">
        <v>40013</v>
      </c>
      <c r="D1175" t="s">
        <v>2956</v>
      </c>
      <c r="E1175" s="47" t="str">
        <f>+Cuenta_Clasificacion[[#This Row],[Código Cuenta Contable]]&amp;" - "&amp;Cuenta_Clasificacion[[#This Row],[Nombre de Cuenta Contable]]</f>
        <v>4101002 - IVA Proveedores DS-19</v>
      </c>
      <c r="F1175" s="47" t="str">
        <f>+Cuenta_Clasificacion[[#This Row],[Codigo Concepto de imputación]]&amp;" - "&amp;Cuenta_Clasificacion[[#This Row],[Nombre Concepto de imputación]]</f>
        <v>40013 - Ayudante Carpintero</v>
      </c>
    </row>
    <row r="1176" spans="1:6" x14ac:dyDescent="0.25">
      <c r="A1176" s="43">
        <v>4101002</v>
      </c>
      <c r="B1176" t="s">
        <v>1498</v>
      </c>
      <c r="C1176" s="43">
        <v>40014</v>
      </c>
      <c r="D1176" t="s">
        <v>2957</v>
      </c>
      <c r="E1176" s="47" t="str">
        <f>+Cuenta_Clasificacion[[#This Row],[Código Cuenta Contable]]&amp;" - "&amp;Cuenta_Clasificacion[[#This Row],[Nombre de Cuenta Contable]]</f>
        <v>4101002 - IVA Proveedores DS-19</v>
      </c>
      <c r="F1176" s="47" t="str">
        <f>+Cuenta_Clasificacion[[#This Row],[Codigo Concepto de imputación]]&amp;" - "&amp;Cuenta_Clasificacion[[#This Row],[Nombre Concepto de imputación]]</f>
        <v>40014 - Bodega – Personal</v>
      </c>
    </row>
    <row r="1177" spans="1:6" x14ac:dyDescent="0.25">
      <c r="A1177" s="43">
        <v>4101002</v>
      </c>
      <c r="B1177" t="s">
        <v>1498</v>
      </c>
      <c r="C1177" s="43">
        <v>40015</v>
      </c>
      <c r="D1177" t="s">
        <v>2958</v>
      </c>
      <c r="E1177" s="47" t="str">
        <f>+Cuenta_Clasificacion[[#This Row],[Código Cuenta Contable]]&amp;" - "&amp;Cuenta_Clasificacion[[#This Row],[Nombre de Cuenta Contable]]</f>
        <v>4101002 - IVA Proveedores DS-19</v>
      </c>
      <c r="F1177" s="47" t="str">
        <f>+Cuenta_Clasificacion[[#This Row],[Codigo Concepto de imputación]]&amp;" - "&amp;Cuenta_Clasificacion[[#This Row],[Nombre Concepto de imputación]]</f>
        <v>40015 - Ayudante Jefe Patio</v>
      </c>
    </row>
    <row r="1178" spans="1:6" x14ac:dyDescent="0.25">
      <c r="A1178" s="43">
        <v>4101002</v>
      </c>
      <c r="B1178" t="s">
        <v>1498</v>
      </c>
      <c r="C1178" s="43">
        <v>40016</v>
      </c>
      <c r="D1178" t="s">
        <v>2959</v>
      </c>
      <c r="E1178" s="47" t="str">
        <f>+Cuenta_Clasificacion[[#This Row],[Código Cuenta Contable]]&amp;" - "&amp;Cuenta_Clasificacion[[#This Row],[Nombre de Cuenta Contable]]</f>
        <v>4101002 - IVA Proveedores DS-19</v>
      </c>
      <c r="F1178" s="47" t="str">
        <f>+Cuenta_Clasificacion[[#This Row],[Codigo Concepto de imputación]]&amp;" - "&amp;Cuenta_Clasificacion[[#This Row],[Nombre Concepto de imputación]]</f>
        <v>40016 - Ayudante Maestro Albañil</v>
      </c>
    </row>
    <row r="1179" spans="1:6" x14ac:dyDescent="0.25">
      <c r="A1179" s="43">
        <v>4101002</v>
      </c>
      <c r="B1179" t="s">
        <v>1498</v>
      </c>
      <c r="C1179" s="43">
        <v>40017</v>
      </c>
      <c r="D1179" t="s">
        <v>2960</v>
      </c>
      <c r="E1179" s="47" t="str">
        <f>+Cuenta_Clasificacion[[#This Row],[Código Cuenta Contable]]&amp;" - "&amp;Cuenta_Clasificacion[[#This Row],[Nombre de Cuenta Contable]]</f>
        <v>4101002 - IVA Proveedores DS-19</v>
      </c>
      <c r="F1179" s="47" t="str">
        <f>+Cuenta_Clasificacion[[#This Row],[Codigo Concepto de imputación]]&amp;" - "&amp;Cuenta_Clasificacion[[#This Row],[Nombre Concepto de imputación]]</f>
        <v>40017 - Ayudante Mantención</v>
      </c>
    </row>
    <row r="1180" spans="1:6" x14ac:dyDescent="0.25">
      <c r="A1180" s="43">
        <v>4101002</v>
      </c>
      <c r="B1180" t="s">
        <v>1498</v>
      </c>
      <c r="C1180" s="43">
        <v>40018</v>
      </c>
      <c r="D1180" t="s">
        <v>2961</v>
      </c>
      <c r="E1180" s="47" t="str">
        <f>+Cuenta_Clasificacion[[#This Row],[Código Cuenta Contable]]&amp;" - "&amp;Cuenta_Clasificacion[[#This Row],[Nombre de Cuenta Contable]]</f>
        <v>4101002 - IVA Proveedores DS-19</v>
      </c>
      <c r="F1180" s="47" t="str">
        <f>+Cuenta_Clasificacion[[#This Row],[Codigo Concepto de imputación]]&amp;" - "&amp;Cuenta_Clasificacion[[#This Row],[Nombre Concepto de imputación]]</f>
        <v>40018 - Ayudante Montaje Grúas Torre</v>
      </c>
    </row>
    <row r="1181" spans="1:6" x14ac:dyDescent="0.25">
      <c r="A1181" s="43">
        <v>4101002</v>
      </c>
      <c r="B1181" t="s">
        <v>1498</v>
      </c>
      <c r="C1181" s="43">
        <v>40019</v>
      </c>
      <c r="D1181" t="s">
        <v>2962</v>
      </c>
      <c r="E1181" s="47" t="str">
        <f>+Cuenta_Clasificacion[[#This Row],[Código Cuenta Contable]]&amp;" - "&amp;Cuenta_Clasificacion[[#This Row],[Nombre de Cuenta Contable]]</f>
        <v>4101002 - IVA Proveedores DS-19</v>
      </c>
      <c r="F1181" s="47" t="str">
        <f>+Cuenta_Clasificacion[[#This Row],[Codigo Concepto de imputación]]&amp;" - "&amp;Cuenta_Clasificacion[[#This Row],[Nombre Concepto de imputación]]</f>
        <v>40019 - Ayudante Obra</v>
      </c>
    </row>
    <row r="1182" spans="1:6" x14ac:dyDescent="0.25">
      <c r="A1182" s="43">
        <v>4101002</v>
      </c>
      <c r="B1182" t="s">
        <v>1498</v>
      </c>
      <c r="C1182" s="43">
        <v>40020</v>
      </c>
      <c r="D1182" t="s">
        <v>2963</v>
      </c>
      <c r="E1182" s="47" t="str">
        <f>+Cuenta_Clasificacion[[#This Row],[Código Cuenta Contable]]&amp;" - "&amp;Cuenta_Clasificacion[[#This Row],[Nombre de Cuenta Contable]]</f>
        <v>4101002 - IVA Proveedores DS-19</v>
      </c>
      <c r="F1182" s="47" t="str">
        <f>+Cuenta_Clasificacion[[#This Row],[Codigo Concepto de imputación]]&amp;" - "&amp;Cuenta_Clasificacion[[#This Row],[Nombre Concepto de imputación]]</f>
        <v>40020 - Ayudante Of. Técnica</v>
      </c>
    </row>
    <row r="1183" spans="1:6" x14ac:dyDescent="0.25">
      <c r="A1183" s="43">
        <v>4101002</v>
      </c>
      <c r="B1183" t="s">
        <v>1498</v>
      </c>
      <c r="C1183" s="43">
        <v>40021</v>
      </c>
      <c r="D1183" t="s">
        <v>2964</v>
      </c>
      <c r="E1183" s="47" t="str">
        <f>+Cuenta_Clasificacion[[#This Row],[Código Cuenta Contable]]&amp;" - "&amp;Cuenta_Clasificacion[[#This Row],[Nombre de Cuenta Contable]]</f>
        <v>4101002 - IVA Proveedores DS-19</v>
      </c>
      <c r="F1183" s="47" t="str">
        <f>+Cuenta_Clasificacion[[#This Row],[Codigo Concepto de imputación]]&amp;" - "&amp;Cuenta_Clasificacion[[#This Row],[Nombre Concepto de imputación]]</f>
        <v>40021 - Ayudante Pañol</v>
      </c>
    </row>
    <row r="1184" spans="1:6" x14ac:dyDescent="0.25">
      <c r="A1184" s="43">
        <v>4101002</v>
      </c>
      <c r="B1184" t="s">
        <v>1498</v>
      </c>
      <c r="C1184" s="43">
        <v>40022</v>
      </c>
      <c r="D1184" t="s">
        <v>2965</v>
      </c>
      <c r="E1184" s="47" t="str">
        <f>+Cuenta_Clasificacion[[#This Row],[Código Cuenta Contable]]&amp;" - "&amp;Cuenta_Clasificacion[[#This Row],[Nombre de Cuenta Contable]]</f>
        <v>4101002 - IVA Proveedores DS-19</v>
      </c>
      <c r="F1184" s="47" t="str">
        <f>+Cuenta_Clasificacion[[#This Row],[Codigo Concepto de imputación]]&amp;" - "&amp;Cuenta_Clasificacion[[#This Row],[Nombre Concepto de imputación]]</f>
        <v>40022 - Ayudante Prev. de Riesgos</v>
      </c>
    </row>
    <row r="1185" spans="1:6" x14ac:dyDescent="0.25">
      <c r="A1185" s="43">
        <v>4101002</v>
      </c>
      <c r="B1185" t="s">
        <v>1498</v>
      </c>
      <c r="C1185" s="43">
        <v>40023</v>
      </c>
      <c r="D1185" t="s">
        <v>2966</v>
      </c>
      <c r="E1185" s="47" t="str">
        <f>+Cuenta_Clasificacion[[#This Row],[Código Cuenta Contable]]&amp;" - "&amp;Cuenta_Clasificacion[[#This Row],[Nombre de Cuenta Contable]]</f>
        <v>4101002 - IVA Proveedores DS-19</v>
      </c>
      <c r="F1185" s="47" t="str">
        <f>+Cuenta_Clasificacion[[#This Row],[Codigo Concepto de imputación]]&amp;" - "&amp;Cuenta_Clasificacion[[#This Row],[Nombre Concepto de imputación]]</f>
        <v>40023 - Ayudante Soldador</v>
      </c>
    </row>
    <row r="1186" spans="1:6" x14ac:dyDescent="0.25">
      <c r="A1186" s="43">
        <v>4101002</v>
      </c>
      <c r="B1186" t="s">
        <v>1498</v>
      </c>
      <c r="C1186" s="43">
        <v>40024</v>
      </c>
      <c r="D1186" t="s">
        <v>2967</v>
      </c>
      <c r="E1186" s="47" t="str">
        <f>+Cuenta_Clasificacion[[#This Row],[Código Cuenta Contable]]&amp;" - "&amp;Cuenta_Clasificacion[[#This Row],[Nombre de Cuenta Contable]]</f>
        <v>4101002 - IVA Proveedores DS-19</v>
      </c>
      <c r="F1186" s="47" t="str">
        <f>+Cuenta_Clasificacion[[#This Row],[Codigo Concepto de imputación]]&amp;" - "&amp;Cuenta_Clasificacion[[#This Row],[Nombre Concepto de imputación]]</f>
        <v>40024 - Ayudante Trazador</v>
      </c>
    </row>
    <row r="1187" spans="1:6" x14ac:dyDescent="0.25">
      <c r="A1187" s="43">
        <v>4101002</v>
      </c>
      <c r="B1187" t="s">
        <v>1498</v>
      </c>
      <c r="C1187" s="43">
        <v>40025</v>
      </c>
      <c r="D1187" t="s">
        <v>2968</v>
      </c>
      <c r="E1187" s="47" t="str">
        <f>+Cuenta_Clasificacion[[#This Row],[Código Cuenta Contable]]&amp;" - "&amp;Cuenta_Clasificacion[[#This Row],[Nombre de Cuenta Contable]]</f>
        <v>4101002 - IVA Proveedores DS-19</v>
      </c>
      <c r="F1187" s="47" t="str">
        <f>+Cuenta_Clasificacion[[#This Row],[Codigo Concepto de imputación]]&amp;" - "&amp;Cuenta_Clasificacion[[#This Row],[Nombre Concepto de imputación]]</f>
        <v>40025 - Bodeguero</v>
      </c>
    </row>
    <row r="1188" spans="1:6" x14ac:dyDescent="0.25">
      <c r="A1188" s="43">
        <v>4101002</v>
      </c>
      <c r="B1188" t="s">
        <v>1498</v>
      </c>
      <c r="C1188" s="43">
        <v>40026</v>
      </c>
      <c r="D1188" t="s">
        <v>2969</v>
      </c>
      <c r="E1188" s="47" t="str">
        <f>+Cuenta_Clasificacion[[#This Row],[Código Cuenta Contable]]&amp;" - "&amp;Cuenta_Clasificacion[[#This Row],[Nombre de Cuenta Contable]]</f>
        <v>4101002 - IVA Proveedores DS-19</v>
      </c>
      <c r="F1188" s="47" t="str">
        <f>+Cuenta_Clasificacion[[#This Row],[Codigo Concepto de imputación]]&amp;" - "&amp;Cuenta_Clasificacion[[#This Row],[Nombre Concepto de imputación]]</f>
        <v>40026 - Capataz</v>
      </c>
    </row>
    <row r="1189" spans="1:6" x14ac:dyDescent="0.25">
      <c r="A1189" s="43">
        <v>4101002</v>
      </c>
      <c r="B1189" t="s">
        <v>1498</v>
      </c>
      <c r="C1189" s="43">
        <v>40027</v>
      </c>
      <c r="D1189" t="s">
        <v>2970</v>
      </c>
      <c r="E1189" s="47" t="str">
        <f>+Cuenta_Clasificacion[[#This Row],[Código Cuenta Contable]]&amp;" - "&amp;Cuenta_Clasificacion[[#This Row],[Nombre de Cuenta Contable]]</f>
        <v>4101002 - IVA Proveedores DS-19</v>
      </c>
      <c r="F1189" s="47" t="str">
        <f>+Cuenta_Clasificacion[[#This Row],[Codigo Concepto de imputación]]&amp;" - "&amp;Cuenta_Clasificacion[[#This Row],[Nombre Concepto de imputación]]</f>
        <v>40027 - Capataz de Exteriores</v>
      </c>
    </row>
    <row r="1190" spans="1:6" x14ac:dyDescent="0.25">
      <c r="A1190" s="43">
        <v>4101002</v>
      </c>
      <c r="B1190" t="s">
        <v>1498</v>
      </c>
      <c r="C1190" s="43">
        <v>40028</v>
      </c>
      <c r="D1190" t="s">
        <v>2971</v>
      </c>
      <c r="E1190" s="47" t="str">
        <f>+Cuenta_Clasificacion[[#This Row],[Código Cuenta Contable]]&amp;" - "&amp;Cuenta_Clasificacion[[#This Row],[Nombre de Cuenta Contable]]</f>
        <v>4101002 - IVA Proveedores DS-19</v>
      </c>
      <c r="F1190" s="47" t="str">
        <f>+Cuenta_Clasificacion[[#This Row],[Codigo Concepto de imputación]]&amp;" - "&amp;Cuenta_Clasificacion[[#This Row],[Nombre Concepto de imputación]]</f>
        <v>40028 - Capataz de Hormigón</v>
      </c>
    </row>
    <row r="1191" spans="1:6" x14ac:dyDescent="0.25">
      <c r="A1191" s="43">
        <v>4101002</v>
      </c>
      <c r="B1191" t="s">
        <v>1498</v>
      </c>
      <c r="C1191" s="43">
        <v>40029</v>
      </c>
      <c r="D1191" t="s">
        <v>2972</v>
      </c>
      <c r="E1191" s="47" t="str">
        <f>+Cuenta_Clasificacion[[#This Row],[Código Cuenta Contable]]&amp;" - "&amp;Cuenta_Clasificacion[[#This Row],[Nombre de Cuenta Contable]]</f>
        <v>4101002 - IVA Proveedores DS-19</v>
      </c>
      <c r="F1191" s="47" t="str">
        <f>+Cuenta_Clasificacion[[#This Row],[Codigo Concepto de imputación]]&amp;" - "&amp;Cuenta_Clasificacion[[#This Row],[Nombre Concepto de imputación]]</f>
        <v>40029 - Capataz de Instalaciones</v>
      </c>
    </row>
    <row r="1192" spans="1:6" x14ac:dyDescent="0.25">
      <c r="A1192" s="43">
        <v>4101002</v>
      </c>
      <c r="B1192" t="s">
        <v>1498</v>
      </c>
      <c r="C1192" s="43">
        <v>40030</v>
      </c>
      <c r="D1192" t="s">
        <v>2973</v>
      </c>
      <c r="E1192" s="47" t="str">
        <f>+Cuenta_Clasificacion[[#This Row],[Código Cuenta Contable]]&amp;" - "&amp;Cuenta_Clasificacion[[#This Row],[Nombre de Cuenta Contable]]</f>
        <v>4101002 - IVA Proveedores DS-19</v>
      </c>
      <c r="F1192" s="47" t="str">
        <f>+Cuenta_Clasificacion[[#This Row],[Codigo Concepto de imputación]]&amp;" - "&amp;Cuenta_Clasificacion[[#This Row],[Nombre Concepto de imputación]]</f>
        <v>40030 - Capataz de Moldaje</v>
      </c>
    </row>
    <row r="1193" spans="1:6" x14ac:dyDescent="0.25">
      <c r="A1193" s="43">
        <v>4101002</v>
      </c>
      <c r="B1193" t="s">
        <v>1498</v>
      </c>
      <c r="C1193" s="43">
        <v>40031</v>
      </c>
      <c r="D1193" t="s">
        <v>2974</v>
      </c>
      <c r="E1193" s="47" t="str">
        <f>+Cuenta_Clasificacion[[#This Row],[Código Cuenta Contable]]&amp;" - "&amp;Cuenta_Clasificacion[[#This Row],[Nombre de Cuenta Contable]]</f>
        <v>4101002 - IVA Proveedores DS-19</v>
      </c>
      <c r="F1193" s="47" t="str">
        <f>+Cuenta_Clasificacion[[#This Row],[Codigo Concepto de imputación]]&amp;" - "&amp;Cuenta_Clasificacion[[#This Row],[Nombre Concepto de imputación]]</f>
        <v>40031 - Capataz de Patio</v>
      </c>
    </row>
    <row r="1194" spans="1:6" x14ac:dyDescent="0.25">
      <c r="A1194" s="43">
        <v>4101002</v>
      </c>
      <c r="B1194" t="s">
        <v>1498</v>
      </c>
      <c r="C1194" s="43">
        <v>40032</v>
      </c>
      <c r="D1194" t="s">
        <v>2975</v>
      </c>
      <c r="E1194" s="47" t="str">
        <f>+Cuenta_Clasificacion[[#This Row],[Código Cuenta Contable]]&amp;" - "&amp;Cuenta_Clasificacion[[#This Row],[Nombre de Cuenta Contable]]</f>
        <v>4101002 - IVA Proveedores DS-19</v>
      </c>
      <c r="F1194" s="47" t="str">
        <f>+Cuenta_Clasificacion[[#This Row],[Codigo Concepto de imputación]]&amp;" - "&amp;Cuenta_Clasificacion[[#This Row],[Nombre Concepto de imputación]]</f>
        <v>40032 - Capataz de Post Venta</v>
      </c>
    </row>
    <row r="1195" spans="1:6" x14ac:dyDescent="0.25">
      <c r="A1195" s="43">
        <v>4101002</v>
      </c>
      <c r="B1195" t="s">
        <v>1498</v>
      </c>
      <c r="C1195" s="43">
        <v>40033</v>
      </c>
      <c r="D1195" t="s">
        <v>2976</v>
      </c>
      <c r="E1195" s="47" t="str">
        <f>+Cuenta_Clasificacion[[#This Row],[Código Cuenta Contable]]&amp;" - "&amp;Cuenta_Clasificacion[[#This Row],[Nombre de Cuenta Contable]]</f>
        <v>4101002 - IVA Proveedores DS-19</v>
      </c>
      <c r="F1195" s="47" t="str">
        <f>+Cuenta_Clasificacion[[#This Row],[Codigo Concepto de imputación]]&amp;" - "&amp;Cuenta_Clasificacion[[#This Row],[Nombre Concepto de imputación]]</f>
        <v>40033 - Capataz de Terminaciones</v>
      </c>
    </row>
    <row r="1196" spans="1:6" x14ac:dyDescent="0.25">
      <c r="A1196" s="43">
        <v>4101002</v>
      </c>
      <c r="B1196" t="s">
        <v>1498</v>
      </c>
      <c r="C1196" s="43">
        <v>40034</v>
      </c>
      <c r="D1196" t="s">
        <v>2977</v>
      </c>
      <c r="E1196" s="47" t="str">
        <f>+Cuenta_Clasificacion[[#This Row],[Código Cuenta Contable]]&amp;" - "&amp;Cuenta_Clasificacion[[#This Row],[Nombre de Cuenta Contable]]</f>
        <v>4101002 - IVA Proveedores DS-19</v>
      </c>
      <c r="F1196" s="47" t="str">
        <f>+Cuenta_Clasificacion[[#This Row],[Codigo Concepto de imputación]]&amp;" - "&amp;Cuenta_Clasificacion[[#This Row],[Nombre Concepto de imputación]]</f>
        <v>40034 - Carpintero</v>
      </c>
    </row>
    <row r="1197" spans="1:6" x14ac:dyDescent="0.25">
      <c r="A1197" s="43">
        <v>4101002</v>
      </c>
      <c r="B1197" t="s">
        <v>1498</v>
      </c>
      <c r="C1197" s="43">
        <v>40035</v>
      </c>
      <c r="D1197" t="s">
        <v>2978</v>
      </c>
      <c r="E1197" s="47" t="str">
        <f>+Cuenta_Clasificacion[[#This Row],[Código Cuenta Contable]]&amp;" - "&amp;Cuenta_Clasificacion[[#This Row],[Nombre de Cuenta Contable]]</f>
        <v>4101002 - IVA Proveedores DS-19</v>
      </c>
      <c r="F1197" s="47" t="str">
        <f>+Cuenta_Clasificacion[[#This Row],[Codigo Concepto de imputación]]&amp;" - "&amp;Cuenta_Clasificacion[[#This Row],[Nombre Concepto de imputación]]</f>
        <v>40035 - Carpintero de Obra Gruesa</v>
      </c>
    </row>
    <row r="1198" spans="1:6" x14ac:dyDescent="0.25">
      <c r="A1198" s="43">
        <v>4101002</v>
      </c>
      <c r="B1198" t="s">
        <v>1498</v>
      </c>
      <c r="C1198" s="43">
        <v>40036</v>
      </c>
      <c r="D1198" t="s">
        <v>2979</v>
      </c>
      <c r="E1198" s="47" t="str">
        <f>+Cuenta_Clasificacion[[#This Row],[Código Cuenta Contable]]&amp;" - "&amp;Cuenta_Clasificacion[[#This Row],[Nombre de Cuenta Contable]]</f>
        <v>4101002 - IVA Proveedores DS-19</v>
      </c>
      <c r="F1198" s="47" t="str">
        <f>+Cuenta_Clasificacion[[#This Row],[Codigo Concepto de imputación]]&amp;" - "&amp;Cuenta_Clasificacion[[#This Row],[Nombre Concepto de imputación]]</f>
        <v>40036 - Carpintero de Terminaciones</v>
      </c>
    </row>
    <row r="1199" spans="1:6" x14ac:dyDescent="0.25">
      <c r="A1199" s="43">
        <v>4101002</v>
      </c>
      <c r="B1199" t="s">
        <v>1498</v>
      </c>
      <c r="C1199" s="43">
        <v>40037</v>
      </c>
      <c r="D1199" t="s">
        <v>2980</v>
      </c>
      <c r="E1199" s="47" t="str">
        <f>+Cuenta_Clasificacion[[#This Row],[Código Cuenta Contable]]&amp;" - "&amp;Cuenta_Clasificacion[[#This Row],[Nombre de Cuenta Contable]]</f>
        <v>4101002 - IVA Proveedores DS-19</v>
      </c>
      <c r="F1199" s="47" t="str">
        <f>+Cuenta_Clasificacion[[#This Row],[Codigo Concepto de imputación]]&amp;" - "&amp;Cuenta_Clasificacion[[#This Row],[Nombre Concepto de imputación]]</f>
        <v>40037 - Chofer</v>
      </c>
    </row>
    <row r="1200" spans="1:6" x14ac:dyDescent="0.25">
      <c r="A1200" s="43">
        <v>4101002</v>
      </c>
      <c r="B1200" t="s">
        <v>1498</v>
      </c>
      <c r="C1200" s="43">
        <v>40038</v>
      </c>
      <c r="D1200" t="s">
        <v>2981</v>
      </c>
      <c r="E1200" s="47" t="str">
        <f>+Cuenta_Clasificacion[[#This Row],[Código Cuenta Contable]]&amp;" - "&amp;Cuenta_Clasificacion[[#This Row],[Nombre de Cuenta Contable]]</f>
        <v>4101002 - IVA Proveedores DS-19</v>
      </c>
      <c r="F1200" s="47" t="str">
        <f>+Cuenta_Clasificacion[[#This Row],[Codigo Concepto de imputación]]&amp;" - "&amp;Cuenta_Clasificacion[[#This Row],[Nombre Concepto de imputación]]</f>
        <v>40038 - Concretero</v>
      </c>
    </row>
    <row r="1201" spans="1:6" x14ac:dyDescent="0.25">
      <c r="A1201" s="43">
        <v>4101002</v>
      </c>
      <c r="B1201" t="s">
        <v>1498</v>
      </c>
      <c r="C1201" s="43">
        <v>40039</v>
      </c>
      <c r="D1201" t="s">
        <v>2982</v>
      </c>
      <c r="E1201" s="47" t="str">
        <f>+Cuenta_Clasificacion[[#This Row],[Código Cuenta Contable]]&amp;" - "&amp;Cuenta_Clasificacion[[#This Row],[Nombre de Cuenta Contable]]</f>
        <v>4101002 - IVA Proveedores DS-19</v>
      </c>
      <c r="F1201" s="47" t="str">
        <f>+Cuenta_Clasificacion[[#This Row],[Codigo Concepto de imputación]]&amp;" - "&amp;Cuenta_Clasificacion[[#This Row],[Nombre Concepto de imputación]]</f>
        <v>40039 - Constructor</v>
      </c>
    </row>
    <row r="1202" spans="1:6" x14ac:dyDescent="0.25">
      <c r="A1202" s="43">
        <v>4101002</v>
      </c>
      <c r="B1202" t="s">
        <v>1498</v>
      </c>
      <c r="C1202" s="43">
        <v>40040</v>
      </c>
      <c r="D1202" t="s">
        <v>2983</v>
      </c>
      <c r="E1202" s="47" t="str">
        <f>+Cuenta_Clasificacion[[#This Row],[Código Cuenta Contable]]&amp;" - "&amp;Cuenta_Clasificacion[[#This Row],[Nombre de Cuenta Contable]]</f>
        <v>4101002 - IVA Proveedores DS-19</v>
      </c>
      <c r="F1202" s="47" t="str">
        <f>+Cuenta_Clasificacion[[#This Row],[Codigo Concepto de imputación]]&amp;" - "&amp;Cuenta_Clasificacion[[#This Row],[Nombre Concepto de imputación]]</f>
        <v>40040 - Control de Obras</v>
      </c>
    </row>
    <row r="1203" spans="1:6" x14ac:dyDescent="0.25">
      <c r="A1203" s="43">
        <v>4101002</v>
      </c>
      <c r="B1203" t="s">
        <v>1498</v>
      </c>
      <c r="C1203" s="43">
        <v>40041</v>
      </c>
      <c r="D1203" t="s">
        <v>2984</v>
      </c>
      <c r="E1203" s="47" t="str">
        <f>+Cuenta_Clasificacion[[#This Row],[Código Cuenta Contable]]&amp;" - "&amp;Cuenta_Clasificacion[[#This Row],[Nombre de Cuenta Contable]]</f>
        <v>4101002 - IVA Proveedores DS-19</v>
      </c>
      <c r="F1203" s="47" t="str">
        <f>+Cuenta_Clasificacion[[#This Row],[Codigo Concepto de imputación]]&amp;" - "&amp;Cuenta_Clasificacion[[#This Row],[Nombre Concepto de imputación]]</f>
        <v>40041 - Control de Gest. y Avance de O</v>
      </c>
    </row>
    <row r="1204" spans="1:6" x14ac:dyDescent="0.25">
      <c r="A1204" s="43">
        <v>4101002</v>
      </c>
      <c r="B1204" t="s">
        <v>1498</v>
      </c>
      <c r="C1204" s="43">
        <v>40042</v>
      </c>
      <c r="D1204" t="s">
        <v>2985</v>
      </c>
      <c r="E1204" s="47" t="str">
        <f>+Cuenta_Clasificacion[[#This Row],[Código Cuenta Contable]]&amp;" - "&amp;Cuenta_Clasificacion[[#This Row],[Nombre de Cuenta Contable]]</f>
        <v>4101002 - IVA Proveedores DS-19</v>
      </c>
      <c r="F1204" s="47" t="str">
        <f>+Cuenta_Clasificacion[[#This Row],[Codigo Concepto de imputación]]&amp;" - "&amp;Cuenta_Clasificacion[[#This Row],[Nombre Concepto de imputación]]</f>
        <v>40042 - Coordinador de ITOs</v>
      </c>
    </row>
    <row r="1205" spans="1:6" x14ac:dyDescent="0.25">
      <c r="A1205" s="43">
        <v>4101002</v>
      </c>
      <c r="B1205" t="s">
        <v>1498</v>
      </c>
      <c r="C1205" s="43">
        <v>40043</v>
      </c>
      <c r="D1205" t="s">
        <v>2986</v>
      </c>
      <c r="E1205" s="47" t="str">
        <f>+Cuenta_Clasificacion[[#This Row],[Código Cuenta Contable]]&amp;" - "&amp;Cuenta_Clasificacion[[#This Row],[Nombre de Cuenta Contable]]</f>
        <v>4101002 - IVA Proveedores DS-19</v>
      </c>
      <c r="F1205" s="47" t="str">
        <f>+Cuenta_Clasificacion[[#This Row],[Codigo Concepto de imputación]]&amp;" - "&amp;Cuenta_Clasificacion[[#This Row],[Nombre Concepto de imputación]]</f>
        <v>40043 - Coordinador de Proyectos</v>
      </c>
    </row>
    <row r="1206" spans="1:6" x14ac:dyDescent="0.25">
      <c r="A1206" s="43">
        <v>4101002</v>
      </c>
      <c r="B1206" t="s">
        <v>1498</v>
      </c>
      <c r="C1206" s="43">
        <v>40044</v>
      </c>
      <c r="D1206" t="s">
        <v>2987</v>
      </c>
      <c r="E1206" s="47" t="str">
        <f>+Cuenta_Clasificacion[[#This Row],[Código Cuenta Contable]]&amp;" - "&amp;Cuenta_Clasificacion[[#This Row],[Nombre de Cuenta Contable]]</f>
        <v>4101002 - IVA Proveedores DS-19</v>
      </c>
      <c r="F1206" s="47" t="str">
        <f>+Cuenta_Clasificacion[[#This Row],[Codigo Concepto de imputación]]&amp;" - "&amp;Cuenta_Clasificacion[[#This Row],[Nombre Concepto de imputación]]</f>
        <v>40044 - Coord. Gral. de Instalacione</v>
      </c>
    </row>
    <row r="1207" spans="1:6" x14ac:dyDescent="0.25">
      <c r="A1207" s="43">
        <v>4101002</v>
      </c>
      <c r="B1207" t="s">
        <v>1498</v>
      </c>
      <c r="C1207" s="43">
        <v>40045</v>
      </c>
      <c r="D1207" t="s">
        <v>2988</v>
      </c>
      <c r="E1207" s="47" t="str">
        <f>+Cuenta_Clasificacion[[#This Row],[Código Cuenta Contable]]&amp;" - "&amp;Cuenta_Clasificacion[[#This Row],[Nombre de Cuenta Contable]]</f>
        <v>4101002 - IVA Proveedores DS-19</v>
      </c>
      <c r="F1207" s="47" t="str">
        <f>+Cuenta_Clasificacion[[#This Row],[Codigo Concepto de imputación]]&amp;" - "&amp;Cuenta_Clasificacion[[#This Row],[Nombre Concepto de imputación]]</f>
        <v>40045 - Diseñador</v>
      </c>
    </row>
    <row r="1208" spans="1:6" x14ac:dyDescent="0.25">
      <c r="A1208" s="43">
        <v>4101002</v>
      </c>
      <c r="B1208" t="s">
        <v>1498</v>
      </c>
      <c r="C1208" s="43">
        <v>40046</v>
      </c>
      <c r="D1208" t="s">
        <v>2989</v>
      </c>
      <c r="E1208" s="47" t="str">
        <f>+Cuenta_Clasificacion[[#This Row],[Código Cuenta Contable]]&amp;" - "&amp;Cuenta_Clasificacion[[#This Row],[Nombre de Cuenta Contable]]</f>
        <v>4101002 - IVA Proveedores DS-19</v>
      </c>
      <c r="F1208" s="47" t="str">
        <f>+Cuenta_Clasificacion[[#This Row],[Codigo Concepto de imputación]]&amp;" - "&amp;Cuenta_Clasificacion[[#This Row],[Nombre Concepto de imputación]]</f>
        <v>40046 - Eléctrico</v>
      </c>
    </row>
    <row r="1209" spans="1:6" x14ac:dyDescent="0.25">
      <c r="A1209" s="43">
        <v>4101002</v>
      </c>
      <c r="B1209" t="s">
        <v>1498</v>
      </c>
      <c r="C1209" s="43">
        <v>40047</v>
      </c>
      <c r="D1209" t="s">
        <v>2990</v>
      </c>
      <c r="E1209" s="47" t="str">
        <f>+Cuenta_Clasificacion[[#This Row],[Código Cuenta Contable]]&amp;" - "&amp;Cuenta_Clasificacion[[#This Row],[Nombre de Cuenta Contable]]</f>
        <v>4101002 - IVA Proveedores DS-19</v>
      </c>
      <c r="F1209" s="47" t="str">
        <f>+Cuenta_Clasificacion[[#This Row],[Codigo Concepto de imputación]]&amp;" - "&amp;Cuenta_Clasificacion[[#This Row],[Nombre Concepto de imputación]]</f>
        <v>40047 - Electromecánico</v>
      </c>
    </row>
    <row r="1210" spans="1:6" x14ac:dyDescent="0.25">
      <c r="A1210" s="43">
        <v>4101002</v>
      </c>
      <c r="B1210" t="s">
        <v>1498</v>
      </c>
      <c r="C1210" s="43">
        <v>40048</v>
      </c>
      <c r="D1210" t="s">
        <v>2991</v>
      </c>
      <c r="E1210" s="47" t="str">
        <f>+Cuenta_Clasificacion[[#This Row],[Código Cuenta Contable]]&amp;" - "&amp;Cuenta_Clasificacion[[#This Row],[Nombre de Cuenta Contable]]</f>
        <v>4101002 - IVA Proveedores DS-19</v>
      </c>
      <c r="F1210" s="47" t="str">
        <f>+Cuenta_Clasificacion[[#This Row],[Codigo Concepto de imputación]]&amp;" - "&amp;Cuenta_Clasificacion[[#This Row],[Nombre Concepto de imputación]]</f>
        <v>40048 - Elect. de Mant. y Montaje</v>
      </c>
    </row>
    <row r="1211" spans="1:6" x14ac:dyDescent="0.25">
      <c r="A1211" s="43">
        <v>4101002</v>
      </c>
      <c r="B1211" t="s">
        <v>1498</v>
      </c>
      <c r="C1211" s="43">
        <v>40049</v>
      </c>
      <c r="D1211" t="s">
        <v>2992</v>
      </c>
      <c r="E1211" s="47" t="str">
        <f>+Cuenta_Clasificacion[[#This Row],[Código Cuenta Contable]]&amp;" - "&amp;Cuenta_Clasificacion[[#This Row],[Nombre de Cuenta Contable]]</f>
        <v>4101002 - IVA Proveedores DS-19</v>
      </c>
      <c r="F1211" s="47" t="str">
        <f>+Cuenta_Clasificacion[[#This Row],[Codigo Concepto de imputación]]&amp;" - "&amp;Cuenta_Clasificacion[[#This Row],[Nombre Concepto de imputación]]</f>
        <v>40049 - Encargado de Arriendos</v>
      </c>
    </row>
    <row r="1212" spans="1:6" x14ac:dyDescent="0.25">
      <c r="A1212" s="43">
        <v>4101002</v>
      </c>
      <c r="B1212" t="s">
        <v>1498</v>
      </c>
      <c r="C1212" s="43">
        <v>40050</v>
      </c>
      <c r="D1212" t="s">
        <v>2993</v>
      </c>
      <c r="E1212" s="47" t="str">
        <f>+Cuenta_Clasificacion[[#This Row],[Código Cuenta Contable]]&amp;" - "&amp;Cuenta_Clasificacion[[#This Row],[Nombre de Cuenta Contable]]</f>
        <v>4101002 - IVA Proveedores DS-19</v>
      </c>
      <c r="F1212" s="47" t="str">
        <f>+Cuenta_Clasificacion[[#This Row],[Codigo Concepto de imputación]]&amp;" - "&amp;Cuenta_Clasificacion[[#This Row],[Nombre Concepto de imputación]]</f>
        <v>40050 - Encargado de Bodega</v>
      </c>
    </row>
    <row r="1213" spans="1:6" x14ac:dyDescent="0.25">
      <c r="A1213" s="43">
        <v>4101002</v>
      </c>
      <c r="B1213" t="s">
        <v>1498</v>
      </c>
      <c r="C1213" s="43">
        <v>40051</v>
      </c>
      <c r="D1213" t="s">
        <v>2994</v>
      </c>
      <c r="E1213" s="47" t="str">
        <f>+Cuenta_Clasificacion[[#This Row],[Código Cuenta Contable]]&amp;" - "&amp;Cuenta_Clasificacion[[#This Row],[Nombre de Cuenta Contable]]</f>
        <v>4101002 - IVA Proveedores DS-19</v>
      </c>
      <c r="F1213" s="47" t="str">
        <f>+Cuenta_Clasificacion[[#This Row],[Codigo Concepto de imputación]]&amp;" - "&amp;Cuenta_Clasificacion[[#This Row],[Nombre Concepto de imputación]]</f>
        <v>40051 - Encargado Control Avance Obra</v>
      </c>
    </row>
    <row r="1214" spans="1:6" x14ac:dyDescent="0.25">
      <c r="A1214" s="43">
        <v>4101002</v>
      </c>
      <c r="B1214" t="s">
        <v>1498</v>
      </c>
      <c r="C1214" s="43">
        <v>40052</v>
      </c>
      <c r="D1214" t="s">
        <v>2995</v>
      </c>
      <c r="E1214" s="47" t="str">
        <f>+Cuenta_Clasificacion[[#This Row],[Código Cuenta Contable]]&amp;" - "&amp;Cuenta_Clasificacion[[#This Row],[Nombre de Cuenta Contable]]</f>
        <v>4101002 - IVA Proveedores DS-19</v>
      </c>
      <c r="F1214" s="47" t="str">
        <f>+Cuenta_Clasificacion[[#This Row],[Codigo Concepto de imputación]]&amp;" - "&amp;Cuenta_Clasificacion[[#This Row],[Nombre Concepto de imputación]]</f>
        <v>40052 - Encargado de Inspección</v>
      </c>
    </row>
    <row r="1215" spans="1:6" x14ac:dyDescent="0.25">
      <c r="A1215" s="43">
        <v>4101002</v>
      </c>
      <c r="B1215" t="s">
        <v>1498</v>
      </c>
      <c r="C1215" s="43">
        <v>40053</v>
      </c>
      <c r="D1215" t="s">
        <v>2996</v>
      </c>
      <c r="E1215" s="47" t="str">
        <f>+Cuenta_Clasificacion[[#This Row],[Código Cuenta Contable]]&amp;" - "&amp;Cuenta_Clasificacion[[#This Row],[Nombre de Cuenta Contable]]</f>
        <v>4101002 - IVA Proveedores DS-19</v>
      </c>
      <c r="F1215" s="47" t="str">
        <f>+Cuenta_Clasificacion[[#This Row],[Codigo Concepto de imputación]]&amp;" - "&amp;Cuenta_Clasificacion[[#This Row],[Nombre Concepto de imputación]]</f>
        <v>40053 - Encargado de Mantención</v>
      </c>
    </row>
    <row r="1216" spans="1:6" x14ac:dyDescent="0.25">
      <c r="A1216" s="43">
        <v>4101002</v>
      </c>
      <c r="B1216" t="s">
        <v>1498</v>
      </c>
      <c r="C1216" s="43">
        <v>40054</v>
      </c>
      <c r="D1216" t="s">
        <v>2997</v>
      </c>
      <c r="E1216" s="47" t="str">
        <f>+Cuenta_Clasificacion[[#This Row],[Código Cuenta Contable]]&amp;" - "&amp;Cuenta_Clasificacion[[#This Row],[Nombre de Cuenta Contable]]</f>
        <v>4101002 - IVA Proveedores DS-19</v>
      </c>
      <c r="F1216" s="47" t="str">
        <f>+Cuenta_Clasificacion[[#This Row],[Codigo Concepto de imputación]]&amp;" - "&amp;Cuenta_Clasificacion[[#This Row],[Nombre Concepto de imputación]]</f>
        <v>40054 - Encargado de Oficina Técnica</v>
      </c>
    </row>
    <row r="1217" spans="1:6" x14ac:dyDescent="0.25">
      <c r="A1217" s="43">
        <v>4101002</v>
      </c>
      <c r="B1217" t="s">
        <v>1498</v>
      </c>
      <c r="C1217" s="43">
        <v>40055</v>
      </c>
      <c r="D1217" t="s">
        <v>2998</v>
      </c>
      <c r="E1217" s="47" t="str">
        <f>+Cuenta_Clasificacion[[#This Row],[Código Cuenta Contable]]&amp;" - "&amp;Cuenta_Clasificacion[[#This Row],[Nombre de Cuenta Contable]]</f>
        <v>4101002 - IVA Proveedores DS-19</v>
      </c>
      <c r="F1217" s="47" t="str">
        <f>+Cuenta_Clasificacion[[#This Row],[Codigo Concepto de imputación]]&amp;" - "&amp;Cuenta_Clasificacion[[#This Row],[Nombre Concepto de imputación]]</f>
        <v>40055 - Enfierrador</v>
      </c>
    </row>
    <row r="1218" spans="1:6" x14ac:dyDescent="0.25">
      <c r="A1218" s="43">
        <v>4101002</v>
      </c>
      <c r="B1218" t="s">
        <v>1498</v>
      </c>
      <c r="C1218" s="43">
        <v>40056</v>
      </c>
      <c r="D1218" t="s">
        <v>2999</v>
      </c>
      <c r="E1218" s="47" t="str">
        <f>+Cuenta_Clasificacion[[#This Row],[Código Cuenta Contable]]&amp;" - "&amp;Cuenta_Clasificacion[[#This Row],[Nombre de Cuenta Contable]]</f>
        <v>4101002 - IVA Proveedores DS-19</v>
      </c>
      <c r="F1218" s="47" t="str">
        <f>+Cuenta_Clasificacion[[#This Row],[Codigo Concepto de imputación]]&amp;" - "&amp;Cuenta_Clasificacion[[#This Row],[Nombre Concepto de imputación]]</f>
        <v>40056 - Especialista Eléctrico</v>
      </c>
    </row>
    <row r="1219" spans="1:6" x14ac:dyDescent="0.25">
      <c r="A1219" s="43">
        <v>4101002</v>
      </c>
      <c r="B1219" t="s">
        <v>1498</v>
      </c>
      <c r="C1219" s="43">
        <v>40057</v>
      </c>
      <c r="D1219" t="s">
        <v>3000</v>
      </c>
      <c r="E1219" s="47" t="str">
        <f>+Cuenta_Clasificacion[[#This Row],[Código Cuenta Contable]]&amp;" - "&amp;Cuenta_Clasificacion[[#This Row],[Nombre de Cuenta Contable]]</f>
        <v>4101002 - IVA Proveedores DS-19</v>
      </c>
      <c r="F1219" s="47" t="str">
        <f>+Cuenta_Clasificacion[[#This Row],[Codigo Concepto de imputación]]&amp;" - "&amp;Cuenta_Clasificacion[[#This Row],[Nombre Concepto de imputación]]</f>
        <v>40057 - Estafeta</v>
      </c>
    </row>
    <row r="1220" spans="1:6" x14ac:dyDescent="0.25">
      <c r="A1220" s="43">
        <v>4101002</v>
      </c>
      <c r="B1220" t="s">
        <v>1498</v>
      </c>
      <c r="C1220" s="43">
        <v>40058</v>
      </c>
      <c r="D1220" t="s">
        <v>3001</v>
      </c>
      <c r="E1220" s="47" t="str">
        <f>+Cuenta_Clasificacion[[#This Row],[Código Cuenta Contable]]&amp;" - "&amp;Cuenta_Clasificacion[[#This Row],[Nombre de Cuenta Contable]]</f>
        <v>4101002 - IVA Proveedores DS-19</v>
      </c>
      <c r="F1220" s="47" t="str">
        <f>+Cuenta_Clasificacion[[#This Row],[Codigo Concepto de imputación]]&amp;" - "&amp;Cuenta_Clasificacion[[#This Row],[Nombre Concepto de imputación]]</f>
        <v>40058 - Estucador</v>
      </c>
    </row>
    <row r="1221" spans="1:6" x14ac:dyDescent="0.25">
      <c r="A1221" s="43">
        <v>4101002</v>
      </c>
      <c r="B1221" t="s">
        <v>1498</v>
      </c>
      <c r="C1221" s="43">
        <v>40059</v>
      </c>
      <c r="D1221" t="s">
        <v>3002</v>
      </c>
      <c r="E1221" s="47" t="str">
        <f>+Cuenta_Clasificacion[[#This Row],[Código Cuenta Contable]]&amp;" - "&amp;Cuenta_Clasificacion[[#This Row],[Nombre de Cuenta Contable]]</f>
        <v>4101002 - IVA Proveedores DS-19</v>
      </c>
      <c r="F1221" s="47" t="str">
        <f>+Cuenta_Clasificacion[[#This Row],[Codigo Concepto de imputación]]&amp;" - "&amp;Cuenta_Clasificacion[[#This Row],[Nombre Concepto de imputación]]</f>
        <v>40059 - Experto en  Prev. de Riesgos</v>
      </c>
    </row>
    <row r="1222" spans="1:6" x14ac:dyDescent="0.25">
      <c r="A1222" s="43">
        <v>4101002</v>
      </c>
      <c r="B1222" t="s">
        <v>1498</v>
      </c>
      <c r="C1222" s="43">
        <v>40060</v>
      </c>
      <c r="D1222" t="s">
        <v>3003</v>
      </c>
      <c r="E1222" s="47" t="str">
        <f>+Cuenta_Clasificacion[[#This Row],[Código Cuenta Contable]]&amp;" - "&amp;Cuenta_Clasificacion[[#This Row],[Nombre de Cuenta Contable]]</f>
        <v>4101002 - IVA Proveedores DS-19</v>
      </c>
      <c r="F1222" s="47" t="str">
        <f>+Cuenta_Clasificacion[[#This Row],[Codigo Concepto de imputación]]&amp;" - "&amp;Cuenta_Clasificacion[[#This Row],[Nombre Concepto de imputación]]</f>
        <v>40060 - Gasfiter</v>
      </c>
    </row>
    <row r="1223" spans="1:6" x14ac:dyDescent="0.25">
      <c r="A1223" s="43">
        <v>4101002</v>
      </c>
      <c r="B1223" t="s">
        <v>1498</v>
      </c>
      <c r="C1223" s="43">
        <v>40061</v>
      </c>
      <c r="D1223" t="s">
        <v>3004</v>
      </c>
      <c r="E1223" s="47" t="str">
        <f>+Cuenta_Clasificacion[[#This Row],[Código Cuenta Contable]]&amp;" - "&amp;Cuenta_Clasificacion[[#This Row],[Nombre de Cuenta Contable]]</f>
        <v>4101002 - IVA Proveedores DS-19</v>
      </c>
      <c r="F1223" s="47" t="str">
        <f>+Cuenta_Clasificacion[[#This Row],[Codigo Concepto de imputación]]&amp;" - "&amp;Cuenta_Clasificacion[[#This Row],[Nombre Concepto de imputación]]</f>
        <v>40061 - Gerente de Obra</v>
      </c>
    </row>
    <row r="1224" spans="1:6" x14ac:dyDescent="0.25">
      <c r="A1224" s="43">
        <v>4101002</v>
      </c>
      <c r="B1224" t="s">
        <v>1498</v>
      </c>
      <c r="C1224" s="43">
        <v>40062</v>
      </c>
      <c r="D1224" t="s">
        <v>3005</v>
      </c>
      <c r="E1224" s="47" t="str">
        <f>+Cuenta_Clasificacion[[#This Row],[Código Cuenta Contable]]&amp;" - "&amp;Cuenta_Clasificacion[[#This Row],[Nombre de Cuenta Contable]]</f>
        <v>4101002 - IVA Proveedores DS-19</v>
      </c>
      <c r="F1224" s="47" t="str">
        <f>+Cuenta_Clasificacion[[#This Row],[Codigo Concepto de imputación]]&amp;" - "&amp;Cuenta_Clasificacion[[#This Row],[Nombre Concepto de imputación]]</f>
        <v>40062 - Ingeniero</v>
      </c>
    </row>
    <row r="1225" spans="1:6" x14ac:dyDescent="0.25">
      <c r="A1225" s="43">
        <v>4101002</v>
      </c>
      <c r="B1225" t="s">
        <v>1498</v>
      </c>
      <c r="C1225" s="43">
        <v>40063</v>
      </c>
      <c r="D1225" t="s">
        <v>3006</v>
      </c>
      <c r="E1225" s="47" t="str">
        <f>+Cuenta_Clasificacion[[#This Row],[Código Cuenta Contable]]&amp;" - "&amp;Cuenta_Clasificacion[[#This Row],[Nombre de Cuenta Contable]]</f>
        <v>4101002 - IVA Proveedores DS-19</v>
      </c>
      <c r="F1225" s="47" t="str">
        <f>+Cuenta_Clasificacion[[#This Row],[Codigo Concepto de imputación]]&amp;" - "&amp;Cuenta_Clasificacion[[#This Row],[Nombre Concepto de imputación]]</f>
        <v>40063 - Insp. Técnico de Obra Interno</v>
      </c>
    </row>
    <row r="1226" spans="1:6" x14ac:dyDescent="0.25">
      <c r="A1226" s="43">
        <v>4101002</v>
      </c>
      <c r="B1226" t="s">
        <v>1498</v>
      </c>
      <c r="C1226" s="43">
        <v>40064</v>
      </c>
      <c r="D1226" t="s">
        <v>3007</v>
      </c>
      <c r="E1226" s="47" t="str">
        <f>+Cuenta_Clasificacion[[#This Row],[Código Cuenta Contable]]&amp;" - "&amp;Cuenta_Clasificacion[[#This Row],[Nombre de Cuenta Contable]]</f>
        <v>4101002 - IVA Proveedores DS-19</v>
      </c>
      <c r="F1226" s="47" t="str">
        <f>+Cuenta_Clasificacion[[#This Row],[Codigo Concepto de imputación]]&amp;" - "&amp;Cuenta_Clasificacion[[#This Row],[Nombre Concepto de imputación]]</f>
        <v>40064 - Inspector Técnico de Obra</v>
      </c>
    </row>
    <row r="1227" spans="1:6" x14ac:dyDescent="0.25">
      <c r="A1227" s="43">
        <v>4101002</v>
      </c>
      <c r="B1227" t="s">
        <v>1498</v>
      </c>
      <c r="C1227" s="43">
        <v>40065</v>
      </c>
      <c r="D1227" t="s">
        <v>3008</v>
      </c>
      <c r="E1227" s="47" t="str">
        <f>+Cuenta_Clasificacion[[#This Row],[Código Cuenta Contable]]&amp;" - "&amp;Cuenta_Clasificacion[[#This Row],[Nombre de Cuenta Contable]]</f>
        <v>4101002 - IVA Proveedores DS-19</v>
      </c>
      <c r="F1227" s="47" t="str">
        <f>+Cuenta_Clasificacion[[#This Row],[Codigo Concepto de imputación]]&amp;" - "&amp;Cuenta_Clasificacion[[#This Row],[Nombre Concepto de imputación]]</f>
        <v>40065 - Jefe de Adquisiciones</v>
      </c>
    </row>
    <row r="1228" spans="1:6" x14ac:dyDescent="0.25">
      <c r="A1228" s="43">
        <v>4101002</v>
      </c>
      <c r="B1228" t="s">
        <v>1498</v>
      </c>
      <c r="C1228" s="43">
        <v>40066</v>
      </c>
      <c r="D1228" t="s">
        <v>3009</v>
      </c>
      <c r="E1228" s="47" t="str">
        <f>+Cuenta_Clasificacion[[#This Row],[Código Cuenta Contable]]&amp;" - "&amp;Cuenta_Clasificacion[[#This Row],[Nombre de Cuenta Contable]]</f>
        <v>4101002 - IVA Proveedores DS-19</v>
      </c>
      <c r="F1228" s="47" t="str">
        <f>+Cuenta_Clasificacion[[#This Row],[Codigo Concepto de imputación]]&amp;" - "&amp;Cuenta_Clasificacion[[#This Row],[Nombre Concepto de imputación]]</f>
        <v>40066 - Jefe de Bodega</v>
      </c>
    </row>
    <row r="1229" spans="1:6" x14ac:dyDescent="0.25">
      <c r="A1229" s="43">
        <v>4101002</v>
      </c>
      <c r="B1229" t="s">
        <v>1498</v>
      </c>
      <c r="C1229" s="43">
        <v>40067</v>
      </c>
      <c r="D1229" t="s">
        <v>3010</v>
      </c>
      <c r="E1229" s="47" t="str">
        <f>+Cuenta_Clasificacion[[#This Row],[Código Cuenta Contable]]&amp;" - "&amp;Cuenta_Clasificacion[[#This Row],[Nombre de Cuenta Contable]]</f>
        <v>4101002 - IVA Proveedores DS-19</v>
      </c>
      <c r="F1229" s="47" t="str">
        <f>+Cuenta_Clasificacion[[#This Row],[Codigo Concepto de imputación]]&amp;" - "&amp;Cuenta_Clasificacion[[#This Row],[Nombre Concepto de imputación]]</f>
        <v>40067 - Jefe de Maq. y Bodega Central</v>
      </c>
    </row>
    <row r="1230" spans="1:6" x14ac:dyDescent="0.25">
      <c r="A1230" s="43">
        <v>4101002</v>
      </c>
      <c r="B1230" t="s">
        <v>1498</v>
      </c>
      <c r="C1230" s="43">
        <v>40068</v>
      </c>
      <c r="D1230" t="s">
        <v>3011</v>
      </c>
      <c r="E1230" s="47" t="str">
        <f>+Cuenta_Clasificacion[[#This Row],[Código Cuenta Contable]]&amp;" - "&amp;Cuenta_Clasificacion[[#This Row],[Nombre de Cuenta Contable]]</f>
        <v>4101002 - IVA Proveedores DS-19</v>
      </c>
      <c r="F1230" s="47" t="str">
        <f>+Cuenta_Clasificacion[[#This Row],[Codigo Concepto de imputación]]&amp;" - "&amp;Cuenta_Clasificacion[[#This Row],[Nombre Concepto de imputación]]</f>
        <v>40068 - Jefe de Obra</v>
      </c>
    </row>
    <row r="1231" spans="1:6" x14ac:dyDescent="0.25">
      <c r="A1231" s="43">
        <v>4101002</v>
      </c>
      <c r="B1231" t="s">
        <v>1498</v>
      </c>
      <c r="C1231" s="43">
        <v>40069</v>
      </c>
      <c r="D1231" t="s">
        <v>3012</v>
      </c>
      <c r="E1231" s="47" t="str">
        <f>+Cuenta_Clasificacion[[#This Row],[Código Cuenta Contable]]&amp;" - "&amp;Cuenta_Clasificacion[[#This Row],[Nombre de Cuenta Contable]]</f>
        <v>4101002 - IVA Proveedores DS-19</v>
      </c>
      <c r="F1231" s="47" t="str">
        <f>+Cuenta_Clasificacion[[#This Row],[Codigo Concepto de imputación]]&amp;" - "&amp;Cuenta_Clasificacion[[#This Row],[Nombre Concepto de imputación]]</f>
        <v>40069 - Jefe de Patio</v>
      </c>
    </row>
    <row r="1232" spans="1:6" x14ac:dyDescent="0.25">
      <c r="A1232" s="43">
        <v>4101002</v>
      </c>
      <c r="B1232" t="s">
        <v>1498</v>
      </c>
      <c r="C1232" s="43">
        <v>40070</v>
      </c>
      <c r="D1232" t="s">
        <v>3013</v>
      </c>
      <c r="E1232" s="47" t="str">
        <f>+Cuenta_Clasificacion[[#This Row],[Código Cuenta Contable]]&amp;" - "&amp;Cuenta_Clasificacion[[#This Row],[Nombre de Cuenta Contable]]</f>
        <v>4101002 - IVA Proveedores DS-19</v>
      </c>
      <c r="F1232" s="47" t="str">
        <f>+Cuenta_Clasificacion[[#This Row],[Codigo Concepto de imputación]]&amp;" - "&amp;Cuenta_Clasificacion[[#This Row],[Nombre Concepto de imputación]]</f>
        <v>40070 - Jefe de Post Venta</v>
      </c>
    </row>
    <row r="1233" spans="1:6" x14ac:dyDescent="0.25">
      <c r="A1233" s="43">
        <v>4101002</v>
      </c>
      <c r="B1233" t="s">
        <v>1498</v>
      </c>
      <c r="C1233" s="43">
        <v>40071</v>
      </c>
      <c r="D1233" t="s">
        <v>3014</v>
      </c>
      <c r="E1233" s="47" t="str">
        <f>+Cuenta_Clasificacion[[#This Row],[Código Cuenta Contable]]&amp;" - "&amp;Cuenta_Clasificacion[[#This Row],[Nombre de Cuenta Contable]]</f>
        <v>4101002 - IVA Proveedores DS-19</v>
      </c>
      <c r="F1233" s="47" t="str">
        <f>+Cuenta_Clasificacion[[#This Row],[Codigo Concepto de imputación]]&amp;" - "&amp;Cuenta_Clasificacion[[#This Row],[Nombre Concepto de imputación]]</f>
        <v>40071 - Jefe de Procesos</v>
      </c>
    </row>
    <row r="1234" spans="1:6" x14ac:dyDescent="0.25">
      <c r="A1234" s="43">
        <v>4101002</v>
      </c>
      <c r="B1234" t="s">
        <v>1498</v>
      </c>
      <c r="C1234" s="43">
        <v>40072</v>
      </c>
      <c r="D1234" t="s">
        <v>3015</v>
      </c>
      <c r="E1234" s="47" t="str">
        <f>+Cuenta_Clasificacion[[#This Row],[Código Cuenta Contable]]&amp;" - "&amp;Cuenta_Clasificacion[[#This Row],[Nombre de Cuenta Contable]]</f>
        <v>4101002 - IVA Proveedores DS-19</v>
      </c>
      <c r="F1234" s="47" t="str">
        <f>+Cuenta_Clasificacion[[#This Row],[Codigo Concepto de imputación]]&amp;" - "&amp;Cuenta_Clasificacion[[#This Row],[Nombre Concepto de imputación]]</f>
        <v>40072 - Jefe de Terreno</v>
      </c>
    </row>
    <row r="1235" spans="1:6" x14ac:dyDescent="0.25">
      <c r="A1235" s="43">
        <v>4101002</v>
      </c>
      <c r="B1235" t="s">
        <v>1498</v>
      </c>
      <c r="C1235" s="43">
        <v>40073</v>
      </c>
      <c r="D1235" t="s">
        <v>3016</v>
      </c>
      <c r="E1235" s="47" t="str">
        <f>+Cuenta_Clasificacion[[#This Row],[Código Cuenta Contable]]&amp;" - "&amp;Cuenta_Clasificacion[[#This Row],[Nombre de Cuenta Contable]]</f>
        <v>4101002 - IVA Proveedores DS-19</v>
      </c>
      <c r="F1235" s="47" t="str">
        <f>+Cuenta_Clasificacion[[#This Row],[Codigo Concepto de imputación]]&amp;" - "&amp;Cuenta_Clasificacion[[#This Row],[Nombre Concepto de imputación]]</f>
        <v>40073 - Jornal</v>
      </c>
    </row>
    <row r="1236" spans="1:6" x14ac:dyDescent="0.25">
      <c r="A1236" s="43">
        <v>4101002</v>
      </c>
      <c r="B1236" t="s">
        <v>1498</v>
      </c>
      <c r="C1236" s="43">
        <v>40074</v>
      </c>
      <c r="D1236" t="s">
        <v>3017</v>
      </c>
      <c r="E1236" s="47" t="str">
        <f>+Cuenta_Clasificacion[[#This Row],[Código Cuenta Contable]]&amp;" - "&amp;Cuenta_Clasificacion[[#This Row],[Nombre de Cuenta Contable]]</f>
        <v>4101002 - IVA Proveedores DS-19</v>
      </c>
      <c r="F1236" s="47" t="str">
        <f>+Cuenta_Clasificacion[[#This Row],[Codigo Concepto de imputación]]&amp;" - "&amp;Cuenta_Clasificacion[[#This Row],[Nombre Concepto de imputación]]</f>
        <v>40074 - Jornal Andamiero</v>
      </c>
    </row>
    <row r="1237" spans="1:6" x14ac:dyDescent="0.25">
      <c r="A1237" s="43">
        <v>4101002</v>
      </c>
      <c r="B1237" t="s">
        <v>1498</v>
      </c>
      <c r="C1237" s="43">
        <v>40075</v>
      </c>
      <c r="D1237" t="s">
        <v>3018</v>
      </c>
      <c r="E1237" s="47" t="str">
        <f>+Cuenta_Clasificacion[[#This Row],[Código Cuenta Contable]]&amp;" - "&amp;Cuenta_Clasificacion[[#This Row],[Nombre de Cuenta Contable]]</f>
        <v>4101002 - IVA Proveedores DS-19</v>
      </c>
      <c r="F1237" s="47" t="str">
        <f>+Cuenta_Clasificacion[[#This Row],[Codigo Concepto de imputación]]&amp;" - "&amp;Cuenta_Clasificacion[[#This Row],[Nombre Concepto de imputación]]</f>
        <v>40075 - Jornal Canguero</v>
      </c>
    </row>
    <row r="1238" spans="1:6" x14ac:dyDescent="0.25">
      <c r="A1238" s="43">
        <v>4101002</v>
      </c>
      <c r="B1238" t="s">
        <v>1498</v>
      </c>
      <c r="C1238" s="43">
        <v>40076</v>
      </c>
      <c r="D1238" t="s">
        <v>3019</v>
      </c>
      <c r="E1238" s="47" t="str">
        <f>+Cuenta_Clasificacion[[#This Row],[Código Cuenta Contable]]&amp;" - "&amp;Cuenta_Clasificacion[[#This Row],[Nombre de Cuenta Contable]]</f>
        <v>4101002 - IVA Proveedores DS-19</v>
      </c>
      <c r="F1238" s="47" t="str">
        <f>+Cuenta_Clasificacion[[#This Row],[Codigo Concepto de imputación]]&amp;" - "&amp;Cuenta_Clasificacion[[#This Row],[Nombre Concepto de imputación]]</f>
        <v>40076 - Jornal Concretero</v>
      </c>
    </row>
    <row r="1239" spans="1:6" x14ac:dyDescent="0.25">
      <c r="A1239" s="43">
        <v>4101002</v>
      </c>
      <c r="B1239" t="s">
        <v>1498</v>
      </c>
      <c r="C1239" s="43">
        <v>40077</v>
      </c>
      <c r="D1239" t="s">
        <v>3020</v>
      </c>
      <c r="E1239" s="47" t="str">
        <f>+Cuenta_Clasificacion[[#This Row],[Código Cuenta Contable]]&amp;" - "&amp;Cuenta_Clasificacion[[#This Row],[Nombre de Cuenta Contable]]</f>
        <v>4101002 - IVA Proveedores DS-19</v>
      </c>
      <c r="F1239" s="47" t="str">
        <f>+Cuenta_Clasificacion[[#This Row],[Codigo Concepto de imputación]]&amp;" - "&amp;Cuenta_Clasificacion[[#This Row],[Nombre Concepto de imputación]]</f>
        <v>40077 - Jornal de Aseo</v>
      </c>
    </row>
    <row r="1240" spans="1:6" x14ac:dyDescent="0.25">
      <c r="A1240" s="43">
        <v>4101002</v>
      </c>
      <c r="B1240" t="s">
        <v>1498</v>
      </c>
      <c r="C1240" s="43">
        <v>40078</v>
      </c>
      <c r="D1240" t="s">
        <v>3021</v>
      </c>
      <c r="E1240" s="47" t="str">
        <f>+Cuenta_Clasificacion[[#This Row],[Código Cuenta Contable]]&amp;" - "&amp;Cuenta_Clasificacion[[#This Row],[Nombre de Cuenta Contable]]</f>
        <v>4101002 - IVA Proveedores DS-19</v>
      </c>
      <c r="F1240" s="47" t="str">
        <f>+Cuenta_Clasificacion[[#This Row],[Codigo Concepto de imputación]]&amp;" - "&amp;Cuenta_Clasificacion[[#This Row],[Nombre Concepto de imputación]]</f>
        <v>40078 - Jornal Llavero</v>
      </c>
    </row>
    <row r="1241" spans="1:6" x14ac:dyDescent="0.25">
      <c r="A1241" s="43">
        <v>4101002</v>
      </c>
      <c r="B1241" t="s">
        <v>1498</v>
      </c>
      <c r="C1241" s="43">
        <v>40079</v>
      </c>
      <c r="D1241" t="s">
        <v>3022</v>
      </c>
      <c r="E1241" s="47" t="str">
        <f>+Cuenta_Clasificacion[[#This Row],[Código Cuenta Contable]]&amp;" - "&amp;Cuenta_Clasificacion[[#This Row],[Nombre de Cuenta Contable]]</f>
        <v>4101002 - IVA Proveedores DS-19</v>
      </c>
      <c r="F1241" s="47" t="str">
        <f>+Cuenta_Clasificacion[[#This Row],[Codigo Concepto de imputación]]&amp;" - "&amp;Cuenta_Clasificacion[[#This Row],[Nombre Concepto de imputación]]</f>
        <v>40079 - Junior</v>
      </c>
    </row>
    <row r="1242" spans="1:6" x14ac:dyDescent="0.25">
      <c r="A1242" s="43">
        <v>4101002</v>
      </c>
      <c r="B1242" t="s">
        <v>1498</v>
      </c>
      <c r="C1242" s="43">
        <v>40080</v>
      </c>
      <c r="D1242" t="s">
        <v>3023</v>
      </c>
      <c r="E1242" s="47" t="str">
        <f>+Cuenta_Clasificacion[[#This Row],[Código Cuenta Contable]]&amp;" - "&amp;Cuenta_Clasificacion[[#This Row],[Nombre de Cuenta Contable]]</f>
        <v>4101002 - IVA Proveedores DS-19</v>
      </c>
      <c r="F1242" s="47" t="str">
        <f>+Cuenta_Clasificacion[[#This Row],[Codigo Concepto de imputación]]&amp;" - "&amp;Cuenta_Clasificacion[[#This Row],[Nombre Concepto de imputación]]</f>
        <v>40080 - Maestro</v>
      </c>
    </row>
    <row r="1243" spans="1:6" x14ac:dyDescent="0.25">
      <c r="A1243" s="43">
        <v>4101002</v>
      </c>
      <c r="B1243" t="s">
        <v>1498</v>
      </c>
      <c r="C1243" s="43">
        <v>40081</v>
      </c>
      <c r="D1243" t="s">
        <v>3024</v>
      </c>
      <c r="E1243" s="47" t="str">
        <f>+Cuenta_Clasificacion[[#This Row],[Código Cuenta Contable]]&amp;" - "&amp;Cuenta_Clasificacion[[#This Row],[Nombre de Cuenta Contable]]</f>
        <v>4101002 - IVA Proveedores DS-19</v>
      </c>
      <c r="F1243" s="47" t="str">
        <f>+Cuenta_Clasificacion[[#This Row],[Codigo Concepto de imputación]]&amp;" - "&amp;Cuenta_Clasificacion[[#This Row],[Nombre Concepto de imputación]]</f>
        <v>40081 - Maestro Albañil</v>
      </c>
    </row>
    <row r="1244" spans="1:6" x14ac:dyDescent="0.25">
      <c r="A1244" s="43">
        <v>4101002</v>
      </c>
      <c r="B1244" t="s">
        <v>1498</v>
      </c>
      <c r="C1244" s="43">
        <v>40082</v>
      </c>
      <c r="D1244" t="s">
        <v>3025</v>
      </c>
      <c r="E1244" s="47" t="str">
        <f>+Cuenta_Clasificacion[[#This Row],[Código Cuenta Contable]]&amp;" - "&amp;Cuenta_Clasificacion[[#This Row],[Nombre de Cuenta Contable]]</f>
        <v>4101002 - IVA Proveedores DS-19</v>
      </c>
      <c r="F1244" s="47" t="str">
        <f>+Cuenta_Clasificacion[[#This Row],[Codigo Concepto de imputación]]&amp;" - "&amp;Cuenta_Clasificacion[[#This Row],[Nombre Concepto de imputación]]</f>
        <v>40082 - Maestro Carpintero</v>
      </c>
    </row>
    <row r="1245" spans="1:6" x14ac:dyDescent="0.25">
      <c r="A1245" s="43">
        <v>4101002</v>
      </c>
      <c r="B1245" t="s">
        <v>1498</v>
      </c>
      <c r="C1245" s="43">
        <v>40083</v>
      </c>
      <c r="D1245" t="s">
        <v>3026</v>
      </c>
      <c r="E1245" s="47" t="str">
        <f>+Cuenta_Clasificacion[[#This Row],[Código Cuenta Contable]]&amp;" - "&amp;Cuenta_Clasificacion[[#This Row],[Nombre de Cuenta Contable]]</f>
        <v>4101002 - IVA Proveedores DS-19</v>
      </c>
      <c r="F1245" s="47" t="str">
        <f>+Cuenta_Clasificacion[[#This Row],[Codigo Concepto de imputación]]&amp;" - "&amp;Cuenta_Clasificacion[[#This Row],[Nombre Concepto de imputación]]</f>
        <v>40083 - Maestro Ceramista</v>
      </c>
    </row>
    <row r="1246" spans="1:6" x14ac:dyDescent="0.25">
      <c r="A1246" s="43">
        <v>4101002</v>
      </c>
      <c r="B1246" t="s">
        <v>1498</v>
      </c>
      <c r="C1246" s="43">
        <v>40084</v>
      </c>
      <c r="D1246" t="s">
        <v>3027</v>
      </c>
      <c r="E1246" s="47" t="str">
        <f>+Cuenta_Clasificacion[[#This Row],[Código Cuenta Contable]]&amp;" - "&amp;Cuenta_Clasificacion[[#This Row],[Nombre de Cuenta Contable]]</f>
        <v>4101002 - IVA Proveedores DS-19</v>
      </c>
      <c r="F1246" s="47" t="str">
        <f>+Cuenta_Clasificacion[[#This Row],[Codigo Concepto de imputación]]&amp;" - "&amp;Cuenta_Clasificacion[[#This Row],[Nombre Concepto de imputación]]</f>
        <v>40084 - Maestro Fragüero</v>
      </c>
    </row>
    <row r="1247" spans="1:6" x14ac:dyDescent="0.25">
      <c r="A1247" s="43">
        <v>4101002</v>
      </c>
      <c r="B1247" t="s">
        <v>1498</v>
      </c>
      <c r="C1247" s="43">
        <v>40085</v>
      </c>
      <c r="D1247" t="s">
        <v>3028</v>
      </c>
      <c r="E1247" s="47" t="str">
        <f>+Cuenta_Clasificacion[[#This Row],[Código Cuenta Contable]]&amp;" - "&amp;Cuenta_Clasificacion[[#This Row],[Nombre de Cuenta Contable]]</f>
        <v>4101002 - IVA Proveedores DS-19</v>
      </c>
      <c r="F1247" s="47" t="str">
        <f>+Cuenta_Clasificacion[[#This Row],[Codigo Concepto de imputación]]&amp;" - "&amp;Cuenta_Clasificacion[[#This Row],[Nombre Concepto de imputación]]</f>
        <v>40085 - Maestro Trazador</v>
      </c>
    </row>
    <row r="1248" spans="1:6" x14ac:dyDescent="0.25">
      <c r="A1248" s="43">
        <v>4101002</v>
      </c>
      <c r="B1248" t="s">
        <v>1498</v>
      </c>
      <c r="C1248" s="43">
        <v>40086</v>
      </c>
      <c r="D1248" t="s">
        <v>3029</v>
      </c>
      <c r="E1248" s="47" t="str">
        <f>+Cuenta_Clasificacion[[#This Row],[Código Cuenta Contable]]&amp;" - "&amp;Cuenta_Clasificacion[[#This Row],[Nombre de Cuenta Contable]]</f>
        <v>4101002 - IVA Proveedores DS-19</v>
      </c>
      <c r="F1248" s="47" t="str">
        <f>+Cuenta_Clasificacion[[#This Row],[Codigo Concepto de imputación]]&amp;" - "&amp;Cuenta_Clasificacion[[#This Row],[Nombre Concepto de imputación]]</f>
        <v>40086 - Mantención</v>
      </c>
    </row>
    <row r="1249" spans="1:6" x14ac:dyDescent="0.25">
      <c r="A1249" s="43">
        <v>4101002</v>
      </c>
      <c r="B1249" t="s">
        <v>1498</v>
      </c>
      <c r="C1249" s="43">
        <v>40087</v>
      </c>
      <c r="D1249" t="s">
        <v>3030</v>
      </c>
      <c r="E1249" s="47" t="str">
        <f>+Cuenta_Clasificacion[[#This Row],[Código Cuenta Contable]]&amp;" - "&amp;Cuenta_Clasificacion[[#This Row],[Nombre de Cuenta Contable]]</f>
        <v>4101002 - IVA Proveedores DS-19</v>
      </c>
      <c r="F1249" s="47" t="str">
        <f>+Cuenta_Clasificacion[[#This Row],[Codigo Concepto de imputación]]&amp;" - "&amp;Cuenta_Clasificacion[[#This Row],[Nombre Concepto de imputación]]</f>
        <v>40087 - Mayordomo</v>
      </c>
    </row>
    <row r="1250" spans="1:6" x14ac:dyDescent="0.25">
      <c r="A1250" s="43">
        <v>4101002</v>
      </c>
      <c r="B1250" t="s">
        <v>1498</v>
      </c>
      <c r="C1250" s="43">
        <v>40088</v>
      </c>
      <c r="D1250" t="s">
        <v>3031</v>
      </c>
      <c r="E1250" s="47" t="str">
        <f>+Cuenta_Clasificacion[[#This Row],[Código Cuenta Contable]]&amp;" - "&amp;Cuenta_Clasificacion[[#This Row],[Nombre de Cuenta Contable]]</f>
        <v>4101002 - IVA Proveedores DS-19</v>
      </c>
      <c r="F1250" s="47" t="str">
        <f>+Cuenta_Clasificacion[[#This Row],[Codigo Concepto de imputación]]&amp;" - "&amp;Cuenta_Clasificacion[[#This Row],[Nombre Concepto de imputación]]</f>
        <v>40088 - Oficina Técnica</v>
      </c>
    </row>
    <row r="1251" spans="1:6" x14ac:dyDescent="0.25">
      <c r="A1251" s="43">
        <v>4101002</v>
      </c>
      <c r="B1251" t="s">
        <v>1498</v>
      </c>
      <c r="C1251" s="43">
        <v>40089</v>
      </c>
      <c r="D1251" t="s">
        <v>3032</v>
      </c>
      <c r="E1251" s="47" t="str">
        <f>+Cuenta_Clasificacion[[#This Row],[Código Cuenta Contable]]&amp;" - "&amp;Cuenta_Clasificacion[[#This Row],[Nombre de Cuenta Contable]]</f>
        <v>4101002 - IVA Proveedores DS-19</v>
      </c>
      <c r="F1251" s="47" t="str">
        <f>+Cuenta_Clasificacion[[#This Row],[Codigo Concepto de imputación]]&amp;" - "&amp;Cuenta_Clasificacion[[#This Row],[Nombre Concepto de imputación]]</f>
        <v>40089 - Operador</v>
      </c>
    </row>
    <row r="1252" spans="1:6" x14ac:dyDescent="0.25">
      <c r="A1252" s="43">
        <v>4101002</v>
      </c>
      <c r="B1252" t="s">
        <v>1498</v>
      </c>
      <c r="C1252" s="43">
        <v>40090</v>
      </c>
      <c r="D1252" t="s">
        <v>3033</v>
      </c>
      <c r="E1252" s="47" t="str">
        <f>+Cuenta_Clasificacion[[#This Row],[Código Cuenta Contable]]&amp;" - "&amp;Cuenta_Clasificacion[[#This Row],[Nombre de Cuenta Contable]]</f>
        <v>4101002 - IVA Proveedores DS-19</v>
      </c>
      <c r="F1252" s="47" t="str">
        <f>+Cuenta_Clasificacion[[#This Row],[Codigo Concepto de imputación]]&amp;" - "&amp;Cuenta_Clasificacion[[#This Row],[Nombre Concepto de imputación]]</f>
        <v>40090 - Operador de Grúa</v>
      </c>
    </row>
    <row r="1253" spans="1:6" x14ac:dyDescent="0.25">
      <c r="A1253" s="43">
        <v>4101002</v>
      </c>
      <c r="B1253" t="s">
        <v>1498</v>
      </c>
      <c r="C1253" s="43">
        <v>40091</v>
      </c>
      <c r="D1253" t="s">
        <v>3034</v>
      </c>
      <c r="E1253" s="47" t="str">
        <f>+Cuenta_Clasificacion[[#This Row],[Código Cuenta Contable]]&amp;" - "&amp;Cuenta_Clasificacion[[#This Row],[Nombre de Cuenta Contable]]</f>
        <v>4101002 - IVA Proveedores DS-19</v>
      </c>
      <c r="F1253" s="47" t="str">
        <f>+Cuenta_Clasificacion[[#This Row],[Codigo Concepto de imputación]]&amp;" - "&amp;Cuenta_Clasificacion[[#This Row],[Nombre Concepto de imputación]]</f>
        <v>40091 - Operador de Minicargador</v>
      </c>
    </row>
    <row r="1254" spans="1:6" x14ac:dyDescent="0.25">
      <c r="A1254" s="43">
        <v>4101002</v>
      </c>
      <c r="B1254" t="s">
        <v>1498</v>
      </c>
      <c r="C1254" s="43">
        <v>40092</v>
      </c>
      <c r="D1254" t="s">
        <v>3035</v>
      </c>
      <c r="E1254" s="47" t="str">
        <f>+Cuenta_Clasificacion[[#This Row],[Código Cuenta Contable]]&amp;" - "&amp;Cuenta_Clasificacion[[#This Row],[Nombre de Cuenta Contable]]</f>
        <v>4101002 - IVA Proveedores DS-19</v>
      </c>
      <c r="F1254" s="47" t="str">
        <f>+Cuenta_Clasificacion[[#This Row],[Codigo Concepto de imputación]]&amp;" - "&amp;Cuenta_Clasificacion[[#This Row],[Nombre Concepto de imputación]]</f>
        <v>40092 - Pañolero</v>
      </c>
    </row>
    <row r="1255" spans="1:6" x14ac:dyDescent="0.25">
      <c r="A1255" s="43">
        <v>4101002</v>
      </c>
      <c r="B1255" t="s">
        <v>1498</v>
      </c>
      <c r="C1255" s="43">
        <v>40093</v>
      </c>
      <c r="D1255" t="s">
        <v>3036</v>
      </c>
      <c r="E1255" s="47" t="str">
        <f>+Cuenta_Clasificacion[[#This Row],[Código Cuenta Contable]]&amp;" - "&amp;Cuenta_Clasificacion[[#This Row],[Nombre de Cuenta Contable]]</f>
        <v>4101002 - IVA Proveedores DS-19</v>
      </c>
      <c r="F1255" s="47" t="str">
        <f>+Cuenta_Clasificacion[[#This Row],[Codigo Concepto de imputación]]&amp;" - "&amp;Cuenta_Clasificacion[[#This Row],[Nombre Concepto de imputación]]</f>
        <v>40093 - Pintor</v>
      </c>
    </row>
    <row r="1256" spans="1:6" x14ac:dyDescent="0.25">
      <c r="A1256" s="43">
        <v>4101002</v>
      </c>
      <c r="B1256" t="s">
        <v>1498</v>
      </c>
      <c r="C1256" s="43">
        <v>40094</v>
      </c>
      <c r="D1256" t="s">
        <v>3037</v>
      </c>
      <c r="E1256" s="47" t="str">
        <f>+Cuenta_Clasificacion[[#This Row],[Código Cuenta Contable]]&amp;" - "&amp;Cuenta_Clasificacion[[#This Row],[Nombre de Cuenta Contable]]</f>
        <v>4101002 - IVA Proveedores DS-19</v>
      </c>
      <c r="F1256" s="47" t="str">
        <f>+Cuenta_Clasificacion[[#This Row],[Codigo Concepto de imputación]]&amp;" - "&amp;Cuenta_Clasificacion[[#This Row],[Nombre Concepto de imputación]]</f>
        <v>40094 - Portero</v>
      </c>
    </row>
    <row r="1257" spans="1:6" x14ac:dyDescent="0.25">
      <c r="A1257" s="43">
        <v>4101002</v>
      </c>
      <c r="B1257" t="s">
        <v>1498</v>
      </c>
      <c r="C1257" s="43">
        <v>40095</v>
      </c>
      <c r="D1257" t="s">
        <v>3038</v>
      </c>
      <c r="E1257" s="47" t="str">
        <f>+Cuenta_Clasificacion[[#This Row],[Código Cuenta Contable]]&amp;" - "&amp;Cuenta_Clasificacion[[#This Row],[Nombre de Cuenta Contable]]</f>
        <v>4101002 - IVA Proveedores DS-19</v>
      </c>
      <c r="F1257" s="47" t="str">
        <f>+Cuenta_Clasificacion[[#This Row],[Codigo Concepto de imputación]]&amp;" - "&amp;Cuenta_Clasificacion[[#This Row],[Nombre Concepto de imputación]]</f>
        <v>40095 - Post Venta Obra</v>
      </c>
    </row>
    <row r="1258" spans="1:6" x14ac:dyDescent="0.25">
      <c r="A1258" s="43">
        <v>4101002</v>
      </c>
      <c r="B1258" t="s">
        <v>1498</v>
      </c>
      <c r="C1258" s="43">
        <v>40096</v>
      </c>
      <c r="D1258" t="s">
        <v>3039</v>
      </c>
      <c r="E1258" s="47" t="str">
        <f>+Cuenta_Clasificacion[[#This Row],[Código Cuenta Contable]]&amp;" - "&amp;Cuenta_Clasificacion[[#This Row],[Nombre de Cuenta Contable]]</f>
        <v>4101002 - IVA Proveedores DS-19</v>
      </c>
      <c r="F1258" s="47" t="str">
        <f>+Cuenta_Clasificacion[[#This Row],[Codigo Concepto de imputación]]&amp;" - "&amp;Cuenta_Clasificacion[[#This Row],[Nombre Concepto de imputación]]</f>
        <v>40096 - Prevencionista</v>
      </c>
    </row>
    <row r="1259" spans="1:6" x14ac:dyDescent="0.25">
      <c r="A1259" s="43">
        <v>4101002</v>
      </c>
      <c r="B1259" t="s">
        <v>1498</v>
      </c>
      <c r="C1259" s="43">
        <v>40097</v>
      </c>
      <c r="D1259" t="s">
        <v>3040</v>
      </c>
      <c r="E1259" s="47" t="str">
        <f>+Cuenta_Clasificacion[[#This Row],[Código Cuenta Contable]]&amp;" - "&amp;Cuenta_Clasificacion[[#This Row],[Nombre de Cuenta Contable]]</f>
        <v>4101002 - IVA Proveedores DS-19</v>
      </c>
      <c r="F1259" s="47" t="str">
        <f>+Cuenta_Clasificacion[[#This Row],[Codigo Concepto de imputación]]&amp;" - "&amp;Cuenta_Clasificacion[[#This Row],[Nombre Concepto de imputación]]</f>
        <v>40097 - Profesional de Calidad y Seg.</v>
      </c>
    </row>
    <row r="1260" spans="1:6" x14ac:dyDescent="0.25">
      <c r="A1260" s="43">
        <v>4101002</v>
      </c>
      <c r="B1260" t="s">
        <v>1498</v>
      </c>
      <c r="C1260" s="43">
        <v>40098</v>
      </c>
      <c r="D1260" t="s">
        <v>3041</v>
      </c>
      <c r="E1260" s="47" t="str">
        <f>+Cuenta_Clasificacion[[#This Row],[Código Cuenta Contable]]&amp;" - "&amp;Cuenta_Clasificacion[[#This Row],[Nombre de Cuenta Contable]]</f>
        <v>4101002 - IVA Proveedores DS-19</v>
      </c>
      <c r="F1260" s="47" t="str">
        <f>+Cuenta_Clasificacion[[#This Row],[Codigo Concepto de imputación]]&amp;" - "&amp;Cuenta_Clasificacion[[#This Row],[Nombre Concepto de imputación]]</f>
        <v>40098 - Profesional de Terreno Trainee</v>
      </c>
    </row>
    <row r="1261" spans="1:6" x14ac:dyDescent="0.25">
      <c r="A1261" s="43">
        <v>4101002</v>
      </c>
      <c r="B1261" t="s">
        <v>1498</v>
      </c>
      <c r="C1261" s="43">
        <v>40099</v>
      </c>
      <c r="D1261" t="s">
        <v>3042</v>
      </c>
      <c r="E1261" s="47" t="str">
        <f>+Cuenta_Clasificacion[[#This Row],[Código Cuenta Contable]]&amp;" - "&amp;Cuenta_Clasificacion[[#This Row],[Nombre de Cuenta Contable]]</f>
        <v>4101002 - IVA Proveedores DS-19</v>
      </c>
      <c r="F1261" s="47" t="str">
        <f>+Cuenta_Clasificacion[[#This Row],[Codigo Concepto de imputación]]&amp;" - "&amp;Cuenta_Clasificacion[[#This Row],[Nombre Concepto de imputación]]</f>
        <v>40099 - Señalero</v>
      </c>
    </row>
    <row r="1262" spans="1:6" x14ac:dyDescent="0.25">
      <c r="A1262" s="43">
        <v>4101002</v>
      </c>
      <c r="B1262" t="s">
        <v>1498</v>
      </c>
      <c r="C1262" s="43">
        <v>40100</v>
      </c>
      <c r="D1262" t="s">
        <v>3043</v>
      </c>
      <c r="E1262" s="47" t="str">
        <f>+Cuenta_Clasificacion[[#This Row],[Código Cuenta Contable]]&amp;" - "&amp;Cuenta_Clasificacion[[#This Row],[Nombre de Cuenta Contable]]</f>
        <v>4101002 - IVA Proveedores DS-19</v>
      </c>
      <c r="F1262" s="47" t="str">
        <f>+Cuenta_Clasificacion[[#This Row],[Codigo Concepto de imputación]]&amp;" - "&amp;Cuenta_Clasificacion[[#This Row],[Nombre Concepto de imputación]]</f>
        <v>40100 - Soldador</v>
      </c>
    </row>
    <row r="1263" spans="1:6" x14ac:dyDescent="0.25">
      <c r="A1263" s="43">
        <v>4101002</v>
      </c>
      <c r="B1263" t="s">
        <v>1498</v>
      </c>
      <c r="C1263" s="43">
        <v>40101</v>
      </c>
      <c r="D1263" t="s">
        <v>3044</v>
      </c>
      <c r="E1263" s="47" t="str">
        <f>+Cuenta_Clasificacion[[#This Row],[Código Cuenta Contable]]&amp;" - "&amp;Cuenta_Clasificacion[[#This Row],[Nombre de Cuenta Contable]]</f>
        <v>4101002 - IVA Proveedores DS-19</v>
      </c>
      <c r="F1263" s="47" t="str">
        <f>+Cuenta_Clasificacion[[#This Row],[Codigo Concepto de imputación]]&amp;" - "&amp;Cuenta_Clasificacion[[#This Row],[Nombre Concepto de imputación]]</f>
        <v>40101 - Sup. de Bodega, Maq. y Equipos</v>
      </c>
    </row>
    <row r="1264" spans="1:6" x14ac:dyDescent="0.25">
      <c r="A1264" s="43">
        <v>4101002</v>
      </c>
      <c r="B1264" t="s">
        <v>1498</v>
      </c>
      <c r="C1264" s="43">
        <v>40102</v>
      </c>
      <c r="D1264" t="s">
        <v>3045</v>
      </c>
      <c r="E1264" s="47" t="str">
        <f>+Cuenta_Clasificacion[[#This Row],[Código Cuenta Contable]]&amp;" - "&amp;Cuenta_Clasificacion[[#This Row],[Nombre de Cuenta Contable]]</f>
        <v>4101002 - IVA Proveedores DS-19</v>
      </c>
      <c r="F1264" s="47" t="str">
        <f>+Cuenta_Clasificacion[[#This Row],[Codigo Concepto de imputación]]&amp;" - "&amp;Cuenta_Clasificacion[[#This Row],[Nombre Concepto de imputación]]</f>
        <v>40102 - Supervisor</v>
      </c>
    </row>
    <row r="1265" spans="1:6" x14ac:dyDescent="0.25">
      <c r="A1265" s="43">
        <v>4101002</v>
      </c>
      <c r="B1265" t="s">
        <v>1498</v>
      </c>
      <c r="C1265" s="43">
        <v>40103</v>
      </c>
      <c r="D1265" t="s">
        <v>3046</v>
      </c>
      <c r="E1265" s="47" t="str">
        <f>+Cuenta_Clasificacion[[#This Row],[Código Cuenta Contable]]&amp;" - "&amp;Cuenta_Clasificacion[[#This Row],[Nombre de Cuenta Contable]]</f>
        <v>4101002 - IVA Proveedores DS-19</v>
      </c>
      <c r="F1265" s="47" t="str">
        <f>+Cuenta_Clasificacion[[#This Row],[Codigo Concepto de imputación]]&amp;" - "&amp;Cuenta_Clasificacion[[#This Row],[Nombre Concepto de imputación]]</f>
        <v>40103 - Sup. Administrativo de Obras</v>
      </c>
    </row>
    <row r="1266" spans="1:6" x14ac:dyDescent="0.25">
      <c r="A1266" s="43">
        <v>4101002</v>
      </c>
      <c r="B1266" t="s">
        <v>1498</v>
      </c>
      <c r="C1266" s="43">
        <v>40104</v>
      </c>
      <c r="D1266" t="s">
        <v>3047</v>
      </c>
      <c r="E1266" s="47" t="str">
        <f>+Cuenta_Clasificacion[[#This Row],[Código Cuenta Contable]]&amp;" - "&amp;Cuenta_Clasificacion[[#This Row],[Nombre de Cuenta Contable]]</f>
        <v>4101002 - IVA Proveedores DS-19</v>
      </c>
      <c r="F1266" s="47" t="str">
        <f>+Cuenta_Clasificacion[[#This Row],[Codigo Concepto de imputación]]&amp;" - "&amp;Cuenta_Clasificacion[[#This Row],[Nombre Concepto de imputación]]</f>
        <v>40104 - Supervisor de Instalaciones</v>
      </c>
    </row>
    <row r="1267" spans="1:6" x14ac:dyDescent="0.25">
      <c r="A1267" s="43">
        <v>4101002</v>
      </c>
      <c r="B1267" t="s">
        <v>1498</v>
      </c>
      <c r="C1267" s="43">
        <v>40105</v>
      </c>
      <c r="D1267" t="s">
        <v>3048</v>
      </c>
      <c r="E1267" s="47" t="str">
        <f>+Cuenta_Clasificacion[[#This Row],[Código Cuenta Contable]]&amp;" - "&amp;Cuenta_Clasificacion[[#This Row],[Nombre de Cuenta Contable]]</f>
        <v>4101002 - IVA Proveedores DS-19</v>
      </c>
      <c r="F1267" s="47" t="str">
        <f>+Cuenta_Clasificacion[[#This Row],[Codigo Concepto de imputación]]&amp;" - "&amp;Cuenta_Clasificacion[[#This Row],[Nombre Concepto de imputación]]</f>
        <v>40105 - Sup. de Instalaciones Eléct.</v>
      </c>
    </row>
    <row r="1268" spans="1:6" x14ac:dyDescent="0.25">
      <c r="A1268" s="43">
        <v>4101002</v>
      </c>
      <c r="B1268" t="s">
        <v>1498</v>
      </c>
      <c r="C1268" s="43">
        <v>40106</v>
      </c>
      <c r="D1268" t="s">
        <v>3049</v>
      </c>
      <c r="E1268" s="47" t="str">
        <f>+Cuenta_Clasificacion[[#This Row],[Código Cuenta Contable]]&amp;" - "&amp;Cuenta_Clasificacion[[#This Row],[Nombre de Cuenta Contable]]</f>
        <v>4101002 - IVA Proveedores DS-19</v>
      </c>
      <c r="F1268" s="47" t="str">
        <f>+Cuenta_Clasificacion[[#This Row],[Codigo Concepto de imputación]]&amp;" - "&amp;Cuenta_Clasificacion[[#This Row],[Nombre Concepto de imputación]]</f>
        <v>40106 - Sup. de Mantención y Montaje</v>
      </c>
    </row>
    <row r="1269" spans="1:6" x14ac:dyDescent="0.25">
      <c r="A1269" s="43">
        <v>4101002</v>
      </c>
      <c r="B1269" t="s">
        <v>1498</v>
      </c>
      <c r="C1269" s="43">
        <v>40107</v>
      </c>
      <c r="D1269" t="s">
        <v>3050</v>
      </c>
      <c r="E1269" s="47" t="str">
        <f>+Cuenta_Clasificacion[[#This Row],[Código Cuenta Contable]]&amp;" - "&amp;Cuenta_Clasificacion[[#This Row],[Nombre de Cuenta Contable]]</f>
        <v>4101002 - IVA Proveedores DS-19</v>
      </c>
      <c r="F1269" s="47" t="str">
        <f>+Cuenta_Clasificacion[[#This Row],[Codigo Concepto de imputación]]&amp;" - "&amp;Cuenta_Clasificacion[[#This Row],[Nombre Concepto de imputación]]</f>
        <v>40107 - Supervisor Regional Post Vta</v>
      </c>
    </row>
    <row r="1270" spans="1:6" x14ac:dyDescent="0.25">
      <c r="A1270" s="43">
        <v>4101002</v>
      </c>
      <c r="B1270" t="s">
        <v>1498</v>
      </c>
      <c r="C1270" s="43">
        <v>40108</v>
      </c>
      <c r="D1270" t="s">
        <v>3051</v>
      </c>
      <c r="E1270" s="47" t="str">
        <f>+Cuenta_Clasificacion[[#This Row],[Código Cuenta Contable]]&amp;" - "&amp;Cuenta_Clasificacion[[#This Row],[Nombre de Cuenta Contable]]</f>
        <v>4101002 - IVA Proveedores DS-19</v>
      </c>
      <c r="F1270" s="47" t="str">
        <f>+Cuenta_Clasificacion[[#This Row],[Codigo Concepto de imputación]]&amp;" - "&amp;Cuenta_Clasificacion[[#This Row],[Nombre Concepto de imputación]]</f>
        <v>40108 - Supervisor Zonal</v>
      </c>
    </row>
    <row r="1271" spans="1:6" x14ac:dyDescent="0.25">
      <c r="A1271" s="43">
        <v>4101002</v>
      </c>
      <c r="B1271" t="s">
        <v>1498</v>
      </c>
      <c r="C1271" s="43">
        <v>40109</v>
      </c>
      <c r="D1271" t="s">
        <v>3052</v>
      </c>
      <c r="E1271" s="47" t="str">
        <f>+Cuenta_Clasificacion[[#This Row],[Código Cuenta Contable]]&amp;" - "&amp;Cuenta_Clasificacion[[#This Row],[Nombre de Cuenta Contable]]</f>
        <v>4101002 - IVA Proveedores DS-19</v>
      </c>
      <c r="F1271" s="47" t="str">
        <f>+Cuenta_Clasificacion[[#This Row],[Codigo Concepto de imputación]]&amp;" - "&amp;Cuenta_Clasificacion[[#This Row],[Nombre Concepto de imputación]]</f>
        <v>40109 - Técnico</v>
      </c>
    </row>
    <row r="1272" spans="1:6" x14ac:dyDescent="0.25">
      <c r="A1272" s="43">
        <v>4101002</v>
      </c>
      <c r="B1272" t="s">
        <v>1498</v>
      </c>
      <c r="C1272" s="43">
        <v>40110</v>
      </c>
      <c r="D1272" t="s">
        <v>3053</v>
      </c>
      <c r="E1272" s="47" t="str">
        <f>+Cuenta_Clasificacion[[#This Row],[Código Cuenta Contable]]&amp;" - "&amp;Cuenta_Clasificacion[[#This Row],[Nombre de Cuenta Contable]]</f>
        <v>4101002 - IVA Proveedores DS-19</v>
      </c>
      <c r="F1272" s="47" t="str">
        <f>+Cuenta_Clasificacion[[#This Row],[Codigo Concepto de imputación]]&amp;" - "&amp;Cuenta_Clasificacion[[#This Row],[Nombre Concepto de imputación]]</f>
        <v>40110 - Técnico Geomensor</v>
      </c>
    </row>
    <row r="1273" spans="1:6" x14ac:dyDescent="0.25">
      <c r="A1273" s="43">
        <v>4101002</v>
      </c>
      <c r="B1273" t="s">
        <v>1498</v>
      </c>
      <c r="C1273" s="43">
        <v>40111</v>
      </c>
      <c r="D1273" t="s">
        <v>3054</v>
      </c>
      <c r="E1273" s="47" t="str">
        <f>+Cuenta_Clasificacion[[#This Row],[Código Cuenta Contable]]&amp;" - "&amp;Cuenta_Clasificacion[[#This Row],[Nombre de Cuenta Contable]]</f>
        <v>4101002 - IVA Proveedores DS-19</v>
      </c>
      <c r="F1273" s="47" t="str">
        <f>+Cuenta_Clasificacion[[#This Row],[Codigo Concepto de imputación]]&amp;" - "&amp;Cuenta_Clasificacion[[#This Row],[Nombre Concepto de imputación]]</f>
        <v>40111 - Trazador</v>
      </c>
    </row>
    <row r="1274" spans="1:6" x14ac:dyDescent="0.25">
      <c r="A1274" s="43">
        <v>4101002</v>
      </c>
      <c r="B1274" t="s">
        <v>1498</v>
      </c>
      <c r="C1274" s="43">
        <v>40112</v>
      </c>
      <c r="D1274" t="s">
        <v>3055</v>
      </c>
      <c r="E1274" s="47" t="str">
        <f>+Cuenta_Clasificacion[[#This Row],[Código Cuenta Contable]]&amp;" - "&amp;Cuenta_Clasificacion[[#This Row],[Nombre de Cuenta Contable]]</f>
        <v>4101002 - IVA Proveedores DS-19</v>
      </c>
      <c r="F1274" s="47" t="str">
        <f>+Cuenta_Clasificacion[[#This Row],[Codigo Concepto de imputación]]&amp;" - "&amp;Cuenta_Clasificacion[[#This Row],[Nombre Concepto de imputación]]</f>
        <v>40112 - Vibradorista</v>
      </c>
    </row>
    <row r="1275" spans="1:6" x14ac:dyDescent="0.25">
      <c r="A1275" s="43">
        <v>4101002</v>
      </c>
      <c r="B1275" t="s">
        <v>1498</v>
      </c>
      <c r="C1275" s="43">
        <v>40113</v>
      </c>
      <c r="D1275" t="s">
        <v>3056</v>
      </c>
      <c r="E1275" s="47" t="str">
        <f>+Cuenta_Clasificacion[[#This Row],[Código Cuenta Contable]]&amp;" - "&amp;Cuenta_Clasificacion[[#This Row],[Nombre de Cuenta Contable]]</f>
        <v>4101002 - IVA Proveedores DS-19</v>
      </c>
      <c r="F1275" s="47" t="str">
        <f>+Cuenta_Clasificacion[[#This Row],[Codigo Concepto de imputación]]&amp;" - "&amp;Cuenta_Clasificacion[[#This Row],[Nombre Concepto de imputación]]</f>
        <v>40113 - Yesero</v>
      </c>
    </row>
    <row r="1276" spans="1:6" x14ac:dyDescent="0.25">
      <c r="A1276" s="43">
        <v>4101002</v>
      </c>
      <c r="B1276" t="s">
        <v>1498</v>
      </c>
      <c r="C1276" s="43">
        <v>40114</v>
      </c>
      <c r="D1276" t="s">
        <v>3057</v>
      </c>
      <c r="E1276" s="47" t="str">
        <f>+Cuenta_Clasificacion[[#This Row],[Código Cuenta Contable]]&amp;" - "&amp;Cuenta_Clasificacion[[#This Row],[Nombre de Cuenta Contable]]</f>
        <v>4101002 - IVA Proveedores DS-19</v>
      </c>
      <c r="F1276" s="47" t="str">
        <f>+Cuenta_Clasificacion[[#This Row],[Codigo Concepto de imputación]]&amp;" - "&amp;Cuenta_Clasificacion[[#This Row],[Nombre Concepto de imputación]]</f>
        <v>40114 - Bodega - Personal</v>
      </c>
    </row>
    <row r="1277" spans="1:6" x14ac:dyDescent="0.25">
      <c r="A1277" s="43">
        <v>4101002</v>
      </c>
      <c r="B1277" t="s">
        <v>1498</v>
      </c>
      <c r="C1277" s="43">
        <v>40115</v>
      </c>
      <c r="D1277" t="s">
        <v>3058</v>
      </c>
      <c r="E1277" s="47" t="str">
        <f>+Cuenta_Clasificacion[[#This Row],[Código Cuenta Contable]]&amp;" - "&amp;Cuenta_Clasificacion[[#This Row],[Nombre de Cuenta Contable]]</f>
        <v>4101002 - IVA Proveedores DS-19</v>
      </c>
      <c r="F1277" s="47" t="str">
        <f>+Cuenta_Clasificacion[[#This Row],[Codigo Concepto de imputación]]&amp;" - "&amp;Cuenta_Clasificacion[[#This Row],[Nombre Concepto de imputación]]</f>
        <v>40115 - Rol Privado</v>
      </c>
    </row>
    <row r="1278" spans="1:6" x14ac:dyDescent="0.25">
      <c r="A1278" s="43">
        <v>4101002</v>
      </c>
      <c r="B1278" t="s">
        <v>1498</v>
      </c>
      <c r="C1278" s="43">
        <v>40116</v>
      </c>
      <c r="D1278" t="s">
        <v>3059</v>
      </c>
      <c r="E1278" s="47" t="str">
        <f>+Cuenta_Clasificacion[[#This Row],[Código Cuenta Contable]]&amp;" - "&amp;Cuenta_Clasificacion[[#This Row],[Nombre de Cuenta Contable]]</f>
        <v>4101002 - IVA Proveedores DS-19</v>
      </c>
      <c r="F1278" s="47" t="str">
        <f>+Cuenta_Clasificacion[[#This Row],[Codigo Concepto de imputación]]&amp;" - "&amp;Cuenta_Clasificacion[[#This Row],[Nombre Concepto de imputación]]</f>
        <v>40116 - Aux. de Aseo y Mantención</v>
      </c>
    </row>
    <row r="1279" spans="1:6" x14ac:dyDescent="0.25">
      <c r="A1279" s="43">
        <v>4101002</v>
      </c>
      <c r="B1279" t="s">
        <v>1498</v>
      </c>
      <c r="C1279" s="43">
        <v>40117</v>
      </c>
      <c r="D1279" t="s">
        <v>3060</v>
      </c>
      <c r="E1279" s="47" t="str">
        <f>+Cuenta_Clasificacion[[#This Row],[Código Cuenta Contable]]&amp;" - "&amp;Cuenta_Clasificacion[[#This Row],[Nombre de Cuenta Contable]]</f>
        <v>4101002 - IVA Proveedores DS-19</v>
      </c>
      <c r="F1279" s="47" t="str">
        <f>+Cuenta_Clasificacion[[#This Row],[Codigo Concepto de imputación]]&amp;" - "&amp;Cuenta_Clasificacion[[#This Row],[Nombre Concepto de imputación]]</f>
        <v>40117 - Topografo</v>
      </c>
    </row>
    <row r="1280" spans="1:6" x14ac:dyDescent="0.25">
      <c r="A1280" s="43">
        <v>4101002</v>
      </c>
      <c r="B1280" t="s">
        <v>1498</v>
      </c>
      <c r="C1280" s="43">
        <v>40118</v>
      </c>
      <c r="D1280" t="s">
        <v>3061</v>
      </c>
      <c r="E1280" s="47" t="str">
        <f>+Cuenta_Clasificacion[[#This Row],[Código Cuenta Contable]]&amp;" - "&amp;Cuenta_Clasificacion[[#This Row],[Nombre de Cuenta Contable]]</f>
        <v>4101002 - IVA Proveedores DS-19</v>
      </c>
      <c r="F1280" s="47" t="str">
        <f>+Cuenta_Clasificacion[[#This Row],[Codigo Concepto de imputación]]&amp;" - "&amp;Cuenta_Clasificacion[[#This Row],[Nombre Concepto de imputación]]</f>
        <v>40118 - Coordinador Post Venta</v>
      </c>
    </row>
    <row r="1281" spans="1:6" x14ac:dyDescent="0.25">
      <c r="A1281" s="43">
        <v>4101002</v>
      </c>
      <c r="B1281" t="s">
        <v>1498</v>
      </c>
      <c r="C1281" s="43">
        <v>40119</v>
      </c>
      <c r="D1281" t="s">
        <v>3062</v>
      </c>
      <c r="E1281" s="47" t="str">
        <f>+Cuenta_Clasificacion[[#This Row],[Código Cuenta Contable]]&amp;" - "&amp;Cuenta_Clasificacion[[#This Row],[Nombre de Cuenta Contable]]</f>
        <v>4101002 - IVA Proveedores DS-19</v>
      </c>
      <c r="F1281" s="47" t="str">
        <f>+Cuenta_Clasificacion[[#This Row],[Codigo Concepto de imputación]]&amp;" - "&amp;Cuenta_Clasificacion[[#This Row],[Nombre Concepto de imputación]]</f>
        <v>40119 - Asistente Post Venta</v>
      </c>
    </row>
    <row r="1282" spans="1:6" x14ac:dyDescent="0.25">
      <c r="A1282" s="43">
        <v>4101002</v>
      </c>
      <c r="B1282" t="s">
        <v>1498</v>
      </c>
      <c r="C1282" s="43">
        <v>40120</v>
      </c>
      <c r="D1282" t="s">
        <v>3063</v>
      </c>
      <c r="E1282" s="47" t="str">
        <f>+Cuenta_Clasificacion[[#This Row],[Código Cuenta Contable]]&amp;" - "&amp;Cuenta_Clasificacion[[#This Row],[Nombre de Cuenta Contable]]</f>
        <v>4101002 - IVA Proveedores DS-19</v>
      </c>
      <c r="F1282" s="47" t="str">
        <f>+Cuenta_Clasificacion[[#This Row],[Codigo Concepto de imputación]]&amp;" - "&amp;Cuenta_Clasificacion[[#This Row],[Nombre Concepto de imputación]]</f>
        <v>40120 - Rigger</v>
      </c>
    </row>
    <row r="1283" spans="1:6" x14ac:dyDescent="0.25">
      <c r="A1283" s="43">
        <v>4101002</v>
      </c>
      <c r="B1283" t="s">
        <v>1498</v>
      </c>
      <c r="C1283" s="43">
        <v>40121</v>
      </c>
      <c r="D1283" t="s">
        <v>3064</v>
      </c>
      <c r="E1283" s="47" t="str">
        <f>+Cuenta_Clasificacion[[#This Row],[Código Cuenta Contable]]&amp;" - "&amp;Cuenta_Clasificacion[[#This Row],[Nombre de Cuenta Contable]]</f>
        <v>4101002 - IVA Proveedores DS-19</v>
      </c>
      <c r="F1283" s="47" t="str">
        <f>+Cuenta_Clasificacion[[#This Row],[Codigo Concepto de imputación]]&amp;" - "&amp;Cuenta_Clasificacion[[#This Row],[Nombre Concepto de imputación]]</f>
        <v>40121 - Carpintero Tabiquero</v>
      </c>
    </row>
    <row r="1284" spans="1:6" x14ac:dyDescent="0.25">
      <c r="A1284" s="43">
        <v>4101002</v>
      </c>
      <c r="B1284" t="s">
        <v>1498</v>
      </c>
      <c r="C1284" s="43">
        <v>40122</v>
      </c>
      <c r="D1284" t="s">
        <v>3065</v>
      </c>
      <c r="E1284" s="47" t="str">
        <f>+Cuenta_Clasificacion[[#This Row],[Código Cuenta Contable]]&amp;" - "&amp;Cuenta_Clasificacion[[#This Row],[Nombre de Cuenta Contable]]</f>
        <v>4101002 - IVA Proveedores DS-19</v>
      </c>
      <c r="F1284" s="47" t="str">
        <f>+Cuenta_Clasificacion[[#This Row],[Codigo Concepto de imputación]]&amp;" - "&amp;Cuenta_Clasificacion[[#This Row],[Nombre Concepto de imputación]]</f>
        <v>40122 - Carpintero Bodega Central</v>
      </c>
    </row>
    <row r="1285" spans="1:6" x14ac:dyDescent="0.25">
      <c r="A1285" s="43">
        <v>4101002</v>
      </c>
      <c r="B1285" t="s">
        <v>1498</v>
      </c>
      <c r="C1285" s="43">
        <v>40123</v>
      </c>
      <c r="D1285" t="s">
        <v>3066</v>
      </c>
      <c r="E1285" s="47" t="str">
        <f>+Cuenta_Clasificacion[[#This Row],[Código Cuenta Contable]]&amp;" - "&amp;Cuenta_Clasificacion[[#This Row],[Nombre de Cuenta Contable]]</f>
        <v>4101002 - IVA Proveedores DS-19</v>
      </c>
      <c r="F1285" s="47" t="str">
        <f>+Cuenta_Clasificacion[[#This Row],[Codigo Concepto de imputación]]&amp;" - "&amp;Cuenta_Clasificacion[[#This Row],[Nombre Concepto de imputación]]</f>
        <v>40123 - Operador de Montacarga</v>
      </c>
    </row>
    <row r="1286" spans="1:6" x14ac:dyDescent="0.25">
      <c r="A1286" s="43">
        <v>4101002</v>
      </c>
      <c r="B1286" t="s">
        <v>1498</v>
      </c>
      <c r="C1286" s="43">
        <v>40124</v>
      </c>
      <c r="D1286" t="s">
        <v>3067</v>
      </c>
      <c r="E1286" s="47" t="str">
        <f>+Cuenta_Clasificacion[[#This Row],[Código Cuenta Contable]]&amp;" - "&amp;Cuenta_Clasificacion[[#This Row],[Nombre de Cuenta Contable]]</f>
        <v>4101002 - IVA Proveedores DS-19</v>
      </c>
      <c r="F1286" s="47" t="str">
        <f>+Cuenta_Clasificacion[[#This Row],[Codigo Concepto de imputación]]&amp;" - "&amp;Cuenta_Clasificacion[[#This Row],[Nombre Concepto de imputación]]</f>
        <v>40124 - Encargado de Patio</v>
      </c>
    </row>
    <row r="1287" spans="1:6" x14ac:dyDescent="0.25">
      <c r="A1287" s="43">
        <v>4101002</v>
      </c>
      <c r="B1287" t="s">
        <v>1498</v>
      </c>
      <c r="C1287" s="43">
        <v>40125</v>
      </c>
      <c r="D1287" t="s">
        <v>3068</v>
      </c>
      <c r="E1287" s="47" t="str">
        <f>+Cuenta_Clasificacion[[#This Row],[Código Cuenta Contable]]&amp;" - "&amp;Cuenta_Clasificacion[[#This Row],[Nombre de Cuenta Contable]]</f>
        <v>4101002 - IVA Proveedores DS-19</v>
      </c>
      <c r="F1287" s="47" t="str">
        <f>+Cuenta_Clasificacion[[#This Row],[Codigo Concepto de imputación]]&amp;" - "&amp;Cuenta_Clasificacion[[#This Row],[Nombre Concepto de imputación]]</f>
        <v>40125 - Canguero</v>
      </c>
    </row>
    <row r="1288" spans="1:6" x14ac:dyDescent="0.25">
      <c r="A1288" s="43">
        <v>4101002</v>
      </c>
      <c r="B1288" t="s">
        <v>1498</v>
      </c>
      <c r="C1288" s="43">
        <v>40126</v>
      </c>
      <c r="D1288" t="s">
        <v>3069</v>
      </c>
      <c r="E1288" s="47" t="str">
        <f>+Cuenta_Clasificacion[[#This Row],[Código Cuenta Contable]]&amp;" - "&amp;Cuenta_Clasificacion[[#This Row],[Nombre de Cuenta Contable]]</f>
        <v>4101002 - IVA Proveedores DS-19</v>
      </c>
      <c r="F1288" s="47" t="str">
        <f>+Cuenta_Clasificacion[[#This Row],[Codigo Concepto de imputación]]&amp;" - "&amp;Cuenta_Clasificacion[[#This Row],[Nombre Concepto de imputación]]</f>
        <v>40126 - Pulidor</v>
      </c>
    </row>
    <row r="1289" spans="1:6" x14ac:dyDescent="0.25">
      <c r="A1289" s="43">
        <v>4101002</v>
      </c>
      <c r="B1289" t="s">
        <v>1498</v>
      </c>
      <c r="C1289" s="43">
        <v>40127</v>
      </c>
      <c r="D1289" t="s">
        <v>3070</v>
      </c>
      <c r="E1289" s="47" t="str">
        <f>+Cuenta_Clasificacion[[#This Row],[Código Cuenta Contable]]&amp;" - "&amp;Cuenta_Clasificacion[[#This Row],[Nombre de Cuenta Contable]]</f>
        <v>4101002 - IVA Proveedores DS-19</v>
      </c>
      <c r="F1289" s="47" t="str">
        <f>+Cuenta_Clasificacion[[#This Row],[Codigo Concepto de imputación]]&amp;" - "&amp;Cuenta_Clasificacion[[#This Row],[Nombre Concepto de imputación]]</f>
        <v>40127 - Chofer - Operador Maq. Doblado</v>
      </c>
    </row>
    <row r="1290" spans="1:6" x14ac:dyDescent="0.25">
      <c r="A1290" s="43">
        <v>4101002</v>
      </c>
      <c r="B1290" t="s">
        <v>1498</v>
      </c>
      <c r="C1290" s="43">
        <v>40128</v>
      </c>
      <c r="D1290" t="s">
        <v>3071</v>
      </c>
      <c r="E1290" s="47" t="str">
        <f>+Cuenta_Clasificacion[[#This Row],[Código Cuenta Contable]]&amp;" - "&amp;Cuenta_Clasificacion[[#This Row],[Nombre de Cuenta Contable]]</f>
        <v>4101002 - IVA Proveedores DS-19</v>
      </c>
      <c r="F1290" s="47" t="str">
        <f>+Cuenta_Clasificacion[[#This Row],[Codigo Concepto de imputación]]&amp;" - "&amp;Cuenta_Clasificacion[[#This Row],[Nombre Concepto de imputación]]</f>
        <v>40128 - Supervisor de Pagos a Subcontratos</v>
      </c>
    </row>
    <row r="1291" spans="1:6" x14ac:dyDescent="0.25">
      <c r="A1291" s="43">
        <v>4101002</v>
      </c>
      <c r="B1291" t="s">
        <v>1498</v>
      </c>
      <c r="C1291" s="43">
        <v>40129</v>
      </c>
      <c r="D1291" t="s">
        <v>3072</v>
      </c>
      <c r="E1291" s="47" t="str">
        <f>+Cuenta_Clasificacion[[#This Row],[Código Cuenta Contable]]&amp;" - "&amp;Cuenta_Clasificacion[[#This Row],[Nombre de Cuenta Contable]]</f>
        <v>4101002 - IVA Proveedores DS-19</v>
      </c>
      <c r="F1291" s="47" t="str">
        <f>+Cuenta_Clasificacion[[#This Row],[Codigo Concepto de imputación]]&amp;" - "&amp;Cuenta_Clasificacion[[#This Row],[Nombre Concepto de imputación]]</f>
        <v>40129 - Supervisor de Administración en Terreno</v>
      </c>
    </row>
    <row r="1292" spans="1:6" x14ac:dyDescent="0.25">
      <c r="A1292" s="43">
        <v>4101002</v>
      </c>
      <c r="B1292" t="s">
        <v>1498</v>
      </c>
      <c r="C1292" s="43">
        <v>40130</v>
      </c>
      <c r="D1292" t="s">
        <v>3073</v>
      </c>
      <c r="E1292" s="47" t="str">
        <f>+Cuenta_Clasificacion[[#This Row],[Código Cuenta Contable]]&amp;" - "&amp;Cuenta_Clasificacion[[#This Row],[Nombre de Cuenta Contable]]</f>
        <v>4101002 - IVA Proveedores DS-19</v>
      </c>
      <c r="F1292" s="47" t="str">
        <f>+Cuenta_Clasificacion[[#This Row],[Codigo Concepto de imputación]]&amp;" - "&amp;Cuenta_Clasificacion[[#This Row],[Nombre Concepto de imputación]]</f>
        <v>40130 - Ejecutivo de Caja Chica y Fondos al Personal</v>
      </c>
    </row>
    <row r="1293" spans="1:6" x14ac:dyDescent="0.25">
      <c r="A1293" s="43">
        <v>4101002</v>
      </c>
      <c r="B1293" t="s">
        <v>1498</v>
      </c>
      <c r="C1293" s="43">
        <v>40131</v>
      </c>
      <c r="D1293" t="s">
        <v>3074</v>
      </c>
      <c r="E1293" s="47" t="str">
        <f>+Cuenta_Clasificacion[[#This Row],[Código Cuenta Contable]]&amp;" - "&amp;Cuenta_Clasificacion[[#This Row],[Nombre de Cuenta Contable]]</f>
        <v>4101002 - IVA Proveedores DS-19</v>
      </c>
      <c r="F1293" s="47" t="str">
        <f>+Cuenta_Clasificacion[[#This Row],[Codigo Concepto de imputación]]&amp;" - "&amp;Cuenta_Clasificacion[[#This Row],[Nombre Concepto de imputación]]</f>
        <v>40131 - Auxiliar de Aseo y Mantención Inmobiliaria</v>
      </c>
    </row>
    <row r="1294" spans="1:6" x14ac:dyDescent="0.25">
      <c r="A1294" s="43">
        <v>4101002</v>
      </c>
      <c r="B1294" t="s">
        <v>1498</v>
      </c>
      <c r="C1294" s="43">
        <v>40132</v>
      </c>
      <c r="D1294" t="s">
        <v>3075</v>
      </c>
      <c r="E1294" s="47" t="str">
        <f>+Cuenta_Clasificacion[[#This Row],[Código Cuenta Contable]]&amp;" - "&amp;Cuenta_Clasificacion[[#This Row],[Nombre de Cuenta Contable]]</f>
        <v>4101002 - IVA Proveedores DS-19</v>
      </c>
      <c r="F1294" s="47" t="str">
        <f>+Cuenta_Clasificacion[[#This Row],[Codigo Concepto de imputación]]&amp;" - "&amp;Cuenta_Clasificacion[[#This Row],[Nombre Concepto de imputación]]</f>
        <v>40132 - Pilotera y mantención</v>
      </c>
    </row>
    <row r="1295" spans="1:6" x14ac:dyDescent="0.25">
      <c r="A1295" s="43">
        <v>4101002</v>
      </c>
      <c r="B1295" t="s">
        <v>1498</v>
      </c>
      <c r="C1295" s="43">
        <v>40133</v>
      </c>
      <c r="D1295" t="s">
        <v>3076</v>
      </c>
      <c r="E1295" s="47" t="str">
        <f>+Cuenta_Clasificacion[[#This Row],[Código Cuenta Contable]]&amp;" - "&amp;Cuenta_Clasificacion[[#This Row],[Nombre de Cuenta Contable]]</f>
        <v>4101002 - IVA Proveedores DS-19</v>
      </c>
      <c r="F1295" s="47" t="str">
        <f>+Cuenta_Clasificacion[[#This Row],[Codigo Concepto de imputación]]&amp;" - "&amp;Cuenta_Clasificacion[[#This Row],[Nombre Concepto de imputación]]</f>
        <v>40133 - Administrativo Zonal de clientes</v>
      </c>
    </row>
    <row r="1296" spans="1:6" x14ac:dyDescent="0.25">
      <c r="A1296" s="43">
        <v>4101002</v>
      </c>
      <c r="B1296" t="s">
        <v>1498</v>
      </c>
      <c r="C1296" s="43">
        <v>40134</v>
      </c>
      <c r="D1296" t="s">
        <v>3077</v>
      </c>
      <c r="E1296" s="47" t="str">
        <f>+Cuenta_Clasificacion[[#This Row],[Código Cuenta Contable]]&amp;" - "&amp;Cuenta_Clasificacion[[#This Row],[Nombre de Cuenta Contable]]</f>
        <v>4101002 - IVA Proveedores DS-19</v>
      </c>
      <c r="F1296" s="47" t="str">
        <f>+Cuenta_Clasificacion[[#This Row],[Codigo Concepto de imputación]]&amp;" - "&amp;Cuenta_Clasificacion[[#This Row],[Nombre Concepto de imputación]]</f>
        <v xml:space="preserve">40134 - Maestro Enfierrador         </v>
      </c>
    </row>
    <row r="1297" spans="1:6" x14ac:dyDescent="0.25">
      <c r="A1297" s="43">
        <v>4101002</v>
      </c>
      <c r="B1297" t="s">
        <v>1498</v>
      </c>
      <c r="C1297" s="43">
        <v>40135</v>
      </c>
      <c r="D1297" t="s">
        <v>3078</v>
      </c>
      <c r="E1297" s="47" t="str">
        <f>+Cuenta_Clasificacion[[#This Row],[Código Cuenta Contable]]&amp;" - "&amp;Cuenta_Clasificacion[[#This Row],[Nombre de Cuenta Contable]]</f>
        <v>4101002 - IVA Proveedores DS-19</v>
      </c>
      <c r="F1297" s="47" t="str">
        <f>+Cuenta_Clasificacion[[#This Row],[Codigo Concepto de imputación]]&amp;" - "&amp;Cuenta_Clasificacion[[#This Row],[Nombre Concepto de imputación]]</f>
        <v>40135 - Jornal Llavero y Entrega</v>
      </c>
    </row>
    <row r="1298" spans="1:6" x14ac:dyDescent="0.25">
      <c r="A1298" s="43">
        <v>4101002</v>
      </c>
      <c r="B1298" t="s">
        <v>1498</v>
      </c>
      <c r="C1298" s="43">
        <v>40142</v>
      </c>
      <c r="D1298" t="s">
        <v>3079</v>
      </c>
      <c r="E1298" s="47" t="str">
        <f>+Cuenta_Clasificacion[[#This Row],[Código Cuenta Contable]]&amp;" - "&amp;Cuenta_Clasificacion[[#This Row],[Nombre de Cuenta Contable]]</f>
        <v>4101002 - IVA Proveedores DS-19</v>
      </c>
      <c r="F1298" s="47" t="str">
        <f>+Cuenta_Clasificacion[[#This Row],[Codigo Concepto de imputación]]&amp;" - "&amp;Cuenta_Clasificacion[[#This Row],[Nombre Concepto de imputación]]</f>
        <v>40142 - Encargado de Mantención línea de Izaje</v>
      </c>
    </row>
    <row r="1299" spans="1:6" x14ac:dyDescent="0.25">
      <c r="A1299" s="43">
        <v>4101002</v>
      </c>
      <c r="B1299" t="s">
        <v>1498</v>
      </c>
      <c r="C1299" s="43">
        <v>40143</v>
      </c>
      <c r="D1299" t="s">
        <v>3080</v>
      </c>
      <c r="E1299" s="47" t="str">
        <f>+Cuenta_Clasificacion[[#This Row],[Código Cuenta Contable]]&amp;" - "&amp;Cuenta_Clasificacion[[#This Row],[Nombre de Cuenta Contable]]</f>
        <v>4101002 - IVA Proveedores DS-19</v>
      </c>
      <c r="F1299" s="47" t="str">
        <f>+Cuenta_Clasificacion[[#This Row],[Codigo Concepto de imputación]]&amp;" - "&amp;Cuenta_Clasificacion[[#This Row],[Nombre Concepto de imputación]]</f>
        <v>40143 - Encargado de Montajes</v>
      </c>
    </row>
    <row r="1300" spans="1:6" x14ac:dyDescent="0.25">
      <c r="A1300" s="43">
        <v>4101002</v>
      </c>
      <c r="B1300" t="s">
        <v>1498</v>
      </c>
      <c r="C1300" s="43">
        <v>40144</v>
      </c>
      <c r="D1300" t="s">
        <v>3081</v>
      </c>
      <c r="E1300" s="47" t="str">
        <f>+Cuenta_Clasificacion[[#This Row],[Código Cuenta Contable]]&amp;" - "&amp;Cuenta_Clasificacion[[#This Row],[Nombre de Cuenta Contable]]</f>
        <v>4101002 - IVA Proveedores DS-19</v>
      </c>
      <c r="F1300" s="47" t="str">
        <f>+Cuenta_Clasificacion[[#This Row],[Codigo Concepto de imputación]]&amp;" - "&amp;Cuenta_Clasificacion[[#This Row],[Nombre Concepto de imputación]]</f>
        <v xml:space="preserve">40144 - Operador de Planta de Hormigón </v>
      </c>
    </row>
    <row r="1301" spans="1:6" x14ac:dyDescent="0.25">
      <c r="A1301" s="43">
        <v>4101002</v>
      </c>
      <c r="B1301" t="s">
        <v>1498</v>
      </c>
      <c r="C1301" s="43">
        <v>40500</v>
      </c>
      <c r="D1301" t="s">
        <v>2943</v>
      </c>
      <c r="E1301" s="47" t="str">
        <f>+Cuenta_Clasificacion[[#This Row],[Código Cuenta Contable]]&amp;" - "&amp;Cuenta_Clasificacion[[#This Row],[Nombre de Cuenta Contable]]</f>
        <v>4101002 - IVA Proveedores DS-19</v>
      </c>
      <c r="F1301" s="47" t="str">
        <f>+Cuenta_Clasificacion[[#This Row],[Codigo Concepto de imputación]]&amp;" - "&amp;Cuenta_Clasificacion[[#This Row],[Nombre Concepto de imputación]]</f>
        <v>40500 - Distribución</v>
      </c>
    </row>
    <row r="1302" spans="1:6" x14ac:dyDescent="0.25">
      <c r="A1302" s="43">
        <v>4101002</v>
      </c>
      <c r="B1302" t="s">
        <v>1498</v>
      </c>
      <c r="C1302" s="43">
        <v>50001</v>
      </c>
      <c r="D1302" t="s">
        <v>2941</v>
      </c>
      <c r="E1302" s="47" t="str">
        <f>+Cuenta_Clasificacion[[#This Row],[Código Cuenta Contable]]&amp;" - "&amp;Cuenta_Clasificacion[[#This Row],[Nombre de Cuenta Contable]]</f>
        <v>4101002 - IVA Proveedores DS-19</v>
      </c>
      <c r="F1302" s="47" t="str">
        <f>+Cuenta_Clasificacion[[#This Row],[Codigo Concepto de imputación]]&amp;" - "&amp;Cuenta_Clasificacion[[#This Row],[Nombre Concepto de imputación]]</f>
        <v>50001 - Bodega - Consumo Básico</v>
      </c>
    </row>
    <row r="1303" spans="1:6" x14ac:dyDescent="0.25">
      <c r="A1303" s="43">
        <v>4101002</v>
      </c>
      <c r="B1303" t="s">
        <v>1498</v>
      </c>
      <c r="C1303" s="43">
        <v>50002</v>
      </c>
      <c r="D1303" t="s">
        <v>3082</v>
      </c>
      <c r="E1303" s="47" t="str">
        <f>+Cuenta_Clasificacion[[#This Row],[Código Cuenta Contable]]&amp;" - "&amp;Cuenta_Clasificacion[[#This Row],[Nombre de Cuenta Contable]]</f>
        <v>4101002 - IVA Proveedores DS-19</v>
      </c>
      <c r="F1303" s="47" t="str">
        <f>+Cuenta_Clasificacion[[#This Row],[Codigo Concepto de imputación]]&amp;" - "&amp;Cuenta_Clasificacion[[#This Row],[Nombre Concepto de imputación]]</f>
        <v>50002 - Bodega - Materiales Oficina</v>
      </c>
    </row>
    <row r="1304" spans="1:6" x14ac:dyDescent="0.25">
      <c r="A1304" s="43">
        <v>4101002</v>
      </c>
      <c r="B1304" t="s">
        <v>1498</v>
      </c>
      <c r="C1304" s="43">
        <v>50003</v>
      </c>
      <c r="D1304" t="s">
        <v>3083</v>
      </c>
      <c r="E1304" s="47" t="str">
        <f>+Cuenta_Clasificacion[[#This Row],[Código Cuenta Contable]]&amp;" - "&amp;Cuenta_Clasificacion[[#This Row],[Nombre de Cuenta Contable]]</f>
        <v>4101002 - IVA Proveedores DS-19</v>
      </c>
      <c r="F1304" s="47" t="str">
        <f>+Cuenta_Clasificacion[[#This Row],[Codigo Concepto de imputación]]&amp;" - "&amp;Cuenta_Clasificacion[[#This Row],[Nombre Concepto de imputación]]</f>
        <v>50003 - Bodega - Seguros y Garantías</v>
      </c>
    </row>
    <row r="1305" spans="1:6" x14ac:dyDescent="0.25">
      <c r="A1305" s="43">
        <v>4101002</v>
      </c>
      <c r="B1305" t="s">
        <v>1498</v>
      </c>
      <c r="C1305" s="43">
        <v>50004</v>
      </c>
      <c r="D1305" t="s">
        <v>3084</v>
      </c>
      <c r="E1305" s="47" t="str">
        <f>+Cuenta_Clasificacion[[#This Row],[Código Cuenta Contable]]&amp;" - "&amp;Cuenta_Clasificacion[[#This Row],[Nombre de Cuenta Contable]]</f>
        <v>4101002 - IVA Proveedores DS-19</v>
      </c>
      <c r="F1305" s="47" t="str">
        <f>+Cuenta_Clasificacion[[#This Row],[Codigo Concepto de imputación]]&amp;" - "&amp;Cuenta_Clasificacion[[#This Row],[Nombre Concepto de imputación]]</f>
        <v>50004 - Bodega - Gastos Menores</v>
      </c>
    </row>
    <row r="1306" spans="1:6" x14ac:dyDescent="0.25">
      <c r="A1306" s="43">
        <v>4101002</v>
      </c>
      <c r="B1306" t="s">
        <v>1498</v>
      </c>
      <c r="C1306" s="43">
        <v>50005</v>
      </c>
      <c r="D1306" t="s">
        <v>3085</v>
      </c>
      <c r="E1306" s="47" t="str">
        <f>+Cuenta_Clasificacion[[#This Row],[Código Cuenta Contable]]&amp;" - "&amp;Cuenta_Clasificacion[[#This Row],[Nombre de Cuenta Contable]]</f>
        <v>4101002 - IVA Proveedores DS-19</v>
      </c>
      <c r="F1306" s="47" t="str">
        <f>+Cuenta_Clasificacion[[#This Row],[Codigo Concepto de imputación]]&amp;" - "&amp;Cuenta_Clasificacion[[#This Row],[Nombre Concepto de imputación]]</f>
        <v>50005 - Bodega - Otros Gastos</v>
      </c>
    </row>
    <row r="1307" spans="1:6" x14ac:dyDescent="0.25">
      <c r="A1307" s="43">
        <v>4101002</v>
      </c>
      <c r="B1307" t="s">
        <v>1498</v>
      </c>
      <c r="C1307" s="43">
        <v>50006</v>
      </c>
      <c r="D1307" t="s">
        <v>3086</v>
      </c>
      <c r="E1307" s="47" t="str">
        <f>+Cuenta_Clasificacion[[#This Row],[Código Cuenta Contable]]&amp;" - "&amp;Cuenta_Clasificacion[[#This Row],[Nombre de Cuenta Contable]]</f>
        <v>4101002 - IVA Proveedores DS-19</v>
      </c>
      <c r="F1307" s="47" t="str">
        <f>+Cuenta_Clasificacion[[#This Row],[Codigo Concepto de imputación]]&amp;" - "&amp;Cuenta_Clasificacion[[#This Row],[Nombre Concepto de imputación]]</f>
        <v>50006 - Bodega - Imprenta</v>
      </c>
    </row>
    <row r="1308" spans="1:6" x14ac:dyDescent="0.25">
      <c r="A1308" s="43">
        <v>4101002</v>
      </c>
      <c r="B1308" t="s">
        <v>1498</v>
      </c>
      <c r="C1308" s="43">
        <v>50007</v>
      </c>
      <c r="D1308" t="s">
        <v>3087</v>
      </c>
      <c r="E1308" s="47" t="str">
        <f>+Cuenta_Clasificacion[[#This Row],[Código Cuenta Contable]]&amp;" - "&amp;Cuenta_Clasificacion[[#This Row],[Nombre de Cuenta Contable]]</f>
        <v>4101002 - IVA Proveedores DS-19</v>
      </c>
      <c r="F1308" s="47" t="str">
        <f>+Cuenta_Clasificacion[[#This Row],[Codigo Concepto de imputación]]&amp;" - "&amp;Cuenta_Clasificacion[[#This Row],[Nombre Concepto de imputación]]</f>
        <v>50007 - Bodega - Diseño y Publicidad</v>
      </c>
    </row>
    <row r="1309" spans="1:6" x14ac:dyDescent="0.25">
      <c r="A1309" s="43">
        <v>4101002</v>
      </c>
      <c r="B1309" t="s">
        <v>1498</v>
      </c>
      <c r="C1309" s="43">
        <v>50008</v>
      </c>
      <c r="D1309" t="s">
        <v>2897</v>
      </c>
      <c r="E1309" s="47" t="str">
        <f>+Cuenta_Clasificacion[[#This Row],[Código Cuenta Contable]]&amp;" - "&amp;Cuenta_Clasificacion[[#This Row],[Nombre de Cuenta Contable]]</f>
        <v>4101002 - IVA Proveedores DS-19</v>
      </c>
      <c r="F1309" s="47" t="str">
        <f>+Cuenta_Clasificacion[[#This Row],[Codigo Concepto de imputación]]&amp;" - "&amp;Cuenta_Clasificacion[[#This Row],[Nombre Concepto de imputación]]</f>
        <v>50008 - Alimentos</v>
      </c>
    </row>
    <row r="1310" spans="1:6" x14ac:dyDescent="0.25">
      <c r="A1310" s="43">
        <v>4101002</v>
      </c>
      <c r="B1310" t="s">
        <v>1498</v>
      </c>
      <c r="C1310" s="43">
        <v>50009</v>
      </c>
      <c r="D1310" t="s">
        <v>2898</v>
      </c>
      <c r="E1310" s="47" t="str">
        <f>+Cuenta_Clasificacion[[#This Row],[Código Cuenta Contable]]&amp;" - "&amp;Cuenta_Clasificacion[[#This Row],[Nombre de Cuenta Contable]]</f>
        <v>4101002 - IVA Proveedores DS-19</v>
      </c>
      <c r="F1310" s="47" t="str">
        <f>+Cuenta_Clasificacion[[#This Row],[Codigo Concepto de imputación]]&amp;" - "&amp;Cuenta_Clasificacion[[#This Row],[Nombre Concepto de imputación]]</f>
        <v>50009 - Aseo y Cocina</v>
      </c>
    </row>
    <row r="1311" spans="1:6" x14ac:dyDescent="0.25">
      <c r="A1311" s="43">
        <v>4101002</v>
      </c>
      <c r="B1311" t="s">
        <v>1498</v>
      </c>
      <c r="C1311" s="43">
        <v>50010</v>
      </c>
      <c r="D1311" t="s">
        <v>2899</v>
      </c>
      <c r="E1311" s="47" t="str">
        <f>+Cuenta_Clasificacion[[#This Row],[Código Cuenta Contable]]&amp;" - "&amp;Cuenta_Clasificacion[[#This Row],[Nombre de Cuenta Contable]]</f>
        <v>4101002 - IVA Proveedores DS-19</v>
      </c>
      <c r="F1311" s="47" t="str">
        <f>+Cuenta_Clasificacion[[#This Row],[Codigo Concepto de imputación]]&amp;" - "&amp;Cuenta_Clasificacion[[#This Row],[Nombre Concepto de imputación]]</f>
        <v>50010 - Buses y Radiotaxi</v>
      </c>
    </row>
    <row r="1312" spans="1:6" x14ac:dyDescent="0.25">
      <c r="A1312" s="43">
        <v>4101002</v>
      </c>
      <c r="B1312" t="s">
        <v>1498</v>
      </c>
      <c r="C1312" s="43">
        <v>50011</v>
      </c>
      <c r="D1312" t="s">
        <v>2900</v>
      </c>
      <c r="E1312" s="47" t="str">
        <f>+Cuenta_Clasificacion[[#This Row],[Código Cuenta Contable]]&amp;" - "&amp;Cuenta_Clasificacion[[#This Row],[Nombre de Cuenta Contable]]</f>
        <v>4101002 - IVA Proveedores DS-19</v>
      </c>
      <c r="F1312" s="47" t="str">
        <f>+Cuenta_Clasificacion[[#This Row],[Codigo Concepto de imputación]]&amp;" - "&amp;Cuenta_Clasificacion[[#This Row],[Nombre Concepto de imputación]]</f>
        <v>50011 - Capacitación</v>
      </c>
    </row>
    <row r="1313" spans="1:6" x14ac:dyDescent="0.25">
      <c r="A1313" s="43">
        <v>4101002</v>
      </c>
      <c r="B1313" t="s">
        <v>1498</v>
      </c>
      <c r="C1313" s="43">
        <v>50012</v>
      </c>
      <c r="D1313" t="s">
        <v>2901</v>
      </c>
      <c r="E1313" s="47" t="str">
        <f>+Cuenta_Clasificacion[[#This Row],[Código Cuenta Contable]]&amp;" - "&amp;Cuenta_Clasificacion[[#This Row],[Nombre de Cuenta Contable]]</f>
        <v>4101002 - IVA Proveedores DS-19</v>
      </c>
      <c r="F1313" s="47" t="str">
        <f>+Cuenta_Clasificacion[[#This Row],[Codigo Concepto de imputación]]&amp;" - "&amp;Cuenta_Clasificacion[[#This Row],[Nombre Concepto de imputación]]</f>
        <v>50012 - Honorarios y Asesorías</v>
      </c>
    </row>
    <row r="1314" spans="1:6" x14ac:dyDescent="0.25">
      <c r="A1314" s="43">
        <v>4101002</v>
      </c>
      <c r="B1314" t="s">
        <v>1498</v>
      </c>
      <c r="C1314" s="43">
        <v>50013</v>
      </c>
      <c r="D1314" t="s">
        <v>2902</v>
      </c>
      <c r="E1314" s="47" t="str">
        <f>+Cuenta_Clasificacion[[#This Row],[Código Cuenta Contable]]&amp;" - "&amp;Cuenta_Clasificacion[[#This Row],[Nombre de Cuenta Contable]]</f>
        <v>4101002 - IVA Proveedores DS-19</v>
      </c>
      <c r="F1314" s="47" t="str">
        <f>+Cuenta_Clasificacion[[#This Row],[Codigo Concepto de imputación]]&amp;" - "&amp;Cuenta_Clasificacion[[#This Row],[Nombre Concepto de imputación]]</f>
        <v>50013 - Seguros</v>
      </c>
    </row>
    <row r="1315" spans="1:6" x14ac:dyDescent="0.25">
      <c r="A1315" s="43">
        <v>4101002</v>
      </c>
      <c r="B1315" t="s">
        <v>1498</v>
      </c>
      <c r="C1315" s="43">
        <v>50014</v>
      </c>
      <c r="D1315" t="s">
        <v>2903</v>
      </c>
      <c r="E1315" s="47" t="str">
        <f>+Cuenta_Clasificacion[[#This Row],[Código Cuenta Contable]]&amp;" - "&amp;Cuenta_Clasificacion[[#This Row],[Nombre de Cuenta Contable]]</f>
        <v>4101002 - IVA Proveedores DS-19</v>
      </c>
      <c r="F1315" s="47" t="str">
        <f>+Cuenta_Clasificacion[[#This Row],[Codigo Concepto de imputación]]&amp;" - "&amp;Cuenta_Clasificacion[[#This Row],[Nombre Concepto de imputación]]</f>
        <v>50014 - Tramitaciones</v>
      </c>
    </row>
    <row r="1316" spans="1:6" x14ac:dyDescent="0.25">
      <c r="A1316" s="43">
        <v>4101002</v>
      </c>
      <c r="B1316" t="s">
        <v>1498</v>
      </c>
      <c r="C1316" s="43">
        <v>50015</v>
      </c>
      <c r="D1316" t="s">
        <v>2904</v>
      </c>
      <c r="E1316" s="47" t="str">
        <f>+Cuenta_Clasificacion[[#This Row],[Código Cuenta Contable]]&amp;" - "&amp;Cuenta_Clasificacion[[#This Row],[Nombre de Cuenta Contable]]</f>
        <v>4101002 - IVA Proveedores DS-19</v>
      </c>
      <c r="F1316" s="47" t="str">
        <f>+Cuenta_Clasificacion[[#This Row],[Codigo Concepto de imputación]]&amp;" - "&amp;Cuenta_Clasificacion[[#This Row],[Nombre Concepto de imputación]]</f>
        <v>50015 - Transporte</v>
      </c>
    </row>
    <row r="1317" spans="1:6" x14ac:dyDescent="0.25">
      <c r="A1317" s="43">
        <v>4101002</v>
      </c>
      <c r="B1317" t="s">
        <v>1498</v>
      </c>
      <c r="C1317" s="43">
        <v>50016</v>
      </c>
      <c r="D1317" t="s">
        <v>2905</v>
      </c>
      <c r="E1317" s="47" t="str">
        <f>+Cuenta_Clasificacion[[#This Row],[Código Cuenta Contable]]&amp;" - "&amp;Cuenta_Clasificacion[[#This Row],[Nombre de Cuenta Contable]]</f>
        <v>4101002 - IVA Proveedores DS-19</v>
      </c>
      <c r="F1317" s="47" t="str">
        <f>+Cuenta_Clasificacion[[#This Row],[Codigo Concepto de imputación]]&amp;" - "&amp;Cuenta_Clasificacion[[#This Row],[Nombre Concepto de imputación]]</f>
        <v>50016 - Útiles Oficina</v>
      </c>
    </row>
    <row r="1318" spans="1:6" x14ac:dyDescent="0.25">
      <c r="A1318" s="43">
        <v>4101002</v>
      </c>
      <c r="B1318" t="s">
        <v>1498</v>
      </c>
      <c r="C1318" s="43">
        <v>50017</v>
      </c>
      <c r="D1318" t="s">
        <v>2906</v>
      </c>
      <c r="E1318" s="47" t="str">
        <f>+Cuenta_Clasificacion[[#This Row],[Código Cuenta Contable]]&amp;" - "&amp;Cuenta_Clasificacion[[#This Row],[Nombre de Cuenta Contable]]</f>
        <v>4101002 - IVA Proveedores DS-19</v>
      </c>
      <c r="F1318" s="47" t="str">
        <f>+Cuenta_Clasificacion[[#This Row],[Codigo Concepto de imputación]]&amp;" - "&amp;Cuenta_Clasificacion[[#This Row],[Nombre Concepto de imputación]]</f>
        <v>50017 - Consumos Básicos</v>
      </c>
    </row>
    <row r="1319" spans="1:6" x14ac:dyDescent="0.25">
      <c r="A1319" s="43">
        <v>4101002</v>
      </c>
      <c r="B1319" t="s">
        <v>1498</v>
      </c>
      <c r="C1319" s="43">
        <v>50018</v>
      </c>
      <c r="D1319" t="s">
        <v>3088</v>
      </c>
      <c r="E1319" s="47" t="str">
        <f>+Cuenta_Clasificacion[[#This Row],[Código Cuenta Contable]]&amp;" - "&amp;Cuenta_Clasificacion[[#This Row],[Nombre de Cuenta Contable]]</f>
        <v>4101002 - IVA Proveedores DS-19</v>
      </c>
      <c r="F1319" s="47" t="str">
        <f>+Cuenta_Clasificacion[[#This Row],[Codigo Concepto de imputación]]&amp;" - "&amp;Cuenta_Clasificacion[[#This Row],[Nombre Concepto de imputación]]</f>
        <v>50018 - Consumos Telefónicos</v>
      </c>
    </row>
    <row r="1320" spans="1:6" x14ac:dyDescent="0.25">
      <c r="A1320" s="43">
        <v>4101002</v>
      </c>
      <c r="B1320" t="s">
        <v>1498</v>
      </c>
      <c r="C1320" s="43">
        <v>50019</v>
      </c>
      <c r="D1320" t="s">
        <v>1638</v>
      </c>
      <c r="E1320" s="47" t="str">
        <f>+Cuenta_Clasificacion[[#This Row],[Código Cuenta Contable]]&amp;" - "&amp;Cuenta_Clasificacion[[#This Row],[Nombre de Cuenta Contable]]</f>
        <v>4101002 - IVA Proveedores DS-19</v>
      </c>
      <c r="F1320" s="47" t="str">
        <f>+Cuenta_Clasificacion[[#This Row],[Codigo Concepto de imputación]]&amp;" - "&amp;Cuenta_Clasificacion[[#This Row],[Nombre Concepto de imputación]]</f>
        <v>50019 - Gastos Municipales</v>
      </c>
    </row>
    <row r="1321" spans="1:6" x14ac:dyDescent="0.25">
      <c r="A1321" s="43">
        <v>4101002</v>
      </c>
      <c r="B1321" t="s">
        <v>1498</v>
      </c>
      <c r="C1321" s="43">
        <v>50020</v>
      </c>
      <c r="D1321" t="s">
        <v>3089</v>
      </c>
      <c r="E1321" s="47" t="str">
        <f>+Cuenta_Clasificacion[[#This Row],[Código Cuenta Contable]]&amp;" - "&amp;Cuenta_Clasificacion[[#This Row],[Nombre de Cuenta Contable]]</f>
        <v>4101002 - IVA Proveedores DS-19</v>
      </c>
      <c r="F1321" s="47" t="str">
        <f>+Cuenta_Clasificacion[[#This Row],[Codigo Concepto de imputación]]&amp;" - "&amp;Cuenta_Clasificacion[[#This Row],[Nombre Concepto de imputación]]</f>
        <v>50020 - Gastos Notariales</v>
      </c>
    </row>
    <row r="1322" spans="1:6" x14ac:dyDescent="0.25">
      <c r="A1322" s="43">
        <v>4101002</v>
      </c>
      <c r="B1322" t="s">
        <v>1498</v>
      </c>
      <c r="C1322" s="43">
        <v>50021</v>
      </c>
      <c r="D1322" t="s">
        <v>2907</v>
      </c>
      <c r="E1322" s="47" t="str">
        <f>+Cuenta_Clasificacion[[#This Row],[Código Cuenta Contable]]&amp;" - "&amp;Cuenta_Clasificacion[[#This Row],[Nombre de Cuenta Contable]]</f>
        <v>4101002 - IVA Proveedores DS-19</v>
      </c>
      <c r="F1322" s="47" t="str">
        <f>+Cuenta_Clasificacion[[#This Row],[Codigo Concepto de imputación]]&amp;" - "&amp;Cuenta_Clasificacion[[#This Row],[Nombre Concepto de imputación]]</f>
        <v>50021 - Consumos de Obra</v>
      </c>
    </row>
    <row r="1323" spans="1:6" x14ac:dyDescent="0.25">
      <c r="A1323" s="43">
        <v>4101002</v>
      </c>
      <c r="B1323" t="s">
        <v>1498</v>
      </c>
      <c r="C1323" s="43">
        <v>50022</v>
      </c>
      <c r="D1323" t="s">
        <v>3090</v>
      </c>
      <c r="E1323" s="47" t="str">
        <f>+Cuenta_Clasificacion[[#This Row],[Código Cuenta Contable]]&amp;" - "&amp;Cuenta_Clasificacion[[#This Row],[Nombre de Cuenta Contable]]</f>
        <v>4101002 - IVA Proveedores DS-19</v>
      </c>
      <c r="F1323" s="47" t="str">
        <f>+Cuenta_Clasificacion[[#This Row],[Codigo Concepto de imputación]]&amp;" - "&amp;Cuenta_Clasificacion[[#This Row],[Nombre Concepto de imputación]]</f>
        <v>50022 - Gastos Viajes y Traslados</v>
      </c>
    </row>
    <row r="1324" spans="1:6" x14ac:dyDescent="0.25">
      <c r="A1324" s="43">
        <v>4101002</v>
      </c>
      <c r="B1324" t="s">
        <v>1498</v>
      </c>
      <c r="C1324" s="43">
        <v>50023</v>
      </c>
      <c r="D1324" t="s">
        <v>2908</v>
      </c>
      <c r="E1324" s="47" t="str">
        <f>+Cuenta_Clasificacion[[#This Row],[Código Cuenta Contable]]&amp;" - "&amp;Cuenta_Clasificacion[[#This Row],[Nombre de Cuenta Contable]]</f>
        <v>4101002 - IVA Proveedores DS-19</v>
      </c>
      <c r="F1324" s="47" t="str">
        <f>+Cuenta_Clasificacion[[#This Row],[Codigo Concepto de imputación]]&amp;" - "&amp;Cuenta_Clasificacion[[#This Row],[Nombre Concepto de imputación]]</f>
        <v>50023 - Pasajes, Hotel y Otros GG</v>
      </c>
    </row>
    <row r="1325" spans="1:6" x14ac:dyDescent="0.25">
      <c r="A1325" s="43">
        <v>4101002</v>
      </c>
      <c r="B1325" t="s">
        <v>1498</v>
      </c>
      <c r="C1325" s="43">
        <v>50024</v>
      </c>
      <c r="D1325" t="s">
        <v>2729</v>
      </c>
      <c r="E1325" s="47" t="str">
        <f>+Cuenta_Clasificacion[[#This Row],[Código Cuenta Contable]]&amp;" - "&amp;Cuenta_Clasificacion[[#This Row],[Nombre de Cuenta Contable]]</f>
        <v>4101002 - IVA Proveedores DS-19</v>
      </c>
      <c r="F1325" s="47" t="str">
        <f>+Cuenta_Clasificacion[[#This Row],[Codigo Concepto de imputación]]&amp;" - "&amp;Cuenta_Clasificacion[[#This Row],[Nombre Concepto de imputación]]</f>
        <v>50024 - Combustibles</v>
      </c>
    </row>
    <row r="1326" spans="1:6" x14ac:dyDescent="0.25">
      <c r="A1326" s="43">
        <v>4101002</v>
      </c>
      <c r="B1326" t="s">
        <v>1498</v>
      </c>
      <c r="C1326" s="43">
        <v>50025</v>
      </c>
      <c r="D1326" t="s">
        <v>3091</v>
      </c>
      <c r="E1326" s="47" t="str">
        <f>+Cuenta_Clasificacion[[#This Row],[Código Cuenta Contable]]&amp;" - "&amp;Cuenta_Clasificacion[[#This Row],[Nombre de Cuenta Contable]]</f>
        <v>4101002 - IVA Proveedores DS-19</v>
      </c>
      <c r="F1326" s="47" t="str">
        <f>+Cuenta_Clasificacion[[#This Row],[Codigo Concepto de imputación]]&amp;" - "&amp;Cuenta_Clasificacion[[#This Row],[Nombre Concepto de imputación]]</f>
        <v>50025 - Prov. GGoc/PV</v>
      </c>
    </row>
    <row r="1327" spans="1:6" x14ac:dyDescent="0.25">
      <c r="A1327" s="43">
        <v>4101002</v>
      </c>
      <c r="B1327" t="s">
        <v>1498</v>
      </c>
      <c r="C1327" s="43">
        <v>50026</v>
      </c>
      <c r="D1327" t="s">
        <v>1500</v>
      </c>
      <c r="E1327" s="47" t="str">
        <f>+Cuenta_Clasificacion[[#This Row],[Código Cuenta Contable]]&amp;" - "&amp;Cuenta_Clasificacion[[#This Row],[Nombre de Cuenta Contable]]</f>
        <v>4101002 - IVA Proveedores DS-19</v>
      </c>
      <c r="F1327" s="47" t="str">
        <f>+Cuenta_Clasificacion[[#This Row],[Codigo Concepto de imputación]]&amp;" - "&amp;Cuenta_Clasificacion[[#This Row],[Nombre Concepto de imputación]]</f>
        <v>50026 - Oficina Central</v>
      </c>
    </row>
    <row r="1328" spans="1:6" x14ac:dyDescent="0.25">
      <c r="A1328" s="43">
        <v>4101002</v>
      </c>
      <c r="B1328" t="s">
        <v>1498</v>
      </c>
      <c r="C1328" s="43">
        <v>50027</v>
      </c>
      <c r="D1328" t="s">
        <v>3092</v>
      </c>
      <c r="E1328" s="47" t="str">
        <f>+Cuenta_Clasificacion[[#This Row],[Código Cuenta Contable]]&amp;" - "&amp;Cuenta_Clasificacion[[#This Row],[Nombre de Cuenta Contable]]</f>
        <v>4101002 - IVA Proveedores DS-19</v>
      </c>
      <c r="F1328" s="47" t="str">
        <f>+Cuenta_Clasificacion[[#This Row],[Codigo Concepto de imputación]]&amp;" - "&amp;Cuenta_Clasificacion[[#This Row],[Nombre Concepto de imputación]]</f>
        <v>50027 - Desemp. Prev. Riesgos</v>
      </c>
    </row>
    <row r="1329" spans="1:6" x14ac:dyDescent="0.25">
      <c r="A1329" s="43">
        <v>4101002</v>
      </c>
      <c r="B1329" t="s">
        <v>1498</v>
      </c>
      <c r="C1329" s="43">
        <v>50028</v>
      </c>
      <c r="D1329" t="s">
        <v>2909</v>
      </c>
      <c r="E1329" s="47" t="str">
        <f>+Cuenta_Clasificacion[[#This Row],[Código Cuenta Contable]]&amp;" - "&amp;Cuenta_Clasificacion[[#This Row],[Nombre de Cuenta Contable]]</f>
        <v>4101002 - IVA Proveedores DS-19</v>
      </c>
      <c r="F1329" s="47" t="str">
        <f>+Cuenta_Clasificacion[[#This Row],[Codigo Concepto de imputación]]&amp;" - "&amp;Cuenta_Clasificacion[[#This Row],[Nombre Concepto de imputación]]</f>
        <v>50028 - Boletas de Garantía</v>
      </c>
    </row>
    <row r="1330" spans="1:6" x14ac:dyDescent="0.25">
      <c r="A1330" s="43">
        <v>4101002</v>
      </c>
      <c r="B1330" t="s">
        <v>1498</v>
      </c>
      <c r="C1330" s="43">
        <v>77777</v>
      </c>
      <c r="D1330" t="s">
        <v>2703</v>
      </c>
      <c r="E1330" s="47" t="str">
        <f>+Cuenta_Clasificacion[[#This Row],[Código Cuenta Contable]]&amp;" - "&amp;Cuenta_Clasificacion[[#This Row],[Nombre de Cuenta Contable]]</f>
        <v>4101002 - IVA Proveedores DS-19</v>
      </c>
      <c r="F1330" s="47" t="str">
        <f>+Cuenta_Clasificacion[[#This Row],[Codigo Concepto de imputación]]&amp;" - "&amp;Cuenta_Clasificacion[[#This Row],[Nombre Concepto de imputación]]</f>
        <v>77777 - REGULARIZACIONES</v>
      </c>
    </row>
    <row r="1331" spans="1:6" x14ac:dyDescent="0.25">
      <c r="A1331" s="43">
        <v>4101003</v>
      </c>
      <c r="B1331" t="s">
        <v>1499</v>
      </c>
      <c r="C1331" s="43">
        <v>10001</v>
      </c>
      <c r="D1331" t="s">
        <v>2708</v>
      </c>
      <c r="E1331" s="47" t="str">
        <f>+Cuenta_Clasificacion[[#This Row],[Código Cuenta Contable]]&amp;" - "&amp;Cuenta_Clasificacion[[#This Row],[Nombre de Cuenta Contable]]</f>
        <v>4101003 - IVA Subcontratos DS-19</v>
      </c>
      <c r="F1331" s="47" t="str">
        <f>+Cuenta_Clasificacion[[#This Row],[Codigo Concepto de imputación]]&amp;" - "&amp;Cuenta_Clasificacion[[#This Row],[Nombre Concepto de imputación]]</f>
        <v>10001 - Accesorios Sanitarios</v>
      </c>
    </row>
    <row r="1332" spans="1:6" x14ac:dyDescent="0.25">
      <c r="A1332" s="43">
        <v>4101003</v>
      </c>
      <c r="B1332" t="s">
        <v>1499</v>
      </c>
      <c r="C1332" s="43">
        <v>10002</v>
      </c>
      <c r="D1332" t="s">
        <v>2709</v>
      </c>
      <c r="E1332" s="47" t="str">
        <f>+Cuenta_Clasificacion[[#This Row],[Código Cuenta Contable]]&amp;" - "&amp;Cuenta_Clasificacion[[#This Row],[Nombre de Cuenta Contable]]</f>
        <v>4101003 - IVA Subcontratos DS-19</v>
      </c>
      <c r="F1332" s="47" t="str">
        <f>+Cuenta_Clasificacion[[#This Row],[Codigo Concepto de imputación]]&amp;" - "&amp;Cuenta_Clasificacion[[#This Row],[Nombre Concepto de imputación]]</f>
        <v>10002 - Adhesivos</v>
      </c>
    </row>
    <row r="1333" spans="1:6" x14ac:dyDescent="0.25">
      <c r="A1333" s="43">
        <v>4101003</v>
      </c>
      <c r="B1333" t="s">
        <v>1499</v>
      </c>
      <c r="C1333" s="43">
        <v>10003</v>
      </c>
      <c r="D1333" t="s">
        <v>2710</v>
      </c>
      <c r="E1333" s="47" t="str">
        <f>+Cuenta_Clasificacion[[#This Row],[Código Cuenta Contable]]&amp;" - "&amp;Cuenta_Clasificacion[[#This Row],[Nombre de Cuenta Contable]]</f>
        <v>4101003 - IVA Subcontratos DS-19</v>
      </c>
      <c r="F1333" s="47" t="str">
        <f>+Cuenta_Clasificacion[[#This Row],[Codigo Concepto de imputación]]&amp;" - "&amp;Cuenta_Clasificacion[[#This Row],[Nombre Concepto de imputación]]</f>
        <v>10003 - Aditivos</v>
      </c>
    </row>
    <row r="1334" spans="1:6" x14ac:dyDescent="0.25">
      <c r="A1334" s="43">
        <v>4101003</v>
      </c>
      <c r="B1334" t="s">
        <v>1499</v>
      </c>
      <c r="C1334" s="43">
        <v>10004</v>
      </c>
      <c r="D1334" t="s">
        <v>2711</v>
      </c>
      <c r="E1334" s="47" t="str">
        <f>+Cuenta_Clasificacion[[#This Row],[Código Cuenta Contable]]&amp;" - "&amp;Cuenta_Clasificacion[[#This Row],[Nombre de Cuenta Contable]]</f>
        <v>4101003 - IVA Subcontratos DS-19</v>
      </c>
      <c r="F1334" s="47" t="str">
        <f>+Cuenta_Clasificacion[[#This Row],[Codigo Concepto de imputación]]&amp;" - "&amp;Cuenta_Clasificacion[[#This Row],[Nombre Concepto de imputación]]</f>
        <v>10004 - Aislación</v>
      </c>
    </row>
    <row r="1335" spans="1:6" x14ac:dyDescent="0.25">
      <c r="A1335" s="43">
        <v>4101003</v>
      </c>
      <c r="B1335" t="s">
        <v>1499</v>
      </c>
      <c r="C1335" s="43">
        <v>10005</v>
      </c>
      <c r="D1335" t="s">
        <v>2712</v>
      </c>
      <c r="E1335" s="47" t="str">
        <f>+Cuenta_Clasificacion[[#This Row],[Código Cuenta Contable]]&amp;" - "&amp;Cuenta_Clasificacion[[#This Row],[Nombre de Cuenta Contable]]</f>
        <v>4101003 - IVA Subcontratos DS-19</v>
      </c>
      <c r="F1335" s="47" t="str">
        <f>+Cuenta_Clasificacion[[#This Row],[Codigo Concepto de imputación]]&amp;" - "&amp;Cuenta_Clasificacion[[#This Row],[Nombre Concepto de imputación]]</f>
        <v>10005 - Alambre</v>
      </c>
    </row>
    <row r="1336" spans="1:6" x14ac:dyDescent="0.25">
      <c r="A1336" s="43">
        <v>4101003</v>
      </c>
      <c r="B1336" t="s">
        <v>1499</v>
      </c>
      <c r="C1336" s="43">
        <v>10006</v>
      </c>
      <c r="D1336" t="s">
        <v>2713</v>
      </c>
      <c r="E1336" s="47" t="str">
        <f>+Cuenta_Clasificacion[[#This Row],[Código Cuenta Contable]]&amp;" - "&amp;Cuenta_Clasificacion[[#This Row],[Nombre de Cuenta Contable]]</f>
        <v>4101003 - IVA Subcontratos DS-19</v>
      </c>
      <c r="F1336" s="47" t="str">
        <f>+Cuenta_Clasificacion[[#This Row],[Codigo Concepto de imputación]]&amp;" - "&amp;Cuenta_Clasificacion[[#This Row],[Nombre Concepto de imputación]]</f>
        <v>10006 - Alcantarillado</v>
      </c>
    </row>
    <row r="1337" spans="1:6" x14ac:dyDescent="0.25">
      <c r="A1337" s="43">
        <v>4101003</v>
      </c>
      <c r="B1337" t="s">
        <v>1499</v>
      </c>
      <c r="C1337" s="43">
        <v>10007</v>
      </c>
      <c r="D1337" t="s">
        <v>2714</v>
      </c>
      <c r="E1337" s="47" t="str">
        <f>+Cuenta_Clasificacion[[#This Row],[Código Cuenta Contable]]&amp;" - "&amp;Cuenta_Clasificacion[[#This Row],[Nombre de Cuenta Contable]]</f>
        <v>4101003 - IVA Subcontratos DS-19</v>
      </c>
      <c r="F1337" s="47" t="str">
        <f>+Cuenta_Clasificacion[[#This Row],[Codigo Concepto de imputación]]&amp;" - "&amp;Cuenta_Clasificacion[[#This Row],[Nombre Concepto de imputación]]</f>
        <v>10007 - Alfombras</v>
      </c>
    </row>
    <row r="1338" spans="1:6" x14ac:dyDescent="0.25">
      <c r="A1338" s="43">
        <v>4101003</v>
      </c>
      <c r="B1338" t="s">
        <v>1499</v>
      </c>
      <c r="C1338" s="43">
        <v>10008</v>
      </c>
      <c r="D1338" t="s">
        <v>2715</v>
      </c>
      <c r="E1338" s="47" t="str">
        <f>+Cuenta_Clasificacion[[#This Row],[Código Cuenta Contable]]&amp;" - "&amp;Cuenta_Clasificacion[[#This Row],[Nombre de Cuenta Contable]]</f>
        <v>4101003 - IVA Subcontratos DS-19</v>
      </c>
      <c r="F1338" s="47" t="str">
        <f>+Cuenta_Clasificacion[[#This Row],[Codigo Concepto de imputación]]&amp;" - "&amp;Cuenta_Clasificacion[[#This Row],[Nombre Concepto de imputación]]</f>
        <v>10008 - Aluminios</v>
      </c>
    </row>
    <row r="1339" spans="1:6" x14ac:dyDescent="0.25">
      <c r="A1339" s="43">
        <v>4101003</v>
      </c>
      <c r="B1339" t="s">
        <v>1499</v>
      </c>
      <c r="C1339" s="43">
        <v>10009</v>
      </c>
      <c r="D1339" t="s">
        <v>2716</v>
      </c>
      <c r="E1339" s="47" t="str">
        <f>+Cuenta_Clasificacion[[#This Row],[Código Cuenta Contable]]&amp;" - "&amp;Cuenta_Clasificacion[[#This Row],[Nombre de Cuenta Contable]]</f>
        <v>4101003 - IVA Subcontratos DS-19</v>
      </c>
      <c r="F1339" s="47" t="str">
        <f>+Cuenta_Clasificacion[[#This Row],[Codigo Concepto de imputación]]&amp;" - "&amp;Cuenta_Clasificacion[[#This Row],[Nombre Concepto de imputación]]</f>
        <v>10009 - Áridos</v>
      </c>
    </row>
    <row r="1340" spans="1:6" x14ac:dyDescent="0.25">
      <c r="A1340" s="43">
        <v>4101003</v>
      </c>
      <c r="B1340" t="s">
        <v>1499</v>
      </c>
      <c r="C1340" s="43">
        <v>10010</v>
      </c>
      <c r="D1340" t="s">
        <v>2717</v>
      </c>
      <c r="E1340" s="47" t="str">
        <f>+Cuenta_Clasificacion[[#This Row],[Código Cuenta Contable]]&amp;" - "&amp;Cuenta_Clasificacion[[#This Row],[Nombre de Cuenta Contable]]</f>
        <v>4101003 - IVA Subcontratos DS-19</v>
      </c>
      <c r="F1340" s="47" t="str">
        <f>+Cuenta_Clasificacion[[#This Row],[Codigo Concepto de imputación]]&amp;" - "&amp;Cuenta_Clasificacion[[#This Row],[Nombre Concepto de imputación]]</f>
        <v>10010 - Artículos Eléctricos</v>
      </c>
    </row>
    <row r="1341" spans="1:6" x14ac:dyDescent="0.25">
      <c r="A1341" s="43">
        <v>4101003</v>
      </c>
      <c r="B1341" t="s">
        <v>1499</v>
      </c>
      <c r="C1341" s="43">
        <v>10011</v>
      </c>
      <c r="D1341" t="s">
        <v>2718</v>
      </c>
      <c r="E1341" s="47" t="str">
        <f>+Cuenta_Clasificacion[[#This Row],[Código Cuenta Contable]]&amp;" - "&amp;Cuenta_Clasificacion[[#This Row],[Nombre de Cuenta Contable]]</f>
        <v>4101003 - IVA Subcontratos DS-19</v>
      </c>
      <c r="F1341" s="47" t="str">
        <f>+Cuenta_Clasificacion[[#This Row],[Codigo Concepto de imputación]]&amp;" - "&amp;Cuenta_Clasificacion[[#This Row],[Nombre Concepto de imputación]]</f>
        <v>10011 - Artículos Gas</v>
      </c>
    </row>
    <row r="1342" spans="1:6" x14ac:dyDescent="0.25">
      <c r="A1342" s="43">
        <v>4101003</v>
      </c>
      <c r="B1342" t="s">
        <v>1499</v>
      </c>
      <c r="C1342" s="43">
        <v>10012</v>
      </c>
      <c r="D1342" t="s">
        <v>2719</v>
      </c>
      <c r="E1342" s="47" t="str">
        <f>+Cuenta_Clasificacion[[#This Row],[Código Cuenta Contable]]&amp;" - "&amp;Cuenta_Clasificacion[[#This Row],[Nombre de Cuenta Contable]]</f>
        <v>4101003 - IVA Subcontratos DS-19</v>
      </c>
      <c r="F1342" s="47" t="str">
        <f>+Cuenta_Clasificacion[[#This Row],[Codigo Concepto de imputación]]&amp;" - "&amp;Cuenta_Clasificacion[[#This Row],[Nombre Concepto de imputación]]</f>
        <v>10012 - Artículos Sanitarios</v>
      </c>
    </row>
    <row r="1343" spans="1:6" x14ac:dyDescent="0.25">
      <c r="A1343" s="43">
        <v>4101003</v>
      </c>
      <c r="B1343" t="s">
        <v>1499</v>
      </c>
      <c r="C1343" s="43">
        <v>10013</v>
      </c>
      <c r="D1343" t="s">
        <v>2720</v>
      </c>
      <c r="E1343" s="47" t="str">
        <f>+Cuenta_Clasificacion[[#This Row],[Código Cuenta Contable]]&amp;" - "&amp;Cuenta_Clasificacion[[#This Row],[Nombre de Cuenta Contable]]</f>
        <v>4101003 - IVA Subcontratos DS-19</v>
      </c>
      <c r="F1343" s="47" t="str">
        <f>+Cuenta_Clasificacion[[#This Row],[Codigo Concepto de imputación]]&amp;" - "&amp;Cuenta_Clasificacion[[#This Row],[Nombre Concepto de imputación]]</f>
        <v>10013 - Cables</v>
      </c>
    </row>
    <row r="1344" spans="1:6" x14ac:dyDescent="0.25">
      <c r="A1344" s="43">
        <v>4101003</v>
      </c>
      <c r="B1344" t="s">
        <v>1499</v>
      </c>
      <c r="C1344" s="43">
        <v>10014</v>
      </c>
      <c r="D1344" t="s">
        <v>2721</v>
      </c>
      <c r="E1344" s="47" t="str">
        <f>+Cuenta_Clasificacion[[#This Row],[Código Cuenta Contable]]&amp;" - "&amp;Cuenta_Clasificacion[[#This Row],[Nombre de Cuenta Contable]]</f>
        <v>4101003 - IVA Subcontratos DS-19</v>
      </c>
      <c r="F1344" s="47" t="str">
        <f>+Cuenta_Clasificacion[[#This Row],[Codigo Concepto de imputación]]&amp;" - "&amp;Cuenta_Clasificacion[[#This Row],[Nombre Concepto de imputación]]</f>
        <v>10014 - Cadenas</v>
      </c>
    </row>
    <row r="1345" spans="1:6" x14ac:dyDescent="0.25">
      <c r="A1345" s="43">
        <v>4101003</v>
      </c>
      <c r="B1345" t="s">
        <v>1499</v>
      </c>
      <c r="C1345" s="43">
        <v>10015</v>
      </c>
      <c r="D1345" t="s">
        <v>2722</v>
      </c>
      <c r="E1345" s="47" t="str">
        <f>+Cuenta_Clasificacion[[#This Row],[Código Cuenta Contable]]&amp;" - "&amp;Cuenta_Clasificacion[[#This Row],[Nombre de Cuenta Contable]]</f>
        <v>4101003 - IVA Subcontratos DS-19</v>
      </c>
      <c r="F1345" s="47" t="str">
        <f>+Cuenta_Clasificacion[[#This Row],[Codigo Concepto de imputación]]&amp;" - "&amp;Cuenta_Clasificacion[[#This Row],[Nombre Concepto de imputación]]</f>
        <v>10015 - Cañerías Acero</v>
      </c>
    </row>
    <row r="1346" spans="1:6" x14ac:dyDescent="0.25">
      <c r="A1346" s="43">
        <v>4101003</v>
      </c>
      <c r="B1346" t="s">
        <v>1499</v>
      </c>
      <c r="C1346" s="43">
        <v>10016</v>
      </c>
      <c r="D1346" t="s">
        <v>2723</v>
      </c>
      <c r="E1346" s="47" t="str">
        <f>+Cuenta_Clasificacion[[#This Row],[Código Cuenta Contable]]&amp;" - "&amp;Cuenta_Clasificacion[[#This Row],[Nombre de Cuenta Contable]]</f>
        <v>4101003 - IVA Subcontratos DS-19</v>
      </c>
      <c r="F1346" s="47" t="str">
        <f>+Cuenta_Clasificacion[[#This Row],[Codigo Concepto de imputación]]&amp;" - "&amp;Cuenta_Clasificacion[[#This Row],[Nombre Concepto de imputación]]</f>
        <v>10016 - Cañerías Cobre</v>
      </c>
    </row>
    <row r="1347" spans="1:6" x14ac:dyDescent="0.25">
      <c r="A1347" s="43">
        <v>4101003</v>
      </c>
      <c r="B1347" t="s">
        <v>1499</v>
      </c>
      <c r="C1347" s="43">
        <v>10017</v>
      </c>
      <c r="D1347" t="s">
        <v>2724</v>
      </c>
      <c r="E1347" s="47" t="str">
        <f>+Cuenta_Clasificacion[[#This Row],[Código Cuenta Contable]]&amp;" - "&amp;Cuenta_Clasificacion[[#This Row],[Nombre de Cuenta Contable]]</f>
        <v>4101003 - IVA Subcontratos DS-19</v>
      </c>
      <c r="F1347" s="47" t="str">
        <f>+Cuenta_Clasificacion[[#This Row],[Codigo Concepto de imputación]]&amp;" - "&amp;Cuenta_Clasificacion[[#This Row],[Nombre Concepto de imputación]]</f>
        <v>10017 - Cañerías PVC</v>
      </c>
    </row>
    <row r="1348" spans="1:6" x14ac:dyDescent="0.25">
      <c r="A1348" s="43">
        <v>4101003</v>
      </c>
      <c r="B1348" t="s">
        <v>1499</v>
      </c>
      <c r="C1348" s="43">
        <v>10018</v>
      </c>
      <c r="D1348" t="s">
        <v>2725</v>
      </c>
      <c r="E1348" s="47" t="str">
        <f>+Cuenta_Clasificacion[[#This Row],[Código Cuenta Contable]]&amp;" - "&amp;Cuenta_Clasificacion[[#This Row],[Nombre de Cuenta Contable]]</f>
        <v>4101003 - IVA Subcontratos DS-19</v>
      </c>
      <c r="F1348" s="47" t="str">
        <f>+Cuenta_Clasificacion[[#This Row],[Codigo Concepto de imputación]]&amp;" - "&amp;Cuenta_Clasificacion[[#This Row],[Nombre Concepto de imputación]]</f>
        <v>10018 - Cementos</v>
      </c>
    </row>
    <row r="1349" spans="1:6" x14ac:dyDescent="0.25">
      <c r="A1349" s="43">
        <v>4101003</v>
      </c>
      <c r="B1349" t="s">
        <v>1499</v>
      </c>
      <c r="C1349" s="43">
        <v>10019</v>
      </c>
      <c r="D1349" t="s">
        <v>2726</v>
      </c>
      <c r="E1349" s="47" t="str">
        <f>+Cuenta_Clasificacion[[#This Row],[Código Cuenta Contable]]&amp;" - "&amp;Cuenta_Clasificacion[[#This Row],[Nombre de Cuenta Contable]]</f>
        <v>4101003 - IVA Subcontratos DS-19</v>
      </c>
      <c r="F1349" s="47" t="str">
        <f>+Cuenta_Clasificacion[[#This Row],[Codigo Concepto de imputación]]&amp;" - "&amp;Cuenta_Clasificacion[[#This Row],[Nombre Concepto de imputación]]</f>
        <v>10019 - Cerámicos y Baldosas</v>
      </c>
    </row>
    <row r="1350" spans="1:6" x14ac:dyDescent="0.25">
      <c r="A1350" s="43">
        <v>4101003</v>
      </c>
      <c r="B1350" t="s">
        <v>1499</v>
      </c>
      <c r="C1350" s="43">
        <v>10020</v>
      </c>
      <c r="D1350" t="s">
        <v>2727</v>
      </c>
      <c r="E1350" s="47" t="str">
        <f>+Cuenta_Clasificacion[[#This Row],[Código Cuenta Contable]]&amp;" - "&amp;Cuenta_Clasificacion[[#This Row],[Nombre de Cuenta Contable]]</f>
        <v>4101003 - IVA Subcontratos DS-19</v>
      </c>
      <c r="F1350" s="47" t="str">
        <f>+Cuenta_Clasificacion[[#This Row],[Codigo Concepto de imputación]]&amp;" - "&amp;Cuenta_Clasificacion[[#This Row],[Nombre Concepto de imputación]]</f>
        <v>10020 - Cielo Modular</v>
      </c>
    </row>
    <row r="1351" spans="1:6" x14ac:dyDescent="0.25">
      <c r="A1351" s="43">
        <v>4101003</v>
      </c>
      <c r="B1351" t="s">
        <v>1499</v>
      </c>
      <c r="C1351" s="43">
        <v>10021</v>
      </c>
      <c r="D1351" t="s">
        <v>2728</v>
      </c>
      <c r="E1351" s="47" t="str">
        <f>+Cuenta_Clasificacion[[#This Row],[Código Cuenta Contable]]&amp;" - "&amp;Cuenta_Clasificacion[[#This Row],[Nombre de Cuenta Contable]]</f>
        <v>4101003 - IVA Subcontratos DS-19</v>
      </c>
      <c r="F1351" s="47" t="str">
        <f>+Cuenta_Clasificacion[[#This Row],[Codigo Concepto de imputación]]&amp;" - "&amp;Cuenta_Clasificacion[[#This Row],[Nombre Concepto de imputación]]</f>
        <v>10021 - Cierros</v>
      </c>
    </row>
    <row r="1352" spans="1:6" x14ac:dyDescent="0.25">
      <c r="A1352" s="43">
        <v>4101003</v>
      </c>
      <c r="B1352" t="s">
        <v>1499</v>
      </c>
      <c r="C1352" s="43">
        <v>10022</v>
      </c>
      <c r="D1352" t="s">
        <v>2729</v>
      </c>
      <c r="E1352" s="47" t="str">
        <f>+Cuenta_Clasificacion[[#This Row],[Código Cuenta Contable]]&amp;" - "&amp;Cuenta_Clasificacion[[#This Row],[Nombre de Cuenta Contable]]</f>
        <v>4101003 - IVA Subcontratos DS-19</v>
      </c>
      <c r="F1352" s="47" t="str">
        <f>+Cuenta_Clasificacion[[#This Row],[Codigo Concepto de imputación]]&amp;" - "&amp;Cuenta_Clasificacion[[#This Row],[Nombre Concepto de imputación]]</f>
        <v>10022 - Combustibles</v>
      </c>
    </row>
    <row r="1353" spans="1:6" x14ac:dyDescent="0.25">
      <c r="A1353" s="43">
        <v>4101003</v>
      </c>
      <c r="B1353" t="s">
        <v>1499</v>
      </c>
      <c r="C1353" s="43">
        <v>10023</v>
      </c>
      <c r="D1353" t="s">
        <v>2730</v>
      </c>
      <c r="E1353" s="47" t="str">
        <f>+Cuenta_Clasificacion[[#This Row],[Código Cuenta Contable]]&amp;" - "&amp;Cuenta_Clasificacion[[#This Row],[Nombre de Cuenta Contable]]</f>
        <v>4101003 - IVA Subcontratos DS-19</v>
      </c>
      <c r="F1353" s="47" t="str">
        <f>+Cuenta_Clasificacion[[#This Row],[Codigo Concepto de imputación]]&amp;" - "&amp;Cuenta_Clasificacion[[#This Row],[Nombre Concepto de imputación]]</f>
        <v>10023 - Cubrejuntas y Dilataciones</v>
      </c>
    </row>
    <row r="1354" spans="1:6" x14ac:dyDescent="0.25">
      <c r="A1354" s="43">
        <v>4101003</v>
      </c>
      <c r="B1354" t="s">
        <v>1499</v>
      </c>
      <c r="C1354" s="43">
        <v>10024</v>
      </c>
      <c r="D1354" t="s">
        <v>2731</v>
      </c>
      <c r="E1354" s="47" t="str">
        <f>+Cuenta_Clasificacion[[#This Row],[Código Cuenta Contable]]&amp;" - "&amp;Cuenta_Clasificacion[[#This Row],[Nombre de Cuenta Contable]]</f>
        <v>4101003 - IVA Subcontratos DS-19</v>
      </c>
      <c r="F1354" s="47" t="str">
        <f>+Cuenta_Clasificacion[[#This Row],[Codigo Concepto de imputación]]&amp;" - "&amp;Cuenta_Clasificacion[[#This Row],[Nombre Concepto de imputación]]</f>
        <v>10024 - Dren</v>
      </c>
    </row>
    <row r="1355" spans="1:6" x14ac:dyDescent="0.25">
      <c r="A1355" s="43">
        <v>4101003</v>
      </c>
      <c r="B1355" t="s">
        <v>1499</v>
      </c>
      <c r="C1355" s="43">
        <v>10025</v>
      </c>
      <c r="D1355" t="s">
        <v>2732</v>
      </c>
      <c r="E1355" s="47" t="str">
        <f>+Cuenta_Clasificacion[[#This Row],[Código Cuenta Contable]]&amp;" - "&amp;Cuenta_Clasificacion[[#This Row],[Nombre de Cuenta Contable]]</f>
        <v>4101003 - IVA Subcontratos DS-19</v>
      </c>
      <c r="F1355" s="47" t="str">
        <f>+Cuenta_Clasificacion[[#This Row],[Codigo Concepto de imputación]]&amp;" - "&amp;Cuenta_Clasificacion[[#This Row],[Nombre Concepto de imputación]]</f>
        <v>10025 - Elementos Seguridad</v>
      </c>
    </row>
    <row r="1356" spans="1:6" x14ac:dyDescent="0.25">
      <c r="A1356" s="43">
        <v>4101003</v>
      </c>
      <c r="B1356" t="s">
        <v>1499</v>
      </c>
      <c r="C1356" s="43">
        <v>10026</v>
      </c>
      <c r="D1356" t="s">
        <v>2733</v>
      </c>
      <c r="E1356" s="47" t="str">
        <f>+Cuenta_Clasificacion[[#This Row],[Código Cuenta Contable]]&amp;" - "&amp;Cuenta_Clasificacion[[#This Row],[Nombre de Cuenta Contable]]</f>
        <v>4101003 - IVA Subcontratos DS-19</v>
      </c>
      <c r="F1356" s="47" t="str">
        <f>+Cuenta_Clasificacion[[#This Row],[Codigo Concepto de imputación]]&amp;" - "&amp;Cuenta_Clasificacion[[#This Row],[Nombre Concepto de imputación]]</f>
        <v>10026 - Ensayos</v>
      </c>
    </row>
    <row r="1357" spans="1:6" x14ac:dyDescent="0.25">
      <c r="A1357" s="43">
        <v>4101003</v>
      </c>
      <c r="B1357" t="s">
        <v>1499</v>
      </c>
      <c r="C1357" s="43">
        <v>10027</v>
      </c>
      <c r="D1357" t="s">
        <v>2734</v>
      </c>
      <c r="E1357" s="47" t="str">
        <f>+Cuenta_Clasificacion[[#This Row],[Código Cuenta Contable]]&amp;" - "&amp;Cuenta_Clasificacion[[#This Row],[Nombre de Cuenta Contable]]</f>
        <v>4101003 - IVA Subcontratos DS-19</v>
      </c>
      <c r="F1357" s="47" t="str">
        <f>+Cuenta_Clasificacion[[#This Row],[Codigo Concepto de imputación]]&amp;" - "&amp;Cuenta_Clasificacion[[#This Row],[Nombre Concepto de imputación]]</f>
        <v>10027 - Eq Comp/Eléct Oficina</v>
      </c>
    </row>
    <row r="1358" spans="1:6" x14ac:dyDescent="0.25">
      <c r="A1358" s="43">
        <v>4101003</v>
      </c>
      <c r="B1358" t="s">
        <v>1499</v>
      </c>
      <c r="C1358" s="43">
        <v>10028</v>
      </c>
      <c r="D1358" t="s">
        <v>2696</v>
      </c>
      <c r="E1358" s="47" t="str">
        <f>+Cuenta_Clasificacion[[#This Row],[Código Cuenta Contable]]&amp;" - "&amp;Cuenta_Clasificacion[[#This Row],[Nombre de Cuenta Contable]]</f>
        <v>4101003 - IVA Subcontratos DS-19</v>
      </c>
      <c r="F1358" s="47" t="str">
        <f>+Cuenta_Clasificacion[[#This Row],[Codigo Concepto de imputación]]&amp;" - "&amp;Cuenta_Clasificacion[[#This Row],[Nombre Concepto de imputación]]</f>
        <v>10028 - Equipamiento</v>
      </c>
    </row>
    <row r="1359" spans="1:6" x14ac:dyDescent="0.25">
      <c r="A1359" s="43">
        <v>4101003</v>
      </c>
      <c r="B1359" t="s">
        <v>1499</v>
      </c>
      <c r="C1359" s="43">
        <v>10029</v>
      </c>
      <c r="D1359" t="s">
        <v>2735</v>
      </c>
      <c r="E1359" s="47" t="str">
        <f>+Cuenta_Clasificacion[[#This Row],[Código Cuenta Contable]]&amp;" - "&amp;Cuenta_Clasificacion[[#This Row],[Nombre de Cuenta Contable]]</f>
        <v>4101003 - IVA Subcontratos DS-19</v>
      </c>
      <c r="F1359" s="47" t="str">
        <f>+Cuenta_Clasificacion[[#This Row],[Codigo Concepto de imputación]]&amp;" - "&amp;Cuenta_Clasificacion[[#This Row],[Nombre Concepto de imputación]]</f>
        <v>10029 - Estructura Volcometal</v>
      </c>
    </row>
    <row r="1360" spans="1:6" x14ac:dyDescent="0.25">
      <c r="A1360" s="43">
        <v>4101003</v>
      </c>
      <c r="B1360" t="s">
        <v>1499</v>
      </c>
      <c r="C1360" s="43">
        <v>10030</v>
      </c>
      <c r="D1360" t="s">
        <v>2736</v>
      </c>
      <c r="E1360" s="47" t="str">
        <f>+Cuenta_Clasificacion[[#This Row],[Código Cuenta Contable]]&amp;" - "&amp;Cuenta_Clasificacion[[#This Row],[Nombre de Cuenta Contable]]</f>
        <v>4101003 - IVA Subcontratos DS-19</v>
      </c>
      <c r="F1360" s="47" t="str">
        <f>+Cuenta_Clasificacion[[#This Row],[Codigo Concepto de imputación]]&amp;" - "&amp;Cuenta_Clasificacion[[#This Row],[Nombre Concepto de imputación]]</f>
        <v>10030 - Eventos y Recreac. Obra</v>
      </c>
    </row>
    <row r="1361" spans="1:6" x14ac:dyDescent="0.25">
      <c r="A1361" s="43">
        <v>4101003</v>
      </c>
      <c r="B1361" t="s">
        <v>1499</v>
      </c>
      <c r="C1361" s="43">
        <v>10031</v>
      </c>
      <c r="D1361" t="s">
        <v>2737</v>
      </c>
      <c r="E1361" s="47" t="str">
        <f>+Cuenta_Clasificacion[[#This Row],[Código Cuenta Contable]]&amp;" - "&amp;Cuenta_Clasificacion[[#This Row],[Nombre de Cuenta Contable]]</f>
        <v>4101003 - IVA Subcontratos DS-19</v>
      </c>
      <c r="F1361" s="47" t="str">
        <f>+Cuenta_Clasificacion[[#This Row],[Codigo Concepto de imputación]]&amp;" - "&amp;Cuenta_Clasificacion[[#This Row],[Nombre Concepto de imputación]]</f>
        <v>10031 - Extracción Basura y Escombros</v>
      </c>
    </row>
    <row r="1362" spans="1:6" x14ac:dyDescent="0.25">
      <c r="A1362" s="43">
        <v>4101003</v>
      </c>
      <c r="B1362" t="s">
        <v>1499</v>
      </c>
      <c r="C1362" s="43">
        <v>10032</v>
      </c>
      <c r="D1362" t="s">
        <v>2738</v>
      </c>
      <c r="E1362" s="47" t="str">
        <f>+Cuenta_Clasificacion[[#This Row],[Código Cuenta Contable]]&amp;" - "&amp;Cuenta_Clasificacion[[#This Row],[Nombre de Cuenta Contable]]</f>
        <v>4101003 - IVA Subcontratos DS-19</v>
      </c>
      <c r="F1362" s="47" t="str">
        <f>+Cuenta_Clasificacion[[#This Row],[Codigo Concepto de imputación]]&amp;" - "&amp;Cuenta_Clasificacion[[#This Row],[Nombre Concepto de imputación]]</f>
        <v>10032 - Fieltros y Barreras</v>
      </c>
    </row>
    <row r="1363" spans="1:6" x14ac:dyDescent="0.25">
      <c r="A1363" s="43">
        <v>4101003</v>
      </c>
      <c r="B1363" t="s">
        <v>1499</v>
      </c>
      <c r="C1363" s="43">
        <v>10033</v>
      </c>
      <c r="D1363" t="s">
        <v>2739</v>
      </c>
      <c r="E1363" s="47" t="str">
        <f>+Cuenta_Clasificacion[[#This Row],[Código Cuenta Contable]]&amp;" - "&amp;Cuenta_Clasificacion[[#This Row],[Nombre de Cuenta Contable]]</f>
        <v>4101003 - IVA Subcontratos DS-19</v>
      </c>
      <c r="F1363" s="47" t="str">
        <f>+Cuenta_Clasificacion[[#This Row],[Codigo Concepto de imputación]]&amp;" - "&amp;Cuenta_Clasificacion[[#This Row],[Nombre Concepto de imputación]]</f>
        <v>10033 - Fierro</v>
      </c>
    </row>
    <row r="1364" spans="1:6" x14ac:dyDescent="0.25">
      <c r="A1364" s="43">
        <v>4101003</v>
      </c>
      <c r="B1364" t="s">
        <v>1499</v>
      </c>
      <c r="C1364" s="43">
        <v>10034</v>
      </c>
      <c r="D1364" t="s">
        <v>2740</v>
      </c>
      <c r="E1364" s="47" t="str">
        <f>+Cuenta_Clasificacion[[#This Row],[Código Cuenta Contable]]&amp;" - "&amp;Cuenta_Clasificacion[[#This Row],[Nombre de Cuenta Contable]]</f>
        <v>4101003 - IVA Subcontratos DS-19</v>
      </c>
      <c r="F1364" s="47" t="str">
        <f>+Cuenta_Clasificacion[[#This Row],[Codigo Concepto de imputación]]&amp;" - "&amp;Cuenta_Clasificacion[[#This Row],[Nombre Concepto de imputación]]</f>
        <v>10034 - Fierro Redondo Liso</v>
      </c>
    </row>
    <row r="1365" spans="1:6" x14ac:dyDescent="0.25">
      <c r="A1365" s="43">
        <v>4101003</v>
      </c>
      <c r="B1365" t="s">
        <v>1499</v>
      </c>
      <c r="C1365" s="43">
        <v>10035</v>
      </c>
      <c r="D1365" t="s">
        <v>2741</v>
      </c>
      <c r="E1365" s="47" t="str">
        <f>+Cuenta_Clasificacion[[#This Row],[Código Cuenta Contable]]&amp;" - "&amp;Cuenta_Clasificacion[[#This Row],[Nombre de Cuenta Contable]]</f>
        <v>4101003 - IVA Subcontratos DS-19</v>
      </c>
      <c r="F1365" s="47" t="str">
        <f>+Cuenta_Clasificacion[[#This Row],[Codigo Concepto de imputación]]&amp;" - "&amp;Cuenta_Clasificacion[[#This Row],[Nombre Concepto de imputación]]</f>
        <v>10035 - Fijaciones</v>
      </c>
    </row>
    <row r="1366" spans="1:6" x14ac:dyDescent="0.25">
      <c r="A1366" s="43">
        <v>4101003</v>
      </c>
      <c r="B1366" t="s">
        <v>1499</v>
      </c>
      <c r="C1366" s="43">
        <v>10036</v>
      </c>
      <c r="D1366" t="s">
        <v>2742</v>
      </c>
      <c r="E1366" s="47" t="str">
        <f>+Cuenta_Clasificacion[[#This Row],[Código Cuenta Contable]]&amp;" - "&amp;Cuenta_Clasificacion[[#This Row],[Nombre de Cuenta Contable]]</f>
        <v>4101003 - IVA Subcontratos DS-19</v>
      </c>
      <c r="F1366" s="47" t="str">
        <f>+Cuenta_Clasificacion[[#This Row],[Codigo Concepto de imputación]]&amp;" - "&amp;Cuenta_Clasificacion[[#This Row],[Nombre Concepto de imputación]]</f>
        <v>10036 - Fitting</v>
      </c>
    </row>
    <row r="1367" spans="1:6" x14ac:dyDescent="0.25">
      <c r="A1367" s="43">
        <v>4101003</v>
      </c>
      <c r="B1367" t="s">
        <v>1499</v>
      </c>
      <c r="C1367" s="43">
        <v>10037</v>
      </c>
      <c r="D1367" t="s">
        <v>2743</v>
      </c>
      <c r="E1367" s="47" t="str">
        <f>+Cuenta_Clasificacion[[#This Row],[Código Cuenta Contable]]&amp;" - "&amp;Cuenta_Clasificacion[[#This Row],[Nombre de Cuenta Contable]]</f>
        <v>4101003 - IVA Subcontratos DS-19</v>
      </c>
      <c r="F1367" s="47" t="str">
        <f>+Cuenta_Clasificacion[[#This Row],[Codigo Concepto de imputación]]&amp;" - "&amp;Cuenta_Clasificacion[[#This Row],[Nombre Concepto de imputación]]</f>
        <v>10037 - Flete Perfiles</v>
      </c>
    </row>
    <row r="1368" spans="1:6" x14ac:dyDescent="0.25">
      <c r="A1368" s="43">
        <v>4101003</v>
      </c>
      <c r="B1368" t="s">
        <v>1499</v>
      </c>
      <c r="C1368" s="43">
        <v>10038</v>
      </c>
      <c r="D1368" t="s">
        <v>2697</v>
      </c>
      <c r="E1368" s="47" t="str">
        <f>+Cuenta_Clasificacion[[#This Row],[Código Cuenta Contable]]&amp;" - "&amp;Cuenta_Clasificacion[[#This Row],[Nombre de Cuenta Contable]]</f>
        <v>4101003 - IVA Subcontratos DS-19</v>
      </c>
      <c r="F1368" s="47" t="str">
        <f>+Cuenta_Clasificacion[[#This Row],[Codigo Concepto de imputación]]&amp;" - "&amp;Cuenta_Clasificacion[[#This Row],[Nombre Concepto de imputación]]</f>
        <v>10038 - Fletes (por orden de compra)</v>
      </c>
    </row>
    <row r="1369" spans="1:6" x14ac:dyDescent="0.25">
      <c r="A1369" s="43">
        <v>4101003</v>
      </c>
      <c r="B1369" t="s">
        <v>1499</v>
      </c>
      <c r="C1369" s="43">
        <v>10039</v>
      </c>
      <c r="D1369" t="s">
        <v>2744</v>
      </c>
      <c r="E1369" s="47" t="str">
        <f>+Cuenta_Clasificacion[[#This Row],[Código Cuenta Contable]]&amp;" - "&amp;Cuenta_Clasificacion[[#This Row],[Nombre de Cuenta Contable]]</f>
        <v>4101003 - IVA Subcontratos DS-19</v>
      </c>
      <c r="F1369" s="47" t="str">
        <f>+Cuenta_Clasificacion[[#This Row],[Codigo Concepto de imputación]]&amp;" - "&amp;Cuenta_Clasificacion[[#This Row],[Nombre Concepto de imputación]]</f>
        <v>10039 - Grifería</v>
      </c>
    </row>
    <row r="1370" spans="1:6" x14ac:dyDescent="0.25">
      <c r="A1370" s="43">
        <v>4101003</v>
      </c>
      <c r="B1370" t="s">
        <v>1499</v>
      </c>
      <c r="C1370" s="43">
        <v>10040</v>
      </c>
      <c r="D1370" t="s">
        <v>2745</v>
      </c>
      <c r="E1370" s="47" t="str">
        <f>+Cuenta_Clasificacion[[#This Row],[Código Cuenta Contable]]&amp;" - "&amp;Cuenta_Clasificacion[[#This Row],[Nombre de Cuenta Contable]]</f>
        <v>4101003 - IVA Subcontratos DS-19</v>
      </c>
      <c r="F1370" s="47" t="str">
        <f>+Cuenta_Clasificacion[[#This Row],[Codigo Concepto de imputación]]&amp;" - "&amp;Cuenta_Clasificacion[[#This Row],[Nombre Concepto de imputación]]</f>
        <v>10040 - Herramientas</v>
      </c>
    </row>
    <row r="1371" spans="1:6" x14ac:dyDescent="0.25">
      <c r="A1371" s="43">
        <v>4101003</v>
      </c>
      <c r="B1371" t="s">
        <v>1499</v>
      </c>
      <c r="C1371" s="43">
        <v>10041</v>
      </c>
      <c r="D1371" t="s">
        <v>2746</v>
      </c>
      <c r="E1371" s="47" t="str">
        <f>+Cuenta_Clasificacion[[#This Row],[Código Cuenta Contable]]&amp;" - "&amp;Cuenta_Clasificacion[[#This Row],[Nombre de Cuenta Contable]]</f>
        <v>4101003 - IVA Subcontratos DS-19</v>
      </c>
      <c r="F1371" s="47" t="str">
        <f>+Cuenta_Clasificacion[[#This Row],[Codigo Concepto de imputación]]&amp;" - "&amp;Cuenta_Clasificacion[[#This Row],[Nombre Concepto de imputación]]</f>
        <v>10041 - Hojalatería y Techumbres</v>
      </c>
    </row>
    <row r="1372" spans="1:6" x14ac:dyDescent="0.25">
      <c r="A1372" s="43">
        <v>4101003</v>
      </c>
      <c r="B1372" t="s">
        <v>1499</v>
      </c>
      <c r="C1372" s="43">
        <v>10042</v>
      </c>
      <c r="D1372" t="s">
        <v>2698</v>
      </c>
      <c r="E1372" s="47" t="str">
        <f>+Cuenta_Clasificacion[[#This Row],[Código Cuenta Contable]]&amp;" - "&amp;Cuenta_Clasificacion[[#This Row],[Nombre de Cuenta Contable]]</f>
        <v>4101003 - IVA Subcontratos DS-19</v>
      </c>
      <c r="F1372" s="47" t="str">
        <f>+Cuenta_Clasificacion[[#This Row],[Codigo Concepto de imputación]]&amp;" - "&amp;Cuenta_Clasificacion[[#This Row],[Nombre Concepto de imputación]]</f>
        <v>10042 - Hormigones</v>
      </c>
    </row>
    <row r="1373" spans="1:6" x14ac:dyDescent="0.25">
      <c r="A1373" s="43">
        <v>4101003</v>
      </c>
      <c r="B1373" t="s">
        <v>1499</v>
      </c>
      <c r="C1373" s="43">
        <v>10043</v>
      </c>
      <c r="D1373" t="s">
        <v>2747</v>
      </c>
      <c r="E1373" s="47" t="str">
        <f>+Cuenta_Clasificacion[[#This Row],[Código Cuenta Contable]]&amp;" - "&amp;Cuenta_Clasificacion[[#This Row],[Nombre de Cuenta Contable]]</f>
        <v>4101003 - IVA Subcontratos DS-19</v>
      </c>
      <c r="F1373" s="47" t="str">
        <f>+Cuenta_Clasificacion[[#This Row],[Codigo Concepto de imputación]]&amp;" - "&amp;Cuenta_Clasificacion[[#This Row],[Nombre Concepto de imputación]]</f>
        <v>10043 - Hta Menor</v>
      </c>
    </row>
    <row r="1374" spans="1:6" x14ac:dyDescent="0.25">
      <c r="A1374" s="43">
        <v>4101003</v>
      </c>
      <c r="B1374" t="s">
        <v>1499</v>
      </c>
      <c r="C1374" s="43">
        <v>10044</v>
      </c>
      <c r="D1374" t="s">
        <v>2748</v>
      </c>
      <c r="E1374" s="47" t="str">
        <f>+Cuenta_Clasificacion[[#This Row],[Código Cuenta Contable]]&amp;" - "&amp;Cuenta_Clasificacion[[#This Row],[Nombre de Cuenta Contable]]</f>
        <v>4101003 - IVA Subcontratos DS-19</v>
      </c>
      <c r="F1374" s="47" t="str">
        <f>+Cuenta_Clasificacion[[#This Row],[Codigo Concepto de imputación]]&amp;" - "&amp;Cuenta_Clasificacion[[#This Row],[Nombre Concepto de imputación]]</f>
        <v>10044 - Incendio y Alarmas</v>
      </c>
    </row>
    <row r="1375" spans="1:6" x14ac:dyDescent="0.25">
      <c r="A1375" s="43">
        <v>4101003</v>
      </c>
      <c r="B1375" t="s">
        <v>1499</v>
      </c>
      <c r="C1375" s="43">
        <v>10045</v>
      </c>
      <c r="D1375" t="s">
        <v>2749</v>
      </c>
      <c r="E1375" s="47" t="str">
        <f>+Cuenta_Clasificacion[[#This Row],[Código Cuenta Contable]]&amp;" - "&amp;Cuenta_Clasificacion[[#This Row],[Nombre de Cuenta Contable]]</f>
        <v>4101003 - IVA Subcontratos DS-19</v>
      </c>
      <c r="F1375" s="47" t="str">
        <f>+Cuenta_Clasificacion[[#This Row],[Codigo Concepto de imputación]]&amp;" - "&amp;Cuenta_Clasificacion[[#This Row],[Nombre Concepto de imputación]]</f>
        <v>10045 - Insumos</v>
      </c>
    </row>
    <row r="1376" spans="1:6" x14ac:dyDescent="0.25">
      <c r="A1376" s="43">
        <v>4101003</v>
      </c>
      <c r="B1376" t="s">
        <v>1499</v>
      </c>
      <c r="C1376" s="43">
        <v>10046</v>
      </c>
      <c r="D1376" t="s">
        <v>2750</v>
      </c>
      <c r="E1376" s="47" t="str">
        <f>+Cuenta_Clasificacion[[#This Row],[Código Cuenta Contable]]&amp;" - "&amp;Cuenta_Clasificacion[[#This Row],[Nombre de Cuenta Contable]]</f>
        <v>4101003 - IVA Subcontratos DS-19</v>
      </c>
      <c r="F1376" s="47" t="str">
        <f>+Cuenta_Clasificacion[[#This Row],[Codigo Concepto de imputación]]&amp;" - "&amp;Cuenta_Clasificacion[[#This Row],[Nombre Concepto de imputación]]</f>
        <v>10046 - Izaje</v>
      </c>
    </row>
    <row r="1377" spans="1:6" x14ac:dyDescent="0.25">
      <c r="A1377" s="43">
        <v>4101003</v>
      </c>
      <c r="B1377" t="s">
        <v>1499</v>
      </c>
      <c r="C1377" s="43">
        <v>10047</v>
      </c>
      <c r="D1377" t="s">
        <v>2751</v>
      </c>
      <c r="E1377" s="47" t="str">
        <f>+Cuenta_Clasificacion[[#This Row],[Código Cuenta Contable]]&amp;" - "&amp;Cuenta_Clasificacion[[#This Row],[Nombre de Cuenta Contable]]</f>
        <v>4101003 - IVA Subcontratos DS-19</v>
      </c>
      <c r="F1377" s="47" t="str">
        <f>+Cuenta_Clasificacion[[#This Row],[Codigo Concepto de imputación]]&amp;" - "&amp;Cuenta_Clasificacion[[#This Row],[Nombre Concepto de imputación]]</f>
        <v>10047 - Jardinería</v>
      </c>
    </row>
    <row r="1378" spans="1:6" x14ac:dyDescent="0.25">
      <c r="A1378" s="43">
        <v>4101003</v>
      </c>
      <c r="B1378" t="s">
        <v>1499</v>
      </c>
      <c r="C1378" s="43">
        <v>10048</v>
      </c>
      <c r="D1378" t="s">
        <v>2752</v>
      </c>
      <c r="E1378" s="47" t="str">
        <f>+Cuenta_Clasificacion[[#This Row],[Código Cuenta Contable]]&amp;" - "&amp;Cuenta_Clasificacion[[#This Row],[Nombre de Cuenta Contable]]</f>
        <v>4101003 - IVA Subcontratos DS-19</v>
      </c>
      <c r="F1378" s="47" t="str">
        <f>+Cuenta_Clasificacion[[#This Row],[Codigo Concepto de imputación]]&amp;" - "&amp;Cuenta_Clasificacion[[#This Row],[Nombre Concepto de imputación]]</f>
        <v>10048 - Ladrillos</v>
      </c>
    </row>
    <row r="1379" spans="1:6" x14ac:dyDescent="0.25">
      <c r="A1379" s="43">
        <v>4101003</v>
      </c>
      <c r="B1379" t="s">
        <v>1499</v>
      </c>
      <c r="C1379" s="43">
        <v>10049</v>
      </c>
      <c r="D1379" t="s">
        <v>2753</v>
      </c>
      <c r="E1379" s="47" t="str">
        <f>+Cuenta_Clasificacion[[#This Row],[Código Cuenta Contable]]&amp;" - "&amp;Cuenta_Clasificacion[[#This Row],[Nombre de Cuenta Contable]]</f>
        <v>4101003 - IVA Subcontratos DS-19</v>
      </c>
      <c r="F1379" s="47" t="str">
        <f>+Cuenta_Clasificacion[[#This Row],[Codigo Concepto de imputación]]&amp;" - "&amp;Cuenta_Clasificacion[[#This Row],[Nombre Concepto de imputación]]</f>
        <v>10049 - Licencias Softwares</v>
      </c>
    </row>
    <row r="1380" spans="1:6" x14ac:dyDescent="0.25">
      <c r="A1380" s="43">
        <v>4101003</v>
      </c>
      <c r="B1380" t="s">
        <v>1499</v>
      </c>
      <c r="C1380" s="43">
        <v>10050</v>
      </c>
      <c r="D1380" t="s">
        <v>2754</v>
      </c>
      <c r="E1380" s="47" t="str">
        <f>+Cuenta_Clasificacion[[#This Row],[Código Cuenta Contable]]&amp;" - "&amp;Cuenta_Clasificacion[[#This Row],[Nombre de Cuenta Contable]]</f>
        <v>4101003 - IVA Subcontratos DS-19</v>
      </c>
      <c r="F1380" s="47" t="str">
        <f>+Cuenta_Clasificacion[[#This Row],[Codigo Concepto de imputación]]&amp;" - "&amp;Cuenta_Clasificacion[[#This Row],[Nombre Concepto de imputación]]</f>
        <v>10050 - Lubricantes</v>
      </c>
    </row>
    <row r="1381" spans="1:6" x14ac:dyDescent="0.25">
      <c r="A1381" s="43">
        <v>4101003</v>
      </c>
      <c r="B1381" t="s">
        <v>1499</v>
      </c>
      <c r="C1381" s="43">
        <v>10051</v>
      </c>
      <c r="D1381" t="s">
        <v>2755</v>
      </c>
      <c r="E1381" s="47" t="str">
        <f>+Cuenta_Clasificacion[[#This Row],[Código Cuenta Contable]]&amp;" - "&amp;Cuenta_Clasificacion[[#This Row],[Nombre de Cuenta Contable]]</f>
        <v>4101003 - IVA Subcontratos DS-19</v>
      </c>
      <c r="F1381" s="47" t="str">
        <f>+Cuenta_Clasificacion[[#This Row],[Codigo Concepto de imputación]]&amp;" - "&amp;Cuenta_Clasificacion[[#This Row],[Nombre Concepto de imputación]]</f>
        <v>10051 - Luminarias</v>
      </c>
    </row>
    <row r="1382" spans="1:6" x14ac:dyDescent="0.25">
      <c r="A1382" s="43">
        <v>4101003</v>
      </c>
      <c r="B1382" t="s">
        <v>1499</v>
      </c>
      <c r="C1382" s="43">
        <v>10052</v>
      </c>
      <c r="D1382" t="s">
        <v>2756</v>
      </c>
      <c r="E1382" s="47" t="str">
        <f>+Cuenta_Clasificacion[[#This Row],[Código Cuenta Contable]]&amp;" - "&amp;Cuenta_Clasificacion[[#This Row],[Nombre de Cuenta Contable]]</f>
        <v>4101003 - IVA Subcontratos DS-19</v>
      </c>
      <c r="F1382" s="47" t="str">
        <f>+Cuenta_Clasificacion[[#This Row],[Codigo Concepto de imputación]]&amp;" - "&amp;Cuenta_Clasificacion[[#This Row],[Nombre Concepto de imputación]]</f>
        <v>10052 - Maderas</v>
      </c>
    </row>
    <row r="1383" spans="1:6" x14ac:dyDescent="0.25">
      <c r="A1383" s="43">
        <v>4101003</v>
      </c>
      <c r="B1383" t="s">
        <v>1499</v>
      </c>
      <c r="C1383" s="43">
        <v>10053</v>
      </c>
      <c r="D1383" t="s">
        <v>2757</v>
      </c>
      <c r="E1383" s="47" t="str">
        <f>+Cuenta_Clasificacion[[#This Row],[Código Cuenta Contable]]&amp;" - "&amp;Cuenta_Clasificacion[[#This Row],[Nombre de Cuenta Contable]]</f>
        <v>4101003 - IVA Subcontratos DS-19</v>
      </c>
      <c r="F1383" s="47" t="str">
        <f>+Cuenta_Clasificacion[[#This Row],[Codigo Concepto de imputación]]&amp;" - "&amp;Cuenta_Clasificacion[[#This Row],[Nombre Concepto de imputación]]</f>
        <v>10053 - Malla Acma</v>
      </c>
    </row>
    <row r="1384" spans="1:6" x14ac:dyDescent="0.25">
      <c r="A1384" s="43">
        <v>4101003</v>
      </c>
      <c r="B1384" t="s">
        <v>1499</v>
      </c>
      <c r="C1384" s="43">
        <v>10054</v>
      </c>
      <c r="D1384" t="s">
        <v>2758</v>
      </c>
      <c r="E1384" s="47" t="str">
        <f>+Cuenta_Clasificacion[[#This Row],[Código Cuenta Contable]]&amp;" - "&amp;Cuenta_Clasificacion[[#This Row],[Nombre de Cuenta Contable]]</f>
        <v>4101003 - IVA Subcontratos DS-19</v>
      </c>
      <c r="F1384" s="47" t="str">
        <f>+Cuenta_Clasificacion[[#This Row],[Codigo Concepto de imputación]]&amp;" - "&amp;Cuenta_Clasificacion[[#This Row],[Nombre Concepto de imputación]]</f>
        <v>10054 - Malla Raschel</v>
      </c>
    </row>
    <row r="1385" spans="1:6" x14ac:dyDescent="0.25">
      <c r="A1385" s="43">
        <v>4101003</v>
      </c>
      <c r="B1385" t="s">
        <v>1499</v>
      </c>
      <c r="C1385" s="43">
        <v>10055</v>
      </c>
      <c r="D1385" t="s">
        <v>2759</v>
      </c>
      <c r="E1385" s="47" t="str">
        <f>+Cuenta_Clasificacion[[#This Row],[Código Cuenta Contable]]&amp;" - "&amp;Cuenta_Clasificacion[[#This Row],[Nombre de Cuenta Contable]]</f>
        <v>4101003 - IVA Subcontratos DS-19</v>
      </c>
      <c r="F1385" s="47" t="str">
        <f>+Cuenta_Clasificacion[[#This Row],[Codigo Concepto de imputación]]&amp;" - "&amp;Cuenta_Clasificacion[[#This Row],[Nombre Concepto de imputación]]</f>
        <v>10055 - Mallas Varias</v>
      </c>
    </row>
    <row r="1386" spans="1:6" x14ac:dyDescent="0.25">
      <c r="A1386" s="43">
        <v>4101003</v>
      </c>
      <c r="B1386" t="s">
        <v>1499</v>
      </c>
      <c r="C1386" s="43">
        <v>10056</v>
      </c>
      <c r="D1386" t="s">
        <v>2760</v>
      </c>
      <c r="E1386" s="47" t="str">
        <f>+Cuenta_Clasificacion[[#This Row],[Código Cuenta Contable]]&amp;" - "&amp;Cuenta_Clasificacion[[#This Row],[Nombre de Cuenta Contable]]</f>
        <v>4101003 - IVA Subcontratos DS-19</v>
      </c>
      <c r="F1386" s="47" t="str">
        <f>+Cuenta_Clasificacion[[#This Row],[Codigo Concepto de imputación]]&amp;" - "&amp;Cuenta_Clasificacion[[#This Row],[Nombre Concepto de imputación]]</f>
        <v>10056 - Mangueras</v>
      </c>
    </row>
    <row r="1387" spans="1:6" x14ac:dyDescent="0.25">
      <c r="A1387" s="43">
        <v>4101003</v>
      </c>
      <c r="B1387" t="s">
        <v>1499</v>
      </c>
      <c r="C1387" s="43">
        <v>10057</v>
      </c>
      <c r="D1387" t="s">
        <v>2761</v>
      </c>
      <c r="E1387" s="47" t="str">
        <f>+Cuenta_Clasificacion[[#This Row],[Código Cuenta Contable]]&amp;" - "&amp;Cuenta_Clasificacion[[#This Row],[Nombre de Cuenta Contable]]</f>
        <v>4101003 - IVA Subcontratos DS-19</v>
      </c>
      <c r="F1387" s="47" t="str">
        <f>+Cuenta_Clasificacion[[#This Row],[Codigo Concepto de imputación]]&amp;" - "&amp;Cuenta_Clasificacion[[#This Row],[Nombre Concepto de imputación]]</f>
        <v>10057 - Molduras</v>
      </c>
    </row>
    <row r="1388" spans="1:6" x14ac:dyDescent="0.25">
      <c r="A1388" s="43">
        <v>4101003</v>
      </c>
      <c r="B1388" t="s">
        <v>1499</v>
      </c>
      <c r="C1388" s="43">
        <v>10058</v>
      </c>
      <c r="D1388" t="s">
        <v>2762</v>
      </c>
      <c r="E1388" s="47" t="str">
        <f>+Cuenta_Clasificacion[[#This Row],[Código Cuenta Contable]]&amp;" - "&amp;Cuenta_Clasificacion[[#This Row],[Nombre de Cuenta Contable]]</f>
        <v>4101003 - IVA Subcontratos DS-19</v>
      </c>
      <c r="F1388" s="47" t="str">
        <f>+Cuenta_Clasificacion[[#This Row],[Codigo Concepto de imputación]]&amp;" - "&amp;Cuenta_Clasificacion[[#This Row],[Nombre Concepto de imputación]]</f>
        <v>10058 - Morteros e Impermeabilizantes</v>
      </c>
    </row>
    <row r="1389" spans="1:6" x14ac:dyDescent="0.25">
      <c r="A1389" s="43">
        <v>4101003</v>
      </c>
      <c r="B1389" t="s">
        <v>1499</v>
      </c>
      <c r="C1389" s="43">
        <v>10059</v>
      </c>
      <c r="D1389" t="s">
        <v>2763</v>
      </c>
      <c r="E1389" s="47" t="str">
        <f>+Cuenta_Clasificacion[[#This Row],[Código Cuenta Contable]]&amp;" - "&amp;Cuenta_Clasificacion[[#This Row],[Nombre de Cuenta Contable]]</f>
        <v>4101003 - IVA Subcontratos DS-19</v>
      </c>
      <c r="F1389" s="47" t="str">
        <f>+Cuenta_Clasificacion[[#This Row],[Codigo Concepto de imputación]]&amp;" - "&amp;Cuenta_Clasificacion[[#This Row],[Nombre Concepto de imputación]]</f>
        <v>10059 - Muebles</v>
      </c>
    </row>
    <row r="1390" spans="1:6" x14ac:dyDescent="0.25">
      <c r="A1390" s="43">
        <v>4101003</v>
      </c>
      <c r="B1390" t="s">
        <v>1499</v>
      </c>
      <c r="C1390" s="43">
        <v>10060</v>
      </c>
      <c r="D1390" t="s">
        <v>2764</v>
      </c>
      <c r="E1390" s="47" t="str">
        <f>+Cuenta_Clasificacion[[#This Row],[Código Cuenta Contable]]&amp;" - "&amp;Cuenta_Clasificacion[[#This Row],[Nombre de Cuenta Contable]]</f>
        <v>4101003 - IVA Subcontratos DS-19</v>
      </c>
      <c r="F1390" s="47" t="str">
        <f>+Cuenta_Clasificacion[[#This Row],[Codigo Concepto de imputación]]&amp;" - "&amp;Cuenta_Clasificacion[[#This Row],[Nombre Concepto de imputación]]</f>
        <v>10060 - Muebles e Inst Faena</v>
      </c>
    </row>
    <row r="1391" spans="1:6" x14ac:dyDescent="0.25">
      <c r="A1391" s="43">
        <v>4101003</v>
      </c>
      <c r="B1391" t="s">
        <v>1499</v>
      </c>
      <c r="C1391" s="43">
        <v>10061</v>
      </c>
      <c r="D1391" t="s">
        <v>2765</v>
      </c>
      <c r="E1391" s="47" t="str">
        <f>+Cuenta_Clasificacion[[#This Row],[Código Cuenta Contable]]&amp;" - "&amp;Cuenta_Clasificacion[[#This Row],[Nombre de Cuenta Contable]]</f>
        <v>4101003 - IVA Subcontratos DS-19</v>
      </c>
      <c r="F1391" s="47" t="str">
        <f>+Cuenta_Clasificacion[[#This Row],[Codigo Concepto de imputación]]&amp;" - "&amp;Cuenta_Clasificacion[[#This Row],[Nombre Concepto de imputación]]</f>
        <v>10061 - Papel Mural</v>
      </c>
    </row>
    <row r="1392" spans="1:6" x14ac:dyDescent="0.25">
      <c r="A1392" s="43">
        <v>4101003</v>
      </c>
      <c r="B1392" t="s">
        <v>1499</v>
      </c>
      <c r="C1392" s="43">
        <v>10062</v>
      </c>
      <c r="D1392" t="s">
        <v>2766</v>
      </c>
      <c r="E1392" s="47" t="str">
        <f>+Cuenta_Clasificacion[[#This Row],[Código Cuenta Contable]]&amp;" - "&amp;Cuenta_Clasificacion[[#This Row],[Nombre de Cuenta Contable]]</f>
        <v>4101003 - IVA Subcontratos DS-19</v>
      </c>
      <c r="F1392" s="47" t="str">
        <f>+Cuenta_Clasificacion[[#This Row],[Codigo Concepto de imputación]]&amp;" - "&amp;Cuenta_Clasificacion[[#This Row],[Nombre Concepto de imputación]]</f>
        <v>10062 - Pavimentos</v>
      </c>
    </row>
    <row r="1393" spans="1:6" x14ac:dyDescent="0.25">
      <c r="A1393" s="43">
        <v>4101003</v>
      </c>
      <c r="B1393" t="s">
        <v>1499</v>
      </c>
      <c r="C1393" s="43">
        <v>10063</v>
      </c>
      <c r="D1393" t="s">
        <v>2767</v>
      </c>
      <c r="E1393" s="47" t="str">
        <f>+Cuenta_Clasificacion[[#This Row],[Código Cuenta Contable]]&amp;" - "&amp;Cuenta_Clasificacion[[#This Row],[Nombre de Cuenta Contable]]</f>
        <v>4101003 - IVA Subcontratos DS-19</v>
      </c>
      <c r="F1393" s="47" t="str">
        <f>+Cuenta_Clasificacion[[#This Row],[Codigo Concepto de imputación]]&amp;" - "&amp;Cuenta_Clasificacion[[#This Row],[Nombre Concepto de imputación]]</f>
        <v>10063 - Pendones</v>
      </c>
    </row>
    <row r="1394" spans="1:6" x14ac:dyDescent="0.25">
      <c r="A1394" s="43">
        <v>4101003</v>
      </c>
      <c r="B1394" t="s">
        <v>1499</v>
      </c>
      <c r="C1394" s="43">
        <v>10064</v>
      </c>
      <c r="D1394" t="s">
        <v>2768</v>
      </c>
      <c r="E1394" s="47" t="str">
        <f>+Cuenta_Clasificacion[[#This Row],[Código Cuenta Contable]]&amp;" - "&amp;Cuenta_Clasificacion[[#This Row],[Nombre de Cuenta Contable]]</f>
        <v>4101003 - IVA Subcontratos DS-19</v>
      </c>
      <c r="F1394" s="47" t="str">
        <f>+Cuenta_Clasificacion[[#This Row],[Codigo Concepto de imputación]]&amp;" - "&amp;Cuenta_Clasificacion[[#This Row],[Nombre Concepto de imputación]]</f>
        <v>10064 - Perfiles y Tubos</v>
      </c>
    </row>
    <row r="1395" spans="1:6" x14ac:dyDescent="0.25">
      <c r="A1395" s="43">
        <v>4101003</v>
      </c>
      <c r="B1395" t="s">
        <v>1499</v>
      </c>
      <c r="C1395" s="43">
        <v>10065</v>
      </c>
      <c r="D1395" t="s">
        <v>2769</v>
      </c>
      <c r="E1395" s="47" t="str">
        <f>+Cuenta_Clasificacion[[#This Row],[Código Cuenta Contable]]&amp;" - "&amp;Cuenta_Clasificacion[[#This Row],[Nombre de Cuenta Contable]]</f>
        <v>4101003 - IVA Subcontratos DS-19</v>
      </c>
      <c r="F1395" s="47" t="str">
        <f>+Cuenta_Clasificacion[[#This Row],[Codigo Concepto de imputación]]&amp;" - "&amp;Cuenta_Clasificacion[[#This Row],[Nombre Concepto de imputación]]</f>
        <v>10065 - Persianas</v>
      </c>
    </row>
    <row r="1396" spans="1:6" x14ac:dyDescent="0.25">
      <c r="A1396" s="43">
        <v>4101003</v>
      </c>
      <c r="B1396" t="s">
        <v>1499</v>
      </c>
      <c r="C1396" s="43">
        <v>10066</v>
      </c>
      <c r="D1396" t="s">
        <v>2770</v>
      </c>
      <c r="E1396" s="47" t="str">
        <f>+Cuenta_Clasificacion[[#This Row],[Código Cuenta Contable]]&amp;" - "&amp;Cuenta_Clasificacion[[#This Row],[Nombre de Cuenta Contable]]</f>
        <v>4101003 - IVA Subcontratos DS-19</v>
      </c>
      <c r="F1396" s="47" t="str">
        <f>+Cuenta_Clasificacion[[#This Row],[Codigo Concepto de imputación]]&amp;" - "&amp;Cuenta_Clasificacion[[#This Row],[Nombre Concepto de imputación]]</f>
        <v>10066 - Pinturas</v>
      </c>
    </row>
    <row r="1397" spans="1:6" x14ac:dyDescent="0.25">
      <c r="A1397" s="43">
        <v>4101003</v>
      </c>
      <c r="B1397" t="s">
        <v>1499</v>
      </c>
      <c r="C1397" s="43">
        <v>10067</v>
      </c>
      <c r="D1397" t="s">
        <v>2771</v>
      </c>
      <c r="E1397" s="47" t="str">
        <f>+Cuenta_Clasificacion[[#This Row],[Código Cuenta Contable]]&amp;" - "&amp;Cuenta_Clasificacion[[#This Row],[Nombre de Cuenta Contable]]</f>
        <v>4101003 - IVA Subcontratos DS-19</v>
      </c>
      <c r="F1397" s="47" t="str">
        <f>+Cuenta_Clasificacion[[#This Row],[Codigo Concepto de imputación]]&amp;" - "&amp;Cuenta_Clasificacion[[#This Row],[Nombre Concepto de imputación]]</f>
        <v>10067 - Piscinas</v>
      </c>
    </row>
    <row r="1398" spans="1:6" x14ac:dyDescent="0.25">
      <c r="A1398" s="43">
        <v>4101003</v>
      </c>
      <c r="B1398" t="s">
        <v>1499</v>
      </c>
      <c r="C1398" s="43">
        <v>10068</v>
      </c>
      <c r="D1398" t="s">
        <v>2772</v>
      </c>
      <c r="E1398" s="47" t="str">
        <f>+Cuenta_Clasificacion[[#This Row],[Código Cuenta Contable]]&amp;" - "&amp;Cuenta_Clasificacion[[#This Row],[Nombre de Cuenta Contable]]</f>
        <v>4101003 - IVA Subcontratos DS-19</v>
      </c>
      <c r="F1398" s="47" t="str">
        <f>+Cuenta_Clasificacion[[#This Row],[Codigo Concepto de imputación]]&amp;" - "&amp;Cuenta_Clasificacion[[#This Row],[Nombre Concepto de imputación]]</f>
        <v>10068 - Placas Aglomeradas</v>
      </c>
    </row>
    <row r="1399" spans="1:6" x14ac:dyDescent="0.25">
      <c r="A1399" s="43">
        <v>4101003</v>
      </c>
      <c r="B1399" t="s">
        <v>1499</v>
      </c>
      <c r="C1399" s="43">
        <v>10069</v>
      </c>
      <c r="D1399" t="s">
        <v>2773</v>
      </c>
      <c r="E1399" s="47" t="str">
        <f>+Cuenta_Clasificacion[[#This Row],[Código Cuenta Contable]]&amp;" - "&amp;Cuenta_Clasificacion[[#This Row],[Nombre de Cuenta Contable]]</f>
        <v>4101003 - IVA Subcontratos DS-19</v>
      </c>
      <c r="F1399" s="47" t="str">
        <f>+Cuenta_Clasificacion[[#This Row],[Codigo Concepto de imputación]]&amp;" - "&amp;Cuenta_Clasificacion[[#This Row],[Nombre Concepto de imputación]]</f>
        <v>10069 - Planchas</v>
      </c>
    </row>
    <row r="1400" spans="1:6" x14ac:dyDescent="0.25">
      <c r="A1400" s="43">
        <v>4101003</v>
      </c>
      <c r="B1400" t="s">
        <v>1499</v>
      </c>
      <c r="C1400" s="43">
        <v>10070</v>
      </c>
      <c r="D1400" t="s">
        <v>2774</v>
      </c>
      <c r="E1400" s="47" t="str">
        <f>+Cuenta_Clasificacion[[#This Row],[Código Cuenta Contable]]&amp;" - "&amp;Cuenta_Clasificacion[[#This Row],[Nombre de Cuenta Contable]]</f>
        <v>4101003 - IVA Subcontratos DS-19</v>
      </c>
      <c r="F1400" s="47" t="str">
        <f>+Cuenta_Clasificacion[[#This Row],[Codigo Concepto de imputación]]&amp;" - "&amp;Cuenta_Clasificacion[[#This Row],[Nombre Concepto de imputación]]</f>
        <v>10070 - Prefabricados Hormigón</v>
      </c>
    </row>
    <row r="1401" spans="1:6" x14ac:dyDescent="0.25">
      <c r="A1401" s="43">
        <v>4101003</v>
      </c>
      <c r="B1401" t="s">
        <v>1499</v>
      </c>
      <c r="C1401" s="43">
        <v>10071</v>
      </c>
      <c r="D1401" t="s">
        <v>2775</v>
      </c>
      <c r="E1401" s="47" t="str">
        <f>+Cuenta_Clasificacion[[#This Row],[Código Cuenta Contable]]&amp;" - "&amp;Cuenta_Clasificacion[[#This Row],[Nombre de Cuenta Contable]]</f>
        <v>4101003 - IVA Subcontratos DS-19</v>
      </c>
      <c r="F1401" s="47" t="str">
        <f>+Cuenta_Clasificacion[[#This Row],[Codigo Concepto de imputación]]&amp;" - "&amp;Cuenta_Clasificacion[[#This Row],[Nombre Concepto de imputación]]</f>
        <v>10071 - Puertas y Ventanas</v>
      </c>
    </row>
    <row r="1402" spans="1:6" x14ac:dyDescent="0.25">
      <c r="A1402" s="43">
        <v>4101003</v>
      </c>
      <c r="B1402" t="s">
        <v>1499</v>
      </c>
      <c r="C1402" s="43">
        <v>10072</v>
      </c>
      <c r="D1402" t="s">
        <v>2776</v>
      </c>
      <c r="E1402" s="47" t="str">
        <f>+Cuenta_Clasificacion[[#This Row],[Código Cuenta Contable]]&amp;" - "&amp;Cuenta_Clasificacion[[#This Row],[Nombre de Cuenta Contable]]</f>
        <v>4101003 - IVA Subcontratos DS-19</v>
      </c>
      <c r="F1402" s="47" t="str">
        <f>+Cuenta_Clasificacion[[#This Row],[Codigo Concepto de imputación]]&amp;" - "&amp;Cuenta_Clasificacion[[#This Row],[Nombre Concepto de imputación]]</f>
        <v>10072 - Quincallería</v>
      </c>
    </row>
    <row r="1403" spans="1:6" x14ac:dyDescent="0.25">
      <c r="A1403" s="43">
        <v>4101003</v>
      </c>
      <c r="B1403" t="s">
        <v>1499</v>
      </c>
      <c r="C1403" s="43">
        <v>10073</v>
      </c>
      <c r="D1403" t="s">
        <v>2777</v>
      </c>
      <c r="E1403" s="47" t="str">
        <f>+Cuenta_Clasificacion[[#This Row],[Código Cuenta Contable]]&amp;" - "&amp;Cuenta_Clasificacion[[#This Row],[Nombre de Cuenta Contable]]</f>
        <v>4101003 - IVA Subcontratos DS-19</v>
      </c>
      <c r="F1403" s="47" t="str">
        <f>+Cuenta_Clasificacion[[#This Row],[Codigo Concepto de imputación]]&amp;" - "&amp;Cuenta_Clasificacion[[#This Row],[Nombre Concepto de imputación]]</f>
        <v>10073 - Revestimientos</v>
      </c>
    </row>
    <row r="1404" spans="1:6" x14ac:dyDescent="0.25">
      <c r="A1404" s="43">
        <v>4101003</v>
      </c>
      <c r="B1404" t="s">
        <v>1499</v>
      </c>
      <c r="C1404" s="43">
        <v>10074</v>
      </c>
      <c r="D1404" t="s">
        <v>2778</v>
      </c>
      <c r="E1404" s="47" t="str">
        <f>+Cuenta_Clasificacion[[#This Row],[Código Cuenta Contable]]&amp;" - "&amp;Cuenta_Clasificacion[[#This Row],[Nombre de Cuenta Contable]]</f>
        <v>4101003 - IVA Subcontratos DS-19</v>
      </c>
      <c r="F1404" s="47" t="str">
        <f>+Cuenta_Clasificacion[[#This Row],[Codigo Concepto de imputación]]&amp;" - "&amp;Cuenta_Clasificacion[[#This Row],[Nombre Concepto de imputación]]</f>
        <v>10074 - Rollizos y Postes Madera</v>
      </c>
    </row>
    <row r="1405" spans="1:6" x14ac:dyDescent="0.25">
      <c r="A1405" s="43">
        <v>4101003</v>
      </c>
      <c r="B1405" t="s">
        <v>1499</v>
      </c>
      <c r="C1405" s="43">
        <v>10075</v>
      </c>
      <c r="D1405" t="s">
        <v>2779</v>
      </c>
      <c r="E1405" s="47" t="str">
        <f>+Cuenta_Clasificacion[[#This Row],[Código Cuenta Contable]]&amp;" - "&amp;Cuenta_Clasificacion[[#This Row],[Nombre de Cuenta Contable]]</f>
        <v>4101003 - IVA Subcontratos DS-19</v>
      </c>
      <c r="F1405" s="47" t="str">
        <f>+Cuenta_Clasificacion[[#This Row],[Codigo Concepto de imputación]]&amp;" - "&amp;Cuenta_Clasificacion[[#This Row],[Nombre Concepto de imputación]]</f>
        <v>10075 - Señalética</v>
      </c>
    </row>
    <row r="1406" spans="1:6" x14ac:dyDescent="0.25">
      <c r="A1406" s="43">
        <v>4101003</v>
      </c>
      <c r="B1406" t="s">
        <v>1499</v>
      </c>
      <c r="C1406" s="43">
        <v>10076</v>
      </c>
      <c r="D1406" t="s">
        <v>2780</v>
      </c>
      <c r="E1406" s="47" t="str">
        <f>+Cuenta_Clasificacion[[#This Row],[Código Cuenta Contable]]&amp;" - "&amp;Cuenta_Clasificacion[[#This Row],[Nombre de Cuenta Contable]]</f>
        <v>4101003 - IVA Subcontratos DS-19</v>
      </c>
      <c r="F1406" s="47" t="str">
        <f>+Cuenta_Clasificacion[[#This Row],[Codigo Concepto de imputación]]&amp;" - "&amp;Cuenta_Clasificacion[[#This Row],[Nombre Concepto de imputación]]</f>
        <v>10076 - Soldadura</v>
      </c>
    </row>
    <row r="1407" spans="1:6" x14ac:dyDescent="0.25">
      <c r="A1407" s="43">
        <v>4101003</v>
      </c>
      <c r="B1407" t="s">
        <v>1499</v>
      </c>
      <c r="C1407" s="43">
        <v>10077</v>
      </c>
      <c r="D1407" t="s">
        <v>2781</v>
      </c>
      <c r="E1407" s="47" t="str">
        <f>+Cuenta_Clasificacion[[#This Row],[Código Cuenta Contable]]&amp;" - "&amp;Cuenta_Clasificacion[[#This Row],[Nombre de Cuenta Contable]]</f>
        <v>4101003 - IVA Subcontratos DS-19</v>
      </c>
      <c r="F1407" s="47" t="str">
        <f>+Cuenta_Clasificacion[[#This Row],[Codigo Concepto de imputación]]&amp;" - "&amp;Cuenta_Clasificacion[[#This Row],[Nombre Concepto de imputación]]</f>
        <v>10077 - Sum. e Inst. Anclajes Postens.</v>
      </c>
    </row>
    <row r="1408" spans="1:6" x14ac:dyDescent="0.25">
      <c r="A1408" s="43">
        <v>4101003</v>
      </c>
      <c r="B1408" t="s">
        <v>1499</v>
      </c>
      <c r="C1408" s="43">
        <v>10078</v>
      </c>
      <c r="D1408" t="s">
        <v>2782</v>
      </c>
      <c r="E1408" s="47" t="str">
        <f>+Cuenta_Clasificacion[[#This Row],[Código Cuenta Contable]]&amp;" - "&amp;Cuenta_Clasificacion[[#This Row],[Nombre de Cuenta Contable]]</f>
        <v>4101003 - IVA Subcontratos DS-19</v>
      </c>
      <c r="F1408" s="47" t="str">
        <f>+Cuenta_Clasificacion[[#This Row],[Codigo Concepto de imputación]]&amp;" - "&amp;Cuenta_Clasificacion[[#This Row],[Nombre Concepto de imputación]]</f>
        <v>10078 - Tabiques</v>
      </c>
    </row>
    <row r="1409" spans="1:6" x14ac:dyDescent="0.25">
      <c r="A1409" s="43">
        <v>4101003</v>
      </c>
      <c r="B1409" t="s">
        <v>1499</v>
      </c>
      <c r="C1409" s="43">
        <v>10079</v>
      </c>
      <c r="D1409" t="s">
        <v>2783</v>
      </c>
      <c r="E1409" s="47" t="str">
        <f>+Cuenta_Clasificacion[[#This Row],[Código Cuenta Contable]]&amp;" - "&amp;Cuenta_Clasificacion[[#This Row],[Nombre de Cuenta Contable]]</f>
        <v>4101003 - IVA Subcontratos DS-19</v>
      </c>
      <c r="F1409" s="47" t="str">
        <f>+Cuenta_Clasificacion[[#This Row],[Codigo Concepto de imputación]]&amp;" - "&amp;Cuenta_Clasificacion[[#This Row],[Nombre Concepto de imputación]]</f>
        <v>10079 - Yeso y Cal</v>
      </c>
    </row>
    <row r="1410" spans="1:6" x14ac:dyDescent="0.25">
      <c r="A1410" s="43">
        <v>4101003</v>
      </c>
      <c r="B1410" t="s">
        <v>1499</v>
      </c>
      <c r="C1410" s="43">
        <v>10080</v>
      </c>
      <c r="D1410" t="s">
        <v>2699</v>
      </c>
      <c r="E1410" s="47" t="str">
        <f>+Cuenta_Clasificacion[[#This Row],[Código Cuenta Contable]]&amp;" - "&amp;Cuenta_Clasificacion[[#This Row],[Nombre de Cuenta Contable]]</f>
        <v>4101003 - IVA Subcontratos DS-19</v>
      </c>
      <c r="F1410" s="47" t="str">
        <f>+Cuenta_Clasificacion[[#This Row],[Codigo Concepto de imputación]]&amp;" - "&amp;Cuenta_Clasificacion[[#This Row],[Nombre Concepto de imputación]]</f>
        <v>10080 - Ajuste de Precio</v>
      </c>
    </row>
    <row r="1411" spans="1:6" x14ac:dyDescent="0.25">
      <c r="A1411" s="43">
        <v>4101003</v>
      </c>
      <c r="B1411" t="s">
        <v>1499</v>
      </c>
      <c r="C1411" s="43">
        <v>10081</v>
      </c>
      <c r="D1411" t="s">
        <v>2784</v>
      </c>
      <c r="E1411" s="47" t="str">
        <f>+Cuenta_Clasificacion[[#This Row],[Código Cuenta Contable]]&amp;" - "&amp;Cuenta_Clasificacion[[#This Row],[Nombre de Cuenta Contable]]</f>
        <v>4101003 - IVA Subcontratos DS-19</v>
      </c>
      <c r="F1411" s="47" t="str">
        <f>+Cuenta_Clasificacion[[#This Row],[Codigo Concepto de imputación]]&amp;" - "&amp;Cuenta_Clasificacion[[#This Row],[Nombre Concepto de imputación]]</f>
        <v>10081 - Prefabricados Madera</v>
      </c>
    </row>
    <row r="1412" spans="1:6" x14ac:dyDescent="0.25">
      <c r="A1412" s="43">
        <v>4101003</v>
      </c>
      <c r="B1412" t="s">
        <v>1499</v>
      </c>
      <c r="C1412" s="43">
        <v>20001</v>
      </c>
      <c r="D1412" t="s">
        <v>2785</v>
      </c>
      <c r="E1412" s="47" t="str">
        <f>+Cuenta_Clasificacion[[#This Row],[Código Cuenta Contable]]&amp;" - "&amp;Cuenta_Clasificacion[[#This Row],[Nombre de Cuenta Contable]]</f>
        <v>4101003 - IVA Subcontratos DS-19</v>
      </c>
      <c r="F1412" s="47" t="str">
        <f>+Cuenta_Clasificacion[[#This Row],[Codigo Concepto de imputación]]&amp;" - "&amp;Cuenta_Clasificacion[[#This Row],[Nombre Concepto de imputación]]</f>
        <v>20001 - Sbctto Agua Potable Domic.</v>
      </c>
    </row>
    <row r="1413" spans="1:6" x14ac:dyDescent="0.25">
      <c r="A1413" s="43">
        <v>4101003</v>
      </c>
      <c r="B1413" t="s">
        <v>1499</v>
      </c>
      <c r="C1413" s="43">
        <v>20002</v>
      </c>
      <c r="D1413" t="s">
        <v>2786</v>
      </c>
      <c r="E1413" s="47" t="str">
        <f>+Cuenta_Clasificacion[[#This Row],[Código Cuenta Contable]]&amp;" - "&amp;Cuenta_Clasificacion[[#This Row],[Nombre de Cuenta Contable]]</f>
        <v>4101003 - IVA Subcontratos DS-19</v>
      </c>
      <c r="F1413" s="47" t="str">
        <f>+Cuenta_Clasificacion[[#This Row],[Codigo Concepto de imputación]]&amp;" - "&amp;Cuenta_Clasificacion[[#This Row],[Nombre Concepto de imputación]]</f>
        <v>20002 - Sbctto Agua Potable Provisorio</v>
      </c>
    </row>
    <row r="1414" spans="1:6" x14ac:dyDescent="0.25">
      <c r="A1414" s="43">
        <v>4101003</v>
      </c>
      <c r="B1414" t="s">
        <v>1499</v>
      </c>
      <c r="C1414" s="43">
        <v>20003</v>
      </c>
      <c r="D1414" t="s">
        <v>2787</v>
      </c>
      <c r="E1414" s="47" t="str">
        <f>+Cuenta_Clasificacion[[#This Row],[Código Cuenta Contable]]&amp;" - "&amp;Cuenta_Clasificacion[[#This Row],[Nombre de Cuenta Contable]]</f>
        <v>4101003 - IVA Subcontratos DS-19</v>
      </c>
      <c r="F1414" s="47" t="str">
        <f>+Cuenta_Clasificacion[[#This Row],[Codigo Concepto de imputación]]&amp;" - "&amp;Cuenta_Clasificacion[[#This Row],[Nombre Concepto de imputación]]</f>
        <v>20003 - Sbctto Aire Acondicionado</v>
      </c>
    </row>
    <row r="1415" spans="1:6" x14ac:dyDescent="0.25">
      <c r="A1415" s="43">
        <v>4101003</v>
      </c>
      <c r="B1415" t="s">
        <v>1499</v>
      </c>
      <c r="C1415" s="43">
        <v>20004</v>
      </c>
      <c r="D1415" t="s">
        <v>2788</v>
      </c>
      <c r="E1415" s="47" t="str">
        <f>+Cuenta_Clasificacion[[#This Row],[Código Cuenta Contable]]&amp;" - "&amp;Cuenta_Clasificacion[[#This Row],[Nombre de Cuenta Contable]]</f>
        <v>4101003 - IVA Subcontratos DS-19</v>
      </c>
      <c r="F1415" s="47" t="str">
        <f>+Cuenta_Clasificacion[[#This Row],[Codigo Concepto de imputación]]&amp;" - "&amp;Cuenta_Clasificacion[[#This Row],[Nombre Concepto de imputación]]</f>
        <v>20004 - Sbctto Alarmas Contra Incendio</v>
      </c>
    </row>
    <row r="1416" spans="1:6" x14ac:dyDescent="0.25">
      <c r="A1416" s="43">
        <v>4101003</v>
      </c>
      <c r="B1416" t="s">
        <v>1499</v>
      </c>
      <c r="C1416" s="43">
        <v>20005</v>
      </c>
      <c r="D1416" t="s">
        <v>2789</v>
      </c>
      <c r="E1416" s="47" t="str">
        <f>+Cuenta_Clasificacion[[#This Row],[Código Cuenta Contable]]&amp;" - "&amp;Cuenta_Clasificacion[[#This Row],[Nombre de Cuenta Contable]]</f>
        <v>4101003 - IVA Subcontratos DS-19</v>
      </c>
      <c r="F1416" s="47" t="str">
        <f>+Cuenta_Clasificacion[[#This Row],[Codigo Concepto de imputación]]&amp;" - "&amp;Cuenta_Clasificacion[[#This Row],[Nombre Concepto de imputación]]</f>
        <v>20005 - Sbctto Alarmas Contra Robos</v>
      </c>
    </row>
    <row r="1417" spans="1:6" x14ac:dyDescent="0.25">
      <c r="A1417" s="43">
        <v>4101003</v>
      </c>
      <c r="B1417" t="s">
        <v>1499</v>
      </c>
      <c r="C1417" s="43">
        <v>20006</v>
      </c>
      <c r="D1417" t="s">
        <v>2790</v>
      </c>
      <c r="E1417" s="47" t="str">
        <f>+Cuenta_Clasificacion[[#This Row],[Código Cuenta Contable]]&amp;" - "&amp;Cuenta_Clasificacion[[#This Row],[Nombre de Cuenta Contable]]</f>
        <v>4101003 - IVA Subcontratos DS-19</v>
      </c>
      <c r="F1417" s="47" t="str">
        <f>+Cuenta_Clasificacion[[#This Row],[Codigo Concepto de imputación]]&amp;" - "&amp;Cuenta_Clasificacion[[#This Row],[Nombre Concepto de imputación]]</f>
        <v>20006 - Sbctto Alcantarillado Domic.</v>
      </c>
    </row>
    <row r="1418" spans="1:6" x14ac:dyDescent="0.25">
      <c r="A1418" s="43">
        <v>4101003</v>
      </c>
      <c r="B1418" t="s">
        <v>1499</v>
      </c>
      <c r="C1418" s="43">
        <v>20007</v>
      </c>
      <c r="D1418" t="s">
        <v>2791</v>
      </c>
      <c r="E1418" s="47" t="str">
        <f>+Cuenta_Clasificacion[[#This Row],[Código Cuenta Contable]]&amp;" - "&amp;Cuenta_Clasificacion[[#This Row],[Nombre de Cuenta Contable]]</f>
        <v>4101003 - IVA Subcontratos DS-19</v>
      </c>
      <c r="F1418" s="47" t="str">
        <f>+Cuenta_Clasificacion[[#This Row],[Codigo Concepto de imputación]]&amp;" - "&amp;Cuenta_Clasificacion[[#This Row],[Nombre Concepto de imputación]]</f>
        <v>20007 - Sbctto Alcantarillado Publico</v>
      </c>
    </row>
    <row r="1419" spans="1:6" x14ac:dyDescent="0.25">
      <c r="A1419" s="43">
        <v>4101003</v>
      </c>
      <c r="B1419" t="s">
        <v>1499</v>
      </c>
      <c r="C1419" s="43">
        <v>20008</v>
      </c>
      <c r="D1419" t="s">
        <v>2792</v>
      </c>
      <c r="E1419" s="47" t="str">
        <f>+Cuenta_Clasificacion[[#This Row],[Código Cuenta Contable]]&amp;" - "&amp;Cuenta_Clasificacion[[#This Row],[Nombre de Cuenta Contable]]</f>
        <v>4101003 - IVA Subcontratos DS-19</v>
      </c>
      <c r="F1419" s="47" t="str">
        <f>+Cuenta_Clasificacion[[#This Row],[Codigo Concepto de imputación]]&amp;" - "&amp;Cuenta_Clasificacion[[#This Row],[Nombre Concepto de imputación]]</f>
        <v>20008 - Sbctto Alfombra</v>
      </c>
    </row>
    <row r="1420" spans="1:6" x14ac:dyDescent="0.25">
      <c r="A1420" s="43">
        <v>4101003</v>
      </c>
      <c r="B1420" t="s">
        <v>1499</v>
      </c>
      <c r="C1420" s="43">
        <v>20009</v>
      </c>
      <c r="D1420" t="s">
        <v>2793</v>
      </c>
      <c r="E1420" s="47" t="str">
        <f>+Cuenta_Clasificacion[[#This Row],[Código Cuenta Contable]]&amp;" - "&amp;Cuenta_Clasificacion[[#This Row],[Nombre de Cuenta Contable]]</f>
        <v>4101003 - IVA Subcontratos DS-19</v>
      </c>
      <c r="F1420" s="47" t="str">
        <f>+Cuenta_Clasificacion[[#This Row],[Codigo Concepto de imputación]]&amp;" - "&amp;Cuenta_Clasificacion[[#This Row],[Nombre Concepto de imputación]]</f>
        <v>20009 - Sbctto Aluminios</v>
      </c>
    </row>
    <row r="1421" spans="1:6" x14ac:dyDescent="0.25">
      <c r="A1421" s="43">
        <v>4101003</v>
      </c>
      <c r="B1421" t="s">
        <v>1499</v>
      </c>
      <c r="C1421" s="43">
        <v>20010</v>
      </c>
      <c r="D1421" t="s">
        <v>2794</v>
      </c>
      <c r="E1421" s="47" t="str">
        <f>+Cuenta_Clasificacion[[#This Row],[Código Cuenta Contable]]&amp;" - "&amp;Cuenta_Clasificacion[[#This Row],[Nombre de Cuenta Contable]]</f>
        <v>4101003 - IVA Subcontratos DS-19</v>
      </c>
      <c r="F1421" s="47" t="str">
        <f>+Cuenta_Clasificacion[[#This Row],[Codigo Concepto de imputación]]&amp;" - "&amp;Cuenta_Clasificacion[[#This Row],[Nombre Concepto de imputación]]</f>
        <v>20010 - Sbctto Ascensores</v>
      </c>
    </row>
    <row r="1422" spans="1:6" x14ac:dyDescent="0.25">
      <c r="A1422" s="43">
        <v>4101003</v>
      </c>
      <c r="B1422" t="s">
        <v>1499</v>
      </c>
      <c r="C1422" s="43">
        <v>20011</v>
      </c>
      <c r="D1422" t="s">
        <v>2795</v>
      </c>
      <c r="E1422" s="47" t="str">
        <f>+Cuenta_Clasificacion[[#This Row],[Código Cuenta Contable]]&amp;" - "&amp;Cuenta_Clasificacion[[#This Row],[Nombre de Cuenta Contable]]</f>
        <v>4101003 - IVA Subcontratos DS-19</v>
      </c>
      <c r="F1422" s="47" t="str">
        <f>+Cuenta_Clasificacion[[#This Row],[Codigo Concepto de imputación]]&amp;" - "&amp;Cuenta_Clasificacion[[#This Row],[Nombre Concepto de imputación]]</f>
        <v>20011 - Sbctto Baldosas</v>
      </c>
    </row>
    <row r="1423" spans="1:6" x14ac:dyDescent="0.25">
      <c r="A1423" s="43">
        <v>4101003</v>
      </c>
      <c r="B1423" t="s">
        <v>1499</v>
      </c>
      <c r="C1423" s="43">
        <v>20012</v>
      </c>
      <c r="D1423" t="s">
        <v>2796</v>
      </c>
      <c r="E1423" s="47" t="str">
        <f>+Cuenta_Clasificacion[[#This Row],[Código Cuenta Contable]]&amp;" - "&amp;Cuenta_Clasificacion[[#This Row],[Nombre de Cuenta Contable]]</f>
        <v>4101003 - IVA Subcontratos DS-19</v>
      </c>
      <c r="F1423" s="47" t="str">
        <f>+Cuenta_Clasificacion[[#This Row],[Codigo Concepto de imputación]]&amp;" - "&amp;Cuenta_Clasificacion[[#This Row],[Nombre Concepto de imputación]]</f>
        <v>20012 - Sbctto Carpintería en Madera</v>
      </c>
    </row>
    <row r="1424" spans="1:6" x14ac:dyDescent="0.25">
      <c r="A1424" s="43">
        <v>4101003</v>
      </c>
      <c r="B1424" t="s">
        <v>1499</v>
      </c>
      <c r="C1424" s="43">
        <v>20013</v>
      </c>
      <c r="D1424" t="s">
        <v>2797</v>
      </c>
      <c r="E1424" s="47" t="str">
        <f>+Cuenta_Clasificacion[[#This Row],[Código Cuenta Contable]]&amp;" - "&amp;Cuenta_Clasificacion[[#This Row],[Nombre de Cuenta Contable]]</f>
        <v>4101003 - IVA Subcontratos DS-19</v>
      </c>
      <c r="F1424" s="47" t="str">
        <f>+Cuenta_Clasificacion[[#This Row],[Codigo Concepto de imputación]]&amp;" - "&amp;Cuenta_Clasificacion[[#This Row],[Nombre Concepto de imputación]]</f>
        <v>20013 - Sbctto Cerámica</v>
      </c>
    </row>
    <row r="1425" spans="1:6" x14ac:dyDescent="0.25">
      <c r="A1425" s="43">
        <v>4101003</v>
      </c>
      <c r="B1425" t="s">
        <v>1499</v>
      </c>
      <c r="C1425" s="43">
        <v>20014</v>
      </c>
      <c r="D1425" t="s">
        <v>2798</v>
      </c>
      <c r="E1425" s="47" t="str">
        <f>+Cuenta_Clasificacion[[#This Row],[Código Cuenta Contable]]&amp;" - "&amp;Cuenta_Clasificacion[[#This Row],[Nombre de Cuenta Contable]]</f>
        <v>4101003 - IVA Subcontratos DS-19</v>
      </c>
      <c r="F1425" s="47" t="str">
        <f>+Cuenta_Clasificacion[[#This Row],[Codigo Concepto de imputación]]&amp;" - "&amp;Cuenta_Clasificacion[[#This Row],[Nombre Concepto de imputación]]</f>
        <v>20014 - Sbctto Cielos</v>
      </c>
    </row>
    <row r="1426" spans="1:6" x14ac:dyDescent="0.25">
      <c r="A1426" s="43">
        <v>4101003</v>
      </c>
      <c r="B1426" t="s">
        <v>1499</v>
      </c>
      <c r="C1426" s="43">
        <v>20015</v>
      </c>
      <c r="D1426" t="s">
        <v>2799</v>
      </c>
      <c r="E1426" s="47" t="str">
        <f>+Cuenta_Clasificacion[[#This Row],[Código Cuenta Contable]]&amp;" - "&amp;Cuenta_Clasificacion[[#This Row],[Nombre de Cuenta Contable]]</f>
        <v>4101003 - IVA Subcontratos DS-19</v>
      </c>
      <c r="F1426" s="47" t="str">
        <f>+Cuenta_Clasificacion[[#This Row],[Codigo Concepto de imputación]]&amp;" - "&amp;Cuenta_Clasificacion[[#This Row],[Nombre Concepto de imputación]]</f>
        <v>20015 - Sbctto Circuito Cerrado de TV</v>
      </c>
    </row>
    <row r="1427" spans="1:6" x14ac:dyDescent="0.25">
      <c r="A1427" s="43">
        <v>4101003</v>
      </c>
      <c r="B1427" t="s">
        <v>1499</v>
      </c>
      <c r="C1427" s="43">
        <v>20016</v>
      </c>
      <c r="D1427" t="s">
        <v>2800</v>
      </c>
      <c r="E1427" s="47" t="str">
        <f>+Cuenta_Clasificacion[[#This Row],[Código Cuenta Contable]]&amp;" - "&amp;Cuenta_Clasificacion[[#This Row],[Nombre de Cuenta Contable]]</f>
        <v>4101003 - IVA Subcontratos DS-19</v>
      </c>
      <c r="F1427" s="47" t="str">
        <f>+Cuenta_Clasificacion[[#This Row],[Codigo Concepto de imputación]]&amp;" - "&amp;Cuenta_Clasificacion[[#This Row],[Nombre Concepto de imputación]]</f>
        <v>20016 - Sbctto Control Centralizado</v>
      </c>
    </row>
    <row r="1428" spans="1:6" x14ac:dyDescent="0.25">
      <c r="A1428" s="43">
        <v>4101003</v>
      </c>
      <c r="B1428" t="s">
        <v>1499</v>
      </c>
      <c r="C1428" s="43">
        <v>20017</v>
      </c>
      <c r="D1428" t="s">
        <v>2801</v>
      </c>
      <c r="E1428" s="47" t="str">
        <f>+Cuenta_Clasificacion[[#This Row],[Código Cuenta Contable]]&amp;" - "&amp;Cuenta_Clasificacion[[#This Row],[Nombre de Cuenta Contable]]</f>
        <v>4101003 - IVA Subcontratos DS-19</v>
      </c>
      <c r="F1428" s="47" t="str">
        <f>+Cuenta_Clasificacion[[#This Row],[Codigo Concepto de imputación]]&amp;" - "&amp;Cuenta_Clasificacion[[#This Row],[Nombre Concepto de imputación]]</f>
        <v>20017 - Sbctto Control de Accesos</v>
      </c>
    </row>
    <row r="1429" spans="1:6" x14ac:dyDescent="0.25">
      <c r="A1429" s="43">
        <v>4101003</v>
      </c>
      <c r="B1429" t="s">
        <v>1499</v>
      </c>
      <c r="C1429" s="43">
        <v>20018</v>
      </c>
      <c r="D1429" t="s">
        <v>2802</v>
      </c>
      <c r="E1429" s="47" t="str">
        <f>+Cuenta_Clasificacion[[#This Row],[Código Cuenta Contable]]&amp;" - "&amp;Cuenta_Clasificacion[[#This Row],[Nombre de Cuenta Contable]]</f>
        <v>4101003 - IVA Subcontratos DS-19</v>
      </c>
      <c r="F1429" s="47" t="str">
        <f>+Cuenta_Clasificacion[[#This Row],[Codigo Concepto de imputación]]&amp;" - "&amp;Cuenta_Clasificacion[[#This Row],[Nombre Concepto de imputación]]</f>
        <v>20018 - Sbctto Corte de Pavimento</v>
      </c>
    </row>
    <row r="1430" spans="1:6" x14ac:dyDescent="0.25">
      <c r="A1430" s="43">
        <v>4101003</v>
      </c>
      <c r="B1430" t="s">
        <v>1499</v>
      </c>
      <c r="C1430" s="43">
        <v>20019</v>
      </c>
      <c r="D1430" t="s">
        <v>2803</v>
      </c>
      <c r="E1430" s="47" t="str">
        <f>+Cuenta_Clasificacion[[#This Row],[Código Cuenta Contable]]&amp;" - "&amp;Cuenta_Clasificacion[[#This Row],[Nombre de Cuenta Contable]]</f>
        <v>4101003 - IVA Subcontratos DS-19</v>
      </c>
      <c r="F1430" s="47" t="str">
        <f>+Cuenta_Clasificacion[[#This Row],[Codigo Concepto de imputación]]&amp;" - "&amp;Cuenta_Clasificacion[[#This Row],[Nombre Concepto de imputación]]</f>
        <v>20019 - Sbctto Demolición</v>
      </c>
    </row>
    <row r="1431" spans="1:6" x14ac:dyDescent="0.25">
      <c r="A1431" s="43">
        <v>4101003</v>
      </c>
      <c r="B1431" t="s">
        <v>1499</v>
      </c>
      <c r="C1431" s="43">
        <v>20020</v>
      </c>
      <c r="D1431" t="s">
        <v>2804</v>
      </c>
      <c r="E1431" s="47" t="str">
        <f>+Cuenta_Clasificacion[[#This Row],[Código Cuenta Contable]]&amp;" - "&amp;Cuenta_Clasificacion[[#This Row],[Nombre de Cuenta Contable]]</f>
        <v>4101003 - IVA Subcontratos DS-19</v>
      </c>
      <c r="F1431" s="47" t="str">
        <f>+Cuenta_Clasificacion[[#This Row],[Codigo Concepto de imputación]]&amp;" - "&amp;Cuenta_Clasificacion[[#This Row],[Nombre Concepto de imputación]]</f>
        <v>20020 - Sbctto Divisiones Exteriores</v>
      </c>
    </row>
    <row r="1432" spans="1:6" x14ac:dyDescent="0.25">
      <c r="A1432" s="43">
        <v>4101003</v>
      </c>
      <c r="B1432" t="s">
        <v>1499</v>
      </c>
      <c r="C1432" s="43">
        <v>20021</v>
      </c>
      <c r="D1432" t="s">
        <v>2805</v>
      </c>
      <c r="E1432" s="47" t="str">
        <f>+Cuenta_Clasificacion[[#This Row],[Código Cuenta Contable]]&amp;" - "&amp;Cuenta_Clasificacion[[#This Row],[Nombre de Cuenta Contable]]</f>
        <v>4101003 - IVA Subcontratos DS-19</v>
      </c>
      <c r="F1432" s="47" t="str">
        <f>+Cuenta_Clasificacion[[#This Row],[Codigo Concepto de imputación]]&amp;" - "&amp;Cuenta_Clasificacion[[#This Row],[Nombre Concepto de imputación]]</f>
        <v>20021 - Sbctto Divisiones Interiores</v>
      </c>
    </row>
    <row r="1433" spans="1:6" x14ac:dyDescent="0.25">
      <c r="A1433" s="43">
        <v>4101003</v>
      </c>
      <c r="B1433" t="s">
        <v>1499</v>
      </c>
      <c r="C1433" s="43">
        <v>20022</v>
      </c>
      <c r="D1433" t="s">
        <v>2806</v>
      </c>
      <c r="E1433" s="47" t="str">
        <f>+Cuenta_Clasificacion[[#This Row],[Código Cuenta Contable]]&amp;" - "&amp;Cuenta_Clasificacion[[#This Row],[Nombre de Cuenta Contable]]</f>
        <v>4101003 - IVA Subcontratos DS-19</v>
      </c>
      <c r="F1433" s="47" t="str">
        <f>+Cuenta_Clasificacion[[#This Row],[Codigo Concepto de imputación]]&amp;" - "&amp;Cuenta_Clasificacion[[#This Row],[Nombre Concepto de imputación]]</f>
        <v>20022 - Sbctto Elect. Domiciliario</v>
      </c>
    </row>
    <row r="1434" spans="1:6" x14ac:dyDescent="0.25">
      <c r="A1434" s="43">
        <v>4101003</v>
      </c>
      <c r="B1434" t="s">
        <v>1499</v>
      </c>
      <c r="C1434" s="43">
        <v>20023</v>
      </c>
      <c r="D1434" t="s">
        <v>2807</v>
      </c>
      <c r="E1434" s="47" t="str">
        <f>+Cuenta_Clasificacion[[#This Row],[Código Cuenta Contable]]&amp;" - "&amp;Cuenta_Clasificacion[[#This Row],[Nombre de Cuenta Contable]]</f>
        <v>4101003 - IVA Subcontratos DS-19</v>
      </c>
      <c r="F1434" s="47" t="str">
        <f>+Cuenta_Clasificacion[[#This Row],[Codigo Concepto de imputación]]&amp;" - "&amp;Cuenta_Clasificacion[[#This Row],[Nombre Concepto de imputación]]</f>
        <v>20023 - Sbctto Electricidad Industrial</v>
      </c>
    </row>
    <row r="1435" spans="1:6" x14ac:dyDescent="0.25">
      <c r="A1435" s="43">
        <v>4101003</v>
      </c>
      <c r="B1435" t="s">
        <v>1499</v>
      </c>
      <c r="C1435" s="43">
        <v>20024</v>
      </c>
      <c r="D1435" t="s">
        <v>2808</v>
      </c>
      <c r="E1435" s="47" t="str">
        <f>+Cuenta_Clasificacion[[#This Row],[Código Cuenta Contable]]&amp;" - "&amp;Cuenta_Clasificacion[[#This Row],[Nombre de Cuenta Contable]]</f>
        <v>4101003 - IVA Subcontratos DS-19</v>
      </c>
      <c r="F1435" s="47" t="str">
        <f>+Cuenta_Clasificacion[[#This Row],[Codigo Concepto de imputación]]&amp;" - "&amp;Cuenta_Clasificacion[[#This Row],[Nombre Concepto de imputación]]</f>
        <v>20024 - Sbctto Electricidad Provisoria</v>
      </c>
    </row>
    <row r="1436" spans="1:6" x14ac:dyDescent="0.25">
      <c r="A1436" s="43">
        <v>4101003</v>
      </c>
      <c r="B1436" t="s">
        <v>1499</v>
      </c>
      <c r="C1436" s="43">
        <v>20025</v>
      </c>
      <c r="D1436" t="s">
        <v>2809</v>
      </c>
      <c r="E1436" s="47" t="str">
        <f>+Cuenta_Clasificacion[[#This Row],[Código Cuenta Contable]]&amp;" - "&amp;Cuenta_Clasificacion[[#This Row],[Nombre de Cuenta Contable]]</f>
        <v>4101003 - IVA Subcontratos DS-19</v>
      </c>
      <c r="F1436" s="47" t="str">
        <f>+Cuenta_Clasificacion[[#This Row],[Codigo Concepto de imputación]]&amp;" - "&amp;Cuenta_Clasificacion[[#This Row],[Nombre Concepto de imputación]]</f>
        <v>20025 - Sbctto Enfierradura</v>
      </c>
    </row>
    <row r="1437" spans="1:6" x14ac:dyDescent="0.25">
      <c r="A1437" s="43">
        <v>4101003</v>
      </c>
      <c r="B1437" t="s">
        <v>1499</v>
      </c>
      <c r="C1437" s="43">
        <v>20026</v>
      </c>
      <c r="D1437" t="s">
        <v>2810</v>
      </c>
      <c r="E1437" s="47" t="str">
        <f>+Cuenta_Clasificacion[[#This Row],[Código Cuenta Contable]]&amp;" - "&amp;Cuenta_Clasificacion[[#This Row],[Nombre de Cuenta Contable]]</f>
        <v>4101003 - IVA Subcontratos DS-19</v>
      </c>
      <c r="F1437" s="47" t="str">
        <f>+Cuenta_Clasificacion[[#This Row],[Codigo Concepto de imputación]]&amp;" - "&amp;Cuenta_Clasificacion[[#This Row],[Nombre Concepto de imputación]]</f>
        <v>20026 - Sbctto Espejos</v>
      </c>
    </row>
    <row r="1438" spans="1:6" x14ac:dyDescent="0.25">
      <c r="A1438" s="43">
        <v>4101003</v>
      </c>
      <c r="B1438" t="s">
        <v>1499</v>
      </c>
      <c r="C1438" s="43">
        <v>20027</v>
      </c>
      <c r="D1438" t="s">
        <v>2811</v>
      </c>
      <c r="E1438" s="47" t="str">
        <f>+Cuenta_Clasificacion[[#This Row],[Código Cuenta Contable]]&amp;" - "&amp;Cuenta_Clasificacion[[#This Row],[Nombre de Cuenta Contable]]</f>
        <v>4101003 - IVA Subcontratos DS-19</v>
      </c>
      <c r="F1438" s="47" t="str">
        <f>+Cuenta_Clasificacion[[#This Row],[Codigo Concepto de imputación]]&amp;" - "&amp;Cuenta_Clasificacion[[#This Row],[Nombre Concepto de imputación]]</f>
        <v>20027 - Sbctto Estructuras Metálicas</v>
      </c>
    </row>
    <row r="1439" spans="1:6" x14ac:dyDescent="0.25">
      <c r="A1439" s="43">
        <v>4101003</v>
      </c>
      <c r="B1439" t="s">
        <v>1499</v>
      </c>
      <c r="C1439" s="43">
        <v>20028</v>
      </c>
      <c r="D1439" t="s">
        <v>2812</v>
      </c>
      <c r="E1439" s="47" t="str">
        <f>+Cuenta_Clasificacion[[#This Row],[Código Cuenta Contable]]&amp;" - "&amp;Cuenta_Clasificacion[[#This Row],[Nombre de Cuenta Contable]]</f>
        <v>4101003 - IVA Subcontratos DS-19</v>
      </c>
      <c r="F1439" s="47" t="str">
        <f>+Cuenta_Clasificacion[[#This Row],[Codigo Concepto de imputación]]&amp;" - "&amp;Cuenta_Clasificacion[[#This Row],[Nombre Concepto de imputación]]</f>
        <v>20028 - Sbctto Estuco</v>
      </c>
    </row>
    <row r="1440" spans="1:6" x14ac:dyDescent="0.25">
      <c r="A1440" s="43">
        <v>4101003</v>
      </c>
      <c r="B1440" t="s">
        <v>1499</v>
      </c>
      <c r="C1440" s="43">
        <v>20029</v>
      </c>
      <c r="D1440" t="s">
        <v>2813</v>
      </c>
      <c r="E1440" s="47" t="str">
        <f>+Cuenta_Clasificacion[[#This Row],[Código Cuenta Contable]]&amp;" - "&amp;Cuenta_Clasificacion[[#This Row],[Nombre de Cuenta Contable]]</f>
        <v>4101003 - IVA Subcontratos DS-19</v>
      </c>
      <c r="F1440" s="47" t="str">
        <f>+Cuenta_Clasificacion[[#This Row],[Codigo Concepto de imputación]]&amp;" - "&amp;Cuenta_Clasificacion[[#This Row],[Nombre Concepto de imputación]]</f>
        <v>20029 - Sbctto Excavaciones</v>
      </c>
    </row>
    <row r="1441" spans="1:6" x14ac:dyDescent="0.25">
      <c r="A1441" s="43">
        <v>4101003</v>
      </c>
      <c r="B1441" t="s">
        <v>1499</v>
      </c>
      <c r="C1441" s="43">
        <v>20030</v>
      </c>
      <c r="D1441" t="s">
        <v>2814</v>
      </c>
      <c r="E1441" s="47" t="str">
        <f>+Cuenta_Clasificacion[[#This Row],[Código Cuenta Contable]]&amp;" - "&amp;Cuenta_Clasificacion[[#This Row],[Nombre de Cuenta Contable]]</f>
        <v>4101003 - IVA Subcontratos DS-19</v>
      </c>
      <c r="F1441" s="47" t="str">
        <f>+Cuenta_Clasificacion[[#This Row],[Codigo Concepto de imputación]]&amp;" - "&amp;Cuenta_Clasificacion[[#This Row],[Nombre Concepto de imputación]]</f>
        <v>20030 - Sbctto Extracción de Escombros</v>
      </c>
    </row>
    <row r="1442" spans="1:6" x14ac:dyDescent="0.25">
      <c r="A1442" s="43">
        <v>4101003</v>
      </c>
      <c r="B1442" t="s">
        <v>1499</v>
      </c>
      <c r="C1442" s="43">
        <v>20031</v>
      </c>
      <c r="D1442" t="s">
        <v>2815</v>
      </c>
      <c r="E1442" s="47" t="str">
        <f>+Cuenta_Clasificacion[[#This Row],[Código Cuenta Contable]]&amp;" - "&amp;Cuenta_Clasificacion[[#This Row],[Nombre de Cuenta Contable]]</f>
        <v>4101003 - IVA Subcontratos DS-19</v>
      </c>
      <c r="F1442" s="47" t="str">
        <f>+Cuenta_Clasificacion[[#This Row],[Codigo Concepto de imputación]]&amp;" - "&amp;Cuenta_Clasificacion[[#This Row],[Nombre Concepto de imputación]]</f>
        <v>20031 - Sbctto Gas</v>
      </c>
    </row>
    <row r="1443" spans="1:6" x14ac:dyDescent="0.25">
      <c r="A1443" s="43">
        <v>4101003</v>
      </c>
      <c r="B1443" t="s">
        <v>1499</v>
      </c>
      <c r="C1443" s="43">
        <v>20032</v>
      </c>
      <c r="D1443" t="s">
        <v>2816</v>
      </c>
      <c r="E1443" s="47" t="str">
        <f>+Cuenta_Clasificacion[[#This Row],[Código Cuenta Contable]]&amp;" - "&amp;Cuenta_Clasificacion[[#This Row],[Nombre de Cuenta Contable]]</f>
        <v>4101003 - IVA Subcontratos DS-19</v>
      </c>
      <c r="F1443" s="47" t="str">
        <f>+Cuenta_Clasificacion[[#This Row],[Codigo Concepto de imputación]]&amp;" - "&amp;Cuenta_Clasificacion[[#This Row],[Nombre Concepto de imputación]]</f>
        <v>20032 - Sbctto Hojalatería</v>
      </c>
    </row>
    <row r="1444" spans="1:6" x14ac:dyDescent="0.25">
      <c r="A1444" s="43">
        <v>4101003</v>
      </c>
      <c r="B1444" t="s">
        <v>1499</v>
      </c>
      <c r="C1444" s="43">
        <v>20033</v>
      </c>
      <c r="D1444" t="s">
        <v>2817</v>
      </c>
      <c r="E1444" s="47" t="str">
        <f>+Cuenta_Clasificacion[[#This Row],[Código Cuenta Contable]]&amp;" - "&amp;Cuenta_Clasificacion[[#This Row],[Nombre de Cuenta Contable]]</f>
        <v>4101003 - IVA Subcontratos DS-19</v>
      </c>
      <c r="F1444" s="47" t="str">
        <f>+Cuenta_Clasificacion[[#This Row],[Codigo Concepto de imputación]]&amp;" - "&amp;Cuenta_Clasificacion[[#This Row],[Nombre Concepto de imputación]]</f>
        <v>20033 - Sbctto Hormigón Celular</v>
      </c>
    </row>
    <row r="1445" spans="1:6" x14ac:dyDescent="0.25">
      <c r="A1445" s="43">
        <v>4101003</v>
      </c>
      <c r="B1445" t="s">
        <v>1499</v>
      </c>
      <c r="C1445" s="43">
        <v>20034</v>
      </c>
      <c r="D1445" t="s">
        <v>2818</v>
      </c>
      <c r="E1445" s="47" t="str">
        <f>+Cuenta_Clasificacion[[#This Row],[Código Cuenta Contable]]&amp;" - "&amp;Cuenta_Clasificacion[[#This Row],[Nombre de Cuenta Contable]]</f>
        <v>4101003 - IVA Subcontratos DS-19</v>
      </c>
      <c r="F1445" s="47" t="str">
        <f>+Cuenta_Clasificacion[[#This Row],[Codigo Concepto de imputación]]&amp;" - "&amp;Cuenta_Clasificacion[[#This Row],[Nombre Concepto de imputación]]</f>
        <v>20034 - Sbctto Hormigón Premezclado</v>
      </c>
    </row>
    <row r="1446" spans="1:6" x14ac:dyDescent="0.25">
      <c r="A1446" s="43">
        <v>4101003</v>
      </c>
      <c r="B1446" t="s">
        <v>1499</v>
      </c>
      <c r="C1446" s="43">
        <v>20035</v>
      </c>
      <c r="D1446" t="s">
        <v>2819</v>
      </c>
      <c r="E1446" s="47" t="str">
        <f>+Cuenta_Clasificacion[[#This Row],[Código Cuenta Contable]]&amp;" - "&amp;Cuenta_Clasificacion[[#This Row],[Nombre de Cuenta Contable]]</f>
        <v>4101003 - IVA Subcontratos DS-19</v>
      </c>
      <c r="F1446" s="47" t="str">
        <f>+Cuenta_Clasificacion[[#This Row],[Codigo Concepto de imputación]]&amp;" - "&amp;Cuenta_Clasificacion[[#This Row],[Nombre Concepto de imputación]]</f>
        <v>20035 - Sbctto Impermeabilizaciones</v>
      </c>
    </row>
    <row r="1447" spans="1:6" x14ac:dyDescent="0.25">
      <c r="A1447" s="43">
        <v>4101003</v>
      </c>
      <c r="B1447" t="s">
        <v>1499</v>
      </c>
      <c r="C1447" s="43">
        <v>20036</v>
      </c>
      <c r="D1447" t="s">
        <v>2820</v>
      </c>
      <c r="E1447" s="47" t="str">
        <f>+Cuenta_Clasificacion[[#This Row],[Código Cuenta Contable]]&amp;" - "&amp;Cuenta_Clasificacion[[#This Row],[Nombre de Cuenta Contable]]</f>
        <v>4101003 - IVA Subcontratos DS-19</v>
      </c>
      <c r="F1447" s="47" t="str">
        <f>+Cuenta_Clasificacion[[#This Row],[Codigo Concepto de imputación]]&amp;" - "&amp;Cuenta_Clasificacion[[#This Row],[Nombre Concepto de imputación]]</f>
        <v>20036 - Sbctto Incendio Red Húmeda</v>
      </c>
    </row>
    <row r="1448" spans="1:6" x14ac:dyDescent="0.25">
      <c r="A1448" s="43">
        <v>4101003</v>
      </c>
      <c r="B1448" t="s">
        <v>1499</v>
      </c>
      <c r="C1448" s="43">
        <v>20037</v>
      </c>
      <c r="D1448" t="s">
        <v>2821</v>
      </c>
      <c r="E1448" s="47" t="str">
        <f>+Cuenta_Clasificacion[[#This Row],[Código Cuenta Contable]]&amp;" - "&amp;Cuenta_Clasificacion[[#This Row],[Nombre de Cuenta Contable]]</f>
        <v>4101003 - IVA Subcontratos DS-19</v>
      </c>
      <c r="F1448" s="47" t="str">
        <f>+Cuenta_Clasificacion[[#This Row],[Codigo Concepto de imputación]]&amp;" - "&amp;Cuenta_Clasificacion[[#This Row],[Nombre Concepto de imputación]]</f>
        <v>20037 - Sbctto Incendio Red Seca</v>
      </c>
    </row>
    <row r="1449" spans="1:6" x14ac:dyDescent="0.25">
      <c r="A1449" s="43">
        <v>4101003</v>
      </c>
      <c r="B1449" t="s">
        <v>1499</v>
      </c>
      <c r="C1449" s="43">
        <v>20038</v>
      </c>
      <c r="D1449" t="s">
        <v>2822</v>
      </c>
      <c r="E1449" s="47" t="str">
        <f>+Cuenta_Clasificacion[[#This Row],[Código Cuenta Contable]]&amp;" - "&amp;Cuenta_Clasificacion[[#This Row],[Nombre de Cuenta Contable]]</f>
        <v>4101003 - IVA Subcontratos DS-19</v>
      </c>
      <c r="F1449" s="47" t="str">
        <f>+Cuenta_Clasificacion[[#This Row],[Codigo Concepto de imputación]]&amp;" - "&amp;Cuenta_Clasificacion[[#This Row],[Nombre Concepto de imputación]]</f>
        <v>20038 - Sbctto Inst. Cornisas</v>
      </c>
    </row>
    <row r="1450" spans="1:6" x14ac:dyDescent="0.25">
      <c r="A1450" s="43">
        <v>4101003</v>
      </c>
      <c r="B1450" t="s">
        <v>1499</v>
      </c>
      <c r="C1450" s="43">
        <v>20039</v>
      </c>
      <c r="D1450" t="s">
        <v>2823</v>
      </c>
      <c r="E1450" s="47" t="str">
        <f>+Cuenta_Clasificacion[[#This Row],[Código Cuenta Contable]]&amp;" - "&amp;Cuenta_Clasificacion[[#This Row],[Nombre de Cuenta Contable]]</f>
        <v>4101003 - IVA Subcontratos DS-19</v>
      </c>
      <c r="F1450" s="47" t="str">
        <f>+Cuenta_Clasificacion[[#This Row],[Codigo Concepto de imputación]]&amp;" - "&amp;Cuenta_Clasificacion[[#This Row],[Nombre Concepto de imputación]]</f>
        <v>20039 - Sbctto Inst. Papel Mural</v>
      </c>
    </row>
    <row r="1451" spans="1:6" x14ac:dyDescent="0.25">
      <c r="A1451" s="43">
        <v>4101003</v>
      </c>
      <c r="B1451" t="s">
        <v>1499</v>
      </c>
      <c r="C1451" s="43">
        <v>20040</v>
      </c>
      <c r="D1451" t="s">
        <v>2824</v>
      </c>
      <c r="E1451" s="47" t="str">
        <f>+Cuenta_Clasificacion[[#This Row],[Código Cuenta Contable]]&amp;" - "&amp;Cuenta_Clasificacion[[#This Row],[Nombre de Cuenta Contable]]</f>
        <v>4101003 - IVA Subcontratos DS-19</v>
      </c>
      <c r="F1451" s="47" t="str">
        <f>+Cuenta_Clasificacion[[#This Row],[Codigo Concepto de imputación]]&amp;" - "&amp;Cuenta_Clasificacion[[#This Row],[Nombre Concepto de imputación]]</f>
        <v>20040 - Sbctto Inst. Piso Deck</v>
      </c>
    </row>
    <row r="1452" spans="1:6" x14ac:dyDescent="0.25">
      <c r="A1452" s="43">
        <v>4101003</v>
      </c>
      <c r="B1452" t="s">
        <v>1499</v>
      </c>
      <c r="C1452" s="43">
        <v>20041</v>
      </c>
      <c r="D1452" t="s">
        <v>2825</v>
      </c>
      <c r="E1452" s="47" t="str">
        <f>+Cuenta_Clasificacion[[#This Row],[Código Cuenta Contable]]&amp;" - "&amp;Cuenta_Clasificacion[[#This Row],[Nombre de Cuenta Contable]]</f>
        <v>4101003 - IVA Subcontratos DS-19</v>
      </c>
      <c r="F1452" s="47" t="str">
        <f>+Cuenta_Clasificacion[[#This Row],[Codigo Concepto de imputación]]&amp;" - "&amp;Cuenta_Clasificacion[[#This Row],[Nombre Concepto de imputación]]</f>
        <v>20041 - Sbctto Jardines</v>
      </c>
    </row>
    <row r="1453" spans="1:6" x14ac:dyDescent="0.25">
      <c r="A1453" s="43">
        <v>4101003</v>
      </c>
      <c r="B1453" t="s">
        <v>1499</v>
      </c>
      <c r="C1453" s="43">
        <v>20042</v>
      </c>
      <c r="D1453" t="s">
        <v>2826</v>
      </c>
      <c r="E1453" s="47" t="str">
        <f>+Cuenta_Clasificacion[[#This Row],[Código Cuenta Contable]]&amp;" - "&amp;Cuenta_Clasificacion[[#This Row],[Nombre de Cuenta Contable]]</f>
        <v>4101003 - IVA Subcontratos DS-19</v>
      </c>
      <c r="F1453" s="47" t="str">
        <f>+Cuenta_Clasificacion[[#This Row],[Codigo Concepto de imputación]]&amp;" - "&amp;Cuenta_Clasificacion[[#This Row],[Nombre Concepto de imputación]]</f>
        <v>20042 - Sbctto Junturas de Tabiques</v>
      </c>
    </row>
    <row r="1454" spans="1:6" x14ac:dyDescent="0.25">
      <c r="A1454" s="43">
        <v>4101003</v>
      </c>
      <c r="B1454" t="s">
        <v>1499</v>
      </c>
      <c r="C1454" s="43">
        <v>20043</v>
      </c>
      <c r="D1454" t="s">
        <v>2827</v>
      </c>
      <c r="E1454" s="47" t="str">
        <f>+Cuenta_Clasificacion[[#This Row],[Código Cuenta Contable]]&amp;" - "&amp;Cuenta_Clasificacion[[#This Row],[Nombre de Cuenta Contable]]</f>
        <v>4101003 - IVA Subcontratos DS-19</v>
      </c>
      <c r="F1454" s="47" t="str">
        <f>+Cuenta_Clasificacion[[#This Row],[Codigo Concepto de imputación]]&amp;" - "&amp;Cuenta_Clasificacion[[#This Row],[Nombre Concepto de imputación]]</f>
        <v>20043 - Sbctto Lab. de Hormigones</v>
      </c>
    </row>
    <row r="1455" spans="1:6" x14ac:dyDescent="0.25">
      <c r="A1455" s="43">
        <v>4101003</v>
      </c>
      <c r="B1455" t="s">
        <v>1499</v>
      </c>
      <c r="C1455" s="43">
        <v>20044</v>
      </c>
      <c r="D1455" t="s">
        <v>2828</v>
      </c>
      <c r="E1455" s="47" t="str">
        <f>+Cuenta_Clasificacion[[#This Row],[Código Cuenta Contable]]&amp;" - "&amp;Cuenta_Clasificacion[[#This Row],[Nombre de Cuenta Contable]]</f>
        <v>4101003 - IVA Subcontratos DS-19</v>
      </c>
      <c r="F1455" s="47" t="str">
        <f>+Cuenta_Clasificacion[[#This Row],[Codigo Concepto de imputación]]&amp;" - "&amp;Cuenta_Clasificacion[[#This Row],[Nombre Concepto de imputación]]</f>
        <v>20044 - Sbctto Mármol</v>
      </c>
    </row>
    <row r="1456" spans="1:6" x14ac:dyDescent="0.25">
      <c r="A1456" s="43">
        <v>4101003</v>
      </c>
      <c r="B1456" t="s">
        <v>1499</v>
      </c>
      <c r="C1456" s="43">
        <v>20045</v>
      </c>
      <c r="D1456" t="s">
        <v>2829</v>
      </c>
      <c r="E1456" s="47" t="str">
        <f>+Cuenta_Clasificacion[[#This Row],[Código Cuenta Contable]]&amp;" - "&amp;Cuenta_Clasificacion[[#This Row],[Nombre de Cuenta Contable]]</f>
        <v>4101003 - IVA Subcontratos DS-19</v>
      </c>
      <c r="F1456" s="47" t="str">
        <f>+Cuenta_Clasificacion[[#This Row],[Codigo Concepto de imputación]]&amp;" - "&amp;Cuenta_Clasificacion[[#This Row],[Nombre Concepto de imputación]]</f>
        <v>20045 - Sbctto Molduras</v>
      </c>
    </row>
    <row r="1457" spans="1:6" x14ac:dyDescent="0.25">
      <c r="A1457" s="43">
        <v>4101003</v>
      </c>
      <c r="B1457" t="s">
        <v>1499</v>
      </c>
      <c r="C1457" s="43">
        <v>20046</v>
      </c>
      <c r="D1457" t="s">
        <v>2830</v>
      </c>
      <c r="E1457" s="47" t="str">
        <f>+Cuenta_Clasificacion[[#This Row],[Código Cuenta Contable]]&amp;" - "&amp;Cuenta_Clasificacion[[#This Row],[Nombre de Cuenta Contable]]</f>
        <v>4101003 - IVA Subcontratos DS-19</v>
      </c>
      <c r="F1457" s="47" t="str">
        <f>+Cuenta_Clasificacion[[#This Row],[Codigo Concepto de imputación]]&amp;" - "&amp;Cuenta_Clasificacion[[#This Row],[Nombre Concepto de imputación]]</f>
        <v>20046 - Sbctto Montaje de Equipos</v>
      </c>
    </row>
    <row r="1458" spans="1:6" x14ac:dyDescent="0.25">
      <c r="A1458" s="43">
        <v>4101003</v>
      </c>
      <c r="B1458" t="s">
        <v>1499</v>
      </c>
      <c r="C1458" s="43">
        <v>20047</v>
      </c>
      <c r="D1458" t="s">
        <v>2831</v>
      </c>
      <c r="E1458" s="47" t="str">
        <f>+Cuenta_Clasificacion[[#This Row],[Código Cuenta Contable]]&amp;" - "&amp;Cuenta_Clasificacion[[#This Row],[Nombre de Cuenta Contable]]</f>
        <v>4101003 - IVA Subcontratos DS-19</v>
      </c>
      <c r="F1458" s="47" t="str">
        <f>+Cuenta_Clasificacion[[#This Row],[Codigo Concepto de imputación]]&amp;" - "&amp;Cuenta_Clasificacion[[#This Row],[Nombre Concepto de imputación]]</f>
        <v>20047 - Sbctto Muebles de Baño</v>
      </c>
    </row>
    <row r="1459" spans="1:6" x14ac:dyDescent="0.25">
      <c r="A1459" s="43">
        <v>4101003</v>
      </c>
      <c r="B1459" t="s">
        <v>1499</v>
      </c>
      <c r="C1459" s="43">
        <v>20048</v>
      </c>
      <c r="D1459" t="s">
        <v>2832</v>
      </c>
      <c r="E1459" s="47" t="str">
        <f>+Cuenta_Clasificacion[[#This Row],[Código Cuenta Contable]]&amp;" - "&amp;Cuenta_Clasificacion[[#This Row],[Nombre de Cuenta Contable]]</f>
        <v>4101003 - IVA Subcontratos DS-19</v>
      </c>
      <c r="F1459" s="47" t="str">
        <f>+Cuenta_Clasificacion[[#This Row],[Codigo Concepto de imputación]]&amp;" - "&amp;Cuenta_Clasificacion[[#This Row],[Nombre Concepto de imputación]]</f>
        <v>20048 - Sbctto Muebles de Closet</v>
      </c>
    </row>
    <row r="1460" spans="1:6" x14ac:dyDescent="0.25">
      <c r="A1460" s="43">
        <v>4101003</v>
      </c>
      <c r="B1460" t="s">
        <v>1499</v>
      </c>
      <c r="C1460" s="43">
        <v>20049</v>
      </c>
      <c r="D1460" t="s">
        <v>2833</v>
      </c>
      <c r="E1460" s="47" t="str">
        <f>+Cuenta_Clasificacion[[#This Row],[Código Cuenta Contable]]&amp;" - "&amp;Cuenta_Clasificacion[[#This Row],[Nombre de Cuenta Contable]]</f>
        <v>4101003 - IVA Subcontratos DS-19</v>
      </c>
      <c r="F1460" s="47" t="str">
        <f>+Cuenta_Clasificacion[[#This Row],[Codigo Concepto de imputación]]&amp;" - "&amp;Cuenta_Clasificacion[[#This Row],[Nombre Concepto de imputación]]</f>
        <v>20049 - Sbctto Muebles de Cocina</v>
      </c>
    </row>
    <row r="1461" spans="1:6" x14ac:dyDescent="0.25">
      <c r="A1461" s="43">
        <v>4101003</v>
      </c>
      <c r="B1461" t="s">
        <v>1499</v>
      </c>
      <c r="C1461" s="43">
        <v>20050</v>
      </c>
      <c r="D1461" t="s">
        <v>2834</v>
      </c>
      <c r="E1461" s="47" t="str">
        <f>+Cuenta_Clasificacion[[#This Row],[Código Cuenta Contable]]&amp;" - "&amp;Cuenta_Clasificacion[[#This Row],[Nombre de Cuenta Contable]]</f>
        <v>4101003 - IVA Subcontratos DS-19</v>
      </c>
      <c r="F1461" s="47" t="str">
        <f>+Cuenta_Clasificacion[[#This Row],[Codigo Concepto de imputación]]&amp;" - "&amp;Cuenta_Clasificacion[[#This Row],[Nombre Concepto de imputación]]</f>
        <v>20050 - Sbctto Muebles de Oficina</v>
      </c>
    </row>
    <row r="1462" spans="1:6" x14ac:dyDescent="0.25">
      <c r="A1462" s="43">
        <v>4101003</v>
      </c>
      <c r="B1462" t="s">
        <v>1499</v>
      </c>
      <c r="C1462" s="43">
        <v>20051</v>
      </c>
      <c r="D1462" t="s">
        <v>2835</v>
      </c>
      <c r="E1462" s="47" t="str">
        <f>+Cuenta_Clasificacion[[#This Row],[Código Cuenta Contable]]&amp;" - "&amp;Cuenta_Clasificacion[[#This Row],[Nombre de Cuenta Contable]]</f>
        <v>4101003 - IVA Subcontratos DS-19</v>
      </c>
      <c r="F1462" s="47" t="str">
        <f>+Cuenta_Clasificacion[[#This Row],[Codigo Concepto de imputación]]&amp;" - "&amp;Cuenta_Clasificacion[[#This Row],[Nombre Concepto de imputación]]</f>
        <v>20051 - Sbctto Otros Ensayos</v>
      </c>
    </row>
    <row r="1463" spans="1:6" x14ac:dyDescent="0.25">
      <c r="A1463" s="43">
        <v>4101003</v>
      </c>
      <c r="B1463" t="s">
        <v>1499</v>
      </c>
      <c r="C1463" s="43">
        <v>20052</v>
      </c>
      <c r="D1463" t="s">
        <v>2836</v>
      </c>
      <c r="E1463" s="47" t="str">
        <f>+Cuenta_Clasificacion[[#This Row],[Código Cuenta Contable]]&amp;" - "&amp;Cuenta_Clasificacion[[#This Row],[Nombre de Cuenta Contable]]</f>
        <v>4101003 - IVA Subcontratos DS-19</v>
      </c>
      <c r="F1463" s="47" t="str">
        <f>+Cuenta_Clasificacion[[#This Row],[Codigo Concepto de imputación]]&amp;" - "&amp;Cuenta_Clasificacion[[#This Row],[Nombre Concepto de imputación]]</f>
        <v>20052 - Sbctto Otros Muebles</v>
      </c>
    </row>
    <row r="1464" spans="1:6" x14ac:dyDescent="0.25">
      <c r="A1464" s="43">
        <v>4101003</v>
      </c>
      <c r="B1464" t="s">
        <v>1499</v>
      </c>
      <c r="C1464" s="43">
        <v>20053</v>
      </c>
      <c r="D1464" t="s">
        <v>2837</v>
      </c>
      <c r="E1464" s="47" t="str">
        <f>+Cuenta_Clasificacion[[#This Row],[Código Cuenta Contable]]&amp;" - "&amp;Cuenta_Clasificacion[[#This Row],[Nombre de Cuenta Contable]]</f>
        <v>4101003 - IVA Subcontratos DS-19</v>
      </c>
      <c r="F1464" s="47" t="str">
        <f>+Cuenta_Clasificacion[[#This Row],[Codigo Concepto de imputación]]&amp;" - "&amp;Cuenta_Clasificacion[[#This Row],[Nombre Concepto de imputación]]</f>
        <v>20053 - Sbctto Otros Pisos</v>
      </c>
    </row>
    <row r="1465" spans="1:6" x14ac:dyDescent="0.25">
      <c r="A1465" s="43">
        <v>4101003</v>
      </c>
      <c r="B1465" t="s">
        <v>1499</v>
      </c>
      <c r="C1465" s="43">
        <v>20054</v>
      </c>
      <c r="D1465" t="s">
        <v>2838</v>
      </c>
      <c r="E1465" s="47" t="str">
        <f>+Cuenta_Clasificacion[[#This Row],[Código Cuenta Contable]]&amp;" - "&amp;Cuenta_Clasificacion[[#This Row],[Nombre de Cuenta Contable]]</f>
        <v>4101003 - IVA Subcontratos DS-19</v>
      </c>
      <c r="F1465" s="47" t="str">
        <f>+Cuenta_Clasificacion[[#This Row],[Codigo Concepto de imputación]]&amp;" - "&amp;Cuenta_Clasificacion[[#This Row],[Nombre Concepto de imputación]]</f>
        <v>20054 - Sbctto Papel Mural</v>
      </c>
    </row>
    <row r="1466" spans="1:6" x14ac:dyDescent="0.25">
      <c r="A1466" s="43">
        <v>4101003</v>
      </c>
      <c r="B1466" t="s">
        <v>1499</v>
      </c>
      <c r="C1466" s="43">
        <v>20055</v>
      </c>
      <c r="D1466" t="s">
        <v>2839</v>
      </c>
      <c r="E1466" s="47" t="str">
        <f>+Cuenta_Clasificacion[[#This Row],[Código Cuenta Contable]]&amp;" - "&amp;Cuenta_Clasificacion[[#This Row],[Nombre de Cuenta Contable]]</f>
        <v>4101003 - IVA Subcontratos DS-19</v>
      </c>
      <c r="F1466" s="47" t="str">
        <f>+Cuenta_Clasificacion[[#This Row],[Codigo Concepto de imputación]]&amp;" - "&amp;Cuenta_Clasificacion[[#This Row],[Nombre Concepto de imputación]]</f>
        <v>20055 - Sbctto Pavimentos</v>
      </c>
    </row>
    <row r="1467" spans="1:6" x14ac:dyDescent="0.25">
      <c r="A1467" s="43">
        <v>4101003</v>
      </c>
      <c r="B1467" t="s">
        <v>1499</v>
      </c>
      <c r="C1467" s="43">
        <v>20056</v>
      </c>
      <c r="D1467" t="s">
        <v>2840</v>
      </c>
      <c r="E1467" s="47" t="str">
        <f>+Cuenta_Clasificacion[[#This Row],[Código Cuenta Contable]]&amp;" - "&amp;Cuenta_Clasificacion[[#This Row],[Nombre de Cuenta Contable]]</f>
        <v>4101003 - IVA Subcontratos DS-19</v>
      </c>
      <c r="F1467" s="47" t="str">
        <f>+Cuenta_Clasificacion[[#This Row],[Codigo Concepto de imputación]]&amp;" - "&amp;Cuenta_Clasificacion[[#This Row],[Nombre Concepto de imputación]]</f>
        <v>20056 - Sbctto Perforación de Hormigón</v>
      </c>
    </row>
    <row r="1468" spans="1:6" x14ac:dyDescent="0.25">
      <c r="A1468" s="43">
        <v>4101003</v>
      </c>
      <c r="B1468" t="s">
        <v>1499</v>
      </c>
      <c r="C1468" s="43">
        <v>20057</v>
      </c>
      <c r="D1468" t="s">
        <v>2841</v>
      </c>
      <c r="E1468" s="47" t="str">
        <f>+Cuenta_Clasificacion[[#This Row],[Código Cuenta Contable]]&amp;" - "&amp;Cuenta_Clasificacion[[#This Row],[Nombre de Cuenta Contable]]</f>
        <v>4101003 - IVA Subcontratos DS-19</v>
      </c>
      <c r="F1468" s="47" t="str">
        <f>+Cuenta_Clasificacion[[#This Row],[Codigo Concepto de imputación]]&amp;" - "&amp;Cuenta_Clasificacion[[#This Row],[Nombre Concepto de imputación]]</f>
        <v>20057 - Sbctto Pilas</v>
      </c>
    </row>
    <row r="1469" spans="1:6" x14ac:dyDescent="0.25">
      <c r="A1469" s="43">
        <v>4101003</v>
      </c>
      <c r="B1469" t="s">
        <v>1499</v>
      </c>
      <c r="C1469" s="43">
        <v>20058</v>
      </c>
      <c r="D1469" t="s">
        <v>2842</v>
      </c>
      <c r="E1469" s="47" t="str">
        <f>+Cuenta_Clasificacion[[#This Row],[Código Cuenta Contable]]&amp;" - "&amp;Cuenta_Clasificacion[[#This Row],[Nombre de Cuenta Contable]]</f>
        <v>4101003 - IVA Subcontratos DS-19</v>
      </c>
      <c r="F1469" s="47" t="str">
        <f>+Cuenta_Clasificacion[[#This Row],[Codigo Concepto de imputación]]&amp;" - "&amp;Cuenta_Clasificacion[[#This Row],[Nombre Concepto de imputación]]</f>
        <v>20058 - Sbctto Pinturas</v>
      </c>
    </row>
    <row r="1470" spans="1:6" x14ac:dyDescent="0.25">
      <c r="A1470" s="43">
        <v>4101003</v>
      </c>
      <c r="B1470" t="s">
        <v>1499</v>
      </c>
      <c r="C1470" s="43">
        <v>20059</v>
      </c>
      <c r="D1470" t="s">
        <v>2843</v>
      </c>
      <c r="E1470" s="47" t="str">
        <f>+Cuenta_Clasificacion[[#This Row],[Código Cuenta Contable]]&amp;" - "&amp;Cuenta_Clasificacion[[#This Row],[Nombre de Cuenta Contable]]</f>
        <v>4101003 - IVA Subcontratos DS-19</v>
      </c>
      <c r="F1470" s="47" t="str">
        <f>+Cuenta_Clasificacion[[#This Row],[Codigo Concepto de imputación]]&amp;" - "&amp;Cuenta_Clasificacion[[#This Row],[Nombre Concepto de imputación]]</f>
        <v>20059 - Sbctto Piso Flotante</v>
      </c>
    </row>
    <row r="1471" spans="1:6" x14ac:dyDescent="0.25">
      <c r="A1471" s="43">
        <v>4101003</v>
      </c>
      <c r="B1471" t="s">
        <v>1499</v>
      </c>
      <c r="C1471" s="43">
        <v>20060</v>
      </c>
      <c r="D1471" t="s">
        <v>2844</v>
      </c>
      <c r="E1471" s="47" t="str">
        <f>+Cuenta_Clasificacion[[#This Row],[Código Cuenta Contable]]&amp;" - "&amp;Cuenta_Clasificacion[[#This Row],[Nombre de Cuenta Contable]]</f>
        <v>4101003 - IVA Subcontratos DS-19</v>
      </c>
      <c r="F1471" s="47" t="str">
        <f>+Cuenta_Clasificacion[[#This Row],[Codigo Concepto de imputación]]&amp;" - "&amp;Cuenta_Clasificacion[[#This Row],[Nombre Concepto de imputación]]</f>
        <v>20060 - Sbctto Plásticos</v>
      </c>
    </row>
    <row r="1472" spans="1:6" x14ac:dyDescent="0.25">
      <c r="A1472" s="43">
        <v>4101003</v>
      </c>
      <c r="B1472" t="s">
        <v>1499</v>
      </c>
      <c r="C1472" s="43">
        <v>20061</v>
      </c>
      <c r="D1472" t="s">
        <v>2845</v>
      </c>
      <c r="E1472" s="47" t="str">
        <f>+Cuenta_Clasificacion[[#This Row],[Código Cuenta Contable]]&amp;" - "&amp;Cuenta_Clasificacion[[#This Row],[Nombre de Cuenta Contable]]</f>
        <v>4101003 - IVA Subcontratos DS-19</v>
      </c>
      <c r="F1472" s="47" t="str">
        <f>+Cuenta_Clasificacion[[#This Row],[Codigo Concepto de imputación]]&amp;" - "&amp;Cuenta_Clasificacion[[#This Row],[Nombre Concepto de imputación]]</f>
        <v>20061 - Sbctto Preparación de Muros</v>
      </c>
    </row>
    <row r="1473" spans="1:6" x14ac:dyDescent="0.25">
      <c r="A1473" s="43">
        <v>4101003</v>
      </c>
      <c r="B1473" t="s">
        <v>1499</v>
      </c>
      <c r="C1473" s="43">
        <v>20062</v>
      </c>
      <c r="D1473" t="s">
        <v>2846</v>
      </c>
      <c r="E1473" s="47" t="str">
        <f>+Cuenta_Clasificacion[[#This Row],[Código Cuenta Contable]]&amp;" - "&amp;Cuenta_Clasificacion[[#This Row],[Nombre de Cuenta Contable]]</f>
        <v>4101003 - IVA Subcontratos DS-19</v>
      </c>
      <c r="F1473" s="47" t="str">
        <f>+Cuenta_Clasificacion[[#This Row],[Codigo Concepto de imputación]]&amp;" - "&amp;Cuenta_Clasificacion[[#This Row],[Nombre Concepto de imputación]]</f>
        <v>20062 - Sbctto Presurización</v>
      </c>
    </row>
    <row r="1474" spans="1:6" x14ac:dyDescent="0.25">
      <c r="A1474" s="43">
        <v>4101003</v>
      </c>
      <c r="B1474" t="s">
        <v>1499</v>
      </c>
      <c r="C1474" s="43">
        <v>20063</v>
      </c>
      <c r="D1474" t="s">
        <v>2847</v>
      </c>
      <c r="E1474" s="47" t="str">
        <f>+Cuenta_Clasificacion[[#This Row],[Código Cuenta Contable]]&amp;" - "&amp;Cuenta_Clasificacion[[#This Row],[Nombre de Cuenta Contable]]</f>
        <v>4101003 - IVA Subcontratos DS-19</v>
      </c>
      <c r="F1474" s="47" t="str">
        <f>+Cuenta_Clasificacion[[#This Row],[Codigo Concepto de imputación]]&amp;" - "&amp;Cuenta_Clasificacion[[#This Row],[Nombre Concepto de imputación]]</f>
        <v>20063 - Sbctto Puertas</v>
      </c>
    </row>
    <row r="1475" spans="1:6" x14ac:dyDescent="0.25">
      <c r="A1475" s="43">
        <v>4101003</v>
      </c>
      <c r="B1475" t="s">
        <v>1499</v>
      </c>
      <c r="C1475" s="43">
        <v>20064</v>
      </c>
      <c r="D1475" t="s">
        <v>2848</v>
      </c>
      <c r="E1475" s="47" t="str">
        <f>+Cuenta_Clasificacion[[#This Row],[Código Cuenta Contable]]&amp;" - "&amp;Cuenta_Clasificacion[[#This Row],[Nombre de Cuenta Contable]]</f>
        <v>4101003 - IVA Subcontratos DS-19</v>
      </c>
      <c r="F1475" s="47" t="str">
        <f>+Cuenta_Clasificacion[[#This Row],[Codigo Concepto de imputación]]&amp;" - "&amp;Cuenta_Clasificacion[[#This Row],[Nombre Concepto de imputación]]</f>
        <v>20064 - Sbctto Pulido de Pisos</v>
      </c>
    </row>
    <row r="1476" spans="1:6" x14ac:dyDescent="0.25">
      <c r="A1476" s="43">
        <v>4101003</v>
      </c>
      <c r="B1476" t="s">
        <v>1499</v>
      </c>
      <c r="C1476" s="43">
        <v>20065</v>
      </c>
      <c r="D1476" t="s">
        <v>2849</v>
      </c>
      <c r="E1476" s="47" t="str">
        <f>+Cuenta_Clasificacion[[#This Row],[Código Cuenta Contable]]&amp;" - "&amp;Cuenta_Clasificacion[[#This Row],[Nombre de Cuenta Contable]]</f>
        <v>4101003 - IVA Subcontratos DS-19</v>
      </c>
      <c r="F1476" s="47" t="str">
        <f>+Cuenta_Clasificacion[[#This Row],[Codigo Concepto de imputación]]&amp;" - "&amp;Cuenta_Clasificacion[[#This Row],[Nombre Concepto de imputación]]</f>
        <v>20065 - Sbctto Quincallería</v>
      </c>
    </row>
    <row r="1477" spans="1:6" x14ac:dyDescent="0.25">
      <c r="A1477" s="43">
        <v>4101003</v>
      </c>
      <c r="B1477" t="s">
        <v>1499</v>
      </c>
      <c r="C1477" s="43">
        <v>20066</v>
      </c>
      <c r="D1477" t="s">
        <v>2850</v>
      </c>
      <c r="E1477" s="47" t="str">
        <f>+Cuenta_Clasificacion[[#This Row],[Código Cuenta Contable]]&amp;" - "&amp;Cuenta_Clasificacion[[#This Row],[Nombre de Cuenta Contable]]</f>
        <v>4101003 - IVA Subcontratos DS-19</v>
      </c>
      <c r="F1477" s="47" t="str">
        <f>+Cuenta_Clasificacion[[#This Row],[Codigo Concepto de imputación]]&amp;" - "&amp;Cuenta_Clasificacion[[#This Row],[Nombre Concepto de imputación]]</f>
        <v>20066 - Sbctto Red de Calefacción</v>
      </c>
    </row>
    <row r="1478" spans="1:6" x14ac:dyDescent="0.25">
      <c r="A1478" s="43">
        <v>4101003</v>
      </c>
      <c r="B1478" t="s">
        <v>1499</v>
      </c>
      <c r="C1478" s="43">
        <v>20067</v>
      </c>
      <c r="D1478" t="s">
        <v>2851</v>
      </c>
      <c r="E1478" s="47" t="str">
        <f>+Cuenta_Clasificacion[[#This Row],[Código Cuenta Contable]]&amp;" - "&amp;Cuenta_Clasificacion[[#This Row],[Nombre de Cuenta Contable]]</f>
        <v>4101003 - IVA Subcontratos DS-19</v>
      </c>
      <c r="F1478" s="47" t="str">
        <f>+Cuenta_Clasificacion[[#This Row],[Codigo Concepto de imputación]]&amp;" - "&amp;Cuenta_Clasificacion[[#This Row],[Nombre Concepto de imputación]]</f>
        <v>20067 - Sbctto Retiro Escombros</v>
      </c>
    </row>
    <row r="1479" spans="1:6" x14ac:dyDescent="0.25">
      <c r="A1479" s="43">
        <v>4101003</v>
      </c>
      <c r="B1479" t="s">
        <v>1499</v>
      </c>
      <c r="C1479" s="43">
        <v>20068</v>
      </c>
      <c r="D1479" t="s">
        <v>2852</v>
      </c>
      <c r="E1479" s="47" t="str">
        <f>+Cuenta_Clasificacion[[#This Row],[Código Cuenta Contable]]&amp;" - "&amp;Cuenta_Clasificacion[[#This Row],[Nombre de Cuenta Contable]]</f>
        <v>4101003 - IVA Subcontratos DS-19</v>
      </c>
      <c r="F1479" s="47" t="str">
        <f>+Cuenta_Clasificacion[[#This Row],[Codigo Concepto de imputación]]&amp;" - "&amp;Cuenta_Clasificacion[[#This Row],[Nombre Concepto de imputación]]</f>
        <v>20068 - Sbctto Señalética</v>
      </c>
    </row>
    <row r="1480" spans="1:6" x14ac:dyDescent="0.25">
      <c r="A1480" s="43">
        <v>4101003</v>
      </c>
      <c r="B1480" t="s">
        <v>1499</v>
      </c>
      <c r="C1480" s="43">
        <v>20069</v>
      </c>
      <c r="D1480" t="s">
        <v>2853</v>
      </c>
      <c r="E1480" s="47" t="str">
        <f>+Cuenta_Clasificacion[[#This Row],[Código Cuenta Contable]]&amp;" - "&amp;Cuenta_Clasificacion[[#This Row],[Nombre de Cuenta Contable]]</f>
        <v>4101003 - IVA Subcontratos DS-19</v>
      </c>
      <c r="F1480" s="47" t="str">
        <f>+Cuenta_Clasificacion[[#This Row],[Codigo Concepto de imputación]]&amp;" - "&amp;Cuenta_Clasificacion[[#This Row],[Nombre Concepto de imputación]]</f>
        <v>20069 - Sbctto Servicio de Aseo</v>
      </c>
    </row>
    <row r="1481" spans="1:6" x14ac:dyDescent="0.25">
      <c r="A1481" s="43">
        <v>4101003</v>
      </c>
      <c r="B1481" t="s">
        <v>1499</v>
      </c>
      <c r="C1481" s="43">
        <v>20070</v>
      </c>
      <c r="D1481" t="s">
        <v>2854</v>
      </c>
      <c r="E1481" s="47" t="str">
        <f>+Cuenta_Clasificacion[[#This Row],[Código Cuenta Contable]]&amp;" - "&amp;Cuenta_Clasificacion[[#This Row],[Nombre de Cuenta Contable]]</f>
        <v>4101003 - IVA Subcontratos DS-19</v>
      </c>
      <c r="F1481" s="47" t="str">
        <f>+Cuenta_Clasificacion[[#This Row],[Codigo Concepto de imputación]]&amp;" - "&amp;Cuenta_Clasificacion[[#This Row],[Nombre Concepto de imputación]]</f>
        <v>20070 - Sbctto Suelos</v>
      </c>
    </row>
    <row r="1482" spans="1:6" x14ac:dyDescent="0.25">
      <c r="A1482" s="43">
        <v>4101003</v>
      </c>
      <c r="B1482" t="s">
        <v>1499</v>
      </c>
      <c r="C1482" s="43">
        <v>20071</v>
      </c>
      <c r="D1482" t="s">
        <v>2855</v>
      </c>
      <c r="E1482" s="47" t="str">
        <f>+Cuenta_Clasificacion[[#This Row],[Código Cuenta Contable]]&amp;" - "&amp;Cuenta_Clasificacion[[#This Row],[Nombre de Cuenta Contable]]</f>
        <v>4101003 - IVA Subcontratos DS-19</v>
      </c>
      <c r="F1482" s="47" t="str">
        <f>+Cuenta_Clasificacion[[#This Row],[Codigo Concepto de imputación]]&amp;" - "&amp;Cuenta_Clasificacion[[#This Row],[Nombre Concepto de imputación]]</f>
        <v>20071 - Sbctto Tabiques</v>
      </c>
    </row>
    <row r="1483" spans="1:6" x14ac:dyDescent="0.25">
      <c r="A1483" s="43">
        <v>4101003</v>
      </c>
      <c r="B1483" t="s">
        <v>1499</v>
      </c>
      <c r="C1483" s="43">
        <v>20072</v>
      </c>
      <c r="D1483" t="s">
        <v>2856</v>
      </c>
      <c r="E1483" s="47" t="str">
        <f>+Cuenta_Clasificacion[[#This Row],[Código Cuenta Contable]]&amp;" - "&amp;Cuenta_Clasificacion[[#This Row],[Nombre de Cuenta Contable]]</f>
        <v>4101003 - IVA Subcontratos DS-19</v>
      </c>
      <c r="F1483" s="47" t="str">
        <f>+Cuenta_Clasificacion[[#This Row],[Codigo Concepto de imputación]]&amp;" - "&amp;Cuenta_Clasificacion[[#This Row],[Nombre Concepto de imputación]]</f>
        <v>20072 - Sbctto Techumbres y Cubiertas</v>
      </c>
    </row>
    <row r="1484" spans="1:6" x14ac:dyDescent="0.25">
      <c r="A1484" s="43">
        <v>4101003</v>
      </c>
      <c r="B1484" t="s">
        <v>1499</v>
      </c>
      <c r="C1484" s="43">
        <v>20073</v>
      </c>
      <c r="D1484" t="s">
        <v>2857</v>
      </c>
      <c r="E1484" s="47" t="str">
        <f>+Cuenta_Clasificacion[[#This Row],[Código Cuenta Contable]]&amp;" - "&amp;Cuenta_Clasificacion[[#This Row],[Nombre de Cuenta Contable]]</f>
        <v>4101003 - IVA Subcontratos DS-19</v>
      </c>
      <c r="F1484" s="47" t="str">
        <f>+Cuenta_Clasificacion[[#This Row],[Codigo Concepto de imputación]]&amp;" - "&amp;Cuenta_Clasificacion[[#This Row],[Nombre Concepto de imputación]]</f>
        <v>20073 - Sbctto Topografía</v>
      </c>
    </row>
    <row r="1485" spans="1:6" x14ac:dyDescent="0.25">
      <c r="A1485" s="43">
        <v>4101003</v>
      </c>
      <c r="B1485" t="s">
        <v>1499</v>
      </c>
      <c r="C1485" s="43">
        <v>20074</v>
      </c>
      <c r="D1485" t="s">
        <v>2858</v>
      </c>
      <c r="E1485" s="47" t="str">
        <f>+Cuenta_Clasificacion[[#This Row],[Código Cuenta Contable]]&amp;" - "&amp;Cuenta_Clasificacion[[#This Row],[Nombre de Cuenta Contable]]</f>
        <v>4101003 - IVA Subcontratos DS-19</v>
      </c>
      <c r="F1485" s="47" t="str">
        <f>+Cuenta_Clasificacion[[#This Row],[Codigo Concepto de imputación]]&amp;" - "&amp;Cuenta_Clasificacion[[#This Row],[Nombre Concepto de imputación]]</f>
        <v>20074 - Sbctto Trámites</v>
      </c>
    </row>
    <row r="1486" spans="1:6" x14ac:dyDescent="0.25">
      <c r="A1486" s="43">
        <v>4101003</v>
      </c>
      <c r="B1486" t="s">
        <v>1499</v>
      </c>
      <c r="C1486" s="43">
        <v>20075</v>
      </c>
      <c r="D1486" t="s">
        <v>2859</v>
      </c>
      <c r="E1486" s="47" t="str">
        <f>+Cuenta_Clasificacion[[#This Row],[Código Cuenta Contable]]&amp;" - "&amp;Cuenta_Clasificacion[[#This Row],[Nombre de Cuenta Contable]]</f>
        <v>4101003 - IVA Subcontratos DS-19</v>
      </c>
      <c r="F1486" s="47" t="str">
        <f>+Cuenta_Clasificacion[[#This Row],[Codigo Concepto de imputación]]&amp;" - "&amp;Cuenta_Clasificacion[[#This Row],[Nombre Concepto de imputación]]</f>
        <v>20075 - Sbctto Transporte</v>
      </c>
    </row>
    <row r="1487" spans="1:6" x14ac:dyDescent="0.25">
      <c r="A1487" s="43">
        <v>4101003</v>
      </c>
      <c r="B1487" t="s">
        <v>1499</v>
      </c>
      <c r="C1487" s="43">
        <v>20076</v>
      </c>
      <c r="D1487" t="s">
        <v>2860</v>
      </c>
      <c r="E1487" s="47" t="str">
        <f>+Cuenta_Clasificacion[[#This Row],[Código Cuenta Contable]]&amp;" - "&amp;Cuenta_Clasificacion[[#This Row],[Nombre de Cuenta Contable]]</f>
        <v>4101003 - IVA Subcontratos DS-19</v>
      </c>
      <c r="F1487" s="47" t="str">
        <f>+Cuenta_Clasificacion[[#This Row],[Codigo Concepto de imputación]]&amp;" - "&amp;Cuenta_Clasificacion[[#This Row],[Nombre Concepto de imputación]]</f>
        <v>20076 - Sbctto Ventanas</v>
      </c>
    </row>
    <row r="1488" spans="1:6" x14ac:dyDescent="0.25">
      <c r="A1488" s="43">
        <v>4101003</v>
      </c>
      <c r="B1488" t="s">
        <v>1499</v>
      </c>
      <c r="C1488" s="43">
        <v>20077</v>
      </c>
      <c r="D1488" t="s">
        <v>2861</v>
      </c>
      <c r="E1488" s="47" t="str">
        <f>+Cuenta_Clasificacion[[#This Row],[Código Cuenta Contable]]&amp;" - "&amp;Cuenta_Clasificacion[[#This Row],[Nombre de Cuenta Contable]]</f>
        <v>4101003 - IVA Subcontratos DS-19</v>
      </c>
      <c r="F1488" s="47" t="str">
        <f>+Cuenta_Clasificacion[[#This Row],[Codigo Concepto de imputación]]&amp;" - "&amp;Cuenta_Clasificacion[[#This Row],[Nombre Concepto de imputación]]</f>
        <v>20077 - Sbctto Vitrificado</v>
      </c>
    </row>
    <row r="1489" spans="1:6" x14ac:dyDescent="0.25">
      <c r="A1489" s="43">
        <v>4101003</v>
      </c>
      <c r="B1489" t="s">
        <v>1499</v>
      </c>
      <c r="C1489" s="43">
        <v>20078</v>
      </c>
      <c r="D1489" t="s">
        <v>2862</v>
      </c>
      <c r="E1489" s="47" t="str">
        <f>+Cuenta_Clasificacion[[#This Row],[Código Cuenta Contable]]&amp;" - "&amp;Cuenta_Clasificacion[[#This Row],[Nombre de Cuenta Contable]]</f>
        <v>4101003 - IVA Subcontratos DS-19</v>
      </c>
      <c r="F1489" s="47" t="str">
        <f>+Cuenta_Clasificacion[[#This Row],[Codigo Concepto de imputación]]&amp;" - "&amp;Cuenta_Clasificacion[[#This Row],[Nombre Concepto de imputación]]</f>
        <v>20078 - Sbctto Zincado, Galvanizado</v>
      </c>
    </row>
    <row r="1490" spans="1:6" x14ac:dyDescent="0.25">
      <c r="A1490" s="43">
        <v>4101003</v>
      </c>
      <c r="B1490" t="s">
        <v>1499</v>
      </c>
      <c r="C1490" s="43">
        <v>20079</v>
      </c>
      <c r="D1490" t="s">
        <v>2863</v>
      </c>
      <c r="E1490" s="47" t="str">
        <f>+Cuenta_Clasificacion[[#This Row],[Código Cuenta Contable]]&amp;" - "&amp;Cuenta_Clasificacion[[#This Row],[Nombre de Cuenta Contable]]</f>
        <v>4101003 - IVA Subcontratos DS-19</v>
      </c>
      <c r="F1490" s="47" t="str">
        <f>+Cuenta_Clasificacion[[#This Row],[Codigo Concepto de imputación]]&amp;" - "&amp;Cuenta_Clasificacion[[#This Row],[Nombre Concepto de imputación]]</f>
        <v>20079 - Servicio Vigilancia</v>
      </c>
    </row>
    <row r="1491" spans="1:6" x14ac:dyDescent="0.25">
      <c r="A1491" s="43">
        <v>4101003</v>
      </c>
      <c r="B1491" t="s">
        <v>1499</v>
      </c>
      <c r="C1491" s="43">
        <v>20080</v>
      </c>
      <c r="D1491" t="s">
        <v>2864</v>
      </c>
      <c r="E1491" s="47" t="str">
        <f>+Cuenta_Clasificacion[[#This Row],[Código Cuenta Contable]]&amp;" - "&amp;Cuenta_Clasificacion[[#This Row],[Nombre de Cuenta Contable]]</f>
        <v>4101003 - IVA Subcontratos DS-19</v>
      </c>
      <c r="F1491" s="47" t="str">
        <f>+Cuenta_Clasificacion[[#This Row],[Codigo Concepto de imputación]]&amp;" - "&amp;Cuenta_Clasificacion[[#This Row],[Nombre Concepto de imputación]]</f>
        <v>20080 - Sbctto Instalación Especial</v>
      </c>
    </row>
    <row r="1492" spans="1:6" x14ac:dyDescent="0.25">
      <c r="A1492" s="43">
        <v>4101003</v>
      </c>
      <c r="B1492" t="s">
        <v>1499</v>
      </c>
      <c r="C1492" s="43">
        <v>20081</v>
      </c>
      <c r="D1492" t="s">
        <v>2865</v>
      </c>
      <c r="E1492" s="47" t="str">
        <f>+Cuenta_Clasificacion[[#This Row],[Código Cuenta Contable]]&amp;" - "&amp;Cuenta_Clasificacion[[#This Row],[Nombre de Cuenta Contable]]</f>
        <v>4101003 - IVA Subcontratos DS-19</v>
      </c>
      <c r="F1492" s="47" t="str">
        <f>+Cuenta_Clasificacion[[#This Row],[Codigo Concepto de imputación]]&amp;" - "&amp;Cuenta_Clasificacion[[#This Row],[Nombre Concepto de imputación]]</f>
        <v>20081 - Instalación Sist Computacional</v>
      </c>
    </row>
    <row r="1493" spans="1:6" x14ac:dyDescent="0.25">
      <c r="A1493" s="43">
        <v>4101003</v>
      </c>
      <c r="B1493" t="s">
        <v>1499</v>
      </c>
      <c r="C1493" s="43">
        <v>20082</v>
      </c>
      <c r="D1493" t="s">
        <v>2866</v>
      </c>
      <c r="E1493" s="47" t="str">
        <f>+Cuenta_Clasificacion[[#This Row],[Código Cuenta Contable]]&amp;" - "&amp;Cuenta_Clasificacion[[#This Row],[Nombre de Cuenta Contable]]</f>
        <v>4101003 - IVA Subcontratos DS-19</v>
      </c>
      <c r="F1493" s="47" t="str">
        <f>+Cuenta_Clasificacion[[#This Row],[Codigo Concepto de imputación]]&amp;" - "&amp;Cuenta_Clasificacion[[#This Row],[Nombre Concepto de imputación]]</f>
        <v>20082 - Operador Sbctto Arriendo</v>
      </c>
    </row>
    <row r="1494" spans="1:6" x14ac:dyDescent="0.25">
      <c r="A1494" s="43">
        <v>4101003</v>
      </c>
      <c r="B1494" t="s">
        <v>1499</v>
      </c>
      <c r="C1494" s="43">
        <v>20083</v>
      </c>
      <c r="D1494" t="s">
        <v>2867</v>
      </c>
      <c r="E1494" s="47" t="str">
        <f>+Cuenta_Clasificacion[[#This Row],[Código Cuenta Contable]]&amp;" - "&amp;Cuenta_Clasificacion[[#This Row],[Nombre de Cuenta Contable]]</f>
        <v>4101003 - IVA Subcontratos DS-19</v>
      </c>
      <c r="F1494" s="47" t="str">
        <f>+Cuenta_Clasificacion[[#This Row],[Codigo Concepto de imputación]]&amp;" - "&amp;Cuenta_Clasificacion[[#This Row],[Nombre Concepto de imputación]]</f>
        <v>20083 - Descuento Subcontrato</v>
      </c>
    </row>
    <row r="1495" spans="1:6" x14ac:dyDescent="0.25">
      <c r="A1495" s="43">
        <v>4101003</v>
      </c>
      <c r="B1495" t="s">
        <v>1499</v>
      </c>
      <c r="C1495" s="43">
        <v>20084</v>
      </c>
      <c r="D1495" t="s">
        <v>2911</v>
      </c>
      <c r="E1495" s="47" t="str">
        <f>+Cuenta_Clasificacion[[#This Row],[Código Cuenta Contable]]&amp;" - "&amp;Cuenta_Clasificacion[[#This Row],[Nombre de Cuenta Contable]]</f>
        <v>4101003 - IVA Subcontratos DS-19</v>
      </c>
      <c r="F1495" s="47" t="str">
        <f>+Cuenta_Clasificacion[[#This Row],[Codigo Concepto de imputación]]&amp;" - "&amp;Cuenta_Clasificacion[[#This Row],[Nombre Concepto de imputación]]</f>
        <v>20084 - Sbctto Trabajos Misceláneos</v>
      </c>
    </row>
    <row r="1496" spans="1:6" x14ac:dyDescent="0.25">
      <c r="A1496" s="43">
        <v>4101003</v>
      </c>
      <c r="B1496" t="s">
        <v>1499</v>
      </c>
      <c r="C1496" s="43">
        <v>20085</v>
      </c>
      <c r="D1496" t="s">
        <v>2912</v>
      </c>
      <c r="E1496" s="47" t="str">
        <f>+Cuenta_Clasificacion[[#This Row],[Código Cuenta Contable]]&amp;" - "&amp;Cuenta_Clasificacion[[#This Row],[Nombre de Cuenta Contable]]</f>
        <v>4101003 - IVA Subcontratos DS-19</v>
      </c>
      <c r="F1496" s="47" t="str">
        <f>+Cuenta_Clasificacion[[#This Row],[Codigo Concepto de imputación]]&amp;" - "&amp;Cuenta_Clasificacion[[#This Row],[Nombre Concepto de imputación]]</f>
        <v>20085 - Sbctto Agotamiento Napas</v>
      </c>
    </row>
    <row r="1497" spans="1:6" x14ac:dyDescent="0.25">
      <c r="A1497" s="43">
        <v>4101003</v>
      </c>
      <c r="B1497" t="s">
        <v>1499</v>
      </c>
      <c r="C1497" s="43">
        <v>20086</v>
      </c>
      <c r="D1497" t="s">
        <v>2868</v>
      </c>
      <c r="E1497" s="47" t="str">
        <f>+Cuenta_Clasificacion[[#This Row],[Código Cuenta Contable]]&amp;" - "&amp;Cuenta_Clasificacion[[#This Row],[Nombre de Cuenta Contable]]</f>
        <v>4101003 - IVA Subcontratos DS-19</v>
      </c>
      <c r="F1497" s="47" t="str">
        <f>+Cuenta_Clasificacion[[#This Row],[Codigo Concepto de imputación]]&amp;" - "&amp;Cuenta_Clasificacion[[#This Row],[Nombre Concepto de imputación]]</f>
        <v>20086 - Sbctto Otros Subcttos</v>
      </c>
    </row>
    <row r="1498" spans="1:6" x14ac:dyDescent="0.25">
      <c r="A1498" s="43">
        <v>4101003</v>
      </c>
      <c r="B1498" t="s">
        <v>1499</v>
      </c>
      <c r="C1498" s="43">
        <v>20087</v>
      </c>
      <c r="D1498" t="s">
        <v>2913</v>
      </c>
      <c r="E1498" s="47" t="str">
        <f>+Cuenta_Clasificacion[[#This Row],[Código Cuenta Contable]]&amp;" - "&amp;Cuenta_Clasificacion[[#This Row],[Nombre de Cuenta Contable]]</f>
        <v>4101003 - IVA Subcontratos DS-19</v>
      </c>
      <c r="F1498" s="47" t="str">
        <f>+Cuenta_Clasificacion[[#This Row],[Codigo Concepto de imputación]]&amp;" - "&amp;Cuenta_Clasificacion[[#This Row],[Nombre Concepto de imputación]]</f>
        <v>20087 - Pago Sueldos/Finiq Trab Sbctto</v>
      </c>
    </row>
    <row r="1499" spans="1:6" x14ac:dyDescent="0.25">
      <c r="A1499" s="43">
        <v>4101003</v>
      </c>
      <c r="B1499" t="s">
        <v>1499</v>
      </c>
      <c r="C1499" s="43">
        <v>20088</v>
      </c>
      <c r="D1499" t="s">
        <v>2914</v>
      </c>
      <c r="E1499" s="47" t="str">
        <f>+Cuenta_Clasificacion[[#This Row],[Código Cuenta Contable]]&amp;" - "&amp;Cuenta_Clasificacion[[#This Row],[Nombre de Cuenta Contable]]</f>
        <v>4101003 - IVA Subcontratos DS-19</v>
      </c>
      <c r="F1499" s="47" t="str">
        <f>+Cuenta_Clasificacion[[#This Row],[Codigo Concepto de imputación]]&amp;" - "&amp;Cuenta_Clasificacion[[#This Row],[Nombre Concepto de imputación]]</f>
        <v>20088 - Pago Imposiciones Trab Sbctto</v>
      </c>
    </row>
    <row r="1500" spans="1:6" x14ac:dyDescent="0.25">
      <c r="A1500" s="43">
        <v>4101003</v>
      </c>
      <c r="B1500" t="s">
        <v>1499</v>
      </c>
      <c r="C1500" s="43">
        <v>40001</v>
      </c>
      <c r="D1500" t="s">
        <v>2944</v>
      </c>
      <c r="E1500" s="47" t="str">
        <f>+Cuenta_Clasificacion[[#This Row],[Código Cuenta Contable]]&amp;" - "&amp;Cuenta_Clasificacion[[#This Row],[Nombre de Cuenta Contable]]</f>
        <v>4101003 - IVA Subcontratos DS-19</v>
      </c>
      <c r="F1500" s="47" t="str">
        <f>+Cuenta_Clasificacion[[#This Row],[Codigo Concepto de imputación]]&amp;" - "&amp;Cuenta_Clasificacion[[#This Row],[Nombre Concepto de imputación]]</f>
        <v>40001 - Administrador de Obra</v>
      </c>
    </row>
    <row r="1501" spans="1:6" x14ac:dyDescent="0.25">
      <c r="A1501" s="43">
        <v>4101003</v>
      </c>
      <c r="B1501" t="s">
        <v>1499</v>
      </c>
      <c r="C1501" s="43">
        <v>40002</v>
      </c>
      <c r="D1501" t="s">
        <v>2945</v>
      </c>
      <c r="E1501" s="47" t="str">
        <f>+Cuenta_Clasificacion[[#This Row],[Código Cuenta Contable]]&amp;" - "&amp;Cuenta_Clasificacion[[#This Row],[Nombre de Cuenta Contable]]</f>
        <v>4101003 - IVA Subcontratos DS-19</v>
      </c>
      <c r="F1501" s="47" t="str">
        <f>+Cuenta_Clasificacion[[#This Row],[Codigo Concepto de imputación]]&amp;" - "&amp;Cuenta_Clasificacion[[#This Row],[Nombre Concepto de imputación]]</f>
        <v>40002 - Administrador General</v>
      </c>
    </row>
    <row r="1502" spans="1:6" x14ac:dyDescent="0.25">
      <c r="A1502" s="43">
        <v>4101003</v>
      </c>
      <c r="B1502" t="s">
        <v>1499</v>
      </c>
      <c r="C1502" s="43">
        <v>40003</v>
      </c>
      <c r="D1502" t="s">
        <v>2946</v>
      </c>
      <c r="E1502" s="47" t="str">
        <f>+Cuenta_Clasificacion[[#This Row],[Código Cuenta Contable]]&amp;" - "&amp;Cuenta_Clasificacion[[#This Row],[Nombre de Cuenta Contable]]</f>
        <v>4101003 - IVA Subcontratos DS-19</v>
      </c>
      <c r="F1502" s="47" t="str">
        <f>+Cuenta_Clasificacion[[#This Row],[Codigo Concepto de imputación]]&amp;" - "&amp;Cuenta_Clasificacion[[#This Row],[Nombre Concepto de imputación]]</f>
        <v>40003 - Administrativo de Obra</v>
      </c>
    </row>
    <row r="1503" spans="1:6" x14ac:dyDescent="0.25">
      <c r="A1503" s="43">
        <v>4101003</v>
      </c>
      <c r="B1503" t="s">
        <v>1499</v>
      </c>
      <c r="C1503" s="43">
        <v>40004</v>
      </c>
      <c r="D1503" t="s">
        <v>2947</v>
      </c>
      <c r="E1503" s="47" t="str">
        <f>+Cuenta_Clasificacion[[#This Row],[Código Cuenta Contable]]&amp;" - "&amp;Cuenta_Clasificacion[[#This Row],[Nombre de Cuenta Contable]]</f>
        <v>4101003 - IVA Subcontratos DS-19</v>
      </c>
      <c r="F1503" s="47" t="str">
        <f>+Cuenta_Clasificacion[[#This Row],[Codigo Concepto de imputación]]&amp;" - "&amp;Cuenta_Clasificacion[[#This Row],[Nombre Concepto de imputación]]</f>
        <v>40004 - Albañil</v>
      </c>
    </row>
    <row r="1504" spans="1:6" x14ac:dyDescent="0.25">
      <c r="A1504" s="43">
        <v>4101003</v>
      </c>
      <c r="B1504" t="s">
        <v>1499</v>
      </c>
      <c r="C1504" s="43">
        <v>40005</v>
      </c>
      <c r="D1504" t="s">
        <v>2948</v>
      </c>
      <c r="E1504" s="47" t="str">
        <f>+Cuenta_Clasificacion[[#This Row],[Código Cuenta Contable]]&amp;" - "&amp;Cuenta_Clasificacion[[#This Row],[Nombre de Cuenta Contable]]</f>
        <v>4101003 - IVA Subcontratos DS-19</v>
      </c>
      <c r="F1504" s="47" t="str">
        <f>+Cuenta_Clasificacion[[#This Row],[Codigo Concepto de imputación]]&amp;" - "&amp;Cuenta_Clasificacion[[#This Row],[Nombre Concepto de imputación]]</f>
        <v>40005 - Andamiero</v>
      </c>
    </row>
    <row r="1505" spans="1:6" x14ac:dyDescent="0.25">
      <c r="A1505" s="43">
        <v>4101003</v>
      </c>
      <c r="B1505" t="s">
        <v>1499</v>
      </c>
      <c r="C1505" s="43">
        <v>40006</v>
      </c>
      <c r="D1505" t="s">
        <v>2949</v>
      </c>
      <c r="E1505" s="47" t="str">
        <f>+Cuenta_Clasificacion[[#This Row],[Código Cuenta Contable]]&amp;" - "&amp;Cuenta_Clasificacion[[#This Row],[Nombre de Cuenta Contable]]</f>
        <v>4101003 - IVA Subcontratos DS-19</v>
      </c>
      <c r="F1505" s="47" t="str">
        <f>+Cuenta_Clasificacion[[#This Row],[Codigo Concepto de imputación]]&amp;" - "&amp;Cuenta_Clasificacion[[#This Row],[Nombre Concepto de imputación]]</f>
        <v>40006 - Arquitecto</v>
      </c>
    </row>
    <row r="1506" spans="1:6" x14ac:dyDescent="0.25">
      <c r="A1506" s="43">
        <v>4101003</v>
      </c>
      <c r="B1506" t="s">
        <v>1499</v>
      </c>
      <c r="C1506" s="43">
        <v>40007</v>
      </c>
      <c r="D1506" t="s">
        <v>2950</v>
      </c>
      <c r="E1506" s="47" t="str">
        <f>+Cuenta_Clasificacion[[#This Row],[Código Cuenta Contable]]&amp;" - "&amp;Cuenta_Clasificacion[[#This Row],[Nombre de Cuenta Contable]]</f>
        <v>4101003 - IVA Subcontratos DS-19</v>
      </c>
      <c r="F1506" s="47" t="str">
        <f>+Cuenta_Clasificacion[[#This Row],[Codigo Concepto de imputación]]&amp;" - "&amp;Cuenta_Clasificacion[[#This Row],[Nombre Concepto de imputación]]</f>
        <v>40007 - Asistente Supervisor Zonal</v>
      </c>
    </row>
    <row r="1507" spans="1:6" x14ac:dyDescent="0.25">
      <c r="A1507" s="43">
        <v>4101003</v>
      </c>
      <c r="B1507" t="s">
        <v>1499</v>
      </c>
      <c r="C1507" s="43">
        <v>40008</v>
      </c>
      <c r="D1507" t="s">
        <v>2951</v>
      </c>
      <c r="E1507" s="47" t="str">
        <f>+Cuenta_Clasificacion[[#This Row],[Código Cuenta Contable]]&amp;" - "&amp;Cuenta_Clasificacion[[#This Row],[Nombre de Cuenta Contable]]</f>
        <v>4101003 - IVA Subcontratos DS-19</v>
      </c>
      <c r="F1507" s="47" t="str">
        <f>+Cuenta_Clasificacion[[#This Row],[Codigo Concepto de imputación]]&amp;" - "&amp;Cuenta_Clasificacion[[#This Row],[Nombre Concepto de imputación]]</f>
        <v>40008 - Auditor Int. Prev. de Riesgos</v>
      </c>
    </row>
    <row r="1508" spans="1:6" x14ac:dyDescent="0.25">
      <c r="A1508" s="43">
        <v>4101003</v>
      </c>
      <c r="B1508" t="s">
        <v>1499</v>
      </c>
      <c r="C1508" s="43">
        <v>40009</v>
      </c>
      <c r="D1508" t="s">
        <v>2952</v>
      </c>
      <c r="E1508" s="47" t="str">
        <f>+Cuenta_Clasificacion[[#This Row],[Código Cuenta Contable]]&amp;" - "&amp;Cuenta_Clasificacion[[#This Row],[Nombre de Cuenta Contable]]</f>
        <v>4101003 - IVA Subcontratos DS-19</v>
      </c>
      <c r="F1508" s="47" t="str">
        <f>+Cuenta_Clasificacion[[#This Row],[Codigo Concepto de imputación]]&amp;" - "&amp;Cuenta_Clasificacion[[#This Row],[Nombre Concepto de imputación]]</f>
        <v>40009 - Ayudante Administrativo</v>
      </c>
    </row>
    <row r="1509" spans="1:6" x14ac:dyDescent="0.25">
      <c r="A1509" s="43">
        <v>4101003</v>
      </c>
      <c r="B1509" t="s">
        <v>1499</v>
      </c>
      <c r="C1509" s="43">
        <v>40010</v>
      </c>
      <c r="D1509" t="s">
        <v>2953</v>
      </c>
      <c r="E1509" s="47" t="str">
        <f>+Cuenta_Clasificacion[[#This Row],[Código Cuenta Contable]]&amp;" - "&amp;Cuenta_Clasificacion[[#This Row],[Nombre de Cuenta Contable]]</f>
        <v>4101003 - IVA Subcontratos DS-19</v>
      </c>
      <c r="F1509" s="47" t="str">
        <f>+Cuenta_Clasificacion[[#This Row],[Codigo Concepto de imputación]]&amp;" - "&amp;Cuenta_Clasificacion[[#This Row],[Nombre Concepto de imputación]]</f>
        <v>40010 - Ayudante Albañil</v>
      </c>
    </row>
    <row r="1510" spans="1:6" x14ac:dyDescent="0.25">
      <c r="A1510" s="43">
        <v>4101003</v>
      </c>
      <c r="B1510" t="s">
        <v>1499</v>
      </c>
      <c r="C1510" s="43">
        <v>40011</v>
      </c>
      <c r="D1510" t="s">
        <v>2954</v>
      </c>
      <c r="E1510" s="47" t="str">
        <f>+Cuenta_Clasificacion[[#This Row],[Código Cuenta Contable]]&amp;" - "&amp;Cuenta_Clasificacion[[#This Row],[Nombre de Cuenta Contable]]</f>
        <v>4101003 - IVA Subcontratos DS-19</v>
      </c>
      <c r="F1510" s="47" t="str">
        <f>+Cuenta_Clasificacion[[#This Row],[Codigo Concepto de imputación]]&amp;" - "&amp;Cuenta_Clasificacion[[#This Row],[Nombre Concepto de imputación]]</f>
        <v>40011 - Ayudante Bodega</v>
      </c>
    </row>
    <row r="1511" spans="1:6" x14ac:dyDescent="0.25">
      <c r="A1511" s="43">
        <v>4101003</v>
      </c>
      <c r="B1511" t="s">
        <v>1499</v>
      </c>
      <c r="C1511" s="43">
        <v>40012</v>
      </c>
      <c r="D1511" t="s">
        <v>2955</v>
      </c>
      <c r="E1511" s="47" t="str">
        <f>+Cuenta_Clasificacion[[#This Row],[Código Cuenta Contable]]&amp;" - "&amp;Cuenta_Clasificacion[[#This Row],[Nombre de Cuenta Contable]]</f>
        <v>4101003 - IVA Subcontratos DS-19</v>
      </c>
      <c r="F1511" s="47" t="str">
        <f>+Cuenta_Clasificacion[[#This Row],[Codigo Concepto de imputación]]&amp;" - "&amp;Cuenta_Clasificacion[[#This Row],[Nombre Concepto de imputación]]</f>
        <v>40012 - Ayudante Capataz</v>
      </c>
    </row>
    <row r="1512" spans="1:6" x14ac:dyDescent="0.25">
      <c r="A1512" s="43">
        <v>4101003</v>
      </c>
      <c r="B1512" t="s">
        <v>1499</v>
      </c>
      <c r="C1512" s="43">
        <v>40013</v>
      </c>
      <c r="D1512" t="s">
        <v>2956</v>
      </c>
      <c r="E1512" s="47" t="str">
        <f>+Cuenta_Clasificacion[[#This Row],[Código Cuenta Contable]]&amp;" - "&amp;Cuenta_Clasificacion[[#This Row],[Nombre de Cuenta Contable]]</f>
        <v>4101003 - IVA Subcontratos DS-19</v>
      </c>
      <c r="F1512" s="47" t="str">
        <f>+Cuenta_Clasificacion[[#This Row],[Codigo Concepto de imputación]]&amp;" - "&amp;Cuenta_Clasificacion[[#This Row],[Nombre Concepto de imputación]]</f>
        <v>40013 - Ayudante Carpintero</v>
      </c>
    </row>
    <row r="1513" spans="1:6" x14ac:dyDescent="0.25">
      <c r="A1513" s="43">
        <v>4101003</v>
      </c>
      <c r="B1513" t="s">
        <v>1499</v>
      </c>
      <c r="C1513" s="43">
        <v>40014</v>
      </c>
      <c r="D1513" t="s">
        <v>2957</v>
      </c>
      <c r="E1513" s="47" t="str">
        <f>+Cuenta_Clasificacion[[#This Row],[Código Cuenta Contable]]&amp;" - "&amp;Cuenta_Clasificacion[[#This Row],[Nombre de Cuenta Contable]]</f>
        <v>4101003 - IVA Subcontratos DS-19</v>
      </c>
      <c r="F1513" s="47" t="str">
        <f>+Cuenta_Clasificacion[[#This Row],[Codigo Concepto de imputación]]&amp;" - "&amp;Cuenta_Clasificacion[[#This Row],[Nombre Concepto de imputación]]</f>
        <v>40014 - Bodega – Personal</v>
      </c>
    </row>
    <row r="1514" spans="1:6" x14ac:dyDescent="0.25">
      <c r="A1514" s="43">
        <v>4101003</v>
      </c>
      <c r="B1514" t="s">
        <v>1499</v>
      </c>
      <c r="C1514" s="43">
        <v>40015</v>
      </c>
      <c r="D1514" t="s">
        <v>2958</v>
      </c>
      <c r="E1514" s="47" t="str">
        <f>+Cuenta_Clasificacion[[#This Row],[Código Cuenta Contable]]&amp;" - "&amp;Cuenta_Clasificacion[[#This Row],[Nombre de Cuenta Contable]]</f>
        <v>4101003 - IVA Subcontratos DS-19</v>
      </c>
      <c r="F1514" s="47" t="str">
        <f>+Cuenta_Clasificacion[[#This Row],[Codigo Concepto de imputación]]&amp;" - "&amp;Cuenta_Clasificacion[[#This Row],[Nombre Concepto de imputación]]</f>
        <v>40015 - Ayudante Jefe Patio</v>
      </c>
    </row>
    <row r="1515" spans="1:6" x14ac:dyDescent="0.25">
      <c r="A1515" s="43">
        <v>4101003</v>
      </c>
      <c r="B1515" t="s">
        <v>1499</v>
      </c>
      <c r="C1515" s="43">
        <v>40016</v>
      </c>
      <c r="D1515" t="s">
        <v>2959</v>
      </c>
      <c r="E1515" s="47" t="str">
        <f>+Cuenta_Clasificacion[[#This Row],[Código Cuenta Contable]]&amp;" - "&amp;Cuenta_Clasificacion[[#This Row],[Nombre de Cuenta Contable]]</f>
        <v>4101003 - IVA Subcontratos DS-19</v>
      </c>
      <c r="F1515" s="47" t="str">
        <f>+Cuenta_Clasificacion[[#This Row],[Codigo Concepto de imputación]]&amp;" - "&amp;Cuenta_Clasificacion[[#This Row],[Nombre Concepto de imputación]]</f>
        <v>40016 - Ayudante Maestro Albañil</v>
      </c>
    </row>
    <row r="1516" spans="1:6" x14ac:dyDescent="0.25">
      <c r="A1516" s="43">
        <v>4101003</v>
      </c>
      <c r="B1516" t="s">
        <v>1499</v>
      </c>
      <c r="C1516" s="43">
        <v>40017</v>
      </c>
      <c r="D1516" t="s">
        <v>2960</v>
      </c>
      <c r="E1516" s="47" t="str">
        <f>+Cuenta_Clasificacion[[#This Row],[Código Cuenta Contable]]&amp;" - "&amp;Cuenta_Clasificacion[[#This Row],[Nombre de Cuenta Contable]]</f>
        <v>4101003 - IVA Subcontratos DS-19</v>
      </c>
      <c r="F1516" s="47" t="str">
        <f>+Cuenta_Clasificacion[[#This Row],[Codigo Concepto de imputación]]&amp;" - "&amp;Cuenta_Clasificacion[[#This Row],[Nombre Concepto de imputación]]</f>
        <v>40017 - Ayudante Mantención</v>
      </c>
    </row>
    <row r="1517" spans="1:6" x14ac:dyDescent="0.25">
      <c r="A1517" s="43">
        <v>4101003</v>
      </c>
      <c r="B1517" t="s">
        <v>1499</v>
      </c>
      <c r="C1517" s="43">
        <v>40018</v>
      </c>
      <c r="D1517" t="s">
        <v>2961</v>
      </c>
      <c r="E1517" s="47" t="str">
        <f>+Cuenta_Clasificacion[[#This Row],[Código Cuenta Contable]]&amp;" - "&amp;Cuenta_Clasificacion[[#This Row],[Nombre de Cuenta Contable]]</f>
        <v>4101003 - IVA Subcontratos DS-19</v>
      </c>
      <c r="F1517" s="47" t="str">
        <f>+Cuenta_Clasificacion[[#This Row],[Codigo Concepto de imputación]]&amp;" - "&amp;Cuenta_Clasificacion[[#This Row],[Nombre Concepto de imputación]]</f>
        <v>40018 - Ayudante Montaje Grúas Torre</v>
      </c>
    </row>
    <row r="1518" spans="1:6" x14ac:dyDescent="0.25">
      <c r="A1518" s="43">
        <v>4101003</v>
      </c>
      <c r="B1518" t="s">
        <v>1499</v>
      </c>
      <c r="C1518" s="43">
        <v>40019</v>
      </c>
      <c r="D1518" t="s">
        <v>2962</v>
      </c>
      <c r="E1518" s="47" t="str">
        <f>+Cuenta_Clasificacion[[#This Row],[Código Cuenta Contable]]&amp;" - "&amp;Cuenta_Clasificacion[[#This Row],[Nombre de Cuenta Contable]]</f>
        <v>4101003 - IVA Subcontratos DS-19</v>
      </c>
      <c r="F1518" s="47" t="str">
        <f>+Cuenta_Clasificacion[[#This Row],[Codigo Concepto de imputación]]&amp;" - "&amp;Cuenta_Clasificacion[[#This Row],[Nombre Concepto de imputación]]</f>
        <v>40019 - Ayudante Obra</v>
      </c>
    </row>
    <row r="1519" spans="1:6" x14ac:dyDescent="0.25">
      <c r="A1519" s="43">
        <v>4101003</v>
      </c>
      <c r="B1519" t="s">
        <v>1499</v>
      </c>
      <c r="C1519" s="43">
        <v>40020</v>
      </c>
      <c r="D1519" t="s">
        <v>2963</v>
      </c>
      <c r="E1519" s="47" t="str">
        <f>+Cuenta_Clasificacion[[#This Row],[Código Cuenta Contable]]&amp;" - "&amp;Cuenta_Clasificacion[[#This Row],[Nombre de Cuenta Contable]]</f>
        <v>4101003 - IVA Subcontratos DS-19</v>
      </c>
      <c r="F1519" s="47" t="str">
        <f>+Cuenta_Clasificacion[[#This Row],[Codigo Concepto de imputación]]&amp;" - "&amp;Cuenta_Clasificacion[[#This Row],[Nombre Concepto de imputación]]</f>
        <v>40020 - Ayudante Of. Técnica</v>
      </c>
    </row>
    <row r="1520" spans="1:6" x14ac:dyDescent="0.25">
      <c r="A1520" s="43">
        <v>4101003</v>
      </c>
      <c r="B1520" t="s">
        <v>1499</v>
      </c>
      <c r="C1520" s="43">
        <v>40021</v>
      </c>
      <c r="D1520" t="s">
        <v>2964</v>
      </c>
      <c r="E1520" s="47" t="str">
        <f>+Cuenta_Clasificacion[[#This Row],[Código Cuenta Contable]]&amp;" - "&amp;Cuenta_Clasificacion[[#This Row],[Nombre de Cuenta Contable]]</f>
        <v>4101003 - IVA Subcontratos DS-19</v>
      </c>
      <c r="F1520" s="47" t="str">
        <f>+Cuenta_Clasificacion[[#This Row],[Codigo Concepto de imputación]]&amp;" - "&amp;Cuenta_Clasificacion[[#This Row],[Nombre Concepto de imputación]]</f>
        <v>40021 - Ayudante Pañol</v>
      </c>
    </row>
    <row r="1521" spans="1:6" x14ac:dyDescent="0.25">
      <c r="A1521" s="43">
        <v>4101003</v>
      </c>
      <c r="B1521" t="s">
        <v>1499</v>
      </c>
      <c r="C1521" s="43">
        <v>40022</v>
      </c>
      <c r="D1521" t="s">
        <v>2965</v>
      </c>
      <c r="E1521" s="47" t="str">
        <f>+Cuenta_Clasificacion[[#This Row],[Código Cuenta Contable]]&amp;" - "&amp;Cuenta_Clasificacion[[#This Row],[Nombre de Cuenta Contable]]</f>
        <v>4101003 - IVA Subcontratos DS-19</v>
      </c>
      <c r="F1521" s="47" t="str">
        <f>+Cuenta_Clasificacion[[#This Row],[Codigo Concepto de imputación]]&amp;" - "&amp;Cuenta_Clasificacion[[#This Row],[Nombre Concepto de imputación]]</f>
        <v>40022 - Ayudante Prev. de Riesgos</v>
      </c>
    </row>
    <row r="1522" spans="1:6" x14ac:dyDescent="0.25">
      <c r="A1522" s="43">
        <v>4101003</v>
      </c>
      <c r="B1522" t="s">
        <v>1499</v>
      </c>
      <c r="C1522" s="43">
        <v>40023</v>
      </c>
      <c r="D1522" t="s">
        <v>2966</v>
      </c>
      <c r="E1522" s="47" t="str">
        <f>+Cuenta_Clasificacion[[#This Row],[Código Cuenta Contable]]&amp;" - "&amp;Cuenta_Clasificacion[[#This Row],[Nombre de Cuenta Contable]]</f>
        <v>4101003 - IVA Subcontratos DS-19</v>
      </c>
      <c r="F1522" s="47" t="str">
        <f>+Cuenta_Clasificacion[[#This Row],[Codigo Concepto de imputación]]&amp;" - "&amp;Cuenta_Clasificacion[[#This Row],[Nombre Concepto de imputación]]</f>
        <v>40023 - Ayudante Soldador</v>
      </c>
    </row>
    <row r="1523" spans="1:6" x14ac:dyDescent="0.25">
      <c r="A1523" s="43">
        <v>4101003</v>
      </c>
      <c r="B1523" t="s">
        <v>1499</v>
      </c>
      <c r="C1523" s="43">
        <v>40024</v>
      </c>
      <c r="D1523" t="s">
        <v>2967</v>
      </c>
      <c r="E1523" s="47" t="str">
        <f>+Cuenta_Clasificacion[[#This Row],[Código Cuenta Contable]]&amp;" - "&amp;Cuenta_Clasificacion[[#This Row],[Nombre de Cuenta Contable]]</f>
        <v>4101003 - IVA Subcontratos DS-19</v>
      </c>
      <c r="F1523" s="47" t="str">
        <f>+Cuenta_Clasificacion[[#This Row],[Codigo Concepto de imputación]]&amp;" - "&amp;Cuenta_Clasificacion[[#This Row],[Nombre Concepto de imputación]]</f>
        <v>40024 - Ayudante Trazador</v>
      </c>
    </row>
    <row r="1524" spans="1:6" x14ac:dyDescent="0.25">
      <c r="A1524" s="43">
        <v>4101003</v>
      </c>
      <c r="B1524" t="s">
        <v>1499</v>
      </c>
      <c r="C1524" s="43">
        <v>40025</v>
      </c>
      <c r="D1524" t="s">
        <v>2968</v>
      </c>
      <c r="E1524" s="47" t="str">
        <f>+Cuenta_Clasificacion[[#This Row],[Código Cuenta Contable]]&amp;" - "&amp;Cuenta_Clasificacion[[#This Row],[Nombre de Cuenta Contable]]</f>
        <v>4101003 - IVA Subcontratos DS-19</v>
      </c>
      <c r="F1524" s="47" t="str">
        <f>+Cuenta_Clasificacion[[#This Row],[Codigo Concepto de imputación]]&amp;" - "&amp;Cuenta_Clasificacion[[#This Row],[Nombre Concepto de imputación]]</f>
        <v>40025 - Bodeguero</v>
      </c>
    </row>
    <row r="1525" spans="1:6" x14ac:dyDescent="0.25">
      <c r="A1525" s="43">
        <v>4101003</v>
      </c>
      <c r="B1525" t="s">
        <v>1499</v>
      </c>
      <c r="C1525" s="43">
        <v>40026</v>
      </c>
      <c r="D1525" t="s">
        <v>2969</v>
      </c>
      <c r="E1525" s="47" t="str">
        <f>+Cuenta_Clasificacion[[#This Row],[Código Cuenta Contable]]&amp;" - "&amp;Cuenta_Clasificacion[[#This Row],[Nombre de Cuenta Contable]]</f>
        <v>4101003 - IVA Subcontratos DS-19</v>
      </c>
      <c r="F1525" s="47" t="str">
        <f>+Cuenta_Clasificacion[[#This Row],[Codigo Concepto de imputación]]&amp;" - "&amp;Cuenta_Clasificacion[[#This Row],[Nombre Concepto de imputación]]</f>
        <v>40026 - Capataz</v>
      </c>
    </row>
    <row r="1526" spans="1:6" x14ac:dyDescent="0.25">
      <c r="A1526" s="43">
        <v>4101003</v>
      </c>
      <c r="B1526" t="s">
        <v>1499</v>
      </c>
      <c r="C1526" s="43">
        <v>40027</v>
      </c>
      <c r="D1526" t="s">
        <v>2970</v>
      </c>
      <c r="E1526" s="47" t="str">
        <f>+Cuenta_Clasificacion[[#This Row],[Código Cuenta Contable]]&amp;" - "&amp;Cuenta_Clasificacion[[#This Row],[Nombre de Cuenta Contable]]</f>
        <v>4101003 - IVA Subcontratos DS-19</v>
      </c>
      <c r="F1526" s="47" t="str">
        <f>+Cuenta_Clasificacion[[#This Row],[Codigo Concepto de imputación]]&amp;" - "&amp;Cuenta_Clasificacion[[#This Row],[Nombre Concepto de imputación]]</f>
        <v>40027 - Capataz de Exteriores</v>
      </c>
    </row>
    <row r="1527" spans="1:6" x14ac:dyDescent="0.25">
      <c r="A1527" s="43">
        <v>4101003</v>
      </c>
      <c r="B1527" t="s">
        <v>1499</v>
      </c>
      <c r="C1527" s="43">
        <v>40028</v>
      </c>
      <c r="D1527" t="s">
        <v>2971</v>
      </c>
      <c r="E1527" s="47" t="str">
        <f>+Cuenta_Clasificacion[[#This Row],[Código Cuenta Contable]]&amp;" - "&amp;Cuenta_Clasificacion[[#This Row],[Nombre de Cuenta Contable]]</f>
        <v>4101003 - IVA Subcontratos DS-19</v>
      </c>
      <c r="F1527" s="47" t="str">
        <f>+Cuenta_Clasificacion[[#This Row],[Codigo Concepto de imputación]]&amp;" - "&amp;Cuenta_Clasificacion[[#This Row],[Nombre Concepto de imputación]]</f>
        <v>40028 - Capataz de Hormigón</v>
      </c>
    </row>
    <row r="1528" spans="1:6" x14ac:dyDescent="0.25">
      <c r="A1528" s="43">
        <v>4101003</v>
      </c>
      <c r="B1528" t="s">
        <v>1499</v>
      </c>
      <c r="C1528" s="43">
        <v>40029</v>
      </c>
      <c r="D1528" t="s">
        <v>2972</v>
      </c>
      <c r="E1528" s="47" t="str">
        <f>+Cuenta_Clasificacion[[#This Row],[Código Cuenta Contable]]&amp;" - "&amp;Cuenta_Clasificacion[[#This Row],[Nombre de Cuenta Contable]]</f>
        <v>4101003 - IVA Subcontratos DS-19</v>
      </c>
      <c r="F1528" s="47" t="str">
        <f>+Cuenta_Clasificacion[[#This Row],[Codigo Concepto de imputación]]&amp;" - "&amp;Cuenta_Clasificacion[[#This Row],[Nombre Concepto de imputación]]</f>
        <v>40029 - Capataz de Instalaciones</v>
      </c>
    </row>
    <row r="1529" spans="1:6" x14ac:dyDescent="0.25">
      <c r="A1529" s="43">
        <v>4101003</v>
      </c>
      <c r="B1529" t="s">
        <v>1499</v>
      </c>
      <c r="C1529" s="43">
        <v>40030</v>
      </c>
      <c r="D1529" t="s">
        <v>2973</v>
      </c>
      <c r="E1529" s="47" t="str">
        <f>+Cuenta_Clasificacion[[#This Row],[Código Cuenta Contable]]&amp;" - "&amp;Cuenta_Clasificacion[[#This Row],[Nombre de Cuenta Contable]]</f>
        <v>4101003 - IVA Subcontratos DS-19</v>
      </c>
      <c r="F1529" s="47" t="str">
        <f>+Cuenta_Clasificacion[[#This Row],[Codigo Concepto de imputación]]&amp;" - "&amp;Cuenta_Clasificacion[[#This Row],[Nombre Concepto de imputación]]</f>
        <v>40030 - Capataz de Moldaje</v>
      </c>
    </row>
    <row r="1530" spans="1:6" x14ac:dyDescent="0.25">
      <c r="A1530" s="43">
        <v>4101003</v>
      </c>
      <c r="B1530" t="s">
        <v>1499</v>
      </c>
      <c r="C1530" s="43">
        <v>40031</v>
      </c>
      <c r="D1530" t="s">
        <v>2974</v>
      </c>
      <c r="E1530" s="47" t="str">
        <f>+Cuenta_Clasificacion[[#This Row],[Código Cuenta Contable]]&amp;" - "&amp;Cuenta_Clasificacion[[#This Row],[Nombre de Cuenta Contable]]</f>
        <v>4101003 - IVA Subcontratos DS-19</v>
      </c>
      <c r="F1530" s="47" t="str">
        <f>+Cuenta_Clasificacion[[#This Row],[Codigo Concepto de imputación]]&amp;" - "&amp;Cuenta_Clasificacion[[#This Row],[Nombre Concepto de imputación]]</f>
        <v>40031 - Capataz de Patio</v>
      </c>
    </row>
    <row r="1531" spans="1:6" x14ac:dyDescent="0.25">
      <c r="A1531" s="43">
        <v>4101003</v>
      </c>
      <c r="B1531" t="s">
        <v>1499</v>
      </c>
      <c r="C1531" s="43">
        <v>40032</v>
      </c>
      <c r="D1531" t="s">
        <v>2975</v>
      </c>
      <c r="E1531" s="47" t="str">
        <f>+Cuenta_Clasificacion[[#This Row],[Código Cuenta Contable]]&amp;" - "&amp;Cuenta_Clasificacion[[#This Row],[Nombre de Cuenta Contable]]</f>
        <v>4101003 - IVA Subcontratos DS-19</v>
      </c>
      <c r="F1531" s="47" t="str">
        <f>+Cuenta_Clasificacion[[#This Row],[Codigo Concepto de imputación]]&amp;" - "&amp;Cuenta_Clasificacion[[#This Row],[Nombre Concepto de imputación]]</f>
        <v>40032 - Capataz de Post Venta</v>
      </c>
    </row>
    <row r="1532" spans="1:6" x14ac:dyDescent="0.25">
      <c r="A1532" s="43">
        <v>4101003</v>
      </c>
      <c r="B1532" t="s">
        <v>1499</v>
      </c>
      <c r="C1532" s="43">
        <v>40033</v>
      </c>
      <c r="D1532" t="s">
        <v>2976</v>
      </c>
      <c r="E1532" s="47" t="str">
        <f>+Cuenta_Clasificacion[[#This Row],[Código Cuenta Contable]]&amp;" - "&amp;Cuenta_Clasificacion[[#This Row],[Nombre de Cuenta Contable]]</f>
        <v>4101003 - IVA Subcontratos DS-19</v>
      </c>
      <c r="F1532" s="47" t="str">
        <f>+Cuenta_Clasificacion[[#This Row],[Codigo Concepto de imputación]]&amp;" - "&amp;Cuenta_Clasificacion[[#This Row],[Nombre Concepto de imputación]]</f>
        <v>40033 - Capataz de Terminaciones</v>
      </c>
    </row>
    <row r="1533" spans="1:6" x14ac:dyDescent="0.25">
      <c r="A1533" s="43">
        <v>4101003</v>
      </c>
      <c r="B1533" t="s">
        <v>1499</v>
      </c>
      <c r="C1533" s="43">
        <v>40034</v>
      </c>
      <c r="D1533" t="s">
        <v>2977</v>
      </c>
      <c r="E1533" s="47" t="str">
        <f>+Cuenta_Clasificacion[[#This Row],[Código Cuenta Contable]]&amp;" - "&amp;Cuenta_Clasificacion[[#This Row],[Nombre de Cuenta Contable]]</f>
        <v>4101003 - IVA Subcontratos DS-19</v>
      </c>
      <c r="F1533" s="47" t="str">
        <f>+Cuenta_Clasificacion[[#This Row],[Codigo Concepto de imputación]]&amp;" - "&amp;Cuenta_Clasificacion[[#This Row],[Nombre Concepto de imputación]]</f>
        <v>40034 - Carpintero</v>
      </c>
    </row>
    <row r="1534" spans="1:6" x14ac:dyDescent="0.25">
      <c r="A1534" s="43">
        <v>4101003</v>
      </c>
      <c r="B1534" t="s">
        <v>1499</v>
      </c>
      <c r="C1534" s="43">
        <v>40035</v>
      </c>
      <c r="D1534" t="s">
        <v>2978</v>
      </c>
      <c r="E1534" s="47" t="str">
        <f>+Cuenta_Clasificacion[[#This Row],[Código Cuenta Contable]]&amp;" - "&amp;Cuenta_Clasificacion[[#This Row],[Nombre de Cuenta Contable]]</f>
        <v>4101003 - IVA Subcontratos DS-19</v>
      </c>
      <c r="F1534" s="47" t="str">
        <f>+Cuenta_Clasificacion[[#This Row],[Codigo Concepto de imputación]]&amp;" - "&amp;Cuenta_Clasificacion[[#This Row],[Nombre Concepto de imputación]]</f>
        <v>40035 - Carpintero de Obra Gruesa</v>
      </c>
    </row>
    <row r="1535" spans="1:6" x14ac:dyDescent="0.25">
      <c r="A1535" s="43">
        <v>4101003</v>
      </c>
      <c r="B1535" t="s">
        <v>1499</v>
      </c>
      <c r="C1535" s="43">
        <v>40036</v>
      </c>
      <c r="D1535" t="s">
        <v>2979</v>
      </c>
      <c r="E1535" s="47" t="str">
        <f>+Cuenta_Clasificacion[[#This Row],[Código Cuenta Contable]]&amp;" - "&amp;Cuenta_Clasificacion[[#This Row],[Nombre de Cuenta Contable]]</f>
        <v>4101003 - IVA Subcontratos DS-19</v>
      </c>
      <c r="F1535" s="47" t="str">
        <f>+Cuenta_Clasificacion[[#This Row],[Codigo Concepto de imputación]]&amp;" - "&amp;Cuenta_Clasificacion[[#This Row],[Nombre Concepto de imputación]]</f>
        <v>40036 - Carpintero de Terminaciones</v>
      </c>
    </row>
    <row r="1536" spans="1:6" x14ac:dyDescent="0.25">
      <c r="A1536" s="43">
        <v>4101003</v>
      </c>
      <c r="B1536" t="s">
        <v>1499</v>
      </c>
      <c r="C1536" s="43">
        <v>40037</v>
      </c>
      <c r="D1536" t="s">
        <v>2980</v>
      </c>
      <c r="E1536" s="47" t="str">
        <f>+Cuenta_Clasificacion[[#This Row],[Código Cuenta Contable]]&amp;" - "&amp;Cuenta_Clasificacion[[#This Row],[Nombre de Cuenta Contable]]</f>
        <v>4101003 - IVA Subcontratos DS-19</v>
      </c>
      <c r="F1536" s="47" t="str">
        <f>+Cuenta_Clasificacion[[#This Row],[Codigo Concepto de imputación]]&amp;" - "&amp;Cuenta_Clasificacion[[#This Row],[Nombre Concepto de imputación]]</f>
        <v>40037 - Chofer</v>
      </c>
    </row>
    <row r="1537" spans="1:6" x14ac:dyDescent="0.25">
      <c r="A1537" s="43">
        <v>4101003</v>
      </c>
      <c r="B1537" t="s">
        <v>1499</v>
      </c>
      <c r="C1537" s="43">
        <v>40038</v>
      </c>
      <c r="D1537" t="s">
        <v>2981</v>
      </c>
      <c r="E1537" s="47" t="str">
        <f>+Cuenta_Clasificacion[[#This Row],[Código Cuenta Contable]]&amp;" - "&amp;Cuenta_Clasificacion[[#This Row],[Nombre de Cuenta Contable]]</f>
        <v>4101003 - IVA Subcontratos DS-19</v>
      </c>
      <c r="F1537" s="47" t="str">
        <f>+Cuenta_Clasificacion[[#This Row],[Codigo Concepto de imputación]]&amp;" - "&amp;Cuenta_Clasificacion[[#This Row],[Nombre Concepto de imputación]]</f>
        <v>40038 - Concretero</v>
      </c>
    </row>
    <row r="1538" spans="1:6" x14ac:dyDescent="0.25">
      <c r="A1538" s="43">
        <v>4101003</v>
      </c>
      <c r="B1538" t="s">
        <v>1499</v>
      </c>
      <c r="C1538" s="43">
        <v>40039</v>
      </c>
      <c r="D1538" t="s">
        <v>2982</v>
      </c>
      <c r="E1538" s="47" t="str">
        <f>+Cuenta_Clasificacion[[#This Row],[Código Cuenta Contable]]&amp;" - "&amp;Cuenta_Clasificacion[[#This Row],[Nombre de Cuenta Contable]]</f>
        <v>4101003 - IVA Subcontratos DS-19</v>
      </c>
      <c r="F1538" s="47" t="str">
        <f>+Cuenta_Clasificacion[[#This Row],[Codigo Concepto de imputación]]&amp;" - "&amp;Cuenta_Clasificacion[[#This Row],[Nombre Concepto de imputación]]</f>
        <v>40039 - Constructor</v>
      </c>
    </row>
    <row r="1539" spans="1:6" x14ac:dyDescent="0.25">
      <c r="A1539" s="43">
        <v>4101003</v>
      </c>
      <c r="B1539" t="s">
        <v>1499</v>
      </c>
      <c r="C1539" s="43">
        <v>40040</v>
      </c>
      <c r="D1539" t="s">
        <v>2983</v>
      </c>
      <c r="E1539" s="47" t="str">
        <f>+Cuenta_Clasificacion[[#This Row],[Código Cuenta Contable]]&amp;" - "&amp;Cuenta_Clasificacion[[#This Row],[Nombre de Cuenta Contable]]</f>
        <v>4101003 - IVA Subcontratos DS-19</v>
      </c>
      <c r="F1539" s="47" t="str">
        <f>+Cuenta_Clasificacion[[#This Row],[Codigo Concepto de imputación]]&amp;" - "&amp;Cuenta_Clasificacion[[#This Row],[Nombre Concepto de imputación]]</f>
        <v>40040 - Control de Obras</v>
      </c>
    </row>
    <row r="1540" spans="1:6" x14ac:dyDescent="0.25">
      <c r="A1540" s="43">
        <v>4101003</v>
      </c>
      <c r="B1540" t="s">
        <v>1499</v>
      </c>
      <c r="C1540" s="43">
        <v>40041</v>
      </c>
      <c r="D1540" t="s">
        <v>2984</v>
      </c>
      <c r="E1540" s="47" t="str">
        <f>+Cuenta_Clasificacion[[#This Row],[Código Cuenta Contable]]&amp;" - "&amp;Cuenta_Clasificacion[[#This Row],[Nombre de Cuenta Contable]]</f>
        <v>4101003 - IVA Subcontratos DS-19</v>
      </c>
      <c r="F1540" s="47" t="str">
        <f>+Cuenta_Clasificacion[[#This Row],[Codigo Concepto de imputación]]&amp;" - "&amp;Cuenta_Clasificacion[[#This Row],[Nombre Concepto de imputación]]</f>
        <v>40041 - Control de Gest. y Avance de O</v>
      </c>
    </row>
    <row r="1541" spans="1:6" x14ac:dyDescent="0.25">
      <c r="A1541" s="43">
        <v>4101003</v>
      </c>
      <c r="B1541" t="s">
        <v>1499</v>
      </c>
      <c r="C1541" s="43">
        <v>40042</v>
      </c>
      <c r="D1541" t="s">
        <v>2985</v>
      </c>
      <c r="E1541" s="47" t="str">
        <f>+Cuenta_Clasificacion[[#This Row],[Código Cuenta Contable]]&amp;" - "&amp;Cuenta_Clasificacion[[#This Row],[Nombre de Cuenta Contable]]</f>
        <v>4101003 - IVA Subcontratos DS-19</v>
      </c>
      <c r="F1541" s="47" t="str">
        <f>+Cuenta_Clasificacion[[#This Row],[Codigo Concepto de imputación]]&amp;" - "&amp;Cuenta_Clasificacion[[#This Row],[Nombre Concepto de imputación]]</f>
        <v>40042 - Coordinador de ITOs</v>
      </c>
    </row>
    <row r="1542" spans="1:6" x14ac:dyDescent="0.25">
      <c r="A1542" s="43">
        <v>4101003</v>
      </c>
      <c r="B1542" t="s">
        <v>1499</v>
      </c>
      <c r="C1542" s="43">
        <v>40043</v>
      </c>
      <c r="D1542" t="s">
        <v>2986</v>
      </c>
      <c r="E1542" s="47" t="str">
        <f>+Cuenta_Clasificacion[[#This Row],[Código Cuenta Contable]]&amp;" - "&amp;Cuenta_Clasificacion[[#This Row],[Nombre de Cuenta Contable]]</f>
        <v>4101003 - IVA Subcontratos DS-19</v>
      </c>
      <c r="F1542" s="47" t="str">
        <f>+Cuenta_Clasificacion[[#This Row],[Codigo Concepto de imputación]]&amp;" - "&amp;Cuenta_Clasificacion[[#This Row],[Nombre Concepto de imputación]]</f>
        <v>40043 - Coordinador de Proyectos</v>
      </c>
    </row>
    <row r="1543" spans="1:6" x14ac:dyDescent="0.25">
      <c r="A1543" s="43">
        <v>4101003</v>
      </c>
      <c r="B1543" t="s">
        <v>1499</v>
      </c>
      <c r="C1543" s="43">
        <v>40044</v>
      </c>
      <c r="D1543" t="s">
        <v>2987</v>
      </c>
      <c r="E1543" s="47" t="str">
        <f>+Cuenta_Clasificacion[[#This Row],[Código Cuenta Contable]]&amp;" - "&amp;Cuenta_Clasificacion[[#This Row],[Nombre de Cuenta Contable]]</f>
        <v>4101003 - IVA Subcontratos DS-19</v>
      </c>
      <c r="F1543" s="47" t="str">
        <f>+Cuenta_Clasificacion[[#This Row],[Codigo Concepto de imputación]]&amp;" - "&amp;Cuenta_Clasificacion[[#This Row],[Nombre Concepto de imputación]]</f>
        <v>40044 - Coord. Gral. de Instalacione</v>
      </c>
    </row>
    <row r="1544" spans="1:6" x14ac:dyDescent="0.25">
      <c r="A1544" s="43">
        <v>4101003</v>
      </c>
      <c r="B1544" t="s">
        <v>1499</v>
      </c>
      <c r="C1544" s="43">
        <v>40045</v>
      </c>
      <c r="D1544" t="s">
        <v>2988</v>
      </c>
      <c r="E1544" s="47" t="str">
        <f>+Cuenta_Clasificacion[[#This Row],[Código Cuenta Contable]]&amp;" - "&amp;Cuenta_Clasificacion[[#This Row],[Nombre de Cuenta Contable]]</f>
        <v>4101003 - IVA Subcontratos DS-19</v>
      </c>
      <c r="F1544" s="47" t="str">
        <f>+Cuenta_Clasificacion[[#This Row],[Codigo Concepto de imputación]]&amp;" - "&amp;Cuenta_Clasificacion[[#This Row],[Nombre Concepto de imputación]]</f>
        <v>40045 - Diseñador</v>
      </c>
    </row>
    <row r="1545" spans="1:6" x14ac:dyDescent="0.25">
      <c r="A1545" s="43">
        <v>4101003</v>
      </c>
      <c r="B1545" t="s">
        <v>1499</v>
      </c>
      <c r="C1545" s="43">
        <v>40046</v>
      </c>
      <c r="D1545" t="s">
        <v>2989</v>
      </c>
      <c r="E1545" s="47" t="str">
        <f>+Cuenta_Clasificacion[[#This Row],[Código Cuenta Contable]]&amp;" - "&amp;Cuenta_Clasificacion[[#This Row],[Nombre de Cuenta Contable]]</f>
        <v>4101003 - IVA Subcontratos DS-19</v>
      </c>
      <c r="F1545" s="47" t="str">
        <f>+Cuenta_Clasificacion[[#This Row],[Codigo Concepto de imputación]]&amp;" - "&amp;Cuenta_Clasificacion[[#This Row],[Nombre Concepto de imputación]]</f>
        <v>40046 - Eléctrico</v>
      </c>
    </row>
    <row r="1546" spans="1:6" x14ac:dyDescent="0.25">
      <c r="A1546" s="43">
        <v>4101003</v>
      </c>
      <c r="B1546" t="s">
        <v>1499</v>
      </c>
      <c r="C1546" s="43">
        <v>40047</v>
      </c>
      <c r="D1546" t="s">
        <v>2990</v>
      </c>
      <c r="E1546" s="47" t="str">
        <f>+Cuenta_Clasificacion[[#This Row],[Código Cuenta Contable]]&amp;" - "&amp;Cuenta_Clasificacion[[#This Row],[Nombre de Cuenta Contable]]</f>
        <v>4101003 - IVA Subcontratos DS-19</v>
      </c>
      <c r="F1546" s="47" t="str">
        <f>+Cuenta_Clasificacion[[#This Row],[Codigo Concepto de imputación]]&amp;" - "&amp;Cuenta_Clasificacion[[#This Row],[Nombre Concepto de imputación]]</f>
        <v>40047 - Electromecánico</v>
      </c>
    </row>
    <row r="1547" spans="1:6" x14ac:dyDescent="0.25">
      <c r="A1547" s="43">
        <v>4101003</v>
      </c>
      <c r="B1547" t="s">
        <v>1499</v>
      </c>
      <c r="C1547" s="43">
        <v>40048</v>
      </c>
      <c r="D1547" t="s">
        <v>2991</v>
      </c>
      <c r="E1547" s="47" t="str">
        <f>+Cuenta_Clasificacion[[#This Row],[Código Cuenta Contable]]&amp;" - "&amp;Cuenta_Clasificacion[[#This Row],[Nombre de Cuenta Contable]]</f>
        <v>4101003 - IVA Subcontratos DS-19</v>
      </c>
      <c r="F1547" s="47" t="str">
        <f>+Cuenta_Clasificacion[[#This Row],[Codigo Concepto de imputación]]&amp;" - "&amp;Cuenta_Clasificacion[[#This Row],[Nombre Concepto de imputación]]</f>
        <v>40048 - Elect. de Mant. y Montaje</v>
      </c>
    </row>
    <row r="1548" spans="1:6" x14ac:dyDescent="0.25">
      <c r="A1548" s="43">
        <v>4101003</v>
      </c>
      <c r="B1548" t="s">
        <v>1499</v>
      </c>
      <c r="C1548" s="43">
        <v>40049</v>
      </c>
      <c r="D1548" t="s">
        <v>2992</v>
      </c>
      <c r="E1548" s="47" t="str">
        <f>+Cuenta_Clasificacion[[#This Row],[Código Cuenta Contable]]&amp;" - "&amp;Cuenta_Clasificacion[[#This Row],[Nombre de Cuenta Contable]]</f>
        <v>4101003 - IVA Subcontratos DS-19</v>
      </c>
      <c r="F1548" s="47" t="str">
        <f>+Cuenta_Clasificacion[[#This Row],[Codigo Concepto de imputación]]&amp;" - "&amp;Cuenta_Clasificacion[[#This Row],[Nombre Concepto de imputación]]</f>
        <v>40049 - Encargado de Arriendos</v>
      </c>
    </row>
    <row r="1549" spans="1:6" x14ac:dyDescent="0.25">
      <c r="A1549" s="43">
        <v>4101003</v>
      </c>
      <c r="B1549" t="s">
        <v>1499</v>
      </c>
      <c r="C1549" s="43">
        <v>40050</v>
      </c>
      <c r="D1549" t="s">
        <v>2993</v>
      </c>
      <c r="E1549" s="47" t="str">
        <f>+Cuenta_Clasificacion[[#This Row],[Código Cuenta Contable]]&amp;" - "&amp;Cuenta_Clasificacion[[#This Row],[Nombre de Cuenta Contable]]</f>
        <v>4101003 - IVA Subcontratos DS-19</v>
      </c>
      <c r="F1549" s="47" t="str">
        <f>+Cuenta_Clasificacion[[#This Row],[Codigo Concepto de imputación]]&amp;" - "&amp;Cuenta_Clasificacion[[#This Row],[Nombre Concepto de imputación]]</f>
        <v>40050 - Encargado de Bodega</v>
      </c>
    </row>
    <row r="1550" spans="1:6" x14ac:dyDescent="0.25">
      <c r="A1550" s="43">
        <v>4101003</v>
      </c>
      <c r="B1550" t="s">
        <v>1499</v>
      </c>
      <c r="C1550" s="43">
        <v>40051</v>
      </c>
      <c r="D1550" t="s">
        <v>2994</v>
      </c>
      <c r="E1550" s="47" t="str">
        <f>+Cuenta_Clasificacion[[#This Row],[Código Cuenta Contable]]&amp;" - "&amp;Cuenta_Clasificacion[[#This Row],[Nombre de Cuenta Contable]]</f>
        <v>4101003 - IVA Subcontratos DS-19</v>
      </c>
      <c r="F1550" s="47" t="str">
        <f>+Cuenta_Clasificacion[[#This Row],[Codigo Concepto de imputación]]&amp;" - "&amp;Cuenta_Clasificacion[[#This Row],[Nombre Concepto de imputación]]</f>
        <v>40051 - Encargado Control Avance Obra</v>
      </c>
    </row>
    <row r="1551" spans="1:6" x14ac:dyDescent="0.25">
      <c r="A1551" s="43">
        <v>4101003</v>
      </c>
      <c r="B1551" t="s">
        <v>1499</v>
      </c>
      <c r="C1551" s="43">
        <v>40052</v>
      </c>
      <c r="D1551" t="s">
        <v>2995</v>
      </c>
      <c r="E1551" s="47" t="str">
        <f>+Cuenta_Clasificacion[[#This Row],[Código Cuenta Contable]]&amp;" - "&amp;Cuenta_Clasificacion[[#This Row],[Nombre de Cuenta Contable]]</f>
        <v>4101003 - IVA Subcontratos DS-19</v>
      </c>
      <c r="F1551" s="47" t="str">
        <f>+Cuenta_Clasificacion[[#This Row],[Codigo Concepto de imputación]]&amp;" - "&amp;Cuenta_Clasificacion[[#This Row],[Nombre Concepto de imputación]]</f>
        <v>40052 - Encargado de Inspección</v>
      </c>
    </row>
    <row r="1552" spans="1:6" x14ac:dyDescent="0.25">
      <c r="A1552" s="43">
        <v>4101003</v>
      </c>
      <c r="B1552" t="s">
        <v>1499</v>
      </c>
      <c r="C1552" s="43">
        <v>40053</v>
      </c>
      <c r="D1552" t="s">
        <v>2996</v>
      </c>
      <c r="E1552" s="47" t="str">
        <f>+Cuenta_Clasificacion[[#This Row],[Código Cuenta Contable]]&amp;" - "&amp;Cuenta_Clasificacion[[#This Row],[Nombre de Cuenta Contable]]</f>
        <v>4101003 - IVA Subcontratos DS-19</v>
      </c>
      <c r="F1552" s="47" t="str">
        <f>+Cuenta_Clasificacion[[#This Row],[Codigo Concepto de imputación]]&amp;" - "&amp;Cuenta_Clasificacion[[#This Row],[Nombre Concepto de imputación]]</f>
        <v>40053 - Encargado de Mantención</v>
      </c>
    </row>
    <row r="1553" spans="1:6" x14ac:dyDescent="0.25">
      <c r="A1553" s="43">
        <v>4101003</v>
      </c>
      <c r="B1553" t="s">
        <v>1499</v>
      </c>
      <c r="C1553" s="43">
        <v>40054</v>
      </c>
      <c r="D1553" t="s">
        <v>2997</v>
      </c>
      <c r="E1553" s="47" t="str">
        <f>+Cuenta_Clasificacion[[#This Row],[Código Cuenta Contable]]&amp;" - "&amp;Cuenta_Clasificacion[[#This Row],[Nombre de Cuenta Contable]]</f>
        <v>4101003 - IVA Subcontratos DS-19</v>
      </c>
      <c r="F1553" s="47" t="str">
        <f>+Cuenta_Clasificacion[[#This Row],[Codigo Concepto de imputación]]&amp;" - "&amp;Cuenta_Clasificacion[[#This Row],[Nombre Concepto de imputación]]</f>
        <v>40054 - Encargado de Oficina Técnica</v>
      </c>
    </row>
    <row r="1554" spans="1:6" x14ac:dyDescent="0.25">
      <c r="A1554" s="43">
        <v>4101003</v>
      </c>
      <c r="B1554" t="s">
        <v>1499</v>
      </c>
      <c r="C1554" s="43">
        <v>40055</v>
      </c>
      <c r="D1554" t="s">
        <v>2998</v>
      </c>
      <c r="E1554" s="47" t="str">
        <f>+Cuenta_Clasificacion[[#This Row],[Código Cuenta Contable]]&amp;" - "&amp;Cuenta_Clasificacion[[#This Row],[Nombre de Cuenta Contable]]</f>
        <v>4101003 - IVA Subcontratos DS-19</v>
      </c>
      <c r="F1554" s="47" t="str">
        <f>+Cuenta_Clasificacion[[#This Row],[Codigo Concepto de imputación]]&amp;" - "&amp;Cuenta_Clasificacion[[#This Row],[Nombre Concepto de imputación]]</f>
        <v>40055 - Enfierrador</v>
      </c>
    </row>
    <row r="1555" spans="1:6" x14ac:dyDescent="0.25">
      <c r="A1555" s="43">
        <v>4101003</v>
      </c>
      <c r="B1555" t="s">
        <v>1499</v>
      </c>
      <c r="C1555" s="43">
        <v>40056</v>
      </c>
      <c r="D1555" t="s">
        <v>2999</v>
      </c>
      <c r="E1555" s="47" t="str">
        <f>+Cuenta_Clasificacion[[#This Row],[Código Cuenta Contable]]&amp;" - "&amp;Cuenta_Clasificacion[[#This Row],[Nombre de Cuenta Contable]]</f>
        <v>4101003 - IVA Subcontratos DS-19</v>
      </c>
      <c r="F1555" s="47" t="str">
        <f>+Cuenta_Clasificacion[[#This Row],[Codigo Concepto de imputación]]&amp;" - "&amp;Cuenta_Clasificacion[[#This Row],[Nombre Concepto de imputación]]</f>
        <v>40056 - Especialista Eléctrico</v>
      </c>
    </row>
    <row r="1556" spans="1:6" x14ac:dyDescent="0.25">
      <c r="A1556" s="43">
        <v>4101003</v>
      </c>
      <c r="B1556" t="s">
        <v>1499</v>
      </c>
      <c r="C1556" s="43">
        <v>40057</v>
      </c>
      <c r="D1556" t="s">
        <v>3000</v>
      </c>
      <c r="E1556" s="47" t="str">
        <f>+Cuenta_Clasificacion[[#This Row],[Código Cuenta Contable]]&amp;" - "&amp;Cuenta_Clasificacion[[#This Row],[Nombre de Cuenta Contable]]</f>
        <v>4101003 - IVA Subcontratos DS-19</v>
      </c>
      <c r="F1556" s="47" t="str">
        <f>+Cuenta_Clasificacion[[#This Row],[Codigo Concepto de imputación]]&amp;" - "&amp;Cuenta_Clasificacion[[#This Row],[Nombre Concepto de imputación]]</f>
        <v>40057 - Estafeta</v>
      </c>
    </row>
    <row r="1557" spans="1:6" x14ac:dyDescent="0.25">
      <c r="A1557" s="43">
        <v>4101003</v>
      </c>
      <c r="B1557" t="s">
        <v>1499</v>
      </c>
      <c r="C1557" s="43">
        <v>40058</v>
      </c>
      <c r="D1557" t="s">
        <v>3001</v>
      </c>
      <c r="E1557" s="47" t="str">
        <f>+Cuenta_Clasificacion[[#This Row],[Código Cuenta Contable]]&amp;" - "&amp;Cuenta_Clasificacion[[#This Row],[Nombre de Cuenta Contable]]</f>
        <v>4101003 - IVA Subcontratos DS-19</v>
      </c>
      <c r="F1557" s="47" t="str">
        <f>+Cuenta_Clasificacion[[#This Row],[Codigo Concepto de imputación]]&amp;" - "&amp;Cuenta_Clasificacion[[#This Row],[Nombre Concepto de imputación]]</f>
        <v>40058 - Estucador</v>
      </c>
    </row>
    <row r="1558" spans="1:6" x14ac:dyDescent="0.25">
      <c r="A1558" s="43">
        <v>4101003</v>
      </c>
      <c r="B1558" t="s">
        <v>1499</v>
      </c>
      <c r="C1558" s="43">
        <v>40059</v>
      </c>
      <c r="D1558" t="s">
        <v>3002</v>
      </c>
      <c r="E1558" s="47" t="str">
        <f>+Cuenta_Clasificacion[[#This Row],[Código Cuenta Contable]]&amp;" - "&amp;Cuenta_Clasificacion[[#This Row],[Nombre de Cuenta Contable]]</f>
        <v>4101003 - IVA Subcontratos DS-19</v>
      </c>
      <c r="F1558" s="47" t="str">
        <f>+Cuenta_Clasificacion[[#This Row],[Codigo Concepto de imputación]]&amp;" - "&amp;Cuenta_Clasificacion[[#This Row],[Nombre Concepto de imputación]]</f>
        <v>40059 - Experto en  Prev. de Riesgos</v>
      </c>
    </row>
    <row r="1559" spans="1:6" x14ac:dyDescent="0.25">
      <c r="A1559" s="43">
        <v>4101003</v>
      </c>
      <c r="B1559" t="s">
        <v>1499</v>
      </c>
      <c r="C1559" s="43">
        <v>40060</v>
      </c>
      <c r="D1559" t="s">
        <v>3003</v>
      </c>
      <c r="E1559" s="47" t="str">
        <f>+Cuenta_Clasificacion[[#This Row],[Código Cuenta Contable]]&amp;" - "&amp;Cuenta_Clasificacion[[#This Row],[Nombre de Cuenta Contable]]</f>
        <v>4101003 - IVA Subcontratos DS-19</v>
      </c>
      <c r="F1559" s="47" t="str">
        <f>+Cuenta_Clasificacion[[#This Row],[Codigo Concepto de imputación]]&amp;" - "&amp;Cuenta_Clasificacion[[#This Row],[Nombre Concepto de imputación]]</f>
        <v>40060 - Gasfiter</v>
      </c>
    </row>
    <row r="1560" spans="1:6" x14ac:dyDescent="0.25">
      <c r="A1560" s="43">
        <v>4101003</v>
      </c>
      <c r="B1560" t="s">
        <v>1499</v>
      </c>
      <c r="C1560" s="43">
        <v>40061</v>
      </c>
      <c r="D1560" t="s">
        <v>3004</v>
      </c>
      <c r="E1560" s="47" t="str">
        <f>+Cuenta_Clasificacion[[#This Row],[Código Cuenta Contable]]&amp;" - "&amp;Cuenta_Clasificacion[[#This Row],[Nombre de Cuenta Contable]]</f>
        <v>4101003 - IVA Subcontratos DS-19</v>
      </c>
      <c r="F1560" s="47" t="str">
        <f>+Cuenta_Clasificacion[[#This Row],[Codigo Concepto de imputación]]&amp;" - "&amp;Cuenta_Clasificacion[[#This Row],[Nombre Concepto de imputación]]</f>
        <v>40061 - Gerente de Obra</v>
      </c>
    </row>
    <row r="1561" spans="1:6" x14ac:dyDescent="0.25">
      <c r="A1561" s="43">
        <v>4101003</v>
      </c>
      <c r="B1561" t="s">
        <v>1499</v>
      </c>
      <c r="C1561" s="43">
        <v>40062</v>
      </c>
      <c r="D1561" t="s">
        <v>3005</v>
      </c>
      <c r="E1561" s="47" t="str">
        <f>+Cuenta_Clasificacion[[#This Row],[Código Cuenta Contable]]&amp;" - "&amp;Cuenta_Clasificacion[[#This Row],[Nombre de Cuenta Contable]]</f>
        <v>4101003 - IVA Subcontratos DS-19</v>
      </c>
      <c r="F1561" s="47" t="str">
        <f>+Cuenta_Clasificacion[[#This Row],[Codigo Concepto de imputación]]&amp;" - "&amp;Cuenta_Clasificacion[[#This Row],[Nombre Concepto de imputación]]</f>
        <v>40062 - Ingeniero</v>
      </c>
    </row>
    <row r="1562" spans="1:6" x14ac:dyDescent="0.25">
      <c r="A1562" s="43">
        <v>4101003</v>
      </c>
      <c r="B1562" t="s">
        <v>1499</v>
      </c>
      <c r="C1562" s="43">
        <v>40063</v>
      </c>
      <c r="D1562" t="s">
        <v>3006</v>
      </c>
      <c r="E1562" s="47" t="str">
        <f>+Cuenta_Clasificacion[[#This Row],[Código Cuenta Contable]]&amp;" - "&amp;Cuenta_Clasificacion[[#This Row],[Nombre de Cuenta Contable]]</f>
        <v>4101003 - IVA Subcontratos DS-19</v>
      </c>
      <c r="F1562" s="47" t="str">
        <f>+Cuenta_Clasificacion[[#This Row],[Codigo Concepto de imputación]]&amp;" - "&amp;Cuenta_Clasificacion[[#This Row],[Nombre Concepto de imputación]]</f>
        <v>40063 - Insp. Técnico de Obra Interno</v>
      </c>
    </row>
    <row r="1563" spans="1:6" x14ac:dyDescent="0.25">
      <c r="A1563" s="43">
        <v>4101003</v>
      </c>
      <c r="B1563" t="s">
        <v>1499</v>
      </c>
      <c r="C1563" s="43">
        <v>40064</v>
      </c>
      <c r="D1563" t="s">
        <v>3007</v>
      </c>
      <c r="E1563" s="47" t="str">
        <f>+Cuenta_Clasificacion[[#This Row],[Código Cuenta Contable]]&amp;" - "&amp;Cuenta_Clasificacion[[#This Row],[Nombre de Cuenta Contable]]</f>
        <v>4101003 - IVA Subcontratos DS-19</v>
      </c>
      <c r="F1563" s="47" t="str">
        <f>+Cuenta_Clasificacion[[#This Row],[Codigo Concepto de imputación]]&amp;" - "&amp;Cuenta_Clasificacion[[#This Row],[Nombre Concepto de imputación]]</f>
        <v>40064 - Inspector Técnico de Obra</v>
      </c>
    </row>
    <row r="1564" spans="1:6" x14ac:dyDescent="0.25">
      <c r="A1564" s="43">
        <v>4101003</v>
      </c>
      <c r="B1564" t="s">
        <v>1499</v>
      </c>
      <c r="C1564" s="43">
        <v>40065</v>
      </c>
      <c r="D1564" t="s">
        <v>3008</v>
      </c>
      <c r="E1564" s="47" t="str">
        <f>+Cuenta_Clasificacion[[#This Row],[Código Cuenta Contable]]&amp;" - "&amp;Cuenta_Clasificacion[[#This Row],[Nombre de Cuenta Contable]]</f>
        <v>4101003 - IVA Subcontratos DS-19</v>
      </c>
      <c r="F1564" s="47" t="str">
        <f>+Cuenta_Clasificacion[[#This Row],[Codigo Concepto de imputación]]&amp;" - "&amp;Cuenta_Clasificacion[[#This Row],[Nombre Concepto de imputación]]</f>
        <v>40065 - Jefe de Adquisiciones</v>
      </c>
    </row>
    <row r="1565" spans="1:6" x14ac:dyDescent="0.25">
      <c r="A1565" s="43">
        <v>4101003</v>
      </c>
      <c r="B1565" t="s">
        <v>1499</v>
      </c>
      <c r="C1565" s="43">
        <v>40066</v>
      </c>
      <c r="D1565" t="s">
        <v>3009</v>
      </c>
      <c r="E1565" s="47" t="str">
        <f>+Cuenta_Clasificacion[[#This Row],[Código Cuenta Contable]]&amp;" - "&amp;Cuenta_Clasificacion[[#This Row],[Nombre de Cuenta Contable]]</f>
        <v>4101003 - IVA Subcontratos DS-19</v>
      </c>
      <c r="F1565" s="47" t="str">
        <f>+Cuenta_Clasificacion[[#This Row],[Codigo Concepto de imputación]]&amp;" - "&amp;Cuenta_Clasificacion[[#This Row],[Nombre Concepto de imputación]]</f>
        <v>40066 - Jefe de Bodega</v>
      </c>
    </row>
    <row r="1566" spans="1:6" x14ac:dyDescent="0.25">
      <c r="A1566" s="43">
        <v>4101003</v>
      </c>
      <c r="B1566" t="s">
        <v>1499</v>
      </c>
      <c r="C1566" s="43">
        <v>40067</v>
      </c>
      <c r="D1566" t="s">
        <v>3010</v>
      </c>
      <c r="E1566" s="47" t="str">
        <f>+Cuenta_Clasificacion[[#This Row],[Código Cuenta Contable]]&amp;" - "&amp;Cuenta_Clasificacion[[#This Row],[Nombre de Cuenta Contable]]</f>
        <v>4101003 - IVA Subcontratos DS-19</v>
      </c>
      <c r="F1566" s="47" t="str">
        <f>+Cuenta_Clasificacion[[#This Row],[Codigo Concepto de imputación]]&amp;" - "&amp;Cuenta_Clasificacion[[#This Row],[Nombre Concepto de imputación]]</f>
        <v>40067 - Jefe de Maq. y Bodega Central</v>
      </c>
    </row>
    <row r="1567" spans="1:6" x14ac:dyDescent="0.25">
      <c r="A1567" s="43">
        <v>4101003</v>
      </c>
      <c r="B1567" t="s">
        <v>1499</v>
      </c>
      <c r="C1567" s="43">
        <v>40068</v>
      </c>
      <c r="D1567" t="s">
        <v>3011</v>
      </c>
      <c r="E1567" s="47" t="str">
        <f>+Cuenta_Clasificacion[[#This Row],[Código Cuenta Contable]]&amp;" - "&amp;Cuenta_Clasificacion[[#This Row],[Nombre de Cuenta Contable]]</f>
        <v>4101003 - IVA Subcontratos DS-19</v>
      </c>
      <c r="F1567" s="47" t="str">
        <f>+Cuenta_Clasificacion[[#This Row],[Codigo Concepto de imputación]]&amp;" - "&amp;Cuenta_Clasificacion[[#This Row],[Nombre Concepto de imputación]]</f>
        <v>40068 - Jefe de Obra</v>
      </c>
    </row>
    <row r="1568" spans="1:6" x14ac:dyDescent="0.25">
      <c r="A1568" s="43">
        <v>4101003</v>
      </c>
      <c r="B1568" t="s">
        <v>1499</v>
      </c>
      <c r="C1568" s="43">
        <v>40069</v>
      </c>
      <c r="D1568" t="s">
        <v>3012</v>
      </c>
      <c r="E1568" s="47" t="str">
        <f>+Cuenta_Clasificacion[[#This Row],[Código Cuenta Contable]]&amp;" - "&amp;Cuenta_Clasificacion[[#This Row],[Nombre de Cuenta Contable]]</f>
        <v>4101003 - IVA Subcontratos DS-19</v>
      </c>
      <c r="F1568" s="47" t="str">
        <f>+Cuenta_Clasificacion[[#This Row],[Codigo Concepto de imputación]]&amp;" - "&amp;Cuenta_Clasificacion[[#This Row],[Nombre Concepto de imputación]]</f>
        <v>40069 - Jefe de Patio</v>
      </c>
    </row>
    <row r="1569" spans="1:6" x14ac:dyDescent="0.25">
      <c r="A1569" s="43">
        <v>4101003</v>
      </c>
      <c r="B1569" t="s">
        <v>1499</v>
      </c>
      <c r="C1569" s="43">
        <v>40070</v>
      </c>
      <c r="D1569" t="s">
        <v>3013</v>
      </c>
      <c r="E1569" s="47" t="str">
        <f>+Cuenta_Clasificacion[[#This Row],[Código Cuenta Contable]]&amp;" - "&amp;Cuenta_Clasificacion[[#This Row],[Nombre de Cuenta Contable]]</f>
        <v>4101003 - IVA Subcontratos DS-19</v>
      </c>
      <c r="F1569" s="47" t="str">
        <f>+Cuenta_Clasificacion[[#This Row],[Codigo Concepto de imputación]]&amp;" - "&amp;Cuenta_Clasificacion[[#This Row],[Nombre Concepto de imputación]]</f>
        <v>40070 - Jefe de Post Venta</v>
      </c>
    </row>
    <row r="1570" spans="1:6" x14ac:dyDescent="0.25">
      <c r="A1570" s="43">
        <v>4101003</v>
      </c>
      <c r="B1570" t="s">
        <v>1499</v>
      </c>
      <c r="C1570" s="43">
        <v>40071</v>
      </c>
      <c r="D1570" t="s">
        <v>3014</v>
      </c>
      <c r="E1570" s="47" t="str">
        <f>+Cuenta_Clasificacion[[#This Row],[Código Cuenta Contable]]&amp;" - "&amp;Cuenta_Clasificacion[[#This Row],[Nombre de Cuenta Contable]]</f>
        <v>4101003 - IVA Subcontratos DS-19</v>
      </c>
      <c r="F1570" s="47" t="str">
        <f>+Cuenta_Clasificacion[[#This Row],[Codigo Concepto de imputación]]&amp;" - "&amp;Cuenta_Clasificacion[[#This Row],[Nombre Concepto de imputación]]</f>
        <v>40071 - Jefe de Procesos</v>
      </c>
    </row>
    <row r="1571" spans="1:6" x14ac:dyDescent="0.25">
      <c r="A1571" s="43">
        <v>4101003</v>
      </c>
      <c r="B1571" t="s">
        <v>1499</v>
      </c>
      <c r="C1571" s="43">
        <v>40072</v>
      </c>
      <c r="D1571" t="s">
        <v>3015</v>
      </c>
      <c r="E1571" s="47" t="str">
        <f>+Cuenta_Clasificacion[[#This Row],[Código Cuenta Contable]]&amp;" - "&amp;Cuenta_Clasificacion[[#This Row],[Nombre de Cuenta Contable]]</f>
        <v>4101003 - IVA Subcontratos DS-19</v>
      </c>
      <c r="F1571" s="47" t="str">
        <f>+Cuenta_Clasificacion[[#This Row],[Codigo Concepto de imputación]]&amp;" - "&amp;Cuenta_Clasificacion[[#This Row],[Nombre Concepto de imputación]]</f>
        <v>40072 - Jefe de Terreno</v>
      </c>
    </row>
    <row r="1572" spans="1:6" x14ac:dyDescent="0.25">
      <c r="A1572" s="43">
        <v>4101003</v>
      </c>
      <c r="B1572" t="s">
        <v>1499</v>
      </c>
      <c r="C1572" s="43">
        <v>40073</v>
      </c>
      <c r="D1572" t="s">
        <v>3016</v>
      </c>
      <c r="E1572" s="47" t="str">
        <f>+Cuenta_Clasificacion[[#This Row],[Código Cuenta Contable]]&amp;" - "&amp;Cuenta_Clasificacion[[#This Row],[Nombre de Cuenta Contable]]</f>
        <v>4101003 - IVA Subcontratos DS-19</v>
      </c>
      <c r="F1572" s="47" t="str">
        <f>+Cuenta_Clasificacion[[#This Row],[Codigo Concepto de imputación]]&amp;" - "&amp;Cuenta_Clasificacion[[#This Row],[Nombre Concepto de imputación]]</f>
        <v>40073 - Jornal</v>
      </c>
    </row>
    <row r="1573" spans="1:6" x14ac:dyDescent="0.25">
      <c r="A1573" s="43">
        <v>4101003</v>
      </c>
      <c r="B1573" t="s">
        <v>1499</v>
      </c>
      <c r="C1573" s="43">
        <v>40074</v>
      </c>
      <c r="D1573" t="s">
        <v>3017</v>
      </c>
      <c r="E1573" s="47" t="str">
        <f>+Cuenta_Clasificacion[[#This Row],[Código Cuenta Contable]]&amp;" - "&amp;Cuenta_Clasificacion[[#This Row],[Nombre de Cuenta Contable]]</f>
        <v>4101003 - IVA Subcontratos DS-19</v>
      </c>
      <c r="F1573" s="47" t="str">
        <f>+Cuenta_Clasificacion[[#This Row],[Codigo Concepto de imputación]]&amp;" - "&amp;Cuenta_Clasificacion[[#This Row],[Nombre Concepto de imputación]]</f>
        <v>40074 - Jornal Andamiero</v>
      </c>
    </row>
    <row r="1574" spans="1:6" x14ac:dyDescent="0.25">
      <c r="A1574" s="43">
        <v>4101003</v>
      </c>
      <c r="B1574" t="s">
        <v>1499</v>
      </c>
      <c r="C1574" s="43">
        <v>40075</v>
      </c>
      <c r="D1574" t="s">
        <v>3018</v>
      </c>
      <c r="E1574" s="47" t="str">
        <f>+Cuenta_Clasificacion[[#This Row],[Código Cuenta Contable]]&amp;" - "&amp;Cuenta_Clasificacion[[#This Row],[Nombre de Cuenta Contable]]</f>
        <v>4101003 - IVA Subcontratos DS-19</v>
      </c>
      <c r="F1574" s="47" t="str">
        <f>+Cuenta_Clasificacion[[#This Row],[Codigo Concepto de imputación]]&amp;" - "&amp;Cuenta_Clasificacion[[#This Row],[Nombre Concepto de imputación]]</f>
        <v>40075 - Jornal Canguero</v>
      </c>
    </row>
    <row r="1575" spans="1:6" x14ac:dyDescent="0.25">
      <c r="A1575" s="43">
        <v>4101003</v>
      </c>
      <c r="B1575" t="s">
        <v>1499</v>
      </c>
      <c r="C1575" s="43">
        <v>40076</v>
      </c>
      <c r="D1575" t="s">
        <v>3019</v>
      </c>
      <c r="E1575" s="47" t="str">
        <f>+Cuenta_Clasificacion[[#This Row],[Código Cuenta Contable]]&amp;" - "&amp;Cuenta_Clasificacion[[#This Row],[Nombre de Cuenta Contable]]</f>
        <v>4101003 - IVA Subcontratos DS-19</v>
      </c>
      <c r="F1575" s="47" t="str">
        <f>+Cuenta_Clasificacion[[#This Row],[Codigo Concepto de imputación]]&amp;" - "&amp;Cuenta_Clasificacion[[#This Row],[Nombre Concepto de imputación]]</f>
        <v>40076 - Jornal Concretero</v>
      </c>
    </row>
    <row r="1576" spans="1:6" x14ac:dyDescent="0.25">
      <c r="A1576" s="43">
        <v>4101003</v>
      </c>
      <c r="B1576" t="s">
        <v>1499</v>
      </c>
      <c r="C1576" s="43">
        <v>40077</v>
      </c>
      <c r="D1576" t="s">
        <v>3020</v>
      </c>
      <c r="E1576" s="47" t="str">
        <f>+Cuenta_Clasificacion[[#This Row],[Código Cuenta Contable]]&amp;" - "&amp;Cuenta_Clasificacion[[#This Row],[Nombre de Cuenta Contable]]</f>
        <v>4101003 - IVA Subcontratos DS-19</v>
      </c>
      <c r="F1576" s="47" t="str">
        <f>+Cuenta_Clasificacion[[#This Row],[Codigo Concepto de imputación]]&amp;" - "&amp;Cuenta_Clasificacion[[#This Row],[Nombre Concepto de imputación]]</f>
        <v>40077 - Jornal de Aseo</v>
      </c>
    </row>
    <row r="1577" spans="1:6" x14ac:dyDescent="0.25">
      <c r="A1577" s="43">
        <v>4101003</v>
      </c>
      <c r="B1577" t="s">
        <v>1499</v>
      </c>
      <c r="C1577" s="43">
        <v>40078</v>
      </c>
      <c r="D1577" t="s">
        <v>3021</v>
      </c>
      <c r="E1577" s="47" t="str">
        <f>+Cuenta_Clasificacion[[#This Row],[Código Cuenta Contable]]&amp;" - "&amp;Cuenta_Clasificacion[[#This Row],[Nombre de Cuenta Contable]]</f>
        <v>4101003 - IVA Subcontratos DS-19</v>
      </c>
      <c r="F1577" s="47" t="str">
        <f>+Cuenta_Clasificacion[[#This Row],[Codigo Concepto de imputación]]&amp;" - "&amp;Cuenta_Clasificacion[[#This Row],[Nombre Concepto de imputación]]</f>
        <v>40078 - Jornal Llavero</v>
      </c>
    </row>
    <row r="1578" spans="1:6" x14ac:dyDescent="0.25">
      <c r="A1578" s="43">
        <v>4101003</v>
      </c>
      <c r="B1578" t="s">
        <v>1499</v>
      </c>
      <c r="C1578" s="43">
        <v>40079</v>
      </c>
      <c r="D1578" t="s">
        <v>3022</v>
      </c>
      <c r="E1578" s="47" t="str">
        <f>+Cuenta_Clasificacion[[#This Row],[Código Cuenta Contable]]&amp;" - "&amp;Cuenta_Clasificacion[[#This Row],[Nombre de Cuenta Contable]]</f>
        <v>4101003 - IVA Subcontratos DS-19</v>
      </c>
      <c r="F1578" s="47" t="str">
        <f>+Cuenta_Clasificacion[[#This Row],[Codigo Concepto de imputación]]&amp;" - "&amp;Cuenta_Clasificacion[[#This Row],[Nombre Concepto de imputación]]</f>
        <v>40079 - Junior</v>
      </c>
    </row>
    <row r="1579" spans="1:6" x14ac:dyDescent="0.25">
      <c r="A1579" s="43">
        <v>4101003</v>
      </c>
      <c r="B1579" t="s">
        <v>1499</v>
      </c>
      <c r="C1579" s="43">
        <v>40080</v>
      </c>
      <c r="D1579" t="s">
        <v>3023</v>
      </c>
      <c r="E1579" s="47" t="str">
        <f>+Cuenta_Clasificacion[[#This Row],[Código Cuenta Contable]]&amp;" - "&amp;Cuenta_Clasificacion[[#This Row],[Nombre de Cuenta Contable]]</f>
        <v>4101003 - IVA Subcontratos DS-19</v>
      </c>
      <c r="F1579" s="47" t="str">
        <f>+Cuenta_Clasificacion[[#This Row],[Codigo Concepto de imputación]]&amp;" - "&amp;Cuenta_Clasificacion[[#This Row],[Nombre Concepto de imputación]]</f>
        <v>40080 - Maestro</v>
      </c>
    </row>
    <row r="1580" spans="1:6" x14ac:dyDescent="0.25">
      <c r="A1580" s="43">
        <v>4101003</v>
      </c>
      <c r="B1580" t="s">
        <v>1499</v>
      </c>
      <c r="C1580" s="43">
        <v>40081</v>
      </c>
      <c r="D1580" t="s">
        <v>3024</v>
      </c>
      <c r="E1580" s="47" t="str">
        <f>+Cuenta_Clasificacion[[#This Row],[Código Cuenta Contable]]&amp;" - "&amp;Cuenta_Clasificacion[[#This Row],[Nombre de Cuenta Contable]]</f>
        <v>4101003 - IVA Subcontratos DS-19</v>
      </c>
      <c r="F1580" s="47" t="str">
        <f>+Cuenta_Clasificacion[[#This Row],[Codigo Concepto de imputación]]&amp;" - "&amp;Cuenta_Clasificacion[[#This Row],[Nombre Concepto de imputación]]</f>
        <v>40081 - Maestro Albañil</v>
      </c>
    </row>
    <row r="1581" spans="1:6" x14ac:dyDescent="0.25">
      <c r="A1581" s="43">
        <v>4101003</v>
      </c>
      <c r="B1581" t="s">
        <v>1499</v>
      </c>
      <c r="C1581" s="43">
        <v>40082</v>
      </c>
      <c r="D1581" t="s">
        <v>3025</v>
      </c>
      <c r="E1581" s="47" t="str">
        <f>+Cuenta_Clasificacion[[#This Row],[Código Cuenta Contable]]&amp;" - "&amp;Cuenta_Clasificacion[[#This Row],[Nombre de Cuenta Contable]]</f>
        <v>4101003 - IVA Subcontratos DS-19</v>
      </c>
      <c r="F1581" s="47" t="str">
        <f>+Cuenta_Clasificacion[[#This Row],[Codigo Concepto de imputación]]&amp;" - "&amp;Cuenta_Clasificacion[[#This Row],[Nombre Concepto de imputación]]</f>
        <v>40082 - Maestro Carpintero</v>
      </c>
    </row>
    <row r="1582" spans="1:6" x14ac:dyDescent="0.25">
      <c r="A1582" s="43">
        <v>4101003</v>
      </c>
      <c r="B1582" t="s">
        <v>1499</v>
      </c>
      <c r="C1582" s="43">
        <v>40083</v>
      </c>
      <c r="D1582" t="s">
        <v>3026</v>
      </c>
      <c r="E1582" s="47" t="str">
        <f>+Cuenta_Clasificacion[[#This Row],[Código Cuenta Contable]]&amp;" - "&amp;Cuenta_Clasificacion[[#This Row],[Nombre de Cuenta Contable]]</f>
        <v>4101003 - IVA Subcontratos DS-19</v>
      </c>
      <c r="F1582" s="47" t="str">
        <f>+Cuenta_Clasificacion[[#This Row],[Codigo Concepto de imputación]]&amp;" - "&amp;Cuenta_Clasificacion[[#This Row],[Nombre Concepto de imputación]]</f>
        <v>40083 - Maestro Ceramista</v>
      </c>
    </row>
    <row r="1583" spans="1:6" x14ac:dyDescent="0.25">
      <c r="A1583" s="43">
        <v>4101003</v>
      </c>
      <c r="B1583" t="s">
        <v>1499</v>
      </c>
      <c r="C1583" s="43">
        <v>40084</v>
      </c>
      <c r="D1583" t="s">
        <v>3027</v>
      </c>
      <c r="E1583" s="47" t="str">
        <f>+Cuenta_Clasificacion[[#This Row],[Código Cuenta Contable]]&amp;" - "&amp;Cuenta_Clasificacion[[#This Row],[Nombre de Cuenta Contable]]</f>
        <v>4101003 - IVA Subcontratos DS-19</v>
      </c>
      <c r="F1583" s="47" t="str">
        <f>+Cuenta_Clasificacion[[#This Row],[Codigo Concepto de imputación]]&amp;" - "&amp;Cuenta_Clasificacion[[#This Row],[Nombre Concepto de imputación]]</f>
        <v>40084 - Maestro Fragüero</v>
      </c>
    </row>
    <row r="1584" spans="1:6" x14ac:dyDescent="0.25">
      <c r="A1584" s="43">
        <v>4101003</v>
      </c>
      <c r="B1584" t="s">
        <v>1499</v>
      </c>
      <c r="C1584" s="43">
        <v>40085</v>
      </c>
      <c r="D1584" t="s">
        <v>3028</v>
      </c>
      <c r="E1584" s="47" t="str">
        <f>+Cuenta_Clasificacion[[#This Row],[Código Cuenta Contable]]&amp;" - "&amp;Cuenta_Clasificacion[[#This Row],[Nombre de Cuenta Contable]]</f>
        <v>4101003 - IVA Subcontratos DS-19</v>
      </c>
      <c r="F1584" s="47" t="str">
        <f>+Cuenta_Clasificacion[[#This Row],[Codigo Concepto de imputación]]&amp;" - "&amp;Cuenta_Clasificacion[[#This Row],[Nombre Concepto de imputación]]</f>
        <v>40085 - Maestro Trazador</v>
      </c>
    </row>
    <row r="1585" spans="1:6" x14ac:dyDescent="0.25">
      <c r="A1585" s="43">
        <v>4101003</v>
      </c>
      <c r="B1585" t="s">
        <v>1499</v>
      </c>
      <c r="C1585" s="43">
        <v>40086</v>
      </c>
      <c r="D1585" t="s">
        <v>3029</v>
      </c>
      <c r="E1585" s="47" t="str">
        <f>+Cuenta_Clasificacion[[#This Row],[Código Cuenta Contable]]&amp;" - "&amp;Cuenta_Clasificacion[[#This Row],[Nombre de Cuenta Contable]]</f>
        <v>4101003 - IVA Subcontratos DS-19</v>
      </c>
      <c r="F1585" s="47" t="str">
        <f>+Cuenta_Clasificacion[[#This Row],[Codigo Concepto de imputación]]&amp;" - "&amp;Cuenta_Clasificacion[[#This Row],[Nombre Concepto de imputación]]</f>
        <v>40086 - Mantención</v>
      </c>
    </row>
    <row r="1586" spans="1:6" x14ac:dyDescent="0.25">
      <c r="A1586" s="43">
        <v>4101003</v>
      </c>
      <c r="B1586" t="s">
        <v>1499</v>
      </c>
      <c r="C1586" s="43">
        <v>40087</v>
      </c>
      <c r="D1586" t="s">
        <v>3030</v>
      </c>
      <c r="E1586" s="47" t="str">
        <f>+Cuenta_Clasificacion[[#This Row],[Código Cuenta Contable]]&amp;" - "&amp;Cuenta_Clasificacion[[#This Row],[Nombre de Cuenta Contable]]</f>
        <v>4101003 - IVA Subcontratos DS-19</v>
      </c>
      <c r="F1586" s="47" t="str">
        <f>+Cuenta_Clasificacion[[#This Row],[Codigo Concepto de imputación]]&amp;" - "&amp;Cuenta_Clasificacion[[#This Row],[Nombre Concepto de imputación]]</f>
        <v>40087 - Mayordomo</v>
      </c>
    </row>
    <row r="1587" spans="1:6" x14ac:dyDescent="0.25">
      <c r="A1587" s="43">
        <v>4101003</v>
      </c>
      <c r="B1587" t="s">
        <v>1499</v>
      </c>
      <c r="C1587" s="43">
        <v>40088</v>
      </c>
      <c r="D1587" t="s">
        <v>3031</v>
      </c>
      <c r="E1587" s="47" t="str">
        <f>+Cuenta_Clasificacion[[#This Row],[Código Cuenta Contable]]&amp;" - "&amp;Cuenta_Clasificacion[[#This Row],[Nombre de Cuenta Contable]]</f>
        <v>4101003 - IVA Subcontratos DS-19</v>
      </c>
      <c r="F1587" s="47" t="str">
        <f>+Cuenta_Clasificacion[[#This Row],[Codigo Concepto de imputación]]&amp;" - "&amp;Cuenta_Clasificacion[[#This Row],[Nombre Concepto de imputación]]</f>
        <v>40088 - Oficina Técnica</v>
      </c>
    </row>
    <row r="1588" spans="1:6" x14ac:dyDescent="0.25">
      <c r="A1588" s="43">
        <v>4101003</v>
      </c>
      <c r="B1588" t="s">
        <v>1499</v>
      </c>
      <c r="C1588" s="43">
        <v>40089</v>
      </c>
      <c r="D1588" t="s">
        <v>3032</v>
      </c>
      <c r="E1588" s="47" t="str">
        <f>+Cuenta_Clasificacion[[#This Row],[Código Cuenta Contable]]&amp;" - "&amp;Cuenta_Clasificacion[[#This Row],[Nombre de Cuenta Contable]]</f>
        <v>4101003 - IVA Subcontratos DS-19</v>
      </c>
      <c r="F1588" s="47" t="str">
        <f>+Cuenta_Clasificacion[[#This Row],[Codigo Concepto de imputación]]&amp;" - "&amp;Cuenta_Clasificacion[[#This Row],[Nombre Concepto de imputación]]</f>
        <v>40089 - Operador</v>
      </c>
    </row>
    <row r="1589" spans="1:6" x14ac:dyDescent="0.25">
      <c r="A1589" s="43">
        <v>4101003</v>
      </c>
      <c r="B1589" t="s">
        <v>1499</v>
      </c>
      <c r="C1589" s="43">
        <v>40090</v>
      </c>
      <c r="D1589" t="s">
        <v>3033</v>
      </c>
      <c r="E1589" s="47" t="str">
        <f>+Cuenta_Clasificacion[[#This Row],[Código Cuenta Contable]]&amp;" - "&amp;Cuenta_Clasificacion[[#This Row],[Nombre de Cuenta Contable]]</f>
        <v>4101003 - IVA Subcontratos DS-19</v>
      </c>
      <c r="F1589" s="47" t="str">
        <f>+Cuenta_Clasificacion[[#This Row],[Codigo Concepto de imputación]]&amp;" - "&amp;Cuenta_Clasificacion[[#This Row],[Nombre Concepto de imputación]]</f>
        <v>40090 - Operador de Grúa</v>
      </c>
    </row>
    <row r="1590" spans="1:6" x14ac:dyDescent="0.25">
      <c r="A1590" s="43">
        <v>4101003</v>
      </c>
      <c r="B1590" t="s">
        <v>1499</v>
      </c>
      <c r="C1590" s="43">
        <v>40091</v>
      </c>
      <c r="D1590" t="s">
        <v>3034</v>
      </c>
      <c r="E1590" s="47" t="str">
        <f>+Cuenta_Clasificacion[[#This Row],[Código Cuenta Contable]]&amp;" - "&amp;Cuenta_Clasificacion[[#This Row],[Nombre de Cuenta Contable]]</f>
        <v>4101003 - IVA Subcontratos DS-19</v>
      </c>
      <c r="F1590" s="47" t="str">
        <f>+Cuenta_Clasificacion[[#This Row],[Codigo Concepto de imputación]]&amp;" - "&amp;Cuenta_Clasificacion[[#This Row],[Nombre Concepto de imputación]]</f>
        <v>40091 - Operador de Minicargador</v>
      </c>
    </row>
    <row r="1591" spans="1:6" x14ac:dyDescent="0.25">
      <c r="A1591" s="43">
        <v>4101003</v>
      </c>
      <c r="B1591" t="s">
        <v>1499</v>
      </c>
      <c r="C1591" s="43">
        <v>40092</v>
      </c>
      <c r="D1591" t="s">
        <v>3035</v>
      </c>
      <c r="E1591" s="47" t="str">
        <f>+Cuenta_Clasificacion[[#This Row],[Código Cuenta Contable]]&amp;" - "&amp;Cuenta_Clasificacion[[#This Row],[Nombre de Cuenta Contable]]</f>
        <v>4101003 - IVA Subcontratos DS-19</v>
      </c>
      <c r="F1591" s="47" t="str">
        <f>+Cuenta_Clasificacion[[#This Row],[Codigo Concepto de imputación]]&amp;" - "&amp;Cuenta_Clasificacion[[#This Row],[Nombre Concepto de imputación]]</f>
        <v>40092 - Pañolero</v>
      </c>
    </row>
    <row r="1592" spans="1:6" x14ac:dyDescent="0.25">
      <c r="A1592" s="43">
        <v>4101003</v>
      </c>
      <c r="B1592" t="s">
        <v>1499</v>
      </c>
      <c r="C1592" s="43">
        <v>40093</v>
      </c>
      <c r="D1592" t="s">
        <v>3036</v>
      </c>
      <c r="E1592" s="47" t="str">
        <f>+Cuenta_Clasificacion[[#This Row],[Código Cuenta Contable]]&amp;" - "&amp;Cuenta_Clasificacion[[#This Row],[Nombre de Cuenta Contable]]</f>
        <v>4101003 - IVA Subcontratos DS-19</v>
      </c>
      <c r="F1592" s="47" t="str">
        <f>+Cuenta_Clasificacion[[#This Row],[Codigo Concepto de imputación]]&amp;" - "&amp;Cuenta_Clasificacion[[#This Row],[Nombre Concepto de imputación]]</f>
        <v>40093 - Pintor</v>
      </c>
    </row>
    <row r="1593" spans="1:6" x14ac:dyDescent="0.25">
      <c r="A1593" s="43">
        <v>4101003</v>
      </c>
      <c r="B1593" t="s">
        <v>1499</v>
      </c>
      <c r="C1593" s="43">
        <v>40094</v>
      </c>
      <c r="D1593" t="s">
        <v>3037</v>
      </c>
      <c r="E1593" s="47" t="str">
        <f>+Cuenta_Clasificacion[[#This Row],[Código Cuenta Contable]]&amp;" - "&amp;Cuenta_Clasificacion[[#This Row],[Nombre de Cuenta Contable]]</f>
        <v>4101003 - IVA Subcontratos DS-19</v>
      </c>
      <c r="F1593" s="47" t="str">
        <f>+Cuenta_Clasificacion[[#This Row],[Codigo Concepto de imputación]]&amp;" - "&amp;Cuenta_Clasificacion[[#This Row],[Nombre Concepto de imputación]]</f>
        <v>40094 - Portero</v>
      </c>
    </row>
    <row r="1594" spans="1:6" x14ac:dyDescent="0.25">
      <c r="A1594" s="43">
        <v>4101003</v>
      </c>
      <c r="B1594" t="s">
        <v>1499</v>
      </c>
      <c r="C1594" s="43">
        <v>40095</v>
      </c>
      <c r="D1594" t="s">
        <v>3038</v>
      </c>
      <c r="E1594" s="47" t="str">
        <f>+Cuenta_Clasificacion[[#This Row],[Código Cuenta Contable]]&amp;" - "&amp;Cuenta_Clasificacion[[#This Row],[Nombre de Cuenta Contable]]</f>
        <v>4101003 - IVA Subcontratos DS-19</v>
      </c>
      <c r="F1594" s="47" t="str">
        <f>+Cuenta_Clasificacion[[#This Row],[Codigo Concepto de imputación]]&amp;" - "&amp;Cuenta_Clasificacion[[#This Row],[Nombre Concepto de imputación]]</f>
        <v>40095 - Post Venta Obra</v>
      </c>
    </row>
    <row r="1595" spans="1:6" x14ac:dyDescent="0.25">
      <c r="A1595" s="43">
        <v>4101003</v>
      </c>
      <c r="B1595" t="s">
        <v>1499</v>
      </c>
      <c r="C1595" s="43">
        <v>40096</v>
      </c>
      <c r="D1595" t="s">
        <v>3039</v>
      </c>
      <c r="E1595" s="47" t="str">
        <f>+Cuenta_Clasificacion[[#This Row],[Código Cuenta Contable]]&amp;" - "&amp;Cuenta_Clasificacion[[#This Row],[Nombre de Cuenta Contable]]</f>
        <v>4101003 - IVA Subcontratos DS-19</v>
      </c>
      <c r="F1595" s="47" t="str">
        <f>+Cuenta_Clasificacion[[#This Row],[Codigo Concepto de imputación]]&amp;" - "&amp;Cuenta_Clasificacion[[#This Row],[Nombre Concepto de imputación]]</f>
        <v>40096 - Prevencionista</v>
      </c>
    </row>
    <row r="1596" spans="1:6" x14ac:dyDescent="0.25">
      <c r="A1596" s="43">
        <v>4101003</v>
      </c>
      <c r="B1596" t="s">
        <v>1499</v>
      </c>
      <c r="C1596" s="43">
        <v>40097</v>
      </c>
      <c r="D1596" t="s">
        <v>3040</v>
      </c>
      <c r="E1596" s="47" t="str">
        <f>+Cuenta_Clasificacion[[#This Row],[Código Cuenta Contable]]&amp;" - "&amp;Cuenta_Clasificacion[[#This Row],[Nombre de Cuenta Contable]]</f>
        <v>4101003 - IVA Subcontratos DS-19</v>
      </c>
      <c r="F1596" s="47" t="str">
        <f>+Cuenta_Clasificacion[[#This Row],[Codigo Concepto de imputación]]&amp;" - "&amp;Cuenta_Clasificacion[[#This Row],[Nombre Concepto de imputación]]</f>
        <v>40097 - Profesional de Calidad y Seg.</v>
      </c>
    </row>
    <row r="1597" spans="1:6" x14ac:dyDescent="0.25">
      <c r="A1597" s="43">
        <v>4101003</v>
      </c>
      <c r="B1597" t="s">
        <v>1499</v>
      </c>
      <c r="C1597" s="43">
        <v>40098</v>
      </c>
      <c r="D1597" t="s">
        <v>3041</v>
      </c>
      <c r="E1597" s="47" t="str">
        <f>+Cuenta_Clasificacion[[#This Row],[Código Cuenta Contable]]&amp;" - "&amp;Cuenta_Clasificacion[[#This Row],[Nombre de Cuenta Contable]]</f>
        <v>4101003 - IVA Subcontratos DS-19</v>
      </c>
      <c r="F1597" s="47" t="str">
        <f>+Cuenta_Clasificacion[[#This Row],[Codigo Concepto de imputación]]&amp;" - "&amp;Cuenta_Clasificacion[[#This Row],[Nombre Concepto de imputación]]</f>
        <v>40098 - Profesional de Terreno Trainee</v>
      </c>
    </row>
    <row r="1598" spans="1:6" x14ac:dyDescent="0.25">
      <c r="A1598" s="43">
        <v>4101003</v>
      </c>
      <c r="B1598" t="s">
        <v>1499</v>
      </c>
      <c r="C1598" s="43">
        <v>40099</v>
      </c>
      <c r="D1598" t="s">
        <v>3042</v>
      </c>
      <c r="E1598" s="47" t="str">
        <f>+Cuenta_Clasificacion[[#This Row],[Código Cuenta Contable]]&amp;" - "&amp;Cuenta_Clasificacion[[#This Row],[Nombre de Cuenta Contable]]</f>
        <v>4101003 - IVA Subcontratos DS-19</v>
      </c>
      <c r="F1598" s="47" t="str">
        <f>+Cuenta_Clasificacion[[#This Row],[Codigo Concepto de imputación]]&amp;" - "&amp;Cuenta_Clasificacion[[#This Row],[Nombre Concepto de imputación]]</f>
        <v>40099 - Señalero</v>
      </c>
    </row>
    <row r="1599" spans="1:6" x14ac:dyDescent="0.25">
      <c r="A1599" s="43">
        <v>4101003</v>
      </c>
      <c r="B1599" t="s">
        <v>1499</v>
      </c>
      <c r="C1599" s="43">
        <v>40100</v>
      </c>
      <c r="D1599" t="s">
        <v>3043</v>
      </c>
      <c r="E1599" s="47" t="str">
        <f>+Cuenta_Clasificacion[[#This Row],[Código Cuenta Contable]]&amp;" - "&amp;Cuenta_Clasificacion[[#This Row],[Nombre de Cuenta Contable]]</f>
        <v>4101003 - IVA Subcontratos DS-19</v>
      </c>
      <c r="F1599" s="47" t="str">
        <f>+Cuenta_Clasificacion[[#This Row],[Codigo Concepto de imputación]]&amp;" - "&amp;Cuenta_Clasificacion[[#This Row],[Nombre Concepto de imputación]]</f>
        <v>40100 - Soldador</v>
      </c>
    </row>
    <row r="1600" spans="1:6" x14ac:dyDescent="0.25">
      <c r="A1600" s="43">
        <v>4101003</v>
      </c>
      <c r="B1600" t="s">
        <v>1499</v>
      </c>
      <c r="C1600" s="43">
        <v>40101</v>
      </c>
      <c r="D1600" t="s">
        <v>3044</v>
      </c>
      <c r="E1600" s="47" t="str">
        <f>+Cuenta_Clasificacion[[#This Row],[Código Cuenta Contable]]&amp;" - "&amp;Cuenta_Clasificacion[[#This Row],[Nombre de Cuenta Contable]]</f>
        <v>4101003 - IVA Subcontratos DS-19</v>
      </c>
      <c r="F1600" s="47" t="str">
        <f>+Cuenta_Clasificacion[[#This Row],[Codigo Concepto de imputación]]&amp;" - "&amp;Cuenta_Clasificacion[[#This Row],[Nombre Concepto de imputación]]</f>
        <v>40101 - Sup. de Bodega, Maq. y Equipos</v>
      </c>
    </row>
    <row r="1601" spans="1:6" x14ac:dyDescent="0.25">
      <c r="A1601" s="43">
        <v>4101003</v>
      </c>
      <c r="B1601" t="s">
        <v>1499</v>
      </c>
      <c r="C1601" s="43">
        <v>40102</v>
      </c>
      <c r="D1601" t="s">
        <v>3045</v>
      </c>
      <c r="E1601" s="47" t="str">
        <f>+Cuenta_Clasificacion[[#This Row],[Código Cuenta Contable]]&amp;" - "&amp;Cuenta_Clasificacion[[#This Row],[Nombre de Cuenta Contable]]</f>
        <v>4101003 - IVA Subcontratos DS-19</v>
      </c>
      <c r="F1601" s="47" t="str">
        <f>+Cuenta_Clasificacion[[#This Row],[Codigo Concepto de imputación]]&amp;" - "&amp;Cuenta_Clasificacion[[#This Row],[Nombre Concepto de imputación]]</f>
        <v>40102 - Supervisor</v>
      </c>
    </row>
    <row r="1602" spans="1:6" x14ac:dyDescent="0.25">
      <c r="A1602" s="43">
        <v>4101003</v>
      </c>
      <c r="B1602" t="s">
        <v>1499</v>
      </c>
      <c r="C1602" s="43">
        <v>40103</v>
      </c>
      <c r="D1602" t="s">
        <v>3046</v>
      </c>
      <c r="E1602" s="47" t="str">
        <f>+Cuenta_Clasificacion[[#This Row],[Código Cuenta Contable]]&amp;" - "&amp;Cuenta_Clasificacion[[#This Row],[Nombre de Cuenta Contable]]</f>
        <v>4101003 - IVA Subcontratos DS-19</v>
      </c>
      <c r="F1602" s="47" t="str">
        <f>+Cuenta_Clasificacion[[#This Row],[Codigo Concepto de imputación]]&amp;" - "&amp;Cuenta_Clasificacion[[#This Row],[Nombre Concepto de imputación]]</f>
        <v>40103 - Sup. Administrativo de Obras</v>
      </c>
    </row>
    <row r="1603" spans="1:6" x14ac:dyDescent="0.25">
      <c r="A1603" s="43">
        <v>4101003</v>
      </c>
      <c r="B1603" t="s">
        <v>1499</v>
      </c>
      <c r="C1603" s="43">
        <v>40104</v>
      </c>
      <c r="D1603" t="s">
        <v>3047</v>
      </c>
      <c r="E1603" s="47" t="str">
        <f>+Cuenta_Clasificacion[[#This Row],[Código Cuenta Contable]]&amp;" - "&amp;Cuenta_Clasificacion[[#This Row],[Nombre de Cuenta Contable]]</f>
        <v>4101003 - IVA Subcontratos DS-19</v>
      </c>
      <c r="F1603" s="47" t="str">
        <f>+Cuenta_Clasificacion[[#This Row],[Codigo Concepto de imputación]]&amp;" - "&amp;Cuenta_Clasificacion[[#This Row],[Nombre Concepto de imputación]]</f>
        <v>40104 - Supervisor de Instalaciones</v>
      </c>
    </row>
    <row r="1604" spans="1:6" x14ac:dyDescent="0.25">
      <c r="A1604" s="43">
        <v>4101003</v>
      </c>
      <c r="B1604" t="s">
        <v>1499</v>
      </c>
      <c r="C1604" s="43">
        <v>40105</v>
      </c>
      <c r="D1604" t="s">
        <v>3048</v>
      </c>
      <c r="E1604" s="47" t="str">
        <f>+Cuenta_Clasificacion[[#This Row],[Código Cuenta Contable]]&amp;" - "&amp;Cuenta_Clasificacion[[#This Row],[Nombre de Cuenta Contable]]</f>
        <v>4101003 - IVA Subcontratos DS-19</v>
      </c>
      <c r="F1604" s="47" t="str">
        <f>+Cuenta_Clasificacion[[#This Row],[Codigo Concepto de imputación]]&amp;" - "&amp;Cuenta_Clasificacion[[#This Row],[Nombre Concepto de imputación]]</f>
        <v>40105 - Sup. de Instalaciones Eléct.</v>
      </c>
    </row>
    <row r="1605" spans="1:6" x14ac:dyDescent="0.25">
      <c r="A1605" s="43">
        <v>4101003</v>
      </c>
      <c r="B1605" t="s">
        <v>1499</v>
      </c>
      <c r="C1605" s="43">
        <v>40106</v>
      </c>
      <c r="D1605" t="s">
        <v>3049</v>
      </c>
      <c r="E1605" s="47" t="str">
        <f>+Cuenta_Clasificacion[[#This Row],[Código Cuenta Contable]]&amp;" - "&amp;Cuenta_Clasificacion[[#This Row],[Nombre de Cuenta Contable]]</f>
        <v>4101003 - IVA Subcontratos DS-19</v>
      </c>
      <c r="F1605" s="47" t="str">
        <f>+Cuenta_Clasificacion[[#This Row],[Codigo Concepto de imputación]]&amp;" - "&amp;Cuenta_Clasificacion[[#This Row],[Nombre Concepto de imputación]]</f>
        <v>40106 - Sup. de Mantención y Montaje</v>
      </c>
    </row>
    <row r="1606" spans="1:6" x14ac:dyDescent="0.25">
      <c r="A1606" s="43">
        <v>4101003</v>
      </c>
      <c r="B1606" t="s">
        <v>1499</v>
      </c>
      <c r="C1606" s="43">
        <v>40107</v>
      </c>
      <c r="D1606" t="s">
        <v>3050</v>
      </c>
      <c r="E1606" s="47" t="str">
        <f>+Cuenta_Clasificacion[[#This Row],[Código Cuenta Contable]]&amp;" - "&amp;Cuenta_Clasificacion[[#This Row],[Nombre de Cuenta Contable]]</f>
        <v>4101003 - IVA Subcontratos DS-19</v>
      </c>
      <c r="F1606" s="47" t="str">
        <f>+Cuenta_Clasificacion[[#This Row],[Codigo Concepto de imputación]]&amp;" - "&amp;Cuenta_Clasificacion[[#This Row],[Nombre Concepto de imputación]]</f>
        <v>40107 - Supervisor Regional Post Vta</v>
      </c>
    </row>
    <row r="1607" spans="1:6" x14ac:dyDescent="0.25">
      <c r="A1607" s="43">
        <v>4101003</v>
      </c>
      <c r="B1607" t="s">
        <v>1499</v>
      </c>
      <c r="C1607" s="43">
        <v>40108</v>
      </c>
      <c r="D1607" t="s">
        <v>3051</v>
      </c>
      <c r="E1607" s="47" t="str">
        <f>+Cuenta_Clasificacion[[#This Row],[Código Cuenta Contable]]&amp;" - "&amp;Cuenta_Clasificacion[[#This Row],[Nombre de Cuenta Contable]]</f>
        <v>4101003 - IVA Subcontratos DS-19</v>
      </c>
      <c r="F1607" s="47" t="str">
        <f>+Cuenta_Clasificacion[[#This Row],[Codigo Concepto de imputación]]&amp;" - "&amp;Cuenta_Clasificacion[[#This Row],[Nombre Concepto de imputación]]</f>
        <v>40108 - Supervisor Zonal</v>
      </c>
    </row>
    <row r="1608" spans="1:6" x14ac:dyDescent="0.25">
      <c r="A1608" s="43">
        <v>4101003</v>
      </c>
      <c r="B1608" t="s">
        <v>1499</v>
      </c>
      <c r="C1608" s="43">
        <v>40109</v>
      </c>
      <c r="D1608" t="s">
        <v>3052</v>
      </c>
      <c r="E1608" s="47" t="str">
        <f>+Cuenta_Clasificacion[[#This Row],[Código Cuenta Contable]]&amp;" - "&amp;Cuenta_Clasificacion[[#This Row],[Nombre de Cuenta Contable]]</f>
        <v>4101003 - IVA Subcontratos DS-19</v>
      </c>
      <c r="F1608" s="47" t="str">
        <f>+Cuenta_Clasificacion[[#This Row],[Codigo Concepto de imputación]]&amp;" - "&amp;Cuenta_Clasificacion[[#This Row],[Nombre Concepto de imputación]]</f>
        <v>40109 - Técnico</v>
      </c>
    </row>
    <row r="1609" spans="1:6" x14ac:dyDescent="0.25">
      <c r="A1609" s="43">
        <v>4101003</v>
      </c>
      <c r="B1609" t="s">
        <v>1499</v>
      </c>
      <c r="C1609" s="43">
        <v>40110</v>
      </c>
      <c r="D1609" t="s">
        <v>3053</v>
      </c>
      <c r="E1609" s="47" t="str">
        <f>+Cuenta_Clasificacion[[#This Row],[Código Cuenta Contable]]&amp;" - "&amp;Cuenta_Clasificacion[[#This Row],[Nombre de Cuenta Contable]]</f>
        <v>4101003 - IVA Subcontratos DS-19</v>
      </c>
      <c r="F1609" s="47" t="str">
        <f>+Cuenta_Clasificacion[[#This Row],[Codigo Concepto de imputación]]&amp;" - "&amp;Cuenta_Clasificacion[[#This Row],[Nombre Concepto de imputación]]</f>
        <v>40110 - Técnico Geomensor</v>
      </c>
    </row>
    <row r="1610" spans="1:6" x14ac:dyDescent="0.25">
      <c r="A1610" s="43">
        <v>4101003</v>
      </c>
      <c r="B1610" t="s">
        <v>1499</v>
      </c>
      <c r="C1610" s="43">
        <v>40111</v>
      </c>
      <c r="D1610" t="s">
        <v>3054</v>
      </c>
      <c r="E1610" s="47" t="str">
        <f>+Cuenta_Clasificacion[[#This Row],[Código Cuenta Contable]]&amp;" - "&amp;Cuenta_Clasificacion[[#This Row],[Nombre de Cuenta Contable]]</f>
        <v>4101003 - IVA Subcontratos DS-19</v>
      </c>
      <c r="F1610" s="47" t="str">
        <f>+Cuenta_Clasificacion[[#This Row],[Codigo Concepto de imputación]]&amp;" - "&amp;Cuenta_Clasificacion[[#This Row],[Nombre Concepto de imputación]]</f>
        <v>40111 - Trazador</v>
      </c>
    </row>
    <row r="1611" spans="1:6" x14ac:dyDescent="0.25">
      <c r="A1611" s="43">
        <v>4101003</v>
      </c>
      <c r="B1611" t="s">
        <v>1499</v>
      </c>
      <c r="C1611" s="43">
        <v>40112</v>
      </c>
      <c r="D1611" t="s">
        <v>3055</v>
      </c>
      <c r="E1611" s="47" t="str">
        <f>+Cuenta_Clasificacion[[#This Row],[Código Cuenta Contable]]&amp;" - "&amp;Cuenta_Clasificacion[[#This Row],[Nombre de Cuenta Contable]]</f>
        <v>4101003 - IVA Subcontratos DS-19</v>
      </c>
      <c r="F1611" s="47" t="str">
        <f>+Cuenta_Clasificacion[[#This Row],[Codigo Concepto de imputación]]&amp;" - "&amp;Cuenta_Clasificacion[[#This Row],[Nombre Concepto de imputación]]</f>
        <v>40112 - Vibradorista</v>
      </c>
    </row>
    <row r="1612" spans="1:6" x14ac:dyDescent="0.25">
      <c r="A1612" s="43">
        <v>4101003</v>
      </c>
      <c r="B1612" t="s">
        <v>1499</v>
      </c>
      <c r="C1612" s="43">
        <v>40113</v>
      </c>
      <c r="D1612" t="s">
        <v>3056</v>
      </c>
      <c r="E1612" s="47" t="str">
        <f>+Cuenta_Clasificacion[[#This Row],[Código Cuenta Contable]]&amp;" - "&amp;Cuenta_Clasificacion[[#This Row],[Nombre de Cuenta Contable]]</f>
        <v>4101003 - IVA Subcontratos DS-19</v>
      </c>
      <c r="F1612" s="47" t="str">
        <f>+Cuenta_Clasificacion[[#This Row],[Codigo Concepto de imputación]]&amp;" - "&amp;Cuenta_Clasificacion[[#This Row],[Nombre Concepto de imputación]]</f>
        <v>40113 - Yesero</v>
      </c>
    </row>
    <row r="1613" spans="1:6" x14ac:dyDescent="0.25">
      <c r="A1613" s="43">
        <v>4101003</v>
      </c>
      <c r="B1613" t="s">
        <v>1499</v>
      </c>
      <c r="C1613" s="43">
        <v>40114</v>
      </c>
      <c r="D1613" t="s">
        <v>3057</v>
      </c>
      <c r="E1613" s="47" t="str">
        <f>+Cuenta_Clasificacion[[#This Row],[Código Cuenta Contable]]&amp;" - "&amp;Cuenta_Clasificacion[[#This Row],[Nombre de Cuenta Contable]]</f>
        <v>4101003 - IVA Subcontratos DS-19</v>
      </c>
      <c r="F1613" s="47" t="str">
        <f>+Cuenta_Clasificacion[[#This Row],[Codigo Concepto de imputación]]&amp;" - "&amp;Cuenta_Clasificacion[[#This Row],[Nombre Concepto de imputación]]</f>
        <v>40114 - Bodega - Personal</v>
      </c>
    </row>
    <row r="1614" spans="1:6" x14ac:dyDescent="0.25">
      <c r="A1614" s="43">
        <v>4101003</v>
      </c>
      <c r="B1614" t="s">
        <v>1499</v>
      </c>
      <c r="C1614" s="43">
        <v>40115</v>
      </c>
      <c r="D1614" t="s">
        <v>3058</v>
      </c>
      <c r="E1614" s="47" t="str">
        <f>+Cuenta_Clasificacion[[#This Row],[Código Cuenta Contable]]&amp;" - "&amp;Cuenta_Clasificacion[[#This Row],[Nombre de Cuenta Contable]]</f>
        <v>4101003 - IVA Subcontratos DS-19</v>
      </c>
      <c r="F1614" s="47" t="str">
        <f>+Cuenta_Clasificacion[[#This Row],[Codigo Concepto de imputación]]&amp;" - "&amp;Cuenta_Clasificacion[[#This Row],[Nombre Concepto de imputación]]</f>
        <v>40115 - Rol Privado</v>
      </c>
    </row>
    <row r="1615" spans="1:6" x14ac:dyDescent="0.25">
      <c r="A1615" s="43">
        <v>4101003</v>
      </c>
      <c r="B1615" t="s">
        <v>1499</v>
      </c>
      <c r="C1615" s="43">
        <v>40116</v>
      </c>
      <c r="D1615" t="s">
        <v>3059</v>
      </c>
      <c r="E1615" s="47" t="str">
        <f>+Cuenta_Clasificacion[[#This Row],[Código Cuenta Contable]]&amp;" - "&amp;Cuenta_Clasificacion[[#This Row],[Nombre de Cuenta Contable]]</f>
        <v>4101003 - IVA Subcontratos DS-19</v>
      </c>
      <c r="F1615" s="47" t="str">
        <f>+Cuenta_Clasificacion[[#This Row],[Codigo Concepto de imputación]]&amp;" - "&amp;Cuenta_Clasificacion[[#This Row],[Nombre Concepto de imputación]]</f>
        <v>40116 - Aux. de Aseo y Mantención</v>
      </c>
    </row>
    <row r="1616" spans="1:6" x14ac:dyDescent="0.25">
      <c r="A1616" s="43">
        <v>4101003</v>
      </c>
      <c r="B1616" t="s">
        <v>1499</v>
      </c>
      <c r="C1616" s="43">
        <v>40117</v>
      </c>
      <c r="D1616" t="s">
        <v>3060</v>
      </c>
      <c r="E1616" s="47" t="str">
        <f>+Cuenta_Clasificacion[[#This Row],[Código Cuenta Contable]]&amp;" - "&amp;Cuenta_Clasificacion[[#This Row],[Nombre de Cuenta Contable]]</f>
        <v>4101003 - IVA Subcontratos DS-19</v>
      </c>
      <c r="F1616" s="47" t="str">
        <f>+Cuenta_Clasificacion[[#This Row],[Codigo Concepto de imputación]]&amp;" - "&amp;Cuenta_Clasificacion[[#This Row],[Nombre Concepto de imputación]]</f>
        <v>40117 - Topografo</v>
      </c>
    </row>
    <row r="1617" spans="1:6" x14ac:dyDescent="0.25">
      <c r="A1617" s="43">
        <v>4101003</v>
      </c>
      <c r="B1617" t="s">
        <v>1499</v>
      </c>
      <c r="C1617" s="43">
        <v>40118</v>
      </c>
      <c r="D1617" t="s">
        <v>3061</v>
      </c>
      <c r="E1617" s="47" t="str">
        <f>+Cuenta_Clasificacion[[#This Row],[Código Cuenta Contable]]&amp;" - "&amp;Cuenta_Clasificacion[[#This Row],[Nombre de Cuenta Contable]]</f>
        <v>4101003 - IVA Subcontratos DS-19</v>
      </c>
      <c r="F1617" s="47" t="str">
        <f>+Cuenta_Clasificacion[[#This Row],[Codigo Concepto de imputación]]&amp;" - "&amp;Cuenta_Clasificacion[[#This Row],[Nombre Concepto de imputación]]</f>
        <v>40118 - Coordinador Post Venta</v>
      </c>
    </row>
    <row r="1618" spans="1:6" x14ac:dyDescent="0.25">
      <c r="A1618" s="43">
        <v>4101003</v>
      </c>
      <c r="B1618" t="s">
        <v>1499</v>
      </c>
      <c r="C1618" s="43">
        <v>40119</v>
      </c>
      <c r="D1618" t="s">
        <v>3062</v>
      </c>
      <c r="E1618" s="47" t="str">
        <f>+Cuenta_Clasificacion[[#This Row],[Código Cuenta Contable]]&amp;" - "&amp;Cuenta_Clasificacion[[#This Row],[Nombre de Cuenta Contable]]</f>
        <v>4101003 - IVA Subcontratos DS-19</v>
      </c>
      <c r="F1618" s="47" t="str">
        <f>+Cuenta_Clasificacion[[#This Row],[Codigo Concepto de imputación]]&amp;" - "&amp;Cuenta_Clasificacion[[#This Row],[Nombre Concepto de imputación]]</f>
        <v>40119 - Asistente Post Venta</v>
      </c>
    </row>
    <row r="1619" spans="1:6" x14ac:dyDescent="0.25">
      <c r="A1619" s="43">
        <v>4101003</v>
      </c>
      <c r="B1619" t="s">
        <v>1499</v>
      </c>
      <c r="C1619" s="43">
        <v>40120</v>
      </c>
      <c r="D1619" t="s">
        <v>3063</v>
      </c>
      <c r="E1619" s="47" t="str">
        <f>+Cuenta_Clasificacion[[#This Row],[Código Cuenta Contable]]&amp;" - "&amp;Cuenta_Clasificacion[[#This Row],[Nombre de Cuenta Contable]]</f>
        <v>4101003 - IVA Subcontratos DS-19</v>
      </c>
      <c r="F1619" s="47" t="str">
        <f>+Cuenta_Clasificacion[[#This Row],[Codigo Concepto de imputación]]&amp;" - "&amp;Cuenta_Clasificacion[[#This Row],[Nombre Concepto de imputación]]</f>
        <v>40120 - Rigger</v>
      </c>
    </row>
    <row r="1620" spans="1:6" x14ac:dyDescent="0.25">
      <c r="A1620" s="43">
        <v>4101003</v>
      </c>
      <c r="B1620" t="s">
        <v>1499</v>
      </c>
      <c r="C1620" s="43">
        <v>40121</v>
      </c>
      <c r="D1620" t="s">
        <v>3064</v>
      </c>
      <c r="E1620" s="47" t="str">
        <f>+Cuenta_Clasificacion[[#This Row],[Código Cuenta Contable]]&amp;" - "&amp;Cuenta_Clasificacion[[#This Row],[Nombre de Cuenta Contable]]</f>
        <v>4101003 - IVA Subcontratos DS-19</v>
      </c>
      <c r="F1620" s="47" t="str">
        <f>+Cuenta_Clasificacion[[#This Row],[Codigo Concepto de imputación]]&amp;" - "&amp;Cuenta_Clasificacion[[#This Row],[Nombre Concepto de imputación]]</f>
        <v>40121 - Carpintero Tabiquero</v>
      </c>
    </row>
    <row r="1621" spans="1:6" x14ac:dyDescent="0.25">
      <c r="A1621" s="43">
        <v>4101003</v>
      </c>
      <c r="B1621" t="s">
        <v>1499</v>
      </c>
      <c r="C1621" s="43">
        <v>40122</v>
      </c>
      <c r="D1621" t="s">
        <v>3065</v>
      </c>
      <c r="E1621" s="47" t="str">
        <f>+Cuenta_Clasificacion[[#This Row],[Código Cuenta Contable]]&amp;" - "&amp;Cuenta_Clasificacion[[#This Row],[Nombre de Cuenta Contable]]</f>
        <v>4101003 - IVA Subcontratos DS-19</v>
      </c>
      <c r="F1621" s="47" t="str">
        <f>+Cuenta_Clasificacion[[#This Row],[Codigo Concepto de imputación]]&amp;" - "&amp;Cuenta_Clasificacion[[#This Row],[Nombre Concepto de imputación]]</f>
        <v>40122 - Carpintero Bodega Central</v>
      </c>
    </row>
    <row r="1622" spans="1:6" x14ac:dyDescent="0.25">
      <c r="A1622" s="43">
        <v>4101003</v>
      </c>
      <c r="B1622" t="s">
        <v>1499</v>
      </c>
      <c r="C1622" s="43">
        <v>40123</v>
      </c>
      <c r="D1622" t="s">
        <v>3066</v>
      </c>
      <c r="E1622" s="47" t="str">
        <f>+Cuenta_Clasificacion[[#This Row],[Código Cuenta Contable]]&amp;" - "&amp;Cuenta_Clasificacion[[#This Row],[Nombre de Cuenta Contable]]</f>
        <v>4101003 - IVA Subcontratos DS-19</v>
      </c>
      <c r="F1622" s="47" t="str">
        <f>+Cuenta_Clasificacion[[#This Row],[Codigo Concepto de imputación]]&amp;" - "&amp;Cuenta_Clasificacion[[#This Row],[Nombre Concepto de imputación]]</f>
        <v>40123 - Operador de Montacarga</v>
      </c>
    </row>
    <row r="1623" spans="1:6" x14ac:dyDescent="0.25">
      <c r="A1623" s="43">
        <v>4101003</v>
      </c>
      <c r="B1623" t="s">
        <v>1499</v>
      </c>
      <c r="C1623" s="43">
        <v>40124</v>
      </c>
      <c r="D1623" t="s">
        <v>3067</v>
      </c>
      <c r="E1623" s="47" t="str">
        <f>+Cuenta_Clasificacion[[#This Row],[Código Cuenta Contable]]&amp;" - "&amp;Cuenta_Clasificacion[[#This Row],[Nombre de Cuenta Contable]]</f>
        <v>4101003 - IVA Subcontratos DS-19</v>
      </c>
      <c r="F1623" s="47" t="str">
        <f>+Cuenta_Clasificacion[[#This Row],[Codigo Concepto de imputación]]&amp;" - "&amp;Cuenta_Clasificacion[[#This Row],[Nombre Concepto de imputación]]</f>
        <v>40124 - Encargado de Patio</v>
      </c>
    </row>
    <row r="1624" spans="1:6" x14ac:dyDescent="0.25">
      <c r="A1624" s="43">
        <v>4101003</v>
      </c>
      <c r="B1624" t="s">
        <v>1499</v>
      </c>
      <c r="C1624" s="43">
        <v>40125</v>
      </c>
      <c r="D1624" t="s">
        <v>3068</v>
      </c>
      <c r="E1624" s="47" t="str">
        <f>+Cuenta_Clasificacion[[#This Row],[Código Cuenta Contable]]&amp;" - "&amp;Cuenta_Clasificacion[[#This Row],[Nombre de Cuenta Contable]]</f>
        <v>4101003 - IVA Subcontratos DS-19</v>
      </c>
      <c r="F1624" s="47" t="str">
        <f>+Cuenta_Clasificacion[[#This Row],[Codigo Concepto de imputación]]&amp;" - "&amp;Cuenta_Clasificacion[[#This Row],[Nombre Concepto de imputación]]</f>
        <v>40125 - Canguero</v>
      </c>
    </row>
    <row r="1625" spans="1:6" x14ac:dyDescent="0.25">
      <c r="A1625" s="43">
        <v>4101003</v>
      </c>
      <c r="B1625" t="s">
        <v>1499</v>
      </c>
      <c r="C1625" s="43">
        <v>40126</v>
      </c>
      <c r="D1625" t="s">
        <v>3069</v>
      </c>
      <c r="E1625" s="47" t="str">
        <f>+Cuenta_Clasificacion[[#This Row],[Código Cuenta Contable]]&amp;" - "&amp;Cuenta_Clasificacion[[#This Row],[Nombre de Cuenta Contable]]</f>
        <v>4101003 - IVA Subcontratos DS-19</v>
      </c>
      <c r="F1625" s="47" t="str">
        <f>+Cuenta_Clasificacion[[#This Row],[Codigo Concepto de imputación]]&amp;" - "&amp;Cuenta_Clasificacion[[#This Row],[Nombre Concepto de imputación]]</f>
        <v>40126 - Pulidor</v>
      </c>
    </row>
    <row r="1626" spans="1:6" x14ac:dyDescent="0.25">
      <c r="A1626" s="43">
        <v>4101003</v>
      </c>
      <c r="B1626" t="s">
        <v>1499</v>
      </c>
      <c r="C1626" s="43">
        <v>40127</v>
      </c>
      <c r="D1626" t="s">
        <v>3070</v>
      </c>
      <c r="E1626" s="47" t="str">
        <f>+Cuenta_Clasificacion[[#This Row],[Código Cuenta Contable]]&amp;" - "&amp;Cuenta_Clasificacion[[#This Row],[Nombre de Cuenta Contable]]</f>
        <v>4101003 - IVA Subcontratos DS-19</v>
      </c>
      <c r="F1626" s="47" t="str">
        <f>+Cuenta_Clasificacion[[#This Row],[Codigo Concepto de imputación]]&amp;" - "&amp;Cuenta_Clasificacion[[#This Row],[Nombre Concepto de imputación]]</f>
        <v>40127 - Chofer - Operador Maq. Doblado</v>
      </c>
    </row>
    <row r="1627" spans="1:6" x14ac:dyDescent="0.25">
      <c r="A1627" s="43">
        <v>4101003</v>
      </c>
      <c r="B1627" t="s">
        <v>1499</v>
      </c>
      <c r="C1627" s="43">
        <v>40128</v>
      </c>
      <c r="D1627" t="s">
        <v>3071</v>
      </c>
      <c r="E1627" s="47" t="str">
        <f>+Cuenta_Clasificacion[[#This Row],[Código Cuenta Contable]]&amp;" - "&amp;Cuenta_Clasificacion[[#This Row],[Nombre de Cuenta Contable]]</f>
        <v>4101003 - IVA Subcontratos DS-19</v>
      </c>
      <c r="F1627" s="47" t="str">
        <f>+Cuenta_Clasificacion[[#This Row],[Codigo Concepto de imputación]]&amp;" - "&amp;Cuenta_Clasificacion[[#This Row],[Nombre Concepto de imputación]]</f>
        <v>40128 - Supervisor de Pagos a Subcontratos</v>
      </c>
    </row>
    <row r="1628" spans="1:6" x14ac:dyDescent="0.25">
      <c r="A1628" s="43">
        <v>4101003</v>
      </c>
      <c r="B1628" t="s">
        <v>1499</v>
      </c>
      <c r="C1628" s="43">
        <v>40129</v>
      </c>
      <c r="D1628" t="s">
        <v>3072</v>
      </c>
      <c r="E1628" s="47" t="str">
        <f>+Cuenta_Clasificacion[[#This Row],[Código Cuenta Contable]]&amp;" - "&amp;Cuenta_Clasificacion[[#This Row],[Nombre de Cuenta Contable]]</f>
        <v>4101003 - IVA Subcontratos DS-19</v>
      </c>
      <c r="F1628" s="47" t="str">
        <f>+Cuenta_Clasificacion[[#This Row],[Codigo Concepto de imputación]]&amp;" - "&amp;Cuenta_Clasificacion[[#This Row],[Nombre Concepto de imputación]]</f>
        <v>40129 - Supervisor de Administración en Terreno</v>
      </c>
    </row>
    <row r="1629" spans="1:6" x14ac:dyDescent="0.25">
      <c r="A1629" s="43">
        <v>4101003</v>
      </c>
      <c r="B1629" t="s">
        <v>1499</v>
      </c>
      <c r="C1629" s="43">
        <v>40130</v>
      </c>
      <c r="D1629" t="s">
        <v>3073</v>
      </c>
      <c r="E1629" s="47" t="str">
        <f>+Cuenta_Clasificacion[[#This Row],[Código Cuenta Contable]]&amp;" - "&amp;Cuenta_Clasificacion[[#This Row],[Nombre de Cuenta Contable]]</f>
        <v>4101003 - IVA Subcontratos DS-19</v>
      </c>
      <c r="F1629" s="47" t="str">
        <f>+Cuenta_Clasificacion[[#This Row],[Codigo Concepto de imputación]]&amp;" - "&amp;Cuenta_Clasificacion[[#This Row],[Nombre Concepto de imputación]]</f>
        <v>40130 - Ejecutivo de Caja Chica y Fondos al Personal</v>
      </c>
    </row>
    <row r="1630" spans="1:6" x14ac:dyDescent="0.25">
      <c r="A1630" s="43">
        <v>4101003</v>
      </c>
      <c r="B1630" t="s">
        <v>1499</v>
      </c>
      <c r="C1630" s="43">
        <v>40131</v>
      </c>
      <c r="D1630" t="s">
        <v>3074</v>
      </c>
      <c r="E1630" s="47" t="str">
        <f>+Cuenta_Clasificacion[[#This Row],[Código Cuenta Contable]]&amp;" - "&amp;Cuenta_Clasificacion[[#This Row],[Nombre de Cuenta Contable]]</f>
        <v>4101003 - IVA Subcontratos DS-19</v>
      </c>
      <c r="F1630" s="47" t="str">
        <f>+Cuenta_Clasificacion[[#This Row],[Codigo Concepto de imputación]]&amp;" - "&amp;Cuenta_Clasificacion[[#This Row],[Nombre Concepto de imputación]]</f>
        <v>40131 - Auxiliar de Aseo y Mantención Inmobiliaria</v>
      </c>
    </row>
    <row r="1631" spans="1:6" x14ac:dyDescent="0.25">
      <c r="A1631" s="43">
        <v>4101003</v>
      </c>
      <c r="B1631" t="s">
        <v>1499</v>
      </c>
      <c r="C1631" s="43">
        <v>40132</v>
      </c>
      <c r="D1631" t="s">
        <v>3075</v>
      </c>
      <c r="E1631" s="47" t="str">
        <f>+Cuenta_Clasificacion[[#This Row],[Código Cuenta Contable]]&amp;" - "&amp;Cuenta_Clasificacion[[#This Row],[Nombre de Cuenta Contable]]</f>
        <v>4101003 - IVA Subcontratos DS-19</v>
      </c>
      <c r="F1631" s="47" t="str">
        <f>+Cuenta_Clasificacion[[#This Row],[Codigo Concepto de imputación]]&amp;" - "&amp;Cuenta_Clasificacion[[#This Row],[Nombre Concepto de imputación]]</f>
        <v>40132 - Pilotera y mantención</v>
      </c>
    </row>
    <row r="1632" spans="1:6" x14ac:dyDescent="0.25">
      <c r="A1632" s="43">
        <v>4101003</v>
      </c>
      <c r="B1632" t="s">
        <v>1499</v>
      </c>
      <c r="C1632" s="43">
        <v>40133</v>
      </c>
      <c r="D1632" t="s">
        <v>3076</v>
      </c>
      <c r="E1632" s="47" t="str">
        <f>+Cuenta_Clasificacion[[#This Row],[Código Cuenta Contable]]&amp;" - "&amp;Cuenta_Clasificacion[[#This Row],[Nombre de Cuenta Contable]]</f>
        <v>4101003 - IVA Subcontratos DS-19</v>
      </c>
      <c r="F1632" s="47" t="str">
        <f>+Cuenta_Clasificacion[[#This Row],[Codigo Concepto de imputación]]&amp;" - "&amp;Cuenta_Clasificacion[[#This Row],[Nombre Concepto de imputación]]</f>
        <v>40133 - Administrativo Zonal de clientes</v>
      </c>
    </row>
    <row r="1633" spans="1:6" x14ac:dyDescent="0.25">
      <c r="A1633" s="43">
        <v>4101003</v>
      </c>
      <c r="B1633" t="s">
        <v>1499</v>
      </c>
      <c r="C1633" s="43">
        <v>40134</v>
      </c>
      <c r="D1633" t="s">
        <v>3077</v>
      </c>
      <c r="E1633" s="47" t="str">
        <f>+Cuenta_Clasificacion[[#This Row],[Código Cuenta Contable]]&amp;" - "&amp;Cuenta_Clasificacion[[#This Row],[Nombre de Cuenta Contable]]</f>
        <v>4101003 - IVA Subcontratos DS-19</v>
      </c>
      <c r="F1633" s="47" t="str">
        <f>+Cuenta_Clasificacion[[#This Row],[Codigo Concepto de imputación]]&amp;" - "&amp;Cuenta_Clasificacion[[#This Row],[Nombre Concepto de imputación]]</f>
        <v xml:space="preserve">40134 - Maestro Enfierrador         </v>
      </c>
    </row>
    <row r="1634" spans="1:6" x14ac:dyDescent="0.25">
      <c r="A1634" s="43">
        <v>4101003</v>
      </c>
      <c r="B1634" t="s">
        <v>1499</v>
      </c>
      <c r="C1634" s="43">
        <v>40135</v>
      </c>
      <c r="D1634" t="s">
        <v>3078</v>
      </c>
      <c r="E1634" s="47" t="str">
        <f>+Cuenta_Clasificacion[[#This Row],[Código Cuenta Contable]]&amp;" - "&amp;Cuenta_Clasificacion[[#This Row],[Nombre de Cuenta Contable]]</f>
        <v>4101003 - IVA Subcontratos DS-19</v>
      </c>
      <c r="F1634" s="47" t="str">
        <f>+Cuenta_Clasificacion[[#This Row],[Codigo Concepto de imputación]]&amp;" - "&amp;Cuenta_Clasificacion[[#This Row],[Nombre Concepto de imputación]]</f>
        <v>40135 - Jornal Llavero y Entrega</v>
      </c>
    </row>
    <row r="1635" spans="1:6" x14ac:dyDescent="0.25">
      <c r="A1635" s="43">
        <v>4101003</v>
      </c>
      <c r="B1635" t="s">
        <v>1499</v>
      </c>
      <c r="C1635" s="43">
        <v>40142</v>
      </c>
      <c r="D1635" t="s">
        <v>3079</v>
      </c>
      <c r="E1635" s="47" t="str">
        <f>+Cuenta_Clasificacion[[#This Row],[Código Cuenta Contable]]&amp;" - "&amp;Cuenta_Clasificacion[[#This Row],[Nombre de Cuenta Contable]]</f>
        <v>4101003 - IVA Subcontratos DS-19</v>
      </c>
      <c r="F1635" s="47" t="str">
        <f>+Cuenta_Clasificacion[[#This Row],[Codigo Concepto de imputación]]&amp;" - "&amp;Cuenta_Clasificacion[[#This Row],[Nombre Concepto de imputación]]</f>
        <v>40142 - Encargado de Mantención línea de Izaje</v>
      </c>
    </row>
    <row r="1636" spans="1:6" x14ac:dyDescent="0.25">
      <c r="A1636" s="43">
        <v>4101003</v>
      </c>
      <c r="B1636" t="s">
        <v>1499</v>
      </c>
      <c r="C1636" s="43">
        <v>40143</v>
      </c>
      <c r="D1636" t="s">
        <v>3080</v>
      </c>
      <c r="E1636" s="47" t="str">
        <f>+Cuenta_Clasificacion[[#This Row],[Código Cuenta Contable]]&amp;" - "&amp;Cuenta_Clasificacion[[#This Row],[Nombre de Cuenta Contable]]</f>
        <v>4101003 - IVA Subcontratos DS-19</v>
      </c>
      <c r="F1636" s="47" t="str">
        <f>+Cuenta_Clasificacion[[#This Row],[Codigo Concepto de imputación]]&amp;" - "&amp;Cuenta_Clasificacion[[#This Row],[Nombre Concepto de imputación]]</f>
        <v>40143 - Encargado de Montajes</v>
      </c>
    </row>
    <row r="1637" spans="1:6" x14ac:dyDescent="0.25">
      <c r="A1637" s="43">
        <v>4101003</v>
      </c>
      <c r="B1637" t="s">
        <v>1499</v>
      </c>
      <c r="C1637" s="43">
        <v>40144</v>
      </c>
      <c r="D1637" t="s">
        <v>3081</v>
      </c>
      <c r="E1637" s="47" t="str">
        <f>+Cuenta_Clasificacion[[#This Row],[Código Cuenta Contable]]&amp;" - "&amp;Cuenta_Clasificacion[[#This Row],[Nombre de Cuenta Contable]]</f>
        <v>4101003 - IVA Subcontratos DS-19</v>
      </c>
      <c r="F1637" s="47" t="str">
        <f>+Cuenta_Clasificacion[[#This Row],[Codigo Concepto de imputación]]&amp;" - "&amp;Cuenta_Clasificacion[[#This Row],[Nombre Concepto de imputación]]</f>
        <v xml:space="preserve">40144 - Operador de Planta de Hormigón </v>
      </c>
    </row>
    <row r="1638" spans="1:6" x14ac:dyDescent="0.25">
      <c r="A1638" s="43">
        <v>4101003</v>
      </c>
      <c r="B1638" t="s">
        <v>1499</v>
      </c>
      <c r="C1638" s="43">
        <v>40500</v>
      </c>
      <c r="D1638" t="s">
        <v>2943</v>
      </c>
      <c r="E1638" s="47" t="str">
        <f>+Cuenta_Clasificacion[[#This Row],[Código Cuenta Contable]]&amp;" - "&amp;Cuenta_Clasificacion[[#This Row],[Nombre de Cuenta Contable]]</f>
        <v>4101003 - IVA Subcontratos DS-19</v>
      </c>
      <c r="F1638" s="47" t="str">
        <f>+Cuenta_Clasificacion[[#This Row],[Codigo Concepto de imputación]]&amp;" - "&amp;Cuenta_Clasificacion[[#This Row],[Nombre Concepto de imputación]]</f>
        <v>40500 - Distribución</v>
      </c>
    </row>
    <row r="1639" spans="1:6" x14ac:dyDescent="0.25">
      <c r="A1639" s="43">
        <v>4101003</v>
      </c>
      <c r="B1639" t="s">
        <v>1499</v>
      </c>
      <c r="C1639" s="43">
        <v>50001</v>
      </c>
      <c r="D1639" t="s">
        <v>2941</v>
      </c>
      <c r="E1639" s="47" t="str">
        <f>+Cuenta_Clasificacion[[#This Row],[Código Cuenta Contable]]&amp;" - "&amp;Cuenta_Clasificacion[[#This Row],[Nombre de Cuenta Contable]]</f>
        <v>4101003 - IVA Subcontratos DS-19</v>
      </c>
      <c r="F1639" s="47" t="str">
        <f>+Cuenta_Clasificacion[[#This Row],[Codigo Concepto de imputación]]&amp;" - "&amp;Cuenta_Clasificacion[[#This Row],[Nombre Concepto de imputación]]</f>
        <v>50001 - Bodega - Consumo Básico</v>
      </c>
    </row>
    <row r="1640" spans="1:6" x14ac:dyDescent="0.25">
      <c r="A1640" s="43">
        <v>4101003</v>
      </c>
      <c r="B1640" t="s">
        <v>1499</v>
      </c>
      <c r="C1640" s="43">
        <v>50002</v>
      </c>
      <c r="D1640" t="s">
        <v>3082</v>
      </c>
      <c r="E1640" s="47" t="str">
        <f>+Cuenta_Clasificacion[[#This Row],[Código Cuenta Contable]]&amp;" - "&amp;Cuenta_Clasificacion[[#This Row],[Nombre de Cuenta Contable]]</f>
        <v>4101003 - IVA Subcontratos DS-19</v>
      </c>
      <c r="F1640" s="47" t="str">
        <f>+Cuenta_Clasificacion[[#This Row],[Codigo Concepto de imputación]]&amp;" - "&amp;Cuenta_Clasificacion[[#This Row],[Nombre Concepto de imputación]]</f>
        <v>50002 - Bodega - Materiales Oficina</v>
      </c>
    </row>
    <row r="1641" spans="1:6" x14ac:dyDescent="0.25">
      <c r="A1641" s="43">
        <v>4101003</v>
      </c>
      <c r="B1641" t="s">
        <v>1499</v>
      </c>
      <c r="C1641" s="43">
        <v>50003</v>
      </c>
      <c r="D1641" t="s">
        <v>3083</v>
      </c>
      <c r="E1641" s="47" t="str">
        <f>+Cuenta_Clasificacion[[#This Row],[Código Cuenta Contable]]&amp;" - "&amp;Cuenta_Clasificacion[[#This Row],[Nombre de Cuenta Contable]]</f>
        <v>4101003 - IVA Subcontratos DS-19</v>
      </c>
      <c r="F1641" s="47" t="str">
        <f>+Cuenta_Clasificacion[[#This Row],[Codigo Concepto de imputación]]&amp;" - "&amp;Cuenta_Clasificacion[[#This Row],[Nombre Concepto de imputación]]</f>
        <v>50003 - Bodega - Seguros y Garantías</v>
      </c>
    </row>
    <row r="1642" spans="1:6" x14ac:dyDescent="0.25">
      <c r="A1642" s="43">
        <v>4101003</v>
      </c>
      <c r="B1642" t="s">
        <v>1499</v>
      </c>
      <c r="C1642" s="43">
        <v>50004</v>
      </c>
      <c r="D1642" t="s">
        <v>3084</v>
      </c>
      <c r="E1642" s="47" t="str">
        <f>+Cuenta_Clasificacion[[#This Row],[Código Cuenta Contable]]&amp;" - "&amp;Cuenta_Clasificacion[[#This Row],[Nombre de Cuenta Contable]]</f>
        <v>4101003 - IVA Subcontratos DS-19</v>
      </c>
      <c r="F1642" s="47" t="str">
        <f>+Cuenta_Clasificacion[[#This Row],[Codigo Concepto de imputación]]&amp;" - "&amp;Cuenta_Clasificacion[[#This Row],[Nombre Concepto de imputación]]</f>
        <v>50004 - Bodega - Gastos Menores</v>
      </c>
    </row>
    <row r="1643" spans="1:6" x14ac:dyDescent="0.25">
      <c r="A1643" s="43">
        <v>4101003</v>
      </c>
      <c r="B1643" t="s">
        <v>1499</v>
      </c>
      <c r="C1643" s="43">
        <v>50005</v>
      </c>
      <c r="D1643" t="s">
        <v>3085</v>
      </c>
      <c r="E1643" s="47" t="str">
        <f>+Cuenta_Clasificacion[[#This Row],[Código Cuenta Contable]]&amp;" - "&amp;Cuenta_Clasificacion[[#This Row],[Nombre de Cuenta Contable]]</f>
        <v>4101003 - IVA Subcontratos DS-19</v>
      </c>
      <c r="F1643" s="47" t="str">
        <f>+Cuenta_Clasificacion[[#This Row],[Codigo Concepto de imputación]]&amp;" - "&amp;Cuenta_Clasificacion[[#This Row],[Nombre Concepto de imputación]]</f>
        <v>50005 - Bodega - Otros Gastos</v>
      </c>
    </row>
    <row r="1644" spans="1:6" x14ac:dyDescent="0.25">
      <c r="A1644" s="43">
        <v>4101003</v>
      </c>
      <c r="B1644" t="s">
        <v>1499</v>
      </c>
      <c r="C1644" s="43">
        <v>50006</v>
      </c>
      <c r="D1644" t="s">
        <v>3086</v>
      </c>
      <c r="E1644" s="47" t="str">
        <f>+Cuenta_Clasificacion[[#This Row],[Código Cuenta Contable]]&amp;" - "&amp;Cuenta_Clasificacion[[#This Row],[Nombre de Cuenta Contable]]</f>
        <v>4101003 - IVA Subcontratos DS-19</v>
      </c>
      <c r="F1644" s="47" t="str">
        <f>+Cuenta_Clasificacion[[#This Row],[Codigo Concepto de imputación]]&amp;" - "&amp;Cuenta_Clasificacion[[#This Row],[Nombre Concepto de imputación]]</f>
        <v>50006 - Bodega - Imprenta</v>
      </c>
    </row>
    <row r="1645" spans="1:6" x14ac:dyDescent="0.25">
      <c r="A1645" s="43">
        <v>4101003</v>
      </c>
      <c r="B1645" t="s">
        <v>1499</v>
      </c>
      <c r="C1645" s="43">
        <v>50007</v>
      </c>
      <c r="D1645" t="s">
        <v>3087</v>
      </c>
      <c r="E1645" s="47" t="str">
        <f>+Cuenta_Clasificacion[[#This Row],[Código Cuenta Contable]]&amp;" - "&amp;Cuenta_Clasificacion[[#This Row],[Nombre de Cuenta Contable]]</f>
        <v>4101003 - IVA Subcontratos DS-19</v>
      </c>
      <c r="F1645" s="47" t="str">
        <f>+Cuenta_Clasificacion[[#This Row],[Codigo Concepto de imputación]]&amp;" - "&amp;Cuenta_Clasificacion[[#This Row],[Nombre Concepto de imputación]]</f>
        <v>50007 - Bodega - Diseño y Publicidad</v>
      </c>
    </row>
    <row r="1646" spans="1:6" x14ac:dyDescent="0.25">
      <c r="A1646" s="43">
        <v>4101003</v>
      </c>
      <c r="B1646" t="s">
        <v>1499</v>
      </c>
      <c r="C1646" s="43">
        <v>50008</v>
      </c>
      <c r="D1646" t="s">
        <v>2897</v>
      </c>
      <c r="E1646" s="47" t="str">
        <f>+Cuenta_Clasificacion[[#This Row],[Código Cuenta Contable]]&amp;" - "&amp;Cuenta_Clasificacion[[#This Row],[Nombre de Cuenta Contable]]</f>
        <v>4101003 - IVA Subcontratos DS-19</v>
      </c>
      <c r="F1646" s="47" t="str">
        <f>+Cuenta_Clasificacion[[#This Row],[Codigo Concepto de imputación]]&amp;" - "&amp;Cuenta_Clasificacion[[#This Row],[Nombre Concepto de imputación]]</f>
        <v>50008 - Alimentos</v>
      </c>
    </row>
    <row r="1647" spans="1:6" x14ac:dyDescent="0.25">
      <c r="A1647" s="43">
        <v>4101003</v>
      </c>
      <c r="B1647" t="s">
        <v>1499</v>
      </c>
      <c r="C1647" s="43">
        <v>50009</v>
      </c>
      <c r="D1647" t="s">
        <v>2898</v>
      </c>
      <c r="E1647" s="47" t="str">
        <f>+Cuenta_Clasificacion[[#This Row],[Código Cuenta Contable]]&amp;" - "&amp;Cuenta_Clasificacion[[#This Row],[Nombre de Cuenta Contable]]</f>
        <v>4101003 - IVA Subcontratos DS-19</v>
      </c>
      <c r="F1647" s="47" t="str">
        <f>+Cuenta_Clasificacion[[#This Row],[Codigo Concepto de imputación]]&amp;" - "&amp;Cuenta_Clasificacion[[#This Row],[Nombre Concepto de imputación]]</f>
        <v>50009 - Aseo y Cocina</v>
      </c>
    </row>
    <row r="1648" spans="1:6" x14ac:dyDescent="0.25">
      <c r="A1648" s="43">
        <v>4101003</v>
      </c>
      <c r="B1648" t="s">
        <v>1499</v>
      </c>
      <c r="C1648" s="43">
        <v>50010</v>
      </c>
      <c r="D1648" t="s">
        <v>2899</v>
      </c>
      <c r="E1648" s="47" t="str">
        <f>+Cuenta_Clasificacion[[#This Row],[Código Cuenta Contable]]&amp;" - "&amp;Cuenta_Clasificacion[[#This Row],[Nombre de Cuenta Contable]]</f>
        <v>4101003 - IVA Subcontratos DS-19</v>
      </c>
      <c r="F1648" s="47" t="str">
        <f>+Cuenta_Clasificacion[[#This Row],[Codigo Concepto de imputación]]&amp;" - "&amp;Cuenta_Clasificacion[[#This Row],[Nombre Concepto de imputación]]</f>
        <v>50010 - Buses y Radiotaxi</v>
      </c>
    </row>
    <row r="1649" spans="1:6" x14ac:dyDescent="0.25">
      <c r="A1649" s="43">
        <v>4101003</v>
      </c>
      <c r="B1649" t="s">
        <v>1499</v>
      </c>
      <c r="C1649" s="43">
        <v>50011</v>
      </c>
      <c r="D1649" t="s">
        <v>2900</v>
      </c>
      <c r="E1649" s="47" t="str">
        <f>+Cuenta_Clasificacion[[#This Row],[Código Cuenta Contable]]&amp;" - "&amp;Cuenta_Clasificacion[[#This Row],[Nombre de Cuenta Contable]]</f>
        <v>4101003 - IVA Subcontratos DS-19</v>
      </c>
      <c r="F1649" s="47" t="str">
        <f>+Cuenta_Clasificacion[[#This Row],[Codigo Concepto de imputación]]&amp;" - "&amp;Cuenta_Clasificacion[[#This Row],[Nombre Concepto de imputación]]</f>
        <v>50011 - Capacitación</v>
      </c>
    </row>
    <row r="1650" spans="1:6" x14ac:dyDescent="0.25">
      <c r="A1650" s="43">
        <v>4101003</v>
      </c>
      <c r="B1650" t="s">
        <v>1499</v>
      </c>
      <c r="C1650" s="43">
        <v>50012</v>
      </c>
      <c r="D1650" t="s">
        <v>2901</v>
      </c>
      <c r="E1650" s="47" t="str">
        <f>+Cuenta_Clasificacion[[#This Row],[Código Cuenta Contable]]&amp;" - "&amp;Cuenta_Clasificacion[[#This Row],[Nombre de Cuenta Contable]]</f>
        <v>4101003 - IVA Subcontratos DS-19</v>
      </c>
      <c r="F1650" s="47" t="str">
        <f>+Cuenta_Clasificacion[[#This Row],[Codigo Concepto de imputación]]&amp;" - "&amp;Cuenta_Clasificacion[[#This Row],[Nombre Concepto de imputación]]</f>
        <v>50012 - Honorarios y Asesorías</v>
      </c>
    </row>
    <row r="1651" spans="1:6" x14ac:dyDescent="0.25">
      <c r="A1651" s="43">
        <v>4101003</v>
      </c>
      <c r="B1651" t="s">
        <v>1499</v>
      </c>
      <c r="C1651" s="43">
        <v>50013</v>
      </c>
      <c r="D1651" t="s">
        <v>2902</v>
      </c>
      <c r="E1651" s="47" t="str">
        <f>+Cuenta_Clasificacion[[#This Row],[Código Cuenta Contable]]&amp;" - "&amp;Cuenta_Clasificacion[[#This Row],[Nombre de Cuenta Contable]]</f>
        <v>4101003 - IVA Subcontratos DS-19</v>
      </c>
      <c r="F1651" s="47" t="str">
        <f>+Cuenta_Clasificacion[[#This Row],[Codigo Concepto de imputación]]&amp;" - "&amp;Cuenta_Clasificacion[[#This Row],[Nombre Concepto de imputación]]</f>
        <v>50013 - Seguros</v>
      </c>
    </row>
    <row r="1652" spans="1:6" x14ac:dyDescent="0.25">
      <c r="A1652" s="43">
        <v>4101003</v>
      </c>
      <c r="B1652" t="s">
        <v>1499</v>
      </c>
      <c r="C1652" s="43">
        <v>50014</v>
      </c>
      <c r="D1652" t="s">
        <v>2903</v>
      </c>
      <c r="E1652" s="47" t="str">
        <f>+Cuenta_Clasificacion[[#This Row],[Código Cuenta Contable]]&amp;" - "&amp;Cuenta_Clasificacion[[#This Row],[Nombre de Cuenta Contable]]</f>
        <v>4101003 - IVA Subcontratos DS-19</v>
      </c>
      <c r="F1652" s="47" t="str">
        <f>+Cuenta_Clasificacion[[#This Row],[Codigo Concepto de imputación]]&amp;" - "&amp;Cuenta_Clasificacion[[#This Row],[Nombre Concepto de imputación]]</f>
        <v>50014 - Tramitaciones</v>
      </c>
    </row>
    <row r="1653" spans="1:6" x14ac:dyDescent="0.25">
      <c r="A1653" s="43">
        <v>4101003</v>
      </c>
      <c r="B1653" t="s">
        <v>1499</v>
      </c>
      <c r="C1653" s="43">
        <v>50015</v>
      </c>
      <c r="D1653" t="s">
        <v>2904</v>
      </c>
      <c r="E1653" s="47" t="str">
        <f>+Cuenta_Clasificacion[[#This Row],[Código Cuenta Contable]]&amp;" - "&amp;Cuenta_Clasificacion[[#This Row],[Nombre de Cuenta Contable]]</f>
        <v>4101003 - IVA Subcontratos DS-19</v>
      </c>
      <c r="F1653" s="47" t="str">
        <f>+Cuenta_Clasificacion[[#This Row],[Codigo Concepto de imputación]]&amp;" - "&amp;Cuenta_Clasificacion[[#This Row],[Nombre Concepto de imputación]]</f>
        <v>50015 - Transporte</v>
      </c>
    </row>
    <row r="1654" spans="1:6" x14ac:dyDescent="0.25">
      <c r="A1654" s="43">
        <v>4101003</v>
      </c>
      <c r="B1654" t="s">
        <v>1499</v>
      </c>
      <c r="C1654" s="43">
        <v>50016</v>
      </c>
      <c r="D1654" t="s">
        <v>2905</v>
      </c>
      <c r="E1654" s="47" t="str">
        <f>+Cuenta_Clasificacion[[#This Row],[Código Cuenta Contable]]&amp;" - "&amp;Cuenta_Clasificacion[[#This Row],[Nombre de Cuenta Contable]]</f>
        <v>4101003 - IVA Subcontratos DS-19</v>
      </c>
      <c r="F1654" s="47" t="str">
        <f>+Cuenta_Clasificacion[[#This Row],[Codigo Concepto de imputación]]&amp;" - "&amp;Cuenta_Clasificacion[[#This Row],[Nombre Concepto de imputación]]</f>
        <v>50016 - Útiles Oficina</v>
      </c>
    </row>
    <row r="1655" spans="1:6" x14ac:dyDescent="0.25">
      <c r="A1655" s="43">
        <v>4101003</v>
      </c>
      <c r="B1655" t="s">
        <v>1499</v>
      </c>
      <c r="C1655" s="43">
        <v>50017</v>
      </c>
      <c r="D1655" t="s">
        <v>2906</v>
      </c>
      <c r="E1655" s="47" t="str">
        <f>+Cuenta_Clasificacion[[#This Row],[Código Cuenta Contable]]&amp;" - "&amp;Cuenta_Clasificacion[[#This Row],[Nombre de Cuenta Contable]]</f>
        <v>4101003 - IVA Subcontratos DS-19</v>
      </c>
      <c r="F1655" s="47" t="str">
        <f>+Cuenta_Clasificacion[[#This Row],[Codigo Concepto de imputación]]&amp;" - "&amp;Cuenta_Clasificacion[[#This Row],[Nombre Concepto de imputación]]</f>
        <v>50017 - Consumos Básicos</v>
      </c>
    </row>
    <row r="1656" spans="1:6" x14ac:dyDescent="0.25">
      <c r="A1656" s="43">
        <v>4101003</v>
      </c>
      <c r="B1656" t="s">
        <v>1499</v>
      </c>
      <c r="C1656" s="43">
        <v>50018</v>
      </c>
      <c r="D1656" t="s">
        <v>3088</v>
      </c>
      <c r="E1656" s="47" t="str">
        <f>+Cuenta_Clasificacion[[#This Row],[Código Cuenta Contable]]&amp;" - "&amp;Cuenta_Clasificacion[[#This Row],[Nombre de Cuenta Contable]]</f>
        <v>4101003 - IVA Subcontratos DS-19</v>
      </c>
      <c r="F1656" s="47" t="str">
        <f>+Cuenta_Clasificacion[[#This Row],[Codigo Concepto de imputación]]&amp;" - "&amp;Cuenta_Clasificacion[[#This Row],[Nombre Concepto de imputación]]</f>
        <v>50018 - Consumos Telefónicos</v>
      </c>
    </row>
    <row r="1657" spans="1:6" x14ac:dyDescent="0.25">
      <c r="A1657" s="43">
        <v>4101003</v>
      </c>
      <c r="B1657" t="s">
        <v>1499</v>
      </c>
      <c r="C1657" s="43">
        <v>50019</v>
      </c>
      <c r="D1657" t="s">
        <v>1638</v>
      </c>
      <c r="E1657" s="47" t="str">
        <f>+Cuenta_Clasificacion[[#This Row],[Código Cuenta Contable]]&amp;" - "&amp;Cuenta_Clasificacion[[#This Row],[Nombre de Cuenta Contable]]</f>
        <v>4101003 - IVA Subcontratos DS-19</v>
      </c>
      <c r="F1657" s="47" t="str">
        <f>+Cuenta_Clasificacion[[#This Row],[Codigo Concepto de imputación]]&amp;" - "&amp;Cuenta_Clasificacion[[#This Row],[Nombre Concepto de imputación]]</f>
        <v>50019 - Gastos Municipales</v>
      </c>
    </row>
    <row r="1658" spans="1:6" x14ac:dyDescent="0.25">
      <c r="A1658" s="43">
        <v>4101003</v>
      </c>
      <c r="B1658" t="s">
        <v>1499</v>
      </c>
      <c r="C1658" s="43">
        <v>50020</v>
      </c>
      <c r="D1658" t="s">
        <v>3089</v>
      </c>
      <c r="E1658" s="47" t="str">
        <f>+Cuenta_Clasificacion[[#This Row],[Código Cuenta Contable]]&amp;" - "&amp;Cuenta_Clasificacion[[#This Row],[Nombre de Cuenta Contable]]</f>
        <v>4101003 - IVA Subcontratos DS-19</v>
      </c>
      <c r="F1658" s="47" t="str">
        <f>+Cuenta_Clasificacion[[#This Row],[Codigo Concepto de imputación]]&amp;" - "&amp;Cuenta_Clasificacion[[#This Row],[Nombre Concepto de imputación]]</f>
        <v>50020 - Gastos Notariales</v>
      </c>
    </row>
    <row r="1659" spans="1:6" x14ac:dyDescent="0.25">
      <c r="A1659" s="43">
        <v>4101003</v>
      </c>
      <c r="B1659" t="s">
        <v>1499</v>
      </c>
      <c r="C1659" s="43">
        <v>50021</v>
      </c>
      <c r="D1659" t="s">
        <v>2907</v>
      </c>
      <c r="E1659" s="47" t="str">
        <f>+Cuenta_Clasificacion[[#This Row],[Código Cuenta Contable]]&amp;" - "&amp;Cuenta_Clasificacion[[#This Row],[Nombre de Cuenta Contable]]</f>
        <v>4101003 - IVA Subcontratos DS-19</v>
      </c>
      <c r="F1659" s="47" t="str">
        <f>+Cuenta_Clasificacion[[#This Row],[Codigo Concepto de imputación]]&amp;" - "&amp;Cuenta_Clasificacion[[#This Row],[Nombre Concepto de imputación]]</f>
        <v>50021 - Consumos de Obra</v>
      </c>
    </row>
    <row r="1660" spans="1:6" x14ac:dyDescent="0.25">
      <c r="A1660" s="43">
        <v>4101003</v>
      </c>
      <c r="B1660" t="s">
        <v>1499</v>
      </c>
      <c r="C1660" s="43">
        <v>50022</v>
      </c>
      <c r="D1660" t="s">
        <v>3090</v>
      </c>
      <c r="E1660" s="47" t="str">
        <f>+Cuenta_Clasificacion[[#This Row],[Código Cuenta Contable]]&amp;" - "&amp;Cuenta_Clasificacion[[#This Row],[Nombre de Cuenta Contable]]</f>
        <v>4101003 - IVA Subcontratos DS-19</v>
      </c>
      <c r="F1660" s="47" t="str">
        <f>+Cuenta_Clasificacion[[#This Row],[Codigo Concepto de imputación]]&amp;" - "&amp;Cuenta_Clasificacion[[#This Row],[Nombre Concepto de imputación]]</f>
        <v>50022 - Gastos Viajes y Traslados</v>
      </c>
    </row>
    <row r="1661" spans="1:6" x14ac:dyDescent="0.25">
      <c r="A1661" s="43">
        <v>4101003</v>
      </c>
      <c r="B1661" t="s">
        <v>1499</v>
      </c>
      <c r="C1661" s="43">
        <v>50023</v>
      </c>
      <c r="D1661" t="s">
        <v>2908</v>
      </c>
      <c r="E1661" s="47" t="str">
        <f>+Cuenta_Clasificacion[[#This Row],[Código Cuenta Contable]]&amp;" - "&amp;Cuenta_Clasificacion[[#This Row],[Nombre de Cuenta Contable]]</f>
        <v>4101003 - IVA Subcontratos DS-19</v>
      </c>
      <c r="F1661" s="47" t="str">
        <f>+Cuenta_Clasificacion[[#This Row],[Codigo Concepto de imputación]]&amp;" - "&amp;Cuenta_Clasificacion[[#This Row],[Nombre Concepto de imputación]]</f>
        <v>50023 - Pasajes, Hotel y Otros GG</v>
      </c>
    </row>
    <row r="1662" spans="1:6" x14ac:dyDescent="0.25">
      <c r="A1662" s="43">
        <v>4101003</v>
      </c>
      <c r="B1662" t="s">
        <v>1499</v>
      </c>
      <c r="C1662" s="43">
        <v>50024</v>
      </c>
      <c r="D1662" t="s">
        <v>2729</v>
      </c>
      <c r="E1662" s="47" t="str">
        <f>+Cuenta_Clasificacion[[#This Row],[Código Cuenta Contable]]&amp;" - "&amp;Cuenta_Clasificacion[[#This Row],[Nombre de Cuenta Contable]]</f>
        <v>4101003 - IVA Subcontratos DS-19</v>
      </c>
      <c r="F1662" s="47" t="str">
        <f>+Cuenta_Clasificacion[[#This Row],[Codigo Concepto de imputación]]&amp;" - "&amp;Cuenta_Clasificacion[[#This Row],[Nombre Concepto de imputación]]</f>
        <v>50024 - Combustibles</v>
      </c>
    </row>
    <row r="1663" spans="1:6" x14ac:dyDescent="0.25">
      <c r="A1663" s="43">
        <v>4101003</v>
      </c>
      <c r="B1663" t="s">
        <v>1499</v>
      </c>
      <c r="C1663" s="43">
        <v>50025</v>
      </c>
      <c r="D1663" t="s">
        <v>3091</v>
      </c>
      <c r="E1663" s="47" t="str">
        <f>+Cuenta_Clasificacion[[#This Row],[Código Cuenta Contable]]&amp;" - "&amp;Cuenta_Clasificacion[[#This Row],[Nombre de Cuenta Contable]]</f>
        <v>4101003 - IVA Subcontratos DS-19</v>
      </c>
      <c r="F1663" s="47" t="str">
        <f>+Cuenta_Clasificacion[[#This Row],[Codigo Concepto de imputación]]&amp;" - "&amp;Cuenta_Clasificacion[[#This Row],[Nombre Concepto de imputación]]</f>
        <v>50025 - Prov. GGoc/PV</v>
      </c>
    </row>
    <row r="1664" spans="1:6" x14ac:dyDescent="0.25">
      <c r="A1664" s="43">
        <v>4101003</v>
      </c>
      <c r="B1664" t="s">
        <v>1499</v>
      </c>
      <c r="C1664" s="43">
        <v>50026</v>
      </c>
      <c r="D1664" t="s">
        <v>1500</v>
      </c>
      <c r="E1664" s="47" t="str">
        <f>+Cuenta_Clasificacion[[#This Row],[Código Cuenta Contable]]&amp;" - "&amp;Cuenta_Clasificacion[[#This Row],[Nombre de Cuenta Contable]]</f>
        <v>4101003 - IVA Subcontratos DS-19</v>
      </c>
      <c r="F1664" s="47" t="str">
        <f>+Cuenta_Clasificacion[[#This Row],[Codigo Concepto de imputación]]&amp;" - "&amp;Cuenta_Clasificacion[[#This Row],[Nombre Concepto de imputación]]</f>
        <v>50026 - Oficina Central</v>
      </c>
    </row>
    <row r="1665" spans="1:6" x14ac:dyDescent="0.25">
      <c r="A1665" s="43">
        <v>4101003</v>
      </c>
      <c r="B1665" t="s">
        <v>1499</v>
      </c>
      <c r="C1665" s="43">
        <v>50027</v>
      </c>
      <c r="D1665" t="s">
        <v>3092</v>
      </c>
      <c r="E1665" s="47" t="str">
        <f>+Cuenta_Clasificacion[[#This Row],[Código Cuenta Contable]]&amp;" - "&amp;Cuenta_Clasificacion[[#This Row],[Nombre de Cuenta Contable]]</f>
        <v>4101003 - IVA Subcontratos DS-19</v>
      </c>
      <c r="F1665" s="47" t="str">
        <f>+Cuenta_Clasificacion[[#This Row],[Codigo Concepto de imputación]]&amp;" - "&amp;Cuenta_Clasificacion[[#This Row],[Nombre Concepto de imputación]]</f>
        <v>50027 - Desemp. Prev. Riesgos</v>
      </c>
    </row>
    <row r="1666" spans="1:6" x14ac:dyDescent="0.25">
      <c r="A1666" s="43">
        <v>4101003</v>
      </c>
      <c r="B1666" t="s">
        <v>1499</v>
      </c>
      <c r="C1666" s="43">
        <v>50028</v>
      </c>
      <c r="D1666" t="s">
        <v>2909</v>
      </c>
      <c r="E1666" s="47" t="str">
        <f>+Cuenta_Clasificacion[[#This Row],[Código Cuenta Contable]]&amp;" - "&amp;Cuenta_Clasificacion[[#This Row],[Nombre de Cuenta Contable]]</f>
        <v>4101003 - IVA Subcontratos DS-19</v>
      </c>
      <c r="F1666" s="47" t="str">
        <f>+Cuenta_Clasificacion[[#This Row],[Codigo Concepto de imputación]]&amp;" - "&amp;Cuenta_Clasificacion[[#This Row],[Nombre Concepto de imputación]]</f>
        <v>50028 - Boletas de Garantía</v>
      </c>
    </row>
    <row r="1667" spans="1:6" x14ac:dyDescent="0.25">
      <c r="A1667" s="43">
        <v>4101003</v>
      </c>
      <c r="B1667" t="s">
        <v>1499</v>
      </c>
      <c r="C1667" s="43">
        <v>77777</v>
      </c>
      <c r="D1667" t="s">
        <v>2703</v>
      </c>
      <c r="E1667" s="47" t="str">
        <f>+Cuenta_Clasificacion[[#This Row],[Código Cuenta Contable]]&amp;" - "&amp;Cuenta_Clasificacion[[#This Row],[Nombre de Cuenta Contable]]</f>
        <v>4101003 - IVA Subcontratos DS-19</v>
      </c>
      <c r="F1667" s="47" t="str">
        <f>+Cuenta_Clasificacion[[#This Row],[Codigo Concepto de imputación]]&amp;" - "&amp;Cuenta_Clasificacion[[#This Row],[Nombre Concepto de imputación]]</f>
        <v>77777 - REGULARIZACIONES</v>
      </c>
    </row>
    <row r="1668" spans="1:6" x14ac:dyDescent="0.25">
      <c r="A1668" s="43">
        <v>4105024</v>
      </c>
      <c r="B1668" t="s">
        <v>210</v>
      </c>
      <c r="C1668" s="43">
        <v>10001</v>
      </c>
      <c r="D1668" t="s">
        <v>2708</v>
      </c>
      <c r="E1668" s="47" t="str">
        <f>+Cuenta_Clasificacion[[#This Row],[Código Cuenta Contable]]&amp;" - "&amp;Cuenta_Clasificacion[[#This Row],[Nombre de Cuenta Contable]]</f>
        <v>4105024 - Proyectos No Ejecutados</v>
      </c>
      <c r="F1668" s="47" t="str">
        <f>+Cuenta_Clasificacion[[#This Row],[Codigo Concepto de imputación]]&amp;" - "&amp;Cuenta_Clasificacion[[#This Row],[Nombre Concepto de imputación]]</f>
        <v>10001 - Accesorios Sanitarios</v>
      </c>
    </row>
    <row r="1669" spans="1:6" x14ac:dyDescent="0.25">
      <c r="A1669" s="43">
        <v>4105024</v>
      </c>
      <c r="B1669" t="s">
        <v>210</v>
      </c>
      <c r="C1669" s="43">
        <v>10002</v>
      </c>
      <c r="D1669" t="s">
        <v>2709</v>
      </c>
      <c r="E1669" s="47" t="str">
        <f>+Cuenta_Clasificacion[[#This Row],[Código Cuenta Contable]]&amp;" - "&amp;Cuenta_Clasificacion[[#This Row],[Nombre de Cuenta Contable]]</f>
        <v>4105024 - Proyectos No Ejecutados</v>
      </c>
      <c r="F1669" s="47" t="str">
        <f>+Cuenta_Clasificacion[[#This Row],[Codigo Concepto de imputación]]&amp;" - "&amp;Cuenta_Clasificacion[[#This Row],[Nombre Concepto de imputación]]</f>
        <v>10002 - Adhesivos</v>
      </c>
    </row>
    <row r="1670" spans="1:6" x14ac:dyDescent="0.25">
      <c r="A1670" s="43">
        <v>4105024</v>
      </c>
      <c r="B1670" t="s">
        <v>210</v>
      </c>
      <c r="C1670" s="43">
        <v>10003</v>
      </c>
      <c r="D1670" t="s">
        <v>2710</v>
      </c>
      <c r="E1670" s="47" t="str">
        <f>+Cuenta_Clasificacion[[#This Row],[Código Cuenta Contable]]&amp;" - "&amp;Cuenta_Clasificacion[[#This Row],[Nombre de Cuenta Contable]]</f>
        <v>4105024 - Proyectos No Ejecutados</v>
      </c>
      <c r="F1670" s="47" t="str">
        <f>+Cuenta_Clasificacion[[#This Row],[Codigo Concepto de imputación]]&amp;" - "&amp;Cuenta_Clasificacion[[#This Row],[Nombre Concepto de imputación]]</f>
        <v>10003 - Aditivos</v>
      </c>
    </row>
    <row r="1671" spans="1:6" x14ac:dyDescent="0.25">
      <c r="A1671" s="43">
        <v>4105024</v>
      </c>
      <c r="B1671" t="s">
        <v>210</v>
      </c>
      <c r="C1671" s="43">
        <v>10004</v>
      </c>
      <c r="D1671" t="s">
        <v>2711</v>
      </c>
      <c r="E1671" s="47" t="str">
        <f>+Cuenta_Clasificacion[[#This Row],[Código Cuenta Contable]]&amp;" - "&amp;Cuenta_Clasificacion[[#This Row],[Nombre de Cuenta Contable]]</f>
        <v>4105024 - Proyectos No Ejecutados</v>
      </c>
      <c r="F1671" s="47" t="str">
        <f>+Cuenta_Clasificacion[[#This Row],[Codigo Concepto de imputación]]&amp;" - "&amp;Cuenta_Clasificacion[[#This Row],[Nombre Concepto de imputación]]</f>
        <v>10004 - Aislación</v>
      </c>
    </row>
    <row r="1672" spans="1:6" x14ac:dyDescent="0.25">
      <c r="A1672" s="43">
        <v>4105024</v>
      </c>
      <c r="B1672" t="s">
        <v>210</v>
      </c>
      <c r="C1672" s="43">
        <v>10005</v>
      </c>
      <c r="D1672" t="s">
        <v>2712</v>
      </c>
      <c r="E1672" s="47" t="str">
        <f>+Cuenta_Clasificacion[[#This Row],[Código Cuenta Contable]]&amp;" - "&amp;Cuenta_Clasificacion[[#This Row],[Nombre de Cuenta Contable]]</f>
        <v>4105024 - Proyectos No Ejecutados</v>
      </c>
      <c r="F1672" s="47" t="str">
        <f>+Cuenta_Clasificacion[[#This Row],[Codigo Concepto de imputación]]&amp;" - "&amp;Cuenta_Clasificacion[[#This Row],[Nombre Concepto de imputación]]</f>
        <v>10005 - Alambre</v>
      </c>
    </row>
    <row r="1673" spans="1:6" x14ac:dyDescent="0.25">
      <c r="A1673" s="43">
        <v>4105024</v>
      </c>
      <c r="B1673" t="s">
        <v>210</v>
      </c>
      <c r="C1673" s="43">
        <v>10006</v>
      </c>
      <c r="D1673" t="s">
        <v>2713</v>
      </c>
      <c r="E1673" s="47" t="str">
        <f>+Cuenta_Clasificacion[[#This Row],[Código Cuenta Contable]]&amp;" - "&amp;Cuenta_Clasificacion[[#This Row],[Nombre de Cuenta Contable]]</f>
        <v>4105024 - Proyectos No Ejecutados</v>
      </c>
      <c r="F1673" s="47" t="str">
        <f>+Cuenta_Clasificacion[[#This Row],[Codigo Concepto de imputación]]&amp;" - "&amp;Cuenta_Clasificacion[[#This Row],[Nombre Concepto de imputación]]</f>
        <v>10006 - Alcantarillado</v>
      </c>
    </row>
    <row r="1674" spans="1:6" x14ac:dyDescent="0.25">
      <c r="A1674" s="43">
        <v>4105024</v>
      </c>
      <c r="B1674" t="s">
        <v>210</v>
      </c>
      <c r="C1674" s="43">
        <v>10007</v>
      </c>
      <c r="D1674" t="s">
        <v>2714</v>
      </c>
      <c r="E1674" s="47" t="str">
        <f>+Cuenta_Clasificacion[[#This Row],[Código Cuenta Contable]]&amp;" - "&amp;Cuenta_Clasificacion[[#This Row],[Nombre de Cuenta Contable]]</f>
        <v>4105024 - Proyectos No Ejecutados</v>
      </c>
      <c r="F1674" s="47" t="str">
        <f>+Cuenta_Clasificacion[[#This Row],[Codigo Concepto de imputación]]&amp;" - "&amp;Cuenta_Clasificacion[[#This Row],[Nombre Concepto de imputación]]</f>
        <v>10007 - Alfombras</v>
      </c>
    </row>
    <row r="1675" spans="1:6" x14ac:dyDescent="0.25">
      <c r="A1675" s="43">
        <v>4105024</v>
      </c>
      <c r="B1675" t="s">
        <v>210</v>
      </c>
      <c r="C1675" s="43">
        <v>10008</v>
      </c>
      <c r="D1675" t="s">
        <v>2715</v>
      </c>
      <c r="E1675" s="47" t="str">
        <f>+Cuenta_Clasificacion[[#This Row],[Código Cuenta Contable]]&amp;" - "&amp;Cuenta_Clasificacion[[#This Row],[Nombre de Cuenta Contable]]</f>
        <v>4105024 - Proyectos No Ejecutados</v>
      </c>
      <c r="F1675" s="47" t="str">
        <f>+Cuenta_Clasificacion[[#This Row],[Codigo Concepto de imputación]]&amp;" - "&amp;Cuenta_Clasificacion[[#This Row],[Nombre Concepto de imputación]]</f>
        <v>10008 - Aluminios</v>
      </c>
    </row>
    <row r="1676" spans="1:6" x14ac:dyDescent="0.25">
      <c r="A1676" s="43">
        <v>4105024</v>
      </c>
      <c r="B1676" t="s">
        <v>210</v>
      </c>
      <c r="C1676" s="43">
        <v>10009</v>
      </c>
      <c r="D1676" t="s">
        <v>2716</v>
      </c>
      <c r="E1676" s="47" t="str">
        <f>+Cuenta_Clasificacion[[#This Row],[Código Cuenta Contable]]&amp;" - "&amp;Cuenta_Clasificacion[[#This Row],[Nombre de Cuenta Contable]]</f>
        <v>4105024 - Proyectos No Ejecutados</v>
      </c>
      <c r="F1676" s="47" t="str">
        <f>+Cuenta_Clasificacion[[#This Row],[Codigo Concepto de imputación]]&amp;" - "&amp;Cuenta_Clasificacion[[#This Row],[Nombre Concepto de imputación]]</f>
        <v>10009 - Áridos</v>
      </c>
    </row>
    <row r="1677" spans="1:6" x14ac:dyDescent="0.25">
      <c r="A1677" s="43">
        <v>4105024</v>
      </c>
      <c r="B1677" t="s">
        <v>210</v>
      </c>
      <c r="C1677" s="43">
        <v>10010</v>
      </c>
      <c r="D1677" t="s">
        <v>2717</v>
      </c>
      <c r="E1677" s="47" t="str">
        <f>+Cuenta_Clasificacion[[#This Row],[Código Cuenta Contable]]&amp;" - "&amp;Cuenta_Clasificacion[[#This Row],[Nombre de Cuenta Contable]]</f>
        <v>4105024 - Proyectos No Ejecutados</v>
      </c>
      <c r="F1677" s="47" t="str">
        <f>+Cuenta_Clasificacion[[#This Row],[Codigo Concepto de imputación]]&amp;" - "&amp;Cuenta_Clasificacion[[#This Row],[Nombre Concepto de imputación]]</f>
        <v>10010 - Artículos Eléctricos</v>
      </c>
    </row>
    <row r="1678" spans="1:6" x14ac:dyDescent="0.25">
      <c r="A1678" s="43">
        <v>4105024</v>
      </c>
      <c r="B1678" t="s">
        <v>210</v>
      </c>
      <c r="C1678" s="43">
        <v>10011</v>
      </c>
      <c r="D1678" t="s">
        <v>2718</v>
      </c>
      <c r="E1678" s="47" t="str">
        <f>+Cuenta_Clasificacion[[#This Row],[Código Cuenta Contable]]&amp;" - "&amp;Cuenta_Clasificacion[[#This Row],[Nombre de Cuenta Contable]]</f>
        <v>4105024 - Proyectos No Ejecutados</v>
      </c>
      <c r="F1678" s="47" t="str">
        <f>+Cuenta_Clasificacion[[#This Row],[Codigo Concepto de imputación]]&amp;" - "&amp;Cuenta_Clasificacion[[#This Row],[Nombre Concepto de imputación]]</f>
        <v>10011 - Artículos Gas</v>
      </c>
    </row>
    <row r="1679" spans="1:6" x14ac:dyDescent="0.25">
      <c r="A1679" s="43">
        <v>4105024</v>
      </c>
      <c r="B1679" t="s">
        <v>210</v>
      </c>
      <c r="C1679" s="43">
        <v>10012</v>
      </c>
      <c r="D1679" t="s">
        <v>2719</v>
      </c>
      <c r="E1679" s="47" t="str">
        <f>+Cuenta_Clasificacion[[#This Row],[Código Cuenta Contable]]&amp;" - "&amp;Cuenta_Clasificacion[[#This Row],[Nombre de Cuenta Contable]]</f>
        <v>4105024 - Proyectos No Ejecutados</v>
      </c>
      <c r="F1679" s="47" t="str">
        <f>+Cuenta_Clasificacion[[#This Row],[Codigo Concepto de imputación]]&amp;" - "&amp;Cuenta_Clasificacion[[#This Row],[Nombre Concepto de imputación]]</f>
        <v>10012 - Artículos Sanitarios</v>
      </c>
    </row>
    <row r="1680" spans="1:6" x14ac:dyDescent="0.25">
      <c r="A1680" s="43">
        <v>4105024</v>
      </c>
      <c r="B1680" t="s">
        <v>210</v>
      </c>
      <c r="C1680" s="43">
        <v>10013</v>
      </c>
      <c r="D1680" t="s">
        <v>2720</v>
      </c>
      <c r="E1680" s="47" t="str">
        <f>+Cuenta_Clasificacion[[#This Row],[Código Cuenta Contable]]&amp;" - "&amp;Cuenta_Clasificacion[[#This Row],[Nombre de Cuenta Contable]]</f>
        <v>4105024 - Proyectos No Ejecutados</v>
      </c>
      <c r="F1680" s="47" t="str">
        <f>+Cuenta_Clasificacion[[#This Row],[Codigo Concepto de imputación]]&amp;" - "&amp;Cuenta_Clasificacion[[#This Row],[Nombre Concepto de imputación]]</f>
        <v>10013 - Cables</v>
      </c>
    </row>
    <row r="1681" spans="1:6" x14ac:dyDescent="0.25">
      <c r="A1681" s="43">
        <v>4105024</v>
      </c>
      <c r="B1681" t="s">
        <v>210</v>
      </c>
      <c r="C1681" s="43">
        <v>10014</v>
      </c>
      <c r="D1681" t="s">
        <v>2721</v>
      </c>
      <c r="E1681" s="47" t="str">
        <f>+Cuenta_Clasificacion[[#This Row],[Código Cuenta Contable]]&amp;" - "&amp;Cuenta_Clasificacion[[#This Row],[Nombre de Cuenta Contable]]</f>
        <v>4105024 - Proyectos No Ejecutados</v>
      </c>
      <c r="F1681" s="47" t="str">
        <f>+Cuenta_Clasificacion[[#This Row],[Codigo Concepto de imputación]]&amp;" - "&amp;Cuenta_Clasificacion[[#This Row],[Nombre Concepto de imputación]]</f>
        <v>10014 - Cadenas</v>
      </c>
    </row>
    <row r="1682" spans="1:6" x14ac:dyDescent="0.25">
      <c r="A1682" s="43">
        <v>4105024</v>
      </c>
      <c r="B1682" t="s">
        <v>210</v>
      </c>
      <c r="C1682" s="43">
        <v>10015</v>
      </c>
      <c r="D1682" t="s">
        <v>2722</v>
      </c>
      <c r="E1682" s="47" t="str">
        <f>+Cuenta_Clasificacion[[#This Row],[Código Cuenta Contable]]&amp;" - "&amp;Cuenta_Clasificacion[[#This Row],[Nombre de Cuenta Contable]]</f>
        <v>4105024 - Proyectos No Ejecutados</v>
      </c>
      <c r="F1682" s="47" t="str">
        <f>+Cuenta_Clasificacion[[#This Row],[Codigo Concepto de imputación]]&amp;" - "&amp;Cuenta_Clasificacion[[#This Row],[Nombre Concepto de imputación]]</f>
        <v>10015 - Cañerías Acero</v>
      </c>
    </row>
    <row r="1683" spans="1:6" x14ac:dyDescent="0.25">
      <c r="A1683" s="43">
        <v>4105024</v>
      </c>
      <c r="B1683" t="s">
        <v>210</v>
      </c>
      <c r="C1683" s="43">
        <v>10016</v>
      </c>
      <c r="D1683" t="s">
        <v>2723</v>
      </c>
      <c r="E1683" s="47" t="str">
        <f>+Cuenta_Clasificacion[[#This Row],[Código Cuenta Contable]]&amp;" - "&amp;Cuenta_Clasificacion[[#This Row],[Nombre de Cuenta Contable]]</f>
        <v>4105024 - Proyectos No Ejecutados</v>
      </c>
      <c r="F1683" s="47" t="str">
        <f>+Cuenta_Clasificacion[[#This Row],[Codigo Concepto de imputación]]&amp;" - "&amp;Cuenta_Clasificacion[[#This Row],[Nombre Concepto de imputación]]</f>
        <v>10016 - Cañerías Cobre</v>
      </c>
    </row>
    <row r="1684" spans="1:6" x14ac:dyDescent="0.25">
      <c r="A1684" s="43">
        <v>4105024</v>
      </c>
      <c r="B1684" t="s">
        <v>210</v>
      </c>
      <c r="C1684" s="43">
        <v>10017</v>
      </c>
      <c r="D1684" t="s">
        <v>2724</v>
      </c>
      <c r="E1684" s="47" t="str">
        <f>+Cuenta_Clasificacion[[#This Row],[Código Cuenta Contable]]&amp;" - "&amp;Cuenta_Clasificacion[[#This Row],[Nombre de Cuenta Contable]]</f>
        <v>4105024 - Proyectos No Ejecutados</v>
      </c>
      <c r="F1684" s="47" t="str">
        <f>+Cuenta_Clasificacion[[#This Row],[Codigo Concepto de imputación]]&amp;" - "&amp;Cuenta_Clasificacion[[#This Row],[Nombre Concepto de imputación]]</f>
        <v>10017 - Cañerías PVC</v>
      </c>
    </row>
    <row r="1685" spans="1:6" x14ac:dyDescent="0.25">
      <c r="A1685" s="43">
        <v>4105024</v>
      </c>
      <c r="B1685" t="s">
        <v>210</v>
      </c>
      <c r="C1685" s="43">
        <v>10018</v>
      </c>
      <c r="D1685" t="s">
        <v>2725</v>
      </c>
      <c r="E1685" s="47" t="str">
        <f>+Cuenta_Clasificacion[[#This Row],[Código Cuenta Contable]]&amp;" - "&amp;Cuenta_Clasificacion[[#This Row],[Nombre de Cuenta Contable]]</f>
        <v>4105024 - Proyectos No Ejecutados</v>
      </c>
      <c r="F1685" s="47" t="str">
        <f>+Cuenta_Clasificacion[[#This Row],[Codigo Concepto de imputación]]&amp;" - "&amp;Cuenta_Clasificacion[[#This Row],[Nombre Concepto de imputación]]</f>
        <v>10018 - Cementos</v>
      </c>
    </row>
    <row r="1686" spans="1:6" x14ac:dyDescent="0.25">
      <c r="A1686" s="43">
        <v>4105024</v>
      </c>
      <c r="B1686" t="s">
        <v>210</v>
      </c>
      <c r="C1686" s="43">
        <v>10019</v>
      </c>
      <c r="D1686" t="s">
        <v>2726</v>
      </c>
      <c r="E1686" s="47" t="str">
        <f>+Cuenta_Clasificacion[[#This Row],[Código Cuenta Contable]]&amp;" - "&amp;Cuenta_Clasificacion[[#This Row],[Nombre de Cuenta Contable]]</f>
        <v>4105024 - Proyectos No Ejecutados</v>
      </c>
      <c r="F1686" s="47" t="str">
        <f>+Cuenta_Clasificacion[[#This Row],[Codigo Concepto de imputación]]&amp;" - "&amp;Cuenta_Clasificacion[[#This Row],[Nombre Concepto de imputación]]</f>
        <v>10019 - Cerámicos y Baldosas</v>
      </c>
    </row>
    <row r="1687" spans="1:6" x14ac:dyDescent="0.25">
      <c r="A1687" s="43">
        <v>4105024</v>
      </c>
      <c r="B1687" t="s">
        <v>210</v>
      </c>
      <c r="C1687" s="43">
        <v>10020</v>
      </c>
      <c r="D1687" t="s">
        <v>2727</v>
      </c>
      <c r="E1687" s="47" t="str">
        <f>+Cuenta_Clasificacion[[#This Row],[Código Cuenta Contable]]&amp;" - "&amp;Cuenta_Clasificacion[[#This Row],[Nombre de Cuenta Contable]]</f>
        <v>4105024 - Proyectos No Ejecutados</v>
      </c>
      <c r="F1687" s="47" t="str">
        <f>+Cuenta_Clasificacion[[#This Row],[Codigo Concepto de imputación]]&amp;" - "&amp;Cuenta_Clasificacion[[#This Row],[Nombre Concepto de imputación]]</f>
        <v>10020 - Cielo Modular</v>
      </c>
    </row>
    <row r="1688" spans="1:6" x14ac:dyDescent="0.25">
      <c r="A1688" s="43">
        <v>4105024</v>
      </c>
      <c r="B1688" t="s">
        <v>210</v>
      </c>
      <c r="C1688" s="43">
        <v>10021</v>
      </c>
      <c r="D1688" t="s">
        <v>2728</v>
      </c>
      <c r="E1688" s="47" t="str">
        <f>+Cuenta_Clasificacion[[#This Row],[Código Cuenta Contable]]&amp;" - "&amp;Cuenta_Clasificacion[[#This Row],[Nombre de Cuenta Contable]]</f>
        <v>4105024 - Proyectos No Ejecutados</v>
      </c>
      <c r="F1688" s="47" t="str">
        <f>+Cuenta_Clasificacion[[#This Row],[Codigo Concepto de imputación]]&amp;" - "&amp;Cuenta_Clasificacion[[#This Row],[Nombre Concepto de imputación]]</f>
        <v>10021 - Cierros</v>
      </c>
    </row>
    <row r="1689" spans="1:6" x14ac:dyDescent="0.25">
      <c r="A1689" s="43">
        <v>4105024</v>
      </c>
      <c r="B1689" t="s">
        <v>210</v>
      </c>
      <c r="C1689" s="43">
        <v>10022</v>
      </c>
      <c r="D1689" t="s">
        <v>2729</v>
      </c>
      <c r="E1689" s="47" t="str">
        <f>+Cuenta_Clasificacion[[#This Row],[Código Cuenta Contable]]&amp;" - "&amp;Cuenta_Clasificacion[[#This Row],[Nombre de Cuenta Contable]]</f>
        <v>4105024 - Proyectos No Ejecutados</v>
      </c>
      <c r="F1689" s="47" t="str">
        <f>+Cuenta_Clasificacion[[#This Row],[Codigo Concepto de imputación]]&amp;" - "&amp;Cuenta_Clasificacion[[#This Row],[Nombre Concepto de imputación]]</f>
        <v>10022 - Combustibles</v>
      </c>
    </row>
    <row r="1690" spans="1:6" x14ac:dyDescent="0.25">
      <c r="A1690" s="43">
        <v>4105024</v>
      </c>
      <c r="B1690" t="s">
        <v>210</v>
      </c>
      <c r="C1690" s="43">
        <v>10023</v>
      </c>
      <c r="D1690" t="s">
        <v>2730</v>
      </c>
      <c r="E1690" s="47" t="str">
        <f>+Cuenta_Clasificacion[[#This Row],[Código Cuenta Contable]]&amp;" - "&amp;Cuenta_Clasificacion[[#This Row],[Nombre de Cuenta Contable]]</f>
        <v>4105024 - Proyectos No Ejecutados</v>
      </c>
      <c r="F1690" s="47" t="str">
        <f>+Cuenta_Clasificacion[[#This Row],[Codigo Concepto de imputación]]&amp;" - "&amp;Cuenta_Clasificacion[[#This Row],[Nombre Concepto de imputación]]</f>
        <v>10023 - Cubrejuntas y Dilataciones</v>
      </c>
    </row>
    <row r="1691" spans="1:6" x14ac:dyDescent="0.25">
      <c r="A1691" s="43">
        <v>4105024</v>
      </c>
      <c r="B1691" t="s">
        <v>210</v>
      </c>
      <c r="C1691" s="43">
        <v>10024</v>
      </c>
      <c r="D1691" t="s">
        <v>2731</v>
      </c>
      <c r="E1691" s="47" t="str">
        <f>+Cuenta_Clasificacion[[#This Row],[Código Cuenta Contable]]&amp;" - "&amp;Cuenta_Clasificacion[[#This Row],[Nombre de Cuenta Contable]]</f>
        <v>4105024 - Proyectos No Ejecutados</v>
      </c>
      <c r="F1691" s="47" t="str">
        <f>+Cuenta_Clasificacion[[#This Row],[Codigo Concepto de imputación]]&amp;" - "&amp;Cuenta_Clasificacion[[#This Row],[Nombre Concepto de imputación]]</f>
        <v>10024 - Dren</v>
      </c>
    </row>
    <row r="1692" spans="1:6" x14ac:dyDescent="0.25">
      <c r="A1692" s="43">
        <v>4105024</v>
      </c>
      <c r="B1692" t="s">
        <v>210</v>
      </c>
      <c r="C1692" s="43">
        <v>10025</v>
      </c>
      <c r="D1692" t="s">
        <v>2732</v>
      </c>
      <c r="E1692" s="47" t="str">
        <f>+Cuenta_Clasificacion[[#This Row],[Código Cuenta Contable]]&amp;" - "&amp;Cuenta_Clasificacion[[#This Row],[Nombre de Cuenta Contable]]</f>
        <v>4105024 - Proyectos No Ejecutados</v>
      </c>
      <c r="F1692" s="47" t="str">
        <f>+Cuenta_Clasificacion[[#This Row],[Codigo Concepto de imputación]]&amp;" - "&amp;Cuenta_Clasificacion[[#This Row],[Nombre Concepto de imputación]]</f>
        <v>10025 - Elementos Seguridad</v>
      </c>
    </row>
    <row r="1693" spans="1:6" x14ac:dyDescent="0.25">
      <c r="A1693" s="43">
        <v>4105024</v>
      </c>
      <c r="B1693" t="s">
        <v>210</v>
      </c>
      <c r="C1693" s="43">
        <v>10026</v>
      </c>
      <c r="D1693" t="s">
        <v>2733</v>
      </c>
      <c r="E1693" s="47" t="str">
        <f>+Cuenta_Clasificacion[[#This Row],[Código Cuenta Contable]]&amp;" - "&amp;Cuenta_Clasificacion[[#This Row],[Nombre de Cuenta Contable]]</f>
        <v>4105024 - Proyectos No Ejecutados</v>
      </c>
      <c r="F1693" s="47" t="str">
        <f>+Cuenta_Clasificacion[[#This Row],[Codigo Concepto de imputación]]&amp;" - "&amp;Cuenta_Clasificacion[[#This Row],[Nombre Concepto de imputación]]</f>
        <v>10026 - Ensayos</v>
      </c>
    </row>
    <row r="1694" spans="1:6" x14ac:dyDescent="0.25">
      <c r="A1694" s="43">
        <v>4105024</v>
      </c>
      <c r="B1694" t="s">
        <v>210</v>
      </c>
      <c r="C1694" s="43">
        <v>10027</v>
      </c>
      <c r="D1694" t="s">
        <v>2734</v>
      </c>
      <c r="E1694" s="47" t="str">
        <f>+Cuenta_Clasificacion[[#This Row],[Código Cuenta Contable]]&amp;" - "&amp;Cuenta_Clasificacion[[#This Row],[Nombre de Cuenta Contable]]</f>
        <v>4105024 - Proyectos No Ejecutados</v>
      </c>
      <c r="F1694" s="47" t="str">
        <f>+Cuenta_Clasificacion[[#This Row],[Codigo Concepto de imputación]]&amp;" - "&amp;Cuenta_Clasificacion[[#This Row],[Nombre Concepto de imputación]]</f>
        <v>10027 - Eq Comp/Eléct Oficina</v>
      </c>
    </row>
    <row r="1695" spans="1:6" x14ac:dyDescent="0.25">
      <c r="A1695" s="43">
        <v>4105024</v>
      </c>
      <c r="B1695" t="s">
        <v>210</v>
      </c>
      <c r="C1695" s="43">
        <v>10028</v>
      </c>
      <c r="D1695" t="s">
        <v>2696</v>
      </c>
      <c r="E1695" s="47" t="str">
        <f>+Cuenta_Clasificacion[[#This Row],[Código Cuenta Contable]]&amp;" - "&amp;Cuenta_Clasificacion[[#This Row],[Nombre de Cuenta Contable]]</f>
        <v>4105024 - Proyectos No Ejecutados</v>
      </c>
      <c r="F1695" s="47" t="str">
        <f>+Cuenta_Clasificacion[[#This Row],[Codigo Concepto de imputación]]&amp;" - "&amp;Cuenta_Clasificacion[[#This Row],[Nombre Concepto de imputación]]</f>
        <v>10028 - Equipamiento</v>
      </c>
    </row>
    <row r="1696" spans="1:6" x14ac:dyDescent="0.25">
      <c r="A1696" s="43">
        <v>4105024</v>
      </c>
      <c r="B1696" t="s">
        <v>210</v>
      </c>
      <c r="C1696" s="43">
        <v>10029</v>
      </c>
      <c r="D1696" t="s">
        <v>2735</v>
      </c>
      <c r="E1696" s="47" t="str">
        <f>+Cuenta_Clasificacion[[#This Row],[Código Cuenta Contable]]&amp;" - "&amp;Cuenta_Clasificacion[[#This Row],[Nombre de Cuenta Contable]]</f>
        <v>4105024 - Proyectos No Ejecutados</v>
      </c>
      <c r="F1696" s="47" t="str">
        <f>+Cuenta_Clasificacion[[#This Row],[Codigo Concepto de imputación]]&amp;" - "&amp;Cuenta_Clasificacion[[#This Row],[Nombre Concepto de imputación]]</f>
        <v>10029 - Estructura Volcometal</v>
      </c>
    </row>
    <row r="1697" spans="1:6" x14ac:dyDescent="0.25">
      <c r="A1697" s="43">
        <v>4105024</v>
      </c>
      <c r="B1697" t="s">
        <v>210</v>
      </c>
      <c r="C1697" s="43">
        <v>10030</v>
      </c>
      <c r="D1697" t="s">
        <v>2736</v>
      </c>
      <c r="E1697" s="47" t="str">
        <f>+Cuenta_Clasificacion[[#This Row],[Código Cuenta Contable]]&amp;" - "&amp;Cuenta_Clasificacion[[#This Row],[Nombre de Cuenta Contable]]</f>
        <v>4105024 - Proyectos No Ejecutados</v>
      </c>
      <c r="F1697" s="47" t="str">
        <f>+Cuenta_Clasificacion[[#This Row],[Codigo Concepto de imputación]]&amp;" - "&amp;Cuenta_Clasificacion[[#This Row],[Nombre Concepto de imputación]]</f>
        <v>10030 - Eventos y Recreac. Obra</v>
      </c>
    </row>
    <row r="1698" spans="1:6" x14ac:dyDescent="0.25">
      <c r="A1698" s="43">
        <v>4105024</v>
      </c>
      <c r="B1698" t="s">
        <v>210</v>
      </c>
      <c r="C1698" s="43">
        <v>10031</v>
      </c>
      <c r="D1698" t="s">
        <v>2737</v>
      </c>
      <c r="E1698" s="47" t="str">
        <f>+Cuenta_Clasificacion[[#This Row],[Código Cuenta Contable]]&amp;" - "&amp;Cuenta_Clasificacion[[#This Row],[Nombre de Cuenta Contable]]</f>
        <v>4105024 - Proyectos No Ejecutados</v>
      </c>
      <c r="F1698" s="47" t="str">
        <f>+Cuenta_Clasificacion[[#This Row],[Codigo Concepto de imputación]]&amp;" - "&amp;Cuenta_Clasificacion[[#This Row],[Nombre Concepto de imputación]]</f>
        <v>10031 - Extracción Basura y Escombros</v>
      </c>
    </row>
    <row r="1699" spans="1:6" x14ac:dyDescent="0.25">
      <c r="A1699" s="43">
        <v>4105024</v>
      </c>
      <c r="B1699" t="s">
        <v>210</v>
      </c>
      <c r="C1699" s="43">
        <v>10032</v>
      </c>
      <c r="D1699" t="s">
        <v>2738</v>
      </c>
      <c r="E1699" s="47" t="str">
        <f>+Cuenta_Clasificacion[[#This Row],[Código Cuenta Contable]]&amp;" - "&amp;Cuenta_Clasificacion[[#This Row],[Nombre de Cuenta Contable]]</f>
        <v>4105024 - Proyectos No Ejecutados</v>
      </c>
      <c r="F1699" s="47" t="str">
        <f>+Cuenta_Clasificacion[[#This Row],[Codigo Concepto de imputación]]&amp;" - "&amp;Cuenta_Clasificacion[[#This Row],[Nombre Concepto de imputación]]</f>
        <v>10032 - Fieltros y Barreras</v>
      </c>
    </row>
    <row r="1700" spans="1:6" x14ac:dyDescent="0.25">
      <c r="A1700" s="43">
        <v>4105024</v>
      </c>
      <c r="B1700" t="s">
        <v>210</v>
      </c>
      <c r="C1700" s="43">
        <v>10033</v>
      </c>
      <c r="D1700" t="s">
        <v>2739</v>
      </c>
      <c r="E1700" s="47" t="str">
        <f>+Cuenta_Clasificacion[[#This Row],[Código Cuenta Contable]]&amp;" - "&amp;Cuenta_Clasificacion[[#This Row],[Nombre de Cuenta Contable]]</f>
        <v>4105024 - Proyectos No Ejecutados</v>
      </c>
      <c r="F1700" s="47" t="str">
        <f>+Cuenta_Clasificacion[[#This Row],[Codigo Concepto de imputación]]&amp;" - "&amp;Cuenta_Clasificacion[[#This Row],[Nombre Concepto de imputación]]</f>
        <v>10033 - Fierro</v>
      </c>
    </row>
    <row r="1701" spans="1:6" x14ac:dyDescent="0.25">
      <c r="A1701" s="43">
        <v>4105024</v>
      </c>
      <c r="B1701" t="s">
        <v>210</v>
      </c>
      <c r="C1701" s="43">
        <v>10034</v>
      </c>
      <c r="D1701" t="s">
        <v>2740</v>
      </c>
      <c r="E1701" s="47" t="str">
        <f>+Cuenta_Clasificacion[[#This Row],[Código Cuenta Contable]]&amp;" - "&amp;Cuenta_Clasificacion[[#This Row],[Nombre de Cuenta Contable]]</f>
        <v>4105024 - Proyectos No Ejecutados</v>
      </c>
      <c r="F1701" s="47" t="str">
        <f>+Cuenta_Clasificacion[[#This Row],[Codigo Concepto de imputación]]&amp;" - "&amp;Cuenta_Clasificacion[[#This Row],[Nombre Concepto de imputación]]</f>
        <v>10034 - Fierro Redondo Liso</v>
      </c>
    </row>
    <row r="1702" spans="1:6" x14ac:dyDescent="0.25">
      <c r="A1702" s="43">
        <v>4105024</v>
      </c>
      <c r="B1702" t="s">
        <v>210</v>
      </c>
      <c r="C1702" s="43">
        <v>10035</v>
      </c>
      <c r="D1702" t="s">
        <v>2741</v>
      </c>
      <c r="E1702" s="47" t="str">
        <f>+Cuenta_Clasificacion[[#This Row],[Código Cuenta Contable]]&amp;" - "&amp;Cuenta_Clasificacion[[#This Row],[Nombre de Cuenta Contable]]</f>
        <v>4105024 - Proyectos No Ejecutados</v>
      </c>
      <c r="F1702" s="47" t="str">
        <f>+Cuenta_Clasificacion[[#This Row],[Codigo Concepto de imputación]]&amp;" - "&amp;Cuenta_Clasificacion[[#This Row],[Nombre Concepto de imputación]]</f>
        <v>10035 - Fijaciones</v>
      </c>
    </row>
    <row r="1703" spans="1:6" x14ac:dyDescent="0.25">
      <c r="A1703" s="43">
        <v>4105024</v>
      </c>
      <c r="B1703" t="s">
        <v>210</v>
      </c>
      <c r="C1703" s="43">
        <v>10036</v>
      </c>
      <c r="D1703" t="s">
        <v>2742</v>
      </c>
      <c r="E1703" s="47" t="str">
        <f>+Cuenta_Clasificacion[[#This Row],[Código Cuenta Contable]]&amp;" - "&amp;Cuenta_Clasificacion[[#This Row],[Nombre de Cuenta Contable]]</f>
        <v>4105024 - Proyectos No Ejecutados</v>
      </c>
      <c r="F1703" s="47" t="str">
        <f>+Cuenta_Clasificacion[[#This Row],[Codigo Concepto de imputación]]&amp;" - "&amp;Cuenta_Clasificacion[[#This Row],[Nombre Concepto de imputación]]</f>
        <v>10036 - Fitting</v>
      </c>
    </row>
    <row r="1704" spans="1:6" x14ac:dyDescent="0.25">
      <c r="A1704" s="43">
        <v>4105024</v>
      </c>
      <c r="B1704" t="s">
        <v>210</v>
      </c>
      <c r="C1704" s="43">
        <v>10037</v>
      </c>
      <c r="D1704" t="s">
        <v>2743</v>
      </c>
      <c r="E1704" s="47" t="str">
        <f>+Cuenta_Clasificacion[[#This Row],[Código Cuenta Contable]]&amp;" - "&amp;Cuenta_Clasificacion[[#This Row],[Nombre de Cuenta Contable]]</f>
        <v>4105024 - Proyectos No Ejecutados</v>
      </c>
      <c r="F1704" s="47" t="str">
        <f>+Cuenta_Clasificacion[[#This Row],[Codigo Concepto de imputación]]&amp;" - "&amp;Cuenta_Clasificacion[[#This Row],[Nombre Concepto de imputación]]</f>
        <v>10037 - Flete Perfiles</v>
      </c>
    </row>
    <row r="1705" spans="1:6" x14ac:dyDescent="0.25">
      <c r="A1705" s="43">
        <v>4105024</v>
      </c>
      <c r="B1705" t="s">
        <v>210</v>
      </c>
      <c r="C1705" s="43">
        <v>10038</v>
      </c>
      <c r="D1705" t="s">
        <v>2697</v>
      </c>
      <c r="E1705" s="47" t="str">
        <f>+Cuenta_Clasificacion[[#This Row],[Código Cuenta Contable]]&amp;" - "&amp;Cuenta_Clasificacion[[#This Row],[Nombre de Cuenta Contable]]</f>
        <v>4105024 - Proyectos No Ejecutados</v>
      </c>
      <c r="F1705" s="47" t="str">
        <f>+Cuenta_Clasificacion[[#This Row],[Codigo Concepto de imputación]]&amp;" - "&amp;Cuenta_Clasificacion[[#This Row],[Nombre Concepto de imputación]]</f>
        <v>10038 - Fletes (por orden de compra)</v>
      </c>
    </row>
    <row r="1706" spans="1:6" x14ac:dyDescent="0.25">
      <c r="A1706" s="43">
        <v>4105024</v>
      </c>
      <c r="B1706" t="s">
        <v>210</v>
      </c>
      <c r="C1706" s="43">
        <v>10039</v>
      </c>
      <c r="D1706" t="s">
        <v>2744</v>
      </c>
      <c r="E1706" s="47" t="str">
        <f>+Cuenta_Clasificacion[[#This Row],[Código Cuenta Contable]]&amp;" - "&amp;Cuenta_Clasificacion[[#This Row],[Nombre de Cuenta Contable]]</f>
        <v>4105024 - Proyectos No Ejecutados</v>
      </c>
      <c r="F1706" s="47" t="str">
        <f>+Cuenta_Clasificacion[[#This Row],[Codigo Concepto de imputación]]&amp;" - "&amp;Cuenta_Clasificacion[[#This Row],[Nombre Concepto de imputación]]</f>
        <v>10039 - Grifería</v>
      </c>
    </row>
    <row r="1707" spans="1:6" x14ac:dyDescent="0.25">
      <c r="A1707" s="43">
        <v>4105024</v>
      </c>
      <c r="B1707" t="s">
        <v>210</v>
      </c>
      <c r="C1707" s="43">
        <v>10040</v>
      </c>
      <c r="D1707" t="s">
        <v>2745</v>
      </c>
      <c r="E1707" s="47" t="str">
        <f>+Cuenta_Clasificacion[[#This Row],[Código Cuenta Contable]]&amp;" - "&amp;Cuenta_Clasificacion[[#This Row],[Nombre de Cuenta Contable]]</f>
        <v>4105024 - Proyectos No Ejecutados</v>
      </c>
      <c r="F1707" s="47" t="str">
        <f>+Cuenta_Clasificacion[[#This Row],[Codigo Concepto de imputación]]&amp;" - "&amp;Cuenta_Clasificacion[[#This Row],[Nombre Concepto de imputación]]</f>
        <v>10040 - Herramientas</v>
      </c>
    </row>
    <row r="1708" spans="1:6" x14ac:dyDescent="0.25">
      <c r="A1708" s="43">
        <v>4105024</v>
      </c>
      <c r="B1708" t="s">
        <v>210</v>
      </c>
      <c r="C1708" s="43">
        <v>10041</v>
      </c>
      <c r="D1708" t="s">
        <v>2746</v>
      </c>
      <c r="E1708" s="47" t="str">
        <f>+Cuenta_Clasificacion[[#This Row],[Código Cuenta Contable]]&amp;" - "&amp;Cuenta_Clasificacion[[#This Row],[Nombre de Cuenta Contable]]</f>
        <v>4105024 - Proyectos No Ejecutados</v>
      </c>
      <c r="F1708" s="47" t="str">
        <f>+Cuenta_Clasificacion[[#This Row],[Codigo Concepto de imputación]]&amp;" - "&amp;Cuenta_Clasificacion[[#This Row],[Nombre Concepto de imputación]]</f>
        <v>10041 - Hojalatería y Techumbres</v>
      </c>
    </row>
    <row r="1709" spans="1:6" x14ac:dyDescent="0.25">
      <c r="A1709" s="43">
        <v>4105024</v>
      </c>
      <c r="B1709" t="s">
        <v>210</v>
      </c>
      <c r="C1709" s="43">
        <v>10042</v>
      </c>
      <c r="D1709" t="s">
        <v>2698</v>
      </c>
      <c r="E1709" s="47" t="str">
        <f>+Cuenta_Clasificacion[[#This Row],[Código Cuenta Contable]]&amp;" - "&amp;Cuenta_Clasificacion[[#This Row],[Nombre de Cuenta Contable]]</f>
        <v>4105024 - Proyectos No Ejecutados</v>
      </c>
      <c r="F1709" s="47" t="str">
        <f>+Cuenta_Clasificacion[[#This Row],[Codigo Concepto de imputación]]&amp;" - "&amp;Cuenta_Clasificacion[[#This Row],[Nombre Concepto de imputación]]</f>
        <v>10042 - Hormigones</v>
      </c>
    </row>
    <row r="1710" spans="1:6" x14ac:dyDescent="0.25">
      <c r="A1710" s="43">
        <v>4105024</v>
      </c>
      <c r="B1710" t="s">
        <v>210</v>
      </c>
      <c r="C1710" s="43">
        <v>10043</v>
      </c>
      <c r="D1710" t="s">
        <v>2747</v>
      </c>
      <c r="E1710" s="47" t="str">
        <f>+Cuenta_Clasificacion[[#This Row],[Código Cuenta Contable]]&amp;" - "&amp;Cuenta_Clasificacion[[#This Row],[Nombre de Cuenta Contable]]</f>
        <v>4105024 - Proyectos No Ejecutados</v>
      </c>
      <c r="F1710" s="47" t="str">
        <f>+Cuenta_Clasificacion[[#This Row],[Codigo Concepto de imputación]]&amp;" - "&amp;Cuenta_Clasificacion[[#This Row],[Nombre Concepto de imputación]]</f>
        <v>10043 - Hta Menor</v>
      </c>
    </row>
    <row r="1711" spans="1:6" x14ac:dyDescent="0.25">
      <c r="A1711" s="43">
        <v>4105024</v>
      </c>
      <c r="B1711" t="s">
        <v>210</v>
      </c>
      <c r="C1711" s="43">
        <v>10044</v>
      </c>
      <c r="D1711" t="s">
        <v>2748</v>
      </c>
      <c r="E1711" s="47" t="str">
        <f>+Cuenta_Clasificacion[[#This Row],[Código Cuenta Contable]]&amp;" - "&amp;Cuenta_Clasificacion[[#This Row],[Nombre de Cuenta Contable]]</f>
        <v>4105024 - Proyectos No Ejecutados</v>
      </c>
      <c r="F1711" s="47" t="str">
        <f>+Cuenta_Clasificacion[[#This Row],[Codigo Concepto de imputación]]&amp;" - "&amp;Cuenta_Clasificacion[[#This Row],[Nombre Concepto de imputación]]</f>
        <v>10044 - Incendio y Alarmas</v>
      </c>
    </row>
    <row r="1712" spans="1:6" x14ac:dyDescent="0.25">
      <c r="A1712" s="43">
        <v>4105024</v>
      </c>
      <c r="B1712" t="s">
        <v>210</v>
      </c>
      <c r="C1712" s="43">
        <v>10045</v>
      </c>
      <c r="D1712" t="s">
        <v>2749</v>
      </c>
      <c r="E1712" s="47" t="str">
        <f>+Cuenta_Clasificacion[[#This Row],[Código Cuenta Contable]]&amp;" - "&amp;Cuenta_Clasificacion[[#This Row],[Nombre de Cuenta Contable]]</f>
        <v>4105024 - Proyectos No Ejecutados</v>
      </c>
      <c r="F1712" s="47" t="str">
        <f>+Cuenta_Clasificacion[[#This Row],[Codigo Concepto de imputación]]&amp;" - "&amp;Cuenta_Clasificacion[[#This Row],[Nombre Concepto de imputación]]</f>
        <v>10045 - Insumos</v>
      </c>
    </row>
    <row r="1713" spans="1:6" x14ac:dyDescent="0.25">
      <c r="A1713" s="43">
        <v>4105024</v>
      </c>
      <c r="B1713" t="s">
        <v>210</v>
      </c>
      <c r="C1713" s="43">
        <v>10046</v>
      </c>
      <c r="D1713" t="s">
        <v>2750</v>
      </c>
      <c r="E1713" s="47" t="str">
        <f>+Cuenta_Clasificacion[[#This Row],[Código Cuenta Contable]]&amp;" - "&amp;Cuenta_Clasificacion[[#This Row],[Nombre de Cuenta Contable]]</f>
        <v>4105024 - Proyectos No Ejecutados</v>
      </c>
      <c r="F1713" s="47" t="str">
        <f>+Cuenta_Clasificacion[[#This Row],[Codigo Concepto de imputación]]&amp;" - "&amp;Cuenta_Clasificacion[[#This Row],[Nombre Concepto de imputación]]</f>
        <v>10046 - Izaje</v>
      </c>
    </row>
    <row r="1714" spans="1:6" x14ac:dyDescent="0.25">
      <c r="A1714" s="43">
        <v>4105024</v>
      </c>
      <c r="B1714" t="s">
        <v>210</v>
      </c>
      <c r="C1714" s="43">
        <v>10047</v>
      </c>
      <c r="D1714" t="s">
        <v>2751</v>
      </c>
      <c r="E1714" s="47" t="str">
        <f>+Cuenta_Clasificacion[[#This Row],[Código Cuenta Contable]]&amp;" - "&amp;Cuenta_Clasificacion[[#This Row],[Nombre de Cuenta Contable]]</f>
        <v>4105024 - Proyectos No Ejecutados</v>
      </c>
      <c r="F1714" s="47" t="str">
        <f>+Cuenta_Clasificacion[[#This Row],[Codigo Concepto de imputación]]&amp;" - "&amp;Cuenta_Clasificacion[[#This Row],[Nombre Concepto de imputación]]</f>
        <v>10047 - Jardinería</v>
      </c>
    </row>
    <row r="1715" spans="1:6" x14ac:dyDescent="0.25">
      <c r="A1715" s="43">
        <v>4105024</v>
      </c>
      <c r="B1715" t="s">
        <v>210</v>
      </c>
      <c r="C1715" s="43">
        <v>10048</v>
      </c>
      <c r="D1715" t="s">
        <v>2752</v>
      </c>
      <c r="E1715" s="47" t="str">
        <f>+Cuenta_Clasificacion[[#This Row],[Código Cuenta Contable]]&amp;" - "&amp;Cuenta_Clasificacion[[#This Row],[Nombre de Cuenta Contable]]</f>
        <v>4105024 - Proyectos No Ejecutados</v>
      </c>
      <c r="F1715" s="47" t="str">
        <f>+Cuenta_Clasificacion[[#This Row],[Codigo Concepto de imputación]]&amp;" - "&amp;Cuenta_Clasificacion[[#This Row],[Nombre Concepto de imputación]]</f>
        <v>10048 - Ladrillos</v>
      </c>
    </row>
    <row r="1716" spans="1:6" x14ac:dyDescent="0.25">
      <c r="A1716" s="43">
        <v>4105024</v>
      </c>
      <c r="B1716" t="s">
        <v>210</v>
      </c>
      <c r="C1716" s="43">
        <v>10049</v>
      </c>
      <c r="D1716" t="s">
        <v>2753</v>
      </c>
      <c r="E1716" s="47" t="str">
        <f>+Cuenta_Clasificacion[[#This Row],[Código Cuenta Contable]]&amp;" - "&amp;Cuenta_Clasificacion[[#This Row],[Nombre de Cuenta Contable]]</f>
        <v>4105024 - Proyectos No Ejecutados</v>
      </c>
      <c r="F1716" s="47" t="str">
        <f>+Cuenta_Clasificacion[[#This Row],[Codigo Concepto de imputación]]&amp;" - "&amp;Cuenta_Clasificacion[[#This Row],[Nombre Concepto de imputación]]</f>
        <v>10049 - Licencias Softwares</v>
      </c>
    </row>
    <row r="1717" spans="1:6" x14ac:dyDescent="0.25">
      <c r="A1717" s="43">
        <v>4105024</v>
      </c>
      <c r="B1717" t="s">
        <v>210</v>
      </c>
      <c r="C1717" s="43">
        <v>10050</v>
      </c>
      <c r="D1717" t="s">
        <v>2754</v>
      </c>
      <c r="E1717" s="47" t="str">
        <f>+Cuenta_Clasificacion[[#This Row],[Código Cuenta Contable]]&amp;" - "&amp;Cuenta_Clasificacion[[#This Row],[Nombre de Cuenta Contable]]</f>
        <v>4105024 - Proyectos No Ejecutados</v>
      </c>
      <c r="F1717" s="47" t="str">
        <f>+Cuenta_Clasificacion[[#This Row],[Codigo Concepto de imputación]]&amp;" - "&amp;Cuenta_Clasificacion[[#This Row],[Nombre Concepto de imputación]]</f>
        <v>10050 - Lubricantes</v>
      </c>
    </row>
    <row r="1718" spans="1:6" x14ac:dyDescent="0.25">
      <c r="A1718" s="43">
        <v>4105024</v>
      </c>
      <c r="B1718" t="s">
        <v>210</v>
      </c>
      <c r="C1718" s="43">
        <v>10051</v>
      </c>
      <c r="D1718" t="s">
        <v>2755</v>
      </c>
      <c r="E1718" s="47" t="str">
        <f>+Cuenta_Clasificacion[[#This Row],[Código Cuenta Contable]]&amp;" - "&amp;Cuenta_Clasificacion[[#This Row],[Nombre de Cuenta Contable]]</f>
        <v>4105024 - Proyectos No Ejecutados</v>
      </c>
      <c r="F1718" s="47" t="str">
        <f>+Cuenta_Clasificacion[[#This Row],[Codigo Concepto de imputación]]&amp;" - "&amp;Cuenta_Clasificacion[[#This Row],[Nombre Concepto de imputación]]</f>
        <v>10051 - Luminarias</v>
      </c>
    </row>
    <row r="1719" spans="1:6" x14ac:dyDescent="0.25">
      <c r="A1719" s="43">
        <v>4105024</v>
      </c>
      <c r="B1719" t="s">
        <v>210</v>
      </c>
      <c r="C1719" s="43">
        <v>10052</v>
      </c>
      <c r="D1719" t="s">
        <v>2756</v>
      </c>
      <c r="E1719" s="47" t="str">
        <f>+Cuenta_Clasificacion[[#This Row],[Código Cuenta Contable]]&amp;" - "&amp;Cuenta_Clasificacion[[#This Row],[Nombre de Cuenta Contable]]</f>
        <v>4105024 - Proyectos No Ejecutados</v>
      </c>
      <c r="F1719" s="47" t="str">
        <f>+Cuenta_Clasificacion[[#This Row],[Codigo Concepto de imputación]]&amp;" - "&amp;Cuenta_Clasificacion[[#This Row],[Nombre Concepto de imputación]]</f>
        <v>10052 - Maderas</v>
      </c>
    </row>
    <row r="1720" spans="1:6" x14ac:dyDescent="0.25">
      <c r="A1720" s="43">
        <v>4105024</v>
      </c>
      <c r="B1720" t="s">
        <v>210</v>
      </c>
      <c r="C1720" s="43">
        <v>10053</v>
      </c>
      <c r="D1720" t="s">
        <v>2757</v>
      </c>
      <c r="E1720" s="47" t="str">
        <f>+Cuenta_Clasificacion[[#This Row],[Código Cuenta Contable]]&amp;" - "&amp;Cuenta_Clasificacion[[#This Row],[Nombre de Cuenta Contable]]</f>
        <v>4105024 - Proyectos No Ejecutados</v>
      </c>
      <c r="F1720" s="47" t="str">
        <f>+Cuenta_Clasificacion[[#This Row],[Codigo Concepto de imputación]]&amp;" - "&amp;Cuenta_Clasificacion[[#This Row],[Nombre Concepto de imputación]]</f>
        <v>10053 - Malla Acma</v>
      </c>
    </row>
    <row r="1721" spans="1:6" x14ac:dyDescent="0.25">
      <c r="A1721" s="43">
        <v>4105024</v>
      </c>
      <c r="B1721" t="s">
        <v>210</v>
      </c>
      <c r="C1721" s="43">
        <v>10054</v>
      </c>
      <c r="D1721" t="s">
        <v>2758</v>
      </c>
      <c r="E1721" s="47" t="str">
        <f>+Cuenta_Clasificacion[[#This Row],[Código Cuenta Contable]]&amp;" - "&amp;Cuenta_Clasificacion[[#This Row],[Nombre de Cuenta Contable]]</f>
        <v>4105024 - Proyectos No Ejecutados</v>
      </c>
      <c r="F1721" s="47" t="str">
        <f>+Cuenta_Clasificacion[[#This Row],[Codigo Concepto de imputación]]&amp;" - "&amp;Cuenta_Clasificacion[[#This Row],[Nombre Concepto de imputación]]</f>
        <v>10054 - Malla Raschel</v>
      </c>
    </row>
    <row r="1722" spans="1:6" x14ac:dyDescent="0.25">
      <c r="A1722" s="43">
        <v>4105024</v>
      </c>
      <c r="B1722" t="s">
        <v>210</v>
      </c>
      <c r="C1722" s="43">
        <v>10055</v>
      </c>
      <c r="D1722" t="s">
        <v>2759</v>
      </c>
      <c r="E1722" s="47" t="str">
        <f>+Cuenta_Clasificacion[[#This Row],[Código Cuenta Contable]]&amp;" - "&amp;Cuenta_Clasificacion[[#This Row],[Nombre de Cuenta Contable]]</f>
        <v>4105024 - Proyectos No Ejecutados</v>
      </c>
      <c r="F1722" s="47" t="str">
        <f>+Cuenta_Clasificacion[[#This Row],[Codigo Concepto de imputación]]&amp;" - "&amp;Cuenta_Clasificacion[[#This Row],[Nombre Concepto de imputación]]</f>
        <v>10055 - Mallas Varias</v>
      </c>
    </row>
    <row r="1723" spans="1:6" x14ac:dyDescent="0.25">
      <c r="A1723" s="43">
        <v>4105024</v>
      </c>
      <c r="B1723" t="s">
        <v>210</v>
      </c>
      <c r="C1723" s="43">
        <v>10056</v>
      </c>
      <c r="D1723" t="s">
        <v>2760</v>
      </c>
      <c r="E1723" s="47" t="str">
        <f>+Cuenta_Clasificacion[[#This Row],[Código Cuenta Contable]]&amp;" - "&amp;Cuenta_Clasificacion[[#This Row],[Nombre de Cuenta Contable]]</f>
        <v>4105024 - Proyectos No Ejecutados</v>
      </c>
      <c r="F1723" s="47" t="str">
        <f>+Cuenta_Clasificacion[[#This Row],[Codigo Concepto de imputación]]&amp;" - "&amp;Cuenta_Clasificacion[[#This Row],[Nombre Concepto de imputación]]</f>
        <v>10056 - Mangueras</v>
      </c>
    </row>
    <row r="1724" spans="1:6" x14ac:dyDescent="0.25">
      <c r="A1724" s="43">
        <v>4105024</v>
      </c>
      <c r="B1724" t="s">
        <v>210</v>
      </c>
      <c r="C1724" s="43">
        <v>10057</v>
      </c>
      <c r="D1724" t="s">
        <v>2761</v>
      </c>
      <c r="E1724" s="47" t="str">
        <f>+Cuenta_Clasificacion[[#This Row],[Código Cuenta Contable]]&amp;" - "&amp;Cuenta_Clasificacion[[#This Row],[Nombre de Cuenta Contable]]</f>
        <v>4105024 - Proyectos No Ejecutados</v>
      </c>
      <c r="F1724" s="47" t="str">
        <f>+Cuenta_Clasificacion[[#This Row],[Codigo Concepto de imputación]]&amp;" - "&amp;Cuenta_Clasificacion[[#This Row],[Nombre Concepto de imputación]]</f>
        <v>10057 - Molduras</v>
      </c>
    </row>
    <row r="1725" spans="1:6" x14ac:dyDescent="0.25">
      <c r="A1725" s="43">
        <v>4105024</v>
      </c>
      <c r="B1725" t="s">
        <v>210</v>
      </c>
      <c r="C1725" s="43">
        <v>10058</v>
      </c>
      <c r="D1725" t="s">
        <v>2762</v>
      </c>
      <c r="E1725" s="47" t="str">
        <f>+Cuenta_Clasificacion[[#This Row],[Código Cuenta Contable]]&amp;" - "&amp;Cuenta_Clasificacion[[#This Row],[Nombre de Cuenta Contable]]</f>
        <v>4105024 - Proyectos No Ejecutados</v>
      </c>
      <c r="F1725" s="47" t="str">
        <f>+Cuenta_Clasificacion[[#This Row],[Codigo Concepto de imputación]]&amp;" - "&amp;Cuenta_Clasificacion[[#This Row],[Nombre Concepto de imputación]]</f>
        <v>10058 - Morteros e Impermeabilizantes</v>
      </c>
    </row>
    <row r="1726" spans="1:6" x14ac:dyDescent="0.25">
      <c r="A1726" s="43">
        <v>4105024</v>
      </c>
      <c r="B1726" t="s">
        <v>210</v>
      </c>
      <c r="C1726" s="43">
        <v>10059</v>
      </c>
      <c r="D1726" t="s">
        <v>2763</v>
      </c>
      <c r="E1726" s="47" t="str">
        <f>+Cuenta_Clasificacion[[#This Row],[Código Cuenta Contable]]&amp;" - "&amp;Cuenta_Clasificacion[[#This Row],[Nombre de Cuenta Contable]]</f>
        <v>4105024 - Proyectos No Ejecutados</v>
      </c>
      <c r="F1726" s="47" t="str">
        <f>+Cuenta_Clasificacion[[#This Row],[Codigo Concepto de imputación]]&amp;" - "&amp;Cuenta_Clasificacion[[#This Row],[Nombre Concepto de imputación]]</f>
        <v>10059 - Muebles</v>
      </c>
    </row>
    <row r="1727" spans="1:6" x14ac:dyDescent="0.25">
      <c r="A1727" s="43">
        <v>4105024</v>
      </c>
      <c r="B1727" t="s">
        <v>210</v>
      </c>
      <c r="C1727" s="43">
        <v>10060</v>
      </c>
      <c r="D1727" t="s">
        <v>2764</v>
      </c>
      <c r="E1727" s="47" t="str">
        <f>+Cuenta_Clasificacion[[#This Row],[Código Cuenta Contable]]&amp;" - "&amp;Cuenta_Clasificacion[[#This Row],[Nombre de Cuenta Contable]]</f>
        <v>4105024 - Proyectos No Ejecutados</v>
      </c>
      <c r="F1727" s="47" t="str">
        <f>+Cuenta_Clasificacion[[#This Row],[Codigo Concepto de imputación]]&amp;" - "&amp;Cuenta_Clasificacion[[#This Row],[Nombre Concepto de imputación]]</f>
        <v>10060 - Muebles e Inst Faena</v>
      </c>
    </row>
    <row r="1728" spans="1:6" x14ac:dyDescent="0.25">
      <c r="A1728" s="43">
        <v>4105024</v>
      </c>
      <c r="B1728" t="s">
        <v>210</v>
      </c>
      <c r="C1728" s="43">
        <v>10061</v>
      </c>
      <c r="D1728" t="s">
        <v>2765</v>
      </c>
      <c r="E1728" s="47" t="str">
        <f>+Cuenta_Clasificacion[[#This Row],[Código Cuenta Contable]]&amp;" - "&amp;Cuenta_Clasificacion[[#This Row],[Nombre de Cuenta Contable]]</f>
        <v>4105024 - Proyectos No Ejecutados</v>
      </c>
      <c r="F1728" s="47" t="str">
        <f>+Cuenta_Clasificacion[[#This Row],[Codigo Concepto de imputación]]&amp;" - "&amp;Cuenta_Clasificacion[[#This Row],[Nombre Concepto de imputación]]</f>
        <v>10061 - Papel Mural</v>
      </c>
    </row>
    <row r="1729" spans="1:6" x14ac:dyDescent="0.25">
      <c r="A1729" s="43">
        <v>4105024</v>
      </c>
      <c r="B1729" t="s">
        <v>210</v>
      </c>
      <c r="C1729" s="43">
        <v>10062</v>
      </c>
      <c r="D1729" t="s">
        <v>2766</v>
      </c>
      <c r="E1729" s="47" t="str">
        <f>+Cuenta_Clasificacion[[#This Row],[Código Cuenta Contable]]&amp;" - "&amp;Cuenta_Clasificacion[[#This Row],[Nombre de Cuenta Contable]]</f>
        <v>4105024 - Proyectos No Ejecutados</v>
      </c>
      <c r="F1729" s="47" t="str">
        <f>+Cuenta_Clasificacion[[#This Row],[Codigo Concepto de imputación]]&amp;" - "&amp;Cuenta_Clasificacion[[#This Row],[Nombre Concepto de imputación]]</f>
        <v>10062 - Pavimentos</v>
      </c>
    </row>
    <row r="1730" spans="1:6" x14ac:dyDescent="0.25">
      <c r="A1730" s="43">
        <v>4105024</v>
      </c>
      <c r="B1730" t="s">
        <v>210</v>
      </c>
      <c r="C1730" s="43">
        <v>10063</v>
      </c>
      <c r="D1730" t="s">
        <v>2767</v>
      </c>
      <c r="E1730" s="47" t="str">
        <f>+Cuenta_Clasificacion[[#This Row],[Código Cuenta Contable]]&amp;" - "&amp;Cuenta_Clasificacion[[#This Row],[Nombre de Cuenta Contable]]</f>
        <v>4105024 - Proyectos No Ejecutados</v>
      </c>
      <c r="F1730" s="47" t="str">
        <f>+Cuenta_Clasificacion[[#This Row],[Codigo Concepto de imputación]]&amp;" - "&amp;Cuenta_Clasificacion[[#This Row],[Nombre Concepto de imputación]]</f>
        <v>10063 - Pendones</v>
      </c>
    </row>
    <row r="1731" spans="1:6" x14ac:dyDescent="0.25">
      <c r="A1731" s="43">
        <v>4105024</v>
      </c>
      <c r="B1731" t="s">
        <v>210</v>
      </c>
      <c r="C1731" s="43">
        <v>10064</v>
      </c>
      <c r="D1731" t="s">
        <v>2768</v>
      </c>
      <c r="E1731" s="47" t="str">
        <f>+Cuenta_Clasificacion[[#This Row],[Código Cuenta Contable]]&amp;" - "&amp;Cuenta_Clasificacion[[#This Row],[Nombre de Cuenta Contable]]</f>
        <v>4105024 - Proyectos No Ejecutados</v>
      </c>
      <c r="F1731" s="47" t="str">
        <f>+Cuenta_Clasificacion[[#This Row],[Codigo Concepto de imputación]]&amp;" - "&amp;Cuenta_Clasificacion[[#This Row],[Nombre Concepto de imputación]]</f>
        <v>10064 - Perfiles y Tubos</v>
      </c>
    </row>
    <row r="1732" spans="1:6" x14ac:dyDescent="0.25">
      <c r="A1732" s="43">
        <v>4105024</v>
      </c>
      <c r="B1732" t="s">
        <v>210</v>
      </c>
      <c r="C1732" s="43">
        <v>10065</v>
      </c>
      <c r="D1732" t="s">
        <v>2769</v>
      </c>
      <c r="E1732" s="47" t="str">
        <f>+Cuenta_Clasificacion[[#This Row],[Código Cuenta Contable]]&amp;" - "&amp;Cuenta_Clasificacion[[#This Row],[Nombre de Cuenta Contable]]</f>
        <v>4105024 - Proyectos No Ejecutados</v>
      </c>
      <c r="F1732" s="47" t="str">
        <f>+Cuenta_Clasificacion[[#This Row],[Codigo Concepto de imputación]]&amp;" - "&amp;Cuenta_Clasificacion[[#This Row],[Nombre Concepto de imputación]]</f>
        <v>10065 - Persianas</v>
      </c>
    </row>
    <row r="1733" spans="1:6" x14ac:dyDescent="0.25">
      <c r="A1733" s="43">
        <v>4105024</v>
      </c>
      <c r="B1733" t="s">
        <v>210</v>
      </c>
      <c r="C1733" s="43">
        <v>10066</v>
      </c>
      <c r="D1733" t="s">
        <v>2770</v>
      </c>
      <c r="E1733" s="47" t="str">
        <f>+Cuenta_Clasificacion[[#This Row],[Código Cuenta Contable]]&amp;" - "&amp;Cuenta_Clasificacion[[#This Row],[Nombre de Cuenta Contable]]</f>
        <v>4105024 - Proyectos No Ejecutados</v>
      </c>
      <c r="F1733" s="47" t="str">
        <f>+Cuenta_Clasificacion[[#This Row],[Codigo Concepto de imputación]]&amp;" - "&amp;Cuenta_Clasificacion[[#This Row],[Nombre Concepto de imputación]]</f>
        <v>10066 - Pinturas</v>
      </c>
    </row>
    <row r="1734" spans="1:6" x14ac:dyDescent="0.25">
      <c r="A1734" s="43">
        <v>4105024</v>
      </c>
      <c r="B1734" t="s">
        <v>210</v>
      </c>
      <c r="C1734" s="43">
        <v>10067</v>
      </c>
      <c r="D1734" t="s">
        <v>2771</v>
      </c>
      <c r="E1734" s="47" t="str">
        <f>+Cuenta_Clasificacion[[#This Row],[Código Cuenta Contable]]&amp;" - "&amp;Cuenta_Clasificacion[[#This Row],[Nombre de Cuenta Contable]]</f>
        <v>4105024 - Proyectos No Ejecutados</v>
      </c>
      <c r="F1734" s="47" t="str">
        <f>+Cuenta_Clasificacion[[#This Row],[Codigo Concepto de imputación]]&amp;" - "&amp;Cuenta_Clasificacion[[#This Row],[Nombre Concepto de imputación]]</f>
        <v>10067 - Piscinas</v>
      </c>
    </row>
    <row r="1735" spans="1:6" x14ac:dyDescent="0.25">
      <c r="A1735" s="43">
        <v>4105024</v>
      </c>
      <c r="B1735" t="s">
        <v>210</v>
      </c>
      <c r="C1735" s="43">
        <v>10068</v>
      </c>
      <c r="D1735" t="s">
        <v>2772</v>
      </c>
      <c r="E1735" s="47" t="str">
        <f>+Cuenta_Clasificacion[[#This Row],[Código Cuenta Contable]]&amp;" - "&amp;Cuenta_Clasificacion[[#This Row],[Nombre de Cuenta Contable]]</f>
        <v>4105024 - Proyectos No Ejecutados</v>
      </c>
      <c r="F1735" s="47" t="str">
        <f>+Cuenta_Clasificacion[[#This Row],[Codigo Concepto de imputación]]&amp;" - "&amp;Cuenta_Clasificacion[[#This Row],[Nombre Concepto de imputación]]</f>
        <v>10068 - Placas Aglomeradas</v>
      </c>
    </row>
    <row r="1736" spans="1:6" x14ac:dyDescent="0.25">
      <c r="A1736" s="43">
        <v>4105024</v>
      </c>
      <c r="B1736" t="s">
        <v>210</v>
      </c>
      <c r="C1736" s="43">
        <v>10069</v>
      </c>
      <c r="D1736" t="s">
        <v>2773</v>
      </c>
      <c r="E1736" s="47" t="str">
        <f>+Cuenta_Clasificacion[[#This Row],[Código Cuenta Contable]]&amp;" - "&amp;Cuenta_Clasificacion[[#This Row],[Nombre de Cuenta Contable]]</f>
        <v>4105024 - Proyectos No Ejecutados</v>
      </c>
      <c r="F1736" s="47" t="str">
        <f>+Cuenta_Clasificacion[[#This Row],[Codigo Concepto de imputación]]&amp;" - "&amp;Cuenta_Clasificacion[[#This Row],[Nombre Concepto de imputación]]</f>
        <v>10069 - Planchas</v>
      </c>
    </row>
    <row r="1737" spans="1:6" x14ac:dyDescent="0.25">
      <c r="A1737" s="43">
        <v>4105024</v>
      </c>
      <c r="B1737" t="s">
        <v>210</v>
      </c>
      <c r="C1737" s="43">
        <v>10070</v>
      </c>
      <c r="D1737" t="s">
        <v>2774</v>
      </c>
      <c r="E1737" s="47" t="str">
        <f>+Cuenta_Clasificacion[[#This Row],[Código Cuenta Contable]]&amp;" - "&amp;Cuenta_Clasificacion[[#This Row],[Nombre de Cuenta Contable]]</f>
        <v>4105024 - Proyectos No Ejecutados</v>
      </c>
      <c r="F1737" s="47" t="str">
        <f>+Cuenta_Clasificacion[[#This Row],[Codigo Concepto de imputación]]&amp;" - "&amp;Cuenta_Clasificacion[[#This Row],[Nombre Concepto de imputación]]</f>
        <v>10070 - Prefabricados Hormigón</v>
      </c>
    </row>
    <row r="1738" spans="1:6" x14ac:dyDescent="0.25">
      <c r="A1738" s="43">
        <v>4105024</v>
      </c>
      <c r="B1738" t="s">
        <v>210</v>
      </c>
      <c r="C1738" s="43">
        <v>10071</v>
      </c>
      <c r="D1738" t="s">
        <v>2775</v>
      </c>
      <c r="E1738" s="47" t="str">
        <f>+Cuenta_Clasificacion[[#This Row],[Código Cuenta Contable]]&amp;" - "&amp;Cuenta_Clasificacion[[#This Row],[Nombre de Cuenta Contable]]</f>
        <v>4105024 - Proyectos No Ejecutados</v>
      </c>
      <c r="F1738" s="47" t="str">
        <f>+Cuenta_Clasificacion[[#This Row],[Codigo Concepto de imputación]]&amp;" - "&amp;Cuenta_Clasificacion[[#This Row],[Nombre Concepto de imputación]]</f>
        <v>10071 - Puertas y Ventanas</v>
      </c>
    </row>
    <row r="1739" spans="1:6" x14ac:dyDescent="0.25">
      <c r="A1739" s="43">
        <v>4105024</v>
      </c>
      <c r="B1739" t="s">
        <v>210</v>
      </c>
      <c r="C1739" s="43">
        <v>10072</v>
      </c>
      <c r="D1739" t="s">
        <v>2776</v>
      </c>
      <c r="E1739" s="47" t="str">
        <f>+Cuenta_Clasificacion[[#This Row],[Código Cuenta Contable]]&amp;" - "&amp;Cuenta_Clasificacion[[#This Row],[Nombre de Cuenta Contable]]</f>
        <v>4105024 - Proyectos No Ejecutados</v>
      </c>
      <c r="F1739" s="47" t="str">
        <f>+Cuenta_Clasificacion[[#This Row],[Codigo Concepto de imputación]]&amp;" - "&amp;Cuenta_Clasificacion[[#This Row],[Nombre Concepto de imputación]]</f>
        <v>10072 - Quincallería</v>
      </c>
    </row>
    <row r="1740" spans="1:6" x14ac:dyDescent="0.25">
      <c r="A1740" s="43">
        <v>4105024</v>
      </c>
      <c r="B1740" t="s">
        <v>210</v>
      </c>
      <c r="C1740" s="43">
        <v>10073</v>
      </c>
      <c r="D1740" t="s">
        <v>2777</v>
      </c>
      <c r="E1740" s="47" t="str">
        <f>+Cuenta_Clasificacion[[#This Row],[Código Cuenta Contable]]&amp;" - "&amp;Cuenta_Clasificacion[[#This Row],[Nombre de Cuenta Contable]]</f>
        <v>4105024 - Proyectos No Ejecutados</v>
      </c>
      <c r="F1740" s="47" t="str">
        <f>+Cuenta_Clasificacion[[#This Row],[Codigo Concepto de imputación]]&amp;" - "&amp;Cuenta_Clasificacion[[#This Row],[Nombre Concepto de imputación]]</f>
        <v>10073 - Revestimientos</v>
      </c>
    </row>
    <row r="1741" spans="1:6" x14ac:dyDescent="0.25">
      <c r="A1741" s="43">
        <v>4105024</v>
      </c>
      <c r="B1741" t="s">
        <v>210</v>
      </c>
      <c r="C1741" s="43">
        <v>10074</v>
      </c>
      <c r="D1741" t="s">
        <v>2778</v>
      </c>
      <c r="E1741" s="47" t="str">
        <f>+Cuenta_Clasificacion[[#This Row],[Código Cuenta Contable]]&amp;" - "&amp;Cuenta_Clasificacion[[#This Row],[Nombre de Cuenta Contable]]</f>
        <v>4105024 - Proyectos No Ejecutados</v>
      </c>
      <c r="F1741" s="47" t="str">
        <f>+Cuenta_Clasificacion[[#This Row],[Codigo Concepto de imputación]]&amp;" - "&amp;Cuenta_Clasificacion[[#This Row],[Nombre Concepto de imputación]]</f>
        <v>10074 - Rollizos y Postes Madera</v>
      </c>
    </row>
    <row r="1742" spans="1:6" x14ac:dyDescent="0.25">
      <c r="A1742" s="43">
        <v>4105024</v>
      </c>
      <c r="B1742" t="s">
        <v>210</v>
      </c>
      <c r="C1742" s="43">
        <v>10075</v>
      </c>
      <c r="D1742" t="s">
        <v>2779</v>
      </c>
      <c r="E1742" s="47" t="str">
        <f>+Cuenta_Clasificacion[[#This Row],[Código Cuenta Contable]]&amp;" - "&amp;Cuenta_Clasificacion[[#This Row],[Nombre de Cuenta Contable]]</f>
        <v>4105024 - Proyectos No Ejecutados</v>
      </c>
      <c r="F1742" s="47" t="str">
        <f>+Cuenta_Clasificacion[[#This Row],[Codigo Concepto de imputación]]&amp;" - "&amp;Cuenta_Clasificacion[[#This Row],[Nombre Concepto de imputación]]</f>
        <v>10075 - Señalética</v>
      </c>
    </row>
    <row r="1743" spans="1:6" x14ac:dyDescent="0.25">
      <c r="A1743" s="43">
        <v>4105024</v>
      </c>
      <c r="B1743" t="s">
        <v>210</v>
      </c>
      <c r="C1743" s="43">
        <v>10076</v>
      </c>
      <c r="D1743" t="s">
        <v>2780</v>
      </c>
      <c r="E1743" s="47" t="str">
        <f>+Cuenta_Clasificacion[[#This Row],[Código Cuenta Contable]]&amp;" - "&amp;Cuenta_Clasificacion[[#This Row],[Nombre de Cuenta Contable]]</f>
        <v>4105024 - Proyectos No Ejecutados</v>
      </c>
      <c r="F1743" s="47" t="str">
        <f>+Cuenta_Clasificacion[[#This Row],[Codigo Concepto de imputación]]&amp;" - "&amp;Cuenta_Clasificacion[[#This Row],[Nombre Concepto de imputación]]</f>
        <v>10076 - Soldadura</v>
      </c>
    </row>
    <row r="1744" spans="1:6" x14ac:dyDescent="0.25">
      <c r="A1744" s="43">
        <v>4105024</v>
      </c>
      <c r="B1744" t="s">
        <v>210</v>
      </c>
      <c r="C1744" s="43">
        <v>10077</v>
      </c>
      <c r="D1744" t="s">
        <v>2781</v>
      </c>
      <c r="E1744" s="47" t="str">
        <f>+Cuenta_Clasificacion[[#This Row],[Código Cuenta Contable]]&amp;" - "&amp;Cuenta_Clasificacion[[#This Row],[Nombre de Cuenta Contable]]</f>
        <v>4105024 - Proyectos No Ejecutados</v>
      </c>
      <c r="F1744" s="47" t="str">
        <f>+Cuenta_Clasificacion[[#This Row],[Codigo Concepto de imputación]]&amp;" - "&amp;Cuenta_Clasificacion[[#This Row],[Nombre Concepto de imputación]]</f>
        <v>10077 - Sum. e Inst. Anclajes Postens.</v>
      </c>
    </row>
    <row r="1745" spans="1:6" x14ac:dyDescent="0.25">
      <c r="A1745" s="43">
        <v>4105024</v>
      </c>
      <c r="B1745" t="s">
        <v>210</v>
      </c>
      <c r="C1745" s="43">
        <v>10078</v>
      </c>
      <c r="D1745" t="s">
        <v>2782</v>
      </c>
      <c r="E1745" s="47" t="str">
        <f>+Cuenta_Clasificacion[[#This Row],[Código Cuenta Contable]]&amp;" - "&amp;Cuenta_Clasificacion[[#This Row],[Nombre de Cuenta Contable]]</f>
        <v>4105024 - Proyectos No Ejecutados</v>
      </c>
      <c r="F1745" s="47" t="str">
        <f>+Cuenta_Clasificacion[[#This Row],[Codigo Concepto de imputación]]&amp;" - "&amp;Cuenta_Clasificacion[[#This Row],[Nombre Concepto de imputación]]</f>
        <v>10078 - Tabiques</v>
      </c>
    </row>
    <row r="1746" spans="1:6" x14ac:dyDescent="0.25">
      <c r="A1746" s="43">
        <v>4105024</v>
      </c>
      <c r="B1746" t="s">
        <v>210</v>
      </c>
      <c r="C1746" s="43">
        <v>10079</v>
      </c>
      <c r="D1746" t="s">
        <v>2783</v>
      </c>
      <c r="E1746" s="47" t="str">
        <f>+Cuenta_Clasificacion[[#This Row],[Código Cuenta Contable]]&amp;" - "&amp;Cuenta_Clasificacion[[#This Row],[Nombre de Cuenta Contable]]</f>
        <v>4105024 - Proyectos No Ejecutados</v>
      </c>
      <c r="F1746" s="47" t="str">
        <f>+Cuenta_Clasificacion[[#This Row],[Codigo Concepto de imputación]]&amp;" - "&amp;Cuenta_Clasificacion[[#This Row],[Nombre Concepto de imputación]]</f>
        <v>10079 - Yeso y Cal</v>
      </c>
    </row>
    <row r="1747" spans="1:6" x14ac:dyDescent="0.25">
      <c r="A1747" s="43">
        <v>4105024</v>
      </c>
      <c r="B1747" t="s">
        <v>210</v>
      </c>
      <c r="C1747" s="43">
        <v>10080</v>
      </c>
      <c r="D1747" t="s">
        <v>2699</v>
      </c>
      <c r="E1747" s="47" t="str">
        <f>+Cuenta_Clasificacion[[#This Row],[Código Cuenta Contable]]&amp;" - "&amp;Cuenta_Clasificacion[[#This Row],[Nombre de Cuenta Contable]]</f>
        <v>4105024 - Proyectos No Ejecutados</v>
      </c>
      <c r="F1747" s="47" t="str">
        <f>+Cuenta_Clasificacion[[#This Row],[Codigo Concepto de imputación]]&amp;" - "&amp;Cuenta_Clasificacion[[#This Row],[Nombre Concepto de imputación]]</f>
        <v>10080 - Ajuste de Precio</v>
      </c>
    </row>
    <row r="1748" spans="1:6" x14ac:dyDescent="0.25">
      <c r="A1748" s="43">
        <v>4105024</v>
      </c>
      <c r="B1748" t="s">
        <v>210</v>
      </c>
      <c r="C1748" s="43">
        <v>10081</v>
      </c>
      <c r="D1748" t="s">
        <v>2784</v>
      </c>
      <c r="E1748" s="47" t="str">
        <f>+Cuenta_Clasificacion[[#This Row],[Código Cuenta Contable]]&amp;" - "&amp;Cuenta_Clasificacion[[#This Row],[Nombre de Cuenta Contable]]</f>
        <v>4105024 - Proyectos No Ejecutados</v>
      </c>
      <c r="F1748" s="47" t="str">
        <f>+Cuenta_Clasificacion[[#This Row],[Codigo Concepto de imputación]]&amp;" - "&amp;Cuenta_Clasificacion[[#This Row],[Nombre Concepto de imputación]]</f>
        <v>10081 - Prefabricados Madera</v>
      </c>
    </row>
    <row r="1749" spans="1:6" x14ac:dyDescent="0.25">
      <c r="A1749" s="43">
        <v>4105024</v>
      </c>
      <c r="B1749" t="s">
        <v>210</v>
      </c>
      <c r="C1749" s="43">
        <v>20001</v>
      </c>
      <c r="D1749" t="s">
        <v>2785</v>
      </c>
      <c r="E1749" s="47" t="str">
        <f>+Cuenta_Clasificacion[[#This Row],[Código Cuenta Contable]]&amp;" - "&amp;Cuenta_Clasificacion[[#This Row],[Nombre de Cuenta Contable]]</f>
        <v>4105024 - Proyectos No Ejecutados</v>
      </c>
      <c r="F1749" s="47" t="str">
        <f>+Cuenta_Clasificacion[[#This Row],[Codigo Concepto de imputación]]&amp;" - "&amp;Cuenta_Clasificacion[[#This Row],[Nombre Concepto de imputación]]</f>
        <v>20001 - Sbctto Agua Potable Domic.</v>
      </c>
    </row>
    <row r="1750" spans="1:6" x14ac:dyDescent="0.25">
      <c r="A1750" s="43">
        <v>4105024</v>
      </c>
      <c r="B1750" t="s">
        <v>210</v>
      </c>
      <c r="C1750" s="43">
        <v>20002</v>
      </c>
      <c r="D1750" t="s">
        <v>2786</v>
      </c>
      <c r="E1750" s="47" t="str">
        <f>+Cuenta_Clasificacion[[#This Row],[Código Cuenta Contable]]&amp;" - "&amp;Cuenta_Clasificacion[[#This Row],[Nombre de Cuenta Contable]]</f>
        <v>4105024 - Proyectos No Ejecutados</v>
      </c>
      <c r="F1750" s="47" t="str">
        <f>+Cuenta_Clasificacion[[#This Row],[Codigo Concepto de imputación]]&amp;" - "&amp;Cuenta_Clasificacion[[#This Row],[Nombre Concepto de imputación]]</f>
        <v>20002 - Sbctto Agua Potable Provisorio</v>
      </c>
    </row>
    <row r="1751" spans="1:6" x14ac:dyDescent="0.25">
      <c r="A1751" s="43">
        <v>4105024</v>
      </c>
      <c r="B1751" t="s">
        <v>210</v>
      </c>
      <c r="C1751" s="43">
        <v>20003</v>
      </c>
      <c r="D1751" t="s">
        <v>2787</v>
      </c>
      <c r="E1751" s="47" t="str">
        <f>+Cuenta_Clasificacion[[#This Row],[Código Cuenta Contable]]&amp;" - "&amp;Cuenta_Clasificacion[[#This Row],[Nombre de Cuenta Contable]]</f>
        <v>4105024 - Proyectos No Ejecutados</v>
      </c>
      <c r="F1751" s="47" t="str">
        <f>+Cuenta_Clasificacion[[#This Row],[Codigo Concepto de imputación]]&amp;" - "&amp;Cuenta_Clasificacion[[#This Row],[Nombre Concepto de imputación]]</f>
        <v>20003 - Sbctto Aire Acondicionado</v>
      </c>
    </row>
    <row r="1752" spans="1:6" x14ac:dyDescent="0.25">
      <c r="A1752" s="43">
        <v>4105024</v>
      </c>
      <c r="B1752" t="s">
        <v>210</v>
      </c>
      <c r="C1752" s="43">
        <v>20004</v>
      </c>
      <c r="D1752" t="s">
        <v>2788</v>
      </c>
      <c r="E1752" s="47" t="str">
        <f>+Cuenta_Clasificacion[[#This Row],[Código Cuenta Contable]]&amp;" - "&amp;Cuenta_Clasificacion[[#This Row],[Nombre de Cuenta Contable]]</f>
        <v>4105024 - Proyectos No Ejecutados</v>
      </c>
      <c r="F1752" s="47" t="str">
        <f>+Cuenta_Clasificacion[[#This Row],[Codigo Concepto de imputación]]&amp;" - "&amp;Cuenta_Clasificacion[[#This Row],[Nombre Concepto de imputación]]</f>
        <v>20004 - Sbctto Alarmas Contra Incendio</v>
      </c>
    </row>
    <row r="1753" spans="1:6" x14ac:dyDescent="0.25">
      <c r="A1753" s="43">
        <v>4105024</v>
      </c>
      <c r="B1753" t="s">
        <v>210</v>
      </c>
      <c r="C1753" s="43">
        <v>20005</v>
      </c>
      <c r="D1753" t="s">
        <v>2789</v>
      </c>
      <c r="E1753" s="47" t="str">
        <f>+Cuenta_Clasificacion[[#This Row],[Código Cuenta Contable]]&amp;" - "&amp;Cuenta_Clasificacion[[#This Row],[Nombre de Cuenta Contable]]</f>
        <v>4105024 - Proyectos No Ejecutados</v>
      </c>
      <c r="F1753" s="47" t="str">
        <f>+Cuenta_Clasificacion[[#This Row],[Codigo Concepto de imputación]]&amp;" - "&amp;Cuenta_Clasificacion[[#This Row],[Nombre Concepto de imputación]]</f>
        <v>20005 - Sbctto Alarmas Contra Robos</v>
      </c>
    </row>
    <row r="1754" spans="1:6" x14ac:dyDescent="0.25">
      <c r="A1754" s="43">
        <v>4105024</v>
      </c>
      <c r="B1754" t="s">
        <v>210</v>
      </c>
      <c r="C1754" s="43">
        <v>20006</v>
      </c>
      <c r="D1754" t="s">
        <v>2790</v>
      </c>
      <c r="E1754" s="47" t="str">
        <f>+Cuenta_Clasificacion[[#This Row],[Código Cuenta Contable]]&amp;" - "&amp;Cuenta_Clasificacion[[#This Row],[Nombre de Cuenta Contable]]</f>
        <v>4105024 - Proyectos No Ejecutados</v>
      </c>
      <c r="F1754" s="47" t="str">
        <f>+Cuenta_Clasificacion[[#This Row],[Codigo Concepto de imputación]]&amp;" - "&amp;Cuenta_Clasificacion[[#This Row],[Nombre Concepto de imputación]]</f>
        <v>20006 - Sbctto Alcantarillado Domic.</v>
      </c>
    </row>
    <row r="1755" spans="1:6" x14ac:dyDescent="0.25">
      <c r="A1755" s="43">
        <v>4105024</v>
      </c>
      <c r="B1755" t="s">
        <v>210</v>
      </c>
      <c r="C1755" s="43">
        <v>20007</v>
      </c>
      <c r="D1755" t="s">
        <v>2791</v>
      </c>
      <c r="E1755" s="47" t="str">
        <f>+Cuenta_Clasificacion[[#This Row],[Código Cuenta Contable]]&amp;" - "&amp;Cuenta_Clasificacion[[#This Row],[Nombre de Cuenta Contable]]</f>
        <v>4105024 - Proyectos No Ejecutados</v>
      </c>
      <c r="F1755" s="47" t="str">
        <f>+Cuenta_Clasificacion[[#This Row],[Codigo Concepto de imputación]]&amp;" - "&amp;Cuenta_Clasificacion[[#This Row],[Nombre Concepto de imputación]]</f>
        <v>20007 - Sbctto Alcantarillado Publico</v>
      </c>
    </row>
    <row r="1756" spans="1:6" x14ac:dyDescent="0.25">
      <c r="A1756" s="43">
        <v>4105024</v>
      </c>
      <c r="B1756" t="s">
        <v>210</v>
      </c>
      <c r="C1756" s="43">
        <v>20008</v>
      </c>
      <c r="D1756" t="s">
        <v>2792</v>
      </c>
      <c r="E1756" s="47" t="str">
        <f>+Cuenta_Clasificacion[[#This Row],[Código Cuenta Contable]]&amp;" - "&amp;Cuenta_Clasificacion[[#This Row],[Nombre de Cuenta Contable]]</f>
        <v>4105024 - Proyectos No Ejecutados</v>
      </c>
      <c r="F1756" s="47" t="str">
        <f>+Cuenta_Clasificacion[[#This Row],[Codigo Concepto de imputación]]&amp;" - "&amp;Cuenta_Clasificacion[[#This Row],[Nombre Concepto de imputación]]</f>
        <v>20008 - Sbctto Alfombra</v>
      </c>
    </row>
    <row r="1757" spans="1:6" x14ac:dyDescent="0.25">
      <c r="A1757" s="43">
        <v>4105024</v>
      </c>
      <c r="B1757" t="s">
        <v>210</v>
      </c>
      <c r="C1757" s="43">
        <v>20009</v>
      </c>
      <c r="D1757" t="s">
        <v>2793</v>
      </c>
      <c r="E1757" s="47" t="str">
        <f>+Cuenta_Clasificacion[[#This Row],[Código Cuenta Contable]]&amp;" - "&amp;Cuenta_Clasificacion[[#This Row],[Nombre de Cuenta Contable]]</f>
        <v>4105024 - Proyectos No Ejecutados</v>
      </c>
      <c r="F1757" s="47" t="str">
        <f>+Cuenta_Clasificacion[[#This Row],[Codigo Concepto de imputación]]&amp;" - "&amp;Cuenta_Clasificacion[[#This Row],[Nombre Concepto de imputación]]</f>
        <v>20009 - Sbctto Aluminios</v>
      </c>
    </row>
    <row r="1758" spans="1:6" x14ac:dyDescent="0.25">
      <c r="A1758" s="43">
        <v>4105024</v>
      </c>
      <c r="B1758" t="s">
        <v>210</v>
      </c>
      <c r="C1758" s="43">
        <v>20010</v>
      </c>
      <c r="D1758" t="s">
        <v>2794</v>
      </c>
      <c r="E1758" s="47" t="str">
        <f>+Cuenta_Clasificacion[[#This Row],[Código Cuenta Contable]]&amp;" - "&amp;Cuenta_Clasificacion[[#This Row],[Nombre de Cuenta Contable]]</f>
        <v>4105024 - Proyectos No Ejecutados</v>
      </c>
      <c r="F1758" s="47" t="str">
        <f>+Cuenta_Clasificacion[[#This Row],[Codigo Concepto de imputación]]&amp;" - "&amp;Cuenta_Clasificacion[[#This Row],[Nombre Concepto de imputación]]</f>
        <v>20010 - Sbctto Ascensores</v>
      </c>
    </row>
    <row r="1759" spans="1:6" x14ac:dyDescent="0.25">
      <c r="A1759" s="43">
        <v>4105024</v>
      </c>
      <c r="B1759" t="s">
        <v>210</v>
      </c>
      <c r="C1759" s="43">
        <v>20011</v>
      </c>
      <c r="D1759" t="s">
        <v>2795</v>
      </c>
      <c r="E1759" s="47" t="str">
        <f>+Cuenta_Clasificacion[[#This Row],[Código Cuenta Contable]]&amp;" - "&amp;Cuenta_Clasificacion[[#This Row],[Nombre de Cuenta Contable]]</f>
        <v>4105024 - Proyectos No Ejecutados</v>
      </c>
      <c r="F1759" s="47" t="str">
        <f>+Cuenta_Clasificacion[[#This Row],[Codigo Concepto de imputación]]&amp;" - "&amp;Cuenta_Clasificacion[[#This Row],[Nombre Concepto de imputación]]</f>
        <v>20011 - Sbctto Baldosas</v>
      </c>
    </row>
    <row r="1760" spans="1:6" x14ac:dyDescent="0.25">
      <c r="A1760" s="43">
        <v>4105024</v>
      </c>
      <c r="B1760" t="s">
        <v>210</v>
      </c>
      <c r="C1760" s="43">
        <v>20012</v>
      </c>
      <c r="D1760" t="s">
        <v>2796</v>
      </c>
      <c r="E1760" s="47" t="str">
        <f>+Cuenta_Clasificacion[[#This Row],[Código Cuenta Contable]]&amp;" - "&amp;Cuenta_Clasificacion[[#This Row],[Nombre de Cuenta Contable]]</f>
        <v>4105024 - Proyectos No Ejecutados</v>
      </c>
      <c r="F1760" s="47" t="str">
        <f>+Cuenta_Clasificacion[[#This Row],[Codigo Concepto de imputación]]&amp;" - "&amp;Cuenta_Clasificacion[[#This Row],[Nombre Concepto de imputación]]</f>
        <v>20012 - Sbctto Carpintería en Madera</v>
      </c>
    </row>
    <row r="1761" spans="1:6" x14ac:dyDescent="0.25">
      <c r="A1761" s="43">
        <v>4105024</v>
      </c>
      <c r="B1761" t="s">
        <v>210</v>
      </c>
      <c r="C1761" s="43">
        <v>20013</v>
      </c>
      <c r="D1761" t="s">
        <v>2797</v>
      </c>
      <c r="E1761" s="47" t="str">
        <f>+Cuenta_Clasificacion[[#This Row],[Código Cuenta Contable]]&amp;" - "&amp;Cuenta_Clasificacion[[#This Row],[Nombre de Cuenta Contable]]</f>
        <v>4105024 - Proyectos No Ejecutados</v>
      </c>
      <c r="F1761" s="47" t="str">
        <f>+Cuenta_Clasificacion[[#This Row],[Codigo Concepto de imputación]]&amp;" - "&amp;Cuenta_Clasificacion[[#This Row],[Nombre Concepto de imputación]]</f>
        <v>20013 - Sbctto Cerámica</v>
      </c>
    </row>
    <row r="1762" spans="1:6" x14ac:dyDescent="0.25">
      <c r="A1762" s="43">
        <v>4105024</v>
      </c>
      <c r="B1762" t="s">
        <v>210</v>
      </c>
      <c r="C1762" s="43">
        <v>20014</v>
      </c>
      <c r="D1762" t="s">
        <v>2798</v>
      </c>
      <c r="E1762" s="47" t="str">
        <f>+Cuenta_Clasificacion[[#This Row],[Código Cuenta Contable]]&amp;" - "&amp;Cuenta_Clasificacion[[#This Row],[Nombre de Cuenta Contable]]</f>
        <v>4105024 - Proyectos No Ejecutados</v>
      </c>
      <c r="F1762" s="47" t="str">
        <f>+Cuenta_Clasificacion[[#This Row],[Codigo Concepto de imputación]]&amp;" - "&amp;Cuenta_Clasificacion[[#This Row],[Nombre Concepto de imputación]]</f>
        <v>20014 - Sbctto Cielos</v>
      </c>
    </row>
    <row r="1763" spans="1:6" x14ac:dyDescent="0.25">
      <c r="A1763" s="43">
        <v>4105024</v>
      </c>
      <c r="B1763" t="s">
        <v>210</v>
      </c>
      <c r="C1763" s="43">
        <v>20015</v>
      </c>
      <c r="D1763" t="s">
        <v>2799</v>
      </c>
      <c r="E1763" s="47" t="str">
        <f>+Cuenta_Clasificacion[[#This Row],[Código Cuenta Contable]]&amp;" - "&amp;Cuenta_Clasificacion[[#This Row],[Nombre de Cuenta Contable]]</f>
        <v>4105024 - Proyectos No Ejecutados</v>
      </c>
      <c r="F1763" s="47" t="str">
        <f>+Cuenta_Clasificacion[[#This Row],[Codigo Concepto de imputación]]&amp;" - "&amp;Cuenta_Clasificacion[[#This Row],[Nombre Concepto de imputación]]</f>
        <v>20015 - Sbctto Circuito Cerrado de TV</v>
      </c>
    </row>
    <row r="1764" spans="1:6" x14ac:dyDescent="0.25">
      <c r="A1764" s="43">
        <v>4105024</v>
      </c>
      <c r="B1764" t="s">
        <v>210</v>
      </c>
      <c r="C1764" s="43">
        <v>20016</v>
      </c>
      <c r="D1764" t="s">
        <v>2800</v>
      </c>
      <c r="E1764" s="47" t="str">
        <f>+Cuenta_Clasificacion[[#This Row],[Código Cuenta Contable]]&amp;" - "&amp;Cuenta_Clasificacion[[#This Row],[Nombre de Cuenta Contable]]</f>
        <v>4105024 - Proyectos No Ejecutados</v>
      </c>
      <c r="F1764" s="47" t="str">
        <f>+Cuenta_Clasificacion[[#This Row],[Codigo Concepto de imputación]]&amp;" - "&amp;Cuenta_Clasificacion[[#This Row],[Nombre Concepto de imputación]]</f>
        <v>20016 - Sbctto Control Centralizado</v>
      </c>
    </row>
    <row r="1765" spans="1:6" x14ac:dyDescent="0.25">
      <c r="A1765" s="43">
        <v>4105024</v>
      </c>
      <c r="B1765" t="s">
        <v>210</v>
      </c>
      <c r="C1765" s="43">
        <v>20017</v>
      </c>
      <c r="D1765" t="s">
        <v>2801</v>
      </c>
      <c r="E1765" s="47" t="str">
        <f>+Cuenta_Clasificacion[[#This Row],[Código Cuenta Contable]]&amp;" - "&amp;Cuenta_Clasificacion[[#This Row],[Nombre de Cuenta Contable]]</f>
        <v>4105024 - Proyectos No Ejecutados</v>
      </c>
      <c r="F1765" s="47" t="str">
        <f>+Cuenta_Clasificacion[[#This Row],[Codigo Concepto de imputación]]&amp;" - "&amp;Cuenta_Clasificacion[[#This Row],[Nombre Concepto de imputación]]</f>
        <v>20017 - Sbctto Control de Accesos</v>
      </c>
    </row>
    <row r="1766" spans="1:6" x14ac:dyDescent="0.25">
      <c r="A1766" s="43">
        <v>4105024</v>
      </c>
      <c r="B1766" t="s">
        <v>210</v>
      </c>
      <c r="C1766" s="43">
        <v>20018</v>
      </c>
      <c r="D1766" t="s">
        <v>2802</v>
      </c>
      <c r="E1766" s="47" t="str">
        <f>+Cuenta_Clasificacion[[#This Row],[Código Cuenta Contable]]&amp;" - "&amp;Cuenta_Clasificacion[[#This Row],[Nombre de Cuenta Contable]]</f>
        <v>4105024 - Proyectos No Ejecutados</v>
      </c>
      <c r="F1766" s="47" t="str">
        <f>+Cuenta_Clasificacion[[#This Row],[Codigo Concepto de imputación]]&amp;" - "&amp;Cuenta_Clasificacion[[#This Row],[Nombre Concepto de imputación]]</f>
        <v>20018 - Sbctto Corte de Pavimento</v>
      </c>
    </row>
    <row r="1767" spans="1:6" x14ac:dyDescent="0.25">
      <c r="A1767" s="43">
        <v>4105024</v>
      </c>
      <c r="B1767" t="s">
        <v>210</v>
      </c>
      <c r="C1767" s="43">
        <v>20019</v>
      </c>
      <c r="D1767" t="s">
        <v>2803</v>
      </c>
      <c r="E1767" s="47" t="str">
        <f>+Cuenta_Clasificacion[[#This Row],[Código Cuenta Contable]]&amp;" - "&amp;Cuenta_Clasificacion[[#This Row],[Nombre de Cuenta Contable]]</f>
        <v>4105024 - Proyectos No Ejecutados</v>
      </c>
      <c r="F1767" s="47" t="str">
        <f>+Cuenta_Clasificacion[[#This Row],[Codigo Concepto de imputación]]&amp;" - "&amp;Cuenta_Clasificacion[[#This Row],[Nombre Concepto de imputación]]</f>
        <v>20019 - Sbctto Demolición</v>
      </c>
    </row>
    <row r="1768" spans="1:6" x14ac:dyDescent="0.25">
      <c r="A1768" s="43">
        <v>4105024</v>
      </c>
      <c r="B1768" t="s">
        <v>210</v>
      </c>
      <c r="C1768" s="43">
        <v>20020</v>
      </c>
      <c r="D1768" t="s">
        <v>2804</v>
      </c>
      <c r="E1768" s="47" t="str">
        <f>+Cuenta_Clasificacion[[#This Row],[Código Cuenta Contable]]&amp;" - "&amp;Cuenta_Clasificacion[[#This Row],[Nombre de Cuenta Contable]]</f>
        <v>4105024 - Proyectos No Ejecutados</v>
      </c>
      <c r="F1768" s="47" t="str">
        <f>+Cuenta_Clasificacion[[#This Row],[Codigo Concepto de imputación]]&amp;" - "&amp;Cuenta_Clasificacion[[#This Row],[Nombre Concepto de imputación]]</f>
        <v>20020 - Sbctto Divisiones Exteriores</v>
      </c>
    </row>
    <row r="1769" spans="1:6" x14ac:dyDescent="0.25">
      <c r="A1769" s="43">
        <v>4105024</v>
      </c>
      <c r="B1769" t="s">
        <v>210</v>
      </c>
      <c r="C1769" s="43">
        <v>20021</v>
      </c>
      <c r="D1769" t="s">
        <v>2805</v>
      </c>
      <c r="E1769" s="47" t="str">
        <f>+Cuenta_Clasificacion[[#This Row],[Código Cuenta Contable]]&amp;" - "&amp;Cuenta_Clasificacion[[#This Row],[Nombre de Cuenta Contable]]</f>
        <v>4105024 - Proyectos No Ejecutados</v>
      </c>
      <c r="F1769" s="47" t="str">
        <f>+Cuenta_Clasificacion[[#This Row],[Codigo Concepto de imputación]]&amp;" - "&amp;Cuenta_Clasificacion[[#This Row],[Nombre Concepto de imputación]]</f>
        <v>20021 - Sbctto Divisiones Interiores</v>
      </c>
    </row>
    <row r="1770" spans="1:6" x14ac:dyDescent="0.25">
      <c r="A1770" s="43">
        <v>4105024</v>
      </c>
      <c r="B1770" t="s">
        <v>210</v>
      </c>
      <c r="C1770" s="43">
        <v>20022</v>
      </c>
      <c r="D1770" t="s">
        <v>2806</v>
      </c>
      <c r="E1770" s="47" t="str">
        <f>+Cuenta_Clasificacion[[#This Row],[Código Cuenta Contable]]&amp;" - "&amp;Cuenta_Clasificacion[[#This Row],[Nombre de Cuenta Contable]]</f>
        <v>4105024 - Proyectos No Ejecutados</v>
      </c>
      <c r="F1770" s="47" t="str">
        <f>+Cuenta_Clasificacion[[#This Row],[Codigo Concepto de imputación]]&amp;" - "&amp;Cuenta_Clasificacion[[#This Row],[Nombre Concepto de imputación]]</f>
        <v>20022 - Sbctto Elect. Domiciliario</v>
      </c>
    </row>
    <row r="1771" spans="1:6" x14ac:dyDescent="0.25">
      <c r="A1771" s="43">
        <v>4105024</v>
      </c>
      <c r="B1771" t="s">
        <v>210</v>
      </c>
      <c r="C1771" s="43">
        <v>20023</v>
      </c>
      <c r="D1771" t="s">
        <v>2807</v>
      </c>
      <c r="E1771" s="47" t="str">
        <f>+Cuenta_Clasificacion[[#This Row],[Código Cuenta Contable]]&amp;" - "&amp;Cuenta_Clasificacion[[#This Row],[Nombre de Cuenta Contable]]</f>
        <v>4105024 - Proyectos No Ejecutados</v>
      </c>
      <c r="F1771" s="47" t="str">
        <f>+Cuenta_Clasificacion[[#This Row],[Codigo Concepto de imputación]]&amp;" - "&amp;Cuenta_Clasificacion[[#This Row],[Nombre Concepto de imputación]]</f>
        <v>20023 - Sbctto Electricidad Industrial</v>
      </c>
    </row>
    <row r="1772" spans="1:6" x14ac:dyDescent="0.25">
      <c r="A1772" s="43">
        <v>4105024</v>
      </c>
      <c r="B1772" t="s">
        <v>210</v>
      </c>
      <c r="C1772" s="43">
        <v>20024</v>
      </c>
      <c r="D1772" t="s">
        <v>2808</v>
      </c>
      <c r="E1772" s="47" t="str">
        <f>+Cuenta_Clasificacion[[#This Row],[Código Cuenta Contable]]&amp;" - "&amp;Cuenta_Clasificacion[[#This Row],[Nombre de Cuenta Contable]]</f>
        <v>4105024 - Proyectos No Ejecutados</v>
      </c>
      <c r="F1772" s="47" t="str">
        <f>+Cuenta_Clasificacion[[#This Row],[Codigo Concepto de imputación]]&amp;" - "&amp;Cuenta_Clasificacion[[#This Row],[Nombre Concepto de imputación]]</f>
        <v>20024 - Sbctto Electricidad Provisoria</v>
      </c>
    </row>
    <row r="1773" spans="1:6" x14ac:dyDescent="0.25">
      <c r="A1773" s="43">
        <v>4105024</v>
      </c>
      <c r="B1773" t="s">
        <v>210</v>
      </c>
      <c r="C1773" s="43">
        <v>20025</v>
      </c>
      <c r="D1773" t="s">
        <v>2809</v>
      </c>
      <c r="E1773" s="47" t="str">
        <f>+Cuenta_Clasificacion[[#This Row],[Código Cuenta Contable]]&amp;" - "&amp;Cuenta_Clasificacion[[#This Row],[Nombre de Cuenta Contable]]</f>
        <v>4105024 - Proyectos No Ejecutados</v>
      </c>
      <c r="F1773" s="47" t="str">
        <f>+Cuenta_Clasificacion[[#This Row],[Codigo Concepto de imputación]]&amp;" - "&amp;Cuenta_Clasificacion[[#This Row],[Nombre Concepto de imputación]]</f>
        <v>20025 - Sbctto Enfierradura</v>
      </c>
    </row>
    <row r="1774" spans="1:6" x14ac:dyDescent="0.25">
      <c r="A1774" s="43">
        <v>4105024</v>
      </c>
      <c r="B1774" t="s">
        <v>210</v>
      </c>
      <c r="C1774" s="43">
        <v>20026</v>
      </c>
      <c r="D1774" t="s">
        <v>2810</v>
      </c>
      <c r="E1774" s="47" t="str">
        <f>+Cuenta_Clasificacion[[#This Row],[Código Cuenta Contable]]&amp;" - "&amp;Cuenta_Clasificacion[[#This Row],[Nombre de Cuenta Contable]]</f>
        <v>4105024 - Proyectos No Ejecutados</v>
      </c>
      <c r="F1774" s="47" t="str">
        <f>+Cuenta_Clasificacion[[#This Row],[Codigo Concepto de imputación]]&amp;" - "&amp;Cuenta_Clasificacion[[#This Row],[Nombre Concepto de imputación]]</f>
        <v>20026 - Sbctto Espejos</v>
      </c>
    </row>
    <row r="1775" spans="1:6" x14ac:dyDescent="0.25">
      <c r="A1775" s="43">
        <v>4105024</v>
      </c>
      <c r="B1775" t="s">
        <v>210</v>
      </c>
      <c r="C1775" s="43">
        <v>20027</v>
      </c>
      <c r="D1775" t="s">
        <v>2811</v>
      </c>
      <c r="E1775" s="47" t="str">
        <f>+Cuenta_Clasificacion[[#This Row],[Código Cuenta Contable]]&amp;" - "&amp;Cuenta_Clasificacion[[#This Row],[Nombre de Cuenta Contable]]</f>
        <v>4105024 - Proyectos No Ejecutados</v>
      </c>
      <c r="F1775" s="47" t="str">
        <f>+Cuenta_Clasificacion[[#This Row],[Codigo Concepto de imputación]]&amp;" - "&amp;Cuenta_Clasificacion[[#This Row],[Nombre Concepto de imputación]]</f>
        <v>20027 - Sbctto Estructuras Metálicas</v>
      </c>
    </row>
    <row r="1776" spans="1:6" x14ac:dyDescent="0.25">
      <c r="A1776" s="43">
        <v>4105024</v>
      </c>
      <c r="B1776" t="s">
        <v>210</v>
      </c>
      <c r="C1776" s="43">
        <v>20028</v>
      </c>
      <c r="D1776" t="s">
        <v>2812</v>
      </c>
      <c r="E1776" s="47" t="str">
        <f>+Cuenta_Clasificacion[[#This Row],[Código Cuenta Contable]]&amp;" - "&amp;Cuenta_Clasificacion[[#This Row],[Nombre de Cuenta Contable]]</f>
        <v>4105024 - Proyectos No Ejecutados</v>
      </c>
      <c r="F1776" s="47" t="str">
        <f>+Cuenta_Clasificacion[[#This Row],[Codigo Concepto de imputación]]&amp;" - "&amp;Cuenta_Clasificacion[[#This Row],[Nombre Concepto de imputación]]</f>
        <v>20028 - Sbctto Estuco</v>
      </c>
    </row>
    <row r="1777" spans="1:6" x14ac:dyDescent="0.25">
      <c r="A1777" s="43">
        <v>4105024</v>
      </c>
      <c r="B1777" t="s">
        <v>210</v>
      </c>
      <c r="C1777" s="43">
        <v>20029</v>
      </c>
      <c r="D1777" t="s">
        <v>2813</v>
      </c>
      <c r="E1777" s="47" t="str">
        <f>+Cuenta_Clasificacion[[#This Row],[Código Cuenta Contable]]&amp;" - "&amp;Cuenta_Clasificacion[[#This Row],[Nombre de Cuenta Contable]]</f>
        <v>4105024 - Proyectos No Ejecutados</v>
      </c>
      <c r="F1777" s="47" t="str">
        <f>+Cuenta_Clasificacion[[#This Row],[Codigo Concepto de imputación]]&amp;" - "&amp;Cuenta_Clasificacion[[#This Row],[Nombre Concepto de imputación]]</f>
        <v>20029 - Sbctto Excavaciones</v>
      </c>
    </row>
    <row r="1778" spans="1:6" x14ac:dyDescent="0.25">
      <c r="A1778" s="43">
        <v>4105024</v>
      </c>
      <c r="B1778" t="s">
        <v>210</v>
      </c>
      <c r="C1778" s="43">
        <v>20030</v>
      </c>
      <c r="D1778" t="s">
        <v>2814</v>
      </c>
      <c r="E1778" s="47" t="str">
        <f>+Cuenta_Clasificacion[[#This Row],[Código Cuenta Contable]]&amp;" - "&amp;Cuenta_Clasificacion[[#This Row],[Nombre de Cuenta Contable]]</f>
        <v>4105024 - Proyectos No Ejecutados</v>
      </c>
      <c r="F1778" s="47" t="str">
        <f>+Cuenta_Clasificacion[[#This Row],[Codigo Concepto de imputación]]&amp;" - "&amp;Cuenta_Clasificacion[[#This Row],[Nombre Concepto de imputación]]</f>
        <v>20030 - Sbctto Extracción de Escombros</v>
      </c>
    </row>
    <row r="1779" spans="1:6" x14ac:dyDescent="0.25">
      <c r="A1779" s="43">
        <v>4105024</v>
      </c>
      <c r="B1779" t="s">
        <v>210</v>
      </c>
      <c r="C1779" s="43">
        <v>20031</v>
      </c>
      <c r="D1779" t="s">
        <v>2815</v>
      </c>
      <c r="E1779" s="47" t="str">
        <f>+Cuenta_Clasificacion[[#This Row],[Código Cuenta Contable]]&amp;" - "&amp;Cuenta_Clasificacion[[#This Row],[Nombre de Cuenta Contable]]</f>
        <v>4105024 - Proyectos No Ejecutados</v>
      </c>
      <c r="F1779" s="47" t="str">
        <f>+Cuenta_Clasificacion[[#This Row],[Codigo Concepto de imputación]]&amp;" - "&amp;Cuenta_Clasificacion[[#This Row],[Nombre Concepto de imputación]]</f>
        <v>20031 - Sbctto Gas</v>
      </c>
    </row>
    <row r="1780" spans="1:6" x14ac:dyDescent="0.25">
      <c r="A1780" s="43">
        <v>4105024</v>
      </c>
      <c r="B1780" t="s">
        <v>210</v>
      </c>
      <c r="C1780" s="43">
        <v>20032</v>
      </c>
      <c r="D1780" t="s">
        <v>2816</v>
      </c>
      <c r="E1780" s="47" t="str">
        <f>+Cuenta_Clasificacion[[#This Row],[Código Cuenta Contable]]&amp;" - "&amp;Cuenta_Clasificacion[[#This Row],[Nombre de Cuenta Contable]]</f>
        <v>4105024 - Proyectos No Ejecutados</v>
      </c>
      <c r="F1780" s="47" t="str">
        <f>+Cuenta_Clasificacion[[#This Row],[Codigo Concepto de imputación]]&amp;" - "&amp;Cuenta_Clasificacion[[#This Row],[Nombre Concepto de imputación]]</f>
        <v>20032 - Sbctto Hojalatería</v>
      </c>
    </row>
    <row r="1781" spans="1:6" x14ac:dyDescent="0.25">
      <c r="A1781" s="43">
        <v>4105024</v>
      </c>
      <c r="B1781" t="s">
        <v>210</v>
      </c>
      <c r="C1781" s="43">
        <v>20033</v>
      </c>
      <c r="D1781" t="s">
        <v>2817</v>
      </c>
      <c r="E1781" s="47" t="str">
        <f>+Cuenta_Clasificacion[[#This Row],[Código Cuenta Contable]]&amp;" - "&amp;Cuenta_Clasificacion[[#This Row],[Nombre de Cuenta Contable]]</f>
        <v>4105024 - Proyectos No Ejecutados</v>
      </c>
      <c r="F1781" s="47" t="str">
        <f>+Cuenta_Clasificacion[[#This Row],[Codigo Concepto de imputación]]&amp;" - "&amp;Cuenta_Clasificacion[[#This Row],[Nombre Concepto de imputación]]</f>
        <v>20033 - Sbctto Hormigón Celular</v>
      </c>
    </row>
    <row r="1782" spans="1:6" x14ac:dyDescent="0.25">
      <c r="A1782" s="43">
        <v>4105024</v>
      </c>
      <c r="B1782" t="s">
        <v>210</v>
      </c>
      <c r="C1782" s="43">
        <v>20034</v>
      </c>
      <c r="D1782" t="s">
        <v>2818</v>
      </c>
      <c r="E1782" s="47" t="str">
        <f>+Cuenta_Clasificacion[[#This Row],[Código Cuenta Contable]]&amp;" - "&amp;Cuenta_Clasificacion[[#This Row],[Nombre de Cuenta Contable]]</f>
        <v>4105024 - Proyectos No Ejecutados</v>
      </c>
      <c r="F1782" s="47" t="str">
        <f>+Cuenta_Clasificacion[[#This Row],[Codigo Concepto de imputación]]&amp;" - "&amp;Cuenta_Clasificacion[[#This Row],[Nombre Concepto de imputación]]</f>
        <v>20034 - Sbctto Hormigón Premezclado</v>
      </c>
    </row>
    <row r="1783" spans="1:6" x14ac:dyDescent="0.25">
      <c r="A1783" s="43">
        <v>4105024</v>
      </c>
      <c r="B1783" t="s">
        <v>210</v>
      </c>
      <c r="C1783" s="43">
        <v>20035</v>
      </c>
      <c r="D1783" t="s">
        <v>2819</v>
      </c>
      <c r="E1783" s="47" t="str">
        <f>+Cuenta_Clasificacion[[#This Row],[Código Cuenta Contable]]&amp;" - "&amp;Cuenta_Clasificacion[[#This Row],[Nombre de Cuenta Contable]]</f>
        <v>4105024 - Proyectos No Ejecutados</v>
      </c>
      <c r="F1783" s="47" t="str">
        <f>+Cuenta_Clasificacion[[#This Row],[Codigo Concepto de imputación]]&amp;" - "&amp;Cuenta_Clasificacion[[#This Row],[Nombre Concepto de imputación]]</f>
        <v>20035 - Sbctto Impermeabilizaciones</v>
      </c>
    </row>
    <row r="1784" spans="1:6" x14ac:dyDescent="0.25">
      <c r="A1784" s="43">
        <v>4105024</v>
      </c>
      <c r="B1784" t="s">
        <v>210</v>
      </c>
      <c r="C1784" s="43">
        <v>20036</v>
      </c>
      <c r="D1784" t="s">
        <v>2820</v>
      </c>
      <c r="E1784" s="47" t="str">
        <f>+Cuenta_Clasificacion[[#This Row],[Código Cuenta Contable]]&amp;" - "&amp;Cuenta_Clasificacion[[#This Row],[Nombre de Cuenta Contable]]</f>
        <v>4105024 - Proyectos No Ejecutados</v>
      </c>
      <c r="F1784" s="47" t="str">
        <f>+Cuenta_Clasificacion[[#This Row],[Codigo Concepto de imputación]]&amp;" - "&amp;Cuenta_Clasificacion[[#This Row],[Nombre Concepto de imputación]]</f>
        <v>20036 - Sbctto Incendio Red Húmeda</v>
      </c>
    </row>
    <row r="1785" spans="1:6" x14ac:dyDescent="0.25">
      <c r="A1785" s="43">
        <v>4105024</v>
      </c>
      <c r="B1785" t="s">
        <v>210</v>
      </c>
      <c r="C1785" s="43">
        <v>20037</v>
      </c>
      <c r="D1785" t="s">
        <v>2821</v>
      </c>
      <c r="E1785" s="47" t="str">
        <f>+Cuenta_Clasificacion[[#This Row],[Código Cuenta Contable]]&amp;" - "&amp;Cuenta_Clasificacion[[#This Row],[Nombre de Cuenta Contable]]</f>
        <v>4105024 - Proyectos No Ejecutados</v>
      </c>
      <c r="F1785" s="47" t="str">
        <f>+Cuenta_Clasificacion[[#This Row],[Codigo Concepto de imputación]]&amp;" - "&amp;Cuenta_Clasificacion[[#This Row],[Nombre Concepto de imputación]]</f>
        <v>20037 - Sbctto Incendio Red Seca</v>
      </c>
    </row>
    <row r="1786" spans="1:6" x14ac:dyDescent="0.25">
      <c r="A1786" s="43">
        <v>4105024</v>
      </c>
      <c r="B1786" t="s">
        <v>210</v>
      </c>
      <c r="C1786" s="43">
        <v>20038</v>
      </c>
      <c r="D1786" t="s">
        <v>2822</v>
      </c>
      <c r="E1786" s="47" t="str">
        <f>+Cuenta_Clasificacion[[#This Row],[Código Cuenta Contable]]&amp;" - "&amp;Cuenta_Clasificacion[[#This Row],[Nombre de Cuenta Contable]]</f>
        <v>4105024 - Proyectos No Ejecutados</v>
      </c>
      <c r="F1786" s="47" t="str">
        <f>+Cuenta_Clasificacion[[#This Row],[Codigo Concepto de imputación]]&amp;" - "&amp;Cuenta_Clasificacion[[#This Row],[Nombre Concepto de imputación]]</f>
        <v>20038 - Sbctto Inst. Cornisas</v>
      </c>
    </row>
    <row r="1787" spans="1:6" x14ac:dyDescent="0.25">
      <c r="A1787" s="43">
        <v>4105024</v>
      </c>
      <c r="B1787" t="s">
        <v>210</v>
      </c>
      <c r="C1787" s="43">
        <v>20039</v>
      </c>
      <c r="D1787" t="s">
        <v>2823</v>
      </c>
      <c r="E1787" s="47" t="str">
        <f>+Cuenta_Clasificacion[[#This Row],[Código Cuenta Contable]]&amp;" - "&amp;Cuenta_Clasificacion[[#This Row],[Nombre de Cuenta Contable]]</f>
        <v>4105024 - Proyectos No Ejecutados</v>
      </c>
      <c r="F1787" s="47" t="str">
        <f>+Cuenta_Clasificacion[[#This Row],[Codigo Concepto de imputación]]&amp;" - "&amp;Cuenta_Clasificacion[[#This Row],[Nombre Concepto de imputación]]</f>
        <v>20039 - Sbctto Inst. Papel Mural</v>
      </c>
    </row>
    <row r="1788" spans="1:6" x14ac:dyDescent="0.25">
      <c r="A1788" s="43">
        <v>4105024</v>
      </c>
      <c r="B1788" t="s">
        <v>210</v>
      </c>
      <c r="C1788" s="43">
        <v>20040</v>
      </c>
      <c r="D1788" t="s">
        <v>2824</v>
      </c>
      <c r="E1788" s="47" t="str">
        <f>+Cuenta_Clasificacion[[#This Row],[Código Cuenta Contable]]&amp;" - "&amp;Cuenta_Clasificacion[[#This Row],[Nombre de Cuenta Contable]]</f>
        <v>4105024 - Proyectos No Ejecutados</v>
      </c>
      <c r="F1788" s="47" t="str">
        <f>+Cuenta_Clasificacion[[#This Row],[Codigo Concepto de imputación]]&amp;" - "&amp;Cuenta_Clasificacion[[#This Row],[Nombre Concepto de imputación]]</f>
        <v>20040 - Sbctto Inst. Piso Deck</v>
      </c>
    </row>
    <row r="1789" spans="1:6" x14ac:dyDescent="0.25">
      <c r="A1789" s="43">
        <v>4105024</v>
      </c>
      <c r="B1789" t="s">
        <v>210</v>
      </c>
      <c r="C1789" s="43">
        <v>20041</v>
      </c>
      <c r="D1789" t="s">
        <v>2825</v>
      </c>
      <c r="E1789" s="47" t="str">
        <f>+Cuenta_Clasificacion[[#This Row],[Código Cuenta Contable]]&amp;" - "&amp;Cuenta_Clasificacion[[#This Row],[Nombre de Cuenta Contable]]</f>
        <v>4105024 - Proyectos No Ejecutados</v>
      </c>
      <c r="F1789" s="47" t="str">
        <f>+Cuenta_Clasificacion[[#This Row],[Codigo Concepto de imputación]]&amp;" - "&amp;Cuenta_Clasificacion[[#This Row],[Nombre Concepto de imputación]]</f>
        <v>20041 - Sbctto Jardines</v>
      </c>
    </row>
    <row r="1790" spans="1:6" x14ac:dyDescent="0.25">
      <c r="A1790" s="43">
        <v>4105024</v>
      </c>
      <c r="B1790" t="s">
        <v>210</v>
      </c>
      <c r="C1790" s="43">
        <v>20042</v>
      </c>
      <c r="D1790" t="s">
        <v>2826</v>
      </c>
      <c r="E1790" s="47" t="str">
        <f>+Cuenta_Clasificacion[[#This Row],[Código Cuenta Contable]]&amp;" - "&amp;Cuenta_Clasificacion[[#This Row],[Nombre de Cuenta Contable]]</f>
        <v>4105024 - Proyectos No Ejecutados</v>
      </c>
      <c r="F1790" s="47" t="str">
        <f>+Cuenta_Clasificacion[[#This Row],[Codigo Concepto de imputación]]&amp;" - "&amp;Cuenta_Clasificacion[[#This Row],[Nombre Concepto de imputación]]</f>
        <v>20042 - Sbctto Junturas de Tabiques</v>
      </c>
    </row>
    <row r="1791" spans="1:6" x14ac:dyDescent="0.25">
      <c r="A1791" s="43">
        <v>4105024</v>
      </c>
      <c r="B1791" t="s">
        <v>210</v>
      </c>
      <c r="C1791" s="43">
        <v>20043</v>
      </c>
      <c r="D1791" t="s">
        <v>2827</v>
      </c>
      <c r="E1791" s="47" t="str">
        <f>+Cuenta_Clasificacion[[#This Row],[Código Cuenta Contable]]&amp;" - "&amp;Cuenta_Clasificacion[[#This Row],[Nombre de Cuenta Contable]]</f>
        <v>4105024 - Proyectos No Ejecutados</v>
      </c>
      <c r="F1791" s="47" t="str">
        <f>+Cuenta_Clasificacion[[#This Row],[Codigo Concepto de imputación]]&amp;" - "&amp;Cuenta_Clasificacion[[#This Row],[Nombre Concepto de imputación]]</f>
        <v>20043 - Sbctto Lab. de Hormigones</v>
      </c>
    </row>
    <row r="1792" spans="1:6" x14ac:dyDescent="0.25">
      <c r="A1792" s="43">
        <v>4105024</v>
      </c>
      <c r="B1792" t="s">
        <v>210</v>
      </c>
      <c r="C1792" s="43">
        <v>20044</v>
      </c>
      <c r="D1792" t="s">
        <v>2828</v>
      </c>
      <c r="E1792" s="47" t="str">
        <f>+Cuenta_Clasificacion[[#This Row],[Código Cuenta Contable]]&amp;" - "&amp;Cuenta_Clasificacion[[#This Row],[Nombre de Cuenta Contable]]</f>
        <v>4105024 - Proyectos No Ejecutados</v>
      </c>
      <c r="F1792" s="47" t="str">
        <f>+Cuenta_Clasificacion[[#This Row],[Codigo Concepto de imputación]]&amp;" - "&amp;Cuenta_Clasificacion[[#This Row],[Nombre Concepto de imputación]]</f>
        <v>20044 - Sbctto Mármol</v>
      </c>
    </row>
    <row r="1793" spans="1:6" x14ac:dyDescent="0.25">
      <c r="A1793" s="43">
        <v>4105024</v>
      </c>
      <c r="B1793" t="s">
        <v>210</v>
      </c>
      <c r="C1793" s="43">
        <v>20045</v>
      </c>
      <c r="D1793" t="s">
        <v>2829</v>
      </c>
      <c r="E1793" s="47" t="str">
        <f>+Cuenta_Clasificacion[[#This Row],[Código Cuenta Contable]]&amp;" - "&amp;Cuenta_Clasificacion[[#This Row],[Nombre de Cuenta Contable]]</f>
        <v>4105024 - Proyectos No Ejecutados</v>
      </c>
      <c r="F1793" s="47" t="str">
        <f>+Cuenta_Clasificacion[[#This Row],[Codigo Concepto de imputación]]&amp;" - "&amp;Cuenta_Clasificacion[[#This Row],[Nombre Concepto de imputación]]</f>
        <v>20045 - Sbctto Molduras</v>
      </c>
    </row>
    <row r="1794" spans="1:6" x14ac:dyDescent="0.25">
      <c r="A1794" s="43">
        <v>4105024</v>
      </c>
      <c r="B1794" t="s">
        <v>210</v>
      </c>
      <c r="C1794" s="43">
        <v>20046</v>
      </c>
      <c r="D1794" t="s">
        <v>2830</v>
      </c>
      <c r="E1794" s="47" t="str">
        <f>+Cuenta_Clasificacion[[#This Row],[Código Cuenta Contable]]&amp;" - "&amp;Cuenta_Clasificacion[[#This Row],[Nombre de Cuenta Contable]]</f>
        <v>4105024 - Proyectos No Ejecutados</v>
      </c>
      <c r="F1794" s="47" t="str">
        <f>+Cuenta_Clasificacion[[#This Row],[Codigo Concepto de imputación]]&amp;" - "&amp;Cuenta_Clasificacion[[#This Row],[Nombre Concepto de imputación]]</f>
        <v>20046 - Sbctto Montaje de Equipos</v>
      </c>
    </row>
    <row r="1795" spans="1:6" x14ac:dyDescent="0.25">
      <c r="A1795" s="43">
        <v>4105024</v>
      </c>
      <c r="B1795" t="s">
        <v>210</v>
      </c>
      <c r="C1795" s="43">
        <v>20047</v>
      </c>
      <c r="D1795" t="s">
        <v>2831</v>
      </c>
      <c r="E1795" s="47" t="str">
        <f>+Cuenta_Clasificacion[[#This Row],[Código Cuenta Contable]]&amp;" - "&amp;Cuenta_Clasificacion[[#This Row],[Nombre de Cuenta Contable]]</f>
        <v>4105024 - Proyectos No Ejecutados</v>
      </c>
      <c r="F1795" s="47" t="str">
        <f>+Cuenta_Clasificacion[[#This Row],[Codigo Concepto de imputación]]&amp;" - "&amp;Cuenta_Clasificacion[[#This Row],[Nombre Concepto de imputación]]</f>
        <v>20047 - Sbctto Muebles de Baño</v>
      </c>
    </row>
    <row r="1796" spans="1:6" x14ac:dyDescent="0.25">
      <c r="A1796" s="43">
        <v>4105024</v>
      </c>
      <c r="B1796" t="s">
        <v>210</v>
      </c>
      <c r="C1796" s="43">
        <v>20048</v>
      </c>
      <c r="D1796" t="s">
        <v>2832</v>
      </c>
      <c r="E1796" s="47" t="str">
        <f>+Cuenta_Clasificacion[[#This Row],[Código Cuenta Contable]]&amp;" - "&amp;Cuenta_Clasificacion[[#This Row],[Nombre de Cuenta Contable]]</f>
        <v>4105024 - Proyectos No Ejecutados</v>
      </c>
      <c r="F1796" s="47" t="str">
        <f>+Cuenta_Clasificacion[[#This Row],[Codigo Concepto de imputación]]&amp;" - "&amp;Cuenta_Clasificacion[[#This Row],[Nombre Concepto de imputación]]</f>
        <v>20048 - Sbctto Muebles de Closet</v>
      </c>
    </row>
    <row r="1797" spans="1:6" x14ac:dyDescent="0.25">
      <c r="A1797" s="43">
        <v>4105024</v>
      </c>
      <c r="B1797" t="s">
        <v>210</v>
      </c>
      <c r="C1797" s="43">
        <v>20049</v>
      </c>
      <c r="D1797" t="s">
        <v>2833</v>
      </c>
      <c r="E1797" s="47" t="str">
        <f>+Cuenta_Clasificacion[[#This Row],[Código Cuenta Contable]]&amp;" - "&amp;Cuenta_Clasificacion[[#This Row],[Nombre de Cuenta Contable]]</f>
        <v>4105024 - Proyectos No Ejecutados</v>
      </c>
      <c r="F1797" s="47" t="str">
        <f>+Cuenta_Clasificacion[[#This Row],[Codigo Concepto de imputación]]&amp;" - "&amp;Cuenta_Clasificacion[[#This Row],[Nombre Concepto de imputación]]</f>
        <v>20049 - Sbctto Muebles de Cocina</v>
      </c>
    </row>
    <row r="1798" spans="1:6" x14ac:dyDescent="0.25">
      <c r="A1798" s="43">
        <v>4105024</v>
      </c>
      <c r="B1798" t="s">
        <v>210</v>
      </c>
      <c r="C1798" s="43">
        <v>20050</v>
      </c>
      <c r="D1798" t="s">
        <v>2834</v>
      </c>
      <c r="E1798" s="47" t="str">
        <f>+Cuenta_Clasificacion[[#This Row],[Código Cuenta Contable]]&amp;" - "&amp;Cuenta_Clasificacion[[#This Row],[Nombre de Cuenta Contable]]</f>
        <v>4105024 - Proyectos No Ejecutados</v>
      </c>
      <c r="F1798" s="47" t="str">
        <f>+Cuenta_Clasificacion[[#This Row],[Codigo Concepto de imputación]]&amp;" - "&amp;Cuenta_Clasificacion[[#This Row],[Nombre Concepto de imputación]]</f>
        <v>20050 - Sbctto Muebles de Oficina</v>
      </c>
    </row>
    <row r="1799" spans="1:6" x14ac:dyDescent="0.25">
      <c r="A1799" s="43">
        <v>4105024</v>
      </c>
      <c r="B1799" t="s">
        <v>210</v>
      </c>
      <c r="C1799" s="43">
        <v>20051</v>
      </c>
      <c r="D1799" t="s">
        <v>2835</v>
      </c>
      <c r="E1799" s="47" t="str">
        <f>+Cuenta_Clasificacion[[#This Row],[Código Cuenta Contable]]&amp;" - "&amp;Cuenta_Clasificacion[[#This Row],[Nombre de Cuenta Contable]]</f>
        <v>4105024 - Proyectos No Ejecutados</v>
      </c>
      <c r="F1799" s="47" t="str">
        <f>+Cuenta_Clasificacion[[#This Row],[Codigo Concepto de imputación]]&amp;" - "&amp;Cuenta_Clasificacion[[#This Row],[Nombre Concepto de imputación]]</f>
        <v>20051 - Sbctto Otros Ensayos</v>
      </c>
    </row>
    <row r="1800" spans="1:6" x14ac:dyDescent="0.25">
      <c r="A1800" s="43">
        <v>4105024</v>
      </c>
      <c r="B1800" t="s">
        <v>210</v>
      </c>
      <c r="C1800" s="43">
        <v>20052</v>
      </c>
      <c r="D1800" t="s">
        <v>2836</v>
      </c>
      <c r="E1800" s="47" t="str">
        <f>+Cuenta_Clasificacion[[#This Row],[Código Cuenta Contable]]&amp;" - "&amp;Cuenta_Clasificacion[[#This Row],[Nombre de Cuenta Contable]]</f>
        <v>4105024 - Proyectos No Ejecutados</v>
      </c>
      <c r="F1800" s="47" t="str">
        <f>+Cuenta_Clasificacion[[#This Row],[Codigo Concepto de imputación]]&amp;" - "&amp;Cuenta_Clasificacion[[#This Row],[Nombre Concepto de imputación]]</f>
        <v>20052 - Sbctto Otros Muebles</v>
      </c>
    </row>
    <row r="1801" spans="1:6" x14ac:dyDescent="0.25">
      <c r="A1801" s="43">
        <v>4105024</v>
      </c>
      <c r="B1801" t="s">
        <v>210</v>
      </c>
      <c r="C1801" s="43">
        <v>20053</v>
      </c>
      <c r="D1801" t="s">
        <v>2837</v>
      </c>
      <c r="E1801" s="47" t="str">
        <f>+Cuenta_Clasificacion[[#This Row],[Código Cuenta Contable]]&amp;" - "&amp;Cuenta_Clasificacion[[#This Row],[Nombre de Cuenta Contable]]</f>
        <v>4105024 - Proyectos No Ejecutados</v>
      </c>
      <c r="F1801" s="47" t="str">
        <f>+Cuenta_Clasificacion[[#This Row],[Codigo Concepto de imputación]]&amp;" - "&amp;Cuenta_Clasificacion[[#This Row],[Nombre Concepto de imputación]]</f>
        <v>20053 - Sbctto Otros Pisos</v>
      </c>
    </row>
    <row r="1802" spans="1:6" x14ac:dyDescent="0.25">
      <c r="A1802" s="43">
        <v>4105024</v>
      </c>
      <c r="B1802" t="s">
        <v>210</v>
      </c>
      <c r="C1802" s="43">
        <v>20054</v>
      </c>
      <c r="D1802" t="s">
        <v>2838</v>
      </c>
      <c r="E1802" s="47" t="str">
        <f>+Cuenta_Clasificacion[[#This Row],[Código Cuenta Contable]]&amp;" - "&amp;Cuenta_Clasificacion[[#This Row],[Nombre de Cuenta Contable]]</f>
        <v>4105024 - Proyectos No Ejecutados</v>
      </c>
      <c r="F1802" s="47" t="str">
        <f>+Cuenta_Clasificacion[[#This Row],[Codigo Concepto de imputación]]&amp;" - "&amp;Cuenta_Clasificacion[[#This Row],[Nombre Concepto de imputación]]</f>
        <v>20054 - Sbctto Papel Mural</v>
      </c>
    </row>
    <row r="1803" spans="1:6" x14ac:dyDescent="0.25">
      <c r="A1803" s="43">
        <v>4105024</v>
      </c>
      <c r="B1803" t="s">
        <v>210</v>
      </c>
      <c r="C1803" s="43">
        <v>20055</v>
      </c>
      <c r="D1803" t="s">
        <v>2839</v>
      </c>
      <c r="E1803" s="47" t="str">
        <f>+Cuenta_Clasificacion[[#This Row],[Código Cuenta Contable]]&amp;" - "&amp;Cuenta_Clasificacion[[#This Row],[Nombre de Cuenta Contable]]</f>
        <v>4105024 - Proyectos No Ejecutados</v>
      </c>
      <c r="F1803" s="47" t="str">
        <f>+Cuenta_Clasificacion[[#This Row],[Codigo Concepto de imputación]]&amp;" - "&amp;Cuenta_Clasificacion[[#This Row],[Nombre Concepto de imputación]]</f>
        <v>20055 - Sbctto Pavimentos</v>
      </c>
    </row>
    <row r="1804" spans="1:6" x14ac:dyDescent="0.25">
      <c r="A1804" s="43">
        <v>4105024</v>
      </c>
      <c r="B1804" t="s">
        <v>210</v>
      </c>
      <c r="C1804" s="43">
        <v>20056</v>
      </c>
      <c r="D1804" t="s">
        <v>2840</v>
      </c>
      <c r="E1804" s="47" t="str">
        <f>+Cuenta_Clasificacion[[#This Row],[Código Cuenta Contable]]&amp;" - "&amp;Cuenta_Clasificacion[[#This Row],[Nombre de Cuenta Contable]]</f>
        <v>4105024 - Proyectos No Ejecutados</v>
      </c>
      <c r="F1804" s="47" t="str">
        <f>+Cuenta_Clasificacion[[#This Row],[Codigo Concepto de imputación]]&amp;" - "&amp;Cuenta_Clasificacion[[#This Row],[Nombre Concepto de imputación]]</f>
        <v>20056 - Sbctto Perforación de Hormigón</v>
      </c>
    </row>
    <row r="1805" spans="1:6" x14ac:dyDescent="0.25">
      <c r="A1805" s="43">
        <v>4105024</v>
      </c>
      <c r="B1805" t="s">
        <v>210</v>
      </c>
      <c r="C1805" s="43">
        <v>20057</v>
      </c>
      <c r="D1805" t="s">
        <v>2841</v>
      </c>
      <c r="E1805" s="47" t="str">
        <f>+Cuenta_Clasificacion[[#This Row],[Código Cuenta Contable]]&amp;" - "&amp;Cuenta_Clasificacion[[#This Row],[Nombre de Cuenta Contable]]</f>
        <v>4105024 - Proyectos No Ejecutados</v>
      </c>
      <c r="F1805" s="47" t="str">
        <f>+Cuenta_Clasificacion[[#This Row],[Codigo Concepto de imputación]]&amp;" - "&amp;Cuenta_Clasificacion[[#This Row],[Nombre Concepto de imputación]]</f>
        <v>20057 - Sbctto Pilas</v>
      </c>
    </row>
    <row r="1806" spans="1:6" x14ac:dyDescent="0.25">
      <c r="A1806" s="43">
        <v>4105024</v>
      </c>
      <c r="B1806" t="s">
        <v>210</v>
      </c>
      <c r="C1806" s="43">
        <v>20058</v>
      </c>
      <c r="D1806" t="s">
        <v>2842</v>
      </c>
      <c r="E1806" s="47" t="str">
        <f>+Cuenta_Clasificacion[[#This Row],[Código Cuenta Contable]]&amp;" - "&amp;Cuenta_Clasificacion[[#This Row],[Nombre de Cuenta Contable]]</f>
        <v>4105024 - Proyectos No Ejecutados</v>
      </c>
      <c r="F1806" s="47" t="str">
        <f>+Cuenta_Clasificacion[[#This Row],[Codigo Concepto de imputación]]&amp;" - "&amp;Cuenta_Clasificacion[[#This Row],[Nombre Concepto de imputación]]</f>
        <v>20058 - Sbctto Pinturas</v>
      </c>
    </row>
    <row r="1807" spans="1:6" x14ac:dyDescent="0.25">
      <c r="A1807" s="43">
        <v>4105024</v>
      </c>
      <c r="B1807" t="s">
        <v>210</v>
      </c>
      <c r="C1807" s="43">
        <v>20059</v>
      </c>
      <c r="D1807" t="s">
        <v>2843</v>
      </c>
      <c r="E1807" s="47" t="str">
        <f>+Cuenta_Clasificacion[[#This Row],[Código Cuenta Contable]]&amp;" - "&amp;Cuenta_Clasificacion[[#This Row],[Nombre de Cuenta Contable]]</f>
        <v>4105024 - Proyectos No Ejecutados</v>
      </c>
      <c r="F1807" s="47" t="str">
        <f>+Cuenta_Clasificacion[[#This Row],[Codigo Concepto de imputación]]&amp;" - "&amp;Cuenta_Clasificacion[[#This Row],[Nombre Concepto de imputación]]</f>
        <v>20059 - Sbctto Piso Flotante</v>
      </c>
    </row>
    <row r="1808" spans="1:6" x14ac:dyDescent="0.25">
      <c r="A1808" s="43">
        <v>4105024</v>
      </c>
      <c r="B1808" t="s">
        <v>210</v>
      </c>
      <c r="C1808" s="43">
        <v>20060</v>
      </c>
      <c r="D1808" t="s">
        <v>2844</v>
      </c>
      <c r="E1808" s="47" t="str">
        <f>+Cuenta_Clasificacion[[#This Row],[Código Cuenta Contable]]&amp;" - "&amp;Cuenta_Clasificacion[[#This Row],[Nombre de Cuenta Contable]]</f>
        <v>4105024 - Proyectos No Ejecutados</v>
      </c>
      <c r="F1808" s="47" t="str">
        <f>+Cuenta_Clasificacion[[#This Row],[Codigo Concepto de imputación]]&amp;" - "&amp;Cuenta_Clasificacion[[#This Row],[Nombre Concepto de imputación]]</f>
        <v>20060 - Sbctto Plásticos</v>
      </c>
    </row>
    <row r="1809" spans="1:6" x14ac:dyDescent="0.25">
      <c r="A1809" s="43">
        <v>4105024</v>
      </c>
      <c r="B1809" t="s">
        <v>210</v>
      </c>
      <c r="C1809" s="43">
        <v>20061</v>
      </c>
      <c r="D1809" t="s">
        <v>2845</v>
      </c>
      <c r="E1809" s="47" t="str">
        <f>+Cuenta_Clasificacion[[#This Row],[Código Cuenta Contable]]&amp;" - "&amp;Cuenta_Clasificacion[[#This Row],[Nombre de Cuenta Contable]]</f>
        <v>4105024 - Proyectos No Ejecutados</v>
      </c>
      <c r="F1809" s="47" t="str">
        <f>+Cuenta_Clasificacion[[#This Row],[Codigo Concepto de imputación]]&amp;" - "&amp;Cuenta_Clasificacion[[#This Row],[Nombre Concepto de imputación]]</f>
        <v>20061 - Sbctto Preparación de Muros</v>
      </c>
    </row>
    <row r="1810" spans="1:6" x14ac:dyDescent="0.25">
      <c r="A1810" s="43">
        <v>4105024</v>
      </c>
      <c r="B1810" t="s">
        <v>210</v>
      </c>
      <c r="C1810" s="43">
        <v>20062</v>
      </c>
      <c r="D1810" t="s">
        <v>2846</v>
      </c>
      <c r="E1810" s="47" t="str">
        <f>+Cuenta_Clasificacion[[#This Row],[Código Cuenta Contable]]&amp;" - "&amp;Cuenta_Clasificacion[[#This Row],[Nombre de Cuenta Contable]]</f>
        <v>4105024 - Proyectos No Ejecutados</v>
      </c>
      <c r="F1810" s="47" t="str">
        <f>+Cuenta_Clasificacion[[#This Row],[Codigo Concepto de imputación]]&amp;" - "&amp;Cuenta_Clasificacion[[#This Row],[Nombre Concepto de imputación]]</f>
        <v>20062 - Sbctto Presurización</v>
      </c>
    </row>
    <row r="1811" spans="1:6" x14ac:dyDescent="0.25">
      <c r="A1811" s="43">
        <v>4105024</v>
      </c>
      <c r="B1811" t="s">
        <v>210</v>
      </c>
      <c r="C1811" s="43">
        <v>20063</v>
      </c>
      <c r="D1811" t="s">
        <v>2847</v>
      </c>
      <c r="E1811" s="47" t="str">
        <f>+Cuenta_Clasificacion[[#This Row],[Código Cuenta Contable]]&amp;" - "&amp;Cuenta_Clasificacion[[#This Row],[Nombre de Cuenta Contable]]</f>
        <v>4105024 - Proyectos No Ejecutados</v>
      </c>
      <c r="F1811" s="47" t="str">
        <f>+Cuenta_Clasificacion[[#This Row],[Codigo Concepto de imputación]]&amp;" - "&amp;Cuenta_Clasificacion[[#This Row],[Nombre Concepto de imputación]]</f>
        <v>20063 - Sbctto Puertas</v>
      </c>
    </row>
    <row r="1812" spans="1:6" x14ac:dyDescent="0.25">
      <c r="A1812" s="43">
        <v>4105024</v>
      </c>
      <c r="B1812" t="s">
        <v>210</v>
      </c>
      <c r="C1812" s="43">
        <v>20064</v>
      </c>
      <c r="D1812" t="s">
        <v>2848</v>
      </c>
      <c r="E1812" s="47" t="str">
        <f>+Cuenta_Clasificacion[[#This Row],[Código Cuenta Contable]]&amp;" - "&amp;Cuenta_Clasificacion[[#This Row],[Nombre de Cuenta Contable]]</f>
        <v>4105024 - Proyectos No Ejecutados</v>
      </c>
      <c r="F1812" s="47" t="str">
        <f>+Cuenta_Clasificacion[[#This Row],[Codigo Concepto de imputación]]&amp;" - "&amp;Cuenta_Clasificacion[[#This Row],[Nombre Concepto de imputación]]</f>
        <v>20064 - Sbctto Pulido de Pisos</v>
      </c>
    </row>
    <row r="1813" spans="1:6" x14ac:dyDescent="0.25">
      <c r="A1813" s="43">
        <v>4105024</v>
      </c>
      <c r="B1813" t="s">
        <v>210</v>
      </c>
      <c r="C1813" s="43">
        <v>20065</v>
      </c>
      <c r="D1813" t="s">
        <v>2849</v>
      </c>
      <c r="E1813" s="47" t="str">
        <f>+Cuenta_Clasificacion[[#This Row],[Código Cuenta Contable]]&amp;" - "&amp;Cuenta_Clasificacion[[#This Row],[Nombre de Cuenta Contable]]</f>
        <v>4105024 - Proyectos No Ejecutados</v>
      </c>
      <c r="F1813" s="47" t="str">
        <f>+Cuenta_Clasificacion[[#This Row],[Codigo Concepto de imputación]]&amp;" - "&amp;Cuenta_Clasificacion[[#This Row],[Nombre Concepto de imputación]]</f>
        <v>20065 - Sbctto Quincallería</v>
      </c>
    </row>
    <row r="1814" spans="1:6" x14ac:dyDescent="0.25">
      <c r="A1814" s="43">
        <v>4105024</v>
      </c>
      <c r="B1814" t="s">
        <v>210</v>
      </c>
      <c r="C1814" s="43">
        <v>20066</v>
      </c>
      <c r="D1814" t="s">
        <v>2850</v>
      </c>
      <c r="E1814" s="47" t="str">
        <f>+Cuenta_Clasificacion[[#This Row],[Código Cuenta Contable]]&amp;" - "&amp;Cuenta_Clasificacion[[#This Row],[Nombre de Cuenta Contable]]</f>
        <v>4105024 - Proyectos No Ejecutados</v>
      </c>
      <c r="F1814" s="47" t="str">
        <f>+Cuenta_Clasificacion[[#This Row],[Codigo Concepto de imputación]]&amp;" - "&amp;Cuenta_Clasificacion[[#This Row],[Nombre Concepto de imputación]]</f>
        <v>20066 - Sbctto Red de Calefacción</v>
      </c>
    </row>
    <row r="1815" spans="1:6" x14ac:dyDescent="0.25">
      <c r="A1815" s="43">
        <v>4105024</v>
      </c>
      <c r="B1815" t="s">
        <v>210</v>
      </c>
      <c r="C1815" s="43">
        <v>20067</v>
      </c>
      <c r="D1815" t="s">
        <v>2851</v>
      </c>
      <c r="E1815" s="47" t="str">
        <f>+Cuenta_Clasificacion[[#This Row],[Código Cuenta Contable]]&amp;" - "&amp;Cuenta_Clasificacion[[#This Row],[Nombre de Cuenta Contable]]</f>
        <v>4105024 - Proyectos No Ejecutados</v>
      </c>
      <c r="F1815" s="47" t="str">
        <f>+Cuenta_Clasificacion[[#This Row],[Codigo Concepto de imputación]]&amp;" - "&amp;Cuenta_Clasificacion[[#This Row],[Nombre Concepto de imputación]]</f>
        <v>20067 - Sbctto Retiro Escombros</v>
      </c>
    </row>
    <row r="1816" spans="1:6" x14ac:dyDescent="0.25">
      <c r="A1816" s="43">
        <v>4105024</v>
      </c>
      <c r="B1816" t="s">
        <v>210</v>
      </c>
      <c r="C1816" s="43">
        <v>20068</v>
      </c>
      <c r="D1816" t="s">
        <v>2852</v>
      </c>
      <c r="E1816" s="47" t="str">
        <f>+Cuenta_Clasificacion[[#This Row],[Código Cuenta Contable]]&amp;" - "&amp;Cuenta_Clasificacion[[#This Row],[Nombre de Cuenta Contable]]</f>
        <v>4105024 - Proyectos No Ejecutados</v>
      </c>
      <c r="F1816" s="47" t="str">
        <f>+Cuenta_Clasificacion[[#This Row],[Codigo Concepto de imputación]]&amp;" - "&amp;Cuenta_Clasificacion[[#This Row],[Nombre Concepto de imputación]]</f>
        <v>20068 - Sbctto Señalética</v>
      </c>
    </row>
    <row r="1817" spans="1:6" x14ac:dyDescent="0.25">
      <c r="A1817" s="43">
        <v>4105024</v>
      </c>
      <c r="B1817" t="s">
        <v>210</v>
      </c>
      <c r="C1817" s="43">
        <v>20069</v>
      </c>
      <c r="D1817" t="s">
        <v>2853</v>
      </c>
      <c r="E1817" s="47" t="str">
        <f>+Cuenta_Clasificacion[[#This Row],[Código Cuenta Contable]]&amp;" - "&amp;Cuenta_Clasificacion[[#This Row],[Nombre de Cuenta Contable]]</f>
        <v>4105024 - Proyectos No Ejecutados</v>
      </c>
      <c r="F1817" s="47" t="str">
        <f>+Cuenta_Clasificacion[[#This Row],[Codigo Concepto de imputación]]&amp;" - "&amp;Cuenta_Clasificacion[[#This Row],[Nombre Concepto de imputación]]</f>
        <v>20069 - Sbctto Servicio de Aseo</v>
      </c>
    </row>
    <row r="1818" spans="1:6" x14ac:dyDescent="0.25">
      <c r="A1818" s="43">
        <v>4105024</v>
      </c>
      <c r="B1818" t="s">
        <v>210</v>
      </c>
      <c r="C1818" s="43">
        <v>20070</v>
      </c>
      <c r="D1818" t="s">
        <v>2854</v>
      </c>
      <c r="E1818" s="47" t="str">
        <f>+Cuenta_Clasificacion[[#This Row],[Código Cuenta Contable]]&amp;" - "&amp;Cuenta_Clasificacion[[#This Row],[Nombre de Cuenta Contable]]</f>
        <v>4105024 - Proyectos No Ejecutados</v>
      </c>
      <c r="F1818" s="47" t="str">
        <f>+Cuenta_Clasificacion[[#This Row],[Codigo Concepto de imputación]]&amp;" - "&amp;Cuenta_Clasificacion[[#This Row],[Nombre Concepto de imputación]]</f>
        <v>20070 - Sbctto Suelos</v>
      </c>
    </row>
    <row r="1819" spans="1:6" x14ac:dyDescent="0.25">
      <c r="A1819" s="43">
        <v>4105024</v>
      </c>
      <c r="B1819" t="s">
        <v>210</v>
      </c>
      <c r="C1819" s="43">
        <v>20071</v>
      </c>
      <c r="D1819" t="s">
        <v>2855</v>
      </c>
      <c r="E1819" s="47" t="str">
        <f>+Cuenta_Clasificacion[[#This Row],[Código Cuenta Contable]]&amp;" - "&amp;Cuenta_Clasificacion[[#This Row],[Nombre de Cuenta Contable]]</f>
        <v>4105024 - Proyectos No Ejecutados</v>
      </c>
      <c r="F1819" s="47" t="str">
        <f>+Cuenta_Clasificacion[[#This Row],[Codigo Concepto de imputación]]&amp;" - "&amp;Cuenta_Clasificacion[[#This Row],[Nombre Concepto de imputación]]</f>
        <v>20071 - Sbctto Tabiques</v>
      </c>
    </row>
    <row r="1820" spans="1:6" x14ac:dyDescent="0.25">
      <c r="A1820" s="43">
        <v>4105024</v>
      </c>
      <c r="B1820" t="s">
        <v>210</v>
      </c>
      <c r="C1820" s="43">
        <v>20072</v>
      </c>
      <c r="D1820" t="s">
        <v>2856</v>
      </c>
      <c r="E1820" s="47" t="str">
        <f>+Cuenta_Clasificacion[[#This Row],[Código Cuenta Contable]]&amp;" - "&amp;Cuenta_Clasificacion[[#This Row],[Nombre de Cuenta Contable]]</f>
        <v>4105024 - Proyectos No Ejecutados</v>
      </c>
      <c r="F1820" s="47" t="str">
        <f>+Cuenta_Clasificacion[[#This Row],[Codigo Concepto de imputación]]&amp;" - "&amp;Cuenta_Clasificacion[[#This Row],[Nombre Concepto de imputación]]</f>
        <v>20072 - Sbctto Techumbres y Cubiertas</v>
      </c>
    </row>
    <row r="1821" spans="1:6" x14ac:dyDescent="0.25">
      <c r="A1821" s="43">
        <v>4105024</v>
      </c>
      <c r="B1821" t="s">
        <v>210</v>
      </c>
      <c r="C1821" s="43">
        <v>20073</v>
      </c>
      <c r="D1821" t="s">
        <v>2857</v>
      </c>
      <c r="E1821" s="47" t="str">
        <f>+Cuenta_Clasificacion[[#This Row],[Código Cuenta Contable]]&amp;" - "&amp;Cuenta_Clasificacion[[#This Row],[Nombre de Cuenta Contable]]</f>
        <v>4105024 - Proyectos No Ejecutados</v>
      </c>
      <c r="F1821" s="47" t="str">
        <f>+Cuenta_Clasificacion[[#This Row],[Codigo Concepto de imputación]]&amp;" - "&amp;Cuenta_Clasificacion[[#This Row],[Nombre Concepto de imputación]]</f>
        <v>20073 - Sbctto Topografía</v>
      </c>
    </row>
    <row r="1822" spans="1:6" x14ac:dyDescent="0.25">
      <c r="A1822" s="43">
        <v>4105024</v>
      </c>
      <c r="B1822" t="s">
        <v>210</v>
      </c>
      <c r="C1822" s="43">
        <v>20074</v>
      </c>
      <c r="D1822" t="s">
        <v>2858</v>
      </c>
      <c r="E1822" s="47" t="str">
        <f>+Cuenta_Clasificacion[[#This Row],[Código Cuenta Contable]]&amp;" - "&amp;Cuenta_Clasificacion[[#This Row],[Nombre de Cuenta Contable]]</f>
        <v>4105024 - Proyectos No Ejecutados</v>
      </c>
      <c r="F1822" s="47" t="str">
        <f>+Cuenta_Clasificacion[[#This Row],[Codigo Concepto de imputación]]&amp;" - "&amp;Cuenta_Clasificacion[[#This Row],[Nombre Concepto de imputación]]</f>
        <v>20074 - Sbctto Trámites</v>
      </c>
    </row>
    <row r="1823" spans="1:6" x14ac:dyDescent="0.25">
      <c r="A1823" s="43">
        <v>4105024</v>
      </c>
      <c r="B1823" t="s">
        <v>210</v>
      </c>
      <c r="C1823" s="43">
        <v>20075</v>
      </c>
      <c r="D1823" t="s">
        <v>2859</v>
      </c>
      <c r="E1823" s="47" t="str">
        <f>+Cuenta_Clasificacion[[#This Row],[Código Cuenta Contable]]&amp;" - "&amp;Cuenta_Clasificacion[[#This Row],[Nombre de Cuenta Contable]]</f>
        <v>4105024 - Proyectos No Ejecutados</v>
      </c>
      <c r="F1823" s="47" t="str">
        <f>+Cuenta_Clasificacion[[#This Row],[Codigo Concepto de imputación]]&amp;" - "&amp;Cuenta_Clasificacion[[#This Row],[Nombre Concepto de imputación]]</f>
        <v>20075 - Sbctto Transporte</v>
      </c>
    </row>
    <row r="1824" spans="1:6" x14ac:dyDescent="0.25">
      <c r="A1824" s="43">
        <v>4105024</v>
      </c>
      <c r="B1824" t="s">
        <v>210</v>
      </c>
      <c r="C1824" s="43">
        <v>20076</v>
      </c>
      <c r="D1824" t="s">
        <v>2860</v>
      </c>
      <c r="E1824" s="47" t="str">
        <f>+Cuenta_Clasificacion[[#This Row],[Código Cuenta Contable]]&amp;" - "&amp;Cuenta_Clasificacion[[#This Row],[Nombre de Cuenta Contable]]</f>
        <v>4105024 - Proyectos No Ejecutados</v>
      </c>
      <c r="F1824" s="47" t="str">
        <f>+Cuenta_Clasificacion[[#This Row],[Codigo Concepto de imputación]]&amp;" - "&amp;Cuenta_Clasificacion[[#This Row],[Nombre Concepto de imputación]]</f>
        <v>20076 - Sbctto Ventanas</v>
      </c>
    </row>
    <row r="1825" spans="1:6" x14ac:dyDescent="0.25">
      <c r="A1825" s="43">
        <v>4105024</v>
      </c>
      <c r="B1825" t="s">
        <v>210</v>
      </c>
      <c r="C1825" s="43">
        <v>20077</v>
      </c>
      <c r="D1825" t="s">
        <v>2861</v>
      </c>
      <c r="E1825" s="47" t="str">
        <f>+Cuenta_Clasificacion[[#This Row],[Código Cuenta Contable]]&amp;" - "&amp;Cuenta_Clasificacion[[#This Row],[Nombre de Cuenta Contable]]</f>
        <v>4105024 - Proyectos No Ejecutados</v>
      </c>
      <c r="F1825" s="47" t="str">
        <f>+Cuenta_Clasificacion[[#This Row],[Codigo Concepto de imputación]]&amp;" - "&amp;Cuenta_Clasificacion[[#This Row],[Nombre Concepto de imputación]]</f>
        <v>20077 - Sbctto Vitrificado</v>
      </c>
    </row>
    <row r="1826" spans="1:6" x14ac:dyDescent="0.25">
      <c r="A1826" s="43">
        <v>4105024</v>
      </c>
      <c r="B1826" t="s">
        <v>210</v>
      </c>
      <c r="C1826" s="43">
        <v>20078</v>
      </c>
      <c r="D1826" t="s">
        <v>2862</v>
      </c>
      <c r="E1826" s="47" t="str">
        <f>+Cuenta_Clasificacion[[#This Row],[Código Cuenta Contable]]&amp;" - "&amp;Cuenta_Clasificacion[[#This Row],[Nombre de Cuenta Contable]]</f>
        <v>4105024 - Proyectos No Ejecutados</v>
      </c>
      <c r="F1826" s="47" t="str">
        <f>+Cuenta_Clasificacion[[#This Row],[Codigo Concepto de imputación]]&amp;" - "&amp;Cuenta_Clasificacion[[#This Row],[Nombre Concepto de imputación]]</f>
        <v>20078 - Sbctto Zincado, Galvanizado</v>
      </c>
    </row>
    <row r="1827" spans="1:6" x14ac:dyDescent="0.25">
      <c r="A1827" s="43">
        <v>4105024</v>
      </c>
      <c r="B1827" t="s">
        <v>210</v>
      </c>
      <c r="C1827" s="43">
        <v>20079</v>
      </c>
      <c r="D1827" t="s">
        <v>2863</v>
      </c>
      <c r="E1827" s="47" t="str">
        <f>+Cuenta_Clasificacion[[#This Row],[Código Cuenta Contable]]&amp;" - "&amp;Cuenta_Clasificacion[[#This Row],[Nombre de Cuenta Contable]]</f>
        <v>4105024 - Proyectos No Ejecutados</v>
      </c>
      <c r="F1827" s="47" t="str">
        <f>+Cuenta_Clasificacion[[#This Row],[Codigo Concepto de imputación]]&amp;" - "&amp;Cuenta_Clasificacion[[#This Row],[Nombre Concepto de imputación]]</f>
        <v>20079 - Servicio Vigilancia</v>
      </c>
    </row>
    <row r="1828" spans="1:6" x14ac:dyDescent="0.25">
      <c r="A1828" s="43">
        <v>4105024</v>
      </c>
      <c r="B1828" t="s">
        <v>210</v>
      </c>
      <c r="C1828" s="43">
        <v>20080</v>
      </c>
      <c r="D1828" t="s">
        <v>2864</v>
      </c>
      <c r="E1828" s="47" t="str">
        <f>+Cuenta_Clasificacion[[#This Row],[Código Cuenta Contable]]&amp;" - "&amp;Cuenta_Clasificacion[[#This Row],[Nombre de Cuenta Contable]]</f>
        <v>4105024 - Proyectos No Ejecutados</v>
      </c>
      <c r="F1828" s="47" t="str">
        <f>+Cuenta_Clasificacion[[#This Row],[Codigo Concepto de imputación]]&amp;" - "&amp;Cuenta_Clasificacion[[#This Row],[Nombre Concepto de imputación]]</f>
        <v>20080 - Sbctto Instalación Especial</v>
      </c>
    </row>
    <row r="1829" spans="1:6" x14ac:dyDescent="0.25">
      <c r="A1829" s="43">
        <v>4105024</v>
      </c>
      <c r="B1829" t="s">
        <v>210</v>
      </c>
      <c r="C1829" s="43">
        <v>20081</v>
      </c>
      <c r="D1829" t="s">
        <v>2865</v>
      </c>
      <c r="E1829" s="47" t="str">
        <f>+Cuenta_Clasificacion[[#This Row],[Código Cuenta Contable]]&amp;" - "&amp;Cuenta_Clasificacion[[#This Row],[Nombre de Cuenta Contable]]</f>
        <v>4105024 - Proyectos No Ejecutados</v>
      </c>
      <c r="F1829" s="47" t="str">
        <f>+Cuenta_Clasificacion[[#This Row],[Codigo Concepto de imputación]]&amp;" - "&amp;Cuenta_Clasificacion[[#This Row],[Nombre Concepto de imputación]]</f>
        <v>20081 - Instalación Sist Computacional</v>
      </c>
    </row>
    <row r="1830" spans="1:6" x14ac:dyDescent="0.25">
      <c r="A1830" s="43">
        <v>4105024</v>
      </c>
      <c r="B1830" t="s">
        <v>210</v>
      </c>
      <c r="C1830" s="43">
        <v>20082</v>
      </c>
      <c r="D1830" t="s">
        <v>2866</v>
      </c>
      <c r="E1830" s="47" t="str">
        <f>+Cuenta_Clasificacion[[#This Row],[Código Cuenta Contable]]&amp;" - "&amp;Cuenta_Clasificacion[[#This Row],[Nombre de Cuenta Contable]]</f>
        <v>4105024 - Proyectos No Ejecutados</v>
      </c>
      <c r="F1830" s="47" t="str">
        <f>+Cuenta_Clasificacion[[#This Row],[Codigo Concepto de imputación]]&amp;" - "&amp;Cuenta_Clasificacion[[#This Row],[Nombre Concepto de imputación]]</f>
        <v>20082 - Operador Sbctto Arriendo</v>
      </c>
    </row>
    <row r="1831" spans="1:6" x14ac:dyDescent="0.25">
      <c r="A1831" s="43">
        <v>4105024</v>
      </c>
      <c r="B1831" t="s">
        <v>210</v>
      </c>
      <c r="C1831" s="43">
        <v>20083</v>
      </c>
      <c r="D1831" t="s">
        <v>2867</v>
      </c>
      <c r="E1831" s="47" t="str">
        <f>+Cuenta_Clasificacion[[#This Row],[Código Cuenta Contable]]&amp;" - "&amp;Cuenta_Clasificacion[[#This Row],[Nombre de Cuenta Contable]]</f>
        <v>4105024 - Proyectos No Ejecutados</v>
      </c>
      <c r="F1831" s="47" t="str">
        <f>+Cuenta_Clasificacion[[#This Row],[Codigo Concepto de imputación]]&amp;" - "&amp;Cuenta_Clasificacion[[#This Row],[Nombre Concepto de imputación]]</f>
        <v>20083 - Descuento Subcontrato</v>
      </c>
    </row>
    <row r="1832" spans="1:6" x14ac:dyDescent="0.25">
      <c r="A1832" s="43">
        <v>4105024</v>
      </c>
      <c r="B1832" t="s">
        <v>210</v>
      </c>
      <c r="C1832" s="43">
        <v>20084</v>
      </c>
      <c r="D1832" t="s">
        <v>2911</v>
      </c>
      <c r="E1832" s="47" t="str">
        <f>+Cuenta_Clasificacion[[#This Row],[Código Cuenta Contable]]&amp;" - "&amp;Cuenta_Clasificacion[[#This Row],[Nombre de Cuenta Contable]]</f>
        <v>4105024 - Proyectos No Ejecutados</v>
      </c>
      <c r="F1832" s="47" t="str">
        <f>+Cuenta_Clasificacion[[#This Row],[Codigo Concepto de imputación]]&amp;" - "&amp;Cuenta_Clasificacion[[#This Row],[Nombre Concepto de imputación]]</f>
        <v>20084 - Sbctto Trabajos Misceláneos</v>
      </c>
    </row>
    <row r="1833" spans="1:6" x14ac:dyDescent="0.25">
      <c r="A1833" s="43">
        <v>4105024</v>
      </c>
      <c r="B1833" t="s">
        <v>210</v>
      </c>
      <c r="C1833" s="43">
        <v>20085</v>
      </c>
      <c r="D1833" t="s">
        <v>2912</v>
      </c>
      <c r="E1833" s="47" t="str">
        <f>+Cuenta_Clasificacion[[#This Row],[Código Cuenta Contable]]&amp;" - "&amp;Cuenta_Clasificacion[[#This Row],[Nombre de Cuenta Contable]]</f>
        <v>4105024 - Proyectos No Ejecutados</v>
      </c>
      <c r="F1833" s="47" t="str">
        <f>+Cuenta_Clasificacion[[#This Row],[Codigo Concepto de imputación]]&amp;" - "&amp;Cuenta_Clasificacion[[#This Row],[Nombre Concepto de imputación]]</f>
        <v>20085 - Sbctto Agotamiento Napas</v>
      </c>
    </row>
    <row r="1834" spans="1:6" x14ac:dyDescent="0.25">
      <c r="A1834" s="43">
        <v>4105024</v>
      </c>
      <c r="B1834" t="s">
        <v>210</v>
      </c>
      <c r="C1834" s="43">
        <v>20086</v>
      </c>
      <c r="D1834" t="s">
        <v>2868</v>
      </c>
      <c r="E1834" s="47" t="str">
        <f>+Cuenta_Clasificacion[[#This Row],[Código Cuenta Contable]]&amp;" - "&amp;Cuenta_Clasificacion[[#This Row],[Nombre de Cuenta Contable]]</f>
        <v>4105024 - Proyectos No Ejecutados</v>
      </c>
      <c r="F1834" s="47" t="str">
        <f>+Cuenta_Clasificacion[[#This Row],[Codigo Concepto de imputación]]&amp;" - "&amp;Cuenta_Clasificacion[[#This Row],[Nombre Concepto de imputación]]</f>
        <v>20086 - Sbctto Otros Subcttos</v>
      </c>
    </row>
    <row r="1835" spans="1:6" x14ac:dyDescent="0.25">
      <c r="A1835" s="43">
        <v>4105024</v>
      </c>
      <c r="B1835" t="s">
        <v>210</v>
      </c>
      <c r="C1835" s="43">
        <v>20087</v>
      </c>
      <c r="D1835" t="s">
        <v>2913</v>
      </c>
      <c r="E1835" s="47" t="str">
        <f>+Cuenta_Clasificacion[[#This Row],[Código Cuenta Contable]]&amp;" - "&amp;Cuenta_Clasificacion[[#This Row],[Nombre de Cuenta Contable]]</f>
        <v>4105024 - Proyectos No Ejecutados</v>
      </c>
      <c r="F1835" s="47" t="str">
        <f>+Cuenta_Clasificacion[[#This Row],[Codigo Concepto de imputación]]&amp;" - "&amp;Cuenta_Clasificacion[[#This Row],[Nombre Concepto de imputación]]</f>
        <v>20087 - Pago Sueldos/Finiq Trab Sbctto</v>
      </c>
    </row>
    <row r="1836" spans="1:6" x14ac:dyDescent="0.25">
      <c r="A1836" s="43">
        <v>4105024</v>
      </c>
      <c r="B1836" t="s">
        <v>210</v>
      </c>
      <c r="C1836" s="43">
        <v>20088</v>
      </c>
      <c r="D1836" t="s">
        <v>2914</v>
      </c>
      <c r="E1836" s="47" t="str">
        <f>+Cuenta_Clasificacion[[#This Row],[Código Cuenta Contable]]&amp;" - "&amp;Cuenta_Clasificacion[[#This Row],[Nombre de Cuenta Contable]]</f>
        <v>4105024 - Proyectos No Ejecutados</v>
      </c>
      <c r="F1836" s="47" t="str">
        <f>+Cuenta_Clasificacion[[#This Row],[Codigo Concepto de imputación]]&amp;" - "&amp;Cuenta_Clasificacion[[#This Row],[Nombre Concepto de imputación]]</f>
        <v>20088 - Pago Imposiciones Trab Sbctto</v>
      </c>
    </row>
    <row r="1837" spans="1:6" x14ac:dyDescent="0.25">
      <c r="A1837" s="43">
        <v>4105024</v>
      </c>
      <c r="B1837" t="s">
        <v>210</v>
      </c>
      <c r="C1837" s="43">
        <v>40001</v>
      </c>
      <c r="D1837" t="s">
        <v>2944</v>
      </c>
      <c r="E1837" s="47" t="str">
        <f>+Cuenta_Clasificacion[[#This Row],[Código Cuenta Contable]]&amp;" - "&amp;Cuenta_Clasificacion[[#This Row],[Nombre de Cuenta Contable]]</f>
        <v>4105024 - Proyectos No Ejecutados</v>
      </c>
      <c r="F1837" s="47" t="str">
        <f>+Cuenta_Clasificacion[[#This Row],[Codigo Concepto de imputación]]&amp;" - "&amp;Cuenta_Clasificacion[[#This Row],[Nombre Concepto de imputación]]</f>
        <v>40001 - Administrador de Obra</v>
      </c>
    </row>
    <row r="1838" spans="1:6" x14ac:dyDescent="0.25">
      <c r="A1838" s="43">
        <v>4105024</v>
      </c>
      <c r="B1838" t="s">
        <v>210</v>
      </c>
      <c r="C1838" s="43">
        <v>40002</v>
      </c>
      <c r="D1838" t="s">
        <v>2945</v>
      </c>
      <c r="E1838" s="47" t="str">
        <f>+Cuenta_Clasificacion[[#This Row],[Código Cuenta Contable]]&amp;" - "&amp;Cuenta_Clasificacion[[#This Row],[Nombre de Cuenta Contable]]</f>
        <v>4105024 - Proyectos No Ejecutados</v>
      </c>
      <c r="F1838" s="47" t="str">
        <f>+Cuenta_Clasificacion[[#This Row],[Codigo Concepto de imputación]]&amp;" - "&amp;Cuenta_Clasificacion[[#This Row],[Nombre Concepto de imputación]]</f>
        <v>40002 - Administrador General</v>
      </c>
    </row>
    <row r="1839" spans="1:6" x14ac:dyDescent="0.25">
      <c r="A1839" s="43">
        <v>4105024</v>
      </c>
      <c r="B1839" t="s">
        <v>210</v>
      </c>
      <c r="C1839" s="43">
        <v>40003</v>
      </c>
      <c r="D1839" t="s">
        <v>2946</v>
      </c>
      <c r="E1839" s="47" t="str">
        <f>+Cuenta_Clasificacion[[#This Row],[Código Cuenta Contable]]&amp;" - "&amp;Cuenta_Clasificacion[[#This Row],[Nombre de Cuenta Contable]]</f>
        <v>4105024 - Proyectos No Ejecutados</v>
      </c>
      <c r="F1839" s="47" t="str">
        <f>+Cuenta_Clasificacion[[#This Row],[Codigo Concepto de imputación]]&amp;" - "&amp;Cuenta_Clasificacion[[#This Row],[Nombre Concepto de imputación]]</f>
        <v>40003 - Administrativo de Obra</v>
      </c>
    </row>
    <row r="1840" spans="1:6" x14ac:dyDescent="0.25">
      <c r="A1840" s="43">
        <v>4105024</v>
      </c>
      <c r="B1840" t="s">
        <v>210</v>
      </c>
      <c r="C1840" s="43">
        <v>40004</v>
      </c>
      <c r="D1840" t="s">
        <v>2947</v>
      </c>
      <c r="E1840" s="47" t="str">
        <f>+Cuenta_Clasificacion[[#This Row],[Código Cuenta Contable]]&amp;" - "&amp;Cuenta_Clasificacion[[#This Row],[Nombre de Cuenta Contable]]</f>
        <v>4105024 - Proyectos No Ejecutados</v>
      </c>
      <c r="F1840" s="47" t="str">
        <f>+Cuenta_Clasificacion[[#This Row],[Codigo Concepto de imputación]]&amp;" - "&amp;Cuenta_Clasificacion[[#This Row],[Nombre Concepto de imputación]]</f>
        <v>40004 - Albañil</v>
      </c>
    </row>
    <row r="1841" spans="1:6" x14ac:dyDescent="0.25">
      <c r="A1841" s="43">
        <v>4105024</v>
      </c>
      <c r="B1841" t="s">
        <v>210</v>
      </c>
      <c r="C1841" s="43">
        <v>40005</v>
      </c>
      <c r="D1841" t="s">
        <v>2948</v>
      </c>
      <c r="E1841" s="47" t="str">
        <f>+Cuenta_Clasificacion[[#This Row],[Código Cuenta Contable]]&amp;" - "&amp;Cuenta_Clasificacion[[#This Row],[Nombre de Cuenta Contable]]</f>
        <v>4105024 - Proyectos No Ejecutados</v>
      </c>
      <c r="F1841" s="47" t="str">
        <f>+Cuenta_Clasificacion[[#This Row],[Codigo Concepto de imputación]]&amp;" - "&amp;Cuenta_Clasificacion[[#This Row],[Nombre Concepto de imputación]]</f>
        <v>40005 - Andamiero</v>
      </c>
    </row>
    <row r="1842" spans="1:6" x14ac:dyDescent="0.25">
      <c r="A1842" s="43">
        <v>4105024</v>
      </c>
      <c r="B1842" t="s">
        <v>210</v>
      </c>
      <c r="C1842" s="43">
        <v>40006</v>
      </c>
      <c r="D1842" t="s">
        <v>2949</v>
      </c>
      <c r="E1842" s="47" t="str">
        <f>+Cuenta_Clasificacion[[#This Row],[Código Cuenta Contable]]&amp;" - "&amp;Cuenta_Clasificacion[[#This Row],[Nombre de Cuenta Contable]]</f>
        <v>4105024 - Proyectos No Ejecutados</v>
      </c>
      <c r="F1842" s="47" t="str">
        <f>+Cuenta_Clasificacion[[#This Row],[Codigo Concepto de imputación]]&amp;" - "&amp;Cuenta_Clasificacion[[#This Row],[Nombre Concepto de imputación]]</f>
        <v>40006 - Arquitecto</v>
      </c>
    </row>
    <row r="1843" spans="1:6" x14ac:dyDescent="0.25">
      <c r="A1843" s="43">
        <v>4105024</v>
      </c>
      <c r="B1843" t="s">
        <v>210</v>
      </c>
      <c r="C1843" s="43">
        <v>40007</v>
      </c>
      <c r="D1843" t="s">
        <v>2950</v>
      </c>
      <c r="E1843" s="47" t="str">
        <f>+Cuenta_Clasificacion[[#This Row],[Código Cuenta Contable]]&amp;" - "&amp;Cuenta_Clasificacion[[#This Row],[Nombre de Cuenta Contable]]</f>
        <v>4105024 - Proyectos No Ejecutados</v>
      </c>
      <c r="F1843" s="47" t="str">
        <f>+Cuenta_Clasificacion[[#This Row],[Codigo Concepto de imputación]]&amp;" - "&amp;Cuenta_Clasificacion[[#This Row],[Nombre Concepto de imputación]]</f>
        <v>40007 - Asistente Supervisor Zonal</v>
      </c>
    </row>
    <row r="1844" spans="1:6" x14ac:dyDescent="0.25">
      <c r="A1844" s="43">
        <v>4105024</v>
      </c>
      <c r="B1844" t="s">
        <v>210</v>
      </c>
      <c r="C1844" s="43">
        <v>40008</v>
      </c>
      <c r="D1844" t="s">
        <v>2951</v>
      </c>
      <c r="E1844" s="47" t="str">
        <f>+Cuenta_Clasificacion[[#This Row],[Código Cuenta Contable]]&amp;" - "&amp;Cuenta_Clasificacion[[#This Row],[Nombre de Cuenta Contable]]</f>
        <v>4105024 - Proyectos No Ejecutados</v>
      </c>
      <c r="F1844" s="47" t="str">
        <f>+Cuenta_Clasificacion[[#This Row],[Codigo Concepto de imputación]]&amp;" - "&amp;Cuenta_Clasificacion[[#This Row],[Nombre Concepto de imputación]]</f>
        <v>40008 - Auditor Int. Prev. de Riesgos</v>
      </c>
    </row>
    <row r="1845" spans="1:6" x14ac:dyDescent="0.25">
      <c r="A1845" s="43">
        <v>4105024</v>
      </c>
      <c r="B1845" t="s">
        <v>210</v>
      </c>
      <c r="C1845" s="43">
        <v>40009</v>
      </c>
      <c r="D1845" t="s">
        <v>2952</v>
      </c>
      <c r="E1845" s="47" t="str">
        <f>+Cuenta_Clasificacion[[#This Row],[Código Cuenta Contable]]&amp;" - "&amp;Cuenta_Clasificacion[[#This Row],[Nombre de Cuenta Contable]]</f>
        <v>4105024 - Proyectos No Ejecutados</v>
      </c>
      <c r="F1845" s="47" t="str">
        <f>+Cuenta_Clasificacion[[#This Row],[Codigo Concepto de imputación]]&amp;" - "&amp;Cuenta_Clasificacion[[#This Row],[Nombre Concepto de imputación]]</f>
        <v>40009 - Ayudante Administrativo</v>
      </c>
    </row>
    <row r="1846" spans="1:6" x14ac:dyDescent="0.25">
      <c r="A1846" s="43">
        <v>4105024</v>
      </c>
      <c r="B1846" t="s">
        <v>210</v>
      </c>
      <c r="C1846" s="43">
        <v>40010</v>
      </c>
      <c r="D1846" t="s">
        <v>2953</v>
      </c>
      <c r="E1846" s="47" t="str">
        <f>+Cuenta_Clasificacion[[#This Row],[Código Cuenta Contable]]&amp;" - "&amp;Cuenta_Clasificacion[[#This Row],[Nombre de Cuenta Contable]]</f>
        <v>4105024 - Proyectos No Ejecutados</v>
      </c>
      <c r="F1846" s="47" t="str">
        <f>+Cuenta_Clasificacion[[#This Row],[Codigo Concepto de imputación]]&amp;" - "&amp;Cuenta_Clasificacion[[#This Row],[Nombre Concepto de imputación]]</f>
        <v>40010 - Ayudante Albañil</v>
      </c>
    </row>
    <row r="1847" spans="1:6" x14ac:dyDescent="0.25">
      <c r="A1847" s="43">
        <v>4105024</v>
      </c>
      <c r="B1847" t="s">
        <v>210</v>
      </c>
      <c r="C1847" s="43">
        <v>40011</v>
      </c>
      <c r="D1847" t="s">
        <v>2954</v>
      </c>
      <c r="E1847" s="47" t="str">
        <f>+Cuenta_Clasificacion[[#This Row],[Código Cuenta Contable]]&amp;" - "&amp;Cuenta_Clasificacion[[#This Row],[Nombre de Cuenta Contable]]</f>
        <v>4105024 - Proyectos No Ejecutados</v>
      </c>
      <c r="F1847" s="47" t="str">
        <f>+Cuenta_Clasificacion[[#This Row],[Codigo Concepto de imputación]]&amp;" - "&amp;Cuenta_Clasificacion[[#This Row],[Nombre Concepto de imputación]]</f>
        <v>40011 - Ayudante Bodega</v>
      </c>
    </row>
    <row r="1848" spans="1:6" x14ac:dyDescent="0.25">
      <c r="A1848" s="43">
        <v>4105024</v>
      </c>
      <c r="B1848" t="s">
        <v>210</v>
      </c>
      <c r="C1848" s="43">
        <v>40012</v>
      </c>
      <c r="D1848" t="s">
        <v>2955</v>
      </c>
      <c r="E1848" s="47" t="str">
        <f>+Cuenta_Clasificacion[[#This Row],[Código Cuenta Contable]]&amp;" - "&amp;Cuenta_Clasificacion[[#This Row],[Nombre de Cuenta Contable]]</f>
        <v>4105024 - Proyectos No Ejecutados</v>
      </c>
      <c r="F1848" s="47" t="str">
        <f>+Cuenta_Clasificacion[[#This Row],[Codigo Concepto de imputación]]&amp;" - "&amp;Cuenta_Clasificacion[[#This Row],[Nombre Concepto de imputación]]</f>
        <v>40012 - Ayudante Capataz</v>
      </c>
    </row>
    <row r="1849" spans="1:6" x14ac:dyDescent="0.25">
      <c r="A1849" s="43">
        <v>4105024</v>
      </c>
      <c r="B1849" t="s">
        <v>210</v>
      </c>
      <c r="C1849" s="43">
        <v>40013</v>
      </c>
      <c r="D1849" t="s">
        <v>2956</v>
      </c>
      <c r="E1849" s="47" t="str">
        <f>+Cuenta_Clasificacion[[#This Row],[Código Cuenta Contable]]&amp;" - "&amp;Cuenta_Clasificacion[[#This Row],[Nombre de Cuenta Contable]]</f>
        <v>4105024 - Proyectos No Ejecutados</v>
      </c>
      <c r="F1849" s="47" t="str">
        <f>+Cuenta_Clasificacion[[#This Row],[Codigo Concepto de imputación]]&amp;" - "&amp;Cuenta_Clasificacion[[#This Row],[Nombre Concepto de imputación]]</f>
        <v>40013 - Ayudante Carpintero</v>
      </c>
    </row>
    <row r="1850" spans="1:6" x14ac:dyDescent="0.25">
      <c r="A1850" s="43">
        <v>4105024</v>
      </c>
      <c r="B1850" t="s">
        <v>210</v>
      </c>
      <c r="C1850" s="43">
        <v>40014</v>
      </c>
      <c r="D1850" t="s">
        <v>2957</v>
      </c>
      <c r="E1850" s="47" t="str">
        <f>+Cuenta_Clasificacion[[#This Row],[Código Cuenta Contable]]&amp;" - "&amp;Cuenta_Clasificacion[[#This Row],[Nombre de Cuenta Contable]]</f>
        <v>4105024 - Proyectos No Ejecutados</v>
      </c>
      <c r="F1850" s="47" t="str">
        <f>+Cuenta_Clasificacion[[#This Row],[Codigo Concepto de imputación]]&amp;" - "&amp;Cuenta_Clasificacion[[#This Row],[Nombre Concepto de imputación]]</f>
        <v>40014 - Bodega – Personal</v>
      </c>
    </row>
    <row r="1851" spans="1:6" x14ac:dyDescent="0.25">
      <c r="A1851" s="43">
        <v>4105024</v>
      </c>
      <c r="B1851" t="s">
        <v>210</v>
      </c>
      <c r="C1851" s="43">
        <v>40015</v>
      </c>
      <c r="D1851" t="s">
        <v>2958</v>
      </c>
      <c r="E1851" s="47" t="str">
        <f>+Cuenta_Clasificacion[[#This Row],[Código Cuenta Contable]]&amp;" - "&amp;Cuenta_Clasificacion[[#This Row],[Nombre de Cuenta Contable]]</f>
        <v>4105024 - Proyectos No Ejecutados</v>
      </c>
      <c r="F1851" s="47" t="str">
        <f>+Cuenta_Clasificacion[[#This Row],[Codigo Concepto de imputación]]&amp;" - "&amp;Cuenta_Clasificacion[[#This Row],[Nombre Concepto de imputación]]</f>
        <v>40015 - Ayudante Jefe Patio</v>
      </c>
    </row>
    <row r="1852" spans="1:6" x14ac:dyDescent="0.25">
      <c r="A1852" s="43">
        <v>4105024</v>
      </c>
      <c r="B1852" t="s">
        <v>210</v>
      </c>
      <c r="C1852" s="43">
        <v>40016</v>
      </c>
      <c r="D1852" t="s">
        <v>2959</v>
      </c>
      <c r="E1852" s="47" t="str">
        <f>+Cuenta_Clasificacion[[#This Row],[Código Cuenta Contable]]&amp;" - "&amp;Cuenta_Clasificacion[[#This Row],[Nombre de Cuenta Contable]]</f>
        <v>4105024 - Proyectos No Ejecutados</v>
      </c>
      <c r="F1852" s="47" t="str">
        <f>+Cuenta_Clasificacion[[#This Row],[Codigo Concepto de imputación]]&amp;" - "&amp;Cuenta_Clasificacion[[#This Row],[Nombre Concepto de imputación]]</f>
        <v>40016 - Ayudante Maestro Albañil</v>
      </c>
    </row>
    <row r="1853" spans="1:6" x14ac:dyDescent="0.25">
      <c r="A1853" s="43">
        <v>4105024</v>
      </c>
      <c r="B1853" t="s">
        <v>210</v>
      </c>
      <c r="C1853" s="43">
        <v>40017</v>
      </c>
      <c r="D1853" t="s">
        <v>2960</v>
      </c>
      <c r="E1853" s="47" t="str">
        <f>+Cuenta_Clasificacion[[#This Row],[Código Cuenta Contable]]&amp;" - "&amp;Cuenta_Clasificacion[[#This Row],[Nombre de Cuenta Contable]]</f>
        <v>4105024 - Proyectos No Ejecutados</v>
      </c>
      <c r="F1853" s="47" t="str">
        <f>+Cuenta_Clasificacion[[#This Row],[Codigo Concepto de imputación]]&amp;" - "&amp;Cuenta_Clasificacion[[#This Row],[Nombre Concepto de imputación]]</f>
        <v>40017 - Ayudante Mantención</v>
      </c>
    </row>
    <row r="1854" spans="1:6" x14ac:dyDescent="0.25">
      <c r="A1854" s="43">
        <v>4105024</v>
      </c>
      <c r="B1854" t="s">
        <v>210</v>
      </c>
      <c r="C1854" s="43">
        <v>40018</v>
      </c>
      <c r="D1854" t="s">
        <v>2961</v>
      </c>
      <c r="E1854" s="47" t="str">
        <f>+Cuenta_Clasificacion[[#This Row],[Código Cuenta Contable]]&amp;" - "&amp;Cuenta_Clasificacion[[#This Row],[Nombre de Cuenta Contable]]</f>
        <v>4105024 - Proyectos No Ejecutados</v>
      </c>
      <c r="F1854" s="47" t="str">
        <f>+Cuenta_Clasificacion[[#This Row],[Codigo Concepto de imputación]]&amp;" - "&amp;Cuenta_Clasificacion[[#This Row],[Nombre Concepto de imputación]]</f>
        <v>40018 - Ayudante Montaje Grúas Torre</v>
      </c>
    </row>
    <row r="1855" spans="1:6" x14ac:dyDescent="0.25">
      <c r="A1855" s="43">
        <v>4105024</v>
      </c>
      <c r="B1855" t="s">
        <v>210</v>
      </c>
      <c r="C1855" s="43">
        <v>40019</v>
      </c>
      <c r="D1855" t="s">
        <v>2962</v>
      </c>
      <c r="E1855" s="47" t="str">
        <f>+Cuenta_Clasificacion[[#This Row],[Código Cuenta Contable]]&amp;" - "&amp;Cuenta_Clasificacion[[#This Row],[Nombre de Cuenta Contable]]</f>
        <v>4105024 - Proyectos No Ejecutados</v>
      </c>
      <c r="F1855" s="47" t="str">
        <f>+Cuenta_Clasificacion[[#This Row],[Codigo Concepto de imputación]]&amp;" - "&amp;Cuenta_Clasificacion[[#This Row],[Nombre Concepto de imputación]]</f>
        <v>40019 - Ayudante Obra</v>
      </c>
    </row>
    <row r="1856" spans="1:6" x14ac:dyDescent="0.25">
      <c r="A1856" s="43">
        <v>4105024</v>
      </c>
      <c r="B1856" t="s">
        <v>210</v>
      </c>
      <c r="C1856" s="43">
        <v>40020</v>
      </c>
      <c r="D1856" t="s">
        <v>2963</v>
      </c>
      <c r="E1856" s="47" t="str">
        <f>+Cuenta_Clasificacion[[#This Row],[Código Cuenta Contable]]&amp;" - "&amp;Cuenta_Clasificacion[[#This Row],[Nombre de Cuenta Contable]]</f>
        <v>4105024 - Proyectos No Ejecutados</v>
      </c>
      <c r="F1856" s="47" t="str">
        <f>+Cuenta_Clasificacion[[#This Row],[Codigo Concepto de imputación]]&amp;" - "&amp;Cuenta_Clasificacion[[#This Row],[Nombre Concepto de imputación]]</f>
        <v>40020 - Ayudante Of. Técnica</v>
      </c>
    </row>
    <row r="1857" spans="1:6" x14ac:dyDescent="0.25">
      <c r="A1857" s="43">
        <v>4105024</v>
      </c>
      <c r="B1857" t="s">
        <v>210</v>
      </c>
      <c r="C1857" s="43">
        <v>40021</v>
      </c>
      <c r="D1857" t="s">
        <v>2964</v>
      </c>
      <c r="E1857" s="47" t="str">
        <f>+Cuenta_Clasificacion[[#This Row],[Código Cuenta Contable]]&amp;" - "&amp;Cuenta_Clasificacion[[#This Row],[Nombre de Cuenta Contable]]</f>
        <v>4105024 - Proyectos No Ejecutados</v>
      </c>
      <c r="F1857" s="47" t="str">
        <f>+Cuenta_Clasificacion[[#This Row],[Codigo Concepto de imputación]]&amp;" - "&amp;Cuenta_Clasificacion[[#This Row],[Nombre Concepto de imputación]]</f>
        <v>40021 - Ayudante Pañol</v>
      </c>
    </row>
    <row r="1858" spans="1:6" x14ac:dyDescent="0.25">
      <c r="A1858" s="43">
        <v>4105024</v>
      </c>
      <c r="B1858" t="s">
        <v>210</v>
      </c>
      <c r="C1858" s="43">
        <v>40022</v>
      </c>
      <c r="D1858" t="s">
        <v>2965</v>
      </c>
      <c r="E1858" s="47" t="str">
        <f>+Cuenta_Clasificacion[[#This Row],[Código Cuenta Contable]]&amp;" - "&amp;Cuenta_Clasificacion[[#This Row],[Nombre de Cuenta Contable]]</f>
        <v>4105024 - Proyectos No Ejecutados</v>
      </c>
      <c r="F1858" s="47" t="str">
        <f>+Cuenta_Clasificacion[[#This Row],[Codigo Concepto de imputación]]&amp;" - "&amp;Cuenta_Clasificacion[[#This Row],[Nombre Concepto de imputación]]</f>
        <v>40022 - Ayudante Prev. de Riesgos</v>
      </c>
    </row>
    <row r="1859" spans="1:6" x14ac:dyDescent="0.25">
      <c r="A1859" s="43">
        <v>4105024</v>
      </c>
      <c r="B1859" t="s">
        <v>210</v>
      </c>
      <c r="C1859" s="43">
        <v>40023</v>
      </c>
      <c r="D1859" t="s">
        <v>2966</v>
      </c>
      <c r="E1859" s="47" t="str">
        <f>+Cuenta_Clasificacion[[#This Row],[Código Cuenta Contable]]&amp;" - "&amp;Cuenta_Clasificacion[[#This Row],[Nombre de Cuenta Contable]]</f>
        <v>4105024 - Proyectos No Ejecutados</v>
      </c>
      <c r="F1859" s="47" t="str">
        <f>+Cuenta_Clasificacion[[#This Row],[Codigo Concepto de imputación]]&amp;" - "&amp;Cuenta_Clasificacion[[#This Row],[Nombre Concepto de imputación]]</f>
        <v>40023 - Ayudante Soldador</v>
      </c>
    </row>
    <row r="1860" spans="1:6" x14ac:dyDescent="0.25">
      <c r="A1860" s="43">
        <v>4105024</v>
      </c>
      <c r="B1860" t="s">
        <v>210</v>
      </c>
      <c r="C1860" s="43">
        <v>40024</v>
      </c>
      <c r="D1860" t="s">
        <v>2967</v>
      </c>
      <c r="E1860" s="47" t="str">
        <f>+Cuenta_Clasificacion[[#This Row],[Código Cuenta Contable]]&amp;" - "&amp;Cuenta_Clasificacion[[#This Row],[Nombre de Cuenta Contable]]</f>
        <v>4105024 - Proyectos No Ejecutados</v>
      </c>
      <c r="F1860" s="47" t="str">
        <f>+Cuenta_Clasificacion[[#This Row],[Codigo Concepto de imputación]]&amp;" - "&amp;Cuenta_Clasificacion[[#This Row],[Nombre Concepto de imputación]]</f>
        <v>40024 - Ayudante Trazador</v>
      </c>
    </row>
    <row r="1861" spans="1:6" x14ac:dyDescent="0.25">
      <c r="A1861" s="43">
        <v>4105024</v>
      </c>
      <c r="B1861" t="s">
        <v>210</v>
      </c>
      <c r="C1861" s="43">
        <v>40025</v>
      </c>
      <c r="D1861" t="s">
        <v>2968</v>
      </c>
      <c r="E1861" s="47" t="str">
        <f>+Cuenta_Clasificacion[[#This Row],[Código Cuenta Contable]]&amp;" - "&amp;Cuenta_Clasificacion[[#This Row],[Nombre de Cuenta Contable]]</f>
        <v>4105024 - Proyectos No Ejecutados</v>
      </c>
      <c r="F1861" s="47" t="str">
        <f>+Cuenta_Clasificacion[[#This Row],[Codigo Concepto de imputación]]&amp;" - "&amp;Cuenta_Clasificacion[[#This Row],[Nombre Concepto de imputación]]</f>
        <v>40025 - Bodeguero</v>
      </c>
    </row>
    <row r="1862" spans="1:6" x14ac:dyDescent="0.25">
      <c r="A1862" s="43">
        <v>4105024</v>
      </c>
      <c r="B1862" t="s">
        <v>210</v>
      </c>
      <c r="C1862" s="43">
        <v>40026</v>
      </c>
      <c r="D1862" t="s">
        <v>2969</v>
      </c>
      <c r="E1862" s="47" t="str">
        <f>+Cuenta_Clasificacion[[#This Row],[Código Cuenta Contable]]&amp;" - "&amp;Cuenta_Clasificacion[[#This Row],[Nombre de Cuenta Contable]]</f>
        <v>4105024 - Proyectos No Ejecutados</v>
      </c>
      <c r="F1862" s="47" t="str">
        <f>+Cuenta_Clasificacion[[#This Row],[Codigo Concepto de imputación]]&amp;" - "&amp;Cuenta_Clasificacion[[#This Row],[Nombre Concepto de imputación]]</f>
        <v>40026 - Capataz</v>
      </c>
    </row>
    <row r="1863" spans="1:6" x14ac:dyDescent="0.25">
      <c r="A1863" s="43">
        <v>4105024</v>
      </c>
      <c r="B1863" t="s">
        <v>210</v>
      </c>
      <c r="C1863" s="43">
        <v>40027</v>
      </c>
      <c r="D1863" t="s">
        <v>2970</v>
      </c>
      <c r="E1863" s="47" t="str">
        <f>+Cuenta_Clasificacion[[#This Row],[Código Cuenta Contable]]&amp;" - "&amp;Cuenta_Clasificacion[[#This Row],[Nombre de Cuenta Contable]]</f>
        <v>4105024 - Proyectos No Ejecutados</v>
      </c>
      <c r="F1863" s="47" t="str">
        <f>+Cuenta_Clasificacion[[#This Row],[Codigo Concepto de imputación]]&amp;" - "&amp;Cuenta_Clasificacion[[#This Row],[Nombre Concepto de imputación]]</f>
        <v>40027 - Capataz de Exteriores</v>
      </c>
    </row>
    <row r="1864" spans="1:6" x14ac:dyDescent="0.25">
      <c r="A1864" s="43">
        <v>4105024</v>
      </c>
      <c r="B1864" t="s">
        <v>210</v>
      </c>
      <c r="C1864" s="43">
        <v>40028</v>
      </c>
      <c r="D1864" t="s">
        <v>2971</v>
      </c>
      <c r="E1864" s="47" t="str">
        <f>+Cuenta_Clasificacion[[#This Row],[Código Cuenta Contable]]&amp;" - "&amp;Cuenta_Clasificacion[[#This Row],[Nombre de Cuenta Contable]]</f>
        <v>4105024 - Proyectos No Ejecutados</v>
      </c>
      <c r="F1864" s="47" t="str">
        <f>+Cuenta_Clasificacion[[#This Row],[Codigo Concepto de imputación]]&amp;" - "&amp;Cuenta_Clasificacion[[#This Row],[Nombre Concepto de imputación]]</f>
        <v>40028 - Capataz de Hormigón</v>
      </c>
    </row>
    <row r="1865" spans="1:6" x14ac:dyDescent="0.25">
      <c r="A1865" s="43">
        <v>4105024</v>
      </c>
      <c r="B1865" t="s">
        <v>210</v>
      </c>
      <c r="C1865" s="43">
        <v>40029</v>
      </c>
      <c r="D1865" t="s">
        <v>2972</v>
      </c>
      <c r="E1865" s="47" t="str">
        <f>+Cuenta_Clasificacion[[#This Row],[Código Cuenta Contable]]&amp;" - "&amp;Cuenta_Clasificacion[[#This Row],[Nombre de Cuenta Contable]]</f>
        <v>4105024 - Proyectos No Ejecutados</v>
      </c>
      <c r="F1865" s="47" t="str">
        <f>+Cuenta_Clasificacion[[#This Row],[Codigo Concepto de imputación]]&amp;" - "&amp;Cuenta_Clasificacion[[#This Row],[Nombre Concepto de imputación]]</f>
        <v>40029 - Capataz de Instalaciones</v>
      </c>
    </row>
    <row r="1866" spans="1:6" x14ac:dyDescent="0.25">
      <c r="A1866" s="43">
        <v>4105024</v>
      </c>
      <c r="B1866" t="s">
        <v>210</v>
      </c>
      <c r="C1866" s="43">
        <v>40030</v>
      </c>
      <c r="D1866" t="s">
        <v>2973</v>
      </c>
      <c r="E1866" s="47" t="str">
        <f>+Cuenta_Clasificacion[[#This Row],[Código Cuenta Contable]]&amp;" - "&amp;Cuenta_Clasificacion[[#This Row],[Nombre de Cuenta Contable]]</f>
        <v>4105024 - Proyectos No Ejecutados</v>
      </c>
      <c r="F1866" s="47" t="str">
        <f>+Cuenta_Clasificacion[[#This Row],[Codigo Concepto de imputación]]&amp;" - "&amp;Cuenta_Clasificacion[[#This Row],[Nombre Concepto de imputación]]</f>
        <v>40030 - Capataz de Moldaje</v>
      </c>
    </row>
    <row r="1867" spans="1:6" x14ac:dyDescent="0.25">
      <c r="A1867" s="43">
        <v>4105024</v>
      </c>
      <c r="B1867" t="s">
        <v>210</v>
      </c>
      <c r="C1867" s="43">
        <v>40031</v>
      </c>
      <c r="D1867" t="s">
        <v>2974</v>
      </c>
      <c r="E1867" s="47" t="str">
        <f>+Cuenta_Clasificacion[[#This Row],[Código Cuenta Contable]]&amp;" - "&amp;Cuenta_Clasificacion[[#This Row],[Nombre de Cuenta Contable]]</f>
        <v>4105024 - Proyectos No Ejecutados</v>
      </c>
      <c r="F1867" s="47" t="str">
        <f>+Cuenta_Clasificacion[[#This Row],[Codigo Concepto de imputación]]&amp;" - "&amp;Cuenta_Clasificacion[[#This Row],[Nombre Concepto de imputación]]</f>
        <v>40031 - Capataz de Patio</v>
      </c>
    </row>
    <row r="1868" spans="1:6" x14ac:dyDescent="0.25">
      <c r="A1868" s="43">
        <v>4105024</v>
      </c>
      <c r="B1868" t="s">
        <v>210</v>
      </c>
      <c r="C1868" s="43">
        <v>40032</v>
      </c>
      <c r="D1868" t="s">
        <v>2975</v>
      </c>
      <c r="E1868" s="47" t="str">
        <f>+Cuenta_Clasificacion[[#This Row],[Código Cuenta Contable]]&amp;" - "&amp;Cuenta_Clasificacion[[#This Row],[Nombre de Cuenta Contable]]</f>
        <v>4105024 - Proyectos No Ejecutados</v>
      </c>
      <c r="F1868" s="47" t="str">
        <f>+Cuenta_Clasificacion[[#This Row],[Codigo Concepto de imputación]]&amp;" - "&amp;Cuenta_Clasificacion[[#This Row],[Nombre Concepto de imputación]]</f>
        <v>40032 - Capataz de Post Venta</v>
      </c>
    </row>
    <row r="1869" spans="1:6" x14ac:dyDescent="0.25">
      <c r="A1869" s="43">
        <v>4105024</v>
      </c>
      <c r="B1869" t="s">
        <v>210</v>
      </c>
      <c r="C1869" s="43">
        <v>40033</v>
      </c>
      <c r="D1869" t="s">
        <v>2976</v>
      </c>
      <c r="E1869" s="47" t="str">
        <f>+Cuenta_Clasificacion[[#This Row],[Código Cuenta Contable]]&amp;" - "&amp;Cuenta_Clasificacion[[#This Row],[Nombre de Cuenta Contable]]</f>
        <v>4105024 - Proyectos No Ejecutados</v>
      </c>
      <c r="F1869" s="47" t="str">
        <f>+Cuenta_Clasificacion[[#This Row],[Codigo Concepto de imputación]]&amp;" - "&amp;Cuenta_Clasificacion[[#This Row],[Nombre Concepto de imputación]]</f>
        <v>40033 - Capataz de Terminaciones</v>
      </c>
    </row>
    <row r="1870" spans="1:6" x14ac:dyDescent="0.25">
      <c r="A1870" s="43">
        <v>4105024</v>
      </c>
      <c r="B1870" t="s">
        <v>210</v>
      </c>
      <c r="C1870" s="43">
        <v>40034</v>
      </c>
      <c r="D1870" t="s">
        <v>2977</v>
      </c>
      <c r="E1870" s="47" t="str">
        <f>+Cuenta_Clasificacion[[#This Row],[Código Cuenta Contable]]&amp;" - "&amp;Cuenta_Clasificacion[[#This Row],[Nombre de Cuenta Contable]]</f>
        <v>4105024 - Proyectos No Ejecutados</v>
      </c>
      <c r="F1870" s="47" t="str">
        <f>+Cuenta_Clasificacion[[#This Row],[Codigo Concepto de imputación]]&amp;" - "&amp;Cuenta_Clasificacion[[#This Row],[Nombre Concepto de imputación]]</f>
        <v>40034 - Carpintero</v>
      </c>
    </row>
    <row r="1871" spans="1:6" x14ac:dyDescent="0.25">
      <c r="A1871" s="43">
        <v>4105024</v>
      </c>
      <c r="B1871" t="s">
        <v>210</v>
      </c>
      <c r="C1871" s="43">
        <v>40035</v>
      </c>
      <c r="D1871" t="s">
        <v>2978</v>
      </c>
      <c r="E1871" s="47" t="str">
        <f>+Cuenta_Clasificacion[[#This Row],[Código Cuenta Contable]]&amp;" - "&amp;Cuenta_Clasificacion[[#This Row],[Nombre de Cuenta Contable]]</f>
        <v>4105024 - Proyectos No Ejecutados</v>
      </c>
      <c r="F1871" s="47" t="str">
        <f>+Cuenta_Clasificacion[[#This Row],[Codigo Concepto de imputación]]&amp;" - "&amp;Cuenta_Clasificacion[[#This Row],[Nombre Concepto de imputación]]</f>
        <v>40035 - Carpintero de Obra Gruesa</v>
      </c>
    </row>
    <row r="1872" spans="1:6" x14ac:dyDescent="0.25">
      <c r="A1872" s="43">
        <v>4105024</v>
      </c>
      <c r="B1872" t="s">
        <v>210</v>
      </c>
      <c r="C1872" s="43">
        <v>40036</v>
      </c>
      <c r="D1872" t="s">
        <v>2979</v>
      </c>
      <c r="E1872" s="47" t="str">
        <f>+Cuenta_Clasificacion[[#This Row],[Código Cuenta Contable]]&amp;" - "&amp;Cuenta_Clasificacion[[#This Row],[Nombre de Cuenta Contable]]</f>
        <v>4105024 - Proyectos No Ejecutados</v>
      </c>
      <c r="F1872" s="47" t="str">
        <f>+Cuenta_Clasificacion[[#This Row],[Codigo Concepto de imputación]]&amp;" - "&amp;Cuenta_Clasificacion[[#This Row],[Nombre Concepto de imputación]]</f>
        <v>40036 - Carpintero de Terminaciones</v>
      </c>
    </row>
    <row r="1873" spans="1:6" x14ac:dyDescent="0.25">
      <c r="A1873" s="43">
        <v>4105024</v>
      </c>
      <c r="B1873" t="s">
        <v>210</v>
      </c>
      <c r="C1873" s="43">
        <v>40037</v>
      </c>
      <c r="D1873" t="s">
        <v>2980</v>
      </c>
      <c r="E1873" s="47" t="str">
        <f>+Cuenta_Clasificacion[[#This Row],[Código Cuenta Contable]]&amp;" - "&amp;Cuenta_Clasificacion[[#This Row],[Nombre de Cuenta Contable]]</f>
        <v>4105024 - Proyectos No Ejecutados</v>
      </c>
      <c r="F1873" s="47" t="str">
        <f>+Cuenta_Clasificacion[[#This Row],[Codigo Concepto de imputación]]&amp;" - "&amp;Cuenta_Clasificacion[[#This Row],[Nombre Concepto de imputación]]</f>
        <v>40037 - Chofer</v>
      </c>
    </row>
    <row r="1874" spans="1:6" x14ac:dyDescent="0.25">
      <c r="A1874" s="43">
        <v>4105024</v>
      </c>
      <c r="B1874" t="s">
        <v>210</v>
      </c>
      <c r="C1874" s="43">
        <v>40038</v>
      </c>
      <c r="D1874" t="s">
        <v>2981</v>
      </c>
      <c r="E1874" s="47" t="str">
        <f>+Cuenta_Clasificacion[[#This Row],[Código Cuenta Contable]]&amp;" - "&amp;Cuenta_Clasificacion[[#This Row],[Nombre de Cuenta Contable]]</f>
        <v>4105024 - Proyectos No Ejecutados</v>
      </c>
      <c r="F1874" s="47" t="str">
        <f>+Cuenta_Clasificacion[[#This Row],[Codigo Concepto de imputación]]&amp;" - "&amp;Cuenta_Clasificacion[[#This Row],[Nombre Concepto de imputación]]</f>
        <v>40038 - Concretero</v>
      </c>
    </row>
    <row r="1875" spans="1:6" x14ac:dyDescent="0.25">
      <c r="A1875" s="43">
        <v>4105024</v>
      </c>
      <c r="B1875" t="s">
        <v>210</v>
      </c>
      <c r="C1875" s="43">
        <v>40039</v>
      </c>
      <c r="D1875" t="s">
        <v>2982</v>
      </c>
      <c r="E1875" s="47" t="str">
        <f>+Cuenta_Clasificacion[[#This Row],[Código Cuenta Contable]]&amp;" - "&amp;Cuenta_Clasificacion[[#This Row],[Nombre de Cuenta Contable]]</f>
        <v>4105024 - Proyectos No Ejecutados</v>
      </c>
      <c r="F1875" s="47" t="str">
        <f>+Cuenta_Clasificacion[[#This Row],[Codigo Concepto de imputación]]&amp;" - "&amp;Cuenta_Clasificacion[[#This Row],[Nombre Concepto de imputación]]</f>
        <v>40039 - Constructor</v>
      </c>
    </row>
    <row r="1876" spans="1:6" x14ac:dyDescent="0.25">
      <c r="A1876" s="43">
        <v>4105024</v>
      </c>
      <c r="B1876" t="s">
        <v>210</v>
      </c>
      <c r="C1876" s="43">
        <v>40040</v>
      </c>
      <c r="D1876" t="s">
        <v>2983</v>
      </c>
      <c r="E1876" s="47" t="str">
        <f>+Cuenta_Clasificacion[[#This Row],[Código Cuenta Contable]]&amp;" - "&amp;Cuenta_Clasificacion[[#This Row],[Nombre de Cuenta Contable]]</f>
        <v>4105024 - Proyectos No Ejecutados</v>
      </c>
      <c r="F1876" s="47" t="str">
        <f>+Cuenta_Clasificacion[[#This Row],[Codigo Concepto de imputación]]&amp;" - "&amp;Cuenta_Clasificacion[[#This Row],[Nombre Concepto de imputación]]</f>
        <v>40040 - Control de Obras</v>
      </c>
    </row>
    <row r="1877" spans="1:6" x14ac:dyDescent="0.25">
      <c r="A1877" s="43">
        <v>4105024</v>
      </c>
      <c r="B1877" t="s">
        <v>210</v>
      </c>
      <c r="C1877" s="43">
        <v>40041</v>
      </c>
      <c r="D1877" t="s">
        <v>2984</v>
      </c>
      <c r="E1877" s="47" t="str">
        <f>+Cuenta_Clasificacion[[#This Row],[Código Cuenta Contable]]&amp;" - "&amp;Cuenta_Clasificacion[[#This Row],[Nombre de Cuenta Contable]]</f>
        <v>4105024 - Proyectos No Ejecutados</v>
      </c>
      <c r="F1877" s="47" t="str">
        <f>+Cuenta_Clasificacion[[#This Row],[Codigo Concepto de imputación]]&amp;" - "&amp;Cuenta_Clasificacion[[#This Row],[Nombre Concepto de imputación]]</f>
        <v>40041 - Control de Gest. y Avance de O</v>
      </c>
    </row>
    <row r="1878" spans="1:6" x14ac:dyDescent="0.25">
      <c r="A1878" s="43">
        <v>4105024</v>
      </c>
      <c r="B1878" t="s">
        <v>210</v>
      </c>
      <c r="C1878" s="43">
        <v>40042</v>
      </c>
      <c r="D1878" t="s">
        <v>2985</v>
      </c>
      <c r="E1878" s="47" t="str">
        <f>+Cuenta_Clasificacion[[#This Row],[Código Cuenta Contable]]&amp;" - "&amp;Cuenta_Clasificacion[[#This Row],[Nombre de Cuenta Contable]]</f>
        <v>4105024 - Proyectos No Ejecutados</v>
      </c>
      <c r="F1878" s="47" t="str">
        <f>+Cuenta_Clasificacion[[#This Row],[Codigo Concepto de imputación]]&amp;" - "&amp;Cuenta_Clasificacion[[#This Row],[Nombre Concepto de imputación]]</f>
        <v>40042 - Coordinador de ITOs</v>
      </c>
    </row>
    <row r="1879" spans="1:6" x14ac:dyDescent="0.25">
      <c r="A1879" s="43">
        <v>4105024</v>
      </c>
      <c r="B1879" t="s">
        <v>210</v>
      </c>
      <c r="C1879" s="43">
        <v>40043</v>
      </c>
      <c r="D1879" t="s">
        <v>2986</v>
      </c>
      <c r="E1879" s="47" t="str">
        <f>+Cuenta_Clasificacion[[#This Row],[Código Cuenta Contable]]&amp;" - "&amp;Cuenta_Clasificacion[[#This Row],[Nombre de Cuenta Contable]]</f>
        <v>4105024 - Proyectos No Ejecutados</v>
      </c>
      <c r="F1879" s="47" t="str">
        <f>+Cuenta_Clasificacion[[#This Row],[Codigo Concepto de imputación]]&amp;" - "&amp;Cuenta_Clasificacion[[#This Row],[Nombre Concepto de imputación]]</f>
        <v>40043 - Coordinador de Proyectos</v>
      </c>
    </row>
    <row r="1880" spans="1:6" x14ac:dyDescent="0.25">
      <c r="A1880" s="43">
        <v>4105024</v>
      </c>
      <c r="B1880" t="s">
        <v>210</v>
      </c>
      <c r="C1880" s="43">
        <v>40044</v>
      </c>
      <c r="D1880" t="s">
        <v>2987</v>
      </c>
      <c r="E1880" s="47" t="str">
        <f>+Cuenta_Clasificacion[[#This Row],[Código Cuenta Contable]]&amp;" - "&amp;Cuenta_Clasificacion[[#This Row],[Nombre de Cuenta Contable]]</f>
        <v>4105024 - Proyectos No Ejecutados</v>
      </c>
      <c r="F1880" s="47" t="str">
        <f>+Cuenta_Clasificacion[[#This Row],[Codigo Concepto de imputación]]&amp;" - "&amp;Cuenta_Clasificacion[[#This Row],[Nombre Concepto de imputación]]</f>
        <v>40044 - Coord. Gral. de Instalacione</v>
      </c>
    </row>
    <row r="1881" spans="1:6" x14ac:dyDescent="0.25">
      <c r="A1881" s="43">
        <v>4105024</v>
      </c>
      <c r="B1881" t="s">
        <v>210</v>
      </c>
      <c r="C1881" s="43">
        <v>40045</v>
      </c>
      <c r="D1881" t="s">
        <v>2988</v>
      </c>
      <c r="E1881" s="47" t="str">
        <f>+Cuenta_Clasificacion[[#This Row],[Código Cuenta Contable]]&amp;" - "&amp;Cuenta_Clasificacion[[#This Row],[Nombre de Cuenta Contable]]</f>
        <v>4105024 - Proyectos No Ejecutados</v>
      </c>
      <c r="F1881" s="47" t="str">
        <f>+Cuenta_Clasificacion[[#This Row],[Codigo Concepto de imputación]]&amp;" - "&amp;Cuenta_Clasificacion[[#This Row],[Nombre Concepto de imputación]]</f>
        <v>40045 - Diseñador</v>
      </c>
    </row>
    <row r="1882" spans="1:6" x14ac:dyDescent="0.25">
      <c r="A1882" s="43">
        <v>4105024</v>
      </c>
      <c r="B1882" t="s">
        <v>210</v>
      </c>
      <c r="C1882" s="43">
        <v>40046</v>
      </c>
      <c r="D1882" t="s">
        <v>2989</v>
      </c>
      <c r="E1882" s="47" t="str">
        <f>+Cuenta_Clasificacion[[#This Row],[Código Cuenta Contable]]&amp;" - "&amp;Cuenta_Clasificacion[[#This Row],[Nombre de Cuenta Contable]]</f>
        <v>4105024 - Proyectos No Ejecutados</v>
      </c>
      <c r="F1882" s="47" t="str">
        <f>+Cuenta_Clasificacion[[#This Row],[Codigo Concepto de imputación]]&amp;" - "&amp;Cuenta_Clasificacion[[#This Row],[Nombre Concepto de imputación]]</f>
        <v>40046 - Eléctrico</v>
      </c>
    </row>
    <row r="1883" spans="1:6" x14ac:dyDescent="0.25">
      <c r="A1883" s="43">
        <v>4105024</v>
      </c>
      <c r="B1883" t="s">
        <v>210</v>
      </c>
      <c r="C1883" s="43">
        <v>40047</v>
      </c>
      <c r="D1883" t="s">
        <v>2990</v>
      </c>
      <c r="E1883" s="47" t="str">
        <f>+Cuenta_Clasificacion[[#This Row],[Código Cuenta Contable]]&amp;" - "&amp;Cuenta_Clasificacion[[#This Row],[Nombre de Cuenta Contable]]</f>
        <v>4105024 - Proyectos No Ejecutados</v>
      </c>
      <c r="F1883" s="47" t="str">
        <f>+Cuenta_Clasificacion[[#This Row],[Codigo Concepto de imputación]]&amp;" - "&amp;Cuenta_Clasificacion[[#This Row],[Nombre Concepto de imputación]]</f>
        <v>40047 - Electromecánico</v>
      </c>
    </row>
    <row r="1884" spans="1:6" x14ac:dyDescent="0.25">
      <c r="A1884" s="43">
        <v>4105024</v>
      </c>
      <c r="B1884" t="s">
        <v>210</v>
      </c>
      <c r="C1884" s="43">
        <v>40048</v>
      </c>
      <c r="D1884" t="s">
        <v>2991</v>
      </c>
      <c r="E1884" s="47" t="str">
        <f>+Cuenta_Clasificacion[[#This Row],[Código Cuenta Contable]]&amp;" - "&amp;Cuenta_Clasificacion[[#This Row],[Nombre de Cuenta Contable]]</f>
        <v>4105024 - Proyectos No Ejecutados</v>
      </c>
      <c r="F1884" s="47" t="str">
        <f>+Cuenta_Clasificacion[[#This Row],[Codigo Concepto de imputación]]&amp;" - "&amp;Cuenta_Clasificacion[[#This Row],[Nombre Concepto de imputación]]</f>
        <v>40048 - Elect. de Mant. y Montaje</v>
      </c>
    </row>
    <row r="1885" spans="1:6" x14ac:dyDescent="0.25">
      <c r="A1885" s="43">
        <v>4105024</v>
      </c>
      <c r="B1885" t="s">
        <v>210</v>
      </c>
      <c r="C1885" s="43">
        <v>40049</v>
      </c>
      <c r="D1885" t="s">
        <v>2992</v>
      </c>
      <c r="E1885" s="47" t="str">
        <f>+Cuenta_Clasificacion[[#This Row],[Código Cuenta Contable]]&amp;" - "&amp;Cuenta_Clasificacion[[#This Row],[Nombre de Cuenta Contable]]</f>
        <v>4105024 - Proyectos No Ejecutados</v>
      </c>
      <c r="F1885" s="47" t="str">
        <f>+Cuenta_Clasificacion[[#This Row],[Codigo Concepto de imputación]]&amp;" - "&amp;Cuenta_Clasificacion[[#This Row],[Nombre Concepto de imputación]]</f>
        <v>40049 - Encargado de Arriendos</v>
      </c>
    </row>
    <row r="1886" spans="1:6" x14ac:dyDescent="0.25">
      <c r="A1886" s="43">
        <v>4105024</v>
      </c>
      <c r="B1886" t="s">
        <v>210</v>
      </c>
      <c r="C1886" s="43">
        <v>40050</v>
      </c>
      <c r="D1886" t="s">
        <v>2993</v>
      </c>
      <c r="E1886" s="47" t="str">
        <f>+Cuenta_Clasificacion[[#This Row],[Código Cuenta Contable]]&amp;" - "&amp;Cuenta_Clasificacion[[#This Row],[Nombre de Cuenta Contable]]</f>
        <v>4105024 - Proyectos No Ejecutados</v>
      </c>
      <c r="F1886" s="47" t="str">
        <f>+Cuenta_Clasificacion[[#This Row],[Codigo Concepto de imputación]]&amp;" - "&amp;Cuenta_Clasificacion[[#This Row],[Nombre Concepto de imputación]]</f>
        <v>40050 - Encargado de Bodega</v>
      </c>
    </row>
    <row r="1887" spans="1:6" x14ac:dyDescent="0.25">
      <c r="A1887" s="43">
        <v>4105024</v>
      </c>
      <c r="B1887" t="s">
        <v>210</v>
      </c>
      <c r="C1887" s="43">
        <v>40051</v>
      </c>
      <c r="D1887" t="s">
        <v>2994</v>
      </c>
      <c r="E1887" s="47" t="str">
        <f>+Cuenta_Clasificacion[[#This Row],[Código Cuenta Contable]]&amp;" - "&amp;Cuenta_Clasificacion[[#This Row],[Nombre de Cuenta Contable]]</f>
        <v>4105024 - Proyectos No Ejecutados</v>
      </c>
      <c r="F1887" s="47" t="str">
        <f>+Cuenta_Clasificacion[[#This Row],[Codigo Concepto de imputación]]&amp;" - "&amp;Cuenta_Clasificacion[[#This Row],[Nombre Concepto de imputación]]</f>
        <v>40051 - Encargado Control Avance Obra</v>
      </c>
    </row>
    <row r="1888" spans="1:6" x14ac:dyDescent="0.25">
      <c r="A1888" s="43">
        <v>4105024</v>
      </c>
      <c r="B1888" t="s">
        <v>210</v>
      </c>
      <c r="C1888" s="43">
        <v>40052</v>
      </c>
      <c r="D1888" t="s">
        <v>2995</v>
      </c>
      <c r="E1888" s="47" t="str">
        <f>+Cuenta_Clasificacion[[#This Row],[Código Cuenta Contable]]&amp;" - "&amp;Cuenta_Clasificacion[[#This Row],[Nombre de Cuenta Contable]]</f>
        <v>4105024 - Proyectos No Ejecutados</v>
      </c>
      <c r="F1888" s="47" t="str">
        <f>+Cuenta_Clasificacion[[#This Row],[Codigo Concepto de imputación]]&amp;" - "&amp;Cuenta_Clasificacion[[#This Row],[Nombre Concepto de imputación]]</f>
        <v>40052 - Encargado de Inspección</v>
      </c>
    </row>
    <row r="1889" spans="1:6" x14ac:dyDescent="0.25">
      <c r="A1889" s="43">
        <v>4105024</v>
      </c>
      <c r="B1889" t="s">
        <v>210</v>
      </c>
      <c r="C1889" s="43">
        <v>40053</v>
      </c>
      <c r="D1889" t="s">
        <v>2996</v>
      </c>
      <c r="E1889" s="47" t="str">
        <f>+Cuenta_Clasificacion[[#This Row],[Código Cuenta Contable]]&amp;" - "&amp;Cuenta_Clasificacion[[#This Row],[Nombre de Cuenta Contable]]</f>
        <v>4105024 - Proyectos No Ejecutados</v>
      </c>
      <c r="F1889" s="47" t="str">
        <f>+Cuenta_Clasificacion[[#This Row],[Codigo Concepto de imputación]]&amp;" - "&amp;Cuenta_Clasificacion[[#This Row],[Nombre Concepto de imputación]]</f>
        <v>40053 - Encargado de Mantención</v>
      </c>
    </row>
    <row r="1890" spans="1:6" x14ac:dyDescent="0.25">
      <c r="A1890" s="43">
        <v>4105024</v>
      </c>
      <c r="B1890" t="s">
        <v>210</v>
      </c>
      <c r="C1890" s="43">
        <v>40054</v>
      </c>
      <c r="D1890" t="s">
        <v>2997</v>
      </c>
      <c r="E1890" s="47" t="str">
        <f>+Cuenta_Clasificacion[[#This Row],[Código Cuenta Contable]]&amp;" - "&amp;Cuenta_Clasificacion[[#This Row],[Nombre de Cuenta Contable]]</f>
        <v>4105024 - Proyectos No Ejecutados</v>
      </c>
      <c r="F1890" s="47" t="str">
        <f>+Cuenta_Clasificacion[[#This Row],[Codigo Concepto de imputación]]&amp;" - "&amp;Cuenta_Clasificacion[[#This Row],[Nombre Concepto de imputación]]</f>
        <v>40054 - Encargado de Oficina Técnica</v>
      </c>
    </row>
    <row r="1891" spans="1:6" x14ac:dyDescent="0.25">
      <c r="A1891" s="43">
        <v>4105024</v>
      </c>
      <c r="B1891" t="s">
        <v>210</v>
      </c>
      <c r="C1891" s="43">
        <v>40055</v>
      </c>
      <c r="D1891" t="s">
        <v>2998</v>
      </c>
      <c r="E1891" s="47" t="str">
        <f>+Cuenta_Clasificacion[[#This Row],[Código Cuenta Contable]]&amp;" - "&amp;Cuenta_Clasificacion[[#This Row],[Nombre de Cuenta Contable]]</f>
        <v>4105024 - Proyectos No Ejecutados</v>
      </c>
      <c r="F1891" s="47" t="str">
        <f>+Cuenta_Clasificacion[[#This Row],[Codigo Concepto de imputación]]&amp;" - "&amp;Cuenta_Clasificacion[[#This Row],[Nombre Concepto de imputación]]</f>
        <v>40055 - Enfierrador</v>
      </c>
    </row>
    <row r="1892" spans="1:6" x14ac:dyDescent="0.25">
      <c r="A1892" s="43">
        <v>4105024</v>
      </c>
      <c r="B1892" t="s">
        <v>210</v>
      </c>
      <c r="C1892" s="43">
        <v>40056</v>
      </c>
      <c r="D1892" t="s">
        <v>2999</v>
      </c>
      <c r="E1892" s="47" t="str">
        <f>+Cuenta_Clasificacion[[#This Row],[Código Cuenta Contable]]&amp;" - "&amp;Cuenta_Clasificacion[[#This Row],[Nombre de Cuenta Contable]]</f>
        <v>4105024 - Proyectos No Ejecutados</v>
      </c>
      <c r="F1892" s="47" t="str">
        <f>+Cuenta_Clasificacion[[#This Row],[Codigo Concepto de imputación]]&amp;" - "&amp;Cuenta_Clasificacion[[#This Row],[Nombre Concepto de imputación]]</f>
        <v>40056 - Especialista Eléctrico</v>
      </c>
    </row>
    <row r="1893" spans="1:6" x14ac:dyDescent="0.25">
      <c r="A1893" s="43">
        <v>4105024</v>
      </c>
      <c r="B1893" t="s">
        <v>210</v>
      </c>
      <c r="C1893" s="43">
        <v>40057</v>
      </c>
      <c r="D1893" t="s">
        <v>3000</v>
      </c>
      <c r="E1893" s="47" t="str">
        <f>+Cuenta_Clasificacion[[#This Row],[Código Cuenta Contable]]&amp;" - "&amp;Cuenta_Clasificacion[[#This Row],[Nombre de Cuenta Contable]]</f>
        <v>4105024 - Proyectos No Ejecutados</v>
      </c>
      <c r="F1893" s="47" t="str">
        <f>+Cuenta_Clasificacion[[#This Row],[Codigo Concepto de imputación]]&amp;" - "&amp;Cuenta_Clasificacion[[#This Row],[Nombre Concepto de imputación]]</f>
        <v>40057 - Estafeta</v>
      </c>
    </row>
    <row r="1894" spans="1:6" x14ac:dyDescent="0.25">
      <c r="A1894" s="43">
        <v>4105024</v>
      </c>
      <c r="B1894" t="s">
        <v>210</v>
      </c>
      <c r="C1894" s="43">
        <v>40058</v>
      </c>
      <c r="D1894" t="s">
        <v>3001</v>
      </c>
      <c r="E1894" s="47" t="str">
        <f>+Cuenta_Clasificacion[[#This Row],[Código Cuenta Contable]]&amp;" - "&amp;Cuenta_Clasificacion[[#This Row],[Nombre de Cuenta Contable]]</f>
        <v>4105024 - Proyectos No Ejecutados</v>
      </c>
      <c r="F1894" s="47" t="str">
        <f>+Cuenta_Clasificacion[[#This Row],[Codigo Concepto de imputación]]&amp;" - "&amp;Cuenta_Clasificacion[[#This Row],[Nombre Concepto de imputación]]</f>
        <v>40058 - Estucador</v>
      </c>
    </row>
    <row r="1895" spans="1:6" x14ac:dyDescent="0.25">
      <c r="A1895" s="43">
        <v>4105024</v>
      </c>
      <c r="B1895" t="s">
        <v>210</v>
      </c>
      <c r="C1895" s="43">
        <v>40059</v>
      </c>
      <c r="D1895" t="s">
        <v>3002</v>
      </c>
      <c r="E1895" s="47" t="str">
        <f>+Cuenta_Clasificacion[[#This Row],[Código Cuenta Contable]]&amp;" - "&amp;Cuenta_Clasificacion[[#This Row],[Nombre de Cuenta Contable]]</f>
        <v>4105024 - Proyectos No Ejecutados</v>
      </c>
      <c r="F1895" s="47" t="str">
        <f>+Cuenta_Clasificacion[[#This Row],[Codigo Concepto de imputación]]&amp;" - "&amp;Cuenta_Clasificacion[[#This Row],[Nombre Concepto de imputación]]</f>
        <v>40059 - Experto en  Prev. de Riesgos</v>
      </c>
    </row>
    <row r="1896" spans="1:6" x14ac:dyDescent="0.25">
      <c r="A1896" s="43">
        <v>4105024</v>
      </c>
      <c r="B1896" t="s">
        <v>210</v>
      </c>
      <c r="C1896" s="43">
        <v>40060</v>
      </c>
      <c r="D1896" t="s">
        <v>3003</v>
      </c>
      <c r="E1896" s="47" t="str">
        <f>+Cuenta_Clasificacion[[#This Row],[Código Cuenta Contable]]&amp;" - "&amp;Cuenta_Clasificacion[[#This Row],[Nombre de Cuenta Contable]]</f>
        <v>4105024 - Proyectos No Ejecutados</v>
      </c>
      <c r="F1896" s="47" t="str">
        <f>+Cuenta_Clasificacion[[#This Row],[Codigo Concepto de imputación]]&amp;" - "&amp;Cuenta_Clasificacion[[#This Row],[Nombre Concepto de imputación]]</f>
        <v>40060 - Gasfiter</v>
      </c>
    </row>
    <row r="1897" spans="1:6" x14ac:dyDescent="0.25">
      <c r="A1897" s="43">
        <v>4105024</v>
      </c>
      <c r="B1897" t="s">
        <v>210</v>
      </c>
      <c r="C1897" s="43">
        <v>40061</v>
      </c>
      <c r="D1897" t="s">
        <v>3004</v>
      </c>
      <c r="E1897" s="47" t="str">
        <f>+Cuenta_Clasificacion[[#This Row],[Código Cuenta Contable]]&amp;" - "&amp;Cuenta_Clasificacion[[#This Row],[Nombre de Cuenta Contable]]</f>
        <v>4105024 - Proyectos No Ejecutados</v>
      </c>
      <c r="F1897" s="47" t="str">
        <f>+Cuenta_Clasificacion[[#This Row],[Codigo Concepto de imputación]]&amp;" - "&amp;Cuenta_Clasificacion[[#This Row],[Nombre Concepto de imputación]]</f>
        <v>40061 - Gerente de Obra</v>
      </c>
    </row>
    <row r="1898" spans="1:6" x14ac:dyDescent="0.25">
      <c r="A1898" s="43">
        <v>4105024</v>
      </c>
      <c r="B1898" t="s">
        <v>210</v>
      </c>
      <c r="C1898" s="43">
        <v>40062</v>
      </c>
      <c r="D1898" t="s">
        <v>3005</v>
      </c>
      <c r="E1898" s="47" t="str">
        <f>+Cuenta_Clasificacion[[#This Row],[Código Cuenta Contable]]&amp;" - "&amp;Cuenta_Clasificacion[[#This Row],[Nombre de Cuenta Contable]]</f>
        <v>4105024 - Proyectos No Ejecutados</v>
      </c>
      <c r="F1898" s="47" t="str">
        <f>+Cuenta_Clasificacion[[#This Row],[Codigo Concepto de imputación]]&amp;" - "&amp;Cuenta_Clasificacion[[#This Row],[Nombre Concepto de imputación]]</f>
        <v>40062 - Ingeniero</v>
      </c>
    </row>
    <row r="1899" spans="1:6" x14ac:dyDescent="0.25">
      <c r="A1899" s="43">
        <v>4105024</v>
      </c>
      <c r="B1899" t="s">
        <v>210</v>
      </c>
      <c r="C1899" s="43">
        <v>40063</v>
      </c>
      <c r="D1899" t="s">
        <v>3006</v>
      </c>
      <c r="E1899" s="47" t="str">
        <f>+Cuenta_Clasificacion[[#This Row],[Código Cuenta Contable]]&amp;" - "&amp;Cuenta_Clasificacion[[#This Row],[Nombre de Cuenta Contable]]</f>
        <v>4105024 - Proyectos No Ejecutados</v>
      </c>
      <c r="F1899" s="47" t="str">
        <f>+Cuenta_Clasificacion[[#This Row],[Codigo Concepto de imputación]]&amp;" - "&amp;Cuenta_Clasificacion[[#This Row],[Nombre Concepto de imputación]]</f>
        <v>40063 - Insp. Técnico de Obra Interno</v>
      </c>
    </row>
    <row r="1900" spans="1:6" x14ac:dyDescent="0.25">
      <c r="A1900" s="43">
        <v>4105024</v>
      </c>
      <c r="B1900" t="s">
        <v>210</v>
      </c>
      <c r="C1900" s="43">
        <v>40064</v>
      </c>
      <c r="D1900" t="s">
        <v>3007</v>
      </c>
      <c r="E1900" s="47" t="str">
        <f>+Cuenta_Clasificacion[[#This Row],[Código Cuenta Contable]]&amp;" - "&amp;Cuenta_Clasificacion[[#This Row],[Nombre de Cuenta Contable]]</f>
        <v>4105024 - Proyectos No Ejecutados</v>
      </c>
      <c r="F1900" s="47" t="str">
        <f>+Cuenta_Clasificacion[[#This Row],[Codigo Concepto de imputación]]&amp;" - "&amp;Cuenta_Clasificacion[[#This Row],[Nombre Concepto de imputación]]</f>
        <v>40064 - Inspector Técnico de Obra</v>
      </c>
    </row>
    <row r="1901" spans="1:6" x14ac:dyDescent="0.25">
      <c r="A1901" s="43">
        <v>4105024</v>
      </c>
      <c r="B1901" t="s">
        <v>210</v>
      </c>
      <c r="C1901" s="43">
        <v>40065</v>
      </c>
      <c r="D1901" t="s">
        <v>3008</v>
      </c>
      <c r="E1901" s="47" t="str">
        <f>+Cuenta_Clasificacion[[#This Row],[Código Cuenta Contable]]&amp;" - "&amp;Cuenta_Clasificacion[[#This Row],[Nombre de Cuenta Contable]]</f>
        <v>4105024 - Proyectos No Ejecutados</v>
      </c>
      <c r="F1901" s="47" t="str">
        <f>+Cuenta_Clasificacion[[#This Row],[Codigo Concepto de imputación]]&amp;" - "&amp;Cuenta_Clasificacion[[#This Row],[Nombre Concepto de imputación]]</f>
        <v>40065 - Jefe de Adquisiciones</v>
      </c>
    </row>
    <row r="1902" spans="1:6" x14ac:dyDescent="0.25">
      <c r="A1902" s="43">
        <v>4105024</v>
      </c>
      <c r="B1902" t="s">
        <v>210</v>
      </c>
      <c r="C1902" s="43">
        <v>40066</v>
      </c>
      <c r="D1902" t="s">
        <v>3009</v>
      </c>
      <c r="E1902" s="47" t="str">
        <f>+Cuenta_Clasificacion[[#This Row],[Código Cuenta Contable]]&amp;" - "&amp;Cuenta_Clasificacion[[#This Row],[Nombre de Cuenta Contable]]</f>
        <v>4105024 - Proyectos No Ejecutados</v>
      </c>
      <c r="F1902" s="47" t="str">
        <f>+Cuenta_Clasificacion[[#This Row],[Codigo Concepto de imputación]]&amp;" - "&amp;Cuenta_Clasificacion[[#This Row],[Nombre Concepto de imputación]]</f>
        <v>40066 - Jefe de Bodega</v>
      </c>
    </row>
    <row r="1903" spans="1:6" x14ac:dyDescent="0.25">
      <c r="A1903" s="43">
        <v>4105024</v>
      </c>
      <c r="B1903" t="s">
        <v>210</v>
      </c>
      <c r="C1903" s="43">
        <v>40067</v>
      </c>
      <c r="D1903" t="s">
        <v>3010</v>
      </c>
      <c r="E1903" s="47" t="str">
        <f>+Cuenta_Clasificacion[[#This Row],[Código Cuenta Contable]]&amp;" - "&amp;Cuenta_Clasificacion[[#This Row],[Nombre de Cuenta Contable]]</f>
        <v>4105024 - Proyectos No Ejecutados</v>
      </c>
      <c r="F1903" s="47" t="str">
        <f>+Cuenta_Clasificacion[[#This Row],[Codigo Concepto de imputación]]&amp;" - "&amp;Cuenta_Clasificacion[[#This Row],[Nombre Concepto de imputación]]</f>
        <v>40067 - Jefe de Maq. y Bodega Central</v>
      </c>
    </row>
    <row r="1904" spans="1:6" x14ac:dyDescent="0.25">
      <c r="A1904" s="43">
        <v>4105024</v>
      </c>
      <c r="B1904" t="s">
        <v>210</v>
      </c>
      <c r="C1904" s="43">
        <v>40068</v>
      </c>
      <c r="D1904" t="s">
        <v>3011</v>
      </c>
      <c r="E1904" s="47" t="str">
        <f>+Cuenta_Clasificacion[[#This Row],[Código Cuenta Contable]]&amp;" - "&amp;Cuenta_Clasificacion[[#This Row],[Nombre de Cuenta Contable]]</f>
        <v>4105024 - Proyectos No Ejecutados</v>
      </c>
      <c r="F1904" s="47" t="str">
        <f>+Cuenta_Clasificacion[[#This Row],[Codigo Concepto de imputación]]&amp;" - "&amp;Cuenta_Clasificacion[[#This Row],[Nombre Concepto de imputación]]</f>
        <v>40068 - Jefe de Obra</v>
      </c>
    </row>
    <row r="1905" spans="1:6" x14ac:dyDescent="0.25">
      <c r="A1905" s="43">
        <v>4105024</v>
      </c>
      <c r="B1905" t="s">
        <v>210</v>
      </c>
      <c r="C1905" s="43">
        <v>40069</v>
      </c>
      <c r="D1905" t="s">
        <v>3012</v>
      </c>
      <c r="E1905" s="47" t="str">
        <f>+Cuenta_Clasificacion[[#This Row],[Código Cuenta Contable]]&amp;" - "&amp;Cuenta_Clasificacion[[#This Row],[Nombre de Cuenta Contable]]</f>
        <v>4105024 - Proyectos No Ejecutados</v>
      </c>
      <c r="F1905" s="47" t="str">
        <f>+Cuenta_Clasificacion[[#This Row],[Codigo Concepto de imputación]]&amp;" - "&amp;Cuenta_Clasificacion[[#This Row],[Nombre Concepto de imputación]]</f>
        <v>40069 - Jefe de Patio</v>
      </c>
    </row>
    <row r="1906" spans="1:6" x14ac:dyDescent="0.25">
      <c r="A1906" s="43">
        <v>4105024</v>
      </c>
      <c r="B1906" t="s">
        <v>210</v>
      </c>
      <c r="C1906" s="43">
        <v>40070</v>
      </c>
      <c r="D1906" t="s">
        <v>3013</v>
      </c>
      <c r="E1906" s="47" t="str">
        <f>+Cuenta_Clasificacion[[#This Row],[Código Cuenta Contable]]&amp;" - "&amp;Cuenta_Clasificacion[[#This Row],[Nombre de Cuenta Contable]]</f>
        <v>4105024 - Proyectos No Ejecutados</v>
      </c>
      <c r="F1906" s="47" t="str">
        <f>+Cuenta_Clasificacion[[#This Row],[Codigo Concepto de imputación]]&amp;" - "&amp;Cuenta_Clasificacion[[#This Row],[Nombre Concepto de imputación]]</f>
        <v>40070 - Jefe de Post Venta</v>
      </c>
    </row>
    <row r="1907" spans="1:6" x14ac:dyDescent="0.25">
      <c r="A1907" s="43">
        <v>4105024</v>
      </c>
      <c r="B1907" t="s">
        <v>210</v>
      </c>
      <c r="C1907" s="43">
        <v>40071</v>
      </c>
      <c r="D1907" t="s">
        <v>3014</v>
      </c>
      <c r="E1907" s="47" t="str">
        <f>+Cuenta_Clasificacion[[#This Row],[Código Cuenta Contable]]&amp;" - "&amp;Cuenta_Clasificacion[[#This Row],[Nombre de Cuenta Contable]]</f>
        <v>4105024 - Proyectos No Ejecutados</v>
      </c>
      <c r="F1907" s="47" t="str">
        <f>+Cuenta_Clasificacion[[#This Row],[Codigo Concepto de imputación]]&amp;" - "&amp;Cuenta_Clasificacion[[#This Row],[Nombre Concepto de imputación]]</f>
        <v>40071 - Jefe de Procesos</v>
      </c>
    </row>
    <row r="1908" spans="1:6" x14ac:dyDescent="0.25">
      <c r="A1908" s="43">
        <v>4105024</v>
      </c>
      <c r="B1908" t="s">
        <v>210</v>
      </c>
      <c r="C1908" s="43">
        <v>40072</v>
      </c>
      <c r="D1908" t="s">
        <v>3015</v>
      </c>
      <c r="E1908" s="47" t="str">
        <f>+Cuenta_Clasificacion[[#This Row],[Código Cuenta Contable]]&amp;" - "&amp;Cuenta_Clasificacion[[#This Row],[Nombre de Cuenta Contable]]</f>
        <v>4105024 - Proyectos No Ejecutados</v>
      </c>
      <c r="F1908" s="47" t="str">
        <f>+Cuenta_Clasificacion[[#This Row],[Codigo Concepto de imputación]]&amp;" - "&amp;Cuenta_Clasificacion[[#This Row],[Nombre Concepto de imputación]]</f>
        <v>40072 - Jefe de Terreno</v>
      </c>
    </row>
    <row r="1909" spans="1:6" x14ac:dyDescent="0.25">
      <c r="A1909" s="43">
        <v>4105024</v>
      </c>
      <c r="B1909" t="s">
        <v>210</v>
      </c>
      <c r="C1909" s="43">
        <v>40073</v>
      </c>
      <c r="D1909" t="s">
        <v>3016</v>
      </c>
      <c r="E1909" s="47" t="str">
        <f>+Cuenta_Clasificacion[[#This Row],[Código Cuenta Contable]]&amp;" - "&amp;Cuenta_Clasificacion[[#This Row],[Nombre de Cuenta Contable]]</f>
        <v>4105024 - Proyectos No Ejecutados</v>
      </c>
      <c r="F1909" s="47" t="str">
        <f>+Cuenta_Clasificacion[[#This Row],[Codigo Concepto de imputación]]&amp;" - "&amp;Cuenta_Clasificacion[[#This Row],[Nombre Concepto de imputación]]</f>
        <v>40073 - Jornal</v>
      </c>
    </row>
    <row r="1910" spans="1:6" x14ac:dyDescent="0.25">
      <c r="A1910" s="43">
        <v>4105024</v>
      </c>
      <c r="B1910" t="s">
        <v>210</v>
      </c>
      <c r="C1910" s="43">
        <v>40074</v>
      </c>
      <c r="D1910" t="s">
        <v>3017</v>
      </c>
      <c r="E1910" s="47" t="str">
        <f>+Cuenta_Clasificacion[[#This Row],[Código Cuenta Contable]]&amp;" - "&amp;Cuenta_Clasificacion[[#This Row],[Nombre de Cuenta Contable]]</f>
        <v>4105024 - Proyectos No Ejecutados</v>
      </c>
      <c r="F1910" s="47" t="str">
        <f>+Cuenta_Clasificacion[[#This Row],[Codigo Concepto de imputación]]&amp;" - "&amp;Cuenta_Clasificacion[[#This Row],[Nombre Concepto de imputación]]</f>
        <v>40074 - Jornal Andamiero</v>
      </c>
    </row>
    <row r="1911" spans="1:6" x14ac:dyDescent="0.25">
      <c r="A1911" s="43">
        <v>4105024</v>
      </c>
      <c r="B1911" t="s">
        <v>210</v>
      </c>
      <c r="C1911" s="43">
        <v>40075</v>
      </c>
      <c r="D1911" t="s">
        <v>3018</v>
      </c>
      <c r="E1911" s="47" t="str">
        <f>+Cuenta_Clasificacion[[#This Row],[Código Cuenta Contable]]&amp;" - "&amp;Cuenta_Clasificacion[[#This Row],[Nombre de Cuenta Contable]]</f>
        <v>4105024 - Proyectos No Ejecutados</v>
      </c>
      <c r="F1911" s="47" t="str">
        <f>+Cuenta_Clasificacion[[#This Row],[Codigo Concepto de imputación]]&amp;" - "&amp;Cuenta_Clasificacion[[#This Row],[Nombre Concepto de imputación]]</f>
        <v>40075 - Jornal Canguero</v>
      </c>
    </row>
    <row r="1912" spans="1:6" x14ac:dyDescent="0.25">
      <c r="A1912" s="43">
        <v>4105024</v>
      </c>
      <c r="B1912" t="s">
        <v>210</v>
      </c>
      <c r="C1912" s="43">
        <v>40076</v>
      </c>
      <c r="D1912" t="s">
        <v>3019</v>
      </c>
      <c r="E1912" s="47" t="str">
        <f>+Cuenta_Clasificacion[[#This Row],[Código Cuenta Contable]]&amp;" - "&amp;Cuenta_Clasificacion[[#This Row],[Nombre de Cuenta Contable]]</f>
        <v>4105024 - Proyectos No Ejecutados</v>
      </c>
      <c r="F1912" s="47" t="str">
        <f>+Cuenta_Clasificacion[[#This Row],[Codigo Concepto de imputación]]&amp;" - "&amp;Cuenta_Clasificacion[[#This Row],[Nombre Concepto de imputación]]</f>
        <v>40076 - Jornal Concretero</v>
      </c>
    </row>
    <row r="1913" spans="1:6" x14ac:dyDescent="0.25">
      <c r="A1913" s="43">
        <v>4105024</v>
      </c>
      <c r="B1913" t="s">
        <v>210</v>
      </c>
      <c r="C1913" s="43">
        <v>40077</v>
      </c>
      <c r="D1913" t="s">
        <v>3020</v>
      </c>
      <c r="E1913" s="47" t="str">
        <f>+Cuenta_Clasificacion[[#This Row],[Código Cuenta Contable]]&amp;" - "&amp;Cuenta_Clasificacion[[#This Row],[Nombre de Cuenta Contable]]</f>
        <v>4105024 - Proyectos No Ejecutados</v>
      </c>
      <c r="F1913" s="47" t="str">
        <f>+Cuenta_Clasificacion[[#This Row],[Codigo Concepto de imputación]]&amp;" - "&amp;Cuenta_Clasificacion[[#This Row],[Nombre Concepto de imputación]]</f>
        <v>40077 - Jornal de Aseo</v>
      </c>
    </row>
    <row r="1914" spans="1:6" x14ac:dyDescent="0.25">
      <c r="A1914" s="43">
        <v>4105024</v>
      </c>
      <c r="B1914" t="s">
        <v>210</v>
      </c>
      <c r="C1914" s="43">
        <v>40078</v>
      </c>
      <c r="D1914" t="s">
        <v>3021</v>
      </c>
      <c r="E1914" s="47" t="str">
        <f>+Cuenta_Clasificacion[[#This Row],[Código Cuenta Contable]]&amp;" - "&amp;Cuenta_Clasificacion[[#This Row],[Nombre de Cuenta Contable]]</f>
        <v>4105024 - Proyectos No Ejecutados</v>
      </c>
      <c r="F1914" s="47" t="str">
        <f>+Cuenta_Clasificacion[[#This Row],[Codigo Concepto de imputación]]&amp;" - "&amp;Cuenta_Clasificacion[[#This Row],[Nombre Concepto de imputación]]</f>
        <v>40078 - Jornal Llavero</v>
      </c>
    </row>
    <row r="1915" spans="1:6" x14ac:dyDescent="0.25">
      <c r="A1915" s="43">
        <v>4105024</v>
      </c>
      <c r="B1915" t="s">
        <v>210</v>
      </c>
      <c r="C1915" s="43">
        <v>40079</v>
      </c>
      <c r="D1915" t="s">
        <v>3022</v>
      </c>
      <c r="E1915" s="47" t="str">
        <f>+Cuenta_Clasificacion[[#This Row],[Código Cuenta Contable]]&amp;" - "&amp;Cuenta_Clasificacion[[#This Row],[Nombre de Cuenta Contable]]</f>
        <v>4105024 - Proyectos No Ejecutados</v>
      </c>
      <c r="F1915" s="47" t="str">
        <f>+Cuenta_Clasificacion[[#This Row],[Codigo Concepto de imputación]]&amp;" - "&amp;Cuenta_Clasificacion[[#This Row],[Nombre Concepto de imputación]]</f>
        <v>40079 - Junior</v>
      </c>
    </row>
    <row r="1916" spans="1:6" x14ac:dyDescent="0.25">
      <c r="A1916" s="43">
        <v>4105024</v>
      </c>
      <c r="B1916" t="s">
        <v>210</v>
      </c>
      <c r="C1916" s="43">
        <v>40080</v>
      </c>
      <c r="D1916" t="s">
        <v>3023</v>
      </c>
      <c r="E1916" s="47" t="str">
        <f>+Cuenta_Clasificacion[[#This Row],[Código Cuenta Contable]]&amp;" - "&amp;Cuenta_Clasificacion[[#This Row],[Nombre de Cuenta Contable]]</f>
        <v>4105024 - Proyectos No Ejecutados</v>
      </c>
      <c r="F1916" s="47" t="str">
        <f>+Cuenta_Clasificacion[[#This Row],[Codigo Concepto de imputación]]&amp;" - "&amp;Cuenta_Clasificacion[[#This Row],[Nombre Concepto de imputación]]</f>
        <v>40080 - Maestro</v>
      </c>
    </row>
    <row r="1917" spans="1:6" x14ac:dyDescent="0.25">
      <c r="A1917" s="43">
        <v>4105024</v>
      </c>
      <c r="B1917" t="s">
        <v>210</v>
      </c>
      <c r="C1917" s="43">
        <v>40081</v>
      </c>
      <c r="D1917" t="s">
        <v>3024</v>
      </c>
      <c r="E1917" s="47" t="str">
        <f>+Cuenta_Clasificacion[[#This Row],[Código Cuenta Contable]]&amp;" - "&amp;Cuenta_Clasificacion[[#This Row],[Nombre de Cuenta Contable]]</f>
        <v>4105024 - Proyectos No Ejecutados</v>
      </c>
      <c r="F1917" s="47" t="str">
        <f>+Cuenta_Clasificacion[[#This Row],[Codigo Concepto de imputación]]&amp;" - "&amp;Cuenta_Clasificacion[[#This Row],[Nombre Concepto de imputación]]</f>
        <v>40081 - Maestro Albañil</v>
      </c>
    </row>
    <row r="1918" spans="1:6" x14ac:dyDescent="0.25">
      <c r="A1918" s="43">
        <v>4105024</v>
      </c>
      <c r="B1918" t="s">
        <v>210</v>
      </c>
      <c r="C1918" s="43">
        <v>40082</v>
      </c>
      <c r="D1918" t="s">
        <v>3025</v>
      </c>
      <c r="E1918" s="47" t="str">
        <f>+Cuenta_Clasificacion[[#This Row],[Código Cuenta Contable]]&amp;" - "&amp;Cuenta_Clasificacion[[#This Row],[Nombre de Cuenta Contable]]</f>
        <v>4105024 - Proyectos No Ejecutados</v>
      </c>
      <c r="F1918" s="47" t="str">
        <f>+Cuenta_Clasificacion[[#This Row],[Codigo Concepto de imputación]]&amp;" - "&amp;Cuenta_Clasificacion[[#This Row],[Nombre Concepto de imputación]]</f>
        <v>40082 - Maestro Carpintero</v>
      </c>
    </row>
    <row r="1919" spans="1:6" x14ac:dyDescent="0.25">
      <c r="A1919" s="43">
        <v>4105024</v>
      </c>
      <c r="B1919" t="s">
        <v>210</v>
      </c>
      <c r="C1919" s="43">
        <v>40083</v>
      </c>
      <c r="D1919" t="s">
        <v>3026</v>
      </c>
      <c r="E1919" s="47" t="str">
        <f>+Cuenta_Clasificacion[[#This Row],[Código Cuenta Contable]]&amp;" - "&amp;Cuenta_Clasificacion[[#This Row],[Nombre de Cuenta Contable]]</f>
        <v>4105024 - Proyectos No Ejecutados</v>
      </c>
      <c r="F1919" s="47" t="str">
        <f>+Cuenta_Clasificacion[[#This Row],[Codigo Concepto de imputación]]&amp;" - "&amp;Cuenta_Clasificacion[[#This Row],[Nombre Concepto de imputación]]</f>
        <v>40083 - Maestro Ceramista</v>
      </c>
    </row>
    <row r="1920" spans="1:6" x14ac:dyDescent="0.25">
      <c r="A1920" s="43">
        <v>4105024</v>
      </c>
      <c r="B1920" t="s">
        <v>210</v>
      </c>
      <c r="C1920" s="43">
        <v>40084</v>
      </c>
      <c r="D1920" t="s">
        <v>3027</v>
      </c>
      <c r="E1920" s="47" t="str">
        <f>+Cuenta_Clasificacion[[#This Row],[Código Cuenta Contable]]&amp;" - "&amp;Cuenta_Clasificacion[[#This Row],[Nombre de Cuenta Contable]]</f>
        <v>4105024 - Proyectos No Ejecutados</v>
      </c>
      <c r="F1920" s="47" t="str">
        <f>+Cuenta_Clasificacion[[#This Row],[Codigo Concepto de imputación]]&amp;" - "&amp;Cuenta_Clasificacion[[#This Row],[Nombre Concepto de imputación]]</f>
        <v>40084 - Maestro Fragüero</v>
      </c>
    </row>
    <row r="1921" spans="1:6" x14ac:dyDescent="0.25">
      <c r="A1921" s="43">
        <v>4105024</v>
      </c>
      <c r="B1921" t="s">
        <v>210</v>
      </c>
      <c r="C1921" s="43">
        <v>40085</v>
      </c>
      <c r="D1921" t="s">
        <v>3028</v>
      </c>
      <c r="E1921" s="47" t="str">
        <f>+Cuenta_Clasificacion[[#This Row],[Código Cuenta Contable]]&amp;" - "&amp;Cuenta_Clasificacion[[#This Row],[Nombre de Cuenta Contable]]</f>
        <v>4105024 - Proyectos No Ejecutados</v>
      </c>
      <c r="F1921" s="47" t="str">
        <f>+Cuenta_Clasificacion[[#This Row],[Codigo Concepto de imputación]]&amp;" - "&amp;Cuenta_Clasificacion[[#This Row],[Nombre Concepto de imputación]]</f>
        <v>40085 - Maestro Trazador</v>
      </c>
    </row>
    <row r="1922" spans="1:6" x14ac:dyDescent="0.25">
      <c r="A1922" s="43">
        <v>4105024</v>
      </c>
      <c r="B1922" t="s">
        <v>210</v>
      </c>
      <c r="C1922" s="43">
        <v>40086</v>
      </c>
      <c r="D1922" t="s">
        <v>3029</v>
      </c>
      <c r="E1922" s="47" t="str">
        <f>+Cuenta_Clasificacion[[#This Row],[Código Cuenta Contable]]&amp;" - "&amp;Cuenta_Clasificacion[[#This Row],[Nombre de Cuenta Contable]]</f>
        <v>4105024 - Proyectos No Ejecutados</v>
      </c>
      <c r="F1922" s="47" t="str">
        <f>+Cuenta_Clasificacion[[#This Row],[Codigo Concepto de imputación]]&amp;" - "&amp;Cuenta_Clasificacion[[#This Row],[Nombre Concepto de imputación]]</f>
        <v>40086 - Mantención</v>
      </c>
    </row>
    <row r="1923" spans="1:6" x14ac:dyDescent="0.25">
      <c r="A1923" s="43">
        <v>4105024</v>
      </c>
      <c r="B1923" t="s">
        <v>210</v>
      </c>
      <c r="C1923" s="43">
        <v>40087</v>
      </c>
      <c r="D1923" t="s">
        <v>3030</v>
      </c>
      <c r="E1923" s="47" t="str">
        <f>+Cuenta_Clasificacion[[#This Row],[Código Cuenta Contable]]&amp;" - "&amp;Cuenta_Clasificacion[[#This Row],[Nombre de Cuenta Contable]]</f>
        <v>4105024 - Proyectos No Ejecutados</v>
      </c>
      <c r="F1923" s="47" t="str">
        <f>+Cuenta_Clasificacion[[#This Row],[Codigo Concepto de imputación]]&amp;" - "&amp;Cuenta_Clasificacion[[#This Row],[Nombre Concepto de imputación]]</f>
        <v>40087 - Mayordomo</v>
      </c>
    </row>
    <row r="1924" spans="1:6" x14ac:dyDescent="0.25">
      <c r="A1924" s="43">
        <v>4105024</v>
      </c>
      <c r="B1924" t="s">
        <v>210</v>
      </c>
      <c r="C1924" s="43">
        <v>40088</v>
      </c>
      <c r="D1924" t="s">
        <v>3031</v>
      </c>
      <c r="E1924" s="47" t="str">
        <f>+Cuenta_Clasificacion[[#This Row],[Código Cuenta Contable]]&amp;" - "&amp;Cuenta_Clasificacion[[#This Row],[Nombre de Cuenta Contable]]</f>
        <v>4105024 - Proyectos No Ejecutados</v>
      </c>
      <c r="F1924" s="47" t="str">
        <f>+Cuenta_Clasificacion[[#This Row],[Codigo Concepto de imputación]]&amp;" - "&amp;Cuenta_Clasificacion[[#This Row],[Nombre Concepto de imputación]]</f>
        <v>40088 - Oficina Técnica</v>
      </c>
    </row>
    <row r="1925" spans="1:6" x14ac:dyDescent="0.25">
      <c r="A1925" s="43">
        <v>4105024</v>
      </c>
      <c r="B1925" t="s">
        <v>210</v>
      </c>
      <c r="C1925" s="43">
        <v>40089</v>
      </c>
      <c r="D1925" t="s">
        <v>3032</v>
      </c>
      <c r="E1925" s="47" t="str">
        <f>+Cuenta_Clasificacion[[#This Row],[Código Cuenta Contable]]&amp;" - "&amp;Cuenta_Clasificacion[[#This Row],[Nombre de Cuenta Contable]]</f>
        <v>4105024 - Proyectos No Ejecutados</v>
      </c>
      <c r="F1925" s="47" t="str">
        <f>+Cuenta_Clasificacion[[#This Row],[Codigo Concepto de imputación]]&amp;" - "&amp;Cuenta_Clasificacion[[#This Row],[Nombre Concepto de imputación]]</f>
        <v>40089 - Operador</v>
      </c>
    </row>
    <row r="1926" spans="1:6" x14ac:dyDescent="0.25">
      <c r="A1926" s="43">
        <v>4105024</v>
      </c>
      <c r="B1926" t="s">
        <v>210</v>
      </c>
      <c r="C1926" s="43">
        <v>40090</v>
      </c>
      <c r="D1926" t="s">
        <v>3033</v>
      </c>
      <c r="E1926" s="47" t="str">
        <f>+Cuenta_Clasificacion[[#This Row],[Código Cuenta Contable]]&amp;" - "&amp;Cuenta_Clasificacion[[#This Row],[Nombre de Cuenta Contable]]</f>
        <v>4105024 - Proyectos No Ejecutados</v>
      </c>
      <c r="F1926" s="47" t="str">
        <f>+Cuenta_Clasificacion[[#This Row],[Codigo Concepto de imputación]]&amp;" - "&amp;Cuenta_Clasificacion[[#This Row],[Nombre Concepto de imputación]]</f>
        <v>40090 - Operador de Grúa</v>
      </c>
    </row>
    <row r="1927" spans="1:6" x14ac:dyDescent="0.25">
      <c r="A1927" s="43">
        <v>4105024</v>
      </c>
      <c r="B1927" t="s">
        <v>210</v>
      </c>
      <c r="C1927" s="43">
        <v>40091</v>
      </c>
      <c r="D1927" t="s">
        <v>3034</v>
      </c>
      <c r="E1927" s="47" t="str">
        <f>+Cuenta_Clasificacion[[#This Row],[Código Cuenta Contable]]&amp;" - "&amp;Cuenta_Clasificacion[[#This Row],[Nombre de Cuenta Contable]]</f>
        <v>4105024 - Proyectos No Ejecutados</v>
      </c>
      <c r="F1927" s="47" t="str">
        <f>+Cuenta_Clasificacion[[#This Row],[Codigo Concepto de imputación]]&amp;" - "&amp;Cuenta_Clasificacion[[#This Row],[Nombre Concepto de imputación]]</f>
        <v>40091 - Operador de Minicargador</v>
      </c>
    </row>
    <row r="1928" spans="1:6" x14ac:dyDescent="0.25">
      <c r="A1928" s="43">
        <v>4105024</v>
      </c>
      <c r="B1928" t="s">
        <v>210</v>
      </c>
      <c r="C1928" s="43">
        <v>40092</v>
      </c>
      <c r="D1928" t="s">
        <v>3035</v>
      </c>
      <c r="E1928" s="47" t="str">
        <f>+Cuenta_Clasificacion[[#This Row],[Código Cuenta Contable]]&amp;" - "&amp;Cuenta_Clasificacion[[#This Row],[Nombre de Cuenta Contable]]</f>
        <v>4105024 - Proyectos No Ejecutados</v>
      </c>
      <c r="F1928" s="47" t="str">
        <f>+Cuenta_Clasificacion[[#This Row],[Codigo Concepto de imputación]]&amp;" - "&amp;Cuenta_Clasificacion[[#This Row],[Nombre Concepto de imputación]]</f>
        <v>40092 - Pañolero</v>
      </c>
    </row>
    <row r="1929" spans="1:6" x14ac:dyDescent="0.25">
      <c r="A1929" s="43">
        <v>4105024</v>
      </c>
      <c r="B1929" t="s">
        <v>210</v>
      </c>
      <c r="C1929" s="43">
        <v>40093</v>
      </c>
      <c r="D1929" t="s">
        <v>3036</v>
      </c>
      <c r="E1929" s="47" t="str">
        <f>+Cuenta_Clasificacion[[#This Row],[Código Cuenta Contable]]&amp;" - "&amp;Cuenta_Clasificacion[[#This Row],[Nombre de Cuenta Contable]]</f>
        <v>4105024 - Proyectos No Ejecutados</v>
      </c>
      <c r="F1929" s="47" t="str">
        <f>+Cuenta_Clasificacion[[#This Row],[Codigo Concepto de imputación]]&amp;" - "&amp;Cuenta_Clasificacion[[#This Row],[Nombre Concepto de imputación]]</f>
        <v>40093 - Pintor</v>
      </c>
    </row>
    <row r="1930" spans="1:6" x14ac:dyDescent="0.25">
      <c r="A1930" s="43">
        <v>4105024</v>
      </c>
      <c r="B1930" t="s">
        <v>210</v>
      </c>
      <c r="C1930" s="43">
        <v>40094</v>
      </c>
      <c r="D1930" t="s">
        <v>3037</v>
      </c>
      <c r="E1930" s="47" t="str">
        <f>+Cuenta_Clasificacion[[#This Row],[Código Cuenta Contable]]&amp;" - "&amp;Cuenta_Clasificacion[[#This Row],[Nombre de Cuenta Contable]]</f>
        <v>4105024 - Proyectos No Ejecutados</v>
      </c>
      <c r="F1930" s="47" t="str">
        <f>+Cuenta_Clasificacion[[#This Row],[Codigo Concepto de imputación]]&amp;" - "&amp;Cuenta_Clasificacion[[#This Row],[Nombre Concepto de imputación]]</f>
        <v>40094 - Portero</v>
      </c>
    </row>
    <row r="1931" spans="1:6" x14ac:dyDescent="0.25">
      <c r="A1931" s="43">
        <v>4105024</v>
      </c>
      <c r="B1931" t="s">
        <v>210</v>
      </c>
      <c r="C1931" s="43">
        <v>40095</v>
      </c>
      <c r="D1931" t="s">
        <v>3038</v>
      </c>
      <c r="E1931" s="47" t="str">
        <f>+Cuenta_Clasificacion[[#This Row],[Código Cuenta Contable]]&amp;" - "&amp;Cuenta_Clasificacion[[#This Row],[Nombre de Cuenta Contable]]</f>
        <v>4105024 - Proyectos No Ejecutados</v>
      </c>
      <c r="F1931" s="47" t="str">
        <f>+Cuenta_Clasificacion[[#This Row],[Codigo Concepto de imputación]]&amp;" - "&amp;Cuenta_Clasificacion[[#This Row],[Nombre Concepto de imputación]]</f>
        <v>40095 - Post Venta Obra</v>
      </c>
    </row>
    <row r="1932" spans="1:6" x14ac:dyDescent="0.25">
      <c r="A1932" s="43">
        <v>4105024</v>
      </c>
      <c r="B1932" t="s">
        <v>210</v>
      </c>
      <c r="C1932" s="43">
        <v>40096</v>
      </c>
      <c r="D1932" t="s">
        <v>3039</v>
      </c>
      <c r="E1932" s="47" t="str">
        <f>+Cuenta_Clasificacion[[#This Row],[Código Cuenta Contable]]&amp;" - "&amp;Cuenta_Clasificacion[[#This Row],[Nombre de Cuenta Contable]]</f>
        <v>4105024 - Proyectos No Ejecutados</v>
      </c>
      <c r="F1932" s="47" t="str">
        <f>+Cuenta_Clasificacion[[#This Row],[Codigo Concepto de imputación]]&amp;" - "&amp;Cuenta_Clasificacion[[#This Row],[Nombre Concepto de imputación]]</f>
        <v>40096 - Prevencionista</v>
      </c>
    </row>
    <row r="1933" spans="1:6" x14ac:dyDescent="0.25">
      <c r="A1933" s="43">
        <v>4105024</v>
      </c>
      <c r="B1933" t="s">
        <v>210</v>
      </c>
      <c r="C1933" s="43">
        <v>40097</v>
      </c>
      <c r="D1933" t="s">
        <v>3040</v>
      </c>
      <c r="E1933" s="47" t="str">
        <f>+Cuenta_Clasificacion[[#This Row],[Código Cuenta Contable]]&amp;" - "&amp;Cuenta_Clasificacion[[#This Row],[Nombre de Cuenta Contable]]</f>
        <v>4105024 - Proyectos No Ejecutados</v>
      </c>
      <c r="F1933" s="47" t="str">
        <f>+Cuenta_Clasificacion[[#This Row],[Codigo Concepto de imputación]]&amp;" - "&amp;Cuenta_Clasificacion[[#This Row],[Nombre Concepto de imputación]]</f>
        <v>40097 - Profesional de Calidad y Seg.</v>
      </c>
    </row>
    <row r="1934" spans="1:6" x14ac:dyDescent="0.25">
      <c r="A1934" s="43">
        <v>4105024</v>
      </c>
      <c r="B1934" t="s">
        <v>210</v>
      </c>
      <c r="C1934" s="43">
        <v>40098</v>
      </c>
      <c r="D1934" t="s">
        <v>3041</v>
      </c>
      <c r="E1934" s="47" t="str">
        <f>+Cuenta_Clasificacion[[#This Row],[Código Cuenta Contable]]&amp;" - "&amp;Cuenta_Clasificacion[[#This Row],[Nombre de Cuenta Contable]]</f>
        <v>4105024 - Proyectos No Ejecutados</v>
      </c>
      <c r="F1934" s="47" t="str">
        <f>+Cuenta_Clasificacion[[#This Row],[Codigo Concepto de imputación]]&amp;" - "&amp;Cuenta_Clasificacion[[#This Row],[Nombre Concepto de imputación]]</f>
        <v>40098 - Profesional de Terreno Trainee</v>
      </c>
    </row>
    <row r="1935" spans="1:6" x14ac:dyDescent="0.25">
      <c r="A1935" s="43">
        <v>4105024</v>
      </c>
      <c r="B1935" t="s">
        <v>210</v>
      </c>
      <c r="C1935" s="43">
        <v>40099</v>
      </c>
      <c r="D1935" t="s">
        <v>3042</v>
      </c>
      <c r="E1935" s="47" t="str">
        <f>+Cuenta_Clasificacion[[#This Row],[Código Cuenta Contable]]&amp;" - "&amp;Cuenta_Clasificacion[[#This Row],[Nombre de Cuenta Contable]]</f>
        <v>4105024 - Proyectos No Ejecutados</v>
      </c>
      <c r="F1935" s="47" t="str">
        <f>+Cuenta_Clasificacion[[#This Row],[Codigo Concepto de imputación]]&amp;" - "&amp;Cuenta_Clasificacion[[#This Row],[Nombre Concepto de imputación]]</f>
        <v>40099 - Señalero</v>
      </c>
    </row>
    <row r="1936" spans="1:6" x14ac:dyDescent="0.25">
      <c r="A1936" s="43">
        <v>4105024</v>
      </c>
      <c r="B1936" t="s">
        <v>210</v>
      </c>
      <c r="C1936" s="43">
        <v>40100</v>
      </c>
      <c r="D1936" t="s">
        <v>3043</v>
      </c>
      <c r="E1936" s="47" t="str">
        <f>+Cuenta_Clasificacion[[#This Row],[Código Cuenta Contable]]&amp;" - "&amp;Cuenta_Clasificacion[[#This Row],[Nombre de Cuenta Contable]]</f>
        <v>4105024 - Proyectos No Ejecutados</v>
      </c>
      <c r="F1936" s="47" t="str">
        <f>+Cuenta_Clasificacion[[#This Row],[Codigo Concepto de imputación]]&amp;" - "&amp;Cuenta_Clasificacion[[#This Row],[Nombre Concepto de imputación]]</f>
        <v>40100 - Soldador</v>
      </c>
    </row>
    <row r="1937" spans="1:6" x14ac:dyDescent="0.25">
      <c r="A1937" s="43">
        <v>4105024</v>
      </c>
      <c r="B1937" t="s">
        <v>210</v>
      </c>
      <c r="C1937" s="43">
        <v>40101</v>
      </c>
      <c r="D1937" t="s">
        <v>3044</v>
      </c>
      <c r="E1937" s="47" t="str">
        <f>+Cuenta_Clasificacion[[#This Row],[Código Cuenta Contable]]&amp;" - "&amp;Cuenta_Clasificacion[[#This Row],[Nombre de Cuenta Contable]]</f>
        <v>4105024 - Proyectos No Ejecutados</v>
      </c>
      <c r="F1937" s="47" t="str">
        <f>+Cuenta_Clasificacion[[#This Row],[Codigo Concepto de imputación]]&amp;" - "&amp;Cuenta_Clasificacion[[#This Row],[Nombre Concepto de imputación]]</f>
        <v>40101 - Sup. de Bodega, Maq. y Equipos</v>
      </c>
    </row>
    <row r="1938" spans="1:6" x14ac:dyDescent="0.25">
      <c r="A1938" s="43">
        <v>4105024</v>
      </c>
      <c r="B1938" t="s">
        <v>210</v>
      </c>
      <c r="C1938" s="43">
        <v>40102</v>
      </c>
      <c r="D1938" t="s">
        <v>3045</v>
      </c>
      <c r="E1938" s="47" t="str">
        <f>+Cuenta_Clasificacion[[#This Row],[Código Cuenta Contable]]&amp;" - "&amp;Cuenta_Clasificacion[[#This Row],[Nombre de Cuenta Contable]]</f>
        <v>4105024 - Proyectos No Ejecutados</v>
      </c>
      <c r="F1938" s="47" t="str">
        <f>+Cuenta_Clasificacion[[#This Row],[Codigo Concepto de imputación]]&amp;" - "&amp;Cuenta_Clasificacion[[#This Row],[Nombre Concepto de imputación]]</f>
        <v>40102 - Supervisor</v>
      </c>
    </row>
    <row r="1939" spans="1:6" x14ac:dyDescent="0.25">
      <c r="A1939" s="43">
        <v>4105024</v>
      </c>
      <c r="B1939" t="s">
        <v>210</v>
      </c>
      <c r="C1939" s="43">
        <v>40103</v>
      </c>
      <c r="D1939" t="s">
        <v>3046</v>
      </c>
      <c r="E1939" s="47" t="str">
        <f>+Cuenta_Clasificacion[[#This Row],[Código Cuenta Contable]]&amp;" - "&amp;Cuenta_Clasificacion[[#This Row],[Nombre de Cuenta Contable]]</f>
        <v>4105024 - Proyectos No Ejecutados</v>
      </c>
      <c r="F1939" s="47" t="str">
        <f>+Cuenta_Clasificacion[[#This Row],[Codigo Concepto de imputación]]&amp;" - "&amp;Cuenta_Clasificacion[[#This Row],[Nombre Concepto de imputación]]</f>
        <v>40103 - Sup. Administrativo de Obras</v>
      </c>
    </row>
    <row r="1940" spans="1:6" x14ac:dyDescent="0.25">
      <c r="A1940" s="43">
        <v>4105024</v>
      </c>
      <c r="B1940" t="s">
        <v>210</v>
      </c>
      <c r="C1940" s="43">
        <v>40104</v>
      </c>
      <c r="D1940" t="s">
        <v>3047</v>
      </c>
      <c r="E1940" s="47" t="str">
        <f>+Cuenta_Clasificacion[[#This Row],[Código Cuenta Contable]]&amp;" - "&amp;Cuenta_Clasificacion[[#This Row],[Nombre de Cuenta Contable]]</f>
        <v>4105024 - Proyectos No Ejecutados</v>
      </c>
      <c r="F1940" s="47" t="str">
        <f>+Cuenta_Clasificacion[[#This Row],[Codigo Concepto de imputación]]&amp;" - "&amp;Cuenta_Clasificacion[[#This Row],[Nombre Concepto de imputación]]</f>
        <v>40104 - Supervisor de Instalaciones</v>
      </c>
    </row>
    <row r="1941" spans="1:6" x14ac:dyDescent="0.25">
      <c r="A1941" s="43">
        <v>4105024</v>
      </c>
      <c r="B1941" t="s">
        <v>210</v>
      </c>
      <c r="C1941" s="43">
        <v>40105</v>
      </c>
      <c r="D1941" t="s">
        <v>3048</v>
      </c>
      <c r="E1941" s="47" t="str">
        <f>+Cuenta_Clasificacion[[#This Row],[Código Cuenta Contable]]&amp;" - "&amp;Cuenta_Clasificacion[[#This Row],[Nombre de Cuenta Contable]]</f>
        <v>4105024 - Proyectos No Ejecutados</v>
      </c>
      <c r="F1941" s="47" t="str">
        <f>+Cuenta_Clasificacion[[#This Row],[Codigo Concepto de imputación]]&amp;" - "&amp;Cuenta_Clasificacion[[#This Row],[Nombre Concepto de imputación]]</f>
        <v>40105 - Sup. de Instalaciones Eléct.</v>
      </c>
    </row>
    <row r="1942" spans="1:6" x14ac:dyDescent="0.25">
      <c r="A1942" s="43">
        <v>4105024</v>
      </c>
      <c r="B1942" t="s">
        <v>210</v>
      </c>
      <c r="C1942" s="43">
        <v>40106</v>
      </c>
      <c r="D1942" t="s">
        <v>3049</v>
      </c>
      <c r="E1942" s="47" t="str">
        <f>+Cuenta_Clasificacion[[#This Row],[Código Cuenta Contable]]&amp;" - "&amp;Cuenta_Clasificacion[[#This Row],[Nombre de Cuenta Contable]]</f>
        <v>4105024 - Proyectos No Ejecutados</v>
      </c>
      <c r="F1942" s="47" t="str">
        <f>+Cuenta_Clasificacion[[#This Row],[Codigo Concepto de imputación]]&amp;" - "&amp;Cuenta_Clasificacion[[#This Row],[Nombre Concepto de imputación]]</f>
        <v>40106 - Sup. de Mantención y Montaje</v>
      </c>
    </row>
    <row r="1943" spans="1:6" x14ac:dyDescent="0.25">
      <c r="A1943" s="43">
        <v>4105024</v>
      </c>
      <c r="B1943" t="s">
        <v>210</v>
      </c>
      <c r="C1943" s="43">
        <v>40107</v>
      </c>
      <c r="D1943" t="s">
        <v>3050</v>
      </c>
      <c r="E1943" s="47" t="str">
        <f>+Cuenta_Clasificacion[[#This Row],[Código Cuenta Contable]]&amp;" - "&amp;Cuenta_Clasificacion[[#This Row],[Nombre de Cuenta Contable]]</f>
        <v>4105024 - Proyectos No Ejecutados</v>
      </c>
      <c r="F1943" s="47" t="str">
        <f>+Cuenta_Clasificacion[[#This Row],[Codigo Concepto de imputación]]&amp;" - "&amp;Cuenta_Clasificacion[[#This Row],[Nombre Concepto de imputación]]</f>
        <v>40107 - Supervisor Regional Post Vta</v>
      </c>
    </row>
    <row r="1944" spans="1:6" x14ac:dyDescent="0.25">
      <c r="A1944" s="43">
        <v>4105024</v>
      </c>
      <c r="B1944" t="s">
        <v>210</v>
      </c>
      <c r="C1944" s="43">
        <v>40108</v>
      </c>
      <c r="D1944" t="s">
        <v>3051</v>
      </c>
      <c r="E1944" s="47" t="str">
        <f>+Cuenta_Clasificacion[[#This Row],[Código Cuenta Contable]]&amp;" - "&amp;Cuenta_Clasificacion[[#This Row],[Nombre de Cuenta Contable]]</f>
        <v>4105024 - Proyectos No Ejecutados</v>
      </c>
      <c r="F1944" s="47" t="str">
        <f>+Cuenta_Clasificacion[[#This Row],[Codigo Concepto de imputación]]&amp;" - "&amp;Cuenta_Clasificacion[[#This Row],[Nombre Concepto de imputación]]</f>
        <v>40108 - Supervisor Zonal</v>
      </c>
    </row>
    <row r="1945" spans="1:6" x14ac:dyDescent="0.25">
      <c r="A1945" s="43">
        <v>4105024</v>
      </c>
      <c r="B1945" t="s">
        <v>210</v>
      </c>
      <c r="C1945" s="43">
        <v>40109</v>
      </c>
      <c r="D1945" t="s">
        <v>3052</v>
      </c>
      <c r="E1945" s="47" t="str">
        <f>+Cuenta_Clasificacion[[#This Row],[Código Cuenta Contable]]&amp;" - "&amp;Cuenta_Clasificacion[[#This Row],[Nombre de Cuenta Contable]]</f>
        <v>4105024 - Proyectos No Ejecutados</v>
      </c>
      <c r="F1945" s="47" t="str">
        <f>+Cuenta_Clasificacion[[#This Row],[Codigo Concepto de imputación]]&amp;" - "&amp;Cuenta_Clasificacion[[#This Row],[Nombre Concepto de imputación]]</f>
        <v>40109 - Técnico</v>
      </c>
    </row>
    <row r="1946" spans="1:6" x14ac:dyDescent="0.25">
      <c r="A1946" s="43">
        <v>4105024</v>
      </c>
      <c r="B1946" t="s">
        <v>210</v>
      </c>
      <c r="C1946" s="43">
        <v>40110</v>
      </c>
      <c r="D1946" t="s">
        <v>3053</v>
      </c>
      <c r="E1946" s="47" t="str">
        <f>+Cuenta_Clasificacion[[#This Row],[Código Cuenta Contable]]&amp;" - "&amp;Cuenta_Clasificacion[[#This Row],[Nombre de Cuenta Contable]]</f>
        <v>4105024 - Proyectos No Ejecutados</v>
      </c>
      <c r="F1946" s="47" t="str">
        <f>+Cuenta_Clasificacion[[#This Row],[Codigo Concepto de imputación]]&amp;" - "&amp;Cuenta_Clasificacion[[#This Row],[Nombre Concepto de imputación]]</f>
        <v>40110 - Técnico Geomensor</v>
      </c>
    </row>
    <row r="1947" spans="1:6" x14ac:dyDescent="0.25">
      <c r="A1947" s="43">
        <v>4105024</v>
      </c>
      <c r="B1947" t="s">
        <v>210</v>
      </c>
      <c r="C1947" s="43">
        <v>40111</v>
      </c>
      <c r="D1947" t="s">
        <v>3054</v>
      </c>
      <c r="E1947" s="47" t="str">
        <f>+Cuenta_Clasificacion[[#This Row],[Código Cuenta Contable]]&amp;" - "&amp;Cuenta_Clasificacion[[#This Row],[Nombre de Cuenta Contable]]</f>
        <v>4105024 - Proyectos No Ejecutados</v>
      </c>
      <c r="F1947" s="47" t="str">
        <f>+Cuenta_Clasificacion[[#This Row],[Codigo Concepto de imputación]]&amp;" - "&amp;Cuenta_Clasificacion[[#This Row],[Nombre Concepto de imputación]]</f>
        <v>40111 - Trazador</v>
      </c>
    </row>
    <row r="1948" spans="1:6" x14ac:dyDescent="0.25">
      <c r="A1948" s="43">
        <v>4105024</v>
      </c>
      <c r="B1948" t="s">
        <v>210</v>
      </c>
      <c r="C1948" s="43">
        <v>40112</v>
      </c>
      <c r="D1948" t="s">
        <v>3055</v>
      </c>
      <c r="E1948" s="47" t="str">
        <f>+Cuenta_Clasificacion[[#This Row],[Código Cuenta Contable]]&amp;" - "&amp;Cuenta_Clasificacion[[#This Row],[Nombre de Cuenta Contable]]</f>
        <v>4105024 - Proyectos No Ejecutados</v>
      </c>
      <c r="F1948" s="47" t="str">
        <f>+Cuenta_Clasificacion[[#This Row],[Codigo Concepto de imputación]]&amp;" - "&amp;Cuenta_Clasificacion[[#This Row],[Nombre Concepto de imputación]]</f>
        <v>40112 - Vibradorista</v>
      </c>
    </row>
    <row r="1949" spans="1:6" x14ac:dyDescent="0.25">
      <c r="A1949" s="43">
        <v>4105024</v>
      </c>
      <c r="B1949" t="s">
        <v>210</v>
      </c>
      <c r="C1949" s="43">
        <v>40113</v>
      </c>
      <c r="D1949" t="s">
        <v>3056</v>
      </c>
      <c r="E1949" s="47" t="str">
        <f>+Cuenta_Clasificacion[[#This Row],[Código Cuenta Contable]]&amp;" - "&amp;Cuenta_Clasificacion[[#This Row],[Nombre de Cuenta Contable]]</f>
        <v>4105024 - Proyectos No Ejecutados</v>
      </c>
      <c r="F1949" s="47" t="str">
        <f>+Cuenta_Clasificacion[[#This Row],[Codigo Concepto de imputación]]&amp;" - "&amp;Cuenta_Clasificacion[[#This Row],[Nombre Concepto de imputación]]</f>
        <v>40113 - Yesero</v>
      </c>
    </row>
    <row r="1950" spans="1:6" x14ac:dyDescent="0.25">
      <c r="A1950" s="43">
        <v>4105024</v>
      </c>
      <c r="B1950" t="s">
        <v>210</v>
      </c>
      <c r="C1950" s="43">
        <v>40114</v>
      </c>
      <c r="D1950" t="s">
        <v>3057</v>
      </c>
      <c r="E1950" s="47" t="str">
        <f>+Cuenta_Clasificacion[[#This Row],[Código Cuenta Contable]]&amp;" - "&amp;Cuenta_Clasificacion[[#This Row],[Nombre de Cuenta Contable]]</f>
        <v>4105024 - Proyectos No Ejecutados</v>
      </c>
      <c r="F1950" s="47" t="str">
        <f>+Cuenta_Clasificacion[[#This Row],[Codigo Concepto de imputación]]&amp;" - "&amp;Cuenta_Clasificacion[[#This Row],[Nombre Concepto de imputación]]</f>
        <v>40114 - Bodega - Personal</v>
      </c>
    </row>
    <row r="1951" spans="1:6" x14ac:dyDescent="0.25">
      <c r="A1951" s="43">
        <v>4105024</v>
      </c>
      <c r="B1951" t="s">
        <v>210</v>
      </c>
      <c r="C1951" s="43">
        <v>40115</v>
      </c>
      <c r="D1951" t="s">
        <v>3058</v>
      </c>
      <c r="E1951" s="47" t="str">
        <f>+Cuenta_Clasificacion[[#This Row],[Código Cuenta Contable]]&amp;" - "&amp;Cuenta_Clasificacion[[#This Row],[Nombre de Cuenta Contable]]</f>
        <v>4105024 - Proyectos No Ejecutados</v>
      </c>
      <c r="F1951" s="47" t="str">
        <f>+Cuenta_Clasificacion[[#This Row],[Codigo Concepto de imputación]]&amp;" - "&amp;Cuenta_Clasificacion[[#This Row],[Nombre Concepto de imputación]]</f>
        <v>40115 - Rol Privado</v>
      </c>
    </row>
    <row r="1952" spans="1:6" x14ac:dyDescent="0.25">
      <c r="A1952" s="43">
        <v>4105024</v>
      </c>
      <c r="B1952" t="s">
        <v>210</v>
      </c>
      <c r="C1952" s="43">
        <v>40116</v>
      </c>
      <c r="D1952" t="s">
        <v>3059</v>
      </c>
      <c r="E1952" s="47" t="str">
        <f>+Cuenta_Clasificacion[[#This Row],[Código Cuenta Contable]]&amp;" - "&amp;Cuenta_Clasificacion[[#This Row],[Nombre de Cuenta Contable]]</f>
        <v>4105024 - Proyectos No Ejecutados</v>
      </c>
      <c r="F1952" s="47" t="str">
        <f>+Cuenta_Clasificacion[[#This Row],[Codigo Concepto de imputación]]&amp;" - "&amp;Cuenta_Clasificacion[[#This Row],[Nombre Concepto de imputación]]</f>
        <v>40116 - Aux. de Aseo y Mantención</v>
      </c>
    </row>
    <row r="1953" spans="1:6" x14ac:dyDescent="0.25">
      <c r="A1953" s="43">
        <v>4105024</v>
      </c>
      <c r="B1953" t="s">
        <v>210</v>
      </c>
      <c r="C1953" s="43">
        <v>40117</v>
      </c>
      <c r="D1953" t="s">
        <v>3060</v>
      </c>
      <c r="E1953" s="47" t="str">
        <f>+Cuenta_Clasificacion[[#This Row],[Código Cuenta Contable]]&amp;" - "&amp;Cuenta_Clasificacion[[#This Row],[Nombre de Cuenta Contable]]</f>
        <v>4105024 - Proyectos No Ejecutados</v>
      </c>
      <c r="F1953" s="47" t="str">
        <f>+Cuenta_Clasificacion[[#This Row],[Codigo Concepto de imputación]]&amp;" - "&amp;Cuenta_Clasificacion[[#This Row],[Nombre Concepto de imputación]]</f>
        <v>40117 - Topografo</v>
      </c>
    </row>
    <row r="1954" spans="1:6" x14ac:dyDescent="0.25">
      <c r="A1954" s="43">
        <v>4105024</v>
      </c>
      <c r="B1954" t="s">
        <v>210</v>
      </c>
      <c r="C1954" s="43">
        <v>40118</v>
      </c>
      <c r="D1954" t="s">
        <v>3061</v>
      </c>
      <c r="E1954" s="47" t="str">
        <f>+Cuenta_Clasificacion[[#This Row],[Código Cuenta Contable]]&amp;" - "&amp;Cuenta_Clasificacion[[#This Row],[Nombre de Cuenta Contable]]</f>
        <v>4105024 - Proyectos No Ejecutados</v>
      </c>
      <c r="F1954" s="47" t="str">
        <f>+Cuenta_Clasificacion[[#This Row],[Codigo Concepto de imputación]]&amp;" - "&amp;Cuenta_Clasificacion[[#This Row],[Nombre Concepto de imputación]]</f>
        <v>40118 - Coordinador Post Venta</v>
      </c>
    </row>
    <row r="1955" spans="1:6" x14ac:dyDescent="0.25">
      <c r="A1955" s="43">
        <v>4105024</v>
      </c>
      <c r="B1955" t="s">
        <v>210</v>
      </c>
      <c r="C1955" s="43">
        <v>40119</v>
      </c>
      <c r="D1955" t="s">
        <v>3062</v>
      </c>
      <c r="E1955" s="47" t="str">
        <f>+Cuenta_Clasificacion[[#This Row],[Código Cuenta Contable]]&amp;" - "&amp;Cuenta_Clasificacion[[#This Row],[Nombre de Cuenta Contable]]</f>
        <v>4105024 - Proyectos No Ejecutados</v>
      </c>
      <c r="F1955" s="47" t="str">
        <f>+Cuenta_Clasificacion[[#This Row],[Codigo Concepto de imputación]]&amp;" - "&amp;Cuenta_Clasificacion[[#This Row],[Nombre Concepto de imputación]]</f>
        <v>40119 - Asistente Post Venta</v>
      </c>
    </row>
    <row r="1956" spans="1:6" x14ac:dyDescent="0.25">
      <c r="A1956" s="43">
        <v>4105024</v>
      </c>
      <c r="B1956" t="s">
        <v>210</v>
      </c>
      <c r="C1956" s="43">
        <v>40120</v>
      </c>
      <c r="D1956" t="s">
        <v>3063</v>
      </c>
      <c r="E1956" s="47" t="str">
        <f>+Cuenta_Clasificacion[[#This Row],[Código Cuenta Contable]]&amp;" - "&amp;Cuenta_Clasificacion[[#This Row],[Nombre de Cuenta Contable]]</f>
        <v>4105024 - Proyectos No Ejecutados</v>
      </c>
      <c r="F1956" s="47" t="str">
        <f>+Cuenta_Clasificacion[[#This Row],[Codigo Concepto de imputación]]&amp;" - "&amp;Cuenta_Clasificacion[[#This Row],[Nombre Concepto de imputación]]</f>
        <v>40120 - Rigger</v>
      </c>
    </row>
    <row r="1957" spans="1:6" x14ac:dyDescent="0.25">
      <c r="A1957" s="43">
        <v>4105024</v>
      </c>
      <c r="B1957" t="s">
        <v>210</v>
      </c>
      <c r="C1957" s="43">
        <v>40121</v>
      </c>
      <c r="D1957" t="s">
        <v>3064</v>
      </c>
      <c r="E1957" s="47" t="str">
        <f>+Cuenta_Clasificacion[[#This Row],[Código Cuenta Contable]]&amp;" - "&amp;Cuenta_Clasificacion[[#This Row],[Nombre de Cuenta Contable]]</f>
        <v>4105024 - Proyectos No Ejecutados</v>
      </c>
      <c r="F1957" s="47" t="str">
        <f>+Cuenta_Clasificacion[[#This Row],[Codigo Concepto de imputación]]&amp;" - "&amp;Cuenta_Clasificacion[[#This Row],[Nombre Concepto de imputación]]</f>
        <v>40121 - Carpintero Tabiquero</v>
      </c>
    </row>
    <row r="1958" spans="1:6" x14ac:dyDescent="0.25">
      <c r="A1958" s="43">
        <v>4105024</v>
      </c>
      <c r="B1958" t="s">
        <v>210</v>
      </c>
      <c r="C1958" s="43">
        <v>40122</v>
      </c>
      <c r="D1958" t="s">
        <v>3065</v>
      </c>
      <c r="E1958" s="47" t="str">
        <f>+Cuenta_Clasificacion[[#This Row],[Código Cuenta Contable]]&amp;" - "&amp;Cuenta_Clasificacion[[#This Row],[Nombre de Cuenta Contable]]</f>
        <v>4105024 - Proyectos No Ejecutados</v>
      </c>
      <c r="F1958" s="47" t="str">
        <f>+Cuenta_Clasificacion[[#This Row],[Codigo Concepto de imputación]]&amp;" - "&amp;Cuenta_Clasificacion[[#This Row],[Nombre Concepto de imputación]]</f>
        <v>40122 - Carpintero Bodega Central</v>
      </c>
    </row>
    <row r="1959" spans="1:6" x14ac:dyDescent="0.25">
      <c r="A1959" s="43">
        <v>4105024</v>
      </c>
      <c r="B1959" t="s">
        <v>210</v>
      </c>
      <c r="C1959" s="43">
        <v>40123</v>
      </c>
      <c r="D1959" t="s">
        <v>3066</v>
      </c>
      <c r="E1959" s="47" t="str">
        <f>+Cuenta_Clasificacion[[#This Row],[Código Cuenta Contable]]&amp;" - "&amp;Cuenta_Clasificacion[[#This Row],[Nombre de Cuenta Contable]]</f>
        <v>4105024 - Proyectos No Ejecutados</v>
      </c>
      <c r="F1959" s="47" t="str">
        <f>+Cuenta_Clasificacion[[#This Row],[Codigo Concepto de imputación]]&amp;" - "&amp;Cuenta_Clasificacion[[#This Row],[Nombre Concepto de imputación]]</f>
        <v>40123 - Operador de Montacarga</v>
      </c>
    </row>
    <row r="1960" spans="1:6" x14ac:dyDescent="0.25">
      <c r="A1960" s="43">
        <v>4105024</v>
      </c>
      <c r="B1960" t="s">
        <v>210</v>
      </c>
      <c r="C1960" s="43">
        <v>40124</v>
      </c>
      <c r="D1960" t="s">
        <v>3067</v>
      </c>
      <c r="E1960" s="47" t="str">
        <f>+Cuenta_Clasificacion[[#This Row],[Código Cuenta Contable]]&amp;" - "&amp;Cuenta_Clasificacion[[#This Row],[Nombre de Cuenta Contable]]</f>
        <v>4105024 - Proyectos No Ejecutados</v>
      </c>
      <c r="F1960" s="47" t="str">
        <f>+Cuenta_Clasificacion[[#This Row],[Codigo Concepto de imputación]]&amp;" - "&amp;Cuenta_Clasificacion[[#This Row],[Nombre Concepto de imputación]]</f>
        <v>40124 - Encargado de Patio</v>
      </c>
    </row>
    <row r="1961" spans="1:6" x14ac:dyDescent="0.25">
      <c r="A1961" s="43">
        <v>4105024</v>
      </c>
      <c r="B1961" t="s">
        <v>210</v>
      </c>
      <c r="C1961" s="43">
        <v>40125</v>
      </c>
      <c r="D1961" t="s">
        <v>3068</v>
      </c>
      <c r="E1961" s="47" t="str">
        <f>+Cuenta_Clasificacion[[#This Row],[Código Cuenta Contable]]&amp;" - "&amp;Cuenta_Clasificacion[[#This Row],[Nombre de Cuenta Contable]]</f>
        <v>4105024 - Proyectos No Ejecutados</v>
      </c>
      <c r="F1961" s="47" t="str">
        <f>+Cuenta_Clasificacion[[#This Row],[Codigo Concepto de imputación]]&amp;" - "&amp;Cuenta_Clasificacion[[#This Row],[Nombre Concepto de imputación]]</f>
        <v>40125 - Canguero</v>
      </c>
    </row>
    <row r="1962" spans="1:6" x14ac:dyDescent="0.25">
      <c r="A1962" s="43">
        <v>4105024</v>
      </c>
      <c r="B1962" t="s">
        <v>210</v>
      </c>
      <c r="C1962" s="43">
        <v>40126</v>
      </c>
      <c r="D1962" t="s">
        <v>3069</v>
      </c>
      <c r="E1962" s="47" t="str">
        <f>+Cuenta_Clasificacion[[#This Row],[Código Cuenta Contable]]&amp;" - "&amp;Cuenta_Clasificacion[[#This Row],[Nombre de Cuenta Contable]]</f>
        <v>4105024 - Proyectos No Ejecutados</v>
      </c>
      <c r="F1962" s="47" t="str">
        <f>+Cuenta_Clasificacion[[#This Row],[Codigo Concepto de imputación]]&amp;" - "&amp;Cuenta_Clasificacion[[#This Row],[Nombre Concepto de imputación]]</f>
        <v>40126 - Pulidor</v>
      </c>
    </row>
    <row r="1963" spans="1:6" x14ac:dyDescent="0.25">
      <c r="A1963" s="43">
        <v>4105024</v>
      </c>
      <c r="B1963" t="s">
        <v>210</v>
      </c>
      <c r="C1963" s="43">
        <v>40127</v>
      </c>
      <c r="D1963" t="s">
        <v>3070</v>
      </c>
      <c r="E1963" s="47" t="str">
        <f>+Cuenta_Clasificacion[[#This Row],[Código Cuenta Contable]]&amp;" - "&amp;Cuenta_Clasificacion[[#This Row],[Nombre de Cuenta Contable]]</f>
        <v>4105024 - Proyectos No Ejecutados</v>
      </c>
      <c r="F1963" s="47" t="str">
        <f>+Cuenta_Clasificacion[[#This Row],[Codigo Concepto de imputación]]&amp;" - "&amp;Cuenta_Clasificacion[[#This Row],[Nombre Concepto de imputación]]</f>
        <v>40127 - Chofer - Operador Maq. Doblado</v>
      </c>
    </row>
    <row r="1964" spans="1:6" x14ac:dyDescent="0.25">
      <c r="A1964" s="43">
        <v>4105024</v>
      </c>
      <c r="B1964" t="s">
        <v>210</v>
      </c>
      <c r="C1964" s="43">
        <v>40128</v>
      </c>
      <c r="D1964" t="s">
        <v>3071</v>
      </c>
      <c r="E1964" s="47" t="str">
        <f>+Cuenta_Clasificacion[[#This Row],[Código Cuenta Contable]]&amp;" - "&amp;Cuenta_Clasificacion[[#This Row],[Nombre de Cuenta Contable]]</f>
        <v>4105024 - Proyectos No Ejecutados</v>
      </c>
      <c r="F1964" s="47" t="str">
        <f>+Cuenta_Clasificacion[[#This Row],[Codigo Concepto de imputación]]&amp;" - "&amp;Cuenta_Clasificacion[[#This Row],[Nombre Concepto de imputación]]</f>
        <v>40128 - Supervisor de Pagos a Subcontratos</v>
      </c>
    </row>
    <row r="1965" spans="1:6" x14ac:dyDescent="0.25">
      <c r="A1965" s="43">
        <v>4105024</v>
      </c>
      <c r="B1965" t="s">
        <v>210</v>
      </c>
      <c r="C1965" s="43">
        <v>40129</v>
      </c>
      <c r="D1965" t="s">
        <v>3072</v>
      </c>
      <c r="E1965" s="47" t="str">
        <f>+Cuenta_Clasificacion[[#This Row],[Código Cuenta Contable]]&amp;" - "&amp;Cuenta_Clasificacion[[#This Row],[Nombre de Cuenta Contable]]</f>
        <v>4105024 - Proyectos No Ejecutados</v>
      </c>
      <c r="F1965" s="47" t="str">
        <f>+Cuenta_Clasificacion[[#This Row],[Codigo Concepto de imputación]]&amp;" - "&amp;Cuenta_Clasificacion[[#This Row],[Nombre Concepto de imputación]]</f>
        <v>40129 - Supervisor de Administración en Terreno</v>
      </c>
    </row>
    <row r="1966" spans="1:6" x14ac:dyDescent="0.25">
      <c r="A1966" s="43">
        <v>4105024</v>
      </c>
      <c r="B1966" t="s">
        <v>210</v>
      </c>
      <c r="C1966" s="43">
        <v>40130</v>
      </c>
      <c r="D1966" t="s">
        <v>3073</v>
      </c>
      <c r="E1966" s="47" t="str">
        <f>+Cuenta_Clasificacion[[#This Row],[Código Cuenta Contable]]&amp;" - "&amp;Cuenta_Clasificacion[[#This Row],[Nombre de Cuenta Contable]]</f>
        <v>4105024 - Proyectos No Ejecutados</v>
      </c>
      <c r="F1966" s="47" t="str">
        <f>+Cuenta_Clasificacion[[#This Row],[Codigo Concepto de imputación]]&amp;" - "&amp;Cuenta_Clasificacion[[#This Row],[Nombre Concepto de imputación]]</f>
        <v>40130 - Ejecutivo de Caja Chica y Fondos al Personal</v>
      </c>
    </row>
    <row r="1967" spans="1:6" x14ac:dyDescent="0.25">
      <c r="A1967" s="43">
        <v>4105024</v>
      </c>
      <c r="B1967" t="s">
        <v>210</v>
      </c>
      <c r="C1967" s="43">
        <v>40131</v>
      </c>
      <c r="D1967" t="s">
        <v>3074</v>
      </c>
      <c r="E1967" s="47" t="str">
        <f>+Cuenta_Clasificacion[[#This Row],[Código Cuenta Contable]]&amp;" - "&amp;Cuenta_Clasificacion[[#This Row],[Nombre de Cuenta Contable]]</f>
        <v>4105024 - Proyectos No Ejecutados</v>
      </c>
      <c r="F1967" s="47" t="str">
        <f>+Cuenta_Clasificacion[[#This Row],[Codigo Concepto de imputación]]&amp;" - "&amp;Cuenta_Clasificacion[[#This Row],[Nombre Concepto de imputación]]</f>
        <v>40131 - Auxiliar de Aseo y Mantención Inmobiliaria</v>
      </c>
    </row>
    <row r="1968" spans="1:6" x14ac:dyDescent="0.25">
      <c r="A1968" s="43">
        <v>4105024</v>
      </c>
      <c r="B1968" t="s">
        <v>210</v>
      </c>
      <c r="C1968" s="43">
        <v>40132</v>
      </c>
      <c r="D1968" t="s">
        <v>3075</v>
      </c>
      <c r="E1968" s="47" t="str">
        <f>+Cuenta_Clasificacion[[#This Row],[Código Cuenta Contable]]&amp;" - "&amp;Cuenta_Clasificacion[[#This Row],[Nombre de Cuenta Contable]]</f>
        <v>4105024 - Proyectos No Ejecutados</v>
      </c>
      <c r="F1968" s="47" t="str">
        <f>+Cuenta_Clasificacion[[#This Row],[Codigo Concepto de imputación]]&amp;" - "&amp;Cuenta_Clasificacion[[#This Row],[Nombre Concepto de imputación]]</f>
        <v>40132 - Pilotera y mantención</v>
      </c>
    </row>
    <row r="1969" spans="1:6" x14ac:dyDescent="0.25">
      <c r="A1969" s="43">
        <v>4105024</v>
      </c>
      <c r="B1969" t="s">
        <v>210</v>
      </c>
      <c r="C1969" s="43">
        <v>40133</v>
      </c>
      <c r="D1969" t="s">
        <v>3076</v>
      </c>
      <c r="E1969" s="47" t="str">
        <f>+Cuenta_Clasificacion[[#This Row],[Código Cuenta Contable]]&amp;" - "&amp;Cuenta_Clasificacion[[#This Row],[Nombre de Cuenta Contable]]</f>
        <v>4105024 - Proyectos No Ejecutados</v>
      </c>
      <c r="F1969" s="47" t="str">
        <f>+Cuenta_Clasificacion[[#This Row],[Codigo Concepto de imputación]]&amp;" - "&amp;Cuenta_Clasificacion[[#This Row],[Nombre Concepto de imputación]]</f>
        <v>40133 - Administrativo Zonal de clientes</v>
      </c>
    </row>
    <row r="1970" spans="1:6" x14ac:dyDescent="0.25">
      <c r="A1970" s="43">
        <v>4105024</v>
      </c>
      <c r="B1970" t="s">
        <v>210</v>
      </c>
      <c r="C1970" s="43">
        <v>40134</v>
      </c>
      <c r="D1970" t="s">
        <v>3077</v>
      </c>
      <c r="E1970" s="47" t="str">
        <f>+Cuenta_Clasificacion[[#This Row],[Código Cuenta Contable]]&amp;" - "&amp;Cuenta_Clasificacion[[#This Row],[Nombre de Cuenta Contable]]</f>
        <v>4105024 - Proyectos No Ejecutados</v>
      </c>
      <c r="F1970" s="47" t="str">
        <f>+Cuenta_Clasificacion[[#This Row],[Codigo Concepto de imputación]]&amp;" - "&amp;Cuenta_Clasificacion[[#This Row],[Nombre Concepto de imputación]]</f>
        <v xml:space="preserve">40134 - Maestro Enfierrador         </v>
      </c>
    </row>
    <row r="1971" spans="1:6" x14ac:dyDescent="0.25">
      <c r="A1971" s="43">
        <v>4105024</v>
      </c>
      <c r="B1971" t="s">
        <v>210</v>
      </c>
      <c r="C1971" s="43">
        <v>40135</v>
      </c>
      <c r="D1971" t="s">
        <v>3078</v>
      </c>
      <c r="E1971" s="47" t="str">
        <f>+Cuenta_Clasificacion[[#This Row],[Código Cuenta Contable]]&amp;" - "&amp;Cuenta_Clasificacion[[#This Row],[Nombre de Cuenta Contable]]</f>
        <v>4105024 - Proyectos No Ejecutados</v>
      </c>
      <c r="F1971" s="47" t="str">
        <f>+Cuenta_Clasificacion[[#This Row],[Codigo Concepto de imputación]]&amp;" - "&amp;Cuenta_Clasificacion[[#This Row],[Nombre Concepto de imputación]]</f>
        <v>40135 - Jornal Llavero y Entrega</v>
      </c>
    </row>
    <row r="1972" spans="1:6" x14ac:dyDescent="0.25">
      <c r="A1972" s="43">
        <v>4105024</v>
      </c>
      <c r="B1972" t="s">
        <v>210</v>
      </c>
      <c r="C1972" s="43">
        <v>40142</v>
      </c>
      <c r="D1972" t="s">
        <v>3079</v>
      </c>
      <c r="E1972" s="47" t="str">
        <f>+Cuenta_Clasificacion[[#This Row],[Código Cuenta Contable]]&amp;" - "&amp;Cuenta_Clasificacion[[#This Row],[Nombre de Cuenta Contable]]</f>
        <v>4105024 - Proyectos No Ejecutados</v>
      </c>
      <c r="F1972" s="47" t="str">
        <f>+Cuenta_Clasificacion[[#This Row],[Codigo Concepto de imputación]]&amp;" - "&amp;Cuenta_Clasificacion[[#This Row],[Nombre Concepto de imputación]]</f>
        <v>40142 - Encargado de Mantención línea de Izaje</v>
      </c>
    </row>
    <row r="1973" spans="1:6" x14ac:dyDescent="0.25">
      <c r="A1973" s="43">
        <v>4105024</v>
      </c>
      <c r="B1973" t="s">
        <v>210</v>
      </c>
      <c r="C1973" s="43">
        <v>40143</v>
      </c>
      <c r="D1973" t="s">
        <v>3080</v>
      </c>
      <c r="E1973" s="47" t="str">
        <f>+Cuenta_Clasificacion[[#This Row],[Código Cuenta Contable]]&amp;" - "&amp;Cuenta_Clasificacion[[#This Row],[Nombre de Cuenta Contable]]</f>
        <v>4105024 - Proyectos No Ejecutados</v>
      </c>
      <c r="F1973" s="47" t="str">
        <f>+Cuenta_Clasificacion[[#This Row],[Codigo Concepto de imputación]]&amp;" - "&amp;Cuenta_Clasificacion[[#This Row],[Nombre Concepto de imputación]]</f>
        <v>40143 - Encargado de Montajes</v>
      </c>
    </row>
    <row r="1974" spans="1:6" x14ac:dyDescent="0.25">
      <c r="A1974" s="43">
        <v>4105024</v>
      </c>
      <c r="B1974" t="s">
        <v>210</v>
      </c>
      <c r="C1974" s="43">
        <v>40144</v>
      </c>
      <c r="D1974" t="s">
        <v>3081</v>
      </c>
      <c r="E1974" s="47" t="str">
        <f>+Cuenta_Clasificacion[[#This Row],[Código Cuenta Contable]]&amp;" - "&amp;Cuenta_Clasificacion[[#This Row],[Nombre de Cuenta Contable]]</f>
        <v>4105024 - Proyectos No Ejecutados</v>
      </c>
      <c r="F1974" s="47" t="str">
        <f>+Cuenta_Clasificacion[[#This Row],[Codigo Concepto de imputación]]&amp;" - "&amp;Cuenta_Clasificacion[[#This Row],[Nombre Concepto de imputación]]</f>
        <v xml:space="preserve">40144 - Operador de Planta de Hormigón </v>
      </c>
    </row>
    <row r="1975" spans="1:6" x14ac:dyDescent="0.25">
      <c r="A1975" s="43">
        <v>4105024</v>
      </c>
      <c r="B1975" t="s">
        <v>210</v>
      </c>
      <c r="C1975" s="43">
        <v>40500</v>
      </c>
      <c r="D1975" t="s">
        <v>2943</v>
      </c>
      <c r="E1975" s="47" t="str">
        <f>+Cuenta_Clasificacion[[#This Row],[Código Cuenta Contable]]&amp;" - "&amp;Cuenta_Clasificacion[[#This Row],[Nombre de Cuenta Contable]]</f>
        <v>4105024 - Proyectos No Ejecutados</v>
      </c>
      <c r="F1975" s="47" t="str">
        <f>+Cuenta_Clasificacion[[#This Row],[Codigo Concepto de imputación]]&amp;" - "&amp;Cuenta_Clasificacion[[#This Row],[Nombre Concepto de imputación]]</f>
        <v>40500 - Distribución</v>
      </c>
    </row>
    <row r="1976" spans="1:6" x14ac:dyDescent="0.25">
      <c r="A1976" s="43">
        <v>4105024</v>
      </c>
      <c r="B1976" t="s">
        <v>210</v>
      </c>
      <c r="C1976" s="43">
        <v>50001</v>
      </c>
      <c r="D1976" t="s">
        <v>2941</v>
      </c>
      <c r="E1976" s="47" t="str">
        <f>+Cuenta_Clasificacion[[#This Row],[Código Cuenta Contable]]&amp;" - "&amp;Cuenta_Clasificacion[[#This Row],[Nombre de Cuenta Contable]]</f>
        <v>4105024 - Proyectos No Ejecutados</v>
      </c>
      <c r="F1976" s="47" t="str">
        <f>+Cuenta_Clasificacion[[#This Row],[Codigo Concepto de imputación]]&amp;" - "&amp;Cuenta_Clasificacion[[#This Row],[Nombre Concepto de imputación]]</f>
        <v>50001 - Bodega - Consumo Básico</v>
      </c>
    </row>
    <row r="1977" spans="1:6" x14ac:dyDescent="0.25">
      <c r="A1977" s="43">
        <v>4105024</v>
      </c>
      <c r="B1977" t="s">
        <v>210</v>
      </c>
      <c r="C1977" s="43">
        <v>50002</v>
      </c>
      <c r="D1977" t="s">
        <v>3082</v>
      </c>
      <c r="E1977" s="47" t="str">
        <f>+Cuenta_Clasificacion[[#This Row],[Código Cuenta Contable]]&amp;" - "&amp;Cuenta_Clasificacion[[#This Row],[Nombre de Cuenta Contable]]</f>
        <v>4105024 - Proyectos No Ejecutados</v>
      </c>
      <c r="F1977" s="47" t="str">
        <f>+Cuenta_Clasificacion[[#This Row],[Codigo Concepto de imputación]]&amp;" - "&amp;Cuenta_Clasificacion[[#This Row],[Nombre Concepto de imputación]]</f>
        <v>50002 - Bodega - Materiales Oficina</v>
      </c>
    </row>
    <row r="1978" spans="1:6" x14ac:dyDescent="0.25">
      <c r="A1978" s="43">
        <v>4105024</v>
      </c>
      <c r="B1978" t="s">
        <v>210</v>
      </c>
      <c r="C1978" s="43">
        <v>50003</v>
      </c>
      <c r="D1978" t="s">
        <v>3083</v>
      </c>
      <c r="E1978" s="47" t="str">
        <f>+Cuenta_Clasificacion[[#This Row],[Código Cuenta Contable]]&amp;" - "&amp;Cuenta_Clasificacion[[#This Row],[Nombre de Cuenta Contable]]</f>
        <v>4105024 - Proyectos No Ejecutados</v>
      </c>
      <c r="F1978" s="47" t="str">
        <f>+Cuenta_Clasificacion[[#This Row],[Codigo Concepto de imputación]]&amp;" - "&amp;Cuenta_Clasificacion[[#This Row],[Nombre Concepto de imputación]]</f>
        <v>50003 - Bodega - Seguros y Garantías</v>
      </c>
    </row>
    <row r="1979" spans="1:6" x14ac:dyDescent="0.25">
      <c r="A1979" s="43">
        <v>4105024</v>
      </c>
      <c r="B1979" t="s">
        <v>210</v>
      </c>
      <c r="C1979" s="43">
        <v>50004</v>
      </c>
      <c r="D1979" t="s">
        <v>3084</v>
      </c>
      <c r="E1979" s="47" t="str">
        <f>+Cuenta_Clasificacion[[#This Row],[Código Cuenta Contable]]&amp;" - "&amp;Cuenta_Clasificacion[[#This Row],[Nombre de Cuenta Contable]]</f>
        <v>4105024 - Proyectos No Ejecutados</v>
      </c>
      <c r="F1979" s="47" t="str">
        <f>+Cuenta_Clasificacion[[#This Row],[Codigo Concepto de imputación]]&amp;" - "&amp;Cuenta_Clasificacion[[#This Row],[Nombre Concepto de imputación]]</f>
        <v>50004 - Bodega - Gastos Menores</v>
      </c>
    </row>
    <row r="1980" spans="1:6" x14ac:dyDescent="0.25">
      <c r="A1980" s="43">
        <v>4105024</v>
      </c>
      <c r="B1980" t="s">
        <v>210</v>
      </c>
      <c r="C1980" s="43">
        <v>50005</v>
      </c>
      <c r="D1980" t="s">
        <v>3085</v>
      </c>
      <c r="E1980" s="47" t="str">
        <f>+Cuenta_Clasificacion[[#This Row],[Código Cuenta Contable]]&amp;" - "&amp;Cuenta_Clasificacion[[#This Row],[Nombre de Cuenta Contable]]</f>
        <v>4105024 - Proyectos No Ejecutados</v>
      </c>
      <c r="F1980" s="47" t="str">
        <f>+Cuenta_Clasificacion[[#This Row],[Codigo Concepto de imputación]]&amp;" - "&amp;Cuenta_Clasificacion[[#This Row],[Nombre Concepto de imputación]]</f>
        <v>50005 - Bodega - Otros Gastos</v>
      </c>
    </row>
    <row r="1981" spans="1:6" x14ac:dyDescent="0.25">
      <c r="A1981" s="43">
        <v>4105024</v>
      </c>
      <c r="B1981" t="s">
        <v>210</v>
      </c>
      <c r="C1981" s="43">
        <v>50006</v>
      </c>
      <c r="D1981" t="s">
        <v>3086</v>
      </c>
      <c r="E1981" s="47" t="str">
        <f>+Cuenta_Clasificacion[[#This Row],[Código Cuenta Contable]]&amp;" - "&amp;Cuenta_Clasificacion[[#This Row],[Nombre de Cuenta Contable]]</f>
        <v>4105024 - Proyectos No Ejecutados</v>
      </c>
      <c r="F1981" s="47" t="str">
        <f>+Cuenta_Clasificacion[[#This Row],[Codigo Concepto de imputación]]&amp;" - "&amp;Cuenta_Clasificacion[[#This Row],[Nombre Concepto de imputación]]</f>
        <v>50006 - Bodega - Imprenta</v>
      </c>
    </row>
    <row r="1982" spans="1:6" x14ac:dyDescent="0.25">
      <c r="A1982" s="43">
        <v>4105024</v>
      </c>
      <c r="B1982" t="s">
        <v>210</v>
      </c>
      <c r="C1982" s="43">
        <v>50007</v>
      </c>
      <c r="D1982" t="s">
        <v>3087</v>
      </c>
      <c r="E1982" s="47" t="str">
        <f>+Cuenta_Clasificacion[[#This Row],[Código Cuenta Contable]]&amp;" - "&amp;Cuenta_Clasificacion[[#This Row],[Nombre de Cuenta Contable]]</f>
        <v>4105024 - Proyectos No Ejecutados</v>
      </c>
      <c r="F1982" s="47" t="str">
        <f>+Cuenta_Clasificacion[[#This Row],[Codigo Concepto de imputación]]&amp;" - "&amp;Cuenta_Clasificacion[[#This Row],[Nombre Concepto de imputación]]</f>
        <v>50007 - Bodega - Diseño y Publicidad</v>
      </c>
    </row>
    <row r="1983" spans="1:6" x14ac:dyDescent="0.25">
      <c r="A1983" s="43">
        <v>4105024</v>
      </c>
      <c r="B1983" t="s">
        <v>210</v>
      </c>
      <c r="C1983" s="43">
        <v>50008</v>
      </c>
      <c r="D1983" t="s">
        <v>2897</v>
      </c>
      <c r="E1983" s="47" t="str">
        <f>+Cuenta_Clasificacion[[#This Row],[Código Cuenta Contable]]&amp;" - "&amp;Cuenta_Clasificacion[[#This Row],[Nombre de Cuenta Contable]]</f>
        <v>4105024 - Proyectos No Ejecutados</v>
      </c>
      <c r="F1983" s="47" t="str">
        <f>+Cuenta_Clasificacion[[#This Row],[Codigo Concepto de imputación]]&amp;" - "&amp;Cuenta_Clasificacion[[#This Row],[Nombre Concepto de imputación]]</f>
        <v>50008 - Alimentos</v>
      </c>
    </row>
    <row r="1984" spans="1:6" x14ac:dyDescent="0.25">
      <c r="A1984" s="43">
        <v>4105024</v>
      </c>
      <c r="B1984" t="s">
        <v>210</v>
      </c>
      <c r="C1984" s="43">
        <v>50009</v>
      </c>
      <c r="D1984" t="s">
        <v>2898</v>
      </c>
      <c r="E1984" s="47" t="str">
        <f>+Cuenta_Clasificacion[[#This Row],[Código Cuenta Contable]]&amp;" - "&amp;Cuenta_Clasificacion[[#This Row],[Nombre de Cuenta Contable]]</f>
        <v>4105024 - Proyectos No Ejecutados</v>
      </c>
      <c r="F1984" s="47" t="str">
        <f>+Cuenta_Clasificacion[[#This Row],[Codigo Concepto de imputación]]&amp;" - "&amp;Cuenta_Clasificacion[[#This Row],[Nombre Concepto de imputación]]</f>
        <v>50009 - Aseo y Cocina</v>
      </c>
    </row>
    <row r="1985" spans="1:6" x14ac:dyDescent="0.25">
      <c r="A1985" s="43">
        <v>4105024</v>
      </c>
      <c r="B1985" t="s">
        <v>210</v>
      </c>
      <c r="C1985" s="43">
        <v>50010</v>
      </c>
      <c r="D1985" t="s">
        <v>2899</v>
      </c>
      <c r="E1985" s="47" t="str">
        <f>+Cuenta_Clasificacion[[#This Row],[Código Cuenta Contable]]&amp;" - "&amp;Cuenta_Clasificacion[[#This Row],[Nombre de Cuenta Contable]]</f>
        <v>4105024 - Proyectos No Ejecutados</v>
      </c>
      <c r="F1985" s="47" t="str">
        <f>+Cuenta_Clasificacion[[#This Row],[Codigo Concepto de imputación]]&amp;" - "&amp;Cuenta_Clasificacion[[#This Row],[Nombre Concepto de imputación]]</f>
        <v>50010 - Buses y Radiotaxi</v>
      </c>
    </row>
    <row r="1986" spans="1:6" x14ac:dyDescent="0.25">
      <c r="A1986" s="43">
        <v>4105024</v>
      </c>
      <c r="B1986" t="s">
        <v>210</v>
      </c>
      <c r="C1986" s="43">
        <v>50011</v>
      </c>
      <c r="D1986" t="s">
        <v>2900</v>
      </c>
      <c r="E1986" s="47" t="str">
        <f>+Cuenta_Clasificacion[[#This Row],[Código Cuenta Contable]]&amp;" - "&amp;Cuenta_Clasificacion[[#This Row],[Nombre de Cuenta Contable]]</f>
        <v>4105024 - Proyectos No Ejecutados</v>
      </c>
      <c r="F1986" s="47" t="str">
        <f>+Cuenta_Clasificacion[[#This Row],[Codigo Concepto de imputación]]&amp;" - "&amp;Cuenta_Clasificacion[[#This Row],[Nombre Concepto de imputación]]</f>
        <v>50011 - Capacitación</v>
      </c>
    </row>
    <row r="1987" spans="1:6" x14ac:dyDescent="0.25">
      <c r="A1987" s="43">
        <v>4105024</v>
      </c>
      <c r="B1987" t="s">
        <v>210</v>
      </c>
      <c r="C1987" s="43">
        <v>50012</v>
      </c>
      <c r="D1987" t="s">
        <v>2901</v>
      </c>
      <c r="E1987" s="47" t="str">
        <f>+Cuenta_Clasificacion[[#This Row],[Código Cuenta Contable]]&amp;" - "&amp;Cuenta_Clasificacion[[#This Row],[Nombre de Cuenta Contable]]</f>
        <v>4105024 - Proyectos No Ejecutados</v>
      </c>
      <c r="F1987" s="47" t="str">
        <f>+Cuenta_Clasificacion[[#This Row],[Codigo Concepto de imputación]]&amp;" - "&amp;Cuenta_Clasificacion[[#This Row],[Nombre Concepto de imputación]]</f>
        <v>50012 - Honorarios y Asesorías</v>
      </c>
    </row>
    <row r="1988" spans="1:6" x14ac:dyDescent="0.25">
      <c r="A1988" s="43">
        <v>4105024</v>
      </c>
      <c r="B1988" t="s">
        <v>210</v>
      </c>
      <c r="C1988" s="43">
        <v>50013</v>
      </c>
      <c r="D1988" t="s">
        <v>2902</v>
      </c>
      <c r="E1988" s="47" t="str">
        <f>+Cuenta_Clasificacion[[#This Row],[Código Cuenta Contable]]&amp;" - "&amp;Cuenta_Clasificacion[[#This Row],[Nombre de Cuenta Contable]]</f>
        <v>4105024 - Proyectos No Ejecutados</v>
      </c>
      <c r="F1988" s="47" t="str">
        <f>+Cuenta_Clasificacion[[#This Row],[Codigo Concepto de imputación]]&amp;" - "&amp;Cuenta_Clasificacion[[#This Row],[Nombre Concepto de imputación]]</f>
        <v>50013 - Seguros</v>
      </c>
    </row>
    <row r="1989" spans="1:6" x14ac:dyDescent="0.25">
      <c r="A1989" s="43">
        <v>4105024</v>
      </c>
      <c r="B1989" t="s">
        <v>210</v>
      </c>
      <c r="C1989" s="43">
        <v>50014</v>
      </c>
      <c r="D1989" t="s">
        <v>2903</v>
      </c>
      <c r="E1989" s="47" t="str">
        <f>+Cuenta_Clasificacion[[#This Row],[Código Cuenta Contable]]&amp;" - "&amp;Cuenta_Clasificacion[[#This Row],[Nombre de Cuenta Contable]]</f>
        <v>4105024 - Proyectos No Ejecutados</v>
      </c>
      <c r="F1989" s="47" t="str">
        <f>+Cuenta_Clasificacion[[#This Row],[Codigo Concepto de imputación]]&amp;" - "&amp;Cuenta_Clasificacion[[#This Row],[Nombre Concepto de imputación]]</f>
        <v>50014 - Tramitaciones</v>
      </c>
    </row>
    <row r="1990" spans="1:6" x14ac:dyDescent="0.25">
      <c r="A1990" s="43">
        <v>4105024</v>
      </c>
      <c r="B1990" t="s">
        <v>210</v>
      </c>
      <c r="C1990" s="43">
        <v>50015</v>
      </c>
      <c r="D1990" t="s">
        <v>2904</v>
      </c>
      <c r="E1990" s="47" t="str">
        <f>+Cuenta_Clasificacion[[#This Row],[Código Cuenta Contable]]&amp;" - "&amp;Cuenta_Clasificacion[[#This Row],[Nombre de Cuenta Contable]]</f>
        <v>4105024 - Proyectos No Ejecutados</v>
      </c>
      <c r="F1990" s="47" t="str">
        <f>+Cuenta_Clasificacion[[#This Row],[Codigo Concepto de imputación]]&amp;" - "&amp;Cuenta_Clasificacion[[#This Row],[Nombre Concepto de imputación]]</f>
        <v>50015 - Transporte</v>
      </c>
    </row>
    <row r="1991" spans="1:6" x14ac:dyDescent="0.25">
      <c r="A1991" s="43">
        <v>4105024</v>
      </c>
      <c r="B1991" t="s">
        <v>210</v>
      </c>
      <c r="C1991" s="43">
        <v>50016</v>
      </c>
      <c r="D1991" t="s">
        <v>2905</v>
      </c>
      <c r="E1991" s="47" t="str">
        <f>+Cuenta_Clasificacion[[#This Row],[Código Cuenta Contable]]&amp;" - "&amp;Cuenta_Clasificacion[[#This Row],[Nombre de Cuenta Contable]]</f>
        <v>4105024 - Proyectos No Ejecutados</v>
      </c>
      <c r="F1991" s="47" t="str">
        <f>+Cuenta_Clasificacion[[#This Row],[Codigo Concepto de imputación]]&amp;" - "&amp;Cuenta_Clasificacion[[#This Row],[Nombre Concepto de imputación]]</f>
        <v>50016 - Útiles Oficina</v>
      </c>
    </row>
    <row r="1992" spans="1:6" x14ac:dyDescent="0.25">
      <c r="A1992" s="43">
        <v>4105024</v>
      </c>
      <c r="B1992" t="s">
        <v>210</v>
      </c>
      <c r="C1992" s="43">
        <v>50017</v>
      </c>
      <c r="D1992" t="s">
        <v>2906</v>
      </c>
      <c r="E1992" s="47" t="str">
        <f>+Cuenta_Clasificacion[[#This Row],[Código Cuenta Contable]]&amp;" - "&amp;Cuenta_Clasificacion[[#This Row],[Nombre de Cuenta Contable]]</f>
        <v>4105024 - Proyectos No Ejecutados</v>
      </c>
      <c r="F1992" s="47" t="str">
        <f>+Cuenta_Clasificacion[[#This Row],[Codigo Concepto de imputación]]&amp;" - "&amp;Cuenta_Clasificacion[[#This Row],[Nombre Concepto de imputación]]</f>
        <v>50017 - Consumos Básicos</v>
      </c>
    </row>
    <row r="1993" spans="1:6" x14ac:dyDescent="0.25">
      <c r="A1993" s="43">
        <v>4105024</v>
      </c>
      <c r="B1993" t="s">
        <v>210</v>
      </c>
      <c r="C1993" s="43">
        <v>50018</v>
      </c>
      <c r="D1993" t="s">
        <v>3088</v>
      </c>
      <c r="E1993" s="47" t="str">
        <f>+Cuenta_Clasificacion[[#This Row],[Código Cuenta Contable]]&amp;" - "&amp;Cuenta_Clasificacion[[#This Row],[Nombre de Cuenta Contable]]</f>
        <v>4105024 - Proyectos No Ejecutados</v>
      </c>
      <c r="F1993" s="47" t="str">
        <f>+Cuenta_Clasificacion[[#This Row],[Codigo Concepto de imputación]]&amp;" - "&amp;Cuenta_Clasificacion[[#This Row],[Nombre Concepto de imputación]]</f>
        <v>50018 - Consumos Telefónicos</v>
      </c>
    </row>
    <row r="1994" spans="1:6" x14ac:dyDescent="0.25">
      <c r="A1994" s="43">
        <v>4105024</v>
      </c>
      <c r="B1994" t="s">
        <v>210</v>
      </c>
      <c r="C1994" s="43">
        <v>50019</v>
      </c>
      <c r="D1994" t="s">
        <v>1638</v>
      </c>
      <c r="E1994" s="47" t="str">
        <f>+Cuenta_Clasificacion[[#This Row],[Código Cuenta Contable]]&amp;" - "&amp;Cuenta_Clasificacion[[#This Row],[Nombre de Cuenta Contable]]</f>
        <v>4105024 - Proyectos No Ejecutados</v>
      </c>
      <c r="F1994" s="47" t="str">
        <f>+Cuenta_Clasificacion[[#This Row],[Codigo Concepto de imputación]]&amp;" - "&amp;Cuenta_Clasificacion[[#This Row],[Nombre Concepto de imputación]]</f>
        <v>50019 - Gastos Municipales</v>
      </c>
    </row>
    <row r="1995" spans="1:6" x14ac:dyDescent="0.25">
      <c r="A1995" s="43">
        <v>4105024</v>
      </c>
      <c r="B1995" t="s">
        <v>210</v>
      </c>
      <c r="C1995" s="43">
        <v>50020</v>
      </c>
      <c r="D1995" t="s">
        <v>3089</v>
      </c>
      <c r="E1995" s="47" t="str">
        <f>+Cuenta_Clasificacion[[#This Row],[Código Cuenta Contable]]&amp;" - "&amp;Cuenta_Clasificacion[[#This Row],[Nombre de Cuenta Contable]]</f>
        <v>4105024 - Proyectos No Ejecutados</v>
      </c>
      <c r="F1995" s="47" t="str">
        <f>+Cuenta_Clasificacion[[#This Row],[Codigo Concepto de imputación]]&amp;" - "&amp;Cuenta_Clasificacion[[#This Row],[Nombre Concepto de imputación]]</f>
        <v>50020 - Gastos Notariales</v>
      </c>
    </row>
    <row r="1996" spans="1:6" x14ac:dyDescent="0.25">
      <c r="A1996" s="43">
        <v>4105024</v>
      </c>
      <c r="B1996" t="s">
        <v>210</v>
      </c>
      <c r="C1996" s="43">
        <v>50021</v>
      </c>
      <c r="D1996" t="s">
        <v>2907</v>
      </c>
      <c r="E1996" s="47" t="str">
        <f>+Cuenta_Clasificacion[[#This Row],[Código Cuenta Contable]]&amp;" - "&amp;Cuenta_Clasificacion[[#This Row],[Nombre de Cuenta Contable]]</f>
        <v>4105024 - Proyectos No Ejecutados</v>
      </c>
      <c r="F1996" s="47" t="str">
        <f>+Cuenta_Clasificacion[[#This Row],[Codigo Concepto de imputación]]&amp;" - "&amp;Cuenta_Clasificacion[[#This Row],[Nombre Concepto de imputación]]</f>
        <v>50021 - Consumos de Obra</v>
      </c>
    </row>
    <row r="1997" spans="1:6" x14ac:dyDescent="0.25">
      <c r="A1997" s="43">
        <v>4105024</v>
      </c>
      <c r="B1997" t="s">
        <v>210</v>
      </c>
      <c r="C1997" s="43">
        <v>50022</v>
      </c>
      <c r="D1997" t="s">
        <v>3090</v>
      </c>
      <c r="E1997" s="47" t="str">
        <f>+Cuenta_Clasificacion[[#This Row],[Código Cuenta Contable]]&amp;" - "&amp;Cuenta_Clasificacion[[#This Row],[Nombre de Cuenta Contable]]</f>
        <v>4105024 - Proyectos No Ejecutados</v>
      </c>
      <c r="F1997" s="47" t="str">
        <f>+Cuenta_Clasificacion[[#This Row],[Codigo Concepto de imputación]]&amp;" - "&amp;Cuenta_Clasificacion[[#This Row],[Nombre Concepto de imputación]]</f>
        <v>50022 - Gastos Viajes y Traslados</v>
      </c>
    </row>
    <row r="1998" spans="1:6" x14ac:dyDescent="0.25">
      <c r="A1998" s="43">
        <v>4105024</v>
      </c>
      <c r="B1998" t="s">
        <v>210</v>
      </c>
      <c r="C1998" s="43">
        <v>50023</v>
      </c>
      <c r="D1998" t="s">
        <v>2908</v>
      </c>
      <c r="E1998" s="47" t="str">
        <f>+Cuenta_Clasificacion[[#This Row],[Código Cuenta Contable]]&amp;" - "&amp;Cuenta_Clasificacion[[#This Row],[Nombre de Cuenta Contable]]</f>
        <v>4105024 - Proyectos No Ejecutados</v>
      </c>
      <c r="F1998" s="47" t="str">
        <f>+Cuenta_Clasificacion[[#This Row],[Codigo Concepto de imputación]]&amp;" - "&amp;Cuenta_Clasificacion[[#This Row],[Nombre Concepto de imputación]]</f>
        <v>50023 - Pasajes, Hotel y Otros GG</v>
      </c>
    </row>
    <row r="1999" spans="1:6" x14ac:dyDescent="0.25">
      <c r="A1999" s="43">
        <v>4105024</v>
      </c>
      <c r="B1999" t="s">
        <v>210</v>
      </c>
      <c r="C1999" s="43">
        <v>50024</v>
      </c>
      <c r="D1999" t="s">
        <v>2729</v>
      </c>
      <c r="E1999" s="47" t="str">
        <f>+Cuenta_Clasificacion[[#This Row],[Código Cuenta Contable]]&amp;" - "&amp;Cuenta_Clasificacion[[#This Row],[Nombre de Cuenta Contable]]</f>
        <v>4105024 - Proyectos No Ejecutados</v>
      </c>
      <c r="F1999" s="47" t="str">
        <f>+Cuenta_Clasificacion[[#This Row],[Codigo Concepto de imputación]]&amp;" - "&amp;Cuenta_Clasificacion[[#This Row],[Nombre Concepto de imputación]]</f>
        <v>50024 - Combustibles</v>
      </c>
    </row>
    <row r="2000" spans="1:6" x14ac:dyDescent="0.25">
      <c r="A2000" s="43">
        <v>4105024</v>
      </c>
      <c r="B2000" t="s">
        <v>210</v>
      </c>
      <c r="C2000" s="43">
        <v>50025</v>
      </c>
      <c r="D2000" t="s">
        <v>3091</v>
      </c>
      <c r="E2000" s="47" t="str">
        <f>+Cuenta_Clasificacion[[#This Row],[Código Cuenta Contable]]&amp;" - "&amp;Cuenta_Clasificacion[[#This Row],[Nombre de Cuenta Contable]]</f>
        <v>4105024 - Proyectos No Ejecutados</v>
      </c>
      <c r="F2000" s="47" t="str">
        <f>+Cuenta_Clasificacion[[#This Row],[Codigo Concepto de imputación]]&amp;" - "&amp;Cuenta_Clasificacion[[#This Row],[Nombre Concepto de imputación]]</f>
        <v>50025 - Prov. GGoc/PV</v>
      </c>
    </row>
    <row r="2001" spans="1:6" x14ac:dyDescent="0.25">
      <c r="A2001" s="43">
        <v>4105024</v>
      </c>
      <c r="B2001" t="s">
        <v>210</v>
      </c>
      <c r="C2001" s="43">
        <v>50026</v>
      </c>
      <c r="D2001" t="s">
        <v>1500</v>
      </c>
      <c r="E2001" s="47" t="str">
        <f>+Cuenta_Clasificacion[[#This Row],[Código Cuenta Contable]]&amp;" - "&amp;Cuenta_Clasificacion[[#This Row],[Nombre de Cuenta Contable]]</f>
        <v>4105024 - Proyectos No Ejecutados</v>
      </c>
      <c r="F2001" s="47" t="str">
        <f>+Cuenta_Clasificacion[[#This Row],[Codigo Concepto de imputación]]&amp;" - "&amp;Cuenta_Clasificacion[[#This Row],[Nombre Concepto de imputación]]</f>
        <v>50026 - Oficina Central</v>
      </c>
    </row>
    <row r="2002" spans="1:6" x14ac:dyDescent="0.25">
      <c r="A2002" s="43">
        <v>4105024</v>
      </c>
      <c r="B2002" t="s">
        <v>210</v>
      </c>
      <c r="C2002" s="43">
        <v>50027</v>
      </c>
      <c r="D2002" t="s">
        <v>3092</v>
      </c>
      <c r="E2002" s="47" t="str">
        <f>+Cuenta_Clasificacion[[#This Row],[Código Cuenta Contable]]&amp;" - "&amp;Cuenta_Clasificacion[[#This Row],[Nombre de Cuenta Contable]]</f>
        <v>4105024 - Proyectos No Ejecutados</v>
      </c>
      <c r="F2002" s="47" t="str">
        <f>+Cuenta_Clasificacion[[#This Row],[Codigo Concepto de imputación]]&amp;" - "&amp;Cuenta_Clasificacion[[#This Row],[Nombre Concepto de imputación]]</f>
        <v>50027 - Desemp. Prev. Riesgos</v>
      </c>
    </row>
    <row r="2003" spans="1:6" x14ac:dyDescent="0.25">
      <c r="A2003" s="43">
        <v>4105024</v>
      </c>
      <c r="B2003" t="s">
        <v>210</v>
      </c>
      <c r="C2003" s="43">
        <v>50028</v>
      </c>
      <c r="D2003" t="s">
        <v>2909</v>
      </c>
      <c r="E2003" s="47" t="str">
        <f>+Cuenta_Clasificacion[[#This Row],[Código Cuenta Contable]]&amp;" - "&amp;Cuenta_Clasificacion[[#This Row],[Nombre de Cuenta Contable]]</f>
        <v>4105024 - Proyectos No Ejecutados</v>
      </c>
      <c r="F2003" s="47" t="str">
        <f>+Cuenta_Clasificacion[[#This Row],[Codigo Concepto de imputación]]&amp;" - "&amp;Cuenta_Clasificacion[[#This Row],[Nombre Concepto de imputación]]</f>
        <v>50028 - Boletas de Garantía</v>
      </c>
    </row>
    <row r="2004" spans="1:6" x14ac:dyDescent="0.25">
      <c r="A2004" s="43">
        <v>4105024</v>
      </c>
      <c r="B2004" t="s">
        <v>210</v>
      </c>
      <c r="C2004" s="43">
        <v>77777</v>
      </c>
      <c r="D2004" t="s">
        <v>2703</v>
      </c>
      <c r="E2004" s="47" t="str">
        <f>+Cuenta_Clasificacion[[#This Row],[Código Cuenta Contable]]&amp;" - "&amp;Cuenta_Clasificacion[[#This Row],[Nombre de Cuenta Contable]]</f>
        <v>4105024 - Proyectos No Ejecutados</v>
      </c>
      <c r="F2004" s="47" t="str">
        <f>+Cuenta_Clasificacion[[#This Row],[Codigo Concepto de imputación]]&amp;" - "&amp;Cuenta_Clasificacion[[#This Row],[Nombre Concepto de imputación]]</f>
        <v>77777 - REGULARIZACIONES</v>
      </c>
    </row>
    <row r="2005" spans="1:6" x14ac:dyDescent="0.25">
      <c r="A2005" s="43">
        <v>4105025</v>
      </c>
      <c r="B2005" t="s">
        <v>3094</v>
      </c>
      <c r="C2005" s="43">
        <v>10001</v>
      </c>
      <c r="D2005" t="s">
        <v>2708</v>
      </c>
      <c r="E2005" s="47" t="str">
        <f>+Cuenta_Clasificacion[[#This Row],[Código Cuenta Contable]]&amp;" - "&amp;Cuenta_Clasificacion[[#This Row],[Nombre de Cuenta Contable]]</f>
        <v>4105025 - Provision Costos Termino de Obra</v>
      </c>
      <c r="F2005" s="47" t="str">
        <f>+Cuenta_Clasificacion[[#This Row],[Codigo Concepto de imputación]]&amp;" - "&amp;Cuenta_Clasificacion[[#This Row],[Nombre Concepto de imputación]]</f>
        <v>10001 - Accesorios Sanitarios</v>
      </c>
    </row>
    <row r="2006" spans="1:6" x14ac:dyDescent="0.25">
      <c r="A2006" s="43">
        <v>4105025</v>
      </c>
      <c r="B2006" t="s">
        <v>3094</v>
      </c>
      <c r="C2006" s="43">
        <v>10002</v>
      </c>
      <c r="D2006" t="s">
        <v>2709</v>
      </c>
      <c r="E2006" s="47" t="str">
        <f>+Cuenta_Clasificacion[[#This Row],[Código Cuenta Contable]]&amp;" - "&amp;Cuenta_Clasificacion[[#This Row],[Nombre de Cuenta Contable]]</f>
        <v>4105025 - Provision Costos Termino de Obra</v>
      </c>
      <c r="F2006" s="47" t="str">
        <f>+Cuenta_Clasificacion[[#This Row],[Codigo Concepto de imputación]]&amp;" - "&amp;Cuenta_Clasificacion[[#This Row],[Nombre Concepto de imputación]]</f>
        <v>10002 - Adhesivos</v>
      </c>
    </row>
    <row r="2007" spans="1:6" x14ac:dyDescent="0.25">
      <c r="A2007" s="43">
        <v>4105025</v>
      </c>
      <c r="B2007" t="s">
        <v>3094</v>
      </c>
      <c r="C2007" s="43">
        <v>10003</v>
      </c>
      <c r="D2007" t="s">
        <v>2710</v>
      </c>
      <c r="E2007" s="47" t="str">
        <f>+Cuenta_Clasificacion[[#This Row],[Código Cuenta Contable]]&amp;" - "&amp;Cuenta_Clasificacion[[#This Row],[Nombre de Cuenta Contable]]</f>
        <v>4105025 - Provision Costos Termino de Obra</v>
      </c>
      <c r="F2007" s="47" t="str">
        <f>+Cuenta_Clasificacion[[#This Row],[Codigo Concepto de imputación]]&amp;" - "&amp;Cuenta_Clasificacion[[#This Row],[Nombre Concepto de imputación]]</f>
        <v>10003 - Aditivos</v>
      </c>
    </row>
    <row r="2008" spans="1:6" x14ac:dyDescent="0.25">
      <c r="A2008" s="43">
        <v>4105025</v>
      </c>
      <c r="B2008" t="s">
        <v>3094</v>
      </c>
      <c r="C2008" s="43">
        <v>10004</v>
      </c>
      <c r="D2008" t="s">
        <v>2711</v>
      </c>
      <c r="E2008" s="47" t="str">
        <f>+Cuenta_Clasificacion[[#This Row],[Código Cuenta Contable]]&amp;" - "&amp;Cuenta_Clasificacion[[#This Row],[Nombre de Cuenta Contable]]</f>
        <v>4105025 - Provision Costos Termino de Obra</v>
      </c>
      <c r="F2008" s="47" t="str">
        <f>+Cuenta_Clasificacion[[#This Row],[Codigo Concepto de imputación]]&amp;" - "&amp;Cuenta_Clasificacion[[#This Row],[Nombre Concepto de imputación]]</f>
        <v>10004 - Aislación</v>
      </c>
    </row>
    <row r="2009" spans="1:6" x14ac:dyDescent="0.25">
      <c r="A2009" s="43">
        <v>4105025</v>
      </c>
      <c r="B2009" t="s">
        <v>3094</v>
      </c>
      <c r="C2009" s="43">
        <v>10005</v>
      </c>
      <c r="D2009" t="s">
        <v>2712</v>
      </c>
      <c r="E2009" s="47" t="str">
        <f>+Cuenta_Clasificacion[[#This Row],[Código Cuenta Contable]]&amp;" - "&amp;Cuenta_Clasificacion[[#This Row],[Nombre de Cuenta Contable]]</f>
        <v>4105025 - Provision Costos Termino de Obra</v>
      </c>
      <c r="F2009" s="47" t="str">
        <f>+Cuenta_Clasificacion[[#This Row],[Codigo Concepto de imputación]]&amp;" - "&amp;Cuenta_Clasificacion[[#This Row],[Nombre Concepto de imputación]]</f>
        <v>10005 - Alambre</v>
      </c>
    </row>
    <row r="2010" spans="1:6" x14ac:dyDescent="0.25">
      <c r="A2010" s="43">
        <v>4105025</v>
      </c>
      <c r="B2010" t="s">
        <v>3094</v>
      </c>
      <c r="C2010" s="43">
        <v>10006</v>
      </c>
      <c r="D2010" t="s">
        <v>2713</v>
      </c>
      <c r="E2010" s="47" t="str">
        <f>+Cuenta_Clasificacion[[#This Row],[Código Cuenta Contable]]&amp;" - "&amp;Cuenta_Clasificacion[[#This Row],[Nombre de Cuenta Contable]]</f>
        <v>4105025 - Provision Costos Termino de Obra</v>
      </c>
      <c r="F2010" s="47" t="str">
        <f>+Cuenta_Clasificacion[[#This Row],[Codigo Concepto de imputación]]&amp;" - "&amp;Cuenta_Clasificacion[[#This Row],[Nombre Concepto de imputación]]</f>
        <v>10006 - Alcantarillado</v>
      </c>
    </row>
    <row r="2011" spans="1:6" x14ac:dyDescent="0.25">
      <c r="A2011" s="43">
        <v>4105025</v>
      </c>
      <c r="B2011" t="s">
        <v>3094</v>
      </c>
      <c r="C2011" s="43">
        <v>10007</v>
      </c>
      <c r="D2011" t="s">
        <v>2714</v>
      </c>
      <c r="E2011" s="47" t="str">
        <f>+Cuenta_Clasificacion[[#This Row],[Código Cuenta Contable]]&amp;" - "&amp;Cuenta_Clasificacion[[#This Row],[Nombre de Cuenta Contable]]</f>
        <v>4105025 - Provision Costos Termino de Obra</v>
      </c>
      <c r="F2011" s="47" t="str">
        <f>+Cuenta_Clasificacion[[#This Row],[Codigo Concepto de imputación]]&amp;" - "&amp;Cuenta_Clasificacion[[#This Row],[Nombre Concepto de imputación]]</f>
        <v>10007 - Alfombras</v>
      </c>
    </row>
    <row r="2012" spans="1:6" x14ac:dyDescent="0.25">
      <c r="A2012" s="43">
        <v>4105025</v>
      </c>
      <c r="B2012" t="s">
        <v>3094</v>
      </c>
      <c r="C2012" s="43">
        <v>10008</v>
      </c>
      <c r="D2012" t="s">
        <v>2715</v>
      </c>
      <c r="E2012" s="47" t="str">
        <f>+Cuenta_Clasificacion[[#This Row],[Código Cuenta Contable]]&amp;" - "&amp;Cuenta_Clasificacion[[#This Row],[Nombre de Cuenta Contable]]</f>
        <v>4105025 - Provision Costos Termino de Obra</v>
      </c>
      <c r="F2012" s="47" t="str">
        <f>+Cuenta_Clasificacion[[#This Row],[Codigo Concepto de imputación]]&amp;" - "&amp;Cuenta_Clasificacion[[#This Row],[Nombre Concepto de imputación]]</f>
        <v>10008 - Aluminios</v>
      </c>
    </row>
    <row r="2013" spans="1:6" x14ac:dyDescent="0.25">
      <c r="A2013" s="43">
        <v>4105025</v>
      </c>
      <c r="B2013" t="s">
        <v>3094</v>
      </c>
      <c r="C2013" s="43">
        <v>10009</v>
      </c>
      <c r="D2013" t="s">
        <v>2716</v>
      </c>
      <c r="E2013" s="47" t="str">
        <f>+Cuenta_Clasificacion[[#This Row],[Código Cuenta Contable]]&amp;" - "&amp;Cuenta_Clasificacion[[#This Row],[Nombre de Cuenta Contable]]</f>
        <v>4105025 - Provision Costos Termino de Obra</v>
      </c>
      <c r="F2013" s="47" t="str">
        <f>+Cuenta_Clasificacion[[#This Row],[Codigo Concepto de imputación]]&amp;" - "&amp;Cuenta_Clasificacion[[#This Row],[Nombre Concepto de imputación]]</f>
        <v>10009 - Áridos</v>
      </c>
    </row>
    <row r="2014" spans="1:6" x14ac:dyDescent="0.25">
      <c r="A2014" s="43">
        <v>4105025</v>
      </c>
      <c r="B2014" t="s">
        <v>3094</v>
      </c>
      <c r="C2014" s="43">
        <v>10010</v>
      </c>
      <c r="D2014" t="s">
        <v>2717</v>
      </c>
      <c r="E2014" s="47" t="str">
        <f>+Cuenta_Clasificacion[[#This Row],[Código Cuenta Contable]]&amp;" - "&amp;Cuenta_Clasificacion[[#This Row],[Nombre de Cuenta Contable]]</f>
        <v>4105025 - Provision Costos Termino de Obra</v>
      </c>
      <c r="F2014" s="47" t="str">
        <f>+Cuenta_Clasificacion[[#This Row],[Codigo Concepto de imputación]]&amp;" - "&amp;Cuenta_Clasificacion[[#This Row],[Nombre Concepto de imputación]]</f>
        <v>10010 - Artículos Eléctricos</v>
      </c>
    </row>
    <row r="2015" spans="1:6" x14ac:dyDescent="0.25">
      <c r="A2015" s="43">
        <v>4105025</v>
      </c>
      <c r="B2015" t="s">
        <v>3094</v>
      </c>
      <c r="C2015" s="43">
        <v>10011</v>
      </c>
      <c r="D2015" t="s">
        <v>2718</v>
      </c>
      <c r="E2015" s="47" t="str">
        <f>+Cuenta_Clasificacion[[#This Row],[Código Cuenta Contable]]&amp;" - "&amp;Cuenta_Clasificacion[[#This Row],[Nombre de Cuenta Contable]]</f>
        <v>4105025 - Provision Costos Termino de Obra</v>
      </c>
      <c r="F2015" s="47" t="str">
        <f>+Cuenta_Clasificacion[[#This Row],[Codigo Concepto de imputación]]&amp;" - "&amp;Cuenta_Clasificacion[[#This Row],[Nombre Concepto de imputación]]</f>
        <v>10011 - Artículos Gas</v>
      </c>
    </row>
    <row r="2016" spans="1:6" x14ac:dyDescent="0.25">
      <c r="A2016" s="43">
        <v>4105025</v>
      </c>
      <c r="B2016" t="s">
        <v>3094</v>
      </c>
      <c r="C2016" s="43">
        <v>10012</v>
      </c>
      <c r="D2016" t="s">
        <v>2719</v>
      </c>
      <c r="E2016" s="47" t="str">
        <f>+Cuenta_Clasificacion[[#This Row],[Código Cuenta Contable]]&amp;" - "&amp;Cuenta_Clasificacion[[#This Row],[Nombre de Cuenta Contable]]</f>
        <v>4105025 - Provision Costos Termino de Obra</v>
      </c>
      <c r="F2016" s="47" t="str">
        <f>+Cuenta_Clasificacion[[#This Row],[Codigo Concepto de imputación]]&amp;" - "&amp;Cuenta_Clasificacion[[#This Row],[Nombre Concepto de imputación]]</f>
        <v>10012 - Artículos Sanitarios</v>
      </c>
    </row>
    <row r="2017" spans="1:6" x14ac:dyDescent="0.25">
      <c r="A2017" s="43">
        <v>4105025</v>
      </c>
      <c r="B2017" t="s">
        <v>3094</v>
      </c>
      <c r="C2017" s="43">
        <v>10013</v>
      </c>
      <c r="D2017" t="s">
        <v>2720</v>
      </c>
      <c r="E2017" s="47" t="str">
        <f>+Cuenta_Clasificacion[[#This Row],[Código Cuenta Contable]]&amp;" - "&amp;Cuenta_Clasificacion[[#This Row],[Nombre de Cuenta Contable]]</f>
        <v>4105025 - Provision Costos Termino de Obra</v>
      </c>
      <c r="F2017" s="47" t="str">
        <f>+Cuenta_Clasificacion[[#This Row],[Codigo Concepto de imputación]]&amp;" - "&amp;Cuenta_Clasificacion[[#This Row],[Nombre Concepto de imputación]]</f>
        <v>10013 - Cables</v>
      </c>
    </row>
    <row r="2018" spans="1:6" x14ac:dyDescent="0.25">
      <c r="A2018" s="43">
        <v>4105025</v>
      </c>
      <c r="B2018" t="s">
        <v>3094</v>
      </c>
      <c r="C2018" s="43">
        <v>10014</v>
      </c>
      <c r="D2018" t="s">
        <v>2721</v>
      </c>
      <c r="E2018" s="47" t="str">
        <f>+Cuenta_Clasificacion[[#This Row],[Código Cuenta Contable]]&amp;" - "&amp;Cuenta_Clasificacion[[#This Row],[Nombre de Cuenta Contable]]</f>
        <v>4105025 - Provision Costos Termino de Obra</v>
      </c>
      <c r="F2018" s="47" t="str">
        <f>+Cuenta_Clasificacion[[#This Row],[Codigo Concepto de imputación]]&amp;" - "&amp;Cuenta_Clasificacion[[#This Row],[Nombre Concepto de imputación]]</f>
        <v>10014 - Cadenas</v>
      </c>
    </row>
    <row r="2019" spans="1:6" x14ac:dyDescent="0.25">
      <c r="A2019" s="43">
        <v>4105025</v>
      </c>
      <c r="B2019" t="s">
        <v>3094</v>
      </c>
      <c r="C2019" s="43">
        <v>10015</v>
      </c>
      <c r="D2019" t="s">
        <v>2722</v>
      </c>
      <c r="E2019" s="47" t="str">
        <f>+Cuenta_Clasificacion[[#This Row],[Código Cuenta Contable]]&amp;" - "&amp;Cuenta_Clasificacion[[#This Row],[Nombre de Cuenta Contable]]</f>
        <v>4105025 - Provision Costos Termino de Obra</v>
      </c>
      <c r="F2019" s="47" t="str">
        <f>+Cuenta_Clasificacion[[#This Row],[Codigo Concepto de imputación]]&amp;" - "&amp;Cuenta_Clasificacion[[#This Row],[Nombre Concepto de imputación]]</f>
        <v>10015 - Cañerías Acero</v>
      </c>
    </row>
    <row r="2020" spans="1:6" x14ac:dyDescent="0.25">
      <c r="A2020" s="43">
        <v>4105025</v>
      </c>
      <c r="B2020" t="s">
        <v>3094</v>
      </c>
      <c r="C2020" s="43">
        <v>10016</v>
      </c>
      <c r="D2020" t="s">
        <v>2723</v>
      </c>
      <c r="E2020" s="47" t="str">
        <f>+Cuenta_Clasificacion[[#This Row],[Código Cuenta Contable]]&amp;" - "&amp;Cuenta_Clasificacion[[#This Row],[Nombre de Cuenta Contable]]</f>
        <v>4105025 - Provision Costos Termino de Obra</v>
      </c>
      <c r="F2020" s="47" t="str">
        <f>+Cuenta_Clasificacion[[#This Row],[Codigo Concepto de imputación]]&amp;" - "&amp;Cuenta_Clasificacion[[#This Row],[Nombre Concepto de imputación]]</f>
        <v>10016 - Cañerías Cobre</v>
      </c>
    </row>
    <row r="2021" spans="1:6" x14ac:dyDescent="0.25">
      <c r="A2021" s="43">
        <v>4105025</v>
      </c>
      <c r="B2021" t="s">
        <v>3094</v>
      </c>
      <c r="C2021" s="43">
        <v>10017</v>
      </c>
      <c r="D2021" t="s">
        <v>2724</v>
      </c>
      <c r="E2021" s="47" t="str">
        <f>+Cuenta_Clasificacion[[#This Row],[Código Cuenta Contable]]&amp;" - "&amp;Cuenta_Clasificacion[[#This Row],[Nombre de Cuenta Contable]]</f>
        <v>4105025 - Provision Costos Termino de Obra</v>
      </c>
      <c r="F2021" s="47" t="str">
        <f>+Cuenta_Clasificacion[[#This Row],[Codigo Concepto de imputación]]&amp;" - "&amp;Cuenta_Clasificacion[[#This Row],[Nombre Concepto de imputación]]</f>
        <v>10017 - Cañerías PVC</v>
      </c>
    </row>
    <row r="2022" spans="1:6" x14ac:dyDescent="0.25">
      <c r="A2022" s="43">
        <v>4105025</v>
      </c>
      <c r="B2022" t="s">
        <v>3094</v>
      </c>
      <c r="C2022" s="43">
        <v>10018</v>
      </c>
      <c r="D2022" t="s">
        <v>2725</v>
      </c>
      <c r="E2022" s="47" t="str">
        <f>+Cuenta_Clasificacion[[#This Row],[Código Cuenta Contable]]&amp;" - "&amp;Cuenta_Clasificacion[[#This Row],[Nombre de Cuenta Contable]]</f>
        <v>4105025 - Provision Costos Termino de Obra</v>
      </c>
      <c r="F2022" s="47" t="str">
        <f>+Cuenta_Clasificacion[[#This Row],[Codigo Concepto de imputación]]&amp;" - "&amp;Cuenta_Clasificacion[[#This Row],[Nombre Concepto de imputación]]</f>
        <v>10018 - Cementos</v>
      </c>
    </row>
    <row r="2023" spans="1:6" x14ac:dyDescent="0.25">
      <c r="A2023" s="43">
        <v>4105025</v>
      </c>
      <c r="B2023" t="s">
        <v>3094</v>
      </c>
      <c r="C2023" s="43">
        <v>10019</v>
      </c>
      <c r="D2023" t="s">
        <v>2726</v>
      </c>
      <c r="E2023" s="47" t="str">
        <f>+Cuenta_Clasificacion[[#This Row],[Código Cuenta Contable]]&amp;" - "&amp;Cuenta_Clasificacion[[#This Row],[Nombre de Cuenta Contable]]</f>
        <v>4105025 - Provision Costos Termino de Obra</v>
      </c>
      <c r="F2023" s="47" t="str">
        <f>+Cuenta_Clasificacion[[#This Row],[Codigo Concepto de imputación]]&amp;" - "&amp;Cuenta_Clasificacion[[#This Row],[Nombre Concepto de imputación]]</f>
        <v>10019 - Cerámicos y Baldosas</v>
      </c>
    </row>
    <row r="2024" spans="1:6" x14ac:dyDescent="0.25">
      <c r="A2024" s="43">
        <v>4105025</v>
      </c>
      <c r="B2024" t="s">
        <v>3094</v>
      </c>
      <c r="C2024" s="43">
        <v>10020</v>
      </c>
      <c r="D2024" t="s">
        <v>2727</v>
      </c>
      <c r="E2024" s="47" t="str">
        <f>+Cuenta_Clasificacion[[#This Row],[Código Cuenta Contable]]&amp;" - "&amp;Cuenta_Clasificacion[[#This Row],[Nombre de Cuenta Contable]]</f>
        <v>4105025 - Provision Costos Termino de Obra</v>
      </c>
      <c r="F2024" s="47" t="str">
        <f>+Cuenta_Clasificacion[[#This Row],[Codigo Concepto de imputación]]&amp;" - "&amp;Cuenta_Clasificacion[[#This Row],[Nombre Concepto de imputación]]</f>
        <v>10020 - Cielo Modular</v>
      </c>
    </row>
    <row r="2025" spans="1:6" x14ac:dyDescent="0.25">
      <c r="A2025" s="43">
        <v>4105025</v>
      </c>
      <c r="B2025" t="s">
        <v>3094</v>
      </c>
      <c r="C2025" s="43">
        <v>10021</v>
      </c>
      <c r="D2025" t="s">
        <v>2728</v>
      </c>
      <c r="E2025" s="47" t="str">
        <f>+Cuenta_Clasificacion[[#This Row],[Código Cuenta Contable]]&amp;" - "&amp;Cuenta_Clasificacion[[#This Row],[Nombre de Cuenta Contable]]</f>
        <v>4105025 - Provision Costos Termino de Obra</v>
      </c>
      <c r="F2025" s="47" t="str">
        <f>+Cuenta_Clasificacion[[#This Row],[Codigo Concepto de imputación]]&amp;" - "&amp;Cuenta_Clasificacion[[#This Row],[Nombre Concepto de imputación]]</f>
        <v>10021 - Cierros</v>
      </c>
    </row>
    <row r="2026" spans="1:6" x14ac:dyDescent="0.25">
      <c r="A2026" s="43">
        <v>4105025</v>
      </c>
      <c r="B2026" t="s">
        <v>3094</v>
      </c>
      <c r="C2026" s="43">
        <v>10022</v>
      </c>
      <c r="D2026" t="s">
        <v>2729</v>
      </c>
      <c r="E2026" s="47" t="str">
        <f>+Cuenta_Clasificacion[[#This Row],[Código Cuenta Contable]]&amp;" - "&amp;Cuenta_Clasificacion[[#This Row],[Nombre de Cuenta Contable]]</f>
        <v>4105025 - Provision Costos Termino de Obra</v>
      </c>
      <c r="F2026" s="47" t="str">
        <f>+Cuenta_Clasificacion[[#This Row],[Codigo Concepto de imputación]]&amp;" - "&amp;Cuenta_Clasificacion[[#This Row],[Nombre Concepto de imputación]]</f>
        <v>10022 - Combustibles</v>
      </c>
    </row>
    <row r="2027" spans="1:6" x14ac:dyDescent="0.25">
      <c r="A2027" s="43">
        <v>4105025</v>
      </c>
      <c r="B2027" t="s">
        <v>3094</v>
      </c>
      <c r="C2027" s="43">
        <v>10023</v>
      </c>
      <c r="D2027" t="s">
        <v>2730</v>
      </c>
      <c r="E2027" s="47" t="str">
        <f>+Cuenta_Clasificacion[[#This Row],[Código Cuenta Contable]]&amp;" - "&amp;Cuenta_Clasificacion[[#This Row],[Nombre de Cuenta Contable]]</f>
        <v>4105025 - Provision Costos Termino de Obra</v>
      </c>
      <c r="F2027" s="47" t="str">
        <f>+Cuenta_Clasificacion[[#This Row],[Codigo Concepto de imputación]]&amp;" - "&amp;Cuenta_Clasificacion[[#This Row],[Nombre Concepto de imputación]]</f>
        <v>10023 - Cubrejuntas y Dilataciones</v>
      </c>
    </row>
    <row r="2028" spans="1:6" x14ac:dyDescent="0.25">
      <c r="A2028" s="43">
        <v>4105025</v>
      </c>
      <c r="B2028" t="s">
        <v>3094</v>
      </c>
      <c r="C2028" s="43">
        <v>10024</v>
      </c>
      <c r="D2028" t="s">
        <v>2731</v>
      </c>
      <c r="E2028" s="47" t="str">
        <f>+Cuenta_Clasificacion[[#This Row],[Código Cuenta Contable]]&amp;" - "&amp;Cuenta_Clasificacion[[#This Row],[Nombre de Cuenta Contable]]</f>
        <v>4105025 - Provision Costos Termino de Obra</v>
      </c>
      <c r="F2028" s="47" t="str">
        <f>+Cuenta_Clasificacion[[#This Row],[Codigo Concepto de imputación]]&amp;" - "&amp;Cuenta_Clasificacion[[#This Row],[Nombre Concepto de imputación]]</f>
        <v>10024 - Dren</v>
      </c>
    </row>
    <row r="2029" spans="1:6" x14ac:dyDescent="0.25">
      <c r="A2029" s="43">
        <v>4105025</v>
      </c>
      <c r="B2029" t="s">
        <v>3094</v>
      </c>
      <c r="C2029" s="43">
        <v>10025</v>
      </c>
      <c r="D2029" t="s">
        <v>2732</v>
      </c>
      <c r="E2029" s="47" t="str">
        <f>+Cuenta_Clasificacion[[#This Row],[Código Cuenta Contable]]&amp;" - "&amp;Cuenta_Clasificacion[[#This Row],[Nombre de Cuenta Contable]]</f>
        <v>4105025 - Provision Costos Termino de Obra</v>
      </c>
      <c r="F2029" s="47" t="str">
        <f>+Cuenta_Clasificacion[[#This Row],[Codigo Concepto de imputación]]&amp;" - "&amp;Cuenta_Clasificacion[[#This Row],[Nombre Concepto de imputación]]</f>
        <v>10025 - Elementos Seguridad</v>
      </c>
    </row>
    <row r="2030" spans="1:6" x14ac:dyDescent="0.25">
      <c r="A2030" s="43">
        <v>4105025</v>
      </c>
      <c r="B2030" t="s">
        <v>3094</v>
      </c>
      <c r="C2030" s="43">
        <v>10026</v>
      </c>
      <c r="D2030" t="s">
        <v>2733</v>
      </c>
      <c r="E2030" s="47" t="str">
        <f>+Cuenta_Clasificacion[[#This Row],[Código Cuenta Contable]]&amp;" - "&amp;Cuenta_Clasificacion[[#This Row],[Nombre de Cuenta Contable]]</f>
        <v>4105025 - Provision Costos Termino de Obra</v>
      </c>
      <c r="F2030" s="47" t="str">
        <f>+Cuenta_Clasificacion[[#This Row],[Codigo Concepto de imputación]]&amp;" - "&amp;Cuenta_Clasificacion[[#This Row],[Nombre Concepto de imputación]]</f>
        <v>10026 - Ensayos</v>
      </c>
    </row>
    <row r="2031" spans="1:6" x14ac:dyDescent="0.25">
      <c r="A2031" s="43">
        <v>4105025</v>
      </c>
      <c r="B2031" t="s">
        <v>3094</v>
      </c>
      <c r="C2031" s="43">
        <v>10027</v>
      </c>
      <c r="D2031" t="s">
        <v>2734</v>
      </c>
      <c r="E2031" s="47" t="str">
        <f>+Cuenta_Clasificacion[[#This Row],[Código Cuenta Contable]]&amp;" - "&amp;Cuenta_Clasificacion[[#This Row],[Nombre de Cuenta Contable]]</f>
        <v>4105025 - Provision Costos Termino de Obra</v>
      </c>
      <c r="F2031" s="47" t="str">
        <f>+Cuenta_Clasificacion[[#This Row],[Codigo Concepto de imputación]]&amp;" - "&amp;Cuenta_Clasificacion[[#This Row],[Nombre Concepto de imputación]]</f>
        <v>10027 - Eq Comp/Eléct Oficina</v>
      </c>
    </row>
    <row r="2032" spans="1:6" x14ac:dyDescent="0.25">
      <c r="A2032" s="43">
        <v>4105025</v>
      </c>
      <c r="B2032" t="s">
        <v>3094</v>
      </c>
      <c r="C2032" s="43">
        <v>10028</v>
      </c>
      <c r="D2032" t="s">
        <v>2696</v>
      </c>
      <c r="E2032" s="47" t="str">
        <f>+Cuenta_Clasificacion[[#This Row],[Código Cuenta Contable]]&amp;" - "&amp;Cuenta_Clasificacion[[#This Row],[Nombre de Cuenta Contable]]</f>
        <v>4105025 - Provision Costos Termino de Obra</v>
      </c>
      <c r="F2032" s="47" t="str">
        <f>+Cuenta_Clasificacion[[#This Row],[Codigo Concepto de imputación]]&amp;" - "&amp;Cuenta_Clasificacion[[#This Row],[Nombre Concepto de imputación]]</f>
        <v>10028 - Equipamiento</v>
      </c>
    </row>
    <row r="2033" spans="1:6" x14ac:dyDescent="0.25">
      <c r="A2033" s="43">
        <v>4105025</v>
      </c>
      <c r="B2033" t="s">
        <v>3094</v>
      </c>
      <c r="C2033" s="43">
        <v>10029</v>
      </c>
      <c r="D2033" t="s">
        <v>2735</v>
      </c>
      <c r="E2033" s="47" t="str">
        <f>+Cuenta_Clasificacion[[#This Row],[Código Cuenta Contable]]&amp;" - "&amp;Cuenta_Clasificacion[[#This Row],[Nombre de Cuenta Contable]]</f>
        <v>4105025 - Provision Costos Termino de Obra</v>
      </c>
      <c r="F2033" s="47" t="str">
        <f>+Cuenta_Clasificacion[[#This Row],[Codigo Concepto de imputación]]&amp;" - "&amp;Cuenta_Clasificacion[[#This Row],[Nombre Concepto de imputación]]</f>
        <v>10029 - Estructura Volcometal</v>
      </c>
    </row>
    <row r="2034" spans="1:6" x14ac:dyDescent="0.25">
      <c r="A2034" s="43">
        <v>4105025</v>
      </c>
      <c r="B2034" t="s">
        <v>3094</v>
      </c>
      <c r="C2034" s="43">
        <v>10030</v>
      </c>
      <c r="D2034" t="s">
        <v>2736</v>
      </c>
      <c r="E2034" s="47" t="str">
        <f>+Cuenta_Clasificacion[[#This Row],[Código Cuenta Contable]]&amp;" - "&amp;Cuenta_Clasificacion[[#This Row],[Nombre de Cuenta Contable]]</f>
        <v>4105025 - Provision Costos Termino de Obra</v>
      </c>
      <c r="F2034" s="47" t="str">
        <f>+Cuenta_Clasificacion[[#This Row],[Codigo Concepto de imputación]]&amp;" - "&amp;Cuenta_Clasificacion[[#This Row],[Nombre Concepto de imputación]]</f>
        <v>10030 - Eventos y Recreac. Obra</v>
      </c>
    </row>
    <row r="2035" spans="1:6" x14ac:dyDescent="0.25">
      <c r="A2035" s="43">
        <v>4105025</v>
      </c>
      <c r="B2035" t="s">
        <v>3094</v>
      </c>
      <c r="C2035" s="43">
        <v>10031</v>
      </c>
      <c r="D2035" t="s">
        <v>2737</v>
      </c>
      <c r="E2035" s="47" t="str">
        <f>+Cuenta_Clasificacion[[#This Row],[Código Cuenta Contable]]&amp;" - "&amp;Cuenta_Clasificacion[[#This Row],[Nombre de Cuenta Contable]]</f>
        <v>4105025 - Provision Costos Termino de Obra</v>
      </c>
      <c r="F2035" s="47" t="str">
        <f>+Cuenta_Clasificacion[[#This Row],[Codigo Concepto de imputación]]&amp;" - "&amp;Cuenta_Clasificacion[[#This Row],[Nombre Concepto de imputación]]</f>
        <v>10031 - Extracción Basura y Escombros</v>
      </c>
    </row>
    <row r="2036" spans="1:6" x14ac:dyDescent="0.25">
      <c r="A2036" s="43">
        <v>4105025</v>
      </c>
      <c r="B2036" t="s">
        <v>3094</v>
      </c>
      <c r="C2036" s="43">
        <v>10032</v>
      </c>
      <c r="D2036" t="s">
        <v>2738</v>
      </c>
      <c r="E2036" s="47" t="str">
        <f>+Cuenta_Clasificacion[[#This Row],[Código Cuenta Contable]]&amp;" - "&amp;Cuenta_Clasificacion[[#This Row],[Nombre de Cuenta Contable]]</f>
        <v>4105025 - Provision Costos Termino de Obra</v>
      </c>
      <c r="F2036" s="47" t="str">
        <f>+Cuenta_Clasificacion[[#This Row],[Codigo Concepto de imputación]]&amp;" - "&amp;Cuenta_Clasificacion[[#This Row],[Nombre Concepto de imputación]]</f>
        <v>10032 - Fieltros y Barreras</v>
      </c>
    </row>
    <row r="2037" spans="1:6" x14ac:dyDescent="0.25">
      <c r="A2037" s="43">
        <v>4105025</v>
      </c>
      <c r="B2037" t="s">
        <v>3094</v>
      </c>
      <c r="C2037" s="43">
        <v>10033</v>
      </c>
      <c r="D2037" t="s">
        <v>2739</v>
      </c>
      <c r="E2037" s="47" t="str">
        <f>+Cuenta_Clasificacion[[#This Row],[Código Cuenta Contable]]&amp;" - "&amp;Cuenta_Clasificacion[[#This Row],[Nombre de Cuenta Contable]]</f>
        <v>4105025 - Provision Costos Termino de Obra</v>
      </c>
      <c r="F2037" s="47" t="str">
        <f>+Cuenta_Clasificacion[[#This Row],[Codigo Concepto de imputación]]&amp;" - "&amp;Cuenta_Clasificacion[[#This Row],[Nombre Concepto de imputación]]</f>
        <v>10033 - Fierro</v>
      </c>
    </row>
    <row r="2038" spans="1:6" x14ac:dyDescent="0.25">
      <c r="A2038" s="43">
        <v>4105025</v>
      </c>
      <c r="B2038" t="s">
        <v>3094</v>
      </c>
      <c r="C2038" s="43">
        <v>10034</v>
      </c>
      <c r="D2038" t="s">
        <v>2740</v>
      </c>
      <c r="E2038" s="47" t="str">
        <f>+Cuenta_Clasificacion[[#This Row],[Código Cuenta Contable]]&amp;" - "&amp;Cuenta_Clasificacion[[#This Row],[Nombre de Cuenta Contable]]</f>
        <v>4105025 - Provision Costos Termino de Obra</v>
      </c>
      <c r="F2038" s="47" t="str">
        <f>+Cuenta_Clasificacion[[#This Row],[Codigo Concepto de imputación]]&amp;" - "&amp;Cuenta_Clasificacion[[#This Row],[Nombre Concepto de imputación]]</f>
        <v>10034 - Fierro Redondo Liso</v>
      </c>
    </row>
    <row r="2039" spans="1:6" x14ac:dyDescent="0.25">
      <c r="A2039" s="43">
        <v>4105025</v>
      </c>
      <c r="B2039" t="s">
        <v>3094</v>
      </c>
      <c r="C2039" s="43">
        <v>10035</v>
      </c>
      <c r="D2039" t="s">
        <v>2741</v>
      </c>
      <c r="E2039" s="47" t="str">
        <f>+Cuenta_Clasificacion[[#This Row],[Código Cuenta Contable]]&amp;" - "&amp;Cuenta_Clasificacion[[#This Row],[Nombre de Cuenta Contable]]</f>
        <v>4105025 - Provision Costos Termino de Obra</v>
      </c>
      <c r="F2039" s="47" t="str">
        <f>+Cuenta_Clasificacion[[#This Row],[Codigo Concepto de imputación]]&amp;" - "&amp;Cuenta_Clasificacion[[#This Row],[Nombre Concepto de imputación]]</f>
        <v>10035 - Fijaciones</v>
      </c>
    </row>
    <row r="2040" spans="1:6" x14ac:dyDescent="0.25">
      <c r="A2040" s="43">
        <v>4105025</v>
      </c>
      <c r="B2040" t="s">
        <v>3094</v>
      </c>
      <c r="C2040" s="43">
        <v>10036</v>
      </c>
      <c r="D2040" t="s">
        <v>2742</v>
      </c>
      <c r="E2040" s="47" t="str">
        <f>+Cuenta_Clasificacion[[#This Row],[Código Cuenta Contable]]&amp;" - "&amp;Cuenta_Clasificacion[[#This Row],[Nombre de Cuenta Contable]]</f>
        <v>4105025 - Provision Costos Termino de Obra</v>
      </c>
      <c r="F2040" s="47" t="str">
        <f>+Cuenta_Clasificacion[[#This Row],[Codigo Concepto de imputación]]&amp;" - "&amp;Cuenta_Clasificacion[[#This Row],[Nombre Concepto de imputación]]</f>
        <v>10036 - Fitting</v>
      </c>
    </row>
    <row r="2041" spans="1:6" x14ac:dyDescent="0.25">
      <c r="A2041" s="43">
        <v>4105025</v>
      </c>
      <c r="B2041" t="s">
        <v>3094</v>
      </c>
      <c r="C2041" s="43">
        <v>10037</v>
      </c>
      <c r="D2041" t="s">
        <v>2743</v>
      </c>
      <c r="E2041" s="47" t="str">
        <f>+Cuenta_Clasificacion[[#This Row],[Código Cuenta Contable]]&amp;" - "&amp;Cuenta_Clasificacion[[#This Row],[Nombre de Cuenta Contable]]</f>
        <v>4105025 - Provision Costos Termino de Obra</v>
      </c>
      <c r="F2041" s="47" t="str">
        <f>+Cuenta_Clasificacion[[#This Row],[Codigo Concepto de imputación]]&amp;" - "&amp;Cuenta_Clasificacion[[#This Row],[Nombre Concepto de imputación]]</f>
        <v>10037 - Flete Perfiles</v>
      </c>
    </row>
    <row r="2042" spans="1:6" x14ac:dyDescent="0.25">
      <c r="A2042" s="43">
        <v>4105025</v>
      </c>
      <c r="B2042" t="s">
        <v>3094</v>
      </c>
      <c r="C2042" s="43">
        <v>10038</v>
      </c>
      <c r="D2042" t="s">
        <v>2697</v>
      </c>
      <c r="E2042" s="47" t="str">
        <f>+Cuenta_Clasificacion[[#This Row],[Código Cuenta Contable]]&amp;" - "&amp;Cuenta_Clasificacion[[#This Row],[Nombre de Cuenta Contable]]</f>
        <v>4105025 - Provision Costos Termino de Obra</v>
      </c>
      <c r="F2042" s="47" t="str">
        <f>+Cuenta_Clasificacion[[#This Row],[Codigo Concepto de imputación]]&amp;" - "&amp;Cuenta_Clasificacion[[#This Row],[Nombre Concepto de imputación]]</f>
        <v>10038 - Fletes (por orden de compra)</v>
      </c>
    </row>
    <row r="2043" spans="1:6" x14ac:dyDescent="0.25">
      <c r="A2043" s="43">
        <v>4105025</v>
      </c>
      <c r="B2043" t="s">
        <v>3094</v>
      </c>
      <c r="C2043" s="43">
        <v>10039</v>
      </c>
      <c r="D2043" t="s">
        <v>2744</v>
      </c>
      <c r="E2043" s="47" t="str">
        <f>+Cuenta_Clasificacion[[#This Row],[Código Cuenta Contable]]&amp;" - "&amp;Cuenta_Clasificacion[[#This Row],[Nombre de Cuenta Contable]]</f>
        <v>4105025 - Provision Costos Termino de Obra</v>
      </c>
      <c r="F2043" s="47" t="str">
        <f>+Cuenta_Clasificacion[[#This Row],[Codigo Concepto de imputación]]&amp;" - "&amp;Cuenta_Clasificacion[[#This Row],[Nombre Concepto de imputación]]</f>
        <v>10039 - Grifería</v>
      </c>
    </row>
    <row r="2044" spans="1:6" x14ac:dyDescent="0.25">
      <c r="A2044" s="43">
        <v>4105025</v>
      </c>
      <c r="B2044" t="s">
        <v>3094</v>
      </c>
      <c r="C2044" s="43">
        <v>10040</v>
      </c>
      <c r="D2044" t="s">
        <v>2745</v>
      </c>
      <c r="E2044" s="47" t="str">
        <f>+Cuenta_Clasificacion[[#This Row],[Código Cuenta Contable]]&amp;" - "&amp;Cuenta_Clasificacion[[#This Row],[Nombre de Cuenta Contable]]</f>
        <v>4105025 - Provision Costos Termino de Obra</v>
      </c>
      <c r="F2044" s="47" t="str">
        <f>+Cuenta_Clasificacion[[#This Row],[Codigo Concepto de imputación]]&amp;" - "&amp;Cuenta_Clasificacion[[#This Row],[Nombre Concepto de imputación]]</f>
        <v>10040 - Herramientas</v>
      </c>
    </row>
    <row r="2045" spans="1:6" x14ac:dyDescent="0.25">
      <c r="A2045" s="43">
        <v>4105025</v>
      </c>
      <c r="B2045" t="s">
        <v>3094</v>
      </c>
      <c r="C2045" s="43">
        <v>10041</v>
      </c>
      <c r="D2045" t="s">
        <v>2746</v>
      </c>
      <c r="E2045" s="47" t="str">
        <f>+Cuenta_Clasificacion[[#This Row],[Código Cuenta Contable]]&amp;" - "&amp;Cuenta_Clasificacion[[#This Row],[Nombre de Cuenta Contable]]</f>
        <v>4105025 - Provision Costos Termino de Obra</v>
      </c>
      <c r="F2045" s="47" t="str">
        <f>+Cuenta_Clasificacion[[#This Row],[Codigo Concepto de imputación]]&amp;" - "&amp;Cuenta_Clasificacion[[#This Row],[Nombre Concepto de imputación]]</f>
        <v>10041 - Hojalatería y Techumbres</v>
      </c>
    </row>
    <row r="2046" spans="1:6" x14ac:dyDescent="0.25">
      <c r="A2046" s="43">
        <v>4105025</v>
      </c>
      <c r="B2046" t="s">
        <v>3094</v>
      </c>
      <c r="C2046" s="43">
        <v>10042</v>
      </c>
      <c r="D2046" t="s">
        <v>2698</v>
      </c>
      <c r="E2046" s="47" t="str">
        <f>+Cuenta_Clasificacion[[#This Row],[Código Cuenta Contable]]&amp;" - "&amp;Cuenta_Clasificacion[[#This Row],[Nombre de Cuenta Contable]]</f>
        <v>4105025 - Provision Costos Termino de Obra</v>
      </c>
      <c r="F2046" s="47" t="str">
        <f>+Cuenta_Clasificacion[[#This Row],[Codigo Concepto de imputación]]&amp;" - "&amp;Cuenta_Clasificacion[[#This Row],[Nombre Concepto de imputación]]</f>
        <v>10042 - Hormigones</v>
      </c>
    </row>
    <row r="2047" spans="1:6" x14ac:dyDescent="0.25">
      <c r="A2047" s="43">
        <v>4105025</v>
      </c>
      <c r="B2047" t="s">
        <v>3094</v>
      </c>
      <c r="C2047" s="43">
        <v>10043</v>
      </c>
      <c r="D2047" t="s">
        <v>2747</v>
      </c>
      <c r="E2047" s="47" t="str">
        <f>+Cuenta_Clasificacion[[#This Row],[Código Cuenta Contable]]&amp;" - "&amp;Cuenta_Clasificacion[[#This Row],[Nombre de Cuenta Contable]]</f>
        <v>4105025 - Provision Costos Termino de Obra</v>
      </c>
      <c r="F2047" s="47" t="str">
        <f>+Cuenta_Clasificacion[[#This Row],[Codigo Concepto de imputación]]&amp;" - "&amp;Cuenta_Clasificacion[[#This Row],[Nombre Concepto de imputación]]</f>
        <v>10043 - Hta Menor</v>
      </c>
    </row>
    <row r="2048" spans="1:6" x14ac:dyDescent="0.25">
      <c r="A2048" s="43">
        <v>4105025</v>
      </c>
      <c r="B2048" t="s">
        <v>3094</v>
      </c>
      <c r="C2048" s="43">
        <v>10044</v>
      </c>
      <c r="D2048" t="s">
        <v>2748</v>
      </c>
      <c r="E2048" s="47" t="str">
        <f>+Cuenta_Clasificacion[[#This Row],[Código Cuenta Contable]]&amp;" - "&amp;Cuenta_Clasificacion[[#This Row],[Nombre de Cuenta Contable]]</f>
        <v>4105025 - Provision Costos Termino de Obra</v>
      </c>
      <c r="F2048" s="47" t="str">
        <f>+Cuenta_Clasificacion[[#This Row],[Codigo Concepto de imputación]]&amp;" - "&amp;Cuenta_Clasificacion[[#This Row],[Nombre Concepto de imputación]]</f>
        <v>10044 - Incendio y Alarmas</v>
      </c>
    </row>
    <row r="2049" spans="1:6" x14ac:dyDescent="0.25">
      <c r="A2049" s="43">
        <v>4105025</v>
      </c>
      <c r="B2049" t="s">
        <v>3094</v>
      </c>
      <c r="C2049" s="43">
        <v>10045</v>
      </c>
      <c r="D2049" t="s">
        <v>2749</v>
      </c>
      <c r="E2049" s="47" t="str">
        <f>+Cuenta_Clasificacion[[#This Row],[Código Cuenta Contable]]&amp;" - "&amp;Cuenta_Clasificacion[[#This Row],[Nombre de Cuenta Contable]]</f>
        <v>4105025 - Provision Costos Termino de Obra</v>
      </c>
      <c r="F2049" s="47" t="str">
        <f>+Cuenta_Clasificacion[[#This Row],[Codigo Concepto de imputación]]&amp;" - "&amp;Cuenta_Clasificacion[[#This Row],[Nombre Concepto de imputación]]</f>
        <v>10045 - Insumos</v>
      </c>
    </row>
    <row r="2050" spans="1:6" x14ac:dyDescent="0.25">
      <c r="A2050" s="43">
        <v>4105025</v>
      </c>
      <c r="B2050" t="s">
        <v>3094</v>
      </c>
      <c r="C2050" s="43">
        <v>10046</v>
      </c>
      <c r="D2050" t="s">
        <v>2750</v>
      </c>
      <c r="E2050" s="47" t="str">
        <f>+Cuenta_Clasificacion[[#This Row],[Código Cuenta Contable]]&amp;" - "&amp;Cuenta_Clasificacion[[#This Row],[Nombre de Cuenta Contable]]</f>
        <v>4105025 - Provision Costos Termino de Obra</v>
      </c>
      <c r="F2050" s="47" t="str">
        <f>+Cuenta_Clasificacion[[#This Row],[Codigo Concepto de imputación]]&amp;" - "&amp;Cuenta_Clasificacion[[#This Row],[Nombre Concepto de imputación]]</f>
        <v>10046 - Izaje</v>
      </c>
    </row>
    <row r="2051" spans="1:6" x14ac:dyDescent="0.25">
      <c r="A2051" s="43">
        <v>4105025</v>
      </c>
      <c r="B2051" t="s">
        <v>3094</v>
      </c>
      <c r="C2051" s="43">
        <v>10047</v>
      </c>
      <c r="D2051" t="s">
        <v>2751</v>
      </c>
      <c r="E2051" s="47" t="str">
        <f>+Cuenta_Clasificacion[[#This Row],[Código Cuenta Contable]]&amp;" - "&amp;Cuenta_Clasificacion[[#This Row],[Nombre de Cuenta Contable]]</f>
        <v>4105025 - Provision Costos Termino de Obra</v>
      </c>
      <c r="F2051" s="47" t="str">
        <f>+Cuenta_Clasificacion[[#This Row],[Codigo Concepto de imputación]]&amp;" - "&amp;Cuenta_Clasificacion[[#This Row],[Nombre Concepto de imputación]]</f>
        <v>10047 - Jardinería</v>
      </c>
    </row>
    <row r="2052" spans="1:6" x14ac:dyDescent="0.25">
      <c r="A2052" s="43">
        <v>4105025</v>
      </c>
      <c r="B2052" t="s">
        <v>3094</v>
      </c>
      <c r="C2052" s="43">
        <v>10048</v>
      </c>
      <c r="D2052" t="s">
        <v>2752</v>
      </c>
      <c r="E2052" s="47" t="str">
        <f>+Cuenta_Clasificacion[[#This Row],[Código Cuenta Contable]]&amp;" - "&amp;Cuenta_Clasificacion[[#This Row],[Nombre de Cuenta Contable]]</f>
        <v>4105025 - Provision Costos Termino de Obra</v>
      </c>
      <c r="F2052" s="47" t="str">
        <f>+Cuenta_Clasificacion[[#This Row],[Codigo Concepto de imputación]]&amp;" - "&amp;Cuenta_Clasificacion[[#This Row],[Nombre Concepto de imputación]]</f>
        <v>10048 - Ladrillos</v>
      </c>
    </row>
    <row r="2053" spans="1:6" x14ac:dyDescent="0.25">
      <c r="A2053" s="43">
        <v>4105025</v>
      </c>
      <c r="B2053" t="s">
        <v>3094</v>
      </c>
      <c r="C2053" s="43">
        <v>10049</v>
      </c>
      <c r="D2053" t="s">
        <v>2753</v>
      </c>
      <c r="E2053" s="47" t="str">
        <f>+Cuenta_Clasificacion[[#This Row],[Código Cuenta Contable]]&amp;" - "&amp;Cuenta_Clasificacion[[#This Row],[Nombre de Cuenta Contable]]</f>
        <v>4105025 - Provision Costos Termino de Obra</v>
      </c>
      <c r="F2053" s="47" t="str">
        <f>+Cuenta_Clasificacion[[#This Row],[Codigo Concepto de imputación]]&amp;" - "&amp;Cuenta_Clasificacion[[#This Row],[Nombre Concepto de imputación]]</f>
        <v>10049 - Licencias Softwares</v>
      </c>
    </row>
    <row r="2054" spans="1:6" x14ac:dyDescent="0.25">
      <c r="A2054" s="43">
        <v>4105025</v>
      </c>
      <c r="B2054" t="s">
        <v>3094</v>
      </c>
      <c r="C2054" s="43">
        <v>10050</v>
      </c>
      <c r="D2054" t="s">
        <v>2754</v>
      </c>
      <c r="E2054" s="47" t="str">
        <f>+Cuenta_Clasificacion[[#This Row],[Código Cuenta Contable]]&amp;" - "&amp;Cuenta_Clasificacion[[#This Row],[Nombre de Cuenta Contable]]</f>
        <v>4105025 - Provision Costos Termino de Obra</v>
      </c>
      <c r="F2054" s="47" t="str">
        <f>+Cuenta_Clasificacion[[#This Row],[Codigo Concepto de imputación]]&amp;" - "&amp;Cuenta_Clasificacion[[#This Row],[Nombre Concepto de imputación]]</f>
        <v>10050 - Lubricantes</v>
      </c>
    </row>
    <row r="2055" spans="1:6" x14ac:dyDescent="0.25">
      <c r="A2055" s="43">
        <v>4105025</v>
      </c>
      <c r="B2055" t="s">
        <v>3094</v>
      </c>
      <c r="C2055" s="43">
        <v>10051</v>
      </c>
      <c r="D2055" t="s">
        <v>2755</v>
      </c>
      <c r="E2055" s="47" t="str">
        <f>+Cuenta_Clasificacion[[#This Row],[Código Cuenta Contable]]&amp;" - "&amp;Cuenta_Clasificacion[[#This Row],[Nombre de Cuenta Contable]]</f>
        <v>4105025 - Provision Costos Termino de Obra</v>
      </c>
      <c r="F2055" s="47" t="str">
        <f>+Cuenta_Clasificacion[[#This Row],[Codigo Concepto de imputación]]&amp;" - "&amp;Cuenta_Clasificacion[[#This Row],[Nombre Concepto de imputación]]</f>
        <v>10051 - Luminarias</v>
      </c>
    </row>
    <row r="2056" spans="1:6" x14ac:dyDescent="0.25">
      <c r="A2056" s="43">
        <v>4105025</v>
      </c>
      <c r="B2056" t="s">
        <v>3094</v>
      </c>
      <c r="C2056" s="43">
        <v>10052</v>
      </c>
      <c r="D2056" t="s">
        <v>2756</v>
      </c>
      <c r="E2056" s="47" t="str">
        <f>+Cuenta_Clasificacion[[#This Row],[Código Cuenta Contable]]&amp;" - "&amp;Cuenta_Clasificacion[[#This Row],[Nombre de Cuenta Contable]]</f>
        <v>4105025 - Provision Costos Termino de Obra</v>
      </c>
      <c r="F2056" s="47" t="str">
        <f>+Cuenta_Clasificacion[[#This Row],[Codigo Concepto de imputación]]&amp;" - "&amp;Cuenta_Clasificacion[[#This Row],[Nombre Concepto de imputación]]</f>
        <v>10052 - Maderas</v>
      </c>
    </row>
    <row r="2057" spans="1:6" x14ac:dyDescent="0.25">
      <c r="A2057" s="43">
        <v>4105025</v>
      </c>
      <c r="B2057" t="s">
        <v>3094</v>
      </c>
      <c r="C2057" s="43">
        <v>10053</v>
      </c>
      <c r="D2057" t="s">
        <v>2757</v>
      </c>
      <c r="E2057" s="47" t="str">
        <f>+Cuenta_Clasificacion[[#This Row],[Código Cuenta Contable]]&amp;" - "&amp;Cuenta_Clasificacion[[#This Row],[Nombre de Cuenta Contable]]</f>
        <v>4105025 - Provision Costos Termino de Obra</v>
      </c>
      <c r="F2057" s="47" t="str">
        <f>+Cuenta_Clasificacion[[#This Row],[Codigo Concepto de imputación]]&amp;" - "&amp;Cuenta_Clasificacion[[#This Row],[Nombre Concepto de imputación]]</f>
        <v>10053 - Malla Acma</v>
      </c>
    </row>
    <row r="2058" spans="1:6" x14ac:dyDescent="0.25">
      <c r="A2058" s="43">
        <v>4105025</v>
      </c>
      <c r="B2058" t="s">
        <v>3094</v>
      </c>
      <c r="C2058" s="43">
        <v>10054</v>
      </c>
      <c r="D2058" t="s">
        <v>2758</v>
      </c>
      <c r="E2058" s="47" t="str">
        <f>+Cuenta_Clasificacion[[#This Row],[Código Cuenta Contable]]&amp;" - "&amp;Cuenta_Clasificacion[[#This Row],[Nombre de Cuenta Contable]]</f>
        <v>4105025 - Provision Costos Termino de Obra</v>
      </c>
      <c r="F2058" s="47" t="str">
        <f>+Cuenta_Clasificacion[[#This Row],[Codigo Concepto de imputación]]&amp;" - "&amp;Cuenta_Clasificacion[[#This Row],[Nombre Concepto de imputación]]</f>
        <v>10054 - Malla Raschel</v>
      </c>
    </row>
    <row r="2059" spans="1:6" x14ac:dyDescent="0.25">
      <c r="A2059" s="43">
        <v>4105025</v>
      </c>
      <c r="B2059" t="s">
        <v>3094</v>
      </c>
      <c r="C2059" s="43">
        <v>10055</v>
      </c>
      <c r="D2059" t="s">
        <v>2759</v>
      </c>
      <c r="E2059" s="47" t="str">
        <f>+Cuenta_Clasificacion[[#This Row],[Código Cuenta Contable]]&amp;" - "&amp;Cuenta_Clasificacion[[#This Row],[Nombre de Cuenta Contable]]</f>
        <v>4105025 - Provision Costos Termino de Obra</v>
      </c>
      <c r="F2059" s="47" t="str">
        <f>+Cuenta_Clasificacion[[#This Row],[Codigo Concepto de imputación]]&amp;" - "&amp;Cuenta_Clasificacion[[#This Row],[Nombre Concepto de imputación]]</f>
        <v>10055 - Mallas Varias</v>
      </c>
    </row>
    <row r="2060" spans="1:6" x14ac:dyDescent="0.25">
      <c r="A2060" s="43">
        <v>4105025</v>
      </c>
      <c r="B2060" t="s">
        <v>3094</v>
      </c>
      <c r="C2060" s="43">
        <v>10056</v>
      </c>
      <c r="D2060" t="s">
        <v>2760</v>
      </c>
      <c r="E2060" s="47" t="str">
        <f>+Cuenta_Clasificacion[[#This Row],[Código Cuenta Contable]]&amp;" - "&amp;Cuenta_Clasificacion[[#This Row],[Nombre de Cuenta Contable]]</f>
        <v>4105025 - Provision Costos Termino de Obra</v>
      </c>
      <c r="F2060" s="47" t="str">
        <f>+Cuenta_Clasificacion[[#This Row],[Codigo Concepto de imputación]]&amp;" - "&amp;Cuenta_Clasificacion[[#This Row],[Nombre Concepto de imputación]]</f>
        <v>10056 - Mangueras</v>
      </c>
    </row>
    <row r="2061" spans="1:6" x14ac:dyDescent="0.25">
      <c r="A2061" s="43">
        <v>4105025</v>
      </c>
      <c r="B2061" t="s">
        <v>3094</v>
      </c>
      <c r="C2061" s="43">
        <v>10057</v>
      </c>
      <c r="D2061" t="s">
        <v>2761</v>
      </c>
      <c r="E2061" s="47" t="str">
        <f>+Cuenta_Clasificacion[[#This Row],[Código Cuenta Contable]]&amp;" - "&amp;Cuenta_Clasificacion[[#This Row],[Nombre de Cuenta Contable]]</f>
        <v>4105025 - Provision Costos Termino de Obra</v>
      </c>
      <c r="F2061" s="47" t="str">
        <f>+Cuenta_Clasificacion[[#This Row],[Codigo Concepto de imputación]]&amp;" - "&amp;Cuenta_Clasificacion[[#This Row],[Nombre Concepto de imputación]]</f>
        <v>10057 - Molduras</v>
      </c>
    </row>
    <row r="2062" spans="1:6" x14ac:dyDescent="0.25">
      <c r="A2062" s="43">
        <v>4105025</v>
      </c>
      <c r="B2062" t="s">
        <v>3094</v>
      </c>
      <c r="C2062" s="43">
        <v>10058</v>
      </c>
      <c r="D2062" t="s">
        <v>2762</v>
      </c>
      <c r="E2062" s="47" t="str">
        <f>+Cuenta_Clasificacion[[#This Row],[Código Cuenta Contable]]&amp;" - "&amp;Cuenta_Clasificacion[[#This Row],[Nombre de Cuenta Contable]]</f>
        <v>4105025 - Provision Costos Termino de Obra</v>
      </c>
      <c r="F2062" s="47" t="str">
        <f>+Cuenta_Clasificacion[[#This Row],[Codigo Concepto de imputación]]&amp;" - "&amp;Cuenta_Clasificacion[[#This Row],[Nombre Concepto de imputación]]</f>
        <v>10058 - Morteros e Impermeabilizantes</v>
      </c>
    </row>
    <row r="2063" spans="1:6" x14ac:dyDescent="0.25">
      <c r="A2063" s="43">
        <v>4105025</v>
      </c>
      <c r="B2063" t="s">
        <v>3094</v>
      </c>
      <c r="C2063" s="43">
        <v>10059</v>
      </c>
      <c r="D2063" t="s">
        <v>2763</v>
      </c>
      <c r="E2063" s="47" t="str">
        <f>+Cuenta_Clasificacion[[#This Row],[Código Cuenta Contable]]&amp;" - "&amp;Cuenta_Clasificacion[[#This Row],[Nombre de Cuenta Contable]]</f>
        <v>4105025 - Provision Costos Termino de Obra</v>
      </c>
      <c r="F2063" s="47" t="str">
        <f>+Cuenta_Clasificacion[[#This Row],[Codigo Concepto de imputación]]&amp;" - "&amp;Cuenta_Clasificacion[[#This Row],[Nombre Concepto de imputación]]</f>
        <v>10059 - Muebles</v>
      </c>
    </row>
    <row r="2064" spans="1:6" x14ac:dyDescent="0.25">
      <c r="A2064" s="43">
        <v>4105025</v>
      </c>
      <c r="B2064" t="s">
        <v>3094</v>
      </c>
      <c r="C2064" s="43">
        <v>10060</v>
      </c>
      <c r="D2064" t="s">
        <v>2764</v>
      </c>
      <c r="E2064" s="47" t="str">
        <f>+Cuenta_Clasificacion[[#This Row],[Código Cuenta Contable]]&amp;" - "&amp;Cuenta_Clasificacion[[#This Row],[Nombre de Cuenta Contable]]</f>
        <v>4105025 - Provision Costos Termino de Obra</v>
      </c>
      <c r="F2064" s="47" t="str">
        <f>+Cuenta_Clasificacion[[#This Row],[Codigo Concepto de imputación]]&amp;" - "&amp;Cuenta_Clasificacion[[#This Row],[Nombre Concepto de imputación]]</f>
        <v>10060 - Muebles e Inst Faena</v>
      </c>
    </row>
    <row r="2065" spans="1:6" x14ac:dyDescent="0.25">
      <c r="A2065" s="43">
        <v>4105025</v>
      </c>
      <c r="B2065" t="s">
        <v>3094</v>
      </c>
      <c r="C2065" s="43">
        <v>10061</v>
      </c>
      <c r="D2065" t="s">
        <v>2765</v>
      </c>
      <c r="E2065" s="47" t="str">
        <f>+Cuenta_Clasificacion[[#This Row],[Código Cuenta Contable]]&amp;" - "&amp;Cuenta_Clasificacion[[#This Row],[Nombre de Cuenta Contable]]</f>
        <v>4105025 - Provision Costos Termino de Obra</v>
      </c>
      <c r="F2065" s="47" t="str">
        <f>+Cuenta_Clasificacion[[#This Row],[Codigo Concepto de imputación]]&amp;" - "&amp;Cuenta_Clasificacion[[#This Row],[Nombre Concepto de imputación]]</f>
        <v>10061 - Papel Mural</v>
      </c>
    </row>
    <row r="2066" spans="1:6" x14ac:dyDescent="0.25">
      <c r="A2066" s="43">
        <v>4105025</v>
      </c>
      <c r="B2066" t="s">
        <v>3094</v>
      </c>
      <c r="C2066" s="43">
        <v>10062</v>
      </c>
      <c r="D2066" t="s">
        <v>2766</v>
      </c>
      <c r="E2066" s="47" t="str">
        <f>+Cuenta_Clasificacion[[#This Row],[Código Cuenta Contable]]&amp;" - "&amp;Cuenta_Clasificacion[[#This Row],[Nombre de Cuenta Contable]]</f>
        <v>4105025 - Provision Costos Termino de Obra</v>
      </c>
      <c r="F2066" s="47" t="str">
        <f>+Cuenta_Clasificacion[[#This Row],[Codigo Concepto de imputación]]&amp;" - "&amp;Cuenta_Clasificacion[[#This Row],[Nombre Concepto de imputación]]</f>
        <v>10062 - Pavimentos</v>
      </c>
    </row>
    <row r="2067" spans="1:6" x14ac:dyDescent="0.25">
      <c r="A2067" s="43">
        <v>4105025</v>
      </c>
      <c r="B2067" t="s">
        <v>3094</v>
      </c>
      <c r="C2067" s="43">
        <v>10063</v>
      </c>
      <c r="D2067" t="s">
        <v>2767</v>
      </c>
      <c r="E2067" s="47" t="str">
        <f>+Cuenta_Clasificacion[[#This Row],[Código Cuenta Contable]]&amp;" - "&amp;Cuenta_Clasificacion[[#This Row],[Nombre de Cuenta Contable]]</f>
        <v>4105025 - Provision Costos Termino de Obra</v>
      </c>
      <c r="F2067" s="47" t="str">
        <f>+Cuenta_Clasificacion[[#This Row],[Codigo Concepto de imputación]]&amp;" - "&amp;Cuenta_Clasificacion[[#This Row],[Nombre Concepto de imputación]]</f>
        <v>10063 - Pendones</v>
      </c>
    </row>
    <row r="2068" spans="1:6" x14ac:dyDescent="0.25">
      <c r="A2068" s="43">
        <v>4105025</v>
      </c>
      <c r="B2068" t="s">
        <v>3094</v>
      </c>
      <c r="C2068" s="43">
        <v>10064</v>
      </c>
      <c r="D2068" t="s">
        <v>2768</v>
      </c>
      <c r="E2068" s="47" t="str">
        <f>+Cuenta_Clasificacion[[#This Row],[Código Cuenta Contable]]&amp;" - "&amp;Cuenta_Clasificacion[[#This Row],[Nombre de Cuenta Contable]]</f>
        <v>4105025 - Provision Costos Termino de Obra</v>
      </c>
      <c r="F2068" s="47" t="str">
        <f>+Cuenta_Clasificacion[[#This Row],[Codigo Concepto de imputación]]&amp;" - "&amp;Cuenta_Clasificacion[[#This Row],[Nombre Concepto de imputación]]</f>
        <v>10064 - Perfiles y Tubos</v>
      </c>
    </row>
    <row r="2069" spans="1:6" x14ac:dyDescent="0.25">
      <c r="A2069" s="43">
        <v>4105025</v>
      </c>
      <c r="B2069" t="s">
        <v>3094</v>
      </c>
      <c r="C2069" s="43">
        <v>10065</v>
      </c>
      <c r="D2069" t="s">
        <v>2769</v>
      </c>
      <c r="E2069" s="47" t="str">
        <f>+Cuenta_Clasificacion[[#This Row],[Código Cuenta Contable]]&amp;" - "&amp;Cuenta_Clasificacion[[#This Row],[Nombre de Cuenta Contable]]</f>
        <v>4105025 - Provision Costos Termino de Obra</v>
      </c>
      <c r="F2069" s="47" t="str">
        <f>+Cuenta_Clasificacion[[#This Row],[Codigo Concepto de imputación]]&amp;" - "&amp;Cuenta_Clasificacion[[#This Row],[Nombre Concepto de imputación]]</f>
        <v>10065 - Persianas</v>
      </c>
    </row>
    <row r="2070" spans="1:6" x14ac:dyDescent="0.25">
      <c r="A2070" s="43">
        <v>4105025</v>
      </c>
      <c r="B2070" t="s">
        <v>3094</v>
      </c>
      <c r="C2070" s="43">
        <v>10066</v>
      </c>
      <c r="D2070" t="s">
        <v>2770</v>
      </c>
      <c r="E2070" s="47" t="str">
        <f>+Cuenta_Clasificacion[[#This Row],[Código Cuenta Contable]]&amp;" - "&amp;Cuenta_Clasificacion[[#This Row],[Nombre de Cuenta Contable]]</f>
        <v>4105025 - Provision Costos Termino de Obra</v>
      </c>
      <c r="F2070" s="47" t="str">
        <f>+Cuenta_Clasificacion[[#This Row],[Codigo Concepto de imputación]]&amp;" - "&amp;Cuenta_Clasificacion[[#This Row],[Nombre Concepto de imputación]]</f>
        <v>10066 - Pinturas</v>
      </c>
    </row>
    <row r="2071" spans="1:6" x14ac:dyDescent="0.25">
      <c r="A2071" s="43">
        <v>4105025</v>
      </c>
      <c r="B2071" t="s">
        <v>3094</v>
      </c>
      <c r="C2071" s="43">
        <v>10067</v>
      </c>
      <c r="D2071" t="s">
        <v>2771</v>
      </c>
      <c r="E2071" s="47" t="str">
        <f>+Cuenta_Clasificacion[[#This Row],[Código Cuenta Contable]]&amp;" - "&amp;Cuenta_Clasificacion[[#This Row],[Nombre de Cuenta Contable]]</f>
        <v>4105025 - Provision Costos Termino de Obra</v>
      </c>
      <c r="F2071" s="47" t="str">
        <f>+Cuenta_Clasificacion[[#This Row],[Codigo Concepto de imputación]]&amp;" - "&amp;Cuenta_Clasificacion[[#This Row],[Nombre Concepto de imputación]]</f>
        <v>10067 - Piscinas</v>
      </c>
    </row>
    <row r="2072" spans="1:6" x14ac:dyDescent="0.25">
      <c r="A2072" s="43">
        <v>4105025</v>
      </c>
      <c r="B2072" t="s">
        <v>3094</v>
      </c>
      <c r="C2072" s="43">
        <v>10068</v>
      </c>
      <c r="D2072" t="s">
        <v>2772</v>
      </c>
      <c r="E2072" s="47" t="str">
        <f>+Cuenta_Clasificacion[[#This Row],[Código Cuenta Contable]]&amp;" - "&amp;Cuenta_Clasificacion[[#This Row],[Nombre de Cuenta Contable]]</f>
        <v>4105025 - Provision Costos Termino de Obra</v>
      </c>
      <c r="F2072" s="47" t="str">
        <f>+Cuenta_Clasificacion[[#This Row],[Codigo Concepto de imputación]]&amp;" - "&amp;Cuenta_Clasificacion[[#This Row],[Nombre Concepto de imputación]]</f>
        <v>10068 - Placas Aglomeradas</v>
      </c>
    </row>
    <row r="2073" spans="1:6" x14ac:dyDescent="0.25">
      <c r="A2073" s="43">
        <v>4105025</v>
      </c>
      <c r="B2073" t="s">
        <v>3094</v>
      </c>
      <c r="C2073" s="43">
        <v>10069</v>
      </c>
      <c r="D2073" t="s">
        <v>2773</v>
      </c>
      <c r="E2073" s="47" t="str">
        <f>+Cuenta_Clasificacion[[#This Row],[Código Cuenta Contable]]&amp;" - "&amp;Cuenta_Clasificacion[[#This Row],[Nombre de Cuenta Contable]]</f>
        <v>4105025 - Provision Costos Termino de Obra</v>
      </c>
      <c r="F2073" s="47" t="str">
        <f>+Cuenta_Clasificacion[[#This Row],[Codigo Concepto de imputación]]&amp;" - "&amp;Cuenta_Clasificacion[[#This Row],[Nombre Concepto de imputación]]</f>
        <v>10069 - Planchas</v>
      </c>
    </row>
    <row r="2074" spans="1:6" x14ac:dyDescent="0.25">
      <c r="A2074" s="43">
        <v>4105025</v>
      </c>
      <c r="B2074" t="s">
        <v>3094</v>
      </c>
      <c r="C2074" s="43">
        <v>10070</v>
      </c>
      <c r="D2074" t="s">
        <v>2774</v>
      </c>
      <c r="E2074" s="47" t="str">
        <f>+Cuenta_Clasificacion[[#This Row],[Código Cuenta Contable]]&amp;" - "&amp;Cuenta_Clasificacion[[#This Row],[Nombre de Cuenta Contable]]</f>
        <v>4105025 - Provision Costos Termino de Obra</v>
      </c>
      <c r="F2074" s="47" t="str">
        <f>+Cuenta_Clasificacion[[#This Row],[Codigo Concepto de imputación]]&amp;" - "&amp;Cuenta_Clasificacion[[#This Row],[Nombre Concepto de imputación]]</f>
        <v>10070 - Prefabricados Hormigón</v>
      </c>
    </row>
    <row r="2075" spans="1:6" x14ac:dyDescent="0.25">
      <c r="A2075" s="43">
        <v>4105025</v>
      </c>
      <c r="B2075" t="s">
        <v>3094</v>
      </c>
      <c r="C2075" s="43">
        <v>10071</v>
      </c>
      <c r="D2075" t="s">
        <v>2775</v>
      </c>
      <c r="E2075" s="47" t="str">
        <f>+Cuenta_Clasificacion[[#This Row],[Código Cuenta Contable]]&amp;" - "&amp;Cuenta_Clasificacion[[#This Row],[Nombre de Cuenta Contable]]</f>
        <v>4105025 - Provision Costos Termino de Obra</v>
      </c>
      <c r="F2075" s="47" t="str">
        <f>+Cuenta_Clasificacion[[#This Row],[Codigo Concepto de imputación]]&amp;" - "&amp;Cuenta_Clasificacion[[#This Row],[Nombre Concepto de imputación]]</f>
        <v>10071 - Puertas y Ventanas</v>
      </c>
    </row>
    <row r="2076" spans="1:6" x14ac:dyDescent="0.25">
      <c r="A2076" s="43">
        <v>4105025</v>
      </c>
      <c r="B2076" t="s">
        <v>3094</v>
      </c>
      <c r="C2076" s="43">
        <v>10072</v>
      </c>
      <c r="D2076" t="s">
        <v>2776</v>
      </c>
      <c r="E2076" s="47" t="str">
        <f>+Cuenta_Clasificacion[[#This Row],[Código Cuenta Contable]]&amp;" - "&amp;Cuenta_Clasificacion[[#This Row],[Nombre de Cuenta Contable]]</f>
        <v>4105025 - Provision Costos Termino de Obra</v>
      </c>
      <c r="F2076" s="47" t="str">
        <f>+Cuenta_Clasificacion[[#This Row],[Codigo Concepto de imputación]]&amp;" - "&amp;Cuenta_Clasificacion[[#This Row],[Nombre Concepto de imputación]]</f>
        <v>10072 - Quincallería</v>
      </c>
    </row>
    <row r="2077" spans="1:6" x14ac:dyDescent="0.25">
      <c r="A2077" s="43">
        <v>4105025</v>
      </c>
      <c r="B2077" t="s">
        <v>3094</v>
      </c>
      <c r="C2077" s="43">
        <v>10073</v>
      </c>
      <c r="D2077" t="s">
        <v>2777</v>
      </c>
      <c r="E2077" s="47" t="str">
        <f>+Cuenta_Clasificacion[[#This Row],[Código Cuenta Contable]]&amp;" - "&amp;Cuenta_Clasificacion[[#This Row],[Nombre de Cuenta Contable]]</f>
        <v>4105025 - Provision Costos Termino de Obra</v>
      </c>
      <c r="F2077" s="47" t="str">
        <f>+Cuenta_Clasificacion[[#This Row],[Codigo Concepto de imputación]]&amp;" - "&amp;Cuenta_Clasificacion[[#This Row],[Nombre Concepto de imputación]]</f>
        <v>10073 - Revestimientos</v>
      </c>
    </row>
    <row r="2078" spans="1:6" x14ac:dyDescent="0.25">
      <c r="A2078" s="43">
        <v>4105025</v>
      </c>
      <c r="B2078" t="s">
        <v>3094</v>
      </c>
      <c r="C2078" s="43">
        <v>10074</v>
      </c>
      <c r="D2078" t="s">
        <v>2778</v>
      </c>
      <c r="E2078" s="47" t="str">
        <f>+Cuenta_Clasificacion[[#This Row],[Código Cuenta Contable]]&amp;" - "&amp;Cuenta_Clasificacion[[#This Row],[Nombre de Cuenta Contable]]</f>
        <v>4105025 - Provision Costos Termino de Obra</v>
      </c>
      <c r="F2078" s="47" t="str">
        <f>+Cuenta_Clasificacion[[#This Row],[Codigo Concepto de imputación]]&amp;" - "&amp;Cuenta_Clasificacion[[#This Row],[Nombre Concepto de imputación]]</f>
        <v>10074 - Rollizos y Postes Madera</v>
      </c>
    </row>
    <row r="2079" spans="1:6" x14ac:dyDescent="0.25">
      <c r="A2079" s="43">
        <v>4105025</v>
      </c>
      <c r="B2079" t="s">
        <v>3094</v>
      </c>
      <c r="C2079" s="43">
        <v>10075</v>
      </c>
      <c r="D2079" t="s">
        <v>2779</v>
      </c>
      <c r="E2079" s="47" t="str">
        <f>+Cuenta_Clasificacion[[#This Row],[Código Cuenta Contable]]&amp;" - "&amp;Cuenta_Clasificacion[[#This Row],[Nombre de Cuenta Contable]]</f>
        <v>4105025 - Provision Costos Termino de Obra</v>
      </c>
      <c r="F2079" s="47" t="str">
        <f>+Cuenta_Clasificacion[[#This Row],[Codigo Concepto de imputación]]&amp;" - "&amp;Cuenta_Clasificacion[[#This Row],[Nombre Concepto de imputación]]</f>
        <v>10075 - Señalética</v>
      </c>
    </row>
    <row r="2080" spans="1:6" x14ac:dyDescent="0.25">
      <c r="A2080" s="43">
        <v>4105025</v>
      </c>
      <c r="B2080" t="s">
        <v>3094</v>
      </c>
      <c r="C2080" s="43">
        <v>10076</v>
      </c>
      <c r="D2080" t="s">
        <v>2780</v>
      </c>
      <c r="E2080" s="47" t="str">
        <f>+Cuenta_Clasificacion[[#This Row],[Código Cuenta Contable]]&amp;" - "&amp;Cuenta_Clasificacion[[#This Row],[Nombre de Cuenta Contable]]</f>
        <v>4105025 - Provision Costos Termino de Obra</v>
      </c>
      <c r="F2080" s="47" t="str">
        <f>+Cuenta_Clasificacion[[#This Row],[Codigo Concepto de imputación]]&amp;" - "&amp;Cuenta_Clasificacion[[#This Row],[Nombre Concepto de imputación]]</f>
        <v>10076 - Soldadura</v>
      </c>
    </row>
    <row r="2081" spans="1:6" x14ac:dyDescent="0.25">
      <c r="A2081" s="43">
        <v>4105025</v>
      </c>
      <c r="B2081" t="s">
        <v>3094</v>
      </c>
      <c r="C2081" s="43">
        <v>10077</v>
      </c>
      <c r="D2081" t="s">
        <v>2781</v>
      </c>
      <c r="E2081" s="47" t="str">
        <f>+Cuenta_Clasificacion[[#This Row],[Código Cuenta Contable]]&amp;" - "&amp;Cuenta_Clasificacion[[#This Row],[Nombre de Cuenta Contable]]</f>
        <v>4105025 - Provision Costos Termino de Obra</v>
      </c>
      <c r="F2081" s="47" t="str">
        <f>+Cuenta_Clasificacion[[#This Row],[Codigo Concepto de imputación]]&amp;" - "&amp;Cuenta_Clasificacion[[#This Row],[Nombre Concepto de imputación]]</f>
        <v>10077 - Sum. e Inst. Anclajes Postens.</v>
      </c>
    </row>
    <row r="2082" spans="1:6" x14ac:dyDescent="0.25">
      <c r="A2082" s="43">
        <v>4105025</v>
      </c>
      <c r="B2082" t="s">
        <v>3094</v>
      </c>
      <c r="C2082" s="43">
        <v>10078</v>
      </c>
      <c r="D2082" t="s">
        <v>2782</v>
      </c>
      <c r="E2082" s="47" t="str">
        <f>+Cuenta_Clasificacion[[#This Row],[Código Cuenta Contable]]&amp;" - "&amp;Cuenta_Clasificacion[[#This Row],[Nombre de Cuenta Contable]]</f>
        <v>4105025 - Provision Costos Termino de Obra</v>
      </c>
      <c r="F2082" s="47" t="str">
        <f>+Cuenta_Clasificacion[[#This Row],[Codigo Concepto de imputación]]&amp;" - "&amp;Cuenta_Clasificacion[[#This Row],[Nombre Concepto de imputación]]</f>
        <v>10078 - Tabiques</v>
      </c>
    </row>
    <row r="2083" spans="1:6" x14ac:dyDescent="0.25">
      <c r="A2083" s="43">
        <v>4105025</v>
      </c>
      <c r="B2083" t="s">
        <v>3094</v>
      </c>
      <c r="C2083" s="43">
        <v>10079</v>
      </c>
      <c r="D2083" t="s">
        <v>2783</v>
      </c>
      <c r="E2083" s="47" t="str">
        <f>+Cuenta_Clasificacion[[#This Row],[Código Cuenta Contable]]&amp;" - "&amp;Cuenta_Clasificacion[[#This Row],[Nombre de Cuenta Contable]]</f>
        <v>4105025 - Provision Costos Termino de Obra</v>
      </c>
      <c r="F2083" s="47" t="str">
        <f>+Cuenta_Clasificacion[[#This Row],[Codigo Concepto de imputación]]&amp;" - "&amp;Cuenta_Clasificacion[[#This Row],[Nombre Concepto de imputación]]</f>
        <v>10079 - Yeso y Cal</v>
      </c>
    </row>
    <row r="2084" spans="1:6" x14ac:dyDescent="0.25">
      <c r="A2084" s="43">
        <v>4105025</v>
      </c>
      <c r="B2084" t="s">
        <v>3094</v>
      </c>
      <c r="C2084" s="43">
        <v>10080</v>
      </c>
      <c r="D2084" t="s">
        <v>2699</v>
      </c>
      <c r="E2084" s="47" t="str">
        <f>+Cuenta_Clasificacion[[#This Row],[Código Cuenta Contable]]&amp;" - "&amp;Cuenta_Clasificacion[[#This Row],[Nombre de Cuenta Contable]]</f>
        <v>4105025 - Provision Costos Termino de Obra</v>
      </c>
      <c r="F2084" s="47" t="str">
        <f>+Cuenta_Clasificacion[[#This Row],[Codigo Concepto de imputación]]&amp;" - "&amp;Cuenta_Clasificacion[[#This Row],[Nombre Concepto de imputación]]</f>
        <v>10080 - Ajuste de Precio</v>
      </c>
    </row>
    <row r="2085" spans="1:6" x14ac:dyDescent="0.25">
      <c r="A2085" s="43">
        <v>4105025</v>
      </c>
      <c r="B2085" t="s">
        <v>3094</v>
      </c>
      <c r="C2085" s="43">
        <v>10081</v>
      </c>
      <c r="D2085" t="s">
        <v>2784</v>
      </c>
      <c r="E2085" s="47" t="str">
        <f>+Cuenta_Clasificacion[[#This Row],[Código Cuenta Contable]]&amp;" - "&amp;Cuenta_Clasificacion[[#This Row],[Nombre de Cuenta Contable]]</f>
        <v>4105025 - Provision Costos Termino de Obra</v>
      </c>
      <c r="F2085" s="47" t="str">
        <f>+Cuenta_Clasificacion[[#This Row],[Codigo Concepto de imputación]]&amp;" - "&amp;Cuenta_Clasificacion[[#This Row],[Nombre Concepto de imputación]]</f>
        <v>10081 - Prefabricados Madera</v>
      </c>
    </row>
    <row r="2086" spans="1:6" x14ac:dyDescent="0.25">
      <c r="A2086" s="43">
        <v>4105025</v>
      </c>
      <c r="B2086" t="s">
        <v>3094</v>
      </c>
      <c r="C2086" s="43">
        <v>20001</v>
      </c>
      <c r="D2086" t="s">
        <v>2785</v>
      </c>
      <c r="E2086" s="47" t="str">
        <f>+Cuenta_Clasificacion[[#This Row],[Código Cuenta Contable]]&amp;" - "&amp;Cuenta_Clasificacion[[#This Row],[Nombre de Cuenta Contable]]</f>
        <v>4105025 - Provision Costos Termino de Obra</v>
      </c>
      <c r="F2086" s="47" t="str">
        <f>+Cuenta_Clasificacion[[#This Row],[Codigo Concepto de imputación]]&amp;" - "&amp;Cuenta_Clasificacion[[#This Row],[Nombre Concepto de imputación]]</f>
        <v>20001 - Sbctto Agua Potable Domic.</v>
      </c>
    </row>
    <row r="2087" spans="1:6" x14ac:dyDescent="0.25">
      <c r="A2087" s="43">
        <v>4105025</v>
      </c>
      <c r="B2087" t="s">
        <v>3094</v>
      </c>
      <c r="C2087" s="43">
        <v>20002</v>
      </c>
      <c r="D2087" t="s">
        <v>2786</v>
      </c>
      <c r="E2087" s="47" t="str">
        <f>+Cuenta_Clasificacion[[#This Row],[Código Cuenta Contable]]&amp;" - "&amp;Cuenta_Clasificacion[[#This Row],[Nombre de Cuenta Contable]]</f>
        <v>4105025 - Provision Costos Termino de Obra</v>
      </c>
      <c r="F2087" s="47" t="str">
        <f>+Cuenta_Clasificacion[[#This Row],[Codigo Concepto de imputación]]&amp;" - "&amp;Cuenta_Clasificacion[[#This Row],[Nombre Concepto de imputación]]</f>
        <v>20002 - Sbctto Agua Potable Provisorio</v>
      </c>
    </row>
    <row r="2088" spans="1:6" x14ac:dyDescent="0.25">
      <c r="A2088" s="43">
        <v>4105025</v>
      </c>
      <c r="B2088" t="s">
        <v>3094</v>
      </c>
      <c r="C2088" s="43">
        <v>20003</v>
      </c>
      <c r="D2088" t="s">
        <v>2787</v>
      </c>
      <c r="E2088" s="47" t="str">
        <f>+Cuenta_Clasificacion[[#This Row],[Código Cuenta Contable]]&amp;" - "&amp;Cuenta_Clasificacion[[#This Row],[Nombre de Cuenta Contable]]</f>
        <v>4105025 - Provision Costos Termino de Obra</v>
      </c>
      <c r="F2088" s="47" t="str">
        <f>+Cuenta_Clasificacion[[#This Row],[Codigo Concepto de imputación]]&amp;" - "&amp;Cuenta_Clasificacion[[#This Row],[Nombre Concepto de imputación]]</f>
        <v>20003 - Sbctto Aire Acondicionado</v>
      </c>
    </row>
    <row r="2089" spans="1:6" x14ac:dyDescent="0.25">
      <c r="A2089" s="43">
        <v>4105025</v>
      </c>
      <c r="B2089" t="s">
        <v>3094</v>
      </c>
      <c r="C2089" s="43">
        <v>20004</v>
      </c>
      <c r="D2089" t="s">
        <v>2788</v>
      </c>
      <c r="E2089" s="47" t="str">
        <f>+Cuenta_Clasificacion[[#This Row],[Código Cuenta Contable]]&amp;" - "&amp;Cuenta_Clasificacion[[#This Row],[Nombre de Cuenta Contable]]</f>
        <v>4105025 - Provision Costos Termino de Obra</v>
      </c>
      <c r="F2089" s="47" t="str">
        <f>+Cuenta_Clasificacion[[#This Row],[Codigo Concepto de imputación]]&amp;" - "&amp;Cuenta_Clasificacion[[#This Row],[Nombre Concepto de imputación]]</f>
        <v>20004 - Sbctto Alarmas Contra Incendio</v>
      </c>
    </row>
    <row r="2090" spans="1:6" x14ac:dyDescent="0.25">
      <c r="A2090" s="43">
        <v>4105025</v>
      </c>
      <c r="B2090" t="s">
        <v>3094</v>
      </c>
      <c r="C2090" s="43">
        <v>20005</v>
      </c>
      <c r="D2090" t="s">
        <v>2789</v>
      </c>
      <c r="E2090" s="47" t="str">
        <f>+Cuenta_Clasificacion[[#This Row],[Código Cuenta Contable]]&amp;" - "&amp;Cuenta_Clasificacion[[#This Row],[Nombre de Cuenta Contable]]</f>
        <v>4105025 - Provision Costos Termino de Obra</v>
      </c>
      <c r="F2090" s="47" t="str">
        <f>+Cuenta_Clasificacion[[#This Row],[Codigo Concepto de imputación]]&amp;" - "&amp;Cuenta_Clasificacion[[#This Row],[Nombre Concepto de imputación]]</f>
        <v>20005 - Sbctto Alarmas Contra Robos</v>
      </c>
    </row>
    <row r="2091" spans="1:6" x14ac:dyDescent="0.25">
      <c r="A2091" s="43">
        <v>4105025</v>
      </c>
      <c r="B2091" t="s">
        <v>3094</v>
      </c>
      <c r="C2091" s="43">
        <v>20006</v>
      </c>
      <c r="D2091" t="s">
        <v>2790</v>
      </c>
      <c r="E2091" s="47" t="str">
        <f>+Cuenta_Clasificacion[[#This Row],[Código Cuenta Contable]]&amp;" - "&amp;Cuenta_Clasificacion[[#This Row],[Nombre de Cuenta Contable]]</f>
        <v>4105025 - Provision Costos Termino de Obra</v>
      </c>
      <c r="F2091" s="47" t="str">
        <f>+Cuenta_Clasificacion[[#This Row],[Codigo Concepto de imputación]]&amp;" - "&amp;Cuenta_Clasificacion[[#This Row],[Nombre Concepto de imputación]]</f>
        <v>20006 - Sbctto Alcantarillado Domic.</v>
      </c>
    </row>
    <row r="2092" spans="1:6" x14ac:dyDescent="0.25">
      <c r="A2092" s="43">
        <v>4105025</v>
      </c>
      <c r="B2092" t="s">
        <v>3094</v>
      </c>
      <c r="C2092" s="43">
        <v>20007</v>
      </c>
      <c r="D2092" t="s">
        <v>2791</v>
      </c>
      <c r="E2092" s="47" t="str">
        <f>+Cuenta_Clasificacion[[#This Row],[Código Cuenta Contable]]&amp;" - "&amp;Cuenta_Clasificacion[[#This Row],[Nombre de Cuenta Contable]]</f>
        <v>4105025 - Provision Costos Termino de Obra</v>
      </c>
      <c r="F2092" s="47" t="str">
        <f>+Cuenta_Clasificacion[[#This Row],[Codigo Concepto de imputación]]&amp;" - "&amp;Cuenta_Clasificacion[[#This Row],[Nombre Concepto de imputación]]</f>
        <v>20007 - Sbctto Alcantarillado Publico</v>
      </c>
    </row>
    <row r="2093" spans="1:6" x14ac:dyDescent="0.25">
      <c r="A2093" s="43">
        <v>4105025</v>
      </c>
      <c r="B2093" t="s">
        <v>3094</v>
      </c>
      <c r="C2093" s="43">
        <v>20008</v>
      </c>
      <c r="D2093" t="s">
        <v>2792</v>
      </c>
      <c r="E2093" s="47" t="str">
        <f>+Cuenta_Clasificacion[[#This Row],[Código Cuenta Contable]]&amp;" - "&amp;Cuenta_Clasificacion[[#This Row],[Nombre de Cuenta Contable]]</f>
        <v>4105025 - Provision Costos Termino de Obra</v>
      </c>
      <c r="F2093" s="47" t="str">
        <f>+Cuenta_Clasificacion[[#This Row],[Codigo Concepto de imputación]]&amp;" - "&amp;Cuenta_Clasificacion[[#This Row],[Nombre Concepto de imputación]]</f>
        <v>20008 - Sbctto Alfombra</v>
      </c>
    </row>
    <row r="2094" spans="1:6" x14ac:dyDescent="0.25">
      <c r="A2094" s="43">
        <v>4105025</v>
      </c>
      <c r="B2094" t="s">
        <v>3094</v>
      </c>
      <c r="C2094" s="43">
        <v>20009</v>
      </c>
      <c r="D2094" t="s">
        <v>2793</v>
      </c>
      <c r="E2094" s="47" t="str">
        <f>+Cuenta_Clasificacion[[#This Row],[Código Cuenta Contable]]&amp;" - "&amp;Cuenta_Clasificacion[[#This Row],[Nombre de Cuenta Contable]]</f>
        <v>4105025 - Provision Costos Termino de Obra</v>
      </c>
      <c r="F2094" s="47" t="str">
        <f>+Cuenta_Clasificacion[[#This Row],[Codigo Concepto de imputación]]&amp;" - "&amp;Cuenta_Clasificacion[[#This Row],[Nombre Concepto de imputación]]</f>
        <v>20009 - Sbctto Aluminios</v>
      </c>
    </row>
    <row r="2095" spans="1:6" x14ac:dyDescent="0.25">
      <c r="A2095" s="43">
        <v>4105025</v>
      </c>
      <c r="B2095" t="s">
        <v>3094</v>
      </c>
      <c r="C2095" s="43">
        <v>20010</v>
      </c>
      <c r="D2095" t="s">
        <v>2794</v>
      </c>
      <c r="E2095" s="47" t="str">
        <f>+Cuenta_Clasificacion[[#This Row],[Código Cuenta Contable]]&amp;" - "&amp;Cuenta_Clasificacion[[#This Row],[Nombre de Cuenta Contable]]</f>
        <v>4105025 - Provision Costos Termino de Obra</v>
      </c>
      <c r="F2095" s="47" t="str">
        <f>+Cuenta_Clasificacion[[#This Row],[Codigo Concepto de imputación]]&amp;" - "&amp;Cuenta_Clasificacion[[#This Row],[Nombre Concepto de imputación]]</f>
        <v>20010 - Sbctto Ascensores</v>
      </c>
    </row>
    <row r="2096" spans="1:6" x14ac:dyDescent="0.25">
      <c r="A2096" s="43">
        <v>4105025</v>
      </c>
      <c r="B2096" t="s">
        <v>3094</v>
      </c>
      <c r="C2096" s="43">
        <v>20011</v>
      </c>
      <c r="D2096" t="s">
        <v>2795</v>
      </c>
      <c r="E2096" s="47" t="str">
        <f>+Cuenta_Clasificacion[[#This Row],[Código Cuenta Contable]]&amp;" - "&amp;Cuenta_Clasificacion[[#This Row],[Nombre de Cuenta Contable]]</f>
        <v>4105025 - Provision Costos Termino de Obra</v>
      </c>
      <c r="F2096" s="47" t="str">
        <f>+Cuenta_Clasificacion[[#This Row],[Codigo Concepto de imputación]]&amp;" - "&amp;Cuenta_Clasificacion[[#This Row],[Nombre Concepto de imputación]]</f>
        <v>20011 - Sbctto Baldosas</v>
      </c>
    </row>
    <row r="2097" spans="1:6" x14ac:dyDescent="0.25">
      <c r="A2097" s="43">
        <v>4105025</v>
      </c>
      <c r="B2097" t="s">
        <v>3094</v>
      </c>
      <c r="C2097" s="43">
        <v>20012</v>
      </c>
      <c r="D2097" t="s">
        <v>2796</v>
      </c>
      <c r="E2097" s="47" t="str">
        <f>+Cuenta_Clasificacion[[#This Row],[Código Cuenta Contable]]&amp;" - "&amp;Cuenta_Clasificacion[[#This Row],[Nombre de Cuenta Contable]]</f>
        <v>4105025 - Provision Costos Termino de Obra</v>
      </c>
      <c r="F2097" s="47" t="str">
        <f>+Cuenta_Clasificacion[[#This Row],[Codigo Concepto de imputación]]&amp;" - "&amp;Cuenta_Clasificacion[[#This Row],[Nombre Concepto de imputación]]</f>
        <v>20012 - Sbctto Carpintería en Madera</v>
      </c>
    </row>
    <row r="2098" spans="1:6" x14ac:dyDescent="0.25">
      <c r="A2098" s="43">
        <v>4105025</v>
      </c>
      <c r="B2098" t="s">
        <v>3094</v>
      </c>
      <c r="C2098" s="43">
        <v>20013</v>
      </c>
      <c r="D2098" t="s">
        <v>2797</v>
      </c>
      <c r="E2098" s="47" t="str">
        <f>+Cuenta_Clasificacion[[#This Row],[Código Cuenta Contable]]&amp;" - "&amp;Cuenta_Clasificacion[[#This Row],[Nombre de Cuenta Contable]]</f>
        <v>4105025 - Provision Costos Termino de Obra</v>
      </c>
      <c r="F2098" s="47" t="str">
        <f>+Cuenta_Clasificacion[[#This Row],[Codigo Concepto de imputación]]&amp;" - "&amp;Cuenta_Clasificacion[[#This Row],[Nombre Concepto de imputación]]</f>
        <v>20013 - Sbctto Cerámica</v>
      </c>
    </row>
    <row r="2099" spans="1:6" x14ac:dyDescent="0.25">
      <c r="A2099" s="43">
        <v>4105025</v>
      </c>
      <c r="B2099" t="s">
        <v>3094</v>
      </c>
      <c r="C2099" s="43">
        <v>20014</v>
      </c>
      <c r="D2099" t="s">
        <v>2798</v>
      </c>
      <c r="E2099" s="47" t="str">
        <f>+Cuenta_Clasificacion[[#This Row],[Código Cuenta Contable]]&amp;" - "&amp;Cuenta_Clasificacion[[#This Row],[Nombre de Cuenta Contable]]</f>
        <v>4105025 - Provision Costos Termino de Obra</v>
      </c>
      <c r="F2099" s="47" t="str">
        <f>+Cuenta_Clasificacion[[#This Row],[Codigo Concepto de imputación]]&amp;" - "&amp;Cuenta_Clasificacion[[#This Row],[Nombre Concepto de imputación]]</f>
        <v>20014 - Sbctto Cielos</v>
      </c>
    </row>
    <row r="2100" spans="1:6" x14ac:dyDescent="0.25">
      <c r="A2100" s="43">
        <v>4105025</v>
      </c>
      <c r="B2100" t="s">
        <v>3094</v>
      </c>
      <c r="C2100" s="43">
        <v>20015</v>
      </c>
      <c r="D2100" t="s">
        <v>2799</v>
      </c>
      <c r="E2100" s="47" t="str">
        <f>+Cuenta_Clasificacion[[#This Row],[Código Cuenta Contable]]&amp;" - "&amp;Cuenta_Clasificacion[[#This Row],[Nombre de Cuenta Contable]]</f>
        <v>4105025 - Provision Costos Termino de Obra</v>
      </c>
      <c r="F2100" s="47" t="str">
        <f>+Cuenta_Clasificacion[[#This Row],[Codigo Concepto de imputación]]&amp;" - "&amp;Cuenta_Clasificacion[[#This Row],[Nombre Concepto de imputación]]</f>
        <v>20015 - Sbctto Circuito Cerrado de TV</v>
      </c>
    </row>
    <row r="2101" spans="1:6" x14ac:dyDescent="0.25">
      <c r="A2101" s="43">
        <v>4105025</v>
      </c>
      <c r="B2101" t="s">
        <v>3094</v>
      </c>
      <c r="C2101" s="43">
        <v>20016</v>
      </c>
      <c r="D2101" t="s">
        <v>2800</v>
      </c>
      <c r="E2101" s="47" t="str">
        <f>+Cuenta_Clasificacion[[#This Row],[Código Cuenta Contable]]&amp;" - "&amp;Cuenta_Clasificacion[[#This Row],[Nombre de Cuenta Contable]]</f>
        <v>4105025 - Provision Costos Termino de Obra</v>
      </c>
      <c r="F2101" s="47" t="str">
        <f>+Cuenta_Clasificacion[[#This Row],[Codigo Concepto de imputación]]&amp;" - "&amp;Cuenta_Clasificacion[[#This Row],[Nombre Concepto de imputación]]</f>
        <v>20016 - Sbctto Control Centralizado</v>
      </c>
    </row>
    <row r="2102" spans="1:6" x14ac:dyDescent="0.25">
      <c r="A2102" s="43">
        <v>4105025</v>
      </c>
      <c r="B2102" t="s">
        <v>3094</v>
      </c>
      <c r="C2102" s="43">
        <v>20017</v>
      </c>
      <c r="D2102" t="s">
        <v>2801</v>
      </c>
      <c r="E2102" s="47" t="str">
        <f>+Cuenta_Clasificacion[[#This Row],[Código Cuenta Contable]]&amp;" - "&amp;Cuenta_Clasificacion[[#This Row],[Nombre de Cuenta Contable]]</f>
        <v>4105025 - Provision Costos Termino de Obra</v>
      </c>
      <c r="F2102" s="47" t="str">
        <f>+Cuenta_Clasificacion[[#This Row],[Codigo Concepto de imputación]]&amp;" - "&amp;Cuenta_Clasificacion[[#This Row],[Nombre Concepto de imputación]]</f>
        <v>20017 - Sbctto Control de Accesos</v>
      </c>
    </row>
    <row r="2103" spans="1:6" x14ac:dyDescent="0.25">
      <c r="A2103" s="43">
        <v>4105025</v>
      </c>
      <c r="B2103" t="s">
        <v>3094</v>
      </c>
      <c r="C2103" s="43">
        <v>20018</v>
      </c>
      <c r="D2103" t="s">
        <v>2802</v>
      </c>
      <c r="E2103" s="47" t="str">
        <f>+Cuenta_Clasificacion[[#This Row],[Código Cuenta Contable]]&amp;" - "&amp;Cuenta_Clasificacion[[#This Row],[Nombre de Cuenta Contable]]</f>
        <v>4105025 - Provision Costos Termino de Obra</v>
      </c>
      <c r="F2103" s="47" t="str">
        <f>+Cuenta_Clasificacion[[#This Row],[Codigo Concepto de imputación]]&amp;" - "&amp;Cuenta_Clasificacion[[#This Row],[Nombre Concepto de imputación]]</f>
        <v>20018 - Sbctto Corte de Pavimento</v>
      </c>
    </row>
    <row r="2104" spans="1:6" x14ac:dyDescent="0.25">
      <c r="A2104" s="43">
        <v>4105025</v>
      </c>
      <c r="B2104" t="s">
        <v>3094</v>
      </c>
      <c r="C2104" s="43">
        <v>20019</v>
      </c>
      <c r="D2104" t="s">
        <v>2803</v>
      </c>
      <c r="E2104" s="47" t="str">
        <f>+Cuenta_Clasificacion[[#This Row],[Código Cuenta Contable]]&amp;" - "&amp;Cuenta_Clasificacion[[#This Row],[Nombre de Cuenta Contable]]</f>
        <v>4105025 - Provision Costos Termino de Obra</v>
      </c>
      <c r="F2104" s="47" t="str">
        <f>+Cuenta_Clasificacion[[#This Row],[Codigo Concepto de imputación]]&amp;" - "&amp;Cuenta_Clasificacion[[#This Row],[Nombre Concepto de imputación]]</f>
        <v>20019 - Sbctto Demolición</v>
      </c>
    </row>
    <row r="2105" spans="1:6" x14ac:dyDescent="0.25">
      <c r="A2105" s="43">
        <v>4105025</v>
      </c>
      <c r="B2105" t="s">
        <v>3094</v>
      </c>
      <c r="C2105" s="43">
        <v>20020</v>
      </c>
      <c r="D2105" t="s">
        <v>2804</v>
      </c>
      <c r="E2105" s="47" t="str">
        <f>+Cuenta_Clasificacion[[#This Row],[Código Cuenta Contable]]&amp;" - "&amp;Cuenta_Clasificacion[[#This Row],[Nombre de Cuenta Contable]]</f>
        <v>4105025 - Provision Costos Termino de Obra</v>
      </c>
      <c r="F2105" s="47" t="str">
        <f>+Cuenta_Clasificacion[[#This Row],[Codigo Concepto de imputación]]&amp;" - "&amp;Cuenta_Clasificacion[[#This Row],[Nombre Concepto de imputación]]</f>
        <v>20020 - Sbctto Divisiones Exteriores</v>
      </c>
    </row>
    <row r="2106" spans="1:6" x14ac:dyDescent="0.25">
      <c r="A2106" s="43">
        <v>4105025</v>
      </c>
      <c r="B2106" t="s">
        <v>3094</v>
      </c>
      <c r="C2106" s="43">
        <v>20021</v>
      </c>
      <c r="D2106" t="s">
        <v>2805</v>
      </c>
      <c r="E2106" s="47" t="str">
        <f>+Cuenta_Clasificacion[[#This Row],[Código Cuenta Contable]]&amp;" - "&amp;Cuenta_Clasificacion[[#This Row],[Nombre de Cuenta Contable]]</f>
        <v>4105025 - Provision Costos Termino de Obra</v>
      </c>
      <c r="F2106" s="47" t="str">
        <f>+Cuenta_Clasificacion[[#This Row],[Codigo Concepto de imputación]]&amp;" - "&amp;Cuenta_Clasificacion[[#This Row],[Nombre Concepto de imputación]]</f>
        <v>20021 - Sbctto Divisiones Interiores</v>
      </c>
    </row>
    <row r="2107" spans="1:6" x14ac:dyDescent="0.25">
      <c r="A2107" s="43">
        <v>4105025</v>
      </c>
      <c r="B2107" t="s">
        <v>3094</v>
      </c>
      <c r="C2107" s="43">
        <v>20022</v>
      </c>
      <c r="D2107" t="s">
        <v>2806</v>
      </c>
      <c r="E2107" s="47" t="str">
        <f>+Cuenta_Clasificacion[[#This Row],[Código Cuenta Contable]]&amp;" - "&amp;Cuenta_Clasificacion[[#This Row],[Nombre de Cuenta Contable]]</f>
        <v>4105025 - Provision Costos Termino de Obra</v>
      </c>
      <c r="F2107" s="47" t="str">
        <f>+Cuenta_Clasificacion[[#This Row],[Codigo Concepto de imputación]]&amp;" - "&amp;Cuenta_Clasificacion[[#This Row],[Nombre Concepto de imputación]]</f>
        <v>20022 - Sbctto Elect. Domiciliario</v>
      </c>
    </row>
    <row r="2108" spans="1:6" x14ac:dyDescent="0.25">
      <c r="A2108" s="43">
        <v>4105025</v>
      </c>
      <c r="B2108" t="s">
        <v>3094</v>
      </c>
      <c r="C2108" s="43">
        <v>20023</v>
      </c>
      <c r="D2108" t="s">
        <v>2807</v>
      </c>
      <c r="E2108" s="47" t="str">
        <f>+Cuenta_Clasificacion[[#This Row],[Código Cuenta Contable]]&amp;" - "&amp;Cuenta_Clasificacion[[#This Row],[Nombre de Cuenta Contable]]</f>
        <v>4105025 - Provision Costos Termino de Obra</v>
      </c>
      <c r="F2108" s="47" t="str">
        <f>+Cuenta_Clasificacion[[#This Row],[Codigo Concepto de imputación]]&amp;" - "&amp;Cuenta_Clasificacion[[#This Row],[Nombre Concepto de imputación]]</f>
        <v>20023 - Sbctto Electricidad Industrial</v>
      </c>
    </row>
    <row r="2109" spans="1:6" x14ac:dyDescent="0.25">
      <c r="A2109" s="43">
        <v>4105025</v>
      </c>
      <c r="B2109" t="s">
        <v>3094</v>
      </c>
      <c r="C2109" s="43">
        <v>20024</v>
      </c>
      <c r="D2109" t="s">
        <v>2808</v>
      </c>
      <c r="E2109" s="47" t="str">
        <f>+Cuenta_Clasificacion[[#This Row],[Código Cuenta Contable]]&amp;" - "&amp;Cuenta_Clasificacion[[#This Row],[Nombre de Cuenta Contable]]</f>
        <v>4105025 - Provision Costos Termino de Obra</v>
      </c>
      <c r="F2109" s="47" t="str">
        <f>+Cuenta_Clasificacion[[#This Row],[Codigo Concepto de imputación]]&amp;" - "&amp;Cuenta_Clasificacion[[#This Row],[Nombre Concepto de imputación]]</f>
        <v>20024 - Sbctto Electricidad Provisoria</v>
      </c>
    </row>
    <row r="2110" spans="1:6" x14ac:dyDescent="0.25">
      <c r="A2110" s="43">
        <v>4105025</v>
      </c>
      <c r="B2110" t="s">
        <v>3094</v>
      </c>
      <c r="C2110" s="43">
        <v>20025</v>
      </c>
      <c r="D2110" t="s">
        <v>2809</v>
      </c>
      <c r="E2110" s="47" t="str">
        <f>+Cuenta_Clasificacion[[#This Row],[Código Cuenta Contable]]&amp;" - "&amp;Cuenta_Clasificacion[[#This Row],[Nombre de Cuenta Contable]]</f>
        <v>4105025 - Provision Costos Termino de Obra</v>
      </c>
      <c r="F2110" s="47" t="str">
        <f>+Cuenta_Clasificacion[[#This Row],[Codigo Concepto de imputación]]&amp;" - "&amp;Cuenta_Clasificacion[[#This Row],[Nombre Concepto de imputación]]</f>
        <v>20025 - Sbctto Enfierradura</v>
      </c>
    </row>
    <row r="2111" spans="1:6" x14ac:dyDescent="0.25">
      <c r="A2111" s="43">
        <v>4105025</v>
      </c>
      <c r="B2111" t="s">
        <v>3094</v>
      </c>
      <c r="C2111" s="43">
        <v>20026</v>
      </c>
      <c r="D2111" t="s">
        <v>2810</v>
      </c>
      <c r="E2111" s="47" t="str">
        <f>+Cuenta_Clasificacion[[#This Row],[Código Cuenta Contable]]&amp;" - "&amp;Cuenta_Clasificacion[[#This Row],[Nombre de Cuenta Contable]]</f>
        <v>4105025 - Provision Costos Termino de Obra</v>
      </c>
      <c r="F2111" s="47" t="str">
        <f>+Cuenta_Clasificacion[[#This Row],[Codigo Concepto de imputación]]&amp;" - "&amp;Cuenta_Clasificacion[[#This Row],[Nombre Concepto de imputación]]</f>
        <v>20026 - Sbctto Espejos</v>
      </c>
    </row>
    <row r="2112" spans="1:6" x14ac:dyDescent="0.25">
      <c r="A2112" s="43">
        <v>4105025</v>
      </c>
      <c r="B2112" t="s">
        <v>3094</v>
      </c>
      <c r="C2112" s="43">
        <v>20027</v>
      </c>
      <c r="D2112" t="s">
        <v>2811</v>
      </c>
      <c r="E2112" s="47" t="str">
        <f>+Cuenta_Clasificacion[[#This Row],[Código Cuenta Contable]]&amp;" - "&amp;Cuenta_Clasificacion[[#This Row],[Nombre de Cuenta Contable]]</f>
        <v>4105025 - Provision Costos Termino de Obra</v>
      </c>
      <c r="F2112" s="47" t="str">
        <f>+Cuenta_Clasificacion[[#This Row],[Codigo Concepto de imputación]]&amp;" - "&amp;Cuenta_Clasificacion[[#This Row],[Nombre Concepto de imputación]]</f>
        <v>20027 - Sbctto Estructuras Metálicas</v>
      </c>
    </row>
    <row r="2113" spans="1:6" x14ac:dyDescent="0.25">
      <c r="A2113" s="43">
        <v>4105025</v>
      </c>
      <c r="B2113" t="s">
        <v>3094</v>
      </c>
      <c r="C2113" s="43">
        <v>20028</v>
      </c>
      <c r="D2113" t="s">
        <v>2812</v>
      </c>
      <c r="E2113" s="47" t="str">
        <f>+Cuenta_Clasificacion[[#This Row],[Código Cuenta Contable]]&amp;" - "&amp;Cuenta_Clasificacion[[#This Row],[Nombre de Cuenta Contable]]</f>
        <v>4105025 - Provision Costos Termino de Obra</v>
      </c>
      <c r="F2113" s="47" t="str">
        <f>+Cuenta_Clasificacion[[#This Row],[Codigo Concepto de imputación]]&amp;" - "&amp;Cuenta_Clasificacion[[#This Row],[Nombre Concepto de imputación]]</f>
        <v>20028 - Sbctto Estuco</v>
      </c>
    </row>
    <row r="2114" spans="1:6" x14ac:dyDescent="0.25">
      <c r="A2114" s="43">
        <v>4105025</v>
      </c>
      <c r="B2114" t="s">
        <v>3094</v>
      </c>
      <c r="C2114" s="43">
        <v>20029</v>
      </c>
      <c r="D2114" t="s">
        <v>2813</v>
      </c>
      <c r="E2114" s="47" t="str">
        <f>+Cuenta_Clasificacion[[#This Row],[Código Cuenta Contable]]&amp;" - "&amp;Cuenta_Clasificacion[[#This Row],[Nombre de Cuenta Contable]]</f>
        <v>4105025 - Provision Costos Termino de Obra</v>
      </c>
      <c r="F2114" s="47" t="str">
        <f>+Cuenta_Clasificacion[[#This Row],[Codigo Concepto de imputación]]&amp;" - "&amp;Cuenta_Clasificacion[[#This Row],[Nombre Concepto de imputación]]</f>
        <v>20029 - Sbctto Excavaciones</v>
      </c>
    </row>
    <row r="2115" spans="1:6" x14ac:dyDescent="0.25">
      <c r="A2115" s="43">
        <v>4105025</v>
      </c>
      <c r="B2115" t="s">
        <v>3094</v>
      </c>
      <c r="C2115" s="43">
        <v>20030</v>
      </c>
      <c r="D2115" t="s">
        <v>2814</v>
      </c>
      <c r="E2115" s="47" t="str">
        <f>+Cuenta_Clasificacion[[#This Row],[Código Cuenta Contable]]&amp;" - "&amp;Cuenta_Clasificacion[[#This Row],[Nombre de Cuenta Contable]]</f>
        <v>4105025 - Provision Costos Termino de Obra</v>
      </c>
      <c r="F2115" s="47" t="str">
        <f>+Cuenta_Clasificacion[[#This Row],[Codigo Concepto de imputación]]&amp;" - "&amp;Cuenta_Clasificacion[[#This Row],[Nombre Concepto de imputación]]</f>
        <v>20030 - Sbctto Extracción de Escombros</v>
      </c>
    </row>
    <row r="2116" spans="1:6" x14ac:dyDescent="0.25">
      <c r="A2116" s="43">
        <v>4105025</v>
      </c>
      <c r="B2116" t="s">
        <v>3094</v>
      </c>
      <c r="C2116" s="43">
        <v>20031</v>
      </c>
      <c r="D2116" t="s">
        <v>2815</v>
      </c>
      <c r="E2116" s="47" t="str">
        <f>+Cuenta_Clasificacion[[#This Row],[Código Cuenta Contable]]&amp;" - "&amp;Cuenta_Clasificacion[[#This Row],[Nombre de Cuenta Contable]]</f>
        <v>4105025 - Provision Costos Termino de Obra</v>
      </c>
      <c r="F2116" s="47" t="str">
        <f>+Cuenta_Clasificacion[[#This Row],[Codigo Concepto de imputación]]&amp;" - "&amp;Cuenta_Clasificacion[[#This Row],[Nombre Concepto de imputación]]</f>
        <v>20031 - Sbctto Gas</v>
      </c>
    </row>
    <row r="2117" spans="1:6" x14ac:dyDescent="0.25">
      <c r="A2117" s="43">
        <v>4105025</v>
      </c>
      <c r="B2117" t="s">
        <v>3094</v>
      </c>
      <c r="C2117" s="43">
        <v>20032</v>
      </c>
      <c r="D2117" t="s">
        <v>2816</v>
      </c>
      <c r="E2117" s="47" t="str">
        <f>+Cuenta_Clasificacion[[#This Row],[Código Cuenta Contable]]&amp;" - "&amp;Cuenta_Clasificacion[[#This Row],[Nombre de Cuenta Contable]]</f>
        <v>4105025 - Provision Costos Termino de Obra</v>
      </c>
      <c r="F2117" s="47" t="str">
        <f>+Cuenta_Clasificacion[[#This Row],[Codigo Concepto de imputación]]&amp;" - "&amp;Cuenta_Clasificacion[[#This Row],[Nombre Concepto de imputación]]</f>
        <v>20032 - Sbctto Hojalatería</v>
      </c>
    </row>
    <row r="2118" spans="1:6" x14ac:dyDescent="0.25">
      <c r="A2118" s="43">
        <v>4105025</v>
      </c>
      <c r="B2118" t="s">
        <v>3094</v>
      </c>
      <c r="C2118" s="43">
        <v>20033</v>
      </c>
      <c r="D2118" t="s">
        <v>2817</v>
      </c>
      <c r="E2118" s="47" t="str">
        <f>+Cuenta_Clasificacion[[#This Row],[Código Cuenta Contable]]&amp;" - "&amp;Cuenta_Clasificacion[[#This Row],[Nombre de Cuenta Contable]]</f>
        <v>4105025 - Provision Costos Termino de Obra</v>
      </c>
      <c r="F2118" s="47" t="str">
        <f>+Cuenta_Clasificacion[[#This Row],[Codigo Concepto de imputación]]&amp;" - "&amp;Cuenta_Clasificacion[[#This Row],[Nombre Concepto de imputación]]</f>
        <v>20033 - Sbctto Hormigón Celular</v>
      </c>
    </row>
    <row r="2119" spans="1:6" x14ac:dyDescent="0.25">
      <c r="A2119" s="43">
        <v>4105025</v>
      </c>
      <c r="B2119" t="s">
        <v>3094</v>
      </c>
      <c r="C2119" s="43">
        <v>20034</v>
      </c>
      <c r="D2119" t="s">
        <v>2818</v>
      </c>
      <c r="E2119" s="47" t="str">
        <f>+Cuenta_Clasificacion[[#This Row],[Código Cuenta Contable]]&amp;" - "&amp;Cuenta_Clasificacion[[#This Row],[Nombre de Cuenta Contable]]</f>
        <v>4105025 - Provision Costos Termino de Obra</v>
      </c>
      <c r="F2119" s="47" t="str">
        <f>+Cuenta_Clasificacion[[#This Row],[Codigo Concepto de imputación]]&amp;" - "&amp;Cuenta_Clasificacion[[#This Row],[Nombre Concepto de imputación]]</f>
        <v>20034 - Sbctto Hormigón Premezclado</v>
      </c>
    </row>
    <row r="2120" spans="1:6" x14ac:dyDescent="0.25">
      <c r="A2120" s="43">
        <v>4105025</v>
      </c>
      <c r="B2120" t="s">
        <v>3094</v>
      </c>
      <c r="C2120" s="43">
        <v>20035</v>
      </c>
      <c r="D2120" t="s">
        <v>2819</v>
      </c>
      <c r="E2120" s="47" t="str">
        <f>+Cuenta_Clasificacion[[#This Row],[Código Cuenta Contable]]&amp;" - "&amp;Cuenta_Clasificacion[[#This Row],[Nombre de Cuenta Contable]]</f>
        <v>4105025 - Provision Costos Termino de Obra</v>
      </c>
      <c r="F2120" s="47" t="str">
        <f>+Cuenta_Clasificacion[[#This Row],[Codigo Concepto de imputación]]&amp;" - "&amp;Cuenta_Clasificacion[[#This Row],[Nombre Concepto de imputación]]</f>
        <v>20035 - Sbctto Impermeabilizaciones</v>
      </c>
    </row>
    <row r="2121" spans="1:6" x14ac:dyDescent="0.25">
      <c r="A2121" s="43">
        <v>4105025</v>
      </c>
      <c r="B2121" t="s">
        <v>3094</v>
      </c>
      <c r="C2121" s="43">
        <v>20036</v>
      </c>
      <c r="D2121" t="s">
        <v>2820</v>
      </c>
      <c r="E2121" s="47" t="str">
        <f>+Cuenta_Clasificacion[[#This Row],[Código Cuenta Contable]]&amp;" - "&amp;Cuenta_Clasificacion[[#This Row],[Nombre de Cuenta Contable]]</f>
        <v>4105025 - Provision Costos Termino de Obra</v>
      </c>
      <c r="F2121" s="47" t="str">
        <f>+Cuenta_Clasificacion[[#This Row],[Codigo Concepto de imputación]]&amp;" - "&amp;Cuenta_Clasificacion[[#This Row],[Nombre Concepto de imputación]]</f>
        <v>20036 - Sbctto Incendio Red Húmeda</v>
      </c>
    </row>
    <row r="2122" spans="1:6" x14ac:dyDescent="0.25">
      <c r="A2122" s="43">
        <v>4105025</v>
      </c>
      <c r="B2122" t="s">
        <v>3094</v>
      </c>
      <c r="C2122" s="43">
        <v>20037</v>
      </c>
      <c r="D2122" t="s">
        <v>2821</v>
      </c>
      <c r="E2122" s="47" t="str">
        <f>+Cuenta_Clasificacion[[#This Row],[Código Cuenta Contable]]&amp;" - "&amp;Cuenta_Clasificacion[[#This Row],[Nombre de Cuenta Contable]]</f>
        <v>4105025 - Provision Costos Termino de Obra</v>
      </c>
      <c r="F2122" s="47" t="str">
        <f>+Cuenta_Clasificacion[[#This Row],[Codigo Concepto de imputación]]&amp;" - "&amp;Cuenta_Clasificacion[[#This Row],[Nombre Concepto de imputación]]</f>
        <v>20037 - Sbctto Incendio Red Seca</v>
      </c>
    </row>
    <row r="2123" spans="1:6" x14ac:dyDescent="0.25">
      <c r="A2123" s="43">
        <v>4105025</v>
      </c>
      <c r="B2123" t="s">
        <v>3094</v>
      </c>
      <c r="C2123" s="43">
        <v>20038</v>
      </c>
      <c r="D2123" t="s">
        <v>2822</v>
      </c>
      <c r="E2123" s="47" t="str">
        <f>+Cuenta_Clasificacion[[#This Row],[Código Cuenta Contable]]&amp;" - "&amp;Cuenta_Clasificacion[[#This Row],[Nombre de Cuenta Contable]]</f>
        <v>4105025 - Provision Costos Termino de Obra</v>
      </c>
      <c r="F2123" s="47" t="str">
        <f>+Cuenta_Clasificacion[[#This Row],[Codigo Concepto de imputación]]&amp;" - "&amp;Cuenta_Clasificacion[[#This Row],[Nombre Concepto de imputación]]</f>
        <v>20038 - Sbctto Inst. Cornisas</v>
      </c>
    </row>
    <row r="2124" spans="1:6" x14ac:dyDescent="0.25">
      <c r="A2124" s="43">
        <v>4105025</v>
      </c>
      <c r="B2124" t="s">
        <v>3094</v>
      </c>
      <c r="C2124" s="43">
        <v>20039</v>
      </c>
      <c r="D2124" t="s">
        <v>2823</v>
      </c>
      <c r="E2124" s="47" t="str">
        <f>+Cuenta_Clasificacion[[#This Row],[Código Cuenta Contable]]&amp;" - "&amp;Cuenta_Clasificacion[[#This Row],[Nombre de Cuenta Contable]]</f>
        <v>4105025 - Provision Costos Termino de Obra</v>
      </c>
      <c r="F2124" s="47" t="str">
        <f>+Cuenta_Clasificacion[[#This Row],[Codigo Concepto de imputación]]&amp;" - "&amp;Cuenta_Clasificacion[[#This Row],[Nombre Concepto de imputación]]</f>
        <v>20039 - Sbctto Inst. Papel Mural</v>
      </c>
    </row>
    <row r="2125" spans="1:6" x14ac:dyDescent="0.25">
      <c r="A2125" s="43">
        <v>4105025</v>
      </c>
      <c r="B2125" t="s">
        <v>3094</v>
      </c>
      <c r="C2125" s="43">
        <v>20040</v>
      </c>
      <c r="D2125" t="s">
        <v>2824</v>
      </c>
      <c r="E2125" s="47" t="str">
        <f>+Cuenta_Clasificacion[[#This Row],[Código Cuenta Contable]]&amp;" - "&amp;Cuenta_Clasificacion[[#This Row],[Nombre de Cuenta Contable]]</f>
        <v>4105025 - Provision Costos Termino de Obra</v>
      </c>
      <c r="F2125" s="47" t="str">
        <f>+Cuenta_Clasificacion[[#This Row],[Codigo Concepto de imputación]]&amp;" - "&amp;Cuenta_Clasificacion[[#This Row],[Nombre Concepto de imputación]]</f>
        <v>20040 - Sbctto Inst. Piso Deck</v>
      </c>
    </row>
    <row r="2126" spans="1:6" x14ac:dyDescent="0.25">
      <c r="A2126" s="43">
        <v>4105025</v>
      </c>
      <c r="B2126" t="s">
        <v>3094</v>
      </c>
      <c r="C2126" s="43">
        <v>20041</v>
      </c>
      <c r="D2126" t="s">
        <v>2825</v>
      </c>
      <c r="E2126" s="47" t="str">
        <f>+Cuenta_Clasificacion[[#This Row],[Código Cuenta Contable]]&amp;" - "&amp;Cuenta_Clasificacion[[#This Row],[Nombre de Cuenta Contable]]</f>
        <v>4105025 - Provision Costos Termino de Obra</v>
      </c>
      <c r="F2126" s="47" t="str">
        <f>+Cuenta_Clasificacion[[#This Row],[Codigo Concepto de imputación]]&amp;" - "&amp;Cuenta_Clasificacion[[#This Row],[Nombre Concepto de imputación]]</f>
        <v>20041 - Sbctto Jardines</v>
      </c>
    </row>
    <row r="2127" spans="1:6" x14ac:dyDescent="0.25">
      <c r="A2127" s="43">
        <v>4105025</v>
      </c>
      <c r="B2127" t="s">
        <v>3094</v>
      </c>
      <c r="C2127" s="43">
        <v>20042</v>
      </c>
      <c r="D2127" t="s">
        <v>2826</v>
      </c>
      <c r="E2127" s="47" t="str">
        <f>+Cuenta_Clasificacion[[#This Row],[Código Cuenta Contable]]&amp;" - "&amp;Cuenta_Clasificacion[[#This Row],[Nombre de Cuenta Contable]]</f>
        <v>4105025 - Provision Costos Termino de Obra</v>
      </c>
      <c r="F2127" s="47" t="str">
        <f>+Cuenta_Clasificacion[[#This Row],[Codigo Concepto de imputación]]&amp;" - "&amp;Cuenta_Clasificacion[[#This Row],[Nombre Concepto de imputación]]</f>
        <v>20042 - Sbctto Junturas de Tabiques</v>
      </c>
    </row>
    <row r="2128" spans="1:6" x14ac:dyDescent="0.25">
      <c r="A2128" s="43">
        <v>4105025</v>
      </c>
      <c r="B2128" t="s">
        <v>3094</v>
      </c>
      <c r="C2128" s="43">
        <v>20043</v>
      </c>
      <c r="D2128" t="s">
        <v>2827</v>
      </c>
      <c r="E2128" s="47" t="str">
        <f>+Cuenta_Clasificacion[[#This Row],[Código Cuenta Contable]]&amp;" - "&amp;Cuenta_Clasificacion[[#This Row],[Nombre de Cuenta Contable]]</f>
        <v>4105025 - Provision Costos Termino de Obra</v>
      </c>
      <c r="F2128" s="47" t="str">
        <f>+Cuenta_Clasificacion[[#This Row],[Codigo Concepto de imputación]]&amp;" - "&amp;Cuenta_Clasificacion[[#This Row],[Nombre Concepto de imputación]]</f>
        <v>20043 - Sbctto Lab. de Hormigones</v>
      </c>
    </row>
    <row r="2129" spans="1:6" x14ac:dyDescent="0.25">
      <c r="A2129" s="43">
        <v>4105025</v>
      </c>
      <c r="B2129" t="s">
        <v>3094</v>
      </c>
      <c r="C2129" s="43">
        <v>20044</v>
      </c>
      <c r="D2129" t="s">
        <v>2828</v>
      </c>
      <c r="E2129" s="47" t="str">
        <f>+Cuenta_Clasificacion[[#This Row],[Código Cuenta Contable]]&amp;" - "&amp;Cuenta_Clasificacion[[#This Row],[Nombre de Cuenta Contable]]</f>
        <v>4105025 - Provision Costos Termino de Obra</v>
      </c>
      <c r="F2129" s="47" t="str">
        <f>+Cuenta_Clasificacion[[#This Row],[Codigo Concepto de imputación]]&amp;" - "&amp;Cuenta_Clasificacion[[#This Row],[Nombre Concepto de imputación]]</f>
        <v>20044 - Sbctto Mármol</v>
      </c>
    </row>
    <row r="2130" spans="1:6" x14ac:dyDescent="0.25">
      <c r="A2130" s="43">
        <v>4105025</v>
      </c>
      <c r="B2130" t="s">
        <v>3094</v>
      </c>
      <c r="C2130" s="43">
        <v>20045</v>
      </c>
      <c r="D2130" t="s">
        <v>2829</v>
      </c>
      <c r="E2130" s="47" t="str">
        <f>+Cuenta_Clasificacion[[#This Row],[Código Cuenta Contable]]&amp;" - "&amp;Cuenta_Clasificacion[[#This Row],[Nombre de Cuenta Contable]]</f>
        <v>4105025 - Provision Costos Termino de Obra</v>
      </c>
      <c r="F2130" s="47" t="str">
        <f>+Cuenta_Clasificacion[[#This Row],[Codigo Concepto de imputación]]&amp;" - "&amp;Cuenta_Clasificacion[[#This Row],[Nombre Concepto de imputación]]</f>
        <v>20045 - Sbctto Molduras</v>
      </c>
    </row>
    <row r="2131" spans="1:6" x14ac:dyDescent="0.25">
      <c r="A2131" s="43">
        <v>4105025</v>
      </c>
      <c r="B2131" t="s">
        <v>3094</v>
      </c>
      <c r="C2131" s="43">
        <v>20046</v>
      </c>
      <c r="D2131" t="s">
        <v>2830</v>
      </c>
      <c r="E2131" s="47" t="str">
        <f>+Cuenta_Clasificacion[[#This Row],[Código Cuenta Contable]]&amp;" - "&amp;Cuenta_Clasificacion[[#This Row],[Nombre de Cuenta Contable]]</f>
        <v>4105025 - Provision Costos Termino de Obra</v>
      </c>
      <c r="F2131" s="47" t="str">
        <f>+Cuenta_Clasificacion[[#This Row],[Codigo Concepto de imputación]]&amp;" - "&amp;Cuenta_Clasificacion[[#This Row],[Nombre Concepto de imputación]]</f>
        <v>20046 - Sbctto Montaje de Equipos</v>
      </c>
    </row>
    <row r="2132" spans="1:6" x14ac:dyDescent="0.25">
      <c r="A2132" s="43">
        <v>4105025</v>
      </c>
      <c r="B2132" t="s">
        <v>3094</v>
      </c>
      <c r="C2132" s="43">
        <v>20047</v>
      </c>
      <c r="D2132" t="s">
        <v>2831</v>
      </c>
      <c r="E2132" s="47" t="str">
        <f>+Cuenta_Clasificacion[[#This Row],[Código Cuenta Contable]]&amp;" - "&amp;Cuenta_Clasificacion[[#This Row],[Nombre de Cuenta Contable]]</f>
        <v>4105025 - Provision Costos Termino de Obra</v>
      </c>
      <c r="F2132" s="47" t="str">
        <f>+Cuenta_Clasificacion[[#This Row],[Codigo Concepto de imputación]]&amp;" - "&amp;Cuenta_Clasificacion[[#This Row],[Nombre Concepto de imputación]]</f>
        <v>20047 - Sbctto Muebles de Baño</v>
      </c>
    </row>
    <row r="2133" spans="1:6" x14ac:dyDescent="0.25">
      <c r="A2133" s="43">
        <v>4105025</v>
      </c>
      <c r="B2133" t="s">
        <v>3094</v>
      </c>
      <c r="C2133" s="43">
        <v>20048</v>
      </c>
      <c r="D2133" t="s">
        <v>2832</v>
      </c>
      <c r="E2133" s="47" t="str">
        <f>+Cuenta_Clasificacion[[#This Row],[Código Cuenta Contable]]&amp;" - "&amp;Cuenta_Clasificacion[[#This Row],[Nombre de Cuenta Contable]]</f>
        <v>4105025 - Provision Costos Termino de Obra</v>
      </c>
      <c r="F2133" s="47" t="str">
        <f>+Cuenta_Clasificacion[[#This Row],[Codigo Concepto de imputación]]&amp;" - "&amp;Cuenta_Clasificacion[[#This Row],[Nombre Concepto de imputación]]</f>
        <v>20048 - Sbctto Muebles de Closet</v>
      </c>
    </row>
    <row r="2134" spans="1:6" x14ac:dyDescent="0.25">
      <c r="A2134" s="43">
        <v>4105025</v>
      </c>
      <c r="B2134" t="s">
        <v>3094</v>
      </c>
      <c r="C2134" s="43">
        <v>20049</v>
      </c>
      <c r="D2134" t="s">
        <v>2833</v>
      </c>
      <c r="E2134" s="47" t="str">
        <f>+Cuenta_Clasificacion[[#This Row],[Código Cuenta Contable]]&amp;" - "&amp;Cuenta_Clasificacion[[#This Row],[Nombre de Cuenta Contable]]</f>
        <v>4105025 - Provision Costos Termino de Obra</v>
      </c>
      <c r="F2134" s="47" t="str">
        <f>+Cuenta_Clasificacion[[#This Row],[Codigo Concepto de imputación]]&amp;" - "&amp;Cuenta_Clasificacion[[#This Row],[Nombre Concepto de imputación]]</f>
        <v>20049 - Sbctto Muebles de Cocina</v>
      </c>
    </row>
    <row r="2135" spans="1:6" x14ac:dyDescent="0.25">
      <c r="A2135" s="43">
        <v>4105025</v>
      </c>
      <c r="B2135" t="s">
        <v>3094</v>
      </c>
      <c r="C2135" s="43">
        <v>20050</v>
      </c>
      <c r="D2135" t="s">
        <v>2834</v>
      </c>
      <c r="E2135" s="47" t="str">
        <f>+Cuenta_Clasificacion[[#This Row],[Código Cuenta Contable]]&amp;" - "&amp;Cuenta_Clasificacion[[#This Row],[Nombre de Cuenta Contable]]</f>
        <v>4105025 - Provision Costos Termino de Obra</v>
      </c>
      <c r="F2135" s="47" t="str">
        <f>+Cuenta_Clasificacion[[#This Row],[Codigo Concepto de imputación]]&amp;" - "&amp;Cuenta_Clasificacion[[#This Row],[Nombre Concepto de imputación]]</f>
        <v>20050 - Sbctto Muebles de Oficina</v>
      </c>
    </row>
    <row r="2136" spans="1:6" x14ac:dyDescent="0.25">
      <c r="A2136" s="43">
        <v>4105025</v>
      </c>
      <c r="B2136" t="s">
        <v>3094</v>
      </c>
      <c r="C2136" s="43">
        <v>20051</v>
      </c>
      <c r="D2136" t="s">
        <v>2835</v>
      </c>
      <c r="E2136" s="47" t="str">
        <f>+Cuenta_Clasificacion[[#This Row],[Código Cuenta Contable]]&amp;" - "&amp;Cuenta_Clasificacion[[#This Row],[Nombre de Cuenta Contable]]</f>
        <v>4105025 - Provision Costos Termino de Obra</v>
      </c>
      <c r="F2136" s="47" t="str">
        <f>+Cuenta_Clasificacion[[#This Row],[Codigo Concepto de imputación]]&amp;" - "&amp;Cuenta_Clasificacion[[#This Row],[Nombre Concepto de imputación]]</f>
        <v>20051 - Sbctto Otros Ensayos</v>
      </c>
    </row>
    <row r="2137" spans="1:6" x14ac:dyDescent="0.25">
      <c r="A2137" s="43">
        <v>4105025</v>
      </c>
      <c r="B2137" t="s">
        <v>3094</v>
      </c>
      <c r="C2137" s="43">
        <v>20052</v>
      </c>
      <c r="D2137" t="s">
        <v>2836</v>
      </c>
      <c r="E2137" s="47" t="str">
        <f>+Cuenta_Clasificacion[[#This Row],[Código Cuenta Contable]]&amp;" - "&amp;Cuenta_Clasificacion[[#This Row],[Nombre de Cuenta Contable]]</f>
        <v>4105025 - Provision Costos Termino de Obra</v>
      </c>
      <c r="F2137" s="47" t="str">
        <f>+Cuenta_Clasificacion[[#This Row],[Codigo Concepto de imputación]]&amp;" - "&amp;Cuenta_Clasificacion[[#This Row],[Nombre Concepto de imputación]]</f>
        <v>20052 - Sbctto Otros Muebles</v>
      </c>
    </row>
    <row r="2138" spans="1:6" x14ac:dyDescent="0.25">
      <c r="A2138" s="43">
        <v>4105025</v>
      </c>
      <c r="B2138" t="s">
        <v>3094</v>
      </c>
      <c r="C2138" s="43">
        <v>20053</v>
      </c>
      <c r="D2138" t="s">
        <v>2837</v>
      </c>
      <c r="E2138" s="47" t="str">
        <f>+Cuenta_Clasificacion[[#This Row],[Código Cuenta Contable]]&amp;" - "&amp;Cuenta_Clasificacion[[#This Row],[Nombre de Cuenta Contable]]</f>
        <v>4105025 - Provision Costos Termino de Obra</v>
      </c>
      <c r="F2138" s="47" t="str">
        <f>+Cuenta_Clasificacion[[#This Row],[Codigo Concepto de imputación]]&amp;" - "&amp;Cuenta_Clasificacion[[#This Row],[Nombre Concepto de imputación]]</f>
        <v>20053 - Sbctto Otros Pisos</v>
      </c>
    </row>
    <row r="2139" spans="1:6" x14ac:dyDescent="0.25">
      <c r="A2139" s="43">
        <v>4105025</v>
      </c>
      <c r="B2139" t="s">
        <v>3094</v>
      </c>
      <c r="C2139" s="43">
        <v>20054</v>
      </c>
      <c r="D2139" t="s">
        <v>2838</v>
      </c>
      <c r="E2139" s="47" t="str">
        <f>+Cuenta_Clasificacion[[#This Row],[Código Cuenta Contable]]&amp;" - "&amp;Cuenta_Clasificacion[[#This Row],[Nombre de Cuenta Contable]]</f>
        <v>4105025 - Provision Costos Termino de Obra</v>
      </c>
      <c r="F2139" s="47" t="str">
        <f>+Cuenta_Clasificacion[[#This Row],[Codigo Concepto de imputación]]&amp;" - "&amp;Cuenta_Clasificacion[[#This Row],[Nombre Concepto de imputación]]</f>
        <v>20054 - Sbctto Papel Mural</v>
      </c>
    </row>
    <row r="2140" spans="1:6" x14ac:dyDescent="0.25">
      <c r="A2140" s="43">
        <v>4105025</v>
      </c>
      <c r="B2140" t="s">
        <v>3094</v>
      </c>
      <c r="C2140" s="43">
        <v>20055</v>
      </c>
      <c r="D2140" t="s">
        <v>2839</v>
      </c>
      <c r="E2140" s="47" t="str">
        <f>+Cuenta_Clasificacion[[#This Row],[Código Cuenta Contable]]&amp;" - "&amp;Cuenta_Clasificacion[[#This Row],[Nombre de Cuenta Contable]]</f>
        <v>4105025 - Provision Costos Termino de Obra</v>
      </c>
      <c r="F2140" s="47" t="str">
        <f>+Cuenta_Clasificacion[[#This Row],[Codigo Concepto de imputación]]&amp;" - "&amp;Cuenta_Clasificacion[[#This Row],[Nombre Concepto de imputación]]</f>
        <v>20055 - Sbctto Pavimentos</v>
      </c>
    </row>
    <row r="2141" spans="1:6" x14ac:dyDescent="0.25">
      <c r="A2141" s="43">
        <v>4105025</v>
      </c>
      <c r="B2141" t="s">
        <v>3094</v>
      </c>
      <c r="C2141" s="43">
        <v>20056</v>
      </c>
      <c r="D2141" t="s">
        <v>2840</v>
      </c>
      <c r="E2141" s="47" t="str">
        <f>+Cuenta_Clasificacion[[#This Row],[Código Cuenta Contable]]&amp;" - "&amp;Cuenta_Clasificacion[[#This Row],[Nombre de Cuenta Contable]]</f>
        <v>4105025 - Provision Costos Termino de Obra</v>
      </c>
      <c r="F2141" s="47" t="str">
        <f>+Cuenta_Clasificacion[[#This Row],[Codigo Concepto de imputación]]&amp;" - "&amp;Cuenta_Clasificacion[[#This Row],[Nombre Concepto de imputación]]</f>
        <v>20056 - Sbctto Perforación de Hormigón</v>
      </c>
    </row>
    <row r="2142" spans="1:6" x14ac:dyDescent="0.25">
      <c r="A2142" s="43">
        <v>4105025</v>
      </c>
      <c r="B2142" t="s">
        <v>3094</v>
      </c>
      <c r="C2142" s="43">
        <v>20057</v>
      </c>
      <c r="D2142" t="s">
        <v>2841</v>
      </c>
      <c r="E2142" s="47" t="str">
        <f>+Cuenta_Clasificacion[[#This Row],[Código Cuenta Contable]]&amp;" - "&amp;Cuenta_Clasificacion[[#This Row],[Nombre de Cuenta Contable]]</f>
        <v>4105025 - Provision Costos Termino de Obra</v>
      </c>
      <c r="F2142" s="47" t="str">
        <f>+Cuenta_Clasificacion[[#This Row],[Codigo Concepto de imputación]]&amp;" - "&amp;Cuenta_Clasificacion[[#This Row],[Nombre Concepto de imputación]]</f>
        <v>20057 - Sbctto Pilas</v>
      </c>
    </row>
    <row r="2143" spans="1:6" x14ac:dyDescent="0.25">
      <c r="A2143" s="43">
        <v>4105025</v>
      </c>
      <c r="B2143" t="s">
        <v>3094</v>
      </c>
      <c r="C2143" s="43">
        <v>20058</v>
      </c>
      <c r="D2143" t="s">
        <v>2842</v>
      </c>
      <c r="E2143" s="47" t="str">
        <f>+Cuenta_Clasificacion[[#This Row],[Código Cuenta Contable]]&amp;" - "&amp;Cuenta_Clasificacion[[#This Row],[Nombre de Cuenta Contable]]</f>
        <v>4105025 - Provision Costos Termino de Obra</v>
      </c>
      <c r="F2143" s="47" t="str">
        <f>+Cuenta_Clasificacion[[#This Row],[Codigo Concepto de imputación]]&amp;" - "&amp;Cuenta_Clasificacion[[#This Row],[Nombre Concepto de imputación]]</f>
        <v>20058 - Sbctto Pinturas</v>
      </c>
    </row>
    <row r="2144" spans="1:6" x14ac:dyDescent="0.25">
      <c r="A2144" s="43">
        <v>4105025</v>
      </c>
      <c r="B2144" t="s">
        <v>3094</v>
      </c>
      <c r="C2144" s="43">
        <v>20059</v>
      </c>
      <c r="D2144" t="s">
        <v>2843</v>
      </c>
      <c r="E2144" s="47" t="str">
        <f>+Cuenta_Clasificacion[[#This Row],[Código Cuenta Contable]]&amp;" - "&amp;Cuenta_Clasificacion[[#This Row],[Nombre de Cuenta Contable]]</f>
        <v>4105025 - Provision Costos Termino de Obra</v>
      </c>
      <c r="F2144" s="47" t="str">
        <f>+Cuenta_Clasificacion[[#This Row],[Codigo Concepto de imputación]]&amp;" - "&amp;Cuenta_Clasificacion[[#This Row],[Nombre Concepto de imputación]]</f>
        <v>20059 - Sbctto Piso Flotante</v>
      </c>
    </row>
    <row r="2145" spans="1:6" x14ac:dyDescent="0.25">
      <c r="A2145" s="43">
        <v>4105025</v>
      </c>
      <c r="B2145" t="s">
        <v>3094</v>
      </c>
      <c r="C2145" s="43">
        <v>20060</v>
      </c>
      <c r="D2145" t="s">
        <v>2844</v>
      </c>
      <c r="E2145" s="47" t="str">
        <f>+Cuenta_Clasificacion[[#This Row],[Código Cuenta Contable]]&amp;" - "&amp;Cuenta_Clasificacion[[#This Row],[Nombre de Cuenta Contable]]</f>
        <v>4105025 - Provision Costos Termino de Obra</v>
      </c>
      <c r="F2145" s="47" t="str">
        <f>+Cuenta_Clasificacion[[#This Row],[Codigo Concepto de imputación]]&amp;" - "&amp;Cuenta_Clasificacion[[#This Row],[Nombre Concepto de imputación]]</f>
        <v>20060 - Sbctto Plásticos</v>
      </c>
    </row>
    <row r="2146" spans="1:6" x14ac:dyDescent="0.25">
      <c r="A2146" s="43">
        <v>4105025</v>
      </c>
      <c r="B2146" t="s">
        <v>3094</v>
      </c>
      <c r="C2146" s="43">
        <v>20061</v>
      </c>
      <c r="D2146" t="s">
        <v>2845</v>
      </c>
      <c r="E2146" s="47" t="str">
        <f>+Cuenta_Clasificacion[[#This Row],[Código Cuenta Contable]]&amp;" - "&amp;Cuenta_Clasificacion[[#This Row],[Nombre de Cuenta Contable]]</f>
        <v>4105025 - Provision Costos Termino de Obra</v>
      </c>
      <c r="F2146" s="47" t="str">
        <f>+Cuenta_Clasificacion[[#This Row],[Codigo Concepto de imputación]]&amp;" - "&amp;Cuenta_Clasificacion[[#This Row],[Nombre Concepto de imputación]]</f>
        <v>20061 - Sbctto Preparación de Muros</v>
      </c>
    </row>
    <row r="2147" spans="1:6" x14ac:dyDescent="0.25">
      <c r="A2147" s="43">
        <v>4105025</v>
      </c>
      <c r="B2147" t="s">
        <v>3094</v>
      </c>
      <c r="C2147" s="43">
        <v>20062</v>
      </c>
      <c r="D2147" t="s">
        <v>2846</v>
      </c>
      <c r="E2147" s="47" t="str">
        <f>+Cuenta_Clasificacion[[#This Row],[Código Cuenta Contable]]&amp;" - "&amp;Cuenta_Clasificacion[[#This Row],[Nombre de Cuenta Contable]]</f>
        <v>4105025 - Provision Costos Termino de Obra</v>
      </c>
      <c r="F2147" s="47" t="str">
        <f>+Cuenta_Clasificacion[[#This Row],[Codigo Concepto de imputación]]&amp;" - "&amp;Cuenta_Clasificacion[[#This Row],[Nombre Concepto de imputación]]</f>
        <v>20062 - Sbctto Presurización</v>
      </c>
    </row>
    <row r="2148" spans="1:6" x14ac:dyDescent="0.25">
      <c r="A2148" s="43">
        <v>4105025</v>
      </c>
      <c r="B2148" t="s">
        <v>3094</v>
      </c>
      <c r="C2148" s="43">
        <v>20063</v>
      </c>
      <c r="D2148" t="s">
        <v>2847</v>
      </c>
      <c r="E2148" s="47" t="str">
        <f>+Cuenta_Clasificacion[[#This Row],[Código Cuenta Contable]]&amp;" - "&amp;Cuenta_Clasificacion[[#This Row],[Nombre de Cuenta Contable]]</f>
        <v>4105025 - Provision Costos Termino de Obra</v>
      </c>
      <c r="F2148" s="47" t="str">
        <f>+Cuenta_Clasificacion[[#This Row],[Codigo Concepto de imputación]]&amp;" - "&amp;Cuenta_Clasificacion[[#This Row],[Nombre Concepto de imputación]]</f>
        <v>20063 - Sbctto Puertas</v>
      </c>
    </row>
    <row r="2149" spans="1:6" x14ac:dyDescent="0.25">
      <c r="A2149" s="43">
        <v>4105025</v>
      </c>
      <c r="B2149" t="s">
        <v>3094</v>
      </c>
      <c r="C2149" s="43">
        <v>20064</v>
      </c>
      <c r="D2149" t="s">
        <v>2848</v>
      </c>
      <c r="E2149" s="47" t="str">
        <f>+Cuenta_Clasificacion[[#This Row],[Código Cuenta Contable]]&amp;" - "&amp;Cuenta_Clasificacion[[#This Row],[Nombre de Cuenta Contable]]</f>
        <v>4105025 - Provision Costos Termino de Obra</v>
      </c>
      <c r="F2149" s="47" t="str">
        <f>+Cuenta_Clasificacion[[#This Row],[Codigo Concepto de imputación]]&amp;" - "&amp;Cuenta_Clasificacion[[#This Row],[Nombre Concepto de imputación]]</f>
        <v>20064 - Sbctto Pulido de Pisos</v>
      </c>
    </row>
    <row r="2150" spans="1:6" x14ac:dyDescent="0.25">
      <c r="A2150" s="43">
        <v>4105025</v>
      </c>
      <c r="B2150" t="s">
        <v>3094</v>
      </c>
      <c r="C2150" s="43">
        <v>20065</v>
      </c>
      <c r="D2150" t="s">
        <v>2849</v>
      </c>
      <c r="E2150" s="47" t="str">
        <f>+Cuenta_Clasificacion[[#This Row],[Código Cuenta Contable]]&amp;" - "&amp;Cuenta_Clasificacion[[#This Row],[Nombre de Cuenta Contable]]</f>
        <v>4105025 - Provision Costos Termino de Obra</v>
      </c>
      <c r="F2150" s="47" t="str">
        <f>+Cuenta_Clasificacion[[#This Row],[Codigo Concepto de imputación]]&amp;" - "&amp;Cuenta_Clasificacion[[#This Row],[Nombre Concepto de imputación]]</f>
        <v>20065 - Sbctto Quincallería</v>
      </c>
    </row>
    <row r="2151" spans="1:6" x14ac:dyDescent="0.25">
      <c r="A2151" s="43">
        <v>4105025</v>
      </c>
      <c r="B2151" t="s">
        <v>3094</v>
      </c>
      <c r="C2151" s="43">
        <v>20066</v>
      </c>
      <c r="D2151" t="s">
        <v>2850</v>
      </c>
      <c r="E2151" s="47" t="str">
        <f>+Cuenta_Clasificacion[[#This Row],[Código Cuenta Contable]]&amp;" - "&amp;Cuenta_Clasificacion[[#This Row],[Nombre de Cuenta Contable]]</f>
        <v>4105025 - Provision Costos Termino de Obra</v>
      </c>
      <c r="F2151" s="47" t="str">
        <f>+Cuenta_Clasificacion[[#This Row],[Codigo Concepto de imputación]]&amp;" - "&amp;Cuenta_Clasificacion[[#This Row],[Nombre Concepto de imputación]]</f>
        <v>20066 - Sbctto Red de Calefacción</v>
      </c>
    </row>
    <row r="2152" spans="1:6" x14ac:dyDescent="0.25">
      <c r="A2152" s="43">
        <v>4105025</v>
      </c>
      <c r="B2152" t="s">
        <v>3094</v>
      </c>
      <c r="C2152" s="43">
        <v>20067</v>
      </c>
      <c r="D2152" t="s">
        <v>2851</v>
      </c>
      <c r="E2152" s="47" t="str">
        <f>+Cuenta_Clasificacion[[#This Row],[Código Cuenta Contable]]&amp;" - "&amp;Cuenta_Clasificacion[[#This Row],[Nombre de Cuenta Contable]]</f>
        <v>4105025 - Provision Costos Termino de Obra</v>
      </c>
      <c r="F2152" s="47" t="str">
        <f>+Cuenta_Clasificacion[[#This Row],[Codigo Concepto de imputación]]&amp;" - "&amp;Cuenta_Clasificacion[[#This Row],[Nombre Concepto de imputación]]</f>
        <v>20067 - Sbctto Retiro Escombros</v>
      </c>
    </row>
    <row r="2153" spans="1:6" x14ac:dyDescent="0.25">
      <c r="A2153" s="43">
        <v>4105025</v>
      </c>
      <c r="B2153" t="s">
        <v>3094</v>
      </c>
      <c r="C2153" s="43">
        <v>20068</v>
      </c>
      <c r="D2153" t="s">
        <v>2852</v>
      </c>
      <c r="E2153" s="47" t="str">
        <f>+Cuenta_Clasificacion[[#This Row],[Código Cuenta Contable]]&amp;" - "&amp;Cuenta_Clasificacion[[#This Row],[Nombre de Cuenta Contable]]</f>
        <v>4105025 - Provision Costos Termino de Obra</v>
      </c>
      <c r="F2153" s="47" t="str">
        <f>+Cuenta_Clasificacion[[#This Row],[Codigo Concepto de imputación]]&amp;" - "&amp;Cuenta_Clasificacion[[#This Row],[Nombre Concepto de imputación]]</f>
        <v>20068 - Sbctto Señalética</v>
      </c>
    </row>
    <row r="2154" spans="1:6" x14ac:dyDescent="0.25">
      <c r="A2154" s="43">
        <v>4105025</v>
      </c>
      <c r="B2154" t="s">
        <v>3094</v>
      </c>
      <c r="C2154" s="43">
        <v>20069</v>
      </c>
      <c r="D2154" t="s">
        <v>2853</v>
      </c>
      <c r="E2154" s="47" t="str">
        <f>+Cuenta_Clasificacion[[#This Row],[Código Cuenta Contable]]&amp;" - "&amp;Cuenta_Clasificacion[[#This Row],[Nombre de Cuenta Contable]]</f>
        <v>4105025 - Provision Costos Termino de Obra</v>
      </c>
      <c r="F2154" s="47" t="str">
        <f>+Cuenta_Clasificacion[[#This Row],[Codigo Concepto de imputación]]&amp;" - "&amp;Cuenta_Clasificacion[[#This Row],[Nombre Concepto de imputación]]</f>
        <v>20069 - Sbctto Servicio de Aseo</v>
      </c>
    </row>
    <row r="2155" spans="1:6" x14ac:dyDescent="0.25">
      <c r="A2155" s="43">
        <v>4105025</v>
      </c>
      <c r="B2155" t="s">
        <v>3094</v>
      </c>
      <c r="C2155" s="43">
        <v>20070</v>
      </c>
      <c r="D2155" t="s">
        <v>2854</v>
      </c>
      <c r="E2155" s="47" t="str">
        <f>+Cuenta_Clasificacion[[#This Row],[Código Cuenta Contable]]&amp;" - "&amp;Cuenta_Clasificacion[[#This Row],[Nombre de Cuenta Contable]]</f>
        <v>4105025 - Provision Costos Termino de Obra</v>
      </c>
      <c r="F2155" s="47" t="str">
        <f>+Cuenta_Clasificacion[[#This Row],[Codigo Concepto de imputación]]&amp;" - "&amp;Cuenta_Clasificacion[[#This Row],[Nombre Concepto de imputación]]</f>
        <v>20070 - Sbctto Suelos</v>
      </c>
    </row>
    <row r="2156" spans="1:6" x14ac:dyDescent="0.25">
      <c r="A2156" s="43">
        <v>4105025</v>
      </c>
      <c r="B2156" t="s">
        <v>3094</v>
      </c>
      <c r="C2156" s="43">
        <v>20071</v>
      </c>
      <c r="D2156" t="s">
        <v>2855</v>
      </c>
      <c r="E2156" s="47" t="str">
        <f>+Cuenta_Clasificacion[[#This Row],[Código Cuenta Contable]]&amp;" - "&amp;Cuenta_Clasificacion[[#This Row],[Nombre de Cuenta Contable]]</f>
        <v>4105025 - Provision Costos Termino de Obra</v>
      </c>
      <c r="F2156" s="47" t="str">
        <f>+Cuenta_Clasificacion[[#This Row],[Codigo Concepto de imputación]]&amp;" - "&amp;Cuenta_Clasificacion[[#This Row],[Nombre Concepto de imputación]]</f>
        <v>20071 - Sbctto Tabiques</v>
      </c>
    </row>
    <row r="2157" spans="1:6" x14ac:dyDescent="0.25">
      <c r="A2157" s="43">
        <v>4105025</v>
      </c>
      <c r="B2157" t="s">
        <v>3094</v>
      </c>
      <c r="C2157" s="43">
        <v>20072</v>
      </c>
      <c r="D2157" t="s">
        <v>2856</v>
      </c>
      <c r="E2157" s="47" t="str">
        <f>+Cuenta_Clasificacion[[#This Row],[Código Cuenta Contable]]&amp;" - "&amp;Cuenta_Clasificacion[[#This Row],[Nombre de Cuenta Contable]]</f>
        <v>4105025 - Provision Costos Termino de Obra</v>
      </c>
      <c r="F2157" s="47" t="str">
        <f>+Cuenta_Clasificacion[[#This Row],[Codigo Concepto de imputación]]&amp;" - "&amp;Cuenta_Clasificacion[[#This Row],[Nombre Concepto de imputación]]</f>
        <v>20072 - Sbctto Techumbres y Cubiertas</v>
      </c>
    </row>
    <row r="2158" spans="1:6" x14ac:dyDescent="0.25">
      <c r="A2158" s="43">
        <v>4105025</v>
      </c>
      <c r="B2158" t="s">
        <v>3094</v>
      </c>
      <c r="C2158" s="43">
        <v>20073</v>
      </c>
      <c r="D2158" t="s">
        <v>2857</v>
      </c>
      <c r="E2158" s="47" t="str">
        <f>+Cuenta_Clasificacion[[#This Row],[Código Cuenta Contable]]&amp;" - "&amp;Cuenta_Clasificacion[[#This Row],[Nombre de Cuenta Contable]]</f>
        <v>4105025 - Provision Costos Termino de Obra</v>
      </c>
      <c r="F2158" s="47" t="str">
        <f>+Cuenta_Clasificacion[[#This Row],[Codigo Concepto de imputación]]&amp;" - "&amp;Cuenta_Clasificacion[[#This Row],[Nombre Concepto de imputación]]</f>
        <v>20073 - Sbctto Topografía</v>
      </c>
    </row>
    <row r="2159" spans="1:6" x14ac:dyDescent="0.25">
      <c r="A2159" s="43">
        <v>4105025</v>
      </c>
      <c r="B2159" t="s">
        <v>3094</v>
      </c>
      <c r="C2159" s="43">
        <v>20074</v>
      </c>
      <c r="D2159" t="s">
        <v>2858</v>
      </c>
      <c r="E2159" s="47" t="str">
        <f>+Cuenta_Clasificacion[[#This Row],[Código Cuenta Contable]]&amp;" - "&amp;Cuenta_Clasificacion[[#This Row],[Nombre de Cuenta Contable]]</f>
        <v>4105025 - Provision Costos Termino de Obra</v>
      </c>
      <c r="F2159" s="47" t="str">
        <f>+Cuenta_Clasificacion[[#This Row],[Codigo Concepto de imputación]]&amp;" - "&amp;Cuenta_Clasificacion[[#This Row],[Nombre Concepto de imputación]]</f>
        <v>20074 - Sbctto Trámites</v>
      </c>
    </row>
    <row r="2160" spans="1:6" x14ac:dyDescent="0.25">
      <c r="A2160" s="43">
        <v>4105025</v>
      </c>
      <c r="B2160" t="s">
        <v>3094</v>
      </c>
      <c r="C2160" s="43">
        <v>20075</v>
      </c>
      <c r="D2160" t="s">
        <v>2859</v>
      </c>
      <c r="E2160" s="47" t="str">
        <f>+Cuenta_Clasificacion[[#This Row],[Código Cuenta Contable]]&amp;" - "&amp;Cuenta_Clasificacion[[#This Row],[Nombre de Cuenta Contable]]</f>
        <v>4105025 - Provision Costos Termino de Obra</v>
      </c>
      <c r="F2160" s="47" t="str">
        <f>+Cuenta_Clasificacion[[#This Row],[Codigo Concepto de imputación]]&amp;" - "&amp;Cuenta_Clasificacion[[#This Row],[Nombre Concepto de imputación]]</f>
        <v>20075 - Sbctto Transporte</v>
      </c>
    </row>
    <row r="2161" spans="1:6" x14ac:dyDescent="0.25">
      <c r="A2161" s="43">
        <v>4105025</v>
      </c>
      <c r="B2161" t="s">
        <v>3094</v>
      </c>
      <c r="C2161" s="43">
        <v>20076</v>
      </c>
      <c r="D2161" t="s">
        <v>2860</v>
      </c>
      <c r="E2161" s="47" t="str">
        <f>+Cuenta_Clasificacion[[#This Row],[Código Cuenta Contable]]&amp;" - "&amp;Cuenta_Clasificacion[[#This Row],[Nombre de Cuenta Contable]]</f>
        <v>4105025 - Provision Costos Termino de Obra</v>
      </c>
      <c r="F2161" s="47" t="str">
        <f>+Cuenta_Clasificacion[[#This Row],[Codigo Concepto de imputación]]&amp;" - "&amp;Cuenta_Clasificacion[[#This Row],[Nombre Concepto de imputación]]</f>
        <v>20076 - Sbctto Ventanas</v>
      </c>
    </row>
    <row r="2162" spans="1:6" x14ac:dyDescent="0.25">
      <c r="A2162" s="43">
        <v>4105025</v>
      </c>
      <c r="B2162" t="s">
        <v>3094</v>
      </c>
      <c r="C2162" s="43">
        <v>20077</v>
      </c>
      <c r="D2162" t="s">
        <v>2861</v>
      </c>
      <c r="E2162" s="47" t="str">
        <f>+Cuenta_Clasificacion[[#This Row],[Código Cuenta Contable]]&amp;" - "&amp;Cuenta_Clasificacion[[#This Row],[Nombre de Cuenta Contable]]</f>
        <v>4105025 - Provision Costos Termino de Obra</v>
      </c>
      <c r="F2162" s="47" t="str">
        <f>+Cuenta_Clasificacion[[#This Row],[Codigo Concepto de imputación]]&amp;" - "&amp;Cuenta_Clasificacion[[#This Row],[Nombre Concepto de imputación]]</f>
        <v>20077 - Sbctto Vitrificado</v>
      </c>
    </row>
    <row r="2163" spans="1:6" x14ac:dyDescent="0.25">
      <c r="A2163" s="43">
        <v>4105025</v>
      </c>
      <c r="B2163" t="s">
        <v>3094</v>
      </c>
      <c r="C2163" s="43">
        <v>20078</v>
      </c>
      <c r="D2163" t="s">
        <v>2862</v>
      </c>
      <c r="E2163" s="47" t="str">
        <f>+Cuenta_Clasificacion[[#This Row],[Código Cuenta Contable]]&amp;" - "&amp;Cuenta_Clasificacion[[#This Row],[Nombre de Cuenta Contable]]</f>
        <v>4105025 - Provision Costos Termino de Obra</v>
      </c>
      <c r="F2163" s="47" t="str">
        <f>+Cuenta_Clasificacion[[#This Row],[Codigo Concepto de imputación]]&amp;" - "&amp;Cuenta_Clasificacion[[#This Row],[Nombre Concepto de imputación]]</f>
        <v>20078 - Sbctto Zincado, Galvanizado</v>
      </c>
    </row>
    <row r="2164" spans="1:6" x14ac:dyDescent="0.25">
      <c r="A2164" s="43">
        <v>4105025</v>
      </c>
      <c r="B2164" t="s">
        <v>3094</v>
      </c>
      <c r="C2164" s="43">
        <v>20079</v>
      </c>
      <c r="D2164" t="s">
        <v>2863</v>
      </c>
      <c r="E2164" s="47" t="str">
        <f>+Cuenta_Clasificacion[[#This Row],[Código Cuenta Contable]]&amp;" - "&amp;Cuenta_Clasificacion[[#This Row],[Nombre de Cuenta Contable]]</f>
        <v>4105025 - Provision Costos Termino de Obra</v>
      </c>
      <c r="F2164" s="47" t="str">
        <f>+Cuenta_Clasificacion[[#This Row],[Codigo Concepto de imputación]]&amp;" - "&amp;Cuenta_Clasificacion[[#This Row],[Nombre Concepto de imputación]]</f>
        <v>20079 - Servicio Vigilancia</v>
      </c>
    </row>
    <row r="2165" spans="1:6" x14ac:dyDescent="0.25">
      <c r="A2165" s="43">
        <v>4105025</v>
      </c>
      <c r="B2165" t="s">
        <v>3094</v>
      </c>
      <c r="C2165" s="43">
        <v>20080</v>
      </c>
      <c r="D2165" t="s">
        <v>2864</v>
      </c>
      <c r="E2165" s="47" t="str">
        <f>+Cuenta_Clasificacion[[#This Row],[Código Cuenta Contable]]&amp;" - "&amp;Cuenta_Clasificacion[[#This Row],[Nombre de Cuenta Contable]]</f>
        <v>4105025 - Provision Costos Termino de Obra</v>
      </c>
      <c r="F2165" s="47" t="str">
        <f>+Cuenta_Clasificacion[[#This Row],[Codigo Concepto de imputación]]&amp;" - "&amp;Cuenta_Clasificacion[[#This Row],[Nombre Concepto de imputación]]</f>
        <v>20080 - Sbctto Instalación Especial</v>
      </c>
    </row>
    <row r="2166" spans="1:6" x14ac:dyDescent="0.25">
      <c r="A2166" s="43">
        <v>4105025</v>
      </c>
      <c r="B2166" t="s">
        <v>3094</v>
      </c>
      <c r="C2166" s="43">
        <v>20081</v>
      </c>
      <c r="D2166" t="s">
        <v>2865</v>
      </c>
      <c r="E2166" s="47" t="str">
        <f>+Cuenta_Clasificacion[[#This Row],[Código Cuenta Contable]]&amp;" - "&amp;Cuenta_Clasificacion[[#This Row],[Nombre de Cuenta Contable]]</f>
        <v>4105025 - Provision Costos Termino de Obra</v>
      </c>
      <c r="F2166" s="47" t="str">
        <f>+Cuenta_Clasificacion[[#This Row],[Codigo Concepto de imputación]]&amp;" - "&amp;Cuenta_Clasificacion[[#This Row],[Nombre Concepto de imputación]]</f>
        <v>20081 - Instalación Sist Computacional</v>
      </c>
    </row>
    <row r="2167" spans="1:6" x14ac:dyDescent="0.25">
      <c r="A2167" s="43">
        <v>4105025</v>
      </c>
      <c r="B2167" t="s">
        <v>3094</v>
      </c>
      <c r="C2167" s="43">
        <v>20082</v>
      </c>
      <c r="D2167" t="s">
        <v>2866</v>
      </c>
      <c r="E2167" s="47" t="str">
        <f>+Cuenta_Clasificacion[[#This Row],[Código Cuenta Contable]]&amp;" - "&amp;Cuenta_Clasificacion[[#This Row],[Nombre de Cuenta Contable]]</f>
        <v>4105025 - Provision Costos Termino de Obra</v>
      </c>
      <c r="F2167" s="47" t="str">
        <f>+Cuenta_Clasificacion[[#This Row],[Codigo Concepto de imputación]]&amp;" - "&amp;Cuenta_Clasificacion[[#This Row],[Nombre Concepto de imputación]]</f>
        <v>20082 - Operador Sbctto Arriendo</v>
      </c>
    </row>
    <row r="2168" spans="1:6" x14ac:dyDescent="0.25">
      <c r="A2168" s="43">
        <v>4105025</v>
      </c>
      <c r="B2168" t="s">
        <v>3094</v>
      </c>
      <c r="C2168" s="43">
        <v>20083</v>
      </c>
      <c r="D2168" t="s">
        <v>2867</v>
      </c>
      <c r="E2168" s="47" t="str">
        <f>+Cuenta_Clasificacion[[#This Row],[Código Cuenta Contable]]&amp;" - "&amp;Cuenta_Clasificacion[[#This Row],[Nombre de Cuenta Contable]]</f>
        <v>4105025 - Provision Costos Termino de Obra</v>
      </c>
      <c r="F2168" s="47" t="str">
        <f>+Cuenta_Clasificacion[[#This Row],[Codigo Concepto de imputación]]&amp;" - "&amp;Cuenta_Clasificacion[[#This Row],[Nombre Concepto de imputación]]</f>
        <v>20083 - Descuento Subcontrato</v>
      </c>
    </row>
    <row r="2169" spans="1:6" x14ac:dyDescent="0.25">
      <c r="A2169" s="43">
        <v>4105025</v>
      </c>
      <c r="B2169" t="s">
        <v>3094</v>
      </c>
      <c r="C2169" s="43">
        <v>20084</v>
      </c>
      <c r="D2169" t="s">
        <v>2911</v>
      </c>
      <c r="E2169" s="47" t="str">
        <f>+Cuenta_Clasificacion[[#This Row],[Código Cuenta Contable]]&amp;" - "&amp;Cuenta_Clasificacion[[#This Row],[Nombre de Cuenta Contable]]</f>
        <v>4105025 - Provision Costos Termino de Obra</v>
      </c>
      <c r="F2169" s="47" t="str">
        <f>+Cuenta_Clasificacion[[#This Row],[Codigo Concepto de imputación]]&amp;" - "&amp;Cuenta_Clasificacion[[#This Row],[Nombre Concepto de imputación]]</f>
        <v>20084 - Sbctto Trabajos Misceláneos</v>
      </c>
    </row>
    <row r="2170" spans="1:6" x14ac:dyDescent="0.25">
      <c r="A2170" s="43">
        <v>4105025</v>
      </c>
      <c r="B2170" t="s">
        <v>3094</v>
      </c>
      <c r="C2170" s="43">
        <v>20085</v>
      </c>
      <c r="D2170" t="s">
        <v>2912</v>
      </c>
      <c r="E2170" s="47" t="str">
        <f>+Cuenta_Clasificacion[[#This Row],[Código Cuenta Contable]]&amp;" - "&amp;Cuenta_Clasificacion[[#This Row],[Nombre de Cuenta Contable]]</f>
        <v>4105025 - Provision Costos Termino de Obra</v>
      </c>
      <c r="F2170" s="47" t="str">
        <f>+Cuenta_Clasificacion[[#This Row],[Codigo Concepto de imputación]]&amp;" - "&amp;Cuenta_Clasificacion[[#This Row],[Nombre Concepto de imputación]]</f>
        <v>20085 - Sbctto Agotamiento Napas</v>
      </c>
    </row>
    <row r="2171" spans="1:6" x14ac:dyDescent="0.25">
      <c r="A2171" s="43">
        <v>4105025</v>
      </c>
      <c r="B2171" t="s">
        <v>3094</v>
      </c>
      <c r="C2171" s="43">
        <v>20086</v>
      </c>
      <c r="D2171" t="s">
        <v>2868</v>
      </c>
      <c r="E2171" s="47" t="str">
        <f>+Cuenta_Clasificacion[[#This Row],[Código Cuenta Contable]]&amp;" - "&amp;Cuenta_Clasificacion[[#This Row],[Nombre de Cuenta Contable]]</f>
        <v>4105025 - Provision Costos Termino de Obra</v>
      </c>
      <c r="F2171" s="47" t="str">
        <f>+Cuenta_Clasificacion[[#This Row],[Codigo Concepto de imputación]]&amp;" - "&amp;Cuenta_Clasificacion[[#This Row],[Nombre Concepto de imputación]]</f>
        <v>20086 - Sbctto Otros Subcttos</v>
      </c>
    </row>
    <row r="2172" spans="1:6" x14ac:dyDescent="0.25">
      <c r="A2172" s="43">
        <v>4105025</v>
      </c>
      <c r="B2172" t="s">
        <v>3094</v>
      </c>
      <c r="C2172" s="43">
        <v>20087</v>
      </c>
      <c r="D2172" t="s">
        <v>2913</v>
      </c>
      <c r="E2172" s="47" t="str">
        <f>+Cuenta_Clasificacion[[#This Row],[Código Cuenta Contable]]&amp;" - "&amp;Cuenta_Clasificacion[[#This Row],[Nombre de Cuenta Contable]]</f>
        <v>4105025 - Provision Costos Termino de Obra</v>
      </c>
      <c r="F2172" s="47" t="str">
        <f>+Cuenta_Clasificacion[[#This Row],[Codigo Concepto de imputación]]&amp;" - "&amp;Cuenta_Clasificacion[[#This Row],[Nombre Concepto de imputación]]</f>
        <v>20087 - Pago Sueldos/Finiq Trab Sbctto</v>
      </c>
    </row>
    <row r="2173" spans="1:6" x14ac:dyDescent="0.25">
      <c r="A2173" s="43">
        <v>4105025</v>
      </c>
      <c r="B2173" t="s">
        <v>3094</v>
      </c>
      <c r="C2173" s="43">
        <v>20088</v>
      </c>
      <c r="D2173" t="s">
        <v>2914</v>
      </c>
      <c r="E2173" s="47" t="str">
        <f>+Cuenta_Clasificacion[[#This Row],[Código Cuenta Contable]]&amp;" - "&amp;Cuenta_Clasificacion[[#This Row],[Nombre de Cuenta Contable]]</f>
        <v>4105025 - Provision Costos Termino de Obra</v>
      </c>
      <c r="F2173" s="47" t="str">
        <f>+Cuenta_Clasificacion[[#This Row],[Codigo Concepto de imputación]]&amp;" - "&amp;Cuenta_Clasificacion[[#This Row],[Nombre Concepto de imputación]]</f>
        <v>20088 - Pago Imposiciones Trab Sbctto</v>
      </c>
    </row>
    <row r="2174" spans="1:6" x14ac:dyDescent="0.25">
      <c r="A2174" s="43">
        <v>4105025</v>
      </c>
      <c r="B2174" t="s">
        <v>3094</v>
      </c>
      <c r="C2174" s="43">
        <v>40001</v>
      </c>
      <c r="D2174" t="s">
        <v>2944</v>
      </c>
      <c r="E2174" s="47" t="str">
        <f>+Cuenta_Clasificacion[[#This Row],[Código Cuenta Contable]]&amp;" - "&amp;Cuenta_Clasificacion[[#This Row],[Nombre de Cuenta Contable]]</f>
        <v>4105025 - Provision Costos Termino de Obra</v>
      </c>
      <c r="F2174" s="47" t="str">
        <f>+Cuenta_Clasificacion[[#This Row],[Codigo Concepto de imputación]]&amp;" - "&amp;Cuenta_Clasificacion[[#This Row],[Nombre Concepto de imputación]]</f>
        <v>40001 - Administrador de Obra</v>
      </c>
    </row>
    <row r="2175" spans="1:6" x14ac:dyDescent="0.25">
      <c r="A2175" s="43">
        <v>4105025</v>
      </c>
      <c r="B2175" t="s">
        <v>3094</v>
      </c>
      <c r="C2175" s="43">
        <v>40002</v>
      </c>
      <c r="D2175" t="s">
        <v>2945</v>
      </c>
      <c r="E2175" s="47" t="str">
        <f>+Cuenta_Clasificacion[[#This Row],[Código Cuenta Contable]]&amp;" - "&amp;Cuenta_Clasificacion[[#This Row],[Nombre de Cuenta Contable]]</f>
        <v>4105025 - Provision Costos Termino de Obra</v>
      </c>
      <c r="F2175" s="47" t="str">
        <f>+Cuenta_Clasificacion[[#This Row],[Codigo Concepto de imputación]]&amp;" - "&amp;Cuenta_Clasificacion[[#This Row],[Nombre Concepto de imputación]]</f>
        <v>40002 - Administrador General</v>
      </c>
    </row>
    <row r="2176" spans="1:6" x14ac:dyDescent="0.25">
      <c r="A2176" s="43">
        <v>4105025</v>
      </c>
      <c r="B2176" t="s">
        <v>3094</v>
      </c>
      <c r="C2176" s="43">
        <v>40003</v>
      </c>
      <c r="D2176" t="s">
        <v>2946</v>
      </c>
      <c r="E2176" s="47" t="str">
        <f>+Cuenta_Clasificacion[[#This Row],[Código Cuenta Contable]]&amp;" - "&amp;Cuenta_Clasificacion[[#This Row],[Nombre de Cuenta Contable]]</f>
        <v>4105025 - Provision Costos Termino de Obra</v>
      </c>
      <c r="F2176" s="47" t="str">
        <f>+Cuenta_Clasificacion[[#This Row],[Codigo Concepto de imputación]]&amp;" - "&amp;Cuenta_Clasificacion[[#This Row],[Nombre Concepto de imputación]]</f>
        <v>40003 - Administrativo de Obra</v>
      </c>
    </row>
    <row r="2177" spans="1:6" x14ac:dyDescent="0.25">
      <c r="A2177" s="43">
        <v>4105025</v>
      </c>
      <c r="B2177" t="s">
        <v>3094</v>
      </c>
      <c r="C2177" s="43">
        <v>40004</v>
      </c>
      <c r="D2177" t="s">
        <v>2947</v>
      </c>
      <c r="E2177" s="47" t="str">
        <f>+Cuenta_Clasificacion[[#This Row],[Código Cuenta Contable]]&amp;" - "&amp;Cuenta_Clasificacion[[#This Row],[Nombre de Cuenta Contable]]</f>
        <v>4105025 - Provision Costos Termino de Obra</v>
      </c>
      <c r="F2177" s="47" t="str">
        <f>+Cuenta_Clasificacion[[#This Row],[Codigo Concepto de imputación]]&amp;" - "&amp;Cuenta_Clasificacion[[#This Row],[Nombre Concepto de imputación]]</f>
        <v>40004 - Albañil</v>
      </c>
    </row>
    <row r="2178" spans="1:6" x14ac:dyDescent="0.25">
      <c r="A2178" s="43">
        <v>4105025</v>
      </c>
      <c r="B2178" t="s">
        <v>3094</v>
      </c>
      <c r="C2178" s="43">
        <v>40005</v>
      </c>
      <c r="D2178" t="s">
        <v>2948</v>
      </c>
      <c r="E2178" s="47" t="str">
        <f>+Cuenta_Clasificacion[[#This Row],[Código Cuenta Contable]]&amp;" - "&amp;Cuenta_Clasificacion[[#This Row],[Nombre de Cuenta Contable]]</f>
        <v>4105025 - Provision Costos Termino de Obra</v>
      </c>
      <c r="F2178" s="47" t="str">
        <f>+Cuenta_Clasificacion[[#This Row],[Codigo Concepto de imputación]]&amp;" - "&amp;Cuenta_Clasificacion[[#This Row],[Nombre Concepto de imputación]]</f>
        <v>40005 - Andamiero</v>
      </c>
    </row>
    <row r="2179" spans="1:6" x14ac:dyDescent="0.25">
      <c r="A2179" s="43">
        <v>4105025</v>
      </c>
      <c r="B2179" t="s">
        <v>3094</v>
      </c>
      <c r="C2179" s="43">
        <v>40006</v>
      </c>
      <c r="D2179" t="s">
        <v>2949</v>
      </c>
      <c r="E2179" s="47" t="str">
        <f>+Cuenta_Clasificacion[[#This Row],[Código Cuenta Contable]]&amp;" - "&amp;Cuenta_Clasificacion[[#This Row],[Nombre de Cuenta Contable]]</f>
        <v>4105025 - Provision Costos Termino de Obra</v>
      </c>
      <c r="F2179" s="47" t="str">
        <f>+Cuenta_Clasificacion[[#This Row],[Codigo Concepto de imputación]]&amp;" - "&amp;Cuenta_Clasificacion[[#This Row],[Nombre Concepto de imputación]]</f>
        <v>40006 - Arquitecto</v>
      </c>
    </row>
    <row r="2180" spans="1:6" x14ac:dyDescent="0.25">
      <c r="A2180" s="43">
        <v>4105025</v>
      </c>
      <c r="B2180" t="s">
        <v>3094</v>
      </c>
      <c r="C2180" s="43">
        <v>40007</v>
      </c>
      <c r="D2180" t="s">
        <v>2950</v>
      </c>
      <c r="E2180" s="47" t="str">
        <f>+Cuenta_Clasificacion[[#This Row],[Código Cuenta Contable]]&amp;" - "&amp;Cuenta_Clasificacion[[#This Row],[Nombre de Cuenta Contable]]</f>
        <v>4105025 - Provision Costos Termino de Obra</v>
      </c>
      <c r="F2180" s="47" t="str">
        <f>+Cuenta_Clasificacion[[#This Row],[Codigo Concepto de imputación]]&amp;" - "&amp;Cuenta_Clasificacion[[#This Row],[Nombre Concepto de imputación]]</f>
        <v>40007 - Asistente Supervisor Zonal</v>
      </c>
    </row>
    <row r="2181" spans="1:6" x14ac:dyDescent="0.25">
      <c r="A2181" s="43">
        <v>4105025</v>
      </c>
      <c r="B2181" t="s">
        <v>3094</v>
      </c>
      <c r="C2181" s="43">
        <v>40008</v>
      </c>
      <c r="D2181" t="s">
        <v>2951</v>
      </c>
      <c r="E2181" s="47" t="str">
        <f>+Cuenta_Clasificacion[[#This Row],[Código Cuenta Contable]]&amp;" - "&amp;Cuenta_Clasificacion[[#This Row],[Nombre de Cuenta Contable]]</f>
        <v>4105025 - Provision Costos Termino de Obra</v>
      </c>
      <c r="F2181" s="47" t="str">
        <f>+Cuenta_Clasificacion[[#This Row],[Codigo Concepto de imputación]]&amp;" - "&amp;Cuenta_Clasificacion[[#This Row],[Nombre Concepto de imputación]]</f>
        <v>40008 - Auditor Int. Prev. de Riesgos</v>
      </c>
    </row>
    <row r="2182" spans="1:6" x14ac:dyDescent="0.25">
      <c r="A2182" s="43">
        <v>4105025</v>
      </c>
      <c r="B2182" t="s">
        <v>3094</v>
      </c>
      <c r="C2182" s="43">
        <v>40009</v>
      </c>
      <c r="D2182" t="s">
        <v>2952</v>
      </c>
      <c r="E2182" s="47" t="str">
        <f>+Cuenta_Clasificacion[[#This Row],[Código Cuenta Contable]]&amp;" - "&amp;Cuenta_Clasificacion[[#This Row],[Nombre de Cuenta Contable]]</f>
        <v>4105025 - Provision Costos Termino de Obra</v>
      </c>
      <c r="F2182" s="47" t="str">
        <f>+Cuenta_Clasificacion[[#This Row],[Codigo Concepto de imputación]]&amp;" - "&amp;Cuenta_Clasificacion[[#This Row],[Nombre Concepto de imputación]]</f>
        <v>40009 - Ayudante Administrativo</v>
      </c>
    </row>
    <row r="2183" spans="1:6" x14ac:dyDescent="0.25">
      <c r="A2183" s="43">
        <v>4105025</v>
      </c>
      <c r="B2183" t="s">
        <v>3094</v>
      </c>
      <c r="C2183" s="43">
        <v>40010</v>
      </c>
      <c r="D2183" t="s">
        <v>2953</v>
      </c>
      <c r="E2183" s="47" t="str">
        <f>+Cuenta_Clasificacion[[#This Row],[Código Cuenta Contable]]&amp;" - "&amp;Cuenta_Clasificacion[[#This Row],[Nombre de Cuenta Contable]]</f>
        <v>4105025 - Provision Costos Termino de Obra</v>
      </c>
      <c r="F2183" s="47" t="str">
        <f>+Cuenta_Clasificacion[[#This Row],[Codigo Concepto de imputación]]&amp;" - "&amp;Cuenta_Clasificacion[[#This Row],[Nombre Concepto de imputación]]</f>
        <v>40010 - Ayudante Albañil</v>
      </c>
    </row>
    <row r="2184" spans="1:6" x14ac:dyDescent="0.25">
      <c r="A2184" s="43">
        <v>4105025</v>
      </c>
      <c r="B2184" t="s">
        <v>3094</v>
      </c>
      <c r="C2184" s="43">
        <v>40011</v>
      </c>
      <c r="D2184" t="s">
        <v>2954</v>
      </c>
      <c r="E2184" s="47" t="str">
        <f>+Cuenta_Clasificacion[[#This Row],[Código Cuenta Contable]]&amp;" - "&amp;Cuenta_Clasificacion[[#This Row],[Nombre de Cuenta Contable]]</f>
        <v>4105025 - Provision Costos Termino de Obra</v>
      </c>
      <c r="F2184" s="47" t="str">
        <f>+Cuenta_Clasificacion[[#This Row],[Codigo Concepto de imputación]]&amp;" - "&amp;Cuenta_Clasificacion[[#This Row],[Nombre Concepto de imputación]]</f>
        <v>40011 - Ayudante Bodega</v>
      </c>
    </row>
    <row r="2185" spans="1:6" x14ac:dyDescent="0.25">
      <c r="A2185" s="43">
        <v>4105025</v>
      </c>
      <c r="B2185" t="s">
        <v>3094</v>
      </c>
      <c r="C2185" s="43">
        <v>40012</v>
      </c>
      <c r="D2185" t="s">
        <v>2955</v>
      </c>
      <c r="E2185" s="47" t="str">
        <f>+Cuenta_Clasificacion[[#This Row],[Código Cuenta Contable]]&amp;" - "&amp;Cuenta_Clasificacion[[#This Row],[Nombre de Cuenta Contable]]</f>
        <v>4105025 - Provision Costos Termino de Obra</v>
      </c>
      <c r="F2185" s="47" t="str">
        <f>+Cuenta_Clasificacion[[#This Row],[Codigo Concepto de imputación]]&amp;" - "&amp;Cuenta_Clasificacion[[#This Row],[Nombre Concepto de imputación]]</f>
        <v>40012 - Ayudante Capataz</v>
      </c>
    </row>
    <row r="2186" spans="1:6" x14ac:dyDescent="0.25">
      <c r="A2186" s="43">
        <v>4105025</v>
      </c>
      <c r="B2186" t="s">
        <v>3094</v>
      </c>
      <c r="C2186" s="43">
        <v>40013</v>
      </c>
      <c r="D2186" t="s">
        <v>2956</v>
      </c>
      <c r="E2186" s="47" t="str">
        <f>+Cuenta_Clasificacion[[#This Row],[Código Cuenta Contable]]&amp;" - "&amp;Cuenta_Clasificacion[[#This Row],[Nombre de Cuenta Contable]]</f>
        <v>4105025 - Provision Costos Termino de Obra</v>
      </c>
      <c r="F2186" s="47" t="str">
        <f>+Cuenta_Clasificacion[[#This Row],[Codigo Concepto de imputación]]&amp;" - "&amp;Cuenta_Clasificacion[[#This Row],[Nombre Concepto de imputación]]</f>
        <v>40013 - Ayudante Carpintero</v>
      </c>
    </row>
    <row r="2187" spans="1:6" x14ac:dyDescent="0.25">
      <c r="A2187" s="43">
        <v>4105025</v>
      </c>
      <c r="B2187" t="s">
        <v>3094</v>
      </c>
      <c r="C2187" s="43">
        <v>40014</v>
      </c>
      <c r="D2187" t="s">
        <v>2957</v>
      </c>
      <c r="E2187" s="47" t="str">
        <f>+Cuenta_Clasificacion[[#This Row],[Código Cuenta Contable]]&amp;" - "&amp;Cuenta_Clasificacion[[#This Row],[Nombre de Cuenta Contable]]</f>
        <v>4105025 - Provision Costos Termino de Obra</v>
      </c>
      <c r="F2187" s="47" t="str">
        <f>+Cuenta_Clasificacion[[#This Row],[Codigo Concepto de imputación]]&amp;" - "&amp;Cuenta_Clasificacion[[#This Row],[Nombre Concepto de imputación]]</f>
        <v>40014 - Bodega – Personal</v>
      </c>
    </row>
    <row r="2188" spans="1:6" x14ac:dyDescent="0.25">
      <c r="A2188" s="43">
        <v>4105025</v>
      </c>
      <c r="B2188" t="s">
        <v>3094</v>
      </c>
      <c r="C2188" s="43">
        <v>40015</v>
      </c>
      <c r="D2188" t="s">
        <v>2958</v>
      </c>
      <c r="E2188" s="47" t="str">
        <f>+Cuenta_Clasificacion[[#This Row],[Código Cuenta Contable]]&amp;" - "&amp;Cuenta_Clasificacion[[#This Row],[Nombre de Cuenta Contable]]</f>
        <v>4105025 - Provision Costos Termino de Obra</v>
      </c>
      <c r="F2188" s="47" t="str">
        <f>+Cuenta_Clasificacion[[#This Row],[Codigo Concepto de imputación]]&amp;" - "&amp;Cuenta_Clasificacion[[#This Row],[Nombre Concepto de imputación]]</f>
        <v>40015 - Ayudante Jefe Patio</v>
      </c>
    </row>
    <row r="2189" spans="1:6" x14ac:dyDescent="0.25">
      <c r="A2189" s="43">
        <v>4105025</v>
      </c>
      <c r="B2189" t="s">
        <v>3094</v>
      </c>
      <c r="C2189" s="43">
        <v>40016</v>
      </c>
      <c r="D2189" t="s">
        <v>2959</v>
      </c>
      <c r="E2189" s="47" t="str">
        <f>+Cuenta_Clasificacion[[#This Row],[Código Cuenta Contable]]&amp;" - "&amp;Cuenta_Clasificacion[[#This Row],[Nombre de Cuenta Contable]]</f>
        <v>4105025 - Provision Costos Termino de Obra</v>
      </c>
      <c r="F2189" s="47" t="str">
        <f>+Cuenta_Clasificacion[[#This Row],[Codigo Concepto de imputación]]&amp;" - "&amp;Cuenta_Clasificacion[[#This Row],[Nombre Concepto de imputación]]</f>
        <v>40016 - Ayudante Maestro Albañil</v>
      </c>
    </row>
    <row r="2190" spans="1:6" x14ac:dyDescent="0.25">
      <c r="A2190" s="43">
        <v>4105025</v>
      </c>
      <c r="B2190" t="s">
        <v>3094</v>
      </c>
      <c r="C2190" s="43">
        <v>40017</v>
      </c>
      <c r="D2190" t="s">
        <v>2960</v>
      </c>
      <c r="E2190" s="47" t="str">
        <f>+Cuenta_Clasificacion[[#This Row],[Código Cuenta Contable]]&amp;" - "&amp;Cuenta_Clasificacion[[#This Row],[Nombre de Cuenta Contable]]</f>
        <v>4105025 - Provision Costos Termino de Obra</v>
      </c>
      <c r="F2190" s="47" t="str">
        <f>+Cuenta_Clasificacion[[#This Row],[Codigo Concepto de imputación]]&amp;" - "&amp;Cuenta_Clasificacion[[#This Row],[Nombre Concepto de imputación]]</f>
        <v>40017 - Ayudante Mantención</v>
      </c>
    </row>
    <row r="2191" spans="1:6" x14ac:dyDescent="0.25">
      <c r="A2191" s="43">
        <v>4105025</v>
      </c>
      <c r="B2191" t="s">
        <v>3094</v>
      </c>
      <c r="C2191" s="43">
        <v>40018</v>
      </c>
      <c r="D2191" t="s">
        <v>2961</v>
      </c>
      <c r="E2191" s="47" t="str">
        <f>+Cuenta_Clasificacion[[#This Row],[Código Cuenta Contable]]&amp;" - "&amp;Cuenta_Clasificacion[[#This Row],[Nombre de Cuenta Contable]]</f>
        <v>4105025 - Provision Costos Termino de Obra</v>
      </c>
      <c r="F2191" s="47" t="str">
        <f>+Cuenta_Clasificacion[[#This Row],[Codigo Concepto de imputación]]&amp;" - "&amp;Cuenta_Clasificacion[[#This Row],[Nombre Concepto de imputación]]</f>
        <v>40018 - Ayudante Montaje Grúas Torre</v>
      </c>
    </row>
    <row r="2192" spans="1:6" x14ac:dyDescent="0.25">
      <c r="A2192" s="43">
        <v>4105025</v>
      </c>
      <c r="B2192" t="s">
        <v>3094</v>
      </c>
      <c r="C2192" s="43">
        <v>40019</v>
      </c>
      <c r="D2192" t="s">
        <v>2962</v>
      </c>
      <c r="E2192" s="47" t="str">
        <f>+Cuenta_Clasificacion[[#This Row],[Código Cuenta Contable]]&amp;" - "&amp;Cuenta_Clasificacion[[#This Row],[Nombre de Cuenta Contable]]</f>
        <v>4105025 - Provision Costos Termino de Obra</v>
      </c>
      <c r="F2192" s="47" t="str">
        <f>+Cuenta_Clasificacion[[#This Row],[Codigo Concepto de imputación]]&amp;" - "&amp;Cuenta_Clasificacion[[#This Row],[Nombre Concepto de imputación]]</f>
        <v>40019 - Ayudante Obra</v>
      </c>
    </row>
    <row r="2193" spans="1:6" x14ac:dyDescent="0.25">
      <c r="A2193" s="43">
        <v>4105025</v>
      </c>
      <c r="B2193" t="s">
        <v>3094</v>
      </c>
      <c r="C2193" s="43">
        <v>40020</v>
      </c>
      <c r="D2193" t="s">
        <v>2963</v>
      </c>
      <c r="E2193" s="47" t="str">
        <f>+Cuenta_Clasificacion[[#This Row],[Código Cuenta Contable]]&amp;" - "&amp;Cuenta_Clasificacion[[#This Row],[Nombre de Cuenta Contable]]</f>
        <v>4105025 - Provision Costos Termino de Obra</v>
      </c>
      <c r="F2193" s="47" t="str">
        <f>+Cuenta_Clasificacion[[#This Row],[Codigo Concepto de imputación]]&amp;" - "&amp;Cuenta_Clasificacion[[#This Row],[Nombre Concepto de imputación]]</f>
        <v>40020 - Ayudante Of. Técnica</v>
      </c>
    </row>
    <row r="2194" spans="1:6" x14ac:dyDescent="0.25">
      <c r="A2194" s="43">
        <v>4105025</v>
      </c>
      <c r="B2194" t="s">
        <v>3094</v>
      </c>
      <c r="C2194" s="43">
        <v>40021</v>
      </c>
      <c r="D2194" t="s">
        <v>2964</v>
      </c>
      <c r="E2194" s="47" t="str">
        <f>+Cuenta_Clasificacion[[#This Row],[Código Cuenta Contable]]&amp;" - "&amp;Cuenta_Clasificacion[[#This Row],[Nombre de Cuenta Contable]]</f>
        <v>4105025 - Provision Costos Termino de Obra</v>
      </c>
      <c r="F2194" s="47" t="str">
        <f>+Cuenta_Clasificacion[[#This Row],[Codigo Concepto de imputación]]&amp;" - "&amp;Cuenta_Clasificacion[[#This Row],[Nombre Concepto de imputación]]</f>
        <v>40021 - Ayudante Pañol</v>
      </c>
    </row>
    <row r="2195" spans="1:6" x14ac:dyDescent="0.25">
      <c r="A2195" s="43">
        <v>4105025</v>
      </c>
      <c r="B2195" t="s">
        <v>3094</v>
      </c>
      <c r="C2195" s="43">
        <v>40022</v>
      </c>
      <c r="D2195" t="s">
        <v>2965</v>
      </c>
      <c r="E2195" s="47" t="str">
        <f>+Cuenta_Clasificacion[[#This Row],[Código Cuenta Contable]]&amp;" - "&amp;Cuenta_Clasificacion[[#This Row],[Nombre de Cuenta Contable]]</f>
        <v>4105025 - Provision Costos Termino de Obra</v>
      </c>
      <c r="F2195" s="47" t="str">
        <f>+Cuenta_Clasificacion[[#This Row],[Codigo Concepto de imputación]]&amp;" - "&amp;Cuenta_Clasificacion[[#This Row],[Nombre Concepto de imputación]]</f>
        <v>40022 - Ayudante Prev. de Riesgos</v>
      </c>
    </row>
    <row r="2196" spans="1:6" x14ac:dyDescent="0.25">
      <c r="A2196" s="43">
        <v>4105025</v>
      </c>
      <c r="B2196" t="s">
        <v>3094</v>
      </c>
      <c r="C2196" s="43">
        <v>40023</v>
      </c>
      <c r="D2196" t="s">
        <v>2966</v>
      </c>
      <c r="E2196" s="47" t="str">
        <f>+Cuenta_Clasificacion[[#This Row],[Código Cuenta Contable]]&amp;" - "&amp;Cuenta_Clasificacion[[#This Row],[Nombre de Cuenta Contable]]</f>
        <v>4105025 - Provision Costos Termino de Obra</v>
      </c>
      <c r="F2196" s="47" t="str">
        <f>+Cuenta_Clasificacion[[#This Row],[Codigo Concepto de imputación]]&amp;" - "&amp;Cuenta_Clasificacion[[#This Row],[Nombre Concepto de imputación]]</f>
        <v>40023 - Ayudante Soldador</v>
      </c>
    </row>
    <row r="2197" spans="1:6" x14ac:dyDescent="0.25">
      <c r="A2197" s="43">
        <v>4105025</v>
      </c>
      <c r="B2197" t="s">
        <v>3094</v>
      </c>
      <c r="C2197" s="43">
        <v>40024</v>
      </c>
      <c r="D2197" t="s">
        <v>2967</v>
      </c>
      <c r="E2197" s="47" t="str">
        <f>+Cuenta_Clasificacion[[#This Row],[Código Cuenta Contable]]&amp;" - "&amp;Cuenta_Clasificacion[[#This Row],[Nombre de Cuenta Contable]]</f>
        <v>4105025 - Provision Costos Termino de Obra</v>
      </c>
      <c r="F2197" s="47" t="str">
        <f>+Cuenta_Clasificacion[[#This Row],[Codigo Concepto de imputación]]&amp;" - "&amp;Cuenta_Clasificacion[[#This Row],[Nombre Concepto de imputación]]</f>
        <v>40024 - Ayudante Trazador</v>
      </c>
    </row>
    <row r="2198" spans="1:6" x14ac:dyDescent="0.25">
      <c r="A2198" s="43">
        <v>4105025</v>
      </c>
      <c r="B2198" t="s">
        <v>3094</v>
      </c>
      <c r="C2198" s="43">
        <v>40025</v>
      </c>
      <c r="D2198" t="s">
        <v>2968</v>
      </c>
      <c r="E2198" s="47" t="str">
        <f>+Cuenta_Clasificacion[[#This Row],[Código Cuenta Contable]]&amp;" - "&amp;Cuenta_Clasificacion[[#This Row],[Nombre de Cuenta Contable]]</f>
        <v>4105025 - Provision Costos Termino de Obra</v>
      </c>
      <c r="F2198" s="47" t="str">
        <f>+Cuenta_Clasificacion[[#This Row],[Codigo Concepto de imputación]]&amp;" - "&amp;Cuenta_Clasificacion[[#This Row],[Nombre Concepto de imputación]]</f>
        <v>40025 - Bodeguero</v>
      </c>
    </row>
    <row r="2199" spans="1:6" x14ac:dyDescent="0.25">
      <c r="A2199" s="43">
        <v>4105025</v>
      </c>
      <c r="B2199" t="s">
        <v>3094</v>
      </c>
      <c r="C2199" s="43">
        <v>40026</v>
      </c>
      <c r="D2199" t="s">
        <v>2969</v>
      </c>
      <c r="E2199" s="47" t="str">
        <f>+Cuenta_Clasificacion[[#This Row],[Código Cuenta Contable]]&amp;" - "&amp;Cuenta_Clasificacion[[#This Row],[Nombre de Cuenta Contable]]</f>
        <v>4105025 - Provision Costos Termino de Obra</v>
      </c>
      <c r="F2199" s="47" t="str">
        <f>+Cuenta_Clasificacion[[#This Row],[Codigo Concepto de imputación]]&amp;" - "&amp;Cuenta_Clasificacion[[#This Row],[Nombre Concepto de imputación]]</f>
        <v>40026 - Capataz</v>
      </c>
    </row>
    <row r="2200" spans="1:6" x14ac:dyDescent="0.25">
      <c r="A2200" s="43">
        <v>4105025</v>
      </c>
      <c r="B2200" t="s">
        <v>3094</v>
      </c>
      <c r="C2200" s="43">
        <v>40027</v>
      </c>
      <c r="D2200" t="s">
        <v>2970</v>
      </c>
      <c r="E2200" s="47" t="str">
        <f>+Cuenta_Clasificacion[[#This Row],[Código Cuenta Contable]]&amp;" - "&amp;Cuenta_Clasificacion[[#This Row],[Nombre de Cuenta Contable]]</f>
        <v>4105025 - Provision Costos Termino de Obra</v>
      </c>
      <c r="F2200" s="47" t="str">
        <f>+Cuenta_Clasificacion[[#This Row],[Codigo Concepto de imputación]]&amp;" - "&amp;Cuenta_Clasificacion[[#This Row],[Nombre Concepto de imputación]]</f>
        <v>40027 - Capataz de Exteriores</v>
      </c>
    </row>
    <row r="2201" spans="1:6" x14ac:dyDescent="0.25">
      <c r="A2201" s="43">
        <v>4105025</v>
      </c>
      <c r="B2201" t="s">
        <v>3094</v>
      </c>
      <c r="C2201" s="43">
        <v>40028</v>
      </c>
      <c r="D2201" t="s">
        <v>2971</v>
      </c>
      <c r="E2201" s="47" t="str">
        <f>+Cuenta_Clasificacion[[#This Row],[Código Cuenta Contable]]&amp;" - "&amp;Cuenta_Clasificacion[[#This Row],[Nombre de Cuenta Contable]]</f>
        <v>4105025 - Provision Costos Termino de Obra</v>
      </c>
      <c r="F2201" s="47" t="str">
        <f>+Cuenta_Clasificacion[[#This Row],[Codigo Concepto de imputación]]&amp;" - "&amp;Cuenta_Clasificacion[[#This Row],[Nombre Concepto de imputación]]</f>
        <v>40028 - Capataz de Hormigón</v>
      </c>
    </row>
    <row r="2202" spans="1:6" x14ac:dyDescent="0.25">
      <c r="A2202" s="43">
        <v>4105025</v>
      </c>
      <c r="B2202" t="s">
        <v>3094</v>
      </c>
      <c r="C2202" s="43">
        <v>40029</v>
      </c>
      <c r="D2202" t="s">
        <v>2972</v>
      </c>
      <c r="E2202" s="47" t="str">
        <f>+Cuenta_Clasificacion[[#This Row],[Código Cuenta Contable]]&amp;" - "&amp;Cuenta_Clasificacion[[#This Row],[Nombre de Cuenta Contable]]</f>
        <v>4105025 - Provision Costos Termino de Obra</v>
      </c>
      <c r="F2202" s="47" t="str">
        <f>+Cuenta_Clasificacion[[#This Row],[Codigo Concepto de imputación]]&amp;" - "&amp;Cuenta_Clasificacion[[#This Row],[Nombre Concepto de imputación]]</f>
        <v>40029 - Capataz de Instalaciones</v>
      </c>
    </row>
    <row r="2203" spans="1:6" x14ac:dyDescent="0.25">
      <c r="A2203" s="43">
        <v>4105025</v>
      </c>
      <c r="B2203" t="s">
        <v>3094</v>
      </c>
      <c r="C2203" s="43">
        <v>40030</v>
      </c>
      <c r="D2203" t="s">
        <v>2973</v>
      </c>
      <c r="E2203" s="47" t="str">
        <f>+Cuenta_Clasificacion[[#This Row],[Código Cuenta Contable]]&amp;" - "&amp;Cuenta_Clasificacion[[#This Row],[Nombre de Cuenta Contable]]</f>
        <v>4105025 - Provision Costos Termino de Obra</v>
      </c>
      <c r="F2203" s="47" t="str">
        <f>+Cuenta_Clasificacion[[#This Row],[Codigo Concepto de imputación]]&amp;" - "&amp;Cuenta_Clasificacion[[#This Row],[Nombre Concepto de imputación]]</f>
        <v>40030 - Capataz de Moldaje</v>
      </c>
    </row>
    <row r="2204" spans="1:6" x14ac:dyDescent="0.25">
      <c r="A2204" s="43">
        <v>4105025</v>
      </c>
      <c r="B2204" t="s">
        <v>3094</v>
      </c>
      <c r="C2204" s="43">
        <v>40031</v>
      </c>
      <c r="D2204" t="s">
        <v>2974</v>
      </c>
      <c r="E2204" s="47" t="str">
        <f>+Cuenta_Clasificacion[[#This Row],[Código Cuenta Contable]]&amp;" - "&amp;Cuenta_Clasificacion[[#This Row],[Nombre de Cuenta Contable]]</f>
        <v>4105025 - Provision Costos Termino de Obra</v>
      </c>
      <c r="F2204" s="47" t="str">
        <f>+Cuenta_Clasificacion[[#This Row],[Codigo Concepto de imputación]]&amp;" - "&amp;Cuenta_Clasificacion[[#This Row],[Nombre Concepto de imputación]]</f>
        <v>40031 - Capataz de Patio</v>
      </c>
    </row>
    <row r="2205" spans="1:6" x14ac:dyDescent="0.25">
      <c r="A2205" s="43">
        <v>4105025</v>
      </c>
      <c r="B2205" t="s">
        <v>3094</v>
      </c>
      <c r="C2205" s="43">
        <v>40032</v>
      </c>
      <c r="D2205" t="s">
        <v>2975</v>
      </c>
      <c r="E2205" s="47" t="str">
        <f>+Cuenta_Clasificacion[[#This Row],[Código Cuenta Contable]]&amp;" - "&amp;Cuenta_Clasificacion[[#This Row],[Nombre de Cuenta Contable]]</f>
        <v>4105025 - Provision Costos Termino de Obra</v>
      </c>
      <c r="F2205" s="47" t="str">
        <f>+Cuenta_Clasificacion[[#This Row],[Codigo Concepto de imputación]]&amp;" - "&amp;Cuenta_Clasificacion[[#This Row],[Nombre Concepto de imputación]]</f>
        <v>40032 - Capataz de Post Venta</v>
      </c>
    </row>
    <row r="2206" spans="1:6" x14ac:dyDescent="0.25">
      <c r="A2206" s="43">
        <v>4105025</v>
      </c>
      <c r="B2206" t="s">
        <v>3094</v>
      </c>
      <c r="C2206" s="43">
        <v>40033</v>
      </c>
      <c r="D2206" t="s">
        <v>2976</v>
      </c>
      <c r="E2206" s="47" t="str">
        <f>+Cuenta_Clasificacion[[#This Row],[Código Cuenta Contable]]&amp;" - "&amp;Cuenta_Clasificacion[[#This Row],[Nombre de Cuenta Contable]]</f>
        <v>4105025 - Provision Costos Termino de Obra</v>
      </c>
      <c r="F2206" s="47" t="str">
        <f>+Cuenta_Clasificacion[[#This Row],[Codigo Concepto de imputación]]&amp;" - "&amp;Cuenta_Clasificacion[[#This Row],[Nombre Concepto de imputación]]</f>
        <v>40033 - Capataz de Terminaciones</v>
      </c>
    </row>
    <row r="2207" spans="1:6" x14ac:dyDescent="0.25">
      <c r="A2207" s="43">
        <v>4105025</v>
      </c>
      <c r="B2207" t="s">
        <v>3094</v>
      </c>
      <c r="C2207" s="43">
        <v>40034</v>
      </c>
      <c r="D2207" t="s">
        <v>2977</v>
      </c>
      <c r="E2207" s="47" t="str">
        <f>+Cuenta_Clasificacion[[#This Row],[Código Cuenta Contable]]&amp;" - "&amp;Cuenta_Clasificacion[[#This Row],[Nombre de Cuenta Contable]]</f>
        <v>4105025 - Provision Costos Termino de Obra</v>
      </c>
      <c r="F2207" s="47" t="str">
        <f>+Cuenta_Clasificacion[[#This Row],[Codigo Concepto de imputación]]&amp;" - "&amp;Cuenta_Clasificacion[[#This Row],[Nombre Concepto de imputación]]</f>
        <v>40034 - Carpintero</v>
      </c>
    </row>
    <row r="2208" spans="1:6" x14ac:dyDescent="0.25">
      <c r="A2208" s="43">
        <v>4105025</v>
      </c>
      <c r="B2208" t="s">
        <v>3094</v>
      </c>
      <c r="C2208" s="43">
        <v>40035</v>
      </c>
      <c r="D2208" t="s">
        <v>2978</v>
      </c>
      <c r="E2208" s="47" t="str">
        <f>+Cuenta_Clasificacion[[#This Row],[Código Cuenta Contable]]&amp;" - "&amp;Cuenta_Clasificacion[[#This Row],[Nombre de Cuenta Contable]]</f>
        <v>4105025 - Provision Costos Termino de Obra</v>
      </c>
      <c r="F2208" s="47" t="str">
        <f>+Cuenta_Clasificacion[[#This Row],[Codigo Concepto de imputación]]&amp;" - "&amp;Cuenta_Clasificacion[[#This Row],[Nombre Concepto de imputación]]</f>
        <v>40035 - Carpintero de Obra Gruesa</v>
      </c>
    </row>
    <row r="2209" spans="1:6" x14ac:dyDescent="0.25">
      <c r="A2209" s="43">
        <v>4105025</v>
      </c>
      <c r="B2209" t="s">
        <v>3094</v>
      </c>
      <c r="C2209" s="43">
        <v>40036</v>
      </c>
      <c r="D2209" t="s">
        <v>2979</v>
      </c>
      <c r="E2209" s="47" t="str">
        <f>+Cuenta_Clasificacion[[#This Row],[Código Cuenta Contable]]&amp;" - "&amp;Cuenta_Clasificacion[[#This Row],[Nombre de Cuenta Contable]]</f>
        <v>4105025 - Provision Costos Termino de Obra</v>
      </c>
      <c r="F2209" s="47" t="str">
        <f>+Cuenta_Clasificacion[[#This Row],[Codigo Concepto de imputación]]&amp;" - "&amp;Cuenta_Clasificacion[[#This Row],[Nombre Concepto de imputación]]</f>
        <v>40036 - Carpintero de Terminaciones</v>
      </c>
    </row>
    <row r="2210" spans="1:6" x14ac:dyDescent="0.25">
      <c r="A2210" s="43">
        <v>4105025</v>
      </c>
      <c r="B2210" t="s">
        <v>3094</v>
      </c>
      <c r="C2210" s="43">
        <v>40037</v>
      </c>
      <c r="D2210" t="s">
        <v>2980</v>
      </c>
      <c r="E2210" s="47" t="str">
        <f>+Cuenta_Clasificacion[[#This Row],[Código Cuenta Contable]]&amp;" - "&amp;Cuenta_Clasificacion[[#This Row],[Nombre de Cuenta Contable]]</f>
        <v>4105025 - Provision Costos Termino de Obra</v>
      </c>
      <c r="F2210" s="47" t="str">
        <f>+Cuenta_Clasificacion[[#This Row],[Codigo Concepto de imputación]]&amp;" - "&amp;Cuenta_Clasificacion[[#This Row],[Nombre Concepto de imputación]]</f>
        <v>40037 - Chofer</v>
      </c>
    </row>
    <row r="2211" spans="1:6" x14ac:dyDescent="0.25">
      <c r="A2211" s="43">
        <v>4105025</v>
      </c>
      <c r="B2211" t="s">
        <v>3094</v>
      </c>
      <c r="C2211" s="43">
        <v>40038</v>
      </c>
      <c r="D2211" t="s">
        <v>2981</v>
      </c>
      <c r="E2211" s="47" t="str">
        <f>+Cuenta_Clasificacion[[#This Row],[Código Cuenta Contable]]&amp;" - "&amp;Cuenta_Clasificacion[[#This Row],[Nombre de Cuenta Contable]]</f>
        <v>4105025 - Provision Costos Termino de Obra</v>
      </c>
      <c r="F2211" s="47" t="str">
        <f>+Cuenta_Clasificacion[[#This Row],[Codigo Concepto de imputación]]&amp;" - "&amp;Cuenta_Clasificacion[[#This Row],[Nombre Concepto de imputación]]</f>
        <v>40038 - Concretero</v>
      </c>
    </row>
    <row r="2212" spans="1:6" x14ac:dyDescent="0.25">
      <c r="A2212" s="43">
        <v>4105025</v>
      </c>
      <c r="B2212" t="s">
        <v>3094</v>
      </c>
      <c r="C2212" s="43">
        <v>40039</v>
      </c>
      <c r="D2212" t="s">
        <v>2982</v>
      </c>
      <c r="E2212" s="47" t="str">
        <f>+Cuenta_Clasificacion[[#This Row],[Código Cuenta Contable]]&amp;" - "&amp;Cuenta_Clasificacion[[#This Row],[Nombre de Cuenta Contable]]</f>
        <v>4105025 - Provision Costos Termino de Obra</v>
      </c>
      <c r="F2212" s="47" t="str">
        <f>+Cuenta_Clasificacion[[#This Row],[Codigo Concepto de imputación]]&amp;" - "&amp;Cuenta_Clasificacion[[#This Row],[Nombre Concepto de imputación]]</f>
        <v>40039 - Constructor</v>
      </c>
    </row>
    <row r="2213" spans="1:6" x14ac:dyDescent="0.25">
      <c r="A2213" s="43">
        <v>4105025</v>
      </c>
      <c r="B2213" t="s">
        <v>3094</v>
      </c>
      <c r="C2213" s="43">
        <v>40040</v>
      </c>
      <c r="D2213" t="s">
        <v>2983</v>
      </c>
      <c r="E2213" s="47" t="str">
        <f>+Cuenta_Clasificacion[[#This Row],[Código Cuenta Contable]]&amp;" - "&amp;Cuenta_Clasificacion[[#This Row],[Nombre de Cuenta Contable]]</f>
        <v>4105025 - Provision Costos Termino de Obra</v>
      </c>
      <c r="F2213" s="47" t="str">
        <f>+Cuenta_Clasificacion[[#This Row],[Codigo Concepto de imputación]]&amp;" - "&amp;Cuenta_Clasificacion[[#This Row],[Nombre Concepto de imputación]]</f>
        <v>40040 - Control de Obras</v>
      </c>
    </row>
    <row r="2214" spans="1:6" x14ac:dyDescent="0.25">
      <c r="A2214" s="43">
        <v>4105025</v>
      </c>
      <c r="B2214" t="s">
        <v>3094</v>
      </c>
      <c r="C2214" s="43">
        <v>40041</v>
      </c>
      <c r="D2214" t="s">
        <v>2984</v>
      </c>
      <c r="E2214" s="47" t="str">
        <f>+Cuenta_Clasificacion[[#This Row],[Código Cuenta Contable]]&amp;" - "&amp;Cuenta_Clasificacion[[#This Row],[Nombre de Cuenta Contable]]</f>
        <v>4105025 - Provision Costos Termino de Obra</v>
      </c>
      <c r="F2214" s="47" t="str">
        <f>+Cuenta_Clasificacion[[#This Row],[Codigo Concepto de imputación]]&amp;" - "&amp;Cuenta_Clasificacion[[#This Row],[Nombre Concepto de imputación]]</f>
        <v>40041 - Control de Gest. y Avance de O</v>
      </c>
    </row>
    <row r="2215" spans="1:6" x14ac:dyDescent="0.25">
      <c r="A2215" s="43">
        <v>4105025</v>
      </c>
      <c r="B2215" t="s">
        <v>3094</v>
      </c>
      <c r="C2215" s="43">
        <v>40042</v>
      </c>
      <c r="D2215" t="s">
        <v>2985</v>
      </c>
      <c r="E2215" s="47" t="str">
        <f>+Cuenta_Clasificacion[[#This Row],[Código Cuenta Contable]]&amp;" - "&amp;Cuenta_Clasificacion[[#This Row],[Nombre de Cuenta Contable]]</f>
        <v>4105025 - Provision Costos Termino de Obra</v>
      </c>
      <c r="F2215" s="47" t="str">
        <f>+Cuenta_Clasificacion[[#This Row],[Codigo Concepto de imputación]]&amp;" - "&amp;Cuenta_Clasificacion[[#This Row],[Nombre Concepto de imputación]]</f>
        <v>40042 - Coordinador de ITOs</v>
      </c>
    </row>
    <row r="2216" spans="1:6" x14ac:dyDescent="0.25">
      <c r="A2216" s="43">
        <v>4105025</v>
      </c>
      <c r="B2216" t="s">
        <v>3094</v>
      </c>
      <c r="C2216" s="43">
        <v>40043</v>
      </c>
      <c r="D2216" t="s">
        <v>2986</v>
      </c>
      <c r="E2216" s="47" t="str">
        <f>+Cuenta_Clasificacion[[#This Row],[Código Cuenta Contable]]&amp;" - "&amp;Cuenta_Clasificacion[[#This Row],[Nombre de Cuenta Contable]]</f>
        <v>4105025 - Provision Costos Termino de Obra</v>
      </c>
      <c r="F2216" s="47" t="str">
        <f>+Cuenta_Clasificacion[[#This Row],[Codigo Concepto de imputación]]&amp;" - "&amp;Cuenta_Clasificacion[[#This Row],[Nombre Concepto de imputación]]</f>
        <v>40043 - Coordinador de Proyectos</v>
      </c>
    </row>
    <row r="2217" spans="1:6" x14ac:dyDescent="0.25">
      <c r="A2217" s="43">
        <v>4105025</v>
      </c>
      <c r="B2217" t="s">
        <v>3094</v>
      </c>
      <c r="C2217" s="43">
        <v>40044</v>
      </c>
      <c r="D2217" t="s">
        <v>2987</v>
      </c>
      <c r="E2217" s="47" t="str">
        <f>+Cuenta_Clasificacion[[#This Row],[Código Cuenta Contable]]&amp;" - "&amp;Cuenta_Clasificacion[[#This Row],[Nombre de Cuenta Contable]]</f>
        <v>4105025 - Provision Costos Termino de Obra</v>
      </c>
      <c r="F2217" s="47" t="str">
        <f>+Cuenta_Clasificacion[[#This Row],[Codigo Concepto de imputación]]&amp;" - "&amp;Cuenta_Clasificacion[[#This Row],[Nombre Concepto de imputación]]</f>
        <v>40044 - Coord. Gral. de Instalacione</v>
      </c>
    </row>
    <row r="2218" spans="1:6" x14ac:dyDescent="0.25">
      <c r="A2218" s="43">
        <v>4105025</v>
      </c>
      <c r="B2218" t="s">
        <v>3094</v>
      </c>
      <c r="C2218" s="43">
        <v>40045</v>
      </c>
      <c r="D2218" t="s">
        <v>2988</v>
      </c>
      <c r="E2218" s="47" t="str">
        <f>+Cuenta_Clasificacion[[#This Row],[Código Cuenta Contable]]&amp;" - "&amp;Cuenta_Clasificacion[[#This Row],[Nombre de Cuenta Contable]]</f>
        <v>4105025 - Provision Costos Termino de Obra</v>
      </c>
      <c r="F2218" s="47" t="str">
        <f>+Cuenta_Clasificacion[[#This Row],[Codigo Concepto de imputación]]&amp;" - "&amp;Cuenta_Clasificacion[[#This Row],[Nombre Concepto de imputación]]</f>
        <v>40045 - Diseñador</v>
      </c>
    </row>
    <row r="2219" spans="1:6" x14ac:dyDescent="0.25">
      <c r="A2219" s="43">
        <v>4105025</v>
      </c>
      <c r="B2219" t="s">
        <v>3094</v>
      </c>
      <c r="C2219" s="43">
        <v>40046</v>
      </c>
      <c r="D2219" t="s">
        <v>2989</v>
      </c>
      <c r="E2219" s="47" t="str">
        <f>+Cuenta_Clasificacion[[#This Row],[Código Cuenta Contable]]&amp;" - "&amp;Cuenta_Clasificacion[[#This Row],[Nombre de Cuenta Contable]]</f>
        <v>4105025 - Provision Costos Termino de Obra</v>
      </c>
      <c r="F2219" s="47" t="str">
        <f>+Cuenta_Clasificacion[[#This Row],[Codigo Concepto de imputación]]&amp;" - "&amp;Cuenta_Clasificacion[[#This Row],[Nombre Concepto de imputación]]</f>
        <v>40046 - Eléctrico</v>
      </c>
    </row>
    <row r="2220" spans="1:6" x14ac:dyDescent="0.25">
      <c r="A2220" s="43">
        <v>4105025</v>
      </c>
      <c r="B2220" t="s">
        <v>3094</v>
      </c>
      <c r="C2220" s="43">
        <v>40047</v>
      </c>
      <c r="D2220" t="s">
        <v>2990</v>
      </c>
      <c r="E2220" s="47" t="str">
        <f>+Cuenta_Clasificacion[[#This Row],[Código Cuenta Contable]]&amp;" - "&amp;Cuenta_Clasificacion[[#This Row],[Nombre de Cuenta Contable]]</f>
        <v>4105025 - Provision Costos Termino de Obra</v>
      </c>
      <c r="F2220" s="47" t="str">
        <f>+Cuenta_Clasificacion[[#This Row],[Codigo Concepto de imputación]]&amp;" - "&amp;Cuenta_Clasificacion[[#This Row],[Nombre Concepto de imputación]]</f>
        <v>40047 - Electromecánico</v>
      </c>
    </row>
    <row r="2221" spans="1:6" x14ac:dyDescent="0.25">
      <c r="A2221" s="43">
        <v>4105025</v>
      </c>
      <c r="B2221" t="s">
        <v>3094</v>
      </c>
      <c r="C2221" s="43">
        <v>40048</v>
      </c>
      <c r="D2221" t="s">
        <v>2991</v>
      </c>
      <c r="E2221" s="47" t="str">
        <f>+Cuenta_Clasificacion[[#This Row],[Código Cuenta Contable]]&amp;" - "&amp;Cuenta_Clasificacion[[#This Row],[Nombre de Cuenta Contable]]</f>
        <v>4105025 - Provision Costos Termino de Obra</v>
      </c>
      <c r="F2221" s="47" t="str">
        <f>+Cuenta_Clasificacion[[#This Row],[Codigo Concepto de imputación]]&amp;" - "&amp;Cuenta_Clasificacion[[#This Row],[Nombre Concepto de imputación]]</f>
        <v>40048 - Elect. de Mant. y Montaje</v>
      </c>
    </row>
    <row r="2222" spans="1:6" x14ac:dyDescent="0.25">
      <c r="A2222" s="43">
        <v>4105025</v>
      </c>
      <c r="B2222" t="s">
        <v>3094</v>
      </c>
      <c r="C2222" s="43">
        <v>40049</v>
      </c>
      <c r="D2222" t="s">
        <v>2992</v>
      </c>
      <c r="E2222" s="47" t="str">
        <f>+Cuenta_Clasificacion[[#This Row],[Código Cuenta Contable]]&amp;" - "&amp;Cuenta_Clasificacion[[#This Row],[Nombre de Cuenta Contable]]</f>
        <v>4105025 - Provision Costos Termino de Obra</v>
      </c>
      <c r="F2222" s="47" t="str">
        <f>+Cuenta_Clasificacion[[#This Row],[Codigo Concepto de imputación]]&amp;" - "&amp;Cuenta_Clasificacion[[#This Row],[Nombre Concepto de imputación]]</f>
        <v>40049 - Encargado de Arriendos</v>
      </c>
    </row>
    <row r="2223" spans="1:6" x14ac:dyDescent="0.25">
      <c r="A2223" s="43">
        <v>4105025</v>
      </c>
      <c r="B2223" t="s">
        <v>3094</v>
      </c>
      <c r="C2223" s="43">
        <v>40050</v>
      </c>
      <c r="D2223" t="s">
        <v>2993</v>
      </c>
      <c r="E2223" s="47" t="str">
        <f>+Cuenta_Clasificacion[[#This Row],[Código Cuenta Contable]]&amp;" - "&amp;Cuenta_Clasificacion[[#This Row],[Nombre de Cuenta Contable]]</f>
        <v>4105025 - Provision Costos Termino de Obra</v>
      </c>
      <c r="F2223" s="47" t="str">
        <f>+Cuenta_Clasificacion[[#This Row],[Codigo Concepto de imputación]]&amp;" - "&amp;Cuenta_Clasificacion[[#This Row],[Nombre Concepto de imputación]]</f>
        <v>40050 - Encargado de Bodega</v>
      </c>
    </row>
    <row r="2224" spans="1:6" x14ac:dyDescent="0.25">
      <c r="A2224" s="43">
        <v>4105025</v>
      </c>
      <c r="B2224" t="s">
        <v>3094</v>
      </c>
      <c r="C2224" s="43">
        <v>40051</v>
      </c>
      <c r="D2224" t="s">
        <v>2994</v>
      </c>
      <c r="E2224" s="47" t="str">
        <f>+Cuenta_Clasificacion[[#This Row],[Código Cuenta Contable]]&amp;" - "&amp;Cuenta_Clasificacion[[#This Row],[Nombre de Cuenta Contable]]</f>
        <v>4105025 - Provision Costos Termino de Obra</v>
      </c>
      <c r="F2224" s="47" t="str">
        <f>+Cuenta_Clasificacion[[#This Row],[Codigo Concepto de imputación]]&amp;" - "&amp;Cuenta_Clasificacion[[#This Row],[Nombre Concepto de imputación]]</f>
        <v>40051 - Encargado Control Avance Obra</v>
      </c>
    </row>
    <row r="2225" spans="1:6" x14ac:dyDescent="0.25">
      <c r="A2225" s="43">
        <v>4105025</v>
      </c>
      <c r="B2225" t="s">
        <v>3094</v>
      </c>
      <c r="C2225" s="43">
        <v>40052</v>
      </c>
      <c r="D2225" t="s">
        <v>2995</v>
      </c>
      <c r="E2225" s="47" t="str">
        <f>+Cuenta_Clasificacion[[#This Row],[Código Cuenta Contable]]&amp;" - "&amp;Cuenta_Clasificacion[[#This Row],[Nombre de Cuenta Contable]]</f>
        <v>4105025 - Provision Costos Termino de Obra</v>
      </c>
      <c r="F2225" s="47" t="str">
        <f>+Cuenta_Clasificacion[[#This Row],[Codigo Concepto de imputación]]&amp;" - "&amp;Cuenta_Clasificacion[[#This Row],[Nombre Concepto de imputación]]</f>
        <v>40052 - Encargado de Inspección</v>
      </c>
    </row>
    <row r="2226" spans="1:6" x14ac:dyDescent="0.25">
      <c r="A2226" s="43">
        <v>4105025</v>
      </c>
      <c r="B2226" t="s">
        <v>3094</v>
      </c>
      <c r="C2226" s="43">
        <v>40053</v>
      </c>
      <c r="D2226" t="s">
        <v>2996</v>
      </c>
      <c r="E2226" s="47" t="str">
        <f>+Cuenta_Clasificacion[[#This Row],[Código Cuenta Contable]]&amp;" - "&amp;Cuenta_Clasificacion[[#This Row],[Nombre de Cuenta Contable]]</f>
        <v>4105025 - Provision Costos Termino de Obra</v>
      </c>
      <c r="F2226" s="47" t="str">
        <f>+Cuenta_Clasificacion[[#This Row],[Codigo Concepto de imputación]]&amp;" - "&amp;Cuenta_Clasificacion[[#This Row],[Nombre Concepto de imputación]]</f>
        <v>40053 - Encargado de Mantención</v>
      </c>
    </row>
    <row r="2227" spans="1:6" x14ac:dyDescent="0.25">
      <c r="A2227" s="43">
        <v>4105025</v>
      </c>
      <c r="B2227" t="s">
        <v>3094</v>
      </c>
      <c r="C2227" s="43">
        <v>40054</v>
      </c>
      <c r="D2227" t="s">
        <v>2997</v>
      </c>
      <c r="E2227" s="47" t="str">
        <f>+Cuenta_Clasificacion[[#This Row],[Código Cuenta Contable]]&amp;" - "&amp;Cuenta_Clasificacion[[#This Row],[Nombre de Cuenta Contable]]</f>
        <v>4105025 - Provision Costos Termino de Obra</v>
      </c>
      <c r="F2227" s="47" t="str">
        <f>+Cuenta_Clasificacion[[#This Row],[Codigo Concepto de imputación]]&amp;" - "&amp;Cuenta_Clasificacion[[#This Row],[Nombre Concepto de imputación]]</f>
        <v>40054 - Encargado de Oficina Técnica</v>
      </c>
    </row>
    <row r="2228" spans="1:6" x14ac:dyDescent="0.25">
      <c r="A2228" s="43">
        <v>4105025</v>
      </c>
      <c r="B2228" t="s">
        <v>3094</v>
      </c>
      <c r="C2228" s="43">
        <v>40055</v>
      </c>
      <c r="D2228" t="s">
        <v>2998</v>
      </c>
      <c r="E2228" s="47" t="str">
        <f>+Cuenta_Clasificacion[[#This Row],[Código Cuenta Contable]]&amp;" - "&amp;Cuenta_Clasificacion[[#This Row],[Nombre de Cuenta Contable]]</f>
        <v>4105025 - Provision Costos Termino de Obra</v>
      </c>
      <c r="F2228" s="47" t="str">
        <f>+Cuenta_Clasificacion[[#This Row],[Codigo Concepto de imputación]]&amp;" - "&amp;Cuenta_Clasificacion[[#This Row],[Nombre Concepto de imputación]]</f>
        <v>40055 - Enfierrador</v>
      </c>
    </row>
    <row r="2229" spans="1:6" x14ac:dyDescent="0.25">
      <c r="A2229" s="43">
        <v>4105025</v>
      </c>
      <c r="B2229" t="s">
        <v>3094</v>
      </c>
      <c r="C2229" s="43">
        <v>40056</v>
      </c>
      <c r="D2229" t="s">
        <v>2999</v>
      </c>
      <c r="E2229" s="47" t="str">
        <f>+Cuenta_Clasificacion[[#This Row],[Código Cuenta Contable]]&amp;" - "&amp;Cuenta_Clasificacion[[#This Row],[Nombre de Cuenta Contable]]</f>
        <v>4105025 - Provision Costos Termino de Obra</v>
      </c>
      <c r="F2229" s="47" t="str">
        <f>+Cuenta_Clasificacion[[#This Row],[Codigo Concepto de imputación]]&amp;" - "&amp;Cuenta_Clasificacion[[#This Row],[Nombre Concepto de imputación]]</f>
        <v>40056 - Especialista Eléctrico</v>
      </c>
    </row>
    <row r="2230" spans="1:6" x14ac:dyDescent="0.25">
      <c r="A2230" s="43">
        <v>4105025</v>
      </c>
      <c r="B2230" t="s">
        <v>3094</v>
      </c>
      <c r="C2230" s="43">
        <v>40057</v>
      </c>
      <c r="D2230" t="s">
        <v>3000</v>
      </c>
      <c r="E2230" s="47" t="str">
        <f>+Cuenta_Clasificacion[[#This Row],[Código Cuenta Contable]]&amp;" - "&amp;Cuenta_Clasificacion[[#This Row],[Nombre de Cuenta Contable]]</f>
        <v>4105025 - Provision Costos Termino de Obra</v>
      </c>
      <c r="F2230" s="47" t="str">
        <f>+Cuenta_Clasificacion[[#This Row],[Codigo Concepto de imputación]]&amp;" - "&amp;Cuenta_Clasificacion[[#This Row],[Nombre Concepto de imputación]]</f>
        <v>40057 - Estafeta</v>
      </c>
    </row>
    <row r="2231" spans="1:6" x14ac:dyDescent="0.25">
      <c r="A2231" s="43">
        <v>4105025</v>
      </c>
      <c r="B2231" t="s">
        <v>3094</v>
      </c>
      <c r="C2231" s="43">
        <v>40058</v>
      </c>
      <c r="D2231" t="s">
        <v>3001</v>
      </c>
      <c r="E2231" s="47" t="str">
        <f>+Cuenta_Clasificacion[[#This Row],[Código Cuenta Contable]]&amp;" - "&amp;Cuenta_Clasificacion[[#This Row],[Nombre de Cuenta Contable]]</f>
        <v>4105025 - Provision Costos Termino de Obra</v>
      </c>
      <c r="F2231" s="47" t="str">
        <f>+Cuenta_Clasificacion[[#This Row],[Codigo Concepto de imputación]]&amp;" - "&amp;Cuenta_Clasificacion[[#This Row],[Nombre Concepto de imputación]]</f>
        <v>40058 - Estucador</v>
      </c>
    </row>
    <row r="2232" spans="1:6" x14ac:dyDescent="0.25">
      <c r="A2232" s="43">
        <v>4105025</v>
      </c>
      <c r="B2232" t="s">
        <v>3094</v>
      </c>
      <c r="C2232" s="43">
        <v>40059</v>
      </c>
      <c r="D2232" t="s">
        <v>3002</v>
      </c>
      <c r="E2232" s="47" t="str">
        <f>+Cuenta_Clasificacion[[#This Row],[Código Cuenta Contable]]&amp;" - "&amp;Cuenta_Clasificacion[[#This Row],[Nombre de Cuenta Contable]]</f>
        <v>4105025 - Provision Costos Termino de Obra</v>
      </c>
      <c r="F2232" s="47" t="str">
        <f>+Cuenta_Clasificacion[[#This Row],[Codigo Concepto de imputación]]&amp;" - "&amp;Cuenta_Clasificacion[[#This Row],[Nombre Concepto de imputación]]</f>
        <v>40059 - Experto en  Prev. de Riesgos</v>
      </c>
    </row>
    <row r="2233" spans="1:6" x14ac:dyDescent="0.25">
      <c r="A2233" s="43">
        <v>4105025</v>
      </c>
      <c r="B2233" t="s">
        <v>3094</v>
      </c>
      <c r="C2233" s="43">
        <v>40060</v>
      </c>
      <c r="D2233" t="s">
        <v>3003</v>
      </c>
      <c r="E2233" s="47" t="str">
        <f>+Cuenta_Clasificacion[[#This Row],[Código Cuenta Contable]]&amp;" - "&amp;Cuenta_Clasificacion[[#This Row],[Nombre de Cuenta Contable]]</f>
        <v>4105025 - Provision Costos Termino de Obra</v>
      </c>
      <c r="F2233" s="47" t="str">
        <f>+Cuenta_Clasificacion[[#This Row],[Codigo Concepto de imputación]]&amp;" - "&amp;Cuenta_Clasificacion[[#This Row],[Nombre Concepto de imputación]]</f>
        <v>40060 - Gasfiter</v>
      </c>
    </row>
    <row r="2234" spans="1:6" x14ac:dyDescent="0.25">
      <c r="A2234" s="43">
        <v>4105025</v>
      </c>
      <c r="B2234" t="s">
        <v>3094</v>
      </c>
      <c r="C2234" s="43">
        <v>40061</v>
      </c>
      <c r="D2234" t="s">
        <v>3004</v>
      </c>
      <c r="E2234" s="47" t="str">
        <f>+Cuenta_Clasificacion[[#This Row],[Código Cuenta Contable]]&amp;" - "&amp;Cuenta_Clasificacion[[#This Row],[Nombre de Cuenta Contable]]</f>
        <v>4105025 - Provision Costos Termino de Obra</v>
      </c>
      <c r="F2234" s="47" t="str">
        <f>+Cuenta_Clasificacion[[#This Row],[Codigo Concepto de imputación]]&amp;" - "&amp;Cuenta_Clasificacion[[#This Row],[Nombre Concepto de imputación]]</f>
        <v>40061 - Gerente de Obra</v>
      </c>
    </row>
    <row r="2235" spans="1:6" x14ac:dyDescent="0.25">
      <c r="A2235" s="43">
        <v>4105025</v>
      </c>
      <c r="B2235" t="s">
        <v>3094</v>
      </c>
      <c r="C2235" s="43">
        <v>40062</v>
      </c>
      <c r="D2235" t="s">
        <v>3005</v>
      </c>
      <c r="E2235" s="47" t="str">
        <f>+Cuenta_Clasificacion[[#This Row],[Código Cuenta Contable]]&amp;" - "&amp;Cuenta_Clasificacion[[#This Row],[Nombre de Cuenta Contable]]</f>
        <v>4105025 - Provision Costos Termino de Obra</v>
      </c>
      <c r="F2235" s="47" t="str">
        <f>+Cuenta_Clasificacion[[#This Row],[Codigo Concepto de imputación]]&amp;" - "&amp;Cuenta_Clasificacion[[#This Row],[Nombre Concepto de imputación]]</f>
        <v>40062 - Ingeniero</v>
      </c>
    </row>
    <row r="2236" spans="1:6" x14ac:dyDescent="0.25">
      <c r="A2236" s="43">
        <v>4105025</v>
      </c>
      <c r="B2236" t="s">
        <v>3094</v>
      </c>
      <c r="C2236" s="43">
        <v>40063</v>
      </c>
      <c r="D2236" t="s">
        <v>3006</v>
      </c>
      <c r="E2236" s="47" t="str">
        <f>+Cuenta_Clasificacion[[#This Row],[Código Cuenta Contable]]&amp;" - "&amp;Cuenta_Clasificacion[[#This Row],[Nombre de Cuenta Contable]]</f>
        <v>4105025 - Provision Costos Termino de Obra</v>
      </c>
      <c r="F2236" s="47" t="str">
        <f>+Cuenta_Clasificacion[[#This Row],[Codigo Concepto de imputación]]&amp;" - "&amp;Cuenta_Clasificacion[[#This Row],[Nombre Concepto de imputación]]</f>
        <v>40063 - Insp. Técnico de Obra Interno</v>
      </c>
    </row>
    <row r="2237" spans="1:6" x14ac:dyDescent="0.25">
      <c r="A2237" s="43">
        <v>4105025</v>
      </c>
      <c r="B2237" t="s">
        <v>3094</v>
      </c>
      <c r="C2237" s="43">
        <v>40064</v>
      </c>
      <c r="D2237" t="s">
        <v>3007</v>
      </c>
      <c r="E2237" s="47" t="str">
        <f>+Cuenta_Clasificacion[[#This Row],[Código Cuenta Contable]]&amp;" - "&amp;Cuenta_Clasificacion[[#This Row],[Nombre de Cuenta Contable]]</f>
        <v>4105025 - Provision Costos Termino de Obra</v>
      </c>
      <c r="F2237" s="47" t="str">
        <f>+Cuenta_Clasificacion[[#This Row],[Codigo Concepto de imputación]]&amp;" - "&amp;Cuenta_Clasificacion[[#This Row],[Nombre Concepto de imputación]]</f>
        <v>40064 - Inspector Técnico de Obra</v>
      </c>
    </row>
    <row r="2238" spans="1:6" x14ac:dyDescent="0.25">
      <c r="A2238" s="43">
        <v>4105025</v>
      </c>
      <c r="B2238" t="s">
        <v>3094</v>
      </c>
      <c r="C2238" s="43">
        <v>40065</v>
      </c>
      <c r="D2238" t="s">
        <v>3008</v>
      </c>
      <c r="E2238" s="47" t="str">
        <f>+Cuenta_Clasificacion[[#This Row],[Código Cuenta Contable]]&amp;" - "&amp;Cuenta_Clasificacion[[#This Row],[Nombre de Cuenta Contable]]</f>
        <v>4105025 - Provision Costos Termino de Obra</v>
      </c>
      <c r="F2238" s="47" t="str">
        <f>+Cuenta_Clasificacion[[#This Row],[Codigo Concepto de imputación]]&amp;" - "&amp;Cuenta_Clasificacion[[#This Row],[Nombre Concepto de imputación]]</f>
        <v>40065 - Jefe de Adquisiciones</v>
      </c>
    </row>
    <row r="2239" spans="1:6" x14ac:dyDescent="0.25">
      <c r="A2239" s="43">
        <v>4105025</v>
      </c>
      <c r="B2239" t="s">
        <v>3094</v>
      </c>
      <c r="C2239" s="43">
        <v>40066</v>
      </c>
      <c r="D2239" t="s">
        <v>3009</v>
      </c>
      <c r="E2239" s="47" t="str">
        <f>+Cuenta_Clasificacion[[#This Row],[Código Cuenta Contable]]&amp;" - "&amp;Cuenta_Clasificacion[[#This Row],[Nombre de Cuenta Contable]]</f>
        <v>4105025 - Provision Costos Termino de Obra</v>
      </c>
      <c r="F2239" s="47" t="str">
        <f>+Cuenta_Clasificacion[[#This Row],[Codigo Concepto de imputación]]&amp;" - "&amp;Cuenta_Clasificacion[[#This Row],[Nombre Concepto de imputación]]</f>
        <v>40066 - Jefe de Bodega</v>
      </c>
    </row>
    <row r="2240" spans="1:6" x14ac:dyDescent="0.25">
      <c r="A2240" s="43">
        <v>4105025</v>
      </c>
      <c r="B2240" t="s">
        <v>3094</v>
      </c>
      <c r="C2240" s="43">
        <v>40067</v>
      </c>
      <c r="D2240" t="s">
        <v>3010</v>
      </c>
      <c r="E2240" s="47" t="str">
        <f>+Cuenta_Clasificacion[[#This Row],[Código Cuenta Contable]]&amp;" - "&amp;Cuenta_Clasificacion[[#This Row],[Nombre de Cuenta Contable]]</f>
        <v>4105025 - Provision Costos Termino de Obra</v>
      </c>
      <c r="F2240" s="47" t="str">
        <f>+Cuenta_Clasificacion[[#This Row],[Codigo Concepto de imputación]]&amp;" - "&amp;Cuenta_Clasificacion[[#This Row],[Nombre Concepto de imputación]]</f>
        <v>40067 - Jefe de Maq. y Bodega Central</v>
      </c>
    </row>
    <row r="2241" spans="1:6" x14ac:dyDescent="0.25">
      <c r="A2241" s="43">
        <v>4105025</v>
      </c>
      <c r="B2241" t="s">
        <v>3094</v>
      </c>
      <c r="C2241" s="43">
        <v>40068</v>
      </c>
      <c r="D2241" t="s">
        <v>3011</v>
      </c>
      <c r="E2241" s="47" t="str">
        <f>+Cuenta_Clasificacion[[#This Row],[Código Cuenta Contable]]&amp;" - "&amp;Cuenta_Clasificacion[[#This Row],[Nombre de Cuenta Contable]]</f>
        <v>4105025 - Provision Costos Termino de Obra</v>
      </c>
      <c r="F2241" s="47" t="str">
        <f>+Cuenta_Clasificacion[[#This Row],[Codigo Concepto de imputación]]&amp;" - "&amp;Cuenta_Clasificacion[[#This Row],[Nombre Concepto de imputación]]</f>
        <v>40068 - Jefe de Obra</v>
      </c>
    </row>
    <row r="2242" spans="1:6" x14ac:dyDescent="0.25">
      <c r="A2242" s="43">
        <v>4105025</v>
      </c>
      <c r="B2242" t="s">
        <v>3094</v>
      </c>
      <c r="C2242" s="43">
        <v>40069</v>
      </c>
      <c r="D2242" t="s">
        <v>3012</v>
      </c>
      <c r="E2242" s="47" t="str">
        <f>+Cuenta_Clasificacion[[#This Row],[Código Cuenta Contable]]&amp;" - "&amp;Cuenta_Clasificacion[[#This Row],[Nombre de Cuenta Contable]]</f>
        <v>4105025 - Provision Costos Termino de Obra</v>
      </c>
      <c r="F2242" s="47" t="str">
        <f>+Cuenta_Clasificacion[[#This Row],[Codigo Concepto de imputación]]&amp;" - "&amp;Cuenta_Clasificacion[[#This Row],[Nombre Concepto de imputación]]</f>
        <v>40069 - Jefe de Patio</v>
      </c>
    </row>
    <row r="2243" spans="1:6" x14ac:dyDescent="0.25">
      <c r="A2243" s="43">
        <v>4105025</v>
      </c>
      <c r="B2243" t="s">
        <v>3094</v>
      </c>
      <c r="C2243" s="43">
        <v>40070</v>
      </c>
      <c r="D2243" t="s">
        <v>3013</v>
      </c>
      <c r="E2243" s="47" t="str">
        <f>+Cuenta_Clasificacion[[#This Row],[Código Cuenta Contable]]&amp;" - "&amp;Cuenta_Clasificacion[[#This Row],[Nombre de Cuenta Contable]]</f>
        <v>4105025 - Provision Costos Termino de Obra</v>
      </c>
      <c r="F2243" s="47" t="str">
        <f>+Cuenta_Clasificacion[[#This Row],[Codigo Concepto de imputación]]&amp;" - "&amp;Cuenta_Clasificacion[[#This Row],[Nombre Concepto de imputación]]</f>
        <v>40070 - Jefe de Post Venta</v>
      </c>
    </row>
    <row r="2244" spans="1:6" x14ac:dyDescent="0.25">
      <c r="A2244" s="43">
        <v>4105025</v>
      </c>
      <c r="B2244" t="s">
        <v>3094</v>
      </c>
      <c r="C2244" s="43">
        <v>40071</v>
      </c>
      <c r="D2244" t="s">
        <v>3014</v>
      </c>
      <c r="E2244" s="47" t="str">
        <f>+Cuenta_Clasificacion[[#This Row],[Código Cuenta Contable]]&amp;" - "&amp;Cuenta_Clasificacion[[#This Row],[Nombre de Cuenta Contable]]</f>
        <v>4105025 - Provision Costos Termino de Obra</v>
      </c>
      <c r="F2244" s="47" t="str">
        <f>+Cuenta_Clasificacion[[#This Row],[Codigo Concepto de imputación]]&amp;" - "&amp;Cuenta_Clasificacion[[#This Row],[Nombre Concepto de imputación]]</f>
        <v>40071 - Jefe de Procesos</v>
      </c>
    </row>
    <row r="2245" spans="1:6" x14ac:dyDescent="0.25">
      <c r="A2245" s="43">
        <v>4105025</v>
      </c>
      <c r="B2245" t="s">
        <v>3094</v>
      </c>
      <c r="C2245" s="43">
        <v>40072</v>
      </c>
      <c r="D2245" t="s">
        <v>3015</v>
      </c>
      <c r="E2245" s="47" t="str">
        <f>+Cuenta_Clasificacion[[#This Row],[Código Cuenta Contable]]&amp;" - "&amp;Cuenta_Clasificacion[[#This Row],[Nombre de Cuenta Contable]]</f>
        <v>4105025 - Provision Costos Termino de Obra</v>
      </c>
      <c r="F2245" s="47" t="str">
        <f>+Cuenta_Clasificacion[[#This Row],[Codigo Concepto de imputación]]&amp;" - "&amp;Cuenta_Clasificacion[[#This Row],[Nombre Concepto de imputación]]</f>
        <v>40072 - Jefe de Terreno</v>
      </c>
    </row>
    <row r="2246" spans="1:6" x14ac:dyDescent="0.25">
      <c r="A2246" s="43">
        <v>4105025</v>
      </c>
      <c r="B2246" t="s">
        <v>3094</v>
      </c>
      <c r="C2246" s="43">
        <v>40073</v>
      </c>
      <c r="D2246" t="s">
        <v>3016</v>
      </c>
      <c r="E2246" s="47" t="str">
        <f>+Cuenta_Clasificacion[[#This Row],[Código Cuenta Contable]]&amp;" - "&amp;Cuenta_Clasificacion[[#This Row],[Nombre de Cuenta Contable]]</f>
        <v>4105025 - Provision Costos Termino de Obra</v>
      </c>
      <c r="F2246" s="47" t="str">
        <f>+Cuenta_Clasificacion[[#This Row],[Codigo Concepto de imputación]]&amp;" - "&amp;Cuenta_Clasificacion[[#This Row],[Nombre Concepto de imputación]]</f>
        <v>40073 - Jornal</v>
      </c>
    </row>
    <row r="2247" spans="1:6" x14ac:dyDescent="0.25">
      <c r="A2247" s="43">
        <v>4105025</v>
      </c>
      <c r="B2247" t="s">
        <v>3094</v>
      </c>
      <c r="C2247" s="43">
        <v>40074</v>
      </c>
      <c r="D2247" t="s">
        <v>3017</v>
      </c>
      <c r="E2247" s="47" t="str">
        <f>+Cuenta_Clasificacion[[#This Row],[Código Cuenta Contable]]&amp;" - "&amp;Cuenta_Clasificacion[[#This Row],[Nombre de Cuenta Contable]]</f>
        <v>4105025 - Provision Costos Termino de Obra</v>
      </c>
      <c r="F2247" s="47" t="str">
        <f>+Cuenta_Clasificacion[[#This Row],[Codigo Concepto de imputación]]&amp;" - "&amp;Cuenta_Clasificacion[[#This Row],[Nombre Concepto de imputación]]</f>
        <v>40074 - Jornal Andamiero</v>
      </c>
    </row>
    <row r="2248" spans="1:6" x14ac:dyDescent="0.25">
      <c r="A2248" s="43">
        <v>4105025</v>
      </c>
      <c r="B2248" t="s">
        <v>3094</v>
      </c>
      <c r="C2248" s="43">
        <v>40075</v>
      </c>
      <c r="D2248" t="s">
        <v>3018</v>
      </c>
      <c r="E2248" s="47" t="str">
        <f>+Cuenta_Clasificacion[[#This Row],[Código Cuenta Contable]]&amp;" - "&amp;Cuenta_Clasificacion[[#This Row],[Nombre de Cuenta Contable]]</f>
        <v>4105025 - Provision Costos Termino de Obra</v>
      </c>
      <c r="F2248" s="47" t="str">
        <f>+Cuenta_Clasificacion[[#This Row],[Codigo Concepto de imputación]]&amp;" - "&amp;Cuenta_Clasificacion[[#This Row],[Nombre Concepto de imputación]]</f>
        <v>40075 - Jornal Canguero</v>
      </c>
    </row>
    <row r="2249" spans="1:6" x14ac:dyDescent="0.25">
      <c r="A2249" s="43">
        <v>4105025</v>
      </c>
      <c r="B2249" t="s">
        <v>3094</v>
      </c>
      <c r="C2249" s="43">
        <v>40076</v>
      </c>
      <c r="D2249" t="s">
        <v>3019</v>
      </c>
      <c r="E2249" s="47" t="str">
        <f>+Cuenta_Clasificacion[[#This Row],[Código Cuenta Contable]]&amp;" - "&amp;Cuenta_Clasificacion[[#This Row],[Nombre de Cuenta Contable]]</f>
        <v>4105025 - Provision Costos Termino de Obra</v>
      </c>
      <c r="F2249" s="47" t="str">
        <f>+Cuenta_Clasificacion[[#This Row],[Codigo Concepto de imputación]]&amp;" - "&amp;Cuenta_Clasificacion[[#This Row],[Nombre Concepto de imputación]]</f>
        <v>40076 - Jornal Concretero</v>
      </c>
    </row>
    <row r="2250" spans="1:6" x14ac:dyDescent="0.25">
      <c r="A2250" s="43">
        <v>4105025</v>
      </c>
      <c r="B2250" t="s">
        <v>3094</v>
      </c>
      <c r="C2250" s="43">
        <v>40077</v>
      </c>
      <c r="D2250" t="s">
        <v>3020</v>
      </c>
      <c r="E2250" s="47" t="str">
        <f>+Cuenta_Clasificacion[[#This Row],[Código Cuenta Contable]]&amp;" - "&amp;Cuenta_Clasificacion[[#This Row],[Nombre de Cuenta Contable]]</f>
        <v>4105025 - Provision Costos Termino de Obra</v>
      </c>
      <c r="F2250" s="47" t="str">
        <f>+Cuenta_Clasificacion[[#This Row],[Codigo Concepto de imputación]]&amp;" - "&amp;Cuenta_Clasificacion[[#This Row],[Nombre Concepto de imputación]]</f>
        <v>40077 - Jornal de Aseo</v>
      </c>
    </row>
    <row r="2251" spans="1:6" x14ac:dyDescent="0.25">
      <c r="A2251" s="43">
        <v>4105025</v>
      </c>
      <c r="B2251" t="s">
        <v>3094</v>
      </c>
      <c r="C2251" s="43">
        <v>40078</v>
      </c>
      <c r="D2251" t="s">
        <v>3021</v>
      </c>
      <c r="E2251" s="47" t="str">
        <f>+Cuenta_Clasificacion[[#This Row],[Código Cuenta Contable]]&amp;" - "&amp;Cuenta_Clasificacion[[#This Row],[Nombre de Cuenta Contable]]</f>
        <v>4105025 - Provision Costos Termino de Obra</v>
      </c>
      <c r="F2251" s="47" t="str">
        <f>+Cuenta_Clasificacion[[#This Row],[Codigo Concepto de imputación]]&amp;" - "&amp;Cuenta_Clasificacion[[#This Row],[Nombre Concepto de imputación]]</f>
        <v>40078 - Jornal Llavero</v>
      </c>
    </row>
    <row r="2252" spans="1:6" x14ac:dyDescent="0.25">
      <c r="A2252" s="43">
        <v>4105025</v>
      </c>
      <c r="B2252" t="s">
        <v>3094</v>
      </c>
      <c r="C2252" s="43">
        <v>40079</v>
      </c>
      <c r="D2252" t="s">
        <v>3022</v>
      </c>
      <c r="E2252" s="47" t="str">
        <f>+Cuenta_Clasificacion[[#This Row],[Código Cuenta Contable]]&amp;" - "&amp;Cuenta_Clasificacion[[#This Row],[Nombre de Cuenta Contable]]</f>
        <v>4105025 - Provision Costos Termino de Obra</v>
      </c>
      <c r="F2252" s="47" t="str">
        <f>+Cuenta_Clasificacion[[#This Row],[Codigo Concepto de imputación]]&amp;" - "&amp;Cuenta_Clasificacion[[#This Row],[Nombre Concepto de imputación]]</f>
        <v>40079 - Junior</v>
      </c>
    </row>
    <row r="2253" spans="1:6" x14ac:dyDescent="0.25">
      <c r="A2253" s="43">
        <v>4105025</v>
      </c>
      <c r="B2253" t="s">
        <v>3094</v>
      </c>
      <c r="C2253" s="43">
        <v>40080</v>
      </c>
      <c r="D2253" t="s">
        <v>3023</v>
      </c>
      <c r="E2253" s="47" t="str">
        <f>+Cuenta_Clasificacion[[#This Row],[Código Cuenta Contable]]&amp;" - "&amp;Cuenta_Clasificacion[[#This Row],[Nombre de Cuenta Contable]]</f>
        <v>4105025 - Provision Costos Termino de Obra</v>
      </c>
      <c r="F2253" s="47" t="str">
        <f>+Cuenta_Clasificacion[[#This Row],[Codigo Concepto de imputación]]&amp;" - "&amp;Cuenta_Clasificacion[[#This Row],[Nombre Concepto de imputación]]</f>
        <v>40080 - Maestro</v>
      </c>
    </row>
    <row r="2254" spans="1:6" x14ac:dyDescent="0.25">
      <c r="A2254" s="43">
        <v>4105025</v>
      </c>
      <c r="B2254" t="s">
        <v>3094</v>
      </c>
      <c r="C2254" s="43">
        <v>40081</v>
      </c>
      <c r="D2254" t="s">
        <v>3024</v>
      </c>
      <c r="E2254" s="47" t="str">
        <f>+Cuenta_Clasificacion[[#This Row],[Código Cuenta Contable]]&amp;" - "&amp;Cuenta_Clasificacion[[#This Row],[Nombre de Cuenta Contable]]</f>
        <v>4105025 - Provision Costos Termino de Obra</v>
      </c>
      <c r="F2254" s="47" t="str">
        <f>+Cuenta_Clasificacion[[#This Row],[Codigo Concepto de imputación]]&amp;" - "&amp;Cuenta_Clasificacion[[#This Row],[Nombre Concepto de imputación]]</f>
        <v>40081 - Maestro Albañil</v>
      </c>
    </row>
    <row r="2255" spans="1:6" x14ac:dyDescent="0.25">
      <c r="A2255" s="43">
        <v>4105025</v>
      </c>
      <c r="B2255" t="s">
        <v>3094</v>
      </c>
      <c r="C2255" s="43">
        <v>40082</v>
      </c>
      <c r="D2255" t="s">
        <v>3025</v>
      </c>
      <c r="E2255" s="47" t="str">
        <f>+Cuenta_Clasificacion[[#This Row],[Código Cuenta Contable]]&amp;" - "&amp;Cuenta_Clasificacion[[#This Row],[Nombre de Cuenta Contable]]</f>
        <v>4105025 - Provision Costos Termino de Obra</v>
      </c>
      <c r="F2255" s="47" t="str">
        <f>+Cuenta_Clasificacion[[#This Row],[Codigo Concepto de imputación]]&amp;" - "&amp;Cuenta_Clasificacion[[#This Row],[Nombre Concepto de imputación]]</f>
        <v>40082 - Maestro Carpintero</v>
      </c>
    </row>
    <row r="2256" spans="1:6" x14ac:dyDescent="0.25">
      <c r="A2256" s="43">
        <v>4105025</v>
      </c>
      <c r="B2256" t="s">
        <v>3094</v>
      </c>
      <c r="C2256" s="43">
        <v>40083</v>
      </c>
      <c r="D2256" t="s">
        <v>3026</v>
      </c>
      <c r="E2256" s="47" t="str">
        <f>+Cuenta_Clasificacion[[#This Row],[Código Cuenta Contable]]&amp;" - "&amp;Cuenta_Clasificacion[[#This Row],[Nombre de Cuenta Contable]]</f>
        <v>4105025 - Provision Costos Termino de Obra</v>
      </c>
      <c r="F2256" s="47" t="str">
        <f>+Cuenta_Clasificacion[[#This Row],[Codigo Concepto de imputación]]&amp;" - "&amp;Cuenta_Clasificacion[[#This Row],[Nombre Concepto de imputación]]</f>
        <v>40083 - Maestro Ceramista</v>
      </c>
    </row>
    <row r="2257" spans="1:6" x14ac:dyDescent="0.25">
      <c r="A2257" s="43">
        <v>4105025</v>
      </c>
      <c r="B2257" t="s">
        <v>3094</v>
      </c>
      <c r="C2257" s="43">
        <v>40084</v>
      </c>
      <c r="D2257" t="s">
        <v>3027</v>
      </c>
      <c r="E2257" s="47" t="str">
        <f>+Cuenta_Clasificacion[[#This Row],[Código Cuenta Contable]]&amp;" - "&amp;Cuenta_Clasificacion[[#This Row],[Nombre de Cuenta Contable]]</f>
        <v>4105025 - Provision Costos Termino de Obra</v>
      </c>
      <c r="F2257" s="47" t="str">
        <f>+Cuenta_Clasificacion[[#This Row],[Codigo Concepto de imputación]]&amp;" - "&amp;Cuenta_Clasificacion[[#This Row],[Nombre Concepto de imputación]]</f>
        <v>40084 - Maestro Fragüero</v>
      </c>
    </row>
    <row r="2258" spans="1:6" x14ac:dyDescent="0.25">
      <c r="A2258" s="43">
        <v>4105025</v>
      </c>
      <c r="B2258" t="s">
        <v>3094</v>
      </c>
      <c r="C2258" s="43">
        <v>40085</v>
      </c>
      <c r="D2258" t="s">
        <v>3028</v>
      </c>
      <c r="E2258" s="47" t="str">
        <f>+Cuenta_Clasificacion[[#This Row],[Código Cuenta Contable]]&amp;" - "&amp;Cuenta_Clasificacion[[#This Row],[Nombre de Cuenta Contable]]</f>
        <v>4105025 - Provision Costos Termino de Obra</v>
      </c>
      <c r="F2258" s="47" t="str">
        <f>+Cuenta_Clasificacion[[#This Row],[Codigo Concepto de imputación]]&amp;" - "&amp;Cuenta_Clasificacion[[#This Row],[Nombre Concepto de imputación]]</f>
        <v>40085 - Maestro Trazador</v>
      </c>
    </row>
    <row r="2259" spans="1:6" x14ac:dyDescent="0.25">
      <c r="A2259" s="43">
        <v>4105025</v>
      </c>
      <c r="B2259" t="s">
        <v>3094</v>
      </c>
      <c r="C2259" s="43">
        <v>40086</v>
      </c>
      <c r="D2259" t="s">
        <v>3029</v>
      </c>
      <c r="E2259" s="47" t="str">
        <f>+Cuenta_Clasificacion[[#This Row],[Código Cuenta Contable]]&amp;" - "&amp;Cuenta_Clasificacion[[#This Row],[Nombre de Cuenta Contable]]</f>
        <v>4105025 - Provision Costos Termino de Obra</v>
      </c>
      <c r="F2259" s="47" t="str">
        <f>+Cuenta_Clasificacion[[#This Row],[Codigo Concepto de imputación]]&amp;" - "&amp;Cuenta_Clasificacion[[#This Row],[Nombre Concepto de imputación]]</f>
        <v>40086 - Mantención</v>
      </c>
    </row>
    <row r="2260" spans="1:6" x14ac:dyDescent="0.25">
      <c r="A2260" s="43">
        <v>4105025</v>
      </c>
      <c r="B2260" t="s">
        <v>3094</v>
      </c>
      <c r="C2260" s="43">
        <v>40087</v>
      </c>
      <c r="D2260" t="s">
        <v>3030</v>
      </c>
      <c r="E2260" s="47" t="str">
        <f>+Cuenta_Clasificacion[[#This Row],[Código Cuenta Contable]]&amp;" - "&amp;Cuenta_Clasificacion[[#This Row],[Nombre de Cuenta Contable]]</f>
        <v>4105025 - Provision Costos Termino de Obra</v>
      </c>
      <c r="F2260" s="47" t="str">
        <f>+Cuenta_Clasificacion[[#This Row],[Codigo Concepto de imputación]]&amp;" - "&amp;Cuenta_Clasificacion[[#This Row],[Nombre Concepto de imputación]]</f>
        <v>40087 - Mayordomo</v>
      </c>
    </row>
    <row r="2261" spans="1:6" x14ac:dyDescent="0.25">
      <c r="A2261" s="43">
        <v>4105025</v>
      </c>
      <c r="B2261" t="s">
        <v>3094</v>
      </c>
      <c r="C2261" s="43">
        <v>40088</v>
      </c>
      <c r="D2261" t="s">
        <v>3031</v>
      </c>
      <c r="E2261" s="47" t="str">
        <f>+Cuenta_Clasificacion[[#This Row],[Código Cuenta Contable]]&amp;" - "&amp;Cuenta_Clasificacion[[#This Row],[Nombre de Cuenta Contable]]</f>
        <v>4105025 - Provision Costos Termino de Obra</v>
      </c>
      <c r="F2261" s="47" t="str">
        <f>+Cuenta_Clasificacion[[#This Row],[Codigo Concepto de imputación]]&amp;" - "&amp;Cuenta_Clasificacion[[#This Row],[Nombre Concepto de imputación]]</f>
        <v>40088 - Oficina Técnica</v>
      </c>
    </row>
    <row r="2262" spans="1:6" x14ac:dyDescent="0.25">
      <c r="A2262" s="43">
        <v>4105025</v>
      </c>
      <c r="B2262" t="s">
        <v>3094</v>
      </c>
      <c r="C2262" s="43">
        <v>40089</v>
      </c>
      <c r="D2262" t="s">
        <v>3032</v>
      </c>
      <c r="E2262" s="47" t="str">
        <f>+Cuenta_Clasificacion[[#This Row],[Código Cuenta Contable]]&amp;" - "&amp;Cuenta_Clasificacion[[#This Row],[Nombre de Cuenta Contable]]</f>
        <v>4105025 - Provision Costos Termino de Obra</v>
      </c>
      <c r="F2262" s="47" t="str">
        <f>+Cuenta_Clasificacion[[#This Row],[Codigo Concepto de imputación]]&amp;" - "&amp;Cuenta_Clasificacion[[#This Row],[Nombre Concepto de imputación]]</f>
        <v>40089 - Operador</v>
      </c>
    </row>
    <row r="2263" spans="1:6" x14ac:dyDescent="0.25">
      <c r="A2263" s="43">
        <v>4105025</v>
      </c>
      <c r="B2263" t="s">
        <v>3094</v>
      </c>
      <c r="C2263" s="43">
        <v>40090</v>
      </c>
      <c r="D2263" t="s">
        <v>3033</v>
      </c>
      <c r="E2263" s="47" t="str">
        <f>+Cuenta_Clasificacion[[#This Row],[Código Cuenta Contable]]&amp;" - "&amp;Cuenta_Clasificacion[[#This Row],[Nombre de Cuenta Contable]]</f>
        <v>4105025 - Provision Costos Termino de Obra</v>
      </c>
      <c r="F2263" s="47" t="str">
        <f>+Cuenta_Clasificacion[[#This Row],[Codigo Concepto de imputación]]&amp;" - "&amp;Cuenta_Clasificacion[[#This Row],[Nombre Concepto de imputación]]</f>
        <v>40090 - Operador de Grúa</v>
      </c>
    </row>
    <row r="2264" spans="1:6" x14ac:dyDescent="0.25">
      <c r="A2264" s="43">
        <v>4105025</v>
      </c>
      <c r="B2264" t="s">
        <v>3094</v>
      </c>
      <c r="C2264" s="43">
        <v>40091</v>
      </c>
      <c r="D2264" t="s">
        <v>3034</v>
      </c>
      <c r="E2264" s="47" t="str">
        <f>+Cuenta_Clasificacion[[#This Row],[Código Cuenta Contable]]&amp;" - "&amp;Cuenta_Clasificacion[[#This Row],[Nombre de Cuenta Contable]]</f>
        <v>4105025 - Provision Costos Termino de Obra</v>
      </c>
      <c r="F2264" s="47" t="str">
        <f>+Cuenta_Clasificacion[[#This Row],[Codigo Concepto de imputación]]&amp;" - "&amp;Cuenta_Clasificacion[[#This Row],[Nombre Concepto de imputación]]</f>
        <v>40091 - Operador de Minicargador</v>
      </c>
    </row>
    <row r="2265" spans="1:6" x14ac:dyDescent="0.25">
      <c r="A2265" s="43">
        <v>4105025</v>
      </c>
      <c r="B2265" t="s">
        <v>3094</v>
      </c>
      <c r="C2265" s="43">
        <v>40092</v>
      </c>
      <c r="D2265" t="s">
        <v>3035</v>
      </c>
      <c r="E2265" s="47" t="str">
        <f>+Cuenta_Clasificacion[[#This Row],[Código Cuenta Contable]]&amp;" - "&amp;Cuenta_Clasificacion[[#This Row],[Nombre de Cuenta Contable]]</f>
        <v>4105025 - Provision Costos Termino de Obra</v>
      </c>
      <c r="F2265" s="47" t="str">
        <f>+Cuenta_Clasificacion[[#This Row],[Codigo Concepto de imputación]]&amp;" - "&amp;Cuenta_Clasificacion[[#This Row],[Nombre Concepto de imputación]]</f>
        <v>40092 - Pañolero</v>
      </c>
    </row>
    <row r="2266" spans="1:6" x14ac:dyDescent="0.25">
      <c r="A2266" s="43">
        <v>4105025</v>
      </c>
      <c r="B2266" t="s">
        <v>3094</v>
      </c>
      <c r="C2266" s="43">
        <v>40093</v>
      </c>
      <c r="D2266" t="s">
        <v>3036</v>
      </c>
      <c r="E2266" s="47" t="str">
        <f>+Cuenta_Clasificacion[[#This Row],[Código Cuenta Contable]]&amp;" - "&amp;Cuenta_Clasificacion[[#This Row],[Nombre de Cuenta Contable]]</f>
        <v>4105025 - Provision Costos Termino de Obra</v>
      </c>
      <c r="F2266" s="47" t="str">
        <f>+Cuenta_Clasificacion[[#This Row],[Codigo Concepto de imputación]]&amp;" - "&amp;Cuenta_Clasificacion[[#This Row],[Nombre Concepto de imputación]]</f>
        <v>40093 - Pintor</v>
      </c>
    </row>
    <row r="2267" spans="1:6" x14ac:dyDescent="0.25">
      <c r="A2267" s="43">
        <v>4105025</v>
      </c>
      <c r="B2267" t="s">
        <v>3094</v>
      </c>
      <c r="C2267" s="43">
        <v>40094</v>
      </c>
      <c r="D2267" t="s">
        <v>3037</v>
      </c>
      <c r="E2267" s="47" t="str">
        <f>+Cuenta_Clasificacion[[#This Row],[Código Cuenta Contable]]&amp;" - "&amp;Cuenta_Clasificacion[[#This Row],[Nombre de Cuenta Contable]]</f>
        <v>4105025 - Provision Costos Termino de Obra</v>
      </c>
      <c r="F2267" s="47" t="str">
        <f>+Cuenta_Clasificacion[[#This Row],[Codigo Concepto de imputación]]&amp;" - "&amp;Cuenta_Clasificacion[[#This Row],[Nombre Concepto de imputación]]</f>
        <v>40094 - Portero</v>
      </c>
    </row>
    <row r="2268" spans="1:6" x14ac:dyDescent="0.25">
      <c r="A2268" s="43">
        <v>4105025</v>
      </c>
      <c r="B2268" t="s">
        <v>3094</v>
      </c>
      <c r="C2268" s="43">
        <v>40095</v>
      </c>
      <c r="D2268" t="s">
        <v>3038</v>
      </c>
      <c r="E2268" s="47" t="str">
        <f>+Cuenta_Clasificacion[[#This Row],[Código Cuenta Contable]]&amp;" - "&amp;Cuenta_Clasificacion[[#This Row],[Nombre de Cuenta Contable]]</f>
        <v>4105025 - Provision Costos Termino de Obra</v>
      </c>
      <c r="F2268" s="47" t="str">
        <f>+Cuenta_Clasificacion[[#This Row],[Codigo Concepto de imputación]]&amp;" - "&amp;Cuenta_Clasificacion[[#This Row],[Nombre Concepto de imputación]]</f>
        <v>40095 - Post Venta Obra</v>
      </c>
    </row>
    <row r="2269" spans="1:6" x14ac:dyDescent="0.25">
      <c r="A2269" s="43">
        <v>4105025</v>
      </c>
      <c r="B2269" t="s">
        <v>3094</v>
      </c>
      <c r="C2269" s="43">
        <v>40096</v>
      </c>
      <c r="D2269" t="s">
        <v>3039</v>
      </c>
      <c r="E2269" s="47" t="str">
        <f>+Cuenta_Clasificacion[[#This Row],[Código Cuenta Contable]]&amp;" - "&amp;Cuenta_Clasificacion[[#This Row],[Nombre de Cuenta Contable]]</f>
        <v>4105025 - Provision Costos Termino de Obra</v>
      </c>
      <c r="F2269" s="47" t="str">
        <f>+Cuenta_Clasificacion[[#This Row],[Codigo Concepto de imputación]]&amp;" - "&amp;Cuenta_Clasificacion[[#This Row],[Nombre Concepto de imputación]]</f>
        <v>40096 - Prevencionista</v>
      </c>
    </row>
    <row r="2270" spans="1:6" x14ac:dyDescent="0.25">
      <c r="A2270" s="43">
        <v>4105025</v>
      </c>
      <c r="B2270" t="s">
        <v>3094</v>
      </c>
      <c r="C2270" s="43">
        <v>40097</v>
      </c>
      <c r="D2270" t="s">
        <v>3040</v>
      </c>
      <c r="E2270" s="47" t="str">
        <f>+Cuenta_Clasificacion[[#This Row],[Código Cuenta Contable]]&amp;" - "&amp;Cuenta_Clasificacion[[#This Row],[Nombre de Cuenta Contable]]</f>
        <v>4105025 - Provision Costos Termino de Obra</v>
      </c>
      <c r="F2270" s="47" t="str">
        <f>+Cuenta_Clasificacion[[#This Row],[Codigo Concepto de imputación]]&amp;" - "&amp;Cuenta_Clasificacion[[#This Row],[Nombre Concepto de imputación]]</f>
        <v>40097 - Profesional de Calidad y Seg.</v>
      </c>
    </row>
    <row r="2271" spans="1:6" x14ac:dyDescent="0.25">
      <c r="A2271" s="43">
        <v>4105025</v>
      </c>
      <c r="B2271" t="s">
        <v>3094</v>
      </c>
      <c r="C2271" s="43">
        <v>40098</v>
      </c>
      <c r="D2271" t="s">
        <v>3041</v>
      </c>
      <c r="E2271" s="47" t="str">
        <f>+Cuenta_Clasificacion[[#This Row],[Código Cuenta Contable]]&amp;" - "&amp;Cuenta_Clasificacion[[#This Row],[Nombre de Cuenta Contable]]</f>
        <v>4105025 - Provision Costos Termino de Obra</v>
      </c>
      <c r="F2271" s="47" t="str">
        <f>+Cuenta_Clasificacion[[#This Row],[Codigo Concepto de imputación]]&amp;" - "&amp;Cuenta_Clasificacion[[#This Row],[Nombre Concepto de imputación]]</f>
        <v>40098 - Profesional de Terreno Trainee</v>
      </c>
    </row>
    <row r="2272" spans="1:6" x14ac:dyDescent="0.25">
      <c r="A2272" s="43">
        <v>4105025</v>
      </c>
      <c r="B2272" t="s">
        <v>3094</v>
      </c>
      <c r="C2272" s="43">
        <v>40099</v>
      </c>
      <c r="D2272" t="s">
        <v>3042</v>
      </c>
      <c r="E2272" s="47" t="str">
        <f>+Cuenta_Clasificacion[[#This Row],[Código Cuenta Contable]]&amp;" - "&amp;Cuenta_Clasificacion[[#This Row],[Nombre de Cuenta Contable]]</f>
        <v>4105025 - Provision Costos Termino de Obra</v>
      </c>
      <c r="F2272" s="47" t="str">
        <f>+Cuenta_Clasificacion[[#This Row],[Codigo Concepto de imputación]]&amp;" - "&amp;Cuenta_Clasificacion[[#This Row],[Nombre Concepto de imputación]]</f>
        <v>40099 - Señalero</v>
      </c>
    </row>
    <row r="2273" spans="1:6" x14ac:dyDescent="0.25">
      <c r="A2273" s="43">
        <v>4105025</v>
      </c>
      <c r="B2273" t="s">
        <v>3094</v>
      </c>
      <c r="C2273" s="43">
        <v>40100</v>
      </c>
      <c r="D2273" t="s">
        <v>3043</v>
      </c>
      <c r="E2273" s="47" t="str">
        <f>+Cuenta_Clasificacion[[#This Row],[Código Cuenta Contable]]&amp;" - "&amp;Cuenta_Clasificacion[[#This Row],[Nombre de Cuenta Contable]]</f>
        <v>4105025 - Provision Costos Termino de Obra</v>
      </c>
      <c r="F2273" s="47" t="str">
        <f>+Cuenta_Clasificacion[[#This Row],[Codigo Concepto de imputación]]&amp;" - "&amp;Cuenta_Clasificacion[[#This Row],[Nombre Concepto de imputación]]</f>
        <v>40100 - Soldador</v>
      </c>
    </row>
    <row r="2274" spans="1:6" x14ac:dyDescent="0.25">
      <c r="A2274" s="43">
        <v>4105025</v>
      </c>
      <c r="B2274" t="s">
        <v>3094</v>
      </c>
      <c r="C2274" s="43">
        <v>40101</v>
      </c>
      <c r="D2274" t="s">
        <v>3044</v>
      </c>
      <c r="E2274" s="47" t="str">
        <f>+Cuenta_Clasificacion[[#This Row],[Código Cuenta Contable]]&amp;" - "&amp;Cuenta_Clasificacion[[#This Row],[Nombre de Cuenta Contable]]</f>
        <v>4105025 - Provision Costos Termino de Obra</v>
      </c>
      <c r="F2274" s="47" t="str">
        <f>+Cuenta_Clasificacion[[#This Row],[Codigo Concepto de imputación]]&amp;" - "&amp;Cuenta_Clasificacion[[#This Row],[Nombre Concepto de imputación]]</f>
        <v>40101 - Sup. de Bodega, Maq. y Equipos</v>
      </c>
    </row>
    <row r="2275" spans="1:6" x14ac:dyDescent="0.25">
      <c r="A2275" s="43">
        <v>4105025</v>
      </c>
      <c r="B2275" t="s">
        <v>3094</v>
      </c>
      <c r="C2275" s="43">
        <v>40102</v>
      </c>
      <c r="D2275" t="s">
        <v>3045</v>
      </c>
      <c r="E2275" s="47" t="str">
        <f>+Cuenta_Clasificacion[[#This Row],[Código Cuenta Contable]]&amp;" - "&amp;Cuenta_Clasificacion[[#This Row],[Nombre de Cuenta Contable]]</f>
        <v>4105025 - Provision Costos Termino de Obra</v>
      </c>
      <c r="F2275" s="47" t="str">
        <f>+Cuenta_Clasificacion[[#This Row],[Codigo Concepto de imputación]]&amp;" - "&amp;Cuenta_Clasificacion[[#This Row],[Nombre Concepto de imputación]]</f>
        <v>40102 - Supervisor</v>
      </c>
    </row>
    <row r="2276" spans="1:6" x14ac:dyDescent="0.25">
      <c r="A2276" s="43">
        <v>4105025</v>
      </c>
      <c r="B2276" t="s">
        <v>3094</v>
      </c>
      <c r="C2276" s="43">
        <v>40103</v>
      </c>
      <c r="D2276" t="s">
        <v>3046</v>
      </c>
      <c r="E2276" s="47" t="str">
        <f>+Cuenta_Clasificacion[[#This Row],[Código Cuenta Contable]]&amp;" - "&amp;Cuenta_Clasificacion[[#This Row],[Nombre de Cuenta Contable]]</f>
        <v>4105025 - Provision Costos Termino de Obra</v>
      </c>
      <c r="F2276" s="47" t="str">
        <f>+Cuenta_Clasificacion[[#This Row],[Codigo Concepto de imputación]]&amp;" - "&amp;Cuenta_Clasificacion[[#This Row],[Nombre Concepto de imputación]]</f>
        <v>40103 - Sup. Administrativo de Obras</v>
      </c>
    </row>
    <row r="2277" spans="1:6" x14ac:dyDescent="0.25">
      <c r="A2277" s="43">
        <v>4105025</v>
      </c>
      <c r="B2277" t="s">
        <v>3094</v>
      </c>
      <c r="C2277" s="43">
        <v>40104</v>
      </c>
      <c r="D2277" t="s">
        <v>3047</v>
      </c>
      <c r="E2277" s="47" t="str">
        <f>+Cuenta_Clasificacion[[#This Row],[Código Cuenta Contable]]&amp;" - "&amp;Cuenta_Clasificacion[[#This Row],[Nombre de Cuenta Contable]]</f>
        <v>4105025 - Provision Costos Termino de Obra</v>
      </c>
      <c r="F2277" s="47" t="str">
        <f>+Cuenta_Clasificacion[[#This Row],[Codigo Concepto de imputación]]&amp;" - "&amp;Cuenta_Clasificacion[[#This Row],[Nombre Concepto de imputación]]</f>
        <v>40104 - Supervisor de Instalaciones</v>
      </c>
    </row>
    <row r="2278" spans="1:6" x14ac:dyDescent="0.25">
      <c r="A2278" s="43">
        <v>4105025</v>
      </c>
      <c r="B2278" t="s">
        <v>3094</v>
      </c>
      <c r="C2278" s="43">
        <v>40105</v>
      </c>
      <c r="D2278" t="s">
        <v>3048</v>
      </c>
      <c r="E2278" s="47" t="str">
        <f>+Cuenta_Clasificacion[[#This Row],[Código Cuenta Contable]]&amp;" - "&amp;Cuenta_Clasificacion[[#This Row],[Nombre de Cuenta Contable]]</f>
        <v>4105025 - Provision Costos Termino de Obra</v>
      </c>
      <c r="F2278" s="47" t="str">
        <f>+Cuenta_Clasificacion[[#This Row],[Codigo Concepto de imputación]]&amp;" - "&amp;Cuenta_Clasificacion[[#This Row],[Nombre Concepto de imputación]]</f>
        <v>40105 - Sup. de Instalaciones Eléct.</v>
      </c>
    </row>
    <row r="2279" spans="1:6" x14ac:dyDescent="0.25">
      <c r="A2279" s="43">
        <v>4105025</v>
      </c>
      <c r="B2279" t="s">
        <v>3094</v>
      </c>
      <c r="C2279" s="43">
        <v>40106</v>
      </c>
      <c r="D2279" t="s">
        <v>3049</v>
      </c>
      <c r="E2279" s="47" t="str">
        <f>+Cuenta_Clasificacion[[#This Row],[Código Cuenta Contable]]&amp;" - "&amp;Cuenta_Clasificacion[[#This Row],[Nombre de Cuenta Contable]]</f>
        <v>4105025 - Provision Costos Termino de Obra</v>
      </c>
      <c r="F2279" s="47" t="str">
        <f>+Cuenta_Clasificacion[[#This Row],[Codigo Concepto de imputación]]&amp;" - "&amp;Cuenta_Clasificacion[[#This Row],[Nombre Concepto de imputación]]</f>
        <v>40106 - Sup. de Mantención y Montaje</v>
      </c>
    </row>
    <row r="2280" spans="1:6" x14ac:dyDescent="0.25">
      <c r="A2280" s="43">
        <v>4105025</v>
      </c>
      <c r="B2280" t="s">
        <v>3094</v>
      </c>
      <c r="C2280" s="43">
        <v>40107</v>
      </c>
      <c r="D2280" t="s">
        <v>3050</v>
      </c>
      <c r="E2280" s="47" t="str">
        <f>+Cuenta_Clasificacion[[#This Row],[Código Cuenta Contable]]&amp;" - "&amp;Cuenta_Clasificacion[[#This Row],[Nombre de Cuenta Contable]]</f>
        <v>4105025 - Provision Costos Termino de Obra</v>
      </c>
      <c r="F2280" s="47" t="str">
        <f>+Cuenta_Clasificacion[[#This Row],[Codigo Concepto de imputación]]&amp;" - "&amp;Cuenta_Clasificacion[[#This Row],[Nombre Concepto de imputación]]</f>
        <v>40107 - Supervisor Regional Post Vta</v>
      </c>
    </row>
    <row r="2281" spans="1:6" x14ac:dyDescent="0.25">
      <c r="A2281" s="43">
        <v>4105025</v>
      </c>
      <c r="B2281" t="s">
        <v>3094</v>
      </c>
      <c r="C2281" s="43">
        <v>40108</v>
      </c>
      <c r="D2281" t="s">
        <v>3051</v>
      </c>
      <c r="E2281" s="47" t="str">
        <f>+Cuenta_Clasificacion[[#This Row],[Código Cuenta Contable]]&amp;" - "&amp;Cuenta_Clasificacion[[#This Row],[Nombre de Cuenta Contable]]</f>
        <v>4105025 - Provision Costos Termino de Obra</v>
      </c>
      <c r="F2281" s="47" t="str">
        <f>+Cuenta_Clasificacion[[#This Row],[Codigo Concepto de imputación]]&amp;" - "&amp;Cuenta_Clasificacion[[#This Row],[Nombre Concepto de imputación]]</f>
        <v>40108 - Supervisor Zonal</v>
      </c>
    </row>
    <row r="2282" spans="1:6" x14ac:dyDescent="0.25">
      <c r="A2282" s="43">
        <v>4105025</v>
      </c>
      <c r="B2282" t="s">
        <v>3094</v>
      </c>
      <c r="C2282" s="43">
        <v>40109</v>
      </c>
      <c r="D2282" t="s">
        <v>3052</v>
      </c>
      <c r="E2282" s="47" t="str">
        <f>+Cuenta_Clasificacion[[#This Row],[Código Cuenta Contable]]&amp;" - "&amp;Cuenta_Clasificacion[[#This Row],[Nombre de Cuenta Contable]]</f>
        <v>4105025 - Provision Costos Termino de Obra</v>
      </c>
      <c r="F2282" s="47" t="str">
        <f>+Cuenta_Clasificacion[[#This Row],[Codigo Concepto de imputación]]&amp;" - "&amp;Cuenta_Clasificacion[[#This Row],[Nombre Concepto de imputación]]</f>
        <v>40109 - Técnico</v>
      </c>
    </row>
    <row r="2283" spans="1:6" x14ac:dyDescent="0.25">
      <c r="A2283" s="43">
        <v>4105025</v>
      </c>
      <c r="B2283" t="s">
        <v>3094</v>
      </c>
      <c r="C2283" s="43">
        <v>40110</v>
      </c>
      <c r="D2283" t="s">
        <v>3053</v>
      </c>
      <c r="E2283" s="47" t="str">
        <f>+Cuenta_Clasificacion[[#This Row],[Código Cuenta Contable]]&amp;" - "&amp;Cuenta_Clasificacion[[#This Row],[Nombre de Cuenta Contable]]</f>
        <v>4105025 - Provision Costos Termino de Obra</v>
      </c>
      <c r="F2283" s="47" t="str">
        <f>+Cuenta_Clasificacion[[#This Row],[Codigo Concepto de imputación]]&amp;" - "&amp;Cuenta_Clasificacion[[#This Row],[Nombre Concepto de imputación]]</f>
        <v>40110 - Técnico Geomensor</v>
      </c>
    </row>
    <row r="2284" spans="1:6" x14ac:dyDescent="0.25">
      <c r="A2284" s="43">
        <v>4105025</v>
      </c>
      <c r="B2284" t="s">
        <v>3094</v>
      </c>
      <c r="C2284" s="43">
        <v>40111</v>
      </c>
      <c r="D2284" t="s">
        <v>3054</v>
      </c>
      <c r="E2284" s="47" t="str">
        <f>+Cuenta_Clasificacion[[#This Row],[Código Cuenta Contable]]&amp;" - "&amp;Cuenta_Clasificacion[[#This Row],[Nombre de Cuenta Contable]]</f>
        <v>4105025 - Provision Costos Termino de Obra</v>
      </c>
      <c r="F2284" s="47" t="str">
        <f>+Cuenta_Clasificacion[[#This Row],[Codigo Concepto de imputación]]&amp;" - "&amp;Cuenta_Clasificacion[[#This Row],[Nombre Concepto de imputación]]</f>
        <v>40111 - Trazador</v>
      </c>
    </row>
    <row r="2285" spans="1:6" x14ac:dyDescent="0.25">
      <c r="A2285" s="43">
        <v>4105025</v>
      </c>
      <c r="B2285" t="s">
        <v>3094</v>
      </c>
      <c r="C2285" s="43">
        <v>40112</v>
      </c>
      <c r="D2285" t="s">
        <v>3055</v>
      </c>
      <c r="E2285" s="47" t="str">
        <f>+Cuenta_Clasificacion[[#This Row],[Código Cuenta Contable]]&amp;" - "&amp;Cuenta_Clasificacion[[#This Row],[Nombre de Cuenta Contable]]</f>
        <v>4105025 - Provision Costos Termino de Obra</v>
      </c>
      <c r="F2285" s="47" t="str">
        <f>+Cuenta_Clasificacion[[#This Row],[Codigo Concepto de imputación]]&amp;" - "&amp;Cuenta_Clasificacion[[#This Row],[Nombre Concepto de imputación]]</f>
        <v>40112 - Vibradorista</v>
      </c>
    </row>
    <row r="2286" spans="1:6" x14ac:dyDescent="0.25">
      <c r="A2286" s="43">
        <v>4105025</v>
      </c>
      <c r="B2286" t="s">
        <v>3094</v>
      </c>
      <c r="C2286" s="43">
        <v>40113</v>
      </c>
      <c r="D2286" t="s">
        <v>3056</v>
      </c>
      <c r="E2286" s="47" t="str">
        <f>+Cuenta_Clasificacion[[#This Row],[Código Cuenta Contable]]&amp;" - "&amp;Cuenta_Clasificacion[[#This Row],[Nombre de Cuenta Contable]]</f>
        <v>4105025 - Provision Costos Termino de Obra</v>
      </c>
      <c r="F2286" s="47" t="str">
        <f>+Cuenta_Clasificacion[[#This Row],[Codigo Concepto de imputación]]&amp;" - "&amp;Cuenta_Clasificacion[[#This Row],[Nombre Concepto de imputación]]</f>
        <v>40113 - Yesero</v>
      </c>
    </row>
    <row r="2287" spans="1:6" x14ac:dyDescent="0.25">
      <c r="A2287" s="43">
        <v>4105025</v>
      </c>
      <c r="B2287" t="s">
        <v>3094</v>
      </c>
      <c r="C2287" s="43">
        <v>40114</v>
      </c>
      <c r="D2287" t="s">
        <v>3057</v>
      </c>
      <c r="E2287" s="47" t="str">
        <f>+Cuenta_Clasificacion[[#This Row],[Código Cuenta Contable]]&amp;" - "&amp;Cuenta_Clasificacion[[#This Row],[Nombre de Cuenta Contable]]</f>
        <v>4105025 - Provision Costos Termino de Obra</v>
      </c>
      <c r="F2287" s="47" t="str">
        <f>+Cuenta_Clasificacion[[#This Row],[Codigo Concepto de imputación]]&amp;" - "&amp;Cuenta_Clasificacion[[#This Row],[Nombre Concepto de imputación]]</f>
        <v>40114 - Bodega - Personal</v>
      </c>
    </row>
    <row r="2288" spans="1:6" x14ac:dyDescent="0.25">
      <c r="A2288" s="43">
        <v>4105025</v>
      </c>
      <c r="B2288" t="s">
        <v>3094</v>
      </c>
      <c r="C2288" s="43">
        <v>40115</v>
      </c>
      <c r="D2288" t="s">
        <v>3058</v>
      </c>
      <c r="E2288" s="47" t="str">
        <f>+Cuenta_Clasificacion[[#This Row],[Código Cuenta Contable]]&amp;" - "&amp;Cuenta_Clasificacion[[#This Row],[Nombre de Cuenta Contable]]</f>
        <v>4105025 - Provision Costos Termino de Obra</v>
      </c>
      <c r="F2288" s="47" t="str">
        <f>+Cuenta_Clasificacion[[#This Row],[Codigo Concepto de imputación]]&amp;" - "&amp;Cuenta_Clasificacion[[#This Row],[Nombre Concepto de imputación]]</f>
        <v>40115 - Rol Privado</v>
      </c>
    </row>
    <row r="2289" spans="1:6" x14ac:dyDescent="0.25">
      <c r="A2289" s="43">
        <v>4105025</v>
      </c>
      <c r="B2289" t="s">
        <v>3094</v>
      </c>
      <c r="C2289" s="43">
        <v>40116</v>
      </c>
      <c r="D2289" t="s">
        <v>3059</v>
      </c>
      <c r="E2289" s="47" t="str">
        <f>+Cuenta_Clasificacion[[#This Row],[Código Cuenta Contable]]&amp;" - "&amp;Cuenta_Clasificacion[[#This Row],[Nombre de Cuenta Contable]]</f>
        <v>4105025 - Provision Costos Termino de Obra</v>
      </c>
      <c r="F2289" s="47" t="str">
        <f>+Cuenta_Clasificacion[[#This Row],[Codigo Concepto de imputación]]&amp;" - "&amp;Cuenta_Clasificacion[[#This Row],[Nombre Concepto de imputación]]</f>
        <v>40116 - Aux. de Aseo y Mantención</v>
      </c>
    </row>
    <row r="2290" spans="1:6" x14ac:dyDescent="0.25">
      <c r="A2290" s="43">
        <v>4105025</v>
      </c>
      <c r="B2290" t="s">
        <v>3094</v>
      </c>
      <c r="C2290" s="43">
        <v>40117</v>
      </c>
      <c r="D2290" t="s">
        <v>3060</v>
      </c>
      <c r="E2290" s="47" t="str">
        <f>+Cuenta_Clasificacion[[#This Row],[Código Cuenta Contable]]&amp;" - "&amp;Cuenta_Clasificacion[[#This Row],[Nombre de Cuenta Contable]]</f>
        <v>4105025 - Provision Costos Termino de Obra</v>
      </c>
      <c r="F2290" s="47" t="str">
        <f>+Cuenta_Clasificacion[[#This Row],[Codigo Concepto de imputación]]&amp;" - "&amp;Cuenta_Clasificacion[[#This Row],[Nombre Concepto de imputación]]</f>
        <v>40117 - Topografo</v>
      </c>
    </row>
    <row r="2291" spans="1:6" x14ac:dyDescent="0.25">
      <c r="A2291" s="43">
        <v>4105025</v>
      </c>
      <c r="B2291" t="s">
        <v>3094</v>
      </c>
      <c r="C2291" s="43">
        <v>40118</v>
      </c>
      <c r="D2291" t="s">
        <v>3061</v>
      </c>
      <c r="E2291" s="47" t="str">
        <f>+Cuenta_Clasificacion[[#This Row],[Código Cuenta Contable]]&amp;" - "&amp;Cuenta_Clasificacion[[#This Row],[Nombre de Cuenta Contable]]</f>
        <v>4105025 - Provision Costos Termino de Obra</v>
      </c>
      <c r="F2291" s="47" t="str">
        <f>+Cuenta_Clasificacion[[#This Row],[Codigo Concepto de imputación]]&amp;" - "&amp;Cuenta_Clasificacion[[#This Row],[Nombre Concepto de imputación]]</f>
        <v>40118 - Coordinador Post Venta</v>
      </c>
    </row>
    <row r="2292" spans="1:6" x14ac:dyDescent="0.25">
      <c r="A2292" s="43">
        <v>4105025</v>
      </c>
      <c r="B2292" t="s">
        <v>3094</v>
      </c>
      <c r="C2292" s="43">
        <v>40119</v>
      </c>
      <c r="D2292" t="s">
        <v>3062</v>
      </c>
      <c r="E2292" s="47" t="str">
        <f>+Cuenta_Clasificacion[[#This Row],[Código Cuenta Contable]]&amp;" - "&amp;Cuenta_Clasificacion[[#This Row],[Nombre de Cuenta Contable]]</f>
        <v>4105025 - Provision Costos Termino de Obra</v>
      </c>
      <c r="F2292" s="47" t="str">
        <f>+Cuenta_Clasificacion[[#This Row],[Codigo Concepto de imputación]]&amp;" - "&amp;Cuenta_Clasificacion[[#This Row],[Nombre Concepto de imputación]]</f>
        <v>40119 - Asistente Post Venta</v>
      </c>
    </row>
    <row r="2293" spans="1:6" x14ac:dyDescent="0.25">
      <c r="A2293" s="43">
        <v>4105025</v>
      </c>
      <c r="B2293" t="s">
        <v>3094</v>
      </c>
      <c r="C2293" s="43">
        <v>40120</v>
      </c>
      <c r="D2293" t="s">
        <v>3063</v>
      </c>
      <c r="E2293" s="47" t="str">
        <f>+Cuenta_Clasificacion[[#This Row],[Código Cuenta Contable]]&amp;" - "&amp;Cuenta_Clasificacion[[#This Row],[Nombre de Cuenta Contable]]</f>
        <v>4105025 - Provision Costos Termino de Obra</v>
      </c>
      <c r="F2293" s="47" t="str">
        <f>+Cuenta_Clasificacion[[#This Row],[Codigo Concepto de imputación]]&amp;" - "&amp;Cuenta_Clasificacion[[#This Row],[Nombre Concepto de imputación]]</f>
        <v>40120 - Rigger</v>
      </c>
    </row>
    <row r="2294" spans="1:6" x14ac:dyDescent="0.25">
      <c r="A2294" s="43">
        <v>4105025</v>
      </c>
      <c r="B2294" t="s">
        <v>3094</v>
      </c>
      <c r="C2294" s="43">
        <v>40121</v>
      </c>
      <c r="D2294" t="s">
        <v>3064</v>
      </c>
      <c r="E2294" s="47" t="str">
        <f>+Cuenta_Clasificacion[[#This Row],[Código Cuenta Contable]]&amp;" - "&amp;Cuenta_Clasificacion[[#This Row],[Nombre de Cuenta Contable]]</f>
        <v>4105025 - Provision Costos Termino de Obra</v>
      </c>
      <c r="F2294" s="47" t="str">
        <f>+Cuenta_Clasificacion[[#This Row],[Codigo Concepto de imputación]]&amp;" - "&amp;Cuenta_Clasificacion[[#This Row],[Nombre Concepto de imputación]]</f>
        <v>40121 - Carpintero Tabiquero</v>
      </c>
    </row>
    <row r="2295" spans="1:6" x14ac:dyDescent="0.25">
      <c r="A2295" s="43">
        <v>4105025</v>
      </c>
      <c r="B2295" t="s">
        <v>3094</v>
      </c>
      <c r="C2295" s="43">
        <v>40122</v>
      </c>
      <c r="D2295" t="s">
        <v>3065</v>
      </c>
      <c r="E2295" s="47" t="str">
        <f>+Cuenta_Clasificacion[[#This Row],[Código Cuenta Contable]]&amp;" - "&amp;Cuenta_Clasificacion[[#This Row],[Nombre de Cuenta Contable]]</f>
        <v>4105025 - Provision Costos Termino de Obra</v>
      </c>
      <c r="F2295" s="47" t="str">
        <f>+Cuenta_Clasificacion[[#This Row],[Codigo Concepto de imputación]]&amp;" - "&amp;Cuenta_Clasificacion[[#This Row],[Nombre Concepto de imputación]]</f>
        <v>40122 - Carpintero Bodega Central</v>
      </c>
    </row>
    <row r="2296" spans="1:6" x14ac:dyDescent="0.25">
      <c r="A2296" s="43">
        <v>4105025</v>
      </c>
      <c r="B2296" t="s">
        <v>3094</v>
      </c>
      <c r="C2296" s="43">
        <v>40123</v>
      </c>
      <c r="D2296" t="s">
        <v>3066</v>
      </c>
      <c r="E2296" s="47" t="str">
        <f>+Cuenta_Clasificacion[[#This Row],[Código Cuenta Contable]]&amp;" - "&amp;Cuenta_Clasificacion[[#This Row],[Nombre de Cuenta Contable]]</f>
        <v>4105025 - Provision Costos Termino de Obra</v>
      </c>
      <c r="F2296" s="47" t="str">
        <f>+Cuenta_Clasificacion[[#This Row],[Codigo Concepto de imputación]]&amp;" - "&amp;Cuenta_Clasificacion[[#This Row],[Nombre Concepto de imputación]]</f>
        <v>40123 - Operador de Montacarga</v>
      </c>
    </row>
    <row r="2297" spans="1:6" x14ac:dyDescent="0.25">
      <c r="A2297" s="43">
        <v>4105025</v>
      </c>
      <c r="B2297" t="s">
        <v>3094</v>
      </c>
      <c r="C2297" s="43">
        <v>40124</v>
      </c>
      <c r="D2297" t="s">
        <v>3067</v>
      </c>
      <c r="E2297" s="47" t="str">
        <f>+Cuenta_Clasificacion[[#This Row],[Código Cuenta Contable]]&amp;" - "&amp;Cuenta_Clasificacion[[#This Row],[Nombre de Cuenta Contable]]</f>
        <v>4105025 - Provision Costos Termino de Obra</v>
      </c>
      <c r="F2297" s="47" t="str">
        <f>+Cuenta_Clasificacion[[#This Row],[Codigo Concepto de imputación]]&amp;" - "&amp;Cuenta_Clasificacion[[#This Row],[Nombre Concepto de imputación]]</f>
        <v>40124 - Encargado de Patio</v>
      </c>
    </row>
    <row r="2298" spans="1:6" x14ac:dyDescent="0.25">
      <c r="A2298" s="43">
        <v>4105025</v>
      </c>
      <c r="B2298" t="s">
        <v>3094</v>
      </c>
      <c r="C2298" s="43">
        <v>40125</v>
      </c>
      <c r="D2298" t="s">
        <v>3068</v>
      </c>
      <c r="E2298" s="47" t="str">
        <f>+Cuenta_Clasificacion[[#This Row],[Código Cuenta Contable]]&amp;" - "&amp;Cuenta_Clasificacion[[#This Row],[Nombre de Cuenta Contable]]</f>
        <v>4105025 - Provision Costos Termino de Obra</v>
      </c>
      <c r="F2298" s="47" t="str">
        <f>+Cuenta_Clasificacion[[#This Row],[Codigo Concepto de imputación]]&amp;" - "&amp;Cuenta_Clasificacion[[#This Row],[Nombre Concepto de imputación]]</f>
        <v>40125 - Canguero</v>
      </c>
    </row>
    <row r="2299" spans="1:6" x14ac:dyDescent="0.25">
      <c r="A2299" s="43">
        <v>4105025</v>
      </c>
      <c r="B2299" t="s">
        <v>3094</v>
      </c>
      <c r="C2299" s="43">
        <v>40126</v>
      </c>
      <c r="D2299" t="s">
        <v>3069</v>
      </c>
      <c r="E2299" s="47" t="str">
        <f>+Cuenta_Clasificacion[[#This Row],[Código Cuenta Contable]]&amp;" - "&amp;Cuenta_Clasificacion[[#This Row],[Nombre de Cuenta Contable]]</f>
        <v>4105025 - Provision Costos Termino de Obra</v>
      </c>
      <c r="F2299" s="47" t="str">
        <f>+Cuenta_Clasificacion[[#This Row],[Codigo Concepto de imputación]]&amp;" - "&amp;Cuenta_Clasificacion[[#This Row],[Nombre Concepto de imputación]]</f>
        <v>40126 - Pulidor</v>
      </c>
    </row>
    <row r="2300" spans="1:6" x14ac:dyDescent="0.25">
      <c r="A2300" s="43">
        <v>4105025</v>
      </c>
      <c r="B2300" t="s">
        <v>3094</v>
      </c>
      <c r="C2300" s="43">
        <v>40127</v>
      </c>
      <c r="D2300" t="s">
        <v>3070</v>
      </c>
      <c r="E2300" s="47" t="str">
        <f>+Cuenta_Clasificacion[[#This Row],[Código Cuenta Contable]]&amp;" - "&amp;Cuenta_Clasificacion[[#This Row],[Nombre de Cuenta Contable]]</f>
        <v>4105025 - Provision Costos Termino de Obra</v>
      </c>
      <c r="F2300" s="47" t="str">
        <f>+Cuenta_Clasificacion[[#This Row],[Codigo Concepto de imputación]]&amp;" - "&amp;Cuenta_Clasificacion[[#This Row],[Nombre Concepto de imputación]]</f>
        <v>40127 - Chofer - Operador Maq. Doblado</v>
      </c>
    </row>
    <row r="2301" spans="1:6" x14ac:dyDescent="0.25">
      <c r="A2301" s="43">
        <v>4105025</v>
      </c>
      <c r="B2301" t="s">
        <v>3094</v>
      </c>
      <c r="C2301" s="43">
        <v>40128</v>
      </c>
      <c r="D2301" t="s">
        <v>3071</v>
      </c>
      <c r="E2301" s="47" t="str">
        <f>+Cuenta_Clasificacion[[#This Row],[Código Cuenta Contable]]&amp;" - "&amp;Cuenta_Clasificacion[[#This Row],[Nombre de Cuenta Contable]]</f>
        <v>4105025 - Provision Costos Termino de Obra</v>
      </c>
      <c r="F2301" s="47" t="str">
        <f>+Cuenta_Clasificacion[[#This Row],[Codigo Concepto de imputación]]&amp;" - "&amp;Cuenta_Clasificacion[[#This Row],[Nombre Concepto de imputación]]</f>
        <v>40128 - Supervisor de Pagos a Subcontratos</v>
      </c>
    </row>
    <row r="2302" spans="1:6" x14ac:dyDescent="0.25">
      <c r="A2302" s="43">
        <v>4105025</v>
      </c>
      <c r="B2302" t="s">
        <v>3094</v>
      </c>
      <c r="C2302" s="43">
        <v>40129</v>
      </c>
      <c r="D2302" t="s">
        <v>3072</v>
      </c>
      <c r="E2302" s="47" t="str">
        <f>+Cuenta_Clasificacion[[#This Row],[Código Cuenta Contable]]&amp;" - "&amp;Cuenta_Clasificacion[[#This Row],[Nombre de Cuenta Contable]]</f>
        <v>4105025 - Provision Costos Termino de Obra</v>
      </c>
      <c r="F2302" s="47" t="str">
        <f>+Cuenta_Clasificacion[[#This Row],[Codigo Concepto de imputación]]&amp;" - "&amp;Cuenta_Clasificacion[[#This Row],[Nombre Concepto de imputación]]</f>
        <v>40129 - Supervisor de Administración en Terreno</v>
      </c>
    </row>
    <row r="2303" spans="1:6" x14ac:dyDescent="0.25">
      <c r="A2303" s="43">
        <v>4105025</v>
      </c>
      <c r="B2303" t="s">
        <v>3094</v>
      </c>
      <c r="C2303" s="43">
        <v>40130</v>
      </c>
      <c r="D2303" t="s">
        <v>3073</v>
      </c>
      <c r="E2303" s="47" t="str">
        <f>+Cuenta_Clasificacion[[#This Row],[Código Cuenta Contable]]&amp;" - "&amp;Cuenta_Clasificacion[[#This Row],[Nombre de Cuenta Contable]]</f>
        <v>4105025 - Provision Costos Termino de Obra</v>
      </c>
      <c r="F2303" s="47" t="str">
        <f>+Cuenta_Clasificacion[[#This Row],[Codigo Concepto de imputación]]&amp;" - "&amp;Cuenta_Clasificacion[[#This Row],[Nombre Concepto de imputación]]</f>
        <v>40130 - Ejecutivo de Caja Chica y Fondos al Personal</v>
      </c>
    </row>
    <row r="2304" spans="1:6" x14ac:dyDescent="0.25">
      <c r="A2304" s="43">
        <v>4105025</v>
      </c>
      <c r="B2304" t="s">
        <v>3094</v>
      </c>
      <c r="C2304" s="43">
        <v>40131</v>
      </c>
      <c r="D2304" t="s">
        <v>3074</v>
      </c>
      <c r="E2304" s="47" t="str">
        <f>+Cuenta_Clasificacion[[#This Row],[Código Cuenta Contable]]&amp;" - "&amp;Cuenta_Clasificacion[[#This Row],[Nombre de Cuenta Contable]]</f>
        <v>4105025 - Provision Costos Termino de Obra</v>
      </c>
      <c r="F2304" s="47" t="str">
        <f>+Cuenta_Clasificacion[[#This Row],[Codigo Concepto de imputación]]&amp;" - "&amp;Cuenta_Clasificacion[[#This Row],[Nombre Concepto de imputación]]</f>
        <v>40131 - Auxiliar de Aseo y Mantención Inmobiliaria</v>
      </c>
    </row>
    <row r="2305" spans="1:6" x14ac:dyDescent="0.25">
      <c r="A2305" s="43">
        <v>4105025</v>
      </c>
      <c r="B2305" t="s">
        <v>3094</v>
      </c>
      <c r="C2305" s="43">
        <v>40132</v>
      </c>
      <c r="D2305" t="s">
        <v>3075</v>
      </c>
      <c r="E2305" s="47" t="str">
        <f>+Cuenta_Clasificacion[[#This Row],[Código Cuenta Contable]]&amp;" - "&amp;Cuenta_Clasificacion[[#This Row],[Nombre de Cuenta Contable]]</f>
        <v>4105025 - Provision Costos Termino de Obra</v>
      </c>
      <c r="F2305" s="47" t="str">
        <f>+Cuenta_Clasificacion[[#This Row],[Codigo Concepto de imputación]]&amp;" - "&amp;Cuenta_Clasificacion[[#This Row],[Nombre Concepto de imputación]]</f>
        <v>40132 - Pilotera y mantención</v>
      </c>
    </row>
    <row r="2306" spans="1:6" x14ac:dyDescent="0.25">
      <c r="A2306" s="43">
        <v>4105025</v>
      </c>
      <c r="B2306" t="s">
        <v>3094</v>
      </c>
      <c r="C2306" s="43">
        <v>40133</v>
      </c>
      <c r="D2306" t="s">
        <v>3076</v>
      </c>
      <c r="E2306" s="47" t="str">
        <f>+Cuenta_Clasificacion[[#This Row],[Código Cuenta Contable]]&amp;" - "&amp;Cuenta_Clasificacion[[#This Row],[Nombre de Cuenta Contable]]</f>
        <v>4105025 - Provision Costos Termino de Obra</v>
      </c>
      <c r="F2306" s="47" t="str">
        <f>+Cuenta_Clasificacion[[#This Row],[Codigo Concepto de imputación]]&amp;" - "&amp;Cuenta_Clasificacion[[#This Row],[Nombre Concepto de imputación]]</f>
        <v>40133 - Administrativo Zonal de clientes</v>
      </c>
    </row>
    <row r="2307" spans="1:6" x14ac:dyDescent="0.25">
      <c r="A2307" s="43">
        <v>4105025</v>
      </c>
      <c r="B2307" t="s">
        <v>3094</v>
      </c>
      <c r="C2307" s="43">
        <v>40134</v>
      </c>
      <c r="D2307" t="s">
        <v>3077</v>
      </c>
      <c r="E2307" s="47" t="str">
        <f>+Cuenta_Clasificacion[[#This Row],[Código Cuenta Contable]]&amp;" - "&amp;Cuenta_Clasificacion[[#This Row],[Nombre de Cuenta Contable]]</f>
        <v>4105025 - Provision Costos Termino de Obra</v>
      </c>
      <c r="F2307" s="47" t="str">
        <f>+Cuenta_Clasificacion[[#This Row],[Codigo Concepto de imputación]]&amp;" - "&amp;Cuenta_Clasificacion[[#This Row],[Nombre Concepto de imputación]]</f>
        <v xml:space="preserve">40134 - Maestro Enfierrador         </v>
      </c>
    </row>
    <row r="2308" spans="1:6" x14ac:dyDescent="0.25">
      <c r="A2308" s="43">
        <v>4105025</v>
      </c>
      <c r="B2308" t="s">
        <v>3094</v>
      </c>
      <c r="C2308" s="43">
        <v>40135</v>
      </c>
      <c r="D2308" t="s">
        <v>3078</v>
      </c>
      <c r="E2308" s="47" t="str">
        <f>+Cuenta_Clasificacion[[#This Row],[Código Cuenta Contable]]&amp;" - "&amp;Cuenta_Clasificacion[[#This Row],[Nombre de Cuenta Contable]]</f>
        <v>4105025 - Provision Costos Termino de Obra</v>
      </c>
      <c r="F2308" s="47" t="str">
        <f>+Cuenta_Clasificacion[[#This Row],[Codigo Concepto de imputación]]&amp;" - "&amp;Cuenta_Clasificacion[[#This Row],[Nombre Concepto de imputación]]</f>
        <v>40135 - Jornal Llavero y Entrega</v>
      </c>
    </row>
    <row r="2309" spans="1:6" x14ac:dyDescent="0.25">
      <c r="A2309" s="43">
        <v>4105025</v>
      </c>
      <c r="B2309" t="s">
        <v>3094</v>
      </c>
      <c r="C2309" s="43">
        <v>40142</v>
      </c>
      <c r="D2309" t="s">
        <v>3079</v>
      </c>
      <c r="E2309" s="47" t="str">
        <f>+Cuenta_Clasificacion[[#This Row],[Código Cuenta Contable]]&amp;" - "&amp;Cuenta_Clasificacion[[#This Row],[Nombre de Cuenta Contable]]</f>
        <v>4105025 - Provision Costos Termino de Obra</v>
      </c>
      <c r="F2309" s="47" t="str">
        <f>+Cuenta_Clasificacion[[#This Row],[Codigo Concepto de imputación]]&amp;" - "&amp;Cuenta_Clasificacion[[#This Row],[Nombre Concepto de imputación]]</f>
        <v>40142 - Encargado de Mantención línea de Izaje</v>
      </c>
    </row>
    <row r="2310" spans="1:6" x14ac:dyDescent="0.25">
      <c r="A2310" s="43">
        <v>4105025</v>
      </c>
      <c r="B2310" t="s">
        <v>3094</v>
      </c>
      <c r="C2310" s="43">
        <v>40143</v>
      </c>
      <c r="D2310" t="s">
        <v>3080</v>
      </c>
      <c r="E2310" s="47" t="str">
        <f>+Cuenta_Clasificacion[[#This Row],[Código Cuenta Contable]]&amp;" - "&amp;Cuenta_Clasificacion[[#This Row],[Nombre de Cuenta Contable]]</f>
        <v>4105025 - Provision Costos Termino de Obra</v>
      </c>
      <c r="F2310" s="47" t="str">
        <f>+Cuenta_Clasificacion[[#This Row],[Codigo Concepto de imputación]]&amp;" - "&amp;Cuenta_Clasificacion[[#This Row],[Nombre Concepto de imputación]]</f>
        <v>40143 - Encargado de Montajes</v>
      </c>
    </row>
    <row r="2311" spans="1:6" x14ac:dyDescent="0.25">
      <c r="A2311" s="43">
        <v>4105025</v>
      </c>
      <c r="B2311" t="s">
        <v>3094</v>
      </c>
      <c r="C2311" s="43">
        <v>40144</v>
      </c>
      <c r="D2311" t="s">
        <v>3081</v>
      </c>
      <c r="E2311" s="47" t="str">
        <f>+Cuenta_Clasificacion[[#This Row],[Código Cuenta Contable]]&amp;" - "&amp;Cuenta_Clasificacion[[#This Row],[Nombre de Cuenta Contable]]</f>
        <v>4105025 - Provision Costos Termino de Obra</v>
      </c>
      <c r="F2311" s="47" t="str">
        <f>+Cuenta_Clasificacion[[#This Row],[Codigo Concepto de imputación]]&amp;" - "&amp;Cuenta_Clasificacion[[#This Row],[Nombre Concepto de imputación]]</f>
        <v xml:space="preserve">40144 - Operador de Planta de Hormigón </v>
      </c>
    </row>
    <row r="2312" spans="1:6" x14ac:dyDescent="0.25">
      <c r="A2312" s="43">
        <v>4105025</v>
      </c>
      <c r="B2312" t="s">
        <v>3094</v>
      </c>
      <c r="C2312" s="43">
        <v>40500</v>
      </c>
      <c r="D2312" t="s">
        <v>2943</v>
      </c>
      <c r="E2312" s="47" t="str">
        <f>+Cuenta_Clasificacion[[#This Row],[Código Cuenta Contable]]&amp;" - "&amp;Cuenta_Clasificacion[[#This Row],[Nombre de Cuenta Contable]]</f>
        <v>4105025 - Provision Costos Termino de Obra</v>
      </c>
      <c r="F2312" s="47" t="str">
        <f>+Cuenta_Clasificacion[[#This Row],[Codigo Concepto de imputación]]&amp;" - "&amp;Cuenta_Clasificacion[[#This Row],[Nombre Concepto de imputación]]</f>
        <v>40500 - Distribución</v>
      </c>
    </row>
    <row r="2313" spans="1:6" x14ac:dyDescent="0.25">
      <c r="A2313" s="43">
        <v>4105025</v>
      </c>
      <c r="B2313" t="s">
        <v>3094</v>
      </c>
      <c r="C2313" s="43">
        <v>50001</v>
      </c>
      <c r="D2313" t="s">
        <v>2941</v>
      </c>
      <c r="E2313" s="47" t="str">
        <f>+Cuenta_Clasificacion[[#This Row],[Código Cuenta Contable]]&amp;" - "&amp;Cuenta_Clasificacion[[#This Row],[Nombre de Cuenta Contable]]</f>
        <v>4105025 - Provision Costos Termino de Obra</v>
      </c>
      <c r="F2313" s="47" t="str">
        <f>+Cuenta_Clasificacion[[#This Row],[Codigo Concepto de imputación]]&amp;" - "&amp;Cuenta_Clasificacion[[#This Row],[Nombre Concepto de imputación]]</f>
        <v>50001 - Bodega - Consumo Básico</v>
      </c>
    </row>
    <row r="2314" spans="1:6" x14ac:dyDescent="0.25">
      <c r="A2314" s="43">
        <v>4105025</v>
      </c>
      <c r="B2314" t="s">
        <v>3094</v>
      </c>
      <c r="C2314" s="43">
        <v>50002</v>
      </c>
      <c r="D2314" t="s">
        <v>3082</v>
      </c>
      <c r="E2314" s="47" t="str">
        <f>+Cuenta_Clasificacion[[#This Row],[Código Cuenta Contable]]&amp;" - "&amp;Cuenta_Clasificacion[[#This Row],[Nombre de Cuenta Contable]]</f>
        <v>4105025 - Provision Costos Termino de Obra</v>
      </c>
      <c r="F2314" s="47" t="str">
        <f>+Cuenta_Clasificacion[[#This Row],[Codigo Concepto de imputación]]&amp;" - "&amp;Cuenta_Clasificacion[[#This Row],[Nombre Concepto de imputación]]</f>
        <v>50002 - Bodega - Materiales Oficina</v>
      </c>
    </row>
    <row r="2315" spans="1:6" x14ac:dyDescent="0.25">
      <c r="A2315" s="43">
        <v>4105025</v>
      </c>
      <c r="B2315" t="s">
        <v>3094</v>
      </c>
      <c r="C2315" s="43">
        <v>50003</v>
      </c>
      <c r="D2315" t="s">
        <v>3083</v>
      </c>
      <c r="E2315" s="47" t="str">
        <f>+Cuenta_Clasificacion[[#This Row],[Código Cuenta Contable]]&amp;" - "&amp;Cuenta_Clasificacion[[#This Row],[Nombre de Cuenta Contable]]</f>
        <v>4105025 - Provision Costos Termino de Obra</v>
      </c>
      <c r="F2315" s="47" t="str">
        <f>+Cuenta_Clasificacion[[#This Row],[Codigo Concepto de imputación]]&amp;" - "&amp;Cuenta_Clasificacion[[#This Row],[Nombre Concepto de imputación]]</f>
        <v>50003 - Bodega - Seguros y Garantías</v>
      </c>
    </row>
    <row r="2316" spans="1:6" x14ac:dyDescent="0.25">
      <c r="A2316" s="43">
        <v>4105025</v>
      </c>
      <c r="B2316" t="s">
        <v>3094</v>
      </c>
      <c r="C2316" s="43">
        <v>50004</v>
      </c>
      <c r="D2316" t="s">
        <v>3084</v>
      </c>
      <c r="E2316" s="47" t="str">
        <f>+Cuenta_Clasificacion[[#This Row],[Código Cuenta Contable]]&amp;" - "&amp;Cuenta_Clasificacion[[#This Row],[Nombre de Cuenta Contable]]</f>
        <v>4105025 - Provision Costos Termino de Obra</v>
      </c>
      <c r="F2316" s="47" t="str">
        <f>+Cuenta_Clasificacion[[#This Row],[Codigo Concepto de imputación]]&amp;" - "&amp;Cuenta_Clasificacion[[#This Row],[Nombre Concepto de imputación]]</f>
        <v>50004 - Bodega - Gastos Menores</v>
      </c>
    </row>
    <row r="2317" spans="1:6" x14ac:dyDescent="0.25">
      <c r="A2317" s="43">
        <v>4105025</v>
      </c>
      <c r="B2317" t="s">
        <v>3094</v>
      </c>
      <c r="C2317" s="43">
        <v>50005</v>
      </c>
      <c r="D2317" t="s">
        <v>3085</v>
      </c>
      <c r="E2317" s="47" t="str">
        <f>+Cuenta_Clasificacion[[#This Row],[Código Cuenta Contable]]&amp;" - "&amp;Cuenta_Clasificacion[[#This Row],[Nombre de Cuenta Contable]]</f>
        <v>4105025 - Provision Costos Termino de Obra</v>
      </c>
      <c r="F2317" s="47" t="str">
        <f>+Cuenta_Clasificacion[[#This Row],[Codigo Concepto de imputación]]&amp;" - "&amp;Cuenta_Clasificacion[[#This Row],[Nombre Concepto de imputación]]</f>
        <v>50005 - Bodega - Otros Gastos</v>
      </c>
    </row>
    <row r="2318" spans="1:6" x14ac:dyDescent="0.25">
      <c r="A2318" s="43">
        <v>4105025</v>
      </c>
      <c r="B2318" t="s">
        <v>3094</v>
      </c>
      <c r="C2318" s="43">
        <v>50006</v>
      </c>
      <c r="D2318" t="s">
        <v>3086</v>
      </c>
      <c r="E2318" s="47" t="str">
        <f>+Cuenta_Clasificacion[[#This Row],[Código Cuenta Contable]]&amp;" - "&amp;Cuenta_Clasificacion[[#This Row],[Nombre de Cuenta Contable]]</f>
        <v>4105025 - Provision Costos Termino de Obra</v>
      </c>
      <c r="F2318" s="47" t="str">
        <f>+Cuenta_Clasificacion[[#This Row],[Codigo Concepto de imputación]]&amp;" - "&amp;Cuenta_Clasificacion[[#This Row],[Nombre Concepto de imputación]]</f>
        <v>50006 - Bodega - Imprenta</v>
      </c>
    </row>
    <row r="2319" spans="1:6" x14ac:dyDescent="0.25">
      <c r="A2319" s="43">
        <v>4105025</v>
      </c>
      <c r="B2319" t="s">
        <v>3094</v>
      </c>
      <c r="C2319" s="43">
        <v>50007</v>
      </c>
      <c r="D2319" t="s">
        <v>3087</v>
      </c>
      <c r="E2319" s="47" t="str">
        <f>+Cuenta_Clasificacion[[#This Row],[Código Cuenta Contable]]&amp;" - "&amp;Cuenta_Clasificacion[[#This Row],[Nombre de Cuenta Contable]]</f>
        <v>4105025 - Provision Costos Termino de Obra</v>
      </c>
      <c r="F2319" s="47" t="str">
        <f>+Cuenta_Clasificacion[[#This Row],[Codigo Concepto de imputación]]&amp;" - "&amp;Cuenta_Clasificacion[[#This Row],[Nombre Concepto de imputación]]</f>
        <v>50007 - Bodega - Diseño y Publicidad</v>
      </c>
    </row>
    <row r="2320" spans="1:6" x14ac:dyDescent="0.25">
      <c r="A2320" s="43">
        <v>4105025</v>
      </c>
      <c r="B2320" t="s">
        <v>3094</v>
      </c>
      <c r="C2320" s="43">
        <v>50008</v>
      </c>
      <c r="D2320" t="s">
        <v>2897</v>
      </c>
      <c r="E2320" s="47" t="str">
        <f>+Cuenta_Clasificacion[[#This Row],[Código Cuenta Contable]]&amp;" - "&amp;Cuenta_Clasificacion[[#This Row],[Nombre de Cuenta Contable]]</f>
        <v>4105025 - Provision Costos Termino de Obra</v>
      </c>
      <c r="F2320" s="47" t="str">
        <f>+Cuenta_Clasificacion[[#This Row],[Codigo Concepto de imputación]]&amp;" - "&amp;Cuenta_Clasificacion[[#This Row],[Nombre Concepto de imputación]]</f>
        <v>50008 - Alimentos</v>
      </c>
    </row>
    <row r="2321" spans="1:6" x14ac:dyDescent="0.25">
      <c r="A2321" s="43">
        <v>4105025</v>
      </c>
      <c r="B2321" t="s">
        <v>3094</v>
      </c>
      <c r="C2321" s="43">
        <v>50009</v>
      </c>
      <c r="D2321" t="s">
        <v>2898</v>
      </c>
      <c r="E2321" s="47" t="str">
        <f>+Cuenta_Clasificacion[[#This Row],[Código Cuenta Contable]]&amp;" - "&amp;Cuenta_Clasificacion[[#This Row],[Nombre de Cuenta Contable]]</f>
        <v>4105025 - Provision Costos Termino de Obra</v>
      </c>
      <c r="F2321" s="47" t="str">
        <f>+Cuenta_Clasificacion[[#This Row],[Codigo Concepto de imputación]]&amp;" - "&amp;Cuenta_Clasificacion[[#This Row],[Nombre Concepto de imputación]]</f>
        <v>50009 - Aseo y Cocina</v>
      </c>
    </row>
    <row r="2322" spans="1:6" x14ac:dyDescent="0.25">
      <c r="A2322" s="43">
        <v>4105025</v>
      </c>
      <c r="B2322" t="s">
        <v>3094</v>
      </c>
      <c r="C2322" s="43">
        <v>50010</v>
      </c>
      <c r="D2322" t="s">
        <v>2899</v>
      </c>
      <c r="E2322" s="47" t="str">
        <f>+Cuenta_Clasificacion[[#This Row],[Código Cuenta Contable]]&amp;" - "&amp;Cuenta_Clasificacion[[#This Row],[Nombre de Cuenta Contable]]</f>
        <v>4105025 - Provision Costos Termino de Obra</v>
      </c>
      <c r="F2322" s="47" t="str">
        <f>+Cuenta_Clasificacion[[#This Row],[Codigo Concepto de imputación]]&amp;" - "&amp;Cuenta_Clasificacion[[#This Row],[Nombre Concepto de imputación]]</f>
        <v>50010 - Buses y Radiotaxi</v>
      </c>
    </row>
    <row r="2323" spans="1:6" x14ac:dyDescent="0.25">
      <c r="A2323" s="43">
        <v>4105025</v>
      </c>
      <c r="B2323" t="s">
        <v>3094</v>
      </c>
      <c r="C2323" s="43">
        <v>50011</v>
      </c>
      <c r="D2323" t="s">
        <v>2900</v>
      </c>
      <c r="E2323" s="47" t="str">
        <f>+Cuenta_Clasificacion[[#This Row],[Código Cuenta Contable]]&amp;" - "&amp;Cuenta_Clasificacion[[#This Row],[Nombre de Cuenta Contable]]</f>
        <v>4105025 - Provision Costos Termino de Obra</v>
      </c>
      <c r="F2323" s="47" t="str">
        <f>+Cuenta_Clasificacion[[#This Row],[Codigo Concepto de imputación]]&amp;" - "&amp;Cuenta_Clasificacion[[#This Row],[Nombre Concepto de imputación]]</f>
        <v>50011 - Capacitación</v>
      </c>
    </row>
    <row r="2324" spans="1:6" x14ac:dyDescent="0.25">
      <c r="A2324" s="43">
        <v>4105025</v>
      </c>
      <c r="B2324" t="s">
        <v>3094</v>
      </c>
      <c r="C2324" s="43">
        <v>50012</v>
      </c>
      <c r="D2324" t="s">
        <v>2901</v>
      </c>
      <c r="E2324" s="47" t="str">
        <f>+Cuenta_Clasificacion[[#This Row],[Código Cuenta Contable]]&amp;" - "&amp;Cuenta_Clasificacion[[#This Row],[Nombre de Cuenta Contable]]</f>
        <v>4105025 - Provision Costos Termino de Obra</v>
      </c>
      <c r="F2324" s="47" t="str">
        <f>+Cuenta_Clasificacion[[#This Row],[Codigo Concepto de imputación]]&amp;" - "&amp;Cuenta_Clasificacion[[#This Row],[Nombre Concepto de imputación]]</f>
        <v>50012 - Honorarios y Asesorías</v>
      </c>
    </row>
    <row r="2325" spans="1:6" x14ac:dyDescent="0.25">
      <c r="A2325" s="43">
        <v>4105025</v>
      </c>
      <c r="B2325" t="s">
        <v>3094</v>
      </c>
      <c r="C2325" s="43">
        <v>50013</v>
      </c>
      <c r="D2325" t="s">
        <v>2902</v>
      </c>
      <c r="E2325" s="47" t="str">
        <f>+Cuenta_Clasificacion[[#This Row],[Código Cuenta Contable]]&amp;" - "&amp;Cuenta_Clasificacion[[#This Row],[Nombre de Cuenta Contable]]</f>
        <v>4105025 - Provision Costos Termino de Obra</v>
      </c>
      <c r="F2325" s="47" t="str">
        <f>+Cuenta_Clasificacion[[#This Row],[Codigo Concepto de imputación]]&amp;" - "&amp;Cuenta_Clasificacion[[#This Row],[Nombre Concepto de imputación]]</f>
        <v>50013 - Seguros</v>
      </c>
    </row>
    <row r="2326" spans="1:6" x14ac:dyDescent="0.25">
      <c r="A2326" s="43">
        <v>4105025</v>
      </c>
      <c r="B2326" t="s">
        <v>3094</v>
      </c>
      <c r="C2326" s="43">
        <v>50014</v>
      </c>
      <c r="D2326" t="s">
        <v>2903</v>
      </c>
      <c r="E2326" s="47" t="str">
        <f>+Cuenta_Clasificacion[[#This Row],[Código Cuenta Contable]]&amp;" - "&amp;Cuenta_Clasificacion[[#This Row],[Nombre de Cuenta Contable]]</f>
        <v>4105025 - Provision Costos Termino de Obra</v>
      </c>
      <c r="F2326" s="47" t="str">
        <f>+Cuenta_Clasificacion[[#This Row],[Codigo Concepto de imputación]]&amp;" - "&amp;Cuenta_Clasificacion[[#This Row],[Nombre Concepto de imputación]]</f>
        <v>50014 - Tramitaciones</v>
      </c>
    </row>
    <row r="2327" spans="1:6" x14ac:dyDescent="0.25">
      <c r="A2327" s="43">
        <v>4105025</v>
      </c>
      <c r="B2327" t="s">
        <v>3094</v>
      </c>
      <c r="C2327" s="43">
        <v>50015</v>
      </c>
      <c r="D2327" t="s">
        <v>2904</v>
      </c>
      <c r="E2327" s="47" t="str">
        <f>+Cuenta_Clasificacion[[#This Row],[Código Cuenta Contable]]&amp;" - "&amp;Cuenta_Clasificacion[[#This Row],[Nombre de Cuenta Contable]]</f>
        <v>4105025 - Provision Costos Termino de Obra</v>
      </c>
      <c r="F2327" s="47" t="str">
        <f>+Cuenta_Clasificacion[[#This Row],[Codigo Concepto de imputación]]&amp;" - "&amp;Cuenta_Clasificacion[[#This Row],[Nombre Concepto de imputación]]</f>
        <v>50015 - Transporte</v>
      </c>
    </row>
    <row r="2328" spans="1:6" x14ac:dyDescent="0.25">
      <c r="A2328" s="43">
        <v>4105025</v>
      </c>
      <c r="B2328" t="s">
        <v>3094</v>
      </c>
      <c r="C2328" s="43">
        <v>50016</v>
      </c>
      <c r="D2328" t="s">
        <v>2905</v>
      </c>
      <c r="E2328" s="47" t="str">
        <f>+Cuenta_Clasificacion[[#This Row],[Código Cuenta Contable]]&amp;" - "&amp;Cuenta_Clasificacion[[#This Row],[Nombre de Cuenta Contable]]</f>
        <v>4105025 - Provision Costos Termino de Obra</v>
      </c>
      <c r="F2328" s="47" t="str">
        <f>+Cuenta_Clasificacion[[#This Row],[Codigo Concepto de imputación]]&amp;" - "&amp;Cuenta_Clasificacion[[#This Row],[Nombre Concepto de imputación]]</f>
        <v>50016 - Útiles Oficina</v>
      </c>
    </row>
    <row r="2329" spans="1:6" x14ac:dyDescent="0.25">
      <c r="A2329" s="43">
        <v>4105025</v>
      </c>
      <c r="B2329" t="s">
        <v>3094</v>
      </c>
      <c r="C2329" s="43">
        <v>50017</v>
      </c>
      <c r="D2329" t="s">
        <v>2906</v>
      </c>
      <c r="E2329" s="47" t="str">
        <f>+Cuenta_Clasificacion[[#This Row],[Código Cuenta Contable]]&amp;" - "&amp;Cuenta_Clasificacion[[#This Row],[Nombre de Cuenta Contable]]</f>
        <v>4105025 - Provision Costos Termino de Obra</v>
      </c>
      <c r="F2329" s="47" t="str">
        <f>+Cuenta_Clasificacion[[#This Row],[Codigo Concepto de imputación]]&amp;" - "&amp;Cuenta_Clasificacion[[#This Row],[Nombre Concepto de imputación]]</f>
        <v>50017 - Consumos Básicos</v>
      </c>
    </row>
    <row r="2330" spans="1:6" x14ac:dyDescent="0.25">
      <c r="A2330" s="43">
        <v>4105025</v>
      </c>
      <c r="B2330" t="s">
        <v>3094</v>
      </c>
      <c r="C2330" s="43">
        <v>50018</v>
      </c>
      <c r="D2330" t="s">
        <v>3088</v>
      </c>
      <c r="E2330" s="47" t="str">
        <f>+Cuenta_Clasificacion[[#This Row],[Código Cuenta Contable]]&amp;" - "&amp;Cuenta_Clasificacion[[#This Row],[Nombre de Cuenta Contable]]</f>
        <v>4105025 - Provision Costos Termino de Obra</v>
      </c>
      <c r="F2330" s="47" t="str">
        <f>+Cuenta_Clasificacion[[#This Row],[Codigo Concepto de imputación]]&amp;" - "&amp;Cuenta_Clasificacion[[#This Row],[Nombre Concepto de imputación]]</f>
        <v>50018 - Consumos Telefónicos</v>
      </c>
    </row>
    <row r="2331" spans="1:6" x14ac:dyDescent="0.25">
      <c r="A2331" s="43">
        <v>4105025</v>
      </c>
      <c r="B2331" t="s">
        <v>3094</v>
      </c>
      <c r="C2331" s="43">
        <v>50019</v>
      </c>
      <c r="D2331" t="s">
        <v>1638</v>
      </c>
      <c r="E2331" s="47" t="str">
        <f>+Cuenta_Clasificacion[[#This Row],[Código Cuenta Contable]]&amp;" - "&amp;Cuenta_Clasificacion[[#This Row],[Nombre de Cuenta Contable]]</f>
        <v>4105025 - Provision Costos Termino de Obra</v>
      </c>
      <c r="F2331" s="47" t="str">
        <f>+Cuenta_Clasificacion[[#This Row],[Codigo Concepto de imputación]]&amp;" - "&amp;Cuenta_Clasificacion[[#This Row],[Nombre Concepto de imputación]]</f>
        <v>50019 - Gastos Municipales</v>
      </c>
    </row>
    <row r="2332" spans="1:6" x14ac:dyDescent="0.25">
      <c r="A2332" s="43">
        <v>4105025</v>
      </c>
      <c r="B2332" t="s">
        <v>3094</v>
      </c>
      <c r="C2332" s="43">
        <v>50020</v>
      </c>
      <c r="D2332" t="s">
        <v>3089</v>
      </c>
      <c r="E2332" s="47" t="str">
        <f>+Cuenta_Clasificacion[[#This Row],[Código Cuenta Contable]]&amp;" - "&amp;Cuenta_Clasificacion[[#This Row],[Nombre de Cuenta Contable]]</f>
        <v>4105025 - Provision Costos Termino de Obra</v>
      </c>
      <c r="F2332" s="47" t="str">
        <f>+Cuenta_Clasificacion[[#This Row],[Codigo Concepto de imputación]]&amp;" - "&amp;Cuenta_Clasificacion[[#This Row],[Nombre Concepto de imputación]]</f>
        <v>50020 - Gastos Notariales</v>
      </c>
    </row>
    <row r="2333" spans="1:6" x14ac:dyDescent="0.25">
      <c r="A2333" s="43">
        <v>4105025</v>
      </c>
      <c r="B2333" t="s">
        <v>3094</v>
      </c>
      <c r="C2333" s="43">
        <v>50021</v>
      </c>
      <c r="D2333" t="s">
        <v>2907</v>
      </c>
      <c r="E2333" s="47" t="str">
        <f>+Cuenta_Clasificacion[[#This Row],[Código Cuenta Contable]]&amp;" - "&amp;Cuenta_Clasificacion[[#This Row],[Nombre de Cuenta Contable]]</f>
        <v>4105025 - Provision Costos Termino de Obra</v>
      </c>
      <c r="F2333" s="47" t="str">
        <f>+Cuenta_Clasificacion[[#This Row],[Codigo Concepto de imputación]]&amp;" - "&amp;Cuenta_Clasificacion[[#This Row],[Nombre Concepto de imputación]]</f>
        <v>50021 - Consumos de Obra</v>
      </c>
    </row>
    <row r="2334" spans="1:6" x14ac:dyDescent="0.25">
      <c r="A2334" s="43">
        <v>4105025</v>
      </c>
      <c r="B2334" t="s">
        <v>3094</v>
      </c>
      <c r="C2334" s="43">
        <v>50022</v>
      </c>
      <c r="D2334" t="s">
        <v>3090</v>
      </c>
      <c r="E2334" s="47" t="str">
        <f>+Cuenta_Clasificacion[[#This Row],[Código Cuenta Contable]]&amp;" - "&amp;Cuenta_Clasificacion[[#This Row],[Nombre de Cuenta Contable]]</f>
        <v>4105025 - Provision Costos Termino de Obra</v>
      </c>
      <c r="F2334" s="47" t="str">
        <f>+Cuenta_Clasificacion[[#This Row],[Codigo Concepto de imputación]]&amp;" - "&amp;Cuenta_Clasificacion[[#This Row],[Nombre Concepto de imputación]]</f>
        <v>50022 - Gastos Viajes y Traslados</v>
      </c>
    </row>
    <row r="2335" spans="1:6" x14ac:dyDescent="0.25">
      <c r="A2335" s="43">
        <v>4105025</v>
      </c>
      <c r="B2335" t="s">
        <v>3094</v>
      </c>
      <c r="C2335" s="43">
        <v>50023</v>
      </c>
      <c r="D2335" t="s">
        <v>2908</v>
      </c>
      <c r="E2335" s="47" t="str">
        <f>+Cuenta_Clasificacion[[#This Row],[Código Cuenta Contable]]&amp;" - "&amp;Cuenta_Clasificacion[[#This Row],[Nombre de Cuenta Contable]]</f>
        <v>4105025 - Provision Costos Termino de Obra</v>
      </c>
      <c r="F2335" s="47" t="str">
        <f>+Cuenta_Clasificacion[[#This Row],[Codigo Concepto de imputación]]&amp;" - "&amp;Cuenta_Clasificacion[[#This Row],[Nombre Concepto de imputación]]</f>
        <v>50023 - Pasajes, Hotel y Otros GG</v>
      </c>
    </row>
    <row r="2336" spans="1:6" x14ac:dyDescent="0.25">
      <c r="A2336" s="43">
        <v>4105025</v>
      </c>
      <c r="B2336" t="s">
        <v>3094</v>
      </c>
      <c r="C2336" s="43">
        <v>50024</v>
      </c>
      <c r="D2336" t="s">
        <v>2729</v>
      </c>
      <c r="E2336" s="47" t="str">
        <f>+Cuenta_Clasificacion[[#This Row],[Código Cuenta Contable]]&amp;" - "&amp;Cuenta_Clasificacion[[#This Row],[Nombre de Cuenta Contable]]</f>
        <v>4105025 - Provision Costos Termino de Obra</v>
      </c>
      <c r="F2336" s="47" t="str">
        <f>+Cuenta_Clasificacion[[#This Row],[Codigo Concepto de imputación]]&amp;" - "&amp;Cuenta_Clasificacion[[#This Row],[Nombre Concepto de imputación]]</f>
        <v>50024 - Combustibles</v>
      </c>
    </row>
    <row r="2337" spans="1:6" x14ac:dyDescent="0.25">
      <c r="A2337" s="43">
        <v>4105025</v>
      </c>
      <c r="B2337" t="s">
        <v>3094</v>
      </c>
      <c r="C2337" s="43">
        <v>50025</v>
      </c>
      <c r="D2337" t="s">
        <v>3091</v>
      </c>
      <c r="E2337" s="47" t="str">
        <f>+Cuenta_Clasificacion[[#This Row],[Código Cuenta Contable]]&amp;" - "&amp;Cuenta_Clasificacion[[#This Row],[Nombre de Cuenta Contable]]</f>
        <v>4105025 - Provision Costos Termino de Obra</v>
      </c>
      <c r="F2337" s="47" t="str">
        <f>+Cuenta_Clasificacion[[#This Row],[Codigo Concepto de imputación]]&amp;" - "&amp;Cuenta_Clasificacion[[#This Row],[Nombre Concepto de imputación]]</f>
        <v>50025 - Prov. GGoc/PV</v>
      </c>
    </row>
    <row r="2338" spans="1:6" x14ac:dyDescent="0.25">
      <c r="A2338" s="43">
        <v>4105025</v>
      </c>
      <c r="B2338" t="s">
        <v>3094</v>
      </c>
      <c r="C2338" s="43">
        <v>50026</v>
      </c>
      <c r="D2338" t="s">
        <v>1500</v>
      </c>
      <c r="E2338" s="47" t="str">
        <f>+Cuenta_Clasificacion[[#This Row],[Código Cuenta Contable]]&amp;" - "&amp;Cuenta_Clasificacion[[#This Row],[Nombre de Cuenta Contable]]</f>
        <v>4105025 - Provision Costos Termino de Obra</v>
      </c>
      <c r="F2338" s="47" t="str">
        <f>+Cuenta_Clasificacion[[#This Row],[Codigo Concepto de imputación]]&amp;" - "&amp;Cuenta_Clasificacion[[#This Row],[Nombre Concepto de imputación]]</f>
        <v>50026 - Oficina Central</v>
      </c>
    </row>
    <row r="2339" spans="1:6" x14ac:dyDescent="0.25">
      <c r="A2339" s="43">
        <v>4105025</v>
      </c>
      <c r="B2339" t="s">
        <v>3094</v>
      </c>
      <c r="C2339" s="43">
        <v>50027</v>
      </c>
      <c r="D2339" t="s">
        <v>3092</v>
      </c>
      <c r="E2339" s="47" t="str">
        <f>+Cuenta_Clasificacion[[#This Row],[Código Cuenta Contable]]&amp;" - "&amp;Cuenta_Clasificacion[[#This Row],[Nombre de Cuenta Contable]]</f>
        <v>4105025 - Provision Costos Termino de Obra</v>
      </c>
      <c r="F2339" s="47" t="str">
        <f>+Cuenta_Clasificacion[[#This Row],[Codigo Concepto de imputación]]&amp;" - "&amp;Cuenta_Clasificacion[[#This Row],[Nombre Concepto de imputación]]</f>
        <v>50027 - Desemp. Prev. Riesgos</v>
      </c>
    </row>
    <row r="2340" spans="1:6" x14ac:dyDescent="0.25">
      <c r="A2340" s="43">
        <v>4105025</v>
      </c>
      <c r="B2340" t="s">
        <v>3094</v>
      </c>
      <c r="C2340" s="43">
        <v>50028</v>
      </c>
      <c r="D2340" t="s">
        <v>2909</v>
      </c>
      <c r="E2340" s="47" t="str">
        <f>+Cuenta_Clasificacion[[#This Row],[Código Cuenta Contable]]&amp;" - "&amp;Cuenta_Clasificacion[[#This Row],[Nombre de Cuenta Contable]]</f>
        <v>4105025 - Provision Costos Termino de Obra</v>
      </c>
      <c r="F2340" s="47" t="str">
        <f>+Cuenta_Clasificacion[[#This Row],[Codigo Concepto de imputación]]&amp;" - "&amp;Cuenta_Clasificacion[[#This Row],[Nombre Concepto de imputación]]</f>
        <v>50028 - Boletas de Garantía</v>
      </c>
    </row>
    <row r="2341" spans="1:6" x14ac:dyDescent="0.25">
      <c r="A2341" s="43">
        <v>4105025</v>
      </c>
      <c r="B2341" t="s">
        <v>3094</v>
      </c>
      <c r="C2341" s="43">
        <v>77777</v>
      </c>
      <c r="D2341" t="s">
        <v>2703</v>
      </c>
      <c r="E2341" s="47" t="str">
        <f>+Cuenta_Clasificacion[[#This Row],[Código Cuenta Contable]]&amp;" - "&amp;Cuenta_Clasificacion[[#This Row],[Nombre de Cuenta Contable]]</f>
        <v>4105025 - Provision Costos Termino de Obra</v>
      </c>
      <c r="F2341" s="47" t="str">
        <f>+Cuenta_Clasificacion[[#This Row],[Codigo Concepto de imputación]]&amp;" - "&amp;Cuenta_Clasificacion[[#This Row],[Nombre Concepto de imputación]]</f>
        <v>77777 - REGULARIZACIONES</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7BBBFC-9C35-4E48-AFD0-3B039A97B06C}">
  <sheetPr codeName="Hoja4"/>
  <dimension ref="A1:B50"/>
  <sheetViews>
    <sheetView zoomScale="85" zoomScaleNormal="85" workbookViewId="0">
      <selection activeCell="D30" sqref="D30:G30"/>
    </sheetView>
  </sheetViews>
  <sheetFormatPr baseColWidth="10" defaultColWidth="11.42578125" defaultRowHeight="15" x14ac:dyDescent="0.25"/>
  <cols>
    <col min="1" max="1" width="28.85546875" bestFit="1" customWidth="1"/>
    <col min="2" max="2" width="19.7109375" bestFit="1" customWidth="1"/>
    <col min="257" max="257" width="28.85546875" bestFit="1" customWidth="1"/>
    <col min="258" max="258" width="19.7109375" bestFit="1" customWidth="1"/>
    <col min="513" max="513" width="28.85546875" bestFit="1" customWidth="1"/>
    <col min="514" max="514" width="19.7109375" bestFit="1" customWidth="1"/>
    <col min="769" max="769" width="28.85546875" bestFit="1" customWidth="1"/>
    <col min="770" max="770" width="19.7109375" bestFit="1" customWidth="1"/>
    <col min="1025" max="1025" width="28.85546875" bestFit="1" customWidth="1"/>
    <col min="1026" max="1026" width="19.7109375" bestFit="1" customWidth="1"/>
    <col min="1281" max="1281" width="28.85546875" bestFit="1" customWidth="1"/>
    <col min="1282" max="1282" width="19.7109375" bestFit="1" customWidth="1"/>
    <col min="1537" max="1537" width="28.85546875" bestFit="1" customWidth="1"/>
    <col min="1538" max="1538" width="19.7109375" bestFit="1" customWidth="1"/>
    <col min="1793" max="1793" width="28.85546875" bestFit="1" customWidth="1"/>
    <col min="1794" max="1794" width="19.7109375" bestFit="1" customWidth="1"/>
    <col min="2049" max="2049" width="28.85546875" bestFit="1" customWidth="1"/>
    <col min="2050" max="2050" width="19.7109375" bestFit="1" customWidth="1"/>
    <col min="2305" max="2305" width="28.85546875" bestFit="1" customWidth="1"/>
    <col min="2306" max="2306" width="19.7109375" bestFit="1" customWidth="1"/>
    <col min="2561" max="2561" width="28.85546875" bestFit="1" customWidth="1"/>
    <col min="2562" max="2562" width="19.7109375" bestFit="1" customWidth="1"/>
    <col min="2817" max="2817" width="28.85546875" bestFit="1" customWidth="1"/>
    <col min="2818" max="2818" width="19.7109375" bestFit="1" customWidth="1"/>
    <col min="3073" max="3073" width="28.85546875" bestFit="1" customWidth="1"/>
    <col min="3074" max="3074" width="19.7109375" bestFit="1" customWidth="1"/>
    <col min="3329" max="3329" width="28.85546875" bestFit="1" customWidth="1"/>
    <col min="3330" max="3330" width="19.7109375" bestFit="1" customWidth="1"/>
    <col min="3585" max="3585" width="28.85546875" bestFit="1" customWidth="1"/>
    <col min="3586" max="3586" width="19.7109375" bestFit="1" customWidth="1"/>
    <col min="3841" max="3841" width="28.85546875" bestFit="1" customWidth="1"/>
    <col min="3842" max="3842" width="19.7109375" bestFit="1" customWidth="1"/>
    <col min="4097" max="4097" width="28.85546875" bestFit="1" customWidth="1"/>
    <col min="4098" max="4098" width="19.7109375" bestFit="1" customWidth="1"/>
    <col min="4353" max="4353" width="28.85546875" bestFit="1" customWidth="1"/>
    <col min="4354" max="4354" width="19.7109375" bestFit="1" customWidth="1"/>
    <col min="4609" max="4609" width="28.85546875" bestFit="1" customWidth="1"/>
    <col min="4610" max="4610" width="19.7109375" bestFit="1" customWidth="1"/>
    <col min="4865" max="4865" width="28.85546875" bestFit="1" customWidth="1"/>
    <col min="4866" max="4866" width="19.7109375" bestFit="1" customWidth="1"/>
    <col min="5121" max="5121" width="28.85546875" bestFit="1" customWidth="1"/>
    <col min="5122" max="5122" width="19.7109375" bestFit="1" customWidth="1"/>
    <col min="5377" max="5377" width="28.85546875" bestFit="1" customWidth="1"/>
    <col min="5378" max="5378" width="19.7109375" bestFit="1" customWidth="1"/>
    <col min="5633" max="5633" width="28.85546875" bestFit="1" customWidth="1"/>
    <col min="5634" max="5634" width="19.7109375" bestFit="1" customWidth="1"/>
    <col min="5889" max="5889" width="28.85546875" bestFit="1" customWidth="1"/>
    <col min="5890" max="5890" width="19.7109375" bestFit="1" customWidth="1"/>
    <col min="6145" max="6145" width="28.85546875" bestFit="1" customWidth="1"/>
    <col min="6146" max="6146" width="19.7109375" bestFit="1" customWidth="1"/>
    <col min="6401" max="6401" width="28.85546875" bestFit="1" customWidth="1"/>
    <col min="6402" max="6402" width="19.7109375" bestFit="1" customWidth="1"/>
    <col min="6657" max="6657" width="28.85546875" bestFit="1" customWidth="1"/>
    <col min="6658" max="6658" width="19.7109375" bestFit="1" customWidth="1"/>
    <col min="6913" max="6913" width="28.85546875" bestFit="1" customWidth="1"/>
    <col min="6914" max="6914" width="19.7109375" bestFit="1" customWidth="1"/>
    <col min="7169" max="7169" width="28.85546875" bestFit="1" customWidth="1"/>
    <col min="7170" max="7170" width="19.7109375" bestFit="1" customWidth="1"/>
    <col min="7425" max="7425" width="28.85546875" bestFit="1" customWidth="1"/>
    <col min="7426" max="7426" width="19.7109375" bestFit="1" customWidth="1"/>
    <col min="7681" max="7681" width="28.85546875" bestFit="1" customWidth="1"/>
    <col min="7682" max="7682" width="19.7109375" bestFit="1" customWidth="1"/>
    <col min="7937" max="7937" width="28.85546875" bestFit="1" customWidth="1"/>
    <col min="7938" max="7938" width="19.7109375" bestFit="1" customWidth="1"/>
    <col min="8193" max="8193" width="28.85546875" bestFit="1" customWidth="1"/>
    <col min="8194" max="8194" width="19.7109375" bestFit="1" customWidth="1"/>
    <col min="8449" max="8449" width="28.85546875" bestFit="1" customWidth="1"/>
    <col min="8450" max="8450" width="19.7109375" bestFit="1" customWidth="1"/>
    <col min="8705" max="8705" width="28.85546875" bestFit="1" customWidth="1"/>
    <col min="8706" max="8706" width="19.7109375" bestFit="1" customWidth="1"/>
    <col min="8961" max="8961" width="28.85546875" bestFit="1" customWidth="1"/>
    <col min="8962" max="8962" width="19.7109375" bestFit="1" customWidth="1"/>
    <col min="9217" max="9217" width="28.85546875" bestFit="1" customWidth="1"/>
    <col min="9218" max="9218" width="19.7109375" bestFit="1" customWidth="1"/>
    <col min="9473" max="9473" width="28.85546875" bestFit="1" customWidth="1"/>
    <col min="9474" max="9474" width="19.7109375" bestFit="1" customWidth="1"/>
    <col min="9729" max="9729" width="28.85546875" bestFit="1" customWidth="1"/>
    <col min="9730" max="9730" width="19.7109375" bestFit="1" customWidth="1"/>
    <col min="9985" max="9985" width="28.85546875" bestFit="1" customWidth="1"/>
    <col min="9986" max="9986" width="19.7109375" bestFit="1" customWidth="1"/>
    <col min="10241" max="10241" width="28.85546875" bestFit="1" customWidth="1"/>
    <col min="10242" max="10242" width="19.7109375" bestFit="1" customWidth="1"/>
    <col min="10497" max="10497" width="28.85546875" bestFit="1" customWidth="1"/>
    <col min="10498" max="10498" width="19.7109375" bestFit="1" customWidth="1"/>
    <col min="10753" max="10753" width="28.85546875" bestFit="1" customWidth="1"/>
    <col min="10754" max="10754" width="19.7109375" bestFit="1" customWidth="1"/>
    <col min="11009" max="11009" width="28.85546875" bestFit="1" customWidth="1"/>
    <col min="11010" max="11010" width="19.7109375" bestFit="1" customWidth="1"/>
    <col min="11265" max="11265" width="28.85546875" bestFit="1" customWidth="1"/>
    <col min="11266" max="11266" width="19.7109375" bestFit="1" customWidth="1"/>
    <col min="11521" max="11521" width="28.85546875" bestFit="1" customWidth="1"/>
    <col min="11522" max="11522" width="19.7109375" bestFit="1" customWidth="1"/>
    <col min="11777" max="11777" width="28.85546875" bestFit="1" customWidth="1"/>
    <col min="11778" max="11778" width="19.7109375" bestFit="1" customWidth="1"/>
    <col min="12033" max="12033" width="28.85546875" bestFit="1" customWidth="1"/>
    <col min="12034" max="12034" width="19.7109375" bestFit="1" customWidth="1"/>
    <col min="12289" max="12289" width="28.85546875" bestFit="1" customWidth="1"/>
    <col min="12290" max="12290" width="19.7109375" bestFit="1" customWidth="1"/>
    <col min="12545" max="12545" width="28.85546875" bestFit="1" customWidth="1"/>
    <col min="12546" max="12546" width="19.7109375" bestFit="1" customWidth="1"/>
    <col min="12801" max="12801" width="28.85546875" bestFit="1" customWidth="1"/>
    <col min="12802" max="12802" width="19.7109375" bestFit="1" customWidth="1"/>
    <col min="13057" max="13057" width="28.85546875" bestFit="1" customWidth="1"/>
    <col min="13058" max="13058" width="19.7109375" bestFit="1" customWidth="1"/>
    <col min="13313" max="13313" width="28.85546875" bestFit="1" customWidth="1"/>
    <col min="13314" max="13314" width="19.7109375" bestFit="1" customWidth="1"/>
    <col min="13569" max="13569" width="28.85546875" bestFit="1" customWidth="1"/>
    <col min="13570" max="13570" width="19.7109375" bestFit="1" customWidth="1"/>
    <col min="13825" max="13825" width="28.85546875" bestFit="1" customWidth="1"/>
    <col min="13826" max="13826" width="19.7109375" bestFit="1" customWidth="1"/>
    <col min="14081" max="14081" width="28.85546875" bestFit="1" customWidth="1"/>
    <col min="14082" max="14082" width="19.7109375" bestFit="1" customWidth="1"/>
    <col min="14337" max="14337" width="28.85546875" bestFit="1" customWidth="1"/>
    <col min="14338" max="14338" width="19.7109375" bestFit="1" customWidth="1"/>
    <col min="14593" max="14593" width="28.85546875" bestFit="1" customWidth="1"/>
    <col min="14594" max="14594" width="19.7109375" bestFit="1" customWidth="1"/>
    <col min="14849" max="14849" width="28.85546875" bestFit="1" customWidth="1"/>
    <col min="14850" max="14850" width="19.7109375" bestFit="1" customWidth="1"/>
    <col min="15105" max="15105" width="28.85546875" bestFit="1" customWidth="1"/>
    <col min="15106" max="15106" width="19.7109375" bestFit="1" customWidth="1"/>
    <col min="15361" max="15361" width="28.85546875" bestFit="1" customWidth="1"/>
    <col min="15362" max="15362" width="19.7109375" bestFit="1" customWidth="1"/>
    <col min="15617" max="15617" width="28.85546875" bestFit="1" customWidth="1"/>
    <col min="15618" max="15618" width="19.7109375" bestFit="1" customWidth="1"/>
    <col min="15873" max="15873" width="28.85546875" bestFit="1" customWidth="1"/>
    <col min="15874" max="15874" width="19.7109375" bestFit="1" customWidth="1"/>
    <col min="16129" max="16129" width="28.85546875" bestFit="1" customWidth="1"/>
    <col min="16130" max="16130" width="19.7109375" bestFit="1" customWidth="1"/>
  </cols>
  <sheetData>
    <row r="1" spans="1:2" x14ac:dyDescent="0.25">
      <c r="A1" s="1" t="s">
        <v>353</v>
      </c>
      <c r="B1" s="2" t="s">
        <v>354</v>
      </c>
    </row>
    <row r="2" spans="1:2" x14ac:dyDescent="0.25">
      <c r="A2" s="3" t="s">
        <v>355</v>
      </c>
      <c r="B2" s="3" t="s">
        <v>356</v>
      </c>
    </row>
    <row r="3" spans="1:2" x14ac:dyDescent="0.25">
      <c r="A3" s="3" t="s">
        <v>357</v>
      </c>
      <c r="B3" s="3" t="s">
        <v>358</v>
      </c>
    </row>
    <row r="4" spans="1:2" x14ac:dyDescent="0.25">
      <c r="A4" s="3" t="s">
        <v>359</v>
      </c>
      <c r="B4" s="3" t="s">
        <v>360</v>
      </c>
    </row>
    <row r="5" spans="1:2" x14ac:dyDescent="0.25">
      <c r="A5" s="3" t="s">
        <v>361</v>
      </c>
      <c r="B5" s="3" t="s">
        <v>362</v>
      </c>
    </row>
    <row r="6" spans="1:2" x14ac:dyDescent="0.25">
      <c r="A6" s="3" t="s">
        <v>363</v>
      </c>
      <c r="B6" s="3" t="s">
        <v>364</v>
      </c>
    </row>
    <row r="7" spans="1:2" x14ac:dyDescent="0.25">
      <c r="A7" s="3" t="s">
        <v>365</v>
      </c>
      <c r="B7" s="3"/>
    </row>
    <row r="8" spans="1:2" x14ac:dyDescent="0.25">
      <c r="A8" s="3" t="s">
        <v>366</v>
      </c>
      <c r="B8" s="3"/>
    </row>
    <row r="9" spans="1:2" x14ac:dyDescent="0.25">
      <c r="A9" s="3" t="s">
        <v>367</v>
      </c>
      <c r="B9" s="3"/>
    </row>
    <row r="10" spans="1:2" x14ac:dyDescent="0.25">
      <c r="A10" s="3" t="s">
        <v>368</v>
      </c>
      <c r="B10" s="3"/>
    </row>
    <row r="11" spans="1:2" x14ac:dyDescent="0.25">
      <c r="A11" s="3" t="s">
        <v>369</v>
      </c>
      <c r="B11" s="3"/>
    </row>
    <row r="12" spans="1:2" x14ac:dyDescent="0.25">
      <c r="A12" s="3" t="s">
        <v>370</v>
      </c>
      <c r="B12" s="3"/>
    </row>
    <row r="13" spans="1:2" x14ac:dyDescent="0.25">
      <c r="A13" s="3" t="s">
        <v>371</v>
      </c>
      <c r="B13" s="3"/>
    </row>
    <row r="14" spans="1:2" x14ac:dyDescent="0.25">
      <c r="A14" s="3" t="s">
        <v>372</v>
      </c>
      <c r="B14" s="3"/>
    </row>
    <row r="15" spans="1:2" x14ac:dyDescent="0.25">
      <c r="A15" s="3" t="s">
        <v>373</v>
      </c>
      <c r="B15" s="3"/>
    </row>
    <row r="16" spans="1:2" x14ac:dyDescent="0.25">
      <c r="A16" s="3" t="s">
        <v>374</v>
      </c>
      <c r="B16" s="3"/>
    </row>
    <row r="17" spans="1:2" x14ac:dyDescent="0.25">
      <c r="A17" s="3" t="s">
        <v>375</v>
      </c>
      <c r="B17" s="3"/>
    </row>
    <row r="18" spans="1:2" x14ac:dyDescent="0.25">
      <c r="A18" s="3" t="s">
        <v>376</v>
      </c>
      <c r="B18" s="3"/>
    </row>
    <row r="19" spans="1:2" x14ac:dyDescent="0.25">
      <c r="A19" s="3" t="s">
        <v>377</v>
      </c>
      <c r="B19" s="3"/>
    </row>
    <row r="20" spans="1:2" x14ac:dyDescent="0.25">
      <c r="A20" s="3" t="s">
        <v>378</v>
      </c>
      <c r="B20" s="3"/>
    </row>
    <row r="21" spans="1:2" x14ac:dyDescent="0.25">
      <c r="A21" s="3" t="s">
        <v>379</v>
      </c>
      <c r="B21" s="3"/>
    </row>
    <row r="22" spans="1:2" x14ac:dyDescent="0.25">
      <c r="A22" s="3" t="s">
        <v>380</v>
      </c>
      <c r="B22" s="3"/>
    </row>
    <row r="23" spans="1:2" x14ac:dyDescent="0.25">
      <c r="A23" s="3" t="s">
        <v>381</v>
      </c>
      <c r="B23" s="3"/>
    </row>
    <row r="24" spans="1:2" x14ac:dyDescent="0.25">
      <c r="A24" s="3"/>
      <c r="B24" s="3"/>
    </row>
    <row r="25" spans="1:2" x14ac:dyDescent="0.25">
      <c r="A25" s="3"/>
      <c r="B25" s="3"/>
    </row>
    <row r="26" spans="1:2" x14ac:dyDescent="0.25">
      <c r="A26" s="3"/>
      <c r="B26" s="3"/>
    </row>
    <row r="27" spans="1:2" x14ac:dyDescent="0.25">
      <c r="A27" s="3"/>
      <c r="B27" s="3"/>
    </row>
    <row r="28" spans="1:2" x14ac:dyDescent="0.25">
      <c r="A28" s="3"/>
      <c r="B28" s="3"/>
    </row>
    <row r="29" spans="1:2" x14ac:dyDescent="0.25">
      <c r="A29" s="3"/>
      <c r="B29" s="3"/>
    </row>
    <row r="30" spans="1:2" x14ac:dyDescent="0.25">
      <c r="A30" s="3"/>
      <c r="B30" s="3"/>
    </row>
    <row r="31" spans="1:2" x14ac:dyDescent="0.25">
      <c r="A31" s="3"/>
      <c r="B31" s="3"/>
    </row>
    <row r="32" spans="1:2" x14ac:dyDescent="0.25">
      <c r="A32" s="3"/>
      <c r="B32" s="3"/>
    </row>
    <row r="33" spans="1:2" x14ac:dyDescent="0.25">
      <c r="A33" s="3"/>
      <c r="B33" s="3"/>
    </row>
    <row r="34" spans="1:2" x14ac:dyDescent="0.25">
      <c r="A34" s="3"/>
      <c r="B34" s="3"/>
    </row>
    <row r="35" spans="1:2" x14ac:dyDescent="0.25">
      <c r="A35" s="3"/>
      <c r="B35" s="3"/>
    </row>
    <row r="36" spans="1:2" x14ac:dyDescent="0.25">
      <c r="A36" s="3"/>
      <c r="B36" s="3"/>
    </row>
    <row r="37" spans="1:2" x14ac:dyDescent="0.25">
      <c r="A37" s="3"/>
      <c r="B37" s="3"/>
    </row>
    <row r="38" spans="1:2" x14ac:dyDescent="0.25">
      <c r="A38" s="3"/>
      <c r="B38" s="3"/>
    </row>
    <row r="39" spans="1:2" x14ac:dyDescent="0.25">
      <c r="A39" s="3"/>
      <c r="B39" s="3"/>
    </row>
    <row r="40" spans="1:2" x14ac:dyDescent="0.25">
      <c r="A40" s="3"/>
      <c r="B40" s="3"/>
    </row>
    <row r="41" spans="1:2" x14ac:dyDescent="0.25">
      <c r="A41" s="3"/>
      <c r="B41" s="3"/>
    </row>
    <row r="42" spans="1:2" x14ac:dyDescent="0.25">
      <c r="A42" s="3"/>
      <c r="B42" s="3"/>
    </row>
    <row r="43" spans="1:2" x14ac:dyDescent="0.25">
      <c r="A43" s="3"/>
      <c r="B43" s="3"/>
    </row>
    <row r="44" spans="1:2" x14ac:dyDescent="0.25">
      <c r="A44" s="3"/>
      <c r="B44" s="3"/>
    </row>
    <row r="45" spans="1:2" x14ac:dyDescent="0.25">
      <c r="A45" s="3"/>
      <c r="B45" s="3"/>
    </row>
    <row r="46" spans="1:2" x14ac:dyDescent="0.25">
      <c r="A46" s="3"/>
      <c r="B46" s="3"/>
    </row>
    <row r="47" spans="1:2" x14ac:dyDescent="0.25">
      <c r="A47" s="3"/>
      <c r="B47" s="3"/>
    </row>
    <row r="48" spans="1:2" x14ac:dyDescent="0.25">
      <c r="A48" s="3"/>
      <c r="B48" s="3"/>
    </row>
    <row r="49" spans="1:2" x14ac:dyDescent="0.25">
      <c r="A49" s="3"/>
      <c r="B49" s="3"/>
    </row>
    <row r="50" spans="1:2" x14ac:dyDescent="0.25">
      <c r="A50" s="3"/>
      <c r="B50" s="3"/>
    </row>
  </sheetData>
  <pageMargins left="0.7" right="0.7" top="0.75" bottom="0.75" header="0.3" footer="0.3"/>
  <pageSetup orientation="portrait" horizontalDpi="360" verticalDpi="36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item1.xml>�� 
</file>

<file path=customXml/item2.xml>�� 
</file>

<file path=customXml/item3.xml>�� 
</file>

<file path=customXml/item4.xml><?xml version="1.0" encoding="utf-8"?>
<ct:contentTypeSchema xmlns:ct="http://schemas.microsoft.com/office/2006/metadata/contentType" xmlns:ma="http://schemas.microsoft.com/office/2006/metadata/properties/metaAttributes" ct:_="" ma:_="" ma:contentTypeName="Documento" ma:contentTypeID="0x01010014890A3835A0D044B58EECC569D294BE" ma:contentTypeVersion="3" ma:contentTypeDescription="Crear nuevo documento." ma:contentTypeScope="" ma:versionID="01e8e38efc8c42572a1c397f40483168">
  <xsd:schema xmlns:xsd="http://www.w3.org/2001/XMLSchema" xmlns:xs="http://www.w3.org/2001/XMLSchema" xmlns:p="http://schemas.microsoft.com/office/2006/metadata/properties" xmlns:ns2="9a8f416a-4943-4ea5-8ed4-d0a85a5b9af1" targetNamespace="http://schemas.microsoft.com/office/2006/metadata/properties" ma:root="true" ma:fieldsID="d310491b7b3d9ab9a4f315f0e34f5fba" ns2:_="">
    <xsd:import namespace="9a8f416a-4943-4ea5-8ed4-d0a85a5b9af1"/>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a8f416a-4943-4ea5-8ed4-d0a85a5b9af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5.xml><?xml version="1.0" encoding="utf-8"?>
<p:properties xmlns:p="http://schemas.microsoft.com/office/2006/metadata/properties" xmlns:xsi="http://www.w3.org/2001/XMLSchema-instance" xmlns:pc="http://schemas.microsoft.com/office/infopath/2007/PartnerControls">
  <documentManagement/>
</p:properties>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xml version="1.0" encoding="utf-8"?>
<?mso-contentType ?>
<FormTemplates xmlns="http://schemas.microsoft.com/sharepoint/v3/contenttype/forms">
  <Display>DocumentLibraryForm</Display>
  <Edit>DocumentLibraryForm</Edit>
  <New>DocumentLibraryForm</New>
</FormTemplates>
</file>

<file path=customXml/item19.xml>�� 
</file>

<file path=customXml/item20.xml>�� 
</file>

<file path=customXml/itemProps1.xml><?xml version="1.0" encoding="utf-8"?>
<ds:datastoreItem xmlns:ds="http://schemas.openxmlformats.org/officeDocument/2006/customXml" ds:itemID="{CE2EE996-804E-4D36-B064-49D8C4A11859}">
  <ds:schemaRefs>
    <ds:schemaRef ds:uri="http://gemini/pivotcustomization/ManualCalcMode"/>
  </ds:schemaRefs>
</ds:datastoreItem>
</file>

<file path=customXml/itemProps2.xml><?xml version="1.0" encoding="utf-8"?>
<ds:datastoreItem xmlns:ds="http://schemas.openxmlformats.org/officeDocument/2006/customXml" ds:itemID="{4D61E24E-2280-420A-8C8A-A14D548B8EF5}">
  <ds:schemaRefs>
    <ds:schemaRef ds:uri="http://gemini/pivotcustomization/LinkedTableUpdateMode"/>
  </ds:schemaRefs>
</ds:datastoreItem>
</file>

<file path=customXml/itemProps3.xml><?xml version="1.0" encoding="utf-8"?>
<ds:datastoreItem xmlns:ds="http://schemas.openxmlformats.org/officeDocument/2006/customXml" ds:itemID="{8C5E93A1-3A3F-4C14-8425-0ED1AAC93FC2}">
  <ds:schemaRefs>
    <ds:schemaRef ds:uri="http://gemini/pivotcustomization/IsSandboxEmbedded"/>
  </ds:schemaRefs>
</ds:datastoreItem>
</file>

<file path=customXml/itemProps4.xml><?xml version="1.0" encoding="utf-8"?>
<ds:datastoreItem xmlns:ds="http://schemas.openxmlformats.org/officeDocument/2006/customXml" ds:itemID="{0EC6D57F-2365-4881-8DA6-B5FEE4D474DF}"/>
</file>

<file path=customXml/itemProps5.xml><?xml version="1.0" encoding="utf-8"?>
<ds:datastoreItem xmlns:ds="http://schemas.openxmlformats.org/officeDocument/2006/customXml" ds:itemID="{3EAC2232-C1E2-49E3-AA85-DF7BF8D61513}">
  <ds:schemaRefs>
    <ds:schemaRef ds:uri="http://schemas.microsoft.com/office/infopath/2007/PartnerControls"/>
    <ds:schemaRef ds:uri="http://www.w3.org/XML/1998/namespace"/>
    <ds:schemaRef ds:uri="http://purl.org/dc/dcmitype/"/>
    <ds:schemaRef ds:uri="6230a794-25cc-4cc1-896a-6e7296c2e295"/>
    <ds:schemaRef ds:uri="http://schemas.microsoft.com/office/2006/metadata/properties"/>
    <ds:schemaRef ds:uri="http://schemas.microsoft.com/office/2006/documentManagement/types"/>
    <ds:schemaRef ds:uri="http://purl.org/dc/terms/"/>
    <ds:schemaRef ds:uri="http://schemas.openxmlformats.org/package/2006/metadata/core-properties"/>
    <ds:schemaRef ds:uri="http://purl.org/dc/elements/1.1/"/>
  </ds:schemaRefs>
</ds:datastoreItem>
</file>

<file path=customXml/itemProps6.xml><?xml version="1.0" encoding="utf-8"?>
<ds:datastoreItem xmlns:ds="http://schemas.openxmlformats.org/officeDocument/2006/customXml" ds:itemID="{ECF49B11-4E72-4BF1-9BBA-F973B0A255A0}">
  <ds:schemaRefs>
    <ds:schemaRef ds:uri="http://gemini/pivotcustomization/TableXML_Tabla3"/>
  </ds:schemaRefs>
</ds:datastoreItem>
</file>

<file path=customXml/itemProps7.xml><?xml version="1.0" encoding="utf-8"?>
<ds:datastoreItem xmlns:ds="http://schemas.openxmlformats.org/officeDocument/2006/customXml" ds:itemID="{9804C54D-A97A-48DB-AB7E-5D48BDACC2AE}">
  <ds:schemaRefs>
    <ds:schemaRef ds:uri="http://gemini/pivotcustomization/ClientWindowXML"/>
  </ds:schemaRefs>
</ds:datastoreItem>
</file>

<file path=customXml/itemProps8.xml><?xml version="1.0" encoding="utf-8"?>
<ds:datastoreItem xmlns:ds="http://schemas.openxmlformats.org/officeDocument/2006/customXml" ds:itemID="{776CEF9F-168A-49E0-80B2-B78EC3284862}">
  <ds:schemaRefs>
    <ds:schemaRef ds:uri="http://gemini/pivotcustomization/RelationshipAutoDetectionEnabled"/>
  </ds:schemaRefs>
</ds:datastoreItem>
</file>

<file path=customXml/itemProps9.xml><?xml version="1.0" encoding="utf-8"?>
<ds:datastoreItem xmlns:ds="http://schemas.openxmlformats.org/officeDocument/2006/customXml" ds:itemID="{5DE5D452-EEB8-4D52-BD9D-4F3FA4401270}">
  <ds:schemaRefs>
    <ds:schemaRef ds:uri="http://gemini/pivotcustomization/TableOrder"/>
  </ds:schemaRefs>
</ds:datastoreItem>
</file>

<file path=customXml/itemProps10.xml><?xml version="1.0" encoding="utf-8"?>
<ds:datastoreItem xmlns:ds="http://schemas.openxmlformats.org/officeDocument/2006/customXml" ds:itemID="{D7E9243B-A2B9-42E2-92C5-E4EFA1B647FB}">
  <ds:schemaRefs>
    <ds:schemaRef ds:uri="http://gemini/pivotcustomization/SandboxNonEmpty"/>
  </ds:schemaRefs>
</ds:datastoreItem>
</file>

<file path=customXml/itemProps11.xml><?xml version="1.0" encoding="utf-8"?>
<ds:datastoreItem xmlns:ds="http://schemas.openxmlformats.org/officeDocument/2006/customXml" ds:itemID="{310D2D99-1040-4219-8C80-CC19FC4FF7CE}">
  <ds:schemaRefs>
    <ds:schemaRef ds:uri="http://gemini/pivotcustomization/ErrorCache"/>
  </ds:schemaRefs>
</ds:datastoreItem>
</file>

<file path=customXml/itemProps12.xml><?xml version="1.0" encoding="utf-8"?>
<ds:datastoreItem xmlns:ds="http://schemas.openxmlformats.org/officeDocument/2006/customXml" ds:itemID="{7D9711C1-6D31-4C42-B0CF-8473D48E8986}">
  <ds:schemaRefs>
    <ds:schemaRef ds:uri="http://schemas.microsoft.com/DataMashup"/>
  </ds:schemaRefs>
</ds:datastoreItem>
</file>

<file path=customXml/itemProps13.xml><?xml version="1.0" encoding="utf-8"?>
<ds:datastoreItem xmlns:ds="http://schemas.openxmlformats.org/officeDocument/2006/customXml" ds:itemID="{B4E855BC-C903-4E8E-914E-25882975FBE7}">
  <ds:schemaRefs>
    <ds:schemaRef ds:uri="http://gemini/pivotcustomization/PowerPivotVersion"/>
  </ds:schemaRefs>
</ds:datastoreItem>
</file>

<file path=customXml/itemProps14.xml><?xml version="1.0" encoding="utf-8"?>
<ds:datastoreItem xmlns:ds="http://schemas.openxmlformats.org/officeDocument/2006/customXml" ds:itemID="{CFDB7535-6E8D-4214-813D-64DD68A6A15C}">
  <ds:schemaRefs>
    <ds:schemaRef ds:uri="http://gemini/pivotcustomization/MeasureGridState"/>
  </ds:schemaRefs>
</ds:datastoreItem>
</file>

<file path=customXml/itemProps15.xml><?xml version="1.0" encoding="utf-8"?>
<ds:datastoreItem xmlns:ds="http://schemas.openxmlformats.org/officeDocument/2006/customXml" ds:itemID="{EEF0D358-5E4C-47C7-9887-BC559E332499}">
  <ds:schemaRefs>
    <ds:schemaRef ds:uri="http://gemini/pivotcustomization/TableWidget"/>
  </ds:schemaRefs>
</ds:datastoreItem>
</file>

<file path=customXml/itemProps16.xml><?xml version="1.0" encoding="utf-8"?>
<ds:datastoreItem xmlns:ds="http://schemas.openxmlformats.org/officeDocument/2006/customXml" ds:itemID="{7D4BCE42-228C-4744-BA66-010B8CFE515D}">
  <ds:schemaRefs>
    <ds:schemaRef ds:uri="http://gemini/pivotcustomization/FormulaBarState"/>
  </ds:schemaRefs>
</ds:datastoreItem>
</file>

<file path=customXml/itemProps17.xml><?xml version="1.0" encoding="utf-8"?>
<ds:datastoreItem xmlns:ds="http://schemas.openxmlformats.org/officeDocument/2006/customXml" ds:itemID="{524123F5-5EB7-41C0-A546-DC4FBE1B5961}">
  <ds:schemaRefs>
    <ds:schemaRef ds:uri="http://gemini/pivotcustomization/ShowHidden"/>
  </ds:schemaRefs>
</ds:datastoreItem>
</file>

<file path=customXml/itemProps18.xml><?xml version="1.0" encoding="utf-8"?>
<ds:datastoreItem xmlns:ds="http://schemas.openxmlformats.org/officeDocument/2006/customXml" ds:itemID="{0A1EA6A9-ED2F-4F63-BAE7-C7DF7A5D0EE1}">
  <ds:schemaRefs>
    <ds:schemaRef ds:uri="http://schemas.microsoft.com/sharepoint/v3/contenttype/forms"/>
  </ds:schemaRefs>
</ds:datastoreItem>
</file>

<file path=customXml/itemProps19.xml><?xml version="1.0" encoding="utf-8"?>
<ds:datastoreItem xmlns:ds="http://schemas.openxmlformats.org/officeDocument/2006/customXml" ds:itemID="{443E0D6E-5C0E-4D26-B73E-665A945578B3}">
  <ds:schemaRefs>
    <ds:schemaRef ds:uri="http://gemini/pivotcustomization/ShowImplicitMeasures"/>
  </ds:schemaRefs>
</ds:datastoreItem>
</file>

<file path=customXml/itemProps20.xml><?xml version="1.0" encoding="utf-8"?>
<ds:datastoreItem xmlns:ds="http://schemas.openxmlformats.org/officeDocument/2006/customXml" ds:itemID="{B4FE2271-3624-4129-8268-91B3BD155077}">
  <ds:schemaRefs>
    <ds:schemaRef ds:uri="http://gemini/pivotcustomization/Diagra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10</vt:i4>
      </vt:variant>
      <vt:variant>
        <vt:lpstr>Rangos con nombre</vt:lpstr>
      </vt:variant>
      <vt:variant>
        <vt:i4>4</vt:i4>
      </vt:variant>
    </vt:vector>
  </HeadingPairs>
  <TitlesOfParts>
    <vt:vector size="14" baseType="lpstr">
      <vt:lpstr>Formulario</vt:lpstr>
      <vt:lpstr>3. Bancos</vt:lpstr>
      <vt:lpstr>1. Empresas</vt:lpstr>
      <vt:lpstr>3. Cuentas</vt:lpstr>
      <vt:lpstr>2. Centros</vt:lpstr>
      <vt:lpstr>6. Empresas-centros</vt:lpstr>
      <vt:lpstr>7.  Centros-Cuentas</vt:lpstr>
      <vt:lpstr>8. Tipo - Partidas</vt:lpstr>
      <vt:lpstr>9. Cuentas-Conceptos de imputac</vt:lpstr>
      <vt:lpstr>Listas</vt:lpstr>
      <vt:lpstr>A1_Empresa</vt:lpstr>
      <vt:lpstr>A2_Bancos</vt:lpstr>
      <vt:lpstr>A3_Documento</vt:lpstr>
      <vt:lpstr>Formulario!Área_de_impresión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Francisco Ibarra González</dc:creator>
  <cp:keywords/>
  <dc:description/>
  <cp:lastModifiedBy>Karina Oyanedel Villena</cp:lastModifiedBy>
  <cp:revision/>
  <cp:lastPrinted>2025-12-17T11:43:25Z</cp:lastPrinted>
  <dcterms:created xsi:type="dcterms:W3CDTF">2020-09-22T21:37:15Z</dcterms:created>
  <dcterms:modified xsi:type="dcterms:W3CDTF">2026-02-25T13:34:34Z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0x01010014890A3835A0D044B58EECC569D294BE</vt:lpwstr>
  </property>
  <property fmtid="{D5CDD505-2E9C-101B-9397-08002B2CF9AE}" pid="3" name="Order">
    <vt:r8>1500</vt:r8>
  </property>
</Properties>
</file>